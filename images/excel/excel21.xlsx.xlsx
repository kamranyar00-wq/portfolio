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Z:\MOR Monthly Opreational Review\Monthly Opreational Review 2026\MOR APR 2026\"/>
    </mc:Choice>
  </mc:AlternateContent>
  <xr:revisionPtr revIDLastSave="0" documentId="13_ncr:1_{504AAE8F-0488-41E0-8036-944C563BAFE4}" xr6:coauthVersionLast="47" xr6:coauthVersionMax="47" xr10:uidLastSave="{00000000-0000-0000-0000-000000000000}"/>
  <bookViews>
    <workbookView xWindow="-120" yWindow="-120" windowWidth="25440" windowHeight="15540" activeTab="1" xr2:uid="{00000000-000D-0000-FFFF-FFFF00000000}"/>
  </bookViews>
  <sheets>
    <sheet name="PRINTING " sheetId="1" r:id="rId1"/>
    <sheet name="PT-1" sheetId="3" r:id="rId2"/>
    <sheet name="PP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4" l="1"/>
  <c r="B40" i="3"/>
  <c r="B47" i="1"/>
  <c r="I42" i="1" l="1"/>
  <c r="D44" i="1" l="1"/>
  <c r="D26" i="4" l="1"/>
  <c r="H24" i="4"/>
  <c r="I24" i="4" s="1"/>
  <c r="D24" i="4"/>
  <c r="D39" i="3"/>
  <c r="D37" i="3"/>
  <c r="D46" i="1"/>
  <c r="D45" i="1"/>
  <c r="D42" i="1"/>
</calcChain>
</file>

<file path=xl/sharedStrings.xml><?xml version="1.0" encoding="utf-8"?>
<sst xmlns="http://schemas.openxmlformats.org/spreadsheetml/2006/main" count="124" uniqueCount="110">
  <si>
    <t>Name</t>
  </si>
  <si>
    <t>RS</t>
  </si>
  <si>
    <t>KGS</t>
  </si>
  <si>
    <t>Wages &amp; Salaries Workers-Printing</t>
  </si>
  <si>
    <t>Wages &amp; Salaries Dye Press Workers-Printing</t>
  </si>
  <si>
    <t>Wages &amp; Salaries Sealing Workers-Printing</t>
  </si>
  <si>
    <t>Wages &amp; Salaries (Suporting Staff) Workers-Printing</t>
  </si>
  <si>
    <t>Freight In Raw Material-Printing</t>
  </si>
  <si>
    <t>Loading Unloading -Printing</t>
  </si>
  <si>
    <t>Over Time Workers (Flexo) -Printing</t>
  </si>
  <si>
    <t>Welfare Worker -Printing</t>
  </si>
  <si>
    <t>Medical Expenses Workers-Printing</t>
  </si>
  <si>
    <t>Over Time Workers (Sealing Dye Press) -Printing</t>
  </si>
  <si>
    <t>Over Time Workers (Supporting Staff) -Printing</t>
  </si>
  <si>
    <t>R&amp;M Plant And Machinery -Printing</t>
  </si>
  <si>
    <t>R&amp;M General -Printing</t>
  </si>
  <si>
    <t>Block Charges-Printing-Printing</t>
  </si>
  <si>
    <t>Core-Printing-Printing</t>
  </si>
  <si>
    <t>Direct Vehicle Monthly Distributed (Fuel)-Printing</t>
  </si>
  <si>
    <t>NADEEM (Fuel For Bike)-Printing</t>
  </si>
  <si>
    <t>Fuel for Shahbaz Ali Printing Section - Printing</t>
  </si>
  <si>
    <t>Fuel for Imran Aslam-Printing</t>
  </si>
  <si>
    <t>Freight In/Out Rikshaw Mazda Etc-Printing</t>
  </si>
  <si>
    <t>Pre Paid Mobile Cards-Printing</t>
  </si>
  <si>
    <t>Dispatch Freight (Freight Out)-Printing</t>
  </si>
  <si>
    <t>Entertainment-Guest-Printing</t>
  </si>
  <si>
    <t>Scrape Sale Income -Printing</t>
  </si>
  <si>
    <t>PK MATERIAL MISC</t>
  </si>
  <si>
    <t>STORE ISSUANCE SPARE PARTS ETC</t>
  </si>
  <si>
    <t>W.P.P BAGS CONSUMED</t>
  </si>
  <si>
    <t>INK CONSUMED</t>
  </si>
  <si>
    <t>CHEMICAL CONSUMED</t>
  </si>
  <si>
    <t xml:space="preserve">TOTAL </t>
  </si>
  <si>
    <t>Shahbaz Ali Bike R&amp;M- Printing</t>
  </si>
  <si>
    <t>R&amp;M for Imran Aslam-Printing</t>
  </si>
  <si>
    <t>Commision On Sales (Others)-Printing</t>
  </si>
  <si>
    <t>Traveling &amp; Convence (Selling &amp; Markiting)-Printing</t>
  </si>
  <si>
    <t>TOTAL</t>
  </si>
  <si>
    <t>Wages &amp; Salaries Workers PT-1</t>
  </si>
  <si>
    <t>Freight In Raw Material-PT-1</t>
  </si>
  <si>
    <t>Loading Unloading -PT-1</t>
  </si>
  <si>
    <t>Over Time Workers PT-1</t>
  </si>
  <si>
    <t>Welfare Worker -PT-1</t>
  </si>
  <si>
    <t>Medical Expenses Workers PT-1</t>
  </si>
  <si>
    <t>Contractor Labour Sealing PT-1</t>
  </si>
  <si>
    <t>Contractor Labour Sorting PT-1</t>
  </si>
  <si>
    <t>R&amp;M Factory Building -PT-1</t>
  </si>
  <si>
    <t>R&amp;M General PT-1</t>
  </si>
  <si>
    <t>Core PT-1</t>
  </si>
  <si>
    <t>Packing Material Gata Thokoo Consumed PT-1</t>
  </si>
  <si>
    <t>Fuel Allowance of Moiz Talib ID 22576 PT-1</t>
  </si>
  <si>
    <t>Freight In/Out Rikshaw Mazda Etc-PT-1</t>
  </si>
  <si>
    <t>Pre Paid Mobile Cards PT-1</t>
  </si>
  <si>
    <t>Discount Expense PT-1</t>
  </si>
  <si>
    <t>Commision On Sales (Others) PT-1</t>
  </si>
  <si>
    <t>Dispatch Freight (Freight Out)-PT-1</t>
  </si>
  <si>
    <t>Entertainment-Guest PT-1</t>
  </si>
  <si>
    <t>R.K PT-1</t>
  </si>
  <si>
    <t>Discount Received  PT-1</t>
  </si>
  <si>
    <t>Scrape Sale Income PT-1</t>
  </si>
  <si>
    <t>R&amp;M Plant And Machinery PT-1</t>
  </si>
  <si>
    <t>Direct Vehicle Monthly Distributed (Fuel) PT-1</t>
  </si>
  <si>
    <t>Wages &amp; Salaries Workers-Pp</t>
  </si>
  <si>
    <t>Loading Unloading -Pp</t>
  </si>
  <si>
    <t>Over Time Workers-Pp</t>
  </si>
  <si>
    <t>Medical Expenses Workers-Pp</t>
  </si>
  <si>
    <t>PP Sealing Contractor -PP</t>
  </si>
  <si>
    <t>Over Time PP Sealing-PP</t>
  </si>
  <si>
    <t>R&amp;M Plant And Machinery -Pp</t>
  </si>
  <si>
    <t>R&amp;M General -Pp</t>
  </si>
  <si>
    <t>Core-Pp</t>
  </si>
  <si>
    <t>Fuel for Irfan PP</t>
  </si>
  <si>
    <t>Freight In/Out Rikshaw Mazda Etc-Pp</t>
  </si>
  <si>
    <t>Pre Paid Mobile Cards-Pp</t>
  </si>
  <si>
    <t xml:space="preserve">PP SEALINGTAPE </t>
  </si>
  <si>
    <t>OTHER</t>
  </si>
  <si>
    <t>Welfare Worker -Pp</t>
  </si>
  <si>
    <t>Dispatch Freight (Freight Out)-Pp</t>
  </si>
  <si>
    <t>R&amp;M Factory Building -Printing</t>
  </si>
  <si>
    <t>R.K - Printing</t>
  </si>
  <si>
    <t>Contractor Labour Packing -Printing</t>
  </si>
  <si>
    <t>Wages &amp; Salaries Sealing Workers-Pp</t>
  </si>
  <si>
    <t>Production Rejection Correction-Cost PT-1</t>
  </si>
  <si>
    <t>R&amp;M Factory Building -Pp</t>
  </si>
  <si>
    <t>Over Time Workers (Non Woven) -Printing</t>
  </si>
  <si>
    <t>Leave Encashement Staff-Printing</t>
  </si>
  <si>
    <t>Packing Material Pp Consumed PT-1</t>
  </si>
  <si>
    <t>Discount Expense-Printing</t>
  </si>
  <si>
    <t>Monthly Fuel Exp Staff Distributed-Printing</t>
  </si>
  <si>
    <t>Monthly Fuel Exp Staff Distributed PT-1</t>
  </si>
  <si>
    <t>Monthly Fuel Exp Staff Distributed-Pp</t>
  </si>
  <si>
    <t>Contractor Labour Packing PT-1</t>
  </si>
  <si>
    <t>Donation &amp; Charity PT-1</t>
  </si>
  <si>
    <t>Direct Vehicle Monthly Distributed (Fuel)-Pp</t>
  </si>
  <si>
    <t>Leave Encashment Workers-Printing</t>
  </si>
  <si>
    <t>Freight In Raw Material-Pp</t>
  </si>
  <si>
    <t>Fine To Employee PT-1</t>
  </si>
  <si>
    <t>Discount Expense-Pp</t>
  </si>
  <si>
    <t>Traveling &amp; Convence (Selling &amp; Markiting) PT-1</t>
  </si>
  <si>
    <t>Contractor Labour Dye Press -Printing</t>
  </si>
  <si>
    <t>Discount Received -Printing</t>
  </si>
  <si>
    <t>Direct Vehicle Monthly Distributed (R&amp;M) PT-1</t>
  </si>
  <si>
    <t>Direct Vehicle Monthly Distributed (R&amp;M)-Printing</t>
  </si>
  <si>
    <t>Income/Loss From Sale Of Asset PT-1</t>
  </si>
  <si>
    <t xml:space="preserve">SEALING TAPE </t>
  </si>
  <si>
    <t>Income/Loss From Sale Of Asset -Printing</t>
  </si>
  <si>
    <t>Traveling &amp; Convence (Selling &amp; Markiting)-Pp</t>
  </si>
  <si>
    <t>Packing Material Misc Consumed PT-1</t>
  </si>
  <si>
    <t>Leave Encashment Workers PT-1</t>
  </si>
  <si>
    <t>Leave Encashment Workers-Pp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</si>
</sst>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164" fontId="2" fillId="0" borderId="1" xfId="1" applyNumberFormat="1" applyFont="1" applyBorder="1"/>
    <xf numFmtId="0" fontId="4" fillId="0" borderId="1" xfId="0" applyFont="1" applyBorder="1" applyAlignment="1">
      <alignment horizontal="left"/>
    </xf>
    <xf numFmtId="0" fontId="0" fillId="0" borderId="1" xfId="0" applyBorder="1"/>
    <xf numFmtId="164" fontId="2" fillId="0" borderId="0" xfId="1" applyNumberFormat="1" applyFont="1"/>
    <xf numFmtId="43" fontId="2" fillId="0" borderId="0" xfId="1" applyFont="1"/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164" fontId="6" fillId="0" borderId="2" xfId="1" applyNumberFormat="1" applyFont="1" applyBorder="1" applyAlignment="1"/>
    <xf numFmtId="164" fontId="6" fillId="0" borderId="3" xfId="1" applyNumberFormat="1" applyFont="1" applyBorder="1" applyAlignment="1"/>
    <xf numFmtId="164" fontId="0" fillId="0" borderId="0" xfId="1" applyNumberFormat="1" applyFont="1"/>
    <xf numFmtId="164" fontId="2" fillId="0" borderId="1" xfId="1" applyNumberFormat="1" applyFont="1" applyBorder="1" applyAlignment="1">
      <alignment horizontal="center"/>
    </xf>
    <xf numFmtId="164" fontId="2" fillId="0" borderId="1" xfId="1" applyNumberFormat="1" applyFont="1" applyFill="1" applyBorder="1" applyAlignment="1">
      <alignment horizontal="center"/>
    </xf>
    <xf numFmtId="164" fontId="2" fillId="0" borderId="0" xfId="1" applyNumberFormat="1" applyFont="1" applyAlignment="1">
      <alignment horizontal="center"/>
    </xf>
    <xf numFmtId="0" fontId="2" fillId="0" borderId="1" xfId="0" applyFont="1" applyBorder="1"/>
    <xf numFmtId="0" fontId="2" fillId="0" borderId="0" xfId="0" applyFont="1"/>
    <xf numFmtId="164" fontId="6" fillId="0" borderId="1" xfId="1" applyNumberFormat="1" applyFont="1" applyBorder="1" applyAlignment="1">
      <alignment horizontal="center"/>
    </xf>
    <xf numFmtId="2" fontId="2" fillId="0" borderId="0" xfId="0" applyNumberFormat="1" applyFont="1"/>
    <xf numFmtId="164" fontId="2" fillId="0" borderId="0" xfId="0" applyNumberFormat="1" applyFont="1"/>
    <xf numFmtId="164" fontId="6" fillId="0" borderId="2" xfId="0" applyNumberFormat="1" applyFont="1" applyBorder="1"/>
    <xf numFmtId="0" fontId="6" fillId="0" borderId="3" xfId="0" applyFont="1" applyBorder="1"/>
    <xf numFmtId="164" fontId="0" fillId="0" borderId="0" xfId="0" applyNumberFormat="1"/>
    <xf numFmtId="164" fontId="6" fillId="0" borderId="2" xfId="1" applyNumberFormat="1" applyFont="1" applyBorder="1" applyAlignment="1">
      <alignment horizontal="center"/>
    </xf>
    <xf numFmtId="164" fontId="6" fillId="0" borderId="3" xfId="1" applyNumberFormat="1" applyFont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164" fontId="7" fillId="0" borderId="1" xfId="1" applyNumberFormat="1" applyFont="1" applyBorder="1" applyAlignment="1">
      <alignment horizontal="center"/>
    </xf>
    <xf numFmtId="164" fontId="7" fillId="0" borderId="1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workbookViewId="0">
      <selection activeCell="E2" sqref="E2"/>
    </sheetView>
  </sheetViews>
  <sheetFormatPr defaultRowHeight="15" x14ac:dyDescent="0.25"/>
  <cols>
    <col min="1" max="1" width="50.5703125" bestFit="1" customWidth="1"/>
    <col min="2" max="2" width="16" customWidth="1"/>
    <col min="3" max="3" width="15.42578125" customWidth="1"/>
    <col min="4" max="4" width="10.5703125" bestFit="1" customWidth="1"/>
    <col min="6" max="6" width="13.85546875" bestFit="1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</row>
    <row r="2" spans="1:4" ht="15.75" x14ac:dyDescent="0.25">
      <c r="A2" s="2" t="s">
        <v>3</v>
      </c>
      <c r="B2" s="13"/>
      <c r="C2" s="1"/>
    </row>
    <row r="3" spans="1:4" ht="15.75" x14ac:dyDescent="0.25">
      <c r="A3" s="2" t="s">
        <v>4</v>
      </c>
      <c r="B3" s="13">
        <v>0</v>
      </c>
      <c r="C3" s="1"/>
    </row>
    <row r="4" spans="1:4" ht="15.75" x14ac:dyDescent="0.25">
      <c r="A4" s="4" t="s">
        <v>5</v>
      </c>
      <c r="B4" s="13">
        <v>0</v>
      </c>
      <c r="C4" s="1"/>
    </row>
    <row r="5" spans="1:4" ht="15.75" x14ac:dyDescent="0.25">
      <c r="A5" s="4" t="s">
        <v>6</v>
      </c>
      <c r="B5" s="13"/>
      <c r="C5" s="1"/>
    </row>
    <row r="6" spans="1:4" x14ac:dyDescent="0.25">
      <c r="A6" s="5" t="s">
        <v>7</v>
      </c>
      <c r="B6" s="13">
        <v>0</v>
      </c>
      <c r="C6" s="3"/>
      <c r="D6" s="6"/>
    </row>
    <row r="7" spans="1:4" x14ac:dyDescent="0.25">
      <c r="A7" s="5" t="s">
        <v>8</v>
      </c>
      <c r="B7" s="26">
        <v>59354</v>
      </c>
      <c r="C7" s="3"/>
      <c r="D7" s="6"/>
    </row>
    <row r="8" spans="1:4" x14ac:dyDescent="0.25">
      <c r="A8" s="5" t="s">
        <v>9</v>
      </c>
      <c r="B8" s="26">
        <v>333477</v>
      </c>
      <c r="C8" s="3"/>
      <c r="D8" s="6"/>
    </row>
    <row r="9" spans="1:4" x14ac:dyDescent="0.25">
      <c r="A9" s="5" t="s">
        <v>10</v>
      </c>
      <c r="B9" s="26">
        <v>37100</v>
      </c>
      <c r="C9" s="3"/>
      <c r="D9" s="6"/>
    </row>
    <row r="10" spans="1:4" x14ac:dyDescent="0.25">
      <c r="A10" s="5" t="s">
        <v>11</v>
      </c>
      <c r="B10" s="13">
        <v>0</v>
      </c>
      <c r="C10" s="3"/>
      <c r="D10" s="6"/>
    </row>
    <row r="11" spans="1:4" x14ac:dyDescent="0.25">
      <c r="A11" s="5" t="s">
        <v>12</v>
      </c>
      <c r="B11" s="26">
        <v>216125</v>
      </c>
      <c r="C11" s="3"/>
      <c r="D11" s="6"/>
    </row>
    <row r="12" spans="1:4" x14ac:dyDescent="0.25">
      <c r="A12" s="5" t="s">
        <v>13</v>
      </c>
      <c r="B12" s="26">
        <v>127725</v>
      </c>
      <c r="C12" s="3"/>
      <c r="D12" s="6"/>
    </row>
    <row r="13" spans="1:4" x14ac:dyDescent="0.25">
      <c r="A13" s="5" t="s">
        <v>84</v>
      </c>
      <c r="B13" s="13">
        <v>0</v>
      </c>
      <c r="C13" s="3"/>
      <c r="D13" s="6"/>
    </row>
    <row r="14" spans="1:4" x14ac:dyDescent="0.25">
      <c r="A14" s="5" t="s">
        <v>14</v>
      </c>
      <c r="B14" s="26">
        <v>46500</v>
      </c>
      <c r="C14" s="3"/>
      <c r="D14" s="6"/>
    </row>
    <row r="15" spans="1:4" x14ac:dyDescent="0.25">
      <c r="A15" s="5" t="s">
        <v>78</v>
      </c>
      <c r="B15" s="26">
        <v>46090</v>
      </c>
      <c r="C15" s="3"/>
      <c r="D15" s="6"/>
    </row>
    <row r="16" spans="1:4" x14ac:dyDescent="0.25">
      <c r="A16" s="5" t="s">
        <v>15</v>
      </c>
      <c r="B16" s="26">
        <v>10816</v>
      </c>
      <c r="C16" s="3"/>
      <c r="D16" s="6"/>
    </row>
    <row r="17" spans="1:4" x14ac:dyDescent="0.25">
      <c r="A17" s="5" t="s">
        <v>16</v>
      </c>
      <c r="B17" s="26">
        <v>51449</v>
      </c>
      <c r="C17" s="3"/>
      <c r="D17" s="6"/>
    </row>
    <row r="18" spans="1:4" x14ac:dyDescent="0.25">
      <c r="A18" s="5" t="s">
        <v>17</v>
      </c>
      <c r="B18" s="13">
        <v>-45962</v>
      </c>
      <c r="C18" s="3"/>
      <c r="D18" s="6"/>
    </row>
    <row r="19" spans="1:4" x14ac:dyDescent="0.25">
      <c r="A19" s="5" t="s">
        <v>18</v>
      </c>
      <c r="B19" s="26">
        <v>7741</v>
      </c>
      <c r="C19" s="3"/>
      <c r="D19" s="6"/>
    </row>
    <row r="20" spans="1:4" x14ac:dyDescent="0.25">
      <c r="A20" s="5" t="s">
        <v>102</v>
      </c>
      <c r="B20" s="13">
        <v>0</v>
      </c>
      <c r="C20" s="3"/>
      <c r="D20" s="6"/>
    </row>
    <row r="21" spans="1:4" x14ac:dyDescent="0.25">
      <c r="A21" s="5" t="s">
        <v>88</v>
      </c>
      <c r="B21" s="13">
        <v>0</v>
      </c>
      <c r="C21" s="3"/>
      <c r="D21" s="6"/>
    </row>
    <row r="22" spans="1:4" x14ac:dyDescent="0.25">
      <c r="A22" s="5" t="s">
        <v>19</v>
      </c>
      <c r="B22" s="26">
        <v>4500</v>
      </c>
      <c r="C22" s="3"/>
      <c r="D22" s="6"/>
    </row>
    <row r="23" spans="1:4" x14ac:dyDescent="0.25">
      <c r="A23" s="5" t="s">
        <v>20</v>
      </c>
      <c r="B23" s="26">
        <v>7509</v>
      </c>
      <c r="C23" s="3"/>
      <c r="D23" s="6"/>
    </row>
    <row r="24" spans="1:4" x14ac:dyDescent="0.25">
      <c r="A24" s="5" t="s">
        <v>33</v>
      </c>
      <c r="B24" s="13">
        <v>0</v>
      </c>
      <c r="C24" s="3"/>
      <c r="D24" s="6"/>
    </row>
    <row r="25" spans="1:4" x14ac:dyDescent="0.25">
      <c r="A25" s="5" t="s">
        <v>21</v>
      </c>
      <c r="B25" s="26">
        <v>18813</v>
      </c>
      <c r="C25" s="3"/>
      <c r="D25" s="6"/>
    </row>
    <row r="26" spans="1:4" x14ac:dyDescent="0.25">
      <c r="A26" s="5" t="s">
        <v>34</v>
      </c>
      <c r="B26" s="13">
        <v>0</v>
      </c>
      <c r="C26" s="3"/>
      <c r="D26" s="6"/>
    </row>
    <row r="27" spans="1:4" x14ac:dyDescent="0.25">
      <c r="A27" s="5" t="s">
        <v>22</v>
      </c>
      <c r="B27" s="26">
        <v>9180</v>
      </c>
      <c r="C27" s="3"/>
      <c r="D27" s="6"/>
    </row>
    <row r="28" spans="1:4" x14ac:dyDescent="0.25">
      <c r="A28" s="5" t="s">
        <v>23</v>
      </c>
      <c r="B28" s="26">
        <v>2000</v>
      </c>
      <c r="C28" s="3"/>
      <c r="D28" s="6"/>
    </row>
    <row r="29" spans="1:4" x14ac:dyDescent="0.25">
      <c r="A29" s="5" t="s">
        <v>24</v>
      </c>
      <c r="B29" s="13">
        <v>282500</v>
      </c>
      <c r="C29" s="3"/>
      <c r="D29" s="6"/>
    </row>
    <row r="30" spans="1:4" x14ac:dyDescent="0.25">
      <c r="A30" s="5" t="s">
        <v>25</v>
      </c>
      <c r="B30" s="26">
        <v>37259</v>
      </c>
      <c r="C30" s="3"/>
      <c r="D30" s="6"/>
    </row>
    <row r="31" spans="1:4" x14ac:dyDescent="0.25">
      <c r="A31" s="5" t="s">
        <v>87</v>
      </c>
      <c r="B31" s="27">
        <v>66553</v>
      </c>
      <c r="C31" s="3"/>
      <c r="D31" s="6"/>
    </row>
    <row r="32" spans="1:4" x14ac:dyDescent="0.25">
      <c r="A32" s="5" t="s">
        <v>26</v>
      </c>
      <c r="B32" s="13">
        <v>0</v>
      </c>
      <c r="C32" s="3"/>
      <c r="D32" s="6"/>
    </row>
    <row r="33" spans="1:10" x14ac:dyDescent="0.25">
      <c r="A33" s="5" t="s">
        <v>35</v>
      </c>
      <c r="B33" s="13">
        <v>0</v>
      </c>
      <c r="C33" s="3"/>
      <c r="D33" s="6"/>
    </row>
    <row r="34" spans="1:10" x14ac:dyDescent="0.25">
      <c r="A34" s="5" t="s">
        <v>36</v>
      </c>
      <c r="B34" s="13">
        <v>0</v>
      </c>
      <c r="C34" s="3"/>
      <c r="D34" s="6"/>
    </row>
    <row r="35" spans="1:10" x14ac:dyDescent="0.25">
      <c r="A35" s="5" t="s">
        <v>79</v>
      </c>
      <c r="B35" s="27">
        <v>274357</v>
      </c>
      <c r="C35" s="3"/>
      <c r="D35" s="6"/>
    </row>
    <row r="36" spans="1:10" x14ac:dyDescent="0.25">
      <c r="A36" s="5" t="s">
        <v>80</v>
      </c>
      <c r="B36" s="13">
        <v>0</v>
      </c>
      <c r="C36" s="3"/>
      <c r="D36" s="6"/>
    </row>
    <row r="37" spans="1:10" x14ac:dyDescent="0.25">
      <c r="A37" s="5" t="s">
        <v>85</v>
      </c>
      <c r="B37" s="13">
        <v>0</v>
      </c>
      <c r="C37" s="3"/>
      <c r="D37" s="6"/>
    </row>
    <row r="38" spans="1:10" x14ac:dyDescent="0.25">
      <c r="A38" s="5" t="s">
        <v>94</v>
      </c>
      <c r="B38" s="26">
        <v>199125</v>
      </c>
      <c r="C38" s="3"/>
      <c r="D38" s="6"/>
    </row>
    <row r="39" spans="1:10" x14ac:dyDescent="0.25">
      <c r="A39" s="5" t="s">
        <v>99</v>
      </c>
      <c r="B39" s="13">
        <v>0</v>
      </c>
      <c r="C39" s="3"/>
      <c r="D39" s="6"/>
    </row>
    <row r="40" spans="1:10" x14ac:dyDescent="0.25">
      <c r="A40" s="5" t="s">
        <v>100</v>
      </c>
      <c r="B40" s="13">
        <v>0</v>
      </c>
      <c r="C40" s="3"/>
      <c r="D40" s="6"/>
    </row>
    <row r="41" spans="1:10" x14ac:dyDescent="0.25">
      <c r="A41" s="5" t="s">
        <v>105</v>
      </c>
      <c r="B41" s="13">
        <v>0</v>
      </c>
      <c r="C41" s="3"/>
      <c r="D41" s="6"/>
    </row>
    <row r="42" spans="1:10" x14ac:dyDescent="0.25">
      <c r="A42" s="5" t="s">
        <v>27</v>
      </c>
      <c r="B42" s="26">
        <v>172300</v>
      </c>
      <c r="C42" s="3">
        <v>40</v>
      </c>
      <c r="D42" s="7">
        <f>+B42/C42</f>
        <v>4307.5</v>
      </c>
      <c r="F42" s="17" t="s">
        <v>104</v>
      </c>
      <c r="G42" s="17">
        <v>9100</v>
      </c>
      <c r="H42" s="17" t="s">
        <v>75</v>
      </c>
      <c r="I42" s="20">
        <f>+B42-G42</f>
        <v>163200</v>
      </c>
      <c r="J42" s="23"/>
    </row>
    <row r="43" spans="1:10" x14ac:dyDescent="0.25">
      <c r="A43" s="8" t="s">
        <v>28</v>
      </c>
      <c r="B43" s="26">
        <v>468385</v>
      </c>
      <c r="C43" s="3"/>
      <c r="D43" s="6"/>
    </row>
    <row r="44" spans="1:10" x14ac:dyDescent="0.25">
      <c r="A44" s="5" t="s">
        <v>29</v>
      </c>
      <c r="B44" s="26">
        <v>120545</v>
      </c>
      <c r="C44" s="3">
        <v>230.45</v>
      </c>
      <c r="D44" s="7">
        <f>+B44/C44</f>
        <v>523.08526795400303</v>
      </c>
    </row>
    <row r="45" spans="1:10" x14ac:dyDescent="0.25">
      <c r="A45" s="5" t="s">
        <v>30</v>
      </c>
      <c r="B45" s="14">
        <v>2988331</v>
      </c>
      <c r="C45" s="3">
        <v>2618</v>
      </c>
      <c r="D45" s="7">
        <f>+B45/C45</f>
        <v>1141.455691367456</v>
      </c>
    </row>
    <row r="46" spans="1:10" x14ac:dyDescent="0.25">
      <c r="A46" s="5" t="s">
        <v>31</v>
      </c>
      <c r="B46" s="14">
        <v>1637365.35</v>
      </c>
      <c r="C46" s="3">
        <v>3100.8</v>
      </c>
      <c r="D46" s="7">
        <f>+B46/C46</f>
        <v>528.04610100619198</v>
      </c>
    </row>
    <row r="47" spans="1:10" ht="18.75" x14ac:dyDescent="0.3">
      <c r="A47" s="9" t="s">
        <v>32</v>
      </c>
      <c r="B47" s="10">
        <f>SUM(B2:B46)</f>
        <v>7179137.3499999996</v>
      </c>
      <c r="C47" s="11"/>
      <c r="D47" s="1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"/>
  <sheetViews>
    <sheetView tabSelected="1" workbookViewId="0">
      <selection activeCell="A14" sqref="A14:XFD14"/>
    </sheetView>
  </sheetViews>
  <sheetFormatPr defaultRowHeight="15" x14ac:dyDescent="0.25"/>
  <cols>
    <col min="1" max="1" width="44.140625" bestFit="1" customWidth="1"/>
    <col min="2" max="2" width="15.5703125" customWidth="1"/>
    <col min="3" max="3" width="14.7109375" customWidth="1"/>
    <col min="4" max="4" width="7.7109375" bestFit="1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</row>
    <row r="2" spans="1:4" ht="15.75" x14ac:dyDescent="0.25">
      <c r="A2" s="2" t="s">
        <v>38</v>
      </c>
      <c r="B2" s="15">
        <v>0</v>
      </c>
      <c r="C2" s="1"/>
    </row>
    <row r="3" spans="1:4" x14ac:dyDescent="0.25">
      <c r="A3" s="5" t="s">
        <v>39</v>
      </c>
      <c r="B3" s="13"/>
      <c r="C3" s="16"/>
      <c r="D3" s="17"/>
    </row>
    <row r="4" spans="1:4" x14ac:dyDescent="0.25">
      <c r="A4" s="5" t="s">
        <v>40</v>
      </c>
      <c r="B4" s="26">
        <v>24820</v>
      </c>
      <c r="C4" s="16"/>
      <c r="D4" s="17"/>
    </row>
    <row r="5" spans="1:4" x14ac:dyDescent="0.25">
      <c r="A5" s="5" t="s">
        <v>41</v>
      </c>
      <c r="B5" s="26">
        <v>426793</v>
      </c>
      <c r="C5" s="16"/>
      <c r="D5" s="17"/>
    </row>
    <row r="6" spans="1:4" x14ac:dyDescent="0.25">
      <c r="A6" s="5" t="s">
        <v>42</v>
      </c>
      <c r="B6" s="26">
        <v>49700</v>
      </c>
      <c r="C6" s="16"/>
      <c r="D6" s="17"/>
    </row>
    <row r="7" spans="1:4" x14ac:dyDescent="0.25">
      <c r="A7" s="5" t="s">
        <v>43</v>
      </c>
      <c r="B7" s="26">
        <v>5686</v>
      </c>
      <c r="C7" s="16"/>
      <c r="D7" s="17"/>
    </row>
    <row r="8" spans="1:4" x14ac:dyDescent="0.25">
      <c r="A8" s="5" t="s">
        <v>44</v>
      </c>
      <c r="B8" s="27">
        <v>591936</v>
      </c>
      <c r="C8" s="16"/>
      <c r="D8" s="17"/>
    </row>
    <row r="9" spans="1:4" x14ac:dyDescent="0.25">
      <c r="A9" s="5" t="s">
        <v>45</v>
      </c>
      <c r="B9" s="27">
        <v>15150</v>
      </c>
      <c r="C9" s="16"/>
      <c r="D9" s="17"/>
    </row>
    <row r="10" spans="1:4" x14ac:dyDescent="0.25">
      <c r="A10" s="5" t="s">
        <v>91</v>
      </c>
      <c r="B10" s="13">
        <v>0</v>
      </c>
      <c r="C10" s="16"/>
      <c r="D10" s="17"/>
    </row>
    <row r="11" spans="1:4" x14ac:dyDescent="0.25">
      <c r="A11" s="5" t="s">
        <v>108</v>
      </c>
      <c r="B11" s="26">
        <v>21054</v>
      </c>
      <c r="C11" s="16"/>
      <c r="D11" s="17"/>
    </row>
    <row r="12" spans="1:4" x14ac:dyDescent="0.25">
      <c r="A12" s="5" t="s">
        <v>46</v>
      </c>
      <c r="B12" s="26">
        <v>235246</v>
      </c>
      <c r="C12" s="16"/>
      <c r="D12" s="17"/>
    </row>
    <row r="13" spans="1:4" x14ac:dyDescent="0.25">
      <c r="A13" s="5" t="s">
        <v>60</v>
      </c>
      <c r="B13" s="26">
        <v>322500</v>
      </c>
      <c r="C13" s="16"/>
      <c r="D13" s="17"/>
    </row>
    <row r="14" spans="1:4" x14ac:dyDescent="0.25">
      <c r="A14" s="5" t="s">
        <v>47</v>
      </c>
      <c r="B14" s="26">
        <v>56900</v>
      </c>
      <c r="C14" s="16"/>
      <c r="D14" s="17"/>
    </row>
    <row r="15" spans="1:4" x14ac:dyDescent="0.25">
      <c r="A15" s="5" t="s">
        <v>48</v>
      </c>
      <c r="B15" s="26">
        <v>2287239</v>
      </c>
      <c r="C15" s="16"/>
      <c r="D15" s="17"/>
    </row>
    <row r="16" spans="1:4" x14ac:dyDescent="0.25">
      <c r="A16" s="5" t="s">
        <v>61</v>
      </c>
      <c r="B16" s="26">
        <v>33807</v>
      </c>
      <c r="C16" s="16"/>
      <c r="D16" s="17"/>
    </row>
    <row r="17" spans="1:4" x14ac:dyDescent="0.25">
      <c r="A17" s="5" t="s">
        <v>101</v>
      </c>
      <c r="B17" s="13">
        <v>0</v>
      </c>
      <c r="C17" s="16"/>
      <c r="D17" s="17"/>
    </row>
    <row r="18" spans="1:4" x14ac:dyDescent="0.25">
      <c r="A18" s="5" t="s">
        <v>89</v>
      </c>
      <c r="B18" s="26">
        <v>2000</v>
      </c>
      <c r="C18" s="16"/>
      <c r="D18" s="17"/>
    </row>
    <row r="19" spans="1:4" x14ac:dyDescent="0.25">
      <c r="A19" s="5" t="s">
        <v>49</v>
      </c>
      <c r="B19" s="13">
        <v>0</v>
      </c>
      <c r="C19" s="16"/>
      <c r="D19" s="17"/>
    </row>
    <row r="20" spans="1:4" x14ac:dyDescent="0.25">
      <c r="A20" s="5" t="s">
        <v>50</v>
      </c>
      <c r="B20" s="26">
        <v>4344</v>
      </c>
      <c r="C20" s="16"/>
      <c r="D20" s="17"/>
    </row>
    <row r="21" spans="1:4" x14ac:dyDescent="0.25">
      <c r="A21" s="5" t="s">
        <v>51</v>
      </c>
      <c r="B21" s="26">
        <v>6800</v>
      </c>
      <c r="C21" s="16"/>
      <c r="D21" s="17"/>
    </row>
    <row r="22" spans="1:4" x14ac:dyDescent="0.25">
      <c r="A22" s="5" t="s">
        <v>52</v>
      </c>
      <c r="B22" s="13">
        <v>0</v>
      </c>
      <c r="C22" s="16"/>
      <c r="D22" s="17"/>
    </row>
    <row r="23" spans="1:4" x14ac:dyDescent="0.25">
      <c r="A23" s="5" t="s">
        <v>53</v>
      </c>
      <c r="B23" s="13">
        <v>0</v>
      </c>
      <c r="C23" s="16"/>
      <c r="D23" s="17"/>
    </row>
    <row r="24" spans="1:4" x14ac:dyDescent="0.25">
      <c r="A24" s="5" t="s">
        <v>54</v>
      </c>
      <c r="B24" s="13">
        <v>433277</v>
      </c>
      <c r="C24" s="16"/>
      <c r="D24" s="17"/>
    </row>
    <row r="25" spans="1:4" x14ac:dyDescent="0.25">
      <c r="A25" s="5" t="s">
        <v>55</v>
      </c>
      <c r="B25" s="13">
        <v>253500</v>
      </c>
      <c r="C25" s="16"/>
      <c r="D25" s="17"/>
    </row>
    <row r="26" spans="1:4" x14ac:dyDescent="0.25">
      <c r="A26" s="5" t="s">
        <v>56</v>
      </c>
      <c r="B26" s="13">
        <v>0</v>
      </c>
      <c r="C26" s="16"/>
      <c r="D26" s="17"/>
    </row>
    <row r="27" spans="1:4" x14ac:dyDescent="0.25">
      <c r="A27" s="5" t="s">
        <v>57</v>
      </c>
      <c r="B27" s="13">
        <v>0</v>
      </c>
      <c r="C27" s="16"/>
      <c r="D27" s="17"/>
    </row>
    <row r="28" spans="1:4" x14ac:dyDescent="0.25">
      <c r="A28" s="5" t="s">
        <v>58</v>
      </c>
      <c r="B28" s="13">
        <v>0</v>
      </c>
      <c r="C28" s="16"/>
      <c r="D28" s="17"/>
    </row>
    <row r="29" spans="1:4" x14ac:dyDescent="0.25">
      <c r="A29" s="5" t="s">
        <v>59</v>
      </c>
      <c r="B29" s="13">
        <v>0</v>
      </c>
      <c r="C29" s="16"/>
      <c r="D29" s="17"/>
    </row>
    <row r="30" spans="1:4" x14ac:dyDescent="0.25">
      <c r="A30" s="5" t="s">
        <v>82</v>
      </c>
      <c r="B30" s="13">
        <v>0</v>
      </c>
      <c r="C30" s="16"/>
      <c r="D30" s="17"/>
    </row>
    <row r="31" spans="1:4" x14ac:dyDescent="0.25">
      <c r="A31" s="5" t="s">
        <v>86</v>
      </c>
      <c r="B31" s="13">
        <v>0</v>
      </c>
      <c r="C31" s="16"/>
      <c r="D31" s="17"/>
    </row>
    <row r="32" spans="1:4" x14ac:dyDescent="0.25">
      <c r="A32" s="5" t="s">
        <v>107</v>
      </c>
      <c r="B32" s="13">
        <v>-1000</v>
      </c>
      <c r="C32" s="16"/>
      <c r="D32" s="17"/>
    </row>
    <row r="33" spans="1:4" x14ac:dyDescent="0.25">
      <c r="A33" s="5" t="s">
        <v>92</v>
      </c>
      <c r="B33" s="13">
        <v>0</v>
      </c>
      <c r="C33" s="16"/>
      <c r="D33" s="17"/>
    </row>
    <row r="34" spans="1:4" x14ac:dyDescent="0.25">
      <c r="A34" s="5" t="s">
        <v>96</v>
      </c>
      <c r="B34" s="13">
        <v>0</v>
      </c>
      <c r="C34" s="16"/>
      <c r="D34" s="17"/>
    </row>
    <row r="35" spans="1:4" x14ac:dyDescent="0.25">
      <c r="A35" s="5" t="s">
        <v>98</v>
      </c>
      <c r="B35" s="13">
        <v>0</v>
      </c>
      <c r="C35" s="16"/>
      <c r="D35" s="17"/>
    </row>
    <row r="36" spans="1:4" x14ac:dyDescent="0.25">
      <c r="A36" s="5" t="s">
        <v>103</v>
      </c>
      <c r="B36" s="13">
        <v>0</v>
      </c>
      <c r="C36" s="16"/>
      <c r="D36" s="17"/>
    </row>
    <row r="37" spans="1:4" x14ac:dyDescent="0.25">
      <c r="A37" s="5" t="s">
        <v>27</v>
      </c>
      <c r="B37" s="26">
        <v>1364</v>
      </c>
      <c r="C37" s="16">
        <v>4.5999999999999996</v>
      </c>
      <c r="D37" s="17">
        <f>+B37/C37</f>
        <v>296.52173913043481</v>
      </c>
    </row>
    <row r="38" spans="1:4" x14ac:dyDescent="0.25">
      <c r="A38" s="8" t="s">
        <v>28</v>
      </c>
      <c r="B38" s="26">
        <v>1536845</v>
      </c>
      <c r="C38" s="16"/>
      <c r="D38" s="17"/>
    </row>
    <row r="39" spans="1:4" x14ac:dyDescent="0.25">
      <c r="A39" s="5" t="s">
        <v>29</v>
      </c>
      <c r="B39" s="26">
        <v>202920</v>
      </c>
      <c r="C39" s="16">
        <v>385.2</v>
      </c>
      <c r="D39" s="6">
        <f>+B39/C39</f>
        <v>526.79127725856699</v>
      </c>
    </row>
    <row r="40" spans="1:4" ht="18.75" x14ac:dyDescent="0.3">
      <c r="A40" s="18" t="s">
        <v>37</v>
      </c>
      <c r="B40" s="24">
        <f>SUM(B2:B39)</f>
        <v>6510881</v>
      </c>
      <c r="C40" s="25"/>
    </row>
  </sheetData>
  <mergeCells count="1">
    <mergeCell ref="B40:C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workbookViewId="0">
      <selection activeCell="B25" sqref="B25"/>
    </sheetView>
  </sheetViews>
  <sheetFormatPr defaultRowHeight="15" x14ac:dyDescent="0.25"/>
  <cols>
    <col min="1" max="1" width="41.42578125" bestFit="1" customWidth="1"/>
    <col min="2" max="2" width="16.140625" customWidth="1"/>
    <col min="3" max="3" width="16.28515625" customWidth="1"/>
    <col min="4" max="4" width="6.5703125" bestFit="1" customWidth="1"/>
    <col min="5" max="5" width="16.28515625" bestFit="1" customWidth="1"/>
    <col min="6" max="6" width="5" bestFit="1" customWidth="1"/>
    <col min="7" max="7" width="6.85546875" bestFit="1" customWidth="1"/>
    <col min="8" max="9" width="9" bestFit="1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  <c r="D1" s="17"/>
    </row>
    <row r="2" spans="1:4" ht="15.75" x14ac:dyDescent="0.25">
      <c r="A2" s="4" t="s">
        <v>62</v>
      </c>
      <c r="B2" s="13">
        <v>0</v>
      </c>
      <c r="C2" s="1"/>
      <c r="D2" s="17"/>
    </row>
    <row r="3" spans="1:4" ht="15.75" x14ac:dyDescent="0.25">
      <c r="A3" s="4" t="s">
        <v>81</v>
      </c>
      <c r="B3" s="13">
        <v>0</v>
      </c>
      <c r="C3" s="1"/>
      <c r="D3" s="17"/>
    </row>
    <row r="4" spans="1:4" x14ac:dyDescent="0.25">
      <c r="A4" s="5" t="s">
        <v>63</v>
      </c>
      <c r="B4" s="26">
        <v>23220</v>
      </c>
      <c r="C4" s="16"/>
      <c r="D4" s="17"/>
    </row>
    <row r="5" spans="1:4" x14ac:dyDescent="0.25">
      <c r="A5" s="5" t="s">
        <v>64</v>
      </c>
      <c r="B5" s="26">
        <v>309618</v>
      </c>
      <c r="C5" s="16"/>
      <c r="D5" s="17"/>
    </row>
    <row r="6" spans="1:4" x14ac:dyDescent="0.25">
      <c r="A6" s="5" t="s">
        <v>65</v>
      </c>
      <c r="B6" s="13">
        <v>0</v>
      </c>
      <c r="C6" s="16"/>
      <c r="D6" s="17"/>
    </row>
    <row r="7" spans="1:4" x14ac:dyDescent="0.25">
      <c r="A7" s="5" t="s">
        <v>66</v>
      </c>
      <c r="B7" s="27">
        <v>305162</v>
      </c>
      <c r="C7" s="16"/>
      <c r="D7" s="17"/>
    </row>
    <row r="8" spans="1:4" x14ac:dyDescent="0.25">
      <c r="A8" s="5" t="s">
        <v>67</v>
      </c>
      <c r="B8" s="27">
        <v>39555</v>
      </c>
      <c r="C8" s="16"/>
      <c r="D8" s="17"/>
    </row>
    <row r="9" spans="1:4" x14ac:dyDescent="0.25">
      <c r="A9" s="5" t="s">
        <v>68</v>
      </c>
      <c r="B9" s="26">
        <v>37000</v>
      </c>
      <c r="C9" s="16"/>
      <c r="D9" s="17"/>
    </row>
    <row r="10" spans="1:4" x14ac:dyDescent="0.25">
      <c r="A10" s="5" t="s">
        <v>69</v>
      </c>
      <c r="B10" s="14">
        <v>0</v>
      </c>
      <c r="C10" s="16"/>
      <c r="D10" s="17"/>
    </row>
    <row r="11" spans="1:4" x14ac:dyDescent="0.25">
      <c r="A11" s="5" t="s">
        <v>83</v>
      </c>
      <c r="B11" s="13">
        <v>0</v>
      </c>
      <c r="C11" s="16"/>
      <c r="D11" s="17"/>
    </row>
    <row r="12" spans="1:4" x14ac:dyDescent="0.25">
      <c r="A12" s="5" t="s">
        <v>109</v>
      </c>
      <c r="B12" s="26">
        <v>5524</v>
      </c>
      <c r="C12" s="16"/>
      <c r="D12" s="17"/>
    </row>
    <row r="13" spans="1:4" x14ac:dyDescent="0.25">
      <c r="A13" s="5" t="s">
        <v>70</v>
      </c>
      <c r="B13" s="13">
        <v>6215</v>
      </c>
      <c r="C13" s="16"/>
      <c r="D13" s="17"/>
    </row>
    <row r="14" spans="1:4" x14ac:dyDescent="0.25">
      <c r="A14" s="5" t="s">
        <v>71</v>
      </c>
      <c r="B14" s="26">
        <v>3378</v>
      </c>
      <c r="C14" s="16"/>
      <c r="D14" s="17"/>
    </row>
    <row r="15" spans="1:4" x14ac:dyDescent="0.25">
      <c r="A15" s="5" t="s">
        <v>72</v>
      </c>
      <c r="B15" s="26">
        <v>3000</v>
      </c>
      <c r="C15" s="16"/>
      <c r="D15" s="17"/>
    </row>
    <row r="16" spans="1:4" x14ac:dyDescent="0.25">
      <c r="A16" s="5" t="s">
        <v>73</v>
      </c>
      <c r="B16" s="13">
        <v>0</v>
      </c>
      <c r="C16" s="16"/>
      <c r="D16" s="17"/>
    </row>
    <row r="17" spans="1:9" x14ac:dyDescent="0.25">
      <c r="A17" s="5" t="s">
        <v>90</v>
      </c>
      <c r="B17" s="13">
        <v>0</v>
      </c>
      <c r="C17" s="16"/>
      <c r="D17" s="17"/>
    </row>
    <row r="18" spans="1:9" x14ac:dyDescent="0.25">
      <c r="A18" s="5" t="s">
        <v>76</v>
      </c>
      <c r="B18" s="26">
        <v>22900</v>
      </c>
      <c r="C18" s="16"/>
      <c r="D18" s="17"/>
    </row>
    <row r="19" spans="1:9" x14ac:dyDescent="0.25">
      <c r="A19" s="5" t="s">
        <v>77</v>
      </c>
      <c r="B19" s="28">
        <v>290000</v>
      </c>
      <c r="C19" s="16"/>
      <c r="D19" s="17"/>
    </row>
    <row r="20" spans="1:9" x14ac:dyDescent="0.25">
      <c r="A20" s="5" t="s">
        <v>93</v>
      </c>
      <c r="B20" s="14">
        <v>0</v>
      </c>
      <c r="C20" s="16"/>
      <c r="D20" s="17"/>
    </row>
    <row r="21" spans="1:9" x14ac:dyDescent="0.25">
      <c r="A21" s="5" t="s">
        <v>95</v>
      </c>
      <c r="B21" s="14">
        <v>0</v>
      </c>
      <c r="C21" s="16"/>
      <c r="D21" s="17"/>
    </row>
    <row r="22" spans="1:9" x14ac:dyDescent="0.25">
      <c r="A22" s="5" t="s">
        <v>97</v>
      </c>
      <c r="B22" s="14">
        <v>0</v>
      </c>
      <c r="C22" s="16"/>
      <c r="D22" s="17"/>
    </row>
    <row r="23" spans="1:9" x14ac:dyDescent="0.25">
      <c r="A23" s="5" t="s">
        <v>106</v>
      </c>
      <c r="B23" s="14">
        <v>0</v>
      </c>
      <c r="C23" s="16"/>
      <c r="D23" s="17"/>
    </row>
    <row r="24" spans="1:9" x14ac:dyDescent="0.25">
      <c r="A24" s="5" t="s">
        <v>27</v>
      </c>
      <c r="B24" s="26">
        <v>6300</v>
      </c>
      <c r="C24" s="16">
        <v>28</v>
      </c>
      <c r="D24" s="19">
        <f>+B24/C24</f>
        <v>225</v>
      </c>
      <c r="E24" s="17" t="s">
        <v>74</v>
      </c>
      <c r="F24" s="17">
        <v>1050</v>
      </c>
      <c r="G24" s="17" t="s">
        <v>75</v>
      </c>
      <c r="H24" s="20">
        <f>+B24-F24</f>
        <v>5250</v>
      </c>
      <c r="I24" s="20">
        <f>+H24+F24</f>
        <v>6300</v>
      </c>
    </row>
    <row r="25" spans="1:9" x14ac:dyDescent="0.25">
      <c r="A25" s="8" t="s">
        <v>28</v>
      </c>
      <c r="B25" s="26">
        <v>219006</v>
      </c>
      <c r="C25" s="16"/>
    </row>
    <row r="26" spans="1:9" x14ac:dyDescent="0.25">
      <c r="A26" s="5" t="s">
        <v>29</v>
      </c>
      <c r="B26" s="26">
        <v>135550</v>
      </c>
      <c r="C26" s="16">
        <v>271.10000000000002</v>
      </c>
      <c r="D26" s="19">
        <f>+B26/C26</f>
        <v>499.99999999999994</v>
      </c>
    </row>
    <row r="27" spans="1:9" ht="18.75" x14ac:dyDescent="0.3">
      <c r="A27" s="9" t="s">
        <v>37</v>
      </c>
      <c r="B27" s="21">
        <f>SUM(B2:B26)</f>
        <v>1406428</v>
      </c>
      <c r="C27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PRINTING </vt:lpstr>
      <vt:lpstr>PT-1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Waseem</dc:creator>
  <cp:lastModifiedBy>Faizan</cp:lastModifiedBy>
  <dcterms:created xsi:type="dcterms:W3CDTF">2024-03-04T09:25:14Z</dcterms:created>
  <dcterms:modified xsi:type="dcterms:W3CDTF">2026-05-09T10:07:26Z</dcterms:modified>
</cp:coreProperties>
</file>