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Z:\MOR Monthly Opreational Review\Monthly Opreational Review 2026\MOR APR 2026\"/>
    </mc:Choice>
  </mc:AlternateContent>
  <xr:revisionPtr revIDLastSave="0" documentId="13_ncr:1_{BAC038A7-29F3-40E7-8B28-9C7AAA239ABF}" xr6:coauthVersionLast="47" xr6:coauthVersionMax="47" xr10:uidLastSave="{00000000-0000-0000-0000-000000000000}"/>
  <bookViews>
    <workbookView xWindow="-120" yWindow="-120" windowWidth="29040" windowHeight="15840" activeTab="3" xr2:uid="{D5A8C7AC-0657-4633-96F8-5EEEB3F008B2}"/>
  </bookViews>
  <sheets>
    <sheet name="PT" sheetId="2" r:id="rId1"/>
    <sheet name="LD PRO" sheetId="10" r:id="rId2"/>
    <sheet name="WOR" sheetId="4" r:id="rId3"/>
    <sheet name="MOR" sheetId="11" r:id="rId4"/>
    <sheet name="KWH" sheetId="12" r:id="rId5"/>
  </sheets>
  <externalReferences>
    <externalReference r:id="rId6"/>
    <externalReference r:id="rId7"/>
  </externalReferences>
  <definedNames>
    <definedName name="_xlnm._FilterDatabase" localSheetId="1" hidden="1">'LD PRO'!$A$1:$AF$1</definedName>
    <definedName name="_xlnm._FilterDatabase" localSheetId="0" hidden="1">PT!$A$2:$AF$1862</definedName>
    <definedName name="Slicer_WEEK_NO.">#N/A</definedName>
  </definedNames>
  <calcPr calcId="191029"/>
  <pivotCaches>
    <pivotCache cacheId="59"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 i="11" l="1"/>
  <c r="G16" i="11"/>
  <c r="G17" i="11" s="1"/>
  <c r="F16" i="11"/>
  <c r="E16" i="11"/>
  <c r="D16" i="11"/>
  <c r="C16" i="11"/>
  <c r="E202" i="12"/>
  <c r="E201" i="12"/>
  <c r="E200" i="12"/>
  <c r="E199" i="12"/>
  <c r="E9" i="11"/>
  <c r="D9" i="11"/>
  <c r="C9" i="11"/>
  <c r="E198" i="12"/>
  <c r="E197" i="12"/>
  <c r="E196" i="12"/>
  <c r="E195" i="12"/>
  <c r="E194" i="12"/>
  <c r="E193" i="12"/>
  <c r="E192" i="12"/>
  <c r="E191" i="12"/>
  <c r="E190" i="12"/>
  <c r="E189" i="12"/>
  <c r="E188" i="12"/>
  <c r="E187" i="12"/>
  <c r="E186" i="12"/>
  <c r="E185" i="12"/>
  <c r="A179" i="12"/>
  <c r="A180" i="12" s="1"/>
  <c r="A181" i="12" s="1"/>
  <c r="A182" i="12" s="1"/>
  <c r="A183" i="12" s="1"/>
  <c r="A184" i="12" s="1"/>
  <c r="A178" i="12"/>
  <c r="E177" i="12"/>
  <c r="E176" i="12"/>
  <c r="E175" i="12"/>
  <c r="E174" i="12"/>
  <c r="E173" i="12"/>
  <c r="U351" i="10"/>
  <c r="U352" i="10" s="1"/>
  <c r="M351" i="10"/>
  <c r="M352" i="10" s="1"/>
  <c r="F351" i="10"/>
  <c r="F352" i="10" s="1"/>
  <c r="V350" i="10"/>
  <c r="V351" i="10" s="1"/>
  <c r="V352" i="10" s="1"/>
  <c r="U350" i="10"/>
  <c r="T350" i="10"/>
  <c r="T351" i="10" s="1"/>
  <c r="T352" i="10" s="1"/>
  <c r="S350" i="10"/>
  <c r="S351" i="10" s="1"/>
  <c r="S352" i="10" s="1"/>
  <c r="R350" i="10"/>
  <c r="R351" i="10" s="1"/>
  <c r="R352" i="10" s="1"/>
  <c r="Q350" i="10"/>
  <c r="Q351" i="10" s="1"/>
  <c r="Q352" i="10" s="1"/>
  <c r="P350" i="10"/>
  <c r="P351" i="10" s="1"/>
  <c r="P352" i="10" s="1"/>
  <c r="O350" i="10"/>
  <c r="O351" i="10" s="1"/>
  <c r="O352" i="10" s="1"/>
  <c r="N350" i="10"/>
  <c r="N351" i="10" s="1"/>
  <c r="M350" i="10"/>
  <c r="L350" i="10"/>
  <c r="L351" i="10" s="1"/>
  <c r="L352" i="10" s="1"/>
  <c r="H350" i="10"/>
  <c r="H351" i="10" s="1"/>
  <c r="H352" i="10" s="1"/>
  <c r="G350" i="10"/>
  <c r="G351" i="10" s="1"/>
  <c r="G352" i="10" s="1"/>
  <c r="F350" i="10"/>
  <c r="J25" i="11" l="1"/>
  <c r="J17" i="11"/>
  <c r="G9" i="4" l="1"/>
  <c r="J9" i="4"/>
  <c r="D9" i="4"/>
  <c r="C9" i="4"/>
  <c r="I9" i="4" l="1"/>
  <c r="H9" i="4"/>
  <c r="F9" i="4"/>
  <c r="E169" i="12" l="1"/>
  <c r="C15" i="11" l="1" a="1"/>
  <c r="C15" i="11" s="1"/>
  <c r="E168" i="12"/>
  <c r="E167" i="12"/>
  <c r="E166" i="12"/>
  <c r="E165" i="12"/>
  <c r="E164" i="12"/>
  <c r="E163" i="12"/>
  <c r="E162" i="12"/>
  <c r="E161" i="12"/>
  <c r="K25" i="11" l="1"/>
  <c r="K17" i="11"/>
  <c r="L25" i="11" l="1"/>
  <c r="L17" i="11"/>
  <c r="M25" i="11" l="1"/>
  <c r="M17" i="11"/>
  <c r="I4" i="4" l="1"/>
  <c r="F4" i="4"/>
  <c r="N25" i="11" l="1"/>
  <c r="N17" i="11"/>
  <c r="D40" i="4" l="1"/>
  <c r="D39" i="4"/>
  <c r="D8" i="4" l="1"/>
  <c r="G22" i="4" l="1"/>
  <c r="O25" i="11" l="1"/>
  <c r="O17" i="11"/>
  <c r="I22" i="4" l="1"/>
  <c r="I6" i="11" l="1"/>
  <c r="I4" i="11"/>
  <c r="P27" i="11"/>
  <c r="P25" i="11"/>
  <c r="Q18" i="11"/>
  <c r="P17" i="11"/>
  <c r="C14" i="4" l="1"/>
  <c r="C8" i="11" l="1"/>
  <c r="C4" i="4"/>
  <c r="C17" i="11"/>
  <c r="C6" i="11"/>
  <c r="C7" i="11" s="1"/>
  <c r="C4" i="11"/>
  <c r="C5" i="11" s="1"/>
  <c r="V25" i="11"/>
  <c r="W22" i="11"/>
  <c r="I22" i="11"/>
  <c r="W17" i="11"/>
  <c r="W18" i="11" s="1"/>
  <c r="W10" i="11"/>
  <c r="V10" i="11"/>
  <c r="D3" i="11"/>
  <c r="D17" i="11" l="1"/>
  <c r="D6" i="11"/>
  <c r="D7" i="11" s="1"/>
  <c r="D8" i="11"/>
  <c r="D4" i="11"/>
  <c r="D5" i="11" s="1"/>
  <c r="C18" i="11"/>
  <c r="W25" i="11"/>
  <c r="C10" i="11"/>
  <c r="E3" i="11"/>
  <c r="D10" i="11" l="1"/>
  <c r="D18" i="11"/>
  <c r="E8" i="11"/>
  <c r="E4" i="11"/>
  <c r="E6" i="11"/>
  <c r="F3" i="11"/>
  <c r="F9" i="11" s="1"/>
  <c r="I19" i="11"/>
  <c r="E17" i="11" l="1"/>
  <c r="E18" i="11" s="1"/>
  <c r="F17" i="11"/>
  <c r="E7" i="11"/>
  <c r="E5" i="11"/>
  <c r="E10" i="11"/>
  <c r="F8" i="11"/>
  <c r="F4" i="11"/>
  <c r="F5" i="11" s="1"/>
  <c r="F6" i="11"/>
  <c r="F7" i="11" s="1"/>
  <c r="G3" i="11"/>
  <c r="G13" i="11" l="1" a="1"/>
  <c r="G13" i="11" s="1"/>
  <c r="G11" i="11"/>
  <c r="P28" i="11"/>
  <c r="F10" i="11"/>
  <c r="G6" i="11"/>
  <c r="G9" i="11"/>
  <c r="H9" i="11" s="1"/>
  <c r="G8" i="11"/>
  <c r="H8" i="11" s="1"/>
  <c r="B26" i="11" s="1"/>
  <c r="G4" i="11"/>
  <c r="G5" i="11" s="1"/>
  <c r="F18" i="11"/>
  <c r="P29" i="11" l="1"/>
  <c r="H15" i="11" s="1"/>
  <c r="G10" i="11"/>
  <c r="G18" i="11"/>
  <c r="H17" i="11"/>
  <c r="I18" i="11" s="1"/>
  <c r="H4" i="11"/>
  <c r="G7" i="11"/>
  <c r="H6" i="11"/>
  <c r="G12" i="11"/>
  <c r="I14" i="11" l="1"/>
  <c r="C26" i="11"/>
  <c r="C11" i="11" s="1"/>
  <c r="C13" i="11" s="1" a="1"/>
  <c r="C13" i="11" s="1"/>
  <c r="F26" i="11"/>
  <c r="F11" i="11" s="1"/>
  <c r="F13" i="11" s="1" a="1"/>
  <c r="F13" i="11" s="1"/>
  <c r="E26" i="11"/>
  <c r="E11" i="11" s="1"/>
  <c r="E13" i="11" s="1" a="1"/>
  <c r="E13" i="11" s="1"/>
  <c r="D26" i="11"/>
  <c r="D11" i="11" s="1"/>
  <c r="D13" i="11" s="1" a="1"/>
  <c r="D13" i="11" s="1"/>
  <c r="I8" i="11"/>
  <c r="C5" i="4"/>
  <c r="C8" i="4"/>
  <c r="C6" i="4"/>
  <c r="H13" i="11" l="1"/>
  <c r="E12" i="11"/>
  <c r="F12" i="11"/>
  <c r="D12" i="11"/>
  <c r="C7" i="4"/>
  <c r="C16" i="4" l="1"/>
  <c r="C15" i="4"/>
  <c r="X1860" i="2" l="1"/>
  <c r="X1858" i="2"/>
  <c r="Y1630" i="2" l="1"/>
  <c r="N17" i="4" l="1"/>
  <c r="AA293" i="2"/>
  <c r="AA126" i="2" l="1"/>
  <c r="D3" i="4" l="1"/>
  <c r="D4" i="4" l="1"/>
  <c r="D6" i="4"/>
  <c r="E3" i="4"/>
  <c r="F3" i="4" l="1"/>
  <c r="F6" i="4"/>
  <c r="F7" i="4" s="1"/>
  <c r="F8" i="4"/>
  <c r="D7" i="4"/>
  <c r="D5" i="4"/>
  <c r="E8" i="4"/>
  <c r="E4" i="4"/>
  <c r="E5" i="4" s="1"/>
  <c r="E6" i="4"/>
  <c r="E7" i="4" s="1"/>
  <c r="G3" i="4"/>
  <c r="F5" i="4" l="1"/>
  <c r="G8" i="4"/>
  <c r="G6" i="4"/>
  <c r="G4" i="4"/>
  <c r="G5" i="4" s="1"/>
  <c r="H3" i="4"/>
  <c r="H4" i="4" l="1"/>
  <c r="H8" i="4"/>
  <c r="H6" i="4"/>
  <c r="H7" i="4" s="1"/>
  <c r="G7" i="4"/>
  <c r="I3" i="4"/>
  <c r="J3" i="4" l="1"/>
  <c r="H5" i="4"/>
  <c r="I8" i="4"/>
  <c r="I5" i="4"/>
  <c r="I6" i="4"/>
  <c r="J6" i="4" l="1"/>
  <c r="J4" i="4"/>
  <c r="J8" i="4"/>
  <c r="K8" i="4" s="1"/>
  <c r="I7" i="4"/>
  <c r="L15" i="4" l="1"/>
  <c r="J5" i="4"/>
  <c r="K4" i="4"/>
  <c r="L4" i="4" s="1"/>
  <c r="J7" i="4"/>
  <c r="K6" i="4"/>
  <c r="L6" i="4" s="1"/>
  <c r="O8" i="4" l="1"/>
  <c r="C19" i="4"/>
  <c r="C11" i="4" s="1"/>
  <c r="D19" i="4"/>
  <c r="D11" i="4" s="1"/>
  <c r="H19" i="4"/>
  <c r="H11" i="4" s="1"/>
  <c r="F19" i="4"/>
  <c r="F11" i="4" s="1"/>
  <c r="J19" i="4"/>
  <c r="J11" i="4" s="1"/>
  <c r="G19" i="4"/>
  <c r="G11" i="4" s="1"/>
  <c r="G13" i="4" s="1" a="1"/>
  <c r="G13" i="4" s="1"/>
  <c r="E19" i="4"/>
  <c r="E11" i="4" s="1"/>
  <c r="I19" i="4"/>
  <c r="I11" i="4" s="1"/>
  <c r="F16" i="4"/>
  <c r="J16" i="4"/>
  <c r="E17" i="4"/>
  <c r="J17" i="4" s="1"/>
  <c r="P16" i="4"/>
  <c r="K16" i="4" l="1"/>
  <c r="K11" i="4"/>
  <c r="H13" i="4" a="1"/>
  <c r="H13" i="4" s="1"/>
  <c r="H12" i="4"/>
  <c r="D13" i="4" a="1"/>
  <c r="D13" i="4" s="1"/>
  <c r="D12" i="4"/>
  <c r="J13" i="4" a="1"/>
  <c r="J13" i="4" s="1"/>
  <c r="J12" i="4"/>
  <c r="C13" i="4" a="1"/>
  <c r="C13" i="4" s="1"/>
  <c r="C12" i="4"/>
  <c r="I13" i="4" a="1"/>
  <c r="I13" i="4" s="1"/>
  <c r="I12" i="4"/>
  <c r="F13" i="4" a="1"/>
  <c r="F13" i="4" s="1"/>
  <c r="F12" i="4"/>
  <c r="E13" i="4" a="1"/>
  <c r="E13" i="4" s="1"/>
  <c r="E12" i="4"/>
  <c r="G12" i="4"/>
  <c r="O21" i="4" l="1"/>
  <c r="K13" i="4" a="1"/>
  <c r="K13" i="4" s="1"/>
  <c r="Q10" i="4" s="1"/>
  <c r="Q11" i="4" s="1"/>
  <c r="L13" i="4" s="1"/>
  <c r="L11" i="4"/>
  <c r="Q9" i="4"/>
  <c r="C12" i="11" l="1"/>
  <c r="H11" i="11"/>
  <c r="I11" i="11" s="1"/>
  <c r="H27" i="11" l="1"/>
  <c r="H28" i="11" s="1"/>
  <c r="H29" i="11" s="1"/>
  <c r="I13" i="11" s="1"/>
  <c r="I25" i="11" s="1"/>
  <c r="E29" i="11"/>
  <c r="D10" i="4" l="1"/>
  <c r="I10" i="4"/>
  <c r="G10" i="4"/>
  <c r="F10" i="4"/>
  <c r="H10" i="4"/>
  <c r="J10" i="4"/>
  <c r="E9" i="4"/>
  <c r="E10" i="4" s="1"/>
  <c r="C10" i="4" l="1"/>
  <c r="K9" i="4"/>
  <c r="L8" i="4" s="1"/>
  <c r="O14" i="4" l="1"/>
  <c r="O18" i="4" s="1"/>
  <c r="Q16" i="4" s="1"/>
  <c r="C18" i="4" s="1"/>
  <c r="K18" i="4" s="1"/>
  <c r="N18" i="4" s="1"/>
  <c r="P18" i="4"/>
  <c r="Q18"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24223F-8A12-4046-B67D-147C9C9B37A0}" keepAlive="1" name="Query - LD PRD" description="Connection to the 'LD PRD' query in the workbook." type="5" refreshedVersion="7" background="1" saveData="1">
    <dbPr connection="Provider=Microsoft.Mashup.OleDb.1;Data Source=$Workbook$;Location=&quot;LD PRD&quot;;Extended Properties=&quot;&quot;" command="SELECT * FROM [LD PR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<sst xmlns="http://schemas.openxmlformats.org/spreadsheetml/2006/main" count="2816" uniqueCount="194">
  <si>
    <t>DAILY OPERATION REVIEW FLEXO PRINTING</t>
  </si>
  <si>
    <t>DATE</t>
  </si>
  <si>
    <t>MACHINES</t>
  </si>
  <si>
    <t>TOTAL MIN</t>
  </si>
  <si>
    <t>P.S   HOURS</t>
  </si>
  <si>
    <t>الیکٹریکل</t>
  </si>
  <si>
    <t>مکینیکل</t>
  </si>
  <si>
    <t>U.P.S HOURS</t>
  </si>
  <si>
    <t>T.S HOURS</t>
  </si>
  <si>
    <t>RUNNING</t>
  </si>
  <si>
    <t>TOTAL HOURS</t>
  </si>
  <si>
    <t>KWH/KG</t>
  </si>
  <si>
    <t>LABOR/KG</t>
  </si>
  <si>
    <t>TOTAL PRODUCTION</t>
  </si>
  <si>
    <t>TARGET</t>
  </si>
  <si>
    <t>RECIPE</t>
  </si>
  <si>
    <t>REMARKS</t>
  </si>
  <si>
    <t>ACTION</t>
  </si>
  <si>
    <t>ACTION PLAN</t>
  </si>
  <si>
    <t>WASTAGE/KGs</t>
  </si>
  <si>
    <t>KPI</t>
  </si>
  <si>
    <t>%</t>
  </si>
  <si>
    <t>PLANED STOPPAGE HOURS</t>
  </si>
  <si>
    <t>UNPLANED STOPPAGE HOURS</t>
  </si>
  <si>
    <t>TOTAL PRODUCTION KGs</t>
  </si>
  <si>
    <t>TARGET PRODUCTION</t>
  </si>
  <si>
    <t>PRODUCTION ACHIVEMENT %</t>
  </si>
  <si>
    <t>WASTAGE/KGS</t>
  </si>
  <si>
    <t>WASTAGE/VALUE</t>
  </si>
  <si>
    <t>TOTAL KWH</t>
  </si>
  <si>
    <t>VARIABLE</t>
  </si>
  <si>
    <t>FIXED</t>
  </si>
  <si>
    <t>FOREMANS</t>
  </si>
  <si>
    <t>STAFF</t>
  </si>
  <si>
    <t>WEEK NO.</t>
  </si>
  <si>
    <t>ھیٹنگ</t>
  </si>
  <si>
    <t xml:space="preserve">سائز کم </t>
  </si>
  <si>
    <t>مال میں مسئلہ</t>
  </si>
  <si>
    <t>STORE EXPENSE</t>
  </si>
  <si>
    <t>WEEKLY OPERATION REVIEW LD DEPARTMENT</t>
  </si>
  <si>
    <t>SHIFT</t>
  </si>
  <si>
    <t xml:space="preserve"> سیمپل چیک</t>
  </si>
  <si>
    <t xml:space="preserve">ڈایی صاف </t>
  </si>
  <si>
    <t xml:space="preserve"> جالی تبدیل</t>
  </si>
  <si>
    <t xml:space="preserve"> سائز تبدیل</t>
  </si>
  <si>
    <t>کوالٹی CHANGE</t>
  </si>
  <si>
    <t>A</t>
  </si>
  <si>
    <t>B</t>
  </si>
  <si>
    <t>TARGET PRODUCTION (95 %)</t>
  </si>
  <si>
    <t>WASTE RATE</t>
  </si>
  <si>
    <t>WASTE LOSS</t>
  </si>
  <si>
    <t>TOTAL KWH @ 44</t>
  </si>
  <si>
    <t>REPAIR</t>
  </si>
  <si>
    <t>KWH VALUE (26/KG)</t>
  </si>
  <si>
    <t>store</t>
  </si>
  <si>
    <t>repair</t>
  </si>
  <si>
    <t>PLANED STOPPAGE % (2 %)</t>
  </si>
  <si>
    <t>PP+LD PRO</t>
  </si>
  <si>
    <t>PP PRO</t>
  </si>
  <si>
    <t>LD PRO</t>
  </si>
  <si>
    <t>LD STORE EX</t>
  </si>
  <si>
    <t>PP STORE EX</t>
  </si>
  <si>
    <t>TOTAL EX</t>
  </si>
  <si>
    <t>MCH#</t>
  </si>
  <si>
    <t>8</t>
  </si>
  <si>
    <t>2</t>
  </si>
  <si>
    <t>Sum of کوالٹی CHANGE</t>
  </si>
  <si>
    <t>Sum of ھیٹنگ</t>
  </si>
  <si>
    <t>Sum of MACHINE ON</t>
  </si>
  <si>
    <t>Sum of TOTAL MIN</t>
  </si>
  <si>
    <t>Sum of P.S   HOURS</t>
  </si>
  <si>
    <t>Sum of الیکٹریکل</t>
  </si>
  <si>
    <t xml:space="preserve">Sum of ڈایی صاف </t>
  </si>
  <si>
    <t>Sum of مکینیکل</t>
  </si>
  <si>
    <t xml:space="preserve">Sum of سائز کم </t>
  </si>
  <si>
    <t>Sum of  سیمپل چیک</t>
  </si>
  <si>
    <t>Sum of OTHER</t>
  </si>
  <si>
    <t>Sum of  جالی تبدیل</t>
  </si>
  <si>
    <t>Sum of TREET</t>
  </si>
  <si>
    <t>Sum of TOTAL MIN2</t>
  </si>
  <si>
    <t>Sum of U.P.S HOURS</t>
  </si>
  <si>
    <t>Sum of T.S HOURS</t>
  </si>
  <si>
    <t>Sum of RUNNING</t>
  </si>
  <si>
    <t>Sum of WASTAGE/KGs</t>
  </si>
  <si>
    <t>Sum of TOTAL PRODUCTION</t>
  </si>
  <si>
    <t>Sum of TARGET</t>
  </si>
  <si>
    <t>Count of ACTION PLAN</t>
  </si>
  <si>
    <t>Count of ACTION</t>
  </si>
  <si>
    <t>Count of REMARKS</t>
  </si>
  <si>
    <t>Sum of NET WEIGHT</t>
  </si>
  <si>
    <t>Values</t>
  </si>
  <si>
    <t>Min of WEEK NO.</t>
  </si>
  <si>
    <t>Min of TOTAL HOURS</t>
  </si>
  <si>
    <t>Sum of PRD WATSE</t>
  </si>
  <si>
    <t>Min of RECIPE</t>
  </si>
  <si>
    <t>Sum of KWH/KG</t>
  </si>
  <si>
    <t>MONTHLY OPERATION REVIEW LD DEPARTMENT</t>
  </si>
  <si>
    <t>MONTH OF AUG</t>
  </si>
  <si>
    <t>MONTH OF JUL</t>
  </si>
  <si>
    <t>MONTH OF JUN</t>
  </si>
  <si>
    <t>MONTH OF MAY</t>
  </si>
  <si>
    <t>MONTH OF APR</t>
  </si>
  <si>
    <t>MONTH OF MAR</t>
  </si>
  <si>
    <t>MONTH OF FEB</t>
  </si>
  <si>
    <t>PLANED STOPPAGE  TARGET(2%)</t>
  </si>
  <si>
    <t>PRODUCTION ACHIVEMENT TARGET(95%)</t>
  </si>
  <si>
    <t>WASTE TARGET(4.5 % )</t>
  </si>
  <si>
    <t>KWH VALUE @ 44</t>
  </si>
  <si>
    <t>KWH VALUE TARGET(26/KG)</t>
  </si>
  <si>
    <t>STAFF+STORES</t>
  </si>
  <si>
    <t>WELFARE</t>
  </si>
  <si>
    <t>OVERHEADS</t>
  </si>
  <si>
    <t>ADMIN</t>
  </si>
  <si>
    <t>PACKING</t>
  </si>
  <si>
    <t>STORE &amp; SPARES</t>
  </si>
  <si>
    <t>FREIGHT</t>
  </si>
  <si>
    <t>CORE</t>
  </si>
  <si>
    <t>RM GENERAL</t>
  </si>
  <si>
    <t>OTHERS</t>
  </si>
  <si>
    <t>CONVERSION COST</t>
  </si>
  <si>
    <t>MONTH OF OCT</t>
  </si>
  <si>
    <t xml:space="preserve">  NET WEIGHT</t>
  </si>
  <si>
    <t xml:space="preserve">  PRD WATSE</t>
  </si>
  <si>
    <t xml:space="preserve">  کوالٹی CHANGE</t>
  </si>
  <si>
    <t xml:space="preserve">  ھیٹنگ</t>
  </si>
  <si>
    <t xml:space="preserve">  MACHINE ON</t>
  </si>
  <si>
    <t xml:space="preserve">  P.S   HOURS</t>
  </si>
  <si>
    <t xml:space="preserve">  الیکٹریکل</t>
  </si>
  <si>
    <t xml:space="preserve">  KWH/KG</t>
  </si>
  <si>
    <t xml:space="preserve">  ڈایی صاف </t>
  </si>
  <si>
    <t xml:space="preserve">  مکینیکل</t>
  </si>
  <si>
    <t xml:space="preserve">  سائز کم </t>
  </si>
  <si>
    <t xml:space="preserve">   سیمپل چیک</t>
  </si>
  <si>
    <t xml:space="preserve">  OTHER</t>
  </si>
  <si>
    <t xml:space="preserve">   جالی تبدیل</t>
  </si>
  <si>
    <t xml:space="preserve">  TREET</t>
  </si>
  <si>
    <t xml:space="preserve">  U.P.S HOURS</t>
  </si>
  <si>
    <t xml:space="preserve">  T.S HOURS</t>
  </si>
  <si>
    <t xml:space="preserve">  RUNNING</t>
  </si>
  <si>
    <t xml:space="preserve">  WASTAGE/KGs</t>
  </si>
  <si>
    <t xml:space="preserve">  TARGET</t>
  </si>
  <si>
    <t xml:space="preserve">  TOTAL </t>
  </si>
  <si>
    <t xml:space="preserve">  TOTAL 2</t>
  </si>
  <si>
    <t xml:space="preserve">  TOTAL HOURS</t>
  </si>
  <si>
    <t xml:space="preserve">  RECIPE</t>
  </si>
  <si>
    <t xml:space="preserve">  WEEK NO.</t>
  </si>
  <si>
    <t xml:space="preserve">  ACTION</t>
  </si>
  <si>
    <t xml:space="preserve">  REMARKS</t>
  </si>
  <si>
    <t xml:space="preserve">  TOTAL PRO</t>
  </si>
  <si>
    <t>WASTAGE/% (4.5 %)</t>
  </si>
  <si>
    <t>4</t>
  </si>
  <si>
    <t>tr#</t>
  </si>
  <si>
    <t>diff</t>
  </si>
  <si>
    <t>MONTH OF SEP</t>
  </si>
  <si>
    <t>ROLL WASTE</t>
  </si>
  <si>
    <t>MONTH OF NOV</t>
  </si>
  <si>
    <t>1</t>
  </si>
  <si>
    <t>MONTH OF DEC</t>
  </si>
  <si>
    <t>UNPLANED STOPPAGE % (1.5%)</t>
  </si>
  <si>
    <t>MONTH OF JAN</t>
  </si>
  <si>
    <t>PP</t>
  </si>
  <si>
    <t>LD</t>
  </si>
  <si>
    <t>WEEK</t>
  </si>
  <si>
    <t>LD RECIPE</t>
  </si>
  <si>
    <t>1-Oct-25</t>
  </si>
  <si>
    <t>2-Oct-25</t>
  </si>
  <si>
    <t>3-Oct-25</t>
  </si>
  <si>
    <t>4-Oct-25</t>
  </si>
  <si>
    <t>5-Oct-25</t>
  </si>
  <si>
    <t>6-Oct-25</t>
  </si>
  <si>
    <t>7-Oct-25</t>
  </si>
  <si>
    <t>8-Oct-25</t>
  </si>
  <si>
    <t>9-Oct-25</t>
  </si>
  <si>
    <t>10-Oct-25</t>
  </si>
  <si>
    <t>11-Oct-25</t>
  </si>
  <si>
    <t>12-Oct-25</t>
  </si>
  <si>
    <t>13-Oct-25</t>
  </si>
  <si>
    <t>14-Oct-25</t>
  </si>
  <si>
    <t>15-Oct-25</t>
  </si>
  <si>
    <t>16-Oct-25</t>
  </si>
  <si>
    <t>17-Oct-25</t>
  </si>
  <si>
    <t>18-Oct-25</t>
  </si>
  <si>
    <t>19-Oct-25</t>
  </si>
  <si>
    <t>5</t>
  </si>
  <si>
    <t>6</t>
  </si>
  <si>
    <t>UNPLANED STOPPAGE TARGET(1.5%)</t>
  </si>
  <si>
    <t>WEEK NO 16</t>
  </si>
  <si>
    <r>
      <t>SIZE CHANGE (</t>
    </r>
    <r>
      <rPr>
        <b/>
        <sz val="20"/>
        <color rgb="FF00B050"/>
        <rFont val="Calibri"/>
        <family val="2"/>
        <scheme val="minor"/>
      </rPr>
      <t>0.62%</t>
    </r>
    <r>
      <rPr>
        <b/>
        <sz val="20"/>
        <color theme="1"/>
        <rFont val="Calibri"/>
        <family val="2"/>
        <scheme val="minor"/>
      </rPr>
      <t>) MACHINE ON/OFF (</t>
    </r>
    <r>
      <rPr>
        <b/>
        <sz val="20"/>
        <color rgb="FF00B050"/>
        <rFont val="Calibri"/>
        <family val="2"/>
        <scheme val="minor"/>
      </rPr>
      <t>1.13%</t>
    </r>
    <r>
      <rPr>
        <b/>
        <sz val="20"/>
        <color theme="1"/>
        <rFont val="Calibri"/>
        <family val="2"/>
        <scheme val="minor"/>
      </rPr>
      <t>)</t>
    </r>
  </si>
  <si>
    <r>
      <t>MEHCANICAL ISSUE (</t>
    </r>
    <r>
      <rPr>
        <b/>
        <sz val="14"/>
        <color rgb="FF00B050"/>
        <rFont val="Calibri"/>
        <family val="2"/>
        <scheme val="minor"/>
      </rPr>
      <t>1.41%</t>
    </r>
    <r>
      <rPr>
        <b/>
        <sz val="14"/>
        <color theme="1"/>
        <rFont val="Calibri"/>
        <family val="2"/>
        <scheme val="minor"/>
      </rPr>
      <t>)  SIZE ISSUE (</t>
    </r>
    <r>
      <rPr>
        <b/>
        <sz val="14"/>
        <color rgb="FF00B050"/>
        <rFont val="Calibri"/>
        <family val="2"/>
        <scheme val="minor"/>
      </rPr>
      <t>0.04%</t>
    </r>
    <r>
      <rPr>
        <b/>
        <sz val="14"/>
        <color theme="1"/>
        <rFont val="Calibri"/>
        <family val="2"/>
        <scheme val="minor"/>
      </rPr>
      <t>) JALI CHANGE (</t>
    </r>
    <r>
      <rPr>
        <b/>
        <sz val="14"/>
        <color rgb="FF00B050"/>
        <rFont val="Calibri"/>
        <family val="2"/>
        <scheme val="minor"/>
      </rPr>
      <t>0.16%</t>
    </r>
    <r>
      <rPr>
        <b/>
        <sz val="14"/>
        <color theme="1"/>
        <rFont val="Calibri"/>
        <family val="2"/>
        <scheme val="minor"/>
      </rPr>
      <t>) TREET ISSUE (</t>
    </r>
    <r>
      <rPr>
        <b/>
        <sz val="14"/>
        <color rgb="FF00B050"/>
        <rFont val="Calibri"/>
        <family val="2"/>
        <scheme val="minor"/>
      </rPr>
      <t>0.07%</t>
    </r>
    <r>
      <rPr>
        <b/>
        <sz val="14"/>
        <color theme="1"/>
        <rFont val="Calibri"/>
        <family val="2"/>
        <scheme val="minor"/>
      </rPr>
      <t>) SAPMLE (</t>
    </r>
    <r>
      <rPr>
        <b/>
        <sz val="14"/>
        <color rgb="FF00B050"/>
        <rFont val="Calibri"/>
        <family val="2"/>
        <scheme val="minor"/>
      </rPr>
      <t>0.16%</t>
    </r>
    <r>
      <rPr>
        <b/>
        <sz val="14"/>
        <color theme="1"/>
        <rFont val="Calibri"/>
        <family val="2"/>
        <scheme val="minor"/>
      </rPr>
      <t>)</t>
    </r>
  </si>
  <si>
    <t>WEEK NO 17</t>
  </si>
  <si>
    <t>3</t>
  </si>
  <si>
    <t>7</t>
  </si>
  <si>
    <r>
      <t xml:space="preserve">Size Change </t>
    </r>
    <r>
      <rPr>
        <b/>
        <sz val="36"/>
        <color rgb="FF00B050"/>
        <rFont val="Calibri"/>
        <family val="2"/>
        <scheme val="minor"/>
      </rPr>
      <t>0.32%</t>
    </r>
    <r>
      <rPr>
        <b/>
        <sz val="36"/>
        <rFont val="Calibri"/>
        <family val="2"/>
        <scheme val="minor"/>
      </rPr>
      <t xml:space="preserve"> + MACHINE ON/OFF </t>
    </r>
    <r>
      <rPr>
        <b/>
        <sz val="36"/>
        <color rgb="FF00B050"/>
        <rFont val="Calibri"/>
        <family val="2"/>
        <scheme val="minor"/>
      </rPr>
      <t>0.67%</t>
    </r>
    <r>
      <rPr>
        <b/>
        <sz val="36"/>
        <color rgb="FFFF0000"/>
        <rFont val="Calibri"/>
        <family val="2"/>
        <scheme val="minor"/>
      </rPr>
      <t xml:space="preserve">  </t>
    </r>
    <r>
      <rPr>
        <b/>
        <sz val="36"/>
        <rFont val="Calibri"/>
        <family val="2"/>
        <scheme val="minor"/>
      </rPr>
      <t xml:space="preserve">       </t>
    </r>
  </si>
  <si>
    <r>
      <t xml:space="preserve"> DAI CLEAN (</t>
    </r>
    <r>
      <rPr>
        <b/>
        <sz val="28"/>
        <color rgb="FF00B050"/>
        <rFont val="Calibri"/>
        <family val="2"/>
        <scheme val="minor"/>
      </rPr>
      <t>0.01%</t>
    </r>
    <r>
      <rPr>
        <b/>
        <sz val="28"/>
        <color theme="1" tint="4.9989318521683403E-2"/>
        <rFont val="Calibri"/>
        <family val="2"/>
        <scheme val="minor"/>
      </rPr>
      <t>)</t>
    </r>
    <r>
      <rPr>
        <b/>
        <sz val="28"/>
        <color theme="1"/>
        <rFont val="Calibri"/>
        <family val="2"/>
        <scheme val="minor"/>
      </rPr>
      <t xml:space="preserve"> SIZE ISSUE(</t>
    </r>
    <r>
      <rPr>
        <b/>
        <sz val="28"/>
        <color rgb="FF00B050"/>
        <rFont val="Calibri"/>
        <family val="2"/>
        <scheme val="minor"/>
      </rPr>
      <t>0.04%</t>
    </r>
    <r>
      <rPr>
        <b/>
        <sz val="28"/>
        <color theme="1" tint="4.9989318521683403E-2"/>
        <rFont val="Calibri"/>
        <family val="2"/>
        <scheme val="minor"/>
      </rPr>
      <t>)</t>
    </r>
    <r>
      <rPr>
        <b/>
        <sz val="28"/>
        <color theme="1"/>
        <rFont val="Calibri"/>
        <family val="2"/>
        <scheme val="minor"/>
      </rPr>
      <t xml:space="preserve"> JALI CHANGE (</t>
    </r>
    <r>
      <rPr>
        <b/>
        <sz val="28"/>
        <color rgb="FF00B050"/>
        <rFont val="Calibri"/>
        <family val="2"/>
        <scheme val="minor"/>
      </rPr>
      <t>0.11 %</t>
    </r>
    <r>
      <rPr>
        <b/>
        <sz val="28"/>
        <color theme="1"/>
        <rFont val="Calibri"/>
        <family val="2"/>
        <scheme val="minor"/>
      </rPr>
      <t>),MECHANICAL ISSUE (</t>
    </r>
    <r>
      <rPr>
        <b/>
        <sz val="28"/>
        <color rgb="FF00B050"/>
        <rFont val="Calibri"/>
        <family val="2"/>
        <scheme val="minor"/>
      </rPr>
      <t>0.50%</t>
    </r>
    <r>
      <rPr>
        <b/>
        <sz val="28"/>
        <color theme="1"/>
        <rFont val="Calibri"/>
        <family val="2"/>
        <scheme val="minor"/>
      </rPr>
      <t>) SAMPLE (</t>
    </r>
    <r>
      <rPr>
        <b/>
        <sz val="28"/>
        <color rgb="FF00B050"/>
        <rFont val="Calibri"/>
        <family val="2"/>
        <scheme val="minor"/>
      </rPr>
      <t>0.14%</t>
    </r>
    <r>
      <rPr>
        <b/>
        <sz val="28"/>
        <color theme="1"/>
        <rFont val="Calibri"/>
        <family val="2"/>
        <scheme val="minor"/>
      </rPr>
      <t>) OTHERS (</t>
    </r>
    <r>
      <rPr>
        <b/>
        <sz val="28"/>
        <color rgb="FF00B050"/>
        <rFont val="Calibri"/>
        <family val="2"/>
        <scheme val="minor"/>
      </rPr>
      <t>0.19%</t>
    </r>
    <r>
      <rPr>
        <b/>
        <sz val="28"/>
        <color theme="1"/>
        <rFont val="Calibri"/>
        <family val="2"/>
        <scheme val="minor"/>
      </rPr>
      <t>) TREET ISSUE(</t>
    </r>
    <r>
      <rPr>
        <b/>
        <sz val="28"/>
        <color rgb="FF00B050"/>
        <rFont val="Calibri"/>
        <family val="2"/>
        <scheme val="minor"/>
      </rPr>
      <t>0.01%</t>
    </r>
    <r>
      <rPr>
        <b/>
        <sz val="28"/>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</si>
</sst>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1" formatCode="_(* #,##0_);_(* \(#,##0\);_(* &quot;-&quot;_);_(@_)"/>
    <numFmt numFmtId="43" formatCode="_(* #,##0.00_);_(* \(#,##0.00\);_(* &quot;-&quot;??_);_(@_)"/>
    <numFmt numFmtId="164" formatCode="[$-409]d/mmm/yy;@"/>
    <numFmt numFmtId="165" formatCode="0.0"/>
    <numFmt numFmtId="166" formatCode="[$-F800]dddd\,\ mmmm\ dd\,\ yyyy"/>
    <numFmt numFmtId="167" formatCode="&quot;Rs.&quot;\ 0.00&quot;/&quot;&quot;KG&quot;"/>
    <numFmt numFmtId="168" formatCode="&quot;WEEK&quot;&quot; &quot;&quot;#&quot;&quot; &quot;0"/>
    <numFmt numFmtId="169" formatCode="&quot;MC&quot;&quot; &quot;&quot;#&quot;&quot; &quot;0"/>
    <numFmt numFmtId="170" formatCode="&quot;LAST WEEK CONVERSION&quot;\ 0.00"/>
    <numFmt numFmtId="171" formatCode="0.0%"/>
    <numFmt numFmtId="172" formatCode="_(* #,##0_);_(* \(#,##0\);_(* &quot;-&quot;??_);_(@_)"/>
    <numFmt numFmtId="173" formatCode="&quot;CONVERSION&quot;\ 0.00"/>
    <numFmt numFmtId="174" formatCode="0.000"/>
    <numFmt numFmtId="175" formatCode="[$-409]mmm/yy;@"/>
  </numFmts>
  <fonts count="41"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24"/>
      <color theme="1"/>
      <name val="Calibri"/>
      <family val="2"/>
      <scheme val="minor"/>
    </font>
    <font>
      <b/>
      <sz val="11"/>
      <color theme="1"/>
      <name val="Jameel Noori Nastaleeq"/>
    </font>
    <font>
      <sz val="11"/>
      <color theme="1"/>
      <name val="Jameel Noori Nastaleeq"/>
    </font>
    <font>
      <b/>
      <sz val="18"/>
      <color theme="0"/>
      <name val="Calibri"/>
      <family val="2"/>
      <scheme val="minor"/>
    </font>
    <font>
      <b/>
      <sz val="12"/>
      <color theme="1"/>
      <name val="Jameel Noori Nastaleeq"/>
    </font>
    <font>
      <sz val="8"/>
      <name val="Calibri"/>
      <family val="2"/>
      <scheme val="minor"/>
    </font>
    <font>
      <sz val="14"/>
      <color theme="1"/>
      <name val="Calibri"/>
      <family val="2"/>
      <scheme val="minor"/>
    </font>
    <font>
      <b/>
      <sz val="18"/>
      <color theme="1"/>
      <name val="Calibri"/>
      <family val="2"/>
      <scheme val="minor"/>
    </font>
    <font>
      <b/>
      <sz val="16"/>
      <color theme="1"/>
      <name val="Calibri"/>
      <family val="2"/>
      <scheme val="minor"/>
    </font>
    <font>
      <b/>
      <sz val="18"/>
      <name val="Calibri"/>
      <family val="2"/>
      <scheme val="minor"/>
    </font>
    <font>
      <b/>
      <sz val="18"/>
      <color rgb="FF00B050"/>
      <name val="Calibri"/>
      <family val="2"/>
      <scheme val="minor"/>
    </font>
    <font>
      <b/>
      <sz val="18"/>
      <color rgb="FFFF0000"/>
      <name val="Calibri"/>
      <family val="2"/>
      <scheme val="minor"/>
    </font>
    <font>
      <sz val="16"/>
      <color theme="1"/>
      <name val="Calibri"/>
      <family val="2"/>
      <scheme val="minor"/>
    </font>
    <font>
      <sz val="18"/>
      <color theme="1"/>
      <name val="Calibri"/>
      <family val="2"/>
      <scheme val="minor"/>
    </font>
    <font>
      <b/>
      <sz val="20"/>
      <color theme="1"/>
      <name val="Calibri"/>
      <family val="2"/>
      <scheme val="minor"/>
    </font>
    <font>
      <b/>
      <sz val="20"/>
      <color rgb="FF00B050"/>
      <name val="Calibri"/>
      <family val="2"/>
      <scheme val="minor"/>
    </font>
    <font>
      <sz val="12"/>
      <color theme="1"/>
      <name val="Calibri"/>
      <family val="2"/>
      <scheme val="minor"/>
    </font>
    <font>
      <b/>
      <sz val="28"/>
      <color theme="0"/>
      <name val="Calibri"/>
      <family val="2"/>
      <scheme val="minor"/>
    </font>
    <font>
      <b/>
      <sz val="24"/>
      <color theme="0"/>
      <name val="Calibri"/>
      <family val="2"/>
      <scheme val="minor"/>
    </font>
    <font>
      <b/>
      <sz val="28"/>
      <color theme="1"/>
      <name val="Calibri"/>
      <family val="2"/>
      <scheme val="minor"/>
    </font>
    <font>
      <b/>
      <sz val="36"/>
      <color theme="1"/>
      <name val="Calibri"/>
      <family val="2"/>
      <scheme val="minor"/>
    </font>
    <font>
      <b/>
      <sz val="36"/>
      <name val="Calibri"/>
      <family val="2"/>
      <scheme val="minor"/>
    </font>
    <font>
      <b/>
      <sz val="36"/>
      <color rgb="FFFF0000"/>
      <name val="Calibri"/>
      <family val="2"/>
      <scheme val="minor"/>
    </font>
    <font>
      <b/>
      <sz val="36"/>
      <color rgb="FF00B050"/>
      <name val="Calibri"/>
      <family val="2"/>
      <scheme val="minor"/>
    </font>
    <font>
      <b/>
      <sz val="24"/>
      <color rgb="FF00B050"/>
      <name val="Calibri"/>
      <family val="2"/>
      <scheme val="minor"/>
    </font>
    <font>
      <b/>
      <sz val="28"/>
      <color rgb="FF00B050"/>
      <name val="Calibri"/>
      <family val="2"/>
      <scheme val="minor"/>
    </font>
    <font>
      <b/>
      <sz val="24"/>
      <color rgb="FFFF0000"/>
      <name val="Calibri"/>
      <family val="2"/>
      <scheme val="minor"/>
    </font>
    <font>
      <sz val="16"/>
      <color theme="1"/>
      <name val="Jameel Noori Nastaleeq"/>
    </font>
    <font>
      <b/>
      <sz val="36"/>
      <color rgb="FFEE0000"/>
      <name val="Calibri"/>
      <family val="2"/>
      <scheme val="minor"/>
    </font>
    <font>
      <b/>
      <sz val="22"/>
      <color theme="1"/>
      <name val="Calibri"/>
      <family val="2"/>
      <scheme val="minor"/>
    </font>
    <font>
      <sz val="28"/>
      <color theme="1"/>
      <name val="Calibri"/>
      <family val="2"/>
      <scheme val="minor"/>
    </font>
    <font>
      <sz val="36"/>
      <color theme="1"/>
      <name val="Calibri"/>
      <family val="2"/>
      <scheme val="minor"/>
    </font>
    <font>
      <sz val="26"/>
      <color theme="1"/>
      <name val="Calibri"/>
      <family val="2"/>
      <scheme val="minor"/>
    </font>
    <font>
      <sz val="20"/>
      <color theme="1"/>
      <name val="Calibri"/>
      <family val="2"/>
      <scheme val="minor"/>
    </font>
    <font>
      <sz val="22"/>
      <color theme="1"/>
      <name val="Calibri"/>
      <family val="2"/>
      <scheme val="minor"/>
    </font>
    <font>
      <b/>
      <sz val="28"/>
      <color theme="1" tint="4.9989318521683403E-2"/>
      <name val="Calibri"/>
      <family val="2"/>
      <scheme val="minor"/>
    </font>
    <font>
      <b/>
      <sz val="14"/>
      <color rgb="FF00B050"/>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rgb="FFFFC00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top/>
      <bottom style="thin">
        <color theme="4" tint="0.39997558519241921"/>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86">
    <xf numFmtId="0" fontId="0" fillId="0" borderId="0" xfId="0"/>
    <xf numFmtId="0" fontId="2" fillId="2" borderId="0" xfId="0" applyFont="1" applyFill="1" applyAlignment="1">
      <alignment horizontal="center" vertical="center"/>
    </xf>
    <xf numFmtId="0" fontId="4" fillId="2" borderId="0" xfId="0" applyFont="1" applyFill="1" applyAlignment="1">
      <alignment horizontal="center" vertical="center"/>
    </xf>
    <xf numFmtId="164" fontId="2" fillId="2" borderId="0" xfId="0" applyNumberFormat="1" applyFont="1" applyFill="1" applyAlignment="1">
      <alignment horizontal="center" vertical="center"/>
    </xf>
    <xf numFmtId="2" fontId="0" fillId="0" borderId="1" xfId="0" applyNumberFormat="1" applyBorder="1" applyAlignment="1">
      <alignment horizontal="center" vertical="center"/>
    </xf>
    <xf numFmtId="164"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2" borderId="0" xfId="0" applyFont="1" applyFill="1" applyAlignment="1">
      <alignment horizontal="center" vertical="center"/>
    </xf>
    <xf numFmtId="0" fontId="6" fillId="0" borderId="0" xfId="0" applyFont="1"/>
    <xf numFmtId="0" fontId="0" fillId="0" borderId="4" xfId="0" applyBorder="1"/>
    <xf numFmtId="0" fontId="0" fillId="0" borderId="23" xfId="0" applyBorder="1"/>
    <xf numFmtId="0" fontId="2" fillId="0" borderId="0" xfId="0" applyFont="1" applyAlignment="1">
      <alignment horizontal="center"/>
    </xf>
    <xf numFmtId="165" fontId="0" fillId="0" borderId="0" xfId="0" applyNumberFormat="1"/>
    <xf numFmtId="164"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0" borderId="0" xfId="0" applyAlignment="1">
      <alignment vertical="center"/>
    </xf>
    <xf numFmtId="1" fontId="0" fillId="0" borderId="3" xfId="0" applyNumberFormat="1" applyBorder="1" applyAlignment="1">
      <alignment horizontal="center" vertical="center"/>
    </xf>
    <xf numFmtId="0" fontId="5" fillId="3" borderId="1" xfId="0" applyFont="1" applyFill="1" applyBorder="1" applyAlignment="1">
      <alignment horizontal="center" vertical="center" wrapText="1"/>
    </xf>
    <xf numFmtId="0" fontId="5" fillId="0" borderId="0" xfId="0" applyFont="1"/>
    <xf numFmtId="0" fontId="8" fillId="2" borderId="0" xfId="0" applyFont="1" applyFill="1" applyAlignment="1">
      <alignment horizontal="center" vertical="center"/>
    </xf>
    <xf numFmtId="0" fontId="8" fillId="3" borderId="1" xfId="0" applyFont="1" applyFill="1" applyBorder="1" applyAlignment="1">
      <alignment horizontal="center" vertical="center"/>
    </xf>
    <xf numFmtId="2" fontId="8" fillId="0" borderId="1" xfId="0" applyNumberFormat="1" applyFont="1" applyBorder="1" applyAlignment="1">
      <alignment horizontal="center" vertical="center"/>
    </xf>
    <xf numFmtId="0" fontId="8" fillId="0" borderId="0" xfId="0" applyFont="1"/>
    <xf numFmtId="2" fontId="2" fillId="0" borderId="1" xfId="0" applyNumberFormat="1" applyFont="1" applyBorder="1" applyAlignment="1">
      <alignment horizontal="center" vertical="center"/>
    </xf>
    <xf numFmtId="2" fontId="0" fillId="0" borderId="0" xfId="0" applyNumberFormat="1"/>
    <xf numFmtId="0" fontId="13" fillId="0" borderId="1" xfId="1" applyNumberFormat="1" applyFont="1" applyBorder="1" applyAlignment="1">
      <alignment horizontal="center" vertical="center"/>
    </xf>
    <xf numFmtId="10" fontId="13" fillId="0" borderId="1" xfId="1" applyNumberFormat="1" applyFont="1" applyBorder="1" applyAlignment="1">
      <alignment horizontal="center" vertical="center"/>
    </xf>
    <xf numFmtId="2" fontId="13" fillId="0" borderId="1" xfId="0" applyNumberFormat="1" applyFont="1" applyBorder="1" applyAlignment="1">
      <alignment vertical="center"/>
    </xf>
    <xf numFmtId="0" fontId="16" fillId="0" borderId="0" xfId="0" applyFont="1"/>
    <xf numFmtId="0" fontId="17" fillId="0" borderId="0" xfId="0" applyFont="1"/>
    <xf numFmtId="165" fontId="17" fillId="0" borderId="0" xfId="0" applyNumberFormat="1" applyFont="1"/>
    <xf numFmtId="10" fontId="0" fillId="0" borderId="0" xfId="0" applyNumberFormat="1"/>
    <xf numFmtId="171" fontId="10" fillId="0" borderId="0" xfId="0" applyNumberFormat="1" applyFont="1"/>
    <xf numFmtId="2" fontId="17" fillId="0" borderId="0" xfId="0" applyNumberFormat="1" applyFont="1"/>
    <xf numFmtId="0" fontId="11" fillId="0" borderId="0" xfId="0" applyFont="1"/>
    <xf numFmtId="165" fontId="11" fillId="0" borderId="0" xfId="0" applyNumberFormat="1" applyFont="1"/>
    <xf numFmtId="0" fontId="20" fillId="0" borderId="1" xfId="0" applyFont="1" applyBorder="1" applyAlignment="1">
      <alignment horizontal="center" vertical="center"/>
    </xf>
    <xf numFmtId="0" fontId="2" fillId="0" borderId="3" xfId="0" applyFont="1" applyBorder="1" applyAlignment="1">
      <alignment horizontal="center" vertical="center"/>
    </xf>
    <xf numFmtId="0" fontId="7" fillId="4" borderId="0" xfId="0" applyFont="1" applyFill="1" applyAlignment="1">
      <alignment horizontal="center" vertical="center"/>
    </xf>
    <xf numFmtId="169" fontId="12" fillId="5" borderId="7" xfId="0" applyNumberFormat="1" applyFont="1" applyFill="1" applyBorder="1" applyAlignment="1">
      <alignment horizontal="center" vertical="center"/>
    </xf>
    <xf numFmtId="165" fontId="13" fillId="0" borderId="1" xfId="0" applyNumberFormat="1" applyFont="1" applyBorder="1" applyAlignment="1">
      <alignment horizontal="center" vertical="center"/>
    </xf>
    <xf numFmtId="0" fontId="21" fillId="4" borderId="0" xfId="0" applyFont="1" applyFill="1" applyAlignment="1">
      <alignment horizontal="center" vertical="center"/>
    </xf>
    <xf numFmtId="172" fontId="25" fillId="0" borderId="1" xfId="2" applyNumberFormat="1" applyFont="1" applyBorder="1" applyAlignment="1">
      <alignment horizontal="center" vertical="center"/>
    </xf>
    <xf numFmtId="2" fontId="25" fillId="0" borderId="14" xfId="0" applyNumberFormat="1" applyFont="1" applyBorder="1" applyAlignment="1">
      <alignment horizontal="center" vertical="center"/>
    </xf>
    <xf numFmtId="2" fontId="24" fillId="0" borderId="14" xfId="0" applyNumberFormat="1" applyFont="1" applyBorder="1" applyAlignment="1">
      <alignment horizontal="center" vertical="center"/>
    </xf>
    <xf numFmtId="2" fontId="4" fillId="0" borderId="14" xfId="0" applyNumberFormat="1" applyFont="1" applyBorder="1" applyAlignment="1">
      <alignment horizontal="center" vertical="center"/>
    </xf>
    <xf numFmtId="10" fontId="27" fillId="0" borderId="16" xfId="1" applyNumberFormat="1" applyFont="1" applyBorder="1" applyAlignment="1">
      <alignment horizontal="center" vertical="center"/>
    </xf>
    <xf numFmtId="10" fontId="26" fillId="0" borderId="16" xfId="1" applyNumberFormat="1" applyFont="1" applyBorder="1" applyAlignment="1">
      <alignment horizontal="center" vertical="center"/>
    </xf>
    <xf numFmtId="10" fontId="28" fillId="0" borderId="17" xfId="1" applyNumberFormat="1" applyFont="1" applyBorder="1" applyAlignment="1">
      <alignment horizontal="center" vertical="center"/>
    </xf>
    <xf numFmtId="2" fontId="25" fillId="0" borderId="1" xfId="0" applyNumberFormat="1" applyFont="1" applyBorder="1" applyAlignment="1">
      <alignment horizontal="center" vertical="center"/>
    </xf>
    <xf numFmtId="2" fontId="2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10" fontId="27" fillId="0" borderId="17" xfId="1" applyNumberFormat="1" applyFont="1" applyBorder="1" applyAlignment="1">
      <alignment horizontal="center" vertical="center"/>
    </xf>
    <xf numFmtId="172" fontId="4" fillId="0" borderId="1" xfId="2" applyNumberFormat="1" applyFont="1" applyBorder="1" applyAlignment="1">
      <alignment horizontal="center" vertical="center"/>
    </xf>
    <xf numFmtId="0" fontId="24" fillId="0" borderId="4" xfId="0" applyFont="1" applyBorder="1" applyAlignment="1">
      <alignment horizontal="center" vertical="center"/>
    </xf>
    <xf numFmtId="10" fontId="25" fillId="0" borderId="1" xfId="1" applyNumberFormat="1" applyFont="1" applyBorder="1" applyAlignment="1">
      <alignment horizontal="center" vertical="center"/>
    </xf>
    <xf numFmtId="10" fontId="26" fillId="0" borderId="18" xfId="1" applyNumberFormat="1" applyFont="1" applyBorder="1" applyAlignment="1">
      <alignment horizontal="center" vertical="center"/>
    </xf>
    <xf numFmtId="10" fontId="30" fillId="0" borderId="1" xfId="1" applyNumberFormat="1" applyFont="1" applyBorder="1" applyAlignment="1">
      <alignment horizontal="center" vertical="center"/>
    </xf>
    <xf numFmtId="0" fontId="31" fillId="0" borderId="4" xfId="0" applyFont="1" applyBorder="1" applyAlignment="1">
      <alignment horizontal="center"/>
    </xf>
    <xf numFmtId="167" fontId="26" fillId="0" borderId="19" xfId="1" applyNumberFormat="1" applyFont="1" applyBorder="1" applyAlignment="1">
      <alignment horizontal="center" vertical="center"/>
    </xf>
    <xf numFmtId="167" fontId="30" fillId="0" borderId="19" xfId="1" applyNumberFormat="1" applyFont="1" applyBorder="1" applyAlignment="1">
      <alignment horizontal="center" vertical="center"/>
    </xf>
    <xf numFmtId="172" fontId="25" fillId="0" borderId="19" xfId="2" applyNumberFormat="1" applyFont="1" applyBorder="1" applyAlignment="1">
      <alignment horizontal="center" vertical="center"/>
    </xf>
    <xf numFmtId="172" fontId="0" fillId="0" borderId="4" xfId="0" applyNumberFormat="1" applyBorder="1"/>
    <xf numFmtId="172" fontId="4" fillId="0" borderId="19" xfId="2" applyNumberFormat="1" applyFont="1" applyBorder="1" applyAlignment="1">
      <alignment horizontal="center" vertical="center"/>
    </xf>
    <xf numFmtId="167" fontId="27" fillId="0" borderId="19" xfId="1" applyNumberFormat="1" applyFont="1" applyBorder="1" applyAlignment="1">
      <alignment horizontal="center" vertical="center"/>
    </xf>
    <xf numFmtId="167" fontId="32" fillId="0" borderId="19" xfId="1" applyNumberFormat="1" applyFont="1" applyBorder="1" applyAlignment="1">
      <alignment horizontal="center" vertical="center"/>
    </xf>
    <xf numFmtId="167" fontId="28" fillId="0" borderId="19" xfId="1" applyNumberFormat="1" applyFont="1" applyBorder="1" applyAlignment="1">
      <alignment horizontal="center" vertical="center"/>
    </xf>
    <xf numFmtId="0" fontId="34" fillId="0" borderId="1" xfId="0" applyFont="1" applyBorder="1"/>
    <xf numFmtId="167" fontId="23" fillId="9" borderId="30" xfId="0" applyNumberFormat="1" applyFont="1" applyFill="1" applyBorder="1" applyAlignment="1">
      <alignment horizontal="center" vertical="center"/>
    </xf>
    <xf numFmtId="167" fontId="33" fillId="9" borderId="30" xfId="0" applyNumberFormat="1" applyFont="1" applyFill="1" applyBorder="1" applyAlignment="1">
      <alignment horizontal="center" vertical="center"/>
    </xf>
    <xf numFmtId="43" fontId="25" fillId="0" borderId="1" xfId="2" applyFont="1" applyBorder="1" applyAlignment="1">
      <alignment horizontal="center" vertical="center"/>
    </xf>
    <xf numFmtId="0" fontId="35" fillId="0" borderId="0" xfId="0" applyFont="1"/>
    <xf numFmtId="0" fontId="2" fillId="10" borderId="31" xfId="0" applyFont="1" applyFill="1" applyBorder="1" applyAlignment="1">
      <alignment horizontal="center"/>
    </xf>
    <xf numFmtId="0" fontId="0" fillId="0" borderId="0" xfId="0" pivotButton="1" applyAlignment="1">
      <alignment horizontal="center"/>
    </xf>
    <xf numFmtId="14" fontId="0" fillId="0" borderId="0" xfId="0" applyNumberFormat="1" applyAlignment="1">
      <alignment horizontal="center"/>
    </xf>
    <xf numFmtId="2" fontId="0" fillId="0" borderId="0" xfId="0" applyNumberFormat="1" applyAlignment="1">
      <alignment horizontal="center"/>
    </xf>
    <xf numFmtId="0" fontId="3" fillId="0" borderId="8" xfId="0" applyFont="1" applyBorder="1" applyAlignment="1">
      <alignment horizontal="center"/>
    </xf>
    <xf numFmtId="0" fontId="3" fillId="0" borderId="6" xfId="0" applyFont="1" applyBorder="1" applyAlignment="1">
      <alignment horizontal="center"/>
    </xf>
    <xf numFmtId="2" fontId="17" fillId="0" borderId="11" xfId="0" applyNumberFormat="1" applyFont="1" applyBorder="1"/>
    <xf numFmtId="0" fontId="10" fillId="0" borderId="32" xfId="0" applyFont="1" applyBorder="1"/>
    <xf numFmtId="2" fontId="11" fillId="0" borderId="32" xfId="0" applyNumberFormat="1" applyFont="1" applyBorder="1" applyAlignment="1">
      <alignment horizontal="center"/>
    </xf>
    <xf numFmtId="170" fontId="11" fillId="0" borderId="32" xfId="0" applyNumberFormat="1" applyFont="1" applyBorder="1" applyAlignment="1">
      <alignment horizontal="center" vertical="center"/>
    </xf>
    <xf numFmtId="0" fontId="3" fillId="0" borderId="32" xfId="0" applyFont="1" applyBorder="1" applyAlignment="1">
      <alignment horizontal="center" vertical="center"/>
    </xf>
    <xf numFmtId="173" fontId="11" fillId="7" borderId="11" xfId="0" applyNumberFormat="1" applyFont="1" applyFill="1" applyBorder="1" applyAlignment="1">
      <alignment horizontal="center" vertical="center"/>
    </xf>
    <xf numFmtId="2" fontId="13" fillId="0" borderId="14" xfId="0" applyNumberFormat="1" applyFont="1" applyBorder="1" applyAlignment="1">
      <alignment horizontal="center" vertical="center"/>
    </xf>
    <xf numFmtId="2" fontId="11" fillId="0" borderId="15" xfId="0" applyNumberFormat="1" applyFont="1" applyBorder="1" applyAlignment="1">
      <alignment horizontal="center" vertical="center"/>
    </xf>
    <xf numFmtId="10" fontId="14" fillId="0" borderId="4" xfId="1" applyNumberFormat="1" applyFont="1" applyBorder="1" applyAlignment="1">
      <alignment horizontal="center" vertical="center"/>
    </xf>
    <xf numFmtId="0" fontId="13" fillId="0" borderId="4" xfId="1" applyNumberFormat="1" applyFont="1" applyBorder="1" applyAlignment="1">
      <alignment horizontal="center" vertical="center"/>
    </xf>
    <xf numFmtId="0" fontId="11" fillId="0" borderId="4" xfId="1" applyNumberFormat="1" applyFont="1" applyBorder="1" applyAlignment="1">
      <alignment horizontal="center" vertical="center"/>
    </xf>
    <xf numFmtId="167" fontId="11" fillId="0" borderId="23" xfId="1" applyNumberFormat="1" applyFont="1" applyBorder="1" applyAlignment="1">
      <alignment horizontal="center" vertical="center"/>
    </xf>
    <xf numFmtId="0" fontId="12" fillId="0" borderId="0" xfId="0" applyFont="1"/>
    <xf numFmtId="2" fontId="12" fillId="0" borderId="0" xfId="0" applyNumberFormat="1" applyFont="1"/>
    <xf numFmtId="0" fontId="24" fillId="6" borderId="13" xfId="0" applyFont="1" applyFill="1" applyBorder="1" applyAlignment="1">
      <alignment horizontal="center" vertical="center"/>
    </xf>
    <xf numFmtId="10" fontId="27" fillId="0" borderId="1" xfId="1" applyNumberFormat="1" applyFont="1" applyBorder="1" applyAlignment="1">
      <alignment horizontal="center" vertical="center"/>
    </xf>
    <xf numFmtId="1" fontId="13" fillId="0" borderId="1" xfId="0" applyNumberFormat="1" applyFont="1" applyBorder="1" applyAlignment="1">
      <alignment horizontal="center" vertical="center"/>
    </xf>
    <xf numFmtId="0" fontId="36" fillId="0" borderId="0" xfId="0" applyFont="1"/>
    <xf numFmtId="165" fontId="36" fillId="0" borderId="0" xfId="0" applyNumberFormat="1" applyFont="1"/>
    <xf numFmtId="43" fontId="36" fillId="0" borderId="0" xfId="0" applyNumberFormat="1" applyFont="1"/>
    <xf numFmtId="10" fontId="26" fillId="0" borderId="2" xfId="1" applyNumberFormat="1" applyFont="1" applyBorder="1" applyAlignment="1">
      <alignment horizontal="center" vertical="center"/>
    </xf>
    <xf numFmtId="10" fontId="27" fillId="0" borderId="2" xfId="1" applyNumberFormat="1" applyFont="1" applyBorder="1" applyAlignment="1">
      <alignment horizontal="center" vertical="center"/>
    </xf>
    <xf numFmtId="2" fontId="25" fillId="0" borderId="35" xfId="0" applyNumberFormat="1" applyFont="1" applyBorder="1" applyAlignment="1">
      <alignment horizontal="center" vertical="center"/>
    </xf>
    <xf numFmtId="167" fontId="23" fillId="9" borderId="37" xfId="0" applyNumberFormat="1" applyFont="1" applyFill="1" applyBorder="1" applyAlignment="1">
      <alignment horizontal="center" vertical="center"/>
    </xf>
    <xf numFmtId="168" fontId="23" fillId="5" borderId="1" xfId="0" applyNumberFormat="1" applyFont="1" applyFill="1" applyBorder="1" applyAlignment="1">
      <alignment horizontal="center" vertical="center"/>
    </xf>
    <xf numFmtId="10" fontId="26" fillId="0" borderId="1" xfId="1" applyNumberFormat="1" applyFont="1" applyBorder="1" applyAlignment="1">
      <alignment horizontal="center" vertical="center"/>
    </xf>
    <xf numFmtId="167" fontId="27" fillId="0" borderId="1" xfId="1" applyNumberFormat="1" applyFont="1" applyBorder="1" applyAlignment="1">
      <alignment horizontal="center" vertical="center"/>
    </xf>
    <xf numFmtId="2" fontId="23" fillId="0" borderId="1" xfId="0" applyNumberFormat="1" applyFont="1" applyBorder="1" applyAlignment="1">
      <alignment horizontal="center" vertical="center"/>
    </xf>
    <xf numFmtId="2" fontId="23" fillId="8" borderId="1" xfId="0" applyNumberFormat="1" applyFont="1" applyFill="1" applyBorder="1" applyAlignment="1">
      <alignment horizontal="center" vertical="center"/>
    </xf>
    <xf numFmtId="0" fontId="23" fillId="6" borderId="1" xfId="0" applyFont="1" applyFill="1" applyBorder="1" applyAlignment="1">
      <alignment horizontal="center" vertical="center"/>
    </xf>
    <xf numFmtId="0" fontId="23" fillId="8" borderId="1" xfId="0" applyFont="1" applyFill="1" applyBorder="1" applyAlignment="1">
      <alignment horizontal="center" vertical="center"/>
    </xf>
    <xf numFmtId="0" fontId="23" fillId="7" borderId="1" xfId="0" applyFont="1" applyFill="1" applyBorder="1" applyAlignment="1">
      <alignment horizontal="center" vertical="center"/>
    </xf>
    <xf numFmtId="2" fontId="23" fillId="7" borderId="1" xfId="0" applyNumberFormat="1" applyFont="1" applyFill="1" applyBorder="1" applyAlignment="1">
      <alignment horizontal="center" vertical="center"/>
    </xf>
    <xf numFmtId="168" fontId="23" fillId="5" borderId="2" xfId="0" applyNumberFormat="1" applyFont="1" applyFill="1" applyBorder="1" applyAlignment="1">
      <alignment horizontal="center" vertical="center"/>
    </xf>
    <xf numFmtId="43" fontId="25" fillId="0" borderId="2" xfId="2" applyFont="1" applyBorder="1" applyAlignment="1">
      <alignment horizontal="center" vertical="center"/>
    </xf>
    <xf numFmtId="172" fontId="25" fillId="0" borderId="2" xfId="2" applyNumberFormat="1" applyFont="1" applyBorder="1" applyAlignment="1">
      <alignment horizontal="center" vertical="center"/>
    </xf>
    <xf numFmtId="167" fontId="26" fillId="0" borderId="4" xfId="1" applyNumberFormat="1" applyFont="1" applyBorder="1" applyAlignment="1">
      <alignment horizontal="center" vertical="center"/>
    </xf>
    <xf numFmtId="172" fontId="25" fillId="0" borderId="4" xfId="2" applyNumberFormat="1" applyFont="1" applyBorder="1" applyAlignment="1">
      <alignment horizontal="center" vertical="center"/>
    </xf>
    <xf numFmtId="2" fontId="23" fillId="0" borderId="2" xfId="0" applyNumberFormat="1" applyFont="1" applyBorder="1" applyAlignment="1">
      <alignment horizontal="center" vertical="center"/>
    </xf>
    <xf numFmtId="0" fontId="23" fillId="6" borderId="2" xfId="0" applyFont="1" applyFill="1" applyBorder="1" applyAlignment="1">
      <alignment horizontal="center" vertical="center"/>
    </xf>
    <xf numFmtId="0" fontId="23" fillId="0" borderId="34" xfId="0" applyFont="1" applyBorder="1"/>
    <xf numFmtId="0" fontId="23" fillId="0" borderId="22" xfId="0" applyFont="1" applyBorder="1"/>
    <xf numFmtId="2" fontId="23" fillId="0" borderId="22" xfId="0" applyNumberFormat="1" applyFont="1" applyBorder="1"/>
    <xf numFmtId="167" fontId="23" fillId="9" borderId="23" xfId="0" applyNumberFormat="1" applyFont="1" applyFill="1" applyBorder="1" applyAlignment="1">
      <alignment horizontal="center" vertical="center"/>
    </xf>
    <xf numFmtId="0" fontId="37" fillId="0" borderId="0" xfId="0" applyFont="1"/>
    <xf numFmtId="43" fontId="37" fillId="0" borderId="0" xfId="0" applyNumberFormat="1" applyFont="1"/>
    <xf numFmtId="174" fontId="17" fillId="0" borderId="0" xfId="0" applyNumberFormat="1" applyFont="1"/>
    <xf numFmtId="10" fontId="14" fillId="0" borderId="1" xfId="1" applyNumberFormat="1" applyFont="1" applyBorder="1" applyAlignment="1">
      <alignment horizontal="center" vertical="center"/>
    </xf>
    <xf numFmtId="10" fontId="15" fillId="0" borderId="4" xfId="1" applyNumberFormat="1" applyFont="1" applyBorder="1" applyAlignment="1">
      <alignment horizontal="center" vertical="center"/>
    </xf>
    <xf numFmtId="167" fontId="11" fillId="0" borderId="4" xfId="1" applyNumberFormat="1" applyFont="1" applyBorder="1" applyAlignment="1">
      <alignment horizontal="center" vertical="center"/>
    </xf>
    <xf numFmtId="167" fontId="11" fillId="0" borderId="1" xfId="1" applyNumberFormat="1" applyFont="1" applyBorder="1" applyAlignment="1">
      <alignment horizontal="center" vertical="center"/>
    </xf>
    <xf numFmtId="0" fontId="11" fillId="6" borderId="1" xfId="0" applyFont="1" applyFill="1" applyBorder="1" applyAlignment="1">
      <alignment horizontal="center" vertical="center"/>
    </xf>
    <xf numFmtId="10" fontId="15" fillId="0" borderId="1" xfId="1" applyNumberFormat="1" applyFont="1" applyBorder="1" applyAlignment="1">
      <alignment horizontal="center" vertical="center"/>
    </xf>
    <xf numFmtId="2" fontId="13" fillId="0" borderId="1" xfId="0" applyNumberFormat="1" applyFont="1" applyBorder="1" applyAlignment="1">
      <alignment horizontal="center" vertical="center"/>
    </xf>
    <xf numFmtId="0" fontId="11" fillId="0" borderId="22" xfId="0" applyFont="1" applyBorder="1" applyAlignment="1">
      <alignment horizontal="center" vertical="center"/>
    </xf>
    <xf numFmtId="167" fontId="14" fillId="0" borderId="1" xfId="1" applyNumberFormat="1" applyFont="1" applyBorder="1" applyAlignment="1">
      <alignment horizontal="center" vertical="center"/>
    </xf>
    <xf numFmtId="0" fontId="3" fillId="5" borderId="8" xfId="0" applyFont="1" applyFill="1" applyBorder="1" applyAlignment="1">
      <alignment horizontal="center" vertical="center"/>
    </xf>
    <xf numFmtId="167" fontId="14" fillId="0" borderId="4" xfId="1" applyNumberFormat="1" applyFont="1" applyBorder="1" applyAlignment="1">
      <alignment horizontal="center" vertical="center"/>
    </xf>
    <xf numFmtId="0" fontId="11" fillId="0" borderId="32" xfId="0" applyFont="1" applyBorder="1" applyAlignment="1">
      <alignment horizontal="center" vertical="center"/>
    </xf>
    <xf numFmtId="169" fontId="12" fillId="5" borderId="26" xfId="0" applyNumberFormat="1" applyFont="1" applyFill="1" applyBorder="1" applyAlignment="1">
      <alignment horizontal="center" vertical="center"/>
    </xf>
    <xf numFmtId="2" fontId="13" fillId="0" borderId="35" xfId="0" applyNumberFormat="1" applyFont="1" applyBorder="1" applyAlignment="1">
      <alignment horizontal="center" vertical="center"/>
    </xf>
    <xf numFmtId="10" fontId="14" fillId="0" borderId="3" xfId="1" applyNumberFormat="1" applyFont="1" applyBorder="1" applyAlignment="1">
      <alignment horizontal="center" vertical="center"/>
    </xf>
    <xf numFmtId="2" fontId="13" fillId="0" borderId="3" xfId="0" applyNumberFormat="1" applyFont="1" applyBorder="1" applyAlignment="1">
      <alignment horizontal="center" vertical="center"/>
    </xf>
    <xf numFmtId="10" fontId="15" fillId="0" borderId="3" xfId="1" applyNumberFormat="1" applyFont="1" applyBorder="1" applyAlignment="1">
      <alignment horizontal="center" vertical="center"/>
    </xf>
    <xf numFmtId="1" fontId="13" fillId="0" borderId="3" xfId="0" applyNumberFormat="1" applyFont="1" applyBorder="1" applyAlignment="1">
      <alignment horizontal="center" vertical="center"/>
    </xf>
    <xf numFmtId="165" fontId="13" fillId="0" borderId="3" xfId="0" applyNumberFormat="1" applyFont="1" applyBorder="1" applyAlignment="1">
      <alignment horizontal="center" vertical="center"/>
    </xf>
    <xf numFmtId="0" fontId="11" fillId="6" borderId="40" xfId="0" applyFont="1" applyFill="1" applyBorder="1" applyAlignment="1">
      <alignment horizontal="center" vertical="center"/>
    </xf>
    <xf numFmtId="172" fontId="38" fillId="0" borderId="0" xfId="0" applyNumberFormat="1" applyFont="1"/>
    <xf numFmtId="10" fontId="14" fillId="0" borderId="39" xfId="1" applyNumberFormat="1" applyFont="1" applyBorder="1" applyAlignment="1">
      <alignment horizontal="center" vertical="center"/>
    </xf>
    <xf numFmtId="0" fontId="11" fillId="0" borderId="39" xfId="1" applyNumberFormat="1" applyFont="1" applyBorder="1" applyAlignment="1">
      <alignment horizontal="center" vertical="center"/>
    </xf>
    <xf numFmtId="10" fontId="27" fillId="0" borderId="4" xfId="1" applyNumberFormat="1" applyFont="1" applyBorder="1" applyAlignment="1">
      <alignment horizontal="center" vertical="center"/>
    </xf>
    <xf numFmtId="10" fontId="26" fillId="0" borderId="4" xfId="1" applyNumberFormat="1" applyFont="1" applyBorder="1" applyAlignment="1">
      <alignment horizontal="center" vertical="center"/>
    </xf>
    <xf numFmtId="167" fontId="26" fillId="0" borderId="1" xfId="1" applyNumberFormat="1" applyFont="1" applyBorder="1" applyAlignment="1">
      <alignment horizontal="center" vertical="center"/>
    </xf>
    <xf numFmtId="10" fontId="27" fillId="0" borderId="0" xfId="1" applyNumberFormat="1" applyFont="1" applyBorder="1" applyAlignment="1">
      <alignment horizontal="center" vertical="center"/>
    </xf>
    <xf numFmtId="2" fontId="25" fillId="0" borderId="3" xfId="0" applyNumberFormat="1" applyFont="1" applyBorder="1" applyAlignment="1">
      <alignment horizontal="center" vertical="center"/>
    </xf>
    <xf numFmtId="10" fontId="27" fillId="0" borderId="42" xfId="1" applyNumberFormat="1" applyFont="1" applyBorder="1" applyAlignment="1">
      <alignment horizontal="center" vertical="center"/>
    </xf>
    <xf numFmtId="172" fontId="25" fillId="0" borderId="3" xfId="2" applyNumberFormat="1" applyFont="1" applyBorder="1" applyAlignment="1">
      <alignment horizontal="center" vertical="center"/>
    </xf>
    <xf numFmtId="10" fontId="26" fillId="0" borderId="41" xfId="1" applyNumberFormat="1" applyFont="1" applyBorder="1" applyAlignment="1">
      <alignment horizontal="center" vertical="center"/>
    </xf>
    <xf numFmtId="167" fontId="26" fillId="0" borderId="20" xfId="1" applyNumberFormat="1" applyFont="1" applyBorder="1" applyAlignment="1">
      <alignment horizontal="center" vertical="center"/>
    </xf>
    <xf numFmtId="172" fontId="25" fillId="0" borderId="20" xfId="2" applyNumberFormat="1" applyFont="1" applyBorder="1" applyAlignment="1">
      <alignment horizontal="center" vertical="center"/>
    </xf>
    <xf numFmtId="2" fontId="25" fillId="0" borderId="43" xfId="0" applyNumberFormat="1" applyFont="1" applyBorder="1" applyAlignment="1">
      <alignment horizontal="center" vertical="center"/>
    </xf>
    <xf numFmtId="2" fontId="25" fillId="0" borderId="4" xfId="0" applyNumberFormat="1" applyFont="1" applyBorder="1" applyAlignment="1">
      <alignment horizontal="center" vertical="center"/>
    </xf>
    <xf numFmtId="167" fontId="26" fillId="0" borderId="2" xfId="1" applyNumberFormat="1" applyFont="1" applyBorder="1" applyAlignment="1">
      <alignment horizontal="center" vertical="center"/>
    </xf>
    <xf numFmtId="14" fontId="0" fillId="0" borderId="0" xfId="0" applyNumberFormat="1"/>
    <xf numFmtId="10" fontId="26" fillId="0" borderId="3" xfId="1" applyNumberFormat="1" applyFont="1" applyBorder="1" applyAlignment="1">
      <alignment horizontal="center" vertical="center"/>
    </xf>
    <xf numFmtId="10" fontId="27" fillId="0" borderId="3" xfId="1" applyNumberFormat="1" applyFont="1" applyBorder="1" applyAlignment="1">
      <alignment horizontal="center" vertical="center"/>
    </xf>
    <xf numFmtId="167" fontId="26" fillId="0" borderId="3" xfId="1" applyNumberFormat="1" applyFont="1" applyBorder="1" applyAlignment="1">
      <alignment horizontal="center" vertical="center"/>
    </xf>
    <xf numFmtId="167" fontId="27" fillId="0" borderId="3" xfId="1" applyNumberFormat="1" applyFont="1" applyBorder="1" applyAlignment="1">
      <alignment horizontal="center" vertical="center"/>
    </xf>
    <xf numFmtId="2" fontId="25" fillId="0" borderId="45" xfId="0" applyNumberFormat="1" applyFont="1" applyBorder="1" applyAlignment="1">
      <alignment horizontal="center" vertical="center"/>
    </xf>
    <xf numFmtId="10" fontId="26" fillId="0" borderId="12" xfId="1" applyNumberFormat="1" applyFont="1" applyBorder="1" applyAlignment="1">
      <alignment horizontal="center" vertical="center"/>
    </xf>
    <xf numFmtId="2" fontId="25" fillId="0" borderId="46" xfId="0" applyNumberFormat="1" applyFont="1" applyBorder="1" applyAlignment="1">
      <alignment horizontal="center" vertical="center"/>
    </xf>
    <xf numFmtId="10" fontId="27" fillId="0" borderId="46" xfId="1" applyNumberFormat="1" applyFont="1" applyBorder="1" applyAlignment="1">
      <alignment horizontal="center" vertical="center"/>
    </xf>
    <xf numFmtId="172" fontId="25" fillId="0" borderId="46" xfId="2" applyNumberFormat="1" applyFont="1" applyBorder="1" applyAlignment="1">
      <alignment horizontal="center" vertical="center"/>
    </xf>
    <xf numFmtId="10" fontId="26" fillId="0" borderId="46" xfId="1" applyNumberFormat="1" applyFont="1" applyBorder="1" applyAlignment="1">
      <alignment horizontal="center" vertical="center"/>
    </xf>
    <xf numFmtId="167" fontId="26" fillId="0" borderId="46" xfId="1" applyNumberFormat="1" applyFont="1" applyBorder="1" applyAlignment="1">
      <alignment horizontal="center" vertical="center"/>
    </xf>
    <xf numFmtId="167" fontId="27" fillId="0" borderId="46" xfId="1" applyNumberFormat="1" applyFont="1" applyBorder="1" applyAlignment="1">
      <alignment horizontal="center" vertical="center"/>
    </xf>
    <xf numFmtId="167" fontId="23" fillId="9" borderId="11" xfId="0" applyNumberFormat="1" applyFont="1" applyFill="1" applyBorder="1" applyAlignment="1">
      <alignment horizontal="center" vertical="center"/>
    </xf>
    <xf numFmtId="172" fontId="25" fillId="0" borderId="48" xfId="2" applyNumberFormat="1" applyFont="1" applyBorder="1" applyAlignment="1">
      <alignment horizontal="center" vertical="center"/>
    </xf>
    <xf numFmtId="43" fontId="25" fillId="0" borderId="48" xfId="2" applyFont="1" applyBorder="1" applyAlignment="1">
      <alignment horizontal="center" vertical="center"/>
    </xf>
    <xf numFmtId="10" fontId="27" fillId="0" borderId="12" xfId="1" applyNumberFormat="1" applyFont="1" applyBorder="1" applyAlignment="1">
      <alignment horizontal="center" vertical="center"/>
    </xf>
    <xf numFmtId="0" fontId="24" fillId="11" borderId="0" xfId="0" applyFont="1" applyFill="1"/>
    <xf numFmtId="172" fontId="24" fillId="11" borderId="0" xfId="0" applyNumberFormat="1" applyFont="1" applyFill="1"/>
    <xf numFmtId="0" fontId="4" fillId="5" borderId="9" xfId="0" applyFont="1" applyFill="1" applyBorder="1" applyAlignment="1">
      <alignment horizontal="center" vertical="center"/>
    </xf>
    <xf numFmtId="0" fontId="0" fillId="0" borderId="1" xfId="0" applyBorder="1"/>
    <xf numFmtId="0" fontId="11" fillId="6" borderId="13" xfId="0" applyFont="1" applyFill="1" applyBorder="1" applyAlignment="1">
      <alignment horizontal="center" vertical="center"/>
    </xf>
    <xf numFmtId="0" fontId="11" fillId="6" borderId="38" xfId="0" applyFont="1" applyFill="1" applyBorder="1" applyAlignment="1">
      <alignment horizontal="center" vertical="center"/>
    </xf>
    <xf numFmtId="0" fontId="11" fillId="6" borderId="9" xfId="0" applyFont="1" applyFill="1" applyBorder="1" applyAlignment="1">
      <alignment horizontal="center" vertical="center"/>
    </xf>
    <xf numFmtId="0" fontId="11" fillId="6" borderId="21" xfId="0" applyFont="1" applyFill="1" applyBorder="1" applyAlignment="1">
      <alignment horizontal="center" vertical="center"/>
    </xf>
    <xf numFmtId="166" fontId="7" fillId="4" borderId="8" xfId="0" applyNumberFormat="1" applyFont="1" applyFill="1" applyBorder="1" applyAlignment="1">
      <alignment horizontal="center" vertical="center"/>
    </xf>
    <xf numFmtId="166" fontId="7" fillId="4" borderId="11" xfId="0" applyNumberFormat="1"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11" xfId="0" applyFont="1" applyFill="1" applyBorder="1" applyAlignment="1">
      <alignment horizontal="center" vertical="center"/>
    </xf>
    <xf numFmtId="0" fontId="12" fillId="5" borderId="9" xfId="0" applyFont="1" applyFill="1" applyBorder="1" applyAlignment="1">
      <alignment horizontal="center" vertical="center"/>
    </xf>
    <xf numFmtId="0" fontId="12" fillId="5" borderId="12" xfId="0" applyFont="1" applyFill="1" applyBorder="1" applyAlignment="1">
      <alignment horizontal="center" vertical="center"/>
    </xf>
    <xf numFmtId="10" fontId="14" fillId="0" borderId="14" xfId="1" applyNumberFormat="1" applyFont="1" applyBorder="1" applyAlignment="1">
      <alignment horizontal="center" vertical="center"/>
    </xf>
    <xf numFmtId="10" fontId="14" fillId="0" borderId="1" xfId="1" applyNumberFormat="1" applyFont="1" applyBorder="1" applyAlignment="1">
      <alignment horizontal="center" vertical="center"/>
    </xf>
    <xf numFmtId="0" fontId="18" fillId="0" borderId="32" xfId="0" applyFont="1" applyBorder="1" applyAlignment="1">
      <alignment horizontal="center" vertical="center" wrapText="1"/>
    </xf>
    <xf numFmtId="0" fontId="12" fillId="5" borderId="24" xfId="0" applyFont="1" applyFill="1" applyBorder="1" applyAlignment="1">
      <alignment horizontal="center" vertical="center"/>
    </xf>
    <xf numFmtId="0" fontId="12" fillId="5" borderId="38"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38" xfId="0" applyFont="1" applyFill="1" applyBorder="1" applyAlignment="1">
      <alignment horizontal="center" vertical="center"/>
    </xf>
    <xf numFmtId="167" fontId="11" fillId="0" borderId="4" xfId="1" applyNumberFormat="1" applyFont="1" applyBorder="1" applyAlignment="1">
      <alignment horizontal="center" vertical="center"/>
    </xf>
    <xf numFmtId="167" fontId="11" fillId="0" borderId="1" xfId="1" applyNumberFormat="1" applyFont="1" applyBorder="1" applyAlignment="1">
      <alignment horizontal="center" vertical="center"/>
    </xf>
    <xf numFmtId="0" fontId="11" fillId="6" borderId="3" xfId="0" applyFont="1" applyFill="1" applyBorder="1" applyAlignment="1">
      <alignment horizontal="center" vertical="center"/>
    </xf>
    <xf numFmtId="0" fontId="11" fillId="6" borderId="1" xfId="0" applyFont="1" applyFill="1" applyBorder="1" applyAlignment="1">
      <alignment horizontal="center" vertical="center"/>
    </xf>
    <xf numFmtId="10" fontId="15" fillId="0" borderId="1" xfId="1" applyNumberFormat="1" applyFont="1" applyBorder="1" applyAlignment="1">
      <alignment horizontal="center" vertical="center"/>
    </xf>
    <xf numFmtId="167" fontId="11" fillId="0" borderId="22" xfId="1" applyNumberFormat="1" applyFont="1" applyBorder="1" applyAlignment="1">
      <alignment horizontal="center" vertical="center"/>
    </xf>
    <xf numFmtId="2" fontId="13" fillId="0" borderId="3" xfId="0" applyNumberFormat="1" applyFont="1" applyBorder="1" applyAlignment="1">
      <alignment horizontal="center" vertical="center"/>
    </xf>
    <xf numFmtId="2" fontId="13" fillId="0" borderId="1" xfId="0" applyNumberFormat="1" applyFont="1" applyBorder="1" applyAlignment="1">
      <alignment horizontal="center" vertical="center"/>
    </xf>
    <xf numFmtId="0" fontId="3" fillId="0" borderId="32" xfId="0" applyFont="1" applyBorder="1" applyAlignment="1">
      <alignment horizontal="center" vertical="center" wrapText="1"/>
    </xf>
    <xf numFmtId="0" fontId="11" fillId="0" borderId="22" xfId="0" applyFont="1" applyBorder="1" applyAlignment="1">
      <alignment horizontal="center" vertical="center"/>
    </xf>
    <xf numFmtId="0" fontId="11" fillId="6" borderId="22" xfId="0" applyFont="1" applyFill="1" applyBorder="1" applyAlignment="1">
      <alignment horizontal="center" vertical="center"/>
    </xf>
    <xf numFmtId="165" fontId="11" fillId="0" borderId="36"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1" xfId="0" applyNumberFormat="1" applyFont="1" applyBorder="1" applyAlignment="1">
      <alignment horizontal="center" vertical="center"/>
    </xf>
    <xf numFmtId="0" fontId="23" fillId="5" borderId="14" xfId="0" applyFont="1" applyFill="1" applyBorder="1" applyAlignment="1">
      <alignment horizontal="center" vertical="center" wrapText="1"/>
    </xf>
    <xf numFmtId="0" fontId="23" fillId="5" borderId="1" xfId="0" applyFont="1" applyFill="1" applyBorder="1" applyAlignment="1">
      <alignment horizontal="center" vertical="center" wrapText="1"/>
    </xf>
    <xf numFmtId="10" fontId="27" fillId="0" borderId="46" xfId="1" applyNumberFormat="1" applyFont="1" applyBorder="1" applyAlignment="1">
      <alignment horizontal="center" vertical="center"/>
    </xf>
    <xf numFmtId="167" fontId="23" fillId="8" borderId="46" xfId="1" applyNumberFormat="1" applyFont="1" applyFill="1" applyBorder="1" applyAlignment="1">
      <alignment horizontal="center" vertical="center"/>
    </xf>
    <xf numFmtId="167" fontId="23" fillId="7" borderId="46" xfId="1" applyNumberFormat="1" applyFont="1" applyFill="1" applyBorder="1" applyAlignment="1">
      <alignment horizontal="center" vertical="center"/>
    </xf>
    <xf numFmtId="167" fontId="23" fillId="7" borderId="47" xfId="1" applyNumberFormat="1" applyFont="1" applyFill="1" applyBorder="1" applyAlignment="1">
      <alignment horizontal="center" vertical="center"/>
    </xf>
    <xf numFmtId="167" fontId="23" fillId="7" borderId="3" xfId="1" applyNumberFormat="1" applyFont="1" applyFill="1" applyBorder="1" applyAlignment="1">
      <alignment horizontal="center" vertical="center"/>
    </xf>
    <xf numFmtId="167" fontId="23" fillId="7" borderId="36" xfId="1" applyNumberFormat="1" applyFont="1" applyFill="1" applyBorder="1" applyAlignment="1">
      <alignment horizontal="center" vertical="center"/>
    </xf>
    <xf numFmtId="0" fontId="11" fillId="6" borderId="24" xfId="0" applyFont="1" applyFill="1" applyBorder="1" applyAlignment="1">
      <alignment horizontal="center" vertical="center"/>
    </xf>
    <xf numFmtId="167" fontId="23" fillId="0" borderId="1" xfId="1" applyNumberFormat="1" applyFont="1" applyBorder="1" applyAlignment="1">
      <alignment horizontal="center" vertical="center"/>
    </xf>
    <xf numFmtId="0" fontId="24" fillId="6" borderId="13" xfId="0" applyFont="1" applyFill="1" applyBorder="1" applyAlignment="1">
      <alignment horizontal="center" vertical="center"/>
    </xf>
    <xf numFmtId="0" fontId="24" fillId="6" borderId="24" xfId="0" applyFont="1" applyFill="1" applyBorder="1" applyAlignment="1">
      <alignment horizontal="center" vertical="center"/>
    </xf>
    <xf numFmtId="0" fontId="25" fillId="0" borderId="2" xfId="3" applyNumberFormat="1" applyFont="1" applyBorder="1" applyAlignment="1">
      <alignment horizontal="center" vertical="center"/>
    </xf>
    <xf numFmtId="0" fontId="25" fillId="0" borderId="1" xfId="3" applyNumberFormat="1" applyFont="1" applyBorder="1" applyAlignment="1">
      <alignment horizontal="center" vertical="center"/>
    </xf>
    <xf numFmtId="10" fontId="27" fillId="0" borderId="4" xfId="1" applyNumberFormat="1" applyFont="1" applyBorder="1" applyAlignment="1">
      <alignment horizontal="center" vertical="center"/>
    </xf>
    <xf numFmtId="167" fontId="26" fillId="0" borderId="1" xfId="1" applyNumberFormat="1" applyFont="1" applyBorder="1" applyAlignment="1">
      <alignment horizontal="center" vertical="center"/>
    </xf>
    <xf numFmtId="0" fontId="24" fillId="6" borderId="9" xfId="0" applyFont="1" applyFill="1" applyBorder="1" applyAlignment="1">
      <alignment horizontal="center" vertical="center"/>
    </xf>
    <xf numFmtId="0" fontId="24" fillId="6" borderId="21" xfId="0" applyFont="1" applyFill="1" applyBorder="1" applyAlignment="1">
      <alignment horizontal="center" vertical="center"/>
    </xf>
    <xf numFmtId="167" fontId="23" fillId="8" borderId="4" xfId="1" applyNumberFormat="1" applyFont="1" applyFill="1" applyBorder="1" applyAlignment="1">
      <alignment horizontal="center" vertical="center"/>
    </xf>
    <xf numFmtId="10" fontId="26" fillId="0" borderId="4" xfId="1" applyNumberFormat="1" applyFont="1" applyBorder="1" applyAlignment="1">
      <alignment horizontal="center" vertical="center"/>
    </xf>
    <xf numFmtId="0" fontId="24" fillId="6" borderId="7" xfId="0" applyFont="1" applyFill="1" applyBorder="1" applyAlignment="1">
      <alignment horizontal="center" vertical="center"/>
    </xf>
    <xf numFmtId="0" fontId="24" fillId="6" borderId="26" xfId="0" applyFont="1" applyFill="1" applyBorder="1" applyAlignment="1">
      <alignment horizontal="center" vertical="center"/>
    </xf>
    <xf numFmtId="0" fontId="24" fillId="6" borderId="5" xfId="0" applyFont="1" applyFill="1" applyBorder="1" applyAlignment="1">
      <alignment horizontal="center" vertical="center"/>
    </xf>
    <xf numFmtId="0" fontId="24" fillId="6" borderId="0" xfId="0" applyFont="1" applyFill="1" applyAlignment="1">
      <alignment horizontal="center" vertical="center"/>
    </xf>
    <xf numFmtId="0" fontId="24" fillId="6" borderId="10" xfId="0" applyFont="1" applyFill="1" applyBorder="1" applyAlignment="1">
      <alignment horizontal="center" vertical="center"/>
    </xf>
    <xf numFmtId="0" fontId="24" fillId="6" borderId="25" xfId="0" applyFont="1" applyFill="1" applyBorder="1" applyAlignment="1">
      <alignment horizontal="center" vertical="center"/>
    </xf>
    <xf numFmtId="167" fontId="23" fillId="7" borderId="4" xfId="1" applyNumberFormat="1" applyFont="1" applyFill="1" applyBorder="1" applyAlignment="1">
      <alignment horizontal="center" vertical="center"/>
    </xf>
    <xf numFmtId="10" fontId="27" fillId="0" borderId="3" xfId="1" applyNumberFormat="1" applyFont="1" applyBorder="1" applyAlignment="1">
      <alignment horizontal="center" vertical="center"/>
    </xf>
    <xf numFmtId="167" fontId="23" fillId="8" borderId="3" xfId="1" applyNumberFormat="1" applyFont="1" applyFill="1" applyBorder="1" applyAlignment="1">
      <alignment horizontal="center" vertical="center"/>
    </xf>
    <xf numFmtId="0" fontId="21" fillId="4" borderId="5" xfId="0" applyFont="1" applyFill="1" applyBorder="1" applyAlignment="1">
      <alignment horizontal="center" vertical="center"/>
    </xf>
    <xf numFmtId="0" fontId="21" fillId="4" borderId="0" xfId="0" applyFont="1" applyFill="1" applyAlignment="1">
      <alignment horizontal="center" vertical="center"/>
    </xf>
    <xf numFmtId="0" fontId="21" fillId="4" borderId="6" xfId="0" applyFont="1" applyFill="1" applyBorder="1" applyAlignment="1">
      <alignment horizontal="center" vertical="center"/>
    </xf>
    <xf numFmtId="0" fontId="23" fillId="5" borderId="7" xfId="0" applyFont="1" applyFill="1" applyBorder="1" applyAlignment="1">
      <alignment horizontal="center" vertical="center"/>
    </xf>
    <xf numFmtId="0" fontId="23" fillId="5" borderId="26" xfId="0" applyFont="1" applyFill="1" applyBorder="1" applyAlignment="1">
      <alignment horizontal="center" vertical="center"/>
    </xf>
    <xf numFmtId="0" fontId="23" fillId="5" borderId="10" xfId="0" applyFont="1" applyFill="1" applyBorder="1" applyAlignment="1">
      <alignment horizontal="center" vertical="center"/>
    </xf>
    <xf numFmtId="0" fontId="23" fillId="5" borderId="25" xfId="0" applyFont="1" applyFill="1" applyBorder="1" applyAlignment="1">
      <alignment horizontal="center" vertical="center"/>
    </xf>
    <xf numFmtId="0" fontId="23" fillId="5" borderId="33" xfId="0" applyFont="1" applyFill="1" applyBorder="1" applyAlignment="1">
      <alignment horizontal="center" vertical="center"/>
    </xf>
    <xf numFmtId="0" fontId="23" fillId="5" borderId="14" xfId="0" applyFont="1" applyFill="1" applyBorder="1" applyAlignment="1">
      <alignment horizontal="center" vertical="center"/>
    </xf>
    <xf numFmtId="0" fontId="23" fillId="5" borderId="15" xfId="0" applyFont="1" applyFill="1" applyBorder="1" applyAlignment="1">
      <alignment horizontal="center" vertical="center"/>
    </xf>
    <xf numFmtId="0" fontId="23" fillId="5" borderId="4" xfId="0" applyFont="1" applyFill="1" applyBorder="1" applyAlignment="1">
      <alignment horizontal="center" vertical="center"/>
    </xf>
    <xf numFmtId="167" fontId="33" fillId="0" borderId="1" xfId="1" applyNumberFormat="1" applyFont="1" applyBorder="1" applyAlignment="1">
      <alignment horizontal="center" vertical="center"/>
    </xf>
    <xf numFmtId="167" fontId="33" fillId="0" borderId="22" xfId="1" applyNumberFormat="1" applyFont="1" applyBorder="1" applyAlignment="1">
      <alignment horizontal="center" vertical="center"/>
    </xf>
    <xf numFmtId="0" fontId="25" fillId="0" borderId="15" xfId="0" applyFont="1" applyBorder="1" applyAlignment="1">
      <alignment horizontal="center" vertical="center" wrapText="1"/>
    </xf>
    <xf numFmtId="0" fontId="25" fillId="0" borderId="4" xfId="0" applyFont="1" applyBorder="1" applyAlignment="1">
      <alignment horizontal="center" vertical="center" wrapText="1"/>
    </xf>
    <xf numFmtId="0" fontId="23" fillId="0" borderId="27" xfId="0" applyFont="1" applyBorder="1" applyAlignment="1">
      <alignment horizontal="center" vertical="center" wrapText="1"/>
    </xf>
    <xf numFmtId="0" fontId="23" fillId="0" borderId="28" xfId="0" applyFont="1" applyBorder="1" applyAlignment="1">
      <alignment horizontal="center" vertical="center" wrapText="1"/>
    </xf>
    <xf numFmtId="0" fontId="23" fillId="0" borderId="29" xfId="0" applyFont="1" applyBorder="1" applyAlignment="1">
      <alignment horizontal="center" vertical="center" wrapText="1"/>
    </xf>
    <xf numFmtId="175" fontId="22" fillId="4" borderId="7" xfId="0" applyNumberFormat="1" applyFont="1" applyFill="1" applyBorder="1" applyAlignment="1">
      <alignment horizontal="center" vertical="center"/>
    </xf>
    <xf numFmtId="175" fontId="22" fillId="4" borderId="10" xfId="0" applyNumberFormat="1" applyFont="1" applyFill="1" applyBorder="1" applyAlignment="1">
      <alignment horizontal="center" vertical="center"/>
    </xf>
    <xf numFmtId="0" fontId="23" fillId="5" borderId="9" xfId="0" applyFont="1" applyFill="1" applyBorder="1" applyAlignment="1">
      <alignment horizontal="center" vertical="center" wrapText="1"/>
    </xf>
    <xf numFmtId="0" fontId="23" fillId="5" borderId="21"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5" borderId="21" xfId="0" applyFont="1" applyFill="1" applyBorder="1" applyAlignment="1">
      <alignment horizontal="center" vertical="center" wrapText="1"/>
    </xf>
    <xf numFmtId="0" fontId="12" fillId="5" borderId="12" xfId="0" applyFont="1" applyFill="1" applyBorder="1" applyAlignment="1">
      <alignment horizontal="center" vertical="center" wrapText="1"/>
    </xf>
    <xf numFmtId="0" fontId="23" fillId="5" borderId="12" xfId="0" applyFont="1" applyFill="1" applyBorder="1" applyAlignment="1">
      <alignment horizontal="center" vertical="center" wrapText="1"/>
    </xf>
    <xf numFmtId="167" fontId="23" fillId="0" borderId="22" xfId="1" applyNumberFormat="1" applyFont="1" applyBorder="1" applyAlignment="1">
      <alignment horizontal="center" vertical="center"/>
    </xf>
    <xf numFmtId="167" fontId="23" fillId="0" borderId="3" xfId="1" applyNumberFormat="1" applyFont="1" applyBorder="1" applyAlignment="1">
      <alignment horizontal="center" vertical="center"/>
    </xf>
    <xf numFmtId="167" fontId="23" fillId="8" borderId="32" xfId="1" applyNumberFormat="1" applyFont="1" applyFill="1" applyBorder="1" applyAlignment="1">
      <alignment horizontal="center" vertical="center"/>
    </xf>
    <xf numFmtId="167" fontId="23" fillId="7" borderId="32" xfId="1" applyNumberFormat="1" applyFont="1" applyFill="1" applyBorder="1" applyAlignment="1">
      <alignment horizontal="center" vertical="center"/>
    </xf>
    <xf numFmtId="167" fontId="23" fillId="7" borderId="44" xfId="1" applyNumberFormat="1" applyFont="1" applyFill="1" applyBorder="1" applyAlignment="1">
      <alignment horizontal="center" vertical="center"/>
    </xf>
    <xf numFmtId="167" fontId="23" fillId="8" borderId="1" xfId="1" applyNumberFormat="1" applyFont="1" applyFill="1" applyBorder="1" applyAlignment="1">
      <alignment horizontal="center" vertical="center"/>
    </xf>
    <xf numFmtId="167" fontId="23" fillId="7" borderId="1" xfId="1" applyNumberFormat="1" applyFont="1" applyFill="1" applyBorder="1" applyAlignment="1">
      <alignment horizontal="center" vertical="center"/>
    </xf>
    <xf numFmtId="167" fontId="23" fillId="7" borderId="22" xfId="1" applyNumberFormat="1" applyFont="1" applyFill="1" applyBorder="1" applyAlignment="1">
      <alignment horizontal="center" vertical="center"/>
    </xf>
    <xf numFmtId="0" fontId="23" fillId="5" borderId="8" xfId="0" applyFont="1" applyFill="1" applyBorder="1" applyAlignment="1">
      <alignment horizontal="center" vertical="center" wrapText="1"/>
    </xf>
    <xf numFmtId="0" fontId="23" fillId="5" borderId="6" xfId="0" applyFont="1" applyFill="1" applyBorder="1" applyAlignment="1">
      <alignment horizontal="center" vertical="center" wrapText="1"/>
    </xf>
  </cellXfs>
  <cellStyles count="4">
    <cellStyle name="Comma" xfId="2" builtinId="3"/>
    <cellStyle name="Comma [0]" xfId="3" builtinId="6"/>
    <cellStyle name="Normal" xfId="0" builtinId="0"/>
    <cellStyle name="Percent" xfId="1" builtinId="5"/>
  </cellStyles>
  <dxfs count="94">
    <dxf>
      <font>
        <b/>
        <i val="0"/>
        <color rgb="FFFF0000"/>
      </font>
      <fill>
        <patternFill>
          <bgColor rgb="FFFFC7CE"/>
        </patternFill>
      </fill>
    </dxf>
    <dxf>
      <font>
        <b/>
        <i val="0"/>
        <color rgb="FF00B05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b/>
        <i val="0"/>
        <color rgb="FF00B050"/>
      </font>
    </dxf>
    <dxf>
      <font>
        <b/>
        <i val="0"/>
        <color rgb="FFFF0000"/>
      </font>
    </dxf>
    <dxf>
      <font>
        <b/>
        <i val="0"/>
        <color rgb="FF00B050"/>
      </font>
    </dxf>
    <dxf>
      <font>
        <color rgb="FFFF0000"/>
      </font>
    </dxf>
    <dxf>
      <font>
        <color rgb="FF00B050"/>
      </font>
    </dxf>
    <dxf>
      <font>
        <b/>
        <i val="0"/>
        <color rgb="FFFF000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s>
  <tableStyles count="1" defaultTableStyle="TableStyleMedium2" defaultPivotStyle="PivotStyleLight16">
    <tableStyle name="PivotTable Style 1" table="0" count="0" xr9:uid="{A93A291B-F630-44FD-9A50-B50DE279A7E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32</xdr:col>
      <xdr:colOff>257175</xdr:colOff>
      <xdr:row>2</xdr:row>
      <xdr:rowOff>142875</xdr:rowOff>
    </xdr:from>
    <xdr:to>
      <xdr:col>35</xdr:col>
      <xdr:colOff>228600</xdr:colOff>
      <xdr:row>16</xdr:row>
      <xdr:rowOff>171450</xdr:rowOff>
    </xdr:to>
    <mc:AlternateContent xmlns:mc="http://schemas.openxmlformats.org/markup-compatibility/2006" xmlns:a14="http://schemas.microsoft.com/office/drawing/2010/main">
      <mc:Choice Requires="a14">
        <xdr:graphicFrame macro="">
          <xdr:nvGraphicFramePr>
            <xdr:cNvPr id="2" name="WEEK NO.">
              <a:extLst>
                <a:ext uri="{FF2B5EF4-FFF2-40B4-BE49-F238E27FC236}">
                  <a16:creationId xmlns:a16="http://schemas.microsoft.com/office/drawing/2014/main" id="{EFD82756-D5D8-4728-8095-7A14A82789B9}"/>
                </a:ext>
              </a:extLst>
            </xdr:cNvPr>
            <xdr:cNvGraphicFramePr/>
          </xdr:nvGraphicFramePr>
          <xdr:xfrm>
            <a:off x="0" y="0"/>
            <a:ext cx="0" cy="0"/>
          </xdr:xfrm>
          <a:graphic>
            <a:graphicData uri="http://schemas.microsoft.com/office/drawing/2010/slicer">
              <sle:slicer xmlns:sle="http://schemas.microsoft.com/office/drawing/2010/slicer" name="WEEK NO."/>
            </a:graphicData>
          </a:graphic>
        </xdr:graphicFrame>
      </mc:Choice>
      <mc:Fallback xmlns="">
        <xdr:sp macro="" textlink="">
          <xdr:nvSpPr>
            <xdr:cNvPr id="0" name=""/>
            <xdr:cNvSpPr>
              <a:spLocks noTextEdit="1"/>
            </xdr:cNvSpPr>
          </xdr:nvSpPr>
          <xdr:spPr>
            <a:xfrm>
              <a:off x="21593175" y="523875"/>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ropbox\PP-Data\PP%20&amp;%20PT%20DASHBOARD%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ropbox\PP-Data\WOR\PP%20WOR%20WEE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P SIDE SEAL"/>
      <sheetName val="PP BOTTOM SEAL"/>
      <sheetName val="PP PRD"/>
      <sheetName val="LD PRD"/>
      <sheetName val="LD DISPATCH"/>
      <sheetName val="PP DISPATCH"/>
      <sheetName val="PP F.G ENTRIES"/>
      <sheetName val="FG STOCK"/>
      <sheetName val="LD ROLL IN"/>
      <sheetName val="item list"/>
    </sheetNames>
    <sheetDataSet>
      <sheetData sheetId="0"/>
      <sheetData sheetId="1"/>
      <sheetData sheetId="2"/>
      <sheetData sheetId="3"/>
      <sheetData sheetId="4">
        <row r="1">
          <cell r="B1" t="str">
            <v>MCH#</v>
          </cell>
          <cell r="AN1" t="str">
            <v>TARGET</v>
          </cell>
          <cell r="AP1" t="str">
            <v>WEEK NO.</v>
          </cell>
        </row>
        <row r="2">
          <cell r="B2">
            <v>1</v>
          </cell>
        </row>
        <row r="3">
          <cell r="B3">
            <v>1</v>
          </cell>
        </row>
        <row r="4">
          <cell r="B4">
            <v>2</v>
          </cell>
        </row>
        <row r="5">
          <cell r="B5">
            <v>2</v>
          </cell>
        </row>
        <row r="6">
          <cell r="B6">
            <v>2</v>
          </cell>
        </row>
        <row r="7">
          <cell r="B7">
            <v>3</v>
          </cell>
        </row>
        <row r="8">
          <cell r="B8">
            <v>3</v>
          </cell>
        </row>
        <row r="9">
          <cell r="B9">
            <v>4</v>
          </cell>
        </row>
        <row r="10">
          <cell r="B10">
            <v>4</v>
          </cell>
        </row>
        <row r="11">
          <cell r="B11">
            <v>4</v>
          </cell>
        </row>
        <row r="12">
          <cell r="B12">
            <v>4</v>
          </cell>
        </row>
        <row r="13">
          <cell r="B13">
            <v>6</v>
          </cell>
        </row>
        <row r="14">
          <cell r="B14">
            <v>6</v>
          </cell>
        </row>
        <row r="15">
          <cell r="B15">
            <v>6</v>
          </cell>
        </row>
        <row r="16">
          <cell r="B16">
            <v>7</v>
          </cell>
        </row>
        <row r="17">
          <cell r="B17">
            <v>7</v>
          </cell>
        </row>
        <row r="18">
          <cell r="B18">
            <v>7</v>
          </cell>
        </row>
        <row r="19">
          <cell r="B19">
            <v>1</v>
          </cell>
        </row>
        <row r="20">
          <cell r="B20">
            <v>1</v>
          </cell>
        </row>
        <row r="21">
          <cell r="B21">
            <v>4</v>
          </cell>
        </row>
        <row r="22">
          <cell r="B22">
            <v>4</v>
          </cell>
        </row>
        <row r="23">
          <cell r="B23">
            <v>6</v>
          </cell>
        </row>
        <row r="24">
          <cell r="B24">
            <v>6</v>
          </cell>
        </row>
        <row r="25">
          <cell r="B25">
            <v>6</v>
          </cell>
        </row>
        <row r="26">
          <cell r="B26">
            <v>6</v>
          </cell>
        </row>
        <row r="27">
          <cell r="B27">
            <v>6</v>
          </cell>
        </row>
        <row r="28">
          <cell r="B28">
            <v>6</v>
          </cell>
        </row>
        <row r="29">
          <cell r="B29">
            <v>6</v>
          </cell>
        </row>
        <row r="30">
          <cell r="B30">
            <v>6</v>
          </cell>
        </row>
        <row r="31">
          <cell r="B31">
            <v>7</v>
          </cell>
        </row>
        <row r="32">
          <cell r="B32">
            <v>7</v>
          </cell>
        </row>
        <row r="33">
          <cell r="B33">
            <v>7</v>
          </cell>
        </row>
        <row r="34">
          <cell r="B34">
            <v>7</v>
          </cell>
        </row>
        <row r="35">
          <cell r="B35">
            <v>7</v>
          </cell>
        </row>
        <row r="36">
          <cell r="B36">
            <v>7</v>
          </cell>
        </row>
        <row r="37">
          <cell r="B37">
            <v>7</v>
          </cell>
        </row>
        <row r="38">
          <cell r="B38">
            <v>7</v>
          </cell>
        </row>
        <row r="39">
          <cell r="B39">
            <v>7</v>
          </cell>
        </row>
        <row r="40">
          <cell r="B40">
            <v>1</v>
          </cell>
        </row>
        <row r="41">
          <cell r="B41">
            <v>1</v>
          </cell>
        </row>
        <row r="42">
          <cell r="B42">
            <v>4</v>
          </cell>
        </row>
        <row r="43">
          <cell r="B43">
            <v>4</v>
          </cell>
        </row>
        <row r="44">
          <cell r="B44">
            <v>4</v>
          </cell>
        </row>
        <row r="45">
          <cell r="B45">
            <v>6</v>
          </cell>
        </row>
        <row r="46">
          <cell r="B46">
            <v>6</v>
          </cell>
        </row>
        <row r="47">
          <cell r="B47">
            <v>6</v>
          </cell>
        </row>
        <row r="48">
          <cell r="B48">
            <v>6</v>
          </cell>
        </row>
        <row r="49">
          <cell r="B49">
            <v>6</v>
          </cell>
        </row>
        <row r="50">
          <cell r="B50">
            <v>6</v>
          </cell>
        </row>
        <row r="51">
          <cell r="B51">
            <v>7</v>
          </cell>
        </row>
        <row r="52">
          <cell r="B52">
            <v>7</v>
          </cell>
        </row>
        <row r="53">
          <cell r="B53">
            <v>7</v>
          </cell>
        </row>
        <row r="54">
          <cell r="B54">
            <v>7</v>
          </cell>
        </row>
        <row r="55">
          <cell r="B55">
            <v>7</v>
          </cell>
        </row>
        <row r="56">
          <cell r="B56">
            <v>4</v>
          </cell>
        </row>
        <row r="57">
          <cell r="B57">
            <v>4</v>
          </cell>
        </row>
        <row r="58">
          <cell r="B58">
            <v>4</v>
          </cell>
        </row>
        <row r="59">
          <cell r="B59">
            <v>6</v>
          </cell>
        </row>
        <row r="60">
          <cell r="B60">
            <v>6</v>
          </cell>
        </row>
        <row r="61">
          <cell r="B61">
            <v>6</v>
          </cell>
        </row>
        <row r="62">
          <cell r="B62">
            <v>6</v>
          </cell>
        </row>
        <row r="63">
          <cell r="B63">
            <v>6</v>
          </cell>
        </row>
        <row r="64">
          <cell r="B64">
            <v>6</v>
          </cell>
        </row>
        <row r="65">
          <cell r="B65">
            <v>7</v>
          </cell>
        </row>
        <row r="66">
          <cell r="B66">
            <v>7</v>
          </cell>
        </row>
        <row r="67">
          <cell r="B67">
            <v>7</v>
          </cell>
        </row>
        <row r="68">
          <cell r="B68">
            <v>7</v>
          </cell>
        </row>
        <row r="69">
          <cell r="B69">
            <v>7</v>
          </cell>
        </row>
        <row r="70">
          <cell r="B70">
            <v>4</v>
          </cell>
        </row>
        <row r="71">
          <cell r="B71">
            <v>4</v>
          </cell>
        </row>
        <row r="72">
          <cell r="B72">
            <v>6</v>
          </cell>
        </row>
        <row r="73">
          <cell r="B73">
            <v>6</v>
          </cell>
        </row>
        <row r="74">
          <cell r="B74">
            <v>6</v>
          </cell>
        </row>
        <row r="75">
          <cell r="B75">
            <v>6</v>
          </cell>
        </row>
        <row r="76">
          <cell r="B76">
            <v>6</v>
          </cell>
        </row>
        <row r="77">
          <cell r="B77">
            <v>7</v>
          </cell>
        </row>
        <row r="78">
          <cell r="B78">
            <v>7</v>
          </cell>
        </row>
        <row r="79">
          <cell r="B79">
            <v>3</v>
          </cell>
        </row>
        <row r="80">
          <cell r="B80">
            <v>3</v>
          </cell>
        </row>
        <row r="81">
          <cell r="B81">
            <v>3</v>
          </cell>
        </row>
        <row r="82">
          <cell r="B82">
            <v>6</v>
          </cell>
        </row>
        <row r="83">
          <cell r="B83">
            <v>6</v>
          </cell>
        </row>
        <row r="84">
          <cell r="B84">
            <v>6</v>
          </cell>
        </row>
        <row r="85">
          <cell r="B85">
            <v>7</v>
          </cell>
        </row>
        <row r="86">
          <cell r="B86">
            <v>7</v>
          </cell>
        </row>
        <row r="87">
          <cell r="B87">
            <v>7</v>
          </cell>
        </row>
        <row r="88">
          <cell r="B88">
            <v>7</v>
          </cell>
        </row>
        <row r="89">
          <cell r="B89">
            <v>3</v>
          </cell>
        </row>
        <row r="90">
          <cell r="B90">
            <v>3</v>
          </cell>
        </row>
        <row r="91">
          <cell r="B91">
            <v>4</v>
          </cell>
        </row>
        <row r="92">
          <cell r="B92">
            <v>4</v>
          </cell>
        </row>
        <row r="93">
          <cell r="B93">
            <v>6</v>
          </cell>
        </row>
        <row r="94">
          <cell r="B94">
            <v>6</v>
          </cell>
        </row>
        <row r="95">
          <cell r="B95">
            <v>6</v>
          </cell>
        </row>
        <row r="96">
          <cell r="B96">
            <v>6</v>
          </cell>
        </row>
        <row r="97">
          <cell r="B97">
            <v>7</v>
          </cell>
        </row>
        <row r="98">
          <cell r="B98">
            <v>7</v>
          </cell>
        </row>
        <row r="99">
          <cell r="B99">
            <v>7</v>
          </cell>
        </row>
        <row r="100">
          <cell r="B100">
            <v>7</v>
          </cell>
        </row>
        <row r="101">
          <cell r="B101">
            <v>7</v>
          </cell>
        </row>
        <row r="102">
          <cell r="B102">
            <v>7</v>
          </cell>
        </row>
        <row r="103">
          <cell r="B103">
            <v>3</v>
          </cell>
        </row>
        <row r="104">
          <cell r="B104">
            <v>3</v>
          </cell>
        </row>
        <row r="105">
          <cell r="B105">
            <v>3</v>
          </cell>
        </row>
        <row r="106">
          <cell r="B106">
            <v>3</v>
          </cell>
        </row>
        <row r="107">
          <cell r="B107">
            <v>4</v>
          </cell>
        </row>
        <row r="108">
          <cell r="B108">
            <v>4</v>
          </cell>
        </row>
        <row r="109">
          <cell r="B109">
            <v>6</v>
          </cell>
        </row>
        <row r="110">
          <cell r="B110">
            <v>6</v>
          </cell>
        </row>
        <row r="111">
          <cell r="B111">
            <v>6</v>
          </cell>
        </row>
        <row r="112">
          <cell r="B112">
            <v>6</v>
          </cell>
        </row>
        <row r="113">
          <cell r="B113">
            <v>6</v>
          </cell>
        </row>
        <row r="114">
          <cell r="B114">
            <v>6</v>
          </cell>
        </row>
        <row r="115">
          <cell r="B115">
            <v>7</v>
          </cell>
        </row>
        <row r="116">
          <cell r="B116">
            <v>7</v>
          </cell>
        </row>
        <row r="117">
          <cell r="B117">
            <v>7</v>
          </cell>
        </row>
        <row r="118">
          <cell r="B118">
            <v>7</v>
          </cell>
        </row>
        <row r="119">
          <cell r="B119">
            <v>7</v>
          </cell>
        </row>
        <row r="120">
          <cell r="B120">
            <v>7</v>
          </cell>
        </row>
        <row r="121">
          <cell r="B121">
            <v>3</v>
          </cell>
        </row>
        <row r="122">
          <cell r="B122">
            <v>3</v>
          </cell>
        </row>
        <row r="123">
          <cell r="B123">
            <v>3</v>
          </cell>
        </row>
        <row r="124">
          <cell r="B124">
            <v>3</v>
          </cell>
        </row>
        <row r="125">
          <cell r="B125">
            <v>4</v>
          </cell>
        </row>
        <row r="126">
          <cell r="B126">
            <v>4</v>
          </cell>
        </row>
        <row r="127">
          <cell r="B127">
            <v>6</v>
          </cell>
        </row>
        <row r="128">
          <cell r="B128">
            <v>6</v>
          </cell>
        </row>
        <row r="129">
          <cell r="B129">
            <v>6</v>
          </cell>
        </row>
        <row r="130">
          <cell r="B130">
            <v>6</v>
          </cell>
        </row>
        <row r="131">
          <cell r="B131">
            <v>6</v>
          </cell>
        </row>
        <row r="132">
          <cell r="B132">
            <v>6</v>
          </cell>
        </row>
        <row r="133">
          <cell r="B133">
            <v>6</v>
          </cell>
        </row>
        <row r="134">
          <cell r="B134">
            <v>6</v>
          </cell>
        </row>
        <row r="135">
          <cell r="B135">
            <v>6</v>
          </cell>
        </row>
        <row r="136">
          <cell r="B136">
            <v>7</v>
          </cell>
        </row>
        <row r="137">
          <cell r="B137">
            <v>7</v>
          </cell>
        </row>
        <row r="138">
          <cell r="B138">
            <v>7</v>
          </cell>
        </row>
        <row r="139">
          <cell r="B139">
            <v>7</v>
          </cell>
        </row>
        <row r="140">
          <cell r="B140">
            <v>3</v>
          </cell>
        </row>
        <row r="141">
          <cell r="B141">
            <v>3</v>
          </cell>
        </row>
        <row r="142">
          <cell r="B142">
            <v>3</v>
          </cell>
        </row>
        <row r="143">
          <cell r="B143">
            <v>4</v>
          </cell>
        </row>
        <row r="144">
          <cell r="B144">
            <v>4</v>
          </cell>
        </row>
        <row r="145">
          <cell r="B145">
            <v>6</v>
          </cell>
        </row>
        <row r="146">
          <cell r="B146">
            <v>6</v>
          </cell>
        </row>
        <row r="147">
          <cell r="B147">
            <v>6</v>
          </cell>
        </row>
        <row r="148">
          <cell r="B148">
            <v>7</v>
          </cell>
        </row>
        <row r="149">
          <cell r="B149">
            <v>7</v>
          </cell>
        </row>
        <row r="150">
          <cell r="B150">
            <v>7</v>
          </cell>
        </row>
        <row r="151">
          <cell r="B151">
            <v>3</v>
          </cell>
        </row>
        <row r="152">
          <cell r="B152">
            <v>3</v>
          </cell>
        </row>
        <row r="153">
          <cell r="B153">
            <v>3</v>
          </cell>
        </row>
        <row r="154">
          <cell r="B154">
            <v>3</v>
          </cell>
        </row>
        <row r="155">
          <cell r="B155">
            <v>3</v>
          </cell>
        </row>
        <row r="156">
          <cell r="B156">
            <v>4</v>
          </cell>
        </row>
        <row r="157">
          <cell r="B157">
            <v>4</v>
          </cell>
        </row>
        <row r="158">
          <cell r="B158">
            <v>4</v>
          </cell>
        </row>
        <row r="159">
          <cell r="B159">
            <v>6</v>
          </cell>
        </row>
        <row r="160">
          <cell r="B160">
            <v>6</v>
          </cell>
        </row>
        <row r="161">
          <cell r="B161">
            <v>6</v>
          </cell>
        </row>
        <row r="162">
          <cell r="B162">
            <v>6</v>
          </cell>
        </row>
        <row r="163">
          <cell r="B163">
            <v>6</v>
          </cell>
        </row>
        <row r="164">
          <cell r="B164">
            <v>6</v>
          </cell>
        </row>
        <row r="165">
          <cell r="B165">
            <v>6</v>
          </cell>
        </row>
        <row r="166">
          <cell r="B166">
            <v>6</v>
          </cell>
        </row>
        <row r="167">
          <cell r="B167">
            <v>7</v>
          </cell>
        </row>
        <row r="168">
          <cell r="B168">
            <v>7</v>
          </cell>
        </row>
        <row r="169">
          <cell r="B169">
            <v>7</v>
          </cell>
        </row>
        <row r="170">
          <cell r="B170">
            <v>7</v>
          </cell>
        </row>
        <row r="171">
          <cell r="B171">
            <v>3</v>
          </cell>
        </row>
        <row r="172">
          <cell r="B172">
            <v>3</v>
          </cell>
        </row>
        <row r="173">
          <cell r="B173">
            <v>3</v>
          </cell>
        </row>
        <row r="174">
          <cell r="B174">
            <v>3</v>
          </cell>
        </row>
        <row r="175">
          <cell r="B175">
            <v>3</v>
          </cell>
        </row>
        <row r="176">
          <cell r="B176">
            <v>3</v>
          </cell>
        </row>
        <row r="177">
          <cell r="B177">
            <v>4</v>
          </cell>
        </row>
        <row r="178">
          <cell r="B178">
            <v>4</v>
          </cell>
        </row>
        <row r="179">
          <cell r="B179">
            <v>6</v>
          </cell>
        </row>
        <row r="180">
          <cell r="B180">
            <v>6</v>
          </cell>
        </row>
        <row r="181">
          <cell r="B181">
            <v>6</v>
          </cell>
        </row>
        <row r="182">
          <cell r="B182">
            <v>6</v>
          </cell>
        </row>
        <row r="183">
          <cell r="B183">
            <v>7</v>
          </cell>
        </row>
        <row r="184">
          <cell r="B184">
            <v>7</v>
          </cell>
        </row>
        <row r="185">
          <cell r="B185">
            <v>7</v>
          </cell>
        </row>
        <row r="186">
          <cell r="B186">
            <v>7</v>
          </cell>
        </row>
        <row r="187">
          <cell r="B187">
            <v>7</v>
          </cell>
        </row>
        <row r="188">
          <cell r="B188">
            <v>1</v>
          </cell>
        </row>
        <row r="189">
          <cell r="B189">
            <v>1</v>
          </cell>
        </row>
        <row r="190">
          <cell r="B190">
            <v>3</v>
          </cell>
        </row>
        <row r="191">
          <cell r="B191">
            <v>3</v>
          </cell>
        </row>
        <row r="192">
          <cell r="B192">
            <v>3</v>
          </cell>
        </row>
        <row r="193">
          <cell r="B193">
            <v>4</v>
          </cell>
        </row>
        <row r="194">
          <cell r="B194">
            <v>4</v>
          </cell>
        </row>
        <row r="195">
          <cell r="B195">
            <v>6</v>
          </cell>
        </row>
        <row r="196">
          <cell r="B196">
            <v>6</v>
          </cell>
        </row>
        <row r="197">
          <cell r="B197">
            <v>6</v>
          </cell>
        </row>
        <row r="198">
          <cell r="B198">
            <v>6</v>
          </cell>
        </row>
        <row r="199">
          <cell r="B199">
            <v>6</v>
          </cell>
        </row>
        <row r="200">
          <cell r="B200">
            <v>6</v>
          </cell>
        </row>
        <row r="201">
          <cell r="B201">
            <v>7</v>
          </cell>
        </row>
        <row r="202">
          <cell r="B202">
            <v>7</v>
          </cell>
        </row>
        <row r="203">
          <cell r="B203">
            <v>7</v>
          </cell>
        </row>
        <row r="204">
          <cell r="B204">
            <v>7</v>
          </cell>
        </row>
        <row r="205">
          <cell r="B205">
            <v>7</v>
          </cell>
        </row>
        <row r="206">
          <cell r="B206">
            <v>7</v>
          </cell>
        </row>
        <row r="207">
          <cell r="B207">
            <v>7</v>
          </cell>
        </row>
        <row r="208">
          <cell r="B208">
            <v>1</v>
          </cell>
        </row>
        <row r="209">
          <cell r="B209">
            <v>1</v>
          </cell>
        </row>
        <row r="210">
          <cell r="B210">
            <v>3</v>
          </cell>
        </row>
        <row r="211">
          <cell r="B211">
            <v>3</v>
          </cell>
        </row>
        <row r="212">
          <cell r="B212">
            <v>3</v>
          </cell>
        </row>
        <row r="213">
          <cell r="B213">
            <v>4</v>
          </cell>
        </row>
        <row r="214">
          <cell r="B214">
            <v>4</v>
          </cell>
        </row>
        <row r="215">
          <cell r="B215">
            <v>6</v>
          </cell>
        </row>
        <row r="216">
          <cell r="B216">
            <v>6</v>
          </cell>
        </row>
        <row r="217">
          <cell r="B217">
            <v>6</v>
          </cell>
        </row>
        <row r="218">
          <cell r="B218">
            <v>6</v>
          </cell>
        </row>
        <row r="219">
          <cell r="B219">
            <v>6</v>
          </cell>
        </row>
        <row r="220">
          <cell r="B220">
            <v>6</v>
          </cell>
        </row>
        <row r="221">
          <cell r="B221">
            <v>7</v>
          </cell>
        </row>
        <row r="222">
          <cell r="B222">
            <v>7</v>
          </cell>
        </row>
        <row r="223">
          <cell r="B223">
            <v>7</v>
          </cell>
        </row>
        <row r="224">
          <cell r="B224">
            <v>1</v>
          </cell>
        </row>
        <row r="225">
          <cell r="B225">
            <v>1</v>
          </cell>
        </row>
        <row r="226">
          <cell r="B226">
            <v>1</v>
          </cell>
        </row>
        <row r="227">
          <cell r="B227">
            <v>1</v>
          </cell>
        </row>
        <row r="228">
          <cell r="B228">
            <v>3</v>
          </cell>
        </row>
        <row r="229">
          <cell r="B229">
            <v>3</v>
          </cell>
        </row>
        <row r="230">
          <cell r="B230">
            <v>4</v>
          </cell>
        </row>
        <row r="231">
          <cell r="B231">
            <v>4</v>
          </cell>
        </row>
        <row r="232">
          <cell r="B232">
            <v>6</v>
          </cell>
        </row>
        <row r="233">
          <cell r="B233">
            <v>6</v>
          </cell>
        </row>
        <row r="234">
          <cell r="B234">
            <v>6</v>
          </cell>
        </row>
        <row r="235">
          <cell r="B235">
            <v>6</v>
          </cell>
        </row>
        <row r="236">
          <cell r="B236">
            <v>6</v>
          </cell>
        </row>
        <row r="237">
          <cell r="B237">
            <v>7</v>
          </cell>
        </row>
        <row r="238">
          <cell r="B238">
            <v>7</v>
          </cell>
        </row>
        <row r="239">
          <cell r="B239">
            <v>7</v>
          </cell>
        </row>
        <row r="240">
          <cell r="B240">
            <v>1</v>
          </cell>
        </row>
        <row r="241">
          <cell r="B241">
            <v>1</v>
          </cell>
        </row>
        <row r="242">
          <cell r="B242">
            <v>3</v>
          </cell>
        </row>
        <row r="243">
          <cell r="B243">
            <v>3</v>
          </cell>
        </row>
        <row r="244">
          <cell r="B244">
            <v>3</v>
          </cell>
        </row>
        <row r="245">
          <cell r="B245">
            <v>4</v>
          </cell>
        </row>
        <row r="246">
          <cell r="B246">
            <v>4</v>
          </cell>
        </row>
        <row r="247">
          <cell r="B247">
            <v>6</v>
          </cell>
        </row>
        <row r="248">
          <cell r="B248">
            <v>6</v>
          </cell>
        </row>
        <row r="249">
          <cell r="B249">
            <v>6</v>
          </cell>
        </row>
        <row r="250">
          <cell r="B250">
            <v>7</v>
          </cell>
        </row>
        <row r="251">
          <cell r="B251">
            <v>7</v>
          </cell>
        </row>
        <row r="252">
          <cell r="B252">
            <v>7</v>
          </cell>
        </row>
        <row r="253">
          <cell r="B253">
            <v>7</v>
          </cell>
        </row>
        <row r="254">
          <cell r="B254">
            <v>7</v>
          </cell>
        </row>
        <row r="255">
          <cell r="B255">
            <v>1</v>
          </cell>
        </row>
        <row r="256">
          <cell r="B256">
            <v>1</v>
          </cell>
        </row>
        <row r="257">
          <cell r="B257">
            <v>3</v>
          </cell>
        </row>
        <row r="258">
          <cell r="B258">
            <v>3</v>
          </cell>
        </row>
        <row r="259">
          <cell r="B259">
            <v>4</v>
          </cell>
        </row>
        <row r="260">
          <cell r="B260">
            <v>4</v>
          </cell>
        </row>
        <row r="261">
          <cell r="B261">
            <v>6</v>
          </cell>
        </row>
        <row r="262">
          <cell r="B262">
            <v>6</v>
          </cell>
        </row>
        <row r="263">
          <cell r="B263">
            <v>6</v>
          </cell>
        </row>
        <row r="264">
          <cell r="B264">
            <v>6</v>
          </cell>
        </row>
        <row r="265">
          <cell r="B265">
            <v>7</v>
          </cell>
        </row>
        <row r="266">
          <cell r="B266">
            <v>7</v>
          </cell>
        </row>
        <row r="267">
          <cell r="B267">
            <v>7</v>
          </cell>
        </row>
        <row r="268">
          <cell r="B268">
            <v>7</v>
          </cell>
        </row>
        <row r="269">
          <cell r="B269">
            <v>7</v>
          </cell>
        </row>
        <row r="270">
          <cell r="B270">
            <v>1</v>
          </cell>
        </row>
        <row r="271">
          <cell r="B271">
            <v>1</v>
          </cell>
        </row>
        <row r="272">
          <cell r="B272">
            <v>3</v>
          </cell>
        </row>
        <row r="273">
          <cell r="B273">
            <v>3</v>
          </cell>
        </row>
        <row r="274">
          <cell r="B274">
            <v>3</v>
          </cell>
        </row>
        <row r="275">
          <cell r="B275">
            <v>3</v>
          </cell>
        </row>
        <row r="276">
          <cell r="B276">
            <v>4</v>
          </cell>
        </row>
        <row r="277">
          <cell r="B277">
            <v>4</v>
          </cell>
        </row>
        <row r="278">
          <cell r="B278">
            <v>4</v>
          </cell>
        </row>
        <row r="279">
          <cell r="B279">
            <v>6</v>
          </cell>
        </row>
        <row r="280">
          <cell r="B280">
            <v>6</v>
          </cell>
        </row>
        <row r="281">
          <cell r="B281">
            <v>6</v>
          </cell>
        </row>
        <row r="282">
          <cell r="B282">
            <v>6</v>
          </cell>
        </row>
        <row r="283">
          <cell r="B283">
            <v>6</v>
          </cell>
        </row>
        <row r="284">
          <cell r="B284">
            <v>6</v>
          </cell>
        </row>
        <row r="285">
          <cell r="B285">
            <v>6</v>
          </cell>
        </row>
        <row r="286">
          <cell r="B286">
            <v>6</v>
          </cell>
        </row>
        <row r="287">
          <cell r="B287">
            <v>6</v>
          </cell>
        </row>
        <row r="288">
          <cell r="B288">
            <v>7</v>
          </cell>
        </row>
        <row r="289">
          <cell r="B289">
            <v>7</v>
          </cell>
        </row>
        <row r="290">
          <cell r="B290">
            <v>7</v>
          </cell>
        </row>
        <row r="291">
          <cell r="B291">
            <v>7</v>
          </cell>
        </row>
        <row r="292">
          <cell r="B292">
            <v>7</v>
          </cell>
        </row>
        <row r="293">
          <cell r="B293">
            <v>7</v>
          </cell>
        </row>
        <row r="294">
          <cell r="B294">
            <v>7</v>
          </cell>
        </row>
        <row r="295">
          <cell r="B295">
            <v>1</v>
          </cell>
        </row>
        <row r="296">
          <cell r="B296">
            <v>1</v>
          </cell>
        </row>
        <row r="297">
          <cell r="B297">
            <v>3</v>
          </cell>
        </row>
        <row r="298">
          <cell r="B298">
            <v>3</v>
          </cell>
        </row>
        <row r="299">
          <cell r="B299">
            <v>3</v>
          </cell>
        </row>
        <row r="300">
          <cell r="B300">
            <v>3</v>
          </cell>
        </row>
        <row r="301">
          <cell r="B301">
            <v>3</v>
          </cell>
        </row>
        <row r="302">
          <cell r="B302">
            <v>3</v>
          </cell>
        </row>
        <row r="303">
          <cell r="B303">
            <v>6</v>
          </cell>
        </row>
        <row r="304">
          <cell r="B304">
            <v>6</v>
          </cell>
        </row>
        <row r="305">
          <cell r="B305">
            <v>6</v>
          </cell>
        </row>
        <row r="306">
          <cell r="B306">
            <v>6</v>
          </cell>
        </row>
        <row r="307">
          <cell r="B307">
            <v>6</v>
          </cell>
        </row>
        <row r="308">
          <cell r="B308">
            <v>6</v>
          </cell>
        </row>
        <row r="309">
          <cell r="B309">
            <v>6</v>
          </cell>
        </row>
        <row r="310">
          <cell r="B310">
            <v>6</v>
          </cell>
        </row>
        <row r="311">
          <cell r="B311">
            <v>7</v>
          </cell>
        </row>
        <row r="312">
          <cell r="B312">
            <v>7</v>
          </cell>
        </row>
        <row r="313">
          <cell r="B313">
            <v>7</v>
          </cell>
        </row>
        <row r="314">
          <cell r="B314">
            <v>7</v>
          </cell>
        </row>
        <row r="315">
          <cell r="B315">
            <v>7</v>
          </cell>
        </row>
        <row r="316">
          <cell r="B316">
            <v>3</v>
          </cell>
        </row>
        <row r="317">
          <cell r="B317">
            <v>3</v>
          </cell>
        </row>
        <row r="318">
          <cell r="B318">
            <v>3</v>
          </cell>
        </row>
        <row r="319">
          <cell r="B319">
            <v>3</v>
          </cell>
        </row>
        <row r="320">
          <cell r="B320">
            <v>3</v>
          </cell>
        </row>
        <row r="321">
          <cell r="B321">
            <v>3</v>
          </cell>
        </row>
        <row r="322">
          <cell r="B322">
            <v>6</v>
          </cell>
        </row>
        <row r="323">
          <cell r="B323">
            <v>6</v>
          </cell>
        </row>
        <row r="324">
          <cell r="B324">
            <v>6</v>
          </cell>
        </row>
        <row r="325">
          <cell r="B325">
            <v>6</v>
          </cell>
        </row>
        <row r="326">
          <cell r="B326">
            <v>6</v>
          </cell>
        </row>
        <row r="327">
          <cell r="B327">
            <v>6</v>
          </cell>
        </row>
        <row r="328">
          <cell r="B328">
            <v>6</v>
          </cell>
        </row>
        <row r="329">
          <cell r="B329">
            <v>6</v>
          </cell>
        </row>
        <row r="330">
          <cell r="B330">
            <v>6</v>
          </cell>
        </row>
        <row r="331">
          <cell r="B331">
            <v>7</v>
          </cell>
        </row>
        <row r="332">
          <cell r="B332">
            <v>7</v>
          </cell>
        </row>
        <row r="333">
          <cell r="B333">
            <v>7</v>
          </cell>
        </row>
        <row r="334">
          <cell r="B334">
            <v>7</v>
          </cell>
        </row>
        <row r="335">
          <cell r="B335">
            <v>7</v>
          </cell>
        </row>
        <row r="336">
          <cell r="B336">
            <v>7</v>
          </cell>
        </row>
        <row r="337">
          <cell r="B337">
            <v>3</v>
          </cell>
        </row>
        <row r="338">
          <cell r="B338">
            <v>3</v>
          </cell>
        </row>
        <row r="339">
          <cell r="B339">
            <v>3</v>
          </cell>
        </row>
        <row r="340">
          <cell r="B340">
            <v>3</v>
          </cell>
        </row>
        <row r="341">
          <cell r="B341">
            <v>3</v>
          </cell>
        </row>
        <row r="342">
          <cell r="B342">
            <v>4</v>
          </cell>
        </row>
        <row r="343">
          <cell r="B343">
            <v>4</v>
          </cell>
        </row>
        <row r="344">
          <cell r="B344">
            <v>4</v>
          </cell>
        </row>
        <row r="345">
          <cell r="B345">
            <v>6</v>
          </cell>
        </row>
        <row r="346">
          <cell r="B346">
            <v>6</v>
          </cell>
        </row>
        <row r="347">
          <cell r="B347">
            <v>6</v>
          </cell>
        </row>
        <row r="348">
          <cell r="B348">
            <v>6</v>
          </cell>
        </row>
        <row r="349">
          <cell r="B349">
            <v>6</v>
          </cell>
        </row>
        <row r="350">
          <cell r="B350">
            <v>6</v>
          </cell>
        </row>
        <row r="351">
          <cell r="B351">
            <v>6</v>
          </cell>
        </row>
        <row r="352">
          <cell r="B352">
            <v>6</v>
          </cell>
        </row>
        <row r="353">
          <cell r="B353">
            <v>6</v>
          </cell>
        </row>
        <row r="354">
          <cell r="B354">
            <v>6</v>
          </cell>
        </row>
        <row r="355">
          <cell r="B355">
            <v>7</v>
          </cell>
        </row>
        <row r="356">
          <cell r="B356">
            <v>7</v>
          </cell>
        </row>
        <row r="357">
          <cell r="B357">
            <v>7</v>
          </cell>
        </row>
        <row r="358">
          <cell r="B358">
            <v>7</v>
          </cell>
        </row>
        <row r="359">
          <cell r="B359">
            <v>7</v>
          </cell>
        </row>
        <row r="360">
          <cell r="B360">
            <v>3</v>
          </cell>
        </row>
        <row r="361">
          <cell r="B361">
            <v>3</v>
          </cell>
        </row>
        <row r="362">
          <cell r="B362">
            <v>3</v>
          </cell>
        </row>
        <row r="363">
          <cell r="B363">
            <v>3</v>
          </cell>
        </row>
        <row r="364">
          <cell r="B364">
            <v>3</v>
          </cell>
        </row>
        <row r="365">
          <cell r="B365">
            <v>3</v>
          </cell>
        </row>
        <row r="366">
          <cell r="B366">
            <v>4</v>
          </cell>
        </row>
        <row r="367">
          <cell r="B367">
            <v>4</v>
          </cell>
        </row>
        <row r="368">
          <cell r="B368">
            <v>4</v>
          </cell>
        </row>
        <row r="369">
          <cell r="B369">
            <v>4</v>
          </cell>
        </row>
        <row r="370">
          <cell r="B370">
            <v>6</v>
          </cell>
        </row>
        <row r="371">
          <cell r="B371">
            <v>6</v>
          </cell>
        </row>
        <row r="372">
          <cell r="B372">
            <v>6</v>
          </cell>
        </row>
        <row r="373">
          <cell r="B373">
            <v>7</v>
          </cell>
        </row>
        <row r="374">
          <cell r="B374">
            <v>7</v>
          </cell>
        </row>
        <row r="375">
          <cell r="B375">
            <v>7</v>
          </cell>
        </row>
        <row r="376">
          <cell r="B376">
            <v>7</v>
          </cell>
        </row>
        <row r="377">
          <cell r="B377">
            <v>1</v>
          </cell>
        </row>
        <row r="378">
          <cell r="B378">
            <v>3</v>
          </cell>
        </row>
        <row r="379">
          <cell r="B379">
            <v>3</v>
          </cell>
        </row>
        <row r="380">
          <cell r="B380">
            <v>3</v>
          </cell>
        </row>
        <row r="381">
          <cell r="B381">
            <v>3</v>
          </cell>
        </row>
        <row r="382">
          <cell r="B382">
            <v>3</v>
          </cell>
        </row>
        <row r="383">
          <cell r="B383">
            <v>3</v>
          </cell>
        </row>
        <row r="384">
          <cell r="B384">
            <v>4</v>
          </cell>
        </row>
        <row r="385">
          <cell r="B385">
            <v>4</v>
          </cell>
        </row>
        <row r="386">
          <cell r="B386">
            <v>6</v>
          </cell>
        </row>
        <row r="387">
          <cell r="B387">
            <v>6</v>
          </cell>
        </row>
        <row r="388">
          <cell r="B388">
            <v>6</v>
          </cell>
        </row>
        <row r="389">
          <cell r="B389">
            <v>6</v>
          </cell>
        </row>
        <row r="390">
          <cell r="B390">
            <v>6</v>
          </cell>
        </row>
        <row r="391">
          <cell r="B391">
            <v>6</v>
          </cell>
        </row>
        <row r="392">
          <cell r="B392">
            <v>6</v>
          </cell>
        </row>
        <row r="393">
          <cell r="B393">
            <v>7</v>
          </cell>
        </row>
        <row r="394">
          <cell r="B394">
            <v>7</v>
          </cell>
        </row>
        <row r="395">
          <cell r="B395">
            <v>7</v>
          </cell>
        </row>
        <row r="396">
          <cell r="B396">
            <v>7</v>
          </cell>
        </row>
        <row r="397">
          <cell r="B397">
            <v>1</v>
          </cell>
        </row>
        <row r="398">
          <cell r="B398">
            <v>1</v>
          </cell>
        </row>
        <row r="399">
          <cell r="B399">
            <v>1</v>
          </cell>
        </row>
        <row r="400">
          <cell r="B400">
            <v>1</v>
          </cell>
        </row>
        <row r="401">
          <cell r="B401">
            <v>3</v>
          </cell>
        </row>
        <row r="402">
          <cell r="B402">
            <v>3</v>
          </cell>
        </row>
        <row r="403">
          <cell r="B403">
            <v>3</v>
          </cell>
        </row>
        <row r="404">
          <cell r="B404">
            <v>3</v>
          </cell>
        </row>
        <row r="405">
          <cell r="B405">
            <v>3</v>
          </cell>
        </row>
        <row r="406">
          <cell r="B406">
            <v>4</v>
          </cell>
        </row>
        <row r="407">
          <cell r="B407">
            <v>4</v>
          </cell>
        </row>
        <row r="408">
          <cell r="B408">
            <v>6</v>
          </cell>
        </row>
        <row r="409">
          <cell r="B409">
            <v>6</v>
          </cell>
        </row>
        <row r="410">
          <cell r="B410">
            <v>6</v>
          </cell>
        </row>
        <row r="411">
          <cell r="B411">
            <v>6</v>
          </cell>
        </row>
        <row r="412">
          <cell r="B412">
            <v>6</v>
          </cell>
        </row>
        <row r="413">
          <cell r="B413">
            <v>6</v>
          </cell>
        </row>
        <row r="414">
          <cell r="B414">
            <v>6</v>
          </cell>
        </row>
        <row r="415">
          <cell r="B415">
            <v>7</v>
          </cell>
        </row>
        <row r="416">
          <cell r="B416">
            <v>7</v>
          </cell>
        </row>
        <row r="417">
          <cell r="B417">
            <v>7</v>
          </cell>
        </row>
        <row r="418">
          <cell r="B418">
            <v>7</v>
          </cell>
        </row>
        <row r="419">
          <cell r="B419">
            <v>7</v>
          </cell>
        </row>
        <row r="420">
          <cell r="B420">
            <v>1</v>
          </cell>
        </row>
        <row r="421">
          <cell r="B421">
            <v>1</v>
          </cell>
        </row>
        <row r="422">
          <cell r="B422">
            <v>1</v>
          </cell>
        </row>
        <row r="423">
          <cell r="B423">
            <v>3</v>
          </cell>
        </row>
        <row r="424">
          <cell r="B424">
            <v>3</v>
          </cell>
        </row>
        <row r="425">
          <cell r="B425">
            <v>3</v>
          </cell>
        </row>
        <row r="426">
          <cell r="B426">
            <v>3</v>
          </cell>
        </row>
        <row r="427">
          <cell r="B427">
            <v>4</v>
          </cell>
        </row>
        <row r="428">
          <cell r="B428">
            <v>4</v>
          </cell>
        </row>
        <row r="429">
          <cell r="B429">
            <v>4</v>
          </cell>
        </row>
        <row r="430">
          <cell r="B430">
            <v>6</v>
          </cell>
        </row>
        <row r="431">
          <cell r="B431">
            <v>6</v>
          </cell>
        </row>
        <row r="432">
          <cell r="B432">
            <v>6</v>
          </cell>
        </row>
        <row r="433">
          <cell r="B433">
            <v>6</v>
          </cell>
        </row>
        <row r="434">
          <cell r="B434">
            <v>6</v>
          </cell>
        </row>
        <row r="435">
          <cell r="B435">
            <v>6</v>
          </cell>
        </row>
        <row r="436">
          <cell r="B436">
            <v>6</v>
          </cell>
        </row>
        <row r="437">
          <cell r="B437">
            <v>7</v>
          </cell>
        </row>
        <row r="438">
          <cell r="B438">
            <v>7</v>
          </cell>
        </row>
        <row r="439">
          <cell r="B439">
            <v>7</v>
          </cell>
        </row>
        <row r="440">
          <cell r="B440">
            <v>7</v>
          </cell>
        </row>
        <row r="441">
          <cell r="B441">
            <v>1</v>
          </cell>
        </row>
        <row r="442">
          <cell r="B442">
            <v>1</v>
          </cell>
        </row>
        <row r="443">
          <cell r="B443">
            <v>1</v>
          </cell>
        </row>
        <row r="444">
          <cell r="B444">
            <v>1</v>
          </cell>
        </row>
        <row r="445">
          <cell r="B445">
            <v>3</v>
          </cell>
        </row>
        <row r="446">
          <cell r="B446">
            <v>3</v>
          </cell>
        </row>
        <row r="447">
          <cell r="B447">
            <v>3</v>
          </cell>
        </row>
        <row r="448">
          <cell r="B448">
            <v>3</v>
          </cell>
        </row>
        <row r="449">
          <cell r="B449">
            <v>3</v>
          </cell>
        </row>
        <row r="450">
          <cell r="B450">
            <v>4</v>
          </cell>
        </row>
        <row r="451">
          <cell r="B451">
            <v>4</v>
          </cell>
        </row>
        <row r="452">
          <cell r="B452">
            <v>4</v>
          </cell>
        </row>
        <row r="453">
          <cell r="B453">
            <v>6</v>
          </cell>
        </row>
        <row r="454">
          <cell r="B454">
            <v>6</v>
          </cell>
        </row>
        <row r="455">
          <cell r="B455">
            <v>6</v>
          </cell>
        </row>
        <row r="456">
          <cell r="B456">
            <v>6</v>
          </cell>
        </row>
        <row r="457">
          <cell r="B457">
            <v>6</v>
          </cell>
        </row>
        <row r="458">
          <cell r="B458">
            <v>6</v>
          </cell>
        </row>
        <row r="459">
          <cell r="B459">
            <v>6</v>
          </cell>
        </row>
        <row r="460">
          <cell r="B460">
            <v>6</v>
          </cell>
        </row>
        <row r="461">
          <cell r="B461">
            <v>6</v>
          </cell>
        </row>
        <row r="462">
          <cell r="B462">
            <v>6</v>
          </cell>
        </row>
        <row r="463">
          <cell r="B463">
            <v>7</v>
          </cell>
        </row>
        <row r="464">
          <cell r="B464">
            <v>7</v>
          </cell>
        </row>
        <row r="465">
          <cell r="B465">
            <v>7</v>
          </cell>
        </row>
        <row r="466">
          <cell r="B466">
            <v>1</v>
          </cell>
        </row>
        <row r="467">
          <cell r="B467">
            <v>1</v>
          </cell>
        </row>
        <row r="468">
          <cell r="B468">
            <v>1</v>
          </cell>
        </row>
        <row r="469">
          <cell r="B469">
            <v>1</v>
          </cell>
        </row>
        <row r="470">
          <cell r="B470">
            <v>3</v>
          </cell>
        </row>
        <row r="471">
          <cell r="B471">
            <v>3</v>
          </cell>
        </row>
        <row r="472">
          <cell r="B472">
            <v>3</v>
          </cell>
        </row>
        <row r="473">
          <cell r="B473">
            <v>4</v>
          </cell>
        </row>
        <row r="474">
          <cell r="B474">
            <v>4</v>
          </cell>
        </row>
        <row r="475">
          <cell r="B475">
            <v>4</v>
          </cell>
        </row>
        <row r="476">
          <cell r="B476">
            <v>4</v>
          </cell>
        </row>
        <row r="477">
          <cell r="B477">
            <v>6</v>
          </cell>
        </row>
        <row r="478">
          <cell r="B478">
            <v>6</v>
          </cell>
        </row>
        <row r="479">
          <cell r="B479">
            <v>6</v>
          </cell>
        </row>
        <row r="480">
          <cell r="B480">
            <v>6</v>
          </cell>
        </row>
        <row r="481">
          <cell r="B481">
            <v>7</v>
          </cell>
        </row>
        <row r="482">
          <cell r="B482">
            <v>7</v>
          </cell>
        </row>
        <row r="483">
          <cell r="B483">
            <v>7</v>
          </cell>
        </row>
        <row r="484">
          <cell r="B484">
            <v>7</v>
          </cell>
        </row>
        <row r="485">
          <cell r="B485">
            <v>7</v>
          </cell>
        </row>
        <row r="486">
          <cell r="B486">
            <v>1</v>
          </cell>
        </row>
        <row r="487">
          <cell r="B487">
            <v>1</v>
          </cell>
        </row>
        <row r="488">
          <cell r="B488">
            <v>3</v>
          </cell>
        </row>
        <row r="489">
          <cell r="B489">
            <v>3</v>
          </cell>
        </row>
        <row r="490">
          <cell r="B490">
            <v>3</v>
          </cell>
        </row>
        <row r="491">
          <cell r="B491">
            <v>4</v>
          </cell>
        </row>
        <row r="492">
          <cell r="B492">
            <v>4</v>
          </cell>
        </row>
        <row r="493">
          <cell r="B493">
            <v>6</v>
          </cell>
        </row>
        <row r="494">
          <cell r="B494">
            <v>6</v>
          </cell>
        </row>
        <row r="495">
          <cell r="B495">
            <v>6</v>
          </cell>
        </row>
        <row r="496">
          <cell r="B496">
            <v>6</v>
          </cell>
        </row>
        <row r="497">
          <cell r="B497">
            <v>7</v>
          </cell>
        </row>
        <row r="498">
          <cell r="B498">
            <v>7</v>
          </cell>
        </row>
        <row r="499">
          <cell r="B499">
            <v>3</v>
          </cell>
        </row>
        <row r="500">
          <cell r="B500">
            <v>3</v>
          </cell>
        </row>
        <row r="501">
          <cell r="B501">
            <v>3</v>
          </cell>
        </row>
        <row r="502">
          <cell r="B502">
            <v>4</v>
          </cell>
        </row>
        <row r="503">
          <cell r="B503">
            <v>4</v>
          </cell>
        </row>
        <row r="504">
          <cell r="B504">
            <v>6</v>
          </cell>
        </row>
        <row r="505">
          <cell r="B505">
            <v>6</v>
          </cell>
        </row>
        <row r="506">
          <cell r="B506">
            <v>6</v>
          </cell>
        </row>
        <row r="507">
          <cell r="B507">
            <v>7</v>
          </cell>
        </row>
        <row r="508">
          <cell r="B508">
            <v>7</v>
          </cell>
        </row>
        <row r="509">
          <cell r="B509">
            <v>7</v>
          </cell>
        </row>
        <row r="510">
          <cell r="B510">
            <v>3</v>
          </cell>
        </row>
        <row r="511">
          <cell r="B511">
            <v>3</v>
          </cell>
        </row>
        <row r="512">
          <cell r="B512">
            <v>3</v>
          </cell>
        </row>
        <row r="513">
          <cell r="B513">
            <v>3</v>
          </cell>
        </row>
        <row r="514">
          <cell r="B514">
            <v>4</v>
          </cell>
        </row>
        <row r="515">
          <cell r="B515">
            <v>4</v>
          </cell>
        </row>
        <row r="516">
          <cell r="B516">
            <v>4</v>
          </cell>
        </row>
        <row r="517">
          <cell r="B517">
            <v>6</v>
          </cell>
        </row>
        <row r="518">
          <cell r="B518">
            <v>6</v>
          </cell>
        </row>
        <row r="519">
          <cell r="B519">
            <v>6</v>
          </cell>
        </row>
        <row r="520">
          <cell r="B520">
            <v>6</v>
          </cell>
        </row>
        <row r="521">
          <cell r="B521">
            <v>6</v>
          </cell>
        </row>
        <row r="522">
          <cell r="B522">
            <v>6</v>
          </cell>
        </row>
        <row r="523">
          <cell r="B523">
            <v>7</v>
          </cell>
        </row>
        <row r="524">
          <cell r="B524">
            <v>7</v>
          </cell>
        </row>
        <row r="525">
          <cell r="B525">
            <v>7</v>
          </cell>
        </row>
        <row r="526">
          <cell r="B526">
            <v>1</v>
          </cell>
        </row>
        <row r="527">
          <cell r="B527">
            <v>1</v>
          </cell>
        </row>
        <row r="528">
          <cell r="B528">
            <v>1</v>
          </cell>
        </row>
        <row r="529">
          <cell r="B529">
            <v>3</v>
          </cell>
        </row>
        <row r="530">
          <cell r="B530">
            <v>3</v>
          </cell>
        </row>
        <row r="531">
          <cell r="B531">
            <v>3</v>
          </cell>
        </row>
        <row r="532">
          <cell r="B532">
            <v>3</v>
          </cell>
        </row>
        <row r="533">
          <cell r="B533">
            <v>4</v>
          </cell>
        </row>
        <row r="534">
          <cell r="B534">
            <v>4</v>
          </cell>
        </row>
        <row r="535">
          <cell r="B535">
            <v>4</v>
          </cell>
        </row>
        <row r="536">
          <cell r="B536">
            <v>4</v>
          </cell>
        </row>
        <row r="537">
          <cell r="B537">
            <v>4</v>
          </cell>
        </row>
        <row r="538">
          <cell r="B538">
            <v>6</v>
          </cell>
        </row>
        <row r="539">
          <cell r="B539">
            <v>6</v>
          </cell>
        </row>
        <row r="540">
          <cell r="B540">
            <v>6</v>
          </cell>
        </row>
        <row r="541">
          <cell r="B541">
            <v>6</v>
          </cell>
        </row>
        <row r="542">
          <cell r="B542">
            <v>7</v>
          </cell>
        </row>
        <row r="543">
          <cell r="B543">
            <v>7</v>
          </cell>
        </row>
        <row r="544">
          <cell r="B544">
            <v>7</v>
          </cell>
        </row>
        <row r="545">
          <cell r="B545">
            <v>7</v>
          </cell>
        </row>
        <row r="546">
          <cell r="B546">
            <v>1</v>
          </cell>
        </row>
        <row r="547">
          <cell r="B547">
            <v>1</v>
          </cell>
        </row>
        <row r="548">
          <cell r="B548">
            <v>1</v>
          </cell>
        </row>
        <row r="549">
          <cell r="B549">
            <v>1</v>
          </cell>
        </row>
        <row r="550">
          <cell r="B550">
            <v>3</v>
          </cell>
        </row>
        <row r="551">
          <cell r="B551">
            <v>3</v>
          </cell>
        </row>
        <row r="552">
          <cell r="B552">
            <v>4</v>
          </cell>
        </row>
        <row r="553">
          <cell r="B553">
            <v>4</v>
          </cell>
        </row>
        <row r="554">
          <cell r="B554">
            <v>4</v>
          </cell>
        </row>
        <row r="555">
          <cell r="B555">
            <v>4</v>
          </cell>
        </row>
        <row r="556">
          <cell r="B556">
            <v>6</v>
          </cell>
        </row>
        <row r="557">
          <cell r="B557">
            <v>6</v>
          </cell>
        </row>
        <row r="558">
          <cell r="B558">
            <v>6</v>
          </cell>
        </row>
        <row r="559">
          <cell r="B559">
            <v>6</v>
          </cell>
        </row>
        <row r="560">
          <cell r="B560">
            <v>6</v>
          </cell>
        </row>
        <row r="561">
          <cell r="B561">
            <v>6</v>
          </cell>
        </row>
        <row r="562">
          <cell r="B562">
            <v>6</v>
          </cell>
        </row>
        <row r="563">
          <cell r="B563">
            <v>7</v>
          </cell>
        </row>
        <row r="564">
          <cell r="B564">
            <v>7</v>
          </cell>
        </row>
        <row r="565">
          <cell r="B565">
            <v>7</v>
          </cell>
        </row>
        <row r="566">
          <cell r="B566">
            <v>7</v>
          </cell>
        </row>
        <row r="567">
          <cell r="B567">
            <v>7</v>
          </cell>
        </row>
        <row r="568">
          <cell r="B568">
            <v>7</v>
          </cell>
        </row>
        <row r="569">
          <cell r="B569">
            <v>1</v>
          </cell>
        </row>
        <row r="570">
          <cell r="B570">
            <v>1</v>
          </cell>
        </row>
        <row r="571">
          <cell r="B571">
            <v>1</v>
          </cell>
        </row>
        <row r="572">
          <cell r="B572">
            <v>3</v>
          </cell>
        </row>
        <row r="573">
          <cell r="B573">
            <v>3</v>
          </cell>
        </row>
        <row r="574">
          <cell r="B574">
            <v>3</v>
          </cell>
        </row>
        <row r="575">
          <cell r="B575">
            <v>3</v>
          </cell>
        </row>
        <row r="576">
          <cell r="B576">
            <v>3</v>
          </cell>
        </row>
        <row r="577">
          <cell r="B577">
            <v>4</v>
          </cell>
        </row>
        <row r="578">
          <cell r="B578">
            <v>4</v>
          </cell>
        </row>
        <row r="579">
          <cell r="B579">
            <v>4</v>
          </cell>
        </row>
        <row r="580">
          <cell r="B580">
            <v>4</v>
          </cell>
        </row>
        <row r="581">
          <cell r="B581">
            <v>4</v>
          </cell>
        </row>
        <row r="582">
          <cell r="B582">
            <v>6</v>
          </cell>
        </row>
        <row r="583">
          <cell r="B583">
            <v>6</v>
          </cell>
        </row>
        <row r="584">
          <cell r="B584">
            <v>6</v>
          </cell>
        </row>
        <row r="585">
          <cell r="B585">
            <v>6</v>
          </cell>
        </row>
        <row r="586">
          <cell r="B586">
            <v>6</v>
          </cell>
        </row>
        <row r="587">
          <cell r="B587">
            <v>6</v>
          </cell>
        </row>
        <row r="588">
          <cell r="B588">
            <v>6</v>
          </cell>
        </row>
        <row r="589">
          <cell r="B589">
            <v>6</v>
          </cell>
        </row>
        <row r="590">
          <cell r="B590">
            <v>7</v>
          </cell>
        </row>
        <row r="591">
          <cell r="B591">
            <v>7</v>
          </cell>
        </row>
        <row r="592">
          <cell r="B592">
            <v>7</v>
          </cell>
        </row>
        <row r="593">
          <cell r="B593">
            <v>7</v>
          </cell>
        </row>
        <row r="594">
          <cell r="B594">
            <v>7</v>
          </cell>
        </row>
        <row r="595">
          <cell r="B595">
            <v>7</v>
          </cell>
        </row>
        <row r="596">
          <cell r="B596">
            <v>1</v>
          </cell>
        </row>
        <row r="597">
          <cell r="B597">
            <v>1</v>
          </cell>
        </row>
        <row r="598">
          <cell r="B598">
            <v>1</v>
          </cell>
        </row>
        <row r="599">
          <cell r="B599">
            <v>1</v>
          </cell>
        </row>
        <row r="600">
          <cell r="B600">
            <v>3</v>
          </cell>
        </row>
        <row r="601">
          <cell r="B601">
            <v>3</v>
          </cell>
        </row>
        <row r="602">
          <cell r="B602">
            <v>3</v>
          </cell>
        </row>
        <row r="603">
          <cell r="B603">
            <v>3</v>
          </cell>
        </row>
        <row r="604">
          <cell r="B604">
            <v>3</v>
          </cell>
        </row>
        <row r="605">
          <cell r="B605">
            <v>4</v>
          </cell>
        </row>
        <row r="606">
          <cell r="B606">
            <v>4</v>
          </cell>
        </row>
        <row r="607">
          <cell r="B607">
            <v>6</v>
          </cell>
        </row>
        <row r="608">
          <cell r="B608">
            <v>6</v>
          </cell>
        </row>
        <row r="609">
          <cell r="B609">
            <v>6</v>
          </cell>
        </row>
        <row r="610">
          <cell r="B610">
            <v>6</v>
          </cell>
        </row>
        <row r="611">
          <cell r="B611">
            <v>6</v>
          </cell>
        </row>
        <row r="612">
          <cell r="B612">
            <v>6</v>
          </cell>
        </row>
        <row r="613">
          <cell r="B613">
            <v>7</v>
          </cell>
        </row>
        <row r="614">
          <cell r="B614">
            <v>7</v>
          </cell>
        </row>
        <row r="615">
          <cell r="B615">
            <v>7</v>
          </cell>
        </row>
        <row r="616">
          <cell r="B616">
            <v>7</v>
          </cell>
        </row>
        <row r="617">
          <cell r="B617">
            <v>7</v>
          </cell>
        </row>
        <row r="618">
          <cell r="B618">
            <v>7</v>
          </cell>
        </row>
        <row r="619">
          <cell r="B619">
            <v>7</v>
          </cell>
        </row>
        <row r="620">
          <cell r="B620">
            <v>1</v>
          </cell>
        </row>
        <row r="621">
          <cell r="B621">
            <v>1</v>
          </cell>
        </row>
        <row r="622">
          <cell r="B622">
            <v>1</v>
          </cell>
        </row>
        <row r="623">
          <cell r="B623">
            <v>1</v>
          </cell>
        </row>
        <row r="624">
          <cell r="B624">
            <v>3</v>
          </cell>
        </row>
        <row r="625">
          <cell r="B625">
            <v>3</v>
          </cell>
        </row>
        <row r="626">
          <cell r="B626">
            <v>4</v>
          </cell>
        </row>
        <row r="627">
          <cell r="B627">
            <v>4</v>
          </cell>
        </row>
        <row r="628">
          <cell r="B628">
            <v>6</v>
          </cell>
        </row>
        <row r="629">
          <cell r="B629">
            <v>6</v>
          </cell>
        </row>
        <row r="630">
          <cell r="B630">
            <v>6</v>
          </cell>
        </row>
        <row r="631">
          <cell r="B631">
            <v>7</v>
          </cell>
        </row>
        <row r="632">
          <cell r="B632">
            <v>7</v>
          </cell>
        </row>
        <row r="633">
          <cell r="B633">
            <v>7</v>
          </cell>
        </row>
        <row r="634">
          <cell r="B634">
            <v>7</v>
          </cell>
        </row>
        <row r="635">
          <cell r="B635">
            <v>7</v>
          </cell>
        </row>
        <row r="636">
          <cell r="B636">
            <v>1</v>
          </cell>
        </row>
        <row r="637">
          <cell r="B637">
            <v>1</v>
          </cell>
        </row>
        <row r="638">
          <cell r="B638">
            <v>1</v>
          </cell>
        </row>
        <row r="639">
          <cell r="B639">
            <v>1</v>
          </cell>
        </row>
        <row r="640">
          <cell r="B640">
            <v>1</v>
          </cell>
        </row>
        <row r="641">
          <cell r="B641">
            <v>3</v>
          </cell>
        </row>
        <row r="642">
          <cell r="B642">
            <v>3</v>
          </cell>
        </row>
        <row r="643">
          <cell r="B643">
            <v>3</v>
          </cell>
        </row>
        <row r="644">
          <cell r="B644">
            <v>3</v>
          </cell>
        </row>
        <row r="645">
          <cell r="B645">
            <v>3</v>
          </cell>
        </row>
        <row r="646">
          <cell r="B646">
            <v>4</v>
          </cell>
        </row>
        <row r="647">
          <cell r="B647">
            <v>4</v>
          </cell>
        </row>
        <row r="648">
          <cell r="B648">
            <v>4</v>
          </cell>
        </row>
        <row r="649">
          <cell r="B649">
            <v>4</v>
          </cell>
        </row>
        <row r="650">
          <cell r="B650">
            <v>6</v>
          </cell>
        </row>
        <row r="651">
          <cell r="B651">
            <v>6</v>
          </cell>
        </row>
        <row r="652">
          <cell r="B652">
            <v>6</v>
          </cell>
        </row>
        <row r="653">
          <cell r="B653">
            <v>6</v>
          </cell>
        </row>
        <row r="654">
          <cell r="B654">
            <v>6</v>
          </cell>
        </row>
        <row r="655">
          <cell r="B655">
            <v>7</v>
          </cell>
        </row>
        <row r="656">
          <cell r="B656">
            <v>7</v>
          </cell>
        </row>
        <row r="657">
          <cell r="B657">
            <v>7</v>
          </cell>
        </row>
        <row r="658">
          <cell r="B658">
            <v>7</v>
          </cell>
        </row>
        <row r="659">
          <cell r="B659">
            <v>7</v>
          </cell>
        </row>
        <row r="660">
          <cell r="B660">
            <v>7</v>
          </cell>
        </row>
        <row r="661">
          <cell r="B661">
            <v>1</v>
          </cell>
        </row>
        <row r="662">
          <cell r="B662">
            <v>1</v>
          </cell>
        </row>
        <row r="663">
          <cell r="B663">
            <v>1</v>
          </cell>
        </row>
        <row r="664">
          <cell r="B664">
            <v>1</v>
          </cell>
        </row>
        <row r="665">
          <cell r="B665">
            <v>3</v>
          </cell>
        </row>
        <row r="666">
          <cell r="B666">
            <v>3</v>
          </cell>
        </row>
        <row r="667">
          <cell r="B667">
            <v>3</v>
          </cell>
        </row>
        <row r="668">
          <cell r="B668">
            <v>3</v>
          </cell>
        </row>
        <row r="669">
          <cell r="B669">
            <v>3</v>
          </cell>
        </row>
        <row r="670">
          <cell r="B670">
            <v>3</v>
          </cell>
        </row>
        <row r="671">
          <cell r="B671">
            <v>4</v>
          </cell>
        </row>
        <row r="672">
          <cell r="B672">
            <v>4</v>
          </cell>
        </row>
        <row r="673">
          <cell r="B673">
            <v>4</v>
          </cell>
        </row>
        <row r="674">
          <cell r="B674">
            <v>4</v>
          </cell>
        </row>
        <row r="675">
          <cell r="B675">
            <v>4</v>
          </cell>
        </row>
        <row r="676">
          <cell r="B676">
            <v>6</v>
          </cell>
        </row>
        <row r="677">
          <cell r="B677">
            <v>6</v>
          </cell>
        </row>
        <row r="678">
          <cell r="B678">
            <v>6</v>
          </cell>
        </row>
        <row r="679">
          <cell r="B679">
            <v>6</v>
          </cell>
        </row>
        <row r="680">
          <cell r="B680">
            <v>6</v>
          </cell>
        </row>
        <row r="681">
          <cell r="B681">
            <v>6</v>
          </cell>
        </row>
        <row r="682">
          <cell r="B682">
            <v>7</v>
          </cell>
        </row>
        <row r="683">
          <cell r="B683">
            <v>7</v>
          </cell>
        </row>
        <row r="684">
          <cell r="B684">
            <v>7</v>
          </cell>
        </row>
        <row r="685">
          <cell r="B685">
            <v>7</v>
          </cell>
        </row>
        <row r="686">
          <cell r="B686">
            <v>1</v>
          </cell>
        </row>
        <row r="687">
          <cell r="B687">
            <v>1</v>
          </cell>
        </row>
        <row r="688">
          <cell r="B688">
            <v>3</v>
          </cell>
        </row>
        <row r="689">
          <cell r="B689">
            <v>3</v>
          </cell>
        </row>
        <row r="690">
          <cell r="B690">
            <v>3</v>
          </cell>
        </row>
        <row r="691">
          <cell r="B691">
            <v>3</v>
          </cell>
        </row>
        <row r="692">
          <cell r="B692">
            <v>3</v>
          </cell>
        </row>
        <row r="693">
          <cell r="B693">
            <v>4</v>
          </cell>
        </row>
        <row r="694">
          <cell r="B694">
            <v>4</v>
          </cell>
        </row>
        <row r="695">
          <cell r="B695">
            <v>4</v>
          </cell>
        </row>
        <row r="696">
          <cell r="B696">
            <v>5</v>
          </cell>
        </row>
        <row r="697">
          <cell r="B697">
            <v>5</v>
          </cell>
        </row>
        <row r="698">
          <cell r="B698">
            <v>6</v>
          </cell>
        </row>
        <row r="699">
          <cell r="B699">
            <v>6</v>
          </cell>
        </row>
        <row r="700">
          <cell r="B700">
            <v>6</v>
          </cell>
        </row>
        <row r="701">
          <cell r="B701">
            <v>6</v>
          </cell>
        </row>
        <row r="702">
          <cell r="B702">
            <v>6</v>
          </cell>
        </row>
        <row r="703">
          <cell r="B703">
            <v>6</v>
          </cell>
        </row>
        <row r="704">
          <cell r="B704">
            <v>7</v>
          </cell>
        </row>
        <row r="705">
          <cell r="B705">
            <v>7</v>
          </cell>
        </row>
        <row r="706">
          <cell r="B706">
            <v>7</v>
          </cell>
        </row>
        <row r="707">
          <cell r="B707">
            <v>7</v>
          </cell>
        </row>
        <row r="708">
          <cell r="B708">
            <v>1</v>
          </cell>
        </row>
        <row r="709">
          <cell r="B709">
            <v>1</v>
          </cell>
        </row>
        <row r="710">
          <cell r="B710">
            <v>1</v>
          </cell>
        </row>
        <row r="711">
          <cell r="B711">
            <v>1</v>
          </cell>
        </row>
        <row r="712">
          <cell r="B712">
            <v>1</v>
          </cell>
        </row>
        <row r="713">
          <cell r="B713">
            <v>3</v>
          </cell>
        </row>
        <row r="714">
          <cell r="B714">
            <v>3</v>
          </cell>
        </row>
        <row r="715">
          <cell r="B715">
            <v>3</v>
          </cell>
        </row>
        <row r="716">
          <cell r="B716">
            <v>3</v>
          </cell>
        </row>
        <row r="717">
          <cell r="B717">
            <v>3</v>
          </cell>
        </row>
        <row r="718">
          <cell r="B718">
            <v>3</v>
          </cell>
        </row>
        <row r="719">
          <cell r="B719">
            <v>4</v>
          </cell>
        </row>
        <row r="720">
          <cell r="B720">
            <v>4</v>
          </cell>
        </row>
        <row r="721">
          <cell r="B721">
            <v>4</v>
          </cell>
        </row>
        <row r="722">
          <cell r="B722">
            <v>4</v>
          </cell>
        </row>
        <row r="723">
          <cell r="B723">
            <v>4</v>
          </cell>
        </row>
        <row r="724">
          <cell r="B724">
            <v>5</v>
          </cell>
        </row>
        <row r="725">
          <cell r="B725">
            <v>5</v>
          </cell>
        </row>
        <row r="726">
          <cell r="B726">
            <v>6</v>
          </cell>
        </row>
        <row r="727">
          <cell r="B727">
            <v>6</v>
          </cell>
        </row>
        <row r="728">
          <cell r="B728">
            <v>6</v>
          </cell>
        </row>
        <row r="729">
          <cell r="B729">
            <v>6</v>
          </cell>
        </row>
        <row r="730">
          <cell r="B730">
            <v>6</v>
          </cell>
        </row>
        <row r="731">
          <cell r="B731">
            <v>6</v>
          </cell>
        </row>
        <row r="732">
          <cell r="B732">
            <v>7</v>
          </cell>
        </row>
        <row r="733">
          <cell r="B733">
            <v>7</v>
          </cell>
        </row>
        <row r="734">
          <cell r="B734">
            <v>7</v>
          </cell>
        </row>
        <row r="735">
          <cell r="B735">
            <v>7</v>
          </cell>
        </row>
        <row r="736">
          <cell r="B736">
            <v>1</v>
          </cell>
        </row>
        <row r="737">
          <cell r="B737">
            <v>1</v>
          </cell>
        </row>
        <row r="738">
          <cell r="B738">
            <v>1</v>
          </cell>
        </row>
        <row r="739">
          <cell r="B739">
            <v>1</v>
          </cell>
        </row>
        <row r="740">
          <cell r="B740">
            <v>1</v>
          </cell>
        </row>
        <row r="741">
          <cell r="B741">
            <v>3</v>
          </cell>
        </row>
        <row r="742">
          <cell r="B742">
            <v>3</v>
          </cell>
        </row>
        <row r="743">
          <cell r="B743">
            <v>3</v>
          </cell>
        </row>
        <row r="744">
          <cell r="B744">
            <v>3</v>
          </cell>
        </row>
        <row r="745">
          <cell r="B745">
            <v>4</v>
          </cell>
        </row>
        <row r="746">
          <cell r="B746">
            <v>4</v>
          </cell>
        </row>
        <row r="747">
          <cell r="B747">
            <v>4</v>
          </cell>
        </row>
        <row r="748">
          <cell r="B748">
            <v>4</v>
          </cell>
        </row>
        <row r="749">
          <cell r="B749">
            <v>4</v>
          </cell>
        </row>
        <row r="750">
          <cell r="B750">
            <v>4</v>
          </cell>
        </row>
        <row r="751">
          <cell r="B751">
            <v>4</v>
          </cell>
        </row>
        <row r="752">
          <cell r="B752">
            <v>4</v>
          </cell>
        </row>
        <row r="753">
          <cell r="B753">
            <v>5</v>
          </cell>
        </row>
        <row r="754">
          <cell r="B754">
            <v>5</v>
          </cell>
        </row>
        <row r="755">
          <cell r="B755">
            <v>6</v>
          </cell>
        </row>
        <row r="756">
          <cell r="B756">
            <v>6</v>
          </cell>
        </row>
        <row r="757">
          <cell r="B757">
            <v>6</v>
          </cell>
        </row>
        <row r="758">
          <cell r="B758">
            <v>6</v>
          </cell>
        </row>
        <row r="759">
          <cell r="B759">
            <v>6</v>
          </cell>
        </row>
        <row r="760">
          <cell r="B760">
            <v>6</v>
          </cell>
        </row>
        <row r="761">
          <cell r="B761">
            <v>7</v>
          </cell>
        </row>
        <row r="762">
          <cell r="B762">
            <v>7</v>
          </cell>
        </row>
        <row r="763">
          <cell r="B763">
            <v>7</v>
          </cell>
        </row>
        <row r="764">
          <cell r="B764">
            <v>7</v>
          </cell>
        </row>
        <row r="765">
          <cell r="B765">
            <v>7</v>
          </cell>
        </row>
        <row r="766">
          <cell r="B766">
            <v>1</v>
          </cell>
        </row>
        <row r="767">
          <cell r="B767">
            <v>1</v>
          </cell>
        </row>
        <row r="768">
          <cell r="B768">
            <v>1</v>
          </cell>
        </row>
        <row r="769">
          <cell r="B769">
            <v>1</v>
          </cell>
        </row>
        <row r="770">
          <cell r="B770">
            <v>3</v>
          </cell>
        </row>
        <row r="771">
          <cell r="B771">
            <v>3</v>
          </cell>
        </row>
        <row r="772">
          <cell r="B772">
            <v>3</v>
          </cell>
        </row>
        <row r="773">
          <cell r="B773">
            <v>3</v>
          </cell>
        </row>
        <row r="774">
          <cell r="B774">
            <v>3</v>
          </cell>
        </row>
        <row r="775">
          <cell r="B775">
            <v>3</v>
          </cell>
        </row>
        <row r="776">
          <cell r="B776">
            <v>3</v>
          </cell>
        </row>
        <row r="777">
          <cell r="B777">
            <v>5</v>
          </cell>
        </row>
        <row r="778">
          <cell r="B778">
            <v>5</v>
          </cell>
        </row>
        <row r="779">
          <cell r="B779">
            <v>5</v>
          </cell>
        </row>
        <row r="780">
          <cell r="B780">
            <v>6</v>
          </cell>
        </row>
        <row r="781">
          <cell r="B781">
            <v>6</v>
          </cell>
        </row>
        <row r="782">
          <cell r="B782">
            <v>7</v>
          </cell>
        </row>
        <row r="783">
          <cell r="B783">
            <v>7</v>
          </cell>
        </row>
        <row r="784">
          <cell r="B784">
            <v>7</v>
          </cell>
        </row>
        <row r="785">
          <cell r="B785">
            <v>1</v>
          </cell>
        </row>
        <row r="786">
          <cell r="B786">
            <v>1</v>
          </cell>
        </row>
        <row r="787">
          <cell r="B787">
            <v>1</v>
          </cell>
        </row>
        <row r="788">
          <cell r="B788">
            <v>1</v>
          </cell>
        </row>
        <row r="789">
          <cell r="B789">
            <v>4</v>
          </cell>
        </row>
        <row r="790">
          <cell r="B790">
            <v>4</v>
          </cell>
        </row>
        <row r="791">
          <cell r="B791">
            <v>4</v>
          </cell>
        </row>
        <row r="792">
          <cell r="B792">
            <v>4</v>
          </cell>
        </row>
        <row r="793">
          <cell r="B793">
            <v>4</v>
          </cell>
        </row>
        <row r="794">
          <cell r="B794">
            <v>5</v>
          </cell>
        </row>
        <row r="795">
          <cell r="B795">
            <v>5</v>
          </cell>
        </row>
        <row r="796">
          <cell r="B796">
            <v>5</v>
          </cell>
        </row>
        <row r="797">
          <cell r="B797">
            <v>5</v>
          </cell>
        </row>
        <row r="798">
          <cell r="B798">
            <v>5</v>
          </cell>
        </row>
        <row r="799">
          <cell r="B799">
            <v>6</v>
          </cell>
        </row>
        <row r="800">
          <cell r="B800">
            <v>6</v>
          </cell>
        </row>
        <row r="801">
          <cell r="B801">
            <v>6</v>
          </cell>
        </row>
        <row r="802">
          <cell r="B802">
            <v>6</v>
          </cell>
        </row>
        <row r="803">
          <cell r="B803">
            <v>1</v>
          </cell>
        </row>
        <row r="804">
          <cell r="B804">
            <v>1</v>
          </cell>
        </row>
        <row r="805">
          <cell r="B805">
            <v>1</v>
          </cell>
        </row>
        <row r="806">
          <cell r="B806">
            <v>1</v>
          </cell>
        </row>
        <row r="807">
          <cell r="B807">
            <v>1</v>
          </cell>
        </row>
        <row r="808">
          <cell r="B808">
            <v>4</v>
          </cell>
        </row>
        <row r="809">
          <cell r="B809">
            <v>4</v>
          </cell>
        </row>
        <row r="810">
          <cell r="B810">
            <v>4</v>
          </cell>
        </row>
        <row r="811">
          <cell r="B811">
            <v>4</v>
          </cell>
        </row>
        <row r="812">
          <cell r="B812">
            <v>5</v>
          </cell>
        </row>
        <row r="813">
          <cell r="B813">
            <v>5</v>
          </cell>
        </row>
        <row r="814">
          <cell r="B814">
            <v>5</v>
          </cell>
        </row>
        <row r="815">
          <cell r="B815">
            <v>5</v>
          </cell>
        </row>
        <row r="816">
          <cell r="B816">
            <v>5</v>
          </cell>
        </row>
        <row r="817">
          <cell r="B817">
            <v>6</v>
          </cell>
        </row>
        <row r="818">
          <cell r="B818">
            <v>6</v>
          </cell>
        </row>
        <row r="819">
          <cell r="B819">
            <v>6</v>
          </cell>
        </row>
        <row r="820">
          <cell r="B820">
            <v>6</v>
          </cell>
        </row>
        <row r="821">
          <cell r="B821">
            <v>6</v>
          </cell>
        </row>
        <row r="822">
          <cell r="B822">
            <v>6</v>
          </cell>
        </row>
        <row r="823">
          <cell r="B823">
            <v>6</v>
          </cell>
        </row>
        <row r="824">
          <cell r="B824">
            <v>6</v>
          </cell>
        </row>
        <row r="825">
          <cell r="B825">
            <v>6</v>
          </cell>
        </row>
        <row r="826">
          <cell r="B826">
            <v>6</v>
          </cell>
        </row>
        <row r="827">
          <cell r="B827">
            <v>6</v>
          </cell>
        </row>
        <row r="828">
          <cell r="B828">
            <v>1</v>
          </cell>
        </row>
        <row r="829">
          <cell r="B829">
            <v>1</v>
          </cell>
        </row>
        <row r="830">
          <cell r="B830">
            <v>1</v>
          </cell>
        </row>
        <row r="831">
          <cell r="B831">
            <v>1</v>
          </cell>
        </row>
        <row r="832">
          <cell r="B832">
            <v>1</v>
          </cell>
        </row>
        <row r="833">
          <cell r="B833">
            <v>3</v>
          </cell>
        </row>
        <row r="834">
          <cell r="B834">
            <v>3</v>
          </cell>
        </row>
        <row r="835">
          <cell r="B835">
            <v>4</v>
          </cell>
        </row>
        <row r="836">
          <cell r="B836">
            <v>4</v>
          </cell>
        </row>
        <row r="837">
          <cell r="B837">
            <v>4</v>
          </cell>
        </row>
        <row r="838">
          <cell r="B838">
            <v>4</v>
          </cell>
        </row>
        <row r="839">
          <cell r="B839">
            <v>4</v>
          </cell>
        </row>
        <row r="840">
          <cell r="B840">
            <v>5</v>
          </cell>
        </row>
        <row r="841">
          <cell r="B841">
            <v>5</v>
          </cell>
        </row>
        <row r="842">
          <cell r="B842">
            <v>6</v>
          </cell>
        </row>
        <row r="843">
          <cell r="B843">
            <v>6</v>
          </cell>
        </row>
        <row r="844">
          <cell r="B844">
            <v>6</v>
          </cell>
        </row>
        <row r="845">
          <cell r="B845">
            <v>6</v>
          </cell>
        </row>
        <row r="846">
          <cell r="B846">
            <v>6</v>
          </cell>
        </row>
        <row r="847">
          <cell r="B847">
            <v>6</v>
          </cell>
        </row>
        <row r="848">
          <cell r="B848">
            <v>1</v>
          </cell>
        </row>
        <row r="849">
          <cell r="B849">
            <v>1</v>
          </cell>
        </row>
        <row r="850">
          <cell r="B850">
            <v>1</v>
          </cell>
        </row>
        <row r="851">
          <cell r="B851">
            <v>1</v>
          </cell>
        </row>
        <row r="852">
          <cell r="B852">
            <v>4</v>
          </cell>
        </row>
        <row r="853">
          <cell r="B853">
            <v>4</v>
          </cell>
        </row>
        <row r="854">
          <cell r="B854">
            <v>4</v>
          </cell>
        </row>
        <row r="855">
          <cell r="B855">
            <v>5</v>
          </cell>
        </row>
        <row r="856">
          <cell r="B856">
            <v>5</v>
          </cell>
        </row>
        <row r="857">
          <cell r="B857">
            <v>6</v>
          </cell>
        </row>
        <row r="858">
          <cell r="B858">
            <v>6</v>
          </cell>
        </row>
        <row r="859">
          <cell r="B859">
            <v>6</v>
          </cell>
        </row>
        <row r="860">
          <cell r="B860">
            <v>6</v>
          </cell>
        </row>
        <row r="861">
          <cell r="B861">
            <v>6</v>
          </cell>
        </row>
        <row r="862">
          <cell r="B862">
            <v>6</v>
          </cell>
        </row>
        <row r="863">
          <cell r="B863">
            <v>1</v>
          </cell>
        </row>
        <row r="864">
          <cell r="B864">
            <v>1</v>
          </cell>
        </row>
        <row r="865">
          <cell r="B865">
            <v>1</v>
          </cell>
        </row>
        <row r="866">
          <cell r="B866">
            <v>4</v>
          </cell>
        </row>
        <row r="867">
          <cell r="B867">
            <v>4</v>
          </cell>
        </row>
        <row r="868">
          <cell r="B868">
            <v>5</v>
          </cell>
        </row>
        <row r="869">
          <cell r="B869">
            <v>5</v>
          </cell>
        </row>
        <row r="870">
          <cell r="B870">
            <v>5</v>
          </cell>
        </row>
        <row r="871">
          <cell r="B871">
            <v>5</v>
          </cell>
        </row>
        <row r="872">
          <cell r="B872">
            <v>6</v>
          </cell>
        </row>
        <row r="873">
          <cell r="B873">
            <v>6</v>
          </cell>
        </row>
        <row r="874">
          <cell r="B874">
            <v>6</v>
          </cell>
        </row>
        <row r="875">
          <cell r="B875">
            <v>1</v>
          </cell>
        </row>
        <row r="876">
          <cell r="B876">
            <v>1</v>
          </cell>
        </row>
        <row r="877">
          <cell r="B877">
            <v>1</v>
          </cell>
        </row>
        <row r="878">
          <cell r="B878">
            <v>1</v>
          </cell>
        </row>
        <row r="879">
          <cell r="B879">
            <v>1</v>
          </cell>
        </row>
        <row r="880">
          <cell r="B880">
            <v>4</v>
          </cell>
        </row>
        <row r="881">
          <cell r="B881">
            <v>4</v>
          </cell>
        </row>
        <row r="882">
          <cell r="B882">
            <v>5</v>
          </cell>
        </row>
        <row r="883">
          <cell r="B883">
            <v>5</v>
          </cell>
        </row>
        <row r="884">
          <cell r="B884">
            <v>5</v>
          </cell>
        </row>
        <row r="885">
          <cell r="B885">
            <v>5</v>
          </cell>
        </row>
        <row r="886">
          <cell r="B886">
            <v>5</v>
          </cell>
        </row>
        <row r="887">
          <cell r="B887">
            <v>5</v>
          </cell>
        </row>
        <row r="888">
          <cell r="B888">
            <v>5</v>
          </cell>
        </row>
        <row r="889">
          <cell r="B889">
            <v>5</v>
          </cell>
        </row>
        <row r="890">
          <cell r="B890">
            <v>5</v>
          </cell>
        </row>
        <row r="891">
          <cell r="B891">
            <v>6</v>
          </cell>
        </row>
        <row r="892">
          <cell r="B892">
            <v>6</v>
          </cell>
        </row>
        <row r="893">
          <cell r="B893">
            <v>6</v>
          </cell>
        </row>
        <row r="894">
          <cell r="B894">
            <v>6</v>
          </cell>
        </row>
        <row r="895">
          <cell r="B895">
            <v>1</v>
          </cell>
        </row>
        <row r="896">
          <cell r="B896">
            <v>1</v>
          </cell>
        </row>
        <row r="897">
          <cell r="B897">
            <v>1</v>
          </cell>
        </row>
        <row r="898">
          <cell r="B898">
            <v>1</v>
          </cell>
        </row>
        <row r="899">
          <cell r="B899">
            <v>4</v>
          </cell>
        </row>
        <row r="900">
          <cell r="B900">
            <v>4</v>
          </cell>
        </row>
        <row r="901">
          <cell r="B901">
            <v>4</v>
          </cell>
        </row>
        <row r="902">
          <cell r="B902">
            <v>4</v>
          </cell>
        </row>
        <row r="903">
          <cell r="B903">
            <v>4</v>
          </cell>
        </row>
        <row r="904">
          <cell r="B904">
            <v>5</v>
          </cell>
        </row>
        <row r="905">
          <cell r="B905">
            <v>5</v>
          </cell>
        </row>
        <row r="906">
          <cell r="B906">
            <v>5</v>
          </cell>
        </row>
        <row r="907">
          <cell r="B907">
            <v>5</v>
          </cell>
        </row>
        <row r="908">
          <cell r="B908">
            <v>6</v>
          </cell>
        </row>
        <row r="909">
          <cell r="B909">
            <v>6</v>
          </cell>
        </row>
        <row r="910">
          <cell r="B910">
            <v>6</v>
          </cell>
        </row>
        <row r="911">
          <cell r="B911">
            <v>6</v>
          </cell>
        </row>
        <row r="912">
          <cell r="B912">
            <v>6</v>
          </cell>
        </row>
        <row r="913">
          <cell r="B913">
            <v>6</v>
          </cell>
        </row>
        <row r="914">
          <cell r="B914">
            <v>1</v>
          </cell>
        </row>
        <row r="915">
          <cell r="B915">
            <v>1</v>
          </cell>
        </row>
        <row r="916">
          <cell r="B916">
            <v>1</v>
          </cell>
        </row>
        <row r="917">
          <cell r="B917">
            <v>3</v>
          </cell>
        </row>
        <row r="918">
          <cell r="B918">
            <v>3</v>
          </cell>
        </row>
        <row r="919">
          <cell r="B919">
            <v>4</v>
          </cell>
        </row>
        <row r="920">
          <cell r="B920">
            <v>4</v>
          </cell>
        </row>
        <row r="921">
          <cell r="B921">
            <v>5</v>
          </cell>
        </row>
        <row r="922">
          <cell r="B922">
            <v>5</v>
          </cell>
        </row>
        <row r="923">
          <cell r="B923">
            <v>5</v>
          </cell>
        </row>
        <row r="924">
          <cell r="B924">
            <v>6</v>
          </cell>
        </row>
        <row r="925">
          <cell r="B925">
            <v>6</v>
          </cell>
        </row>
        <row r="926">
          <cell r="B926">
            <v>1</v>
          </cell>
        </row>
        <row r="927">
          <cell r="B927">
            <v>1</v>
          </cell>
        </row>
        <row r="928">
          <cell r="B928">
            <v>1</v>
          </cell>
        </row>
        <row r="929">
          <cell r="B929">
            <v>1</v>
          </cell>
        </row>
        <row r="930">
          <cell r="B930">
            <v>1</v>
          </cell>
        </row>
        <row r="931">
          <cell r="B931">
            <v>1</v>
          </cell>
        </row>
        <row r="932">
          <cell r="B932">
            <v>1</v>
          </cell>
        </row>
        <row r="933">
          <cell r="B933">
            <v>3</v>
          </cell>
        </row>
        <row r="934">
          <cell r="B934">
            <v>3</v>
          </cell>
        </row>
        <row r="935">
          <cell r="B935">
            <v>3</v>
          </cell>
        </row>
        <row r="936">
          <cell r="B936">
            <v>3</v>
          </cell>
        </row>
        <row r="937">
          <cell r="B937">
            <v>3</v>
          </cell>
        </row>
        <row r="938">
          <cell r="B938">
            <v>3</v>
          </cell>
        </row>
        <row r="939">
          <cell r="B939">
            <v>5</v>
          </cell>
        </row>
        <row r="940">
          <cell r="B940">
            <v>5</v>
          </cell>
        </row>
        <row r="941">
          <cell r="B941">
            <v>5</v>
          </cell>
        </row>
        <row r="942">
          <cell r="B942">
            <v>5</v>
          </cell>
        </row>
        <row r="943">
          <cell r="B943">
            <v>6</v>
          </cell>
        </row>
        <row r="944">
          <cell r="B944">
            <v>6</v>
          </cell>
        </row>
        <row r="945">
          <cell r="B945">
            <v>6</v>
          </cell>
        </row>
        <row r="946">
          <cell r="B946">
            <v>6</v>
          </cell>
        </row>
        <row r="947">
          <cell r="B947">
            <v>6</v>
          </cell>
        </row>
        <row r="948">
          <cell r="B948">
            <v>6</v>
          </cell>
        </row>
        <row r="949">
          <cell r="B949">
            <v>3</v>
          </cell>
        </row>
        <row r="950">
          <cell r="B950">
            <v>3</v>
          </cell>
        </row>
        <row r="951">
          <cell r="B951">
            <v>3</v>
          </cell>
        </row>
        <row r="952">
          <cell r="B952">
            <v>3</v>
          </cell>
        </row>
        <row r="953">
          <cell r="B953">
            <v>4</v>
          </cell>
        </row>
        <row r="954">
          <cell r="B954">
            <v>4</v>
          </cell>
        </row>
        <row r="955">
          <cell r="B955">
            <v>4</v>
          </cell>
        </row>
        <row r="956">
          <cell r="B956">
            <v>4</v>
          </cell>
        </row>
        <row r="957">
          <cell r="B957">
            <v>4</v>
          </cell>
        </row>
        <row r="958">
          <cell r="B958">
            <v>5</v>
          </cell>
        </row>
        <row r="959">
          <cell r="B959">
            <v>5</v>
          </cell>
        </row>
        <row r="960">
          <cell r="B960">
            <v>5</v>
          </cell>
        </row>
        <row r="961">
          <cell r="B961">
            <v>5</v>
          </cell>
        </row>
        <row r="962">
          <cell r="B962">
            <v>5</v>
          </cell>
        </row>
        <row r="963">
          <cell r="B963">
            <v>5</v>
          </cell>
        </row>
        <row r="964">
          <cell r="B964">
            <v>5</v>
          </cell>
        </row>
        <row r="965">
          <cell r="B965">
            <v>6</v>
          </cell>
        </row>
        <row r="966">
          <cell r="B966">
            <v>6</v>
          </cell>
        </row>
        <row r="967">
          <cell r="B967">
            <v>6</v>
          </cell>
        </row>
        <row r="968">
          <cell r="B968">
            <v>6</v>
          </cell>
        </row>
        <row r="969">
          <cell r="B969">
            <v>6</v>
          </cell>
        </row>
        <row r="970">
          <cell r="B970">
            <v>3</v>
          </cell>
        </row>
        <row r="971">
          <cell r="B971">
            <v>4</v>
          </cell>
        </row>
        <row r="972">
          <cell r="B972">
            <v>4</v>
          </cell>
        </row>
        <row r="973">
          <cell r="B973">
            <v>4</v>
          </cell>
        </row>
        <row r="974">
          <cell r="B974">
            <v>5</v>
          </cell>
        </row>
        <row r="975">
          <cell r="B975">
            <v>5</v>
          </cell>
        </row>
        <row r="976">
          <cell r="B976">
            <v>5</v>
          </cell>
        </row>
        <row r="977">
          <cell r="B977">
            <v>5</v>
          </cell>
        </row>
        <row r="978">
          <cell r="B978">
            <v>5</v>
          </cell>
        </row>
        <row r="979">
          <cell r="B979">
            <v>5</v>
          </cell>
        </row>
        <row r="980">
          <cell r="B980">
            <v>5</v>
          </cell>
        </row>
        <row r="981">
          <cell r="B981">
            <v>6</v>
          </cell>
        </row>
        <row r="982">
          <cell r="B982">
            <v>6</v>
          </cell>
        </row>
        <row r="983">
          <cell r="B983">
            <v>6</v>
          </cell>
        </row>
        <row r="984">
          <cell r="B984">
            <v>6</v>
          </cell>
        </row>
        <row r="985">
          <cell r="B985">
            <v>1</v>
          </cell>
        </row>
        <row r="986">
          <cell r="B986">
            <v>1</v>
          </cell>
        </row>
        <row r="987">
          <cell r="B987">
            <v>3</v>
          </cell>
        </row>
        <row r="988">
          <cell r="B988">
            <v>3</v>
          </cell>
        </row>
        <row r="989">
          <cell r="B989">
            <v>3</v>
          </cell>
        </row>
        <row r="990">
          <cell r="B990">
            <v>3</v>
          </cell>
        </row>
        <row r="991">
          <cell r="B991">
            <v>3</v>
          </cell>
        </row>
        <row r="992">
          <cell r="B992">
            <v>3</v>
          </cell>
        </row>
        <row r="993">
          <cell r="B993">
            <v>4</v>
          </cell>
        </row>
        <row r="994">
          <cell r="B994">
            <v>4</v>
          </cell>
        </row>
        <row r="995">
          <cell r="B995">
            <v>4</v>
          </cell>
        </row>
        <row r="996">
          <cell r="B996">
            <v>4</v>
          </cell>
        </row>
        <row r="997">
          <cell r="B997">
            <v>5</v>
          </cell>
        </row>
        <row r="998">
          <cell r="B998">
            <v>5</v>
          </cell>
        </row>
        <row r="999">
          <cell r="B999">
            <v>5</v>
          </cell>
        </row>
        <row r="1000">
          <cell r="B1000">
            <v>6</v>
          </cell>
        </row>
        <row r="1001">
          <cell r="B1001">
            <v>6</v>
          </cell>
        </row>
        <row r="1002">
          <cell r="B1002">
            <v>6</v>
          </cell>
        </row>
        <row r="1003">
          <cell r="B1003">
            <v>6</v>
          </cell>
        </row>
        <row r="1004">
          <cell r="B1004">
            <v>6</v>
          </cell>
        </row>
        <row r="1005">
          <cell r="B1005">
            <v>1</v>
          </cell>
        </row>
        <row r="1006">
          <cell r="B1006">
            <v>1</v>
          </cell>
        </row>
        <row r="1007">
          <cell r="B1007">
            <v>1</v>
          </cell>
        </row>
        <row r="1008">
          <cell r="B1008">
            <v>3</v>
          </cell>
        </row>
        <row r="1009">
          <cell r="B1009">
            <v>3</v>
          </cell>
        </row>
        <row r="1010">
          <cell r="B1010">
            <v>3</v>
          </cell>
        </row>
        <row r="1011">
          <cell r="B1011">
            <v>4</v>
          </cell>
        </row>
        <row r="1012">
          <cell r="B1012">
            <v>4</v>
          </cell>
        </row>
        <row r="1013">
          <cell r="B1013">
            <v>5</v>
          </cell>
        </row>
        <row r="1014">
          <cell r="B1014">
            <v>5</v>
          </cell>
        </row>
        <row r="1015">
          <cell r="B1015">
            <v>5</v>
          </cell>
        </row>
        <row r="1016">
          <cell r="B1016">
            <v>5</v>
          </cell>
        </row>
        <row r="1017">
          <cell r="B1017">
            <v>5</v>
          </cell>
        </row>
        <row r="1018">
          <cell r="B1018">
            <v>5</v>
          </cell>
        </row>
        <row r="1019">
          <cell r="B1019">
            <v>6</v>
          </cell>
        </row>
        <row r="1020">
          <cell r="B1020">
            <v>6</v>
          </cell>
        </row>
        <row r="1021">
          <cell r="B1021">
            <v>6</v>
          </cell>
        </row>
        <row r="1022">
          <cell r="B1022">
            <v>6</v>
          </cell>
        </row>
        <row r="1023">
          <cell r="B1023">
            <v>6</v>
          </cell>
        </row>
        <row r="1024">
          <cell r="B1024">
            <v>6</v>
          </cell>
        </row>
        <row r="1025">
          <cell r="B1025">
            <v>6</v>
          </cell>
        </row>
        <row r="1026">
          <cell r="B1026">
            <v>6</v>
          </cell>
        </row>
        <row r="1027">
          <cell r="B1027">
            <v>6</v>
          </cell>
        </row>
        <row r="1028">
          <cell r="B1028">
            <v>6</v>
          </cell>
        </row>
        <row r="1029">
          <cell r="B1029">
            <v>1</v>
          </cell>
        </row>
        <row r="1030">
          <cell r="B1030">
            <v>1</v>
          </cell>
        </row>
        <row r="1031">
          <cell r="B1031">
            <v>3</v>
          </cell>
        </row>
        <row r="1032">
          <cell r="B1032">
            <v>3</v>
          </cell>
        </row>
        <row r="1033">
          <cell r="B1033">
            <v>5</v>
          </cell>
        </row>
        <row r="1034">
          <cell r="B1034">
            <v>5</v>
          </cell>
        </row>
        <row r="1035">
          <cell r="B1035">
            <v>5</v>
          </cell>
        </row>
        <row r="1036">
          <cell r="B1036">
            <v>5</v>
          </cell>
        </row>
        <row r="1037">
          <cell r="B1037">
            <v>5</v>
          </cell>
        </row>
        <row r="1038">
          <cell r="B1038">
            <v>5</v>
          </cell>
        </row>
        <row r="1039">
          <cell r="B1039">
            <v>5</v>
          </cell>
        </row>
        <row r="1040">
          <cell r="B1040">
            <v>1</v>
          </cell>
        </row>
        <row r="1041">
          <cell r="B1041">
            <v>1</v>
          </cell>
        </row>
        <row r="1042">
          <cell r="B1042">
            <v>1</v>
          </cell>
        </row>
        <row r="1043">
          <cell r="B1043">
            <v>1</v>
          </cell>
        </row>
        <row r="1044">
          <cell r="B1044">
            <v>3</v>
          </cell>
        </row>
        <row r="1045">
          <cell r="B1045">
            <v>3</v>
          </cell>
        </row>
        <row r="1046">
          <cell r="B1046">
            <v>6</v>
          </cell>
        </row>
        <row r="1047">
          <cell r="B1047">
            <v>6</v>
          </cell>
        </row>
        <row r="1048">
          <cell r="B1048">
            <v>6</v>
          </cell>
        </row>
        <row r="1049">
          <cell r="B1049">
            <v>6</v>
          </cell>
        </row>
        <row r="1050">
          <cell r="B1050">
            <v>6</v>
          </cell>
        </row>
        <row r="1051">
          <cell r="B1051">
            <v>6</v>
          </cell>
        </row>
        <row r="1052">
          <cell r="B1052">
            <v>6</v>
          </cell>
        </row>
        <row r="1053">
          <cell r="B1053">
            <v>6</v>
          </cell>
        </row>
        <row r="1054">
          <cell r="B1054">
            <v>4</v>
          </cell>
        </row>
        <row r="1055">
          <cell r="B1055">
            <v>4</v>
          </cell>
        </row>
        <row r="1056">
          <cell r="B1056">
            <v>4</v>
          </cell>
        </row>
        <row r="1057">
          <cell r="B1057">
            <v>4</v>
          </cell>
        </row>
        <row r="1058">
          <cell r="B1058">
            <v>1</v>
          </cell>
          <cell r="AN1058">
            <v>3200</v>
          </cell>
          <cell r="AP1058">
            <v>32</v>
          </cell>
        </row>
        <row r="1059">
          <cell r="B1059">
            <v>1</v>
          </cell>
          <cell r="AP1059">
            <v>32</v>
          </cell>
        </row>
        <row r="1060">
          <cell r="B1060">
            <v>1</v>
          </cell>
          <cell r="AP1060">
            <v>32</v>
          </cell>
        </row>
        <row r="1061">
          <cell r="B1061">
            <v>3</v>
          </cell>
          <cell r="AP1061">
            <v>32</v>
          </cell>
        </row>
        <row r="1062">
          <cell r="B1062">
            <v>3</v>
          </cell>
          <cell r="AP1062">
            <v>32</v>
          </cell>
        </row>
        <row r="1063">
          <cell r="B1063">
            <v>3</v>
          </cell>
          <cell r="AP1063">
            <v>32</v>
          </cell>
        </row>
        <row r="1064">
          <cell r="B1064">
            <v>3</v>
          </cell>
          <cell r="AP1064">
            <v>32</v>
          </cell>
        </row>
        <row r="1065">
          <cell r="B1065">
            <v>3</v>
          </cell>
          <cell r="AP1065">
            <v>32</v>
          </cell>
        </row>
        <row r="1066">
          <cell r="B1066">
            <v>3</v>
          </cell>
          <cell r="AP1066">
            <v>32</v>
          </cell>
        </row>
        <row r="1067">
          <cell r="B1067">
            <v>3</v>
          </cell>
          <cell r="AP1067">
            <v>32</v>
          </cell>
        </row>
        <row r="1068">
          <cell r="B1068">
            <v>3</v>
          </cell>
          <cell r="AP1068">
            <v>32</v>
          </cell>
        </row>
        <row r="1069">
          <cell r="B1069">
            <v>4</v>
          </cell>
          <cell r="AP1069">
            <v>32</v>
          </cell>
        </row>
        <row r="1070">
          <cell r="B1070">
            <v>4</v>
          </cell>
          <cell r="AP1070">
            <v>32</v>
          </cell>
        </row>
        <row r="1071">
          <cell r="B1071">
            <v>4</v>
          </cell>
          <cell r="AP1071">
            <v>32</v>
          </cell>
        </row>
        <row r="1072">
          <cell r="B1072">
            <v>4</v>
          </cell>
          <cell r="AP1072">
            <v>32</v>
          </cell>
        </row>
        <row r="1073">
          <cell r="B1073">
            <v>4</v>
          </cell>
          <cell r="AP1073">
            <v>32</v>
          </cell>
        </row>
        <row r="1074">
          <cell r="B1074">
            <v>4</v>
          </cell>
          <cell r="AP1074">
            <v>32</v>
          </cell>
        </row>
        <row r="1075">
          <cell r="B1075">
            <v>6</v>
          </cell>
          <cell r="AP1075">
            <v>32</v>
          </cell>
        </row>
        <row r="1076">
          <cell r="B1076">
            <v>6</v>
          </cell>
          <cell r="AP1076">
            <v>32</v>
          </cell>
        </row>
        <row r="1077">
          <cell r="B1077">
            <v>6</v>
          </cell>
          <cell r="AP1077">
            <v>32</v>
          </cell>
        </row>
        <row r="1078">
          <cell r="B1078">
            <v>6</v>
          </cell>
          <cell r="AP1078">
            <v>32</v>
          </cell>
        </row>
        <row r="1079">
          <cell r="B1079">
            <v>1</v>
          </cell>
          <cell r="AN1079">
            <v>1500</v>
          </cell>
          <cell r="AP1079">
            <v>33</v>
          </cell>
        </row>
        <row r="1080">
          <cell r="B1080">
            <v>1</v>
          </cell>
          <cell r="AN1080">
            <v>1500</v>
          </cell>
          <cell r="AP1080">
            <v>33</v>
          </cell>
        </row>
        <row r="1081">
          <cell r="B1081">
            <v>1</v>
          </cell>
          <cell r="AP1081">
            <v>33</v>
          </cell>
        </row>
        <row r="1082">
          <cell r="B1082">
            <v>3</v>
          </cell>
          <cell r="AP1082">
            <v>33</v>
          </cell>
        </row>
        <row r="1083">
          <cell r="B1083">
            <v>3</v>
          </cell>
          <cell r="AP1083">
            <v>33</v>
          </cell>
        </row>
        <row r="1084">
          <cell r="B1084">
            <v>3</v>
          </cell>
          <cell r="AP1084">
            <v>33</v>
          </cell>
        </row>
        <row r="1085">
          <cell r="B1085">
            <v>3</v>
          </cell>
          <cell r="AP1085">
            <v>33</v>
          </cell>
        </row>
        <row r="1086">
          <cell r="B1086">
            <v>3</v>
          </cell>
          <cell r="AP1086">
            <v>33</v>
          </cell>
        </row>
        <row r="1087">
          <cell r="B1087">
            <v>3</v>
          </cell>
          <cell r="AP1087">
            <v>33</v>
          </cell>
        </row>
        <row r="1088">
          <cell r="B1088">
            <v>3</v>
          </cell>
          <cell r="AP1088">
            <v>33</v>
          </cell>
        </row>
        <row r="1089">
          <cell r="B1089">
            <v>4</v>
          </cell>
          <cell r="AP1089">
            <v>33</v>
          </cell>
        </row>
        <row r="1090">
          <cell r="B1090">
            <v>4</v>
          </cell>
          <cell r="AP1090">
            <v>33</v>
          </cell>
        </row>
        <row r="1091">
          <cell r="B1091">
            <v>4</v>
          </cell>
          <cell r="AP1091">
            <v>33</v>
          </cell>
        </row>
        <row r="1092">
          <cell r="B1092">
            <v>4</v>
          </cell>
          <cell r="AP1092">
            <v>33</v>
          </cell>
        </row>
        <row r="1093">
          <cell r="B1093">
            <v>4</v>
          </cell>
          <cell r="AP1093">
            <v>33</v>
          </cell>
        </row>
        <row r="1094">
          <cell r="B1094">
            <v>4</v>
          </cell>
          <cell r="AP1094">
            <v>33</v>
          </cell>
        </row>
        <row r="1095">
          <cell r="B1095">
            <v>6</v>
          </cell>
          <cell r="AP1095">
            <v>33</v>
          </cell>
        </row>
        <row r="1096">
          <cell r="B1096">
            <v>6</v>
          </cell>
          <cell r="AP1096">
            <v>33</v>
          </cell>
        </row>
        <row r="1097">
          <cell r="B1097">
            <v>6</v>
          </cell>
          <cell r="AP1097">
            <v>33</v>
          </cell>
        </row>
        <row r="1098">
          <cell r="B1098">
            <v>6</v>
          </cell>
          <cell r="AP1098">
            <v>33</v>
          </cell>
        </row>
        <row r="1099">
          <cell r="B1099">
            <v>6</v>
          </cell>
          <cell r="AP1099">
            <v>33</v>
          </cell>
        </row>
        <row r="1100">
          <cell r="B1100">
            <v>1</v>
          </cell>
          <cell r="AN1100">
            <v>950</v>
          </cell>
          <cell r="AP1100">
            <v>33</v>
          </cell>
        </row>
        <row r="1101">
          <cell r="B1101">
            <v>1</v>
          </cell>
          <cell r="AP1101">
            <v>33</v>
          </cell>
        </row>
        <row r="1102">
          <cell r="B1102">
            <v>1</v>
          </cell>
          <cell r="AP1102">
            <v>33</v>
          </cell>
        </row>
        <row r="1103">
          <cell r="B1103">
            <v>1</v>
          </cell>
          <cell r="AN1103">
            <v>1500</v>
          </cell>
          <cell r="AP1103">
            <v>33</v>
          </cell>
        </row>
        <row r="1104">
          <cell r="B1104">
            <v>3</v>
          </cell>
          <cell r="AP1104">
            <v>33</v>
          </cell>
        </row>
        <row r="1105">
          <cell r="B1105">
            <v>3</v>
          </cell>
          <cell r="AP1105">
            <v>33</v>
          </cell>
        </row>
        <row r="1106">
          <cell r="B1106">
            <v>4</v>
          </cell>
          <cell r="AP1106">
            <v>33</v>
          </cell>
        </row>
        <row r="1107">
          <cell r="B1107">
            <v>4</v>
          </cell>
          <cell r="AP1107">
            <v>33</v>
          </cell>
        </row>
        <row r="1108">
          <cell r="B1108">
            <v>4</v>
          </cell>
          <cell r="AP1108">
            <v>33</v>
          </cell>
        </row>
        <row r="1109">
          <cell r="B1109">
            <v>4</v>
          </cell>
          <cell r="AP1109">
            <v>33</v>
          </cell>
        </row>
        <row r="1110">
          <cell r="B1110">
            <v>4</v>
          </cell>
          <cell r="AP1110">
            <v>33</v>
          </cell>
        </row>
        <row r="1111">
          <cell r="B1111">
            <v>5</v>
          </cell>
          <cell r="AP1111">
            <v>33</v>
          </cell>
        </row>
        <row r="1112">
          <cell r="B1112">
            <v>5</v>
          </cell>
          <cell r="AP1112">
            <v>33</v>
          </cell>
        </row>
        <row r="1113">
          <cell r="B1113">
            <v>5</v>
          </cell>
          <cell r="AP1113">
            <v>33</v>
          </cell>
        </row>
        <row r="1114">
          <cell r="B1114">
            <v>1</v>
          </cell>
          <cell r="AN1114">
            <v>1600</v>
          </cell>
          <cell r="AP1114">
            <v>33</v>
          </cell>
        </row>
        <row r="1115">
          <cell r="B1115">
            <v>1</v>
          </cell>
          <cell r="AP1115">
            <v>33</v>
          </cell>
        </row>
        <row r="1116">
          <cell r="B1116">
            <v>1</v>
          </cell>
          <cell r="AP1116">
            <v>33</v>
          </cell>
        </row>
        <row r="1117">
          <cell r="B1117">
            <v>1</v>
          </cell>
          <cell r="AP1117">
            <v>33</v>
          </cell>
        </row>
        <row r="1118">
          <cell r="B1118">
            <v>1</v>
          </cell>
          <cell r="AN1118">
            <v>1600</v>
          </cell>
          <cell r="AP1118">
            <v>33</v>
          </cell>
        </row>
        <row r="1119">
          <cell r="B1119">
            <v>1</v>
          </cell>
          <cell r="AP1119">
            <v>33</v>
          </cell>
        </row>
        <row r="1120">
          <cell r="B1120">
            <v>3</v>
          </cell>
          <cell r="AP1120">
            <v>33</v>
          </cell>
        </row>
        <row r="1121">
          <cell r="B1121">
            <v>3</v>
          </cell>
          <cell r="AP1121">
            <v>33</v>
          </cell>
        </row>
        <row r="1122">
          <cell r="B1122">
            <v>3</v>
          </cell>
          <cell r="AP1122">
            <v>33</v>
          </cell>
        </row>
        <row r="1123">
          <cell r="B1123">
            <v>3</v>
          </cell>
          <cell r="AP1123">
            <v>33</v>
          </cell>
        </row>
        <row r="1124">
          <cell r="B1124">
            <v>4</v>
          </cell>
          <cell r="AP1124">
            <v>33</v>
          </cell>
        </row>
        <row r="1125">
          <cell r="B1125">
            <v>4</v>
          </cell>
          <cell r="AP1125">
            <v>33</v>
          </cell>
        </row>
        <row r="1126">
          <cell r="B1126">
            <v>4</v>
          </cell>
          <cell r="AP1126">
            <v>33</v>
          </cell>
        </row>
        <row r="1127">
          <cell r="B1127">
            <v>4</v>
          </cell>
          <cell r="AP1127">
            <v>33</v>
          </cell>
        </row>
        <row r="1128">
          <cell r="B1128">
            <v>4</v>
          </cell>
          <cell r="AP1128">
            <v>33</v>
          </cell>
        </row>
        <row r="1129">
          <cell r="B1129">
            <v>6</v>
          </cell>
          <cell r="AP1129">
            <v>33</v>
          </cell>
        </row>
        <row r="1130">
          <cell r="B1130">
            <v>6</v>
          </cell>
          <cell r="AP1130">
            <v>33</v>
          </cell>
        </row>
        <row r="1131">
          <cell r="B1131">
            <v>6</v>
          </cell>
          <cell r="AP1131">
            <v>33</v>
          </cell>
        </row>
        <row r="1132">
          <cell r="B1132">
            <v>6</v>
          </cell>
          <cell r="AP1132">
            <v>33</v>
          </cell>
        </row>
        <row r="1133">
          <cell r="B1133">
            <v>1</v>
          </cell>
          <cell r="AP1133">
            <v>33</v>
          </cell>
        </row>
        <row r="1134">
          <cell r="B1134">
            <v>1</v>
          </cell>
          <cell r="AP1134">
            <v>33</v>
          </cell>
        </row>
        <row r="1135">
          <cell r="B1135">
            <v>1</v>
          </cell>
          <cell r="AP1135">
            <v>33</v>
          </cell>
        </row>
        <row r="1136">
          <cell r="B1136">
            <v>1</v>
          </cell>
          <cell r="AP1136">
            <v>33</v>
          </cell>
        </row>
        <row r="1137">
          <cell r="B1137">
            <v>2</v>
          </cell>
          <cell r="AP1137">
            <v>33</v>
          </cell>
        </row>
        <row r="1138">
          <cell r="B1138">
            <v>2</v>
          </cell>
          <cell r="AP1138">
            <v>33</v>
          </cell>
        </row>
        <row r="1139">
          <cell r="B1139">
            <v>3</v>
          </cell>
          <cell r="AP1139">
            <v>33</v>
          </cell>
        </row>
        <row r="1140">
          <cell r="B1140">
            <v>3</v>
          </cell>
          <cell r="AP1140">
            <v>33</v>
          </cell>
        </row>
        <row r="1141">
          <cell r="B1141">
            <v>3</v>
          </cell>
          <cell r="AP1141">
            <v>33</v>
          </cell>
        </row>
        <row r="1142">
          <cell r="B1142">
            <v>3</v>
          </cell>
          <cell r="AP1142">
            <v>33</v>
          </cell>
        </row>
        <row r="1143">
          <cell r="B1143">
            <v>4</v>
          </cell>
          <cell r="AP1143">
            <v>33</v>
          </cell>
        </row>
        <row r="1144">
          <cell r="B1144">
            <v>4</v>
          </cell>
          <cell r="AP1144">
            <v>33</v>
          </cell>
        </row>
        <row r="1145">
          <cell r="B1145">
            <v>4</v>
          </cell>
          <cell r="AP1145">
            <v>33</v>
          </cell>
        </row>
        <row r="1146">
          <cell r="B1146">
            <v>4</v>
          </cell>
          <cell r="AP1146">
            <v>33</v>
          </cell>
        </row>
        <row r="1147">
          <cell r="B1147">
            <v>4</v>
          </cell>
          <cell r="AP1147">
            <v>33</v>
          </cell>
        </row>
        <row r="1148">
          <cell r="B1148">
            <v>5</v>
          </cell>
          <cell r="AP1148">
            <v>33</v>
          </cell>
        </row>
        <row r="1149">
          <cell r="B1149">
            <v>5</v>
          </cell>
          <cell r="AP1149">
            <v>33</v>
          </cell>
        </row>
        <row r="1150">
          <cell r="B1150">
            <v>5</v>
          </cell>
          <cell r="AP1150">
            <v>33</v>
          </cell>
        </row>
        <row r="1151">
          <cell r="B1151">
            <v>5</v>
          </cell>
          <cell r="AP1151">
            <v>33</v>
          </cell>
        </row>
        <row r="1152">
          <cell r="B1152">
            <v>5</v>
          </cell>
          <cell r="AP1152">
            <v>33</v>
          </cell>
        </row>
        <row r="1153">
          <cell r="B1153">
            <v>5</v>
          </cell>
          <cell r="AP1153">
            <v>33</v>
          </cell>
        </row>
        <row r="1154">
          <cell r="B1154">
            <v>5</v>
          </cell>
          <cell r="AP1154">
            <v>33</v>
          </cell>
        </row>
        <row r="1155">
          <cell r="B1155">
            <v>5</v>
          </cell>
          <cell r="AP1155">
            <v>33</v>
          </cell>
        </row>
        <row r="1156">
          <cell r="B1156">
            <v>5</v>
          </cell>
          <cell r="AP1156">
            <v>33</v>
          </cell>
        </row>
        <row r="1157">
          <cell r="B1157">
            <v>5</v>
          </cell>
          <cell r="AP1157">
            <v>33</v>
          </cell>
        </row>
        <row r="1158">
          <cell r="B1158">
            <v>5</v>
          </cell>
          <cell r="AP1158">
            <v>33</v>
          </cell>
        </row>
        <row r="1159">
          <cell r="B1159">
            <v>1</v>
          </cell>
          <cell r="AP1159">
            <v>33</v>
          </cell>
        </row>
        <row r="1160">
          <cell r="B1160">
            <v>1</v>
          </cell>
          <cell r="AP1160">
            <v>33</v>
          </cell>
        </row>
        <row r="1161">
          <cell r="B1161">
            <v>1</v>
          </cell>
          <cell r="AP1161">
            <v>33</v>
          </cell>
        </row>
        <row r="1162">
          <cell r="B1162">
            <v>1</v>
          </cell>
          <cell r="AP1162">
            <v>33</v>
          </cell>
        </row>
        <row r="1163">
          <cell r="B1163">
            <v>1</v>
          </cell>
          <cell r="AP1163">
            <v>33</v>
          </cell>
        </row>
        <row r="1164">
          <cell r="B1164">
            <v>2</v>
          </cell>
          <cell r="AP1164">
            <v>33</v>
          </cell>
        </row>
        <row r="1165">
          <cell r="B1165">
            <v>3</v>
          </cell>
          <cell r="AP1165">
            <v>33</v>
          </cell>
        </row>
        <row r="1166">
          <cell r="B1166">
            <v>3</v>
          </cell>
          <cell r="AP1166">
            <v>33</v>
          </cell>
        </row>
        <row r="1167">
          <cell r="B1167">
            <v>3</v>
          </cell>
          <cell r="AP1167">
            <v>33</v>
          </cell>
        </row>
        <row r="1168">
          <cell r="B1168">
            <v>3</v>
          </cell>
          <cell r="AP1168">
            <v>33</v>
          </cell>
        </row>
        <row r="1169">
          <cell r="B1169">
            <v>4</v>
          </cell>
          <cell r="AP1169">
            <v>33</v>
          </cell>
        </row>
        <row r="1170">
          <cell r="B1170">
            <v>4</v>
          </cell>
          <cell r="AP1170">
            <v>33</v>
          </cell>
        </row>
        <row r="1171">
          <cell r="B1171">
            <v>4</v>
          </cell>
          <cell r="AP1171">
            <v>33</v>
          </cell>
        </row>
        <row r="1172">
          <cell r="B1172">
            <v>4</v>
          </cell>
          <cell r="AP1172">
            <v>33</v>
          </cell>
        </row>
        <row r="1173">
          <cell r="B1173">
            <v>5</v>
          </cell>
          <cell r="AP1173">
            <v>33</v>
          </cell>
        </row>
        <row r="1174">
          <cell r="B1174">
            <v>5</v>
          </cell>
          <cell r="AP1174">
            <v>33</v>
          </cell>
        </row>
        <row r="1175">
          <cell r="B1175">
            <v>5</v>
          </cell>
          <cell r="AP1175">
            <v>33</v>
          </cell>
        </row>
        <row r="1176">
          <cell r="B1176">
            <v>5</v>
          </cell>
          <cell r="AP1176">
            <v>33</v>
          </cell>
        </row>
        <row r="1177">
          <cell r="B1177">
            <v>5</v>
          </cell>
          <cell r="AP1177">
            <v>33</v>
          </cell>
        </row>
        <row r="1178">
          <cell r="B1178">
            <v>5</v>
          </cell>
          <cell r="AP1178">
            <v>33</v>
          </cell>
        </row>
        <row r="1179">
          <cell r="B1179">
            <v>1</v>
          </cell>
          <cell r="AP1179">
            <v>33</v>
          </cell>
        </row>
        <row r="1180">
          <cell r="B1180">
            <v>1</v>
          </cell>
          <cell r="AP1180">
            <v>33</v>
          </cell>
        </row>
        <row r="1181">
          <cell r="B1181">
            <v>1</v>
          </cell>
          <cell r="AP1181">
            <v>33</v>
          </cell>
        </row>
        <row r="1182">
          <cell r="B1182">
            <v>1</v>
          </cell>
          <cell r="AP1182">
            <v>33</v>
          </cell>
        </row>
        <row r="1183">
          <cell r="B1183">
            <v>2</v>
          </cell>
          <cell r="AP1183">
            <v>33</v>
          </cell>
        </row>
        <row r="1184">
          <cell r="B1184">
            <v>2</v>
          </cell>
          <cell r="AP1184">
            <v>33</v>
          </cell>
        </row>
        <row r="1185">
          <cell r="B1185">
            <v>2</v>
          </cell>
          <cell r="AP1185">
            <v>33</v>
          </cell>
        </row>
        <row r="1186">
          <cell r="B1186">
            <v>2</v>
          </cell>
          <cell r="AP1186">
            <v>33</v>
          </cell>
        </row>
        <row r="1187">
          <cell r="B1187">
            <v>3</v>
          </cell>
          <cell r="AP1187">
            <v>33</v>
          </cell>
        </row>
        <row r="1188">
          <cell r="B1188">
            <v>3</v>
          </cell>
          <cell r="AP1188">
            <v>33</v>
          </cell>
        </row>
        <row r="1189">
          <cell r="B1189">
            <v>4</v>
          </cell>
          <cell r="AP1189">
            <v>33</v>
          </cell>
        </row>
        <row r="1190">
          <cell r="B1190">
            <v>4</v>
          </cell>
          <cell r="AP1190">
            <v>33</v>
          </cell>
        </row>
        <row r="1191">
          <cell r="B1191">
            <v>4</v>
          </cell>
          <cell r="AP1191">
            <v>33</v>
          </cell>
        </row>
        <row r="1192">
          <cell r="B1192">
            <v>4</v>
          </cell>
          <cell r="AP1192">
            <v>33</v>
          </cell>
        </row>
        <row r="1193">
          <cell r="B1193">
            <v>6</v>
          </cell>
          <cell r="AP1193">
            <v>33</v>
          </cell>
        </row>
        <row r="1194">
          <cell r="B1194">
            <v>6</v>
          </cell>
          <cell r="AP1194">
            <v>33</v>
          </cell>
        </row>
        <row r="1195">
          <cell r="B1195">
            <v>6</v>
          </cell>
          <cell r="AP1195">
            <v>33</v>
          </cell>
        </row>
        <row r="1196">
          <cell r="B1196">
            <v>6</v>
          </cell>
          <cell r="AP1196">
            <v>33</v>
          </cell>
        </row>
        <row r="1197">
          <cell r="B1197">
            <v>6</v>
          </cell>
          <cell r="AP1197">
            <v>33</v>
          </cell>
        </row>
        <row r="1198">
          <cell r="B1198">
            <v>6</v>
          </cell>
          <cell r="AP1198">
            <v>33</v>
          </cell>
        </row>
        <row r="1199">
          <cell r="B1199">
            <v>6</v>
          </cell>
          <cell r="AP1199">
            <v>33</v>
          </cell>
        </row>
        <row r="1200">
          <cell r="B1200">
            <v>1</v>
          </cell>
          <cell r="AP1200">
            <v>33</v>
          </cell>
        </row>
        <row r="1201">
          <cell r="B1201">
            <v>1</v>
          </cell>
          <cell r="AP1201">
            <v>33</v>
          </cell>
        </row>
        <row r="1202">
          <cell r="B1202">
            <v>1</v>
          </cell>
          <cell r="AP1202">
            <v>33</v>
          </cell>
        </row>
        <row r="1203">
          <cell r="B1203">
            <v>1</v>
          </cell>
          <cell r="AP1203">
            <v>33</v>
          </cell>
        </row>
        <row r="1204">
          <cell r="B1204">
            <v>1</v>
          </cell>
          <cell r="AP1204">
            <v>33</v>
          </cell>
        </row>
        <row r="1205">
          <cell r="B1205">
            <v>1</v>
          </cell>
          <cell r="AP1205">
            <v>33</v>
          </cell>
        </row>
        <row r="1206">
          <cell r="B1206">
            <v>2</v>
          </cell>
          <cell r="AP1206">
            <v>33</v>
          </cell>
        </row>
        <row r="1207">
          <cell r="B1207">
            <v>2</v>
          </cell>
          <cell r="AP1207">
            <v>33</v>
          </cell>
        </row>
        <row r="1208">
          <cell r="B1208">
            <v>2</v>
          </cell>
          <cell r="AP1208">
            <v>33</v>
          </cell>
        </row>
        <row r="1209">
          <cell r="B1209">
            <v>2</v>
          </cell>
          <cell r="AP1209">
            <v>33</v>
          </cell>
        </row>
        <row r="1210">
          <cell r="B1210">
            <v>3</v>
          </cell>
          <cell r="AP1210">
            <v>33</v>
          </cell>
        </row>
        <row r="1211">
          <cell r="B1211">
            <v>3</v>
          </cell>
          <cell r="AP1211">
            <v>33</v>
          </cell>
        </row>
        <row r="1212">
          <cell r="B1212">
            <v>4</v>
          </cell>
          <cell r="AP1212">
            <v>33</v>
          </cell>
        </row>
        <row r="1213">
          <cell r="B1213">
            <v>4</v>
          </cell>
          <cell r="AP1213">
            <v>33</v>
          </cell>
        </row>
        <row r="1214">
          <cell r="B1214">
            <v>4</v>
          </cell>
          <cell r="AP1214">
            <v>33</v>
          </cell>
        </row>
        <row r="1215">
          <cell r="B1215">
            <v>5</v>
          </cell>
          <cell r="AP1215">
            <v>33</v>
          </cell>
        </row>
        <row r="1216">
          <cell r="B1216">
            <v>5</v>
          </cell>
          <cell r="AP1216">
            <v>33</v>
          </cell>
        </row>
        <row r="1217">
          <cell r="B1217">
            <v>5</v>
          </cell>
          <cell r="AP1217">
            <v>33</v>
          </cell>
        </row>
        <row r="1218">
          <cell r="B1218">
            <v>5</v>
          </cell>
          <cell r="AP1218">
            <v>33</v>
          </cell>
        </row>
        <row r="1219">
          <cell r="B1219">
            <v>6</v>
          </cell>
          <cell r="AP1219">
            <v>33</v>
          </cell>
        </row>
        <row r="1220">
          <cell r="B1220">
            <v>6</v>
          </cell>
          <cell r="AP1220">
            <v>33</v>
          </cell>
        </row>
        <row r="1221">
          <cell r="B1221">
            <v>6</v>
          </cell>
          <cell r="AP1221">
            <v>33</v>
          </cell>
        </row>
        <row r="1222">
          <cell r="B1222">
            <v>6</v>
          </cell>
          <cell r="AP1222">
            <v>33</v>
          </cell>
        </row>
        <row r="1223">
          <cell r="B1223">
            <v>6</v>
          </cell>
          <cell r="AP1223">
            <v>33</v>
          </cell>
        </row>
        <row r="1224">
          <cell r="B1224">
            <v>1</v>
          </cell>
          <cell r="AP1224">
            <v>33</v>
          </cell>
        </row>
        <row r="1225">
          <cell r="B1225">
            <v>1</v>
          </cell>
          <cell r="AP1225">
            <v>33</v>
          </cell>
        </row>
        <row r="1226">
          <cell r="B1226">
            <v>1</v>
          </cell>
          <cell r="AP1226">
            <v>33</v>
          </cell>
        </row>
        <row r="1227">
          <cell r="B1227">
            <v>2</v>
          </cell>
          <cell r="AP1227">
            <v>33</v>
          </cell>
        </row>
        <row r="1228">
          <cell r="B1228">
            <v>3</v>
          </cell>
          <cell r="AP1228">
            <v>33</v>
          </cell>
        </row>
        <row r="1229">
          <cell r="B1229">
            <v>3</v>
          </cell>
          <cell r="AP1229">
            <v>33</v>
          </cell>
        </row>
        <row r="1230">
          <cell r="B1230">
            <v>4</v>
          </cell>
          <cell r="AP1230">
            <v>33</v>
          </cell>
        </row>
        <row r="1231">
          <cell r="B1231">
            <v>4</v>
          </cell>
          <cell r="AP1231">
            <v>33</v>
          </cell>
        </row>
        <row r="1232">
          <cell r="B1232">
            <v>4</v>
          </cell>
          <cell r="AP1232">
            <v>33</v>
          </cell>
        </row>
        <row r="1233">
          <cell r="B1233">
            <v>4</v>
          </cell>
          <cell r="AP1233">
            <v>33</v>
          </cell>
        </row>
        <row r="1234">
          <cell r="B1234">
            <v>5</v>
          </cell>
          <cell r="AP1234">
            <v>33</v>
          </cell>
        </row>
        <row r="1235">
          <cell r="B1235">
            <v>5</v>
          </cell>
          <cell r="AP1235">
            <v>33</v>
          </cell>
        </row>
        <row r="1236">
          <cell r="B1236">
            <v>6</v>
          </cell>
          <cell r="AP1236">
            <v>33</v>
          </cell>
        </row>
        <row r="1237">
          <cell r="B1237">
            <v>6</v>
          </cell>
          <cell r="AP1237">
            <v>33</v>
          </cell>
        </row>
        <row r="1238">
          <cell r="B1238">
            <v>6</v>
          </cell>
          <cell r="AP1238">
            <v>33</v>
          </cell>
        </row>
        <row r="1239">
          <cell r="B1239">
            <v>1</v>
          </cell>
          <cell r="AP1239">
            <v>33</v>
          </cell>
        </row>
        <row r="1240">
          <cell r="B1240">
            <v>1</v>
          </cell>
          <cell r="AP1240">
            <v>33</v>
          </cell>
        </row>
        <row r="1241">
          <cell r="B1241">
            <v>1</v>
          </cell>
          <cell r="AP1241">
            <v>33</v>
          </cell>
        </row>
        <row r="1242">
          <cell r="B1242">
            <v>3</v>
          </cell>
          <cell r="AP1242">
            <v>33</v>
          </cell>
        </row>
        <row r="1243">
          <cell r="B1243">
            <v>3</v>
          </cell>
          <cell r="AP1243">
            <v>33</v>
          </cell>
        </row>
        <row r="1244">
          <cell r="B1244">
            <v>3</v>
          </cell>
          <cell r="AP1244">
            <v>33</v>
          </cell>
        </row>
        <row r="1245">
          <cell r="B1245">
            <v>3</v>
          </cell>
          <cell r="AP1245">
            <v>33</v>
          </cell>
        </row>
        <row r="1246">
          <cell r="B1246">
            <v>3</v>
          </cell>
          <cell r="AP1246">
            <v>33</v>
          </cell>
        </row>
        <row r="1247">
          <cell r="B1247">
            <v>3</v>
          </cell>
          <cell r="AP1247">
            <v>33</v>
          </cell>
        </row>
        <row r="1248">
          <cell r="B1248">
            <v>4</v>
          </cell>
          <cell r="AP1248">
            <v>33</v>
          </cell>
        </row>
        <row r="1249">
          <cell r="B1249">
            <v>4</v>
          </cell>
          <cell r="AP1249">
            <v>33</v>
          </cell>
        </row>
        <row r="1250">
          <cell r="B1250">
            <v>5</v>
          </cell>
          <cell r="AP1250">
            <v>33</v>
          </cell>
        </row>
        <row r="1251">
          <cell r="B1251">
            <v>5</v>
          </cell>
          <cell r="AP1251">
            <v>33</v>
          </cell>
        </row>
        <row r="1252">
          <cell r="B1252">
            <v>5</v>
          </cell>
          <cell r="AP1252">
            <v>33</v>
          </cell>
        </row>
        <row r="1253">
          <cell r="B1253">
            <v>1</v>
          </cell>
          <cell r="AP1253">
            <v>33</v>
          </cell>
        </row>
        <row r="1254">
          <cell r="B1254">
            <v>1</v>
          </cell>
          <cell r="AP1254">
            <v>33</v>
          </cell>
        </row>
        <row r="1255">
          <cell r="B1255">
            <v>3</v>
          </cell>
          <cell r="AP1255">
            <v>33</v>
          </cell>
        </row>
        <row r="1256">
          <cell r="B1256">
            <v>3</v>
          </cell>
          <cell r="AP1256">
            <v>33</v>
          </cell>
        </row>
        <row r="1257">
          <cell r="B1257">
            <v>3</v>
          </cell>
          <cell r="AP1257">
            <v>33</v>
          </cell>
        </row>
        <row r="1258">
          <cell r="B1258">
            <v>3</v>
          </cell>
          <cell r="AP1258">
            <v>33</v>
          </cell>
        </row>
        <row r="1259">
          <cell r="B1259">
            <v>3</v>
          </cell>
          <cell r="AP1259">
            <v>33</v>
          </cell>
        </row>
        <row r="1260">
          <cell r="B1260">
            <v>4</v>
          </cell>
          <cell r="AP1260">
            <v>33</v>
          </cell>
        </row>
        <row r="1261">
          <cell r="B1261">
            <v>4</v>
          </cell>
          <cell r="AP1261">
            <v>33</v>
          </cell>
        </row>
        <row r="1262">
          <cell r="B1262">
            <v>4</v>
          </cell>
          <cell r="AP1262">
            <v>33</v>
          </cell>
        </row>
        <row r="1263">
          <cell r="B1263">
            <v>4</v>
          </cell>
          <cell r="AP1263">
            <v>33</v>
          </cell>
        </row>
        <row r="1264">
          <cell r="B1264">
            <v>4</v>
          </cell>
          <cell r="AP1264">
            <v>33</v>
          </cell>
        </row>
        <row r="1265">
          <cell r="B1265">
            <v>5</v>
          </cell>
          <cell r="AP1265">
            <v>33</v>
          </cell>
        </row>
        <row r="1266">
          <cell r="B1266">
            <v>5</v>
          </cell>
          <cell r="AP1266">
            <v>33</v>
          </cell>
        </row>
        <row r="1267">
          <cell r="B1267">
            <v>5</v>
          </cell>
          <cell r="AP1267">
            <v>33</v>
          </cell>
        </row>
        <row r="1268">
          <cell r="B1268">
            <v>5</v>
          </cell>
          <cell r="AP1268">
            <v>33</v>
          </cell>
        </row>
        <row r="1269">
          <cell r="B1269">
            <v>5</v>
          </cell>
          <cell r="AP1269">
            <v>33</v>
          </cell>
        </row>
        <row r="1270">
          <cell r="B1270">
            <v>6</v>
          </cell>
          <cell r="AP1270">
            <v>33</v>
          </cell>
        </row>
        <row r="1271">
          <cell r="B1271">
            <v>6</v>
          </cell>
          <cell r="AP1271">
            <v>33</v>
          </cell>
        </row>
        <row r="1272">
          <cell r="B1272">
            <v>6</v>
          </cell>
          <cell r="AP1272">
            <v>33</v>
          </cell>
        </row>
        <row r="1273">
          <cell r="B1273">
            <v>1</v>
          </cell>
          <cell r="AP1273">
            <v>33</v>
          </cell>
        </row>
        <row r="1274">
          <cell r="B1274">
            <v>1</v>
          </cell>
          <cell r="AP1274">
            <v>33</v>
          </cell>
        </row>
        <row r="1275">
          <cell r="B1275">
            <v>1</v>
          </cell>
          <cell r="AP1275">
            <v>33</v>
          </cell>
        </row>
        <row r="1276">
          <cell r="B1276">
            <v>3</v>
          </cell>
          <cell r="AP1276">
            <v>33</v>
          </cell>
        </row>
        <row r="1277">
          <cell r="B1277">
            <v>3</v>
          </cell>
          <cell r="AP1277">
            <v>33</v>
          </cell>
        </row>
        <row r="1278">
          <cell r="B1278">
            <v>3</v>
          </cell>
          <cell r="AP1278">
            <v>33</v>
          </cell>
        </row>
        <row r="1279">
          <cell r="B1279">
            <v>3</v>
          </cell>
          <cell r="AP1279">
            <v>33</v>
          </cell>
        </row>
        <row r="1280">
          <cell r="B1280">
            <v>3</v>
          </cell>
          <cell r="AP1280">
            <v>33</v>
          </cell>
        </row>
        <row r="1281">
          <cell r="B1281">
            <v>3</v>
          </cell>
          <cell r="AP1281">
            <v>33</v>
          </cell>
        </row>
        <row r="1282">
          <cell r="B1282">
            <v>3</v>
          </cell>
          <cell r="AP1282">
            <v>33</v>
          </cell>
        </row>
        <row r="1283">
          <cell r="B1283">
            <v>6</v>
          </cell>
          <cell r="AP1283">
            <v>33</v>
          </cell>
        </row>
        <row r="1284">
          <cell r="B1284">
            <v>6</v>
          </cell>
          <cell r="AP1284">
            <v>33</v>
          </cell>
        </row>
        <row r="1285">
          <cell r="B1285">
            <v>6</v>
          </cell>
          <cell r="AP1285">
            <v>33</v>
          </cell>
        </row>
        <row r="1286">
          <cell r="B1286">
            <v>6</v>
          </cell>
          <cell r="AP1286">
            <v>33</v>
          </cell>
        </row>
        <row r="1287">
          <cell r="B1287">
            <v>7</v>
          </cell>
          <cell r="AP1287">
            <v>33</v>
          </cell>
        </row>
        <row r="1288">
          <cell r="B1288">
            <v>7</v>
          </cell>
          <cell r="AP1288">
            <v>33</v>
          </cell>
        </row>
        <row r="1289">
          <cell r="B1289">
            <v>7</v>
          </cell>
          <cell r="AP1289">
            <v>33</v>
          </cell>
        </row>
        <row r="1290">
          <cell r="B1290">
            <v>1</v>
          </cell>
          <cell r="AN1290">
            <v>1500</v>
          </cell>
        </row>
        <row r="1291">
          <cell r="B1291">
            <v>1</v>
          </cell>
        </row>
        <row r="1292">
          <cell r="B1292">
            <v>1</v>
          </cell>
          <cell r="AN1292">
            <v>1700</v>
          </cell>
        </row>
        <row r="1293">
          <cell r="B1293">
            <v>1</v>
          </cell>
        </row>
        <row r="1294">
          <cell r="B1294">
            <v>3</v>
          </cell>
        </row>
        <row r="1295">
          <cell r="B1295">
            <v>3</v>
          </cell>
        </row>
        <row r="1296">
          <cell r="B1296">
            <v>3</v>
          </cell>
        </row>
        <row r="1297">
          <cell r="B1297">
            <v>3</v>
          </cell>
        </row>
        <row r="1298">
          <cell r="B1298">
            <v>3</v>
          </cell>
        </row>
        <row r="1299">
          <cell r="B1299">
            <v>6</v>
          </cell>
        </row>
        <row r="1300">
          <cell r="B1300">
            <v>6</v>
          </cell>
        </row>
        <row r="1301">
          <cell r="B1301">
            <v>7</v>
          </cell>
        </row>
        <row r="1302">
          <cell r="B1302">
            <v>7</v>
          </cell>
        </row>
        <row r="1303">
          <cell r="B1303">
            <v>7</v>
          </cell>
        </row>
        <row r="1304">
          <cell r="B1304">
            <v>1</v>
          </cell>
        </row>
        <row r="1305">
          <cell r="B1305">
            <v>1</v>
          </cell>
        </row>
        <row r="1306">
          <cell r="B1306">
            <v>3</v>
          </cell>
        </row>
        <row r="1307">
          <cell r="B1307">
            <v>3</v>
          </cell>
        </row>
        <row r="1308">
          <cell r="B1308">
            <v>3</v>
          </cell>
        </row>
        <row r="1309">
          <cell r="B1309">
            <v>3</v>
          </cell>
        </row>
        <row r="1310">
          <cell r="B1310">
            <v>3</v>
          </cell>
        </row>
        <row r="1311">
          <cell r="B1311">
            <v>4</v>
          </cell>
        </row>
        <row r="1312">
          <cell r="B1312">
            <v>6</v>
          </cell>
        </row>
        <row r="1313">
          <cell r="B1313">
            <v>6</v>
          </cell>
        </row>
        <row r="1314">
          <cell r="B1314">
            <v>6</v>
          </cell>
        </row>
        <row r="1315">
          <cell r="B1315">
            <v>6</v>
          </cell>
        </row>
        <row r="1316">
          <cell r="B1316">
            <v>6</v>
          </cell>
        </row>
        <row r="1317">
          <cell r="B1317">
            <v>6</v>
          </cell>
        </row>
        <row r="1318">
          <cell r="B1318">
            <v>6</v>
          </cell>
        </row>
        <row r="1319">
          <cell r="B1319">
            <v>7</v>
          </cell>
        </row>
        <row r="1320">
          <cell r="B1320">
            <v>7</v>
          </cell>
        </row>
        <row r="1321">
          <cell r="B1321">
            <v>7</v>
          </cell>
        </row>
        <row r="1322">
          <cell r="B1322">
            <v>7</v>
          </cell>
        </row>
        <row r="1323">
          <cell r="B1323">
            <v>7</v>
          </cell>
        </row>
        <row r="1324">
          <cell r="B1324">
            <v>1</v>
          </cell>
          <cell r="AN1324">
            <v>1700</v>
          </cell>
        </row>
        <row r="1325">
          <cell r="B1325">
            <v>1</v>
          </cell>
          <cell r="AN1325">
            <v>1700</v>
          </cell>
        </row>
        <row r="1326">
          <cell r="B1326">
            <v>2</v>
          </cell>
        </row>
        <row r="1327">
          <cell r="B1327">
            <v>2</v>
          </cell>
        </row>
        <row r="1328">
          <cell r="B1328">
            <v>2</v>
          </cell>
        </row>
        <row r="1329">
          <cell r="B1329">
            <v>2</v>
          </cell>
        </row>
        <row r="1330">
          <cell r="B1330">
            <v>3</v>
          </cell>
        </row>
        <row r="1331">
          <cell r="B1331">
            <v>3</v>
          </cell>
        </row>
        <row r="1332">
          <cell r="B1332">
            <v>3</v>
          </cell>
        </row>
        <row r="1333">
          <cell r="B1333">
            <v>4</v>
          </cell>
        </row>
        <row r="1334">
          <cell r="B1334">
            <v>4</v>
          </cell>
        </row>
        <row r="1335">
          <cell r="B1335">
            <v>6</v>
          </cell>
        </row>
        <row r="1336">
          <cell r="B1336">
            <v>6</v>
          </cell>
        </row>
        <row r="1337">
          <cell r="B1337">
            <v>6</v>
          </cell>
        </row>
        <row r="1338">
          <cell r="B1338">
            <v>6</v>
          </cell>
        </row>
        <row r="1339">
          <cell r="B1339">
            <v>6</v>
          </cell>
        </row>
        <row r="1340">
          <cell r="B1340">
            <v>6</v>
          </cell>
        </row>
        <row r="1341">
          <cell r="B1341">
            <v>7</v>
          </cell>
        </row>
        <row r="1342">
          <cell r="B1342">
            <v>7</v>
          </cell>
        </row>
        <row r="1343">
          <cell r="B1343">
            <v>7</v>
          </cell>
        </row>
        <row r="1344">
          <cell r="B1344">
            <v>7</v>
          </cell>
        </row>
        <row r="1345">
          <cell r="B1345">
            <v>7</v>
          </cell>
        </row>
        <row r="1346">
          <cell r="B1346">
            <v>7</v>
          </cell>
        </row>
        <row r="1347">
          <cell r="B1347">
            <v>7</v>
          </cell>
        </row>
        <row r="1348">
          <cell r="B1348">
            <v>1</v>
          </cell>
          <cell r="AN1348">
            <v>1550</v>
          </cell>
        </row>
        <row r="1349">
          <cell r="B1349">
            <v>1</v>
          </cell>
          <cell r="AN1349">
            <v>1550</v>
          </cell>
        </row>
        <row r="1350">
          <cell r="B1350">
            <v>2</v>
          </cell>
        </row>
        <row r="1351">
          <cell r="B1351">
            <v>2</v>
          </cell>
        </row>
        <row r="1352">
          <cell r="B1352">
            <v>2</v>
          </cell>
        </row>
        <row r="1353">
          <cell r="B1353">
            <v>2</v>
          </cell>
        </row>
        <row r="1354">
          <cell r="B1354">
            <v>3</v>
          </cell>
        </row>
        <row r="1355">
          <cell r="B1355">
            <v>3</v>
          </cell>
        </row>
        <row r="1356">
          <cell r="B1356">
            <v>3</v>
          </cell>
        </row>
        <row r="1357">
          <cell r="B1357">
            <v>3</v>
          </cell>
        </row>
        <row r="1358">
          <cell r="B1358">
            <v>3</v>
          </cell>
        </row>
        <row r="1359">
          <cell r="B1359">
            <v>3</v>
          </cell>
        </row>
        <row r="1360">
          <cell r="B1360">
            <v>6</v>
          </cell>
        </row>
        <row r="1361">
          <cell r="B1361">
            <v>6</v>
          </cell>
        </row>
        <row r="1362">
          <cell r="B1362">
            <v>6</v>
          </cell>
        </row>
        <row r="1363">
          <cell r="B1363">
            <v>6</v>
          </cell>
        </row>
        <row r="1364">
          <cell r="B1364">
            <v>6</v>
          </cell>
        </row>
        <row r="1365">
          <cell r="B1365">
            <v>6</v>
          </cell>
        </row>
        <row r="1366">
          <cell r="B1366">
            <v>7</v>
          </cell>
        </row>
        <row r="1367">
          <cell r="B1367">
            <v>7</v>
          </cell>
        </row>
        <row r="1368">
          <cell r="B1368">
            <v>7</v>
          </cell>
        </row>
        <row r="1369">
          <cell r="B1369">
            <v>7</v>
          </cell>
        </row>
        <row r="1370">
          <cell r="B1370">
            <v>1</v>
          </cell>
        </row>
        <row r="1371">
          <cell r="B1371">
            <v>1</v>
          </cell>
          <cell r="AN1371">
            <v>1550</v>
          </cell>
        </row>
        <row r="1372">
          <cell r="B1372">
            <v>1</v>
          </cell>
          <cell r="AN1372">
            <v>1500</v>
          </cell>
        </row>
        <row r="1373">
          <cell r="B1373">
            <v>2</v>
          </cell>
        </row>
        <row r="1374">
          <cell r="B1374">
            <v>3</v>
          </cell>
        </row>
        <row r="1375">
          <cell r="B1375">
            <v>3</v>
          </cell>
        </row>
        <row r="1376">
          <cell r="B1376">
            <v>3</v>
          </cell>
        </row>
        <row r="1377">
          <cell r="B1377">
            <v>3</v>
          </cell>
        </row>
        <row r="1378">
          <cell r="B1378">
            <v>6</v>
          </cell>
        </row>
        <row r="1379">
          <cell r="B1379">
            <v>6</v>
          </cell>
        </row>
        <row r="1380">
          <cell r="B1380">
            <v>6</v>
          </cell>
        </row>
        <row r="1381">
          <cell r="B1381">
            <v>6</v>
          </cell>
        </row>
        <row r="1382">
          <cell r="B1382">
            <v>6</v>
          </cell>
        </row>
        <row r="1383">
          <cell r="B1383">
            <v>6</v>
          </cell>
        </row>
        <row r="1384">
          <cell r="B1384">
            <v>6</v>
          </cell>
        </row>
        <row r="1385">
          <cell r="B1385">
            <v>6</v>
          </cell>
        </row>
        <row r="1386">
          <cell r="B1386">
            <v>7</v>
          </cell>
        </row>
        <row r="1387">
          <cell r="B1387">
            <v>7</v>
          </cell>
        </row>
        <row r="1388">
          <cell r="B1388">
            <v>7</v>
          </cell>
        </row>
        <row r="1389">
          <cell r="B1389">
            <v>7</v>
          </cell>
        </row>
        <row r="1390">
          <cell r="B1390">
            <v>1</v>
          </cell>
        </row>
        <row r="1391">
          <cell r="B1391">
            <v>1</v>
          </cell>
        </row>
        <row r="1392">
          <cell r="B1392">
            <v>1</v>
          </cell>
        </row>
        <row r="1393">
          <cell r="B1393">
            <v>1</v>
          </cell>
        </row>
        <row r="1394">
          <cell r="B1394">
            <v>2</v>
          </cell>
        </row>
        <row r="1395">
          <cell r="B1395">
            <v>3</v>
          </cell>
        </row>
        <row r="1396">
          <cell r="B1396">
            <v>3</v>
          </cell>
        </row>
        <row r="1397">
          <cell r="B1397">
            <v>3</v>
          </cell>
        </row>
        <row r="1398">
          <cell r="B1398">
            <v>3</v>
          </cell>
        </row>
        <row r="1399">
          <cell r="B1399">
            <v>3</v>
          </cell>
        </row>
        <row r="1400">
          <cell r="B1400">
            <v>6</v>
          </cell>
        </row>
        <row r="1401">
          <cell r="B1401">
            <v>6</v>
          </cell>
        </row>
        <row r="1402">
          <cell r="B1402">
            <v>6</v>
          </cell>
        </row>
        <row r="1403">
          <cell r="B1403">
            <v>6</v>
          </cell>
        </row>
        <row r="1404">
          <cell r="B1404">
            <v>6</v>
          </cell>
        </row>
        <row r="1405">
          <cell r="B1405">
            <v>7</v>
          </cell>
        </row>
        <row r="1406">
          <cell r="B1406">
            <v>7</v>
          </cell>
        </row>
        <row r="1407">
          <cell r="B1407">
            <v>7</v>
          </cell>
        </row>
        <row r="1408">
          <cell r="B1408">
            <v>7</v>
          </cell>
        </row>
        <row r="1409">
          <cell r="B1409">
            <v>1</v>
          </cell>
        </row>
        <row r="1410">
          <cell r="B1410">
            <v>1</v>
          </cell>
        </row>
        <row r="1411">
          <cell r="B1411">
            <v>1</v>
          </cell>
        </row>
        <row r="1412">
          <cell r="B1412">
            <v>1</v>
          </cell>
        </row>
        <row r="1413">
          <cell r="B1413">
            <v>2</v>
          </cell>
        </row>
        <row r="1414">
          <cell r="B1414">
            <v>2</v>
          </cell>
        </row>
        <row r="1415">
          <cell r="B1415">
            <v>2</v>
          </cell>
        </row>
        <row r="1416">
          <cell r="B1416">
            <v>2</v>
          </cell>
        </row>
        <row r="1417">
          <cell r="B1417">
            <v>3</v>
          </cell>
        </row>
        <row r="1418">
          <cell r="B1418">
            <v>3</v>
          </cell>
        </row>
        <row r="1419">
          <cell r="B1419">
            <v>3</v>
          </cell>
        </row>
        <row r="1420">
          <cell r="B1420">
            <v>3</v>
          </cell>
        </row>
        <row r="1421">
          <cell r="B1421">
            <v>6</v>
          </cell>
        </row>
        <row r="1422">
          <cell r="B1422">
            <v>6</v>
          </cell>
        </row>
        <row r="1423">
          <cell r="B1423">
            <v>6</v>
          </cell>
        </row>
        <row r="1424">
          <cell r="B1424">
            <v>6</v>
          </cell>
        </row>
        <row r="1425">
          <cell r="B1425">
            <v>7</v>
          </cell>
        </row>
        <row r="1426">
          <cell r="B1426">
            <v>7</v>
          </cell>
        </row>
        <row r="1427">
          <cell r="B1427">
            <v>7</v>
          </cell>
        </row>
        <row r="1428">
          <cell r="B1428">
            <v>1</v>
          </cell>
          <cell r="AN1428">
            <v>1850</v>
          </cell>
        </row>
        <row r="1429">
          <cell r="B1429">
            <v>1</v>
          </cell>
          <cell r="AN1429">
            <v>1900</v>
          </cell>
        </row>
        <row r="1430">
          <cell r="B1430">
            <v>2</v>
          </cell>
        </row>
        <row r="1431">
          <cell r="B1431">
            <v>2</v>
          </cell>
        </row>
        <row r="1432">
          <cell r="B1432">
            <v>2</v>
          </cell>
        </row>
        <row r="1433">
          <cell r="B1433">
            <v>2</v>
          </cell>
        </row>
        <row r="1434">
          <cell r="B1434">
            <v>2</v>
          </cell>
        </row>
        <row r="1435">
          <cell r="B1435">
            <v>3</v>
          </cell>
        </row>
        <row r="1436">
          <cell r="B1436">
            <v>3</v>
          </cell>
        </row>
        <row r="1437">
          <cell r="B1437">
            <v>3</v>
          </cell>
        </row>
        <row r="1438">
          <cell r="B1438">
            <v>3</v>
          </cell>
        </row>
        <row r="1439">
          <cell r="B1439">
            <v>3</v>
          </cell>
        </row>
        <row r="1440">
          <cell r="B1440">
            <v>6</v>
          </cell>
        </row>
        <row r="1441">
          <cell r="B1441">
            <v>6</v>
          </cell>
        </row>
        <row r="1442">
          <cell r="B1442">
            <v>7</v>
          </cell>
        </row>
        <row r="1443">
          <cell r="B1443">
            <v>7</v>
          </cell>
        </row>
        <row r="1444">
          <cell r="B1444">
            <v>7</v>
          </cell>
        </row>
        <row r="1445">
          <cell r="B1445">
            <v>7</v>
          </cell>
        </row>
        <row r="1446">
          <cell r="B1446">
            <v>7</v>
          </cell>
        </row>
        <row r="1447">
          <cell r="B1447">
            <v>7</v>
          </cell>
        </row>
        <row r="1448">
          <cell r="B1448">
            <v>1</v>
          </cell>
          <cell r="AN1448">
            <v>35.200000000000003</v>
          </cell>
          <cell r="AP1448">
            <v>35</v>
          </cell>
        </row>
        <row r="1449">
          <cell r="B1449">
            <v>1</v>
          </cell>
          <cell r="AN1449">
            <v>99.4</v>
          </cell>
          <cell r="AP1449">
            <v>35</v>
          </cell>
        </row>
        <row r="1450">
          <cell r="B1450">
            <v>1</v>
          </cell>
          <cell r="AN1450">
            <v>108.4</v>
          </cell>
          <cell r="AP1450">
            <v>35</v>
          </cell>
        </row>
        <row r="1451">
          <cell r="B1451">
            <v>1</v>
          </cell>
          <cell r="AN1451">
            <v>36.4</v>
          </cell>
          <cell r="AP1451">
            <v>35</v>
          </cell>
        </row>
        <row r="1452">
          <cell r="B1452">
            <v>2</v>
          </cell>
          <cell r="AN1452">
            <v>67.599999999999994</v>
          </cell>
          <cell r="AP1452">
            <v>35</v>
          </cell>
        </row>
        <row r="1453">
          <cell r="B1453">
            <v>2</v>
          </cell>
          <cell r="AN1453">
            <v>101.8</v>
          </cell>
          <cell r="AP1453">
            <v>35</v>
          </cell>
        </row>
        <row r="1454">
          <cell r="B1454">
            <v>2</v>
          </cell>
          <cell r="AN1454">
            <v>29.6</v>
          </cell>
          <cell r="AP1454">
            <v>35</v>
          </cell>
        </row>
        <row r="1455">
          <cell r="B1455">
            <v>2</v>
          </cell>
          <cell r="AN1455">
            <v>155.80000000000001</v>
          </cell>
          <cell r="AP1455">
            <v>35</v>
          </cell>
        </row>
        <row r="1456">
          <cell r="B1456">
            <v>3</v>
          </cell>
          <cell r="AN1456">
            <v>489.59999999999997</v>
          </cell>
          <cell r="AP1456">
            <v>35</v>
          </cell>
        </row>
        <row r="1457">
          <cell r="B1457">
            <v>3</v>
          </cell>
          <cell r="AN1457">
            <v>101.80000000000001</v>
          </cell>
          <cell r="AP1457">
            <v>35</v>
          </cell>
        </row>
        <row r="1458">
          <cell r="B1458">
            <v>3</v>
          </cell>
          <cell r="AN1458">
            <v>160.80000000000001</v>
          </cell>
          <cell r="AP1458">
            <v>35</v>
          </cell>
        </row>
        <row r="1459">
          <cell r="B1459">
            <v>3</v>
          </cell>
          <cell r="AN1459">
            <v>159.80000000000001</v>
          </cell>
          <cell r="AP1459">
            <v>35</v>
          </cell>
        </row>
        <row r="1460">
          <cell r="B1460">
            <v>6</v>
          </cell>
          <cell r="AN1460">
            <v>703.80000000000007</v>
          </cell>
          <cell r="AP1460">
            <v>35</v>
          </cell>
        </row>
        <row r="1461">
          <cell r="B1461">
            <v>6</v>
          </cell>
          <cell r="AN1461">
            <v>566.4</v>
          </cell>
          <cell r="AP1461">
            <v>35</v>
          </cell>
        </row>
        <row r="1462">
          <cell r="B1462">
            <v>6</v>
          </cell>
          <cell r="AN1462">
            <v>199.6</v>
          </cell>
          <cell r="AP1462">
            <v>35</v>
          </cell>
        </row>
        <row r="1463">
          <cell r="B1463">
            <v>7</v>
          </cell>
          <cell r="AN1463">
            <v>252.8</v>
          </cell>
          <cell r="AP1463">
            <v>35</v>
          </cell>
        </row>
        <row r="1464">
          <cell r="B1464">
            <v>7</v>
          </cell>
          <cell r="AN1464">
            <v>111</v>
          </cell>
          <cell r="AP1464">
            <v>35</v>
          </cell>
        </row>
        <row r="1465">
          <cell r="B1465">
            <v>7</v>
          </cell>
          <cell r="AN1465">
            <v>345</v>
          </cell>
          <cell r="AP1465">
            <v>35</v>
          </cell>
        </row>
        <row r="1466">
          <cell r="B1466">
            <v>1</v>
          </cell>
          <cell r="AN1466">
            <v>154.79999999999998</v>
          </cell>
          <cell r="AP1466">
            <v>35</v>
          </cell>
        </row>
        <row r="1467">
          <cell r="B1467">
            <v>1</v>
          </cell>
          <cell r="AN1467">
            <v>61.800000000000004</v>
          </cell>
          <cell r="AP1467">
            <v>35</v>
          </cell>
        </row>
        <row r="1468">
          <cell r="B1468">
            <v>1</v>
          </cell>
          <cell r="AN1468">
            <v>55.6</v>
          </cell>
          <cell r="AP1468">
            <v>35</v>
          </cell>
        </row>
        <row r="1469">
          <cell r="B1469">
            <v>2</v>
          </cell>
          <cell r="AN1469">
            <v>190.39999999999998</v>
          </cell>
          <cell r="AP1469">
            <v>35</v>
          </cell>
        </row>
        <row r="1470">
          <cell r="B1470">
            <v>2</v>
          </cell>
          <cell r="AN1470">
            <v>98.2</v>
          </cell>
          <cell r="AP1470">
            <v>35</v>
          </cell>
        </row>
        <row r="1471">
          <cell r="B1471">
            <v>2</v>
          </cell>
          <cell r="AN1471">
            <v>63.7</v>
          </cell>
          <cell r="AP1471">
            <v>35</v>
          </cell>
        </row>
        <row r="1472">
          <cell r="B1472">
            <v>3</v>
          </cell>
          <cell r="AN1472">
            <v>131.80000000000001</v>
          </cell>
          <cell r="AP1472">
            <v>35</v>
          </cell>
        </row>
        <row r="1473">
          <cell r="B1473">
            <v>3</v>
          </cell>
          <cell r="AN1473">
            <v>53.8</v>
          </cell>
          <cell r="AP1473">
            <v>35</v>
          </cell>
        </row>
        <row r="1474">
          <cell r="B1474">
            <v>3</v>
          </cell>
          <cell r="AN1474">
            <v>78.400000000000006</v>
          </cell>
          <cell r="AP1474">
            <v>35</v>
          </cell>
        </row>
        <row r="1475">
          <cell r="B1475">
            <v>3</v>
          </cell>
          <cell r="AN1475">
            <v>126.30000000000001</v>
          </cell>
          <cell r="AP1475">
            <v>35</v>
          </cell>
        </row>
        <row r="1476">
          <cell r="B1476">
            <v>3</v>
          </cell>
          <cell r="AN1476">
            <v>103.4</v>
          </cell>
          <cell r="AP1476">
            <v>35</v>
          </cell>
        </row>
        <row r="1477">
          <cell r="B1477">
            <v>3</v>
          </cell>
          <cell r="AN1477">
            <v>66.2</v>
          </cell>
          <cell r="AP1477">
            <v>35</v>
          </cell>
        </row>
        <row r="1478">
          <cell r="B1478">
            <v>6</v>
          </cell>
          <cell r="AN1478">
            <v>1218.0999999999999</v>
          </cell>
          <cell r="AP1478">
            <v>35</v>
          </cell>
        </row>
        <row r="1479">
          <cell r="B1479">
            <v>6</v>
          </cell>
          <cell r="AN1479">
            <v>791.4</v>
          </cell>
          <cell r="AP1479">
            <v>35</v>
          </cell>
        </row>
        <row r="1480">
          <cell r="B1480">
            <v>6</v>
          </cell>
          <cell r="AN1480">
            <v>82.8</v>
          </cell>
          <cell r="AP1480">
            <v>35</v>
          </cell>
        </row>
        <row r="1481">
          <cell r="B1481">
            <v>7</v>
          </cell>
          <cell r="AN1481">
            <v>412.63</v>
          </cell>
          <cell r="AP1481">
            <v>35</v>
          </cell>
        </row>
        <row r="1482">
          <cell r="B1482">
            <v>7</v>
          </cell>
          <cell r="AN1482">
            <v>103.9</v>
          </cell>
          <cell r="AP1482">
            <v>35</v>
          </cell>
        </row>
        <row r="1483">
          <cell r="B1483">
            <v>7</v>
          </cell>
          <cell r="AN1483">
            <v>260</v>
          </cell>
          <cell r="AP1483">
            <v>35</v>
          </cell>
        </row>
        <row r="1484">
          <cell r="B1484">
            <v>1</v>
          </cell>
          <cell r="AN1484">
            <v>58.400000000000006</v>
          </cell>
          <cell r="AP1484">
            <v>35</v>
          </cell>
        </row>
        <row r="1485">
          <cell r="B1485">
            <v>1</v>
          </cell>
          <cell r="AN1485">
            <v>109.6</v>
          </cell>
          <cell r="AP1485">
            <v>35</v>
          </cell>
        </row>
        <row r="1486">
          <cell r="B1486">
            <v>1</v>
          </cell>
          <cell r="AN1486">
            <v>103.19999999999999</v>
          </cell>
          <cell r="AP1486">
            <v>35</v>
          </cell>
        </row>
        <row r="1487">
          <cell r="B1487">
            <v>1</v>
          </cell>
          <cell r="AN1487">
            <v>55</v>
          </cell>
          <cell r="AP1487">
            <v>35</v>
          </cell>
        </row>
        <row r="1488">
          <cell r="B1488">
            <v>2</v>
          </cell>
          <cell r="AN1488">
            <v>79.599999999999994</v>
          </cell>
          <cell r="AP1488">
            <v>35</v>
          </cell>
        </row>
        <row r="1489">
          <cell r="B1489">
            <v>2</v>
          </cell>
          <cell r="AN1489">
            <v>111.80000000000001</v>
          </cell>
          <cell r="AP1489">
            <v>35</v>
          </cell>
        </row>
        <row r="1490">
          <cell r="B1490">
            <v>2</v>
          </cell>
          <cell r="AN1490">
            <v>236.8</v>
          </cell>
          <cell r="AP1490">
            <v>35</v>
          </cell>
        </row>
        <row r="1491">
          <cell r="B1491">
            <v>3</v>
          </cell>
          <cell r="AN1491">
            <v>517.40000000000009</v>
          </cell>
          <cell r="AP1491">
            <v>35</v>
          </cell>
        </row>
        <row r="1492">
          <cell r="B1492">
            <v>3</v>
          </cell>
          <cell r="AN1492">
            <v>448.59999999999997</v>
          </cell>
          <cell r="AP1492">
            <v>35</v>
          </cell>
        </row>
        <row r="1493">
          <cell r="B1493">
            <v>3</v>
          </cell>
          <cell r="AN1493">
            <v>53.8</v>
          </cell>
          <cell r="AP1493">
            <v>35</v>
          </cell>
        </row>
        <row r="1494">
          <cell r="B1494">
            <v>6</v>
          </cell>
          <cell r="AN1494">
            <v>539.4</v>
          </cell>
          <cell r="AP1494">
            <v>35</v>
          </cell>
        </row>
        <row r="1495">
          <cell r="B1495">
            <v>6</v>
          </cell>
          <cell r="AN1495">
            <v>646</v>
          </cell>
          <cell r="AP1495">
            <v>35</v>
          </cell>
        </row>
        <row r="1496">
          <cell r="B1496">
            <v>7</v>
          </cell>
          <cell r="AN1496">
            <v>93.3</v>
          </cell>
          <cell r="AP1496">
            <v>35</v>
          </cell>
        </row>
        <row r="1497">
          <cell r="B1497">
            <v>7</v>
          </cell>
          <cell r="AN1497">
            <v>106.69999999999999</v>
          </cell>
          <cell r="AP1497">
            <v>35</v>
          </cell>
        </row>
        <row r="1498">
          <cell r="B1498">
            <v>7</v>
          </cell>
          <cell r="AN1498">
            <v>99.77</v>
          </cell>
          <cell r="AP1498">
            <v>35</v>
          </cell>
        </row>
        <row r="1499">
          <cell r="B1499">
            <v>7</v>
          </cell>
          <cell r="AN1499">
            <v>62.88</v>
          </cell>
          <cell r="AP1499">
            <v>35</v>
          </cell>
        </row>
        <row r="1500">
          <cell r="B1500">
            <v>7</v>
          </cell>
          <cell r="AN1500">
            <v>36.200000000000003</v>
          </cell>
          <cell r="AP1500">
            <v>35</v>
          </cell>
        </row>
        <row r="1501">
          <cell r="B1501">
            <v>7</v>
          </cell>
          <cell r="AN1501">
            <v>356.5</v>
          </cell>
          <cell r="AP1501">
            <v>35</v>
          </cell>
        </row>
        <row r="1502">
          <cell r="B1502">
            <v>1</v>
          </cell>
          <cell r="AN1502">
            <v>135.22</v>
          </cell>
          <cell r="AP1502">
            <v>35</v>
          </cell>
        </row>
        <row r="1503">
          <cell r="B1503">
            <v>1</v>
          </cell>
          <cell r="AN1503">
            <v>127.39999999999999</v>
          </cell>
          <cell r="AP1503">
            <v>35</v>
          </cell>
        </row>
        <row r="1504">
          <cell r="B1504">
            <v>2</v>
          </cell>
          <cell r="AN1504">
            <v>81</v>
          </cell>
          <cell r="AP1504">
            <v>35</v>
          </cell>
        </row>
        <row r="1505">
          <cell r="B1505">
            <v>2</v>
          </cell>
          <cell r="AN1505">
            <v>63.8</v>
          </cell>
          <cell r="AP1505">
            <v>35</v>
          </cell>
        </row>
        <row r="1506">
          <cell r="B1506">
            <v>2</v>
          </cell>
          <cell r="AN1506">
            <v>91.6</v>
          </cell>
          <cell r="AP1506">
            <v>35</v>
          </cell>
        </row>
        <row r="1507">
          <cell r="B1507">
            <v>2</v>
          </cell>
          <cell r="AN1507">
            <v>117.8</v>
          </cell>
          <cell r="AP1507">
            <v>35</v>
          </cell>
        </row>
        <row r="1508">
          <cell r="B1508">
            <v>2</v>
          </cell>
          <cell r="AN1508">
            <v>151</v>
          </cell>
          <cell r="AP1508">
            <v>35</v>
          </cell>
        </row>
        <row r="1509">
          <cell r="B1509">
            <v>3</v>
          </cell>
          <cell r="AN1509">
            <v>402</v>
          </cell>
          <cell r="AP1509">
            <v>35</v>
          </cell>
        </row>
        <row r="1510">
          <cell r="B1510">
            <v>3</v>
          </cell>
          <cell r="AN1510">
            <v>484.6</v>
          </cell>
          <cell r="AP1510">
            <v>35</v>
          </cell>
        </row>
        <row r="1511">
          <cell r="B1511">
            <v>4</v>
          </cell>
          <cell r="AN1511">
            <v>431</v>
          </cell>
          <cell r="AP1511">
            <v>35</v>
          </cell>
        </row>
        <row r="1512">
          <cell r="B1512">
            <v>6</v>
          </cell>
          <cell r="AN1512">
            <v>398.8</v>
          </cell>
          <cell r="AP1512">
            <v>35</v>
          </cell>
        </row>
        <row r="1513">
          <cell r="B1513">
            <v>6</v>
          </cell>
          <cell r="AN1513">
            <v>252.20000000000005</v>
          </cell>
          <cell r="AP1513">
            <v>35</v>
          </cell>
        </row>
        <row r="1514">
          <cell r="B1514">
            <v>6</v>
          </cell>
          <cell r="AN1514">
            <v>151</v>
          </cell>
          <cell r="AP1514">
            <v>35</v>
          </cell>
        </row>
        <row r="1515">
          <cell r="B1515">
            <v>6</v>
          </cell>
          <cell r="AN1515">
            <v>750.3</v>
          </cell>
          <cell r="AP1515">
            <v>35</v>
          </cell>
        </row>
        <row r="1516">
          <cell r="B1516">
            <v>7</v>
          </cell>
          <cell r="AN1516">
            <v>41.98</v>
          </cell>
          <cell r="AP1516">
            <v>35</v>
          </cell>
        </row>
        <row r="1517">
          <cell r="B1517">
            <v>7</v>
          </cell>
          <cell r="AN1517">
            <v>148.60000000000002</v>
          </cell>
          <cell r="AP1517">
            <v>35</v>
          </cell>
        </row>
        <row r="1518">
          <cell r="B1518">
            <v>7</v>
          </cell>
          <cell r="AN1518">
            <v>70.099999999999994</v>
          </cell>
          <cell r="AP1518">
            <v>35</v>
          </cell>
        </row>
        <row r="1519">
          <cell r="B1519">
            <v>7</v>
          </cell>
          <cell r="AN1519">
            <v>77.3</v>
          </cell>
          <cell r="AP1519">
            <v>35</v>
          </cell>
        </row>
        <row r="1520">
          <cell r="B1520">
            <v>7</v>
          </cell>
          <cell r="AN1520">
            <v>76.599999999999994</v>
          </cell>
          <cell r="AP1520">
            <v>35</v>
          </cell>
        </row>
        <row r="1521">
          <cell r="B1521">
            <v>7</v>
          </cell>
          <cell r="AN1521">
            <v>106.5</v>
          </cell>
          <cell r="AP1521">
            <v>35</v>
          </cell>
        </row>
        <row r="1522">
          <cell r="B1522">
            <v>7</v>
          </cell>
          <cell r="AN1522">
            <v>153.60000000000002</v>
          </cell>
          <cell r="AP1522">
            <v>35</v>
          </cell>
        </row>
        <row r="1523">
          <cell r="B1523">
            <v>7</v>
          </cell>
          <cell r="AN1523">
            <v>61.8</v>
          </cell>
          <cell r="AP1523">
            <v>35</v>
          </cell>
        </row>
        <row r="1524">
          <cell r="B1524">
            <v>1</v>
          </cell>
          <cell r="AN1524">
            <v>51.4</v>
          </cell>
          <cell r="AP1524">
            <v>35</v>
          </cell>
        </row>
        <row r="1525">
          <cell r="B1525">
            <v>1</v>
          </cell>
          <cell r="AN1525">
            <v>90.6</v>
          </cell>
          <cell r="AP1525">
            <v>35</v>
          </cell>
        </row>
        <row r="1526">
          <cell r="B1526">
            <v>1</v>
          </cell>
          <cell r="AN1526">
            <v>163.4</v>
          </cell>
          <cell r="AP1526">
            <v>35</v>
          </cell>
        </row>
        <row r="1527">
          <cell r="B1527">
            <v>2</v>
          </cell>
          <cell r="AN1527">
            <v>119.4</v>
          </cell>
          <cell r="AP1527">
            <v>35</v>
          </cell>
        </row>
        <row r="1528">
          <cell r="B1528">
            <v>2</v>
          </cell>
          <cell r="AN1528">
            <v>48</v>
          </cell>
          <cell r="AP1528">
            <v>35</v>
          </cell>
        </row>
        <row r="1529">
          <cell r="B1529">
            <v>2</v>
          </cell>
          <cell r="AN1529">
            <v>37.200000000000003</v>
          </cell>
          <cell r="AP1529">
            <v>35</v>
          </cell>
        </row>
        <row r="1530">
          <cell r="B1530">
            <v>2</v>
          </cell>
          <cell r="AN1530">
            <v>29.8</v>
          </cell>
          <cell r="AP1530">
            <v>35</v>
          </cell>
        </row>
        <row r="1531">
          <cell r="B1531">
            <v>2</v>
          </cell>
          <cell r="AN1531">
            <v>130</v>
          </cell>
          <cell r="AP1531">
            <v>35</v>
          </cell>
        </row>
        <row r="1532">
          <cell r="B1532">
            <v>2</v>
          </cell>
          <cell r="AN1532">
            <v>108</v>
          </cell>
          <cell r="AP1532">
            <v>35</v>
          </cell>
        </row>
        <row r="1533">
          <cell r="B1533">
            <v>3</v>
          </cell>
          <cell r="AN1533">
            <v>463.65999999999997</v>
          </cell>
          <cell r="AP1533">
            <v>35</v>
          </cell>
        </row>
        <row r="1534">
          <cell r="B1534">
            <v>3</v>
          </cell>
          <cell r="AN1534">
            <v>133</v>
          </cell>
          <cell r="AP1534">
            <v>35</v>
          </cell>
        </row>
        <row r="1535">
          <cell r="B1535">
            <v>3</v>
          </cell>
          <cell r="AN1535">
            <v>120.7</v>
          </cell>
          <cell r="AP1535">
            <v>35</v>
          </cell>
        </row>
        <row r="1536">
          <cell r="B1536">
            <v>4</v>
          </cell>
          <cell r="AN1536">
            <v>449.99999999999994</v>
          </cell>
          <cell r="AP1536">
            <v>35</v>
          </cell>
        </row>
        <row r="1537">
          <cell r="B1537">
            <v>4</v>
          </cell>
          <cell r="AN1537">
            <v>155.80000000000001</v>
          </cell>
          <cell r="AP1537">
            <v>35</v>
          </cell>
        </row>
        <row r="1538">
          <cell r="B1538">
            <v>4</v>
          </cell>
          <cell r="AN1538">
            <v>159</v>
          </cell>
          <cell r="AP1538">
            <v>35</v>
          </cell>
        </row>
        <row r="1539">
          <cell r="B1539">
            <v>4</v>
          </cell>
          <cell r="AN1539">
            <v>148</v>
          </cell>
          <cell r="AP1539">
            <v>35</v>
          </cell>
        </row>
        <row r="1540">
          <cell r="B1540">
            <v>6</v>
          </cell>
          <cell r="AN1540">
            <v>231.60000000000002</v>
          </cell>
          <cell r="AP1540">
            <v>35</v>
          </cell>
        </row>
        <row r="1541">
          <cell r="B1541">
            <v>6</v>
          </cell>
          <cell r="AN1541">
            <v>128</v>
          </cell>
          <cell r="AP1541">
            <v>35</v>
          </cell>
        </row>
        <row r="1542">
          <cell r="B1542">
            <v>6</v>
          </cell>
          <cell r="AN1542">
            <v>98.199999999999989</v>
          </cell>
          <cell r="AP1542">
            <v>35</v>
          </cell>
        </row>
        <row r="1543">
          <cell r="B1543">
            <v>7</v>
          </cell>
          <cell r="AN1543">
            <v>365.09999999999997</v>
          </cell>
          <cell r="AP1543">
            <v>35</v>
          </cell>
        </row>
        <row r="1544">
          <cell r="B1544">
            <v>7</v>
          </cell>
          <cell r="AN1544">
            <v>98.800000000000011</v>
          </cell>
          <cell r="AP1544">
            <v>35</v>
          </cell>
        </row>
        <row r="1545">
          <cell r="B1545">
            <v>7</v>
          </cell>
          <cell r="AN1545">
            <v>359.20000000000005</v>
          </cell>
          <cell r="AP1545">
            <v>35</v>
          </cell>
        </row>
        <row r="1546">
          <cell r="B1546">
            <v>1</v>
          </cell>
          <cell r="AN1546">
            <v>25.8</v>
          </cell>
          <cell r="AP1546">
            <v>35</v>
          </cell>
        </row>
        <row r="1547">
          <cell r="B1547">
            <v>1</v>
          </cell>
          <cell r="AN1547">
            <v>102</v>
          </cell>
          <cell r="AP1547">
            <v>35</v>
          </cell>
        </row>
        <row r="1548">
          <cell r="B1548">
            <v>1</v>
          </cell>
          <cell r="AN1548">
            <v>44</v>
          </cell>
          <cell r="AP1548">
            <v>35</v>
          </cell>
        </row>
        <row r="1549">
          <cell r="B1549">
            <v>2</v>
          </cell>
          <cell r="AN1549">
            <v>243.2</v>
          </cell>
          <cell r="AP1549">
            <v>35</v>
          </cell>
        </row>
        <row r="1550">
          <cell r="B1550">
            <v>2</v>
          </cell>
          <cell r="AN1550">
            <v>48.8</v>
          </cell>
          <cell r="AP1550">
            <v>35</v>
          </cell>
        </row>
        <row r="1551">
          <cell r="B1551">
            <v>2</v>
          </cell>
          <cell r="AN1551">
            <v>88.4</v>
          </cell>
          <cell r="AP1551">
            <v>35</v>
          </cell>
        </row>
        <row r="1552">
          <cell r="B1552">
            <v>2</v>
          </cell>
          <cell r="AN1552">
            <v>91.8</v>
          </cell>
          <cell r="AP1552">
            <v>35</v>
          </cell>
        </row>
        <row r="1553">
          <cell r="B1553">
            <v>3</v>
          </cell>
          <cell r="AN1553">
            <v>45.6</v>
          </cell>
          <cell r="AP1553">
            <v>35</v>
          </cell>
        </row>
        <row r="1554">
          <cell r="B1554">
            <v>3</v>
          </cell>
          <cell r="AN1554">
            <v>158.19999999999999</v>
          </cell>
          <cell r="AP1554">
            <v>35</v>
          </cell>
        </row>
        <row r="1555">
          <cell r="B1555">
            <v>3</v>
          </cell>
          <cell r="AN1555">
            <v>156</v>
          </cell>
          <cell r="AP1555">
            <v>35</v>
          </cell>
        </row>
        <row r="1556">
          <cell r="B1556">
            <v>3</v>
          </cell>
          <cell r="AN1556">
            <v>50.6</v>
          </cell>
          <cell r="AP1556">
            <v>35</v>
          </cell>
        </row>
        <row r="1557">
          <cell r="B1557">
            <v>3</v>
          </cell>
          <cell r="AN1557">
            <v>249.89999999999998</v>
          </cell>
          <cell r="AP1557">
            <v>35</v>
          </cell>
        </row>
        <row r="1558">
          <cell r="B1558">
            <v>4</v>
          </cell>
          <cell r="AN1558">
            <v>188.8</v>
          </cell>
          <cell r="AP1558">
            <v>35</v>
          </cell>
        </row>
        <row r="1559">
          <cell r="B1559">
            <v>4</v>
          </cell>
          <cell r="AN1559">
            <v>112</v>
          </cell>
          <cell r="AP1559">
            <v>35</v>
          </cell>
        </row>
        <row r="1560">
          <cell r="B1560">
            <v>4</v>
          </cell>
          <cell r="AN1560">
            <v>108.4</v>
          </cell>
          <cell r="AP1560">
            <v>35</v>
          </cell>
        </row>
        <row r="1561">
          <cell r="B1561">
            <v>4</v>
          </cell>
          <cell r="AN1561">
            <v>113.6</v>
          </cell>
          <cell r="AP1561">
            <v>35</v>
          </cell>
        </row>
        <row r="1562">
          <cell r="B1562">
            <v>4</v>
          </cell>
          <cell r="AN1562">
            <v>119.4</v>
          </cell>
          <cell r="AP1562">
            <v>35</v>
          </cell>
        </row>
        <row r="1563">
          <cell r="B1563">
            <v>4</v>
          </cell>
          <cell r="AN1563">
            <v>128.4</v>
          </cell>
          <cell r="AP1563">
            <v>35</v>
          </cell>
        </row>
        <row r="1564">
          <cell r="B1564">
            <v>6</v>
          </cell>
          <cell r="AN1564">
            <v>105.8</v>
          </cell>
          <cell r="AP1564">
            <v>35</v>
          </cell>
        </row>
        <row r="1565">
          <cell r="B1565">
            <v>6</v>
          </cell>
          <cell r="AN1565">
            <v>114.8</v>
          </cell>
          <cell r="AP1565">
            <v>35</v>
          </cell>
        </row>
        <row r="1566">
          <cell r="B1566">
            <v>6</v>
          </cell>
          <cell r="AN1566">
            <v>532.20000000000005</v>
          </cell>
          <cell r="AP1566">
            <v>35</v>
          </cell>
        </row>
        <row r="1567">
          <cell r="B1567">
            <v>6</v>
          </cell>
          <cell r="AN1567">
            <v>132.80000000000001</v>
          </cell>
          <cell r="AP1567">
            <v>35</v>
          </cell>
        </row>
        <row r="1568">
          <cell r="B1568">
            <v>7</v>
          </cell>
          <cell r="AN1568">
            <v>50.1</v>
          </cell>
          <cell r="AP1568">
            <v>35</v>
          </cell>
        </row>
        <row r="1569">
          <cell r="B1569">
            <v>7</v>
          </cell>
          <cell r="AN1569">
            <v>103.05</v>
          </cell>
          <cell r="AP1569">
            <v>35</v>
          </cell>
        </row>
        <row r="1570">
          <cell r="B1570">
            <v>7</v>
          </cell>
          <cell r="AN1570">
            <v>152</v>
          </cell>
          <cell r="AP1570">
            <v>35</v>
          </cell>
        </row>
        <row r="1571">
          <cell r="B1571">
            <v>7</v>
          </cell>
          <cell r="AN1571">
            <v>323.2</v>
          </cell>
          <cell r="AP1571">
            <v>35</v>
          </cell>
        </row>
        <row r="1572">
          <cell r="B1572">
            <v>4</v>
          </cell>
          <cell r="AN1572">
            <v>135</v>
          </cell>
          <cell r="AP1572">
            <v>36</v>
          </cell>
        </row>
        <row r="1573">
          <cell r="B1573">
            <v>4</v>
          </cell>
          <cell r="AN1573">
            <v>87.8</v>
          </cell>
          <cell r="AP1573">
            <v>36</v>
          </cell>
        </row>
        <row r="1574">
          <cell r="B1574">
            <v>4</v>
          </cell>
          <cell r="AN1574">
            <v>298.39999999999998</v>
          </cell>
          <cell r="AP1574">
            <v>36</v>
          </cell>
        </row>
        <row r="1575">
          <cell r="B1575">
            <v>2</v>
          </cell>
          <cell r="AN1575">
            <v>100.6</v>
          </cell>
          <cell r="AP1575">
            <v>36</v>
          </cell>
        </row>
        <row r="1576">
          <cell r="B1576">
            <v>2</v>
          </cell>
          <cell r="AN1576">
            <v>68.599999999999994</v>
          </cell>
          <cell r="AP1576">
            <v>36</v>
          </cell>
        </row>
        <row r="1577">
          <cell r="B1577">
            <v>2</v>
          </cell>
          <cell r="AN1577">
            <v>107.80000000000001</v>
          </cell>
          <cell r="AP1577">
            <v>36</v>
          </cell>
        </row>
        <row r="1578">
          <cell r="B1578">
            <v>2</v>
          </cell>
          <cell r="AN1578">
            <v>38.4</v>
          </cell>
          <cell r="AP1578">
            <v>36</v>
          </cell>
        </row>
        <row r="1579">
          <cell r="B1579">
            <v>2</v>
          </cell>
          <cell r="AN1579">
            <v>110.19999999999999</v>
          </cell>
          <cell r="AP1579">
            <v>36</v>
          </cell>
        </row>
        <row r="1580">
          <cell r="B1580">
            <v>3</v>
          </cell>
          <cell r="AN1580">
            <v>106.8</v>
          </cell>
          <cell r="AP1580">
            <v>36</v>
          </cell>
        </row>
        <row r="1581">
          <cell r="B1581">
            <v>3</v>
          </cell>
          <cell r="AN1581">
            <v>124.6</v>
          </cell>
          <cell r="AP1581">
            <v>36</v>
          </cell>
        </row>
        <row r="1582">
          <cell r="B1582">
            <v>3</v>
          </cell>
          <cell r="AN1582">
            <v>115.8</v>
          </cell>
          <cell r="AP1582">
            <v>36</v>
          </cell>
        </row>
        <row r="1583">
          <cell r="B1583">
            <v>3</v>
          </cell>
          <cell r="AN1583">
            <v>199.4</v>
          </cell>
          <cell r="AP1583">
            <v>36</v>
          </cell>
        </row>
        <row r="1584">
          <cell r="B1584">
            <v>6</v>
          </cell>
          <cell r="AN1584">
            <v>419.40000000000003</v>
          </cell>
          <cell r="AP1584">
            <v>36</v>
          </cell>
        </row>
        <row r="1585">
          <cell r="B1585">
            <v>6</v>
          </cell>
          <cell r="AN1585">
            <v>634.4</v>
          </cell>
          <cell r="AP1585">
            <v>36</v>
          </cell>
        </row>
        <row r="1586">
          <cell r="B1586">
            <v>6</v>
          </cell>
          <cell r="AN1586">
            <v>54.8</v>
          </cell>
          <cell r="AP1586">
            <v>36</v>
          </cell>
        </row>
        <row r="1587">
          <cell r="B1587">
            <v>2</v>
          </cell>
          <cell r="AN1587">
            <v>47.8</v>
          </cell>
          <cell r="AP1587">
            <v>36</v>
          </cell>
        </row>
        <row r="1588">
          <cell r="B1588">
            <v>2</v>
          </cell>
          <cell r="AN1588">
            <v>101.80000000000001</v>
          </cell>
          <cell r="AP1588">
            <v>36</v>
          </cell>
        </row>
        <row r="1589">
          <cell r="B1589">
            <v>2</v>
          </cell>
          <cell r="AN1589">
            <v>95.4</v>
          </cell>
          <cell r="AP1589">
            <v>36</v>
          </cell>
        </row>
        <row r="1590">
          <cell r="B1590">
            <v>2</v>
          </cell>
          <cell r="AN1590">
            <v>124.20000000000002</v>
          </cell>
          <cell r="AP1590">
            <v>36</v>
          </cell>
        </row>
        <row r="1591">
          <cell r="B1591">
            <v>2</v>
          </cell>
          <cell r="AN1591">
            <v>73.400000000000006</v>
          </cell>
          <cell r="AP1591">
            <v>36</v>
          </cell>
        </row>
        <row r="1592">
          <cell r="B1592">
            <v>3</v>
          </cell>
          <cell r="AN1592">
            <v>133.6</v>
          </cell>
          <cell r="AP1592">
            <v>36</v>
          </cell>
        </row>
        <row r="1593">
          <cell r="B1593">
            <v>3</v>
          </cell>
          <cell r="AN1593">
            <v>106.1</v>
          </cell>
          <cell r="AP1593">
            <v>36</v>
          </cell>
        </row>
        <row r="1594">
          <cell r="B1594">
            <v>3</v>
          </cell>
          <cell r="AN1594">
            <v>197</v>
          </cell>
          <cell r="AP1594">
            <v>36</v>
          </cell>
        </row>
        <row r="1595">
          <cell r="B1595">
            <v>3</v>
          </cell>
          <cell r="AN1595">
            <v>88.8</v>
          </cell>
          <cell r="AP1595">
            <v>36</v>
          </cell>
        </row>
        <row r="1596">
          <cell r="B1596">
            <v>3</v>
          </cell>
          <cell r="AN1596">
            <v>88.800000000000011</v>
          </cell>
          <cell r="AP1596">
            <v>36</v>
          </cell>
        </row>
        <row r="1597">
          <cell r="B1597">
            <v>3</v>
          </cell>
          <cell r="AN1597">
            <v>90</v>
          </cell>
          <cell r="AP1597">
            <v>36</v>
          </cell>
        </row>
        <row r="1598">
          <cell r="B1598">
            <v>4</v>
          </cell>
          <cell r="AN1598">
            <v>338.49</v>
          </cell>
          <cell r="AP1598">
            <v>36</v>
          </cell>
        </row>
        <row r="1599">
          <cell r="B1599">
            <v>4</v>
          </cell>
          <cell r="AN1599">
            <v>208.60000000000002</v>
          </cell>
          <cell r="AP1599">
            <v>36</v>
          </cell>
        </row>
        <row r="1600">
          <cell r="B1600">
            <v>4</v>
          </cell>
          <cell r="AN1600">
            <v>46.8</v>
          </cell>
          <cell r="AP1600">
            <v>36</v>
          </cell>
        </row>
        <row r="1601">
          <cell r="B1601">
            <v>6</v>
          </cell>
          <cell r="AN1601">
            <v>107.80000000000001</v>
          </cell>
          <cell r="AP1601">
            <v>36</v>
          </cell>
        </row>
        <row r="1602">
          <cell r="B1602">
            <v>6</v>
          </cell>
          <cell r="AN1602">
            <v>105.2</v>
          </cell>
          <cell r="AP1602">
            <v>36</v>
          </cell>
        </row>
        <row r="1603">
          <cell r="B1603">
            <v>6</v>
          </cell>
          <cell r="AN1603">
            <v>141.19999999999999</v>
          </cell>
          <cell r="AP1603">
            <v>36</v>
          </cell>
        </row>
        <row r="1604">
          <cell r="B1604">
            <v>6</v>
          </cell>
          <cell r="AN1604">
            <v>322</v>
          </cell>
          <cell r="AP1604">
            <v>36</v>
          </cell>
        </row>
        <row r="1605">
          <cell r="B1605">
            <v>6</v>
          </cell>
          <cell r="AN1605">
            <v>154</v>
          </cell>
          <cell r="AP1605">
            <v>36</v>
          </cell>
        </row>
        <row r="1606">
          <cell r="B1606">
            <v>6</v>
          </cell>
          <cell r="AN1606">
            <v>45.8</v>
          </cell>
          <cell r="AP1606">
            <v>36</v>
          </cell>
        </row>
        <row r="1607">
          <cell r="B1607">
            <v>6</v>
          </cell>
          <cell r="AN1607">
            <v>118.4</v>
          </cell>
          <cell r="AP1607">
            <v>36</v>
          </cell>
        </row>
        <row r="1608">
          <cell r="B1608">
            <v>6</v>
          </cell>
          <cell r="AN1608">
            <v>224</v>
          </cell>
          <cell r="AP1608">
            <v>36</v>
          </cell>
        </row>
        <row r="1609">
          <cell r="B1609">
            <v>6</v>
          </cell>
          <cell r="AN1609">
            <v>320.59999999999997</v>
          </cell>
          <cell r="AP1609">
            <v>36</v>
          </cell>
        </row>
        <row r="1610">
          <cell r="B1610">
            <v>2</v>
          </cell>
          <cell r="AN1610">
            <v>216.60000000000002</v>
          </cell>
          <cell r="AP1610">
            <v>36</v>
          </cell>
        </row>
        <row r="1611">
          <cell r="B1611">
            <v>2</v>
          </cell>
          <cell r="AN1611">
            <v>126.4</v>
          </cell>
          <cell r="AP1611">
            <v>36</v>
          </cell>
        </row>
        <row r="1612">
          <cell r="B1612">
            <v>2</v>
          </cell>
          <cell r="AN1612">
            <v>195.60000000000002</v>
          </cell>
          <cell r="AP1612">
            <v>36</v>
          </cell>
        </row>
        <row r="1613">
          <cell r="B1613">
            <v>2</v>
          </cell>
          <cell r="AN1613">
            <v>75.199999999999989</v>
          </cell>
          <cell r="AP1613">
            <v>36</v>
          </cell>
        </row>
        <row r="1614">
          <cell r="B1614">
            <v>2</v>
          </cell>
          <cell r="AN1614">
            <v>37.799999999999997</v>
          </cell>
          <cell r="AP1614">
            <v>36</v>
          </cell>
        </row>
        <row r="1615">
          <cell r="B1615">
            <v>3</v>
          </cell>
          <cell r="AN1615">
            <v>100.2</v>
          </cell>
          <cell r="AP1615">
            <v>36</v>
          </cell>
        </row>
        <row r="1616">
          <cell r="B1616">
            <v>3</v>
          </cell>
          <cell r="AN1616">
            <v>202.8</v>
          </cell>
          <cell r="AP1616">
            <v>36</v>
          </cell>
        </row>
        <row r="1617">
          <cell r="B1617">
            <v>3</v>
          </cell>
          <cell r="AN1617">
            <v>125.4</v>
          </cell>
          <cell r="AP1617">
            <v>36</v>
          </cell>
        </row>
        <row r="1618">
          <cell r="B1618">
            <v>3</v>
          </cell>
          <cell r="AN1618">
            <v>224.60000000000002</v>
          </cell>
          <cell r="AP1618">
            <v>36</v>
          </cell>
        </row>
        <row r="1619">
          <cell r="B1619">
            <v>3</v>
          </cell>
          <cell r="AN1619">
            <v>104</v>
          </cell>
          <cell r="AP1619">
            <v>36</v>
          </cell>
        </row>
        <row r="1620">
          <cell r="B1620">
            <v>3</v>
          </cell>
          <cell r="AN1620">
            <v>107.8</v>
          </cell>
          <cell r="AP1620">
            <v>36</v>
          </cell>
        </row>
        <row r="1621">
          <cell r="B1621">
            <v>4</v>
          </cell>
          <cell r="AN1621">
            <v>444.00000000000006</v>
          </cell>
          <cell r="AP1621">
            <v>36</v>
          </cell>
        </row>
        <row r="1622">
          <cell r="B1622">
            <v>4</v>
          </cell>
          <cell r="AN1622">
            <v>158.80000000000001</v>
          </cell>
          <cell r="AP1622">
            <v>36</v>
          </cell>
        </row>
        <row r="1623">
          <cell r="B1623">
            <v>4</v>
          </cell>
          <cell r="AN1623">
            <v>106.4</v>
          </cell>
          <cell r="AP1623">
            <v>36</v>
          </cell>
        </row>
        <row r="1624">
          <cell r="B1624">
            <v>4</v>
          </cell>
          <cell r="AN1624">
            <v>95.6</v>
          </cell>
          <cell r="AP1624">
            <v>36</v>
          </cell>
        </row>
        <row r="1625">
          <cell r="B1625">
            <v>6</v>
          </cell>
          <cell r="AN1625">
            <v>321.2</v>
          </cell>
          <cell r="AP1625">
            <v>36</v>
          </cell>
        </row>
        <row r="1626">
          <cell r="B1626">
            <v>6</v>
          </cell>
          <cell r="AN1626">
            <v>465.00000000000006</v>
          </cell>
          <cell r="AP1626">
            <v>36</v>
          </cell>
        </row>
        <row r="1627">
          <cell r="B1627">
            <v>6</v>
          </cell>
          <cell r="AN1627">
            <v>78.599999999999994</v>
          </cell>
          <cell r="AP1627">
            <v>36</v>
          </cell>
        </row>
        <row r="1628">
          <cell r="B1628">
            <v>6</v>
          </cell>
          <cell r="AN1628">
            <v>538.39999999999986</v>
          </cell>
          <cell r="AP1628">
            <v>36</v>
          </cell>
        </row>
        <row r="1629">
          <cell r="B1629">
            <v>2</v>
          </cell>
          <cell r="AN1629">
            <v>43</v>
          </cell>
          <cell r="AP1629">
            <v>36</v>
          </cell>
        </row>
        <row r="1630">
          <cell r="B1630">
            <v>2</v>
          </cell>
          <cell r="AN1630">
            <v>243.6</v>
          </cell>
          <cell r="AP1630">
            <v>36</v>
          </cell>
        </row>
        <row r="1631">
          <cell r="B1631">
            <v>2</v>
          </cell>
          <cell r="AN1631">
            <v>105.6</v>
          </cell>
          <cell r="AP1631">
            <v>36</v>
          </cell>
        </row>
        <row r="1632">
          <cell r="B1632">
            <v>2</v>
          </cell>
          <cell r="AN1632">
            <v>175.2</v>
          </cell>
          <cell r="AP1632">
            <v>36</v>
          </cell>
        </row>
        <row r="1633">
          <cell r="B1633">
            <v>3</v>
          </cell>
          <cell r="AN1633">
            <v>104.79999999999998</v>
          </cell>
          <cell r="AP1633">
            <v>36</v>
          </cell>
        </row>
        <row r="1634">
          <cell r="B1634">
            <v>3</v>
          </cell>
          <cell r="AN1634">
            <v>108.4</v>
          </cell>
          <cell r="AP1634">
            <v>36</v>
          </cell>
        </row>
        <row r="1635">
          <cell r="B1635">
            <v>3</v>
          </cell>
          <cell r="AN1635">
            <v>101.2</v>
          </cell>
          <cell r="AP1635">
            <v>36</v>
          </cell>
        </row>
        <row r="1636">
          <cell r="B1636">
            <v>3</v>
          </cell>
          <cell r="AN1636">
            <v>115.60000000000001</v>
          </cell>
          <cell r="AP1636">
            <v>36</v>
          </cell>
        </row>
        <row r="1637">
          <cell r="B1637">
            <v>4</v>
          </cell>
          <cell r="AN1637">
            <v>293.2</v>
          </cell>
          <cell r="AP1637">
            <v>36</v>
          </cell>
        </row>
        <row r="1638">
          <cell r="B1638">
            <v>4</v>
          </cell>
          <cell r="AN1638">
            <v>202.2</v>
          </cell>
          <cell r="AP1638">
            <v>36</v>
          </cell>
        </row>
        <row r="1639">
          <cell r="B1639">
            <v>4</v>
          </cell>
          <cell r="AN1639">
            <v>421.4</v>
          </cell>
          <cell r="AP1639">
            <v>36</v>
          </cell>
        </row>
        <row r="1640">
          <cell r="B1640">
            <v>6</v>
          </cell>
          <cell r="AN1640">
            <v>75.8</v>
          </cell>
          <cell r="AP1640">
            <v>36</v>
          </cell>
        </row>
        <row r="1641">
          <cell r="B1641">
            <v>6</v>
          </cell>
          <cell r="AN1641">
            <v>299.8</v>
          </cell>
          <cell r="AP1641">
            <v>36</v>
          </cell>
        </row>
        <row r="1642">
          <cell r="B1642">
            <v>6</v>
          </cell>
          <cell r="AN1642">
            <v>102</v>
          </cell>
          <cell r="AP1642">
            <v>36</v>
          </cell>
        </row>
        <row r="1643">
          <cell r="B1643">
            <v>2</v>
          </cell>
          <cell r="AN1643">
            <v>106.2</v>
          </cell>
          <cell r="AP1643">
            <v>36</v>
          </cell>
        </row>
        <row r="1644">
          <cell r="B1644">
            <v>2</v>
          </cell>
          <cell r="AN1644">
            <v>59.2</v>
          </cell>
          <cell r="AP1644">
            <v>36</v>
          </cell>
        </row>
        <row r="1645">
          <cell r="B1645">
            <v>2</v>
          </cell>
          <cell r="AN1645">
            <v>108.2</v>
          </cell>
          <cell r="AP1645">
            <v>36</v>
          </cell>
        </row>
        <row r="1646">
          <cell r="B1646">
            <v>2</v>
          </cell>
          <cell r="AN1646">
            <v>62</v>
          </cell>
          <cell r="AP1646">
            <v>36</v>
          </cell>
        </row>
        <row r="1647">
          <cell r="B1647">
            <v>2</v>
          </cell>
          <cell r="AN1647">
            <v>45.4</v>
          </cell>
          <cell r="AP1647">
            <v>36</v>
          </cell>
        </row>
        <row r="1648">
          <cell r="B1648">
            <v>3</v>
          </cell>
          <cell r="AN1648">
            <v>139.69999999999999</v>
          </cell>
          <cell r="AP1648">
            <v>36</v>
          </cell>
        </row>
        <row r="1649">
          <cell r="B1649">
            <v>4</v>
          </cell>
          <cell r="AN1649">
            <v>353.6</v>
          </cell>
          <cell r="AP1649">
            <v>36</v>
          </cell>
        </row>
        <row r="1650">
          <cell r="B1650">
            <v>4</v>
          </cell>
          <cell r="AN1650">
            <v>362</v>
          </cell>
          <cell r="AP1650">
            <v>36</v>
          </cell>
        </row>
        <row r="1651">
          <cell r="B1651">
            <v>5</v>
          </cell>
          <cell r="AN1651">
            <v>118</v>
          </cell>
          <cell r="AP1651">
            <v>36</v>
          </cell>
        </row>
        <row r="1652">
          <cell r="B1652">
            <v>5</v>
          </cell>
          <cell r="AN1652">
            <v>220.39999999999998</v>
          </cell>
          <cell r="AP1652">
            <v>36</v>
          </cell>
        </row>
        <row r="1653">
          <cell r="B1653">
            <v>5</v>
          </cell>
          <cell r="AN1653">
            <v>245.8</v>
          </cell>
          <cell r="AP1653">
            <v>36</v>
          </cell>
        </row>
        <row r="1654">
          <cell r="B1654">
            <v>5</v>
          </cell>
          <cell r="AN1654">
            <v>132.6</v>
          </cell>
          <cell r="AP1654">
            <v>36</v>
          </cell>
        </row>
        <row r="1655">
          <cell r="B1655">
            <v>5</v>
          </cell>
          <cell r="AN1655">
            <v>278.39999999999998</v>
          </cell>
          <cell r="AP1655">
            <v>36</v>
          </cell>
        </row>
        <row r="1656">
          <cell r="B1656" t="str">
            <v>-</v>
          </cell>
          <cell r="AP1656">
            <v>37</v>
          </cell>
        </row>
        <row r="1657">
          <cell r="B1657">
            <v>2</v>
          </cell>
          <cell r="AN1657">
            <v>147.19999999999999</v>
          </cell>
          <cell r="AP1657">
            <v>37</v>
          </cell>
        </row>
        <row r="1658">
          <cell r="B1658">
            <v>2</v>
          </cell>
          <cell r="AN1658">
            <v>266.2</v>
          </cell>
          <cell r="AP1658">
            <v>37</v>
          </cell>
        </row>
        <row r="1659">
          <cell r="B1659">
            <v>3</v>
          </cell>
          <cell r="AN1659">
            <v>158</v>
          </cell>
          <cell r="AP1659">
            <v>37</v>
          </cell>
        </row>
        <row r="1660">
          <cell r="B1660">
            <v>3</v>
          </cell>
          <cell r="AN1660">
            <v>84</v>
          </cell>
          <cell r="AP1660">
            <v>37</v>
          </cell>
        </row>
        <row r="1661">
          <cell r="B1661">
            <v>3</v>
          </cell>
          <cell r="AN1661">
            <v>78.600000000000009</v>
          </cell>
          <cell r="AP1661">
            <v>37</v>
          </cell>
        </row>
        <row r="1662">
          <cell r="B1662">
            <v>3</v>
          </cell>
          <cell r="AN1662">
            <v>318.62</v>
          </cell>
          <cell r="AP1662">
            <v>37</v>
          </cell>
        </row>
        <row r="1663">
          <cell r="B1663">
            <v>4</v>
          </cell>
          <cell r="AN1663">
            <v>274.20000000000005</v>
          </cell>
          <cell r="AP1663">
            <v>37</v>
          </cell>
        </row>
        <row r="1664">
          <cell r="B1664">
            <v>4</v>
          </cell>
          <cell r="AN1664">
            <v>178.99999999999997</v>
          </cell>
          <cell r="AP1664">
            <v>37</v>
          </cell>
        </row>
        <row r="1665">
          <cell r="B1665">
            <v>4</v>
          </cell>
          <cell r="AN1665">
            <v>92</v>
          </cell>
          <cell r="AP1665">
            <v>37</v>
          </cell>
        </row>
        <row r="1666">
          <cell r="B1666">
            <v>4</v>
          </cell>
          <cell r="AN1666">
            <v>185.4</v>
          </cell>
          <cell r="AP1666">
            <v>37</v>
          </cell>
        </row>
        <row r="1667">
          <cell r="B1667">
            <v>1</v>
          </cell>
          <cell r="AN1667">
            <v>58.7</v>
          </cell>
          <cell r="AP1667">
            <v>37</v>
          </cell>
        </row>
        <row r="1668">
          <cell r="B1668">
            <v>1</v>
          </cell>
          <cell r="AN1668">
            <v>189.9</v>
          </cell>
          <cell r="AP1668">
            <v>37</v>
          </cell>
        </row>
        <row r="1669">
          <cell r="B1669">
            <v>2</v>
          </cell>
          <cell r="AN1669">
            <v>257.10000000000002</v>
          </cell>
          <cell r="AP1669">
            <v>37</v>
          </cell>
        </row>
        <row r="1670">
          <cell r="B1670">
            <v>2</v>
          </cell>
          <cell r="AN1670">
            <v>73</v>
          </cell>
          <cell r="AP1670">
            <v>37</v>
          </cell>
        </row>
        <row r="1671">
          <cell r="B1671">
            <v>3</v>
          </cell>
          <cell r="AN1671">
            <v>65.8</v>
          </cell>
          <cell r="AP1671">
            <v>37</v>
          </cell>
        </row>
        <row r="1672">
          <cell r="B1672">
            <v>3</v>
          </cell>
          <cell r="AN1672">
            <v>74.399999999999991</v>
          </cell>
          <cell r="AP1672">
            <v>37</v>
          </cell>
        </row>
        <row r="1673">
          <cell r="B1673">
            <v>3</v>
          </cell>
          <cell r="AN1673">
            <v>251</v>
          </cell>
          <cell r="AP1673">
            <v>37</v>
          </cell>
        </row>
        <row r="1674">
          <cell r="B1674">
            <v>3</v>
          </cell>
          <cell r="AN1674">
            <v>49.6</v>
          </cell>
          <cell r="AP1674">
            <v>37</v>
          </cell>
        </row>
        <row r="1675">
          <cell r="B1675">
            <v>3</v>
          </cell>
          <cell r="AN1675">
            <v>91.2</v>
          </cell>
          <cell r="AP1675">
            <v>37</v>
          </cell>
        </row>
        <row r="1676">
          <cell r="B1676">
            <v>3</v>
          </cell>
          <cell r="AN1676">
            <v>242.7</v>
          </cell>
          <cell r="AP1676">
            <v>37</v>
          </cell>
        </row>
        <row r="1677">
          <cell r="B1677">
            <v>4</v>
          </cell>
          <cell r="AN1677">
            <v>58.2</v>
          </cell>
          <cell r="AP1677">
            <v>37</v>
          </cell>
        </row>
        <row r="1678">
          <cell r="B1678">
            <v>4</v>
          </cell>
          <cell r="AN1678">
            <v>114.39999999999999</v>
          </cell>
          <cell r="AP1678">
            <v>37</v>
          </cell>
        </row>
        <row r="1679">
          <cell r="B1679">
            <v>4</v>
          </cell>
          <cell r="AN1679">
            <v>126</v>
          </cell>
          <cell r="AP1679">
            <v>37</v>
          </cell>
        </row>
        <row r="1680">
          <cell r="B1680">
            <v>4</v>
          </cell>
          <cell r="AN1680">
            <v>69.399999999999991</v>
          </cell>
          <cell r="AP1680">
            <v>37</v>
          </cell>
        </row>
        <row r="1681">
          <cell r="B1681">
            <v>4</v>
          </cell>
          <cell r="AN1681">
            <v>176.20000000000002</v>
          </cell>
          <cell r="AP1681">
            <v>37</v>
          </cell>
        </row>
        <row r="1682">
          <cell r="B1682">
            <v>4</v>
          </cell>
          <cell r="AN1682">
            <v>124.80000000000001</v>
          </cell>
          <cell r="AP1682">
            <v>37</v>
          </cell>
        </row>
        <row r="1683">
          <cell r="B1683">
            <v>4</v>
          </cell>
          <cell r="AN1683">
            <v>82.600000000000009</v>
          </cell>
          <cell r="AP1683">
            <v>37</v>
          </cell>
        </row>
        <row r="1684">
          <cell r="B1684">
            <v>6</v>
          </cell>
          <cell r="AN1684">
            <v>82.199999999999989</v>
          </cell>
          <cell r="AP1684">
            <v>37</v>
          </cell>
        </row>
        <row r="1685">
          <cell r="B1685">
            <v>6</v>
          </cell>
          <cell r="AN1685">
            <v>357.2</v>
          </cell>
          <cell r="AP1685">
            <v>37</v>
          </cell>
        </row>
        <row r="1686">
          <cell r="B1686">
            <v>1</v>
          </cell>
          <cell r="AN1686">
            <v>84.800000000000011</v>
          </cell>
          <cell r="AP1686">
            <v>37</v>
          </cell>
        </row>
        <row r="1687">
          <cell r="B1687">
            <v>1</v>
          </cell>
          <cell r="AN1687">
            <v>113.2</v>
          </cell>
          <cell r="AP1687">
            <v>37</v>
          </cell>
        </row>
        <row r="1688">
          <cell r="B1688">
            <v>1</v>
          </cell>
          <cell r="AN1688">
            <v>193.79999999999998</v>
          </cell>
          <cell r="AP1688">
            <v>37</v>
          </cell>
        </row>
        <row r="1689">
          <cell r="B1689">
            <v>2</v>
          </cell>
          <cell r="AN1689">
            <v>112.4</v>
          </cell>
          <cell r="AP1689">
            <v>37</v>
          </cell>
        </row>
        <row r="1690">
          <cell r="B1690">
            <v>2</v>
          </cell>
          <cell r="AN1690">
            <v>107.4</v>
          </cell>
          <cell r="AP1690">
            <v>37</v>
          </cell>
        </row>
        <row r="1691">
          <cell r="B1691">
            <v>2</v>
          </cell>
          <cell r="AN1691">
            <v>49.2</v>
          </cell>
          <cell r="AP1691">
            <v>37</v>
          </cell>
        </row>
        <row r="1692">
          <cell r="B1692">
            <v>2</v>
          </cell>
          <cell r="AN1692">
            <v>95.6</v>
          </cell>
          <cell r="AP1692">
            <v>37</v>
          </cell>
        </row>
        <row r="1693">
          <cell r="B1693">
            <v>3</v>
          </cell>
          <cell r="AN1693">
            <v>227.5</v>
          </cell>
          <cell r="AP1693">
            <v>37</v>
          </cell>
        </row>
        <row r="1694">
          <cell r="B1694">
            <v>3</v>
          </cell>
          <cell r="AN1694">
            <v>174.6</v>
          </cell>
          <cell r="AP1694">
            <v>37</v>
          </cell>
        </row>
        <row r="1695">
          <cell r="B1695">
            <v>3</v>
          </cell>
          <cell r="AN1695">
            <v>188.4</v>
          </cell>
          <cell r="AP1695">
            <v>37</v>
          </cell>
        </row>
        <row r="1696">
          <cell r="B1696">
            <v>3</v>
          </cell>
          <cell r="AN1696">
            <v>117.2</v>
          </cell>
          <cell r="AP1696">
            <v>37</v>
          </cell>
        </row>
        <row r="1697">
          <cell r="B1697">
            <v>3</v>
          </cell>
          <cell r="AN1697">
            <v>101.6</v>
          </cell>
          <cell r="AP1697">
            <v>37</v>
          </cell>
        </row>
        <row r="1698">
          <cell r="B1698">
            <v>4</v>
          </cell>
          <cell r="AN1698">
            <v>46.6</v>
          </cell>
          <cell r="AP1698">
            <v>37</v>
          </cell>
        </row>
        <row r="1699">
          <cell r="B1699">
            <v>4</v>
          </cell>
          <cell r="AN1699">
            <v>156.20000000000002</v>
          </cell>
          <cell r="AP1699">
            <v>37</v>
          </cell>
        </row>
        <row r="1700">
          <cell r="B1700">
            <v>4</v>
          </cell>
          <cell r="AN1700">
            <v>68.8</v>
          </cell>
          <cell r="AP1700">
            <v>37</v>
          </cell>
        </row>
        <row r="1701">
          <cell r="B1701">
            <v>4</v>
          </cell>
          <cell r="AN1701">
            <v>115.6</v>
          </cell>
          <cell r="AP1701">
            <v>37</v>
          </cell>
        </row>
        <row r="1702">
          <cell r="B1702">
            <v>4</v>
          </cell>
          <cell r="AN1702">
            <v>61.199999999999996</v>
          </cell>
          <cell r="AP1702">
            <v>37</v>
          </cell>
        </row>
        <row r="1703">
          <cell r="B1703">
            <v>4</v>
          </cell>
          <cell r="AN1703">
            <v>203.2</v>
          </cell>
          <cell r="AP1703">
            <v>37</v>
          </cell>
        </row>
        <row r="1704">
          <cell r="B1704">
            <v>6</v>
          </cell>
          <cell r="AN1704">
            <v>466.6</v>
          </cell>
          <cell r="AP1704">
            <v>37</v>
          </cell>
        </row>
        <row r="1705">
          <cell r="B1705">
            <v>6</v>
          </cell>
          <cell r="AN1705">
            <v>146.30000000000001</v>
          </cell>
          <cell r="AP1705">
            <v>37</v>
          </cell>
        </row>
        <row r="1706">
          <cell r="B1706">
            <v>6</v>
          </cell>
          <cell r="AN1706">
            <v>166</v>
          </cell>
          <cell r="AP1706">
            <v>37</v>
          </cell>
        </row>
        <row r="1707">
          <cell r="B1707">
            <v>6</v>
          </cell>
          <cell r="AN1707">
            <v>196.5</v>
          </cell>
          <cell r="AP1707">
            <v>37</v>
          </cell>
        </row>
        <row r="1708">
          <cell r="B1708">
            <v>6</v>
          </cell>
          <cell r="AN1708">
            <v>137.4</v>
          </cell>
          <cell r="AP1708">
            <v>37</v>
          </cell>
        </row>
        <row r="1709">
          <cell r="B1709">
            <v>6</v>
          </cell>
          <cell r="AN1709">
            <v>68</v>
          </cell>
          <cell r="AP1709">
            <v>37</v>
          </cell>
        </row>
        <row r="1710">
          <cell r="B1710">
            <v>1</v>
          </cell>
          <cell r="AN1710">
            <v>98.999999999999986</v>
          </cell>
          <cell r="AP1710">
            <v>37</v>
          </cell>
        </row>
        <row r="1711">
          <cell r="B1711">
            <v>1</v>
          </cell>
          <cell r="AN1711">
            <v>118.5</v>
          </cell>
          <cell r="AP1711">
            <v>37</v>
          </cell>
        </row>
        <row r="1712">
          <cell r="B1712">
            <v>1</v>
          </cell>
          <cell r="AN1712">
            <v>59.5</v>
          </cell>
          <cell r="AP1712">
            <v>37</v>
          </cell>
        </row>
        <row r="1713">
          <cell r="B1713">
            <v>1</v>
          </cell>
          <cell r="AN1713">
            <v>110.19999999999999</v>
          </cell>
          <cell r="AP1713">
            <v>37</v>
          </cell>
        </row>
        <row r="1714">
          <cell r="B1714">
            <v>1</v>
          </cell>
          <cell r="AN1714">
            <v>41.699999999999996</v>
          </cell>
          <cell r="AP1714">
            <v>37</v>
          </cell>
        </row>
        <row r="1715">
          <cell r="B1715">
            <v>2</v>
          </cell>
          <cell r="AN1715">
            <v>40.6</v>
          </cell>
          <cell r="AP1715">
            <v>37</v>
          </cell>
        </row>
        <row r="1716">
          <cell r="B1716">
            <v>2</v>
          </cell>
          <cell r="AN1716">
            <v>130.4</v>
          </cell>
          <cell r="AP1716">
            <v>37</v>
          </cell>
        </row>
        <row r="1717">
          <cell r="B1717">
            <v>2</v>
          </cell>
          <cell r="AN1717">
            <v>114.6</v>
          </cell>
          <cell r="AP1717">
            <v>37</v>
          </cell>
        </row>
        <row r="1718">
          <cell r="B1718">
            <v>2</v>
          </cell>
          <cell r="AN1718">
            <v>81.2</v>
          </cell>
          <cell r="AP1718">
            <v>37</v>
          </cell>
        </row>
        <row r="1719">
          <cell r="B1719">
            <v>3</v>
          </cell>
          <cell r="AN1719">
            <v>210.6</v>
          </cell>
          <cell r="AP1719">
            <v>37</v>
          </cell>
        </row>
        <row r="1720">
          <cell r="B1720">
            <v>3</v>
          </cell>
          <cell r="AN1720">
            <v>123.19999999999999</v>
          </cell>
          <cell r="AP1720">
            <v>37</v>
          </cell>
        </row>
        <row r="1721">
          <cell r="B1721">
            <v>3</v>
          </cell>
          <cell r="AN1721">
            <v>100.4</v>
          </cell>
          <cell r="AP1721">
            <v>37</v>
          </cell>
        </row>
        <row r="1722">
          <cell r="B1722">
            <v>3</v>
          </cell>
          <cell r="AN1722">
            <v>205.43</v>
          </cell>
          <cell r="AP1722">
            <v>37</v>
          </cell>
        </row>
        <row r="1723">
          <cell r="B1723">
            <v>4</v>
          </cell>
          <cell r="AN1723">
            <v>260.10000000000002</v>
          </cell>
          <cell r="AP1723">
            <v>37</v>
          </cell>
        </row>
        <row r="1724">
          <cell r="B1724">
            <v>4</v>
          </cell>
          <cell r="AN1724">
            <v>42.699999999999996</v>
          </cell>
          <cell r="AP1724">
            <v>37</v>
          </cell>
        </row>
        <row r="1725">
          <cell r="B1725">
            <v>4</v>
          </cell>
          <cell r="AN1725">
            <v>193.55</v>
          </cell>
          <cell r="AP1725">
            <v>37</v>
          </cell>
        </row>
        <row r="1726">
          <cell r="B1726">
            <v>6</v>
          </cell>
          <cell r="AN1726">
            <v>68.400000000000006</v>
          </cell>
          <cell r="AP1726">
            <v>37</v>
          </cell>
        </row>
        <row r="1727">
          <cell r="B1727">
            <v>6</v>
          </cell>
          <cell r="AN1727">
            <v>217.8</v>
          </cell>
          <cell r="AP1727">
            <v>37</v>
          </cell>
        </row>
        <row r="1728">
          <cell r="B1728">
            <v>6</v>
          </cell>
          <cell r="AN1728">
            <v>142</v>
          </cell>
          <cell r="AP1728">
            <v>37</v>
          </cell>
        </row>
        <row r="1729">
          <cell r="B1729">
            <v>6</v>
          </cell>
          <cell r="AN1729">
            <v>200.2</v>
          </cell>
          <cell r="AP1729">
            <v>37</v>
          </cell>
        </row>
        <row r="1730">
          <cell r="B1730">
            <v>6</v>
          </cell>
          <cell r="AN1730">
            <v>255</v>
          </cell>
          <cell r="AP1730">
            <v>37</v>
          </cell>
        </row>
        <row r="1731">
          <cell r="B1731">
            <v>6</v>
          </cell>
          <cell r="AN1731">
            <v>224.60000000000002</v>
          </cell>
          <cell r="AP1731">
            <v>37</v>
          </cell>
        </row>
        <row r="1732">
          <cell r="B1732">
            <v>1</v>
          </cell>
          <cell r="AN1732">
            <v>144.4</v>
          </cell>
          <cell r="AP1732">
            <v>37</v>
          </cell>
        </row>
        <row r="1733">
          <cell r="B1733">
            <v>1</v>
          </cell>
          <cell r="AN1733">
            <v>63.2</v>
          </cell>
          <cell r="AP1733">
            <v>37</v>
          </cell>
        </row>
        <row r="1734">
          <cell r="B1734">
            <v>1</v>
          </cell>
          <cell r="AN1734">
            <v>44.8</v>
          </cell>
          <cell r="AP1734">
            <v>37</v>
          </cell>
        </row>
        <row r="1735">
          <cell r="B1735">
            <v>1</v>
          </cell>
          <cell r="AN1735">
            <v>57.6</v>
          </cell>
          <cell r="AP1735">
            <v>37</v>
          </cell>
        </row>
        <row r="1736">
          <cell r="B1736">
            <v>2</v>
          </cell>
          <cell r="AN1736">
            <v>35.799999999999997</v>
          </cell>
          <cell r="AP1736">
            <v>37</v>
          </cell>
        </row>
        <row r="1737">
          <cell r="B1737">
            <v>2</v>
          </cell>
          <cell r="AN1737">
            <v>130.10000000000002</v>
          </cell>
          <cell r="AP1737">
            <v>37</v>
          </cell>
        </row>
        <row r="1738">
          <cell r="B1738">
            <v>2</v>
          </cell>
          <cell r="AN1738">
            <v>70.2</v>
          </cell>
          <cell r="AP1738">
            <v>37</v>
          </cell>
        </row>
        <row r="1739">
          <cell r="B1739">
            <v>2</v>
          </cell>
          <cell r="AN1739">
            <v>148.80000000000001</v>
          </cell>
          <cell r="AP1739">
            <v>37</v>
          </cell>
        </row>
        <row r="1740">
          <cell r="B1740">
            <v>2</v>
          </cell>
          <cell r="AN1740">
            <v>100.70000000000002</v>
          </cell>
          <cell r="AP1740">
            <v>37</v>
          </cell>
        </row>
        <row r="1741">
          <cell r="B1741">
            <v>3</v>
          </cell>
          <cell r="AN1741">
            <v>111.69999999999999</v>
          </cell>
          <cell r="AP1741">
            <v>37</v>
          </cell>
        </row>
        <row r="1742">
          <cell r="B1742">
            <v>3</v>
          </cell>
          <cell r="AN1742">
            <v>337.2</v>
          </cell>
          <cell r="AP1742">
            <v>37</v>
          </cell>
        </row>
        <row r="1743">
          <cell r="B1743">
            <v>3</v>
          </cell>
          <cell r="AN1743">
            <v>116.8</v>
          </cell>
          <cell r="AP1743">
            <v>37</v>
          </cell>
        </row>
        <row r="1744">
          <cell r="B1744">
            <v>3</v>
          </cell>
          <cell r="AN1744">
            <v>54.4</v>
          </cell>
          <cell r="AP1744">
            <v>37</v>
          </cell>
        </row>
        <row r="1745">
          <cell r="B1745">
            <v>4</v>
          </cell>
          <cell r="AN1745">
            <v>235.20000000000002</v>
          </cell>
          <cell r="AP1745">
            <v>37</v>
          </cell>
        </row>
        <row r="1746">
          <cell r="B1746">
            <v>4</v>
          </cell>
          <cell r="AN1746">
            <v>69.399999999999991</v>
          </cell>
          <cell r="AP1746">
            <v>37</v>
          </cell>
        </row>
        <row r="1747">
          <cell r="B1747">
            <v>4</v>
          </cell>
          <cell r="AN1747">
            <v>339</v>
          </cell>
          <cell r="AP1747">
            <v>37</v>
          </cell>
        </row>
        <row r="1748">
          <cell r="B1748">
            <v>4</v>
          </cell>
          <cell r="AN1748">
            <v>110.6</v>
          </cell>
          <cell r="AP1748">
            <v>37</v>
          </cell>
        </row>
        <row r="1749">
          <cell r="B1749">
            <v>5</v>
          </cell>
          <cell r="AN1749">
            <v>84</v>
          </cell>
          <cell r="AP1749">
            <v>37</v>
          </cell>
        </row>
        <row r="1750">
          <cell r="B1750">
            <v>5</v>
          </cell>
          <cell r="AN1750">
            <v>561.20000000000005</v>
          </cell>
          <cell r="AP1750">
            <v>37</v>
          </cell>
        </row>
        <row r="1751">
          <cell r="B1751">
            <v>5</v>
          </cell>
          <cell r="AN1751">
            <v>833.5999999999998</v>
          </cell>
          <cell r="AP1751">
            <v>37</v>
          </cell>
        </row>
        <row r="1752">
          <cell r="B1752" t="str">
            <v>1</v>
          </cell>
          <cell r="AN1752">
            <v>141</v>
          </cell>
          <cell r="AP1752">
            <v>37</v>
          </cell>
        </row>
        <row r="1753">
          <cell r="B1753" t="str">
            <v>1</v>
          </cell>
          <cell r="AN1753">
            <v>126.60000000000001</v>
          </cell>
          <cell r="AP1753">
            <v>37</v>
          </cell>
        </row>
        <row r="1754">
          <cell r="B1754" t="str">
            <v>1</v>
          </cell>
          <cell r="AN1754">
            <v>67.699999999999989</v>
          </cell>
          <cell r="AP1754">
            <v>37</v>
          </cell>
        </row>
        <row r="1755">
          <cell r="B1755" t="str">
            <v>2</v>
          </cell>
          <cell r="AN1755">
            <v>158.15</v>
          </cell>
          <cell r="AP1755">
            <v>37</v>
          </cell>
        </row>
        <row r="1756">
          <cell r="B1756" t="str">
            <v>2</v>
          </cell>
          <cell r="AN1756">
            <v>109.1</v>
          </cell>
          <cell r="AP1756">
            <v>37</v>
          </cell>
        </row>
        <row r="1757">
          <cell r="B1757" t="str">
            <v>2</v>
          </cell>
          <cell r="AN1757">
            <v>76</v>
          </cell>
          <cell r="AP1757">
            <v>37</v>
          </cell>
        </row>
        <row r="1758">
          <cell r="B1758" t="str">
            <v>3</v>
          </cell>
          <cell r="AN1758">
            <v>449.79999999999995</v>
          </cell>
          <cell r="AP1758">
            <v>37</v>
          </cell>
        </row>
        <row r="1759">
          <cell r="B1759" t="str">
            <v>3</v>
          </cell>
          <cell r="AN1759">
            <v>102.6</v>
          </cell>
          <cell r="AP1759">
            <v>37</v>
          </cell>
        </row>
        <row r="1760">
          <cell r="B1760" t="str">
            <v>3</v>
          </cell>
          <cell r="AN1760">
            <v>318.20000000000005</v>
          </cell>
          <cell r="AP1760">
            <v>37</v>
          </cell>
        </row>
        <row r="1761">
          <cell r="B1761" t="str">
            <v>4</v>
          </cell>
          <cell r="AN1761">
            <v>120.7</v>
          </cell>
          <cell r="AP1761">
            <v>37</v>
          </cell>
        </row>
        <row r="1762">
          <cell r="B1762" t="str">
            <v>4</v>
          </cell>
          <cell r="AN1762">
            <v>150.6</v>
          </cell>
          <cell r="AP1762">
            <v>37</v>
          </cell>
        </row>
        <row r="1763">
          <cell r="B1763" t="str">
            <v>4</v>
          </cell>
          <cell r="AN1763">
            <v>281.8</v>
          </cell>
          <cell r="AP1763">
            <v>37</v>
          </cell>
        </row>
        <row r="1764">
          <cell r="B1764" t="str">
            <v>6</v>
          </cell>
          <cell r="AN1764">
            <v>365.9</v>
          </cell>
          <cell r="AP1764">
            <v>37</v>
          </cell>
        </row>
        <row r="1765">
          <cell r="B1765" t="str">
            <v>6</v>
          </cell>
          <cell r="AN1765">
            <v>334.79999999999995</v>
          </cell>
          <cell r="AP1765">
            <v>37</v>
          </cell>
        </row>
        <row r="1766">
          <cell r="B1766" t="str">
            <v>6</v>
          </cell>
          <cell r="AN1766">
            <v>744.8</v>
          </cell>
          <cell r="AP1766">
            <v>37</v>
          </cell>
        </row>
        <row r="1767">
          <cell r="B1767" t="str">
            <v>1</v>
          </cell>
          <cell r="AN1767">
            <v>76.7</v>
          </cell>
          <cell r="AP1767">
            <v>37</v>
          </cell>
        </row>
        <row r="1768">
          <cell r="B1768" t="str">
            <v>1</v>
          </cell>
          <cell r="AN1768">
            <v>122</v>
          </cell>
          <cell r="AP1768">
            <v>37</v>
          </cell>
        </row>
        <row r="1769">
          <cell r="B1769" t="str">
            <v>1</v>
          </cell>
          <cell r="AN1769">
            <v>112.6</v>
          </cell>
          <cell r="AP1769">
            <v>37</v>
          </cell>
        </row>
        <row r="1770">
          <cell r="B1770" t="str">
            <v>1</v>
          </cell>
          <cell r="AN1770">
            <v>65.900000000000006</v>
          </cell>
          <cell r="AP1770">
            <v>37</v>
          </cell>
        </row>
        <row r="1771">
          <cell r="B1771" t="str">
            <v>2</v>
          </cell>
          <cell r="AN1771">
            <v>143.5</v>
          </cell>
          <cell r="AP1771">
            <v>37</v>
          </cell>
        </row>
        <row r="1772">
          <cell r="B1772" t="str">
            <v>2</v>
          </cell>
          <cell r="AN1772">
            <v>50</v>
          </cell>
          <cell r="AP1772">
            <v>37</v>
          </cell>
        </row>
        <row r="1773">
          <cell r="B1773" t="str">
            <v>2</v>
          </cell>
          <cell r="AN1773">
            <v>61.4</v>
          </cell>
          <cell r="AP1773">
            <v>37</v>
          </cell>
        </row>
        <row r="1774">
          <cell r="B1774" t="str">
            <v>2</v>
          </cell>
          <cell r="AN1774">
            <v>117.9</v>
          </cell>
          <cell r="AP1774">
            <v>37</v>
          </cell>
        </row>
        <row r="1775">
          <cell r="B1775" t="str">
            <v>3</v>
          </cell>
          <cell r="AN1775">
            <v>222.39999999999998</v>
          </cell>
          <cell r="AP1775">
            <v>37</v>
          </cell>
        </row>
        <row r="1776">
          <cell r="B1776" t="str">
            <v>3</v>
          </cell>
          <cell r="AN1776">
            <v>119.6</v>
          </cell>
          <cell r="AP1776">
            <v>37</v>
          </cell>
        </row>
        <row r="1777">
          <cell r="B1777" t="str">
            <v>3</v>
          </cell>
          <cell r="AN1777">
            <v>56</v>
          </cell>
          <cell r="AP1777">
            <v>37</v>
          </cell>
        </row>
        <row r="1778">
          <cell r="B1778" t="str">
            <v>3</v>
          </cell>
          <cell r="AN1778">
            <v>124.69999999999999</v>
          </cell>
          <cell r="AP1778">
            <v>37</v>
          </cell>
        </row>
        <row r="1779">
          <cell r="B1779" t="str">
            <v>3</v>
          </cell>
          <cell r="AN1779">
            <v>135.20000000000002</v>
          </cell>
          <cell r="AP1779">
            <v>37</v>
          </cell>
        </row>
        <row r="1780">
          <cell r="B1780" t="str">
            <v>4</v>
          </cell>
          <cell r="AN1780">
            <v>191.5</v>
          </cell>
          <cell r="AP1780">
            <v>37</v>
          </cell>
        </row>
        <row r="1781">
          <cell r="B1781" t="str">
            <v>4</v>
          </cell>
          <cell r="AN1781">
            <v>110</v>
          </cell>
          <cell r="AP1781">
            <v>37</v>
          </cell>
        </row>
        <row r="1782">
          <cell r="B1782" t="str">
            <v>4</v>
          </cell>
          <cell r="AN1782">
            <v>108.2</v>
          </cell>
          <cell r="AP1782">
            <v>37</v>
          </cell>
        </row>
        <row r="1783">
          <cell r="B1783" t="str">
            <v>4</v>
          </cell>
          <cell r="AN1783">
            <v>116.39999999999999</v>
          </cell>
          <cell r="AP1783">
            <v>37</v>
          </cell>
        </row>
        <row r="1784">
          <cell r="B1784" t="str">
            <v>4</v>
          </cell>
          <cell r="AN1784">
            <v>157.4</v>
          </cell>
          <cell r="AP1784">
            <v>37</v>
          </cell>
        </row>
        <row r="1785">
          <cell r="B1785" t="str">
            <v>4</v>
          </cell>
          <cell r="AN1785">
            <v>82.699999999999989</v>
          </cell>
          <cell r="AP1785">
            <v>37</v>
          </cell>
        </row>
        <row r="1786">
          <cell r="B1786" t="str">
            <v>5</v>
          </cell>
          <cell r="AN1786">
            <v>423</v>
          </cell>
          <cell r="AP1786">
            <v>37</v>
          </cell>
        </row>
        <row r="1787">
          <cell r="B1787" t="str">
            <v>5</v>
          </cell>
          <cell r="AN1787">
            <v>427.6</v>
          </cell>
          <cell r="AP1787">
            <v>37</v>
          </cell>
        </row>
        <row r="1788">
          <cell r="B1788" t="str">
            <v>5</v>
          </cell>
          <cell r="AN1788">
            <v>289.3</v>
          </cell>
          <cell r="AP1788">
            <v>37</v>
          </cell>
        </row>
        <row r="1789">
          <cell r="B1789" t="str">
            <v>2</v>
          </cell>
          <cell r="AP1789">
            <v>38</v>
          </cell>
        </row>
        <row r="1790">
          <cell r="B1790" t="str">
            <v>2</v>
          </cell>
        </row>
        <row r="1791">
          <cell r="B1791" t="str">
            <v>2</v>
          </cell>
        </row>
        <row r="1792">
          <cell r="B1792" t="str">
            <v>3</v>
          </cell>
        </row>
        <row r="1793">
          <cell r="B1793" t="str">
            <v>3</v>
          </cell>
        </row>
        <row r="1794">
          <cell r="B1794" t="str">
            <v>3</v>
          </cell>
        </row>
        <row r="1795">
          <cell r="B1795" t="str">
            <v>3</v>
          </cell>
        </row>
        <row r="1796">
          <cell r="B1796" t="str">
            <v>3</v>
          </cell>
        </row>
        <row r="1797">
          <cell r="B1797" t="str">
            <v>3</v>
          </cell>
        </row>
        <row r="1798">
          <cell r="B1798" t="str">
            <v>3</v>
          </cell>
        </row>
        <row r="1799">
          <cell r="B1799" t="str">
            <v>3</v>
          </cell>
        </row>
        <row r="1800">
          <cell r="B1800" t="str">
            <v>4</v>
          </cell>
        </row>
        <row r="1801">
          <cell r="B1801" t="str">
            <v>4</v>
          </cell>
        </row>
        <row r="1802">
          <cell r="B1802" t="str">
            <v>4</v>
          </cell>
        </row>
        <row r="1803">
          <cell r="B1803" t="str">
            <v>4</v>
          </cell>
        </row>
        <row r="1804">
          <cell r="B1804" t="str">
            <v>6</v>
          </cell>
        </row>
        <row r="1805">
          <cell r="B1805" t="str">
            <v>6</v>
          </cell>
        </row>
        <row r="1806">
          <cell r="B1806" t="str">
            <v>6</v>
          </cell>
        </row>
        <row r="1807">
          <cell r="B1807" t="str">
            <v>6</v>
          </cell>
        </row>
        <row r="1808">
          <cell r="B1808" t="str">
            <v>6</v>
          </cell>
        </row>
        <row r="1809">
          <cell r="B1809" t="str">
            <v>6</v>
          </cell>
        </row>
        <row r="1810">
          <cell r="B1810" t="str">
            <v>6</v>
          </cell>
        </row>
        <row r="1811">
          <cell r="B1811" t="str">
            <v>2</v>
          </cell>
        </row>
        <row r="1812">
          <cell r="B1812" t="str">
            <v>2</v>
          </cell>
        </row>
        <row r="1813">
          <cell r="B1813" t="str">
            <v>2</v>
          </cell>
        </row>
        <row r="1814">
          <cell r="B1814" t="str">
            <v>2</v>
          </cell>
        </row>
        <row r="1815">
          <cell r="B1815" t="str">
            <v>2</v>
          </cell>
        </row>
        <row r="1816">
          <cell r="B1816" t="str">
            <v>3</v>
          </cell>
        </row>
        <row r="1817">
          <cell r="B1817" t="str">
            <v>3</v>
          </cell>
        </row>
        <row r="1818">
          <cell r="B1818" t="str">
            <v>3</v>
          </cell>
        </row>
        <row r="1819">
          <cell r="B1819" t="str">
            <v>3</v>
          </cell>
        </row>
        <row r="1820">
          <cell r="B1820" t="str">
            <v>3</v>
          </cell>
        </row>
        <row r="1821">
          <cell r="B1821" t="str">
            <v>3</v>
          </cell>
        </row>
        <row r="1822">
          <cell r="B1822" t="str">
            <v>3</v>
          </cell>
        </row>
        <row r="1823">
          <cell r="B1823" t="str">
            <v>4</v>
          </cell>
        </row>
        <row r="1824">
          <cell r="B1824" t="str">
            <v>4</v>
          </cell>
        </row>
        <row r="1825">
          <cell r="B1825" t="str">
            <v>4</v>
          </cell>
        </row>
        <row r="1826">
          <cell r="B1826" t="str">
            <v>4</v>
          </cell>
        </row>
        <row r="1827">
          <cell r="B1827" t="str">
            <v>4</v>
          </cell>
        </row>
        <row r="1828">
          <cell r="B1828" t="str">
            <v>6</v>
          </cell>
        </row>
        <row r="1829">
          <cell r="B1829" t="str">
            <v>6</v>
          </cell>
        </row>
        <row r="1830">
          <cell r="B1830" t="str">
            <v>6</v>
          </cell>
        </row>
        <row r="1831">
          <cell r="B1831" t="str">
            <v>6</v>
          </cell>
        </row>
        <row r="1832">
          <cell r="B1832" t="str">
            <v>6</v>
          </cell>
        </row>
        <row r="1833">
          <cell r="B1833" t="str">
            <v>6</v>
          </cell>
        </row>
        <row r="1834">
          <cell r="B1834" t="str">
            <v>6</v>
          </cell>
        </row>
        <row r="1835">
          <cell r="B1835" t="str">
            <v>6</v>
          </cell>
        </row>
        <row r="1836">
          <cell r="B1836" t="str">
            <v>1</v>
          </cell>
        </row>
        <row r="1837">
          <cell r="B1837" t="str">
            <v>1</v>
          </cell>
        </row>
        <row r="1838">
          <cell r="B1838" t="str">
            <v>1</v>
          </cell>
        </row>
        <row r="1839">
          <cell r="B1839" t="str">
            <v>2</v>
          </cell>
        </row>
        <row r="1840">
          <cell r="B1840" t="str">
            <v>2</v>
          </cell>
        </row>
        <row r="1841">
          <cell r="B1841" t="str">
            <v>3</v>
          </cell>
        </row>
        <row r="1842">
          <cell r="B1842" t="str">
            <v>3</v>
          </cell>
        </row>
        <row r="1843">
          <cell r="B1843" t="str">
            <v>3</v>
          </cell>
        </row>
        <row r="1844">
          <cell r="B1844" t="str">
            <v>3</v>
          </cell>
        </row>
        <row r="1845">
          <cell r="B1845" t="str">
            <v>3</v>
          </cell>
        </row>
        <row r="1846">
          <cell r="B1846" t="str">
            <v>4</v>
          </cell>
        </row>
        <row r="1847">
          <cell r="B1847" t="str">
            <v>4</v>
          </cell>
        </row>
        <row r="1848">
          <cell r="B1848" t="str">
            <v>4</v>
          </cell>
        </row>
        <row r="1849">
          <cell r="B1849" t="str">
            <v>5</v>
          </cell>
        </row>
        <row r="1850">
          <cell r="B1850" t="str">
            <v>6</v>
          </cell>
        </row>
        <row r="1851">
          <cell r="B1851" t="str">
            <v>6</v>
          </cell>
        </row>
        <row r="1852">
          <cell r="B1852" t="str">
            <v>1</v>
          </cell>
        </row>
        <row r="1853">
          <cell r="B1853" t="str">
            <v>1</v>
          </cell>
        </row>
        <row r="1854">
          <cell r="B1854" t="str">
            <v>1</v>
          </cell>
        </row>
        <row r="1855">
          <cell r="B1855" t="str">
            <v>1</v>
          </cell>
        </row>
        <row r="1856">
          <cell r="B1856" t="str">
            <v>2</v>
          </cell>
        </row>
        <row r="1857">
          <cell r="B1857" t="str">
            <v>2</v>
          </cell>
        </row>
        <row r="1858">
          <cell r="B1858" t="str">
            <v>4</v>
          </cell>
        </row>
        <row r="1859">
          <cell r="B1859" t="str">
            <v>4</v>
          </cell>
        </row>
        <row r="1860">
          <cell r="B1860" t="str">
            <v>4</v>
          </cell>
        </row>
        <row r="1861">
          <cell r="B1861" t="str">
            <v>4</v>
          </cell>
        </row>
        <row r="1862">
          <cell r="B1862" t="str">
            <v>4</v>
          </cell>
        </row>
        <row r="1863">
          <cell r="B1863" t="str">
            <v>4</v>
          </cell>
        </row>
        <row r="1864">
          <cell r="B1864" t="str">
            <v>4</v>
          </cell>
        </row>
        <row r="1865">
          <cell r="B1865" t="str">
            <v>5</v>
          </cell>
        </row>
        <row r="1866">
          <cell r="B1866" t="str">
            <v>5</v>
          </cell>
        </row>
        <row r="1867">
          <cell r="B1867" t="str">
            <v>5</v>
          </cell>
        </row>
        <row r="1868">
          <cell r="B1868" t="str">
            <v>6</v>
          </cell>
        </row>
        <row r="1869">
          <cell r="B1869" t="str">
            <v>6</v>
          </cell>
        </row>
        <row r="1870">
          <cell r="B1870" t="str">
            <v>3</v>
          </cell>
        </row>
        <row r="1871">
          <cell r="B1871" t="str">
            <v>3</v>
          </cell>
        </row>
        <row r="1872">
          <cell r="B1872" t="str">
            <v>3</v>
          </cell>
        </row>
        <row r="1873">
          <cell r="B1873" t="str">
            <v>3</v>
          </cell>
        </row>
        <row r="1874">
          <cell r="B1874" t="str">
            <v>1</v>
          </cell>
        </row>
        <row r="1875">
          <cell r="B1875" t="str">
            <v>1</v>
          </cell>
        </row>
        <row r="1876">
          <cell r="B1876" t="str">
            <v>1</v>
          </cell>
        </row>
        <row r="1877">
          <cell r="B1877" t="str">
            <v>1</v>
          </cell>
        </row>
        <row r="1878">
          <cell r="B1878" t="str">
            <v>1</v>
          </cell>
        </row>
        <row r="1879">
          <cell r="B1879" t="str">
            <v>2</v>
          </cell>
        </row>
        <row r="1880">
          <cell r="B1880" t="str">
            <v>2</v>
          </cell>
        </row>
        <row r="1881">
          <cell r="B1881" t="str">
            <v>3</v>
          </cell>
        </row>
        <row r="1882">
          <cell r="B1882" t="str">
            <v>3</v>
          </cell>
        </row>
        <row r="1883">
          <cell r="B1883" t="str">
            <v>4</v>
          </cell>
        </row>
        <row r="1884">
          <cell r="B1884" t="str">
            <v>4</v>
          </cell>
        </row>
        <row r="1885">
          <cell r="B1885" t="str">
            <v>4</v>
          </cell>
        </row>
        <row r="1886">
          <cell r="B1886" t="str">
            <v>4</v>
          </cell>
        </row>
        <row r="1887">
          <cell r="B1887" t="str">
            <v>4</v>
          </cell>
        </row>
        <row r="1888">
          <cell r="B1888" t="str">
            <v>4</v>
          </cell>
        </row>
        <row r="1889">
          <cell r="B1889" t="str">
            <v>4</v>
          </cell>
        </row>
        <row r="1890">
          <cell r="B1890" t="str">
            <v>5</v>
          </cell>
        </row>
        <row r="1891">
          <cell r="B1891" t="str">
            <v>5</v>
          </cell>
        </row>
        <row r="1892">
          <cell r="B1892" t="str">
            <v>6</v>
          </cell>
        </row>
        <row r="1893">
          <cell r="B1893" t="str">
            <v>6</v>
          </cell>
        </row>
        <row r="1894">
          <cell r="B1894" t="str">
            <v>1</v>
          </cell>
        </row>
        <row r="1895">
          <cell r="B1895" t="str">
            <v>1</v>
          </cell>
        </row>
        <row r="1896">
          <cell r="B1896" t="str">
            <v>2</v>
          </cell>
        </row>
        <row r="1897">
          <cell r="B1897" t="str">
            <v>3</v>
          </cell>
        </row>
        <row r="1898">
          <cell r="B1898" t="str">
            <v>3</v>
          </cell>
        </row>
        <row r="1899">
          <cell r="B1899" t="str">
            <v>4</v>
          </cell>
        </row>
        <row r="1900">
          <cell r="B1900" t="str">
            <v>4</v>
          </cell>
        </row>
        <row r="1901">
          <cell r="B1901" t="str">
            <v>4</v>
          </cell>
        </row>
        <row r="1902">
          <cell r="B1902" t="str">
            <v>5</v>
          </cell>
        </row>
        <row r="1903">
          <cell r="B1903" t="str">
            <v>5</v>
          </cell>
        </row>
        <row r="1904">
          <cell r="B1904" t="str">
            <v>6</v>
          </cell>
        </row>
        <row r="1905">
          <cell r="B1905" t="str">
            <v>6</v>
          </cell>
        </row>
        <row r="1906">
          <cell r="B1906" t="str">
            <v>6</v>
          </cell>
        </row>
        <row r="1907">
          <cell r="B1907" t="str">
            <v>1</v>
          </cell>
        </row>
        <row r="1908">
          <cell r="B1908" t="str">
            <v>1</v>
          </cell>
        </row>
        <row r="1909">
          <cell r="B1909" t="str">
            <v>2</v>
          </cell>
        </row>
        <row r="1910">
          <cell r="B1910" t="str">
            <v>2</v>
          </cell>
        </row>
        <row r="1911">
          <cell r="B1911" t="str">
            <v>3</v>
          </cell>
        </row>
        <row r="1912">
          <cell r="B1912" t="str">
            <v>4</v>
          </cell>
        </row>
        <row r="1913">
          <cell r="B1913" t="str">
            <v>4</v>
          </cell>
        </row>
        <row r="1914">
          <cell r="B1914" t="str">
            <v>4</v>
          </cell>
        </row>
        <row r="1915">
          <cell r="B1915" t="str">
            <v>4</v>
          </cell>
        </row>
        <row r="1916">
          <cell r="B1916" t="str">
            <v>4</v>
          </cell>
        </row>
        <row r="1917">
          <cell r="B1917" t="str">
            <v>5</v>
          </cell>
        </row>
        <row r="1918">
          <cell r="B1918" t="str">
            <v>5</v>
          </cell>
        </row>
        <row r="1919">
          <cell r="B1919" t="str">
            <v>6</v>
          </cell>
        </row>
        <row r="1920">
          <cell r="B1920" t="str">
            <v>6</v>
          </cell>
        </row>
        <row r="1921">
          <cell r="B1921" t="str">
            <v>6</v>
          </cell>
        </row>
        <row r="1922">
          <cell r="B1922" t="str">
            <v>1</v>
          </cell>
        </row>
        <row r="1923">
          <cell r="B1923" t="str">
            <v>1</v>
          </cell>
        </row>
        <row r="1924">
          <cell r="B1924" t="str">
            <v>1</v>
          </cell>
        </row>
        <row r="1925">
          <cell r="B1925" t="str">
            <v>2</v>
          </cell>
        </row>
        <row r="1926">
          <cell r="B1926" t="str">
            <v>2</v>
          </cell>
        </row>
        <row r="1927">
          <cell r="B1927" t="str">
            <v>3</v>
          </cell>
        </row>
        <row r="1928">
          <cell r="B1928" t="str">
            <v>3</v>
          </cell>
        </row>
        <row r="1929">
          <cell r="B1929" t="str">
            <v>4</v>
          </cell>
        </row>
        <row r="1930">
          <cell r="B1930" t="str">
            <v>4</v>
          </cell>
        </row>
        <row r="1931">
          <cell r="B1931" t="str">
            <v>4</v>
          </cell>
        </row>
        <row r="1932">
          <cell r="B1932" t="str">
            <v>4</v>
          </cell>
        </row>
        <row r="1933">
          <cell r="B1933" t="str">
            <v>6</v>
          </cell>
        </row>
        <row r="1934">
          <cell r="B1934" t="str">
            <v>6</v>
          </cell>
        </row>
        <row r="1935">
          <cell r="B1935" t="str">
            <v>1</v>
          </cell>
        </row>
        <row r="1936">
          <cell r="B1936" t="str">
            <v>1</v>
          </cell>
        </row>
        <row r="1937">
          <cell r="B1937" t="str">
            <v>1</v>
          </cell>
        </row>
        <row r="1938">
          <cell r="B1938" t="str">
            <v>1</v>
          </cell>
        </row>
        <row r="1939">
          <cell r="B1939" t="str">
            <v>2</v>
          </cell>
        </row>
        <row r="1940">
          <cell r="B1940" t="str">
            <v>2</v>
          </cell>
        </row>
        <row r="1941">
          <cell r="B1941" t="str">
            <v>2</v>
          </cell>
        </row>
        <row r="1942">
          <cell r="B1942" t="str">
            <v>3</v>
          </cell>
        </row>
        <row r="1943">
          <cell r="B1943" t="str">
            <v>3</v>
          </cell>
        </row>
        <row r="1944">
          <cell r="B1944" t="str">
            <v>3</v>
          </cell>
        </row>
        <row r="1945">
          <cell r="B1945" t="str">
            <v>3</v>
          </cell>
        </row>
        <row r="1946">
          <cell r="B1946" t="str">
            <v>4</v>
          </cell>
        </row>
        <row r="1947">
          <cell r="B1947" t="str">
            <v>4</v>
          </cell>
        </row>
        <row r="1948">
          <cell r="B1948" t="str">
            <v>4</v>
          </cell>
        </row>
        <row r="1949">
          <cell r="B1949" t="str">
            <v>4</v>
          </cell>
        </row>
        <row r="1950">
          <cell r="B1950" t="str">
            <v>4</v>
          </cell>
        </row>
        <row r="1951">
          <cell r="B1951" t="str">
            <v>4</v>
          </cell>
        </row>
        <row r="1952">
          <cell r="B1952" t="str">
            <v>4</v>
          </cell>
        </row>
        <row r="1953">
          <cell r="B1953" t="str">
            <v>6</v>
          </cell>
        </row>
        <row r="1954">
          <cell r="B1954" t="str">
            <v>6</v>
          </cell>
        </row>
        <row r="1955">
          <cell r="B1955" t="str">
            <v>1</v>
          </cell>
        </row>
        <row r="1956">
          <cell r="B1956" t="str">
            <v>1</v>
          </cell>
        </row>
        <row r="1957">
          <cell r="B1957" t="str">
            <v>1</v>
          </cell>
        </row>
        <row r="1958">
          <cell r="B1958" t="str">
            <v>1</v>
          </cell>
        </row>
        <row r="1959">
          <cell r="B1959" t="str">
            <v>1</v>
          </cell>
        </row>
        <row r="1960">
          <cell r="B1960" t="str">
            <v>2</v>
          </cell>
        </row>
        <row r="1961">
          <cell r="B1961" t="str">
            <v>2</v>
          </cell>
        </row>
        <row r="1962">
          <cell r="B1962" t="str">
            <v>3</v>
          </cell>
        </row>
        <row r="1963">
          <cell r="B1963" t="str">
            <v>3</v>
          </cell>
        </row>
        <row r="1964">
          <cell r="B1964" t="str">
            <v>3</v>
          </cell>
        </row>
        <row r="1965">
          <cell r="B1965" t="str">
            <v>3</v>
          </cell>
        </row>
        <row r="1966">
          <cell r="B1966" t="str">
            <v>3</v>
          </cell>
        </row>
        <row r="1967">
          <cell r="B1967" t="str">
            <v>3</v>
          </cell>
        </row>
        <row r="1968">
          <cell r="B1968" t="str">
            <v>4</v>
          </cell>
        </row>
        <row r="1969">
          <cell r="B1969" t="str">
            <v>4</v>
          </cell>
        </row>
        <row r="1970">
          <cell r="B1970" t="str">
            <v>4</v>
          </cell>
        </row>
        <row r="1971">
          <cell r="B1971" t="str">
            <v>4</v>
          </cell>
        </row>
        <row r="1972">
          <cell r="B1972" t="str">
            <v>4</v>
          </cell>
        </row>
        <row r="1973">
          <cell r="B1973" t="str">
            <v>4</v>
          </cell>
        </row>
        <row r="1974">
          <cell r="B1974" t="str">
            <v>6</v>
          </cell>
        </row>
        <row r="1975">
          <cell r="B1975" t="str">
            <v>6</v>
          </cell>
        </row>
        <row r="1976">
          <cell r="B1976" t="str">
            <v>6</v>
          </cell>
        </row>
        <row r="1977">
          <cell r="B1977" t="str">
            <v>6</v>
          </cell>
        </row>
        <row r="1978">
          <cell r="B1978" t="str">
            <v>6</v>
          </cell>
        </row>
        <row r="1979">
          <cell r="B1979" t="str">
            <v>1</v>
          </cell>
        </row>
        <row r="1980">
          <cell r="B1980" t="str">
            <v>1</v>
          </cell>
        </row>
        <row r="1981">
          <cell r="B1981" t="str">
            <v>1</v>
          </cell>
        </row>
        <row r="1982">
          <cell r="B1982" t="str">
            <v>1</v>
          </cell>
        </row>
        <row r="1983">
          <cell r="B1983" t="str">
            <v>2</v>
          </cell>
        </row>
        <row r="1984">
          <cell r="B1984" t="str">
            <v>2</v>
          </cell>
        </row>
        <row r="1985">
          <cell r="B1985" t="str">
            <v>3</v>
          </cell>
        </row>
        <row r="1986">
          <cell r="B1986" t="str">
            <v>3</v>
          </cell>
        </row>
        <row r="1987">
          <cell r="B1987" t="str">
            <v>3</v>
          </cell>
        </row>
        <row r="1988">
          <cell r="B1988" t="str">
            <v>3</v>
          </cell>
        </row>
        <row r="1989">
          <cell r="B1989" t="str">
            <v>3</v>
          </cell>
        </row>
        <row r="1990">
          <cell r="B1990" t="str">
            <v>3</v>
          </cell>
        </row>
        <row r="1991">
          <cell r="B1991" t="str">
            <v>4</v>
          </cell>
        </row>
        <row r="1992">
          <cell r="B1992" t="str">
            <v>4</v>
          </cell>
        </row>
        <row r="1993">
          <cell r="B1993" t="str">
            <v>4</v>
          </cell>
        </row>
        <row r="1994">
          <cell r="B1994" t="str">
            <v>4</v>
          </cell>
        </row>
        <row r="1995">
          <cell r="B1995" t="str">
            <v>4</v>
          </cell>
        </row>
        <row r="1996">
          <cell r="B1996" t="str">
            <v>6</v>
          </cell>
        </row>
        <row r="1997">
          <cell r="B1997" t="str">
            <v>6</v>
          </cell>
        </row>
        <row r="1998">
          <cell r="B1998" t="str">
            <v>6</v>
          </cell>
        </row>
        <row r="1999">
          <cell r="B1999" t="str">
            <v>6</v>
          </cell>
        </row>
        <row r="2000">
          <cell r="B2000" t="str">
            <v>6</v>
          </cell>
        </row>
        <row r="2001">
          <cell r="B2001" t="str">
            <v>7</v>
          </cell>
        </row>
        <row r="2002">
          <cell r="B2002" t="str">
            <v>7</v>
          </cell>
        </row>
        <row r="2003">
          <cell r="B2003" t="str">
            <v>1</v>
          </cell>
        </row>
        <row r="2004">
          <cell r="B2004" t="str">
            <v>1</v>
          </cell>
        </row>
        <row r="2005">
          <cell r="B2005" t="str">
            <v>1</v>
          </cell>
        </row>
        <row r="2006">
          <cell r="B2006" t="str">
            <v>2</v>
          </cell>
        </row>
        <row r="2007">
          <cell r="B2007" t="str">
            <v>2</v>
          </cell>
        </row>
        <row r="2008">
          <cell r="B2008" t="str">
            <v>3</v>
          </cell>
        </row>
        <row r="2009">
          <cell r="B2009" t="str">
            <v>3</v>
          </cell>
        </row>
        <row r="2010">
          <cell r="B2010" t="str">
            <v>4</v>
          </cell>
        </row>
        <row r="2011">
          <cell r="B2011" t="str">
            <v>4</v>
          </cell>
        </row>
        <row r="2012">
          <cell r="B2012" t="str">
            <v>4</v>
          </cell>
        </row>
        <row r="2013">
          <cell r="B2013" t="str">
            <v>6</v>
          </cell>
        </row>
        <row r="2014">
          <cell r="B2014" t="str">
            <v>6</v>
          </cell>
        </row>
        <row r="2015">
          <cell r="B2015" t="str">
            <v>6</v>
          </cell>
        </row>
        <row r="2016">
          <cell r="B2016" t="str">
            <v>6</v>
          </cell>
        </row>
        <row r="2017">
          <cell r="B2017" t="str">
            <v>7</v>
          </cell>
        </row>
        <row r="2018">
          <cell r="B2018" t="str">
            <v>7</v>
          </cell>
        </row>
        <row r="2019">
          <cell r="B2019">
            <v>1</v>
          </cell>
        </row>
        <row r="2020">
          <cell r="B2020">
            <v>1</v>
          </cell>
        </row>
        <row r="2021">
          <cell r="B2021">
            <v>1</v>
          </cell>
        </row>
        <row r="2022">
          <cell r="B2022">
            <v>1</v>
          </cell>
        </row>
        <row r="2023">
          <cell r="B2023" t="str">
            <v>2</v>
          </cell>
        </row>
        <row r="2024">
          <cell r="B2024" t="str">
            <v>2</v>
          </cell>
        </row>
        <row r="2025">
          <cell r="B2025" t="str">
            <v>3</v>
          </cell>
        </row>
        <row r="2026">
          <cell r="B2026" t="str">
            <v>3</v>
          </cell>
        </row>
        <row r="2027">
          <cell r="B2027" t="str">
            <v>3</v>
          </cell>
        </row>
        <row r="2028">
          <cell r="B2028" t="str">
            <v>3</v>
          </cell>
        </row>
        <row r="2029">
          <cell r="B2029" t="str">
            <v>3</v>
          </cell>
        </row>
        <row r="2030">
          <cell r="B2030" t="str">
            <v>3</v>
          </cell>
        </row>
        <row r="2031">
          <cell r="B2031" t="str">
            <v>3</v>
          </cell>
        </row>
        <row r="2032">
          <cell r="B2032" t="str">
            <v>4</v>
          </cell>
        </row>
        <row r="2033">
          <cell r="B2033" t="str">
            <v>4</v>
          </cell>
        </row>
        <row r="2034">
          <cell r="B2034" t="str">
            <v>4</v>
          </cell>
        </row>
        <row r="2035">
          <cell r="B2035" t="str">
            <v>4</v>
          </cell>
        </row>
        <row r="2036">
          <cell r="B2036" t="str">
            <v>6</v>
          </cell>
        </row>
        <row r="2037">
          <cell r="B2037" t="str">
            <v>6</v>
          </cell>
        </row>
        <row r="2038">
          <cell r="B2038" t="str">
            <v>6</v>
          </cell>
        </row>
        <row r="2039">
          <cell r="B2039" t="str">
            <v>6</v>
          </cell>
        </row>
        <row r="2040">
          <cell r="B2040" t="str">
            <v>6</v>
          </cell>
        </row>
        <row r="2041">
          <cell r="B2041" t="str">
            <v>6</v>
          </cell>
        </row>
        <row r="2042">
          <cell r="B2042" t="str">
            <v>1</v>
          </cell>
        </row>
        <row r="2043">
          <cell r="B2043" t="str">
            <v>1</v>
          </cell>
        </row>
        <row r="2044">
          <cell r="B2044" t="str">
            <v>1</v>
          </cell>
        </row>
        <row r="2045">
          <cell r="B2045" t="str">
            <v>1</v>
          </cell>
        </row>
        <row r="2046">
          <cell r="B2046" t="str">
            <v>1</v>
          </cell>
        </row>
        <row r="2047">
          <cell r="B2047" t="str">
            <v>2</v>
          </cell>
        </row>
        <row r="2048">
          <cell r="B2048" t="str">
            <v>2</v>
          </cell>
        </row>
        <row r="2049">
          <cell r="B2049" t="str">
            <v>3</v>
          </cell>
        </row>
        <row r="2050">
          <cell r="B2050" t="str">
            <v>3</v>
          </cell>
        </row>
        <row r="2051">
          <cell r="B2051" t="str">
            <v>3</v>
          </cell>
        </row>
        <row r="2052">
          <cell r="B2052" t="str">
            <v>4</v>
          </cell>
        </row>
        <row r="2053">
          <cell r="B2053" t="str">
            <v>4</v>
          </cell>
        </row>
        <row r="2054">
          <cell r="B2054" t="str">
            <v>4</v>
          </cell>
        </row>
        <row r="2055">
          <cell r="B2055" t="str">
            <v>4</v>
          </cell>
        </row>
        <row r="2056">
          <cell r="B2056" t="str">
            <v>6</v>
          </cell>
        </row>
        <row r="2057">
          <cell r="B2057" t="str">
            <v>6</v>
          </cell>
        </row>
        <row r="2058">
          <cell r="B2058" t="str">
            <v>7</v>
          </cell>
        </row>
        <row r="2059">
          <cell r="B2059" t="str">
            <v>7</v>
          </cell>
        </row>
        <row r="2060">
          <cell r="B2060" t="str">
            <v>7</v>
          </cell>
        </row>
        <row r="2061">
          <cell r="B2061" t="str">
            <v>7</v>
          </cell>
        </row>
        <row r="2062">
          <cell r="B2062" t="str">
            <v>7</v>
          </cell>
        </row>
        <row r="2063">
          <cell r="B2063" t="str">
            <v>1</v>
          </cell>
          <cell r="AN2063">
            <v>57</v>
          </cell>
        </row>
        <row r="2064">
          <cell r="B2064" t="str">
            <v>1</v>
          </cell>
          <cell r="AN2064">
            <v>111</v>
          </cell>
        </row>
        <row r="2065">
          <cell r="B2065" t="str">
            <v>1</v>
          </cell>
          <cell r="AN2065">
            <v>106.60000000000001</v>
          </cell>
        </row>
        <row r="2066">
          <cell r="B2066" t="str">
            <v>1</v>
          </cell>
          <cell r="AN2066">
            <v>53.800000000000004</v>
          </cell>
        </row>
        <row r="2067">
          <cell r="B2067" t="str">
            <v>2</v>
          </cell>
          <cell r="AN2067">
            <v>70.2</v>
          </cell>
        </row>
        <row r="2068">
          <cell r="B2068" t="str">
            <v>2</v>
          </cell>
          <cell r="AN2068">
            <v>182.8</v>
          </cell>
        </row>
        <row r="2069">
          <cell r="B2069" t="str">
            <v>2</v>
          </cell>
          <cell r="AN2069">
            <v>263.74</v>
          </cell>
        </row>
        <row r="2070">
          <cell r="B2070" t="str">
            <v>3</v>
          </cell>
          <cell r="AN2070">
            <v>158.4</v>
          </cell>
        </row>
        <row r="2071">
          <cell r="B2071" t="str">
            <v>3</v>
          </cell>
          <cell r="AN2071">
            <v>53.800000000000004</v>
          </cell>
        </row>
        <row r="2072">
          <cell r="B2072" t="str">
            <v>4</v>
          </cell>
          <cell r="AN2072">
            <v>99</v>
          </cell>
        </row>
        <row r="2073">
          <cell r="B2073" t="str">
            <v>4</v>
          </cell>
          <cell r="AN2073">
            <v>72</v>
          </cell>
        </row>
        <row r="2074">
          <cell r="B2074" t="str">
            <v>4</v>
          </cell>
          <cell r="AN2074">
            <v>95.6</v>
          </cell>
        </row>
        <row r="2075">
          <cell r="B2075" t="str">
            <v>4</v>
          </cell>
          <cell r="AN2075">
            <v>349.59999999999997</v>
          </cell>
        </row>
        <row r="2076">
          <cell r="B2076" t="str">
            <v>6</v>
          </cell>
          <cell r="AN2076">
            <v>256</v>
          </cell>
        </row>
        <row r="2077">
          <cell r="B2077" t="str">
            <v>6</v>
          </cell>
          <cell r="AN2077">
            <v>537.09999999999991</v>
          </cell>
        </row>
        <row r="2078">
          <cell r="B2078" t="str">
            <v>6</v>
          </cell>
          <cell r="AN2078">
            <v>117.39999999999999</v>
          </cell>
        </row>
        <row r="2079">
          <cell r="B2079" t="str">
            <v>6</v>
          </cell>
          <cell r="AN2079">
            <v>507.43</v>
          </cell>
        </row>
        <row r="2080">
          <cell r="B2080" t="str">
            <v>7</v>
          </cell>
          <cell r="AN2080">
            <v>88.600000000000009</v>
          </cell>
        </row>
        <row r="2081">
          <cell r="B2081" t="str">
            <v>7</v>
          </cell>
          <cell r="AN2081">
            <v>121.80000000000001</v>
          </cell>
        </row>
        <row r="2082">
          <cell r="B2082" t="str">
            <v>7</v>
          </cell>
          <cell r="AN2082">
            <v>110.4</v>
          </cell>
        </row>
        <row r="2083">
          <cell r="B2083" t="str">
            <v>7</v>
          </cell>
          <cell r="AN2083">
            <v>60.7</v>
          </cell>
        </row>
        <row r="2084">
          <cell r="B2084" t="str">
            <v>7</v>
          </cell>
          <cell r="AN2084">
            <v>124.7</v>
          </cell>
        </row>
        <row r="2085">
          <cell r="B2085" t="str">
            <v>7</v>
          </cell>
          <cell r="AN2085">
            <v>394.96000000000004</v>
          </cell>
        </row>
        <row r="2086">
          <cell r="B2086" t="str">
            <v>1</v>
          </cell>
          <cell r="AN2086">
            <v>80.599999999999994</v>
          </cell>
        </row>
        <row r="2087">
          <cell r="B2087" t="str">
            <v>1</v>
          </cell>
          <cell r="AN2087">
            <v>159.47000000000003</v>
          </cell>
        </row>
        <row r="2088">
          <cell r="B2088" t="str">
            <v>1</v>
          </cell>
          <cell r="AN2088">
            <v>122</v>
          </cell>
        </row>
        <row r="2089">
          <cell r="B2089" t="str">
            <v>1</v>
          </cell>
          <cell r="AN2089">
            <v>107.6</v>
          </cell>
        </row>
        <row r="2090">
          <cell r="B2090" t="str">
            <v>2</v>
          </cell>
          <cell r="AN2090">
            <v>164.1</v>
          </cell>
        </row>
        <row r="2091">
          <cell r="B2091" t="str">
            <v>2</v>
          </cell>
          <cell r="AN2091">
            <v>123.75</v>
          </cell>
        </row>
        <row r="2092">
          <cell r="B2092" t="str">
            <v>2</v>
          </cell>
          <cell r="AN2092">
            <v>97</v>
          </cell>
        </row>
        <row r="2093">
          <cell r="B2093" t="str">
            <v>3</v>
          </cell>
          <cell r="AN2093">
            <v>371.1</v>
          </cell>
        </row>
        <row r="2094">
          <cell r="B2094" t="str">
            <v>6</v>
          </cell>
          <cell r="AN2094">
            <v>274.2</v>
          </cell>
        </row>
        <row r="2095">
          <cell r="B2095" t="str">
            <v>6</v>
          </cell>
          <cell r="AN2095">
            <v>146.60000000000002</v>
          </cell>
        </row>
        <row r="2096">
          <cell r="B2096" t="str">
            <v>6</v>
          </cell>
          <cell r="AN2096">
            <v>119.8</v>
          </cell>
        </row>
        <row r="2097">
          <cell r="B2097" t="str">
            <v>6</v>
          </cell>
          <cell r="AN2097">
            <v>130.80000000000001</v>
          </cell>
        </row>
        <row r="2098">
          <cell r="B2098" t="str">
            <v>6</v>
          </cell>
          <cell r="AN2098">
            <v>130.60000000000002</v>
          </cell>
        </row>
        <row r="2099">
          <cell r="B2099" t="str">
            <v>6</v>
          </cell>
          <cell r="AN2099">
            <v>101.2</v>
          </cell>
        </row>
        <row r="2100">
          <cell r="B2100" t="str">
            <v>6</v>
          </cell>
          <cell r="AN2100">
            <v>342.8</v>
          </cell>
        </row>
        <row r="2101">
          <cell r="B2101" t="str">
            <v>7</v>
          </cell>
          <cell r="AN2101">
            <v>101.19999999999999</v>
          </cell>
        </row>
        <row r="2102">
          <cell r="B2102" t="str">
            <v>7</v>
          </cell>
          <cell r="AN2102">
            <v>71.099999999999994</v>
          </cell>
        </row>
        <row r="2103">
          <cell r="B2103" t="str">
            <v>7</v>
          </cell>
          <cell r="AN2103">
            <v>111.9</v>
          </cell>
        </row>
        <row r="2104">
          <cell r="B2104" t="str">
            <v>7</v>
          </cell>
          <cell r="AN2104">
            <v>109.7</v>
          </cell>
        </row>
        <row r="2105">
          <cell r="B2105" t="str">
            <v>7</v>
          </cell>
          <cell r="AN2105">
            <v>426.2</v>
          </cell>
        </row>
        <row r="2106">
          <cell r="B2106" t="str">
            <v>1</v>
          </cell>
          <cell r="AN2106">
            <v>141</v>
          </cell>
          <cell r="AP2106">
            <v>40</v>
          </cell>
        </row>
        <row r="2107">
          <cell r="B2107" t="str">
            <v>1</v>
          </cell>
          <cell r="AN2107">
            <v>163.64999999999998</v>
          </cell>
          <cell r="AP2107">
            <v>40</v>
          </cell>
        </row>
        <row r="2108">
          <cell r="B2108" t="str">
            <v>2</v>
          </cell>
          <cell r="AN2108">
            <v>275.89999999999998</v>
          </cell>
          <cell r="AP2108">
            <v>40</v>
          </cell>
        </row>
        <row r="2109">
          <cell r="B2109" t="str">
            <v>2</v>
          </cell>
          <cell r="AN2109">
            <v>78.66</v>
          </cell>
          <cell r="AP2109">
            <v>40</v>
          </cell>
        </row>
        <row r="2110">
          <cell r="B2110" t="str">
            <v>2</v>
          </cell>
          <cell r="AN2110">
            <v>302.93</v>
          </cell>
          <cell r="AP2110">
            <v>40</v>
          </cell>
        </row>
        <row r="2111">
          <cell r="B2111" t="str">
            <v>3</v>
          </cell>
          <cell r="AN2111">
            <v>300.68999999999994</v>
          </cell>
          <cell r="AP2111">
            <v>40</v>
          </cell>
        </row>
        <row r="2112">
          <cell r="B2112" t="str">
            <v>3</v>
          </cell>
          <cell r="AN2112">
            <v>197.4</v>
          </cell>
          <cell r="AP2112">
            <v>40</v>
          </cell>
        </row>
        <row r="2113">
          <cell r="B2113" t="str">
            <v>4</v>
          </cell>
          <cell r="AN2113">
            <v>237.2</v>
          </cell>
          <cell r="AP2113">
            <v>40</v>
          </cell>
        </row>
        <row r="2114">
          <cell r="B2114" t="str">
            <v>4</v>
          </cell>
          <cell r="AN2114">
            <v>43.8</v>
          </cell>
          <cell r="AP2114">
            <v>40</v>
          </cell>
        </row>
        <row r="2115">
          <cell r="B2115" t="str">
            <v>5</v>
          </cell>
          <cell r="AN2115">
            <v>426.20000000000005</v>
          </cell>
          <cell r="AP2115">
            <v>40</v>
          </cell>
        </row>
        <row r="2116">
          <cell r="B2116" t="str">
            <v>6</v>
          </cell>
          <cell r="AN2116">
            <v>231.20000000000002</v>
          </cell>
          <cell r="AP2116">
            <v>40</v>
          </cell>
        </row>
        <row r="2117">
          <cell r="B2117" t="str">
            <v>6</v>
          </cell>
          <cell r="AN2117">
            <v>117.8</v>
          </cell>
          <cell r="AP2117">
            <v>40</v>
          </cell>
        </row>
        <row r="2118">
          <cell r="B2118" t="str">
            <v>6</v>
          </cell>
          <cell r="AN2118">
            <v>299.60000000000002</v>
          </cell>
          <cell r="AP2118">
            <v>40</v>
          </cell>
        </row>
        <row r="2119">
          <cell r="B2119" t="str">
            <v>6</v>
          </cell>
          <cell r="AN2119">
            <v>168.8</v>
          </cell>
          <cell r="AP2119">
            <v>40</v>
          </cell>
        </row>
        <row r="2120">
          <cell r="B2120" t="str">
            <v>6</v>
          </cell>
          <cell r="AN2120">
            <v>309.60000000000002</v>
          </cell>
          <cell r="AP2120">
            <v>40</v>
          </cell>
        </row>
        <row r="2121">
          <cell r="B2121" t="str">
            <v>6</v>
          </cell>
          <cell r="AN2121">
            <v>88.2</v>
          </cell>
          <cell r="AP2121">
            <v>40</v>
          </cell>
        </row>
        <row r="2122">
          <cell r="B2122" t="str">
            <v>7</v>
          </cell>
          <cell r="AN2122">
            <v>293</v>
          </cell>
          <cell r="AP2122">
            <v>40</v>
          </cell>
        </row>
        <row r="2123">
          <cell r="B2123" t="str">
            <v>7</v>
          </cell>
          <cell r="AN2123">
            <v>65.900000000000006</v>
          </cell>
          <cell r="AP2123">
            <v>40</v>
          </cell>
        </row>
        <row r="2124">
          <cell r="B2124" t="str">
            <v>7</v>
          </cell>
          <cell r="AN2124">
            <v>61.9</v>
          </cell>
          <cell r="AP2124">
            <v>40</v>
          </cell>
        </row>
        <row r="2125">
          <cell r="B2125" t="str">
            <v>7</v>
          </cell>
          <cell r="AN2125">
            <v>60.1</v>
          </cell>
          <cell r="AP2125">
            <v>40</v>
          </cell>
        </row>
        <row r="2126">
          <cell r="B2126" t="str">
            <v>7</v>
          </cell>
          <cell r="AN2126">
            <v>49.7</v>
          </cell>
          <cell r="AP2126">
            <v>40</v>
          </cell>
        </row>
        <row r="2127">
          <cell r="B2127" t="str">
            <v>7</v>
          </cell>
          <cell r="AN2127">
            <v>317.01</v>
          </cell>
          <cell r="AP2127">
            <v>40</v>
          </cell>
        </row>
        <row r="2128">
          <cell r="B2128" t="str">
            <v>1</v>
          </cell>
          <cell r="AN2128">
            <v>127</v>
          </cell>
          <cell r="AP2128">
            <v>40</v>
          </cell>
        </row>
        <row r="2129">
          <cell r="B2129" t="str">
            <v>1</v>
          </cell>
          <cell r="AN2129">
            <v>156.1</v>
          </cell>
          <cell r="AP2129">
            <v>40</v>
          </cell>
        </row>
        <row r="2130">
          <cell r="B2130" t="str">
            <v>2</v>
          </cell>
          <cell r="AN2130">
            <v>101.2</v>
          </cell>
          <cell r="AP2130">
            <v>40</v>
          </cell>
        </row>
        <row r="2131">
          <cell r="B2131" t="str">
            <v>2</v>
          </cell>
          <cell r="AN2131">
            <v>280.5</v>
          </cell>
          <cell r="AP2131">
            <v>40</v>
          </cell>
        </row>
        <row r="2132">
          <cell r="B2132" t="str">
            <v>2</v>
          </cell>
          <cell r="AN2132">
            <v>409.56</v>
          </cell>
          <cell r="AP2132">
            <v>40</v>
          </cell>
        </row>
        <row r="2133">
          <cell r="B2133" t="str">
            <v>4</v>
          </cell>
          <cell r="AN2133">
            <v>108</v>
          </cell>
          <cell r="AP2133">
            <v>40</v>
          </cell>
        </row>
        <row r="2134">
          <cell r="B2134" t="str">
            <v>4</v>
          </cell>
          <cell r="AN2134">
            <v>275.2</v>
          </cell>
          <cell r="AP2134">
            <v>40</v>
          </cell>
        </row>
        <row r="2135">
          <cell r="B2135" t="str">
            <v>4</v>
          </cell>
          <cell r="AN2135">
            <v>200</v>
          </cell>
          <cell r="AP2135">
            <v>40</v>
          </cell>
        </row>
        <row r="2136">
          <cell r="B2136" t="str">
            <v>4</v>
          </cell>
          <cell r="AN2136">
            <v>220.6</v>
          </cell>
          <cell r="AP2136">
            <v>40</v>
          </cell>
        </row>
        <row r="2137">
          <cell r="B2137" t="str">
            <v>5</v>
          </cell>
          <cell r="AN2137">
            <v>300.40000000000003</v>
          </cell>
          <cell r="AP2137">
            <v>40</v>
          </cell>
        </row>
        <row r="2138">
          <cell r="B2138" t="str">
            <v>5</v>
          </cell>
          <cell r="AN2138">
            <v>425.4</v>
          </cell>
          <cell r="AP2138">
            <v>40</v>
          </cell>
        </row>
        <row r="2139">
          <cell r="B2139" t="str">
            <v>5</v>
          </cell>
          <cell r="AN2139">
            <v>157.59999999999997</v>
          </cell>
          <cell r="AP2139">
            <v>40</v>
          </cell>
        </row>
        <row r="2140">
          <cell r="B2140" t="str">
            <v>6</v>
          </cell>
          <cell r="AN2140">
            <v>764.30000000000007</v>
          </cell>
          <cell r="AP2140">
            <v>40</v>
          </cell>
        </row>
        <row r="2141">
          <cell r="B2141" t="str">
            <v>6</v>
          </cell>
          <cell r="AN2141">
            <v>665</v>
          </cell>
          <cell r="AP2141">
            <v>40</v>
          </cell>
        </row>
        <row r="2142">
          <cell r="B2142" t="str">
            <v>7</v>
          </cell>
          <cell r="AN2142">
            <v>143.80000000000001</v>
          </cell>
          <cell r="AP2142">
            <v>40</v>
          </cell>
        </row>
        <row r="2143">
          <cell r="B2143" t="str">
            <v>7</v>
          </cell>
          <cell r="AN2143">
            <v>206.6</v>
          </cell>
          <cell r="AP2143">
            <v>40</v>
          </cell>
        </row>
        <row r="2144">
          <cell r="B2144" t="str">
            <v>7</v>
          </cell>
          <cell r="AN2144">
            <v>141</v>
          </cell>
          <cell r="AP2144">
            <v>40</v>
          </cell>
        </row>
        <row r="2145">
          <cell r="B2145" t="str">
            <v>7</v>
          </cell>
          <cell r="AN2145">
            <v>81.599999999999994</v>
          </cell>
          <cell r="AP2145">
            <v>40</v>
          </cell>
        </row>
        <row r="2146">
          <cell r="B2146" t="str">
            <v>7</v>
          </cell>
          <cell r="AN2146">
            <v>214.8</v>
          </cell>
          <cell r="AP2146">
            <v>40</v>
          </cell>
        </row>
        <row r="2147">
          <cell r="B2147" t="str">
            <v>1</v>
          </cell>
          <cell r="AN2147">
            <v>115.89999999999999</v>
          </cell>
          <cell r="AP2147">
            <v>40</v>
          </cell>
        </row>
        <row r="2148">
          <cell r="B2148" t="str">
            <v>1</v>
          </cell>
          <cell r="AN2148">
            <v>46.699999999999996</v>
          </cell>
          <cell r="AP2148">
            <v>40</v>
          </cell>
        </row>
        <row r="2149">
          <cell r="B2149" t="str">
            <v>1</v>
          </cell>
          <cell r="AN2149">
            <v>182.09999999999997</v>
          </cell>
          <cell r="AP2149">
            <v>40</v>
          </cell>
        </row>
        <row r="2150">
          <cell r="B2150" t="str">
            <v>2</v>
          </cell>
          <cell r="AN2150">
            <v>342.50000000000006</v>
          </cell>
          <cell r="AP2150">
            <v>40</v>
          </cell>
        </row>
        <row r="2151">
          <cell r="B2151" t="str">
            <v>2</v>
          </cell>
          <cell r="AN2151">
            <v>40.200000000000003</v>
          </cell>
          <cell r="AP2151">
            <v>40</v>
          </cell>
        </row>
        <row r="2152">
          <cell r="B2152" t="str">
            <v>2</v>
          </cell>
          <cell r="AN2152">
            <v>36.799999999999997</v>
          </cell>
          <cell r="AP2152">
            <v>40</v>
          </cell>
        </row>
        <row r="2153">
          <cell r="B2153" t="str">
            <v>2</v>
          </cell>
          <cell r="AN2153">
            <v>375.52</v>
          </cell>
          <cell r="AP2153">
            <v>40</v>
          </cell>
        </row>
        <row r="2154">
          <cell r="B2154" t="str">
            <v>3</v>
          </cell>
          <cell r="AN2154">
            <v>287.36</v>
          </cell>
          <cell r="AP2154">
            <v>40</v>
          </cell>
        </row>
        <row r="2155">
          <cell r="B2155" t="str">
            <v>4</v>
          </cell>
          <cell r="AN2155">
            <v>111.9</v>
          </cell>
          <cell r="AP2155">
            <v>40</v>
          </cell>
        </row>
        <row r="2156">
          <cell r="B2156" t="str">
            <v>4</v>
          </cell>
          <cell r="AN2156">
            <v>156.6</v>
          </cell>
          <cell r="AP2156">
            <v>40</v>
          </cell>
        </row>
        <row r="2157">
          <cell r="B2157" t="str">
            <v>4</v>
          </cell>
          <cell r="AN2157">
            <v>114.69999999999999</v>
          </cell>
          <cell r="AP2157">
            <v>40</v>
          </cell>
        </row>
        <row r="2158">
          <cell r="B2158" t="str">
            <v>4</v>
          </cell>
          <cell r="AN2158">
            <v>154.39999999999998</v>
          </cell>
          <cell r="AP2158">
            <v>40</v>
          </cell>
        </row>
        <row r="2159">
          <cell r="B2159" t="str">
            <v>5</v>
          </cell>
          <cell r="AN2159">
            <v>675.6</v>
          </cell>
          <cell r="AP2159">
            <v>40</v>
          </cell>
        </row>
        <row r="2160">
          <cell r="B2160" t="str">
            <v>5</v>
          </cell>
          <cell r="AN2160">
            <v>436.4</v>
          </cell>
          <cell r="AP2160">
            <v>40</v>
          </cell>
        </row>
        <row r="2161">
          <cell r="B2161" t="str">
            <v>6</v>
          </cell>
          <cell r="AN2161">
            <v>479</v>
          </cell>
          <cell r="AP2161">
            <v>40</v>
          </cell>
        </row>
        <row r="2162">
          <cell r="B2162" t="str">
            <v>6</v>
          </cell>
          <cell r="AN2162">
            <v>258.2</v>
          </cell>
          <cell r="AP2162">
            <v>40</v>
          </cell>
        </row>
        <row r="2163">
          <cell r="B2163" t="str">
            <v>6</v>
          </cell>
          <cell r="AN2163">
            <v>306.10000000000002</v>
          </cell>
          <cell r="AP2163">
            <v>40</v>
          </cell>
        </row>
        <row r="2164">
          <cell r="B2164" t="str">
            <v>6</v>
          </cell>
          <cell r="AN2164">
            <v>93.399999999999991</v>
          </cell>
          <cell r="AP2164">
            <v>40</v>
          </cell>
        </row>
        <row r="2165">
          <cell r="B2165" t="str">
            <v>7</v>
          </cell>
          <cell r="AN2165">
            <v>293.40000000000003</v>
          </cell>
          <cell r="AP2165">
            <v>40</v>
          </cell>
        </row>
        <row r="2166">
          <cell r="B2166" t="str">
            <v>7</v>
          </cell>
          <cell r="AN2166">
            <v>233.34</v>
          </cell>
          <cell r="AP2166">
            <v>40</v>
          </cell>
        </row>
        <row r="2167">
          <cell r="B2167" t="str">
            <v>7</v>
          </cell>
          <cell r="AN2167">
            <v>81.400000000000006</v>
          </cell>
          <cell r="AP2167">
            <v>40</v>
          </cell>
        </row>
        <row r="2168">
          <cell r="B2168" t="str">
            <v>7</v>
          </cell>
          <cell r="AN2168">
            <v>78.08</v>
          </cell>
          <cell r="AP2168">
            <v>40</v>
          </cell>
        </row>
        <row r="2169">
          <cell r="B2169" t="str">
            <v>1</v>
          </cell>
          <cell r="AN2169">
            <v>126.71000000000002</v>
          </cell>
          <cell r="AP2169">
            <v>40</v>
          </cell>
        </row>
        <row r="2170">
          <cell r="B2170" t="str">
            <v>1</v>
          </cell>
          <cell r="AN2170">
            <v>54.4</v>
          </cell>
          <cell r="AP2170">
            <v>40</v>
          </cell>
        </row>
        <row r="2171">
          <cell r="B2171" t="str">
            <v>1</v>
          </cell>
          <cell r="AN2171">
            <v>64.550000000000011</v>
          </cell>
          <cell r="AP2171">
            <v>40</v>
          </cell>
        </row>
        <row r="2172">
          <cell r="B2172" t="str">
            <v>2</v>
          </cell>
          <cell r="AN2172">
            <v>111.8</v>
          </cell>
          <cell r="AP2172">
            <v>40</v>
          </cell>
        </row>
        <row r="2173">
          <cell r="B2173" t="str">
            <v>2</v>
          </cell>
          <cell r="AN2173">
            <v>170</v>
          </cell>
          <cell r="AP2173">
            <v>40</v>
          </cell>
        </row>
        <row r="2174">
          <cell r="B2174" t="str">
            <v>2</v>
          </cell>
          <cell r="AN2174">
            <v>136.6</v>
          </cell>
          <cell r="AP2174">
            <v>40</v>
          </cell>
        </row>
        <row r="2175">
          <cell r="B2175" t="str">
            <v>3</v>
          </cell>
          <cell r="AN2175">
            <v>357.72999999999996</v>
          </cell>
          <cell r="AP2175">
            <v>40</v>
          </cell>
        </row>
        <row r="2176">
          <cell r="B2176" t="str">
            <v>3</v>
          </cell>
          <cell r="AN2176">
            <v>399.77000000000004</v>
          </cell>
          <cell r="AP2176">
            <v>40</v>
          </cell>
        </row>
        <row r="2177">
          <cell r="B2177" t="str">
            <v>4</v>
          </cell>
          <cell r="AN2177">
            <v>115.4</v>
          </cell>
          <cell r="AP2177">
            <v>40</v>
          </cell>
        </row>
        <row r="2178">
          <cell r="B2178" t="str">
            <v>4</v>
          </cell>
          <cell r="AN2178">
            <v>182.10000000000002</v>
          </cell>
          <cell r="AP2178">
            <v>40</v>
          </cell>
        </row>
        <row r="2179">
          <cell r="B2179" t="str">
            <v>4</v>
          </cell>
          <cell r="AN2179">
            <v>212.5</v>
          </cell>
          <cell r="AP2179">
            <v>40</v>
          </cell>
        </row>
        <row r="2180">
          <cell r="B2180" t="str">
            <v>4</v>
          </cell>
          <cell r="AN2180">
            <v>52.099999999999994</v>
          </cell>
          <cell r="AP2180">
            <v>40</v>
          </cell>
        </row>
        <row r="2181">
          <cell r="B2181" t="str">
            <v>5</v>
          </cell>
          <cell r="AN2181">
            <v>223.2</v>
          </cell>
          <cell r="AP2181">
            <v>40</v>
          </cell>
        </row>
        <row r="2182">
          <cell r="B2182" t="str">
            <v>5</v>
          </cell>
          <cell r="AN2182">
            <v>343.40000000000003</v>
          </cell>
          <cell r="AP2182">
            <v>40</v>
          </cell>
        </row>
        <row r="2183">
          <cell r="B2183" t="str">
            <v>5</v>
          </cell>
          <cell r="AN2183">
            <v>540.80000000000007</v>
          </cell>
          <cell r="AP2183">
            <v>40</v>
          </cell>
        </row>
        <row r="2184">
          <cell r="B2184" t="str">
            <v>6</v>
          </cell>
          <cell r="AN2184">
            <v>172.99999999999997</v>
          </cell>
          <cell r="AP2184">
            <v>40</v>
          </cell>
        </row>
        <row r="2185">
          <cell r="B2185" t="str">
            <v>6</v>
          </cell>
          <cell r="AN2185">
            <v>114.8</v>
          </cell>
          <cell r="AP2185">
            <v>40</v>
          </cell>
        </row>
        <row r="2186">
          <cell r="B2186" t="str">
            <v>6</v>
          </cell>
          <cell r="AN2186">
            <v>255</v>
          </cell>
          <cell r="AP2186">
            <v>40</v>
          </cell>
        </row>
        <row r="2187">
          <cell r="B2187" t="str">
            <v>6</v>
          </cell>
          <cell r="AN2187">
            <v>51.6</v>
          </cell>
          <cell r="AP2187">
            <v>40</v>
          </cell>
        </row>
        <row r="2188">
          <cell r="B2188" t="str">
            <v>6</v>
          </cell>
          <cell r="AN2188">
            <v>376.6</v>
          </cell>
          <cell r="AP2188">
            <v>40</v>
          </cell>
        </row>
        <row r="2189">
          <cell r="B2189" t="str">
            <v>6</v>
          </cell>
          <cell r="AN2189">
            <v>145</v>
          </cell>
          <cell r="AP2189">
            <v>40</v>
          </cell>
        </row>
        <row r="2190">
          <cell r="B2190" t="str">
            <v>7</v>
          </cell>
          <cell r="AN2190">
            <v>503.91999999999996</v>
          </cell>
          <cell r="AP2190">
            <v>40</v>
          </cell>
        </row>
        <row r="2191">
          <cell r="B2191" t="str">
            <v>7</v>
          </cell>
          <cell r="AN2191">
            <v>100.7</v>
          </cell>
          <cell r="AP2191">
            <v>40</v>
          </cell>
        </row>
        <row r="2192">
          <cell r="B2192" t="str">
            <v>7</v>
          </cell>
          <cell r="AN2192">
            <v>61.9</v>
          </cell>
          <cell r="AP2192">
            <v>40</v>
          </cell>
        </row>
        <row r="2193">
          <cell r="B2193" t="str">
            <v>7</v>
          </cell>
          <cell r="AN2193">
            <v>103.6</v>
          </cell>
          <cell r="AP2193">
            <v>40</v>
          </cell>
        </row>
        <row r="2194">
          <cell r="B2194" t="str">
            <v>7</v>
          </cell>
          <cell r="AN2194">
            <v>122.6</v>
          </cell>
          <cell r="AP2194">
            <v>40</v>
          </cell>
        </row>
        <row r="2195">
          <cell r="B2195" t="str">
            <v>1</v>
          </cell>
          <cell r="AN2195">
            <v>93.41</v>
          </cell>
          <cell r="AP2195">
            <v>40</v>
          </cell>
        </row>
        <row r="2196">
          <cell r="B2196" t="str">
            <v>1</v>
          </cell>
          <cell r="AN2196">
            <v>35.450000000000003</v>
          </cell>
          <cell r="AP2196">
            <v>40</v>
          </cell>
        </row>
        <row r="2197">
          <cell r="B2197" t="str">
            <v>1</v>
          </cell>
          <cell r="AN2197">
            <v>82.690000000000012</v>
          </cell>
          <cell r="AP2197">
            <v>40</v>
          </cell>
        </row>
        <row r="2198">
          <cell r="B2198" t="str">
            <v>2</v>
          </cell>
          <cell r="AN2198">
            <v>206.9</v>
          </cell>
          <cell r="AP2198">
            <v>40</v>
          </cell>
        </row>
        <row r="2199">
          <cell r="B2199" t="str">
            <v>2</v>
          </cell>
          <cell r="AN2199">
            <v>227.1</v>
          </cell>
          <cell r="AP2199">
            <v>40</v>
          </cell>
        </row>
        <row r="2200">
          <cell r="B2200" t="str">
            <v>3</v>
          </cell>
          <cell r="AN2200">
            <v>387.51000000000005</v>
          </cell>
          <cell r="AP2200">
            <v>40</v>
          </cell>
        </row>
        <row r="2201">
          <cell r="B2201" t="str">
            <v>3</v>
          </cell>
          <cell r="AN2201">
            <v>391.09999999999997</v>
          </cell>
          <cell r="AP2201">
            <v>40</v>
          </cell>
        </row>
        <row r="2202">
          <cell r="B2202" t="str">
            <v>4</v>
          </cell>
          <cell r="AN2202">
            <v>74.8</v>
          </cell>
          <cell r="AP2202">
            <v>40</v>
          </cell>
        </row>
        <row r="2203">
          <cell r="B2203" t="str">
            <v>4</v>
          </cell>
          <cell r="AN2203">
            <v>126.4</v>
          </cell>
          <cell r="AP2203">
            <v>40</v>
          </cell>
        </row>
        <row r="2204">
          <cell r="B2204" t="str">
            <v>4</v>
          </cell>
          <cell r="AN2204">
            <v>47.3</v>
          </cell>
          <cell r="AP2204">
            <v>40</v>
          </cell>
        </row>
        <row r="2205">
          <cell r="B2205" t="str">
            <v>4</v>
          </cell>
          <cell r="AN2205">
            <v>61</v>
          </cell>
          <cell r="AP2205">
            <v>40</v>
          </cell>
        </row>
        <row r="2206">
          <cell r="B2206" t="str">
            <v>4</v>
          </cell>
          <cell r="AN2206">
            <v>215.00000000000003</v>
          </cell>
          <cell r="AP2206">
            <v>40</v>
          </cell>
        </row>
        <row r="2207">
          <cell r="B2207" t="str">
            <v>5</v>
          </cell>
          <cell r="AN2207">
            <v>381.40000000000003</v>
          </cell>
          <cell r="AP2207">
            <v>40</v>
          </cell>
        </row>
        <row r="2208">
          <cell r="B2208" t="str">
            <v>5</v>
          </cell>
          <cell r="AN2208">
            <v>471.90000000000003</v>
          </cell>
          <cell r="AP2208">
            <v>40</v>
          </cell>
        </row>
        <row r="2209">
          <cell r="B2209" t="str">
            <v>6</v>
          </cell>
          <cell r="AN2209">
            <v>219.70000000000002</v>
          </cell>
          <cell r="AP2209">
            <v>40</v>
          </cell>
        </row>
        <row r="2210">
          <cell r="B2210" t="str">
            <v>6</v>
          </cell>
          <cell r="AN2210">
            <v>82.6</v>
          </cell>
          <cell r="AP2210">
            <v>40</v>
          </cell>
        </row>
        <row r="2211">
          <cell r="B2211" t="str">
            <v>6</v>
          </cell>
          <cell r="AN2211">
            <v>315.85000000000002</v>
          </cell>
          <cell r="AP2211">
            <v>40</v>
          </cell>
        </row>
        <row r="2212">
          <cell r="B2212" t="str">
            <v>6</v>
          </cell>
          <cell r="AN2212">
            <v>639.19999999999993</v>
          </cell>
          <cell r="AP2212">
            <v>40</v>
          </cell>
        </row>
        <row r="2213">
          <cell r="B2213" t="str">
            <v>7</v>
          </cell>
          <cell r="AN2213">
            <v>411.90000000000003</v>
          </cell>
          <cell r="AP2213">
            <v>40</v>
          </cell>
        </row>
        <row r="2214">
          <cell r="B2214" t="str">
            <v>7</v>
          </cell>
          <cell r="AN2214">
            <v>135</v>
          </cell>
          <cell r="AP2214">
            <v>40</v>
          </cell>
        </row>
        <row r="2215">
          <cell r="B2215" t="str">
            <v>7</v>
          </cell>
          <cell r="AN2215">
            <v>215.7</v>
          </cell>
          <cell r="AP2215">
            <v>40</v>
          </cell>
        </row>
        <row r="2216">
          <cell r="B2216" t="str">
            <v>7</v>
          </cell>
          <cell r="AN2216">
            <v>261.89999999999998</v>
          </cell>
          <cell r="AP2216">
            <v>40</v>
          </cell>
        </row>
        <row r="2217">
          <cell r="B2217" t="str">
            <v>8</v>
          </cell>
          <cell r="AN2217">
            <v>72.81</v>
          </cell>
          <cell r="AP2217">
            <v>40</v>
          </cell>
        </row>
        <row r="2218">
          <cell r="B2218" t="str">
            <v>8</v>
          </cell>
          <cell r="AN2218">
            <v>36</v>
          </cell>
          <cell r="AP2218">
            <v>40</v>
          </cell>
        </row>
        <row r="2219">
          <cell r="B2219" t="str">
            <v>1</v>
          </cell>
          <cell r="AN2219">
            <v>118.78</v>
          </cell>
          <cell r="AP2219">
            <v>41</v>
          </cell>
        </row>
        <row r="2220">
          <cell r="B2220" t="str">
            <v>1</v>
          </cell>
          <cell r="AN2220">
            <v>136.55000000000001</v>
          </cell>
          <cell r="AP2220">
            <v>41</v>
          </cell>
        </row>
        <row r="2221">
          <cell r="B2221" t="str">
            <v>2</v>
          </cell>
          <cell r="AN2221">
            <v>166.53</v>
          </cell>
          <cell r="AP2221">
            <v>41</v>
          </cell>
        </row>
        <row r="2222">
          <cell r="B2222" t="str">
            <v>2</v>
          </cell>
          <cell r="AN2222">
            <v>160.89999999999998</v>
          </cell>
          <cell r="AP2222">
            <v>41</v>
          </cell>
        </row>
        <row r="2223">
          <cell r="B2223" t="str">
            <v>5</v>
          </cell>
          <cell r="AN2223">
            <v>118.6</v>
          </cell>
          <cell r="AP2223">
            <v>41</v>
          </cell>
        </row>
        <row r="2224">
          <cell r="B2224" t="str">
            <v>5</v>
          </cell>
          <cell r="AN2224">
            <v>167.2</v>
          </cell>
          <cell r="AP2224">
            <v>41</v>
          </cell>
        </row>
        <row r="2225">
          <cell r="B2225" t="str">
            <v>5</v>
          </cell>
          <cell r="AN2225">
            <v>85</v>
          </cell>
          <cell r="AP2225">
            <v>41</v>
          </cell>
        </row>
        <row r="2226">
          <cell r="B2226" t="str">
            <v>5</v>
          </cell>
          <cell r="AN2226">
            <v>58.199999999999996</v>
          </cell>
          <cell r="AP2226">
            <v>41</v>
          </cell>
        </row>
        <row r="2227">
          <cell r="B2227" t="str">
            <v>5</v>
          </cell>
          <cell r="AN2227">
            <v>62.8</v>
          </cell>
          <cell r="AP2227">
            <v>41</v>
          </cell>
        </row>
        <row r="2228">
          <cell r="B2228" t="str">
            <v>5</v>
          </cell>
          <cell r="AN2228">
            <v>68.800000000000011</v>
          </cell>
          <cell r="AP2228">
            <v>41</v>
          </cell>
        </row>
        <row r="2229">
          <cell r="B2229" t="str">
            <v>5</v>
          </cell>
          <cell r="AN2229">
            <v>114.6</v>
          </cell>
          <cell r="AP2229">
            <v>41</v>
          </cell>
        </row>
        <row r="2230">
          <cell r="B2230" t="str">
            <v>5</v>
          </cell>
          <cell r="AN2230">
            <v>106.5</v>
          </cell>
          <cell r="AP2230">
            <v>41</v>
          </cell>
        </row>
        <row r="2231">
          <cell r="B2231" t="str">
            <v>4</v>
          </cell>
          <cell r="AN2231">
            <v>317.98</v>
          </cell>
          <cell r="AP2231">
            <v>41</v>
          </cell>
        </row>
        <row r="2232">
          <cell r="B2232" t="str">
            <v>4</v>
          </cell>
          <cell r="AN2232">
            <v>377.90000000000003</v>
          </cell>
          <cell r="AP2232">
            <v>41</v>
          </cell>
        </row>
        <row r="2233">
          <cell r="B2233" t="str">
            <v>5</v>
          </cell>
          <cell r="AN2233">
            <v>391.20000000000005</v>
          </cell>
          <cell r="AP2233">
            <v>41</v>
          </cell>
        </row>
        <row r="2234">
          <cell r="B2234" t="str">
            <v>5</v>
          </cell>
          <cell r="AN2234">
            <v>701.9</v>
          </cell>
          <cell r="AP2234">
            <v>41</v>
          </cell>
        </row>
        <row r="2235">
          <cell r="B2235" t="str">
            <v>6</v>
          </cell>
          <cell r="AN2235">
            <v>283</v>
          </cell>
          <cell r="AP2235">
            <v>41</v>
          </cell>
        </row>
        <row r="2236">
          <cell r="B2236" t="str">
            <v>6</v>
          </cell>
          <cell r="AN2236">
            <v>384.20000000000005</v>
          </cell>
          <cell r="AP2236">
            <v>41</v>
          </cell>
        </row>
        <row r="2237">
          <cell r="B2237" t="str">
            <v>6</v>
          </cell>
          <cell r="AN2237">
            <v>384.20000000000005</v>
          </cell>
          <cell r="AP2237">
            <v>41</v>
          </cell>
        </row>
        <row r="2238">
          <cell r="B2238" t="str">
            <v>6</v>
          </cell>
          <cell r="AN2238">
            <v>121.8</v>
          </cell>
          <cell r="AP2238">
            <v>41</v>
          </cell>
        </row>
        <row r="2239">
          <cell r="B2239" t="str">
            <v>6</v>
          </cell>
          <cell r="AN2239">
            <v>236.4</v>
          </cell>
          <cell r="AP2239">
            <v>41</v>
          </cell>
        </row>
        <row r="2240">
          <cell r="B2240" t="str">
            <v>7</v>
          </cell>
          <cell r="AN2240">
            <v>514.82999999999993</v>
          </cell>
          <cell r="AP2240">
            <v>41</v>
          </cell>
        </row>
        <row r="2241">
          <cell r="B2241" t="str">
            <v>7</v>
          </cell>
          <cell r="AN2241">
            <v>517.90000000000009</v>
          </cell>
          <cell r="AP2241">
            <v>41</v>
          </cell>
        </row>
        <row r="2242">
          <cell r="B2242" t="str">
            <v>8</v>
          </cell>
          <cell r="AN2242">
            <v>39.220000000000006</v>
          </cell>
          <cell r="AP2242">
            <v>41</v>
          </cell>
        </row>
        <row r="2243">
          <cell r="B2243" t="str">
            <v>8</v>
          </cell>
          <cell r="AN2243">
            <v>63.83</v>
          </cell>
          <cell r="AP2243">
            <v>41</v>
          </cell>
        </row>
        <row r="2244">
          <cell r="B2244" t="str">
            <v>8</v>
          </cell>
          <cell r="AN2244">
            <v>106.97</v>
          </cell>
          <cell r="AP2244">
            <v>41</v>
          </cell>
        </row>
        <row r="2245">
          <cell r="B2245">
            <v>1</v>
          </cell>
          <cell r="AN2245">
            <v>124.19999999999999</v>
          </cell>
          <cell r="AP2245">
            <v>41</v>
          </cell>
        </row>
        <row r="2246">
          <cell r="B2246">
            <v>1</v>
          </cell>
          <cell r="AN2246">
            <v>147.35000000000002</v>
          </cell>
          <cell r="AP2246">
            <v>41</v>
          </cell>
        </row>
        <row r="2247">
          <cell r="B2247" t="str">
            <v>3</v>
          </cell>
          <cell r="AN2247">
            <v>362.54</v>
          </cell>
          <cell r="AP2247">
            <v>41</v>
          </cell>
        </row>
        <row r="2248">
          <cell r="B2248" t="str">
            <v>3</v>
          </cell>
          <cell r="AN2248">
            <v>58.77</v>
          </cell>
          <cell r="AP2248">
            <v>41</v>
          </cell>
        </row>
        <row r="2249">
          <cell r="B2249" t="str">
            <v>3</v>
          </cell>
          <cell r="AN2249">
            <v>172.94</v>
          </cell>
          <cell r="AP2249">
            <v>41</v>
          </cell>
        </row>
        <row r="2250">
          <cell r="B2250" t="str">
            <v>4</v>
          </cell>
          <cell r="AN2250">
            <v>259.20000000000005</v>
          </cell>
          <cell r="AP2250">
            <v>41</v>
          </cell>
        </row>
        <row r="2251">
          <cell r="B2251" t="str">
            <v>4</v>
          </cell>
          <cell r="AN2251">
            <v>111.6</v>
          </cell>
          <cell r="AP2251">
            <v>41</v>
          </cell>
        </row>
        <row r="2252">
          <cell r="B2252" t="str">
            <v>4</v>
          </cell>
          <cell r="AN2252">
            <v>95.8</v>
          </cell>
          <cell r="AP2252">
            <v>41</v>
          </cell>
        </row>
        <row r="2253">
          <cell r="B2253" t="str">
            <v>4</v>
          </cell>
          <cell r="AN2253">
            <v>56.800000000000004</v>
          </cell>
          <cell r="AP2253">
            <v>41</v>
          </cell>
        </row>
        <row r="2254">
          <cell r="B2254" t="str">
            <v>4</v>
          </cell>
          <cell r="AN2254">
            <v>196.40000000000003</v>
          </cell>
          <cell r="AP2254">
            <v>41</v>
          </cell>
        </row>
        <row r="2255">
          <cell r="B2255" t="str">
            <v>5</v>
          </cell>
          <cell r="AN2255">
            <v>236.72</v>
          </cell>
          <cell r="AP2255">
            <v>41</v>
          </cell>
        </row>
        <row r="2256">
          <cell r="B2256" t="str">
            <v>5</v>
          </cell>
          <cell r="AN2256">
            <v>151.63999999999999</v>
          </cell>
          <cell r="AP2256">
            <v>41</v>
          </cell>
        </row>
        <row r="2257">
          <cell r="B2257" t="str">
            <v>5</v>
          </cell>
          <cell r="AN2257">
            <v>57.8</v>
          </cell>
          <cell r="AP2257">
            <v>41</v>
          </cell>
        </row>
        <row r="2258">
          <cell r="B2258" t="str">
            <v>5</v>
          </cell>
          <cell r="AN2258">
            <v>100.68</v>
          </cell>
          <cell r="AP2258">
            <v>41</v>
          </cell>
        </row>
        <row r="2259">
          <cell r="B2259" t="str">
            <v>5</v>
          </cell>
          <cell r="AN2259">
            <v>361.09999999999997</v>
          </cell>
          <cell r="AP2259">
            <v>41</v>
          </cell>
        </row>
        <row r="2260">
          <cell r="B2260" t="str">
            <v>6</v>
          </cell>
          <cell r="AN2260">
            <v>311.06000000000006</v>
          </cell>
          <cell r="AP2260">
            <v>41</v>
          </cell>
        </row>
        <row r="2261">
          <cell r="B2261" t="str">
            <v>6</v>
          </cell>
          <cell r="AN2261">
            <v>315.2</v>
          </cell>
          <cell r="AP2261">
            <v>41</v>
          </cell>
        </row>
        <row r="2262">
          <cell r="B2262" t="str">
            <v>6</v>
          </cell>
          <cell r="AN2262">
            <v>655.8</v>
          </cell>
          <cell r="AP2262">
            <v>41</v>
          </cell>
        </row>
        <row r="2263">
          <cell r="B2263" t="str">
            <v>7</v>
          </cell>
          <cell r="AN2263">
            <v>315.89</v>
          </cell>
          <cell r="AP2263">
            <v>41</v>
          </cell>
        </row>
        <row r="2264">
          <cell r="B2264" t="str">
            <v>7</v>
          </cell>
          <cell r="AN2264">
            <v>161.76</v>
          </cell>
          <cell r="AP2264">
            <v>41</v>
          </cell>
        </row>
        <row r="2265">
          <cell r="B2265" t="str">
            <v>7</v>
          </cell>
          <cell r="AN2265">
            <v>75.5</v>
          </cell>
          <cell r="AP2265">
            <v>41</v>
          </cell>
        </row>
        <row r="2266">
          <cell r="B2266" t="str">
            <v>7</v>
          </cell>
          <cell r="AN2266">
            <v>111.4</v>
          </cell>
          <cell r="AP2266">
            <v>41</v>
          </cell>
        </row>
        <row r="2267">
          <cell r="B2267" t="str">
            <v>7</v>
          </cell>
          <cell r="AN2267">
            <v>216.20999999999998</v>
          </cell>
          <cell r="AP2267">
            <v>41</v>
          </cell>
        </row>
        <row r="2268">
          <cell r="B2268" t="str">
            <v>7</v>
          </cell>
          <cell r="AN2268">
            <v>76.599999999999994</v>
          </cell>
          <cell r="AP2268">
            <v>41</v>
          </cell>
        </row>
        <row r="2269">
          <cell r="B2269" t="str">
            <v>7</v>
          </cell>
          <cell r="AN2269">
            <v>61.5</v>
          </cell>
          <cell r="AP2269">
            <v>41</v>
          </cell>
        </row>
        <row r="2270">
          <cell r="B2270" t="str">
            <v>8</v>
          </cell>
          <cell r="AN2270">
            <v>88.26</v>
          </cell>
          <cell r="AP2270">
            <v>41</v>
          </cell>
        </row>
        <row r="2271">
          <cell r="B2271" t="str">
            <v>8</v>
          </cell>
          <cell r="AN2271">
            <v>69.8</v>
          </cell>
          <cell r="AP2271">
            <v>41</v>
          </cell>
        </row>
        <row r="2272">
          <cell r="B2272" t="str">
            <v>8</v>
          </cell>
          <cell r="AN2272">
            <v>54.39</v>
          </cell>
          <cell r="AP2272">
            <v>41</v>
          </cell>
        </row>
        <row r="2273">
          <cell r="B2273" t="str">
            <v>1</v>
          </cell>
          <cell r="AN2273">
            <v>107.50000000000001</v>
          </cell>
          <cell r="AP2273">
            <v>41</v>
          </cell>
        </row>
        <row r="2274">
          <cell r="B2274" t="str">
            <v>1</v>
          </cell>
          <cell r="AN2274">
            <v>112.86999999999999</v>
          </cell>
          <cell r="AP2274">
            <v>41</v>
          </cell>
        </row>
        <row r="2275">
          <cell r="B2275" t="str">
            <v>4</v>
          </cell>
          <cell r="AN2275">
            <v>80.199999999999989</v>
          </cell>
          <cell r="AP2275">
            <v>41</v>
          </cell>
        </row>
        <row r="2276">
          <cell r="B2276" t="str">
            <v>4</v>
          </cell>
          <cell r="AN2276">
            <v>109.8</v>
          </cell>
          <cell r="AP2276">
            <v>41</v>
          </cell>
        </row>
        <row r="2277">
          <cell r="B2277" t="str">
            <v>4</v>
          </cell>
          <cell r="AN2277">
            <v>76.5</v>
          </cell>
          <cell r="AP2277">
            <v>41</v>
          </cell>
        </row>
        <row r="2278">
          <cell r="B2278" t="str">
            <v>4</v>
          </cell>
          <cell r="AN2278">
            <v>69.400000000000006</v>
          </cell>
          <cell r="AP2278">
            <v>41</v>
          </cell>
        </row>
        <row r="2279">
          <cell r="B2279" t="str">
            <v>4</v>
          </cell>
          <cell r="AN2279">
            <v>113</v>
          </cell>
          <cell r="AP2279">
            <v>41</v>
          </cell>
        </row>
        <row r="2280">
          <cell r="B2280" t="str">
            <v>4</v>
          </cell>
          <cell r="AN2280">
            <v>50.599999999999994</v>
          </cell>
          <cell r="AP2280">
            <v>41</v>
          </cell>
        </row>
        <row r="2281">
          <cell r="B2281" t="str">
            <v>5</v>
          </cell>
          <cell r="AN2281">
            <v>108.62</v>
          </cell>
          <cell r="AP2281">
            <v>41</v>
          </cell>
        </row>
        <row r="2282">
          <cell r="B2282" t="str">
            <v>5</v>
          </cell>
          <cell r="AN2282">
            <v>112.36</v>
          </cell>
          <cell r="AP2282">
            <v>41</v>
          </cell>
        </row>
        <row r="2283">
          <cell r="B2283" t="str">
            <v>5</v>
          </cell>
          <cell r="AN2283">
            <v>108.00000000000001</v>
          </cell>
          <cell r="AP2283">
            <v>41</v>
          </cell>
        </row>
        <row r="2284">
          <cell r="B2284" t="str">
            <v>5</v>
          </cell>
          <cell r="AN2284">
            <v>123.7</v>
          </cell>
          <cell r="AP2284">
            <v>41</v>
          </cell>
        </row>
        <row r="2285">
          <cell r="B2285" t="str">
            <v>6</v>
          </cell>
          <cell r="AN2285">
            <v>579.9</v>
          </cell>
          <cell r="AP2285">
            <v>41</v>
          </cell>
        </row>
        <row r="2286">
          <cell r="B2286" t="str">
            <v>6</v>
          </cell>
          <cell r="AN2286">
            <v>428.7</v>
          </cell>
          <cell r="AP2286">
            <v>41</v>
          </cell>
        </row>
        <row r="2287">
          <cell r="B2287" t="str">
            <v>6</v>
          </cell>
          <cell r="AN2287">
            <v>156</v>
          </cell>
          <cell r="AP2287">
            <v>41</v>
          </cell>
        </row>
        <row r="2288">
          <cell r="B2288" t="str">
            <v>7</v>
          </cell>
          <cell r="AN2288">
            <v>120</v>
          </cell>
          <cell r="AP2288">
            <v>41</v>
          </cell>
        </row>
        <row r="2289">
          <cell r="B2289" t="str">
            <v>7</v>
          </cell>
          <cell r="AN2289">
            <v>37</v>
          </cell>
          <cell r="AP2289">
            <v>41</v>
          </cell>
        </row>
        <row r="2290">
          <cell r="B2290" t="str">
            <v>7</v>
          </cell>
          <cell r="AN2290">
            <v>165.49999999999997</v>
          </cell>
          <cell r="AP2290">
            <v>41</v>
          </cell>
        </row>
        <row r="2291">
          <cell r="B2291" t="str">
            <v>7</v>
          </cell>
          <cell r="AN2291">
            <v>73.600000000000009</v>
          </cell>
          <cell r="AP2291">
            <v>41</v>
          </cell>
        </row>
        <row r="2292">
          <cell r="B2292" t="str">
            <v>7</v>
          </cell>
          <cell r="AN2292">
            <v>390.1</v>
          </cell>
          <cell r="AP2292">
            <v>41</v>
          </cell>
        </row>
        <row r="2293">
          <cell r="B2293" t="str">
            <v>8</v>
          </cell>
          <cell r="AN2293">
            <v>104.3</v>
          </cell>
          <cell r="AP2293">
            <v>41</v>
          </cell>
        </row>
        <row r="2294">
          <cell r="B2294" t="str">
            <v>8</v>
          </cell>
          <cell r="AN2294">
            <v>154.41</v>
          </cell>
          <cell r="AP2294">
            <v>41</v>
          </cell>
        </row>
        <row r="2295">
          <cell r="B2295" t="str">
            <v>8</v>
          </cell>
          <cell r="AN2295">
            <v>35.86</v>
          </cell>
          <cell r="AP2295">
            <v>41</v>
          </cell>
        </row>
        <row r="2296">
          <cell r="B2296" t="str">
            <v>1</v>
          </cell>
          <cell r="AN2296">
            <v>128.11000000000001</v>
          </cell>
          <cell r="AP2296">
            <v>41</v>
          </cell>
        </row>
        <row r="2297">
          <cell r="B2297" t="str">
            <v>1</v>
          </cell>
          <cell r="AN2297">
            <v>63.76</v>
          </cell>
          <cell r="AP2297">
            <v>41</v>
          </cell>
        </row>
        <row r="2298">
          <cell r="B2298" t="str">
            <v>1</v>
          </cell>
          <cell r="AN2298">
            <v>46.260000000000005</v>
          </cell>
          <cell r="AP2298">
            <v>41</v>
          </cell>
        </row>
        <row r="2299">
          <cell r="B2299" t="str">
            <v>3</v>
          </cell>
          <cell r="AN2299">
            <v>104.16000000000001</v>
          </cell>
          <cell r="AP2299">
            <v>41</v>
          </cell>
        </row>
        <row r="2300">
          <cell r="B2300" t="str">
            <v>3</v>
          </cell>
          <cell r="AN2300">
            <v>42.64</v>
          </cell>
          <cell r="AP2300">
            <v>41</v>
          </cell>
        </row>
        <row r="2301">
          <cell r="B2301" t="str">
            <v>3</v>
          </cell>
          <cell r="AN2301">
            <v>117.46</v>
          </cell>
          <cell r="AP2301">
            <v>41</v>
          </cell>
        </row>
        <row r="2302">
          <cell r="B2302" t="str">
            <v>4</v>
          </cell>
          <cell r="AN2302">
            <v>67.099999999999994</v>
          </cell>
          <cell r="AP2302">
            <v>41</v>
          </cell>
        </row>
        <row r="2303">
          <cell r="B2303" t="str">
            <v>4</v>
          </cell>
          <cell r="AN2303">
            <v>81.400000000000006</v>
          </cell>
          <cell r="AP2303">
            <v>41</v>
          </cell>
        </row>
        <row r="2304">
          <cell r="B2304" t="str">
            <v>4</v>
          </cell>
          <cell r="AN2304">
            <v>205.7</v>
          </cell>
          <cell r="AP2304">
            <v>41</v>
          </cell>
        </row>
        <row r="2305">
          <cell r="B2305" t="str">
            <v>4</v>
          </cell>
          <cell r="AN2305">
            <v>56.5</v>
          </cell>
          <cell r="AP2305">
            <v>41</v>
          </cell>
        </row>
        <row r="2306">
          <cell r="B2306" t="str">
            <v>4</v>
          </cell>
          <cell r="AN2306">
            <v>245.2</v>
          </cell>
          <cell r="AP2306">
            <v>41</v>
          </cell>
        </row>
        <row r="2307">
          <cell r="B2307" t="str">
            <v>4</v>
          </cell>
          <cell r="AN2307">
            <v>39.5</v>
          </cell>
          <cell r="AP2307">
            <v>41</v>
          </cell>
        </row>
        <row r="2308">
          <cell r="B2308" t="str">
            <v>5</v>
          </cell>
          <cell r="AN2308">
            <v>145.29999999999998</v>
          </cell>
          <cell r="AP2308">
            <v>41</v>
          </cell>
        </row>
        <row r="2309">
          <cell r="B2309" t="str">
            <v>5</v>
          </cell>
          <cell r="AN2309">
            <v>115.4</v>
          </cell>
          <cell r="AP2309">
            <v>41</v>
          </cell>
        </row>
        <row r="2310">
          <cell r="B2310" t="str">
            <v>5</v>
          </cell>
          <cell r="AN2310">
            <v>130.89999999999998</v>
          </cell>
          <cell r="AP2310">
            <v>41</v>
          </cell>
        </row>
        <row r="2311">
          <cell r="B2311" t="str">
            <v>6</v>
          </cell>
          <cell r="AN2311">
            <v>203.85</v>
          </cell>
          <cell r="AP2311">
            <v>41</v>
          </cell>
        </row>
        <row r="2312">
          <cell r="B2312" t="str">
            <v>6</v>
          </cell>
          <cell r="AN2312">
            <v>358.7</v>
          </cell>
          <cell r="AP2312">
            <v>41</v>
          </cell>
        </row>
        <row r="2313">
          <cell r="B2313" t="str">
            <v>6</v>
          </cell>
          <cell r="AN2313">
            <v>232.5</v>
          </cell>
          <cell r="AP2313">
            <v>41</v>
          </cell>
        </row>
        <row r="2314">
          <cell r="B2314" t="str">
            <v>6</v>
          </cell>
          <cell r="AN2314">
            <v>312.5</v>
          </cell>
          <cell r="AP2314">
            <v>41</v>
          </cell>
        </row>
        <row r="2315">
          <cell r="B2315" t="str">
            <v>6</v>
          </cell>
          <cell r="AN2315">
            <v>103.1</v>
          </cell>
          <cell r="AP2315">
            <v>41</v>
          </cell>
        </row>
        <row r="2316">
          <cell r="B2316" t="str">
            <v>7</v>
          </cell>
          <cell r="AN2316">
            <v>284.8</v>
          </cell>
          <cell r="AP2316">
            <v>41</v>
          </cell>
        </row>
        <row r="2317">
          <cell r="B2317" t="str">
            <v>7</v>
          </cell>
          <cell r="AN2317">
            <v>204.14999999999998</v>
          </cell>
          <cell r="AP2317">
            <v>41</v>
          </cell>
        </row>
        <row r="2318">
          <cell r="B2318" t="str">
            <v>7</v>
          </cell>
          <cell r="AN2318">
            <v>55.72</v>
          </cell>
          <cell r="AP2318">
            <v>41</v>
          </cell>
        </row>
        <row r="2319">
          <cell r="B2319" t="str">
            <v>7</v>
          </cell>
          <cell r="AN2319">
            <v>147.70000000000002</v>
          </cell>
          <cell r="AP2319">
            <v>41</v>
          </cell>
        </row>
        <row r="2320">
          <cell r="B2320" t="str">
            <v>7</v>
          </cell>
          <cell r="AN2320">
            <v>355.43</v>
          </cell>
          <cell r="AP2320">
            <v>41</v>
          </cell>
        </row>
        <row r="2321">
          <cell r="B2321" t="str">
            <v>1</v>
          </cell>
          <cell r="AN2321">
            <v>71.52</v>
          </cell>
          <cell r="AP2321">
            <v>41</v>
          </cell>
        </row>
        <row r="2322">
          <cell r="B2322" t="str">
            <v>1</v>
          </cell>
          <cell r="AN2322">
            <v>27.099999999999998</v>
          </cell>
          <cell r="AP2322">
            <v>41</v>
          </cell>
        </row>
        <row r="2323">
          <cell r="B2323" t="str">
            <v>1</v>
          </cell>
          <cell r="AN2323">
            <v>23.200000000000003</v>
          </cell>
          <cell r="AP2323">
            <v>41</v>
          </cell>
        </row>
        <row r="2324">
          <cell r="B2324" t="str">
            <v>1</v>
          </cell>
          <cell r="AN2324">
            <v>57.5</v>
          </cell>
          <cell r="AP2324">
            <v>41</v>
          </cell>
        </row>
        <row r="2325">
          <cell r="B2325" t="str">
            <v>1</v>
          </cell>
          <cell r="AN2325">
            <v>110.69</v>
          </cell>
          <cell r="AP2325">
            <v>41</v>
          </cell>
        </row>
        <row r="2326">
          <cell r="B2326" t="str">
            <v>3</v>
          </cell>
          <cell r="AN2326">
            <v>395.3</v>
          </cell>
          <cell r="AP2326">
            <v>41</v>
          </cell>
        </row>
        <row r="2327">
          <cell r="B2327" t="str">
            <v>3</v>
          </cell>
          <cell r="AN2327">
            <v>433.59000000000003</v>
          </cell>
          <cell r="AP2327">
            <v>41</v>
          </cell>
        </row>
        <row r="2328">
          <cell r="B2328" t="str">
            <v>5</v>
          </cell>
          <cell r="AN2328">
            <v>247.31</v>
          </cell>
          <cell r="AP2328">
            <v>41</v>
          </cell>
        </row>
        <row r="2329">
          <cell r="B2329" t="str">
            <v>5</v>
          </cell>
          <cell r="AN2329">
            <v>48.1</v>
          </cell>
          <cell r="AP2329">
            <v>41</v>
          </cell>
        </row>
        <row r="2330">
          <cell r="B2330" t="str">
            <v>5</v>
          </cell>
          <cell r="AN2330">
            <v>100.1</v>
          </cell>
          <cell r="AP2330">
            <v>41</v>
          </cell>
        </row>
        <row r="2331">
          <cell r="B2331" t="str">
            <v>5</v>
          </cell>
          <cell r="AN2331">
            <v>95.1</v>
          </cell>
          <cell r="AP2331">
            <v>41</v>
          </cell>
        </row>
        <row r="2332">
          <cell r="B2332" t="str">
            <v>5</v>
          </cell>
          <cell r="AN2332">
            <v>145</v>
          </cell>
          <cell r="AP2332">
            <v>41</v>
          </cell>
        </row>
        <row r="2333">
          <cell r="B2333" t="str">
            <v>5</v>
          </cell>
          <cell r="AN2333">
            <v>94.3</v>
          </cell>
          <cell r="AP2333">
            <v>41</v>
          </cell>
        </row>
        <row r="2334">
          <cell r="B2334" t="str">
            <v>6</v>
          </cell>
          <cell r="AN2334">
            <v>410.2</v>
          </cell>
          <cell r="AP2334">
            <v>41</v>
          </cell>
        </row>
        <row r="2335">
          <cell r="B2335" t="str">
            <v>6</v>
          </cell>
          <cell r="AN2335">
            <v>210.29999999999998</v>
          </cell>
          <cell r="AP2335">
            <v>41</v>
          </cell>
        </row>
        <row r="2336">
          <cell r="B2336" t="str">
            <v>6</v>
          </cell>
          <cell r="AN2336">
            <v>331.93</v>
          </cell>
          <cell r="AP2336">
            <v>41</v>
          </cell>
        </row>
        <row r="2337">
          <cell r="B2337" t="str">
            <v>6</v>
          </cell>
          <cell r="AN2337">
            <v>214.7</v>
          </cell>
          <cell r="AP2337">
            <v>41</v>
          </cell>
        </row>
        <row r="2338">
          <cell r="B2338" t="str">
            <v>7</v>
          </cell>
          <cell r="AN2338">
            <v>315.28000000000003</v>
          </cell>
          <cell r="AP2338">
            <v>41</v>
          </cell>
        </row>
        <row r="2339">
          <cell r="B2339" t="str">
            <v>7</v>
          </cell>
          <cell r="AN2339">
            <v>130.44</v>
          </cell>
          <cell r="AP2339">
            <v>41</v>
          </cell>
        </row>
        <row r="2340">
          <cell r="B2340" t="str">
            <v>7</v>
          </cell>
          <cell r="AN2340">
            <v>349</v>
          </cell>
          <cell r="AP2340">
            <v>41</v>
          </cell>
        </row>
        <row r="2341">
          <cell r="B2341" t="str">
            <v>7</v>
          </cell>
          <cell r="AN2341">
            <v>96.1</v>
          </cell>
          <cell r="AP2341">
            <v>41</v>
          </cell>
        </row>
        <row r="2342">
          <cell r="B2342" t="str">
            <v>1</v>
          </cell>
          <cell r="AN2342">
            <v>143.5</v>
          </cell>
          <cell r="AP2342">
            <v>41</v>
          </cell>
        </row>
        <row r="2343">
          <cell r="B2343" t="str">
            <v>1</v>
          </cell>
          <cell r="AN2343">
            <v>133.35999999999999</v>
          </cell>
          <cell r="AP2343">
            <v>41</v>
          </cell>
        </row>
        <row r="2344">
          <cell r="B2344" t="str">
            <v>3</v>
          </cell>
          <cell r="AN2344">
            <v>96.56</v>
          </cell>
          <cell r="AP2344">
            <v>41</v>
          </cell>
        </row>
        <row r="2345">
          <cell r="B2345" t="str">
            <v>6</v>
          </cell>
          <cell r="AN2345">
            <v>40.1</v>
          </cell>
          <cell r="AP2345">
            <v>41</v>
          </cell>
        </row>
        <row r="2346">
          <cell r="B2346" t="str">
            <v>3</v>
          </cell>
          <cell r="AN2346">
            <v>106.6</v>
          </cell>
          <cell r="AP2346">
            <v>41</v>
          </cell>
        </row>
        <row r="2347">
          <cell r="B2347" t="str">
            <v>3</v>
          </cell>
          <cell r="AN2347">
            <v>30.5</v>
          </cell>
          <cell r="AP2347">
            <v>41</v>
          </cell>
        </row>
        <row r="2348">
          <cell r="B2348" t="str">
            <v>6</v>
          </cell>
          <cell r="AN2348">
            <v>94.9</v>
          </cell>
          <cell r="AP2348">
            <v>41</v>
          </cell>
        </row>
        <row r="2349">
          <cell r="B2349" t="str">
            <v>6</v>
          </cell>
          <cell r="AN2349">
            <v>109.2</v>
          </cell>
          <cell r="AP2349">
            <v>41</v>
          </cell>
        </row>
        <row r="2350">
          <cell r="B2350" t="str">
            <v>6</v>
          </cell>
          <cell r="AN2350">
            <v>230.5</v>
          </cell>
          <cell r="AP2350">
            <v>41</v>
          </cell>
        </row>
        <row r="2351">
          <cell r="B2351" t="str">
            <v>6</v>
          </cell>
          <cell r="AN2351">
            <v>157.30000000000001</v>
          </cell>
          <cell r="AP2351">
            <v>41</v>
          </cell>
        </row>
        <row r="2352">
          <cell r="B2352" t="str">
            <v>4</v>
          </cell>
          <cell r="AN2352">
            <v>443.59999999999997</v>
          </cell>
          <cell r="AP2352">
            <v>41</v>
          </cell>
        </row>
        <row r="2353">
          <cell r="B2353" t="str">
            <v>4</v>
          </cell>
          <cell r="AN2353">
            <v>482.75999999999993</v>
          </cell>
          <cell r="AP2353">
            <v>41</v>
          </cell>
        </row>
        <row r="2354">
          <cell r="B2354" t="str">
            <v>5</v>
          </cell>
          <cell r="AN2354">
            <v>663.37</v>
          </cell>
          <cell r="AP2354">
            <v>41</v>
          </cell>
        </row>
        <row r="2355">
          <cell r="B2355" t="str">
            <v>5</v>
          </cell>
          <cell r="AN2355">
            <v>643.18000000000006</v>
          </cell>
          <cell r="AP2355">
            <v>41</v>
          </cell>
        </row>
        <row r="2356">
          <cell r="B2356" t="str">
            <v>5</v>
          </cell>
          <cell r="AN2356">
            <v>49.6</v>
          </cell>
          <cell r="AP2356">
            <v>41</v>
          </cell>
        </row>
        <row r="2357">
          <cell r="B2357" t="str">
            <v>7</v>
          </cell>
          <cell r="AN2357">
            <v>393.54</v>
          </cell>
          <cell r="AP2357">
            <v>41</v>
          </cell>
        </row>
        <row r="2358">
          <cell r="B2358" t="str">
            <v>7</v>
          </cell>
          <cell r="AN2358">
            <v>289.3</v>
          </cell>
          <cell r="AP2358">
            <v>41</v>
          </cell>
        </row>
        <row r="2359">
          <cell r="B2359" t="str">
            <v>7</v>
          </cell>
          <cell r="AN2359">
            <v>51.699999999999996</v>
          </cell>
          <cell r="AP2359">
            <v>41</v>
          </cell>
        </row>
        <row r="2360">
          <cell r="B2360" t="str">
            <v>7</v>
          </cell>
          <cell r="AN2360">
            <v>132.35999999999999</v>
          </cell>
          <cell r="AP2360">
            <v>41</v>
          </cell>
        </row>
        <row r="2361">
          <cell r="B2361" t="str">
            <v>7</v>
          </cell>
          <cell r="AN2361">
            <v>355.5</v>
          </cell>
          <cell r="AP2361">
            <v>41</v>
          </cell>
        </row>
        <row r="2362">
          <cell r="B2362" t="str">
            <v>7</v>
          </cell>
          <cell r="AN2362">
            <v>353.58000000000004</v>
          </cell>
          <cell r="AP2362">
            <v>41</v>
          </cell>
        </row>
        <row r="2363">
          <cell r="B2363" t="str">
            <v>7</v>
          </cell>
          <cell r="AN2363">
            <v>99.24</v>
          </cell>
          <cell r="AP2363">
            <v>41</v>
          </cell>
        </row>
        <row r="2364">
          <cell r="B2364" t="str">
            <v>2</v>
          </cell>
          <cell r="AN2364">
            <v>126.39999999999999</v>
          </cell>
          <cell r="AP2364">
            <v>41</v>
          </cell>
        </row>
        <row r="2365">
          <cell r="B2365" t="str">
            <v>4</v>
          </cell>
          <cell r="AN2365">
            <v>394.78</v>
          </cell>
          <cell r="AP2365">
            <v>41</v>
          </cell>
        </row>
        <row r="2366">
          <cell r="B2366" t="str">
            <v>4</v>
          </cell>
          <cell r="AN2366">
            <v>101.33999999999999</v>
          </cell>
          <cell r="AP2366">
            <v>41</v>
          </cell>
        </row>
        <row r="2367">
          <cell r="B2367" t="str">
            <v>4</v>
          </cell>
          <cell r="AN2367">
            <v>236.79999999999998</v>
          </cell>
          <cell r="AP2367">
            <v>41</v>
          </cell>
        </row>
        <row r="2368">
          <cell r="B2368" t="str">
            <v>4</v>
          </cell>
          <cell r="AN2368">
            <v>264.10000000000002</v>
          </cell>
          <cell r="AP2368">
            <v>41</v>
          </cell>
        </row>
        <row r="2369">
          <cell r="B2369" t="str">
            <v>5</v>
          </cell>
          <cell r="AN2369">
            <v>266.60000000000002</v>
          </cell>
          <cell r="AP2369">
            <v>41</v>
          </cell>
        </row>
        <row r="2370">
          <cell r="B2370" t="str">
            <v>5</v>
          </cell>
          <cell r="AN2370">
            <v>153.79999999999998</v>
          </cell>
          <cell r="AP2370">
            <v>41</v>
          </cell>
        </row>
        <row r="2371">
          <cell r="B2371" t="str">
            <v>5</v>
          </cell>
          <cell r="AN2371">
            <v>71.600000000000009</v>
          </cell>
          <cell r="AP2371">
            <v>41</v>
          </cell>
        </row>
        <row r="2372">
          <cell r="B2372" t="str">
            <v>5</v>
          </cell>
          <cell r="AN2372">
            <v>109.6</v>
          </cell>
          <cell r="AP2372">
            <v>41</v>
          </cell>
        </row>
        <row r="2373">
          <cell r="B2373" t="str">
            <v>5</v>
          </cell>
          <cell r="AN2373">
            <v>25.4</v>
          </cell>
          <cell r="AP2373">
            <v>41</v>
          </cell>
        </row>
        <row r="2374">
          <cell r="B2374" t="str">
            <v>5</v>
          </cell>
          <cell r="AN2374">
            <v>99.100000000000009</v>
          </cell>
          <cell r="AP2374">
            <v>41</v>
          </cell>
        </row>
        <row r="2375">
          <cell r="B2375" t="str">
            <v>5</v>
          </cell>
          <cell r="AN2375">
            <v>98.399999999999991</v>
          </cell>
          <cell r="AP2375">
            <v>41</v>
          </cell>
        </row>
        <row r="2376">
          <cell r="B2376" t="str">
            <v>5</v>
          </cell>
          <cell r="AN2376">
            <v>153.52000000000001</v>
          </cell>
          <cell r="AP2376">
            <v>41</v>
          </cell>
        </row>
        <row r="2377">
          <cell r="B2377" t="str">
            <v>6</v>
          </cell>
          <cell r="AN2377">
            <v>129.17999999999998</v>
          </cell>
          <cell r="AP2377">
            <v>41</v>
          </cell>
        </row>
        <row r="2378">
          <cell r="B2378" t="str">
            <v>6</v>
          </cell>
          <cell r="AN2378">
            <v>105.32000000000002</v>
          </cell>
          <cell r="AP2378">
            <v>41</v>
          </cell>
        </row>
        <row r="2379">
          <cell r="B2379" t="str">
            <v>6</v>
          </cell>
          <cell r="AN2379">
            <v>99.4</v>
          </cell>
          <cell r="AP2379">
            <v>41</v>
          </cell>
        </row>
        <row r="2380">
          <cell r="B2380" t="str">
            <v>6</v>
          </cell>
          <cell r="AN2380">
            <v>162</v>
          </cell>
          <cell r="AP2380">
            <v>41</v>
          </cell>
        </row>
        <row r="2381">
          <cell r="B2381" t="str">
            <v>6</v>
          </cell>
          <cell r="AN2381">
            <v>106.10000000000001</v>
          </cell>
          <cell r="AP2381">
            <v>41</v>
          </cell>
        </row>
        <row r="2382">
          <cell r="B2382" t="str">
            <v>6</v>
          </cell>
          <cell r="AN2382">
            <v>186.8</v>
          </cell>
          <cell r="AP2382">
            <v>41</v>
          </cell>
        </row>
        <row r="2383">
          <cell r="B2383" t="str">
            <v>6</v>
          </cell>
          <cell r="AN2383">
            <v>123.62</v>
          </cell>
          <cell r="AP2383">
            <v>41</v>
          </cell>
        </row>
        <row r="2384">
          <cell r="B2384" t="str">
            <v>1</v>
          </cell>
          <cell r="AN2384">
            <v>50.86</v>
          </cell>
          <cell r="AP2384">
            <v>42</v>
          </cell>
        </row>
        <row r="2385">
          <cell r="B2385" t="str">
            <v>1</v>
          </cell>
          <cell r="AN2385">
            <v>106.6</v>
          </cell>
          <cell r="AP2385">
            <v>42</v>
          </cell>
        </row>
        <row r="2386">
          <cell r="B2386" t="str">
            <v>1</v>
          </cell>
          <cell r="AN2386">
            <v>57</v>
          </cell>
          <cell r="AP2386">
            <v>42</v>
          </cell>
        </row>
        <row r="2387">
          <cell r="B2387" t="str">
            <v>5</v>
          </cell>
          <cell r="AN2387">
            <v>419.82</v>
          </cell>
          <cell r="AP2387">
            <v>42</v>
          </cell>
        </row>
        <row r="2388">
          <cell r="B2388" t="str">
            <v>5</v>
          </cell>
          <cell r="AN2388">
            <v>155.89999999999998</v>
          </cell>
          <cell r="AP2388">
            <v>42</v>
          </cell>
        </row>
        <row r="2389">
          <cell r="B2389" t="str">
            <v>5</v>
          </cell>
          <cell r="AN2389">
            <v>152.80000000000001</v>
          </cell>
          <cell r="AP2389">
            <v>42</v>
          </cell>
        </row>
        <row r="2390">
          <cell r="B2390" t="str">
            <v>6</v>
          </cell>
          <cell r="AN2390">
            <v>89.8</v>
          </cell>
          <cell r="AP2390">
            <v>42</v>
          </cell>
        </row>
        <row r="2391">
          <cell r="B2391" t="str">
            <v>6</v>
          </cell>
          <cell r="AN2391">
            <v>268.7</v>
          </cell>
          <cell r="AP2391">
            <v>42</v>
          </cell>
        </row>
        <row r="2392">
          <cell r="B2392" t="str">
            <v>6</v>
          </cell>
          <cell r="AN2392">
            <v>227.79999999999995</v>
          </cell>
          <cell r="AP2392">
            <v>42</v>
          </cell>
        </row>
        <row r="2393">
          <cell r="B2393" t="str">
            <v>6</v>
          </cell>
          <cell r="AN2393">
            <v>149.07999999999998</v>
          </cell>
          <cell r="AP2393">
            <v>42</v>
          </cell>
        </row>
        <row r="2394">
          <cell r="B2394" t="str">
            <v>7</v>
          </cell>
          <cell r="AN2394">
            <v>656.60000000000014</v>
          </cell>
          <cell r="AP2394">
            <v>42</v>
          </cell>
        </row>
        <row r="2395">
          <cell r="B2395" t="str">
            <v>7</v>
          </cell>
          <cell r="AN2395">
            <v>78.400000000000006</v>
          </cell>
          <cell r="AP2395">
            <v>42</v>
          </cell>
        </row>
        <row r="2396">
          <cell r="B2396" t="str">
            <v>7</v>
          </cell>
          <cell r="AN2396">
            <v>768.9</v>
          </cell>
          <cell r="AP2396">
            <v>42</v>
          </cell>
        </row>
        <row r="2397">
          <cell r="B2397" t="str">
            <v>7</v>
          </cell>
          <cell r="AN2397">
            <v>70.8</v>
          </cell>
          <cell r="AP2397">
            <v>42</v>
          </cell>
        </row>
        <row r="2398">
          <cell r="B2398" t="str">
            <v>8</v>
          </cell>
          <cell r="AN2398">
            <v>62.8</v>
          </cell>
          <cell r="AP2398">
            <v>42</v>
          </cell>
        </row>
        <row r="2399">
          <cell r="B2399" t="str">
            <v>8</v>
          </cell>
          <cell r="AN2399">
            <v>289.44</v>
          </cell>
          <cell r="AP2399">
            <v>42</v>
          </cell>
        </row>
        <row r="2400">
          <cell r="B2400" t="str">
            <v>8</v>
          </cell>
          <cell r="AN2400">
            <v>108.3</v>
          </cell>
          <cell r="AP2400">
            <v>42</v>
          </cell>
        </row>
        <row r="2401">
          <cell r="B2401" t="str">
            <v>8</v>
          </cell>
          <cell r="AN2401">
            <v>101.35</v>
          </cell>
          <cell r="AP2401">
            <v>42</v>
          </cell>
        </row>
        <row r="2402">
          <cell r="B2402" t="str">
            <v>8</v>
          </cell>
          <cell r="AN2402">
            <v>116.46000000000001</v>
          </cell>
          <cell r="AP2402">
            <v>42</v>
          </cell>
        </row>
        <row r="2403">
          <cell r="B2403" t="str">
            <v>2</v>
          </cell>
          <cell r="AN2403">
            <v>49.940000000000005</v>
          </cell>
          <cell r="AP2403">
            <v>42</v>
          </cell>
        </row>
        <row r="2404">
          <cell r="B2404" t="str">
            <v>2</v>
          </cell>
          <cell r="AN2404">
            <v>61.1</v>
          </cell>
          <cell r="AP2404">
            <v>42</v>
          </cell>
        </row>
        <row r="2405">
          <cell r="B2405" t="str">
            <v>2</v>
          </cell>
          <cell r="AN2405">
            <v>123.89999999999999</v>
          </cell>
          <cell r="AP2405">
            <v>42</v>
          </cell>
        </row>
        <row r="2406">
          <cell r="B2406" t="str">
            <v>1</v>
          </cell>
          <cell r="AN2406">
            <v>107.76</v>
          </cell>
          <cell r="AP2406">
            <v>42</v>
          </cell>
        </row>
        <row r="2407">
          <cell r="B2407" t="str">
            <v>1</v>
          </cell>
          <cell r="AN2407">
            <v>66.36</v>
          </cell>
          <cell r="AP2407">
            <v>42</v>
          </cell>
        </row>
        <row r="2408">
          <cell r="B2408" t="str">
            <v>1</v>
          </cell>
          <cell r="AN2408">
            <v>72.699999999999989</v>
          </cell>
          <cell r="AP2408">
            <v>42</v>
          </cell>
        </row>
        <row r="2409">
          <cell r="B2409" t="str">
            <v>1</v>
          </cell>
          <cell r="AN2409">
            <v>50.599999999999994</v>
          </cell>
          <cell r="AP2409">
            <v>42</v>
          </cell>
        </row>
        <row r="2410">
          <cell r="B2410" t="str">
            <v>5</v>
          </cell>
          <cell r="AN2410">
            <v>193.02</v>
          </cell>
          <cell r="AP2410">
            <v>42</v>
          </cell>
        </row>
        <row r="2411">
          <cell r="B2411" t="str">
            <v>5</v>
          </cell>
          <cell r="AN2411">
            <v>47.74</v>
          </cell>
          <cell r="AP2411">
            <v>42</v>
          </cell>
        </row>
        <row r="2412">
          <cell r="B2412" t="str">
            <v>5</v>
          </cell>
          <cell r="AN2412">
            <v>57.6</v>
          </cell>
          <cell r="AP2412">
            <v>42</v>
          </cell>
        </row>
        <row r="2413">
          <cell r="B2413" t="str">
            <v>5</v>
          </cell>
          <cell r="AN2413">
            <v>86.1</v>
          </cell>
          <cell r="AP2413">
            <v>42</v>
          </cell>
        </row>
        <row r="2414">
          <cell r="B2414" t="str">
            <v>5</v>
          </cell>
          <cell r="AN2414">
            <v>75.400000000000006</v>
          </cell>
          <cell r="AP2414">
            <v>42</v>
          </cell>
        </row>
        <row r="2415">
          <cell r="B2415" t="str">
            <v>5</v>
          </cell>
          <cell r="AN2415">
            <v>66.800000000000011</v>
          </cell>
          <cell r="AP2415">
            <v>42</v>
          </cell>
        </row>
        <row r="2416">
          <cell r="B2416" t="str">
            <v>6</v>
          </cell>
          <cell r="AN2416">
            <v>114.8</v>
          </cell>
          <cell r="AP2416">
            <v>42</v>
          </cell>
        </row>
        <row r="2417">
          <cell r="B2417" t="str">
            <v>6</v>
          </cell>
          <cell r="AN2417">
            <v>75.649999999999991</v>
          </cell>
          <cell r="AP2417">
            <v>42</v>
          </cell>
        </row>
        <row r="2418">
          <cell r="B2418" t="str">
            <v>6</v>
          </cell>
          <cell r="AN2418">
            <v>57.899999999999991</v>
          </cell>
          <cell r="AP2418">
            <v>42</v>
          </cell>
        </row>
        <row r="2419">
          <cell r="B2419" t="str">
            <v>6</v>
          </cell>
          <cell r="AN2419">
            <v>205</v>
          </cell>
          <cell r="AP2419">
            <v>42</v>
          </cell>
        </row>
        <row r="2420">
          <cell r="B2420" t="str">
            <v>6</v>
          </cell>
          <cell r="AN2420">
            <v>63.699999999999996</v>
          </cell>
          <cell r="AP2420">
            <v>42</v>
          </cell>
        </row>
        <row r="2421">
          <cell r="B2421" t="str">
            <v>7</v>
          </cell>
          <cell r="AN2421">
            <v>591.39999999999986</v>
          </cell>
          <cell r="AP2421">
            <v>42</v>
          </cell>
        </row>
        <row r="2422">
          <cell r="B2422" t="str">
            <v>7</v>
          </cell>
          <cell r="AN2422">
            <v>92.8</v>
          </cell>
          <cell r="AP2422">
            <v>42</v>
          </cell>
        </row>
        <row r="2423">
          <cell r="B2423" t="str">
            <v>7</v>
          </cell>
          <cell r="AN2423">
            <v>222.50000000000003</v>
          </cell>
          <cell r="AP2423">
            <v>42</v>
          </cell>
        </row>
        <row r="2424">
          <cell r="B2424" t="str">
            <v>7</v>
          </cell>
          <cell r="AN2424">
            <v>311.39999999999992</v>
          </cell>
          <cell r="AP2424">
            <v>42</v>
          </cell>
        </row>
        <row r="2425">
          <cell r="B2425" t="str">
            <v>8</v>
          </cell>
          <cell r="AN2425">
            <v>95</v>
          </cell>
          <cell r="AP2425">
            <v>42</v>
          </cell>
        </row>
        <row r="2426">
          <cell r="B2426" t="str">
            <v>8</v>
          </cell>
          <cell r="AN2426">
            <v>414.8</v>
          </cell>
          <cell r="AP2426">
            <v>42</v>
          </cell>
        </row>
        <row r="2427">
          <cell r="B2427" t="str">
            <v>8</v>
          </cell>
          <cell r="AN2427">
            <v>317.40999999999997</v>
          </cell>
          <cell r="AP2427">
            <v>42</v>
          </cell>
        </row>
        <row r="2428">
          <cell r="B2428" t="str">
            <v>8</v>
          </cell>
          <cell r="AN2428">
            <v>104.07</v>
          </cell>
          <cell r="AP2428">
            <v>42</v>
          </cell>
        </row>
        <row r="2429">
          <cell r="B2429" t="str">
            <v>1</v>
          </cell>
          <cell r="AN2429">
            <v>118.95999999999998</v>
          </cell>
          <cell r="AP2429">
            <v>42</v>
          </cell>
        </row>
        <row r="2430">
          <cell r="B2430" t="str">
            <v>1</v>
          </cell>
          <cell r="AN2430">
            <v>57.38</v>
          </cell>
          <cell r="AP2430">
            <v>42</v>
          </cell>
        </row>
        <row r="2431">
          <cell r="B2431" t="str">
            <v>1</v>
          </cell>
          <cell r="AN2431">
            <v>52.6</v>
          </cell>
          <cell r="AP2431">
            <v>42</v>
          </cell>
        </row>
        <row r="2432">
          <cell r="B2432" t="str">
            <v>1</v>
          </cell>
          <cell r="AN2432">
            <v>74.8</v>
          </cell>
          <cell r="AP2432">
            <v>42</v>
          </cell>
        </row>
        <row r="2433">
          <cell r="B2433" t="str">
            <v>2</v>
          </cell>
          <cell r="AN2433">
            <v>73.52</v>
          </cell>
          <cell r="AP2433">
            <v>42</v>
          </cell>
        </row>
        <row r="2434">
          <cell r="B2434" t="str">
            <v>2</v>
          </cell>
          <cell r="AN2434">
            <v>60.15</v>
          </cell>
          <cell r="AP2434">
            <v>42</v>
          </cell>
        </row>
        <row r="2435">
          <cell r="B2435" t="str">
            <v>2</v>
          </cell>
          <cell r="AN2435">
            <v>136.6</v>
          </cell>
          <cell r="AP2435">
            <v>42</v>
          </cell>
        </row>
        <row r="2436">
          <cell r="B2436" t="str">
            <v>5</v>
          </cell>
          <cell r="AN2436">
            <v>69.460000000000008</v>
          </cell>
          <cell r="AP2436">
            <v>42</v>
          </cell>
        </row>
        <row r="2437">
          <cell r="B2437" t="str">
            <v>5</v>
          </cell>
          <cell r="AN2437">
            <v>67.02000000000001</v>
          </cell>
          <cell r="AP2437">
            <v>42</v>
          </cell>
        </row>
        <row r="2438">
          <cell r="B2438" t="str">
            <v>5</v>
          </cell>
          <cell r="AN2438">
            <v>77.61999999999999</v>
          </cell>
          <cell r="AP2438">
            <v>42</v>
          </cell>
        </row>
        <row r="2439">
          <cell r="B2439" t="str">
            <v>5</v>
          </cell>
          <cell r="AN2439">
            <v>125.86</v>
          </cell>
          <cell r="AP2439">
            <v>42</v>
          </cell>
        </row>
        <row r="2440">
          <cell r="B2440" t="str">
            <v>5</v>
          </cell>
          <cell r="AN2440">
            <v>273.90000000000003</v>
          </cell>
          <cell r="AP2440">
            <v>42</v>
          </cell>
        </row>
        <row r="2441">
          <cell r="B2441" t="str">
            <v>6</v>
          </cell>
          <cell r="AN2441">
            <v>61.3</v>
          </cell>
          <cell r="AP2441">
            <v>42</v>
          </cell>
        </row>
        <row r="2442">
          <cell r="B2442" t="str">
            <v>6</v>
          </cell>
          <cell r="AN2442">
            <v>338.83000000000004</v>
          </cell>
          <cell r="AP2442">
            <v>42</v>
          </cell>
        </row>
        <row r="2443">
          <cell r="B2443" t="str">
            <v>6</v>
          </cell>
          <cell r="AN2443">
            <v>44.400000000000006</v>
          </cell>
          <cell r="AP2443">
            <v>42</v>
          </cell>
        </row>
        <row r="2444">
          <cell r="B2444" t="str">
            <v>6</v>
          </cell>
          <cell r="AN2444">
            <v>104.7</v>
          </cell>
          <cell r="AP2444">
            <v>42</v>
          </cell>
        </row>
        <row r="2445">
          <cell r="B2445" t="str">
            <v>6</v>
          </cell>
          <cell r="AN2445">
            <v>168.5</v>
          </cell>
          <cell r="AP2445">
            <v>42</v>
          </cell>
        </row>
        <row r="2446">
          <cell r="B2446" t="str">
            <v>7</v>
          </cell>
          <cell r="AN2446">
            <v>115.69999999999999</v>
          </cell>
          <cell r="AP2446">
            <v>42</v>
          </cell>
        </row>
        <row r="2447">
          <cell r="B2447" t="str">
            <v>7</v>
          </cell>
          <cell r="AN2447">
            <v>116.39999999999999</v>
          </cell>
          <cell r="AP2447">
            <v>42</v>
          </cell>
        </row>
        <row r="2448">
          <cell r="B2448" t="str">
            <v>7</v>
          </cell>
          <cell r="AN2448">
            <v>116.10000000000001</v>
          </cell>
          <cell r="AP2448">
            <v>42</v>
          </cell>
        </row>
        <row r="2449">
          <cell r="B2449" t="str">
            <v>7</v>
          </cell>
          <cell r="AN2449">
            <v>221.09999999999997</v>
          </cell>
          <cell r="AP2449">
            <v>42</v>
          </cell>
        </row>
        <row r="2450">
          <cell r="B2450" t="str">
            <v>7</v>
          </cell>
          <cell r="AN2450">
            <v>44.1</v>
          </cell>
          <cell r="AP2450">
            <v>42</v>
          </cell>
        </row>
        <row r="2451">
          <cell r="B2451" t="str">
            <v>7</v>
          </cell>
          <cell r="AN2451">
            <v>600.9</v>
          </cell>
          <cell r="AP2451">
            <v>42</v>
          </cell>
        </row>
        <row r="2452">
          <cell r="B2452" t="str">
            <v>8</v>
          </cell>
          <cell r="AN2452">
            <v>370.28000000000003</v>
          </cell>
          <cell r="AP2452">
            <v>42</v>
          </cell>
        </row>
        <row r="2453">
          <cell r="B2453" t="str">
            <v>8</v>
          </cell>
          <cell r="AN2453">
            <v>389.13</v>
          </cell>
          <cell r="AP2453">
            <v>42</v>
          </cell>
        </row>
        <row r="2454">
          <cell r="B2454" t="str">
            <v>1</v>
          </cell>
          <cell r="AN2454">
            <v>142.52000000000001</v>
          </cell>
          <cell r="AP2454">
            <v>42</v>
          </cell>
        </row>
        <row r="2455">
          <cell r="B2455" t="str">
            <v>1</v>
          </cell>
          <cell r="AN2455">
            <v>124.9</v>
          </cell>
          <cell r="AP2455">
            <v>42</v>
          </cell>
        </row>
        <row r="2456">
          <cell r="B2456" t="str">
            <v>1</v>
          </cell>
          <cell r="AN2456">
            <v>36.4</v>
          </cell>
          <cell r="AP2456">
            <v>42</v>
          </cell>
        </row>
        <row r="2457">
          <cell r="B2457" t="str">
            <v>2</v>
          </cell>
          <cell r="AN2457">
            <v>112.24000000000001</v>
          </cell>
          <cell r="AP2457">
            <v>42</v>
          </cell>
        </row>
        <row r="2458">
          <cell r="B2458" t="str">
            <v>2</v>
          </cell>
          <cell r="AN2458">
            <v>120.5</v>
          </cell>
          <cell r="AP2458">
            <v>42</v>
          </cell>
        </row>
        <row r="2459">
          <cell r="B2459" t="str">
            <v>5</v>
          </cell>
          <cell r="AN2459">
            <v>182.14</v>
          </cell>
          <cell r="AP2459">
            <v>42</v>
          </cell>
        </row>
        <row r="2460">
          <cell r="B2460" t="str">
            <v>5</v>
          </cell>
          <cell r="AN2460">
            <v>101</v>
          </cell>
          <cell r="AP2460">
            <v>42</v>
          </cell>
        </row>
        <row r="2461">
          <cell r="B2461" t="str">
            <v>5</v>
          </cell>
          <cell r="AN2461">
            <v>307.79999999999995</v>
          </cell>
          <cell r="AP2461">
            <v>42</v>
          </cell>
        </row>
        <row r="2462">
          <cell r="B2462" t="str">
            <v>5</v>
          </cell>
          <cell r="AN2462">
            <v>43.6</v>
          </cell>
          <cell r="AP2462">
            <v>42</v>
          </cell>
        </row>
        <row r="2463">
          <cell r="B2463" t="str">
            <v>6</v>
          </cell>
          <cell r="AN2463">
            <v>164.5</v>
          </cell>
          <cell r="AP2463">
            <v>42</v>
          </cell>
        </row>
        <row r="2464">
          <cell r="B2464" t="str">
            <v>6</v>
          </cell>
          <cell r="AN2464">
            <v>203.9</v>
          </cell>
          <cell r="AP2464">
            <v>42</v>
          </cell>
        </row>
        <row r="2465">
          <cell r="B2465" t="str">
            <v>6</v>
          </cell>
          <cell r="AN2465">
            <v>24.8</v>
          </cell>
          <cell r="AP2465">
            <v>42</v>
          </cell>
        </row>
        <row r="2466">
          <cell r="B2466" t="str">
            <v>6</v>
          </cell>
          <cell r="AN2466">
            <v>257.39999999999998</v>
          </cell>
          <cell r="AP2466">
            <v>42</v>
          </cell>
        </row>
        <row r="2467">
          <cell r="B2467" t="str">
            <v>6</v>
          </cell>
          <cell r="AN2467">
            <v>160.4</v>
          </cell>
          <cell r="AP2467">
            <v>42</v>
          </cell>
        </row>
        <row r="2468">
          <cell r="B2468" t="str">
            <v>7</v>
          </cell>
          <cell r="AN2468">
            <v>598.36000000000013</v>
          </cell>
          <cell r="AP2468">
            <v>42</v>
          </cell>
        </row>
        <row r="2469">
          <cell r="B2469" t="str">
            <v>7</v>
          </cell>
          <cell r="AN2469">
            <v>610</v>
          </cell>
          <cell r="AP2469">
            <v>42</v>
          </cell>
        </row>
        <row r="2470">
          <cell r="B2470" t="str">
            <v>7</v>
          </cell>
          <cell r="AN2470">
            <v>114.39999999999999</v>
          </cell>
          <cell r="AP2470">
            <v>42</v>
          </cell>
        </row>
        <row r="2471">
          <cell r="B2471" t="str">
            <v>8</v>
          </cell>
          <cell r="AN2471">
            <v>425.59000000000003</v>
          </cell>
          <cell r="AP2471">
            <v>42</v>
          </cell>
        </row>
        <row r="2472">
          <cell r="B2472" t="str">
            <v>8</v>
          </cell>
          <cell r="AN2472">
            <v>387.4</v>
          </cell>
          <cell r="AP2472">
            <v>42</v>
          </cell>
        </row>
        <row r="2473">
          <cell r="B2473" t="str">
            <v>1</v>
          </cell>
          <cell r="AN2473">
            <v>111.26</v>
          </cell>
          <cell r="AP2473">
            <v>42</v>
          </cell>
        </row>
        <row r="2474">
          <cell r="B2474" t="str">
            <v>1</v>
          </cell>
          <cell r="AN2474">
            <v>52.8</v>
          </cell>
          <cell r="AP2474">
            <v>42</v>
          </cell>
        </row>
        <row r="2475">
          <cell r="B2475" t="str">
            <v>1</v>
          </cell>
          <cell r="AN2475">
            <v>89.399999999999991</v>
          </cell>
          <cell r="AP2475">
            <v>42</v>
          </cell>
        </row>
        <row r="2476">
          <cell r="B2476" t="str">
            <v>1</v>
          </cell>
          <cell r="AN2476">
            <v>94.7</v>
          </cell>
          <cell r="AP2476">
            <v>42</v>
          </cell>
        </row>
        <row r="2477">
          <cell r="B2477" t="str">
            <v>2</v>
          </cell>
          <cell r="AN2477">
            <v>122.36000000000001</v>
          </cell>
          <cell r="AP2477">
            <v>42</v>
          </cell>
        </row>
        <row r="2478">
          <cell r="B2478" t="str">
            <v>2</v>
          </cell>
          <cell r="AN2478">
            <v>43.7</v>
          </cell>
          <cell r="AP2478">
            <v>42</v>
          </cell>
        </row>
        <row r="2479">
          <cell r="B2479" t="str">
            <v>2</v>
          </cell>
          <cell r="AN2479">
            <v>116.5</v>
          </cell>
          <cell r="AP2479">
            <v>42</v>
          </cell>
        </row>
        <row r="2480">
          <cell r="B2480" t="str">
            <v>5</v>
          </cell>
          <cell r="AN2480">
            <v>408.86</v>
          </cell>
          <cell r="AP2480">
            <v>42</v>
          </cell>
        </row>
        <row r="2481">
          <cell r="B2481" t="str">
            <v>5</v>
          </cell>
          <cell r="AN2481">
            <v>368.8</v>
          </cell>
          <cell r="AP2481">
            <v>42</v>
          </cell>
        </row>
        <row r="2482">
          <cell r="B2482" t="str">
            <v>6</v>
          </cell>
          <cell r="AN2482">
            <v>106.5</v>
          </cell>
          <cell r="AP2482">
            <v>42</v>
          </cell>
        </row>
        <row r="2483">
          <cell r="B2483" t="str">
            <v>6</v>
          </cell>
          <cell r="AN2483">
            <v>207.9</v>
          </cell>
          <cell r="AP2483">
            <v>42</v>
          </cell>
        </row>
        <row r="2484">
          <cell r="B2484" t="str">
            <v>6</v>
          </cell>
          <cell r="AN2484">
            <v>138.30000000000001</v>
          </cell>
          <cell r="AP2484">
            <v>42</v>
          </cell>
        </row>
        <row r="2485">
          <cell r="B2485" t="str">
            <v>6</v>
          </cell>
          <cell r="AN2485">
            <v>412.5</v>
          </cell>
          <cell r="AP2485">
            <v>42</v>
          </cell>
        </row>
        <row r="2486">
          <cell r="B2486" t="str">
            <v>7</v>
          </cell>
          <cell r="AN2486">
            <v>71.600000000000009</v>
          </cell>
          <cell r="AP2486">
            <v>42</v>
          </cell>
        </row>
        <row r="2487">
          <cell r="B2487" t="str">
            <v>7</v>
          </cell>
          <cell r="AN2487">
            <v>111.8</v>
          </cell>
          <cell r="AP2487">
            <v>42</v>
          </cell>
        </row>
        <row r="2488">
          <cell r="B2488" t="str">
            <v>7</v>
          </cell>
          <cell r="AN2488">
            <v>100.4</v>
          </cell>
          <cell r="AP2488">
            <v>42</v>
          </cell>
        </row>
        <row r="2489">
          <cell r="B2489" t="str">
            <v>7</v>
          </cell>
          <cell r="AN2489">
            <v>452.78</v>
          </cell>
          <cell r="AP2489">
            <v>42</v>
          </cell>
        </row>
        <row r="2490">
          <cell r="B2490" t="str">
            <v>7</v>
          </cell>
          <cell r="AN2490">
            <v>203.60000000000002</v>
          </cell>
          <cell r="AP2490">
            <v>42</v>
          </cell>
        </row>
        <row r="2491">
          <cell r="B2491" t="str">
            <v>7</v>
          </cell>
          <cell r="AN2491">
            <v>140.19999999999999</v>
          </cell>
          <cell r="AP2491">
            <v>42</v>
          </cell>
        </row>
        <row r="2492">
          <cell r="B2492" t="str">
            <v>7</v>
          </cell>
          <cell r="AN2492">
            <v>188.79999999999998</v>
          </cell>
          <cell r="AP2492">
            <v>42</v>
          </cell>
        </row>
        <row r="2493">
          <cell r="B2493" t="str">
            <v>8</v>
          </cell>
          <cell r="AN2493">
            <v>297.40000000000003</v>
          </cell>
          <cell r="AP2493">
            <v>42</v>
          </cell>
        </row>
        <row r="2494">
          <cell r="B2494" t="str">
            <v>8</v>
          </cell>
          <cell r="AN2494">
            <v>67.3</v>
          </cell>
          <cell r="AP2494">
            <v>42</v>
          </cell>
        </row>
        <row r="2495">
          <cell r="B2495" t="str">
            <v>8</v>
          </cell>
          <cell r="AN2495">
            <v>340.89</v>
          </cell>
          <cell r="AP2495">
            <v>42</v>
          </cell>
        </row>
        <row r="2496">
          <cell r="B2496" t="str">
            <v>1</v>
          </cell>
          <cell r="AN2496">
            <v>174.96</v>
          </cell>
          <cell r="AP2496">
            <v>42</v>
          </cell>
        </row>
        <row r="2497">
          <cell r="B2497" t="str">
            <v>1</v>
          </cell>
          <cell r="AN2497">
            <v>135.79999999999998</v>
          </cell>
          <cell r="AP2497">
            <v>42</v>
          </cell>
        </row>
        <row r="2498">
          <cell r="B2498" t="str">
            <v>2</v>
          </cell>
          <cell r="AN2498">
            <v>163.69999999999999</v>
          </cell>
          <cell r="AP2498">
            <v>42</v>
          </cell>
        </row>
        <row r="2499">
          <cell r="B2499" t="str">
            <v>2</v>
          </cell>
          <cell r="AN2499">
            <v>42.9</v>
          </cell>
          <cell r="AP2499">
            <v>42</v>
          </cell>
        </row>
        <row r="2500">
          <cell r="B2500" t="str">
            <v>2</v>
          </cell>
          <cell r="AN2500">
            <v>84.8</v>
          </cell>
          <cell r="AP2500">
            <v>42</v>
          </cell>
        </row>
        <row r="2501">
          <cell r="B2501" t="str">
            <v>5</v>
          </cell>
          <cell r="AN2501">
            <v>376.1</v>
          </cell>
          <cell r="AP2501">
            <v>42</v>
          </cell>
        </row>
        <row r="2502">
          <cell r="B2502" t="str">
            <v>5</v>
          </cell>
          <cell r="AN2502">
            <v>157.89999999999998</v>
          </cell>
          <cell r="AP2502">
            <v>42</v>
          </cell>
        </row>
        <row r="2503">
          <cell r="B2503" t="str">
            <v>5</v>
          </cell>
          <cell r="AN2503">
            <v>194</v>
          </cell>
          <cell r="AP2503">
            <v>42</v>
          </cell>
        </row>
        <row r="2504">
          <cell r="B2504" t="str">
            <v>6</v>
          </cell>
          <cell r="AN2504">
            <v>109.6</v>
          </cell>
          <cell r="AP2504">
            <v>42</v>
          </cell>
        </row>
        <row r="2505">
          <cell r="B2505" t="str">
            <v>6</v>
          </cell>
          <cell r="AN2505">
            <v>110.35000000000001</v>
          </cell>
          <cell r="AP2505">
            <v>42</v>
          </cell>
        </row>
        <row r="2506">
          <cell r="B2506" t="str">
            <v>6</v>
          </cell>
          <cell r="AN2506">
            <v>106.30000000000001</v>
          </cell>
          <cell r="AP2506">
            <v>42</v>
          </cell>
        </row>
        <row r="2507">
          <cell r="B2507" t="str">
            <v>6</v>
          </cell>
          <cell r="AN2507">
            <v>115.2</v>
          </cell>
          <cell r="AP2507">
            <v>42</v>
          </cell>
        </row>
        <row r="2508">
          <cell r="B2508" t="str">
            <v>6</v>
          </cell>
          <cell r="AN2508">
            <v>103.3</v>
          </cell>
          <cell r="AP2508">
            <v>42</v>
          </cell>
        </row>
        <row r="2509">
          <cell r="B2509" t="str">
            <v>6</v>
          </cell>
          <cell r="AN2509">
            <v>115</v>
          </cell>
          <cell r="AP2509">
            <v>42</v>
          </cell>
        </row>
        <row r="2510">
          <cell r="B2510" t="str">
            <v>6</v>
          </cell>
          <cell r="AN2510">
            <v>104.79999999999998</v>
          </cell>
          <cell r="AP2510">
            <v>42</v>
          </cell>
        </row>
        <row r="2511">
          <cell r="B2511" t="str">
            <v>7</v>
          </cell>
          <cell r="AN2511">
            <v>208.38</v>
          </cell>
          <cell r="AP2511">
            <v>42</v>
          </cell>
        </row>
        <row r="2512">
          <cell r="B2512" t="str">
            <v>7</v>
          </cell>
          <cell r="AN2512">
            <v>166.5</v>
          </cell>
          <cell r="AP2512">
            <v>42</v>
          </cell>
        </row>
        <row r="2513">
          <cell r="B2513" t="str">
            <v>7</v>
          </cell>
          <cell r="AN2513">
            <v>303.7</v>
          </cell>
          <cell r="AP2513">
            <v>42</v>
          </cell>
        </row>
        <row r="2514">
          <cell r="B2514" t="str">
            <v>8</v>
          </cell>
          <cell r="AN2514">
            <v>84</v>
          </cell>
          <cell r="AP2514">
            <v>42</v>
          </cell>
        </row>
        <row r="2515">
          <cell r="B2515" t="str">
            <v>8</v>
          </cell>
          <cell r="AN2515">
            <v>228.85000000000002</v>
          </cell>
          <cell r="AP2515">
            <v>42</v>
          </cell>
        </row>
        <row r="2516">
          <cell r="B2516" t="str">
            <v>8</v>
          </cell>
          <cell r="AN2516">
            <v>36.700000000000003</v>
          </cell>
          <cell r="AP2516">
            <v>42</v>
          </cell>
        </row>
        <row r="2517">
          <cell r="B2517" t="str">
            <v>8</v>
          </cell>
          <cell r="AN2517">
            <v>104.75</v>
          </cell>
          <cell r="AP2517">
            <v>42</v>
          </cell>
        </row>
        <row r="2518">
          <cell r="B2518" t="str">
            <v>8</v>
          </cell>
          <cell r="AN2518">
            <v>109.10000000000001</v>
          </cell>
          <cell r="AP2518">
            <v>42</v>
          </cell>
        </row>
        <row r="2519">
          <cell r="B2519" t="str">
            <v>8</v>
          </cell>
          <cell r="AN2519">
            <v>38.5</v>
          </cell>
          <cell r="AP2519">
            <v>42</v>
          </cell>
        </row>
        <row r="2520">
          <cell r="AN2520">
            <v>6</v>
          </cell>
          <cell r="AP2520">
            <v>42</v>
          </cell>
        </row>
        <row r="2521">
          <cell r="B2521" t="str">
            <v>1</v>
          </cell>
          <cell r="AN2521">
            <v>150</v>
          </cell>
          <cell r="AP2521">
            <v>43</v>
          </cell>
        </row>
        <row r="2522">
          <cell r="B2522" t="str">
            <v>1</v>
          </cell>
          <cell r="AN2522">
            <v>200</v>
          </cell>
          <cell r="AP2522">
            <v>43</v>
          </cell>
        </row>
        <row r="2523">
          <cell r="B2523" t="str">
            <v>2</v>
          </cell>
          <cell r="AN2523">
            <v>75.39</v>
          </cell>
          <cell r="AP2523">
            <v>43</v>
          </cell>
        </row>
        <row r="2524">
          <cell r="B2524" t="str">
            <v>2</v>
          </cell>
          <cell r="AN2524">
            <v>75.39</v>
          </cell>
          <cell r="AP2524">
            <v>43</v>
          </cell>
        </row>
        <row r="2525">
          <cell r="B2525" t="str">
            <v>3</v>
          </cell>
          <cell r="AN2525">
            <v>250</v>
          </cell>
          <cell r="AP2525">
            <v>43</v>
          </cell>
        </row>
        <row r="2526">
          <cell r="B2526" t="str">
            <v>3</v>
          </cell>
          <cell r="AN2526">
            <v>280</v>
          </cell>
          <cell r="AP2526">
            <v>43</v>
          </cell>
        </row>
        <row r="2527">
          <cell r="B2527" t="str">
            <v>5</v>
          </cell>
          <cell r="AN2527">
            <v>350</v>
          </cell>
          <cell r="AP2527">
            <v>43</v>
          </cell>
        </row>
        <row r="2528">
          <cell r="B2528" t="str">
            <v>5</v>
          </cell>
          <cell r="AN2528">
            <v>400</v>
          </cell>
          <cell r="AP2528">
            <v>43</v>
          </cell>
        </row>
        <row r="2529">
          <cell r="B2529" t="str">
            <v>6</v>
          </cell>
          <cell r="AN2529">
            <v>200</v>
          </cell>
          <cell r="AP2529">
            <v>43</v>
          </cell>
        </row>
        <row r="2530">
          <cell r="B2530" t="str">
            <v>6</v>
          </cell>
          <cell r="AP2530">
            <v>43</v>
          </cell>
        </row>
        <row r="2531">
          <cell r="B2531" t="str">
            <v>6</v>
          </cell>
          <cell r="AN2531">
            <v>230</v>
          </cell>
          <cell r="AP2531">
            <v>43</v>
          </cell>
        </row>
        <row r="2532">
          <cell r="B2532" t="str">
            <v>6</v>
          </cell>
          <cell r="AP2532">
            <v>43</v>
          </cell>
        </row>
        <row r="2533">
          <cell r="B2533" t="str">
            <v>6</v>
          </cell>
          <cell r="AP2533">
            <v>43</v>
          </cell>
        </row>
        <row r="2534">
          <cell r="B2534" t="str">
            <v>7</v>
          </cell>
          <cell r="AN2534">
            <v>400</v>
          </cell>
          <cell r="AP2534">
            <v>43</v>
          </cell>
        </row>
        <row r="2535">
          <cell r="B2535" t="str">
            <v>7</v>
          </cell>
          <cell r="AN2535">
            <v>730</v>
          </cell>
          <cell r="AP2535">
            <v>43</v>
          </cell>
        </row>
        <row r="2536">
          <cell r="B2536" t="str">
            <v>7</v>
          </cell>
          <cell r="AP2536">
            <v>43</v>
          </cell>
        </row>
        <row r="2537">
          <cell r="B2537" t="str">
            <v>8</v>
          </cell>
          <cell r="AN2537">
            <v>350</v>
          </cell>
          <cell r="AP2537">
            <v>43</v>
          </cell>
        </row>
        <row r="2538">
          <cell r="B2538" t="str">
            <v>8</v>
          </cell>
          <cell r="AP2538">
            <v>43</v>
          </cell>
        </row>
        <row r="2539">
          <cell r="B2539" t="str">
            <v>8</v>
          </cell>
          <cell r="AP2539">
            <v>43</v>
          </cell>
        </row>
        <row r="2540">
          <cell r="B2540" t="str">
            <v>8</v>
          </cell>
          <cell r="AP2540">
            <v>43</v>
          </cell>
        </row>
        <row r="2541">
          <cell r="B2541" t="str">
            <v>8</v>
          </cell>
          <cell r="AN2541">
            <v>350</v>
          </cell>
          <cell r="AP2541">
            <v>43</v>
          </cell>
        </row>
        <row r="2542">
          <cell r="B2542" t="str">
            <v>8</v>
          </cell>
          <cell r="AN2542">
            <v>86.1</v>
          </cell>
          <cell r="AP2542">
            <v>43</v>
          </cell>
        </row>
        <row r="2543">
          <cell r="B2543" t="str">
            <v>1</v>
          </cell>
          <cell r="AN2543">
            <v>170.7</v>
          </cell>
          <cell r="AP2543">
            <v>43</v>
          </cell>
        </row>
        <row r="2544">
          <cell r="B2544" t="str">
            <v>1</v>
          </cell>
          <cell r="AN2544">
            <v>190.70000000000002</v>
          </cell>
          <cell r="AP2544">
            <v>43</v>
          </cell>
        </row>
        <row r="2545">
          <cell r="B2545" t="str">
            <v>2</v>
          </cell>
          <cell r="AN2545">
            <v>75.39</v>
          </cell>
          <cell r="AP2545">
            <v>43</v>
          </cell>
        </row>
        <row r="2546">
          <cell r="B2546" t="str">
            <v>2</v>
          </cell>
          <cell r="AN2546">
            <v>75.39</v>
          </cell>
          <cell r="AP2546">
            <v>43</v>
          </cell>
        </row>
        <row r="2547">
          <cell r="B2547" t="str">
            <v>2</v>
          </cell>
          <cell r="AN2547">
            <v>75.39</v>
          </cell>
          <cell r="AP2547">
            <v>43</v>
          </cell>
        </row>
        <row r="2548">
          <cell r="B2548" t="str">
            <v>2</v>
          </cell>
          <cell r="AN2548">
            <v>75.39</v>
          </cell>
          <cell r="AP2548">
            <v>43</v>
          </cell>
        </row>
        <row r="2549">
          <cell r="B2549" t="str">
            <v>3</v>
          </cell>
          <cell r="AN2549">
            <v>251.05</v>
          </cell>
          <cell r="AP2549">
            <v>43</v>
          </cell>
        </row>
        <row r="2550">
          <cell r="B2550" t="str">
            <v>3</v>
          </cell>
          <cell r="AN2550">
            <v>266</v>
          </cell>
          <cell r="AP2550">
            <v>43</v>
          </cell>
        </row>
        <row r="2551">
          <cell r="B2551" t="str">
            <v>5</v>
          </cell>
          <cell r="AN2551">
            <v>72.3</v>
          </cell>
          <cell r="AP2551">
            <v>43</v>
          </cell>
        </row>
        <row r="2552">
          <cell r="B2552" t="str">
            <v>5</v>
          </cell>
          <cell r="AN2552">
            <v>243.1</v>
          </cell>
          <cell r="AP2552">
            <v>43</v>
          </cell>
        </row>
        <row r="2553">
          <cell r="B2553" t="str">
            <v>5</v>
          </cell>
          <cell r="AN2553">
            <v>60.9</v>
          </cell>
          <cell r="AP2553">
            <v>43</v>
          </cell>
        </row>
        <row r="2554">
          <cell r="B2554" t="str">
            <v>5</v>
          </cell>
          <cell r="AN2554">
            <v>68.8</v>
          </cell>
          <cell r="AP2554">
            <v>43</v>
          </cell>
        </row>
        <row r="2555">
          <cell r="B2555" t="str">
            <v>5</v>
          </cell>
          <cell r="AN2555">
            <v>128.06</v>
          </cell>
          <cell r="AP2555">
            <v>43</v>
          </cell>
        </row>
        <row r="2556">
          <cell r="B2556" t="str">
            <v>5</v>
          </cell>
          <cell r="AN2556">
            <v>114.03999999999999</v>
          </cell>
          <cell r="AP2556">
            <v>43</v>
          </cell>
        </row>
        <row r="2557">
          <cell r="B2557" t="str">
            <v>5</v>
          </cell>
          <cell r="AN2557">
            <v>116.19999999999999</v>
          </cell>
          <cell r="AP2557">
            <v>43</v>
          </cell>
        </row>
        <row r="2558">
          <cell r="B2558" t="str">
            <v>6</v>
          </cell>
          <cell r="AN2558">
            <v>131.19999999999999</v>
          </cell>
          <cell r="AP2558">
            <v>43</v>
          </cell>
        </row>
        <row r="2559">
          <cell r="B2559" t="str">
            <v>6</v>
          </cell>
          <cell r="AN2559">
            <v>486.4</v>
          </cell>
          <cell r="AP2559">
            <v>43</v>
          </cell>
        </row>
        <row r="2560">
          <cell r="B2560" t="str">
            <v>6</v>
          </cell>
          <cell r="AN2560">
            <v>542.5</v>
          </cell>
          <cell r="AP2560">
            <v>43</v>
          </cell>
        </row>
        <row r="2561">
          <cell r="B2561" t="str">
            <v>6</v>
          </cell>
          <cell r="AN2561">
            <v>125</v>
          </cell>
          <cell r="AP2561">
            <v>43</v>
          </cell>
        </row>
        <row r="2562">
          <cell r="B2562" t="str">
            <v>7</v>
          </cell>
          <cell r="AN2562">
            <v>412</v>
          </cell>
          <cell r="AP2562">
            <v>43</v>
          </cell>
        </row>
        <row r="2563">
          <cell r="B2563" t="str">
            <v>7</v>
          </cell>
          <cell r="AN2563">
            <v>151</v>
          </cell>
          <cell r="AP2563">
            <v>43</v>
          </cell>
        </row>
        <row r="2564">
          <cell r="B2564" t="str">
            <v>7</v>
          </cell>
          <cell r="AN2564">
            <v>324.88</v>
          </cell>
          <cell r="AP2564">
            <v>43</v>
          </cell>
        </row>
        <row r="2565">
          <cell r="B2565" t="str">
            <v>7</v>
          </cell>
          <cell r="AN2565">
            <v>382.58</v>
          </cell>
          <cell r="AP2565">
            <v>43</v>
          </cell>
        </row>
        <row r="2566">
          <cell r="B2566" t="str">
            <v>7</v>
          </cell>
          <cell r="AN2566">
            <v>110.2</v>
          </cell>
          <cell r="AP2566">
            <v>43</v>
          </cell>
        </row>
        <row r="2567">
          <cell r="B2567" t="str">
            <v>8</v>
          </cell>
          <cell r="AN2567">
            <v>119.30000000000001</v>
          </cell>
          <cell r="AP2567">
            <v>43</v>
          </cell>
        </row>
        <row r="2568">
          <cell r="B2568" t="str">
            <v>8</v>
          </cell>
          <cell r="AN2568">
            <v>118.4</v>
          </cell>
          <cell r="AP2568">
            <v>43</v>
          </cell>
        </row>
        <row r="2569">
          <cell r="B2569" t="str">
            <v>8</v>
          </cell>
          <cell r="AN2569">
            <v>72</v>
          </cell>
          <cell r="AP2569">
            <v>43</v>
          </cell>
        </row>
        <row r="2570">
          <cell r="B2570" t="str">
            <v>8</v>
          </cell>
          <cell r="AN2570">
            <v>62</v>
          </cell>
          <cell r="AP2570">
            <v>43</v>
          </cell>
        </row>
        <row r="2571">
          <cell r="B2571" t="str">
            <v>8</v>
          </cell>
          <cell r="AN2571">
            <v>342.42</v>
          </cell>
          <cell r="AP2571">
            <v>43</v>
          </cell>
        </row>
        <row r="2572">
          <cell r="B2572" t="str">
            <v>1</v>
          </cell>
          <cell r="AN2572">
            <v>209.8</v>
          </cell>
          <cell r="AP2572">
            <v>43</v>
          </cell>
        </row>
        <row r="2573">
          <cell r="B2573" t="str">
            <v>1</v>
          </cell>
          <cell r="AN2573">
            <v>197.74999999999997</v>
          </cell>
          <cell r="AP2573">
            <v>43</v>
          </cell>
        </row>
        <row r="2574">
          <cell r="B2574" t="str">
            <v>2</v>
          </cell>
          <cell r="AN2574">
            <v>75.39</v>
          </cell>
          <cell r="AP2574">
            <v>43</v>
          </cell>
        </row>
        <row r="2575">
          <cell r="B2575" t="str">
            <v>2</v>
          </cell>
          <cell r="AN2575">
            <v>75.39</v>
          </cell>
          <cell r="AP2575">
            <v>43</v>
          </cell>
        </row>
        <row r="2576">
          <cell r="B2576" t="str">
            <v>2</v>
          </cell>
          <cell r="AN2576">
            <v>75.39</v>
          </cell>
          <cell r="AP2576">
            <v>43</v>
          </cell>
        </row>
        <row r="2577">
          <cell r="B2577" t="str">
            <v>2</v>
          </cell>
          <cell r="AN2577">
            <v>75.39</v>
          </cell>
          <cell r="AP2577">
            <v>43</v>
          </cell>
        </row>
        <row r="2578">
          <cell r="B2578" t="str">
            <v>2</v>
          </cell>
          <cell r="AN2578">
            <v>75.39</v>
          </cell>
          <cell r="AP2578">
            <v>43</v>
          </cell>
        </row>
        <row r="2579">
          <cell r="B2579" t="str">
            <v>3</v>
          </cell>
          <cell r="AN2579">
            <v>236.35999999999999</v>
          </cell>
          <cell r="AP2579">
            <v>43</v>
          </cell>
        </row>
        <row r="2580">
          <cell r="B2580" t="str">
            <v>3</v>
          </cell>
          <cell r="AN2580">
            <v>226.99999999999997</v>
          </cell>
          <cell r="AP2580">
            <v>43</v>
          </cell>
        </row>
        <row r="2581">
          <cell r="B2581" t="str">
            <v>5</v>
          </cell>
          <cell r="AN2581">
            <v>102</v>
          </cell>
          <cell r="AP2581">
            <v>43</v>
          </cell>
        </row>
        <row r="2582">
          <cell r="B2582" t="str">
            <v>5</v>
          </cell>
          <cell r="AN2582">
            <v>160.6</v>
          </cell>
          <cell r="AP2582">
            <v>43</v>
          </cell>
        </row>
        <row r="2583">
          <cell r="B2583" t="str">
            <v>5</v>
          </cell>
          <cell r="AN2583">
            <v>57.6</v>
          </cell>
          <cell r="AP2583">
            <v>43</v>
          </cell>
        </row>
        <row r="2584">
          <cell r="B2584" t="str">
            <v>5</v>
          </cell>
          <cell r="AN2584">
            <v>307.87</v>
          </cell>
          <cell r="AP2584">
            <v>43</v>
          </cell>
        </row>
        <row r="2585">
          <cell r="B2585" t="str">
            <v>6</v>
          </cell>
          <cell r="AN2585">
            <v>263.60000000000002</v>
          </cell>
          <cell r="AP2585">
            <v>43</v>
          </cell>
        </row>
        <row r="2586">
          <cell r="B2586" t="str">
            <v>6</v>
          </cell>
          <cell r="AN2586">
            <v>390.58</v>
          </cell>
          <cell r="AP2586">
            <v>43</v>
          </cell>
        </row>
        <row r="2587">
          <cell r="B2587" t="str">
            <v>6</v>
          </cell>
          <cell r="AN2587">
            <v>513.54999999999995</v>
          </cell>
          <cell r="AP2587">
            <v>43</v>
          </cell>
        </row>
        <row r="2588">
          <cell r="B2588" t="str">
            <v>6</v>
          </cell>
          <cell r="AN2588">
            <v>133.9</v>
          </cell>
          <cell r="AP2588">
            <v>43</v>
          </cell>
        </row>
        <row r="2589">
          <cell r="B2589" t="str">
            <v>7</v>
          </cell>
          <cell r="AN2589">
            <v>58.8</v>
          </cell>
          <cell r="AP2589">
            <v>43</v>
          </cell>
        </row>
        <row r="2590">
          <cell r="B2590" t="str">
            <v>7</v>
          </cell>
          <cell r="AN2590">
            <v>112.4</v>
          </cell>
          <cell r="AP2590">
            <v>43</v>
          </cell>
        </row>
        <row r="2591">
          <cell r="B2591" t="str">
            <v>7</v>
          </cell>
          <cell r="AN2591">
            <v>106.80000000000001</v>
          </cell>
          <cell r="AP2591">
            <v>43</v>
          </cell>
        </row>
        <row r="2592">
          <cell r="B2592" t="str">
            <v>7</v>
          </cell>
          <cell r="AN2592">
            <v>138</v>
          </cell>
          <cell r="AP2592">
            <v>43</v>
          </cell>
        </row>
        <row r="2593">
          <cell r="B2593" t="str">
            <v>7</v>
          </cell>
          <cell r="AN2593">
            <v>116.47999999999999</v>
          </cell>
          <cell r="AP2593">
            <v>43</v>
          </cell>
        </row>
        <row r="2594">
          <cell r="B2594" t="str">
            <v>7</v>
          </cell>
          <cell r="AN2594">
            <v>115.6</v>
          </cell>
          <cell r="AP2594">
            <v>43</v>
          </cell>
        </row>
        <row r="2595">
          <cell r="B2595" t="str">
            <v>7</v>
          </cell>
          <cell r="AN2595">
            <v>131.08000000000001</v>
          </cell>
          <cell r="AP2595">
            <v>43</v>
          </cell>
        </row>
        <row r="2596">
          <cell r="B2596" t="str">
            <v>7</v>
          </cell>
          <cell r="AN2596">
            <v>330.71999999999997</v>
          </cell>
          <cell r="AP2596">
            <v>43</v>
          </cell>
        </row>
        <row r="2597">
          <cell r="B2597" t="str">
            <v>7</v>
          </cell>
          <cell r="AN2597">
            <v>106.08</v>
          </cell>
          <cell r="AP2597">
            <v>43</v>
          </cell>
        </row>
        <row r="2598">
          <cell r="B2598" t="str">
            <v>8</v>
          </cell>
          <cell r="AN2598">
            <v>279</v>
          </cell>
          <cell r="AP2598">
            <v>43</v>
          </cell>
        </row>
        <row r="2599">
          <cell r="B2599" t="str">
            <v>8</v>
          </cell>
          <cell r="AN2599">
            <v>61.3</v>
          </cell>
          <cell r="AP2599">
            <v>43</v>
          </cell>
        </row>
        <row r="2600">
          <cell r="B2600" t="str">
            <v>8</v>
          </cell>
          <cell r="AN2600">
            <v>188.43</v>
          </cell>
          <cell r="AP2600">
            <v>43</v>
          </cell>
        </row>
        <row r="2601">
          <cell r="B2601" t="str">
            <v>8</v>
          </cell>
          <cell r="AN2601">
            <v>74.900000000000006</v>
          </cell>
          <cell r="AP2601">
            <v>43</v>
          </cell>
        </row>
        <row r="2602">
          <cell r="B2602" t="str">
            <v>1</v>
          </cell>
          <cell r="AN2602">
            <v>168.3</v>
          </cell>
          <cell r="AP2602">
            <v>43</v>
          </cell>
        </row>
        <row r="2603">
          <cell r="B2603" t="str">
            <v>1</v>
          </cell>
          <cell r="AN2603">
            <v>173.76</v>
          </cell>
          <cell r="AP2603">
            <v>43</v>
          </cell>
        </row>
        <row r="2604">
          <cell r="B2604" t="str">
            <v>2</v>
          </cell>
          <cell r="AN2604">
            <v>75.39</v>
          </cell>
          <cell r="AP2604">
            <v>43</v>
          </cell>
        </row>
        <row r="2605">
          <cell r="B2605" t="str">
            <v>2</v>
          </cell>
          <cell r="AN2605">
            <v>75.39</v>
          </cell>
          <cell r="AP2605">
            <v>43</v>
          </cell>
        </row>
        <row r="2606">
          <cell r="B2606" t="str">
            <v>3</v>
          </cell>
          <cell r="AN2606">
            <v>306.24</v>
          </cell>
          <cell r="AP2606">
            <v>43</v>
          </cell>
        </row>
        <row r="2607">
          <cell r="B2607" t="str">
            <v>3</v>
          </cell>
          <cell r="AN2607">
            <v>511.49999999999994</v>
          </cell>
          <cell r="AP2607">
            <v>43</v>
          </cell>
        </row>
        <row r="2608">
          <cell r="B2608" t="str">
            <v>5</v>
          </cell>
          <cell r="AN2608">
            <v>116.78</v>
          </cell>
          <cell r="AP2608">
            <v>43</v>
          </cell>
        </row>
        <row r="2609">
          <cell r="B2609" t="str">
            <v>5</v>
          </cell>
          <cell r="AN2609">
            <v>188.85000000000002</v>
          </cell>
          <cell r="AP2609">
            <v>43</v>
          </cell>
        </row>
        <row r="2610">
          <cell r="B2610" t="str">
            <v>5</v>
          </cell>
          <cell r="AN2610">
            <v>131.58000000000001</v>
          </cell>
          <cell r="AP2610">
            <v>43</v>
          </cell>
        </row>
        <row r="2611">
          <cell r="B2611" t="str">
            <v>5</v>
          </cell>
          <cell r="AN2611">
            <v>105.03999999999999</v>
          </cell>
          <cell r="AP2611">
            <v>43</v>
          </cell>
        </row>
        <row r="2612">
          <cell r="B2612" t="str">
            <v>5</v>
          </cell>
          <cell r="AN2612">
            <v>71.28</v>
          </cell>
          <cell r="AP2612">
            <v>43</v>
          </cell>
        </row>
        <row r="2613">
          <cell r="B2613" t="str">
            <v>5</v>
          </cell>
          <cell r="AN2613">
            <v>62.28</v>
          </cell>
          <cell r="AP2613">
            <v>43</v>
          </cell>
        </row>
        <row r="2614">
          <cell r="B2614" t="str">
            <v>6</v>
          </cell>
          <cell r="AN2614">
            <v>503.6</v>
          </cell>
          <cell r="AP2614">
            <v>43</v>
          </cell>
        </row>
        <row r="2615">
          <cell r="B2615" t="str">
            <v>6</v>
          </cell>
          <cell r="AN2615">
            <v>660.69999999999993</v>
          </cell>
          <cell r="AP2615">
            <v>43</v>
          </cell>
        </row>
        <row r="2616">
          <cell r="B2616" t="str">
            <v>7</v>
          </cell>
          <cell r="AN2616">
            <v>138.9</v>
          </cell>
          <cell r="AP2616">
            <v>43</v>
          </cell>
        </row>
        <row r="2617">
          <cell r="B2617" t="str">
            <v>7</v>
          </cell>
          <cell r="AN2617">
            <v>141.74</v>
          </cell>
          <cell r="AP2617">
            <v>43</v>
          </cell>
        </row>
        <row r="2618">
          <cell r="B2618" t="str">
            <v>7</v>
          </cell>
          <cell r="AN2618">
            <v>171.18</v>
          </cell>
          <cell r="AP2618">
            <v>43</v>
          </cell>
        </row>
        <row r="2619">
          <cell r="B2619" t="str">
            <v>7</v>
          </cell>
          <cell r="AN2619">
            <v>156.19999999999999</v>
          </cell>
          <cell r="AP2619">
            <v>43</v>
          </cell>
        </row>
        <row r="2620">
          <cell r="B2620" t="str">
            <v>7</v>
          </cell>
          <cell r="AN2620">
            <v>32</v>
          </cell>
          <cell r="AP2620">
            <v>43</v>
          </cell>
        </row>
        <row r="2621">
          <cell r="B2621" t="str">
            <v>7</v>
          </cell>
          <cell r="AN2621">
            <v>115.22</v>
          </cell>
          <cell r="AP2621">
            <v>43</v>
          </cell>
        </row>
        <row r="2622">
          <cell r="B2622" t="str">
            <v>7</v>
          </cell>
          <cell r="AN2622">
            <v>109.94</v>
          </cell>
          <cell r="AP2622">
            <v>43</v>
          </cell>
        </row>
        <row r="2623">
          <cell r="B2623" t="str">
            <v>7</v>
          </cell>
          <cell r="AN2623">
            <v>131.25</v>
          </cell>
          <cell r="AP2623">
            <v>43</v>
          </cell>
        </row>
        <row r="2624">
          <cell r="B2624" t="str">
            <v>7</v>
          </cell>
          <cell r="AN2624">
            <v>134.05000000000001</v>
          </cell>
          <cell r="AP2624">
            <v>43</v>
          </cell>
        </row>
        <row r="2625">
          <cell r="B2625" t="str">
            <v>7</v>
          </cell>
          <cell r="AN2625">
            <v>58.2</v>
          </cell>
          <cell r="AP2625">
            <v>43</v>
          </cell>
        </row>
        <row r="2626">
          <cell r="B2626" t="str">
            <v>8</v>
          </cell>
          <cell r="AN2626">
            <v>414.70000000000005</v>
          </cell>
          <cell r="AP2626">
            <v>43</v>
          </cell>
        </row>
        <row r="2627">
          <cell r="B2627" t="str">
            <v>8</v>
          </cell>
          <cell r="AN2627">
            <v>109.4</v>
          </cell>
          <cell r="AP2627">
            <v>43</v>
          </cell>
        </row>
        <row r="2628">
          <cell r="B2628" t="str">
            <v>8</v>
          </cell>
          <cell r="AN2628">
            <v>141.07</v>
          </cell>
          <cell r="AP2628">
            <v>43</v>
          </cell>
        </row>
        <row r="2629">
          <cell r="B2629" t="str">
            <v>8</v>
          </cell>
          <cell r="AN2629">
            <v>446.01</v>
          </cell>
          <cell r="AP2629">
            <v>43</v>
          </cell>
        </row>
        <row r="2630">
          <cell r="B2630" t="str">
            <v>1</v>
          </cell>
          <cell r="AN2630">
            <v>189</v>
          </cell>
          <cell r="AP2630">
            <v>43</v>
          </cell>
        </row>
        <row r="2631">
          <cell r="B2631" t="str">
            <v>1</v>
          </cell>
          <cell r="AN2631">
            <v>200.8</v>
          </cell>
          <cell r="AP2631">
            <v>43</v>
          </cell>
        </row>
        <row r="2632">
          <cell r="B2632" t="str">
            <v>2</v>
          </cell>
          <cell r="AN2632">
            <v>75.39</v>
          </cell>
          <cell r="AP2632">
            <v>43</v>
          </cell>
        </row>
        <row r="2633">
          <cell r="B2633" t="str">
            <v>2</v>
          </cell>
          <cell r="AN2633">
            <v>75.39</v>
          </cell>
          <cell r="AP2633">
            <v>43</v>
          </cell>
        </row>
        <row r="2634">
          <cell r="B2634" t="str">
            <v>2</v>
          </cell>
          <cell r="AN2634">
            <v>75.39</v>
          </cell>
          <cell r="AP2634">
            <v>43</v>
          </cell>
        </row>
        <row r="2635">
          <cell r="B2635" t="str">
            <v>2</v>
          </cell>
          <cell r="AN2635">
            <v>75.39</v>
          </cell>
          <cell r="AP2635">
            <v>43</v>
          </cell>
        </row>
        <row r="2636">
          <cell r="B2636" t="str">
            <v>2</v>
          </cell>
          <cell r="AN2636">
            <v>75.39</v>
          </cell>
          <cell r="AP2636">
            <v>43</v>
          </cell>
        </row>
        <row r="2637">
          <cell r="B2637" t="str">
            <v>3</v>
          </cell>
          <cell r="AN2637">
            <v>410.44000000000005</v>
          </cell>
          <cell r="AP2637">
            <v>43</v>
          </cell>
        </row>
        <row r="2638">
          <cell r="B2638" t="str">
            <v>3</v>
          </cell>
          <cell r="AN2638">
            <v>152.89999999999998</v>
          </cell>
          <cell r="AP2638">
            <v>43</v>
          </cell>
        </row>
        <row r="2639">
          <cell r="B2639" t="str">
            <v>4</v>
          </cell>
          <cell r="AN2639">
            <v>294</v>
          </cell>
          <cell r="AP2639">
            <v>43</v>
          </cell>
        </row>
        <row r="2640">
          <cell r="B2640" t="str">
            <v>5</v>
          </cell>
          <cell r="AN2640">
            <v>115.1</v>
          </cell>
          <cell r="AP2640">
            <v>43</v>
          </cell>
        </row>
        <row r="2641">
          <cell r="B2641" t="str">
            <v>5</v>
          </cell>
          <cell r="AN2641">
            <v>248.2</v>
          </cell>
          <cell r="AP2641">
            <v>43</v>
          </cell>
        </row>
        <row r="2642">
          <cell r="B2642" t="str">
            <v>5</v>
          </cell>
          <cell r="AN2642">
            <v>212.66000000000003</v>
          </cell>
          <cell r="AP2642">
            <v>43</v>
          </cell>
        </row>
        <row r="2643">
          <cell r="B2643" t="str">
            <v>5</v>
          </cell>
          <cell r="AN2643">
            <v>201.53000000000003</v>
          </cell>
          <cell r="AP2643">
            <v>43</v>
          </cell>
        </row>
        <row r="2644">
          <cell r="B2644" t="str">
            <v>6</v>
          </cell>
          <cell r="AN2644">
            <v>580.6</v>
          </cell>
          <cell r="AP2644">
            <v>43</v>
          </cell>
        </row>
        <row r="2645">
          <cell r="B2645" t="str">
            <v>6</v>
          </cell>
          <cell r="AN2645">
            <v>143.1</v>
          </cell>
          <cell r="AP2645">
            <v>43</v>
          </cell>
        </row>
        <row r="2646">
          <cell r="B2646" t="str">
            <v>6</v>
          </cell>
          <cell r="AN2646">
            <v>627.1</v>
          </cell>
          <cell r="AP2646">
            <v>43</v>
          </cell>
        </row>
        <row r="2647">
          <cell r="B2647" t="str">
            <v>7</v>
          </cell>
          <cell r="AN2647">
            <v>132.5</v>
          </cell>
          <cell r="AP2647">
            <v>43</v>
          </cell>
        </row>
        <row r="2648">
          <cell r="B2648" t="str">
            <v>7</v>
          </cell>
          <cell r="AN2648">
            <v>75.94</v>
          </cell>
          <cell r="AP2648">
            <v>43</v>
          </cell>
        </row>
        <row r="2649">
          <cell r="B2649" t="str">
            <v>7</v>
          </cell>
          <cell r="AN2649">
            <v>348.13999999999993</v>
          </cell>
          <cell r="AP2649">
            <v>43</v>
          </cell>
        </row>
        <row r="2650">
          <cell r="B2650" t="str">
            <v>7</v>
          </cell>
          <cell r="AN2650">
            <v>236.93999999999997</v>
          </cell>
          <cell r="AP2650">
            <v>43</v>
          </cell>
        </row>
        <row r="2651">
          <cell r="B2651" t="str">
            <v>7</v>
          </cell>
          <cell r="AN2651">
            <v>117.4</v>
          </cell>
          <cell r="AP2651">
            <v>43</v>
          </cell>
        </row>
        <row r="2652">
          <cell r="B2652" t="str">
            <v>7</v>
          </cell>
          <cell r="AN2652">
            <v>151.60000000000002</v>
          </cell>
          <cell r="AP2652">
            <v>43</v>
          </cell>
        </row>
        <row r="2653">
          <cell r="B2653" t="str">
            <v>8</v>
          </cell>
          <cell r="AN2653">
            <v>170.7</v>
          </cell>
          <cell r="AP2653">
            <v>43</v>
          </cell>
        </row>
        <row r="2654">
          <cell r="B2654" t="str">
            <v>8</v>
          </cell>
          <cell r="AN2654">
            <v>362.8</v>
          </cell>
          <cell r="AP2654">
            <v>43</v>
          </cell>
        </row>
        <row r="2655">
          <cell r="B2655" t="str">
            <v>8</v>
          </cell>
          <cell r="AN2655">
            <v>119.07</v>
          </cell>
          <cell r="AP2655">
            <v>43</v>
          </cell>
        </row>
        <row r="2656">
          <cell r="B2656" t="str">
            <v>8</v>
          </cell>
          <cell r="AN2656">
            <v>94.97</v>
          </cell>
          <cell r="AP2656">
            <v>43</v>
          </cell>
        </row>
        <row r="2657">
          <cell r="B2657" t="str">
            <v>8</v>
          </cell>
          <cell r="AN2657">
            <v>265.72000000000003</v>
          </cell>
          <cell r="AP2657">
            <v>43</v>
          </cell>
        </row>
        <row r="2658">
          <cell r="B2658" t="str">
            <v>1</v>
          </cell>
          <cell r="AN2658">
            <v>193.2</v>
          </cell>
          <cell r="AP2658">
            <v>43</v>
          </cell>
        </row>
        <row r="2659">
          <cell r="B2659" t="str">
            <v>1</v>
          </cell>
          <cell r="AN2659">
            <v>132.1</v>
          </cell>
          <cell r="AP2659">
            <v>43</v>
          </cell>
        </row>
        <row r="2660">
          <cell r="B2660" t="str">
            <v>2</v>
          </cell>
          <cell r="AN2660">
            <v>75.39</v>
          </cell>
          <cell r="AP2660">
            <v>43</v>
          </cell>
        </row>
        <row r="2661">
          <cell r="B2661" t="str">
            <v>2</v>
          </cell>
          <cell r="AN2661">
            <v>75.39</v>
          </cell>
          <cell r="AP2661">
            <v>43</v>
          </cell>
        </row>
        <row r="2662">
          <cell r="B2662" t="str">
            <v>2</v>
          </cell>
          <cell r="AN2662">
            <v>75.39</v>
          </cell>
          <cell r="AP2662">
            <v>43</v>
          </cell>
        </row>
        <row r="2663">
          <cell r="B2663" t="str">
            <v>4</v>
          </cell>
          <cell r="AN2663">
            <v>244.47</v>
          </cell>
          <cell r="AP2663">
            <v>43</v>
          </cell>
        </row>
        <row r="2664">
          <cell r="B2664" t="str">
            <v>4</v>
          </cell>
          <cell r="AN2664">
            <v>269.44</v>
          </cell>
          <cell r="AP2664">
            <v>43</v>
          </cell>
        </row>
        <row r="2665">
          <cell r="B2665" t="str">
            <v>5</v>
          </cell>
          <cell r="AN2665">
            <v>81.260000000000005</v>
          </cell>
          <cell r="AP2665">
            <v>43</v>
          </cell>
        </row>
        <row r="2666">
          <cell r="B2666" t="str">
            <v>5</v>
          </cell>
          <cell r="AN2666">
            <v>128.19999999999999</v>
          </cell>
          <cell r="AP2666">
            <v>43</v>
          </cell>
        </row>
        <row r="2667">
          <cell r="B2667" t="str">
            <v>5</v>
          </cell>
          <cell r="AN2667">
            <v>72.98</v>
          </cell>
          <cell r="AP2667">
            <v>43</v>
          </cell>
        </row>
        <row r="2668">
          <cell r="B2668" t="str">
            <v>5</v>
          </cell>
          <cell r="AN2668">
            <v>55.08</v>
          </cell>
          <cell r="AP2668">
            <v>43</v>
          </cell>
        </row>
        <row r="2669">
          <cell r="B2669" t="str">
            <v>5</v>
          </cell>
          <cell r="AN2669">
            <v>60.8</v>
          </cell>
          <cell r="AP2669">
            <v>43</v>
          </cell>
        </row>
        <row r="2670">
          <cell r="B2670" t="str">
            <v>5</v>
          </cell>
          <cell r="AN2670">
            <v>111.6</v>
          </cell>
          <cell r="AP2670">
            <v>43</v>
          </cell>
        </row>
        <row r="2671">
          <cell r="B2671" t="str">
            <v>5</v>
          </cell>
          <cell r="AN2671">
            <v>165.68</v>
          </cell>
          <cell r="AP2671">
            <v>43</v>
          </cell>
        </row>
        <row r="2672">
          <cell r="B2672" t="str">
            <v>6</v>
          </cell>
          <cell r="AN2672">
            <v>380.9</v>
          </cell>
          <cell r="AP2672">
            <v>43</v>
          </cell>
        </row>
        <row r="2673">
          <cell r="B2673" t="str">
            <v>6</v>
          </cell>
          <cell r="AN2673">
            <v>679</v>
          </cell>
          <cell r="AP2673">
            <v>43</v>
          </cell>
        </row>
        <row r="2674">
          <cell r="B2674" t="str">
            <v>7</v>
          </cell>
          <cell r="AN2674">
            <v>63.9</v>
          </cell>
          <cell r="AP2674">
            <v>43</v>
          </cell>
        </row>
        <row r="2675">
          <cell r="B2675" t="str">
            <v>7</v>
          </cell>
          <cell r="AN2675">
            <v>48.7</v>
          </cell>
          <cell r="AP2675">
            <v>43</v>
          </cell>
        </row>
        <row r="2676">
          <cell r="B2676" t="str">
            <v>7</v>
          </cell>
          <cell r="AN2676">
            <v>75</v>
          </cell>
          <cell r="AP2676">
            <v>43</v>
          </cell>
        </row>
        <row r="2677">
          <cell r="B2677" t="str">
            <v>7</v>
          </cell>
          <cell r="AN2677">
            <v>115.30000000000001</v>
          </cell>
          <cell r="AP2677">
            <v>43</v>
          </cell>
        </row>
        <row r="2678">
          <cell r="B2678" t="str">
            <v>7</v>
          </cell>
          <cell r="AN2678">
            <v>546.48</v>
          </cell>
          <cell r="AP2678">
            <v>43</v>
          </cell>
        </row>
        <row r="2679">
          <cell r="B2679" t="str">
            <v>8</v>
          </cell>
          <cell r="AN2679">
            <v>99.789999999999992</v>
          </cell>
          <cell r="AP2679">
            <v>43</v>
          </cell>
        </row>
        <row r="2680">
          <cell r="B2680" t="str">
            <v>8</v>
          </cell>
          <cell r="AN2680">
            <v>285.09999999999997</v>
          </cell>
          <cell r="AP2680">
            <v>43</v>
          </cell>
        </row>
        <row r="2681">
          <cell r="B2681" t="str">
            <v>1</v>
          </cell>
          <cell r="AN2681">
            <v>128.80000000000001</v>
          </cell>
          <cell r="AP2681">
            <v>43</v>
          </cell>
        </row>
        <row r="2682">
          <cell r="B2682" t="str">
            <v>1</v>
          </cell>
          <cell r="AN2682">
            <v>39.200000000000003</v>
          </cell>
          <cell r="AP2682">
            <v>43</v>
          </cell>
        </row>
        <row r="2683">
          <cell r="B2683" t="str">
            <v>1</v>
          </cell>
          <cell r="AN2683">
            <v>73.2</v>
          </cell>
          <cell r="AP2683">
            <v>43</v>
          </cell>
        </row>
        <row r="2684">
          <cell r="B2684" t="str">
            <v>1</v>
          </cell>
          <cell r="AN2684">
            <v>96.1</v>
          </cell>
          <cell r="AP2684">
            <v>43</v>
          </cell>
        </row>
        <row r="2685">
          <cell r="B2685" t="str">
            <v>2</v>
          </cell>
          <cell r="AN2685">
            <v>75.39</v>
          </cell>
          <cell r="AP2685">
            <v>43</v>
          </cell>
        </row>
        <row r="2686">
          <cell r="B2686" t="str">
            <v>2</v>
          </cell>
          <cell r="AN2686">
            <v>75.39</v>
          </cell>
          <cell r="AP2686">
            <v>43</v>
          </cell>
        </row>
        <row r="2687">
          <cell r="B2687" t="str">
            <v>3</v>
          </cell>
          <cell r="AN2687">
            <v>304.19</v>
          </cell>
          <cell r="AP2687">
            <v>43</v>
          </cell>
        </row>
        <row r="2688">
          <cell r="B2688" t="str">
            <v>4</v>
          </cell>
          <cell r="AN2688">
            <v>301.70000000000005</v>
          </cell>
          <cell r="AP2688">
            <v>43</v>
          </cell>
        </row>
        <row r="2689">
          <cell r="B2689" t="str">
            <v>4</v>
          </cell>
          <cell r="AN2689">
            <v>315.2</v>
          </cell>
          <cell r="AP2689">
            <v>43</v>
          </cell>
        </row>
        <row r="2690">
          <cell r="B2690" t="str">
            <v>5</v>
          </cell>
          <cell r="AN2690">
            <v>68.400000000000006</v>
          </cell>
          <cell r="AP2690">
            <v>43</v>
          </cell>
        </row>
        <row r="2691">
          <cell r="B2691" t="str">
            <v>5</v>
          </cell>
          <cell r="AN2691">
            <v>439.32000000000005</v>
          </cell>
          <cell r="AP2691">
            <v>43</v>
          </cell>
        </row>
        <row r="2692">
          <cell r="B2692" t="str">
            <v>5</v>
          </cell>
          <cell r="AN2692">
            <v>499.8</v>
          </cell>
          <cell r="AP2692">
            <v>43</v>
          </cell>
        </row>
        <row r="2693">
          <cell r="B2693" t="str">
            <v>6</v>
          </cell>
          <cell r="AN2693">
            <v>588.20000000000005</v>
          </cell>
          <cell r="AP2693">
            <v>43</v>
          </cell>
        </row>
        <row r="2694">
          <cell r="B2694" t="str">
            <v>6</v>
          </cell>
          <cell r="AN2694">
            <v>734.3</v>
          </cell>
          <cell r="AP2694">
            <v>43</v>
          </cell>
        </row>
        <row r="2695">
          <cell r="B2695" t="str">
            <v>7</v>
          </cell>
          <cell r="AN2695">
            <v>72.5</v>
          </cell>
          <cell r="AP2695">
            <v>43</v>
          </cell>
        </row>
        <row r="2696">
          <cell r="B2696" t="str">
            <v>7</v>
          </cell>
          <cell r="AN2696">
            <v>432.5</v>
          </cell>
          <cell r="AP2696">
            <v>43</v>
          </cell>
        </row>
        <row r="2697">
          <cell r="B2697" t="str">
            <v>7</v>
          </cell>
          <cell r="AN2697">
            <v>113.09</v>
          </cell>
          <cell r="AP2697">
            <v>43</v>
          </cell>
        </row>
        <row r="2698">
          <cell r="B2698" t="str">
            <v>7</v>
          </cell>
          <cell r="AN2698">
            <v>897.11</v>
          </cell>
          <cell r="AP2698">
            <v>43</v>
          </cell>
        </row>
        <row r="2699">
          <cell r="B2699" t="str">
            <v>1</v>
          </cell>
          <cell r="AN2699">
            <v>161.69999999999999</v>
          </cell>
          <cell r="AP2699">
            <v>44</v>
          </cell>
        </row>
        <row r="2700">
          <cell r="B2700" t="str">
            <v>1</v>
          </cell>
          <cell r="AN2700">
            <v>45</v>
          </cell>
          <cell r="AP2700">
            <v>44</v>
          </cell>
        </row>
        <row r="2701">
          <cell r="B2701" t="str">
            <v>1</v>
          </cell>
          <cell r="AN2701">
            <v>71</v>
          </cell>
          <cell r="AP2701">
            <v>44</v>
          </cell>
        </row>
        <row r="2702">
          <cell r="B2702" t="str">
            <v>1</v>
          </cell>
          <cell r="AN2702">
            <v>90</v>
          </cell>
          <cell r="AP2702">
            <v>44</v>
          </cell>
        </row>
        <row r="2703">
          <cell r="B2703" t="str">
            <v>2</v>
          </cell>
          <cell r="AN2703">
            <v>178.89999999999998</v>
          </cell>
          <cell r="AP2703">
            <v>44</v>
          </cell>
        </row>
        <row r="2704">
          <cell r="B2704" t="str">
            <v>2</v>
          </cell>
          <cell r="AN2704">
            <v>158.6</v>
          </cell>
          <cell r="AP2704">
            <v>44</v>
          </cell>
        </row>
        <row r="2705">
          <cell r="B2705" t="str">
            <v>3</v>
          </cell>
          <cell r="AN2705">
            <v>83.1</v>
          </cell>
          <cell r="AP2705">
            <v>44</v>
          </cell>
        </row>
        <row r="2706">
          <cell r="B2706" t="str">
            <v>3</v>
          </cell>
          <cell r="AN2706">
            <v>136.80000000000001</v>
          </cell>
          <cell r="AP2706">
            <v>44</v>
          </cell>
        </row>
        <row r="2707">
          <cell r="B2707" t="str">
            <v>3</v>
          </cell>
          <cell r="AN2707">
            <v>274.8</v>
          </cell>
          <cell r="AP2707">
            <v>44</v>
          </cell>
        </row>
        <row r="2708">
          <cell r="B2708" t="str">
            <v>3</v>
          </cell>
          <cell r="AN2708">
            <v>140.9</v>
          </cell>
          <cell r="AP2708">
            <v>44</v>
          </cell>
        </row>
        <row r="2709">
          <cell r="B2709" t="str">
            <v>4</v>
          </cell>
          <cell r="AN2709">
            <v>162.01</v>
          </cell>
          <cell r="AP2709">
            <v>44</v>
          </cell>
        </row>
        <row r="2710">
          <cell r="B2710" t="str">
            <v>4</v>
          </cell>
          <cell r="AN2710">
            <v>43.54</v>
          </cell>
          <cell r="AP2710">
            <v>44</v>
          </cell>
        </row>
        <row r="2711">
          <cell r="B2711" t="str">
            <v>4</v>
          </cell>
          <cell r="AN2711">
            <v>53.980000000000004</v>
          </cell>
          <cell r="AP2711">
            <v>44</v>
          </cell>
        </row>
        <row r="2712">
          <cell r="B2712" t="str">
            <v>4</v>
          </cell>
          <cell r="AN2712">
            <v>258.23999999999995</v>
          </cell>
          <cell r="AP2712">
            <v>44</v>
          </cell>
        </row>
        <row r="2713">
          <cell r="B2713" t="str">
            <v>5</v>
          </cell>
          <cell r="AN2713">
            <v>458.72</v>
          </cell>
          <cell r="AP2713">
            <v>44</v>
          </cell>
        </row>
        <row r="2714">
          <cell r="B2714" t="str">
            <v>5</v>
          </cell>
          <cell r="AN2714">
            <v>478.5</v>
          </cell>
          <cell r="AP2714">
            <v>44</v>
          </cell>
        </row>
        <row r="2715">
          <cell r="B2715" t="str">
            <v>6</v>
          </cell>
          <cell r="AN2715">
            <v>546.69999999999993</v>
          </cell>
          <cell r="AP2715">
            <v>44</v>
          </cell>
        </row>
        <row r="2716">
          <cell r="B2716" t="str">
            <v>6</v>
          </cell>
          <cell r="AN2716">
            <v>245.1</v>
          </cell>
          <cell r="AP2716">
            <v>44</v>
          </cell>
        </row>
        <row r="2717">
          <cell r="B2717" t="str">
            <v>6</v>
          </cell>
          <cell r="AN2717">
            <v>664.5</v>
          </cell>
          <cell r="AP2717">
            <v>44</v>
          </cell>
        </row>
        <row r="2718">
          <cell r="B2718" t="str">
            <v>7</v>
          </cell>
          <cell r="AN2718">
            <v>133.9</v>
          </cell>
          <cell r="AP2718">
            <v>44</v>
          </cell>
        </row>
        <row r="2719">
          <cell r="B2719" t="str">
            <v>7</v>
          </cell>
          <cell r="AN2719">
            <v>529.25</v>
          </cell>
          <cell r="AP2719">
            <v>44</v>
          </cell>
        </row>
        <row r="2720">
          <cell r="B2720" t="str">
            <v>7</v>
          </cell>
          <cell r="AN2720">
            <v>62</v>
          </cell>
          <cell r="AP2720">
            <v>44</v>
          </cell>
        </row>
        <row r="2721">
          <cell r="B2721" t="str">
            <v>7</v>
          </cell>
          <cell r="AN2721">
            <v>113.36</v>
          </cell>
          <cell r="AP2721">
            <v>44</v>
          </cell>
        </row>
        <row r="2722">
          <cell r="B2722" t="str">
            <v>7</v>
          </cell>
          <cell r="AN2722">
            <v>138</v>
          </cell>
          <cell r="AP2722">
            <v>44</v>
          </cell>
        </row>
        <row r="2723">
          <cell r="B2723" t="str">
            <v>7</v>
          </cell>
          <cell r="AN2723">
            <v>109.5</v>
          </cell>
          <cell r="AP2723">
            <v>44</v>
          </cell>
        </row>
        <row r="2724">
          <cell r="B2724" t="str">
            <v>7</v>
          </cell>
          <cell r="AN2724">
            <v>58.7</v>
          </cell>
          <cell r="AP2724">
            <v>44</v>
          </cell>
        </row>
        <row r="2725">
          <cell r="B2725" t="str">
            <v>1</v>
          </cell>
          <cell r="AN2725">
            <v>143.45999999999998</v>
          </cell>
          <cell r="AP2725">
            <v>44</v>
          </cell>
        </row>
        <row r="2726">
          <cell r="B2726" t="str">
            <v>1</v>
          </cell>
          <cell r="AN2726">
            <v>60.3</v>
          </cell>
          <cell r="AP2726">
            <v>44</v>
          </cell>
        </row>
        <row r="2727">
          <cell r="B2727" t="str">
            <v>1</v>
          </cell>
          <cell r="AN2727">
            <v>201.60000000000002</v>
          </cell>
          <cell r="AP2727">
            <v>44</v>
          </cell>
        </row>
        <row r="2728">
          <cell r="B2728" t="str">
            <v>2</v>
          </cell>
          <cell r="AN2728">
            <v>182.2</v>
          </cell>
          <cell r="AP2728">
            <v>44</v>
          </cell>
        </row>
        <row r="2729">
          <cell r="B2729" t="str">
            <v>2</v>
          </cell>
          <cell r="AN2729">
            <v>196.10000000000002</v>
          </cell>
          <cell r="AP2729">
            <v>44</v>
          </cell>
        </row>
        <row r="2730">
          <cell r="B2730" t="str">
            <v>7</v>
          </cell>
          <cell r="AN2730">
            <v>58.8</v>
          </cell>
          <cell r="AP2730">
            <v>44</v>
          </cell>
        </row>
        <row r="2731">
          <cell r="B2731" t="str">
            <v>7</v>
          </cell>
          <cell r="AN2731">
            <v>110.9</v>
          </cell>
          <cell r="AP2731">
            <v>44</v>
          </cell>
        </row>
        <row r="2732">
          <cell r="B2732" t="str">
            <v>7</v>
          </cell>
          <cell r="AN2732">
            <v>74.2</v>
          </cell>
          <cell r="AP2732">
            <v>44</v>
          </cell>
        </row>
        <row r="2733">
          <cell r="B2733" t="str">
            <v>7</v>
          </cell>
          <cell r="AN2733">
            <v>61.1</v>
          </cell>
          <cell r="AP2733">
            <v>44</v>
          </cell>
        </row>
        <row r="2734">
          <cell r="B2734" t="str">
            <v>7</v>
          </cell>
          <cell r="AN2734">
            <v>42.8</v>
          </cell>
          <cell r="AP2734">
            <v>44</v>
          </cell>
        </row>
        <row r="2735">
          <cell r="B2735" t="str">
            <v>7</v>
          </cell>
          <cell r="AN2735">
            <v>359.29999999999995</v>
          </cell>
          <cell r="AP2735">
            <v>44</v>
          </cell>
        </row>
        <row r="2736">
          <cell r="B2736" t="str">
            <v>7</v>
          </cell>
          <cell r="AN2736">
            <v>111</v>
          </cell>
          <cell r="AP2736">
            <v>44</v>
          </cell>
        </row>
        <row r="2737">
          <cell r="B2737" t="str">
            <v>7</v>
          </cell>
          <cell r="AN2737">
            <v>113.6</v>
          </cell>
          <cell r="AP2737">
            <v>44</v>
          </cell>
        </row>
        <row r="2738">
          <cell r="B2738" t="str">
            <v>7</v>
          </cell>
          <cell r="AN2738">
            <v>111</v>
          </cell>
          <cell r="AP2738">
            <v>44</v>
          </cell>
        </row>
        <row r="2739">
          <cell r="B2739" t="str">
            <v>7</v>
          </cell>
          <cell r="AN2739">
            <v>110.9</v>
          </cell>
          <cell r="AP2739">
            <v>44</v>
          </cell>
        </row>
        <row r="2740">
          <cell r="B2740" t="str">
            <v>7</v>
          </cell>
          <cell r="AN2740">
            <v>120.2</v>
          </cell>
          <cell r="AP2740">
            <v>44</v>
          </cell>
        </row>
        <row r="2741">
          <cell r="B2741" t="str">
            <v>3</v>
          </cell>
          <cell r="AN2741">
            <v>177.10000000000002</v>
          </cell>
          <cell r="AP2741">
            <v>44</v>
          </cell>
        </row>
        <row r="2742">
          <cell r="B2742" t="str">
            <v>3</v>
          </cell>
          <cell r="AN2742">
            <v>250.01999999999998</v>
          </cell>
          <cell r="AP2742">
            <v>44</v>
          </cell>
        </row>
        <row r="2743">
          <cell r="B2743" t="str">
            <v>5</v>
          </cell>
          <cell r="AN2743">
            <v>395.40000000000003</v>
          </cell>
          <cell r="AP2743">
            <v>44</v>
          </cell>
        </row>
        <row r="2744">
          <cell r="B2744" t="str">
            <v>5</v>
          </cell>
          <cell r="AN2744">
            <v>477.79999999999995</v>
          </cell>
          <cell r="AP2744">
            <v>44</v>
          </cell>
        </row>
        <row r="2745">
          <cell r="B2745" t="str">
            <v>6</v>
          </cell>
          <cell r="AN2745">
            <v>614.09999999999991</v>
          </cell>
          <cell r="AP2745">
            <v>44</v>
          </cell>
        </row>
        <row r="2746">
          <cell r="B2746" t="str">
            <v>6</v>
          </cell>
          <cell r="AN2746">
            <v>560.6</v>
          </cell>
          <cell r="AP2746">
            <v>44</v>
          </cell>
        </row>
        <row r="2747">
          <cell r="B2747" t="str">
            <v>1</v>
          </cell>
          <cell r="AN2747">
            <v>64.2</v>
          </cell>
          <cell r="AP2747">
            <v>44</v>
          </cell>
        </row>
        <row r="2748">
          <cell r="B2748" t="str">
            <v>1</v>
          </cell>
          <cell r="AN2748">
            <v>123.6</v>
          </cell>
          <cell r="AP2748">
            <v>44</v>
          </cell>
        </row>
        <row r="2749">
          <cell r="B2749" t="str">
            <v>1</v>
          </cell>
          <cell r="AN2749">
            <v>62</v>
          </cell>
          <cell r="AP2749">
            <v>44</v>
          </cell>
        </row>
        <row r="2750">
          <cell r="B2750" t="str">
            <v>2</v>
          </cell>
          <cell r="AN2750">
            <v>140</v>
          </cell>
          <cell r="AP2750">
            <v>44</v>
          </cell>
        </row>
        <row r="2751">
          <cell r="B2751" t="str">
            <v>2</v>
          </cell>
          <cell r="AN2751">
            <v>60</v>
          </cell>
          <cell r="AP2751">
            <v>44</v>
          </cell>
        </row>
        <row r="2752">
          <cell r="B2752" t="str">
            <v>3</v>
          </cell>
          <cell r="AN2752">
            <v>318.48</v>
          </cell>
          <cell r="AP2752">
            <v>44</v>
          </cell>
        </row>
        <row r="2753">
          <cell r="B2753" t="str">
            <v>3</v>
          </cell>
          <cell r="AN2753">
            <v>26.42</v>
          </cell>
          <cell r="AP2753">
            <v>44</v>
          </cell>
        </row>
        <row r="2754">
          <cell r="B2754" t="str">
            <v>3</v>
          </cell>
          <cell r="AN2754">
            <v>337.91999999999996</v>
          </cell>
          <cell r="AP2754">
            <v>44</v>
          </cell>
        </row>
        <row r="2755">
          <cell r="B2755" t="str">
            <v>5</v>
          </cell>
          <cell r="AN2755">
            <v>333.72</v>
          </cell>
          <cell r="AP2755">
            <v>44</v>
          </cell>
        </row>
        <row r="2756">
          <cell r="B2756" t="str">
            <v>5</v>
          </cell>
          <cell r="AN2756">
            <v>110.5</v>
          </cell>
          <cell r="AP2756">
            <v>44</v>
          </cell>
        </row>
        <row r="2757">
          <cell r="B2757" t="str">
            <v>5</v>
          </cell>
          <cell r="AN2757">
            <v>49.04</v>
          </cell>
          <cell r="AP2757">
            <v>44</v>
          </cell>
        </row>
        <row r="2758">
          <cell r="B2758" t="str">
            <v>5</v>
          </cell>
          <cell r="AN2758">
            <v>120.4</v>
          </cell>
          <cell r="AP2758">
            <v>44</v>
          </cell>
        </row>
        <row r="2759">
          <cell r="B2759" t="str">
            <v>5</v>
          </cell>
          <cell r="AN2759">
            <v>79</v>
          </cell>
          <cell r="AP2759">
            <v>44</v>
          </cell>
        </row>
        <row r="2760">
          <cell r="B2760" t="str">
            <v>6</v>
          </cell>
          <cell r="AN2760">
            <v>536.91</v>
          </cell>
          <cell r="AP2760">
            <v>44</v>
          </cell>
        </row>
        <row r="2761">
          <cell r="B2761" t="str">
            <v>6</v>
          </cell>
          <cell r="AN2761">
            <v>526.90000000000009</v>
          </cell>
          <cell r="AP2761">
            <v>44</v>
          </cell>
        </row>
        <row r="2762">
          <cell r="B2762" t="str">
            <v>7</v>
          </cell>
          <cell r="AN2762">
            <v>169.99999999999997</v>
          </cell>
          <cell r="AP2762">
            <v>44</v>
          </cell>
        </row>
        <row r="2763">
          <cell r="B2763" t="str">
            <v>7</v>
          </cell>
          <cell r="AN2763">
            <v>130.85999999999999</v>
          </cell>
          <cell r="AP2763">
            <v>44</v>
          </cell>
        </row>
        <row r="2764">
          <cell r="B2764" t="str">
            <v>7</v>
          </cell>
          <cell r="AN2764">
            <v>125.34</v>
          </cell>
          <cell r="AP2764">
            <v>44</v>
          </cell>
        </row>
        <row r="2765">
          <cell r="B2765" t="str">
            <v>7</v>
          </cell>
          <cell r="AN2765">
            <v>144</v>
          </cell>
          <cell r="AP2765">
            <v>44</v>
          </cell>
        </row>
        <row r="2766">
          <cell r="B2766" t="str">
            <v>7</v>
          </cell>
          <cell r="AN2766">
            <v>162.10000000000002</v>
          </cell>
          <cell r="AP2766">
            <v>44</v>
          </cell>
        </row>
        <row r="2767">
          <cell r="B2767" t="str">
            <v>7</v>
          </cell>
          <cell r="AN2767">
            <v>410.74</v>
          </cell>
          <cell r="AP2767">
            <v>44</v>
          </cell>
        </row>
        <row r="2768">
          <cell r="B2768" t="str">
            <v>1</v>
          </cell>
          <cell r="AN2768">
            <v>55.3</v>
          </cell>
          <cell r="AP2768">
            <v>44</v>
          </cell>
        </row>
        <row r="2769">
          <cell r="B2769" t="str">
            <v>1</v>
          </cell>
          <cell r="AN2769">
            <v>65.5</v>
          </cell>
          <cell r="AP2769">
            <v>44</v>
          </cell>
        </row>
        <row r="2770">
          <cell r="B2770" t="str">
            <v>1</v>
          </cell>
          <cell r="AN2770">
            <v>60.599999999999994</v>
          </cell>
          <cell r="AP2770">
            <v>44</v>
          </cell>
        </row>
        <row r="2771">
          <cell r="B2771" t="str">
            <v>1</v>
          </cell>
          <cell r="AN2771">
            <v>53.9</v>
          </cell>
          <cell r="AP2771">
            <v>44</v>
          </cell>
        </row>
        <row r="2772">
          <cell r="B2772" t="str">
            <v>3</v>
          </cell>
          <cell r="AN2772">
            <v>293.70000000000005</v>
          </cell>
          <cell r="AP2772">
            <v>44</v>
          </cell>
        </row>
        <row r="2773">
          <cell r="B2773" t="str">
            <v>3</v>
          </cell>
          <cell r="AN2773">
            <v>291.04000000000002</v>
          </cell>
          <cell r="AP2773">
            <v>44</v>
          </cell>
        </row>
        <row r="2774">
          <cell r="B2774" t="str">
            <v>4</v>
          </cell>
          <cell r="AN2774">
            <v>276.26</v>
          </cell>
          <cell r="AP2774">
            <v>44</v>
          </cell>
        </row>
        <row r="2775">
          <cell r="B2775" t="str">
            <v>5</v>
          </cell>
          <cell r="AN2775">
            <v>122.6</v>
          </cell>
          <cell r="AP2775">
            <v>44</v>
          </cell>
        </row>
        <row r="2776">
          <cell r="B2776" t="str">
            <v>5</v>
          </cell>
          <cell r="AN2776">
            <v>202.96000000000004</v>
          </cell>
          <cell r="AP2776">
            <v>44</v>
          </cell>
        </row>
        <row r="2777">
          <cell r="B2777" t="str">
            <v>5</v>
          </cell>
          <cell r="AN2777">
            <v>81.300000000000011</v>
          </cell>
          <cell r="AP2777">
            <v>44</v>
          </cell>
        </row>
        <row r="2778">
          <cell r="B2778" t="str">
            <v>5</v>
          </cell>
          <cell r="AN2778">
            <v>220.89999999999998</v>
          </cell>
          <cell r="AP2778">
            <v>44</v>
          </cell>
        </row>
        <row r="2779">
          <cell r="B2779" t="str">
            <v>6</v>
          </cell>
          <cell r="AN2779">
            <v>213.3</v>
          </cell>
          <cell r="AP2779">
            <v>44</v>
          </cell>
        </row>
        <row r="2780">
          <cell r="B2780" t="str">
            <v>6</v>
          </cell>
          <cell r="AN2780">
            <v>276.20999999999998</v>
          </cell>
          <cell r="AP2780">
            <v>44</v>
          </cell>
        </row>
        <row r="2781">
          <cell r="B2781" t="str">
            <v>6</v>
          </cell>
          <cell r="AN2781">
            <v>498.4</v>
          </cell>
          <cell r="AP2781">
            <v>44</v>
          </cell>
        </row>
        <row r="2782">
          <cell r="B2782" t="str">
            <v>6</v>
          </cell>
          <cell r="AN2782">
            <v>44.5</v>
          </cell>
          <cell r="AP2782">
            <v>44</v>
          </cell>
        </row>
        <row r="2783">
          <cell r="B2783" t="str">
            <v>7</v>
          </cell>
          <cell r="AN2783">
            <v>145</v>
          </cell>
          <cell r="AP2783">
            <v>44</v>
          </cell>
        </row>
        <row r="2784">
          <cell r="B2784" t="str">
            <v>7</v>
          </cell>
          <cell r="AN2784">
            <v>111.4</v>
          </cell>
          <cell r="AP2784">
            <v>44</v>
          </cell>
        </row>
        <row r="2785">
          <cell r="B2785" t="str">
            <v>7</v>
          </cell>
          <cell r="AN2785">
            <v>271.3</v>
          </cell>
          <cell r="AP2785">
            <v>44</v>
          </cell>
        </row>
        <row r="2786">
          <cell r="B2786" t="str">
            <v>7</v>
          </cell>
          <cell r="AN2786">
            <v>236.67999999999998</v>
          </cell>
          <cell r="AP2786">
            <v>44</v>
          </cell>
        </row>
        <row r="2787">
          <cell r="B2787" t="str">
            <v>7</v>
          </cell>
          <cell r="AN2787">
            <v>280.7</v>
          </cell>
          <cell r="AP2787">
            <v>44</v>
          </cell>
        </row>
        <row r="2788">
          <cell r="B2788" t="str">
            <v>7</v>
          </cell>
          <cell r="AN2788">
            <v>267.10000000000002</v>
          </cell>
          <cell r="AP2788">
            <v>44</v>
          </cell>
        </row>
        <row r="2789">
          <cell r="B2789" t="str">
            <v>8</v>
          </cell>
          <cell r="AN2789">
            <v>226.94</v>
          </cell>
          <cell r="AP2789">
            <v>44</v>
          </cell>
        </row>
        <row r="2790">
          <cell r="B2790" t="str">
            <v>8</v>
          </cell>
          <cell r="AN2790">
            <v>304.39999999999998</v>
          </cell>
          <cell r="AP2790">
            <v>44</v>
          </cell>
        </row>
        <row r="2791">
          <cell r="B2791" t="str">
            <v>8</v>
          </cell>
          <cell r="AN2791">
            <v>104.1</v>
          </cell>
          <cell r="AP2791">
            <v>44</v>
          </cell>
        </row>
        <row r="2792">
          <cell r="B2792" t="str">
            <v>1</v>
          </cell>
          <cell r="AN2792">
            <v>52.3</v>
          </cell>
          <cell r="AP2792">
            <v>44</v>
          </cell>
        </row>
        <row r="2793">
          <cell r="B2793" t="str">
            <v>1</v>
          </cell>
          <cell r="AN2793">
            <v>55.2</v>
          </cell>
          <cell r="AP2793">
            <v>44</v>
          </cell>
        </row>
        <row r="2794">
          <cell r="B2794" t="str">
            <v>1</v>
          </cell>
          <cell r="AN2794">
            <v>149.69999999999999</v>
          </cell>
          <cell r="AP2794">
            <v>44</v>
          </cell>
        </row>
        <row r="2795">
          <cell r="B2795" t="str">
            <v>2</v>
          </cell>
          <cell r="AN2795">
            <v>91.5</v>
          </cell>
          <cell r="AP2795">
            <v>44</v>
          </cell>
        </row>
        <row r="2796">
          <cell r="B2796" t="str">
            <v>2</v>
          </cell>
          <cell r="AN2796">
            <v>132.30000000000001</v>
          </cell>
          <cell r="AP2796">
            <v>44</v>
          </cell>
        </row>
        <row r="2797">
          <cell r="B2797" t="str">
            <v>2</v>
          </cell>
          <cell r="AN2797">
            <v>57.6</v>
          </cell>
          <cell r="AP2797">
            <v>44</v>
          </cell>
        </row>
        <row r="2798">
          <cell r="B2798" t="str">
            <v>3</v>
          </cell>
          <cell r="AN2798">
            <v>337.42999999999995</v>
          </cell>
          <cell r="AP2798">
            <v>44</v>
          </cell>
        </row>
        <row r="2799">
          <cell r="B2799" t="str">
            <v>3</v>
          </cell>
          <cell r="AN2799">
            <v>316.52</v>
          </cell>
          <cell r="AP2799">
            <v>44</v>
          </cell>
        </row>
        <row r="2800">
          <cell r="B2800" t="str">
            <v>5</v>
          </cell>
          <cell r="AN2800">
            <v>259.88</v>
          </cell>
          <cell r="AP2800">
            <v>44</v>
          </cell>
        </row>
        <row r="2801">
          <cell r="B2801" t="str">
            <v>5</v>
          </cell>
          <cell r="AN2801">
            <v>54.6</v>
          </cell>
          <cell r="AP2801">
            <v>44</v>
          </cell>
        </row>
        <row r="2802">
          <cell r="B2802" t="str">
            <v>5</v>
          </cell>
          <cell r="AN2802">
            <v>294.29999999999995</v>
          </cell>
          <cell r="AP2802">
            <v>44</v>
          </cell>
        </row>
        <row r="2803">
          <cell r="B2803" t="str">
            <v>5</v>
          </cell>
          <cell r="AN2803">
            <v>32.1</v>
          </cell>
          <cell r="AP2803">
            <v>44</v>
          </cell>
        </row>
        <row r="2804">
          <cell r="B2804" t="str">
            <v>6</v>
          </cell>
          <cell r="AN2804">
            <v>576.75</v>
          </cell>
          <cell r="AP2804">
            <v>44</v>
          </cell>
        </row>
        <row r="2805">
          <cell r="B2805" t="str">
            <v>6</v>
          </cell>
          <cell r="AN2805">
            <v>484.75999999999988</v>
          </cell>
          <cell r="AP2805">
            <v>44</v>
          </cell>
        </row>
        <row r="2806">
          <cell r="B2806" t="str">
            <v>6</v>
          </cell>
          <cell r="AN2806">
            <v>81.900000000000006</v>
          </cell>
          <cell r="AP2806">
            <v>44</v>
          </cell>
        </row>
        <row r="2807">
          <cell r="B2807" t="str">
            <v>7</v>
          </cell>
          <cell r="AN2807">
            <v>842.18000000000006</v>
          </cell>
          <cell r="AP2807">
            <v>44</v>
          </cell>
        </row>
        <row r="2808">
          <cell r="B2808" t="str">
            <v>7</v>
          </cell>
          <cell r="AN2808">
            <v>170.2</v>
          </cell>
          <cell r="AP2808">
            <v>44</v>
          </cell>
        </row>
        <row r="2809">
          <cell r="B2809" t="str">
            <v>7</v>
          </cell>
          <cell r="AN2809">
            <v>132.69999999999999</v>
          </cell>
          <cell r="AP2809">
            <v>44</v>
          </cell>
        </row>
        <row r="2810">
          <cell r="B2810" t="str">
            <v>7</v>
          </cell>
          <cell r="AN2810">
            <v>141.32</v>
          </cell>
          <cell r="AP2810">
            <v>44</v>
          </cell>
        </row>
        <row r="2811">
          <cell r="B2811" t="str">
            <v>7</v>
          </cell>
          <cell r="AN2811">
            <v>141.69999999999999</v>
          </cell>
          <cell r="AP2811">
            <v>44</v>
          </cell>
        </row>
        <row r="2812">
          <cell r="B2812" t="str">
            <v>7</v>
          </cell>
          <cell r="AN2812">
            <v>149.80000000000001</v>
          </cell>
          <cell r="AP2812">
            <v>44</v>
          </cell>
        </row>
        <row r="2813">
          <cell r="B2813" t="str">
            <v>8</v>
          </cell>
          <cell r="AN2813">
            <v>69.17</v>
          </cell>
          <cell r="AP2813">
            <v>44</v>
          </cell>
        </row>
        <row r="2814">
          <cell r="B2814" t="str">
            <v>8</v>
          </cell>
          <cell r="AN2814">
            <v>99.34</v>
          </cell>
          <cell r="AP2814">
            <v>44</v>
          </cell>
        </row>
        <row r="2815">
          <cell r="B2815" t="str">
            <v>8</v>
          </cell>
          <cell r="AN2815">
            <v>99.02</v>
          </cell>
          <cell r="AP2815">
            <v>44</v>
          </cell>
        </row>
        <row r="2816">
          <cell r="B2816" t="str">
            <v>8</v>
          </cell>
          <cell r="AN2816">
            <v>60.12</v>
          </cell>
          <cell r="AP2816">
            <v>44</v>
          </cell>
        </row>
        <row r="2817">
          <cell r="B2817" t="str">
            <v>8</v>
          </cell>
          <cell r="AN2817">
            <v>220</v>
          </cell>
          <cell r="AP2817">
            <v>44</v>
          </cell>
        </row>
        <row r="2818">
          <cell r="B2818" t="str">
            <v>8</v>
          </cell>
          <cell r="AN2818">
            <v>217.39999999999998</v>
          </cell>
          <cell r="AP2818">
            <v>44</v>
          </cell>
        </row>
        <row r="2819">
          <cell r="B2819" t="str">
            <v>1</v>
          </cell>
          <cell r="AN2819">
            <v>184.96</v>
          </cell>
          <cell r="AP2819">
            <v>45</v>
          </cell>
        </row>
        <row r="2820">
          <cell r="B2820" t="str">
            <v>1</v>
          </cell>
          <cell r="AN2820">
            <v>142.56</v>
          </cell>
          <cell r="AP2820">
            <v>45</v>
          </cell>
        </row>
        <row r="2821">
          <cell r="B2821" t="str">
            <v>2</v>
          </cell>
          <cell r="AN2821">
            <v>118.2</v>
          </cell>
          <cell r="AP2821">
            <v>45</v>
          </cell>
        </row>
        <row r="2822">
          <cell r="B2822" t="str">
            <v>2</v>
          </cell>
          <cell r="AN2822">
            <v>47.2</v>
          </cell>
          <cell r="AP2822">
            <v>45</v>
          </cell>
        </row>
        <row r="2823">
          <cell r="B2823" t="str">
            <v>2</v>
          </cell>
          <cell r="AN2823">
            <v>139.98000000000002</v>
          </cell>
          <cell r="AP2823">
            <v>45</v>
          </cell>
        </row>
        <row r="2824">
          <cell r="B2824" t="str">
            <v>3</v>
          </cell>
          <cell r="AN2824">
            <v>295</v>
          </cell>
          <cell r="AP2824">
            <v>45</v>
          </cell>
        </row>
        <row r="2825">
          <cell r="B2825" t="str">
            <v>3</v>
          </cell>
          <cell r="AN2825">
            <v>297.84000000000003</v>
          </cell>
          <cell r="AP2825">
            <v>45</v>
          </cell>
        </row>
        <row r="2826">
          <cell r="B2826" t="str">
            <v>4</v>
          </cell>
          <cell r="AN2826">
            <v>188.26</v>
          </cell>
          <cell r="AP2826">
            <v>45</v>
          </cell>
        </row>
        <row r="2827">
          <cell r="B2827" t="str">
            <v>4</v>
          </cell>
          <cell r="AN2827">
            <v>105.97999999999999</v>
          </cell>
          <cell r="AP2827">
            <v>45</v>
          </cell>
        </row>
        <row r="2828">
          <cell r="B2828" t="str">
            <v>6</v>
          </cell>
          <cell r="AN2828">
            <v>400.5</v>
          </cell>
          <cell r="AP2828">
            <v>45</v>
          </cell>
        </row>
        <row r="2829">
          <cell r="B2829" t="str">
            <v>6</v>
          </cell>
          <cell r="AN2829">
            <v>59.7</v>
          </cell>
          <cell r="AP2829">
            <v>45</v>
          </cell>
        </row>
        <row r="2830">
          <cell r="B2830" t="str">
            <v>6</v>
          </cell>
          <cell r="AN2830">
            <v>64.400000000000006</v>
          </cell>
          <cell r="AP2830">
            <v>45</v>
          </cell>
        </row>
        <row r="2831">
          <cell r="B2831" t="str">
            <v>6</v>
          </cell>
          <cell r="AN2831">
            <v>112.6</v>
          </cell>
          <cell r="AP2831">
            <v>45</v>
          </cell>
        </row>
        <row r="2832">
          <cell r="B2832" t="str">
            <v>6</v>
          </cell>
          <cell r="AN2832">
            <v>107.4</v>
          </cell>
          <cell r="AP2832">
            <v>45</v>
          </cell>
        </row>
        <row r="2833">
          <cell r="B2833" t="str">
            <v>6</v>
          </cell>
          <cell r="AN2833">
            <v>107.3</v>
          </cell>
          <cell r="AP2833">
            <v>45</v>
          </cell>
        </row>
        <row r="2834">
          <cell r="B2834" t="str">
            <v>6</v>
          </cell>
          <cell r="AN2834">
            <v>111.53999999999999</v>
          </cell>
          <cell r="AP2834">
            <v>45</v>
          </cell>
        </row>
        <row r="2835">
          <cell r="B2835" t="str">
            <v>7</v>
          </cell>
          <cell r="AN2835">
            <v>712.4</v>
          </cell>
          <cell r="AP2835">
            <v>45</v>
          </cell>
        </row>
        <row r="2836">
          <cell r="B2836" t="str">
            <v>7</v>
          </cell>
          <cell r="AN2836">
            <v>317.48</v>
          </cell>
          <cell r="AP2836">
            <v>45</v>
          </cell>
        </row>
        <row r="2837">
          <cell r="B2837" t="str">
            <v>7</v>
          </cell>
          <cell r="AN2837">
            <v>442.9</v>
          </cell>
          <cell r="AP2837">
            <v>45</v>
          </cell>
        </row>
        <row r="2838">
          <cell r="B2838" t="str">
            <v>8</v>
          </cell>
          <cell r="AN2838">
            <v>136.44</v>
          </cell>
          <cell r="AP2838">
            <v>45</v>
          </cell>
        </row>
        <row r="2839">
          <cell r="B2839" t="str">
            <v>8</v>
          </cell>
          <cell r="AN2839">
            <v>118.22</v>
          </cell>
          <cell r="AP2839">
            <v>45</v>
          </cell>
        </row>
        <row r="2840">
          <cell r="B2840" t="str">
            <v>8</v>
          </cell>
          <cell r="AN2840">
            <v>133.46</v>
          </cell>
          <cell r="AP2840">
            <v>45</v>
          </cell>
        </row>
        <row r="2841">
          <cell r="B2841" t="str">
            <v>8</v>
          </cell>
          <cell r="AN2841">
            <v>48.6</v>
          </cell>
          <cell r="AP2841">
            <v>45</v>
          </cell>
        </row>
        <row r="2842">
          <cell r="B2842" t="str">
            <v>8</v>
          </cell>
          <cell r="AN2842">
            <v>379.8</v>
          </cell>
          <cell r="AP2842">
            <v>45</v>
          </cell>
        </row>
        <row r="2843">
          <cell r="B2843" t="str">
            <v>2</v>
          </cell>
          <cell r="AN2843">
            <v>161.07999999999998</v>
          </cell>
          <cell r="AP2843">
            <v>45</v>
          </cell>
        </row>
        <row r="2844">
          <cell r="B2844" t="str">
            <v>2</v>
          </cell>
          <cell r="AN2844">
            <v>130.87</v>
          </cell>
          <cell r="AP2844">
            <v>45</v>
          </cell>
        </row>
        <row r="2845">
          <cell r="B2845" t="str">
            <v>2</v>
          </cell>
          <cell r="AN2845">
            <v>40.700000000000003</v>
          </cell>
          <cell r="AP2845">
            <v>45</v>
          </cell>
        </row>
        <row r="2846">
          <cell r="B2846" t="str">
            <v>3</v>
          </cell>
          <cell r="AN2846">
            <v>323.10000000000002</v>
          </cell>
          <cell r="AP2846">
            <v>45</v>
          </cell>
        </row>
        <row r="2847">
          <cell r="B2847" t="str">
            <v>3</v>
          </cell>
          <cell r="AN2847">
            <v>288.27000000000004</v>
          </cell>
          <cell r="AP2847">
            <v>45</v>
          </cell>
        </row>
        <row r="2848">
          <cell r="B2848" t="str">
            <v>6</v>
          </cell>
          <cell r="AN2848">
            <v>149.69999999999999</v>
          </cell>
          <cell r="AP2848">
            <v>45</v>
          </cell>
        </row>
        <row r="2849">
          <cell r="B2849" t="str">
            <v>6</v>
          </cell>
          <cell r="AN2849">
            <v>212.00000000000003</v>
          </cell>
          <cell r="AP2849">
            <v>45</v>
          </cell>
        </row>
        <row r="2850">
          <cell r="B2850" t="str">
            <v>6</v>
          </cell>
          <cell r="AN2850">
            <v>111.8</v>
          </cell>
          <cell r="AP2850">
            <v>45</v>
          </cell>
        </row>
        <row r="2851">
          <cell r="B2851" t="str">
            <v>6</v>
          </cell>
          <cell r="AN2851">
            <v>57</v>
          </cell>
          <cell r="AP2851">
            <v>45</v>
          </cell>
        </row>
        <row r="2852">
          <cell r="B2852" t="str">
            <v>6</v>
          </cell>
          <cell r="AN2852">
            <v>67.3</v>
          </cell>
          <cell r="AP2852">
            <v>45</v>
          </cell>
        </row>
        <row r="2853">
          <cell r="B2853" t="str">
            <v>6</v>
          </cell>
          <cell r="AN2853">
            <v>233.6</v>
          </cell>
          <cell r="AP2853">
            <v>45</v>
          </cell>
        </row>
        <row r="2854">
          <cell r="B2854" t="str">
            <v>6</v>
          </cell>
          <cell r="AN2854">
            <v>239.95</v>
          </cell>
          <cell r="AP2854">
            <v>45</v>
          </cell>
        </row>
        <row r="2855">
          <cell r="B2855" t="str">
            <v>7</v>
          </cell>
          <cell r="AN2855">
            <v>756.4</v>
          </cell>
          <cell r="AP2855">
            <v>45</v>
          </cell>
        </row>
        <row r="2856">
          <cell r="B2856" t="str">
            <v>7</v>
          </cell>
          <cell r="AN2856">
            <v>788.00000000000011</v>
          </cell>
          <cell r="AP2856">
            <v>45</v>
          </cell>
        </row>
        <row r="2857">
          <cell r="B2857" t="str">
            <v>8</v>
          </cell>
          <cell r="AN2857">
            <v>152.60000000000002</v>
          </cell>
          <cell r="AP2857">
            <v>45</v>
          </cell>
        </row>
        <row r="2858">
          <cell r="B2858" t="str">
            <v>8</v>
          </cell>
          <cell r="AN2858">
            <v>109.3</v>
          </cell>
          <cell r="AP2858">
            <v>45</v>
          </cell>
        </row>
        <row r="2859">
          <cell r="B2859" t="str">
            <v>8</v>
          </cell>
          <cell r="AN2859">
            <v>34.4</v>
          </cell>
          <cell r="AP2859">
            <v>45</v>
          </cell>
        </row>
        <row r="2860">
          <cell r="B2860" t="str">
            <v>8</v>
          </cell>
          <cell r="AN2860">
            <v>150.57000000000002</v>
          </cell>
          <cell r="AP2860">
            <v>45</v>
          </cell>
        </row>
        <row r="2861">
          <cell r="B2861" t="str">
            <v>8</v>
          </cell>
          <cell r="AN2861">
            <v>219</v>
          </cell>
          <cell r="AP2861">
            <v>45</v>
          </cell>
        </row>
        <row r="2862">
          <cell r="B2862" t="str">
            <v>2</v>
          </cell>
          <cell r="AP2862">
            <v>45</v>
          </cell>
        </row>
        <row r="2863">
          <cell r="B2863" t="str">
            <v>2</v>
          </cell>
          <cell r="AP2863">
            <v>45</v>
          </cell>
        </row>
        <row r="2864">
          <cell r="B2864" t="str">
            <v>5</v>
          </cell>
          <cell r="AP2864">
            <v>45</v>
          </cell>
        </row>
        <row r="2865">
          <cell r="B2865" t="str">
            <v>7</v>
          </cell>
          <cell r="AP2865">
            <v>45</v>
          </cell>
        </row>
        <row r="2866">
          <cell r="B2866" t="str">
            <v>8</v>
          </cell>
          <cell r="AP2866">
            <v>45</v>
          </cell>
        </row>
        <row r="2867">
          <cell r="B2867" t="str">
            <v>2</v>
          </cell>
          <cell r="AN2867">
            <v>50</v>
          </cell>
          <cell r="AP2867">
            <v>45</v>
          </cell>
        </row>
        <row r="2868">
          <cell r="B2868" t="str">
            <v>2</v>
          </cell>
          <cell r="AN2868">
            <v>50</v>
          </cell>
          <cell r="AP2868">
            <v>45</v>
          </cell>
        </row>
        <row r="2869">
          <cell r="B2869" t="str">
            <v>2</v>
          </cell>
          <cell r="AN2869">
            <v>37.200000000000003</v>
          </cell>
          <cell r="AP2869">
            <v>45</v>
          </cell>
        </row>
        <row r="2870">
          <cell r="B2870" t="str">
            <v>2</v>
          </cell>
          <cell r="AN2870">
            <v>100</v>
          </cell>
          <cell r="AP2870">
            <v>45</v>
          </cell>
        </row>
        <row r="2871">
          <cell r="B2871" t="str">
            <v>3</v>
          </cell>
          <cell r="AN2871">
            <v>158.05000000000001</v>
          </cell>
          <cell r="AP2871">
            <v>45</v>
          </cell>
        </row>
        <row r="2872">
          <cell r="B2872" t="str">
            <v>3</v>
          </cell>
          <cell r="AN2872">
            <v>138.16999999999999</v>
          </cell>
          <cell r="AP2872">
            <v>45</v>
          </cell>
        </row>
        <row r="2873">
          <cell r="B2873" t="str">
            <v>3</v>
          </cell>
          <cell r="AN2873">
            <v>167.7</v>
          </cell>
          <cell r="AP2873">
            <v>45</v>
          </cell>
        </row>
        <row r="2874">
          <cell r="B2874" t="str">
            <v>3</v>
          </cell>
          <cell r="AN2874">
            <v>88.8</v>
          </cell>
          <cell r="AP2874">
            <v>45</v>
          </cell>
        </row>
        <row r="2875">
          <cell r="B2875" t="str">
            <v>6</v>
          </cell>
          <cell r="AN2875">
            <v>348.2</v>
          </cell>
          <cell r="AP2875">
            <v>45</v>
          </cell>
        </row>
        <row r="2876">
          <cell r="B2876" t="str">
            <v>6</v>
          </cell>
          <cell r="AN2876">
            <v>153.4</v>
          </cell>
          <cell r="AP2876">
            <v>45</v>
          </cell>
        </row>
        <row r="2877">
          <cell r="B2877" t="str">
            <v>6</v>
          </cell>
          <cell r="AN2877">
            <v>104.5</v>
          </cell>
          <cell r="AP2877">
            <v>45</v>
          </cell>
        </row>
        <row r="2878">
          <cell r="B2878" t="str">
            <v>6</v>
          </cell>
          <cell r="AN2878">
            <v>109.15</v>
          </cell>
          <cell r="AP2878">
            <v>45</v>
          </cell>
        </row>
        <row r="2879">
          <cell r="B2879" t="str">
            <v>6</v>
          </cell>
          <cell r="AN2879">
            <v>263.45</v>
          </cell>
          <cell r="AP2879">
            <v>45</v>
          </cell>
        </row>
        <row r="2880">
          <cell r="B2880" t="str">
            <v>7</v>
          </cell>
          <cell r="AN2880">
            <v>139.74</v>
          </cell>
          <cell r="AP2880">
            <v>45</v>
          </cell>
        </row>
        <row r="2881">
          <cell r="B2881" t="str">
            <v>7</v>
          </cell>
          <cell r="AN2881">
            <v>142.05999999999997</v>
          </cell>
          <cell r="AP2881">
            <v>45</v>
          </cell>
        </row>
        <row r="2882">
          <cell r="B2882" t="str">
            <v>7</v>
          </cell>
          <cell r="AN2882">
            <v>106.95</v>
          </cell>
          <cell r="AP2882">
            <v>45</v>
          </cell>
        </row>
        <row r="2883">
          <cell r="B2883" t="str">
            <v>7</v>
          </cell>
          <cell r="AN2883">
            <v>56</v>
          </cell>
          <cell r="AP2883">
            <v>45</v>
          </cell>
        </row>
        <row r="2884">
          <cell r="B2884" t="str">
            <v>7</v>
          </cell>
          <cell r="AN2884">
            <v>73.150000000000006</v>
          </cell>
          <cell r="AP2884">
            <v>45</v>
          </cell>
        </row>
        <row r="2885">
          <cell r="B2885" t="str">
            <v>7</v>
          </cell>
          <cell r="AN2885">
            <v>47.79</v>
          </cell>
          <cell r="AP2885">
            <v>45</v>
          </cell>
        </row>
        <row r="2886">
          <cell r="B2886" t="str">
            <v>7</v>
          </cell>
          <cell r="AN2886">
            <v>115.6</v>
          </cell>
          <cell r="AP2886">
            <v>45</v>
          </cell>
        </row>
        <row r="2887">
          <cell r="B2887" t="str">
            <v>7</v>
          </cell>
          <cell r="AN2887">
            <v>46.2</v>
          </cell>
          <cell r="AP2887">
            <v>45</v>
          </cell>
        </row>
        <row r="2888">
          <cell r="B2888" t="str">
            <v>7</v>
          </cell>
          <cell r="AN2888">
            <v>114.66</v>
          </cell>
          <cell r="AP2888">
            <v>45</v>
          </cell>
        </row>
        <row r="2889">
          <cell r="B2889" t="str">
            <v>7</v>
          </cell>
          <cell r="AN2889">
            <v>124.74000000000001</v>
          </cell>
          <cell r="AP2889">
            <v>45</v>
          </cell>
        </row>
        <row r="2890">
          <cell r="B2890" t="str">
            <v>7</v>
          </cell>
          <cell r="AN2890">
            <v>201.7</v>
          </cell>
          <cell r="AP2890">
            <v>45</v>
          </cell>
        </row>
        <row r="2891">
          <cell r="B2891" t="str">
            <v>8</v>
          </cell>
          <cell r="AN2891">
            <v>415.8</v>
          </cell>
          <cell r="AP2891">
            <v>45</v>
          </cell>
        </row>
        <row r="2892">
          <cell r="B2892" t="str">
            <v>8</v>
          </cell>
          <cell r="AN2892">
            <v>66.2</v>
          </cell>
          <cell r="AP2892">
            <v>45</v>
          </cell>
        </row>
        <row r="2893">
          <cell r="B2893" t="str">
            <v>8</v>
          </cell>
          <cell r="AN2893">
            <v>60.96</v>
          </cell>
          <cell r="AP2893">
            <v>45</v>
          </cell>
        </row>
        <row r="2894">
          <cell r="B2894" t="str">
            <v>8</v>
          </cell>
          <cell r="AN2894">
            <v>86.56</v>
          </cell>
          <cell r="AP2894">
            <v>45</v>
          </cell>
        </row>
        <row r="2895">
          <cell r="B2895" t="str">
            <v>8</v>
          </cell>
          <cell r="AN2895">
            <v>119.05000000000001</v>
          </cell>
          <cell r="AP2895">
            <v>45</v>
          </cell>
        </row>
        <row r="2896">
          <cell r="B2896" t="str">
            <v>8</v>
          </cell>
          <cell r="AN2896">
            <v>62.72</v>
          </cell>
          <cell r="AP2896">
            <v>45</v>
          </cell>
        </row>
        <row r="2897">
          <cell r="B2897" t="str">
            <v>8</v>
          </cell>
          <cell r="AN2897">
            <v>49.9</v>
          </cell>
          <cell r="AP2897">
            <v>45</v>
          </cell>
        </row>
        <row r="2898">
          <cell r="B2898" t="str">
            <v>2</v>
          </cell>
          <cell r="AN2898">
            <v>100</v>
          </cell>
          <cell r="AP2898">
            <v>45</v>
          </cell>
        </row>
        <row r="2899">
          <cell r="B2899" t="str">
            <v>2</v>
          </cell>
          <cell r="AN2899">
            <v>50</v>
          </cell>
          <cell r="AP2899">
            <v>45</v>
          </cell>
        </row>
        <row r="2900">
          <cell r="B2900" t="str">
            <v>2</v>
          </cell>
          <cell r="AN2900">
            <v>194.3</v>
          </cell>
          <cell r="AP2900">
            <v>45</v>
          </cell>
        </row>
        <row r="2901">
          <cell r="B2901" t="str">
            <v>3</v>
          </cell>
          <cell r="AN2901">
            <v>448.49999999999994</v>
          </cell>
          <cell r="AP2901">
            <v>45</v>
          </cell>
        </row>
        <row r="2902">
          <cell r="B2902" t="str">
            <v>4</v>
          </cell>
          <cell r="AN2902">
            <v>179.45</v>
          </cell>
          <cell r="AP2902">
            <v>45</v>
          </cell>
        </row>
        <row r="2903">
          <cell r="B2903" t="str">
            <v>5</v>
          </cell>
          <cell r="AN2903">
            <v>496.7</v>
          </cell>
          <cell r="AP2903">
            <v>45</v>
          </cell>
        </row>
        <row r="2904">
          <cell r="B2904" t="str">
            <v>5</v>
          </cell>
          <cell r="AN2904">
            <v>41.3</v>
          </cell>
          <cell r="AP2904">
            <v>45</v>
          </cell>
        </row>
        <row r="2905">
          <cell r="B2905" t="str">
            <v>5</v>
          </cell>
          <cell r="AN2905">
            <v>204.15</v>
          </cell>
          <cell r="AP2905">
            <v>45</v>
          </cell>
        </row>
        <row r="2906">
          <cell r="B2906" t="str">
            <v>5</v>
          </cell>
          <cell r="AN2906">
            <v>129.05000000000001</v>
          </cell>
          <cell r="AP2906">
            <v>45</v>
          </cell>
        </row>
        <row r="2907">
          <cell r="B2907" t="str">
            <v>7</v>
          </cell>
          <cell r="AN2907">
            <v>383.38</v>
          </cell>
          <cell r="AP2907">
            <v>45</v>
          </cell>
        </row>
        <row r="2908">
          <cell r="B2908" t="str">
            <v>7</v>
          </cell>
          <cell r="AN2908">
            <v>367.36</v>
          </cell>
          <cell r="AP2908">
            <v>45</v>
          </cell>
        </row>
        <row r="2909">
          <cell r="B2909" t="str">
            <v>7</v>
          </cell>
          <cell r="AN2909">
            <v>454.22</v>
          </cell>
          <cell r="AP2909">
            <v>45</v>
          </cell>
        </row>
        <row r="2910">
          <cell r="B2910" t="str">
            <v>7</v>
          </cell>
          <cell r="AN2910">
            <v>465.99999999999994</v>
          </cell>
          <cell r="AP2910">
            <v>45</v>
          </cell>
        </row>
        <row r="2911">
          <cell r="B2911" t="str">
            <v>8</v>
          </cell>
          <cell r="AN2911">
            <v>218.4</v>
          </cell>
          <cell r="AP2911">
            <v>45</v>
          </cell>
        </row>
        <row r="2912">
          <cell r="B2912" t="str">
            <v>8</v>
          </cell>
          <cell r="AN2912">
            <v>54.4</v>
          </cell>
          <cell r="AP2912">
            <v>45</v>
          </cell>
        </row>
        <row r="2913">
          <cell r="B2913" t="str">
            <v>8</v>
          </cell>
          <cell r="AN2913">
            <v>78.8</v>
          </cell>
          <cell r="AP2913">
            <v>45</v>
          </cell>
        </row>
        <row r="2914">
          <cell r="B2914" t="str">
            <v>8</v>
          </cell>
          <cell r="AN2914">
            <v>62.8</v>
          </cell>
          <cell r="AP2914">
            <v>45</v>
          </cell>
        </row>
        <row r="2915">
          <cell r="B2915" t="str">
            <v>8</v>
          </cell>
          <cell r="AN2915">
            <v>56.07</v>
          </cell>
          <cell r="AP2915">
            <v>45</v>
          </cell>
        </row>
        <row r="2916">
          <cell r="B2916" t="str">
            <v>8</v>
          </cell>
          <cell r="AN2916">
            <v>106.82</v>
          </cell>
          <cell r="AP2916">
            <v>45</v>
          </cell>
        </row>
        <row r="2917">
          <cell r="B2917" t="str">
            <v>8</v>
          </cell>
          <cell r="AN2917">
            <v>110.88</v>
          </cell>
          <cell r="AP2917">
            <v>45</v>
          </cell>
        </row>
        <row r="2918">
          <cell r="B2918" t="str">
            <v>8</v>
          </cell>
          <cell r="AN2918">
            <v>184.49</v>
          </cell>
          <cell r="AP2918">
            <v>45</v>
          </cell>
        </row>
        <row r="2919">
          <cell r="B2919" t="str">
            <v>2</v>
          </cell>
          <cell r="AN2919">
            <v>176.4</v>
          </cell>
          <cell r="AP2919">
            <v>45</v>
          </cell>
        </row>
        <row r="2920">
          <cell r="B2920" t="str">
            <v>2</v>
          </cell>
          <cell r="AN2920">
            <v>106.3</v>
          </cell>
          <cell r="AP2920">
            <v>45</v>
          </cell>
        </row>
        <row r="2921">
          <cell r="B2921" t="str">
            <v>2</v>
          </cell>
          <cell r="AN2921">
            <v>62.900000000000006</v>
          </cell>
          <cell r="AP2921">
            <v>45</v>
          </cell>
        </row>
        <row r="2922">
          <cell r="B2922" t="str">
            <v>3</v>
          </cell>
          <cell r="AN2922">
            <v>82.9</v>
          </cell>
          <cell r="AP2922">
            <v>45</v>
          </cell>
        </row>
        <row r="2923">
          <cell r="B2923" t="str">
            <v>3</v>
          </cell>
          <cell r="AN2923">
            <v>417.10000000000008</v>
          </cell>
          <cell r="AP2923">
            <v>45</v>
          </cell>
        </row>
        <row r="2924">
          <cell r="B2924" t="str">
            <v>3</v>
          </cell>
          <cell r="AN2924">
            <v>127.5</v>
          </cell>
          <cell r="AP2924">
            <v>45</v>
          </cell>
        </row>
        <row r="2925">
          <cell r="B2925" t="str">
            <v>3</v>
          </cell>
          <cell r="AN2925">
            <v>227.79999999999998</v>
          </cell>
          <cell r="AP2925">
            <v>45</v>
          </cell>
        </row>
        <row r="2926">
          <cell r="B2926" t="str">
            <v>4</v>
          </cell>
          <cell r="AN2926">
            <v>343.29999999999995</v>
          </cell>
          <cell r="AP2926">
            <v>45</v>
          </cell>
        </row>
        <row r="2927">
          <cell r="B2927" t="str">
            <v>4</v>
          </cell>
          <cell r="AN2927">
            <v>317.7</v>
          </cell>
          <cell r="AP2927">
            <v>45</v>
          </cell>
        </row>
        <row r="2928">
          <cell r="B2928" t="str">
            <v>5</v>
          </cell>
          <cell r="AN2928">
            <v>104.30000000000001</v>
          </cell>
          <cell r="AP2928">
            <v>45</v>
          </cell>
        </row>
        <row r="2929">
          <cell r="B2929" t="str">
            <v>5</v>
          </cell>
          <cell r="AN2929">
            <v>249.7</v>
          </cell>
          <cell r="AP2929">
            <v>45</v>
          </cell>
        </row>
        <row r="2930">
          <cell r="B2930" t="str">
            <v>5</v>
          </cell>
          <cell r="AN2930">
            <v>242.00000000000003</v>
          </cell>
          <cell r="AP2930">
            <v>45</v>
          </cell>
        </row>
        <row r="2931">
          <cell r="B2931" t="str">
            <v>5</v>
          </cell>
          <cell r="AN2931">
            <v>69</v>
          </cell>
          <cell r="AP2931">
            <v>45</v>
          </cell>
        </row>
        <row r="2932">
          <cell r="B2932" t="str">
            <v>7</v>
          </cell>
          <cell r="AN2932">
            <v>856.90000000000009</v>
          </cell>
          <cell r="AP2932">
            <v>45</v>
          </cell>
        </row>
        <row r="2933">
          <cell r="B2933" t="str">
            <v>7</v>
          </cell>
          <cell r="AN2933">
            <v>820.39999999999986</v>
          </cell>
          <cell r="AP2933">
            <v>45</v>
          </cell>
        </row>
        <row r="2934">
          <cell r="B2934" t="str">
            <v>8</v>
          </cell>
          <cell r="AN2934">
            <v>430.20000000000005</v>
          </cell>
          <cell r="AP2934">
            <v>45</v>
          </cell>
        </row>
        <row r="2935">
          <cell r="B2935" t="str">
            <v>8</v>
          </cell>
          <cell r="AN2935">
            <v>236.61</v>
          </cell>
          <cell r="AP2935">
            <v>45</v>
          </cell>
        </row>
        <row r="2936">
          <cell r="B2936" t="str">
            <v>8</v>
          </cell>
          <cell r="AN2936">
            <v>69.14</v>
          </cell>
          <cell r="AP2936">
            <v>45</v>
          </cell>
        </row>
        <row r="2937">
          <cell r="B2937" t="str">
            <v>8</v>
          </cell>
          <cell r="AN2937">
            <v>177.82</v>
          </cell>
          <cell r="AP2937">
            <v>45</v>
          </cell>
        </row>
        <row r="2938">
          <cell r="B2938" t="str">
            <v>2</v>
          </cell>
          <cell r="AN2938">
            <v>62</v>
          </cell>
          <cell r="AP2938">
            <v>45</v>
          </cell>
        </row>
        <row r="2939">
          <cell r="B2939" t="str">
            <v>2</v>
          </cell>
          <cell r="AN2939">
            <v>112.2</v>
          </cell>
          <cell r="AP2939">
            <v>45</v>
          </cell>
        </row>
        <row r="2940">
          <cell r="B2940" t="str">
            <v>2</v>
          </cell>
          <cell r="AN2940">
            <v>167.6</v>
          </cell>
          <cell r="AP2940">
            <v>45</v>
          </cell>
        </row>
        <row r="2941">
          <cell r="B2941" t="str">
            <v>3</v>
          </cell>
          <cell r="AN2941">
            <v>327.9</v>
          </cell>
          <cell r="AP2941">
            <v>45</v>
          </cell>
        </row>
        <row r="2942">
          <cell r="B2942" t="str">
            <v>3</v>
          </cell>
          <cell r="AN2942">
            <v>119.4</v>
          </cell>
          <cell r="AP2942">
            <v>45</v>
          </cell>
        </row>
        <row r="2943">
          <cell r="B2943" t="str">
            <v>3</v>
          </cell>
          <cell r="AN2943">
            <v>263.70000000000005</v>
          </cell>
          <cell r="AP2943">
            <v>45</v>
          </cell>
        </row>
        <row r="2944">
          <cell r="B2944" t="str">
            <v>4</v>
          </cell>
          <cell r="AN2944">
            <v>114.19999999999999</v>
          </cell>
          <cell r="AP2944">
            <v>45</v>
          </cell>
        </row>
        <row r="2945">
          <cell r="B2945" t="str">
            <v>4</v>
          </cell>
          <cell r="AN2945">
            <v>114</v>
          </cell>
          <cell r="AP2945">
            <v>45</v>
          </cell>
        </row>
        <row r="2946">
          <cell r="B2946" t="str">
            <v>4</v>
          </cell>
          <cell r="AN2946">
            <v>76.099999999999994</v>
          </cell>
          <cell r="AP2946">
            <v>45</v>
          </cell>
        </row>
        <row r="2947">
          <cell r="B2947" t="str">
            <v>4</v>
          </cell>
          <cell r="AN2947">
            <v>38.700000000000003</v>
          </cell>
          <cell r="AP2947">
            <v>45</v>
          </cell>
        </row>
        <row r="2948">
          <cell r="B2948" t="str">
            <v>4</v>
          </cell>
          <cell r="AN2948">
            <v>168.8</v>
          </cell>
          <cell r="AP2948">
            <v>45</v>
          </cell>
        </row>
        <row r="2949">
          <cell r="B2949" t="str">
            <v>4</v>
          </cell>
          <cell r="AN2949">
            <v>124.9</v>
          </cell>
          <cell r="AP2949">
            <v>45</v>
          </cell>
        </row>
        <row r="2950">
          <cell r="B2950" t="str">
            <v>4</v>
          </cell>
          <cell r="AN2950">
            <v>59.65</v>
          </cell>
          <cell r="AP2950">
            <v>45</v>
          </cell>
        </row>
        <row r="2951">
          <cell r="B2951" t="str">
            <v>5</v>
          </cell>
          <cell r="AN2951">
            <v>362.29999999999995</v>
          </cell>
          <cell r="AP2951">
            <v>45</v>
          </cell>
        </row>
        <row r="2952">
          <cell r="B2952" t="str">
            <v>5</v>
          </cell>
          <cell r="AN2952">
            <v>205.1</v>
          </cell>
          <cell r="AP2952">
            <v>45</v>
          </cell>
        </row>
        <row r="2953">
          <cell r="B2953" t="str">
            <v>5</v>
          </cell>
          <cell r="AN2953">
            <v>188.64999999999998</v>
          </cell>
          <cell r="AP2953">
            <v>45</v>
          </cell>
        </row>
        <row r="2954">
          <cell r="B2954" t="str">
            <v>7</v>
          </cell>
          <cell r="AN2954">
            <v>872.96999999999991</v>
          </cell>
          <cell r="AP2954">
            <v>45</v>
          </cell>
        </row>
        <row r="2955">
          <cell r="B2955" t="str">
            <v>7</v>
          </cell>
          <cell r="AN2955">
            <v>927.07999999999993</v>
          </cell>
          <cell r="AP2955">
            <v>45</v>
          </cell>
        </row>
        <row r="2956">
          <cell r="B2956" t="str">
            <v>8</v>
          </cell>
          <cell r="AN2956">
            <v>435.40000000000009</v>
          </cell>
          <cell r="AP2956">
            <v>45</v>
          </cell>
        </row>
        <row r="2957">
          <cell r="B2957" t="str">
            <v>8</v>
          </cell>
          <cell r="AN2957">
            <v>79.2</v>
          </cell>
          <cell r="AP2957">
            <v>45</v>
          </cell>
        </row>
        <row r="2958">
          <cell r="B2958" t="str">
            <v>8</v>
          </cell>
          <cell r="AN2958">
            <v>212.35</v>
          </cell>
          <cell r="AP2958">
            <v>45</v>
          </cell>
        </row>
        <row r="2959">
          <cell r="B2959" t="str">
            <v>8</v>
          </cell>
          <cell r="AN2959">
            <v>54.83</v>
          </cell>
          <cell r="AP2959">
            <v>45</v>
          </cell>
        </row>
        <row r="2960">
          <cell r="B2960" t="str">
            <v>8</v>
          </cell>
          <cell r="AN2960">
            <v>54.51</v>
          </cell>
          <cell r="AP2960">
            <v>45</v>
          </cell>
        </row>
        <row r="2961">
          <cell r="B2961" t="str">
            <v>2</v>
          </cell>
          <cell r="AN2961">
            <v>170.72</v>
          </cell>
          <cell r="AP2961">
            <v>45</v>
          </cell>
        </row>
        <row r="2962">
          <cell r="B2962" t="str">
            <v>2</v>
          </cell>
          <cell r="AN2962">
            <v>46.1</v>
          </cell>
          <cell r="AP2962">
            <v>45</v>
          </cell>
        </row>
        <row r="2963">
          <cell r="B2963" t="str">
            <v>2</v>
          </cell>
          <cell r="AN2963">
            <v>105.5</v>
          </cell>
          <cell r="AP2963">
            <v>45</v>
          </cell>
        </row>
        <row r="2964">
          <cell r="B2964" t="str">
            <v>3</v>
          </cell>
          <cell r="AN2964">
            <v>260.38</v>
          </cell>
          <cell r="AP2964">
            <v>45</v>
          </cell>
        </row>
        <row r="2965">
          <cell r="B2965" t="str">
            <v>4</v>
          </cell>
          <cell r="AN2965">
            <v>138.30000000000001</v>
          </cell>
          <cell r="AP2965">
            <v>45</v>
          </cell>
        </row>
        <row r="2966">
          <cell r="B2966" t="str">
            <v>4</v>
          </cell>
          <cell r="AN2966">
            <v>124</v>
          </cell>
          <cell r="AP2966">
            <v>45</v>
          </cell>
        </row>
        <row r="2967">
          <cell r="B2967" t="str">
            <v>4</v>
          </cell>
          <cell r="AN2967">
            <v>80</v>
          </cell>
          <cell r="AP2967">
            <v>45</v>
          </cell>
        </row>
        <row r="2968">
          <cell r="B2968" t="str">
            <v>4</v>
          </cell>
          <cell r="AN2968">
            <v>115</v>
          </cell>
          <cell r="AP2968">
            <v>45</v>
          </cell>
        </row>
        <row r="2969">
          <cell r="B2969" t="str">
            <v>4</v>
          </cell>
          <cell r="AN2969">
            <v>114.44999999999999</v>
          </cell>
          <cell r="AP2969">
            <v>45</v>
          </cell>
        </row>
        <row r="2970">
          <cell r="B2970" t="str">
            <v>4</v>
          </cell>
          <cell r="AN2970">
            <v>51.9</v>
          </cell>
          <cell r="AP2970">
            <v>45</v>
          </cell>
        </row>
        <row r="2971">
          <cell r="B2971" t="str">
            <v>4</v>
          </cell>
          <cell r="AN2971">
            <v>56.3</v>
          </cell>
          <cell r="AP2971">
            <v>45</v>
          </cell>
        </row>
        <row r="2972">
          <cell r="B2972" t="str">
            <v>5</v>
          </cell>
          <cell r="AN2972">
            <v>72.7</v>
          </cell>
          <cell r="AP2972">
            <v>45</v>
          </cell>
        </row>
        <row r="2973">
          <cell r="B2973" t="str">
            <v>5</v>
          </cell>
          <cell r="AN2973">
            <v>258.5</v>
          </cell>
          <cell r="AP2973">
            <v>45</v>
          </cell>
        </row>
        <row r="2974">
          <cell r="B2974" t="str">
            <v>5</v>
          </cell>
          <cell r="AN2974">
            <v>135.85</v>
          </cell>
          <cell r="AP2974">
            <v>45</v>
          </cell>
        </row>
        <row r="2975">
          <cell r="B2975" t="str">
            <v>5</v>
          </cell>
          <cell r="AN2975">
            <v>191.7</v>
          </cell>
          <cell r="AP2975">
            <v>45</v>
          </cell>
        </row>
        <row r="2976">
          <cell r="B2976" t="str">
            <v>7</v>
          </cell>
          <cell r="AN2976">
            <v>851.3</v>
          </cell>
          <cell r="AP2976">
            <v>45</v>
          </cell>
        </row>
        <row r="2977">
          <cell r="B2977" t="str">
            <v>7</v>
          </cell>
          <cell r="AN2977">
            <v>1143.97</v>
          </cell>
          <cell r="AP2977">
            <v>45</v>
          </cell>
        </row>
        <row r="2978">
          <cell r="B2978" t="str">
            <v>8</v>
          </cell>
          <cell r="AN2978">
            <v>253.4</v>
          </cell>
          <cell r="AP2978">
            <v>45</v>
          </cell>
        </row>
        <row r="2979">
          <cell r="B2979" t="str">
            <v>8</v>
          </cell>
          <cell r="AN2979">
            <v>290.90999999999997</v>
          </cell>
          <cell r="AP2979">
            <v>45</v>
          </cell>
        </row>
        <row r="2980">
          <cell r="B2980" t="str">
            <v>2</v>
          </cell>
          <cell r="AN2980">
            <v>64.8</v>
          </cell>
          <cell r="AP2980">
            <v>45</v>
          </cell>
        </row>
        <row r="2981">
          <cell r="B2981" t="str">
            <v>2</v>
          </cell>
          <cell r="AN2981">
            <v>52.2</v>
          </cell>
          <cell r="AP2981">
            <v>45</v>
          </cell>
        </row>
        <row r="2982">
          <cell r="B2982" t="str">
            <v>2</v>
          </cell>
          <cell r="AN2982">
            <v>52</v>
          </cell>
          <cell r="AP2982">
            <v>45</v>
          </cell>
        </row>
        <row r="2983">
          <cell r="B2983" t="str">
            <v>2</v>
          </cell>
          <cell r="AN2983">
            <v>68.599999999999994</v>
          </cell>
          <cell r="AP2983">
            <v>45</v>
          </cell>
        </row>
        <row r="2984">
          <cell r="B2984" t="str">
            <v>2</v>
          </cell>
          <cell r="AN2984">
            <v>87.58</v>
          </cell>
          <cell r="AP2984">
            <v>45</v>
          </cell>
        </row>
        <row r="2985">
          <cell r="B2985" t="str">
            <v>4</v>
          </cell>
          <cell r="AN2985">
            <v>60.8</v>
          </cell>
          <cell r="AP2985">
            <v>45</v>
          </cell>
        </row>
        <row r="2986">
          <cell r="B2986" t="str">
            <v>4</v>
          </cell>
          <cell r="AN2986">
            <v>120.9</v>
          </cell>
          <cell r="AP2986">
            <v>45</v>
          </cell>
        </row>
        <row r="2987">
          <cell r="B2987" t="str">
            <v>4</v>
          </cell>
          <cell r="AN2987">
            <v>116.4</v>
          </cell>
          <cell r="AP2987">
            <v>45</v>
          </cell>
        </row>
        <row r="2988">
          <cell r="B2988" t="str">
            <v>4</v>
          </cell>
          <cell r="AN2988">
            <v>125.3</v>
          </cell>
          <cell r="AP2988">
            <v>45</v>
          </cell>
        </row>
        <row r="2989">
          <cell r="B2989" t="str">
            <v>4</v>
          </cell>
          <cell r="AN2989">
            <v>578.03</v>
          </cell>
          <cell r="AP2989">
            <v>45</v>
          </cell>
        </row>
        <row r="2990">
          <cell r="B2990" t="str">
            <v>5</v>
          </cell>
          <cell r="AN2990">
            <v>159.80000000000001</v>
          </cell>
          <cell r="AP2990">
            <v>45</v>
          </cell>
        </row>
        <row r="2991">
          <cell r="B2991" t="str">
            <v>5</v>
          </cell>
          <cell r="AN2991">
            <v>70.400000000000006</v>
          </cell>
          <cell r="AP2991">
            <v>45</v>
          </cell>
        </row>
        <row r="2992">
          <cell r="B2992" t="str">
            <v>5</v>
          </cell>
          <cell r="AN2992">
            <v>83</v>
          </cell>
          <cell r="AP2992">
            <v>45</v>
          </cell>
        </row>
        <row r="2993">
          <cell r="B2993" t="str">
            <v>5</v>
          </cell>
          <cell r="AN2993">
            <v>164.75</v>
          </cell>
          <cell r="AP2993">
            <v>45</v>
          </cell>
        </row>
        <row r="2994">
          <cell r="B2994" t="str">
            <v>5</v>
          </cell>
          <cell r="AN2994">
            <v>66.599999999999994</v>
          </cell>
          <cell r="AP2994">
            <v>45</v>
          </cell>
        </row>
        <row r="2995">
          <cell r="B2995" t="str">
            <v>5</v>
          </cell>
          <cell r="AN2995">
            <v>197.41</v>
          </cell>
          <cell r="AP2995">
            <v>45</v>
          </cell>
        </row>
        <row r="2996">
          <cell r="B2996" t="str">
            <v>7</v>
          </cell>
          <cell r="AN2996">
            <v>968.5</v>
          </cell>
          <cell r="AP2996">
            <v>45</v>
          </cell>
        </row>
        <row r="2997">
          <cell r="B2997" t="str">
            <v>7</v>
          </cell>
          <cell r="AN2997">
            <v>923.5</v>
          </cell>
          <cell r="AP2997">
            <v>45</v>
          </cell>
        </row>
        <row r="2998">
          <cell r="B2998" t="str">
            <v>8</v>
          </cell>
          <cell r="AN2998">
            <v>257.04999999999995</v>
          </cell>
          <cell r="AP2998">
            <v>45</v>
          </cell>
        </row>
        <row r="2999">
          <cell r="B2999" t="str">
            <v>8</v>
          </cell>
          <cell r="AN2999">
            <v>57.55</v>
          </cell>
          <cell r="AP2999">
            <v>45</v>
          </cell>
        </row>
        <row r="3000">
          <cell r="B3000" t="str">
            <v>8</v>
          </cell>
          <cell r="AN3000">
            <v>112.1</v>
          </cell>
          <cell r="AP3000">
            <v>45</v>
          </cell>
        </row>
        <row r="3001">
          <cell r="B3001" t="str">
            <v>8</v>
          </cell>
          <cell r="AN3001">
            <v>111.7</v>
          </cell>
          <cell r="AP3001">
            <v>45</v>
          </cell>
        </row>
        <row r="3002">
          <cell r="B3002" t="str">
            <v>8</v>
          </cell>
          <cell r="AN3002">
            <v>114.11</v>
          </cell>
          <cell r="AP3002">
            <v>45</v>
          </cell>
        </row>
        <row r="3003">
          <cell r="B3003" t="str">
            <v>2</v>
          </cell>
          <cell r="AN3003">
            <v>127.39999999999999</v>
          </cell>
          <cell r="AP3003">
            <v>46</v>
          </cell>
        </row>
        <row r="3004">
          <cell r="B3004" t="str">
            <v>2</v>
          </cell>
          <cell r="AN3004">
            <v>69.599999999999994</v>
          </cell>
          <cell r="AP3004">
            <v>46</v>
          </cell>
        </row>
        <row r="3005">
          <cell r="B3005" t="str">
            <v>2</v>
          </cell>
          <cell r="AN3005">
            <v>43.4</v>
          </cell>
          <cell r="AP3005">
            <v>46</v>
          </cell>
        </row>
        <row r="3006">
          <cell r="B3006" t="str">
            <v>2</v>
          </cell>
          <cell r="AN3006">
            <v>141.10000000000002</v>
          </cell>
          <cell r="AP3006">
            <v>46</v>
          </cell>
        </row>
        <row r="3007">
          <cell r="B3007" t="str">
            <v>4</v>
          </cell>
          <cell r="AN3007">
            <v>501.09999999999997</v>
          </cell>
          <cell r="AP3007">
            <v>46</v>
          </cell>
        </row>
        <row r="3008">
          <cell r="B3008" t="str">
            <v>4</v>
          </cell>
          <cell r="AN3008">
            <v>49.9</v>
          </cell>
          <cell r="AP3008">
            <v>46</v>
          </cell>
        </row>
        <row r="3009">
          <cell r="B3009" t="str">
            <v>4</v>
          </cell>
          <cell r="AN3009">
            <v>76.599999999999994</v>
          </cell>
          <cell r="AP3009">
            <v>46</v>
          </cell>
        </row>
        <row r="3010">
          <cell r="B3010" t="str">
            <v>4</v>
          </cell>
          <cell r="AN3010">
            <v>76.099999999999994</v>
          </cell>
          <cell r="AP3010">
            <v>46</v>
          </cell>
        </row>
        <row r="3011">
          <cell r="B3011" t="str">
            <v>4</v>
          </cell>
          <cell r="AN3011">
            <v>67.599999999999994</v>
          </cell>
          <cell r="AP3011">
            <v>46</v>
          </cell>
        </row>
        <row r="3012">
          <cell r="B3012" t="str">
            <v>5</v>
          </cell>
          <cell r="AN3012">
            <v>57.7</v>
          </cell>
          <cell r="AP3012">
            <v>46</v>
          </cell>
        </row>
        <row r="3013">
          <cell r="B3013" t="str">
            <v>5</v>
          </cell>
          <cell r="AN3013">
            <v>127.1</v>
          </cell>
          <cell r="AP3013">
            <v>46</v>
          </cell>
        </row>
        <row r="3014">
          <cell r="B3014" t="str">
            <v>5</v>
          </cell>
          <cell r="AN3014">
            <v>69.2</v>
          </cell>
          <cell r="AP3014">
            <v>46</v>
          </cell>
        </row>
        <row r="3015">
          <cell r="B3015" t="str">
            <v>5</v>
          </cell>
          <cell r="AN3015">
            <v>330.6</v>
          </cell>
          <cell r="AP3015">
            <v>46</v>
          </cell>
        </row>
        <row r="3016">
          <cell r="B3016" t="str">
            <v>7</v>
          </cell>
          <cell r="AN3016">
            <v>874.23000000000013</v>
          </cell>
          <cell r="AP3016">
            <v>46</v>
          </cell>
        </row>
        <row r="3017">
          <cell r="B3017" t="str">
            <v>7</v>
          </cell>
          <cell r="AN3017">
            <v>941.26999999999987</v>
          </cell>
          <cell r="AP3017">
            <v>46</v>
          </cell>
        </row>
        <row r="3018">
          <cell r="B3018" t="str">
            <v>8</v>
          </cell>
          <cell r="AN3018">
            <v>114.91</v>
          </cell>
          <cell r="AP3018">
            <v>46</v>
          </cell>
        </row>
        <row r="3019">
          <cell r="B3019" t="str">
            <v>8</v>
          </cell>
          <cell r="AN3019">
            <v>221</v>
          </cell>
          <cell r="AP3019">
            <v>46</v>
          </cell>
        </row>
        <row r="3020">
          <cell r="B3020" t="str">
            <v>8</v>
          </cell>
          <cell r="AN3020">
            <v>119.6</v>
          </cell>
          <cell r="AP3020">
            <v>46</v>
          </cell>
        </row>
        <row r="3021">
          <cell r="B3021" t="str">
            <v>8</v>
          </cell>
          <cell r="AN3021">
            <v>122.9</v>
          </cell>
          <cell r="AP3021">
            <v>46</v>
          </cell>
        </row>
        <row r="3022">
          <cell r="B3022" t="str">
            <v>8</v>
          </cell>
          <cell r="AN3022">
            <v>100.1</v>
          </cell>
          <cell r="AP3022">
            <v>46</v>
          </cell>
        </row>
        <row r="3023">
          <cell r="B3023" t="str">
            <v>8</v>
          </cell>
          <cell r="AN3023">
            <v>109.3</v>
          </cell>
          <cell r="AP3023">
            <v>46</v>
          </cell>
        </row>
        <row r="3024">
          <cell r="B3024" t="str">
            <v>1</v>
          </cell>
          <cell r="AN3024">
            <v>43.4</v>
          </cell>
          <cell r="AP3024">
            <v>46</v>
          </cell>
        </row>
        <row r="3025">
          <cell r="B3025" t="str">
            <v>2</v>
          </cell>
          <cell r="AN3025">
            <v>118</v>
          </cell>
          <cell r="AP3025">
            <v>46</v>
          </cell>
        </row>
        <row r="3026">
          <cell r="B3026" t="str">
            <v>2</v>
          </cell>
          <cell r="AN3026">
            <v>57</v>
          </cell>
          <cell r="AP3026">
            <v>46</v>
          </cell>
        </row>
        <row r="3027">
          <cell r="B3027" t="str">
            <v>4</v>
          </cell>
          <cell r="AN3027">
            <v>41.8</v>
          </cell>
          <cell r="AP3027">
            <v>46</v>
          </cell>
        </row>
        <row r="3028">
          <cell r="B3028" t="str">
            <v>4</v>
          </cell>
          <cell r="AN3028">
            <v>113.1</v>
          </cell>
          <cell r="AP3028">
            <v>46</v>
          </cell>
        </row>
        <row r="3029">
          <cell r="B3029" t="str">
            <v>4</v>
          </cell>
          <cell r="AN3029">
            <v>111.2</v>
          </cell>
          <cell r="AP3029">
            <v>46</v>
          </cell>
        </row>
        <row r="3030">
          <cell r="B3030" t="str">
            <v>5</v>
          </cell>
          <cell r="AN3030">
            <v>317.89999999999998</v>
          </cell>
          <cell r="AP3030">
            <v>46</v>
          </cell>
        </row>
        <row r="3031">
          <cell r="B3031" t="str">
            <v>5</v>
          </cell>
          <cell r="AN3031">
            <v>25</v>
          </cell>
          <cell r="AP3031">
            <v>46</v>
          </cell>
        </row>
        <row r="3032">
          <cell r="B3032" t="str">
            <v>7</v>
          </cell>
          <cell r="AN3032">
            <v>102.3</v>
          </cell>
          <cell r="AP3032">
            <v>46</v>
          </cell>
        </row>
        <row r="3033">
          <cell r="B3033" t="str">
            <v>7</v>
          </cell>
          <cell r="AN3033">
            <v>82.6</v>
          </cell>
          <cell r="AP3033">
            <v>46</v>
          </cell>
        </row>
        <row r="3034">
          <cell r="B3034" t="str">
            <v>7</v>
          </cell>
          <cell r="AN3034">
            <v>721.52</v>
          </cell>
          <cell r="AP3034">
            <v>46</v>
          </cell>
        </row>
        <row r="3035">
          <cell r="B3035" t="str">
            <v>8</v>
          </cell>
          <cell r="AN3035">
            <v>330.40000000000003</v>
          </cell>
          <cell r="AP3035">
            <v>46</v>
          </cell>
        </row>
        <row r="3036">
          <cell r="B3036" t="str">
            <v>8</v>
          </cell>
          <cell r="AN3036">
            <v>131.1</v>
          </cell>
          <cell r="AP3036">
            <v>46</v>
          </cell>
        </row>
        <row r="3037">
          <cell r="B3037" t="str">
            <v>1</v>
          </cell>
          <cell r="AN3037">
            <v>110.7</v>
          </cell>
          <cell r="AP3037">
            <v>46</v>
          </cell>
        </row>
        <row r="3038">
          <cell r="B3038" t="str">
            <v>1</v>
          </cell>
          <cell r="AN3038">
            <v>155</v>
          </cell>
          <cell r="AP3038">
            <v>46</v>
          </cell>
        </row>
        <row r="3039">
          <cell r="B3039" t="str">
            <v>2</v>
          </cell>
          <cell r="AN3039">
            <v>63.7</v>
          </cell>
          <cell r="AP3039">
            <v>46</v>
          </cell>
        </row>
        <row r="3040">
          <cell r="B3040" t="str">
            <v>2</v>
          </cell>
          <cell r="AN3040">
            <v>109.80000000000001</v>
          </cell>
          <cell r="AP3040">
            <v>46</v>
          </cell>
        </row>
        <row r="3041">
          <cell r="B3041" t="str">
            <v>2</v>
          </cell>
          <cell r="AN3041">
            <v>51.3</v>
          </cell>
          <cell r="AP3041">
            <v>46</v>
          </cell>
        </row>
        <row r="3042">
          <cell r="B3042" t="str">
            <v>2</v>
          </cell>
          <cell r="AN3042">
            <v>60.5</v>
          </cell>
          <cell r="AP3042">
            <v>46</v>
          </cell>
        </row>
        <row r="3043">
          <cell r="B3043" t="str">
            <v>2</v>
          </cell>
          <cell r="AN3043">
            <v>135.1</v>
          </cell>
          <cell r="AP3043">
            <v>46</v>
          </cell>
        </row>
        <row r="3044">
          <cell r="B3044" t="str">
            <v>3</v>
          </cell>
          <cell r="AN3044">
            <v>440.23999999999995</v>
          </cell>
          <cell r="AP3044">
            <v>46</v>
          </cell>
        </row>
        <row r="3045">
          <cell r="B3045" t="str">
            <v>4</v>
          </cell>
          <cell r="AN3045">
            <v>555.08999999999992</v>
          </cell>
          <cell r="AP3045">
            <v>46</v>
          </cell>
        </row>
        <row r="3046">
          <cell r="B3046" t="str">
            <v>4</v>
          </cell>
          <cell r="AN3046">
            <v>477.4</v>
          </cell>
          <cell r="AP3046">
            <v>46</v>
          </cell>
        </row>
        <row r="3047">
          <cell r="B3047" t="str">
            <v>5</v>
          </cell>
          <cell r="AN3047">
            <v>152.5</v>
          </cell>
          <cell r="AP3047">
            <v>46</v>
          </cell>
        </row>
        <row r="3048">
          <cell r="B3048" t="str">
            <v>5</v>
          </cell>
          <cell r="AN3048">
            <v>170.4</v>
          </cell>
          <cell r="AP3048">
            <v>46</v>
          </cell>
        </row>
        <row r="3049">
          <cell r="B3049" t="str">
            <v>5</v>
          </cell>
          <cell r="AN3049">
            <v>47.1</v>
          </cell>
          <cell r="AP3049">
            <v>46</v>
          </cell>
        </row>
        <row r="3050">
          <cell r="B3050" t="str">
            <v>5</v>
          </cell>
          <cell r="AN3050">
            <v>50.5</v>
          </cell>
          <cell r="AP3050">
            <v>46</v>
          </cell>
        </row>
        <row r="3051">
          <cell r="B3051" t="str">
            <v>5</v>
          </cell>
          <cell r="AN3051">
            <v>322.5</v>
          </cell>
          <cell r="AP3051">
            <v>46</v>
          </cell>
        </row>
        <row r="3052">
          <cell r="B3052" t="str">
            <v>7</v>
          </cell>
          <cell r="AN3052">
            <v>632.36</v>
          </cell>
          <cell r="AP3052">
            <v>46</v>
          </cell>
        </row>
        <row r="3053">
          <cell r="B3053" t="str">
            <v>7</v>
          </cell>
          <cell r="AN3053">
            <v>644.33999999999992</v>
          </cell>
          <cell r="AP3053">
            <v>46</v>
          </cell>
        </row>
        <row r="3054">
          <cell r="B3054" t="str">
            <v>8</v>
          </cell>
          <cell r="AN3054">
            <v>669.34</v>
          </cell>
          <cell r="AP3054">
            <v>46</v>
          </cell>
        </row>
        <row r="3055">
          <cell r="B3055" t="str">
            <v>8</v>
          </cell>
          <cell r="AN3055">
            <v>102.5</v>
          </cell>
          <cell r="AP3055">
            <v>46</v>
          </cell>
        </row>
        <row r="3056">
          <cell r="B3056" t="str">
            <v>8</v>
          </cell>
          <cell r="AN3056">
            <v>73.900000000000006</v>
          </cell>
          <cell r="AP3056">
            <v>46</v>
          </cell>
        </row>
        <row r="3057">
          <cell r="B3057" t="str">
            <v>8</v>
          </cell>
          <cell r="AN3057">
            <v>160.69999999999999</v>
          </cell>
          <cell r="AP3057">
            <v>46</v>
          </cell>
        </row>
        <row r="3058">
          <cell r="B3058" t="str">
            <v>8</v>
          </cell>
          <cell r="AN3058">
            <v>161.19999999999999</v>
          </cell>
          <cell r="AP3058">
            <v>46</v>
          </cell>
        </row>
        <row r="3059">
          <cell r="B3059" t="str">
            <v>1</v>
          </cell>
          <cell r="AN3059">
            <v>104.6</v>
          </cell>
          <cell r="AP3059">
            <v>46</v>
          </cell>
        </row>
        <row r="3060">
          <cell r="B3060" t="str">
            <v>1</v>
          </cell>
          <cell r="AN3060">
            <v>125.6</v>
          </cell>
          <cell r="AP3060">
            <v>46</v>
          </cell>
        </row>
        <row r="3061">
          <cell r="B3061" t="str">
            <v>2</v>
          </cell>
          <cell r="AN3061">
            <v>205.95</v>
          </cell>
          <cell r="AP3061">
            <v>46</v>
          </cell>
        </row>
        <row r="3062">
          <cell r="B3062" t="str">
            <v>2</v>
          </cell>
          <cell r="AN3062">
            <v>253.4</v>
          </cell>
          <cell r="AP3062">
            <v>46</v>
          </cell>
        </row>
        <row r="3063">
          <cell r="B3063" t="str">
            <v>3</v>
          </cell>
          <cell r="AN3063">
            <v>357.68</v>
          </cell>
          <cell r="AP3063">
            <v>46</v>
          </cell>
        </row>
        <row r="3064">
          <cell r="B3064" t="str">
            <v>3</v>
          </cell>
          <cell r="AN3064">
            <v>356.07</v>
          </cell>
          <cell r="AP3064">
            <v>46</v>
          </cell>
        </row>
        <row r="3065">
          <cell r="B3065" t="str">
            <v>4</v>
          </cell>
          <cell r="AN3065">
            <v>86.3</v>
          </cell>
          <cell r="AP3065">
            <v>46</v>
          </cell>
        </row>
        <row r="3066">
          <cell r="B3066" t="str">
            <v>4</v>
          </cell>
          <cell r="AN3066">
            <v>117.80000000000001</v>
          </cell>
          <cell r="AP3066">
            <v>46</v>
          </cell>
        </row>
        <row r="3067">
          <cell r="B3067" t="str">
            <v>4</v>
          </cell>
          <cell r="AN3067">
            <v>52.3</v>
          </cell>
          <cell r="AP3067">
            <v>46</v>
          </cell>
        </row>
        <row r="3068">
          <cell r="B3068" t="str">
            <v>4</v>
          </cell>
          <cell r="AN3068">
            <v>77.5</v>
          </cell>
          <cell r="AP3068">
            <v>46</v>
          </cell>
        </row>
        <row r="3069">
          <cell r="B3069" t="str">
            <v>4</v>
          </cell>
          <cell r="AN3069">
            <v>223.1</v>
          </cell>
          <cell r="AP3069">
            <v>46</v>
          </cell>
        </row>
        <row r="3070">
          <cell r="B3070" t="str">
            <v>4</v>
          </cell>
          <cell r="AN3070">
            <v>110.39999999999999</v>
          </cell>
          <cell r="AP3070">
            <v>46</v>
          </cell>
        </row>
        <row r="3071">
          <cell r="B3071" t="str">
            <v>5</v>
          </cell>
          <cell r="AN3071">
            <v>200.55</v>
          </cell>
          <cell r="AP3071">
            <v>46</v>
          </cell>
        </row>
        <row r="3072">
          <cell r="B3072" t="str">
            <v>5</v>
          </cell>
          <cell r="AN3072">
            <v>92.4</v>
          </cell>
          <cell r="AP3072">
            <v>46</v>
          </cell>
        </row>
        <row r="3073">
          <cell r="B3073" t="str">
            <v>5</v>
          </cell>
          <cell r="AN3073">
            <v>172.75</v>
          </cell>
          <cell r="AP3073">
            <v>46</v>
          </cell>
        </row>
        <row r="3074">
          <cell r="B3074" t="str">
            <v>5</v>
          </cell>
          <cell r="AN3074">
            <v>163.4</v>
          </cell>
          <cell r="AP3074">
            <v>46</v>
          </cell>
        </row>
        <row r="3075">
          <cell r="B3075" t="str">
            <v>5</v>
          </cell>
          <cell r="AN3075">
            <v>114.10000000000001</v>
          </cell>
          <cell r="AP3075">
            <v>46</v>
          </cell>
        </row>
        <row r="3076">
          <cell r="B3076" t="str">
            <v>5</v>
          </cell>
          <cell r="AN3076">
            <v>217.79999999999998</v>
          </cell>
          <cell r="AP3076">
            <v>46</v>
          </cell>
        </row>
        <row r="3077">
          <cell r="B3077" t="str">
            <v>7</v>
          </cell>
          <cell r="AN3077">
            <v>354.9</v>
          </cell>
          <cell r="AP3077">
            <v>46</v>
          </cell>
        </row>
        <row r="3078">
          <cell r="B3078" t="str">
            <v>7</v>
          </cell>
          <cell r="AN3078">
            <v>90.8</v>
          </cell>
          <cell r="AP3078">
            <v>46</v>
          </cell>
        </row>
        <row r="3079">
          <cell r="B3079" t="str">
            <v>7</v>
          </cell>
          <cell r="AN3079">
            <v>717.68</v>
          </cell>
          <cell r="AP3079">
            <v>46</v>
          </cell>
        </row>
        <row r="3080">
          <cell r="B3080" t="str">
            <v>8</v>
          </cell>
          <cell r="AN3080">
            <v>182.3</v>
          </cell>
          <cell r="AP3080">
            <v>46</v>
          </cell>
        </row>
        <row r="3081">
          <cell r="B3081" t="str">
            <v>8</v>
          </cell>
          <cell r="AN3081">
            <v>53.9</v>
          </cell>
          <cell r="AP3081">
            <v>46</v>
          </cell>
        </row>
        <row r="3082">
          <cell r="B3082" t="str">
            <v>8</v>
          </cell>
          <cell r="AN3082">
            <v>218.2</v>
          </cell>
          <cell r="AP3082">
            <v>46</v>
          </cell>
        </row>
        <row r="3083">
          <cell r="B3083" t="str">
            <v>8</v>
          </cell>
          <cell r="AN3083">
            <v>121.3</v>
          </cell>
          <cell r="AP3083">
            <v>46</v>
          </cell>
        </row>
        <row r="3084">
          <cell r="B3084" t="str">
            <v>8</v>
          </cell>
          <cell r="AN3084">
            <v>464.30000000000007</v>
          </cell>
          <cell r="AP3084">
            <v>46</v>
          </cell>
        </row>
        <row r="3085">
          <cell r="B3085" t="str">
            <v>2</v>
          </cell>
          <cell r="AN3085">
            <v>66.8</v>
          </cell>
          <cell r="AP3085">
            <v>46</v>
          </cell>
        </row>
        <row r="3086">
          <cell r="B3086" t="str">
            <v>2</v>
          </cell>
          <cell r="AN3086">
            <v>125.96000000000001</v>
          </cell>
          <cell r="AP3086">
            <v>46</v>
          </cell>
        </row>
        <row r="3087">
          <cell r="B3087" t="str">
            <v>2</v>
          </cell>
          <cell r="AN3087">
            <v>37.700000000000003</v>
          </cell>
          <cell r="AP3087">
            <v>46</v>
          </cell>
        </row>
        <row r="3088">
          <cell r="B3088" t="str">
            <v>2</v>
          </cell>
          <cell r="AN3088">
            <v>155.80000000000001</v>
          </cell>
          <cell r="AP3088">
            <v>46</v>
          </cell>
        </row>
        <row r="3089">
          <cell r="B3089" t="str">
            <v>3</v>
          </cell>
          <cell r="AN3089">
            <v>351.53999999999996</v>
          </cell>
          <cell r="AP3089">
            <v>46</v>
          </cell>
        </row>
        <row r="3090">
          <cell r="B3090" t="str">
            <v>3</v>
          </cell>
          <cell r="AN3090">
            <v>358.69</v>
          </cell>
          <cell r="AP3090">
            <v>46</v>
          </cell>
        </row>
        <row r="3091">
          <cell r="B3091" t="str">
            <v>4</v>
          </cell>
          <cell r="AN3091">
            <v>120.7</v>
          </cell>
          <cell r="AP3091">
            <v>46</v>
          </cell>
        </row>
        <row r="3092">
          <cell r="B3092" t="str">
            <v>4</v>
          </cell>
          <cell r="AN3092">
            <v>223.10000000000002</v>
          </cell>
          <cell r="AP3092">
            <v>46</v>
          </cell>
        </row>
        <row r="3093">
          <cell r="B3093" t="str">
            <v>4</v>
          </cell>
          <cell r="AN3093">
            <v>108.80000000000001</v>
          </cell>
          <cell r="AP3093">
            <v>46</v>
          </cell>
        </row>
        <row r="3094">
          <cell r="B3094" t="str">
            <v>4</v>
          </cell>
          <cell r="AN3094">
            <v>117.9</v>
          </cell>
          <cell r="AP3094">
            <v>46</v>
          </cell>
        </row>
        <row r="3095">
          <cell r="B3095" t="str">
            <v>4</v>
          </cell>
          <cell r="AN3095">
            <v>54.8</v>
          </cell>
          <cell r="AP3095">
            <v>46</v>
          </cell>
        </row>
        <row r="3096">
          <cell r="B3096" t="str">
            <v>4</v>
          </cell>
          <cell r="AN3096">
            <v>149.80000000000001</v>
          </cell>
          <cell r="AP3096">
            <v>46</v>
          </cell>
        </row>
        <row r="3097">
          <cell r="B3097" t="str">
            <v>5</v>
          </cell>
          <cell r="AN3097">
            <v>55.9</v>
          </cell>
          <cell r="AP3097">
            <v>46</v>
          </cell>
        </row>
        <row r="3098">
          <cell r="B3098" t="str">
            <v>5</v>
          </cell>
          <cell r="AN3098">
            <v>287.25</v>
          </cell>
          <cell r="AP3098">
            <v>46</v>
          </cell>
        </row>
        <row r="3099">
          <cell r="B3099" t="str">
            <v>5</v>
          </cell>
          <cell r="AN3099">
            <v>419.00000000000006</v>
          </cell>
          <cell r="AP3099">
            <v>46</v>
          </cell>
        </row>
        <row r="3100">
          <cell r="B3100" t="str">
            <v>7</v>
          </cell>
          <cell r="AN3100">
            <v>716.7</v>
          </cell>
          <cell r="AP3100">
            <v>46</v>
          </cell>
        </row>
        <row r="3101">
          <cell r="B3101" t="str">
            <v>7</v>
          </cell>
          <cell r="AN3101">
            <v>420.06</v>
          </cell>
          <cell r="AP3101">
            <v>46</v>
          </cell>
        </row>
        <row r="3102">
          <cell r="B3102" t="str">
            <v>7</v>
          </cell>
          <cell r="AN3102">
            <v>154.6</v>
          </cell>
          <cell r="AP3102">
            <v>46</v>
          </cell>
        </row>
        <row r="3103">
          <cell r="B3103" t="str">
            <v>7</v>
          </cell>
          <cell r="AN3103">
            <v>154.4</v>
          </cell>
          <cell r="AP3103">
            <v>46</v>
          </cell>
        </row>
        <row r="3104">
          <cell r="B3104" t="str">
            <v>8</v>
          </cell>
          <cell r="AN3104">
            <v>552.29999999999995</v>
          </cell>
          <cell r="AP3104">
            <v>46</v>
          </cell>
        </row>
        <row r="3105">
          <cell r="B3105" t="str">
            <v>8</v>
          </cell>
          <cell r="AN3105">
            <v>646.29999999999995</v>
          </cell>
          <cell r="AP3105">
            <v>46</v>
          </cell>
        </row>
        <row r="3106">
          <cell r="B3106" t="str">
            <v>2</v>
          </cell>
          <cell r="AN3106">
            <v>70.460000000000008</v>
          </cell>
          <cell r="AP3106">
            <v>46</v>
          </cell>
        </row>
        <row r="3107">
          <cell r="B3107" t="str">
            <v>2</v>
          </cell>
          <cell r="AN3107">
            <v>61.32</v>
          </cell>
          <cell r="AP3107">
            <v>46</v>
          </cell>
        </row>
        <row r="3108">
          <cell r="B3108" t="str">
            <v>2</v>
          </cell>
          <cell r="AN3108">
            <v>56.2</v>
          </cell>
          <cell r="AP3108">
            <v>46</v>
          </cell>
        </row>
        <row r="3109">
          <cell r="B3109" t="str">
            <v>2</v>
          </cell>
          <cell r="AN3109">
            <v>125.74000000000001</v>
          </cell>
          <cell r="AP3109">
            <v>46</v>
          </cell>
        </row>
        <row r="3110">
          <cell r="B3110" t="str">
            <v>3</v>
          </cell>
          <cell r="AN3110">
            <v>372.37999999999994</v>
          </cell>
          <cell r="AP3110">
            <v>46</v>
          </cell>
        </row>
        <row r="3111">
          <cell r="B3111" t="str">
            <v>4</v>
          </cell>
          <cell r="AN3111">
            <v>90.4</v>
          </cell>
          <cell r="AP3111">
            <v>46</v>
          </cell>
        </row>
        <row r="3112">
          <cell r="B3112" t="str">
            <v>4</v>
          </cell>
          <cell r="AN3112">
            <v>67</v>
          </cell>
          <cell r="AP3112">
            <v>46</v>
          </cell>
        </row>
        <row r="3113">
          <cell r="B3113" t="str">
            <v>4</v>
          </cell>
          <cell r="AN3113">
            <v>102</v>
          </cell>
          <cell r="AP3113">
            <v>46</v>
          </cell>
        </row>
        <row r="3114">
          <cell r="B3114" t="str">
            <v>4</v>
          </cell>
          <cell r="AN3114">
            <v>112.1</v>
          </cell>
          <cell r="AP3114">
            <v>46</v>
          </cell>
        </row>
        <row r="3115">
          <cell r="B3115" t="str">
            <v>4</v>
          </cell>
          <cell r="AN3115">
            <v>112</v>
          </cell>
          <cell r="AP3115">
            <v>46</v>
          </cell>
        </row>
        <row r="3116">
          <cell r="B3116" t="str">
            <v>4</v>
          </cell>
          <cell r="AN3116">
            <v>67.5</v>
          </cell>
          <cell r="AP3116">
            <v>46</v>
          </cell>
        </row>
        <row r="3117">
          <cell r="B3117" t="str">
            <v>4</v>
          </cell>
          <cell r="AN3117">
            <v>109.38</v>
          </cell>
          <cell r="AP3117">
            <v>46</v>
          </cell>
        </row>
        <row r="3118">
          <cell r="B3118" t="str">
            <v>4</v>
          </cell>
          <cell r="AN3118">
            <v>117.24</v>
          </cell>
          <cell r="AP3118">
            <v>46</v>
          </cell>
        </row>
        <row r="3119">
          <cell r="B3119" t="str">
            <v>5</v>
          </cell>
          <cell r="AN3119">
            <v>340.40000000000003</v>
          </cell>
          <cell r="AP3119">
            <v>46</v>
          </cell>
        </row>
        <row r="3120">
          <cell r="B3120" t="str">
            <v>5</v>
          </cell>
          <cell r="AN3120">
            <v>308.40000000000003</v>
          </cell>
          <cell r="AP3120">
            <v>46</v>
          </cell>
        </row>
        <row r="3121">
          <cell r="B3121" t="str">
            <v>5</v>
          </cell>
          <cell r="AN3121">
            <v>135</v>
          </cell>
          <cell r="AP3121">
            <v>46</v>
          </cell>
        </row>
        <row r="3122">
          <cell r="B3122" t="str">
            <v>7</v>
          </cell>
          <cell r="AN3122">
            <v>145.6</v>
          </cell>
          <cell r="AP3122">
            <v>46</v>
          </cell>
        </row>
        <row r="3123">
          <cell r="B3123" t="str">
            <v>7</v>
          </cell>
          <cell r="AN3123">
            <v>165.82</v>
          </cell>
          <cell r="AP3123">
            <v>46</v>
          </cell>
        </row>
        <row r="3124">
          <cell r="B3124" t="str">
            <v>7</v>
          </cell>
          <cell r="AN3124">
            <v>303.45999999999998</v>
          </cell>
          <cell r="AP3124">
            <v>46</v>
          </cell>
        </row>
        <row r="3125">
          <cell r="B3125" t="str">
            <v>7</v>
          </cell>
          <cell r="AN3125">
            <v>178.3</v>
          </cell>
          <cell r="AP3125">
            <v>46</v>
          </cell>
        </row>
        <row r="3126">
          <cell r="B3126" t="str">
            <v>7</v>
          </cell>
          <cell r="AN3126">
            <v>519.86</v>
          </cell>
          <cell r="AP3126">
            <v>46</v>
          </cell>
        </row>
        <row r="3127">
          <cell r="B3127" t="str">
            <v>7</v>
          </cell>
          <cell r="AN3127">
            <v>499.24</v>
          </cell>
          <cell r="AP3127">
            <v>46</v>
          </cell>
        </row>
        <row r="3128">
          <cell r="B3128" t="str">
            <v>7</v>
          </cell>
          <cell r="AN3128">
            <v>285.46000000000004</v>
          </cell>
          <cell r="AP3128">
            <v>46</v>
          </cell>
        </row>
        <row r="3129">
          <cell r="B3129" t="str">
            <v>8</v>
          </cell>
          <cell r="AN3129">
            <v>499.5</v>
          </cell>
          <cell r="AP3129">
            <v>46</v>
          </cell>
        </row>
        <row r="3130">
          <cell r="B3130" t="str">
            <v>8</v>
          </cell>
          <cell r="AN3130">
            <v>449.49999999999994</v>
          </cell>
          <cell r="AP3130">
            <v>46</v>
          </cell>
        </row>
        <row r="3131">
          <cell r="B3131" t="str">
            <v>8</v>
          </cell>
          <cell r="AN3131">
            <v>116.8</v>
          </cell>
          <cell r="AP3131">
            <v>46</v>
          </cell>
        </row>
        <row r="3132">
          <cell r="B3132" t="str">
            <v>2</v>
          </cell>
          <cell r="AN3132">
            <v>214.2</v>
          </cell>
          <cell r="AP3132">
            <v>46</v>
          </cell>
        </row>
        <row r="3133">
          <cell r="B3133" t="str">
            <v>2</v>
          </cell>
          <cell r="AN3133">
            <v>113.36</v>
          </cell>
          <cell r="AP3133">
            <v>46</v>
          </cell>
        </row>
        <row r="3134">
          <cell r="B3134" t="str">
            <v>2</v>
          </cell>
          <cell r="AN3134">
            <v>44.9</v>
          </cell>
          <cell r="AP3134">
            <v>46</v>
          </cell>
        </row>
        <row r="3135">
          <cell r="B3135" t="str">
            <v>2</v>
          </cell>
          <cell r="AN3135">
            <v>44.88</v>
          </cell>
          <cell r="AP3135">
            <v>46</v>
          </cell>
        </row>
        <row r="3136">
          <cell r="B3136" t="str">
            <v>4</v>
          </cell>
          <cell r="AN3136">
            <v>51.4</v>
          </cell>
          <cell r="AP3136">
            <v>46</v>
          </cell>
        </row>
        <row r="3137">
          <cell r="B3137" t="str">
            <v>4</v>
          </cell>
          <cell r="AN3137">
            <v>212.44</v>
          </cell>
          <cell r="AP3137">
            <v>46</v>
          </cell>
        </row>
        <row r="3138">
          <cell r="B3138" t="str">
            <v>4</v>
          </cell>
          <cell r="AN3138">
            <v>318.55999999999995</v>
          </cell>
          <cell r="AP3138">
            <v>46</v>
          </cell>
        </row>
        <row r="3139">
          <cell r="B3139" t="str">
            <v>5</v>
          </cell>
          <cell r="AN3139">
            <v>370.79999999999995</v>
          </cell>
          <cell r="AP3139">
            <v>46</v>
          </cell>
        </row>
        <row r="3140">
          <cell r="B3140" t="str">
            <v>5</v>
          </cell>
          <cell r="AN3140">
            <v>151.69999999999999</v>
          </cell>
          <cell r="AP3140">
            <v>46</v>
          </cell>
        </row>
        <row r="3141">
          <cell r="B3141" t="str">
            <v>5</v>
          </cell>
          <cell r="AN3141">
            <v>238.5</v>
          </cell>
          <cell r="AP3141">
            <v>46</v>
          </cell>
        </row>
        <row r="3142">
          <cell r="B3142" t="str">
            <v>7</v>
          </cell>
          <cell r="AN3142">
            <v>482.71999999999997</v>
          </cell>
          <cell r="AP3142">
            <v>46</v>
          </cell>
        </row>
        <row r="3143">
          <cell r="B3143" t="str">
            <v>7</v>
          </cell>
          <cell r="AN3143">
            <v>526.5</v>
          </cell>
          <cell r="AP3143">
            <v>46</v>
          </cell>
        </row>
        <row r="3144">
          <cell r="B3144" t="str">
            <v>7</v>
          </cell>
          <cell r="AN3144">
            <v>171.16000000000003</v>
          </cell>
          <cell r="AP3144">
            <v>46</v>
          </cell>
        </row>
        <row r="3145">
          <cell r="B3145" t="str">
            <v>7</v>
          </cell>
          <cell r="AN3145">
            <v>236.92000000000002</v>
          </cell>
          <cell r="AP3145">
            <v>46</v>
          </cell>
        </row>
        <row r="3146">
          <cell r="B3146" t="str">
            <v>7</v>
          </cell>
          <cell r="AN3146">
            <v>129.26</v>
          </cell>
          <cell r="AP3146">
            <v>46</v>
          </cell>
        </row>
        <row r="3147">
          <cell r="B3147" t="str">
            <v>7</v>
          </cell>
          <cell r="AN3147">
            <v>72.8</v>
          </cell>
          <cell r="AP3147">
            <v>46</v>
          </cell>
        </row>
        <row r="3148">
          <cell r="B3148" t="str">
            <v>8</v>
          </cell>
          <cell r="AN3148">
            <v>90.5</v>
          </cell>
          <cell r="AP3148">
            <v>46</v>
          </cell>
        </row>
        <row r="3149">
          <cell r="B3149" t="str">
            <v>8</v>
          </cell>
          <cell r="AN3149">
            <v>255.90000000000003</v>
          </cell>
          <cell r="AP3149">
            <v>46</v>
          </cell>
        </row>
        <row r="3150">
          <cell r="B3150" t="str">
            <v>8</v>
          </cell>
          <cell r="AN3150">
            <v>218.8</v>
          </cell>
          <cell r="AP3150">
            <v>46</v>
          </cell>
        </row>
        <row r="3151">
          <cell r="B3151" t="str">
            <v>8</v>
          </cell>
          <cell r="AN3151">
            <v>83.5</v>
          </cell>
          <cell r="AP3151">
            <v>46</v>
          </cell>
        </row>
        <row r="3152">
          <cell r="B3152" t="str">
            <v>8</v>
          </cell>
          <cell r="AN3152">
            <v>211</v>
          </cell>
          <cell r="AP3152">
            <v>46</v>
          </cell>
        </row>
        <row r="3153">
          <cell r="B3153" t="str">
            <v>8</v>
          </cell>
          <cell r="AN3153">
            <v>71.900000000000006</v>
          </cell>
          <cell r="AP3153">
            <v>46</v>
          </cell>
        </row>
        <row r="3154">
          <cell r="B3154" t="str">
            <v>2</v>
          </cell>
          <cell r="AN3154">
            <v>90.26</v>
          </cell>
          <cell r="AP3154">
            <v>47</v>
          </cell>
        </row>
        <row r="3155">
          <cell r="B3155" t="str">
            <v>2</v>
          </cell>
          <cell r="AN3155">
            <v>90.5</v>
          </cell>
          <cell r="AP3155">
            <v>47</v>
          </cell>
        </row>
        <row r="3156">
          <cell r="B3156" t="str">
            <v>2</v>
          </cell>
          <cell r="AN3156">
            <v>51.620000000000005</v>
          </cell>
          <cell r="AP3156">
            <v>47</v>
          </cell>
        </row>
        <row r="3157">
          <cell r="B3157" t="str">
            <v>2</v>
          </cell>
          <cell r="AN3157">
            <v>109.66</v>
          </cell>
          <cell r="AP3157">
            <v>47</v>
          </cell>
        </row>
        <row r="3158">
          <cell r="B3158" t="str">
            <v>3</v>
          </cell>
          <cell r="AN3158">
            <v>333.19999999999993</v>
          </cell>
          <cell r="AP3158">
            <v>47</v>
          </cell>
        </row>
        <row r="3159">
          <cell r="B3159" t="str">
            <v>3</v>
          </cell>
          <cell r="AN3159">
            <v>346.36</v>
          </cell>
          <cell r="AP3159">
            <v>47</v>
          </cell>
        </row>
        <row r="3160">
          <cell r="B3160" t="str">
            <v>4</v>
          </cell>
          <cell r="AN3160">
            <v>492.5</v>
          </cell>
          <cell r="AP3160">
            <v>47</v>
          </cell>
        </row>
        <row r="3161">
          <cell r="B3161" t="str">
            <v>4</v>
          </cell>
          <cell r="AN3161">
            <v>122</v>
          </cell>
          <cell r="AP3161">
            <v>47</v>
          </cell>
        </row>
        <row r="3162">
          <cell r="B3162" t="str">
            <v>4</v>
          </cell>
          <cell r="AN3162">
            <v>114.1</v>
          </cell>
          <cell r="AP3162">
            <v>47</v>
          </cell>
        </row>
        <row r="3163">
          <cell r="B3163" t="str">
            <v>4</v>
          </cell>
          <cell r="AN3163">
            <v>110.7</v>
          </cell>
          <cell r="AP3163">
            <v>47</v>
          </cell>
        </row>
        <row r="3164">
          <cell r="B3164" t="str">
            <v>4</v>
          </cell>
          <cell r="AN3164">
            <v>53.7</v>
          </cell>
          <cell r="AP3164">
            <v>47</v>
          </cell>
        </row>
        <row r="3165">
          <cell r="B3165" t="str">
            <v>5</v>
          </cell>
          <cell r="AN3165">
            <v>203.50000000000003</v>
          </cell>
          <cell r="AP3165">
            <v>47</v>
          </cell>
        </row>
        <row r="3166">
          <cell r="B3166" t="str">
            <v>5</v>
          </cell>
          <cell r="AN3166">
            <v>188.89999999999998</v>
          </cell>
          <cell r="AP3166">
            <v>47</v>
          </cell>
        </row>
        <row r="3167">
          <cell r="B3167" t="str">
            <v>5</v>
          </cell>
          <cell r="AN3167">
            <v>75.099999999999994</v>
          </cell>
          <cell r="AP3167">
            <v>47</v>
          </cell>
        </row>
        <row r="3168">
          <cell r="B3168" t="str">
            <v>5</v>
          </cell>
          <cell r="AN3168">
            <v>227.75</v>
          </cell>
          <cell r="AP3168">
            <v>47</v>
          </cell>
        </row>
        <row r="3169">
          <cell r="B3169" t="str">
            <v>5</v>
          </cell>
          <cell r="AN3169">
            <v>224.3</v>
          </cell>
          <cell r="AP3169">
            <v>47</v>
          </cell>
        </row>
        <row r="3170">
          <cell r="B3170" t="str">
            <v>7</v>
          </cell>
          <cell r="AN3170">
            <v>369.14</v>
          </cell>
          <cell r="AP3170">
            <v>47</v>
          </cell>
        </row>
        <row r="3171">
          <cell r="B3171" t="str">
            <v>7</v>
          </cell>
          <cell r="AN3171">
            <v>183.4</v>
          </cell>
          <cell r="AP3171">
            <v>47</v>
          </cell>
        </row>
        <row r="3172">
          <cell r="B3172" t="str">
            <v>8</v>
          </cell>
          <cell r="AN3172">
            <v>136.5</v>
          </cell>
          <cell r="AP3172">
            <v>47</v>
          </cell>
        </row>
        <row r="3173">
          <cell r="B3173" t="str">
            <v>8</v>
          </cell>
          <cell r="AN3173">
            <v>157.69999999999999</v>
          </cell>
          <cell r="AP3173">
            <v>47</v>
          </cell>
        </row>
        <row r="3174">
          <cell r="B3174" t="str">
            <v>8</v>
          </cell>
          <cell r="AN3174">
            <v>304.5</v>
          </cell>
          <cell r="AP3174">
            <v>47</v>
          </cell>
        </row>
        <row r="3175">
          <cell r="B3175" t="str">
            <v>2</v>
          </cell>
          <cell r="AN3175">
            <v>105.28</v>
          </cell>
          <cell r="AP3175">
            <v>47</v>
          </cell>
        </row>
        <row r="3176">
          <cell r="B3176" t="str">
            <v>2</v>
          </cell>
          <cell r="AN3176">
            <v>64.199999999999989</v>
          </cell>
          <cell r="AP3176">
            <v>47</v>
          </cell>
        </row>
        <row r="3177">
          <cell r="B3177" t="str">
            <v>2</v>
          </cell>
          <cell r="AN3177">
            <v>162.85</v>
          </cell>
          <cell r="AP3177">
            <v>47</v>
          </cell>
        </row>
        <row r="3178">
          <cell r="B3178" t="str">
            <v>3</v>
          </cell>
          <cell r="AN3178">
            <v>306.44000000000005</v>
          </cell>
          <cell r="AP3178">
            <v>47</v>
          </cell>
        </row>
        <row r="3179">
          <cell r="B3179" t="str">
            <v>3</v>
          </cell>
          <cell r="AN3179">
            <v>356.18999999999994</v>
          </cell>
          <cell r="AP3179">
            <v>47</v>
          </cell>
        </row>
        <row r="3180">
          <cell r="B3180" t="str">
            <v>4</v>
          </cell>
          <cell r="AN3180">
            <v>65.3</v>
          </cell>
          <cell r="AP3180">
            <v>47</v>
          </cell>
        </row>
        <row r="3181">
          <cell r="B3181" t="str">
            <v>4</v>
          </cell>
          <cell r="AN3181">
            <v>122.1</v>
          </cell>
          <cell r="AP3181">
            <v>47</v>
          </cell>
        </row>
        <row r="3182">
          <cell r="B3182" t="str">
            <v>4</v>
          </cell>
          <cell r="AN3182">
            <v>123.80000000000001</v>
          </cell>
          <cell r="AP3182">
            <v>47</v>
          </cell>
        </row>
        <row r="3183">
          <cell r="B3183" t="str">
            <v>4</v>
          </cell>
          <cell r="AN3183">
            <v>126.6</v>
          </cell>
          <cell r="AP3183">
            <v>47</v>
          </cell>
        </row>
        <row r="3184">
          <cell r="B3184" t="str">
            <v>4</v>
          </cell>
          <cell r="AN3184">
            <v>436.95000000000005</v>
          </cell>
          <cell r="AP3184">
            <v>47</v>
          </cell>
        </row>
        <row r="3185">
          <cell r="B3185" t="str">
            <v>5</v>
          </cell>
          <cell r="AN3185">
            <v>465.8</v>
          </cell>
          <cell r="AP3185">
            <v>47</v>
          </cell>
        </row>
        <row r="3186">
          <cell r="B3186" t="str">
            <v>5</v>
          </cell>
          <cell r="AN3186">
            <v>86.2</v>
          </cell>
          <cell r="AP3186">
            <v>47</v>
          </cell>
        </row>
        <row r="3187">
          <cell r="B3187" t="str">
            <v>5</v>
          </cell>
          <cell r="AN3187">
            <v>75.400000000000006</v>
          </cell>
          <cell r="AP3187">
            <v>47</v>
          </cell>
        </row>
        <row r="3188">
          <cell r="B3188" t="str">
            <v>5</v>
          </cell>
          <cell r="AN3188">
            <v>159.05000000000001</v>
          </cell>
          <cell r="AP3188">
            <v>47</v>
          </cell>
        </row>
        <row r="3189">
          <cell r="B3189" t="str">
            <v>7</v>
          </cell>
          <cell r="AN3189">
            <v>617.69999999999993</v>
          </cell>
          <cell r="AP3189">
            <v>47</v>
          </cell>
        </row>
        <row r="3190">
          <cell r="B3190" t="str">
            <v>7</v>
          </cell>
          <cell r="AN3190">
            <v>257.89999999999998</v>
          </cell>
          <cell r="AP3190">
            <v>47</v>
          </cell>
        </row>
        <row r="3191">
          <cell r="B3191" t="str">
            <v>7</v>
          </cell>
          <cell r="AN3191">
            <v>119</v>
          </cell>
          <cell r="AP3191">
            <v>47</v>
          </cell>
        </row>
        <row r="3192">
          <cell r="B3192" t="str">
            <v>7</v>
          </cell>
          <cell r="AN3192">
            <v>117.7</v>
          </cell>
          <cell r="AP3192">
            <v>47</v>
          </cell>
        </row>
        <row r="3193">
          <cell r="B3193" t="str">
            <v>7</v>
          </cell>
          <cell r="AN3193">
            <v>126.69999999999999</v>
          </cell>
          <cell r="AP3193">
            <v>47</v>
          </cell>
        </row>
        <row r="3194">
          <cell r="B3194" t="str">
            <v>7</v>
          </cell>
          <cell r="AN3194">
            <v>48.8</v>
          </cell>
          <cell r="AP3194">
            <v>47</v>
          </cell>
        </row>
        <row r="3195">
          <cell r="B3195" t="str">
            <v>7</v>
          </cell>
          <cell r="AN3195">
            <v>119</v>
          </cell>
          <cell r="AP3195">
            <v>47</v>
          </cell>
        </row>
        <row r="3196">
          <cell r="B3196" t="str">
            <v>8</v>
          </cell>
          <cell r="AN3196">
            <v>107</v>
          </cell>
          <cell r="AP3196">
            <v>47</v>
          </cell>
        </row>
        <row r="3197">
          <cell r="B3197" t="str">
            <v>8</v>
          </cell>
          <cell r="AN3197">
            <v>437.88000000000005</v>
          </cell>
          <cell r="AP3197">
            <v>47</v>
          </cell>
        </row>
        <row r="3198">
          <cell r="B3198" t="str">
            <v>2</v>
          </cell>
          <cell r="AN3198">
            <v>129.92000000000002</v>
          </cell>
          <cell r="AP3198">
            <v>47</v>
          </cell>
        </row>
        <row r="3199">
          <cell r="B3199" t="str">
            <v>2</v>
          </cell>
          <cell r="AN3199">
            <v>123.30000000000001</v>
          </cell>
          <cell r="AP3199">
            <v>47</v>
          </cell>
        </row>
        <row r="3200">
          <cell r="B3200" t="str">
            <v>3</v>
          </cell>
          <cell r="AN3200">
            <v>290.44</v>
          </cell>
          <cell r="AP3200">
            <v>47</v>
          </cell>
        </row>
        <row r="3201">
          <cell r="B3201" t="str">
            <v>3</v>
          </cell>
          <cell r="AN3201">
            <v>254.8</v>
          </cell>
          <cell r="AP3201">
            <v>47</v>
          </cell>
        </row>
        <row r="3202">
          <cell r="B3202" t="str">
            <v>4</v>
          </cell>
          <cell r="AN3202">
            <v>150.4</v>
          </cell>
          <cell r="AP3202">
            <v>47</v>
          </cell>
        </row>
        <row r="3203">
          <cell r="B3203" t="str">
            <v>4</v>
          </cell>
          <cell r="AN3203">
            <v>328.2</v>
          </cell>
          <cell r="AP3203">
            <v>47</v>
          </cell>
        </row>
        <row r="3204">
          <cell r="B3204" t="str">
            <v>4</v>
          </cell>
          <cell r="AN3204">
            <v>65.599999999999994</v>
          </cell>
          <cell r="AP3204">
            <v>47</v>
          </cell>
        </row>
        <row r="3205">
          <cell r="B3205" t="str">
            <v>5</v>
          </cell>
          <cell r="AN3205">
            <v>63.6</v>
          </cell>
          <cell r="AP3205">
            <v>47</v>
          </cell>
        </row>
        <row r="3206">
          <cell r="B3206" t="str">
            <v>5</v>
          </cell>
          <cell r="AN3206">
            <v>146.80000000000001</v>
          </cell>
          <cell r="AP3206">
            <v>47</v>
          </cell>
        </row>
        <row r="3207">
          <cell r="B3207" t="str">
            <v>5</v>
          </cell>
          <cell r="AN3207">
            <v>147.1</v>
          </cell>
          <cell r="AP3207">
            <v>47</v>
          </cell>
        </row>
        <row r="3208">
          <cell r="B3208" t="str">
            <v>5</v>
          </cell>
          <cell r="AN3208">
            <v>43.6</v>
          </cell>
          <cell r="AP3208">
            <v>47</v>
          </cell>
        </row>
        <row r="3209">
          <cell r="B3209" t="str">
            <v>5</v>
          </cell>
          <cell r="AN3209">
            <v>74</v>
          </cell>
          <cell r="AP3209">
            <v>47</v>
          </cell>
        </row>
        <row r="3210">
          <cell r="B3210" t="str">
            <v>5</v>
          </cell>
          <cell r="AN3210">
            <v>118.6</v>
          </cell>
          <cell r="AP3210">
            <v>47</v>
          </cell>
        </row>
        <row r="3211">
          <cell r="B3211" t="str">
            <v>5</v>
          </cell>
          <cell r="AN3211">
            <v>104.9</v>
          </cell>
          <cell r="AP3211">
            <v>47</v>
          </cell>
        </row>
        <row r="3212">
          <cell r="B3212" t="str">
            <v>6</v>
          </cell>
          <cell r="AN3212">
            <v>241.73999999999995</v>
          </cell>
          <cell r="AP3212">
            <v>47</v>
          </cell>
        </row>
        <row r="3213">
          <cell r="B3213" t="str">
            <v>6</v>
          </cell>
          <cell r="AN3213">
            <v>182</v>
          </cell>
          <cell r="AP3213">
            <v>47</v>
          </cell>
        </row>
        <row r="3214">
          <cell r="B3214" t="str">
            <v>6</v>
          </cell>
          <cell r="AN3214">
            <v>518.6099999999999</v>
          </cell>
          <cell r="AP3214">
            <v>47</v>
          </cell>
        </row>
        <row r="3215">
          <cell r="B3215" t="str">
            <v>7</v>
          </cell>
          <cell r="AN3215">
            <v>79.539999999999992</v>
          </cell>
          <cell r="AP3215">
            <v>47</v>
          </cell>
        </row>
        <row r="3216">
          <cell r="B3216" t="str">
            <v>7</v>
          </cell>
          <cell r="AN3216">
            <v>109.82</v>
          </cell>
          <cell r="AP3216">
            <v>47</v>
          </cell>
        </row>
        <row r="3217">
          <cell r="B3217" t="str">
            <v>7</v>
          </cell>
          <cell r="AN3217">
            <v>145.73000000000002</v>
          </cell>
          <cell r="AP3217">
            <v>47</v>
          </cell>
        </row>
        <row r="3218">
          <cell r="B3218" t="str">
            <v>7</v>
          </cell>
          <cell r="AN3218">
            <v>225.89000000000001</v>
          </cell>
          <cell r="AP3218">
            <v>47</v>
          </cell>
        </row>
        <row r="3219">
          <cell r="B3219" t="str">
            <v>7</v>
          </cell>
          <cell r="AN3219">
            <v>448.7</v>
          </cell>
          <cell r="AP3219">
            <v>47</v>
          </cell>
        </row>
        <row r="3220">
          <cell r="B3220" t="str">
            <v>8</v>
          </cell>
          <cell r="AN3220">
            <v>528.87999999999988</v>
          </cell>
          <cell r="AP3220">
            <v>47</v>
          </cell>
        </row>
        <row r="3221">
          <cell r="B3221" t="str">
            <v>8</v>
          </cell>
          <cell r="AN3221">
            <v>511.24999999999983</v>
          </cell>
          <cell r="AP3221">
            <v>47</v>
          </cell>
        </row>
        <row r="3222">
          <cell r="B3222" t="str">
            <v>6</v>
          </cell>
          <cell r="AN3222">
            <v>886.46999999999969</v>
          </cell>
          <cell r="AP3222">
            <v>47</v>
          </cell>
        </row>
        <row r="3223">
          <cell r="B3223" t="str">
            <v>6</v>
          </cell>
          <cell r="AN3223">
            <v>788.28999999999974</v>
          </cell>
          <cell r="AP3223">
            <v>47</v>
          </cell>
        </row>
        <row r="3224">
          <cell r="B3224" t="str">
            <v>8</v>
          </cell>
          <cell r="AN3224">
            <v>574.13</v>
          </cell>
          <cell r="AP3224">
            <v>47</v>
          </cell>
        </row>
        <row r="3225">
          <cell r="B3225" t="str">
            <v>8</v>
          </cell>
          <cell r="AN3225">
            <v>331.41999999999996</v>
          </cell>
          <cell r="AP3225">
            <v>47</v>
          </cell>
        </row>
        <row r="3226">
          <cell r="B3226" t="str">
            <v>8</v>
          </cell>
          <cell r="AN3226">
            <v>284.99</v>
          </cell>
          <cell r="AP3226">
            <v>47</v>
          </cell>
        </row>
        <row r="3227">
          <cell r="B3227" t="str">
            <v>6</v>
          </cell>
          <cell r="AN3227">
            <v>453.74</v>
          </cell>
          <cell r="AP3227">
            <v>47</v>
          </cell>
        </row>
        <row r="3228">
          <cell r="B3228" t="str">
            <v>6</v>
          </cell>
          <cell r="AN3228">
            <v>447.07000000000005</v>
          </cell>
          <cell r="AP3228">
            <v>47</v>
          </cell>
        </row>
        <row r="3229">
          <cell r="B3229" t="str">
            <v>6</v>
          </cell>
          <cell r="AN3229">
            <v>932.07999999999981</v>
          </cell>
          <cell r="AP3229">
            <v>47</v>
          </cell>
        </row>
        <row r="3230">
          <cell r="B3230" t="str">
            <v>7</v>
          </cell>
          <cell r="AN3230">
            <v>413.59999999999997</v>
          </cell>
          <cell r="AP3230">
            <v>47</v>
          </cell>
        </row>
        <row r="3231">
          <cell r="B3231" t="str">
            <v>7</v>
          </cell>
          <cell r="AN3231">
            <v>70.099999999999994</v>
          </cell>
          <cell r="AP3231">
            <v>47</v>
          </cell>
        </row>
        <row r="3232">
          <cell r="B3232" t="str">
            <v>7</v>
          </cell>
          <cell r="AN3232">
            <v>191.6</v>
          </cell>
          <cell r="AP3232">
            <v>47</v>
          </cell>
        </row>
        <row r="3233">
          <cell r="B3233" t="str">
            <v>7</v>
          </cell>
          <cell r="AN3233">
            <v>244.29999999999998</v>
          </cell>
          <cell r="AP3233">
            <v>47</v>
          </cell>
        </row>
        <row r="3234">
          <cell r="B3234" t="str">
            <v>7</v>
          </cell>
          <cell r="AN3234">
            <v>115.1</v>
          </cell>
          <cell r="AP3234">
            <v>47</v>
          </cell>
        </row>
        <row r="3235">
          <cell r="B3235" t="str">
            <v>7</v>
          </cell>
          <cell r="AN3235">
            <v>127.6</v>
          </cell>
          <cell r="AP3235">
            <v>47</v>
          </cell>
        </row>
        <row r="3236">
          <cell r="B3236" t="str">
            <v>8</v>
          </cell>
          <cell r="AN3236">
            <v>667.88</v>
          </cell>
          <cell r="AP3236">
            <v>47</v>
          </cell>
        </row>
        <row r="3237">
          <cell r="B3237" t="str">
            <v>8</v>
          </cell>
          <cell r="AN3237">
            <v>500.53999999999996</v>
          </cell>
          <cell r="AP3237">
            <v>47</v>
          </cell>
        </row>
        <row r="3238">
          <cell r="B3238" t="str">
            <v>2</v>
          </cell>
          <cell r="AN3238">
            <v>165.39999999999998</v>
          </cell>
          <cell r="AP3238">
            <v>47</v>
          </cell>
        </row>
        <row r="3239">
          <cell r="B3239" t="str">
            <v>2</v>
          </cell>
          <cell r="AN3239">
            <v>132.80000000000001</v>
          </cell>
          <cell r="AP3239">
            <v>47</v>
          </cell>
        </row>
        <row r="3240">
          <cell r="B3240" t="str">
            <v>4</v>
          </cell>
          <cell r="AN3240">
            <v>70.5</v>
          </cell>
          <cell r="AP3240">
            <v>47</v>
          </cell>
        </row>
        <row r="3241">
          <cell r="B3241" t="str">
            <v>4</v>
          </cell>
          <cell r="AN3241">
            <v>181.60000000000002</v>
          </cell>
          <cell r="AP3241">
            <v>47</v>
          </cell>
        </row>
        <row r="3242">
          <cell r="B3242" t="str">
            <v>4</v>
          </cell>
          <cell r="AN3242">
            <v>154</v>
          </cell>
          <cell r="AP3242">
            <v>47</v>
          </cell>
        </row>
        <row r="3243">
          <cell r="B3243" t="str">
            <v>4</v>
          </cell>
          <cell r="AN3243">
            <v>75.5</v>
          </cell>
          <cell r="AP3243">
            <v>47</v>
          </cell>
        </row>
        <row r="3244">
          <cell r="B3244" t="str">
            <v>6</v>
          </cell>
          <cell r="AN3244">
            <v>1010.8599999999999</v>
          </cell>
          <cell r="AP3244">
            <v>47</v>
          </cell>
        </row>
        <row r="3245">
          <cell r="B3245" t="str">
            <v>6</v>
          </cell>
          <cell r="AN3245">
            <v>1024.27</v>
          </cell>
          <cell r="AP3245">
            <v>47</v>
          </cell>
        </row>
        <row r="3246">
          <cell r="B3246" t="str">
            <v>7</v>
          </cell>
          <cell r="AN3246">
            <v>255.96</v>
          </cell>
          <cell r="AP3246">
            <v>47</v>
          </cell>
        </row>
        <row r="3247">
          <cell r="B3247" t="str">
            <v>7</v>
          </cell>
          <cell r="AN3247">
            <v>292.44000000000005</v>
          </cell>
          <cell r="AP3247">
            <v>47</v>
          </cell>
        </row>
        <row r="3248">
          <cell r="B3248" t="str">
            <v>7</v>
          </cell>
          <cell r="AN3248">
            <v>71.42</v>
          </cell>
          <cell r="AP3248">
            <v>47</v>
          </cell>
        </row>
        <row r="3249">
          <cell r="B3249" t="str">
            <v>7</v>
          </cell>
          <cell r="AN3249">
            <v>377.97999999999996</v>
          </cell>
          <cell r="AP3249">
            <v>47</v>
          </cell>
        </row>
        <row r="3250">
          <cell r="B3250" t="str">
            <v>7</v>
          </cell>
          <cell r="AN3250">
            <v>97.36</v>
          </cell>
          <cell r="AP3250">
            <v>47</v>
          </cell>
        </row>
        <row r="3251">
          <cell r="B3251" t="str">
            <v>8</v>
          </cell>
          <cell r="AN3251">
            <v>263.61</v>
          </cell>
          <cell r="AP3251">
            <v>47</v>
          </cell>
        </row>
        <row r="3252">
          <cell r="B3252" t="str">
            <v>8</v>
          </cell>
          <cell r="AN3252">
            <v>774.7299999999999</v>
          </cell>
          <cell r="AP3252">
            <v>47</v>
          </cell>
        </row>
        <row r="3253">
          <cell r="B3253" t="str">
            <v>2</v>
          </cell>
          <cell r="AN3253">
            <v>64.400000000000006</v>
          </cell>
          <cell r="AP3253">
            <v>47</v>
          </cell>
        </row>
        <row r="3254">
          <cell r="B3254" t="str">
            <v>2</v>
          </cell>
          <cell r="AN3254">
            <v>42.5</v>
          </cell>
          <cell r="AP3254">
            <v>47</v>
          </cell>
        </row>
        <row r="3255">
          <cell r="B3255" t="str">
            <v>4</v>
          </cell>
          <cell r="AN3255">
            <v>63.7</v>
          </cell>
          <cell r="AP3255">
            <v>47</v>
          </cell>
        </row>
        <row r="3256">
          <cell r="B3256" t="str">
            <v>4</v>
          </cell>
          <cell r="AN3256">
            <v>354.2</v>
          </cell>
          <cell r="AP3256">
            <v>47</v>
          </cell>
        </row>
        <row r="3257">
          <cell r="B3257" t="str">
            <v>6</v>
          </cell>
          <cell r="AN3257">
            <v>1039.01</v>
          </cell>
          <cell r="AP3257">
            <v>47</v>
          </cell>
        </row>
        <row r="3258">
          <cell r="B3258" t="str">
            <v>6</v>
          </cell>
          <cell r="AN3258">
            <v>1162.28</v>
          </cell>
          <cell r="AP3258">
            <v>47</v>
          </cell>
        </row>
        <row r="3259">
          <cell r="B3259" t="str">
            <v>7</v>
          </cell>
          <cell r="AN3259">
            <v>748.9000000000002</v>
          </cell>
          <cell r="AP3259">
            <v>47</v>
          </cell>
        </row>
        <row r="3260">
          <cell r="B3260" t="str">
            <v>7</v>
          </cell>
          <cell r="AN3260">
            <v>151.69999999999999</v>
          </cell>
          <cell r="AP3260">
            <v>47</v>
          </cell>
        </row>
        <row r="3261">
          <cell r="B3261" t="str">
            <v>7</v>
          </cell>
          <cell r="AN3261">
            <v>415.6</v>
          </cell>
          <cell r="AP3261">
            <v>47</v>
          </cell>
        </row>
        <row r="3262">
          <cell r="B3262" t="str">
            <v>7</v>
          </cell>
          <cell r="AN3262">
            <v>119.30000000000001</v>
          </cell>
          <cell r="AP3262">
            <v>47</v>
          </cell>
        </row>
        <row r="3263">
          <cell r="B3263" t="str">
            <v>8</v>
          </cell>
          <cell r="AN3263">
            <v>535.83000000000004</v>
          </cell>
          <cell r="AP3263">
            <v>47</v>
          </cell>
        </row>
        <row r="3264">
          <cell r="B3264" t="str">
            <v>8</v>
          </cell>
          <cell r="AN3264">
            <v>412.02000000000004</v>
          </cell>
          <cell r="AP3264">
            <v>47</v>
          </cell>
        </row>
        <row r="3265">
          <cell r="B3265" t="str">
            <v>2</v>
          </cell>
          <cell r="AN3265">
            <v>37.4</v>
          </cell>
          <cell r="AP3265">
            <v>48</v>
          </cell>
        </row>
        <row r="3266">
          <cell r="B3266" t="str">
            <v>2</v>
          </cell>
          <cell r="AN3266">
            <v>63.239999999999995</v>
          </cell>
          <cell r="AP3266">
            <v>48</v>
          </cell>
        </row>
        <row r="3267">
          <cell r="B3267" t="str">
            <v>5</v>
          </cell>
          <cell r="AN3267">
            <v>218.88</v>
          </cell>
          <cell r="AP3267">
            <v>48</v>
          </cell>
        </row>
        <row r="3268">
          <cell r="B3268" t="str">
            <v>6</v>
          </cell>
          <cell r="AN3268">
            <v>1139.5400000000002</v>
          </cell>
          <cell r="AP3268">
            <v>48</v>
          </cell>
        </row>
        <row r="3269">
          <cell r="B3269" t="str">
            <v>6</v>
          </cell>
          <cell r="AN3269">
            <v>1114.95</v>
          </cell>
          <cell r="AP3269">
            <v>48</v>
          </cell>
        </row>
        <row r="3270">
          <cell r="B3270" t="str">
            <v>7</v>
          </cell>
          <cell r="AN3270">
            <v>101</v>
          </cell>
          <cell r="AP3270">
            <v>48</v>
          </cell>
        </row>
        <row r="3271">
          <cell r="B3271" t="str">
            <v>7</v>
          </cell>
          <cell r="AN3271">
            <v>121.80000000000001</v>
          </cell>
          <cell r="AP3271">
            <v>48</v>
          </cell>
        </row>
        <row r="3272">
          <cell r="B3272" t="str">
            <v>7</v>
          </cell>
          <cell r="AN3272">
            <v>119.4</v>
          </cell>
          <cell r="AP3272">
            <v>48</v>
          </cell>
        </row>
        <row r="3273">
          <cell r="B3273" t="str">
            <v>7</v>
          </cell>
          <cell r="AN3273">
            <v>120.1</v>
          </cell>
          <cell r="AP3273">
            <v>48</v>
          </cell>
        </row>
        <row r="3274">
          <cell r="B3274" t="str">
            <v>7</v>
          </cell>
          <cell r="AN3274">
            <v>129.1</v>
          </cell>
          <cell r="AP3274">
            <v>48</v>
          </cell>
        </row>
        <row r="3275">
          <cell r="B3275" t="str">
            <v>7</v>
          </cell>
          <cell r="AN3275">
            <v>474.44</v>
          </cell>
          <cell r="AP3275">
            <v>48</v>
          </cell>
        </row>
        <row r="3276">
          <cell r="B3276" t="str">
            <v>8</v>
          </cell>
          <cell r="AN3276">
            <v>504.88</v>
          </cell>
          <cell r="AP3276">
            <v>48</v>
          </cell>
        </row>
        <row r="3277">
          <cell r="B3277" t="str">
            <v>8</v>
          </cell>
          <cell r="AN3277">
            <v>530.04</v>
          </cell>
          <cell r="AP3277">
            <v>48</v>
          </cell>
        </row>
        <row r="3278">
          <cell r="B3278" t="str">
            <v>2</v>
          </cell>
          <cell r="AN3278">
            <v>135</v>
          </cell>
          <cell r="AP3278">
            <v>48</v>
          </cell>
        </row>
        <row r="3279">
          <cell r="B3279" t="str">
            <v>2</v>
          </cell>
          <cell r="AN3279">
            <v>200</v>
          </cell>
          <cell r="AP3279">
            <v>48</v>
          </cell>
        </row>
        <row r="3280">
          <cell r="B3280" t="str">
            <v>2</v>
          </cell>
          <cell r="AP3280">
            <v>48</v>
          </cell>
        </row>
        <row r="3281">
          <cell r="B3281" t="str">
            <v>2</v>
          </cell>
          <cell r="AP3281">
            <v>48</v>
          </cell>
        </row>
        <row r="3282">
          <cell r="B3282" t="str">
            <v>4</v>
          </cell>
          <cell r="AN3282">
            <v>200</v>
          </cell>
          <cell r="AP3282">
            <v>48</v>
          </cell>
        </row>
        <row r="3283">
          <cell r="B3283" t="str">
            <v>4</v>
          </cell>
          <cell r="AP3283">
            <v>48</v>
          </cell>
        </row>
        <row r="3284">
          <cell r="B3284" t="str">
            <v>5</v>
          </cell>
          <cell r="AN3284">
            <v>400</v>
          </cell>
          <cell r="AP3284">
            <v>48</v>
          </cell>
        </row>
        <row r="3285">
          <cell r="B3285" t="str">
            <v>5</v>
          </cell>
          <cell r="AP3285">
            <v>48</v>
          </cell>
        </row>
        <row r="3286">
          <cell r="B3286" t="str">
            <v>5</v>
          </cell>
          <cell r="AP3286">
            <v>48</v>
          </cell>
        </row>
        <row r="3287">
          <cell r="B3287" t="str">
            <v>5</v>
          </cell>
          <cell r="AN3287">
            <v>440</v>
          </cell>
          <cell r="AP3287">
            <v>48</v>
          </cell>
        </row>
        <row r="3288">
          <cell r="B3288" t="str">
            <v>5</v>
          </cell>
          <cell r="AP3288">
            <v>48</v>
          </cell>
        </row>
        <row r="3289">
          <cell r="B3289" t="str">
            <v>6</v>
          </cell>
          <cell r="AN3289">
            <v>1130</v>
          </cell>
          <cell r="AP3289">
            <v>48</v>
          </cell>
        </row>
        <row r="3290">
          <cell r="B3290" t="str">
            <v>6</v>
          </cell>
          <cell r="AN3290">
            <v>1130</v>
          </cell>
          <cell r="AP3290">
            <v>48</v>
          </cell>
        </row>
        <row r="3291">
          <cell r="B3291" t="str">
            <v>7</v>
          </cell>
          <cell r="AN3291">
            <v>520</v>
          </cell>
          <cell r="AP3291">
            <v>48</v>
          </cell>
        </row>
        <row r="3292">
          <cell r="B3292" t="str">
            <v>7</v>
          </cell>
          <cell r="AP3292">
            <v>48</v>
          </cell>
        </row>
        <row r="3293">
          <cell r="B3293" t="str">
            <v>7</v>
          </cell>
          <cell r="AP3293">
            <v>48</v>
          </cell>
        </row>
        <row r="3294">
          <cell r="B3294" t="str">
            <v>7</v>
          </cell>
          <cell r="AN3294">
            <v>650</v>
          </cell>
          <cell r="AP3294">
            <v>48</v>
          </cell>
        </row>
        <row r="3295">
          <cell r="B3295" t="str">
            <v>7</v>
          </cell>
          <cell r="AP3295">
            <v>48</v>
          </cell>
        </row>
        <row r="3296">
          <cell r="B3296" t="str">
            <v>8</v>
          </cell>
          <cell r="AN3296">
            <v>680</v>
          </cell>
          <cell r="AP3296">
            <v>48</v>
          </cell>
        </row>
        <row r="3297">
          <cell r="B3297" t="str">
            <v>8</v>
          </cell>
          <cell r="AN3297">
            <v>680</v>
          </cell>
          <cell r="AP3297">
            <v>48</v>
          </cell>
        </row>
        <row r="3298">
          <cell r="B3298" t="str">
            <v>1</v>
          </cell>
          <cell r="AN3298">
            <v>123.75</v>
          </cell>
          <cell r="AP3298">
            <v>48</v>
          </cell>
        </row>
        <row r="3299">
          <cell r="B3299" t="str">
            <v>2</v>
          </cell>
          <cell r="AN3299">
            <v>159.51999999999998</v>
          </cell>
          <cell r="AP3299">
            <v>48</v>
          </cell>
        </row>
        <row r="3300">
          <cell r="B3300" t="str">
            <v>2</v>
          </cell>
          <cell r="AN3300">
            <v>57.8</v>
          </cell>
          <cell r="AP3300">
            <v>48</v>
          </cell>
        </row>
        <row r="3301">
          <cell r="B3301" t="str">
            <v>2</v>
          </cell>
          <cell r="AN3301">
            <v>65.400000000000006</v>
          </cell>
          <cell r="AP3301">
            <v>48</v>
          </cell>
        </row>
        <row r="3302">
          <cell r="B3302" t="str">
            <v>5</v>
          </cell>
          <cell r="AN3302">
            <v>163.98000000000002</v>
          </cell>
          <cell r="AP3302">
            <v>48</v>
          </cell>
        </row>
        <row r="3303">
          <cell r="B3303" t="str">
            <v>5</v>
          </cell>
          <cell r="AN3303">
            <v>111.74</v>
          </cell>
          <cell r="AP3303">
            <v>48</v>
          </cell>
        </row>
        <row r="3304">
          <cell r="B3304" t="str">
            <v>5</v>
          </cell>
          <cell r="AN3304">
            <v>140.1</v>
          </cell>
          <cell r="AP3304">
            <v>48</v>
          </cell>
        </row>
        <row r="3305">
          <cell r="B3305" t="str">
            <v>5</v>
          </cell>
          <cell r="AN3305">
            <v>210.4</v>
          </cell>
          <cell r="AP3305">
            <v>48</v>
          </cell>
        </row>
        <row r="3306">
          <cell r="B3306" t="str">
            <v>4</v>
          </cell>
          <cell r="AN3306">
            <v>215.16000000000003</v>
          </cell>
          <cell r="AP3306">
            <v>48</v>
          </cell>
        </row>
        <row r="3307">
          <cell r="B3307" t="str">
            <v>4</v>
          </cell>
          <cell r="AN3307">
            <v>142.30000000000001</v>
          </cell>
          <cell r="AP3307">
            <v>48</v>
          </cell>
        </row>
        <row r="3308">
          <cell r="B3308" t="str">
            <v>4</v>
          </cell>
          <cell r="AN3308">
            <v>51.8</v>
          </cell>
          <cell r="AP3308">
            <v>48</v>
          </cell>
        </row>
        <row r="3309">
          <cell r="B3309" t="str">
            <v>4</v>
          </cell>
          <cell r="AN3309">
            <v>156.6</v>
          </cell>
          <cell r="AP3309">
            <v>48</v>
          </cell>
        </row>
        <row r="3310">
          <cell r="B3310" t="str">
            <v>7</v>
          </cell>
          <cell r="AN3310">
            <v>340.59999999999997</v>
          </cell>
          <cell r="AP3310">
            <v>48</v>
          </cell>
        </row>
        <row r="3311">
          <cell r="B3311" t="str">
            <v>7</v>
          </cell>
          <cell r="AN3311">
            <v>181.9</v>
          </cell>
          <cell r="AP3311">
            <v>48</v>
          </cell>
        </row>
        <row r="3312">
          <cell r="B3312" t="str">
            <v>7</v>
          </cell>
          <cell r="AN3312">
            <v>70</v>
          </cell>
          <cell r="AP3312">
            <v>48</v>
          </cell>
        </row>
        <row r="3313">
          <cell r="B3313" t="str">
            <v>7</v>
          </cell>
          <cell r="AN3313">
            <v>56.66</v>
          </cell>
          <cell r="AP3313">
            <v>48</v>
          </cell>
        </row>
        <row r="3314">
          <cell r="B3314" t="str">
            <v>7</v>
          </cell>
          <cell r="AN3314">
            <v>376.7</v>
          </cell>
          <cell r="AP3314">
            <v>48</v>
          </cell>
        </row>
        <row r="3315">
          <cell r="B3315" t="str">
            <v>7</v>
          </cell>
          <cell r="AN3315">
            <v>328.92</v>
          </cell>
          <cell r="AP3315">
            <v>48</v>
          </cell>
        </row>
        <row r="3316">
          <cell r="B3316" t="str">
            <v>8</v>
          </cell>
          <cell r="AN3316">
            <v>612.31999999999994</v>
          </cell>
          <cell r="AP3316">
            <v>48</v>
          </cell>
        </row>
        <row r="3317">
          <cell r="B3317" t="str">
            <v>8</v>
          </cell>
          <cell r="AN3317">
            <v>602.09999999999991</v>
          </cell>
          <cell r="AP3317">
            <v>48</v>
          </cell>
        </row>
        <row r="3318">
          <cell r="B3318" t="str">
            <v>6</v>
          </cell>
          <cell r="AN3318">
            <v>1099.5999999999997</v>
          </cell>
          <cell r="AP3318">
            <v>48</v>
          </cell>
        </row>
        <row r="3319">
          <cell r="B3319" t="str">
            <v>6</v>
          </cell>
          <cell r="AN3319">
            <v>1071.75</v>
          </cell>
          <cell r="AP3319">
            <v>48</v>
          </cell>
        </row>
        <row r="3320">
          <cell r="B3320" t="str">
            <v>1</v>
          </cell>
          <cell r="AN3320">
            <v>48.7</v>
          </cell>
          <cell r="AP3320">
            <v>48</v>
          </cell>
        </row>
        <row r="3321">
          <cell r="B3321" t="str">
            <v>1</v>
          </cell>
          <cell r="AN3321">
            <v>140.26</v>
          </cell>
          <cell r="AP3321">
            <v>48</v>
          </cell>
        </row>
        <row r="3322">
          <cell r="B3322" t="str">
            <v>1</v>
          </cell>
          <cell r="AN3322">
            <v>185.09999999999997</v>
          </cell>
          <cell r="AP3322">
            <v>48</v>
          </cell>
        </row>
        <row r="3323">
          <cell r="B3323" t="str">
            <v>2</v>
          </cell>
          <cell r="AN3323">
            <v>123.47999999999999</v>
          </cell>
          <cell r="AP3323">
            <v>48</v>
          </cell>
        </row>
        <row r="3324">
          <cell r="B3324" t="str">
            <v>2</v>
          </cell>
          <cell r="AN3324">
            <v>40.5</v>
          </cell>
          <cell r="AP3324">
            <v>48</v>
          </cell>
        </row>
        <row r="3325">
          <cell r="B3325" t="str">
            <v>2</v>
          </cell>
          <cell r="AN3325">
            <v>101</v>
          </cell>
          <cell r="AP3325">
            <v>48</v>
          </cell>
        </row>
        <row r="3326">
          <cell r="B3326" t="str">
            <v>4</v>
          </cell>
          <cell r="AN3326">
            <v>293.72000000000003</v>
          </cell>
          <cell r="AP3326">
            <v>48</v>
          </cell>
        </row>
        <row r="3327">
          <cell r="B3327" t="str">
            <v>4</v>
          </cell>
          <cell r="AN3327">
            <v>80.5</v>
          </cell>
          <cell r="AP3327">
            <v>48</v>
          </cell>
        </row>
        <row r="3328">
          <cell r="B3328" t="str">
            <v>4</v>
          </cell>
          <cell r="AN3328">
            <v>185.7</v>
          </cell>
          <cell r="AP3328">
            <v>48</v>
          </cell>
        </row>
        <row r="3329">
          <cell r="B3329" t="str">
            <v>4</v>
          </cell>
          <cell r="AN3329">
            <v>67.5</v>
          </cell>
          <cell r="AP3329">
            <v>48</v>
          </cell>
        </row>
        <row r="3330">
          <cell r="B3330" t="str">
            <v>5</v>
          </cell>
          <cell r="AN3330">
            <v>401.9</v>
          </cell>
          <cell r="AP3330">
            <v>48</v>
          </cell>
        </row>
        <row r="3331">
          <cell r="B3331" t="str">
            <v>5</v>
          </cell>
          <cell r="AN3331">
            <v>120.9</v>
          </cell>
          <cell r="AP3331">
            <v>48</v>
          </cell>
        </row>
        <row r="3332">
          <cell r="B3332" t="str">
            <v>5</v>
          </cell>
          <cell r="AN3332">
            <v>263.60000000000002</v>
          </cell>
          <cell r="AP3332">
            <v>48</v>
          </cell>
        </row>
        <row r="3333">
          <cell r="B3333" t="str">
            <v>6</v>
          </cell>
          <cell r="AN3333">
            <v>1117.98</v>
          </cell>
          <cell r="AP3333">
            <v>48</v>
          </cell>
        </row>
        <row r="3334">
          <cell r="B3334" t="str">
            <v>6</v>
          </cell>
          <cell r="AN3334">
            <v>1071.49</v>
          </cell>
          <cell r="AP3334">
            <v>48</v>
          </cell>
        </row>
        <row r="3335">
          <cell r="B3335" t="str">
            <v>7</v>
          </cell>
          <cell r="AN3335">
            <v>733.14</v>
          </cell>
          <cell r="AP3335">
            <v>48</v>
          </cell>
        </row>
        <row r="3336">
          <cell r="B3336" t="str">
            <v>7</v>
          </cell>
          <cell r="AN3336">
            <v>48.14</v>
          </cell>
          <cell r="AP3336">
            <v>48</v>
          </cell>
        </row>
        <row r="3337">
          <cell r="B3337" t="str">
            <v>7</v>
          </cell>
          <cell r="AN3337">
            <v>137.21000000000004</v>
          </cell>
          <cell r="AP3337">
            <v>48</v>
          </cell>
        </row>
        <row r="3338">
          <cell r="B3338" t="str">
            <v>8</v>
          </cell>
          <cell r="AN3338">
            <v>689.64</v>
          </cell>
          <cell r="AP3338">
            <v>48</v>
          </cell>
        </row>
        <row r="3339">
          <cell r="B3339" t="str">
            <v>8</v>
          </cell>
          <cell r="AN3339">
            <v>674.04000000000008</v>
          </cell>
          <cell r="AP3339">
            <v>48</v>
          </cell>
        </row>
        <row r="3340">
          <cell r="B3340" t="str">
            <v>1</v>
          </cell>
          <cell r="AN3340">
            <v>64.2</v>
          </cell>
          <cell r="AP3340">
            <v>48</v>
          </cell>
        </row>
        <row r="3341">
          <cell r="B3341" t="str">
            <v>1</v>
          </cell>
          <cell r="AN3341">
            <v>164.06</v>
          </cell>
          <cell r="AP3341">
            <v>48</v>
          </cell>
        </row>
        <row r="3342">
          <cell r="B3342" t="str">
            <v>1</v>
          </cell>
          <cell r="AN3342">
            <v>113.3</v>
          </cell>
          <cell r="AP3342">
            <v>48</v>
          </cell>
        </row>
        <row r="3343">
          <cell r="B3343" t="str">
            <v>1</v>
          </cell>
          <cell r="AN3343">
            <v>111.69999999999999</v>
          </cell>
          <cell r="AP3343">
            <v>48</v>
          </cell>
        </row>
        <row r="3344">
          <cell r="B3344" t="str">
            <v>2</v>
          </cell>
          <cell r="AN3344">
            <v>53</v>
          </cell>
          <cell r="AP3344">
            <v>48</v>
          </cell>
        </row>
        <row r="3345">
          <cell r="B3345" t="str">
            <v>2</v>
          </cell>
          <cell r="AN3345">
            <v>100.96000000000001</v>
          </cell>
          <cell r="AP3345">
            <v>48</v>
          </cell>
        </row>
        <row r="3346">
          <cell r="B3346" t="str">
            <v>2</v>
          </cell>
          <cell r="AN3346">
            <v>57.72</v>
          </cell>
          <cell r="AP3346">
            <v>48</v>
          </cell>
        </row>
        <row r="3347">
          <cell r="B3347" t="str">
            <v>2</v>
          </cell>
          <cell r="AN3347">
            <v>179.10000000000002</v>
          </cell>
          <cell r="AP3347">
            <v>48</v>
          </cell>
        </row>
        <row r="3348">
          <cell r="B3348" t="str">
            <v>4</v>
          </cell>
          <cell r="AN3348">
            <v>70</v>
          </cell>
          <cell r="AP3348">
            <v>48</v>
          </cell>
        </row>
        <row r="3349">
          <cell r="B3349" t="str">
            <v>4</v>
          </cell>
          <cell r="AN3349">
            <v>89.64</v>
          </cell>
          <cell r="AP3349">
            <v>48</v>
          </cell>
        </row>
        <row r="3350">
          <cell r="B3350" t="str">
            <v>4</v>
          </cell>
          <cell r="AN3350">
            <v>140.6</v>
          </cell>
          <cell r="AP3350">
            <v>48</v>
          </cell>
        </row>
        <row r="3351">
          <cell r="B3351" t="str">
            <v>4</v>
          </cell>
          <cell r="AN3351">
            <v>35.78</v>
          </cell>
          <cell r="AP3351">
            <v>48</v>
          </cell>
        </row>
        <row r="3352">
          <cell r="B3352" t="str">
            <v>4</v>
          </cell>
          <cell r="AN3352">
            <v>370.28999999999996</v>
          </cell>
          <cell r="AP3352">
            <v>48</v>
          </cell>
        </row>
        <row r="3353">
          <cell r="B3353" t="str">
            <v>5</v>
          </cell>
          <cell r="AN3353">
            <v>260.39999999999998</v>
          </cell>
          <cell r="AP3353">
            <v>48</v>
          </cell>
        </row>
        <row r="3354">
          <cell r="B3354" t="str">
            <v>5</v>
          </cell>
          <cell r="AN3354">
            <v>209.45</v>
          </cell>
          <cell r="AP3354">
            <v>48</v>
          </cell>
        </row>
        <row r="3355">
          <cell r="B3355" t="str">
            <v>5</v>
          </cell>
          <cell r="AN3355">
            <v>133.55000000000001</v>
          </cell>
          <cell r="AP3355">
            <v>48</v>
          </cell>
        </row>
        <row r="3356">
          <cell r="B3356" t="str">
            <v>6</v>
          </cell>
          <cell r="AN3356">
            <v>1114.76</v>
          </cell>
          <cell r="AP3356">
            <v>48</v>
          </cell>
        </row>
        <row r="3357">
          <cell r="B3357" t="str">
            <v>6</v>
          </cell>
          <cell r="AN3357">
            <v>1162.18</v>
          </cell>
          <cell r="AP3357">
            <v>48</v>
          </cell>
        </row>
        <row r="3358">
          <cell r="B3358" t="str">
            <v>7</v>
          </cell>
          <cell r="AN3358">
            <v>60</v>
          </cell>
          <cell r="AP3358">
            <v>48</v>
          </cell>
        </row>
        <row r="3359">
          <cell r="B3359" t="str">
            <v>7</v>
          </cell>
          <cell r="AN3359">
            <v>335.16</v>
          </cell>
          <cell r="AP3359">
            <v>48</v>
          </cell>
        </row>
        <row r="3360">
          <cell r="B3360" t="str">
            <v>7</v>
          </cell>
          <cell r="AN3360">
            <v>112.3</v>
          </cell>
          <cell r="AP3360">
            <v>48</v>
          </cell>
        </row>
        <row r="3361">
          <cell r="B3361" t="str">
            <v>7</v>
          </cell>
          <cell r="AN3361">
            <v>46.3</v>
          </cell>
          <cell r="AP3361">
            <v>48</v>
          </cell>
        </row>
        <row r="3362">
          <cell r="B3362" t="str">
            <v>7</v>
          </cell>
          <cell r="AN3362">
            <v>146.35</v>
          </cell>
          <cell r="AP3362">
            <v>48</v>
          </cell>
        </row>
        <row r="3363">
          <cell r="B3363" t="str">
            <v>7</v>
          </cell>
          <cell r="AN3363">
            <v>189.8</v>
          </cell>
          <cell r="AP3363">
            <v>48</v>
          </cell>
        </row>
        <row r="3364">
          <cell r="B3364" t="str">
            <v>7</v>
          </cell>
          <cell r="AN3364">
            <v>99.7</v>
          </cell>
          <cell r="AP3364">
            <v>48</v>
          </cell>
        </row>
        <row r="3365">
          <cell r="B3365" t="str">
            <v>7</v>
          </cell>
          <cell r="AN3365">
            <v>111.6</v>
          </cell>
          <cell r="AP3365">
            <v>48</v>
          </cell>
        </row>
        <row r="3366">
          <cell r="B3366" t="str">
            <v>8</v>
          </cell>
          <cell r="AN3366">
            <v>605.04999999999995</v>
          </cell>
          <cell r="AP3366">
            <v>48</v>
          </cell>
        </row>
        <row r="3367">
          <cell r="B3367" t="str">
            <v>8</v>
          </cell>
          <cell r="AN3367">
            <v>659.72000000000014</v>
          </cell>
          <cell r="AP3367">
            <v>48</v>
          </cell>
        </row>
        <row r="3368">
          <cell r="B3368" t="str">
            <v>1</v>
          </cell>
          <cell r="AN3368">
            <v>171.25</v>
          </cell>
          <cell r="AP3368">
            <v>48</v>
          </cell>
        </row>
        <row r="3369">
          <cell r="B3369" t="str">
            <v>1</v>
          </cell>
          <cell r="AN3369">
            <v>60</v>
          </cell>
          <cell r="AP3369">
            <v>48</v>
          </cell>
        </row>
        <row r="3370">
          <cell r="B3370" t="str">
            <v>2</v>
          </cell>
          <cell r="AN3370">
            <v>68.12</v>
          </cell>
          <cell r="AP3370">
            <v>48</v>
          </cell>
        </row>
        <row r="3371">
          <cell r="B3371" t="str">
            <v>2</v>
          </cell>
          <cell r="AN3371">
            <v>100.36</v>
          </cell>
          <cell r="AP3371">
            <v>48</v>
          </cell>
        </row>
        <row r="3372">
          <cell r="B3372" t="str">
            <v>2</v>
          </cell>
          <cell r="AN3372">
            <v>42.9</v>
          </cell>
          <cell r="AP3372">
            <v>48</v>
          </cell>
        </row>
        <row r="3373">
          <cell r="B3373" t="str">
            <v>4</v>
          </cell>
          <cell r="AN3373">
            <v>281.22000000000003</v>
          </cell>
          <cell r="AP3373">
            <v>48</v>
          </cell>
        </row>
        <row r="3374">
          <cell r="B3374" t="str">
            <v>4</v>
          </cell>
          <cell r="AN3374">
            <v>117.1</v>
          </cell>
          <cell r="AP3374">
            <v>48</v>
          </cell>
        </row>
        <row r="3375">
          <cell r="B3375" t="str">
            <v>4</v>
          </cell>
          <cell r="AN3375">
            <v>115.1</v>
          </cell>
          <cell r="AP3375">
            <v>48</v>
          </cell>
        </row>
        <row r="3376">
          <cell r="B3376" t="str">
            <v>4</v>
          </cell>
          <cell r="AN3376">
            <v>119.1</v>
          </cell>
          <cell r="AP3376">
            <v>48</v>
          </cell>
        </row>
        <row r="3377">
          <cell r="B3377" t="str">
            <v>5</v>
          </cell>
          <cell r="AN3377">
            <v>47.7</v>
          </cell>
          <cell r="AP3377">
            <v>48</v>
          </cell>
        </row>
        <row r="3378">
          <cell r="B3378" t="str">
            <v>5</v>
          </cell>
          <cell r="AN3378">
            <v>185.84</v>
          </cell>
          <cell r="AP3378">
            <v>48</v>
          </cell>
        </row>
        <row r="3379">
          <cell r="B3379" t="str">
            <v>5</v>
          </cell>
          <cell r="AN3379">
            <v>93.84</v>
          </cell>
          <cell r="AP3379">
            <v>48</v>
          </cell>
        </row>
        <row r="3380">
          <cell r="B3380" t="str">
            <v>5</v>
          </cell>
          <cell r="AN3380">
            <v>139.5</v>
          </cell>
          <cell r="AP3380">
            <v>48</v>
          </cell>
        </row>
        <row r="3381">
          <cell r="B3381" t="str">
            <v>5</v>
          </cell>
          <cell r="AN3381">
            <v>158.30000000000001</v>
          </cell>
          <cell r="AP3381">
            <v>48</v>
          </cell>
        </row>
        <row r="3382">
          <cell r="B3382" t="str">
            <v>6</v>
          </cell>
          <cell r="AN3382">
            <v>868.43</v>
          </cell>
          <cell r="AP3382">
            <v>48</v>
          </cell>
        </row>
        <row r="3383">
          <cell r="B3383" t="str">
            <v>6</v>
          </cell>
          <cell r="AN3383">
            <v>1050.94</v>
          </cell>
          <cell r="AP3383">
            <v>48</v>
          </cell>
        </row>
        <row r="3384">
          <cell r="B3384" t="str">
            <v>7</v>
          </cell>
          <cell r="AN3384">
            <v>115.4</v>
          </cell>
          <cell r="AP3384">
            <v>48</v>
          </cell>
        </row>
        <row r="3385">
          <cell r="B3385" t="str">
            <v>7</v>
          </cell>
          <cell r="AN3385">
            <v>131.13</v>
          </cell>
          <cell r="AP3385">
            <v>48</v>
          </cell>
        </row>
        <row r="3386">
          <cell r="B3386" t="str">
            <v>7</v>
          </cell>
          <cell r="AN3386">
            <v>119.1</v>
          </cell>
          <cell r="AP3386">
            <v>48</v>
          </cell>
        </row>
        <row r="3387">
          <cell r="B3387" t="str">
            <v>7</v>
          </cell>
          <cell r="AN3387">
            <v>259.18</v>
          </cell>
          <cell r="AP3387">
            <v>48</v>
          </cell>
        </row>
        <row r="3388">
          <cell r="B3388" t="str">
            <v>7</v>
          </cell>
          <cell r="AN3388">
            <v>167.57</v>
          </cell>
          <cell r="AP3388">
            <v>48</v>
          </cell>
        </row>
        <row r="3389">
          <cell r="B3389" t="str">
            <v>8</v>
          </cell>
          <cell r="AN3389">
            <v>727.38</v>
          </cell>
          <cell r="AP3389">
            <v>48</v>
          </cell>
        </row>
        <row r="3390">
          <cell r="B3390" t="str">
            <v>8</v>
          </cell>
          <cell r="AN3390">
            <v>713.11999999999989</v>
          </cell>
          <cell r="AP3390">
            <v>48</v>
          </cell>
        </row>
        <row r="3391">
          <cell r="B3391" t="str">
            <v>4</v>
          </cell>
          <cell r="AN3391">
            <v>260.60000000000002</v>
          </cell>
          <cell r="AP3391">
            <v>48</v>
          </cell>
        </row>
        <row r="3392">
          <cell r="B3392" t="str">
            <v>4</v>
          </cell>
          <cell r="AN3392">
            <v>129.80000000000001</v>
          </cell>
          <cell r="AP3392">
            <v>48</v>
          </cell>
        </row>
        <row r="3393">
          <cell r="B3393" t="str">
            <v>4</v>
          </cell>
          <cell r="AN3393">
            <v>258.20000000000005</v>
          </cell>
          <cell r="AP3393">
            <v>48</v>
          </cell>
        </row>
        <row r="3394">
          <cell r="B3394" t="str">
            <v>4</v>
          </cell>
          <cell r="AN3394">
            <v>83.4</v>
          </cell>
          <cell r="AP3394">
            <v>48</v>
          </cell>
        </row>
        <row r="3395">
          <cell r="B3395" t="str">
            <v>5</v>
          </cell>
          <cell r="AN3395">
            <v>365.5</v>
          </cell>
          <cell r="AP3395">
            <v>48</v>
          </cell>
        </row>
        <row r="3396">
          <cell r="B3396" t="str">
            <v>5</v>
          </cell>
          <cell r="AN3396">
            <v>324.79999999999995</v>
          </cell>
          <cell r="AP3396">
            <v>48</v>
          </cell>
        </row>
        <row r="3397">
          <cell r="B3397" t="str">
            <v>6</v>
          </cell>
          <cell r="AN3397">
            <v>1094.8500000000004</v>
          </cell>
          <cell r="AP3397">
            <v>48</v>
          </cell>
        </row>
        <row r="3398">
          <cell r="B3398" t="str">
            <v>6</v>
          </cell>
          <cell r="AN3398">
            <v>1104.0299999999997</v>
          </cell>
          <cell r="AP3398">
            <v>48</v>
          </cell>
        </row>
        <row r="3399">
          <cell r="B3399" t="str">
            <v>7</v>
          </cell>
          <cell r="AN3399">
            <v>124.69999999999999</v>
          </cell>
          <cell r="AP3399">
            <v>48</v>
          </cell>
        </row>
        <row r="3400">
          <cell r="B3400" t="str">
            <v>7</v>
          </cell>
          <cell r="AN3400">
            <v>119.4</v>
          </cell>
          <cell r="AP3400">
            <v>48</v>
          </cell>
        </row>
        <row r="3401">
          <cell r="B3401" t="str">
            <v>7</v>
          </cell>
          <cell r="AN3401">
            <v>78.3</v>
          </cell>
          <cell r="AP3401">
            <v>48</v>
          </cell>
        </row>
        <row r="3402">
          <cell r="B3402" t="str">
            <v>7</v>
          </cell>
          <cell r="AN3402">
            <v>115.16</v>
          </cell>
          <cell r="AP3402">
            <v>48</v>
          </cell>
        </row>
        <row r="3403">
          <cell r="B3403" t="str">
            <v>7</v>
          </cell>
          <cell r="AN3403">
            <v>112.65</v>
          </cell>
          <cell r="AP3403">
            <v>48</v>
          </cell>
        </row>
        <row r="3404">
          <cell r="B3404" t="str">
            <v>7</v>
          </cell>
          <cell r="AN3404">
            <v>61.86</v>
          </cell>
          <cell r="AP3404">
            <v>48</v>
          </cell>
        </row>
        <row r="3405">
          <cell r="B3405" t="str">
            <v>7</v>
          </cell>
          <cell r="AN3405">
            <v>121.34</v>
          </cell>
          <cell r="AP3405">
            <v>48</v>
          </cell>
        </row>
        <row r="3406">
          <cell r="B3406" t="str">
            <v>7</v>
          </cell>
          <cell r="AN3406">
            <v>156.48000000000002</v>
          </cell>
          <cell r="AP3406">
            <v>48</v>
          </cell>
        </row>
        <row r="3407">
          <cell r="B3407" t="str">
            <v>7</v>
          </cell>
          <cell r="AN3407">
            <v>116.35</v>
          </cell>
          <cell r="AP3407">
            <v>48</v>
          </cell>
        </row>
        <row r="3408">
          <cell r="B3408" t="str">
            <v>7</v>
          </cell>
          <cell r="AN3408">
            <v>166.5</v>
          </cell>
          <cell r="AP3408">
            <v>48</v>
          </cell>
        </row>
        <row r="3409">
          <cell r="B3409" t="str">
            <v>7</v>
          </cell>
          <cell r="AN3409">
            <v>128.9</v>
          </cell>
          <cell r="AP3409">
            <v>48</v>
          </cell>
        </row>
        <row r="3410">
          <cell r="B3410" t="str">
            <v>7</v>
          </cell>
          <cell r="AN3410">
            <v>73.2</v>
          </cell>
          <cell r="AP3410">
            <v>48</v>
          </cell>
        </row>
        <row r="3411">
          <cell r="B3411" t="str">
            <v>8</v>
          </cell>
          <cell r="AN3411">
            <v>686.5200000000001</v>
          </cell>
          <cell r="AP3411">
            <v>48</v>
          </cell>
        </row>
        <row r="3412">
          <cell r="B3412" t="str">
            <v>8</v>
          </cell>
          <cell r="AN3412">
            <v>693.06</v>
          </cell>
          <cell r="AP3412">
            <v>48</v>
          </cell>
        </row>
        <row r="3413">
          <cell r="B3413" t="str">
            <v>4</v>
          </cell>
          <cell r="AN3413">
            <v>73.900000000000006</v>
          </cell>
          <cell r="AP3413">
            <v>49</v>
          </cell>
        </row>
        <row r="3414">
          <cell r="B3414" t="str">
            <v>4</v>
          </cell>
          <cell r="AN3414">
            <v>58.4</v>
          </cell>
          <cell r="AP3414">
            <v>49</v>
          </cell>
        </row>
        <row r="3415">
          <cell r="B3415" t="str">
            <v>4</v>
          </cell>
          <cell r="AN3415">
            <v>258.64</v>
          </cell>
          <cell r="AP3415">
            <v>49</v>
          </cell>
        </row>
        <row r="3416">
          <cell r="B3416" t="str">
            <v>4</v>
          </cell>
          <cell r="AN3416">
            <v>56.2</v>
          </cell>
          <cell r="AP3416">
            <v>49</v>
          </cell>
        </row>
        <row r="3417">
          <cell r="B3417" t="str">
            <v>4</v>
          </cell>
          <cell r="AN3417">
            <v>179.6</v>
          </cell>
          <cell r="AP3417">
            <v>49</v>
          </cell>
        </row>
        <row r="3418">
          <cell r="B3418" t="str">
            <v>4</v>
          </cell>
          <cell r="AN3418">
            <v>78.5</v>
          </cell>
          <cell r="AP3418">
            <v>49</v>
          </cell>
        </row>
        <row r="3419">
          <cell r="B3419" t="str">
            <v>5</v>
          </cell>
          <cell r="AN3419">
            <v>314.86</v>
          </cell>
          <cell r="AP3419">
            <v>49</v>
          </cell>
        </row>
        <row r="3420">
          <cell r="B3420" t="str">
            <v>5</v>
          </cell>
          <cell r="AN3420">
            <v>277.89999999999998</v>
          </cell>
          <cell r="AP3420">
            <v>49</v>
          </cell>
        </row>
        <row r="3421">
          <cell r="B3421" t="str">
            <v>5</v>
          </cell>
          <cell r="AN3421">
            <v>63.7</v>
          </cell>
          <cell r="AP3421">
            <v>49</v>
          </cell>
        </row>
        <row r="3422">
          <cell r="B3422" t="str">
            <v>6</v>
          </cell>
          <cell r="AN3422">
            <v>1136.18</v>
          </cell>
          <cell r="AP3422">
            <v>49</v>
          </cell>
        </row>
        <row r="3423">
          <cell r="B3423" t="str">
            <v>6</v>
          </cell>
          <cell r="AN3423">
            <v>1122.6499999999999</v>
          </cell>
          <cell r="AP3423">
            <v>49</v>
          </cell>
        </row>
        <row r="3424">
          <cell r="B3424" t="str">
            <v>7</v>
          </cell>
          <cell r="AN3424">
            <v>141.89999999999998</v>
          </cell>
          <cell r="AP3424">
            <v>49</v>
          </cell>
        </row>
        <row r="3425">
          <cell r="B3425" t="str">
            <v>7</v>
          </cell>
          <cell r="AN3425">
            <v>521.19999999999993</v>
          </cell>
          <cell r="AP3425">
            <v>49</v>
          </cell>
        </row>
        <row r="3426">
          <cell r="B3426" t="str">
            <v>8</v>
          </cell>
          <cell r="AN3426">
            <v>704.79</v>
          </cell>
          <cell r="AP3426">
            <v>49</v>
          </cell>
        </row>
        <row r="3427">
          <cell r="B3427" t="str">
            <v>8</v>
          </cell>
          <cell r="AN3427">
            <v>692.78999999999985</v>
          </cell>
          <cell r="AP3427">
            <v>49</v>
          </cell>
        </row>
        <row r="3428">
          <cell r="B3428" t="str">
            <v>4</v>
          </cell>
          <cell r="AN3428">
            <v>47</v>
          </cell>
          <cell r="AP3428">
            <v>49</v>
          </cell>
        </row>
        <row r="3429">
          <cell r="B3429" t="str">
            <v>4</v>
          </cell>
          <cell r="AN3429">
            <v>119.9</v>
          </cell>
          <cell r="AP3429">
            <v>49</v>
          </cell>
        </row>
        <row r="3430">
          <cell r="B3430" t="str">
            <v>4</v>
          </cell>
          <cell r="AN3430">
            <v>112.4</v>
          </cell>
          <cell r="AP3430">
            <v>49</v>
          </cell>
        </row>
        <row r="3431">
          <cell r="B3431" t="str">
            <v>4</v>
          </cell>
          <cell r="AN3431">
            <v>334.20000000000005</v>
          </cell>
          <cell r="AP3431">
            <v>49</v>
          </cell>
        </row>
        <row r="3432">
          <cell r="B3432" t="str">
            <v>5</v>
          </cell>
          <cell r="AN3432">
            <v>149.19999999999999</v>
          </cell>
          <cell r="AP3432">
            <v>49</v>
          </cell>
        </row>
        <row r="3433">
          <cell r="B3433" t="str">
            <v>5</v>
          </cell>
          <cell r="AN3433">
            <v>270.18</v>
          </cell>
          <cell r="AP3433">
            <v>49</v>
          </cell>
        </row>
        <row r="3434">
          <cell r="B3434" t="str">
            <v>5</v>
          </cell>
          <cell r="AN3434">
            <v>117.6</v>
          </cell>
          <cell r="AP3434">
            <v>49</v>
          </cell>
        </row>
        <row r="3435">
          <cell r="B3435" t="str">
            <v>5</v>
          </cell>
          <cell r="AN3435">
            <v>311.60000000000002</v>
          </cell>
          <cell r="AP3435">
            <v>49</v>
          </cell>
        </row>
        <row r="3436">
          <cell r="B3436" t="str">
            <v>6</v>
          </cell>
          <cell r="AN3436">
            <v>1155.4400000000003</v>
          </cell>
          <cell r="AP3436">
            <v>49</v>
          </cell>
        </row>
        <row r="3437">
          <cell r="B3437" t="str">
            <v>6</v>
          </cell>
          <cell r="AN3437">
            <v>1170.4600000000003</v>
          </cell>
          <cell r="AP3437">
            <v>49</v>
          </cell>
        </row>
        <row r="3438">
          <cell r="B3438" t="str">
            <v>7</v>
          </cell>
          <cell r="AN3438">
            <v>715.63000000000011</v>
          </cell>
          <cell r="AP3438">
            <v>49</v>
          </cell>
        </row>
        <row r="3439">
          <cell r="B3439" t="str">
            <v>7</v>
          </cell>
          <cell r="AN3439">
            <v>771.16000000000008</v>
          </cell>
          <cell r="AP3439">
            <v>49</v>
          </cell>
        </row>
        <row r="3440">
          <cell r="B3440" t="str">
            <v>8</v>
          </cell>
          <cell r="AN3440">
            <v>362.89</v>
          </cell>
          <cell r="AP3440">
            <v>49</v>
          </cell>
        </row>
        <row r="3441">
          <cell r="B3441" t="str">
            <v>8</v>
          </cell>
          <cell r="AN3441">
            <v>324.8</v>
          </cell>
          <cell r="AP3441">
            <v>49</v>
          </cell>
        </row>
        <row r="3442">
          <cell r="B3442" t="str">
            <v>8</v>
          </cell>
          <cell r="AN3442">
            <v>684.62</v>
          </cell>
          <cell r="AP3442">
            <v>49</v>
          </cell>
        </row>
        <row r="3443">
          <cell r="B3443" t="str">
            <v>4</v>
          </cell>
          <cell r="AN3443">
            <v>66.3</v>
          </cell>
          <cell r="AP3443">
            <v>49</v>
          </cell>
        </row>
        <row r="3444">
          <cell r="B3444" t="str">
            <v>4</v>
          </cell>
          <cell r="AN3444">
            <v>155.19999999999999</v>
          </cell>
          <cell r="AP3444">
            <v>49</v>
          </cell>
        </row>
        <row r="3445">
          <cell r="B3445" t="str">
            <v>4</v>
          </cell>
          <cell r="AN3445">
            <v>154.96</v>
          </cell>
          <cell r="AP3445">
            <v>49</v>
          </cell>
        </row>
        <row r="3446">
          <cell r="B3446" t="str">
            <v>4</v>
          </cell>
          <cell r="AN3446">
            <v>225.40000000000003</v>
          </cell>
          <cell r="AP3446">
            <v>49</v>
          </cell>
        </row>
        <row r="3447">
          <cell r="B3447" t="str">
            <v>4</v>
          </cell>
          <cell r="AN3447">
            <v>138.4</v>
          </cell>
          <cell r="AP3447">
            <v>49</v>
          </cell>
        </row>
        <row r="3448">
          <cell r="B3448" t="str">
            <v>5</v>
          </cell>
          <cell r="AN3448">
            <v>64.5</v>
          </cell>
          <cell r="AP3448">
            <v>49</v>
          </cell>
        </row>
        <row r="3449">
          <cell r="B3449" t="str">
            <v>5</v>
          </cell>
          <cell r="AN3449">
            <v>363.7</v>
          </cell>
          <cell r="AP3449">
            <v>49</v>
          </cell>
        </row>
        <row r="3450">
          <cell r="B3450" t="str">
            <v>5</v>
          </cell>
          <cell r="AN3450">
            <v>416.90000000000003</v>
          </cell>
          <cell r="AP3450">
            <v>49</v>
          </cell>
        </row>
        <row r="3451">
          <cell r="B3451" t="str">
            <v>6</v>
          </cell>
          <cell r="AN3451">
            <v>1137.74</v>
          </cell>
          <cell r="AP3451">
            <v>49</v>
          </cell>
        </row>
        <row r="3452">
          <cell r="B3452" t="str">
            <v>6</v>
          </cell>
          <cell r="AN3452">
            <v>1191.1000000000001</v>
          </cell>
          <cell r="AP3452">
            <v>49</v>
          </cell>
        </row>
        <row r="3453">
          <cell r="B3453" t="str">
            <v>7</v>
          </cell>
          <cell r="AN3453">
            <v>684.21</v>
          </cell>
          <cell r="AP3453">
            <v>49</v>
          </cell>
        </row>
        <row r="3454">
          <cell r="B3454" t="str">
            <v>7</v>
          </cell>
          <cell r="AN3454">
            <v>88.6</v>
          </cell>
          <cell r="AP3454">
            <v>49</v>
          </cell>
        </row>
        <row r="3455">
          <cell r="B3455" t="str">
            <v>7</v>
          </cell>
          <cell r="AN3455">
            <v>98.039999999999992</v>
          </cell>
          <cell r="AP3455">
            <v>49</v>
          </cell>
        </row>
        <row r="3456">
          <cell r="B3456" t="str">
            <v>7</v>
          </cell>
          <cell r="AN3456">
            <v>962.72</v>
          </cell>
          <cell r="AP3456">
            <v>49</v>
          </cell>
        </row>
        <row r="3457">
          <cell r="B3457" t="str">
            <v>8</v>
          </cell>
          <cell r="AN3457">
            <v>677.1</v>
          </cell>
          <cell r="AP3457">
            <v>49</v>
          </cell>
        </row>
        <row r="3458">
          <cell r="B3458" t="str">
            <v>8</v>
          </cell>
          <cell r="AN3458">
            <v>78.78</v>
          </cell>
          <cell r="AP3458">
            <v>49</v>
          </cell>
        </row>
        <row r="3459">
          <cell r="B3459" t="str">
            <v>8</v>
          </cell>
          <cell r="AN3459">
            <v>50.96</v>
          </cell>
          <cell r="AP3459">
            <v>49</v>
          </cell>
        </row>
        <row r="3460">
          <cell r="B3460" t="str">
            <v>8</v>
          </cell>
          <cell r="AN3460">
            <v>436.7</v>
          </cell>
          <cell r="AP3460">
            <v>49</v>
          </cell>
        </row>
        <row r="3461">
          <cell r="B3461" t="str">
            <v>4</v>
          </cell>
          <cell r="AN3461">
            <v>139.69999999999999</v>
          </cell>
          <cell r="AP3461">
            <v>49</v>
          </cell>
        </row>
        <row r="3462">
          <cell r="B3462" t="str">
            <v>4</v>
          </cell>
          <cell r="AN3462">
            <v>75.16</v>
          </cell>
          <cell r="AP3462">
            <v>49</v>
          </cell>
        </row>
        <row r="3463">
          <cell r="B3463" t="str">
            <v>4</v>
          </cell>
          <cell r="AN3463">
            <v>104.4</v>
          </cell>
          <cell r="AP3463">
            <v>49</v>
          </cell>
        </row>
        <row r="3464">
          <cell r="B3464" t="str">
            <v>4</v>
          </cell>
          <cell r="AN3464">
            <v>61.4</v>
          </cell>
          <cell r="AP3464">
            <v>49</v>
          </cell>
        </row>
        <row r="3465">
          <cell r="B3465" t="str">
            <v>4</v>
          </cell>
          <cell r="AN3465">
            <v>71.8</v>
          </cell>
          <cell r="AP3465">
            <v>49</v>
          </cell>
        </row>
        <row r="3466">
          <cell r="B3466" t="str">
            <v>4</v>
          </cell>
          <cell r="AN3466">
            <v>135.9</v>
          </cell>
          <cell r="AP3466">
            <v>49</v>
          </cell>
        </row>
        <row r="3467">
          <cell r="B3467" t="str">
            <v>4</v>
          </cell>
          <cell r="AN3467">
            <v>156.89999999999998</v>
          </cell>
          <cell r="AP3467">
            <v>49</v>
          </cell>
        </row>
        <row r="3468">
          <cell r="B3468" t="str">
            <v>5</v>
          </cell>
          <cell r="AN3468">
            <v>429.9</v>
          </cell>
          <cell r="AP3468">
            <v>49</v>
          </cell>
        </row>
        <row r="3469">
          <cell r="B3469" t="str">
            <v>5</v>
          </cell>
          <cell r="AN3469">
            <v>439.71999999999997</v>
          </cell>
          <cell r="AP3469">
            <v>49</v>
          </cell>
        </row>
        <row r="3470">
          <cell r="B3470" t="str">
            <v>6</v>
          </cell>
          <cell r="AN3470">
            <v>1132.7500000000002</v>
          </cell>
          <cell r="AP3470">
            <v>49</v>
          </cell>
        </row>
        <row r="3471">
          <cell r="B3471" t="str">
            <v>6</v>
          </cell>
          <cell r="AN3471">
            <v>1179.78</v>
          </cell>
          <cell r="AP3471">
            <v>49</v>
          </cell>
        </row>
        <row r="3472">
          <cell r="B3472" t="str">
            <v>7</v>
          </cell>
          <cell r="AN3472">
            <v>259.62</v>
          </cell>
          <cell r="AP3472">
            <v>49</v>
          </cell>
        </row>
        <row r="3473">
          <cell r="B3473" t="str">
            <v>7</v>
          </cell>
          <cell r="AN3473">
            <v>318.97000000000003</v>
          </cell>
          <cell r="AP3473">
            <v>49</v>
          </cell>
        </row>
        <row r="3474">
          <cell r="B3474" t="str">
            <v>7</v>
          </cell>
          <cell r="AN3474">
            <v>142.82</v>
          </cell>
          <cell r="AP3474">
            <v>49</v>
          </cell>
        </row>
        <row r="3475">
          <cell r="B3475" t="str">
            <v>7</v>
          </cell>
          <cell r="AN3475">
            <v>337.4</v>
          </cell>
          <cell r="AP3475">
            <v>49</v>
          </cell>
        </row>
        <row r="3476">
          <cell r="B3476" t="str">
            <v>7</v>
          </cell>
          <cell r="AN3476">
            <v>191.6</v>
          </cell>
          <cell r="AP3476">
            <v>49</v>
          </cell>
        </row>
        <row r="3477">
          <cell r="B3477" t="str">
            <v>7</v>
          </cell>
          <cell r="AN3477">
            <v>194.1</v>
          </cell>
          <cell r="AP3477">
            <v>49</v>
          </cell>
        </row>
        <row r="3478">
          <cell r="B3478" t="str">
            <v>8</v>
          </cell>
          <cell r="AN3478">
            <v>95.2</v>
          </cell>
          <cell r="AP3478">
            <v>49</v>
          </cell>
        </row>
        <row r="3479">
          <cell r="B3479" t="str">
            <v>8</v>
          </cell>
          <cell r="AN3479">
            <v>573.9</v>
          </cell>
          <cell r="AP3479">
            <v>49</v>
          </cell>
        </row>
        <row r="3480">
          <cell r="B3480" t="str">
            <v>8</v>
          </cell>
          <cell r="AN3480">
            <v>667.3</v>
          </cell>
          <cell r="AP3480">
            <v>49</v>
          </cell>
        </row>
        <row r="3481">
          <cell r="B3481" t="str">
            <v>2</v>
          </cell>
          <cell r="AN3481">
            <v>135.69999999999999</v>
          </cell>
          <cell r="AP3481">
            <v>49</v>
          </cell>
        </row>
        <row r="3482">
          <cell r="B3482" t="str">
            <v>4</v>
          </cell>
          <cell r="AN3482">
            <v>129.4</v>
          </cell>
          <cell r="AP3482">
            <v>49</v>
          </cell>
        </row>
        <row r="3483">
          <cell r="B3483" t="str">
            <v>4</v>
          </cell>
          <cell r="AN3483">
            <v>134.5</v>
          </cell>
          <cell r="AP3483">
            <v>49</v>
          </cell>
        </row>
        <row r="3484">
          <cell r="B3484" t="str">
            <v>4</v>
          </cell>
          <cell r="AN3484">
            <v>97.6</v>
          </cell>
          <cell r="AP3484">
            <v>49</v>
          </cell>
        </row>
        <row r="3485">
          <cell r="B3485" t="str">
            <v>4</v>
          </cell>
          <cell r="AN3485">
            <v>44.4</v>
          </cell>
          <cell r="AP3485">
            <v>49</v>
          </cell>
        </row>
        <row r="3486">
          <cell r="B3486" t="str">
            <v>4</v>
          </cell>
          <cell r="AN3486">
            <v>128.39999999999998</v>
          </cell>
          <cell r="AP3486">
            <v>49</v>
          </cell>
        </row>
        <row r="3487">
          <cell r="B3487" t="str">
            <v>4</v>
          </cell>
          <cell r="AN3487">
            <v>173.1</v>
          </cell>
          <cell r="AP3487">
            <v>49</v>
          </cell>
        </row>
        <row r="3488">
          <cell r="B3488" t="str">
            <v>5</v>
          </cell>
          <cell r="AN3488">
            <v>127</v>
          </cell>
          <cell r="AP3488">
            <v>49</v>
          </cell>
        </row>
        <row r="3489">
          <cell r="B3489" t="str">
            <v>5</v>
          </cell>
          <cell r="AN3489">
            <v>248.4</v>
          </cell>
          <cell r="AP3489">
            <v>49</v>
          </cell>
        </row>
        <row r="3490">
          <cell r="B3490" t="str">
            <v>5</v>
          </cell>
          <cell r="AN3490">
            <v>182.5</v>
          </cell>
          <cell r="AP3490">
            <v>49</v>
          </cell>
        </row>
        <row r="3491">
          <cell r="B3491" t="str">
            <v>5</v>
          </cell>
          <cell r="AN3491">
            <v>119.9</v>
          </cell>
          <cell r="AP3491">
            <v>49</v>
          </cell>
        </row>
        <row r="3492">
          <cell r="B3492" t="str">
            <v>5</v>
          </cell>
          <cell r="AN3492">
            <v>69.3</v>
          </cell>
          <cell r="AP3492">
            <v>49</v>
          </cell>
        </row>
        <row r="3493">
          <cell r="B3493" t="str">
            <v>6</v>
          </cell>
          <cell r="AN3493">
            <v>1014.7999999999998</v>
          </cell>
          <cell r="AP3493">
            <v>49</v>
          </cell>
        </row>
        <row r="3494">
          <cell r="B3494" t="str">
            <v>6</v>
          </cell>
          <cell r="AN3494">
            <v>989.01</v>
          </cell>
          <cell r="AP3494">
            <v>49</v>
          </cell>
        </row>
        <row r="3495">
          <cell r="B3495" t="str">
            <v>7</v>
          </cell>
          <cell r="AN3495">
            <v>128.30000000000001</v>
          </cell>
          <cell r="AP3495">
            <v>49</v>
          </cell>
        </row>
        <row r="3496">
          <cell r="B3496" t="str">
            <v>7</v>
          </cell>
          <cell r="AN3496">
            <v>551.5</v>
          </cell>
          <cell r="AP3496">
            <v>49</v>
          </cell>
        </row>
        <row r="3497">
          <cell r="B3497" t="str">
            <v>7</v>
          </cell>
          <cell r="AN3497">
            <v>42.34</v>
          </cell>
          <cell r="AP3497">
            <v>49</v>
          </cell>
        </row>
        <row r="3498">
          <cell r="B3498" t="str">
            <v>7</v>
          </cell>
          <cell r="AN3498">
            <v>83.5</v>
          </cell>
          <cell r="AP3498">
            <v>49</v>
          </cell>
        </row>
        <row r="3499">
          <cell r="B3499" t="str">
            <v>7</v>
          </cell>
          <cell r="AN3499">
            <v>114.70000000000002</v>
          </cell>
          <cell r="AP3499">
            <v>49</v>
          </cell>
        </row>
        <row r="3500">
          <cell r="B3500" t="str">
            <v>7</v>
          </cell>
          <cell r="AN3500">
            <v>207.7</v>
          </cell>
          <cell r="AP3500">
            <v>49</v>
          </cell>
        </row>
        <row r="3501">
          <cell r="B3501" t="str">
            <v>7</v>
          </cell>
          <cell r="AN3501">
            <v>157.4</v>
          </cell>
          <cell r="AP3501">
            <v>49</v>
          </cell>
        </row>
        <row r="3502">
          <cell r="B3502" t="str">
            <v>8</v>
          </cell>
          <cell r="AN3502">
            <v>529.59999999999991</v>
          </cell>
          <cell r="AP3502">
            <v>49</v>
          </cell>
        </row>
        <row r="3503">
          <cell r="B3503" t="str">
            <v>8</v>
          </cell>
          <cell r="AN3503">
            <v>167.68</v>
          </cell>
          <cell r="AP3503">
            <v>49</v>
          </cell>
        </row>
        <row r="3504">
          <cell r="B3504" t="str">
            <v>8</v>
          </cell>
          <cell r="AN3504">
            <v>276.35999999999996</v>
          </cell>
          <cell r="AP3504">
            <v>49</v>
          </cell>
        </row>
        <row r="3505">
          <cell r="B3505" t="str">
            <v>8</v>
          </cell>
          <cell r="AN3505">
            <v>277.26</v>
          </cell>
          <cell r="AP3505">
            <v>49</v>
          </cell>
        </row>
        <row r="3506">
          <cell r="B3506" t="str">
            <v>8</v>
          </cell>
          <cell r="AN3506">
            <v>69.8</v>
          </cell>
          <cell r="AP3506">
            <v>49</v>
          </cell>
        </row>
        <row r="3507">
          <cell r="B3507" t="str">
            <v>7</v>
          </cell>
          <cell r="AN3507">
            <v>116.6</v>
          </cell>
          <cell r="AP3507">
            <v>49</v>
          </cell>
        </row>
        <row r="3508">
          <cell r="B3508" t="str">
            <v>7</v>
          </cell>
          <cell r="AN3508">
            <v>88.28</v>
          </cell>
          <cell r="AP3508">
            <v>49</v>
          </cell>
        </row>
        <row r="3509">
          <cell r="B3509" t="str">
            <v>7</v>
          </cell>
          <cell r="AN3509">
            <v>392.82000000000005</v>
          </cell>
          <cell r="AP3509">
            <v>49</v>
          </cell>
        </row>
        <row r="3510">
          <cell r="B3510" t="str">
            <v>7</v>
          </cell>
          <cell r="AN3510">
            <v>776.2</v>
          </cell>
          <cell r="AP3510">
            <v>49</v>
          </cell>
        </row>
        <row r="3511">
          <cell r="B3511" t="str">
            <v>2</v>
          </cell>
          <cell r="AN3511">
            <v>405.09999999999997</v>
          </cell>
          <cell r="AP3511">
            <v>49</v>
          </cell>
        </row>
        <row r="3512">
          <cell r="B3512" t="str">
            <v>2</v>
          </cell>
          <cell r="AN3512">
            <v>343.68</v>
          </cell>
          <cell r="AP3512">
            <v>49</v>
          </cell>
        </row>
        <row r="3513">
          <cell r="B3513" t="str">
            <v>4</v>
          </cell>
          <cell r="AN3513">
            <v>123</v>
          </cell>
          <cell r="AP3513">
            <v>49</v>
          </cell>
        </row>
        <row r="3514">
          <cell r="B3514" t="str">
            <v>4</v>
          </cell>
          <cell r="AN3514">
            <v>155</v>
          </cell>
          <cell r="AP3514">
            <v>49</v>
          </cell>
        </row>
        <row r="3515">
          <cell r="B3515" t="str">
            <v>4</v>
          </cell>
          <cell r="AN3515">
            <v>49.7</v>
          </cell>
          <cell r="AP3515">
            <v>49</v>
          </cell>
        </row>
        <row r="3516">
          <cell r="B3516" t="str">
            <v>4</v>
          </cell>
          <cell r="AN3516">
            <v>117.56</v>
          </cell>
          <cell r="AP3516">
            <v>49</v>
          </cell>
        </row>
        <row r="3517">
          <cell r="B3517" t="str">
            <v>4</v>
          </cell>
          <cell r="AN3517">
            <v>129.80000000000001</v>
          </cell>
          <cell r="AP3517">
            <v>49</v>
          </cell>
        </row>
        <row r="3518">
          <cell r="B3518" t="str">
            <v>4</v>
          </cell>
          <cell r="AN3518">
            <v>73.7</v>
          </cell>
          <cell r="AP3518">
            <v>49</v>
          </cell>
        </row>
        <row r="3519">
          <cell r="B3519" t="str">
            <v>4</v>
          </cell>
          <cell r="AN3519">
            <v>47.9</v>
          </cell>
          <cell r="AP3519">
            <v>49</v>
          </cell>
        </row>
        <row r="3520">
          <cell r="B3520" t="str">
            <v>5</v>
          </cell>
          <cell r="AN3520">
            <v>50.9</v>
          </cell>
          <cell r="AP3520">
            <v>49</v>
          </cell>
        </row>
        <row r="3521">
          <cell r="B3521" t="str">
            <v>5</v>
          </cell>
          <cell r="AN3521">
            <v>324.20000000000005</v>
          </cell>
          <cell r="AP3521">
            <v>49</v>
          </cell>
        </row>
        <row r="3522">
          <cell r="B3522" t="str">
            <v>5</v>
          </cell>
          <cell r="AN3522">
            <v>379</v>
          </cell>
          <cell r="AP3522">
            <v>49</v>
          </cell>
        </row>
        <row r="3523">
          <cell r="B3523" t="str">
            <v>6</v>
          </cell>
          <cell r="AN3523">
            <v>1084.8800000000001</v>
          </cell>
          <cell r="AP3523">
            <v>49</v>
          </cell>
        </row>
        <row r="3524">
          <cell r="B3524" t="str">
            <v>6</v>
          </cell>
          <cell r="AN3524">
            <v>924.98000000000025</v>
          </cell>
          <cell r="AP3524">
            <v>49</v>
          </cell>
        </row>
        <row r="3525">
          <cell r="B3525" t="str">
            <v>8</v>
          </cell>
          <cell r="AN3525">
            <v>460.64</v>
          </cell>
          <cell r="AP3525">
            <v>49</v>
          </cell>
        </row>
        <row r="3526">
          <cell r="B3526" t="str">
            <v>8</v>
          </cell>
          <cell r="AN3526">
            <v>445.67</v>
          </cell>
          <cell r="AP3526">
            <v>49</v>
          </cell>
        </row>
        <row r="3527">
          <cell r="B3527" t="str">
            <v>8</v>
          </cell>
          <cell r="AN3527">
            <v>55.23</v>
          </cell>
          <cell r="AP3527">
            <v>49</v>
          </cell>
        </row>
        <row r="3528">
          <cell r="B3528" t="str">
            <v>2</v>
          </cell>
          <cell r="AN3528">
            <v>143.80000000000001</v>
          </cell>
          <cell r="AP3528">
            <v>49</v>
          </cell>
        </row>
        <row r="3529">
          <cell r="B3529" t="str">
            <v>2</v>
          </cell>
          <cell r="AN3529">
            <v>76.5</v>
          </cell>
          <cell r="AP3529">
            <v>49</v>
          </cell>
        </row>
        <row r="3530">
          <cell r="B3530" t="str">
            <v>2</v>
          </cell>
          <cell r="AN3530">
            <v>50.64</v>
          </cell>
          <cell r="AP3530">
            <v>49</v>
          </cell>
        </row>
        <row r="3531">
          <cell r="B3531" t="str">
            <v>2</v>
          </cell>
          <cell r="AN3531">
            <v>115.9</v>
          </cell>
          <cell r="AP3531">
            <v>49</v>
          </cell>
        </row>
        <row r="3532">
          <cell r="B3532" t="str">
            <v>2</v>
          </cell>
          <cell r="AN3532">
            <v>59.5</v>
          </cell>
          <cell r="AP3532">
            <v>49</v>
          </cell>
        </row>
        <row r="3533">
          <cell r="B3533" t="str">
            <v>4</v>
          </cell>
          <cell r="AN3533">
            <v>79.699999999999989</v>
          </cell>
          <cell r="AP3533">
            <v>49</v>
          </cell>
        </row>
        <row r="3534">
          <cell r="B3534" t="str">
            <v>4</v>
          </cell>
          <cell r="AN3534">
            <v>131.69999999999999</v>
          </cell>
          <cell r="AP3534">
            <v>49</v>
          </cell>
        </row>
        <row r="3535">
          <cell r="B3535" t="str">
            <v>4</v>
          </cell>
          <cell r="AN3535">
            <v>125.2</v>
          </cell>
          <cell r="AP3535">
            <v>49</v>
          </cell>
        </row>
        <row r="3536">
          <cell r="B3536" t="str">
            <v>4</v>
          </cell>
          <cell r="AN3536">
            <v>50.2</v>
          </cell>
          <cell r="AP3536">
            <v>49</v>
          </cell>
        </row>
        <row r="3537">
          <cell r="B3537" t="str">
            <v>4</v>
          </cell>
          <cell r="AN3537">
            <v>85.28</v>
          </cell>
          <cell r="AP3537">
            <v>49</v>
          </cell>
        </row>
        <row r="3538">
          <cell r="B3538" t="str">
            <v>4</v>
          </cell>
          <cell r="AN3538">
            <v>184.9</v>
          </cell>
          <cell r="AP3538">
            <v>49</v>
          </cell>
        </row>
        <row r="3539">
          <cell r="B3539" t="str">
            <v>4</v>
          </cell>
          <cell r="AN3539">
            <v>142.13999999999999</v>
          </cell>
          <cell r="AP3539">
            <v>49</v>
          </cell>
        </row>
        <row r="3540">
          <cell r="B3540" t="str">
            <v>4</v>
          </cell>
          <cell r="AN3540">
            <v>53.2</v>
          </cell>
          <cell r="AP3540">
            <v>49</v>
          </cell>
        </row>
        <row r="3541">
          <cell r="B3541" t="str">
            <v>5</v>
          </cell>
          <cell r="AN3541">
            <v>148.69999999999999</v>
          </cell>
          <cell r="AP3541">
            <v>49</v>
          </cell>
        </row>
        <row r="3542">
          <cell r="B3542" t="str">
            <v>5</v>
          </cell>
          <cell r="AN3542">
            <v>215.1</v>
          </cell>
          <cell r="AP3542">
            <v>49</v>
          </cell>
        </row>
        <row r="3543">
          <cell r="B3543" t="str">
            <v>5</v>
          </cell>
          <cell r="AN3543">
            <v>538.88</v>
          </cell>
          <cell r="AP3543">
            <v>49</v>
          </cell>
        </row>
        <row r="3544">
          <cell r="B3544" t="str">
            <v>6</v>
          </cell>
          <cell r="AN3544">
            <v>477.6</v>
          </cell>
          <cell r="AP3544">
            <v>49</v>
          </cell>
        </row>
        <row r="3545">
          <cell r="B3545" t="str">
            <v>6</v>
          </cell>
          <cell r="AN3545">
            <v>172.35</v>
          </cell>
          <cell r="AP3545">
            <v>49</v>
          </cell>
        </row>
        <row r="3546">
          <cell r="B3546" t="str">
            <v>6</v>
          </cell>
          <cell r="AN3546">
            <v>619.38</v>
          </cell>
          <cell r="AP3546">
            <v>49</v>
          </cell>
        </row>
        <row r="3547">
          <cell r="B3547" t="str">
            <v>7</v>
          </cell>
          <cell r="AN3547">
            <v>755.18</v>
          </cell>
          <cell r="AP3547">
            <v>49</v>
          </cell>
        </row>
        <row r="3548">
          <cell r="B3548" t="str">
            <v>7</v>
          </cell>
          <cell r="AN3548">
            <v>781.95999999999992</v>
          </cell>
          <cell r="AP3548">
            <v>49</v>
          </cell>
        </row>
        <row r="3549">
          <cell r="B3549" t="str">
            <v>8</v>
          </cell>
          <cell r="AN3549">
            <v>272.79000000000002</v>
          </cell>
          <cell r="AP3549">
            <v>49</v>
          </cell>
        </row>
        <row r="3550">
          <cell r="B3550" t="str">
            <v>8</v>
          </cell>
          <cell r="AN3550">
            <v>116.28</v>
          </cell>
          <cell r="AP3550">
            <v>49</v>
          </cell>
        </row>
        <row r="3551">
          <cell r="B3551" t="str">
            <v>8</v>
          </cell>
          <cell r="AN3551">
            <v>136.24</v>
          </cell>
          <cell r="AP3551">
            <v>49</v>
          </cell>
        </row>
        <row r="3552">
          <cell r="B3552" t="str">
            <v>8</v>
          </cell>
          <cell r="AN3552">
            <v>170.32</v>
          </cell>
          <cell r="AP3552">
            <v>49</v>
          </cell>
        </row>
        <row r="3553">
          <cell r="B3553" t="str">
            <v>8</v>
          </cell>
          <cell r="AN3553">
            <v>108.14</v>
          </cell>
          <cell r="AP3553">
            <v>49</v>
          </cell>
        </row>
        <row r="3554">
          <cell r="B3554" t="str">
            <v>2</v>
          </cell>
          <cell r="AN3554">
            <v>55.6</v>
          </cell>
          <cell r="AP3554">
            <v>50</v>
          </cell>
        </row>
        <row r="3555">
          <cell r="B3555" t="str">
            <v>2</v>
          </cell>
          <cell r="AN3555">
            <v>117.89999999999999</v>
          </cell>
          <cell r="AP3555">
            <v>50</v>
          </cell>
        </row>
        <row r="3556">
          <cell r="B3556" t="str">
            <v>2</v>
          </cell>
          <cell r="AN3556">
            <v>134.6</v>
          </cell>
          <cell r="AP3556">
            <v>50</v>
          </cell>
        </row>
        <row r="3557">
          <cell r="B3557" t="str">
            <v>2</v>
          </cell>
          <cell r="AN3557">
            <v>83.300000000000011</v>
          </cell>
          <cell r="AP3557">
            <v>50</v>
          </cell>
        </row>
        <row r="3558">
          <cell r="B3558" t="str">
            <v>4</v>
          </cell>
          <cell r="AN3558">
            <v>62.2</v>
          </cell>
          <cell r="AP3558">
            <v>50</v>
          </cell>
        </row>
        <row r="3559">
          <cell r="B3559" t="str">
            <v>4</v>
          </cell>
          <cell r="AN3559">
            <v>116.1</v>
          </cell>
          <cell r="AP3559">
            <v>50</v>
          </cell>
        </row>
        <row r="3560">
          <cell r="B3560" t="str">
            <v>4</v>
          </cell>
          <cell r="AN3560">
            <v>236.2</v>
          </cell>
          <cell r="AP3560">
            <v>50</v>
          </cell>
        </row>
        <row r="3561">
          <cell r="B3561" t="str">
            <v>4</v>
          </cell>
          <cell r="AN3561">
            <v>105</v>
          </cell>
          <cell r="AP3561">
            <v>50</v>
          </cell>
        </row>
        <row r="3562">
          <cell r="B3562" t="str">
            <v>5</v>
          </cell>
          <cell r="AN3562">
            <v>512.52</v>
          </cell>
          <cell r="AP3562">
            <v>50</v>
          </cell>
        </row>
        <row r="3563">
          <cell r="B3563" t="str">
            <v>5</v>
          </cell>
          <cell r="AN3563">
            <v>489.58</v>
          </cell>
          <cell r="AP3563">
            <v>50</v>
          </cell>
        </row>
        <row r="3564">
          <cell r="B3564" t="str">
            <v>6</v>
          </cell>
          <cell r="AN3564">
            <v>654.94999999999993</v>
          </cell>
          <cell r="AP3564">
            <v>50</v>
          </cell>
        </row>
        <row r="3565">
          <cell r="B3565" t="str">
            <v>6</v>
          </cell>
          <cell r="AN3565">
            <v>667.41000000000008</v>
          </cell>
          <cell r="AP3565">
            <v>50</v>
          </cell>
        </row>
        <row r="3566">
          <cell r="B3566" t="str">
            <v>7</v>
          </cell>
          <cell r="AN3566">
            <v>535.76</v>
          </cell>
          <cell r="AP3566">
            <v>50</v>
          </cell>
        </row>
        <row r="3567">
          <cell r="B3567" t="str">
            <v>8</v>
          </cell>
          <cell r="AN3567">
            <v>189.17</v>
          </cell>
          <cell r="AP3567">
            <v>50</v>
          </cell>
        </row>
        <row r="3568">
          <cell r="B3568" t="str">
            <v>8</v>
          </cell>
          <cell r="AN3568">
            <v>117</v>
          </cell>
          <cell r="AP3568">
            <v>50</v>
          </cell>
        </row>
        <row r="3569">
          <cell r="B3569" t="str">
            <v>8</v>
          </cell>
          <cell r="AN3569">
            <v>230.48000000000002</v>
          </cell>
          <cell r="AP3569">
            <v>50</v>
          </cell>
        </row>
        <row r="3570">
          <cell r="B3570" t="str">
            <v>8</v>
          </cell>
          <cell r="AN3570">
            <v>570.46</v>
          </cell>
          <cell r="AP3570">
            <v>50</v>
          </cell>
        </row>
        <row r="3571">
          <cell r="B3571" t="str">
            <v>2</v>
          </cell>
          <cell r="AN3571">
            <v>64.099999999999994</v>
          </cell>
          <cell r="AP3571">
            <v>50</v>
          </cell>
        </row>
        <row r="3572">
          <cell r="B3572" t="str">
            <v>2</v>
          </cell>
          <cell r="AN3572">
            <v>115.9</v>
          </cell>
          <cell r="AP3572">
            <v>50</v>
          </cell>
        </row>
        <row r="3573">
          <cell r="B3573" t="str">
            <v>2</v>
          </cell>
          <cell r="AN3573">
            <v>100.6</v>
          </cell>
          <cell r="AP3573">
            <v>50</v>
          </cell>
        </row>
        <row r="3574">
          <cell r="B3574" t="str">
            <v>2</v>
          </cell>
          <cell r="AN3574">
            <v>84.9</v>
          </cell>
          <cell r="AP3574">
            <v>50</v>
          </cell>
        </row>
        <row r="3575">
          <cell r="B3575" t="str">
            <v>5</v>
          </cell>
          <cell r="AN3575">
            <v>516.30000000000007</v>
          </cell>
          <cell r="AP3575">
            <v>50</v>
          </cell>
        </row>
        <row r="3576">
          <cell r="B3576" t="str">
            <v>5</v>
          </cell>
          <cell r="AN3576">
            <v>532.79999999999995</v>
          </cell>
          <cell r="AP3576">
            <v>50</v>
          </cell>
        </row>
        <row r="3577">
          <cell r="B3577" t="str">
            <v>6</v>
          </cell>
          <cell r="AN3577">
            <v>691.75999999999988</v>
          </cell>
          <cell r="AP3577">
            <v>50</v>
          </cell>
        </row>
        <row r="3578">
          <cell r="B3578" t="str">
            <v>6</v>
          </cell>
          <cell r="AN3578">
            <v>374.3</v>
          </cell>
          <cell r="AP3578">
            <v>50</v>
          </cell>
        </row>
        <row r="3579">
          <cell r="B3579" t="str">
            <v>6</v>
          </cell>
          <cell r="AN3579">
            <v>320.2</v>
          </cell>
          <cell r="AP3579">
            <v>50</v>
          </cell>
        </row>
        <row r="3580">
          <cell r="B3580" t="str">
            <v>8</v>
          </cell>
          <cell r="AN3580">
            <v>498.22</v>
          </cell>
          <cell r="AP3580">
            <v>50</v>
          </cell>
        </row>
        <row r="3581">
          <cell r="B3581" t="str">
            <v>8</v>
          </cell>
          <cell r="AN3581">
            <v>186.16000000000003</v>
          </cell>
          <cell r="AP3581">
            <v>50</v>
          </cell>
        </row>
        <row r="3582">
          <cell r="B3582" t="str">
            <v>8</v>
          </cell>
          <cell r="AN3582">
            <v>470.52</v>
          </cell>
          <cell r="AP3582">
            <v>50</v>
          </cell>
        </row>
        <row r="3583">
          <cell r="B3583" t="str">
            <v>8</v>
          </cell>
          <cell r="AN3583">
            <v>57.9</v>
          </cell>
          <cell r="AP3583">
            <v>50</v>
          </cell>
        </row>
        <row r="3584">
          <cell r="B3584" t="str">
            <v>1</v>
          </cell>
          <cell r="AN3584">
            <v>131.4</v>
          </cell>
          <cell r="AP3584">
            <v>50</v>
          </cell>
        </row>
        <row r="3585">
          <cell r="B3585" t="str">
            <v>2</v>
          </cell>
          <cell r="AN3585">
            <v>50.8</v>
          </cell>
          <cell r="AP3585">
            <v>50</v>
          </cell>
        </row>
        <row r="3586">
          <cell r="B3586" t="str">
            <v>2</v>
          </cell>
          <cell r="AN3586">
            <v>102.1</v>
          </cell>
          <cell r="AP3586">
            <v>50</v>
          </cell>
        </row>
        <row r="3587">
          <cell r="B3587" t="str">
            <v>2</v>
          </cell>
          <cell r="AN3587">
            <v>39.56</v>
          </cell>
          <cell r="AP3587">
            <v>50</v>
          </cell>
        </row>
        <row r="3588">
          <cell r="B3588" t="str">
            <v>2</v>
          </cell>
          <cell r="AN3588">
            <v>174.4</v>
          </cell>
          <cell r="AP3588">
            <v>50</v>
          </cell>
        </row>
        <row r="3589">
          <cell r="B3589" t="str">
            <v>4</v>
          </cell>
          <cell r="AN3589">
            <v>304.8</v>
          </cell>
          <cell r="AP3589">
            <v>50</v>
          </cell>
        </row>
        <row r="3590">
          <cell r="B3590" t="str">
            <v>4</v>
          </cell>
          <cell r="AN3590">
            <v>102.18</v>
          </cell>
          <cell r="AP3590">
            <v>50</v>
          </cell>
        </row>
        <row r="3591">
          <cell r="B3591" t="str">
            <v>5</v>
          </cell>
          <cell r="AN3591">
            <v>477.86</v>
          </cell>
          <cell r="AP3591">
            <v>50</v>
          </cell>
        </row>
        <row r="3592">
          <cell r="B3592" t="str">
            <v>5</v>
          </cell>
          <cell r="AN3592">
            <v>106.6</v>
          </cell>
          <cell r="AP3592">
            <v>50</v>
          </cell>
        </row>
        <row r="3593">
          <cell r="B3593" t="str">
            <v>5</v>
          </cell>
          <cell r="AN3593">
            <v>163.70000000000002</v>
          </cell>
          <cell r="AP3593">
            <v>50</v>
          </cell>
        </row>
        <row r="3594">
          <cell r="B3594" t="str">
            <v>5</v>
          </cell>
          <cell r="AN3594">
            <v>50.6</v>
          </cell>
          <cell r="AP3594">
            <v>50</v>
          </cell>
        </row>
        <row r="3595">
          <cell r="B3595" t="str">
            <v>6</v>
          </cell>
          <cell r="AN3595">
            <v>702.94999999999993</v>
          </cell>
          <cell r="AP3595">
            <v>50</v>
          </cell>
        </row>
        <row r="3596">
          <cell r="B3596" t="str">
            <v>6</v>
          </cell>
          <cell r="AN3596">
            <v>667.68</v>
          </cell>
          <cell r="AP3596">
            <v>50</v>
          </cell>
        </row>
        <row r="3597">
          <cell r="B3597" t="str">
            <v>8</v>
          </cell>
          <cell r="AN3597">
            <v>196.76</v>
          </cell>
          <cell r="AP3597">
            <v>50</v>
          </cell>
        </row>
        <row r="3598">
          <cell r="B3598" t="str">
            <v>8</v>
          </cell>
          <cell r="AN3598">
            <v>216.44</v>
          </cell>
          <cell r="AP3598">
            <v>50</v>
          </cell>
        </row>
        <row r="3599">
          <cell r="B3599" t="str">
            <v>8</v>
          </cell>
          <cell r="AN3599">
            <v>379.06000000000006</v>
          </cell>
          <cell r="AP3599">
            <v>50</v>
          </cell>
        </row>
        <row r="3600">
          <cell r="B3600" t="str">
            <v>1</v>
          </cell>
          <cell r="AN3600">
            <v>102.55000000000001</v>
          </cell>
          <cell r="AP3600">
            <v>50</v>
          </cell>
        </row>
        <row r="3601">
          <cell r="B3601" t="str">
            <v>1</v>
          </cell>
          <cell r="AN3601">
            <v>30.8</v>
          </cell>
          <cell r="AP3601">
            <v>50</v>
          </cell>
        </row>
        <row r="3602">
          <cell r="B3602" t="str">
            <v>1</v>
          </cell>
          <cell r="AN3602">
            <v>39.9</v>
          </cell>
          <cell r="AP3602">
            <v>50</v>
          </cell>
        </row>
        <row r="3603">
          <cell r="B3603" t="str">
            <v>1</v>
          </cell>
          <cell r="AN3603">
            <v>106.86000000000001</v>
          </cell>
          <cell r="AP3603">
            <v>50</v>
          </cell>
        </row>
        <row r="3604">
          <cell r="B3604" t="str">
            <v>2</v>
          </cell>
          <cell r="AN3604">
            <v>231.5</v>
          </cell>
          <cell r="AP3604">
            <v>50</v>
          </cell>
        </row>
        <row r="3605">
          <cell r="B3605" t="str">
            <v>2</v>
          </cell>
          <cell r="AN3605">
            <v>202.4</v>
          </cell>
          <cell r="AP3605">
            <v>50</v>
          </cell>
        </row>
        <row r="3606">
          <cell r="B3606" t="str">
            <v>4</v>
          </cell>
          <cell r="AN3606">
            <v>131.19999999999999</v>
          </cell>
          <cell r="AP3606">
            <v>50</v>
          </cell>
        </row>
        <row r="3607">
          <cell r="B3607" t="str">
            <v>4</v>
          </cell>
          <cell r="AN3607">
            <v>122.6</v>
          </cell>
          <cell r="AP3607">
            <v>50</v>
          </cell>
        </row>
        <row r="3608">
          <cell r="B3608" t="str">
            <v>4</v>
          </cell>
          <cell r="AN3608">
            <v>84.9</v>
          </cell>
          <cell r="AP3608">
            <v>50</v>
          </cell>
        </row>
        <row r="3609">
          <cell r="B3609" t="str">
            <v>4</v>
          </cell>
          <cell r="AN3609">
            <v>243.39999999999998</v>
          </cell>
          <cell r="AP3609">
            <v>50</v>
          </cell>
        </row>
        <row r="3610">
          <cell r="B3610" t="str">
            <v>5</v>
          </cell>
          <cell r="AN3610">
            <v>127.85</v>
          </cell>
          <cell r="AP3610">
            <v>50</v>
          </cell>
        </row>
        <row r="3611">
          <cell r="B3611" t="str">
            <v>5</v>
          </cell>
          <cell r="AN3611">
            <v>122</v>
          </cell>
          <cell r="AP3611">
            <v>50</v>
          </cell>
        </row>
        <row r="3612">
          <cell r="B3612" t="str">
            <v>5</v>
          </cell>
          <cell r="AN3612">
            <v>77.95</v>
          </cell>
          <cell r="AP3612">
            <v>50</v>
          </cell>
        </row>
        <row r="3613">
          <cell r="B3613" t="str">
            <v>5</v>
          </cell>
          <cell r="AN3613">
            <v>56.7</v>
          </cell>
          <cell r="AP3613">
            <v>50</v>
          </cell>
        </row>
        <row r="3614">
          <cell r="B3614" t="str">
            <v>5</v>
          </cell>
          <cell r="AN3614">
            <v>114.1</v>
          </cell>
          <cell r="AP3614">
            <v>50</v>
          </cell>
        </row>
        <row r="3615">
          <cell r="B3615" t="str">
            <v>5</v>
          </cell>
          <cell r="AN3615">
            <v>103.6</v>
          </cell>
          <cell r="AP3615">
            <v>50</v>
          </cell>
        </row>
        <row r="3616">
          <cell r="B3616" t="str">
            <v>5</v>
          </cell>
          <cell r="AN3616">
            <v>58.2</v>
          </cell>
          <cell r="AP3616">
            <v>50</v>
          </cell>
        </row>
        <row r="3617">
          <cell r="B3617" t="str">
            <v>6</v>
          </cell>
          <cell r="AN3617">
            <v>571.6</v>
          </cell>
          <cell r="AP3617">
            <v>50</v>
          </cell>
        </row>
        <row r="3618">
          <cell r="B3618" t="str">
            <v>6</v>
          </cell>
          <cell r="AN3618">
            <v>143.44</v>
          </cell>
          <cell r="AP3618">
            <v>50</v>
          </cell>
        </row>
        <row r="3619">
          <cell r="B3619" t="str">
            <v>6</v>
          </cell>
          <cell r="AN3619">
            <v>717.89999999999986</v>
          </cell>
          <cell r="AP3619">
            <v>50</v>
          </cell>
        </row>
        <row r="3620">
          <cell r="B3620" t="str">
            <v>8</v>
          </cell>
          <cell r="AN3620">
            <v>171.26</v>
          </cell>
          <cell r="AP3620">
            <v>50</v>
          </cell>
        </row>
        <row r="3621">
          <cell r="B3621" t="str">
            <v>8</v>
          </cell>
          <cell r="AN3621">
            <v>70.7</v>
          </cell>
          <cell r="AP3621">
            <v>50</v>
          </cell>
        </row>
        <row r="3622">
          <cell r="B3622" t="str">
            <v>8</v>
          </cell>
          <cell r="AN3622">
            <v>228.95999999999998</v>
          </cell>
          <cell r="AP3622">
            <v>50</v>
          </cell>
        </row>
        <row r="3623">
          <cell r="B3623" t="str">
            <v>8</v>
          </cell>
          <cell r="AN3623">
            <v>77.2</v>
          </cell>
          <cell r="AP3623">
            <v>50</v>
          </cell>
        </row>
        <row r="3624">
          <cell r="B3624" t="str">
            <v>8</v>
          </cell>
          <cell r="AN3624">
            <v>55.9</v>
          </cell>
          <cell r="AP3624">
            <v>50</v>
          </cell>
        </row>
        <row r="3625">
          <cell r="B3625" t="str">
            <v>8</v>
          </cell>
          <cell r="AN3625">
            <v>68.38</v>
          </cell>
          <cell r="AP3625">
            <v>50</v>
          </cell>
        </row>
        <row r="3626">
          <cell r="B3626" t="str">
            <v>8</v>
          </cell>
          <cell r="AN3626">
            <v>176.07999999999998</v>
          </cell>
          <cell r="AP3626">
            <v>50</v>
          </cell>
        </row>
        <row r="3627">
          <cell r="B3627" t="str">
            <v>8</v>
          </cell>
          <cell r="AN3627">
            <v>72.8</v>
          </cell>
          <cell r="AP3627">
            <v>50</v>
          </cell>
        </row>
        <row r="3628">
          <cell r="B3628" t="str">
            <v>8</v>
          </cell>
          <cell r="AN3628">
            <v>95.32</v>
          </cell>
          <cell r="AP3628">
            <v>50</v>
          </cell>
        </row>
        <row r="3629">
          <cell r="B3629" t="str">
            <v>1</v>
          </cell>
          <cell r="AN3629">
            <v>80.099999999999994</v>
          </cell>
          <cell r="AP3629">
            <v>50</v>
          </cell>
        </row>
        <row r="3630">
          <cell r="B3630" t="str">
            <v>1</v>
          </cell>
          <cell r="AN3630">
            <v>76.05</v>
          </cell>
          <cell r="AP3630">
            <v>50</v>
          </cell>
        </row>
        <row r="3631">
          <cell r="B3631" t="str">
            <v>1</v>
          </cell>
          <cell r="AN3631">
            <v>28.35</v>
          </cell>
          <cell r="AP3631">
            <v>50</v>
          </cell>
        </row>
        <row r="3632">
          <cell r="B3632" t="str">
            <v>1</v>
          </cell>
          <cell r="AN3632">
            <v>106.5</v>
          </cell>
          <cell r="AP3632">
            <v>50</v>
          </cell>
        </row>
        <row r="3633">
          <cell r="B3633" t="str">
            <v>1</v>
          </cell>
          <cell r="AN3633">
            <v>38.9</v>
          </cell>
          <cell r="AP3633">
            <v>50</v>
          </cell>
        </row>
        <row r="3634">
          <cell r="B3634" t="str">
            <v>2</v>
          </cell>
          <cell r="AN3634">
            <v>118.6</v>
          </cell>
          <cell r="AP3634">
            <v>50</v>
          </cell>
        </row>
        <row r="3635">
          <cell r="B3635" t="str">
            <v>2</v>
          </cell>
          <cell r="AN3635">
            <v>72.900000000000006</v>
          </cell>
          <cell r="AP3635">
            <v>50</v>
          </cell>
        </row>
        <row r="3636">
          <cell r="B3636" t="str">
            <v>2</v>
          </cell>
          <cell r="AN3636">
            <v>66.2</v>
          </cell>
          <cell r="AP3636">
            <v>50</v>
          </cell>
        </row>
        <row r="3637">
          <cell r="B3637" t="str">
            <v>2</v>
          </cell>
          <cell r="AN3637">
            <v>229.6</v>
          </cell>
          <cell r="AP3637">
            <v>50</v>
          </cell>
        </row>
        <row r="3638">
          <cell r="B3638" t="str">
            <v>4</v>
          </cell>
          <cell r="AN3638">
            <v>81.099999999999994</v>
          </cell>
          <cell r="AP3638">
            <v>50</v>
          </cell>
        </row>
        <row r="3639">
          <cell r="B3639" t="str">
            <v>4</v>
          </cell>
          <cell r="AN3639">
            <v>199.10000000000002</v>
          </cell>
          <cell r="AP3639">
            <v>50</v>
          </cell>
        </row>
        <row r="3640">
          <cell r="B3640" t="str">
            <v>4</v>
          </cell>
          <cell r="AN3640">
            <v>123.6</v>
          </cell>
          <cell r="AP3640">
            <v>50</v>
          </cell>
        </row>
        <row r="3641">
          <cell r="B3641" t="str">
            <v>4</v>
          </cell>
          <cell r="AN3641">
            <v>123.9</v>
          </cell>
          <cell r="AP3641">
            <v>50</v>
          </cell>
        </row>
        <row r="3642">
          <cell r="B3642" t="str">
            <v>4</v>
          </cell>
          <cell r="AN3642">
            <v>114.69999999999999</v>
          </cell>
          <cell r="AP3642">
            <v>50</v>
          </cell>
        </row>
        <row r="3643">
          <cell r="B3643" t="str">
            <v>4</v>
          </cell>
          <cell r="AN3643">
            <v>67.599999999999994</v>
          </cell>
          <cell r="AP3643">
            <v>50</v>
          </cell>
        </row>
        <row r="3644">
          <cell r="B3644" t="str">
            <v>5</v>
          </cell>
          <cell r="AN3644">
            <v>329.3</v>
          </cell>
          <cell r="AP3644">
            <v>50</v>
          </cell>
        </row>
        <row r="3645">
          <cell r="B3645" t="str">
            <v>5</v>
          </cell>
          <cell r="AN3645">
            <v>102</v>
          </cell>
          <cell r="AP3645">
            <v>50</v>
          </cell>
        </row>
        <row r="3646">
          <cell r="B3646" t="str">
            <v>5</v>
          </cell>
          <cell r="AN3646">
            <v>235.9</v>
          </cell>
          <cell r="AP3646">
            <v>50</v>
          </cell>
        </row>
        <row r="3647">
          <cell r="B3647" t="str">
            <v>5</v>
          </cell>
          <cell r="AN3647">
            <v>37.6</v>
          </cell>
          <cell r="AP3647">
            <v>50</v>
          </cell>
        </row>
        <row r="3648">
          <cell r="B3648" t="str">
            <v>6</v>
          </cell>
          <cell r="AN3648">
            <v>385.6</v>
          </cell>
          <cell r="AP3648">
            <v>50</v>
          </cell>
        </row>
        <row r="3649">
          <cell r="B3649" t="str">
            <v>6</v>
          </cell>
          <cell r="AN3649">
            <v>76</v>
          </cell>
          <cell r="AP3649">
            <v>50</v>
          </cell>
        </row>
        <row r="3650">
          <cell r="B3650" t="str">
            <v>6</v>
          </cell>
          <cell r="AN3650">
            <v>43.04</v>
          </cell>
          <cell r="AP3650">
            <v>50</v>
          </cell>
        </row>
        <row r="3651">
          <cell r="B3651" t="str">
            <v>6</v>
          </cell>
          <cell r="AN3651">
            <v>209.74</v>
          </cell>
          <cell r="AP3651">
            <v>50</v>
          </cell>
        </row>
        <row r="3652">
          <cell r="B3652" t="str">
            <v>6</v>
          </cell>
          <cell r="AN3652">
            <v>101.4</v>
          </cell>
          <cell r="AP3652">
            <v>50</v>
          </cell>
        </row>
        <row r="3653">
          <cell r="B3653" t="str">
            <v>6</v>
          </cell>
          <cell r="AN3653">
            <v>174.14000000000001</v>
          </cell>
          <cell r="AP3653">
            <v>50</v>
          </cell>
        </row>
        <row r="3654">
          <cell r="B3654" t="str">
            <v>8</v>
          </cell>
          <cell r="AN3654">
            <v>53.24</v>
          </cell>
          <cell r="AP3654">
            <v>50</v>
          </cell>
        </row>
        <row r="3655">
          <cell r="B3655" t="str">
            <v>8</v>
          </cell>
          <cell r="AN3655">
            <v>115.36</v>
          </cell>
          <cell r="AP3655">
            <v>50</v>
          </cell>
        </row>
        <row r="3656">
          <cell r="B3656" t="str">
            <v>8</v>
          </cell>
          <cell r="AN3656">
            <v>76.599999999999994</v>
          </cell>
          <cell r="AP3656">
            <v>50</v>
          </cell>
        </row>
        <row r="3657">
          <cell r="B3657" t="str">
            <v>8</v>
          </cell>
          <cell r="AN3657">
            <v>106.09</v>
          </cell>
          <cell r="AP3657">
            <v>50</v>
          </cell>
        </row>
        <row r="3658">
          <cell r="B3658" t="str">
            <v>8</v>
          </cell>
          <cell r="AN3658">
            <v>135.4</v>
          </cell>
          <cell r="AP3658">
            <v>50</v>
          </cell>
        </row>
        <row r="3659">
          <cell r="B3659" t="str">
            <v>8</v>
          </cell>
          <cell r="AN3659">
            <v>356.08000000000004</v>
          </cell>
          <cell r="AP3659">
            <v>50</v>
          </cell>
        </row>
        <row r="3660">
          <cell r="B3660" t="str">
            <v>8</v>
          </cell>
          <cell r="AN3660">
            <v>60.74</v>
          </cell>
          <cell r="AP3660">
            <v>50</v>
          </cell>
        </row>
        <row r="3661">
          <cell r="B3661" t="str">
            <v>1</v>
          </cell>
          <cell r="AN3661">
            <v>103.30000000000001</v>
          </cell>
          <cell r="AP3661">
            <v>50</v>
          </cell>
        </row>
        <row r="3662">
          <cell r="B3662" t="str">
            <v>2</v>
          </cell>
          <cell r="AN3662">
            <v>140.80000000000001</v>
          </cell>
          <cell r="AP3662">
            <v>50</v>
          </cell>
        </row>
        <row r="3663">
          <cell r="B3663" t="str">
            <v>2</v>
          </cell>
          <cell r="AN3663">
            <v>55.8</v>
          </cell>
          <cell r="AP3663">
            <v>50</v>
          </cell>
        </row>
        <row r="3664">
          <cell r="B3664" t="str">
            <v>2</v>
          </cell>
          <cell r="AN3664">
            <v>45.1</v>
          </cell>
          <cell r="AP3664">
            <v>50</v>
          </cell>
        </row>
        <row r="3665">
          <cell r="B3665" t="str">
            <v>2</v>
          </cell>
          <cell r="AN3665">
            <v>57</v>
          </cell>
          <cell r="AP3665">
            <v>50</v>
          </cell>
        </row>
        <row r="3666">
          <cell r="B3666" t="str">
            <v>4</v>
          </cell>
          <cell r="AN3666">
            <v>244.79999999999998</v>
          </cell>
          <cell r="AP3666">
            <v>50</v>
          </cell>
        </row>
        <row r="3667">
          <cell r="B3667" t="str">
            <v>4</v>
          </cell>
          <cell r="AN3667">
            <v>56.7</v>
          </cell>
          <cell r="AP3667">
            <v>50</v>
          </cell>
        </row>
        <row r="3668">
          <cell r="B3668" t="str">
            <v>4</v>
          </cell>
          <cell r="AN3668">
            <v>102.5</v>
          </cell>
          <cell r="AP3668">
            <v>50</v>
          </cell>
        </row>
        <row r="3669">
          <cell r="B3669" t="str">
            <v>4</v>
          </cell>
          <cell r="AN3669">
            <v>97.33</v>
          </cell>
          <cell r="AP3669">
            <v>50</v>
          </cell>
        </row>
        <row r="3670">
          <cell r="B3670" t="str">
            <v>4</v>
          </cell>
          <cell r="AN3670">
            <v>107.93</v>
          </cell>
          <cell r="AP3670">
            <v>50</v>
          </cell>
        </row>
        <row r="3671">
          <cell r="B3671" t="str">
            <v>5</v>
          </cell>
          <cell r="AN3671">
            <v>375.17000000000007</v>
          </cell>
          <cell r="AP3671">
            <v>50</v>
          </cell>
        </row>
        <row r="3672">
          <cell r="B3672" t="str">
            <v>5</v>
          </cell>
          <cell r="AN3672">
            <v>246.24</v>
          </cell>
          <cell r="AP3672">
            <v>50</v>
          </cell>
        </row>
        <row r="3673">
          <cell r="B3673" t="str">
            <v>5</v>
          </cell>
          <cell r="AN3673">
            <v>73.150000000000006</v>
          </cell>
          <cell r="AP3673">
            <v>50</v>
          </cell>
        </row>
        <row r="3674">
          <cell r="B3674" t="str">
            <v>6</v>
          </cell>
          <cell r="AN3674">
            <v>702.09999999999991</v>
          </cell>
          <cell r="AP3674">
            <v>50</v>
          </cell>
        </row>
        <row r="3675">
          <cell r="B3675" t="str">
            <v>6</v>
          </cell>
          <cell r="AN3675">
            <v>675.51</v>
          </cell>
          <cell r="AP3675">
            <v>50</v>
          </cell>
        </row>
        <row r="3676">
          <cell r="B3676" t="str">
            <v>7</v>
          </cell>
          <cell r="AN3676">
            <v>45</v>
          </cell>
          <cell r="AP3676">
            <v>50</v>
          </cell>
        </row>
        <row r="3677">
          <cell r="B3677" t="str">
            <v>7</v>
          </cell>
          <cell r="AN3677">
            <v>68.75</v>
          </cell>
          <cell r="AP3677">
            <v>50</v>
          </cell>
        </row>
        <row r="3678">
          <cell r="B3678" t="str">
            <v>7</v>
          </cell>
          <cell r="AN3678">
            <v>71.3</v>
          </cell>
          <cell r="AP3678">
            <v>50</v>
          </cell>
        </row>
        <row r="3679">
          <cell r="B3679" t="str">
            <v>7</v>
          </cell>
          <cell r="AN3679">
            <v>124.19999999999999</v>
          </cell>
          <cell r="AP3679">
            <v>50</v>
          </cell>
        </row>
        <row r="3680">
          <cell r="B3680" t="str">
            <v>8</v>
          </cell>
          <cell r="AN3680">
            <v>168.89999999999998</v>
          </cell>
          <cell r="AP3680">
            <v>50</v>
          </cell>
        </row>
        <row r="3681">
          <cell r="B3681" t="str">
            <v>8</v>
          </cell>
          <cell r="AN3681">
            <v>324.05</v>
          </cell>
          <cell r="AP3681">
            <v>50</v>
          </cell>
        </row>
        <row r="3682">
          <cell r="B3682" t="str">
            <v>8</v>
          </cell>
          <cell r="AN3682">
            <v>414.69</v>
          </cell>
          <cell r="AP3682">
            <v>50</v>
          </cell>
        </row>
        <row r="3683">
          <cell r="B3683" t="str">
            <v>4</v>
          </cell>
          <cell r="AN3683">
            <v>111.5</v>
          </cell>
          <cell r="AP3683">
            <v>50</v>
          </cell>
        </row>
        <row r="3684">
          <cell r="B3684" t="str">
            <v>4</v>
          </cell>
          <cell r="AN3684">
            <v>303.79999999999995</v>
          </cell>
          <cell r="AP3684">
            <v>50</v>
          </cell>
        </row>
        <row r="3685">
          <cell r="B3685" t="str">
            <v>4</v>
          </cell>
          <cell r="AN3685">
            <v>383.03999999999996</v>
          </cell>
          <cell r="AP3685">
            <v>50</v>
          </cell>
        </row>
        <row r="3686">
          <cell r="B3686" t="str">
            <v>5</v>
          </cell>
          <cell r="AN3686">
            <v>307.5</v>
          </cell>
          <cell r="AP3686">
            <v>50</v>
          </cell>
        </row>
        <row r="3687">
          <cell r="B3687" t="str">
            <v>5</v>
          </cell>
          <cell r="AN3687">
            <v>86</v>
          </cell>
          <cell r="AP3687">
            <v>50</v>
          </cell>
        </row>
        <row r="3688">
          <cell r="B3688" t="str">
            <v>5</v>
          </cell>
          <cell r="AN3688">
            <v>380.63</v>
          </cell>
          <cell r="AP3688">
            <v>50</v>
          </cell>
        </row>
        <row r="3689">
          <cell r="B3689" t="str">
            <v>6</v>
          </cell>
          <cell r="AN3689">
            <v>353</v>
          </cell>
          <cell r="AP3689">
            <v>50</v>
          </cell>
        </row>
        <row r="3690">
          <cell r="B3690" t="str">
            <v>6</v>
          </cell>
          <cell r="AN3690">
            <v>262</v>
          </cell>
          <cell r="AP3690">
            <v>50</v>
          </cell>
        </row>
        <row r="3691">
          <cell r="B3691" t="str">
            <v>6</v>
          </cell>
          <cell r="AN3691">
            <v>674.90000000000009</v>
          </cell>
          <cell r="AP3691">
            <v>50</v>
          </cell>
        </row>
        <row r="3692">
          <cell r="B3692" t="str">
            <v>7</v>
          </cell>
          <cell r="AN3692">
            <v>71.98</v>
          </cell>
          <cell r="AP3692">
            <v>50</v>
          </cell>
        </row>
        <row r="3693">
          <cell r="B3693" t="str">
            <v>7</v>
          </cell>
          <cell r="AN3693">
            <v>141.30000000000001</v>
          </cell>
          <cell r="AP3693">
            <v>50</v>
          </cell>
        </row>
        <row r="3694">
          <cell r="B3694" t="str">
            <v>7</v>
          </cell>
          <cell r="AN3694">
            <v>125.5</v>
          </cell>
          <cell r="AP3694">
            <v>50</v>
          </cell>
        </row>
        <row r="3695">
          <cell r="B3695" t="str">
            <v>7</v>
          </cell>
          <cell r="AN3695">
            <v>565</v>
          </cell>
          <cell r="AP3695">
            <v>50</v>
          </cell>
        </row>
        <row r="3696">
          <cell r="B3696" t="str">
            <v>8</v>
          </cell>
          <cell r="AN3696">
            <v>157.95999999999998</v>
          </cell>
          <cell r="AP3696">
            <v>50</v>
          </cell>
        </row>
        <row r="3697">
          <cell r="B3697" t="str">
            <v>8</v>
          </cell>
          <cell r="AN3697">
            <v>233.31</v>
          </cell>
          <cell r="AP3697">
            <v>50</v>
          </cell>
        </row>
        <row r="3698">
          <cell r="B3698" t="str">
            <v>8</v>
          </cell>
          <cell r="AN3698">
            <v>386.5</v>
          </cell>
          <cell r="AP3698">
            <v>50</v>
          </cell>
        </row>
        <row r="3699">
          <cell r="B3699" t="str">
            <v>2</v>
          </cell>
          <cell r="AN3699">
            <v>63.8</v>
          </cell>
          <cell r="AP3699">
            <v>51</v>
          </cell>
        </row>
        <row r="3700">
          <cell r="B3700" t="str">
            <v>2</v>
          </cell>
          <cell r="AN3700">
            <v>52.1</v>
          </cell>
          <cell r="AP3700">
            <v>51</v>
          </cell>
        </row>
        <row r="3701">
          <cell r="B3701" t="str">
            <v>2</v>
          </cell>
          <cell r="AN3701">
            <v>51.33</v>
          </cell>
          <cell r="AP3701">
            <v>51</v>
          </cell>
        </row>
        <row r="3702">
          <cell r="B3702" t="str">
            <v>2</v>
          </cell>
          <cell r="AN3702">
            <v>144.03</v>
          </cell>
          <cell r="AP3702">
            <v>51</v>
          </cell>
        </row>
        <row r="3703">
          <cell r="B3703" t="str">
            <v>4</v>
          </cell>
          <cell r="AN3703">
            <v>378.30000000000007</v>
          </cell>
          <cell r="AP3703">
            <v>51</v>
          </cell>
        </row>
        <row r="3704">
          <cell r="B3704" t="str">
            <v>4</v>
          </cell>
          <cell r="AN3704">
            <v>52.22</v>
          </cell>
          <cell r="AP3704">
            <v>51</v>
          </cell>
        </row>
        <row r="3705">
          <cell r="B3705" t="str">
            <v>4</v>
          </cell>
          <cell r="AN3705">
            <v>60.94</v>
          </cell>
          <cell r="AP3705">
            <v>51</v>
          </cell>
        </row>
        <row r="3706">
          <cell r="B3706" t="str">
            <v>4</v>
          </cell>
          <cell r="AN3706">
            <v>126.44999999999999</v>
          </cell>
          <cell r="AP3706">
            <v>51</v>
          </cell>
        </row>
        <row r="3707">
          <cell r="B3707" t="str">
            <v>4</v>
          </cell>
          <cell r="AN3707">
            <v>113.13</v>
          </cell>
          <cell r="AP3707">
            <v>51</v>
          </cell>
        </row>
        <row r="3708">
          <cell r="B3708" t="str">
            <v>6</v>
          </cell>
          <cell r="AN3708">
            <v>548.5</v>
          </cell>
          <cell r="AP3708">
            <v>51</v>
          </cell>
        </row>
        <row r="3709">
          <cell r="B3709" t="str">
            <v>6</v>
          </cell>
          <cell r="AN3709">
            <v>671</v>
          </cell>
          <cell r="AP3709">
            <v>51</v>
          </cell>
        </row>
        <row r="3710">
          <cell r="B3710" t="str">
            <v>7</v>
          </cell>
          <cell r="AN3710">
            <v>123.41</v>
          </cell>
          <cell r="AP3710">
            <v>51</v>
          </cell>
        </row>
        <row r="3711">
          <cell r="B3711" t="str">
            <v>7</v>
          </cell>
          <cell r="AN3711">
            <v>110.84</v>
          </cell>
          <cell r="AP3711">
            <v>51</v>
          </cell>
        </row>
        <row r="3712">
          <cell r="B3712" t="str">
            <v>7</v>
          </cell>
          <cell r="AN3712">
            <v>218.68</v>
          </cell>
          <cell r="AP3712">
            <v>51</v>
          </cell>
        </row>
        <row r="3713">
          <cell r="B3713" t="str">
            <v>7</v>
          </cell>
          <cell r="AN3713">
            <v>278.12</v>
          </cell>
          <cell r="AP3713">
            <v>51</v>
          </cell>
        </row>
        <row r="3714">
          <cell r="B3714" t="str">
            <v>7</v>
          </cell>
          <cell r="AN3714">
            <v>321.89999999999998</v>
          </cell>
          <cell r="AP3714">
            <v>51</v>
          </cell>
        </row>
        <row r="3715">
          <cell r="B3715" t="str">
            <v>8</v>
          </cell>
          <cell r="AN3715">
            <v>370.79999999999995</v>
          </cell>
          <cell r="AP3715">
            <v>51</v>
          </cell>
        </row>
        <row r="3716">
          <cell r="B3716" t="str">
            <v>8</v>
          </cell>
          <cell r="AN3716">
            <v>243.85999999999999</v>
          </cell>
          <cell r="AP3716">
            <v>51</v>
          </cell>
        </row>
        <row r="3717">
          <cell r="B3717" t="str">
            <v>8</v>
          </cell>
          <cell r="AN3717">
            <v>155.30000000000001</v>
          </cell>
          <cell r="AP3717">
            <v>51</v>
          </cell>
        </row>
        <row r="3718">
          <cell r="B3718" t="str">
            <v>2</v>
          </cell>
          <cell r="AN3718">
            <v>60.2</v>
          </cell>
          <cell r="AP3718">
            <v>51</v>
          </cell>
        </row>
        <row r="3719">
          <cell r="B3719" t="str">
            <v>2</v>
          </cell>
          <cell r="AN3719">
            <v>127.16999999999999</v>
          </cell>
          <cell r="AP3719">
            <v>51</v>
          </cell>
        </row>
        <row r="3720">
          <cell r="B3720" t="str">
            <v>2</v>
          </cell>
          <cell r="AN3720">
            <v>176.3</v>
          </cell>
          <cell r="AP3720">
            <v>51</v>
          </cell>
        </row>
        <row r="3721">
          <cell r="B3721">
            <v>4</v>
          </cell>
          <cell r="AN3721">
            <v>48</v>
          </cell>
          <cell r="AP3721">
            <v>51</v>
          </cell>
        </row>
        <row r="3722">
          <cell r="B3722">
            <v>4</v>
          </cell>
          <cell r="AN3722">
            <v>288.10000000000002</v>
          </cell>
          <cell r="AP3722">
            <v>51</v>
          </cell>
        </row>
        <row r="3723">
          <cell r="B3723" t="str">
            <v>6</v>
          </cell>
          <cell r="AN3723">
            <v>812.3</v>
          </cell>
          <cell r="AP3723">
            <v>51</v>
          </cell>
        </row>
        <row r="3724">
          <cell r="B3724" t="str">
            <v>6</v>
          </cell>
          <cell r="AN3724">
            <v>804.4</v>
          </cell>
          <cell r="AP3724">
            <v>51</v>
          </cell>
        </row>
        <row r="3725">
          <cell r="B3725" t="str">
            <v>7</v>
          </cell>
          <cell r="AN3725">
            <v>306.52000000000004</v>
          </cell>
          <cell r="AP3725">
            <v>51</v>
          </cell>
        </row>
        <row r="3726">
          <cell r="B3726" t="str">
            <v>7</v>
          </cell>
          <cell r="AN3726">
            <v>166.62</v>
          </cell>
          <cell r="AP3726">
            <v>51</v>
          </cell>
        </row>
        <row r="3727">
          <cell r="B3727" t="str">
            <v>7</v>
          </cell>
          <cell r="AN3727">
            <v>147.44999999999999</v>
          </cell>
          <cell r="AP3727">
            <v>51</v>
          </cell>
        </row>
        <row r="3728">
          <cell r="B3728" t="str">
            <v>7</v>
          </cell>
          <cell r="AN3728">
            <v>630</v>
          </cell>
          <cell r="AP3728">
            <v>51</v>
          </cell>
        </row>
        <row r="3729">
          <cell r="B3729" t="str">
            <v>8</v>
          </cell>
          <cell r="AN3729">
            <v>413</v>
          </cell>
          <cell r="AP3729">
            <v>51</v>
          </cell>
        </row>
        <row r="3730">
          <cell r="B3730" t="str">
            <v>8</v>
          </cell>
          <cell r="AN3730">
            <v>180.29</v>
          </cell>
          <cell r="AP3730">
            <v>51</v>
          </cell>
        </row>
        <row r="3731">
          <cell r="B3731" t="str">
            <v>8</v>
          </cell>
          <cell r="AN3731">
            <v>220.26</v>
          </cell>
          <cell r="AP3731">
            <v>51</v>
          </cell>
        </row>
        <row r="3732">
          <cell r="B3732" t="str">
            <v>1</v>
          </cell>
          <cell r="AN3732">
            <v>94</v>
          </cell>
          <cell r="AP3732">
            <v>51</v>
          </cell>
        </row>
        <row r="3733">
          <cell r="B3733" t="str">
            <v>2</v>
          </cell>
          <cell r="AN3733">
            <v>215.51</v>
          </cell>
          <cell r="AP3733">
            <v>51</v>
          </cell>
        </row>
        <row r="3734">
          <cell r="B3734" t="str">
            <v>2</v>
          </cell>
          <cell r="AN3734">
            <v>185.40999999999997</v>
          </cell>
          <cell r="AP3734">
            <v>51</v>
          </cell>
        </row>
        <row r="3735">
          <cell r="B3735" t="str">
            <v>4</v>
          </cell>
          <cell r="AN3735">
            <v>526.5</v>
          </cell>
          <cell r="AP3735">
            <v>51</v>
          </cell>
        </row>
        <row r="3736">
          <cell r="B3736" t="str">
            <v>4</v>
          </cell>
          <cell r="AN3736">
            <v>571</v>
          </cell>
          <cell r="AP3736">
            <v>51</v>
          </cell>
        </row>
        <row r="3737">
          <cell r="B3737" t="str">
            <v>6</v>
          </cell>
          <cell r="AN3737">
            <v>873</v>
          </cell>
          <cell r="AP3737">
            <v>51</v>
          </cell>
        </row>
        <row r="3738">
          <cell r="B3738" t="str">
            <v>6</v>
          </cell>
          <cell r="AN3738">
            <v>504.6</v>
          </cell>
          <cell r="AP3738">
            <v>51</v>
          </cell>
        </row>
        <row r="3739">
          <cell r="B3739" t="str">
            <v>6</v>
          </cell>
          <cell r="AN3739">
            <v>324.55</v>
          </cell>
          <cell r="AP3739">
            <v>51</v>
          </cell>
        </row>
        <row r="3740">
          <cell r="B3740" t="str">
            <v>7</v>
          </cell>
          <cell r="AN3740">
            <v>265.89999999999998</v>
          </cell>
          <cell r="AP3740">
            <v>51</v>
          </cell>
        </row>
        <row r="3741">
          <cell r="B3741" t="str">
            <v>7</v>
          </cell>
          <cell r="AN3741">
            <v>174.04</v>
          </cell>
          <cell r="AP3741">
            <v>51</v>
          </cell>
        </row>
        <row r="3742">
          <cell r="B3742" t="str">
            <v>7</v>
          </cell>
          <cell r="AN3742">
            <v>400.01</v>
          </cell>
          <cell r="AP3742">
            <v>51</v>
          </cell>
        </row>
        <row r="3743">
          <cell r="B3743" t="str">
            <v>7</v>
          </cell>
          <cell r="AN3743">
            <v>451.72999999999996</v>
          </cell>
          <cell r="AP3743">
            <v>51</v>
          </cell>
        </row>
        <row r="3744">
          <cell r="B3744" t="str">
            <v>7</v>
          </cell>
          <cell r="AN3744">
            <v>165.7</v>
          </cell>
          <cell r="AP3744">
            <v>51</v>
          </cell>
        </row>
        <row r="3745">
          <cell r="B3745" t="str">
            <v>7</v>
          </cell>
          <cell r="AN3745">
            <v>241.9</v>
          </cell>
          <cell r="AP3745">
            <v>51</v>
          </cell>
        </row>
        <row r="3746">
          <cell r="B3746" t="str">
            <v>7</v>
          </cell>
          <cell r="AN3746">
            <v>171.56</v>
          </cell>
          <cell r="AP3746">
            <v>51</v>
          </cell>
        </row>
        <row r="3747">
          <cell r="B3747" t="str">
            <v>8</v>
          </cell>
          <cell r="AN3747">
            <v>114.3</v>
          </cell>
          <cell r="AP3747">
            <v>51</v>
          </cell>
        </row>
        <row r="3748">
          <cell r="B3748" t="str">
            <v>8</v>
          </cell>
          <cell r="AN3748">
            <v>294.09999999999997</v>
          </cell>
          <cell r="AP3748">
            <v>51</v>
          </cell>
        </row>
        <row r="3749">
          <cell r="B3749" t="str">
            <v>8</v>
          </cell>
          <cell r="AN3749">
            <v>285.47000000000003</v>
          </cell>
          <cell r="AP3749">
            <v>51</v>
          </cell>
        </row>
        <row r="3750">
          <cell r="B3750" t="str">
            <v>8</v>
          </cell>
          <cell r="AN3750">
            <v>114.28</v>
          </cell>
          <cell r="AP3750">
            <v>51</v>
          </cell>
        </row>
        <row r="3751">
          <cell r="B3751" t="str">
            <v>8</v>
          </cell>
          <cell r="AN3751">
            <v>49.15</v>
          </cell>
          <cell r="AP3751">
            <v>51</v>
          </cell>
        </row>
        <row r="3752">
          <cell r="B3752" t="str">
            <v>1</v>
          </cell>
          <cell r="AN3752">
            <v>26.8</v>
          </cell>
          <cell r="AP3752">
            <v>51</v>
          </cell>
        </row>
        <row r="3753">
          <cell r="B3753" t="str">
            <v>1</v>
          </cell>
          <cell r="AN3753">
            <v>118.39999999999999</v>
          </cell>
          <cell r="AP3753">
            <v>51</v>
          </cell>
        </row>
        <row r="3754">
          <cell r="B3754" t="str">
            <v>1</v>
          </cell>
          <cell r="AN3754">
            <v>133.75</v>
          </cell>
          <cell r="AP3754">
            <v>51</v>
          </cell>
        </row>
        <row r="3755">
          <cell r="B3755" t="str">
            <v>1</v>
          </cell>
          <cell r="AN3755">
            <v>39.6</v>
          </cell>
          <cell r="AP3755">
            <v>51</v>
          </cell>
        </row>
        <row r="3756">
          <cell r="B3756" t="str">
            <v>2</v>
          </cell>
          <cell r="AN3756">
            <v>161.4</v>
          </cell>
          <cell r="AP3756">
            <v>51</v>
          </cell>
        </row>
        <row r="3757">
          <cell r="B3757" t="str">
            <v>2</v>
          </cell>
          <cell r="AN3757">
            <v>153.80000000000001</v>
          </cell>
          <cell r="AP3757">
            <v>51</v>
          </cell>
        </row>
        <row r="3758">
          <cell r="B3758" t="str">
            <v>3</v>
          </cell>
          <cell r="AN3758">
            <v>174.1</v>
          </cell>
          <cell r="AP3758">
            <v>51</v>
          </cell>
        </row>
        <row r="3759">
          <cell r="B3759" t="str">
            <v>3</v>
          </cell>
          <cell r="AN3759">
            <v>158.69999999999999</v>
          </cell>
          <cell r="AP3759">
            <v>51</v>
          </cell>
        </row>
        <row r="3760">
          <cell r="B3760" t="str">
            <v>4</v>
          </cell>
          <cell r="AN3760">
            <v>561.20000000000005</v>
          </cell>
          <cell r="AP3760">
            <v>51</v>
          </cell>
        </row>
        <row r="3761">
          <cell r="B3761" t="str">
            <v>4</v>
          </cell>
          <cell r="AN3761">
            <v>529.54999999999995</v>
          </cell>
          <cell r="AP3761">
            <v>51</v>
          </cell>
        </row>
        <row r="3762">
          <cell r="B3762" t="str">
            <v>7</v>
          </cell>
          <cell r="AN3762">
            <v>252.49</v>
          </cell>
          <cell r="AP3762">
            <v>51</v>
          </cell>
        </row>
        <row r="3763">
          <cell r="B3763" t="str">
            <v>7</v>
          </cell>
          <cell r="AN3763">
            <v>517.38</v>
          </cell>
          <cell r="AP3763">
            <v>51</v>
          </cell>
        </row>
        <row r="3764">
          <cell r="B3764" t="str">
            <v>7</v>
          </cell>
          <cell r="AN3764">
            <v>482.15</v>
          </cell>
          <cell r="AP3764">
            <v>51</v>
          </cell>
        </row>
        <row r="3765">
          <cell r="B3765" t="str">
            <v>7</v>
          </cell>
          <cell r="AN3765">
            <v>728.6</v>
          </cell>
          <cell r="AP3765">
            <v>51</v>
          </cell>
        </row>
        <row r="3766">
          <cell r="B3766" t="str">
            <v>7</v>
          </cell>
          <cell r="AN3766">
            <v>558</v>
          </cell>
          <cell r="AP3766">
            <v>51</v>
          </cell>
        </row>
        <row r="3767">
          <cell r="B3767" t="str">
            <v>8</v>
          </cell>
          <cell r="AN3767">
            <v>420.82</v>
          </cell>
          <cell r="AP3767">
            <v>51</v>
          </cell>
        </row>
        <row r="3768">
          <cell r="B3768" t="str">
            <v>8</v>
          </cell>
          <cell r="AN3768">
            <v>44.47</v>
          </cell>
          <cell r="AP3768">
            <v>51</v>
          </cell>
        </row>
        <row r="3769">
          <cell r="B3769" t="str">
            <v>8</v>
          </cell>
          <cell r="AN3769">
            <v>89.22</v>
          </cell>
          <cell r="AP3769">
            <v>51</v>
          </cell>
        </row>
        <row r="3770">
          <cell r="B3770" t="str">
            <v>8</v>
          </cell>
          <cell r="AN3770">
            <v>166.32999999999998</v>
          </cell>
          <cell r="AP3770">
            <v>51</v>
          </cell>
        </row>
        <row r="3771">
          <cell r="B3771" t="str">
            <v>8</v>
          </cell>
          <cell r="AN3771">
            <v>112.75999999999999</v>
          </cell>
          <cell r="AP3771">
            <v>51</v>
          </cell>
        </row>
        <row r="3772">
          <cell r="B3772" t="str">
            <v>8</v>
          </cell>
          <cell r="AN3772">
            <v>143.27000000000001</v>
          </cell>
          <cell r="AP3772">
            <v>51</v>
          </cell>
        </row>
        <row r="3773">
          <cell r="B3773" t="str">
            <v>1</v>
          </cell>
          <cell r="AN3773">
            <v>146.6</v>
          </cell>
          <cell r="AP3773">
            <v>51</v>
          </cell>
        </row>
        <row r="3774">
          <cell r="B3774" t="str">
            <v>1</v>
          </cell>
          <cell r="AN3774">
            <v>139.19999999999999</v>
          </cell>
          <cell r="AP3774">
            <v>51</v>
          </cell>
        </row>
        <row r="3775">
          <cell r="B3775" t="str">
            <v>2</v>
          </cell>
          <cell r="AN3775">
            <v>194.99</v>
          </cell>
          <cell r="AP3775">
            <v>51</v>
          </cell>
        </row>
        <row r="3776">
          <cell r="B3776" t="str">
            <v>2</v>
          </cell>
          <cell r="AN3776">
            <v>167.8</v>
          </cell>
          <cell r="AP3776">
            <v>51</v>
          </cell>
        </row>
        <row r="3777">
          <cell r="B3777" t="str">
            <v>3</v>
          </cell>
          <cell r="AN3777">
            <v>84.33</v>
          </cell>
          <cell r="AP3777">
            <v>51</v>
          </cell>
        </row>
        <row r="3778">
          <cell r="B3778" t="str">
            <v>3</v>
          </cell>
          <cell r="AN3778">
            <v>386.8</v>
          </cell>
          <cell r="AP3778">
            <v>51</v>
          </cell>
        </row>
        <row r="3779">
          <cell r="B3779" t="str">
            <v>3</v>
          </cell>
          <cell r="AN3779">
            <v>106.38</v>
          </cell>
          <cell r="AP3779">
            <v>51</v>
          </cell>
        </row>
        <row r="3780">
          <cell r="B3780" t="str">
            <v>3</v>
          </cell>
          <cell r="AN3780">
            <v>406.6</v>
          </cell>
          <cell r="AP3780">
            <v>51</v>
          </cell>
        </row>
        <row r="3781">
          <cell r="B3781" t="str">
            <v>3</v>
          </cell>
          <cell r="AN3781">
            <v>73.099999999999994</v>
          </cell>
          <cell r="AP3781">
            <v>51</v>
          </cell>
        </row>
        <row r="3782">
          <cell r="B3782" t="str">
            <v>4</v>
          </cell>
          <cell r="AN3782">
            <v>492.6</v>
          </cell>
          <cell r="AP3782">
            <v>51</v>
          </cell>
        </row>
        <row r="3783">
          <cell r="B3783" t="str">
            <v>4</v>
          </cell>
          <cell r="AN3783">
            <v>515.25</v>
          </cell>
          <cell r="AP3783">
            <v>51</v>
          </cell>
        </row>
        <row r="3784">
          <cell r="B3784" t="str">
            <v>7</v>
          </cell>
          <cell r="AN3784">
            <v>324.20000000000005</v>
          </cell>
          <cell r="AP3784">
            <v>51</v>
          </cell>
        </row>
        <row r="3785">
          <cell r="B3785" t="str">
            <v>7</v>
          </cell>
          <cell r="AN3785">
            <v>115.64</v>
          </cell>
          <cell r="AP3785">
            <v>51</v>
          </cell>
        </row>
        <row r="3786">
          <cell r="B3786" t="str">
            <v>7</v>
          </cell>
          <cell r="AN3786">
            <v>56.2</v>
          </cell>
          <cell r="AP3786">
            <v>51</v>
          </cell>
        </row>
        <row r="3787">
          <cell r="B3787" t="str">
            <v>7</v>
          </cell>
          <cell r="AN3787">
            <v>57.7</v>
          </cell>
          <cell r="AP3787">
            <v>51</v>
          </cell>
        </row>
        <row r="3788">
          <cell r="B3788" t="str">
            <v>7</v>
          </cell>
          <cell r="AN3788">
            <v>117.13000000000001</v>
          </cell>
          <cell r="AP3788">
            <v>51</v>
          </cell>
        </row>
        <row r="3789">
          <cell r="B3789" t="str">
            <v>7</v>
          </cell>
          <cell r="AN3789">
            <v>66.7</v>
          </cell>
          <cell r="AP3789">
            <v>51</v>
          </cell>
        </row>
        <row r="3790">
          <cell r="B3790" t="str">
            <v>7</v>
          </cell>
          <cell r="AN3790">
            <v>78.8</v>
          </cell>
          <cell r="AP3790">
            <v>51</v>
          </cell>
        </row>
        <row r="3791">
          <cell r="B3791" t="str">
            <v>7</v>
          </cell>
          <cell r="AN3791">
            <v>112.9</v>
          </cell>
          <cell r="AP3791">
            <v>51</v>
          </cell>
        </row>
        <row r="3792">
          <cell r="B3792" t="str">
            <v>7</v>
          </cell>
          <cell r="AN3792">
            <v>272.26</v>
          </cell>
          <cell r="AP3792">
            <v>51</v>
          </cell>
        </row>
        <row r="3793">
          <cell r="B3793" t="str">
            <v>8</v>
          </cell>
          <cell r="AN3793">
            <v>238.07999999999998</v>
          </cell>
          <cell r="AP3793">
            <v>51</v>
          </cell>
        </row>
        <row r="3794">
          <cell r="B3794" t="str">
            <v>8</v>
          </cell>
          <cell r="AN3794">
            <v>56.99</v>
          </cell>
          <cell r="AP3794">
            <v>51</v>
          </cell>
        </row>
        <row r="3795">
          <cell r="B3795" t="str">
            <v>8</v>
          </cell>
          <cell r="AN3795">
            <v>68.63</v>
          </cell>
          <cell r="AP3795">
            <v>51</v>
          </cell>
        </row>
        <row r="3796">
          <cell r="B3796" t="str">
            <v>8</v>
          </cell>
          <cell r="AN3796">
            <v>289.09000000000003</v>
          </cell>
          <cell r="AP3796">
            <v>51</v>
          </cell>
        </row>
        <row r="3797">
          <cell r="B3797" t="str">
            <v>8</v>
          </cell>
          <cell r="AN3797">
            <v>115.58000000000001</v>
          </cell>
          <cell r="AP3797">
            <v>51</v>
          </cell>
        </row>
        <row r="3798">
          <cell r="B3798" t="str">
            <v>8</v>
          </cell>
          <cell r="AN3798">
            <v>182.99</v>
          </cell>
          <cell r="AP3798">
            <v>51</v>
          </cell>
        </row>
        <row r="3799">
          <cell r="B3799" t="str">
            <v>8</v>
          </cell>
          <cell r="AN3799">
            <v>162.36000000000001</v>
          </cell>
          <cell r="AP3799">
            <v>51</v>
          </cell>
        </row>
        <row r="3800">
          <cell r="B3800">
            <v>1</v>
          </cell>
          <cell r="AN3800">
            <v>96.949999999999989</v>
          </cell>
          <cell r="AP3800">
            <v>51</v>
          </cell>
        </row>
        <row r="3801">
          <cell r="B3801">
            <v>1</v>
          </cell>
          <cell r="AN3801">
            <v>40.18</v>
          </cell>
          <cell r="AP3801">
            <v>51</v>
          </cell>
        </row>
        <row r="3802">
          <cell r="B3802" t="str">
            <v>2</v>
          </cell>
          <cell r="AN3802">
            <v>175.21</v>
          </cell>
          <cell r="AP3802">
            <v>51</v>
          </cell>
        </row>
        <row r="3803">
          <cell r="B3803" t="str">
            <v>2</v>
          </cell>
          <cell r="AN3803">
            <v>200.51999999999998</v>
          </cell>
          <cell r="AP3803">
            <v>51</v>
          </cell>
        </row>
        <row r="3804">
          <cell r="B3804" t="str">
            <v>3</v>
          </cell>
          <cell r="AN3804">
            <v>436.8</v>
          </cell>
          <cell r="AP3804">
            <v>51</v>
          </cell>
        </row>
        <row r="3805">
          <cell r="B3805" t="str">
            <v>3</v>
          </cell>
          <cell r="AN3805">
            <v>85.5</v>
          </cell>
          <cell r="AP3805">
            <v>51</v>
          </cell>
        </row>
        <row r="3806">
          <cell r="B3806" t="str">
            <v>3</v>
          </cell>
          <cell r="AN3806">
            <v>231.4</v>
          </cell>
          <cell r="AP3806">
            <v>51</v>
          </cell>
        </row>
        <row r="3807">
          <cell r="B3807" t="str">
            <v>3</v>
          </cell>
          <cell r="AN3807">
            <v>157.4</v>
          </cell>
          <cell r="AP3807">
            <v>51</v>
          </cell>
        </row>
        <row r="3808">
          <cell r="B3808" t="str">
            <v>4</v>
          </cell>
          <cell r="AN3808">
            <v>480.20000000000005</v>
          </cell>
          <cell r="AP3808">
            <v>51</v>
          </cell>
        </row>
        <row r="3809">
          <cell r="B3809" t="str">
            <v>4</v>
          </cell>
          <cell r="AN3809">
            <v>473.94999999999993</v>
          </cell>
          <cell r="AP3809">
            <v>51</v>
          </cell>
        </row>
        <row r="3810">
          <cell r="B3810" t="str">
            <v>7</v>
          </cell>
          <cell r="AN3810">
            <v>533.54999999999995</v>
          </cell>
          <cell r="AP3810">
            <v>51</v>
          </cell>
        </row>
        <row r="3811">
          <cell r="B3811" t="str">
            <v>7</v>
          </cell>
          <cell r="AN3811">
            <v>226.48999999999998</v>
          </cell>
          <cell r="AP3811">
            <v>51</v>
          </cell>
        </row>
        <row r="3812">
          <cell r="B3812" t="str">
            <v>7</v>
          </cell>
          <cell r="AN3812">
            <v>117.3</v>
          </cell>
          <cell r="AP3812">
            <v>51</v>
          </cell>
        </row>
        <row r="3813">
          <cell r="B3813" t="str">
            <v>7</v>
          </cell>
          <cell r="AN3813">
            <v>227.5</v>
          </cell>
          <cell r="AP3813">
            <v>51</v>
          </cell>
        </row>
        <row r="3814">
          <cell r="B3814" t="str">
            <v>7</v>
          </cell>
          <cell r="AN3814">
            <v>70.599999999999994</v>
          </cell>
          <cell r="AP3814">
            <v>51</v>
          </cell>
        </row>
        <row r="3815">
          <cell r="B3815" t="str">
            <v>8</v>
          </cell>
          <cell r="AN3815">
            <v>372.31</v>
          </cell>
          <cell r="AP3815">
            <v>51</v>
          </cell>
        </row>
        <row r="3816">
          <cell r="B3816" t="str">
            <v>8</v>
          </cell>
          <cell r="AN3816">
            <v>127.44999999999999</v>
          </cell>
          <cell r="AP3816">
            <v>51</v>
          </cell>
        </row>
        <row r="3817">
          <cell r="B3817" t="str">
            <v>8</v>
          </cell>
          <cell r="AN3817">
            <v>296.60000000000002</v>
          </cell>
          <cell r="AP3817">
            <v>51</v>
          </cell>
        </row>
        <row r="3818">
          <cell r="B3818" t="str">
            <v>3</v>
          </cell>
          <cell r="AN3818">
            <v>89.41</v>
          </cell>
          <cell r="AP3818">
            <v>51</v>
          </cell>
        </row>
        <row r="3819">
          <cell r="B3819" t="str">
            <v>3</v>
          </cell>
          <cell r="AN3819">
            <v>211.64</v>
          </cell>
          <cell r="AP3819">
            <v>51</v>
          </cell>
        </row>
        <row r="3820">
          <cell r="B3820" t="str">
            <v>3</v>
          </cell>
          <cell r="AN3820">
            <v>141.78</v>
          </cell>
          <cell r="AP3820">
            <v>51</v>
          </cell>
        </row>
        <row r="3821">
          <cell r="B3821" t="str">
            <v>3</v>
          </cell>
          <cell r="AN3821">
            <v>251.41</v>
          </cell>
          <cell r="AP3821">
            <v>51</v>
          </cell>
        </row>
        <row r="3822">
          <cell r="B3822" t="str">
            <v>3</v>
          </cell>
          <cell r="AN3822">
            <v>217.55</v>
          </cell>
          <cell r="AP3822">
            <v>51</v>
          </cell>
        </row>
        <row r="3823">
          <cell r="B3823" t="str">
            <v>2</v>
          </cell>
          <cell r="AN3823">
            <v>136.03</v>
          </cell>
          <cell r="AP3823">
            <v>51</v>
          </cell>
        </row>
        <row r="3824">
          <cell r="B3824" t="str">
            <v>2</v>
          </cell>
          <cell r="AN3824">
            <v>152.10000000000002</v>
          </cell>
          <cell r="AP3824">
            <v>51</v>
          </cell>
        </row>
        <row r="3825">
          <cell r="B3825" t="str">
            <v>4</v>
          </cell>
          <cell r="AN3825">
            <v>357.15</v>
          </cell>
          <cell r="AP3825">
            <v>51</v>
          </cell>
        </row>
        <row r="3826">
          <cell r="B3826" t="str">
            <v>4</v>
          </cell>
          <cell r="AN3826">
            <v>541.79999999999995</v>
          </cell>
          <cell r="AP3826">
            <v>51</v>
          </cell>
        </row>
        <row r="3827">
          <cell r="B3827" t="str">
            <v>2</v>
          </cell>
          <cell r="AN3827">
            <v>171.84</v>
          </cell>
          <cell r="AP3827">
            <v>52</v>
          </cell>
        </row>
        <row r="3828">
          <cell r="B3828" t="str">
            <v>2</v>
          </cell>
          <cell r="AN3828">
            <v>65</v>
          </cell>
          <cell r="AP3828">
            <v>52</v>
          </cell>
        </row>
        <row r="3829">
          <cell r="B3829" t="str">
            <v>3</v>
          </cell>
          <cell r="AN3829">
            <v>298.83999999999997</v>
          </cell>
          <cell r="AP3829">
            <v>52</v>
          </cell>
        </row>
        <row r="3830">
          <cell r="B3830" t="str">
            <v>3</v>
          </cell>
          <cell r="AN3830">
            <v>183</v>
          </cell>
          <cell r="AP3830">
            <v>52</v>
          </cell>
        </row>
        <row r="3831">
          <cell r="B3831" t="str">
            <v>3</v>
          </cell>
          <cell r="AN3831">
            <v>207.68</v>
          </cell>
          <cell r="AP3831">
            <v>52</v>
          </cell>
        </row>
        <row r="3832">
          <cell r="B3832" t="str">
            <v>3</v>
          </cell>
          <cell r="AN3832">
            <v>234</v>
          </cell>
          <cell r="AP3832">
            <v>52</v>
          </cell>
        </row>
        <row r="3833">
          <cell r="B3833" t="str">
            <v>4</v>
          </cell>
          <cell r="AN3833">
            <v>420.6</v>
          </cell>
          <cell r="AP3833">
            <v>52</v>
          </cell>
        </row>
        <row r="3834">
          <cell r="B3834" t="str">
            <v>4</v>
          </cell>
          <cell r="AN3834">
            <v>516.85</v>
          </cell>
          <cell r="AP3834">
            <v>52</v>
          </cell>
        </row>
        <row r="3835">
          <cell r="B3835" t="str">
            <v>7</v>
          </cell>
          <cell r="AN3835">
            <v>221.6</v>
          </cell>
          <cell r="AP3835">
            <v>52</v>
          </cell>
        </row>
        <row r="3836">
          <cell r="B3836" t="str">
            <v>7</v>
          </cell>
          <cell r="AN3836">
            <v>96.4</v>
          </cell>
          <cell r="AP3836">
            <v>52</v>
          </cell>
        </row>
        <row r="3837">
          <cell r="B3837" t="str">
            <v>7</v>
          </cell>
          <cell r="AN3837">
            <v>340.79999999999995</v>
          </cell>
          <cell r="AP3837">
            <v>52</v>
          </cell>
        </row>
        <row r="3838">
          <cell r="B3838" t="str">
            <v>7</v>
          </cell>
          <cell r="AN3838">
            <v>179.6</v>
          </cell>
          <cell r="AP3838">
            <v>52</v>
          </cell>
        </row>
        <row r="3839">
          <cell r="B3839" t="str">
            <v>1</v>
          </cell>
          <cell r="AN3839">
            <v>180.62</v>
          </cell>
          <cell r="AP3839">
            <v>52</v>
          </cell>
        </row>
        <row r="3840">
          <cell r="B3840" t="str">
            <v>1</v>
          </cell>
          <cell r="AN3840">
            <v>151.82999999999998</v>
          </cell>
          <cell r="AP3840">
            <v>52</v>
          </cell>
        </row>
        <row r="3841">
          <cell r="B3841" t="str">
            <v>3</v>
          </cell>
          <cell r="AN3841">
            <v>380.06999999999994</v>
          </cell>
          <cell r="AP3841">
            <v>52</v>
          </cell>
        </row>
        <row r="3842">
          <cell r="B3842" t="str">
            <v>3</v>
          </cell>
          <cell r="AN3842">
            <v>133.72999999999999</v>
          </cell>
          <cell r="AP3842">
            <v>52</v>
          </cell>
        </row>
        <row r="3843">
          <cell r="B3843" t="str">
            <v>3</v>
          </cell>
          <cell r="AN3843">
            <v>78.349999999999994</v>
          </cell>
          <cell r="AP3843">
            <v>52</v>
          </cell>
        </row>
        <row r="3844">
          <cell r="B3844" t="str">
            <v>5</v>
          </cell>
          <cell r="AN3844">
            <v>392.23</v>
          </cell>
          <cell r="AP3844">
            <v>52</v>
          </cell>
        </row>
        <row r="3845">
          <cell r="B3845" t="str">
            <v>7</v>
          </cell>
          <cell r="AN3845">
            <v>182.5</v>
          </cell>
          <cell r="AP3845">
            <v>52</v>
          </cell>
        </row>
        <row r="3846">
          <cell r="B3846" t="str">
            <v>7</v>
          </cell>
          <cell r="AN3846">
            <v>137.19999999999999</v>
          </cell>
          <cell r="AP3846">
            <v>52</v>
          </cell>
        </row>
        <row r="3847">
          <cell r="B3847" t="str">
            <v>7</v>
          </cell>
          <cell r="AN3847">
            <v>227.89999999999998</v>
          </cell>
          <cell r="AP3847">
            <v>52</v>
          </cell>
        </row>
        <row r="3848">
          <cell r="B3848" t="str">
            <v>7</v>
          </cell>
          <cell r="AN3848">
            <v>118.3</v>
          </cell>
          <cell r="AP3848">
            <v>52</v>
          </cell>
        </row>
        <row r="3849">
          <cell r="B3849" t="str">
            <v>7</v>
          </cell>
          <cell r="AN3849">
            <v>94</v>
          </cell>
          <cell r="AP3849">
            <v>52</v>
          </cell>
        </row>
        <row r="3850">
          <cell r="B3850" t="str">
            <v>7</v>
          </cell>
          <cell r="AN3850">
            <v>208.4</v>
          </cell>
          <cell r="AP3850">
            <v>52</v>
          </cell>
        </row>
        <row r="3851">
          <cell r="B3851" t="str">
            <v>7</v>
          </cell>
          <cell r="AN3851">
            <v>224.2</v>
          </cell>
          <cell r="AP3851">
            <v>52</v>
          </cell>
        </row>
        <row r="3852">
          <cell r="B3852" t="str">
            <v>7</v>
          </cell>
          <cell r="AN3852">
            <v>341.20000000000005</v>
          </cell>
          <cell r="AP3852">
            <v>52</v>
          </cell>
        </row>
        <row r="3853">
          <cell r="B3853" t="str">
            <v>8</v>
          </cell>
          <cell r="AN3853">
            <v>429.46000000000004</v>
          </cell>
          <cell r="AP3853">
            <v>52</v>
          </cell>
        </row>
        <row r="3854">
          <cell r="B3854" t="str">
            <v>8</v>
          </cell>
          <cell r="AN3854">
            <v>120.9</v>
          </cell>
          <cell r="AP3854">
            <v>52</v>
          </cell>
        </row>
        <row r="3855">
          <cell r="B3855" t="str">
            <v>8</v>
          </cell>
          <cell r="AN3855">
            <v>260.81</v>
          </cell>
          <cell r="AP3855">
            <v>52</v>
          </cell>
        </row>
        <row r="3856">
          <cell r="B3856" t="str">
            <v>8</v>
          </cell>
          <cell r="AN3856">
            <v>174.35</v>
          </cell>
          <cell r="AP3856">
            <v>52</v>
          </cell>
        </row>
        <row r="3857">
          <cell r="B3857" t="str">
            <v>4</v>
          </cell>
          <cell r="AN3857">
            <v>126</v>
          </cell>
          <cell r="AP3857">
            <v>52</v>
          </cell>
        </row>
        <row r="3858">
          <cell r="B3858" t="str">
            <v>4</v>
          </cell>
          <cell r="AN3858">
            <v>76.290000000000006</v>
          </cell>
          <cell r="AP3858">
            <v>52</v>
          </cell>
        </row>
        <row r="3859">
          <cell r="B3859" t="str">
            <v>4</v>
          </cell>
          <cell r="AN3859">
            <v>109</v>
          </cell>
          <cell r="AP3859">
            <v>52</v>
          </cell>
        </row>
        <row r="3860">
          <cell r="B3860" t="str">
            <v>4</v>
          </cell>
          <cell r="AN3860">
            <v>111.4</v>
          </cell>
          <cell r="AP3860">
            <v>52</v>
          </cell>
        </row>
        <row r="3861">
          <cell r="B3861" t="str">
            <v>4</v>
          </cell>
          <cell r="AN3861">
            <v>102.6</v>
          </cell>
          <cell r="AP3861">
            <v>52</v>
          </cell>
        </row>
        <row r="3862">
          <cell r="B3862" t="str">
            <v>4</v>
          </cell>
          <cell r="AN3862">
            <v>118.4</v>
          </cell>
          <cell r="AP3862">
            <v>52</v>
          </cell>
        </row>
        <row r="3863">
          <cell r="B3863" t="str">
            <v>4</v>
          </cell>
          <cell r="AN3863">
            <v>113.5</v>
          </cell>
          <cell r="AP3863">
            <v>52</v>
          </cell>
        </row>
        <row r="3864">
          <cell r="B3864" t="str">
            <v>4</v>
          </cell>
          <cell r="AN3864">
            <v>113.60000000000001</v>
          </cell>
          <cell r="AP3864">
            <v>52</v>
          </cell>
        </row>
        <row r="3865">
          <cell r="B3865" t="str">
            <v>2</v>
          </cell>
          <cell r="AN3865">
            <v>155.96</v>
          </cell>
          <cell r="AP3865">
            <v>52</v>
          </cell>
        </row>
        <row r="3866">
          <cell r="B3866" t="str">
            <v>2</v>
          </cell>
          <cell r="AN3866">
            <v>63.5</v>
          </cell>
          <cell r="AP3866">
            <v>52</v>
          </cell>
        </row>
        <row r="3867">
          <cell r="B3867" t="str">
            <v>2</v>
          </cell>
          <cell r="AN3867">
            <v>70.25</v>
          </cell>
          <cell r="AP3867">
            <v>52</v>
          </cell>
        </row>
        <row r="3868">
          <cell r="B3868" t="str">
            <v>2</v>
          </cell>
          <cell r="AN3868">
            <v>114.66</v>
          </cell>
          <cell r="AP3868">
            <v>52</v>
          </cell>
        </row>
        <row r="3869">
          <cell r="B3869" t="str">
            <v>2</v>
          </cell>
          <cell r="AN3869">
            <v>44.519999999999996</v>
          </cell>
          <cell r="AP3869">
            <v>52</v>
          </cell>
        </row>
        <row r="3870">
          <cell r="B3870" t="str">
            <v>4</v>
          </cell>
          <cell r="AN3870">
            <v>58.85</v>
          </cell>
          <cell r="AP3870">
            <v>52</v>
          </cell>
        </row>
        <row r="3871">
          <cell r="B3871" t="str">
            <v>4</v>
          </cell>
          <cell r="AN3871">
            <v>84.1</v>
          </cell>
          <cell r="AP3871">
            <v>52</v>
          </cell>
        </row>
        <row r="3872">
          <cell r="B3872" t="str">
            <v>4</v>
          </cell>
          <cell r="AN3872">
            <v>230.60000000000002</v>
          </cell>
          <cell r="AP3872">
            <v>52</v>
          </cell>
        </row>
        <row r="3873">
          <cell r="B3873" t="str">
            <v>4</v>
          </cell>
          <cell r="AN3873">
            <v>127.5</v>
          </cell>
          <cell r="AP3873">
            <v>52</v>
          </cell>
        </row>
        <row r="3874">
          <cell r="B3874" t="str">
            <v>4</v>
          </cell>
          <cell r="AN3874">
            <v>97.56</v>
          </cell>
          <cell r="AP3874">
            <v>52</v>
          </cell>
        </row>
        <row r="3875">
          <cell r="B3875" t="str">
            <v>4</v>
          </cell>
          <cell r="AN3875">
            <v>104.3</v>
          </cell>
          <cell r="AP3875">
            <v>52</v>
          </cell>
        </row>
        <row r="3876">
          <cell r="B3876" t="str">
            <v>4</v>
          </cell>
          <cell r="AN3876">
            <v>141.19999999999999</v>
          </cell>
          <cell r="AP3876">
            <v>52</v>
          </cell>
        </row>
        <row r="3877">
          <cell r="B3877" t="str">
            <v>4</v>
          </cell>
          <cell r="AN3877">
            <v>107.5</v>
          </cell>
          <cell r="AP3877">
            <v>52</v>
          </cell>
        </row>
        <row r="3878">
          <cell r="B3878" t="str">
            <v>5</v>
          </cell>
          <cell r="AN3878">
            <v>236.34</v>
          </cell>
          <cell r="AP3878">
            <v>52</v>
          </cell>
        </row>
        <row r="3879">
          <cell r="B3879" t="str">
            <v>5</v>
          </cell>
          <cell r="AN3879">
            <v>173.99</v>
          </cell>
          <cell r="AP3879">
            <v>52</v>
          </cell>
        </row>
        <row r="3880">
          <cell r="B3880" t="str">
            <v>5</v>
          </cell>
          <cell r="AN3880">
            <v>53.9</v>
          </cell>
          <cell r="AP3880">
            <v>52</v>
          </cell>
        </row>
        <row r="3881">
          <cell r="B3881" t="str">
            <v>5</v>
          </cell>
          <cell r="AN3881">
            <v>288.52</v>
          </cell>
          <cell r="AP3881">
            <v>52</v>
          </cell>
        </row>
        <row r="3882">
          <cell r="B3882" t="str">
            <v>7</v>
          </cell>
          <cell r="AN3882">
            <v>83.4</v>
          </cell>
          <cell r="AP3882">
            <v>52</v>
          </cell>
        </row>
        <row r="3883">
          <cell r="B3883" t="str">
            <v>7</v>
          </cell>
          <cell r="AN3883">
            <v>687.7</v>
          </cell>
          <cell r="AP3883">
            <v>52</v>
          </cell>
        </row>
        <row r="3884">
          <cell r="B3884" t="str">
            <v>7</v>
          </cell>
          <cell r="AN3884">
            <v>827.6</v>
          </cell>
          <cell r="AP3884">
            <v>52</v>
          </cell>
        </row>
        <row r="3885">
          <cell r="B3885" t="str">
            <v>8</v>
          </cell>
          <cell r="AN3885">
            <v>60.55</v>
          </cell>
          <cell r="AP3885">
            <v>52</v>
          </cell>
        </row>
        <row r="3886">
          <cell r="B3886" t="str">
            <v>8</v>
          </cell>
          <cell r="AN3886">
            <v>416.75</v>
          </cell>
          <cell r="AP3886">
            <v>52</v>
          </cell>
        </row>
        <row r="3887">
          <cell r="B3887" t="str">
            <v>8</v>
          </cell>
          <cell r="AN3887">
            <v>350.19999999999993</v>
          </cell>
          <cell r="AP3887">
            <v>52</v>
          </cell>
        </row>
        <row r="3888">
          <cell r="B3888" t="str">
            <v>2</v>
          </cell>
          <cell r="AN3888">
            <v>100.9</v>
          </cell>
          <cell r="AP3888">
            <v>52</v>
          </cell>
        </row>
        <row r="3889">
          <cell r="B3889" t="str">
            <v>2</v>
          </cell>
          <cell r="AN3889">
            <v>98.5</v>
          </cell>
          <cell r="AP3889">
            <v>52</v>
          </cell>
        </row>
        <row r="3890">
          <cell r="B3890" t="str">
            <v>5</v>
          </cell>
          <cell r="AN3890">
            <v>141.4</v>
          </cell>
          <cell r="AP3890">
            <v>52</v>
          </cell>
        </row>
        <row r="3891">
          <cell r="B3891" t="str">
            <v>5</v>
          </cell>
          <cell r="AN3891">
            <v>233.8</v>
          </cell>
          <cell r="AP3891">
            <v>52</v>
          </cell>
        </row>
        <row r="3892">
          <cell r="B3892" t="str">
            <v>5</v>
          </cell>
          <cell r="AN3892">
            <v>180.39999999999998</v>
          </cell>
          <cell r="AP3892">
            <v>52</v>
          </cell>
        </row>
        <row r="3893">
          <cell r="B3893" t="str">
            <v>5</v>
          </cell>
          <cell r="AN3893">
            <v>96</v>
          </cell>
          <cell r="AP3893">
            <v>52</v>
          </cell>
        </row>
        <row r="3894">
          <cell r="B3894" t="str">
            <v>5</v>
          </cell>
          <cell r="AN3894">
            <v>54.13</v>
          </cell>
          <cell r="AP3894">
            <v>52</v>
          </cell>
        </row>
        <row r="3895">
          <cell r="B3895" t="str">
            <v>4</v>
          </cell>
          <cell r="AN3895">
            <v>108</v>
          </cell>
          <cell r="AP3895">
            <v>52</v>
          </cell>
        </row>
        <row r="3896">
          <cell r="B3896" t="str">
            <v>4</v>
          </cell>
          <cell r="AN3896">
            <v>124.60000000000001</v>
          </cell>
          <cell r="AP3896">
            <v>52</v>
          </cell>
        </row>
        <row r="3897">
          <cell r="B3897" t="str">
            <v>4</v>
          </cell>
          <cell r="AN3897">
            <v>125</v>
          </cell>
          <cell r="AP3897">
            <v>52</v>
          </cell>
        </row>
        <row r="3898">
          <cell r="B3898" t="str">
            <v>4</v>
          </cell>
          <cell r="AN3898">
            <v>127.5</v>
          </cell>
          <cell r="AP3898">
            <v>52</v>
          </cell>
        </row>
        <row r="3899">
          <cell r="B3899" t="str">
            <v>4</v>
          </cell>
          <cell r="AN3899">
            <v>186.7</v>
          </cell>
          <cell r="AP3899">
            <v>52</v>
          </cell>
        </row>
        <row r="3900">
          <cell r="B3900" t="str">
            <v>4</v>
          </cell>
          <cell r="AN3900">
            <v>33.4</v>
          </cell>
          <cell r="AP3900">
            <v>52</v>
          </cell>
        </row>
        <row r="3901">
          <cell r="B3901" t="str">
            <v>7</v>
          </cell>
          <cell r="AN3901">
            <v>993.4</v>
          </cell>
          <cell r="AP3901">
            <v>52</v>
          </cell>
        </row>
        <row r="3902">
          <cell r="B3902" t="str">
            <v>7</v>
          </cell>
          <cell r="AN3902">
            <v>885.3</v>
          </cell>
          <cell r="AP3902">
            <v>52</v>
          </cell>
        </row>
        <row r="3903">
          <cell r="B3903" t="str">
            <v>8</v>
          </cell>
          <cell r="AN3903">
            <v>170.03</v>
          </cell>
          <cell r="AP3903">
            <v>52</v>
          </cell>
        </row>
        <row r="3904">
          <cell r="B3904" t="str">
            <v>8</v>
          </cell>
          <cell r="AN3904">
            <v>242.75</v>
          </cell>
          <cell r="AP3904">
            <v>52</v>
          </cell>
        </row>
        <row r="3905">
          <cell r="B3905" t="str">
            <v>8</v>
          </cell>
          <cell r="AN3905">
            <v>274.75</v>
          </cell>
          <cell r="AP3905">
            <v>52</v>
          </cell>
        </row>
        <row r="3906">
          <cell r="B3906" t="str">
            <v>8</v>
          </cell>
          <cell r="AN3906">
            <v>170.41</v>
          </cell>
          <cell r="AP3906">
            <v>52</v>
          </cell>
        </row>
        <row r="3907">
          <cell r="B3907" t="str">
            <v>2</v>
          </cell>
          <cell r="AN3907">
            <v>48.2</v>
          </cell>
          <cell r="AP3907">
            <v>52</v>
          </cell>
        </row>
        <row r="3908">
          <cell r="B3908" t="str">
            <v>2</v>
          </cell>
          <cell r="AN3908">
            <v>80.2</v>
          </cell>
          <cell r="AP3908">
            <v>52</v>
          </cell>
        </row>
        <row r="3909">
          <cell r="B3909" t="str">
            <v>2</v>
          </cell>
          <cell r="AN3909">
            <v>70</v>
          </cell>
          <cell r="AP3909">
            <v>52</v>
          </cell>
        </row>
        <row r="3910">
          <cell r="B3910" t="str">
            <v>2</v>
          </cell>
          <cell r="AN3910">
            <v>148.10000000000002</v>
          </cell>
          <cell r="AP3910">
            <v>52</v>
          </cell>
        </row>
        <row r="3911">
          <cell r="B3911" t="str">
            <v>4</v>
          </cell>
          <cell r="AN3911">
            <v>243.2</v>
          </cell>
          <cell r="AP3911">
            <v>52</v>
          </cell>
        </row>
        <row r="3912">
          <cell r="B3912" t="str">
            <v>4</v>
          </cell>
          <cell r="AN3912">
            <v>126.80000000000001</v>
          </cell>
          <cell r="AP3912">
            <v>52</v>
          </cell>
        </row>
        <row r="3913">
          <cell r="B3913" t="str">
            <v>4</v>
          </cell>
          <cell r="AN3913">
            <v>188.3</v>
          </cell>
          <cell r="AP3913">
            <v>52</v>
          </cell>
        </row>
        <row r="3914">
          <cell r="B3914" t="str">
            <v>5</v>
          </cell>
          <cell r="AN3914">
            <v>162.89999999999998</v>
          </cell>
          <cell r="AP3914">
            <v>52</v>
          </cell>
        </row>
        <row r="3915">
          <cell r="B3915" t="str">
            <v>5</v>
          </cell>
          <cell r="AN3915">
            <v>193.5</v>
          </cell>
          <cell r="AP3915">
            <v>52</v>
          </cell>
        </row>
        <row r="3916">
          <cell r="B3916" t="str">
            <v>5</v>
          </cell>
          <cell r="AN3916">
            <v>359.5</v>
          </cell>
          <cell r="AP3916">
            <v>52</v>
          </cell>
        </row>
        <row r="3917">
          <cell r="B3917" t="str">
            <v>7</v>
          </cell>
          <cell r="AN3917">
            <v>357.9</v>
          </cell>
          <cell r="AP3917">
            <v>52</v>
          </cell>
        </row>
        <row r="3918">
          <cell r="B3918" t="str">
            <v>7</v>
          </cell>
          <cell r="AN3918">
            <v>385.20000000000005</v>
          </cell>
          <cell r="AP3918">
            <v>52</v>
          </cell>
        </row>
        <row r="3919">
          <cell r="B3919" t="str">
            <v>7</v>
          </cell>
          <cell r="AN3919">
            <v>679.14</v>
          </cell>
          <cell r="AP3919">
            <v>52</v>
          </cell>
        </row>
        <row r="3920">
          <cell r="B3920" t="str">
            <v>8</v>
          </cell>
          <cell r="AN3920">
            <v>336.51</v>
          </cell>
          <cell r="AP3920">
            <v>52</v>
          </cell>
        </row>
        <row r="3921">
          <cell r="B3921" t="str">
            <v>8</v>
          </cell>
          <cell r="AN3921">
            <v>169.9</v>
          </cell>
          <cell r="AP3921">
            <v>52</v>
          </cell>
        </row>
        <row r="3922">
          <cell r="B3922" t="str">
            <v>8</v>
          </cell>
          <cell r="AN3922">
            <v>157.42000000000002</v>
          </cell>
          <cell r="AP3922">
            <v>52</v>
          </cell>
        </row>
        <row r="3923">
          <cell r="B3923" t="str">
            <v>8</v>
          </cell>
          <cell r="AN3923">
            <v>339.62</v>
          </cell>
          <cell r="AP3923">
            <v>52</v>
          </cell>
        </row>
        <row r="3924">
          <cell r="B3924" t="str">
            <v>8</v>
          </cell>
          <cell r="AN3924">
            <v>68</v>
          </cell>
          <cell r="AP3924">
            <v>52</v>
          </cell>
        </row>
        <row r="3925">
          <cell r="B3925" t="str">
            <v>2</v>
          </cell>
          <cell r="AN3925">
            <v>146.19999999999999</v>
          </cell>
          <cell r="AP3925">
            <v>52</v>
          </cell>
        </row>
        <row r="3926">
          <cell r="B3926" t="str">
            <v>2</v>
          </cell>
          <cell r="AN3926">
            <v>34.1</v>
          </cell>
          <cell r="AP3926">
            <v>52</v>
          </cell>
        </row>
        <row r="3927">
          <cell r="B3927" t="str">
            <v>2</v>
          </cell>
          <cell r="AN3927">
            <v>181.66</v>
          </cell>
          <cell r="AP3927">
            <v>52</v>
          </cell>
        </row>
        <row r="3928">
          <cell r="B3928" t="str">
            <v>4</v>
          </cell>
          <cell r="AN3928">
            <v>426.09999999999997</v>
          </cell>
          <cell r="AP3928">
            <v>52</v>
          </cell>
        </row>
        <row r="3929">
          <cell r="B3929" t="str">
            <v>4</v>
          </cell>
          <cell r="AN3929">
            <v>418.14</v>
          </cell>
          <cell r="AP3929">
            <v>52</v>
          </cell>
        </row>
        <row r="3930">
          <cell r="B3930" t="str">
            <v>5</v>
          </cell>
          <cell r="AN3930">
            <v>335.73</v>
          </cell>
          <cell r="AP3930">
            <v>52</v>
          </cell>
        </row>
        <row r="3931">
          <cell r="B3931" t="str">
            <v>5</v>
          </cell>
          <cell r="AN3931">
            <v>75.900000000000006</v>
          </cell>
          <cell r="AP3931">
            <v>52</v>
          </cell>
        </row>
        <row r="3932">
          <cell r="B3932" t="str">
            <v>5</v>
          </cell>
          <cell r="AN3932">
            <v>178.7</v>
          </cell>
          <cell r="AP3932">
            <v>52</v>
          </cell>
        </row>
        <row r="3933">
          <cell r="B3933" t="str">
            <v>5</v>
          </cell>
          <cell r="AN3933">
            <v>248.39999999999998</v>
          </cell>
          <cell r="AP3933">
            <v>52</v>
          </cell>
        </row>
        <row r="3934">
          <cell r="B3934" t="str">
            <v>7</v>
          </cell>
          <cell r="AN3934">
            <v>774.1</v>
          </cell>
          <cell r="AP3934">
            <v>52</v>
          </cell>
        </row>
        <row r="3935">
          <cell r="B3935" t="str">
            <v>7</v>
          </cell>
          <cell r="AN3935">
            <v>158.84</v>
          </cell>
          <cell r="AP3935">
            <v>52</v>
          </cell>
        </row>
        <row r="3936">
          <cell r="B3936" t="str">
            <v>7</v>
          </cell>
          <cell r="AN3936">
            <v>151.85</v>
          </cell>
          <cell r="AP3936">
            <v>52</v>
          </cell>
        </row>
        <row r="3937">
          <cell r="B3937" t="str">
            <v>7</v>
          </cell>
          <cell r="AN3937">
            <v>431.81</v>
          </cell>
          <cell r="AP3937">
            <v>52</v>
          </cell>
        </row>
        <row r="3938">
          <cell r="B3938" t="str">
            <v>8</v>
          </cell>
          <cell r="AN3938">
            <v>59.7</v>
          </cell>
          <cell r="AP3938">
            <v>52</v>
          </cell>
        </row>
        <row r="3939">
          <cell r="B3939" t="str">
            <v>8</v>
          </cell>
          <cell r="AN3939">
            <v>302.32</v>
          </cell>
          <cell r="AP3939">
            <v>52</v>
          </cell>
        </row>
        <row r="3940">
          <cell r="B3940" t="str">
            <v>8</v>
          </cell>
          <cell r="AN3940">
            <v>119.02000000000001</v>
          </cell>
          <cell r="AP3940">
            <v>52</v>
          </cell>
        </row>
        <row r="3941">
          <cell r="B3941" t="str">
            <v>8</v>
          </cell>
          <cell r="AN3941">
            <v>160.67000000000002</v>
          </cell>
          <cell r="AP3941">
            <v>52</v>
          </cell>
        </row>
        <row r="3942">
          <cell r="B3942" t="str">
            <v>8</v>
          </cell>
          <cell r="AN3942">
            <v>104.36</v>
          </cell>
          <cell r="AP3942">
            <v>52</v>
          </cell>
        </row>
        <row r="3943">
          <cell r="B3943" t="str">
            <v>8</v>
          </cell>
          <cell r="AN3943">
            <v>108.52</v>
          </cell>
          <cell r="AP3943">
            <v>52</v>
          </cell>
        </row>
        <row r="3944">
          <cell r="B3944" t="str">
            <v>2</v>
          </cell>
          <cell r="AN3944">
            <v>194.11</v>
          </cell>
          <cell r="AP3944">
            <v>52</v>
          </cell>
        </row>
        <row r="3945">
          <cell r="B3945" t="str">
            <v>2</v>
          </cell>
          <cell r="AN3945">
            <v>43</v>
          </cell>
          <cell r="AP3945">
            <v>52</v>
          </cell>
        </row>
        <row r="3946">
          <cell r="B3946" t="str">
            <v>2</v>
          </cell>
          <cell r="AN3946">
            <v>87.5</v>
          </cell>
          <cell r="AP3946">
            <v>52</v>
          </cell>
        </row>
        <row r="3947">
          <cell r="B3947" t="str">
            <v>4</v>
          </cell>
          <cell r="AN3947">
            <v>447.35</v>
          </cell>
          <cell r="AP3947">
            <v>52</v>
          </cell>
        </row>
        <row r="3948">
          <cell r="B3948" t="str">
            <v>4</v>
          </cell>
          <cell r="AN3948">
            <v>468.1</v>
          </cell>
          <cell r="AP3948">
            <v>52</v>
          </cell>
        </row>
        <row r="3949">
          <cell r="B3949" t="str">
            <v>5</v>
          </cell>
          <cell r="AN3949">
            <v>262.99</v>
          </cell>
          <cell r="AP3949">
            <v>52</v>
          </cell>
        </row>
        <row r="3950">
          <cell r="B3950" t="str">
            <v>5</v>
          </cell>
          <cell r="AN3950">
            <v>154.03</v>
          </cell>
          <cell r="AP3950">
            <v>52</v>
          </cell>
        </row>
        <row r="3951">
          <cell r="B3951" t="str">
            <v>5</v>
          </cell>
          <cell r="AN3951">
            <v>255.35</v>
          </cell>
          <cell r="AP3951">
            <v>52</v>
          </cell>
        </row>
        <row r="3952">
          <cell r="B3952" t="str">
            <v>5</v>
          </cell>
          <cell r="AN3952">
            <v>153.4</v>
          </cell>
          <cell r="AP3952">
            <v>52</v>
          </cell>
        </row>
        <row r="3953">
          <cell r="B3953" t="str">
            <v>7</v>
          </cell>
          <cell r="AN3953">
            <v>425.43</v>
          </cell>
          <cell r="AP3953">
            <v>52</v>
          </cell>
        </row>
        <row r="3954">
          <cell r="B3954" t="str">
            <v>7</v>
          </cell>
          <cell r="AN3954">
            <v>241.97</v>
          </cell>
          <cell r="AP3954">
            <v>52</v>
          </cell>
        </row>
        <row r="3955">
          <cell r="B3955" t="str">
            <v>7</v>
          </cell>
          <cell r="AN3955">
            <v>59.4</v>
          </cell>
          <cell r="AP3955">
            <v>52</v>
          </cell>
        </row>
        <row r="3956">
          <cell r="B3956" t="str">
            <v>7</v>
          </cell>
          <cell r="AN3956">
            <v>85.8</v>
          </cell>
          <cell r="AP3956">
            <v>52</v>
          </cell>
        </row>
        <row r="3957">
          <cell r="B3957" t="str">
            <v>7</v>
          </cell>
          <cell r="AN3957">
            <v>124.7</v>
          </cell>
          <cell r="AP3957">
            <v>52</v>
          </cell>
        </row>
        <row r="3958">
          <cell r="B3958" t="str">
            <v>7</v>
          </cell>
          <cell r="AN3958">
            <v>110</v>
          </cell>
          <cell r="AP3958">
            <v>52</v>
          </cell>
        </row>
        <row r="3959">
          <cell r="B3959" t="str">
            <v>7</v>
          </cell>
          <cell r="AN3959">
            <v>46.1</v>
          </cell>
          <cell r="AP3959">
            <v>52</v>
          </cell>
        </row>
        <row r="3960">
          <cell r="B3960" t="str">
            <v>7</v>
          </cell>
          <cell r="AN3960">
            <v>412.15999999999997</v>
          </cell>
          <cell r="AP3960">
            <v>52</v>
          </cell>
        </row>
        <row r="3961">
          <cell r="B3961" t="str">
            <v>8</v>
          </cell>
          <cell r="AN3961">
            <v>105.3</v>
          </cell>
          <cell r="AP3961">
            <v>52</v>
          </cell>
        </row>
        <row r="3962">
          <cell r="B3962" t="str">
            <v>8</v>
          </cell>
          <cell r="AN3962">
            <v>121.6</v>
          </cell>
          <cell r="AP3962">
            <v>52</v>
          </cell>
        </row>
        <row r="3963">
          <cell r="B3963" t="str">
            <v>8</v>
          </cell>
          <cell r="AN3963">
            <v>186.63</v>
          </cell>
          <cell r="AP3963">
            <v>52</v>
          </cell>
        </row>
        <row r="3964">
          <cell r="B3964" t="str">
            <v>8</v>
          </cell>
          <cell r="AN3964">
            <v>39.08</v>
          </cell>
          <cell r="AP3964">
            <v>52</v>
          </cell>
        </row>
        <row r="3965">
          <cell r="B3965" t="str">
            <v>8</v>
          </cell>
          <cell r="AN3965">
            <v>113.49</v>
          </cell>
          <cell r="AP3965">
            <v>52</v>
          </cell>
        </row>
        <row r="3966">
          <cell r="B3966" t="str">
            <v>8</v>
          </cell>
          <cell r="AN3966">
            <v>237.89000000000001</v>
          </cell>
          <cell r="AP3966">
            <v>52</v>
          </cell>
        </row>
        <row r="3967">
          <cell r="B3967" t="str">
            <v>1</v>
          </cell>
          <cell r="AN3967">
            <v>68.7</v>
          </cell>
          <cell r="AP3967">
            <v>53</v>
          </cell>
        </row>
        <row r="3968">
          <cell r="B3968" t="str">
            <v>1</v>
          </cell>
          <cell r="AN3968">
            <v>35.230000000000004</v>
          </cell>
          <cell r="AP3968">
            <v>53</v>
          </cell>
        </row>
        <row r="3969">
          <cell r="B3969" t="str">
            <v>2</v>
          </cell>
          <cell r="AN3969">
            <v>98.19</v>
          </cell>
          <cell r="AP3969">
            <v>53</v>
          </cell>
        </row>
        <row r="3970">
          <cell r="B3970" t="str">
            <v>2</v>
          </cell>
          <cell r="AN3970">
            <v>128.30000000000001</v>
          </cell>
          <cell r="AP3970">
            <v>53</v>
          </cell>
        </row>
        <row r="3971">
          <cell r="B3971" t="str">
            <v>4</v>
          </cell>
          <cell r="AN3971">
            <v>194.8</v>
          </cell>
          <cell r="AP3971">
            <v>53</v>
          </cell>
        </row>
        <row r="3972">
          <cell r="B3972" t="str">
            <v>4</v>
          </cell>
          <cell r="AN3972">
            <v>139.80000000000001</v>
          </cell>
          <cell r="AP3972">
            <v>53</v>
          </cell>
        </row>
        <row r="3973">
          <cell r="B3973" t="str">
            <v>4</v>
          </cell>
          <cell r="AN3973">
            <v>357.66999999999996</v>
          </cell>
          <cell r="AP3973">
            <v>53</v>
          </cell>
        </row>
        <row r="3974">
          <cell r="B3974" t="str">
            <v>5</v>
          </cell>
          <cell r="AN3974">
            <v>190.32</v>
          </cell>
          <cell r="AP3974">
            <v>53</v>
          </cell>
        </row>
        <row r="3975">
          <cell r="B3975" t="str">
            <v>5</v>
          </cell>
          <cell r="AN3975">
            <v>297.32</v>
          </cell>
          <cell r="AP3975">
            <v>53</v>
          </cell>
        </row>
        <row r="3976">
          <cell r="B3976" t="str">
            <v>7</v>
          </cell>
          <cell r="AN3976">
            <v>111.14</v>
          </cell>
          <cell r="AP3976">
            <v>53</v>
          </cell>
        </row>
        <row r="3977">
          <cell r="B3977" t="str">
            <v>7</v>
          </cell>
          <cell r="AN3977">
            <v>111.43</v>
          </cell>
          <cell r="AP3977">
            <v>53</v>
          </cell>
        </row>
        <row r="3978">
          <cell r="B3978" t="str">
            <v>7</v>
          </cell>
          <cell r="AN3978">
            <v>111.72999999999999</v>
          </cell>
          <cell r="AP3978">
            <v>53</v>
          </cell>
        </row>
        <row r="3979">
          <cell r="B3979" t="str">
            <v>7</v>
          </cell>
          <cell r="AN3979">
            <v>239.8</v>
          </cell>
          <cell r="AP3979">
            <v>53</v>
          </cell>
        </row>
        <row r="3980">
          <cell r="B3980" t="str">
            <v>7</v>
          </cell>
          <cell r="AN3980">
            <v>881.7</v>
          </cell>
          <cell r="AP3980">
            <v>53</v>
          </cell>
        </row>
        <row r="3981">
          <cell r="B3981" t="str">
            <v>8</v>
          </cell>
          <cell r="AN3981">
            <v>90.3</v>
          </cell>
          <cell r="AP3981">
            <v>53</v>
          </cell>
        </row>
        <row r="3982">
          <cell r="B3982" t="str">
            <v>8</v>
          </cell>
          <cell r="AN3982">
            <v>356.34999999999997</v>
          </cell>
          <cell r="AP3982">
            <v>53</v>
          </cell>
        </row>
        <row r="3983">
          <cell r="B3983" t="str">
            <v>8</v>
          </cell>
          <cell r="AN3983">
            <v>164.1</v>
          </cell>
          <cell r="AP3983">
            <v>53</v>
          </cell>
        </row>
        <row r="3984">
          <cell r="B3984" t="str">
            <v>8</v>
          </cell>
          <cell r="AN3984">
            <v>172.3</v>
          </cell>
          <cell r="AP3984">
            <v>53</v>
          </cell>
        </row>
        <row r="3985">
          <cell r="B3985" t="str">
            <v>8</v>
          </cell>
          <cell r="AN3985">
            <v>111.86</v>
          </cell>
          <cell r="AP3985">
            <v>53</v>
          </cell>
        </row>
        <row r="3986">
          <cell r="B3986" t="str">
            <v>1</v>
          </cell>
          <cell r="AN3986">
            <v>262.87</v>
          </cell>
          <cell r="AP3986">
            <v>53</v>
          </cell>
        </row>
        <row r="3987">
          <cell r="B3987" t="str">
            <v>1</v>
          </cell>
          <cell r="AN3987">
            <v>111.3</v>
          </cell>
          <cell r="AP3987">
            <v>53</v>
          </cell>
        </row>
        <row r="3988">
          <cell r="B3988" t="str">
            <v>1</v>
          </cell>
          <cell r="AN3988">
            <v>112.94999999999999</v>
          </cell>
          <cell r="AP3988">
            <v>53</v>
          </cell>
        </row>
        <row r="3989">
          <cell r="B3989" t="str">
            <v>2</v>
          </cell>
          <cell r="AN3989">
            <v>98.84</v>
          </cell>
          <cell r="AP3989">
            <v>53</v>
          </cell>
        </row>
        <row r="3990">
          <cell r="B3990" t="str">
            <v>2</v>
          </cell>
          <cell r="AN3990">
            <v>105.2</v>
          </cell>
          <cell r="AP3990">
            <v>53</v>
          </cell>
        </row>
        <row r="3991">
          <cell r="B3991" t="str">
            <v>4</v>
          </cell>
          <cell r="AN3991">
            <v>261</v>
          </cell>
          <cell r="AP3991">
            <v>53</v>
          </cell>
        </row>
        <row r="3992">
          <cell r="B3992" t="str">
            <v>4</v>
          </cell>
          <cell r="AN3992">
            <v>355.68000000000006</v>
          </cell>
          <cell r="AP3992">
            <v>53</v>
          </cell>
        </row>
        <row r="3993">
          <cell r="B3993" t="str">
            <v>4</v>
          </cell>
          <cell r="AN3993">
            <v>94.9</v>
          </cell>
          <cell r="AP3993">
            <v>53</v>
          </cell>
        </row>
        <row r="3994">
          <cell r="B3994" t="str">
            <v>7</v>
          </cell>
          <cell r="AN3994">
            <v>529.96</v>
          </cell>
          <cell r="AP3994">
            <v>53</v>
          </cell>
        </row>
        <row r="3995">
          <cell r="B3995" t="str">
            <v>7</v>
          </cell>
          <cell r="AN3995">
            <v>165.28</v>
          </cell>
          <cell r="AP3995">
            <v>53</v>
          </cell>
        </row>
        <row r="3996">
          <cell r="B3996" t="str">
            <v>7</v>
          </cell>
          <cell r="AN3996">
            <v>149.30000000000001</v>
          </cell>
          <cell r="AP3996">
            <v>53</v>
          </cell>
        </row>
        <row r="3997">
          <cell r="B3997" t="str">
            <v>7</v>
          </cell>
          <cell r="AN3997">
            <v>679.10000000000014</v>
          </cell>
          <cell r="AP3997">
            <v>53</v>
          </cell>
        </row>
        <row r="3998">
          <cell r="B3998" t="str">
            <v>8</v>
          </cell>
          <cell r="AN3998">
            <v>121.45</v>
          </cell>
          <cell r="AP3998">
            <v>53</v>
          </cell>
        </row>
        <row r="3999">
          <cell r="B3999" t="str">
            <v>8</v>
          </cell>
          <cell r="AN3999">
            <v>269.08</v>
          </cell>
          <cell r="AP3999">
            <v>53</v>
          </cell>
        </row>
        <row r="4000">
          <cell r="B4000" t="str">
            <v>8</v>
          </cell>
          <cell r="AN4000">
            <v>158.55000000000001</v>
          </cell>
          <cell r="AP4000">
            <v>53</v>
          </cell>
        </row>
        <row r="4001">
          <cell r="B4001" t="str">
            <v>8</v>
          </cell>
          <cell r="AN4001">
            <v>221.42999999999998</v>
          </cell>
          <cell r="AP4001">
            <v>53</v>
          </cell>
        </row>
        <row r="4002">
          <cell r="B4002" t="str">
            <v>1</v>
          </cell>
          <cell r="AN4002">
            <v>67.92</v>
          </cell>
          <cell r="AP4002">
            <v>53</v>
          </cell>
        </row>
        <row r="4003">
          <cell r="B4003" t="str">
            <v>1</v>
          </cell>
          <cell r="AN4003">
            <v>117.28999999999999</v>
          </cell>
          <cell r="AP4003">
            <v>53</v>
          </cell>
        </row>
        <row r="4004">
          <cell r="B4004" t="str">
            <v>1</v>
          </cell>
          <cell r="AN4004">
            <v>173.94</v>
          </cell>
          <cell r="AP4004">
            <v>53</v>
          </cell>
        </row>
        <row r="4005">
          <cell r="B4005" t="str">
            <v>2</v>
          </cell>
          <cell r="AN4005">
            <v>86.2</v>
          </cell>
          <cell r="AP4005">
            <v>53</v>
          </cell>
        </row>
        <row r="4006">
          <cell r="B4006" t="str">
            <v>2</v>
          </cell>
          <cell r="AN4006">
            <v>88</v>
          </cell>
          <cell r="AP4006">
            <v>53</v>
          </cell>
        </row>
        <row r="4007">
          <cell r="B4007" t="str">
            <v>4</v>
          </cell>
          <cell r="AN4007">
            <v>130</v>
          </cell>
          <cell r="AP4007">
            <v>53</v>
          </cell>
        </row>
        <row r="4008">
          <cell r="B4008" t="str">
            <v>4</v>
          </cell>
          <cell r="AN4008">
            <v>170.95000000000002</v>
          </cell>
          <cell r="AP4008">
            <v>53</v>
          </cell>
        </row>
        <row r="4009">
          <cell r="B4009" t="str">
            <v>4</v>
          </cell>
          <cell r="AN4009">
            <v>44.22</v>
          </cell>
          <cell r="AP4009">
            <v>53</v>
          </cell>
        </row>
        <row r="4010">
          <cell r="B4010" t="str">
            <v>4</v>
          </cell>
          <cell r="AN4010">
            <v>84.2</v>
          </cell>
          <cell r="AP4010">
            <v>53</v>
          </cell>
        </row>
        <row r="4011">
          <cell r="B4011" t="str">
            <v>4</v>
          </cell>
          <cell r="AN4011">
            <v>116.83</v>
          </cell>
          <cell r="AP4011">
            <v>53</v>
          </cell>
        </row>
        <row r="4012">
          <cell r="B4012" t="str">
            <v>4</v>
          </cell>
          <cell r="AN4012">
            <v>151.78</v>
          </cell>
          <cell r="AP4012">
            <v>53</v>
          </cell>
        </row>
        <row r="4013">
          <cell r="B4013" t="str">
            <v>7</v>
          </cell>
          <cell r="AN4013">
            <v>877.25</v>
          </cell>
          <cell r="AP4013">
            <v>53</v>
          </cell>
        </row>
        <row r="4014">
          <cell r="B4014" t="str">
            <v>7</v>
          </cell>
          <cell r="AN4014">
            <v>902.9</v>
          </cell>
          <cell r="AP4014">
            <v>53</v>
          </cell>
        </row>
        <row r="4015">
          <cell r="B4015" t="str">
            <v>8</v>
          </cell>
          <cell r="AN4015">
            <v>46.6</v>
          </cell>
          <cell r="AP4015">
            <v>53</v>
          </cell>
        </row>
        <row r="4016">
          <cell r="B4016" t="str">
            <v>8</v>
          </cell>
          <cell r="AN4016">
            <v>490.29999999999995</v>
          </cell>
          <cell r="AP4016">
            <v>53</v>
          </cell>
        </row>
        <row r="4017">
          <cell r="B4017" t="str">
            <v>8</v>
          </cell>
          <cell r="AN4017">
            <v>164.72</v>
          </cell>
          <cell r="AP4017">
            <v>53</v>
          </cell>
        </row>
        <row r="4018">
          <cell r="B4018" t="str">
            <v>8</v>
          </cell>
          <cell r="AN4018">
            <v>171.25</v>
          </cell>
          <cell r="AP4018">
            <v>53</v>
          </cell>
        </row>
        <row r="4019">
          <cell r="B4019" t="str">
            <v>8</v>
          </cell>
          <cell r="AN4019">
            <v>182.68</v>
          </cell>
          <cell r="AP4019">
            <v>53</v>
          </cell>
        </row>
        <row r="4020">
          <cell r="B4020" t="str">
            <v>1</v>
          </cell>
          <cell r="AN4020">
            <v>116.06</v>
          </cell>
          <cell r="AP4020">
            <v>54</v>
          </cell>
        </row>
        <row r="4021">
          <cell r="B4021" t="str">
            <v>1</v>
          </cell>
          <cell r="AN4021">
            <v>59.9</v>
          </cell>
          <cell r="AP4021">
            <v>54</v>
          </cell>
        </row>
        <row r="4022">
          <cell r="B4022" t="str">
            <v>1</v>
          </cell>
          <cell r="AN4022">
            <v>169.47000000000003</v>
          </cell>
          <cell r="AP4022">
            <v>54</v>
          </cell>
        </row>
        <row r="4023">
          <cell r="B4023" t="str">
            <v>2</v>
          </cell>
          <cell r="AN4023">
            <v>90.66</v>
          </cell>
          <cell r="AP4023">
            <v>54</v>
          </cell>
        </row>
        <row r="4024">
          <cell r="B4024" t="str">
            <v>2</v>
          </cell>
          <cell r="AN4024">
            <v>82.1</v>
          </cell>
          <cell r="AP4024">
            <v>54</v>
          </cell>
        </row>
        <row r="4025">
          <cell r="B4025" t="str">
            <v>2</v>
          </cell>
          <cell r="AN4025">
            <v>44.4</v>
          </cell>
          <cell r="AP4025">
            <v>54</v>
          </cell>
        </row>
        <row r="4026">
          <cell r="B4026" t="str">
            <v>4</v>
          </cell>
          <cell r="AN4026">
            <v>78.3</v>
          </cell>
          <cell r="AP4026">
            <v>54</v>
          </cell>
        </row>
        <row r="4027">
          <cell r="B4027" t="str">
            <v>4</v>
          </cell>
          <cell r="AN4027">
            <v>125.10000000000001</v>
          </cell>
          <cell r="AP4027">
            <v>54</v>
          </cell>
        </row>
        <row r="4028">
          <cell r="B4028" t="str">
            <v>4</v>
          </cell>
          <cell r="AN4028">
            <v>68.5</v>
          </cell>
          <cell r="AP4028">
            <v>54</v>
          </cell>
        </row>
        <row r="4029">
          <cell r="B4029" t="str">
            <v>4</v>
          </cell>
          <cell r="AN4029">
            <v>124.1</v>
          </cell>
          <cell r="AP4029">
            <v>54</v>
          </cell>
        </row>
        <row r="4030">
          <cell r="B4030" t="str">
            <v>4</v>
          </cell>
          <cell r="AN4030">
            <v>56.4</v>
          </cell>
          <cell r="AP4030">
            <v>54</v>
          </cell>
        </row>
        <row r="4031">
          <cell r="B4031" t="str">
            <v>4</v>
          </cell>
          <cell r="AN4031">
            <v>184.45000000000002</v>
          </cell>
          <cell r="AP4031">
            <v>54</v>
          </cell>
        </row>
        <row r="4032">
          <cell r="B4032" t="str">
            <v>4</v>
          </cell>
          <cell r="AN4032">
            <v>119.76</v>
          </cell>
          <cell r="AP4032">
            <v>54</v>
          </cell>
        </row>
        <row r="4033">
          <cell r="B4033" t="str">
            <v>4</v>
          </cell>
          <cell r="AN4033">
            <v>114.44999999999999</v>
          </cell>
          <cell r="AP4033">
            <v>54</v>
          </cell>
        </row>
        <row r="4034">
          <cell r="B4034" t="str">
            <v>4</v>
          </cell>
          <cell r="AN4034">
            <v>59.92</v>
          </cell>
          <cell r="AP4034">
            <v>54</v>
          </cell>
        </row>
        <row r="4035">
          <cell r="B4035" t="str">
            <v>7</v>
          </cell>
          <cell r="AN4035">
            <v>831.27</v>
          </cell>
          <cell r="AP4035">
            <v>54</v>
          </cell>
        </row>
        <row r="4036">
          <cell r="B4036" t="str">
            <v>7</v>
          </cell>
          <cell r="AN4036">
            <v>816.09999999999991</v>
          </cell>
          <cell r="AP4036">
            <v>54</v>
          </cell>
        </row>
        <row r="4037">
          <cell r="B4037" t="str">
            <v>8</v>
          </cell>
          <cell r="AN4037">
            <v>44.4</v>
          </cell>
          <cell r="AP4037">
            <v>54</v>
          </cell>
        </row>
        <row r="4038">
          <cell r="B4038" t="str">
            <v>8</v>
          </cell>
          <cell r="AN4038">
            <v>186.03</v>
          </cell>
          <cell r="AP4038">
            <v>54</v>
          </cell>
        </row>
        <row r="4039">
          <cell r="B4039" t="str">
            <v>8</v>
          </cell>
          <cell r="AN4039">
            <v>157.99</v>
          </cell>
          <cell r="AP4039">
            <v>54</v>
          </cell>
        </row>
        <row r="4040">
          <cell r="B4040" t="str">
            <v>8</v>
          </cell>
          <cell r="AN4040">
            <v>412.16999999999996</v>
          </cell>
          <cell r="AP4040">
            <v>54</v>
          </cell>
        </row>
        <row r="4041">
          <cell r="B4041" t="str">
            <v>1</v>
          </cell>
          <cell r="AN4041">
            <v>185.6</v>
          </cell>
          <cell r="AP4041">
            <v>54</v>
          </cell>
        </row>
        <row r="4042">
          <cell r="B4042" t="str">
            <v>1</v>
          </cell>
          <cell r="AN4042">
            <v>44.85</v>
          </cell>
          <cell r="AP4042">
            <v>54</v>
          </cell>
        </row>
        <row r="4043">
          <cell r="B4043" t="str">
            <v>1</v>
          </cell>
          <cell r="AN4043">
            <v>149.55000000000001</v>
          </cell>
          <cell r="AP4043">
            <v>54</v>
          </cell>
        </row>
        <row r="4044">
          <cell r="B4044" t="str">
            <v>2</v>
          </cell>
          <cell r="AN4044">
            <v>154.5</v>
          </cell>
          <cell r="AP4044">
            <v>54</v>
          </cell>
        </row>
        <row r="4045">
          <cell r="B4045" t="str">
            <v>2</v>
          </cell>
          <cell r="AN4045">
            <v>148.10000000000002</v>
          </cell>
          <cell r="AP4045">
            <v>54</v>
          </cell>
        </row>
        <row r="4046">
          <cell r="B4046" t="str">
            <v>4</v>
          </cell>
          <cell r="AN4046">
            <v>45.9</v>
          </cell>
          <cell r="AP4046">
            <v>54</v>
          </cell>
        </row>
        <row r="4047">
          <cell r="B4047" t="str">
            <v>4</v>
          </cell>
          <cell r="AN4047">
            <v>109.2</v>
          </cell>
          <cell r="AP4047">
            <v>54</v>
          </cell>
        </row>
        <row r="4048">
          <cell r="B4048" t="str">
            <v>4</v>
          </cell>
          <cell r="AN4048">
            <v>115.6</v>
          </cell>
          <cell r="AP4048">
            <v>54</v>
          </cell>
        </row>
        <row r="4049">
          <cell r="B4049" t="str">
            <v>4</v>
          </cell>
          <cell r="AN4049">
            <v>117.7</v>
          </cell>
          <cell r="AP4049">
            <v>54</v>
          </cell>
        </row>
        <row r="4050">
          <cell r="B4050" t="str">
            <v>4</v>
          </cell>
          <cell r="AN4050">
            <v>114.7</v>
          </cell>
          <cell r="AP4050">
            <v>54</v>
          </cell>
        </row>
        <row r="4051">
          <cell r="B4051" t="str">
            <v>4</v>
          </cell>
          <cell r="AN4051">
            <v>103.9</v>
          </cell>
          <cell r="AP4051">
            <v>54</v>
          </cell>
        </row>
        <row r="4052">
          <cell r="B4052" t="str">
            <v>4</v>
          </cell>
          <cell r="AN4052">
            <v>128</v>
          </cell>
          <cell r="AP4052">
            <v>54</v>
          </cell>
        </row>
        <row r="4053">
          <cell r="B4053" t="str">
            <v>4</v>
          </cell>
          <cell r="AN4053">
            <v>114.02000000000001</v>
          </cell>
          <cell r="AP4053">
            <v>54</v>
          </cell>
        </row>
        <row r="4054">
          <cell r="B4054" t="str">
            <v>4</v>
          </cell>
          <cell r="AN4054">
            <v>243</v>
          </cell>
          <cell r="AP4054">
            <v>54</v>
          </cell>
        </row>
        <row r="4055">
          <cell r="B4055" t="str">
            <v>7</v>
          </cell>
          <cell r="AN4055">
            <v>827.11000000000013</v>
          </cell>
          <cell r="AP4055">
            <v>54</v>
          </cell>
        </row>
        <row r="4056">
          <cell r="B4056" t="str">
            <v>7</v>
          </cell>
          <cell r="AN4056">
            <v>303</v>
          </cell>
          <cell r="AP4056">
            <v>54</v>
          </cell>
        </row>
        <row r="4057">
          <cell r="B4057" t="str">
            <v>7</v>
          </cell>
          <cell r="AN4057">
            <v>256.39999999999998</v>
          </cell>
          <cell r="AP4057">
            <v>54</v>
          </cell>
        </row>
        <row r="4058">
          <cell r="B4058" t="str">
            <v>8</v>
          </cell>
          <cell r="AN4058">
            <v>177.60000000000002</v>
          </cell>
          <cell r="AP4058">
            <v>54</v>
          </cell>
        </row>
        <row r="4059">
          <cell r="B4059" t="str">
            <v>8</v>
          </cell>
          <cell r="AN4059">
            <v>135.9</v>
          </cell>
          <cell r="AP4059">
            <v>54</v>
          </cell>
        </row>
        <row r="4060">
          <cell r="B4060" t="str">
            <v>8</v>
          </cell>
          <cell r="AN4060">
            <v>166.21</v>
          </cell>
          <cell r="AP4060">
            <v>54</v>
          </cell>
        </row>
        <row r="4061">
          <cell r="B4061" t="str">
            <v>8</v>
          </cell>
          <cell r="AN4061">
            <v>263.71000000000004</v>
          </cell>
          <cell r="AP4061">
            <v>54</v>
          </cell>
        </row>
        <row r="4062">
          <cell r="B4062" t="str">
            <v>8</v>
          </cell>
          <cell r="AN4062">
            <v>194.57</v>
          </cell>
          <cell r="AP4062">
            <v>54</v>
          </cell>
        </row>
        <row r="4063">
          <cell r="B4063" t="str">
            <v>1</v>
          </cell>
          <cell r="AN4063">
            <v>159.48000000000002</v>
          </cell>
          <cell r="AP4063">
            <v>54</v>
          </cell>
        </row>
        <row r="4064">
          <cell r="B4064" t="str">
            <v>1</v>
          </cell>
          <cell r="AN4064">
            <v>109.73</v>
          </cell>
          <cell r="AP4064">
            <v>54</v>
          </cell>
        </row>
        <row r="4065">
          <cell r="B4065" t="str">
            <v>2</v>
          </cell>
          <cell r="AN4065">
            <v>54.6</v>
          </cell>
          <cell r="AP4065">
            <v>54</v>
          </cell>
        </row>
        <row r="4066">
          <cell r="B4066" t="str">
            <v>2</v>
          </cell>
          <cell r="AN4066">
            <v>114.59</v>
          </cell>
          <cell r="AP4066">
            <v>54</v>
          </cell>
        </row>
        <row r="4067">
          <cell r="B4067" t="str">
            <v>2</v>
          </cell>
          <cell r="AN4067">
            <v>129.80000000000001</v>
          </cell>
          <cell r="AP4067">
            <v>54</v>
          </cell>
        </row>
        <row r="4068">
          <cell r="B4068" t="str">
            <v>4</v>
          </cell>
          <cell r="AN4068">
            <v>156.6</v>
          </cell>
          <cell r="AP4068">
            <v>54</v>
          </cell>
        </row>
        <row r="4069">
          <cell r="B4069" t="str">
            <v>4</v>
          </cell>
          <cell r="AN4069">
            <v>395.7</v>
          </cell>
          <cell r="AP4069">
            <v>54</v>
          </cell>
        </row>
        <row r="4070">
          <cell r="B4070" t="str">
            <v>7</v>
          </cell>
          <cell r="AN4070">
            <v>271.43</v>
          </cell>
          <cell r="AP4070">
            <v>54</v>
          </cell>
        </row>
        <row r="4071">
          <cell r="B4071" t="str">
            <v>7</v>
          </cell>
          <cell r="AN4071">
            <v>110.33000000000001</v>
          </cell>
          <cell r="AP4071">
            <v>54</v>
          </cell>
        </row>
        <row r="4072">
          <cell r="B4072" t="str">
            <v>7</v>
          </cell>
          <cell r="AN4072">
            <v>532.23</v>
          </cell>
          <cell r="AP4072">
            <v>54</v>
          </cell>
        </row>
        <row r="4073">
          <cell r="B4073" t="str">
            <v>7</v>
          </cell>
          <cell r="AN4073">
            <v>115.18</v>
          </cell>
          <cell r="AP4073">
            <v>54</v>
          </cell>
        </row>
        <row r="4074">
          <cell r="B4074" t="str">
            <v>7</v>
          </cell>
          <cell r="AN4074">
            <v>634.70000000000005</v>
          </cell>
          <cell r="AP4074">
            <v>54</v>
          </cell>
        </row>
        <row r="4075">
          <cell r="B4075" t="str">
            <v>8</v>
          </cell>
          <cell r="AN4075">
            <v>570</v>
          </cell>
          <cell r="AP4075">
            <v>54</v>
          </cell>
        </row>
        <row r="4076">
          <cell r="B4076" t="str">
            <v>8</v>
          </cell>
          <cell r="AN4076">
            <v>436.68999999999994</v>
          </cell>
          <cell r="AP4076">
            <v>54</v>
          </cell>
        </row>
        <row r="4077">
          <cell r="AP4077">
            <v>54</v>
          </cell>
        </row>
        <row r="4078">
          <cell r="B4078" t="str">
            <v>1</v>
          </cell>
          <cell r="AN4078">
            <v>42.2</v>
          </cell>
          <cell r="AP4078">
            <v>54</v>
          </cell>
        </row>
        <row r="4079">
          <cell r="B4079" t="str">
            <v>1</v>
          </cell>
          <cell r="AN4079">
            <v>35.6</v>
          </cell>
          <cell r="AP4079">
            <v>54</v>
          </cell>
        </row>
        <row r="4080">
          <cell r="B4080" t="str">
            <v>1</v>
          </cell>
          <cell r="AN4080">
            <v>38.6</v>
          </cell>
          <cell r="AP4080">
            <v>54</v>
          </cell>
        </row>
        <row r="4081">
          <cell r="B4081" t="str">
            <v>1</v>
          </cell>
          <cell r="AN4081">
            <v>75.699999999999989</v>
          </cell>
          <cell r="AP4081">
            <v>54</v>
          </cell>
        </row>
        <row r="4082">
          <cell r="B4082" t="str">
            <v>1</v>
          </cell>
          <cell r="AN4082">
            <v>81.400000000000006</v>
          </cell>
          <cell r="AP4082">
            <v>54</v>
          </cell>
        </row>
        <row r="4083">
          <cell r="B4083" t="str">
            <v>4</v>
          </cell>
          <cell r="AN4083">
            <v>106.19999999999999</v>
          </cell>
          <cell r="AP4083">
            <v>54</v>
          </cell>
        </row>
        <row r="4084">
          <cell r="B4084" t="str">
            <v>4</v>
          </cell>
          <cell r="AN4084">
            <v>103.01</v>
          </cell>
          <cell r="AP4084">
            <v>54</v>
          </cell>
        </row>
        <row r="4085">
          <cell r="B4085" t="str">
            <v>7</v>
          </cell>
          <cell r="AN4085">
            <v>402.6</v>
          </cell>
          <cell r="AP4085">
            <v>54</v>
          </cell>
        </row>
        <row r="4086">
          <cell r="B4086" t="str">
            <v>7</v>
          </cell>
          <cell r="AN4086">
            <v>769.48</v>
          </cell>
          <cell r="AP4086">
            <v>54</v>
          </cell>
        </row>
        <row r="4087">
          <cell r="B4087" t="str">
            <v>8</v>
          </cell>
          <cell r="AN4087">
            <v>185.13</v>
          </cell>
          <cell r="AP4087">
            <v>54</v>
          </cell>
        </row>
        <row r="4088">
          <cell r="B4088" t="str">
            <v>8</v>
          </cell>
          <cell r="AN4088">
            <v>130.66</v>
          </cell>
          <cell r="AP4088">
            <v>54</v>
          </cell>
        </row>
        <row r="4089">
          <cell r="B4089" t="str">
            <v>8</v>
          </cell>
          <cell r="AN4089">
            <v>101.94999999999999</v>
          </cell>
          <cell r="AP4089">
            <v>54</v>
          </cell>
        </row>
        <row r="4090">
          <cell r="B4090" t="str">
            <v>8</v>
          </cell>
          <cell r="AN4090">
            <v>173.05</v>
          </cell>
          <cell r="AP4090">
            <v>54</v>
          </cell>
        </row>
        <row r="4091">
          <cell r="B4091" t="str">
            <v>8</v>
          </cell>
          <cell r="AN4091">
            <v>71.349999999999994</v>
          </cell>
          <cell r="AP4091">
            <v>54</v>
          </cell>
        </row>
        <row r="4092">
          <cell r="B4092" t="str">
            <v>1</v>
          </cell>
          <cell r="AN4092">
            <v>117.4</v>
          </cell>
          <cell r="AP4092">
            <v>54</v>
          </cell>
        </row>
        <row r="4093">
          <cell r="B4093" t="str">
            <v>1</v>
          </cell>
          <cell r="AN4093">
            <v>36.700000000000003</v>
          </cell>
          <cell r="AP4093">
            <v>54</v>
          </cell>
        </row>
        <row r="4094">
          <cell r="B4094" t="str">
            <v>1</v>
          </cell>
          <cell r="AN4094">
            <v>211.7</v>
          </cell>
          <cell r="AP4094">
            <v>54</v>
          </cell>
        </row>
        <row r="4095">
          <cell r="B4095" t="str">
            <v>2</v>
          </cell>
          <cell r="AN4095">
            <v>106.6</v>
          </cell>
          <cell r="AP4095">
            <v>54</v>
          </cell>
        </row>
        <row r="4096">
          <cell r="B4096" t="str">
            <v>4</v>
          </cell>
          <cell r="AN4096">
            <v>112.45</v>
          </cell>
          <cell r="AP4096">
            <v>54</v>
          </cell>
        </row>
        <row r="4097">
          <cell r="B4097" t="str">
            <v>4</v>
          </cell>
          <cell r="AN4097">
            <v>97.300000000000011</v>
          </cell>
          <cell r="AP4097">
            <v>54</v>
          </cell>
        </row>
        <row r="4098">
          <cell r="B4098" t="str">
            <v>4</v>
          </cell>
          <cell r="AN4098">
            <v>47</v>
          </cell>
          <cell r="AP4098">
            <v>54</v>
          </cell>
        </row>
        <row r="4099">
          <cell r="B4099" t="str">
            <v>4</v>
          </cell>
          <cell r="AN4099">
            <v>55.99</v>
          </cell>
          <cell r="AP4099">
            <v>54</v>
          </cell>
        </row>
        <row r="4100">
          <cell r="B4100" t="str">
            <v>4</v>
          </cell>
          <cell r="AN4100">
            <v>280.07</v>
          </cell>
          <cell r="AP4100">
            <v>54</v>
          </cell>
        </row>
        <row r="4101">
          <cell r="B4101" t="str">
            <v>4</v>
          </cell>
          <cell r="AN4101">
            <v>121.2</v>
          </cell>
          <cell r="AP4101">
            <v>54</v>
          </cell>
        </row>
        <row r="4102">
          <cell r="B4102" t="str">
            <v>7</v>
          </cell>
          <cell r="AN4102">
            <v>309</v>
          </cell>
          <cell r="AP4102">
            <v>54</v>
          </cell>
        </row>
        <row r="4103">
          <cell r="B4103" t="str">
            <v>7</v>
          </cell>
          <cell r="AN4103">
            <v>637.4</v>
          </cell>
          <cell r="AP4103">
            <v>54</v>
          </cell>
        </row>
        <row r="4104">
          <cell r="B4104" t="str">
            <v>7</v>
          </cell>
          <cell r="AN4104">
            <v>426.17999999999995</v>
          </cell>
          <cell r="AP4104">
            <v>54</v>
          </cell>
        </row>
        <row r="4105">
          <cell r="B4105" t="str">
            <v>7</v>
          </cell>
          <cell r="AN4105">
            <v>289.55</v>
          </cell>
          <cell r="AP4105">
            <v>54</v>
          </cell>
        </row>
        <row r="4106">
          <cell r="B4106" t="str">
            <v>7</v>
          </cell>
          <cell r="AN4106">
            <v>324.67</v>
          </cell>
          <cell r="AP4106">
            <v>54</v>
          </cell>
        </row>
        <row r="4107">
          <cell r="B4107" t="str">
            <v>8</v>
          </cell>
          <cell r="AN4107">
            <v>40.299999999999997</v>
          </cell>
          <cell r="AP4107">
            <v>54</v>
          </cell>
        </row>
        <row r="4108">
          <cell r="B4108" t="str">
            <v>8</v>
          </cell>
          <cell r="AN4108">
            <v>169.37</v>
          </cell>
          <cell r="AP4108">
            <v>54</v>
          </cell>
        </row>
        <row r="4109">
          <cell r="B4109" t="str">
            <v>8</v>
          </cell>
          <cell r="AN4109">
            <v>161.53</v>
          </cell>
          <cell r="AP4109">
            <v>54</v>
          </cell>
        </row>
        <row r="4110">
          <cell r="B4110" t="str">
            <v>8</v>
          </cell>
          <cell r="AN4110">
            <v>259.95000000000005</v>
          </cell>
          <cell r="AP4110">
            <v>54</v>
          </cell>
        </row>
        <row r="4111">
          <cell r="B4111" t="str">
            <v>8</v>
          </cell>
          <cell r="AN4111">
            <v>243.72</v>
          </cell>
          <cell r="AP4111">
            <v>54</v>
          </cell>
        </row>
        <row r="4112">
          <cell r="B4112" t="str">
            <v>1</v>
          </cell>
          <cell r="AN4112">
            <v>108.46000000000001</v>
          </cell>
          <cell r="AP4112">
            <v>54</v>
          </cell>
        </row>
        <row r="4113">
          <cell r="B4113" t="str">
            <v>1</v>
          </cell>
          <cell r="AN4113">
            <v>73.5</v>
          </cell>
          <cell r="AP4113">
            <v>54</v>
          </cell>
        </row>
        <row r="4114">
          <cell r="B4114" t="str">
            <v>1</v>
          </cell>
          <cell r="AN4114">
            <v>190.67</v>
          </cell>
          <cell r="AP4114">
            <v>54</v>
          </cell>
        </row>
        <row r="4115">
          <cell r="B4115" t="str">
            <v>2</v>
          </cell>
          <cell r="AN4115">
            <v>108.5</v>
          </cell>
          <cell r="AP4115">
            <v>54</v>
          </cell>
        </row>
        <row r="4116">
          <cell r="B4116" t="str">
            <v>2</v>
          </cell>
          <cell r="AN4116">
            <v>69.8</v>
          </cell>
          <cell r="AP4116">
            <v>54</v>
          </cell>
        </row>
        <row r="4117">
          <cell r="B4117" t="str">
            <v>2</v>
          </cell>
          <cell r="AN4117">
            <v>192.23</v>
          </cell>
          <cell r="AP4117">
            <v>54</v>
          </cell>
        </row>
        <row r="4118">
          <cell r="B4118" t="str">
            <v>4</v>
          </cell>
          <cell r="AN4118">
            <v>114.5</v>
          </cell>
          <cell r="AP4118">
            <v>54</v>
          </cell>
        </row>
        <row r="4119">
          <cell r="B4119" t="str">
            <v>4</v>
          </cell>
          <cell r="AN4119">
            <v>111.7</v>
          </cell>
          <cell r="AP4119">
            <v>54</v>
          </cell>
        </row>
        <row r="4120">
          <cell r="B4120" t="str">
            <v>4</v>
          </cell>
          <cell r="AN4120">
            <v>39.9</v>
          </cell>
          <cell r="AP4120">
            <v>54</v>
          </cell>
        </row>
        <row r="4121">
          <cell r="B4121" t="str">
            <v>4</v>
          </cell>
          <cell r="AN4121">
            <v>224.6</v>
          </cell>
          <cell r="AP4121">
            <v>54</v>
          </cell>
        </row>
        <row r="4122">
          <cell r="B4122" t="str">
            <v>4</v>
          </cell>
          <cell r="AN4122">
            <v>42.45</v>
          </cell>
          <cell r="AP4122">
            <v>54</v>
          </cell>
        </row>
        <row r="4123">
          <cell r="B4123" t="str">
            <v>4</v>
          </cell>
          <cell r="AN4123">
            <v>65.849999999999994</v>
          </cell>
          <cell r="AP4123">
            <v>54</v>
          </cell>
        </row>
        <row r="4124">
          <cell r="B4124" t="str">
            <v>4</v>
          </cell>
          <cell r="AN4124">
            <v>199.26</v>
          </cell>
          <cell r="AP4124">
            <v>54</v>
          </cell>
        </row>
        <row r="4125">
          <cell r="B4125" t="str">
            <v>4</v>
          </cell>
          <cell r="AN4125">
            <v>56.26</v>
          </cell>
          <cell r="AP4125">
            <v>54</v>
          </cell>
        </row>
        <row r="4126">
          <cell r="B4126" t="str">
            <v>4</v>
          </cell>
          <cell r="AN4126">
            <v>107.67</v>
          </cell>
          <cell r="AP4126">
            <v>54</v>
          </cell>
        </row>
        <row r="4127">
          <cell r="B4127" t="str">
            <v>4</v>
          </cell>
          <cell r="AN4127">
            <v>55.08</v>
          </cell>
          <cell r="AP4127">
            <v>54</v>
          </cell>
        </row>
        <row r="4128">
          <cell r="B4128" t="str">
            <v>7</v>
          </cell>
          <cell r="AN4128">
            <v>403.3</v>
          </cell>
          <cell r="AP4128">
            <v>54</v>
          </cell>
        </row>
        <row r="4129">
          <cell r="B4129" t="str">
            <v>7</v>
          </cell>
          <cell r="AN4129">
            <v>115.9</v>
          </cell>
          <cell r="AP4129">
            <v>54</v>
          </cell>
        </row>
        <row r="4130">
          <cell r="B4130" t="str">
            <v>7</v>
          </cell>
          <cell r="AN4130">
            <v>54.1</v>
          </cell>
          <cell r="AP4130">
            <v>54</v>
          </cell>
        </row>
        <row r="4131">
          <cell r="B4131" t="str">
            <v>7</v>
          </cell>
          <cell r="AN4131">
            <v>647.3599999999999</v>
          </cell>
          <cell r="AP4131">
            <v>54</v>
          </cell>
        </row>
        <row r="4132">
          <cell r="B4132" t="str">
            <v>7</v>
          </cell>
          <cell r="AN4132">
            <v>63</v>
          </cell>
          <cell r="AP4132">
            <v>54</v>
          </cell>
        </row>
        <row r="4133">
          <cell r="B4133" t="str">
            <v>8</v>
          </cell>
          <cell r="AN4133">
            <v>487.28999999999996</v>
          </cell>
          <cell r="AP4133">
            <v>54</v>
          </cell>
        </row>
        <row r="4134">
          <cell r="B4134" t="str">
            <v>8</v>
          </cell>
          <cell r="AN4134">
            <v>330.2</v>
          </cell>
          <cell r="AP4134">
            <v>54</v>
          </cell>
        </row>
        <row r="4135">
          <cell r="B4135" t="str">
            <v>8</v>
          </cell>
          <cell r="AN4135">
            <v>122.54</v>
          </cell>
          <cell r="AP4135">
            <v>54</v>
          </cell>
        </row>
        <row r="4136">
          <cell r="B4136" t="str">
            <v>1</v>
          </cell>
          <cell r="AN4136">
            <v>66.7</v>
          </cell>
          <cell r="AP4136">
            <v>54</v>
          </cell>
        </row>
        <row r="4137">
          <cell r="B4137" t="str">
            <v>1</v>
          </cell>
          <cell r="AN4137">
            <v>112.1</v>
          </cell>
          <cell r="AP4137">
            <v>54</v>
          </cell>
        </row>
        <row r="4138">
          <cell r="B4138" t="str">
            <v>1</v>
          </cell>
          <cell r="AN4138">
            <v>112.8</v>
          </cell>
          <cell r="AP4138">
            <v>54</v>
          </cell>
        </row>
        <row r="4139">
          <cell r="B4139" t="str">
            <v>1</v>
          </cell>
          <cell r="AN4139">
            <v>101</v>
          </cell>
          <cell r="AP4139">
            <v>54</v>
          </cell>
        </row>
        <row r="4140">
          <cell r="B4140" t="str">
            <v>2</v>
          </cell>
          <cell r="AN4140">
            <v>98.800000000000011</v>
          </cell>
          <cell r="AP4140">
            <v>54</v>
          </cell>
        </row>
        <row r="4141">
          <cell r="B4141" t="str">
            <v>2</v>
          </cell>
          <cell r="AN4141">
            <v>137.25</v>
          </cell>
          <cell r="AP4141">
            <v>54</v>
          </cell>
        </row>
        <row r="4142">
          <cell r="B4142" t="str">
            <v>2</v>
          </cell>
          <cell r="AN4142">
            <v>225.5</v>
          </cell>
          <cell r="AP4142">
            <v>54</v>
          </cell>
        </row>
        <row r="4143">
          <cell r="B4143" t="str">
            <v>4</v>
          </cell>
          <cell r="AN4143">
            <v>259.2</v>
          </cell>
          <cell r="AP4143">
            <v>54</v>
          </cell>
        </row>
        <row r="4144">
          <cell r="B4144" t="str">
            <v>4</v>
          </cell>
          <cell r="AN4144">
            <v>199.15</v>
          </cell>
          <cell r="AP4144">
            <v>54</v>
          </cell>
        </row>
        <row r="4145">
          <cell r="B4145" t="str">
            <v>4</v>
          </cell>
          <cell r="AN4145">
            <v>131.80000000000001</v>
          </cell>
          <cell r="AP4145">
            <v>54</v>
          </cell>
        </row>
        <row r="4146">
          <cell r="B4146" t="str">
            <v>4</v>
          </cell>
          <cell r="AN4146">
            <v>118.89999999999999</v>
          </cell>
          <cell r="AP4146">
            <v>54</v>
          </cell>
        </row>
        <row r="4147">
          <cell r="B4147" t="str">
            <v>4</v>
          </cell>
          <cell r="AN4147">
            <v>197.60000000000002</v>
          </cell>
          <cell r="AP4147">
            <v>54</v>
          </cell>
        </row>
        <row r="4148">
          <cell r="B4148" t="str">
            <v>7</v>
          </cell>
          <cell r="AN4148">
            <v>425.70000000000005</v>
          </cell>
          <cell r="AP4148">
            <v>54</v>
          </cell>
        </row>
        <row r="4149">
          <cell r="B4149" t="str">
            <v>7</v>
          </cell>
          <cell r="AN4149">
            <v>119.4</v>
          </cell>
          <cell r="AP4149">
            <v>54</v>
          </cell>
        </row>
        <row r="4150">
          <cell r="B4150" t="str">
            <v>7</v>
          </cell>
          <cell r="AN4150">
            <v>167.4</v>
          </cell>
          <cell r="AP4150">
            <v>54</v>
          </cell>
        </row>
        <row r="4151">
          <cell r="B4151" t="str">
            <v>7</v>
          </cell>
          <cell r="AN4151">
            <v>159.34</v>
          </cell>
          <cell r="AP4151">
            <v>54</v>
          </cell>
        </row>
        <row r="4152">
          <cell r="B4152" t="str">
            <v>7</v>
          </cell>
          <cell r="AN4152">
            <v>109.82</v>
          </cell>
          <cell r="AP4152">
            <v>54</v>
          </cell>
        </row>
        <row r="4153">
          <cell r="B4153" t="str">
            <v>7</v>
          </cell>
          <cell r="AN4153">
            <v>109.27000000000001</v>
          </cell>
          <cell r="AP4153">
            <v>54</v>
          </cell>
        </row>
        <row r="4154">
          <cell r="B4154" t="str">
            <v>7</v>
          </cell>
          <cell r="AN4154">
            <v>111.53999999999999</v>
          </cell>
          <cell r="AP4154">
            <v>54</v>
          </cell>
        </row>
        <row r="4155">
          <cell r="B4155" t="str">
            <v>7</v>
          </cell>
          <cell r="AN4155">
            <v>91.84</v>
          </cell>
          <cell r="AP4155">
            <v>54</v>
          </cell>
        </row>
        <row r="4156">
          <cell r="B4156" t="str">
            <v>7</v>
          </cell>
          <cell r="AN4156">
            <v>59.56</v>
          </cell>
          <cell r="AP4156">
            <v>54</v>
          </cell>
        </row>
        <row r="4157">
          <cell r="B4157" t="str">
            <v>7</v>
          </cell>
          <cell r="AN4157">
            <v>110.89</v>
          </cell>
          <cell r="AP4157">
            <v>54</v>
          </cell>
        </row>
        <row r="4158">
          <cell r="B4158" t="str">
            <v>8</v>
          </cell>
          <cell r="AN4158">
            <v>427.77</v>
          </cell>
          <cell r="AP4158">
            <v>54</v>
          </cell>
        </row>
        <row r="4159">
          <cell r="B4159" t="str">
            <v>8</v>
          </cell>
          <cell r="AN4159">
            <v>436.24</v>
          </cell>
          <cell r="AP4159">
            <v>54</v>
          </cell>
        </row>
        <row r="4160">
          <cell r="B4160" t="str">
            <v>1</v>
          </cell>
          <cell r="AN4160">
            <v>108.68</v>
          </cell>
          <cell r="AP4160">
            <v>54</v>
          </cell>
        </row>
        <row r="4161">
          <cell r="B4161" t="str">
            <v>1</v>
          </cell>
          <cell r="AN4161">
            <v>57.6</v>
          </cell>
          <cell r="AP4161">
            <v>54</v>
          </cell>
        </row>
        <row r="4162">
          <cell r="B4162" t="str">
            <v>1</v>
          </cell>
          <cell r="AN4162">
            <v>165.79999999999998</v>
          </cell>
          <cell r="AP4162">
            <v>54</v>
          </cell>
        </row>
        <row r="4163">
          <cell r="B4163" t="str">
            <v>2</v>
          </cell>
          <cell r="AN4163">
            <v>176.79999999999998</v>
          </cell>
          <cell r="AP4163">
            <v>54</v>
          </cell>
        </row>
        <row r="4164">
          <cell r="B4164" t="str">
            <v>2</v>
          </cell>
          <cell r="AN4164">
            <v>59.5</v>
          </cell>
          <cell r="AP4164">
            <v>54</v>
          </cell>
        </row>
        <row r="4165">
          <cell r="B4165" t="str">
            <v>2</v>
          </cell>
          <cell r="AN4165">
            <v>175.60000000000002</v>
          </cell>
          <cell r="AP4165">
            <v>54</v>
          </cell>
        </row>
        <row r="4166">
          <cell r="B4166" t="str">
            <v>4</v>
          </cell>
          <cell r="AN4166">
            <v>492.83</v>
          </cell>
          <cell r="AP4166">
            <v>54</v>
          </cell>
        </row>
        <row r="4167">
          <cell r="B4167" t="str">
            <v>4</v>
          </cell>
          <cell r="AN4167">
            <v>476.1</v>
          </cell>
          <cell r="AP4167">
            <v>54</v>
          </cell>
        </row>
        <row r="4168">
          <cell r="B4168" t="str">
            <v>4</v>
          </cell>
          <cell r="AN4168">
            <v>60.4</v>
          </cell>
          <cell r="AP4168">
            <v>54</v>
          </cell>
        </row>
        <row r="4169">
          <cell r="B4169" t="str">
            <v>5</v>
          </cell>
          <cell r="AN4169">
            <v>141.4</v>
          </cell>
          <cell r="AP4169">
            <v>54</v>
          </cell>
        </row>
        <row r="4170">
          <cell r="B4170" t="str">
            <v>5</v>
          </cell>
          <cell r="AN4170">
            <v>134.26999999999998</v>
          </cell>
          <cell r="AP4170">
            <v>54</v>
          </cell>
        </row>
        <row r="4171">
          <cell r="B4171" t="str">
            <v>5</v>
          </cell>
          <cell r="AN4171">
            <v>97.240000000000009</v>
          </cell>
          <cell r="AP4171">
            <v>54</v>
          </cell>
        </row>
        <row r="4172">
          <cell r="B4172" t="str">
            <v>5</v>
          </cell>
          <cell r="AN4172">
            <v>82</v>
          </cell>
          <cell r="AP4172">
            <v>54</v>
          </cell>
        </row>
        <row r="4173">
          <cell r="B4173" t="str">
            <v>5</v>
          </cell>
          <cell r="AN4173">
            <v>270.70000000000005</v>
          </cell>
          <cell r="AP4173">
            <v>54</v>
          </cell>
        </row>
        <row r="4174">
          <cell r="B4174" t="str">
            <v>7</v>
          </cell>
          <cell r="AN4174">
            <v>251.5</v>
          </cell>
          <cell r="AP4174">
            <v>54</v>
          </cell>
        </row>
        <row r="4175">
          <cell r="B4175" t="str">
            <v>7</v>
          </cell>
          <cell r="AN4175">
            <v>334.6</v>
          </cell>
          <cell r="AP4175">
            <v>54</v>
          </cell>
        </row>
        <row r="4176">
          <cell r="B4176" t="str">
            <v>7</v>
          </cell>
          <cell r="AN4176">
            <v>298.2</v>
          </cell>
          <cell r="AP4176">
            <v>54</v>
          </cell>
        </row>
        <row r="4177">
          <cell r="B4177" t="str">
            <v>7</v>
          </cell>
          <cell r="AN4177">
            <v>106.99000000000001</v>
          </cell>
          <cell r="AP4177">
            <v>54</v>
          </cell>
        </row>
        <row r="4178">
          <cell r="B4178" t="str">
            <v>7</v>
          </cell>
          <cell r="AN4178">
            <v>267.03000000000003</v>
          </cell>
          <cell r="AP4178">
            <v>54</v>
          </cell>
        </row>
        <row r="4179">
          <cell r="B4179" t="str">
            <v>7</v>
          </cell>
          <cell r="AN4179">
            <v>278.22000000000003</v>
          </cell>
          <cell r="AP4179">
            <v>54</v>
          </cell>
        </row>
        <row r="4180">
          <cell r="B4180" t="str">
            <v>7</v>
          </cell>
          <cell r="AN4180">
            <v>273.92</v>
          </cell>
          <cell r="AP4180">
            <v>54</v>
          </cell>
        </row>
        <row r="4181">
          <cell r="B4181" t="str">
            <v>8</v>
          </cell>
          <cell r="AN4181">
            <v>156.44999999999999</v>
          </cell>
          <cell r="AP4181">
            <v>54</v>
          </cell>
        </row>
        <row r="4182">
          <cell r="B4182" t="str">
            <v>8</v>
          </cell>
          <cell r="AN4182">
            <v>107.84</v>
          </cell>
          <cell r="AP4182">
            <v>54</v>
          </cell>
        </row>
        <row r="4183">
          <cell r="B4183" t="str">
            <v>8</v>
          </cell>
          <cell r="AN4183">
            <v>157.16</v>
          </cell>
          <cell r="AP4183">
            <v>54</v>
          </cell>
        </row>
        <row r="4184">
          <cell r="B4184" t="str">
            <v>8</v>
          </cell>
          <cell r="AN4184">
            <v>197.14999999999998</v>
          </cell>
          <cell r="AP4184">
            <v>54</v>
          </cell>
        </row>
        <row r="4185">
          <cell r="B4185" t="str">
            <v>8</v>
          </cell>
          <cell r="AN4185">
            <v>148.07</v>
          </cell>
          <cell r="AP4185">
            <v>54</v>
          </cell>
        </row>
        <row r="4186">
          <cell r="B4186" t="str">
            <v>8</v>
          </cell>
          <cell r="AN4186">
            <v>56.1</v>
          </cell>
          <cell r="AP4186">
            <v>54</v>
          </cell>
        </row>
        <row r="4187">
          <cell r="B4187" t="str">
            <v>1</v>
          </cell>
          <cell r="AN4187">
            <v>176.17</v>
          </cell>
          <cell r="AP4187">
            <v>54</v>
          </cell>
        </row>
        <row r="4188">
          <cell r="B4188" t="str">
            <v>1</v>
          </cell>
          <cell r="AN4188">
            <v>205</v>
          </cell>
          <cell r="AP4188">
            <v>54</v>
          </cell>
        </row>
        <row r="4189">
          <cell r="B4189" t="str">
            <v>2</v>
          </cell>
          <cell r="AN4189">
            <v>171.2</v>
          </cell>
          <cell r="AP4189">
            <v>54</v>
          </cell>
        </row>
        <row r="4190">
          <cell r="B4190" t="str">
            <v>2</v>
          </cell>
          <cell r="AN4190">
            <v>40.700000000000003</v>
          </cell>
          <cell r="AP4190">
            <v>54</v>
          </cell>
        </row>
        <row r="4191">
          <cell r="B4191" t="str">
            <v>2</v>
          </cell>
          <cell r="AN4191">
            <v>115.3</v>
          </cell>
          <cell r="AP4191">
            <v>54</v>
          </cell>
        </row>
        <row r="4192">
          <cell r="B4192" t="str">
            <v>4</v>
          </cell>
          <cell r="AN4192">
            <v>46.2</v>
          </cell>
          <cell r="AP4192">
            <v>54</v>
          </cell>
        </row>
        <row r="4193">
          <cell r="B4193" t="str">
            <v>4</v>
          </cell>
          <cell r="AN4193">
            <v>130.69999999999999</v>
          </cell>
          <cell r="AP4193">
            <v>54</v>
          </cell>
        </row>
        <row r="4194">
          <cell r="B4194" t="str">
            <v>4</v>
          </cell>
          <cell r="AN4194">
            <v>103.3</v>
          </cell>
          <cell r="AP4194">
            <v>54</v>
          </cell>
        </row>
        <row r="4195">
          <cell r="B4195" t="str">
            <v>4</v>
          </cell>
          <cell r="AN4195">
            <v>148.6</v>
          </cell>
          <cell r="AP4195">
            <v>54</v>
          </cell>
        </row>
        <row r="4196">
          <cell r="B4196" t="str">
            <v>4</v>
          </cell>
          <cell r="AN4196">
            <v>37</v>
          </cell>
          <cell r="AP4196">
            <v>54</v>
          </cell>
        </row>
        <row r="4197">
          <cell r="B4197" t="str">
            <v>4</v>
          </cell>
          <cell r="AN4197">
            <v>93.2</v>
          </cell>
          <cell r="AP4197">
            <v>54</v>
          </cell>
        </row>
        <row r="4198">
          <cell r="B4198" t="str">
            <v>4</v>
          </cell>
          <cell r="AN4198">
            <v>216.5</v>
          </cell>
          <cell r="AP4198">
            <v>54</v>
          </cell>
        </row>
        <row r="4199">
          <cell r="B4199" t="str">
            <v>5</v>
          </cell>
          <cell r="AN4199">
            <v>191.79</v>
          </cell>
          <cell r="AP4199">
            <v>54</v>
          </cell>
        </row>
        <row r="4200">
          <cell r="B4200" t="str">
            <v>5</v>
          </cell>
          <cell r="AN4200">
            <v>167.85000000000002</v>
          </cell>
          <cell r="AP4200">
            <v>54</v>
          </cell>
        </row>
        <row r="4201">
          <cell r="B4201" t="str">
            <v>5</v>
          </cell>
          <cell r="AN4201">
            <v>130.9</v>
          </cell>
          <cell r="AP4201">
            <v>54</v>
          </cell>
        </row>
        <row r="4202">
          <cell r="B4202" t="str">
            <v>5</v>
          </cell>
          <cell r="AN4202">
            <v>254.3</v>
          </cell>
          <cell r="AP4202">
            <v>54</v>
          </cell>
        </row>
        <row r="4203">
          <cell r="B4203" t="str">
            <v>7</v>
          </cell>
          <cell r="AN4203">
            <v>119.6</v>
          </cell>
          <cell r="AP4203">
            <v>54</v>
          </cell>
        </row>
        <row r="4204">
          <cell r="B4204" t="str">
            <v>7</v>
          </cell>
          <cell r="AN4204">
            <v>114.9</v>
          </cell>
          <cell r="AP4204">
            <v>54</v>
          </cell>
        </row>
        <row r="4205">
          <cell r="B4205" t="str">
            <v>7</v>
          </cell>
          <cell r="AN4205">
            <v>180.39999999999998</v>
          </cell>
          <cell r="AP4205">
            <v>54</v>
          </cell>
        </row>
        <row r="4206">
          <cell r="B4206" t="str">
            <v>7</v>
          </cell>
          <cell r="AN4206">
            <v>240.2</v>
          </cell>
          <cell r="AP4206">
            <v>54</v>
          </cell>
        </row>
        <row r="4207">
          <cell r="B4207" t="str">
            <v>7</v>
          </cell>
          <cell r="AN4207">
            <v>83.74</v>
          </cell>
          <cell r="AP4207">
            <v>54</v>
          </cell>
        </row>
        <row r="4208">
          <cell r="B4208" t="str">
            <v>7</v>
          </cell>
          <cell r="AN4208">
            <v>276.17999999999995</v>
          </cell>
          <cell r="AP4208">
            <v>54</v>
          </cell>
        </row>
        <row r="4209">
          <cell r="B4209" t="str">
            <v>7</v>
          </cell>
          <cell r="AN4209">
            <v>108.66</v>
          </cell>
          <cell r="AP4209">
            <v>54</v>
          </cell>
        </row>
        <row r="4210">
          <cell r="B4210" t="str">
            <v>7</v>
          </cell>
          <cell r="AN4210">
            <v>161.25</v>
          </cell>
          <cell r="AP4210">
            <v>54</v>
          </cell>
        </row>
        <row r="4211">
          <cell r="B4211" t="str">
            <v>7</v>
          </cell>
          <cell r="AN4211">
            <v>168.92000000000002</v>
          </cell>
          <cell r="AP4211">
            <v>54</v>
          </cell>
        </row>
        <row r="4212">
          <cell r="B4212" t="str">
            <v>8</v>
          </cell>
          <cell r="AN4212">
            <v>282.11</v>
          </cell>
          <cell r="AP4212">
            <v>54</v>
          </cell>
        </row>
        <row r="4213">
          <cell r="B4213" t="str">
            <v>8</v>
          </cell>
          <cell r="AN4213">
            <v>125.24</v>
          </cell>
          <cell r="AP4213">
            <v>54</v>
          </cell>
        </row>
        <row r="4214">
          <cell r="B4214" t="str">
            <v>8</v>
          </cell>
          <cell r="AN4214">
            <v>88.27000000000001</v>
          </cell>
          <cell r="AP4214">
            <v>54</v>
          </cell>
        </row>
        <row r="4215">
          <cell r="B4215" t="str">
            <v>8</v>
          </cell>
          <cell r="AN4215">
            <v>163.69</v>
          </cell>
          <cell r="AP4215">
            <v>54</v>
          </cell>
        </row>
        <row r="4216">
          <cell r="B4216" t="str">
            <v>8</v>
          </cell>
          <cell r="AN4216">
            <v>109.93</v>
          </cell>
          <cell r="AP4216">
            <v>54</v>
          </cell>
        </row>
        <row r="4217">
          <cell r="B4217" t="str">
            <v>8</v>
          </cell>
          <cell r="AN4217">
            <v>65.400000000000006</v>
          </cell>
          <cell r="AP4217">
            <v>54</v>
          </cell>
        </row>
        <row r="4218">
          <cell r="B4218" t="str">
            <v>1</v>
          </cell>
          <cell r="AN4218">
            <v>129.6</v>
          </cell>
          <cell r="AP4218">
            <v>54</v>
          </cell>
        </row>
        <row r="4219">
          <cell r="B4219" t="str">
            <v>1</v>
          </cell>
          <cell r="AN4219">
            <v>33.4</v>
          </cell>
          <cell r="AP4219">
            <v>54</v>
          </cell>
        </row>
        <row r="4220">
          <cell r="B4220" t="str">
            <v>1</v>
          </cell>
          <cell r="AN4220">
            <v>93.5</v>
          </cell>
          <cell r="AP4220">
            <v>54</v>
          </cell>
        </row>
        <row r="4221">
          <cell r="B4221" t="str">
            <v>1</v>
          </cell>
          <cell r="AN4221">
            <v>80.300000000000011</v>
          </cell>
          <cell r="AP4221">
            <v>54</v>
          </cell>
        </row>
        <row r="4222">
          <cell r="B4222" t="str">
            <v>2</v>
          </cell>
          <cell r="AN4222">
            <v>130.89999999999998</v>
          </cell>
          <cell r="AP4222">
            <v>54</v>
          </cell>
        </row>
        <row r="4223">
          <cell r="B4223" t="str">
            <v>2</v>
          </cell>
          <cell r="AN4223">
            <v>88.300000000000011</v>
          </cell>
          <cell r="AP4223">
            <v>54</v>
          </cell>
        </row>
        <row r="4224">
          <cell r="B4224" t="str">
            <v>2</v>
          </cell>
          <cell r="AN4224">
            <v>138.19999999999999</v>
          </cell>
          <cell r="AP4224">
            <v>54</v>
          </cell>
        </row>
        <row r="4225">
          <cell r="B4225" t="str">
            <v>2</v>
          </cell>
          <cell r="AN4225">
            <v>53.6</v>
          </cell>
          <cell r="AP4225">
            <v>54</v>
          </cell>
        </row>
        <row r="4226">
          <cell r="B4226" t="str">
            <v>4</v>
          </cell>
          <cell r="AN4226">
            <v>118.8</v>
          </cell>
          <cell r="AP4226">
            <v>54</v>
          </cell>
        </row>
        <row r="4227">
          <cell r="B4227" t="str">
            <v>4</v>
          </cell>
          <cell r="AN4227">
            <v>66.2</v>
          </cell>
          <cell r="AP4227">
            <v>54</v>
          </cell>
        </row>
        <row r="4228">
          <cell r="B4228" t="str">
            <v>4</v>
          </cell>
          <cell r="AN4228">
            <v>118.4</v>
          </cell>
          <cell r="AP4228">
            <v>54</v>
          </cell>
        </row>
        <row r="4229">
          <cell r="B4229" t="str">
            <v>4</v>
          </cell>
          <cell r="AN4229">
            <v>113.4</v>
          </cell>
          <cell r="AP4229">
            <v>54</v>
          </cell>
        </row>
        <row r="4230">
          <cell r="B4230" t="str">
            <v>4</v>
          </cell>
          <cell r="AN4230">
            <v>522.54999999999995</v>
          </cell>
          <cell r="AP4230">
            <v>54</v>
          </cell>
        </row>
        <row r="4231">
          <cell r="B4231" t="str">
            <v>5</v>
          </cell>
          <cell r="AN4231">
            <v>284.5</v>
          </cell>
          <cell r="AP4231">
            <v>54</v>
          </cell>
        </row>
        <row r="4232">
          <cell r="B4232" t="str">
            <v>5</v>
          </cell>
          <cell r="AN4232">
            <v>62.6</v>
          </cell>
          <cell r="AP4232">
            <v>54</v>
          </cell>
        </row>
        <row r="4233">
          <cell r="B4233" t="str">
            <v>5</v>
          </cell>
          <cell r="AN4233">
            <v>345.65</v>
          </cell>
          <cell r="AP4233">
            <v>54</v>
          </cell>
        </row>
        <row r="4234">
          <cell r="B4234" t="str">
            <v>7</v>
          </cell>
          <cell r="AN4234">
            <v>114.9</v>
          </cell>
          <cell r="AP4234">
            <v>54</v>
          </cell>
        </row>
        <row r="4235">
          <cell r="B4235" t="str">
            <v>7</v>
          </cell>
          <cell r="AN4235">
            <v>160.18</v>
          </cell>
          <cell r="AP4235">
            <v>54</v>
          </cell>
        </row>
        <row r="4236">
          <cell r="B4236" t="str">
            <v>7</v>
          </cell>
          <cell r="AN4236">
            <v>214.64</v>
          </cell>
          <cell r="AP4236">
            <v>54</v>
          </cell>
        </row>
        <row r="4237">
          <cell r="B4237" t="str">
            <v>7</v>
          </cell>
          <cell r="AN4237">
            <v>121.5</v>
          </cell>
          <cell r="AP4237">
            <v>54</v>
          </cell>
        </row>
        <row r="4238">
          <cell r="B4238" t="str">
            <v>7</v>
          </cell>
          <cell r="AN4238">
            <v>107.1</v>
          </cell>
          <cell r="AP4238">
            <v>54</v>
          </cell>
        </row>
        <row r="4239">
          <cell r="B4239" t="str">
            <v>7</v>
          </cell>
          <cell r="AN4239">
            <v>526.29999999999995</v>
          </cell>
          <cell r="AP4239">
            <v>54</v>
          </cell>
        </row>
        <row r="4240">
          <cell r="B4240" t="str">
            <v>8</v>
          </cell>
          <cell r="AN4240">
            <v>103.44999999999999</v>
          </cell>
          <cell r="AP4240">
            <v>54</v>
          </cell>
        </row>
        <row r="4241">
          <cell r="B4241" t="str">
            <v>8</v>
          </cell>
          <cell r="AN4241">
            <v>106.22999999999999</v>
          </cell>
          <cell r="AP4241">
            <v>54</v>
          </cell>
        </row>
        <row r="4242">
          <cell r="B4242" t="str">
            <v>8</v>
          </cell>
          <cell r="AN4242">
            <v>248.6</v>
          </cell>
          <cell r="AP4242">
            <v>54</v>
          </cell>
        </row>
        <row r="4243">
          <cell r="B4243" t="str">
            <v>8</v>
          </cell>
          <cell r="AN4243">
            <v>460.63</v>
          </cell>
          <cell r="AP4243">
            <v>54</v>
          </cell>
        </row>
        <row r="4244">
          <cell r="B4244" t="str">
            <v>1</v>
          </cell>
          <cell r="AN4244">
            <v>113.4</v>
          </cell>
          <cell r="AP4244">
            <v>55</v>
          </cell>
        </row>
        <row r="4245">
          <cell r="B4245" t="str">
            <v>1</v>
          </cell>
          <cell r="AN4245">
            <v>46.2</v>
          </cell>
          <cell r="AP4245">
            <v>55</v>
          </cell>
        </row>
        <row r="4246">
          <cell r="B4246" t="str">
            <v>1</v>
          </cell>
          <cell r="AN4246">
            <v>166.1</v>
          </cell>
          <cell r="AP4246">
            <v>55</v>
          </cell>
        </row>
        <row r="4247">
          <cell r="B4247" t="str">
            <v>2</v>
          </cell>
          <cell r="AN4247">
            <v>112.13</v>
          </cell>
          <cell r="AP4247">
            <v>55</v>
          </cell>
        </row>
        <row r="4248">
          <cell r="B4248" t="str">
            <v>2</v>
          </cell>
          <cell r="AN4248">
            <v>39.700000000000003</v>
          </cell>
          <cell r="AP4248">
            <v>55</v>
          </cell>
        </row>
        <row r="4249">
          <cell r="B4249" t="str">
            <v>2</v>
          </cell>
          <cell r="AN4249">
            <v>144.4</v>
          </cell>
          <cell r="AP4249">
            <v>55</v>
          </cell>
        </row>
        <row r="4250">
          <cell r="B4250" t="str">
            <v>4</v>
          </cell>
          <cell r="AN4250">
            <v>248.2</v>
          </cell>
          <cell r="AP4250">
            <v>55</v>
          </cell>
        </row>
        <row r="4251">
          <cell r="B4251" t="str">
            <v>4</v>
          </cell>
          <cell r="AN4251">
            <v>105</v>
          </cell>
          <cell r="AP4251">
            <v>55</v>
          </cell>
        </row>
        <row r="4252">
          <cell r="B4252" t="str">
            <v>4</v>
          </cell>
          <cell r="AN4252">
            <v>68.400000000000006</v>
          </cell>
          <cell r="AP4252">
            <v>55</v>
          </cell>
        </row>
        <row r="4253">
          <cell r="B4253" t="str">
            <v>4</v>
          </cell>
          <cell r="AN4253">
            <v>136.80000000000001</v>
          </cell>
          <cell r="AP4253">
            <v>55</v>
          </cell>
        </row>
        <row r="4254">
          <cell r="B4254" t="str">
            <v>4</v>
          </cell>
          <cell r="AN4254">
            <v>289.14999999999998</v>
          </cell>
          <cell r="AP4254">
            <v>55</v>
          </cell>
        </row>
        <row r="4255">
          <cell r="B4255" t="str">
            <v>5</v>
          </cell>
          <cell r="AN4255">
            <v>366.1</v>
          </cell>
          <cell r="AP4255">
            <v>55</v>
          </cell>
        </row>
        <row r="4256">
          <cell r="B4256" t="str">
            <v>5</v>
          </cell>
          <cell r="AN4256">
            <v>286.39999999999998</v>
          </cell>
          <cell r="AP4256">
            <v>55</v>
          </cell>
        </row>
        <row r="4257">
          <cell r="B4257" t="str">
            <v>5</v>
          </cell>
          <cell r="AN4257">
            <v>83.8</v>
          </cell>
          <cell r="AP4257">
            <v>55</v>
          </cell>
        </row>
        <row r="4258">
          <cell r="B4258" t="str">
            <v>7</v>
          </cell>
          <cell r="AN4258">
            <v>569.80999999999995</v>
          </cell>
          <cell r="AP4258">
            <v>55</v>
          </cell>
        </row>
        <row r="4259">
          <cell r="B4259" t="str">
            <v>7</v>
          </cell>
          <cell r="AN4259">
            <v>309</v>
          </cell>
          <cell r="AP4259">
            <v>55</v>
          </cell>
        </row>
        <row r="4260">
          <cell r="B4260" t="str">
            <v>7</v>
          </cell>
          <cell r="AN4260">
            <v>170.1</v>
          </cell>
          <cell r="AP4260">
            <v>55</v>
          </cell>
        </row>
        <row r="4261">
          <cell r="B4261" t="str">
            <v>7</v>
          </cell>
          <cell r="AN4261">
            <v>111.6</v>
          </cell>
          <cell r="AP4261">
            <v>55</v>
          </cell>
        </row>
        <row r="4262">
          <cell r="B4262" t="str">
            <v>8</v>
          </cell>
          <cell r="AN4262">
            <v>298.64000000000004</v>
          </cell>
          <cell r="AP4262">
            <v>55</v>
          </cell>
        </row>
        <row r="4263">
          <cell r="B4263" t="str">
            <v>8</v>
          </cell>
          <cell r="AN4263">
            <v>109.14</v>
          </cell>
          <cell r="AP4263">
            <v>55</v>
          </cell>
        </row>
        <row r="4264">
          <cell r="B4264" t="str">
            <v>8</v>
          </cell>
          <cell r="AN4264">
            <v>272.33999999999997</v>
          </cell>
          <cell r="AP4264">
            <v>55</v>
          </cell>
        </row>
        <row r="4265">
          <cell r="B4265" t="str">
            <v>8</v>
          </cell>
          <cell r="AN4265">
            <v>155.67000000000002</v>
          </cell>
          <cell r="AP4265">
            <v>55</v>
          </cell>
        </row>
        <row r="4266">
          <cell r="B4266" t="str">
            <v>1</v>
          </cell>
          <cell r="AN4266">
            <v>45</v>
          </cell>
          <cell r="AP4266">
            <v>55</v>
          </cell>
        </row>
        <row r="4267">
          <cell r="B4267" t="str">
            <v>1</v>
          </cell>
          <cell r="AN4267">
            <v>111.4</v>
          </cell>
          <cell r="AP4267">
            <v>55</v>
          </cell>
        </row>
        <row r="4268">
          <cell r="B4268" t="str">
            <v>1</v>
          </cell>
          <cell r="AN4268">
            <v>46.6</v>
          </cell>
          <cell r="AP4268">
            <v>55</v>
          </cell>
        </row>
        <row r="4269">
          <cell r="B4269" t="str">
            <v>1</v>
          </cell>
          <cell r="AN4269">
            <v>73.900000000000006</v>
          </cell>
          <cell r="AP4269">
            <v>55</v>
          </cell>
        </row>
        <row r="4270">
          <cell r="B4270" t="str">
            <v>1</v>
          </cell>
          <cell r="AN4270">
            <v>113.81</v>
          </cell>
          <cell r="AP4270">
            <v>55</v>
          </cell>
        </row>
        <row r="4271">
          <cell r="B4271" t="str">
            <v>2</v>
          </cell>
          <cell r="AN4271">
            <v>163.72</v>
          </cell>
          <cell r="AP4271">
            <v>55</v>
          </cell>
        </row>
        <row r="4272">
          <cell r="B4272" t="str">
            <v>2</v>
          </cell>
          <cell r="AN4272">
            <v>147</v>
          </cell>
          <cell r="AP4272">
            <v>55</v>
          </cell>
        </row>
        <row r="4273">
          <cell r="B4273" t="str">
            <v>4</v>
          </cell>
          <cell r="AN4273">
            <v>225.2</v>
          </cell>
          <cell r="AP4273">
            <v>55</v>
          </cell>
        </row>
        <row r="4274">
          <cell r="B4274" t="str">
            <v>4</v>
          </cell>
          <cell r="AN4274">
            <v>122.3</v>
          </cell>
          <cell r="AP4274">
            <v>55</v>
          </cell>
        </row>
        <row r="4275">
          <cell r="B4275" t="str">
            <v>4</v>
          </cell>
          <cell r="AN4275">
            <v>112.97999999999999</v>
          </cell>
          <cell r="AP4275">
            <v>55</v>
          </cell>
        </row>
        <row r="4276">
          <cell r="B4276" t="str">
            <v>4</v>
          </cell>
          <cell r="AN4276">
            <v>314.97000000000003</v>
          </cell>
          <cell r="AP4276">
            <v>55</v>
          </cell>
        </row>
        <row r="4277">
          <cell r="B4277" t="str">
            <v>5</v>
          </cell>
          <cell r="AN4277">
            <v>113.3</v>
          </cell>
          <cell r="AP4277">
            <v>55</v>
          </cell>
        </row>
        <row r="4278">
          <cell r="B4278" t="str">
            <v>5</v>
          </cell>
          <cell r="AN4278">
            <v>276.10000000000002</v>
          </cell>
          <cell r="AP4278">
            <v>55</v>
          </cell>
        </row>
        <row r="4279">
          <cell r="B4279" t="str">
            <v>5</v>
          </cell>
          <cell r="AN4279">
            <v>322.79999999999995</v>
          </cell>
          <cell r="AP4279">
            <v>55</v>
          </cell>
        </row>
        <row r="4280">
          <cell r="B4280" t="str">
            <v>7</v>
          </cell>
          <cell r="AN4280">
            <v>210.44</v>
          </cell>
          <cell r="AP4280">
            <v>55</v>
          </cell>
        </row>
        <row r="4281">
          <cell r="B4281" t="str">
            <v>7</v>
          </cell>
          <cell r="AN4281">
            <v>320.89</v>
          </cell>
          <cell r="AP4281">
            <v>55</v>
          </cell>
        </row>
        <row r="4282">
          <cell r="B4282" t="str">
            <v>7</v>
          </cell>
          <cell r="AN4282">
            <v>108.24</v>
          </cell>
          <cell r="AP4282">
            <v>55</v>
          </cell>
        </row>
        <row r="4283">
          <cell r="B4283" t="str">
            <v>7</v>
          </cell>
          <cell r="AN4283">
            <v>220.8</v>
          </cell>
          <cell r="AP4283">
            <v>55</v>
          </cell>
        </row>
        <row r="4284">
          <cell r="B4284" t="str">
            <v>7</v>
          </cell>
          <cell r="AN4284">
            <v>311.39999999999998</v>
          </cell>
          <cell r="AP4284">
            <v>55</v>
          </cell>
        </row>
        <row r="4285">
          <cell r="B4285" t="str">
            <v>7</v>
          </cell>
          <cell r="AN4285">
            <v>117.6</v>
          </cell>
          <cell r="AP4285">
            <v>55</v>
          </cell>
        </row>
        <row r="4286">
          <cell r="B4286" t="str">
            <v>7</v>
          </cell>
          <cell r="AN4286">
            <v>178.7</v>
          </cell>
          <cell r="AP4286">
            <v>55</v>
          </cell>
        </row>
        <row r="4287">
          <cell r="B4287" t="str">
            <v>8</v>
          </cell>
          <cell r="AN4287">
            <v>71.45</v>
          </cell>
          <cell r="AP4287">
            <v>55</v>
          </cell>
        </row>
        <row r="4288">
          <cell r="B4288" t="str">
            <v>8</v>
          </cell>
          <cell r="AN4288">
            <v>80</v>
          </cell>
          <cell r="AP4288">
            <v>55</v>
          </cell>
        </row>
        <row r="4289">
          <cell r="B4289" t="str">
            <v>8</v>
          </cell>
          <cell r="AN4289">
            <v>268.31000000000006</v>
          </cell>
          <cell r="AP4289">
            <v>55</v>
          </cell>
        </row>
        <row r="4290">
          <cell r="B4290" t="str">
            <v>8</v>
          </cell>
          <cell r="AN4290">
            <v>453.23000000000008</v>
          </cell>
          <cell r="AP4290">
            <v>55</v>
          </cell>
        </row>
        <row r="4291">
          <cell r="B4291" t="str">
            <v>1</v>
          </cell>
          <cell r="AN4291">
            <v>89</v>
          </cell>
          <cell r="AP4291">
            <v>55</v>
          </cell>
        </row>
        <row r="4292">
          <cell r="B4292" t="str">
            <v>1</v>
          </cell>
          <cell r="AN4292">
            <v>121.17</v>
          </cell>
          <cell r="AP4292">
            <v>55</v>
          </cell>
        </row>
        <row r="4293">
          <cell r="B4293" t="str">
            <v>1</v>
          </cell>
          <cell r="AN4293">
            <v>98.55</v>
          </cell>
          <cell r="AP4293">
            <v>55</v>
          </cell>
        </row>
        <row r="4294">
          <cell r="B4294" t="str">
            <v>1</v>
          </cell>
          <cell r="AN4294">
            <v>125.15</v>
          </cell>
          <cell r="AP4294">
            <v>55</v>
          </cell>
        </row>
        <row r="4295">
          <cell r="B4295" t="str">
            <v>2</v>
          </cell>
          <cell r="AN4295">
            <v>80.099999999999994</v>
          </cell>
          <cell r="AP4295">
            <v>55</v>
          </cell>
        </row>
        <row r="4296">
          <cell r="B4296" t="str">
            <v>2</v>
          </cell>
          <cell r="AN4296">
            <v>38.299999999999997</v>
          </cell>
          <cell r="AP4296">
            <v>55</v>
          </cell>
        </row>
        <row r="4297">
          <cell r="B4297" t="str">
            <v>4</v>
          </cell>
          <cell r="AN4297">
            <v>107.8</v>
          </cell>
          <cell r="AP4297">
            <v>55</v>
          </cell>
        </row>
        <row r="4298">
          <cell r="B4298" t="str">
            <v>4</v>
          </cell>
          <cell r="AN4298">
            <v>158.89999999999998</v>
          </cell>
          <cell r="AP4298">
            <v>55</v>
          </cell>
        </row>
        <row r="4299">
          <cell r="B4299" t="str">
            <v>4</v>
          </cell>
          <cell r="AN4299">
            <v>158.89999999999998</v>
          </cell>
          <cell r="AP4299">
            <v>55</v>
          </cell>
        </row>
        <row r="4300">
          <cell r="B4300" t="str">
            <v>4</v>
          </cell>
          <cell r="AN4300">
            <v>208.23000000000002</v>
          </cell>
          <cell r="AP4300">
            <v>55</v>
          </cell>
        </row>
        <row r="4301">
          <cell r="B4301" t="str">
            <v>4</v>
          </cell>
          <cell r="AN4301">
            <v>76.099999999999994</v>
          </cell>
          <cell r="AP4301">
            <v>55</v>
          </cell>
        </row>
        <row r="4302">
          <cell r="B4302" t="str">
            <v>4</v>
          </cell>
          <cell r="AN4302">
            <v>70.7</v>
          </cell>
          <cell r="AP4302">
            <v>55</v>
          </cell>
        </row>
        <row r="4303">
          <cell r="B4303" t="str">
            <v>5</v>
          </cell>
          <cell r="AN4303">
            <v>75.3</v>
          </cell>
          <cell r="AP4303">
            <v>55</v>
          </cell>
        </row>
        <row r="4304">
          <cell r="B4304" t="str">
            <v>5</v>
          </cell>
          <cell r="AN4304">
            <v>342.29999999999995</v>
          </cell>
          <cell r="AP4304">
            <v>55</v>
          </cell>
        </row>
        <row r="4305">
          <cell r="B4305" t="str">
            <v>5</v>
          </cell>
          <cell r="AN4305">
            <v>453.59999999999997</v>
          </cell>
          <cell r="AP4305">
            <v>55</v>
          </cell>
        </row>
        <row r="4306">
          <cell r="B4306" t="str">
            <v>7</v>
          </cell>
          <cell r="AN4306">
            <v>288.51</v>
          </cell>
          <cell r="AP4306">
            <v>55</v>
          </cell>
        </row>
        <row r="4307">
          <cell r="B4307" t="str">
            <v>7</v>
          </cell>
          <cell r="AN4307">
            <v>140.16000000000003</v>
          </cell>
          <cell r="AP4307">
            <v>55</v>
          </cell>
        </row>
        <row r="4308">
          <cell r="B4308" t="str">
            <v>7</v>
          </cell>
          <cell r="AN4308">
            <v>118.53999999999999</v>
          </cell>
          <cell r="AP4308">
            <v>55</v>
          </cell>
        </row>
        <row r="4309">
          <cell r="B4309" t="str">
            <v>7</v>
          </cell>
          <cell r="AN4309">
            <v>233.10000000000002</v>
          </cell>
          <cell r="AP4309">
            <v>55</v>
          </cell>
        </row>
        <row r="4310">
          <cell r="B4310" t="str">
            <v>7</v>
          </cell>
          <cell r="AN4310">
            <v>83.8</v>
          </cell>
          <cell r="AP4310">
            <v>55</v>
          </cell>
        </row>
        <row r="4311">
          <cell r="B4311" t="str">
            <v>7</v>
          </cell>
          <cell r="AN4311">
            <v>215.5</v>
          </cell>
          <cell r="AP4311">
            <v>55</v>
          </cell>
        </row>
        <row r="4312">
          <cell r="B4312" t="str">
            <v>8</v>
          </cell>
          <cell r="AN4312">
            <v>207.76</v>
          </cell>
          <cell r="AP4312">
            <v>55</v>
          </cell>
        </row>
        <row r="4313">
          <cell r="B4313" t="str">
            <v>8</v>
          </cell>
          <cell r="AN4313">
            <v>98.8</v>
          </cell>
          <cell r="AP4313">
            <v>55</v>
          </cell>
        </row>
        <row r="4314">
          <cell r="B4314" t="str">
            <v>8</v>
          </cell>
          <cell r="AN4314">
            <v>125.78</v>
          </cell>
          <cell r="AP4314">
            <v>55</v>
          </cell>
        </row>
        <row r="4315">
          <cell r="B4315" t="str">
            <v>8</v>
          </cell>
          <cell r="AN4315">
            <v>184.13</v>
          </cell>
          <cell r="AP4315">
            <v>55</v>
          </cell>
        </row>
        <row r="4316">
          <cell r="B4316" t="str">
            <v>8</v>
          </cell>
          <cell r="AN4316">
            <v>194.03</v>
          </cell>
          <cell r="AP4316">
            <v>55</v>
          </cell>
        </row>
        <row r="4317">
          <cell r="B4317" t="str">
            <v>1</v>
          </cell>
          <cell r="AN4317">
            <v>98.7</v>
          </cell>
          <cell r="AP4317">
            <v>55</v>
          </cell>
        </row>
        <row r="4318">
          <cell r="B4318" t="str">
            <v>1</v>
          </cell>
          <cell r="AN4318">
            <v>100.19999999999999</v>
          </cell>
          <cell r="AP4318">
            <v>55</v>
          </cell>
        </row>
        <row r="4319">
          <cell r="B4319" t="str">
            <v>1</v>
          </cell>
          <cell r="AN4319">
            <v>151</v>
          </cell>
          <cell r="AP4319">
            <v>55</v>
          </cell>
        </row>
        <row r="4320">
          <cell r="B4320" t="str">
            <v>2</v>
          </cell>
          <cell r="AN4320">
            <v>96.8</v>
          </cell>
          <cell r="AP4320">
            <v>55</v>
          </cell>
        </row>
        <row r="4321">
          <cell r="B4321" t="str">
            <v>2</v>
          </cell>
          <cell r="AN4321">
            <v>53.2</v>
          </cell>
          <cell r="AP4321">
            <v>55</v>
          </cell>
        </row>
        <row r="4322">
          <cell r="B4322" t="str">
            <v>2</v>
          </cell>
          <cell r="AN4322">
            <v>138.80000000000001</v>
          </cell>
          <cell r="AP4322">
            <v>55</v>
          </cell>
        </row>
        <row r="4323">
          <cell r="B4323" t="str">
            <v>4</v>
          </cell>
          <cell r="AN4323">
            <v>107</v>
          </cell>
          <cell r="AP4323">
            <v>55</v>
          </cell>
        </row>
        <row r="4324">
          <cell r="B4324" t="str">
            <v>4</v>
          </cell>
          <cell r="AN4324">
            <v>263.8</v>
          </cell>
          <cell r="AP4324">
            <v>55</v>
          </cell>
        </row>
        <row r="4325">
          <cell r="B4325" t="str">
            <v>4</v>
          </cell>
          <cell r="AN4325">
            <v>112.80000000000001</v>
          </cell>
          <cell r="AP4325">
            <v>55</v>
          </cell>
        </row>
        <row r="4326">
          <cell r="B4326" t="str">
            <v>4</v>
          </cell>
          <cell r="AN4326">
            <v>108</v>
          </cell>
          <cell r="AP4326">
            <v>55</v>
          </cell>
        </row>
        <row r="4327">
          <cell r="B4327" t="str">
            <v>4</v>
          </cell>
          <cell r="AN4327">
            <v>135.19999999999999</v>
          </cell>
          <cell r="AP4327">
            <v>55</v>
          </cell>
        </row>
        <row r="4328">
          <cell r="B4328" t="str">
            <v>5</v>
          </cell>
          <cell r="AN4328">
            <v>482.79999999999995</v>
          </cell>
          <cell r="AP4328">
            <v>55</v>
          </cell>
        </row>
        <row r="4329">
          <cell r="B4329" t="str">
            <v>5</v>
          </cell>
          <cell r="AN4329">
            <v>476.15</v>
          </cell>
          <cell r="AP4329">
            <v>55</v>
          </cell>
        </row>
        <row r="4330">
          <cell r="B4330" t="str">
            <v>7</v>
          </cell>
          <cell r="AN4330">
            <v>75.28</v>
          </cell>
          <cell r="AP4330">
            <v>55</v>
          </cell>
        </row>
        <row r="4331">
          <cell r="B4331" t="str">
            <v>7</v>
          </cell>
          <cell r="AN4331">
            <v>215.64000000000001</v>
          </cell>
          <cell r="AP4331">
            <v>55</v>
          </cell>
        </row>
        <row r="4332">
          <cell r="B4332" t="str">
            <v>7</v>
          </cell>
          <cell r="AN4332">
            <v>206.75</v>
          </cell>
          <cell r="AP4332">
            <v>55</v>
          </cell>
        </row>
        <row r="4333">
          <cell r="B4333" t="str">
            <v>7</v>
          </cell>
          <cell r="AN4333">
            <v>164.95</v>
          </cell>
          <cell r="AP4333">
            <v>55</v>
          </cell>
        </row>
        <row r="4334">
          <cell r="B4334" t="str">
            <v>7</v>
          </cell>
          <cell r="AN4334">
            <v>718.6</v>
          </cell>
          <cell r="AP4334">
            <v>55</v>
          </cell>
        </row>
        <row r="4335">
          <cell r="B4335" t="str">
            <v>8</v>
          </cell>
          <cell r="AN4335">
            <v>233.79000000000002</v>
          </cell>
          <cell r="AP4335">
            <v>55</v>
          </cell>
        </row>
        <row r="4336">
          <cell r="B4336" t="str">
            <v>8</v>
          </cell>
          <cell r="AN4336">
            <v>167.93</v>
          </cell>
          <cell r="AP4336">
            <v>55</v>
          </cell>
        </row>
        <row r="4337">
          <cell r="B4337" t="str">
            <v>8</v>
          </cell>
          <cell r="AN4337">
            <v>81.3</v>
          </cell>
          <cell r="AP4337">
            <v>55</v>
          </cell>
        </row>
        <row r="4338">
          <cell r="B4338" t="str">
            <v>8</v>
          </cell>
          <cell r="AN4338">
            <v>90.2</v>
          </cell>
          <cell r="AP4338">
            <v>55</v>
          </cell>
        </row>
        <row r="4339">
          <cell r="B4339" t="str">
            <v>8</v>
          </cell>
          <cell r="AN4339">
            <v>131.80000000000001</v>
          </cell>
          <cell r="AP4339">
            <v>55</v>
          </cell>
        </row>
        <row r="4340">
          <cell r="B4340" t="str">
            <v>8</v>
          </cell>
          <cell r="AN4340">
            <v>219.05</v>
          </cell>
          <cell r="AP4340">
            <v>55</v>
          </cell>
        </row>
        <row r="4341">
          <cell r="B4341" t="str">
            <v>1</v>
          </cell>
          <cell r="AN4341">
            <v>142.15</v>
          </cell>
          <cell r="AP4341">
            <v>55</v>
          </cell>
        </row>
        <row r="4342">
          <cell r="B4342" t="str">
            <v>1</v>
          </cell>
          <cell r="AN4342">
            <v>77.87</v>
          </cell>
          <cell r="AP4342">
            <v>55</v>
          </cell>
        </row>
        <row r="4343">
          <cell r="B4343" t="str">
            <v>1</v>
          </cell>
          <cell r="AN4343">
            <v>80.41</v>
          </cell>
          <cell r="AP4343">
            <v>55</v>
          </cell>
        </row>
        <row r="4344">
          <cell r="B4344" t="str">
            <v>2</v>
          </cell>
          <cell r="AN4344">
            <v>159.04</v>
          </cell>
          <cell r="AP4344">
            <v>55</v>
          </cell>
        </row>
        <row r="4345">
          <cell r="B4345" t="str">
            <v>2</v>
          </cell>
          <cell r="AN4345">
            <v>47.95</v>
          </cell>
          <cell r="AP4345">
            <v>55</v>
          </cell>
        </row>
        <row r="4346">
          <cell r="B4346" t="str">
            <v>2</v>
          </cell>
          <cell r="AN4346">
            <v>197.7</v>
          </cell>
          <cell r="AP4346">
            <v>55</v>
          </cell>
        </row>
        <row r="4347">
          <cell r="B4347" t="str">
            <v>4</v>
          </cell>
          <cell r="AN4347">
            <v>118.9</v>
          </cell>
          <cell r="AP4347">
            <v>55</v>
          </cell>
        </row>
        <row r="4348">
          <cell r="B4348" t="str">
            <v>4</v>
          </cell>
          <cell r="AN4348">
            <v>114.9</v>
          </cell>
          <cell r="AP4348">
            <v>55</v>
          </cell>
        </row>
        <row r="4349">
          <cell r="B4349" t="str">
            <v>4</v>
          </cell>
          <cell r="AN4349">
            <v>121.8</v>
          </cell>
          <cell r="AP4349">
            <v>55</v>
          </cell>
        </row>
        <row r="4350">
          <cell r="B4350" t="str">
            <v>4</v>
          </cell>
          <cell r="AN4350">
            <v>64.5</v>
          </cell>
          <cell r="AP4350">
            <v>55</v>
          </cell>
        </row>
        <row r="4351">
          <cell r="B4351" t="str">
            <v>4</v>
          </cell>
          <cell r="AN4351">
            <v>76.83</v>
          </cell>
          <cell r="AP4351">
            <v>55</v>
          </cell>
        </row>
        <row r="4352">
          <cell r="B4352" t="str">
            <v>4</v>
          </cell>
          <cell r="AN4352">
            <v>106.74000000000001</v>
          </cell>
          <cell r="AP4352">
            <v>55</v>
          </cell>
        </row>
        <row r="4353">
          <cell r="B4353" t="str">
            <v>4</v>
          </cell>
          <cell r="AN4353">
            <v>134.9</v>
          </cell>
          <cell r="AP4353">
            <v>55</v>
          </cell>
        </row>
        <row r="4354">
          <cell r="B4354" t="str">
            <v>4</v>
          </cell>
          <cell r="AN4354">
            <v>38.94</v>
          </cell>
          <cell r="AP4354">
            <v>55</v>
          </cell>
        </row>
        <row r="4355">
          <cell r="B4355" t="str">
            <v>5</v>
          </cell>
          <cell r="AN4355">
            <v>430.6</v>
          </cell>
          <cell r="AP4355">
            <v>55</v>
          </cell>
        </row>
        <row r="4356">
          <cell r="B4356" t="str">
            <v>5</v>
          </cell>
          <cell r="AN4356">
            <v>118.2</v>
          </cell>
          <cell r="AP4356">
            <v>55</v>
          </cell>
        </row>
        <row r="4357">
          <cell r="B4357" t="str">
            <v>5</v>
          </cell>
          <cell r="AN4357">
            <v>85.5</v>
          </cell>
          <cell r="AP4357">
            <v>55</v>
          </cell>
        </row>
        <row r="4358">
          <cell r="B4358" t="str">
            <v>5</v>
          </cell>
          <cell r="AN4358">
            <v>107.1</v>
          </cell>
          <cell r="AP4358">
            <v>55</v>
          </cell>
        </row>
        <row r="4359">
          <cell r="B4359" t="str">
            <v>7</v>
          </cell>
          <cell r="AN4359">
            <v>910.30000000000007</v>
          </cell>
          <cell r="AP4359">
            <v>55</v>
          </cell>
        </row>
        <row r="4360">
          <cell r="B4360" t="str">
            <v>7</v>
          </cell>
          <cell r="AN4360">
            <v>151.69999999999999</v>
          </cell>
          <cell r="AP4360">
            <v>55</v>
          </cell>
        </row>
        <row r="4361">
          <cell r="B4361" t="str">
            <v>7</v>
          </cell>
          <cell r="AN4361">
            <v>173.2</v>
          </cell>
          <cell r="AP4361">
            <v>55</v>
          </cell>
        </row>
        <row r="4362">
          <cell r="B4362" t="str">
            <v>7</v>
          </cell>
          <cell r="AN4362">
            <v>169.1</v>
          </cell>
          <cell r="AP4362">
            <v>55</v>
          </cell>
        </row>
        <row r="4363">
          <cell r="B4363" t="str">
            <v>7</v>
          </cell>
          <cell r="AN4363">
            <v>161</v>
          </cell>
          <cell r="AP4363">
            <v>55</v>
          </cell>
        </row>
        <row r="4364">
          <cell r="B4364" t="str">
            <v>7</v>
          </cell>
          <cell r="AN4364">
            <v>222.5</v>
          </cell>
          <cell r="AP4364">
            <v>55</v>
          </cell>
        </row>
        <row r="4365">
          <cell r="B4365" t="str">
            <v>7</v>
          </cell>
          <cell r="AN4365">
            <v>119.2</v>
          </cell>
          <cell r="AP4365">
            <v>55</v>
          </cell>
        </row>
        <row r="4366">
          <cell r="B4366" t="str">
            <v>8</v>
          </cell>
          <cell r="AN4366">
            <v>470.95000000000005</v>
          </cell>
          <cell r="AP4366">
            <v>55</v>
          </cell>
        </row>
        <row r="4367">
          <cell r="B4367" t="str">
            <v>8</v>
          </cell>
          <cell r="AN4367">
            <v>408.6</v>
          </cell>
          <cell r="AP4367">
            <v>55</v>
          </cell>
        </row>
        <row r="4368">
          <cell r="B4368" t="str">
            <v>8</v>
          </cell>
          <cell r="AN4368">
            <v>136.6</v>
          </cell>
          <cell r="AP4368">
            <v>55</v>
          </cell>
        </row>
        <row r="4369">
          <cell r="B4369" t="str">
            <v>1</v>
          </cell>
          <cell r="AN4369">
            <v>128.4</v>
          </cell>
          <cell r="AP4369">
            <v>55</v>
          </cell>
        </row>
        <row r="4370">
          <cell r="B4370" t="str">
            <v>1</v>
          </cell>
          <cell r="AN4370">
            <v>111.15</v>
          </cell>
          <cell r="AP4370">
            <v>55</v>
          </cell>
        </row>
        <row r="4371">
          <cell r="B4371" t="str">
            <v>1</v>
          </cell>
          <cell r="AN4371">
            <v>41.04</v>
          </cell>
          <cell r="AP4371">
            <v>55</v>
          </cell>
        </row>
        <row r="4372">
          <cell r="B4372" t="str">
            <v>2</v>
          </cell>
          <cell r="AN4372">
            <v>80.900000000000006</v>
          </cell>
          <cell r="AP4372">
            <v>55</v>
          </cell>
        </row>
        <row r="4373">
          <cell r="B4373" t="str">
            <v>2</v>
          </cell>
          <cell r="AN4373">
            <v>71.800000000000011</v>
          </cell>
          <cell r="AP4373">
            <v>55</v>
          </cell>
        </row>
        <row r="4374">
          <cell r="B4374" t="str">
            <v>2</v>
          </cell>
          <cell r="AN4374">
            <v>47.1</v>
          </cell>
          <cell r="AP4374">
            <v>55</v>
          </cell>
        </row>
        <row r="4375">
          <cell r="B4375" t="str">
            <v>2</v>
          </cell>
          <cell r="AN4375">
            <v>60.41</v>
          </cell>
          <cell r="AP4375">
            <v>55</v>
          </cell>
        </row>
        <row r="4376">
          <cell r="B4376" t="str">
            <v>4</v>
          </cell>
          <cell r="AN4376">
            <v>51.1</v>
          </cell>
          <cell r="AP4376">
            <v>55</v>
          </cell>
        </row>
        <row r="4377">
          <cell r="B4377" t="str">
            <v>4</v>
          </cell>
          <cell r="AN4377">
            <v>284.95</v>
          </cell>
          <cell r="AP4377">
            <v>55</v>
          </cell>
        </row>
        <row r="4378">
          <cell r="B4378" t="str">
            <v>4</v>
          </cell>
          <cell r="AN4378">
            <v>135.47</v>
          </cell>
          <cell r="AP4378">
            <v>55</v>
          </cell>
        </row>
        <row r="4379">
          <cell r="B4379" t="str">
            <v>5</v>
          </cell>
          <cell r="AN4379">
            <v>217.2</v>
          </cell>
          <cell r="AP4379">
            <v>55</v>
          </cell>
        </row>
        <row r="4380">
          <cell r="B4380" t="str">
            <v>5</v>
          </cell>
          <cell r="AN4380">
            <v>175.1</v>
          </cell>
          <cell r="AP4380">
            <v>55</v>
          </cell>
        </row>
        <row r="4381">
          <cell r="B4381" t="str">
            <v>7</v>
          </cell>
          <cell r="AN4381">
            <v>90.4</v>
          </cell>
          <cell r="AP4381">
            <v>55</v>
          </cell>
        </row>
        <row r="4382">
          <cell r="B4382" t="str">
            <v>7</v>
          </cell>
          <cell r="AN4382">
            <v>210.55</v>
          </cell>
          <cell r="AP4382">
            <v>55</v>
          </cell>
        </row>
        <row r="4383">
          <cell r="B4383" t="str">
            <v>7</v>
          </cell>
          <cell r="AN4383">
            <v>85.1</v>
          </cell>
          <cell r="AP4383">
            <v>55</v>
          </cell>
        </row>
        <row r="4384">
          <cell r="B4384" t="str">
            <v>7</v>
          </cell>
          <cell r="AN4384">
            <v>129.75</v>
          </cell>
          <cell r="AP4384">
            <v>55</v>
          </cell>
        </row>
        <row r="4385">
          <cell r="B4385" t="str">
            <v>7</v>
          </cell>
          <cell r="AN4385">
            <v>120.1</v>
          </cell>
          <cell r="AP4385">
            <v>55</v>
          </cell>
        </row>
        <row r="4386">
          <cell r="B4386" t="str">
            <v>8</v>
          </cell>
          <cell r="AN4386">
            <v>877.44999999999993</v>
          </cell>
          <cell r="AP4386">
            <v>55</v>
          </cell>
        </row>
        <row r="4387">
          <cell r="B4387" t="str">
            <v>8</v>
          </cell>
          <cell r="AN4387">
            <v>116.7</v>
          </cell>
          <cell r="AP4387">
            <v>55</v>
          </cell>
        </row>
        <row r="4388">
          <cell r="B4388" t="str">
            <v>8</v>
          </cell>
          <cell r="AN4388">
            <v>118.9</v>
          </cell>
          <cell r="AP4388">
            <v>55</v>
          </cell>
        </row>
        <row r="4389">
          <cell r="B4389" t="str">
            <v>8</v>
          </cell>
          <cell r="AN4389">
            <v>240.2</v>
          </cell>
          <cell r="AP4389">
            <v>55</v>
          </cell>
        </row>
        <row r="4390">
          <cell r="B4390" t="str">
            <v>1</v>
          </cell>
          <cell r="AN4390">
            <v>85.699999999999989</v>
          </cell>
          <cell r="AP4390">
            <v>55</v>
          </cell>
        </row>
        <row r="4391">
          <cell r="B4391" t="str">
            <v>1</v>
          </cell>
          <cell r="AN4391">
            <v>45.4</v>
          </cell>
          <cell r="AP4391">
            <v>55</v>
          </cell>
        </row>
        <row r="4392">
          <cell r="B4392" t="str">
            <v>1</v>
          </cell>
          <cell r="AN4392">
            <v>67.650000000000006</v>
          </cell>
          <cell r="AP4392">
            <v>55</v>
          </cell>
        </row>
        <row r="4393">
          <cell r="B4393" t="str">
            <v>1</v>
          </cell>
          <cell r="AN4393">
            <v>56.65</v>
          </cell>
          <cell r="AP4393">
            <v>55</v>
          </cell>
        </row>
        <row r="4394">
          <cell r="B4394" t="str">
            <v>2</v>
          </cell>
          <cell r="AN4394">
            <v>61.1</v>
          </cell>
          <cell r="AP4394">
            <v>55</v>
          </cell>
        </row>
        <row r="4395">
          <cell r="B4395" t="str">
            <v>2</v>
          </cell>
          <cell r="AN4395">
            <v>48.7</v>
          </cell>
          <cell r="AP4395">
            <v>55</v>
          </cell>
        </row>
        <row r="4396">
          <cell r="B4396" t="str">
            <v>2</v>
          </cell>
          <cell r="AN4396">
            <v>120.9</v>
          </cell>
          <cell r="AP4396">
            <v>55</v>
          </cell>
        </row>
        <row r="4397">
          <cell r="B4397" t="str">
            <v>4</v>
          </cell>
          <cell r="AN4397">
            <v>252.50000000000003</v>
          </cell>
          <cell r="AP4397">
            <v>55</v>
          </cell>
        </row>
        <row r="4398">
          <cell r="B4398" t="str">
            <v>4</v>
          </cell>
          <cell r="AN4398">
            <v>155.79</v>
          </cell>
          <cell r="AP4398">
            <v>55</v>
          </cell>
        </row>
        <row r="4399">
          <cell r="B4399" t="str">
            <v>4</v>
          </cell>
          <cell r="AN4399">
            <v>433.69999999999993</v>
          </cell>
          <cell r="AP4399">
            <v>55</v>
          </cell>
        </row>
        <row r="4400">
          <cell r="B4400">
            <v>1</v>
          </cell>
          <cell r="AN4400">
            <v>61.03</v>
          </cell>
          <cell r="AP4400">
            <v>56</v>
          </cell>
        </row>
        <row r="4401">
          <cell r="B4401">
            <v>1</v>
          </cell>
          <cell r="AN4401">
            <v>111.74000000000001</v>
          </cell>
          <cell r="AP4401">
            <v>56</v>
          </cell>
        </row>
        <row r="4402">
          <cell r="B4402">
            <v>1</v>
          </cell>
          <cell r="AN4402">
            <v>54.06</v>
          </cell>
          <cell r="AP4402">
            <v>56</v>
          </cell>
        </row>
        <row r="4403">
          <cell r="B4403">
            <v>1</v>
          </cell>
          <cell r="AN4403">
            <v>58.4</v>
          </cell>
          <cell r="AP4403">
            <v>56</v>
          </cell>
        </row>
        <row r="4404">
          <cell r="B4404">
            <v>1</v>
          </cell>
          <cell r="AN4404">
            <v>112.8</v>
          </cell>
          <cell r="AP4404">
            <v>56</v>
          </cell>
        </row>
        <row r="4405">
          <cell r="B4405">
            <v>2</v>
          </cell>
          <cell r="AN4405">
            <v>157.20000000000002</v>
          </cell>
          <cell r="AP4405">
            <v>56</v>
          </cell>
        </row>
        <row r="4406">
          <cell r="B4406">
            <v>2</v>
          </cell>
          <cell r="AN4406">
            <v>151.9</v>
          </cell>
          <cell r="AP4406">
            <v>56</v>
          </cell>
        </row>
        <row r="4407">
          <cell r="B4407">
            <v>4</v>
          </cell>
          <cell r="AN4407">
            <v>268.57</v>
          </cell>
          <cell r="AP4407">
            <v>56</v>
          </cell>
        </row>
        <row r="4408">
          <cell r="B4408">
            <v>4</v>
          </cell>
          <cell r="AN4408">
            <v>154.65</v>
          </cell>
          <cell r="AP4408">
            <v>56</v>
          </cell>
        </row>
        <row r="4409">
          <cell r="B4409">
            <v>4</v>
          </cell>
          <cell r="AN4409">
            <v>507.2</v>
          </cell>
          <cell r="AP4409">
            <v>56</v>
          </cell>
        </row>
        <row r="4410">
          <cell r="B4410">
            <v>7</v>
          </cell>
          <cell r="AN4410">
            <v>734.85</v>
          </cell>
          <cell r="AP4410">
            <v>56</v>
          </cell>
        </row>
        <row r="4411">
          <cell r="B4411">
            <v>8</v>
          </cell>
          <cell r="AN4411">
            <v>248.3</v>
          </cell>
          <cell r="AP4411">
            <v>56</v>
          </cell>
        </row>
        <row r="4412">
          <cell r="B4412">
            <v>8</v>
          </cell>
          <cell r="AN4412">
            <v>75.7</v>
          </cell>
          <cell r="AP4412">
            <v>56</v>
          </cell>
        </row>
        <row r="4413">
          <cell r="B4413">
            <v>8</v>
          </cell>
          <cell r="AN4413">
            <v>448.3</v>
          </cell>
          <cell r="AP4413">
            <v>56</v>
          </cell>
        </row>
        <row r="4414">
          <cell r="B4414">
            <v>8</v>
          </cell>
          <cell r="AN4414">
            <v>43.7</v>
          </cell>
          <cell r="AP4414">
            <v>56</v>
          </cell>
        </row>
        <row r="4415">
          <cell r="B4415" t="str">
            <v>1</v>
          </cell>
          <cell r="AN4415">
            <v>164.57</v>
          </cell>
          <cell r="AP4415">
            <v>56</v>
          </cell>
        </row>
        <row r="4416">
          <cell r="B4416" t="str">
            <v>1</v>
          </cell>
          <cell r="AN4416">
            <v>170.2</v>
          </cell>
          <cell r="AP4416">
            <v>56</v>
          </cell>
        </row>
        <row r="4417">
          <cell r="B4417" t="str">
            <v>2</v>
          </cell>
          <cell r="AN4417">
            <v>126</v>
          </cell>
          <cell r="AP4417">
            <v>56</v>
          </cell>
        </row>
        <row r="4418">
          <cell r="B4418" t="str">
            <v>2</v>
          </cell>
          <cell r="AN4418">
            <v>36.799999999999997</v>
          </cell>
          <cell r="AP4418">
            <v>56</v>
          </cell>
        </row>
        <row r="4419">
          <cell r="B4419" t="str">
            <v>2</v>
          </cell>
          <cell r="AN4419">
            <v>152.9</v>
          </cell>
          <cell r="AP4419">
            <v>56</v>
          </cell>
        </row>
        <row r="4420">
          <cell r="B4420" t="str">
            <v>4</v>
          </cell>
          <cell r="AN4420">
            <v>320.8</v>
          </cell>
          <cell r="AP4420">
            <v>56</v>
          </cell>
        </row>
        <row r="4421">
          <cell r="B4421" t="str">
            <v>4</v>
          </cell>
          <cell r="AN4421">
            <v>89.54</v>
          </cell>
          <cell r="AP4421">
            <v>56</v>
          </cell>
        </row>
        <row r="4422">
          <cell r="B4422" t="str">
            <v>4</v>
          </cell>
          <cell r="AN4422">
            <v>175.39999999999998</v>
          </cell>
          <cell r="AP4422">
            <v>56</v>
          </cell>
        </row>
        <row r="4423">
          <cell r="B4423" t="str">
            <v>7</v>
          </cell>
          <cell r="AN4423">
            <v>120.8</v>
          </cell>
          <cell r="AP4423">
            <v>56</v>
          </cell>
        </row>
        <row r="4424">
          <cell r="B4424" t="str">
            <v>7</v>
          </cell>
          <cell r="AN4424">
            <v>209.2</v>
          </cell>
          <cell r="AP4424">
            <v>56</v>
          </cell>
        </row>
        <row r="4425">
          <cell r="B4425" t="str">
            <v>7</v>
          </cell>
          <cell r="AN4425">
            <v>298.7</v>
          </cell>
          <cell r="AP4425">
            <v>56</v>
          </cell>
        </row>
        <row r="4426">
          <cell r="B4426" t="str">
            <v>7</v>
          </cell>
          <cell r="AN4426">
            <v>131.1</v>
          </cell>
          <cell r="AP4426">
            <v>56</v>
          </cell>
        </row>
        <row r="4427">
          <cell r="B4427" t="str">
            <v>7</v>
          </cell>
          <cell r="AN4427">
            <v>110.7</v>
          </cell>
          <cell r="AP4427">
            <v>56</v>
          </cell>
        </row>
        <row r="4428">
          <cell r="B4428" t="str">
            <v>7</v>
          </cell>
          <cell r="AN4428">
            <v>208.60000000000002</v>
          </cell>
          <cell r="AP4428">
            <v>56</v>
          </cell>
        </row>
        <row r="4429">
          <cell r="B4429" t="str">
            <v>7</v>
          </cell>
          <cell r="AN4429">
            <v>108</v>
          </cell>
          <cell r="AP4429">
            <v>56</v>
          </cell>
        </row>
        <row r="4430">
          <cell r="B4430" t="str">
            <v>7</v>
          </cell>
          <cell r="AN4430">
            <v>108.9</v>
          </cell>
          <cell r="AP4430">
            <v>56</v>
          </cell>
        </row>
        <row r="4431">
          <cell r="B4431" t="str">
            <v>8</v>
          </cell>
          <cell r="AN4431">
            <v>216.9</v>
          </cell>
          <cell r="AP4431">
            <v>56</v>
          </cell>
        </row>
        <row r="4432">
          <cell r="B4432" t="str">
            <v>8</v>
          </cell>
          <cell r="AN4432">
            <v>236.5</v>
          </cell>
          <cell r="AP4432">
            <v>56</v>
          </cell>
        </row>
        <row r="4433">
          <cell r="B4433" t="str">
            <v>8</v>
          </cell>
          <cell r="AN4433">
            <v>96.4</v>
          </cell>
          <cell r="AP4433">
            <v>56</v>
          </cell>
        </row>
        <row r="4434">
          <cell r="B4434" t="str">
            <v>8</v>
          </cell>
          <cell r="AN4434">
            <v>78.099999999999994</v>
          </cell>
          <cell r="AP4434">
            <v>56</v>
          </cell>
        </row>
        <row r="4435">
          <cell r="B4435" t="str">
            <v>8</v>
          </cell>
          <cell r="AN4435">
            <v>226.29999999999998</v>
          </cell>
          <cell r="AP4435">
            <v>56</v>
          </cell>
        </row>
        <row r="4436">
          <cell r="B4436" t="str">
            <v>1</v>
          </cell>
          <cell r="AN4436">
            <v>117.5</v>
          </cell>
          <cell r="AP4436">
            <v>56</v>
          </cell>
        </row>
        <row r="4437">
          <cell r="B4437" t="str">
            <v>1</v>
          </cell>
          <cell r="AN4437">
            <v>86.5</v>
          </cell>
          <cell r="AP4437">
            <v>56</v>
          </cell>
        </row>
        <row r="4438">
          <cell r="B4438" t="str">
            <v>1</v>
          </cell>
          <cell r="AN4438">
            <v>122.1</v>
          </cell>
          <cell r="AP4438">
            <v>56</v>
          </cell>
        </row>
        <row r="4439">
          <cell r="B4439" t="str">
            <v>1</v>
          </cell>
          <cell r="AN4439">
            <v>70.3</v>
          </cell>
          <cell r="AP4439">
            <v>56</v>
          </cell>
        </row>
        <row r="4440">
          <cell r="B4440" t="str">
            <v>2</v>
          </cell>
          <cell r="AN4440">
            <v>110.3</v>
          </cell>
          <cell r="AP4440">
            <v>56</v>
          </cell>
        </row>
        <row r="4441">
          <cell r="B4441" t="str">
            <v>2</v>
          </cell>
          <cell r="AN4441">
            <v>55.4</v>
          </cell>
          <cell r="AP4441">
            <v>56</v>
          </cell>
        </row>
        <row r="4442">
          <cell r="B4442" t="str">
            <v>2</v>
          </cell>
          <cell r="AN4442">
            <v>199.39999999999998</v>
          </cell>
          <cell r="AP4442">
            <v>56</v>
          </cell>
        </row>
        <row r="4443">
          <cell r="B4443" t="str">
            <v>4</v>
          </cell>
          <cell r="AN4443">
            <v>266.89999999999998</v>
          </cell>
          <cell r="AP4443">
            <v>56</v>
          </cell>
        </row>
        <row r="4444">
          <cell r="B4444" t="str">
            <v>4</v>
          </cell>
          <cell r="AN4444">
            <v>75</v>
          </cell>
          <cell r="AP4444">
            <v>56</v>
          </cell>
        </row>
        <row r="4445">
          <cell r="B4445" t="str">
            <v>4</v>
          </cell>
          <cell r="AN4445">
            <v>111.80000000000001</v>
          </cell>
          <cell r="AP4445">
            <v>56</v>
          </cell>
        </row>
        <row r="4446">
          <cell r="B4446" t="str">
            <v>4</v>
          </cell>
          <cell r="AN4446">
            <v>59.4</v>
          </cell>
          <cell r="AP4446">
            <v>56</v>
          </cell>
        </row>
        <row r="4447">
          <cell r="B4447" t="str">
            <v>4</v>
          </cell>
          <cell r="AN4447">
            <v>207.9</v>
          </cell>
          <cell r="AP4447">
            <v>56</v>
          </cell>
        </row>
        <row r="4448">
          <cell r="B4448" t="str">
            <v>7</v>
          </cell>
          <cell r="AN4448">
            <v>239.8</v>
          </cell>
          <cell r="AP4448">
            <v>56</v>
          </cell>
        </row>
        <row r="4449">
          <cell r="B4449" t="str">
            <v>7</v>
          </cell>
          <cell r="AN4449">
            <v>50.2</v>
          </cell>
          <cell r="AP4449">
            <v>56</v>
          </cell>
        </row>
        <row r="4450">
          <cell r="B4450" t="str">
            <v>7</v>
          </cell>
          <cell r="AN4450">
            <v>115.7</v>
          </cell>
          <cell r="AP4450">
            <v>56</v>
          </cell>
        </row>
        <row r="4451">
          <cell r="B4451" t="str">
            <v>7</v>
          </cell>
          <cell r="AN4451">
            <v>126.7</v>
          </cell>
          <cell r="AP4451">
            <v>56</v>
          </cell>
        </row>
        <row r="4452">
          <cell r="B4452" t="str">
            <v>7</v>
          </cell>
          <cell r="AN4452">
            <v>543.65</v>
          </cell>
          <cell r="AP4452">
            <v>56</v>
          </cell>
        </row>
        <row r="4453">
          <cell r="B4453" t="str">
            <v>7</v>
          </cell>
          <cell r="AN4453">
            <v>402.15000000000003</v>
          </cell>
          <cell r="AP4453">
            <v>56</v>
          </cell>
        </row>
        <row r="4454">
          <cell r="B4454" t="str">
            <v>8</v>
          </cell>
          <cell r="AN4454">
            <v>60.4</v>
          </cell>
          <cell r="AP4454">
            <v>56</v>
          </cell>
        </row>
        <row r="4455">
          <cell r="B4455" t="str">
            <v>8</v>
          </cell>
          <cell r="AN4455">
            <v>155.69999999999999</v>
          </cell>
          <cell r="AP4455">
            <v>56</v>
          </cell>
        </row>
        <row r="4456">
          <cell r="B4456" t="str">
            <v>8</v>
          </cell>
          <cell r="AN4456">
            <v>116.44999999999999</v>
          </cell>
          <cell r="AP4456">
            <v>56</v>
          </cell>
        </row>
        <row r="4457">
          <cell r="B4457" t="str">
            <v>8</v>
          </cell>
          <cell r="AN4457">
            <v>118.8</v>
          </cell>
          <cell r="AP4457">
            <v>56</v>
          </cell>
        </row>
        <row r="4458">
          <cell r="B4458" t="str">
            <v>8</v>
          </cell>
          <cell r="AN4458">
            <v>110.36</v>
          </cell>
          <cell r="AP4458">
            <v>56</v>
          </cell>
        </row>
        <row r="4459">
          <cell r="B4459" t="str">
            <v>8</v>
          </cell>
          <cell r="AN4459">
            <v>135.44999999999999</v>
          </cell>
          <cell r="AP4459">
            <v>56</v>
          </cell>
        </row>
        <row r="4460">
          <cell r="B4460" t="str">
            <v>8</v>
          </cell>
          <cell r="AN4460">
            <v>207.7</v>
          </cell>
          <cell r="AP4460">
            <v>56</v>
          </cell>
        </row>
        <row r="4461">
          <cell r="B4461" t="str">
            <v>1</v>
          </cell>
          <cell r="AN4461">
            <v>43</v>
          </cell>
          <cell r="AP4461">
            <v>56</v>
          </cell>
        </row>
        <row r="4462">
          <cell r="B4462" t="str">
            <v>1</v>
          </cell>
          <cell r="AN4462">
            <v>70.919999999999987</v>
          </cell>
          <cell r="AP4462">
            <v>56</v>
          </cell>
        </row>
        <row r="4463">
          <cell r="B4463" t="str">
            <v>1</v>
          </cell>
          <cell r="AN4463">
            <v>146.4</v>
          </cell>
          <cell r="AP4463">
            <v>56</v>
          </cell>
        </row>
        <row r="4464">
          <cell r="B4464" t="str">
            <v>2</v>
          </cell>
          <cell r="AN4464">
            <v>204.3</v>
          </cell>
          <cell r="AP4464">
            <v>56</v>
          </cell>
        </row>
        <row r="4465">
          <cell r="B4465" t="str">
            <v>2</v>
          </cell>
          <cell r="AN4465">
            <v>214.2</v>
          </cell>
          <cell r="AP4465">
            <v>56</v>
          </cell>
        </row>
        <row r="4466">
          <cell r="B4466" t="str">
            <v>4</v>
          </cell>
          <cell r="AN4466">
            <v>133</v>
          </cell>
          <cell r="AP4466">
            <v>56</v>
          </cell>
        </row>
        <row r="4467">
          <cell r="B4467" t="str">
            <v>4</v>
          </cell>
          <cell r="AN4467">
            <v>66.45</v>
          </cell>
          <cell r="AP4467">
            <v>56</v>
          </cell>
        </row>
        <row r="4468">
          <cell r="B4468" t="str">
            <v>4</v>
          </cell>
          <cell r="AN4468">
            <v>77.7</v>
          </cell>
          <cell r="AP4468">
            <v>56</v>
          </cell>
        </row>
        <row r="4469">
          <cell r="B4469" t="str">
            <v>4</v>
          </cell>
          <cell r="AN4469">
            <v>42.2</v>
          </cell>
          <cell r="AP4469">
            <v>56</v>
          </cell>
        </row>
        <row r="4470">
          <cell r="B4470" t="str">
            <v>4</v>
          </cell>
          <cell r="AN4470">
            <v>46.2</v>
          </cell>
          <cell r="AP4470">
            <v>56</v>
          </cell>
        </row>
        <row r="4471">
          <cell r="B4471" t="str">
            <v>4</v>
          </cell>
          <cell r="AN4471">
            <v>283.8</v>
          </cell>
          <cell r="AP4471">
            <v>56</v>
          </cell>
        </row>
        <row r="4472">
          <cell r="B4472" t="str">
            <v>4</v>
          </cell>
          <cell r="AN4472">
            <v>195.1</v>
          </cell>
          <cell r="AP4472">
            <v>56</v>
          </cell>
        </row>
        <row r="4473">
          <cell r="B4473" t="str">
            <v>7</v>
          </cell>
          <cell r="AN4473">
            <v>79.400000000000006</v>
          </cell>
          <cell r="AP4473">
            <v>56</v>
          </cell>
        </row>
        <row r="4474">
          <cell r="B4474" t="str">
            <v>7</v>
          </cell>
          <cell r="AN4474">
            <v>172</v>
          </cell>
          <cell r="AP4474">
            <v>56</v>
          </cell>
        </row>
        <row r="4475">
          <cell r="B4475" t="str">
            <v>7</v>
          </cell>
          <cell r="AN4475">
            <v>115</v>
          </cell>
          <cell r="AP4475">
            <v>56</v>
          </cell>
        </row>
        <row r="4476">
          <cell r="B4476" t="str">
            <v>7</v>
          </cell>
          <cell r="AN4476">
            <v>112</v>
          </cell>
          <cell r="AP4476">
            <v>56</v>
          </cell>
        </row>
        <row r="4477">
          <cell r="B4477" t="str">
            <v>7</v>
          </cell>
          <cell r="AN4477">
            <v>143.19999999999999</v>
          </cell>
          <cell r="AP4477">
            <v>56</v>
          </cell>
        </row>
        <row r="4478">
          <cell r="B4478" t="str">
            <v>7</v>
          </cell>
          <cell r="AN4478">
            <v>74.7</v>
          </cell>
          <cell r="AP4478">
            <v>56</v>
          </cell>
        </row>
        <row r="4479">
          <cell r="B4479" t="str">
            <v>7</v>
          </cell>
          <cell r="AN4479">
            <v>141.1</v>
          </cell>
          <cell r="AP4479">
            <v>56</v>
          </cell>
        </row>
        <row r="4480">
          <cell r="B4480" t="str">
            <v>7</v>
          </cell>
          <cell r="AN4480">
            <v>208.45</v>
          </cell>
          <cell r="AP4480">
            <v>56</v>
          </cell>
        </row>
        <row r="4481">
          <cell r="B4481" t="str">
            <v>7</v>
          </cell>
          <cell r="AN4481">
            <v>211.05</v>
          </cell>
          <cell r="AP4481">
            <v>56</v>
          </cell>
        </row>
        <row r="4482">
          <cell r="B4482" t="str">
            <v>8</v>
          </cell>
          <cell r="AN4482">
            <v>75.900000000000006</v>
          </cell>
          <cell r="AP4482">
            <v>56</v>
          </cell>
        </row>
        <row r="4483">
          <cell r="B4483" t="str">
            <v>8</v>
          </cell>
          <cell r="AN4483">
            <v>292.18</v>
          </cell>
          <cell r="AP4483">
            <v>56</v>
          </cell>
        </row>
        <row r="4484">
          <cell r="B4484" t="str">
            <v>8</v>
          </cell>
          <cell r="AN4484">
            <v>49.5</v>
          </cell>
          <cell r="AP4484">
            <v>56</v>
          </cell>
        </row>
        <row r="4485">
          <cell r="B4485" t="str">
            <v>8</v>
          </cell>
          <cell r="AN4485">
            <v>432.25</v>
          </cell>
          <cell r="AP4485">
            <v>56</v>
          </cell>
        </row>
        <row r="4486">
          <cell r="B4486" t="str">
            <v>1</v>
          </cell>
          <cell r="AN4486">
            <v>112.1</v>
          </cell>
          <cell r="AP4486">
            <v>56</v>
          </cell>
        </row>
        <row r="4487">
          <cell r="B4487" t="str">
            <v>1</v>
          </cell>
          <cell r="AN4487">
            <v>136.1</v>
          </cell>
          <cell r="AP4487">
            <v>56</v>
          </cell>
        </row>
        <row r="4488">
          <cell r="B4488" t="str">
            <v>2</v>
          </cell>
          <cell r="AN4488">
            <v>159.23000000000002</v>
          </cell>
          <cell r="AP4488">
            <v>56</v>
          </cell>
        </row>
        <row r="4489">
          <cell r="B4489" t="str">
            <v>2</v>
          </cell>
          <cell r="AN4489">
            <v>215.29999999999998</v>
          </cell>
          <cell r="AP4489">
            <v>56</v>
          </cell>
        </row>
        <row r="4490">
          <cell r="B4490" t="str">
            <v>4</v>
          </cell>
          <cell r="AN4490">
            <v>77.38</v>
          </cell>
          <cell r="AP4490">
            <v>56</v>
          </cell>
        </row>
        <row r="4491">
          <cell r="B4491" t="str">
            <v>4</v>
          </cell>
          <cell r="AN4491">
            <v>110.5</v>
          </cell>
          <cell r="AP4491">
            <v>56</v>
          </cell>
        </row>
        <row r="4492">
          <cell r="B4492" t="str">
            <v>4</v>
          </cell>
          <cell r="AN4492">
            <v>77.8</v>
          </cell>
          <cell r="AP4492">
            <v>56</v>
          </cell>
        </row>
        <row r="4493">
          <cell r="B4493" t="str">
            <v>4</v>
          </cell>
          <cell r="AN4493">
            <v>115.25</v>
          </cell>
          <cell r="AP4493">
            <v>56</v>
          </cell>
        </row>
        <row r="4494">
          <cell r="B4494" t="str">
            <v>4</v>
          </cell>
          <cell r="AN4494">
            <v>123.7</v>
          </cell>
          <cell r="AP4494">
            <v>56</v>
          </cell>
        </row>
        <row r="4495">
          <cell r="B4495" t="str">
            <v>4</v>
          </cell>
          <cell r="AN4495">
            <v>119.1</v>
          </cell>
          <cell r="AP4495">
            <v>56</v>
          </cell>
        </row>
        <row r="4496">
          <cell r="B4496" t="str">
            <v>4</v>
          </cell>
          <cell r="AN4496">
            <v>123.6</v>
          </cell>
          <cell r="AP4496">
            <v>56</v>
          </cell>
        </row>
        <row r="4497">
          <cell r="B4497" t="str">
            <v>4</v>
          </cell>
          <cell r="AN4497">
            <v>112.2</v>
          </cell>
          <cell r="AP4497">
            <v>56</v>
          </cell>
        </row>
        <row r="4498">
          <cell r="B4498" t="str">
            <v>7</v>
          </cell>
          <cell r="AN4498">
            <v>113.5</v>
          </cell>
          <cell r="AP4498">
            <v>56</v>
          </cell>
        </row>
        <row r="4499">
          <cell r="B4499" t="str">
            <v>7</v>
          </cell>
          <cell r="AN4499">
            <v>217.5</v>
          </cell>
          <cell r="AP4499">
            <v>56</v>
          </cell>
        </row>
        <row r="4500">
          <cell r="B4500" t="str">
            <v>7</v>
          </cell>
          <cell r="AN4500">
            <v>112.4</v>
          </cell>
          <cell r="AP4500">
            <v>56</v>
          </cell>
        </row>
        <row r="4501">
          <cell r="B4501" t="str">
            <v>7</v>
          </cell>
          <cell r="AN4501">
            <v>119.8</v>
          </cell>
          <cell r="AP4501">
            <v>56</v>
          </cell>
        </row>
        <row r="4502">
          <cell r="B4502" t="str">
            <v>7</v>
          </cell>
          <cell r="AN4502">
            <v>110</v>
          </cell>
          <cell r="AP4502">
            <v>56</v>
          </cell>
        </row>
        <row r="4503">
          <cell r="B4503" t="str">
            <v>7</v>
          </cell>
          <cell r="AN4503">
            <v>218.3</v>
          </cell>
          <cell r="AP4503">
            <v>56</v>
          </cell>
        </row>
        <row r="4504">
          <cell r="B4504" t="str">
            <v>7</v>
          </cell>
          <cell r="AN4504">
            <v>319.35000000000002</v>
          </cell>
          <cell r="AP4504">
            <v>56</v>
          </cell>
        </row>
        <row r="4505">
          <cell r="B4505" t="str">
            <v>7</v>
          </cell>
          <cell r="AN4505">
            <v>68.2</v>
          </cell>
          <cell r="AP4505">
            <v>56</v>
          </cell>
        </row>
        <row r="4506">
          <cell r="B4506" t="str">
            <v>8</v>
          </cell>
          <cell r="AN4506">
            <v>412.34999999999991</v>
          </cell>
          <cell r="AP4506">
            <v>56</v>
          </cell>
        </row>
        <row r="4507">
          <cell r="B4507" t="str">
            <v>8</v>
          </cell>
          <cell r="AN4507">
            <v>408.75</v>
          </cell>
          <cell r="AP4507">
            <v>56</v>
          </cell>
        </row>
        <row r="4508">
          <cell r="B4508" t="str">
            <v>1</v>
          </cell>
          <cell r="AN4508">
            <v>71.2</v>
          </cell>
          <cell r="AP4508">
            <v>56</v>
          </cell>
        </row>
        <row r="4509">
          <cell r="B4509" t="str">
            <v>1</v>
          </cell>
          <cell r="AN4509">
            <v>61</v>
          </cell>
          <cell r="AP4509">
            <v>56</v>
          </cell>
        </row>
        <row r="4510">
          <cell r="B4510" t="str">
            <v>2</v>
          </cell>
          <cell r="AN4510">
            <v>333</v>
          </cell>
          <cell r="AP4510">
            <v>56</v>
          </cell>
        </row>
        <row r="4511">
          <cell r="B4511" t="str">
            <v>2</v>
          </cell>
          <cell r="AN4511">
            <v>253.6</v>
          </cell>
          <cell r="AP4511">
            <v>56</v>
          </cell>
        </row>
        <row r="4512">
          <cell r="B4512" t="str">
            <v>4</v>
          </cell>
          <cell r="AN4512">
            <v>124.32000000000001</v>
          </cell>
          <cell r="AP4512">
            <v>56</v>
          </cell>
        </row>
        <row r="4513">
          <cell r="B4513" t="str">
            <v>4</v>
          </cell>
          <cell r="AN4513">
            <v>242</v>
          </cell>
          <cell r="AP4513">
            <v>56</v>
          </cell>
        </row>
        <row r="4514">
          <cell r="B4514" t="str">
            <v>4</v>
          </cell>
          <cell r="AN4514">
            <v>48.2</v>
          </cell>
          <cell r="AP4514">
            <v>56</v>
          </cell>
        </row>
        <row r="4515">
          <cell r="B4515" t="str">
            <v>4</v>
          </cell>
          <cell r="AN4515">
            <v>281.59999999999997</v>
          </cell>
          <cell r="AP4515">
            <v>56</v>
          </cell>
        </row>
        <row r="4516">
          <cell r="B4516" t="str">
            <v>4</v>
          </cell>
          <cell r="AN4516">
            <v>120.6</v>
          </cell>
          <cell r="AP4516">
            <v>56</v>
          </cell>
        </row>
        <row r="4517">
          <cell r="B4517" t="str">
            <v>7</v>
          </cell>
          <cell r="AN4517">
            <v>471.9</v>
          </cell>
          <cell r="AP4517">
            <v>56</v>
          </cell>
        </row>
        <row r="4518">
          <cell r="B4518" t="str">
            <v>7</v>
          </cell>
          <cell r="AN4518">
            <v>183.70000000000002</v>
          </cell>
          <cell r="AP4518">
            <v>56</v>
          </cell>
        </row>
        <row r="4519">
          <cell r="B4519" t="str">
            <v>7</v>
          </cell>
          <cell r="AN4519">
            <v>79.599999999999994</v>
          </cell>
          <cell r="AP4519">
            <v>56</v>
          </cell>
        </row>
        <row r="4520">
          <cell r="B4520" t="str">
            <v>7</v>
          </cell>
          <cell r="AN4520">
            <v>522.20000000000005</v>
          </cell>
          <cell r="AP4520">
            <v>56</v>
          </cell>
        </row>
        <row r="4521">
          <cell r="B4521" t="str">
            <v>8</v>
          </cell>
          <cell r="AN4521">
            <v>427.20000000000005</v>
          </cell>
          <cell r="AP4521">
            <v>56</v>
          </cell>
        </row>
        <row r="4522">
          <cell r="B4522" t="str">
            <v>8</v>
          </cell>
          <cell r="AN4522">
            <v>414.95000000000005</v>
          </cell>
          <cell r="AP4522">
            <v>56</v>
          </cell>
        </row>
        <row r="4523">
          <cell r="B4523" t="str">
            <v>2</v>
          </cell>
          <cell r="AN4523">
            <v>210.3</v>
          </cell>
          <cell r="AP4523">
            <v>56</v>
          </cell>
        </row>
        <row r="4524">
          <cell r="B4524" t="str">
            <v>2</v>
          </cell>
          <cell r="AN4524">
            <v>58.8</v>
          </cell>
          <cell r="AP4524">
            <v>56</v>
          </cell>
        </row>
        <row r="4525">
          <cell r="B4525" t="str">
            <v>2</v>
          </cell>
          <cell r="AN4525">
            <v>123.25</v>
          </cell>
          <cell r="AP4525">
            <v>56</v>
          </cell>
        </row>
        <row r="4526">
          <cell r="B4526" t="str">
            <v>2</v>
          </cell>
          <cell r="AN4526">
            <v>76.599999999999994</v>
          </cell>
          <cell r="AP4526">
            <v>56</v>
          </cell>
        </row>
        <row r="4527">
          <cell r="B4527" t="str">
            <v>4</v>
          </cell>
          <cell r="AN4527">
            <v>505</v>
          </cell>
          <cell r="AP4527">
            <v>56</v>
          </cell>
        </row>
        <row r="4528">
          <cell r="B4528" t="str">
            <v>4</v>
          </cell>
          <cell r="AN4528">
            <v>39.5</v>
          </cell>
          <cell r="AP4528">
            <v>56</v>
          </cell>
        </row>
        <row r="4529">
          <cell r="B4529" t="str">
            <v>4</v>
          </cell>
          <cell r="AN4529">
            <v>480</v>
          </cell>
          <cell r="AP4529">
            <v>56</v>
          </cell>
        </row>
        <row r="4530">
          <cell r="B4530" t="str">
            <v>7</v>
          </cell>
          <cell r="AN4530">
            <v>75.7</v>
          </cell>
          <cell r="AP4530">
            <v>56</v>
          </cell>
        </row>
        <row r="4531">
          <cell r="B4531" t="str">
            <v>7</v>
          </cell>
          <cell r="AN4531">
            <v>315.20000000000005</v>
          </cell>
          <cell r="AP4531">
            <v>56</v>
          </cell>
        </row>
        <row r="4532">
          <cell r="B4532" t="str">
            <v>7</v>
          </cell>
          <cell r="AN4532">
            <v>222.70000000000002</v>
          </cell>
          <cell r="AP4532">
            <v>56</v>
          </cell>
        </row>
        <row r="4533">
          <cell r="B4533" t="str">
            <v>7</v>
          </cell>
          <cell r="AN4533">
            <v>317.36</v>
          </cell>
          <cell r="AP4533">
            <v>56</v>
          </cell>
        </row>
        <row r="4534">
          <cell r="B4534" t="str">
            <v>7</v>
          </cell>
          <cell r="AN4534">
            <v>225.7</v>
          </cell>
          <cell r="AP4534">
            <v>56</v>
          </cell>
        </row>
        <row r="4535">
          <cell r="B4535" t="str">
            <v>7</v>
          </cell>
          <cell r="AN4535">
            <v>112.6</v>
          </cell>
          <cell r="AP4535">
            <v>56</v>
          </cell>
        </row>
        <row r="4536">
          <cell r="B4536" t="str">
            <v>8</v>
          </cell>
          <cell r="AN4536">
            <v>183.7</v>
          </cell>
          <cell r="AP4536">
            <v>56</v>
          </cell>
        </row>
        <row r="4537">
          <cell r="B4537" t="str">
            <v>8</v>
          </cell>
          <cell r="AN4537">
            <v>232.8</v>
          </cell>
          <cell r="AP4537">
            <v>56</v>
          </cell>
        </row>
        <row r="4538">
          <cell r="B4538" t="str">
            <v>8</v>
          </cell>
          <cell r="AN4538">
            <v>502.5</v>
          </cell>
          <cell r="AP4538">
            <v>56</v>
          </cell>
        </row>
        <row r="4539">
          <cell r="B4539" t="str">
            <v>2</v>
          </cell>
          <cell r="AN4539">
            <v>62.5</v>
          </cell>
          <cell r="AP4539">
            <v>57</v>
          </cell>
        </row>
        <row r="4540">
          <cell r="B4540" t="str">
            <v>2</v>
          </cell>
          <cell r="AN4540">
            <v>144.80000000000001</v>
          </cell>
          <cell r="AP4540">
            <v>57</v>
          </cell>
        </row>
        <row r="4541">
          <cell r="B4541" t="str">
            <v>2</v>
          </cell>
          <cell r="AN4541">
            <v>170.15</v>
          </cell>
          <cell r="AP4541">
            <v>57</v>
          </cell>
        </row>
        <row r="4542">
          <cell r="B4542" t="str">
            <v>2</v>
          </cell>
          <cell r="AN4542">
            <v>45.85</v>
          </cell>
          <cell r="AP4542">
            <v>57</v>
          </cell>
        </row>
        <row r="4543">
          <cell r="B4543" t="str">
            <v>4</v>
          </cell>
          <cell r="AN4543">
            <v>195.8</v>
          </cell>
          <cell r="AP4543">
            <v>57</v>
          </cell>
        </row>
        <row r="4544">
          <cell r="B4544" t="str">
            <v>4</v>
          </cell>
          <cell r="AN4544">
            <v>98.9</v>
          </cell>
          <cell r="AP4544">
            <v>57</v>
          </cell>
        </row>
        <row r="4545">
          <cell r="B4545" t="str">
            <v>4</v>
          </cell>
          <cell r="AN4545">
            <v>314.88</v>
          </cell>
          <cell r="AP4545">
            <v>57</v>
          </cell>
        </row>
        <row r="4546">
          <cell r="B4546" t="str">
            <v>4</v>
          </cell>
          <cell r="AN4546">
            <v>464.45</v>
          </cell>
          <cell r="AP4546">
            <v>57</v>
          </cell>
        </row>
        <row r="4547">
          <cell r="B4547" t="str">
            <v>7</v>
          </cell>
          <cell r="AN4547">
            <v>218.39999999999998</v>
          </cell>
          <cell r="AP4547">
            <v>57</v>
          </cell>
        </row>
        <row r="4548">
          <cell r="B4548" t="str">
            <v>7</v>
          </cell>
          <cell r="AN4548">
            <v>53.8</v>
          </cell>
          <cell r="AP4548">
            <v>57</v>
          </cell>
        </row>
        <row r="4549">
          <cell r="B4549" t="str">
            <v>7</v>
          </cell>
          <cell r="AN4549">
            <v>152.89999999999998</v>
          </cell>
          <cell r="AP4549">
            <v>57</v>
          </cell>
        </row>
        <row r="4550">
          <cell r="B4550" t="str">
            <v>7</v>
          </cell>
          <cell r="AN4550">
            <v>274.10000000000002</v>
          </cell>
          <cell r="AP4550">
            <v>57</v>
          </cell>
        </row>
        <row r="4551">
          <cell r="B4551" t="str">
            <v>7</v>
          </cell>
          <cell r="AN4551">
            <v>210.60000000000002</v>
          </cell>
          <cell r="AP4551">
            <v>57</v>
          </cell>
        </row>
        <row r="4552">
          <cell r="B4552" t="str">
            <v>7</v>
          </cell>
          <cell r="AN4552">
            <v>425</v>
          </cell>
          <cell r="AP4552">
            <v>57</v>
          </cell>
        </row>
        <row r="4553">
          <cell r="B4553" t="str">
            <v>8</v>
          </cell>
          <cell r="AN4553">
            <v>230.70000000000002</v>
          </cell>
          <cell r="AP4553">
            <v>57</v>
          </cell>
        </row>
        <row r="4554">
          <cell r="B4554" t="str">
            <v>8</v>
          </cell>
          <cell r="AN4554">
            <v>136.80000000000001</v>
          </cell>
          <cell r="AP4554">
            <v>57</v>
          </cell>
        </row>
        <row r="4555">
          <cell r="B4555" t="str">
            <v>8</v>
          </cell>
          <cell r="AN4555">
            <v>374.15000000000003</v>
          </cell>
          <cell r="AP4555">
            <v>57</v>
          </cell>
        </row>
        <row r="4556">
          <cell r="B4556" t="str">
            <v>1</v>
          </cell>
          <cell r="AN4556">
            <v>59.76</v>
          </cell>
          <cell r="AP4556">
            <v>57</v>
          </cell>
        </row>
        <row r="4557">
          <cell r="B4557" t="str">
            <v>1</v>
          </cell>
          <cell r="AN4557">
            <v>109.28000000000002</v>
          </cell>
          <cell r="AP4557">
            <v>57</v>
          </cell>
        </row>
        <row r="4558">
          <cell r="B4558" t="str">
            <v>2</v>
          </cell>
          <cell r="AN4558">
            <v>75.3</v>
          </cell>
          <cell r="AP4558">
            <v>57</v>
          </cell>
        </row>
        <row r="4559">
          <cell r="B4559" t="str">
            <v>2</v>
          </cell>
          <cell r="AN4559">
            <v>67.599999999999994</v>
          </cell>
          <cell r="AP4559">
            <v>57</v>
          </cell>
        </row>
        <row r="4560">
          <cell r="B4560" t="str">
            <v>2</v>
          </cell>
          <cell r="AN4560">
            <v>61.1</v>
          </cell>
          <cell r="AP4560">
            <v>57</v>
          </cell>
        </row>
        <row r="4561">
          <cell r="B4561" t="str">
            <v>2</v>
          </cell>
          <cell r="AN4561">
            <v>205.07000000000002</v>
          </cell>
          <cell r="AP4561">
            <v>57</v>
          </cell>
        </row>
        <row r="4562">
          <cell r="B4562" t="str">
            <v>4</v>
          </cell>
          <cell r="AN4562">
            <v>476.04999999999995</v>
          </cell>
          <cell r="AP4562">
            <v>57</v>
          </cell>
        </row>
        <row r="4563">
          <cell r="B4563" t="str">
            <v>4</v>
          </cell>
          <cell r="AN4563">
            <v>499.45</v>
          </cell>
          <cell r="AP4563">
            <v>57</v>
          </cell>
        </row>
        <row r="4564">
          <cell r="B4564" t="str">
            <v>7</v>
          </cell>
          <cell r="AN4564">
            <v>617.65</v>
          </cell>
          <cell r="AP4564">
            <v>57</v>
          </cell>
        </row>
        <row r="4565">
          <cell r="B4565" t="str">
            <v>7</v>
          </cell>
          <cell r="AN4565">
            <v>590.5</v>
          </cell>
          <cell r="AP4565">
            <v>57</v>
          </cell>
        </row>
        <row r="4566">
          <cell r="B4566" t="str">
            <v>8</v>
          </cell>
          <cell r="AN4566">
            <v>267.2</v>
          </cell>
          <cell r="AP4566">
            <v>57</v>
          </cell>
        </row>
        <row r="4567">
          <cell r="B4567" t="str">
            <v>8</v>
          </cell>
          <cell r="AN4567">
            <v>112.15</v>
          </cell>
          <cell r="AP4567">
            <v>57</v>
          </cell>
        </row>
        <row r="4568">
          <cell r="B4568" t="str">
            <v>8</v>
          </cell>
          <cell r="AN4568">
            <v>123.05000000000001</v>
          </cell>
          <cell r="AP4568">
            <v>57</v>
          </cell>
        </row>
        <row r="4569">
          <cell r="B4569" t="str">
            <v>8</v>
          </cell>
          <cell r="AN4569">
            <v>247.75</v>
          </cell>
          <cell r="AP4569">
            <v>57</v>
          </cell>
        </row>
        <row r="4570">
          <cell r="B4570" t="str">
            <v>1</v>
          </cell>
          <cell r="AN4570">
            <v>65.58</v>
          </cell>
          <cell r="AP4570">
            <v>57</v>
          </cell>
        </row>
        <row r="4571">
          <cell r="B4571" t="str">
            <v>1</v>
          </cell>
          <cell r="AN4571">
            <v>83.460000000000008</v>
          </cell>
          <cell r="AP4571">
            <v>57</v>
          </cell>
        </row>
        <row r="4572">
          <cell r="B4572" t="str">
            <v>1</v>
          </cell>
          <cell r="AN4572">
            <v>159.89999999999998</v>
          </cell>
          <cell r="AP4572">
            <v>57</v>
          </cell>
        </row>
        <row r="4573">
          <cell r="B4573" t="str">
            <v>2</v>
          </cell>
          <cell r="AN4573">
            <v>108.5</v>
          </cell>
          <cell r="AP4573">
            <v>57</v>
          </cell>
        </row>
        <row r="4574">
          <cell r="B4574" t="str">
            <v>2</v>
          </cell>
          <cell r="AN4574">
            <v>104.8</v>
          </cell>
          <cell r="AP4574">
            <v>57</v>
          </cell>
        </row>
        <row r="4575">
          <cell r="B4575" t="str">
            <v>2</v>
          </cell>
          <cell r="AN4575">
            <v>90.9</v>
          </cell>
          <cell r="AP4575">
            <v>57</v>
          </cell>
        </row>
        <row r="4576">
          <cell r="B4576" t="str">
            <v>2</v>
          </cell>
          <cell r="AN4576">
            <v>160</v>
          </cell>
          <cell r="AP4576">
            <v>57</v>
          </cell>
        </row>
        <row r="4577">
          <cell r="B4577" t="str">
            <v>4</v>
          </cell>
          <cell r="AN4577">
            <v>526.45000000000005</v>
          </cell>
          <cell r="AP4577">
            <v>57</v>
          </cell>
        </row>
        <row r="4578">
          <cell r="B4578" t="str">
            <v>4</v>
          </cell>
          <cell r="AN4578">
            <v>142.5</v>
          </cell>
          <cell r="AP4578">
            <v>57</v>
          </cell>
        </row>
        <row r="4579">
          <cell r="B4579" t="str">
            <v>4</v>
          </cell>
          <cell r="AN4579">
            <v>213.4</v>
          </cell>
          <cell r="AP4579">
            <v>57</v>
          </cell>
        </row>
        <row r="4580">
          <cell r="B4580" t="str">
            <v>4</v>
          </cell>
          <cell r="AN4580">
            <v>57.9</v>
          </cell>
          <cell r="AP4580">
            <v>57</v>
          </cell>
        </row>
        <row r="4581">
          <cell r="B4581" t="str">
            <v>4</v>
          </cell>
          <cell r="AN4581">
            <v>82.1</v>
          </cell>
          <cell r="AP4581">
            <v>57</v>
          </cell>
        </row>
        <row r="4582">
          <cell r="B4582" t="str">
            <v>7</v>
          </cell>
          <cell r="AN4582">
            <v>438.5</v>
          </cell>
          <cell r="AP4582">
            <v>57</v>
          </cell>
        </row>
        <row r="4583">
          <cell r="B4583" t="str">
            <v>7</v>
          </cell>
          <cell r="AN4583">
            <v>114.7</v>
          </cell>
          <cell r="AP4583">
            <v>57</v>
          </cell>
        </row>
        <row r="4584">
          <cell r="B4584" t="str">
            <v>7</v>
          </cell>
          <cell r="AN4584">
            <v>115</v>
          </cell>
          <cell r="AP4584">
            <v>57</v>
          </cell>
        </row>
        <row r="4585">
          <cell r="B4585" t="str">
            <v>7</v>
          </cell>
          <cell r="AN4585">
            <v>62.8</v>
          </cell>
          <cell r="AP4585">
            <v>57</v>
          </cell>
        </row>
        <row r="4586">
          <cell r="B4586" t="str">
            <v>7</v>
          </cell>
          <cell r="AN4586">
            <v>231.9</v>
          </cell>
          <cell r="AP4586">
            <v>57</v>
          </cell>
        </row>
        <row r="4587">
          <cell r="B4587" t="str">
            <v>7</v>
          </cell>
          <cell r="AN4587">
            <v>269.3</v>
          </cell>
          <cell r="AP4587">
            <v>57</v>
          </cell>
        </row>
        <row r="4588">
          <cell r="B4588" t="str">
            <v>7</v>
          </cell>
          <cell r="AN4588">
            <v>115.5</v>
          </cell>
          <cell r="AP4588">
            <v>57</v>
          </cell>
        </row>
        <row r="4589">
          <cell r="B4589" t="str">
            <v>8</v>
          </cell>
          <cell r="AN4589">
            <v>369.2</v>
          </cell>
          <cell r="AP4589">
            <v>57</v>
          </cell>
        </row>
        <row r="4590">
          <cell r="B4590" t="str">
            <v>8</v>
          </cell>
          <cell r="AN4590">
            <v>44.2</v>
          </cell>
          <cell r="AP4590">
            <v>57</v>
          </cell>
        </row>
        <row r="4591">
          <cell r="B4591" t="str">
            <v>8</v>
          </cell>
          <cell r="AN4591">
            <v>381.91999999999996</v>
          </cell>
          <cell r="AP4591">
            <v>57</v>
          </cell>
        </row>
        <row r="4592">
          <cell r="B4592" t="str">
            <v>1</v>
          </cell>
          <cell r="AN4592">
            <v>145.88999999999999</v>
          </cell>
          <cell r="AP4592">
            <v>57</v>
          </cell>
        </row>
        <row r="4593">
          <cell r="B4593" t="str">
            <v>1</v>
          </cell>
          <cell r="AN4593">
            <v>52.3</v>
          </cell>
          <cell r="AP4593">
            <v>57</v>
          </cell>
        </row>
        <row r="4594">
          <cell r="B4594" t="str">
            <v>1</v>
          </cell>
          <cell r="AN4594">
            <v>99.9</v>
          </cell>
          <cell r="AP4594">
            <v>57</v>
          </cell>
        </row>
        <row r="4595">
          <cell r="B4595" t="str">
            <v>2</v>
          </cell>
          <cell r="AN4595">
            <v>80.5</v>
          </cell>
          <cell r="AP4595">
            <v>57</v>
          </cell>
        </row>
        <row r="4596">
          <cell r="B4596" t="str">
            <v>2</v>
          </cell>
          <cell r="AN4596">
            <v>111.19999999999999</v>
          </cell>
          <cell r="AP4596">
            <v>57</v>
          </cell>
        </row>
        <row r="4597">
          <cell r="B4597" t="str">
            <v>2</v>
          </cell>
          <cell r="AN4597">
            <v>149.75</v>
          </cell>
          <cell r="AP4597">
            <v>57</v>
          </cell>
        </row>
        <row r="4598">
          <cell r="B4598" t="str">
            <v>4</v>
          </cell>
          <cell r="AN4598">
            <v>48.44</v>
          </cell>
          <cell r="AP4598">
            <v>57</v>
          </cell>
        </row>
        <row r="4599">
          <cell r="B4599" t="str">
            <v>4</v>
          </cell>
          <cell r="AN4599">
            <v>123.72</v>
          </cell>
          <cell r="AP4599">
            <v>57</v>
          </cell>
        </row>
        <row r="4600">
          <cell r="B4600" t="str">
            <v>4</v>
          </cell>
          <cell r="AN4600">
            <v>162.72999999999999</v>
          </cell>
          <cell r="AP4600">
            <v>57</v>
          </cell>
        </row>
        <row r="4601">
          <cell r="B4601" t="str">
            <v>4</v>
          </cell>
          <cell r="AN4601">
            <v>44.4</v>
          </cell>
          <cell r="AP4601">
            <v>57</v>
          </cell>
        </row>
        <row r="4602">
          <cell r="B4602" t="str">
            <v>4</v>
          </cell>
          <cell r="AN4602">
            <v>371.05</v>
          </cell>
          <cell r="AP4602">
            <v>57</v>
          </cell>
        </row>
        <row r="4603">
          <cell r="B4603" t="str">
            <v>7</v>
          </cell>
          <cell r="AN4603">
            <v>160.30000000000001</v>
          </cell>
          <cell r="AP4603">
            <v>57</v>
          </cell>
        </row>
        <row r="4604">
          <cell r="B4604" t="str">
            <v>7</v>
          </cell>
          <cell r="AN4604">
            <v>62.5</v>
          </cell>
          <cell r="AP4604">
            <v>57</v>
          </cell>
        </row>
        <row r="4605">
          <cell r="B4605" t="str">
            <v>7</v>
          </cell>
          <cell r="AN4605">
            <v>107.85</v>
          </cell>
          <cell r="AP4605">
            <v>57</v>
          </cell>
        </row>
        <row r="4606">
          <cell r="B4606" t="str">
            <v>7</v>
          </cell>
          <cell r="AN4606">
            <v>110.6</v>
          </cell>
          <cell r="AP4606">
            <v>57</v>
          </cell>
        </row>
        <row r="4607">
          <cell r="B4607" t="str">
            <v>7</v>
          </cell>
          <cell r="AN4607">
            <v>109.5</v>
          </cell>
          <cell r="AP4607">
            <v>57</v>
          </cell>
        </row>
        <row r="4608">
          <cell r="B4608" t="str">
            <v>7</v>
          </cell>
          <cell r="AN4608">
            <v>162.4</v>
          </cell>
          <cell r="AP4608">
            <v>57</v>
          </cell>
        </row>
        <row r="4609">
          <cell r="B4609" t="str">
            <v>7</v>
          </cell>
          <cell r="AN4609">
            <v>165.89999999999998</v>
          </cell>
          <cell r="AP4609">
            <v>57</v>
          </cell>
        </row>
        <row r="4610">
          <cell r="B4610" t="str">
            <v>7</v>
          </cell>
          <cell r="AN4610">
            <v>124.99999999999999</v>
          </cell>
          <cell r="AP4610">
            <v>57</v>
          </cell>
        </row>
        <row r="4611">
          <cell r="B4611" t="str">
            <v>7</v>
          </cell>
          <cell r="AN4611">
            <v>257.60000000000002</v>
          </cell>
          <cell r="AP4611">
            <v>57</v>
          </cell>
        </row>
        <row r="4612">
          <cell r="B4612" t="str">
            <v>7</v>
          </cell>
          <cell r="AN4612">
            <v>45.7</v>
          </cell>
          <cell r="AP4612">
            <v>57</v>
          </cell>
        </row>
        <row r="4613">
          <cell r="B4613" t="str">
            <v>8</v>
          </cell>
          <cell r="AN4613">
            <v>120.9</v>
          </cell>
          <cell r="AP4613">
            <v>57</v>
          </cell>
        </row>
        <row r="4614">
          <cell r="B4614" t="str">
            <v>8</v>
          </cell>
          <cell r="AN4614">
            <v>329.9</v>
          </cell>
          <cell r="AP4614">
            <v>57</v>
          </cell>
        </row>
        <row r="4615">
          <cell r="B4615" t="str">
            <v>8</v>
          </cell>
          <cell r="AN4615">
            <v>117.29</v>
          </cell>
          <cell r="AP4615">
            <v>57</v>
          </cell>
        </row>
        <row r="4616">
          <cell r="B4616" t="str">
            <v>8</v>
          </cell>
          <cell r="AN4616">
            <v>503.35</v>
          </cell>
          <cell r="AP4616">
            <v>57</v>
          </cell>
        </row>
        <row r="4617">
          <cell r="B4617" t="str">
            <v>1</v>
          </cell>
          <cell r="AN4617">
            <v>115.80000000000001</v>
          </cell>
          <cell r="AP4617">
            <v>57</v>
          </cell>
        </row>
        <row r="4618">
          <cell r="B4618" t="str">
            <v>1</v>
          </cell>
          <cell r="AN4618">
            <v>56.6</v>
          </cell>
          <cell r="AP4618">
            <v>57</v>
          </cell>
        </row>
        <row r="4619">
          <cell r="B4619" t="str">
            <v>1</v>
          </cell>
          <cell r="AN4619">
            <v>169.97</v>
          </cell>
          <cell r="AP4619">
            <v>57</v>
          </cell>
        </row>
        <row r="4620">
          <cell r="B4620" t="str">
            <v>2</v>
          </cell>
          <cell r="AN4620">
            <v>48.1</v>
          </cell>
          <cell r="AP4620">
            <v>57</v>
          </cell>
        </row>
        <row r="4621">
          <cell r="B4621" t="str">
            <v>2</v>
          </cell>
          <cell r="AN4621">
            <v>85.300000000000011</v>
          </cell>
          <cell r="AP4621">
            <v>57</v>
          </cell>
        </row>
        <row r="4622">
          <cell r="B4622" t="str">
            <v>2</v>
          </cell>
          <cell r="AN4622">
            <v>183.14999999999998</v>
          </cell>
          <cell r="AP4622">
            <v>57</v>
          </cell>
        </row>
        <row r="4623">
          <cell r="B4623" t="str">
            <v>4</v>
          </cell>
          <cell r="AN4623">
            <v>151.39999999999998</v>
          </cell>
          <cell r="AP4623">
            <v>57</v>
          </cell>
        </row>
        <row r="4624">
          <cell r="B4624" t="str">
            <v>4</v>
          </cell>
          <cell r="AN4624">
            <v>205.79999999999998</v>
          </cell>
          <cell r="AP4624">
            <v>57</v>
          </cell>
        </row>
        <row r="4625">
          <cell r="B4625" t="str">
            <v>4</v>
          </cell>
          <cell r="AN4625">
            <v>314.10000000000002</v>
          </cell>
          <cell r="AP4625">
            <v>57</v>
          </cell>
        </row>
        <row r="4626">
          <cell r="B4626" t="str">
            <v>4</v>
          </cell>
          <cell r="AN4626">
            <v>63.05</v>
          </cell>
          <cell r="AP4626">
            <v>57</v>
          </cell>
        </row>
        <row r="4627">
          <cell r="B4627" t="str">
            <v>7</v>
          </cell>
          <cell r="AN4627">
            <v>79.400000000000006</v>
          </cell>
          <cell r="AP4627">
            <v>57</v>
          </cell>
        </row>
        <row r="4628">
          <cell r="B4628" t="str">
            <v>7</v>
          </cell>
          <cell r="AN4628">
            <v>241.54</v>
          </cell>
          <cell r="AP4628">
            <v>57</v>
          </cell>
        </row>
        <row r="4629">
          <cell r="B4629" t="str">
            <v>7</v>
          </cell>
          <cell r="AN4629">
            <v>313.14999999999998</v>
          </cell>
          <cell r="AP4629">
            <v>57</v>
          </cell>
        </row>
        <row r="4630">
          <cell r="B4630" t="str">
            <v>7</v>
          </cell>
          <cell r="AN4630">
            <v>215.60000000000002</v>
          </cell>
          <cell r="AP4630">
            <v>57</v>
          </cell>
        </row>
        <row r="4631">
          <cell r="B4631" t="str">
            <v>7</v>
          </cell>
          <cell r="AN4631">
            <v>168</v>
          </cell>
          <cell r="AP4631">
            <v>57</v>
          </cell>
        </row>
        <row r="4632">
          <cell r="B4632" t="str">
            <v>7</v>
          </cell>
          <cell r="AN4632">
            <v>218.10000000000002</v>
          </cell>
          <cell r="AP4632">
            <v>57</v>
          </cell>
        </row>
        <row r="4633">
          <cell r="B4633" t="str">
            <v>7</v>
          </cell>
          <cell r="AN4633">
            <v>100.9</v>
          </cell>
          <cell r="AP4633">
            <v>57</v>
          </cell>
        </row>
        <row r="4634">
          <cell r="B4634" t="str">
            <v>8</v>
          </cell>
          <cell r="AN4634">
            <v>556.1</v>
          </cell>
          <cell r="AP4634">
            <v>57</v>
          </cell>
        </row>
        <row r="4635">
          <cell r="B4635" t="str">
            <v>8</v>
          </cell>
          <cell r="AN4635">
            <v>470.1</v>
          </cell>
          <cell r="AP4635">
            <v>57</v>
          </cell>
        </row>
        <row r="4636">
          <cell r="B4636" t="str">
            <v>1</v>
          </cell>
          <cell r="AN4636">
            <v>195.42000000000002</v>
          </cell>
          <cell r="AP4636">
            <v>57</v>
          </cell>
        </row>
        <row r="4637">
          <cell r="B4637" t="str">
            <v>1</v>
          </cell>
          <cell r="AN4637">
            <v>180.94</v>
          </cell>
          <cell r="AP4637">
            <v>57</v>
          </cell>
        </row>
        <row r="4638">
          <cell r="B4638" t="str">
            <v>2</v>
          </cell>
          <cell r="AN4638">
            <v>185.67000000000002</v>
          </cell>
          <cell r="AP4638">
            <v>57</v>
          </cell>
        </row>
        <row r="4639">
          <cell r="B4639" t="str">
            <v>2</v>
          </cell>
          <cell r="AN4639">
            <v>151.30000000000001</v>
          </cell>
          <cell r="AP4639">
            <v>57</v>
          </cell>
        </row>
        <row r="4640">
          <cell r="B4640" t="str">
            <v>4</v>
          </cell>
          <cell r="AN4640">
            <v>257.3</v>
          </cell>
          <cell r="AP4640">
            <v>57</v>
          </cell>
        </row>
        <row r="4641">
          <cell r="B4641" t="str">
            <v>4</v>
          </cell>
          <cell r="AN4641">
            <v>106.2</v>
          </cell>
          <cell r="AP4641">
            <v>57</v>
          </cell>
        </row>
        <row r="4642">
          <cell r="B4642" t="str">
            <v>4</v>
          </cell>
          <cell r="AN4642">
            <v>151.39999999999998</v>
          </cell>
          <cell r="AP4642">
            <v>57</v>
          </cell>
        </row>
        <row r="4643">
          <cell r="B4643" t="str">
            <v>4</v>
          </cell>
          <cell r="AN4643">
            <v>161.80000000000001</v>
          </cell>
          <cell r="AP4643">
            <v>57</v>
          </cell>
        </row>
        <row r="4644">
          <cell r="B4644" t="str">
            <v>7</v>
          </cell>
          <cell r="AN4644">
            <v>548.15</v>
          </cell>
          <cell r="AP4644">
            <v>57</v>
          </cell>
        </row>
        <row r="4645">
          <cell r="B4645" t="str">
            <v>7</v>
          </cell>
          <cell r="AN4645">
            <v>82.35</v>
          </cell>
          <cell r="AP4645">
            <v>57</v>
          </cell>
        </row>
        <row r="4646">
          <cell r="B4646" t="str">
            <v>7</v>
          </cell>
          <cell r="AN4646">
            <v>378.70000000000005</v>
          </cell>
          <cell r="AP4646">
            <v>57</v>
          </cell>
        </row>
        <row r="4647">
          <cell r="B4647" t="str">
            <v>7</v>
          </cell>
          <cell r="AN4647">
            <v>111.8</v>
          </cell>
          <cell r="AP4647">
            <v>57</v>
          </cell>
        </row>
        <row r="4648">
          <cell r="B4648" t="str">
            <v>7</v>
          </cell>
          <cell r="AN4648">
            <v>47.25</v>
          </cell>
          <cell r="AP4648">
            <v>57</v>
          </cell>
        </row>
        <row r="4649">
          <cell r="B4649" t="str">
            <v>7</v>
          </cell>
          <cell r="AN4649">
            <v>111.9</v>
          </cell>
          <cell r="AP4649">
            <v>57</v>
          </cell>
        </row>
        <row r="4650">
          <cell r="B4650" t="str">
            <v>7</v>
          </cell>
          <cell r="AN4650">
            <v>100</v>
          </cell>
          <cell r="AP4650">
            <v>57</v>
          </cell>
        </row>
        <row r="4651">
          <cell r="B4651" t="str">
            <v>8</v>
          </cell>
          <cell r="AN4651">
            <v>347.75</v>
          </cell>
          <cell r="AP4651">
            <v>57</v>
          </cell>
        </row>
        <row r="4652">
          <cell r="B4652" t="str">
            <v>8</v>
          </cell>
          <cell r="AN4652">
            <v>55.1</v>
          </cell>
          <cell r="AP4652">
            <v>57</v>
          </cell>
        </row>
        <row r="4653">
          <cell r="B4653" t="str">
            <v>8</v>
          </cell>
          <cell r="AN4653">
            <v>79.7</v>
          </cell>
          <cell r="AP4653">
            <v>57</v>
          </cell>
        </row>
        <row r="4654">
          <cell r="B4654" t="str">
            <v>8</v>
          </cell>
          <cell r="AN4654">
            <v>125.85</v>
          </cell>
          <cell r="AP4654">
            <v>57</v>
          </cell>
        </row>
        <row r="4655">
          <cell r="B4655" t="str">
            <v>8</v>
          </cell>
          <cell r="AN4655">
            <v>228.2</v>
          </cell>
          <cell r="AP4655">
            <v>57</v>
          </cell>
        </row>
        <row r="4656">
          <cell r="B4656" t="str">
            <v>8</v>
          </cell>
          <cell r="AN4656">
            <v>123.3</v>
          </cell>
          <cell r="AP4656">
            <v>57</v>
          </cell>
        </row>
        <row r="4657">
          <cell r="B4657" t="str">
            <v>1</v>
          </cell>
          <cell r="AN4657">
            <v>115.7</v>
          </cell>
          <cell r="AP4657">
            <v>6</v>
          </cell>
        </row>
        <row r="4658">
          <cell r="B4658" t="str">
            <v>1</v>
          </cell>
          <cell r="AN4658">
            <v>99.37</v>
          </cell>
          <cell r="AP4658">
            <v>6</v>
          </cell>
        </row>
        <row r="4659">
          <cell r="B4659" t="str">
            <v>1</v>
          </cell>
          <cell r="AN4659">
            <v>109.38</v>
          </cell>
          <cell r="AP4659">
            <v>6</v>
          </cell>
        </row>
        <row r="4660">
          <cell r="B4660" t="str">
            <v>1</v>
          </cell>
          <cell r="AN4660">
            <v>126.22</v>
          </cell>
          <cell r="AP4660">
            <v>6</v>
          </cell>
        </row>
        <row r="4661">
          <cell r="B4661" t="str">
            <v>2</v>
          </cell>
          <cell r="AN4661">
            <v>123.1</v>
          </cell>
          <cell r="AP4661">
            <v>6</v>
          </cell>
        </row>
        <row r="4662">
          <cell r="B4662" t="str">
            <v>2</v>
          </cell>
          <cell r="AN4662">
            <v>32.200000000000003</v>
          </cell>
          <cell r="AP4662">
            <v>6</v>
          </cell>
        </row>
        <row r="4663">
          <cell r="B4663" t="str">
            <v>2</v>
          </cell>
          <cell r="AN4663">
            <v>150.1</v>
          </cell>
          <cell r="AP4663">
            <v>6</v>
          </cell>
        </row>
        <row r="4664">
          <cell r="B4664" t="str">
            <v>4</v>
          </cell>
          <cell r="AN4664">
            <v>237.01999999999998</v>
          </cell>
          <cell r="AP4664">
            <v>6</v>
          </cell>
        </row>
        <row r="4665">
          <cell r="B4665" t="str">
            <v>4</v>
          </cell>
          <cell r="AN4665">
            <v>152.60000000000002</v>
          </cell>
          <cell r="AP4665">
            <v>6</v>
          </cell>
        </row>
        <row r="4666">
          <cell r="B4666" t="str">
            <v>4</v>
          </cell>
          <cell r="AN4666">
            <v>156.80000000000001</v>
          </cell>
          <cell r="AP4666">
            <v>6</v>
          </cell>
        </row>
        <row r="4667">
          <cell r="B4667" t="str">
            <v>4</v>
          </cell>
          <cell r="AN4667">
            <v>166.55</v>
          </cell>
          <cell r="AP4667">
            <v>6</v>
          </cell>
        </row>
        <row r="4668">
          <cell r="B4668" t="str">
            <v>4</v>
          </cell>
          <cell r="AN4668">
            <v>83.95</v>
          </cell>
          <cell r="AP4668">
            <v>6</v>
          </cell>
        </row>
        <row r="4669">
          <cell r="B4669" t="str">
            <v>7</v>
          </cell>
          <cell r="AN4669">
            <v>143.6</v>
          </cell>
          <cell r="AP4669">
            <v>6</v>
          </cell>
        </row>
        <row r="4670">
          <cell r="B4670" t="str">
            <v>7</v>
          </cell>
          <cell r="AN4670">
            <v>147.19999999999999</v>
          </cell>
          <cell r="AP4670">
            <v>6</v>
          </cell>
        </row>
        <row r="4671">
          <cell r="B4671" t="str">
            <v>7</v>
          </cell>
          <cell r="AN4671">
            <v>232</v>
          </cell>
          <cell r="AP4671">
            <v>6</v>
          </cell>
        </row>
        <row r="4672">
          <cell r="B4672" t="str">
            <v>7</v>
          </cell>
          <cell r="AN4672">
            <v>846.41000000000008</v>
          </cell>
          <cell r="AP4672">
            <v>6</v>
          </cell>
        </row>
        <row r="4673">
          <cell r="B4673" t="str">
            <v>8</v>
          </cell>
          <cell r="AN4673">
            <v>332.32</v>
          </cell>
          <cell r="AP4673">
            <v>6</v>
          </cell>
        </row>
        <row r="4674">
          <cell r="B4674" t="str">
            <v>8</v>
          </cell>
          <cell r="AN4674">
            <v>125.6</v>
          </cell>
          <cell r="AP4674">
            <v>6</v>
          </cell>
        </row>
        <row r="4675">
          <cell r="B4675" t="str">
            <v>8</v>
          </cell>
          <cell r="AN4675">
            <v>95.45</v>
          </cell>
          <cell r="AP4675">
            <v>6</v>
          </cell>
        </row>
        <row r="4676">
          <cell r="B4676" t="str">
            <v>8</v>
          </cell>
          <cell r="AN4676">
            <v>432.2</v>
          </cell>
          <cell r="AP4676">
            <v>6</v>
          </cell>
        </row>
        <row r="4677">
          <cell r="B4677" t="str">
            <v>1</v>
          </cell>
          <cell r="AN4677">
            <v>136.30000000000001</v>
          </cell>
          <cell r="AP4677">
            <v>6</v>
          </cell>
        </row>
        <row r="4678">
          <cell r="B4678" t="str">
            <v>1</v>
          </cell>
          <cell r="AN4678">
            <v>61.9</v>
          </cell>
          <cell r="AP4678">
            <v>6</v>
          </cell>
        </row>
        <row r="4679">
          <cell r="B4679" t="str">
            <v>1</v>
          </cell>
          <cell r="AN4679">
            <v>189.25</v>
          </cell>
          <cell r="AP4679">
            <v>6</v>
          </cell>
        </row>
        <row r="4680">
          <cell r="B4680" t="str">
            <v>4</v>
          </cell>
          <cell r="AN4680">
            <v>140.69999999999999</v>
          </cell>
          <cell r="AP4680">
            <v>6</v>
          </cell>
        </row>
        <row r="4681">
          <cell r="B4681" t="str">
            <v>4</v>
          </cell>
          <cell r="AN4681">
            <v>264.2</v>
          </cell>
          <cell r="AP4681">
            <v>6</v>
          </cell>
        </row>
        <row r="4682">
          <cell r="B4682" t="str">
            <v>4</v>
          </cell>
          <cell r="AN4682">
            <v>94.9</v>
          </cell>
          <cell r="AP4682">
            <v>6</v>
          </cell>
        </row>
        <row r="4683">
          <cell r="B4683" t="str">
            <v>4</v>
          </cell>
          <cell r="AN4683">
            <v>357.6</v>
          </cell>
          <cell r="AP4683">
            <v>6</v>
          </cell>
        </row>
        <row r="4684">
          <cell r="B4684" t="str">
            <v>4</v>
          </cell>
          <cell r="AN4684">
            <v>123.30000000000001</v>
          </cell>
          <cell r="AP4684">
            <v>6</v>
          </cell>
        </row>
        <row r="4685">
          <cell r="B4685" t="str">
            <v>7</v>
          </cell>
          <cell r="AN4685">
            <v>746.39999999999986</v>
          </cell>
          <cell r="AP4685">
            <v>6</v>
          </cell>
        </row>
        <row r="4686">
          <cell r="B4686" t="str">
            <v>7</v>
          </cell>
          <cell r="AN4686">
            <v>116.30000000000001</v>
          </cell>
          <cell r="AP4686">
            <v>6</v>
          </cell>
        </row>
        <row r="4687">
          <cell r="B4687" t="str">
            <v>7</v>
          </cell>
          <cell r="AN4687">
            <v>169.15</v>
          </cell>
          <cell r="AP4687">
            <v>6</v>
          </cell>
        </row>
        <row r="4688">
          <cell r="B4688" t="str">
            <v>7</v>
          </cell>
          <cell r="AN4688">
            <v>561.05000000000007</v>
          </cell>
          <cell r="AP4688">
            <v>6</v>
          </cell>
        </row>
        <row r="4689">
          <cell r="B4689" t="str">
            <v>8</v>
          </cell>
          <cell r="AN4689">
            <v>333.13</v>
          </cell>
          <cell r="AP4689">
            <v>6</v>
          </cell>
        </row>
        <row r="4690">
          <cell r="B4690" t="str">
            <v>8</v>
          </cell>
          <cell r="AN4690">
            <v>88.4</v>
          </cell>
          <cell r="AP4690">
            <v>6</v>
          </cell>
        </row>
        <row r="4691">
          <cell r="B4691" t="str">
            <v>8</v>
          </cell>
          <cell r="AN4691">
            <v>299.8</v>
          </cell>
          <cell r="AP4691">
            <v>6</v>
          </cell>
        </row>
        <row r="4692">
          <cell r="B4692" t="str">
            <v>8</v>
          </cell>
          <cell r="AN4692">
            <v>117.2</v>
          </cell>
          <cell r="AP4692">
            <v>6</v>
          </cell>
        </row>
        <row r="4693">
          <cell r="B4693" t="str">
            <v>1</v>
          </cell>
          <cell r="AN4693">
            <v>81.349999999999994</v>
          </cell>
          <cell r="AP4693">
            <v>6</v>
          </cell>
        </row>
        <row r="4694">
          <cell r="B4694" t="str">
            <v>1</v>
          </cell>
          <cell r="AN4694">
            <v>114.2</v>
          </cell>
          <cell r="AP4694">
            <v>6</v>
          </cell>
        </row>
        <row r="4695">
          <cell r="B4695" t="str">
            <v>1</v>
          </cell>
          <cell r="AN4695">
            <v>182.20000000000002</v>
          </cell>
          <cell r="AP4695">
            <v>6</v>
          </cell>
        </row>
        <row r="4696">
          <cell r="B4696" t="str">
            <v>2</v>
          </cell>
          <cell r="AN4696">
            <v>106.6</v>
          </cell>
          <cell r="AP4696">
            <v>6</v>
          </cell>
        </row>
        <row r="4697">
          <cell r="B4697" t="str">
            <v>4</v>
          </cell>
          <cell r="AN4697">
            <v>119.69999999999999</v>
          </cell>
          <cell r="AP4697">
            <v>6</v>
          </cell>
        </row>
        <row r="4698">
          <cell r="B4698" t="str">
            <v>4</v>
          </cell>
          <cell r="AN4698">
            <v>37.4</v>
          </cell>
          <cell r="AP4698">
            <v>6</v>
          </cell>
        </row>
        <row r="4699">
          <cell r="B4699" t="str">
            <v>4</v>
          </cell>
          <cell r="AN4699">
            <v>109</v>
          </cell>
          <cell r="AP4699">
            <v>6</v>
          </cell>
        </row>
        <row r="4700">
          <cell r="B4700" t="str">
            <v>4</v>
          </cell>
          <cell r="AN4700">
            <v>182.5</v>
          </cell>
          <cell r="AP4700">
            <v>6</v>
          </cell>
        </row>
        <row r="4701">
          <cell r="B4701" t="str">
            <v>4</v>
          </cell>
          <cell r="AN4701">
            <v>115</v>
          </cell>
          <cell r="AP4701">
            <v>6</v>
          </cell>
        </row>
        <row r="4702">
          <cell r="B4702" t="str">
            <v>4</v>
          </cell>
          <cell r="AN4702">
            <v>185.10000000000002</v>
          </cell>
          <cell r="AP4702">
            <v>6</v>
          </cell>
        </row>
        <row r="4703">
          <cell r="B4703" t="str">
            <v>4</v>
          </cell>
          <cell r="AN4703">
            <v>110.1</v>
          </cell>
          <cell r="AP4703">
            <v>6</v>
          </cell>
        </row>
        <row r="4704">
          <cell r="B4704" t="str">
            <v>4</v>
          </cell>
          <cell r="AN4704">
            <v>49.7</v>
          </cell>
          <cell r="AP4704">
            <v>6</v>
          </cell>
        </row>
        <row r="4705">
          <cell r="B4705" t="str">
            <v>7</v>
          </cell>
          <cell r="AN4705">
            <v>743.80000000000007</v>
          </cell>
          <cell r="AP4705">
            <v>6</v>
          </cell>
        </row>
        <row r="4706">
          <cell r="B4706" t="str">
            <v>7</v>
          </cell>
          <cell r="AN4706">
            <v>718.6</v>
          </cell>
          <cell r="AP4706">
            <v>6</v>
          </cell>
        </row>
        <row r="4707">
          <cell r="B4707" t="str">
            <v>8</v>
          </cell>
          <cell r="AN4707">
            <v>61.5</v>
          </cell>
          <cell r="AP4707">
            <v>6</v>
          </cell>
        </row>
        <row r="4708">
          <cell r="B4708" t="str">
            <v>8</v>
          </cell>
          <cell r="AN4708">
            <v>117.15</v>
          </cell>
          <cell r="AP4708">
            <v>6</v>
          </cell>
        </row>
        <row r="4709">
          <cell r="B4709" t="str">
            <v>8</v>
          </cell>
          <cell r="AN4709">
            <v>150.5</v>
          </cell>
          <cell r="AP4709">
            <v>6</v>
          </cell>
        </row>
        <row r="4710">
          <cell r="B4710" t="str">
            <v>8</v>
          </cell>
          <cell r="AN4710">
            <v>110.2</v>
          </cell>
          <cell r="AP4710">
            <v>6</v>
          </cell>
        </row>
        <row r="4711">
          <cell r="B4711" t="str">
            <v>8</v>
          </cell>
          <cell r="AN4711">
            <v>156.85000000000002</v>
          </cell>
          <cell r="AP4711">
            <v>6</v>
          </cell>
        </row>
        <row r="4712">
          <cell r="B4712" t="str">
            <v>8</v>
          </cell>
          <cell r="AN4712">
            <v>191.7</v>
          </cell>
          <cell r="AP4712">
            <v>6</v>
          </cell>
        </row>
        <row r="4713">
          <cell r="B4713" t="str">
            <v>1</v>
          </cell>
          <cell r="AN4713">
            <v>170</v>
          </cell>
          <cell r="AP4713">
            <v>6</v>
          </cell>
        </row>
        <row r="4714">
          <cell r="B4714" t="str">
            <v>1</v>
          </cell>
          <cell r="AN4714">
            <v>163.9</v>
          </cell>
          <cell r="AP4714">
            <v>6</v>
          </cell>
        </row>
        <row r="4715">
          <cell r="B4715" t="str">
            <v>2</v>
          </cell>
          <cell r="AN4715">
            <v>167.8</v>
          </cell>
          <cell r="AP4715">
            <v>6</v>
          </cell>
        </row>
        <row r="4716">
          <cell r="B4716" t="str">
            <v>2</v>
          </cell>
          <cell r="AN4716">
            <v>160</v>
          </cell>
          <cell r="AP4716">
            <v>6</v>
          </cell>
        </row>
        <row r="4717">
          <cell r="B4717" t="str">
            <v>2</v>
          </cell>
          <cell r="AN4717">
            <v>32.9</v>
          </cell>
          <cell r="AP4717">
            <v>6</v>
          </cell>
        </row>
        <row r="4718">
          <cell r="B4718" t="str">
            <v>4</v>
          </cell>
          <cell r="AN4718">
            <v>329.3</v>
          </cell>
          <cell r="AP4718">
            <v>6</v>
          </cell>
        </row>
        <row r="4719">
          <cell r="B4719" t="str">
            <v>4</v>
          </cell>
          <cell r="AN4719">
            <v>170</v>
          </cell>
          <cell r="AP4719">
            <v>6</v>
          </cell>
        </row>
        <row r="4720">
          <cell r="B4720" t="str">
            <v>4</v>
          </cell>
          <cell r="AN4720">
            <v>112.5</v>
          </cell>
          <cell r="AP4720">
            <v>6</v>
          </cell>
        </row>
        <row r="4721">
          <cell r="B4721" t="str">
            <v>4</v>
          </cell>
          <cell r="AN4721">
            <v>146</v>
          </cell>
          <cell r="AP4721">
            <v>6</v>
          </cell>
        </row>
        <row r="4722">
          <cell r="B4722" t="str">
            <v>7</v>
          </cell>
          <cell r="AN4722">
            <v>281.39999999999998</v>
          </cell>
          <cell r="AP4722">
            <v>6</v>
          </cell>
        </row>
        <row r="4723">
          <cell r="B4723" t="str">
            <v>7</v>
          </cell>
          <cell r="AN4723">
            <v>426</v>
          </cell>
          <cell r="AP4723">
            <v>6</v>
          </cell>
        </row>
        <row r="4724">
          <cell r="B4724" t="str">
            <v>7</v>
          </cell>
          <cell r="AN4724">
            <v>692.3</v>
          </cell>
          <cell r="AP4724">
            <v>6</v>
          </cell>
        </row>
        <row r="4725">
          <cell r="B4725" t="str">
            <v>8</v>
          </cell>
          <cell r="AN4725">
            <v>303.45</v>
          </cell>
          <cell r="AP4725">
            <v>6</v>
          </cell>
        </row>
        <row r="4726">
          <cell r="B4726" t="str">
            <v>8</v>
          </cell>
          <cell r="AN4726">
            <v>90.5</v>
          </cell>
          <cell r="AP4726">
            <v>6</v>
          </cell>
        </row>
        <row r="4727">
          <cell r="B4727" t="str">
            <v>8</v>
          </cell>
          <cell r="AN4727">
            <v>133.5</v>
          </cell>
          <cell r="AP4727">
            <v>6</v>
          </cell>
        </row>
        <row r="4728">
          <cell r="B4728" t="str">
            <v>8</v>
          </cell>
          <cell r="AN4728">
            <v>58</v>
          </cell>
          <cell r="AP4728">
            <v>6</v>
          </cell>
        </row>
        <row r="4729">
          <cell r="B4729" t="str">
            <v>8</v>
          </cell>
          <cell r="AN4729">
            <v>80.5</v>
          </cell>
          <cell r="AP4729">
            <v>6</v>
          </cell>
        </row>
        <row r="4730">
          <cell r="B4730" t="str">
            <v>1</v>
          </cell>
          <cell r="AN4730">
            <v>63.9</v>
          </cell>
          <cell r="AP4730">
            <v>6</v>
          </cell>
        </row>
        <row r="4731">
          <cell r="B4731" t="str">
            <v>1</v>
          </cell>
          <cell r="AN4731">
            <v>67.900000000000006</v>
          </cell>
          <cell r="AP4731">
            <v>6</v>
          </cell>
        </row>
        <row r="4732">
          <cell r="B4732" t="str">
            <v>1</v>
          </cell>
          <cell r="AN4732">
            <v>143.32</v>
          </cell>
          <cell r="AP4732">
            <v>6</v>
          </cell>
        </row>
        <row r="4733">
          <cell r="B4733" t="str">
            <v>2</v>
          </cell>
          <cell r="AN4733">
            <v>41.9</v>
          </cell>
          <cell r="AP4733">
            <v>6</v>
          </cell>
        </row>
        <row r="4734">
          <cell r="B4734" t="str">
            <v>2</v>
          </cell>
          <cell r="AN4734">
            <v>105.4</v>
          </cell>
          <cell r="AP4734">
            <v>6</v>
          </cell>
        </row>
        <row r="4735">
          <cell r="B4735" t="str">
            <v>2</v>
          </cell>
          <cell r="AN4735">
            <v>112.2</v>
          </cell>
          <cell r="AP4735">
            <v>6</v>
          </cell>
        </row>
        <row r="4736">
          <cell r="B4736" t="str">
            <v>4</v>
          </cell>
          <cell r="AN4736">
            <v>135.5</v>
          </cell>
          <cell r="AP4736">
            <v>6</v>
          </cell>
        </row>
        <row r="4737">
          <cell r="B4737" t="str">
            <v>4</v>
          </cell>
          <cell r="AN4737">
            <v>217</v>
          </cell>
          <cell r="AP4737">
            <v>6</v>
          </cell>
        </row>
        <row r="4738">
          <cell r="B4738" t="str">
            <v>4</v>
          </cell>
          <cell r="AN4738">
            <v>90</v>
          </cell>
          <cell r="AP4738">
            <v>6</v>
          </cell>
        </row>
        <row r="4739">
          <cell r="B4739" t="str">
            <v>4</v>
          </cell>
          <cell r="AN4739">
            <v>137.5</v>
          </cell>
          <cell r="AP4739">
            <v>6</v>
          </cell>
        </row>
        <row r="4740">
          <cell r="B4740" t="str">
            <v>4</v>
          </cell>
          <cell r="AN4740">
            <v>54.5</v>
          </cell>
          <cell r="AP4740">
            <v>6</v>
          </cell>
        </row>
        <row r="4741">
          <cell r="B4741" t="str">
            <v>4</v>
          </cell>
          <cell r="AN4741">
            <v>119.80000000000001</v>
          </cell>
          <cell r="AP4741">
            <v>6</v>
          </cell>
        </row>
        <row r="4742">
          <cell r="B4742" t="str">
            <v>4</v>
          </cell>
          <cell r="AN4742">
            <v>64</v>
          </cell>
          <cell r="AP4742">
            <v>6</v>
          </cell>
        </row>
        <row r="4743">
          <cell r="B4743" t="str">
            <v>7</v>
          </cell>
          <cell r="AN4743">
            <v>550</v>
          </cell>
          <cell r="AP4743">
            <v>6</v>
          </cell>
        </row>
        <row r="4744">
          <cell r="B4744" t="str">
            <v>7</v>
          </cell>
          <cell r="AN4744">
            <v>441.4</v>
          </cell>
          <cell r="AP4744">
            <v>6</v>
          </cell>
        </row>
        <row r="4745">
          <cell r="B4745" t="str">
            <v>8</v>
          </cell>
          <cell r="AN4745">
            <v>493</v>
          </cell>
          <cell r="AP4745">
            <v>6</v>
          </cell>
        </row>
        <row r="4746">
          <cell r="B4746" t="str">
            <v>8</v>
          </cell>
          <cell r="AN4746">
            <v>416.5</v>
          </cell>
          <cell r="AP4746">
            <v>6</v>
          </cell>
        </row>
        <row r="4748">
          <cell r="B4748" t="str">
            <v>1</v>
          </cell>
          <cell r="AN4748">
            <v>100</v>
          </cell>
          <cell r="AP4748">
            <v>7</v>
          </cell>
        </row>
        <row r="4749">
          <cell r="B4749" t="str">
            <v>1</v>
          </cell>
          <cell r="AN4749">
            <v>72.5</v>
          </cell>
          <cell r="AP4749">
            <v>7</v>
          </cell>
        </row>
        <row r="4750">
          <cell r="B4750" t="str">
            <v>1</v>
          </cell>
          <cell r="AN4750">
            <v>77</v>
          </cell>
          <cell r="AP4750">
            <v>7</v>
          </cell>
        </row>
        <row r="4751">
          <cell r="B4751" t="str">
            <v>5</v>
          </cell>
          <cell r="AN4751">
            <v>450.1</v>
          </cell>
          <cell r="AP4751">
            <v>7</v>
          </cell>
        </row>
        <row r="4752">
          <cell r="B4752" t="str">
            <v>4</v>
          </cell>
          <cell r="AN4752">
            <v>97</v>
          </cell>
          <cell r="AP4752">
            <v>7</v>
          </cell>
        </row>
        <row r="4753">
          <cell r="B4753" t="str">
            <v>4</v>
          </cell>
          <cell r="AN4753">
            <v>171.5</v>
          </cell>
          <cell r="AP4753">
            <v>7</v>
          </cell>
        </row>
        <row r="4754">
          <cell r="B4754" t="str">
            <v>4</v>
          </cell>
          <cell r="AN4754">
            <v>47.5</v>
          </cell>
          <cell r="AP4754">
            <v>7</v>
          </cell>
        </row>
        <row r="4755">
          <cell r="B4755" t="str">
            <v>4</v>
          </cell>
          <cell r="AN4755">
            <v>392.5</v>
          </cell>
          <cell r="AP4755">
            <v>7</v>
          </cell>
        </row>
        <row r="4756">
          <cell r="B4756" t="str">
            <v>7</v>
          </cell>
          <cell r="AN4756">
            <v>80.599999999999994</v>
          </cell>
          <cell r="AP4756">
            <v>7</v>
          </cell>
        </row>
        <row r="4757">
          <cell r="B4757" t="str">
            <v>7</v>
          </cell>
          <cell r="AN4757">
            <v>349.5</v>
          </cell>
          <cell r="AP4757">
            <v>7</v>
          </cell>
        </row>
        <row r="4758">
          <cell r="B4758" t="str">
            <v>8</v>
          </cell>
          <cell r="AN4758">
            <v>358.9</v>
          </cell>
          <cell r="AP4758">
            <v>7</v>
          </cell>
        </row>
        <row r="4759">
          <cell r="B4759" t="str">
            <v>8</v>
          </cell>
          <cell r="AN4759">
            <v>557.5</v>
          </cell>
          <cell r="AP4759">
            <v>7</v>
          </cell>
        </row>
        <row r="4760">
          <cell r="B4760" t="str">
            <v>1</v>
          </cell>
          <cell r="AN4760">
            <v>75</v>
          </cell>
          <cell r="AP4760">
            <v>7</v>
          </cell>
        </row>
        <row r="4761">
          <cell r="B4761" t="str">
            <v>1</v>
          </cell>
          <cell r="AN4761">
            <v>117</v>
          </cell>
          <cell r="AP4761">
            <v>7</v>
          </cell>
        </row>
        <row r="4762">
          <cell r="B4762" t="str">
            <v>1</v>
          </cell>
          <cell r="AN4762">
            <v>185.7</v>
          </cell>
          <cell r="AP4762">
            <v>7</v>
          </cell>
        </row>
        <row r="4763">
          <cell r="B4763" t="str">
            <v>2</v>
          </cell>
          <cell r="AN4763">
            <v>112</v>
          </cell>
          <cell r="AP4763">
            <v>7</v>
          </cell>
        </row>
        <row r="4764">
          <cell r="B4764" t="str">
            <v>2</v>
          </cell>
          <cell r="AN4764">
            <v>46.5</v>
          </cell>
          <cell r="AP4764">
            <v>7</v>
          </cell>
        </row>
        <row r="4765">
          <cell r="B4765" t="str">
            <v>2</v>
          </cell>
          <cell r="AN4765">
            <v>106</v>
          </cell>
          <cell r="AP4765">
            <v>7</v>
          </cell>
        </row>
        <row r="4766">
          <cell r="B4766" t="str">
            <v>4</v>
          </cell>
          <cell r="AN4766">
            <v>511.5</v>
          </cell>
          <cell r="AP4766">
            <v>7</v>
          </cell>
        </row>
        <row r="4767">
          <cell r="B4767" t="str">
            <v>4</v>
          </cell>
          <cell r="AN4767">
            <v>147.5</v>
          </cell>
          <cell r="AP4767">
            <v>7</v>
          </cell>
        </row>
        <row r="4768">
          <cell r="B4768" t="str">
            <v>4</v>
          </cell>
          <cell r="AN4768">
            <v>207</v>
          </cell>
          <cell r="AP4768">
            <v>7</v>
          </cell>
        </row>
        <row r="4769">
          <cell r="B4769" t="str">
            <v>4</v>
          </cell>
          <cell r="AN4769">
            <v>58.6</v>
          </cell>
          <cell r="AP4769">
            <v>7</v>
          </cell>
        </row>
        <row r="4770">
          <cell r="B4770" t="str">
            <v>5</v>
          </cell>
          <cell r="AN4770">
            <v>110</v>
          </cell>
          <cell r="AP4770">
            <v>7</v>
          </cell>
        </row>
        <row r="4771">
          <cell r="B4771" t="str">
            <v>5</v>
          </cell>
          <cell r="AN4771">
            <v>115</v>
          </cell>
          <cell r="AP4771">
            <v>7</v>
          </cell>
        </row>
        <row r="4772">
          <cell r="B4772" t="str">
            <v>5</v>
          </cell>
          <cell r="AN4772">
            <v>60</v>
          </cell>
          <cell r="AP4772">
            <v>7</v>
          </cell>
        </row>
        <row r="4773">
          <cell r="B4773" t="str">
            <v>5</v>
          </cell>
          <cell r="AN4773">
            <v>110</v>
          </cell>
          <cell r="AP4773">
            <v>7</v>
          </cell>
        </row>
        <row r="4774">
          <cell r="B4774" t="str">
            <v>5</v>
          </cell>
          <cell r="AN4774">
            <v>38</v>
          </cell>
          <cell r="AP4774">
            <v>7</v>
          </cell>
        </row>
        <row r="4775">
          <cell r="B4775" t="str">
            <v>5</v>
          </cell>
          <cell r="AN4775">
            <v>340.5</v>
          </cell>
          <cell r="AP4775">
            <v>7</v>
          </cell>
        </row>
        <row r="4776">
          <cell r="B4776" t="str">
            <v>5</v>
          </cell>
          <cell r="AN4776">
            <v>51.5</v>
          </cell>
          <cell r="AP4776">
            <v>7</v>
          </cell>
        </row>
        <row r="4777">
          <cell r="B4777" t="str">
            <v>7</v>
          </cell>
          <cell r="AN4777">
            <v>187</v>
          </cell>
          <cell r="AP4777">
            <v>7</v>
          </cell>
        </row>
        <row r="4778">
          <cell r="B4778" t="str">
            <v>7</v>
          </cell>
          <cell r="AN4778">
            <v>626.5</v>
          </cell>
          <cell r="AP4778">
            <v>7</v>
          </cell>
        </row>
        <row r="4779">
          <cell r="B4779" t="str">
            <v>7</v>
          </cell>
          <cell r="AN4779">
            <v>604</v>
          </cell>
          <cell r="AP4779">
            <v>7</v>
          </cell>
        </row>
        <row r="4780">
          <cell r="B4780" t="str">
            <v>7</v>
          </cell>
          <cell r="AN4780">
            <v>329</v>
          </cell>
          <cell r="AP4780">
            <v>7</v>
          </cell>
        </row>
        <row r="4781">
          <cell r="B4781" t="str">
            <v>8</v>
          </cell>
          <cell r="AN4781">
            <v>78</v>
          </cell>
          <cell r="AP4781">
            <v>7</v>
          </cell>
        </row>
        <row r="4782">
          <cell r="B4782" t="str">
            <v>8</v>
          </cell>
          <cell r="AN4782">
            <v>131</v>
          </cell>
          <cell r="AP4782">
            <v>7</v>
          </cell>
        </row>
        <row r="4783">
          <cell r="B4783" t="str">
            <v>8</v>
          </cell>
          <cell r="AN4783">
            <v>305.5</v>
          </cell>
          <cell r="AP4783">
            <v>7</v>
          </cell>
        </row>
        <row r="4784">
          <cell r="B4784" t="str">
            <v>8</v>
          </cell>
          <cell r="AN4784">
            <v>128</v>
          </cell>
          <cell r="AP4784">
            <v>7</v>
          </cell>
        </row>
        <row r="4785">
          <cell r="B4785" t="str">
            <v>8</v>
          </cell>
          <cell r="AN4785">
            <v>109.5</v>
          </cell>
          <cell r="AP4785">
            <v>7</v>
          </cell>
        </row>
        <row r="4786">
          <cell r="B4786" t="str">
            <v>8</v>
          </cell>
          <cell r="AN4786">
            <v>119</v>
          </cell>
          <cell r="AP4786">
            <v>7</v>
          </cell>
        </row>
        <row r="4787">
          <cell r="B4787" t="str">
            <v>8</v>
          </cell>
          <cell r="AN4787">
            <v>110</v>
          </cell>
          <cell r="AP4787">
            <v>7</v>
          </cell>
        </row>
        <row r="4788">
          <cell r="B4788" t="str">
            <v>1</v>
          </cell>
          <cell r="AN4788">
            <v>202.6</v>
          </cell>
          <cell r="AP4788">
            <v>7</v>
          </cell>
        </row>
        <row r="4789">
          <cell r="B4789" t="str">
            <v>1</v>
          </cell>
          <cell r="AN4789">
            <v>118.1</v>
          </cell>
          <cell r="AP4789">
            <v>7</v>
          </cell>
        </row>
        <row r="4790">
          <cell r="B4790" t="str">
            <v>1</v>
          </cell>
          <cell r="AN4790">
            <v>127</v>
          </cell>
          <cell r="AP4790">
            <v>7</v>
          </cell>
        </row>
        <row r="4791">
          <cell r="B4791" t="str">
            <v>2</v>
          </cell>
          <cell r="AN4791">
            <v>116.5</v>
          </cell>
          <cell r="AP4791">
            <v>7</v>
          </cell>
        </row>
        <row r="4792">
          <cell r="B4792" t="str">
            <v>2</v>
          </cell>
          <cell r="AN4792">
            <v>60.4</v>
          </cell>
          <cell r="AP4792">
            <v>7</v>
          </cell>
        </row>
        <row r="4793">
          <cell r="B4793" t="str">
            <v>2</v>
          </cell>
          <cell r="AN4793">
            <v>55</v>
          </cell>
          <cell r="AP4793">
            <v>7</v>
          </cell>
        </row>
        <row r="4794">
          <cell r="B4794" t="str">
            <v>2</v>
          </cell>
          <cell r="AN4794">
            <v>56.3</v>
          </cell>
          <cell r="AP4794">
            <v>7</v>
          </cell>
        </row>
        <row r="4795">
          <cell r="B4795" t="str">
            <v>4</v>
          </cell>
          <cell r="AN4795">
            <v>91.5</v>
          </cell>
          <cell r="AP4795">
            <v>7</v>
          </cell>
        </row>
        <row r="4796">
          <cell r="B4796" t="str">
            <v>4</v>
          </cell>
          <cell r="AN4796">
            <v>212.5</v>
          </cell>
          <cell r="AP4796">
            <v>7</v>
          </cell>
        </row>
        <row r="4797">
          <cell r="B4797" t="str">
            <v>4</v>
          </cell>
          <cell r="AN4797">
            <v>136.5</v>
          </cell>
          <cell r="AP4797">
            <v>7</v>
          </cell>
        </row>
        <row r="4798">
          <cell r="B4798" t="str">
            <v>4</v>
          </cell>
          <cell r="AN4798">
            <v>79</v>
          </cell>
          <cell r="AP4798">
            <v>7</v>
          </cell>
        </row>
        <row r="4799">
          <cell r="B4799" t="str">
            <v>4</v>
          </cell>
          <cell r="AN4799">
            <v>114.5</v>
          </cell>
          <cell r="AP4799">
            <v>7</v>
          </cell>
        </row>
        <row r="4800">
          <cell r="B4800" t="str">
            <v>4</v>
          </cell>
          <cell r="AN4800">
            <v>99.5</v>
          </cell>
          <cell r="AP4800">
            <v>7</v>
          </cell>
        </row>
        <row r="4801">
          <cell r="B4801" t="str">
            <v>4</v>
          </cell>
          <cell r="AN4801">
            <v>50.5</v>
          </cell>
          <cell r="AP4801">
            <v>7</v>
          </cell>
        </row>
        <row r="4802">
          <cell r="B4802" t="str">
            <v>4</v>
          </cell>
          <cell r="AN4802">
            <v>70</v>
          </cell>
          <cell r="AP4802">
            <v>7</v>
          </cell>
        </row>
        <row r="4803">
          <cell r="B4803" t="str">
            <v>5</v>
          </cell>
          <cell r="AN4803">
            <v>145</v>
          </cell>
          <cell r="AP4803">
            <v>7</v>
          </cell>
        </row>
        <row r="4804">
          <cell r="B4804" t="str">
            <v>5</v>
          </cell>
          <cell r="AN4804">
            <v>216</v>
          </cell>
          <cell r="AP4804">
            <v>7</v>
          </cell>
        </row>
        <row r="4805">
          <cell r="B4805" t="str">
            <v>5</v>
          </cell>
          <cell r="AN4805">
            <v>321</v>
          </cell>
          <cell r="AP4805">
            <v>7</v>
          </cell>
        </row>
        <row r="4806">
          <cell r="B4806" t="str">
            <v>6</v>
          </cell>
          <cell r="AN4806">
            <v>394.9</v>
          </cell>
          <cell r="AP4806">
            <v>7</v>
          </cell>
        </row>
        <row r="4807">
          <cell r="B4807" t="str">
            <v>6</v>
          </cell>
          <cell r="AN4807">
            <v>655.4</v>
          </cell>
          <cell r="AP4807">
            <v>7</v>
          </cell>
        </row>
        <row r="4808">
          <cell r="B4808" t="str">
            <v>7</v>
          </cell>
          <cell r="AN4808">
            <v>112</v>
          </cell>
          <cell r="AP4808">
            <v>7</v>
          </cell>
        </row>
        <row r="4809">
          <cell r="B4809" t="str">
            <v>7</v>
          </cell>
          <cell r="AN4809">
            <v>134</v>
          </cell>
          <cell r="AP4809">
            <v>7</v>
          </cell>
        </row>
        <row r="4810">
          <cell r="B4810" t="str">
            <v>7</v>
          </cell>
          <cell r="AN4810">
            <v>120.5</v>
          </cell>
          <cell r="AP4810">
            <v>7</v>
          </cell>
        </row>
        <row r="4811">
          <cell r="B4811" t="str">
            <v>7</v>
          </cell>
          <cell r="AN4811">
            <v>59.5</v>
          </cell>
          <cell r="AP4811">
            <v>7</v>
          </cell>
        </row>
        <row r="4812">
          <cell r="B4812" t="str">
            <v>7</v>
          </cell>
          <cell r="AN4812">
            <v>113.5</v>
          </cell>
          <cell r="AP4812">
            <v>7</v>
          </cell>
        </row>
        <row r="4813">
          <cell r="B4813" t="str">
            <v>7</v>
          </cell>
          <cell r="AN4813">
            <v>114.5</v>
          </cell>
          <cell r="AP4813">
            <v>7</v>
          </cell>
        </row>
        <row r="4814">
          <cell r="B4814" t="str">
            <v>7</v>
          </cell>
          <cell r="AN4814">
            <v>846.5</v>
          </cell>
          <cell r="AP4814">
            <v>7</v>
          </cell>
        </row>
        <row r="4815">
          <cell r="B4815" t="str">
            <v>8</v>
          </cell>
          <cell r="AN4815">
            <v>112.5</v>
          </cell>
          <cell r="AP4815">
            <v>7</v>
          </cell>
        </row>
        <row r="4816">
          <cell r="B4816" t="str">
            <v>8</v>
          </cell>
          <cell r="AN4816">
            <v>113</v>
          </cell>
          <cell r="AP4816">
            <v>7</v>
          </cell>
        </row>
        <row r="4817">
          <cell r="B4817" t="str">
            <v>8</v>
          </cell>
          <cell r="AN4817">
            <v>133</v>
          </cell>
          <cell r="AP4817">
            <v>7</v>
          </cell>
        </row>
        <row r="4818">
          <cell r="B4818" t="str">
            <v>8</v>
          </cell>
          <cell r="AN4818">
            <v>73</v>
          </cell>
          <cell r="AP4818">
            <v>7</v>
          </cell>
        </row>
        <row r="4819">
          <cell r="B4819" t="str">
            <v>8</v>
          </cell>
          <cell r="AN4819">
            <v>67</v>
          </cell>
          <cell r="AP4819">
            <v>7</v>
          </cell>
        </row>
        <row r="4820">
          <cell r="B4820" t="str">
            <v>8</v>
          </cell>
          <cell r="AN4820">
            <v>125</v>
          </cell>
          <cell r="AP4820">
            <v>7</v>
          </cell>
        </row>
        <row r="4821">
          <cell r="B4821" t="str">
            <v>8</v>
          </cell>
          <cell r="AN4821">
            <v>164</v>
          </cell>
          <cell r="AP4821">
            <v>7</v>
          </cell>
        </row>
        <row r="4822">
          <cell r="B4822" t="str">
            <v>1</v>
          </cell>
          <cell r="AN4822">
            <v>200.4</v>
          </cell>
          <cell r="AP4822">
            <v>7</v>
          </cell>
        </row>
        <row r="4823">
          <cell r="B4823" t="str">
            <v>1</v>
          </cell>
          <cell r="AN4823">
            <v>212</v>
          </cell>
          <cell r="AP4823">
            <v>7</v>
          </cell>
        </row>
        <row r="4824">
          <cell r="B4824" t="str">
            <v>2</v>
          </cell>
          <cell r="AN4824">
            <v>95.199999999999989</v>
          </cell>
          <cell r="AP4824">
            <v>7</v>
          </cell>
        </row>
        <row r="4825">
          <cell r="B4825" t="str">
            <v>2</v>
          </cell>
          <cell r="AN4825">
            <v>82</v>
          </cell>
          <cell r="AP4825">
            <v>7</v>
          </cell>
        </row>
        <row r="4826">
          <cell r="B4826" t="str">
            <v>4</v>
          </cell>
          <cell r="AN4826">
            <v>153.5</v>
          </cell>
          <cell r="AP4826">
            <v>7</v>
          </cell>
        </row>
        <row r="4827">
          <cell r="B4827" t="str">
            <v>4</v>
          </cell>
          <cell r="AN4827">
            <v>142</v>
          </cell>
          <cell r="AP4827">
            <v>7</v>
          </cell>
        </row>
        <row r="4828">
          <cell r="B4828" t="str">
            <v>4</v>
          </cell>
          <cell r="AN4828">
            <v>65</v>
          </cell>
          <cell r="AP4828">
            <v>7</v>
          </cell>
        </row>
        <row r="4829">
          <cell r="B4829" t="str">
            <v>4</v>
          </cell>
          <cell r="AN4829">
            <v>276.5</v>
          </cell>
          <cell r="AP4829">
            <v>7</v>
          </cell>
        </row>
        <row r="4830">
          <cell r="B4830" t="str">
            <v>5</v>
          </cell>
          <cell r="AN4830">
            <v>487.5</v>
          </cell>
          <cell r="AP4830">
            <v>7</v>
          </cell>
        </row>
        <row r="4831">
          <cell r="B4831" t="str">
            <v>5</v>
          </cell>
          <cell r="AN4831">
            <v>219</v>
          </cell>
          <cell r="AP4831">
            <v>7</v>
          </cell>
        </row>
        <row r="4832">
          <cell r="B4832" t="str">
            <v>5</v>
          </cell>
          <cell r="AN4832">
            <v>72</v>
          </cell>
          <cell r="AP4832">
            <v>7</v>
          </cell>
        </row>
        <row r="4833">
          <cell r="B4833" t="str">
            <v>5</v>
          </cell>
          <cell r="AN4833">
            <v>77.5</v>
          </cell>
          <cell r="AP4833">
            <v>7</v>
          </cell>
        </row>
        <row r="4834">
          <cell r="B4834" t="str">
            <v>5</v>
          </cell>
          <cell r="AN4834">
            <v>78</v>
          </cell>
          <cell r="AP4834">
            <v>7</v>
          </cell>
        </row>
        <row r="4835">
          <cell r="B4835" t="str">
            <v>6</v>
          </cell>
          <cell r="AN4835">
            <v>591.29999999999995</v>
          </cell>
          <cell r="AP4835">
            <v>7</v>
          </cell>
        </row>
        <row r="4836">
          <cell r="B4836" t="str">
            <v>6</v>
          </cell>
          <cell r="AN4836">
            <v>578</v>
          </cell>
          <cell r="AP4836">
            <v>7</v>
          </cell>
        </row>
        <row r="4837">
          <cell r="B4837" t="str">
            <v>7</v>
          </cell>
          <cell r="AN4837">
            <v>814.6</v>
          </cell>
          <cell r="AP4837">
            <v>7</v>
          </cell>
        </row>
        <row r="4838">
          <cell r="B4838" t="str">
            <v>7</v>
          </cell>
          <cell r="AN4838">
            <v>751</v>
          </cell>
          <cell r="AP4838">
            <v>7</v>
          </cell>
        </row>
        <row r="4839">
          <cell r="B4839" t="str">
            <v>8</v>
          </cell>
          <cell r="AN4839">
            <v>57.5</v>
          </cell>
          <cell r="AP4839">
            <v>7</v>
          </cell>
        </row>
        <row r="4840">
          <cell r="B4840" t="str">
            <v>8</v>
          </cell>
          <cell r="AN4840">
            <v>114</v>
          </cell>
          <cell r="AP4840">
            <v>7</v>
          </cell>
        </row>
        <row r="4841">
          <cell r="B4841" t="str">
            <v>8</v>
          </cell>
          <cell r="AN4841">
            <v>341.5</v>
          </cell>
          <cell r="AP4841">
            <v>7</v>
          </cell>
        </row>
        <row r="4842">
          <cell r="B4842" t="str">
            <v>8</v>
          </cell>
          <cell r="AN4842">
            <v>481.5</v>
          </cell>
          <cell r="AP4842">
            <v>7</v>
          </cell>
        </row>
        <row r="4843">
          <cell r="B4843" t="str">
            <v>1</v>
          </cell>
          <cell r="AN4843">
            <v>204.4</v>
          </cell>
          <cell r="AP4843">
            <v>7</v>
          </cell>
        </row>
        <row r="4844">
          <cell r="B4844" t="str">
            <v>1</v>
          </cell>
          <cell r="AN4844">
            <v>202.05</v>
          </cell>
          <cell r="AP4844">
            <v>7</v>
          </cell>
        </row>
        <row r="4845">
          <cell r="B4845" t="str">
            <v>2</v>
          </cell>
          <cell r="AN4845">
            <v>111.6</v>
          </cell>
          <cell r="AP4845">
            <v>7</v>
          </cell>
        </row>
        <row r="4846">
          <cell r="B4846" t="str">
            <v>2</v>
          </cell>
          <cell r="AN4846">
            <v>85.7</v>
          </cell>
          <cell r="AP4846">
            <v>7</v>
          </cell>
        </row>
        <row r="4847">
          <cell r="B4847" t="str">
            <v>4</v>
          </cell>
          <cell r="AN4847">
            <v>162</v>
          </cell>
          <cell r="AP4847">
            <v>7</v>
          </cell>
        </row>
        <row r="4848">
          <cell r="B4848" t="str">
            <v>4</v>
          </cell>
          <cell r="AN4848">
            <v>318.5</v>
          </cell>
          <cell r="AP4848">
            <v>7</v>
          </cell>
        </row>
        <row r="4849">
          <cell r="B4849" t="str">
            <v>4</v>
          </cell>
          <cell r="AN4849">
            <v>39</v>
          </cell>
          <cell r="AP4849">
            <v>7</v>
          </cell>
        </row>
        <row r="4850">
          <cell r="B4850" t="str">
            <v>4</v>
          </cell>
          <cell r="AN4850">
            <v>176.5</v>
          </cell>
          <cell r="AP4850">
            <v>7</v>
          </cell>
        </row>
        <row r="4851">
          <cell r="B4851" t="str">
            <v>4</v>
          </cell>
          <cell r="AN4851">
            <v>400</v>
          </cell>
          <cell r="AP4851">
            <v>7</v>
          </cell>
        </row>
        <row r="4852">
          <cell r="B4852" t="str">
            <v>5</v>
          </cell>
          <cell r="AN4852">
            <v>122.5</v>
          </cell>
          <cell r="AP4852">
            <v>7</v>
          </cell>
        </row>
        <row r="4853">
          <cell r="B4853" t="str">
            <v>5</v>
          </cell>
          <cell r="AN4853">
            <v>168.5</v>
          </cell>
          <cell r="AP4853">
            <v>7</v>
          </cell>
        </row>
        <row r="4854">
          <cell r="B4854" t="str">
            <v>5</v>
          </cell>
          <cell r="AN4854">
            <v>146.5</v>
          </cell>
          <cell r="AP4854">
            <v>7</v>
          </cell>
        </row>
        <row r="4855">
          <cell r="B4855" t="str">
            <v>5</v>
          </cell>
          <cell r="AN4855">
            <v>108.5</v>
          </cell>
          <cell r="AP4855">
            <v>7</v>
          </cell>
        </row>
        <row r="4856">
          <cell r="B4856" t="str">
            <v>5</v>
          </cell>
          <cell r="AN4856">
            <v>218</v>
          </cell>
          <cell r="AP4856">
            <v>7</v>
          </cell>
        </row>
        <row r="4857">
          <cell r="B4857" t="str">
            <v>5</v>
          </cell>
          <cell r="AN4857">
            <v>59</v>
          </cell>
          <cell r="AP4857">
            <v>7</v>
          </cell>
        </row>
        <row r="4858">
          <cell r="B4858" t="str">
            <v>6</v>
          </cell>
          <cell r="AN4858">
            <v>600</v>
          </cell>
          <cell r="AP4858">
            <v>7</v>
          </cell>
        </row>
        <row r="4859">
          <cell r="B4859" t="str">
            <v>6</v>
          </cell>
          <cell r="AN4859">
            <v>71</v>
          </cell>
          <cell r="AP4859">
            <v>7</v>
          </cell>
        </row>
        <row r="4860">
          <cell r="B4860" t="str">
            <v>6</v>
          </cell>
          <cell r="AN4860">
            <v>646.9</v>
          </cell>
          <cell r="AP4860">
            <v>7</v>
          </cell>
        </row>
        <row r="4861">
          <cell r="B4861" t="str">
            <v>7</v>
          </cell>
          <cell r="AN4861">
            <v>886.9</v>
          </cell>
          <cell r="AP4861">
            <v>7</v>
          </cell>
        </row>
        <row r="4862">
          <cell r="B4862" t="str">
            <v>7</v>
          </cell>
          <cell r="AN4862">
            <v>859</v>
          </cell>
          <cell r="AP4862">
            <v>7</v>
          </cell>
        </row>
        <row r="4863">
          <cell r="B4863" t="str">
            <v>8</v>
          </cell>
          <cell r="AN4863">
            <v>83</v>
          </cell>
          <cell r="AP4863">
            <v>7</v>
          </cell>
        </row>
        <row r="4864">
          <cell r="B4864" t="str">
            <v>8</v>
          </cell>
          <cell r="AN4864">
            <v>357.5</v>
          </cell>
          <cell r="AP4864">
            <v>7</v>
          </cell>
        </row>
        <row r="4865">
          <cell r="B4865" t="str">
            <v>8</v>
          </cell>
          <cell r="AN4865">
            <v>82</v>
          </cell>
          <cell r="AP4865">
            <v>7</v>
          </cell>
        </row>
        <row r="4866">
          <cell r="B4866" t="str">
            <v>8</v>
          </cell>
          <cell r="AN4866">
            <v>31.5</v>
          </cell>
          <cell r="AP4866">
            <v>7</v>
          </cell>
        </row>
        <row r="4867">
          <cell r="B4867" t="str">
            <v>8</v>
          </cell>
          <cell r="AN4867">
            <v>105</v>
          </cell>
          <cell r="AP4867">
            <v>7</v>
          </cell>
        </row>
        <row r="4868">
          <cell r="B4868" t="str">
            <v>8</v>
          </cell>
          <cell r="AN4868">
            <v>316</v>
          </cell>
          <cell r="AP4868">
            <v>7</v>
          </cell>
        </row>
        <row r="4869">
          <cell r="B4869" t="str">
            <v>1</v>
          </cell>
          <cell r="AN4869">
            <v>170.5</v>
          </cell>
          <cell r="AP4869">
            <v>7</v>
          </cell>
        </row>
        <row r="4870">
          <cell r="B4870" t="str">
            <v>1</v>
          </cell>
          <cell r="AN4870">
            <v>112.8</v>
          </cell>
          <cell r="AP4870">
            <v>7</v>
          </cell>
        </row>
        <row r="4871">
          <cell r="B4871" t="str">
            <v>2</v>
          </cell>
          <cell r="AN4871">
            <v>33.5</v>
          </cell>
          <cell r="AP4871">
            <v>7</v>
          </cell>
        </row>
        <row r="4872">
          <cell r="B4872" t="str">
            <v>2</v>
          </cell>
          <cell r="AN4872">
            <v>103.80000000000001</v>
          </cell>
          <cell r="AP4872">
            <v>7</v>
          </cell>
        </row>
        <row r="4873">
          <cell r="B4873" t="str">
            <v>2</v>
          </cell>
          <cell r="AN4873">
            <v>48.9</v>
          </cell>
          <cell r="AP4873">
            <v>7</v>
          </cell>
        </row>
        <row r="4874">
          <cell r="B4874" t="str">
            <v>2</v>
          </cell>
          <cell r="AN4874">
            <v>65.5</v>
          </cell>
          <cell r="AP4874">
            <v>7</v>
          </cell>
        </row>
        <row r="4875">
          <cell r="B4875" t="str">
            <v>4</v>
          </cell>
          <cell r="AN4875">
            <v>134.5</v>
          </cell>
          <cell r="AP4875">
            <v>7</v>
          </cell>
        </row>
        <row r="4876">
          <cell r="B4876" t="str">
            <v>4</v>
          </cell>
          <cell r="AN4876">
            <v>107</v>
          </cell>
          <cell r="AP4876">
            <v>7</v>
          </cell>
        </row>
        <row r="4877">
          <cell r="B4877" t="str">
            <v>4</v>
          </cell>
          <cell r="AN4877">
            <v>117.5</v>
          </cell>
          <cell r="AP4877">
            <v>7</v>
          </cell>
        </row>
        <row r="4878">
          <cell r="B4878" t="str">
            <v>4</v>
          </cell>
          <cell r="AN4878">
            <v>110</v>
          </cell>
          <cell r="AP4878">
            <v>7</v>
          </cell>
        </row>
        <row r="4879">
          <cell r="B4879" t="str">
            <v>4</v>
          </cell>
          <cell r="AN4879">
            <v>121.5</v>
          </cell>
          <cell r="AP4879">
            <v>7</v>
          </cell>
        </row>
        <row r="4880">
          <cell r="B4880" t="str">
            <v>4</v>
          </cell>
          <cell r="AN4880">
            <v>127</v>
          </cell>
          <cell r="AP4880">
            <v>7</v>
          </cell>
        </row>
        <row r="4881">
          <cell r="B4881" t="str">
            <v>4</v>
          </cell>
          <cell r="AN4881">
            <v>113</v>
          </cell>
          <cell r="AP4881">
            <v>7</v>
          </cell>
        </row>
        <row r="4882">
          <cell r="B4882" t="str">
            <v>5</v>
          </cell>
          <cell r="AN4882">
            <v>408</v>
          </cell>
          <cell r="AP4882">
            <v>7</v>
          </cell>
        </row>
        <row r="4883">
          <cell r="B4883" t="str">
            <v>5</v>
          </cell>
          <cell r="AN4883">
            <v>191</v>
          </cell>
          <cell r="AP4883">
            <v>7</v>
          </cell>
        </row>
        <row r="4884">
          <cell r="B4884" t="str">
            <v>6</v>
          </cell>
          <cell r="AN4884">
            <v>580</v>
          </cell>
          <cell r="AP4884">
            <v>7</v>
          </cell>
        </row>
        <row r="4885">
          <cell r="B4885" t="str">
            <v>6</v>
          </cell>
          <cell r="AN4885">
            <v>208.5</v>
          </cell>
          <cell r="AP4885">
            <v>7</v>
          </cell>
        </row>
        <row r="4886">
          <cell r="B4886" t="str">
            <v>6</v>
          </cell>
          <cell r="AN4886">
            <v>131</v>
          </cell>
          <cell r="AP4886">
            <v>7</v>
          </cell>
        </row>
        <row r="4887">
          <cell r="B4887" t="str">
            <v>7</v>
          </cell>
          <cell r="AN4887">
            <v>854</v>
          </cell>
          <cell r="AP4887">
            <v>7</v>
          </cell>
        </row>
        <row r="4888">
          <cell r="B4888" t="str">
            <v>7</v>
          </cell>
          <cell r="AN4888">
            <v>109.5</v>
          </cell>
          <cell r="AP4888">
            <v>7</v>
          </cell>
        </row>
        <row r="4889">
          <cell r="B4889" t="str">
            <v>7</v>
          </cell>
          <cell r="AN4889">
            <v>380</v>
          </cell>
          <cell r="AP4889">
            <v>7</v>
          </cell>
        </row>
        <row r="4890">
          <cell r="B4890" t="str">
            <v>7</v>
          </cell>
          <cell r="AN4890">
            <v>114.5</v>
          </cell>
          <cell r="AP4890">
            <v>7</v>
          </cell>
        </row>
        <row r="4891">
          <cell r="B4891" t="str">
            <v>7</v>
          </cell>
          <cell r="AN4891">
            <v>116.5</v>
          </cell>
          <cell r="AP4891">
            <v>7</v>
          </cell>
        </row>
        <row r="4892">
          <cell r="B4892" t="str">
            <v>7</v>
          </cell>
          <cell r="AN4892">
            <v>64.5</v>
          </cell>
          <cell r="AP4892">
            <v>7</v>
          </cell>
        </row>
        <row r="4893">
          <cell r="B4893" t="str">
            <v>8</v>
          </cell>
          <cell r="AN4893">
            <v>331</v>
          </cell>
          <cell r="AP4893">
            <v>7</v>
          </cell>
        </row>
        <row r="4894">
          <cell r="B4894" t="str">
            <v>8</v>
          </cell>
          <cell r="AN4894">
            <v>301.3</v>
          </cell>
          <cell r="AP4894">
            <v>7</v>
          </cell>
        </row>
        <row r="4895">
          <cell r="B4895" t="str">
            <v>1</v>
          </cell>
          <cell r="AN4895">
            <v>162</v>
          </cell>
          <cell r="AP4895">
            <v>7</v>
          </cell>
        </row>
        <row r="4896">
          <cell r="B4896" t="str">
            <v>1</v>
          </cell>
          <cell r="AN4896">
            <v>187</v>
          </cell>
          <cell r="AP4896">
            <v>7</v>
          </cell>
        </row>
        <row r="4897">
          <cell r="B4897" t="str">
            <v>2</v>
          </cell>
          <cell r="AN4897">
            <v>162.69999999999999</v>
          </cell>
          <cell r="AP4897">
            <v>7</v>
          </cell>
        </row>
        <row r="4898">
          <cell r="B4898" t="str">
            <v>2</v>
          </cell>
          <cell r="AN4898">
            <v>216.5</v>
          </cell>
          <cell r="AP4898">
            <v>7</v>
          </cell>
        </row>
        <row r="4899">
          <cell r="B4899" t="str">
            <v>4</v>
          </cell>
          <cell r="AN4899">
            <v>397</v>
          </cell>
          <cell r="AP4899">
            <v>7</v>
          </cell>
        </row>
        <row r="4900">
          <cell r="B4900" t="str">
            <v>4</v>
          </cell>
          <cell r="AN4900">
            <v>167.5</v>
          </cell>
          <cell r="AP4900">
            <v>7</v>
          </cell>
        </row>
        <row r="4901">
          <cell r="B4901" t="str">
            <v>4</v>
          </cell>
          <cell r="AN4901">
            <v>135</v>
          </cell>
          <cell r="AP4901">
            <v>7</v>
          </cell>
        </row>
        <row r="4902">
          <cell r="B4902" t="str">
            <v>5</v>
          </cell>
          <cell r="AN4902">
            <v>398.5</v>
          </cell>
          <cell r="AP4902">
            <v>7</v>
          </cell>
        </row>
        <row r="4903">
          <cell r="B4903" t="str">
            <v>5</v>
          </cell>
          <cell r="AN4903">
            <v>261</v>
          </cell>
          <cell r="AP4903">
            <v>7</v>
          </cell>
        </row>
        <row r="4904">
          <cell r="B4904" t="str">
            <v>5</v>
          </cell>
          <cell r="AN4904">
            <v>139.5</v>
          </cell>
          <cell r="AP4904">
            <v>7</v>
          </cell>
        </row>
        <row r="4905">
          <cell r="B4905" t="str">
            <v>5</v>
          </cell>
          <cell r="AN4905">
            <v>120.5</v>
          </cell>
          <cell r="AP4905">
            <v>7</v>
          </cell>
        </row>
        <row r="4906">
          <cell r="B4906" t="str">
            <v>6</v>
          </cell>
          <cell r="AN4906">
            <v>684</v>
          </cell>
          <cell r="AP4906">
            <v>7</v>
          </cell>
        </row>
        <row r="4907">
          <cell r="B4907" t="str">
            <v>6</v>
          </cell>
          <cell r="AN4907">
            <v>690.9</v>
          </cell>
          <cell r="AP4907">
            <v>7</v>
          </cell>
        </row>
        <row r="4908">
          <cell r="B4908" t="str">
            <v>7</v>
          </cell>
          <cell r="AN4908">
            <v>57.5</v>
          </cell>
          <cell r="AP4908">
            <v>7</v>
          </cell>
        </row>
        <row r="4909">
          <cell r="B4909" t="str">
            <v>7</v>
          </cell>
          <cell r="AN4909">
            <v>112.5</v>
          </cell>
          <cell r="AP4909">
            <v>7</v>
          </cell>
        </row>
        <row r="4910">
          <cell r="B4910" t="str">
            <v>7</v>
          </cell>
          <cell r="AN4910">
            <v>102</v>
          </cell>
          <cell r="AP4910">
            <v>7</v>
          </cell>
        </row>
        <row r="4911">
          <cell r="B4911" t="str">
            <v>7</v>
          </cell>
          <cell r="AN4911">
            <v>114</v>
          </cell>
          <cell r="AP4911">
            <v>7</v>
          </cell>
        </row>
        <row r="4912">
          <cell r="B4912" t="str">
            <v>7</v>
          </cell>
          <cell r="AN4912">
            <v>112</v>
          </cell>
          <cell r="AP4912">
            <v>7</v>
          </cell>
        </row>
        <row r="4913">
          <cell r="B4913" t="str">
            <v>7</v>
          </cell>
          <cell r="AN4913">
            <v>102</v>
          </cell>
          <cell r="AP4913">
            <v>7</v>
          </cell>
        </row>
        <row r="4914">
          <cell r="B4914" t="str">
            <v>7</v>
          </cell>
          <cell r="AN4914">
            <v>395</v>
          </cell>
          <cell r="AP4914">
            <v>7</v>
          </cell>
        </row>
        <row r="4915">
          <cell r="B4915" t="str">
            <v>7</v>
          </cell>
          <cell r="AN4915">
            <v>144.5</v>
          </cell>
          <cell r="AP4915">
            <v>7</v>
          </cell>
        </row>
        <row r="4916">
          <cell r="B4916" t="str">
            <v>7</v>
          </cell>
          <cell r="AN4916">
            <v>203.10000000000002</v>
          </cell>
          <cell r="AP4916">
            <v>7</v>
          </cell>
        </row>
        <row r="4917">
          <cell r="B4917" t="str">
            <v>8</v>
          </cell>
          <cell r="AN4917">
            <v>298</v>
          </cell>
          <cell r="AP4917">
            <v>7</v>
          </cell>
        </row>
        <row r="4918">
          <cell r="B4918" t="str">
            <v>8</v>
          </cell>
          <cell r="AN4918">
            <v>59.5</v>
          </cell>
          <cell r="AP4918">
            <v>7</v>
          </cell>
        </row>
        <row r="4919">
          <cell r="B4919" t="str">
            <v>8</v>
          </cell>
          <cell r="AN4919">
            <v>342.5</v>
          </cell>
          <cell r="AP4919">
            <v>7</v>
          </cell>
        </row>
        <row r="4920">
          <cell r="B4920" t="str">
            <v>1</v>
          </cell>
          <cell r="AN4920">
            <v>51.8</v>
          </cell>
          <cell r="AP4920">
            <v>8</v>
          </cell>
        </row>
        <row r="4921">
          <cell r="B4921" t="str">
            <v>1</v>
          </cell>
          <cell r="AN4921">
            <v>96.6</v>
          </cell>
          <cell r="AP4921">
            <v>8</v>
          </cell>
        </row>
        <row r="4922">
          <cell r="B4922" t="str">
            <v>1</v>
          </cell>
          <cell r="AN4922">
            <v>46.4</v>
          </cell>
          <cell r="AP4922">
            <v>8</v>
          </cell>
        </row>
        <row r="4923">
          <cell r="B4923" t="str">
            <v>1</v>
          </cell>
          <cell r="AN4923">
            <v>45.5</v>
          </cell>
          <cell r="AP4923">
            <v>8</v>
          </cell>
        </row>
        <row r="4924">
          <cell r="B4924" t="str">
            <v>1</v>
          </cell>
          <cell r="AN4924">
            <v>69.099999999999994</v>
          </cell>
          <cell r="AP4924">
            <v>8</v>
          </cell>
        </row>
        <row r="4925">
          <cell r="B4925" t="str">
            <v>2</v>
          </cell>
          <cell r="AN4925">
            <v>187</v>
          </cell>
          <cell r="AP4925">
            <v>8</v>
          </cell>
        </row>
        <row r="4926">
          <cell r="B4926" t="str">
            <v>2</v>
          </cell>
          <cell r="AN4926">
            <v>120.5</v>
          </cell>
          <cell r="AP4926">
            <v>8</v>
          </cell>
        </row>
        <row r="4927">
          <cell r="B4927" t="str">
            <v>2</v>
          </cell>
          <cell r="AN4927">
            <v>79.7</v>
          </cell>
          <cell r="AP4927">
            <v>8</v>
          </cell>
        </row>
        <row r="4928">
          <cell r="B4928" t="str">
            <v>4</v>
          </cell>
          <cell r="AN4928">
            <v>186.5</v>
          </cell>
          <cell r="AP4928">
            <v>8</v>
          </cell>
        </row>
        <row r="4929">
          <cell r="B4929" t="str">
            <v>4</v>
          </cell>
          <cell r="AN4929">
            <v>84.6</v>
          </cell>
          <cell r="AP4929">
            <v>8</v>
          </cell>
        </row>
        <row r="4930">
          <cell r="B4930" t="str">
            <v>4</v>
          </cell>
          <cell r="AN4930">
            <v>99</v>
          </cell>
          <cell r="AP4930">
            <v>8</v>
          </cell>
        </row>
        <row r="4931">
          <cell r="B4931" t="str">
            <v>4</v>
          </cell>
          <cell r="AN4931">
            <v>55.5</v>
          </cell>
          <cell r="AP4931">
            <v>8</v>
          </cell>
        </row>
        <row r="4932">
          <cell r="B4932" t="str">
            <v>4</v>
          </cell>
          <cell r="AN4932">
            <v>59</v>
          </cell>
          <cell r="AP4932">
            <v>8</v>
          </cell>
        </row>
        <row r="4933">
          <cell r="B4933" t="str">
            <v>4</v>
          </cell>
          <cell r="AN4933">
            <v>117</v>
          </cell>
          <cell r="AP4933">
            <v>8</v>
          </cell>
        </row>
        <row r="4934">
          <cell r="B4934" t="str">
            <v>4</v>
          </cell>
          <cell r="AN4934">
            <v>123.5</v>
          </cell>
          <cell r="AP4934">
            <v>8</v>
          </cell>
        </row>
        <row r="4935">
          <cell r="B4935" t="str">
            <v>4</v>
          </cell>
          <cell r="AN4935">
            <v>47.5</v>
          </cell>
          <cell r="AP4935">
            <v>8</v>
          </cell>
        </row>
        <row r="4936">
          <cell r="B4936" t="str">
            <v>5</v>
          </cell>
          <cell r="AN4936">
            <v>138.5</v>
          </cell>
          <cell r="AP4936">
            <v>8</v>
          </cell>
        </row>
        <row r="4937">
          <cell r="B4937" t="str">
            <v>5</v>
          </cell>
          <cell r="AN4937">
            <v>109.5</v>
          </cell>
          <cell r="AP4937">
            <v>8</v>
          </cell>
        </row>
        <row r="4938">
          <cell r="B4938" t="str">
            <v>5</v>
          </cell>
          <cell r="AN4938">
            <v>106.5</v>
          </cell>
          <cell r="AP4938">
            <v>8</v>
          </cell>
        </row>
        <row r="4939">
          <cell r="B4939" t="str">
            <v>5</v>
          </cell>
          <cell r="AN4939">
            <v>118.5</v>
          </cell>
          <cell r="AP4939">
            <v>8</v>
          </cell>
        </row>
        <row r="4940">
          <cell r="B4940" t="str">
            <v>5</v>
          </cell>
          <cell r="AN4940">
            <v>203.5</v>
          </cell>
          <cell r="AP4940">
            <v>8</v>
          </cell>
        </row>
        <row r="4941">
          <cell r="B4941" t="str">
            <v>6</v>
          </cell>
          <cell r="AN4941">
            <v>549</v>
          </cell>
          <cell r="AP4941">
            <v>8</v>
          </cell>
        </row>
        <row r="4942">
          <cell r="B4942" t="str">
            <v>6</v>
          </cell>
          <cell r="AN4942">
            <v>310.8</v>
          </cell>
          <cell r="AP4942">
            <v>8</v>
          </cell>
        </row>
        <row r="4943">
          <cell r="B4943" t="str">
            <v>7</v>
          </cell>
          <cell r="AN4943">
            <v>433.5</v>
          </cell>
          <cell r="AP4943">
            <v>8</v>
          </cell>
        </row>
        <row r="4944">
          <cell r="B4944" t="str">
            <v>8</v>
          </cell>
          <cell r="AN4944">
            <v>264.5</v>
          </cell>
          <cell r="AP4944">
            <v>8</v>
          </cell>
        </row>
        <row r="4945">
          <cell r="B4945" t="str">
            <v>8</v>
          </cell>
          <cell r="AN4945">
            <v>104</v>
          </cell>
          <cell r="AP4945">
            <v>8</v>
          </cell>
        </row>
        <row r="4946">
          <cell r="B4946" t="str">
            <v>8</v>
          </cell>
          <cell r="AN4946">
            <v>109.5</v>
          </cell>
          <cell r="AP4946">
            <v>8</v>
          </cell>
        </row>
        <row r="4947">
          <cell r="B4947" t="str">
            <v>8</v>
          </cell>
          <cell r="AN4947">
            <v>207.5</v>
          </cell>
          <cell r="AP4947">
            <v>8</v>
          </cell>
        </row>
        <row r="4948">
          <cell r="B4948" t="str">
            <v>1</v>
          </cell>
          <cell r="AN4948">
            <v>113.1</v>
          </cell>
          <cell r="AP4948">
            <v>8</v>
          </cell>
        </row>
        <row r="4949">
          <cell r="B4949" t="str">
            <v>1</v>
          </cell>
          <cell r="AN4949">
            <v>43.4</v>
          </cell>
          <cell r="AP4949">
            <v>8</v>
          </cell>
        </row>
        <row r="4950">
          <cell r="B4950" t="str">
            <v>1</v>
          </cell>
          <cell r="AN4950">
            <v>169.3</v>
          </cell>
          <cell r="AP4950">
            <v>8</v>
          </cell>
        </row>
        <row r="4951">
          <cell r="B4951" t="str">
            <v>2</v>
          </cell>
          <cell r="AN4951">
            <v>65.8</v>
          </cell>
          <cell r="AP4951">
            <v>8</v>
          </cell>
        </row>
        <row r="4952">
          <cell r="B4952" t="str">
            <v>2</v>
          </cell>
          <cell r="AN4952">
            <v>43.2</v>
          </cell>
          <cell r="AP4952">
            <v>8</v>
          </cell>
        </row>
        <row r="4953">
          <cell r="B4953" t="str">
            <v>2</v>
          </cell>
          <cell r="AN4953">
            <v>238.2</v>
          </cell>
          <cell r="AP4953">
            <v>8</v>
          </cell>
        </row>
        <row r="4954">
          <cell r="B4954" t="str">
            <v>4</v>
          </cell>
          <cell r="AN4954">
            <v>127</v>
          </cell>
          <cell r="AP4954">
            <v>8</v>
          </cell>
        </row>
        <row r="4955">
          <cell r="B4955" t="str">
            <v>4</v>
          </cell>
          <cell r="AN4955">
            <v>264.7</v>
          </cell>
          <cell r="AP4955">
            <v>8</v>
          </cell>
        </row>
        <row r="4956">
          <cell r="B4956" t="str">
            <v>4</v>
          </cell>
          <cell r="AN4956">
            <v>285</v>
          </cell>
          <cell r="AP4956">
            <v>8</v>
          </cell>
        </row>
        <row r="4957">
          <cell r="B4957" t="str">
            <v>4</v>
          </cell>
          <cell r="AN4957">
            <v>81</v>
          </cell>
          <cell r="AP4957">
            <v>8</v>
          </cell>
        </row>
        <row r="4958">
          <cell r="B4958" t="str">
            <v>5</v>
          </cell>
          <cell r="AN4958">
            <v>118</v>
          </cell>
          <cell r="AP4958">
            <v>8</v>
          </cell>
        </row>
        <row r="4959">
          <cell r="B4959" t="str">
            <v>5</v>
          </cell>
          <cell r="AN4959">
            <v>100.5</v>
          </cell>
          <cell r="AP4959">
            <v>8</v>
          </cell>
        </row>
        <row r="4960">
          <cell r="B4960" t="str">
            <v>5</v>
          </cell>
          <cell r="AN4960">
            <v>65.5</v>
          </cell>
          <cell r="AP4960">
            <v>8</v>
          </cell>
        </row>
        <row r="4961">
          <cell r="B4961" t="str">
            <v>5</v>
          </cell>
          <cell r="AN4961">
            <v>118</v>
          </cell>
          <cell r="AP4961">
            <v>8</v>
          </cell>
        </row>
        <row r="4962">
          <cell r="B4962" t="str">
            <v>5</v>
          </cell>
          <cell r="AN4962">
            <v>318.5</v>
          </cell>
          <cell r="AP4962">
            <v>8</v>
          </cell>
        </row>
        <row r="4963">
          <cell r="B4963" t="str">
            <v>5</v>
          </cell>
          <cell r="AN4963">
            <v>59.5</v>
          </cell>
          <cell r="AP4963">
            <v>8</v>
          </cell>
        </row>
        <row r="4964">
          <cell r="B4964" t="str">
            <v>6</v>
          </cell>
          <cell r="AN4964">
            <v>687</v>
          </cell>
          <cell r="AP4964">
            <v>8</v>
          </cell>
        </row>
        <row r="4965">
          <cell r="B4965" t="str">
            <v>6</v>
          </cell>
          <cell r="AN4965">
            <v>66.5</v>
          </cell>
          <cell r="AP4965">
            <v>8</v>
          </cell>
        </row>
        <row r="4966">
          <cell r="B4966" t="str">
            <v>6</v>
          </cell>
          <cell r="AN4966">
            <v>295</v>
          </cell>
          <cell r="AP4966">
            <v>8</v>
          </cell>
        </row>
        <row r="4967">
          <cell r="B4967" t="str">
            <v>6</v>
          </cell>
          <cell r="AN4967">
            <v>343.5</v>
          </cell>
          <cell r="AP4967">
            <v>8</v>
          </cell>
        </row>
        <row r="4968">
          <cell r="B4968" t="str">
            <v>7</v>
          </cell>
          <cell r="AN4968">
            <v>441.5</v>
          </cell>
          <cell r="AP4968">
            <v>8</v>
          </cell>
        </row>
        <row r="4969">
          <cell r="B4969" t="str">
            <v>7</v>
          </cell>
          <cell r="AN4969">
            <v>67.5</v>
          </cell>
          <cell r="AP4969">
            <v>8</v>
          </cell>
        </row>
        <row r="4970">
          <cell r="B4970" t="str">
            <v>7</v>
          </cell>
          <cell r="AN4970">
            <v>367</v>
          </cell>
          <cell r="AP4970">
            <v>8</v>
          </cell>
        </row>
        <row r="4971">
          <cell r="B4971" t="str">
            <v>7</v>
          </cell>
          <cell r="AN4971">
            <v>419.5</v>
          </cell>
          <cell r="AP4971">
            <v>8</v>
          </cell>
        </row>
        <row r="4972">
          <cell r="B4972" t="str">
            <v>8</v>
          </cell>
          <cell r="AN4972">
            <v>455.5</v>
          </cell>
          <cell r="AP4972">
            <v>8</v>
          </cell>
        </row>
        <row r="4973">
          <cell r="B4973" t="str">
            <v>8</v>
          </cell>
          <cell r="AN4973">
            <v>455</v>
          </cell>
          <cell r="AP4973">
            <v>8</v>
          </cell>
        </row>
        <row r="4974">
          <cell r="B4974" t="str">
            <v>1</v>
          </cell>
          <cell r="AN4974">
            <v>55.6</v>
          </cell>
          <cell r="AP4974">
            <v>8</v>
          </cell>
        </row>
        <row r="4975">
          <cell r="B4975" t="str">
            <v>1</v>
          </cell>
          <cell r="AN4975">
            <v>92.85</v>
          </cell>
          <cell r="AP4975">
            <v>8</v>
          </cell>
        </row>
        <row r="4976">
          <cell r="B4976" t="str">
            <v>1</v>
          </cell>
          <cell r="AN4976">
            <v>66.3</v>
          </cell>
          <cell r="AP4976">
            <v>8</v>
          </cell>
        </row>
        <row r="4977">
          <cell r="B4977" t="str">
            <v>1</v>
          </cell>
          <cell r="AN4977">
            <v>57.3</v>
          </cell>
          <cell r="AP4977">
            <v>8</v>
          </cell>
        </row>
        <row r="4978">
          <cell r="B4978" t="str">
            <v>2</v>
          </cell>
          <cell r="AN4978">
            <v>52.5</v>
          </cell>
          <cell r="AP4978">
            <v>8</v>
          </cell>
        </row>
        <row r="4979">
          <cell r="B4979" t="str">
            <v>2</v>
          </cell>
          <cell r="AN4979">
            <v>99.5</v>
          </cell>
          <cell r="AP4979">
            <v>8</v>
          </cell>
        </row>
        <row r="4980">
          <cell r="B4980" t="str">
            <v>2</v>
          </cell>
          <cell r="AN4980">
            <v>59.5</v>
          </cell>
          <cell r="AP4980">
            <v>8</v>
          </cell>
        </row>
        <row r="4981">
          <cell r="B4981" t="str">
            <v>2</v>
          </cell>
          <cell r="AN4981">
            <v>107.4</v>
          </cell>
          <cell r="AP4981">
            <v>8</v>
          </cell>
        </row>
        <row r="4982">
          <cell r="B4982" t="str">
            <v>2</v>
          </cell>
          <cell r="AN4982">
            <v>32.549999999999997</v>
          </cell>
          <cell r="AP4982">
            <v>8</v>
          </cell>
        </row>
        <row r="4983">
          <cell r="B4983" t="str">
            <v>4</v>
          </cell>
          <cell r="AN4983">
            <v>463.5</v>
          </cell>
          <cell r="AP4983">
            <v>8</v>
          </cell>
        </row>
        <row r="4984">
          <cell r="B4984" t="str">
            <v>4</v>
          </cell>
          <cell r="AN4984">
            <v>110</v>
          </cell>
          <cell r="AP4984">
            <v>8</v>
          </cell>
        </row>
        <row r="4985">
          <cell r="B4985" t="str">
            <v>4</v>
          </cell>
          <cell r="AN4985">
            <v>419.5</v>
          </cell>
          <cell r="AP4985">
            <v>8</v>
          </cell>
        </row>
        <row r="4986">
          <cell r="B4986" t="str">
            <v>5</v>
          </cell>
          <cell r="AN4986">
            <v>82</v>
          </cell>
          <cell r="AP4986">
            <v>8</v>
          </cell>
        </row>
        <row r="4987">
          <cell r="B4987" t="str">
            <v>5</v>
          </cell>
          <cell r="AN4987">
            <v>81</v>
          </cell>
          <cell r="AP4987">
            <v>8</v>
          </cell>
        </row>
        <row r="4988">
          <cell r="B4988" t="str">
            <v>5</v>
          </cell>
          <cell r="AN4988">
            <v>130</v>
          </cell>
          <cell r="AP4988">
            <v>8</v>
          </cell>
        </row>
        <row r="4989">
          <cell r="B4989" t="str">
            <v>5</v>
          </cell>
          <cell r="AN4989">
            <v>317</v>
          </cell>
          <cell r="AP4989">
            <v>8</v>
          </cell>
        </row>
        <row r="4990">
          <cell r="B4990" t="str">
            <v>6</v>
          </cell>
          <cell r="AN4990">
            <v>553.5</v>
          </cell>
          <cell r="AP4990">
            <v>8</v>
          </cell>
        </row>
        <row r="4991">
          <cell r="B4991" t="str">
            <v>6</v>
          </cell>
          <cell r="AN4991">
            <v>205</v>
          </cell>
          <cell r="AP4991">
            <v>8</v>
          </cell>
        </row>
        <row r="4992">
          <cell r="B4992" t="str">
            <v>6</v>
          </cell>
          <cell r="AN4992">
            <v>52.5</v>
          </cell>
          <cell r="AP4992">
            <v>8</v>
          </cell>
        </row>
        <row r="4993">
          <cell r="B4993" t="str">
            <v>6</v>
          </cell>
          <cell r="AN4993">
            <v>520.5</v>
          </cell>
          <cell r="AP4993">
            <v>8</v>
          </cell>
        </row>
        <row r="4994">
          <cell r="B4994" t="str">
            <v>7</v>
          </cell>
          <cell r="AN4994">
            <v>108</v>
          </cell>
          <cell r="AP4994">
            <v>8</v>
          </cell>
        </row>
        <row r="4995">
          <cell r="B4995" t="str">
            <v>7</v>
          </cell>
          <cell r="AN4995">
            <v>350.5</v>
          </cell>
          <cell r="AP4995">
            <v>8</v>
          </cell>
        </row>
        <row r="4996">
          <cell r="B4996" t="str">
            <v>7</v>
          </cell>
          <cell r="AN4996">
            <v>560.5</v>
          </cell>
          <cell r="AP4996">
            <v>8</v>
          </cell>
        </row>
        <row r="4997">
          <cell r="B4997" t="str">
            <v>7</v>
          </cell>
          <cell r="AN4997">
            <v>65.5</v>
          </cell>
          <cell r="AP4997">
            <v>8</v>
          </cell>
        </row>
        <row r="4998">
          <cell r="B4998" t="str">
            <v>8</v>
          </cell>
          <cell r="AN4998">
            <v>300</v>
          </cell>
          <cell r="AP4998">
            <v>8</v>
          </cell>
        </row>
        <row r="4999">
          <cell r="B4999" t="str">
            <v>8</v>
          </cell>
          <cell r="AN4999">
            <v>406</v>
          </cell>
          <cell r="AP4999">
            <v>8</v>
          </cell>
        </row>
        <row r="5000">
          <cell r="B5000" t="str">
            <v>1</v>
          </cell>
          <cell r="AN5000">
            <v>30.3</v>
          </cell>
          <cell r="AP5000">
            <v>8</v>
          </cell>
        </row>
        <row r="5001">
          <cell r="B5001" t="str">
            <v>1</v>
          </cell>
          <cell r="AN5001">
            <v>75.5</v>
          </cell>
          <cell r="AP5001">
            <v>8</v>
          </cell>
        </row>
        <row r="5002">
          <cell r="B5002" t="str">
            <v>1</v>
          </cell>
          <cell r="AN5002">
            <v>90.7</v>
          </cell>
          <cell r="AP5002">
            <v>8</v>
          </cell>
        </row>
        <row r="5003">
          <cell r="B5003" t="str">
            <v>2</v>
          </cell>
          <cell r="AN5003">
            <v>84</v>
          </cell>
          <cell r="AP5003">
            <v>8</v>
          </cell>
        </row>
        <row r="5004">
          <cell r="B5004" t="str">
            <v>2</v>
          </cell>
          <cell r="AN5004">
            <v>71.5</v>
          </cell>
          <cell r="AP5004">
            <v>8</v>
          </cell>
        </row>
        <row r="5005">
          <cell r="B5005" t="str">
            <v>2</v>
          </cell>
          <cell r="AN5005">
            <v>148.80000000000001</v>
          </cell>
          <cell r="AP5005">
            <v>8</v>
          </cell>
        </row>
        <row r="5006">
          <cell r="B5006" t="str">
            <v>4</v>
          </cell>
          <cell r="AN5006">
            <v>113.5</v>
          </cell>
          <cell r="AP5006">
            <v>8</v>
          </cell>
        </row>
        <row r="5007">
          <cell r="B5007" t="str">
            <v>4</v>
          </cell>
          <cell r="AN5007">
            <v>119</v>
          </cell>
          <cell r="AP5007">
            <v>8</v>
          </cell>
        </row>
        <row r="5008">
          <cell r="B5008" t="str">
            <v>4</v>
          </cell>
          <cell r="AN5008">
            <v>188</v>
          </cell>
          <cell r="AP5008">
            <v>8</v>
          </cell>
        </row>
        <row r="5009">
          <cell r="B5009" t="str">
            <v>4</v>
          </cell>
          <cell r="AN5009">
            <v>340.5</v>
          </cell>
          <cell r="AP5009">
            <v>8</v>
          </cell>
        </row>
        <row r="5010">
          <cell r="B5010" t="str">
            <v>4</v>
          </cell>
          <cell r="AN5010">
            <v>93.5</v>
          </cell>
          <cell r="AP5010">
            <v>8</v>
          </cell>
        </row>
        <row r="5011">
          <cell r="B5011" t="str">
            <v>5</v>
          </cell>
          <cell r="AN5011">
            <v>337</v>
          </cell>
          <cell r="AP5011">
            <v>8</v>
          </cell>
        </row>
        <row r="5012">
          <cell r="B5012" t="str">
            <v>5</v>
          </cell>
          <cell r="AN5012">
            <v>64.5</v>
          </cell>
          <cell r="AP5012">
            <v>8</v>
          </cell>
        </row>
        <row r="5013">
          <cell r="B5013" t="str">
            <v>5</v>
          </cell>
          <cell r="AN5013">
            <v>72</v>
          </cell>
          <cell r="AP5013">
            <v>8</v>
          </cell>
        </row>
        <row r="5014">
          <cell r="B5014" t="str">
            <v>5</v>
          </cell>
          <cell r="AN5014">
            <v>225</v>
          </cell>
          <cell r="AP5014">
            <v>8</v>
          </cell>
        </row>
        <row r="5015">
          <cell r="B5015" t="str">
            <v>6</v>
          </cell>
          <cell r="AN5015">
            <v>626.5</v>
          </cell>
          <cell r="AP5015">
            <v>8</v>
          </cell>
        </row>
        <row r="5016">
          <cell r="B5016" t="str">
            <v>6</v>
          </cell>
          <cell r="AN5016">
            <v>719.5</v>
          </cell>
          <cell r="AP5016">
            <v>8</v>
          </cell>
        </row>
        <row r="5017">
          <cell r="B5017" t="str">
            <v>7</v>
          </cell>
          <cell r="AN5017">
            <v>266.5</v>
          </cell>
          <cell r="AP5017">
            <v>8</v>
          </cell>
        </row>
        <row r="5018">
          <cell r="B5018" t="str">
            <v>7</v>
          </cell>
          <cell r="AN5018">
            <v>149</v>
          </cell>
          <cell r="AP5018">
            <v>8</v>
          </cell>
        </row>
        <row r="5019">
          <cell r="B5019" t="str">
            <v>7</v>
          </cell>
          <cell r="AN5019">
            <v>63</v>
          </cell>
          <cell r="AP5019">
            <v>8</v>
          </cell>
        </row>
        <row r="5020">
          <cell r="B5020" t="str">
            <v>7</v>
          </cell>
          <cell r="AN5020">
            <v>207.5</v>
          </cell>
          <cell r="AP5020">
            <v>8</v>
          </cell>
        </row>
        <row r="5021">
          <cell r="B5021" t="str">
            <v>7</v>
          </cell>
          <cell r="AN5021">
            <v>114</v>
          </cell>
          <cell r="AP5021">
            <v>8</v>
          </cell>
        </row>
        <row r="5022">
          <cell r="B5022" t="str">
            <v>7</v>
          </cell>
          <cell r="AN5022">
            <v>110</v>
          </cell>
          <cell r="AP5022">
            <v>8</v>
          </cell>
        </row>
        <row r="5023">
          <cell r="B5023" t="str">
            <v>7</v>
          </cell>
          <cell r="AN5023">
            <v>111.1</v>
          </cell>
          <cell r="AP5023">
            <v>8</v>
          </cell>
        </row>
        <row r="5024">
          <cell r="B5024" t="str">
            <v>7</v>
          </cell>
          <cell r="AN5024">
            <v>35</v>
          </cell>
          <cell r="AP5024">
            <v>8</v>
          </cell>
        </row>
        <row r="5025">
          <cell r="B5025" t="str">
            <v>8</v>
          </cell>
          <cell r="AN5025">
            <v>305</v>
          </cell>
          <cell r="AP5025">
            <v>8</v>
          </cell>
        </row>
        <row r="5026">
          <cell r="B5026" t="str">
            <v>8</v>
          </cell>
          <cell r="AN5026">
            <v>199</v>
          </cell>
          <cell r="AP5026">
            <v>8</v>
          </cell>
        </row>
        <row r="5027">
          <cell r="B5027" t="str">
            <v>8</v>
          </cell>
          <cell r="AN5027">
            <v>412.5</v>
          </cell>
          <cell r="AP5027">
            <v>8</v>
          </cell>
        </row>
        <row r="5028">
          <cell r="B5028" t="str">
            <v>1</v>
          </cell>
          <cell r="AN5028">
            <v>48.3</v>
          </cell>
          <cell r="AP5028">
            <v>8</v>
          </cell>
        </row>
        <row r="5029">
          <cell r="B5029" t="str">
            <v>1</v>
          </cell>
          <cell r="AN5029">
            <v>95</v>
          </cell>
          <cell r="AP5029">
            <v>8</v>
          </cell>
        </row>
        <row r="5030">
          <cell r="B5030" t="str">
            <v>1</v>
          </cell>
          <cell r="AN5030">
            <v>45.3</v>
          </cell>
          <cell r="AP5030">
            <v>8</v>
          </cell>
        </row>
        <row r="5031">
          <cell r="B5031" t="str">
            <v>1</v>
          </cell>
          <cell r="AN5031">
            <v>133.69999999999999</v>
          </cell>
          <cell r="AP5031">
            <v>8</v>
          </cell>
        </row>
        <row r="5032">
          <cell r="B5032" t="str">
            <v>1</v>
          </cell>
          <cell r="AN5032">
            <v>49.15</v>
          </cell>
          <cell r="AP5032">
            <v>8</v>
          </cell>
        </row>
        <row r="5033">
          <cell r="B5033" t="str">
            <v>2</v>
          </cell>
          <cell r="AN5033">
            <v>91.3</v>
          </cell>
          <cell r="AP5033">
            <v>8</v>
          </cell>
        </row>
        <row r="5034">
          <cell r="B5034" t="str">
            <v>2</v>
          </cell>
          <cell r="AN5034">
            <v>41.05</v>
          </cell>
          <cell r="AP5034">
            <v>8</v>
          </cell>
        </row>
        <row r="5035">
          <cell r="B5035" t="str">
            <v>2</v>
          </cell>
          <cell r="AN5035">
            <v>66.5</v>
          </cell>
          <cell r="AP5035">
            <v>8</v>
          </cell>
        </row>
        <row r="5036">
          <cell r="B5036" t="str">
            <v>4</v>
          </cell>
          <cell r="AN5036">
            <v>448.5</v>
          </cell>
          <cell r="AP5036">
            <v>8</v>
          </cell>
        </row>
        <row r="5037">
          <cell r="B5037" t="str">
            <v>4</v>
          </cell>
          <cell r="AN5037">
            <v>419.65</v>
          </cell>
          <cell r="AP5037">
            <v>8</v>
          </cell>
        </row>
        <row r="5038">
          <cell r="B5038" t="str">
            <v>5</v>
          </cell>
          <cell r="AN5038">
            <v>215.5</v>
          </cell>
          <cell r="AP5038">
            <v>8</v>
          </cell>
        </row>
        <row r="5039">
          <cell r="B5039" t="str">
            <v>5</v>
          </cell>
          <cell r="AN5039">
            <v>128</v>
          </cell>
          <cell r="AP5039">
            <v>8</v>
          </cell>
        </row>
        <row r="5040">
          <cell r="B5040" t="str">
            <v>5</v>
          </cell>
          <cell r="AN5040">
            <v>97</v>
          </cell>
          <cell r="AP5040">
            <v>8</v>
          </cell>
        </row>
        <row r="5041">
          <cell r="B5041" t="str">
            <v>5</v>
          </cell>
          <cell r="AN5041">
            <v>155</v>
          </cell>
          <cell r="AP5041">
            <v>8</v>
          </cell>
        </row>
        <row r="5042">
          <cell r="B5042" t="str">
            <v>5</v>
          </cell>
          <cell r="AN5042">
            <v>305</v>
          </cell>
          <cell r="AP5042">
            <v>8</v>
          </cell>
        </row>
        <row r="5043">
          <cell r="B5043" t="str">
            <v>6</v>
          </cell>
          <cell r="AN5043">
            <v>637.5</v>
          </cell>
          <cell r="AP5043">
            <v>8</v>
          </cell>
        </row>
        <row r="5044">
          <cell r="B5044" t="str">
            <v>6</v>
          </cell>
          <cell r="AN5044">
            <v>210</v>
          </cell>
          <cell r="AP5044">
            <v>8</v>
          </cell>
        </row>
        <row r="5045">
          <cell r="B5045" t="str">
            <v>6</v>
          </cell>
          <cell r="AN5045">
            <v>152.5</v>
          </cell>
          <cell r="AP5045">
            <v>8</v>
          </cell>
        </row>
        <row r="5046">
          <cell r="B5046" t="str">
            <v>6</v>
          </cell>
          <cell r="AN5046">
            <v>307.5</v>
          </cell>
          <cell r="AP5046">
            <v>8</v>
          </cell>
        </row>
        <row r="5047">
          <cell r="B5047" t="str">
            <v>8</v>
          </cell>
          <cell r="AN5047">
            <v>302.5</v>
          </cell>
          <cell r="AP5047">
            <v>8</v>
          </cell>
        </row>
        <row r="5048">
          <cell r="B5048" t="str">
            <v>8</v>
          </cell>
          <cell r="AN5048">
            <v>89.2</v>
          </cell>
          <cell r="AP5048">
            <v>8</v>
          </cell>
        </row>
        <row r="5049">
          <cell r="B5049" t="str">
            <v>8</v>
          </cell>
          <cell r="AN5049">
            <v>144.5</v>
          </cell>
          <cell r="AP5049">
            <v>8</v>
          </cell>
        </row>
        <row r="5050">
          <cell r="B5050" t="str">
            <v>8</v>
          </cell>
          <cell r="AN5050">
            <v>138</v>
          </cell>
          <cell r="AP5050">
            <v>8</v>
          </cell>
        </row>
        <row r="5051">
          <cell r="B5051" t="str">
            <v>8</v>
          </cell>
          <cell r="AN5051">
            <v>164</v>
          </cell>
          <cell r="AP5051">
            <v>8</v>
          </cell>
        </row>
        <row r="5052">
          <cell r="B5052" t="str">
            <v>1</v>
          </cell>
          <cell r="AN5052">
            <v>102</v>
          </cell>
          <cell r="AP5052">
            <v>8</v>
          </cell>
        </row>
        <row r="5053">
          <cell r="B5053" t="str">
            <v>1</v>
          </cell>
          <cell r="AN5053">
            <v>51.8</v>
          </cell>
          <cell r="AP5053">
            <v>8</v>
          </cell>
        </row>
        <row r="5054">
          <cell r="B5054" t="str">
            <v>1</v>
          </cell>
          <cell r="AN5054">
            <v>110.8</v>
          </cell>
          <cell r="AP5054">
            <v>8</v>
          </cell>
        </row>
        <row r="5055">
          <cell r="B5055" t="str">
            <v>1</v>
          </cell>
          <cell r="AN5055">
            <v>70.099999999999994</v>
          </cell>
          <cell r="AP5055">
            <v>8</v>
          </cell>
        </row>
        <row r="5056">
          <cell r="B5056" t="str">
            <v>2</v>
          </cell>
          <cell r="AN5056">
            <v>85.5</v>
          </cell>
          <cell r="AP5056">
            <v>8</v>
          </cell>
        </row>
        <row r="5057">
          <cell r="B5057" t="str">
            <v>2</v>
          </cell>
          <cell r="AN5057">
            <v>46.9</v>
          </cell>
          <cell r="AP5057">
            <v>8</v>
          </cell>
        </row>
        <row r="5058">
          <cell r="B5058" t="str">
            <v>2</v>
          </cell>
          <cell r="AN5058">
            <v>78.099999999999994</v>
          </cell>
          <cell r="AP5058">
            <v>8</v>
          </cell>
        </row>
        <row r="5059">
          <cell r="B5059" t="str">
            <v>2</v>
          </cell>
          <cell r="AN5059">
            <v>33.5</v>
          </cell>
          <cell r="AP5059">
            <v>8</v>
          </cell>
        </row>
        <row r="5060">
          <cell r="B5060" t="str">
            <v>2</v>
          </cell>
          <cell r="AN5060">
            <v>58.5</v>
          </cell>
          <cell r="AP5060">
            <v>8</v>
          </cell>
        </row>
        <row r="5061">
          <cell r="B5061" t="str">
            <v>4</v>
          </cell>
          <cell r="AN5061">
            <v>406.2</v>
          </cell>
          <cell r="AP5061">
            <v>8</v>
          </cell>
        </row>
        <row r="5062">
          <cell r="B5062" t="str">
            <v>4</v>
          </cell>
          <cell r="AN5062">
            <v>121.2</v>
          </cell>
          <cell r="AP5062">
            <v>8</v>
          </cell>
        </row>
        <row r="5063">
          <cell r="B5063" t="str">
            <v>4</v>
          </cell>
          <cell r="AN5063">
            <v>265.5</v>
          </cell>
          <cell r="AP5063">
            <v>8</v>
          </cell>
        </row>
        <row r="5064">
          <cell r="B5064" t="str">
            <v>5</v>
          </cell>
          <cell r="AN5064">
            <v>551.70000000000005</v>
          </cell>
          <cell r="AP5064">
            <v>8</v>
          </cell>
        </row>
        <row r="5065">
          <cell r="B5065" t="str">
            <v>5</v>
          </cell>
          <cell r="AN5065">
            <v>104</v>
          </cell>
          <cell r="AP5065">
            <v>8</v>
          </cell>
        </row>
        <row r="5066">
          <cell r="B5066" t="str">
            <v>5</v>
          </cell>
          <cell r="AN5066">
            <v>460</v>
          </cell>
          <cell r="AP5066">
            <v>8</v>
          </cell>
        </row>
        <row r="5067">
          <cell r="B5067" t="str">
            <v>7</v>
          </cell>
          <cell r="AN5067">
            <v>154</v>
          </cell>
          <cell r="AP5067">
            <v>8</v>
          </cell>
        </row>
        <row r="5068">
          <cell r="B5068" t="str">
            <v>7</v>
          </cell>
          <cell r="AN5068">
            <v>284.5</v>
          </cell>
          <cell r="AP5068">
            <v>8</v>
          </cell>
        </row>
        <row r="5069">
          <cell r="B5069" t="str">
            <v>7</v>
          </cell>
          <cell r="AN5069">
            <v>691.5</v>
          </cell>
          <cell r="AP5069">
            <v>8</v>
          </cell>
        </row>
        <row r="5070">
          <cell r="B5070" t="str">
            <v>8</v>
          </cell>
          <cell r="AN5070">
            <v>176.5</v>
          </cell>
          <cell r="AP5070">
            <v>8</v>
          </cell>
        </row>
        <row r="5071">
          <cell r="B5071" t="str">
            <v>8</v>
          </cell>
          <cell r="AN5071">
            <v>226.5</v>
          </cell>
          <cell r="AP5071">
            <v>8</v>
          </cell>
        </row>
        <row r="5072">
          <cell r="B5072" t="str">
            <v>8</v>
          </cell>
          <cell r="AN5072">
            <v>68.5</v>
          </cell>
          <cell r="AP5072">
            <v>8</v>
          </cell>
        </row>
        <row r="5073">
          <cell r="B5073" t="str">
            <v>8</v>
          </cell>
          <cell r="AN5073">
            <v>417</v>
          </cell>
          <cell r="AP5073">
            <v>8</v>
          </cell>
        </row>
        <row r="5074">
          <cell r="B5074" t="str">
            <v>1</v>
          </cell>
          <cell r="AN5074">
            <v>41.2</v>
          </cell>
          <cell r="AP5074">
            <v>8</v>
          </cell>
        </row>
        <row r="5075">
          <cell r="B5075" t="str">
            <v>1</v>
          </cell>
          <cell r="AN5075">
            <v>112.2</v>
          </cell>
          <cell r="AP5075">
            <v>8</v>
          </cell>
        </row>
        <row r="5076">
          <cell r="B5076" t="str">
            <v>1</v>
          </cell>
          <cell r="AN5076">
            <v>102</v>
          </cell>
          <cell r="AP5076">
            <v>8</v>
          </cell>
        </row>
        <row r="5077">
          <cell r="B5077" t="str">
            <v>1</v>
          </cell>
          <cell r="AN5077">
            <v>61.95</v>
          </cell>
          <cell r="AP5077">
            <v>8</v>
          </cell>
        </row>
        <row r="5078">
          <cell r="B5078" t="str">
            <v>2</v>
          </cell>
          <cell r="AN5078">
            <v>53.2</v>
          </cell>
          <cell r="AP5078">
            <v>8</v>
          </cell>
        </row>
        <row r="5079">
          <cell r="B5079" t="str">
            <v>2</v>
          </cell>
          <cell r="AN5079">
            <v>106.9</v>
          </cell>
          <cell r="AP5079">
            <v>8</v>
          </cell>
        </row>
        <row r="5080">
          <cell r="B5080" t="str">
            <v>2</v>
          </cell>
          <cell r="AN5080">
            <v>161.5</v>
          </cell>
          <cell r="AP5080">
            <v>8</v>
          </cell>
        </row>
        <row r="5081">
          <cell r="B5081" t="str">
            <v>2</v>
          </cell>
          <cell r="AN5081">
            <v>41.6</v>
          </cell>
          <cell r="AP5081">
            <v>8</v>
          </cell>
        </row>
        <row r="5082">
          <cell r="B5082" t="str">
            <v>4</v>
          </cell>
          <cell r="AN5082">
            <v>345</v>
          </cell>
          <cell r="AP5082">
            <v>8</v>
          </cell>
        </row>
        <row r="5083">
          <cell r="B5083" t="str">
            <v>4</v>
          </cell>
          <cell r="AN5083">
            <v>431</v>
          </cell>
          <cell r="AP5083">
            <v>8</v>
          </cell>
        </row>
        <row r="5084">
          <cell r="B5084" t="str">
            <v>5</v>
          </cell>
          <cell r="AN5084">
            <v>528</v>
          </cell>
          <cell r="AP5084">
            <v>8</v>
          </cell>
        </row>
        <row r="5085">
          <cell r="B5085" t="str">
            <v>5</v>
          </cell>
          <cell r="AN5085">
            <v>167</v>
          </cell>
          <cell r="AP5085">
            <v>8</v>
          </cell>
        </row>
        <row r="5086">
          <cell r="B5086" t="str">
            <v>5</v>
          </cell>
          <cell r="AN5086">
            <v>106</v>
          </cell>
          <cell r="AP5086">
            <v>8</v>
          </cell>
        </row>
        <row r="5087">
          <cell r="B5087" t="str">
            <v>5</v>
          </cell>
          <cell r="AN5087">
            <v>125</v>
          </cell>
          <cell r="AP5087">
            <v>8</v>
          </cell>
        </row>
        <row r="5088">
          <cell r="B5088" t="str">
            <v>5</v>
          </cell>
          <cell r="AN5088">
            <v>156.5</v>
          </cell>
          <cell r="AP5088">
            <v>8</v>
          </cell>
        </row>
        <row r="5089">
          <cell r="B5089" t="str">
            <v>6</v>
          </cell>
          <cell r="AN5089">
            <v>429</v>
          </cell>
          <cell r="AP5089">
            <v>8</v>
          </cell>
        </row>
        <row r="5090">
          <cell r="B5090" t="str">
            <v>6</v>
          </cell>
          <cell r="AN5090">
            <v>115</v>
          </cell>
          <cell r="AP5090">
            <v>8</v>
          </cell>
        </row>
        <row r="5091">
          <cell r="B5091" t="str">
            <v>6</v>
          </cell>
          <cell r="AN5091">
            <v>648</v>
          </cell>
          <cell r="AP5091">
            <v>8</v>
          </cell>
        </row>
        <row r="5092">
          <cell r="B5092" t="str">
            <v>8</v>
          </cell>
          <cell r="AN5092">
            <v>449</v>
          </cell>
          <cell r="AP5092">
            <v>8</v>
          </cell>
        </row>
        <row r="5093">
          <cell r="B5093" t="str">
            <v>8</v>
          </cell>
          <cell r="AN5093">
            <v>278.5</v>
          </cell>
          <cell r="AP5093">
            <v>8</v>
          </cell>
        </row>
        <row r="5094">
          <cell r="B5094" t="str">
            <v>8</v>
          </cell>
          <cell r="AN5094">
            <v>108</v>
          </cell>
          <cell r="AP5094">
            <v>8</v>
          </cell>
        </row>
        <row r="5095">
          <cell r="B5095" t="str">
            <v>8</v>
          </cell>
          <cell r="AN5095">
            <v>115</v>
          </cell>
          <cell r="AP5095">
            <v>8</v>
          </cell>
        </row>
        <row r="5096">
          <cell r="B5096" t="str">
            <v>1</v>
          </cell>
          <cell r="AN5096">
            <v>76.400000000000006</v>
          </cell>
          <cell r="AP5096">
            <v>9</v>
          </cell>
        </row>
        <row r="5097">
          <cell r="B5097" t="str">
            <v>1</v>
          </cell>
          <cell r="AN5097">
            <v>77.2</v>
          </cell>
          <cell r="AP5097">
            <v>9</v>
          </cell>
        </row>
        <row r="5098">
          <cell r="B5098" t="str">
            <v>1</v>
          </cell>
          <cell r="AN5098">
            <v>79.900000000000006</v>
          </cell>
          <cell r="AP5098">
            <v>9</v>
          </cell>
        </row>
        <row r="5099">
          <cell r="B5099" t="str">
            <v>1</v>
          </cell>
          <cell r="AN5099">
            <v>72.900000000000006</v>
          </cell>
          <cell r="AP5099">
            <v>9</v>
          </cell>
        </row>
        <row r="5100">
          <cell r="B5100" t="str">
            <v>2</v>
          </cell>
          <cell r="AN5100">
            <v>67.900000000000006</v>
          </cell>
          <cell r="AP5100">
            <v>9</v>
          </cell>
        </row>
        <row r="5101">
          <cell r="B5101" t="str">
            <v>2</v>
          </cell>
          <cell r="AN5101">
            <v>66.599999999999994</v>
          </cell>
          <cell r="AP5101">
            <v>9</v>
          </cell>
        </row>
        <row r="5102">
          <cell r="B5102" t="str">
            <v>2</v>
          </cell>
          <cell r="AN5102">
            <v>26</v>
          </cell>
          <cell r="AP5102">
            <v>9</v>
          </cell>
        </row>
        <row r="5103">
          <cell r="B5103" t="str">
            <v>2</v>
          </cell>
          <cell r="AN5103">
            <v>96.5</v>
          </cell>
          <cell r="AP5103">
            <v>9</v>
          </cell>
        </row>
        <row r="5104">
          <cell r="B5104" t="str">
            <v>2</v>
          </cell>
          <cell r="AN5104">
            <v>54</v>
          </cell>
          <cell r="AP5104">
            <v>9</v>
          </cell>
        </row>
        <row r="5105">
          <cell r="B5105" t="str">
            <v>4</v>
          </cell>
          <cell r="AN5105">
            <v>78.5</v>
          </cell>
          <cell r="AP5105">
            <v>9</v>
          </cell>
        </row>
        <row r="5106">
          <cell r="B5106" t="str">
            <v>4</v>
          </cell>
          <cell r="AN5106">
            <v>127</v>
          </cell>
          <cell r="AP5106">
            <v>9</v>
          </cell>
        </row>
        <row r="5107">
          <cell r="B5107" t="str">
            <v>4</v>
          </cell>
          <cell r="AN5107">
            <v>171</v>
          </cell>
          <cell r="AP5107">
            <v>9</v>
          </cell>
        </row>
        <row r="5108">
          <cell r="B5108" t="str">
            <v>4</v>
          </cell>
          <cell r="AN5108">
            <v>50.5</v>
          </cell>
          <cell r="AP5108">
            <v>9</v>
          </cell>
        </row>
        <row r="5109">
          <cell r="B5109" t="str">
            <v>4</v>
          </cell>
          <cell r="AN5109">
            <v>129.5</v>
          </cell>
          <cell r="AP5109">
            <v>9</v>
          </cell>
        </row>
        <row r="5110">
          <cell r="B5110" t="str">
            <v>4</v>
          </cell>
          <cell r="AN5110">
            <v>114.5</v>
          </cell>
          <cell r="AP5110">
            <v>9</v>
          </cell>
        </row>
        <row r="5111">
          <cell r="B5111" t="str">
            <v>4</v>
          </cell>
          <cell r="AN5111">
            <v>37.15</v>
          </cell>
          <cell r="AP5111">
            <v>9</v>
          </cell>
        </row>
        <row r="5112">
          <cell r="B5112" t="str">
            <v>4</v>
          </cell>
          <cell r="AN5112">
            <v>110.69999999999999</v>
          </cell>
          <cell r="AP5112">
            <v>9</v>
          </cell>
        </row>
        <row r="5113">
          <cell r="B5113" t="str">
            <v>5</v>
          </cell>
          <cell r="AN5113">
            <v>72</v>
          </cell>
          <cell r="AP5113">
            <v>9</v>
          </cell>
        </row>
        <row r="5114">
          <cell r="B5114" t="str">
            <v>5</v>
          </cell>
          <cell r="AN5114">
            <v>270</v>
          </cell>
          <cell r="AP5114">
            <v>9</v>
          </cell>
        </row>
        <row r="5115">
          <cell r="B5115" t="str">
            <v>5</v>
          </cell>
          <cell r="AN5115">
            <v>326.60000000000002</v>
          </cell>
          <cell r="AP5115">
            <v>9</v>
          </cell>
        </row>
        <row r="5116">
          <cell r="B5116" t="str">
            <v>6</v>
          </cell>
          <cell r="AN5116">
            <v>214</v>
          </cell>
          <cell r="AP5116">
            <v>9</v>
          </cell>
        </row>
        <row r="5117">
          <cell r="B5117" t="str">
            <v>6</v>
          </cell>
          <cell r="AN5117">
            <v>319.8</v>
          </cell>
          <cell r="AP5117">
            <v>9</v>
          </cell>
        </row>
        <row r="5118">
          <cell r="B5118" t="str">
            <v>7</v>
          </cell>
          <cell r="AN5118">
            <v>180</v>
          </cell>
          <cell r="AP5118">
            <v>9</v>
          </cell>
        </row>
        <row r="5119">
          <cell r="B5119" t="str">
            <v>7</v>
          </cell>
          <cell r="AN5119">
            <v>61.5</v>
          </cell>
          <cell r="AP5119">
            <v>9</v>
          </cell>
        </row>
        <row r="5120">
          <cell r="B5120" t="str">
            <v>7</v>
          </cell>
          <cell r="AN5120">
            <v>260.5</v>
          </cell>
          <cell r="AP5120">
            <v>9</v>
          </cell>
        </row>
        <row r="5121">
          <cell r="B5121" t="str">
            <v>8</v>
          </cell>
          <cell r="AN5121">
            <v>148.5</v>
          </cell>
          <cell r="AP5121">
            <v>9</v>
          </cell>
        </row>
        <row r="5122">
          <cell r="B5122" t="str">
            <v>8</v>
          </cell>
          <cell r="AN5122">
            <v>287</v>
          </cell>
          <cell r="AP5122">
            <v>9</v>
          </cell>
        </row>
        <row r="5123">
          <cell r="B5123" t="str">
            <v>8</v>
          </cell>
          <cell r="AN5123">
            <v>132.5</v>
          </cell>
          <cell r="AP5123">
            <v>9</v>
          </cell>
        </row>
        <row r="5124">
          <cell r="B5124" t="str">
            <v>8</v>
          </cell>
          <cell r="AN5124">
            <v>308.2</v>
          </cell>
          <cell r="AP5124">
            <v>9</v>
          </cell>
        </row>
        <row r="5125">
          <cell r="B5125" t="str">
            <v>1</v>
          </cell>
          <cell r="AN5125">
            <v>153</v>
          </cell>
          <cell r="AP5125">
            <v>9</v>
          </cell>
        </row>
        <row r="5126">
          <cell r="B5126" t="str">
            <v>1</v>
          </cell>
          <cell r="AN5126">
            <v>139.6</v>
          </cell>
          <cell r="AP5126">
            <v>9</v>
          </cell>
        </row>
        <row r="5127">
          <cell r="B5127" t="str">
            <v>2</v>
          </cell>
          <cell r="AN5127">
            <v>164</v>
          </cell>
          <cell r="AP5127">
            <v>9</v>
          </cell>
        </row>
        <row r="5128">
          <cell r="B5128" t="str">
            <v>2</v>
          </cell>
          <cell r="AN5128">
            <v>152.5</v>
          </cell>
          <cell r="AP5128">
            <v>9</v>
          </cell>
        </row>
        <row r="5129">
          <cell r="B5129" t="str">
            <v>4</v>
          </cell>
          <cell r="AN5129">
            <v>175.5</v>
          </cell>
          <cell r="AP5129">
            <v>9</v>
          </cell>
        </row>
        <row r="5130">
          <cell r="B5130" t="str">
            <v>4</v>
          </cell>
          <cell r="AN5130">
            <v>169.5</v>
          </cell>
          <cell r="AP5130">
            <v>9</v>
          </cell>
        </row>
        <row r="5131">
          <cell r="B5131" t="str">
            <v>4</v>
          </cell>
          <cell r="AN5131">
            <v>37.299999999999997</v>
          </cell>
          <cell r="AP5131">
            <v>9</v>
          </cell>
        </row>
        <row r="5132">
          <cell r="B5132" t="str">
            <v>4</v>
          </cell>
          <cell r="AN5132">
            <v>98.8</v>
          </cell>
          <cell r="AP5132">
            <v>9</v>
          </cell>
        </row>
        <row r="5133">
          <cell r="B5133" t="str">
            <v>4</v>
          </cell>
          <cell r="AN5133">
            <v>113.9</v>
          </cell>
          <cell r="AP5133">
            <v>9</v>
          </cell>
        </row>
        <row r="5134">
          <cell r="B5134" t="str">
            <v>4</v>
          </cell>
          <cell r="AN5134">
            <v>88.2</v>
          </cell>
          <cell r="AP5134">
            <v>9</v>
          </cell>
        </row>
        <row r="5135">
          <cell r="B5135" t="str">
            <v>5</v>
          </cell>
          <cell r="AN5135">
            <v>55.5</v>
          </cell>
          <cell r="AP5135">
            <v>9</v>
          </cell>
        </row>
        <row r="5136">
          <cell r="B5136" t="str">
            <v>5</v>
          </cell>
          <cell r="AN5136">
            <v>68</v>
          </cell>
          <cell r="AP5136">
            <v>9</v>
          </cell>
        </row>
        <row r="5137">
          <cell r="B5137" t="str">
            <v>5</v>
          </cell>
          <cell r="AN5137">
            <v>275.5</v>
          </cell>
          <cell r="AP5137">
            <v>9</v>
          </cell>
        </row>
        <row r="5138">
          <cell r="B5138" t="str">
            <v>5</v>
          </cell>
          <cell r="AN5138">
            <v>207.5</v>
          </cell>
          <cell r="AP5138">
            <v>9</v>
          </cell>
        </row>
        <row r="5139">
          <cell r="B5139" t="str">
            <v>5</v>
          </cell>
          <cell r="AN5139">
            <v>117</v>
          </cell>
          <cell r="AP5139">
            <v>9</v>
          </cell>
        </row>
        <row r="5140">
          <cell r="B5140" t="str">
            <v>5</v>
          </cell>
          <cell r="AN5140">
            <v>115</v>
          </cell>
          <cell r="AP5140">
            <v>9</v>
          </cell>
        </row>
        <row r="5141">
          <cell r="B5141" t="str">
            <v>7</v>
          </cell>
          <cell r="AN5141">
            <v>276</v>
          </cell>
          <cell r="AP5141">
            <v>9</v>
          </cell>
        </row>
        <row r="5142">
          <cell r="B5142" t="str">
            <v>7</v>
          </cell>
          <cell r="AN5142">
            <v>157.5</v>
          </cell>
          <cell r="AP5142">
            <v>9</v>
          </cell>
        </row>
        <row r="5143">
          <cell r="B5143" t="str">
            <v>7</v>
          </cell>
          <cell r="AN5143">
            <v>129</v>
          </cell>
          <cell r="AP5143">
            <v>9</v>
          </cell>
        </row>
        <row r="5144">
          <cell r="B5144" t="str">
            <v>7</v>
          </cell>
          <cell r="AN5144">
            <v>67.5</v>
          </cell>
          <cell r="AP5144">
            <v>9</v>
          </cell>
        </row>
        <row r="5145">
          <cell r="B5145" t="str">
            <v>7</v>
          </cell>
          <cell r="AN5145">
            <v>65.5</v>
          </cell>
          <cell r="AP5145">
            <v>9</v>
          </cell>
        </row>
        <row r="5146">
          <cell r="B5146" t="str">
            <v>7</v>
          </cell>
          <cell r="AN5146">
            <v>133</v>
          </cell>
          <cell r="AP5146">
            <v>9</v>
          </cell>
        </row>
        <row r="5147">
          <cell r="B5147" t="str">
            <v>7</v>
          </cell>
          <cell r="AN5147">
            <v>67.5</v>
          </cell>
          <cell r="AP5147">
            <v>9</v>
          </cell>
        </row>
        <row r="5148">
          <cell r="B5148" t="str">
            <v>7</v>
          </cell>
          <cell r="AN5148">
            <v>127.5</v>
          </cell>
          <cell r="AP5148">
            <v>9</v>
          </cell>
        </row>
        <row r="5149">
          <cell r="B5149" t="str">
            <v>7</v>
          </cell>
          <cell r="AN5149">
            <v>177.5</v>
          </cell>
          <cell r="AP5149">
            <v>9</v>
          </cell>
        </row>
        <row r="5150">
          <cell r="B5150" t="str">
            <v>8</v>
          </cell>
          <cell r="AN5150">
            <v>110.5</v>
          </cell>
          <cell r="AP5150">
            <v>9</v>
          </cell>
        </row>
        <row r="5151">
          <cell r="B5151" t="str">
            <v>8</v>
          </cell>
          <cell r="AN5151">
            <v>266.5</v>
          </cell>
          <cell r="AP5151">
            <v>9</v>
          </cell>
        </row>
        <row r="5152">
          <cell r="B5152" t="str">
            <v>8</v>
          </cell>
          <cell r="AN5152">
            <v>294.5</v>
          </cell>
          <cell r="AP5152">
            <v>9</v>
          </cell>
        </row>
        <row r="5153">
          <cell r="B5153" t="str">
            <v>8</v>
          </cell>
          <cell r="AN5153">
            <v>234.5</v>
          </cell>
          <cell r="AP5153">
            <v>9</v>
          </cell>
        </row>
        <row r="5154">
          <cell r="B5154" t="str">
            <v>1</v>
          </cell>
          <cell r="AN5154">
            <v>111.4</v>
          </cell>
          <cell r="AP5154">
            <v>9</v>
          </cell>
        </row>
        <row r="5155">
          <cell r="B5155" t="str">
            <v>1</v>
          </cell>
          <cell r="AN5155">
            <v>113</v>
          </cell>
          <cell r="AP5155">
            <v>9</v>
          </cell>
        </row>
        <row r="5156">
          <cell r="B5156" t="str">
            <v>2</v>
          </cell>
          <cell r="AN5156">
            <v>188</v>
          </cell>
          <cell r="AP5156">
            <v>9</v>
          </cell>
        </row>
        <row r="5157">
          <cell r="B5157" t="str">
            <v>2</v>
          </cell>
          <cell r="AN5157">
            <v>71.5</v>
          </cell>
          <cell r="AP5157">
            <v>9</v>
          </cell>
        </row>
        <row r="5158">
          <cell r="B5158" t="str">
            <v>2</v>
          </cell>
          <cell r="AN5158">
            <v>66.5</v>
          </cell>
          <cell r="AP5158">
            <v>9</v>
          </cell>
        </row>
        <row r="5159">
          <cell r="B5159" t="str">
            <v>4</v>
          </cell>
          <cell r="AN5159">
            <v>45.3</v>
          </cell>
          <cell r="AP5159">
            <v>9</v>
          </cell>
        </row>
        <row r="5160">
          <cell r="B5160" t="str">
            <v>4</v>
          </cell>
          <cell r="AN5160">
            <v>122.3</v>
          </cell>
          <cell r="AP5160">
            <v>9</v>
          </cell>
        </row>
        <row r="5161">
          <cell r="B5161" t="str">
            <v>4</v>
          </cell>
          <cell r="AN5161">
            <v>129.30000000000001</v>
          </cell>
          <cell r="AP5161">
            <v>9</v>
          </cell>
        </row>
        <row r="5162">
          <cell r="B5162" t="str">
            <v>4</v>
          </cell>
          <cell r="AN5162">
            <v>128</v>
          </cell>
          <cell r="AP5162">
            <v>9</v>
          </cell>
        </row>
        <row r="5163">
          <cell r="B5163" t="str">
            <v>4</v>
          </cell>
          <cell r="AN5163">
            <v>55</v>
          </cell>
          <cell r="AP5163">
            <v>9</v>
          </cell>
        </row>
        <row r="5164">
          <cell r="B5164" t="str">
            <v>4</v>
          </cell>
          <cell r="AN5164">
            <v>172.79999999999998</v>
          </cell>
          <cell r="AP5164">
            <v>9</v>
          </cell>
        </row>
        <row r="5165">
          <cell r="B5165" t="str">
            <v>4</v>
          </cell>
          <cell r="AN5165">
            <v>159.9</v>
          </cell>
          <cell r="AP5165">
            <v>9</v>
          </cell>
        </row>
        <row r="5166">
          <cell r="B5166" t="str">
            <v>5</v>
          </cell>
          <cell r="AN5166">
            <v>254.5</v>
          </cell>
          <cell r="AP5166">
            <v>9</v>
          </cell>
        </row>
        <row r="5167">
          <cell r="B5167" t="str">
            <v>7</v>
          </cell>
          <cell r="AN5167">
            <v>183</v>
          </cell>
          <cell r="AP5167">
            <v>9</v>
          </cell>
        </row>
        <row r="5168">
          <cell r="B5168" t="str">
            <v>7</v>
          </cell>
          <cell r="AN5168">
            <v>124.5</v>
          </cell>
          <cell r="AP5168">
            <v>9</v>
          </cell>
        </row>
        <row r="5169">
          <cell r="B5169" t="str">
            <v>7</v>
          </cell>
          <cell r="AN5169">
            <v>124.5</v>
          </cell>
          <cell r="AP5169">
            <v>9</v>
          </cell>
        </row>
        <row r="5170">
          <cell r="B5170" t="str">
            <v>7</v>
          </cell>
          <cell r="AN5170">
            <v>110.5</v>
          </cell>
          <cell r="AP5170">
            <v>9</v>
          </cell>
        </row>
        <row r="5171">
          <cell r="B5171" t="str">
            <v>7</v>
          </cell>
          <cell r="AN5171">
            <v>133.5</v>
          </cell>
          <cell r="AP5171">
            <v>9</v>
          </cell>
        </row>
        <row r="5172">
          <cell r="B5172" t="str">
            <v>7</v>
          </cell>
          <cell r="AN5172">
            <v>111.5</v>
          </cell>
          <cell r="AP5172">
            <v>9</v>
          </cell>
        </row>
        <row r="5173">
          <cell r="B5173" t="str">
            <v>7</v>
          </cell>
          <cell r="AN5173">
            <v>113</v>
          </cell>
          <cell r="AP5173">
            <v>9</v>
          </cell>
        </row>
        <row r="5174">
          <cell r="B5174" t="str">
            <v>7</v>
          </cell>
          <cell r="AN5174">
            <v>114</v>
          </cell>
          <cell r="AP5174">
            <v>9</v>
          </cell>
        </row>
        <row r="5175">
          <cell r="B5175" t="str">
            <v>7</v>
          </cell>
          <cell r="AN5175">
            <v>121.5</v>
          </cell>
          <cell r="AP5175">
            <v>9</v>
          </cell>
        </row>
        <row r="5176">
          <cell r="B5176" t="str">
            <v>8</v>
          </cell>
          <cell r="AN5176">
            <v>193</v>
          </cell>
          <cell r="AP5176">
            <v>9</v>
          </cell>
        </row>
        <row r="5177">
          <cell r="B5177" t="str">
            <v>8</v>
          </cell>
          <cell r="AN5177">
            <v>214.5</v>
          </cell>
          <cell r="AP5177">
            <v>9</v>
          </cell>
        </row>
        <row r="5178">
          <cell r="B5178" t="str">
            <v>8</v>
          </cell>
          <cell r="AN5178">
            <v>324</v>
          </cell>
          <cell r="AP5178">
            <v>9</v>
          </cell>
        </row>
        <row r="5179">
          <cell r="B5179" t="str">
            <v>1</v>
          </cell>
          <cell r="AN5179">
            <v>116.15</v>
          </cell>
          <cell r="AP5179">
            <v>9</v>
          </cell>
        </row>
        <row r="5180">
          <cell r="B5180" t="str">
            <v>1</v>
          </cell>
          <cell r="AN5180">
            <v>108</v>
          </cell>
          <cell r="AP5180">
            <v>9</v>
          </cell>
        </row>
        <row r="5181">
          <cell r="B5181" t="str">
            <v>2</v>
          </cell>
          <cell r="AN5181">
            <v>172.2</v>
          </cell>
          <cell r="AP5181">
            <v>9</v>
          </cell>
        </row>
        <row r="5182">
          <cell r="B5182" t="str">
            <v>2</v>
          </cell>
          <cell r="AN5182">
            <v>182.5</v>
          </cell>
          <cell r="AP5182">
            <v>9</v>
          </cell>
        </row>
        <row r="5183">
          <cell r="B5183" t="str">
            <v>4</v>
          </cell>
          <cell r="AN5183">
            <v>73.900000000000006</v>
          </cell>
          <cell r="AP5183">
            <v>9</v>
          </cell>
        </row>
        <row r="5184">
          <cell r="B5184" t="str">
            <v>4</v>
          </cell>
          <cell r="AN5184">
            <v>193</v>
          </cell>
          <cell r="AP5184">
            <v>9</v>
          </cell>
        </row>
        <row r="5185">
          <cell r="B5185" t="str">
            <v>4</v>
          </cell>
          <cell r="AN5185">
            <v>160</v>
          </cell>
          <cell r="AP5185">
            <v>9</v>
          </cell>
        </row>
        <row r="5186">
          <cell r="B5186" t="str">
            <v>4</v>
          </cell>
          <cell r="AN5186">
            <v>316</v>
          </cell>
          <cell r="AP5186">
            <v>9</v>
          </cell>
        </row>
        <row r="5187">
          <cell r="B5187" t="str">
            <v>4</v>
          </cell>
          <cell r="AN5187">
            <v>118</v>
          </cell>
          <cell r="AP5187">
            <v>9</v>
          </cell>
        </row>
        <row r="5188">
          <cell r="B5188" t="str">
            <v>5</v>
          </cell>
          <cell r="AN5188">
            <v>285</v>
          </cell>
          <cell r="AP5188">
            <v>9</v>
          </cell>
        </row>
        <row r="5189">
          <cell r="B5189" t="str">
            <v>5</v>
          </cell>
          <cell r="AN5189">
            <v>61</v>
          </cell>
          <cell r="AP5189">
            <v>9</v>
          </cell>
        </row>
        <row r="5190">
          <cell r="B5190" t="str">
            <v>5</v>
          </cell>
          <cell r="AN5190">
            <v>171</v>
          </cell>
          <cell r="AP5190">
            <v>9</v>
          </cell>
        </row>
        <row r="5191">
          <cell r="B5191" t="str">
            <v>5</v>
          </cell>
          <cell r="AN5191">
            <v>185</v>
          </cell>
          <cell r="AP5191">
            <v>9</v>
          </cell>
        </row>
        <row r="5192">
          <cell r="B5192" t="str">
            <v>7</v>
          </cell>
          <cell r="AN5192">
            <v>106.5</v>
          </cell>
          <cell r="AP5192">
            <v>9</v>
          </cell>
        </row>
        <row r="5193">
          <cell r="B5193" t="str">
            <v>7</v>
          </cell>
          <cell r="AN5193">
            <v>107</v>
          </cell>
          <cell r="AP5193">
            <v>9</v>
          </cell>
        </row>
        <row r="5194">
          <cell r="B5194" t="str">
            <v>7</v>
          </cell>
          <cell r="AN5194">
            <v>107</v>
          </cell>
          <cell r="AP5194">
            <v>9</v>
          </cell>
        </row>
        <row r="5195">
          <cell r="B5195" t="str">
            <v>7</v>
          </cell>
          <cell r="AN5195">
            <v>106</v>
          </cell>
          <cell r="AP5195">
            <v>9</v>
          </cell>
        </row>
        <row r="5196">
          <cell r="B5196" t="str">
            <v>7</v>
          </cell>
          <cell r="AN5196">
            <v>209</v>
          </cell>
          <cell r="AP5196">
            <v>9</v>
          </cell>
        </row>
        <row r="5197">
          <cell r="B5197" t="str">
            <v>7</v>
          </cell>
          <cell r="AN5197">
            <v>209.5</v>
          </cell>
          <cell r="AP5197">
            <v>9</v>
          </cell>
        </row>
        <row r="5198">
          <cell r="B5198" t="str">
            <v>7</v>
          </cell>
          <cell r="AN5198">
            <v>226</v>
          </cell>
          <cell r="AP5198">
            <v>9</v>
          </cell>
        </row>
        <row r="5199">
          <cell r="B5199" t="str">
            <v>7</v>
          </cell>
          <cell r="AN5199">
            <v>131</v>
          </cell>
          <cell r="AP5199">
            <v>9</v>
          </cell>
        </row>
        <row r="5200">
          <cell r="B5200" t="str">
            <v>7</v>
          </cell>
          <cell r="AN5200">
            <v>65.5</v>
          </cell>
          <cell r="AP5200">
            <v>9</v>
          </cell>
        </row>
        <row r="5201">
          <cell r="B5201" t="str">
            <v>8</v>
          </cell>
          <cell r="AN5201">
            <v>257</v>
          </cell>
          <cell r="AP5201">
            <v>9</v>
          </cell>
        </row>
        <row r="5202">
          <cell r="B5202" t="str">
            <v>8</v>
          </cell>
          <cell r="AN5202">
            <v>113</v>
          </cell>
          <cell r="AP5202">
            <v>9</v>
          </cell>
        </row>
        <row r="5203">
          <cell r="B5203" t="str">
            <v>8</v>
          </cell>
          <cell r="AN5203">
            <v>190</v>
          </cell>
          <cell r="AP5203">
            <v>9</v>
          </cell>
        </row>
        <row r="5204">
          <cell r="B5204" t="str">
            <v>8</v>
          </cell>
          <cell r="AN5204">
            <v>170</v>
          </cell>
          <cell r="AP5204">
            <v>9</v>
          </cell>
        </row>
        <row r="5205">
          <cell r="B5205" t="str">
            <v>1</v>
          </cell>
          <cell r="AN5205">
            <v>119.5</v>
          </cell>
          <cell r="AP5205">
            <v>9</v>
          </cell>
        </row>
        <row r="5206">
          <cell r="B5206" t="str">
            <v>1</v>
          </cell>
          <cell r="AN5206">
            <v>112.55</v>
          </cell>
          <cell r="AP5206">
            <v>9</v>
          </cell>
        </row>
        <row r="5207">
          <cell r="B5207" t="str">
            <v>2</v>
          </cell>
          <cell r="AN5207">
            <v>116</v>
          </cell>
          <cell r="AP5207">
            <v>9</v>
          </cell>
        </row>
        <row r="5208">
          <cell r="B5208" t="str">
            <v>2</v>
          </cell>
          <cell r="AN5208">
            <v>46.5</v>
          </cell>
          <cell r="AP5208">
            <v>9</v>
          </cell>
        </row>
        <row r="5209">
          <cell r="B5209" t="str">
            <v>2</v>
          </cell>
          <cell r="AN5209">
            <v>111</v>
          </cell>
          <cell r="AP5209">
            <v>9</v>
          </cell>
        </row>
        <row r="5210">
          <cell r="B5210" t="str">
            <v>2</v>
          </cell>
          <cell r="AN5210">
            <v>52</v>
          </cell>
          <cell r="AP5210">
            <v>9</v>
          </cell>
        </row>
        <row r="5211">
          <cell r="B5211" t="str">
            <v>4</v>
          </cell>
          <cell r="AN5211">
            <v>163</v>
          </cell>
          <cell r="AP5211">
            <v>9</v>
          </cell>
        </row>
        <row r="5212">
          <cell r="B5212" t="str">
            <v>4</v>
          </cell>
          <cell r="AN5212">
            <v>144</v>
          </cell>
          <cell r="AP5212">
            <v>9</v>
          </cell>
        </row>
        <row r="5213">
          <cell r="B5213" t="str">
            <v>4</v>
          </cell>
          <cell r="AN5213">
            <v>71.5</v>
          </cell>
          <cell r="AP5213">
            <v>9</v>
          </cell>
        </row>
        <row r="5214">
          <cell r="B5214" t="str">
            <v>4</v>
          </cell>
          <cell r="AN5214">
            <v>108.5</v>
          </cell>
          <cell r="AP5214">
            <v>9</v>
          </cell>
        </row>
        <row r="5215">
          <cell r="B5215" t="str">
            <v>4</v>
          </cell>
          <cell r="AN5215">
            <v>173.5</v>
          </cell>
          <cell r="AP5215">
            <v>9</v>
          </cell>
        </row>
        <row r="5216">
          <cell r="B5216" t="str">
            <v>5</v>
          </cell>
          <cell r="AN5216">
            <v>70</v>
          </cell>
          <cell r="AP5216">
            <v>9</v>
          </cell>
        </row>
        <row r="5217">
          <cell r="B5217" t="str">
            <v>5</v>
          </cell>
          <cell r="AN5217">
            <v>330</v>
          </cell>
          <cell r="AP5217">
            <v>9</v>
          </cell>
        </row>
        <row r="5218">
          <cell r="B5218" t="str">
            <v>5</v>
          </cell>
          <cell r="AN5218">
            <v>375.5</v>
          </cell>
          <cell r="AP5218">
            <v>9</v>
          </cell>
        </row>
        <row r="5219">
          <cell r="B5219" t="str">
            <v>7</v>
          </cell>
          <cell r="AN5219">
            <v>912.5</v>
          </cell>
          <cell r="AP5219">
            <v>9</v>
          </cell>
        </row>
        <row r="5220">
          <cell r="B5220" t="str">
            <v>7</v>
          </cell>
          <cell r="AN5220">
            <v>815</v>
          </cell>
          <cell r="AP5220">
            <v>9</v>
          </cell>
        </row>
        <row r="5221">
          <cell r="B5221" t="str">
            <v>8</v>
          </cell>
          <cell r="AN5221">
            <v>315</v>
          </cell>
          <cell r="AP5221">
            <v>9</v>
          </cell>
        </row>
        <row r="5222">
          <cell r="B5222" t="str">
            <v>8</v>
          </cell>
          <cell r="AN5222">
            <v>317</v>
          </cell>
          <cell r="AP5222">
            <v>9</v>
          </cell>
        </row>
        <row r="5223">
          <cell r="B5223" t="str">
            <v>8</v>
          </cell>
          <cell r="AN5223">
            <v>70</v>
          </cell>
          <cell r="AP5223">
            <v>9</v>
          </cell>
        </row>
        <row r="5224">
          <cell r="B5224" t="str">
            <v>1</v>
          </cell>
          <cell r="AN5224">
            <v>128.1</v>
          </cell>
          <cell r="AP5224">
            <v>9</v>
          </cell>
        </row>
        <row r="5225">
          <cell r="B5225" t="str">
            <v>1</v>
          </cell>
          <cell r="AN5225">
            <v>91</v>
          </cell>
          <cell r="AP5225">
            <v>9</v>
          </cell>
        </row>
        <row r="5226">
          <cell r="B5226" t="str">
            <v>1</v>
          </cell>
          <cell r="AN5226">
            <v>85.5</v>
          </cell>
          <cell r="AP5226">
            <v>9</v>
          </cell>
        </row>
        <row r="5227">
          <cell r="B5227" t="str">
            <v>2</v>
          </cell>
          <cell r="AN5227">
            <v>60.5</v>
          </cell>
          <cell r="AP5227">
            <v>9</v>
          </cell>
        </row>
        <row r="5228">
          <cell r="B5228" t="str">
            <v>2</v>
          </cell>
          <cell r="AN5228">
            <v>99.5</v>
          </cell>
          <cell r="AP5228">
            <v>9</v>
          </cell>
        </row>
        <row r="5229">
          <cell r="B5229" t="str">
            <v>2</v>
          </cell>
          <cell r="AN5229">
            <v>227</v>
          </cell>
          <cell r="AP5229">
            <v>9</v>
          </cell>
        </row>
        <row r="5230">
          <cell r="B5230" t="str">
            <v>4</v>
          </cell>
          <cell r="AN5230">
            <v>65</v>
          </cell>
          <cell r="AP5230">
            <v>9</v>
          </cell>
        </row>
        <row r="5231">
          <cell r="B5231" t="str">
            <v>4</v>
          </cell>
          <cell r="AN5231">
            <v>122</v>
          </cell>
          <cell r="AP5231">
            <v>9</v>
          </cell>
        </row>
        <row r="5232">
          <cell r="B5232" t="str">
            <v>4</v>
          </cell>
          <cell r="AN5232">
            <v>153.5</v>
          </cell>
          <cell r="AP5232">
            <v>9</v>
          </cell>
        </row>
        <row r="5233">
          <cell r="B5233" t="str">
            <v>4</v>
          </cell>
          <cell r="AN5233">
            <v>89</v>
          </cell>
          <cell r="AP5233">
            <v>9</v>
          </cell>
        </row>
        <row r="5234">
          <cell r="B5234" t="str">
            <v>5</v>
          </cell>
          <cell r="AN5234">
            <v>217.5</v>
          </cell>
          <cell r="AP5234">
            <v>9</v>
          </cell>
        </row>
        <row r="5235">
          <cell r="B5235" t="str">
            <v>5</v>
          </cell>
          <cell r="AN5235">
            <v>95</v>
          </cell>
          <cell r="AP5235">
            <v>9</v>
          </cell>
        </row>
        <row r="5236">
          <cell r="B5236" t="str">
            <v>5</v>
          </cell>
          <cell r="AN5236">
            <v>233</v>
          </cell>
          <cell r="AP5236">
            <v>9</v>
          </cell>
        </row>
        <row r="5237">
          <cell r="B5237" t="str">
            <v>5</v>
          </cell>
          <cell r="AN5237">
            <v>203.5</v>
          </cell>
          <cell r="AP5237">
            <v>9</v>
          </cell>
        </row>
        <row r="5238">
          <cell r="B5238" t="str">
            <v>5</v>
          </cell>
          <cell r="AN5238">
            <v>170.4</v>
          </cell>
          <cell r="AP5238">
            <v>9</v>
          </cell>
        </row>
        <row r="5239">
          <cell r="B5239" t="str">
            <v>7</v>
          </cell>
          <cell r="AN5239">
            <v>818</v>
          </cell>
          <cell r="AP5239">
            <v>9</v>
          </cell>
        </row>
        <row r="5240">
          <cell r="B5240" t="str">
            <v>7</v>
          </cell>
          <cell r="AN5240">
            <v>897.5</v>
          </cell>
          <cell r="AP5240">
            <v>9</v>
          </cell>
        </row>
        <row r="5241">
          <cell r="B5241" t="str">
            <v>8</v>
          </cell>
          <cell r="AN5241">
            <v>289.5</v>
          </cell>
          <cell r="AP5241">
            <v>9</v>
          </cell>
        </row>
        <row r="5242">
          <cell r="B5242" t="str">
            <v>8</v>
          </cell>
          <cell r="AN5242">
            <v>249</v>
          </cell>
          <cell r="AP5242">
            <v>9</v>
          </cell>
        </row>
        <row r="5243">
          <cell r="B5243" t="str">
            <v>8</v>
          </cell>
          <cell r="AN5243">
            <v>70</v>
          </cell>
          <cell r="AP5243">
            <v>9</v>
          </cell>
        </row>
        <row r="5244">
          <cell r="B5244" t="str">
            <v>8</v>
          </cell>
          <cell r="AN5244">
            <v>327</v>
          </cell>
          <cell r="AP5244">
            <v>9</v>
          </cell>
        </row>
        <row r="5245">
          <cell r="B5245" t="str">
            <v>8</v>
          </cell>
          <cell r="AN5245">
            <v>113.5</v>
          </cell>
          <cell r="AP5245">
            <v>9</v>
          </cell>
        </row>
        <row r="5246">
          <cell r="B5246" t="str">
            <v>1</v>
          </cell>
          <cell r="AN5246">
            <v>129.6</v>
          </cell>
          <cell r="AP5246">
            <v>10</v>
          </cell>
        </row>
        <row r="5247">
          <cell r="B5247" t="str">
            <v>1</v>
          </cell>
          <cell r="AN5247">
            <v>56.9</v>
          </cell>
          <cell r="AP5247">
            <v>10</v>
          </cell>
        </row>
        <row r="5248">
          <cell r="B5248" t="str">
            <v>1</v>
          </cell>
          <cell r="AN5248">
            <v>144.35</v>
          </cell>
          <cell r="AP5248">
            <v>10</v>
          </cell>
        </row>
        <row r="5249">
          <cell r="B5249" t="str">
            <v>2</v>
          </cell>
          <cell r="AN5249">
            <v>166.5</v>
          </cell>
          <cell r="AP5249">
            <v>10</v>
          </cell>
        </row>
        <row r="5250">
          <cell r="B5250" t="str">
            <v>2</v>
          </cell>
          <cell r="AN5250">
            <v>57.5</v>
          </cell>
          <cell r="AP5250">
            <v>10</v>
          </cell>
        </row>
        <row r="5251">
          <cell r="B5251" t="str">
            <v>2</v>
          </cell>
          <cell r="AN5251">
            <v>113.5</v>
          </cell>
          <cell r="AP5251">
            <v>10</v>
          </cell>
        </row>
        <row r="5252">
          <cell r="B5252" t="str">
            <v>4</v>
          </cell>
          <cell r="AN5252">
            <v>142.69999999999999</v>
          </cell>
          <cell r="AP5252">
            <v>10</v>
          </cell>
        </row>
        <row r="5253">
          <cell r="B5253" t="str">
            <v>4</v>
          </cell>
          <cell r="AN5253">
            <v>109.5</v>
          </cell>
          <cell r="AP5253">
            <v>10</v>
          </cell>
        </row>
        <row r="5254">
          <cell r="B5254" t="str">
            <v>4</v>
          </cell>
          <cell r="AN5254">
            <v>31.5</v>
          </cell>
          <cell r="AP5254">
            <v>10</v>
          </cell>
        </row>
        <row r="5255">
          <cell r="B5255" t="str">
            <v>4</v>
          </cell>
          <cell r="AN5255">
            <v>131.5</v>
          </cell>
          <cell r="AP5255">
            <v>10</v>
          </cell>
        </row>
        <row r="5256">
          <cell r="B5256" t="str">
            <v>4</v>
          </cell>
          <cell r="AN5256">
            <v>281.5</v>
          </cell>
          <cell r="AP5256">
            <v>10</v>
          </cell>
        </row>
        <row r="5257">
          <cell r="B5257" t="str">
            <v>4</v>
          </cell>
          <cell r="AN5257">
            <v>144.5</v>
          </cell>
          <cell r="AP5257">
            <v>10</v>
          </cell>
        </row>
        <row r="5258">
          <cell r="B5258" t="str">
            <v>4</v>
          </cell>
          <cell r="AN5258">
            <v>72</v>
          </cell>
          <cell r="AP5258">
            <v>10</v>
          </cell>
        </row>
        <row r="5259">
          <cell r="B5259" t="str">
            <v>5</v>
          </cell>
          <cell r="AN5259">
            <v>270</v>
          </cell>
          <cell r="AP5259">
            <v>10</v>
          </cell>
        </row>
        <row r="5260">
          <cell r="B5260" t="str">
            <v>5</v>
          </cell>
          <cell r="AN5260">
            <v>91.5</v>
          </cell>
          <cell r="AP5260">
            <v>10</v>
          </cell>
        </row>
        <row r="5261">
          <cell r="B5261" t="str">
            <v>5</v>
          </cell>
          <cell r="AN5261">
            <v>365.5</v>
          </cell>
          <cell r="AP5261">
            <v>10</v>
          </cell>
        </row>
        <row r="5262">
          <cell r="B5262" t="str">
            <v>7</v>
          </cell>
          <cell r="AN5262">
            <v>893.5</v>
          </cell>
          <cell r="AP5262">
            <v>10</v>
          </cell>
        </row>
        <row r="5263">
          <cell r="B5263" t="str">
            <v>7</v>
          </cell>
          <cell r="AN5263">
            <v>930</v>
          </cell>
          <cell r="AP5263">
            <v>10</v>
          </cell>
        </row>
        <row r="5264">
          <cell r="B5264" t="str">
            <v>8</v>
          </cell>
          <cell r="AN5264">
            <v>293.5</v>
          </cell>
          <cell r="AP5264">
            <v>10</v>
          </cell>
        </row>
        <row r="5265">
          <cell r="B5265" t="str">
            <v>8</v>
          </cell>
          <cell r="AN5265">
            <v>143.5</v>
          </cell>
          <cell r="AP5265">
            <v>10</v>
          </cell>
        </row>
        <row r="5266">
          <cell r="B5266" t="str">
            <v>8</v>
          </cell>
          <cell r="AN5266">
            <v>129.5</v>
          </cell>
          <cell r="AP5266">
            <v>10</v>
          </cell>
        </row>
        <row r="5267">
          <cell r="B5267" t="str">
            <v>8</v>
          </cell>
          <cell r="AN5267">
            <v>187</v>
          </cell>
          <cell r="AP5267">
            <v>10</v>
          </cell>
        </row>
        <row r="5268">
          <cell r="B5268" t="str">
            <v>8</v>
          </cell>
          <cell r="AN5268">
            <v>124</v>
          </cell>
          <cell r="AP5268">
            <v>10</v>
          </cell>
        </row>
        <row r="5269">
          <cell r="B5269" t="str">
            <v>1</v>
          </cell>
          <cell r="AN5269">
            <v>59.5</v>
          </cell>
          <cell r="AP5269">
            <v>10</v>
          </cell>
        </row>
        <row r="5270">
          <cell r="B5270" t="str">
            <v>1</v>
          </cell>
          <cell r="AN5270">
            <v>147.4</v>
          </cell>
          <cell r="AP5270">
            <v>10</v>
          </cell>
        </row>
        <row r="5271">
          <cell r="B5271" t="str">
            <v>1</v>
          </cell>
          <cell r="AN5271">
            <v>73.900000000000006</v>
          </cell>
          <cell r="AP5271">
            <v>10</v>
          </cell>
        </row>
        <row r="5272">
          <cell r="B5272" t="str">
            <v>1</v>
          </cell>
          <cell r="AN5272">
            <v>96</v>
          </cell>
          <cell r="AP5272">
            <v>10</v>
          </cell>
        </row>
        <row r="5273">
          <cell r="B5273" t="str">
            <v>2</v>
          </cell>
          <cell r="AN5273">
            <v>115</v>
          </cell>
          <cell r="AP5273">
            <v>10</v>
          </cell>
        </row>
        <row r="5274">
          <cell r="B5274" t="str">
            <v>2</v>
          </cell>
          <cell r="AN5274">
            <v>49.5</v>
          </cell>
          <cell r="AP5274">
            <v>10</v>
          </cell>
        </row>
        <row r="5275">
          <cell r="B5275" t="str">
            <v>2</v>
          </cell>
          <cell r="AN5275">
            <v>165.1</v>
          </cell>
          <cell r="AP5275">
            <v>10</v>
          </cell>
        </row>
        <row r="5276">
          <cell r="B5276" t="str">
            <v>2</v>
          </cell>
          <cell r="AN5276">
            <v>74.5</v>
          </cell>
          <cell r="AP5276">
            <v>10</v>
          </cell>
        </row>
        <row r="5277">
          <cell r="B5277" t="str">
            <v>3</v>
          </cell>
          <cell r="AN5277">
            <v>251.5</v>
          </cell>
          <cell r="AP5277">
            <v>10</v>
          </cell>
        </row>
        <row r="5278">
          <cell r="B5278" t="str">
            <v>3</v>
          </cell>
          <cell r="AN5278">
            <v>160.6</v>
          </cell>
          <cell r="AP5278">
            <v>10</v>
          </cell>
        </row>
        <row r="5279">
          <cell r="B5279" t="str">
            <v>4</v>
          </cell>
          <cell r="AN5279">
            <v>57</v>
          </cell>
          <cell r="AP5279">
            <v>10</v>
          </cell>
        </row>
        <row r="5280">
          <cell r="B5280" t="str">
            <v>4</v>
          </cell>
          <cell r="AN5280">
            <v>127.5</v>
          </cell>
          <cell r="AP5280">
            <v>10</v>
          </cell>
        </row>
        <row r="5281">
          <cell r="B5281" t="str">
            <v>4</v>
          </cell>
          <cell r="AN5281">
            <v>114.5</v>
          </cell>
          <cell r="AP5281">
            <v>10</v>
          </cell>
        </row>
        <row r="5282">
          <cell r="B5282" t="str">
            <v>4</v>
          </cell>
          <cell r="AN5282">
            <v>60</v>
          </cell>
          <cell r="AP5282">
            <v>10</v>
          </cell>
        </row>
        <row r="5283">
          <cell r="B5283" t="str">
            <v>4</v>
          </cell>
          <cell r="AN5283">
            <v>55</v>
          </cell>
          <cell r="AP5283">
            <v>10</v>
          </cell>
        </row>
        <row r="5284">
          <cell r="B5284" t="str">
            <v>4</v>
          </cell>
          <cell r="AN5284">
            <v>72.25</v>
          </cell>
          <cell r="AP5284">
            <v>10</v>
          </cell>
        </row>
        <row r="5285">
          <cell r="B5285" t="str">
            <v>4</v>
          </cell>
          <cell r="AN5285">
            <v>315.3</v>
          </cell>
          <cell r="AP5285">
            <v>10</v>
          </cell>
        </row>
        <row r="5286">
          <cell r="B5286" t="str">
            <v>5</v>
          </cell>
          <cell r="AN5286">
            <v>287.5</v>
          </cell>
          <cell r="AP5286">
            <v>10</v>
          </cell>
        </row>
        <row r="5287">
          <cell r="B5287" t="str">
            <v>5</v>
          </cell>
          <cell r="AN5287">
            <v>68.5</v>
          </cell>
          <cell r="AP5287">
            <v>10</v>
          </cell>
        </row>
        <row r="5288">
          <cell r="B5288" t="str">
            <v>5</v>
          </cell>
          <cell r="AN5288">
            <v>253.7</v>
          </cell>
          <cell r="AP5288">
            <v>10</v>
          </cell>
        </row>
        <row r="5289">
          <cell r="B5289" t="str">
            <v>5</v>
          </cell>
          <cell r="AN5289">
            <v>83.5</v>
          </cell>
          <cell r="AP5289">
            <v>10</v>
          </cell>
        </row>
        <row r="5290">
          <cell r="B5290" t="str">
            <v>7</v>
          </cell>
          <cell r="AN5290">
            <v>167.5</v>
          </cell>
          <cell r="AP5290">
            <v>10</v>
          </cell>
        </row>
        <row r="5291">
          <cell r="B5291" t="str">
            <v>7</v>
          </cell>
          <cell r="AN5291">
            <v>744.5</v>
          </cell>
          <cell r="AP5291">
            <v>10</v>
          </cell>
        </row>
        <row r="5292">
          <cell r="B5292" t="str">
            <v>7</v>
          </cell>
          <cell r="AN5292">
            <v>316</v>
          </cell>
          <cell r="AP5292">
            <v>10</v>
          </cell>
        </row>
        <row r="5293">
          <cell r="B5293" t="str">
            <v>7</v>
          </cell>
          <cell r="AN5293">
            <v>817</v>
          </cell>
          <cell r="AP5293">
            <v>10</v>
          </cell>
        </row>
        <row r="5294">
          <cell r="B5294" t="str">
            <v>8</v>
          </cell>
          <cell r="AN5294">
            <v>157</v>
          </cell>
          <cell r="AP5294">
            <v>10</v>
          </cell>
        </row>
        <row r="5295">
          <cell r="B5295" t="str">
            <v>8</v>
          </cell>
          <cell r="AN5295">
            <v>105</v>
          </cell>
          <cell r="AP5295">
            <v>10</v>
          </cell>
        </row>
        <row r="5296">
          <cell r="B5296" t="str">
            <v>8</v>
          </cell>
          <cell r="AN5296">
            <v>149</v>
          </cell>
          <cell r="AP5296">
            <v>10</v>
          </cell>
        </row>
        <row r="5297">
          <cell r="B5297" t="str">
            <v>8</v>
          </cell>
          <cell r="AN5297">
            <v>68</v>
          </cell>
          <cell r="AP5297">
            <v>10</v>
          </cell>
        </row>
        <row r="5298">
          <cell r="B5298" t="str">
            <v>8</v>
          </cell>
          <cell r="AN5298">
            <v>250</v>
          </cell>
          <cell r="AP5298">
            <v>10</v>
          </cell>
        </row>
        <row r="5299">
          <cell r="B5299" t="str">
            <v>1</v>
          </cell>
          <cell r="AN5299">
            <v>154.80000000000001</v>
          </cell>
          <cell r="AP5299">
            <v>10</v>
          </cell>
        </row>
        <row r="5300">
          <cell r="B5300" t="str">
            <v>1</v>
          </cell>
          <cell r="AN5300">
            <v>105</v>
          </cell>
          <cell r="AP5300">
            <v>10</v>
          </cell>
        </row>
        <row r="5301">
          <cell r="B5301" t="str">
            <v>1</v>
          </cell>
          <cell r="AN5301">
            <v>105</v>
          </cell>
          <cell r="AP5301">
            <v>10</v>
          </cell>
        </row>
        <row r="5302">
          <cell r="B5302" t="str">
            <v>2</v>
          </cell>
          <cell r="AN5302">
            <v>141</v>
          </cell>
          <cell r="AP5302">
            <v>10</v>
          </cell>
        </row>
        <row r="5303">
          <cell r="B5303" t="str">
            <v>2</v>
          </cell>
          <cell r="AN5303">
            <v>50</v>
          </cell>
          <cell r="AP5303">
            <v>10</v>
          </cell>
        </row>
        <row r="5304">
          <cell r="B5304" t="str">
            <v>2</v>
          </cell>
          <cell r="AN5304">
            <v>82.4</v>
          </cell>
          <cell r="AP5304">
            <v>10</v>
          </cell>
        </row>
        <row r="5305">
          <cell r="B5305" t="str">
            <v>2</v>
          </cell>
          <cell r="AN5305">
            <v>88.9</v>
          </cell>
          <cell r="AP5305">
            <v>10</v>
          </cell>
        </row>
        <row r="5306">
          <cell r="B5306" t="str">
            <v>3</v>
          </cell>
          <cell r="AN5306">
            <v>188.3</v>
          </cell>
          <cell r="AP5306">
            <v>10</v>
          </cell>
        </row>
        <row r="5307">
          <cell r="B5307" t="str">
            <v>3</v>
          </cell>
          <cell r="AN5307">
            <v>216.2</v>
          </cell>
          <cell r="AP5307">
            <v>10</v>
          </cell>
        </row>
        <row r="5308">
          <cell r="B5308" t="str">
            <v>4</v>
          </cell>
          <cell r="AN5308">
            <v>186</v>
          </cell>
          <cell r="AP5308">
            <v>10</v>
          </cell>
        </row>
        <row r="5309">
          <cell r="B5309" t="str">
            <v>4</v>
          </cell>
          <cell r="AN5309">
            <v>400.5</v>
          </cell>
          <cell r="AP5309">
            <v>10</v>
          </cell>
        </row>
        <row r="5310">
          <cell r="B5310" t="str">
            <v>5</v>
          </cell>
          <cell r="AN5310">
            <v>87</v>
          </cell>
          <cell r="AP5310">
            <v>10</v>
          </cell>
        </row>
        <row r="5311">
          <cell r="B5311" t="str">
            <v>5</v>
          </cell>
          <cell r="AN5311">
            <v>92</v>
          </cell>
          <cell r="AP5311">
            <v>10</v>
          </cell>
        </row>
        <row r="5312">
          <cell r="B5312" t="str">
            <v>5</v>
          </cell>
          <cell r="AN5312">
            <v>83.5</v>
          </cell>
          <cell r="AP5312">
            <v>10</v>
          </cell>
        </row>
        <row r="5313">
          <cell r="B5313" t="str">
            <v>5</v>
          </cell>
          <cell r="AN5313">
            <v>84</v>
          </cell>
          <cell r="AP5313">
            <v>10</v>
          </cell>
        </row>
        <row r="5314">
          <cell r="B5314" t="str">
            <v>5</v>
          </cell>
          <cell r="AN5314">
            <v>336.5</v>
          </cell>
          <cell r="AP5314">
            <v>10</v>
          </cell>
        </row>
        <row r="5315">
          <cell r="B5315" t="str">
            <v>7</v>
          </cell>
          <cell r="AN5315">
            <v>833</v>
          </cell>
          <cell r="AP5315">
            <v>10</v>
          </cell>
        </row>
        <row r="5316">
          <cell r="B5316" t="str">
            <v>7</v>
          </cell>
          <cell r="AN5316">
            <v>355.5</v>
          </cell>
          <cell r="AP5316">
            <v>10</v>
          </cell>
        </row>
        <row r="5317">
          <cell r="B5317" t="str">
            <v>7</v>
          </cell>
          <cell r="AN5317">
            <v>117.5</v>
          </cell>
          <cell r="AP5317">
            <v>10</v>
          </cell>
        </row>
        <row r="5318">
          <cell r="B5318" t="str">
            <v>7</v>
          </cell>
          <cell r="AN5318">
            <v>161</v>
          </cell>
          <cell r="AP5318">
            <v>10</v>
          </cell>
        </row>
        <row r="5319">
          <cell r="B5319" t="str">
            <v>8</v>
          </cell>
          <cell r="AN5319">
            <v>74</v>
          </cell>
          <cell r="AP5319">
            <v>10</v>
          </cell>
        </row>
        <row r="5320">
          <cell r="B5320" t="str">
            <v>8</v>
          </cell>
          <cell r="AN5320">
            <v>159.5</v>
          </cell>
          <cell r="AP5320">
            <v>10</v>
          </cell>
        </row>
        <row r="5321">
          <cell r="B5321" t="str">
            <v>8</v>
          </cell>
          <cell r="AN5321">
            <v>119</v>
          </cell>
          <cell r="AP5321">
            <v>10</v>
          </cell>
        </row>
        <row r="5322">
          <cell r="B5322" t="str">
            <v>8</v>
          </cell>
          <cell r="AN5322">
            <v>404</v>
          </cell>
          <cell r="AP5322">
            <v>10</v>
          </cell>
        </row>
        <row r="5323">
          <cell r="B5323" t="str">
            <v>1</v>
          </cell>
          <cell r="AN5323">
            <v>49.8</v>
          </cell>
          <cell r="AP5323">
            <v>10</v>
          </cell>
        </row>
        <row r="5324">
          <cell r="B5324" t="str">
            <v>1</v>
          </cell>
          <cell r="AN5324">
            <v>119.9</v>
          </cell>
          <cell r="AP5324">
            <v>10</v>
          </cell>
        </row>
        <row r="5325">
          <cell r="B5325" t="str">
            <v>1</v>
          </cell>
          <cell r="AN5325">
            <v>50</v>
          </cell>
          <cell r="AP5325">
            <v>10</v>
          </cell>
        </row>
        <row r="5326">
          <cell r="B5326" t="str">
            <v>1</v>
          </cell>
          <cell r="AN5326">
            <v>109</v>
          </cell>
          <cell r="AP5326">
            <v>10</v>
          </cell>
        </row>
        <row r="5327">
          <cell r="B5327" t="str">
            <v>4</v>
          </cell>
          <cell r="AN5327">
            <v>284</v>
          </cell>
          <cell r="AP5327">
            <v>10</v>
          </cell>
        </row>
        <row r="5328">
          <cell r="B5328" t="str">
            <v>4</v>
          </cell>
          <cell r="AN5328">
            <v>78</v>
          </cell>
          <cell r="AP5328">
            <v>10</v>
          </cell>
        </row>
        <row r="5329">
          <cell r="B5329" t="str">
            <v>4</v>
          </cell>
          <cell r="AN5329">
            <v>411</v>
          </cell>
          <cell r="AP5329">
            <v>10</v>
          </cell>
        </row>
        <row r="5330">
          <cell r="B5330" t="str">
            <v>2</v>
          </cell>
          <cell r="AN5330">
            <v>108.9</v>
          </cell>
          <cell r="AP5330">
            <v>10</v>
          </cell>
        </row>
        <row r="5331">
          <cell r="B5331" t="str">
            <v>2</v>
          </cell>
          <cell r="AN5331">
            <v>50.7</v>
          </cell>
          <cell r="AP5331">
            <v>10</v>
          </cell>
        </row>
        <row r="5332">
          <cell r="B5332" t="str">
            <v>2</v>
          </cell>
          <cell r="AN5332">
            <v>127.5</v>
          </cell>
          <cell r="AP5332">
            <v>10</v>
          </cell>
        </row>
        <row r="5333">
          <cell r="B5333" t="str">
            <v>3</v>
          </cell>
          <cell r="AN5333">
            <v>189</v>
          </cell>
          <cell r="AP5333">
            <v>10</v>
          </cell>
        </row>
        <row r="5334">
          <cell r="B5334" t="str">
            <v>3</v>
          </cell>
          <cell r="AN5334">
            <v>192</v>
          </cell>
          <cell r="AP5334">
            <v>10</v>
          </cell>
        </row>
        <row r="5335">
          <cell r="B5335" t="str">
            <v>5</v>
          </cell>
          <cell r="AN5335">
            <v>240</v>
          </cell>
          <cell r="AP5335">
            <v>10</v>
          </cell>
        </row>
        <row r="5336">
          <cell r="B5336" t="str">
            <v>5</v>
          </cell>
          <cell r="AN5336">
            <v>310.5</v>
          </cell>
          <cell r="AP5336">
            <v>10</v>
          </cell>
        </row>
        <row r="5337">
          <cell r="B5337" t="str">
            <v>5</v>
          </cell>
          <cell r="AN5337">
            <v>69.5</v>
          </cell>
          <cell r="AP5337">
            <v>10</v>
          </cell>
        </row>
        <row r="5338">
          <cell r="B5338" t="str">
            <v>6</v>
          </cell>
          <cell r="AN5338">
            <v>467.5</v>
          </cell>
          <cell r="AP5338">
            <v>10</v>
          </cell>
        </row>
        <row r="5339">
          <cell r="B5339" t="str">
            <v>7</v>
          </cell>
          <cell r="AN5339">
            <v>122</v>
          </cell>
          <cell r="AP5339">
            <v>10</v>
          </cell>
        </row>
        <row r="5340">
          <cell r="B5340" t="str">
            <v>7</v>
          </cell>
          <cell r="AN5340">
            <v>576.5</v>
          </cell>
          <cell r="AP5340">
            <v>10</v>
          </cell>
        </row>
        <row r="5341">
          <cell r="B5341" t="str">
            <v>7</v>
          </cell>
          <cell r="AN5341">
            <v>464.3</v>
          </cell>
          <cell r="AP5341">
            <v>10</v>
          </cell>
        </row>
        <row r="5342">
          <cell r="B5342" t="str">
            <v>7</v>
          </cell>
          <cell r="AN5342">
            <v>165.2</v>
          </cell>
          <cell r="AP5342">
            <v>10</v>
          </cell>
        </row>
        <row r="5343">
          <cell r="B5343" t="str">
            <v>8</v>
          </cell>
          <cell r="AN5343">
            <v>397.5</v>
          </cell>
          <cell r="AP5343">
            <v>10</v>
          </cell>
        </row>
        <row r="5344">
          <cell r="B5344" t="str">
            <v>8</v>
          </cell>
          <cell r="AN5344">
            <v>68.5</v>
          </cell>
          <cell r="AP5344">
            <v>10</v>
          </cell>
        </row>
        <row r="5345">
          <cell r="B5345" t="str">
            <v>8</v>
          </cell>
          <cell r="AN5345">
            <v>70</v>
          </cell>
          <cell r="AP5345">
            <v>10</v>
          </cell>
        </row>
        <row r="5346">
          <cell r="B5346" t="str">
            <v>8</v>
          </cell>
          <cell r="AN5346">
            <v>110</v>
          </cell>
          <cell r="AP5346">
            <v>10</v>
          </cell>
        </row>
        <row r="5347">
          <cell r="B5347" t="str">
            <v>8</v>
          </cell>
          <cell r="AN5347">
            <v>205</v>
          </cell>
          <cell r="AP5347">
            <v>10</v>
          </cell>
        </row>
        <row r="5348">
          <cell r="B5348" t="str">
            <v>1</v>
          </cell>
          <cell r="AN5348">
            <v>104.7</v>
          </cell>
          <cell r="AP5348">
            <v>10</v>
          </cell>
        </row>
        <row r="5349">
          <cell r="B5349" t="str">
            <v>1</v>
          </cell>
          <cell r="AN5349">
            <v>57.85</v>
          </cell>
          <cell r="AP5349">
            <v>10</v>
          </cell>
        </row>
        <row r="5350">
          <cell r="B5350" t="str">
            <v>1</v>
          </cell>
          <cell r="AN5350">
            <v>75</v>
          </cell>
          <cell r="AP5350">
            <v>10</v>
          </cell>
        </row>
        <row r="5351">
          <cell r="B5351" t="str">
            <v>1</v>
          </cell>
          <cell r="AN5351">
            <v>79</v>
          </cell>
          <cell r="AP5351">
            <v>10</v>
          </cell>
        </row>
        <row r="5352">
          <cell r="B5352" t="str">
            <v>2</v>
          </cell>
          <cell r="AN5352">
            <v>141.4</v>
          </cell>
          <cell r="AP5352">
            <v>10</v>
          </cell>
        </row>
        <row r="5353">
          <cell r="B5353" t="str">
            <v>2</v>
          </cell>
          <cell r="AN5353">
            <v>53.5</v>
          </cell>
          <cell r="AP5353">
            <v>10</v>
          </cell>
        </row>
        <row r="5354">
          <cell r="B5354" t="str">
            <v>2</v>
          </cell>
          <cell r="AN5354">
            <v>59.5</v>
          </cell>
          <cell r="AP5354">
            <v>10</v>
          </cell>
        </row>
        <row r="5355">
          <cell r="B5355" t="str">
            <v>2</v>
          </cell>
          <cell r="AN5355">
            <v>78.900000000000006</v>
          </cell>
          <cell r="AP5355">
            <v>10</v>
          </cell>
        </row>
        <row r="5356">
          <cell r="B5356" t="str">
            <v>3</v>
          </cell>
          <cell r="AN5356">
            <v>166.89999999999998</v>
          </cell>
          <cell r="AP5356">
            <v>10</v>
          </cell>
        </row>
        <row r="5357">
          <cell r="B5357" t="str">
            <v>3</v>
          </cell>
          <cell r="AN5357">
            <v>182.8</v>
          </cell>
          <cell r="AP5357">
            <v>10</v>
          </cell>
        </row>
        <row r="5358">
          <cell r="B5358" t="str">
            <v>5</v>
          </cell>
          <cell r="AN5358">
            <v>61</v>
          </cell>
          <cell r="AP5358">
            <v>10</v>
          </cell>
        </row>
        <row r="5359">
          <cell r="B5359" t="str">
            <v>5</v>
          </cell>
          <cell r="AN5359">
            <v>69</v>
          </cell>
          <cell r="AP5359">
            <v>10</v>
          </cell>
        </row>
        <row r="5360">
          <cell r="B5360" t="str">
            <v>5</v>
          </cell>
          <cell r="AN5360">
            <v>187.5</v>
          </cell>
          <cell r="AP5360">
            <v>10</v>
          </cell>
        </row>
        <row r="5361">
          <cell r="B5361" t="str">
            <v>5</v>
          </cell>
          <cell r="AN5361">
            <v>388.5</v>
          </cell>
          <cell r="AP5361">
            <v>10</v>
          </cell>
        </row>
        <row r="5362">
          <cell r="B5362" t="str">
            <v>6</v>
          </cell>
          <cell r="AN5362">
            <v>331</v>
          </cell>
          <cell r="AP5362">
            <v>10</v>
          </cell>
        </row>
        <row r="5363">
          <cell r="B5363" t="str">
            <v>6</v>
          </cell>
          <cell r="AN5363">
            <v>471.5</v>
          </cell>
          <cell r="AP5363">
            <v>10</v>
          </cell>
        </row>
        <row r="5364">
          <cell r="B5364" t="str">
            <v>4</v>
          </cell>
          <cell r="AN5364">
            <v>275.5</v>
          </cell>
          <cell r="AP5364">
            <v>10</v>
          </cell>
        </row>
        <row r="5365">
          <cell r="B5365" t="str">
            <v>4</v>
          </cell>
          <cell r="AN5365">
            <v>132.5</v>
          </cell>
          <cell r="AP5365">
            <v>10</v>
          </cell>
        </row>
        <row r="5366">
          <cell r="B5366" t="str">
            <v>4</v>
          </cell>
          <cell r="AN5366">
            <v>121</v>
          </cell>
          <cell r="AP5366">
            <v>10</v>
          </cell>
        </row>
        <row r="5367">
          <cell r="B5367" t="str">
            <v>4</v>
          </cell>
          <cell r="AN5367">
            <v>143.5</v>
          </cell>
          <cell r="AP5367">
            <v>10</v>
          </cell>
        </row>
        <row r="5368">
          <cell r="B5368" t="str">
            <v>7</v>
          </cell>
          <cell r="AN5368">
            <v>733</v>
          </cell>
          <cell r="AP5368">
            <v>10</v>
          </cell>
        </row>
        <row r="5369">
          <cell r="B5369" t="str">
            <v>7</v>
          </cell>
          <cell r="AN5369">
            <v>311</v>
          </cell>
          <cell r="AP5369">
            <v>10</v>
          </cell>
        </row>
        <row r="5370">
          <cell r="B5370" t="str">
            <v>7</v>
          </cell>
          <cell r="AN5370">
            <v>390.5</v>
          </cell>
          <cell r="AP5370">
            <v>10</v>
          </cell>
        </row>
        <row r="5371">
          <cell r="B5371" t="str">
            <v>8</v>
          </cell>
          <cell r="AN5371">
            <v>544.5</v>
          </cell>
          <cell r="AP5371">
            <v>10</v>
          </cell>
        </row>
        <row r="5372">
          <cell r="B5372" t="str">
            <v>8</v>
          </cell>
          <cell r="AN5372">
            <v>310</v>
          </cell>
          <cell r="AP5372">
            <v>10</v>
          </cell>
        </row>
        <row r="5373">
          <cell r="B5373" t="str">
            <v>8</v>
          </cell>
          <cell r="AN5373">
            <v>76</v>
          </cell>
          <cell r="AP5373">
            <v>10</v>
          </cell>
        </row>
        <row r="5374">
          <cell r="B5374" t="str">
            <v>8</v>
          </cell>
          <cell r="AN5374">
            <v>120</v>
          </cell>
          <cell r="AP5374">
            <v>10</v>
          </cell>
        </row>
        <row r="5375">
          <cell r="B5375" t="str">
            <v>8</v>
          </cell>
          <cell r="AN5375">
            <v>84</v>
          </cell>
          <cell r="AP5375">
            <v>10</v>
          </cell>
        </row>
        <row r="5376">
          <cell r="B5376" t="str">
            <v>1</v>
          </cell>
          <cell r="AN5376">
            <v>64.7</v>
          </cell>
          <cell r="AP5376">
            <v>10</v>
          </cell>
        </row>
        <row r="5377">
          <cell r="B5377" t="str">
            <v>1</v>
          </cell>
          <cell r="AN5377">
            <v>61.05</v>
          </cell>
          <cell r="AP5377">
            <v>10</v>
          </cell>
        </row>
        <row r="5378">
          <cell r="B5378" t="str">
            <v>1</v>
          </cell>
          <cell r="AN5378">
            <v>55</v>
          </cell>
          <cell r="AP5378">
            <v>10</v>
          </cell>
        </row>
        <row r="5379">
          <cell r="B5379" t="str">
            <v>1</v>
          </cell>
          <cell r="AN5379">
            <v>52.5</v>
          </cell>
          <cell r="AP5379">
            <v>10</v>
          </cell>
        </row>
        <row r="5380">
          <cell r="B5380" t="str">
            <v>2</v>
          </cell>
          <cell r="AN5380">
            <v>38.700000000000003</v>
          </cell>
          <cell r="AP5380">
            <v>10</v>
          </cell>
        </row>
        <row r="5381">
          <cell r="B5381" t="str">
            <v>2</v>
          </cell>
          <cell r="AN5381">
            <v>113</v>
          </cell>
          <cell r="AP5381">
            <v>10</v>
          </cell>
        </row>
        <row r="5382">
          <cell r="B5382" t="str">
            <v>2</v>
          </cell>
          <cell r="AN5382">
            <v>110</v>
          </cell>
          <cell r="AP5382">
            <v>10</v>
          </cell>
        </row>
        <row r="5383">
          <cell r="B5383" t="str">
            <v>2</v>
          </cell>
          <cell r="AN5383">
            <v>30</v>
          </cell>
          <cell r="AP5383">
            <v>10</v>
          </cell>
        </row>
        <row r="5384">
          <cell r="B5384" t="str">
            <v>3</v>
          </cell>
          <cell r="AN5384">
            <v>157</v>
          </cell>
          <cell r="AP5384">
            <v>10</v>
          </cell>
        </row>
        <row r="5385">
          <cell r="B5385" t="str">
            <v>3</v>
          </cell>
          <cell r="AN5385">
            <v>146.80000000000001</v>
          </cell>
          <cell r="AP5385">
            <v>10</v>
          </cell>
        </row>
        <row r="5386">
          <cell r="B5386" t="str">
            <v>4</v>
          </cell>
          <cell r="AN5386">
            <v>104</v>
          </cell>
          <cell r="AP5386">
            <v>10</v>
          </cell>
        </row>
        <row r="5387">
          <cell r="B5387" t="str">
            <v>4</v>
          </cell>
          <cell r="AN5387">
            <v>125</v>
          </cell>
          <cell r="AP5387">
            <v>10</v>
          </cell>
        </row>
        <row r="5388">
          <cell r="B5388" t="str">
            <v>4</v>
          </cell>
          <cell r="AN5388">
            <v>225.5</v>
          </cell>
          <cell r="AP5388">
            <v>10</v>
          </cell>
        </row>
        <row r="5389">
          <cell r="B5389" t="str">
            <v>4</v>
          </cell>
          <cell r="AN5389">
            <v>64.5</v>
          </cell>
          <cell r="AP5389">
            <v>10</v>
          </cell>
        </row>
        <row r="5390">
          <cell r="B5390" t="str">
            <v>4</v>
          </cell>
          <cell r="AN5390">
            <v>265</v>
          </cell>
          <cell r="AP5390">
            <v>10</v>
          </cell>
        </row>
        <row r="5391">
          <cell r="B5391" t="str">
            <v>4</v>
          </cell>
          <cell r="AN5391">
            <v>131</v>
          </cell>
          <cell r="AP5391">
            <v>10</v>
          </cell>
        </row>
        <row r="5392">
          <cell r="B5392" t="str">
            <v>5</v>
          </cell>
          <cell r="AN5392">
            <v>305.5</v>
          </cell>
          <cell r="AP5392">
            <v>10</v>
          </cell>
        </row>
        <row r="5393">
          <cell r="B5393" t="str">
            <v>5</v>
          </cell>
          <cell r="AN5393">
            <v>176</v>
          </cell>
          <cell r="AP5393">
            <v>10</v>
          </cell>
        </row>
        <row r="5394">
          <cell r="B5394" t="str">
            <v>5</v>
          </cell>
          <cell r="AN5394">
            <v>182</v>
          </cell>
          <cell r="AP5394">
            <v>10</v>
          </cell>
        </row>
        <row r="5395">
          <cell r="B5395" t="str">
            <v>6</v>
          </cell>
          <cell r="AN5395">
            <v>463</v>
          </cell>
          <cell r="AP5395">
            <v>10</v>
          </cell>
        </row>
        <row r="5396">
          <cell r="B5396" t="str">
            <v>6</v>
          </cell>
          <cell r="AN5396">
            <v>564</v>
          </cell>
          <cell r="AP5396">
            <v>10</v>
          </cell>
        </row>
        <row r="5397">
          <cell r="B5397" t="str">
            <v>7</v>
          </cell>
          <cell r="AN5397">
            <v>629</v>
          </cell>
          <cell r="AP5397">
            <v>10</v>
          </cell>
        </row>
        <row r="5398">
          <cell r="B5398" t="str">
            <v>7</v>
          </cell>
          <cell r="AN5398">
            <v>648.5</v>
          </cell>
          <cell r="AP5398">
            <v>10</v>
          </cell>
        </row>
        <row r="5399">
          <cell r="B5399" t="str">
            <v>8</v>
          </cell>
          <cell r="AN5399">
            <v>118.5</v>
          </cell>
          <cell r="AP5399">
            <v>10</v>
          </cell>
        </row>
        <row r="5400">
          <cell r="B5400" t="str">
            <v>8</v>
          </cell>
          <cell r="AN5400">
            <v>162.5</v>
          </cell>
          <cell r="AP5400">
            <v>10</v>
          </cell>
        </row>
        <row r="5401">
          <cell r="B5401" t="str">
            <v>8</v>
          </cell>
          <cell r="AN5401">
            <v>496</v>
          </cell>
          <cell r="AP5401">
            <v>10</v>
          </cell>
        </row>
        <row r="5402">
          <cell r="B5402" t="str">
            <v>1</v>
          </cell>
          <cell r="AN5402">
            <v>89.9</v>
          </cell>
          <cell r="AP5402">
            <v>10</v>
          </cell>
        </row>
        <row r="5403">
          <cell r="B5403" t="str">
            <v>1</v>
          </cell>
          <cell r="AN5403">
            <v>170.55</v>
          </cell>
          <cell r="AP5403">
            <v>10</v>
          </cell>
        </row>
        <row r="5404">
          <cell r="B5404" t="str">
            <v>1</v>
          </cell>
          <cell r="AN5404">
            <v>80.2</v>
          </cell>
          <cell r="AP5404">
            <v>10</v>
          </cell>
        </row>
        <row r="5405">
          <cell r="B5405" t="str">
            <v>2</v>
          </cell>
          <cell r="AN5405">
            <v>324</v>
          </cell>
          <cell r="AP5405">
            <v>10</v>
          </cell>
        </row>
        <row r="5406">
          <cell r="B5406" t="str">
            <v>2</v>
          </cell>
          <cell r="AN5406">
            <v>168.15</v>
          </cell>
          <cell r="AP5406">
            <v>10</v>
          </cell>
        </row>
        <row r="5407">
          <cell r="B5407" t="str">
            <v>3</v>
          </cell>
          <cell r="AN5407">
            <v>136.19999999999999</v>
          </cell>
          <cell r="AP5407">
            <v>10</v>
          </cell>
        </row>
        <row r="5408">
          <cell r="B5408" t="str">
            <v>3</v>
          </cell>
          <cell r="AN5408">
            <v>72.55</v>
          </cell>
          <cell r="AP5408">
            <v>10</v>
          </cell>
        </row>
        <row r="5409">
          <cell r="B5409" t="str">
            <v>4</v>
          </cell>
          <cell r="AN5409">
            <v>80.5</v>
          </cell>
          <cell r="AP5409">
            <v>10</v>
          </cell>
        </row>
        <row r="5410">
          <cell r="B5410" t="str">
            <v>4</v>
          </cell>
          <cell r="AN5410">
            <v>75.5</v>
          </cell>
          <cell r="AP5410">
            <v>10</v>
          </cell>
        </row>
        <row r="5411">
          <cell r="B5411" t="str">
            <v>4</v>
          </cell>
          <cell r="AN5411">
            <v>63.5</v>
          </cell>
          <cell r="AP5411">
            <v>10</v>
          </cell>
        </row>
        <row r="5412">
          <cell r="B5412" t="str">
            <v>4</v>
          </cell>
          <cell r="AN5412">
            <v>76</v>
          </cell>
          <cell r="AP5412">
            <v>10</v>
          </cell>
        </row>
        <row r="5413">
          <cell r="B5413" t="str">
            <v>4</v>
          </cell>
          <cell r="AN5413">
            <v>286.35000000000002</v>
          </cell>
          <cell r="AP5413">
            <v>10</v>
          </cell>
        </row>
        <row r="5414">
          <cell r="B5414" t="str">
            <v>5</v>
          </cell>
          <cell r="AN5414">
            <v>82</v>
          </cell>
          <cell r="AP5414">
            <v>10</v>
          </cell>
        </row>
        <row r="5415">
          <cell r="B5415" t="str">
            <v>5</v>
          </cell>
          <cell r="AN5415">
            <v>236</v>
          </cell>
          <cell r="AP5415">
            <v>10</v>
          </cell>
        </row>
        <row r="5416">
          <cell r="B5416" t="str">
            <v>5</v>
          </cell>
          <cell r="AN5416">
            <v>406.5</v>
          </cell>
          <cell r="AP5416">
            <v>10</v>
          </cell>
        </row>
        <row r="5417">
          <cell r="B5417" t="str">
            <v>6</v>
          </cell>
          <cell r="AN5417">
            <v>245</v>
          </cell>
          <cell r="AP5417">
            <v>10</v>
          </cell>
        </row>
        <row r="5418">
          <cell r="B5418" t="str">
            <v>6</v>
          </cell>
          <cell r="AN5418">
            <v>308</v>
          </cell>
          <cell r="AP5418">
            <v>10</v>
          </cell>
        </row>
        <row r="5419">
          <cell r="B5419" t="str">
            <v>6</v>
          </cell>
          <cell r="AN5419">
            <v>448.5</v>
          </cell>
          <cell r="AP5419">
            <v>10</v>
          </cell>
        </row>
        <row r="5420">
          <cell r="B5420" t="str">
            <v>7</v>
          </cell>
          <cell r="AN5420">
            <v>468</v>
          </cell>
          <cell r="AP5420">
            <v>10</v>
          </cell>
        </row>
        <row r="5421">
          <cell r="B5421" t="str">
            <v>7</v>
          </cell>
          <cell r="AN5421">
            <v>114</v>
          </cell>
          <cell r="AP5421">
            <v>10</v>
          </cell>
        </row>
        <row r="5422">
          <cell r="B5422" t="str">
            <v>7</v>
          </cell>
          <cell r="AN5422">
            <v>123.1</v>
          </cell>
          <cell r="AP5422">
            <v>10</v>
          </cell>
        </row>
        <row r="5423">
          <cell r="B5423" t="str">
            <v>7</v>
          </cell>
          <cell r="AN5423">
            <v>112.5</v>
          </cell>
          <cell r="AP5423">
            <v>10</v>
          </cell>
        </row>
        <row r="5424">
          <cell r="B5424" t="str">
            <v>7</v>
          </cell>
          <cell r="AN5424">
            <v>123</v>
          </cell>
          <cell r="AP5424">
            <v>10</v>
          </cell>
        </row>
        <row r="5425">
          <cell r="B5425" t="str">
            <v>7</v>
          </cell>
          <cell r="AN5425">
            <v>118</v>
          </cell>
          <cell r="AP5425">
            <v>10</v>
          </cell>
        </row>
        <row r="5426">
          <cell r="B5426" t="str">
            <v>7</v>
          </cell>
          <cell r="AN5426">
            <v>115.5</v>
          </cell>
          <cell r="AP5426">
            <v>10</v>
          </cell>
        </row>
        <row r="5427">
          <cell r="B5427" t="str">
            <v>7</v>
          </cell>
          <cell r="AN5427">
            <v>58</v>
          </cell>
          <cell r="AP5427">
            <v>10</v>
          </cell>
        </row>
        <row r="5428">
          <cell r="B5428" t="str">
            <v>8</v>
          </cell>
          <cell r="AN5428">
            <v>542.5</v>
          </cell>
          <cell r="AP5428">
            <v>10</v>
          </cell>
        </row>
        <row r="5429">
          <cell r="B5429" t="str">
            <v>8</v>
          </cell>
          <cell r="AN5429">
            <v>365.5</v>
          </cell>
          <cell r="AP5429">
            <v>10</v>
          </cell>
        </row>
        <row r="5430">
          <cell r="B5430" t="str">
            <v>1</v>
          </cell>
          <cell r="AN5430">
            <v>125.7</v>
          </cell>
          <cell r="AP5430">
            <v>10</v>
          </cell>
        </row>
        <row r="5431">
          <cell r="B5431" t="str">
            <v>1</v>
          </cell>
          <cell r="AN5431">
            <v>135.6</v>
          </cell>
          <cell r="AP5431">
            <v>10</v>
          </cell>
        </row>
        <row r="5432">
          <cell r="B5432" t="str">
            <v>2</v>
          </cell>
          <cell r="AN5432">
            <v>201.45</v>
          </cell>
          <cell r="AP5432">
            <v>10</v>
          </cell>
        </row>
        <row r="5433">
          <cell r="B5433" t="str">
            <v>2</v>
          </cell>
          <cell r="AN5433">
            <v>216</v>
          </cell>
          <cell r="AP5433">
            <v>10</v>
          </cell>
        </row>
        <row r="5434">
          <cell r="B5434" t="str">
            <v>5</v>
          </cell>
          <cell r="AN5434">
            <v>391.5</v>
          </cell>
          <cell r="AP5434">
            <v>10</v>
          </cell>
        </row>
        <row r="5435">
          <cell r="B5435" t="str">
            <v>5</v>
          </cell>
          <cell r="AN5435">
            <v>285.5</v>
          </cell>
          <cell r="AP5435">
            <v>10</v>
          </cell>
        </row>
        <row r="5436">
          <cell r="B5436" t="str">
            <v>5</v>
          </cell>
          <cell r="AN5436">
            <v>100.9</v>
          </cell>
          <cell r="AP5436">
            <v>10</v>
          </cell>
        </row>
        <row r="5437">
          <cell r="B5437" t="str">
            <v>4</v>
          </cell>
          <cell r="AN5437">
            <v>267.60000000000002</v>
          </cell>
          <cell r="AP5437">
            <v>10</v>
          </cell>
        </row>
        <row r="5438">
          <cell r="B5438" t="str">
            <v>4</v>
          </cell>
          <cell r="AN5438">
            <v>91</v>
          </cell>
          <cell r="AP5438">
            <v>10</v>
          </cell>
        </row>
        <row r="5439">
          <cell r="B5439" t="str">
            <v>4</v>
          </cell>
          <cell r="AN5439">
            <v>211</v>
          </cell>
          <cell r="AP5439">
            <v>10</v>
          </cell>
        </row>
        <row r="5440">
          <cell r="B5440" t="str">
            <v>4</v>
          </cell>
          <cell r="AN5440">
            <v>66.5</v>
          </cell>
          <cell r="AP5440">
            <v>10</v>
          </cell>
        </row>
        <row r="5441">
          <cell r="B5441" t="str">
            <v>4</v>
          </cell>
          <cell r="AN5441">
            <v>93.5</v>
          </cell>
          <cell r="AP5441">
            <v>10</v>
          </cell>
        </row>
        <row r="5442">
          <cell r="B5442" t="str">
            <v>6</v>
          </cell>
          <cell r="AN5442">
            <v>637.5</v>
          </cell>
          <cell r="AP5442">
            <v>10</v>
          </cell>
        </row>
        <row r="5443">
          <cell r="B5443" t="str">
            <v>6</v>
          </cell>
          <cell r="AN5443">
            <v>597</v>
          </cell>
          <cell r="AP5443">
            <v>10</v>
          </cell>
        </row>
        <row r="5444">
          <cell r="B5444" t="str">
            <v>7</v>
          </cell>
          <cell r="AN5444">
            <v>55</v>
          </cell>
          <cell r="AP5444">
            <v>10</v>
          </cell>
        </row>
        <row r="5445">
          <cell r="B5445" t="str">
            <v>7</v>
          </cell>
          <cell r="AN5445">
            <v>77.5</v>
          </cell>
          <cell r="AP5445">
            <v>10</v>
          </cell>
        </row>
        <row r="5446">
          <cell r="B5446" t="str">
            <v>7</v>
          </cell>
          <cell r="AN5446">
            <v>488.20000000000005</v>
          </cell>
          <cell r="AP5446">
            <v>10</v>
          </cell>
        </row>
        <row r="5447">
          <cell r="B5447" t="str">
            <v>7</v>
          </cell>
          <cell r="AN5447">
            <v>233.5</v>
          </cell>
          <cell r="AP5447">
            <v>10</v>
          </cell>
        </row>
        <row r="5448">
          <cell r="B5448" t="str">
            <v>7</v>
          </cell>
          <cell r="AN5448">
            <v>118</v>
          </cell>
          <cell r="AP5448">
            <v>10</v>
          </cell>
        </row>
        <row r="5449">
          <cell r="B5449" t="str">
            <v>7</v>
          </cell>
          <cell r="AN5449">
            <v>171</v>
          </cell>
          <cell r="AP5449">
            <v>10</v>
          </cell>
        </row>
        <row r="5450">
          <cell r="B5450" t="str">
            <v>7</v>
          </cell>
          <cell r="AN5450">
            <v>122</v>
          </cell>
          <cell r="AP5450">
            <v>10</v>
          </cell>
        </row>
        <row r="5451">
          <cell r="B5451" t="str">
            <v>8</v>
          </cell>
          <cell r="AN5451">
            <v>94.5</v>
          </cell>
          <cell r="AP5451">
            <v>10</v>
          </cell>
        </row>
        <row r="5452">
          <cell r="B5452" t="str">
            <v>8</v>
          </cell>
          <cell r="AN5452">
            <v>262.5</v>
          </cell>
          <cell r="AP5452">
            <v>10</v>
          </cell>
        </row>
        <row r="5453">
          <cell r="B5453" t="str">
            <v>8</v>
          </cell>
          <cell r="AN5453">
            <v>386.4</v>
          </cell>
          <cell r="AP5453">
            <v>10</v>
          </cell>
        </row>
        <row r="5454">
          <cell r="B5454" t="str">
            <v>1</v>
          </cell>
          <cell r="AN5454">
            <v>136.5</v>
          </cell>
          <cell r="AP5454">
            <v>11</v>
          </cell>
        </row>
        <row r="5455">
          <cell r="B5455" t="str">
            <v>1</v>
          </cell>
          <cell r="AN5455">
            <v>152.9</v>
          </cell>
          <cell r="AP5455">
            <v>11</v>
          </cell>
        </row>
        <row r="5456">
          <cell r="B5456" t="str">
            <v>2</v>
          </cell>
          <cell r="AN5456">
            <v>157</v>
          </cell>
          <cell r="AP5456">
            <v>11</v>
          </cell>
        </row>
        <row r="5457">
          <cell r="B5457" t="str">
            <v>2</v>
          </cell>
          <cell r="AN5457">
            <v>61.5</v>
          </cell>
          <cell r="AP5457">
            <v>11</v>
          </cell>
        </row>
        <row r="5458">
          <cell r="B5458" t="str">
            <v>2</v>
          </cell>
          <cell r="AN5458">
            <v>221.2</v>
          </cell>
          <cell r="AP5458">
            <v>11</v>
          </cell>
        </row>
        <row r="5459">
          <cell r="B5459" t="str">
            <v>4</v>
          </cell>
          <cell r="AN5459">
            <v>85.4</v>
          </cell>
          <cell r="AP5459">
            <v>11</v>
          </cell>
        </row>
        <row r="5460">
          <cell r="B5460" t="str">
            <v>4</v>
          </cell>
          <cell r="AN5460">
            <v>118</v>
          </cell>
          <cell r="AP5460">
            <v>11</v>
          </cell>
        </row>
        <row r="5461">
          <cell r="B5461" t="str">
            <v>4</v>
          </cell>
          <cell r="AN5461">
            <v>122</v>
          </cell>
          <cell r="AP5461">
            <v>11</v>
          </cell>
        </row>
        <row r="5462">
          <cell r="B5462" t="str">
            <v>4</v>
          </cell>
          <cell r="AN5462">
            <v>113</v>
          </cell>
          <cell r="AP5462">
            <v>11</v>
          </cell>
        </row>
        <row r="5463">
          <cell r="B5463" t="str">
            <v>4</v>
          </cell>
          <cell r="AN5463">
            <v>108</v>
          </cell>
          <cell r="AP5463">
            <v>11</v>
          </cell>
        </row>
        <row r="5464">
          <cell r="B5464" t="str">
            <v>4</v>
          </cell>
          <cell r="AN5464">
            <v>274</v>
          </cell>
          <cell r="AP5464">
            <v>11</v>
          </cell>
        </row>
        <row r="5465">
          <cell r="B5465" t="str">
            <v>5</v>
          </cell>
          <cell r="AN5465">
            <v>409</v>
          </cell>
          <cell r="AP5465">
            <v>11</v>
          </cell>
        </row>
        <row r="5466">
          <cell r="B5466" t="str">
            <v>5</v>
          </cell>
          <cell r="AN5466">
            <v>416</v>
          </cell>
          <cell r="AP5466">
            <v>11</v>
          </cell>
        </row>
        <row r="5467">
          <cell r="B5467" t="str">
            <v>6</v>
          </cell>
          <cell r="AN5467">
            <v>229.3</v>
          </cell>
          <cell r="AP5467">
            <v>11</v>
          </cell>
        </row>
        <row r="5468">
          <cell r="B5468" t="str">
            <v>6</v>
          </cell>
          <cell r="AN5468">
            <v>168.5</v>
          </cell>
          <cell r="AP5468">
            <v>11</v>
          </cell>
        </row>
        <row r="5469">
          <cell r="B5469" t="str">
            <v>6</v>
          </cell>
          <cell r="AN5469">
            <v>169</v>
          </cell>
          <cell r="AP5469">
            <v>11</v>
          </cell>
        </row>
        <row r="5470">
          <cell r="B5470" t="str">
            <v>6</v>
          </cell>
          <cell r="AN5470">
            <v>136.5</v>
          </cell>
          <cell r="AP5470">
            <v>11</v>
          </cell>
        </row>
        <row r="5471">
          <cell r="B5471" t="str">
            <v>6</v>
          </cell>
          <cell r="AN5471">
            <v>488.6</v>
          </cell>
          <cell r="AP5471">
            <v>11</v>
          </cell>
        </row>
        <row r="5472">
          <cell r="B5472" t="str">
            <v>7</v>
          </cell>
          <cell r="AN5472">
            <v>382.5</v>
          </cell>
          <cell r="AP5472">
            <v>11</v>
          </cell>
        </row>
        <row r="5473">
          <cell r="B5473" t="str">
            <v>7</v>
          </cell>
          <cell r="AN5473">
            <v>172.5</v>
          </cell>
          <cell r="AP5473">
            <v>11</v>
          </cell>
        </row>
        <row r="5474">
          <cell r="B5474" t="str">
            <v>8</v>
          </cell>
          <cell r="AN5474">
            <v>400</v>
          </cell>
          <cell r="AP5474">
            <v>11</v>
          </cell>
        </row>
        <row r="5475">
          <cell r="B5475" t="str">
            <v>8</v>
          </cell>
          <cell r="AN5475">
            <v>363.3</v>
          </cell>
          <cell r="AP5475">
            <v>11</v>
          </cell>
        </row>
        <row r="5476">
          <cell r="B5476" t="str">
            <v>1</v>
          </cell>
          <cell r="AN5476">
            <v>51</v>
          </cell>
          <cell r="AP5476">
            <v>11</v>
          </cell>
        </row>
        <row r="5477">
          <cell r="B5477" t="str">
            <v>1</v>
          </cell>
          <cell r="AN5477">
            <v>110.5</v>
          </cell>
          <cell r="AP5477">
            <v>11</v>
          </cell>
        </row>
        <row r="5478">
          <cell r="B5478" t="str">
            <v>1</v>
          </cell>
          <cell r="AN5478">
            <v>151.4</v>
          </cell>
          <cell r="AP5478">
            <v>11</v>
          </cell>
        </row>
        <row r="5479">
          <cell r="B5479" t="str">
            <v>2</v>
          </cell>
          <cell r="AN5479">
            <v>206</v>
          </cell>
          <cell r="AP5479">
            <v>11</v>
          </cell>
        </row>
        <row r="5480">
          <cell r="B5480" t="str">
            <v>2</v>
          </cell>
          <cell r="AN5480">
            <v>212.4</v>
          </cell>
          <cell r="AP5480">
            <v>11</v>
          </cell>
        </row>
        <row r="5481">
          <cell r="B5481" t="str">
            <v>4</v>
          </cell>
          <cell r="AN5481">
            <v>253.5</v>
          </cell>
          <cell r="AP5481">
            <v>11</v>
          </cell>
        </row>
        <row r="5482">
          <cell r="B5482" t="str">
            <v>4</v>
          </cell>
          <cell r="AN5482">
            <v>126.5</v>
          </cell>
          <cell r="AP5482">
            <v>11</v>
          </cell>
        </row>
        <row r="5483">
          <cell r="B5483" t="str">
            <v>4</v>
          </cell>
          <cell r="AN5483">
            <v>376.9</v>
          </cell>
          <cell r="AP5483">
            <v>11</v>
          </cell>
        </row>
        <row r="5484">
          <cell r="B5484" t="str">
            <v>5</v>
          </cell>
          <cell r="AN5484">
            <v>396.5</v>
          </cell>
          <cell r="AP5484">
            <v>11</v>
          </cell>
        </row>
        <row r="5485">
          <cell r="B5485" t="str">
            <v>5</v>
          </cell>
          <cell r="AN5485">
            <v>366.9</v>
          </cell>
          <cell r="AP5485">
            <v>11</v>
          </cell>
        </row>
        <row r="5486">
          <cell r="B5486" t="str">
            <v>6</v>
          </cell>
          <cell r="AN5486">
            <v>142</v>
          </cell>
          <cell r="AP5486">
            <v>11</v>
          </cell>
        </row>
        <row r="5487">
          <cell r="B5487" t="str">
            <v>6</v>
          </cell>
          <cell r="AN5487">
            <v>143.5</v>
          </cell>
          <cell r="AP5487">
            <v>11</v>
          </cell>
        </row>
        <row r="5488">
          <cell r="B5488" t="str">
            <v>6</v>
          </cell>
          <cell r="AN5488">
            <v>144</v>
          </cell>
          <cell r="AP5488">
            <v>11</v>
          </cell>
        </row>
        <row r="5489">
          <cell r="B5489" t="str">
            <v>6</v>
          </cell>
          <cell r="AN5489">
            <v>133</v>
          </cell>
          <cell r="AP5489">
            <v>11</v>
          </cell>
        </row>
        <row r="5490">
          <cell r="B5490" t="str">
            <v>6</v>
          </cell>
          <cell r="AN5490">
            <v>350</v>
          </cell>
          <cell r="AP5490">
            <v>11</v>
          </cell>
        </row>
        <row r="5491">
          <cell r="B5491" t="str">
            <v>6</v>
          </cell>
          <cell r="AN5491">
            <v>192.9</v>
          </cell>
          <cell r="AP5491">
            <v>11</v>
          </cell>
        </row>
        <row r="5492">
          <cell r="B5492" t="str">
            <v>7</v>
          </cell>
          <cell r="AN5492">
            <v>61.5</v>
          </cell>
          <cell r="AP5492">
            <v>11</v>
          </cell>
        </row>
        <row r="5493">
          <cell r="B5493" t="str">
            <v>7</v>
          </cell>
          <cell r="AN5493">
            <v>165.35</v>
          </cell>
          <cell r="AP5493">
            <v>11</v>
          </cell>
        </row>
        <row r="5494">
          <cell r="B5494" t="str">
            <v>7</v>
          </cell>
          <cell r="AN5494">
            <v>103</v>
          </cell>
          <cell r="AP5494">
            <v>11</v>
          </cell>
        </row>
        <row r="5495">
          <cell r="B5495" t="str">
            <v>7</v>
          </cell>
          <cell r="AN5495">
            <v>97</v>
          </cell>
          <cell r="AP5495">
            <v>11</v>
          </cell>
        </row>
        <row r="5496">
          <cell r="B5496" t="str">
            <v>7</v>
          </cell>
          <cell r="AN5496">
            <v>145</v>
          </cell>
          <cell r="AP5496">
            <v>11</v>
          </cell>
        </row>
        <row r="5497">
          <cell r="B5497" t="str">
            <v>7</v>
          </cell>
          <cell r="AN5497">
            <v>110.5</v>
          </cell>
          <cell r="AP5497">
            <v>11</v>
          </cell>
        </row>
        <row r="5498">
          <cell r="B5498" t="str">
            <v>7</v>
          </cell>
          <cell r="AN5498">
            <v>453</v>
          </cell>
          <cell r="AP5498">
            <v>11</v>
          </cell>
        </row>
        <row r="5499">
          <cell r="B5499" t="str">
            <v>7</v>
          </cell>
          <cell r="AN5499">
            <v>96.5</v>
          </cell>
          <cell r="AP5499">
            <v>11</v>
          </cell>
        </row>
        <row r="5500">
          <cell r="B5500" t="str">
            <v>8</v>
          </cell>
          <cell r="AN5500">
            <v>172</v>
          </cell>
          <cell r="AP5500">
            <v>11</v>
          </cell>
        </row>
        <row r="5501">
          <cell r="B5501" t="str">
            <v>8</v>
          </cell>
          <cell r="AN5501">
            <v>71</v>
          </cell>
          <cell r="AP5501">
            <v>11</v>
          </cell>
        </row>
        <row r="5502">
          <cell r="B5502" t="str">
            <v>8</v>
          </cell>
          <cell r="AN5502">
            <v>277</v>
          </cell>
          <cell r="AP5502">
            <v>11</v>
          </cell>
        </row>
        <row r="5503">
          <cell r="B5503" t="str">
            <v>8</v>
          </cell>
          <cell r="AN5503">
            <v>140.80000000000001</v>
          </cell>
          <cell r="AP5503">
            <v>11</v>
          </cell>
        </row>
        <row r="5504">
          <cell r="B5504" t="str">
            <v>8</v>
          </cell>
          <cell r="AN5504">
            <v>292</v>
          </cell>
          <cell r="AP5504">
            <v>11</v>
          </cell>
        </row>
        <row r="5505">
          <cell r="B5505" t="str">
            <v>8</v>
          </cell>
          <cell r="AN5505">
            <v>121</v>
          </cell>
          <cell r="AP5505">
            <v>11</v>
          </cell>
        </row>
        <row r="5506">
          <cell r="B5506" t="str">
            <v>8</v>
          </cell>
          <cell r="AN5506">
            <v>47.5</v>
          </cell>
          <cell r="AP5506">
            <v>11</v>
          </cell>
        </row>
        <row r="5507">
          <cell r="B5507" t="str">
            <v>1</v>
          </cell>
          <cell r="AN5507">
            <v>122</v>
          </cell>
          <cell r="AP5507">
            <v>11</v>
          </cell>
        </row>
        <row r="5508">
          <cell r="B5508" t="str">
            <v>1</v>
          </cell>
          <cell r="AN5508">
            <v>130.19999999999999</v>
          </cell>
          <cell r="AP5508">
            <v>11</v>
          </cell>
        </row>
        <row r="5509">
          <cell r="B5509" t="str">
            <v>2</v>
          </cell>
          <cell r="AN5509">
            <v>202.5</v>
          </cell>
          <cell r="AP5509">
            <v>11</v>
          </cell>
        </row>
        <row r="5510">
          <cell r="B5510" t="str">
            <v>2</v>
          </cell>
          <cell r="AN5510">
            <v>206.5</v>
          </cell>
          <cell r="AP5510">
            <v>11</v>
          </cell>
        </row>
        <row r="5511">
          <cell r="B5511" t="str">
            <v>4</v>
          </cell>
          <cell r="AN5511">
            <v>78.5</v>
          </cell>
          <cell r="AP5511">
            <v>11</v>
          </cell>
        </row>
        <row r="5512">
          <cell r="B5512" t="str">
            <v>4</v>
          </cell>
          <cell r="AN5512">
            <v>311.5</v>
          </cell>
          <cell r="AP5512">
            <v>11</v>
          </cell>
        </row>
        <row r="5513">
          <cell r="B5513" t="str">
            <v>4</v>
          </cell>
          <cell r="AN5513">
            <v>219</v>
          </cell>
          <cell r="AP5513">
            <v>11</v>
          </cell>
        </row>
        <row r="5514">
          <cell r="B5514" t="str">
            <v>4</v>
          </cell>
          <cell r="AN5514">
            <v>149</v>
          </cell>
          <cell r="AP5514">
            <v>11</v>
          </cell>
        </row>
        <row r="5515">
          <cell r="B5515" t="str">
            <v>5</v>
          </cell>
          <cell r="AN5515">
            <v>147</v>
          </cell>
          <cell r="AP5515">
            <v>11</v>
          </cell>
        </row>
        <row r="5516">
          <cell r="B5516" t="str">
            <v>5</v>
          </cell>
          <cell r="AN5516">
            <v>137</v>
          </cell>
          <cell r="AP5516">
            <v>11</v>
          </cell>
        </row>
        <row r="5517">
          <cell r="B5517" t="str">
            <v>5</v>
          </cell>
          <cell r="AN5517">
            <v>113</v>
          </cell>
          <cell r="AP5517">
            <v>11</v>
          </cell>
        </row>
        <row r="5518">
          <cell r="B5518" t="str">
            <v>5</v>
          </cell>
          <cell r="AN5518">
            <v>95.5</v>
          </cell>
          <cell r="AP5518">
            <v>11</v>
          </cell>
        </row>
        <row r="5519">
          <cell r="B5519" t="str">
            <v>5</v>
          </cell>
          <cell r="AN5519">
            <v>74.5</v>
          </cell>
          <cell r="AP5519">
            <v>11</v>
          </cell>
        </row>
        <row r="5520">
          <cell r="B5520" t="str">
            <v>5</v>
          </cell>
          <cell r="AN5520">
            <v>154.30000000000001</v>
          </cell>
          <cell r="AP5520">
            <v>11</v>
          </cell>
        </row>
        <row r="5521">
          <cell r="B5521" t="str">
            <v>7</v>
          </cell>
          <cell r="AN5521">
            <v>274</v>
          </cell>
          <cell r="AP5521">
            <v>11</v>
          </cell>
        </row>
        <row r="5522">
          <cell r="B5522" t="str">
            <v>7</v>
          </cell>
          <cell r="AN5522">
            <v>154.5</v>
          </cell>
          <cell r="AP5522">
            <v>11</v>
          </cell>
        </row>
        <row r="5523">
          <cell r="B5523" t="str">
            <v>7</v>
          </cell>
          <cell r="AN5523">
            <v>109</v>
          </cell>
          <cell r="AP5523">
            <v>11</v>
          </cell>
        </row>
        <row r="5524">
          <cell r="B5524" t="str">
            <v>7</v>
          </cell>
          <cell r="AN5524">
            <v>111.5</v>
          </cell>
          <cell r="AP5524">
            <v>11</v>
          </cell>
        </row>
        <row r="5525">
          <cell r="B5525" t="str">
            <v>7</v>
          </cell>
          <cell r="AN5525">
            <v>73</v>
          </cell>
          <cell r="AP5525">
            <v>11</v>
          </cell>
        </row>
        <row r="5526">
          <cell r="B5526" t="str">
            <v>7</v>
          </cell>
          <cell r="AN5526">
            <v>152</v>
          </cell>
          <cell r="AP5526">
            <v>11</v>
          </cell>
        </row>
        <row r="5527">
          <cell r="B5527" t="str">
            <v>7</v>
          </cell>
          <cell r="AN5527">
            <v>210</v>
          </cell>
          <cell r="AP5527">
            <v>11</v>
          </cell>
        </row>
        <row r="5528">
          <cell r="B5528" t="str">
            <v>7</v>
          </cell>
          <cell r="AN5528">
            <v>279.5</v>
          </cell>
          <cell r="AP5528">
            <v>11</v>
          </cell>
        </row>
        <row r="5529">
          <cell r="B5529" t="str">
            <v>7</v>
          </cell>
          <cell r="AN5529">
            <v>78.5</v>
          </cell>
          <cell r="AP5529">
            <v>11</v>
          </cell>
        </row>
        <row r="5530">
          <cell r="B5530" t="str">
            <v>8</v>
          </cell>
          <cell r="AN5530">
            <v>43</v>
          </cell>
          <cell r="AP5530">
            <v>11</v>
          </cell>
        </row>
        <row r="5531">
          <cell r="B5531" t="str">
            <v>8</v>
          </cell>
          <cell r="AN5531">
            <v>41</v>
          </cell>
          <cell r="AP5531">
            <v>11</v>
          </cell>
        </row>
        <row r="5532">
          <cell r="B5532" t="str">
            <v>8</v>
          </cell>
          <cell r="AN5532">
            <v>349.5</v>
          </cell>
          <cell r="AP5532">
            <v>11</v>
          </cell>
        </row>
        <row r="5533">
          <cell r="B5533" t="str">
            <v>8</v>
          </cell>
          <cell r="AN5533">
            <v>179</v>
          </cell>
          <cell r="AP5533">
            <v>11</v>
          </cell>
        </row>
        <row r="5534">
          <cell r="B5534" t="str">
            <v>8</v>
          </cell>
          <cell r="AN5534">
            <v>284.62</v>
          </cell>
          <cell r="AP5534">
            <v>11</v>
          </cell>
        </row>
        <row r="5535">
          <cell r="B5535" t="str">
            <v>1</v>
          </cell>
          <cell r="AN5535">
            <v>133.30000000000001</v>
          </cell>
          <cell r="AP5535">
            <v>11</v>
          </cell>
        </row>
        <row r="5536">
          <cell r="B5536" t="str">
            <v>1</v>
          </cell>
          <cell r="AN5536">
            <v>123.5</v>
          </cell>
          <cell r="AP5536">
            <v>11</v>
          </cell>
        </row>
        <row r="5537">
          <cell r="B5537" t="str">
            <v>2</v>
          </cell>
          <cell r="AN5537">
            <v>237</v>
          </cell>
          <cell r="AP5537">
            <v>11</v>
          </cell>
        </row>
        <row r="5538">
          <cell r="B5538" t="str">
            <v>2</v>
          </cell>
          <cell r="AN5538">
            <v>220.5</v>
          </cell>
          <cell r="AP5538">
            <v>11</v>
          </cell>
        </row>
        <row r="5539">
          <cell r="B5539" t="str">
            <v>4</v>
          </cell>
          <cell r="AN5539">
            <v>371.5</v>
          </cell>
          <cell r="AP5539">
            <v>11</v>
          </cell>
        </row>
        <row r="5540">
          <cell r="B5540" t="str">
            <v>4</v>
          </cell>
          <cell r="AN5540">
            <v>118</v>
          </cell>
          <cell r="AP5540">
            <v>11</v>
          </cell>
        </row>
        <row r="5541">
          <cell r="B5541" t="str">
            <v>4</v>
          </cell>
          <cell r="AN5541">
            <v>246</v>
          </cell>
          <cell r="AP5541">
            <v>11</v>
          </cell>
        </row>
        <row r="5542">
          <cell r="B5542" t="str">
            <v>5</v>
          </cell>
          <cell r="AN5542">
            <v>298</v>
          </cell>
          <cell r="AP5542">
            <v>11</v>
          </cell>
        </row>
        <row r="5543">
          <cell r="B5543" t="str">
            <v>5</v>
          </cell>
          <cell r="AN5543">
            <v>62.5</v>
          </cell>
          <cell r="AP5543">
            <v>11</v>
          </cell>
        </row>
        <row r="5544">
          <cell r="B5544" t="str">
            <v>5</v>
          </cell>
          <cell r="AN5544">
            <v>78</v>
          </cell>
          <cell r="AP5544">
            <v>11</v>
          </cell>
        </row>
        <row r="5545">
          <cell r="B5545" t="str">
            <v>5</v>
          </cell>
          <cell r="AN5545">
            <v>145</v>
          </cell>
          <cell r="AP5545">
            <v>11</v>
          </cell>
        </row>
        <row r="5546">
          <cell r="B5546" t="str">
            <v>5</v>
          </cell>
          <cell r="AN5546">
            <v>156.5</v>
          </cell>
          <cell r="AP5546">
            <v>11</v>
          </cell>
        </row>
        <row r="5547">
          <cell r="B5547" t="str">
            <v>6</v>
          </cell>
          <cell r="AN5547">
            <v>324.5</v>
          </cell>
          <cell r="AP5547">
            <v>11</v>
          </cell>
        </row>
        <row r="5548">
          <cell r="B5548" t="str">
            <v>7</v>
          </cell>
          <cell r="AN5548">
            <v>72</v>
          </cell>
          <cell r="AP5548">
            <v>11</v>
          </cell>
        </row>
        <row r="5549">
          <cell r="B5549" t="str">
            <v>7</v>
          </cell>
          <cell r="AN5549">
            <v>119.5</v>
          </cell>
          <cell r="AP5549">
            <v>11</v>
          </cell>
        </row>
        <row r="5550">
          <cell r="B5550" t="str">
            <v>7</v>
          </cell>
          <cell r="AN5550">
            <v>235.54</v>
          </cell>
          <cell r="AP5550">
            <v>11</v>
          </cell>
        </row>
        <row r="5551">
          <cell r="B5551" t="str">
            <v>7</v>
          </cell>
          <cell r="AN5551">
            <v>184.5</v>
          </cell>
          <cell r="AP5551">
            <v>11</v>
          </cell>
        </row>
        <row r="5552">
          <cell r="B5552" t="str">
            <v>7</v>
          </cell>
          <cell r="AN5552">
            <v>114</v>
          </cell>
          <cell r="AP5552">
            <v>11</v>
          </cell>
        </row>
        <row r="5553">
          <cell r="B5553" t="str">
            <v>7</v>
          </cell>
          <cell r="AN5553">
            <v>175.8</v>
          </cell>
          <cell r="AP5553">
            <v>11</v>
          </cell>
        </row>
        <row r="5554">
          <cell r="B5554" t="str">
            <v>7</v>
          </cell>
          <cell r="AN5554">
            <v>131.5</v>
          </cell>
          <cell r="AP5554">
            <v>11</v>
          </cell>
        </row>
        <row r="5555">
          <cell r="B5555" t="str">
            <v>7</v>
          </cell>
          <cell r="AN5555">
            <v>109.3</v>
          </cell>
          <cell r="AP5555">
            <v>11</v>
          </cell>
        </row>
        <row r="5556">
          <cell r="B5556" t="str">
            <v>8</v>
          </cell>
          <cell r="AN5556">
            <v>62</v>
          </cell>
          <cell r="AP5556">
            <v>11</v>
          </cell>
        </row>
        <row r="5557">
          <cell r="B5557" t="str">
            <v>8</v>
          </cell>
          <cell r="AN5557">
            <v>360.5</v>
          </cell>
          <cell r="AP5557">
            <v>11</v>
          </cell>
        </row>
        <row r="5558">
          <cell r="B5558" t="str">
            <v>8</v>
          </cell>
          <cell r="AN5558">
            <v>423.3</v>
          </cell>
          <cell r="AP5558">
            <v>11</v>
          </cell>
        </row>
        <row r="5559">
          <cell r="B5559" t="str">
            <v>1</v>
          </cell>
          <cell r="AN5559">
            <v>33.1</v>
          </cell>
          <cell r="AP5559">
            <v>11</v>
          </cell>
        </row>
        <row r="5560">
          <cell r="B5560" t="str">
            <v>1</v>
          </cell>
          <cell r="AN5560">
            <v>27</v>
          </cell>
          <cell r="AP5560">
            <v>11</v>
          </cell>
        </row>
        <row r="5561">
          <cell r="B5561" t="str">
            <v>1</v>
          </cell>
          <cell r="AN5561">
            <v>32.5</v>
          </cell>
          <cell r="AP5561">
            <v>11</v>
          </cell>
        </row>
        <row r="5562">
          <cell r="B5562" t="str">
            <v>1</v>
          </cell>
          <cell r="AN5562">
            <v>28.8</v>
          </cell>
          <cell r="AP5562">
            <v>11</v>
          </cell>
        </row>
        <row r="5563">
          <cell r="B5563" t="str">
            <v>1</v>
          </cell>
          <cell r="AN5563">
            <v>107.4</v>
          </cell>
          <cell r="AP5563">
            <v>11</v>
          </cell>
        </row>
        <row r="5564">
          <cell r="B5564" t="str">
            <v>2</v>
          </cell>
          <cell r="AN5564">
            <v>231.5</v>
          </cell>
          <cell r="AP5564">
            <v>11</v>
          </cell>
        </row>
        <row r="5565">
          <cell r="B5565" t="str">
            <v>2</v>
          </cell>
          <cell r="AN5565">
            <v>226</v>
          </cell>
          <cell r="AP5565">
            <v>11</v>
          </cell>
        </row>
        <row r="5566">
          <cell r="B5566" t="str">
            <v>4</v>
          </cell>
          <cell r="AN5566">
            <v>300.5</v>
          </cell>
          <cell r="AP5566">
            <v>11</v>
          </cell>
        </row>
        <row r="5567">
          <cell r="B5567" t="str">
            <v>4</v>
          </cell>
          <cell r="AN5567">
            <v>62</v>
          </cell>
          <cell r="AP5567">
            <v>11</v>
          </cell>
        </row>
        <row r="5568">
          <cell r="B5568" t="str">
            <v>4</v>
          </cell>
          <cell r="AN5568">
            <v>111</v>
          </cell>
          <cell r="AP5568">
            <v>11</v>
          </cell>
        </row>
        <row r="5569">
          <cell r="B5569" t="str">
            <v>4</v>
          </cell>
          <cell r="AN5569">
            <v>115</v>
          </cell>
          <cell r="AP5569">
            <v>11</v>
          </cell>
        </row>
        <row r="5570">
          <cell r="B5570" t="str">
            <v>4</v>
          </cell>
          <cell r="AN5570">
            <v>176.5</v>
          </cell>
          <cell r="AP5570">
            <v>11</v>
          </cell>
        </row>
        <row r="5571">
          <cell r="B5571" t="str">
            <v>5</v>
          </cell>
          <cell r="AN5571">
            <v>150.5</v>
          </cell>
          <cell r="AP5571">
            <v>11</v>
          </cell>
        </row>
        <row r="5572">
          <cell r="B5572" t="str">
            <v>5</v>
          </cell>
          <cell r="AN5572">
            <v>144.5</v>
          </cell>
          <cell r="AP5572">
            <v>11</v>
          </cell>
        </row>
        <row r="5573">
          <cell r="B5573" t="str">
            <v>5</v>
          </cell>
          <cell r="AN5573">
            <v>62</v>
          </cell>
          <cell r="AP5573">
            <v>11</v>
          </cell>
        </row>
        <row r="5574">
          <cell r="B5574" t="str">
            <v>5</v>
          </cell>
          <cell r="AN5574">
            <v>139</v>
          </cell>
          <cell r="AP5574">
            <v>11</v>
          </cell>
        </row>
        <row r="5575">
          <cell r="B5575" t="str">
            <v>5</v>
          </cell>
          <cell r="AN5575">
            <v>169</v>
          </cell>
          <cell r="AP5575">
            <v>11</v>
          </cell>
        </row>
        <row r="5576">
          <cell r="B5576" t="str">
            <v>6</v>
          </cell>
          <cell r="AN5576">
            <v>402.5</v>
          </cell>
          <cell r="AP5576">
            <v>11</v>
          </cell>
        </row>
        <row r="5577">
          <cell r="B5577" t="str">
            <v>6</v>
          </cell>
          <cell r="AN5577">
            <v>188.5</v>
          </cell>
          <cell r="AP5577">
            <v>11</v>
          </cell>
        </row>
        <row r="5578">
          <cell r="B5578" t="str">
            <v>6</v>
          </cell>
          <cell r="AN5578">
            <v>244.5</v>
          </cell>
          <cell r="AP5578">
            <v>11</v>
          </cell>
        </row>
        <row r="5579">
          <cell r="B5579" t="str">
            <v>6</v>
          </cell>
          <cell r="AN5579">
            <v>223</v>
          </cell>
          <cell r="AP5579">
            <v>11</v>
          </cell>
        </row>
        <row r="5580">
          <cell r="B5580" t="str">
            <v>7</v>
          </cell>
          <cell r="AN5580">
            <v>112.6</v>
          </cell>
          <cell r="AP5580">
            <v>11</v>
          </cell>
        </row>
        <row r="5581">
          <cell r="B5581" t="str">
            <v>7</v>
          </cell>
          <cell r="AN5581">
            <v>319.5</v>
          </cell>
          <cell r="AP5581">
            <v>11</v>
          </cell>
        </row>
        <row r="5582">
          <cell r="B5582" t="str">
            <v>7</v>
          </cell>
          <cell r="AN5582">
            <v>163</v>
          </cell>
          <cell r="AP5582">
            <v>11</v>
          </cell>
        </row>
        <row r="5583">
          <cell r="B5583" t="str">
            <v>7</v>
          </cell>
          <cell r="AN5583">
            <v>76.5</v>
          </cell>
          <cell r="AP5583">
            <v>11</v>
          </cell>
        </row>
        <row r="5584">
          <cell r="B5584" t="str">
            <v>7</v>
          </cell>
          <cell r="AN5584">
            <v>140.5</v>
          </cell>
          <cell r="AP5584">
            <v>11</v>
          </cell>
        </row>
        <row r="5585">
          <cell r="B5585" t="str">
            <v>7</v>
          </cell>
          <cell r="AN5585">
            <v>143</v>
          </cell>
          <cell r="AP5585">
            <v>11</v>
          </cell>
        </row>
        <row r="5586">
          <cell r="B5586" t="str">
            <v>7</v>
          </cell>
          <cell r="AN5586">
            <v>85</v>
          </cell>
          <cell r="AP5586">
            <v>11</v>
          </cell>
        </row>
        <row r="5587">
          <cell r="B5587" t="str">
            <v>7</v>
          </cell>
          <cell r="AN5587">
            <v>115</v>
          </cell>
          <cell r="AP5587">
            <v>11</v>
          </cell>
        </row>
        <row r="5588">
          <cell r="B5588" t="str">
            <v>7</v>
          </cell>
          <cell r="AN5588">
            <v>242</v>
          </cell>
          <cell r="AP5588">
            <v>11</v>
          </cell>
        </row>
        <row r="5589">
          <cell r="B5589" t="str">
            <v>8</v>
          </cell>
          <cell r="AN5589">
            <v>114</v>
          </cell>
          <cell r="AP5589">
            <v>11</v>
          </cell>
        </row>
        <row r="5590">
          <cell r="B5590" t="str">
            <v>8</v>
          </cell>
          <cell r="AN5590">
            <v>113.5</v>
          </cell>
          <cell r="AP5590">
            <v>11</v>
          </cell>
        </row>
        <row r="5591">
          <cell r="B5591" t="str">
            <v>8</v>
          </cell>
          <cell r="AN5591">
            <v>110</v>
          </cell>
          <cell r="AP5591">
            <v>11</v>
          </cell>
        </row>
        <row r="5592">
          <cell r="B5592" t="str">
            <v>8</v>
          </cell>
          <cell r="AN5592">
            <v>103</v>
          </cell>
          <cell r="AP5592">
            <v>11</v>
          </cell>
        </row>
        <row r="5593">
          <cell r="B5593" t="str">
            <v>8</v>
          </cell>
          <cell r="AN5593">
            <v>105.5</v>
          </cell>
          <cell r="AP5593">
            <v>11</v>
          </cell>
        </row>
        <row r="5594">
          <cell r="B5594" t="str">
            <v>8</v>
          </cell>
          <cell r="AN5594">
            <v>104.5</v>
          </cell>
          <cell r="AP5594">
            <v>11</v>
          </cell>
        </row>
        <row r="5595">
          <cell r="B5595" t="str">
            <v>8</v>
          </cell>
          <cell r="AN5595">
            <v>347.5</v>
          </cell>
          <cell r="AP5595">
            <v>11</v>
          </cell>
        </row>
        <row r="5596">
          <cell r="B5596" t="str">
            <v>1</v>
          </cell>
          <cell r="AN5596">
            <v>139.69999999999999</v>
          </cell>
          <cell r="AP5596">
            <v>11</v>
          </cell>
        </row>
        <row r="5597">
          <cell r="B5597" t="str">
            <v>1</v>
          </cell>
          <cell r="AN5597">
            <v>114.25</v>
          </cell>
          <cell r="AP5597">
            <v>11</v>
          </cell>
        </row>
        <row r="5598">
          <cell r="B5598" t="str">
            <v>2</v>
          </cell>
          <cell r="AN5598">
            <v>223.6</v>
          </cell>
          <cell r="AP5598">
            <v>11</v>
          </cell>
        </row>
        <row r="5599">
          <cell r="B5599" t="str">
            <v>2</v>
          </cell>
          <cell r="AN5599">
            <v>63</v>
          </cell>
          <cell r="AP5599">
            <v>11</v>
          </cell>
        </row>
        <row r="5600">
          <cell r="B5600" t="str">
            <v>2</v>
          </cell>
          <cell r="AN5600">
            <v>123.5</v>
          </cell>
          <cell r="AP5600">
            <v>11</v>
          </cell>
        </row>
        <row r="5601">
          <cell r="B5601" t="str">
            <v>2</v>
          </cell>
          <cell r="AN5601">
            <v>61.5</v>
          </cell>
          <cell r="AP5601">
            <v>11</v>
          </cell>
        </row>
        <row r="5602">
          <cell r="B5602" t="str">
            <v>4</v>
          </cell>
          <cell r="AN5602">
            <v>229</v>
          </cell>
          <cell r="AP5602">
            <v>11</v>
          </cell>
        </row>
        <row r="5603">
          <cell r="B5603" t="str">
            <v>4</v>
          </cell>
          <cell r="AN5603">
            <v>161</v>
          </cell>
          <cell r="AP5603">
            <v>11</v>
          </cell>
        </row>
        <row r="5604">
          <cell r="B5604" t="str">
            <v>4</v>
          </cell>
          <cell r="AN5604">
            <v>497</v>
          </cell>
          <cell r="AP5604">
            <v>11</v>
          </cell>
        </row>
        <row r="5605">
          <cell r="B5605" t="str">
            <v>5</v>
          </cell>
          <cell r="AN5605">
            <v>189.5</v>
          </cell>
          <cell r="AP5605">
            <v>11</v>
          </cell>
        </row>
        <row r="5606">
          <cell r="B5606" t="str">
            <v>5</v>
          </cell>
          <cell r="AN5606">
            <v>71.5</v>
          </cell>
          <cell r="AP5606">
            <v>11</v>
          </cell>
        </row>
        <row r="5607">
          <cell r="B5607" t="str">
            <v>5</v>
          </cell>
          <cell r="AN5607">
            <v>315</v>
          </cell>
          <cell r="AP5607">
            <v>11</v>
          </cell>
        </row>
        <row r="5608">
          <cell r="B5608" t="str">
            <v>6</v>
          </cell>
          <cell r="AN5608">
            <v>251.38</v>
          </cell>
          <cell r="AP5608">
            <v>11</v>
          </cell>
        </row>
        <row r="5609">
          <cell r="B5609" t="str">
            <v>6</v>
          </cell>
          <cell r="AN5609">
            <v>351.5</v>
          </cell>
          <cell r="AP5609">
            <v>11</v>
          </cell>
        </row>
        <row r="5610">
          <cell r="B5610" t="str">
            <v>6</v>
          </cell>
          <cell r="AN5610">
            <v>712</v>
          </cell>
          <cell r="AP5610">
            <v>11</v>
          </cell>
        </row>
        <row r="5611">
          <cell r="B5611" t="str">
            <v>7</v>
          </cell>
          <cell r="AN5611">
            <v>583.79999999999995</v>
          </cell>
          <cell r="AP5611">
            <v>11</v>
          </cell>
        </row>
        <row r="5612">
          <cell r="B5612" t="str">
            <v>7</v>
          </cell>
          <cell r="AN5612">
            <v>207</v>
          </cell>
          <cell r="AP5612">
            <v>11</v>
          </cell>
        </row>
        <row r="5613">
          <cell r="B5613" t="str">
            <v>7</v>
          </cell>
          <cell r="AN5613">
            <v>759</v>
          </cell>
          <cell r="AP5613">
            <v>11</v>
          </cell>
        </row>
        <row r="5614">
          <cell r="B5614" t="str">
            <v>7</v>
          </cell>
          <cell r="AN5614">
            <v>322</v>
          </cell>
          <cell r="AP5614">
            <v>11</v>
          </cell>
        </row>
        <row r="5615">
          <cell r="B5615" t="str">
            <v>8</v>
          </cell>
          <cell r="AN5615">
            <v>567</v>
          </cell>
          <cell r="AP5615">
            <v>11</v>
          </cell>
        </row>
        <row r="5616">
          <cell r="B5616" t="str">
            <v>8</v>
          </cell>
          <cell r="AN5616">
            <v>157.5</v>
          </cell>
          <cell r="AP5616">
            <v>11</v>
          </cell>
        </row>
        <row r="5617">
          <cell r="B5617" t="str">
            <v>8</v>
          </cell>
          <cell r="AN5617">
            <v>279.5</v>
          </cell>
          <cell r="AP5617">
            <v>11</v>
          </cell>
        </row>
        <row r="5618">
          <cell r="B5618" t="str">
            <v>1</v>
          </cell>
          <cell r="AN5618">
            <v>121</v>
          </cell>
          <cell r="AP5618">
            <v>11</v>
          </cell>
        </row>
        <row r="5619">
          <cell r="B5619" t="str">
            <v>1</v>
          </cell>
          <cell r="AN5619">
            <v>51.5</v>
          </cell>
          <cell r="AP5619">
            <v>11</v>
          </cell>
        </row>
        <row r="5620">
          <cell r="B5620" t="str">
            <v>1</v>
          </cell>
          <cell r="AN5620">
            <v>241.5</v>
          </cell>
          <cell r="AP5620">
            <v>11</v>
          </cell>
        </row>
        <row r="5621">
          <cell r="B5621" t="str">
            <v>2</v>
          </cell>
          <cell r="AN5621">
            <v>51.9</v>
          </cell>
          <cell r="AP5621">
            <v>11</v>
          </cell>
        </row>
        <row r="5622">
          <cell r="B5622" t="str">
            <v>4</v>
          </cell>
          <cell r="AN5622">
            <v>30.5</v>
          </cell>
          <cell r="AP5622">
            <v>11</v>
          </cell>
        </row>
        <row r="5623">
          <cell r="B5623" t="str">
            <v>4</v>
          </cell>
          <cell r="AN5623">
            <v>62.5</v>
          </cell>
          <cell r="AP5623">
            <v>11</v>
          </cell>
        </row>
        <row r="5624">
          <cell r="B5624" t="str">
            <v>4</v>
          </cell>
          <cell r="AN5624">
            <v>265.5</v>
          </cell>
          <cell r="AP5624">
            <v>11</v>
          </cell>
        </row>
        <row r="5625">
          <cell r="B5625" t="str">
            <v>4</v>
          </cell>
          <cell r="AN5625">
            <v>76</v>
          </cell>
          <cell r="AP5625">
            <v>11</v>
          </cell>
        </row>
        <row r="5626">
          <cell r="B5626" t="str">
            <v>4</v>
          </cell>
          <cell r="AN5626">
            <v>253.5</v>
          </cell>
          <cell r="AP5626">
            <v>11</v>
          </cell>
        </row>
        <row r="5627">
          <cell r="B5627" t="str">
            <v>5</v>
          </cell>
          <cell r="AN5627">
            <v>144.5</v>
          </cell>
          <cell r="AP5627">
            <v>11</v>
          </cell>
        </row>
        <row r="5628">
          <cell r="B5628" t="str">
            <v>5</v>
          </cell>
          <cell r="AN5628">
            <v>79.5</v>
          </cell>
          <cell r="AP5628">
            <v>11</v>
          </cell>
        </row>
        <row r="5629">
          <cell r="B5629" t="str">
            <v>5</v>
          </cell>
          <cell r="AN5629">
            <v>197.5</v>
          </cell>
          <cell r="AP5629">
            <v>11</v>
          </cell>
        </row>
        <row r="5630">
          <cell r="B5630" t="str">
            <v>5</v>
          </cell>
          <cell r="AN5630">
            <v>70</v>
          </cell>
          <cell r="AP5630">
            <v>11</v>
          </cell>
        </row>
        <row r="5631">
          <cell r="B5631" t="str">
            <v>6</v>
          </cell>
          <cell r="AN5631">
            <v>586.5</v>
          </cell>
          <cell r="AP5631">
            <v>11</v>
          </cell>
        </row>
        <row r="5632">
          <cell r="B5632" t="str">
            <v>6</v>
          </cell>
          <cell r="AN5632">
            <v>462.5</v>
          </cell>
          <cell r="AP5632">
            <v>11</v>
          </cell>
        </row>
        <row r="5633">
          <cell r="B5633" t="str">
            <v>7</v>
          </cell>
          <cell r="AN5633">
            <v>988.1</v>
          </cell>
          <cell r="AP5633">
            <v>11</v>
          </cell>
        </row>
        <row r="5634">
          <cell r="B5634" t="str">
            <v>7</v>
          </cell>
          <cell r="AN5634">
            <v>107</v>
          </cell>
          <cell r="AP5634">
            <v>11</v>
          </cell>
        </row>
        <row r="5635">
          <cell r="B5635" t="str">
            <v>7</v>
          </cell>
          <cell r="AN5635">
            <v>112</v>
          </cell>
          <cell r="AP5635">
            <v>11</v>
          </cell>
        </row>
        <row r="5636">
          <cell r="B5636" t="str">
            <v>7</v>
          </cell>
          <cell r="AN5636">
            <v>478</v>
          </cell>
          <cell r="AP5636">
            <v>11</v>
          </cell>
        </row>
        <row r="5637">
          <cell r="B5637" t="str">
            <v>8</v>
          </cell>
          <cell r="AN5637">
            <v>160.5</v>
          </cell>
          <cell r="AP5637">
            <v>11</v>
          </cell>
        </row>
        <row r="5638">
          <cell r="B5638" t="str">
            <v>8</v>
          </cell>
          <cell r="AN5638">
            <v>146</v>
          </cell>
          <cell r="AP5638">
            <v>11</v>
          </cell>
        </row>
        <row r="5639">
          <cell r="B5639" t="str">
            <v>8</v>
          </cell>
          <cell r="AN5639">
            <v>56.5</v>
          </cell>
          <cell r="AP5639">
            <v>11</v>
          </cell>
        </row>
        <row r="5640">
          <cell r="B5640" t="str">
            <v>8</v>
          </cell>
          <cell r="AN5640">
            <v>307.5</v>
          </cell>
          <cell r="AP5640">
            <v>11</v>
          </cell>
        </row>
        <row r="5641">
          <cell r="B5641" t="str">
            <v>8</v>
          </cell>
          <cell r="AN5641">
            <v>146</v>
          </cell>
          <cell r="AP5641">
            <v>11</v>
          </cell>
        </row>
        <row r="5642">
          <cell r="B5642" t="str">
            <v>8</v>
          </cell>
          <cell r="AN5642">
            <v>95</v>
          </cell>
          <cell r="AP5642">
            <v>11</v>
          </cell>
        </row>
        <row r="5643">
          <cell r="B5643" t="str">
            <v>1</v>
          </cell>
          <cell r="AN5643">
            <v>30.5</v>
          </cell>
          <cell r="AP5643">
            <v>12</v>
          </cell>
        </row>
        <row r="5644">
          <cell r="B5644" t="str">
            <v>1</v>
          </cell>
          <cell r="AN5644">
            <v>117.00000000000001</v>
          </cell>
          <cell r="AP5644">
            <v>12</v>
          </cell>
        </row>
        <row r="5645">
          <cell r="B5645" t="str">
            <v>1</v>
          </cell>
          <cell r="AN5645">
            <v>45.900000000000006</v>
          </cell>
          <cell r="AP5645">
            <v>12</v>
          </cell>
        </row>
        <row r="5646">
          <cell r="B5646" t="str">
            <v>4</v>
          </cell>
          <cell r="AN5646">
            <v>75</v>
          </cell>
          <cell r="AP5646">
            <v>12</v>
          </cell>
        </row>
        <row r="5647">
          <cell r="B5647" t="str">
            <v>4</v>
          </cell>
          <cell r="AN5647">
            <v>109.5</v>
          </cell>
          <cell r="AP5647">
            <v>12</v>
          </cell>
        </row>
        <row r="5648">
          <cell r="B5648" t="str">
            <v>4</v>
          </cell>
          <cell r="AN5648">
            <v>50.5</v>
          </cell>
          <cell r="AP5648">
            <v>12</v>
          </cell>
        </row>
        <row r="5649">
          <cell r="B5649" t="str">
            <v>4</v>
          </cell>
          <cell r="AN5649">
            <v>60.5</v>
          </cell>
          <cell r="AP5649">
            <v>12</v>
          </cell>
        </row>
        <row r="5650">
          <cell r="B5650" t="str">
            <v>4</v>
          </cell>
          <cell r="AN5650">
            <v>67.400000000000006</v>
          </cell>
          <cell r="AP5650">
            <v>12</v>
          </cell>
        </row>
        <row r="5651">
          <cell r="B5651" t="str">
            <v>4</v>
          </cell>
          <cell r="AN5651">
            <v>206.9</v>
          </cell>
          <cell r="AP5651">
            <v>12</v>
          </cell>
        </row>
        <row r="5652">
          <cell r="B5652" t="str">
            <v>5</v>
          </cell>
          <cell r="AN5652">
            <v>115</v>
          </cell>
          <cell r="AP5652">
            <v>12</v>
          </cell>
        </row>
        <row r="5653">
          <cell r="B5653" t="str">
            <v>5</v>
          </cell>
          <cell r="AN5653">
            <v>145.5</v>
          </cell>
          <cell r="AP5653">
            <v>12</v>
          </cell>
        </row>
        <row r="5654">
          <cell r="B5654" t="str">
            <v>5</v>
          </cell>
          <cell r="AN5654">
            <v>405.5</v>
          </cell>
          <cell r="AP5654">
            <v>12</v>
          </cell>
        </row>
        <row r="5655">
          <cell r="B5655" t="str">
            <v>6</v>
          </cell>
          <cell r="AN5655">
            <v>549.1</v>
          </cell>
          <cell r="AP5655">
            <v>12</v>
          </cell>
        </row>
        <row r="5656">
          <cell r="B5656" t="str">
            <v>6</v>
          </cell>
          <cell r="AN5656">
            <v>566</v>
          </cell>
          <cell r="AP5656">
            <v>12</v>
          </cell>
        </row>
        <row r="5657">
          <cell r="B5657" t="str">
            <v>7</v>
          </cell>
          <cell r="AN5657">
            <v>276.3</v>
          </cell>
          <cell r="AP5657">
            <v>12</v>
          </cell>
        </row>
        <row r="5658">
          <cell r="B5658" t="str">
            <v>7</v>
          </cell>
          <cell r="AN5658">
            <v>344</v>
          </cell>
          <cell r="AP5658">
            <v>12</v>
          </cell>
        </row>
        <row r="5659">
          <cell r="B5659" t="str">
            <v>7</v>
          </cell>
          <cell r="AN5659">
            <v>226.5</v>
          </cell>
          <cell r="AP5659">
            <v>12</v>
          </cell>
        </row>
        <row r="5660">
          <cell r="B5660" t="str">
            <v>7</v>
          </cell>
          <cell r="AN5660">
            <v>133</v>
          </cell>
          <cell r="AP5660">
            <v>12</v>
          </cell>
        </row>
        <row r="5661">
          <cell r="B5661" t="str">
            <v>7</v>
          </cell>
          <cell r="AN5661">
            <v>263</v>
          </cell>
          <cell r="AP5661">
            <v>12</v>
          </cell>
        </row>
        <row r="5662">
          <cell r="B5662" t="str">
            <v>7</v>
          </cell>
          <cell r="AN5662">
            <v>136</v>
          </cell>
          <cell r="AP5662">
            <v>12</v>
          </cell>
        </row>
        <row r="5663">
          <cell r="B5663" t="str">
            <v>8</v>
          </cell>
          <cell r="AN5663">
            <v>174</v>
          </cell>
          <cell r="AP5663">
            <v>12</v>
          </cell>
        </row>
        <row r="5664">
          <cell r="B5664" t="str">
            <v>8</v>
          </cell>
          <cell r="AN5664">
            <v>212.5</v>
          </cell>
          <cell r="AP5664">
            <v>12</v>
          </cell>
        </row>
        <row r="5665">
          <cell r="B5665" t="str">
            <v>8</v>
          </cell>
          <cell r="AN5665">
            <v>460</v>
          </cell>
          <cell r="AP5665">
            <v>12</v>
          </cell>
        </row>
        <row r="5666">
          <cell r="B5666" t="str">
            <v>6</v>
          </cell>
          <cell r="AN5666">
            <v>377.5</v>
          </cell>
          <cell r="AP5666">
            <v>12</v>
          </cell>
        </row>
        <row r="5667">
          <cell r="B5667" t="str">
            <v>7</v>
          </cell>
          <cell r="AN5667">
            <v>375</v>
          </cell>
          <cell r="AP5667">
            <v>12</v>
          </cell>
        </row>
        <row r="5668">
          <cell r="B5668" t="str">
            <v>8</v>
          </cell>
          <cell r="AN5668">
            <v>193.5</v>
          </cell>
          <cell r="AP5668">
            <v>12</v>
          </cell>
        </row>
        <row r="5669">
          <cell r="B5669" t="str">
            <v>8</v>
          </cell>
          <cell r="AN5669">
            <v>66.5</v>
          </cell>
          <cell r="AP5669">
            <v>12</v>
          </cell>
        </row>
        <row r="5670">
          <cell r="B5670" t="str">
            <v>8</v>
          </cell>
          <cell r="AN5670">
            <v>118</v>
          </cell>
          <cell r="AP5670">
            <v>12</v>
          </cell>
        </row>
        <row r="5671">
          <cell r="B5671" t="str">
            <v>8</v>
          </cell>
          <cell r="AN5671">
            <v>104.5</v>
          </cell>
          <cell r="AP5671">
            <v>12</v>
          </cell>
        </row>
        <row r="5672">
          <cell r="B5672" t="str">
            <v>8</v>
          </cell>
          <cell r="AN5672">
            <v>58</v>
          </cell>
          <cell r="AP5672">
            <v>12</v>
          </cell>
        </row>
        <row r="5673">
          <cell r="B5673" t="str">
            <v>8</v>
          </cell>
          <cell r="AN5673">
            <v>395.5</v>
          </cell>
          <cell r="AP5673">
            <v>12</v>
          </cell>
        </row>
        <row r="5674">
          <cell r="B5674" t="str">
            <v>1</v>
          </cell>
          <cell r="AN5674">
            <v>227</v>
          </cell>
          <cell r="AP5674">
            <v>12</v>
          </cell>
        </row>
        <row r="5675">
          <cell r="B5675" t="str">
            <v>1</v>
          </cell>
          <cell r="AN5675">
            <v>171</v>
          </cell>
          <cell r="AP5675">
            <v>12</v>
          </cell>
        </row>
        <row r="5676">
          <cell r="B5676" t="str">
            <v>1</v>
          </cell>
          <cell r="AN5676">
            <v>172</v>
          </cell>
          <cell r="AP5676">
            <v>12</v>
          </cell>
        </row>
        <row r="5677">
          <cell r="B5677" t="str">
            <v>1</v>
          </cell>
          <cell r="AN5677">
            <v>128</v>
          </cell>
          <cell r="AP5677">
            <v>12</v>
          </cell>
        </row>
        <row r="5678">
          <cell r="B5678" t="str">
            <v>7</v>
          </cell>
          <cell r="AN5678">
            <v>107.5</v>
          </cell>
          <cell r="AP5678">
            <v>12</v>
          </cell>
        </row>
        <row r="5679">
          <cell r="B5679" t="str">
            <v>7</v>
          </cell>
          <cell r="AN5679">
            <v>226</v>
          </cell>
          <cell r="AP5679">
            <v>12</v>
          </cell>
        </row>
        <row r="5680">
          <cell r="B5680" t="str">
            <v>7</v>
          </cell>
          <cell r="AN5680">
            <v>180.5</v>
          </cell>
          <cell r="AP5680">
            <v>12</v>
          </cell>
        </row>
        <row r="5682">
          <cell r="B5682" t="str">
            <v>1</v>
          </cell>
          <cell r="AN5682">
            <v>51</v>
          </cell>
        </row>
        <row r="5683">
          <cell r="B5683" t="str">
            <v>1</v>
          </cell>
          <cell r="AN5683">
            <v>200</v>
          </cell>
        </row>
        <row r="5684">
          <cell r="B5684" t="str">
            <v>4</v>
          </cell>
          <cell r="AN5684">
            <v>178.5</v>
          </cell>
        </row>
        <row r="5685">
          <cell r="B5685" t="str">
            <v>6</v>
          </cell>
          <cell r="AN5685">
            <v>128</v>
          </cell>
        </row>
        <row r="5686">
          <cell r="B5686" t="str">
            <v>6</v>
          </cell>
          <cell r="AN5686">
            <v>226.5</v>
          </cell>
        </row>
        <row r="5687">
          <cell r="B5687" t="str">
            <v>7</v>
          </cell>
          <cell r="AN5687">
            <v>217.5</v>
          </cell>
        </row>
        <row r="5688">
          <cell r="B5688" t="str">
            <v>8</v>
          </cell>
          <cell r="AN5688">
            <v>127.4</v>
          </cell>
        </row>
        <row r="5689">
          <cell r="B5689" t="str">
            <v>8</v>
          </cell>
          <cell r="AN5689">
            <v>442</v>
          </cell>
        </row>
        <row r="5690">
          <cell r="B5690" t="str">
            <v>1</v>
          </cell>
          <cell r="AN5690">
            <v>184.5</v>
          </cell>
        </row>
        <row r="5691">
          <cell r="B5691" t="str">
            <v>1</v>
          </cell>
          <cell r="AN5691">
            <v>188.5</v>
          </cell>
        </row>
        <row r="5692">
          <cell r="B5692" t="str">
            <v>4</v>
          </cell>
          <cell r="AN5692">
            <v>530.5</v>
          </cell>
        </row>
        <row r="5693">
          <cell r="B5693" t="str">
            <v>4</v>
          </cell>
          <cell r="AN5693">
            <v>471</v>
          </cell>
        </row>
        <row r="5694">
          <cell r="B5694" t="str">
            <v>5</v>
          </cell>
          <cell r="AN5694">
            <v>61</v>
          </cell>
        </row>
        <row r="5695">
          <cell r="B5695" t="str">
            <v>6</v>
          </cell>
          <cell r="AN5695">
            <v>484</v>
          </cell>
        </row>
        <row r="5696">
          <cell r="B5696" t="str">
            <v>6</v>
          </cell>
          <cell r="AN5696">
            <v>431</v>
          </cell>
        </row>
        <row r="5697">
          <cell r="B5697" t="str">
            <v>7</v>
          </cell>
          <cell r="AN5697">
            <v>297</v>
          </cell>
        </row>
        <row r="5698">
          <cell r="B5698" t="str">
            <v>7</v>
          </cell>
          <cell r="AN5698">
            <v>133.5</v>
          </cell>
        </row>
        <row r="5699">
          <cell r="B5699" t="str">
            <v>7</v>
          </cell>
          <cell r="AN5699">
            <v>67</v>
          </cell>
        </row>
        <row r="5700">
          <cell r="B5700" t="str">
            <v>7</v>
          </cell>
          <cell r="AN5700">
            <v>436.5</v>
          </cell>
        </row>
        <row r="5701">
          <cell r="B5701" t="str">
            <v>8</v>
          </cell>
          <cell r="AN5701">
            <v>417</v>
          </cell>
        </row>
        <row r="5702">
          <cell r="B5702" t="str">
            <v>8</v>
          </cell>
          <cell r="AN5702">
            <v>211</v>
          </cell>
        </row>
        <row r="5703">
          <cell r="B5703" t="str">
            <v>8</v>
          </cell>
          <cell r="AN5703">
            <v>167</v>
          </cell>
        </row>
        <row r="5704">
          <cell r="B5704" t="str">
            <v>1</v>
          </cell>
          <cell r="AN5704">
            <v>169.5</v>
          </cell>
          <cell r="AP5704">
            <v>14</v>
          </cell>
        </row>
        <row r="5705">
          <cell r="B5705" t="str">
            <v>1</v>
          </cell>
          <cell r="AN5705">
            <v>160</v>
          </cell>
          <cell r="AP5705">
            <v>14</v>
          </cell>
        </row>
        <row r="5706">
          <cell r="B5706" t="str">
            <v>2</v>
          </cell>
          <cell r="AN5706">
            <v>202.5</v>
          </cell>
          <cell r="AP5706">
            <v>14</v>
          </cell>
        </row>
        <row r="5707">
          <cell r="B5707" t="str">
            <v>4</v>
          </cell>
          <cell r="AN5707">
            <v>359.5</v>
          </cell>
          <cell r="AP5707">
            <v>14</v>
          </cell>
        </row>
        <row r="5708">
          <cell r="B5708" t="str">
            <v>4</v>
          </cell>
          <cell r="AN5708">
            <v>90.5</v>
          </cell>
          <cell r="AP5708">
            <v>14</v>
          </cell>
        </row>
        <row r="5709">
          <cell r="B5709" t="str">
            <v>4</v>
          </cell>
          <cell r="AN5709">
            <v>448.5</v>
          </cell>
          <cell r="AP5709">
            <v>14</v>
          </cell>
        </row>
        <row r="5710">
          <cell r="B5710" t="str">
            <v>5</v>
          </cell>
          <cell r="AN5710">
            <v>294</v>
          </cell>
          <cell r="AP5710">
            <v>14</v>
          </cell>
        </row>
        <row r="5711">
          <cell r="B5711" t="str">
            <v>5</v>
          </cell>
          <cell r="AN5711">
            <v>309.39999999999998</v>
          </cell>
          <cell r="AP5711">
            <v>14</v>
          </cell>
        </row>
        <row r="5712">
          <cell r="B5712" t="str">
            <v>6</v>
          </cell>
          <cell r="AN5712">
            <v>173</v>
          </cell>
          <cell r="AP5712">
            <v>14</v>
          </cell>
        </row>
        <row r="5713">
          <cell r="B5713" t="str">
            <v>6</v>
          </cell>
          <cell r="AN5713">
            <v>426.5</v>
          </cell>
          <cell r="AP5713">
            <v>14</v>
          </cell>
        </row>
        <row r="5714">
          <cell r="B5714" t="str">
            <v>6</v>
          </cell>
          <cell r="AN5714">
            <v>562</v>
          </cell>
          <cell r="AP5714">
            <v>14</v>
          </cell>
        </row>
        <row r="5715">
          <cell r="B5715" t="str">
            <v>7</v>
          </cell>
          <cell r="AN5715">
            <v>242</v>
          </cell>
          <cell r="AP5715">
            <v>14</v>
          </cell>
        </row>
        <row r="5716">
          <cell r="B5716" t="str">
            <v>7</v>
          </cell>
          <cell r="AN5716">
            <v>116.5</v>
          </cell>
          <cell r="AP5716">
            <v>14</v>
          </cell>
        </row>
        <row r="5717">
          <cell r="B5717" t="str">
            <v>7</v>
          </cell>
          <cell r="AN5717">
            <v>224</v>
          </cell>
          <cell r="AP5717">
            <v>14</v>
          </cell>
        </row>
        <row r="5718">
          <cell r="B5718" t="str">
            <v>7</v>
          </cell>
          <cell r="AN5718">
            <v>80.5</v>
          </cell>
          <cell r="AP5718">
            <v>14</v>
          </cell>
        </row>
        <row r="5719">
          <cell r="B5719" t="str">
            <v>8</v>
          </cell>
          <cell r="AN5719">
            <v>147</v>
          </cell>
          <cell r="AP5719">
            <v>14</v>
          </cell>
        </row>
        <row r="5720">
          <cell r="B5720" t="str">
            <v>8</v>
          </cell>
          <cell r="AN5720">
            <v>120</v>
          </cell>
          <cell r="AP5720">
            <v>14</v>
          </cell>
        </row>
        <row r="5721">
          <cell r="B5721" t="str">
            <v>8</v>
          </cell>
          <cell r="AN5721">
            <v>160.5</v>
          </cell>
          <cell r="AP5721">
            <v>14</v>
          </cell>
        </row>
        <row r="5722">
          <cell r="B5722" t="str">
            <v>8</v>
          </cell>
          <cell r="AN5722">
            <v>54.5</v>
          </cell>
          <cell r="AP5722">
            <v>14</v>
          </cell>
        </row>
        <row r="5723">
          <cell r="B5723" t="str">
            <v>8</v>
          </cell>
          <cell r="AN5723">
            <v>501.5</v>
          </cell>
          <cell r="AP5723">
            <v>14</v>
          </cell>
        </row>
        <row r="5724">
          <cell r="B5724" t="str">
            <v>1</v>
          </cell>
          <cell r="AN5724">
            <v>177.5</v>
          </cell>
          <cell r="AP5724">
            <v>14</v>
          </cell>
        </row>
        <row r="5725">
          <cell r="B5725" t="str">
            <v>1</v>
          </cell>
          <cell r="AN5725">
            <v>81.5</v>
          </cell>
          <cell r="AP5725">
            <v>14</v>
          </cell>
        </row>
        <row r="5726">
          <cell r="B5726" t="str">
            <v>1</v>
          </cell>
          <cell r="AN5726">
            <v>103.5</v>
          </cell>
          <cell r="AP5726">
            <v>14</v>
          </cell>
        </row>
        <row r="5727">
          <cell r="B5727" t="str">
            <v>2</v>
          </cell>
          <cell r="AN5727">
            <v>163</v>
          </cell>
          <cell r="AP5727">
            <v>14</v>
          </cell>
        </row>
        <row r="5728">
          <cell r="B5728" t="str">
            <v>2</v>
          </cell>
          <cell r="AN5728">
            <v>155.5</v>
          </cell>
          <cell r="AP5728">
            <v>14</v>
          </cell>
        </row>
        <row r="5729">
          <cell r="B5729" t="str">
            <v>4</v>
          </cell>
          <cell r="AN5729">
            <v>275</v>
          </cell>
          <cell r="AP5729">
            <v>14</v>
          </cell>
        </row>
        <row r="5730">
          <cell r="B5730" t="str">
            <v>4</v>
          </cell>
          <cell r="AN5730">
            <v>267</v>
          </cell>
          <cell r="AP5730">
            <v>14</v>
          </cell>
        </row>
        <row r="5731">
          <cell r="B5731" t="str">
            <v>4</v>
          </cell>
          <cell r="AN5731">
            <v>35</v>
          </cell>
          <cell r="AP5731">
            <v>14</v>
          </cell>
        </row>
        <row r="5732">
          <cell r="B5732" t="str">
            <v>4</v>
          </cell>
          <cell r="AN5732">
            <v>152</v>
          </cell>
          <cell r="AP5732">
            <v>14</v>
          </cell>
        </row>
        <row r="5733">
          <cell r="B5733" t="str">
            <v>5</v>
          </cell>
          <cell r="AN5733">
            <v>285.5</v>
          </cell>
          <cell r="AP5733">
            <v>14</v>
          </cell>
        </row>
        <row r="5734">
          <cell r="B5734" t="str">
            <v>5</v>
          </cell>
          <cell r="AN5734">
            <v>284.89999999999998</v>
          </cell>
          <cell r="AP5734">
            <v>14</v>
          </cell>
        </row>
        <row r="5735">
          <cell r="B5735" t="str">
            <v>6</v>
          </cell>
          <cell r="AN5735">
            <v>631</v>
          </cell>
          <cell r="AP5735">
            <v>14</v>
          </cell>
        </row>
        <row r="5736">
          <cell r="B5736" t="str">
            <v>6</v>
          </cell>
          <cell r="AN5736">
            <v>608.5</v>
          </cell>
          <cell r="AP5736">
            <v>14</v>
          </cell>
        </row>
        <row r="5737">
          <cell r="B5737" t="str">
            <v>7</v>
          </cell>
          <cell r="AN5737">
            <v>106.5</v>
          </cell>
          <cell r="AP5737">
            <v>14</v>
          </cell>
        </row>
        <row r="5738">
          <cell r="B5738" t="str">
            <v>7</v>
          </cell>
          <cell r="AN5738">
            <v>255.5</v>
          </cell>
          <cell r="AP5738">
            <v>14</v>
          </cell>
        </row>
        <row r="5739">
          <cell r="B5739" t="str">
            <v>7</v>
          </cell>
          <cell r="AN5739">
            <v>114.5</v>
          </cell>
          <cell r="AP5739">
            <v>14</v>
          </cell>
        </row>
        <row r="5740">
          <cell r="B5740" t="str">
            <v>7</v>
          </cell>
          <cell r="AN5740">
            <v>103.5</v>
          </cell>
          <cell r="AP5740">
            <v>14</v>
          </cell>
        </row>
        <row r="5741">
          <cell r="B5741" t="str">
            <v>7</v>
          </cell>
          <cell r="AN5741">
            <v>27</v>
          </cell>
          <cell r="AP5741">
            <v>14</v>
          </cell>
        </row>
        <row r="5742">
          <cell r="B5742" t="str">
            <v>7</v>
          </cell>
          <cell r="AN5742">
            <v>110.6</v>
          </cell>
          <cell r="AP5742">
            <v>14</v>
          </cell>
        </row>
        <row r="5743">
          <cell r="B5743" t="str">
            <v>8</v>
          </cell>
          <cell r="AN5743">
            <v>130.5</v>
          </cell>
          <cell r="AP5743">
            <v>14</v>
          </cell>
        </row>
        <row r="5744">
          <cell r="B5744" t="str">
            <v>8</v>
          </cell>
          <cell r="AN5744">
            <v>272</v>
          </cell>
          <cell r="AP5744">
            <v>14</v>
          </cell>
        </row>
        <row r="5745">
          <cell r="B5745" t="str">
            <v>8</v>
          </cell>
          <cell r="AN5745">
            <v>108.5</v>
          </cell>
          <cell r="AP5745">
            <v>14</v>
          </cell>
        </row>
        <row r="5746">
          <cell r="B5746" t="str">
            <v>8</v>
          </cell>
          <cell r="AN5746">
            <v>238.5</v>
          </cell>
          <cell r="AP5746">
            <v>14</v>
          </cell>
        </row>
        <row r="5747">
          <cell r="B5747" t="str">
            <v>8</v>
          </cell>
          <cell r="AN5747">
            <v>170</v>
          </cell>
          <cell r="AP5747">
            <v>14</v>
          </cell>
        </row>
        <row r="5748">
          <cell r="B5748" t="str">
            <v>1</v>
          </cell>
          <cell r="AN5748">
            <v>149.5</v>
          </cell>
          <cell r="AP5748">
            <v>14</v>
          </cell>
        </row>
        <row r="5749">
          <cell r="B5749" t="str">
            <v>1</v>
          </cell>
          <cell r="AN5749">
            <v>148.5</v>
          </cell>
          <cell r="AP5749">
            <v>14</v>
          </cell>
        </row>
        <row r="5750">
          <cell r="B5750" t="str">
            <v>2</v>
          </cell>
          <cell r="AN5750">
            <v>201.9</v>
          </cell>
          <cell r="AP5750">
            <v>14</v>
          </cell>
        </row>
        <row r="5751">
          <cell r="B5751" t="str">
            <v>2</v>
          </cell>
          <cell r="AN5751">
            <v>206.6</v>
          </cell>
          <cell r="AP5751">
            <v>14</v>
          </cell>
        </row>
        <row r="5752">
          <cell r="B5752" t="str">
            <v>4</v>
          </cell>
          <cell r="AN5752">
            <v>89.5</v>
          </cell>
          <cell r="AP5752">
            <v>14</v>
          </cell>
        </row>
        <row r="5753">
          <cell r="B5753" t="str">
            <v>4</v>
          </cell>
          <cell r="AN5753">
            <v>138</v>
          </cell>
          <cell r="AP5753">
            <v>14</v>
          </cell>
        </row>
        <row r="5754">
          <cell r="B5754" t="str">
            <v>4</v>
          </cell>
          <cell r="AN5754">
            <v>102</v>
          </cell>
          <cell r="AP5754">
            <v>14</v>
          </cell>
        </row>
        <row r="5755">
          <cell r="B5755" t="str">
            <v>4</v>
          </cell>
          <cell r="AN5755">
            <v>221.5</v>
          </cell>
          <cell r="AP5755">
            <v>14</v>
          </cell>
        </row>
        <row r="5756">
          <cell r="B5756" t="str">
            <v>4</v>
          </cell>
          <cell r="AN5756">
            <v>43</v>
          </cell>
          <cell r="AP5756">
            <v>14</v>
          </cell>
        </row>
        <row r="5757">
          <cell r="B5757" t="str">
            <v>4</v>
          </cell>
          <cell r="AN5757">
            <v>47</v>
          </cell>
          <cell r="AP5757">
            <v>14</v>
          </cell>
        </row>
        <row r="5758">
          <cell r="B5758" t="str">
            <v>5</v>
          </cell>
          <cell r="AN5758">
            <v>305</v>
          </cell>
          <cell r="AP5758">
            <v>14</v>
          </cell>
        </row>
        <row r="5759">
          <cell r="B5759" t="str">
            <v>5</v>
          </cell>
          <cell r="AN5759">
            <v>312.39999999999998</v>
          </cell>
          <cell r="AP5759">
            <v>14</v>
          </cell>
        </row>
        <row r="5760">
          <cell r="B5760" t="str">
            <v>6</v>
          </cell>
          <cell r="AN5760">
            <v>149</v>
          </cell>
          <cell r="AP5760">
            <v>14</v>
          </cell>
        </row>
        <row r="5761">
          <cell r="B5761" t="str">
            <v>6</v>
          </cell>
          <cell r="AN5761">
            <v>424</v>
          </cell>
          <cell r="AP5761">
            <v>14</v>
          </cell>
        </row>
        <row r="5762">
          <cell r="B5762" t="str">
            <v>6</v>
          </cell>
          <cell r="AN5762">
            <v>567.5</v>
          </cell>
          <cell r="AP5762">
            <v>14</v>
          </cell>
        </row>
        <row r="5763">
          <cell r="B5763" t="str">
            <v>7</v>
          </cell>
          <cell r="AN5763">
            <v>343.5</v>
          </cell>
          <cell r="AP5763">
            <v>14</v>
          </cell>
        </row>
        <row r="5764">
          <cell r="B5764" t="str">
            <v>7</v>
          </cell>
          <cell r="AN5764">
            <v>98</v>
          </cell>
          <cell r="AP5764">
            <v>14</v>
          </cell>
        </row>
        <row r="5765">
          <cell r="B5765" t="str">
            <v>7</v>
          </cell>
          <cell r="AN5765">
            <v>101.5</v>
          </cell>
          <cell r="AP5765">
            <v>14</v>
          </cell>
        </row>
        <row r="5766">
          <cell r="B5766" t="str">
            <v>7</v>
          </cell>
          <cell r="AN5766">
            <v>505.5</v>
          </cell>
          <cell r="AP5766">
            <v>14</v>
          </cell>
        </row>
        <row r="5767">
          <cell r="B5767" t="str">
            <v>8</v>
          </cell>
          <cell r="AN5767">
            <v>117</v>
          </cell>
          <cell r="AP5767">
            <v>14</v>
          </cell>
        </row>
        <row r="5768">
          <cell r="B5768" t="str">
            <v>8</v>
          </cell>
          <cell r="AN5768">
            <v>181.5</v>
          </cell>
          <cell r="AP5768">
            <v>14</v>
          </cell>
        </row>
        <row r="5769">
          <cell r="B5769" t="str">
            <v>8</v>
          </cell>
          <cell r="AN5769">
            <v>109</v>
          </cell>
          <cell r="AP5769">
            <v>14</v>
          </cell>
        </row>
        <row r="5770">
          <cell r="B5770" t="str">
            <v>8</v>
          </cell>
          <cell r="AN5770">
            <v>117.5</v>
          </cell>
          <cell r="AP5770">
            <v>14</v>
          </cell>
        </row>
        <row r="5771">
          <cell r="B5771" t="str">
            <v>8</v>
          </cell>
          <cell r="AN5771">
            <v>55.5</v>
          </cell>
          <cell r="AP5771">
            <v>14</v>
          </cell>
        </row>
        <row r="5772">
          <cell r="B5772" t="str">
            <v>8</v>
          </cell>
          <cell r="AN5772">
            <v>72</v>
          </cell>
          <cell r="AP5772">
            <v>14</v>
          </cell>
        </row>
        <row r="5773">
          <cell r="B5773" t="str">
            <v>8</v>
          </cell>
          <cell r="AN5773">
            <v>215</v>
          </cell>
          <cell r="AP5773">
            <v>14</v>
          </cell>
        </row>
        <row r="5774">
          <cell r="B5774" t="str">
            <v>8</v>
          </cell>
          <cell r="AN5774">
            <v>40</v>
          </cell>
          <cell r="AP5774">
            <v>14</v>
          </cell>
        </row>
        <row r="5775">
          <cell r="B5775" t="str">
            <v>1</v>
          </cell>
          <cell r="AN5775">
            <v>109</v>
          </cell>
          <cell r="AP5775">
            <v>14</v>
          </cell>
        </row>
        <row r="5776">
          <cell r="B5776" t="str">
            <v>1</v>
          </cell>
          <cell r="AN5776">
            <v>113.5</v>
          </cell>
          <cell r="AP5776">
            <v>14</v>
          </cell>
        </row>
        <row r="5777">
          <cell r="B5777" t="str">
            <v>2</v>
          </cell>
          <cell r="AN5777">
            <v>159</v>
          </cell>
          <cell r="AP5777">
            <v>14</v>
          </cell>
        </row>
        <row r="5778">
          <cell r="B5778" t="str">
            <v>2</v>
          </cell>
          <cell r="AN5778">
            <v>51</v>
          </cell>
          <cell r="AP5778">
            <v>14</v>
          </cell>
        </row>
        <row r="5779">
          <cell r="B5779" t="str">
            <v>2</v>
          </cell>
          <cell r="AN5779">
            <v>54.5</v>
          </cell>
          <cell r="AP5779">
            <v>14</v>
          </cell>
        </row>
        <row r="5780">
          <cell r="B5780" t="str">
            <v>2</v>
          </cell>
          <cell r="AN5780">
            <v>122</v>
          </cell>
          <cell r="AP5780">
            <v>14</v>
          </cell>
        </row>
        <row r="5781">
          <cell r="B5781" t="str">
            <v>5</v>
          </cell>
          <cell r="AN5781">
            <v>142</v>
          </cell>
          <cell r="AP5781">
            <v>14</v>
          </cell>
        </row>
        <row r="5782">
          <cell r="B5782" t="str">
            <v>5</v>
          </cell>
          <cell r="AN5782">
            <v>94</v>
          </cell>
          <cell r="AP5782">
            <v>14</v>
          </cell>
        </row>
        <row r="5783">
          <cell r="B5783" t="str">
            <v>5</v>
          </cell>
          <cell r="AN5783">
            <v>439.5</v>
          </cell>
          <cell r="AP5783">
            <v>14</v>
          </cell>
        </row>
        <row r="5784">
          <cell r="B5784" t="str">
            <v>4</v>
          </cell>
          <cell r="AN5784">
            <v>334</v>
          </cell>
          <cell r="AP5784">
            <v>14</v>
          </cell>
        </row>
        <row r="5785">
          <cell r="B5785" t="str">
            <v>4</v>
          </cell>
          <cell r="AN5785">
            <v>248</v>
          </cell>
          <cell r="AP5785">
            <v>14</v>
          </cell>
        </row>
        <row r="5786">
          <cell r="B5786" t="str">
            <v>6</v>
          </cell>
          <cell r="AN5786">
            <v>538.5</v>
          </cell>
          <cell r="AP5786">
            <v>14</v>
          </cell>
        </row>
        <row r="5787">
          <cell r="B5787" t="str">
            <v>6</v>
          </cell>
          <cell r="AN5787">
            <v>472.7</v>
          </cell>
          <cell r="AP5787">
            <v>14</v>
          </cell>
        </row>
        <row r="5788">
          <cell r="B5788" t="str">
            <v>7</v>
          </cell>
          <cell r="AN5788">
            <v>380.5</v>
          </cell>
          <cell r="AP5788">
            <v>14</v>
          </cell>
        </row>
        <row r="5789">
          <cell r="B5789" t="str">
            <v>7</v>
          </cell>
          <cell r="AN5789">
            <v>193.6</v>
          </cell>
          <cell r="AP5789">
            <v>14</v>
          </cell>
        </row>
        <row r="5790">
          <cell r="B5790" t="str">
            <v>7</v>
          </cell>
          <cell r="AN5790">
            <v>366</v>
          </cell>
          <cell r="AP5790">
            <v>14</v>
          </cell>
        </row>
        <row r="5791">
          <cell r="B5791" t="str">
            <v>7</v>
          </cell>
          <cell r="AN5791">
            <v>170.5</v>
          </cell>
          <cell r="AP5791">
            <v>14</v>
          </cell>
        </row>
        <row r="5792">
          <cell r="B5792" t="str">
            <v>8</v>
          </cell>
          <cell r="AN5792">
            <v>112.5</v>
          </cell>
          <cell r="AP5792">
            <v>14</v>
          </cell>
        </row>
        <row r="5793">
          <cell r="B5793" t="str">
            <v>8</v>
          </cell>
          <cell r="AN5793">
            <v>177.5</v>
          </cell>
          <cell r="AP5793">
            <v>14</v>
          </cell>
        </row>
        <row r="5794">
          <cell r="B5794" t="str">
            <v>8</v>
          </cell>
          <cell r="AN5794">
            <v>122</v>
          </cell>
          <cell r="AP5794">
            <v>14</v>
          </cell>
        </row>
        <row r="5795">
          <cell r="B5795" t="str">
            <v>8</v>
          </cell>
          <cell r="AN5795">
            <v>209.5</v>
          </cell>
          <cell r="AP5795">
            <v>14</v>
          </cell>
        </row>
        <row r="5796">
          <cell r="B5796" t="str">
            <v>8</v>
          </cell>
          <cell r="AN5796">
            <v>125.5</v>
          </cell>
          <cell r="AP5796">
            <v>14</v>
          </cell>
        </row>
        <row r="5797">
          <cell r="B5797" t="str">
            <v>8</v>
          </cell>
          <cell r="AN5797">
            <v>175</v>
          </cell>
          <cell r="AP5797">
            <v>14</v>
          </cell>
        </row>
        <row r="5798">
          <cell r="B5798" t="str">
            <v>1</v>
          </cell>
          <cell r="AN5798">
            <v>242.5</v>
          </cell>
          <cell r="AP5798">
            <v>14</v>
          </cell>
        </row>
        <row r="5799">
          <cell r="B5799" t="str">
            <v>1</v>
          </cell>
          <cell r="AN5799">
            <v>66</v>
          </cell>
          <cell r="AP5799">
            <v>14</v>
          </cell>
        </row>
        <row r="5800">
          <cell r="B5800" t="str">
            <v>1</v>
          </cell>
          <cell r="AN5800">
            <v>129.5</v>
          </cell>
          <cell r="AP5800">
            <v>14</v>
          </cell>
        </row>
        <row r="5801">
          <cell r="B5801" t="str">
            <v>2</v>
          </cell>
          <cell r="AN5801">
            <v>91.5</v>
          </cell>
          <cell r="AP5801">
            <v>14</v>
          </cell>
        </row>
        <row r="5802">
          <cell r="B5802" t="str">
            <v>2</v>
          </cell>
          <cell r="AN5802">
            <v>107.1</v>
          </cell>
          <cell r="AP5802">
            <v>14</v>
          </cell>
        </row>
        <row r="5803">
          <cell r="B5803" t="str">
            <v>2</v>
          </cell>
          <cell r="AN5803">
            <v>66.5</v>
          </cell>
          <cell r="AP5803">
            <v>14</v>
          </cell>
        </row>
        <row r="5804">
          <cell r="B5804" t="str">
            <v>2</v>
          </cell>
          <cell r="AN5804">
            <v>107.5</v>
          </cell>
          <cell r="AP5804">
            <v>14</v>
          </cell>
        </row>
        <row r="5805">
          <cell r="B5805" t="str">
            <v>4</v>
          </cell>
          <cell r="AN5805">
            <v>142.5</v>
          </cell>
          <cell r="AP5805">
            <v>14</v>
          </cell>
        </row>
        <row r="5806">
          <cell r="B5806" t="str">
            <v>4</v>
          </cell>
          <cell r="AN5806">
            <v>150.5</v>
          </cell>
          <cell r="AP5806">
            <v>14</v>
          </cell>
        </row>
        <row r="5807">
          <cell r="B5807" t="str">
            <v>4</v>
          </cell>
          <cell r="AN5807">
            <v>104.5</v>
          </cell>
          <cell r="AP5807">
            <v>14</v>
          </cell>
        </row>
        <row r="5808">
          <cell r="B5808" t="str">
            <v>4</v>
          </cell>
          <cell r="AN5808">
            <v>325.5</v>
          </cell>
          <cell r="AP5808">
            <v>14</v>
          </cell>
        </row>
        <row r="5809">
          <cell r="B5809" t="str">
            <v>5</v>
          </cell>
          <cell r="AN5809">
            <v>126</v>
          </cell>
          <cell r="AP5809">
            <v>14</v>
          </cell>
        </row>
        <row r="5810">
          <cell r="B5810" t="str">
            <v>5</v>
          </cell>
          <cell r="AN5810">
            <v>159</v>
          </cell>
          <cell r="AP5810">
            <v>14</v>
          </cell>
        </row>
        <row r="5811">
          <cell r="B5811" t="str">
            <v>5</v>
          </cell>
          <cell r="AN5811">
            <v>304.5</v>
          </cell>
          <cell r="AP5811">
            <v>14</v>
          </cell>
        </row>
        <row r="5812">
          <cell r="B5812" t="str">
            <v>6</v>
          </cell>
          <cell r="AN5812">
            <v>628</v>
          </cell>
          <cell r="AP5812">
            <v>14</v>
          </cell>
        </row>
        <row r="5813">
          <cell r="B5813" t="str">
            <v>6</v>
          </cell>
          <cell r="AN5813">
            <v>628.5</v>
          </cell>
          <cell r="AP5813">
            <v>14</v>
          </cell>
        </row>
        <row r="5814">
          <cell r="B5814" t="str">
            <v>7</v>
          </cell>
          <cell r="AN5814">
            <v>202.7</v>
          </cell>
          <cell r="AP5814">
            <v>14</v>
          </cell>
        </row>
        <row r="5815">
          <cell r="B5815" t="str">
            <v>7</v>
          </cell>
          <cell r="AN5815">
            <v>244.5</v>
          </cell>
          <cell r="AP5815">
            <v>14</v>
          </cell>
        </row>
        <row r="5816">
          <cell r="B5816" t="str">
            <v>7</v>
          </cell>
          <cell r="AN5816">
            <v>429.5</v>
          </cell>
          <cell r="AP5816">
            <v>14</v>
          </cell>
        </row>
        <row r="5817">
          <cell r="B5817" t="str">
            <v>7</v>
          </cell>
          <cell r="AN5817">
            <v>418</v>
          </cell>
          <cell r="AP5817">
            <v>14</v>
          </cell>
        </row>
        <row r="5818">
          <cell r="B5818" t="str">
            <v>8</v>
          </cell>
          <cell r="AN5818">
            <v>414.5</v>
          </cell>
          <cell r="AP5818">
            <v>14</v>
          </cell>
        </row>
        <row r="5819">
          <cell r="B5819" t="str">
            <v>8</v>
          </cell>
          <cell r="AN5819">
            <v>152</v>
          </cell>
          <cell r="AP5819">
            <v>14</v>
          </cell>
        </row>
        <row r="5820">
          <cell r="B5820" t="str">
            <v>8</v>
          </cell>
          <cell r="AN5820">
            <v>111</v>
          </cell>
          <cell r="AP5820">
            <v>14</v>
          </cell>
        </row>
        <row r="5821">
          <cell r="B5821" t="str">
            <v>8</v>
          </cell>
          <cell r="AN5821">
            <v>91</v>
          </cell>
          <cell r="AP5821">
            <v>14</v>
          </cell>
        </row>
        <row r="5822">
          <cell r="B5822" t="str">
            <v>8</v>
          </cell>
          <cell r="AN5822">
            <v>126</v>
          </cell>
          <cell r="AP5822">
            <v>14</v>
          </cell>
        </row>
        <row r="5823">
          <cell r="B5823" t="str">
            <v>8</v>
          </cell>
          <cell r="AN5823">
            <v>122</v>
          </cell>
          <cell r="AP5823">
            <v>14</v>
          </cell>
        </row>
        <row r="5824">
          <cell r="B5824" t="str">
            <v>1</v>
          </cell>
          <cell r="AN5824">
            <v>188</v>
          </cell>
          <cell r="AP5824">
            <v>15</v>
          </cell>
        </row>
        <row r="5825">
          <cell r="B5825" t="str">
            <v>1</v>
          </cell>
          <cell r="AN5825">
            <v>177.5</v>
          </cell>
          <cell r="AP5825">
            <v>15</v>
          </cell>
        </row>
        <row r="5826">
          <cell r="B5826" t="str">
            <v>2</v>
          </cell>
          <cell r="AN5826">
            <v>235.5</v>
          </cell>
          <cell r="AP5826">
            <v>15</v>
          </cell>
        </row>
        <row r="5827">
          <cell r="B5827" t="str">
            <v>2</v>
          </cell>
          <cell r="AN5827">
            <v>229.5</v>
          </cell>
          <cell r="AP5827">
            <v>15</v>
          </cell>
        </row>
        <row r="5828">
          <cell r="B5828" t="str">
            <v>4</v>
          </cell>
          <cell r="AN5828">
            <v>304.5</v>
          </cell>
          <cell r="AP5828">
            <v>15</v>
          </cell>
        </row>
        <row r="5829">
          <cell r="B5829" t="str">
            <v>4</v>
          </cell>
          <cell r="AN5829">
            <v>255</v>
          </cell>
          <cell r="AP5829">
            <v>15</v>
          </cell>
        </row>
        <row r="5830">
          <cell r="B5830" t="str">
            <v>5</v>
          </cell>
          <cell r="AN5830">
            <v>85</v>
          </cell>
          <cell r="AP5830">
            <v>15</v>
          </cell>
        </row>
        <row r="5831">
          <cell r="B5831" t="str">
            <v>5</v>
          </cell>
          <cell r="AN5831">
            <v>182</v>
          </cell>
          <cell r="AP5831">
            <v>15</v>
          </cell>
        </row>
        <row r="5832">
          <cell r="B5832" t="str">
            <v>5</v>
          </cell>
          <cell r="AN5832">
            <v>157</v>
          </cell>
          <cell r="AP5832">
            <v>15</v>
          </cell>
        </row>
        <row r="5833">
          <cell r="B5833" t="str">
            <v>5</v>
          </cell>
          <cell r="AN5833">
            <v>106</v>
          </cell>
          <cell r="AP5833">
            <v>15</v>
          </cell>
        </row>
        <row r="5834">
          <cell r="B5834" t="str">
            <v>6</v>
          </cell>
          <cell r="AN5834">
            <v>576</v>
          </cell>
          <cell r="AP5834">
            <v>15</v>
          </cell>
        </row>
        <row r="5835">
          <cell r="B5835" t="str">
            <v>6</v>
          </cell>
          <cell r="AN5835">
            <v>501</v>
          </cell>
          <cell r="AP5835">
            <v>15</v>
          </cell>
        </row>
        <row r="5836">
          <cell r="B5836" t="str">
            <v>7</v>
          </cell>
          <cell r="AN5836">
            <v>847.5</v>
          </cell>
          <cell r="AP5836">
            <v>15</v>
          </cell>
        </row>
        <row r="5837">
          <cell r="B5837" t="str">
            <v>7</v>
          </cell>
          <cell r="AN5837">
            <v>915</v>
          </cell>
          <cell r="AP5837">
            <v>15</v>
          </cell>
        </row>
        <row r="5838">
          <cell r="B5838" t="str">
            <v>8</v>
          </cell>
          <cell r="AN5838">
            <v>398.5</v>
          </cell>
          <cell r="AP5838">
            <v>15</v>
          </cell>
        </row>
        <row r="5839">
          <cell r="B5839" t="str">
            <v>8</v>
          </cell>
          <cell r="AN5839">
            <v>78</v>
          </cell>
          <cell r="AP5839">
            <v>15</v>
          </cell>
        </row>
        <row r="5840">
          <cell r="B5840" t="str">
            <v>8</v>
          </cell>
          <cell r="AN5840">
            <v>66</v>
          </cell>
          <cell r="AP5840">
            <v>15</v>
          </cell>
        </row>
        <row r="5841">
          <cell r="B5841" t="str">
            <v>8</v>
          </cell>
          <cell r="AN5841">
            <v>131</v>
          </cell>
          <cell r="AP5841">
            <v>15</v>
          </cell>
        </row>
        <row r="5842">
          <cell r="B5842" t="str">
            <v>8</v>
          </cell>
          <cell r="AN5842">
            <v>165</v>
          </cell>
          <cell r="AP5842">
            <v>15</v>
          </cell>
        </row>
        <row r="5843">
          <cell r="B5843" t="str">
            <v>8</v>
          </cell>
          <cell r="AN5843">
            <v>52.5</v>
          </cell>
          <cell r="AP5843">
            <v>15</v>
          </cell>
        </row>
        <row r="5844">
          <cell r="B5844" t="str">
            <v>2</v>
          </cell>
          <cell r="AN5844">
            <v>50.5</v>
          </cell>
          <cell r="AP5844">
            <v>15</v>
          </cell>
        </row>
        <row r="5845">
          <cell r="B5845" t="str">
            <v>2</v>
          </cell>
          <cell r="AN5845">
            <v>136.5</v>
          </cell>
          <cell r="AP5845">
            <v>15</v>
          </cell>
        </row>
        <row r="5846">
          <cell r="B5846" t="str">
            <v>2</v>
          </cell>
          <cell r="AN5846">
            <v>160.5</v>
          </cell>
          <cell r="AP5846">
            <v>15</v>
          </cell>
        </row>
        <row r="5847">
          <cell r="B5847" t="str">
            <v>3</v>
          </cell>
          <cell r="AN5847">
            <v>263.5</v>
          </cell>
          <cell r="AP5847">
            <v>15</v>
          </cell>
        </row>
        <row r="5848">
          <cell r="B5848" t="str">
            <v>3</v>
          </cell>
          <cell r="AN5848">
            <v>178.5</v>
          </cell>
          <cell r="AP5848">
            <v>15</v>
          </cell>
        </row>
        <row r="5849">
          <cell r="B5849" t="str">
            <v>4</v>
          </cell>
          <cell r="AN5849">
            <v>283.5</v>
          </cell>
          <cell r="AP5849">
            <v>15</v>
          </cell>
        </row>
        <row r="5850">
          <cell r="B5850" t="str">
            <v>4</v>
          </cell>
          <cell r="AN5850">
            <v>173</v>
          </cell>
          <cell r="AP5850">
            <v>15</v>
          </cell>
        </row>
        <row r="5851">
          <cell r="B5851" t="str">
            <v>4</v>
          </cell>
          <cell r="AN5851">
            <v>55</v>
          </cell>
          <cell r="AP5851">
            <v>15</v>
          </cell>
        </row>
        <row r="5852">
          <cell r="B5852" t="str">
            <v>4</v>
          </cell>
          <cell r="AN5852">
            <v>224</v>
          </cell>
          <cell r="AP5852">
            <v>15</v>
          </cell>
        </row>
        <row r="5853">
          <cell r="B5853" t="str">
            <v>4</v>
          </cell>
          <cell r="AN5853">
            <v>165.5</v>
          </cell>
          <cell r="AP5853">
            <v>15</v>
          </cell>
        </row>
        <row r="5854">
          <cell r="B5854" t="str">
            <v>5</v>
          </cell>
          <cell r="AN5854">
            <v>79</v>
          </cell>
          <cell r="AP5854">
            <v>15</v>
          </cell>
        </row>
        <row r="5855">
          <cell r="B5855" t="str">
            <v>5</v>
          </cell>
          <cell r="AN5855">
            <v>249</v>
          </cell>
          <cell r="AP5855">
            <v>15</v>
          </cell>
        </row>
        <row r="5856">
          <cell r="B5856" t="str">
            <v>5</v>
          </cell>
          <cell r="AN5856">
            <v>221.5</v>
          </cell>
          <cell r="AP5856">
            <v>15</v>
          </cell>
        </row>
        <row r="5857">
          <cell r="B5857" t="str">
            <v>5</v>
          </cell>
          <cell r="AN5857">
            <v>66</v>
          </cell>
          <cell r="AP5857">
            <v>15</v>
          </cell>
        </row>
        <row r="5858">
          <cell r="B5858" t="str">
            <v>6</v>
          </cell>
          <cell r="AN5858">
            <v>616.5</v>
          </cell>
          <cell r="AP5858">
            <v>15</v>
          </cell>
        </row>
        <row r="5859">
          <cell r="B5859" t="str">
            <v>6</v>
          </cell>
          <cell r="AN5859">
            <v>529.5</v>
          </cell>
          <cell r="AP5859">
            <v>15</v>
          </cell>
        </row>
        <row r="5860">
          <cell r="B5860" t="str">
            <v>7</v>
          </cell>
          <cell r="AN5860">
            <v>831.5</v>
          </cell>
          <cell r="AP5860">
            <v>15</v>
          </cell>
        </row>
        <row r="5861">
          <cell r="B5861" t="str">
            <v>7</v>
          </cell>
          <cell r="AN5861">
            <v>116</v>
          </cell>
          <cell r="AP5861">
            <v>15</v>
          </cell>
        </row>
        <row r="5862">
          <cell r="B5862" t="str">
            <v>7</v>
          </cell>
          <cell r="AN5862">
            <v>109.5</v>
          </cell>
          <cell r="AP5862">
            <v>15</v>
          </cell>
        </row>
        <row r="5863">
          <cell r="B5863" t="str">
            <v>7</v>
          </cell>
          <cell r="AN5863">
            <v>128</v>
          </cell>
          <cell r="AP5863">
            <v>15</v>
          </cell>
        </row>
        <row r="5864">
          <cell r="B5864" t="str">
            <v>7</v>
          </cell>
          <cell r="AN5864">
            <v>118.5</v>
          </cell>
          <cell r="AP5864">
            <v>15</v>
          </cell>
        </row>
        <row r="5865">
          <cell r="B5865" t="str">
            <v>7</v>
          </cell>
          <cell r="AN5865">
            <v>145</v>
          </cell>
          <cell r="AP5865">
            <v>15</v>
          </cell>
        </row>
        <row r="5866">
          <cell r="B5866" t="str">
            <v>8</v>
          </cell>
          <cell r="AN5866">
            <v>253</v>
          </cell>
          <cell r="AP5866">
            <v>15</v>
          </cell>
        </row>
        <row r="5867">
          <cell r="B5867" t="str">
            <v>8</v>
          </cell>
          <cell r="AN5867">
            <v>171</v>
          </cell>
          <cell r="AP5867">
            <v>15</v>
          </cell>
        </row>
        <row r="5868">
          <cell r="B5868" t="str">
            <v>8</v>
          </cell>
          <cell r="AN5868">
            <v>399.5</v>
          </cell>
          <cell r="AP5868">
            <v>15</v>
          </cell>
        </row>
        <row r="5869">
          <cell r="B5869" t="str">
            <v>8</v>
          </cell>
          <cell r="AN5869">
            <v>64.5</v>
          </cell>
          <cell r="AP5869">
            <v>15</v>
          </cell>
        </row>
        <row r="5870">
          <cell r="B5870" t="str">
            <v>2</v>
          </cell>
          <cell r="AN5870">
            <v>149.5</v>
          </cell>
          <cell r="AP5870">
            <v>15</v>
          </cell>
        </row>
        <row r="5871">
          <cell r="B5871" t="str">
            <v>2</v>
          </cell>
          <cell r="AN5871">
            <v>125</v>
          </cell>
          <cell r="AP5871">
            <v>15</v>
          </cell>
        </row>
        <row r="5872">
          <cell r="B5872" t="str">
            <v>3</v>
          </cell>
          <cell r="AN5872">
            <v>108</v>
          </cell>
          <cell r="AP5872">
            <v>15</v>
          </cell>
        </row>
        <row r="5873">
          <cell r="B5873" t="str">
            <v>3</v>
          </cell>
          <cell r="AN5873">
            <v>335</v>
          </cell>
          <cell r="AP5873">
            <v>15</v>
          </cell>
        </row>
        <row r="5874">
          <cell r="B5874" t="str">
            <v>3</v>
          </cell>
          <cell r="AN5874">
            <v>358</v>
          </cell>
          <cell r="AP5874">
            <v>15</v>
          </cell>
        </row>
        <row r="5875">
          <cell r="B5875" t="str">
            <v>3</v>
          </cell>
          <cell r="AN5875">
            <v>170</v>
          </cell>
          <cell r="AP5875">
            <v>15</v>
          </cell>
        </row>
        <row r="5876">
          <cell r="B5876" t="str">
            <v>4</v>
          </cell>
          <cell r="AN5876">
            <v>155.5</v>
          </cell>
          <cell r="AP5876">
            <v>15</v>
          </cell>
        </row>
        <row r="5877">
          <cell r="B5877" t="str">
            <v>4</v>
          </cell>
          <cell r="AN5877">
            <v>236.52</v>
          </cell>
          <cell r="AP5877">
            <v>15</v>
          </cell>
        </row>
        <row r="5878">
          <cell r="B5878" t="str">
            <v>4</v>
          </cell>
          <cell r="AN5878">
            <v>332.5</v>
          </cell>
          <cell r="AP5878">
            <v>15</v>
          </cell>
        </row>
        <row r="5879">
          <cell r="B5879" t="str">
            <v>5</v>
          </cell>
          <cell r="AN5879">
            <v>68</v>
          </cell>
          <cell r="AP5879">
            <v>15</v>
          </cell>
        </row>
        <row r="5880">
          <cell r="B5880" t="str">
            <v>5</v>
          </cell>
          <cell r="AN5880">
            <v>221.5</v>
          </cell>
          <cell r="AP5880">
            <v>15</v>
          </cell>
        </row>
        <row r="5881">
          <cell r="B5881" t="str">
            <v>5</v>
          </cell>
          <cell r="AN5881">
            <v>65.5</v>
          </cell>
          <cell r="AP5881">
            <v>15</v>
          </cell>
        </row>
        <row r="5882">
          <cell r="B5882" t="str">
            <v>5</v>
          </cell>
          <cell r="AN5882">
            <v>296</v>
          </cell>
          <cell r="AP5882">
            <v>15</v>
          </cell>
        </row>
        <row r="5883">
          <cell r="B5883" t="str">
            <v>6</v>
          </cell>
          <cell r="AN5883">
            <v>197.5</v>
          </cell>
          <cell r="AP5883">
            <v>15</v>
          </cell>
        </row>
        <row r="5884">
          <cell r="B5884" t="str">
            <v>6</v>
          </cell>
          <cell r="AN5884">
            <v>266</v>
          </cell>
          <cell r="AP5884">
            <v>15</v>
          </cell>
        </row>
        <row r="5885">
          <cell r="B5885" t="str">
            <v>6</v>
          </cell>
          <cell r="AN5885">
            <v>109.5</v>
          </cell>
          <cell r="AP5885">
            <v>15</v>
          </cell>
        </row>
        <row r="5886">
          <cell r="B5886" t="str">
            <v>6</v>
          </cell>
          <cell r="AN5886">
            <v>211.5</v>
          </cell>
          <cell r="AP5886">
            <v>15</v>
          </cell>
        </row>
        <row r="5887">
          <cell r="B5887" t="str">
            <v>6</v>
          </cell>
          <cell r="AN5887">
            <v>245.5</v>
          </cell>
          <cell r="AP5887">
            <v>15</v>
          </cell>
        </row>
        <row r="5888">
          <cell r="B5888" t="str">
            <v>7</v>
          </cell>
          <cell r="AN5888">
            <v>702</v>
          </cell>
          <cell r="AP5888">
            <v>15</v>
          </cell>
        </row>
        <row r="5889">
          <cell r="B5889" t="str">
            <v>7</v>
          </cell>
          <cell r="AN5889">
            <v>371</v>
          </cell>
          <cell r="AP5889">
            <v>15</v>
          </cell>
        </row>
        <row r="5890">
          <cell r="B5890" t="str">
            <v>7</v>
          </cell>
          <cell r="AN5890">
            <v>360.5</v>
          </cell>
          <cell r="AP5890">
            <v>15</v>
          </cell>
        </row>
        <row r="5891">
          <cell r="B5891" t="str">
            <v>8</v>
          </cell>
          <cell r="AN5891">
            <v>57</v>
          </cell>
          <cell r="AP5891">
            <v>15</v>
          </cell>
        </row>
        <row r="5892">
          <cell r="B5892" t="str">
            <v>8</v>
          </cell>
          <cell r="AN5892">
            <v>107</v>
          </cell>
          <cell r="AP5892">
            <v>15</v>
          </cell>
        </row>
        <row r="5893">
          <cell r="B5893" t="str">
            <v>8</v>
          </cell>
          <cell r="AN5893">
            <v>235</v>
          </cell>
          <cell r="AP5893">
            <v>15</v>
          </cell>
        </row>
        <row r="5894">
          <cell r="B5894" t="str">
            <v>8</v>
          </cell>
          <cell r="AN5894">
            <v>304</v>
          </cell>
          <cell r="AP5894">
            <v>15</v>
          </cell>
        </row>
        <row r="5895">
          <cell r="B5895" t="str">
            <v>8</v>
          </cell>
          <cell r="AN5895">
            <v>148</v>
          </cell>
          <cell r="AP5895">
            <v>15</v>
          </cell>
        </row>
        <row r="5896">
          <cell r="B5896">
            <v>1</v>
          </cell>
          <cell r="AN5896">
            <v>155</v>
          </cell>
          <cell r="AP5896">
            <v>15</v>
          </cell>
        </row>
        <row r="5897">
          <cell r="B5897">
            <v>1</v>
          </cell>
          <cell r="AN5897">
            <v>124.5</v>
          </cell>
          <cell r="AP5897">
            <v>15</v>
          </cell>
        </row>
        <row r="5898">
          <cell r="B5898">
            <v>3</v>
          </cell>
          <cell r="AN5898">
            <v>202.5</v>
          </cell>
          <cell r="AP5898">
            <v>15</v>
          </cell>
        </row>
        <row r="5899">
          <cell r="B5899">
            <v>3</v>
          </cell>
          <cell r="AN5899">
            <v>325.5</v>
          </cell>
          <cell r="AP5899">
            <v>15</v>
          </cell>
        </row>
        <row r="5900">
          <cell r="B5900">
            <v>3</v>
          </cell>
          <cell r="AN5900">
            <v>256.5</v>
          </cell>
          <cell r="AP5900">
            <v>15</v>
          </cell>
        </row>
        <row r="5901">
          <cell r="B5901">
            <v>3</v>
          </cell>
          <cell r="AN5901">
            <v>162</v>
          </cell>
          <cell r="AP5901">
            <v>15</v>
          </cell>
        </row>
        <row r="5902">
          <cell r="B5902">
            <v>4</v>
          </cell>
          <cell r="AN5902">
            <v>232</v>
          </cell>
          <cell r="AP5902">
            <v>15</v>
          </cell>
        </row>
        <row r="5903">
          <cell r="B5903">
            <v>4</v>
          </cell>
          <cell r="AN5903">
            <v>49</v>
          </cell>
          <cell r="AP5903">
            <v>15</v>
          </cell>
        </row>
        <row r="5904">
          <cell r="B5904">
            <v>5</v>
          </cell>
          <cell r="AN5904">
            <v>372</v>
          </cell>
          <cell r="AP5904">
            <v>15</v>
          </cell>
        </row>
        <row r="5905">
          <cell r="B5905">
            <v>5</v>
          </cell>
          <cell r="AN5905">
            <v>121</v>
          </cell>
          <cell r="AP5905">
            <v>15</v>
          </cell>
        </row>
        <row r="5906">
          <cell r="B5906">
            <v>5</v>
          </cell>
          <cell r="AN5906">
            <v>180.5</v>
          </cell>
          <cell r="AP5906">
            <v>15</v>
          </cell>
        </row>
        <row r="5907">
          <cell r="B5907">
            <v>6</v>
          </cell>
          <cell r="AN5907">
            <v>515.5</v>
          </cell>
          <cell r="AP5907">
            <v>15</v>
          </cell>
        </row>
        <row r="5908">
          <cell r="B5908">
            <v>6</v>
          </cell>
          <cell r="AN5908">
            <v>572</v>
          </cell>
          <cell r="AP5908">
            <v>15</v>
          </cell>
        </row>
        <row r="5909">
          <cell r="B5909">
            <v>7</v>
          </cell>
          <cell r="AN5909">
            <v>681</v>
          </cell>
          <cell r="AP5909">
            <v>15</v>
          </cell>
        </row>
        <row r="5910">
          <cell r="B5910">
            <v>7</v>
          </cell>
          <cell r="AN5910">
            <v>301.5</v>
          </cell>
          <cell r="AP5910">
            <v>15</v>
          </cell>
        </row>
        <row r="5911">
          <cell r="B5911">
            <v>7</v>
          </cell>
          <cell r="AN5911">
            <v>112.5</v>
          </cell>
          <cell r="AP5911">
            <v>15</v>
          </cell>
        </row>
        <row r="5912">
          <cell r="B5912">
            <v>7</v>
          </cell>
          <cell r="AN5912">
            <v>214</v>
          </cell>
          <cell r="AP5912">
            <v>15</v>
          </cell>
        </row>
        <row r="5913">
          <cell r="B5913">
            <v>8</v>
          </cell>
          <cell r="AN5913">
            <v>121</v>
          </cell>
          <cell r="AP5913">
            <v>15</v>
          </cell>
        </row>
        <row r="5914">
          <cell r="B5914">
            <v>8</v>
          </cell>
          <cell r="AN5914">
            <v>112.5</v>
          </cell>
          <cell r="AP5914">
            <v>15</v>
          </cell>
        </row>
        <row r="5915">
          <cell r="B5915">
            <v>8</v>
          </cell>
          <cell r="AN5915">
            <v>165</v>
          </cell>
          <cell r="AP5915">
            <v>15</v>
          </cell>
        </row>
        <row r="5916">
          <cell r="B5916">
            <v>8</v>
          </cell>
          <cell r="AN5916">
            <v>111</v>
          </cell>
          <cell r="AP5916">
            <v>15</v>
          </cell>
        </row>
        <row r="5917">
          <cell r="B5917">
            <v>8</v>
          </cell>
          <cell r="AN5917">
            <v>106</v>
          </cell>
          <cell r="AP5917">
            <v>15</v>
          </cell>
        </row>
        <row r="5918">
          <cell r="B5918">
            <v>8</v>
          </cell>
          <cell r="AN5918">
            <v>203.5</v>
          </cell>
          <cell r="AP5918">
            <v>15</v>
          </cell>
        </row>
        <row r="5919">
          <cell r="B5919">
            <v>8</v>
          </cell>
          <cell r="AN5919">
            <v>106</v>
          </cell>
          <cell r="AP5919">
            <v>15</v>
          </cell>
        </row>
        <row r="5920">
          <cell r="B5920" t="str">
            <v>2</v>
          </cell>
          <cell r="AN5920">
            <v>128.5</v>
          </cell>
          <cell r="AP5920">
            <v>15</v>
          </cell>
        </row>
        <row r="5921">
          <cell r="B5921" t="str">
            <v>2</v>
          </cell>
          <cell r="AN5921">
            <v>120.7</v>
          </cell>
          <cell r="AP5921">
            <v>15</v>
          </cell>
        </row>
        <row r="5922">
          <cell r="B5922" t="str">
            <v>3</v>
          </cell>
          <cell r="AN5922">
            <v>321</v>
          </cell>
          <cell r="AP5922">
            <v>15</v>
          </cell>
        </row>
        <row r="5923">
          <cell r="B5923" t="str">
            <v>3</v>
          </cell>
          <cell r="AN5923">
            <v>62.5</v>
          </cell>
          <cell r="AP5923">
            <v>15</v>
          </cell>
        </row>
        <row r="5924">
          <cell r="B5924" t="str">
            <v>3</v>
          </cell>
          <cell r="AN5924">
            <v>269</v>
          </cell>
          <cell r="AP5924">
            <v>15</v>
          </cell>
        </row>
        <row r="5925">
          <cell r="B5925" t="str">
            <v>3</v>
          </cell>
          <cell r="AN5925">
            <v>81</v>
          </cell>
          <cell r="AP5925">
            <v>15</v>
          </cell>
        </row>
        <row r="5926">
          <cell r="B5926" t="str">
            <v>5</v>
          </cell>
          <cell r="AN5926">
            <v>328</v>
          </cell>
          <cell r="AP5926">
            <v>15</v>
          </cell>
        </row>
        <row r="5927">
          <cell r="B5927" t="str">
            <v>5</v>
          </cell>
          <cell r="AN5927">
            <v>245.5</v>
          </cell>
          <cell r="AP5927">
            <v>15</v>
          </cell>
        </row>
        <row r="5928">
          <cell r="B5928" t="str">
            <v>5</v>
          </cell>
          <cell r="AN5928">
            <v>67</v>
          </cell>
          <cell r="AP5928">
            <v>15</v>
          </cell>
        </row>
        <row r="5929">
          <cell r="B5929" t="str">
            <v>6</v>
          </cell>
          <cell r="AN5929">
            <v>534.5</v>
          </cell>
          <cell r="AP5929">
            <v>15</v>
          </cell>
        </row>
        <row r="5930">
          <cell r="B5930" t="str">
            <v>6</v>
          </cell>
          <cell r="AN5930">
            <v>561.4</v>
          </cell>
          <cell r="AP5930">
            <v>15</v>
          </cell>
        </row>
        <row r="5931">
          <cell r="B5931" t="str">
            <v>7</v>
          </cell>
          <cell r="AN5931">
            <v>126.5</v>
          </cell>
          <cell r="AP5931">
            <v>15</v>
          </cell>
        </row>
        <row r="5932">
          <cell r="B5932" t="str">
            <v>7</v>
          </cell>
          <cell r="AN5932">
            <v>209.5</v>
          </cell>
          <cell r="AP5932">
            <v>15</v>
          </cell>
        </row>
        <row r="5933">
          <cell r="B5933" t="str">
            <v>7</v>
          </cell>
          <cell r="AN5933">
            <v>118.5</v>
          </cell>
          <cell r="AP5933">
            <v>15</v>
          </cell>
        </row>
        <row r="5934">
          <cell r="B5934" t="str">
            <v>7</v>
          </cell>
          <cell r="AN5934">
            <v>152</v>
          </cell>
          <cell r="AP5934">
            <v>15</v>
          </cell>
        </row>
        <row r="5935">
          <cell r="B5935" t="str">
            <v>7</v>
          </cell>
          <cell r="AN5935">
            <v>660.5</v>
          </cell>
          <cell r="AP5935">
            <v>15</v>
          </cell>
        </row>
        <row r="5936">
          <cell r="B5936" t="str">
            <v>7</v>
          </cell>
          <cell r="AN5936">
            <v>58</v>
          </cell>
          <cell r="AP5936">
            <v>15</v>
          </cell>
        </row>
        <row r="5937">
          <cell r="B5937" t="str">
            <v>8</v>
          </cell>
          <cell r="AN5937">
            <v>312</v>
          </cell>
          <cell r="AP5937">
            <v>15</v>
          </cell>
        </row>
        <row r="5938">
          <cell r="B5938" t="str">
            <v>8</v>
          </cell>
          <cell r="AN5938">
            <v>63.5</v>
          </cell>
          <cell r="AP5938">
            <v>15</v>
          </cell>
        </row>
        <row r="5939">
          <cell r="B5939" t="str">
            <v>8</v>
          </cell>
          <cell r="AN5939">
            <v>275.53999999999996</v>
          </cell>
          <cell r="AP5939">
            <v>15</v>
          </cell>
        </row>
        <row r="5940">
          <cell r="B5940" t="str">
            <v>8</v>
          </cell>
          <cell r="AN5940">
            <v>65</v>
          </cell>
          <cell r="AP5940">
            <v>15</v>
          </cell>
        </row>
        <row r="5941">
          <cell r="B5941" t="str">
            <v>1</v>
          </cell>
          <cell r="AN5941">
            <v>55</v>
          </cell>
          <cell r="AP5941">
            <v>15</v>
          </cell>
        </row>
        <row r="5942">
          <cell r="B5942" t="str">
            <v>2</v>
          </cell>
          <cell r="AN5942">
            <v>95</v>
          </cell>
          <cell r="AP5942">
            <v>15</v>
          </cell>
        </row>
        <row r="5943">
          <cell r="B5943" t="str">
            <v>2</v>
          </cell>
          <cell r="AN5943">
            <v>38</v>
          </cell>
          <cell r="AP5943">
            <v>15</v>
          </cell>
        </row>
        <row r="5944">
          <cell r="B5944" t="str">
            <v>2</v>
          </cell>
          <cell r="AN5944">
            <v>140.19999999999999</v>
          </cell>
          <cell r="AP5944">
            <v>15</v>
          </cell>
        </row>
        <row r="5945">
          <cell r="B5945" t="str">
            <v>3</v>
          </cell>
          <cell r="AN5945">
            <v>278</v>
          </cell>
          <cell r="AP5945">
            <v>15</v>
          </cell>
        </row>
        <row r="5946">
          <cell r="B5946" t="str">
            <v>3</v>
          </cell>
          <cell r="AN5946">
            <v>40</v>
          </cell>
          <cell r="AP5946">
            <v>15</v>
          </cell>
        </row>
        <row r="5947">
          <cell r="B5947" t="str">
            <v>5</v>
          </cell>
          <cell r="AN5947">
            <v>249.5</v>
          </cell>
          <cell r="AP5947">
            <v>15</v>
          </cell>
        </row>
        <row r="5948">
          <cell r="B5948" t="str">
            <v>5</v>
          </cell>
          <cell r="AN5948">
            <v>81</v>
          </cell>
          <cell r="AP5948">
            <v>15</v>
          </cell>
        </row>
        <row r="5949">
          <cell r="B5949" t="str">
            <v>5</v>
          </cell>
          <cell r="AN5949">
            <v>74</v>
          </cell>
          <cell r="AP5949">
            <v>15</v>
          </cell>
        </row>
        <row r="5950">
          <cell r="B5950" t="str">
            <v>5</v>
          </cell>
          <cell r="AN5950">
            <v>113</v>
          </cell>
          <cell r="AP5950">
            <v>15</v>
          </cell>
        </row>
        <row r="5951">
          <cell r="B5951" t="str">
            <v>5</v>
          </cell>
          <cell r="AN5951">
            <v>73</v>
          </cell>
          <cell r="AP5951">
            <v>15</v>
          </cell>
        </row>
        <row r="5952">
          <cell r="B5952" t="str">
            <v>6</v>
          </cell>
          <cell r="AN5952">
            <v>552</v>
          </cell>
          <cell r="AP5952">
            <v>15</v>
          </cell>
        </row>
        <row r="5953">
          <cell r="B5953" t="str">
            <v>6</v>
          </cell>
          <cell r="AN5953">
            <v>459.3</v>
          </cell>
          <cell r="AP5953">
            <v>15</v>
          </cell>
        </row>
        <row r="5954">
          <cell r="B5954" t="str">
            <v>7</v>
          </cell>
          <cell r="AN5954">
            <v>164.5</v>
          </cell>
          <cell r="AP5954">
            <v>15</v>
          </cell>
        </row>
        <row r="5955">
          <cell r="B5955" t="str">
            <v>7</v>
          </cell>
          <cell r="AN5955">
            <v>81</v>
          </cell>
          <cell r="AP5955">
            <v>15</v>
          </cell>
        </row>
        <row r="5956">
          <cell r="B5956" t="str">
            <v>7</v>
          </cell>
          <cell r="AN5956">
            <v>236</v>
          </cell>
          <cell r="AP5956">
            <v>15</v>
          </cell>
        </row>
        <row r="5957">
          <cell r="B5957" t="str">
            <v>7</v>
          </cell>
          <cell r="AN5957">
            <v>314.5</v>
          </cell>
          <cell r="AP5957">
            <v>15</v>
          </cell>
        </row>
        <row r="5958">
          <cell r="B5958" t="str">
            <v>7</v>
          </cell>
          <cell r="AN5958">
            <v>198.19</v>
          </cell>
          <cell r="AP5958">
            <v>15</v>
          </cell>
        </row>
        <row r="5959">
          <cell r="B5959" t="str">
            <v>7</v>
          </cell>
          <cell r="AN5959">
            <v>289</v>
          </cell>
          <cell r="AP5959">
            <v>15</v>
          </cell>
        </row>
        <row r="5960">
          <cell r="B5960" t="str">
            <v>8</v>
          </cell>
          <cell r="AN5960">
            <v>196</v>
          </cell>
          <cell r="AP5960">
            <v>15</v>
          </cell>
        </row>
        <row r="5961">
          <cell r="B5961" t="str">
            <v>8</v>
          </cell>
          <cell r="AN5961">
            <v>221</v>
          </cell>
          <cell r="AP5961">
            <v>15</v>
          </cell>
        </row>
        <row r="5962">
          <cell r="B5962" t="str">
            <v>8</v>
          </cell>
          <cell r="AN5962">
            <v>79</v>
          </cell>
          <cell r="AP5962">
            <v>15</v>
          </cell>
        </row>
        <row r="5963">
          <cell r="B5963" t="str">
            <v>8</v>
          </cell>
          <cell r="AN5963">
            <v>77</v>
          </cell>
          <cell r="AP5963">
            <v>15</v>
          </cell>
        </row>
        <row r="5964">
          <cell r="B5964" t="str">
            <v>8</v>
          </cell>
          <cell r="AN5964">
            <v>154</v>
          </cell>
          <cell r="AP5964">
            <v>15</v>
          </cell>
        </row>
        <row r="5965">
          <cell r="B5965" t="str">
            <v>8</v>
          </cell>
          <cell r="AN5965">
            <v>224.5</v>
          </cell>
          <cell r="AP5965">
            <v>15</v>
          </cell>
        </row>
        <row r="5966">
          <cell r="B5966" t="str">
            <v>1</v>
          </cell>
          <cell r="AN5966">
            <v>151.5</v>
          </cell>
          <cell r="AP5966">
            <v>15</v>
          </cell>
        </row>
        <row r="5967">
          <cell r="B5967" t="str">
            <v>1</v>
          </cell>
          <cell r="AN5967">
            <v>164.5</v>
          </cell>
          <cell r="AP5967">
            <v>15</v>
          </cell>
        </row>
        <row r="5968">
          <cell r="B5968" t="str">
            <v>2</v>
          </cell>
          <cell r="AN5968">
            <v>158.5</v>
          </cell>
          <cell r="AP5968">
            <v>15</v>
          </cell>
        </row>
        <row r="5969">
          <cell r="B5969" t="str">
            <v>2</v>
          </cell>
          <cell r="AN5969">
            <v>150.9</v>
          </cell>
          <cell r="AP5969">
            <v>15</v>
          </cell>
        </row>
        <row r="5970">
          <cell r="B5970" t="str">
            <v>5</v>
          </cell>
          <cell r="AN5970">
            <v>465.5</v>
          </cell>
          <cell r="AP5970">
            <v>15</v>
          </cell>
        </row>
        <row r="5971">
          <cell r="B5971" t="str">
            <v>5</v>
          </cell>
          <cell r="AN5971">
            <v>370.4</v>
          </cell>
          <cell r="AP5971">
            <v>15</v>
          </cell>
        </row>
        <row r="5972">
          <cell r="B5972" t="str">
            <v>6</v>
          </cell>
          <cell r="AN5972">
            <v>523</v>
          </cell>
          <cell r="AP5972">
            <v>15</v>
          </cell>
        </row>
        <row r="5973">
          <cell r="B5973" t="str">
            <v>6</v>
          </cell>
          <cell r="AN5973">
            <v>575</v>
          </cell>
          <cell r="AP5973">
            <v>15</v>
          </cell>
        </row>
        <row r="5974">
          <cell r="B5974" t="str">
            <v>7</v>
          </cell>
          <cell r="AN5974">
            <v>121.5</v>
          </cell>
          <cell r="AP5974">
            <v>15</v>
          </cell>
        </row>
        <row r="5975">
          <cell r="B5975" t="str">
            <v>7</v>
          </cell>
          <cell r="AN5975">
            <v>352</v>
          </cell>
          <cell r="AP5975">
            <v>15</v>
          </cell>
        </row>
        <row r="5976">
          <cell r="B5976" t="str">
            <v>7</v>
          </cell>
          <cell r="AN5976">
            <v>434</v>
          </cell>
          <cell r="AP5976">
            <v>15</v>
          </cell>
        </row>
        <row r="5977">
          <cell r="B5977" t="str">
            <v>7</v>
          </cell>
          <cell r="AN5977">
            <v>692</v>
          </cell>
          <cell r="AP5977">
            <v>15</v>
          </cell>
        </row>
        <row r="5978">
          <cell r="B5978" t="str">
            <v>7</v>
          </cell>
          <cell r="AN5978">
            <v>60</v>
          </cell>
          <cell r="AP5978">
            <v>15</v>
          </cell>
        </row>
        <row r="5979">
          <cell r="B5979" t="str">
            <v>8</v>
          </cell>
          <cell r="AN5979">
            <v>335</v>
          </cell>
          <cell r="AP5979">
            <v>15</v>
          </cell>
        </row>
        <row r="5980">
          <cell r="B5980" t="str">
            <v>8</v>
          </cell>
          <cell r="AN5980">
            <v>122</v>
          </cell>
          <cell r="AP5980">
            <v>15</v>
          </cell>
        </row>
        <row r="5981">
          <cell r="B5981" t="str">
            <v>8</v>
          </cell>
          <cell r="AN5981">
            <v>286</v>
          </cell>
          <cell r="AP5981">
            <v>15</v>
          </cell>
        </row>
        <row r="5982">
          <cell r="B5982" t="str">
            <v>2</v>
          </cell>
          <cell r="AN5982">
            <v>71.5</v>
          </cell>
          <cell r="AP5982">
            <v>16</v>
          </cell>
        </row>
        <row r="5983">
          <cell r="B5983" t="str">
            <v>2</v>
          </cell>
          <cell r="AN5983">
            <v>69.5</v>
          </cell>
          <cell r="AP5983">
            <v>16</v>
          </cell>
        </row>
        <row r="5984">
          <cell r="B5984" t="str">
            <v>2</v>
          </cell>
          <cell r="AN5984">
            <v>123.5</v>
          </cell>
          <cell r="AP5984">
            <v>16</v>
          </cell>
        </row>
        <row r="5985">
          <cell r="B5985" t="str">
            <v>3</v>
          </cell>
          <cell r="AN5985">
            <v>230.5</v>
          </cell>
          <cell r="AP5985">
            <v>16</v>
          </cell>
        </row>
        <row r="5986">
          <cell r="B5986" t="str">
            <v>3</v>
          </cell>
          <cell r="AN5986">
            <v>359</v>
          </cell>
          <cell r="AP5986">
            <v>16</v>
          </cell>
        </row>
        <row r="5987">
          <cell r="B5987" t="str">
            <v>3</v>
          </cell>
          <cell r="AN5987">
            <v>118.5</v>
          </cell>
          <cell r="AP5987">
            <v>16</v>
          </cell>
        </row>
        <row r="5988">
          <cell r="B5988" t="str">
            <v>5</v>
          </cell>
          <cell r="AN5988">
            <v>329.9</v>
          </cell>
          <cell r="AP5988">
            <v>16</v>
          </cell>
        </row>
        <row r="5989">
          <cell r="B5989" t="str">
            <v>5</v>
          </cell>
          <cell r="AN5989">
            <v>94.5</v>
          </cell>
          <cell r="AP5989">
            <v>16</v>
          </cell>
        </row>
        <row r="5990">
          <cell r="B5990" t="str">
            <v>5</v>
          </cell>
          <cell r="AN5990">
            <v>395</v>
          </cell>
          <cell r="AP5990">
            <v>16</v>
          </cell>
        </row>
        <row r="5991">
          <cell r="B5991" t="str">
            <v>6</v>
          </cell>
          <cell r="AN5991">
            <v>543.5</v>
          </cell>
          <cell r="AP5991">
            <v>16</v>
          </cell>
        </row>
        <row r="5992">
          <cell r="B5992" t="str">
            <v>6</v>
          </cell>
          <cell r="AN5992">
            <v>535</v>
          </cell>
          <cell r="AP5992">
            <v>16</v>
          </cell>
        </row>
        <row r="5993">
          <cell r="B5993" t="str">
            <v>7</v>
          </cell>
          <cell r="AN5993">
            <v>589.5</v>
          </cell>
          <cell r="AP5993">
            <v>16</v>
          </cell>
        </row>
        <row r="5994">
          <cell r="B5994" t="str">
            <v>7</v>
          </cell>
          <cell r="AN5994">
            <v>265.5</v>
          </cell>
          <cell r="AP5994">
            <v>16</v>
          </cell>
        </row>
        <row r="5995">
          <cell r="B5995" t="str">
            <v>7</v>
          </cell>
          <cell r="AN5995">
            <v>270</v>
          </cell>
          <cell r="AP5995">
            <v>16</v>
          </cell>
        </row>
        <row r="5996">
          <cell r="B5996" t="str">
            <v>7</v>
          </cell>
          <cell r="AN5996">
            <v>79</v>
          </cell>
          <cell r="AP5996">
            <v>16</v>
          </cell>
        </row>
        <row r="5997">
          <cell r="B5997" t="str">
            <v>8</v>
          </cell>
          <cell r="AN5997">
            <v>316.5</v>
          </cell>
          <cell r="AP5997">
            <v>16</v>
          </cell>
        </row>
        <row r="5998">
          <cell r="B5998" t="str">
            <v>8</v>
          </cell>
          <cell r="AN5998">
            <v>294</v>
          </cell>
          <cell r="AP5998">
            <v>16</v>
          </cell>
        </row>
        <row r="5999">
          <cell r="B5999" t="str">
            <v>2</v>
          </cell>
          <cell r="AN5999">
            <v>188</v>
          </cell>
          <cell r="AP5999">
            <v>16</v>
          </cell>
        </row>
        <row r="6000">
          <cell r="B6000" t="str">
            <v>2</v>
          </cell>
          <cell r="AN6000">
            <v>159</v>
          </cell>
          <cell r="AP6000">
            <v>16</v>
          </cell>
        </row>
        <row r="6001">
          <cell r="B6001" t="str">
            <v>3</v>
          </cell>
          <cell r="AN6001">
            <v>262</v>
          </cell>
          <cell r="AP6001">
            <v>16</v>
          </cell>
        </row>
        <row r="6002">
          <cell r="B6002" t="str">
            <v>3</v>
          </cell>
          <cell r="AN6002">
            <v>176.5</v>
          </cell>
          <cell r="AP6002">
            <v>16</v>
          </cell>
        </row>
        <row r="6003">
          <cell r="B6003" t="str">
            <v>3</v>
          </cell>
          <cell r="AN6003">
            <v>132</v>
          </cell>
          <cell r="AP6003">
            <v>16</v>
          </cell>
        </row>
        <row r="6004">
          <cell r="B6004" t="str">
            <v>3</v>
          </cell>
          <cell r="AN6004">
            <v>287.89999999999998</v>
          </cell>
          <cell r="AP6004">
            <v>16</v>
          </cell>
        </row>
        <row r="6005">
          <cell r="B6005" t="str">
            <v>5</v>
          </cell>
          <cell r="AN6005">
            <v>500.5</v>
          </cell>
          <cell r="AP6005">
            <v>16</v>
          </cell>
        </row>
        <row r="6006">
          <cell r="B6006" t="str">
            <v>5</v>
          </cell>
          <cell r="AN6006">
            <v>461.4</v>
          </cell>
          <cell r="AP6006">
            <v>16</v>
          </cell>
        </row>
        <row r="6007">
          <cell r="B6007" t="str">
            <v>6</v>
          </cell>
          <cell r="AN6007">
            <v>421</v>
          </cell>
          <cell r="AP6007">
            <v>16</v>
          </cell>
        </row>
        <row r="6008">
          <cell r="B6008" t="str">
            <v>6</v>
          </cell>
          <cell r="AN6008">
            <v>133</v>
          </cell>
          <cell r="AP6008">
            <v>16</v>
          </cell>
        </row>
        <row r="6009">
          <cell r="B6009" t="str">
            <v>6</v>
          </cell>
          <cell r="AN6009">
            <v>516.5</v>
          </cell>
          <cell r="AP6009">
            <v>16</v>
          </cell>
        </row>
        <row r="6010">
          <cell r="B6010" t="str">
            <v>7</v>
          </cell>
          <cell r="AN6010">
            <v>220.5</v>
          </cell>
          <cell r="AP6010">
            <v>16</v>
          </cell>
        </row>
        <row r="6011">
          <cell r="B6011" t="str">
            <v>7</v>
          </cell>
          <cell r="AN6011">
            <v>272</v>
          </cell>
          <cell r="AP6011">
            <v>16</v>
          </cell>
        </row>
        <row r="6012">
          <cell r="B6012" t="str">
            <v>7</v>
          </cell>
          <cell r="AN6012">
            <v>234.5</v>
          </cell>
          <cell r="AP6012">
            <v>16</v>
          </cell>
        </row>
        <row r="6013">
          <cell r="B6013" t="str">
            <v>7</v>
          </cell>
          <cell r="AN6013">
            <v>295.5</v>
          </cell>
          <cell r="AP6013">
            <v>16</v>
          </cell>
        </row>
        <row r="6014">
          <cell r="B6014" t="str">
            <v>7</v>
          </cell>
          <cell r="AN6014">
            <v>447</v>
          </cell>
          <cell r="AP6014">
            <v>16</v>
          </cell>
        </row>
        <row r="6015">
          <cell r="B6015" t="str">
            <v>7</v>
          </cell>
          <cell r="AN6015">
            <v>201.5</v>
          </cell>
          <cell r="AP6015">
            <v>16</v>
          </cell>
        </row>
        <row r="6016">
          <cell r="B6016" t="str">
            <v>8</v>
          </cell>
          <cell r="AN6016">
            <v>121.5</v>
          </cell>
          <cell r="AP6016">
            <v>16</v>
          </cell>
        </row>
        <row r="6017">
          <cell r="B6017" t="str">
            <v>8</v>
          </cell>
          <cell r="AN6017">
            <v>218.5</v>
          </cell>
          <cell r="AP6017">
            <v>16</v>
          </cell>
        </row>
        <row r="6018">
          <cell r="B6018" t="str">
            <v>8</v>
          </cell>
          <cell r="AN6018">
            <v>75</v>
          </cell>
          <cell r="AP6018">
            <v>16</v>
          </cell>
        </row>
        <row r="6019">
          <cell r="B6019" t="str">
            <v>8</v>
          </cell>
          <cell r="AN6019">
            <v>251</v>
          </cell>
          <cell r="AP6019">
            <v>16</v>
          </cell>
        </row>
        <row r="6020">
          <cell r="B6020" t="str">
            <v>1</v>
          </cell>
          <cell r="AN6020">
            <v>102.8</v>
          </cell>
          <cell r="AP6020">
            <v>16</v>
          </cell>
        </row>
        <row r="6021">
          <cell r="B6021" t="str">
            <v>1</v>
          </cell>
          <cell r="AN6021">
            <v>113.5</v>
          </cell>
          <cell r="AP6021">
            <v>16</v>
          </cell>
        </row>
        <row r="6022">
          <cell r="B6022" t="str">
            <v>1</v>
          </cell>
          <cell r="AN6022">
            <v>60</v>
          </cell>
          <cell r="AP6022">
            <v>16</v>
          </cell>
        </row>
        <row r="6023">
          <cell r="B6023" t="str">
            <v>2</v>
          </cell>
          <cell r="AN6023">
            <v>92</v>
          </cell>
          <cell r="AP6023">
            <v>16</v>
          </cell>
        </row>
        <row r="6024">
          <cell r="B6024" t="str">
            <v>2</v>
          </cell>
          <cell r="AN6024">
            <v>153.80000000000001</v>
          </cell>
          <cell r="AP6024">
            <v>16</v>
          </cell>
        </row>
        <row r="6025">
          <cell r="B6025" t="str">
            <v>5</v>
          </cell>
          <cell r="AN6025">
            <v>154</v>
          </cell>
          <cell r="AP6025">
            <v>16</v>
          </cell>
        </row>
        <row r="6026">
          <cell r="B6026" t="str">
            <v>5</v>
          </cell>
          <cell r="AN6026">
            <v>233</v>
          </cell>
          <cell r="AP6026">
            <v>16</v>
          </cell>
        </row>
        <row r="6027">
          <cell r="B6027" t="str">
            <v>5</v>
          </cell>
          <cell r="AN6027">
            <v>490.1</v>
          </cell>
          <cell r="AP6027">
            <v>16</v>
          </cell>
        </row>
        <row r="6028">
          <cell r="B6028" t="str">
            <v>6</v>
          </cell>
          <cell r="AN6028">
            <v>485.25</v>
          </cell>
          <cell r="AP6028">
            <v>16</v>
          </cell>
        </row>
        <row r="6029">
          <cell r="B6029" t="str">
            <v>6</v>
          </cell>
          <cell r="AN6029">
            <v>532</v>
          </cell>
          <cell r="AP6029">
            <v>16</v>
          </cell>
        </row>
        <row r="6030">
          <cell r="B6030" t="str">
            <v>7</v>
          </cell>
          <cell r="AN6030">
            <v>744.5</v>
          </cell>
          <cell r="AP6030">
            <v>16</v>
          </cell>
        </row>
        <row r="6031">
          <cell r="B6031" t="str">
            <v>7</v>
          </cell>
          <cell r="AN6031">
            <v>414.5</v>
          </cell>
          <cell r="AP6031">
            <v>16</v>
          </cell>
        </row>
        <row r="6032">
          <cell r="B6032" t="str">
            <v>7</v>
          </cell>
          <cell r="AN6032">
            <v>231.5</v>
          </cell>
          <cell r="AP6032">
            <v>16</v>
          </cell>
        </row>
        <row r="6033">
          <cell r="B6033" t="str">
            <v>7</v>
          </cell>
          <cell r="AN6033">
            <v>158.5</v>
          </cell>
          <cell r="AP6033">
            <v>16</v>
          </cell>
        </row>
        <row r="6034">
          <cell r="B6034" t="str">
            <v>8</v>
          </cell>
          <cell r="AN6034">
            <v>103</v>
          </cell>
          <cell r="AP6034">
            <v>16</v>
          </cell>
        </row>
        <row r="6035">
          <cell r="B6035" t="str">
            <v>8</v>
          </cell>
          <cell r="AN6035">
            <v>182</v>
          </cell>
          <cell r="AP6035">
            <v>16</v>
          </cell>
        </row>
        <row r="6036">
          <cell r="B6036" t="str">
            <v>8</v>
          </cell>
          <cell r="AN6036">
            <v>201.5</v>
          </cell>
          <cell r="AP6036">
            <v>16</v>
          </cell>
        </row>
        <row r="6037">
          <cell r="B6037" t="str">
            <v>8</v>
          </cell>
          <cell r="AN6037">
            <v>107.5</v>
          </cell>
          <cell r="AP6037">
            <v>16</v>
          </cell>
        </row>
        <row r="6038">
          <cell r="B6038" t="str">
            <v>1</v>
          </cell>
          <cell r="AN6038">
            <v>154.5</v>
          </cell>
          <cell r="AP6038">
            <v>16</v>
          </cell>
        </row>
        <row r="6039">
          <cell r="B6039" t="str">
            <v>1</v>
          </cell>
          <cell r="AN6039">
            <v>174.5</v>
          </cell>
          <cell r="AP6039">
            <v>16</v>
          </cell>
        </row>
        <row r="6040">
          <cell r="B6040" t="str">
            <v>2</v>
          </cell>
          <cell r="AN6040">
            <v>187.2</v>
          </cell>
          <cell r="AP6040">
            <v>16</v>
          </cell>
        </row>
        <row r="6041">
          <cell r="B6041" t="str">
            <v>2</v>
          </cell>
          <cell r="AN6041">
            <v>169</v>
          </cell>
          <cell r="AP6041">
            <v>16</v>
          </cell>
        </row>
        <row r="6042">
          <cell r="B6042" t="str">
            <v>4</v>
          </cell>
          <cell r="AN6042">
            <v>84.5</v>
          </cell>
          <cell r="AP6042">
            <v>16</v>
          </cell>
        </row>
        <row r="6043">
          <cell r="B6043" t="str">
            <v>4</v>
          </cell>
          <cell r="AN6043">
            <v>40.5</v>
          </cell>
          <cell r="AP6043">
            <v>16</v>
          </cell>
        </row>
        <row r="6044">
          <cell r="B6044" t="str">
            <v>4</v>
          </cell>
          <cell r="AN6044">
            <v>219</v>
          </cell>
          <cell r="AP6044">
            <v>16</v>
          </cell>
        </row>
        <row r="6045">
          <cell r="B6045" t="str">
            <v>5</v>
          </cell>
          <cell r="AN6045">
            <v>66.5</v>
          </cell>
          <cell r="AP6045">
            <v>16</v>
          </cell>
        </row>
        <row r="6046">
          <cell r="B6046" t="str">
            <v>5</v>
          </cell>
          <cell r="AN6046">
            <v>151</v>
          </cell>
          <cell r="AP6046">
            <v>16</v>
          </cell>
        </row>
        <row r="6047">
          <cell r="B6047" t="str">
            <v>5</v>
          </cell>
          <cell r="AN6047">
            <v>182.5</v>
          </cell>
          <cell r="AP6047">
            <v>16</v>
          </cell>
        </row>
        <row r="6048">
          <cell r="B6048" t="str">
            <v>5</v>
          </cell>
          <cell r="AN6048">
            <v>335</v>
          </cell>
          <cell r="AP6048">
            <v>16</v>
          </cell>
        </row>
        <row r="6049">
          <cell r="B6049" t="str">
            <v>6</v>
          </cell>
          <cell r="AN6049">
            <v>507</v>
          </cell>
          <cell r="AP6049">
            <v>16</v>
          </cell>
        </row>
        <row r="6050">
          <cell r="B6050" t="str">
            <v>6</v>
          </cell>
          <cell r="AN6050">
            <v>519.5</v>
          </cell>
          <cell r="AP6050">
            <v>16</v>
          </cell>
        </row>
        <row r="6051">
          <cell r="B6051" t="str">
            <v>7</v>
          </cell>
          <cell r="AN6051">
            <v>163</v>
          </cell>
          <cell r="AP6051">
            <v>16</v>
          </cell>
        </row>
        <row r="6052">
          <cell r="B6052" t="str">
            <v>7</v>
          </cell>
          <cell r="AN6052">
            <v>143.5</v>
          </cell>
          <cell r="AP6052">
            <v>16</v>
          </cell>
        </row>
        <row r="6053">
          <cell r="B6053" t="str">
            <v>7</v>
          </cell>
          <cell r="AN6053">
            <v>30</v>
          </cell>
          <cell r="AP6053">
            <v>16</v>
          </cell>
        </row>
        <row r="6054">
          <cell r="B6054" t="str">
            <v>7</v>
          </cell>
          <cell r="AN6054">
            <v>206</v>
          </cell>
          <cell r="AP6054">
            <v>16</v>
          </cell>
        </row>
        <row r="6055">
          <cell r="B6055" t="str">
            <v>7</v>
          </cell>
          <cell r="AN6055">
            <v>162.5</v>
          </cell>
          <cell r="AP6055">
            <v>16</v>
          </cell>
        </row>
        <row r="6056">
          <cell r="B6056" t="str">
            <v>7</v>
          </cell>
          <cell r="AN6056">
            <v>421.3</v>
          </cell>
          <cell r="AP6056">
            <v>16</v>
          </cell>
        </row>
        <row r="6057">
          <cell r="B6057" t="str">
            <v>8</v>
          </cell>
          <cell r="AN6057">
            <v>187.5</v>
          </cell>
          <cell r="AP6057">
            <v>16</v>
          </cell>
        </row>
        <row r="6058">
          <cell r="B6058" t="str">
            <v>8</v>
          </cell>
          <cell r="AN6058">
            <v>64</v>
          </cell>
          <cell r="AP6058">
            <v>16</v>
          </cell>
        </row>
        <row r="6059">
          <cell r="B6059" t="str">
            <v>8</v>
          </cell>
          <cell r="AN6059">
            <v>74</v>
          </cell>
          <cell r="AP6059">
            <v>16</v>
          </cell>
        </row>
        <row r="6060">
          <cell r="B6060" t="str">
            <v>8</v>
          </cell>
          <cell r="AN6060">
            <v>137.5</v>
          </cell>
          <cell r="AP6060">
            <v>16</v>
          </cell>
        </row>
        <row r="6061">
          <cell r="B6061" t="str">
            <v>8</v>
          </cell>
          <cell r="AN6061">
            <v>178</v>
          </cell>
          <cell r="AP6061">
            <v>16</v>
          </cell>
        </row>
        <row r="6062">
          <cell r="B6062" t="str">
            <v>1</v>
          </cell>
          <cell r="AN6062">
            <v>116</v>
          </cell>
          <cell r="AP6062">
            <v>16</v>
          </cell>
        </row>
        <row r="6063">
          <cell r="B6063" t="str">
            <v>1</v>
          </cell>
          <cell r="AN6063">
            <v>42.5</v>
          </cell>
          <cell r="AP6063">
            <v>16</v>
          </cell>
        </row>
        <row r="6064">
          <cell r="B6064" t="str">
            <v>1</v>
          </cell>
          <cell r="AN6064">
            <v>113.5</v>
          </cell>
          <cell r="AP6064">
            <v>16</v>
          </cell>
        </row>
        <row r="6065">
          <cell r="B6065" t="str">
            <v>2</v>
          </cell>
          <cell r="AN6065">
            <v>29.6</v>
          </cell>
          <cell r="AP6065">
            <v>16</v>
          </cell>
        </row>
        <row r="6066">
          <cell r="B6066" t="str">
            <v>2</v>
          </cell>
          <cell r="AN6066">
            <v>60</v>
          </cell>
          <cell r="AP6066">
            <v>16</v>
          </cell>
        </row>
        <row r="6067">
          <cell r="B6067" t="str">
            <v>2</v>
          </cell>
          <cell r="AN6067">
            <v>106.5</v>
          </cell>
          <cell r="AP6067">
            <v>16</v>
          </cell>
        </row>
        <row r="6068">
          <cell r="B6068" t="str">
            <v>4</v>
          </cell>
          <cell r="AN6068">
            <v>375</v>
          </cell>
          <cell r="AP6068">
            <v>16</v>
          </cell>
        </row>
        <row r="6069">
          <cell r="B6069" t="str">
            <v>4</v>
          </cell>
          <cell r="AN6069">
            <v>368.5</v>
          </cell>
          <cell r="AP6069">
            <v>16</v>
          </cell>
        </row>
        <row r="6070">
          <cell r="B6070" t="str">
            <v>5</v>
          </cell>
          <cell r="AN6070">
            <v>205</v>
          </cell>
          <cell r="AP6070">
            <v>16</v>
          </cell>
        </row>
        <row r="6071">
          <cell r="B6071" t="str">
            <v>5</v>
          </cell>
          <cell r="AN6071">
            <v>54</v>
          </cell>
          <cell r="AP6071">
            <v>16</v>
          </cell>
        </row>
        <row r="6072">
          <cell r="B6072" t="str">
            <v>5</v>
          </cell>
          <cell r="AN6072">
            <v>71.5</v>
          </cell>
          <cell r="AP6072">
            <v>16</v>
          </cell>
        </row>
        <row r="6073">
          <cell r="B6073" t="str">
            <v>5</v>
          </cell>
          <cell r="AN6073">
            <v>52</v>
          </cell>
          <cell r="AP6073">
            <v>16</v>
          </cell>
        </row>
        <row r="6074">
          <cell r="B6074" t="str">
            <v>5</v>
          </cell>
          <cell r="AN6074">
            <v>73.5</v>
          </cell>
          <cell r="AP6074">
            <v>16</v>
          </cell>
        </row>
        <row r="6075">
          <cell r="B6075" t="str">
            <v>5</v>
          </cell>
          <cell r="AN6075">
            <v>116.5</v>
          </cell>
          <cell r="AP6075">
            <v>16</v>
          </cell>
        </row>
        <row r="6076">
          <cell r="B6076" t="str">
            <v>6</v>
          </cell>
          <cell r="AN6076">
            <v>535</v>
          </cell>
          <cell r="AP6076">
            <v>16</v>
          </cell>
        </row>
        <row r="6077">
          <cell r="B6077" t="str">
            <v>6</v>
          </cell>
          <cell r="AN6077">
            <v>537</v>
          </cell>
          <cell r="AP6077">
            <v>16</v>
          </cell>
        </row>
        <row r="6078">
          <cell r="B6078" t="str">
            <v>7</v>
          </cell>
          <cell r="AN6078">
            <v>114</v>
          </cell>
          <cell r="AP6078">
            <v>16</v>
          </cell>
        </row>
        <row r="6079">
          <cell r="B6079" t="str">
            <v>7</v>
          </cell>
          <cell r="AN6079">
            <v>119.5</v>
          </cell>
          <cell r="AP6079">
            <v>16</v>
          </cell>
        </row>
        <row r="6080">
          <cell r="B6080" t="str">
            <v>7</v>
          </cell>
          <cell r="AN6080">
            <v>165.5</v>
          </cell>
          <cell r="AP6080">
            <v>16</v>
          </cell>
        </row>
        <row r="6081">
          <cell r="B6081" t="str">
            <v>7</v>
          </cell>
          <cell r="AN6081">
            <v>199.8</v>
          </cell>
          <cell r="AP6081">
            <v>16</v>
          </cell>
        </row>
        <row r="6082">
          <cell r="B6082" t="str">
            <v>7</v>
          </cell>
          <cell r="AN6082">
            <v>197.5</v>
          </cell>
          <cell r="AP6082">
            <v>16</v>
          </cell>
        </row>
        <row r="6083">
          <cell r="B6083" t="str">
            <v>7</v>
          </cell>
          <cell r="AN6083">
            <v>299.5</v>
          </cell>
          <cell r="AP6083">
            <v>16</v>
          </cell>
        </row>
        <row r="6084">
          <cell r="B6084" t="str">
            <v>7</v>
          </cell>
          <cell r="AN6084">
            <v>73</v>
          </cell>
          <cell r="AP6084">
            <v>16</v>
          </cell>
        </row>
        <row r="6085">
          <cell r="B6085" t="str">
            <v>8</v>
          </cell>
          <cell r="AN6085">
            <v>617.5</v>
          </cell>
          <cell r="AP6085">
            <v>16</v>
          </cell>
        </row>
        <row r="6086">
          <cell r="B6086" t="str">
            <v>8</v>
          </cell>
          <cell r="AN6086">
            <v>277.5</v>
          </cell>
          <cell r="AP6086">
            <v>16</v>
          </cell>
        </row>
        <row r="6087">
          <cell r="B6087" t="str">
            <v>8</v>
          </cell>
          <cell r="AN6087">
            <v>249</v>
          </cell>
          <cell r="AP6087">
            <v>16</v>
          </cell>
        </row>
        <row r="6088">
          <cell r="B6088" t="str">
            <v>1</v>
          </cell>
          <cell r="AN6088">
            <v>135</v>
          </cell>
          <cell r="AP6088">
            <v>16</v>
          </cell>
        </row>
        <row r="6089">
          <cell r="B6089" t="str">
            <v>1</v>
          </cell>
          <cell r="AN6089">
            <v>63.5</v>
          </cell>
          <cell r="AP6089">
            <v>16</v>
          </cell>
        </row>
        <row r="6090">
          <cell r="B6090" t="str">
            <v>1</v>
          </cell>
          <cell r="AN6090">
            <v>103</v>
          </cell>
          <cell r="AP6090">
            <v>16</v>
          </cell>
        </row>
        <row r="6091">
          <cell r="B6091" t="str">
            <v>2</v>
          </cell>
          <cell r="AN6091">
            <v>116</v>
          </cell>
          <cell r="AP6091">
            <v>16</v>
          </cell>
        </row>
        <row r="6092">
          <cell r="B6092" t="str">
            <v>2</v>
          </cell>
          <cell r="AN6092">
            <v>126.5</v>
          </cell>
          <cell r="AP6092">
            <v>16</v>
          </cell>
        </row>
        <row r="6093">
          <cell r="B6093" t="str">
            <v>4</v>
          </cell>
          <cell r="AN6093">
            <v>223.5</v>
          </cell>
          <cell r="AP6093">
            <v>16</v>
          </cell>
        </row>
        <row r="6094">
          <cell r="B6094" t="str">
            <v>4</v>
          </cell>
          <cell r="AN6094">
            <v>117</v>
          </cell>
          <cell r="AP6094">
            <v>16</v>
          </cell>
        </row>
        <row r="6095">
          <cell r="B6095" t="str">
            <v>4</v>
          </cell>
          <cell r="AN6095">
            <v>64</v>
          </cell>
          <cell r="AP6095">
            <v>16</v>
          </cell>
        </row>
        <row r="6096">
          <cell r="B6096" t="str">
            <v>4</v>
          </cell>
          <cell r="AN6096">
            <v>229</v>
          </cell>
          <cell r="AP6096">
            <v>16</v>
          </cell>
        </row>
        <row r="6097">
          <cell r="B6097" t="str">
            <v>4</v>
          </cell>
          <cell r="AN6097">
            <v>63.5</v>
          </cell>
          <cell r="AP6097">
            <v>16</v>
          </cell>
        </row>
        <row r="6098">
          <cell r="B6098" t="str">
            <v>5</v>
          </cell>
          <cell r="AN6098">
            <v>136.5</v>
          </cell>
          <cell r="AP6098">
            <v>16</v>
          </cell>
        </row>
        <row r="6099">
          <cell r="B6099" t="str">
            <v>5</v>
          </cell>
          <cell r="AN6099">
            <v>138</v>
          </cell>
          <cell r="AP6099">
            <v>16</v>
          </cell>
        </row>
        <row r="6100">
          <cell r="B6100" t="str">
            <v>5</v>
          </cell>
          <cell r="AN6100">
            <v>56.5</v>
          </cell>
          <cell r="AP6100">
            <v>16</v>
          </cell>
        </row>
        <row r="6101">
          <cell r="B6101" t="str">
            <v>5</v>
          </cell>
          <cell r="AN6101">
            <v>192</v>
          </cell>
          <cell r="AP6101">
            <v>16</v>
          </cell>
        </row>
        <row r="6102">
          <cell r="B6102" t="str">
            <v>6</v>
          </cell>
          <cell r="AN6102">
            <v>535.1</v>
          </cell>
          <cell r="AP6102">
            <v>16</v>
          </cell>
        </row>
        <row r="6103">
          <cell r="B6103" t="str">
            <v>6</v>
          </cell>
          <cell r="AN6103">
            <v>522.5</v>
          </cell>
          <cell r="AP6103">
            <v>16</v>
          </cell>
        </row>
        <row r="6104">
          <cell r="B6104" t="str">
            <v>7</v>
          </cell>
          <cell r="AN6104">
            <v>233</v>
          </cell>
          <cell r="AP6104">
            <v>16</v>
          </cell>
        </row>
        <row r="6105">
          <cell r="B6105" t="str">
            <v>7</v>
          </cell>
          <cell r="AN6105">
            <v>215</v>
          </cell>
          <cell r="AP6105">
            <v>16</v>
          </cell>
        </row>
        <row r="6106">
          <cell r="B6106" t="str">
            <v>7</v>
          </cell>
          <cell r="AN6106">
            <v>115</v>
          </cell>
          <cell r="AP6106">
            <v>16</v>
          </cell>
        </row>
        <row r="6107">
          <cell r="B6107" t="str">
            <v>7</v>
          </cell>
          <cell r="AN6107">
            <v>114</v>
          </cell>
          <cell r="AP6107">
            <v>16</v>
          </cell>
        </row>
        <row r="6108">
          <cell r="B6108" t="str">
            <v>7</v>
          </cell>
          <cell r="AN6108">
            <v>494</v>
          </cell>
          <cell r="AP6108">
            <v>16</v>
          </cell>
        </row>
        <row r="6109">
          <cell r="B6109" t="str">
            <v>8</v>
          </cell>
          <cell r="AN6109">
            <v>335.5</v>
          </cell>
          <cell r="AP6109">
            <v>16</v>
          </cell>
        </row>
        <row r="6110">
          <cell r="B6110" t="str">
            <v>8</v>
          </cell>
          <cell r="AN6110">
            <v>129</v>
          </cell>
          <cell r="AP6110">
            <v>16</v>
          </cell>
        </row>
        <row r="6111">
          <cell r="B6111" t="str">
            <v>8</v>
          </cell>
          <cell r="AN6111">
            <v>102.5</v>
          </cell>
          <cell r="AP6111">
            <v>16</v>
          </cell>
        </row>
        <row r="6112">
          <cell r="B6112" t="str">
            <v>8</v>
          </cell>
          <cell r="AN6112">
            <v>102.5</v>
          </cell>
          <cell r="AP6112">
            <v>16</v>
          </cell>
        </row>
        <row r="6113">
          <cell r="B6113" t="str">
            <v>8</v>
          </cell>
          <cell r="AN6113">
            <v>168</v>
          </cell>
          <cell r="AP6113">
            <v>16</v>
          </cell>
        </row>
        <row r="6114">
          <cell r="B6114" t="str">
            <v>8</v>
          </cell>
          <cell r="AN6114">
            <v>113</v>
          </cell>
          <cell r="AP6114">
            <v>16</v>
          </cell>
        </row>
        <row r="6115">
          <cell r="B6115" t="str">
            <v>2</v>
          </cell>
          <cell r="AN6115">
            <v>131</v>
          </cell>
          <cell r="AP6115">
            <v>16</v>
          </cell>
        </row>
        <row r="6116">
          <cell r="B6116" t="str">
            <v>2</v>
          </cell>
          <cell r="AN6116">
            <v>125</v>
          </cell>
          <cell r="AP6116">
            <v>16</v>
          </cell>
        </row>
        <row r="6117">
          <cell r="B6117" t="str">
            <v>4</v>
          </cell>
          <cell r="AN6117">
            <v>278</v>
          </cell>
          <cell r="AP6117">
            <v>16</v>
          </cell>
        </row>
        <row r="6118">
          <cell r="B6118" t="str">
            <v>4</v>
          </cell>
          <cell r="AN6118">
            <v>114</v>
          </cell>
          <cell r="AP6118">
            <v>16</v>
          </cell>
        </row>
        <row r="6119">
          <cell r="B6119" t="str">
            <v>4</v>
          </cell>
          <cell r="AN6119">
            <v>197</v>
          </cell>
          <cell r="AP6119">
            <v>16</v>
          </cell>
        </row>
        <row r="6120">
          <cell r="B6120" t="str">
            <v>4</v>
          </cell>
          <cell r="AN6120">
            <v>99</v>
          </cell>
          <cell r="AP6120">
            <v>16</v>
          </cell>
        </row>
        <row r="6121">
          <cell r="B6121" t="str">
            <v>4</v>
          </cell>
          <cell r="AN6121">
            <v>60.5</v>
          </cell>
          <cell r="AP6121">
            <v>16</v>
          </cell>
        </row>
        <row r="6122">
          <cell r="B6122" t="str">
            <v>6</v>
          </cell>
          <cell r="AN6122">
            <v>230.5</v>
          </cell>
          <cell r="AP6122">
            <v>16</v>
          </cell>
        </row>
        <row r="6123">
          <cell r="B6123" t="str">
            <v>6</v>
          </cell>
          <cell r="AN6123">
            <v>273.5</v>
          </cell>
          <cell r="AP6123">
            <v>16</v>
          </cell>
        </row>
        <row r="6124">
          <cell r="B6124" t="str">
            <v>6</v>
          </cell>
          <cell r="AN6124">
            <v>535</v>
          </cell>
          <cell r="AP6124">
            <v>16</v>
          </cell>
        </row>
        <row r="6125">
          <cell r="B6125" t="str">
            <v>8</v>
          </cell>
          <cell r="AN6125">
            <v>329</v>
          </cell>
          <cell r="AP6125">
            <v>16</v>
          </cell>
        </row>
        <row r="6126">
          <cell r="B6126" t="str">
            <v>8</v>
          </cell>
          <cell r="AN6126">
            <v>118</v>
          </cell>
          <cell r="AP6126">
            <v>16</v>
          </cell>
        </row>
        <row r="6127">
          <cell r="B6127" t="str">
            <v>8</v>
          </cell>
          <cell r="AN6127">
            <v>261.5</v>
          </cell>
          <cell r="AP6127">
            <v>16</v>
          </cell>
        </row>
        <row r="6128">
          <cell r="B6128" t="str">
            <v>1</v>
          </cell>
          <cell r="AN6128">
            <v>127</v>
          </cell>
          <cell r="AP6128">
            <v>17</v>
          </cell>
        </row>
        <row r="6129">
          <cell r="B6129" t="str">
            <v>1</v>
          </cell>
          <cell r="AN6129">
            <v>52.5</v>
          </cell>
          <cell r="AP6129">
            <v>17</v>
          </cell>
        </row>
        <row r="6130">
          <cell r="B6130" t="str">
            <v>1</v>
          </cell>
          <cell r="AN6130">
            <v>73.5</v>
          </cell>
          <cell r="AP6130">
            <v>17</v>
          </cell>
        </row>
        <row r="6131">
          <cell r="B6131" t="str">
            <v>1</v>
          </cell>
          <cell r="AN6131">
            <v>97</v>
          </cell>
          <cell r="AP6131">
            <v>17</v>
          </cell>
        </row>
        <row r="6132">
          <cell r="B6132" t="str">
            <v>4</v>
          </cell>
          <cell r="AN6132">
            <v>218.5</v>
          </cell>
          <cell r="AP6132">
            <v>17</v>
          </cell>
        </row>
        <row r="6133">
          <cell r="B6133" t="str">
            <v>4</v>
          </cell>
          <cell r="AN6133">
            <v>176.5</v>
          </cell>
          <cell r="AP6133">
            <v>17</v>
          </cell>
        </row>
        <row r="6134">
          <cell r="B6134" t="str">
            <v>4</v>
          </cell>
          <cell r="AN6134">
            <v>116</v>
          </cell>
          <cell r="AP6134">
            <v>17</v>
          </cell>
        </row>
        <row r="6135">
          <cell r="B6135" t="str">
            <v>4</v>
          </cell>
          <cell r="AN6135">
            <v>103.5</v>
          </cell>
          <cell r="AP6135">
            <v>17</v>
          </cell>
        </row>
        <row r="6136">
          <cell r="B6136" t="str">
            <v>4</v>
          </cell>
          <cell r="AN6136">
            <v>185.89999999999998</v>
          </cell>
          <cell r="AP6136">
            <v>17</v>
          </cell>
        </row>
        <row r="6137">
          <cell r="B6137" t="str">
            <v>6</v>
          </cell>
          <cell r="AN6137">
            <v>570</v>
          </cell>
          <cell r="AP6137">
            <v>17</v>
          </cell>
        </row>
        <row r="6138">
          <cell r="B6138" t="str">
            <v>6</v>
          </cell>
          <cell r="AN6138">
            <v>552.5</v>
          </cell>
          <cell r="AP6138">
            <v>17</v>
          </cell>
        </row>
        <row r="6139">
          <cell r="B6139" t="str">
            <v>8</v>
          </cell>
          <cell r="AN6139">
            <v>359.5</v>
          </cell>
          <cell r="AP6139">
            <v>17</v>
          </cell>
        </row>
        <row r="6140">
          <cell r="B6140" t="str">
            <v>8</v>
          </cell>
          <cell r="AN6140">
            <v>320</v>
          </cell>
          <cell r="AP6140">
            <v>17</v>
          </cell>
        </row>
        <row r="6141">
          <cell r="B6141" t="str">
            <v>8</v>
          </cell>
          <cell r="AN6141">
            <v>52</v>
          </cell>
          <cell r="AP6141">
            <v>17</v>
          </cell>
        </row>
        <row r="6142">
          <cell r="B6142" t="str">
            <v>2</v>
          </cell>
          <cell r="AN6142">
            <v>67</v>
          </cell>
          <cell r="AP6142">
            <v>17</v>
          </cell>
        </row>
        <row r="6143">
          <cell r="B6143" t="str">
            <v>2</v>
          </cell>
          <cell r="AN6143">
            <v>73</v>
          </cell>
          <cell r="AP6143">
            <v>17</v>
          </cell>
        </row>
        <row r="6144">
          <cell r="B6144" t="str">
            <v>2</v>
          </cell>
          <cell r="AN6144">
            <v>157.5</v>
          </cell>
          <cell r="AP6144">
            <v>17</v>
          </cell>
        </row>
        <row r="6145">
          <cell r="B6145" t="str">
            <v>4</v>
          </cell>
          <cell r="AN6145">
            <v>34</v>
          </cell>
          <cell r="AP6145">
            <v>17</v>
          </cell>
        </row>
        <row r="6146">
          <cell r="B6146" t="str">
            <v>4</v>
          </cell>
          <cell r="AN6146">
            <v>11.5</v>
          </cell>
          <cell r="AP6146">
            <v>17</v>
          </cell>
        </row>
        <row r="6147">
          <cell r="B6147" t="str">
            <v>4</v>
          </cell>
          <cell r="AN6147">
            <v>218</v>
          </cell>
          <cell r="AP6147">
            <v>17</v>
          </cell>
        </row>
        <row r="6148">
          <cell r="B6148" t="str">
            <v>6</v>
          </cell>
          <cell r="AN6148">
            <v>135</v>
          </cell>
          <cell r="AP6148">
            <v>17</v>
          </cell>
        </row>
        <row r="6149">
          <cell r="B6149" t="str">
            <v>6</v>
          </cell>
          <cell r="AN6149">
            <v>126</v>
          </cell>
          <cell r="AP6149">
            <v>17</v>
          </cell>
        </row>
        <row r="6150">
          <cell r="B6150" t="str">
            <v>6</v>
          </cell>
          <cell r="AN6150">
            <v>109</v>
          </cell>
          <cell r="AP6150">
            <v>17</v>
          </cell>
        </row>
        <row r="6151">
          <cell r="B6151" t="str">
            <v>6</v>
          </cell>
          <cell r="AN6151">
            <v>44.5</v>
          </cell>
          <cell r="AP6151">
            <v>17</v>
          </cell>
        </row>
        <row r="6152">
          <cell r="B6152" t="str">
            <v>6</v>
          </cell>
          <cell r="AN6152">
            <v>99.5</v>
          </cell>
          <cell r="AP6152">
            <v>17</v>
          </cell>
        </row>
        <row r="6153">
          <cell r="B6153" t="str">
            <v>6</v>
          </cell>
          <cell r="AN6153">
            <v>545.09999999999991</v>
          </cell>
          <cell r="AP6153">
            <v>17</v>
          </cell>
        </row>
        <row r="6154">
          <cell r="B6154" t="str">
            <v>8</v>
          </cell>
          <cell r="AN6154">
            <v>380</v>
          </cell>
          <cell r="AP6154">
            <v>17</v>
          </cell>
        </row>
        <row r="6155">
          <cell r="B6155" t="str">
            <v>8</v>
          </cell>
          <cell r="AN6155">
            <v>75</v>
          </cell>
          <cell r="AP6155">
            <v>17</v>
          </cell>
        </row>
        <row r="6156">
          <cell r="B6156" t="str">
            <v>8</v>
          </cell>
          <cell r="AN6156">
            <v>276.5</v>
          </cell>
          <cell r="AP6156">
            <v>17</v>
          </cell>
        </row>
        <row r="6157">
          <cell r="B6157" t="str">
            <v>2</v>
          </cell>
          <cell r="AN6157">
            <v>136.5</v>
          </cell>
          <cell r="AP6157">
            <v>17</v>
          </cell>
        </row>
        <row r="6158">
          <cell r="B6158" t="str">
            <v>2</v>
          </cell>
          <cell r="AN6158">
            <v>57.4</v>
          </cell>
          <cell r="AP6158">
            <v>17</v>
          </cell>
        </row>
        <row r="6159">
          <cell r="B6159" t="str">
            <v>2</v>
          </cell>
          <cell r="AN6159">
            <v>109</v>
          </cell>
          <cell r="AP6159">
            <v>17</v>
          </cell>
        </row>
        <row r="6160">
          <cell r="B6160" t="str">
            <v>4</v>
          </cell>
          <cell r="AN6160">
            <v>173</v>
          </cell>
          <cell r="AP6160">
            <v>17</v>
          </cell>
        </row>
        <row r="6161">
          <cell r="B6161" t="str">
            <v>6</v>
          </cell>
          <cell r="AN6161">
            <v>404.5</v>
          </cell>
          <cell r="AP6161">
            <v>17</v>
          </cell>
        </row>
        <row r="6162">
          <cell r="B6162" t="str">
            <v>6</v>
          </cell>
          <cell r="AN6162">
            <v>82</v>
          </cell>
          <cell r="AP6162">
            <v>17</v>
          </cell>
        </row>
        <row r="6163">
          <cell r="B6163" t="str">
            <v>6</v>
          </cell>
          <cell r="AN6163">
            <v>185.6</v>
          </cell>
          <cell r="AP6163">
            <v>17</v>
          </cell>
        </row>
        <row r="6164">
          <cell r="B6164" t="str">
            <v>6</v>
          </cell>
          <cell r="AN6164">
            <v>73</v>
          </cell>
          <cell r="AP6164">
            <v>17</v>
          </cell>
        </row>
        <row r="6165">
          <cell r="B6165" t="str">
            <v>6</v>
          </cell>
          <cell r="AN6165">
            <v>199</v>
          </cell>
          <cell r="AP6165">
            <v>17</v>
          </cell>
        </row>
        <row r="6166">
          <cell r="B6166" t="str">
            <v>8</v>
          </cell>
          <cell r="AN6166">
            <v>169</v>
          </cell>
          <cell r="AP6166">
            <v>17</v>
          </cell>
        </row>
        <row r="6167">
          <cell r="B6167" t="str">
            <v>8</v>
          </cell>
          <cell r="AN6167">
            <v>113</v>
          </cell>
          <cell r="AP6167">
            <v>17</v>
          </cell>
        </row>
        <row r="6168">
          <cell r="B6168" t="str">
            <v>8</v>
          </cell>
          <cell r="AN6168">
            <v>612</v>
          </cell>
          <cell r="AP6168">
            <v>17</v>
          </cell>
        </row>
        <row r="6169">
          <cell r="B6169" t="str">
            <v>8</v>
          </cell>
          <cell r="AN6169">
            <v>55</v>
          </cell>
          <cell r="AP6169">
            <v>17</v>
          </cell>
        </row>
        <row r="6170">
          <cell r="B6170" t="str">
            <v>2</v>
          </cell>
          <cell r="AN6170">
            <v>212</v>
          </cell>
          <cell r="AP6170">
            <v>17</v>
          </cell>
        </row>
        <row r="6171">
          <cell r="B6171" t="str">
            <v>2</v>
          </cell>
          <cell r="AN6171">
            <v>127</v>
          </cell>
          <cell r="AP6171">
            <v>17</v>
          </cell>
        </row>
        <row r="6172">
          <cell r="B6172" t="str">
            <v>4</v>
          </cell>
          <cell r="AN6172">
            <v>138</v>
          </cell>
          <cell r="AP6172">
            <v>17</v>
          </cell>
        </row>
        <row r="6173">
          <cell r="B6173" t="str">
            <v>4</v>
          </cell>
          <cell r="AN6173">
            <v>35.5</v>
          </cell>
          <cell r="AP6173">
            <v>17</v>
          </cell>
        </row>
        <row r="6174">
          <cell r="B6174" t="str">
            <v>4</v>
          </cell>
          <cell r="AN6174">
            <v>41.5</v>
          </cell>
          <cell r="AP6174">
            <v>17</v>
          </cell>
        </row>
        <row r="6175">
          <cell r="B6175" t="str">
            <v>4</v>
          </cell>
          <cell r="AN6175">
            <v>69</v>
          </cell>
          <cell r="AP6175">
            <v>17</v>
          </cell>
        </row>
        <row r="6176">
          <cell r="B6176" t="str">
            <v>4</v>
          </cell>
          <cell r="AN6176">
            <v>30.5</v>
          </cell>
          <cell r="AP6176">
            <v>17</v>
          </cell>
        </row>
        <row r="6177">
          <cell r="B6177" t="str">
            <v>4</v>
          </cell>
          <cell r="AN6177">
            <v>87.5</v>
          </cell>
          <cell r="AP6177">
            <v>17</v>
          </cell>
        </row>
        <row r="6178">
          <cell r="B6178" t="str">
            <v>4</v>
          </cell>
          <cell r="AN6178">
            <v>102</v>
          </cell>
          <cell r="AP6178">
            <v>17</v>
          </cell>
        </row>
        <row r="6179">
          <cell r="B6179" t="str">
            <v>4</v>
          </cell>
          <cell r="AN6179">
            <v>124</v>
          </cell>
          <cell r="AP6179">
            <v>17</v>
          </cell>
        </row>
        <row r="6180">
          <cell r="B6180" t="str">
            <v>4</v>
          </cell>
          <cell r="AN6180">
            <v>112</v>
          </cell>
          <cell r="AP6180">
            <v>17</v>
          </cell>
        </row>
        <row r="6181">
          <cell r="B6181" t="str">
            <v>6</v>
          </cell>
          <cell r="AN6181">
            <v>108</v>
          </cell>
          <cell r="AP6181">
            <v>17</v>
          </cell>
        </row>
        <row r="6182">
          <cell r="B6182" t="str">
            <v>6</v>
          </cell>
          <cell r="AN6182">
            <v>106.5</v>
          </cell>
          <cell r="AP6182">
            <v>17</v>
          </cell>
        </row>
        <row r="6183">
          <cell r="B6183" t="str">
            <v>6</v>
          </cell>
          <cell r="AN6183">
            <v>109</v>
          </cell>
          <cell r="AP6183">
            <v>17</v>
          </cell>
        </row>
        <row r="6184">
          <cell r="B6184" t="str">
            <v>6</v>
          </cell>
          <cell r="AN6184">
            <v>661</v>
          </cell>
          <cell r="AP6184">
            <v>17</v>
          </cell>
        </row>
        <row r="6185">
          <cell r="B6185" t="str">
            <v>8</v>
          </cell>
          <cell r="AN6185">
            <v>63</v>
          </cell>
          <cell r="AP6185">
            <v>17</v>
          </cell>
        </row>
        <row r="6186">
          <cell r="B6186" t="str">
            <v>8</v>
          </cell>
          <cell r="AN6186">
            <v>60</v>
          </cell>
          <cell r="AP6186">
            <v>17</v>
          </cell>
        </row>
        <row r="6187">
          <cell r="B6187" t="str">
            <v>8</v>
          </cell>
          <cell r="AN6187">
            <v>178</v>
          </cell>
          <cell r="AP6187">
            <v>17</v>
          </cell>
        </row>
        <row r="6188">
          <cell r="B6188" t="str">
            <v>8</v>
          </cell>
          <cell r="AN6188">
            <v>479.29999999999995</v>
          </cell>
          <cell r="AP6188">
            <v>17</v>
          </cell>
        </row>
        <row r="6189">
          <cell r="B6189" t="str">
            <v>1</v>
          </cell>
          <cell r="AN6189">
            <v>79.5</v>
          </cell>
          <cell r="AP6189">
            <v>17</v>
          </cell>
        </row>
        <row r="6190">
          <cell r="B6190" t="str">
            <v>2</v>
          </cell>
          <cell r="AN6190">
            <v>130</v>
          </cell>
          <cell r="AP6190">
            <v>17</v>
          </cell>
        </row>
        <row r="6191">
          <cell r="B6191" t="str">
            <v>2</v>
          </cell>
          <cell r="AN6191">
            <v>144.5</v>
          </cell>
          <cell r="AP6191">
            <v>17</v>
          </cell>
        </row>
        <row r="6192">
          <cell r="B6192" t="str">
            <v>4</v>
          </cell>
          <cell r="AN6192">
            <v>199</v>
          </cell>
          <cell r="AP6192">
            <v>17</v>
          </cell>
        </row>
        <row r="6193">
          <cell r="B6193" t="str">
            <v>4</v>
          </cell>
          <cell r="AN6193">
            <v>127</v>
          </cell>
          <cell r="AP6193">
            <v>17</v>
          </cell>
        </row>
        <row r="6194">
          <cell r="B6194" t="str">
            <v>4</v>
          </cell>
          <cell r="AN6194">
            <v>62</v>
          </cell>
          <cell r="AP6194">
            <v>17</v>
          </cell>
        </row>
        <row r="6195">
          <cell r="B6195" t="str">
            <v>4</v>
          </cell>
          <cell r="AN6195">
            <v>322.5</v>
          </cell>
          <cell r="AP6195">
            <v>17</v>
          </cell>
        </row>
        <row r="6196">
          <cell r="B6196" t="str">
            <v>5</v>
          </cell>
          <cell r="AN6196">
            <v>134</v>
          </cell>
          <cell r="AP6196">
            <v>17</v>
          </cell>
        </row>
        <row r="6197">
          <cell r="B6197" t="str">
            <v>6</v>
          </cell>
          <cell r="AN6197">
            <v>117.5</v>
          </cell>
          <cell r="AP6197">
            <v>17</v>
          </cell>
        </row>
        <row r="6198">
          <cell r="B6198" t="str">
            <v>6</v>
          </cell>
          <cell r="AN6198">
            <v>493</v>
          </cell>
          <cell r="AP6198">
            <v>17</v>
          </cell>
        </row>
        <row r="6199">
          <cell r="B6199" t="str">
            <v>6</v>
          </cell>
          <cell r="AN6199">
            <v>274</v>
          </cell>
          <cell r="AP6199">
            <v>17</v>
          </cell>
        </row>
        <row r="6200">
          <cell r="B6200" t="str">
            <v>6</v>
          </cell>
          <cell r="AN6200">
            <v>377.5</v>
          </cell>
          <cell r="AP6200">
            <v>17</v>
          </cell>
        </row>
        <row r="6201">
          <cell r="B6201" t="str">
            <v>6</v>
          </cell>
          <cell r="AN6201">
            <v>99</v>
          </cell>
          <cell r="AP6201">
            <v>17</v>
          </cell>
        </row>
        <row r="6202">
          <cell r="B6202" t="str">
            <v>8</v>
          </cell>
          <cell r="AN6202">
            <v>138.5</v>
          </cell>
          <cell r="AP6202">
            <v>17</v>
          </cell>
        </row>
        <row r="6203">
          <cell r="B6203" t="str">
            <v>8</v>
          </cell>
          <cell r="AN6203">
            <v>189</v>
          </cell>
          <cell r="AP6203">
            <v>17</v>
          </cell>
        </row>
        <row r="6204">
          <cell r="B6204" t="str">
            <v>8</v>
          </cell>
          <cell r="AN6204">
            <v>97.5</v>
          </cell>
          <cell r="AP6204">
            <v>17</v>
          </cell>
        </row>
        <row r="6205">
          <cell r="B6205" t="str">
            <v>1</v>
          </cell>
          <cell r="AN6205">
            <v>172</v>
          </cell>
          <cell r="AP6205">
            <v>17</v>
          </cell>
        </row>
        <row r="6206">
          <cell r="B6206" t="str">
            <v>1</v>
          </cell>
          <cell r="AN6206">
            <v>128</v>
          </cell>
          <cell r="AP6206">
            <v>17</v>
          </cell>
        </row>
        <row r="6207">
          <cell r="B6207" t="str">
            <v>2</v>
          </cell>
          <cell r="AN6207">
            <v>126</v>
          </cell>
          <cell r="AP6207">
            <v>17</v>
          </cell>
        </row>
        <row r="6208">
          <cell r="B6208" t="str">
            <v>2</v>
          </cell>
          <cell r="AN6208">
            <v>93</v>
          </cell>
          <cell r="AP6208">
            <v>17</v>
          </cell>
        </row>
        <row r="6209">
          <cell r="B6209" t="str">
            <v>4</v>
          </cell>
          <cell r="AN6209">
            <v>425</v>
          </cell>
          <cell r="AP6209">
            <v>17</v>
          </cell>
        </row>
        <row r="6210">
          <cell r="B6210" t="str">
            <v>4</v>
          </cell>
          <cell r="AN6210">
            <v>275.5</v>
          </cell>
          <cell r="AP6210">
            <v>17</v>
          </cell>
        </row>
        <row r="6211">
          <cell r="B6211" t="str">
            <v>5</v>
          </cell>
          <cell r="AN6211">
            <v>78</v>
          </cell>
          <cell r="AP6211">
            <v>17</v>
          </cell>
        </row>
        <row r="6212">
          <cell r="B6212" t="str">
            <v>5</v>
          </cell>
          <cell r="AN6212">
            <v>60</v>
          </cell>
          <cell r="AP6212">
            <v>17</v>
          </cell>
        </row>
        <row r="6213">
          <cell r="B6213" t="str">
            <v>5</v>
          </cell>
          <cell r="AN6213">
            <v>85</v>
          </cell>
          <cell r="AP6213">
            <v>17</v>
          </cell>
        </row>
        <row r="6214">
          <cell r="B6214" t="str">
            <v>5</v>
          </cell>
          <cell r="AN6214">
            <v>135</v>
          </cell>
          <cell r="AP6214">
            <v>17</v>
          </cell>
        </row>
        <row r="6215">
          <cell r="B6215" t="str">
            <v>6</v>
          </cell>
          <cell r="AN6215">
            <v>91</v>
          </cell>
          <cell r="AP6215">
            <v>17</v>
          </cell>
        </row>
        <row r="6216">
          <cell r="B6216" t="str">
            <v>6</v>
          </cell>
          <cell r="AN6216">
            <v>531</v>
          </cell>
          <cell r="AP6216">
            <v>17</v>
          </cell>
        </row>
        <row r="6217">
          <cell r="B6217" t="str">
            <v>6</v>
          </cell>
          <cell r="AN6217">
            <v>622.5</v>
          </cell>
          <cell r="AP6217">
            <v>17</v>
          </cell>
        </row>
        <row r="6218">
          <cell r="B6218" t="str">
            <v>1</v>
          </cell>
          <cell r="AN6218">
            <v>156.5</v>
          </cell>
          <cell r="AP6218">
            <v>17</v>
          </cell>
        </row>
        <row r="6219">
          <cell r="B6219" t="str">
            <v>1</v>
          </cell>
          <cell r="AN6219">
            <v>55.5</v>
          </cell>
          <cell r="AP6219">
            <v>17</v>
          </cell>
        </row>
        <row r="6220">
          <cell r="B6220" t="str">
            <v>1</v>
          </cell>
          <cell r="AN6220">
            <v>48</v>
          </cell>
          <cell r="AP6220">
            <v>17</v>
          </cell>
        </row>
        <row r="6221">
          <cell r="B6221" t="str">
            <v>1</v>
          </cell>
          <cell r="AN6221">
            <v>106.5</v>
          </cell>
          <cell r="AP6221">
            <v>17</v>
          </cell>
        </row>
        <row r="6222">
          <cell r="B6222" t="str">
            <v>2</v>
          </cell>
          <cell r="AN6222">
            <v>50.5</v>
          </cell>
          <cell r="AP6222">
            <v>17</v>
          </cell>
        </row>
        <row r="6223">
          <cell r="B6223" t="str">
            <v>2</v>
          </cell>
          <cell r="AN6223">
            <v>72</v>
          </cell>
          <cell r="AP6223">
            <v>17</v>
          </cell>
        </row>
        <row r="6224">
          <cell r="B6224" t="str">
            <v>2</v>
          </cell>
          <cell r="AN6224">
            <v>48</v>
          </cell>
          <cell r="AP6224">
            <v>17</v>
          </cell>
        </row>
        <row r="6225">
          <cell r="B6225" t="str">
            <v>2</v>
          </cell>
          <cell r="AN6225">
            <v>85.5</v>
          </cell>
          <cell r="AP6225">
            <v>17</v>
          </cell>
        </row>
        <row r="6226">
          <cell r="B6226" t="str">
            <v>4</v>
          </cell>
          <cell r="AN6226">
            <v>115.5</v>
          </cell>
          <cell r="AP6226">
            <v>17</v>
          </cell>
        </row>
        <row r="6227">
          <cell r="B6227" t="str">
            <v>4</v>
          </cell>
          <cell r="AN6227">
            <v>116.5</v>
          </cell>
          <cell r="AP6227">
            <v>17</v>
          </cell>
        </row>
        <row r="6228">
          <cell r="B6228" t="str">
            <v>4</v>
          </cell>
          <cell r="AN6228">
            <v>74.5</v>
          </cell>
          <cell r="AP6228">
            <v>17</v>
          </cell>
        </row>
        <row r="6229">
          <cell r="B6229" t="str">
            <v>5</v>
          </cell>
          <cell r="AN6229">
            <v>248</v>
          </cell>
          <cell r="AP6229">
            <v>17</v>
          </cell>
        </row>
        <row r="6230">
          <cell r="B6230" t="str">
            <v>5</v>
          </cell>
          <cell r="AN6230">
            <v>40.5</v>
          </cell>
          <cell r="AP6230">
            <v>17</v>
          </cell>
        </row>
        <row r="6231">
          <cell r="B6231" t="str">
            <v>5</v>
          </cell>
          <cell r="AN6231">
            <v>82</v>
          </cell>
          <cell r="AP6231">
            <v>17</v>
          </cell>
        </row>
        <row r="6232">
          <cell r="B6232" t="str">
            <v>5</v>
          </cell>
          <cell r="AN6232">
            <v>102</v>
          </cell>
          <cell r="AP6232">
            <v>17</v>
          </cell>
        </row>
        <row r="6233">
          <cell r="B6233" t="str">
            <v>5</v>
          </cell>
          <cell r="AN6233">
            <v>107.5</v>
          </cell>
          <cell r="AP6233">
            <v>17</v>
          </cell>
        </row>
        <row r="6234">
          <cell r="B6234" t="str">
            <v>6</v>
          </cell>
          <cell r="AN6234">
            <v>349</v>
          </cell>
          <cell r="AP6234">
            <v>17</v>
          </cell>
        </row>
        <row r="6235">
          <cell r="B6235" t="str">
            <v>6</v>
          </cell>
          <cell r="AN6235">
            <v>162</v>
          </cell>
          <cell r="AP6235">
            <v>17</v>
          </cell>
        </row>
        <row r="6236">
          <cell r="B6236" t="str">
            <v>6</v>
          </cell>
          <cell r="AN6236">
            <v>56.5</v>
          </cell>
          <cell r="AP6236">
            <v>17</v>
          </cell>
        </row>
        <row r="6237">
          <cell r="B6237" t="str">
            <v>6</v>
          </cell>
          <cell r="AN6237">
            <v>210.5</v>
          </cell>
          <cell r="AP6237">
            <v>17</v>
          </cell>
        </row>
        <row r="6238">
          <cell r="B6238" t="str">
            <v>6</v>
          </cell>
          <cell r="AN6238">
            <v>119</v>
          </cell>
          <cell r="AP6238">
            <v>17</v>
          </cell>
        </row>
        <row r="6239">
          <cell r="B6239" t="str">
            <v>1</v>
          </cell>
          <cell r="AN6239">
            <v>97.5</v>
          </cell>
          <cell r="AP6239">
            <v>18</v>
          </cell>
        </row>
        <row r="6240">
          <cell r="B6240" t="str">
            <v>1</v>
          </cell>
          <cell r="AN6240">
            <v>63</v>
          </cell>
          <cell r="AP6240">
            <v>18</v>
          </cell>
        </row>
        <row r="6241">
          <cell r="B6241" t="str">
            <v>1</v>
          </cell>
          <cell r="AN6241">
            <v>76</v>
          </cell>
          <cell r="AP6241">
            <v>18</v>
          </cell>
        </row>
        <row r="6242">
          <cell r="B6242" t="str">
            <v>1</v>
          </cell>
          <cell r="AN6242">
            <v>66</v>
          </cell>
          <cell r="AP6242">
            <v>18</v>
          </cell>
        </row>
        <row r="6243">
          <cell r="B6243" t="str">
            <v>2</v>
          </cell>
          <cell r="AN6243">
            <v>148</v>
          </cell>
          <cell r="AP6243">
            <v>18</v>
          </cell>
        </row>
        <row r="6244">
          <cell r="B6244" t="str">
            <v>2</v>
          </cell>
          <cell r="AN6244">
            <v>106</v>
          </cell>
          <cell r="AP6244">
            <v>18</v>
          </cell>
        </row>
        <row r="6245">
          <cell r="B6245" t="str">
            <v>2</v>
          </cell>
          <cell r="AN6245">
            <v>34.5</v>
          </cell>
          <cell r="AP6245">
            <v>18</v>
          </cell>
        </row>
        <row r="6246">
          <cell r="B6246" t="str">
            <v>3</v>
          </cell>
          <cell r="AN6246">
            <v>278.3</v>
          </cell>
          <cell r="AP6246">
            <v>18</v>
          </cell>
        </row>
        <row r="6247">
          <cell r="B6247" t="str">
            <v>3</v>
          </cell>
          <cell r="AN6247">
            <v>281.12</v>
          </cell>
          <cell r="AP6247">
            <v>18</v>
          </cell>
        </row>
        <row r="6248">
          <cell r="B6248" t="str">
            <v>5</v>
          </cell>
          <cell r="AN6248">
            <v>115</v>
          </cell>
          <cell r="AP6248">
            <v>18</v>
          </cell>
        </row>
        <row r="6249">
          <cell r="B6249" t="str">
            <v>5</v>
          </cell>
          <cell r="AN6249">
            <v>160</v>
          </cell>
          <cell r="AP6249">
            <v>18</v>
          </cell>
        </row>
        <row r="6250">
          <cell r="B6250" t="str">
            <v>5</v>
          </cell>
          <cell r="AN6250">
            <v>40.5</v>
          </cell>
          <cell r="AP6250">
            <v>18</v>
          </cell>
        </row>
        <row r="6251">
          <cell r="B6251" t="str">
            <v>5</v>
          </cell>
          <cell r="AN6251">
            <v>51</v>
          </cell>
          <cell r="AP6251">
            <v>18</v>
          </cell>
        </row>
        <row r="6252">
          <cell r="B6252" t="str">
            <v>5</v>
          </cell>
          <cell r="AN6252">
            <v>172.5</v>
          </cell>
          <cell r="AP6252">
            <v>18</v>
          </cell>
        </row>
        <row r="6253">
          <cell r="B6253" t="str">
            <v>5</v>
          </cell>
          <cell r="AN6253">
            <v>78</v>
          </cell>
          <cell r="AP6253">
            <v>18</v>
          </cell>
        </row>
        <row r="6254">
          <cell r="B6254" t="str">
            <v>6</v>
          </cell>
          <cell r="AN6254">
            <v>220</v>
          </cell>
          <cell r="AP6254">
            <v>18</v>
          </cell>
        </row>
        <row r="6255">
          <cell r="B6255" t="str">
            <v>6</v>
          </cell>
          <cell r="AN6255">
            <v>233.5</v>
          </cell>
          <cell r="AP6255">
            <v>18</v>
          </cell>
        </row>
        <row r="6256">
          <cell r="B6256" t="str">
            <v>6</v>
          </cell>
          <cell r="AN6256">
            <v>296.5</v>
          </cell>
          <cell r="AP6256">
            <v>18</v>
          </cell>
        </row>
        <row r="6257">
          <cell r="B6257" t="str">
            <v>1</v>
          </cell>
          <cell r="AN6257">
            <v>108.5</v>
          </cell>
          <cell r="AP6257">
            <v>18</v>
          </cell>
        </row>
        <row r="6258">
          <cell r="B6258" t="str">
            <v>1</v>
          </cell>
          <cell r="AN6258">
            <v>61</v>
          </cell>
          <cell r="AP6258">
            <v>18</v>
          </cell>
        </row>
        <row r="6259">
          <cell r="B6259" t="str">
            <v>1</v>
          </cell>
          <cell r="AN6259">
            <v>65</v>
          </cell>
          <cell r="AP6259">
            <v>18</v>
          </cell>
        </row>
        <row r="6260">
          <cell r="B6260" t="str">
            <v>2</v>
          </cell>
          <cell r="AN6260">
            <v>95.5</v>
          </cell>
          <cell r="AP6260">
            <v>18</v>
          </cell>
        </row>
        <row r="6261">
          <cell r="B6261" t="str">
            <v>2</v>
          </cell>
          <cell r="AN6261">
            <v>39.5</v>
          </cell>
          <cell r="AP6261">
            <v>18</v>
          </cell>
        </row>
        <row r="6262">
          <cell r="B6262" t="str">
            <v>2</v>
          </cell>
          <cell r="AN6262">
            <v>150</v>
          </cell>
          <cell r="AP6262">
            <v>18</v>
          </cell>
        </row>
        <row r="6263">
          <cell r="B6263" t="str">
            <v>4</v>
          </cell>
          <cell r="AN6263">
            <v>97</v>
          </cell>
          <cell r="AP6263">
            <v>18</v>
          </cell>
        </row>
        <row r="6264">
          <cell r="B6264" t="str">
            <v>4</v>
          </cell>
          <cell r="AN6264">
            <v>178</v>
          </cell>
          <cell r="AP6264">
            <v>18</v>
          </cell>
        </row>
        <row r="6265">
          <cell r="B6265" t="str">
            <v>4</v>
          </cell>
          <cell r="AN6265">
            <v>55</v>
          </cell>
          <cell r="AP6265">
            <v>18</v>
          </cell>
        </row>
        <row r="6266">
          <cell r="B6266" t="str">
            <v>4</v>
          </cell>
          <cell r="AN6266">
            <v>83</v>
          </cell>
          <cell r="AP6266">
            <v>18</v>
          </cell>
        </row>
        <row r="6267">
          <cell r="B6267" t="str">
            <v>4</v>
          </cell>
          <cell r="AN6267">
            <v>179</v>
          </cell>
          <cell r="AP6267">
            <v>18</v>
          </cell>
        </row>
        <row r="6268">
          <cell r="B6268" t="str">
            <v>4</v>
          </cell>
          <cell r="AN6268">
            <v>156</v>
          </cell>
          <cell r="AP6268">
            <v>18</v>
          </cell>
        </row>
        <row r="6269">
          <cell r="B6269" t="str">
            <v>5</v>
          </cell>
          <cell r="AN6269">
            <v>118</v>
          </cell>
          <cell r="AP6269">
            <v>18</v>
          </cell>
        </row>
        <row r="6270">
          <cell r="B6270" t="str">
            <v>5</v>
          </cell>
          <cell r="AN6270">
            <v>120.5</v>
          </cell>
          <cell r="AP6270">
            <v>18</v>
          </cell>
        </row>
        <row r="6271">
          <cell r="B6271" t="str">
            <v>5</v>
          </cell>
          <cell r="AN6271">
            <v>91.5</v>
          </cell>
          <cell r="AP6271">
            <v>18</v>
          </cell>
        </row>
        <row r="6272">
          <cell r="B6272" t="str">
            <v>5</v>
          </cell>
          <cell r="AN6272">
            <v>139.5</v>
          </cell>
          <cell r="AP6272">
            <v>18</v>
          </cell>
        </row>
        <row r="6273">
          <cell r="B6273" t="str">
            <v>5</v>
          </cell>
          <cell r="AN6273">
            <v>116.5</v>
          </cell>
          <cell r="AP6273">
            <v>18</v>
          </cell>
        </row>
        <row r="6274">
          <cell r="B6274" t="str">
            <v>5</v>
          </cell>
          <cell r="AN6274">
            <v>104</v>
          </cell>
          <cell r="AP6274">
            <v>18</v>
          </cell>
        </row>
        <row r="6275">
          <cell r="B6275" t="str">
            <v>6</v>
          </cell>
          <cell r="AN6275">
            <v>178</v>
          </cell>
          <cell r="AP6275">
            <v>18</v>
          </cell>
        </row>
        <row r="6276">
          <cell r="B6276" t="str">
            <v>6</v>
          </cell>
          <cell r="AN6276">
            <v>170</v>
          </cell>
          <cell r="AP6276">
            <v>18</v>
          </cell>
        </row>
        <row r="6277">
          <cell r="B6277" t="str">
            <v>6</v>
          </cell>
          <cell r="AN6277">
            <v>70.5</v>
          </cell>
          <cell r="AP6277">
            <v>18</v>
          </cell>
        </row>
        <row r="6278">
          <cell r="B6278" t="str">
            <v>6</v>
          </cell>
          <cell r="AN6278">
            <v>81</v>
          </cell>
          <cell r="AP6278">
            <v>18</v>
          </cell>
        </row>
        <row r="6279">
          <cell r="B6279" t="str">
            <v>6</v>
          </cell>
          <cell r="AN6279">
            <v>105</v>
          </cell>
          <cell r="AP6279">
            <v>18</v>
          </cell>
        </row>
        <row r="6280">
          <cell r="B6280" t="str">
            <v>6</v>
          </cell>
          <cell r="AN6280">
            <v>115</v>
          </cell>
          <cell r="AP6280">
            <v>18</v>
          </cell>
        </row>
        <row r="6281">
          <cell r="B6281" t="str">
            <v>6</v>
          </cell>
          <cell r="AN6281">
            <v>61</v>
          </cell>
          <cell r="AP6281">
            <v>18</v>
          </cell>
        </row>
        <row r="6282">
          <cell r="B6282" t="str">
            <v>6</v>
          </cell>
          <cell r="AN6282">
            <v>107</v>
          </cell>
          <cell r="AP6282">
            <v>18</v>
          </cell>
        </row>
        <row r="6283">
          <cell r="B6283" t="str">
            <v>1</v>
          </cell>
          <cell r="AN6283">
            <v>47.5</v>
          </cell>
          <cell r="AP6283">
            <v>18</v>
          </cell>
        </row>
        <row r="6284">
          <cell r="B6284" t="str">
            <v>1</v>
          </cell>
          <cell r="AN6284">
            <v>82</v>
          </cell>
          <cell r="AP6284">
            <v>18</v>
          </cell>
        </row>
        <row r="6285">
          <cell r="B6285" t="str">
            <v>1</v>
          </cell>
          <cell r="AN6285">
            <v>31.5</v>
          </cell>
          <cell r="AP6285">
            <v>18</v>
          </cell>
        </row>
        <row r="6286">
          <cell r="B6286" t="str">
            <v>1</v>
          </cell>
          <cell r="AN6286">
            <v>98</v>
          </cell>
          <cell r="AP6286">
            <v>18</v>
          </cell>
        </row>
        <row r="6287">
          <cell r="B6287" t="str">
            <v>2</v>
          </cell>
          <cell r="AN6287">
            <v>122.7</v>
          </cell>
          <cell r="AP6287">
            <v>18</v>
          </cell>
        </row>
        <row r="6288">
          <cell r="B6288" t="str">
            <v>2</v>
          </cell>
          <cell r="AN6288">
            <v>148.5</v>
          </cell>
          <cell r="AP6288">
            <v>18</v>
          </cell>
        </row>
        <row r="6289">
          <cell r="B6289" t="str">
            <v>4</v>
          </cell>
          <cell r="AN6289">
            <v>43.5</v>
          </cell>
          <cell r="AP6289">
            <v>18</v>
          </cell>
        </row>
        <row r="6290">
          <cell r="B6290" t="str">
            <v>4</v>
          </cell>
          <cell r="AN6290">
            <v>105.5</v>
          </cell>
          <cell r="AP6290">
            <v>18</v>
          </cell>
        </row>
        <row r="6291">
          <cell r="B6291" t="str">
            <v>4</v>
          </cell>
          <cell r="AN6291">
            <v>112</v>
          </cell>
          <cell r="AP6291">
            <v>18</v>
          </cell>
        </row>
        <row r="6292">
          <cell r="B6292" t="str">
            <v>4</v>
          </cell>
          <cell r="AN6292">
            <v>105.5</v>
          </cell>
          <cell r="AP6292">
            <v>18</v>
          </cell>
        </row>
        <row r="6293">
          <cell r="B6293" t="str">
            <v>4</v>
          </cell>
          <cell r="AN6293">
            <v>419</v>
          </cell>
          <cell r="AP6293">
            <v>18</v>
          </cell>
        </row>
        <row r="6294">
          <cell r="B6294" t="str">
            <v>4</v>
          </cell>
          <cell r="AN6294">
            <v>52.5</v>
          </cell>
          <cell r="AP6294">
            <v>18</v>
          </cell>
        </row>
        <row r="6295">
          <cell r="B6295" t="str">
            <v>5</v>
          </cell>
          <cell r="AN6295">
            <v>218</v>
          </cell>
          <cell r="AP6295">
            <v>18</v>
          </cell>
        </row>
        <row r="6296">
          <cell r="B6296" t="str">
            <v>5</v>
          </cell>
          <cell r="AN6296">
            <v>216</v>
          </cell>
          <cell r="AP6296">
            <v>18</v>
          </cell>
        </row>
        <row r="6297">
          <cell r="B6297" t="str">
            <v>5</v>
          </cell>
          <cell r="AN6297">
            <v>513</v>
          </cell>
          <cell r="AP6297">
            <v>18</v>
          </cell>
        </row>
        <row r="6298">
          <cell r="B6298" t="str">
            <v>5</v>
          </cell>
          <cell r="AN6298">
            <v>73</v>
          </cell>
          <cell r="AP6298">
            <v>18</v>
          </cell>
        </row>
        <row r="6299">
          <cell r="B6299" t="str">
            <v>6</v>
          </cell>
          <cell r="AN6299">
            <v>346</v>
          </cell>
          <cell r="AP6299">
            <v>18</v>
          </cell>
        </row>
        <row r="6300">
          <cell r="B6300" t="str">
            <v>6</v>
          </cell>
          <cell r="AN6300">
            <v>140</v>
          </cell>
          <cell r="AP6300">
            <v>18</v>
          </cell>
        </row>
        <row r="6301">
          <cell r="B6301" t="str">
            <v>6</v>
          </cell>
          <cell r="AN6301">
            <v>75.5</v>
          </cell>
          <cell r="AP6301">
            <v>18</v>
          </cell>
        </row>
        <row r="6302">
          <cell r="B6302" t="str">
            <v>6</v>
          </cell>
          <cell r="AN6302">
            <v>108</v>
          </cell>
          <cell r="AP6302">
            <v>18</v>
          </cell>
        </row>
        <row r="6303">
          <cell r="B6303" t="str">
            <v>6</v>
          </cell>
          <cell r="AN6303">
            <v>111</v>
          </cell>
          <cell r="AP6303">
            <v>18</v>
          </cell>
        </row>
        <row r="6304">
          <cell r="B6304" t="str">
            <v>6</v>
          </cell>
          <cell r="AN6304">
            <v>110.5</v>
          </cell>
          <cell r="AP6304">
            <v>18</v>
          </cell>
        </row>
        <row r="6305">
          <cell r="B6305" t="str">
            <v>6</v>
          </cell>
          <cell r="AN6305">
            <v>138</v>
          </cell>
          <cell r="AP6305">
            <v>18</v>
          </cell>
        </row>
        <row r="6306">
          <cell r="B6306" t="str">
            <v>1</v>
          </cell>
          <cell r="AN6306">
            <v>45.5</v>
          </cell>
          <cell r="AP6306">
            <v>18</v>
          </cell>
        </row>
        <row r="6307">
          <cell r="B6307" t="str">
            <v>1</v>
          </cell>
          <cell r="AN6307">
            <v>38.5</v>
          </cell>
          <cell r="AP6307">
            <v>18</v>
          </cell>
        </row>
        <row r="6308">
          <cell r="B6308" t="str">
            <v>1</v>
          </cell>
          <cell r="AN6308">
            <v>80.5</v>
          </cell>
          <cell r="AP6308">
            <v>18</v>
          </cell>
        </row>
        <row r="6309">
          <cell r="B6309" t="str">
            <v>1</v>
          </cell>
          <cell r="AN6309">
            <v>39.5</v>
          </cell>
          <cell r="AP6309">
            <v>18</v>
          </cell>
        </row>
        <row r="6310">
          <cell r="B6310" t="str">
            <v>2</v>
          </cell>
          <cell r="AN6310">
            <v>47.5</v>
          </cell>
          <cell r="AP6310">
            <v>18</v>
          </cell>
        </row>
        <row r="6311">
          <cell r="B6311" t="str">
            <v>2</v>
          </cell>
          <cell r="AN6311">
            <v>118.5</v>
          </cell>
          <cell r="AP6311">
            <v>18</v>
          </cell>
        </row>
        <row r="6312">
          <cell r="B6312" t="str">
            <v>2</v>
          </cell>
          <cell r="AN6312">
            <v>97.5</v>
          </cell>
          <cell r="AP6312">
            <v>18</v>
          </cell>
        </row>
        <row r="6313">
          <cell r="B6313" t="str">
            <v>4</v>
          </cell>
          <cell r="AN6313">
            <v>119.5</v>
          </cell>
          <cell r="AP6313">
            <v>18</v>
          </cell>
        </row>
        <row r="6314">
          <cell r="B6314" t="str">
            <v>4</v>
          </cell>
          <cell r="AN6314">
            <v>105.5</v>
          </cell>
          <cell r="AP6314">
            <v>18</v>
          </cell>
        </row>
        <row r="6315">
          <cell r="B6315" t="str">
            <v>4</v>
          </cell>
          <cell r="AN6315">
            <v>173.5</v>
          </cell>
          <cell r="AP6315">
            <v>18</v>
          </cell>
        </row>
        <row r="6316">
          <cell r="B6316" t="str">
            <v>4</v>
          </cell>
          <cell r="AN6316">
            <v>365</v>
          </cell>
          <cell r="AP6316">
            <v>18</v>
          </cell>
        </row>
        <row r="6317">
          <cell r="B6317" t="str">
            <v>5</v>
          </cell>
          <cell r="AN6317">
            <v>147</v>
          </cell>
          <cell r="AP6317">
            <v>18</v>
          </cell>
        </row>
        <row r="6318">
          <cell r="B6318" t="str">
            <v>5</v>
          </cell>
          <cell r="AN6318">
            <v>71</v>
          </cell>
          <cell r="AP6318">
            <v>18</v>
          </cell>
        </row>
        <row r="6319">
          <cell r="B6319" t="str">
            <v>5</v>
          </cell>
          <cell r="AN6319">
            <v>241.5</v>
          </cell>
          <cell r="AP6319">
            <v>18</v>
          </cell>
        </row>
        <row r="6320">
          <cell r="B6320" t="str">
            <v>5</v>
          </cell>
          <cell r="AN6320">
            <v>57</v>
          </cell>
          <cell r="AP6320">
            <v>18</v>
          </cell>
        </row>
        <row r="6321">
          <cell r="B6321" t="str">
            <v>5</v>
          </cell>
          <cell r="AN6321">
            <v>90</v>
          </cell>
          <cell r="AP6321">
            <v>18</v>
          </cell>
        </row>
        <row r="6322">
          <cell r="B6322" t="str">
            <v>5</v>
          </cell>
          <cell r="AN6322">
            <v>105.5</v>
          </cell>
          <cell r="AP6322">
            <v>18</v>
          </cell>
        </row>
        <row r="6323">
          <cell r="B6323" t="str">
            <v>5</v>
          </cell>
          <cell r="AN6323">
            <v>98</v>
          </cell>
          <cell r="AP6323">
            <v>18</v>
          </cell>
        </row>
        <row r="6324">
          <cell r="B6324" t="str">
            <v>6</v>
          </cell>
          <cell r="AN6324">
            <v>380</v>
          </cell>
          <cell r="AP6324">
            <v>18</v>
          </cell>
        </row>
        <row r="6325">
          <cell r="B6325" t="str">
            <v>6</v>
          </cell>
          <cell r="AN6325">
            <v>329</v>
          </cell>
          <cell r="AP6325">
            <v>18</v>
          </cell>
        </row>
        <row r="6326">
          <cell r="B6326" t="str">
            <v>3</v>
          </cell>
          <cell r="AN6326">
            <v>43.75</v>
          </cell>
          <cell r="AP6326">
            <v>18</v>
          </cell>
        </row>
      </sheetData>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
      <sheetName val="PP PRD"/>
      <sheetName val="PP PRO PIVOTE"/>
      <sheetName val="WOR"/>
      <sheetName val="MOR"/>
      <sheetName val="KWH"/>
      <sheetName val="TARGET"/>
    </sheetNames>
    <sheetDataSet>
      <sheetData sheetId="0"/>
      <sheetData sheetId="1"/>
      <sheetData sheetId="2"/>
      <sheetData sheetId="3">
        <row r="8">
          <cell r="J8">
            <v>13856.320000000002</v>
          </cell>
        </row>
      </sheetData>
      <sheetData sheetId="4"/>
      <sheetData sheetId="5">
        <row r="1">
          <cell r="A1" t="str">
            <v>DATE</v>
          </cell>
          <cell r="B1" t="str">
            <v>PP</v>
          </cell>
          <cell r="C1" t="str">
            <v>LD</v>
          </cell>
          <cell r="D1" t="str">
            <v>RECIPE</v>
          </cell>
          <cell r="E1" t="str">
            <v>WEEK</v>
          </cell>
          <cell r="F1" t="str">
            <v>LD RECIPE</v>
          </cell>
        </row>
        <row r="2">
          <cell r="A2" t="str">
            <v>1-Oct-25</v>
          </cell>
          <cell r="B2">
            <v>1945</v>
          </cell>
          <cell r="C2">
            <v>2272</v>
          </cell>
          <cell r="D2">
            <v>398</v>
          </cell>
          <cell r="E2">
            <v>40</v>
          </cell>
          <cell r="F2">
            <v>372</v>
          </cell>
        </row>
        <row r="3">
          <cell r="A3" t="str">
            <v>2-Oct-25</v>
          </cell>
          <cell r="B3">
            <v>2087</v>
          </cell>
          <cell r="C3">
            <v>2567</v>
          </cell>
          <cell r="D3">
            <v>398</v>
          </cell>
          <cell r="E3">
            <v>40</v>
          </cell>
          <cell r="F3">
            <v>372</v>
          </cell>
        </row>
        <row r="4">
          <cell r="A4" t="str">
            <v>3-Oct-25</v>
          </cell>
          <cell r="B4">
            <v>2040</v>
          </cell>
          <cell r="C4">
            <v>2864</v>
          </cell>
          <cell r="D4">
            <v>398</v>
          </cell>
          <cell r="E4">
            <v>40</v>
          </cell>
          <cell r="F4">
            <v>372</v>
          </cell>
        </row>
        <row r="5">
          <cell r="A5" t="str">
            <v>4-Oct-25</v>
          </cell>
          <cell r="B5">
            <v>2041</v>
          </cell>
          <cell r="C5">
            <v>2931</v>
          </cell>
          <cell r="D5">
            <v>398</v>
          </cell>
          <cell r="E5">
            <v>40</v>
          </cell>
          <cell r="F5">
            <v>372</v>
          </cell>
        </row>
        <row r="6">
          <cell r="A6" t="str">
            <v>5-Oct-25</v>
          </cell>
          <cell r="B6">
            <v>2044.5</v>
          </cell>
          <cell r="C6">
            <v>2856.5</v>
          </cell>
          <cell r="D6">
            <v>398</v>
          </cell>
          <cell r="E6">
            <v>40</v>
          </cell>
          <cell r="F6">
            <v>372</v>
          </cell>
        </row>
        <row r="7">
          <cell r="A7" t="str">
            <v>6-Oct-25</v>
          </cell>
          <cell r="B7">
            <v>2021.5</v>
          </cell>
          <cell r="C7">
            <v>2836.5</v>
          </cell>
          <cell r="D7">
            <v>398</v>
          </cell>
          <cell r="E7">
            <v>41</v>
          </cell>
          <cell r="F7">
            <v>372</v>
          </cell>
        </row>
        <row r="8">
          <cell r="A8" t="str">
            <v>7-Oct-25</v>
          </cell>
          <cell r="B8">
            <v>2048</v>
          </cell>
          <cell r="C8">
            <v>3082</v>
          </cell>
          <cell r="D8">
            <v>398</v>
          </cell>
          <cell r="E8">
            <v>41</v>
          </cell>
          <cell r="F8">
            <v>372</v>
          </cell>
        </row>
        <row r="9">
          <cell r="A9" t="str">
            <v>8-Oct-25</v>
          </cell>
          <cell r="B9">
            <v>1996.5</v>
          </cell>
          <cell r="C9">
            <v>2762.5</v>
          </cell>
          <cell r="D9">
            <v>398</v>
          </cell>
          <cell r="E9">
            <v>41</v>
          </cell>
          <cell r="F9">
            <v>372</v>
          </cell>
        </row>
        <row r="10">
          <cell r="A10" t="str">
            <v>9-Oct-25</v>
          </cell>
          <cell r="B10">
            <v>2129</v>
          </cell>
          <cell r="C10">
            <v>2361</v>
          </cell>
          <cell r="D10">
            <v>398</v>
          </cell>
          <cell r="E10">
            <v>41</v>
          </cell>
          <cell r="F10">
            <v>372</v>
          </cell>
        </row>
        <row r="11">
          <cell r="A11" t="str">
            <v>10-Oct-25</v>
          </cell>
          <cell r="B11">
            <v>2141.5</v>
          </cell>
          <cell r="C11">
            <v>2543.5</v>
          </cell>
          <cell r="D11">
            <v>398</v>
          </cell>
          <cell r="E11">
            <v>41</v>
          </cell>
          <cell r="F11">
            <v>372</v>
          </cell>
        </row>
        <row r="12">
          <cell r="A12" t="str">
            <v>11-Oct-25</v>
          </cell>
          <cell r="B12">
            <v>2009</v>
          </cell>
          <cell r="C12">
            <v>2336</v>
          </cell>
          <cell r="D12">
            <v>398</v>
          </cell>
          <cell r="E12">
            <v>41</v>
          </cell>
          <cell r="F12">
            <v>372</v>
          </cell>
        </row>
        <row r="13">
          <cell r="A13" t="str">
            <v>12-Oct-25</v>
          </cell>
          <cell r="B13">
            <v>1625</v>
          </cell>
          <cell r="C13">
            <v>2339</v>
          </cell>
          <cell r="D13">
            <v>398</v>
          </cell>
          <cell r="E13">
            <v>41</v>
          </cell>
          <cell r="F13">
            <v>372</v>
          </cell>
        </row>
        <row r="14">
          <cell r="A14" t="str">
            <v>13-Oct-25</v>
          </cell>
          <cell r="B14">
            <v>200.5</v>
          </cell>
          <cell r="C14">
            <v>2155.5</v>
          </cell>
          <cell r="D14">
            <v>398</v>
          </cell>
          <cell r="E14">
            <v>42</v>
          </cell>
          <cell r="F14">
            <v>372</v>
          </cell>
        </row>
        <row r="15">
          <cell r="A15" t="str">
            <v>14-Oct-25</v>
          </cell>
          <cell r="B15">
            <v>1530.5</v>
          </cell>
          <cell r="C15">
            <v>2409.5</v>
          </cell>
          <cell r="D15">
            <v>398</v>
          </cell>
          <cell r="E15">
            <v>42</v>
          </cell>
          <cell r="F15">
            <v>372</v>
          </cell>
        </row>
        <row r="16">
          <cell r="A16" t="str">
            <v>15-Oct-25</v>
          </cell>
          <cell r="B16">
            <v>2040.5</v>
          </cell>
          <cell r="C16">
            <v>2382.5</v>
          </cell>
          <cell r="D16">
            <v>398</v>
          </cell>
          <cell r="E16">
            <v>42</v>
          </cell>
          <cell r="F16">
            <v>372</v>
          </cell>
        </row>
        <row r="17">
          <cell r="A17" t="str">
            <v>16-Oct-25</v>
          </cell>
          <cell r="B17">
            <v>1997.5</v>
          </cell>
          <cell r="C17">
            <v>2258.5</v>
          </cell>
          <cell r="D17">
            <v>398</v>
          </cell>
          <cell r="E17">
            <v>42</v>
          </cell>
          <cell r="F17">
            <v>372</v>
          </cell>
        </row>
        <row r="18">
          <cell r="A18" t="str">
            <v>17-Oct-25</v>
          </cell>
          <cell r="B18">
            <v>2188.5</v>
          </cell>
          <cell r="C18">
            <v>2343.5</v>
          </cell>
          <cell r="D18">
            <v>398</v>
          </cell>
          <cell r="E18">
            <v>42</v>
          </cell>
          <cell r="F18">
            <v>372</v>
          </cell>
        </row>
        <row r="19">
          <cell r="A19" t="str">
            <v>18-Oct-25</v>
          </cell>
          <cell r="B19">
            <v>2082</v>
          </cell>
          <cell r="C19">
            <v>2460</v>
          </cell>
          <cell r="D19">
            <v>398</v>
          </cell>
          <cell r="E19">
            <v>42</v>
          </cell>
          <cell r="F19">
            <v>372</v>
          </cell>
        </row>
        <row r="20">
          <cell r="A20" t="str">
            <v>19-Oct-25</v>
          </cell>
          <cell r="B20">
            <v>1295.5</v>
          </cell>
          <cell r="C20">
            <v>1945.5</v>
          </cell>
          <cell r="D20">
            <v>398</v>
          </cell>
          <cell r="E20">
            <v>42</v>
          </cell>
          <cell r="F20">
            <v>372</v>
          </cell>
        </row>
        <row r="21">
          <cell r="A21">
            <v>45950</v>
          </cell>
          <cell r="B21">
            <v>268.74</v>
          </cell>
          <cell r="C21">
            <v>2841.74</v>
          </cell>
          <cell r="D21">
            <v>398</v>
          </cell>
          <cell r="E21">
            <v>43</v>
          </cell>
          <cell r="F21">
            <v>372</v>
          </cell>
        </row>
        <row r="22">
          <cell r="A22">
            <v>45951</v>
          </cell>
          <cell r="B22">
            <v>1401.58</v>
          </cell>
          <cell r="C22">
            <v>3008.58</v>
          </cell>
          <cell r="D22">
            <v>398</v>
          </cell>
          <cell r="E22">
            <v>43</v>
          </cell>
          <cell r="F22">
            <v>372</v>
          </cell>
        </row>
        <row r="23">
          <cell r="A23">
            <v>45952</v>
          </cell>
          <cell r="B23">
            <v>2077.08</v>
          </cell>
          <cell r="C23">
            <v>2827.08</v>
          </cell>
          <cell r="D23">
            <v>398</v>
          </cell>
          <cell r="E23">
            <v>43</v>
          </cell>
          <cell r="F23">
            <v>372</v>
          </cell>
        </row>
        <row r="24">
          <cell r="A24">
            <v>45953</v>
          </cell>
          <cell r="B24">
            <v>2136.2800000000002</v>
          </cell>
          <cell r="C24">
            <v>3083.28</v>
          </cell>
          <cell r="D24">
            <v>398</v>
          </cell>
          <cell r="E24">
            <v>43</v>
          </cell>
          <cell r="F24">
            <v>372</v>
          </cell>
        </row>
        <row r="25">
          <cell r="A25">
            <v>45954</v>
          </cell>
          <cell r="B25">
            <v>2195.44</v>
          </cell>
          <cell r="C25">
            <v>3140.44</v>
          </cell>
          <cell r="D25">
            <v>398</v>
          </cell>
          <cell r="E25">
            <v>43</v>
          </cell>
          <cell r="F25">
            <v>372</v>
          </cell>
        </row>
        <row r="26">
          <cell r="A26">
            <v>45955</v>
          </cell>
          <cell r="B26">
            <v>1812.82</v>
          </cell>
          <cell r="C26">
            <v>2870.82</v>
          </cell>
          <cell r="D26">
            <v>398</v>
          </cell>
          <cell r="E26">
            <v>43</v>
          </cell>
          <cell r="F26">
            <v>372</v>
          </cell>
        </row>
        <row r="27">
          <cell r="A27">
            <v>45956</v>
          </cell>
          <cell r="B27">
            <v>378.12</v>
          </cell>
          <cell r="C27">
            <v>3051.12</v>
          </cell>
          <cell r="D27">
            <v>398</v>
          </cell>
          <cell r="E27">
            <v>43</v>
          </cell>
          <cell r="F27">
            <v>372</v>
          </cell>
        </row>
        <row r="28">
          <cell r="A28">
            <v>45957</v>
          </cell>
          <cell r="B28">
            <v>1323.38</v>
          </cell>
          <cell r="C28">
            <v>3086.38</v>
          </cell>
          <cell r="D28">
            <v>398</v>
          </cell>
          <cell r="E28">
            <v>44</v>
          </cell>
          <cell r="F28">
            <v>372</v>
          </cell>
        </row>
        <row r="29">
          <cell r="A29">
            <v>45958</v>
          </cell>
          <cell r="B29">
            <v>1463.7</v>
          </cell>
          <cell r="C29">
            <v>2527.6999999999998</v>
          </cell>
          <cell r="D29">
            <v>398</v>
          </cell>
          <cell r="E29">
            <v>44</v>
          </cell>
          <cell r="F29">
            <v>372</v>
          </cell>
        </row>
        <row r="30">
          <cell r="A30">
            <v>45959</v>
          </cell>
          <cell r="B30">
            <v>1974.3</v>
          </cell>
          <cell r="C30">
            <v>2304.3000000000002</v>
          </cell>
          <cell r="D30">
            <v>398</v>
          </cell>
          <cell r="E30">
            <v>44</v>
          </cell>
          <cell r="F30">
            <v>372</v>
          </cell>
        </row>
        <row r="31">
          <cell r="A31">
            <v>45960</v>
          </cell>
          <cell r="B31">
            <v>2147.7199999999998</v>
          </cell>
          <cell r="C31">
            <v>2998.72</v>
          </cell>
          <cell r="D31">
            <v>398</v>
          </cell>
          <cell r="E31">
            <v>44</v>
          </cell>
          <cell r="F31">
            <v>372</v>
          </cell>
        </row>
        <row r="32">
          <cell r="A32">
            <v>45961</v>
          </cell>
          <cell r="B32">
            <v>1924.84</v>
          </cell>
          <cell r="C32">
            <v>3020.84</v>
          </cell>
          <cell r="D32">
            <v>398</v>
          </cell>
          <cell r="E32">
            <v>44</v>
          </cell>
          <cell r="F32">
            <v>372</v>
          </cell>
        </row>
        <row r="33">
          <cell r="A33">
            <v>45962</v>
          </cell>
          <cell r="B33">
            <v>1200.3599999999999</v>
          </cell>
          <cell r="C33">
            <v>2704.36</v>
          </cell>
          <cell r="D33">
            <v>398</v>
          </cell>
          <cell r="E33">
            <v>44</v>
          </cell>
          <cell r="F33">
            <v>372</v>
          </cell>
        </row>
        <row r="34">
          <cell r="A34">
            <v>45963</v>
          </cell>
          <cell r="B34">
            <v>225.8</v>
          </cell>
          <cell r="C34">
            <v>2304.8000000000002</v>
          </cell>
          <cell r="D34">
            <v>398</v>
          </cell>
          <cell r="E34">
            <v>44</v>
          </cell>
          <cell r="F34">
            <v>372</v>
          </cell>
        </row>
        <row r="35">
          <cell r="A35">
            <v>45964</v>
          </cell>
          <cell r="B35">
            <v>233</v>
          </cell>
          <cell r="C35">
            <v>2046</v>
          </cell>
          <cell r="D35">
            <v>398</v>
          </cell>
          <cell r="E35">
            <v>45</v>
          </cell>
          <cell r="F35">
            <v>372</v>
          </cell>
        </row>
        <row r="36">
          <cell r="A36">
            <v>45965</v>
          </cell>
          <cell r="B36">
            <v>266.18</v>
          </cell>
          <cell r="C36">
            <v>1187.18</v>
          </cell>
          <cell r="D36">
            <v>398</v>
          </cell>
          <cell r="E36">
            <v>45</v>
          </cell>
          <cell r="F36">
            <v>372</v>
          </cell>
        </row>
        <row r="37">
          <cell r="A37">
            <v>45966</v>
          </cell>
          <cell r="B37">
            <v>1396.74</v>
          </cell>
          <cell r="C37">
            <v>2453.7399999999998</v>
          </cell>
          <cell r="D37">
            <v>398</v>
          </cell>
          <cell r="E37">
            <v>45</v>
          </cell>
          <cell r="F37">
            <v>372</v>
          </cell>
        </row>
        <row r="38">
          <cell r="A38">
            <v>45967</v>
          </cell>
          <cell r="B38">
            <v>1221.56</v>
          </cell>
          <cell r="C38">
            <v>2719.56</v>
          </cell>
          <cell r="D38">
            <v>398</v>
          </cell>
          <cell r="E38">
            <v>45</v>
          </cell>
          <cell r="F38">
            <v>372</v>
          </cell>
        </row>
        <row r="39">
          <cell r="A39">
            <v>45968</v>
          </cell>
          <cell r="B39">
            <v>2062.7800000000002</v>
          </cell>
          <cell r="C39">
            <v>2717.78</v>
          </cell>
          <cell r="D39">
            <v>398</v>
          </cell>
          <cell r="E39">
            <v>45</v>
          </cell>
          <cell r="F39">
            <v>372</v>
          </cell>
        </row>
        <row r="40">
          <cell r="A40">
            <v>45969</v>
          </cell>
          <cell r="B40">
            <v>2001.68</v>
          </cell>
          <cell r="C40">
            <v>2516.6799999999998</v>
          </cell>
          <cell r="D40">
            <v>398</v>
          </cell>
          <cell r="E40">
            <v>45</v>
          </cell>
          <cell r="F40">
            <v>372</v>
          </cell>
        </row>
        <row r="41">
          <cell r="A41">
            <v>45970</v>
          </cell>
          <cell r="B41">
            <v>2129.06</v>
          </cell>
          <cell r="C41">
            <v>2508.06</v>
          </cell>
          <cell r="D41">
            <v>398</v>
          </cell>
          <cell r="E41">
            <v>45</v>
          </cell>
          <cell r="F41">
            <v>372</v>
          </cell>
        </row>
        <row r="42">
          <cell r="A42">
            <v>45971</v>
          </cell>
          <cell r="B42">
            <v>1979.22</v>
          </cell>
          <cell r="C42">
            <v>2370.2199999999998</v>
          </cell>
          <cell r="D42">
            <v>398</v>
          </cell>
          <cell r="E42">
            <v>46</v>
          </cell>
          <cell r="F42">
            <v>372</v>
          </cell>
        </row>
        <row r="43">
          <cell r="A43">
            <v>45972</v>
          </cell>
          <cell r="B43">
            <v>256.08</v>
          </cell>
          <cell r="C43">
            <v>1918.08</v>
          </cell>
          <cell r="D43">
            <v>398</v>
          </cell>
          <cell r="E43">
            <v>46</v>
          </cell>
          <cell r="F43">
            <v>372</v>
          </cell>
        </row>
        <row r="44">
          <cell r="A44">
            <v>45973</v>
          </cell>
          <cell r="B44">
            <v>2092.7600000000002</v>
          </cell>
          <cell r="C44">
            <v>2773.76</v>
          </cell>
          <cell r="D44">
            <v>398</v>
          </cell>
          <cell r="E44">
            <v>46</v>
          </cell>
          <cell r="F44">
            <v>372</v>
          </cell>
        </row>
        <row r="45">
          <cell r="A45">
            <v>45974</v>
          </cell>
          <cell r="B45">
            <v>2263.1799999999998</v>
          </cell>
          <cell r="C45">
            <v>2899.18</v>
          </cell>
          <cell r="D45">
            <v>398</v>
          </cell>
          <cell r="E45">
            <v>46</v>
          </cell>
          <cell r="F45">
            <v>372</v>
          </cell>
        </row>
        <row r="46">
          <cell r="A46">
            <v>45975</v>
          </cell>
          <cell r="B46">
            <v>2144.2399999999998</v>
          </cell>
          <cell r="C46">
            <v>2774.24</v>
          </cell>
          <cell r="D46">
            <v>398</v>
          </cell>
          <cell r="E46">
            <v>46</v>
          </cell>
          <cell r="F46">
            <v>372</v>
          </cell>
        </row>
        <row r="47">
          <cell r="A47">
            <v>45976</v>
          </cell>
          <cell r="B47">
            <v>2153.9</v>
          </cell>
          <cell r="C47">
            <v>2631.9</v>
          </cell>
          <cell r="D47">
            <v>398</v>
          </cell>
          <cell r="E47">
            <v>46</v>
          </cell>
          <cell r="F47">
            <v>372</v>
          </cell>
        </row>
        <row r="48">
          <cell r="A48">
            <v>45977</v>
          </cell>
          <cell r="B48">
            <v>2211.6</v>
          </cell>
          <cell r="C48">
            <v>2320.6</v>
          </cell>
          <cell r="D48">
            <v>398</v>
          </cell>
          <cell r="E48">
            <v>46</v>
          </cell>
          <cell r="F48">
            <v>372</v>
          </cell>
        </row>
        <row r="49">
          <cell r="A49">
            <v>45978</v>
          </cell>
          <cell r="B49">
            <v>2215.1999999999998</v>
          </cell>
          <cell r="C49">
            <v>2420.1999999999998</v>
          </cell>
          <cell r="D49">
            <v>398</v>
          </cell>
          <cell r="E49">
            <v>47</v>
          </cell>
          <cell r="F49">
            <v>372</v>
          </cell>
        </row>
        <row r="50">
          <cell r="A50">
            <v>45979</v>
          </cell>
          <cell r="B50">
            <v>1807.84</v>
          </cell>
          <cell r="C50">
            <v>2564.84</v>
          </cell>
          <cell r="D50">
            <v>398</v>
          </cell>
          <cell r="E50">
            <v>47</v>
          </cell>
          <cell r="F50">
            <v>372</v>
          </cell>
        </row>
        <row r="51">
          <cell r="A51">
            <v>45980</v>
          </cell>
          <cell r="B51">
            <v>1816.28</v>
          </cell>
          <cell r="C51">
            <v>2637.28</v>
          </cell>
          <cell r="D51">
            <v>398</v>
          </cell>
          <cell r="E51">
            <v>47</v>
          </cell>
          <cell r="F51">
            <v>372</v>
          </cell>
        </row>
        <row r="52">
          <cell r="A52">
            <v>45981</v>
          </cell>
          <cell r="B52">
            <v>227.84</v>
          </cell>
          <cell r="C52">
            <v>1440.84</v>
          </cell>
          <cell r="D52">
            <v>398</v>
          </cell>
          <cell r="E52">
            <v>47</v>
          </cell>
          <cell r="F52">
            <v>372</v>
          </cell>
        </row>
        <row r="53">
          <cell r="A53">
            <v>45982</v>
          </cell>
          <cell r="B53">
            <v>1843.14</v>
          </cell>
          <cell r="C53">
            <v>2102.14</v>
          </cell>
          <cell r="D53">
            <v>398</v>
          </cell>
          <cell r="E53">
            <v>47</v>
          </cell>
          <cell r="F53">
            <v>372</v>
          </cell>
        </row>
        <row r="54">
          <cell r="A54">
            <v>45983</v>
          </cell>
          <cell r="B54">
            <v>1794.04</v>
          </cell>
          <cell r="C54">
            <v>2587.04</v>
          </cell>
          <cell r="D54">
            <v>398</v>
          </cell>
          <cell r="E54">
            <v>47</v>
          </cell>
          <cell r="F54">
            <v>372</v>
          </cell>
        </row>
        <row r="55">
          <cell r="A55">
            <v>45984</v>
          </cell>
          <cell r="B55">
            <v>1857.9</v>
          </cell>
          <cell r="C55">
            <v>2326.9</v>
          </cell>
          <cell r="D55">
            <v>398</v>
          </cell>
          <cell r="E55">
            <v>47</v>
          </cell>
          <cell r="F55">
            <v>372</v>
          </cell>
        </row>
        <row r="56">
          <cell r="A56">
            <v>45985</v>
          </cell>
          <cell r="B56">
            <v>1893.08</v>
          </cell>
          <cell r="C56">
            <v>2463.08</v>
          </cell>
          <cell r="D56">
            <v>398</v>
          </cell>
          <cell r="E56">
            <v>48</v>
          </cell>
          <cell r="F56">
            <v>372</v>
          </cell>
        </row>
        <row r="57">
          <cell r="A57">
            <v>45986</v>
          </cell>
          <cell r="B57">
            <v>1764.96</v>
          </cell>
          <cell r="C57">
            <v>2925.96</v>
          </cell>
          <cell r="D57">
            <v>398</v>
          </cell>
          <cell r="E57">
            <v>48</v>
          </cell>
          <cell r="F57">
            <v>372</v>
          </cell>
        </row>
        <row r="58">
          <cell r="A58">
            <v>45987</v>
          </cell>
          <cell r="B58">
            <v>1872.06</v>
          </cell>
          <cell r="C58">
            <v>2981.06</v>
          </cell>
          <cell r="D58">
            <v>398</v>
          </cell>
          <cell r="E58">
            <v>48</v>
          </cell>
          <cell r="F58">
            <v>372</v>
          </cell>
        </row>
        <row r="59">
          <cell r="A59">
            <v>45988</v>
          </cell>
          <cell r="B59">
            <v>2210.8000000000002</v>
          </cell>
          <cell r="C59">
            <v>2979.8</v>
          </cell>
          <cell r="D59">
            <v>398</v>
          </cell>
          <cell r="E59">
            <v>48</v>
          </cell>
          <cell r="F59">
            <v>372</v>
          </cell>
        </row>
        <row r="60">
          <cell r="A60">
            <v>45989</v>
          </cell>
          <cell r="B60">
            <v>2237.38</v>
          </cell>
          <cell r="C60">
            <v>3262.38</v>
          </cell>
          <cell r="D60">
            <v>398</v>
          </cell>
          <cell r="E60">
            <v>48</v>
          </cell>
          <cell r="F60">
            <v>372</v>
          </cell>
        </row>
        <row r="61">
          <cell r="A61">
            <v>45990</v>
          </cell>
          <cell r="B61">
            <v>2300.44</v>
          </cell>
          <cell r="C61">
            <v>3021.44</v>
          </cell>
          <cell r="D61">
            <v>398</v>
          </cell>
          <cell r="E61">
            <v>48</v>
          </cell>
          <cell r="F61">
            <v>372</v>
          </cell>
        </row>
        <row r="62">
          <cell r="A62">
            <v>45991</v>
          </cell>
          <cell r="B62">
            <v>2096.6799999999998</v>
          </cell>
          <cell r="C62">
            <v>2934.68</v>
          </cell>
          <cell r="D62">
            <v>398</v>
          </cell>
          <cell r="E62">
            <v>48</v>
          </cell>
          <cell r="F62">
            <v>372</v>
          </cell>
        </row>
        <row r="63">
          <cell r="A63">
            <v>45992</v>
          </cell>
          <cell r="B63">
            <v>2210.02</v>
          </cell>
          <cell r="C63">
            <v>2722.02</v>
          </cell>
          <cell r="D63">
            <v>398</v>
          </cell>
          <cell r="E63">
            <v>49</v>
          </cell>
          <cell r="F63">
            <v>372</v>
          </cell>
        </row>
        <row r="64">
          <cell r="A64">
            <v>45993</v>
          </cell>
          <cell r="B64">
            <v>2217.8200000000002</v>
          </cell>
          <cell r="C64">
            <v>3048.82</v>
          </cell>
          <cell r="D64">
            <v>398</v>
          </cell>
          <cell r="E64">
            <v>49</v>
          </cell>
          <cell r="F64">
            <v>372</v>
          </cell>
        </row>
        <row r="65">
          <cell r="A65">
            <v>45994</v>
          </cell>
          <cell r="B65">
            <v>2000.08</v>
          </cell>
          <cell r="C65">
            <v>3095.08</v>
          </cell>
          <cell r="D65">
            <v>398</v>
          </cell>
          <cell r="E65">
            <v>49</v>
          </cell>
          <cell r="F65">
            <v>372</v>
          </cell>
        </row>
        <row r="66">
          <cell r="A66">
            <v>45995</v>
          </cell>
          <cell r="B66">
            <v>2060.58</v>
          </cell>
          <cell r="C66">
            <v>3082.58</v>
          </cell>
          <cell r="D66">
            <v>398</v>
          </cell>
          <cell r="E66">
            <v>49</v>
          </cell>
          <cell r="F66">
            <v>372</v>
          </cell>
        </row>
        <row r="67">
          <cell r="A67">
            <v>45996</v>
          </cell>
          <cell r="B67">
            <v>2104.14</v>
          </cell>
          <cell r="C67">
            <v>3094.14</v>
          </cell>
          <cell r="D67">
            <v>398</v>
          </cell>
          <cell r="E67">
            <v>49</v>
          </cell>
          <cell r="F67">
            <v>372</v>
          </cell>
        </row>
        <row r="68">
          <cell r="A68">
            <v>45997</v>
          </cell>
          <cell r="B68">
            <v>2258.58</v>
          </cell>
          <cell r="C68">
            <v>3113.58</v>
          </cell>
          <cell r="D68">
            <v>398</v>
          </cell>
          <cell r="E68">
            <v>49</v>
          </cell>
          <cell r="F68">
            <v>372</v>
          </cell>
        </row>
        <row r="69">
          <cell r="A69">
            <v>45998</v>
          </cell>
          <cell r="B69">
            <v>2163.06</v>
          </cell>
          <cell r="C69">
            <v>2978.06</v>
          </cell>
          <cell r="D69">
            <v>398</v>
          </cell>
          <cell r="E69">
            <v>49</v>
          </cell>
          <cell r="F69">
            <v>372</v>
          </cell>
        </row>
        <row r="70">
          <cell r="A70">
            <v>45999</v>
          </cell>
          <cell r="B70">
            <v>2091.9</v>
          </cell>
          <cell r="C70">
            <v>2251.9</v>
          </cell>
          <cell r="D70">
            <v>398</v>
          </cell>
          <cell r="E70">
            <v>50</v>
          </cell>
          <cell r="F70">
            <v>372</v>
          </cell>
        </row>
        <row r="71">
          <cell r="A71">
            <v>46000</v>
          </cell>
          <cell r="B71">
            <v>2112.46</v>
          </cell>
          <cell r="C71">
            <v>1920.46</v>
          </cell>
          <cell r="D71">
            <v>398</v>
          </cell>
          <cell r="E71">
            <v>50</v>
          </cell>
          <cell r="F71">
            <v>372</v>
          </cell>
        </row>
        <row r="72">
          <cell r="A72">
            <v>46001</v>
          </cell>
          <cell r="B72">
            <v>2064.08</v>
          </cell>
          <cell r="C72">
            <v>2278.08</v>
          </cell>
          <cell r="D72">
            <v>398</v>
          </cell>
          <cell r="E72">
            <v>50</v>
          </cell>
          <cell r="F72">
            <v>372</v>
          </cell>
        </row>
        <row r="73">
          <cell r="A73">
            <v>46002</v>
          </cell>
          <cell r="B73">
            <v>1906.12</v>
          </cell>
          <cell r="C73">
            <v>2404.12</v>
          </cell>
          <cell r="D73">
            <v>398</v>
          </cell>
          <cell r="E73">
            <v>50</v>
          </cell>
          <cell r="F73">
            <v>372</v>
          </cell>
        </row>
        <row r="74">
          <cell r="A74">
            <v>46003</v>
          </cell>
          <cell r="B74">
            <v>1809.38</v>
          </cell>
          <cell r="C74">
            <v>2406.38</v>
          </cell>
          <cell r="D74">
            <v>398</v>
          </cell>
          <cell r="E74">
            <v>50</v>
          </cell>
          <cell r="F74">
            <v>372</v>
          </cell>
        </row>
        <row r="75">
          <cell r="A75">
            <v>46004</v>
          </cell>
          <cell r="B75">
            <v>1672.62</v>
          </cell>
          <cell r="C75">
            <v>2373.62</v>
          </cell>
          <cell r="D75">
            <v>398</v>
          </cell>
          <cell r="E75">
            <v>50</v>
          </cell>
          <cell r="F75">
            <v>372</v>
          </cell>
        </row>
        <row r="76">
          <cell r="A76">
            <v>46005</v>
          </cell>
          <cell r="B76">
            <v>220.36</v>
          </cell>
          <cell r="C76">
            <v>2486.36</v>
          </cell>
          <cell r="D76">
            <v>398</v>
          </cell>
          <cell r="E76">
            <v>50</v>
          </cell>
          <cell r="F76">
            <v>372</v>
          </cell>
        </row>
        <row r="77">
          <cell r="A77">
            <v>46006</v>
          </cell>
          <cell r="B77">
            <v>1715.14</v>
          </cell>
          <cell r="C77">
            <v>2347.14</v>
          </cell>
          <cell r="D77">
            <v>398</v>
          </cell>
          <cell r="E77">
            <v>51</v>
          </cell>
          <cell r="F77">
            <v>372</v>
          </cell>
        </row>
        <row r="78">
          <cell r="A78">
            <v>46007</v>
          </cell>
          <cell r="B78">
            <v>1888.12</v>
          </cell>
          <cell r="C78">
            <v>2365.12</v>
          </cell>
          <cell r="D78">
            <v>398</v>
          </cell>
          <cell r="E78">
            <v>51</v>
          </cell>
          <cell r="F78">
            <v>372</v>
          </cell>
        </row>
        <row r="79">
          <cell r="A79">
            <v>46008</v>
          </cell>
          <cell r="B79">
            <v>1879.56</v>
          </cell>
          <cell r="C79">
            <v>2819.56</v>
          </cell>
          <cell r="D79">
            <v>398</v>
          </cell>
          <cell r="E79">
            <v>51</v>
          </cell>
          <cell r="F79">
            <v>372</v>
          </cell>
        </row>
        <row r="80">
          <cell r="A80">
            <v>46009</v>
          </cell>
          <cell r="B80">
            <v>1802.72</v>
          </cell>
          <cell r="C80">
            <v>2805.72</v>
          </cell>
          <cell r="D80">
            <v>398</v>
          </cell>
          <cell r="E80">
            <v>51</v>
          </cell>
          <cell r="F80">
            <v>372</v>
          </cell>
        </row>
        <row r="81">
          <cell r="A81">
            <v>46010</v>
          </cell>
          <cell r="B81">
            <v>1914.42</v>
          </cell>
          <cell r="C81">
            <v>2635.42</v>
          </cell>
          <cell r="D81">
            <v>398</v>
          </cell>
          <cell r="E81">
            <v>51</v>
          </cell>
          <cell r="F81">
            <v>372</v>
          </cell>
        </row>
        <row r="82">
          <cell r="A82">
            <v>46011</v>
          </cell>
          <cell r="B82">
            <v>1542.96</v>
          </cell>
          <cell r="C82">
            <v>2260.96</v>
          </cell>
          <cell r="D82">
            <v>398</v>
          </cell>
          <cell r="E82">
            <v>51</v>
          </cell>
          <cell r="F82">
            <v>372</v>
          </cell>
        </row>
        <row r="83">
          <cell r="A83">
            <v>46012</v>
          </cell>
          <cell r="B83">
            <v>134.32</v>
          </cell>
          <cell r="C83">
            <v>1345.32</v>
          </cell>
          <cell r="D83">
            <v>398</v>
          </cell>
          <cell r="E83">
            <v>51</v>
          </cell>
          <cell r="F83">
            <v>372</v>
          </cell>
        </row>
        <row r="84">
          <cell r="A84">
            <v>46013</v>
          </cell>
          <cell r="B84">
            <v>291.7</v>
          </cell>
          <cell r="C84">
            <v>1742.7</v>
          </cell>
          <cell r="D84">
            <v>398</v>
          </cell>
          <cell r="E84">
            <v>52</v>
          </cell>
          <cell r="F84">
            <v>372</v>
          </cell>
        </row>
        <row r="85">
          <cell r="A85">
            <v>46014</v>
          </cell>
          <cell r="B85">
            <v>1794.96</v>
          </cell>
          <cell r="C85">
            <v>2583.96</v>
          </cell>
          <cell r="D85">
            <v>398</v>
          </cell>
          <cell r="E85">
            <v>52</v>
          </cell>
          <cell r="F85">
            <v>372</v>
          </cell>
        </row>
        <row r="86">
          <cell r="A86">
            <v>46015</v>
          </cell>
          <cell r="B86">
            <v>1889.06</v>
          </cell>
          <cell r="C86">
            <v>2348.06</v>
          </cell>
          <cell r="D86">
            <v>398</v>
          </cell>
          <cell r="E86">
            <v>52</v>
          </cell>
          <cell r="F86">
            <v>372</v>
          </cell>
        </row>
        <row r="87">
          <cell r="A87">
            <v>46016</v>
          </cell>
          <cell r="B87">
            <v>1807.24</v>
          </cell>
          <cell r="C87">
            <v>2427.2399999999998</v>
          </cell>
          <cell r="D87">
            <v>398</v>
          </cell>
          <cell r="E87">
            <v>52</v>
          </cell>
          <cell r="F87">
            <v>372</v>
          </cell>
        </row>
        <row r="88">
          <cell r="A88">
            <v>46017</v>
          </cell>
          <cell r="B88">
            <v>1852.76</v>
          </cell>
          <cell r="C88">
            <v>2303.7600000000002</v>
          </cell>
          <cell r="D88">
            <v>398</v>
          </cell>
          <cell r="E88">
            <v>52</v>
          </cell>
          <cell r="F88">
            <v>372</v>
          </cell>
        </row>
        <row r="89">
          <cell r="A89">
            <v>46018</v>
          </cell>
          <cell r="B89">
            <v>1625.66</v>
          </cell>
          <cell r="C89">
            <v>2325.66</v>
          </cell>
          <cell r="D89">
            <v>398</v>
          </cell>
          <cell r="E89">
            <v>52</v>
          </cell>
          <cell r="F89">
            <v>372</v>
          </cell>
        </row>
        <row r="90">
          <cell r="A90">
            <v>46019</v>
          </cell>
          <cell r="B90">
            <v>218.88</v>
          </cell>
          <cell r="C90">
            <v>2213.88</v>
          </cell>
          <cell r="D90">
            <v>398</v>
          </cell>
          <cell r="E90">
            <v>52</v>
          </cell>
          <cell r="F90">
            <v>372</v>
          </cell>
        </row>
        <row r="91">
          <cell r="A91">
            <v>46020</v>
          </cell>
          <cell r="B91">
            <v>1828.32</v>
          </cell>
          <cell r="C91">
            <v>2212.3200000000002</v>
          </cell>
          <cell r="D91">
            <v>398</v>
          </cell>
          <cell r="E91">
            <v>53</v>
          </cell>
          <cell r="F91">
            <v>372</v>
          </cell>
        </row>
        <row r="92">
          <cell r="A92">
            <v>46021</v>
          </cell>
          <cell r="B92">
            <v>1775.84</v>
          </cell>
          <cell r="C92">
            <v>2095.84</v>
          </cell>
          <cell r="D92">
            <v>398</v>
          </cell>
          <cell r="E92">
            <v>53</v>
          </cell>
          <cell r="F92">
            <v>372</v>
          </cell>
        </row>
        <row r="93">
          <cell r="A93">
            <v>46022</v>
          </cell>
          <cell r="B93">
            <v>2267.8200000000002</v>
          </cell>
          <cell r="C93">
            <v>2234.8200000000002</v>
          </cell>
          <cell r="D93">
            <v>398</v>
          </cell>
          <cell r="E93">
            <v>53</v>
          </cell>
          <cell r="F93">
            <v>372</v>
          </cell>
        </row>
        <row r="94">
          <cell r="A94">
            <v>46023</v>
          </cell>
          <cell r="B94">
            <v>2239.92</v>
          </cell>
          <cell r="C94">
            <v>2232.92</v>
          </cell>
          <cell r="D94">
            <v>398</v>
          </cell>
          <cell r="E94">
            <v>54</v>
          </cell>
          <cell r="F94">
            <v>372</v>
          </cell>
        </row>
        <row r="95">
          <cell r="A95">
            <v>46024</v>
          </cell>
          <cell r="B95">
            <v>2093.3000000000002</v>
          </cell>
          <cell r="C95">
            <v>2310.3000000000002</v>
          </cell>
          <cell r="D95">
            <v>398</v>
          </cell>
          <cell r="E95">
            <v>54</v>
          </cell>
          <cell r="F95">
            <v>372</v>
          </cell>
        </row>
        <row r="96">
          <cell r="A96">
            <v>46025</v>
          </cell>
          <cell r="B96">
            <v>1923.86</v>
          </cell>
          <cell r="C96">
            <v>1799.86</v>
          </cell>
          <cell r="D96">
            <v>398</v>
          </cell>
          <cell r="E96">
            <v>54</v>
          </cell>
          <cell r="F96">
            <v>372</v>
          </cell>
        </row>
        <row r="97">
          <cell r="A97">
            <v>46026</v>
          </cell>
          <cell r="B97">
            <v>1907.04</v>
          </cell>
          <cell r="C97">
            <v>162.04000000000002</v>
          </cell>
          <cell r="D97">
            <v>398</v>
          </cell>
          <cell r="E97">
            <v>54</v>
          </cell>
          <cell r="F97">
            <v>372</v>
          </cell>
        </row>
        <row r="98">
          <cell r="A98">
            <v>46027</v>
          </cell>
          <cell r="B98">
            <v>1806.04</v>
          </cell>
          <cell r="C98">
            <v>1676.04</v>
          </cell>
          <cell r="D98">
            <v>398</v>
          </cell>
          <cell r="E98">
            <v>54</v>
          </cell>
          <cell r="F98">
            <v>372</v>
          </cell>
        </row>
        <row r="99">
          <cell r="A99">
            <v>46028</v>
          </cell>
          <cell r="B99">
            <v>1905.56</v>
          </cell>
          <cell r="C99">
            <v>2311.56</v>
          </cell>
          <cell r="D99">
            <v>398</v>
          </cell>
          <cell r="E99">
            <v>54</v>
          </cell>
          <cell r="F99">
            <v>372</v>
          </cell>
        </row>
        <row r="100">
          <cell r="A100">
            <v>46029</v>
          </cell>
          <cell r="B100">
            <v>1738.06</v>
          </cell>
          <cell r="C100">
            <v>2359.06</v>
          </cell>
          <cell r="D100">
            <v>398</v>
          </cell>
          <cell r="E100">
            <v>54</v>
          </cell>
          <cell r="F100">
            <v>372</v>
          </cell>
        </row>
        <row r="101">
          <cell r="A101">
            <v>46030</v>
          </cell>
          <cell r="B101">
            <v>1793.72</v>
          </cell>
          <cell r="C101">
            <v>2433.7199999999998</v>
          </cell>
          <cell r="D101">
            <v>398</v>
          </cell>
          <cell r="E101">
            <v>54</v>
          </cell>
          <cell r="F101">
            <v>372</v>
          </cell>
        </row>
        <row r="102">
          <cell r="A102">
            <v>46031</v>
          </cell>
          <cell r="B102">
            <v>1906.28</v>
          </cell>
          <cell r="C102">
            <v>2899.28</v>
          </cell>
          <cell r="D102">
            <v>398</v>
          </cell>
          <cell r="E102">
            <v>54</v>
          </cell>
          <cell r="F102">
            <v>372</v>
          </cell>
        </row>
        <row r="103">
          <cell r="A103">
            <v>46032</v>
          </cell>
          <cell r="B103">
            <v>1535.72</v>
          </cell>
          <cell r="C103">
            <v>2712.72</v>
          </cell>
          <cell r="D103">
            <v>398</v>
          </cell>
          <cell r="E103">
            <v>54</v>
          </cell>
          <cell r="F103">
            <v>372</v>
          </cell>
        </row>
        <row r="104">
          <cell r="A104">
            <v>46033</v>
          </cell>
          <cell r="B104">
            <v>1681.52</v>
          </cell>
          <cell r="C104">
            <v>2715.52</v>
          </cell>
          <cell r="D104">
            <v>398</v>
          </cell>
          <cell r="E104">
            <v>54</v>
          </cell>
          <cell r="F104">
            <v>372</v>
          </cell>
        </row>
        <row r="105">
          <cell r="A105">
            <v>46034</v>
          </cell>
          <cell r="B105">
            <v>1906.4</v>
          </cell>
          <cell r="C105">
            <v>2725.4</v>
          </cell>
          <cell r="D105">
            <v>398</v>
          </cell>
          <cell r="E105">
            <v>55</v>
          </cell>
          <cell r="F105">
            <v>372</v>
          </cell>
        </row>
        <row r="106">
          <cell r="A106">
            <v>46035</v>
          </cell>
          <cell r="B106">
            <v>1528.84</v>
          </cell>
          <cell r="C106">
            <v>2636.84</v>
          </cell>
          <cell r="D106">
            <v>398</v>
          </cell>
          <cell r="E106">
            <v>55</v>
          </cell>
          <cell r="F106">
            <v>372</v>
          </cell>
        </row>
        <row r="107">
          <cell r="A107">
            <v>46036</v>
          </cell>
          <cell r="B107">
            <v>2125.6799999999998</v>
          </cell>
          <cell r="C107">
            <v>2512.6799999999998</v>
          </cell>
          <cell r="D107">
            <v>398</v>
          </cell>
          <cell r="E107">
            <v>55</v>
          </cell>
          <cell r="F107">
            <v>372</v>
          </cell>
        </row>
        <row r="108">
          <cell r="A108">
            <v>46037</v>
          </cell>
          <cell r="B108">
            <v>2154.88</v>
          </cell>
          <cell r="C108">
            <v>2674.88</v>
          </cell>
          <cell r="D108">
            <v>398</v>
          </cell>
          <cell r="E108">
            <v>55</v>
          </cell>
          <cell r="F108">
            <v>372</v>
          </cell>
        </row>
        <row r="109">
          <cell r="A109">
            <v>46038</v>
          </cell>
          <cell r="B109">
            <v>2030.22</v>
          </cell>
          <cell r="C109">
            <v>2689.22</v>
          </cell>
          <cell r="D109">
            <v>398</v>
          </cell>
          <cell r="E109">
            <v>55</v>
          </cell>
          <cell r="F109">
            <v>372</v>
          </cell>
        </row>
        <row r="110">
          <cell r="A110">
            <v>46039</v>
          </cell>
          <cell r="B110">
            <v>1955.14</v>
          </cell>
          <cell r="C110">
            <v>2103.14</v>
          </cell>
          <cell r="D110">
            <v>398</v>
          </cell>
          <cell r="E110">
            <v>55</v>
          </cell>
          <cell r="F110">
            <v>372</v>
          </cell>
        </row>
        <row r="111">
          <cell r="A111">
            <v>46040</v>
          </cell>
          <cell r="B111">
            <v>238.56</v>
          </cell>
          <cell r="C111">
            <v>1163.56</v>
          </cell>
          <cell r="D111">
            <v>398</v>
          </cell>
          <cell r="E111">
            <v>55</v>
          </cell>
          <cell r="F111">
            <v>372</v>
          </cell>
        </row>
        <row r="112">
          <cell r="A112">
            <v>46041</v>
          </cell>
          <cell r="B112">
            <v>1554.22</v>
          </cell>
          <cell r="C112">
            <v>1999.22</v>
          </cell>
          <cell r="D112">
            <v>398</v>
          </cell>
          <cell r="E112">
            <v>56</v>
          </cell>
          <cell r="F112">
            <v>372</v>
          </cell>
        </row>
        <row r="113">
          <cell r="A113">
            <v>46042</v>
          </cell>
          <cell r="B113">
            <v>1843.34</v>
          </cell>
          <cell r="C113">
            <v>2146.34</v>
          </cell>
          <cell r="D113">
            <v>398</v>
          </cell>
          <cell r="E113">
            <v>56</v>
          </cell>
          <cell r="F113">
            <v>372</v>
          </cell>
        </row>
        <row r="114">
          <cell r="A114">
            <v>46043</v>
          </cell>
          <cell r="B114">
            <v>1718.4</v>
          </cell>
          <cell r="C114">
            <v>2183.4</v>
          </cell>
          <cell r="D114">
            <v>398</v>
          </cell>
          <cell r="E114">
            <v>56</v>
          </cell>
          <cell r="F114">
            <v>372</v>
          </cell>
        </row>
        <row r="115">
          <cell r="A115">
            <v>46044</v>
          </cell>
          <cell r="B115">
            <v>1667.1</v>
          </cell>
          <cell r="C115">
            <v>2147.1</v>
          </cell>
          <cell r="D115">
            <v>398</v>
          </cell>
          <cell r="E115">
            <v>56</v>
          </cell>
          <cell r="F115">
            <v>372</v>
          </cell>
        </row>
        <row r="116">
          <cell r="A116">
            <v>46045</v>
          </cell>
          <cell r="B116">
            <v>1783.72</v>
          </cell>
          <cell r="C116">
            <v>2205.7199999999998</v>
          </cell>
          <cell r="D116">
            <v>398</v>
          </cell>
          <cell r="E116">
            <v>56</v>
          </cell>
          <cell r="F116">
            <v>372</v>
          </cell>
        </row>
        <row r="117">
          <cell r="A117">
            <v>46046</v>
          </cell>
          <cell r="B117">
            <v>1512.14</v>
          </cell>
          <cell r="C117">
            <v>2163.14</v>
          </cell>
          <cell r="D117">
            <v>398</v>
          </cell>
          <cell r="E117">
            <v>56</v>
          </cell>
          <cell r="F117">
            <v>372</v>
          </cell>
        </row>
        <row r="118">
          <cell r="A118">
            <v>46047</v>
          </cell>
          <cell r="B118">
            <v>157.28</v>
          </cell>
          <cell r="C118">
            <v>2071.2800000000002</v>
          </cell>
          <cell r="D118">
            <v>398</v>
          </cell>
          <cell r="E118">
            <v>56</v>
          </cell>
          <cell r="F118">
            <v>372</v>
          </cell>
        </row>
        <row r="119">
          <cell r="A119">
            <v>46048</v>
          </cell>
          <cell r="B119">
            <v>237.78</v>
          </cell>
          <cell r="C119">
            <v>2047.78</v>
          </cell>
          <cell r="D119">
            <v>398</v>
          </cell>
          <cell r="E119">
            <v>57</v>
          </cell>
          <cell r="F119">
            <v>372</v>
          </cell>
        </row>
        <row r="120">
          <cell r="A120">
            <v>46049</v>
          </cell>
          <cell r="B120">
            <v>1779.36</v>
          </cell>
          <cell r="C120">
            <v>2191.36</v>
          </cell>
          <cell r="D120">
            <v>398</v>
          </cell>
          <cell r="E120">
            <v>57</v>
          </cell>
          <cell r="F120">
            <v>372</v>
          </cell>
        </row>
        <row r="121">
          <cell r="A121">
            <v>46050</v>
          </cell>
          <cell r="B121">
            <v>1720.08</v>
          </cell>
          <cell r="C121">
            <v>2221.08</v>
          </cell>
          <cell r="D121">
            <v>398</v>
          </cell>
          <cell r="E121">
            <v>57</v>
          </cell>
          <cell r="F121">
            <v>372</v>
          </cell>
        </row>
        <row r="122">
          <cell r="A122">
            <v>46051</v>
          </cell>
          <cell r="B122">
            <v>1922</v>
          </cell>
          <cell r="C122">
            <v>2267</v>
          </cell>
          <cell r="D122">
            <v>398</v>
          </cell>
          <cell r="E122">
            <v>57</v>
          </cell>
          <cell r="F122">
            <v>372</v>
          </cell>
        </row>
        <row r="123">
          <cell r="A123">
            <v>46052</v>
          </cell>
          <cell r="B123">
            <v>1813.82</v>
          </cell>
          <cell r="C123">
            <v>2234.8200000000002</v>
          </cell>
          <cell r="D123">
            <v>398</v>
          </cell>
          <cell r="E123">
            <v>57</v>
          </cell>
          <cell r="F123">
            <v>372</v>
          </cell>
        </row>
        <row r="124">
          <cell r="A124">
            <v>46053</v>
          </cell>
          <cell r="B124">
            <v>1588.22</v>
          </cell>
          <cell r="C124">
            <v>2220.2199999999998</v>
          </cell>
          <cell r="D124">
            <v>398</v>
          </cell>
          <cell r="E124">
            <v>57</v>
          </cell>
          <cell r="F124">
            <v>372</v>
          </cell>
        </row>
        <row r="125">
          <cell r="A125">
            <v>46054</v>
          </cell>
          <cell r="B125">
            <v>163.80000000000001</v>
          </cell>
          <cell r="C125">
            <v>2275.8000000000002</v>
          </cell>
          <cell r="D125">
            <v>398</v>
          </cell>
          <cell r="F125">
            <v>372</v>
          </cell>
        </row>
        <row r="126">
          <cell r="A126">
            <v>46055</v>
          </cell>
          <cell r="B126">
            <v>1886.22</v>
          </cell>
          <cell r="C126">
            <v>2077.2199999999998</v>
          </cell>
          <cell r="D126">
            <v>398</v>
          </cell>
          <cell r="E126">
            <v>6</v>
          </cell>
          <cell r="F126">
            <v>372</v>
          </cell>
        </row>
        <row r="127">
          <cell r="A127">
            <v>46056</v>
          </cell>
          <cell r="B127">
            <v>1923.62</v>
          </cell>
          <cell r="C127">
            <v>2132.62</v>
          </cell>
          <cell r="D127">
            <v>398</v>
          </cell>
          <cell r="E127">
            <v>6</v>
          </cell>
          <cell r="F127">
            <v>372</v>
          </cell>
        </row>
        <row r="128">
          <cell r="A128">
            <v>46057</v>
          </cell>
          <cell r="B128">
            <v>1701.78</v>
          </cell>
          <cell r="C128">
            <v>2122.7800000000002</v>
          </cell>
          <cell r="D128">
            <v>398</v>
          </cell>
          <cell r="E128">
            <v>6</v>
          </cell>
          <cell r="F128">
            <v>372</v>
          </cell>
        </row>
        <row r="129">
          <cell r="A129">
            <v>46058</v>
          </cell>
          <cell r="B129">
            <v>1638.92</v>
          </cell>
          <cell r="C129">
            <v>1828.92</v>
          </cell>
          <cell r="D129">
            <v>398</v>
          </cell>
          <cell r="E129">
            <v>6</v>
          </cell>
          <cell r="F129">
            <v>372</v>
          </cell>
        </row>
        <row r="130">
          <cell r="A130">
            <v>46059</v>
          </cell>
          <cell r="B130">
            <v>132.84</v>
          </cell>
          <cell r="C130">
            <v>86.84</v>
          </cell>
          <cell r="D130">
            <v>398</v>
          </cell>
          <cell r="E130">
            <v>6</v>
          </cell>
          <cell r="F130">
            <v>372</v>
          </cell>
        </row>
        <row r="131">
          <cell r="A131">
            <v>46060</v>
          </cell>
          <cell r="B131">
            <v>178.2</v>
          </cell>
          <cell r="C131">
            <v>77.2</v>
          </cell>
          <cell r="D131">
            <v>398</v>
          </cell>
          <cell r="E131">
            <v>6</v>
          </cell>
          <cell r="F131">
            <v>372</v>
          </cell>
        </row>
        <row r="132">
          <cell r="A132">
            <v>46061</v>
          </cell>
          <cell r="B132">
            <v>125.4</v>
          </cell>
          <cell r="C132">
            <v>88.4</v>
          </cell>
          <cell r="D132">
            <v>398</v>
          </cell>
          <cell r="E132">
            <v>6</v>
          </cell>
          <cell r="F132">
            <v>372</v>
          </cell>
        </row>
        <row r="133">
          <cell r="A133">
            <v>46062</v>
          </cell>
          <cell r="B133">
            <v>1739.66</v>
          </cell>
          <cell r="C133">
            <v>1924.66</v>
          </cell>
          <cell r="D133">
            <v>398</v>
          </cell>
          <cell r="E133">
            <v>7</v>
          </cell>
          <cell r="F133">
            <v>372</v>
          </cell>
        </row>
        <row r="134">
          <cell r="A134">
            <v>46063</v>
          </cell>
          <cell r="B134">
            <v>1893.98</v>
          </cell>
          <cell r="C134">
            <v>2722.98</v>
          </cell>
          <cell r="D134">
            <v>398</v>
          </cell>
          <cell r="E134">
            <v>7</v>
          </cell>
          <cell r="F134">
            <v>372</v>
          </cell>
        </row>
        <row r="135">
          <cell r="A135">
            <v>46064</v>
          </cell>
          <cell r="B135">
            <v>1582.24</v>
          </cell>
          <cell r="C135">
            <v>3184.24</v>
          </cell>
          <cell r="D135">
            <v>398</v>
          </cell>
          <cell r="E135">
            <v>7</v>
          </cell>
          <cell r="F135">
            <v>372</v>
          </cell>
        </row>
        <row r="136">
          <cell r="A136">
            <v>46065</v>
          </cell>
          <cell r="B136">
            <v>1478.88</v>
          </cell>
          <cell r="C136">
            <v>3255.88</v>
          </cell>
          <cell r="D136">
            <v>398</v>
          </cell>
          <cell r="E136">
            <v>7</v>
          </cell>
          <cell r="F136">
            <v>372</v>
          </cell>
        </row>
        <row r="137">
          <cell r="A137">
            <v>46066</v>
          </cell>
          <cell r="B137">
            <v>1954.78</v>
          </cell>
          <cell r="C137">
            <v>3290.78</v>
          </cell>
          <cell r="D137">
            <v>398</v>
          </cell>
          <cell r="E137">
            <v>7</v>
          </cell>
          <cell r="F137">
            <v>372</v>
          </cell>
        </row>
        <row r="138">
          <cell r="A138">
            <v>46067</v>
          </cell>
          <cell r="B138">
            <v>1903.62</v>
          </cell>
          <cell r="C138">
            <v>3108.62</v>
          </cell>
          <cell r="D138">
            <v>398</v>
          </cell>
          <cell r="E138">
            <v>7</v>
          </cell>
          <cell r="F138">
            <v>372</v>
          </cell>
        </row>
        <row r="139">
          <cell r="A139">
            <v>46068</v>
          </cell>
          <cell r="B139">
            <v>1746.54</v>
          </cell>
          <cell r="C139">
            <v>3156.54</v>
          </cell>
          <cell r="D139">
            <v>398</v>
          </cell>
          <cell r="E139">
            <v>7</v>
          </cell>
          <cell r="F139">
            <v>372</v>
          </cell>
        </row>
        <row r="140">
          <cell r="A140">
            <v>46069</v>
          </cell>
          <cell r="B140">
            <v>1837.66</v>
          </cell>
          <cell r="C140">
            <v>2598.66</v>
          </cell>
          <cell r="D140">
            <v>398</v>
          </cell>
          <cell r="E140">
            <v>8</v>
          </cell>
          <cell r="F140">
            <v>372</v>
          </cell>
        </row>
        <row r="141">
          <cell r="A141">
            <v>46070</v>
          </cell>
          <cell r="B141">
            <v>1969.52</v>
          </cell>
          <cell r="C141">
            <v>3313.52</v>
          </cell>
          <cell r="D141">
            <v>398</v>
          </cell>
          <cell r="E141">
            <v>8</v>
          </cell>
          <cell r="F141">
            <v>372</v>
          </cell>
        </row>
        <row r="142">
          <cell r="A142">
            <v>46071</v>
          </cell>
          <cell r="B142">
            <v>1891.36</v>
          </cell>
          <cell r="C142">
            <v>3120.36</v>
          </cell>
          <cell r="D142">
            <v>398</v>
          </cell>
          <cell r="E142">
            <v>8</v>
          </cell>
          <cell r="F142">
            <v>372</v>
          </cell>
        </row>
        <row r="143">
          <cell r="A143">
            <v>46072</v>
          </cell>
          <cell r="B143">
            <v>1885.68</v>
          </cell>
          <cell r="C143">
            <v>2967.68</v>
          </cell>
          <cell r="D143">
            <v>398</v>
          </cell>
          <cell r="E143">
            <v>8</v>
          </cell>
          <cell r="F143">
            <v>372</v>
          </cell>
        </row>
        <row r="144">
          <cell r="A144">
            <v>46073</v>
          </cell>
          <cell r="B144">
            <v>1823.72</v>
          </cell>
          <cell r="C144">
            <v>2717.72</v>
          </cell>
          <cell r="D144">
            <v>398</v>
          </cell>
          <cell r="E144">
            <v>8</v>
          </cell>
          <cell r="F144">
            <v>372</v>
          </cell>
        </row>
        <row r="145">
          <cell r="A145">
            <v>46074</v>
          </cell>
          <cell r="B145">
            <v>1923</v>
          </cell>
          <cell r="C145">
            <v>2657</v>
          </cell>
          <cell r="D145">
            <v>398</v>
          </cell>
          <cell r="E145">
            <v>8</v>
          </cell>
          <cell r="F145">
            <v>372</v>
          </cell>
        </row>
        <row r="146">
          <cell r="A146">
            <v>46075</v>
          </cell>
          <cell r="B146">
            <v>1719.9</v>
          </cell>
          <cell r="C146">
            <v>2612.9</v>
          </cell>
          <cell r="D146">
            <v>398</v>
          </cell>
          <cell r="E146">
            <v>8</v>
          </cell>
          <cell r="F146">
            <v>372</v>
          </cell>
        </row>
        <row r="147">
          <cell r="A147">
            <v>46076</v>
          </cell>
          <cell r="B147">
            <v>1848.3</v>
          </cell>
          <cell r="C147">
            <v>2523.3000000000002</v>
          </cell>
          <cell r="D147">
            <v>398</v>
          </cell>
          <cell r="E147">
            <v>9</v>
          </cell>
          <cell r="F147">
            <v>372</v>
          </cell>
        </row>
        <row r="148">
          <cell r="A148">
            <v>46077</v>
          </cell>
          <cell r="B148">
            <v>1893.22</v>
          </cell>
          <cell r="C148">
            <v>2658.22</v>
          </cell>
          <cell r="D148">
            <v>398</v>
          </cell>
          <cell r="E148">
            <v>9</v>
          </cell>
          <cell r="F148">
            <v>372</v>
          </cell>
        </row>
        <row r="149">
          <cell r="A149">
            <v>46078</v>
          </cell>
          <cell r="B149">
            <v>1771.88</v>
          </cell>
          <cell r="C149">
            <v>2366.88</v>
          </cell>
          <cell r="D149">
            <v>398</v>
          </cell>
          <cell r="E149">
            <v>9</v>
          </cell>
          <cell r="F149">
            <v>372</v>
          </cell>
        </row>
        <row r="150">
          <cell r="A150">
            <v>46079</v>
          </cell>
          <cell r="B150">
            <v>1747.82</v>
          </cell>
          <cell r="C150">
            <v>2614.8200000000002</v>
          </cell>
          <cell r="D150">
            <v>398</v>
          </cell>
          <cell r="E150">
            <v>9</v>
          </cell>
          <cell r="F150">
            <v>372</v>
          </cell>
        </row>
        <row r="151">
          <cell r="A151">
            <v>46080</v>
          </cell>
          <cell r="B151">
            <v>1845.92</v>
          </cell>
          <cell r="C151">
            <v>2711.92</v>
          </cell>
          <cell r="D151">
            <v>398</v>
          </cell>
          <cell r="E151">
            <v>9</v>
          </cell>
          <cell r="F151">
            <v>372</v>
          </cell>
        </row>
        <row r="152">
          <cell r="A152">
            <v>46081</v>
          </cell>
          <cell r="B152">
            <v>1821.24</v>
          </cell>
          <cell r="C152">
            <v>2779.24</v>
          </cell>
          <cell r="D152">
            <v>398</v>
          </cell>
          <cell r="E152">
            <v>9</v>
          </cell>
          <cell r="F152">
            <v>372</v>
          </cell>
        </row>
        <row r="153">
          <cell r="A153">
            <v>46082</v>
          </cell>
          <cell r="B153">
            <v>1753.6</v>
          </cell>
          <cell r="C153">
            <v>2834.6</v>
          </cell>
          <cell r="D153">
            <v>398</v>
          </cell>
          <cell r="E153">
            <v>9</v>
          </cell>
          <cell r="F153">
            <v>372</v>
          </cell>
        </row>
        <row r="154">
          <cell r="A154">
            <v>46083</v>
          </cell>
          <cell r="B154">
            <v>1819</v>
          </cell>
          <cell r="C154">
            <v>2946</v>
          </cell>
          <cell r="D154">
            <v>398</v>
          </cell>
          <cell r="E154">
            <v>10</v>
          </cell>
          <cell r="F154">
            <v>372</v>
          </cell>
        </row>
        <row r="155">
          <cell r="A155">
            <v>46084</v>
          </cell>
          <cell r="B155">
            <v>1652.42</v>
          </cell>
          <cell r="C155">
            <v>2812.42</v>
          </cell>
          <cell r="D155">
            <v>398</v>
          </cell>
          <cell r="E155">
            <v>10</v>
          </cell>
          <cell r="F155">
            <v>372</v>
          </cell>
        </row>
        <row r="156">
          <cell r="A156">
            <v>46085</v>
          </cell>
          <cell r="B156">
            <v>1748.26</v>
          </cell>
          <cell r="C156">
            <v>3178.26</v>
          </cell>
          <cell r="D156">
            <v>398</v>
          </cell>
          <cell r="E156">
            <v>10</v>
          </cell>
          <cell r="F156">
            <v>372</v>
          </cell>
        </row>
        <row r="157">
          <cell r="A157">
            <v>46086</v>
          </cell>
          <cell r="B157">
            <v>1756.5</v>
          </cell>
          <cell r="C157">
            <v>3398.5</v>
          </cell>
          <cell r="D157">
            <v>398</v>
          </cell>
          <cell r="E157">
            <v>10</v>
          </cell>
          <cell r="F157">
            <v>372</v>
          </cell>
        </row>
        <row r="158">
          <cell r="A158">
            <v>46087</v>
          </cell>
          <cell r="B158">
            <v>1763.14</v>
          </cell>
          <cell r="C158">
            <v>3236.14</v>
          </cell>
          <cell r="D158">
            <v>398</v>
          </cell>
          <cell r="E158">
            <v>10</v>
          </cell>
          <cell r="F158">
            <v>372</v>
          </cell>
        </row>
        <row r="159">
          <cell r="A159">
            <v>46088</v>
          </cell>
          <cell r="B159">
            <v>1457.44</v>
          </cell>
          <cell r="C159">
            <v>3219.44</v>
          </cell>
          <cell r="D159">
            <v>398</v>
          </cell>
          <cell r="E159">
            <v>10</v>
          </cell>
          <cell r="F159">
            <v>372</v>
          </cell>
        </row>
        <row r="160">
          <cell r="A160">
            <v>46089</v>
          </cell>
          <cell r="B160">
            <v>195.44</v>
          </cell>
          <cell r="C160">
            <v>2946.44</v>
          </cell>
          <cell r="D160">
            <v>398</v>
          </cell>
          <cell r="E160">
            <v>10</v>
          </cell>
          <cell r="F160">
            <v>372</v>
          </cell>
        </row>
        <row r="161">
          <cell r="A161">
            <v>46090</v>
          </cell>
          <cell r="B161">
            <v>1696.04</v>
          </cell>
          <cell r="C161">
            <v>2805.04</v>
          </cell>
          <cell r="D161">
            <v>398</v>
          </cell>
          <cell r="E161">
            <v>11</v>
          </cell>
          <cell r="F161">
            <v>372</v>
          </cell>
        </row>
        <row r="162">
          <cell r="A162">
            <v>46091</v>
          </cell>
          <cell r="B162">
            <v>1801.54</v>
          </cell>
          <cell r="C162">
            <v>3005.54</v>
          </cell>
          <cell r="D162">
            <v>398</v>
          </cell>
          <cell r="E162">
            <v>11</v>
          </cell>
          <cell r="F162">
            <v>372</v>
          </cell>
        </row>
        <row r="163">
          <cell r="A163">
            <v>46092</v>
          </cell>
          <cell r="B163">
            <v>1803.26</v>
          </cell>
          <cell r="C163">
            <v>2534.2600000000002</v>
          </cell>
          <cell r="D163">
            <v>398</v>
          </cell>
          <cell r="E163">
            <v>11</v>
          </cell>
          <cell r="F163">
            <v>372</v>
          </cell>
        </row>
        <row r="164">
          <cell r="A164">
            <v>46093</v>
          </cell>
          <cell r="B164">
            <v>1886.5</v>
          </cell>
          <cell r="C164">
            <v>2797.5</v>
          </cell>
          <cell r="D164">
            <v>398</v>
          </cell>
          <cell r="E164">
            <v>11</v>
          </cell>
          <cell r="F164">
            <v>372</v>
          </cell>
        </row>
        <row r="165">
          <cell r="A165">
            <v>46094</v>
          </cell>
          <cell r="B165">
            <v>1812.58</v>
          </cell>
          <cell r="C165">
            <v>3021.58</v>
          </cell>
          <cell r="D165">
            <v>398</v>
          </cell>
          <cell r="E165">
            <v>11</v>
          </cell>
          <cell r="F165">
            <v>372</v>
          </cell>
        </row>
        <row r="166">
          <cell r="A166">
            <v>46095</v>
          </cell>
          <cell r="B166">
            <v>1968.22</v>
          </cell>
          <cell r="C166">
            <v>3091.22</v>
          </cell>
          <cell r="D166">
            <v>398</v>
          </cell>
          <cell r="E166">
            <v>11</v>
          </cell>
          <cell r="F166">
            <v>372</v>
          </cell>
        </row>
        <row r="167">
          <cell r="A167">
            <v>46096</v>
          </cell>
          <cell r="B167">
            <v>1812.2</v>
          </cell>
          <cell r="C167">
            <v>2899.2</v>
          </cell>
          <cell r="D167">
            <v>398</v>
          </cell>
          <cell r="E167">
            <v>11</v>
          </cell>
          <cell r="F167">
            <v>372</v>
          </cell>
        </row>
        <row r="168">
          <cell r="A168">
            <v>46097</v>
          </cell>
          <cell r="B168">
            <v>1745.06</v>
          </cell>
          <cell r="C168">
            <v>2572.06</v>
          </cell>
          <cell r="D168">
            <v>398</v>
          </cell>
          <cell r="E168">
            <v>11</v>
          </cell>
          <cell r="F168">
            <v>372</v>
          </cell>
        </row>
        <row r="169">
          <cell r="A169">
            <v>46098</v>
          </cell>
          <cell r="C169">
            <v>1081</v>
          </cell>
          <cell r="E169">
            <v>11</v>
          </cell>
          <cell r="F169">
            <v>372</v>
          </cell>
        </row>
        <row r="170">
          <cell r="A170">
            <v>46099</v>
          </cell>
          <cell r="C170">
            <v>186.64</v>
          </cell>
          <cell r="E170">
            <v>11</v>
          </cell>
          <cell r="F170">
            <v>372</v>
          </cell>
        </row>
        <row r="171">
          <cell r="A171">
            <v>46111</v>
          </cell>
          <cell r="C171">
            <v>1598.18</v>
          </cell>
          <cell r="E171">
            <v>14</v>
          </cell>
          <cell r="F171">
            <v>372</v>
          </cell>
        </row>
        <row r="172">
          <cell r="A172">
            <v>46112</v>
          </cell>
          <cell r="C172">
            <v>2207.6999999999998</v>
          </cell>
          <cell r="E172">
            <v>14</v>
          </cell>
          <cell r="F172">
            <v>372</v>
          </cell>
        </row>
        <row r="173">
          <cell r="A173">
            <v>46113</v>
          </cell>
          <cell r="B173">
            <v>1453.42</v>
          </cell>
          <cell r="C173">
            <v>2678.42</v>
          </cell>
          <cell r="D173">
            <v>398</v>
          </cell>
          <cell r="E173">
            <v>14</v>
          </cell>
          <cell r="F173">
            <v>372</v>
          </cell>
        </row>
        <row r="174">
          <cell r="A174">
            <v>46114</v>
          </cell>
          <cell r="B174">
            <v>1635.4</v>
          </cell>
          <cell r="C174">
            <v>2809.4</v>
          </cell>
          <cell r="D174">
            <v>398</v>
          </cell>
          <cell r="E174">
            <v>14</v>
          </cell>
          <cell r="F174">
            <v>372</v>
          </cell>
        </row>
        <row r="175">
          <cell r="A175">
            <v>46115</v>
          </cell>
          <cell r="B175">
            <v>1688.58</v>
          </cell>
          <cell r="C175">
            <v>2748.58</v>
          </cell>
          <cell r="D175">
            <v>398</v>
          </cell>
          <cell r="E175">
            <v>14</v>
          </cell>
          <cell r="F175">
            <v>372</v>
          </cell>
        </row>
        <row r="176">
          <cell r="A176">
            <v>46116</v>
          </cell>
          <cell r="B176">
            <v>1705.1</v>
          </cell>
          <cell r="C176">
            <v>2814.1</v>
          </cell>
          <cell r="D176">
            <v>398</v>
          </cell>
          <cell r="E176">
            <v>14</v>
          </cell>
          <cell r="F176">
            <v>372</v>
          </cell>
        </row>
        <row r="177">
          <cell r="A177">
            <v>46117</v>
          </cell>
          <cell r="B177">
            <v>1562.1</v>
          </cell>
          <cell r="C177">
            <v>2913.1</v>
          </cell>
          <cell r="D177">
            <v>398</v>
          </cell>
          <cell r="E177">
            <v>14</v>
          </cell>
          <cell r="F177">
            <v>372</v>
          </cell>
        </row>
        <row r="178">
          <cell r="A178">
            <v>46118</v>
          </cell>
          <cell r="B178">
            <v>1396</v>
          </cell>
          <cell r="C178">
            <v>2733</v>
          </cell>
          <cell r="D178">
            <v>398</v>
          </cell>
          <cell r="E178">
            <v>15</v>
          </cell>
          <cell r="F178">
            <v>372</v>
          </cell>
        </row>
        <row r="179">
          <cell r="A179">
            <v>46119</v>
          </cell>
          <cell r="B179">
            <v>1371</v>
          </cell>
          <cell r="C179">
            <v>2984</v>
          </cell>
          <cell r="D179">
            <v>398</v>
          </cell>
          <cell r="E179">
            <v>15</v>
          </cell>
          <cell r="F179">
            <v>372</v>
          </cell>
        </row>
        <row r="180">
          <cell r="A180">
            <v>46120</v>
          </cell>
          <cell r="B180">
            <v>1404</v>
          </cell>
          <cell r="C180">
            <v>2928</v>
          </cell>
          <cell r="D180">
            <v>398</v>
          </cell>
          <cell r="E180">
            <v>15</v>
          </cell>
          <cell r="F180">
            <v>372</v>
          </cell>
        </row>
        <row r="181">
          <cell r="A181">
            <v>46121</v>
          </cell>
          <cell r="B181">
            <v>1451</v>
          </cell>
          <cell r="C181">
            <v>2686</v>
          </cell>
          <cell r="D181">
            <v>398</v>
          </cell>
          <cell r="E181">
            <v>15</v>
          </cell>
          <cell r="F181">
            <v>372</v>
          </cell>
        </row>
        <row r="182">
          <cell r="A182">
            <v>46122</v>
          </cell>
          <cell r="B182">
            <v>1445</v>
          </cell>
          <cell r="C182">
            <v>2385</v>
          </cell>
          <cell r="D182">
            <v>398</v>
          </cell>
          <cell r="E182">
            <v>15</v>
          </cell>
          <cell r="F182">
            <v>372</v>
          </cell>
        </row>
        <row r="183">
          <cell r="A183">
            <v>46123</v>
          </cell>
          <cell r="B183">
            <v>1545</v>
          </cell>
          <cell r="C183">
            <v>2379</v>
          </cell>
          <cell r="D183">
            <v>398</v>
          </cell>
          <cell r="E183">
            <v>15</v>
          </cell>
          <cell r="F183">
            <v>372</v>
          </cell>
        </row>
        <row r="184">
          <cell r="A184">
            <v>46124</v>
          </cell>
          <cell r="B184">
            <v>1043</v>
          </cell>
          <cell r="C184">
            <v>2343</v>
          </cell>
          <cell r="D184">
            <v>398</v>
          </cell>
          <cell r="E184">
            <v>15</v>
          </cell>
          <cell r="F184">
            <v>372</v>
          </cell>
        </row>
        <row r="185">
          <cell r="A185">
            <v>46125</v>
          </cell>
          <cell r="B185">
            <v>1235.92</v>
          </cell>
          <cell r="C185">
            <v>2587.92</v>
          </cell>
          <cell r="D185">
            <v>398</v>
          </cell>
          <cell r="E185">
            <v>16</v>
          </cell>
          <cell r="F185">
            <v>372</v>
          </cell>
        </row>
        <row r="186">
          <cell r="A186">
            <v>46126</v>
          </cell>
          <cell r="B186">
            <v>1196.2</v>
          </cell>
          <cell r="C186">
            <v>2697.2</v>
          </cell>
          <cell r="D186">
            <v>398</v>
          </cell>
          <cell r="E186">
            <v>16</v>
          </cell>
          <cell r="F186">
            <v>372</v>
          </cell>
        </row>
        <row r="187">
          <cell r="A187">
            <v>46127</v>
          </cell>
          <cell r="B187">
            <v>1220.26</v>
          </cell>
          <cell r="C187">
            <v>2634.26</v>
          </cell>
          <cell r="D187">
            <v>398</v>
          </cell>
          <cell r="E187">
            <v>16</v>
          </cell>
          <cell r="F187">
            <v>372</v>
          </cell>
        </row>
        <row r="188">
          <cell r="A188">
            <v>46128</v>
          </cell>
          <cell r="B188">
            <v>1637.06</v>
          </cell>
          <cell r="C188">
            <v>2719.06</v>
          </cell>
          <cell r="D188">
            <v>398</v>
          </cell>
          <cell r="E188">
            <v>16</v>
          </cell>
          <cell r="F188">
            <v>372</v>
          </cell>
        </row>
        <row r="189">
          <cell r="A189">
            <v>46129</v>
          </cell>
          <cell r="B189">
            <v>1685.1</v>
          </cell>
          <cell r="C189">
            <v>2803.1</v>
          </cell>
          <cell r="D189">
            <v>398</v>
          </cell>
          <cell r="E189">
            <v>16</v>
          </cell>
          <cell r="F189">
            <v>372</v>
          </cell>
        </row>
        <row r="190">
          <cell r="A190">
            <v>46130</v>
          </cell>
          <cell r="B190">
            <v>1498.06</v>
          </cell>
          <cell r="C190">
            <v>2500.06</v>
          </cell>
          <cell r="D190">
            <v>398</v>
          </cell>
          <cell r="E190">
            <v>16</v>
          </cell>
          <cell r="F190">
            <v>372</v>
          </cell>
        </row>
        <row r="191">
          <cell r="A191">
            <v>46131</v>
          </cell>
          <cell r="B191">
            <v>1236.6600000000001</v>
          </cell>
          <cell r="C191">
            <v>1658.66</v>
          </cell>
          <cell r="D191">
            <v>398</v>
          </cell>
          <cell r="E191">
            <v>16</v>
          </cell>
          <cell r="F191">
            <v>372</v>
          </cell>
        </row>
        <row r="192">
          <cell r="A192">
            <v>46132</v>
          </cell>
          <cell r="B192">
            <v>1557.4</v>
          </cell>
          <cell r="C192">
            <v>1658.4</v>
          </cell>
          <cell r="D192">
            <v>398</v>
          </cell>
          <cell r="E192">
            <v>17</v>
          </cell>
          <cell r="F192">
            <v>372</v>
          </cell>
        </row>
        <row r="193">
          <cell r="A193">
            <v>46133</v>
          </cell>
          <cell r="B193">
            <v>1155.74</v>
          </cell>
          <cell r="C193">
            <v>1477.74</v>
          </cell>
          <cell r="D193">
            <v>398</v>
          </cell>
          <cell r="E193">
            <v>17</v>
          </cell>
          <cell r="F193">
            <v>372</v>
          </cell>
        </row>
        <row r="194">
          <cell r="A194">
            <v>46134</v>
          </cell>
          <cell r="B194">
            <v>1181.6400000000001</v>
          </cell>
          <cell r="C194">
            <v>1499.64</v>
          </cell>
          <cell r="D194">
            <v>398</v>
          </cell>
          <cell r="E194">
            <v>17</v>
          </cell>
          <cell r="F194">
            <v>372</v>
          </cell>
        </row>
        <row r="195">
          <cell r="A195">
            <v>46135</v>
          </cell>
          <cell r="B195">
            <v>1124.8</v>
          </cell>
          <cell r="C195">
            <v>1736.8</v>
          </cell>
          <cell r="D195">
            <v>398</v>
          </cell>
          <cell r="E195">
            <v>17</v>
          </cell>
          <cell r="F195">
            <v>372</v>
          </cell>
        </row>
        <row r="196">
          <cell r="A196">
            <v>46136</v>
          </cell>
          <cell r="B196">
            <v>797.36</v>
          </cell>
          <cell r="C196">
            <v>1854.36</v>
          </cell>
          <cell r="D196">
            <v>398</v>
          </cell>
          <cell r="E196">
            <v>17</v>
          </cell>
          <cell r="F196">
            <v>372</v>
          </cell>
        </row>
        <row r="197">
          <cell r="A197">
            <v>46137</v>
          </cell>
          <cell r="B197">
            <v>1299.44</v>
          </cell>
          <cell r="C197">
            <v>1765.44</v>
          </cell>
          <cell r="D197">
            <v>398</v>
          </cell>
          <cell r="E197">
            <v>17</v>
          </cell>
          <cell r="F197">
            <v>372</v>
          </cell>
        </row>
        <row r="198">
          <cell r="A198">
            <v>46138</v>
          </cell>
          <cell r="B198">
            <v>1033.1199999999999</v>
          </cell>
          <cell r="C198">
            <v>1351.12</v>
          </cell>
          <cell r="D198">
            <v>398</v>
          </cell>
          <cell r="E198">
            <v>17</v>
          </cell>
          <cell r="F198">
            <v>372</v>
          </cell>
        </row>
        <row r="199">
          <cell r="A199">
            <v>46139</v>
          </cell>
          <cell r="B199">
            <v>1503.04</v>
          </cell>
          <cell r="C199">
            <v>1732.04</v>
          </cell>
          <cell r="D199">
            <v>398</v>
          </cell>
          <cell r="E199">
            <v>18</v>
          </cell>
          <cell r="F199">
            <v>372</v>
          </cell>
        </row>
        <row r="200">
          <cell r="A200">
            <v>46140</v>
          </cell>
          <cell r="B200">
            <v>1383.18</v>
          </cell>
          <cell r="C200">
            <v>1847.18</v>
          </cell>
          <cell r="D200">
            <v>398</v>
          </cell>
          <cell r="E200">
            <v>18</v>
          </cell>
          <cell r="F200">
            <v>372</v>
          </cell>
        </row>
        <row r="201">
          <cell r="A201">
            <v>46141</v>
          </cell>
          <cell r="B201">
            <v>1489.78</v>
          </cell>
          <cell r="C201">
            <v>1969.78</v>
          </cell>
          <cell r="D201">
            <v>398</v>
          </cell>
          <cell r="E201">
            <v>18</v>
          </cell>
          <cell r="F201">
            <v>372</v>
          </cell>
        </row>
        <row r="202">
          <cell r="A202">
            <v>46142</v>
          </cell>
          <cell r="B202">
            <v>1690.76</v>
          </cell>
          <cell r="C202">
            <v>1578.76</v>
          </cell>
          <cell r="D202">
            <v>398</v>
          </cell>
          <cell r="E202">
            <v>18</v>
          </cell>
          <cell r="F202">
            <v>372</v>
          </cell>
        </row>
      </sheetData>
      <sheetData sheetId="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E:\Dropbox\PP-Data\PP%20&amp;%20PT%20DASHBOARD%20202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refreshedDate="46146.626004166668" createdVersion="7" refreshedVersion="7" minRefreshableVersion="3" recordCount="6329" xr:uid="{994BB065-3EA9-4230-AD21-6BE95CCE6A10}">
  <cacheSource type="worksheet">
    <worksheetSource ref="A1:AS1048576" sheet="LD PRD" r:id="rId2"/>
  </cacheSource>
  <cacheFields count="45">
    <cacheField name="SHIFT" numFmtId="0">
      <sharedItems containsBlank="1" count="4">
        <s v="A"/>
        <s v="B"/>
        <s v="-"/>
        <m/>
      </sharedItems>
    </cacheField>
    <cacheField name="MCH#" numFmtId="0">
      <sharedItems containsBlank="1" containsMixedTypes="1" containsNumber="1" containsInteger="1" minValue="1" maxValue="8" count="18">
        <n v="1"/>
        <n v="2"/>
        <n v="3"/>
        <n v="4"/>
        <n v="6"/>
        <n v="7"/>
        <n v="5"/>
        <s v="-"/>
        <s v="1"/>
        <s v="2"/>
        <s v="3"/>
        <s v="4"/>
        <s v="6"/>
        <s v="5"/>
        <s v="7"/>
        <s v="8"/>
        <m/>
        <n v="8"/>
      </sharedItems>
    </cacheField>
    <cacheField name="SO#" numFmtId="0">
      <sharedItems containsBlank="1" containsMixedTypes="1" containsNumber="1" containsInteger="1" minValue="30" maxValue="46015"/>
    </cacheField>
    <cacheField name="DATE" numFmtId="14">
      <sharedItems containsDate="1" containsBlank="1" containsMixedTypes="1" minDate="2025-01-01T00:00:00" maxDate="2026-05-01T00:00:00" count="451">
        <d v="2025-06-01T00:00:00"/>
        <d v="2025-06-02T00:00:00"/>
        <d v="2025-06-03T00:00:00"/>
        <d v="2025-06-04T00:00:00"/>
        <d v="2025-06-05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9-01T00:00:00"/>
        <d v="2025-09-02T00:00:00"/>
        <d v="2025-09-03T00:00:00"/>
        <d v="2025-09-04T00:00:00"/>
        <d v="2025-09-05T00:00:00"/>
        <s v="6/7-9-25"/>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4T00:00:00"/>
        <d v="2025-11-03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s v="6/7/8-02-26"/>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s v="19-29/03-26"/>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m/>
        <d v="2025-01-02T00:00:00" u="1"/>
        <d v="2025-01-04T00:00:00" u="1"/>
        <d v="2025-01-06T00:00:00" u="1"/>
        <d v="2025-02-02T00:00:00" u="1"/>
        <d v="2025-01-08T00:00:00" u="1"/>
        <d v="2025-02-04T00:00:00" u="1"/>
        <d v="2025-01-10T00:00:00" u="1"/>
        <d v="2025-02-06T00:00:00" u="1"/>
        <d v="2025-03-02T00:00:00" u="1"/>
        <d v="2025-01-12T00:00:00" u="1"/>
        <d v="2025-02-08T00:00:00" u="1"/>
        <d v="2025-03-04T00:00:00" u="1"/>
        <d v="2025-01-14T00:00:00" u="1"/>
        <d v="2025-02-10T00:00:00" u="1"/>
        <d v="2025-03-06T00:00:00" u="1"/>
        <d v="2025-01-16T00:00:00" u="1"/>
        <d v="2025-02-12T00:00:00" u="1"/>
        <d v="2025-03-08T00:00:00" u="1"/>
        <d v="2025-01-18T00:00:00" u="1"/>
        <d v="2025-02-14T00:00:00" u="1"/>
        <d v="2025-03-10T00:00:00" u="1"/>
        <d v="2025-05-02T00:00:00" u="1"/>
        <d v="2025-01-20T00:00:00" u="1"/>
        <d v="2025-02-16T00:00:00" u="1"/>
        <d v="2025-03-12T00:00:00" u="1"/>
        <d v="2025-04-08T00:00:00" u="1"/>
        <d v="2025-05-04T00:00:00" u="1"/>
        <d v="2025-01-22T00:00:00" u="1"/>
        <d v="2025-02-18T00:00:00" u="1"/>
        <d v="2025-03-14T00:00:00" u="1"/>
        <d v="2025-04-10T00:00:00" u="1"/>
        <d v="2025-05-06T00:00:00" u="1"/>
        <d v="2025-01-24T00:00:00" u="1"/>
        <d v="2025-02-20T00:00:00" u="1"/>
        <d v="2025-03-16T00:00:00" u="1"/>
        <d v="2025-04-12T00:00:00" u="1"/>
        <d v="2025-05-08T00:00:00" u="1"/>
        <d v="2025-02-22T00:00:00" u="1"/>
        <d v="2025-03-18T00:00:00" u="1"/>
        <d v="2025-04-14T00:00:00" u="1"/>
        <d v="2025-05-10T00:00:00" u="1"/>
        <d v="2025-01-28T00:00:00" u="1"/>
        <d v="2025-02-24T00:00:00" u="1"/>
        <d v="2025-03-20T00:00:00" u="1"/>
        <d v="2025-04-16T00:00:00" u="1"/>
        <d v="2025-05-12T00:00:00" u="1"/>
        <d v="2025-01-30T00:00:00" u="1"/>
        <d v="2025-02-26T00:00:00" u="1"/>
        <d v="2025-03-22T00:00:00" u="1"/>
        <d v="2025-04-18T00:00:00" u="1"/>
        <d v="2025-05-14T00:00:00" u="1"/>
        <d v="2025-02-28T00:00:00" u="1"/>
        <d v="2025-03-24T00:00:00" u="1"/>
        <d v="2025-04-20T00:00:00" u="1"/>
        <d v="2025-05-16T00:00:00" u="1"/>
        <d v="2025-03-26T00:00:00" u="1"/>
        <d v="2025-04-22T00:00:00" u="1"/>
        <d v="2025-05-18T00:00:00" u="1"/>
        <d v="2025-03-28T00:00:00" u="1"/>
        <d v="2025-04-24T00:00:00" u="1"/>
        <d v="2025-05-20T00:00:00" u="1"/>
        <d v="2025-04-26T00:00:00" u="1"/>
        <d v="2025-05-22T00:00:00" u="1"/>
        <d v="2025-04-28T00:00:00" u="1"/>
        <d v="2025-05-24T00:00:00" u="1"/>
        <d v="2025-04-30T00:00:00" u="1"/>
        <d v="2025-05-26T00:00:00" u="1"/>
        <d v="2025-05-28T00:00:00" u="1"/>
        <d v="2025-05-30T00:00:00" u="1"/>
        <d v="2025-01-01T00:00:00" u="1"/>
        <d v="2025-01-03T00:00:00" u="1"/>
        <d v="2025-01-05T00:00:00" u="1"/>
        <d v="2025-02-01T00:00:00" u="1"/>
        <d v="2025-01-07T00:00:00" u="1"/>
        <d v="2025-02-03T00:00:00" u="1"/>
        <d v="2025-01-09T00:00:00" u="1"/>
        <d v="2025-02-05T00:00:00" u="1"/>
        <d v="2025-03-01T00:00:00" u="1"/>
        <d v="2025-01-11T00:00:00" u="1"/>
        <d v="2025-02-07T00:00:00" u="1"/>
        <d v="2025-03-03T00:00:00" u="1"/>
        <d v="2025-01-13T00:00:00" u="1"/>
        <d v="2025-02-09T00:00:00" u="1"/>
        <d v="2025-03-05T00:00:00" u="1"/>
        <d v="2025-01-15T00:00:00" u="1"/>
        <d v="2025-02-11T00:00:00" u="1"/>
        <d v="2025-03-07T00:00:00" u="1"/>
        <d v="2025-01-17T00:00:00" u="1"/>
        <d v="2025-02-13T00:00:00" u="1"/>
        <d v="2025-05-01T00:00:00" u="1"/>
        <d v="2025-02-15T00:00:00" u="1"/>
        <d v="2025-03-11T00:00:00" u="1"/>
        <d v="2025-04-07T00:00:00" u="1"/>
        <d v="2025-05-03T00:00:00" u="1"/>
        <d v="2025-01-21T00:00:00" u="1"/>
        <d v="2025-02-17T00:00:00" u="1"/>
        <d v="2025-03-13T00:00:00" u="1"/>
        <d v="2025-04-09T00:00:00" u="1"/>
        <d v="2025-05-05T00:00:00" u="1"/>
        <d v="2025-01-23T00:00:00" u="1"/>
        <d v="2025-02-19T00:00:00" u="1"/>
        <d v="2025-03-15T00:00:00" u="1"/>
        <d v="2025-04-11T00:00:00" u="1"/>
        <d v="2025-05-07T00:00:00" u="1"/>
        <d v="2025-01-25T00:00:00" u="1"/>
        <d v="2025-02-21T00:00:00" u="1"/>
        <d v="2025-03-17T00:00:00" u="1"/>
        <d v="2025-04-13T00:00:00" u="1"/>
        <d v="2025-05-09T00:00:00" u="1"/>
        <d v="2025-01-27T00:00:00" u="1"/>
        <d v="2025-02-23T00:00:00" u="1"/>
        <d v="2025-03-19T00:00:00" u="1"/>
        <d v="2025-04-15T00:00:00" u="1"/>
        <d v="2025-05-11T00:00:00" u="1"/>
        <d v="2025-01-29T00:00:00" u="1"/>
        <d v="2025-02-25T00:00:00" u="1"/>
        <d v="2025-03-21T00:00:00" u="1"/>
        <d v="2025-04-17T00:00:00" u="1"/>
        <d v="2025-05-13T00:00:00" u="1"/>
        <d v="2025-01-31T00:00:00" u="1"/>
        <d v="2025-02-27T00:00:00" u="1"/>
        <d v="2025-03-23T00:00:00" u="1"/>
        <d v="2025-04-19T00:00:00" u="1"/>
        <d v="2025-05-15T00:00:00" u="1"/>
        <d v="2025-03-25T00:00:00" u="1"/>
        <d v="2025-04-21T00:00:00" u="1"/>
        <d v="2025-05-17T00:00:00" u="1"/>
        <d v="2025-03-27T00:00:00" u="1"/>
        <d v="2025-04-23T00:00:00" u="1"/>
        <d v="2025-05-19T00:00:00" u="1"/>
        <d v="2025-03-29T00:00:00" u="1"/>
        <d v="2025-04-25T00:00:00" u="1"/>
        <d v="2025-05-21T00:00:00" u="1"/>
        <d v="2025-05-23T00:00:00" u="1"/>
        <d v="2025-04-29T00:00:00" u="1"/>
        <d v="2025-05-25T00:00:00" u="1"/>
        <d v="2025-05-27T00:00:00" u="1"/>
        <d v="2025-05-29T00:00:00" u="1"/>
        <d v="2025-05-31T00:00:00" u="1"/>
      </sharedItems>
    </cacheField>
    <cacheField name="JOB NAME" numFmtId="0">
      <sharedItems containsBlank="1"/>
    </cacheField>
    <cacheField name="MATERIAL" numFmtId="0">
      <sharedItems containsBlank="1" containsMixedTypes="1" containsNumber="1" containsInteger="1" minValue="18" maxValue="26"/>
    </cacheField>
    <cacheField name="SIZE" numFmtId="0">
      <sharedItems containsBlank="1" containsMixedTypes="1" containsNumber="1" minValue="2" maxValue="48"/>
    </cacheField>
    <cacheField name="GUAGE" numFmtId="0">
      <sharedItems containsBlank="1" containsMixedTypes="1" containsNumber="1" minValue="0" maxValue="46367"/>
    </cacheField>
    <cacheField name="QUALITY" numFmtId="0">
      <sharedItems containsBlank="1" containsMixedTypes="1" containsNumber="1" containsInteger="1" minValue="0" maxValue="0"/>
    </cacheField>
    <cacheField name="ORDER WEIGHT" numFmtId="0">
      <sharedItems containsBlank="1" containsMixedTypes="1" containsNumber="1" minValue="0" maxValue="30000"/>
    </cacheField>
    <cacheField name="SECTION" numFmtId="0">
      <sharedItems containsBlank="1" count="2">
        <s v="PT-2"/>
        <m/>
      </sharedItems>
    </cacheField>
    <cacheField name="ROLLS INN" numFmtId="0">
      <sharedItems containsBlank="1" containsMixedTypes="1" containsNumber="1" containsInteger="1" minValue="1" maxValue="47"/>
    </cacheField>
    <cacheField name="G. WEIGHT" numFmtId="0">
      <sharedItems containsString="0" containsBlank="1" containsNumber="1" minValue="6.5" maxValue="1218.0999999999999"/>
    </cacheField>
    <cacheField name="CORE WEIGHT" numFmtId="0">
      <sharedItems containsBlank="1" containsMixedTypes="1" containsNumber="1" minValue="0" maxValue="68.400000000000006"/>
    </cacheField>
    <cacheField name="PRD WATSE" numFmtId="0">
      <sharedItems containsBlank="1" containsMixedTypes="1" containsNumber="1" minValue="0.22896841559595663" maxValue="200"/>
    </cacheField>
    <cacheField name="SAMPLE WASTE" numFmtId="0">
      <sharedItems containsBlank="1" containsMixedTypes="1" containsNumber="1" minValue="20" maxValue="464" count="10">
        <m/>
        <n v="24"/>
        <n v="255"/>
        <s v="35.4"/>
        <n v="266"/>
        <n v="464"/>
        <n v="301"/>
        <n v="364"/>
        <n v="40.6"/>
        <n v="20"/>
      </sharedItems>
    </cacheField>
    <cacheField name="NET WEIGHT" numFmtId="0">
      <sharedItems containsBlank="1" containsMixedTypes="1" containsNumber="1" minValue="0" maxValue="1186.1000000000001"/>
    </cacheField>
    <cacheField name="FOREMAN" numFmtId="0">
      <sharedItems containsBlank="1" containsMixedTypes="1" containsNumber="1" minValue="0" maxValue="30037.069999999996"/>
    </cacheField>
    <cacheField name="کوالٹی CHANGE" numFmtId="0">
      <sharedItems containsBlank="1" containsMixedTypes="1" containsNumber="1" containsInteger="1" minValue="1" maxValue="240"/>
    </cacheField>
    <cacheField name="ھیٹنگ" numFmtId="0">
      <sharedItems containsString="0" containsBlank="1" containsNumber="1" containsInteger="1" minValue="3" maxValue="420" count="19">
        <m/>
        <n v="3"/>
        <n v="150"/>
        <n v="210"/>
        <n v="160"/>
        <n v="180"/>
        <n v="120"/>
        <n v="35"/>
        <n v="360"/>
        <n v="240"/>
        <n v="90"/>
        <n v="340"/>
        <n v="420"/>
        <n v="30"/>
        <n v="170"/>
        <n v="200"/>
        <n v="15"/>
        <n v="300"/>
        <n v="70"/>
      </sharedItems>
    </cacheField>
    <cacheField name="MACHINE ON" numFmtId="0">
      <sharedItems containsString="0" containsBlank="1" containsNumber="1" containsInteger="1" minValue="30" maxValue="600" count="20">
        <m/>
        <n v="60"/>
        <n v="180"/>
        <n v="240"/>
        <n v="200"/>
        <n v="510"/>
        <n v="270"/>
        <n v="30"/>
        <n v="90"/>
        <n v="360"/>
        <n v="120"/>
        <n v="210"/>
        <n v="435"/>
        <n v="480"/>
        <n v="600"/>
        <n v="540"/>
        <n v="80"/>
        <n v="300"/>
        <n v="400"/>
        <n v="420"/>
      </sharedItems>
    </cacheField>
    <cacheField name="TOTAL MIN" numFmtId="0">
      <sharedItems containsString="0" containsBlank="1" containsNumber="1" containsInteger="1" minValue="0" maxValue="600"/>
    </cacheField>
    <cacheField name="P.S   HOURS" numFmtId="0">
      <sharedItems containsString="0" containsBlank="1" containsNumber="1" minValue="0" maxValue="10"/>
    </cacheField>
    <cacheField name="الیکٹریکل" numFmtId="0">
      <sharedItems containsString="0" containsBlank="1" containsNumber="1" containsInteger="1" minValue="10" maxValue="200" count="15">
        <m/>
        <n v="15"/>
        <n v="155"/>
        <n v="25"/>
        <n v="30"/>
        <n v="20"/>
        <n v="60"/>
        <n v="90"/>
        <n v="120"/>
        <n v="10"/>
        <n v="45"/>
        <n v="40"/>
        <n v="50"/>
        <n v="200"/>
        <n v="35"/>
      </sharedItems>
    </cacheField>
    <cacheField name="ڈایی صاف " numFmtId="0">
      <sharedItems containsString="0" containsBlank="1" containsNumber="1" containsInteger="1" minValue="3" maxValue="90" count="10">
        <m/>
        <n v="10"/>
        <n v="20"/>
        <n v="15"/>
        <n v="30"/>
        <n v="60"/>
        <n v="3"/>
        <n v="5"/>
        <n v="90"/>
        <n v="18"/>
      </sharedItems>
    </cacheField>
    <cacheField name="مکینیکل" numFmtId="0">
      <sharedItems containsString="0" containsBlank="1" containsNumber="1" containsInteger="1" minValue="3" maxValue="720"/>
    </cacheField>
    <cacheField name="سائز کم " numFmtId="0">
      <sharedItems containsString="0" containsBlank="1" containsNumber="1" containsInteger="1" minValue="2" maxValue="35" count="17">
        <m/>
        <n v="10"/>
        <n v="5"/>
        <n v="7"/>
        <n v="2"/>
        <n v="3"/>
        <n v="8"/>
        <n v="20"/>
        <n v="25"/>
        <n v="15"/>
        <n v="30"/>
        <n v="4"/>
        <n v="6"/>
        <n v="35"/>
        <n v="9"/>
        <n v="13"/>
        <n v="21"/>
      </sharedItems>
    </cacheField>
    <cacheField name=" سیمپل چیک" numFmtId="0">
      <sharedItems containsString="0" containsBlank="1" containsNumber="1" containsInteger="1" minValue="10" maxValue="240" count="10">
        <m/>
        <n v="15"/>
        <n v="60"/>
        <n v="20"/>
        <n v="90"/>
        <n v="10"/>
        <n v="30"/>
        <n v="100"/>
        <n v="40"/>
        <n v="240"/>
      </sharedItems>
    </cacheField>
    <cacheField name="OTHER" numFmtId="0">
      <sharedItems containsString="0" containsBlank="1" containsNumber="1" containsInteger="1" minValue="10" maxValue="480" count="7">
        <m/>
        <n v="240"/>
        <n v="20"/>
        <n v="10"/>
        <n v="120"/>
        <n v="150"/>
        <n v="480"/>
      </sharedItems>
    </cacheField>
    <cacheField name=" جالی تبدیل" numFmtId="0">
      <sharedItems containsString="0" containsBlank="1" containsNumber="1" containsInteger="1" minValue="20" maxValue="180" count="16">
        <m/>
        <n v="40"/>
        <n v="50"/>
        <n v="30"/>
        <n v="20"/>
        <n v="180"/>
        <n v="60"/>
        <n v="65"/>
        <n v="120"/>
        <n v="150"/>
        <n v="35"/>
        <n v="70"/>
        <n v="90"/>
        <n v="45"/>
        <n v="75"/>
        <n v="80"/>
      </sharedItems>
    </cacheField>
    <cacheField name="TREET" numFmtId="0">
      <sharedItems containsString="0" containsBlank="1" containsNumber="1" containsInteger="1" minValue="20" maxValue="180" count="7">
        <m/>
        <n v="90"/>
        <n v="65"/>
        <n v="20"/>
        <n v="180"/>
        <n v="120"/>
        <n v="30"/>
      </sharedItems>
    </cacheField>
    <cacheField name="TOTAL MIN2" numFmtId="0">
      <sharedItems containsString="0" containsBlank="1" containsNumber="1" containsInteger="1" minValue="0" maxValue="720"/>
    </cacheField>
    <cacheField name="U.P.S HOURS" numFmtId="0">
      <sharedItems containsString="0" containsBlank="1" containsNumber="1" minValue="0" maxValue="12"/>
    </cacheField>
    <cacheField name="T.S HOURS" numFmtId="0">
      <sharedItems containsString="0" containsBlank="1" containsNumber="1" minValue="0" maxValue="12"/>
    </cacheField>
    <cacheField name="RUNNING" numFmtId="0">
      <sharedItems containsString="0" containsBlank="1" containsNumber="1" minValue="0" maxValue="12"/>
    </cacheField>
    <cacheField name="TOTAL HOURS" numFmtId="0">
      <sharedItems containsString="0" containsBlank="1" containsNumber="1" containsInteger="1" minValue="12" maxValue="12" count="2">
        <m/>
        <n v="12"/>
      </sharedItems>
    </cacheField>
    <cacheField name="WASTAGE/KGs" numFmtId="0">
      <sharedItems containsNonDate="0" containsString="0" containsBlank="1" count="1">
        <m/>
      </sharedItems>
    </cacheField>
    <cacheField name="KWH/KG" numFmtId="0">
      <sharedItems containsBlank="1" containsMixedTypes="1" containsNumber="1" minValue="1230" maxValue="3082"/>
    </cacheField>
    <cacheField name="TOTAL PRODUCTION" numFmtId="49">
      <sharedItems containsNonDate="0" containsString="0" containsBlank="1" count="1">
        <m/>
      </sharedItems>
    </cacheField>
    <cacheField name="TARGET" numFmtId="0">
      <sharedItems containsString="0" containsBlank="1" containsNumber="1" minValue="6" maxValue="3200"/>
    </cacheField>
    <cacheField name="RECIPE" numFmtId="0">
      <sharedItems containsString="0" containsBlank="1" containsNumber="1" containsInteger="1" minValue="372" maxValue="372" count="2">
        <m/>
        <n v="372"/>
      </sharedItems>
    </cacheField>
    <cacheField name="WEEK NO." numFmtId="0">
      <sharedItems containsString="0" containsBlank="1" containsNumber="1" containsInteger="1" minValue="1" maxValue="58" count="39">
        <m/>
        <n v="32"/>
        <n v="33"/>
        <n v="35"/>
        <n v="36"/>
        <n v="37"/>
        <n v="38"/>
        <n v="40"/>
        <n v="41"/>
        <n v="42"/>
        <n v="43"/>
        <n v="44"/>
        <n v="45"/>
        <n v="46"/>
        <n v="47"/>
        <n v="48"/>
        <n v="49"/>
        <n v="50"/>
        <n v="51"/>
        <n v="52"/>
        <n v="53"/>
        <n v="54"/>
        <n v="55"/>
        <n v="56"/>
        <n v="57"/>
        <n v="6"/>
        <n v="7"/>
        <n v="8"/>
        <n v="9"/>
        <n v="10"/>
        <n v="11"/>
        <n v="12"/>
        <n v="14"/>
        <n v="15"/>
        <n v="16"/>
        <n v="17"/>
        <n v="18"/>
        <n v="58" u="1"/>
        <n v="1" u="1"/>
      </sharedItems>
    </cacheField>
    <cacheField name="REMARKS" numFmtId="0">
      <sharedItems containsString="0" containsBlank="1" containsNumber="1" containsInteger="1" minValue="14" maxValue="57" count="19">
        <m/>
        <n v="44"/>
        <n v="45"/>
        <n v="46"/>
        <n v="47"/>
        <n v="48"/>
        <n v="49"/>
        <n v="50"/>
        <n v="51"/>
        <n v="52"/>
        <n v="53"/>
        <n v="54"/>
        <n v="55"/>
        <n v="56"/>
        <n v="57"/>
        <n v="14"/>
        <n v="15"/>
        <n v="16"/>
        <n v="17"/>
      </sharedItems>
    </cacheField>
    <cacheField name="ACTION" numFmtId="0">
      <sharedItems containsBlank="1" containsMixedTypes="1" containsNumber="1" minValue="3.75" maxValue="33078.75" count="8">
        <m/>
        <n v="6"/>
        <n v="9"/>
        <e v="#VALUE!"/>
        <n v="7.5"/>
        <n v="31365.75"/>
        <n v="3.75"/>
        <n v="33078.75"/>
      </sharedItems>
    </cacheField>
    <cacheField name="ACTION PLAN" numFmtId="0">
      <sharedItems containsBlank="1" containsMixedTypes="1" containsNumber="1" minValue="24.15" maxValue="660" count="5">
        <m/>
        <n v="24.15"/>
        <s v="IDAL HRS"/>
        <n v="120"/>
        <n v="660"/>
      </sharedItems>
    </cacheField>
  </cacheFields>
  <extLst>
    <ext xmlns:x14="http://schemas.microsoft.com/office/spreadsheetml/2009/9/main" uri="{725AE2AE-9491-48be-B2B4-4EB974FC3084}">
      <x14:pivotCacheDefinition pivotCacheId="2112669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9">
  <r>
    <x v="0"/>
    <x v="0"/>
    <s v="2594 J"/>
    <x v="0"/>
    <s v="EMULITE 50MM"/>
    <s v="LD گولڈن پیلا"/>
    <s v="80MM"/>
    <s v="31-32"/>
    <s v="پیور"/>
    <n v="2500"/>
    <x v="0"/>
    <n v="2"/>
    <n v="112.19999999999999"/>
    <n v="1.5"/>
    <m/>
    <x v="0"/>
    <n v="110.69999999999999"/>
    <m/>
    <m/>
    <x v="0"/>
    <x v="0"/>
    <m/>
    <m/>
    <x v="0"/>
    <x v="0"/>
    <m/>
    <x v="0"/>
    <x v="0"/>
    <x v="0"/>
    <x v="0"/>
    <x v="0"/>
    <m/>
    <m/>
    <m/>
    <m/>
    <x v="0"/>
    <x v="0"/>
    <m/>
    <x v="0"/>
    <m/>
    <x v="0"/>
    <x v="0"/>
    <x v="0"/>
    <x v="0"/>
    <x v="0"/>
  </r>
  <r>
    <x v="1"/>
    <x v="0"/>
    <s v="2594 J"/>
    <x v="0"/>
    <s v="EMULITE 50MM"/>
    <s v="LD گولڈن پیلا"/>
    <s v="80MM"/>
    <s v="31-32"/>
    <s v="پیور"/>
    <n v="2500"/>
    <x v="0"/>
    <n v="3"/>
    <n v="118.79999999999998"/>
    <n v="1.7999999999999998"/>
    <m/>
    <x v="0"/>
    <n v="116.99999999999999"/>
    <m/>
    <m/>
    <x v="0"/>
    <x v="0"/>
    <m/>
    <m/>
    <x v="0"/>
    <x v="0"/>
    <m/>
    <x v="0"/>
    <x v="0"/>
    <x v="0"/>
    <x v="0"/>
    <x v="0"/>
    <m/>
    <m/>
    <m/>
    <m/>
    <x v="0"/>
    <x v="0"/>
    <m/>
    <x v="0"/>
    <m/>
    <x v="0"/>
    <x v="0"/>
    <x v="0"/>
    <x v="0"/>
    <x v="0"/>
  </r>
  <r>
    <x v="0"/>
    <x v="1"/>
    <s v="2613 J"/>
    <x v="0"/>
    <s v="سادہ رول پاک پلاسٹک "/>
    <s v="LD گرین"/>
    <n v="12"/>
    <n v="12"/>
    <s v="ویسٹ کوالٹی"/>
    <n v="200"/>
    <x v="0"/>
    <n v="1"/>
    <n v="36"/>
    <n v="1.4"/>
    <m/>
    <x v="0"/>
    <n v="34.6"/>
    <m/>
    <m/>
    <x v="0"/>
    <x v="0"/>
    <m/>
    <m/>
    <x v="0"/>
    <x v="0"/>
    <m/>
    <x v="0"/>
    <x v="0"/>
    <x v="0"/>
    <x v="0"/>
    <x v="0"/>
    <m/>
    <m/>
    <m/>
    <m/>
    <x v="0"/>
    <x v="0"/>
    <m/>
    <x v="0"/>
    <m/>
    <x v="0"/>
    <x v="0"/>
    <x v="0"/>
    <x v="0"/>
    <x v="0"/>
  </r>
  <r>
    <x v="1"/>
    <x v="1"/>
    <s v="2613 J"/>
    <x v="0"/>
    <s v="سادہ رول پاک پلاسٹک "/>
    <s v="LD گرین"/>
    <n v="12"/>
    <n v="12"/>
    <s v="ویسٹ کوالٹی"/>
    <n v="200"/>
    <x v="0"/>
    <n v="5"/>
    <n v="191.39999999999998"/>
    <n v="7.5"/>
    <m/>
    <x v="0"/>
    <n v="183.89999999999998"/>
    <m/>
    <m/>
    <x v="0"/>
    <x v="0"/>
    <m/>
    <m/>
    <x v="0"/>
    <x v="0"/>
    <m/>
    <x v="0"/>
    <x v="0"/>
    <x v="0"/>
    <x v="0"/>
    <x v="0"/>
    <m/>
    <m/>
    <m/>
    <m/>
    <x v="0"/>
    <x v="0"/>
    <m/>
    <x v="0"/>
    <m/>
    <x v="0"/>
    <x v="0"/>
    <x v="0"/>
    <x v="0"/>
    <x v="0"/>
  </r>
  <r>
    <x v="1"/>
    <x v="1"/>
    <s v="2614 J"/>
    <x v="0"/>
    <s v="سادہ رول پاک پلاسٹک "/>
    <s v="LD گرین"/>
    <n v="15"/>
    <n v="12"/>
    <s v="ویسٹ کوالٹی"/>
    <n v="50"/>
    <x v="0"/>
    <n v="2"/>
    <n v="62.400000000000006"/>
    <n v="3.6"/>
    <m/>
    <x v="0"/>
    <n v="58.800000000000004"/>
    <m/>
    <m/>
    <x v="0"/>
    <x v="0"/>
    <m/>
    <m/>
    <x v="0"/>
    <x v="0"/>
    <m/>
    <x v="0"/>
    <x v="0"/>
    <x v="0"/>
    <x v="0"/>
    <x v="0"/>
    <m/>
    <m/>
    <m/>
    <m/>
    <x v="0"/>
    <x v="0"/>
    <m/>
    <x v="0"/>
    <m/>
    <x v="0"/>
    <x v="0"/>
    <x v="0"/>
    <x v="0"/>
    <x v="0"/>
  </r>
  <r>
    <x v="0"/>
    <x v="2"/>
    <s v="2576 J"/>
    <x v="0"/>
    <s v="انٹرنیشنل انڈسٹری PPRC"/>
    <s v="LD گرین"/>
    <s v="300 MM"/>
    <s v="48-50"/>
    <s v="-"/>
    <n v="3000"/>
    <x v="0"/>
    <n v="3"/>
    <n v="558"/>
    <n v="4.5"/>
    <m/>
    <x v="0"/>
    <n v="553.5"/>
    <m/>
    <m/>
    <x v="0"/>
    <x v="0"/>
    <m/>
    <m/>
    <x v="0"/>
    <x v="0"/>
    <m/>
    <x v="0"/>
    <x v="0"/>
    <x v="0"/>
    <x v="0"/>
    <x v="0"/>
    <m/>
    <m/>
    <m/>
    <m/>
    <x v="0"/>
    <x v="0"/>
    <m/>
    <x v="0"/>
    <m/>
    <x v="0"/>
    <x v="0"/>
    <x v="0"/>
    <x v="0"/>
    <x v="0"/>
  </r>
  <r>
    <x v="1"/>
    <x v="2"/>
    <s v="2576 J"/>
    <x v="0"/>
    <s v="انٹرنیشنل انڈسٹری PPRC"/>
    <s v="LD گرین"/>
    <s v="300 MM"/>
    <s v="48-50"/>
    <s v="-"/>
    <n v="3000"/>
    <x v="0"/>
    <n v="1"/>
    <n v="138.6"/>
    <n v="1.5"/>
    <m/>
    <x v="0"/>
    <n v="137.1"/>
    <m/>
    <m/>
    <x v="0"/>
    <x v="0"/>
    <m/>
    <m/>
    <x v="0"/>
    <x v="0"/>
    <m/>
    <x v="0"/>
    <x v="0"/>
    <x v="0"/>
    <x v="0"/>
    <x v="0"/>
    <m/>
    <m/>
    <m/>
    <m/>
    <x v="0"/>
    <x v="0"/>
    <m/>
    <x v="0"/>
    <m/>
    <x v="0"/>
    <x v="0"/>
    <x v="0"/>
    <x v="0"/>
    <x v="0"/>
  </r>
  <r>
    <x v="0"/>
    <x v="3"/>
    <n v="2754"/>
    <x v="0"/>
    <s v="OLYMPIA"/>
    <s v="LDN"/>
    <n v="21"/>
    <s v="30 G"/>
    <s v="AA"/>
    <n v="1200"/>
    <x v="0"/>
    <n v="4"/>
    <n v="282.60000000000002"/>
    <n v="11.2"/>
    <m/>
    <x v="0"/>
    <n v="271.40000000000003"/>
    <m/>
    <m/>
    <x v="0"/>
    <x v="0"/>
    <m/>
    <m/>
    <x v="0"/>
    <x v="0"/>
    <m/>
    <x v="0"/>
    <x v="0"/>
    <x v="0"/>
    <x v="0"/>
    <x v="0"/>
    <m/>
    <m/>
    <m/>
    <m/>
    <x v="0"/>
    <x v="0"/>
    <m/>
    <x v="0"/>
    <m/>
    <x v="0"/>
    <x v="0"/>
    <x v="0"/>
    <x v="0"/>
    <x v="0"/>
  </r>
  <r>
    <x v="0"/>
    <x v="3"/>
    <s v="2628 J"/>
    <x v="0"/>
    <s v="وارننگ لفافہ"/>
    <s v="LDN"/>
    <n v="16"/>
    <s v="-"/>
    <s v="پیور"/>
    <n v="100"/>
    <x v="0"/>
    <n v="1"/>
    <n v="36"/>
    <n v="2"/>
    <m/>
    <x v="0"/>
    <n v="34"/>
    <m/>
    <m/>
    <x v="0"/>
    <x v="0"/>
    <m/>
    <m/>
    <x v="0"/>
    <x v="0"/>
    <m/>
    <x v="0"/>
    <x v="0"/>
    <x v="0"/>
    <x v="0"/>
    <x v="0"/>
    <m/>
    <m/>
    <m/>
    <m/>
    <x v="0"/>
    <x v="0"/>
    <m/>
    <x v="0"/>
    <m/>
    <x v="0"/>
    <x v="0"/>
    <x v="0"/>
    <x v="0"/>
    <x v="0"/>
  </r>
  <r>
    <x v="1"/>
    <x v="3"/>
    <s v="2628 J"/>
    <x v="0"/>
    <s v="وارننگ لفافہ"/>
    <s v="LDN"/>
    <n v="16"/>
    <s v="-"/>
    <s v="پیور"/>
    <n v="100"/>
    <x v="0"/>
    <n v="2"/>
    <n v="69.400000000000006"/>
    <n v="3.9"/>
    <m/>
    <x v="0"/>
    <n v="65.5"/>
    <m/>
    <m/>
    <x v="0"/>
    <x v="0"/>
    <m/>
    <m/>
    <x v="0"/>
    <x v="0"/>
    <m/>
    <x v="0"/>
    <x v="0"/>
    <x v="0"/>
    <x v="0"/>
    <x v="0"/>
    <m/>
    <m/>
    <m/>
    <m/>
    <x v="0"/>
    <x v="0"/>
    <m/>
    <x v="0"/>
    <m/>
    <x v="0"/>
    <x v="0"/>
    <x v="0"/>
    <x v="0"/>
    <x v="0"/>
  </r>
  <r>
    <x v="1"/>
    <x v="3"/>
    <n v="2753"/>
    <x v="0"/>
    <s v="MATCO FOOD"/>
    <s v="LDN"/>
    <n v="23"/>
    <s v="70 G"/>
    <s v="SL"/>
    <n v="3500"/>
    <x v="0"/>
    <n v="3"/>
    <n v="245.60000000000002"/>
    <n v="8.5"/>
    <m/>
    <x v="0"/>
    <n v="237.10000000000002"/>
    <m/>
    <m/>
    <x v="0"/>
    <x v="0"/>
    <m/>
    <m/>
    <x v="0"/>
    <x v="0"/>
    <m/>
    <x v="0"/>
    <x v="0"/>
    <x v="0"/>
    <x v="0"/>
    <x v="0"/>
    <m/>
    <m/>
    <m/>
    <m/>
    <x v="0"/>
    <x v="0"/>
    <m/>
    <x v="0"/>
    <m/>
    <x v="0"/>
    <x v="0"/>
    <x v="0"/>
    <x v="0"/>
    <x v="0"/>
  </r>
  <r>
    <x v="0"/>
    <x v="4"/>
    <s v="2584 J"/>
    <x v="0"/>
    <s v="برجر پینٹ(پیلا) "/>
    <s v="LD پیلا"/>
    <n v="18"/>
    <s v="-"/>
    <s v="ABA پیور"/>
    <n v="2000"/>
    <x v="0"/>
    <n v="5"/>
    <n v="676.6"/>
    <n v="11"/>
    <n v="12"/>
    <x v="1"/>
    <n v="665.6"/>
    <m/>
    <m/>
    <x v="0"/>
    <x v="0"/>
    <m/>
    <m/>
    <x v="0"/>
    <x v="0"/>
    <m/>
    <x v="0"/>
    <x v="0"/>
    <x v="0"/>
    <x v="0"/>
    <x v="0"/>
    <m/>
    <m/>
    <m/>
    <m/>
    <x v="0"/>
    <x v="0"/>
    <m/>
    <x v="0"/>
    <m/>
    <x v="0"/>
    <x v="0"/>
    <x v="0"/>
    <x v="0"/>
    <x v="0"/>
  </r>
  <r>
    <x v="1"/>
    <x v="4"/>
    <s v="2633 J"/>
    <x v="0"/>
    <s v="وحید واچ سنٹر"/>
    <s v="LD گولڈن پیلا"/>
    <s v="12+3+3"/>
    <s v="8-8.5/16-17"/>
    <s v="ABA پیور"/>
    <n v="110"/>
    <x v="0"/>
    <n v="4"/>
    <n v="128"/>
    <n v="5.6"/>
    <n v="18"/>
    <x v="2"/>
    <n v="122.4"/>
    <m/>
    <m/>
    <x v="0"/>
    <x v="0"/>
    <m/>
    <m/>
    <x v="0"/>
    <x v="0"/>
    <m/>
    <x v="0"/>
    <x v="0"/>
    <x v="0"/>
    <x v="0"/>
    <x v="0"/>
    <m/>
    <m/>
    <m/>
    <m/>
    <x v="0"/>
    <x v="0"/>
    <m/>
    <x v="0"/>
    <m/>
    <x v="0"/>
    <x v="0"/>
    <x v="0"/>
    <x v="0"/>
    <x v="0"/>
  </r>
  <r>
    <x v="1"/>
    <x v="4"/>
    <s v="9531 A"/>
    <x v="0"/>
    <s v="سادہ رول جیلانی پولی سٹاک"/>
    <s v="LDN"/>
    <s v="26 شیٹ"/>
    <s v="8-8.5/16-17"/>
    <s v="پیور"/>
    <n v="2000"/>
    <x v="0"/>
    <n v="4"/>
    <n v="438"/>
    <n v="12.8"/>
    <m/>
    <x v="0"/>
    <n v="425.2"/>
    <m/>
    <m/>
    <x v="0"/>
    <x v="0"/>
    <m/>
    <m/>
    <x v="0"/>
    <x v="0"/>
    <m/>
    <x v="0"/>
    <x v="0"/>
    <x v="0"/>
    <x v="0"/>
    <x v="0"/>
    <m/>
    <m/>
    <m/>
    <m/>
    <x v="0"/>
    <x v="0"/>
    <m/>
    <x v="0"/>
    <m/>
    <x v="0"/>
    <x v="0"/>
    <x v="0"/>
    <x v="0"/>
    <x v="0"/>
  </r>
  <r>
    <x v="0"/>
    <x v="5"/>
    <s v="1637 F"/>
    <x v="0"/>
    <s v="وارننگ FILA نیو"/>
    <s v="LDN"/>
    <n v="17"/>
    <s v="12"/>
    <s v="جیلانی شیٹ"/>
    <n v="600"/>
    <x v="0"/>
    <n v="4"/>
    <n v="288.2"/>
    <n v="8"/>
    <m/>
    <x v="0"/>
    <n v="280.2"/>
    <m/>
    <m/>
    <x v="0"/>
    <x v="0"/>
    <m/>
    <m/>
    <x v="0"/>
    <x v="0"/>
    <m/>
    <x v="0"/>
    <x v="0"/>
    <x v="0"/>
    <x v="0"/>
    <x v="0"/>
    <m/>
    <m/>
    <m/>
    <m/>
    <x v="0"/>
    <x v="0"/>
    <m/>
    <x v="0"/>
    <m/>
    <x v="0"/>
    <x v="0"/>
    <x v="0"/>
    <x v="0"/>
    <x v="0"/>
  </r>
  <r>
    <x v="0"/>
    <x v="5"/>
    <s v="1646 F"/>
    <x v="0"/>
    <s v="لفافہ SB"/>
    <s v="LDN"/>
    <n v="18"/>
    <s v="9-9.5"/>
    <s v="-"/>
    <n v="75"/>
    <x v="0"/>
    <n v="2"/>
    <n v="84.800000000000011"/>
    <n v="4.4000000000000004"/>
    <m/>
    <x v="0"/>
    <n v="80.400000000000006"/>
    <m/>
    <m/>
    <x v="0"/>
    <x v="0"/>
    <m/>
    <m/>
    <x v="0"/>
    <x v="0"/>
    <m/>
    <x v="0"/>
    <x v="0"/>
    <x v="0"/>
    <x v="0"/>
    <x v="0"/>
    <m/>
    <m/>
    <m/>
    <m/>
    <x v="0"/>
    <x v="0"/>
    <m/>
    <x v="0"/>
    <m/>
    <x v="0"/>
    <x v="0"/>
    <x v="0"/>
    <x v="0"/>
    <x v="0"/>
  </r>
  <r>
    <x v="1"/>
    <x v="5"/>
    <s v="1652 F"/>
    <x v="0"/>
    <s v=" PLAYFIT"/>
    <s v="LDN"/>
    <n v="19"/>
    <s v="12"/>
    <s v="-"/>
    <n v="400"/>
    <x v="0"/>
    <n v="6"/>
    <n v="394.52"/>
    <n v="14.399999999999999"/>
    <m/>
    <x v="0"/>
    <n v="380.12"/>
    <m/>
    <m/>
    <x v="0"/>
    <x v="0"/>
    <m/>
    <m/>
    <x v="0"/>
    <x v="0"/>
    <m/>
    <x v="0"/>
    <x v="0"/>
    <x v="0"/>
    <x v="0"/>
    <x v="0"/>
    <m/>
    <m/>
    <m/>
    <m/>
    <x v="0"/>
    <x v="0"/>
    <m/>
    <x v="0"/>
    <m/>
    <x v="0"/>
    <x v="0"/>
    <x v="0"/>
    <x v="0"/>
    <x v="0"/>
  </r>
  <r>
    <x v="0"/>
    <x v="0"/>
    <s v="2594 J"/>
    <x v="1"/>
    <s v="EMULITE 50MM"/>
    <s v="LD گولڈن پیلا"/>
    <s v="80MM"/>
    <s v="31-32"/>
    <s v="پیور"/>
    <n v="2500"/>
    <x v="0"/>
    <n v="4"/>
    <n v="152.39999999999998"/>
    <n v="2.4"/>
    <m/>
    <x v="0"/>
    <n v="149.99999999999997"/>
    <m/>
    <m/>
    <x v="0"/>
    <x v="0"/>
    <m/>
    <m/>
    <x v="0"/>
    <x v="0"/>
    <m/>
    <x v="0"/>
    <x v="0"/>
    <x v="0"/>
    <x v="0"/>
    <x v="0"/>
    <m/>
    <m/>
    <m/>
    <m/>
    <x v="0"/>
    <x v="0"/>
    <m/>
    <x v="0"/>
    <m/>
    <x v="0"/>
    <x v="0"/>
    <x v="0"/>
    <x v="0"/>
    <x v="0"/>
  </r>
  <r>
    <x v="1"/>
    <x v="0"/>
    <s v="2594 J"/>
    <x v="1"/>
    <s v="EMULITE 50MM"/>
    <s v="LD گولڈن پیلا"/>
    <s v="80MM"/>
    <s v="31-32"/>
    <s v="پیور"/>
    <n v="2500"/>
    <x v="0"/>
    <n v="3"/>
    <n v="137.6"/>
    <n v="1.9"/>
    <m/>
    <x v="0"/>
    <n v="135.69999999999999"/>
    <m/>
    <m/>
    <x v="0"/>
    <x v="0"/>
    <m/>
    <m/>
    <x v="0"/>
    <x v="0"/>
    <m/>
    <x v="0"/>
    <x v="0"/>
    <x v="0"/>
    <x v="0"/>
    <x v="0"/>
    <m/>
    <m/>
    <m/>
    <m/>
    <x v="0"/>
    <x v="0"/>
    <m/>
    <x v="0"/>
    <m/>
    <x v="0"/>
    <x v="0"/>
    <x v="0"/>
    <x v="0"/>
    <x v="0"/>
  </r>
  <r>
    <x v="0"/>
    <x v="3"/>
    <n v="2753"/>
    <x v="1"/>
    <s v="MATCO FOOD"/>
    <s v="LDN"/>
    <n v="23"/>
    <s v="70 G"/>
    <s v="SL"/>
    <n v="3500"/>
    <x v="0"/>
    <n v="4"/>
    <n v="404"/>
    <n v="11.700000000000001"/>
    <m/>
    <x v="0"/>
    <n v="392.3"/>
    <m/>
    <m/>
    <x v="0"/>
    <x v="0"/>
    <m/>
    <m/>
    <x v="0"/>
    <x v="0"/>
    <m/>
    <x v="0"/>
    <x v="0"/>
    <x v="0"/>
    <x v="0"/>
    <x v="0"/>
    <m/>
    <m/>
    <m/>
    <m/>
    <x v="0"/>
    <x v="0"/>
    <m/>
    <x v="0"/>
    <m/>
    <x v="0"/>
    <x v="0"/>
    <x v="0"/>
    <x v="0"/>
    <x v="0"/>
  </r>
  <r>
    <x v="1"/>
    <x v="3"/>
    <n v="2753"/>
    <x v="1"/>
    <s v="MATCO FOOD"/>
    <s v="LDN"/>
    <n v="23"/>
    <s v="70 G"/>
    <s v="SL"/>
    <n v="3500"/>
    <x v="0"/>
    <n v="4"/>
    <n v="381.6"/>
    <n v="11.6"/>
    <m/>
    <x v="0"/>
    <n v="370"/>
    <m/>
    <m/>
    <x v="0"/>
    <x v="0"/>
    <m/>
    <m/>
    <x v="0"/>
    <x v="0"/>
    <m/>
    <x v="0"/>
    <x v="0"/>
    <x v="0"/>
    <x v="0"/>
    <x v="0"/>
    <m/>
    <m/>
    <m/>
    <m/>
    <x v="0"/>
    <x v="0"/>
    <m/>
    <x v="0"/>
    <m/>
    <x v="0"/>
    <x v="0"/>
    <x v="0"/>
    <x v="0"/>
    <x v="0"/>
  </r>
  <r>
    <x v="0"/>
    <x v="4"/>
    <s v="9531 A"/>
    <x v="1"/>
    <s v="سادہ رول جیلانی پولی سٹاک"/>
    <s v="LDN"/>
    <s v="26 شیٹ"/>
    <s v="8-8.5/16-17"/>
    <s v="پیور"/>
    <n v="2000"/>
    <x v="0"/>
    <n v="2"/>
    <n v="198.39999999999998"/>
    <n v="7.2"/>
    <m/>
    <x v="0"/>
    <n v="191.2"/>
    <m/>
    <m/>
    <x v="0"/>
    <x v="0"/>
    <m/>
    <m/>
    <x v="0"/>
    <x v="0"/>
    <m/>
    <x v="0"/>
    <x v="0"/>
    <x v="0"/>
    <x v="0"/>
    <x v="0"/>
    <m/>
    <m/>
    <m/>
    <m/>
    <x v="0"/>
    <x v="0"/>
    <m/>
    <x v="0"/>
    <m/>
    <x v="0"/>
    <x v="0"/>
    <x v="0"/>
    <x v="0"/>
    <x v="0"/>
  </r>
  <r>
    <x v="0"/>
    <x v="4"/>
    <s v="2612 J"/>
    <x v="1"/>
    <s v="وارننگ REBELHORN"/>
    <s v="LDN"/>
    <n v="28"/>
    <n v="10"/>
    <s v="پیور"/>
    <n v="550"/>
    <x v="0"/>
    <n v="7"/>
    <n v="466.1"/>
    <n v="26.599999999999998"/>
    <n v="31"/>
    <x v="0"/>
    <n v="439.5"/>
    <m/>
    <m/>
    <x v="0"/>
    <x v="0"/>
    <m/>
    <m/>
    <x v="0"/>
    <x v="0"/>
    <m/>
    <x v="0"/>
    <x v="0"/>
    <x v="0"/>
    <x v="0"/>
    <x v="0"/>
    <m/>
    <m/>
    <m/>
    <m/>
    <x v="0"/>
    <x v="0"/>
    <m/>
    <x v="0"/>
    <m/>
    <x v="0"/>
    <x v="0"/>
    <x v="0"/>
    <x v="0"/>
    <x v="0"/>
  </r>
  <r>
    <x v="1"/>
    <x v="4"/>
    <s v="1648 F"/>
    <x v="1"/>
    <s v="OVS وارینگ"/>
    <s v="LDN"/>
    <n v="30"/>
    <s v="7-7.5"/>
    <s v="پیور"/>
    <n v="70"/>
    <x v="0"/>
    <n v="1"/>
    <n v="76.599999999999994"/>
    <n v="3.8"/>
    <n v="42"/>
    <x v="0"/>
    <n v="72.8"/>
    <m/>
    <m/>
    <x v="0"/>
    <x v="0"/>
    <m/>
    <m/>
    <x v="0"/>
    <x v="0"/>
    <m/>
    <x v="0"/>
    <x v="0"/>
    <x v="0"/>
    <x v="0"/>
    <x v="0"/>
    <m/>
    <m/>
    <m/>
    <m/>
    <x v="0"/>
    <x v="0"/>
    <m/>
    <x v="0"/>
    <m/>
    <x v="0"/>
    <x v="0"/>
    <x v="0"/>
    <x v="0"/>
    <x v="0"/>
  </r>
  <r>
    <x v="1"/>
    <x v="4"/>
    <s v="2612 J"/>
    <x v="1"/>
    <s v="وارننگ REBELHORN"/>
    <s v="LDN"/>
    <n v="28"/>
    <n v="10"/>
    <s v="پیور"/>
    <n v="550"/>
    <x v="0"/>
    <n v="2"/>
    <n v="120"/>
    <n v="7.2"/>
    <m/>
    <x v="0"/>
    <n v="112.8"/>
    <m/>
    <m/>
    <x v="0"/>
    <x v="0"/>
    <m/>
    <m/>
    <x v="0"/>
    <x v="0"/>
    <m/>
    <x v="0"/>
    <x v="0"/>
    <x v="0"/>
    <x v="0"/>
    <x v="0"/>
    <m/>
    <m/>
    <m/>
    <m/>
    <x v="0"/>
    <x v="0"/>
    <m/>
    <x v="0"/>
    <m/>
    <x v="0"/>
    <x v="0"/>
    <x v="0"/>
    <x v="0"/>
    <x v="0"/>
  </r>
  <r>
    <x v="1"/>
    <x v="4"/>
    <s v="2637 J"/>
    <x v="1"/>
    <s v="ہائی  کلا س فروٹ بریڈ"/>
    <s v="LDN"/>
    <s v="28 شیٹ"/>
    <s v="4-4.5/8-9"/>
    <s v="پیور"/>
    <n v="100"/>
    <x v="0"/>
    <n v="2"/>
    <n v="112.8"/>
    <n v="7.2"/>
    <m/>
    <x v="0"/>
    <n v="105.6"/>
    <m/>
    <m/>
    <x v="0"/>
    <x v="0"/>
    <m/>
    <m/>
    <x v="0"/>
    <x v="0"/>
    <m/>
    <x v="0"/>
    <x v="0"/>
    <x v="0"/>
    <x v="0"/>
    <x v="0"/>
    <m/>
    <m/>
    <m/>
    <m/>
    <x v="0"/>
    <x v="0"/>
    <m/>
    <x v="0"/>
    <m/>
    <x v="0"/>
    <x v="0"/>
    <x v="0"/>
    <x v="0"/>
    <x v="0"/>
  </r>
  <r>
    <x v="1"/>
    <x v="4"/>
    <s v="1642 F"/>
    <x v="1"/>
    <s v="15لینگویج وارننگ+لوگو"/>
    <s v="LDN"/>
    <n v="32"/>
    <s v="6-6.5"/>
    <s v="جیلانی شیٹ"/>
    <n v="675"/>
    <x v="0"/>
    <n v="3"/>
    <n v="228.20000000000002"/>
    <n v="11.8"/>
    <m/>
    <x v="0"/>
    <n v="216.4"/>
    <m/>
    <m/>
    <x v="0"/>
    <x v="0"/>
    <m/>
    <m/>
    <x v="0"/>
    <x v="0"/>
    <m/>
    <x v="0"/>
    <x v="0"/>
    <x v="0"/>
    <x v="0"/>
    <x v="0"/>
    <m/>
    <m/>
    <m/>
    <m/>
    <x v="0"/>
    <x v="0"/>
    <m/>
    <x v="0"/>
    <m/>
    <x v="0"/>
    <x v="0"/>
    <x v="0"/>
    <x v="0"/>
    <x v="0"/>
  </r>
  <r>
    <x v="1"/>
    <x v="4"/>
    <s v="2596 J"/>
    <x v="1"/>
    <s v="فریش ان رسک"/>
    <s v="LDN"/>
    <s v="40 شیٹ"/>
    <s v="-"/>
    <s v="پیور"/>
    <n v="100"/>
    <x v="0"/>
    <n v="2"/>
    <n v="98.6"/>
    <n v="10"/>
    <m/>
    <x v="0"/>
    <n v="88.6"/>
    <m/>
    <m/>
    <x v="0"/>
    <x v="0"/>
    <m/>
    <m/>
    <x v="0"/>
    <x v="0"/>
    <m/>
    <x v="0"/>
    <x v="0"/>
    <x v="0"/>
    <x v="0"/>
    <x v="0"/>
    <m/>
    <m/>
    <m/>
    <m/>
    <x v="0"/>
    <x v="0"/>
    <m/>
    <x v="0"/>
    <m/>
    <x v="0"/>
    <x v="0"/>
    <x v="0"/>
    <x v="0"/>
    <x v="0"/>
  </r>
  <r>
    <x v="1"/>
    <x v="4"/>
    <s v="2595 J"/>
    <x v="1"/>
    <s v="فریش ان بریڈ"/>
    <s v="LDN"/>
    <s v="28 شیٹ"/>
    <s v="-"/>
    <s v="پیور"/>
    <n v="100"/>
    <x v="0"/>
    <n v="2"/>
    <n v="114.80000000000001"/>
    <n v="7.2"/>
    <m/>
    <x v="0"/>
    <n v="107.60000000000001"/>
    <m/>
    <m/>
    <x v="0"/>
    <x v="0"/>
    <m/>
    <m/>
    <x v="0"/>
    <x v="0"/>
    <m/>
    <x v="0"/>
    <x v="0"/>
    <x v="0"/>
    <x v="0"/>
    <x v="0"/>
    <m/>
    <m/>
    <m/>
    <m/>
    <x v="0"/>
    <x v="0"/>
    <m/>
    <x v="0"/>
    <m/>
    <x v="0"/>
    <x v="0"/>
    <x v="0"/>
    <x v="0"/>
    <x v="0"/>
  </r>
  <r>
    <x v="0"/>
    <x v="5"/>
    <s v="1645 F"/>
    <x v="1"/>
    <s v="لفافہ SB"/>
    <s v="LDN"/>
    <n v="20"/>
    <s v="9-9.5"/>
    <s v="-"/>
    <n v="200"/>
    <x v="0"/>
    <n v="2"/>
    <n v="130.9"/>
    <n v="4.9000000000000004"/>
    <n v="6"/>
    <x v="0"/>
    <n v="126"/>
    <m/>
    <m/>
    <x v="0"/>
    <x v="0"/>
    <m/>
    <m/>
    <x v="0"/>
    <x v="0"/>
    <m/>
    <x v="0"/>
    <x v="0"/>
    <x v="0"/>
    <x v="0"/>
    <x v="0"/>
    <m/>
    <m/>
    <m/>
    <m/>
    <x v="0"/>
    <x v="0"/>
    <m/>
    <x v="0"/>
    <m/>
    <x v="0"/>
    <x v="0"/>
    <x v="0"/>
    <x v="0"/>
    <x v="0"/>
  </r>
  <r>
    <x v="0"/>
    <x v="5"/>
    <s v="2577 J"/>
    <x v="1"/>
    <s v="سادہ لفافہ کیکس اینڈ بیکس بیکری یونٹ"/>
    <s v="LDN"/>
    <n v="20"/>
    <s v="14-15"/>
    <s v="پیور"/>
    <n v="25"/>
    <x v="0"/>
    <n v="1"/>
    <n v="31.4"/>
    <n v="2.4"/>
    <m/>
    <x v="0"/>
    <n v="29"/>
    <m/>
    <m/>
    <x v="0"/>
    <x v="0"/>
    <m/>
    <m/>
    <x v="0"/>
    <x v="0"/>
    <m/>
    <x v="0"/>
    <x v="0"/>
    <x v="0"/>
    <x v="0"/>
    <x v="0"/>
    <m/>
    <m/>
    <m/>
    <m/>
    <x v="0"/>
    <x v="0"/>
    <m/>
    <x v="0"/>
    <m/>
    <x v="0"/>
    <x v="0"/>
    <x v="0"/>
    <x v="0"/>
    <x v="0"/>
  </r>
  <r>
    <x v="0"/>
    <x v="5"/>
    <s v="2578 J"/>
    <x v="1"/>
    <s v="نواب ٹیکسٹائل"/>
    <s v="LDN"/>
    <n v="20"/>
    <n v="11"/>
    <s v="پیور"/>
    <n v="100"/>
    <x v="0"/>
    <n v="3"/>
    <n v="182.2"/>
    <n v="7.5"/>
    <m/>
    <x v="0"/>
    <n v="174.7"/>
    <m/>
    <m/>
    <x v="0"/>
    <x v="0"/>
    <m/>
    <m/>
    <x v="0"/>
    <x v="0"/>
    <m/>
    <x v="0"/>
    <x v="0"/>
    <x v="0"/>
    <x v="0"/>
    <x v="0"/>
    <m/>
    <m/>
    <m/>
    <m/>
    <x v="0"/>
    <x v="0"/>
    <m/>
    <x v="0"/>
    <m/>
    <x v="0"/>
    <x v="0"/>
    <x v="0"/>
    <x v="0"/>
    <x v="0"/>
  </r>
  <r>
    <x v="0"/>
    <x v="5"/>
    <s v="1653 F"/>
    <x v="1"/>
    <s v="ری سائیکل وارننگ + لوگو "/>
    <s v="LDN"/>
    <n v="23"/>
    <s v="6-6.5"/>
    <s v="-"/>
    <n v="130"/>
    <x v="0"/>
    <n v="2"/>
    <n v="75.599999999999994"/>
    <n v="5.6999999999999993"/>
    <m/>
    <x v="0"/>
    <n v="69.899999999999991"/>
    <m/>
    <m/>
    <x v="0"/>
    <x v="0"/>
    <m/>
    <m/>
    <x v="0"/>
    <x v="0"/>
    <m/>
    <x v="0"/>
    <x v="0"/>
    <x v="0"/>
    <x v="0"/>
    <x v="0"/>
    <m/>
    <m/>
    <m/>
    <m/>
    <x v="0"/>
    <x v="0"/>
    <m/>
    <x v="0"/>
    <m/>
    <x v="0"/>
    <x v="0"/>
    <x v="0"/>
    <x v="0"/>
    <x v="0"/>
  </r>
  <r>
    <x v="1"/>
    <x v="5"/>
    <s v="1653 F"/>
    <x v="1"/>
    <s v="ری سائیکل وارننگ + لوگو "/>
    <s v="LDN"/>
    <n v="23"/>
    <s v="6-6.5"/>
    <s v="-"/>
    <n v="130"/>
    <x v="0"/>
    <n v="1"/>
    <n v="57.4"/>
    <n v="2.9"/>
    <n v="18"/>
    <x v="0"/>
    <n v="54.5"/>
    <m/>
    <m/>
    <x v="0"/>
    <x v="0"/>
    <m/>
    <m/>
    <x v="0"/>
    <x v="0"/>
    <m/>
    <x v="0"/>
    <x v="0"/>
    <x v="0"/>
    <x v="0"/>
    <x v="0"/>
    <m/>
    <m/>
    <m/>
    <m/>
    <x v="0"/>
    <x v="0"/>
    <m/>
    <x v="0"/>
    <m/>
    <x v="0"/>
    <x v="0"/>
    <x v="0"/>
    <x v="0"/>
    <x v="0"/>
  </r>
  <r>
    <x v="1"/>
    <x v="5"/>
    <s v="1661 F"/>
    <x v="1"/>
    <s v="ری سائیکل  لوگو "/>
    <s v="LDN"/>
    <n v="16"/>
    <s v="7-7.5"/>
    <s v="جیلانی شیٹ"/>
    <n v="45"/>
    <x v="0"/>
    <n v="1"/>
    <n v="42.4"/>
    <n v="1.2"/>
    <m/>
    <x v="0"/>
    <n v="41.199999999999996"/>
    <m/>
    <m/>
    <x v="0"/>
    <x v="0"/>
    <m/>
    <m/>
    <x v="0"/>
    <x v="0"/>
    <m/>
    <x v="0"/>
    <x v="0"/>
    <x v="0"/>
    <x v="0"/>
    <x v="0"/>
    <m/>
    <m/>
    <m/>
    <m/>
    <x v="0"/>
    <x v="0"/>
    <m/>
    <x v="0"/>
    <m/>
    <x v="0"/>
    <x v="0"/>
    <x v="0"/>
    <x v="0"/>
    <x v="0"/>
  </r>
  <r>
    <x v="1"/>
    <x v="5"/>
    <s v="1662 F"/>
    <x v="1"/>
    <s v="REFRIGUE وارننگ"/>
    <s v="LDN"/>
    <n v="18"/>
    <s v="6-6.5"/>
    <s v="جیلانی شیٹ"/>
    <n v="35"/>
    <x v="0"/>
    <n v="1"/>
    <n v="51.5"/>
    <n v="2"/>
    <m/>
    <x v="0"/>
    <n v="49.5"/>
    <m/>
    <m/>
    <x v="0"/>
    <x v="0"/>
    <m/>
    <m/>
    <x v="0"/>
    <x v="0"/>
    <m/>
    <x v="0"/>
    <x v="0"/>
    <x v="0"/>
    <x v="0"/>
    <x v="0"/>
    <m/>
    <m/>
    <m/>
    <m/>
    <x v="0"/>
    <x v="0"/>
    <m/>
    <x v="0"/>
    <m/>
    <x v="0"/>
    <x v="0"/>
    <x v="0"/>
    <x v="0"/>
    <x v="0"/>
  </r>
  <r>
    <x v="1"/>
    <x v="5"/>
    <s v="1658 F"/>
    <x v="1"/>
    <s v=" MATHEWS وارننگ"/>
    <s v="LDN"/>
    <n v="18"/>
    <s v="7-7.5"/>
    <s v="پیور"/>
    <n v="45"/>
    <x v="0"/>
    <n v="3"/>
    <n v="160.39999999999998"/>
    <n v="6.6000000000000005"/>
    <m/>
    <x v="0"/>
    <n v="153.79999999999998"/>
    <m/>
    <m/>
    <x v="0"/>
    <x v="0"/>
    <m/>
    <m/>
    <x v="0"/>
    <x v="0"/>
    <m/>
    <x v="0"/>
    <x v="0"/>
    <x v="0"/>
    <x v="0"/>
    <x v="0"/>
    <m/>
    <m/>
    <m/>
    <m/>
    <x v="0"/>
    <x v="0"/>
    <m/>
    <x v="0"/>
    <m/>
    <x v="0"/>
    <x v="0"/>
    <x v="0"/>
    <x v="0"/>
    <x v="0"/>
  </r>
  <r>
    <x v="1"/>
    <x v="5"/>
    <s v="1630 F"/>
    <x v="1"/>
    <s v="WALMART چھوٹی وارننگ"/>
    <s v="LDN"/>
    <n v="18"/>
    <s v="8"/>
    <s v="پیور"/>
    <n v="130"/>
    <x v="0"/>
    <n v="1"/>
    <n v="47"/>
    <n v="2.2000000000000002"/>
    <m/>
    <x v="0"/>
    <n v="44.8"/>
    <m/>
    <m/>
    <x v="0"/>
    <x v="0"/>
    <m/>
    <m/>
    <x v="0"/>
    <x v="0"/>
    <m/>
    <x v="0"/>
    <x v="0"/>
    <x v="0"/>
    <x v="0"/>
    <x v="0"/>
    <m/>
    <m/>
    <m/>
    <m/>
    <x v="0"/>
    <x v="0"/>
    <m/>
    <x v="0"/>
    <m/>
    <x v="0"/>
    <x v="0"/>
    <x v="0"/>
    <x v="0"/>
    <x v="0"/>
  </r>
  <r>
    <x v="0"/>
    <x v="0"/>
    <s v="2594 J"/>
    <x v="2"/>
    <s v="EMULITE 50MM"/>
    <s v="LD گولڈن پیلا"/>
    <s v="80MM"/>
    <s v="31-32"/>
    <s v="پیور"/>
    <n v="2500"/>
    <x v="0"/>
    <n v="3"/>
    <n v="140.60000000000002"/>
    <n v="1.7999999999999998"/>
    <m/>
    <x v="0"/>
    <n v="138.80000000000001"/>
    <m/>
    <m/>
    <x v="0"/>
    <x v="0"/>
    <m/>
    <m/>
    <x v="0"/>
    <x v="0"/>
    <m/>
    <x v="0"/>
    <x v="0"/>
    <x v="0"/>
    <x v="0"/>
    <x v="0"/>
    <m/>
    <m/>
    <m/>
    <m/>
    <x v="0"/>
    <x v="0"/>
    <m/>
    <x v="0"/>
    <m/>
    <x v="0"/>
    <x v="0"/>
    <x v="0"/>
    <x v="0"/>
    <x v="0"/>
  </r>
  <r>
    <x v="1"/>
    <x v="0"/>
    <s v="2594 J"/>
    <x v="2"/>
    <s v="EMULITE 50MM"/>
    <s v="LD گولڈن پیلا"/>
    <s v="80MM"/>
    <s v="31-32"/>
    <s v="پیور"/>
    <n v="2500"/>
    <x v="0"/>
    <n v="2"/>
    <n v="110.19999999999999"/>
    <n v="1.8"/>
    <m/>
    <x v="0"/>
    <n v="108.39999999999999"/>
    <m/>
    <m/>
    <x v="0"/>
    <x v="0"/>
    <m/>
    <m/>
    <x v="0"/>
    <x v="0"/>
    <m/>
    <x v="0"/>
    <x v="0"/>
    <x v="0"/>
    <x v="0"/>
    <x v="0"/>
    <m/>
    <m/>
    <m/>
    <m/>
    <x v="0"/>
    <x v="0"/>
    <m/>
    <x v="0"/>
    <m/>
    <x v="0"/>
    <x v="0"/>
    <x v="0"/>
    <x v="0"/>
    <x v="0"/>
  </r>
  <r>
    <x v="0"/>
    <x v="3"/>
    <n v="2753"/>
    <x v="2"/>
    <s v="MATCO FOOD"/>
    <s v="LDN"/>
    <n v="23"/>
    <s v="70 G"/>
    <s v="SL"/>
    <n v="3500"/>
    <x v="0"/>
    <n v="3"/>
    <n v="359"/>
    <n v="8.6999999999999993"/>
    <m/>
    <x v="0"/>
    <n v="350.3"/>
    <m/>
    <m/>
    <x v="0"/>
    <x v="0"/>
    <m/>
    <m/>
    <x v="0"/>
    <x v="0"/>
    <m/>
    <x v="0"/>
    <x v="0"/>
    <x v="0"/>
    <x v="0"/>
    <x v="0"/>
    <m/>
    <m/>
    <m/>
    <m/>
    <x v="0"/>
    <x v="0"/>
    <m/>
    <x v="0"/>
    <m/>
    <x v="0"/>
    <x v="0"/>
    <x v="0"/>
    <x v="0"/>
    <x v="0"/>
  </r>
  <r>
    <x v="1"/>
    <x v="3"/>
    <n v="2753"/>
    <x v="2"/>
    <s v="MATCO FOOD"/>
    <s v="LDN"/>
    <n v="23"/>
    <s v="70 G"/>
    <s v="SL"/>
    <n v="3500"/>
    <x v="0"/>
    <n v="3"/>
    <n v="268.8"/>
    <n v="8.6999999999999993"/>
    <n v="18"/>
    <x v="0"/>
    <n v="260.10000000000002"/>
    <m/>
    <m/>
    <x v="0"/>
    <x v="0"/>
    <m/>
    <m/>
    <x v="0"/>
    <x v="0"/>
    <m/>
    <x v="0"/>
    <x v="0"/>
    <x v="0"/>
    <x v="0"/>
    <x v="0"/>
    <m/>
    <m/>
    <m/>
    <m/>
    <x v="0"/>
    <x v="0"/>
    <m/>
    <x v="0"/>
    <m/>
    <x v="0"/>
    <x v="0"/>
    <x v="0"/>
    <x v="0"/>
    <x v="0"/>
  </r>
  <r>
    <x v="1"/>
    <x v="3"/>
    <s v="2561 J"/>
    <x v="2"/>
    <s v="سادہ لفافہ ڈبل ٹریٹ معیز ٹریڈرز"/>
    <s v="LDN"/>
    <n v="10"/>
    <s v="9.5-10"/>
    <s v="پیور"/>
    <n v="1000"/>
    <x v="0"/>
    <n v="1"/>
    <n v="21"/>
    <n v="1.2"/>
    <m/>
    <x v="0"/>
    <n v="19.8"/>
    <m/>
    <m/>
    <x v="0"/>
    <x v="0"/>
    <m/>
    <m/>
    <x v="0"/>
    <x v="0"/>
    <m/>
    <x v="0"/>
    <x v="0"/>
    <x v="0"/>
    <x v="0"/>
    <x v="0"/>
    <m/>
    <m/>
    <m/>
    <m/>
    <x v="0"/>
    <x v="0"/>
    <m/>
    <x v="0"/>
    <m/>
    <x v="0"/>
    <x v="0"/>
    <x v="0"/>
    <x v="0"/>
    <x v="0"/>
  </r>
  <r>
    <x v="0"/>
    <x v="4"/>
    <s v="1642 F"/>
    <x v="2"/>
    <s v="15لینگویج وارننگ+لوگو"/>
    <s v="LDN"/>
    <n v="32"/>
    <s v="6-6.5"/>
    <s v="جیلانی شیٹ"/>
    <n v="675"/>
    <x v="0"/>
    <n v="7"/>
    <n v="495.3"/>
    <n v="28"/>
    <n v="31"/>
    <x v="0"/>
    <n v="467.3"/>
    <m/>
    <m/>
    <x v="0"/>
    <x v="0"/>
    <m/>
    <m/>
    <x v="0"/>
    <x v="0"/>
    <m/>
    <x v="0"/>
    <x v="0"/>
    <x v="0"/>
    <x v="0"/>
    <x v="0"/>
    <m/>
    <m/>
    <m/>
    <m/>
    <x v="0"/>
    <x v="0"/>
    <m/>
    <x v="0"/>
    <m/>
    <x v="0"/>
    <x v="0"/>
    <x v="0"/>
    <x v="0"/>
    <x v="0"/>
  </r>
  <r>
    <x v="0"/>
    <x v="4"/>
    <s v="1639 F"/>
    <x v="2"/>
    <s v="سادہ لفافہ"/>
    <s v="LDN"/>
    <n v="31"/>
    <s v="12"/>
    <s v="پیور"/>
    <n v="350"/>
    <x v="0"/>
    <n v="5"/>
    <n v="371.40000000000003"/>
    <n v="19.2"/>
    <m/>
    <x v="0"/>
    <n v="352.20000000000005"/>
    <m/>
    <m/>
    <x v="0"/>
    <x v="0"/>
    <m/>
    <m/>
    <x v="0"/>
    <x v="0"/>
    <m/>
    <x v="0"/>
    <x v="0"/>
    <x v="0"/>
    <x v="0"/>
    <x v="0"/>
    <m/>
    <m/>
    <m/>
    <m/>
    <x v="0"/>
    <x v="0"/>
    <m/>
    <x v="0"/>
    <m/>
    <x v="0"/>
    <x v="0"/>
    <x v="0"/>
    <x v="0"/>
    <x v="0"/>
  </r>
  <r>
    <x v="1"/>
    <x v="4"/>
    <s v="2597 J"/>
    <x v="2"/>
    <s v="السہارا"/>
    <s v="LDN"/>
    <n v="22"/>
    <s v="4.5-5"/>
    <s v="پیور"/>
    <n v="100"/>
    <x v="0"/>
    <n v="2"/>
    <n v="103.4"/>
    <n v="5.6"/>
    <n v="18"/>
    <x v="0"/>
    <n v="97.800000000000011"/>
    <m/>
    <m/>
    <x v="0"/>
    <x v="0"/>
    <m/>
    <m/>
    <x v="0"/>
    <x v="0"/>
    <m/>
    <x v="0"/>
    <x v="0"/>
    <x v="0"/>
    <x v="0"/>
    <x v="0"/>
    <m/>
    <m/>
    <m/>
    <m/>
    <x v="0"/>
    <x v="0"/>
    <m/>
    <x v="0"/>
    <m/>
    <x v="0"/>
    <x v="0"/>
    <x v="0"/>
    <x v="0"/>
    <x v="0"/>
  </r>
  <r>
    <x v="1"/>
    <x v="4"/>
    <s v="2598 J"/>
    <x v="2"/>
    <s v="السہارا"/>
    <s v="LDN"/>
    <n v="22"/>
    <s v="4.5-5"/>
    <s v="پیور"/>
    <n v="100"/>
    <x v="0"/>
    <n v="2"/>
    <n v="96.6"/>
    <n v="5.4"/>
    <m/>
    <x v="0"/>
    <n v="91.199999999999989"/>
    <m/>
    <m/>
    <x v="0"/>
    <x v="0"/>
    <m/>
    <m/>
    <x v="0"/>
    <x v="0"/>
    <m/>
    <x v="0"/>
    <x v="0"/>
    <x v="0"/>
    <x v="0"/>
    <x v="0"/>
    <m/>
    <m/>
    <m/>
    <m/>
    <x v="0"/>
    <x v="0"/>
    <m/>
    <x v="0"/>
    <m/>
    <x v="0"/>
    <x v="0"/>
    <x v="0"/>
    <x v="0"/>
    <x v="0"/>
  </r>
  <r>
    <x v="1"/>
    <x v="4"/>
    <s v="1629 F"/>
    <x v="2"/>
    <s v="WALMART بڑا بلاک"/>
    <s v="LDN"/>
    <n v="22"/>
    <s v="8"/>
    <s v="پیور"/>
    <n v="135"/>
    <x v="0"/>
    <n v="2"/>
    <n v="135.4"/>
    <n v="5.6"/>
    <m/>
    <x v="0"/>
    <n v="129.80000000000001"/>
    <m/>
    <m/>
    <x v="0"/>
    <x v="0"/>
    <m/>
    <m/>
    <x v="0"/>
    <x v="0"/>
    <m/>
    <x v="0"/>
    <x v="0"/>
    <x v="0"/>
    <x v="0"/>
    <x v="0"/>
    <m/>
    <m/>
    <m/>
    <m/>
    <x v="0"/>
    <x v="0"/>
    <m/>
    <x v="0"/>
    <m/>
    <x v="0"/>
    <x v="0"/>
    <x v="0"/>
    <x v="0"/>
    <x v="0"/>
  </r>
  <r>
    <x v="1"/>
    <x v="4"/>
    <s v="2561 J"/>
    <x v="2"/>
    <s v="سادہ لفافہ ڈبل ٹریٹ معیز ٹریڈرز"/>
    <s v="LDN"/>
    <n v="10"/>
    <s v="9.5-10"/>
    <s v="پیور"/>
    <n v="1000"/>
    <x v="0"/>
    <n v="2"/>
    <n v="79.400000000000006"/>
    <n v="2.4"/>
    <m/>
    <x v="0"/>
    <n v="77"/>
    <m/>
    <m/>
    <x v="0"/>
    <x v="0"/>
    <m/>
    <m/>
    <x v="0"/>
    <x v="0"/>
    <m/>
    <x v="0"/>
    <x v="0"/>
    <x v="0"/>
    <x v="0"/>
    <x v="0"/>
    <m/>
    <m/>
    <m/>
    <m/>
    <x v="0"/>
    <x v="0"/>
    <m/>
    <x v="0"/>
    <m/>
    <x v="0"/>
    <x v="0"/>
    <x v="0"/>
    <x v="0"/>
    <x v="0"/>
  </r>
  <r>
    <x v="0"/>
    <x v="5"/>
    <s v="1630 F"/>
    <x v="2"/>
    <s v="WALMART چھوٹی وارننگ"/>
    <s v="LDN"/>
    <n v="18"/>
    <s v="8"/>
    <s v="پیور"/>
    <n v="130"/>
    <x v="0"/>
    <n v="3"/>
    <n v="167.60000000000002"/>
    <n v="6.2"/>
    <n v="4.8"/>
    <x v="0"/>
    <n v="161.40000000000003"/>
    <m/>
    <m/>
    <x v="0"/>
    <x v="0"/>
    <m/>
    <m/>
    <x v="0"/>
    <x v="0"/>
    <m/>
    <x v="0"/>
    <x v="0"/>
    <x v="0"/>
    <x v="0"/>
    <x v="0"/>
    <m/>
    <m/>
    <m/>
    <m/>
    <x v="0"/>
    <x v="0"/>
    <m/>
    <x v="0"/>
    <m/>
    <x v="0"/>
    <x v="0"/>
    <x v="0"/>
    <x v="0"/>
    <x v="0"/>
  </r>
  <r>
    <x v="0"/>
    <x v="5"/>
    <s v="1647 F"/>
    <x v="2"/>
    <s v="لفافہ SB"/>
    <s v="LDN"/>
    <n v="12"/>
    <s v="9-9.5"/>
    <s v="-"/>
    <n v="75"/>
    <x v="0"/>
    <n v="2"/>
    <n v="97.2"/>
    <n v="2.9"/>
    <m/>
    <x v="0"/>
    <n v="94.3"/>
    <m/>
    <m/>
    <x v="0"/>
    <x v="0"/>
    <m/>
    <m/>
    <x v="0"/>
    <x v="0"/>
    <m/>
    <x v="0"/>
    <x v="0"/>
    <x v="0"/>
    <x v="0"/>
    <x v="0"/>
    <m/>
    <m/>
    <m/>
    <m/>
    <x v="0"/>
    <x v="0"/>
    <m/>
    <x v="0"/>
    <m/>
    <x v="0"/>
    <x v="0"/>
    <x v="0"/>
    <x v="0"/>
    <x v="0"/>
  </r>
  <r>
    <x v="0"/>
    <x v="5"/>
    <s v="2583 J"/>
    <x v="2"/>
    <s v="یو اینڈ ٹی جینئین پارٹس"/>
    <s v="LDN"/>
    <n v="12"/>
    <s v="12-12.5"/>
    <s v="پیور"/>
    <n v="100"/>
    <x v="0"/>
    <n v="1"/>
    <n v="49.8"/>
    <n v="1.4"/>
    <m/>
    <x v="0"/>
    <n v="48.4"/>
    <m/>
    <m/>
    <x v="0"/>
    <x v="0"/>
    <m/>
    <m/>
    <x v="0"/>
    <x v="0"/>
    <m/>
    <x v="0"/>
    <x v="0"/>
    <x v="0"/>
    <x v="0"/>
    <x v="0"/>
    <m/>
    <m/>
    <m/>
    <m/>
    <x v="0"/>
    <x v="0"/>
    <m/>
    <x v="0"/>
    <m/>
    <x v="0"/>
    <x v="0"/>
    <x v="0"/>
    <x v="0"/>
    <x v="0"/>
  </r>
  <r>
    <x v="1"/>
    <x v="5"/>
    <s v="2583 J"/>
    <x v="2"/>
    <s v="یو اینڈ ٹی جینئین پارٹس"/>
    <s v="LDN"/>
    <n v="12"/>
    <s v="12-12.5"/>
    <s v="پیور"/>
    <n v="100"/>
    <x v="0"/>
    <n v="1"/>
    <n v="59.4"/>
    <n v="1.4"/>
    <n v="4.8"/>
    <x v="0"/>
    <n v="58"/>
    <m/>
    <m/>
    <x v="0"/>
    <x v="0"/>
    <m/>
    <m/>
    <x v="0"/>
    <x v="0"/>
    <m/>
    <x v="0"/>
    <x v="0"/>
    <x v="0"/>
    <x v="0"/>
    <x v="0"/>
    <m/>
    <m/>
    <m/>
    <m/>
    <x v="0"/>
    <x v="0"/>
    <m/>
    <x v="0"/>
    <m/>
    <x v="0"/>
    <x v="0"/>
    <x v="0"/>
    <x v="0"/>
    <x v="0"/>
  </r>
  <r>
    <x v="1"/>
    <x v="5"/>
    <s v="2673 J"/>
    <x v="2"/>
    <s v="سادہ لفافہ بندوخاں"/>
    <s v="LDN"/>
    <n v="16"/>
    <s v="8-8.5"/>
    <s v="پیور"/>
    <n v="500"/>
    <x v="0"/>
    <n v="7"/>
    <n v="374.44"/>
    <n v="14"/>
    <m/>
    <x v="0"/>
    <n v="360.44"/>
    <m/>
    <m/>
    <x v="0"/>
    <x v="0"/>
    <m/>
    <m/>
    <x v="0"/>
    <x v="0"/>
    <m/>
    <x v="0"/>
    <x v="0"/>
    <x v="0"/>
    <x v="0"/>
    <x v="0"/>
    <m/>
    <m/>
    <m/>
    <m/>
    <x v="0"/>
    <x v="0"/>
    <m/>
    <x v="0"/>
    <m/>
    <x v="0"/>
    <x v="0"/>
    <x v="0"/>
    <x v="0"/>
    <x v="0"/>
  </r>
  <r>
    <x v="0"/>
    <x v="3"/>
    <s v="2594 J"/>
    <x v="3"/>
    <s v="EMULITE 50MM"/>
    <s v="LD گولڈن پیلا"/>
    <s v="80MM"/>
    <s v="31-32"/>
    <s v="پیور"/>
    <n v="2500"/>
    <x v="0"/>
    <n v="2"/>
    <n v="56"/>
    <n v="0.89999999999999991"/>
    <m/>
    <x v="0"/>
    <n v="55.1"/>
    <m/>
    <m/>
    <x v="0"/>
    <x v="0"/>
    <m/>
    <m/>
    <x v="0"/>
    <x v="0"/>
    <m/>
    <x v="0"/>
    <x v="0"/>
    <x v="0"/>
    <x v="0"/>
    <x v="0"/>
    <m/>
    <m/>
    <m/>
    <m/>
    <x v="0"/>
    <x v="0"/>
    <m/>
    <x v="0"/>
    <m/>
    <x v="0"/>
    <x v="0"/>
    <x v="0"/>
    <x v="0"/>
    <x v="0"/>
  </r>
  <r>
    <x v="0"/>
    <x v="3"/>
    <n v="2753"/>
    <x v="3"/>
    <s v="MATCO FOOD"/>
    <s v="LDN"/>
    <n v="23"/>
    <s v="70 G"/>
    <s v="SL"/>
    <n v="3500"/>
    <x v="0"/>
    <n v="3"/>
    <n v="347.8"/>
    <n v="8.6999999999999993"/>
    <m/>
    <x v="0"/>
    <n v="339.1"/>
    <m/>
    <m/>
    <x v="0"/>
    <x v="0"/>
    <m/>
    <m/>
    <x v="0"/>
    <x v="0"/>
    <m/>
    <x v="0"/>
    <x v="0"/>
    <x v="0"/>
    <x v="0"/>
    <x v="0"/>
    <m/>
    <m/>
    <m/>
    <m/>
    <x v="0"/>
    <x v="0"/>
    <m/>
    <x v="0"/>
    <m/>
    <x v="0"/>
    <x v="0"/>
    <x v="0"/>
    <x v="0"/>
    <x v="0"/>
  </r>
  <r>
    <x v="1"/>
    <x v="3"/>
    <n v="2753"/>
    <x v="3"/>
    <s v="MATCO FOOD"/>
    <s v="LDN"/>
    <n v="23"/>
    <s v="70 G"/>
    <s v="SL"/>
    <n v="3500"/>
    <x v="0"/>
    <n v="4"/>
    <n v="372.8"/>
    <n v="11.6"/>
    <m/>
    <x v="0"/>
    <n v="361.2"/>
    <m/>
    <m/>
    <x v="0"/>
    <x v="0"/>
    <m/>
    <m/>
    <x v="0"/>
    <x v="0"/>
    <m/>
    <x v="0"/>
    <x v="0"/>
    <x v="0"/>
    <x v="0"/>
    <x v="0"/>
    <m/>
    <m/>
    <m/>
    <m/>
    <x v="0"/>
    <x v="0"/>
    <m/>
    <x v="0"/>
    <m/>
    <x v="0"/>
    <x v="0"/>
    <x v="0"/>
    <x v="0"/>
    <x v="0"/>
  </r>
  <r>
    <x v="0"/>
    <x v="4"/>
    <s v="2615 J"/>
    <x v="3"/>
    <s v="پاک پلاسٹک"/>
    <s v="LDN"/>
    <n v="17"/>
    <s v="13-13.5"/>
    <s v="پیور"/>
    <n v="200"/>
    <x v="0"/>
    <n v="3"/>
    <n v="216.8"/>
    <n v="6"/>
    <n v="35"/>
    <x v="0"/>
    <n v="210.8"/>
    <m/>
    <m/>
    <x v="0"/>
    <x v="0"/>
    <m/>
    <m/>
    <x v="0"/>
    <x v="0"/>
    <m/>
    <x v="0"/>
    <x v="0"/>
    <x v="0"/>
    <x v="0"/>
    <x v="0"/>
    <m/>
    <m/>
    <m/>
    <m/>
    <x v="0"/>
    <x v="0"/>
    <m/>
    <x v="0"/>
    <m/>
    <x v="0"/>
    <x v="0"/>
    <x v="0"/>
    <x v="0"/>
    <x v="0"/>
  </r>
  <r>
    <x v="0"/>
    <x v="4"/>
    <s v="2561 J"/>
    <x v="3"/>
    <s v="سادہ لفافہ ڈبل ٹریٹ معیز ٹریڈرز"/>
    <s v="LDN"/>
    <n v="10"/>
    <s v="9.5-10"/>
    <s v="پیور"/>
    <n v="1000"/>
    <x v="0"/>
    <n v="2"/>
    <n v="60.4"/>
    <n v="2.4"/>
    <m/>
    <x v="0"/>
    <n v="58"/>
    <m/>
    <m/>
    <x v="0"/>
    <x v="0"/>
    <m/>
    <m/>
    <x v="0"/>
    <x v="0"/>
    <m/>
    <x v="0"/>
    <x v="0"/>
    <x v="0"/>
    <x v="0"/>
    <x v="0"/>
    <m/>
    <m/>
    <m/>
    <m/>
    <x v="0"/>
    <x v="0"/>
    <m/>
    <x v="0"/>
    <m/>
    <x v="0"/>
    <x v="0"/>
    <x v="0"/>
    <x v="0"/>
    <x v="0"/>
  </r>
  <r>
    <x v="0"/>
    <x v="4"/>
    <s v="1644 F"/>
    <x v="3"/>
    <s v="15لینگویج وارننگ+لوگو"/>
    <s v="LDN"/>
    <s v="31+7+7"/>
    <s v="7-7.5/14-15"/>
    <s v="جیلانی شیٹ"/>
    <n v="615"/>
    <x v="0"/>
    <n v="7"/>
    <n v="458.50000000000006"/>
    <n v="28"/>
    <m/>
    <x v="0"/>
    <n v="430.50000000000006"/>
    <m/>
    <m/>
    <x v="0"/>
    <x v="0"/>
    <m/>
    <m/>
    <x v="0"/>
    <x v="0"/>
    <m/>
    <x v="0"/>
    <x v="0"/>
    <x v="0"/>
    <x v="0"/>
    <x v="0"/>
    <m/>
    <m/>
    <m/>
    <m/>
    <x v="0"/>
    <x v="0"/>
    <m/>
    <x v="0"/>
    <m/>
    <x v="0"/>
    <x v="0"/>
    <x v="0"/>
    <x v="0"/>
    <x v="0"/>
  </r>
  <r>
    <x v="1"/>
    <x v="4"/>
    <s v="1644 F"/>
    <x v="3"/>
    <s v="15لینگویج وارننگ+لوگو"/>
    <s v="LDN"/>
    <s v="31+7+7"/>
    <s v="7-7.5/14-15"/>
    <s v="جیلانی شیٹ"/>
    <n v="615"/>
    <x v="0"/>
    <n v="2"/>
    <n v="120.2"/>
    <n v="7.8"/>
    <m/>
    <x v="0"/>
    <n v="112.4"/>
    <m/>
    <m/>
    <x v="0"/>
    <x v="0"/>
    <m/>
    <m/>
    <x v="0"/>
    <x v="0"/>
    <m/>
    <x v="0"/>
    <x v="0"/>
    <x v="0"/>
    <x v="0"/>
    <x v="0"/>
    <m/>
    <m/>
    <m/>
    <m/>
    <x v="0"/>
    <x v="0"/>
    <m/>
    <x v="0"/>
    <m/>
    <x v="0"/>
    <x v="0"/>
    <x v="0"/>
    <x v="0"/>
    <x v="0"/>
  </r>
  <r>
    <x v="1"/>
    <x v="4"/>
    <s v="1643 F"/>
    <x v="3"/>
    <s v="15لینگویج وارننگ+لوگو"/>
    <s v="LDN"/>
    <s v="30+5+5"/>
    <s v="7-7.5/14-15"/>
    <s v="جیلانی شیٹ"/>
    <n v="350"/>
    <x v="0"/>
    <n v="6"/>
    <n v="374.2"/>
    <n v="22.799999999999997"/>
    <m/>
    <x v="0"/>
    <n v="351.4"/>
    <m/>
    <m/>
    <x v="0"/>
    <x v="0"/>
    <m/>
    <m/>
    <x v="0"/>
    <x v="0"/>
    <m/>
    <x v="0"/>
    <x v="0"/>
    <x v="0"/>
    <x v="0"/>
    <x v="0"/>
    <m/>
    <m/>
    <m/>
    <m/>
    <x v="0"/>
    <x v="0"/>
    <m/>
    <x v="0"/>
    <m/>
    <x v="0"/>
    <x v="0"/>
    <x v="0"/>
    <x v="0"/>
    <x v="0"/>
  </r>
  <r>
    <x v="1"/>
    <x v="4"/>
    <s v="1666 F"/>
    <x v="3"/>
    <s v="ملکی بریڈ لارج فریش اینڈ فائن"/>
    <s v="LDN"/>
    <s v="37 شیٹ"/>
    <s v="4/8"/>
    <s v="پیور"/>
    <n v="225"/>
    <x v="0"/>
    <n v="4"/>
    <n v="239.79999999999998"/>
    <n v="18.399999999999999"/>
    <m/>
    <x v="0"/>
    <n v="221.39999999999998"/>
    <m/>
    <m/>
    <x v="0"/>
    <x v="0"/>
    <m/>
    <m/>
    <x v="0"/>
    <x v="0"/>
    <m/>
    <x v="0"/>
    <x v="0"/>
    <x v="0"/>
    <x v="0"/>
    <x v="0"/>
    <m/>
    <m/>
    <m/>
    <m/>
    <x v="0"/>
    <x v="0"/>
    <m/>
    <x v="0"/>
    <m/>
    <x v="0"/>
    <x v="0"/>
    <x v="0"/>
    <x v="0"/>
    <x v="0"/>
  </r>
  <r>
    <x v="0"/>
    <x v="5"/>
    <s v="1657 F"/>
    <x v="3"/>
    <s v="MAISON وارننگ"/>
    <s v="LDN"/>
    <n v="16"/>
    <s v="7-7.5"/>
    <s v="پیور"/>
    <n v="33"/>
    <x v="0"/>
    <n v="2"/>
    <n v="109.6"/>
    <n v="3.7"/>
    <m/>
    <x v="0"/>
    <n v="105.89999999999999"/>
    <m/>
    <m/>
    <x v="0"/>
    <x v="0"/>
    <m/>
    <m/>
    <x v="0"/>
    <x v="0"/>
    <m/>
    <x v="0"/>
    <x v="0"/>
    <x v="0"/>
    <x v="0"/>
    <x v="0"/>
    <m/>
    <m/>
    <m/>
    <m/>
    <x v="0"/>
    <x v="0"/>
    <m/>
    <x v="0"/>
    <m/>
    <x v="0"/>
    <x v="0"/>
    <x v="0"/>
    <x v="0"/>
    <x v="0"/>
  </r>
  <r>
    <x v="0"/>
    <x v="5"/>
    <s v="1663 F"/>
    <x v="3"/>
    <s v="سادہ لفافہ"/>
    <s v="LDN"/>
    <n v="16"/>
    <s v="8"/>
    <s v="پیور"/>
    <n v="125"/>
    <x v="0"/>
    <n v="2"/>
    <n v="131.19999999999999"/>
    <n v="3.9"/>
    <m/>
    <x v="0"/>
    <n v="127.29999999999998"/>
    <m/>
    <m/>
    <x v="0"/>
    <x v="0"/>
    <m/>
    <m/>
    <x v="0"/>
    <x v="0"/>
    <m/>
    <x v="0"/>
    <x v="0"/>
    <x v="0"/>
    <x v="0"/>
    <x v="0"/>
    <m/>
    <m/>
    <m/>
    <m/>
    <x v="0"/>
    <x v="0"/>
    <m/>
    <x v="0"/>
    <m/>
    <x v="0"/>
    <x v="0"/>
    <x v="0"/>
    <x v="0"/>
    <x v="0"/>
  </r>
  <r>
    <x v="0"/>
    <x v="5"/>
    <s v="1631 F"/>
    <x v="3"/>
    <s v="WALMART چھوٹی وارننگ"/>
    <s v="LDN"/>
    <n v="15"/>
    <s v="8"/>
    <s v="پیور"/>
    <n v="160"/>
    <x v="0"/>
    <n v="1"/>
    <n v="45.9"/>
    <n v="1.6"/>
    <m/>
    <x v="0"/>
    <n v="44.3"/>
    <m/>
    <m/>
    <x v="0"/>
    <x v="0"/>
    <m/>
    <m/>
    <x v="0"/>
    <x v="0"/>
    <m/>
    <x v="0"/>
    <x v="0"/>
    <x v="0"/>
    <x v="0"/>
    <x v="0"/>
    <m/>
    <m/>
    <m/>
    <m/>
    <x v="0"/>
    <x v="0"/>
    <m/>
    <x v="0"/>
    <m/>
    <x v="0"/>
    <x v="0"/>
    <x v="0"/>
    <x v="0"/>
    <x v="0"/>
  </r>
  <r>
    <x v="0"/>
    <x v="5"/>
    <s v="2561 J"/>
    <x v="3"/>
    <s v="سادہ لفافہ ڈبل ٹریٹ معیز ٹریڈرز"/>
    <s v="LDN"/>
    <n v="10"/>
    <s v="9.5-10"/>
    <s v="پیور"/>
    <n v="1000"/>
    <x v="0"/>
    <n v="1"/>
    <n v="34.700000000000003"/>
    <n v="1.2"/>
    <m/>
    <x v="0"/>
    <n v="33.5"/>
    <m/>
    <m/>
    <x v="0"/>
    <x v="0"/>
    <m/>
    <m/>
    <x v="0"/>
    <x v="0"/>
    <m/>
    <x v="0"/>
    <x v="0"/>
    <x v="0"/>
    <x v="0"/>
    <x v="0"/>
    <m/>
    <m/>
    <m/>
    <m/>
    <x v="0"/>
    <x v="0"/>
    <m/>
    <x v="0"/>
    <m/>
    <x v="0"/>
    <x v="0"/>
    <x v="0"/>
    <x v="0"/>
    <x v="0"/>
  </r>
  <r>
    <x v="1"/>
    <x v="5"/>
    <s v="2561 J"/>
    <x v="3"/>
    <s v="سادہ لفافہ ڈبل ٹریٹ معیز ٹریڈرز"/>
    <s v="LDN"/>
    <n v="10"/>
    <s v="9.5-10"/>
    <s v="پیور"/>
    <n v="1000"/>
    <x v="0"/>
    <n v="8"/>
    <n v="262.35000000000002"/>
    <n v="7.1999999999999993"/>
    <m/>
    <x v="0"/>
    <n v="255.15000000000003"/>
    <m/>
    <m/>
    <x v="0"/>
    <x v="0"/>
    <m/>
    <m/>
    <x v="0"/>
    <x v="0"/>
    <m/>
    <x v="0"/>
    <x v="0"/>
    <x v="0"/>
    <x v="0"/>
    <x v="0"/>
    <m/>
    <m/>
    <m/>
    <m/>
    <x v="0"/>
    <x v="0"/>
    <m/>
    <x v="0"/>
    <m/>
    <x v="0"/>
    <x v="0"/>
    <x v="0"/>
    <x v="0"/>
    <x v="0"/>
  </r>
  <r>
    <x v="0"/>
    <x v="3"/>
    <n v="2753"/>
    <x v="4"/>
    <s v="MATCO FOOD"/>
    <s v="LDN"/>
    <n v="23"/>
    <s v="70 G"/>
    <s v="SL"/>
    <n v="3500"/>
    <x v="0"/>
    <n v="5"/>
    <n v="432.2"/>
    <n v="14.2"/>
    <n v="3"/>
    <x v="0"/>
    <n v="418"/>
    <m/>
    <m/>
    <x v="0"/>
    <x v="0"/>
    <m/>
    <m/>
    <x v="0"/>
    <x v="0"/>
    <m/>
    <x v="0"/>
    <x v="0"/>
    <x v="0"/>
    <x v="0"/>
    <x v="0"/>
    <m/>
    <m/>
    <m/>
    <m/>
    <x v="0"/>
    <x v="0"/>
    <m/>
    <x v="0"/>
    <m/>
    <x v="0"/>
    <x v="0"/>
    <x v="0"/>
    <x v="0"/>
    <x v="0"/>
  </r>
  <r>
    <x v="1"/>
    <x v="3"/>
    <n v="2753"/>
    <x v="4"/>
    <s v="MATCO FOOD"/>
    <s v="LDN"/>
    <n v="23"/>
    <s v="70 G"/>
    <s v="SL"/>
    <n v="3500"/>
    <x v="0"/>
    <n v="1"/>
    <n v="94.4"/>
    <n v="2.9"/>
    <m/>
    <x v="0"/>
    <n v="91.5"/>
    <m/>
    <m/>
    <x v="0"/>
    <x v="0"/>
    <m/>
    <m/>
    <x v="0"/>
    <x v="0"/>
    <m/>
    <x v="0"/>
    <x v="0"/>
    <x v="0"/>
    <x v="0"/>
    <x v="0"/>
    <m/>
    <m/>
    <m/>
    <m/>
    <x v="0"/>
    <x v="0"/>
    <m/>
    <x v="0"/>
    <m/>
    <x v="0"/>
    <x v="0"/>
    <x v="0"/>
    <x v="0"/>
    <x v="0"/>
  </r>
  <r>
    <x v="0"/>
    <x v="4"/>
    <n v="2753"/>
    <x v="4"/>
    <s v="MATCO FOOD"/>
    <s v="LDN"/>
    <n v="23"/>
    <s v="70 G"/>
    <s v="SL"/>
    <n v="3500"/>
    <x v="0"/>
    <n v="3"/>
    <n v="255.4"/>
    <n v="9"/>
    <m/>
    <x v="0"/>
    <n v="246.4"/>
    <m/>
    <m/>
    <x v="0"/>
    <x v="0"/>
    <m/>
    <m/>
    <x v="0"/>
    <x v="0"/>
    <m/>
    <x v="0"/>
    <x v="0"/>
    <x v="0"/>
    <x v="0"/>
    <x v="0"/>
    <m/>
    <m/>
    <m/>
    <m/>
    <x v="0"/>
    <x v="0"/>
    <m/>
    <x v="0"/>
    <m/>
    <x v="0"/>
    <x v="0"/>
    <x v="0"/>
    <x v="0"/>
    <x v="0"/>
  </r>
  <r>
    <x v="0"/>
    <x v="4"/>
    <s v="1681 F"/>
    <x v="4"/>
    <s v="سادہ لفافہ"/>
    <s v="LDN"/>
    <n v="26.5"/>
    <s v="7-7.5"/>
    <s v="پیور"/>
    <n v="132"/>
    <x v="0"/>
    <n v="4"/>
    <n v="163.89999999999998"/>
    <n v="7.3999999999999995"/>
    <m/>
    <x v="0"/>
    <n v="156.49999999999997"/>
    <m/>
    <m/>
    <x v="0"/>
    <x v="0"/>
    <m/>
    <m/>
    <x v="0"/>
    <x v="0"/>
    <m/>
    <x v="0"/>
    <x v="0"/>
    <x v="0"/>
    <x v="0"/>
    <x v="0"/>
    <m/>
    <m/>
    <m/>
    <m/>
    <x v="0"/>
    <x v="0"/>
    <m/>
    <x v="0"/>
    <m/>
    <x v="0"/>
    <x v="0"/>
    <x v="0"/>
    <x v="0"/>
    <x v="0"/>
  </r>
  <r>
    <x v="0"/>
    <x v="4"/>
    <s v="2582 J"/>
    <x v="4"/>
    <s v="اے ٹی 9191"/>
    <s v="LDN"/>
    <n v="14"/>
    <s v="8-8.5"/>
    <s v="پیور"/>
    <n v="100"/>
    <x v="0"/>
    <n v="2"/>
    <n v="107"/>
    <n v="3.4000000000000004"/>
    <m/>
    <x v="0"/>
    <n v="103.6"/>
    <m/>
    <m/>
    <x v="0"/>
    <x v="0"/>
    <m/>
    <m/>
    <x v="0"/>
    <x v="0"/>
    <m/>
    <x v="0"/>
    <x v="0"/>
    <x v="0"/>
    <x v="0"/>
    <x v="0"/>
    <m/>
    <m/>
    <m/>
    <m/>
    <x v="0"/>
    <x v="0"/>
    <m/>
    <x v="0"/>
    <m/>
    <x v="0"/>
    <x v="0"/>
    <x v="0"/>
    <x v="0"/>
    <x v="0"/>
  </r>
  <r>
    <x v="1"/>
    <x v="4"/>
    <s v="1626 F"/>
    <x v="4"/>
    <s v="سادہ لفافہ"/>
    <s v="LDN"/>
    <n v="13"/>
    <s v="7-7.5"/>
    <s v="پیور"/>
    <n v="30"/>
    <x v="0"/>
    <n v="3"/>
    <n v="108"/>
    <n v="4.8000000000000007"/>
    <m/>
    <x v="0"/>
    <n v="103.2"/>
    <m/>
    <m/>
    <x v="0"/>
    <x v="0"/>
    <m/>
    <m/>
    <x v="0"/>
    <x v="0"/>
    <m/>
    <x v="0"/>
    <x v="0"/>
    <x v="0"/>
    <x v="0"/>
    <x v="0"/>
    <m/>
    <m/>
    <m/>
    <m/>
    <x v="0"/>
    <x v="0"/>
    <m/>
    <x v="0"/>
    <m/>
    <x v="0"/>
    <x v="0"/>
    <x v="0"/>
    <x v="0"/>
    <x v="0"/>
  </r>
  <r>
    <x v="1"/>
    <x v="4"/>
    <s v="1669 F"/>
    <x v="4"/>
    <s v="WALMART چھوٹی وارننگ"/>
    <s v="LDN"/>
    <n v="18"/>
    <s v="8"/>
    <s v="پیور"/>
    <n v="105"/>
    <x v="0"/>
    <n v="2"/>
    <n v="107.4"/>
    <n v="4.4000000000000004"/>
    <m/>
    <x v="0"/>
    <n v="103"/>
    <m/>
    <m/>
    <x v="0"/>
    <x v="0"/>
    <m/>
    <m/>
    <x v="0"/>
    <x v="0"/>
    <m/>
    <x v="0"/>
    <x v="0"/>
    <x v="0"/>
    <x v="0"/>
    <x v="0"/>
    <m/>
    <m/>
    <m/>
    <m/>
    <x v="0"/>
    <x v="0"/>
    <m/>
    <x v="0"/>
    <m/>
    <x v="0"/>
    <x v="0"/>
    <x v="0"/>
    <x v="0"/>
    <x v="0"/>
  </r>
  <r>
    <x v="0"/>
    <x v="5"/>
    <s v="2561 J"/>
    <x v="4"/>
    <s v="سادہ لفافہ ڈبل ٹریٹ معیز ٹریڈرز"/>
    <s v="LDN"/>
    <n v="10"/>
    <s v="9.5-10"/>
    <s v="پیور"/>
    <n v="1000"/>
    <x v="0"/>
    <n v="6"/>
    <n v="235.4"/>
    <n v="7.1999999999999993"/>
    <m/>
    <x v="0"/>
    <n v="228.20000000000002"/>
    <m/>
    <m/>
    <x v="0"/>
    <x v="0"/>
    <m/>
    <m/>
    <x v="0"/>
    <x v="0"/>
    <m/>
    <x v="0"/>
    <x v="0"/>
    <x v="0"/>
    <x v="0"/>
    <x v="0"/>
    <m/>
    <m/>
    <m/>
    <m/>
    <x v="0"/>
    <x v="0"/>
    <m/>
    <x v="0"/>
    <m/>
    <x v="0"/>
    <x v="0"/>
    <x v="0"/>
    <x v="0"/>
    <x v="0"/>
  </r>
  <r>
    <x v="1"/>
    <x v="5"/>
    <s v="2561 J"/>
    <x v="4"/>
    <s v="سادہ لفافہ ڈبل ٹریٹ معیز ٹریڈرز"/>
    <s v="LDN"/>
    <n v="10"/>
    <s v="9.5-10"/>
    <s v="پیور"/>
    <n v="1000"/>
    <x v="0"/>
    <n v="5"/>
    <n v="208.63"/>
    <n v="6"/>
    <m/>
    <x v="0"/>
    <n v="202.63"/>
    <m/>
    <m/>
    <x v="0"/>
    <x v="0"/>
    <m/>
    <m/>
    <x v="0"/>
    <x v="0"/>
    <m/>
    <x v="0"/>
    <x v="0"/>
    <x v="0"/>
    <x v="0"/>
    <x v="0"/>
    <m/>
    <m/>
    <m/>
    <m/>
    <x v="0"/>
    <x v="0"/>
    <m/>
    <x v="0"/>
    <m/>
    <x v="0"/>
    <x v="0"/>
    <x v="0"/>
    <x v="0"/>
    <x v="0"/>
  </r>
  <r>
    <x v="0"/>
    <x v="2"/>
    <s v="2511 J"/>
    <x v="5"/>
    <s v="براگ کڈز نیو ڈیزائن"/>
    <s v="LDM"/>
    <n v="21"/>
    <s v="14-15"/>
    <s v="ABA پیور"/>
    <n v="100"/>
    <x v="0"/>
    <n v="2"/>
    <n v="119"/>
    <n v="5.6"/>
    <m/>
    <x v="0"/>
    <n v="113.4"/>
    <m/>
    <m/>
    <x v="0"/>
    <x v="0"/>
    <m/>
    <m/>
    <x v="0"/>
    <x v="0"/>
    <m/>
    <x v="0"/>
    <x v="0"/>
    <x v="0"/>
    <x v="0"/>
    <x v="0"/>
    <m/>
    <m/>
    <m/>
    <m/>
    <x v="0"/>
    <x v="0"/>
    <m/>
    <x v="0"/>
    <m/>
    <x v="0"/>
    <x v="0"/>
    <x v="0"/>
    <x v="0"/>
    <x v="0"/>
  </r>
  <r>
    <x v="1"/>
    <x v="2"/>
    <s v="2510 J"/>
    <x v="5"/>
    <s v="براگ کڈز نیو ڈیزائن"/>
    <s v="LDM"/>
    <n v="21"/>
    <s v="13-14"/>
    <s v="ABA پیور"/>
    <n v="100"/>
    <x v="0"/>
    <n v="2"/>
    <n v="110.6"/>
    <n v="5"/>
    <m/>
    <x v="0"/>
    <n v="105.6"/>
    <m/>
    <m/>
    <x v="0"/>
    <x v="0"/>
    <m/>
    <m/>
    <x v="0"/>
    <x v="0"/>
    <m/>
    <x v="0"/>
    <x v="0"/>
    <x v="0"/>
    <x v="0"/>
    <x v="0"/>
    <m/>
    <m/>
    <m/>
    <m/>
    <x v="0"/>
    <x v="0"/>
    <m/>
    <x v="0"/>
    <m/>
    <x v="0"/>
    <x v="0"/>
    <x v="0"/>
    <x v="0"/>
    <x v="0"/>
  </r>
  <r>
    <x v="1"/>
    <x v="2"/>
    <s v="2581 J"/>
    <x v="5"/>
    <s v="سکائی سٹار ڈرائی بانڈ"/>
    <s v="LDM"/>
    <n v="15"/>
    <s v="-"/>
    <s v="ABA پیور"/>
    <n v="1000"/>
    <x v="0"/>
    <n v="5"/>
    <n v="284.59999999999997"/>
    <n v="9.3000000000000007"/>
    <m/>
    <x v="0"/>
    <n v="275.29999999999995"/>
    <m/>
    <m/>
    <x v="0"/>
    <x v="0"/>
    <m/>
    <m/>
    <x v="0"/>
    <x v="0"/>
    <m/>
    <x v="0"/>
    <x v="0"/>
    <x v="0"/>
    <x v="0"/>
    <x v="0"/>
    <m/>
    <m/>
    <m/>
    <m/>
    <x v="0"/>
    <x v="0"/>
    <m/>
    <x v="0"/>
    <m/>
    <x v="0"/>
    <x v="0"/>
    <x v="0"/>
    <x v="0"/>
    <x v="0"/>
  </r>
  <r>
    <x v="0"/>
    <x v="4"/>
    <s v="9531 A"/>
    <x v="5"/>
    <s v="سادہ رول جیلانی پولی سٹاک"/>
    <s v="LDN"/>
    <s v="26 شیٹ"/>
    <s v="8-8.5/16-17"/>
    <s v="پیور"/>
    <n v="2000"/>
    <x v="0"/>
    <n v="4"/>
    <n v="431.4"/>
    <n v="12.8"/>
    <n v="65"/>
    <x v="0"/>
    <n v="418.59999999999997"/>
    <m/>
    <m/>
    <x v="0"/>
    <x v="0"/>
    <m/>
    <m/>
    <x v="0"/>
    <x v="0"/>
    <m/>
    <x v="0"/>
    <x v="0"/>
    <x v="0"/>
    <x v="0"/>
    <x v="0"/>
    <m/>
    <m/>
    <m/>
    <m/>
    <x v="0"/>
    <x v="0"/>
    <m/>
    <x v="0"/>
    <m/>
    <x v="0"/>
    <x v="0"/>
    <x v="0"/>
    <x v="0"/>
    <x v="0"/>
  </r>
  <r>
    <x v="1"/>
    <x v="4"/>
    <s v="9531 A"/>
    <x v="5"/>
    <s v="سادہ رول جیلانی پولی سٹاک"/>
    <s v="LDN"/>
    <s v="26 شیٹ"/>
    <s v="8-8.5/16-17"/>
    <s v="پیور"/>
    <n v="2000"/>
    <x v="0"/>
    <n v="2"/>
    <n v="231"/>
    <n v="6.4"/>
    <n v="30"/>
    <x v="0"/>
    <n v="224.6"/>
    <m/>
    <m/>
    <x v="0"/>
    <x v="0"/>
    <m/>
    <m/>
    <x v="0"/>
    <x v="0"/>
    <m/>
    <x v="0"/>
    <x v="0"/>
    <x v="0"/>
    <x v="0"/>
    <x v="0"/>
    <m/>
    <m/>
    <m/>
    <m/>
    <x v="0"/>
    <x v="0"/>
    <m/>
    <x v="0"/>
    <m/>
    <x v="0"/>
    <x v="0"/>
    <x v="0"/>
    <x v="0"/>
    <x v="0"/>
  </r>
  <r>
    <x v="1"/>
    <x v="4"/>
    <n v="2755"/>
    <x v="5"/>
    <s v="HONDA ATLAS (CARS) LTD"/>
    <s v="LDN"/>
    <n v="30"/>
    <n v="10"/>
    <s v="SL"/>
    <n v="600"/>
    <x v="0"/>
    <n v="5"/>
    <n v="338"/>
    <n v="20"/>
    <m/>
    <x v="0"/>
    <n v="318"/>
    <m/>
    <m/>
    <x v="0"/>
    <x v="0"/>
    <m/>
    <m/>
    <x v="0"/>
    <x v="0"/>
    <m/>
    <x v="0"/>
    <x v="0"/>
    <x v="0"/>
    <x v="0"/>
    <x v="0"/>
    <m/>
    <m/>
    <m/>
    <m/>
    <x v="0"/>
    <x v="0"/>
    <m/>
    <x v="0"/>
    <m/>
    <x v="0"/>
    <x v="0"/>
    <x v="0"/>
    <x v="0"/>
    <x v="0"/>
  </r>
  <r>
    <x v="0"/>
    <x v="5"/>
    <s v="2561 J"/>
    <x v="5"/>
    <s v="سادہ لفافہ ڈبل ٹریٹ معیز ٹریڈرز"/>
    <s v="LDN"/>
    <n v="10"/>
    <s v="9.5-10"/>
    <s v="پیور"/>
    <n v="1000"/>
    <x v="0"/>
    <n v="5"/>
    <n v="160.13"/>
    <n v="6"/>
    <m/>
    <x v="0"/>
    <n v="154.13"/>
    <m/>
    <m/>
    <x v="0"/>
    <x v="0"/>
    <m/>
    <m/>
    <x v="0"/>
    <x v="0"/>
    <m/>
    <x v="0"/>
    <x v="0"/>
    <x v="0"/>
    <x v="0"/>
    <x v="0"/>
    <m/>
    <m/>
    <m/>
    <m/>
    <x v="0"/>
    <x v="0"/>
    <m/>
    <x v="0"/>
    <m/>
    <x v="0"/>
    <x v="0"/>
    <x v="0"/>
    <x v="0"/>
    <x v="0"/>
  </r>
  <r>
    <x v="0"/>
    <x v="5"/>
    <s v="SAMPLE"/>
    <x v="5"/>
    <s v="-"/>
    <s v="-"/>
    <s v="-"/>
    <s v="-"/>
    <s v="-"/>
    <s v="-"/>
    <x v="0"/>
    <n v="1"/>
    <n v="11.4"/>
    <n v="1.2"/>
    <m/>
    <x v="0"/>
    <n v="10.200000000000001"/>
    <m/>
    <m/>
    <x v="0"/>
    <x v="0"/>
    <m/>
    <m/>
    <x v="0"/>
    <x v="0"/>
    <m/>
    <x v="0"/>
    <x v="0"/>
    <x v="0"/>
    <x v="0"/>
    <x v="0"/>
    <m/>
    <m/>
    <m/>
    <m/>
    <x v="0"/>
    <x v="0"/>
    <m/>
    <x v="0"/>
    <m/>
    <x v="0"/>
    <x v="0"/>
    <x v="0"/>
    <x v="0"/>
    <x v="0"/>
  </r>
  <r>
    <x v="1"/>
    <x v="5"/>
    <s v="1675 F"/>
    <x v="5"/>
    <s v="WALMART چھوٹی وارننگ"/>
    <s v="LDN"/>
    <n v="13"/>
    <s v="8"/>
    <s v="پیور"/>
    <n v="45"/>
    <x v="0"/>
    <n v="1"/>
    <n v="51"/>
    <n v="1.8"/>
    <m/>
    <x v="0"/>
    <n v="49.2"/>
    <m/>
    <m/>
    <x v="0"/>
    <x v="0"/>
    <m/>
    <m/>
    <x v="0"/>
    <x v="0"/>
    <m/>
    <x v="0"/>
    <x v="0"/>
    <x v="0"/>
    <x v="0"/>
    <x v="0"/>
    <m/>
    <m/>
    <m/>
    <m/>
    <x v="0"/>
    <x v="0"/>
    <m/>
    <x v="0"/>
    <m/>
    <x v="0"/>
    <x v="0"/>
    <x v="0"/>
    <x v="0"/>
    <x v="0"/>
  </r>
  <r>
    <x v="1"/>
    <x v="5"/>
    <s v="2674 J"/>
    <x v="5"/>
    <s v="جی جی فش اسنیکس"/>
    <s v="LDN"/>
    <n v="20"/>
    <s v="9.5-10"/>
    <s v="پیور"/>
    <n v="300"/>
    <x v="0"/>
    <n v="4"/>
    <n v="298.7"/>
    <n v="11"/>
    <m/>
    <x v="0"/>
    <n v="287.7"/>
    <m/>
    <m/>
    <x v="0"/>
    <x v="0"/>
    <m/>
    <m/>
    <x v="0"/>
    <x v="0"/>
    <m/>
    <x v="0"/>
    <x v="0"/>
    <x v="0"/>
    <x v="0"/>
    <x v="0"/>
    <m/>
    <m/>
    <m/>
    <m/>
    <x v="0"/>
    <x v="0"/>
    <m/>
    <x v="0"/>
    <m/>
    <x v="0"/>
    <x v="0"/>
    <x v="0"/>
    <x v="0"/>
    <x v="0"/>
  </r>
  <r>
    <x v="0"/>
    <x v="2"/>
    <s v="2581 J"/>
    <x v="6"/>
    <s v="سکائی سٹار ڈرائی بانڈ"/>
    <s v="LDM"/>
    <n v="15"/>
    <s v="-"/>
    <s v="ABA پیور"/>
    <n v="1000"/>
    <x v="0"/>
    <n v="6"/>
    <n v="393.2"/>
    <n v="10.7"/>
    <m/>
    <x v="0"/>
    <n v="382.5"/>
    <m/>
    <m/>
    <x v="0"/>
    <x v="0"/>
    <m/>
    <m/>
    <x v="0"/>
    <x v="0"/>
    <m/>
    <x v="0"/>
    <x v="0"/>
    <x v="0"/>
    <x v="0"/>
    <x v="0"/>
    <m/>
    <m/>
    <m/>
    <m/>
    <x v="0"/>
    <x v="0"/>
    <m/>
    <x v="0"/>
    <m/>
    <x v="0"/>
    <x v="0"/>
    <x v="0"/>
    <x v="0"/>
    <x v="0"/>
  </r>
  <r>
    <x v="1"/>
    <x v="2"/>
    <s v="2581 J"/>
    <x v="6"/>
    <s v="سکائی سٹار ڈرائی بانڈ"/>
    <s v="LDM"/>
    <n v="15"/>
    <s v="-"/>
    <s v="ABA پیور"/>
    <n v="1000"/>
    <x v="0"/>
    <n v="6"/>
    <n v="388.6"/>
    <n v="11.399999999999999"/>
    <m/>
    <x v="0"/>
    <n v="377.20000000000005"/>
    <m/>
    <m/>
    <x v="0"/>
    <x v="0"/>
    <m/>
    <m/>
    <x v="0"/>
    <x v="0"/>
    <m/>
    <x v="0"/>
    <x v="0"/>
    <x v="0"/>
    <x v="0"/>
    <x v="0"/>
    <m/>
    <m/>
    <m/>
    <m/>
    <x v="0"/>
    <x v="0"/>
    <m/>
    <x v="0"/>
    <m/>
    <x v="0"/>
    <x v="0"/>
    <x v="0"/>
    <x v="0"/>
    <x v="0"/>
  </r>
  <r>
    <x v="0"/>
    <x v="3"/>
    <n v="2756"/>
    <x v="6"/>
    <s v="MATCO FOOD"/>
    <s v="LDN"/>
    <n v="23"/>
    <s v="70 G"/>
    <s v="SL"/>
    <n v="7000"/>
    <x v="0"/>
    <n v="1"/>
    <n v="100.2"/>
    <n v="2.8"/>
    <m/>
    <x v="0"/>
    <n v="97.4"/>
    <m/>
    <m/>
    <x v="0"/>
    <x v="0"/>
    <m/>
    <m/>
    <x v="0"/>
    <x v="0"/>
    <m/>
    <x v="0"/>
    <x v="0"/>
    <x v="0"/>
    <x v="0"/>
    <x v="0"/>
    <m/>
    <m/>
    <m/>
    <m/>
    <x v="0"/>
    <x v="0"/>
    <m/>
    <x v="0"/>
    <m/>
    <x v="0"/>
    <x v="0"/>
    <x v="0"/>
    <x v="0"/>
    <x v="0"/>
  </r>
  <r>
    <x v="1"/>
    <x v="3"/>
    <n v="2756"/>
    <x v="6"/>
    <s v="MATCO FOOD"/>
    <s v="LDN"/>
    <n v="23"/>
    <s v="70 G"/>
    <s v="SL"/>
    <n v="7000"/>
    <x v="0"/>
    <n v="3"/>
    <n v="309"/>
    <n v="8.5"/>
    <m/>
    <x v="0"/>
    <n v="300.5"/>
    <m/>
    <m/>
    <x v="0"/>
    <x v="0"/>
    <m/>
    <m/>
    <x v="0"/>
    <x v="0"/>
    <m/>
    <x v="0"/>
    <x v="0"/>
    <x v="0"/>
    <x v="0"/>
    <x v="0"/>
    <m/>
    <m/>
    <m/>
    <m/>
    <x v="0"/>
    <x v="0"/>
    <m/>
    <x v="0"/>
    <m/>
    <x v="0"/>
    <x v="0"/>
    <x v="0"/>
    <x v="0"/>
    <x v="0"/>
  </r>
  <r>
    <x v="0"/>
    <x v="4"/>
    <n v="2755"/>
    <x v="6"/>
    <s v="HONDA ATLAS (CARS) LTD"/>
    <s v="LDN"/>
    <n v="30"/>
    <n v="10"/>
    <s v="SL"/>
    <n v="600"/>
    <x v="0"/>
    <n v="4"/>
    <n v="293.39999999999998"/>
    <n v="16"/>
    <n v="33.4"/>
    <x v="0"/>
    <n v="277.39999999999998"/>
    <m/>
    <m/>
    <x v="0"/>
    <x v="0"/>
    <m/>
    <m/>
    <x v="0"/>
    <x v="0"/>
    <m/>
    <x v="0"/>
    <x v="0"/>
    <x v="0"/>
    <x v="0"/>
    <x v="0"/>
    <m/>
    <m/>
    <m/>
    <m/>
    <x v="0"/>
    <x v="0"/>
    <m/>
    <x v="0"/>
    <m/>
    <x v="0"/>
    <x v="0"/>
    <x v="0"/>
    <x v="0"/>
    <x v="0"/>
  </r>
  <r>
    <x v="0"/>
    <x v="4"/>
    <s v="1671 F"/>
    <x v="6"/>
    <s v="15لینگویج وارننگ"/>
    <s v="LDN"/>
    <n v="30"/>
    <s v="7.5-8"/>
    <s v="جیلانی شیٹ"/>
    <n v="85"/>
    <x v="0"/>
    <n v="2"/>
    <n v="100.4"/>
    <n v="7.6"/>
    <m/>
    <x v="0"/>
    <n v="92.800000000000011"/>
    <m/>
    <m/>
    <x v="0"/>
    <x v="0"/>
    <m/>
    <m/>
    <x v="0"/>
    <x v="0"/>
    <m/>
    <x v="0"/>
    <x v="0"/>
    <x v="0"/>
    <x v="0"/>
    <x v="0"/>
    <m/>
    <m/>
    <m/>
    <m/>
    <x v="0"/>
    <x v="0"/>
    <m/>
    <x v="0"/>
    <m/>
    <x v="0"/>
    <x v="0"/>
    <x v="0"/>
    <x v="0"/>
    <x v="0"/>
  </r>
  <r>
    <x v="0"/>
    <x v="4"/>
    <n v="2756"/>
    <x v="6"/>
    <s v="MATCO FOOD"/>
    <s v="LDN"/>
    <n v="23"/>
    <s v="70 G"/>
    <s v="SL"/>
    <n v="7000"/>
    <x v="0"/>
    <n v="3"/>
    <n v="243.79999999999998"/>
    <n v="8.3999999999999986"/>
    <m/>
    <x v="0"/>
    <n v="235.39999999999998"/>
    <m/>
    <m/>
    <x v="0"/>
    <x v="0"/>
    <m/>
    <m/>
    <x v="0"/>
    <x v="0"/>
    <m/>
    <x v="0"/>
    <x v="0"/>
    <x v="0"/>
    <x v="0"/>
    <x v="0"/>
    <m/>
    <m/>
    <m/>
    <m/>
    <x v="0"/>
    <x v="0"/>
    <m/>
    <x v="0"/>
    <m/>
    <x v="0"/>
    <x v="0"/>
    <x v="0"/>
    <x v="0"/>
    <x v="0"/>
  </r>
  <r>
    <x v="1"/>
    <x v="4"/>
    <n v="2756"/>
    <x v="6"/>
    <s v="MATCO FOOD"/>
    <s v="LDN"/>
    <n v="23"/>
    <s v="70 G"/>
    <s v="SL"/>
    <n v="7000"/>
    <x v="0"/>
    <n v="6"/>
    <n v="610"/>
    <n v="16.799999999999997"/>
    <n v="28"/>
    <x v="0"/>
    <n v="593.20000000000005"/>
    <m/>
    <m/>
    <x v="0"/>
    <x v="0"/>
    <m/>
    <m/>
    <x v="0"/>
    <x v="0"/>
    <m/>
    <x v="0"/>
    <x v="0"/>
    <x v="0"/>
    <x v="0"/>
    <x v="0"/>
    <m/>
    <m/>
    <m/>
    <m/>
    <x v="0"/>
    <x v="0"/>
    <m/>
    <x v="0"/>
    <m/>
    <x v="0"/>
    <x v="0"/>
    <x v="0"/>
    <x v="0"/>
    <x v="0"/>
  </r>
  <r>
    <x v="0"/>
    <x v="5"/>
    <s v="1673 F"/>
    <x v="6"/>
    <s v="سادہ لفافہ"/>
    <s v="LDN"/>
    <n v="20"/>
    <s v="7-7.5"/>
    <s v="پیور"/>
    <n v="63"/>
    <x v="0"/>
    <n v="1"/>
    <n v="57.6"/>
    <n v="2.5"/>
    <m/>
    <x v="0"/>
    <n v="55.1"/>
    <m/>
    <m/>
    <x v="0"/>
    <x v="0"/>
    <m/>
    <m/>
    <x v="0"/>
    <x v="0"/>
    <m/>
    <x v="0"/>
    <x v="0"/>
    <x v="0"/>
    <x v="0"/>
    <x v="0"/>
    <m/>
    <m/>
    <m/>
    <m/>
    <x v="0"/>
    <x v="0"/>
    <m/>
    <x v="0"/>
    <m/>
    <x v="0"/>
    <x v="0"/>
    <x v="0"/>
    <x v="0"/>
    <x v="0"/>
  </r>
  <r>
    <x v="0"/>
    <x v="5"/>
    <s v="1676 F"/>
    <x v="6"/>
    <s v="D2W لوگو"/>
    <s v="LDN"/>
    <n v="19.5"/>
    <s v="6.5-7"/>
    <s v="پیور"/>
    <n v="255"/>
    <x v="0"/>
    <n v="4"/>
    <n v="235.41"/>
    <n v="9.6"/>
    <m/>
    <x v="0"/>
    <n v="225.81"/>
    <m/>
    <m/>
    <x v="0"/>
    <x v="0"/>
    <m/>
    <m/>
    <x v="0"/>
    <x v="0"/>
    <m/>
    <x v="0"/>
    <x v="0"/>
    <x v="0"/>
    <x v="0"/>
    <x v="0"/>
    <m/>
    <m/>
    <m/>
    <m/>
    <x v="0"/>
    <x v="0"/>
    <m/>
    <x v="0"/>
    <m/>
    <x v="0"/>
    <x v="0"/>
    <x v="0"/>
    <x v="0"/>
    <x v="0"/>
  </r>
  <r>
    <x v="0"/>
    <x v="5"/>
    <s v="1677 F"/>
    <x v="6"/>
    <s v="TIFFOSIوارننگ"/>
    <s v="LDN"/>
    <n v="17"/>
    <s v="7-7.5"/>
    <s v="پیور"/>
    <n v="115"/>
    <x v="0"/>
    <n v="1"/>
    <n v="55.9"/>
    <n v="2"/>
    <m/>
    <x v="0"/>
    <n v="53.9"/>
    <m/>
    <m/>
    <x v="0"/>
    <x v="0"/>
    <m/>
    <m/>
    <x v="0"/>
    <x v="0"/>
    <m/>
    <x v="0"/>
    <x v="0"/>
    <x v="0"/>
    <x v="0"/>
    <x v="0"/>
    <m/>
    <m/>
    <m/>
    <m/>
    <x v="0"/>
    <x v="0"/>
    <m/>
    <x v="0"/>
    <m/>
    <x v="0"/>
    <x v="0"/>
    <x v="0"/>
    <x v="0"/>
    <x v="0"/>
  </r>
  <r>
    <x v="1"/>
    <x v="5"/>
    <s v="1677 F"/>
    <x v="6"/>
    <s v="TIFFOSIوارننگ"/>
    <s v="LDN"/>
    <n v="17"/>
    <s v="7-7.5"/>
    <s v="پیور"/>
    <n v="115"/>
    <x v="0"/>
    <n v="1"/>
    <n v="63.4"/>
    <n v="2.1"/>
    <m/>
    <x v="0"/>
    <n v="61.3"/>
    <m/>
    <m/>
    <x v="0"/>
    <x v="0"/>
    <m/>
    <m/>
    <x v="0"/>
    <x v="0"/>
    <m/>
    <x v="0"/>
    <x v="0"/>
    <x v="0"/>
    <x v="0"/>
    <x v="0"/>
    <m/>
    <m/>
    <m/>
    <m/>
    <x v="0"/>
    <x v="0"/>
    <m/>
    <x v="0"/>
    <m/>
    <x v="0"/>
    <x v="0"/>
    <x v="0"/>
    <x v="0"/>
    <x v="0"/>
  </r>
  <r>
    <x v="1"/>
    <x v="5"/>
    <s v="1679 F"/>
    <x v="6"/>
    <s v="سادہ لفافہ"/>
    <s v="LDN"/>
    <n v="20.5"/>
    <s v="7-7.5"/>
    <s v="پیور"/>
    <n v="128"/>
    <x v="0"/>
    <n v="2"/>
    <n v="128.1"/>
    <n v="5.6"/>
    <m/>
    <x v="0"/>
    <n v="122.5"/>
    <m/>
    <m/>
    <x v="0"/>
    <x v="0"/>
    <m/>
    <m/>
    <x v="0"/>
    <x v="0"/>
    <m/>
    <x v="0"/>
    <x v="0"/>
    <x v="0"/>
    <x v="0"/>
    <x v="0"/>
    <m/>
    <m/>
    <m/>
    <m/>
    <x v="0"/>
    <x v="0"/>
    <m/>
    <x v="0"/>
    <m/>
    <x v="0"/>
    <x v="0"/>
    <x v="0"/>
    <x v="0"/>
    <x v="0"/>
  </r>
  <r>
    <x v="1"/>
    <x v="5"/>
    <s v="1681 F"/>
    <x v="6"/>
    <s v="سادہ لفافہ"/>
    <s v="LDN"/>
    <n v="26.5"/>
    <s v="7-7.5"/>
    <s v="پیور"/>
    <n v="132"/>
    <x v="0"/>
    <n v="2"/>
    <n v="154.19999999999999"/>
    <n v="6.3000000000000007"/>
    <m/>
    <x v="0"/>
    <n v="147.89999999999998"/>
    <m/>
    <m/>
    <x v="0"/>
    <x v="0"/>
    <m/>
    <m/>
    <x v="0"/>
    <x v="0"/>
    <m/>
    <x v="0"/>
    <x v="0"/>
    <x v="0"/>
    <x v="0"/>
    <x v="0"/>
    <m/>
    <m/>
    <m/>
    <m/>
    <x v="0"/>
    <x v="0"/>
    <m/>
    <x v="0"/>
    <m/>
    <x v="0"/>
    <x v="0"/>
    <x v="0"/>
    <x v="0"/>
    <x v="0"/>
  </r>
  <r>
    <x v="0"/>
    <x v="2"/>
    <s v="2699 J"/>
    <x v="7"/>
    <s v="Atlas Honda LTD (SKP)"/>
    <s v="LDM"/>
    <s v="16.75&quot; شیٹ"/>
    <s v="7-7.5/14-15"/>
    <s v="LDM"/>
    <n v="300"/>
    <x v="0"/>
    <n v="5"/>
    <n v="365.79999999999995"/>
    <n v="10.5"/>
    <m/>
    <x v="0"/>
    <n v="355.29999999999995"/>
    <m/>
    <m/>
    <x v="0"/>
    <x v="0"/>
    <m/>
    <m/>
    <x v="0"/>
    <x v="0"/>
    <m/>
    <x v="0"/>
    <x v="0"/>
    <x v="0"/>
    <x v="0"/>
    <x v="0"/>
    <m/>
    <m/>
    <m/>
    <m/>
    <x v="0"/>
    <x v="0"/>
    <m/>
    <x v="0"/>
    <m/>
    <x v="0"/>
    <x v="0"/>
    <x v="0"/>
    <x v="0"/>
    <x v="0"/>
  </r>
  <r>
    <x v="0"/>
    <x v="2"/>
    <s v="07/5-5.5"/>
    <x v="7"/>
    <s v="-"/>
    <s v="-"/>
    <s v="-"/>
    <s v="-"/>
    <s v="-"/>
    <s v="-"/>
    <x v="0"/>
    <n v="2"/>
    <n v="44.2"/>
    <n v="1.6"/>
    <m/>
    <x v="0"/>
    <n v="42.6"/>
    <m/>
    <m/>
    <x v="0"/>
    <x v="0"/>
    <m/>
    <m/>
    <x v="0"/>
    <x v="0"/>
    <m/>
    <x v="0"/>
    <x v="0"/>
    <x v="0"/>
    <x v="0"/>
    <x v="0"/>
    <m/>
    <m/>
    <m/>
    <m/>
    <x v="0"/>
    <x v="0"/>
    <m/>
    <x v="0"/>
    <m/>
    <x v="0"/>
    <x v="0"/>
    <x v="0"/>
    <x v="0"/>
    <x v="0"/>
  </r>
  <r>
    <x v="1"/>
    <x v="2"/>
    <s v="07/5-5.5"/>
    <x v="7"/>
    <s v="-"/>
    <s v="-"/>
    <s v="-"/>
    <s v="-"/>
    <s v="-"/>
    <s v="-"/>
    <x v="0"/>
    <n v="3"/>
    <n v="106.69999999999999"/>
    <n v="2.4000000000000004"/>
    <m/>
    <x v="0"/>
    <n v="104.29999999999998"/>
    <m/>
    <m/>
    <x v="0"/>
    <x v="0"/>
    <m/>
    <m/>
    <x v="0"/>
    <x v="0"/>
    <m/>
    <x v="0"/>
    <x v="0"/>
    <x v="0"/>
    <x v="0"/>
    <x v="0"/>
    <m/>
    <m/>
    <m/>
    <m/>
    <x v="0"/>
    <x v="0"/>
    <m/>
    <x v="0"/>
    <m/>
    <x v="0"/>
    <x v="0"/>
    <x v="0"/>
    <x v="0"/>
    <x v="0"/>
  </r>
  <r>
    <x v="1"/>
    <x v="2"/>
    <n v="2756"/>
    <x v="7"/>
    <s v="MATCO FOOD"/>
    <s v="LDN"/>
    <n v="23"/>
    <s v="70 G"/>
    <s v="SL"/>
    <n v="7000"/>
    <x v="0"/>
    <n v="2"/>
    <n v="210"/>
    <n v="5.6"/>
    <m/>
    <x v="0"/>
    <n v="204.4"/>
    <m/>
    <m/>
    <x v="0"/>
    <x v="0"/>
    <m/>
    <m/>
    <x v="0"/>
    <x v="0"/>
    <m/>
    <x v="0"/>
    <x v="0"/>
    <x v="0"/>
    <x v="0"/>
    <x v="0"/>
    <m/>
    <m/>
    <m/>
    <m/>
    <x v="0"/>
    <x v="0"/>
    <m/>
    <x v="0"/>
    <m/>
    <x v="0"/>
    <x v="0"/>
    <x v="0"/>
    <x v="0"/>
    <x v="0"/>
  </r>
  <r>
    <x v="0"/>
    <x v="3"/>
    <n v="2756"/>
    <x v="7"/>
    <s v="MATCO FOOD"/>
    <s v="LDN"/>
    <n v="23"/>
    <s v="70 G"/>
    <s v="SL"/>
    <n v="7000"/>
    <x v="0"/>
    <n v="3"/>
    <n v="334.20000000000005"/>
    <n v="8.3999999999999986"/>
    <m/>
    <x v="0"/>
    <n v="325.80000000000007"/>
    <m/>
    <m/>
    <x v="0"/>
    <x v="0"/>
    <m/>
    <m/>
    <x v="0"/>
    <x v="0"/>
    <m/>
    <x v="0"/>
    <x v="0"/>
    <x v="0"/>
    <x v="0"/>
    <x v="0"/>
    <m/>
    <m/>
    <m/>
    <m/>
    <x v="0"/>
    <x v="0"/>
    <m/>
    <x v="0"/>
    <m/>
    <x v="0"/>
    <x v="0"/>
    <x v="0"/>
    <x v="0"/>
    <x v="0"/>
  </r>
  <r>
    <x v="1"/>
    <x v="3"/>
    <n v="2756"/>
    <x v="7"/>
    <s v="MATCO FOOD"/>
    <s v="LDN"/>
    <n v="23"/>
    <s v="70 G"/>
    <s v="SL"/>
    <n v="7000"/>
    <x v="0"/>
    <n v="3"/>
    <n v="333.4"/>
    <n v="8.3999999999999986"/>
    <m/>
    <x v="0"/>
    <n v="325"/>
    <m/>
    <m/>
    <x v="0"/>
    <x v="0"/>
    <m/>
    <m/>
    <x v="0"/>
    <x v="0"/>
    <m/>
    <x v="0"/>
    <x v="0"/>
    <x v="0"/>
    <x v="0"/>
    <x v="0"/>
    <m/>
    <m/>
    <m/>
    <m/>
    <x v="0"/>
    <x v="0"/>
    <m/>
    <x v="0"/>
    <m/>
    <x v="0"/>
    <x v="0"/>
    <x v="0"/>
    <x v="0"/>
    <x v="0"/>
  </r>
  <r>
    <x v="0"/>
    <x v="4"/>
    <s v="2698 J"/>
    <x v="7"/>
    <s v="Atlas Honda LTD (SKP)"/>
    <s v="LDN"/>
    <n v="22"/>
    <s v="8.5-9"/>
    <s v="LDN"/>
    <n v="150"/>
    <x v="0"/>
    <n v="2"/>
    <n v="169.8"/>
    <n v="5.6"/>
    <n v="60"/>
    <x v="0"/>
    <n v="164.20000000000002"/>
    <m/>
    <m/>
    <x v="0"/>
    <x v="0"/>
    <m/>
    <m/>
    <x v="0"/>
    <x v="0"/>
    <m/>
    <x v="0"/>
    <x v="0"/>
    <x v="0"/>
    <x v="0"/>
    <x v="0"/>
    <m/>
    <m/>
    <m/>
    <m/>
    <x v="0"/>
    <x v="0"/>
    <m/>
    <x v="0"/>
    <m/>
    <x v="0"/>
    <x v="0"/>
    <x v="0"/>
    <x v="0"/>
    <x v="0"/>
  </r>
  <r>
    <x v="0"/>
    <x v="4"/>
    <s v="2694 J"/>
    <x v="7"/>
    <s v="Atlas Honda LTD (SKP)"/>
    <s v="LDN"/>
    <n v="16"/>
    <s v="14-14.5"/>
    <s v="LDN"/>
    <n v="85"/>
    <x v="0"/>
    <n v="2"/>
    <n v="107.4"/>
    <n v="4"/>
    <m/>
    <x v="0"/>
    <n v="103.4"/>
    <m/>
    <m/>
    <x v="0"/>
    <x v="0"/>
    <m/>
    <m/>
    <x v="0"/>
    <x v="0"/>
    <m/>
    <x v="0"/>
    <x v="0"/>
    <x v="0"/>
    <x v="0"/>
    <x v="0"/>
    <m/>
    <m/>
    <m/>
    <m/>
    <x v="0"/>
    <x v="0"/>
    <m/>
    <x v="0"/>
    <m/>
    <x v="0"/>
    <x v="0"/>
    <x v="0"/>
    <x v="0"/>
    <x v="0"/>
  </r>
  <r>
    <x v="0"/>
    <x v="4"/>
    <s v="1678 F"/>
    <x v="7"/>
    <s v="پلین بریڈ لارج فریش اینڈ فائن"/>
    <s v="LDN"/>
    <s v="36&quot; شیٹ"/>
    <s v="4/8"/>
    <s v="پیور"/>
    <n v="350"/>
    <x v="0"/>
    <n v="4"/>
    <n v="334.2"/>
    <n v="18"/>
    <m/>
    <x v="0"/>
    <n v="316.2"/>
    <m/>
    <m/>
    <x v="0"/>
    <x v="0"/>
    <m/>
    <m/>
    <x v="0"/>
    <x v="0"/>
    <m/>
    <x v="0"/>
    <x v="0"/>
    <x v="0"/>
    <x v="0"/>
    <x v="0"/>
    <m/>
    <m/>
    <m/>
    <m/>
    <x v="0"/>
    <x v="0"/>
    <m/>
    <x v="0"/>
    <m/>
    <x v="0"/>
    <x v="0"/>
    <x v="0"/>
    <x v="0"/>
    <x v="0"/>
  </r>
  <r>
    <x v="1"/>
    <x v="4"/>
    <s v="2732 J"/>
    <x v="7"/>
    <s v="النور بریڈ"/>
    <s v="LDN"/>
    <s v="28&quot; شیٹ"/>
    <s v="3-3.25/6-6.5"/>
    <s v="پیور"/>
    <n v="100"/>
    <x v="0"/>
    <n v="2"/>
    <n v="94"/>
    <n v="7.6"/>
    <n v="55"/>
    <x v="0"/>
    <n v="86.4"/>
    <m/>
    <m/>
    <x v="0"/>
    <x v="0"/>
    <m/>
    <m/>
    <x v="0"/>
    <x v="0"/>
    <m/>
    <x v="0"/>
    <x v="0"/>
    <x v="0"/>
    <x v="0"/>
    <x v="0"/>
    <m/>
    <m/>
    <m/>
    <m/>
    <x v="0"/>
    <x v="0"/>
    <m/>
    <x v="0"/>
    <m/>
    <x v="0"/>
    <x v="0"/>
    <x v="0"/>
    <x v="0"/>
    <x v="0"/>
  </r>
  <r>
    <x v="1"/>
    <x v="4"/>
    <s v="2675 J"/>
    <x v="7"/>
    <s v="سی ۔اے"/>
    <s v="LDM"/>
    <n v="20.5"/>
    <s v="16-17"/>
    <s v="ABA پیور"/>
    <n v="500"/>
    <x v="0"/>
    <n v="6"/>
    <n v="515.20000000000005"/>
    <n v="16.799999999999997"/>
    <m/>
    <x v="0"/>
    <n v="498.40000000000003"/>
    <m/>
    <m/>
    <x v="0"/>
    <x v="0"/>
    <m/>
    <m/>
    <x v="0"/>
    <x v="0"/>
    <m/>
    <x v="0"/>
    <x v="0"/>
    <x v="0"/>
    <x v="0"/>
    <x v="0"/>
    <m/>
    <m/>
    <m/>
    <m/>
    <x v="0"/>
    <x v="0"/>
    <m/>
    <x v="0"/>
    <m/>
    <x v="0"/>
    <x v="0"/>
    <x v="0"/>
    <x v="0"/>
    <x v="0"/>
  </r>
  <r>
    <x v="1"/>
    <x v="4"/>
    <s v="2719 J"/>
    <x v="7"/>
    <s v="رضا لیڈیز گارمنٹس"/>
    <s v="LDM"/>
    <n v="20"/>
    <s v="14-15"/>
    <s v="ABA پیور"/>
    <n v="100"/>
    <x v="0"/>
    <n v="1"/>
    <n v="61"/>
    <n v="2.5"/>
    <m/>
    <x v="0"/>
    <n v="58.5"/>
    <m/>
    <m/>
    <x v="0"/>
    <x v="0"/>
    <m/>
    <m/>
    <x v="0"/>
    <x v="0"/>
    <m/>
    <x v="0"/>
    <x v="0"/>
    <x v="0"/>
    <x v="0"/>
    <x v="0"/>
    <m/>
    <m/>
    <m/>
    <m/>
    <x v="0"/>
    <x v="0"/>
    <m/>
    <x v="0"/>
    <m/>
    <x v="0"/>
    <x v="0"/>
    <x v="0"/>
    <x v="0"/>
    <x v="0"/>
  </r>
  <r>
    <x v="0"/>
    <x v="5"/>
    <s v="1680 F"/>
    <x v="7"/>
    <s v="سادہ لفافہ"/>
    <s v="LDN"/>
    <n v="27.5"/>
    <s v="7-7.5"/>
    <s v="پیور"/>
    <n v="46"/>
    <x v="0"/>
    <n v="1"/>
    <n v="67.5"/>
    <n v="2.8"/>
    <m/>
    <x v="0"/>
    <n v="64.7"/>
    <m/>
    <m/>
    <x v="0"/>
    <x v="0"/>
    <m/>
    <m/>
    <x v="0"/>
    <x v="0"/>
    <m/>
    <x v="0"/>
    <x v="0"/>
    <x v="0"/>
    <x v="0"/>
    <x v="0"/>
    <m/>
    <m/>
    <m/>
    <m/>
    <x v="0"/>
    <x v="0"/>
    <m/>
    <x v="0"/>
    <m/>
    <x v="0"/>
    <x v="0"/>
    <x v="0"/>
    <x v="0"/>
    <x v="0"/>
  </r>
  <r>
    <x v="0"/>
    <x v="5"/>
    <s v="1668 F"/>
    <x v="7"/>
    <s v="بلینڈ وارننگ"/>
    <s v="LDN"/>
    <n v="17"/>
    <s v="7-7.5"/>
    <s v="جیلانی شیٹ"/>
    <n v="75"/>
    <x v="0"/>
    <n v="2"/>
    <n v="90.32"/>
    <n v="4"/>
    <m/>
    <x v="0"/>
    <n v="86.32"/>
    <m/>
    <m/>
    <x v="0"/>
    <x v="0"/>
    <m/>
    <m/>
    <x v="0"/>
    <x v="0"/>
    <m/>
    <x v="0"/>
    <x v="0"/>
    <x v="0"/>
    <x v="0"/>
    <x v="0"/>
    <m/>
    <m/>
    <m/>
    <m/>
    <x v="0"/>
    <x v="0"/>
    <m/>
    <x v="0"/>
    <m/>
    <x v="0"/>
    <x v="0"/>
    <x v="0"/>
    <x v="0"/>
    <x v="0"/>
  </r>
  <r>
    <x v="0"/>
    <x v="5"/>
    <s v="1682 F"/>
    <x v="7"/>
    <s v="سادہ لفافہ"/>
    <s v="LDN"/>
    <n v="13"/>
    <s v="7-7.5"/>
    <s v="پیور"/>
    <n v="50"/>
    <x v="0"/>
    <n v="1"/>
    <n v="53.27"/>
    <n v="1.5"/>
    <m/>
    <x v="0"/>
    <n v="51.77"/>
    <m/>
    <m/>
    <x v="0"/>
    <x v="0"/>
    <m/>
    <m/>
    <x v="0"/>
    <x v="0"/>
    <m/>
    <x v="0"/>
    <x v="0"/>
    <x v="0"/>
    <x v="0"/>
    <x v="0"/>
    <m/>
    <m/>
    <m/>
    <m/>
    <x v="0"/>
    <x v="0"/>
    <m/>
    <x v="0"/>
    <m/>
    <x v="0"/>
    <x v="0"/>
    <x v="0"/>
    <x v="0"/>
    <x v="0"/>
  </r>
  <r>
    <x v="0"/>
    <x v="5"/>
    <s v="1676 F"/>
    <x v="7"/>
    <s v="D2W لوگو"/>
    <s v="LDN"/>
    <n v="19.5"/>
    <s v="6.5-7"/>
    <s v="پیور"/>
    <n v="255"/>
    <x v="0"/>
    <n v="4"/>
    <n v="148.93"/>
    <n v="9.6"/>
    <m/>
    <x v="0"/>
    <n v="139.33000000000001"/>
    <m/>
    <m/>
    <x v="0"/>
    <x v="0"/>
    <m/>
    <m/>
    <x v="0"/>
    <x v="0"/>
    <m/>
    <x v="0"/>
    <x v="0"/>
    <x v="0"/>
    <x v="0"/>
    <x v="0"/>
    <m/>
    <m/>
    <m/>
    <m/>
    <x v="0"/>
    <x v="0"/>
    <m/>
    <x v="0"/>
    <m/>
    <x v="0"/>
    <x v="0"/>
    <x v="0"/>
    <x v="0"/>
    <x v="0"/>
  </r>
  <r>
    <x v="1"/>
    <x v="5"/>
    <s v="1676 F"/>
    <x v="7"/>
    <s v="D2W لوگو"/>
    <s v="LDN"/>
    <n v="19.5"/>
    <s v="6.5-7"/>
    <s v="پیور"/>
    <n v="255"/>
    <x v="0"/>
    <n v="2"/>
    <n v="98.199999999999989"/>
    <n v="4.4000000000000004"/>
    <m/>
    <x v="0"/>
    <n v="93.799999999999983"/>
    <m/>
    <m/>
    <x v="0"/>
    <x v="0"/>
    <m/>
    <m/>
    <x v="0"/>
    <x v="0"/>
    <m/>
    <x v="0"/>
    <x v="0"/>
    <x v="0"/>
    <x v="0"/>
    <x v="0"/>
    <m/>
    <m/>
    <m/>
    <m/>
    <x v="0"/>
    <x v="0"/>
    <m/>
    <x v="0"/>
    <m/>
    <x v="0"/>
    <x v="0"/>
    <x v="0"/>
    <x v="0"/>
    <x v="0"/>
  </r>
  <r>
    <x v="1"/>
    <x v="5"/>
    <s v="2693 J"/>
    <x v="7"/>
    <s v="سادہ لفافہ احسان کاٹن"/>
    <s v="LDN"/>
    <n v="22"/>
    <n v="6"/>
    <s v="AA کولٹی"/>
    <n v="500"/>
    <x v="0"/>
    <n v="6"/>
    <n v="336.7"/>
    <n v="15.7"/>
    <m/>
    <x v="0"/>
    <n v="321"/>
    <m/>
    <m/>
    <x v="0"/>
    <x v="0"/>
    <m/>
    <m/>
    <x v="0"/>
    <x v="0"/>
    <m/>
    <x v="0"/>
    <x v="0"/>
    <x v="0"/>
    <x v="0"/>
    <x v="0"/>
    <m/>
    <m/>
    <m/>
    <m/>
    <x v="0"/>
    <x v="0"/>
    <m/>
    <x v="0"/>
    <m/>
    <x v="0"/>
    <x v="0"/>
    <x v="0"/>
    <x v="0"/>
    <x v="0"/>
  </r>
  <r>
    <x v="0"/>
    <x v="2"/>
    <n v="2756"/>
    <x v="8"/>
    <s v="MATCO FOOD"/>
    <s v="LDN"/>
    <n v="23"/>
    <s v="70 G"/>
    <s v="SL"/>
    <n v="7000"/>
    <x v="0"/>
    <n v="1"/>
    <n v="118.8"/>
    <n v="2.9"/>
    <m/>
    <x v="0"/>
    <n v="115.89999999999999"/>
    <m/>
    <m/>
    <x v="0"/>
    <x v="0"/>
    <m/>
    <m/>
    <x v="0"/>
    <x v="0"/>
    <m/>
    <x v="0"/>
    <x v="0"/>
    <x v="0"/>
    <x v="0"/>
    <x v="0"/>
    <m/>
    <m/>
    <m/>
    <m/>
    <x v="0"/>
    <x v="0"/>
    <m/>
    <x v="0"/>
    <m/>
    <x v="0"/>
    <x v="0"/>
    <x v="0"/>
    <x v="0"/>
    <x v="0"/>
  </r>
  <r>
    <x v="0"/>
    <x v="2"/>
    <s v="2695 J"/>
    <x v="8"/>
    <s v="Atlas Honda LTD (SKP)"/>
    <s v="LDN"/>
    <n v="11"/>
    <s v="12.5-13"/>
    <s v="LDN"/>
    <n v="250"/>
    <x v="0"/>
    <n v="3"/>
    <n v="129.20000000000002"/>
    <n v="3.9000000000000004"/>
    <m/>
    <x v="0"/>
    <n v="125.30000000000001"/>
    <m/>
    <m/>
    <x v="0"/>
    <x v="0"/>
    <m/>
    <m/>
    <x v="0"/>
    <x v="0"/>
    <m/>
    <x v="0"/>
    <x v="0"/>
    <x v="0"/>
    <x v="0"/>
    <x v="0"/>
    <m/>
    <m/>
    <m/>
    <m/>
    <x v="0"/>
    <x v="0"/>
    <m/>
    <x v="0"/>
    <m/>
    <x v="0"/>
    <x v="0"/>
    <x v="0"/>
    <x v="0"/>
    <x v="0"/>
  </r>
  <r>
    <x v="0"/>
    <x v="2"/>
    <s v="2697 J"/>
    <x v="8"/>
    <s v="Atlas Honda LTD (SKP)"/>
    <s v="LDN"/>
    <n v="9"/>
    <s v="8.5-9"/>
    <s v="LDN"/>
    <n v="370"/>
    <x v="0"/>
    <n v="1"/>
    <n v="31.6"/>
    <n v="1.2"/>
    <m/>
    <x v="0"/>
    <n v="30.400000000000002"/>
    <m/>
    <m/>
    <x v="0"/>
    <x v="0"/>
    <m/>
    <m/>
    <x v="0"/>
    <x v="0"/>
    <m/>
    <x v="0"/>
    <x v="0"/>
    <x v="0"/>
    <x v="0"/>
    <x v="0"/>
    <m/>
    <m/>
    <m/>
    <m/>
    <x v="0"/>
    <x v="0"/>
    <m/>
    <x v="0"/>
    <m/>
    <x v="0"/>
    <x v="0"/>
    <x v="0"/>
    <x v="0"/>
    <x v="0"/>
  </r>
  <r>
    <x v="1"/>
    <x v="2"/>
    <s v="2697 J"/>
    <x v="8"/>
    <s v="Atlas Honda LTD (SKP)"/>
    <s v="LDN"/>
    <n v="9"/>
    <s v="8.5-9"/>
    <s v="LDN"/>
    <n v="370"/>
    <x v="0"/>
    <n v="6"/>
    <n v="234.59999999999997"/>
    <n v="6.6000000000000005"/>
    <m/>
    <x v="0"/>
    <n v="227.99999999999997"/>
    <m/>
    <m/>
    <x v="0"/>
    <x v="0"/>
    <m/>
    <m/>
    <x v="0"/>
    <x v="0"/>
    <m/>
    <x v="0"/>
    <x v="0"/>
    <x v="0"/>
    <x v="0"/>
    <x v="0"/>
    <m/>
    <m/>
    <m/>
    <m/>
    <x v="0"/>
    <x v="0"/>
    <m/>
    <x v="0"/>
    <m/>
    <x v="0"/>
    <x v="0"/>
    <x v="0"/>
    <x v="0"/>
    <x v="0"/>
  </r>
  <r>
    <x v="0"/>
    <x v="3"/>
    <n v="2756"/>
    <x v="8"/>
    <s v="MATCO FOOD"/>
    <s v="LDN"/>
    <n v="23"/>
    <s v="70 G"/>
    <s v="SL"/>
    <n v="7000"/>
    <x v="0"/>
    <n v="3"/>
    <n v="353.6"/>
    <n v="8.5"/>
    <m/>
    <x v="0"/>
    <n v="345.1"/>
    <m/>
    <m/>
    <x v="0"/>
    <x v="0"/>
    <m/>
    <m/>
    <x v="0"/>
    <x v="0"/>
    <m/>
    <x v="0"/>
    <x v="0"/>
    <x v="0"/>
    <x v="0"/>
    <x v="0"/>
    <m/>
    <m/>
    <m/>
    <m/>
    <x v="0"/>
    <x v="0"/>
    <m/>
    <x v="0"/>
    <m/>
    <x v="0"/>
    <x v="0"/>
    <x v="0"/>
    <x v="0"/>
    <x v="0"/>
  </r>
  <r>
    <x v="1"/>
    <x v="3"/>
    <n v="2756"/>
    <x v="8"/>
    <s v="MATCO FOOD"/>
    <s v="LDN"/>
    <n v="23"/>
    <s v="70 G"/>
    <s v="SL"/>
    <n v="7000"/>
    <x v="0"/>
    <n v="3"/>
    <n v="330.79999999999995"/>
    <n v="8.3999999999999986"/>
    <m/>
    <x v="0"/>
    <n v="322.39999999999998"/>
    <m/>
    <m/>
    <x v="0"/>
    <x v="0"/>
    <m/>
    <m/>
    <x v="0"/>
    <x v="0"/>
    <m/>
    <x v="0"/>
    <x v="0"/>
    <x v="0"/>
    <x v="0"/>
    <x v="0"/>
    <m/>
    <m/>
    <m/>
    <m/>
    <x v="0"/>
    <x v="0"/>
    <m/>
    <x v="0"/>
    <m/>
    <x v="0"/>
    <x v="0"/>
    <x v="0"/>
    <x v="0"/>
    <x v="0"/>
  </r>
  <r>
    <x v="0"/>
    <x v="4"/>
    <s v="2719 J"/>
    <x v="8"/>
    <s v="رضا لیڈیز گارمنٹس"/>
    <s v="LDM"/>
    <n v="20"/>
    <s v="14-15"/>
    <s v="ABA پیور"/>
    <n v="100"/>
    <x v="0"/>
    <n v="1"/>
    <n v="51.8"/>
    <n v="2.5"/>
    <n v="43"/>
    <x v="0"/>
    <n v="49.3"/>
    <m/>
    <m/>
    <x v="0"/>
    <x v="0"/>
    <m/>
    <m/>
    <x v="0"/>
    <x v="0"/>
    <m/>
    <x v="0"/>
    <x v="0"/>
    <x v="0"/>
    <x v="0"/>
    <x v="0"/>
    <m/>
    <m/>
    <m/>
    <m/>
    <x v="0"/>
    <x v="0"/>
    <m/>
    <x v="0"/>
    <m/>
    <x v="0"/>
    <x v="0"/>
    <x v="0"/>
    <x v="0"/>
    <x v="0"/>
  </r>
  <r>
    <x v="0"/>
    <x v="4"/>
    <s v="2725 J"/>
    <x v="8"/>
    <s v="رائل فیبرکس کولیکشن"/>
    <s v="LDM"/>
    <n v="16"/>
    <s v="13-13.5"/>
    <s v="ABA پیور"/>
    <n v="100"/>
    <x v="0"/>
    <n v="3"/>
    <n v="102.39999999999999"/>
    <n v="6"/>
    <m/>
    <x v="0"/>
    <n v="96.399999999999991"/>
    <m/>
    <m/>
    <x v="0"/>
    <x v="0"/>
    <m/>
    <m/>
    <x v="0"/>
    <x v="0"/>
    <m/>
    <x v="0"/>
    <x v="0"/>
    <x v="0"/>
    <x v="0"/>
    <x v="0"/>
    <m/>
    <m/>
    <m/>
    <m/>
    <x v="0"/>
    <x v="0"/>
    <m/>
    <x v="0"/>
    <m/>
    <x v="0"/>
    <x v="0"/>
    <x v="0"/>
    <x v="0"/>
    <x v="0"/>
  </r>
  <r>
    <x v="0"/>
    <x v="4"/>
    <s v="2676 J"/>
    <x v="8"/>
    <s v="ہیپی لیک"/>
    <s v="LDM"/>
    <n v="17"/>
    <s v="-"/>
    <s v="ABA پیور"/>
    <n v="290"/>
    <x v="0"/>
    <n v="5"/>
    <n v="315.20999999999998"/>
    <n v="10"/>
    <m/>
    <x v="0"/>
    <n v="305.20999999999998"/>
    <m/>
    <m/>
    <x v="0"/>
    <x v="0"/>
    <m/>
    <m/>
    <x v="0"/>
    <x v="0"/>
    <m/>
    <x v="0"/>
    <x v="0"/>
    <x v="0"/>
    <x v="0"/>
    <x v="0"/>
    <m/>
    <m/>
    <m/>
    <m/>
    <x v="0"/>
    <x v="0"/>
    <m/>
    <x v="0"/>
    <m/>
    <x v="0"/>
    <x v="0"/>
    <x v="0"/>
    <x v="0"/>
    <x v="0"/>
  </r>
  <r>
    <x v="0"/>
    <x v="4"/>
    <s v="2638 J"/>
    <x v="8"/>
    <s v="ہائی کلاس بیکرز"/>
    <s v="LDM"/>
    <s v="14+4.5+4.5"/>
    <s v="7.5-8/15-16"/>
    <s v="ABA پیور"/>
    <n v="220"/>
    <x v="0"/>
    <n v="4"/>
    <n v="150"/>
    <n v="7.2"/>
    <m/>
    <x v="0"/>
    <n v="142.80000000000001"/>
    <m/>
    <m/>
    <x v="0"/>
    <x v="0"/>
    <m/>
    <m/>
    <x v="0"/>
    <x v="0"/>
    <m/>
    <x v="0"/>
    <x v="0"/>
    <x v="0"/>
    <x v="0"/>
    <x v="0"/>
    <m/>
    <m/>
    <m/>
    <m/>
    <x v="0"/>
    <x v="0"/>
    <m/>
    <x v="0"/>
    <m/>
    <x v="0"/>
    <x v="0"/>
    <x v="0"/>
    <x v="0"/>
    <x v="0"/>
  </r>
  <r>
    <x v="1"/>
    <x v="4"/>
    <s v="2638 J"/>
    <x v="8"/>
    <s v="ہائی کلاس بیکرز"/>
    <s v="LDM"/>
    <s v="14+4.5+4.5"/>
    <s v="7.5-8/15-16"/>
    <s v="ABA پیور"/>
    <n v="220"/>
    <x v="0"/>
    <n v="2"/>
    <n v="87.2"/>
    <n v="3.4000000000000004"/>
    <n v="40"/>
    <x v="0"/>
    <n v="83.8"/>
    <m/>
    <m/>
    <x v="0"/>
    <x v="0"/>
    <m/>
    <m/>
    <x v="0"/>
    <x v="0"/>
    <m/>
    <x v="0"/>
    <x v="0"/>
    <x v="0"/>
    <x v="0"/>
    <x v="0"/>
    <m/>
    <m/>
    <m/>
    <m/>
    <x v="0"/>
    <x v="0"/>
    <m/>
    <x v="0"/>
    <m/>
    <x v="0"/>
    <x v="0"/>
    <x v="0"/>
    <x v="0"/>
    <x v="0"/>
  </r>
  <r>
    <x v="1"/>
    <x v="4"/>
    <s v="2746 J"/>
    <x v="8"/>
    <s v="جمیل جینٹس برانڈ کلاتھ ہاؤس +جمیل کلاتھ ہاؤس "/>
    <s v="LDM"/>
    <s v="12+3+3"/>
    <s v="7.5-8/15-16"/>
    <s v="پیور"/>
    <n v="110"/>
    <x v="0"/>
    <n v="3"/>
    <n v="112.80000000000001"/>
    <n v="4.8000000000000007"/>
    <m/>
    <x v="0"/>
    <n v="108.00000000000001"/>
    <m/>
    <m/>
    <x v="0"/>
    <x v="0"/>
    <m/>
    <m/>
    <x v="0"/>
    <x v="0"/>
    <m/>
    <x v="0"/>
    <x v="0"/>
    <x v="0"/>
    <x v="0"/>
    <x v="0"/>
    <m/>
    <m/>
    <m/>
    <m/>
    <x v="0"/>
    <x v="0"/>
    <m/>
    <x v="0"/>
    <m/>
    <x v="0"/>
    <x v="0"/>
    <x v="0"/>
    <x v="0"/>
    <x v="0"/>
  </r>
  <r>
    <x v="1"/>
    <x v="4"/>
    <s v="2722 J"/>
    <x v="8"/>
    <s v="SARA LED LIGHT"/>
    <s v="LDM"/>
    <s v="12.25 شیٹ"/>
    <s v="3.5-3.75/7-7.5"/>
    <s v="ABA پیور"/>
    <n v="100"/>
    <x v="0"/>
    <n v="4"/>
    <n v="103.80000000000001"/>
    <n v="6"/>
    <m/>
    <x v="0"/>
    <n v="97.800000000000011"/>
    <m/>
    <m/>
    <x v="0"/>
    <x v="0"/>
    <m/>
    <m/>
    <x v="0"/>
    <x v="0"/>
    <m/>
    <x v="0"/>
    <x v="0"/>
    <x v="0"/>
    <x v="0"/>
    <x v="0"/>
    <m/>
    <m/>
    <m/>
    <m/>
    <x v="0"/>
    <x v="0"/>
    <m/>
    <x v="0"/>
    <m/>
    <x v="0"/>
    <x v="0"/>
    <x v="0"/>
    <x v="0"/>
    <x v="0"/>
  </r>
  <r>
    <x v="1"/>
    <x v="4"/>
    <s v="2723 J"/>
    <x v="8"/>
    <s v="SARA LED LIGHT"/>
    <s v="LDM"/>
    <s v="20.5&quot; شیٹ"/>
    <s v="3.5-3.75/7-7.5"/>
    <s v="ABA پیور"/>
    <n v="100"/>
    <x v="0"/>
    <n v="2"/>
    <n v="123.8"/>
    <n v="5.2"/>
    <m/>
    <x v="0"/>
    <n v="118.6"/>
    <m/>
    <m/>
    <x v="0"/>
    <x v="0"/>
    <m/>
    <m/>
    <x v="0"/>
    <x v="0"/>
    <m/>
    <x v="0"/>
    <x v="0"/>
    <x v="0"/>
    <x v="0"/>
    <x v="0"/>
    <m/>
    <m/>
    <m/>
    <m/>
    <x v="0"/>
    <x v="0"/>
    <m/>
    <x v="0"/>
    <m/>
    <x v="0"/>
    <x v="0"/>
    <x v="0"/>
    <x v="0"/>
    <x v="0"/>
  </r>
  <r>
    <x v="1"/>
    <x v="4"/>
    <n v="2757"/>
    <x v="8"/>
    <s v="USMAN AMIN FINA"/>
    <s v="LDB"/>
    <n v="34"/>
    <n v="16"/>
    <s v="SL BLACK"/>
    <n v="2000"/>
    <x v="0"/>
    <n v="1"/>
    <n v="140.19999999999999"/>
    <n v="4.2"/>
    <m/>
    <x v="0"/>
    <n v="136"/>
    <m/>
    <m/>
    <x v="0"/>
    <x v="0"/>
    <m/>
    <m/>
    <x v="0"/>
    <x v="0"/>
    <m/>
    <x v="0"/>
    <x v="0"/>
    <x v="0"/>
    <x v="0"/>
    <x v="0"/>
    <m/>
    <m/>
    <m/>
    <m/>
    <x v="0"/>
    <x v="0"/>
    <m/>
    <x v="0"/>
    <m/>
    <x v="0"/>
    <x v="0"/>
    <x v="0"/>
    <x v="0"/>
    <x v="0"/>
  </r>
  <r>
    <x v="0"/>
    <x v="5"/>
    <s v="2693 J"/>
    <x v="8"/>
    <s v="سادہ لفافہ احسان کاٹن"/>
    <s v="LDN"/>
    <n v="22"/>
    <n v="6"/>
    <s v="AA کولٹی"/>
    <n v="500"/>
    <x v="0"/>
    <n v="4"/>
    <n v="192.7"/>
    <n v="10"/>
    <m/>
    <x v="0"/>
    <n v="182.7"/>
    <m/>
    <m/>
    <x v="0"/>
    <x v="0"/>
    <m/>
    <m/>
    <x v="0"/>
    <x v="0"/>
    <m/>
    <x v="0"/>
    <x v="0"/>
    <x v="0"/>
    <x v="0"/>
    <x v="0"/>
    <m/>
    <m/>
    <m/>
    <m/>
    <x v="0"/>
    <x v="0"/>
    <m/>
    <x v="0"/>
    <m/>
    <x v="0"/>
    <x v="0"/>
    <x v="0"/>
    <x v="0"/>
    <x v="0"/>
  </r>
  <r>
    <x v="0"/>
    <x v="5"/>
    <s v="2691 J"/>
    <x v="8"/>
    <s v="سادہ لفافہ احسان کاٹن"/>
    <s v="LDN"/>
    <n v="36"/>
    <n v="6"/>
    <s v="AA کولٹی"/>
    <n v="500"/>
    <x v="0"/>
    <n v="3"/>
    <n v="208"/>
    <n v="12.600000000000001"/>
    <m/>
    <x v="0"/>
    <n v="195.4"/>
    <m/>
    <m/>
    <x v="0"/>
    <x v="0"/>
    <m/>
    <m/>
    <x v="0"/>
    <x v="0"/>
    <m/>
    <x v="0"/>
    <x v="0"/>
    <x v="0"/>
    <x v="0"/>
    <x v="0"/>
    <m/>
    <m/>
    <m/>
    <m/>
    <x v="0"/>
    <x v="0"/>
    <m/>
    <x v="0"/>
    <m/>
    <x v="0"/>
    <x v="0"/>
    <x v="0"/>
    <x v="0"/>
    <x v="0"/>
  </r>
  <r>
    <x v="1"/>
    <x v="5"/>
    <s v="2691 J"/>
    <x v="8"/>
    <s v="سادہ لفافہ احسان کاٹن"/>
    <s v="LDN"/>
    <n v="36"/>
    <n v="6"/>
    <s v="AA کولٹی"/>
    <n v="500"/>
    <x v="0"/>
    <n v="5"/>
    <n v="325.8"/>
    <n v="21"/>
    <m/>
    <x v="0"/>
    <n v="304.8"/>
    <m/>
    <m/>
    <x v="0"/>
    <x v="0"/>
    <m/>
    <m/>
    <x v="0"/>
    <x v="0"/>
    <m/>
    <x v="0"/>
    <x v="0"/>
    <x v="0"/>
    <x v="0"/>
    <x v="0"/>
    <m/>
    <m/>
    <m/>
    <m/>
    <x v="0"/>
    <x v="0"/>
    <m/>
    <x v="0"/>
    <m/>
    <x v="0"/>
    <x v="0"/>
    <x v="0"/>
    <x v="0"/>
    <x v="0"/>
  </r>
  <r>
    <x v="1"/>
    <x v="5"/>
    <s v="1686 F"/>
    <x v="8"/>
    <s v="وارننگ ERIMA"/>
    <s v="LDN"/>
    <n v="17"/>
    <s v="7.5-8"/>
    <s v="جیلانی شیٹ"/>
    <n v="500"/>
    <x v="0"/>
    <n v="3"/>
    <n v="140.46"/>
    <n v="6.2"/>
    <m/>
    <x v="0"/>
    <n v="134.26000000000002"/>
    <m/>
    <m/>
    <x v="0"/>
    <x v="0"/>
    <m/>
    <m/>
    <x v="0"/>
    <x v="0"/>
    <m/>
    <x v="0"/>
    <x v="0"/>
    <x v="0"/>
    <x v="0"/>
    <x v="0"/>
    <m/>
    <m/>
    <m/>
    <m/>
    <x v="0"/>
    <x v="0"/>
    <m/>
    <x v="0"/>
    <m/>
    <x v="0"/>
    <x v="0"/>
    <x v="0"/>
    <x v="0"/>
    <x v="0"/>
  </r>
  <r>
    <x v="0"/>
    <x v="2"/>
    <s v="2697 J"/>
    <x v="9"/>
    <s v="Atlas Honda LTD (SKP)"/>
    <s v="LDN"/>
    <n v="9"/>
    <s v="8.5-9"/>
    <s v="LDN"/>
    <n v="370"/>
    <x v="0"/>
    <n v="3"/>
    <n v="125.6"/>
    <n v="3.4"/>
    <m/>
    <x v="0"/>
    <n v="122.19999999999999"/>
    <m/>
    <m/>
    <x v="0"/>
    <x v="0"/>
    <m/>
    <m/>
    <x v="0"/>
    <x v="0"/>
    <m/>
    <x v="0"/>
    <x v="0"/>
    <x v="0"/>
    <x v="0"/>
    <x v="0"/>
    <m/>
    <m/>
    <m/>
    <m/>
    <x v="0"/>
    <x v="0"/>
    <m/>
    <x v="0"/>
    <m/>
    <x v="0"/>
    <x v="0"/>
    <x v="0"/>
    <x v="0"/>
    <x v="0"/>
  </r>
  <r>
    <x v="0"/>
    <x v="2"/>
    <s v="2696 J"/>
    <x v="9"/>
    <s v="Atlas Honda LTD (SKP)"/>
    <s v="LDN"/>
    <n v="8"/>
    <s v="8.5-9"/>
    <s v="LDN"/>
    <n v="2"/>
    <x v="0"/>
    <n v="2"/>
    <n v="82.6"/>
    <n v="2"/>
    <m/>
    <x v="0"/>
    <n v="80.599999999999994"/>
    <m/>
    <m/>
    <x v="0"/>
    <x v="0"/>
    <m/>
    <m/>
    <x v="0"/>
    <x v="0"/>
    <m/>
    <x v="0"/>
    <x v="0"/>
    <x v="0"/>
    <x v="0"/>
    <x v="0"/>
    <m/>
    <m/>
    <m/>
    <m/>
    <x v="0"/>
    <x v="0"/>
    <m/>
    <x v="0"/>
    <m/>
    <x v="0"/>
    <x v="0"/>
    <x v="0"/>
    <x v="0"/>
    <x v="0"/>
  </r>
  <r>
    <x v="1"/>
    <x v="2"/>
    <s v="2696 J"/>
    <x v="9"/>
    <s v="Atlas Honda LTD (SKP)"/>
    <s v="LDN"/>
    <n v="8"/>
    <s v="8.5-9"/>
    <s v="LDN"/>
    <n v="2"/>
    <x v="0"/>
    <n v="5"/>
    <n v="183.2"/>
    <n v="5"/>
    <m/>
    <x v="0"/>
    <n v="178.2"/>
    <m/>
    <m/>
    <x v="0"/>
    <x v="0"/>
    <m/>
    <m/>
    <x v="0"/>
    <x v="0"/>
    <m/>
    <x v="0"/>
    <x v="0"/>
    <x v="0"/>
    <x v="0"/>
    <x v="0"/>
    <m/>
    <m/>
    <m/>
    <m/>
    <x v="0"/>
    <x v="0"/>
    <m/>
    <x v="0"/>
    <m/>
    <x v="0"/>
    <x v="0"/>
    <x v="0"/>
    <x v="0"/>
    <x v="0"/>
  </r>
  <r>
    <x v="0"/>
    <x v="3"/>
    <n v="2756"/>
    <x v="9"/>
    <s v="MATCO FOOD"/>
    <s v="LDN"/>
    <n v="23"/>
    <s v="70 G"/>
    <s v="SL"/>
    <n v="7000"/>
    <x v="0"/>
    <n v="3"/>
    <n v="382.6"/>
    <n v="8.6999999999999993"/>
    <m/>
    <x v="0"/>
    <n v="373.90000000000003"/>
    <m/>
    <m/>
    <x v="0"/>
    <x v="0"/>
    <m/>
    <m/>
    <x v="0"/>
    <x v="0"/>
    <m/>
    <x v="0"/>
    <x v="0"/>
    <x v="0"/>
    <x v="0"/>
    <x v="0"/>
    <m/>
    <m/>
    <m/>
    <m/>
    <x v="0"/>
    <x v="0"/>
    <m/>
    <x v="0"/>
    <m/>
    <x v="0"/>
    <x v="0"/>
    <x v="0"/>
    <x v="0"/>
    <x v="0"/>
  </r>
  <r>
    <x v="1"/>
    <x v="3"/>
    <n v="2756"/>
    <x v="9"/>
    <s v="MATCO FOOD"/>
    <s v="LDN"/>
    <n v="23"/>
    <s v="70 G"/>
    <s v="SL"/>
    <n v="7000"/>
    <x v="0"/>
    <n v="3"/>
    <n v="322"/>
    <n v="8.3999999999999986"/>
    <m/>
    <x v="0"/>
    <n v="313.60000000000002"/>
    <m/>
    <m/>
    <x v="0"/>
    <x v="0"/>
    <m/>
    <m/>
    <x v="0"/>
    <x v="0"/>
    <m/>
    <x v="0"/>
    <x v="0"/>
    <x v="0"/>
    <x v="0"/>
    <x v="0"/>
    <m/>
    <m/>
    <m/>
    <m/>
    <x v="0"/>
    <x v="0"/>
    <m/>
    <x v="0"/>
    <m/>
    <x v="0"/>
    <x v="0"/>
    <x v="0"/>
    <x v="0"/>
    <x v="0"/>
  </r>
  <r>
    <x v="0"/>
    <x v="4"/>
    <n v="2757"/>
    <x v="9"/>
    <s v="USMAN AMIN FINA"/>
    <s v="LDB"/>
    <n v="34"/>
    <n v="16"/>
    <s v="SL BLACK"/>
    <n v="2000"/>
    <x v="0"/>
    <n v="10"/>
    <n v="1073.4000000000001"/>
    <n v="40"/>
    <n v="12"/>
    <x v="0"/>
    <n v="1033.4000000000001"/>
    <m/>
    <m/>
    <x v="0"/>
    <x v="0"/>
    <m/>
    <m/>
    <x v="0"/>
    <x v="0"/>
    <m/>
    <x v="0"/>
    <x v="0"/>
    <x v="0"/>
    <x v="0"/>
    <x v="0"/>
    <m/>
    <m/>
    <m/>
    <m/>
    <x v="0"/>
    <x v="0"/>
    <m/>
    <x v="0"/>
    <m/>
    <x v="0"/>
    <x v="0"/>
    <x v="0"/>
    <x v="0"/>
    <x v="0"/>
  </r>
  <r>
    <x v="1"/>
    <x v="4"/>
    <n v="2757"/>
    <x v="9"/>
    <s v="USMAN AMIN FINA"/>
    <s v="LDB"/>
    <n v="34"/>
    <n v="16"/>
    <s v="SL BLACK"/>
    <n v="2000"/>
    <x v="0"/>
    <n v="7"/>
    <n v="894.19999999999993"/>
    <n v="28"/>
    <n v="35"/>
    <x v="0"/>
    <n v="866.19999999999993"/>
    <m/>
    <m/>
    <x v="0"/>
    <x v="0"/>
    <m/>
    <m/>
    <x v="0"/>
    <x v="0"/>
    <m/>
    <x v="0"/>
    <x v="0"/>
    <x v="0"/>
    <x v="0"/>
    <x v="0"/>
    <m/>
    <m/>
    <m/>
    <m/>
    <x v="0"/>
    <x v="0"/>
    <m/>
    <x v="0"/>
    <m/>
    <x v="0"/>
    <x v="0"/>
    <x v="0"/>
    <x v="0"/>
    <x v="0"/>
  </r>
  <r>
    <x v="1"/>
    <x v="4"/>
    <s v="QUALITY CHANGE"/>
    <x v="9"/>
    <s v="-"/>
    <s v="-"/>
    <s v="-"/>
    <s v="-"/>
    <s v="-"/>
    <s v="-"/>
    <x v="0"/>
    <n v="1"/>
    <n v="60"/>
    <n v="4"/>
    <m/>
    <x v="0"/>
    <n v="56"/>
    <m/>
    <m/>
    <x v="0"/>
    <x v="0"/>
    <m/>
    <m/>
    <x v="0"/>
    <x v="0"/>
    <m/>
    <x v="0"/>
    <x v="0"/>
    <x v="0"/>
    <x v="0"/>
    <x v="0"/>
    <m/>
    <m/>
    <m/>
    <m/>
    <x v="0"/>
    <x v="0"/>
    <m/>
    <x v="0"/>
    <m/>
    <x v="0"/>
    <x v="0"/>
    <x v="0"/>
    <x v="0"/>
    <x v="0"/>
  </r>
  <r>
    <x v="0"/>
    <x v="5"/>
    <s v="1686 F"/>
    <x v="9"/>
    <s v="وارننگ ERIMA"/>
    <s v="LDN"/>
    <n v="17"/>
    <s v="7.5-8"/>
    <s v="جیلانی شیٹ"/>
    <n v="500"/>
    <x v="0"/>
    <n v="6"/>
    <n v="309.95000000000005"/>
    <n v="12.600000000000001"/>
    <m/>
    <x v="0"/>
    <n v="297.35000000000002"/>
    <m/>
    <m/>
    <x v="0"/>
    <x v="0"/>
    <m/>
    <m/>
    <x v="0"/>
    <x v="0"/>
    <m/>
    <x v="0"/>
    <x v="0"/>
    <x v="0"/>
    <x v="0"/>
    <x v="0"/>
    <m/>
    <m/>
    <m/>
    <m/>
    <x v="0"/>
    <x v="0"/>
    <m/>
    <x v="0"/>
    <m/>
    <x v="0"/>
    <x v="0"/>
    <x v="0"/>
    <x v="0"/>
    <x v="0"/>
  </r>
  <r>
    <x v="1"/>
    <x v="5"/>
    <s v="1686 F"/>
    <x v="9"/>
    <s v="وارننگ ERIMA"/>
    <s v="LDN"/>
    <n v="17"/>
    <s v="7.5-8"/>
    <s v="جیلانی شیٹ"/>
    <n v="500"/>
    <x v="0"/>
    <n v="1"/>
    <n v="57.7"/>
    <n v="2"/>
    <n v="2.6"/>
    <x v="0"/>
    <n v="55.7"/>
    <m/>
    <m/>
    <x v="0"/>
    <x v="0"/>
    <m/>
    <m/>
    <x v="0"/>
    <x v="0"/>
    <m/>
    <x v="0"/>
    <x v="0"/>
    <x v="0"/>
    <x v="0"/>
    <x v="0"/>
    <m/>
    <m/>
    <m/>
    <m/>
    <x v="0"/>
    <x v="0"/>
    <m/>
    <x v="0"/>
    <m/>
    <x v="0"/>
    <x v="0"/>
    <x v="0"/>
    <x v="0"/>
    <x v="0"/>
  </r>
  <r>
    <x v="1"/>
    <x v="5"/>
    <s v="1685 F"/>
    <x v="9"/>
    <s v="گرین بلیک پتہ وارننگ"/>
    <s v="LDN"/>
    <n v="17"/>
    <s v="7-7.5"/>
    <s v="پیور"/>
    <n v="320"/>
    <x v="0"/>
    <n v="6"/>
    <n v="285.69"/>
    <n v="12.600000000000001"/>
    <m/>
    <x v="0"/>
    <n v="273.08999999999997"/>
    <m/>
    <m/>
    <x v="0"/>
    <x v="0"/>
    <m/>
    <m/>
    <x v="0"/>
    <x v="0"/>
    <m/>
    <x v="0"/>
    <x v="0"/>
    <x v="0"/>
    <x v="0"/>
    <x v="0"/>
    <m/>
    <m/>
    <m/>
    <m/>
    <x v="0"/>
    <x v="0"/>
    <m/>
    <x v="0"/>
    <m/>
    <x v="0"/>
    <x v="0"/>
    <x v="0"/>
    <x v="0"/>
    <x v="0"/>
  </r>
  <r>
    <x v="0"/>
    <x v="2"/>
    <s v="2780 j"/>
    <x v="10"/>
    <s v="پائپر وارننگ"/>
    <s v="LDN"/>
    <n v="16"/>
    <s v="9.5-10"/>
    <s v="پیور"/>
    <n v="0"/>
    <x v="0"/>
    <n v="2"/>
    <n v="122.6"/>
    <n v="3.8"/>
    <m/>
    <x v="0"/>
    <n v="118.8"/>
    <m/>
    <m/>
    <x v="0"/>
    <x v="0"/>
    <m/>
    <m/>
    <x v="0"/>
    <x v="0"/>
    <m/>
    <x v="0"/>
    <x v="0"/>
    <x v="0"/>
    <x v="0"/>
    <x v="0"/>
    <m/>
    <m/>
    <m/>
    <m/>
    <x v="0"/>
    <x v="0"/>
    <m/>
    <x v="0"/>
    <m/>
    <x v="0"/>
    <x v="0"/>
    <x v="0"/>
    <x v="0"/>
    <x v="0"/>
  </r>
  <r>
    <x v="0"/>
    <x v="2"/>
    <s v="2790 J"/>
    <x v="10"/>
    <s v="چیزو چیز"/>
    <s v="LDN"/>
    <n v="11"/>
    <n v="18"/>
    <s v="پیور"/>
    <n v="140"/>
    <x v="0"/>
    <n v="1"/>
    <n v="44.6"/>
    <n v="1.3"/>
    <m/>
    <x v="0"/>
    <n v="43.300000000000004"/>
    <m/>
    <m/>
    <x v="0"/>
    <x v="0"/>
    <m/>
    <m/>
    <x v="0"/>
    <x v="0"/>
    <m/>
    <x v="0"/>
    <x v="0"/>
    <x v="0"/>
    <x v="0"/>
    <x v="0"/>
    <m/>
    <m/>
    <m/>
    <m/>
    <x v="0"/>
    <x v="0"/>
    <m/>
    <x v="0"/>
    <m/>
    <x v="0"/>
    <x v="0"/>
    <x v="0"/>
    <x v="0"/>
    <x v="0"/>
  </r>
  <r>
    <x v="0"/>
    <x v="2"/>
    <s v="2697 J"/>
    <x v="10"/>
    <s v="Atlas Honda LTD (SKP)"/>
    <s v="LDN"/>
    <n v="9"/>
    <s v="8.5-9"/>
    <s v="LDN"/>
    <n v="370"/>
    <x v="0"/>
    <n v="2"/>
    <n v="62"/>
    <n v="2.4"/>
    <m/>
    <x v="0"/>
    <n v="59.6"/>
    <m/>
    <m/>
    <x v="0"/>
    <x v="0"/>
    <m/>
    <m/>
    <x v="0"/>
    <x v="0"/>
    <m/>
    <x v="0"/>
    <x v="0"/>
    <x v="0"/>
    <x v="0"/>
    <x v="0"/>
    <m/>
    <m/>
    <m/>
    <m/>
    <x v="0"/>
    <x v="0"/>
    <m/>
    <x v="0"/>
    <m/>
    <x v="0"/>
    <x v="0"/>
    <x v="0"/>
    <x v="0"/>
    <x v="0"/>
  </r>
  <r>
    <x v="1"/>
    <x v="2"/>
    <s v="2790 J"/>
    <x v="10"/>
    <s v="چیزو چیز"/>
    <s v="LDN"/>
    <n v="11"/>
    <n v="18"/>
    <s v="پیور"/>
    <n v="140"/>
    <x v="0"/>
    <n v="3"/>
    <n v="108.8"/>
    <n v="3.8"/>
    <m/>
    <x v="0"/>
    <n v="105"/>
    <m/>
    <m/>
    <x v="0"/>
    <x v="0"/>
    <m/>
    <m/>
    <x v="0"/>
    <x v="0"/>
    <m/>
    <x v="0"/>
    <x v="0"/>
    <x v="0"/>
    <x v="0"/>
    <x v="0"/>
    <m/>
    <m/>
    <m/>
    <m/>
    <x v="0"/>
    <x v="0"/>
    <m/>
    <x v="0"/>
    <m/>
    <x v="0"/>
    <x v="0"/>
    <x v="0"/>
    <x v="0"/>
    <x v="0"/>
  </r>
  <r>
    <x v="1"/>
    <x v="2"/>
    <s v="2689 J"/>
    <x v="10"/>
    <s v="سادہ لفافہ احسان کاٹن"/>
    <s v="LDN"/>
    <n v="11"/>
    <n v="6"/>
    <s v="AA کولٹی"/>
    <n v="200"/>
    <x v="0"/>
    <n v="4"/>
    <n v="135.4"/>
    <n v="5.2"/>
    <m/>
    <x v="0"/>
    <n v="130.20000000000002"/>
    <m/>
    <m/>
    <x v="0"/>
    <x v="0"/>
    <m/>
    <m/>
    <x v="0"/>
    <x v="0"/>
    <m/>
    <x v="0"/>
    <x v="0"/>
    <x v="0"/>
    <x v="0"/>
    <x v="0"/>
    <m/>
    <m/>
    <m/>
    <m/>
    <x v="0"/>
    <x v="0"/>
    <m/>
    <x v="0"/>
    <m/>
    <x v="0"/>
    <x v="0"/>
    <x v="0"/>
    <x v="0"/>
    <x v="0"/>
  </r>
  <r>
    <x v="0"/>
    <x v="3"/>
    <n v="2756"/>
    <x v="10"/>
    <s v="MATCO FOOD"/>
    <s v="LDN"/>
    <n v="23"/>
    <s v="70 G"/>
    <s v="SL"/>
    <n v="7000"/>
    <x v="0"/>
    <n v="3"/>
    <n v="360.20000000000005"/>
    <n v="8.6"/>
    <m/>
    <x v="0"/>
    <n v="351.6"/>
    <m/>
    <m/>
    <x v="0"/>
    <x v="0"/>
    <m/>
    <m/>
    <x v="0"/>
    <x v="0"/>
    <m/>
    <x v="0"/>
    <x v="0"/>
    <x v="0"/>
    <x v="0"/>
    <x v="0"/>
    <m/>
    <m/>
    <m/>
    <m/>
    <x v="0"/>
    <x v="0"/>
    <m/>
    <x v="0"/>
    <m/>
    <x v="0"/>
    <x v="0"/>
    <x v="0"/>
    <x v="0"/>
    <x v="0"/>
  </r>
  <r>
    <x v="1"/>
    <x v="3"/>
    <n v="2756"/>
    <x v="10"/>
    <s v="MATCO FOOD"/>
    <s v="LDN"/>
    <n v="23"/>
    <s v="70 G"/>
    <s v="SL"/>
    <n v="7000"/>
    <x v="0"/>
    <n v="1"/>
    <n v="99.2"/>
    <n v="2.8"/>
    <m/>
    <x v="0"/>
    <n v="96.4"/>
    <m/>
    <m/>
    <x v="0"/>
    <x v="0"/>
    <m/>
    <m/>
    <x v="0"/>
    <x v="0"/>
    <m/>
    <x v="0"/>
    <x v="0"/>
    <x v="0"/>
    <x v="0"/>
    <x v="0"/>
    <m/>
    <m/>
    <m/>
    <m/>
    <x v="0"/>
    <x v="0"/>
    <m/>
    <x v="0"/>
    <m/>
    <x v="0"/>
    <x v="0"/>
    <x v="0"/>
    <x v="0"/>
    <x v="0"/>
  </r>
  <r>
    <x v="1"/>
    <x v="3"/>
    <n v="2758"/>
    <x v="10"/>
    <s v="SITARA CHEMICAL"/>
    <s v="LDN"/>
    <n v="24"/>
    <s v="100 G"/>
    <s v="SL"/>
    <n v="7500"/>
    <x v="0"/>
    <n v="2"/>
    <n v="213.8"/>
    <n v="5.8"/>
    <m/>
    <x v="0"/>
    <n v="208"/>
    <m/>
    <m/>
    <x v="0"/>
    <x v="0"/>
    <m/>
    <m/>
    <x v="0"/>
    <x v="0"/>
    <m/>
    <x v="0"/>
    <x v="0"/>
    <x v="0"/>
    <x v="0"/>
    <x v="0"/>
    <m/>
    <m/>
    <m/>
    <m/>
    <x v="0"/>
    <x v="0"/>
    <m/>
    <x v="0"/>
    <m/>
    <x v="0"/>
    <x v="0"/>
    <x v="0"/>
    <x v="0"/>
    <x v="0"/>
  </r>
  <r>
    <x v="0"/>
    <x v="4"/>
    <s v="2707 J"/>
    <x v="10"/>
    <s v="صادق بلو"/>
    <s v="LD بلو"/>
    <n v="18"/>
    <s v="10-10.5"/>
    <s v="ABA پیور"/>
    <n v="100"/>
    <x v="0"/>
    <n v="2"/>
    <n v="108"/>
    <n v="4.4000000000000004"/>
    <n v="34"/>
    <x v="0"/>
    <n v="103.6"/>
    <m/>
    <m/>
    <x v="0"/>
    <x v="0"/>
    <m/>
    <m/>
    <x v="0"/>
    <x v="0"/>
    <m/>
    <x v="0"/>
    <x v="0"/>
    <x v="0"/>
    <x v="0"/>
    <x v="0"/>
    <m/>
    <m/>
    <m/>
    <m/>
    <x v="0"/>
    <x v="0"/>
    <m/>
    <x v="0"/>
    <m/>
    <x v="0"/>
    <x v="0"/>
    <x v="0"/>
    <x v="0"/>
    <x v="0"/>
  </r>
  <r>
    <x v="0"/>
    <x v="4"/>
    <s v="2712 J"/>
    <x v="10"/>
    <s v="ٹائیگر بلو"/>
    <s v="LD بلو"/>
    <n v="18"/>
    <s v="10-10.5"/>
    <s v="ABA پیور"/>
    <n v="100"/>
    <x v="0"/>
    <n v="2"/>
    <n v="98.6"/>
    <n v="4.4000000000000004"/>
    <m/>
    <x v="0"/>
    <n v="94.199999999999989"/>
    <m/>
    <m/>
    <x v="0"/>
    <x v="0"/>
    <m/>
    <m/>
    <x v="0"/>
    <x v="0"/>
    <m/>
    <x v="0"/>
    <x v="0"/>
    <x v="0"/>
    <x v="0"/>
    <x v="0"/>
    <m/>
    <m/>
    <m/>
    <m/>
    <x v="0"/>
    <x v="0"/>
    <m/>
    <x v="0"/>
    <m/>
    <x v="0"/>
    <x v="0"/>
    <x v="0"/>
    <x v="0"/>
    <x v="0"/>
  </r>
  <r>
    <x v="0"/>
    <x v="4"/>
    <s v="2713 J"/>
    <x v="10"/>
    <s v="ٹائیگر بلو"/>
    <s v="LD بلو"/>
    <n v="18"/>
    <s v="10-10.5"/>
    <s v="ABA پیور"/>
    <n v="100"/>
    <x v="0"/>
    <n v="2"/>
    <n v="104.6"/>
    <n v="4.4000000000000004"/>
    <m/>
    <x v="0"/>
    <n v="100.19999999999999"/>
    <m/>
    <m/>
    <x v="0"/>
    <x v="0"/>
    <m/>
    <m/>
    <x v="0"/>
    <x v="0"/>
    <m/>
    <x v="0"/>
    <x v="0"/>
    <x v="0"/>
    <x v="0"/>
    <x v="0"/>
    <m/>
    <m/>
    <m/>
    <m/>
    <x v="0"/>
    <x v="0"/>
    <m/>
    <x v="0"/>
    <m/>
    <x v="0"/>
    <x v="0"/>
    <x v="0"/>
    <x v="0"/>
    <x v="0"/>
  </r>
  <r>
    <x v="0"/>
    <x v="4"/>
    <s v="2708 J"/>
    <x v="10"/>
    <s v="صادق بلو"/>
    <s v="LD بلو"/>
    <n v="18"/>
    <s v="10-10.5"/>
    <s v="ABA پیور"/>
    <n v="100"/>
    <x v="0"/>
    <n v="2"/>
    <n v="105.80000000000001"/>
    <n v="4.4000000000000004"/>
    <m/>
    <x v="0"/>
    <n v="101.4"/>
    <m/>
    <m/>
    <x v="0"/>
    <x v="0"/>
    <m/>
    <m/>
    <x v="0"/>
    <x v="0"/>
    <m/>
    <x v="0"/>
    <x v="0"/>
    <x v="0"/>
    <x v="0"/>
    <x v="0"/>
    <m/>
    <m/>
    <m/>
    <m/>
    <x v="0"/>
    <x v="0"/>
    <m/>
    <x v="0"/>
    <m/>
    <x v="0"/>
    <x v="0"/>
    <x v="0"/>
    <x v="0"/>
    <x v="0"/>
  </r>
  <r>
    <x v="0"/>
    <x v="4"/>
    <s v="2705 J"/>
    <x v="10"/>
    <s v="کلک بلو"/>
    <s v="LD بلو"/>
    <n v="16"/>
    <s v="10-10.5"/>
    <s v="ABA پیور"/>
    <n v="200"/>
    <x v="0"/>
    <n v="3"/>
    <n v="184"/>
    <n v="6"/>
    <m/>
    <x v="0"/>
    <n v="178"/>
    <m/>
    <m/>
    <x v="0"/>
    <x v="0"/>
    <m/>
    <m/>
    <x v="0"/>
    <x v="0"/>
    <m/>
    <x v="0"/>
    <x v="0"/>
    <x v="0"/>
    <x v="0"/>
    <x v="0"/>
    <m/>
    <m/>
    <m/>
    <m/>
    <x v="0"/>
    <x v="0"/>
    <m/>
    <x v="0"/>
    <m/>
    <x v="0"/>
    <x v="0"/>
    <x v="0"/>
    <x v="0"/>
    <x v="0"/>
  </r>
  <r>
    <x v="1"/>
    <x v="4"/>
    <s v="2706 J"/>
    <x v="10"/>
    <s v="کلک بلو"/>
    <s v="LD بلو"/>
    <n v="16"/>
    <s v="10-10.5"/>
    <s v="ABA پیور"/>
    <n v="200"/>
    <x v="0"/>
    <n v="4"/>
    <n v="202.79999999999998"/>
    <n v="8"/>
    <n v="56"/>
    <x v="0"/>
    <n v="194.79999999999998"/>
    <m/>
    <m/>
    <x v="0"/>
    <x v="0"/>
    <m/>
    <m/>
    <x v="0"/>
    <x v="0"/>
    <m/>
    <x v="0"/>
    <x v="0"/>
    <x v="0"/>
    <x v="0"/>
    <x v="0"/>
    <m/>
    <m/>
    <m/>
    <m/>
    <x v="0"/>
    <x v="0"/>
    <m/>
    <x v="0"/>
    <m/>
    <x v="0"/>
    <x v="0"/>
    <x v="0"/>
    <x v="0"/>
    <x v="0"/>
  </r>
  <r>
    <x v="1"/>
    <x v="4"/>
    <s v="2709 J"/>
    <x v="10"/>
    <s v="فلاور بلو"/>
    <s v="LD بلو"/>
    <n v="16"/>
    <s v="10-10.5"/>
    <s v="ABA پیور"/>
    <n v="300"/>
    <x v="0"/>
    <n v="6"/>
    <n v="314.39999999999998"/>
    <n v="12"/>
    <m/>
    <x v="0"/>
    <n v="302.39999999999998"/>
    <m/>
    <m/>
    <x v="0"/>
    <x v="0"/>
    <m/>
    <m/>
    <x v="0"/>
    <x v="0"/>
    <m/>
    <x v="0"/>
    <x v="0"/>
    <x v="0"/>
    <x v="0"/>
    <x v="0"/>
    <m/>
    <m/>
    <m/>
    <m/>
    <x v="0"/>
    <x v="0"/>
    <m/>
    <x v="0"/>
    <m/>
    <x v="0"/>
    <x v="0"/>
    <x v="0"/>
    <x v="0"/>
    <x v="0"/>
  </r>
  <r>
    <x v="1"/>
    <x v="4"/>
    <s v="2710 J"/>
    <x v="10"/>
    <s v="فلاور بلو"/>
    <s v="LD بلو"/>
    <n v="16"/>
    <s v="10-10.5"/>
    <s v="ABA پیور"/>
    <n v="350"/>
    <x v="0"/>
    <n v="1"/>
    <n v="45"/>
    <n v="2"/>
    <m/>
    <x v="0"/>
    <n v="43"/>
    <m/>
    <m/>
    <x v="0"/>
    <x v="0"/>
    <m/>
    <m/>
    <x v="0"/>
    <x v="0"/>
    <m/>
    <x v="0"/>
    <x v="0"/>
    <x v="0"/>
    <x v="0"/>
    <x v="0"/>
    <m/>
    <m/>
    <m/>
    <m/>
    <x v="0"/>
    <x v="0"/>
    <m/>
    <x v="0"/>
    <m/>
    <x v="0"/>
    <x v="0"/>
    <x v="0"/>
    <x v="0"/>
    <x v="0"/>
  </r>
  <r>
    <x v="0"/>
    <x v="5"/>
    <s v="1685 F"/>
    <x v="10"/>
    <s v="گرین بلیک پتہ وارننگ"/>
    <s v="LDN"/>
    <n v="17"/>
    <s v="7-7.5"/>
    <s v="پیور"/>
    <n v="320"/>
    <x v="0"/>
    <n v="1"/>
    <n v="52.8"/>
    <n v="2.1"/>
    <m/>
    <x v="0"/>
    <n v="50.699999999999996"/>
    <m/>
    <m/>
    <x v="0"/>
    <x v="0"/>
    <m/>
    <m/>
    <x v="0"/>
    <x v="0"/>
    <m/>
    <x v="0"/>
    <x v="0"/>
    <x v="0"/>
    <x v="0"/>
    <x v="0"/>
    <m/>
    <m/>
    <m/>
    <m/>
    <x v="0"/>
    <x v="0"/>
    <m/>
    <x v="0"/>
    <m/>
    <x v="0"/>
    <x v="0"/>
    <x v="0"/>
    <x v="0"/>
    <x v="0"/>
  </r>
  <r>
    <x v="0"/>
    <x v="5"/>
    <s v="1687 F"/>
    <x v="10"/>
    <s v="نیو کاپا اومنی بلیک"/>
    <s v="LDN"/>
    <n v="18.899999999999999"/>
    <s v="12"/>
    <s v="پیور"/>
    <n v="400"/>
    <x v="0"/>
    <n v="4"/>
    <n v="285.5"/>
    <n v="9.5"/>
    <m/>
    <x v="0"/>
    <n v="276"/>
    <m/>
    <m/>
    <x v="0"/>
    <x v="0"/>
    <m/>
    <m/>
    <x v="0"/>
    <x v="0"/>
    <m/>
    <x v="0"/>
    <x v="0"/>
    <x v="0"/>
    <x v="0"/>
    <x v="0"/>
    <m/>
    <m/>
    <m/>
    <m/>
    <x v="0"/>
    <x v="0"/>
    <m/>
    <x v="0"/>
    <m/>
    <x v="0"/>
    <x v="0"/>
    <x v="0"/>
    <x v="0"/>
    <x v="0"/>
  </r>
  <r>
    <x v="1"/>
    <x v="5"/>
    <s v="1687 F"/>
    <x v="10"/>
    <s v="نیو کاپا اومنی بلیک"/>
    <s v="LDN"/>
    <n v="18.899999999999999"/>
    <s v="12"/>
    <s v="پیور"/>
    <n v="400"/>
    <x v="0"/>
    <n v="2"/>
    <n v="126.71000000000001"/>
    <n v="4.5"/>
    <n v="10.8"/>
    <x v="0"/>
    <n v="122.21000000000001"/>
    <m/>
    <m/>
    <x v="0"/>
    <x v="0"/>
    <m/>
    <m/>
    <x v="0"/>
    <x v="0"/>
    <m/>
    <x v="0"/>
    <x v="0"/>
    <x v="0"/>
    <x v="0"/>
    <x v="0"/>
    <m/>
    <m/>
    <m/>
    <m/>
    <x v="0"/>
    <x v="0"/>
    <m/>
    <x v="0"/>
    <m/>
    <x v="0"/>
    <x v="0"/>
    <x v="0"/>
    <x v="0"/>
    <x v="0"/>
  </r>
  <r>
    <x v="1"/>
    <x v="5"/>
    <s v="1692 F"/>
    <x v="10"/>
    <s v="سادہ لفافہ"/>
    <s v="LDN"/>
    <n v="33"/>
    <s v="5-5.5"/>
    <s v="پیور"/>
    <n v="320"/>
    <x v="0"/>
    <n v="6"/>
    <n v="335.29"/>
    <n v="24.599999999999998"/>
    <m/>
    <x v="0"/>
    <n v="310.69"/>
    <m/>
    <m/>
    <x v="0"/>
    <x v="0"/>
    <m/>
    <m/>
    <x v="0"/>
    <x v="0"/>
    <m/>
    <x v="0"/>
    <x v="0"/>
    <x v="0"/>
    <x v="0"/>
    <x v="0"/>
    <m/>
    <m/>
    <m/>
    <m/>
    <x v="0"/>
    <x v="0"/>
    <m/>
    <x v="0"/>
    <m/>
    <x v="0"/>
    <x v="0"/>
    <x v="0"/>
    <x v="0"/>
    <x v="0"/>
  </r>
  <r>
    <x v="0"/>
    <x v="2"/>
    <s v="2689 J"/>
    <x v="11"/>
    <s v="سادہ لفافہ احسان کاٹن"/>
    <s v="LDN"/>
    <n v="11"/>
    <n v="6"/>
    <s v="AA کولٹی"/>
    <n v="200"/>
    <x v="0"/>
    <n v="2"/>
    <n v="70.150000000000006"/>
    <n v="2.6"/>
    <m/>
    <x v="0"/>
    <n v="67.550000000000011"/>
    <m/>
    <m/>
    <x v="0"/>
    <x v="0"/>
    <m/>
    <m/>
    <x v="0"/>
    <x v="0"/>
    <m/>
    <x v="0"/>
    <x v="0"/>
    <x v="0"/>
    <x v="0"/>
    <x v="0"/>
    <m/>
    <m/>
    <m/>
    <m/>
    <x v="0"/>
    <x v="0"/>
    <m/>
    <x v="0"/>
    <m/>
    <x v="0"/>
    <x v="0"/>
    <x v="0"/>
    <x v="0"/>
    <x v="0"/>
  </r>
  <r>
    <x v="0"/>
    <x v="2"/>
    <s v="9531 A"/>
    <x v="11"/>
    <s v="سادہ رول جیلانی پولی سٹاک"/>
    <s v="LDN"/>
    <s v="26 شیٹ"/>
    <s v="8-8.5/16-17"/>
    <s v="پیور"/>
    <n v="2000"/>
    <x v="0"/>
    <n v="2"/>
    <n v="193.4"/>
    <n v="6"/>
    <m/>
    <x v="0"/>
    <n v="187.4"/>
    <m/>
    <m/>
    <x v="0"/>
    <x v="0"/>
    <m/>
    <m/>
    <x v="0"/>
    <x v="0"/>
    <m/>
    <x v="0"/>
    <x v="0"/>
    <x v="0"/>
    <x v="0"/>
    <x v="0"/>
    <m/>
    <m/>
    <m/>
    <m/>
    <x v="0"/>
    <x v="0"/>
    <m/>
    <x v="0"/>
    <m/>
    <x v="0"/>
    <x v="0"/>
    <x v="0"/>
    <x v="0"/>
    <x v="0"/>
  </r>
  <r>
    <x v="1"/>
    <x v="2"/>
    <s v="9531 A"/>
    <x v="11"/>
    <s v="سادہ رول جیلانی پولی سٹاک"/>
    <s v="LDN"/>
    <s v="26 شیٹ"/>
    <s v="8-8.5/16-17"/>
    <s v="پیور"/>
    <n v="2000"/>
    <x v="0"/>
    <n v="1"/>
    <n v="154.4"/>
    <n v="3.4"/>
    <m/>
    <x v="0"/>
    <n v="151"/>
    <m/>
    <m/>
    <x v="0"/>
    <x v="0"/>
    <m/>
    <m/>
    <x v="0"/>
    <x v="0"/>
    <m/>
    <x v="0"/>
    <x v="0"/>
    <x v="0"/>
    <x v="0"/>
    <x v="0"/>
    <m/>
    <m/>
    <m/>
    <m/>
    <x v="0"/>
    <x v="0"/>
    <m/>
    <x v="0"/>
    <m/>
    <x v="0"/>
    <x v="0"/>
    <x v="0"/>
    <x v="0"/>
    <x v="0"/>
  </r>
  <r>
    <x v="1"/>
    <x v="2"/>
    <s v="2773 J"/>
    <x v="11"/>
    <s v="سادہ لفافہ سبحان ٹریڈرز"/>
    <s v="LDN"/>
    <n v="25"/>
    <s v="11.5-12"/>
    <s v="پیور"/>
    <n v="50"/>
    <x v="0"/>
    <n v="1"/>
    <n v="59"/>
    <n v="3.2"/>
    <m/>
    <x v="0"/>
    <n v="55.8"/>
    <m/>
    <m/>
    <x v="0"/>
    <x v="0"/>
    <m/>
    <m/>
    <x v="0"/>
    <x v="0"/>
    <m/>
    <x v="0"/>
    <x v="0"/>
    <x v="0"/>
    <x v="0"/>
    <x v="0"/>
    <m/>
    <m/>
    <m/>
    <m/>
    <x v="0"/>
    <x v="0"/>
    <m/>
    <x v="0"/>
    <m/>
    <x v="0"/>
    <x v="0"/>
    <x v="0"/>
    <x v="0"/>
    <x v="0"/>
  </r>
  <r>
    <x v="1"/>
    <x v="2"/>
    <s v="2774 J"/>
    <x v="11"/>
    <s v="سادہ لفافہ سبحان ٹریڈرز"/>
    <s v="LDN"/>
    <n v="23"/>
    <s v="11.5-12"/>
    <s v="پیور"/>
    <n v="25"/>
    <x v="0"/>
    <n v="1"/>
    <n v="38.799999999999997"/>
    <n v="2.8"/>
    <m/>
    <x v="0"/>
    <n v="36"/>
    <m/>
    <m/>
    <x v="0"/>
    <x v="0"/>
    <m/>
    <m/>
    <x v="0"/>
    <x v="0"/>
    <m/>
    <x v="0"/>
    <x v="0"/>
    <x v="0"/>
    <x v="0"/>
    <x v="0"/>
    <m/>
    <m/>
    <m/>
    <m/>
    <x v="0"/>
    <x v="0"/>
    <m/>
    <x v="0"/>
    <m/>
    <x v="0"/>
    <x v="0"/>
    <x v="0"/>
    <x v="0"/>
    <x v="0"/>
  </r>
  <r>
    <x v="1"/>
    <x v="2"/>
    <s v="2781 J"/>
    <x v="11"/>
    <s v="پائپر وارننگ"/>
    <s v="LDN"/>
    <n v="17"/>
    <s v="8.5-9"/>
    <s v="پیور"/>
    <n v="0"/>
    <x v="0"/>
    <n v="3"/>
    <n v="167.4"/>
    <n v="6"/>
    <m/>
    <x v="0"/>
    <n v="161.4"/>
    <m/>
    <m/>
    <x v="0"/>
    <x v="0"/>
    <m/>
    <m/>
    <x v="0"/>
    <x v="0"/>
    <m/>
    <x v="0"/>
    <x v="0"/>
    <x v="0"/>
    <x v="0"/>
    <x v="0"/>
    <m/>
    <m/>
    <m/>
    <m/>
    <x v="0"/>
    <x v="0"/>
    <m/>
    <x v="0"/>
    <m/>
    <x v="0"/>
    <x v="0"/>
    <x v="0"/>
    <x v="0"/>
    <x v="0"/>
  </r>
  <r>
    <x v="0"/>
    <x v="3"/>
    <n v="2758"/>
    <x v="11"/>
    <s v="SITARA CHEMICAL"/>
    <s v="LDN"/>
    <n v="24"/>
    <s v="100 G"/>
    <s v="SL"/>
    <n v="7500"/>
    <x v="0"/>
    <n v="3"/>
    <n v="382.6"/>
    <n v="8.9"/>
    <m/>
    <x v="0"/>
    <n v="373.70000000000005"/>
    <m/>
    <m/>
    <x v="0"/>
    <x v="0"/>
    <m/>
    <m/>
    <x v="0"/>
    <x v="0"/>
    <m/>
    <x v="0"/>
    <x v="0"/>
    <x v="0"/>
    <x v="0"/>
    <x v="0"/>
    <m/>
    <m/>
    <m/>
    <m/>
    <x v="0"/>
    <x v="0"/>
    <m/>
    <x v="0"/>
    <m/>
    <x v="0"/>
    <x v="0"/>
    <x v="0"/>
    <x v="0"/>
    <x v="0"/>
  </r>
  <r>
    <x v="1"/>
    <x v="3"/>
    <n v="2758"/>
    <x v="11"/>
    <s v="SITARA CHEMICAL"/>
    <s v="LDN"/>
    <n v="24"/>
    <s v="100 G"/>
    <s v="SL"/>
    <n v="7500"/>
    <x v="0"/>
    <n v="3"/>
    <n v="338.4"/>
    <n v="9"/>
    <n v="20"/>
    <x v="0"/>
    <n v="329.4"/>
    <m/>
    <m/>
    <x v="0"/>
    <x v="0"/>
    <m/>
    <m/>
    <x v="0"/>
    <x v="0"/>
    <m/>
    <x v="0"/>
    <x v="0"/>
    <x v="0"/>
    <x v="0"/>
    <x v="0"/>
    <m/>
    <m/>
    <m/>
    <m/>
    <x v="0"/>
    <x v="0"/>
    <m/>
    <x v="0"/>
    <m/>
    <x v="0"/>
    <x v="0"/>
    <x v="0"/>
    <x v="0"/>
    <x v="0"/>
  </r>
  <r>
    <x v="0"/>
    <x v="4"/>
    <s v="2710 J"/>
    <x v="11"/>
    <s v="فلاور بلو"/>
    <s v="LD بلو"/>
    <n v="16"/>
    <s v="10-10.5"/>
    <s v="ABA پیور"/>
    <n v="350"/>
    <x v="0"/>
    <n v="6"/>
    <n v="318.39999999999998"/>
    <n v="12"/>
    <m/>
    <x v="0"/>
    <n v="306.39999999999998"/>
    <m/>
    <m/>
    <x v="0"/>
    <x v="0"/>
    <m/>
    <m/>
    <x v="0"/>
    <x v="0"/>
    <m/>
    <x v="0"/>
    <x v="0"/>
    <x v="0"/>
    <x v="0"/>
    <x v="0"/>
    <m/>
    <m/>
    <m/>
    <m/>
    <x v="0"/>
    <x v="0"/>
    <m/>
    <x v="0"/>
    <m/>
    <x v="0"/>
    <x v="0"/>
    <x v="0"/>
    <x v="0"/>
    <x v="0"/>
  </r>
  <r>
    <x v="0"/>
    <x v="4"/>
    <s v="2705 J"/>
    <x v="11"/>
    <s v="کلک بلو"/>
    <s v="LD بلو"/>
    <n v="16"/>
    <s v="10-10.5"/>
    <s v="ABA پیور"/>
    <n v="200"/>
    <x v="0"/>
    <n v="1"/>
    <n v="18.8"/>
    <n v="2"/>
    <m/>
    <x v="0"/>
    <n v="16.8"/>
    <m/>
    <m/>
    <x v="0"/>
    <x v="0"/>
    <m/>
    <m/>
    <x v="0"/>
    <x v="0"/>
    <m/>
    <x v="0"/>
    <x v="0"/>
    <x v="0"/>
    <x v="0"/>
    <x v="0"/>
    <m/>
    <m/>
    <m/>
    <m/>
    <x v="0"/>
    <x v="0"/>
    <m/>
    <x v="0"/>
    <m/>
    <x v="0"/>
    <x v="0"/>
    <x v="0"/>
    <x v="0"/>
    <x v="0"/>
  </r>
  <r>
    <x v="0"/>
    <x v="4"/>
    <s v="2715 J"/>
    <x v="11"/>
    <s v="ایگل بلو"/>
    <s v="LD بلو"/>
    <n v="15"/>
    <s v="10-10.5"/>
    <s v="ABA پیور"/>
    <n v="350"/>
    <x v="0"/>
    <n v="4"/>
    <n v="210.20000000000002"/>
    <n v="7.8"/>
    <m/>
    <x v="0"/>
    <n v="202.4"/>
    <m/>
    <m/>
    <x v="0"/>
    <x v="0"/>
    <m/>
    <m/>
    <x v="0"/>
    <x v="0"/>
    <m/>
    <x v="0"/>
    <x v="0"/>
    <x v="0"/>
    <x v="0"/>
    <x v="0"/>
    <m/>
    <m/>
    <m/>
    <m/>
    <x v="0"/>
    <x v="0"/>
    <m/>
    <x v="0"/>
    <m/>
    <x v="0"/>
    <x v="0"/>
    <x v="0"/>
    <x v="0"/>
    <x v="0"/>
  </r>
  <r>
    <x v="1"/>
    <x v="4"/>
    <s v="2677 J"/>
    <x v="11"/>
    <s v="ہیپی لیک"/>
    <s v="LD پیلا"/>
    <n v="17"/>
    <s v="-"/>
    <s v="ABA پیور"/>
    <n v="520"/>
    <x v="0"/>
    <n v="5"/>
    <n v="563"/>
    <n v="10.9"/>
    <n v="103"/>
    <x v="0"/>
    <n v="552.1"/>
    <m/>
    <m/>
    <x v="0"/>
    <x v="0"/>
    <m/>
    <m/>
    <x v="0"/>
    <x v="0"/>
    <m/>
    <x v="0"/>
    <x v="0"/>
    <x v="0"/>
    <x v="0"/>
    <x v="0"/>
    <m/>
    <m/>
    <m/>
    <m/>
    <x v="0"/>
    <x v="0"/>
    <m/>
    <x v="0"/>
    <m/>
    <x v="0"/>
    <x v="0"/>
    <x v="0"/>
    <x v="0"/>
    <x v="0"/>
  </r>
  <r>
    <x v="0"/>
    <x v="5"/>
    <s v="2753 J"/>
    <x v="11"/>
    <s v="سادہ لفافہ شفعی ٹیکسل"/>
    <s v="LDN"/>
    <n v="26"/>
    <n v="10"/>
    <s v="پیور"/>
    <n v="200"/>
    <x v="0"/>
    <n v="4"/>
    <n v="194.3"/>
    <n v="12.900000000000002"/>
    <n v="29"/>
    <x v="0"/>
    <n v="181.4"/>
    <m/>
    <m/>
    <x v="0"/>
    <x v="0"/>
    <m/>
    <m/>
    <x v="0"/>
    <x v="0"/>
    <m/>
    <x v="0"/>
    <x v="0"/>
    <x v="0"/>
    <x v="0"/>
    <x v="0"/>
    <m/>
    <m/>
    <m/>
    <m/>
    <x v="0"/>
    <x v="0"/>
    <m/>
    <x v="0"/>
    <m/>
    <x v="0"/>
    <x v="0"/>
    <x v="0"/>
    <x v="0"/>
    <x v="0"/>
  </r>
  <r>
    <x v="0"/>
    <x v="5"/>
    <s v="2750 J"/>
    <x v="11"/>
    <s v="سادہ لفافہ شفعی ٹیکسل"/>
    <s v="LDN"/>
    <n v="26"/>
    <n v="6"/>
    <s v="پیور"/>
    <n v="250"/>
    <x v="0"/>
    <n v="5"/>
    <n v="276.89999999999998"/>
    <n v="15.799999999999999"/>
    <m/>
    <x v="0"/>
    <n v="261.09999999999997"/>
    <m/>
    <m/>
    <x v="0"/>
    <x v="0"/>
    <m/>
    <m/>
    <x v="0"/>
    <x v="0"/>
    <m/>
    <x v="0"/>
    <x v="0"/>
    <x v="0"/>
    <x v="0"/>
    <x v="0"/>
    <m/>
    <m/>
    <m/>
    <m/>
    <x v="0"/>
    <x v="0"/>
    <m/>
    <x v="0"/>
    <m/>
    <x v="0"/>
    <x v="0"/>
    <x v="0"/>
    <x v="0"/>
    <x v="0"/>
  </r>
  <r>
    <x v="1"/>
    <x v="5"/>
    <s v="1698 F"/>
    <x v="11"/>
    <s v="NEXT وارننگ"/>
    <s v="LDN"/>
    <n v="36"/>
    <s v="7-7.5"/>
    <s v="جیلانی شیٹ"/>
    <n v="55"/>
    <x v="0"/>
    <n v="1"/>
    <n v="63"/>
    <n v="4.0999999999999996"/>
    <n v="17"/>
    <x v="0"/>
    <n v="58.9"/>
    <m/>
    <m/>
    <x v="0"/>
    <x v="0"/>
    <m/>
    <m/>
    <x v="0"/>
    <x v="0"/>
    <m/>
    <x v="0"/>
    <x v="0"/>
    <x v="0"/>
    <x v="0"/>
    <x v="0"/>
    <m/>
    <m/>
    <m/>
    <m/>
    <x v="0"/>
    <x v="0"/>
    <m/>
    <x v="0"/>
    <m/>
    <x v="0"/>
    <x v="0"/>
    <x v="0"/>
    <x v="0"/>
    <x v="0"/>
  </r>
  <r>
    <x v="1"/>
    <x v="5"/>
    <s v="2690 J"/>
    <x v="11"/>
    <s v="سادہ لفافہ احسان کاٹن"/>
    <s v="LDN"/>
    <n v="40"/>
    <n v="6"/>
    <s v="AA کولٹی"/>
    <n v="100"/>
    <x v="0"/>
    <n v="2"/>
    <n v="116.4"/>
    <n v="10.199999999999999"/>
    <m/>
    <x v="0"/>
    <n v="106.2"/>
    <m/>
    <m/>
    <x v="0"/>
    <x v="0"/>
    <m/>
    <m/>
    <x v="0"/>
    <x v="0"/>
    <m/>
    <x v="0"/>
    <x v="0"/>
    <x v="0"/>
    <x v="0"/>
    <x v="0"/>
    <m/>
    <m/>
    <m/>
    <m/>
    <x v="0"/>
    <x v="0"/>
    <m/>
    <x v="0"/>
    <m/>
    <x v="0"/>
    <x v="0"/>
    <x v="0"/>
    <x v="0"/>
    <x v="0"/>
  </r>
  <r>
    <x v="1"/>
    <x v="5"/>
    <s v="2692 J"/>
    <x v="11"/>
    <s v="سادہ لفافہ احسان کاٹن"/>
    <s v="LDN"/>
    <n v="40"/>
    <n v="6"/>
    <s v="AA کولٹی"/>
    <n v="500"/>
    <x v="0"/>
    <n v="8"/>
    <n v="425.60999999999996"/>
    <n v="40.799999999999997"/>
    <m/>
    <x v="0"/>
    <n v="384.80999999999995"/>
    <m/>
    <m/>
    <x v="0"/>
    <x v="0"/>
    <m/>
    <m/>
    <x v="0"/>
    <x v="0"/>
    <m/>
    <x v="0"/>
    <x v="0"/>
    <x v="0"/>
    <x v="0"/>
    <x v="0"/>
    <m/>
    <m/>
    <m/>
    <m/>
    <x v="0"/>
    <x v="0"/>
    <m/>
    <x v="0"/>
    <m/>
    <x v="0"/>
    <x v="0"/>
    <x v="0"/>
    <x v="0"/>
    <x v="0"/>
  </r>
  <r>
    <x v="0"/>
    <x v="0"/>
    <s v="NO PRODUCTION"/>
    <x v="12"/>
    <s v="-"/>
    <s v="-"/>
    <s v="-"/>
    <s v="-"/>
    <s v="-"/>
    <s v="-"/>
    <x v="0"/>
    <m/>
    <m/>
    <m/>
    <n v="37"/>
    <x v="0"/>
    <n v="0"/>
    <m/>
    <m/>
    <x v="0"/>
    <x v="0"/>
    <m/>
    <m/>
    <x v="0"/>
    <x v="0"/>
    <m/>
    <x v="0"/>
    <x v="0"/>
    <x v="0"/>
    <x v="0"/>
    <x v="0"/>
    <m/>
    <m/>
    <m/>
    <m/>
    <x v="0"/>
    <x v="0"/>
    <m/>
    <x v="0"/>
    <m/>
    <x v="0"/>
    <x v="0"/>
    <x v="0"/>
    <x v="0"/>
    <x v="0"/>
  </r>
  <r>
    <x v="1"/>
    <x v="0"/>
    <s v="2594 j"/>
    <x v="12"/>
    <s v="EMULITE 50MM"/>
    <s v="LD گولڈن پیلا"/>
    <s v="80MM"/>
    <s v="31-32"/>
    <s v="پیور"/>
    <n v="2500"/>
    <x v="0"/>
    <n v="3"/>
    <n v="132.60000000000002"/>
    <n v="2.4"/>
    <n v="10"/>
    <x v="0"/>
    <n v="130.20000000000002"/>
    <m/>
    <m/>
    <x v="0"/>
    <x v="0"/>
    <m/>
    <m/>
    <x v="0"/>
    <x v="0"/>
    <m/>
    <x v="0"/>
    <x v="0"/>
    <x v="0"/>
    <x v="0"/>
    <x v="0"/>
    <m/>
    <m/>
    <m/>
    <m/>
    <x v="0"/>
    <x v="0"/>
    <m/>
    <x v="0"/>
    <m/>
    <x v="0"/>
    <x v="0"/>
    <x v="0"/>
    <x v="0"/>
    <x v="0"/>
  </r>
  <r>
    <x v="0"/>
    <x v="2"/>
    <s v="2781 J"/>
    <x v="12"/>
    <s v="پائپر وارننگ"/>
    <s v="LDN"/>
    <n v="17"/>
    <s v="8.5-9"/>
    <s v="پیور"/>
    <n v="0"/>
    <x v="0"/>
    <n v="5"/>
    <n v="312.5"/>
    <n v="10.5"/>
    <n v="11"/>
    <x v="0"/>
    <n v="302"/>
    <m/>
    <m/>
    <x v="0"/>
    <x v="0"/>
    <m/>
    <m/>
    <x v="0"/>
    <x v="0"/>
    <m/>
    <x v="0"/>
    <x v="0"/>
    <x v="0"/>
    <x v="0"/>
    <x v="0"/>
    <m/>
    <m/>
    <m/>
    <m/>
    <x v="0"/>
    <x v="0"/>
    <m/>
    <x v="0"/>
    <m/>
    <x v="0"/>
    <x v="0"/>
    <x v="0"/>
    <x v="0"/>
    <x v="0"/>
  </r>
  <r>
    <x v="1"/>
    <x v="2"/>
    <s v="1677 F"/>
    <x v="12"/>
    <s v="TIFFOSIوارننگ"/>
    <s v="LDN"/>
    <n v="17"/>
    <s v="7-7.5"/>
    <s v="پیور"/>
    <n v="115"/>
    <x v="0"/>
    <n v="2"/>
    <n v="106"/>
    <n v="4"/>
    <m/>
    <x v="0"/>
    <n v="102"/>
    <m/>
    <m/>
    <x v="0"/>
    <x v="0"/>
    <m/>
    <m/>
    <x v="0"/>
    <x v="0"/>
    <m/>
    <x v="0"/>
    <x v="0"/>
    <x v="0"/>
    <x v="0"/>
    <x v="0"/>
    <m/>
    <m/>
    <m/>
    <m/>
    <x v="0"/>
    <x v="0"/>
    <m/>
    <x v="0"/>
    <m/>
    <x v="0"/>
    <x v="0"/>
    <x v="0"/>
    <x v="0"/>
    <x v="0"/>
  </r>
  <r>
    <x v="1"/>
    <x v="2"/>
    <s v="1705 F"/>
    <x v="12"/>
    <s v="کاپا اومنی وارننگ"/>
    <s v="LDN"/>
    <n v="17.25"/>
    <s v="12"/>
    <s v="پیور"/>
    <n v="500"/>
    <x v="0"/>
    <n v="3"/>
    <n v="166"/>
    <n v="6"/>
    <m/>
    <x v="0"/>
    <n v="160"/>
    <m/>
    <m/>
    <x v="0"/>
    <x v="0"/>
    <m/>
    <m/>
    <x v="0"/>
    <x v="0"/>
    <m/>
    <x v="0"/>
    <x v="0"/>
    <x v="0"/>
    <x v="0"/>
    <x v="0"/>
    <m/>
    <m/>
    <m/>
    <m/>
    <x v="0"/>
    <x v="0"/>
    <m/>
    <x v="0"/>
    <m/>
    <x v="0"/>
    <x v="0"/>
    <x v="0"/>
    <x v="0"/>
    <x v="0"/>
  </r>
  <r>
    <x v="0"/>
    <x v="3"/>
    <n v="2758"/>
    <x v="12"/>
    <s v="SITARA CHEMICAL"/>
    <s v="LDN"/>
    <n v="24"/>
    <s v="100 G"/>
    <s v="SL"/>
    <n v="7500"/>
    <x v="0"/>
    <n v="3"/>
    <n v="409.59999999999997"/>
    <n v="9.3000000000000007"/>
    <m/>
    <x v="0"/>
    <n v="400.29999999999995"/>
    <m/>
    <m/>
    <x v="0"/>
    <x v="0"/>
    <m/>
    <m/>
    <x v="0"/>
    <x v="0"/>
    <m/>
    <x v="0"/>
    <x v="0"/>
    <x v="0"/>
    <x v="0"/>
    <x v="0"/>
    <m/>
    <m/>
    <m/>
    <m/>
    <x v="0"/>
    <x v="0"/>
    <m/>
    <x v="0"/>
    <m/>
    <x v="0"/>
    <x v="0"/>
    <x v="0"/>
    <x v="0"/>
    <x v="0"/>
  </r>
  <r>
    <x v="1"/>
    <x v="3"/>
    <n v="2758"/>
    <x v="12"/>
    <s v="SITARA CHEMICAL"/>
    <s v="LDN"/>
    <n v="24"/>
    <s v="100 G"/>
    <s v="SL"/>
    <n v="7500"/>
    <x v="0"/>
    <n v="3"/>
    <n v="331.6"/>
    <n v="8.6999999999999993"/>
    <m/>
    <x v="0"/>
    <n v="322.90000000000003"/>
    <m/>
    <m/>
    <x v="0"/>
    <x v="0"/>
    <m/>
    <m/>
    <x v="0"/>
    <x v="0"/>
    <m/>
    <x v="0"/>
    <x v="0"/>
    <x v="0"/>
    <x v="0"/>
    <x v="0"/>
    <m/>
    <m/>
    <m/>
    <m/>
    <x v="0"/>
    <x v="0"/>
    <m/>
    <x v="0"/>
    <m/>
    <x v="0"/>
    <x v="0"/>
    <x v="0"/>
    <x v="0"/>
    <x v="0"/>
  </r>
  <r>
    <x v="0"/>
    <x v="4"/>
    <s v="2704 J"/>
    <x v="12"/>
    <s v=" سادہ لفافہ وقاص وولن "/>
    <s v="LD پیلا"/>
    <n v="18"/>
    <s v="10-10.5"/>
    <s v="ABA تھینکیو"/>
    <n v="150"/>
    <x v="0"/>
    <n v="2"/>
    <n v="155.4"/>
    <n v="4.5999999999999996"/>
    <n v="28"/>
    <x v="0"/>
    <n v="150.80000000000001"/>
    <m/>
    <m/>
    <x v="0"/>
    <x v="0"/>
    <m/>
    <m/>
    <x v="0"/>
    <x v="0"/>
    <m/>
    <x v="0"/>
    <x v="0"/>
    <x v="0"/>
    <x v="0"/>
    <x v="0"/>
    <m/>
    <m/>
    <m/>
    <m/>
    <x v="0"/>
    <x v="0"/>
    <m/>
    <x v="0"/>
    <m/>
    <x v="0"/>
    <x v="0"/>
    <x v="0"/>
    <x v="0"/>
    <x v="0"/>
  </r>
  <r>
    <x v="0"/>
    <x v="4"/>
    <s v="2703 J"/>
    <x v="12"/>
    <s v=" سادہ لفافہ وقاص وولن "/>
    <s v="LD پیلا"/>
    <n v="16"/>
    <s v="10-10.5"/>
    <s v="ABA تھینکیو"/>
    <n v="150"/>
    <x v="0"/>
    <n v="4"/>
    <n v="219.8"/>
    <n v="8"/>
    <m/>
    <x v="0"/>
    <n v="211.8"/>
    <m/>
    <m/>
    <x v="0"/>
    <x v="0"/>
    <m/>
    <m/>
    <x v="0"/>
    <x v="0"/>
    <m/>
    <x v="0"/>
    <x v="0"/>
    <x v="0"/>
    <x v="0"/>
    <x v="0"/>
    <m/>
    <m/>
    <m/>
    <m/>
    <x v="0"/>
    <x v="0"/>
    <m/>
    <x v="0"/>
    <m/>
    <x v="0"/>
    <x v="0"/>
    <x v="0"/>
    <x v="0"/>
    <x v="0"/>
  </r>
  <r>
    <x v="0"/>
    <x v="4"/>
    <s v="2700 J"/>
    <x v="12"/>
    <s v=" سادہ لفافہ وقاص وولن "/>
    <s v="LD اورنج"/>
    <n v="15"/>
    <s v="10-10.5"/>
    <s v="ABA تھینکیو"/>
    <n v="300"/>
    <x v="0"/>
    <n v="3"/>
    <n v="168.2"/>
    <n v="4.5"/>
    <m/>
    <x v="0"/>
    <n v="163.69999999999999"/>
    <m/>
    <m/>
    <x v="0"/>
    <x v="0"/>
    <m/>
    <m/>
    <x v="0"/>
    <x v="0"/>
    <m/>
    <x v="0"/>
    <x v="0"/>
    <x v="0"/>
    <x v="0"/>
    <x v="0"/>
    <m/>
    <m/>
    <m/>
    <m/>
    <x v="0"/>
    <x v="0"/>
    <m/>
    <x v="0"/>
    <m/>
    <x v="0"/>
    <x v="0"/>
    <x v="0"/>
    <x v="0"/>
    <x v="0"/>
  </r>
  <r>
    <x v="1"/>
    <x v="4"/>
    <s v="2700 J"/>
    <x v="12"/>
    <s v=" سادہ لفافہ وقاص وولن "/>
    <s v="LD اورنج"/>
    <n v="15"/>
    <s v="10-10.5"/>
    <s v="ABA تھینکیو"/>
    <n v="300"/>
    <x v="0"/>
    <n v="3"/>
    <n v="153.20000000000002"/>
    <n v="6"/>
    <n v="36"/>
    <x v="0"/>
    <n v="147.20000000000002"/>
    <m/>
    <m/>
    <x v="0"/>
    <x v="0"/>
    <m/>
    <m/>
    <x v="0"/>
    <x v="0"/>
    <m/>
    <x v="0"/>
    <x v="0"/>
    <x v="0"/>
    <x v="0"/>
    <x v="0"/>
    <m/>
    <m/>
    <m/>
    <m/>
    <x v="0"/>
    <x v="0"/>
    <m/>
    <x v="0"/>
    <m/>
    <x v="0"/>
    <x v="0"/>
    <x v="0"/>
    <x v="0"/>
    <x v="0"/>
  </r>
  <r>
    <x v="1"/>
    <x v="4"/>
    <s v="2701 J"/>
    <x v="12"/>
    <s v="سادہ لفافہ وقاص وولن"/>
    <s v="LD اورنج"/>
    <n v="12"/>
    <s v="8-8.5"/>
    <s v="ABA تھینکیو"/>
    <n v="200"/>
    <x v="0"/>
    <n v="4"/>
    <n v="217.60000000000002"/>
    <n v="5.9"/>
    <m/>
    <x v="0"/>
    <n v="211.70000000000002"/>
    <m/>
    <m/>
    <x v="0"/>
    <x v="0"/>
    <m/>
    <m/>
    <x v="0"/>
    <x v="0"/>
    <m/>
    <x v="0"/>
    <x v="0"/>
    <x v="0"/>
    <x v="0"/>
    <x v="0"/>
    <m/>
    <m/>
    <m/>
    <m/>
    <x v="0"/>
    <x v="0"/>
    <m/>
    <x v="0"/>
    <m/>
    <x v="0"/>
    <x v="0"/>
    <x v="0"/>
    <x v="0"/>
    <x v="0"/>
  </r>
  <r>
    <x v="1"/>
    <x v="4"/>
    <s v="2829 J"/>
    <x v="12"/>
    <s v="تھینکیو (اولڈ ڈیزئن)"/>
    <s v="LD ریڈ"/>
    <s v="12+3+3"/>
    <s v="7.5/15"/>
    <s v="ABA پیور"/>
    <n v="110"/>
    <x v="0"/>
    <n v="4"/>
    <n v="120.60000000000001"/>
    <n v="5.9"/>
    <m/>
    <x v="0"/>
    <n v="114.7"/>
    <m/>
    <m/>
    <x v="0"/>
    <x v="0"/>
    <m/>
    <m/>
    <x v="0"/>
    <x v="0"/>
    <m/>
    <x v="0"/>
    <x v="0"/>
    <x v="0"/>
    <x v="0"/>
    <x v="0"/>
    <m/>
    <m/>
    <m/>
    <m/>
    <x v="0"/>
    <x v="0"/>
    <m/>
    <x v="0"/>
    <m/>
    <x v="0"/>
    <x v="0"/>
    <x v="0"/>
    <x v="0"/>
    <x v="0"/>
  </r>
  <r>
    <x v="0"/>
    <x v="5"/>
    <s v="2692 J"/>
    <x v="12"/>
    <s v="سادہ لفافہ احسان کاٹن"/>
    <s v="LDN"/>
    <n v="40"/>
    <n v="6"/>
    <s v="AA کولٹی"/>
    <n v="500"/>
    <x v="0"/>
    <n v="2"/>
    <n v="121"/>
    <n v="10.199999999999999"/>
    <n v="11"/>
    <x v="0"/>
    <n v="110.8"/>
    <m/>
    <m/>
    <x v="0"/>
    <x v="0"/>
    <m/>
    <m/>
    <x v="0"/>
    <x v="0"/>
    <m/>
    <x v="0"/>
    <x v="0"/>
    <x v="0"/>
    <x v="0"/>
    <x v="0"/>
    <m/>
    <m/>
    <m/>
    <m/>
    <x v="0"/>
    <x v="0"/>
    <m/>
    <x v="0"/>
    <m/>
    <x v="0"/>
    <x v="0"/>
    <x v="0"/>
    <x v="0"/>
    <x v="0"/>
  </r>
  <r>
    <x v="0"/>
    <x v="5"/>
    <s v="1701 F"/>
    <x v="12"/>
    <s v="MAKNIT وارننگ نیو"/>
    <s v="LDN"/>
    <n v="21"/>
    <s v="8-8.5"/>
    <s v="جیلانی شیٹ"/>
    <n v="55"/>
    <x v="0"/>
    <n v="1"/>
    <n v="58.1"/>
    <n v="2.4"/>
    <m/>
    <x v="0"/>
    <n v="55.7"/>
    <m/>
    <m/>
    <x v="0"/>
    <x v="0"/>
    <m/>
    <m/>
    <x v="0"/>
    <x v="0"/>
    <m/>
    <x v="0"/>
    <x v="0"/>
    <x v="0"/>
    <x v="0"/>
    <x v="0"/>
    <m/>
    <m/>
    <m/>
    <m/>
    <x v="0"/>
    <x v="0"/>
    <m/>
    <x v="0"/>
    <m/>
    <x v="0"/>
    <x v="0"/>
    <x v="0"/>
    <x v="0"/>
    <x v="0"/>
  </r>
  <r>
    <x v="0"/>
    <x v="5"/>
    <s v="1702 F"/>
    <x v="12"/>
    <s v="MAKNIT وارننگ نیو"/>
    <s v="LDN"/>
    <n v="21"/>
    <s v="8-8.5"/>
    <s v="جیلانی شیٹ"/>
    <n v="130"/>
    <x v="0"/>
    <n v="2"/>
    <n v="141.9"/>
    <n v="4.8"/>
    <m/>
    <x v="0"/>
    <n v="137.1"/>
    <m/>
    <m/>
    <x v="0"/>
    <x v="0"/>
    <m/>
    <m/>
    <x v="0"/>
    <x v="0"/>
    <m/>
    <x v="0"/>
    <x v="0"/>
    <x v="0"/>
    <x v="0"/>
    <x v="0"/>
    <m/>
    <m/>
    <m/>
    <m/>
    <x v="0"/>
    <x v="0"/>
    <m/>
    <x v="0"/>
    <m/>
    <x v="0"/>
    <x v="0"/>
    <x v="0"/>
    <x v="0"/>
    <x v="0"/>
  </r>
  <r>
    <x v="0"/>
    <x v="5"/>
    <s v="1703 F"/>
    <x v="12"/>
    <s v="MAKNIT وارننگ نیو"/>
    <s v="LDN"/>
    <n v="20"/>
    <s v="8-8.5"/>
    <s v="جیلانی شیٹ"/>
    <n v="55"/>
    <x v="0"/>
    <n v="1"/>
    <n v="64.400000000000006"/>
    <n v="2.2000000000000002"/>
    <m/>
    <x v="0"/>
    <n v="62.2"/>
    <m/>
    <m/>
    <x v="0"/>
    <x v="0"/>
    <m/>
    <m/>
    <x v="0"/>
    <x v="0"/>
    <m/>
    <x v="0"/>
    <x v="0"/>
    <x v="0"/>
    <x v="0"/>
    <x v="0"/>
    <m/>
    <m/>
    <m/>
    <m/>
    <x v="0"/>
    <x v="0"/>
    <m/>
    <x v="0"/>
    <m/>
    <x v="0"/>
    <x v="0"/>
    <x v="0"/>
    <x v="0"/>
    <x v="0"/>
  </r>
  <r>
    <x v="1"/>
    <x v="5"/>
    <s v="1699 F"/>
    <x v="12"/>
    <s v="ری سائیکل لوگو +وارننگ L"/>
    <s v="LDN"/>
    <n v="18"/>
    <s v="5.5-6"/>
    <s v="جیلانی شیٹ"/>
    <n v="130"/>
    <x v="0"/>
    <n v="4"/>
    <n v="138.45000000000002"/>
    <n v="9.1999999999999993"/>
    <n v="14.4"/>
    <x v="0"/>
    <n v="129.25000000000003"/>
    <m/>
    <m/>
    <x v="0"/>
    <x v="0"/>
    <m/>
    <m/>
    <x v="0"/>
    <x v="0"/>
    <m/>
    <x v="0"/>
    <x v="0"/>
    <x v="0"/>
    <x v="0"/>
    <x v="0"/>
    <m/>
    <m/>
    <m/>
    <m/>
    <x v="0"/>
    <x v="0"/>
    <m/>
    <x v="0"/>
    <m/>
    <x v="0"/>
    <x v="0"/>
    <x v="0"/>
    <x v="0"/>
    <x v="0"/>
  </r>
  <r>
    <x v="1"/>
    <x v="5"/>
    <s v="1700 F"/>
    <x v="12"/>
    <s v="ری سائیکل لوگو +وارننگ L"/>
    <s v="LDN"/>
    <n v="19"/>
    <s v="5.5-6"/>
    <s v="جیلانی شیٹ"/>
    <n v="75"/>
    <x v="0"/>
    <n v="2"/>
    <n v="87.65"/>
    <n v="4.2"/>
    <m/>
    <x v="0"/>
    <n v="83.45"/>
    <m/>
    <m/>
    <x v="0"/>
    <x v="0"/>
    <m/>
    <m/>
    <x v="0"/>
    <x v="0"/>
    <m/>
    <x v="0"/>
    <x v="0"/>
    <x v="0"/>
    <x v="0"/>
    <x v="0"/>
    <m/>
    <m/>
    <m/>
    <m/>
    <x v="0"/>
    <x v="0"/>
    <m/>
    <x v="0"/>
    <m/>
    <x v="0"/>
    <x v="0"/>
    <x v="0"/>
    <x v="0"/>
    <x v="0"/>
  </r>
  <r>
    <x v="1"/>
    <x v="5"/>
    <s v="1704 F"/>
    <x v="12"/>
    <s v="UHL وارننگ"/>
    <s v="LDN"/>
    <n v="17"/>
    <s v="12"/>
    <s v="جیلانی شیٹ"/>
    <n v="500"/>
    <x v="0"/>
    <n v="1"/>
    <n v="48.47"/>
    <n v="2.1"/>
    <m/>
    <x v="0"/>
    <n v="46.37"/>
    <m/>
    <m/>
    <x v="0"/>
    <x v="0"/>
    <m/>
    <m/>
    <x v="0"/>
    <x v="0"/>
    <m/>
    <x v="0"/>
    <x v="0"/>
    <x v="0"/>
    <x v="0"/>
    <x v="0"/>
    <m/>
    <m/>
    <m/>
    <m/>
    <x v="0"/>
    <x v="0"/>
    <m/>
    <x v="0"/>
    <m/>
    <x v="0"/>
    <x v="0"/>
    <x v="0"/>
    <x v="0"/>
    <x v="0"/>
  </r>
  <r>
    <x v="0"/>
    <x v="0"/>
    <s v="2594 J"/>
    <x v="13"/>
    <s v="EMULITE 50MM"/>
    <s v="LD گولڈن پیلا"/>
    <s v="80MM"/>
    <s v="31-32"/>
    <s v="پیور"/>
    <n v="2500"/>
    <x v="0"/>
    <n v="3"/>
    <n v="113.60000000000001"/>
    <n v="4.2"/>
    <n v="8"/>
    <x v="0"/>
    <n v="109.4"/>
    <m/>
    <m/>
    <x v="0"/>
    <x v="0"/>
    <m/>
    <m/>
    <x v="0"/>
    <x v="0"/>
    <m/>
    <x v="0"/>
    <x v="0"/>
    <x v="0"/>
    <x v="0"/>
    <x v="0"/>
    <m/>
    <m/>
    <m/>
    <m/>
    <x v="0"/>
    <x v="0"/>
    <m/>
    <x v="0"/>
    <m/>
    <x v="0"/>
    <x v="0"/>
    <x v="0"/>
    <x v="0"/>
    <x v="0"/>
  </r>
  <r>
    <x v="1"/>
    <x v="0"/>
    <s v="2594 J"/>
    <x v="13"/>
    <s v="EMULITE 50MM"/>
    <s v="LD گولڈن پیلا"/>
    <s v="80MM"/>
    <s v="31-32"/>
    <s v="پیور"/>
    <n v="2500"/>
    <x v="0"/>
    <n v="3"/>
    <n v="124"/>
    <n v="2.0999999999999996"/>
    <m/>
    <x v="0"/>
    <n v="121.9"/>
    <m/>
    <m/>
    <x v="0"/>
    <x v="0"/>
    <m/>
    <m/>
    <x v="0"/>
    <x v="0"/>
    <m/>
    <x v="0"/>
    <x v="0"/>
    <x v="0"/>
    <x v="0"/>
    <x v="0"/>
    <m/>
    <m/>
    <m/>
    <m/>
    <x v="0"/>
    <x v="0"/>
    <m/>
    <x v="0"/>
    <m/>
    <x v="0"/>
    <x v="0"/>
    <x v="0"/>
    <x v="0"/>
    <x v="0"/>
  </r>
  <r>
    <x v="0"/>
    <x v="2"/>
    <s v="1705 F"/>
    <x v="13"/>
    <s v="کاپا اومنی وارننگ"/>
    <s v="LDN"/>
    <n v="17.25"/>
    <s v="12"/>
    <s v="پیور"/>
    <n v="500"/>
    <x v="0"/>
    <n v="5"/>
    <n v="321.29999999999995"/>
    <n v="10"/>
    <n v="4"/>
    <x v="0"/>
    <n v="311.29999999999995"/>
    <m/>
    <m/>
    <x v="0"/>
    <x v="0"/>
    <m/>
    <m/>
    <x v="0"/>
    <x v="0"/>
    <m/>
    <x v="0"/>
    <x v="0"/>
    <x v="0"/>
    <x v="0"/>
    <x v="0"/>
    <m/>
    <m/>
    <m/>
    <m/>
    <x v="0"/>
    <x v="0"/>
    <m/>
    <x v="0"/>
    <m/>
    <x v="0"/>
    <x v="0"/>
    <x v="0"/>
    <x v="0"/>
    <x v="0"/>
  </r>
  <r>
    <x v="1"/>
    <x v="2"/>
    <s v="1705 F"/>
    <x v="13"/>
    <s v="کاپا اومنی وارننگ"/>
    <s v="LDN"/>
    <n v="17.25"/>
    <s v="12"/>
    <s v="پیور"/>
    <n v="500"/>
    <x v="0"/>
    <n v="4"/>
    <n v="243.99999999999997"/>
    <n v="8"/>
    <n v="10"/>
    <x v="0"/>
    <n v="235.99999999999997"/>
    <m/>
    <m/>
    <x v="0"/>
    <x v="0"/>
    <m/>
    <m/>
    <x v="0"/>
    <x v="0"/>
    <m/>
    <x v="0"/>
    <x v="0"/>
    <x v="0"/>
    <x v="0"/>
    <x v="0"/>
    <m/>
    <m/>
    <m/>
    <m/>
    <x v="0"/>
    <x v="0"/>
    <m/>
    <x v="0"/>
    <m/>
    <x v="0"/>
    <x v="0"/>
    <x v="0"/>
    <x v="0"/>
    <x v="0"/>
  </r>
  <r>
    <x v="1"/>
    <x v="2"/>
    <s v="2789 J"/>
    <x v="13"/>
    <s v="سادہ لفافہ بندوخاں"/>
    <s v="LDN"/>
    <n v="16"/>
    <s v="8-8.5"/>
    <s v="پیور"/>
    <n v="300"/>
    <x v="0"/>
    <n v="1"/>
    <n v="42.2"/>
    <n v="1.9"/>
    <m/>
    <x v="0"/>
    <n v="40.300000000000004"/>
    <m/>
    <m/>
    <x v="0"/>
    <x v="0"/>
    <m/>
    <m/>
    <x v="0"/>
    <x v="0"/>
    <m/>
    <x v="0"/>
    <x v="0"/>
    <x v="0"/>
    <x v="0"/>
    <x v="0"/>
    <m/>
    <m/>
    <m/>
    <m/>
    <x v="0"/>
    <x v="0"/>
    <m/>
    <x v="0"/>
    <m/>
    <x v="0"/>
    <x v="0"/>
    <x v="0"/>
    <x v="0"/>
    <x v="0"/>
  </r>
  <r>
    <x v="0"/>
    <x v="3"/>
    <n v="2758"/>
    <x v="13"/>
    <s v="SITARA CHEMICAL"/>
    <s v="LDN"/>
    <n v="24"/>
    <s v="100 G"/>
    <s v="SL"/>
    <n v="7500"/>
    <x v="0"/>
    <n v="3"/>
    <n v="304.8"/>
    <n v="8.6"/>
    <n v="8"/>
    <x v="0"/>
    <n v="296.2"/>
    <m/>
    <m/>
    <x v="0"/>
    <x v="0"/>
    <m/>
    <m/>
    <x v="0"/>
    <x v="0"/>
    <m/>
    <x v="0"/>
    <x v="0"/>
    <x v="0"/>
    <x v="0"/>
    <x v="0"/>
    <m/>
    <m/>
    <m/>
    <m/>
    <x v="0"/>
    <x v="0"/>
    <m/>
    <x v="0"/>
    <m/>
    <x v="0"/>
    <x v="0"/>
    <x v="0"/>
    <x v="0"/>
    <x v="0"/>
  </r>
  <r>
    <x v="1"/>
    <x v="3"/>
    <n v="2758"/>
    <x v="13"/>
    <s v="SITARA CHEMICAL"/>
    <s v="LDN"/>
    <n v="24"/>
    <s v="100 G"/>
    <s v="SL"/>
    <n v="7500"/>
    <x v="0"/>
    <n v="4"/>
    <n v="494.6"/>
    <n v="12.3"/>
    <n v="3"/>
    <x v="0"/>
    <n v="482.3"/>
    <m/>
    <m/>
    <x v="0"/>
    <x v="0"/>
    <m/>
    <m/>
    <x v="0"/>
    <x v="0"/>
    <m/>
    <x v="0"/>
    <x v="0"/>
    <x v="0"/>
    <x v="0"/>
    <x v="0"/>
    <m/>
    <m/>
    <m/>
    <m/>
    <x v="0"/>
    <x v="0"/>
    <m/>
    <x v="0"/>
    <m/>
    <x v="0"/>
    <x v="0"/>
    <x v="0"/>
    <x v="0"/>
    <x v="0"/>
  </r>
  <r>
    <x v="0"/>
    <x v="4"/>
    <s v="2828 J"/>
    <x v="13"/>
    <s v="تھینکیو (اولڈ ڈیزئن)"/>
    <s v="LD ریڈ"/>
    <s v="10+3+3"/>
    <s v="7.5/15"/>
    <s v="ABA پیور"/>
    <n v="110"/>
    <x v="0"/>
    <n v="4"/>
    <n v="117.80000000000001"/>
    <n v="4.8"/>
    <n v="90"/>
    <x v="0"/>
    <n v="113.00000000000001"/>
    <m/>
    <m/>
    <x v="0"/>
    <x v="0"/>
    <m/>
    <m/>
    <x v="0"/>
    <x v="0"/>
    <m/>
    <x v="0"/>
    <x v="0"/>
    <x v="0"/>
    <x v="0"/>
    <x v="0"/>
    <m/>
    <m/>
    <m/>
    <m/>
    <x v="0"/>
    <x v="0"/>
    <m/>
    <x v="0"/>
    <m/>
    <x v="0"/>
    <x v="0"/>
    <x v="0"/>
    <x v="0"/>
    <x v="0"/>
  </r>
  <r>
    <x v="0"/>
    <x v="4"/>
    <s v="2702 J"/>
    <x v="13"/>
    <s v=" سادہ لفافہ وقاص وولن "/>
    <s v="LD گرین"/>
    <n v="14"/>
    <s v="10-10.5"/>
    <s v="ABA تھینکیو"/>
    <n v="100"/>
    <x v="0"/>
    <n v="2"/>
    <n v="112.4"/>
    <n v="3.3"/>
    <m/>
    <x v="0"/>
    <n v="109.10000000000001"/>
    <m/>
    <m/>
    <x v="0"/>
    <x v="0"/>
    <m/>
    <m/>
    <x v="0"/>
    <x v="0"/>
    <m/>
    <x v="0"/>
    <x v="0"/>
    <x v="0"/>
    <x v="0"/>
    <x v="0"/>
    <m/>
    <m/>
    <m/>
    <m/>
    <x v="0"/>
    <x v="0"/>
    <m/>
    <x v="0"/>
    <m/>
    <x v="0"/>
    <x v="0"/>
    <x v="0"/>
    <x v="0"/>
    <x v="0"/>
  </r>
  <r>
    <x v="0"/>
    <x v="4"/>
    <s v="2714 J"/>
    <x v="13"/>
    <s v="ایگل بلو"/>
    <s v="LD بلو"/>
    <n v="15"/>
    <s v="10-10.5"/>
    <s v="ABA پیور"/>
    <n v="350"/>
    <x v="0"/>
    <n v="4"/>
    <n v="228.8"/>
    <n v="6.9"/>
    <m/>
    <x v="0"/>
    <n v="221.9"/>
    <m/>
    <m/>
    <x v="0"/>
    <x v="0"/>
    <m/>
    <m/>
    <x v="0"/>
    <x v="0"/>
    <m/>
    <x v="0"/>
    <x v="0"/>
    <x v="0"/>
    <x v="0"/>
    <x v="0"/>
    <m/>
    <m/>
    <m/>
    <m/>
    <x v="0"/>
    <x v="0"/>
    <m/>
    <x v="0"/>
    <m/>
    <x v="0"/>
    <x v="0"/>
    <x v="0"/>
    <x v="0"/>
    <x v="0"/>
  </r>
  <r>
    <x v="1"/>
    <x v="4"/>
    <s v="2715 J"/>
    <x v="13"/>
    <s v="ایگل بلو"/>
    <s v="LD بلو"/>
    <n v="15"/>
    <s v="10-10.5"/>
    <s v="ABA پیور"/>
    <n v="350"/>
    <x v="0"/>
    <n v="3"/>
    <n v="156.80000000000001"/>
    <n v="6"/>
    <n v="55"/>
    <x v="0"/>
    <n v="150.80000000000001"/>
    <m/>
    <m/>
    <x v="0"/>
    <x v="0"/>
    <m/>
    <m/>
    <x v="0"/>
    <x v="0"/>
    <m/>
    <x v="0"/>
    <x v="0"/>
    <x v="0"/>
    <x v="0"/>
    <x v="0"/>
    <m/>
    <m/>
    <m/>
    <m/>
    <x v="0"/>
    <x v="0"/>
    <m/>
    <x v="0"/>
    <m/>
    <x v="0"/>
    <x v="0"/>
    <x v="0"/>
    <x v="0"/>
    <x v="0"/>
  </r>
  <r>
    <x v="1"/>
    <x v="4"/>
    <s v="2714 J"/>
    <x v="13"/>
    <s v="ایگل بلو"/>
    <s v="LD بلو"/>
    <n v="15"/>
    <s v="10-10.5"/>
    <s v="ABA پیور"/>
    <n v="350"/>
    <x v="0"/>
    <n v="2"/>
    <n v="133"/>
    <n v="4"/>
    <m/>
    <x v="0"/>
    <n v="129"/>
    <m/>
    <m/>
    <x v="0"/>
    <x v="0"/>
    <m/>
    <m/>
    <x v="0"/>
    <x v="0"/>
    <m/>
    <x v="0"/>
    <x v="0"/>
    <x v="0"/>
    <x v="0"/>
    <x v="0"/>
    <m/>
    <m/>
    <m/>
    <m/>
    <x v="0"/>
    <x v="0"/>
    <m/>
    <x v="0"/>
    <m/>
    <x v="0"/>
    <x v="0"/>
    <x v="0"/>
    <x v="0"/>
    <x v="0"/>
  </r>
  <r>
    <x v="1"/>
    <x v="4"/>
    <s v="2711 J"/>
    <x v="13"/>
    <s v="فلاور بلو"/>
    <s v="LD بلو"/>
    <n v="12"/>
    <s v="8-8.5"/>
    <s v="ABA پیور"/>
    <n v="200"/>
    <x v="0"/>
    <n v="4"/>
    <n v="220"/>
    <n v="6.3"/>
    <m/>
    <x v="0"/>
    <n v="213.7"/>
    <m/>
    <m/>
    <x v="0"/>
    <x v="0"/>
    <m/>
    <m/>
    <x v="0"/>
    <x v="0"/>
    <m/>
    <x v="0"/>
    <x v="0"/>
    <x v="0"/>
    <x v="0"/>
    <x v="0"/>
    <m/>
    <m/>
    <m/>
    <m/>
    <x v="0"/>
    <x v="0"/>
    <m/>
    <x v="0"/>
    <m/>
    <x v="0"/>
    <x v="0"/>
    <x v="0"/>
    <x v="0"/>
    <x v="0"/>
  </r>
  <r>
    <x v="0"/>
    <x v="5"/>
    <s v="1704 F"/>
    <x v="13"/>
    <s v="UHL وارننگ"/>
    <s v="LDN"/>
    <n v="17"/>
    <s v="12"/>
    <s v="جیلانی شیٹ"/>
    <n v="500"/>
    <x v="0"/>
    <n v="5"/>
    <n v="362.4"/>
    <n v="10.1"/>
    <n v="10"/>
    <x v="0"/>
    <n v="352.29999999999995"/>
    <m/>
    <m/>
    <x v="0"/>
    <x v="0"/>
    <m/>
    <m/>
    <x v="0"/>
    <x v="0"/>
    <m/>
    <x v="0"/>
    <x v="0"/>
    <x v="0"/>
    <x v="0"/>
    <x v="0"/>
    <m/>
    <m/>
    <m/>
    <m/>
    <x v="0"/>
    <x v="0"/>
    <m/>
    <x v="0"/>
    <m/>
    <x v="0"/>
    <x v="0"/>
    <x v="0"/>
    <x v="0"/>
    <x v="0"/>
  </r>
  <r>
    <x v="1"/>
    <x v="5"/>
    <s v="1704 F"/>
    <x v="13"/>
    <s v="UHL وارننگ"/>
    <s v="LDN"/>
    <n v="17"/>
    <s v="12"/>
    <s v="جیلانی شیٹ"/>
    <n v="500"/>
    <x v="0"/>
    <n v="2"/>
    <n v="113.3"/>
    <n v="4"/>
    <m/>
    <x v="0"/>
    <n v="109.3"/>
    <m/>
    <m/>
    <x v="0"/>
    <x v="0"/>
    <m/>
    <m/>
    <x v="0"/>
    <x v="0"/>
    <m/>
    <x v="0"/>
    <x v="0"/>
    <x v="0"/>
    <x v="0"/>
    <x v="0"/>
    <m/>
    <m/>
    <m/>
    <m/>
    <x v="0"/>
    <x v="0"/>
    <m/>
    <x v="0"/>
    <m/>
    <x v="0"/>
    <x v="0"/>
    <x v="0"/>
    <x v="0"/>
    <x v="0"/>
  </r>
  <r>
    <x v="1"/>
    <x v="5"/>
    <s v="2752 J"/>
    <x v="13"/>
    <s v="سادہ لفافہ شفعی ٹیکسل"/>
    <s v="LDN"/>
    <n v="20"/>
    <n v="6"/>
    <s v="پیور"/>
    <n v="150"/>
    <x v="0"/>
    <n v="4"/>
    <n v="162.07"/>
    <n v="10"/>
    <n v="20"/>
    <x v="0"/>
    <n v="152.07"/>
    <m/>
    <m/>
    <x v="0"/>
    <x v="0"/>
    <m/>
    <m/>
    <x v="0"/>
    <x v="0"/>
    <m/>
    <x v="0"/>
    <x v="0"/>
    <x v="0"/>
    <x v="0"/>
    <x v="0"/>
    <m/>
    <m/>
    <m/>
    <m/>
    <x v="0"/>
    <x v="0"/>
    <m/>
    <x v="0"/>
    <m/>
    <x v="0"/>
    <x v="0"/>
    <x v="0"/>
    <x v="0"/>
    <x v="0"/>
  </r>
  <r>
    <x v="0"/>
    <x v="0"/>
    <s v="2789 j"/>
    <x v="14"/>
    <s v="سادہ لفافہ بندوخاں"/>
    <s v="LDN"/>
    <n v="16"/>
    <s v="8-8.5"/>
    <s v="پیور"/>
    <n v="300"/>
    <x v="0"/>
    <n v="4"/>
    <n v="220.59999999999997"/>
    <n v="7.5"/>
    <m/>
    <x v="0"/>
    <n v="213.09999999999997"/>
    <m/>
    <m/>
    <x v="0"/>
    <x v="0"/>
    <m/>
    <m/>
    <x v="0"/>
    <x v="0"/>
    <m/>
    <x v="0"/>
    <x v="0"/>
    <x v="0"/>
    <x v="0"/>
    <x v="0"/>
    <m/>
    <m/>
    <m/>
    <m/>
    <x v="0"/>
    <x v="0"/>
    <m/>
    <x v="0"/>
    <m/>
    <x v="0"/>
    <x v="0"/>
    <x v="0"/>
    <x v="0"/>
    <x v="0"/>
  </r>
  <r>
    <x v="0"/>
    <x v="0"/>
    <s v="2788 j"/>
    <x v="14"/>
    <s v="سادہ لفافہ بندوخاں"/>
    <s v="LDN"/>
    <n v="11"/>
    <s v="6-6.5"/>
    <s v="پیور"/>
    <n v="300"/>
    <x v="0"/>
    <n v="2"/>
    <n v="75.199999999999989"/>
    <n v="2.4"/>
    <m/>
    <x v="0"/>
    <n v="72.799999999999983"/>
    <m/>
    <m/>
    <x v="0"/>
    <x v="0"/>
    <m/>
    <m/>
    <x v="0"/>
    <x v="0"/>
    <m/>
    <x v="0"/>
    <x v="0"/>
    <x v="0"/>
    <x v="0"/>
    <x v="0"/>
    <m/>
    <m/>
    <m/>
    <m/>
    <x v="0"/>
    <x v="0"/>
    <m/>
    <x v="0"/>
    <m/>
    <x v="0"/>
    <x v="0"/>
    <x v="0"/>
    <x v="0"/>
    <x v="0"/>
  </r>
  <r>
    <x v="1"/>
    <x v="0"/>
    <s v="2788 j"/>
    <x v="14"/>
    <s v="سادہ لفافہ بندوخاں"/>
    <s v="LDN"/>
    <n v="11"/>
    <s v="6-6.5"/>
    <s v="پیور"/>
    <n v="300"/>
    <x v="0"/>
    <n v="3"/>
    <n v="118"/>
    <n v="3.5999999999999996"/>
    <m/>
    <x v="0"/>
    <n v="114.4"/>
    <m/>
    <m/>
    <x v="0"/>
    <x v="0"/>
    <m/>
    <m/>
    <x v="0"/>
    <x v="0"/>
    <m/>
    <x v="0"/>
    <x v="0"/>
    <x v="0"/>
    <x v="0"/>
    <x v="0"/>
    <m/>
    <m/>
    <m/>
    <m/>
    <x v="0"/>
    <x v="0"/>
    <m/>
    <x v="0"/>
    <m/>
    <x v="0"/>
    <x v="0"/>
    <x v="0"/>
    <x v="0"/>
    <x v="0"/>
  </r>
  <r>
    <x v="1"/>
    <x v="0"/>
    <s v="2787 J"/>
    <x v="14"/>
    <s v="سادہ لفافہ بندوخاں"/>
    <s v="LDN"/>
    <n v="8"/>
    <s v="6-6.5"/>
    <s v="پیور"/>
    <n v="400"/>
    <x v="0"/>
    <n v="3"/>
    <n v="106.6"/>
    <n v="3"/>
    <m/>
    <x v="0"/>
    <n v="103.6"/>
    <m/>
    <m/>
    <x v="0"/>
    <x v="0"/>
    <m/>
    <m/>
    <x v="0"/>
    <x v="0"/>
    <m/>
    <x v="0"/>
    <x v="0"/>
    <x v="0"/>
    <x v="0"/>
    <x v="0"/>
    <m/>
    <m/>
    <m/>
    <m/>
    <x v="0"/>
    <x v="0"/>
    <m/>
    <x v="0"/>
    <m/>
    <x v="0"/>
    <x v="0"/>
    <x v="0"/>
    <x v="0"/>
    <x v="0"/>
  </r>
  <r>
    <x v="0"/>
    <x v="2"/>
    <s v="2594 J"/>
    <x v="14"/>
    <s v="EMULITE 50MM"/>
    <s v="LD گولڈن پیلا"/>
    <s v="80MM"/>
    <s v="31-32"/>
    <s v="پیور"/>
    <n v="2500"/>
    <x v="0"/>
    <n v="3"/>
    <n v="112"/>
    <n v="2.0999999999999996"/>
    <m/>
    <x v="0"/>
    <n v="109.9"/>
    <m/>
    <m/>
    <x v="0"/>
    <x v="0"/>
    <m/>
    <m/>
    <x v="0"/>
    <x v="0"/>
    <m/>
    <x v="0"/>
    <x v="0"/>
    <x v="0"/>
    <x v="0"/>
    <x v="0"/>
    <m/>
    <m/>
    <m/>
    <m/>
    <x v="0"/>
    <x v="0"/>
    <m/>
    <x v="0"/>
    <m/>
    <x v="0"/>
    <x v="0"/>
    <x v="0"/>
    <x v="0"/>
    <x v="0"/>
  </r>
  <r>
    <x v="1"/>
    <x v="2"/>
    <s v="2594 J"/>
    <x v="14"/>
    <s v="EMULITE 50MM"/>
    <s v="LD گولڈن پیلا"/>
    <s v="80MM"/>
    <s v="31-32"/>
    <s v="پیور"/>
    <n v="2500"/>
    <x v="0"/>
    <n v="3"/>
    <n v="115.8"/>
    <n v="2.0999999999999996"/>
    <m/>
    <x v="0"/>
    <n v="113.7"/>
    <m/>
    <m/>
    <x v="0"/>
    <x v="0"/>
    <m/>
    <m/>
    <x v="0"/>
    <x v="0"/>
    <m/>
    <x v="0"/>
    <x v="0"/>
    <x v="0"/>
    <x v="0"/>
    <x v="0"/>
    <m/>
    <m/>
    <m/>
    <m/>
    <x v="0"/>
    <x v="0"/>
    <m/>
    <x v="0"/>
    <m/>
    <x v="0"/>
    <x v="0"/>
    <x v="0"/>
    <x v="0"/>
    <x v="0"/>
  </r>
  <r>
    <x v="0"/>
    <x v="3"/>
    <n v="2758"/>
    <x v="14"/>
    <s v="SITARA CHEMICAL"/>
    <s v="LDN"/>
    <n v="24"/>
    <s v="100 G"/>
    <s v="SL"/>
    <n v="7500"/>
    <x v="0"/>
    <n v="3"/>
    <n v="352"/>
    <n v="8.6"/>
    <m/>
    <x v="0"/>
    <n v="343.4"/>
    <m/>
    <m/>
    <x v="0"/>
    <x v="0"/>
    <m/>
    <m/>
    <x v="0"/>
    <x v="0"/>
    <m/>
    <x v="0"/>
    <x v="0"/>
    <x v="0"/>
    <x v="0"/>
    <x v="0"/>
    <m/>
    <m/>
    <m/>
    <m/>
    <x v="0"/>
    <x v="0"/>
    <m/>
    <x v="0"/>
    <m/>
    <x v="0"/>
    <x v="0"/>
    <x v="0"/>
    <x v="0"/>
    <x v="0"/>
  </r>
  <r>
    <x v="1"/>
    <x v="3"/>
    <n v="2758"/>
    <x v="14"/>
    <s v="SITARA CHEMICAL"/>
    <s v="LDN"/>
    <n v="24"/>
    <s v="100 G"/>
    <s v="SL"/>
    <n v="7500"/>
    <x v="0"/>
    <n v="3"/>
    <n v="360.8"/>
    <n v="8.3999999999999986"/>
    <n v="10"/>
    <x v="0"/>
    <n v="352.40000000000003"/>
    <m/>
    <m/>
    <x v="0"/>
    <x v="0"/>
    <m/>
    <m/>
    <x v="0"/>
    <x v="0"/>
    <m/>
    <x v="0"/>
    <x v="0"/>
    <x v="0"/>
    <x v="0"/>
    <x v="0"/>
    <m/>
    <m/>
    <m/>
    <m/>
    <x v="0"/>
    <x v="0"/>
    <m/>
    <x v="0"/>
    <m/>
    <x v="0"/>
    <x v="0"/>
    <x v="0"/>
    <x v="0"/>
    <x v="0"/>
  </r>
  <r>
    <x v="0"/>
    <x v="4"/>
    <s v="2783 J"/>
    <x v="14"/>
    <s v="الجنت شاپنگ مال"/>
    <s v="LD کریم"/>
    <n v="24"/>
    <s v="15-16"/>
    <s v="ABA پیور"/>
    <n v="100"/>
    <x v="0"/>
    <n v="2"/>
    <n v="112.6"/>
    <n v="5.8"/>
    <m/>
    <x v="0"/>
    <n v="106.8"/>
    <m/>
    <m/>
    <x v="0"/>
    <x v="0"/>
    <m/>
    <m/>
    <x v="0"/>
    <x v="0"/>
    <m/>
    <x v="0"/>
    <x v="0"/>
    <x v="0"/>
    <x v="0"/>
    <x v="0"/>
    <m/>
    <m/>
    <m/>
    <m/>
    <x v="0"/>
    <x v="0"/>
    <m/>
    <x v="0"/>
    <m/>
    <x v="0"/>
    <x v="0"/>
    <x v="0"/>
    <x v="0"/>
    <x v="0"/>
  </r>
  <r>
    <x v="0"/>
    <x v="4"/>
    <s v="PAKING"/>
    <x v="14"/>
    <s v="-"/>
    <s v="-"/>
    <s v="-"/>
    <s v="-"/>
    <s v="-"/>
    <s v="-"/>
    <x v="0"/>
    <n v="2"/>
    <n v="255.1"/>
    <n v="5.4"/>
    <m/>
    <x v="0"/>
    <n v="249.7"/>
    <m/>
    <m/>
    <x v="0"/>
    <x v="0"/>
    <m/>
    <m/>
    <x v="0"/>
    <x v="0"/>
    <m/>
    <x v="0"/>
    <x v="0"/>
    <x v="0"/>
    <x v="0"/>
    <x v="0"/>
    <m/>
    <m/>
    <m/>
    <m/>
    <x v="0"/>
    <x v="0"/>
    <m/>
    <x v="0"/>
    <m/>
    <x v="0"/>
    <x v="0"/>
    <x v="0"/>
    <x v="0"/>
    <x v="0"/>
  </r>
  <r>
    <x v="0"/>
    <x v="4"/>
    <s v="2782 J"/>
    <x v="14"/>
    <s v="CITRON"/>
    <s v="LDM"/>
    <n v="12"/>
    <s v="14-15"/>
    <s v="ABA پیور"/>
    <n v="300"/>
    <x v="0"/>
    <n v="3"/>
    <n v="222.8"/>
    <n v="6"/>
    <m/>
    <x v="0"/>
    <n v="216.8"/>
    <m/>
    <m/>
    <x v="0"/>
    <x v="0"/>
    <m/>
    <m/>
    <x v="0"/>
    <x v="0"/>
    <m/>
    <x v="0"/>
    <x v="0"/>
    <x v="0"/>
    <x v="0"/>
    <x v="0"/>
    <m/>
    <m/>
    <m/>
    <m/>
    <x v="0"/>
    <x v="0"/>
    <m/>
    <x v="0"/>
    <m/>
    <x v="0"/>
    <x v="0"/>
    <x v="0"/>
    <x v="0"/>
    <x v="0"/>
  </r>
  <r>
    <x v="1"/>
    <x v="4"/>
    <s v="2782 J"/>
    <x v="14"/>
    <s v="CITRON"/>
    <s v="LDM"/>
    <n v="12"/>
    <s v="14-15"/>
    <s v="ABA پیور"/>
    <n v="300"/>
    <x v="0"/>
    <n v="2"/>
    <n v="90.8"/>
    <n v="6"/>
    <n v="80"/>
    <x v="0"/>
    <n v="84.8"/>
    <m/>
    <m/>
    <x v="0"/>
    <x v="0"/>
    <m/>
    <m/>
    <x v="0"/>
    <x v="0"/>
    <m/>
    <x v="0"/>
    <x v="0"/>
    <x v="0"/>
    <x v="0"/>
    <x v="0"/>
    <m/>
    <m/>
    <m/>
    <m/>
    <x v="0"/>
    <x v="0"/>
    <m/>
    <x v="0"/>
    <m/>
    <x v="0"/>
    <x v="0"/>
    <x v="0"/>
    <x v="0"/>
    <x v="0"/>
  </r>
  <r>
    <x v="1"/>
    <x v="4"/>
    <s v="2864 J"/>
    <x v="14"/>
    <s v="MTB"/>
    <s v="LDM"/>
    <s v="432 MM"/>
    <s v="-"/>
    <s v="ABA تھینکیو"/>
    <n v="500"/>
    <x v="0"/>
    <n v="2"/>
    <n v="90.2"/>
    <n v="4.4000000000000004"/>
    <m/>
    <x v="0"/>
    <n v="85.8"/>
    <m/>
    <m/>
    <x v="0"/>
    <x v="0"/>
    <m/>
    <m/>
    <x v="0"/>
    <x v="0"/>
    <m/>
    <x v="0"/>
    <x v="0"/>
    <x v="0"/>
    <x v="0"/>
    <x v="0"/>
    <m/>
    <m/>
    <m/>
    <m/>
    <x v="0"/>
    <x v="0"/>
    <m/>
    <x v="0"/>
    <m/>
    <x v="0"/>
    <x v="0"/>
    <x v="0"/>
    <x v="0"/>
    <x v="0"/>
  </r>
  <r>
    <x v="0"/>
    <x v="5"/>
    <s v="2751 J"/>
    <x v="14"/>
    <s v="سادہ لفافہ شفعی ٹیکسل"/>
    <s v="LDN"/>
    <n v="28"/>
    <n v="6"/>
    <s v="پیور"/>
    <n v="200"/>
    <x v="0"/>
    <n v="3"/>
    <n v="142"/>
    <n v="10.4"/>
    <m/>
    <x v="0"/>
    <n v="131.6"/>
    <m/>
    <m/>
    <x v="0"/>
    <x v="0"/>
    <m/>
    <m/>
    <x v="0"/>
    <x v="0"/>
    <m/>
    <x v="0"/>
    <x v="0"/>
    <x v="0"/>
    <x v="0"/>
    <x v="0"/>
    <m/>
    <m/>
    <m/>
    <m/>
    <x v="0"/>
    <x v="0"/>
    <m/>
    <x v="0"/>
    <m/>
    <x v="0"/>
    <x v="0"/>
    <x v="0"/>
    <x v="0"/>
    <x v="0"/>
  </r>
  <r>
    <x v="0"/>
    <x v="5"/>
    <s v="2745 J"/>
    <x v="14"/>
    <s v="وارننگ"/>
    <s v="LDN"/>
    <n v="28"/>
    <n v="10"/>
    <s v="پیور"/>
    <n v="140"/>
    <x v="0"/>
    <n v="2"/>
    <n v="141.6"/>
    <n v="7.1"/>
    <m/>
    <x v="0"/>
    <n v="134.5"/>
    <m/>
    <m/>
    <x v="0"/>
    <x v="0"/>
    <m/>
    <m/>
    <x v="0"/>
    <x v="0"/>
    <m/>
    <x v="0"/>
    <x v="0"/>
    <x v="0"/>
    <x v="0"/>
    <x v="0"/>
    <m/>
    <m/>
    <m/>
    <m/>
    <x v="0"/>
    <x v="0"/>
    <m/>
    <x v="0"/>
    <m/>
    <x v="0"/>
    <x v="0"/>
    <x v="0"/>
    <x v="0"/>
    <x v="0"/>
  </r>
  <r>
    <x v="1"/>
    <x v="5"/>
    <s v="1715 F"/>
    <x v="14"/>
    <s v="WALMART بڑا بلاک"/>
    <s v="LDN"/>
    <n v="22"/>
    <s v="8"/>
    <s v="پیور"/>
    <n v="350"/>
    <x v="0"/>
    <n v="4"/>
    <n v="280.13"/>
    <n v="10.8"/>
    <n v="20"/>
    <x v="0"/>
    <n v="269.33"/>
    <m/>
    <m/>
    <x v="0"/>
    <x v="0"/>
    <m/>
    <m/>
    <x v="0"/>
    <x v="0"/>
    <m/>
    <x v="0"/>
    <x v="0"/>
    <x v="0"/>
    <x v="0"/>
    <x v="0"/>
    <m/>
    <m/>
    <m/>
    <m/>
    <x v="0"/>
    <x v="0"/>
    <m/>
    <x v="0"/>
    <m/>
    <x v="0"/>
    <x v="0"/>
    <x v="0"/>
    <x v="0"/>
    <x v="0"/>
  </r>
  <r>
    <x v="0"/>
    <x v="0"/>
    <s v="2594 J"/>
    <x v="15"/>
    <s v="EMULITE 50MM"/>
    <s v="LD گولڈن پیلا"/>
    <s v="80MM"/>
    <s v="31-32"/>
    <s v="پیور"/>
    <n v="2500"/>
    <x v="0"/>
    <n v="3"/>
    <n v="145"/>
    <n v="2.0999999999999996"/>
    <m/>
    <x v="0"/>
    <n v="142.9"/>
    <m/>
    <m/>
    <x v="0"/>
    <x v="0"/>
    <m/>
    <m/>
    <x v="0"/>
    <x v="0"/>
    <m/>
    <x v="0"/>
    <x v="0"/>
    <x v="0"/>
    <x v="0"/>
    <x v="0"/>
    <m/>
    <m/>
    <m/>
    <m/>
    <x v="0"/>
    <x v="0"/>
    <m/>
    <x v="0"/>
    <m/>
    <x v="0"/>
    <x v="0"/>
    <x v="0"/>
    <x v="0"/>
    <x v="0"/>
  </r>
  <r>
    <x v="1"/>
    <x v="0"/>
    <s v="2594 J"/>
    <x v="15"/>
    <s v="EMULITE 50MM"/>
    <s v="LD گولڈن پیلا"/>
    <s v="80MM"/>
    <s v="31-32"/>
    <s v="پیور"/>
    <n v="2500"/>
    <x v="0"/>
    <n v="3"/>
    <n v="146.60000000000002"/>
    <n v="1.9999999999999998"/>
    <m/>
    <x v="0"/>
    <n v="144.60000000000002"/>
    <m/>
    <m/>
    <x v="0"/>
    <x v="0"/>
    <m/>
    <m/>
    <x v="0"/>
    <x v="0"/>
    <m/>
    <x v="0"/>
    <x v="0"/>
    <x v="0"/>
    <x v="0"/>
    <x v="0"/>
    <m/>
    <m/>
    <m/>
    <m/>
    <x v="0"/>
    <x v="0"/>
    <m/>
    <x v="0"/>
    <m/>
    <x v="0"/>
    <x v="0"/>
    <x v="0"/>
    <x v="0"/>
    <x v="0"/>
  </r>
  <r>
    <x v="0"/>
    <x v="2"/>
    <s v="2787 J"/>
    <x v="15"/>
    <s v="سادہ لفافہ بندوخاں"/>
    <s v="LDN"/>
    <n v="8"/>
    <s v="6-6.5"/>
    <s v="پیور"/>
    <n v="400"/>
    <x v="0"/>
    <n v="5"/>
    <n v="203.6"/>
    <n v="5"/>
    <m/>
    <x v="0"/>
    <n v="198.6"/>
    <m/>
    <m/>
    <x v="0"/>
    <x v="0"/>
    <m/>
    <m/>
    <x v="0"/>
    <x v="0"/>
    <m/>
    <x v="0"/>
    <x v="0"/>
    <x v="0"/>
    <x v="0"/>
    <x v="0"/>
    <m/>
    <m/>
    <m/>
    <m/>
    <x v="0"/>
    <x v="0"/>
    <m/>
    <x v="0"/>
    <m/>
    <x v="0"/>
    <x v="0"/>
    <x v="0"/>
    <x v="0"/>
    <x v="0"/>
  </r>
  <r>
    <x v="1"/>
    <x v="2"/>
    <s v="2787 J"/>
    <x v="15"/>
    <s v="سادہ لفافہ بندوخاں"/>
    <s v="LDN"/>
    <n v="8"/>
    <s v="6-6.5"/>
    <s v="پیور"/>
    <n v="400"/>
    <x v="0"/>
    <n v="1"/>
    <n v="50.2"/>
    <n v="0.9"/>
    <m/>
    <x v="0"/>
    <n v="49.300000000000004"/>
    <m/>
    <m/>
    <x v="0"/>
    <x v="0"/>
    <m/>
    <m/>
    <x v="0"/>
    <x v="0"/>
    <m/>
    <x v="0"/>
    <x v="0"/>
    <x v="0"/>
    <x v="0"/>
    <x v="0"/>
    <m/>
    <m/>
    <m/>
    <m/>
    <x v="0"/>
    <x v="0"/>
    <m/>
    <x v="0"/>
    <m/>
    <x v="0"/>
    <x v="0"/>
    <x v="0"/>
    <x v="0"/>
    <x v="0"/>
  </r>
  <r>
    <x v="1"/>
    <x v="2"/>
    <s v="2843 J"/>
    <x v="15"/>
    <s v="آٹلس ہنڈا"/>
    <s v="LDN"/>
    <n v="16"/>
    <s v="8"/>
    <s v="پیور"/>
    <n v="810"/>
    <x v="0"/>
    <n v="4"/>
    <n v="259.39999999999998"/>
    <n v="7.6"/>
    <m/>
    <x v="0"/>
    <n v="251.79999999999998"/>
    <m/>
    <m/>
    <x v="0"/>
    <x v="0"/>
    <m/>
    <m/>
    <x v="0"/>
    <x v="0"/>
    <m/>
    <x v="0"/>
    <x v="0"/>
    <x v="0"/>
    <x v="0"/>
    <x v="0"/>
    <m/>
    <m/>
    <m/>
    <m/>
    <x v="0"/>
    <x v="0"/>
    <m/>
    <x v="0"/>
    <m/>
    <x v="0"/>
    <x v="0"/>
    <x v="0"/>
    <x v="0"/>
    <x v="0"/>
  </r>
  <r>
    <x v="0"/>
    <x v="3"/>
    <n v="2758"/>
    <x v="15"/>
    <s v="SITARA CHEMICAL"/>
    <s v="LDN"/>
    <n v="24"/>
    <s v="100 G"/>
    <s v="SL"/>
    <n v="7500"/>
    <x v="0"/>
    <n v="3"/>
    <n v="424.90000000000003"/>
    <n v="9.1999999999999993"/>
    <m/>
    <x v="0"/>
    <n v="415.70000000000005"/>
    <m/>
    <m/>
    <x v="0"/>
    <x v="0"/>
    <m/>
    <m/>
    <x v="0"/>
    <x v="0"/>
    <m/>
    <x v="0"/>
    <x v="0"/>
    <x v="0"/>
    <x v="0"/>
    <x v="0"/>
    <m/>
    <m/>
    <m/>
    <m/>
    <x v="0"/>
    <x v="0"/>
    <m/>
    <x v="0"/>
    <m/>
    <x v="0"/>
    <x v="0"/>
    <x v="0"/>
    <x v="0"/>
    <x v="0"/>
  </r>
  <r>
    <x v="1"/>
    <x v="3"/>
    <n v="2758"/>
    <x v="15"/>
    <s v="SITARA CHEMICAL"/>
    <s v="LDN"/>
    <n v="24"/>
    <s v="100 G"/>
    <s v="SL"/>
    <n v="7500"/>
    <x v="0"/>
    <n v="3"/>
    <n v="396.6"/>
    <n v="9.4"/>
    <m/>
    <x v="0"/>
    <n v="387.20000000000005"/>
    <m/>
    <m/>
    <x v="0"/>
    <x v="0"/>
    <m/>
    <m/>
    <x v="0"/>
    <x v="0"/>
    <m/>
    <x v="0"/>
    <x v="0"/>
    <x v="0"/>
    <x v="0"/>
    <x v="0"/>
    <m/>
    <m/>
    <m/>
    <m/>
    <x v="0"/>
    <x v="0"/>
    <m/>
    <x v="0"/>
    <m/>
    <x v="0"/>
    <x v="0"/>
    <x v="0"/>
    <x v="0"/>
    <x v="0"/>
  </r>
  <r>
    <x v="0"/>
    <x v="4"/>
    <s v="9531 A"/>
    <x v="15"/>
    <s v="سادہ رول جیلانی پولی سٹاک"/>
    <s v="LDN"/>
    <s v="26 شیٹ"/>
    <s v="8-8.5/16-17"/>
    <s v="پیور"/>
    <n v="2000"/>
    <x v="0"/>
    <n v="5"/>
    <n v="516.4"/>
    <n v="16.399999999999999"/>
    <n v="86.4"/>
    <x v="0"/>
    <n v="500"/>
    <m/>
    <m/>
    <x v="0"/>
    <x v="0"/>
    <m/>
    <m/>
    <x v="0"/>
    <x v="0"/>
    <m/>
    <x v="0"/>
    <x v="0"/>
    <x v="0"/>
    <x v="0"/>
    <x v="0"/>
    <m/>
    <m/>
    <m/>
    <m/>
    <x v="0"/>
    <x v="0"/>
    <m/>
    <x v="0"/>
    <m/>
    <x v="0"/>
    <x v="0"/>
    <x v="0"/>
    <x v="0"/>
    <x v="0"/>
  </r>
  <r>
    <x v="1"/>
    <x v="4"/>
    <s v="9531 A"/>
    <x v="15"/>
    <s v="سادہ رول جیلانی پولی سٹاک"/>
    <s v="LDN"/>
    <s v="26 شیٹ"/>
    <s v="8-8.5/16-17"/>
    <s v="پیور"/>
    <n v="2000"/>
    <x v="0"/>
    <n v="4"/>
    <n v="349.6"/>
    <n v="12.4"/>
    <n v="36"/>
    <x v="0"/>
    <n v="337.20000000000005"/>
    <m/>
    <m/>
    <x v="0"/>
    <x v="0"/>
    <m/>
    <m/>
    <x v="0"/>
    <x v="0"/>
    <m/>
    <x v="0"/>
    <x v="0"/>
    <x v="0"/>
    <x v="0"/>
    <x v="0"/>
    <m/>
    <m/>
    <m/>
    <m/>
    <x v="0"/>
    <x v="0"/>
    <m/>
    <x v="0"/>
    <m/>
    <x v="0"/>
    <x v="0"/>
    <x v="0"/>
    <x v="0"/>
    <x v="0"/>
  </r>
  <r>
    <x v="1"/>
    <x v="4"/>
    <s v="2864 J"/>
    <x v="15"/>
    <s v="MTB"/>
    <s v="LDM"/>
    <s v="432 MM"/>
    <s v="-"/>
    <s v="ABA تھینکیو"/>
    <n v="500"/>
    <x v="0"/>
    <n v="4"/>
    <n v="217"/>
    <n v="8.1999999999999993"/>
    <m/>
    <x v="0"/>
    <n v="208.8"/>
    <m/>
    <m/>
    <x v="0"/>
    <x v="0"/>
    <m/>
    <m/>
    <x v="0"/>
    <x v="0"/>
    <m/>
    <x v="0"/>
    <x v="0"/>
    <x v="0"/>
    <x v="0"/>
    <x v="0"/>
    <m/>
    <m/>
    <m/>
    <m/>
    <x v="0"/>
    <x v="0"/>
    <m/>
    <x v="0"/>
    <m/>
    <x v="0"/>
    <x v="0"/>
    <x v="0"/>
    <x v="0"/>
    <x v="0"/>
  </r>
  <r>
    <x v="0"/>
    <x v="5"/>
    <s v="1715 F"/>
    <x v="15"/>
    <s v="WALMART بڑا بلاک"/>
    <s v="LDN"/>
    <n v="22"/>
    <s v="8"/>
    <s v="پیور"/>
    <n v="350"/>
    <x v="0"/>
    <n v="1"/>
    <n v="43.71"/>
    <n v="2.7"/>
    <m/>
    <x v="0"/>
    <n v="41.01"/>
    <m/>
    <m/>
    <x v="0"/>
    <x v="0"/>
    <m/>
    <m/>
    <x v="0"/>
    <x v="0"/>
    <m/>
    <x v="0"/>
    <x v="0"/>
    <x v="0"/>
    <x v="0"/>
    <x v="0"/>
    <m/>
    <m/>
    <m/>
    <m/>
    <x v="0"/>
    <x v="0"/>
    <m/>
    <x v="0"/>
    <m/>
    <x v="0"/>
    <x v="0"/>
    <x v="0"/>
    <x v="0"/>
    <x v="0"/>
  </r>
  <r>
    <x v="0"/>
    <x v="5"/>
    <s v="2815 J"/>
    <x v="15"/>
    <s v="سادہ لفافہ محبوب پرنٹر"/>
    <s v="LDN"/>
    <n v="22"/>
    <s v="8"/>
    <s v="پیور"/>
    <n v="200"/>
    <x v="0"/>
    <n v="5"/>
    <n v="217.67"/>
    <n v="13.5"/>
    <m/>
    <x v="0"/>
    <n v="204.17"/>
    <m/>
    <m/>
    <x v="0"/>
    <x v="0"/>
    <m/>
    <m/>
    <x v="0"/>
    <x v="0"/>
    <m/>
    <x v="0"/>
    <x v="0"/>
    <x v="0"/>
    <x v="0"/>
    <x v="0"/>
    <m/>
    <m/>
    <m/>
    <m/>
    <x v="0"/>
    <x v="0"/>
    <m/>
    <x v="0"/>
    <m/>
    <x v="0"/>
    <x v="0"/>
    <x v="0"/>
    <x v="0"/>
    <x v="0"/>
  </r>
  <r>
    <x v="0"/>
    <x v="5"/>
    <s v="2814 J"/>
    <x v="15"/>
    <s v="سادہ لفافہ محبوب پرنٹر"/>
    <s v="LDN"/>
    <n v="22"/>
    <s v="8"/>
    <s v="پیور"/>
    <n v="100"/>
    <x v="0"/>
    <n v="1"/>
    <n v="49.05"/>
    <n v="2.7"/>
    <m/>
    <x v="0"/>
    <n v="46.349999999999994"/>
    <m/>
    <m/>
    <x v="0"/>
    <x v="0"/>
    <m/>
    <m/>
    <x v="0"/>
    <x v="0"/>
    <m/>
    <x v="0"/>
    <x v="0"/>
    <x v="0"/>
    <x v="0"/>
    <x v="0"/>
    <m/>
    <m/>
    <m/>
    <m/>
    <x v="0"/>
    <x v="0"/>
    <m/>
    <x v="0"/>
    <m/>
    <x v="0"/>
    <x v="0"/>
    <x v="0"/>
    <x v="0"/>
    <x v="0"/>
  </r>
  <r>
    <x v="1"/>
    <x v="5"/>
    <s v="2814 J"/>
    <x v="15"/>
    <s v="سادہ لفافہ محبوب پرنٹر"/>
    <s v="LDN"/>
    <n v="22"/>
    <s v="8"/>
    <s v="پیور"/>
    <n v="100"/>
    <x v="0"/>
    <n v="1"/>
    <n v="52.69"/>
    <n v="2.7"/>
    <m/>
    <x v="0"/>
    <n v="49.989999999999995"/>
    <m/>
    <m/>
    <x v="0"/>
    <x v="0"/>
    <m/>
    <m/>
    <x v="0"/>
    <x v="0"/>
    <m/>
    <x v="0"/>
    <x v="0"/>
    <x v="0"/>
    <x v="0"/>
    <x v="0"/>
    <m/>
    <m/>
    <m/>
    <m/>
    <x v="0"/>
    <x v="0"/>
    <m/>
    <x v="0"/>
    <m/>
    <x v="0"/>
    <x v="0"/>
    <x v="0"/>
    <x v="0"/>
    <x v="0"/>
  </r>
  <r>
    <x v="1"/>
    <x v="5"/>
    <s v="2846 J"/>
    <x v="15"/>
    <s v="سادہ لفافہ احسان کاٹن"/>
    <s v="LDN"/>
    <n v="22"/>
    <n v="6"/>
    <s v="AA کولٹی"/>
    <n v="300"/>
    <x v="0"/>
    <n v="6"/>
    <n v="302.06"/>
    <n v="16.200000000000003"/>
    <m/>
    <x v="0"/>
    <n v="285.86"/>
    <m/>
    <m/>
    <x v="0"/>
    <x v="0"/>
    <m/>
    <m/>
    <x v="0"/>
    <x v="0"/>
    <m/>
    <x v="0"/>
    <x v="0"/>
    <x v="0"/>
    <x v="0"/>
    <x v="0"/>
    <m/>
    <m/>
    <m/>
    <m/>
    <x v="0"/>
    <x v="0"/>
    <m/>
    <x v="0"/>
    <m/>
    <x v="0"/>
    <x v="0"/>
    <x v="0"/>
    <x v="0"/>
    <x v="0"/>
  </r>
  <r>
    <x v="0"/>
    <x v="0"/>
    <s v="2594 J"/>
    <x v="16"/>
    <s v="EMULITE 50MM"/>
    <s v="LD گولڈن پیلا"/>
    <s v="80MM"/>
    <s v="31-32"/>
    <s v="پیور"/>
    <n v="2500"/>
    <x v="0"/>
    <n v="2"/>
    <n v="129.4"/>
    <n v="1.9"/>
    <m/>
    <x v="0"/>
    <n v="127.5"/>
    <m/>
    <m/>
    <x v="0"/>
    <x v="0"/>
    <m/>
    <m/>
    <x v="0"/>
    <x v="0"/>
    <m/>
    <x v="0"/>
    <x v="0"/>
    <x v="0"/>
    <x v="0"/>
    <x v="0"/>
    <m/>
    <m/>
    <m/>
    <m/>
    <x v="0"/>
    <x v="0"/>
    <m/>
    <x v="0"/>
    <m/>
    <x v="0"/>
    <x v="0"/>
    <x v="0"/>
    <x v="0"/>
    <x v="0"/>
  </r>
  <r>
    <x v="1"/>
    <x v="0"/>
    <s v="2594 J"/>
    <x v="16"/>
    <s v="EMULITE 50MM"/>
    <s v="LD گولڈن پیلا"/>
    <s v="80MM"/>
    <s v="31-32"/>
    <s v="پیور"/>
    <n v="2500"/>
    <x v="0"/>
    <n v="2"/>
    <n v="94.800000000000011"/>
    <n v="1.8"/>
    <m/>
    <x v="0"/>
    <n v="93.000000000000014"/>
    <m/>
    <m/>
    <x v="0"/>
    <x v="0"/>
    <m/>
    <m/>
    <x v="0"/>
    <x v="0"/>
    <m/>
    <x v="0"/>
    <x v="0"/>
    <x v="0"/>
    <x v="0"/>
    <x v="0"/>
    <m/>
    <m/>
    <m/>
    <m/>
    <x v="0"/>
    <x v="0"/>
    <m/>
    <x v="0"/>
    <m/>
    <x v="0"/>
    <x v="0"/>
    <x v="0"/>
    <x v="0"/>
    <x v="0"/>
  </r>
  <r>
    <x v="0"/>
    <x v="2"/>
    <s v="2843 J"/>
    <x v="16"/>
    <s v="آٹلس ہنڈا"/>
    <s v="LDN"/>
    <n v="16"/>
    <s v="8"/>
    <s v="پیور"/>
    <n v="810"/>
    <x v="0"/>
    <n v="6"/>
    <n v="339.40000000000003"/>
    <n v="11.399999999999999"/>
    <m/>
    <x v="0"/>
    <n v="328.00000000000006"/>
    <m/>
    <m/>
    <x v="0"/>
    <x v="0"/>
    <m/>
    <m/>
    <x v="0"/>
    <x v="0"/>
    <m/>
    <x v="0"/>
    <x v="0"/>
    <x v="0"/>
    <x v="0"/>
    <x v="0"/>
    <m/>
    <m/>
    <m/>
    <m/>
    <x v="0"/>
    <x v="0"/>
    <m/>
    <x v="0"/>
    <m/>
    <x v="0"/>
    <x v="0"/>
    <x v="0"/>
    <x v="0"/>
    <x v="0"/>
  </r>
  <r>
    <x v="1"/>
    <x v="2"/>
    <s v="2843 J"/>
    <x v="16"/>
    <s v="آٹلس ہنڈا"/>
    <s v="LDN"/>
    <n v="16"/>
    <s v="8"/>
    <s v="پیور"/>
    <n v="810"/>
    <x v="0"/>
    <n v="4"/>
    <n v="235.39999999999998"/>
    <n v="7.6"/>
    <m/>
    <x v="0"/>
    <n v="227.79999999999998"/>
    <m/>
    <m/>
    <x v="0"/>
    <x v="0"/>
    <m/>
    <m/>
    <x v="0"/>
    <x v="0"/>
    <m/>
    <x v="0"/>
    <x v="0"/>
    <x v="0"/>
    <x v="0"/>
    <x v="0"/>
    <m/>
    <m/>
    <m/>
    <m/>
    <x v="0"/>
    <x v="0"/>
    <m/>
    <x v="0"/>
    <m/>
    <x v="0"/>
    <x v="0"/>
    <x v="0"/>
    <x v="0"/>
    <x v="0"/>
  </r>
  <r>
    <x v="0"/>
    <x v="3"/>
    <n v="2758"/>
    <x v="16"/>
    <s v="SITARA CHEMICAL"/>
    <s v="LDN"/>
    <n v="24"/>
    <s v="100 G"/>
    <s v="SL"/>
    <n v="7500"/>
    <x v="0"/>
    <n v="3"/>
    <n v="403.6"/>
    <n v="9"/>
    <m/>
    <x v="0"/>
    <n v="394.6"/>
    <m/>
    <m/>
    <x v="0"/>
    <x v="0"/>
    <m/>
    <m/>
    <x v="0"/>
    <x v="0"/>
    <m/>
    <x v="0"/>
    <x v="0"/>
    <x v="0"/>
    <x v="0"/>
    <x v="0"/>
    <m/>
    <m/>
    <m/>
    <m/>
    <x v="0"/>
    <x v="0"/>
    <m/>
    <x v="0"/>
    <m/>
    <x v="0"/>
    <x v="0"/>
    <x v="0"/>
    <x v="0"/>
    <x v="0"/>
  </r>
  <r>
    <x v="1"/>
    <x v="3"/>
    <n v="2758"/>
    <x v="16"/>
    <s v="SITARA CHEMICAL"/>
    <s v="LDN"/>
    <n v="24"/>
    <s v="100 G"/>
    <s v="SL"/>
    <n v="7500"/>
    <x v="0"/>
    <n v="3"/>
    <n v="384.5"/>
    <n v="9.6000000000000014"/>
    <m/>
    <x v="0"/>
    <n v="374.9"/>
    <m/>
    <m/>
    <x v="0"/>
    <x v="0"/>
    <m/>
    <m/>
    <x v="0"/>
    <x v="0"/>
    <m/>
    <x v="0"/>
    <x v="0"/>
    <x v="0"/>
    <x v="0"/>
    <x v="0"/>
    <m/>
    <m/>
    <m/>
    <m/>
    <x v="0"/>
    <x v="0"/>
    <m/>
    <x v="0"/>
    <m/>
    <x v="0"/>
    <x v="0"/>
    <x v="0"/>
    <x v="0"/>
    <x v="0"/>
  </r>
  <r>
    <x v="0"/>
    <x v="4"/>
    <s v="2864 J"/>
    <x v="16"/>
    <s v="MTB"/>
    <s v="LDM"/>
    <s v="432 MM"/>
    <s v="-"/>
    <s v="ABA تھینکیو"/>
    <n v="500"/>
    <x v="0"/>
    <n v="5"/>
    <n v="231.6"/>
    <n v="10.600000000000001"/>
    <n v="46"/>
    <x v="0"/>
    <n v="221"/>
    <m/>
    <m/>
    <x v="0"/>
    <x v="0"/>
    <m/>
    <m/>
    <x v="0"/>
    <x v="0"/>
    <m/>
    <x v="0"/>
    <x v="0"/>
    <x v="0"/>
    <x v="0"/>
    <x v="0"/>
    <m/>
    <m/>
    <m/>
    <m/>
    <x v="0"/>
    <x v="0"/>
    <m/>
    <x v="0"/>
    <m/>
    <x v="0"/>
    <x v="0"/>
    <x v="0"/>
    <x v="0"/>
    <x v="0"/>
  </r>
  <r>
    <x v="1"/>
    <x v="4"/>
    <s v="2865 J"/>
    <x v="16"/>
    <s v="ایڈمرل ہیوی ڈیوٹی"/>
    <s v="LDM"/>
    <s v="428 MM"/>
    <s v="-"/>
    <s v="ABA تھینکیو"/>
    <n v="100"/>
    <x v="0"/>
    <n v="2"/>
    <n v="112"/>
    <n v="4.4000000000000004"/>
    <n v="85"/>
    <x v="0"/>
    <n v="107.6"/>
    <m/>
    <m/>
    <x v="0"/>
    <x v="0"/>
    <m/>
    <m/>
    <x v="0"/>
    <x v="0"/>
    <m/>
    <x v="0"/>
    <x v="0"/>
    <x v="0"/>
    <x v="0"/>
    <x v="0"/>
    <m/>
    <m/>
    <m/>
    <m/>
    <x v="0"/>
    <x v="0"/>
    <m/>
    <x v="0"/>
    <m/>
    <x v="0"/>
    <x v="0"/>
    <x v="0"/>
    <x v="0"/>
    <x v="0"/>
  </r>
  <r>
    <x v="1"/>
    <x v="4"/>
    <s v="2866 J"/>
    <x v="16"/>
    <s v="MTB سپورٹس"/>
    <s v="LDM"/>
    <s v="428 MM"/>
    <s v="-"/>
    <s v="ABA تھینکیو"/>
    <n v="300"/>
    <x v="0"/>
    <n v="6"/>
    <n v="334.8"/>
    <n v="13.200000000000001"/>
    <m/>
    <x v="0"/>
    <n v="321.60000000000002"/>
    <m/>
    <m/>
    <x v="0"/>
    <x v="0"/>
    <m/>
    <m/>
    <x v="0"/>
    <x v="0"/>
    <m/>
    <x v="0"/>
    <x v="0"/>
    <x v="0"/>
    <x v="0"/>
    <x v="0"/>
    <m/>
    <m/>
    <m/>
    <m/>
    <x v="0"/>
    <x v="0"/>
    <m/>
    <x v="0"/>
    <m/>
    <x v="0"/>
    <x v="0"/>
    <x v="0"/>
    <x v="0"/>
    <x v="0"/>
  </r>
  <r>
    <x v="1"/>
    <x v="4"/>
    <s v="2876 J"/>
    <x v="16"/>
    <s v="اسپیشل کوالٹی احرام"/>
    <s v="LDM"/>
    <n v="17"/>
    <s v="10.5-11"/>
    <s v="ABA پیور"/>
    <n v="100"/>
    <x v="0"/>
    <n v="2"/>
    <n v="148.6"/>
    <n v="3.4"/>
    <m/>
    <x v="0"/>
    <n v="145.19999999999999"/>
    <m/>
    <m/>
    <x v="0"/>
    <x v="0"/>
    <m/>
    <m/>
    <x v="0"/>
    <x v="0"/>
    <m/>
    <x v="0"/>
    <x v="0"/>
    <x v="0"/>
    <x v="0"/>
    <x v="0"/>
    <m/>
    <m/>
    <m/>
    <m/>
    <x v="0"/>
    <x v="0"/>
    <m/>
    <x v="0"/>
    <m/>
    <x v="0"/>
    <x v="0"/>
    <x v="0"/>
    <x v="0"/>
    <x v="0"/>
  </r>
  <r>
    <x v="0"/>
    <x v="5"/>
    <s v="2847 J"/>
    <x v="16"/>
    <s v="سادہ لفافہ احسان کاٹن"/>
    <s v="LDN"/>
    <n v="23"/>
    <n v="6"/>
    <s v="AA کولٹی"/>
    <n v="300"/>
    <x v="0"/>
    <n v="6"/>
    <n v="297.10000000000002"/>
    <n v="16.200000000000003"/>
    <n v="6"/>
    <x v="0"/>
    <n v="280.90000000000003"/>
    <m/>
    <m/>
    <x v="0"/>
    <x v="0"/>
    <m/>
    <m/>
    <x v="0"/>
    <x v="0"/>
    <m/>
    <x v="0"/>
    <x v="0"/>
    <x v="0"/>
    <x v="0"/>
    <x v="0"/>
    <m/>
    <m/>
    <m/>
    <m/>
    <x v="0"/>
    <x v="0"/>
    <m/>
    <x v="0"/>
    <m/>
    <x v="0"/>
    <x v="0"/>
    <x v="0"/>
    <x v="0"/>
    <x v="0"/>
  </r>
  <r>
    <x v="0"/>
    <x v="5"/>
    <s v="1709 F"/>
    <x v="16"/>
    <s v="EV 2 وارننگ"/>
    <s v="LDN"/>
    <n v="19"/>
    <s v="12"/>
    <s v="پیور"/>
    <n v="200"/>
    <x v="0"/>
    <n v="1"/>
    <n v="48.63"/>
    <n v="2.4"/>
    <m/>
    <x v="0"/>
    <n v="46.230000000000004"/>
    <m/>
    <m/>
    <x v="0"/>
    <x v="0"/>
    <m/>
    <m/>
    <x v="0"/>
    <x v="0"/>
    <m/>
    <x v="0"/>
    <x v="0"/>
    <x v="0"/>
    <x v="0"/>
    <x v="0"/>
    <m/>
    <m/>
    <m/>
    <m/>
    <x v="0"/>
    <x v="0"/>
    <m/>
    <x v="0"/>
    <m/>
    <x v="0"/>
    <x v="0"/>
    <x v="0"/>
    <x v="0"/>
    <x v="0"/>
  </r>
  <r>
    <x v="1"/>
    <x v="5"/>
    <s v="1709 F"/>
    <x v="16"/>
    <s v="EV 2 وارننگ"/>
    <s v="LDN"/>
    <n v="19"/>
    <s v="12"/>
    <s v="پیور"/>
    <n v="200"/>
    <x v="0"/>
    <n v="3"/>
    <n v="162.06"/>
    <n v="7.1999999999999993"/>
    <n v="10.8"/>
    <x v="0"/>
    <n v="154.86000000000001"/>
    <m/>
    <m/>
    <x v="0"/>
    <x v="0"/>
    <m/>
    <m/>
    <x v="0"/>
    <x v="0"/>
    <m/>
    <x v="0"/>
    <x v="0"/>
    <x v="0"/>
    <x v="0"/>
    <x v="0"/>
    <m/>
    <m/>
    <m/>
    <m/>
    <x v="0"/>
    <x v="0"/>
    <m/>
    <x v="0"/>
    <m/>
    <x v="0"/>
    <x v="0"/>
    <x v="0"/>
    <x v="0"/>
    <x v="0"/>
  </r>
  <r>
    <x v="1"/>
    <x v="5"/>
    <s v="1716 F"/>
    <x v="16"/>
    <s v="WALMART بڑا بلاک"/>
    <s v="LDN"/>
    <n v="20"/>
    <s v="8"/>
    <s v="پیور"/>
    <n v="40"/>
    <x v="0"/>
    <n v="1"/>
    <n v="43.89"/>
    <n v="2.5"/>
    <m/>
    <x v="0"/>
    <n v="41.39"/>
    <m/>
    <m/>
    <x v="0"/>
    <x v="0"/>
    <m/>
    <m/>
    <x v="0"/>
    <x v="0"/>
    <m/>
    <x v="0"/>
    <x v="0"/>
    <x v="0"/>
    <x v="0"/>
    <x v="0"/>
    <m/>
    <m/>
    <m/>
    <m/>
    <x v="0"/>
    <x v="0"/>
    <m/>
    <x v="0"/>
    <m/>
    <x v="0"/>
    <x v="0"/>
    <x v="0"/>
    <x v="0"/>
    <x v="0"/>
  </r>
  <r>
    <x v="1"/>
    <x v="5"/>
    <s v="1715 F"/>
    <x v="16"/>
    <s v="WALMART بڑا بلاک"/>
    <s v="LDN"/>
    <n v="22"/>
    <s v="8"/>
    <s v="پیور"/>
    <n v="350"/>
    <x v="0"/>
    <n v="4"/>
    <n v="203.75"/>
    <n v="11.099999999999998"/>
    <m/>
    <x v="0"/>
    <n v="192.65"/>
    <m/>
    <m/>
    <x v="0"/>
    <x v="0"/>
    <m/>
    <m/>
    <x v="0"/>
    <x v="0"/>
    <m/>
    <x v="0"/>
    <x v="0"/>
    <x v="0"/>
    <x v="0"/>
    <x v="0"/>
    <m/>
    <m/>
    <m/>
    <m/>
    <x v="0"/>
    <x v="0"/>
    <m/>
    <x v="0"/>
    <m/>
    <x v="0"/>
    <x v="0"/>
    <x v="0"/>
    <x v="0"/>
    <x v="0"/>
  </r>
  <r>
    <x v="0"/>
    <x v="0"/>
    <s v="2594 J"/>
    <x v="17"/>
    <s v="EMULITE 50MM"/>
    <s v="LD گولڈن پیلا"/>
    <s v="80MM"/>
    <s v="31-32"/>
    <s v="پیور"/>
    <n v="2500"/>
    <x v="0"/>
    <n v="2"/>
    <n v="116.2"/>
    <n v="1.7000000000000002"/>
    <n v="4"/>
    <x v="0"/>
    <n v="114.5"/>
    <m/>
    <m/>
    <x v="0"/>
    <x v="0"/>
    <m/>
    <m/>
    <x v="0"/>
    <x v="0"/>
    <m/>
    <x v="0"/>
    <x v="0"/>
    <x v="0"/>
    <x v="0"/>
    <x v="0"/>
    <m/>
    <m/>
    <m/>
    <m/>
    <x v="0"/>
    <x v="0"/>
    <m/>
    <x v="0"/>
    <m/>
    <x v="0"/>
    <x v="0"/>
    <x v="0"/>
    <x v="0"/>
    <x v="0"/>
  </r>
  <r>
    <x v="1"/>
    <x v="0"/>
    <s v="2594 J"/>
    <x v="17"/>
    <s v="EMULITE 50MM"/>
    <s v="LD گولڈن پیلا"/>
    <s v="80MM"/>
    <s v="31-32"/>
    <s v="پیور"/>
    <n v="2500"/>
    <x v="0"/>
    <n v="2"/>
    <n v="100.8"/>
    <n v="1.2"/>
    <m/>
    <x v="0"/>
    <n v="99.6"/>
    <m/>
    <m/>
    <x v="0"/>
    <x v="0"/>
    <m/>
    <m/>
    <x v="0"/>
    <x v="0"/>
    <m/>
    <x v="0"/>
    <x v="0"/>
    <x v="0"/>
    <x v="0"/>
    <x v="0"/>
    <m/>
    <m/>
    <m/>
    <m/>
    <x v="0"/>
    <x v="0"/>
    <m/>
    <x v="0"/>
    <m/>
    <x v="0"/>
    <x v="0"/>
    <x v="0"/>
    <x v="0"/>
    <x v="0"/>
  </r>
  <r>
    <x v="0"/>
    <x v="2"/>
    <s v="2805 J"/>
    <x v="17"/>
    <s v="یو ایس ڈینم"/>
    <s v="LDN"/>
    <n v="16"/>
    <s v="15.5-16"/>
    <s v="پیور"/>
    <n v="100"/>
    <x v="0"/>
    <n v="2"/>
    <n v="100.6"/>
    <n v="3.8"/>
    <n v="12"/>
    <x v="0"/>
    <n v="96.8"/>
    <m/>
    <m/>
    <x v="0"/>
    <x v="0"/>
    <m/>
    <m/>
    <x v="0"/>
    <x v="0"/>
    <m/>
    <x v="0"/>
    <x v="0"/>
    <x v="0"/>
    <x v="0"/>
    <x v="0"/>
    <m/>
    <m/>
    <m/>
    <m/>
    <x v="0"/>
    <x v="0"/>
    <m/>
    <x v="0"/>
    <m/>
    <x v="0"/>
    <x v="0"/>
    <x v="0"/>
    <x v="0"/>
    <x v="0"/>
  </r>
  <r>
    <x v="0"/>
    <x v="2"/>
    <s v="2801 J"/>
    <x v="17"/>
    <s v="ایم پی میاں پلاسٹک"/>
    <s v="LDN"/>
    <n v="18"/>
    <n v="9"/>
    <s v="پیور"/>
    <n v="100"/>
    <x v="0"/>
    <n v="2"/>
    <n v="118.4"/>
    <n v="4.2"/>
    <m/>
    <x v="0"/>
    <n v="114.2"/>
    <m/>
    <m/>
    <x v="0"/>
    <x v="0"/>
    <m/>
    <m/>
    <x v="0"/>
    <x v="0"/>
    <m/>
    <x v="0"/>
    <x v="0"/>
    <x v="0"/>
    <x v="0"/>
    <x v="0"/>
    <m/>
    <m/>
    <m/>
    <m/>
    <x v="0"/>
    <x v="0"/>
    <m/>
    <x v="0"/>
    <m/>
    <x v="0"/>
    <x v="0"/>
    <x v="0"/>
    <x v="0"/>
    <x v="0"/>
  </r>
  <r>
    <x v="0"/>
    <x v="2"/>
    <s v="1734 F"/>
    <x v="17"/>
    <s v="سادہ لفافہ"/>
    <s v="LDN"/>
    <n v="16"/>
    <s v="5-5.5"/>
    <s v="پیور"/>
    <n v="50"/>
    <x v="0"/>
    <n v="2"/>
    <n v="61.2"/>
    <n v="3.8"/>
    <m/>
    <x v="0"/>
    <n v="57.400000000000006"/>
    <m/>
    <m/>
    <x v="0"/>
    <x v="0"/>
    <m/>
    <m/>
    <x v="0"/>
    <x v="0"/>
    <m/>
    <x v="0"/>
    <x v="0"/>
    <x v="0"/>
    <x v="0"/>
    <x v="0"/>
    <m/>
    <m/>
    <m/>
    <m/>
    <x v="0"/>
    <x v="0"/>
    <m/>
    <x v="0"/>
    <m/>
    <x v="0"/>
    <x v="0"/>
    <x v="0"/>
    <x v="0"/>
    <x v="0"/>
  </r>
  <r>
    <x v="1"/>
    <x v="2"/>
    <s v="1714 F"/>
    <x v="17"/>
    <s v="WALMART چھوٹی وارننگ"/>
    <s v="LDN"/>
    <n v="15"/>
    <s v="8"/>
    <s v="پیور"/>
    <n v="290"/>
    <x v="0"/>
    <n v="4"/>
    <n v="197"/>
    <n v="7.3000000000000007"/>
    <m/>
    <x v="0"/>
    <n v="189.7"/>
    <m/>
    <m/>
    <x v="0"/>
    <x v="0"/>
    <m/>
    <m/>
    <x v="0"/>
    <x v="0"/>
    <m/>
    <x v="0"/>
    <x v="0"/>
    <x v="0"/>
    <x v="0"/>
    <x v="0"/>
    <m/>
    <m/>
    <m/>
    <m/>
    <x v="0"/>
    <x v="0"/>
    <m/>
    <x v="0"/>
    <m/>
    <x v="0"/>
    <x v="0"/>
    <x v="0"/>
    <x v="0"/>
    <x v="0"/>
  </r>
  <r>
    <x v="0"/>
    <x v="3"/>
    <n v="2758"/>
    <x v="17"/>
    <s v="SITARA CHEMICAL"/>
    <s v="LDN"/>
    <n v="24"/>
    <s v="100 G"/>
    <s v="SL"/>
    <n v="7500"/>
    <x v="0"/>
    <n v="1"/>
    <n v="146.6"/>
    <n v="3"/>
    <n v="10"/>
    <x v="0"/>
    <n v="143.6"/>
    <m/>
    <m/>
    <x v="0"/>
    <x v="0"/>
    <m/>
    <m/>
    <x v="0"/>
    <x v="0"/>
    <m/>
    <x v="0"/>
    <x v="0"/>
    <x v="0"/>
    <x v="0"/>
    <x v="0"/>
    <m/>
    <m/>
    <m/>
    <m/>
    <x v="0"/>
    <x v="0"/>
    <m/>
    <x v="0"/>
    <m/>
    <x v="0"/>
    <x v="0"/>
    <x v="0"/>
    <x v="0"/>
    <x v="0"/>
  </r>
  <r>
    <x v="0"/>
    <x v="3"/>
    <n v="2759"/>
    <x v="17"/>
    <s v="OLYMPIA"/>
    <s v="LDN"/>
    <n v="29"/>
    <s v="88 G"/>
    <s v="SL"/>
    <n v="2700"/>
    <x v="0"/>
    <n v="2"/>
    <n v="248.4"/>
    <n v="7.2"/>
    <n v="4"/>
    <x v="0"/>
    <n v="241.20000000000002"/>
    <m/>
    <m/>
    <x v="0"/>
    <x v="0"/>
    <m/>
    <m/>
    <x v="0"/>
    <x v="0"/>
    <m/>
    <x v="0"/>
    <x v="0"/>
    <x v="0"/>
    <x v="0"/>
    <x v="0"/>
    <m/>
    <m/>
    <m/>
    <m/>
    <x v="0"/>
    <x v="0"/>
    <m/>
    <x v="0"/>
    <m/>
    <x v="0"/>
    <x v="0"/>
    <x v="0"/>
    <x v="0"/>
    <x v="0"/>
  </r>
  <r>
    <x v="1"/>
    <x v="3"/>
    <n v="2759"/>
    <x v="17"/>
    <s v="OLYMPIA"/>
    <s v="LDN"/>
    <n v="29"/>
    <s v="88 G"/>
    <s v="SL"/>
    <n v="2700"/>
    <x v="0"/>
    <n v="3"/>
    <n v="401.2"/>
    <n v="10.8"/>
    <m/>
    <x v="0"/>
    <n v="390.4"/>
    <m/>
    <m/>
    <x v="0"/>
    <x v="0"/>
    <m/>
    <m/>
    <x v="0"/>
    <x v="0"/>
    <m/>
    <x v="0"/>
    <x v="0"/>
    <x v="0"/>
    <x v="0"/>
    <x v="0"/>
    <m/>
    <m/>
    <m/>
    <m/>
    <x v="0"/>
    <x v="0"/>
    <m/>
    <x v="0"/>
    <m/>
    <x v="0"/>
    <x v="0"/>
    <x v="0"/>
    <x v="0"/>
    <x v="0"/>
  </r>
  <r>
    <x v="0"/>
    <x v="4"/>
    <s v="2841 J"/>
    <x v="17"/>
    <s v="سادہ بیگ ڈبل ٹریٹ نواب جیلانی"/>
    <s v="LDM"/>
    <n v="20"/>
    <s v="20-21"/>
    <s v="ABA پیور"/>
    <n v="100"/>
    <x v="0"/>
    <n v="2"/>
    <n v="110"/>
    <n v="4.8"/>
    <n v="28"/>
    <x v="0"/>
    <n v="105.2"/>
    <m/>
    <m/>
    <x v="0"/>
    <x v="0"/>
    <m/>
    <m/>
    <x v="0"/>
    <x v="0"/>
    <m/>
    <x v="0"/>
    <x v="0"/>
    <x v="0"/>
    <x v="0"/>
    <x v="0"/>
    <m/>
    <m/>
    <m/>
    <m/>
    <x v="0"/>
    <x v="0"/>
    <m/>
    <x v="0"/>
    <m/>
    <x v="0"/>
    <x v="0"/>
    <x v="0"/>
    <x v="0"/>
    <x v="0"/>
  </r>
  <r>
    <x v="0"/>
    <x v="4"/>
    <s v="2840 J"/>
    <x v="17"/>
    <s v="سادہ شاپر ڈبل ٹریٹ نواب جیلانی"/>
    <s v="LDM"/>
    <s v="12+3+3"/>
    <s v="10-10.5/20-21"/>
    <s v="ABA پیور"/>
    <n v="110"/>
    <x v="0"/>
    <n v="3"/>
    <n v="119"/>
    <n v="4.1999999999999993"/>
    <m/>
    <x v="0"/>
    <n v="114.8"/>
    <m/>
    <m/>
    <x v="0"/>
    <x v="0"/>
    <m/>
    <m/>
    <x v="0"/>
    <x v="0"/>
    <m/>
    <x v="0"/>
    <x v="0"/>
    <x v="0"/>
    <x v="0"/>
    <x v="0"/>
    <m/>
    <m/>
    <m/>
    <m/>
    <x v="0"/>
    <x v="0"/>
    <m/>
    <x v="0"/>
    <m/>
    <x v="0"/>
    <x v="0"/>
    <x v="0"/>
    <x v="0"/>
    <x v="0"/>
  </r>
  <r>
    <x v="0"/>
    <x v="4"/>
    <s v="2799 J"/>
    <x v="17"/>
    <s v="ایسی فٹ"/>
    <s v="LDM"/>
    <n v="18"/>
    <s v="11-11.5"/>
    <s v="ABA پیور"/>
    <n v="100"/>
    <x v="0"/>
    <n v="2"/>
    <n v="118.6"/>
    <n v="4.4000000000000004"/>
    <m/>
    <x v="0"/>
    <n v="114.19999999999999"/>
    <m/>
    <m/>
    <x v="0"/>
    <x v="0"/>
    <m/>
    <m/>
    <x v="0"/>
    <x v="0"/>
    <m/>
    <x v="0"/>
    <x v="0"/>
    <x v="0"/>
    <x v="0"/>
    <x v="0"/>
    <m/>
    <m/>
    <m/>
    <m/>
    <x v="0"/>
    <x v="0"/>
    <m/>
    <x v="0"/>
    <m/>
    <x v="0"/>
    <x v="0"/>
    <x v="0"/>
    <x v="0"/>
    <x v="0"/>
  </r>
  <r>
    <x v="0"/>
    <x v="4"/>
    <s v="2811 J"/>
    <x v="17"/>
    <s v="لکی کلاتھ ہاؤس "/>
    <s v="LDM"/>
    <s v="10+2.5+2.5"/>
    <s v="7.5-8/15-16"/>
    <s v="ABA پیور"/>
    <n v="110"/>
    <x v="0"/>
    <n v="3"/>
    <n v="67.400000000000006"/>
    <n v="3.5999999999999996"/>
    <m/>
    <x v="0"/>
    <n v="63.800000000000004"/>
    <m/>
    <m/>
    <x v="0"/>
    <x v="0"/>
    <m/>
    <m/>
    <x v="0"/>
    <x v="0"/>
    <m/>
    <x v="0"/>
    <x v="0"/>
    <x v="0"/>
    <x v="0"/>
    <x v="0"/>
    <m/>
    <m/>
    <m/>
    <m/>
    <x v="0"/>
    <x v="0"/>
    <m/>
    <x v="0"/>
    <m/>
    <x v="0"/>
    <x v="0"/>
    <x v="0"/>
    <x v="0"/>
    <x v="0"/>
  </r>
  <r>
    <x v="0"/>
    <x v="4"/>
    <s v="2861 J"/>
    <x v="17"/>
    <s v="ہیئراولڈ فارماسیوٹیکل"/>
    <s v="LDM"/>
    <n v="14"/>
    <s v="20-21"/>
    <s v="ABA پیور"/>
    <n v="100"/>
    <x v="0"/>
    <n v="2"/>
    <n v="104"/>
    <n v="3.4000000000000004"/>
    <m/>
    <x v="0"/>
    <n v="100.6"/>
    <m/>
    <m/>
    <x v="0"/>
    <x v="0"/>
    <m/>
    <m/>
    <x v="0"/>
    <x v="0"/>
    <m/>
    <x v="0"/>
    <x v="0"/>
    <x v="0"/>
    <x v="0"/>
    <x v="0"/>
    <m/>
    <m/>
    <m/>
    <m/>
    <x v="0"/>
    <x v="0"/>
    <m/>
    <x v="0"/>
    <m/>
    <x v="0"/>
    <x v="0"/>
    <x v="0"/>
    <x v="0"/>
    <x v="0"/>
  </r>
  <r>
    <x v="1"/>
    <x v="4"/>
    <s v="2811 J"/>
    <x v="17"/>
    <s v="لکی کلاتھ ہاؤس "/>
    <s v="LDM"/>
    <s v="10+2.5+2.5"/>
    <s v="7.5-8/15-16"/>
    <s v="ABA پیور"/>
    <n v="110"/>
    <x v="0"/>
    <n v="1"/>
    <n v="31"/>
    <n v="1.2"/>
    <n v="97"/>
    <x v="0"/>
    <n v="29.8"/>
    <m/>
    <m/>
    <x v="0"/>
    <x v="0"/>
    <m/>
    <m/>
    <x v="0"/>
    <x v="0"/>
    <m/>
    <x v="0"/>
    <x v="0"/>
    <x v="0"/>
    <x v="0"/>
    <x v="0"/>
    <m/>
    <m/>
    <m/>
    <m/>
    <x v="0"/>
    <x v="0"/>
    <m/>
    <x v="0"/>
    <m/>
    <x v="0"/>
    <x v="0"/>
    <x v="0"/>
    <x v="0"/>
    <x v="0"/>
  </r>
  <r>
    <x v="1"/>
    <x v="4"/>
    <s v="2830 J"/>
    <x v="17"/>
    <s v="ٹیکنو فرنیچر"/>
    <s v="LDN"/>
    <n v="24"/>
    <s v="4-4.5"/>
    <s v="25:3"/>
    <n v="250"/>
    <x v="0"/>
    <n v="5"/>
    <n v="173"/>
    <n v="17"/>
    <m/>
    <x v="0"/>
    <n v="156"/>
    <m/>
    <m/>
    <x v="0"/>
    <x v="0"/>
    <m/>
    <m/>
    <x v="0"/>
    <x v="0"/>
    <m/>
    <x v="0"/>
    <x v="0"/>
    <x v="0"/>
    <x v="0"/>
    <x v="0"/>
    <m/>
    <m/>
    <m/>
    <m/>
    <x v="0"/>
    <x v="0"/>
    <m/>
    <x v="0"/>
    <m/>
    <x v="0"/>
    <x v="0"/>
    <x v="0"/>
    <x v="0"/>
    <x v="0"/>
  </r>
  <r>
    <x v="1"/>
    <x v="4"/>
    <s v="9531 A"/>
    <x v="17"/>
    <s v="سادہ رول جیلانی پولی سٹاک"/>
    <s v="LDN"/>
    <s v="26 شیٹ"/>
    <s v="8-8.5/16-17"/>
    <s v="پیور"/>
    <n v="2000"/>
    <x v="0"/>
    <n v="2"/>
    <n v="213.4"/>
    <n v="7.2"/>
    <m/>
    <x v="0"/>
    <n v="206.20000000000002"/>
    <m/>
    <m/>
    <x v="0"/>
    <x v="0"/>
    <m/>
    <m/>
    <x v="0"/>
    <x v="0"/>
    <m/>
    <x v="0"/>
    <x v="0"/>
    <x v="0"/>
    <x v="0"/>
    <x v="0"/>
    <m/>
    <m/>
    <m/>
    <m/>
    <x v="0"/>
    <x v="0"/>
    <m/>
    <x v="0"/>
    <m/>
    <x v="0"/>
    <x v="0"/>
    <x v="0"/>
    <x v="0"/>
    <x v="0"/>
  </r>
  <r>
    <x v="1"/>
    <x v="4"/>
    <s v="PAKING"/>
    <x v="17"/>
    <s v="-"/>
    <s v="-"/>
    <s v="-"/>
    <s v="-"/>
    <s v="-"/>
    <s v="-"/>
    <x v="0"/>
    <n v="1"/>
    <n v="65.599999999999994"/>
    <n v="3"/>
    <m/>
    <x v="0"/>
    <n v="62.599999999999994"/>
    <m/>
    <m/>
    <x v="0"/>
    <x v="0"/>
    <m/>
    <m/>
    <x v="0"/>
    <x v="0"/>
    <m/>
    <x v="0"/>
    <x v="0"/>
    <x v="0"/>
    <x v="0"/>
    <x v="0"/>
    <m/>
    <m/>
    <m/>
    <m/>
    <x v="0"/>
    <x v="0"/>
    <m/>
    <x v="0"/>
    <m/>
    <x v="0"/>
    <x v="0"/>
    <x v="0"/>
    <x v="0"/>
    <x v="0"/>
  </r>
  <r>
    <x v="0"/>
    <x v="5"/>
    <s v="2860 J"/>
    <x v="17"/>
    <s v="سپر ڈائمنڈ  فوڈ"/>
    <s v="LDN"/>
    <n v="22"/>
    <s v="7.5-8"/>
    <s v="پیور"/>
    <n v="250"/>
    <x v="0"/>
    <n v="5"/>
    <n v="252.15"/>
    <n v="14"/>
    <n v="8"/>
    <x v="0"/>
    <n v="238.15"/>
    <m/>
    <m/>
    <x v="0"/>
    <x v="0"/>
    <m/>
    <m/>
    <x v="0"/>
    <x v="0"/>
    <m/>
    <x v="0"/>
    <x v="0"/>
    <x v="0"/>
    <x v="0"/>
    <x v="0"/>
    <m/>
    <m/>
    <m/>
    <m/>
    <x v="0"/>
    <x v="0"/>
    <m/>
    <x v="0"/>
    <m/>
    <x v="0"/>
    <x v="0"/>
    <x v="0"/>
    <x v="0"/>
    <x v="0"/>
  </r>
  <r>
    <x v="0"/>
    <x v="5"/>
    <s v="2899 J"/>
    <x v="17"/>
    <s v="یو ایس ڈینم"/>
    <s v="LDN"/>
    <n v="24"/>
    <s v="15.5-16"/>
    <s v="پیور"/>
    <n v="100"/>
    <x v="0"/>
    <n v="2"/>
    <n v="109.04"/>
    <n v="5.8"/>
    <m/>
    <x v="0"/>
    <n v="103.24000000000001"/>
    <m/>
    <m/>
    <x v="0"/>
    <x v="0"/>
    <m/>
    <m/>
    <x v="0"/>
    <x v="0"/>
    <m/>
    <x v="0"/>
    <x v="0"/>
    <x v="0"/>
    <x v="0"/>
    <x v="0"/>
    <m/>
    <m/>
    <m/>
    <m/>
    <x v="0"/>
    <x v="0"/>
    <m/>
    <x v="0"/>
    <m/>
    <x v="0"/>
    <x v="0"/>
    <x v="0"/>
    <x v="0"/>
    <x v="0"/>
  </r>
  <r>
    <x v="0"/>
    <x v="5"/>
    <s v="1708 F"/>
    <x v="17"/>
    <s v="CRIZMA  وارننگ"/>
    <s v="LDN"/>
    <n v="17"/>
    <s v="7"/>
    <s v="پیور"/>
    <n v="235"/>
    <x v="0"/>
    <n v="3"/>
    <n v="122.74000000000001"/>
    <n v="6.8999999999999995"/>
    <m/>
    <x v="0"/>
    <n v="115.84"/>
    <m/>
    <m/>
    <x v="0"/>
    <x v="0"/>
    <m/>
    <m/>
    <x v="0"/>
    <x v="0"/>
    <m/>
    <x v="0"/>
    <x v="0"/>
    <x v="0"/>
    <x v="0"/>
    <x v="0"/>
    <m/>
    <m/>
    <m/>
    <m/>
    <x v="0"/>
    <x v="0"/>
    <m/>
    <x v="0"/>
    <m/>
    <x v="0"/>
    <x v="0"/>
    <x v="0"/>
    <x v="0"/>
    <x v="0"/>
  </r>
  <r>
    <x v="1"/>
    <x v="5"/>
    <s v="1708 F"/>
    <x v="17"/>
    <s v="CRIZMA  وارننگ"/>
    <s v="LDN"/>
    <n v="17"/>
    <s v="7"/>
    <s v="پیور"/>
    <n v="235"/>
    <x v="0"/>
    <n v="3"/>
    <n v="131.19999999999999"/>
    <n v="6.1999999999999993"/>
    <m/>
    <x v="0"/>
    <n v="124.99999999999999"/>
    <m/>
    <m/>
    <x v="0"/>
    <x v="0"/>
    <m/>
    <m/>
    <x v="0"/>
    <x v="0"/>
    <m/>
    <x v="0"/>
    <x v="0"/>
    <x v="0"/>
    <x v="0"/>
    <x v="0"/>
    <m/>
    <m/>
    <m/>
    <m/>
    <x v="0"/>
    <x v="0"/>
    <m/>
    <x v="0"/>
    <m/>
    <x v="0"/>
    <x v="0"/>
    <x v="0"/>
    <x v="0"/>
    <x v="0"/>
  </r>
  <r>
    <x v="1"/>
    <x v="5"/>
    <s v="1727 F"/>
    <x v="17"/>
    <s v="TRICORP وارننگ"/>
    <s v="LDN"/>
    <n v="17"/>
    <s v="7.7.5"/>
    <s v="جیلانی شیٹ"/>
    <n v="35"/>
    <x v="0"/>
    <n v="2"/>
    <n v="100.3"/>
    <n v="4.0999999999999996"/>
    <m/>
    <x v="0"/>
    <n v="96.2"/>
    <m/>
    <m/>
    <x v="0"/>
    <x v="0"/>
    <m/>
    <m/>
    <x v="0"/>
    <x v="0"/>
    <m/>
    <x v="0"/>
    <x v="0"/>
    <x v="0"/>
    <x v="0"/>
    <x v="0"/>
    <m/>
    <m/>
    <m/>
    <m/>
    <x v="0"/>
    <x v="0"/>
    <m/>
    <x v="0"/>
    <m/>
    <x v="0"/>
    <x v="0"/>
    <x v="0"/>
    <x v="0"/>
    <x v="0"/>
  </r>
  <r>
    <x v="1"/>
    <x v="5"/>
    <s v="1726 F"/>
    <x v="17"/>
    <s v="ڈبل ٹریٹ  رول"/>
    <s v="LDN"/>
    <n v="21"/>
    <s v="7.7.5"/>
    <s v="پیور"/>
    <n v="350"/>
    <x v="0"/>
    <n v="2"/>
    <n v="91.699999999999989"/>
    <n v="4.5999999999999996"/>
    <m/>
    <x v="0"/>
    <n v="87.1"/>
    <m/>
    <m/>
    <x v="0"/>
    <x v="0"/>
    <m/>
    <m/>
    <x v="0"/>
    <x v="0"/>
    <m/>
    <x v="0"/>
    <x v="0"/>
    <x v="0"/>
    <x v="0"/>
    <x v="0"/>
    <m/>
    <m/>
    <m/>
    <m/>
    <x v="0"/>
    <x v="0"/>
    <m/>
    <x v="0"/>
    <m/>
    <x v="0"/>
    <x v="0"/>
    <x v="0"/>
    <x v="0"/>
    <x v="0"/>
  </r>
  <r>
    <x v="1"/>
    <x v="5"/>
    <s v="1710 F"/>
    <x v="17"/>
    <s v="سادہ لفافہ"/>
    <s v="LDN"/>
    <n v="17"/>
    <s v="7-7.5"/>
    <s v="پیور"/>
    <n v="16"/>
    <x v="0"/>
    <n v="1"/>
    <n v="17.399999999999999"/>
    <n v="2.1"/>
    <m/>
    <x v="0"/>
    <n v="15.299999999999999"/>
    <m/>
    <m/>
    <x v="0"/>
    <x v="0"/>
    <m/>
    <m/>
    <x v="0"/>
    <x v="0"/>
    <m/>
    <x v="0"/>
    <x v="0"/>
    <x v="0"/>
    <x v="0"/>
    <x v="0"/>
    <m/>
    <m/>
    <m/>
    <m/>
    <x v="0"/>
    <x v="0"/>
    <m/>
    <x v="0"/>
    <m/>
    <x v="0"/>
    <x v="0"/>
    <x v="0"/>
    <x v="0"/>
    <x v="0"/>
  </r>
  <r>
    <x v="0"/>
    <x v="0"/>
    <s v="2594 J"/>
    <x v="18"/>
    <s v="EMULITE 50MM"/>
    <s v="LD گولڈن پیلا"/>
    <s v="80MM"/>
    <s v="31-32"/>
    <s v="پیور"/>
    <n v="2500"/>
    <x v="0"/>
    <n v="3"/>
    <n v="120.39999999999999"/>
    <n v="1.7999999999999998"/>
    <n v="5"/>
    <x v="0"/>
    <n v="118.6"/>
    <m/>
    <m/>
    <x v="0"/>
    <x v="0"/>
    <m/>
    <m/>
    <x v="0"/>
    <x v="0"/>
    <m/>
    <x v="0"/>
    <x v="0"/>
    <x v="0"/>
    <x v="0"/>
    <x v="0"/>
    <m/>
    <m/>
    <m/>
    <m/>
    <x v="0"/>
    <x v="0"/>
    <m/>
    <x v="0"/>
    <m/>
    <x v="0"/>
    <x v="0"/>
    <x v="0"/>
    <x v="0"/>
    <x v="0"/>
  </r>
  <r>
    <x v="1"/>
    <x v="0"/>
    <s v="2594 J"/>
    <x v="18"/>
    <s v="EMULITE 50MM"/>
    <s v="LD گولڈن پیلا"/>
    <s v="80MM"/>
    <s v="31-32"/>
    <s v="پیور"/>
    <n v="2500"/>
    <x v="0"/>
    <n v="4"/>
    <n v="123.30000000000001"/>
    <n v="2.4"/>
    <m/>
    <x v="0"/>
    <n v="120.9"/>
    <m/>
    <m/>
    <x v="0"/>
    <x v="0"/>
    <m/>
    <m/>
    <x v="0"/>
    <x v="0"/>
    <m/>
    <x v="0"/>
    <x v="0"/>
    <x v="0"/>
    <x v="0"/>
    <x v="0"/>
    <m/>
    <m/>
    <m/>
    <m/>
    <x v="0"/>
    <x v="0"/>
    <m/>
    <x v="0"/>
    <m/>
    <x v="0"/>
    <x v="0"/>
    <x v="0"/>
    <x v="0"/>
    <x v="0"/>
  </r>
  <r>
    <x v="0"/>
    <x v="2"/>
    <s v="1714 F"/>
    <x v="18"/>
    <s v="WALMART چھوٹی وارننگ"/>
    <s v="LDN"/>
    <n v="15"/>
    <s v="8"/>
    <s v="پیور"/>
    <n v="290"/>
    <x v="0"/>
    <n v="2"/>
    <n v="101"/>
    <n v="3.8"/>
    <n v="9"/>
    <x v="0"/>
    <n v="97.2"/>
    <m/>
    <m/>
    <x v="0"/>
    <x v="0"/>
    <m/>
    <m/>
    <x v="0"/>
    <x v="0"/>
    <m/>
    <x v="0"/>
    <x v="0"/>
    <x v="0"/>
    <x v="0"/>
    <x v="0"/>
    <m/>
    <m/>
    <m/>
    <m/>
    <x v="0"/>
    <x v="0"/>
    <m/>
    <x v="0"/>
    <m/>
    <x v="0"/>
    <x v="0"/>
    <x v="0"/>
    <x v="0"/>
    <x v="0"/>
  </r>
  <r>
    <x v="0"/>
    <x v="2"/>
    <s v="1713 F"/>
    <x v="18"/>
    <s v="WALMART چھوٹی وارننگ"/>
    <s v="LDN"/>
    <n v="14"/>
    <s v="7.5-8"/>
    <s v="پیور"/>
    <n v="100"/>
    <x v="0"/>
    <n v="2"/>
    <n v="101.8"/>
    <n v="3.6"/>
    <m/>
    <x v="0"/>
    <n v="98.2"/>
    <m/>
    <m/>
    <x v="0"/>
    <x v="0"/>
    <m/>
    <m/>
    <x v="0"/>
    <x v="0"/>
    <m/>
    <x v="0"/>
    <x v="0"/>
    <x v="0"/>
    <x v="0"/>
    <x v="0"/>
    <m/>
    <m/>
    <m/>
    <m/>
    <x v="0"/>
    <x v="0"/>
    <m/>
    <x v="0"/>
    <m/>
    <x v="0"/>
    <x v="0"/>
    <x v="0"/>
    <x v="0"/>
    <x v="0"/>
  </r>
  <r>
    <x v="0"/>
    <x v="2"/>
    <s v="2903 J"/>
    <x v="18"/>
    <s v="سادہ لفافہ محبوب پرنٹر"/>
    <s v="LDN"/>
    <n v="14.5"/>
    <s v="8"/>
    <s v="پیور"/>
    <n v="100"/>
    <x v="0"/>
    <n v="2"/>
    <n v="88"/>
    <n v="3.4000000000000004"/>
    <m/>
    <x v="0"/>
    <n v="84.6"/>
    <m/>
    <m/>
    <x v="0"/>
    <x v="0"/>
    <m/>
    <m/>
    <x v="0"/>
    <x v="0"/>
    <m/>
    <x v="0"/>
    <x v="0"/>
    <x v="0"/>
    <x v="0"/>
    <x v="0"/>
    <m/>
    <m/>
    <m/>
    <m/>
    <x v="0"/>
    <x v="0"/>
    <m/>
    <x v="0"/>
    <m/>
    <x v="0"/>
    <x v="0"/>
    <x v="0"/>
    <x v="0"/>
    <x v="0"/>
  </r>
  <r>
    <x v="0"/>
    <x v="2"/>
    <s v="2844 J"/>
    <x v="18"/>
    <s v="سادہ لفافہ احسان کاٹن"/>
    <s v="LDN"/>
    <n v="20"/>
    <n v="6"/>
    <s v="AA کولٹی"/>
    <n v="300"/>
    <x v="0"/>
    <n v="2"/>
    <n v="107.6"/>
    <n v="5"/>
    <m/>
    <x v="0"/>
    <n v="102.6"/>
    <m/>
    <m/>
    <x v="0"/>
    <x v="0"/>
    <m/>
    <m/>
    <x v="0"/>
    <x v="0"/>
    <m/>
    <x v="0"/>
    <x v="0"/>
    <x v="0"/>
    <x v="0"/>
    <x v="0"/>
    <m/>
    <m/>
    <m/>
    <m/>
    <x v="0"/>
    <x v="0"/>
    <m/>
    <x v="0"/>
    <m/>
    <x v="0"/>
    <x v="0"/>
    <x v="0"/>
    <x v="0"/>
    <x v="0"/>
  </r>
  <r>
    <x v="1"/>
    <x v="2"/>
    <s v="2903 J"/>
    <x v="18"/>
    <s v="سادہ لفافہ محبوب پرنٹر"/>
    <s v="LDN"/>
    <n v="14.5"/>
    <s v="8"/>
    <s v="پیور"/>
    <n v="100"/>
    <x v="0"/>
    <n v="3"/>
    <n v="130.80000000000001"/>
    <n v="5.5"/>
    <m/>
    <x v="0"/>
    <n v="125.30000000000001"/>
    <m/>
    <m/>
    <x v="0"/>
    <x v="0"/>
    <m/>
    <m/>
    <x v="0"/>
    <x v="0"/>
    <m/>
    <x v="0"/>
    <x v="0"/>
    <x v="0"/>
    <x v="0"/>
    <x v="0"/>
    <m/>
    <m/>
    <m/>
    <m/>
    <x v="0"/>
    <x v="0"/>
    <m/>
    <x v="0"/>
    <m/>
    <x v="0"/>
    <x v="0"/>
    <x v="0"/>
    <x v="0"/>
    <x v="0"/>
  </r>
  <r>
    <x v="1"/>
    <x v="2"/>
    <s v="2890 J"/>
    <x v="18"/>
    <s v="سادہ لفافہ چیزو چیز"/>
    <s v="LDN"/>
    <n v="11"/>
    <n v="18"/>
    <s v="پیور"/>
    <n v="100"/>
    <x v="0"/>
    <n v="1"/>
    <n v="48"/>
    <n v="1.3"/>
    <m/>
    <x v="0"/>
    <n v="46.7"/>
    <m/>
    <m/>
    <x v="0"/>
    <x v="0"/>
    <m/>
    <m/>
    <x v="0"/>
    <x v="0"/>
    <m/>
    <x v="0"/>
    <x v="0"/>
    <x v="0"/>
    <x v="0"/>
    <x v="0"/>
    <m/>
    <m/>
    <m/>
    <m/>
    <x v="0"/>
    <x v="0"/>
    <m/>
    <x v="0"/>
    <m/>
    <x v="0"/>
    <x v="0"/>
    <x v="0"/>
    <x v="0"/>
    <x v="0"/>
  </r>
  <r>
    <x v="0"/>
    <x v="4"/>
    <s v="2831 J"/>
    <x v="18"/>
    <s v="ٹیکنو فرنیچر"/>
    <s v="LDN"/>
    <n v="27"/>
    <s v="4-4.5"/>
    <s v="25:3"/>
    <n v="150"/>
    <x v="0"/>
    <n v="5"/>
    <n v="178.2"/>
    <n v="17"/>
    <n v="64"/>
    <x v="0"/>
    <n v="161.19999999999999"/>
    <m/>
    <m/>
    <x v="0"/>
    <x v="0"/>
    <m/>
    <m/>
    <x v="0"/>
    <x v="0"/>
    <m/>
    <x v="0"/>
    <x v="0"/>
    <x v="0"/>
    <x v="0"/>
    <x v="0"/>
    <m/>
    <m/>
    <m/>
    <m/>
    <x v="0"/>
    <x v="0"/>
    <m/>
    <x v="0"/>
    <m/>
    <x v="0"/>
    <x v="0"/>
    <x v="0"/>
    <x v="0"/>
    <x v="0"/>
  </r>
  <r>
    <x v="0"/>
    <x v="4"/>
    <s v="2830 J"/>
    <x v="18"/>
    <s v="ٹیکنو فرنیچر"/>
    <s v="LDN"/>
    <n v="24"/>
    <s v="4-4.5"/>
    <s v="25:3"/>
    <n v="250"/>
    <x v="0"/>
    <n v="3"/>
    <n v="107"/>
    <n v="9"/>
    <m/>
    <x v="0"/>
    <n v="98"/>
    <m/>
    <m/>
    <x v="0"/>
    <x v="0"/>
    <m/>
    <m/>
    <x v="0"/>
    <x v="0"/>
    <m/>
    <x v="0"/>
    <x v="0"/>
    <x v="0"/>
    <x v="0"/>
    <x v="0"/>
    <m/>
    <m/>
    <m/>
    <m/>
    <x v="0"/>
    <x v="0"/>
    <m/>
    <x v="0"/>
    <m/>
    <x v="0"/>
    <x v="0"/>
    <x v="0"/>
    <x v="0"/>
    <x v="0"/>
  </r>
  <r>
    <x v="0"/>
    <x v="4"/>
    <s v="9531 A"/>
    <x v="18"/>
    <s v="سادہ رول جیلانی پولی سٹاک"/>
    <s v="LDN"/>
    <s v="26 شیٹ"/>
    <s v="8-8.5/16-17"/>
    <s v="پیور"/>
    <n v="2000"/>
    <x v="0"/>
    <n v="2"/>
    <n v="134.6"/>
    <n v="6.4"/>
    <m/>
    <x v="0"/>
    <n v="128.19999999999999"/>
    <m/>
    <m/>
    <x v="0"/>
    <x v="0"/>
    <m/>
    <m/>
    <x v="0"/>
    <x v="0"/>
    <m/>
    <x v="0"/>
    <x v="0"/>
    <x v="0"/>
    <x v="0"/>
    <x v="0"/>
    <m/>
    <m/>
    <m/>
    <m/>
    <x v="0"/>
    <x v="0"/>
    <m/>
    <x v="0"/>
    <m/>
    <x v="0"/>
    <x v="0"/>
    <x v="0"/>
    <x v="0"/>
    <x v="0"/>
  </r>
  <r>
    <x v="0"/>
    <x v="4"/>
    <s v="1711 F"/>
    <x v="18"/>
    <s v="ڈبل ٹریٹ بریڈ شیٹ"/>
    <s v="LDN"/>
    <s v="27شیٹ"/>
    <s v="3-3.5/6-7"/>
    <s v="پیور"/>
    <n v="225"/>
    <x v="0"/>
    <n v="2"/>
    <n v="99.199999999999989"/>
    <n v="6.8"/>
    <m/>
    <x v="0"/>
    <n v="92.399999999999991"/>
    <m/>
    <m/>
    <x v="0"/>
    <x v="0"/>
    <m/>
    <m/>
    <x v="0"/>
    <x v="0"/>
    <m/>
    <x v="0"/>
    <x v="0"/>
    <x v="0"/>
    <x v="0"/>
    <x v="0"/>
    <m/>
    <m/>
    <m/>
    <m/>
    <x v="0"/>
    <x v="0"/>
    <m/>
    <x v="0"/>
    <m/>
    <x v="0"/>
    <x v="0"/>
    <x v="0"/>
    <x v="0"/>
    <x v="0"/>
  </r>
  <r>
    <x v="1"/>
    <x v="4"/>
    <s v="1711 F"/>
    <x v="18"/>
    <s v="ڈبل ٹریٹ بریڈ شیٹ"/>
    <s v="LDN"/>
    <s v="27شیٹ"/>
    <s v="3-3.5/6-7"/>
    <s v="پیور"/>
    <n v="225"/>
    <x v="0"/>
    <n v="6"/>
    <n v="311.2"/>
    <n v="20.399999999999999"/>
    <n v="104"/>
    <x v="0"/>
    <n v="290.8"/>
    <m/>
    <m/>
    <x v="0"/>
    <x v="0"/>
    <m/>
    <m/>
    <x v="0"/>
    <x v="0"/>
    <m/>
    <x v="0"/>
    <x v="0"/>
    <x v="0"/>
    <x v="0"/>
    <x v="0"/>
    <m/>
    <m/>
    <m/>
    <m/>
    <x v="0"/>
    <x v="0"/>
    <m/>
    <x v="0"/>
    <m/>
    <x v="0"/>
    <x v="0"/>
    <x v="0"/>
    <x v="0"/>
    <x v="0"/>
  </r>
  <r>
    <x v="1"/>
    <x v="4"/>
    <s v="1736 F"/>
    <x v="18"/>
    <s v="پلین بریڈ لارج فریش اینڈ فائن"/>
    <s v="LDN"/>
    <s v="36&quot; شیٹ"/>
    <s v="4/8"/>
    <s v="پیور"/>
    <n v="400"/>
    <x v="0"/>
    <n v="4"/>
    <n v="221.79999999999998"/>
    <n v="19.2"/>
    <m/>
    <x v="0"/>
    <n v="202.6"/>
    <m/>
    <m/>
    <x v="0"/>
    <x v="0"/>
    <m/>
    <m/>
    <x v="0"/>
    <x v="0"/>
    <m/>
    <x v="0"/>
    <x v="0"/>
    <x v="0"/>
    <x v="0"/>
    <x v="0"/>
    <m/>
    <m/>
    <m/>
    <m/>
    <x v="0"/>
    <x v="0"/>
    <m/>
    <x v="0"/>
    <m/>
    <x v="0"/>
    <x v="0"/>
    <x v="0"/>
    <x v="0"/>
    <x v="0"/>
  </r>
  <r>
    <x v="1"/>
    <x v="4"/>
    <s v="1718 F"/>
    <x v="18"/>
    <s v="WALMART بڑا بلاک"/>
    <s v="LDN"/>
    <n v="30"/>
    <s v="8"/>
    <s v="-"/>
    <n v="35"/>
    <x v="0"/>
    <n v="1"/>
    <n v="38"/>
    <n v="3"/>
    <m/>
    <x v="0"/>
    <n v="35"/>
    <m/>
    <m/>
    <x v="0"/>
    <x v="0"/>
    <m/>
    <m/>
    <x v="0"/>
    <x v="0"/>
    <m/>
    <x v="0"/>
    <x v="0"/>
    <x v="0"/>
    <x v="0"/>
    <x v="0"/>
    <m/>
    <m/>
    <m/>
    <m/>
    <x v="0"/>
    <x v="0"/>
    <m/>
    <x v="0"/>
    <m/>
    <x v="0"/>
    <x v="0"/>
    <x v="0"/>
    <x v="0"/>
    <x v="0"/>
  </r>
  <r>
    <x v="1"/>
    <x v="4"/>
    <s v="1695 F"/>
    <x v="18"/>
    <s v="OVS وارینگ"/>
    <s v="LDN"/>
    <n v="30"/>
    <s v="7-7.5"/>
    <s v="پیور"/>
    <n v="65"/>
    <x v="0"/>
    <n v="2"/>
    <n v="73.2"/>
    <n v="6"/>
    <m/>
    <x v="0"/>
    <n v="67.2"/>
    <m/>
    <m/>
    <x v="0"/>
    <x v="0"/>
    <m/>
    <m/>
    <x v="0"/>
    <x v="0"/>
    <m/>
    <x v="0"/>
    <x v="0"/>
    <x v="0"/>
    <x v="0"/>
    <x v="0"/>
    <m/>
    <m/>
    <m/>
    <m/>
    <x v="0"/>
    <x v="0"/>
    <m/>
    <x v="0"/>
    <m/>
    <x v="0"/>
    <x v="0"/>
    <x v="0"/>
    <x v="0"/>
    <x v="0"/>
  </r>
  <r>
    <x v="0"/>
    <x v="5"/>
    <s v="1726 F"/>
    <x v="18"/>
    <s v="ڈبل ٹریٹ  رول"/>
    <s v="LDN"/>
    <n v="21"/>
    <s v="7.7.5"/>
    <s v="پیور"/>
    <n v="350"/>
    <x v="0"/>
    <n v="6"/>
    <n v="279.24"/>
    <n v="15.600000000000001"/>
    <n v="16"/>
    <x v="0"/>
    <n v="263.64"/>
    <m/>
    <m/>
    <x v="0"/>
    <x v="0"/>
    <m/>
    <m/>
    <x v="0"/>
    <x v="0"/>
    <m/>
    <x v="0"/>
    <x v="0"/>
    <x v="0"/>
    <x v="0"/>
    <x v="0"/>
    <m/>
    <m/>
    <m/>
    <m/>
    <x v="0"/>
    <x v="0"/>
    <m/>
    <x v="0"/>
    <m/>
    <x v="0"/>
    <x v="0"/>
    <x v="0"/>
    <x v="0"/>
    <x v="0"/>
  </r>
  <r>
    <x v="0"/>
    <x v="5"/>
    <s v="2770 J"/>
    <x v="18"/>
    <s v="یورو بال فائبر"/>
    <s v="LDN"/>
    <n v="25"/>
    <s v="-"/>
    <s v="پیور"/>
    <n v="100"/>
    <x v="0"/>
    <n v="2"/>
    <n v="111.91"/>
    <n v="6.2"/>
    <m/>
    <x v="0"/>
    <n v="105.71"/>
    <m/>
    <m/>
    <x v="0"/>
    <x v="0"/>
    <m/>
    <m/>
    <x v="0"/>
    <x v="0"/>
    <m/>
    <x v="0"/>
    <x v="0"/>
    <x v="0"/>
    <x v="0"/>
    <x v="0"/>
    <m/>
    <m/>
    <m/>
    <m/>
    <x v="0"/>
    <x v="0"/>
    <m/>
    <x v="0"/>
    <m/>
    <x v="0"/>
    <x v="0"/>
    <x v="0"/>
    <x v="0"/>
    <x v="0"/>
  </r>
  <r>
    <x v="1"/>
    <x v="5"/>
    <s v="2771 J"/>
    <x v="18"/>
    <s v="یورو بال فائبر"/>
    <s v="LDN"/>
    <n v="25"/>
    <s v="-"/>
    <s v="پیور"/>
    <n v="100"/>
    <x v="0"/>
    <n v="2"/>
    <n v="106.28"/>
    <n v="6.2"/>
    <n v="20"/>
    <x v="0"/>
    <n v="100.08"/>
    <m/>
    <m/>
    <x v="0"/>
    <x v="0"/>
    <m/>
    <m/>
    <x v="0"/>
    <x v="0"/>
    <m/>
    <x v="0"/>
    <x v="0"/>
    <x v="0"/>
    <x v="0"/>
    <x v="0"/>
    <m/>
    <m/>
    <m/>
    <m/>
    <x v="0"/>
    <x v="0"/>
    <m/>
    <x v="0"/>
    <m/>
    <x v="0"/>
    <x v="0"/>
    <x v="0"/>
    <x v="0"/>
    <x v="0"/>
  </r>
  <r>
    <x v="1"/>
    <x v="5"/>
    <s v="2909 J"/>
    <x v="18"/>
    <s v="سادہ لفافہ عثمان غنی ٹیکسٹائل"/>
    <s v="LDN"/>
    <n v="30"/>
    <s v="9-10"/>
    <s v="پیور"/>
    <n v="200"/>
    <x v="0"/>
    <n v="3"/>
    <n v="200.1"/>
    <n v="10.8"/>
    <m/>
    <x v="0"/>
    <n v="189.29999999999998"/>
    <m/>
    <m/>
    <x v="0"/>
    <x v="0"/>
    <m/>
    <m/>
    <x v="0"/>
    <x v="0"/>
    <m/>
    <x v="0"/>
    <x v="0"/>
    <x v="0"/>
    <x v="0"/>
    <x v="0"/>
    <m/>
    <m/>
    <m/>
    <m/>
    <x v="0"/>
    <x v="0"/>
    <m/>
    <x v="0"/>
    <m/>
    <x v="0"/>
    <x v="0"/>
    <x v="0"/>
    <x v="0"/>
    <x v="0"/>
  </r>
  <r>
    <x v="1"/>
    <x v="5"/>
    <s v="1717 F"/>
    <x v="18"/>
    <s v="WALMART بڑا بلاک"/>
    <s v="LDN"/>
    <n v="18"/>
    <s v="8"/>
    <s v="پیور"/>
    <n v="115"/>
    <x v="0"/>
    <n v="2"/>
    <n v="83.1"/>
    <n v="4.5999999999999996"/>
    <m/>
    <x v="0"/>
    <n v="78.5"/>
    <m/>
    <m/>
    <x v="0"/>
    <x v="0"/>
    <m/>
    <m/>
    <x v="0"/>
    <x v="0"/>
    <m/>
    <x v="0"/>
    <x v="0"/>
    <x v="0"/>
    <x v="0"/>
    <x v="0"/>
    <m/>
    <m/>
    <m/>
    <m/>
    <x v="0"/>
    <x v="0"/>
    <m/>
    <x v="0"/>
    <m/>
    <x v="0"/>
    <x v="0"/>
    <x v="0"/>
    <x v="0"/>
    <x v="0"/>
  </r>
  <r>
    <x v="0"/>
    <x v="2"/>
    <s v="1693 F"/>
    <x v="19"/>
    <s v="سادہ لفافہ"/>
    <s v="LDN"/>
    <n v="13"/>
    <s v="7-7.5"/>
    <s v="پیور"/>
    <n v="125"/>
    <x v="0"/>
    <n v="1"/>
    <n v="58.8"/>
    <n v="1.3"/>
    <n v="4.4000000000000004"/>
    <x v="0"/>
    <n v="57.5"/>
    <m/>
    <m/>
    <x v="0"/>
    <x v="0"/>
    <m/>
    <m/>
    <x v="0"/>
    <x v="0"/>
    <m/>
    <x v="0"/>
    <x v="0"/>
    <x v="0"/>
    <x v="0"/>
    <x v="0"/>
    <m/>
    <m/>
    <m/>
    <m/>
    <x v="0"/>
    <x v="0"/>
    <m/>
    <x v="0"/>
    <m/>
    <x v="0"/>
    <x v="0"/>
    <x v="0"/>
    <x v="0"/>
    <x v="0"/>
  </r>
  <r>
    <x v="0"/>
    <x v="2"/>
    <s v="1712 F"/>
    <x v="19"/>
    <s v="WALMART چھوٹی وارننگ"/>
    <s v="LDN"/>
    <n v="13"/>
    <s v="8"/>
    <s v="پیور"/>
    <n v="43"/>
    <x v="0"/>
    <n v="1"/>
    <n v="48.8"/>
    <n v="1.6"/>
    <m/>
    <x v="0"/>
    <n v="47.199999999999996"/>
    <m/>
    <m/>
    <x v="0"/>
    <x v="0"/>
    <m/>
    <m/>
    <x v="0"/>
    <x v="0"/>
    <m/>
    <x v="0"/>
    <x v="0"/>
    <x v="0"/>
    <x v="0"/>
    <x v="0"/>
    <m/>
    <m/>
    <m/>
    <m/>
    <x v="0"/>
    <x v="0"/>
    <m/>
    <x v="0"/>
    <m/>
    <x v="0"/>
    <x v="0"/>
    <x v="0"/>
    <x v="0"/>
    <x v="0"/>
  </r>
  <r>
    <x v="0"/>
    <x v="2"/>
    <s v="1693 F"/>
    <x v="19"/>
    <s v="سادہ لفافہ"/>
    <s v="LDN"/>
    <n v="13"/>
    <s v="7-7.5"/>
    <s v="پیور"/>
    <n v="125"/>
    <x v="0"/>
    <n v="3"/>
    <n v="132.6"/>
    <n v="4.8000000000000007"/>
    <m/>
    <x v="0"/>
    <n v="127.8"/>
    <m/>
    <m/>
    <x v="0"/>
    <x v="0"/>
    <m/>
    <m/>
    <x v="0"/>
    <x v="0"/>
    <m/>
    <x v="0"/>
    <x v="0"/>
    <x v="0"/>
    <x v="0"/>
    <x v="0"/>
    <m/>
    <m/>
    <m/>
    <m/>
    <x v="0"/>
    <x v="0"/>
    <m/>
    <x v="0"/>
    <m/>
    <x v="0"/>
    <x v="0"/>
    <x v="0"/>
    <x v="0"/>
    <x v="0"/>
  </r>
  <r>
    <x v="0"/>
    <x v="2"/>
    <s v="2872 J"/>
    <x v="19"/>
    <s v="شالیمار رسک"/>
    <s v="LDN"/>
    <n v="15"/>
    <s v="7-7.5"/>
    <s v="پیور"/>
    <n v="100"/>
    <x v="0"/>
    <n v="1"/>
    <n v="32.4"/>
    <n v="1.8"/>
    <m/>
    <x v="0"/>
    <n v="30.599999999999998"/>
    <m/>
    <m/>
    <x v="0"/>
    <x v="0"/>
    <m/>
    <m/>
    <x v="0"/>
    <x v="0"/>
    <m/>
    <x v="0"/>
    <x v="0"/>
    <x v="0"/>
    <x v="0"/>
    <x v="0"/>
    <m/>
    <m/>
    <m/>
    <m/>
    <x v="0"/>
    <x v="0"/>
    <m/>
    <x v="0"/>
    <m/>
    <x v="0"/>
    <x v="0"/>
    <x v="0"/>
    <x v="0"/>
    <x v="0"/>
  </r>
  <r>
    <x v="1"/>
    <x v="2"/>
    <s v="2872 J"/>
    <x v="19"/>
    <s v="شالیمار رسک"/>
    <s v="LDN"/>
    <n v="15"/>
    <s v="7-7.5"/>
    <s v="پیور"/>
    <n v="100"/>
    <x v="0"/>
    <n v="1"/>
    <n v="40.799999999999997"/>
    <n v="1.9"/>
    <n v="3"/>
    <x v="0"/>
    <n v="38.9"/>
    <m/>
    <m/>
    <x v="0"/>
    <x v="0"/>
    <m/>
    <m/>
    <x v="0"/>
    <x v="0"/>
    <m/>
    <x v="0"/>
    <x v="0"/>
    <x v="0"/>
    <x v="0"/>
    <x v="0"/>
    <m/>
    <m/>
    <m/>
    <m/>
    <x v="0"/>
    <x v="0"/>
    <m/>
    <x v="0"/>
    <m/>
    <x v="0"/>
    <x v="0"/>
    <x v="0"/>
    <x v="0"/>
    <x v="0"/>
  </r>
  <r>
    <x v="1"/>
    <x v="2"/>
    <s v="2916 J"/>
    <x v="19"/>
    <s v="Atlas Honda LTD (SKP)"/>
    <s v="LDN"/>
    <n v="13"/>
    <s v="8.5-9"/>
    <s v="LDN"/>
    <n v="220"/>
    <x v="0"/>
    <n v="4"/>
    <n v="201"/>
    <n v="7.1"/>
    <m/>
    <x v="0"/>
    <n v="193.9"/>
    <m/>
    <m/>
    <x v="0"/>
    <x v="0"/>
    <m/>
    <m/>
    <x v="0"/>
    <x v="0"/>
    <m/>
    <x v="0"/>
    <x v="0"/>
    <x v="0"/>
    <x v="0"/>
    <x v="0"/>
    <m/>
    <m/>
    <m/>
    <m/>
    <x v="0"/>
    <x v="0"/>
    <m/>
    <x v="0"/>
    <m/>
    <x v="0"/>
    <x v="0"/>
    <x v="0"/>
    <x v="0"/>
    <x v="0"/>
  </r>
  <r>
    <x v="0"/>
    <x v="4"/>
    <s v="1736 F"/>
    <x v="19"/>
    <s v="پلین بریڈ لارج فریش اینڈ فائن"/>
    <s v="LDN"/>
    <s v="36&quot; شیٹ"/>
    <s v="4/8"/>
    <s v="پیور"/>
    <n v="400"/>
    <x v="0"/>
    <n v="4"/>
    <n v="228.39999999999998"/>
    <n v="18"/>
    <n v="31"/>
    <x v="0"/>
    <n v="210.39999999999998"/>
    <m/>
    <m/>
    <x v="0"/>
    <x v="0"/>
    <m/>
    <m/>
    <x v="0"/>
    <x v="0"/>
    <m/>
    <x v="0"/>
    <x v="0"/>
    <x v="0"/>
    <x v="0"/>
    <x v="0"/>
    <m/>
    <m/>
    <m/>
    <m/>
    <x v="0"/>
    <x v="0"/>
    <m/>
    <x v="0"/>
    <m/>
    <x v="0"/>
    <x v="0"/>
    <x v="0"/>
    <x v="0"/>
    <x v="0"/>
  </r>
  <r>
    <x v="0"/>
    <x v="4"/>
    <s v="1725 F"/>
    <x v="19"/>
    <s v="ڈبل ٹریٹ بریڈ شیٹ"/>
    <s v="LDN"/>
    <s v="36شیٹ"/>
    <s v="3.5-4/7.8"/>
    <s v="پیور"/>
    <n v="350"/>
    <x v="0"/>
    <n v="4"/>
    <n v="276.20000000000005"/>
    <n v="18"/>
    <m/>
    <x v="0"/>
    <n v="258.20000000000005"/>
    <m/>
    <m/>
    <x v="0"/>
    <x v="0"/>
    <m/>
    <m/>
    <x v="0"/>
    <x v="0"/>
    <m/>
    <x v="0"/>
    <x v="0"/>
    <x v="0"/>
    <x v="0"/>
    <x v="0"/>
    <m/>
    <m/>
    <m/>
    <m/>
    <x v="0"/>
    <x v="0"/>
    <m/>
    <x v="0"/>
    <m/>
    <x v="0"/>
    <x v="0"/>
    <x v="0"/>
    <x v="0"/>
    <x v="0"/>
  </r>
  <r>
    <x v="0"/>
    <x v="4"/>
    <s v="1736 F"/>
    <x v="19"/>
    <s v="پلین بریڈ لارج فریش اینڈ فائن"/>
    <s v="LDN"/>
    <s v="36&quot; شیٹ"/>
    <s v="4/8"/>
    <s v="پیور"/>
    <n v="400"/>
    <x v="0"/>
    <n v="2"/>
    <n v="114.4"/>
    <n v="9"/>
    <m/>
    <x v="0"/>
    <n v="105.4"/>
    <m/>
    <m/>
    <x v="0"/>
    <x v="0"/>
    <m/>
    <m/>
    <x v="0"/>
    <x v="0"/>
    <m/>
    <x v="0"/>
    <x v="0"/>
    <x v="0"/>
    <x v="0"/>
    <x v="0"/>
    <m/>
    <m/>
    <m/>
    <m/>
    <x v="0"/>
    <x v="0"/>
    <m/>
    <x v="0"/>
    <m/>
    <x v="0"/>
    <x v="0"/>
    <x v="0"/>
    <x v="0"/>
    <x v="0"/>
  </r>
  <r>
    <x v="0"/>
    <x v="4"/>
    <s v="2854 J"/>
    <x v="19"/>
    <s v="خوش بخت فیبرکس"/>
    <s v="LDN"/>
    <n v="35"/>
    <s v="13-14"/>
    <s v="پیور"/>
    <n v="100"/>
    <x v="0"/>
    <n v="1"/>
    <n v="106.1"/>
    <n v="4.5"/>
    <m/>
    <x v="0"/>
    <n v="101.6"/>
    <m/>
    <m/>
    <x v="0"/>
    <x v="0"/>
    <m/>
    <m/>
    <x v="0"/>
    <x v="0"/>
    <m/>
    <x v="0"/>
    <x v="0"/>
    <x v="0"/>
    <x v="0"/>
    <x v="0"/>
    <m/>
    <m/>
    <m/>
    <m/>
    <x v="0"/>
    <x v="0"/>
    <m/>
    <x v="0"/>
    <m/>
    <x v="0"/>
    <x v="0"/>
    <x v="0"/>
    <x v="0"/>
    <x v="0"/>
  </r>
  <r>
    <x v="0"/>
    <x v="4"/>
    <s v="2853 J"/>
    <x v="19"/>
    <s v="خوش بخت فیبرکس"/>
    <s v="LDN"/>
    <n v="35"/>
    <s v="13-14"/>
    <s v="پیور"/>
    <n v="100"/>
    <x v="0"/>
    <n v="1"/>
    <n v="106"/>
    <n v="4.5"/>
    <m/>
    <x v="0"/>
    <n v="101.5"/>
    <m/>
    <m/>
    <x v="0"/>
    <x v="0"/>
    <m/>
    <m/>
    <x v="0"/>
    <x v="0"/>
    <m/>
    <x v="0"/>
    <x v="0"/>
    <x v="0"/>
    <x v="0"/>
    <x v="0"/>
    <m/>
    <m/>
    <m/>
    <m/>
    <x v="0"/>
    <x v="0"/>
    <m/>
    <x v="0"/>
    <m/>
    <x v="0"/>
    <x v="0"/>
    <x v="0"/>
    <x v="0"/>
    <x v="0"/>
  </r>
  <r>
    <x v="0"/>
    <x v="4"/>
    <s v="1721 F"/>
    <x v="19"/>
    <s v="15 لینگوئج وارننگ +لوگو"/>
    <s v="LDN"/>
    <s v="30+5+5"/>
    <s v="7-7.5/14.15"/>
    <s v="جیلانی شیٹ"/>
    <n v="175"/>
    <x v="0"/>
    <n v="1"/>
    <n v="35.200000000000003"/>
    <n v="3.8"/>
    <m/>
    <x v="0"/>
    <n v="31.400000000000002"/>
    <m/>
    <m/>
    <x v="0"/>
    <x v="0"/>
    <m/>
    <m/>
    <x v="0"/>
    <x v="0"/>
    <m/>
    <x v="0"/>
    <x v="0"/>
    <x v="0"/>
    <x v="0"/>
    <x v="0"/>
    <m/>
    <m/>
    <m/>
    <m/>
    <x v="0"/>
    <x v="0"/>
    <m/>
    <x v="0"/>
    <m/>
    <x v="0"/>
    <x v="0"/>
    <x v="0"/>
    <x v="0"/>
    <x v="0"/>
  </r>
  <r>
    <x v="1"/>
    <x v="4"/>
    <s v="1721 F"/>
    <x v="19"/>
    <s v="15 لینگوئج وارننگ +لوگو"/>
    <s v="LDN"/>
    <s v="30+5+5"/>
    <s v="7-7.5/14.15"/>
    <s v="جیلانی شیٹ"/>
    <n v="175"/>
    <x v="0"/>
    <n v="4"/>
    <n v="162.39999999999998"/>
    <n v="11.399999999999999"/>
    <n v="41"/>
    <x v="0"/>
    <n v="150.99999999999997"/>
    <m/>
    <m/>
    <x v="0"/>
    <x v="0"/>
    <m/>
    <m/>
    <x v="0"/>
    <x v="0"/>
    <m/>
    <x v="0"/>
    <x v="0"/>
    <x v="0"/>
    <x v="0"/>
    <x v="0"/>
    <m/>
    <m/>
    <m/>
    <m/>
    <x v="0"/>
    <x v="0"/>
    <m/>
    <x v="0"/>
    <m/>
    <x v="0"/>
    <x v="0"/>
    <x v="0"/>
    <x v="0"/>
    <x v="0"/>
  </r>
  <r>
    <x v="1"/>
    <x v="4"/>
    <s v="2192 J"/>
    <x v="19"/>
    <s v="Atlas Honda LTD (SKP)"/>
    <s v="LDN"/>
    <n v="13"/>
    <s v="8.5-9"/>
    <s v="LDN"/>
    <n v="300"/>
    <x v="0"/>
    <n v="2"/>
    <n v="174"/>
    <n v="4.8"/>
    <m/>
    <x v="0"/>
    <n v="169.2"/>
    <m/>
    <m/>
    <x v="0"/>
    <x v="0"/>
    <m/>
    <m/>
    <x v="0"/>
    <x v="0"/>
    <m/>
    <x v="0"/>
    <x v="0"/>
    <x v="0"/>
    <x v="0"/>
    <x v="0"/>
    <m/>
    <m/>
    <m/>
    <m/>
    <x v="0"/>
    <x v="0"/>
    <m/>
    <x v="0"/>
    <m/>
    <x v="0"/>
    <x v="0"/>
    <x v="0"/>
    <x v="0"/>
    <x v="0"/>
  </r>
  <r>
    <x v="1"/>
    <x v="4"/>
    <s v="2197 J"/>
    <x v="19"/>
    <s v="الیکٹرک XON"/>
    <s v="HDN"/>
    <n v="7"/>
    <s v="4.5-5"/>
    <s v="(25-3)"/>
    <n v="100"/>
    <x v="0"/>
    <n v="5"/>
    <n v="240.40000000000003"/>
    <n v="15.4"/>
    <m/>
    <x v="0"/>
    <n v="225.00000000000003"/>
    <m/>
    <m/>
    <x v="0"/>
    <x v="0"/>
    <m/>
    <m/>
    <x v="0"/>
    <x v="0"/>
    <m/>
    <x v="0"/>
    <x v="0"/>
    <x v="0"/>
    <x v="0"/>
    <x v="0"/>
    <m/>
    <m/>
    <m/>
    <m/>
    <x v="0"/>
    <x v="0"/>
    <m/>
    <x v="0"/>
    <m/>
    <x v="0"/>
    <x v="0"/>
    <x v="0"/>
    <x v="0"/>
    <x v="0"/>
  </r>
  <r>
    <x v="0"/>
    <x v="5"/>
    <s v="1717 F"/>
    <x v="19"/>
    <s v="WALMART بڑا بلاک"/>
    <s v="LDN"/>
    <n v="18"/>
    <s v="8"/>
    <s v="پیور"/>
    <n v="115"/>
    <x v="0"/>
    <n v="1"/>
    <n v="38.6"/>
    <n v="2.2999999999999998"/>
    <n v="4.5999999999999996"/>
    <x v="0"/>
    <n v="36.300000000000004"/>
    <m/>
    <m/>
    <x v="0"/>
    <x v="0"/>
    <m/>
    <m/>
    <x v="0"/>
    <x v="0"/>
    <m/>
    <x v="0"/>
    <x v="0"/>
    <x v="0"/>
    <x v="0"/>
    <x v="0"/>
    <m/>
    <m/>
    <m/>
    <m/>
    <x v="0"/>
    <x v="0"/>
    <m/>
    <x v="0"/>
    <m/>
    <x v="0"/>
    <x v="0"/>
    <x v="0"/>
    <x v="0"/>
    <x v="0"/>
  </r>
  <r>
    <x v="0"/>
    <x v="5"/>
    <s v="1741 F"/>
    <x v="19"/>
    <s v="سادہ لفافہ"/>
    <s v="LDN"/>
    <n v="16"/>
    <s v="5.5"/>
    <s v="پیور"/>
    <n v="85"/>
    <x v="0"/>
    <n v="6"/>
    <n v="199.29999999999998"/>
    <n v="12"/>
    <m/>
    <x v="0"/>
    <n v="187.29999999999998"/>
    <m/>
    <m/>
    <x v="0"/>
    <x v="0"/>
    <m/>
    <m/>
    <x v="0"/>
    <x v="0"/>
    <m/>
    <x v="0"/>
    <x v="0"/>
    <x v="0"/>
    <x v="0"/>
    <x v="0"/>
    <m/>
    <m/>
    <m/>
    <m/>
    <x v="0"/>
    <x v="0"/>
    <m/>
    <x v="0"/>
    <m/>
    <x v="0"/>
    <x v="0"/>
    <x v="0"/>
    <x v="0"/>
    <x v="0"/>
  </r>
  <r>
    <x v="0"/>
    <x v="5"/>
    <s v="2949 J"/>
    <x v="19"/>
    <s v="سیٖفٹی مارگلہ +فیوز برانڈ"/>
    <s v="LDN"/>
    <n v="18"/>
    <s v="20-21"/>
    <s v="پیور"/>
    <n v="300"/>
    <x v="0"/>
    <n v="2"/>
    <n v="121.39999999999999"/>
    <n v="4.5999999999999996"/>
    <m/>
    <x v="0"/>
    <n v="116.8"/>
    <m/>
    <m/>
    <x v="0"/>
    <x v="0"/>
    <m/>
    <m/>
    <x v="0"/>
    <x v="0"/>
    <m/>
    <x v="0"/>
    <x v="0"/>
    <x v="0"/>
    <x v="0"/>
    <x v="0"/>
    <m/>
    <m/>
    <m/>
    <m/>
    <x v="0"/>
    <x v="0"/>
    <m/>
    <x v="0"/>
    <m/>
    <x v="0"/>
    <x v="0"/>
    <x v="0"/>
    <x v="0"/>
    <x v="0"/>
  </r>
  <r>
    <x v="1"/>
    <x v="5"/>
    <s v="2949 J"/>
    <x v="19"/>
    <s v="سیٖفٹی مارگلہ +فیوز برانڈ"/>
    <s v="LDN"/>
    <n v="18"/>
    <s v="20-21"/>
    <s v="پیور"/>
    <n v="300"/>
    <x v="0"/>
    <n v="3"/>
    <n v="175.9"/>
    <n v="6.8999999999999995"/>
    <n v="10.8"/>
    <x v="0"/>
    <n v="169"/>
    <m/>
    <m/>
    <x v="0"/>
    <x v="0"/>
    <m/>
    <m/>
    <x v="0"/>
    <x v="0"/>
    <m/>
    <x v="0"/>
    <x v="0"/>
    <x v="0"/>
    <x v="0"/>
    <x v="0"/>
    <m/>
    <m/>
    <m/>
    <m/>
    <x v="0"/>
    <x v="0"/>
    <m/>
    <x v="0"/>
    <m/>
    <x v="0"/>
    <x v="0"/>
    <x v="0"/>
    <x v="0"/>
    <x v="0"/>
  </r>
  <r>
    <x v="1"/>
    <x v="5"/>
    <s v="1740 F"/>
    <x v="19"/>
    <s v="سادہ لفافہ"/>
    <s v="LDN"/>
    <n v="13"/>
    <s v="7-7.5"/>
    <s v="پیور"/>
    <n v="120"/>
    <x v="0"/>
    <n v="4"/>
    <n v="121.8"/>
    <n v="5.2"/>
    <m/>
    <x v="0"/>
    <n v="116.6"/>
    <m/>
    <m/>
    <x v="0"/>
    <x v="0"/>
    <m/>
    <m/>
    <x v="0"/>
    <x v="0"/>
    <m/>
    <x v="0"/>
    <x v="0"/>
    <x v="0"/>
    <x v="0"/>
    <x v="0"/>
    <m/>
    <m/>
    <m/>
    <m/>
    <x v="0"/>
    <x v="0"/>
    <m/>
    <x v="0"/>
    <m/>
    <x v="0"/>
    <x v="0"/>
    <x v="0"/>
    <x v="0"/>
    <x v="0"/>
  </r>
  <r>
    <x v="1"/>
    <x v="5"/>
    <s v="1205 F"/>
    <x v="19"/>
    <s v="RENUAR وارننگ"/>
    <s v="LDN"/>
    <n v="27"/>
    <s v="6"/>
    <s v="پیور"/>
    <n v="105"/>
    <x v="0"/>
    <n v="1"/>
    <n v="57.43"/>
    <n v="2.1"/>
    <m/>
    <x v="0"/>
    <n v="55.33"/>
    <m/>
    <m/>
    <x v="0"/>
    <x v="0"/>
    <m/>
    <m/>
    <x v="0"/>
    <x v="0"/>
    <m/>
    <x v="0"/>
    <x v="0"/>
    <x v="0"/>
    <x v="0"/>
    <x v="0"/>
    <m/>
    <m/>
    <m/>
    <m/>
    <x v="0"/>
    <x v="0"/>
    <m/>
    <x v="0"/>
    <m/>
    <x v="0"/>
    <x v="0"/>
    <x v="0"/>
    <x v="0"/>
    <x v="0"/>
  </r>
  <r>
    <x v="0"/>
    <x v="2"/>
    <s v="2914 J"/>
    <x v="20"/>
    <s v="Atlas Honda LTD (SKP)"/>
    <s v="LDN"/>
    <n v="12"/>
    <s v="8.5-9"/>
    <s v="LDN"/>
    <n v="120"/>
    <x v="0"/>
    <n v="1"/>
    <n v="50.6"/>
    <n v="1.8"/>
    <n v="3"/>
    <x v="0"/>
    <n v="48.800000000000004"/>
    <m/>
    <m/>
    <x v="0"/>
    <x v="0"/>
    <m/>
    <m/>
    <x v="0"/>
    <x v="0"/>
    <m/>
    <x v="0"/>
    <x v="0"/>
    <x v="0"/>
    <x v="0"/>
    <x v="0"/>
    <m/>
    <m/>
    <m/>
    <m/>
    <x v="0"/>
    <x v="0"/>
    <m/>
    <x v="0"/>
    <m/>
    <x v="0"/>
    <x v="0"/>
    <x v="0"/>
    <x v="0"/>
    <x v="0"/>
  </r>
  <r>
    <x v="0"/>
    <x v="2"/>
    <s v="2915 J"/>
    <x v="20"/>
    <s v="Atlas Honda LTD (SKP)"/>
    <s v="LDN"/>
    <n v="8"/>
    <s v="8.5-9"/>
    <s v="LDN"/>
    <n v="120"/>
    <x v="0"/>
    <n v="4"/>
    <n v="137"/>
    <n v="4"/>
    <m/>
    <x v="0"/>
    <n v="133"/>
    <m/>
    <m/>
    <x v="0"/>
    <x v="0"/>
    <m/>
    <m/>
    <x v="0"/>
    <x v="0"/>
    <m/>
    <x v="0"/>
    <x v="0"/>
    <x v="0"/>
    <x v="0"/>
    <x v="0"/>
    <m/>
    <m/>
    <m/>
    <m/>
    <x v="0"/>
    <x v="0"/>
    <m/>
    <x v="0"/>
    <m/>
    <x v="0"/>
    <x v="0"/>
    <x v="0"/>
    <x v="0"/>
    <x v="0"/>
  </r>
  <r>
    <x v="1"/>
    <x v="2"/>
    <s v="2894 J"/>
    <x v="20"/>
    <s v="بولان لفافہ"/>
    <s v="LDN"/>
    <n v="8"/>
    <s v="6-6.5"/>
    <s v="پیور"/>
    <n v="200"/>
    <x v="0"/>
    <n v="3"/>
    <n v="80"/>
    <n v="3"/>
    <n v="7"/>
    <x v="0"/>
    <n v="77"/>
    <m/>
    <m/>
    <x v="0"/>
    <x v="0"/>
    <m/>
    <m/>
    <x v="0"/>
    <x v="0"/>
    <m/>
    <x v="0"/>
    <x v="0"/>
    <x v="0"/>
    <x v="0"/>
    <x v="0"/>
    <m/>
    <m/>
    <m/>
    <m/>
    <x v="0"/>
    <x v="0"/>
    <m/>
    <x v="0"/>
    <m/>
    <x v="0"/>
    <x v="0"/>
    <x v="0"/>
    <x v="0"/>
    <x v="0"/>
  </r>
  <r>
    <x v="1"/>
    <x v="2"/>
    <s v="2884 J"/>
    <x v="20"/>
    <s v="یو ایس میٹل گولڈ"/>
    <s v="LDN"/>
    <n v="7"/>
    <n v="10"/>
    <s v="پیور"/>
    <n v="100"/>
    <x v="0"/>
    <n v="1"/>
    <n v="23.2"/>
    <n v="0.8"/>
    <m/>
    <x v="0"/>
    <n v="22.4"/>
    <m/>
    <m/>
    <x v="0"/>
    <x v="0"/>
    <m/>
    <m/>
    <x v="0"/>
    <x v="0"/>
    <m/>
    <x v="0"/>
    <x v="0"/>
    <x v="0"/>
    <x v="0"/>
    <x v="0"/>
    <m/>
    <m/>
    <m/>
    <m/>
    <x v="0"/>
    <x v="0"/>
    <m/>
    <x v="0"/>
    <m/>
    <x v="0"/>
    <x v="0"/>
    <x v="0"/>
    <x v="0"/>
    <x v="0"/>
  </r>
  <r>
    <x v="1"/>
    <x v="2"/>
    <s v="2880 J"/>
    <x v="20"/>
    <s v="گولڈا ایلومینیم"/>
    <s v="LDN"/>
    <n v="7"/>
    <n v="10"/>
    <s v="پیور"/>
    <n v="100"/>
    <x v="0"/>
    <n v="4"/>
    <n v="113"/>
    <n v="3.6"/>
    <m/>
    <x v="0"/>
    <n v="109.4"/>
    <m/>
    <m/>
    <x v="0"/>
    <x v="0"/>
    <m/>
    <m/>
    <x v="0"/>
    <x v="0"/>
    <m/>
    <x v="0"/>
    <x v="0"/>
    <x v="0"/>
    <x v="0"/>
    <x v="0"/>
    <m/>
    <m/>
    <m/>
    <m/>
    <x v="0"/>
    <x v="0"/>
    <m/>
    <x v="0"/>
    <m/>
    <x v="0"/>
    <x v="0"/>
    <x v="0"/>
    <x v="0"/>
    <x v="0"/>
  </r>
  <r>
    <x v="0"/>
    <x v="3"/>
    <s v="2844 J"/>
    <x v="20"/>
    <s v="سادہ لفافہ احسان کاٹن"/>
    <s v="LDN"/>
    <n v="20"/>
    <n v="6"/>
    <s v="AA کولٹی"/>
    <n v="300"/>
    <x v="0"/>
    <n v="2"/>
    <n v="165"/>
    <n v="4.6999999999999993"/>
    <n v="9"/>
    <x v="0"/>
    <n v="160.30000000000001"/>
    <m/>
    <m/>
    <x v="0"/>
    <x v="0"/>
    <m/>
    <m/>
    <x v="0"/>
    <x v="0"/>
    <m/>
    <x v="0"/>
    <x v="0"/>
    <x v="0"/>
    <x v="0"/>
    <x v="0"/>
    <m/>
    <m/>
    <m/>
    <m/>
    <x v="0"/>
    <x v="0"/>
    <m/>
    <x v="0"/>
    <m/>
    <x v="0"/>
    <x v="0"/>
    <x v="0"/>
    <x v="0"/>
    <x v="0"/>
  </r>
  <r>
    <x v="1"/>
    <x v="3"/>
    <s v="2844 J"/>
    <x v="20"/>
    <s v="سادہ لفافہ احسان کاٹن"/>
    <s v="LDN"/>
    <n v="20"/>
    <n v="6"/>
    <s v="AA کولٹی"/>
    <n v="300"/>
    <x v="0"/>
    <n v="2"/>
    <n v="162"/>
    <n v="5"/>
    <m/>
    <x v="0"/>
    <n v="157"/>
    <m/>
    <m/>
    <x v="0"/>
    <x v="0"/>
    <m/>
    <m/>
    <x v="0"/>
    <x v="0"/>
    <m/>
    <x v="0"/>
    <x v="0"/>
    <x v="0"/>
    <x v="0"/>
    <x v="0"/>
    <m/>
    <m/>
    <m/>
    <m/>
    <x v="0"/>
    <x v="0"/>
    <m/>
    <x v="0"/>
    <m/>
    <x v="0"/>
    <x v="0"/>
    <x v="0"/>
    <x v="0"/>
    <x v="0"/>
  </r>
  <r>
    <x v="1"/>
    <x v="3"/>
    <s v="2845 J"/>
    <x v="20"/>
    <s v="سادہ لفافہ احسان کاٹن"/>
    <s v="LDN"/>
    <n v="20"/>
    <n v="6"/>
    <s v="AA کولٹی"/>
    <n v="300"/>
    <x v="0"/>
    <n v="2"/>
    <n v="159.39999999999998"/>
    <n v="5"/>
    <m/>
    <x v="0"/>
    <n v="154.39999999999998"/>
    <m/>
    <m/>
    <x v="0"/>
    <x v="0"/>
    <m/>
    <m/>
    <x v="0"/>
    <x v="0"/>
    <m/>
    <x v="0"/>
    <x v="0"/>
    <x v="0"/>
    <x v="0"/>
    <x v="0"/>
    <m/>
    <m/>
    <m/>
    <m/>
    <x v="0"/>
    <x v="0"/>
    <m/>
    <x v="0"/>
    <m/>
    <x v="0"/>
    <x v="0"/>
    <x v="0"/>
    <x v="0"/>
    <x v="0"/>
  </r>
  <r>
    <x v="0"/>
    <x v="4"/>
    <s v="2912 J"/>
    <x v="20"/>
    <s v="Atlas Honda LTD (SKP)"/>
    <s v="LDN"/>
    <n v="22"/>
    <s v="12.5-13"/>
    <s v="LDN"/>
    <n v="250"/>
    <x v="0"/>
    <n v="1"/>
    <n v="90.2"/>
    <n v="2.8"/>
    <n v="44"/>
    <x v="0"/>
    <n v="87.4"/>
    <m/>
    <m/>
    <x v="0"/>
    <x v="0"/>
    <m/>
    <m/>
    <x v="0"/>
    <x v="0"/>
    <m/>
    <x v="0"/>
    <x v="0"/>
    <x v="0"/>
    <x v="0"/>
    <x v="0"/>
    <m/>
    <m/>
    <m/>
    <m/>
    <x v="0"/>
    <x v="0"/>
    <m/>
    <x v="0"/>
    <m/>
    <x v="0"/>
    <x v="0"/>
    <x v="0"/>
    <x v="0"/>
    <x v="0"/>
  </r>
  <r>
    <x v="0"/>
    <x v="4"/>
    <s v="2918 J"/>
    <x v="20"/>
    <s v="Atlas Honda LTD (SKP)"/>
    <s v="LDN"/>
    <n v="21"/>
    <s v="14-14.5"/>
    <s v="LDN"/>
    <n v="80"/>
    <x v="0"/>
    <n v="1"/>
    <n v="84.2"/>
    <n v="2.6"/>
    <m/>
    <x v="0"/>
    <n v="81.600000000000009"/>
    <m/>
    <m/>
    <x v="0"/>
    <x v="0"/>
    <m/>
    <m/>
    <x v="0"/>
    <x v="0"/>
    <m/>
    <x v="0"/>
    <x v="0"/>
    <x v="0"/>
    <x v="0"/>
    <x v="0"/>
    <m/>
    <m/>
    <m/>
    <m/>
    <x v="0"/>
    <x v="0"/>
    <m/>
    <x v="0"/>
    <m/>
    <x v="0"/>
    <x v="0"/>
    <x v="0"/>
    <x v="0"/>
    <x v="0"/>
  </r>
  <r>
    <x v="0"/>
    <x v="4"/>
    <s v="2911 J"/>
    <x v="20"/>
    <s v="Atlas Honda LTD (SKP)"/>
    <s v="LDN"/>
    <n v="16"/>
    <s v="14-14.5"/>
    <s v="LDN"/>
    <n v="100"/>
    <x v="0"/>
    <n v="2"/>
    <n v="121.4"/>
    <n v="4"/>
    <m/>
    <x v="0"/>
    <n v="117.4"/>
    <m/>
    <m/>
    <x v="0"/>
    <x v="0"/>
    <m/>
    <m/>
    <x v="0"/>
    <x v="0"/>
    <m/>
    <x v="0"/>
    <x v="0"/>
    <x v="0"/>
    <x v="0"/>
    <x v="0"/>
    <m/>
    <m/>
    <m/>
    <m/>
    <x v="0"/>
    <x v="0"/>
    <m/>
    <x v="0"/>
    <m/>
    <x v="0"/>
    <x v="0"/>
    <x v="0"/>
    <x v="0"/>
    <x v="0"/>
  </r>
  <r>
    <x v="0"/>
    <x v="4"/>
    <s v="2913 J"/>
    <x v="20"/>
    <s v="Atlas Honda LTD (SKP)"/>
    <s v="LDN"/>
    <n v="16"/>
    <s v="12.5-13"/>
    <s v="LDN"/>
    <n v="130"/>
    <x v="0"/>
    <n v="2"/>
    <n v="132.19999999999999"/>
    <n v="4"/>
    <m/>
    <x v="0"/>
    <n v="128.19999999999999"/>
    <m/>
    <m/>
    <x v="0"/>
    <x v="0"/>
    <m/>
    <m/>
    <x v="0"/>
    <x v="0"/>
    <m/>
    <x v="0"/>
    <x v="0"/>
    <x v="0"/>
    <x v="0"/>
    <x v="0"/>
    <m/>
    <m/>
    <m/>
    <m/>
    <x v="0"/>
    <x v="0"/>
    <m/>
    <x v="0"/>
    <m/>
    <x v="0"/>
    <x v="0"/>
    <x v="0"/>
    <x v="0"/>
    <x v="0"/>
  </r>
  <r>
    <x v="0"/>
    <x v="4"/>
    <s v="1738 F"/>
    <x v="20"/>
    <s v="کمپاونڈ وارننگ"/>
    <s v="LDN"/>
    <n v="16"/>
    <s v="5-5.5"/>
    <s v="پیور"/>
    <n v="75"/>
    <x v="0"/>
    <n v="4"/>
    <n v="129.80000000000001"/>
    <n v="8"/>
    <m/>
    <x v="0"/>
    <n v="121.80000000000001"/>
    <m/>
    <m/>
    <x v="0"/>
    <x v="0"/>
    <m/>
    <m/>
    <x v="0"/>
    <x v="0"/>
    <m/>
    <x v="0"/>
    <x v="0"/>
    <x v="0"/>
    <x v="0"/>
    <x v="0"/>
    <m/>
    <m/>
    <m/>
    <m/>
    <x v="0"/>
    <x v="0"/>
    <m/>
    <x v="0"/>
    <m/>
    <x v="0"/>
    <x v="0"/>
    <x v="0"/>
    <x v="0"/>
    <x v="0"/>
  </r>
  <r>
    <x v="1"/>
    <x v="4"/>
    <s v="2932 J"/>
    <x v="20"/>
    <s v="زم زم کیپ"/>
    <s v="LDN"/>
    <n v="15"/>
    <s v="5-5.5"/>
    <s v="پیور"/>
    <n v="100"/>
    <x v="0"/>
    <n v="3"/>
    <n v="98.6"/>
    <n v="4.1999999999999993"/>
    <n v="80"/>
    <x v="0"/>
    <n v="94.399999999999991"/>
    <m/>
    <m/>
    <x v="0"/>
    <x v="0"/>
    <m/>
    <m/>
    <x v="0"/>
    <x v="0"/>
    <m/>
    <x v="0"/>
    <x v="0"/>
    <x v="0"/>
    <x v="0"/>
    <x v="0"/>
    <m/>
    <m/>
    <m/>
    <m/>
    <x v="0"/>
    <x v="0"/>
    <m/>
    <x v="0"/>
    <m/>
    <x v="0"/>
    <x v="0"/>
    <x v="0"/>
    <x v="0"/>
    <x v="0"/>
  </r>
  <r>
    <x v="1"/>
    <x v="4"/>
    <s v="1737 F"/>
    <x v="20"/>
    <s v="کمپاونڈ وارننگ"/>
    <s v="LDN"/>
    <n v="15"/>
    <s v="5-5.5"/>
    <s v="پیور"/>
    <n v="50"/>
    <x v="0"/>
    <n v="3"/>
    <n v="75.7"/>
    <n v="4.1999999999999993"/>
    <m/>
    <x v="0"/>
    <n v="71.5"/>
    <m/>
    <m/>
    <x v="0"/>
    <x v="0"/>
    <m/>
    <m/>
    <x v="0"/>
    <x v="0"/>
    <m/>
    <x v="0"/>
    <x v="0"/>
    <x v="0"/>
    <x v="0"/>
    <x v="0"/>
    <m/>
    <m/>
    <m/>
    <m/>
    <x v="0"/>
    <x v="0"/>
    <m/>
    <x v="0"/>
    <m/>
    <x v="0"/>
    <x v="0"/>
    <x v="0"/>
    <x v="0"/>
    <x v="0"/>
  </r>
  <r>
    <x v="1"/>
    <x v="4"/>
    <s v="2965 J"/>
    <x v="20"/>
    <s v="ڈسکاؤنٹ سٹور(نیو ڈیزائن)"/>
    <s v="LDM"/>
    <n v="14.5"/>
    <s v="12.5-13"/>
    <s v="ABA پیور"/>
    <n v="200"/>
    <x v="0"/>
    <n v="1"/>
    <n v="40.6"/>
    <n v="1.5"/>
    <m/>
    <x v="0"/>
    <n v="39.1"/>
    <m/>
    <m/>
    <x v="0"/>
    <x v="0"/>
    <m/>
    <m/>
    <x v="0"/>
    <x v="0"/>
    <m/>
    <x v="0"/>
    <x v="0"/>
    <x v="0"/>
    <x v="0"/>
    <x v="0"/>
    <m/>
    <m/>
    <m/>
    <m/>
    <x v="0"/>
    <x v="0"/>
    <m/>
    <x v="0"/>
    <m/>
    <x v="0"/>
    <x v="0"/>
    <x v="0"/>
    <x v="0"/>
    <x v="0"/>
  </r>
  <r>
    <x v="1"/>
    <x v="4"/>
    <s v="PAKING"/>
    <x v="20"/>
    <s v="-"/>
    <s v="-"/>
    <s v="-"/>
    <s v="-"/>
    <s v="-"/>
    <s v="-"/>
    <x v="0"/>
    <n v="1"/>
    <n v="66"/>
    <m/>
    <m/>
    <x v="0"/>
    <n v="66"/>
    <m/>
    <m/>
    <x v="0"/>
    <x v="0"/>
    <m/>
    <m/>
    <x v="0"/>
    <x v="0"/>
    <m/>
    <x v="0"/>
    <x v="0"/>
    <x v="0"/>
    <x v="0"/>
    <x v="0"/>
    <m/>
    <m/>
    <m/>
    <m/>
    <x v="0"/>
    <x v="0"/>
    <m/>
    <x v="0"/>
    <m/>
    <x v="0"/>
    <x v="0"/>
    <x v="0"/>
    <x v="0"/>
    <x v="0"/>
  </r>
  <r>
    <x v="1"/>
    <x v="4"/>
    <s v="2945 J"/>
    <x v="20"/>
    <s v="یونیورسل 1/2کلو گرام"/>
    <s v="LDN"/>
    <s v="510 MM"/>
    <s v="15-16/30-32"/>
    <s v="پیور"/>
    <n v="500"/>
    <x v="0"/>
    <n v="2"/>
    <n v="151.19999999999999"/>
    <m/>
    <m/>
    <x v="0"/>
    <n v="151.19999999999999"/>
    <m/>
    <m/>
    <x v="0"/>
    <x v="0"/>
    <m/>
    <m/>
    <x v="0"/>
    <x v="0"/>
    <m/>
    <x v="0"/>
    <x v="0"/>
    <x v="0"/>
    <x v="0"/>
    <x v="0"/>
    <m/>
    <m/>
    <m/>
    <m/>
    <x v="0"/>
    <x v="0"/>
    <m/>
    <x v="0"/>
    <m/>
    <x v="0"/>
    <x v="0"/>
    <x v="0"/>
    <x v="0"/>
    <x v="0"/>
  </r>
  <r>
    <x v="0"/>
    <x v="5"/>
    <s v="1705 F"/>
    <x v="20"/>
    <s v="کاپا اومنی وارننگ"/>
    <s v="LDN"/>
    <n v="17.25"/>
    <s v="12"/>
    <s v="پیور"/>
    <n v="500"/>
    <x v="0"/>
    <n v="6"/>
    <n v="334.39000000000004"/>
    <n v="12"/>
    <n v="4"/>
    <x v="0"/>
    <n v="322.39000000000004"/>
    <m/>
    <m/>
    <x v="0"/>
    <x v="0"/>
    <m/>
    <m/>
    <x v="0"/>
    <x v="0"/>
    <m/>
    <x v="0"/>
    <x v="0"/>
    <x v="0"/>
    <x v="0"/>
    <x v="0"/>
    <m/>
    <m/>
    <m/>
    <m/>
    <x v="0"/>
    <x v="0"/>
    <m/>
    <x v="0"/>
    <m/>
    <x v="0"/>
    <x v="0"/>
    <x v="0"/>
    <x v="0"/>
    <x v="0"/>
  </r>
  <r>
    <x v="0"/>
    <x v="5"/>
    <s v="2961 J"/>
    <x v="20"/>
    <s v="سادہ لفافہ سپر ڈائمنڈ فوڈ"/>
    <s v="LDN"/>
    <n v="22"/>
    <s v="7.5-8"/>
    <s v="پیور"/>
    <n v="50"/>
    <x v="0"/>
    <n v="1"/>
    <n v="51.6"/>
    <n v="2.7"/>
    <m/>
    <x v="0"/>
    <n v="48.9"/>
    <m/>
    <m/>
    <x v="0"/>
    <x v="0"/>
    <m/>
    <m/>
    <x v="0"/>
    <x v="0"/>
    <m/>
    <x v="0"/>
    <x v="0"/>
    <x v="0"/>
    <x v="0"/>
    <x v="0"/>
    <m/>
    <m/>
    <m/>
    <m/>
    <x v="0"/>
    <x v="0"/>
    <m/>
    <x v="0"/>
    <m/>
    <x v="0"/>
    <x v="0"/>
    <x v="0"/>
    <x v="0"/>
    <x v="0"/>
  </r>
  <r>
    <x v="0"/>
    <x v="5"/>
    <s v="1705 F"/>
    <x v="20"/>
    <s v="کاپا اومنی وارننگ"/>
    <s v="LDN"/>
    <n v="17.25"/>
    <s v="12"/>
    <s v="پیور"/>
    <n v="500"/>
    <x v="0"/>
    <n v="1"/>
    <n v="51.4"/>
    <n v="2.7"/>
    <m/>
    <x v="0"/>
    <n v="48.699999999999996"/>
    <m/>
    <m/>
    <x v="0"/>
    <x v="0"/>
    <m/>
    <m/>
    <x v="0"/>
    <x v="0"/>
    <m/>
    <x v="0"/>
    <x v="0"/>
    <x v="0"/>
    <x v="0"/>
    <x v="0"/>
    <m/>
    <m/>
    <m/>
    <m/>
    <x v="0"/>
    <x v="0"/>
    <m/>
    <x v="0"/>
    <m/>
    <x v="0"/>
    <x v="0"/>
    <x v="0"/>
    <x v="0"/>
    <x v="0"/>
  </r>
  <r>
    <x v="1"/>
    <x v="5"/>
    <s v="1705 F"/>
    <x v="20"/>
    <s v="کاپا اومنی وارننگ"/>
    <s v="LDN"/>
    <n v="17.25"/>
    <s v="12"/>
    <s v="پیور"/>
    <n v="500"/>
    <x v="0"/>
    <n v="1"/>
    <n v="75.5"/>
    <n v="2"/>
    <n v="57"/>
    <x v="0"/>
    <n v="73.5"/>
    <m/>
    <m/>
    <x v="0"/>
    <x v="0"/>
    <m/>
    <m/>
    <x v="0"/>
    <x v="0"/>
    <m/>
    <x v="0"/>
    <x v="0"/>
    <x v="0"/>
    <x v="0"/>
    <x v="0"/>
    <m/>
    <m/>
    <m/>
    <m/>
    <x v="0"/>
    <x v="0"/>
    <m/>
    <x v="0"/>
    <m/>
    <x v="0"/>
    <x v="0"/>
    <x v="0"/>
    <x v="0"/>
    <x v="0"/>
  </r>
  <r>
    <x v="1"/>
    <x v="5"/>
    <s v="2808 J"/>
    <x v="20"/>
    <s v="سادہ لفافہ احسان کاٹن"/>
    <s v="LDN"/>
    <n v="20"/>
    <n v="6"/>
    <s v="AA کولٹی"/>
    <n v="300"/>
    <x v="0"/>
    <n v="3"/>
    <n v="269.2"/>
    <n v="7.1999999999999993"/>
    <m/>
    <x v="0"/>
    <n v="262"/>
    <m/>
    <m/>
    <x v="0"/>
    <x v="0"/>
    <m/>
    <m/>
    <x v="0"/>
    <x v="0"/>
    <m/>
    <x v="0"/>
    <x v="0"/>
    <x v="0"/>
    <x v="0"/>
    <x v="0"/>
    <m/>
    <m/>
    <m/>
    <m/>
    <x v="0"/>
    <x v="0"/>
    <m/>
    <x v="0"/>
    <m/>
    <x v="0"/>
    <x v="0"/>
    <x v="0"/>
    <x v="0"/>
    <x v="0"/>
  </r>
  <r>
    <x v="0"/>
    <x v="2"/>
    <s v="2884 J"/>
    <x v="21"/>
    <s v="یو ایس میٹل گولڈ"/>
    <s v="LDN"/>
    <n v="7"/>
    <n v="10"/>
    <s v="پیور"/>
    <n v="100"/>
    <x v="0"/>
    <n v="3"/>
    <n v="90.1"/>
    <n v="2.7"/>
    <n v="3"/>
    <x v="0"/>
    <n v="87.399999999999991"/>
    <m/>
    <m/>
    <x v="0"/>
    <x v="0"/>
    <m/>
    <m/>
    <x v="0"/>
    <x v="0"/>
    <m/>
    <x v="0"/>
    <x v="0"/>
    <x v="0"/>
    <x v="0"/>
    <x v="0"/>
    <m/>
    <m/>
    <m/>
    <m/>
    <x v="0"/>
    <x v="0"/>
    <m/>
    <x v="0"/>
    <m/>
    <x v="0"/>
    <x v="0"/>
    <x v="0"/>
    <x v="0"/>
    <x v="0"/>
  </r>
  <r>
    <x v="0"/>
    <x v="2"/>
    <s v="2825 J"/>
    <x v="21"/>
    <s v="شاہ جی اچار  "/>
    <s v="LDN"/>
    <n v="7"/>
    <s v="18"/>
    <s v="پیور"/>
    <n v="100"/>
    <x v="0"/>
    <n v="3"/>
    <n v="101.4"/>
    <n v="2.7"/>
    <m/>
    <x v="0"/>
    <n v="98.7"/>
    <m/>
    <m/>
    <x v="0"/>
    <x v="0"/>
    <m/>
    <m/>
    <x v="0"/>
    <x v="0"/>
    <m/>
    <x v="0"/>
    <x v="0"/>
    <x v="0"/>
    <x v="0"/>
    <x v="0"/>
    <m/>
    <m/>
    <m/>
    <m/>
    <x v="0"/>
    <x v="0"/>
    <m/>
    <x v="0"/>
    <m/>
    <x v="0"/>
    <x v="0"/>
    <x v="0"/>
    <x v="0"/>
    <x v="0"/>
  </r>
  <r>
    <x v="0"/>
    <x v="2"/>
    <s v="2879 J"/>
    <x v="21"/>
    <s v="گولڈا ایلومینیم"/>
    <s v="LDN"/>
    <n v="6"/>
    <n v="10"/>
    <s v="پیور"/>
    <n v="100"/>
    <x v="0"/>
    <n v="2"/>
    <n v="51.8"/>
    <n v="1.6"/>
    <m/>
    <x v="0"/>
    <n v="50.199999999999996"/>
    <m/>
    <m/>
    <x v="0"/>
    <x v="0"/>
    <m/>
    <m/>
    <x v="0"/>
    <x v="0"/>
    <m/>
    <x v="0"/>
    <x v="0"/>
    <x v="0"/>
    <x v="0"/>
    <x v="0"/>
    <m/>
    <m/>
    <m/>
    <m/>
    <x v="0"/>
    <x v="0"/>
    <m/>
    <x v="0"/>
    <m/>
    <x v="0"/>
    <x v="0"/>
    <x v="0"/>
    <x v="0"/>
    <x v="0"/>
  </r>
  <r>
    <x v="1"/>
    <x v="2"/>
    <s v="2879 J"/>
    <x v="21"/>
    <s v="گولڈا ایلومینیم"/>
    <s v="LDN"/>
    <n v="6"/>
    <n v="10"/>
    <s v="پیور"/>
    <n v="100"/>
    <x v="0"/>
    <n v="2"/>
    <n v="38.799999999999997"/>
    <n v="1.7000000000000002"/>
    <n v="13"/>
    <x v="0"/>
    <n v="37.099999999999994"/>
    <m/>
    <m/>
    <x v="0"/>
    <x v="0"/>
    <m/>
    <m/>
    <x v="0"/>
    <x v="0"/>
    <m/>
    <x v="0"/>
    <x v="0"/>
    <x v="0"/>
    <x v="0"/>
    <x v="0"/>
    <m/>
    <m/>
    <m/>
    <m/>
    <x v="0"/>
    <x v="0"/>
    <m/>
    <x v="0"/>
    <m/>
    <x v="0"/>
    <x v="0"/>
    <x v="0"/>
    <x v="0"/>
    <x v="0"/>
  </r>
  <r>
    <x v="1"/>
    <x v="2"/>
    <s v="9531 A"/>
    <x v="21"/>
    <s v="سادہ رول جیلانی پولی سٹاک"/>
    <s v="LDN"/>
    <s v="26 شیٹ"/>
    <s v="8-8.5/16-17"/>
    <s v="پیور"/>
    <n v="2000"/>
    <x v="0"/>
    <n v="4"/>
    <n v="303.60000000000002"/>
    <n v="12"/>
    <m/>
    <x v="0"/>
    <n v="291.60000000000002"/>
    <m/>
    <m/>
    <x v="0"/>
    <x v="0"/>
    <m/>
    <m/>
    <x v="0"/>
    <x v="0"/>
    <m/>
    <x v="0"/>
    <x v="0"/>
    <x v="0"/>
    <x v="0"/>
    <x v="0"/>
    <m/>
    <m/>
    <m/>
    <m/>
    <x v="0"/>
    <x v="0"/>
    <m/>
    <x v="0"/>
    <m/>
    <x v="0"/>
    <x v="0"/>
    <x v="0"/>
    <x v="0"/>
    <x v="0"/>
  </r>
  <r>
    <x v="1"/>
    <x v="2"/>
    <s v="2821 J"/>
    <x v="21"/>
    <s v="سپر کینیا چائے"/>
    <s v="LD ریڈ"/>
    <n v="9"/>
    <s v="15-16"/>
    <s v="ABA پیور"/>
    <n v="100"/>
    <x v="0"/>
    <n v="1"/>
    <n v="46"/>
    <n v="1.1000000000000001"/>
    <m/>
    <x v="0"/>
    <n v="44.9"/>
    <m/>
    <m/>
    <x v="0"/>
    <x v="0"/>
    <m/>
    <m/>
    <x v="0"/>
    <x v="0"/>
    <m/>
    <x v="0"/>
    <x v="0"/>
    <x v="0"/>
    <x v="0"/>
    <x v="0"/>
    <m/>
    <m/>
    <m/>
    <m/>
    <x v="0"/>
    <x v="0"/>
    <m/>
    <x v="0"/>
    <m/>
    <x v="0"/>
    <x v="0"/>
    <x v="0"/>
    <x v="0"/>
    <x v="0"/>
  </r>
  <r>
    <x v="0"/>
    <x v="3"/>
    <s v="2845 J"/>
    <x v="21"/>
    <s v="سادہ لفافہ احسان کاٹن"/>
    <s v="LDN"/>
    <n v="20"/>
    <n v="6"/>
    <s v="AA کولٹی"/>
    <n v="300"/>
    <x v="0"/>
    <n v="2"/>
    <n v="127.6"/>
    <n v="4.8"/>
    <n v="7"/>
    <x v="0"/>
    <n v="122.8"/>
    <m/>
    <m/>
    <x v="0"/>
    <x v="0"/>
    <m/>
    <m/>
    <x v="0"/>
    <x v="0"/>
    <m/>
    <x v="0"/>
    <x v="0"/>
    <x v="0"/>
    <x v="0"/>
    <x v="0"/>
    <m/>
    <m/>
    <m/>
    <m/>
    <x v="0"/>
    <x v="0"/>
    <m/>
    <x v="0"/>
    <m/>
    <x v="0"/>
    <x v="0"/>
    <x v="0"/>
    <x v="0"/>
    <x v="0"/>
  </r>
  <r>
    <x v="0"/>
    <x v="3"/>
    <s v="2806 J"/>
    <x v="21"/>
    <s v="سادہ لفافہ احسان کاٹن"/>
    <s v="LDN"/>
    <n v="22"/>
    <n v="6"/>
    <s v="AA کولٹی"/>
    <n v="300"/>
    <x v="0"/>
    <n v="5"/>
    <n v="261"/>
    <n v="12.5"/>
    <m/>
    <x v="0"/>
    <n v="248.5"/>
    <m/>
    <m/>
    <x v="0"/>
    <x v="0"/>
    <m/>
    <m/>
    <x v="0"/>
    <x v="0"/>
    <m/>
    <x v="0"/>
    <x v="0"/>
    <x v="0"/>
    <x v="0"/>
    <x v="0"/>
    <m/>
    <m/>
    <m/>
    <m/>
    <x v="0"/>
    <x v="0"/>
    <m/>
    <x v="0"/>
    <m/>
    <x v="0"/>
    <x v="0"/>
    <x v="0"/>
    <x v="0"/>
    <x v="0"/>
  </r>
  <r>
    <x v="1"/>
    <x v="3"/>
    <s v="2806 J"/>
    <x v="21"/>
    <s v="سادہ لفافہ احسان کاٹن"/>
    <s v="LDN"/>
    <n v="22"/>
    <n v="6"/>
    <s v="AA کولٹی"/>
    <n v="300"/>
    <x v="0"/>
    <n v="1"/>
    <n v="54.4"/>
    <n v="2.5"/>
    <n v="8"/>
    <x v="0"/>
    <n v="51.9"/>
    <m/>
    <m/>
    <x v="0"/>
    <x v="0"/>
    <m/>
    <m/>
    <x v="0"/>
    <x v="0"/>
    <m/>
    <x v="0"/>
    <x v="0"/>
    <x v="0"/>
    <x v="0"/>
    <x v="0"/>
    <m/>
    <m/>
    <m/>
    <m/>
    <x v="0"/>
    <x v="0"/>
    <m/>
    <x v="0"/>
    <m/>
    <x v="0"/>
    <x v="0"/>
    <x v="0"/>
    <x v="0"/>
    <x v="0"/>
  </r>
  <r>
    <x v="1"/>
    <x v="3"/>
    <s v="2807 J"/>
    <x v="21"/>
    <s v="سادہ لفافہ احسان کاٹن"/>
    <s v="LDN"/>
    <n v="16.5"/>
    <n v="10"/>
    <s v="AA کولٹی"/>
    <n v="150"/>
    <x v="0"/>
    <n v="3"/>
    <n v="161.80000000000001"/>
    <n v="5.6999999999999993"/>
    <m/>
    <x v="0"/>
    <n v="156.10000000000002"/>
    <m/>
    <m/>
    <x v="0"/>
    <x v="0"/>
    <m/>
    <m/>
    <x v="0"/>
    <x v="0"/>
    <m/>
    <x v="0"/>
    <x v="0"/>
    <x v="0"/>
    <x v="0"/>
    <x v="0"/>
    <m/>
    <m/>
    <m/>
    <m/>
    <x v="0"/>
    <x v="0"/>
    <m/>
    <x v="0"/>
    <m/>
    <x v="0"/>
    <x v="0"/>
    <x v="0"/>
    <x v="0"/>
    <x v="0"/>
  </r>
  <r>
    <x v="0"/>
    <x v="4"/>
    <s v="2945 J"/>
    <x v="21"/>
    <s v="یونیورسل 1/2کلو گرام"/>
    <s v="LDN"/>
    <s v="510 MM"/>
    <s v="15-16/30-32"/>
    <s v="پیور"/>
    <n v="500"/>
    <x v="0"/>
    <n v="6"/>
    <n v="383.8"/>
    <n v="14.200000000000001"/>
    <m/>
    <x v="0"/>
    <n v="369.6"/>
    <m/>
    <m/>
    <x v="0"/>
    <x v="0"/>
    <m/>
    <m/>
    <x v="0"/>
    <x v="0"/>
    <m/>
    <x v="0"/>
    <x v="0"/>
    <x v="0"/>
    <x v="0"/>
    <x v="0"/>
    <m/>
    <m/>
    <m/>
    <m/>
    <x v="0"/>
    <x v="0"/>
    <m/>
    <x v="0"/>
    <m/>
    <x v="0"/>
    <x v="0"/>
    <x v="0"/>
    <x v="0"/>
    <x v="0"/>
  </r>
  <r>
    <x v="0"/>
    <x v="4"/>
    <s v="2944 J"/>
    <x v="21"/>
    <s v="یونیورسل 1 کلو گرام"/>
    <s v="LDN"/>
    <s v="510 MM"/>
    <s v="15-16/30-32"/>
    <s v="پیور"/>
    <n v="300"/>
    <x v="0"/>
    <n v="4"/>
    <n v="252.8"/>
    <n v="9.1999999999999993"/>
    <m/>
    <x v="0"/>
    <n v="243.60000000000002"/>
    <m/>
    <m/>
    <x v="0"/>
    <x v="0"/>
    <m/>
    <m/>
    <x v="0"/>
    <x v="0"/>
    <m/>
    <x v="0"/>
    <x v="0"/>
    <x v="0"/>
    <x v="0"/>
    <x v="0"/>
    <m/>
    <m/>
    <m/>
    <m/>
    <x v="0"/>
    <x v="0"/>
    <m/>
    <x v="0"/>
    <m/>
    <x v="0"/>
    <x v="0"/>
    <x v="0"/>
    <x v="0"/>
    <x v="0"/>
  </r>
  <r>
    <x v="1"/>
    <x v="4"/>
    <s v="2943 J"/>
    <x v="21"/>
    <s v="گولڈن ایکرالک1/2 کلو گرام"/>
    <s v="LDN"/>
    <s v="510 MM"/>
    <s v="15-16/30-32"/>
    <s v="پیور"/>
    <n v="800"/>
    <x v="0"/>
    <n v="6"/>
    <n v="576.80000000000007"/>
    <n v="14.399999999999999"/>
    <m/>
    <x v="0"/>
    <n v="562.40000000000009"/>
    <m/>
    <m/>
    <x v="0"/>
    <x v="0"/>
    <m/>
    <m/>
    <x v="0"/>
    <x v="0"/>
    <m/>
    <x v="0"/>
    <x v="0"/>
    <x v="0"/>
    <x v="0"/>
    <x v="0"/>
    <m/>
    <m/>
    <m/>
    <m/>
    <x v="0"/>
    <x v="0"/>
    <m/>
    <x v="0"/>
    <m/>
    <x v="0"/>
    <x v="0"/>
    <x v="0"/>
    <x v="0"/>
    <x v="0"/>
  </r>
  <r>
    <x v="0"/>
    <x v="5"/>
    <s v="2808 J"/>
    <x v="21"/>
    <s v="سادہ لفافہ احسان کاٹن"/>
    <s v="LDN"/>
    <n v="20"/>
    <n v="6"/>
    <s v="AA کولٹی"/>
    <n v="300"/>
    <x v="0"/>
    <n v="1"/>
    <n v="63.95"/>
    <n v="2.5"/>
    <n v="12"/>
    <x v="0"/>
    <n v="61.45"/>
    <m/>
    <m/>
    <x v="0"/>
    <x v="0"/>
    <m/>
    <m/>
    <x v="0"/>
    <x v="0"/>
    <m/>
    <x v="0"/>
    <x v="0"/>
    <x v="0"/>
    <x v="0"/>
    <x v="0"/>
    <m/>
    <m/>
    <m/>
    <m/>
    <x v="0"/>
    <x v="0"/>
    <m/>
    <x v="0"/>
    <m/>
    <x v="0"/>
    <x v="0"/>
    <x v="0"/>
    <x v="0"/>
    <x v="0"/>
  </r>
  <r>
    <x v="0"/>
    <x v="5"/>
    <s v="1748 F"/>
    <x v="21"/>
    <s v="امریگن ایگل وارینگ"/>
    <s v="LDN"/>
    <n v="18"/>
    <s v="7-7.5"/>
    <s v="پیور"/>
    <n v="80"/>
    <x v="0"/>
    <n v="4"/>
    <n v="153.77000000000001"/>
    <n v="9.1999999999999993"/>
    <m/>
    <x v="0"/>
    <n v="144.57000000000002"/>
    <m/>
    <m/>
    <x v="0"/>
    <x v="0"/>
    <m/>
    <m/>
    <x v="0"/>
    <x v="0"/>
    <m/>
    <x v="0"/>
    <x v="0"/>
    <x v="0"/>
    <x v="0"/>
    <x v="0"/>
    <m/>
    <m/>
    <m/>
    <m/>
    <x v="0"/>
    <x v="0"/>
    <m/>
    <x v="0"/>
    <m/>
    <x v="0"/>
    <x v="0"/>
    <x v="0"/>
    <x v="0"/>
    <x v="0"/>
  </r>
  <r>
    <x v="0"/>
    <x v="5"/>
    <s v="2978 J"/>
    <x v="21"/>
    <s v="سادہ لفافہ محبوب پرنٹر"/>
    <s v="LDN"/>
    <n v="22"/>
    <s v="8"/>
    <s v="پیور"/>
    <n v="200"/>
    <x v="0"/>
    <n v="3"/>
    <n v="127.31"/>
    <n v="8.1000000000000014"/>
    <m/>
    <x v="0"/>
    <n v="119.21000000000001"/>
    <m/>
    <m/>
    <x v="0"/>
    <x v="0"/>
    <m/>
    <m/>
    <x v="0"/>
    <x v="0"/>
    <m/>
    <x v="0"/>
    <x v="0"/>
    <x v="0"/>
    <x v="0"/>
    <x v="0"/>
    <m/>
    <m/>
    <m/>
    <m/>
    <x v="0"/>
    <x v="0"/>
    <m/>
    <x v="0"/>
    <m/>
    <x v="0"/>
    <x v="0"/>
    <x v="0"/>
    <x v="0"/>
    <x v="0"/>
  </r>
  <r>
    <x v="1"/>
    <x v="5"/>
    <s v="2983 J"/>
    <x v="21"/>
    <s v="پائپر وارننگ"/>
    <s v="LDN"/>
    <n v="16"/>
    <s v="9-9.5"/>
    <s v="پیور"/>
    <n v="0"/>
    <x v="0"/>
    <n v="5"/>
    <n v="339.35"/>
    <n v="9.5"/>
    <n v="6"/>
    <x v="0"/>
    <n v="329.85"/>
    <m/>
    <m/>
    <x v="0"/>
    <x v="0"/>
    <m/>
    <m/>
    <x v="0"/>
    <x v="0"/>
    <m/>
    <x v="0"/>
    <x v="0"/>
    <x v="0"/>
    <x v="0"/>
    <x v="0"/>
    <m/>
    <m/>
    <m/>
    <m/>
    <x v="0"/>
    <x v="0"/>
    <m/>
    <x v="0"/>
    <m/>
    <x v="0"/>
    <x v="0"/>
    <x v="0"/>
    <x v="0"/>
    <x v="0"/>
  </r>
  <r>
    <x v="1"/>
    <x v="0"/>
    <s v="07/5-5.5"/>
    <x v="22"/>
    <s v="-"/>
    <s v="-"/>
    <s v="-"/>
    <s v="-"/>
    <s v="-"/>
    <s v="-"/>
    <x v="0"/>
    <n v="4"/>
    <n v="92"/>
    <n v="2.4000000000000004"/>
    <n v="15"/>
    <x v="0"/>
    <n v="89.6"/>
    <m/>
    <m/>
    <x v="0"/>
    <x v="0"/>
    <m/>
    <m/>
    <x v="0"/>
    <x v="0"/>
    <m/>
    <x v="0"/>
    <x v="0"/>
    <x v="0"/>
    <x v="0"/>
    <x v="0"/>
    <m/>
    <m/>
    <m/>
    <m/>
    <x v="0"/>
    <x v="0"/>
    <m/>
    <x v="0"/>
    <m/>
    <x v="0"/>
    <x v="0"/>
    <x v="0"/>
    <x v="0"/>
    <x v="0"/>
  </r>
  <r>
    <x v="0"/>
    <x v="2"/>
    <s v="2821 J"/>
    <x v="22"/>
    <s v="سپر کینیا چائے"/>
    <s v="LD ریڈ"/>
    <n v="9"/>
    <s v="15-16"/>
    <s v="ABA پیور"/>
    <n v="100"/>
    <x v="0"/>
    <n v="2"/>
    <n v="61.4"/>
    <n v="2.2000000000000002"/>
    <n v="25"/>
    <x v="0"/>
    <n v="59.199999999999996"/>
    <m/>
    <m/>
    <x v="0"/>
    <x v="0"/>
    <m/>
    <m/>
    <x v="0"/>
    <x v="0"/>
    <m/>
    <x v="0"/>
    <x v="0"/>
    <x v="0"/>
    <x v="0"/>
    <x v="0"/>
    <m/>
    <m/>
    <m/>
    <m/>
    <x v="0"/>
    <x v="0"/>
    <m/>
    <x v="0"/>
    <m/>
    <x v="0"/>
    <x v="0"/>
    <x v="0"/>
    <x v="0"/>
    <x v="0"/>
  </r>
  <r>
    <x v="0"/>
    <x v="2"/>
    <s v="2819 J"/>
    <x v="22"/>
    <s v="سپر کینیا چائے"/>
    <s v="LD ریڈ"/>
    <n v="6"/>
    <s v="15-16"/>
    <s v="ABA پیور"/>
    <n v="100"/>
    <x v="0"/>
    <n v="2"/>
    <n v="73.599999999999994"/>
    <n v="1.4"/>
    <m/>
    <x v="0"/>
    <n v="72.199999999999989"/>
    <m/>
    <m/>
    <x v="0"/>
    <x v="0"/>
    <m/>
    <m/>
    <x v="0"/>
    <x v="0"/>
    <m/>
    <x v="0"/>
    <x v="0"/>
    <x v="0"/>
    <x v="0"/>
    <x v="0"/>
    <m/>
    <m/>
    <m/>
    <m/>
    <x v="0"/>
    <x v="0"/>
    <m/>
    <x v="0"/>
    <m/>
    <x v="0"/>
    <x v="0"/>
    <x v="0"/>
    <x v="0"/>
    <x v="0"/>
  </r>
  <r>
    <x v="0"/>
    <x v="2"/>
    <s v="2820 J"/>
    <x v="22"/>
    <s v="سپر کینیا چائے"/>
    <s v="LD ریڈ"/>
    <n v="7"/>
    <s v="15-16"/>
    <s v=" ABA پیور"/>
    <n v="100"/>
    <x v="0"/>
    <n v="4"/>
    <n v="143.6"/>
    <n v="3.2"/>
    <m/>
    <x v="0"/>
    <n v="140.4"/>
    <m/>
    <m/>
    <x v="0"/>
    <x v="0"/>
    <m/>
    <m/>
    <x v="0"/>
    <x v="0"/>
    <m/>
    <x v="0"/>
    <x v="0"/>
    <x v="0"/>
    <x v="0"/>
    <x v="0"/>
    <m/>
    <m/>
    <m/>
    <m/>
    <x v="0"/>
    <x v="0"/>
    <m/>
    <x v="0"/>
    <m/>
    <x v="0"/>
    <x v="0"/>
    <x v="0"/>
    <x v="0"/>
    <x v="0"/>
  </r>
  <r>
    <x v="1"/>
    <x v="2"/>
    <s v="2938 J"/>
    <x v="22"/>
    <s v="کارنر سویٹس ہاؤس"/>
    <s v="LD کریم"/>
    <s v="8+2.5+2.5"/>
    <s v="7.5-8/15-16"/>
    <s v="ABA پیور"/>
    <n v="110"/>
    <x v="0"/>
    <n v="5"/>
    <n v="108.8"/>
    <n v="5"/>
    <n v="125"/>
    <x v="0"/>
    <n v="103.8"/>
    <m/>
    <m/>
    <x v="0"/>
    <x v="0"/>
    <m/>
    <m/>
    <x v="0"/>
    <x v="0"/>
    <m/>
    <x v="0"/>
    <x v="0"/>
    <x v="0"/>
    <x v="0"/>
    <x v="0"/>
    <m/>
    <m/>
    <m/>
    <m/>
    <x v="0"/>
    <x v="0"/>
    <m/>
    <x v="0"/>
    <m/>
    <x v="0"/>
    <x v="0"/>
    <x v="0"/>
    <x v="0"/>
    <x v="0"/>
  </r>
  <r>
    <x v="1"/>
    <x v="2"/>
    <s v="2939 J"/>
    <x v="22"/>
    <s v="کارنر سویٹ ہاؤس"/>
    <s v="LD کریم"/>
    <s v="12+3+3"/>
    <s v="7.5-8/15-16"/>
    <s v="ABA پیور"/>
    <n v="110"/>
    <x v="0"/>
    <n v="5"/>
    <n v="331.2"/>
    <n v="7.5"/>
    <m/>
    <x v="0"/>
    <n v="323.7"/>
    <m/>
    <m/>
    <x v="0"/>
    <x v="0"/>
    <m/>
    <m/>
    <x v="0"/>
    <x v="0"/>
    <m/>
    <x v="0"/>
    <x v="0"/>
    <x v="0"/>
    <x v="0"/>
    <x v="0"/>
    <m/>
    <m/>
    <m/>
    <m/>
    <x v="0"/>
    <x v="0"/>
    <m/>
    <x v="0"/>
    <m/>
    <x v="0"/>
    <x v="0"/>
    <x v="0"/>
    <x v="0"/>
    <x v="0"/>
  </r>
  <r>
    <x v="1"/>
    <x v="2"/>
    <s v="2809 J"/>
    <x v="22"/>
    <s v="گلفام کلاتھ ہاؤس"/>
    <s v="LD پیلا"/>
    <s v="12+3+3"/>
    <s v="8-8.5/16-17"/>
    <s v="ABA پیور"/>
    <n v="110"/>
    <x v="0"/>
    <n v="1"/>
    <n v="31"/>
    <n v="1.5"/>
    <m/>
    <x v="0"/>
    <n v="29.5"/>
    <m/>
    <m/>
    <x v="0"/>
    <x v="0"/>
    <m/>
    <m/>
    <x v="0"/>
    <x v="0"/>
    <m/>
    <x v="0"/>
    <x v="0"/>
    <x v="0"/>
    <x v="0"/>
    <x v="0"/>
    <m/>
    <m/>
    <m/>
    <m/>
    <x v="0"/>
    <x v="0"/>
    <m/>
    <x v="0"/>
    <m/>
    <x v="0"/>
    <x v="0"/>
    <x v="0"/>
    <x v="0"/>
    <x v="0"/>
  </r>
  <r>
    <x v="0"/>
    <x v="3"/>
    <n v="2756"/>
    <x v="22"/>
    <s v="MATCO FOOD"/>
    <s v="LDN"/>
    <n v="23"/>
    <s v="70 G"/>
    <s v="SL"/>
    <n v="7000"/>
    <x v="0"/>
    <n v="3"/>
    <n v="465"/>
    <n v="8.6999999999999993"/>
    <m/>
    <x v="0"/>
    <n v="456.3"/>
    <m/>
    <m/>
    <x v="0"/>
    <x v="0"/>
    <m/>
    <m/>
    <x v="0"/>
    <x v="0"/>
    <m/>
    <x v="0"/>
    <x v="0"/>
    <x v="0"/>
    <x v="0"/>
    <x v="0"/>
    <m/>
    <m/>
    <m/>
    <m/>
    <x v="0"/>
    <x v="0"/>
    <m/>
    <x v="0"/>
    <m/>
    <x v="0"/>
    <x v="0"/>
    <x v="0"/>
    <x v="0"/>
    <x v="0"/>
  </r>
  <r>
    <x v="1"/>
    <x v="3"/>
    <n v="2756"/>
    <x v="22"/>
    <s v="MATCO FOOD"/>
    <s v="LDN"/>
    <n v="23"/>
    <s v="70 G"/>
    <s v="SL"/>
    <n v="7000"/>
    <x v="0"/>
    <n v="4"/>
    <n v="277.2"/>
    <n v="11.6"/>
    <m/>
    <x v="0"/>
    <n v="265.59999999999997"/>
    <m/>
    <m/>
    <x v="0"/>
    <x v="0"/>
    <m/>
    <m/>
    <x v="0"/>
    <x v="0"/>
    <m/>
    <x v="0"/>
    <x v="0"/>
    <x v="0"/>
    <x v="0"/>
    <x v="0"/>
    <m/>
    <m/>
    <m/>
    <m/>
    <x v="0"/>
    <x v="0"/>
    <m/>
    <x v="0"/>
    <m/>
    <x v="0"/>
    <x v="0"/>
    <x v="0"/>
    <x v="0"/>
    <x v="0"/>
  </r>
  <r>
    <x v="0"/>
    <x v="4"/>
    <s v="2943 J"/>
    <x v="22"/>
    <s v="گولڈن ایکرالک1/2 کلو گرام"/>
    <s v="LDN"/>
    <s v="510 MM"/>
    <s v="15-16/30-32"/>
    <s v="پیور"/>
    <n v="800"/>
    <x v="0"/>
    <n v="2"/>
    <n v="212.3"/>
    <n v="4.8"/>
    <n v="20"/>
    <x v="0"/>
    <n v="207.5"/>
    <m/>
    <m/>
    <x v="0"/>
    <x v="0"/>
    <m/>
    <m/>
    <x v="0"/>
    <x v="0"/>
    <m/>
    <x v="0"/>
    <x v="0"/>
    <x v="0"/>
    <x v="0"/>
    <x v="0"/>
    <m/>
    <m/>
    <m/>
    <m/>
    <x v="0"/>
    <x v="0"/>
    <m/>
    <x v="0"/>
    <m/>
    <x v="0"/>
    <x v="0"/>
    <x v="0"/>
    <x v="0"/>
    <x v="0"/>
  </r>
  <r>
    <x v="0"/>
    <x v="4"/>
    <s v="2919 J"/>
    <x v="22"/>
    <s v="Atlas Honda LTD (SKP)"/>
    <s v="LDM"/>
    <s v="16.75&quot; شیٹ"/>
    <s v="7-7.5/14-15"/>
    <s v="LDM"/>
    <n v="300"/>
    <x v="0"/>
    <n v="4"/>
    <n v="210.2"/>
    <n v="8"/>
    <m/>
    <x v="0"/>
    <n v="202.2"/>
    <m/>
    <m/>
    <x v="0"/>
    <x v="0"/>
    <m/>
    <m/>
    <x v="0"/>
    <x v="0"/>
    <m/>
    <x v="0"/>
    <x v="0"/>
    <x v="0"/>
    <x v="0"/>
    <x v="0"/>
    <m/>
    <m/>
    <m/>
    <m/>
    <x v="0"/>
    <x v="0"/>
    <m/>
    <x v="0"/>
    <m/>
    <x v="0"/>
    <x v="0"/>
    <x v="0"/>
    <x v="0"/>
    <x v="0"/>
  </r>
  <r>
    <x v="0"/>
    <x v="4"/>
    <s v="2942 J"/>
    <x v="22"/>
    <s v="گولڈن ایکرالک1 کلو گرام"/>
    <s v="LDN"/>
    <s v="510 MM"/>
    <s v="15-16/30-32"/>
    <s v="پیور"/>
    <n v="400"/>
    <x v="0"/>
    <n v="2"/>
    <n v="212.4"/>
    <n v="1"/>
    <m/>
    <x v="0"/>
    <n v="211.4"/>
    <m/>
    <m/>
    <x v="0"/>
    <x v="0"/>
    <m/>
    <m/>
    <x v="0"/>
    <x v="0"/>
    <m/>
    <x v="0"/>
    <x v="0"/>
    <x v="0"/>
    <x v="0"/>
    <x v="0"/>
    <m/>
    <m/>
    <m/>
    <m/>
    <x v="0"/>
    <x v="0"/>
    <m/>
    <x v="0"/>
    <m/>
    <x v="0"/>
    <x v="0"/>
    <x v="0"/>
    <x v="0"/>
    <x v="0"/>
  </r>
  <r>
    <x v="1"/>
    <x v="4"/>
    <s v="2919 J"/>
    <x v="22"/>
    <s v="Atlas Honda LTD (SKP)"/>
    <s v="LDM"/>
    <s v="16.75&quot; شیٹ"/>
    <s v="7-7.5/14-15"/>
    <s v="LDM"/>
    <n v="300"/>
    <x v="0"/>
    <n v="2"/>
    <n v="107.2"/>
    <n v="4"/>
    <n v="17"/>
    <x v="0"/>
    <n v="103.2"/>
    <m/>
    <m/>
    <x v="0"/>
    <x v="0"/>
    <m/>
    <m/>
    <x v="0"/>
    <x v="0"/>
    <m/>
    <x v="0"/>
    <x v="0"/>
    <x v="0"/>
    <x v="0"/>
    <x v="0"/>
    <m/>
    <m/>
    <m/>
    <m/>
    <x v="0"/>
    <x v="0"/>
    <m/>
    <x v="0"/>
    <m/>
    <x v="0"/>
    <x v="0"/>
    <x v="0"/>
    <x v="0"/>
    <x v="0"/>
  </r>
  <r>
    <x v="1"/>
    <x v="4"/>
    <s v="2967 J"/>
    <x v="22"/>
    <s v="ڈسکاؤنٹ سٹور(نیو ڈیزائن)"/>
    <s v="LDM"/>
    <n v="18.5"/>
    <s v="15-16"/>
    <s v="ABA پیور"/>
    <n v="200"/>
    <x v="0"/>
    <n v="3"/>
    <n v="206.20000000000002"/>
    <n v="6.6000000000000005"/>
    <m/>
    <x v="0"/>
    <n v="199.60000000000002"/>
    <m/>
    <m/>
    <x v="0"/>
    <x v="0"/>
    <m/>
    <m/>
    <x v="0"/>
    <x v="0"/>
    <m/>
    <x v="0"/>
    <x v="0"/>
    <x v="0"/>
    <x v="0"/>
    <x v="0"/>
    <m/>
    <m/>
    <m/>
    <m/>
    <x v="0"/>
    <x v="0"/>
    <m/>
    <x v="0"/>
    <m/>
    <x v="0"/>
    <x v="0"/>
    <x v="0"/>
    <x v="0"/>
    <x v="0"/>
  </r>
  <r>
    <x v="1"/>
    <x v="4"/>
    <s v="2966 J"/>
    <x v="22"/>
    <s v="ڈسکاؤنٹ سٹور(نیو ڈیزائن)"/>
    <s v="LDM"/>
    <n v="16"/>
    <s v="13.5-14"/>
    <s v="ABA پیور"/>
    <n v="200"/>
    <x v="0"/>
    <n v="4"/>
    <n v="259.79999999999995"/>
    <n v="8"/>
    <m/>
    <x v="0"/>
    <n v="251.79999999999995"/>
    <m/>
    <m/>
    <x v="0"/>
    <x v="0"/>
    <m/>
    <m/>
    <x v="0"/>
    <x v="0"/>
    <m/>
    <x v="0"/>
    <x v="0"/>
    <x v="0"/>
    <x v="0"/>
    <x v="0"/>
    <m/>
    <m/>
    <m/>
    <m/>
    <x v="0"/>
    <x v="0"/>
    <m/>
    <x v="0"/>
    <m/>
    <x v="0"/>
    <x v="0"/>
    <x v="0"/>
    <x v="0"/>
    <x v="0"/>
  </r>
  <r>
    <x v="1"/>
    <x v="4"/>
    <s v="2965 J"/>
    <x v="22"/>
    <s v="ڈسکاؤنٹ سٹور(نیو ڈیزائن)"/>
    <s v="LDM"/>
    <n v="14.5"/>
    <s v="12.5-13"/>
    <s v="ABA پیور"/>
    <n v="200"/>
    <x v="0"/>
    <n v="2"/>
    <n v="103.6"/>
    <n v="3.6"/>
    <m/>
    <x v="0"/>
    <n v="100"/>
    <m/>
    <m/>
    <x v="0"/>
    <x v="0"/>
    <m/>
    <m/>
    <x v="0"/>
    <x v="0"/>
    <m/>
    <x v="0"/>
    <x v="0"/>
    <x v="0"/>
    <x v="0"/>
    <x v="0"/>
    <m/>
    <m/>
    <m/>
    <m/>
    <x v="0"/>
    <x v="0"/>
    <m/>
    <x v="0"/>
    <m/>
    <x v="0"/>
    <x v="0"/>
    <x v="0"/>
    <x v="0"/>
    <x v="0"/>
  </r>
  <r>
    <x v="0"/>
    <x v="5"/>
    <s v="2983 J"/>
    <x v="22"/>
    <s v="پائپر وارننگ"/>
    <s v="LDN"/>
    <n v="16"/>
    <s v="9-9.5"/>
    <s v="پیور"/>
    <n v="0"/>
    <x v="0"/>
    <n v="2"/>
    <n v="219.4"/>
    <n v="5.4"/>
    <m/>
    <x v="0"/>
    <n v="214"/>
    <m/>
    <m/>
    <x v="0"/>
    <x v="0"/>
    <m/>
    <m/>
    <x v="0"/>
    <x v="0"/>
    <m/>
    <x v="0"/>
    <x v="0"/>
    <x v="0"/>
    <x v="0"/>
    <x v="0"/>
    <m/>
    <m/>
    <m/>
    <m/>
    <x v="0"/>
    <x v="0"/>
    <m/>
    <x v="0"/>
    <m/>
    <x v="0"/>
    <x v="0"/>
    <x v="0"/>
    <x v="0"/>
    <x v="0"/>
  </r>
  <r>
    <x v="0"/>
    <x v="5"/>
    <s v="1752 F"/>
    <x v="22"/>
    <s v="STANCE وارینگ"/>
    <s v="LDN"/>
    <n v="16"/>
    <s v="7.7.5"/>
    <s v="پیور"/>
    <n v="210"/>
    <x v="0"/>
    <n v="3"/>
    <n v="169.60000000000002"/>
    <n v="5.3"/>
    <m/>
    <x v="0"/>
    <n v="164.3"/>
    <m/>
    <m/>
    <x v="0"/>
    <x v="0"/>
    <m/>
    <m/>
    <x v="0"/>
    <x v="0"/>
    <m/>
    <x v="0"/>
    <x v="0"/>
    <x v="0"/>
    <x v="0"/>
    <x v="0"/>
    <m/>
    <m/>
    <m/>
    <m/>
    <x v="0"/>
    <x v="0"/>
    <m/>
    <x v="0"/>
    <m/>
    <x v="0"/>
    <x v="0"/>
    <x v="0"/>
    <x v="0"/>
    <x v="0"/>
  </r>
  <r>
    <x v="1"/>
    <x v="5"/>
    <s v="1752 F"/>
    <x v="22"/>
    <s v="STANCE وارینگ"/>
    <s v="LDN"/>
    <n v="16"/>
    <s v="7.7.5"/>
    <s v="پیور"/>
    <n v="210"/>
    <x v="0"/>
    <n v="2"/>
    <n v="98.18"/>
    <n v="3.5"/>
    <n v="8"/>
    <x v="0"/>
    <n v="94.68"/>
    <m/>
    <m/>
    <x v="0"/>
    <x v="0"/>
    <m/>
    <m/>
    <x v="0"/>
    <x v="0"/>
    <m/>
    <x v="0"/>
    <x v="0"/>
    <x v="0"/>
    <x v="0"/>
    <x v="0"/>
    <m/>
    <m/>
    <m/>
    <m/>
    <x v="0"/>
    <x v="0"/>
    <m/>
    <x v="0"/>
    <m/>
    <x v="0"/>
    <x v="0"/>
    <x v="0"/>
    <x v="0"/>
    <x v="0"/>
  </r>
  <r>
    <x v="1"/>
    <x v="5"/>
    <s v="1751 F"/>
    <x v="22"/>
    <s v="STANCE وارینگ"/>
    <s v="LDN"/>
    <n v="21"/>
    <s v="7.7.5"/>
    <s v="پیور"/>
    <n v="410"/>
    <x v="0"/>
    <n v="5"/>
    <n v="297.14"/>
    <n v="13.489999999999998"/>
    <m/>
    <x v="0"/>
    <n v="283.64999999999998"/>
    <m/>
    <m/>
    <x v="0"/>
    <x v="0"/>
    <m/>
    <m/>
    <x v="0"/>
    <x v="0"/>
    <m/>
    <x v="0"/>
    <x v="0"/>
    <x v="0"/>
    <x v="0"/>
    <x v="0"/>
    <m/>
    <m/>
    <m/>
    <m/>
    <x v="0"/>
    <x v="0"/>
    <m/>
    <x v="0"/>
    <m/>
    <x v="0"/>
    <x v="0"/>
    <x v="0"/>
    <x v="0"/>
    <x v="0"/>
  </r>
  <r>
    <x v="0"/>
    <x v="0"/>
    <s v="07/5-5.5"/>
    <x v="23"/>
    <s v="-"/>
    <s v="-"/>
    <s v="-"/>
    <s v="-"/>
    <s v="-"/>
    <s v="-"/>
    <x v="0"/>
    <n v="2"/>
    <n v="46.2"/>
    <n v="1.6"/>
    <n v="11"/>
    <x v="0"/>
    <n v="44.6"/>
    <m/>
    <m/>
    <x v="0"/>
    <x v="0"/>
    <m/>
    <m/>
    <x v="0"/>
    <x v="0"/>
    <m/>
    <x v="0"/>
    <x v="0"/>
    <x v="0"/>
    <x v="0"/>
    <x v="0"/>
    <m/>
    <m/>
    <m/>
    <m/>
    <x v="0"/>
    <x v="0"/>
    <m/>
    <x v="0"/>
    <m/>
    <x v="0"/>
    <x v="0"/>
    <x v="0"/>
    <x v="0"/>
    <x v="0"/>
  </r>
  <r>
    <x v="0"/>
    <x v="0"/>
    <s v="2898 J"/>
    <x v="23"/>
    <s v="سمارٹ فوڈ لوگو"/>
    <s v="LDN"/>
    <n v="6"/>
    <s v="12-12.5"/>
    <s v="پیور"/>
    <n v="100"/>
    <x v="0"/>
    <n v="2"/>
    <n v="70"/>
    <n v="1.6"/>
    <m/>
    <x v="0"/>
    <n v="68.400000000000006"/>
    <m/>
    <m/>
    <x v="0"/>
    <x v="0"/>
    <m/>
    <m/>
    <x v="0"/>
    <x v="0"/>
    <m/>
    <x v="0"/>
    <x v="0"/>
    <x v="0"/>
    <x v="0"/>
    <x v="0"/>
    <m/>
    <m/>
    <m/>
    <m/>
    <x v="0"/>
    <x v="0"/>
    <m/>
    <x v="0"/>
    <m/>
    <x v="0"/>
    <x v="0"/>
    <x v="0"/>
    <x v="0"/>
    <x v="0"/>
  </r>
  <r>
    <x v="1"/>
    <x v="0"/>
    <s v="2898 J"/>
    <x v="23"/>
    <s v="سمارٹ فوڈ لوگو"/>
    <s v="LDN"/>
    <n v="6"/>
    <s v="12-12.5"/>
    <s v="پیور"/>
    <n v="100"/>
    <x v="0"/>
    <n v="1"/>
    <n v="33"/>
    <n v="0.8"/>
    <n v="6"/>
    <x v="0"/>
    <n v="32.200000000000003"/>
    <m/>
    <m/>
    <x v="0"/>
    <x v="0"/>
    <m/>
    <m/>
    <x v="0"/>
    <x v="0"/>
    <m/>
    <x v="0"/>
    <x v="0"/>
    <x v="0"/>
    <x v="0"/>
    <x v="0"/>
    <m/>
    <m/>
    <m/>
    <m/>
    <x v="0"/>
    <x v="0"/>
    <m/>
    <x v="0"/>
    <m/>
    <x v="0"/>
    <x v="0"/>
    <x v="0"/>
    <x v="0"/>
    <x v="0"/>
  </r>
  <r>
    <x v="1"/>
    <x v="0"/>
    <s v="2894 J"/>
    <x v="23"/>
    <s v="بولان لفافہ"/>
    <s v="LDN"/>
    <n v="8"/>
    <s v="6-6.5"/>
    <s v="پیور"/>
    <n v="200"/>
    <x v="0"/>
    <n v="3"/>
    <n v="83.2"/>
    <n v="3"/>
    <m/>
    <x v="0"/>
    <n v="80.2"/>
    <m/>
    <m/>
    <x v="0"/>
    <x v="0"/>
    <m/>
    <m/>
    <x v="0"/>
    <x v="0"/>
    <m/>
    <x v="0"/>
    <x v="0"/>
    <x v="0"/>
    <x v="0"/>
    <x v="0"/>
    <m/>
    <m/>
    <m/>
    <m/>
    <x v="0"/>
    <x v="0"/>
    <m/>
    <x v="0"/>
    <m/>
    <x v="0"/>
    <x v="0"/>
    <x v="0"/>
    <x v="0"/>
    <x v="0"/>
  </r>
  <r>
    <x v="0"/>
    <x v="2"/>
    <s v="2809 J"/>
    <x v="23"/>
    <s v="گلفام کلاتھ ہاؤس"/>
    <s v="LD پیلا"/>
    <s v="12+3+3"/>
    <s v="8-8.5/16-17"/>
    <s v="ABA پیور"/>
    <n v="110"/>
    <x v="0"/>
    <n v="3"/>
    <n v="94.799999999999983"/>
    <n v="4.4000000000000004"/>
    <n v="105"/>
    <x v="0"/>
    <n v="90.399999999999977"/>
    <m/>
    <m/>
    <x v="0"/>
    <x v="0"/>
    <m/>
    <m/>
    <x v="0"/>
    <x v="0"/>
    <m/>
    <x v="0"/>
    <x v="0"/>
    <x v="0"/>
    <x v="0"/>
    <x v="0"/>
    <m/>
    <m/>
    <m/>
    <m/>
    <x v="0"/>
    <x v="0"/>
    <m/>
    <x v="0"/>
    <m/>
    <x v="0"/>
    <x v="0"/>
    <x v="0"/>
    <x v="0"/>
    <x v="0"/>
  </r>
  <r>
    <x v="0"/>
    <x v="2"/>
    <s v="2810 J"/>
    <x v="23"/>
    <s v="گلفام کلاتھ ہاؤس"/>
    <s v="LD پیلا"/>
    <n v="22"/>
    <s v="16-17"/>
    <s v="ABA پیور"/>
    <n v="100"/>
    <x v="0"/>
    <n v="2"/>
    <n v="103.8"/>
    <n v="5.0999999999999996"/>
    <m/>
    <x v="0"/>
    <n v="98.7"/>
    <m/>
    <m/>
    <x v="0"/>
    <x v="0"/>
    <m/>
    <m/>
    <x v="0"/>
    <x v="0"/>
    <m/>
    <x v="0"/>
    <x v="0"/>
    <x v="0"/>
    <x v="0"/>
    <x v="0"/>
    <m/>
    <m/>
    <m/>
    <m/>
    <x v="0"/>
    <x v="0"/>
    <m/>
    <x v="0"/>
    <m/>
    <x v="0"/>
    <x v="0"/>
    <x v="0"/>
    <x v="0"/>
    <x v="0"/>
  </r>
  <r>
    <x v="0"/>
    <x v="2"/>
    <s v="2859 J"/>
    <x v="23"/>
    <s v="افغان فورڈ"/>
    <s v="LD سکائی بلو"/>
    <n v="14"/>
    <s v="20-21"/>
    <s v="ABA پیور"/>
    <n v="100"/>
    <x v="0"/>
    <n v="2"/>
    <n v="101.80000000000001"/>
    <n v="3.5"/>
    <m/>
    <x v="0"/>
    <n v="98.300000000000011"/>
    <m/>
    <m/>
    <x v="0"/>
    <x v="0"/>
    <m/>
    <m/>
    <x v="0"/>
    <x v="0"/>
    <m/>
    <x v="0"/>
    <x v="0"/>
    <x v="0"/>
    <x v="0"/>
    <x v="0"/>
    <m/>
    <m/>
    <m/>
    <m/>
    <x v="0"/>
    <x v="0"/>
    <m/>
    <x v="0"/>
    <m/>
    <x v="0"/>
    <x v="0"/>
    <x v="0"/>
    <x v="0"/>
    <x v="0"/>
  </r>
  <r>
    <x v="1"/>
    <x v="2"/>
    <s v="2973 J"/>
    <x v="23"/>
    <s v="رمادا لانڈری بیگ"/>
    <s v="LDM"/>
    <n v="18"/>
    <s v="12-13"/>
    <s v="ABA پیور"/>
    <n v="100"/>
    <x v="0"/>
    <n v="2"/>
    <n v="111.2"/>
    <n v="4.2"/>
    <n v="82"/>
    <x v="0"/>
    <n v="107"/>
    <m/>
    <m/>
    <x v="0"/>
    <x v="0"/>
    <m/>
    <m/>
    <x v="0"/>
    <x v="0"/>
    <m/>
    <x v="0"/>
    <x v="0"/>
    <x v="0"/>
    <x v="0"/>
    <x v="0"/>
    <m/>
    <m/>
    <m/>
    <m/>
    <x v="0"/>
    <x v="0"/>
    <m/>
    <x v="0"/>
    <m/>
    <x v="0"/>
    <x v="0"/>
    <x v="0"/>
    <x v="0"/>
    <x v="0"/>
  </r>
  <r>
    <x v="1"/>
    <x v="2"/>
    <s v="2964 J"/>
    <x v="23"/>
    <s v="وارننگ لفافہ"/>
    <s v="LDN"/>
    <n v="16"/>
    <s v="-"/>
    <s v="پیور"/>
    <n v="100"/>
    <x v="0"/>
    <n v="3"/>
    <n v="76.599999999999994"/>
    <n v="5.6999999999999993"/>
    <m/>
    <x v="0"/>
    <n v="70.899999999999991"/>
    <m/>
    <m/>
    <x v="0"/>
    <x v="0"/>
    <m/>
    <m/>
    <x v="0"/>
    <x v="0"/>
    <m/>
    <x v="0"/>
    <x v="0"/>
    <x v="0"/>
    <x v="0"/>
    <x v="0"/>
    <m/>
    <m/>
    <m/>
    <m/>
    <x v="0"/>
    <x v="0"/>
    <m/>
    <x v="0"/>
    <m/>
    <x v="0"/>
    <x v="0"/>
    <x v="0"/>
    <x v="0"/>
    <x v="0"/>
  </r>
  <r>
    <x v="0"/>
    <x v="3"/>
    <n v="2756"/>
    <x v="23"/>
    <s v="MATCO FOOD"/>
    <s v="LDN"/>
    <n v="23"/>
    <s v="70 G"/>
    <s v="SL"/>
    <n v="7000"/>
    <x v="0"/>
    <n v="3"/>
    <n v="416.79999999999995"/>
    <n v="8.6999999999999993"/>
    <n v="9"/>
    <x v="0"/>
    <n v="408.09999999999997"/>
    <m/>
    <m/>
    <x v="0"/>
    <x v="0"/>
    <m/>
    <m/>
    <x v="0"/>
    <x v="0"/>
    <m/>
    <x v="0"/>
    <x v="0"/>
    <x v="0"/>
    <x v="0"/>
    <x v="0"/>
    <m/>
    <m/>
    <m/>
    <m/>
    <x v="0"/>
    <x v="0"/>
    <m/>
    <x v="0"/>
    <m/>
    <x v="0"/>
    <x v="0"/>
    <x v="0"/>
    <x v="0"/>
    <x v="0"/>
  </r>
  <r>
    <x v="1"/>
    <x v="3"/>
    <s v="1755 F"/>
    <x v="23"/>
    <s v="سادہ لفافہ"/>
    <s v="LDN"/>
    <n v="17"/>
    <s v="12"/>
    <s v="پیور"/>
    <n v="750"/>
    <x v="0"/>
    <n v="6"/>
    <n v="341.79999999999995"/>
    <n v="12"/>
    <m/>
    <x v="0"/>
    <n v="329.79999999999995"/>
    <m/>
    <m/>
    <x v="0"/>
    <x v="0"/>
    <m/>
    <m/>
    <x v="0"/>
    <x v="0"/>
    <m/>
    <x v="0"/>
    <x v="0"/>
    <x v="0"/>
    <x v="0"/>
    <x v="0"/>
    <m/>
    <m/>
    <m/>
    <m/>
    <x v="0"/>
    <x v="0"/>
    <m/>
    <x v="0"/>
    <m/>
    <x v="0"/>
    <x v="0"/>
    <x v="0"/>
    <x v="0"/>
    <x v="0"/>
  </r>
  <r>
    <x v="0"/>
    <x v="4"/>
    <s v="2965 J"/>
    <x v="23"/>
    <s v="ڈسکاؤنٹ سٹور(نیو ڈیزائن)"/>
    <s v="LDM"/>
    <n v="14.5"/>
    <s v="12.5-13"/>
    <s v="ABA پیور"/>
    <n v="200"/>
    <x v="0"/>
    <n v="1"/>
    <n v="51.6"/>
    <n v="1.4"/>
    <n v="60"/>
    <x v="0"/>
    <n v="50.2"/>
    <m/>
    <m/>
    <x v="0"/>
    <x v="0"/>
    <m/>
    <m/>
    <x v="0"/>
    <x v="0"/>
    <m/>
    <x v="0"/>
    <x v="0"/>
    <x v="0"/>
    <x v="0"/>
    <x v="0"/>
    <m/>
    <m/>
    <m/>
    <m/>
    <x v="0"/>
    <x v="0"/>
    <m/>
    <x v="0"/>
    <m/>
    <x v="0"/>
    <x v="0"/>
    <x v="0"/>
    <x v="0"/>
    <x v="0"/>
  </r>
  <r>
    <x v="0"/>
    <x v="4"/>
    <s v="1739 F"/>
    <x v="23"/>
    <s v="ROSSAINI وارینگ"/>
    <s v="LDN"/>
    <n v="26"/>
    <s v="7-7.5"/>
    <s v="پیور"/>
    <n v="220"/>
    <x v="0"/>
    <n v="5"/>
    <n v="267.40000000000003"/>
    <n v="17.399999999999999"/>
    <m/>
    <x v="0"/>
    <n v="250.00000000000003"/>
    <m/>
    <m/>
    <x v="0"/>
    <x v="0"/>
    <m/>
    <m/>
    <x v="0"/>
    <x v="0"/>
    <m/>
    <x v="0"/>
    <x v="0"/>
    <x v="0"/>
    <x v="0"/>
    <x v="0"/>
    <m/>
    <m/>
    <m/>
    <m/>
    <x v="0"/>
    <x v="0"/>
    <m/>
    <x v="0"/>
    <m/>
    <x v="0"/>
    <x v="0"/>
    <x v="0"/>
    <x v="0"/>
    <x v="0"/>
  </r>
  <r>
    <x v="0"/>
    <x v="4"/>
    <s v="2994 J"/>
    <x v="23"/>
    <s v="بولان ملکی بریڈ"/>
    <s v="LDN"/>
    <s v="30 شیٹ"/>
    <s v="4-4.5/8-9"/>
    <s v="پیور"/>
    <n v="100"/>
    <x v="0"/>
    <n v="2"/>
    <n v="96.4"/>
    <n v="8"/>
    <m/>
    <x v="0"/>
    <n v="88.4"/>
    <m/>
    <m/>
    <x v="0"/>
    <x v="0"/>
    <m/>
    <m/>
    <x v="0"/>
    <x v="0"/>
    <m/>
    <x v="0"/>
    <x v="0"/>
    <x v="0"/>
    <x v="0"/>
    <x v="0"/>
    <m/>
    <m/>
    <m/>
    <m/>
    <x v="0"/>
    <x v="0"/>
    <m/>
    <x v="0"/>
    <m/>
    <x v="0"/>
    <x v="0"/>
    <x v="0"/>
    <x v="0"/>
    <x v="0"/>
  </r>
  <r>
    <x v="0"/>
    <x v="4"/>
    <s v="PAKING"/>
    <x v="23"/>
    <s v="-"/>
    <s v="-"/>
    <s v="-"/>
    <s v="-"/>
    <s v="-"/>
    <s v="-"/>
    <x v="0"/>
    <n v="1"/>
    <n v="48.6"/>
    <n v="3.8"/>
    <m/>
    <x v="0"/>
    <n v="44.800000000000004"/>
    <m/>
    <m/>
    <x v="0"/>
    <x v="0"/>
    <m/>
    <m/>
    <x v="0"/>
    <x v="0"/>
    <m/>
    <x v="0"/>
    <x v="0"/>
    <x v="0"/>
    <x v="0"/>
    <x v="0"/>
    <m/>
    <m/>
    <m/>
    <m/>
    <x v="0"/>
    <x v="0"/>
    <m/>
    <x v="0"/>
    <m/>
    <x v="0"/>
    <x v="0"/>
    <x v="0"/>
    <x v="0"/>
    <x v="0"/>
  </r>
  <r>
    <x v="0"/>
    <x v="4"/>
    <s v="1763 F"/>
    <x v="23"/>
    <s v="ڈبل ٹریٹ بریڈ شیٹ"/>
    <s v="LDN"/>
    <s v="27شیٹ"/>
    <s v="3.5.4/7.8"/>
    <s v="پیور"/>
    <n v="400"/>
    <x v="0"/>
    <n v="2"/>
    <n v="89.4"/>
    <n v="7.2"/>
    <m/>
    <x v="0"/>
    <n v="82.2"/>
    <m/>
    <m/>
    <x v="0"/>
    <x v="0"/>
    <m/>
    <m/>
    <x v="0"/>
    <x v="0"/>
    <m/>
    <x v="0"/>
    <x v="0"/>
    <x v="0"/>
    <x v="0"/>
    <x v="0"/>
    <m/>
    <m/>
    <m/>
    <m/>
    <x v="0"/>
    <x v="0"/>
    <m/>
    <x v="0"/>
    <m/>
    <x v="0"/>
    <x v="0"/>
    <x v="0"/>
    <x v="0"/>
    <x v="0"/>
  </r>
  <r>
    <x v="1"/>
    <x v="4"/>
    <s v="1763 F"/>
    <x v="23"/>
    <s v="ڈبل ٹریٹ بریڈ شیٹ"/>
    <s v="LDN"/>
    <s v="27شیٹ"/>
    <s v="3.5.4/7.8"/>
    <s v="پیور"/>
    <n v="400"/>
    <x v="0"/>
    <n v="6"/>
    <n v="337.8"/>
    <n v="20.399999999999999"/>
    <n v="11.4"/>
    <x v="0"/>
    <n v="317.40000000000003"/>
    <m/>
    <m/>
    <x v="0"/>
    <x v="0"/>
    <m/>
    <m/>
    <x v="0"/>
    <x v="0"/>
    <m/>
    <x v="0"/>
    <x v="0"/>
    <x v="0"/>
    <x v="0"/>
    <x v="0"/>
    <m/>
    <m/>
    <m/>
    <m/>
    <x v="0"/>
    <x v="0"/>
    <m/>
    <x v="0"/>
    <m/>
    <x v="0"/>
    <x v="0"/>
    <x v="0"/>
    <x v="0"/>
    <x v="0"/>
  </r>
  <r>
    <x v="1"/>
    <x v="4"/>
    <s v="2942 J"/>
    <x v="23"/>
    <s v="گولڈن ایکرالک1 کلو گرام"/>
    <s v="LDN"/>
    <s v="510 MM"/>
    <s v="15-16/30-32"/>
    <s v="پیور"/>
    <n v="400"/>
    <x v="0"/>
    <n v="2"/>
    <n v="209.2"/>
    <n v="4.8"/>
    <m/>
    <x v="0"/>
    <n v="204.39999999999998"/>
    <m/>
    <m/>
    <x v="0"/>
    <x v="0"/>
    <m/>
    <m/>
    <x v="0"/>
    <x v="0"/>
    <m/>
    <x v="0"/>
    <x v="0"/>
    <x v="0"/>
    <x v="0"/>
    <x v="0"/>
    <m/>
    <m/>
    <m/>
    <m/>
    <x v="0"/>
    <x v="0"/>
    <m/>
    <x v="0"/>
    <m/>
    <x v="0"/>
    <x v="0"/>
    <x v="0"/>
    <x v="0"/>
    <x v="0"/>
  </r>
  <r>
    <x v="0"/>
    <x v="5"/>
    <s v="1751 F"/>
    <x v="23"/>
    <s v="STANCE وارینگ"/>
    <s v="LDN"/>
    <n v="21"/>
    <s v="7.7.5"/>
    <s v="پیور"/>
    <n v="410"/>
    <x v="0"/>
    <n v="3"/>
    <n v="135"/>
    <n v="7.6"/>
    <m/>
    <x v="0"/>
    <n v="127.4"/>
    <m/>
    <m/>
    <x v="0"/>
    <x v="0"/>
    <m/>
    <m/>
    <x v="0"/>
    <x v="0"/>
    <m/>
    <x v="0"/>
    <x v="0"/>
    <x v="0"/>
    <x v="0"/>
    <x v="0"/>
    <m/>
    <m/>
    <m/>
    <m/>
    <x v="0"/>
    <x v="0"/>
    <m/>
    <x v="0"/>
    <m/>
    <x v="0"/>
    <x v="0"/>
    <x v="0"/>
    <x v="0"/>
    <x v="0"/>
  </r>
  <r>
    <x v="0"/>
    <x v="5"/>
    <s v="1744 F"/>
    <x v="23"/>
    <s v="ڈبل ٹریٹ  رول"/>
    <s v="LDN"/>
    <n v="21"/>
    <s v="6-6.5"/>
    <s v="پیور"/>
    <n v="300"/>
    <x v="0"/>
    <n v="5"/>
    <n v="248.1"/>
    <n v="12.4"/>
    <m/>
    <x v="0"/>
    <n v="235.7"/>
    <m/>
    <m/>
    <x v="0"/>
    <x v="0"/>
    <m/>
    <m/>
    <x v="0"/>
    <x v="0"/>
    <m/>
    <x v="0"/>
    <x v="0"/>
    <x v="0"/>
    <x v="0"/>
    <x v="0"/>
    <m/>
    <m/>
    <m/>
    <m/>
    <x v="0"/>
    <x v="0"/>
    <m/>
    <x v="0"/>
    <m/>
    <x v="0"/>
    <x v="0"/>
    <x v="0"/>
    <x v="0"/>
    <x v="0"/>
  </r>
  <r>
    <x v="1"/>
    <x v="5"/>
    <s v="1744 F"/>
    <x v="23"/>
    <s v="ڈبل ٹریٹ  رول"/>
    <s v="LDN"/>
    <n v="21"/>
    <s v="6-6.5"/>
    <s v="پیور"/>
    <n v="300"/>
    <x v="0"/>
    <n v="1"/>
    <n v="57.6"/>
    <n v="2.8"/>
    <n v="3.2"/>
    <x v="0"/>
    <n v="54.800000000000004"/>
    <m/>
    <m/>
    <x v="0"/>
    <x v="0"/>
    <m/>
    <m/>
    <x v="0"/>
    <x v="0"/>
    <m/>
    <x v="0"/>
    <x v="0"/>
    <x v="0"/>
    <x v="0"/>
    <x v="0"/>
    <m/>
    <m/>
    <m/>
    <m/>
    <x v="0"/>
    <x v="0"/>
    <m/>
    <x v="0"/>
    <m/>
    <x v="0"/>
    <x v="0"/>
    <x v="0"/>
    <x v="0"/>
    <x v="0"/>
  </r>
  <r>
    <x v="1"/>
    <x v="5"/>
    <s v="1760 F"/>
    <x v="23"/>
    <s v="STANCE وارینگ"/>
    <s v="LDN"/>
    <n v="21"/>
    <s v="7.7.5"/>
    <s v="پیور"/>
    <n v="190"/>
    <x v="0"/>
    <n v="4"/>
    <n v="204.82"/>
    <n v="10.4"/>
    <m/>
    <x v="0"/>
    <n v="194.42"/>
    <m/>
    <m/>
    <x v="0"/>
    <x v="0"/>
    <m/>
    <m/>
    <x v="0"/>
    <x v="0"/>
    <m/>
    <x v="0"/>
    <x v="0"/>
    <x v="0"/>
    <x v="0"/>
    <x v="0"/>
    <m/>
    <m/>
    <m/>
    <m/>
    <x v="0"/>
    <x v="0"/>
    <m/>
    <x v="0"/>
    <m/>
    <x v="0"/>
    <x v="0"/>
    <x v="0"/>
    <x v="0"/>
    <x v="0"/>
  </r>
  <r>
    <x v="1"/>
    <x v="5"/>
    <s v="1761 F"/>
    <x v="23"/>
    <s v="STANCE وارینگ"/>
    <s v="LDN"/>
    <n v="16"/>
    <s v="7.7.5"/>
    <s v="پیور"/>
    <n v="180"/>
    <x v="0"/>
    <n v="2"/>
    <n v="75.47999999999999"/>
    <n v="4"/>
    <m/>
    <x v="0"/>
    <n v="71.47999999999999"/>
    <m/>
    <m/>
    <x v="0"/>
    <x v="0"/>
    <m/>
    <m/>
    <x v="0"/>
    <x v="0"/>
    <m/>
    <x v="0"/>
    <x v="0"/>
    <x v="0"/>
    <x v="0"/>
    <x v="0"/>
    <m/>
    <m/>
    <m/>
    <m/>
    <x v="0"/>
    <x v="0"/>
    <m/>
    <x v="0"/>
    <m/>
    <x v="0"/>
    <x v="0"/>
    <x v="0"/>
    <x v="0"/>
    <x v="0"/>
  </r>
  <r>
    <x v="0"/>
    <x v="0"/>
    <s v="2878 J"/>
    <x v="24"/>
    <s v="گولڈا ایلومینیم"/>
    <s v="LDN"/>
    <n v="5"/>
    <n v="10"/>
    <s v="پیور"/>
    <n v="120"/>
    <x v="0"/>
    <n v="2"/>
    <n v="77.599999999999994"/>
    <n v="1.2000000000000002"/>
    <n v="4"/>
    <x v="0"/>
    <n v="76.399999999999991"/>
    <m/>
    <m/>
    <x v="0"/>
    <x v="0"/>
    <m/>
    <m/>
    <x v="0"/>
    <x v="0"/>
    <m/>
    <x v="0"/>
    <x v="0"/>
    <x v="0"/>
    <x v="0"/>
    <x v="0"/>
    <m/>
    <m/>
    <m/>
    <m/>
    <x v="0"/>
    <x v="0"/>
    <m/>
    <x v="0"/>
    <m/>
    <x v="0"/>
    <x v="0"/>
    <x v="0"/>
    <x v="0"/>
    <x v="0"/>
  </r>
  <r>
    <x v="1"/>
    <x v="0"/>
    <s v="2897 J"/>
    <x v="24"/>
    <s v="سمارٹ فوڈ لوگو"/>
    <s v="LDN"/>
    <n v="5"/>
    <s v="12-12.5"/>
    <s v="پیور"/>
    <n v="100"/>
    <x v="0"/>
    <n v="3"/>
    <n v="99.800000000000011"/>
    <n v="2.0999999999999996"/>
    <m/>
    <x v="0"/>
    <n v="97.700000000000017"/>
    <m/>
    <m/>
    <x v="0"/>
    <x v="0"/>
    <m/>
    <m/>
    <x v="0"/>
    <x v="0"/>
    <m/>
    <x v="0"/>
    <x v="0"/>
    <x v="0"/>
    <x v="0"/>
    <x v="0"/>
    <m/>
    <m/>
    <m/>
    <m/>
    <x v="0"/>
    <x v="0"/>
    <m/>
    <x v="0"/>
    <m/>
    <x v="0"/>
    <x v="0"/>
    <x v="0"/>
    <x v="0"/>
    <x v="0"/>
  </r>
  <r>
    <x v="1"/>
    <x v="0"/>
    <s v="2823 J"/>
    <x v="24"/>
    <s v="شاہ جی اچار  "/>
    <s v="LDN"/>
    <n v="5"/>
    <s v="12-12.5"/>
    <s v="پیور"/>
    <n v="200"/>
    <x v="0"/>
    <n v="2"/>
    <n v="59.8"/>
    <n v="1.1000000000000001"/>
    <m/>
    <x v="0"/>
    <n v="58.699999999999996"/>
    <m/>
    <m/>
    <x v="0"/>
    <x v="0"/>
    <m/>
    <m/>
    <x v="0"/>
    <x v="0"/>
    <m/>
    <x v="0"/>
    <x v="0"/>
    <x v="0"/>
    <x v="0"/>
    <x v="0"/>
    <m/>
    <m/>
    <m/>
    <m/>
    <x v="0"/>
    <x v="0"/>
    <m/>
    <x v="0"/>
    <m/>
    <x v="0"/>
    <x v="0"/>
    <x v="0"/>
    <x v="0"/>
    <x v="0"/>
  </r>
  <r>
    <x v="0"/>
    <x v="2"/>
    <s v="2964 J"/>
    <x v="24"/>
    <s v="وارننگ لفافہ"/>
    <s v="LDN"/>
    <n v="16"/>
    <s v="-"/>
    <s v="پیور"/>
    <n v="100"/>
    <x v="0"/>
    <n v="1"/>
    <n v="26.4"/>
    <n v="1.9"/>
    <n v="60"/>
    <x v="0"/>
    <n v="24.5"/>
    <m/>
    <m/>
    <x v="0"/>
    <x v="0"/>
    <m/>
    <m/>
    <x v="0"/>
    <x v="0"/>
    <m/>
    <x v="0"/>
    <x v="0"/>
    <x v="0"/>
    <x v="0"/>
    <x v="0"/>
    <m/>
    <m/>
    <m/>
    <m/>
    <x v="0"/>
    <x v="0"/>
    <m/>
    <x v="0"/>
    <m/>
    <x v="0"/>
    <x v="0"/>
    <x v="0"/>
    <x v="0"/>
    <x v="0"/>
  </r>
  <r>
    <x v="0"/>
    <x v="2"/>
    <s v="2992 J"/>
    <x v="24"/>
    <s v="بولان لفافہ"/>
    <s v="LDN"/>
    <n v="11"/>
    <s v="6-6.5"/>
    <s v="پیور"/>
    <n v="100"/>
    <x v="0"/>
    <n v="2"/>
    <n v="62.8"/>
    <n v="2.6"/>
    <m/>
    <x v="0"/>
    <n v="60.199999999999996"/>
    <m/>
    <m/>
    <x v="0"/>
    <x v="0"/>
    <m/>
    <m/>
    <x v="0"/>
    <x v="0"/>
    <m/>
    <x v="0"/>
    <x v="0"/>
    <x v="0"/>
    <x v="0"/>
    <x v="0"/>
    <m/>
    <m/>
    <m/>
    <m/>
    <x v="0"/>
    <x v="0"/>
    <m/>
    <x v="0"/>
    <m/>
    <x v="0"/>
    <x v="0"/>
    <x v="0"/>
    <x v="0"/>
    <x v="0"/>
  </r>
  <r>
    <x v="0"/>
    <x v="2"/>
    <s v="SAMPLE"/>
    <x v="24"/>
    <s v="-"/>
    <s v="-"/>
    <s v="-"/>
    <s v="-"/>
    <s v="-"/>
    <s v="-"/>
    <x v="0"/>
    <n v="2"/>
    <n v="99.2"/>
    <n v="3.7"/>
    <m/>
    <x v="0"/>
    <n v="95.5"/>
    <m/>
    <m/>
    <x v="0"/>
    <x v="0"/>
    <m/>
    <m/>
    <x v="0"/>
    <x v="0"/>
    <m/>
    <x v="0"/>
    <x v="0"/>
    <x v="0"/>
    <x v="0"/>
    <x v="0"/>
    <m/>
    <m/>
    <m/>
    <m/>
    <x v="0"/>
    <x v="0"/>
    <m/>
    <x v="0"/>
    <m/>
    <x v="0"/>
    <x v="0"/>
    <x v="0"/>
    <x v="0"/>
    <x v="0"/>
  </r>
  <r>
    <x v="1"/>
    <x v="2"/>
    <s v="2896 J"/>
    <x v="24"/>
    <s v="سمارٹ فوڈ 1 کلو گرام"/>
    <s v="LDN"/>
    <n v="7"/>
    <s v="14"/>
    <s v="پیور"/>
    <n v="200"/>
    <x v="0"/>
    <n v="4"/>
    <n v="163"/>
    <n v="3.6"/>
    <m/>
    <x v="0"/>
    <n v="159.4"/>
    <m/>
    <m/>
    <x v="0"/>
    <x v="0"/>
    <m/>
    <m/>
    <x v="0"/>
    <x v="0"/>
    <m/>
    <x v="0"/>
    <x v="0"/>
    <x v="0"/>
    <x v="0"/>
    <x v="0"/>
    <m/>
    <m/>
    <m/>
    <m/>
    <x v="0"/>
    <x v="0"/>
    <m/>
    <x v="0"/>
    <m/>
    <x v="0"/>
    <x v="0"/>
    <x v="0"/>
    <x v="0"/>
    <x v="0"/>
  </r>
  <r>
    <x v="0"/>
    <x v="3"/>
    <s v="1755 F"/>
    <x v="24"/>
    <s v="سادہ لفافہ"/>
    <s v="LDN"/>
    <n v="17"/>
    <s v="12"/>
    <s v="پیور"/>
    <n v="750"/>
    <x v="0"/>
    <n v="5"/>
    <n v="288"/>
    <n v="10.5"/>
    <m/>
    <x v="0"/>
    <n v="277.5"/>
    <m/>
    <m/>
    <x v="0"/>
    <x v="0"/>
    <m/>
    <m/>
    <x v="0"/>
    <x v="0"/>
    <m/>
    <x v="0"/>
    <x v="0"/>
    <x v="0"/>
    <x v="0"/>
    <x v="0"/>
    <m/>
    <m/>
    <m/>
    <m/>
    <x v="0"/>
    <x v="0"/>
    <m/>
    <x v="0"/>
    <m/>
    <x v="0"/>
    <x v="0"/>
    <x v="0"/>
    <x v="0"/>
    <x v="0"/>
  </r>
  <r>
    <x v="1"/>
    <x v="3"/>
    <s v="1755 F"/>
    <x v="24"/>
    <s v="سادہ لفافہ"/>
    <s v="LDN"/>
    <n v="17"/>
    <s v="12"/>
    <s v="پیور"/>
    <n v="750"/>
    <x v="0"/>
    <n v="2"/>
    <n v="147.19999999999999"/>
    <n v="3.0999999999999996"/>
    <n v="14"/>
    <x v="0"/>
    <n v="144.1"/>
    <m/>
    <m/>
    <x v="0"/>
    <x v="0"/>
    <m/>
    <m/>
    <x v="0"/>
    <x v="0"/>
    <m/>
    <x v="0"/>
    <x v="0"/>
    <x v="0"/>
    <x v="0"/>
    <x v="0"/>
    <m/>
    <m/>
    <m/>
    <m/>
    <x v="0"/>
    <x v="0"/>
    <m/>
    <x v="0"/>
    <m/>
    <x v="0"/>
    <x v="0"/>
    <x v="0"/>
    <x v="0"/>
    <x v="0"/>
  </r>
  <r>
    <x v="1"/>
    <x v="3"/>
    <n v="2761"/>
    <x v="24"/>
    <s v="HONDA ATLAS (CARS) LTD"/>
    <s v="LDN"/>
    <n v="32"/>
    <s v="12_13"/>
    <s v="SL"/>
    <n v="350"/>
    <x v="0"/>
    <n v="2"/>
    <n v="184.4"/>
    <n v="8.8000000000000007"/>
    <m/>
    <x v="0"/>
    <n v="175.6"/>
    <m/>
    <m/>
    <x v="0"/>
    <x v="0"/>
    <m/>
    <m/>
    <x v="0"/>
    <x v="0"/>
    <m/>
    <x v="0"/>
    <x v="0"/>
    <x v="0"/>
    <x v="0"/>
    <x v="0"/>
    <m/>
    <m/>
    <m/>
    <m/>
    <x v="0"/>
    <x v="0"/>
    <m/>
    <x v="0"/>
    <m/>
    <x v="0"/>
    <x v="0"/>
    <x v="0"/>
    <x v="0"/>
    <x v="0"/>
  </r>
  <r>
    <x v="0"/>
    <x v="4"/>
    <s v="2947 J"/>
    <x v="24"/>
    <s v="وائیٹ گولڈ 1/2 گرام"/>
    <s v="LDN"/>
    <s v="510 MM"/>
    <s v="15-16/30-32"/>
    <s v="پیور"/>
    <n v="500"/>
    <x v="0"/>
    <n v="5"/>
    <n v="485.4"/>
    <n v="12"/>
    <n v="8"/>
    <x v="0"/>
    <n v="473.4"/>
    <m/>
    <m/>
    <x v="0"/>
    <x v="0"/>
    <m/>
    <m/>
    <x v="0"/>
    <x v="0"/>
    <m/>
    <x v="0"/>
    <x v="0"/>
    <x v="0"/>
    <x v="0"/>
    <x v="0"/>
    <m/>
    <m/>
    <m/>
    <m/>
    <x v="0"/>
    <x v="0"/>
    <m/>
    <x v="0"/>
    <m/>
    <x v="0"/>
    <x v="0"/>
    <x v="0"/>
    <x v="0"/>
    <x v="0"/>
  </r>
  <r>
    <x v="0"/>
    <x v="4"/>
    <s v="2908 J"/>
    <x v="24"/>
    <s v="گوریلا گولڈ گلو 1کلو گرام"/>
    <s v="LDN"/>
    <s v="525 MM"/>
    <s v="15-16/30-32"/>
    <s v="پیور"/>
    <n v="100"/>
    <x v="0"/>
    <n v="2"/>
    <n v="95.4"/>
    <n v="4.8"/>
    <m/>
    <x v="0"/>
    <n v="90.600000000000009"/>
    <m/>
    <m/>
    <x v="0"/>
    <x v="0"/>
    <m/>
    <m/>
    <x v="0"/>
    <x v="0"/>
    <m/>
    <x v="0"/>
    <x v="0"/>
    <x v="0"/>
    <x v="0"/>
    <x v="0"/>
    <m/>
    <m/>
    <m/>
    <m/>
    <x v="0"/>
    <x v="0"/>
    <m/>
    <x v="0"/>
    <m/>
    <x v="0"/>
    <x v="0"/>
    <x v="0"/>
    <x v="0"/>
    <x v="0"/>
  </r>
  <r>
    <x v="0"/>
    <x v="4"/>
    <s v="2949 J"/>
    <x v="24"/>
    <s v="سیٖفٹی مارگلہ +فیوز برانڈ"/>
    <s v="LDN"/>
    <n v="18"/>
    <s v="20-21"/>
    <s v="پیور"/>
    <n v="300"/>
    <x v="0"/>
    <n v="1"/>
    <n v="48.2"/>
    <n v="2.4"/>
    <m/>
    <x v="0"/>
    <n v="45.800000000000004"/>
    <m/>
    <m/>
    <x v="0"/>
    <x v="0"/>
    <m/>
    <m/>
    <x v="0"/>
    <x v="0"/>
    <m/>
    <x v="0"/>
    <x v="0"/>
    <x v="0"/>
    <x v="0"/>
    <x v="0"/>
    <m/>
    <m/>
    <m/>
    <m/>
    <x v="0"/>
    <x v="0"/>
    <m/>
    <x v="0"/>
    <m/>
    <x v="0"/>
    <x v="0"/>
    <x v="0"/>
    <x v="0"/>
    <x v="0"/>
  </r>
  <r>
    <x v="1"/>
    <x v="4"/>
    <s v="2946 J"/>
    <x v="24"/>
    <s v="وائیٹ گولڈ 1 کلو گرام"/>
    <s v="LDN"/>
    <s v="510 MM"/>
    <s v="15-16/30-32"/>
    <s v="پیور"/>
    <n v="400"/>
    <x v="0"/>
    <n v="3"/>
    <n v="305.60000000000002"/>
    <n v="7.1999999999999993"/>
    <m/>
    <x v="0"/>
    <n v="298.40000000000003"/>
    <m/>
    <m/>
    <x v="0"/>
    <x v="0"/>
    <m/>
    <m/>
    <x v="0"/>
    <x v="0"/>
    <m/>
    <x v="0"/>
    <x v="0"/>
    <x v="0"/>
    <x v="0"/>
    <x v="0"/>
    <m/>
    <m/>
    <m/>
    <m/>
    <x v="0"/>
    <x v="0"/>
    <m/>
    <x v="0"/>
    <m/>
    <x v="0"/>
    <x v="0"/>
    <x v="0"/>
    <x v="0"/>
    <x v="0"/>
  </r>
  <r>
    <x v="1"/>
    <x v="4"/>
    <s v="2944 J"/>
    <x v="24"/>
    <s v="یونیورسل 1 کلو گرام"/>
    <s v="LDN"/>
    <s v="510 MM"/>
    <s v="15-16/30-32"/>
    <s v="پیور"/>
    <n v="300"/>
    <x v="0"/>
    <n v="1"/>
    <n v="71.2"/>
    <n v="2.6"/>
    <m/>
    <x v="0"/>
    <n v="68.600000000000009"/>
    <m/>
    <m/>
    <x v="0"/>
    <x v="0"/>
    <m/>
    <m/>
    <x v="0"/>
    <x v="0"/>
    <m/>
    <x v="0"/>
    <x v="0"/>
    <x v="0"/>
    <x v="0"/>
    <x v="0"/>
    <m/>
    <m/>
    <m/>
    <m/>
    <x v="0"/>
    <x v="0"/>
    <m/>
    <x v="0"/>
    <m/>
    <x v="0"/>
    <x v="0"/>
    <x v="0"/>
    <x v="0"/>
    <x v="0"/>
  </r>
  <r>
    <x v="1"/>
    <x v="4"/>
    <s v="2866 J"/>
    <x v="24"/>
    <s v="MTB سپورٹس"/>
    <s v="LDM"/>
    <s v="428 MM"/>
    <s v="-"/>
    <s v="ABA تھینکیو"/>
    <n v="300"/>
    <x v="0"/>
    <n v="1"/>
    <n v="103.8"/>
    <n v="2.4"/>
    <m/>
    <x v="0"/>
    <n v="101.39999999999999"/>
    <m/>
    <m/>
    <x v="0"/>
    <x v="0"/>
    <m/>
    <m/>
    <x v="0"/>
    <x v="0"/>
    <m/>
    <x v="0"/>
    <x v="0"/>
    <x v="0"/>
    <x v="0"/>
    <x v="0"/>
    <m/>
    <m/>
    <m/>
    <m/>
    <x v="0"/>
    <x v="0"/>
    <m/>
    <x v="0"/>
    <m/>
    <x v="0"/>
    <x v="0"/>
    <x v="0"/>
    <x v="0"/>
    <x v="0"/>
  </r>
  <r>
    <x v="1"/>
    <x v="4"/>
    <s v="2867 J"/>
    <x v="24"/>
    <s v="چوائس لیتھ وائیٹ گلو1/2کلو گرام"/>
    <s v="LDN"/>
    <s v="535 MM"/>
    <s v="15-16/30-32"/>
    <s v="پیور"/>
    <n v="100"/>
    <x v="0"/>
    <n v="1"/>
    <n v="104"/>
    <n v="2.4"/>
    <m/>
    <x v="0"/>
    <n v="101.6"/>
    <m/>
    <m/>
    <x v="0"/>
    <x v="0"/>
    <m/>
    <m/>
    <x v="0"/>
    <x v="0"/>
    <m/>
    <x v="0"/>
    <x v="0"/>
    <x v="0"/>
    <x v="0"/>
    <x v="0"/>
    <m/>
    <m/>
    <m/>
    <m/>
    <x v="0"/>
    <x v="0"/>
    <m/>
    <x v="0"/>
    <m/>
    <x v="0"/>
    <x v="0"/>
    <x v="0"/>
    <x v="0"/>
    <x v="0"/>
  </r>
  <r>
    <x v="0"/>
    <x v="5"/>
    <s v="1761 F"/>
    <x v="24"/>
    <s v="STANCE وارینگ"/>
    <s v="LDN"/>
    <n v="16"/>
    <s v="7.7.5"/>
    <s v="پیور"/>
    <n v="180"/>
    <x v="0"/>
    <n v="2"/>
    <n v="106"/>
    <n v="3.7"/>
    <n v="9"/>
    <x v="0"/>
    <n v="102.3"/>
    <m/>
    <m/>
    <x v="0"/>
    <x v="0"/>
    <m/>
    <m/>
    <x v="0"/>
    <x v="0"/>
    <m/>
    <x v="0"/>
    <x v="0"/>
    <x v="0"/>
    <x v="0"/>
    <x v="0"/>
    <m/>
    <m/>
    <m/>
    <m/>
    <x v="0"/>
    <x v="0"/>
    <m/>
    <x v="0"/>
    <m/>
    <x v="0"/>
    <x v="0"/>
    <x v="0"/>
    <x v="0"/>
    <x v="0"/>
  </r>
  <r>
    <x v="0"/>
    <x v="5"/>
    <s v="1724 F"/>
    <x v="24"/>
    <s v="ERIMA وارننگ"/>
    <s v="LDN"/>
    <n v="17"/>
    <s v="7.5-8"/>
    <s v="جیلانی شیٹ"/>
    <n v="500"/>
    <x v="0"/>
    <n v="4"/>
    <n v="234.9"/>
    <n v="7.8"/>
    <m/>
    <x v="0"/>
    <n v="227.1"/>
    <m/>
    <m/>
    <x v="0"/>
    <x v="0"/>
    <m/>
    <m/>
    <x v="0"/>
    <x v="0"/>
    <m/>
    <x v="0"/>
    <x v="0"/>
    <x v="0"/>
    <x v="0"/>
    <x v="0"/>
    <m/>
    <m/>
    <m/>
    <m/>
    <x v="0"/>
    <x v="0"/>
    <m/>
    <x v="0"/>
    <m/>
    <x v="0"/>
    <x v="0"/>
    <x v="0"/>
    <x v="0"/>
    <x v="0"/>
  </r>
  <r>
    <x v="1"/>
    <x v="5"/>
    <s v="1724 F"/>
    <x v="24"/>
    <s v="ERIMA وارننگ"/>
    <s v="LDN"/>
    <n v="17"/>
    <s v="7.5-8"/>
    <s v="جیلانی شیٹ"/>
    <n v="500"/>
    <x v="0"/>
    <n v="5"/>
    <n v="277.25"/>
    <n v="10"/>
    <n v="11.6"/>
    <x v="0"/>
    <n v="267.25"/>
    <m/>
    <m/>
    <x v="0"/>
    <x v="0"/>
    <m/>
    <m/>
    <x v="0"/>
    <x v="0"/>
    <m/>
    <x v="0"/>
    <x v="0"/>
    <x v="0"/>
    <x v="0"/>
    <x v="0"/>
    <m/>
    <m/>
    <m/>
    <m/>
    <x v="0"/>
    <x v="0"/>
    <m/>
    <x v="0"/>
    <m/>
    <x v="0"/>
    <x v="0"/>
    <x v="0"/>
    <x v="0"/>
    <x v="0"/>
  </r>
  <r>
    <x v="1"/>
    <x v="5"/>
    <s v="1750 F"/>
    <x v="24"/>
    <s v=" MAKNIT واارننگ پرانے"/>
    <s v="LDN"/>
    <n v="18"/>
    <s v="7"/>
    <s v="جیلانی شیٹ"/>
    <n v="98"/>
    <x v="0"/>
    <n v="1"/>
    <n v="51.71"/>
    <n v="2.2999999999999998"/>
    <m/>
    <x v="0"/>
    <n v="49.410000000000004"/>
    <m/>
    <m/>
    <x v="0"/>
    <x v="0"/>
    <m/>
    <m/>
    <x v="0"/>
    <x v="0"/>
    <m/>
    <x v="0"/>
    <x v="0"/>
    <x v="0"/>
    <x v="0"/>
    <x v="0"/>
    <m/>
    <m/>
    <m/>
    <m/>
    <x v="0"/>
    <x v="0"/>
    <m/>
    <x v="0"/>
    <m/>
    <x v="0"/>
    <x v="0"/>
    <x v="0"/>
    <x v="0"/>
    <x v="0"/>
  </r>
  <r>
    <x v="0"/>
    <x v="0"/>
    <s v="2823 J"/>
    <x v="25"/>
    <s v="شاہ جی اچار  "/>
    <s v="LDN"/>
    <n v="5"/>
    <s v="12-12.5"/>
    <s v="پیور"/>
    <n v="200"/>
    <x v="0"/>
    <n v="4"/>
    <n v="123.39999999999999"/>
    <n v="3.0999999999999996"/>
    <n v="16"/>
    <x v="0"/>
    <n v="120.3"/>
    <m/>
    <m/>
    <x v="0"/>
    <x v="0"/>
    <m/>
    <m/>
    <x v="0"/>
    <x v="0"/>
    <m/>
    <x v="0"/>
    <x v="0"/>
    <x v="0"/>
    <x v="0"/>
    <x v="0"/>
    <m/>
    <m/>
    <m/>
    <m/>
    <x v="0"/>
    <x v="0"/>
    <m/>
    <x v="0"/>
    <m/>
    <x v="0"/>
    <x v="0"/>
    <x v="0"/>
    <x v="0"/>
    <x v="0"/>
  </r>
  <r>
    <x v="1"/>
    <x v="0"/>
    <s v="2823 J"/>
    <x v="25"/>
    <s v="شاہ جی اچار  "/>
    <s v="LDN"/>
    <n v="5"/>
    <s v="12-12.5"/>
    <s v="پیور"/>
    <n v="200"/>
    <x v="0"/>
    <n v="2"/>
    <n v="65.099999999999994"/>
    <n v="0.89999999999999991"/>
    <n v="10"/>
    <x v="0"/>
    <n v="64.199999999999989"/>
    <m/>
    <m/>
    <x v="0"/>
    <x v="0"/>
    <m/>
    <m/>
    <x v="0"/>
    <x v="0"/>
    <m/>
    <x v="0"/>
    <x v="0"/>
    <x v="0"/>
    <x v="0"/>
    <x v="0"/>
    <m/>
    <m/>
    <m/>
    <m/>
    <x v="0"/>
    <x v="0"/>
    <m/>
    <x v="0"/>
    <m/>
    <x v="0"/>
    <x v="0"/>
    <x v="0"/>
    <x v="0"/>
    <x v="0"/>
  </r>
  <r>
    <x v="1"/>
    <x v="0"/>
    <s v="2878 J"/>
    <x v="25"/>
    <s v="گولڈا ایلومینیم"/>
    <s v="LDN"/>
    <n v="5"/>
    <n v="10"/>
    <s v="پیور"/>
    <n v="120"/>
    <x v="0"/>
    <n v="2"/>
    <n v="60.1"/>
    <n v="0.2"/>
    <m/>
    <x v="0"/>
    <n v="59.9"/>
    <m/>
    <m/>
    <x v="0"/>
    <x v="0"/>
    <m/>
    <m/>
    <x v="0"/>
    <x v="0"/>
    <m/>
    <x v="0"/>
    <x v="0"/>
    <x v="0"/>
    <x v="0"/>
    <x v="0"/>
    <m/>
    <m/>
    <m/>
    <m/>
    <x v="0"/>
    <x v="0"/>
    <m/>
    <x v="0"/>
    <m/>
    <x v="0"/>
    <x v="0"/>
    <x v="0"/>
    <x v="0"/>
    <x v="0"/>
  </r>
  <r>
    <x v="1"/>
    <x v="0"/>
    <s v="2877 J"/>
    <x v="25"/>
    <s v="گولڈا ایلومینیم"/>
    <s v="LDN"/>
    <n v="4"/>
    <n v="10"/>
    <s v="پیور"/>
    <n v="120"/>
    <x v="0"/>
    <n v="1"/>
    <n v="29"/>
    <n v="0.1"/>
    <m/>
    <x v="0"/>
    <n v="28.9"/>
    <m/>
    <m/>
    <x v="0"/>
    <x v="0"/>
    <m/>
    <m/>
    <x v="0"/>
    <x v="0"/>
    <m/>
    <x v="0"/>
    <x v="0"/>
    <x v="0"/>
    <x v="0"/>
    <x v="0"/>
    <m/>
    <m/>
    <m/>
    <m/>
    <x v="0"/>
    <x v="0"/>
    <m/>
    <x v="0"/>
    <m/>
    <x v="0"/>
    <x v="0"/>
    <x v="0"/>
    <x v="0"/>
    <x v="0"/>
  </r>
  <r>
    <x v="0"/>
    <x v="2"/>
    <s v="2896 J"/>
    <x v="25"/>
    <s v="سمارٹ فوڈ 1 کلو گرام"/>
    <s v="LDN"/>
    <n v="7"/>
    <s v="14"/>
    <s v="پیور"/>
    <n v="200"/>
    <x v="0"/>
    <n v="1"/>
    <n v="46.8"/>
    <n v="0.9"/>
    <n v="7"/>
    <x v="0"/>
    <n v="45.9"/>
    <m/>
    <m/>
    <x v="0"/>
    <x v="0"/>
    <m/>
    <m/>
    <x v="0"/>
    <x v="0"/>
    <m/>
    <x v="0"/>
    <x v="0"/>
    <x v="0"/>
    <x v="0"/>
    <x v="0"/>
    <m/>
    <m/>
    <m/>
    <m/>
    <x v="0"/>
    <x v="0"/>
    <m/>
    <x v="0"/>
    <m/>
    <x v="0"/>
    <x v="0"/>
    <x v="0"/>
    <x v="0"/>
    <x v="0"/>
  </r>
  <r>
    <x v="0"/>
    <x v="2"/>
    <s v="2895 J"/>
    <x v="25"/>
    <s v="سمارٹ فوڈ 500گرام"/>
    <s v="LDN"/>
    <n v="6"/>
    <s v="14"/>
    <s v="پیور"/>
    <n v="150"/>
    <x v="0"/>
    <n v="3"/>
    <n v="122"/>
    <n v="2.2999999999999998"/>
    <m/>
    <x v="0"/>
    <n v="119.7"/>
    <m/>
    <m/>
    <x v="0"/>
    <x v="0"/>
    <m/>
    <m/>
    <x v="0"/>
    <x v="0"/>
    <m/>
    <x v="0"/>
    <x v="0"/>
    <x v="0"/>
    <x v="0"/>
    <x v="0"/>
    <m/>
    <m/>
    <m/>
    <m/>
    <x v="0"/>
    <x v="0"/>
    <m/>
    <x v="0"/>
    <m/>
    <x v="0"/>
    <x v="0"/>
    <x v="0"/>
    <x v="0"/>
    <x v="0"/>
  </r>
  <r>
    <x v="1"/>
    <x v="2"/>
    <s v="2995 J"/>
    <x v="25"/>
    <s v="صابر سویٹس اینڈ بیکرز"/>
    <s v="HDM"/>
    <s v="12+3+3"/>
    <s v="7.5-8/15-16"/>
    <s v="جیلانی"/>
    <n v="110"/>
    <x v="0"/>
    <n v="1"/>
    <n v="34"/>
    <n v="0.8"/>
    <n v="25"/>
    <x v="0"/>
    <n v="33.200000000000003"/>
    <m/>
    <m/>
    <x v="0"/>
    <x v="0"/>
    <m/>
    <m/>
    <x v="0"/>
    <x v="0"/>
    <m/>
    <x v="0"/>
    <x v="0"/>
    <x v="0"/>
    <x v="0"/>
    <x v="0"/>
    <m/>
    <m/>
    <m/>
    <m/>
    <x v="0"/>
    <x v="0"/>
    <m/>
    <x v="0"/>
    <m/>
    <x v="0"/>
    <x v="0"/>
    <x v="0"/>
    <x v="0"/>
    <x v="0"/>
  </r>
  <r>
    <x v="1"/>
    <x v="2"/>
    <s v="2883 J"/>
    <x v="25"/>
    <s v="یو ایس میٹل گولڈ"/>
    <s v="LDN"/>
    <n v="6"/>
    <n v="10"/>
    <s v="پیور"/>
    <n v="100"/>
    <x v="0"/>
    <n v="3"/>
    <n v="98.8"/>
    <n v="2.4000000000000004"/>
    <m/>
    <x v="0"/>
    <n v="96.399999999999991"/>
    <m/>
    <m/>
    <x v="0"/>
    <x v="0"/>
    <m/>
    <m/>
    <x v="0"/>
    <x v="0"/>
    <m/>
    <x v="0"/>
    <x v="0"/>
    <x v="0"/>
    <x v="0"/>
    <x v="0"/>
    <m/>
    <m/>
    <m/>
    <m/>
    <x v="0"/>
    <x v="0"/>
    <m/>
    <x v="0"/>
    <m/>
    <x v="0"/>
    <x v="0"/>
    <x v="0"/>
    <x v="0"/>
    <x v="0"/>
  </r>
  <r>
    <x v="1"/>
    <x v="2"/>
    <s v="9531 A"/>
    <x v="25"/>
    <s v="سادہ رول جیلانی پولی سٹاک"/>
    <s v="LDN"/>
    <s v="26 شیٹ"/>
    <s v="8-8.5/16-17"/>
    <s v="پیور"/>
    <n v="2000"/>
    <x v="0"/>
    <n v="2"/>
    <n v="159.6"/>
    <n v="6.2"/>
    <m/>
    <x v="0"/>
    <n v="153.4"/>
    <m/>
    <m/>
    <x v="0"/>
    <x v="0"/>
    <m/>
    <m/>
    <x v="0"/>
    <x v="0"/>
    <m/>
    <x v="0"/>
    <x v="0"/>
    <x v="0"/>
    <x v="0"/>
    <x v="0"/>
    <m/>
    <m/>
    <m/>
    <m/>
    <x v="0"/>
    <x v="0"/>
    <m/>
    <x v="0"/>
    <m/>
    <x v="0"/>
    <x v="0"/>
    <x v="0"/>
    <x v="0"/>
    <x v="0"/>
  </r>
  <r>
    <x v="0"/>
    <x v="3"/>
    <n v="2761"/>
    <x v="25"/>
    <s v="HONDA ATLAS (CARS) LTD"/>
    <s v="LDN"/>
    <n v="32"/>
    <s v="12_13"/>
    <s v="SL"/>
    <n v="350"/>
    <x v="0"/>
    <n v="2"/>
    <n v="174"/>
    <n v="8"/>
    <m/>
    <x v="0"/>
    <n v="166"/>
    <m/>
    <m/>
    <x v="0"/>
    <x v="0"/>
    <m/>
    <m/>
    <x v="0"/>
    <x v="0"/>
    <m/>
    <x v="0"/>
    <x v="0"/>
    <x v="0"/>
    <x v="0"/>
    <x v="0"/>
    <m/>
    <m/>
    <m/>
    <m/>
    <x v="0"/>
    <x v="0"/>
    <m/>
    <x v="0"/>
    <m/>
    <x v="0"/>
    <x v="0"/>
    <x v="0"/>
    <x v="0"/>
    <x v="0"/>
  </r>
  <r>
    <x v="0"/>
    <x v="3"/>
    <n v="2762"/>
    <x v="25"/>
    <s v="HONDA ATLAS (CARS) LTD"/>
    <s v="LDN"/>
    <n v="32"/>
    <s v="12_13"/>
    <s v="SL"/>
    <n v="1200"/>
    <x v="0"/>
    <n v="4"/>
    <n v="406.2"/>
    <n v="16"/>
    <m/>
    <x v="0"/>
    <n v="390.2"/>
    <m/>
    <m/>
    <x v="0"/>
    <x v="0"/>
    <m/>
    <m/>
    <x v="0"/>
    <x v="0"/>
    <m/>
    <x v="0"/>
    <x v="0"/>
    <x v="0"/>
    <x v="0"/>
    <x v="0"/>
    <m/>
    <m/>
    <m/>
    <m/>
    <x v="0"/>
    <x v="0"/>
    <m/>
    <x v="0"/>
    <m/>
    <x v="0"/>
    <x v="0"/>
    <x v="0"/>
    <x v="0"/>
    <x v="0"/>
  </r>
  <r>
    <x v="1"/>
    <x v="3"/>
    <n v="2762"/>
    <x v="25"/>
    <s v="HONDA ATLAS (CARS) LTD"/>
    <s v="LDN"/>
    <n v="32"/>
    <s v="12_13"/>
    <s v="SL"/>
    <n v="1200"/>
    <x v="0"/>
    <n v="5"/>
    <n v="535.90000000000009"/>
    <n v="20"/>
    <m/>
    <x v="0"/>
    <n v="515.90000000000009"/>
    <m/>
    <m/>
    <x v="0"/>
    <x v="0"/>
    <m/>
    <m/>
    <x v="0"/>
    <x v="0"/>
    <m/>
    <x v="0"/>
    <x v="0"/>
    <x v="0"/>
    <x v="0"/>
    <x v="0"/>
    <m/>
    <m/>
    <m/>
    <m/>
    <x v="0"/>
    <x v="0"/>
    <m/>
    <x v="0"/>
    <m/>
    <x v="0"/>
    <x v="0"/>
    <x v="0"/>
    <x v="0"/>
    <x v="0"/>
  </r>
  <r>
    <x v="0"/>
    <x v="4"/>
    <s v="2870 J"/>
    <x v="25"/>
    <s v="الٹراٹیچ پلس (1 کلوگرام)"/>
    <s v="LDN"/>
    <s v="535 MM"/>
    <s v="15-16/30-32"/>
    <s v="پیور"/>
    <n v="100"/>
    <x v="0"/>
    <n v="1"/>
    <n v="106.2"/>
    <n v="2.5"/>
    <n v="25"/>
    <x v="0"/>
    <n v="103.7"/>
    <m/>
    <m/>
    <x v="0"/>
    <x v="0"/>
    <m/>
    <m/>
    <x v="0"/>
    <x v="0"/>
    <m/>
    <x v="0"/>
    <x v="0"/>
    <x v="0"/>
    <x v="0"/>
    <x v="0"/>
    <m/>
    <m/>
    <m/>
    <m/>
    <x v="0"/>
    <x v="0"/>
    <m/>
    <x v="0"/>
    <m/>
    <x v="0"/>
    <x v="0"/>
    <x v="0"/>
    <x v="0"/>
    <x v="0"/>
  </r>
  <r>
    <x v="0"/>
    <x v="4"/>
    <s v="2869 J"/>
    <x v="25"/>
    <s v="الٹراٹیچ پلس (1/2 کلوگرام)"/>
    <s v="LDN"/>
    <s v="535 MM"/>
    <s v="15-16/30-32"/>
    <s v="پیور"/>
    <n v="100"/>
    <x v="0"/>
    <n v="1"/>
    <n v="106"/>
    <n v="2.5"/>
    <m/>
    <x v="0"/>
    <n v="103.5"/>
    <m/>
    <m/>
    <x v="0"/>
    <x v="0"/>
    <m/>
    <m/>
    <x v="0"/>
    <x v="0"/>
    <m/>
    <x v="0"/>
    <x v="0"/>
    <x v="0"/>
    <x v="0"/>
    <x v="0"/>
    <m/>
    <m/>
    <m/>
    <m/>
    <x v="0"/>
    <x v="0"/>
    <m/>
    <x v="0"/>
    <m/>
    <x v="0"/>
    <x v="0"/>
    <x v="0"/>
    <x v="0"/>
    <x v="0"/>
  </r>
  <r>
    <x v="0"/>
    <x v="4"/>
    <s v="2891 J"/>
    <x v="25"/>
    <s v="سپر شنگھائی ڈرائی کلینرز"/>
    <s v="LDN"/>
    <n v="13"/>
    <s v="4.5-5"/>
    <s v="پیور"/>
    <n v="100"/>
    <x v="0"/>
    <n v="4"/>
    <n v="106"/>
    <n v="5.2"/>
    <m/>
    <x v="0"/>
    <n v="100.8"/>
    <m/>
    <m/>
    <x v="0"/>
    <x v="0"/>
    <m/>
    <m/>
    <x v="0"/>
    <x v="0"/>
    <m/>
    <x v="0"/>
    <x v="0"/>
    <x v="0"/>
    <x v="0"/>
    <x v="0"/>
    <m/>
    <m/>
    <m/>
    <m/>
    <x v="0"/>
    <x v="0"/>
    <m/>
    <x v="0"/>
    <m/>
    <x v="0"/>
    <x v="0"/>
    <x v="0"/>
    <x v="0"/>
    <x v="0"/>
  </r>
  <r>
    <x v="0"/>
    <x v="4"/>
    <s v="3014 J"/>
    <x v="25"/>
    <s v="سادہ لفافہ جاوید انٹر پرائزز"/>
    <s v="LD پیلا"/>
    <n v="14"/>
    <s v="20-20.5"/>
    <s v="ABA تھینکیو"/>
    <n v="300"/>
    <x v="0"/>
    <n v="1"/>
    <n v="34.4"/>
    <n v="1.4"/>
    <m/>
    <x v="0"/>
    <n v="33"/>
    <m/>
    <m/>
    <x v="0"/>
    <x v="0"/>
    <m/>
    <m/>
    <x v="0"/>
    <x v="0"/>
    <m/>
    <x v="0"/>
    <x v="0"/>
    <x v="0"/>
    <x v="0"/>
    <x v="0"/>
    <m/>
    <m/>
    <m/>
    <m/>
    <x v="0"/>
    <x v="0"/>
    <m/>
    <x v="0"/>
    <m/>
    <x v="0"/>
    <x v="0"/>
    <x v="0"/>
    <x v="0"/>
    <x v="0"/>
  </r>
  <r>
    <x v="1"/>
    <x v="4"/>
    <s v="3040 J"/>
    <x v="25"/>
    <s v="S Asia"/>
    <s v="LDN"/>
    <n v="14"/>
    <s v="5.5-6"/>
    <s v="پیور"/>
    <n v="100"/>
    <x v="0"/>
    <n v="2"/>
    <n v="72.400000000000006"/>
    <n v="3.2"/>
    <n v="40"/>
    <x v="0"/>
    <n v="69.2"/>
    <m/>
    <m/>
    <x v="0"/>
    <x v="0"/>
    <m/>
    <m/>
    <x v="0"/>
    <x v="0"/>
    <m/>
    <x v="0"/>
    <x v="0"/>
    <x v="0"/>
    <x v="0"/>
    <x v="0"/>
    <m/>
    <m/>
    <m/>
    <m/>
    <x v="0"/>
    <x v="0"/>
    <m/>
    <x v="0"/>
    <m/>
    <x v="0"/>
    <x v="0"/>
    <x v="0"/>
    <x v="0"/>
    <x v="0"/>
  </r>
  <r>
    <x v="1"/>
    <x v="4"/>
    <s v="3024 J"/>
    <x v="25"/>
    <s v="اے ٹی 9191"/>
    <s v="LDN"/>
    <n v="14"/>
    <s v="5-5.5"/>
    <s v="پیور"/>
    <n v="50"/>
    <x v="0"/>
    <n v="2"/>
    <n v="56"/>
    <n v="3.2"/>
    <m/>
    <x v="0"/>
    <n v="52.8"/>
    <m/>
    <m/>
    <x v="0"/>
    <x v="0"/>
    <m/>
    <m/>
    <x v="0"/>
    <x v="0"/>
    <m/>
    <x v="0"/>
    <x v="0"/>
    <x v="0"/>
    <x v="0"/>
    <x v="0"/>
    <m/>
    <m/>
    <m/>
    <m/>
    <x v="0"/>
    <x v="0"/>
    <m/>
    <x v="0"/>
    <m/>
    <x v="0"/>
    <x v="0"/>
    <x v="0"/>
    <x v="0"/>
    <x v="0"/>
  </r>
  <r>
    <x v="1"/>
    <x v="4"/>
    <s v="1754 F"/>
    <x v="25"/>
    <s v="STANCE وارینگ"/>
    <s v="LDN"/>
    <n v="14"/>
    <s v="7.7.5"/>
    <s v="پیور"/>
    <n v="25"/>
    <x v="0"/>
    <n v="1"/>
    <n v="58.4"/>
    <n v="1.6"/>
    <m/>
    <x v="0"/>
    <n v="56.8"/>
    <m/>
    <m/>
    <x v="0"/>
    <x v="0"/>
    <m/>
    <m/>
    <x v="0"/>
    <x v="0"/>
    <m/>
    <x v="0"/>
    <x v="0"/>
    <x v="0"/>
    <x v="0"/>
    <x v="0"/>
    <m/>
    <m/>
    <m/>
    <m/>
    <x v="0"/>
    <x v="0"/>
    <m/>
    <x v="0"/>
    <m/>
    <x v="0"/>
    <x v="0"/>
    <x v="0"/>
    <x v="0"/>
    <x v="0"/>
  </r>
  <r>
    <x v="1"/>
    <x v="4"/>
    <s v="1753 F"/>
    <x v="25"/>
    <s v="STANCE وارینگ"/>
    <s v="LDN"/>
    <n v="15"/>
    <s v="7.7.5"/>
    <s v="پیور"/>
    <n v="10"/>
    <x v="0"/>
    <n v="2"/>
    <n v="54.2"/>
    <n v="3.6"/>
    <m/>
    <x v="0"/>
    <n v="50.6"/>
    <m/>
    <m/>
    <x v="0"/>
    <x v="0"/>
    <m/>
    <m/>
    <x v="0"/>
    <x v="0"/>
    <m/>
    <x v="0"/>
    <x v="0"/>
    <x v="0"/>
    <x v="0"/>
    <x v="0"/>
    <m/>
    <m/>
    <m/>
    <m/>
    <x v="0"/>
    <x v="0"/>
    <m/>
    <x v="0"/>
    <m/>
    <x v="0"/>
    <x v="0"/>
    <x v="0"/>
    <x v="0"/>
    <x v="0"/>
  </r>
  <r>
    <x v="1"/>
    <x v="4"/>
    <s v="1772 F"/>
    <x v="25"/>
    <s v="ERIMA وارننگ"/>
    <s v="LDN"/>
    <n v="28"/>
    <s v="8"/>
    <s v="جیلانی شیٹ"/>
    <n v="100"/>
    <x v="0"/>
    <n v="2"/>
    <n v="107.2"/>
    <n v="6.8"/>
    <m/>
    <x v="0"/>
    <n v="100.4"/>
    <m/>
    <m/>
    <x v="0"/>
    <x v="0"/>
    <m/>
    <m/>
    <x v="0"/>
    <x v="0"/>
    <m/>
    <x v="0"/>
    <x v="0"/>
    <x v="0"/>
    <x v="0"/>
    <x v="0"/>
    <m/>
    <m/>
    <m/>
    <m/>
    <x v="0"/>
    <x v="0"/>
    <m/>
    <x v="0"/>
    <m/>
    <x v="0"/>
    <x v="0"/>
    <x v="0"/>
    <x v="0"/>
    <x v="0"/>
  </r>
  <r>
    <x v="1"/>
    <x v="4"/>
    <s v="1773 F"/>
    <x v="25"/>
    <s v="EYE SPORTS وارننگ"/>
    <s v="LDN"/>
    <n v="33"/>
    <s v="12"/>
    <s v="جیلانی شیٹ"/>
    <n v="150"/>
    <x v="0"/>
    <n v="1"/>
    <n v="68.8"/>
    <n v="4"/>
    <m/>
    <x v="0"/>
    <n v="64.8"/>
    <m/>
    <m/>
    <x v="0"/>
    <x v="0"/>
    <m/>
    <m/>
    <x v="0"/>
    <x v="0"/>
    <m/>
    <x v="0"/>
    <x v="0"/>
    <x v="0"/>
    <x v="0"/>
    <x v="0"/>
    <m/>
    <m/>
    <m/>
    <m/>
    <x v="0"/>
    <x v="0"/>
    <m/>
    <x v="0"/>
    <m/>
    <x v="0"/>
    <x v="0"/>
    <x v="0"/>
    <x v="0"/>
    <x v="0"/>
  </r>
  <r>
    <x v="0"/>
    <x v="5"/>
    <s v="1750 F"/>
    <x v="25"/>
    <s v=" MAKNIT واارننگ پرانے"/>
    <s v="LDN"/>
    <n v="18"/>
    <s v="7"/>
    <s v="جیلانی شیٹ"/>
    <n v="98"/>
    <x v="0"/>
    <n v="1"/>
    <n v="52.6"/>
    <n v="2.1"/>
    <n v="18"/>
    <x v="0"/>
    <n v="50.5"/>
    <m/>
    <m/>
    <x v="0"/>
    <x v="0"/>
    <m/>
    <m/>
    <x v="0"/>
    <x v="0"/>
    <m/>
    <x v="0"/>
    <x v="0"/>
    <x v="0"/>
    <x v="0"/>
    <x v="0"/>
    <m/>
    <m/>
    <m/>
    <m/>
    <x v="0"/>
    <x v="0"/>
    <m/>
    <x v="0"/>
    <m/>
    <x v="0"/>
    <x v="0"/>
    <x v="0"/>
    <x v="0"/>
    <x v="0"/>
  </r>
  <r>
    <x v="0"/>
    <x v="5"/>
    <s v="1768 F"/>
    <x v="25"/>
    <s v="PELD لوگو "/>
    <s v="LDN"/>
    <n v="20.5"/>
    <s v="7.5-8"/>
    <s v="پیور"/>
    <n v="655"/>
    <x v="0"/>
    <n v="3"/>
    <n v="184.7"/>
    <n v="7.1"/>
    <m/>
    <x v="0"/>
    <n v="177.6"/>
    <m/>
    <m/>
    <x v="0"/>
    <x v="0"/>
    <m/>
    <m/>
    <x v="0"/>
    <x v="0"/>
    <m/>
    <x v="0"/>
    <x v="0"/>
    <x v="0"/>
    <x v="0"/>
    <x v="0"/>
    <m/>
    <m/>
    <m/>
    <m/>
    <x v="0"/>
    <x v="0"/>
    <m/>
    <x v="0"/>
    <m/>
    <x v="0"/>
    <x v="0"/>
    <x v="0"/>
    <x v="0"/>
    <x v="0"/>
  </r>
  <r>
    <x v="1"/>
    <x v="5"/>
    <s v="1755 F"/>
    <x v="25"/>
    <s v="سادہ لفافہ"/>
    <s v="LDN"/>
    <n v="17"/>
    <s v="12"/>
    <s v="پیور"/>
    <n v="750"/>
    <x v="0"/>
    <n v="5"/>
    <n v="329.2"/>
    <n v="11"/>
    <n v="23"/>
    <x v="0"/>
    <n v="318.2"/>
    <m/>
    <m/>
    <x v="0"/>
    <x v="0"/>
    <m/>
    <m/>
    <x v="0"/>
    <x v="0"/>
    <m/>
    <x v="0"/>
    <x v="0"/>
    <x v="0"/>
    <x v="0"/>
    <x v="0"/>
    <m/>
    <m/>
    <m/>
    <m/>
    <x v="0"/>
    <x v="0"/>
    <m/>
    <x v="0"/>
    <m/>
    <x v="0"/>
    <x v="0"/>
    <x v="0"/>
    <x v="0"/>
    <x v="0"/>
  </r>
  <r>
    <x v="0"/>
    <x v="0"/>
    <s v="2877 J"/>
    <x v="26"/>
    <s v="گولڈا ایلومینیم"/>
    <s v="LDN"/>
    <n v="4"/>
    <n v="10"/>
    <s v="پیور"/>
    <n v="120"/>
    <x v="0"/>
    <n v="3"/>
    <n v="100"/>
    <n v="2.2999999999999998"/>
    <n v="3.2"/>
    <x v="0"/>
    <n v="97.7"/>
    <m/>
    <m/>
    <x v="0"/>
    <x v="0"/>
    <m/>
    <m/>
    <x v="0"/>
    <x v="0"/>
    <m/>
    <x v="0"/>
    <x v="0"/>
    <x v="0"/>
    <x v="0"/>
    <x v="0"/>
    <m/>
    <m/>
    <m/>
    <m/>
    <x v="0"/>
    <x v="0"/>
    <m/>
    <x v="0"/>
    <m/>
    <x v="0"/>
    <x v="0"/>
    <x v="0"/>
    <x v="0"/>
    <x v="0"/>
  </r>
  <r>
    <x v="0"/>
    <x v="0"/>
    <s v="2881 J"/>
    <x v="26"/>
    <s v="یو ایس میٹل گولڈ"/>
    <s v="LDN"/>
    <n v="4"/>
    <n v="10"/>
    <s v="پیور"/>
    <n v="100"/>
    <x v="0"/>
    <n v="1"/>
    <n v="60.4"/>
    <n v="0.9"/>
    <m/>
    <x v="0"/>
    <n v="59.5"/>
    <m/>
    <m/>
    <x v="0"/>
    <x v="0"/>
    <m/>
    <m/>
    <x v="0"/>
    <x v="0"/>
    <m/>
    <x v="0"/>
    <x v="0"/>
    <x v="0"/>
    <x v="0"/>
    <x v="0"/>
    <m/>
    <m/>
    <m/>
    <m/>
    <x v="0"/>
    <x v="0"/>
    <m/>
    <x v="0"/>
    <m/>
    <x v="0"/>
    <x v="0"/>
    <x v="0"/>
    <x v="0"/>
    <x v="0"/>
  </r>
  <r>
    <x v="1"/>
    <x v="0"/>
    <s v="2881 J"/>
    <x v="26"/>
    <s v="یو ایس میٹل گولڈ"/>
    <s v="LDN"/>
    <n v="4"/>
    <n v="10"/>
    <s v="پیور"/>
    <n v="100"/>
    <x v="0"/>
    <n v="2"/>
    <n v="49.400000000000006"/>
    <n v="1.2"/>
    <n v="2"/>
    <x v="0"/>
    <n v="48.2"/>
    <m/>
    <m/>
    <x v="0"/>
    <x v="0"/>
    <m/>
    <m/>
    <x v="0"/>
    <x v="0"/>
    <m/>
    <x v="0"/>
    <x v="0"/>
    <x v="0"/>
    <x v="0"/>
    <x v="0"/>
    <m/>
    <m/>
    <m/>
    <m/>
    <x v="0"/>
    <x v="0"/>
    <m/>
    <x v="0"/>
    <m/>
    <x v="0"/>
    <x v="0"/>
    <x v="0"/>
    <x v="0"/>
    <x v="0"/>
  </r>
  <r>
    <x v="1"/>
    <x v="0"/>
    <s v="2882 J"/>
    <x v="26"/>
    <s v="یو ایس میٹل گولڈ"/>
    <s v="LDN"/>
    <n v="5"/>
    <n v="10"/>
    <s v="پیور"/>
    <n v="100"/>
    <x v="0"/>
    <n v="2"/>
    <n v="56.2"/>
    <n v="1.2999999999999998"/>
    <m/>
    <x v="0"/>
    <n v="54.900000000000006"/>
    <m/>
    <m/>
    <x v="0"/>
    <x v="0"/>
    <m/>
    <m/>
    <x v="0"/>
    <x v="0"/>
    <m/>
    <x v="0"/>
    <x v="0"/>
    <x v="0"/>
    <x v="0"/>
    <x v="0"/>
    <m/>
    <m/>
    <m/>
    <m/>
    <x v="0"/>
    <x v="0"/>
    <m/>
    <x v="0"/>
    <m/>
    <x v="0"/>
    <x v="0"/>
    <x v="0"/>
    <x v="0"/>
    <x v="0"/>
  </r>
  <r>
    <x v="0"/>
    <x v="2"/>
    <s v="9531 A"/>
    <x v="26"/>
    <s v="سادہ رول جیلانی پولی سٹاک"/>
    <s v="LDN"/>
    <s v="26 شیٹ"/>
    <s v="8-8.5/16-17"/>
    <s v="پیور"/>
    <n v="2000"/>
    <x v="0"/>
    <n v="2"/>
    <n v="109"/>
    <n v="6.8"/>
    <n v="16"/>
    <x v="0"/>
    <n v="102.2"/>
    <m/>
    <m/>
    <x v="0"/>
    <x v="0"/>
    <m/>
    <m/>
    <x v="0"/>
    <x v="0"/>
    <m/>
    <x v="0"/>
    <x v="0"/>
    <x v="0"/>
    <x v="0"/>
    <x v="0"/>
    <m/>
    <m/>
    <m/>
    <m/>
    <x v="0"/>
    <x v="0"/>
    <m/>
    <x v="0"/>
    <m/>
    <x v="0"/>
    <x v="0"/>
    <x v="0"/>
    <x v="0"/>
    <x v="0"/>
  </r>
  <r>
    <x v="0"/>
    <x v="2"/>
    <s v="3014 J"/>
    <x v="26"/>
    <s v="سادہ لفافہ جاوید انٹر پرائزز"/>
    <s v="LD پیلا"/>
    <n v="14"/>
    <s v="20-20.5"/>
    <s v="ABA تھینکیو"/>
    <n v="300"/>
    <x v="0"/>
    <n v="4"/>
    <n v="313"/>
    <n v="7.2"/>
    <m/>
    <x v="0"/>
    <n v="305.8"/>
    <m/>
    <m/>
    <x v="0"/>
    <x v="0"/>
    <m/>
    <m/>
    <x v="0"/>
    <x v="0"/>
    <m/>
    <x v="0"/>
    <x v="0"/>
    <x v="0"/>
    <x v="0"/>
    <x v="0"/>
    <m/>
    <m/>
    <m/>
    <m/>
    <x v="0"/>
    <x v="0"/>
    <m/>
    <x v="0"/>
    <m/>
    <x v="0"/>
    <x v="0"/>
    <x v="0"/>
    <x v="0"/>
    <x v="0"/>
  </r>
  <r>
    <x v="1"/>
    <x v="2"/>
    <s v="1749 F"/>
    <x v="26"/>
    <s v="امریگن ایگل وارینگ"/>
    <s v="LDN"/>
    <n v="18"/>
    <s v="7-7.5"/>
    <s v="پیور"/>
    <n v="60"/>
    <x v="0"/>
    <n v="4"/>
    <n v="246.6"/>
    <n v="7"/>
    <n v="77"/>
    <x v="0"/>
    <n v="239.6"/>
    <m/>
    <m/>
    <x v="0"/>
    <x v="0"/>
    <m/>
    <m/>
    <x v="0"/>
    <x v="0"/>
    <m/>
    <x v="0"/>
    <x v="0"/>
    <x v="0"/>
    <x v="0"/>
    <x v="0"/>
    <m/>
    <m/>
    <m/>
    <m/>
    <x v="0"/>
    <x v="0"/>
    <m/>
    <x v="0"/>
    <m/>
    <x v="0"/>
    <x v="0"/>
    <x v="0"/>
    <x v="0"/>
    <x v="0"/>
  </r>
  <r>
    <x v="0"/>
    <x v="3"/>
    <n v="2762"/>
    <x v="26"/>
    <s v="HONDA ATLAS (CARS) LTD"/>
    <s v="LDN"/>
    <n v="32"/>
    <s v="12_13"/>
    <s v="SL"/>
    <n v="1200"/>
    <x v="0"/>
    <n v="4"/>
    <n v="319.79999999999995"/>
    <n v="16"/>
    <n v="8.4"/>
    <x v="0"/>
    <n v="303.79999999999995"/>
    <m/>
    <m/>
    <x v="0"/>
    <x v="0"/>
    <m/>
    <m/>
    <x v="0"/>
    <x v="0"/>
    <m/>
    <x v="0"/>
    <x v="0"/>
    <x v="0"/>
    <x v="0"/>
    <x v="0"/>
    <m/>
    <m/>
    <m/>
    <m/>
    <x v="0"/>
    <x v="0"/>
    <m/>
    <x v="0"/>
    <m/>
    <x v="0"/>
    <x v="0"/>
    <x v="0"/>
    <x v="0"/>
    <x v="0"/>
  </r>
  <r>
    <x v="0"/>
    <x v="3"/>
    <n v="2760"/>
    <x v="26"/>
    <s v="ORINGNAL PRODUCT GUJRAT"/>
    <s v="LDN"/>
    <n v="32"/>
    <s v="14-15"/>
    <s v="SL"/>
    <n v="500"/>
    <x v="0"/>
    <n v="3"/>
    <n v="281"/>
    <n v="12"/>
    <m/>
    <x v="0"/>
    <n v="269"/>
    <m/>
    <m/>
    <x v="0"/>
    <x v="0"/>
    <m/>
    <m/>
    <x v="0"/>
    <x v="0"/>
    <m/>
    <x v="0"/>
    <x v="0"/>
    <x v="0"/>
    <x v="0"/>
    <x v="0"/>
    <m/>
    <m/>
    <m/>
    <m/>
    <x v="0"/>
    <x v="0"/>
    <m/>
    <x v="0"/>
    <m/>
    <x v="0"/>
    <x v="0"/>
    <x v="0"/>
    <x v="0"/>
    <x v="0"/>
  </r>
  <r>
    <x v="1"/>
    <x v="3"/>
    <n v="2760"/>
    <x v="26"/>
    <s v="ORINGNAL PRODUCT GUJRAT"/>
    <s v="LDN"/>
    <n v="32"/>
    <s v="14-15"/>
    <s v="SL"/>
    <n v="500"/>
    <x v="0"/>
    <n v="3"/>
    <n v="272.39999999999998"/>
    <n v="12.2"/>
    <n v="10"/>
    <x v="0"/>
    <n v="260.2"/>
    <m/>
    <m/>
    <x v="0"/>
    <x v="0"/>
    <m/>
    <m/>
    <x v="0"/>
    <x v="0"/>
    <m/>
    <x v="0"/>
    <x v="0"/>
    <x v="0"/>
    <x v="0"/>
    <x v="0"/>
    <m/>
    <m/>
    <m/>
    <m/>
    <x v="0"/>
    <x v="0"/>
    <m/>
    <x v="0"/>
    <m/>
    <x v="0"/>
    <x v="0"/>
    <x v="0"/>
    <x v="0"/>
    <x v="0"/>
  </r>
  <r>
    <x v="1"/>
    <x v="3"/>
    <n v="2756"/>
    <x v="26"/>
    <s v="MATCO FOOD"/>
    <s v="LDN"/>
    <n v="23"/>
    <s v="70 G"/>
    <s v="SL"/>
    <n v="7000"/>
    <x v="0"/>
    <n v="1"/>
    <n v="132"/>
    <n v="2.8"/>
    <m/>
    <x v="0"/>
    <n v="129.19999999999999"/>
    <m/>
    <m/>
    <x v="0"/>
    <x v="0"/>
    <m/>
    <m/>
    <x v="0"/>
    <x v="0"/>
    <m/>
    <x v="0"/>
    <x v="0"/>
    <x v="0"/>
    <x v="0"/>
    <x v="0"/>
    <m/>
    <m/>
    <m/>
    <m/>
    <x v="0"/>
    <x v="0"/>
    <m/>
    <x v="0"/>
    <m/>
    <x v="0"/>
    <x v="0"/>
    <x v="0"/>
    <x v="0"/>
    <x v="0"/>
  </r>
  <r>
    <x v="0"/>
    <x v="4"/>
    <s v="1773 F"/>
    <x v="26"/>
    <s v="EYE SPORTS وارننگ"/>
    <s v="LDN"/>
    <n v="33"/>
    <s v="12"/>
    <s v="جیلانی شیٹ"/>
    <n v="150"/>
    <x v="0"/>
    <n v="1"/>
    <n v="81.2"/>
    <n v="4"/>
    <n v="39"/>
    <x v="0"/>
    <n v="77.2"/>
    <m/>
    <m/>
    <x v="0"/>
    <x v="0"/>
    <m/>
    <m/>
    <x v="0"/>
    <x v="0"/>
    <m/>
    <x v="0"/>
    <x v="0"/>
    <x v="0"/>
    <x v="0"/>
    <x v="0"/>
    <m/>
    <m/>
    <m/>
    <m/>
    <x v="0"/>
    <x v="0"/>
    <m/>
    <x v="0"/>
    <m/>
    <x v="0"/>
    <x v="0"/>
    <x v="0"/>
    <x v="0"/>
    <x v="0"/>
  </r>
  <r>
    <x v="0"/>
    <x v="4"/>
    <s v="1767 F"/>
    <x v="26"/>
    <s v="15 لینگوئج وارننگ +لوگو"/>
    <s v="LDN"/>
    <s v="30+5+5"/>
    <s v="7-7.5/14.15"/>
    <s v="جیلانی شیٹ"/>
    <n v="100"/>
    <x v="0"/>
    <n v="3"/>
    <n v="206.8"/>
    <n v="12"/>
    <m/>
    <x v="0"/>
    <n v="194.8"/>
    <m/>
    <m/>
    <x v="0"/>
    <x v="0"/>
    <m/>
    <m/>
    <x v="0"/>
    <x v="0"/>
    <m/>
    <x v="0"/>
    <x v="0"/>
    <x v="0"/>
    <x v="0"/>
    <x v="0"/>
    <m/>
    <m/>
    <m/>
    <m/>
    <x v="0"/>
    <x v="0"/>
    <m/>
    <x v="0"/>
    <m/>
    <x v="0"/>
    <x v="0"/>
    <x v="0"/>
    <x v="0"/>
    <x v="0"/>
  </r>
  <r>
    <x v="0"/>
    <x v="4"/>
    <s v="3041 J"/>
    <x v="26"/>
    <s v="Atlas Honda LTD (SKP)"/>
    <s v="LDM"/>
    <s v="16.75&quot; شیٹ"/>
    <s v="7-7.5/14-15"/>
    <s v="LDM"/>
    <n v="1000"/>
    <x v="0"/>
    <n v="4"/>
    <n v="265.60000000000002"/>
    <n v="9.5"/>
    <m/>
    <x v="0"/>
    <n v="256.10000000000002"/>
    <m/>
    <m/>
    <x v="0"/>
    <x v="0"/>
    <m/>
    <m/>
    <x v="0"/>
    <x v="0"/>
    <m/>
    <x v="0"/>
    <x v="0"/>
    <x v="0"/>
    <x v="0"/>
    <x v="0"/>
    <m/>
    <m/>
    <m/>
    <m/>
    <x v="0"/>
    <x v="0"/>
    <m/>
    <x v="0"/>
    <m/>
    <x v="0"/>
    <x v="0"/>
    <x v="0"/>
    <x v="0"/>
    <x v="0"/>
  </r>
  <r>
    <x v="1"/>
    <x v="4"/>
    <s v="3041 J"/>
    <x v="26"/>
    <s v="Atlas Honda LTD (SKP)"/>
    <s v="LDM"/>
    <s v="16.75&quot; شیٹ"/>
    <s v="7-7.5/14-15"/>
    <s v="LDM"/>
    <n v="1000"/>
    <x v="0"/>
    <n v="8"/>
    <n v="618"/>
    <n v="17.600000000000001"/>
    <m/>
    <x v="0"/>
    <n v="600.4"/>
    <m/>
    <m/>
    <x v="0"/>
    <x v="0"/>
    <m/>
    <m/>
    <x v="0"/>
    <x v="0"/>
    <m/>
    <x v="0"/>
    <x v="0"/>
    <x v="0"/>
    <x v="0"/>
    <x v="0"/>
    <m/>
    <m/>
    <m/>
    <m/>
    <x v="0"/>
    <x v="0"/>
    <m/>
    <x v="0"/>
    <m/>
    <x v="0"/>
    <x v="0"/>
    <x v="0"/>
    <x v="0"/>
    <x v="0"/>
  </r>
  <r>
    <x v="0"/>
    <x v="5"/>
    <s v="1768 F"/>
    <x v="26"/>
    <s v="PELD لوگو "/>
    <s v="LDN"/>
    <n v="20.5"/>
    <s v="7.5-8"/>
    <s v="پیور"/>
    <n v="655"/>
    <x v="0"/>
    <n v="3"/>
    <n v="173.1"/>
    <n v="6.8"/>
    <n v="6.8"/>
    <x v="0"/>
    <n v="166.29999999999998"/>
    <m/>
    <m/>
    <x v="0"/>
    <x v="0"/>
    <m/>
    <m/>
    <x v="0"/>
    <x v="0"/>
    <m/>
    <x v="0"/>
    <x v="0"/>
    <x v="0"/>
    <x v="0"/>
    <x v="0"/>
    <m/>
    <m/>
    <m/>
    <m/>
    <x v="0"/>
    <x v="0"/>
    <m/>
    <x v="0"/>
    <m/>
    <x v="0"/>
    <x v="0"/>
    <x v="0"/>
    <x v="0"/>
    <x v="0"/>
  </r>
  <r>
    <x v="0"/>
    <x v="5"/>
    <s v="1778 F"/>
    <x v="26"/>
    <s v="NEXT وارننگ"/>
    <s v="LDN"/>
    <n v="15.5"/>
    <s v="7.7.5"/>
    <s v="جیلانی شیٹ"/>
    <n v="203"/>
    <x v="0"/>
    <n v="3"/>
    <n v="152.5"/>
    <n v="5.4"/>
    <m/>
    <x v="0"/>
    <n v="147.1"/>
    <m/>
    <m/>
    <x v="0"/>
    <x v="0"/>
    <m/>
    <m/>
    <x v="0"/>
    <x v="0"/>
    <m/>
    <x v="0"/>
    <x v="0"/>
    <x v="0"/>
    <x v="0"/>
    <x v="0"/>
    <m/>
    <m/>
    <m/>
    <m/>
    <x v="0"/>
    <x v="0"/>
    <m/>
    <x v="0"/>
    <m/>
    <x v="0"/>
    <x v="0"/>
    <x v="0"/>
    <x v="0"/>
    <x v="0"/>
  </r>
  <r>
    <x v="1"/>
    <x v="5"/>
    <s v="1778 F"/>
    <x v="26"/>
    <s v="NEXT وارننگ"/>
    <s v="LDN"/>
    <n v="15.5"/>
    <s v="7.7.5"/>
    <s v="جیلانی شیٹ"/>
    <n v="203"/>
    <x v="0"/>
    <n v="1"/>
    <n v="65.8"/>
    <n v="1.8"/>
    <n v="5"/>
    <x v="0"/>
    <n v="64"/>
    <m/>
    <m/>
    <x v="0"/>
    <x v="0"/>
    <m/>
    <m/>
    <x v="0"/>
    <x v="0"/>
    <m/>
    <x v="0"/>
    <x v="0"/>
    <x v="0"/>
    <x v="0"/>
    <x v="0"/>
    <m/>
    <m/>
    <m/>
    <m/>
    <x v="0"/>
    <x v="0"/>
    <m/>
    <x v="0"/>
    <m/>
    <x v="0"/>
    <x v="0"/>
    <x v="0"/>
    <x v="0"/>
    <x v="0"/>
  </r>
  <r>
    <x v="1"/>
    <x v="5"/>
    <s v="1777 F"/>
    <x v="26"/>
    <s v="NEXT وارننگ"/>
    <s v="LDN"/>
    <n v="13"/>
    <s v="7.7.5"/>
    <s v="جیلانی شیٹ"/>
    <n v="135"/>
    <x v="0"/>
    <n v="3"/>
    <n v="157.41"/>
    <n v="4.8000000000000007"/>
    <m/>
    <x v="0"/>
    <n v="152.60999999999999"/>
    <m/>
    <m/>
    <x v="0"/>
    <x v="0"/>
    <m/>
    <m/>
    <x v="0"/>
    <x v="0"/>
    <m/>
    <x v="0"/>
    <x v="0"/>
    <x v="0"/>
    <x v="0"/>
    <x v="0"/>
    <m/>
    <m/>
    <m/>
    <m/>
    <x v="0"/>
    <x v="0"/>
    <m/>
    <x v="0"/>
    <m/>
    <x v="0"/>
    <x v="0"/>
    <x v="0"/>
    <x v="0"/>
    <x v="0"/>
  </r>
  <r>
    <x v="1"/>
    <x v="5"/>
    <s v="1746 F"/>
    <x v="26"/>
    <s v="سادہ لفافہ"/>
    <s v="LDN"/>
    <n v="13"/>
    <s v="7-7.5"/>
    <s v="پیور"/>
    <n v="560"/>
    <x v="0"/>
    <n v="1"/>
    <n v="48.8"/>
    <n v="1.5"/>
    <m/>
    <x v="0"/>
    <n v="47.3"/>
    <m/>
    <m/>
    <x v="0"/>
    <x v="0"/>
    <m/>
    <m/>
    <x v="0"/>
    <x v="0"/>
    <m/>
    <x v="0"/>
    <x v="0"/>
    <x v="0"/>
    <x v="0"/>
    <x v="0"/>
    <m/>
    <m/>
    <m/>
    <m/>
    <x v="0"/>
    <x v="0"/>
    <m/>
    <x v="0"/>
    <m/>
    <x v="0"/>
    <x v="0"/>
    <x v="0"/>
    <x v="0"/>
    <x v="0"/>
  </r>
  <r>
    <x v="0"/>
    <x v="0"/>
    <s v="2882 J"/>
    <x v="27"/>
    <s v="یو ایس میٹل گولڈ"/>
    <s v="LDN"/>
    <n v="5"/>
    <n v="10"/>
    <s v="پیور"/>
    <n v="100"/>
    <x v="0"/>
    <n v="1"/>
    <n v="30"/>
    <n v="0.5"/>
    <n v="14"/>
    <x v="0"/>
    <n v="29.5"/>
    <m/>
    <m/>
    <x v="0"/>
    <x v="0"/>
    <m/>
    <m/>
    <x v="0"/>
    <x v="0"/>
    <m/>
    <x v="0"/>
    <x v="0"/>
    <x v="0"/>
    <x v="0"/>
    <x v="0"/>
    <m/>
    <m/>
    <m/>
    <m/>
    <x v="0"/>
    <x v="0"/>
    <m/>
    <x v="0"/>
    <m/>
    <x v="0"/>
    <x v="0"/>
    <x v="0"/>
    <x v="0"/>
    <x v="0"/>
  </r>
  <r>
    <x v="1"/>
    <x v="0"/>
    <s v="2824 J"/>
    <x v="27"/>
    <s v="شاہ جی اچار  "/>
    <s v="LDN"/>
    <n v="5"/>
    <s v="16"/>
    <s v="پیور"/>
    <n v="100"/>
    <x v="0"/>
    <n v="3"/>
    <n v="67.2"/>
    <n v="1.5"/>
    <m/>
    <x v="0"/>
    <n v="65.7"/>
    <m/>
    <m/>
    <x v="0"/>
    <x v="0"/>
    <m/>
    <m/>
    <x v="0"/>
    <x v="0"/>
    <m/>
    <x v="0"/>
    <x v="0"/>
    <x v="0"/>
    <x v="0"/>
    <x v="0"/>
    <m/>
    <m/>
    <m/>
    <m/>
    <x v="0"/>
    <x v="0"/>
    <m/>
    <x v="0"/>
    <m/>
    <x v="0"/>
    <x v="0"/>
    <x v="0"/>
    <x v="0"/>
    <x v="0"/>
  </r>
  <r>
    <x v="0"/>
    <x v="2"/>
    <s v="1769 F"/>
    <x v="27"/>
    <s v="سادہ لفافہ"/>
    <s v="LDM"/>
    <n v="14"/>
    <s v="15"/>
    <s v="ABA پیور"/>
    <n v="360"/>
    <x v="0"/>
    <n v="2"/>
    <n v="139.60000000000002"/>
    <n v="0.28000000000000003"/>
    <n v="62"/>
    <x v="0"/>
    <n v="139.32000000000002"/>
    <m/>
    <m/>
    <x v="0"/>
    <x v="0"/>
    <m/>
    <m/>
    <x v="0"/>
    <x v="0"/>
    <m/>
    <x v="0"/>
    <x v="0"/>
    <x v="0"/>
    <x v="0"/>
    <x v="0"/>
    <m/>
    <m/>
    <m/>
    <m/>
    <x v="0"/>
    <x v="0"/>
    <m/>
    <x v="0"/>
    <m/>
    <x v="0"/>
    <x v="0"/>
    <x v="0"/>
    <x v="0"/>
    <x v="0"/>
  </r>
  <r>
    <x v="0"/>
    <x v="2"/>
    <s v="3015 J"/>
    <x v="27"/>
    <s v="پائیزر فٹ وئیر"/>
    <s v="LDM"/>
    <s v="12+3+3"/>
    <s v="9-9.5/18-19"/>
    <s v="ABA پیور"/>
    <n v="110"/>
    <x v="0"/>
    <n v="4"/>
    <n v="121.20000000000002"/>
    <n v="0.56000000000000005"/>
    <m/>
    <x v="0"/>
    <n v="120.64000000000001"/>
    <m/>
    <m/>
    <x v="0"/>
    <x v="0"/>
    <m/>
    <m/>
    <x v="0"/>
    <x v="0"/>
    <m/>
    <x v="0"/>
    <x v="0"/>
    <x v="0"/>
    <x v="0"/>
    <x v="0"/>
    <m/>
    <m/>
    <m/>
    <m/>
    <x v="0"/>
    <x v="0"/>
    <m/>
    <x v="0"/>
    <m/>
    <x v="0"/>
    <x v="0"/>
    <x v="0"/>
    <x v="0"/>
    <x v="0"/>
  </r>
  <r>
    <x v="1"/>
    <x v="2"/>
    <s v="2993 J"/>
    <x v="27"/>
    <s v="بولان لفافہ"/>
    <s v="LDN"/>
    <n v="10.5"/>
    <s v="6-6.5"/>
    <s v="پیور"/>
    <n v="500"/>
    <x v="0"/>
    <n v="4"/>
    <n v="137.4"/>
    <n v="4.6999999999999993"/>
    <m/>
    <x v="0"/>
    <n v="132.70000000000002"/>
    <m/>
    <m/>
    <x v="0"/>
    <x v="0"/>
    <m/>
    <m/>
    <x v="0"/>
    <x v="0"/>
    <m/>
    <x v="0"/>
    <x v="0"/>
    <x v="0"/>
    <x v="0"/>
    <x v="0"/>
    <m/>
    <m/>
    <m/>
    <m/>
    <x v="0"/>
    <x v="0"/>
    <m/>
    <x v="0"/>
    <m/>
    <x v="0"/>
    <x v="0"/>
    <x v="0"/>
    <x v="0"/>
    <x v="0"/>
  </r>
  <r>
    <x v="0"/>
    <x v="3"/>
    <n v="2756"/>
    <x v="27"/>
    <s v="MATCO FOOD"/>
    <s v="LDN"/>
    <n v="23"/>
    <s v="70 G"/>
    <s v="SL"/>
    <n v="7000"/>
    <x v="0"/>
    <n v="3"/>
    <n v="363.4"/>
    <n v="8.3999999999999986"/>
    <m/>
    <x v="0"/>
    <n v="355"/>
    <m/>
    <m/>
    <x v="0"/>
    <x v="0"/>
    <m/>
    <m/>
    <x v="0"/>
    <x v="0"/>
    <m/>
    <x v="0"/>
    <x v="0"/>
    <x v="0"/>
    <x v="0"/>
    <x v="0"/>
    <m/>
    <m/>
    <m/>
    <m/>
    <x v="0"/>
    <x v="0"/>
    <m/>
    <x v="0"/>
    <m/>
    <x v="0"/>
    <x v="0"/>
    <x v="0"/>
    <x v="0"/>
    <x v="0"/>
  </r>
  <r>
    <x v="1"/>
    <x v="3"/>
    <n v="2756"/>
    <x v="27"/>
    <s v="MATCO FOOD"/>
    <s v="LDN"/>
    <n v="23"/>
    <s v="70 G"/>
    <s v="SL"/>
    <n v="7000"/>
    <x v="0"/>
    <n v="3"/>
    <n v="345"/>
    <n v="8.3999999999999986"/>
    <m/>
    <x v="0"/>
    <n v="336.6"/>
    <m/>
    <m/>
    <x v="0"/>
    <x v="0"/>
    <m/>
    <m/>
    <x v="0"/>
    <x v="0"/>
    <m/>
    <x v="0"/>
    <x v="0"/>
    <x v="0"/>
    <x v="0"/>
    <x v="0"/>
    <m/>
    <m/>
    <m/>
    <m/>
    <x v="0"/>
    <x v="0"/>
    <m/>
    <x v="0"/>
    <m/>
    <x v="0"/>
    <x v="0"/>
    <x v="0"/>
    <x v="0"/>
    <x v="0"/>
  </r>
  <r>
    <x v="0"/>
    <x v="4"/>
    <s v="3041 J"/>
    <x v="27"/>
    <s v="Atlas Honda LTD (SKP)"/>
    <s v="LDM"/>
    <s v="16.75&quot; شیٹ"/>
    <s v="7-7.5/14-15"/>
    <s v="LDM"/>
    <n v="1000"/>
    <x v="0"/>
    <n v="2"/>
    <n v="151.80000000000001"/>
    <n v="4.4000000000000004"/>
    <n v="39"/>
    <x v="0"/>
    <n v="147.4"/>
    <m/>
    <m/>
    <x v="0"/>
    <x v="0"/>
    <m/>
    <m/>
    <x v="0"/>
    <x v="0"/>
    <m/>
    <x v="0"/>
    <x v="0"/>
    <x v="0"/>
    <x v="0"/>
    <x v="0"/>
    <m/>
    <m/>
    <m/>
    <m/>
    <x v="0"/>
    <x v="0"/>
    <m/>
    <x v="0"/>
    <m/>
    <x v="0"/>
    <x v="0"/>
    <x v="0"/>
    <x v="0"/>
    <x v="0"/>
  </r>
  <r>
    <x v="0"/>
    <x v="4"/>
    <s v="9531 A"/>
    <x v="27"/>
    <s v="سادہ رول جیلانی پولی سٹاک"/>
    <s v="LDN"/>
    <s v="26 شیٹ"/>
    <s v="8-8.5/16-17"/>
    <s v="پیور"/>
    <n v="2000"/>
    <x v="0"/>
    <n v="3"/>
    <n v="290.60000000000002"/>
    <n v="9.6000000000000014"/>
    <m/>
    <x v="0"/>
    <n v="281"/>
    <m/>
    <m/>
    <x v="0"/>
    <x v="0"/>
    <m/>
    <m/>
    <x v="0"/>
    <x v="0"/>
    <m/>
    <x v="0"/>
    <x v="0"/>
    <x v="0"/>
    <x v="0"/>
    <x v="0"/>
    <m/>
    <m/>
    <m/>
    <m/>
    <x v="0"/>
    <x v="0"/>
    <m/>
    <x v="0"/>
    <m/>
    <x v="0"/>
    <x v="0"/>
    <x v="0"/>
    <x v="0"/>
    <x v="0"/>
  </r>
  <r>
    <x v="0"/>
    <x v="4"/>
    <n v="2759"/>
    <x v="27"/>
    <s v="OLYMPIA"/>
    <s v="LDN"/>
    <n v="29"/>
    <s v="88 G"/>
    <s v="SL"/>
    <n v="2700"/>
    <x v="0"/>
    <n v="1"/>
    <n v="88"/>
    <n v="3.4"/>
    <m/>
    <x v="0"/>
    <n v="84.6"/>
    <m/>
    <m/>
    <x v="0"/>
    <x v="0"/>
    <m/>
    <m/>
    <x v="0"/>
    <x v="0"/>
    <m/>
    <x v="0"/>
    <x v="0"/>
    <x v="0"/>
    <x v="0"/>
    <x v="0"/>
    <m/>
    <m/>
    <m/>
    <m/>
    <x v="0"/>
    <x v="0"/>
    <m/>
    <x v="0"/>
    <m/>
    <x v="0"/>
    <x v="0"/>
    <x v="0"/>
    <x v="0"/>
    <x v="0"/>
  </r>
  <r>
    <x v="1"/>
    <x v="4"/>
    <n v="2759"/>
    <x v="27"/>
    <s v="OLYMPIA"/>
    <s v="LDN"/>
    <n v="29"/>
    <s v="88 G"/>
    <s v="SL"/>
    <n v="2700"/>
    <x v="0"/>
    <n v="5"/>
    <n v="482.4"/>
    <n v="17"/>
    <m/>
    <x v="0"/>
    <n v="465.4"/>
    <m/>
    <m/>
    <x v="0"/>
    <x v="0"/>
    <m/>
    <m/>
    <x v="0"/>
    <x v="0"/>
    <m/>
    <x v="0"/>
    <x v="0"/>
    <x v="0"/>
    <x v="0"/>
    <x v="0"/>
    <m/>
    <m/>
    <m/>
    <m/>
    <x v="0"/>
    <x v="0"/>
    <m/>
    <x v="0"/>
    <m/>
    <x v="0"/>
    <x v="0"/>
    <x v="0"/>
    <x v="0"/>
    <x v="0"/>
  </r>
  <r>
    <x v="0"/>
    <x v="5"/>
    <s v="1746 F"/>
    <x v="27"/>
    <s v="سادہ لفافہ"/>
    <s v="LDN"/>
    <n v="13"/>
    <s v="7-7.5"/>
    <s v="پیور"/>
    <n v="560"/>
    <x v="0"/>
    <n v="5"/>
    <n v="261.5"/>
    <n v="8.1999999999999993"/>
    <m/>
    <x v="0"/>
    <n v="253.3"/>
    <m/>
    <m/>
    <x v="0"/>
    <x v="0"/>
    <m/>
    <m/>
    <x v="0"/>
    <x v="0"/>
    <m/>
    <x v="0"/>
    <x v="0"/>
    <x v="0"/>
    <x v="0"/>
    <x v="0"/>
    <m/>
    <m/>
    <m/>
    <m/>
    <x v="0"/>
    <x v="0"/>
    <m/>
    <x v="0"/>
    <m/>
    <x v="0"/>
    <x v="0"/>
    <x v="0"/>
    <x v="0"/>
    <x v="0"/>
  </r>
  <r>
    <x v="1"/>
    <x v="5"/>
    <s v="1746 F"/>
    <x v="27"/>
    <s v="سادہ لفافہ"/>
    <s v="LDN"/>
    <n v="13"/>
    <s v="7-7.5"/>
    <s v="پیور"/>
    <n v="560"/>
    <x v="0"/>
    <n v="4"/>
    <n v="208.8"/>
    <n v="6"/>
    <m/>
    <x v="0"/>
    <n v="202.8"/>
    <m/>
    <m/>
    <x v="0"/>
    <x v="0"/>
    <m/>
    <m/>
    <x v="0"/>
    <x v="0"/>
    <m/>
    <x v="0"/>
    <x v="0"/>
    <x v="0"/>
    <x v="0"/>
    <x v="0"/>
    <m/>
    <m/>
    <m/>
    <m/>
    <x v="0"/>
    <x v="0"/>
    <m/>
    <x v="0"/>
    <m/>
    <x v="0"/>
    <x v="0"/>
    <x v="0"/>
    <x v="0"/>
    <x v="0"/>
  </r>
  <r>
    <x v="0"/>
    <x v="2"/>
    <s v="2960 J"/>
    <x v="28"/>
    <s v="یو ایس میٹل "/>
    <s v="LDN"/>
    <n v="7"/>
    <n v="10"/>
    <s v="پیور"/>
    <n v="120"/>
    <x v="0"/>
    <n v="2"/>
    <n v="67.2"/>
    <n v="1.8"/>
    <n v="105"/>
    <x v="0"/>
    <n v="65.400000000000006"/>
    <m/>
    <m/>
    <x v="0"/>
    <x v="0"/>
    <m/>
    <m/>
    <x v="0"/>
    <x v="0"/>
    <m/>
    <x v="0"/>
    <x v="0"/>
    <x v="0"/>
    <x v="0"/>
    <x v="0"/>
    <m/>
    <m/>
    <m/>
    <m/>
    <x v="0"/>
    <x v="0"/>
    <m/>
    <x v="0"/>
    <m/>
    <x v="0"/>
    <x v="0"/>
    <x v="0"/>
    <x v="0"/>
    <x v="0"/>
  </r>
  <r>
    <x v="1"/>
    <x v="2"/>
    <s v="2960 J"/>
    <x v="28"/>
    <s v="یو ایس میٹل "/>
    <s v="LDN"/>
    <n v="7"/>
    <n v="10"/>
    <s v="پیور"/>
    <n v="120"/>
    <x v="0"/>
    <n v="2"/>
    <n v="67.599999999999994"/>
    <n v="1.6"/>
    <n v="49"/>
    <x v="0"/>
    <n v="66"/>
    <m/>
    <m/>
    <x v="0"/>
    <x v="0"/>
    <m/>
    <m/>
    <x v="0"/>
    <x v="0"/>
    <m/>
    <x v="0"/>
    <x v="0"/>
    <x v="0"/>
    <x v="0"/>
    <x v="0"/>
    <m/>
    <m/>
    <m/>
    <m/>
    <x v="0"/>
    <x v="0"/>
    <m/>
    <x v="0"/>
    <m/>
    <x v="0"/>
    <x v="0"/>
    <x v="0"/>
    <x v="0"/>
    <x v="0"/>
  </r>
  <r>
    <x v="1"/>
    <x v="2"/>
    <s v="2959 J"/>
    <x v="28"/>
    <s v="یو ایس میٹل "/>
    <s v="LDN"/>
    <n v="6"/>
    <n v="10"/>
    <s v="پیور"/>
    <n v="120"/>
    <x v="0"/>
    <n v="3"/>
    <n v="89.199999999999989"/>
    <n v="2.0999999999999996"/>
    <m/>
    <x v="0"/>
    <n v="87.1"/>
    <m/>
    <m/>
    <x v="0"/>
    <x v="0"/>
    <m/>
    <m/>
    <x v="0"/>
    <x v="0"/>
    <m/>
    <x v="0"/>
    <x v="0"/>
    <x v="0"/>
    <x v="0"/>
    <x v="0"/>
    <m/>
    <m/>
    <m/>
    <m/>
    <x v="0"/>
    <x v="0"/>
    <m/>
    <x v="0"/>
    <m/>
    <x v="0"/>
    <x v="0"/>
    <x v="0"/>
    <x v="0"/>
    <x v="0"/>
  </r>
  <r>
    <x v="0"/>
    <x v="3"/>
    <n v="2756"/>
    <x v="28"/>
    <s v="MATCO FOOD"/>
    <s v="LDN"/>
    <n v="23"/>
    <s v="70 G"/>
    <s v="SL"/>
    <n v="7000"/>
    <x v="0"/>
    <n v="2"/>
    <n v="251"/>
    <n v="5.6"/>
    <m/>
    <x v="0"/>
    <n v="245.4"/>
    <m/>
    <m/>
    <x v="0"/>
    <x v="0"/>
    <m/>
    <m/>
    <x v="0"/>
    <x v="0"/>
    <m/>
    <x v="0"/>
    <x v="0"/>
    <x v="0"/>
    <x v="0"/>
    <x v="0"/>
    <m/>
    <m/>
    <m/>
    <m/>
    <x v="0"/>
    <x v="0"/>
    <m/>
    <x v="0"/>
    <m/>
    <x v="0"/>
    <x v="0"/>
    <x v="0"/>
    <x v="0"/>
    <x v="0"/>
  </r>
  <r>
    <x v="1"/>
    <x v="3"/>
    <n v="2756"/>
    <x v="28"/>
    <s v="MATCO FOOD"/>
    <s v="LDN"/>
    <n v="23"/>
    <s v="70 G"/>
    <s v="SL"/>
    <n v="7000"/>
    <x v="0"/>
    <n v="3"/>
    <n v="371.6"/>
    <n v="8.3999999999999986"/>
    <m/>
    <x v="0"/>
    <n v="363.20000000000005"/>
    <m/>
    <m/>
    <x v="0"/>
    <x v="0"/>
    <m/>
    <m/>
    <x v="0"/>
    <x v="0"/>
    <m/>
    <x v="0"/>
    <x v="0"/>
    <x v="0"/>
    <x v="0"/>
    <x v="0"/>
    <m/>
    <m/>
    <m/>
    <m/>
    <x v="0"/>
    <x v="0"/>
    <m/>
    <x v="0"/>
    <m/>
    <x v="0"/>
    <x v="0"/>
    <x v="0"/>
    <x v="0"/>
    <x v="0"/>
  </r>
  <r>
    <x v="0"/>
    <x v="4"/>
    <s v="9531 A"/>
    <x v="28"/>
    <s v="سادہ رول جیلانی پولی سٹاک"/>
    <s v="LDN"/>
    <s v="26 شیٹ"/>
    <s v="8-8.5/16-17"/>
    <s v="پیور"/>
    <n v="2000"/>
    <x v="0"/>
    <n v="6"/>
    <n v="507.4"/>
    <n v="19.200000000000003"/>
    <m/>
    <x v="0"/>
    <n v="488.2"/>
    <m/>
    <m/>
    <x v="0"/>
    <x v="0"/>
    <m/>
    <m/>
    <x v="0"/>
    <x v="0"/>
    <m/>
    <x v="0"/>
    <x v="0"/>
    <x v="0"/>
    <x v="0"/>
    <x v="0"/>
    <m/>
    <m/>
    <m/>
    <m/>
    <x v="0"/>
    <x v="0"/>
    <m/>
    <x v="0"/>
    <m/>
    <x v="0"/>
    <x v="0"/>
    <x v="0"/>
    <x v="0"/>
    <x v="0"/>
  </r>
  <r>
    <x v="1"/>
    <x v="4"/>
    <n v="2763"/>
    <x v="28"/>
    <s v="HEAD OFFICE JILANI OFFICE"/>
    <s v="LDN"/>
    <n v="24"/>
    <s v="34-35"/>
    <s v="SL"/>
    <n v="250"/>
    <x v="0"/>
    <n v="10"/>
    <n v="223.39999999999998"/>
    <n v="30"/>
    <m/>
    <x v="0"/>
    <n v="193.39999999999998"/>
    <m/>
    <m/>
    <x v="0"/>
    <x v="0"/>
    <m/>
    <m/>
    <x v="0"/>
    <x v="0"/>
    <m/>
    <x v="0"/>
    <x v="0"/>
    <x v="0"/>
    <x v="0"/>
    <x v="0"/>
    <m/>
    <m/>
    <m/>
    <m/>
    <x v="0"/>
    <x v="0"/>
    <m/>
    <x v="0"/>
    <m/>
    <x v="0"/>
    <x v="0"/>
    <x v="0"/>
    <x v="0"/>
    <x v="0"/>
  </r>
  <r>
    <x v="1"/>
    <x v="4"/>
    <n v="2759"/>
    <x v="28"/>
    <s v="OLYMPIA"/>
    <s v="LDN"/>
    <n v="29"/>
    <s v="88 G"/>
    <s v="SL"/>
    <n v="2700"/>
    <x v="0"/>
    <n v="5"/>
    <n v="466.6"/>
    <n v="37.4"/>
    <m/>
    <x v="0"/>
    <n v="429.20000000000005"/>
    <m/>
    <m/>
    <x v="0"/>
    <x v="0"/>
    <m/>
    <m/>
    <x v="0"/>
    <x v="0"/>
    <m/>
    <x v="0"/>
    <x v="0"/>
    <x v="0"/>
    <x v="0"/>
    <x v="0"/>
    <m/>
    <m/>
    <m/>
    <m/>
    <x v="0"/>
    <x v="0"/>
    <m/>
    <x v="0"/>
    <m/>
    <x v="0"/>
    <x v="0"/>
    <x v="0"/>
    <x v="0"/>
    <x v="0"/>
  </r>
  <r>
    <x v="0"/>
    <x v="5"/>
    <s v="1746 F"/>
    <x v="28"/>
    <s v="سادہ لفافہ"/>
    <s v="LDN"/>
    <n v="13"/>
    <s v="7-7.5"/>
    <s v="پیور"/>
    <n v="560"/>
    <x v="0"/>
    <n v="2"/>
    <n v="85.699999999999989"/>
    <n v="3"/>
    <m/>
    <x v="0"/>
    <n v="82.699999999999989"/>
    <m/>
    <m/>
    <x v="0"/>
    <x v="0"/>
    <m/>
    <m/>
    <x v="0"/>
    <x v="0"/>
    <m/>
    <x v="0"/>
    <x v="0"/>
    <x v="0"/>
    <x v="0"/>
    <x v="0"/>
    <m/>
    <m/>
    <m/>
    <m/>
    <x v="0"/>
    <x v="0"/>
    <m/>
    <x v="0"/>
    <m/>
    <x v="0"/>
    <x v="0"/>
    <x v="0"/>
    <x v="0"/>
    <x v="0"/>
  </r>
  <r>
    <x v="1"/>
    <x v="5"/>
    <s v="1746 F"/>
    <x v="28"/>
    <s v="سادہ لفافہ"/>
    <s v="LDN"/>
    <n v="13"/>
    <s v="7-7.5"/>
    <s v="پیور"/>
    <n v="560"/>
    <x v="0"/>
    <n v="2"/>
    <n v="97"/>
    <n v="3.6"/>
    <m/>
    <x v="0"/>
    <n v="93.4"/>
    <m/>
    <m/>
    <x v="0"/>
    <x v="0"/>
    <m/>
    <m/>
    <x v="0"/>
    <x v="0"/>
    <m/>
    <x v="0"/>
    <x v="0"/>
    <x v="0"/>
    <x v="0"/>
    <x v="0"/>
    <m/>
    <m/>
    <m/>
    <m/>
    <x v="0"/>
    <x v="0"/>
    <m/>
    <x v="0"/>
    <m/>
    <x v="0"/>
    <x v="0"/>
    <x v="0"/>
    <x v="0"/>
    <x v="0"/>
  </r>
  <r>
    <x v="1"/>
    <x v="5"/>
    <s v="1757 F"/>
    <x v="28"/>
    <s v="سادہ لفافہ"/>
    <s v="LDN"/>
    <n v="14"/>
    <s v="12"/>
    <s v="پیور"/>
    <n v="300"/>
    <x v="0"/>
    <n v="3"/>
    <n v="166.5"/>
    <n v="0.42000000000000004"/>
    <m/>
    <x v="0"/>
    <n v="166.08"/>
    <m/>
    <m/>
    <x v="0"/>
    <x v="0"/>
    <m/>
    <m/>
    <x v="0"/>
    <x v="0"/>
    <m/>
    <x v="0"/>
    <x v="0"/>
    <x v="0"/>
    <x v="0"/>
    <x v="0"/>
    <m/>
    <m/>
    <m/>
    <m/>
    <x v="0"/>
    <x v="0"/>
    <m/>
    <x v="0"/>
    <m/>
    <x v="0"/>
    <x v="0"/>
    <x v="0"/>
    <x v="0"/>
    <x v="0"/>
  </r>
  <r>
    <x v="0"/>
    <x v="2"/>
    <s v="2959 J"/>
    <x v="29"/>
    <s v="یو ایس میٹل "/>
    <s v="LDN"/>
    <n v="6"/>
    <n v="10"/>
    <s v="پیور"/>
    <n v="120"/>
    <x v="0"/>
    <n v="1"/>
    <n v="31"/>
    <n v="0.8"/>
    <n v="5"/>
    <x v="0"/>
    <n v="30.2"/>
    <m/>
    <m/>
    <x v="0"/>
    <x v="0"/>
    <m/>
    <m/>
    <x v="0"/>
    <x v="0"/>
    <m/>
    <x v="0"/>
    <x v="0"/>
    <x v="0"/>
    <x v="0"/>
    <x v="0"/>
    <m/>
    <m/>
    <m/>
    <m/>
    <x v="0"/>
    <x v="0"/>
    <m/>
    <x v="0"/>
    <m/>
    <x v="0"/>
    <x v="0"/>
    <x v="0"/>
    <x v="0"/>
    <x v="0"/>
  </r>
  <r>
    <x v="0"/>
    <x v="2"/>
    <s v="2958 J"/>
    <x v="29"/>
    <s v="یو ایس میٹل "/>
    <s v="LDN"/>
    <n v="5"/>
    <n v="10"/>
    <s v="پیور"/>
    <n v="120"/>
    <x v="0"/>
    <n v="4"/>
    <n v="112.4"/>
    <n v="2.8"/>
    <m/>
    <x v="0"/>
    <n v="109.60000000000001"/>
    <m/>
    <m/>
    <x v="0"/>
    <x v="0"/>
    <m/>
    <m/>
    <x v="0"/>
    <x v="0"/>
    <m/>
    <x v="0"/>
    <x v="0"/>
    <x v="0"/>
    <x v="0"/>
    <x v="0"/>
    <m/>
    <m/>
    <m/>
    <m/>
    <x v="0"/>
    <x v="0"/>
    <m/>
    <x v="0"/>
    <m/>
    <x v="0"/>
    <x v="0"/>
    <x v="0"/>
    <x v="0"/>
    <x v="0"/>
  </r>
  <r>
    <x v="0"/>
    <x v="2"/>
    <s v="2957 J"/>
    <x v="29"/>
    <s v="یو ایس میٹل "/>
    <s v="LDN"/>
    <n v="4"/>
    <n v="10"/>
    <s v="پیور"/>
    <n v="120"/>
    <x v="0"/>
    <n v="1"/>
    <n v="20.8"/>
    <n v="0.6"/>
    <m/>
    <x v="0"/>
    <n v="20.2"/>
    <m/>
    <m/>
    <x v="0"/>
    <x v="0"/>
    <m/>
    <m/>
    <x v="0"/>
    <x v="0"/>
    <m/>
    <x v="0"/>
    <x v="0"/>
    <x v="0"/>
    <x v="0"/>
    <x v="0"/>
    <m/>
    <m/>
    <m/>
    <m/>
    <x v="0"/>
    <x v="0"/>
    <m/>
    <x v="0"/>
    <m/>
    <x v="0"/>
    <x v="0"/>
    <x v="0"/>
    <x v="0"/>
    <x v="0"/>
  </r>
  <r>
    <x v="1"/>
    <x v="2"/>
    <s v="2993 J"/>
    <x v="29"/>
    <s v="بولان لفافہ"/>
    <s v="LDN"/>
    <n v="10.5"/>
    <s v="6-6.5"/>
    <s v="پیور"/>
    <n v="500"/>
    <x v="0"/>
    <n v="4"/>
    <n v="157.4"/>
    <n v="6.8"/>
    <m/>
    <x v="0"/>
    <n v="150.6"/>
    <m/>
    <m/>
    <x v="0"/>
    <x v="0"/>
    <m/>
    <m/>
    <x v="0"/>
    <x v="0"/>
    <m/>
    <x v="0"/>
    <x v="0"/>
    <x v="0"/>
    <x v="0"/>
    <x v="0"/>
    <m/>
    <m/>
    <m/>
    <m/>
    <x v="0"/>
    <x v="0"/>
    <m/>
    <x v="0"/>
    <m/>
    <x v="0"/>
    <x v="0"/>
    <x v="0"/>
    <x v="0"/>
    <x v="0"/>
  </r>
  <r>
    <x v="0"/>
    <x v="3"/>
    <n v="2756"/>
    <x v="29"/>
    <s v="MATCO FOOD"/>
    <s v="LDN"/>
    <n v="23"/>
    <s v="70 G"/>
    <s v="SL"/>
    <n v="7000"/>
    <x v="0"/>
    <n v="2"/>
    <n v="244.8"/>
    <n v="5.6"/>
    <n v="13"/>
    <x v="0"/>
    <n v="239.20000000000002"/>
    <m/>
    <m/>
    <x v="0"/>
    <x v="0"/>
    <m/>
    <m/>
    <x v="0"/>
    <x v="0"/>
    <m/>
    <x v="0"/>
    <x v="0"/>
    <x v="0"/>
    <x v="0"/>
    <x v="0"/>
    <m/>
    <m/>
    <m/>
    <m/>
    <x v="0"/>
    <x v="0"/>
    <m/>
    <x v="0"/>
    <m/>
    <x v="0"/>
    <x v="0"/>
    <x v="0"/>
    <x v="0"/>
    <x v="0"/>
  </r>
  <r>
    <x v="0"/>
    <x v="3"/>
    <s v="1756 F"/>
    <x v="29"/>
    <s v="سادہ لفافہ"/>
    <s v="LDN"/>
    <n v="19"/>
    <s v="12"/>
    <s v="پیور"/>
    <n v="600"/>
    <x v="0"/>
    <n v="3"/>
    <n v="229.8"/>
    <n v="6.6000000000000005"/>
    <m/>
    <x v="0"/>
    <n v="223.20000000000002"/>
    <m/>
    <m/>
    <x v="0"/>
    <x v="0"/>
    <m/>
    <m/>
    <x v="0"/>
    <x v="0"/>
    <m/>
    <x v="0"/>
    <x v="0"/>
    <x v="0"/>
    <x v="0"/>
    <x v="0"/>
    <m/>
    <m/>
    <m/>
    <m/>
    <x v="0"/>
    <x v="0"/>
    <m/>
    <x v="0"/>
    <m/>
    <x v="0"/>
    <x v="0"/>
    <x v="0"/>
    <x v="0"/>
    <x v="0"/>
  </r>
  <r>
    <x v="1"/>
    <x v="3"/>
    <s v="1756 F"/>
    <x v="29"/>
    <s v="سادہ لفافہ"/>
    <s v="LDN"/>
    <n v="19"/>
    <s v="12"/>
    <s v="پیور"/>
    <n v="600"/>
    <x v="0"/>
    <n v="5"/>
    <n v="333.4"/>
    <n v="11"/>
    <n v="2"/>
    <x v="0"/>
    <n v="322.39999999999998"/>
    <m/>
    <m/>
    <x v="0"/>
    <x v="0"/>
    <m/>
    <m/>
    <x v="0"/>
    <x v="0"/>
    <m/>
    <x v="0"/>
    <x v="0"/>
    <x v="0"/>
    <x v="0"/>
    <x v="0"/>
    <m/>
    <m/>
    <m/>
    <m/>
    <x v="0"/>
    <x v="0"/>
    <m/>
    <x v="0"/>
    <m/>
    <x v="0"/>
    <x v="0"/>
    <x v="0"/>
    <x v="0"/>
    <x v="0"/>
  </r>
  <r>
    <x v="0"/>
    <x v="4"/>
    <n v="2759"/>
    <x v="29"/>
    <s v="OLYMPIA"/>
    <s v="LDN"/>
    <n v="29"/>
    <s v="88 G"/>
    <s v="SL"/>
    <n v="2700"/>
    <x v="0"/>
    <n v="3"/>
    <n v="256"/>
    <n v="10.8"/>
    <n v="45"/>
    <x v="0"/>
    <n v="245.2"/>
    <m/>
    <m/>
    <x v="0"/>
    <x v="0"/>
    <m/>
    <m/>
    <x v="0"/>
    <x v="0"/>
    <m/>
    <x v="0"/>
    <x v="0"/>
    <x v="0"/>
    <x v="0"/>
    <x v="0"/>
    <m/>
    <m/>
    <m/>
    <m/>
    <x v="0"/>
    <x v="0"/>
    <m/>
    <x v="0"/>
    <m/>
    <x v="0"/>
    <x v="0"/>
    <x v="0"/>
    <x v="0"/>
    <x v="0"/>
  </r>
  <r>
    <x v="0"/>
    <x v="4"/>
    <s v="9531 A"/>
    <x v="29"/>
    <s v="سادہ رول جیلانی پولی سٹاک"/>
    <s v="LDN"/>
    <s v="26 شیٹ"/>
    <s v="8-8.5/16-17"/>
    <s v="پیور"/>
    <n v="2000"/>
    <x v="0"/>
    <n v="2"/>
    <n v="204"/>
    <n v="6.8"/>
    <m/>
    <x v="0"/>
    <n v="197.2"/>
    <m/>
    <m/>
    <x v="0"/>
    <x v="0"/>
    <m/>
    <m/>
    <x v="0"/>
    <x v="0"/>
    <m/>
    <x v="0"/>
    <x v="0"/>
    <x v="0"/>
    <x v="0"/>
    <x v="0"/>
    <m/>
    <m/>
    <m/>
    <m/>
    <x v="0"/>
    <x v="0"/>
    <m/>
    <x v="0"/>
    <m/>
    <x v="0"/>
    <x v="0"/>
    <x v="0"/>
    <x v="0"/>
    <x v="0"/>
  </r>
  <r>
    <x v="1"/>
    <x v="4"/>
    <s v="1802 F"/>
    <x v="29"/>
    <s v="Urban Warning"/>
    <s v="LDN"/>
    <n v="26.5"/>
    <s v="8"/>
    <s v="پیور"/>
    <n v="190"/>
    <x v="0"/>
    <n v="3"/>
    <n v="187.6"/>
    <n v="9.6000000000000014"/>
    <n v="50"/>
    <x v="0"/>
    <n v="178"/>
    <m/>
    <m/>
    <x v="0"/>
    <x v="0"/>
    <m/>
    <m/>
    <x v="0"/>
    <x v="0"/>
    <m/>
    <x v="0"/>
    <x v="0"/>
    <x v="0"/>
    <x v="0"/>
    <x v="0"/>
    <m/>
    <m/>
    <m/>
    <m/>
    <x v="0"/>
    <x v="0"/>
    <m/>
    <x v="0"/>
    <m/>
    <x v="0"/>
    <x v="0"/>
    <x v="0"/>
    <x v="0"/>
    <x v="0"/>
  </r>
  <r>
    <x v="1"/>
    <x v="4"/>
    <s v="1793 F"/>
    <x v="29"/>
    <s v="سادہ لفافہ"/>
    <s v="LDN"/>
    <n v="26"/>
    <s v="7-7.5"/>
    <s v="پیور"/>
    <n v="24"/>
    <x v="0"/>
    <n v="1"/>
    <n v="58"/>
    <n v="3.2"/>
    <m/>
    <x v="0"/>
    <n v="54.8"/>
    <m/>
    <m/>
    <x v="0"/>
    <x v="0"/>
    <m/>
    <m/>
    <x v="0"/>
    <x v="0"/>
    <m/>
    <x v="0"/>
    <x v="0"/>
    <x v="0"/>
    <x v="0"/>
    <x v="0"/>
    <m/>
    <m/>
    <m/>
    <m/>
    <x v="0"/>
    <x v="0"/>
    <m/>
    <x v="0"/>
    <m/>
    <x v="0"/>
    <x v="0"/>
    <x v="0"/>
    <x v="0"/>
    <x v="0"/>
  </r>
  <r>
    <x v="1"/>
    <x v="4"/>
    <s v="1772 F"/>
    <x v="29"/>
    <s v="ERIMA وارننگ"/>
    <s v="LDN"/>
    <n v="28"/>
    <s v="8"/>
    <s v="جیلانی شیٹ"/>
    <n v="100"/>
    <x v="0"/>
    <n v="4"/>
    <n v="157.19999999999999"/>
    <n v="13.6"/>
    <m/>
    <x v="0"/>
    <n v="143.6"/>
    <m/>
    <m/>
    <x v="0"/>
    <x v="0"/>
    <m/>
    <m/>
    <x v="0"/>
    <x v="0"/>
    <m/>
    <x v="0"/>
    <x v="0"/>
    <x v="0"/>
    <x v="0"/>
    <x v="0"/>
    <m/>
    <m/>
    <m/>
    <m/>
    <x v="0"/>
    <x v="0"/>
    <m/>
    <x v="0"/>
    <m/>
    <x v="0"/>
    <x v="0"/>
    <x v="0"/>
    <x v="0"/>
    <x v="0"/>
  </r>
  <r>
    <x v="1"/>
    <x v="4"/>
    <s v="1790 F"/>
    <x v="29"/>
    <s v="ڈبل ٹریٹ بریڈ شیٹ"/>
    <s v="LDN"/>
    <s v="38شیٹ"/>
    <s v="3.5.4/7.8"/>
    <s v="پیور"/>
    <n v="300"/>
    <x v="0"/>
    <n v="4"/>
    <n v="303.2"/>
    <n v="19.2"/>
    <m/>
    <x v="0"/>
    <n v="284"/>
    <m/>
    <m/>
    <x v="0"/>
    <x v="0"/>
    <m/>
    <m/>
    <x v="0"/>
    <x v="0"/>
    <m/>
    <x v="0"/>
    <x v="0"/>
    <x v="0"/>
    <x v="0"/>
    <x v="0"/>
    <m/>
    <m/>
    <m/>
    <m/>
    <x v="0"/>
    <x v="0"/>
    <m/>
    <x v="0"/>
    <m/>
    <x v="0"/>
    <x v="0"/>
    <x v="0"/>
    <x v="0"/>
    <x v="0"/>
  </r>
  <r>
    <x v="0"/>
    <x v="5"/>
    <s v="1757 F"/>
    <x v="29"/>
    <s v="سادہ لفافہ"/>
    <s v="LDN"/>
    <n v="14"/>
    <s v="12"/>
    <s v="پیور"/>
    <n v="300"/>
    <x v="0"/>
    <n v="3"/>
    <n v="149.19999999999999"/>
    <n v="5.4"/>
    <n v="10"/>
    <x v="0"/>
    <n v="143.79999999999998"/>
    <m/>
    <m/>
    <x v="0"/>
    <x v="0"/>
    <m/>
    <m/>
    <x v="0"/>
    <x v="0"/>
    <m/>
    <x v="0"/>
    <x v="0"/>
    <x v="0"/>
    <x v="0"/>
    <x v="0"/>
    <m/>
    <m/>
    <m/>
    <m/>
    <x v="0"/>
    <x v="0"/>
    <m/>
    <x v="0"/>
    <m/>
    <x v="0"/>
    <x v="0"/>
    <x v="0"/>
    <x v="0"/>
    <x v="0"/>
  </r>
  <r>
    <x v="0"/>
    <x v="5"/>
    <s v="1798 F"/>
    <x v="29"/>
    <s v="اربن وارننگ"/>
    <s v="LDN"/>
    <n v="19"/>
    <s v="7.5-8"/>
    <s v="پیور"/>
    <n v="213"/>
    <x v="0"/>
    <n v="4"/>
    <n v="211.7"/>
    <n v="9.6"/>
    <m/>
    <x v="0"/>
    <n v="202.1"/>
    <m/>
    <m/>
    <x v="0"/>
    <x v="0"/>
    <m/>
    <m/>
    <x v="0"/>
    <x v="0"/>
    <m/>
    <x v="0"/>
    <x v="0"/>
    <x v="0"/>
    <x v="0"/>
    <x v="0"/>
    <m/>
    <m/>
    <m/>
    <m/>
    <x v="0"/>
    <x v="0"/>
    <m/>
    <x v="0"/>
    <m/>
    <x v="0"/>
    <x v="0"/>
    <x v="0"/>
    <x v="0"/>
    <x v="0"/>
  </r>
  <r>
    <x v="1"/>
    <x v="5"/>
    <s v="1776 F"/>
    <x v="29"/>
    <s v="KAPPA OMINI"/>
    <s v="LDN"/>
    <n v="19"/>
    <s v="12"/>
    <s v="پیور"/>
    <n v="300"/>
    <x v="0"/>
    <n v="4"/>
    <n v="294.2"/>
    <n v="9"/>
    <m/>
    <x v="0"/>
    <n v="285.2"/>
    <m/>
    <m/>
    <x v="0"/>
    <x v="0"/>
    <m/>
    <m/>
    <x v="0"/>
    <x v="0"/>
    <m/>
    <x v="0"/>
    <x v="0"/>
    <x v="0"/>
    <x v="0"/>
    <x v="0"/>
    <m/>
    <m/>
    <m/>
    <m/>
    <x v="0"/>
    <x v="0"/>
    <m/>
    <x v="0"/>
    <m/>
    <x v="0"/>
    <x v="0"/>
    <x v="0"/>
    <x v="0"/>
    <x v="0"/>
  </r>
  <r>
    <x v="0"/>
    <x v="0"/>
    <s v="2957 J"/>
    <x v="30"/>
    <s v="یو ایس میٹل "/>
    <s v="LDN"/>
    <n v="4"/>
    <n v="10"/>
    <s v="پیور"/>
    <n v="120"/>
    <x v="0"/>
    <n v="3"/>
    <n v="73.2"/>
    <n v="1.7999999999999998"/>
    <n v="10"/>
    <x v="0"/>
    <n v="71.400000000000006"/>
    <m/>
    <m/>
    <x v="0"/>
    <x v="0"/>
    <m/>
    <m/>
    <x v="0"/>
    <x v="0"/>
    <m/>
    <x v="0"/>
    <x v="0"/>
    <x v="0"/>
    <x v="0"/>
    <x v="0"/>
    <m/>
    <m/>
    <m/>
    <m/>
    <x v="0"/>
    <x v="0"/>
    <m/>
    <x v="0"/>
    <m/>
    <x v="0"/>
    <x v="0"/>
    <x v="0"/>
    <x v="0"/>
    <x v="0"/>
  </r>
  <r>
    <x v="1"/>
    <x v="0"/>
    <s v="3068 J"/>
    <x v="30"/>
    <s v="Smart Food Logo"/>
    <s v="LDN"/>
    <n v="5"/>
    <s v="12-12.5"/>
    <s v="پیور"/>
    <n v="100"/>
    <x v="0"/>
    <n v="2"/>
    <n v="44.2"/>
    <n v="1.2"/>
    <n v="2"/>
    <x v="0"/>
    <n v="43"/>
    <m/>
    <m/>
    <x v="0"/>
    <x v="0"/>
    <m/>
    <m/>
    <x v="0"/>
    <x v="0"/>
    <m/>
    <x v="0"/>
    <x v="0"/>
    <x v="0"/>
    <x v="0"/>
    <x v="0"/>
    <m/>
    <m/>
    <m/>
    <m/>
    <x v="0"/>
    <x v="0"/>
    <m/>
    <x v="0"/>
    <m/>
    <x v="0"/>
    <x v="0"/>
    <x v="0"/>
    <x v="0"/>
    <x v="0"/>
  </r>
  <r>
    <x v="1"/>
    <x v="0"/>
    <s v="3066 J"/>
    <x v="30"/>
    <s v="Smart Food 500 Gram"/>
    <s v="LDN"/>
    <n v="6"/>
    <s v="14-15"/>
    <s v="پیور"/>
    <n v="100"/>
    <x v="0"/>
    <n v="3"/>
    <n v="102.39999999999999"/>
    <n v="2.0999999999999996"/>
    <m/>
    <x v="0"/>
    <n v="100.3"/>
    <m/>
    <m/>
    <x v="0"/>
    <x v="0"/>
    <m/>
    <m/>
    <x v="0"/>
    <x v="0"/>
    <m/>
    <x v="0"/>
    <x v="0"/>
    <x v="0"/>
    <x v="0"/>
    <x v="0"/>
    <m/>
    <m/>
    <m/>
    <m/>
    <x v="0"/>
    <x v="0"/>
    <m/>
    <x v="0"/>
    <m/>
    <x v="0"/>
    <x v="0"/>
    <x v="0"/>
    <x v="0"/>
    <x v="0"/>
  </r>
  <r>
    <x v="0"/>
    <x v="2"/>
    <s v="2923 J"/>
    <x v="30"/>
    <s v="چوائس گارمنٹس"/>
    <s v="HD گرے"/>
    <s v="21+7+7"/>
    <s v="9-9.5/18-19"/>
    <s v="جیلانی"/>
    <n v="110"/>
    <x v="0"/>
    <n v="4"/>
    <n v="130"/>
    <n v="5.2"/>
    <n v="47"/>
    <x v="0"/>
    <n v="124.8"/>
    <m/>
    <m/>
    <x v="0"/>
    <x v="0"/>
    <m/>
    <m/>
    <x v="0"/>
    <x v="0"/>
    <m/>
    <x v="0"/>
    <x v="0"/>
    <x v="0"/>
    <x v="0"/>
    <x v="0"/>
    <m/>
    <m/>
    <m/>
    <m/>
    <x v="0"/>
    <x v="0"/>
    <m/>
    <x v="0"/>
    <m/>
    <x v="0"/>
    <x v="0"/>
    <x v="0"/>
    <x v="0"/>
    <x v="0"/>
  </r>
  <r>
    <x v="0"/>
    <x v="2"/>
    <s v="2992 J"/>
    <x v="30"/>
    <s v="بولان لفافہ"/>
    <s v="LDN"/>
    <n v="11"/>
    <s v="6-6.5"/>
    <s v="پیور"/>
    <n v="100"/>
    <x v="0"/>
    <n v="1"/>
    <n v="33.200000000000003"/>
    <m/>
    <m/>
    <x v="0"/>
    <n v="33.200000000000003"/>
    <m/>
    <m/>
    <x v="0"/>
    <x v="0"/>
    <m/>
    <m/>
    <x v="0"/>
    <x v="0"/>
    <m/>
    <x v="0"/>
    <x v="0"/>
    <x v="0"/>
    <x v="0"/>
    <x v="0"/>
    <m/>
    <m/>
    <m/>
    <m/>
    <x v="0"/>
    <x v="0"/>
    <m/>
    <x v="0"/>
    <m/>
    <x v="0"/>
    <x v="0"/>
    <x v="0"/>
    <x v="0"/>
    <x v="0"/>
  </r>
  <r>
    <x v="1"/>
    <x v="2"/>
    <s v="2993 J"/>
    <x v="30"/>
    <s v="بولان لفافہ"/>
    <s v="LDN"/>
    <n v="10.5"/>
    <s v="6-6.5"/>
    <s v="پیور"/>
    <n v="500"/>
    <x v="0"/>
    <n v="2"/>
    <n v="76.400000000000006"/>
    <n v="2.4"/>
    <n v="4"/>
    <x v="0"/>
    <n v="74"/>
    <m/>
    <m/>
    <x v="0"/>
    <x v="0"/>
    <m/>
    <m/>
    <x v="0"/>
    <x v="0"/>
    <m/>
    <x v="0"/>
    <x v="0"/>
    <x v="0"/>
    <x v="0"/>
    <x v="0"/>
    <m/>
    <m/>
    <m/>
    <m/>
    <x v="0"/>
    <x v="0"/>
    <m/>
    <x v="0"/>
    <m/>
    <x v="0"/>
    <x v="0"/>
    <x v="0"/>
    <x v="0"/>
    <x v="0"/>
  </r>
  <r>
    <x v="1"/>
    <x v="2"/>
    <s v="3029 J"/>
    <x v="30"/>
    <s v="Plain Dubble Treat Lafafa"/>
    <s v="LDN"/>
    <n v="10"/>
    <s v="9.5-10"/>
    <s v="پیور"/>
    <n v="600"/>
    <x v="0"/>
    <n v="2"/>
    <n v="94.6"/>
    <n v="2.4"/>
    <m/>
    <x v="0"/>
    <n v="92.199999999999989"/>
    <m/>
    <m/>
    <x v="0"/>
    <x v="0"/>
    <m/>
    <m/>
    <x v="0"/>
    <x v="0"/>
    <m/>
    <x v="0"/>
    <x v="0"/>
    <x v="0"/>
    <x v="0"/>
    <x v="0"/>
    <m/>
    <m/>
    <m/>
    <m/>
    <x v="0"/>
    <x v="0"/>
    <m/>
    <x v="0"/>
    <m/>
    <x v="0"/>
    <x v="0"/>
    <x v="0"/>
    <x v="0"/>
    <x v="0"/>
  </r>
  <r>
    <x v="0"/>
    <x v="3"/>
    <s v="1756 F"/>
    <x v="30"/>
    <s v="سادہ لفافہ"/>
    <s v="LDN"/>
    <n v="19"/>
    <s v="12"/>
    <s v="پیور"/>
    <n v="600"/>
    <x v="0"/>
    <n v="1"/>
    <n v="53.6"/>
    <n v="0.19"/>
    <n v="6"/>
    <x v="0"/>
    <n v="53.410000000000004"/>
    <m/>
    <m/>
    <x v="0"/>
    <x v="0"/>
    <m/>
    <m/>
    <x v="0"/>
    <x v="0"/>
    <m/>
    <x v="0"/>
    <x v="0"/>
    <x v="0"/>
    <x v="0"/>
    <x v="0"/>
    <m/>
    <m/>
    <m/>
    <m/>
    <x v="0"/>
    <x v="0"/>
    <m/>
    <x v="0"/>
    <m/>
    <x v="0"/>
    <x v="0"/>
    <x v="0"/>
    <x v="0"/>
    <x v="0"/>
  </r>
  <r>
    <x v="0"/>
    <x v="3"/>
    <s v="3045 J"/>
    <x v="30"/>
    <s v="Plain Lafafa Ahsan Cotton "/>
    <s v="LDN"/>
    <n v="22"/>
    <n v="6"/>
    <s v="AA کولٹی"/>
    <n v="200"/>
    <x v="0"/>
    <n v="2"/>
    <n v="150"/>
    <n v="5.2"/>
    <m/>
    <x v="0"/>
    <n v="144.80000000000001"/>
    <m/>
    <m/>
    <x v="0"/>
    <x v="0"/>
    <m/>
    <m/>
    <x v="0"/>
    <x v="0"/>
    <m/>
    <x v="0"/>
    <x v="0"/>
    <x v="0"/>
    <x v="0"/>
    <x v="0"/>
    <m/>
    <m/>
    <m/>
    <m/>
    <x v="0"/>
    <x v="0"/>
    <m/>
    <x v="0"/>
    <m/>
    <x v="0"/>
    <x v="0"/>
    <x v="0"/>
    <x v="0"/>
    <x v="0"/>
  </r>
  <r>
    <x v="0"/>
    <x v="3"/>
    <s v="3048 J"/>
    <x v="30"/>
    <s v="Plain Lafafa Ahsan Cotton "/>
    <s v="LDN"/>
    <n v="18"/>
    <n v="6"/>
    <s v="AA کولٹی"/>
    <n v="150"/>
    <x v="0"/>
    <n v="4"/>
    <n v="133.80000000000001"/>
    <n v="8.4"/>
    <m/>
    <x v="0"/>
    <n v="125.4"/>
    <m/>
    <m/>
    <x v="0"/>
    <x v="0"/>
    <m/>
    <m/>
    <x v="0"/>
    <x v="0"/>
    <m/>
    <x v="0"/>
    <x v="0"/>
    <x v="0"/>
    <x v="0"/>
    <x v="0"/>
    <m/>
    <m/>
    <m/>
    <m/>
    <x v="0"/>
    <x v="0"/>
    <m/>
    <x v="0"/>
    <m/>
    <x v="0"/>
    <x v="0"/>
    <x v="0"/>
    <x v="0"/>
    <x v="0"/>
  </r>
  <r>
    <x v="1"/>
    <x v="3"/>
    <s v="3045 J"/>
    <x v="30"/>
    <s v="Plain Lafafa Ahsan Cotton "/>
    <s v="LDN"/>
    <n v="22"/>
    <n v="6"/>
    <s v="AA کولٹی"/>
    <n v="200"/>
    <x v="0"/>
    <n v="2"/>
    <n v="73.599999999999994"/>
    <n v="5.2"/>
    <m/>
    <x v="0"/>
    <n v="68.399999999999991"/>
    <m/>
    <m/>
    <x v="0"/>
    <x v="0"/>
    <m/>
    <m/>
    <x v="0"/>
    <x v="0"/>
    <m/>
    <x v="0"/>
    <x v="0"/>
    <x v="0"/>
    <x v="0"/>
    <x v="0"/>
    <m/>
    <m/>
    <m/>
    <m/>
    <x v="0"/>
    <x v="0"/>
    <m/>
    <x v="0"/>
    <m/>
    <x v="0"/>
    <x v="0"/>
    <x v="0"/>
    <x v="0"/>
    <x v="0"/>
  </r>
  <r>
    <x v="1"/>
    <x v="3"/>
    <s v="3047 J"/>
    <x v="30"/>
    <s v="Plain Lafafa Ahsan Cotton "/>
    <s v="LDN"/>
    <n v="23"/>
    <n v="6"/>
    <s v="AA کولٹی"/>
    <n v="200"/>
    <x v="0"/>
    <n v="4"/>
    <n v="213"/>
    <n v="10.8"/>
    <m/>
    <x v="0"/>
    <n v="202.2"/>
    <m/>
    <m/>
    <x v="0"/>
    <x v="0"/>
    <m/>
    <m/>
    <x v="0"/>
    <x v="0"/>
    <m/>
    <x v="0"/>
    <x v="0"/>
    <x v="0"/>
    <x v="0"/>
    <x v="0"/>
    <m/>
    <m/>
    <m/>
    <m/>
    <x v="0"/>
    <x v="0"/>
    <m/>
    <x v="0"/>
    <m/>
    <x v="0"/>
    <x v="0"/>
    <x v="0"/>
    <x v="0"/>
    <x v="0"/>
  </r>
  <r>
    <x v="0"/>
    <x v="4"/>
    <s v="9531 A"/>
    <x v="30"/>
    <s v="سادہ رول جیلانی پولی سٹاک"/>
    <s v="LDN"/>
    <s v="26 شیٹ"/>
    <s v="8-8.5/16-17"/>
    <s v="پیور"/>
    <n v="2000"/>
    <x v="0"/>
    <n v="2"/>
    <n v="192.60000000000002"/>
    <n v="6.4"/>
    <m/>
    <x v="0"/>
    <n v="186.20000000000002"/>
    <m/>
    <m/>
    <x v="0"/>
    <x v="0"/>
    <m/>
    <m/>
    <x v="0"/>
    <x v="0"/>
    <m/>
    <x v="0"/>
    <x v="0"/>
    <x v="0"/>
    <x v="0"/>
    <x v="0"/>
    <m/>
    <m/>
    <m/>
    <m/>
    <x v="0"/>
    <x v="0"/>
    <m/>
    <x v="0"/>
    <m/>
    <x v="0"/>
    <x v="0"/>
    <x v="0"/>
    <x v="0"/>
    <x v="0"/>
  </r>
  <r>
    <x v="0"/>
    <x v="4"/>
    <s v="3061 J"/>
    <x v="30"/>
    <s v="ABC Al Botiqu Center"/>
    <s v="LDN"/>
    <n v="26"/>
    <s v="6-6.5"/>
    <s v="پیور"/>
    <n v="500"/>
    <x v="0"/>
    <n v="9"/>
    <n v="499"/>
    <n v="30.599999999999998"/>
    <m/>
    <x v="0"/>
    <n v="468.4"/>
    <m/>
    <m/>
    <x v="0"/>
    <x v="0"/>
    <m/>
    <m/>
    <x v="0"/>
    <x v="0"/>
    <m/>
    <x v="0"/>
    <x v="0"/>
    <x v="0"/>
    <x v="0"/>
    <x v="0"/>
    <m/>
    <m/>
    <m/>
    <m/>
    <x v="0"/>
    <x v="0"/>
    <m/>
    <x v="0"/>
    <m/>
    <x v="0"/>
    <x v="0"/>
    <x v="0"/>
    <x v="0"/>
    <x v="0"/>
  </r>
  <r>
    <x v="1"/>
    <x v="4"/>
    <s v="3062 J"/>
    <x v="30"/>
    <s v="ABC Al Botiqu Center"/>
    <s v="LDN"/>
    <n v="26"/>
    <s v="6-6.5"/>
    <s v="پیور"/>
    <n v="500"/>
    <x v="0"/>
    <n v="8"/>
    <n v="443.2"/>
    <n v="27.2"/>
    <n v="19"/>
    <x v="0"/>
    <n v="416"/>
    <m/>
    <m/>
    <x v="0"/>
    <x v="0"/>
    <m/>
    <m/>
    <x v="0"/>
    <x v="0"/>
    <m/>
    <x v="0"/>
    <x v="0"/>
    <x v="0"/>
    <x v="0"/>
    <x v="0"/>
    <m/>
    <m/>
    <m/>
    <m/>
    <x v="0"/>
    <x v="0"/>
    <m/>
    <x v="0"/>
    <m/>
    <x v="0"/>
    <x v="0"/>
    <x v="0"/>
    <x v="0"/>
    <x v="0"/>
  </r>
  <r>
    <x v="1"/>
    <x v="4"/>
    <s v="1810 F"/>
    <x v="30"/>
    <s v="BREAD SHEET"/>
    <s v="LDN"/>
    <s v="27 شیٹ"/>
    <s v="3.5-4/7.8"/>
    <s v="پیور"/>
    <n v="600"/>
    <x v="0"/>
    <n v="2"/>
    <n v="116.6"/>
    <n v="7.6"/>
    <m/>
    <x v="0"/>
    <n v="109"/>
    <m/>
    <m/>
    <x v="0"/>
    <x v="0"/>
    <m/>
    <m/>
    <x v="0"/>
    <x v="0"/>
    <m/>
    <x v="0"/>
    <x v="0"/>
    <x v="0"/>
    <x v="0"/>
    <x v="0"/>
    <m/>
    <m/>
    <m/>
    <m/>
    <x v="0"/>
    <x v="0"/>
    <m/>
    <x v="0"/>
    <m/>
    <x v="0"/>
    <x v="0"/>
    <x v="0"/>
    <x v="0"/>
    <x v="0"/>
  </r>
  <r>
    <x v="0"/>
    <x v="5"/>
    <n v="2561"/>
    <x v="30"/>
    <s v="ZABARDAST"/>
    <s v="HDN"/>
    <n v="24"/>
    <s v="30 G"/>
    <s v="AL UMER LINAR"/>
    <n v="30000"/>
    <x v="0"/>
    <n v="7"/>
    <n v="519.79999999999995"/>
    <n v="21"/>
    <n v="5"/>
    <x v="0"/>
    <n v="498.79999999999995"/>
    <m/>
    <m/>
    <x v="0"/>
    <x v="0"/>
    <m/>
    <m/>
    <x v="0"/>
    <x v="0"/>
    <m/>
    <x v="0"/>
    <x v="0"/>
    <x v="0"/>
    <x v="0"/>
    <x v="0"/>
    <m/>
    <m/>
    <m/>
    <m/>
    <x v="0"/>
    <x v="0"/>
    <m/>
    <x v="0"/>
    <m/>
    <x v="0"/>
    <x v="0"/>
    <x v="0"/>
    <x v="0"/>
    <x v="0"/>
  </r>
  <r>
    <x v="1"/>
    <x v="5"/>
    <s v="3071 J"/>
    <x v="30"/>
    <s v="Minar Brand "/>
    <s v="LDN"/>
    <n v="20"/>
    <s v="8-8.5"/>
    <s v="پیور"/>
    <n v="200"/>
    <x v="0"/>
    <n v="4"/>
    <n v="203.8"/>
    <n v="2"/>
    <n v="5.4"/>
    <x v="0"/>
    <n v="201.8"/>
    <m/>
    <m/>
    <x v="0"/>
    <x v="0"/>
    <m/>
    <m/>
    <x v="0"/>
    <x v="0"/>
    <m/>
    <x v="0"/>
    <x v="0"/>
    <x v="0"/>
    <x v="0"/>
    <x v="0"/>
    <m/>
    <m/>
    <m/>
    <m/>
    <x v="0"/>
    <x v="0"/>
    <m/>
    <x v="0"/>
    <m/>
    <x v="0"/>
    <x v="0"/>
    <x v="0"/>
    <x v="0"/>
    <x v="0"/>
  </r>
  <r>
    <x v="1"/>
    <x v="5"/>
    <s v="1807 F"/>
    <x v="30"/>
    <s v="DYNAMIC WARNING+LOGO"/>
    <s v="LDN"/>
    <n v="20"/>
    <s v="7-7.5"/>
    <s v="پیور"/>
    <n v="130"/>
    <x v="0"/>
    <n v="2"/>
    <n v="136.80000000000001"/>
    <n v="0.4"/>
    <m/>
    <x v="0"/>
    <n v="136.4"/>
    <m/>
    <m/>
    <x v="0"/>
    <x v="0"/>
    <m/>
    <m/>
    <x v="0"/>
    <x v="0"/>
    <m/>
    <x v="0"/>
    <x v="0"/>
    <x v="0"/>
    <x v="0"/>
    <x v="0"/>
    <m/>
    <m/>
    <m/>
    <m/>
    <x v="0"/>
    <x v="0"/>
    <m/>
    <x v="0"/>
    <m/>
    <x v="0"/>
    <x v="0"/>
    <x v="0"/>
    <x v="0"/>
    <x v="0"/>
  </r>
  <r>
    <x v="1"/>
    <x v="5"/>
    <s v="1294 F"/>
    <x v="30"/>
    <s v="سادہ لفافہ"/>
    <s v="PP"/>
    <n v="13"/>
    <s v="8"/>
    <s v="پیور"/>
    <n v="65"/>
    <x v="0"/>
    <n v="1"/>
    <n v="56.8"/>
    <n v="2.5"/>
    <m/>
    <x v="0"/>
    <n v="54.3"/>
    <m/>
    <m/>
    <x v="0"/>
    <x v="0"/>
    <m/>
    <m/>
    <x v="0"/>
    <x v="0"/>
    <m/>
    <x v="0"/>
    <x v="0"/>
    <x v="0"/>
    <x v="0"/>
    <x v="0"/>
    <m/>
    <m/>
    <m/>
    <m/>
    <x v="0"/>
    <x v="0"/>
    <m/>
    <x v="0"/>
    <m/>
    <x v="0"/>
    <x v="0"/>
    <x v="0"/>
    <x v="0"/>
    <x v="0"/>
  </r>
  <r>
    <x v="0"/>
    <x v="0"/>
    <s v="3069 j"/>
    <x v="31"/>
    <s v="Smart Food Logo"/>
    <s v="LDN"/>
    <n v="6"/>
    <s v="12-12.5"/>
    <s v="پیور"/>
    <n v="100"/>
    <x v="0"/>
    <n v="1"/>
    <n v="17.2"/>
    <n v="0.8"/>
    <n v="5"/>
    <x v="0"/>
    <n v="16.399999999999999"/>
    <m/>
    <m/>
    <x v="0"/>
    <x v="0"/>
    <m/>
    <m/>
    <x v="0"/>
    <x v="0"/>
    <m/>
    <x v="0"/>
    <x v="0"/>
    <x v="0"/>
    <x v="0"/>
    <x v="0"/>
    <m/>
    <m/>
    <m/>
    <m/>
    <x v="0"/>
    <x v="0"/>
    <m/>
    <x v="0"/>
    <m/>
    <x v="0"/>
    <x v="0"/>
    <x v="0"/>
    <x v="0"/>
    <x v="0"/>
  </r>
  <r>
    <x v="0"/>
    <x v="0"/>
    <s v="3066 J"/>
    <x v="31"/>
    <s v="Smart Food 500 Gram"/>
    <s v="LDN"/>
    <n v="6"/>
    <s v="14-15"/>
    <s v="پیور"/>
    <n v="100"/>
    <x v="0"/>
    <n v="3"/>
    <n v="110.8"/>
    <n v="2.4000000000000004"/>
    <m/>
    <x v="0"/>
    <n v="108.39999999999999"/>
    <m/>
    <m/>
    <x v="0"/>
    <x v="0"/>
    <m/>
    <m/>
    <x v="0"/>
    <x v="0"/>
    <m/>
    <x v="0"/>
    <x v="0"/>
    <x v="0"/>
    <x v="0"/>
    <x v="0"/>
    <m/>
    <m/>
    <m/>
    <m/>
    <x v="0"/>
    <x v="0"/>
    <m/>
    <x v="0"/>
    <m/>
    <x v="0"/>
    <x v="0"/>
    <x v="0"/>
    <x v="0"/>
    <x v="0"/>
  </r>
  <r>
    <x v="1"/>
    <x v="0"/>
    <s v="3067 J"/>
    <x v="31"/>
    <s v="Smart Food 1  KG"/>
    <s v="LDN"/>
    <n v="7"/>
    <s v="14-15"/>
    <s v="پیور"/>
    <n v="100"/>
    <x v="0"/>
    <n v="3"/>
    <n v="104.60000000000001"/>
    <n v="2.4000000000000004"/>
    <m/>
    <x v="0"/>
    <n v="102.2"/>
    <m/>
    <m/>
    <x v="0"/>
    <x v="0"/>
    <m/>
    <m/>
    <x v="0"/>
    <x v="0"/>
    <m/>
    <x v="0"/>
    <x v="0"/>
    <x v="0"/>
    <x v="0"/>
    <x v="0"/>
    <m/>
    <m/>
    <m/>
    <m/>
    <x v="0"/>
    <x v="0"/>
    <m/>
    <x v="0"/>
    <m/>
    <x v="0"/>
    <x v="0"/>
    <x v="0"/>
    <x v="0"/>
    <x v="0"/>
  </r>
  <r>
    <x v="1"/>
    <x v="0"/>
    <s v="3110 J"/>
    <x v="31"/>
    <s v="Atlas Honda LTD (SKP)"/>
    <s v="LDN"/>
    <n v="8"/>
    <s v="8.5-9"/>
    <s v="LDN"/>
    <n v="2"/>
    <x v="0"/>
    <n v="1"/>
    <n v="37.4"/>
    <n v="0.9"/>
    <m/>
    <x v="0"/>
    <n v="36.5"/>
    <m/>
    <m/>
    <x v="0"/>
    <x v="0"/>
    <m/>
    <m/>
    <x v="0"/>
    <x v="0"/>
    <m/>
    <x v="0"/>
    <x v="0"/>
    <x v="0"/>
    <x v="0"/>
    <x v="0"/>
    <m/>
    <m/>
    <m/>
    <m/>
    <x v="0"/>
    <x v="0"/>
    <m/>
    <x v="0"/>
    <m/>
    <x v="0"/>
    <x v="0"/>
    <x v="0"/>
    <x v="0"/>
    <x v="0"/>
  </r>
  <r>
    <x v="0"/>
    <x v="2"/>
    <s v="3029 J"/>
    <x v="31"/>
    <s v="Plain Dubble Treat Lafafa"/>
    <s v="LDN"/>
    <n v="10"/>
    <s v="9.5-10"/>
    <s v="پیور"/>
    <n v="600"/>
    <x v="0"/>
    <n v="5"/>
    <n v="200.2"/>
    <n v="6"/>
    <m/>
    <x v="0"/>
    <n v="194.2"/>
    <m/>
    <m/>
    <x v="0"/>
    <x v="0"/>
    <m/>
    <m/>
    <x v="0"/>
    <x v="0"/>
    <m/>
    <x v="0"/>
    <x v="0"/>
    <x v="0"/>
    <x v="0"/>
    <x v="0"/>
    <m/>
    <m/>
    <m/>
    <m/>
    <x v="0"/>
    <x v="0"/>
    <m/>
    <x v="0"/>
    <m/>
    <x v="0"/>
    <x v="0"/>
    <x v="0"/>
    <x v="0"/>
    <x v="0"/>
  </r>
  <r>
    <x v="1"/>
    <x v="2"/>
    <s v="3029 J"/>
    <x v="31"/>
    <s v="Plain Dubble Treat Lafafa"/>
    <s v="LDN"/>
    <n v="10"/>
    <s v="9.5-10"/>
    <s v="پیور"/>
    <n v="600"/>
    <x v="0"/>
    <n v="4"/>
    <n v="189.8"/>
    <n v="4.8"/>
    <m/>
    <x v="0"/>
    <n v="185"/>
    <m/>
    <m/>
    <x v="0"/>
    <x v="0"/>
    <m/>
    <m/>
    <x v="0"/>
    <x v="0"/>
    <m/>
    <x v="0"/>
    <x v="0"/>
    <x v="0"/>
    <x v="0"/>
    <x v="0"/>
    <m/>
    <m/>
    <m/>
    <m/>
    <x v="0"/>
    <x v="0"/>
    <m/>
    <x v="0"/>
    <m/>
    <x v="0"/>
    <x v="0"/>
    <x v="0"/>
    <x v="0"/>
    <x v="0"/>
  </r>
  <r>
    <x v="0"/>
    <x v="3"/>
    <s v="3046 J"/>
    <x v="31"/>
    <s v="Plain Lafafa Ahsan Cotton "/>
    <s v="LDN"/>
    <n v="25"/>
    <n v="6"/>
    <s v="AA کولٹی"/>
    <n v="200"/>
    <x v="0"/>
    <n v="3"/>
    <n v="221"/>
    <n v="9.3000000000000007"/>
    <n v="4"/>
    <x v="0"/>
    <n v="211.7"/>
    <m/>
    <m/>
    <x v="0"/>
    <x v="0"/>
    <m/>
    <m/>
    <x v="0"/>
    <x v="0"/>
    <m/>
    <x v="0"/>
    <x v="0"/>
    <x v="0"/>
    <x v="0"/>
    <x v="0"/>
    <m/>
    <m/>
    <m/>
    <m/>
    <x v="0"/>
    <x v="0"/>
    <m/>
    <x v="0"/>
    <m/>
    <x v="0"/>
    <x v="0"/>
    <x v="0"/>
    <x v="0"/>
    <x v="0"/>
  </r>
  <r>
    <x v="0"/>
    <x v="3"/>
    <s v="3044 J"/>
    <x v="31"/>
    <s v="Plain Lafafa Ahsan Cotton "/>
    <s v="LDN"/>
    <n v="14"/>
    <n v="12"/>
    <s v="AA کولٹی"/>
    <n v="200"/>
    <x v="0"/>
    <n v="2"/>
    <n v="97.6"/>
    <n v="3.2"/>
    <m/>
    <x v="0"/>
    <n v="94.399999999999991"/>
    <m/>
    <m/>
    <x v="0"/>
    <x v="0"/>
    <m/>
    <m/>
    <x v="0"/>
    <x v="0"/>
    <m/>
    <x v="0"/>
    <x v="0"/>
    <x v="0"/>
    <x v="0"/>
    <x v="0"/>
    <m/>
    <m/>
    <m/>
    <m/>
    <x v="0"/>
    <x v="0"/>
    <m/>
    <x v="0"/>
    <m/>
    <x v="0"/>
    <x v="0"/>
    <x v="0"/>
    <x v="0"/>
    <x v="0"/>
  </r>
  <r>
    <x v="1"/>
    <x v="3"/>
    <s v="3044 J"/>
    <x v="31"/>
    <s v="Plain Lafafa Ahsan Cotton "/>
    <s v="LDN"/>
    <n v="14"/>
    <n v="12"/>
    <s v="AA کولٹی"/>
    <n v="200"/>
    <x v="0"/>
    <n v="2"/>
    <n v="100.6"/>
    <n v="3.2"/>
    <m/>
    <x v="0"/>
    <n v="97.399999999999991"/>
    <m/>
    <m/>
    <x v="0"/>
    <x v="0"/>
    <m/>
    <m/>
    <x v="0"/>
    <x v="0"/>
    <m/>
    <x v="0"/>
    <x v="0"/>
    <x v="0"/>
    <x v="0"/>
    <x v="0"/>
    <m/>
    <m/>
    <m/>
    <m/>
    <x v="0"/>
    <x v="0"/>
    <m/>
    <x v="0"/>
    <m/>
    <x v="0"/>
    <x v="0"/>
    <x v="0"/>
    <x v="0"/>
    <x v="0"/>
  </r>
  <r>
    <x v="1"/>
    <x v="3"/>
    <s v="1774 F"/>
    <x v="31"/>
    <s v="U H L وارننگ"/>
    <s v="LDN"/>
    <n v="17"/>
    <s v="12"/>
    <s v="جیلانی شیٹ"/>
    <n v="500"/>
    <x v="0"/>
    <n v="2"/>
    <n v="114.19999999999999"/>
    <n v="4.8"/>
    <m/>
    <x v="0"/>
    <n v="109.39999999999999"/>
    <m/>
    <m/>
    <x v="0"/>
    <x v="0"/>
    <m/>
    <m/>
    <x v="0"/>
    <x v="0"/>
    <m/>
    <x v="0"/>
    <x v="0"/>
    <x v="0"/>
    <x v="0"/>
    <x v="0"/>
    <m/>
    <m/>
    <m/>
    <m/>
    <x v="0"/>
    <x v="0"/>
    <m/>
    <x v="0"/>
    <m/>
    <x v="0"/>
    <x v="0"/>
    <x v="0"/>
    <x v="0"/>
    <x v="0"/>
  </r>
  <r>
    <x v="0"/>
    <x v="4"/>
    <s v="1810 F"/>
    <x v="31"/>
    <s v="BREAD SHEET"/>
    <s v="LDN"/>
    <s v="27 شیٹ"/>
    <s v="3.5-4/7.8"/>
    <s v="پیور"/>
    <n v="600"/>
    <x v="0"/>
    <n v="6"/>
    <n v="399.2"/>
    <n v="20.399999999999999"/>
    <n v="31"/>
    <x v="0"/>
    <n v="378.8"/>
    <m/>
    <m/>
    <x v="0"/>
    <x v="0"/>
    <m/>
    <m/>
    <x v="0"/>
    <x v="0"/>
    <m/>
    <x v="0"/>
    <x v="0"/>
    <x v="0"/>
    <x v="0"/>
    <x v="0"/>
    <m/>
    <m/>
    <m/>
    <m/>
    <x v="0"/>
    <x v="0"/>
    <m/>
    <x v="0"/>
    <m/>
    <x v="0"/>
    <x v="0"/>
    <x v="0"/>
    <x v="0"/>
    <x v="0"/>
  </r>
  <r>
    <x v="0"/>
    <x v="4"/>
    <s v="1810 F"/>
    <x v="31"/>
    <s v="BREAD SHEET"/>
    <s v="LDN"/>
    <s v="27 شیٹ"/>
    <s v="3.5-4/7.8"/>
    <s v="پیور"/>
    <n v="600"/>
    <x v="0"/>
    <n v="2"/>
    <n v="107"/>
    <n v="6.8"/>
    <m/>
    <x v="0"/>
    <n v="100.2"/>
    <m/>
    <m/>
    <x v="0"/>
    <x v="0"/>
    <m/>
    <m/>
    <x v="0"/>
    <x v="0"/>
    <m/>
    <x v="0"/>
    <x v="0"/>
    <x v="0"/>
    <x v="0"/>
    <x v="0"/>
    <m/>
    <m/>
    <m/>
    <m/>
    <x v="0"/>
    <x v="0"/>
    <m/>
    <x v="0"/>
    <m/>
    <x v="0"/>
    <x v="0"/>
    <x v="0"/>
    <x v="0"/>
    <x v="0"/>
  </r>
  <r>
    <x v="0"/>
    <x v="4"/>
    <s v="1819 F"/>
    <x v="31"/>
    <s v="MILKY BREAD FRISHFINE"/>
    <s v="LDN"/>
    <s v="27.5 SHEET"/>
    <s v="3.5-4/7.8"/>
    <s v="پیور"/>
    <n v="250"/>
    <x v="0"/>
    <n v="2"/>
    <n v="107"/>
    <n v="6.8"/>
    <m/>
    <x v="0"/>
    <n v="100.2"/>
    <m/>
    <m/>
    <x v="0"/>
    <x v="0"/>
    <m/>
    <m/>
    <x v="0"/>
    <x v="0"/>
    <m/>
    <x v="0"/>
    <x v="0"/>
    <x v="0"/>
    <x v="0"/>
    <x v="0"/>
    <m/>
    <m/>
    <m/>
    <m/>
    <x v="0"/>
    <x v="0"/>
    <m/>
    <x v="0"/>
    <m/>
    <x v="0"/>
    <x v="0"/>
    <x v="0"/>
    <x v="0"/>
    <x v="0"/>
  </r>
  <r>
    <x v="1"/>
    <x v="4"/>
    <s v="1819 F"/>
    <x v="31"/>
    <s v="MILKY BREAD FRISHFINE"/>
    <s v="LDN"/>
    <s v="27.5 SHEET"/>
    <s v="3.5-4/7.8"/>
    <s v="پیور"/>
    <n v="250"/>
    <x v="0"/>
    <n v="2"/>
    <n v="146.19999999999999"/>
    <n v="6.8"/>
    <n v="104"/>
    <x v="0"/>
    <n v="139.39999999999998"/>
    <m/>
    <m/>
    <x v="0"/>
    <x v="0"/>
    <m/>
    <m/>
    <x v="0"/>
    <x v="0"/>
    <m/>
    <x v="0"/>
    <x v="0"/>
    <x v="0"/>
    <x v="0"/>
    <x v="0"/>
    <m/>
    <m/>
    <m/>
    <m/>
    <x v="0"/>
    <x v="0"/>
    <m/>
    <x v="0"/>
    <m/>
    <x v="0"/>
    <x v="0"/>
    <x v="0"/>
    <x v="0"/>
    <x v="0"/>
  </r>
  <r>
    <x v="1"/>
    <x v="4"/>
    <s v="1819 F"/>
    <x v="31"/>
    <s v="MILKY BREAD FRISHFINE"/>
    <s v="LDN"/>
    <s v="27.5 SHEET"/>
    <s v="3.5-4/7.8"/>
    <s v="پیور"/>
    <n v="250"/>
    <x v="0"/>
    <n v="4"/>
    <n v="139.4"/>
    <n v="13.6"/>
    <m/>
    <x v="0"/>
    <n v="125.80000000000001"/>
    <m/>
    <m/>
    <x v="0"/>
    <x v="0"/>
    <m/>
    <m/>
    <x v="0"/>
    <x v="0"/>
    <m/>
    <x v="0"/>
    <x v="0"/>
    <x v="0"/>
    <x v="0"/>
    <x v="0"/>
    <m/>
    <m/>
    <m/>
    <m/>
    <x v="0"/>
    <x v="0"/>
    <m/>
    <x v="0"/>
    <m/>
    <x v="0"/>
    <x v="0"/>
    <x v="0"/>
    <x v="0"/>
    <x v="0"/>
  </r>
  <r>
    <x v="1"/>
    <x v="4"/>
    <s v="3078 J"/>
    <x v="31"/>
    <s v="Alam Bread Kamoki"/>
    <s v="LDN"/>
    <s v="28 شیٹ"/>
    <s v="4-4.5/8-9"/>
    <s v="پیور"/>
    <n v="150"/>
    <x v="0"/>
    <n v="2"/>
    <n v="149.4"/>
    <n v="6.8"/>
    <m/>
    <x v="0"/>
    <n v="142.6"/>
    <m/>
    <m/>
    <x v="0"/>
    <x v="0"/>
    <m/>
    <m/>
    <x v="0"/>
    <x v="0"/>
    <m/>
    <x v="0"/>
    <x v="0"/>
    <x v="0"/>
    <x v="0"/>
    <x v="0"/>
    <m/>
    <m/>
    <m/>
    <m/>
    <x v="0"/>
    <x v="0"/>
    <m/>
    <x v="0"/>
    <m/>
    <x v="0"/>
    <x v="0"/>
    <x v="0"/>
    <x v="0"/>
    <x v="0"/>
  </r>
  <r>
    <x v="1"/>
    <x v="4"/>
    <s v="3079 J"/>
    <x v="31"/>
    <s v="Alam Bread Kamoki"/>
    <s v="LDN"/>
    <s v="32 شیٹ"/>
    <s v="4-4.5/8-9"/>
    <s v="پیور"/>
    <n v="150"/>
    <x v="0"/>
    <n v="2"/>
    <n v="164.4"/>
    <n v="8"/>
    <m/>
    <x v="0"/>
    <n v="156.4"/>
    <m/>
    <m/>
    <x v="0"/>
    <x v="0"/>
    <m/>
    <m/>
    <x v="0"/>
    <x v="0"/>
    <m/>
    <x v="0"/>
    <x v="0"/>
    <x v="0"/>
    <x v="0"/>
    <x v="0"/>
    <m/>
    <m/>
    <m/>
    <m/>
    <x v="0"/>
    <x v="0"/>
    <m/>
    <x v="0"/>
    <m/>
    <x v="0"/>
    <x v="0"/>
    <x v="0"/>
    <x v="0"/>
    <x v="0"/>
  </r>
  <r>
    <x v="0"/>
    <x v="5"/>
    <s v="1794 F"/>
    <x v="31"/>
    <s v="سادہ لفافہ"/>
    <s v="LDN"/>
    <n v="20"/>
    <s v="7-7.5"/>
    <s v="پیور"/>
    <n v="22"/>
    <x v="0"/>
    <n v="1"/>
    <n v="60.1"/>
    <n v="2.5"/>
    <n v="8"/>
    <x v="0"/>
    <n v="57.6"/>
    <m/>
    <m/>
    <x v="0"/>
    <x v="0"/>
    <m/>
    <m/>
    <x v="0"/>
    <x v="0"/>
    <m/>
    <x v="0"/>
    <x v="0"/>
    <x v="0"/>
    <x v="0"/>
    <x v="0"/>
    <m/>
    <m/>
    <m/>
    <m/>
    <x v="0"/>
    <x v="0"/>
    <m/>
    <x v="0"/>
    <m/>
    <x v="0"/>
    <x v="0"/>
    <x v="0"/>
    <x v="0"/>
    <x v="0"/>
  </r>
  <r>
    <x v="0"/>
    <x v="5"/>
    <s v="3065 J"/>
    <x v="31"/>
    <s v="CNR Auto Parts Fiat 480"/>
    <s v="LDN"/>
    <n v="15"/>
    <s v="15-15.5"/>
    <s v="پیور"/>
    <n v="100"/>
    <x v="0"/>
    <n v="2"/>
    <n v="105.78999999999999"/>
    <n v="3.6"/>
    <m/>
    <x v="0"/>
    <n v="102.19"/>
    <m/>
    <m/>
    <x v="0"/>
    <x v="0"/>
    <m/>
    <m/>
    <x v="0"/>
    <x v="0"/>
    <m/>
    <x v="0"/>
    <x v="0"/>
    <x v="0"/>
    <x v="0"/>
    <x v="0"/>
    <m/>
    <m/>
    <m/>
    <m/>
    <x v="0"/>
    <x v="0"/>
    <m/>
    <x v="0"/>
    <m/>
    <x v="0"/>
    <x v="0"/>
    <x v="0"/>
    <x v="0"/>
    <x v="0"/>
  </r>
  <r>
    <x v="0"/>
    <x v="5"/>
    <s v="3087 J"/>
    <x v="31"/>
    <s v="KOS Joint Oil"/>
    <s v="LDN"/>
    <n v="12"/>
    <s v="14.5-15"/>
    <s v="پیور"/>
    <n v="100"/>
    <x v="0"/>
    <n v="2"/>
    <n v="102.4"/>
    <n v="2.8"/>
    <m/>
    <x v="0"/>
    <n v="99.600000000000009"/>
    <m/>
    <m/>
    <x v="0"/>
    <x v="0"/>
    <m/>
    <m/>
    <x v="0"/>
    <x v="0"/>
    <m/>
    <x v="0"/>
    <x v="0"/>
    <x v="0"/>
    <x v="0"/>
    <x v="0"/>
    <m/>
    <m/>
    <m/>
    <m/>
    <x v="0"/>
    <x v="0"/>
    <m/>
    <x v="0"/>
    <m/>
    <x v="0"/>
    <x v="0"/>
    <x v="0"/>
    <x v="0"/>
    <x v="0"/>
  </r>
  <r>
    <x v="0"/>
    <x v="5"/>
    <s v="1817 F"/>
    <x v="31"/>
    <s v="ICON WARNING"/>
    <s v="LDN"/>
    <n v="15"/>
    <s v="12"/>
    <s v="پیور"/>
    <n v="150"/>
    <x v="0"/>
    <n v="1"/>
    <n v="53"/>
    <n v="1.7"/>
    <m/>
    <x v="0"/>
    <n v="51.3"/>
    <m/>
    <m/>
    <x v="0"/>
    <x v="0"/>
    <m/>
    <m/>
    <x v="0"/>
    <x v="0"/>
    <m/>
    <x v="0"/>
    <x v="0"/>
    <x v="0"/>
    <x v="0"/>
    <x v="0"/>
    <m/>
    <m/>
    <m/>
    <m/>
    <x v="0"/>
    <x v="0"/>
    <m/>
    <x v="0"/>
    <m/>
    <x v="0"/>
    <x v="0"/>
    <x v="0"/>
    <x v="0"/>
    <x v="0"/>
  </r>
  <r>
    <x v="1"/>
    <x v="5"/>
    <s v="1817 F"/>
    <x v="31"/>
    <s v="ICON WARNING"/>
    <s v="LDN"/>
    <n v="15"/>
    <s v="12"/>
    <s v="پیور"/>
    <n v="150"/>
    <x v="0"/>
    <n v="2"/>
    <n v="112.6"/>
    <n v="3.5"/>
    <m/>
    <x v="0"/>
    <n v="109.1"/>
    <m/>
    <m/>
    <x v="0"/>
    <x v="0"/>
    <m/>
    <m/>
    <x v="0"/>
    <x v="0"/>
    <m/>
    <x v="0"/>
    <x v="0"/>
    <x v="0"/>
    <x v="0"/>
    <x v="0"/>
    <m/>
    <m/>
    <m/>
    <m/>
    <x v="0"/>
    <x v="0"/>
    <m/>
    <x v="0"/>
    <m/>
    <x v="0"/>
    <x v="0"/>
    <x v="0"/>
    <x v="0"/>
    <x v="0"/>
  </r>
  <r>
    <x v="1"/>
    <x v="5"/>
    <s v="1805 F"/>
    <x v="31"/>
    <s v="WALMART WARNING SMALL"/>
    <s v="LDN"/>
    <n v="15"/>
    <s v="7.5-8"/>
    <s v="پیور"/>
    <n v="315"/>
    <x v="0"/>
    <n v="4"/>
    <n v="207.4"/>
    <n v="6.8999999999999995"/>
    <m/>
    <x v="0"/>
    <n v="200.5"/>
    <m/>
    <m/>
    <x v="0"/>
    <x v="0"/>
    <m/>
    <m/>
    <x v="0"/>
    <x v="0"/>
    <m/>
    <x v="0"/>
    <x v="0"/>
    <x v="0"/>
    <x v="0"/>
    <x v="0"/>
    <m/>
    <m/>
    <m/>
    <m/>
    <x v="0"/>
    <x v="0"/>
    <m/>
    <x v="0"/>
    <m/>
    <x v="0"/>
    <x v="0"/>
    <x v="0"/>
    <x v="0"/>
    <x v="0"/>
  </r>
  <r>
    <x v="0"/>
    <x v="0"/>
    <s v="3110 J"/>
    <x v="32"/>
    <s v="Atlas Honda LTD (SKP)"/>
    <s v="LDN"/>
    <n v="8"/>
    <s v="8.5-9"/>
    <s v="LDN"/>
    <n v="2"/>
    <x v="0"/>
    <n v="4"/>
    <n v="165"/>
    <n v="4"/>
    <m/>
    <x v="0"/>
    <n v="161"/>
    <m/>
    <m/>
    <x v="0"/>
    <x v="0"/>
    <m/>
    <m/>
    <x v="0"/>
    <x v="0"/>
    <m/>
    <x v="0"/>
    <x v="0"/>
    <x v="0"/>
    <x v="0"/>
    <x v="0"/>
    <m/>
    <m/>
    <m/>
    <m/>
    <x v="0"/>
    <x v="0"/>
    <m/>
    <x v="0"/>
    <m/>
    <x v="0"/>
    <x v="0"/>
    <x v="0"/>
    <x v="0"/>
    <x v="0"/>
  </r>
  <r>
    <x v="1"/>
    <x v="0"/>
    <s v="3110 J"/>
    <x v="32"/>
    <s v="Atlas Honda LTD (SKP)"/>
    <s v="LDN"/>
    <n v="8"/>
    <s v="8.5-9"/>
    <s v="LDN"/>
    <n v="2"/>
    <x v="0"/>
    <n v="2"/>
    <n v="55.6"/>
    <n v="2"/>
    <n v="2.5"/>
    <x v="0"/>
    <n v="53.6"/>
    <m/>
    <m/>
    <x v="0"/>
    <x v="0"/>
    <m/>
    <m/>
    <x v="0"/>
    <x v="0"/>
    <m/>
    <x v="0"/>
    <x v="0"/>
    <x v="0"/>
    <x v="0"/>
    <x v="0"/>
    <m/>
    <m/>
    <m/>
    <m/>
    <x v="0"/>
    <x v="0"/>
    <m/>
    <x v="0"/>
    <m/>
    <x v="0"/>
    <x v="0"/>
    <x v="0"/>
    <x v="0"/>
    <x v="0"/>
  </r>
  <r>
    <x v="1"/>
    <x v="0"/>
    <s v="3139 J"/>
    <x v="32"/>
    <s v="Peak Bathroom Accessories"/>
    <s v="LDN"/>
    <n v="6"/>
    <s v="5-5.5"/>
    <s v="پیور"/>
    <n v="100"/>
    <x v="0"/>
    <n v="4"/>
    <n v="83.2"/>
    <n v="3.6000000000000005"/>
    <m/>
    <x v="0"/>
    <n v="79.600000000000009"/>
    <m/>
    <m/>
    <x v="0"/>
    <x v="0"/>
    <m/>
    <m/>
    <x v="0"/>
    <x v="0"/>
    <m/>
    <x v="0"/>
    <x v="0"/>
    <x v="0"/>
    <x v="0"/>
    <x v="0"/>
    <m/>
    <m/>
    <m/>
    <m/>
    <x v="0"/>
    <x v="0"/>
    <m/>
    <x v="0"/>
    <m/>
    <x v="0"/>
    <x v="0"/>
    <x v="0"/>
    <x v="0"/>
    <x v="0"/>
  </r>
  <r>
    <x v="0"/>
    <x v="2"/>
    <s v="3029 J"/>
    <x v="32"/>
    <s v="Plain Dubble Treat Lafafa"/>
    <s v="LDN"/>
    <n v="10"/>
    <s v="9.5-10"/>
    <s v="پیور"/>
    <n v="600"/>
    <x v="0"/>
    <n v="3"/>
    <n v="129.39999999999998"/>
    <n v="3.5999999999999996"/>
    <n v="5"/>
    <x v="0"/>
    <n v="125.79999999999998"/>
    <m/>
    <m/>
    <x v="0"/>
    <x v="0"/>
    <m/>
    <m/>
    <x v="0"/>
    <x v="0"/>
    <m/>
    <x v="0"/>
    <x v="0"/>
    <x v="0"/>
    <x v="0"/>
    <x v="0"/>
    <m/>
    <m/>
    <m/>
    <m/>
    <x v="0"/>
    <x v="0"/>
    <m/>
    <x v="0"/>
    <m/>
    <x v="0"/>
    <x v="0"/>
    <x v="0"/>
    <x v="0"/>
    <x v="0"/>
  </r>
  <r>
    <x v="0"/>
    <x v="2"/>
    <s v="3109 J"/>
    <x v="32"/>
    <s v="Atlas Honda LTD (SKP)"/>
    <s v="LDN"/>
    <n v="12"/>
    <s v="8.5-9"/>
    <s v="LDN"/>
    <n v="180"/>
    <x v="0"/>
    <n v="2"/>
    <n v="88.8"/>
    <n v="3.2"/>
    <m/>
    <x v="0"/>
    <n v="85.6"/>
    <m/>
    <m/>
    <x v="0"/>
    <x v="0"/>
    <m/>
    <m/>
    <x v="0"/>
    <x v="0"/>
    <m/>
    <x v="0"/>
    <x v="0"/>
    <x v="0"/>
    <x v="0"/>
    <x v="0"/>
    <m/>
    <m/>
    <m/>
    <m/>
    <x v="0"/>
    <x v="0"/>
    <m/>
    <x v="0"/>
    <m/>
    <x v="0"/>
    <x v="0"/>
    <x v="0"/>
    <x v="0"/>
    <x v="0"/>
  </r>
  <r>
    <x v="1"/>
    <x v="2"/>
    <s v="3109 J"/>
    <x v="32"/>
    <s v="Atlas Honda LTD (SKP)"/>
    <s v="LDN"/>
    <n v="12"/>
    <s v="8.5-9"/>
    <s v="LDN"/>
    <n v="180"/>
    <x v="0"/>
    <n v="2"/>
    <n v="93.2"/>
    <n v="2.9"/>
    <n v="8"/>
    <x v="0"/>
    <n v="90.3"/>
    <m/>
    <m/>
    <x v="0"/>
    <x v="0"/>
    <m/>
    <m/>
    <x v="0"/>
    <x v="0"/>
    <m/>
    <x v="0"/>
    <x v="0"/>
    <x v="0"/>
    <x v="0"/>
    <x v="0"/>
    <m/>
    <m/>
    <m/>
    <m/>
    <x v="0"/>
    <x v="0"/>
    <m/>
    <x v="0"/>
    <m/>
    <x v="0"/>
    <x v="0"/>
    <x v="0"/>
    <x v="0"/>
    <x v="0"/>
  </r>
  <r>
    <x v="1"/>
    <x v="2"/>
    <s v="3111 J"/>
    <x v="32"/>
    <s v="Atlas Honda LTD (SKP)"/>
    <s v="LDN"/>
    <n v="13"/>
    <s v="8.5-9"/>
    <s v="LDN"/>
    <n v="80"/>
    <x v="0"/>
    <n v="2"/>
    <n v="84.8"/>
    <n v="3.5"/>
    <m/>
    <x v="0"/>
    <n v="81.3"/>
    <m/>
    <m/>
    <x v="0"/>
    <x v="0"/>
    <m/>
    <m/>
    <x v="0"/>
    <x v="0"/>
    <m/>
    <x v="0"/>
    <x v="0"/>
    <x v="0"/>
    <x v="0"/>
    <x v="0"/>
    <m/>
    <m/>
    <m/>
    <m/>
    <x v="0"/>
    <x v="0"/>
    <m/>
    <x v="0"/>
    <m/>
    <x v="0"/>
    <x v="0"/>
    <x v="0"/>
    <x v="0"/>
    <x v="0"/>
  </r>
  <r>
    <x v="1"/>
    <x v="2"/>
    <s v="3064 J"/>
    <x v="32"/>
    <s v="Plain Sharink Lafafa"/>
    <s v="LDN"/>
    <n v="12"/>
    <n v="18"/>
    <s v="شرنک"/>
    <n v="300"/>
    <x v="0"/>
    <n v="2"/>
    <n v="93.2"/>
    <n v="3"/>
    <m/>
    <x v="0"/>
    <n v="90.2"/>
    <m/>
    <m/>
    <x v="0"/>
    <x v="0"/>
    <m/>
    <m/>
    <x v="0"/>
    <x v="0"/>
    <m/>
    <x v="0"/>
    <x v="0"/>
    <x v="0"/>
    <x v="0"/>
    <x v="0"/>
    <m/>
    <m/>
    <m/>
    <m/>
    <x v="0"/>
    <x v="0"/>
    <m/>
    <x v="0"/>
    <m/>
    <x v="0"/>
    <x v="0"/>
    <x v="0"/>
    <x v="0"/>
    <x v="0"/>
  </r>
  <r>
    <x v="0"/>
    <x v="3"/>
    <s v="1774 F"/>
    <x v="32"/>
    <s v="U H L وارننگ"/>
    <s v="LDN"/>
    <n v="17"/>
    <s v="12"/>
    <s v="جیلانی شیٹ"/>
    <n v="500"/>
    <x v="0"/>
    <n v="5"/>
    <n v="346.6"/>
    <n v="10.3"/>
    <m/>
    <x v="0"/>
    <n v="336.3"/>
    <m/>
    <m/>
    <x v="0"/>
    <x v="0"/>
    <m/>
    <m/>
    <x v="0"/>
    <x v="0"/>
    <m/>
    <x v="0"/>
    <x v="0"/>
    <x v="0"/>
    <x v="0"/>
    <x v="0"/>
    <m/>
    <m/>
    <m/>
    <m/>
    <x v="0"/>
    <x v="0"/>
    <m/>
    <x v="0"/>
    <m/>
    <x v="0"/>
    <x v="0"/>
    <x v="0"/>
    <x v="0"/>
    <x v="0"/>
  </r>
  <r>
    <x v="1"/>
    <x v="3"/>
    <s v="1774 F"/>
    <x v="32"/>
    <s v="U H L وارننگ"/>
    <s v="LDN"/>
    <n v="17"/>
    <s v="12"/>
    <s v="جیلانی شیٹ"/>
    <n v="500"/>
    <x v="0"/>
    <n v="1"/>
    <n v="55.2"/>
    <n v="2.1"/>
    <n v="20.399999999999999"/>
    <x v="0"/>
    <n v="53.1"/>
    <m/>
    <m/>
    <x v="0"/>
    <x v="0"/>
    <m/>
    <m/>
    <x v="0"/>
    <x v="0"/>
    <m/>
    <x v="0"/>
    <x v="0"/>
    <x v="0"/>
    <x v="0"/>
    <x v="0"/>
    <m/>
    <m/>
    <m/>
    <m/>
    <x v="0"/>
    <x v="0"/>
    <m/>
    <x v="0"/>
    <m/>
    <x v="0"/>
    <x v="0"/>
    <x v="0"/>
    <x v="0"/>
    <x v="0"/>
  </r>
  <r>
    <x v="1"/>
    <x v="3"/>
    <s v="1791 F"/>
    <x v="32"/>
    <s v="سادہ لفافہ"/>
    <s v="LDN"/>
    <n v="18"/>
    <s v="7-7.5"/>
    <s v="پیور"/>
    <n v="10"/>
    <x v="0"/>
    <n v="3"/>
    <n v="117.80000000000001"/>
    <n v="6.6000000000000005"/>
    <m/>
    <x v="0"/>
    <n v="111.20000000000002"/>
    <m/>
    <m/>
    <x v="0"/>
    <x v="0"/>
    <m/>
    <m/>
    <x v="0"/>
    <x v="0"/>
    <m/>
    <x v="0"/>
    <x v="0"/>
    <x v="0"/>
    <x v="0"/>
    <x v="0"/>
    <m/>
    <m/>
    <m/>
    <m/>
    <x v="0"/>
    <x v="0"/>
    <m/>
    <x v="0"/>
    <m/>
    <x v="0"/>
    <x v="0"/>
    <x v="0"/>
    <x v="0"/>
    <x v="0"/>
  </r>
  <r>
    <x v="1"/>
    <x v="3"/>
    <s v="1787 F"/>
    <x v="32"/>
    <s v="بلینڈ وارننگ"/>
    <s v="LDN"/>
    <n v="17"/>
    <s v="7-7.5"/>
    <s v="جیلانی شیٹ"/>
    <n v="100"/>
    <x v="0"/>
    <n v="2"/>
    <n v="106.6"/>
    <n v="4.2"/>
    <m/>
    <x v="0"/>
    <n v="102.39999999999999"/>
    <m/>
    <m/>
    <x v="0"/>
    <x v="0"/>
    <m/>
    <m/>
    <x v="0"/>
    <x v="0"/>
    <m/>
    <x v="0"/>
    <x v="0"/>
    <x v="0"/>
    <x v="0"/>
    <x v="0"/>
    <m/>
    <m/>
    <m/>
    <m/>
    <x v="0"/>
    <x v="0"/>
    <m/>
    <x v="0"/>
    <m/>
    <x v="0"/>
    <x v="0"/>
    <x v="0"/>
    <x v="0"/>
    <x v="0"/>
  </r>
  <r>
    <x v="1"/>
    <x v="3"/>
    <s v="1812 F"/>
    <x v="32"/>
    <s v="PLAIN POLY BAG"/>
    <s v="LDN"/>
    <n v="18"/>
    <s v="5-5.5"/>
    <s v="پیور"/>
    <n v="250"/>
    <x v="0"/>
    <n v="2"/>
    <n v="62.6"/>
    <n v="4.4000000000000004"/>
    <m/>
    <x v="0"/>
    <n v="58.2"/>
    <m/>
    <m/>
    <x v="0"/>
    <x v="0"/>
    <m/>
    <m/>
    <x v="0"/>
    <x v="0"/>
    <m/>
    <x v="0"/>
    <x v="0"/>
    <x v="0"/>
    <x v="0"/>
    <x v="0"/>
    <m/>
    <m/>
    <m/>
    <m/>
    <x v="0"/>
    <x v="0"/>
    <m/>
    <x v="0"/>
    <m/>
    <x v="0"/>
    <x v="0"/>
    <x v="0"/>
    <x v="0"/>
    <x v="0"/>
  </r>
  <r>
    <x v="0"/>
    <x v="4"/>
    <s v="1811 F"/>
    <x v="32"/>
    <s v="BREAD SHEET"/>
    <s v="LDN"/>
    <s v="34 شیٹ"/>
    <s v="3.5-4/7.8"/>
    <s v="پیور"/>
    <n v="300"/>
    <x v="0"/>
    <n v="4"/>
    <n v="315.39999999999998"/>
    <n v="16"/>
    <n v="14.4"/>
    <x v="0"/>
    <n v="299.39999999999998"/>
    <m/>
    <m/>
    <x v="0"/>
    <x v="0"/>
    <m/>
    <m/>
    <x v="0"/>
    <x v="0"/>
    <m/>
    <x v="0"/>
    <x v="0"/>
    <x v="0"/>
    <x v="0"/>
    <x v="0"/>
    <m/>
    <m/>
    <m/>
    <m/>
    <x v="0"/>
    <x v="0"/>
    <m/>
    <x v="0"/>
    <m/>
    <x v="0"/>
    <x v="0"/>
    <x v="0"/>
    <x v="0"/>
    <x v="0"/>
  </r>
  <r>
    <x v="0"/>
    <x v="4"/>
    <s v="1815 F"/>
    <x v="32"/>
    <s v="OVS WARNING"/>
    <s v="LDN"/>
    <n v="30"/>
    <s v="7.7.5"/>
    <s v="پیور"/>
    <n v="155"/>
    <x v="0"/>
    <n v="2"/>
    <n v="156.80000000000001"/>
    <n v="7.2"/>
    <m/>
    <x v="0"/>
    <n v="149.60000000000002"/>
    <m/>
    <m/>
    <x v="0"/>
    <x v="0"/>
    <m/>
    <m/>
    <x v="0"/>
    <x v="0"/>
    <m/>
    <x v="0"/>
    <x v="0"/>
    <x v="0"/>
    <x v="0"/>
    <x v="0"/>
    <m/>
    <m/>
    <m/>
    <m/>
    <x v="0"/>
    <x v="0"/>
    <m/>
    <x v="0"/>
    <m/>
    <x v="0"/>
    <x v="0"/>
    <x v="0"/>
    <x v="0"/>
    <x v="0"/>
  </r>
  <r>
    <x v="0"/>
    <x v="4"/>
    <s v="1780 F"/>
    <x v="32"/>
    <s v="کمپاونڈ وارننگ"/>
    <s v="LDN"/>
    <n v="30"/>
    <s v="7.7.5"/>
    <s v="پیور"/>
    <n v="85"/>
    <x v="0"/>
    <n v="1"/>
    <n v="92.6"/>
    <n v="3.6"/>
    <m/>
    <x v="0"/>
    <n v="89"/>
    <m/>
    <m/>
    <x v="0"/>
    <x v="0"/>
    <m/>
    <m/>
    <x v="0"/>
    <x v="0"/>
    <m/>
    <x v="0"/>
    <x v="0"/>
    <x v="0"/>
    <x v="0"/>
    <x v="0"/>
    <m/>
    <m/>
    <m/>
    <m/>
    <x v="0"/>
    <x v="0"/>
    <m/>
    <x v="0"/>
    <m/>
    <x v="0"/>
    <x v="0"/>
    <x v="0"/>
    <x v="0"/>
    <x v="0"/>
  </r>
  <r>
    <x v="0"/>
    <x v="4"/>
    <s v="1804 F"/>
    <x v="32"/>
    <s v="WALMART WARNING BIG"/>
    <s v="LDN"/>
    <n v="28"/>
    <s v="8"/>
    <s v="پیور"/>
    <n v="110"/>
    <x v="0"/>
    <n v="2"/>
    <n v="127.2"/>
    <n v="6.8"/>
    <m/>
    <x v="0"/>
    <n v="120.4"/>
    <m/>
    <m/>
    <x v="0"/>
    <x v="0"/>
    <m/>
    <m/>
    <x v="0"/>
    <x v="0"/>
    <m/>
    <x v="0"/>
    <x v="0"/>
    <x v="0"/>
    <x v="0"/>
    <x v="0"/>
    <m/>
    <m/>
    <m/>
    <m/>
    <x v="0"/>
    <x v="0"/>
    <m/>
    <x v="0"/>
    <m/>
    <x v="0"/>
    <x v="0"/>
    <x v="0"/>
    <x v="0"/>
    <x v="0"/>
  </r>
  <r>
    <x v="0"/>
    <x v="4"/>
    <s v="2922 J"/>
    <x v="32"/>
    <s v="امر پاک ڈرائی کلینرز"/>
    <s v="LDN"/>
    <n v="28"/>
    <s v="8-8.5"/>
    <s v="پیور"/>
    <n v="200"/>
    <x v="0"/>
    <n v="3"/>
    <n v="221.79999999999998"/>
    <n v="10.199999999999999"/>
    <m/>
    <x v="0"/>
    <n v="211.6"/>
    <m/>
    <m/>
    <x v="0"/>
    <x v="0"/>
    <m/>
    <m/>
    <x v="0"/>
    <x v="0"/>
    <m/>
    <x v="0"/>
    <x v="0"/>
    <x v="0"/>
    <x v="0"/>
    <x v="0"/>
    <m/>
    <m/>
    <m/>
    <m/>
    <x v="0"/>
    <x v="0"/>
    <m/>
    <x v="0"/>
    <m/>
    <x v="0"/>
    <x v="0"/>
    <x v="0"/>
    <x v="0"/>
    <x v="0"/>
  </r>
  <r>
    <x v="1"/>
    <x v="4"/>
    <s v="3123 J"/>
    <x v="32"/>
    <s v="Sheikh Iqbal Cloth and Botique Center"/>
    <s v="LDM"/>
    <n v="20"/>
    <s v="14-15"/>
    <s v="ABA پیور"/>
    <n v="100"/>
    <x v="0"/>
    <n v="2"/>
    <n v="91"/>
    <n v="4.8"/>
    <n v="18"/>
    <x v="0"/>
    <n v="86.2"/>
    <m/>
    <m/>
    <x v="0"/>
    <x v="0"/>
    <m/>
    <m/>
    <x v="0"/>
    <x v="0"/>
    <m/>
    <x v="0"/>
    <x v="0"/>
    <x v="0"/>
    <x v="0"/>
    <x v="0"/>
    <m/>
    <m/>
    <m/>
    <m/>
    <x v="0"/>
    <x v="0"/>
    <m/>
    <x v="0"/>
    <m/>
    <x v="0"/>
    <x v="0"/>
    <x v="0"/>
    <x v="0"/>
    <x v="0"/>
  </r>
  <r>
    <x v="1"/>
    <x v="4"/>
    <s v="3132 J"/>
    <x v="32"/>
    <s v="Japan Watch Works"/>
    <s v="LDM"/>
    <n v="13"/>
    <s v="9-10"/>
    <s v="ABA پیور"/>
    <n v="100"/>
    <x v="0"/>
    <n v="3"/>
    <n v="108.4"/>
    <n v="3.5999999999999996"/>
    <m/>
    <x v="0"/>
    <n v="104.80000000000001"/>
    <m/>
    <m/>
    <x v="0"/>
    <x v="0"/>
    <m/>
    <m/>
    <x v="0"/>
    <x v="0"/>
    <m/>
    <x v="0"/>
    <x v="0"/>
    <x v="0"/>
    <x v="0"/>
    <x v="0"/>
    <m/>
    <m/>
    <m/>
    <m/>
    <x v="0"/>
    <x v="0"/>
    <m/>
    <x v="0"/>
    <m/>
    <x v="0"/>
    <x v="0"/>
    <x v="0"/>
    <x v="0"/>
    <x v="0"/>
  </r>
  <r>
    <x v="1"/>
    <x v="4"/>
    <s v="3083 J"/>
    <x v="32"/>
    <s v="WINNER"/>
    <s v="LDM"/>
    <s v="428 MM"/>
    <s v="-"/>
    <s v="ABA تھینکیو"/>
    <n v="300"/>
    <x v="0"/>
    <n v="8"/>
    <n v="315.8"/>
    <n v="17.600000000000001"/>
    <m/>
    <x v="0"/>
    <n v="298.2"/>
    <m/>
    <m/>
    <x v="0"/>
    <x v="0"/>
    <m/>
    <m/>
    <x v="0"/>
    <x v="0"/>
    <m/>
    <x v="0"/>
    <x v="0"/>
    <x v="0"/>
    <x v="0"/>
    <x v="0"/>
    <m/>
    <m/>
    <m/>
    <m/>
    <x v="0"/>
    <x v="0"/>
    <m/>
    <x v="0"/>
    <m/>
    <x v="0"/>
    <x v="0"/>
    <x v="0"/>
    <x v="0"/>
    <x v="0"/>
  </r>
  <r>
    <x v="0"/>
    <x v="5"/>
    <s v="1805 F"/>
    <x v="32"/>
    <s v="WALMART WARNING SMALL"/>
    <s v="LDN"/>
    <n v="15"/>
    <s v="7.5-8"/>
    <s v="پیور"/>
    <n v="315"/>
    <x v="0"/>
    <n v="2"/>
    <n v="112.19999999999999"/>
    <n v="3.6"/>
    <n v="6.6"/>
    <x v="0"/>
    <n v="108.6"/>
    <m/>
    <m/>
    <x v="0"/>
    <x v="0"/>
    <m/>
    <m/>
    <x v="0"/>
    <x v="0"/>
    <m/>
    <x v="0"/>
    <x v="0"/>
    <x v="0"/>
    <x v="0"/>
    <x v="0"/>
    <m/>
    <m/>
    <m/>
    <m/>
    <x v="0"/>
    <x v="0"/>
    <m/>
    <x v="0"/>
    <m/>
    <x v="0"/>
    <x v="0"/>
    <x v="0"/>
    <x v="0"/>
    <x v="0"/>
  </r>
  <r>
    <x v="0"/>
    <x v="5"/>
    <s v="1822 J"/>
    <x v="32"/>
    <s v="گولڈا ایلومینیم"/>
    <s v="LDN"/>
    <n v="4"/>
    <n v="10"/>
    <s v="پیور"/>
    <n v="150"/>
    <x v="0"/>
    <n v="2"/>
    <n v="69.900000000000006"/>
    <n v="3.6"/>
    <m/>
    <x v="0"/>
    <n v="66.300000000000011"/>
    <m/>
    <m/>
    <x v="0"/>
    <x v="0"/>
    <m/>
    <m/>
    <x v="0"/>
    <x v="0"/>
    <m/>
    <x v="0"/>
    <x v="0"/>
    <x v="0"/>
    <x v="0"/>
    <x v="0"/>
    <m/>
    <m/>
    <m/>
    <m/>
    <x v="0"/>
    <x v="0"/>
    <m/>
    <x v="0"/>
    <m/>
    <x v="0"/>
    <x v="0"/>
    <x v="0"/>
    <x v="0"/>
    <x v="0"/>
  </r>
  <r>
    <x v="0"/>
    <x v="5"/>
    <s v="3107 J"/>
    <x v="32"/>
    <s v="Atlas Honda LTD (SKP)"/>
    <s v="LDN"/>
    <n v="16"/>
    <s v="12.5-13"/>
    <s v="LDN"/>
    <n v="70"/>
    <x v="0"/>
    <n v="2"/>
    <n v="93.1"/>
    <n v="3.8"/>
    <m/>
    <x v="0"/>
    <n v="89.3"/>
    <m/>
    <m/>
    <x v="0"/>
    <x v="0"/>
    <m/>
    <m/>
    <x v="0"/>
    <x v="0"/>
    <m/>
    <x v="0"/>
    <x v="0"/>
    <x v="0"/>
    <x v="0"/>
    <x v="0"/>
    <m/>
    <m/>
    <m/>
    <m/>
    <x v="0"/>
    <x v="0"/>
    <m/>
    <x v="0"/>
    <m/>
    <x v="0"/>
    <x v="0"/>
    <x v="0"/>
    <x v="0"/>
    <x v="0"/>
  </r>
  <r>
    <x v="0"/>
    <x v="5"/>
    <s v="3112 J"/>
    <x v="32"/>
    <s v="Atlas Honda LTD (SKP)"/>
    <s v="LDN"/>
    <n v="22"/>
    <s v="8.5-9"/>
    <s v="LDN"/>
    <n v="310"/>
    <x v="0"/>
    <n v="1"/>
    <n v="46.8"/>
    <n v="2.7"/>
    <m/>
    <x v="0"/>
    <n v="44.099999999999994"/>
    <m/>
    <m/>
    <x v="0"/>
    <x v="0"/>
    <m/>
    <m/>
    <x v="0"/>
    <x v="0"/>
    <m/>
    <x v="0"/>
    <x v="0"/>
    <x v="0"/>
    <x v="0"/>
    <x v="0"/>
    <m/>
    <m/>
    <m/>
    <m/>
    <x v="0"/>
    <x v="0"/>
    <m/>
    <x v="0"/>
    <m/>
    <x v="0"/>
    <x v="0"/>
    <x v="0"/>
    <x v="0"/>
    <x v="0"/>
  </r>
  <r>
    <x v="1"/>
    <x v="5"/>
    <s v="3112 J"/>
    <x v="32"/>
    <s v="Atlas Honda LTD (SKP)"/>
    <s v="LDN"/>
    <n v="22"/>
    <s v="8.5-9"/>
    <s v="LDN"/>
    <n v="310"/>
    <x v="0"/>
    <n v="4"/>
    <n v="276.5"/>
    <n v="10.4"/>
    <n v="24"/>
    <x v="0"/>
    <n v="266.10000000000002"/>
    <m/>
    <m/>
    <x v="0"/>
    <x v="0"/>
    <m/>
    <m/>
    <x v="0"/>
    <x v="0"/>
    <m/>
    <x v="0"/>
    <x v="0"/>
    <x v="0"/>
    <x v="0"/>
    <x v="0"/>
    <m/>
    <m/>
    <m/>
    <m/>
    <x v="0"/>
    <x v="0"/>
    <m/>
    <x v="0"/>
    <m/>
    <x v="0"/>
    <x v="0"/>
    <x v="0"/>
    <x v="0"/>
    <x v="0"/>
  </r>
  <r>
    <x v="1"/>
    <x v="5"/>
    <s v="3050 J"/>
    <x v="32"/>
    <s v="Plain Lafafa Ahsan Cotton "/>
    <s v="LDN"/>
    <n v="36"/>
    <n v="6"/>
    <s v="AA کولٹی"/>
    <n v="300"/>
    <x v="0"/>
    <n v="3"/>
    <n v="181.1"/>
    <n v="12.600000000000001"/>
    <m/>
    <x v="0"/>
    <n v="168.5"/>
    <m/>
    <m/>
    <x v="0"/>
    <x v="0"/>
    <m/>
    <m/>
    <x v="0"/>
    <x v="0"/>
    <m/>
    <x v="0"/>
    <x v="0"/>
    <x v="0"/>
    <x v="0"/>
    <x v="0"/>
    <m/>
    <m/>
    <m/>
    <m/>
    <x v="0"/>
    <x v="0"/>
    <m/>
    <x v="0"/>
    <m/>
    <x v="0"/>
    <x v="0"/>
    <x v="0"/>
    <x v="0"/>
    <x v="0"/>
  </r>
  <r>
    <x v="0"/>
    <x v="0"/>
    <s v="3139 J"/>
    <x v="33"/>
    <s v="Peak Bathroom Accessories"/>
    <s v="LDN"/>
    <n v="6"/>
    <s v="5-5.5"/>
    <s v="پیور"/>
    <n v="100"/>
    <x v="0"/>
    <n v="1"/>
    <n v="25.6"/>
    <n v="0.8"/>
    <m/>
    <x v="0"/>
    <n v="24.8"/>
    <m/>
    <m/>
    <x v="0"/>
    <x v="0"/>
    <m/>
    <m/>
    <x v="0"/>
    <x v="0"/>
    <m/>
    <x v="0"/>
    <x v="0"/>
    <x v="0"/>
    <x v="0"/>
    <x v="0"/>
    <m/>
    <m/>
    <m/>
    <m/>
    <x v="0"/>
    <x v="0"/>
    <m/>
    <x v="0"/>
    <m/>
    <x v="0"/>
    <x v="0"/>
    <x v="0"/>
    <x v="0"/>
    <x v="0"/>
  </r>
  <r>
    <x v="0"/>
    <x v="0"/>
    <s v="3168 J"/>
    <x v="33"/>
    <s v="U S METAL GOLD"/>
    <s v="LDN"/>
    <n v="6"/>
    <n v="10"/>
    <s v="پیور"/>
    <n v="100"/>
    <x v="0"/>
    <n v="3"/>
    <n v="109.2"/>
    <n v="2.2999999999999998"/>
    <m/>
    <x v="0"/>
    <n v="106.9"/>
    <m/>
    <m/>
    <x v="0"/>
    <x v="0"/>
    <m/>
    <m/>
    <x v="0"/>
    <x v="0"/>
    <m/>
    <x v="0"/>
    <x v="0"/>
    <x v="0"/>
    <x v="0"/>
    <x v="0"/>
    <m/>
    <m/>
    <m/>
    <m/>
    <x v="0"/>
    <x v="0"/>
    <m/>
    <x v="0"/>
    <m/>
    <x v="0"/>
    <x v="0"/>
    <x v="0"/>
    <x v="0"/>
    <x v="0"/>
  </r>
  <r>
    <x v="1"/>
    <x v="0"/>
    <s v="3192 J"/>
    <x v="33"/>
    <s v="APL Aluminium"/>
    <s v="LDN"/>
    <n v="6"/>
    <n v="10"/>
    <s v="پیور"/>
    <n v="60"/>
    <x v="0"/>
    <n v="2"/>
    <n v="69"/>
    <n v="1.5"/>
    <m/>
    <x v="0"/>
    <n v="67.5"/>
    <m/>
    <m/>
    <x v="0"/>
    <x v="0"/>
    <m/>
    <m/>
    <x v="0"/>
    <x v="0"/>
    <m/>
    <x v="0"/>
    <x v="0"/>
    <x v="0"/>
    <x v="0"/>
    <x v="0"/>
    <m/>
    <m/>
    <m/>
    <m/>
    <x v="0"/>
    <x v="0"/>
    <m/>
    <x v="0"/>
    <m/>
    <x v="0"/>
    <x v="0"/>
    <x v="0"/>
    <x v="0"/>
    <x v="0"/>
  </r>
  <r>
    <x v="1"/>
    <x v="0"/>
    <s v="3188 J"/>
    <x v="33"/>
    <s v="U S METAL"/>
    <s v="LDN"/>
    <n v="6"/>
    <n v="10"/>
    <s v="پیور"/>
    <n v="120"/>
    <x v="0"/>
    <n v="2"/>
    <n v="69.8"/>
    <n v="1.4"/>
    <m/>
    <x v="0"/>
    <n v="68.399999999999991"/>
    <m/>
    <m/>
    <x v="0"/>
    <x v="0"/>
    <m/>
    <m/>
    <x v="0"/>
    <x v="0"/>
    <m/>
    <x v="0"/>
    <x v="0"/>
    <x v="0"/>
    <x v="0"/>
    <x v="0"/>
    <m/>
    <m/>
    <m/>
    <m/>
    <x v="0"/>
    <x v="0"/>
    <m/>
    <x v="0"/>
    <m/>
    <x v="0"/>
    <x v="0"/>
    <x v="0"/>
    <x v="0"/>
    <x v="0"/>
  </r>
  <r>
    <x v="0"/>
    <x v="2"/>
    <s v="3064 J"/>
    <x v="33"/>
    <s v="Plain Sharink Lafafa"/>
    <s v="LDN"/>
    <n v="12"/>
    <n v="18"/>
    <s v="شرنک"/>
    <n v="300"/>
    <x v="0"/>
    <n v="4"/>
    <n v="222.6"/>
    <n v="6"/>
    <m/>
    <x v="0"/>
    <n v="216.6"/>
    <m/>
    <m/>
    <x v="0"/>
    <x v="0"/>
    <m/>
    <m/>
    <x v="0"/>
    <x v="0"/>
    <m/>
    <x v="0"/>
    <x v="0"/>
    <x v="0"/>
    <x v="0"/>
    <x v="0"/>
    <m/>
    <m/>
    <m/>
    <m/>
    <x v="0"/>
    <x v="0"/>
    <m/>
    <x v="0"/>
    <m/>
    <x v="0"/>
    <x v="0"/>
    <x v="0"/>
    <x v="0"/>
    <x v="0"/>
  </r>
  <r>
    <x v="0"/>
    <x v="2"/>
    <s v="1797 F"/>
    <x v="33"/>
    <s v="KWON CLOUB وارینگ"/>
    <s v="LDN"/>
    <n v="20"/>
    <s v="14"/>
    <s v="جیلانی شیٹ"/>
    <n v="150"/>
    <x v="0"/>
    <n v="1"/>
    <n v="71"/>
    <n v="2.4"/>
    <m/>
    <x v="0"/>
    <n v="68.599999999999994"/>
    <m/>
    <m/>
    <x v="0"/>
    <x v="0"/>
    <m/>
    <m/>
    <x v="0"/>
    <x v="0"/>
    <m/>
    <x v="0"/>
    <x v="0"/>
    <x v="0"/>
    <x v="0"/>
    <x v="0"/>
    <m/>
    <m/>
    <m/>
    <m/>
    <x v="0"/>
    <x v="0"/>
    <m/>
    <x v="0"/>
    <m/>
    <x v="0"/>
    <x v="0"/>
    <x v="0"/>
    <x v="0"/>
    <x v="0"/>
  </r>
  <r>
    <x v="1"/>
    <x v="2"/>
    <s v="1788 F"/>
    <x v="33"/>
    <s v="بلینڈ وارننگ"/>
    <s v="LDN"/>
    <n v="25"/>
    <s v="7-7.5"/>
    <s v="جیلانی شیٹ"/>
    <n v="40"/>
    <x v="0"/>
    <n v="1"/>
    <n v="42"/>
    <n v="2.4"/>
    <m/>
    <x v="0"/>
    <n v="39.6"/>
    <m/>
    <m/>
    <x v="0"/>
    <x v="0"/>
    <m/>
    <m/>
    <x v="0"/>
    <x v="0"/>
    <m/>
    <x v="0"/>
    <x v="0"/>
    <x v="0"/>
    <x v="0"/>
    <x v="0"/>
    <m/>
    <m/>
    <m/>
    <m/>
    <x v="0"/>
    <x v="0"/>
    <m/>
    <x v="0"/>
    <m/>
    <x v="0"/>
    <x v="0"/>
    <x v="0"/>
    <x v="0"/>
    <x v="0"/>
  </r>
  <r>
    <x v="1"/>
    <x v="2"/>
    <s v="1797 F"/>
    <x v="33"/>
    <s v="KWON CLOUB وارینگ"/>
    <s v="LDN"/>
    <n v="20"/>
    <s v="14"/>
    <s v="جیلانی شیٹ"/>
    <n v="150"/>
    <x v="0"/>
    <n v="1"/>
    <n v="79.400000000000006"/>
    <n v="2.5"/>
    <m/>
    <x v="0"/>
    <n v="76.900000000000006"/>
    <m/>
    <m/>
    <x v="0"/>
    <x v="0"/>
    <m/>
    <m/>
    <x v="0"/>
    <x v="0"/>
    <m/>
    <x v="0"/>
    <x v="0"/>
    <x v="0"/>
    <x v="0"/>
    <x v="0"/>
    <m/>
    <m/>
    <m/>
    <m/>
    <x v="0"/>
    <x v="0"/>
    <m/>
    <x v="0"/>
    <m/>
    <x v="0"/>
    <x v="0"/>
    <x v="0"/>
    <x v="0"/>
    <x v="0"/>
  </r>
  <r>
    <x v="1"/>
    <x v="2"/>
    <n v="2765"/>
    <x v="33"/>
    <s v="اختر محمد چمن"/>
    <s v="LDN"/>
    <n v="13"/>
    <n v="50"/>
    <s v="SL"/>
    <n v="200"/>
    <x v="0"/>
    <n v="2"/>
    <n v="54.4"/>
    <n v="1.6"/>
    <m/>
    <x v="0"/>
    <n v="52.8"/>
    <m/>
    <m/>
    <x v="0"/>
    <x v="0"/>
    <m/>
    <m/>
    <x v="0"/>
    <x v="0"/>
    <m/>
    <x v="0"/>
    <x v="0"/>
    <x v="0"/>
    <x v="0"/>
    <x v="0"/>
    <m/>
    <m/>
    <m/>
    <m/>
    <x v="0"/>
    <x v="0"/>
    <m/>
    <x v="0"/>
    <m/>
    <x v="0"/>
    <x v="0"/>
    <x v="0"/>
    <x v="0"/>
    <x v="0"/>
  </r>
  <r>
    <x v="0"/>
    <x v="3"/>
    <s v="1812 F"/>
    <x v="33"/>
    <s v="PLAIN POLY BAG"/>
    <s v="LDN"/>
    <n v="18"/>
    <s v="5-5.5"/>
    <s v="پیور"/>
    <n v="250"/>
    <x v="0"/>
    <n v="5"/>
    <n v="208.8"/>
    <n v="11"/>
    <m/>
    <x v="0"/>
    <n v="197.8"/>
    <m/>
    <m/>
    <x v="0"/>
    <x v="0"/>
    <m/>
    <m/>
    <x v="0"/>
    <x v="0"/>
    <m/>
    <x v="0"/>
    <x v="0"/>
    <x v="0"/>
    <x v="0"/>
    <x v="0"/>
    <m/>
    <m/>
    <m/>
    <m/>
    <x v="0"/>
    <x v="0"/>
    <m/>
    <x v="0"/>
    <m/>
    <x v="0"/>
    <x v="0"/>
    <x v="0"/>
    <x v="0"/>
    <x v="0"/>
  </r>
  <r>
    <x v="1"/>
    <x v="3"/>
    <n v="2758"/>
    <x v="33"/>
    <s v="SITARA CHEMICAL"/>
    <s v="LDN"/>
    <n v="24"/>
    <s v="100 G"/>
    <s v="SL"/>
    <n v="7500"/>
    <x v="0"/>
    <n v="5"/>
    <n v="508.4"/>
    <n v="14.5"/>
    <m/>
    <x v="0"/>
    <n v="493.9"/>
    <m/>
    <m/>
    <x v="0"/>
    <x v="0"/>
    <m/>
    <m/>
    <x v="0"/>
    <x v="0"/>
    <m/>
    <x v="0"/>
    <x v="0"/>
    <x v="0"/>
    <x v="0"/>
    <x v="0"/>
    <m/>
    <m/>
    <m/>
    <m/>
    <x v="0"/>
    <x v="0"/>
    <m/>
    <x v="0"/>
    <m/>
    <x v="0"/>
    <x v="0"/>
    <x v="0"/>
    <x v="0"/>
    <x v="0"/>
  </r>
  <r>
    <x v="0"/>
    <x v="4"/>
    <s v="3084 J"/>
    <x v="33"/>
    <s v="MTB"/>
    <s v="LDM"/>
    <s v="432 MM"/>
    <s v="-"/>
    <s v="ABA تھینکیو"/>
    <n v="100"/>
    <x v="0"/>
    <n v="2"/>
    <n v="107.19999999999999"/>
    <n v="4"/>
    <n v="140"/>
    <x v="0"/>
    <n v="103.19999999999999"/>
    <m/>
    <m/>
    <x v="0"/>
    <x v="0"/>
    <m/>
    <m/>
    <x v="0"/>
    <x v="0"/>
    <m/>
    <x v="0"/>
    <x v="0"/>
    <x v="0"/>
    <x v="0"/>
    <x v="0"/>
    <m/>
    <m/>
    <m/>
    <m/>
    <x v="0"/>
    <x v="0"/>
    <m/>
    <x v="0"/>
    <m/>
    <x v="0"/>
    <x v="0"/>
    <x v="0"/>
    <x v="0"/>
    <x v="0"/>
  </r>
  <r>
    <x v="0"/>
    <x v="4"/>
    <s v="1796 F"/>
    <x v="33"/>
    <s v="FORE CAST"/>
    <s v="LDN"/>
    <s v="39شیٹ"/>
    <s v="7/14"/>
    <s v="ABA پیور"/>
    <n v="120"/>
    <x v="0"/>
    <n v="2"/>
    <n v="115.8"/>
    <n v="9.9"/>
    <m/>
    <x v="0"/>
    <n v="105.89999999999999"/>
    <m/>
    <m/>
    <x v="0"/>
    <x v="0"/>
    <m/>
    <m/>
    <x v="0"/>
    <x v="0"/>
    <m/>
    <x v="0"/>
    <x v="0"/>
    <x v="0"/>
    <x v="0"/>
    <x v="0"/>
    <m/>
    <m/>
    <m/>
    <m/>
    <x v="0"/>
    <x v="0"/>
    <m/>
    <x v="0"/>
    <m/>
    <x v="0"/>
    <x v="0"/>
    <x v="0"/>
    <x v="0"/>
    <x v="0"/>
  </r>
  <r>
    <x v="0"/>
    <x v="4"/>
    <s v="3082 J"/>
    <x v="33"/>
    <s v="LongLife Green Black"/>
    <s v="LD سی گرین"/>
    <s v="428 MM"/>
    <s v="-"/>
    <s v="ABA تھینکیو"/>
    <n v="200"/>
    <x v="0"/>
    <n v="4"/>
    <n v="197.59999999999997"/>
    <n v="8"/>
    <m/>
    <x v="0"/>
    <n v="189.59999999999997"/>
    <m/>
    <m/>
    <x v="0"/>
    <x v="0"/>
    <m/>
    <m/>
    <x v="0"/>
    <x v="0"/>
    <m/>
    <x v="0"/>
    <x v="0"/>
    <x v="0"/>
    <x v="0"/>
    <x v="0"/>
    <m/>
    <m/>
    <m/>
    <m/>
    <x v="0"/>
    <x v="0"/>
    <m/>
    <x v="0"/>
    <m/>
    <x v="0"/>
    <x v="0"/>
    <x v="0"/>
    <x v="0"/>
    <x v="0"/>
  </r>
  <r>
    <x v="0"/>
    <x v="4"/>
    <s v="PACKING"/>
    <x v="33"/>
    <s v="-"/>
    <s v="-"/>
    <s v="-"/>
    <s v="-"/>
    <s v="-"/>
    <s v="-"/>
    <x v="0"/>
    <n v="1"/>
    <n v="110"/>
    <n v="3.6"/>
    <m/>
    <x v="0"/>
    <n v="106.4"/>
    <m/>
    <m/>
    <x v="0"/>
    <x v="0"/>
    <m/>
    <m/>
    <x v="0"/>
    <x v="0"/>
    <m/>
    <x v="0"/>
    <x v="0"/>
    <x v="0"/>
    <x v="0"/>
    <x v="0"/>
    <m/>
    <m/>
    <m/>
    <m/>
    <x v="0"/>
    <x v="0"/>
    <m/>
    <x v="0"/>
    <m/>
    <x v="0"/>
    <x v="0"/>
    <x v="0"/>
    <x v="0"/>
    <x v="0"/>
  </r>
  <r>
    <x v="1"/>
    <x v="4"/>
    <s v="9531 A"/>
    <x v="33"/>
    <s v="سادہ رول جیلانی پولی سٹاک"/>
    <s v="LDN"/>
    <s v="26 شیٹ"/>
    <s v="8-8.5/16-17"/>
    <s v="پیور"/>
    <n v="2000"/>
    <x v="0"/>
    <n v="2"/>
    <n v="202.8"/>
    <n v="6.2"/>
    <n v="101"/>
    <x v="0"/>
    <n v="196.60000000000002"/>
    <m/>
    <m/>
    <x v="0"/>
    <x v="0"/>
    <m/>
    <m/>
    <x v="0"/>
    <x v="0"/>
    <m/>
    <x v="0"/>
    <x v="0"/>
    <x v="0"/>
    <x v="0"/>
    <x v="0"/>
    <m/>
    <m/>
    <m/>
    <m/>
    <x v="0"/>
    <x v="0"/>
    <m/>
    <x v="0"/>
    <m/>
    <x v="0"/>
    <x v="0"/>
    <x v="0"/>
    <x v="0"/>
    <x v="0"/>
  </r>
  <r>
    <x v="1"/>
    <x v="4"/>
    <s v="3181 J"/>
    <x v="33"/>
    <s v="Plain Lafafa"/>
    <s v="LDN"/>
    <n v="30"/>
    <s v="6"/>
    <s v="پیور"/>
    <n v="500"/>
    <x v="0"/>
    <n v="9"/>
    <n v="526"/>
    <n v="37.800000000000004"/>
    <m/>
    <x v="0"/>
    <n v="488.2"/>
    <m/>
    <m/>
    <x v="0"/>
    <x v="0"/>
    <m/>
    <m/>
    <x v="0"/>
    <x v="0"/>
    <m/>
    <x v="0"/>
    <x v="0"/>
    <x v="0"/>
    <x v="0"/>
    <x v="0"/>
    <m/>
    <m/>
    <m/>
    <m/>
    <x v="0"/>
    <x v="0"/>
    <m/>
    <x v="0"/>
    <m/>
    <x v="0"/>
    <x v="0"/>
    <x v="0"/>
    <x v="0"/>
    <x v="0"/>
  </r>
  <r>
    <x v="0"/>
    <x v="5"/>
    <s v="3050 J"/>
    <x v="33"/>
    <s v="Plain Lafafa Ahsan Cotton "/>
    <s v="LDN"/>
    <n v="36"/>
    <n v="6"/>
    <s v="AA کولٹی"/>
    <n v="300"/>
    <x v="0"/>
    <n v="3"/>
    <n v="149.99"/>
    <n v="12.600000000000001"/>
    <n v="12.2"/>
    <x v="0"/>
    <n v="137.39000000000001"/>
    <m/>
    <m/>
    <x v="0"/>
    <x v="0"/>
    <m/>
    <m/>
    <x v="0"/>
    <x v="0"/>
    <m/>
    <x v="0"/>
    <x v="0"/>
    <x v="0"/>
    <x v="0"/>
    <x v="0"/>
    <m/>
    <m/>
    <m/>
    <m/>
    <x v="0"/>
    <x v="0"/>
    <m/>
    <x v="0"/>
    <m/>
    <x v="0"/>
    <x v="0"/>
    <x v="0"/>
    <x v="0"/>
    <x v="0"/>
  </r>
  <r>
    <x v="0"/>
    <x v="5"/>
    <s v="3052 J"/>
    <x v="33"/>
    <s v="Plain Lafafa Ahsan Cotton "/>
    <s v="LDN"/>
    <n v="36"/>
    <n v="6"/>
    <s v="AA کولٹی"/>
    <n v="200"/>
    <x v="0"/>
    <n v="4"/>
    <n v="207.20999999999998"/>
    <n v="16.8"/>
    <m/>
    <x v="0"/>
    <n v="190.40999999999997"/>
    <m/>
    <m/>
    <x v="0"/>
    <x v="0"/>
    <m/>
    <m/>
    <x v="0"/>
    <x v="0"/>
    <m/>
    <x v="0"/>
    <x v="0"/>
    <x v="0"/>
    <x v="0"/>
    <x v="0"/>
    <m/>
    <m/>
    <m/>
    <m/>
    <x v="0"/>
    <x v="0"/>
    <m/>
    <x v="0"/>
    <m/>
    <x v="0"/>
    <x v="0"/>
    <x v="0"/>
    <x v="0"/>
    <x v="0"/>
  </r>
  <r>
    <x v="0"/>
    <x v="5"/>
    <s v="3051 J"/>
    <x v="33"/>
    <s v="Plain Lafafa Ahsan Cotton "/>
    <s v="LDN"/>
    <n v="40"/>
    <n v="6"/>
    <s v="AA کولٹی"/>
    <n v="300"/>
    <x v="0"/>
    <n v="4"/>
    <n v="234.85"/>
    <n v="20"/>
    <m/>
    <x v="0"/>
    <n v="214.85"/>
    <m/>
    <m/>
    <x v="0"/>
    <x v="0"/>
    <m/>
    <m/>
    <x v="0"/>
    <x v="0"/>
    <m/>
    <x v="0"/>
    <x v="0"/>
    <x v="0"/>
    <x v="0"/>
    <x v="0"/>
    <m/>
    <m/>
    <m/>
    <m/>
    <x v="0"/>
    <x v="0"/>
    <m/>
    <x v="0"/>
    <m/>
    <x v="0"/>
    <x v="0"/>
    <x v="0"/>
    <x v="0"/>
    <x v="0"/>
  </r>
  <r>
    <x v="1"/>
    <x v="5"/>
    <s v="3051 J"/>
    <x v="33"/>
    <s v="Plain Lafafa Ahsan Cotton "/>
    <s v="LDN"/>
    <n v="40"/>
    <n v="6"/>
    <s v="AA کولٹی"/>
    <n v="300"/>
    <x v="0"/>
    <n v="1"/>
    <n v="80.8"/>
    <n v="5.0999999999999996"/>
    <m/>
    <x v="0"/>
    <n v="75.7"/>
    <m/>
    <m/>
    <x v="0"/>
    <x v="0"/>
    <m/>
    <m/>
    <x v="0"/>
    <x v="0"/>
    <m/>
    <x v="0"/>
    <x v="0"/>
    <x v="0"/>
    <x v="0"/>
    <x v="0"/>
    <m/>
    <m/>
    <m/>
    <m/>
    <x v="0"/>
    <x v="0"/>
    <m/>
    <x v="0"/>
    <m/>
    <x v="0"/>
    <x v="0"/>
    <x v="0"/>
    <x v="0"/>
    <x v="0"/>
  </r>
  <r>
    <x v="1"/>
    <x v="5"/>
    <s v="3049 J"/>
    <x v="33"/>
    <s v="Plain Lafafa Ahsan Cotton "/>
    <s v="LDN"/>
    <n v="40"/>
    <n v="6"/>
    <s v="AA کولٹی"/>
    <n v="200"/>
    <x v="0"/>
    <n v="3"/>
    <n v="219.8"/>
    <n v="15.1"/>
    <m/>
    <x v="0"/>
    <n v="204.70000000000002"/>
    <m/>
    <m/>
    <x v="0"/>
    <x v="0"/>
    <m/>
    <m/>
    <x v="0"/>
    <x v="0"/>
    <m/>
    <x v="0"/>
    <x v="0"/>
    <x v="0"/>
    <x v="0"/>
    <x v="0"/>
    <m/>
    <m/>
    <m/>
    <m/>
    <x v="0"/>
    <x v="0"/>
    <m/>
    <x v="0"/>
    <m/>
    <x v="0"/>
    <x v="0"/>
    <x v="0"/>
    <x v="0"/>
    <x v="0"/>
  </r>
  <r>
    <x v="1"/>
    <x v="5"/>
    <s v="1809 F"/>
    <x v="33"/>
    <s v="RECYCLE LOGO+WARNING+L"/>
    <s v="LDN"/>
    <n v="19"/>
    <s v="5.5-6"/>
    <s v="جیلانی شیٹ"/>
    <n v="105"/>
    <x v="0"/>
    <n v="3"/>
    <n v="110.8"/>
    <n v="6.6000000000000005"/>
    <m/>
    <x v="0"/>
    <n v="104.2"/>
    <m/>
    <m/>
    <x v="0"/>
    <x v="0"/>
    <m/>
    <m/>
    <x v="0"/>
    <x v="0"/>
    <m/>
    <x v="0"/>
    <x v="0"/>
    <x v="0"/>
    <x v="0"/>
    <x v="0"/>
    <m/>
    <m/>
    <m/>
    <m/>
    <x v="0"/>
    <x v="0"/>
    <m/>
    <x v="0"/>
    <m/>
    <x v="0"/>
    <x v="0"/>
    <x v="0"/>
    <x v="0"/>
    <x v="0"/>
  </r>
  <r>
    <x v="1"/>
    <x v="5"/>
    <s v="1808 F"/>
    <x v="33"/>
    <s v="RECYCLE LOGO+WARNING+L"/>
    <s v="LDN"/>
    <n v="18"/>
    <s v="5.5-6"/>
    <s v="جیلانی شیٹ"/>
    <n v="170"/>
    <x v="0"/>
    <n v="1"/>
    <n v="44.5"/>
    <n v="2"/>
    <m/>
    <x v="0"/>
    <n v="42.5"/>
    <m/>
    <m/>
    <x v="0"/>
    <x v="0"/>
    <m/>
    <m/>
    <x v="0"/>
    <x v="0"/>
    <m/>
    <x v="0"/>
    <x v="0"/>
    <x v="0"/>
    <x v="0"/>
    <x v="0"/>
    <m/>
    <m/>
    <m/>
    <m/>
    <x v="0"/>
    <x v="0"/>
    <m/>
    <x v="0"/>
    <m/>
    <x v="0"/>
    <x v="0"/>
    <x v="0"/>
    <x v="0"/>
    <x v="0"/>
  </r>
  <r>
    <x v="0"/>
    <x v="0"/>
    <s v="3188 J"/>
    <x v="34"/>
    <s v="U S METAL"/>
    <s v="LDN"/>
    <n v="6"/>
    <n v="10"/>
    <s v="پیور"/>
    <n v="120"/>
    <x v="0"/>
    <n v="2"/>
    <n v="58.6"/>
    <n v="1.6"/>
    <m/>
    <x v="0"/>
    <n v="57"/>
    <m/>
    <m/>
    <x v="0"/>
    <x v="0"/>
    <m/>
    <m/>
    <x v="0"/>
    <x v="0"/>
    <m/>
    <x v="0"/>
    <x v="0"/>
    <x v="0"/>
    <x v="0"/>
    <x v="0"/>
    <m/>
    <m/>
    <m/>
    <m/>
    <x v="0"/>
    <x v="0"/>
    <m/>
    <x v="0"/>
    <m/>
    <x v="0"/>
    <x v="0"/>
    <x v="0"/>
    <x v="0"/>
    <x v="0"/>
  </r>
  <r>
    <x v="0"/>
    <x v="0"/>
    <s v="3189 J"/>
    <x v="34"/>
    <s v="U S METAL"/>
    <s v="LDN"/>
    <n v="7"/>
    <n v="10"/>
    <s v="پیور"/>
    <n v="120"/>
    <x v="0"/>
    <n v="2"/>
    <n v="84.800000000000011"/>
    <n v="1.8"/>
    <m/>
    <x v="0"/>
    <n v="83.000000000000014"/>
    <m/>
    <m/>
    <x v="0"/>
    <x v="0"/>
    <m/>
    <m/>
    <x v="0"/>
    <x v="0"/>
    <m/>
    <x v="0"/>
    <x v="0"/>
    <x v="0"/>
    <x v="0"/>
    <x v="0"/>
    <m/>
    <m/>
    <m/>
    <m/>
    <x v="0"/>
    <x v="0"/>
    <m/>
    <x v="0"/>
    <m/>
    <x v="0"/>
    <x v="0"/>
    <x v="0"/>
    <x v="0"/>
    <x v="0"/>
  </r>
  <r>
    <x v="1"/>
    <x v="0"/>
    <s v="3189 J"/>
    <x v="34"/>
    <s v="U S METAL"/>
    <s v="LDN"/>
    <n v="7"/>
    <n v="10"/>
    <s v="پیور"/>
    <n v="120"/>
    <x v="0"/>
    <n v="1"/>
    <n v="44.8"/>
    <n v="0.9"/>
    <m/>
    <x v="0"/>
    <n v="43.9"/>
    <m/>
    <m/>
    <x v="0"/>
    <x v="0"/>
    <m/>
    <m/>
    <x v="0"/>
    <x v="0"/>
    <m/>
    <x v="0"/>
    <x v="0"/>
    <x v="0"/>
    <x v="0"/>
    <x v="0"/>
    <m/>
    <m/>
    <m/>
    <m/>
    <x v="0"/>
    <x v="0"/>
    <m/>
    <x v="0"/>
    <m/>
    <x v="0"/>
    <x v="0"/>
    <x v="0"/>
    <x v="0"/>
    <x v="0"/>
  </r>
  <r>
    <x v="1"/>
    <x v="0"/>
    <s v="3169 J"/>
    <x v="34"/>
    <s v="U S METAL GOLD"/>
    <s v="LDN"/>
    <n v="7"/>
    <n v="10"/>
    <s v="پیور"/>
    <n v="170"/>
    <x v="0"/>
    <n v="2"/>
    <n v="83.6"/>
    <n v="1.8"/>
    <m/>
    <x v="0"/>
    <n v="81.8"/>
    <m/>
    <m/>
    <x v="0"/>
    <x v="0"/>
    <m/>
    <m/>
    <x v="0"/>
    <x v="0"/>
    <m/>
    <x v="0"/>
    <x v="0"/>
    <x v="0"/>
    <x v="0"/>
    <x v="0"/>
    <m/>
    <m/>
    <m/>
    <m/>
    <x v="0"/>
    <x v="0"/>
    <m/>
    <x v="0"/>
    <m/>
    <x v="0"/>
    <x v="0"/>
    <x v="0"/>
    <x v="0"/>
    <x v="0"/>
  </r>
  <r>
    <x v="0"/>
    <x v="2"/>
    <s v="9531 A"/>
    <x v="34"/>
    <s v="سادہ رول جیلانی پولی سٹاک"/>
    <s v="LDN"/>
    <s v="26 شیٹ"/>
    <s v="8-8.5/16-17"/>
    <s v="پیور"/>
    <n v="2000"/>
    <x v="0"/>
    <n v="6"/>
    <n v="491.59999999999997"/>
    <n v="17.600000000000001"/>
    <n v="22"/>
    <x v="0"/>
    <n v="473.99999999999994"/>
    <m/>
    <m/>
    <x v="0"/>
    <x v="0"/>
    <m/>
    <m/>
    <x v="0"/>
    <x v="0"/>
    <m/>
    <x v="0"/>
    <x v="0"/>
    <x v="0"/>
    <x v="0"/>
    <x v="0"/>
    <m/>
    <m/>
    <m/>
    <m/>
    <x v="0"/>
    <x v="0"/>
    <m/>
    <x v="0"/>
    <m/>
    <x v="0"/>
    <x v="0"/>
    <x v="0"/>
    <x v="0"/>
    <x v="0"/>
  </r>
  <r>
    <x v="1"/>
    <x v="2"/>
    <n v="2767"/>
    <x v="34"/>
    <s v="WHEED FOOD WAZIRABAD"/>
    <s v="LDB"/>
    <n v="24"/>
    <n v="8"/>
    <s v="SL BLACK"/>
    <n v="500"/>
    <x v="0"/>
    <n v="7"/>
    <n v="444"/>
    <n v="21"/>
    <n v="18"/>
    <x v="0"/>
    <n v="423"/>
    <m/>
    <m/>
    <x v="0"/>
    <x v="0"/>
    <m/>
    <m/>
    <x v="0"/>
    <x v="0"/>
    <m/>
    <x v="0"/>
    <x v="0"/>
    <x v="0"/>
    <x v="0"/>
    <x v="0"/>
    <m/>
    <m/>
    <m/>
    <m/>
    <x v="0"/>
    <x v="0"/>
    <m/>
    <x v="0"/>
    <m/>
    <x v="0"/>
    <x v="0"/>
    <x v="0"/>
    <x v="0"/>
    <x v="0"/>
  </r>
  <r>
    <x v="0"/>
    <x v="3"/>
    <n v="2758"/>
    <x v="34"/>
    <s v="SITARA CHEMICAL"/>
    <s v="LDN"/>
    <n v="24"/>
    <s v="100 G"/>
    <s v="SL"/>
    <n v="7500"/>
    <x v="0"/>
    <n v="3"/>
    <n v="377.2"/>
    <n v="8.6999999999999993"/>
    <n v="6"/>
    <x v="0"/>
    <n v="368.5"/>
    <m/>
    <m/>
    <x v="0"/>
    <x v="0"/>
    <m/>
    <m/>
    <x v="0"/>
    <x v="0"/>
    <m/>
    <x v="0"/>
    <x v="0"/>
    <x v="0"/>
    <x v="0"/>
    <x v="0"/>
    <m/>
    <m/>
    <m/>
    <m/>
    <x v="0"/>
    <x v="0"/>
    <m/>
    <x v="0"/>
    <m/>
    <x v="0"/>
    <x v="0"/>
    <x v="0"/>
    <x v="0"/>
    <x v="0"/>
  </r>
  <r>
    <x v="1"/>
    <x v="3"/>
    <n v="2758"/>
    <x v="34"/>
    <s v="SITARA CHEMICAL"/>
    <s v="LDN"/>
    <n v="24"/>
    <s v="100 G"/>
    <s v="SL"/>
    <n v="7500"/>
    <x v="0"/>
    <n v="3"/>
    <n v="376.6"/>
    <n v="9"/>
    <n v="8"/>
    <x v="0"/>
    <n v="367.6"/>
    <m/>
    <m/>
    <x v="0"/>
    <x v="0"/>
    <m/>
    <m/>
    <x v="0"/>
    <x v="0"/>
    <m/>
    <x v="0"/>
    <x v="0"/>
    <x v="0"/>
    <x v="0"/>
    <x v="0"/>
    <m/>
    <m/>
    <m/>
    <m/>
    <x v="0"/>
    <x v="0"/>
    <m/>
    <x v="0"/>
    <m/>
    <x v="0"/>
    <x v="0"/>
    <x v="0"/>
    <x v="0"/>
    <x v="0"/>
  </r>
  <r>
    <x v="0"/>
    <x v="4"/>
    <s v="1803 F"/>
    <x v="34"/>
    <s v="WALMART WARNING BIG"/>
    <s v="LDN"/>
    <n v="20"/>
    <s v="8"/>
    <s v="پیور"/>
    <n v="820"/>
    <x v="0"/>
    <n v="8"/>
    <n v="491"/>
    <n v="19.2"/>
    <n v="9"/>
    <x v="0"/>
    <n v="471.8"/>
    <m/>
    <m/>
    <x v="0"/>
    <x v="0"/>
    <m/>
    <m/>
    <x v="0"/>
    <x v="0"/>
    <m/>
    <x v="0"/>
    <x v="0"/>
    <x v="0"/>
    <x v="0"/>
    <x v="0"/>
    <m/>
    <m/>
    <m/>
    <m/>
    <x v="0"/>
    <x v="0"/>
    <m/>
    <x v="0"/>
    <m/>
    <x v="0"/>
    <x v="0"/>
    <x v="0"/>
    <x v="0"/>
    <x v="0"/>
  </r>
  <r>
    <x v="1"/>
    <x v="4"/>
    <s v="1803 F"/>
    <x v="34"/>
    <s v="WALMART WARNING BIG"/>
    <s v="LDN"/>
    <n v="20"/>
    <s v="8"/>
    <s v="پیور"/>
    <n v="820"/>
    <x v="0"/>
    <n v="6"/>
    <n v="376.40000000000003"/>
    <n v="14.399999999999999"/>
    <n v="10"/>
    <x v="0"/>
    <n v="362.00000000000006"/>
    <m/>
    <m/>
    <x v="0"/>
    <x v="0"/>
    <m/>
    <m/>
    <x v="0"/>
    <x v="0"/>
    <m/>
    <x v="0"/>
    <x v="0"/>
    <x v="0"/>
    <x v="0"/>
    <x v="0"/>
    <m/>
    <m/>
    <m/>
    <m/>
    <x v="0"/>
    <x v="0"/>
    <m/>
    <x v="0"/>
    <m/>
    <x v="0"/>
    <x v="0"/>
    <x v="0"/>
    <x v="0"/>
    <x v="0"/>
  </r>
  <r>
    <x v="1"/>
    <x v="4"/>
    <s v="3143 J"/>
    <x v="34"/>
    <s v="Al Khayrat Brand"/>
    <s v="LDN"/>
    <n v="22"/>
    <s v="4.5-5"/>
    <s v="پیور"/>
    <n v="200"/>
    <x v="0"/>
    <n v="4"/>
    <n v="168.4"/>
    <n v="10.4"/>
    <m/>
    <x v="0"/>
    <n v="158"/>
    <m/>
    <m/>
    <x v="0"/>
    <x v="0"/>
    <m/>
    <m/>
    <x v="0"/>
    <x v="0"/>
    <m/>
    <x v="0"/>
    <x v="0"/>
    <x v="0"/>
    <x v="0"/>
    <x v="0"/>
    <m/>
    <m/>
    <m/>
    <m/>
    <x v="0"/>
    <x v="0"/>
    <m/>
    <x v="0"/>
    <m/>
    <x v="0"/>
    <x v="0"/>
    <x v="0"/>
    <x v="0"/>
    <x v="0"/>
  </r>
  <r>
    <x v="0"/>
    <x v="5"/>
    <s v="1808 F"/>
    <x v="34"/>
    <s v="RECYCLE LOGO+WARNING+L"/>
    <s v="LDN"/>
    <n v="18"/>
    <s v="5.5-6"/>
    <s v="جیلانی شیٹ"/>
    <n v="170"/>
    <x v="0"/>
    <n v="3"/>
    <n v="131"/>
    <n v="6.4"/>
    <n v="6"/>
    <x v="0"/>
    <n v="124.6"/>
    <m/>
    <m/>
    <x v="0"/>
    <x v="0"/>
    <m/>
    <m/>
    <x v="0"/>
    <x v="0"/>
    <m/>
    <x v="0"/>
    <x v="0"/>
    <x v="0"/>
    <x v="0"/>
    <x v="0"/>
    <m/>
    <m/>
    <m/>
    <m/>
    <x v="0"/>
    <x v="0"/>
    <m/>
    <x v="0"/>
    <m/>
    <x v="0"/>
    <x v="0"/>
    <x v="0"/>
    <x v="0"/>
    <x v="0"/>
  </r>
  <r>
    <x v="0"/>
    <x v="5"/>
    <s v="1806 F"/>
    <x v="34"/>
    <s v="WALMART WARNING SMALL"/>
    <s v="LDN"/>
    <n v="18"/>
    <s v="7.5-8"/>
    <s v="پیور"/>
    <n v="250"/>
    <x v="0"/>
    <n v="5"/>
    <n v="272.7"/>
    <n v="11"/>
    <m/>
    <x v="0"/>
    <n v="261.7"/>
    <m/>
    <m/>
    <x v="0"/>
    <x v="0"/>
    <m/>
    <m/>
    <x v="0"/>
    <x v="0"/>
    <m/>
    <x v="0"/>
    <x v="0"/>
    <x v="0"/>
    <x v="0"/>
    <x v="0"/>
    <m/>
    <m/>
    <m/>
    <m/>
    <x v="0"/>
    <x v="0"/>
    <m/>
    <x v="0"/>
    <m/>
    <x v="0"/>
    <x v="0"/>
    <x v="0"/>
    <x v="0"/>
    <x v="0"/>
  </r>
  <r>
    <x v="1"/>
    <x v="5"/>
    <s v="1806 F"/>
    <x v="34"/>
    <s v="WALMART WARNING SMALL"/>
    <s v="LDN"/>
    <n v="18"/>
    <s v="7.5-8"/>
    <s v="پیور"/>
    <n v="250"/>
    <x v="0"/>
    <n v="1"/>
    <n v="43.08"/>
    <n v="2.2000000000000002"/>
    <n v="2"/>
    <x v="0"/>
    <n v="40.879999999999995"/>
    <m/>
    <m/>
    <x v="0"/>
    <x v="0"/>
    <m/>
    <m/>
    <x v="0"/>
    <x v="0"/>
    <m/>
    <x v="0"/>
    <x v="0"/>
    <x v="0"/>
    <x v="0"/>
    <x v="0"/>
    <m/>
    <m/>
    <m/>
    <m/>
    <x v="0"/>
    <x v="0"/>
    <m/>
    <x v="0"/>
    <m/>
    <x v="0"/>
    <x v="0"/>
    <x v="0"/>
    <x v="0"/>
    <x v="0"/>
  </r>
  <r>
    <x v="1"/>
    <x v="5"/>
    <s v="1823 F"/>
    <x v="34"/>
    <s v="WALMART WARNING SMALL"/>
    <s v="LDN"/>
    <n v="18"/>
    <s v="7.5-8"/>
    <s v="پیور"/>
    <n v="135"/>
    <x v="0"/>
    <n v="4"/>
    <n v="203.62"/>
    <n v="8.8000000000000007"/>
    <m/>
    <x v="0"/>
    <n v="194.82"/>
    <m/>
    <m/>
    <x v="0"/>
    <x v="0"/>
    <m/>
    <m/>
    <x v="0"/>
    <x v="0"/>
    <m/>
    <x v="0"/>
    <x v="0"/>
    <x v="0"/>
    <x v="0"/>
    <x v="0"/>
    <m/>
    <m/>
    <m/>
    <m/>
    <x v="0"/>
    <x v="0"/>
    <m/>
    <x v="0"/>
    <m/>
    <x v="0"/>
    <x v="0"/>
    <x v="0"/>
    <x v="0"/>
    <x v="0"/>
  </r>
  <r>
    <x v="1"/>
    <x v="5"/>
    <s v="1824 F"/>
    <x v="34"/>
    <s v="WALMART WARNING BIG"/>
    <s v="LDN"/>
    <n v="18"/>
    <s v="8"/>
    <s v="پیور"/>
    <n v="800"/>
    <x v="0"/>
    <n v="1"/>
    <n v="47.7"/>
    <n v="2.2000000000000002"/>
    <m/>
    <x v="0"/>
    <n v="45.5"/>
    <m/>
    <m/>
    <x v="0"/>
    <x v="0"/>
    <m/>
    <m/>
    <x v="0"/>
    <x v="0"/>
    <m/>
    <x v="0"/>
    <x v="0"/>
    <x v="0"/>
    <x v="0"/>
    <x v="0"/>
    <m/>
    <m/>
    <m/>
    <m/>
    <x v="0"/>
    <x v="0"/>
    <m/>
    <x v="0"/>
    <m/>
    <x v="0"/>
    <x v="0"/>
    <x v="0"/>
    <x v="0"/>
    <x v="0"/>
  </r>
  <r>
    <x v="0"/>
    <x v="0"/>
    <s v="3169 J"/>
    <x v="35"/>
    <s v="U S METAL GOLD"/>
    <s v="LDN"/>
    <n v="7"/>
    <n v="10"/>
    <s v="پیور"/>
    <n v="170"/>
    <x v="0"/>
    <n v="2"/>
    <n v="98.4"/>
    <n v="1.8"/>
    <n v="70"/>
    <x v="0"/>
    <n v="96.600000000000009"/>
    <m/>
    <m/>
    <x v="0"/>
    <x v="0"/>
    <m/>
    <m/>
    <x v="0"/>
    <x v="0"/>
    <m/>
    <x v="0"/>
    <x v="0"/>
    <x v="0"/>
    <x v="0"/>
    <x v="0"/>
    <m/>
    <m/>
    <m/>
    <m/>
    <x v="0"/>
    <x v="0"/>
    <m/>
    <x v="0"/>
    <m/>
    <x v="0"/>
    <x v="0"/>
    <x v="0"/>
    <x v="0"/>
    <x v="0"/>
  </r>
  <r>
    <x v="0"/>
    <x v="0"/>
    <s v="3193 J"/>
    <x v="35"/>
    <s v="APL Aluminium"/>
    <s v="LDN"/>
    <n v="7"/>
    <n v="10"/>
    <s v="پیور"/>
    <n v="60"/>
    <x v="0"/>
    <n v="1"/>
    <n v="32.6"/>
    <n v="0.9"/>
    <m/>
    <x v="0"/>
    <n v="31.700000000000003"/>
    <m/>
    <m/>
    <x v="0"/>
    <x v="0"/>
    <m/>
    <m/>
    <x v="0"/>
    <x v="0"/>
    <m/>
    <x v="0"/>
    <x v="0"/>
    <x v="0"/>
    <x v="0"/>
    <x v="0"/>
    <m/>
    <m/>
    <m/>
    <m/>
    <x v="0"/>
    <x v="0"/>
    <m/>
    <x v="0"/>
    <m/>
    <x v="0"/>
    <x v="0"/>
    <x v="0"/>
    <x v="0"/>
    <x v="0"/>
  </r>
  <r>
    <x v="1"/>
    <x v="0"/>
    <s v="3193 J"/>
    <x v="35"/>
    <s v="APL Aluminium"/>
    <s v="LDN"/>
    <n v="7"/>
    <n v="10"/>
    <s v="پیور"/>
    <n v="60"/>
    <x v="0"/>
    <n v="1"/>
    <n v="35.200000000000003"/>
    <n v="0.7"/>
    <n v="2"/>
    <x v="0"/>
    <n v="34.5"/>
    <m/>
    <m/>
    <x v="0"/>
    <x v="0"/>
    <m/>
    <m/>
    <x v="0"/>
    <x v="0"/>
    <m/>
    <x v="0"/>
    <x v="0"/>
    <x v="0"/>
    <x v="0"/>
    <x v="0"/>
    <m/>
    <m/>
    <m/>
    <m/>
    <x v="0"/>
    <x v="0"/>
    <m/>
    <x v="0"/>
    <m/>
    <x v="0"/>
    <x v="0"/>
    <x v="0"/>
    <x v="0"/>
    <x v="0"/>
  </r>
  <r>
    <x v="1"/>
    <x v="0"/>
    <s v="3068 J"/>
    <x v="35"/>
    <s v="Smart Food Logo"/>
    <s v="LDN"/>
    <n v="5"/>
    <s v="12-12.5"/>
    <s v="پیور"/>
    <n v="100"/>
    <x v="0"/>
    <n v="1"/>
    <n v="31"/>
    <n v="0.7"/>
    <m/>
    <x v="0"/>
    <n v="30.3"/>
    <m/>
    <m/>
    <x v="0"/>
    <x v="0"/>
    <m/>
    <m/>
    <x v="0"/>
    <x v="0"/>
    <m/>
    <x v="0"/>
    <x v="0"/>
    <x v="0"/>
    <x v="0"/>
    <x v="0"/>
    <m/>
    <m/>
    <m/>
    <m/>
    <x v="0"/>
    <x v="0"/>
    <m/>
    <x v="0"/>
    <m/>
    <x v="0"/>
    <x v="0"/>
    <x v="0"/>
    <x v="0"/>
    <x v="0"/>
  </r>
  <r>
    <x v="1"/>
    <x v="0"/>
    <s v="3167 J"/>
    <x v="35"/>
    <s v="U S METAL GOLD"/>
    <s v="LDN"/>
    <n v="5"/>
    <n v="10"/>
    <s v="پیور"/>
    <n v="120"/>
    <x v="0"/>
    <n v="2"/>
    <n v="63.6"/>
    <n v="1.4"/>
    <m/>
    <x v="0"/>
    <n v="62.2"/>
    <m/>
    <m/>
    <x v="0"/>
    <x v="0"/>
    <m/>
    <m/>
    <x v="0"/>
    <x v="0"/>
    <m/>
    <x v="0"/>
    <x v="0"/>
    <x v="0"/>
    <x v="0"/>
    <x v="0"/>
    <m/>
    <m/>
    <m/>
    <m/>
    <x v="0"/>
    <x v="0"/>
    <m/>
    <x v="0"/>
    <m/>
    <x v="0"/>
    <x v="0"/>
    <x v="0"/>
    <x v="0"/>
    <x v="0"/>
  </r>
  <r>
    <x v="0"/>
    <x v="2"/>
    <n v="2767"/>
    <x v="35"/>
    <s v="WHEED FOOD WAZIRABAD"/>
    <s v="LDB"/>
    <n v="24"/>
    <n v="8"/>
    <s v="SL BLACK"/>
    <n v="500"/>
    <x v="0"/>
    <n v="1"/>
    <n v="79.599999999999994"/>
    <n v="3"/>
    <m/>
    <x v="0"/>
    <n v="76.599999999999994"/>
    <m/>
    <m/>
    <x v="0"/>
    <x v="0"/>
    <m/>
    <m/>
    <x v="0"/>
    <x v="0"/>
    <m/>
    <x v="0"/>
    <x v="0"/>
    <x v="0"/>
    <x v="0"/>
    <x v="0"/>
    <m/>
    <m/>
    <m/>
    <m/>
    <x v="0"/>
    <x v="0"/>
    <m/>
    <x v="0"/>
    <m/>
    <x v="0"/>
    <x v="0"/>
    <x v="0"/>
    <x v="0"/>
    <x v="0"/>
  </r>
  <r>
    <x v="0"/>
    <x v="2"/>
    <s v="3094 J"/>
    <x v="35"/>
    <s v="Fuseline Blue"/>
    <s v="LD بلو"/>
    <n v="16"/>
    <s v="10-10.5"/>
    <s v="ABA پیور"/>
    <n v="250"/>
    <x v="0"/>
    <n v="4"/>
    <n v="261"/>
    <n v="7.6"/>
    <m/>
    <x v="0"/>
    <n v="253.4"/>
    <m/>
    <m/>
    <x v="0"/>
    <x v="0"/>
    <m/>
    <m/>
    <x v="0"/>
    <x v="0"/>
    <m/>
    <x v="0"/>
    <x v="0"/>
    <x v="0"/>
    <x v="0"/>
    <x v="0"/>
    <m/>
    <m/>
    <m/>
    <m/>
    <x v="0"/>
    <x v="0"/>
    <m/>
    <x v="0"/>
    <m/>
    <x v="0"/>
    <x v="0"/>
    <x v="0"/>
    <x v="0"/>
    <x v="0"/>
  </r>
  <r>
    <x v="0"/>
    <x v="2"/>
    <s v="3095 J"/>
    <x v="35"/>
    <s v="Fuseline Blue"/>
    <s v="LD بلو"/>
    <n v="16"/>
    <s v="10-10.5"/>
    <s v="ABA پیور"/>
    <n v="250"/>
    <x v="0"/>
    <n v="1"/>
    <n v="52.4"/>
    <n v="1.9"/>
    <m/>
    <x v="0"/>
    <n v="50.5"/>
    <m/>
    <m/>
    <x v="0"/>
    <x v="0"/>
    <m/>
    <m/>
    <x v="0"/>
    <x v="0"/>
    <m/>
    <x v="0"/>
    <x v="0"/>
    <x v="0"/>
    <x v="0"/>
    <x v="0"/>
    <m/>
    <m/>
    <m/>
    <m/>
    <x v="0"/>
    <x v="0"/>
    <m/>
    <x v="0"/>
    <m/>
    <x v="0"/>
    <x v="0"/>
    <x v="0"/>
    <x v="0"/>
    <x v="0"/>
  </r>
  <r>
    <x v="1"/>
    <x v="2"/>
    <s v="3095 J"/>
    <x v="35"/>
    <s v="Fuseline Blue"/>
    <s v="LD بلو"/>
    <n v="16"/>
    <s v="10-10.5"/>
    <s v="ABA پیور"/>
    <n v="250"/>
    <x v="0"/>
    <n v="4"/>
    <n v="220.2"/>
    <n v="6.2"/>
    <n v="2"/>
    <x v="0"/>
    <n v="214"/>
    <m/>
    <m/>
    <x v="0"/>
    <x v="0"/>
    <m/>
    <m/>
    <x v="0"/>
    <x v="0"/>
    <m/>
    <x v="0"/>
    <x v="0"/>
    <x v="0"/>
    <x v="0"/>
    <x v="0"/>
    <m/>
    <m/>
    <m/>
    <m/>
    <x v="0"/>
    <x v="0"/>
    <m/>
    <x v="0"/>
    <m/>
    <x v="0"/>
    <x v="0"/>
    <x v="0"/>
    <x v="0"/>
    <x v="0"/>
  </r>
  <r>
    <x v="1"/>
    <x v="2"/>
    <s v="3097 J"/>
    <x v="35"/>
    <s v="Blue Flower"/>
    <s v="LD بلو"/>
    <n v="16"/>
    <s v="10-10.5"/>
    <s v="ABA پیور"/>
    <n v="350"/>
    <x v="0"/>
    <n v="3"/>
    <n v="158.4"/>
    <n v="3.5999999999999996"/>
    <m/>
    <x v="0"/>
    <n v="154.80000000000001"/>
    <m/>
    <m/>
    <x v="0"/>
    <x v="0"/>
    <m/>
    <m/>
    <x v="0"/>
    <x v="0"/>
    <m/>
    <x v="0"/>
    <x v="0"/>
    <x v="0"/>
    <x v="0"/>
    <x v="0"/>
    <m/>
    <m/>
    <m/>
    <m/>
    <x v="0"/>
    <x v="0"/>
    <m/>
    <x v="0"/>
    <m/>
    <x v="0"/>
    <x v="0"/>
    <x v="0"/>
    <x v="0"/>
    <x v="0"/>
  </r>
  <r>
    <x v="0"/>
    <x v="3"/>
    <n v="2758"/>
    <x v="35"/>
    <s v="SITARA CHEMICAL"/>
    <s v="LDN"/>
    <n v="24"/>
    <s v="100 G"/>
    <s v="SL"/>
    <n v="7500"/>
    <x v="0"/>
    <n v="3"/>
    <n v="425.20000000000005"/>
    <n v="5.8"/>
    <m/>
    <x v="0"/>
    <n v="419.40000000000003"/>
    <m/>
    <m/>
    <x v="0"/>
    <x v="0"/>
    <m/>
    <m/>
    <x v="0"/>
    <x v="0"/>
    <m/>
    <x v="0"/>
    <x v="0"/>
    <x v="0"/>
    <x v="0"/>
    <x v="0"/>
    <m/>
    <m/>
    <m/>
    <m/>
    <x v="0"/>
    <x v="0"/>
    <m/>
    <x v="0"/>
    <m/>
    <x v="0"/>
    <x v="0"/>
    <x v="0"/>
    <x v="0"/>
    <x v="0"/>
  </r>
  <r>
    <x v="1"/>
    <x v="3"/>
    <n v="2758"/>
    <x v="35"/>
    <s v="SITARA CHEMICAL"/>
    <s v="LDN"/>
    <n v="24"/>
    <s v="100 G"/>
    <s v="SL"/>
    <n v="7500"/>
    <x v="0"/>
    <n v="2"/>
    <n v="237.3"/>
    <n v="6"/>
    <n v="7"/>
    <x v="0"/>
    <n v="231.3"/>
    <m/>
    <m/>
    <x v="0"/>
    <x v="0"/>
    <m/>
    <m/>
    <x v="0"/>
    <x v="0"/>
    <m/>
    <x v="0"/>
    <x v="0"/>
    <x v="0"/>
    <x v="0"/>
    <x v="0"/>
    <m/>
    <m/>
    <m/>
    <m/>
    <x v="0"/>
    <x v="0"/>
    <m/>
    <x v="0"/>
    <m/>
    <x v="0"/>
    <x v="0"/>
    <x v="0"/>
    <x v="0"/>
    <x v="0"/>
  </r>
  <r>
    <x v="1"/>
    <x v="3"/>
    <s v="3215 J"/>
    <x v="35"/>
    <s v="Plain Tape Lafafa "/>
    <s v="LDN"/>
    <n v="25"/>
    <s v="8-8.5"/>
    <s v="پیور"/>
    <n v="100"/>
    <x v="0"/>
    <n v="2"/>
    <n v="114.4"/>
    <n v="6.2"/>
    <m/>
    <x v="0"/>
    <n v="108.2"/>
    <m/>
    <m/>
    <x v="0"/>
    <x v="0"/>
    <m/>
    <m/>
    <x v="0"/>
    <x v="0"/>
    <m/>
    <x v="0"/>
    <x v="0"/>
    <x v="0"/>
    <x v="0"/>
    <x v="0"/>
    <m/>
    <m/>
    <m/>
    <m/>
    <x v="0"/>
    <x v="0"/>
    <m/>
    <x v="0"/>
    <m/>
    <x v="0"/>
    <x v="0"/>
    <x v="0"/>
    <x v="0"/>
    <x v="0"/>
  </r>
  <r>
    <x v="1"/>
    <x v="3"/>
    <s v="3214 J"/>
    <x v="35"/>
    <s v="Plain Tape Lafafa "/>
    <s v="LDN"/>
    <n v="25"/>
    <s v="8-8.5"/>
    <s v="پیور"/>
    <n v="100"/>
    <x v="0"/>
    <n v="2"/>
    <n v="103.19999999999999"/>
    <n v="6.4"/>
    <m/>
    <x v="0"/>
    <n v="96.799999999999983"/>
    <m/>
    <m/>
    <x v="0"/>
    <x v="0"/>
    <m/>
    <m/>
    <x v="0"/>
    <x v="0"/>
    <m/>
    <x v="0"/>
    <x v="0"/>
    <x v="0"/>
    <x v="0"/>
    <x v="0"/>
    <m/>
    <m/>
    <m/>
    <m/>
    <x v="0"/>
    <x v="0"/>
    <m/>
    <x v="0"/>
    <m/>
    <x v="0"/>
    <x v="0"/>
    <x v="0"/>
    <x v="0"/>
    <x v="0"/>
  </r>
  <r>
    <x v="0"/>
    <x v="4"/>
    <s v="3143  J"/>
    <x v="35"/>
    <s v="-"/>
    <s v="-"/>
    <s v="-"/>
    <s v="-"/>
    <s v="-"/>
    <s v="-"/>
    <x v="0"/>
    <n v="1"/>
    <n v="47.2"/>
    <n v="2.6"/>
    <m/>
    <x v="0"/>
    <n v="44.6"/>
    <m/>
    <m/>
    <x v="0"/>
    <x v="0"/>
    <m/>
    <m/>
    <x v="0"/>
    <x v="0"/>
    <m/>
    <x v="0"/>
    <x v="0"/>
    <x v="0"/>
    <x v="0"/>
    <x v="0"/>
    <m/>
    <m/>
    <m/>
    <m/>
    <x v="0"/>
    <x v="0"/>
    <m/>
    <x v="0"/>
    <m/>
    <x v="0"/>
    <x v="0"/>
    <x v="0"/>
    <x v="0"/>
    <x v="0"/>
  </r>
  <r>
    <x v="0"/>
    <x v="4"/>
    <s v="1775 F"/>
    <x v="35"/>
    <s v="U H L وارننگ"/>
    <s v="LDN"/>
    <n v="21"/>
    <s v="12"/>
    <s v="جیلانی شیٹ"/>
    <n v="500"/>
    <x v="0"/>
    <n v="8"/>
    <n v="510.8"/>
    <n v="19.2"/>
    <m/>
    <x v="0"/>
    <n v="491.6"/>
    <m/>
    <m/>
    <x v="0"/>
    <x v="0"/>
    <m/>
    <m/>
    <x v="0"/>
    <x v="0"/>
    <m/>
    <x v="0"/>
    <x v="0"/>
    <x v="0"/>
    <x v="0"/>
    <x v="0"/>
    <m/>
    <m/>
    <m/>
    <m/>
    <x v="0"/>
    <x v="0"/>
    <m/>
    <x v="0"/>
    <m/>
    <x v="0"/>
    <x v="0"/>
    <x v="0"/>
    <x v="0"/>
    <x v="0"/>
  </r>
  <r>
    <x v="1"/>
    <x v="4"/>
    <s v="1830 F"/>
    <x v="35"/>
    <s v="MAKNIT WARNING NEW"/>
    <s v="LDN"/>
    <n v="21"/>
    <s v="8-8.5"/>
    <s v="جیلانی شیٹ"/>
    <n v="210"/>
    <x v="0"/>
    <n v="3"/>
    <n v="235.6"/>
    <n v="7.4"/>
    <n v="15.6"/>
    <x v="0"/>
    <n v="228.2"/>
    <m/>
    <m/>
    <x v="0"/>
    <x v="0"/>
    <m/>
    <m/>
    <x v="0"/>
    <x v="0"/>
    <m/>
    <x v="0"/>
    <x v="0"/>
    <x v="0"/>
    <x v="0"/>
    <x v="0"/>
    <m/>
    <m/>
    <m/>
    <m/>
    <x v="0"/>
    <x v="0"/>
    <m/>
    <x v="0"/>
    <m/>
    <x v="0"/>
    <x v="0"/>
    <x v="0"/>
    <x v="0"/>
    <x v="0"/>
  </r>
  <r>
    <x v="1"/>
    <x v="4"/>
    <s v="1829 F"/>
    <x v="35"/>
    <s v="MAKNIT WARNING NEW"/>
    <s v="LDN"/>
    <n v="21"/>
    <s v="8-8.5"/>
    <s v="جیلانی شیٹ"/>
    <n v="60"/>
    <x v="0"/>
    <n v="2"/>
    <n v="138"/>
    <n v="4.8"/>
    <m/>
    <x v="0"/>
    <n v="133.19999999999999"/>
    <m/>
    <m/>
    <x v="0"/>
    <x v="0"/>
    <m/>
    <m/>
    <x v="0"/>
    <x v="0"/>
    <m/>
    <x v="0"/>
    <x v="0"/>
    <x v="0"/>
    <x v="0"/>
    <x v="0"/>
    <m/>
    <m/>
    <m/>
    <m/>
    <x v="0"/>
    <x v="0"/>
    <m/>
    <x v="0"/>
    <m/>
    <x v="0"/>
    <x v="0"/>
    <x v="0"/>
    <x v="0"/>
    <x v="0"/>
  </r>
  <r>
    <x v="1"/>
    <x v="4"/>
    <s v="3119 J"/>
    <x v="35"/>
    <s v="X7"/>
    <s v="LDN"/>
    <n v="21"/>
    <s v="9-10"/>
    <s v="پیور"/>
    <n v="400"/>
    <x v="0"/>
    <n v="4"/>
    <n v="252.79999999999995"/>
    <n v="10"/>
    <m/>
    <x v="0"/>
    <n v="242.79999999999995"/>
    <m/>
    <m/>
    <x v="0"/>
    <x v="0"/>
    <m/>
    <m/>
    <x v="0"/>
    <x v="0"/>
    <m/>
    <x v="0"/>
    <x v="0"/>
    <x v="0"/>
    <x v="0"/>
    <x v="0"/>
    <m/>
    <m/>
    <m/>
    <m/>
    <x v="0"/>
    <x v="0"/>
    <m/>
    <x v="0"/>
    <m/>
    <x v="0"/>
    <x v="0"/>
    <x v="0"/>
    <x v="0"/>
    <x v="0"/>
  </r>
  <r>
    <x v="0"/>
    <x v="5"/>
    <s v="1824 F"/>
    <x v="35"/>
    <s v="WALMART WARNING BIG"/>
    <s v="LDN"/>
    <n v="18"/>
    <s v="8"/>
    <s v="پیور"/>
    <n v="800"/>
    <x v="0"/>
    <n v="2"/>
    <n v="108.8"/>
    <n v="4.4000000000000004"/>
    <m/>
    <x v="0"/>
    <n v="104.39999999999999"/>
    <m/>
    <m/>
    <x v="0"/>
    <x v="0"/>
    <m/>
    <m/>
    <x v="0"/>
    <x v="0"/>
    <m/>
    <x v="0"/>
    <x v="0"/>
    <x v="0"/>
    <x v="0"/>
    <x v="0"/>
    <m/>
    <m/>
    <m/>
    <m/>
    <x v="0"/>
    <x v="0"/>
    <m/>
    <x v="0"/>
    <m/>
    <x v="0"/>
    <x v="0"/>
    <x v="0"/>
    <x v="0"/>
    <x v="0"/>
  </r>
  <r>
    <x v="0"/>
    <x v="5"/>
    <s v="3090 J"/>
    <x v="35"/>
    <s v="Plain Lafafa"/>
    <s v="LDN"/>
    <n v="18"/>
    <s v="10-10.5"/>
    <s v="پیور"/>
    <n v="200"/>
    <x v="0"/>
    <n v="3"/>
    <n v="207.5"/>
    <n v="6.6000000000000005"/>
    <m/>
    <x v="0"/>
    <n v="200.9"/>
    <m/>
    <m/>
    <x v="0"/>
    <x v="0"/>
    <m/>
    <m/>
    <x v="0"/>
    <x v="0"/>
    <m/>
    <x v="0"/>
    <x v="0"/>
    <x v="0"/>
    <x v="0"/>
    <x v="0"/>
    <m/>
    <m/>
    <m/>
    <m/>
    <x v="0"/>
    <x v="0"/>
    <m/>
    <x v="0"/>
    <m/>
    <x v="0"/>
    <x v="0"/>
    <x v="0"/>
    <x v="0"/>
    <x v="0"/>
  </r>
  <r>
    <x v="0"/>
    <x v="5"/>
    <s v="3111 J"/>
    <x v="35"/>
    <s v="Atlas Honda LTD (SKP)"/>
    <s v="LDN"/>
    <n v="13"/>
    <s v="8.5-9"/>
    <s v="LDN"/>
    <n v="80"/>
    <x v="0"/>
    <n v="1"/>
    <n v="40.15"/>
    <n v="1.1499999999999999"/>
    <m/>
    <x v="0"/>
    <n v="39"/>
    <m/>
    <m/>
    <x v="0"/>
    <x v="0"/>
    <m/>
    <m/>
    <x v="0"/>
    <x v="0"/>
    <m/>
    <x v="0"/>
    <x v="0"/>
    <x v="0"/>
    <x v="0"/>
    <x v="0"/>
    <m/>
    <m/>
    <m/>
    <m/>
    <x v="0"/>
    <x v="0"/>
    <m/>
    <x v="0"/>
    <m/>
    <x v="0"/>
    <x v="0"/>
    <x v="0"/>
    <x v="0"/>
    <x v="0"/>
  </r>
  <r>
    <x v="1"/>
    <x v="5"/>
    <s v="3111 J"/>
    <x v="35"/>
    <s v="Atlas Honda LTD (SKP)"/>
    <s v="LDN"/>
    <n v="13"/>
    <s v="8.5-9"/>
    <s v="LDN"/>
    <n v="80"/>
    <x v="0"/>
    <n v="1"/>
    <n v="44.15"/>
    <n v="3"/>
    <n v="4.8"/>
    <x v="0"/>
    <n v="41.15"/>
    <m/>
    <m/>
    <x v="0"/>
    <x v="0"/>
    <m/>
    <m/>
    <x v="0"/>
    <x v="0"/>
    <m/>
    <x v="0"/>
    <x v="0"/>
    <x v="0"/>
    <x v="0"/>
    <x v="0"/>
    <m/>
    <m/>
    <m/>
    <m/>
    <x v="0"/>
    <x v="0"/>
    <m/>
    <x v="0"/>
    <m/>
    <x v="0"/>
    <x v="0"/>
    <x v="0"/>
    <x v="0"/>
    <x v="0"/>
  </r>
  <r>
    <x v="1"/>
    <x v="5"/>
    <s v="1848 F"/>
    <x v="35"/>
    <s v="NEXT WARNING"/>
    <s v="LDN"/>
    <n v="13"/>
    <s v="7-7.5"/>
    <s v="جیلانی شیٹ"/>
    <n v="45"/>
    <x v="0"/>
    <n v="2"/>
    <n v="52.2"/>
    <n v="1.6"/>
    <m/>
    <x v="0"/>
    <n v="50.6"/>
    <m/>
    <m/>
    <x v="0"/>
    <x v="0"/>
    <m/>
    <m/>
    <x v="0"/>
    <x v="0"/>
    <m/>
    <x v="0"/>
    <x v="0"/>
    <x v="0"/>
    <x v="0"/>
    <x v="0"/>
    <m/>
    <m/>
    <m/>
    <m/>
    <x v="0"/>
    <x v="0"/>
    <m/>
    <x v="0"/>
    <m/>
    <x v="0"/>
    <x v="0"/>
    <x v="0"/>
    <x v="0"/>
    <x v="0"/>
  </r>
  <r>
    <x v="1"/>
    <x v="5"/>
    <s v="1837 F"/>
    <x v="35"/>
    <s v="NEXT WARNING"/>
    <s v="LDN"/>
    <n v="15.5"/>
    <s v="7-7.5"/>
    <s v="جیلانی شیٹ"/>
    <n v="225"/>
    <x v="0"/>
    <n v="4"/>
    <n v="180.97"/>
    <n v="7.6"/>
    <m/>
    <x v="0"/>
    <n v="173.37"/>
    <m/>
    <m/>
    <x v="0"/>
    <x v="0"/>
    <m/>
    <m/>
    <x v="0"/>
    <x v="0"/>
    <m/>
    <x v="0"/>
    <x v="0"/>
    <x v="0"/>
    <x v="0"/>
    <x v="0"/>
    <m/>
    <m/>
    <m/>
    <m/>
    <x v="0"/>
    <x v="0"/>
    <m/>
    <x v="0"/>
    <m/>
    <x v="0"/>
    <x v="0"/>
    <x v="0"/>
    <x v="0"/>
    <x v="0"/>
  </r>
  <r>
    <x v="0"/>
    <x v="0"/>
    <s v="3167 J"/>
    <x v="36"/>
    <s v="U S METAL GOLD"/>
    <s v="LDN"/>
    <n v="5"/>
    <n v="10"/>
    <s v="پیور"/>
    <n v="120"/>
    <x v="0"/>
    <n v="2"/>
    <n v="67.2"/>
    <n v="1.5"/>
    <m/>
    <x v="0"/>
    <n v="65.7"/>
    <m/>
    <m/>
    <x v="0"/>
    <x v="0"/>
    <m/>
    <m/>
    <x v="0"/>
    <x v="0"/>
    <m/>
    <x v="0"/>
    <x v="0"/>
    <x v="0"/>
    <x v="0"/>
    <x v="0"/>
    <m/>
    <m/>
    <m/>
    <m/>
    <x v="0"/>
    <x v="0"/>
    <m/>
    <x v="0"/>
    <m/>
    <x v="0"/>
    <x v="0"/>
    <x v="0"/>
    <x v="0"/>
    <x v="0"/>
  </r>
  <r>
    <x v="0"/>
    <x v="0"/>
    <s v="3187 J"/>
    <x v="36"/>
    <s v="U S METAL"/>
    <s v="LDN"/>
    <n v="5"/>
    <n v="10"/>
    <s v="پیور"/>
    <n v="120"/>
    <x v="0"/>
    <n v="2"/>
    <n v="66.400000000000006"/>
    <n v="1.4"/>
    <m/>
    <x v="0"/>
    <n v="65"/>
    <m/>
    <m/>
    <x v="0"/>
    <x v="0"/>
    <m/>
    <m/>
    <x v="0"/>
    <x v="0"/>
    <m/>
    <x v="0"/>
    <x v="0"/>
    <x v="0"/>
    <x v="0"/>
    <x v="0"/>
    <m/>
    <m/>
    <m/>
    <m/>
    <x v="0"/>
    <x v="0"/>
    <m/>
    <x v="0"/>
    <m/>
    <x v="0"/>
    <x v="0"/>
    <x v="0"/>
    <x v="0"/>
    <x v="0"/>
  </r>
  <r>
    <x v="1"/>
    <x v="0"/>
    <s v="3187 J"/>
    <x v="36"/>
    <s v="U S METAL"/>
    <s v="LDN"/>
    <n v="5"/>
    <n v="10"/>
    <s v="پیور"/>
    <n v="120"/>
    <x v="0"/>
    <n v="2"/>
    <n v="66.8"/>
    <n v="1.4"/>
    <m/>
    <x v="0"/>
    <n v="65.399999999999991"/>
    <m/>
    <m/>
    <x v="0"/>
    <x v="0"/>
    <m/>
    <m/>
    <x v="0"/>
    <x v="0"/>
    <m/>
    <x v="0"/>
    <x v="0"/>
    <x v="0"/>
    <x v="0"/>
    <x v="0"/>
    <m/>
    <m/>
    <m/>
    <m/>
    <x v="0"/>
    <x v="0"/>
    <m/>
    <x v="0"/>
    <m/>
    <x v="0"/>
    <x v="0"/>
    <x v="0"/>
    <x v="0"/>
    <x v="0"/>
  </r>
  <r>
    <x v="1"/>
    <x v="0"/>
    <s v="3191 J"/>
    <x v="36"/>
    <s v="APL Aluminium"/>
    <s v="LDN"/>
    <n v="5"/>
    <n v="10"/>
    <s v="پیور"/>
    <n v="60"/>
    <x v="0"/>
    <n v="2"/>
    <n v="65.400000000000006"/>
    <n v="1.4"/>
    <m/>
    <x v="0"/>
    <n v="64"/>
    <m/>
    <m/>
    <x v="0"/>
    <x v="0"/>
    <m/>
    <m/>
    <x v="0"/>
    <x v="0"/>
    <m/>
    <x v="0"/>
    <x v="0"/>
    <x v="0"/>
    <x v="0"/>
    <x v="0"/>
    <m/>
    <m/>
    <m/>
    <m/>
    <x v="0"/>
    <x v="0"/>
    <m/>
    <x v="0"/>
    <m/>
    <x v="0"/>
    <x v="0"/>
    <x v="0"/>
    <x v="0"/>
    <x v="0"/>
  </r>
  <r>
    <x v="0"/>
    <x v="2"/>
    <s v="3096 J"/>
    <x v="36"/>
    <s v="Blue Flower"/>
    <s v="LD بلو"/>
    <n v="16"/>
    <s v="10-10.5"/>
    <s v="ABA پیور"/>
    <n v="100"/>
    <x v="0"/>
    <n v="2"/>
    <n v="110"/>
    <n v="3.8"/>
    <n v="9"/>
    <x v="0"/>
    <n v="106.2"/>
    <m/>
    <m/>
    <x v="0"/>
    <x v="0"/>
    <m/>
    <m/>
    <x v="0"/>
    <x v="0"/>
    <m/>
    <x v="0"/>
    <x v="0"/>
    <x v="0"/>
    <x v="0"/>
    <x v="0"/>
    <m/>
    <m/>
    <m/>
    <m/>
    <x v="0"/>
    <x v="0"/>
    <m/>
    <x v="0"/>
    <m/>
    <x v="0"/>
    <x v="0"/>
    <x v="0"/>
    <x v="0"/>
    <x v="0"/>
  </r>
  <r>
    <x v="0"/>
    <x v="2"/>
    <s v="3097 J"/>
    <x v="36"/>
    <s v="Blue Flower"/>
    <s v="LD بلو"/>
    <n v="16"/>
    <s v="10-10.5"/>
    <s v="ABA پیور"/>
    <n v="350"/>
    <x v="0"/>
    <n v="3"/>
    <n v="198.2"/>
    <n v="5.6999999999999993"/>
    <m/>
    <x v="0"/>
    <n v="192.5"/>
    <m/>
    <m/>
    <x v="0"/>
    <x v="0"/>
    <m/>
    <m/>
    <x v="0"/>
    <x v="0"/>
    <m/>
    <x v="0"/>
    <x v="0"/>
    <x v="0"/>
    <x v="0"/>
    <x v="0"/>
    <m/>
    <m/>
    <m/>
    <m/>
    <x v="0"/>
    <x v="0"/>
    <m/>
    <x v="0"/>
    <m/>
    <x v="0"/>
    <x v="0"/>
    <x v="0"/>
    <x v="0"/>
    <x v="0"/>
  </r>
  <r>
    <x v="0"/>
    <x v="2"/>
    <s v="3099 J"/>
    <x v="36"/>
    <s v="Blue Click"/>
    <s v="LD بلو"/>
    <n v="16"/>
    <s v="10-10.5"/>
    <s v="ABA پیور"/>
    <n v="150"/>
    <x v="0"/>
    <n v="1"/>
    <n v="82.8"/>
    <n v="1.9"/>
    <m/>
    <x v="0"/>
    <n v="80.899999999999991"/>
    <m/>
    <m/>
    <x v="0"/>
    <x v="0"/>
    <m/>
    <m/>
    <x v="0"/>
    <x v="0"/>
    <m/>
    <x v="0"/>
    <x v="0"/>
    <x v="0"/>
    <x v="0"/>
    <x v="0"/>
    <m/>
    <m/>
    <m/>
    <m/>
    <x v="0"/>
    <x v="0"/>
    <m/>
    <x v="0"/>
    <m/>
    <x v="0"/>
    <x v="0"/>
    <x v="0"/>
    <x v="0"/>
    <x v="0"/>
  </r>
  <r>
    <x v="1"/>
    <x v="2"/>
    <s v="3099 J"/>
    <x v="36"/>
    <s v="Blue Click"/>
    <s v="LD بلو"/>
    <n v="16"/>
    <s v="10-10.5"/>
    <s v="ABA پیور"/>
    <n v="150"/>
    <x v="0"/>
    <n v="1"/>
    <n v="76.8"/>
    <n v="1.9"/>
    <n v="12"/>
    <x v="0"/>
    <n v="74.899999999999991"/>
    <m/>
    <m/>
    <x v="0"/>
    <x v="0"/>
    <m/>
    <m/>
    <x v="0"/>
    <x v="0"/>
    <m/>
    <x v="0"/>
    <x v="0"/>
    <x v="0"/>
    <x v="0"/>
    <x v="0"/>
    <m/>
    <m/>
    <m/>
    <m/>
    <x v="0"/>
    <x v="0"/>
    <m/>
    <x v="0"/>
    <m/>
    <x v="0"/>
    <x v="0"/>
    <x v="0"/>
    <x v="0"/>
    <x v="0"/>
  </r>
  <r>
    <x v="1"/>
    <x v="2"/>
    <s v="3101 J"/>
    <x v="36"/>
    <s v="Eagle Blue"/>
    <s v="LD بلو"/>
    <n v="16"/>
    <s v="10-10.5"/>
    <s v="ABA پیور"/>
    <n v="150"/>
    <x v="0"/>
    <n v="2"/>
    <n v="119.8"/>
    <n v="3.8"/>
    <m/>
    <x v="0"/>
    <n v="116"/>
    <m/>
    <m/>
    <x v="0"/>
    <x v="0"/>
    <m/>
    <m/>
    <x v="0"/>
    <x v="0"/>
    <m/>
    <x v="0"/>
    <x v="0"/>
    <x v="0"/>
    <x v="0"/>
    <x v="0"/>
    <m/>
    <m/>
    <m/>
    <m/>
    <x v="0"/>
    <x v="0"/>
    <m/>
    <x v="0"/>
    <m/>
    <x v="0"/>
    <x v="0"/>
    <x v="0"/>
    <x v="0"/>
    <x v="0"/>
  </r>
  <r>
    <x v="1"/>
    <x v="2"/>
    <s v="3100 J"/>
    <x v="36"/>
    <s v="Eagle Blue"/>
    <s v="LD بلو"/>
    <n v="16"/>
    <s v="10-10.5"/>
    <s v="ABA پیور"/>
    <n v="250"/>
    <x v="0"/>
    <n v="3"/>
    <n v="199.79999999999998"/>
    <n v="5.6999999999999993"/>
    <m/>
    <x v="0"/>
    <n v="194.1"/>
    <m/>
    <m/>
    <x v="0"/>
    <x v="0"/>
    <m/>
    <m/>
    <x v="0"/>
    <x v="0"/>
    <m/>
    <x v="0"/>
    <x v="0"/>
    <x v="0"/>
    <x v="0"/>
    <x v="0"/>
    <m/>
    <m/>
    <m/>
    <m/>
    <x v="0"/>
    <x v="0"/>
    <m/>
    <x v="0"/>
    <m/>
    <x v="0"/>
    <x v="0"/>
    <x v="0"/>
    <x v="0"/>
    <x v="0"/>
  </r>
  <r>
    <x v="0"/>
    <x v="3"/>
    <s v="3209 J"/>
    <x v="36"/>
    <s v="Plain Lafafa Subhan Traders "/>
    <s v="LDN"/>
    <n v="26"/>
    <s v="11.5-12"/>
    <s v="پیور"/>
    <n v="150"/>
    <x v="0"/>
    <n v="3"/>
    <n v="187.2"/>
    <n v="9.6000000000000014"/>
    <n v="8"/>
    <x v="0"/>
    <n v="177.6"/>
    <m/>
    <m/>
    <x v="0"/>
    <x v="0"/>
    <m/>
    <m/>
    <x v="0"/>
    <x v="0"/>
    <m/>
    <x v="0"/>
    <x v="0"/>
    <x v="0"/>
    <x v="0"/>
    <x v="0"/>
    <m/>
    <m/>
    <m/>
    <m/>
    <x v="0"/>
    <x v="0"/>
    <m/>
    <x v="0"/>
    <m/>
    <x v="0"/>
    <x v="0"/>
    <x v="0"/>
    <x v="0"/>
    <x v="0"/>
  </r>
  <r>
    <x v="0"/>
    <x v="3"/>
    <n v="2758"/>
    <x v="36"/>
    <s v="SITARA CHEMICAL"/>
    <s v="LDN"/>
    <n v="24"/>
    <s v="100 G"/>
    <s v="SL"/>
    <n v="7500"/>
    <x v="0"/>
    <n v="1"/>
    <n v="94.4"/>
    <n v="3"/>
    <m/>
    <x v="0"/>
    <n v="91.4"/>
    <m/>
    <m/>
    <x v="0"/>
    <x v="0"/>
    <m/>
    <m/>
    <x v="0"/>
    <x v="0"/>
    <m/>
    <x v="0"/>
    <x v="0"/>
    <x v="0"/>
    <x v="0"/>
    <x v="0"/>
    <m/>
    <m/>
    <m/>
    <m/>
    <x v="0"/>
    <x v="0"/>
    <m/>
    <x v="0"/>
    <m/>
    <x v="0"/>
    <x v="0"/>
    <x v="0"/>
    <x v="0"/>
    <x v="0"/>
  </r>
  <r>
    <x v="0"/>
    <x v="3"/>
    <s v="3210 J"/>
    <x v="36"/>
    <s v="Plain Lafafa Subhan Traders "/>
    <s v="LDN"/>
    <n v="23"/>
    <s v="11.5-12"/>
    <s v="پیور"/>
    <n v="50"/>
    <x v="0"/>
    <n v="1"/>
    <n v="56.2"/>
    <n v="2.9"/>
    <m/>
    <x v="0"/>
    <n v="53.300000000000004"/>
    <m/>
    <m/>
    <x v="0"/>
    <x v="0"/>
    <m/>
    <m/>
    <x v="0"/>
    <x v="0"/>
    <m/>
    <x v="0"/>
    <x v="0"/>
    <x v="0"/>
    <x v="0"/>
    <x v="0"/>
    <m/>
    <m/>
    <m/>
    <m/>
    <x v="0"/>
    <x v="0"/>
    <m/>
    <x v="0"/>
    <m/>
    <x v="0"/>
    <x v="0"/>
    <x v="0"/>
    <x v="0"/>
    <x v="0"/>
  </r>
  <r>
    <x v="1"/>
    <x v="3"/>
    <s v="1844 F"/>
    <x v="36"/>
    <s v="KARATE WARNING"/>
    <s v="LDN"/>
    <n v="19"/>
    <s v="12"/>
    <s v="پیور"/>
    <n v="80"/>
    <x v="0"/>
    <n v="1"/>
    <n v="83.8"/>
    <n v="2.2000000000000002"/>
    <n v="14"/>
    <x v="0"/>
    <n v="81.599999999999994"/>
    <m/>
    <m/>
    <x v="0"/>
    <x v="0"/>
    <m/>
    <m/>
    <x v="0"/>
    <x v="0"/>
    <m/>
    <x v="0"/>
    <x v="0"/>
    <x v="0"/>
    <x v="0"/>
    <x v="0"/>
    <m/>
    <m/>
    <m/>
    <m/>
    <x v="0"/>
    <x v="0"/>
    <m/>
    <x v="0"/>
    <m/>
    <x v="0"/>
    <x v="0"/>
    <x v="0"/>
    <x v="0"/>
    <x v="0"/>
  </r>
  <r>
    <x v="1"/>
    <x v="3"/>
    <s v="1818 F"/>
    <x v="36"/>
    <s v="ICON WARNING"/>
    <s v="LDN"/>
    <n v="19"/>
    <s v="12"/>
    <s v="پیور"/>
    <n v="150"/>
    <x v="0"/>
    <n v="3"/>
    <n v="159.80000000000001"/>
    <n v="6.6000000000000005"/>
    <m/>
    <x v="0"/>
    <n v="153.20000000000002"/>
    <m/>
    <m/>
    <x v="0"/>
    <x v="0"/>
    <m/>
    <m/>
    <x v="0"/>
    <x v="0"/>
    <m/>
    <x v="0"/>
    <x v="0"/>
    <x v="0"/>
    <x v="0"/>
    <x v="0"/>
    <m/>
    <m/>
    <m/>
    <m/>
    <x v="0"/>
    <x v="0"/>
    <m/>
    <x v="0"/>
    <m/>
    <x v="0"/>
    <x v="0"/>
    <x v="0"/>
    <x v="0"/>
    <x v="0"/>
  </r>
  <r>
    <x v="0"/>
    <x v="4"/>
    <s v="3119 J"/>
    <x v="36"/>
    <s v="X7"/>
    <s v="LDN"/>
    <n v="21"/>
    <s v="9-10"/>
    <s v="پیور"/>
    <n v="400"/>
    <x v="0"/>
    <n v="3"/>
    <n v="127.4"/>
    <n v="7.1999999999999993"/>
    <n v="35"/>
    <x v="0"/>
    <n v="120.2"/>
    <m/>
    <m/>
    <x v="0"/>
    <x v="0"/>
    <m/>
    <m/>
    <x v="0"/>
    <x v="0"/>
    <m/>
    <x v="0"/>
    <x v="0"/>
    <x v="0"/>
    <x v="0"/>
    <x v="0"/>
    <m/>
    <m/>
    <m/>
    <m/>
    <x v="0"/>
    <x v="0"/>
    <m/>
    <x v="0"/>
    <m/>
    <x v="0"/>
    <x v="0"/>
    <x v="0"/>
    <x v="0"/>
    <x v="0"/>
  </r>
  <r>
    <x v="0"/>
    <x v="4"/>
    <s v="3119 J"/>
    <x v="36"/>
    <s v="X7"/>
    <s v="LDN"/>
    <n v="21"/>
    <s v="9-10"/>
    <s v="پیور"/>
    <n v="400"/>
    <x v="0"/>
    <n v="2"/>
    <n v="103.4"/>
    <n v="7.4"/>
    <m/>
    <x v="0"/>
    <n v="96"/>
    <m/>
    <m/>
    <x v="0"/>
    <x v="0"/>
    <m/>
    <m/>
    <x v="0"/>
    <x v="0"/>
    <m/>
    <x v="0"/>
    <x v="0"/>
    <x v="0"/>
    <x v="0"/>
    <x v="0"/>
    <m/>
    <m/>
    <m/>
    <m/>
    <x v="0"/>
    <x v="0"/>
    <m/>
    <x v="0"/>
    <m/>
    <x v="0"/>
    <x v="0"/>
    <x v="0"/>
    <x v="0"/>
    <x v="0"/>
  </r>
  <r>
    <x v="0"/>
    <x v="4"/>
    <s v="3114 J"/>
    <x v="36"/>
    <s v="FATA"/>
    <s v="LDN"/>
    <n v="24"/>
    <n v="6"/>
    <s v="AA کوالٹی"/>
    <n v="250"/>
    <x v="0"/>
    <n v="6"/>
    <n v="263.2"/>
    <n v="19.200000000000003"/>
    <m/>
    <x v="0"/>
    <n v="244"/>
    <m/>
    <m/>
    <x v="0"/>
    <x v="0"/>
    <m/>
    <m/>
    <x v="0"/>
    <x v="0"/>
    <m/>
    <x v="0"/>
    <x v="0"/>
    <x v="0"/>
    <x v="0"/>
    <x v="0"/>
    <m/>
    <m/>
    <m/>
    <m/>
    <x v="0"/>
    <x v="0"/>
    <m/>
    <x v="0"/>
    <m/>
    <x v="0"/>
    <x v="0"/>
    <x v="0"/>
    <x v="0"/>
    <x v="0"/>
  </r>
  <r>
    <x v="0"/>
    <x v="4"/>
    <s v="3115 J"/>
    <x v="36"/>
    <s v="FATA"/>
    <s v="LDN"/>
    <n v="23"/>
    <n v="6"/>
    <s v="AA کوالٹی"/>
    <n v="1000"/>
    <x v="0"/>
    <n v="2"/>
    <n v="95.6"/>
    <n v="6"/>
    <m/>
    <x v="0"/>
    <n v="89.6"/>
    <m/>
    <m/>
    <x v="0"/>
    <x v="0"/>
    <m/>
    <m/>
    <x v="0"/>
    <x v="0"/>
    <m/>
    <x v="0"/>
    <x v="0"/>
    <x v="0"/>
    <x v="0"/>
    <x v="0"/>
    <m/>
    <m/>
    <m/>
    <m/>
    <x v="0"/>
    <x v="0"/>
    <m/>
    <x v="0"/>
    <m/>
    <x v="0"/>
    <x v="0"/>
    <x v="0"/>
    <x v="0"/>
    <x v="0"/>
  </r>
  <r>
    <x v="1"/>
    <x v="4"/>
    <s v="3115 J"/>
    <x v="36"/>
    <s v="FATA"/>
    <s v="LDN"/>
    <n v="23"/>
    <n v="6"/>
    <s v="AA کوالٹی"/>
    <n v="1000"/>
    <x v="0"/>
    <n v="6"/>
    <n v="351.00000000000006"/>
    <n v="16.799999999999997"/>
    <n v="42"/>
    <x v="0"/>
    <n v="334.20000000000005"/>
    <m/>
    <m/>
    <x v="0"/>
    <x v="0"/>
    <m/>
    <m/>
    <x v="0"/>
    <x v="0"/>
    <m/>
    <x v="0"/>
    <x v="0"/>
    <x v="0"/>
    <x v="0"/>
    <x v="0"/>
    <m/>
    <m/>
    <m/>
    <m/>
    <x v="0"/>
    <x v="0"/>
    <m/>
    <x v="0"/>
    <m/>
    <x v="0"/>
    <x v="0"/>
    <x v="0"/>
    <x v="0"/>
    <x v="0"/>
  </r>
  <r>
    <x v="1"/>
    <x v="4"/>
    <s v="3115 J"/>
    <x v="36"/>
    <s v="FATA"/>
    <s v="LDN"/>
    <n v="23"/>
    <n v="6"/>
    <s v="AA کوالٹی"/>
    <n v="1000"/>
    <x v="0"/>
    <n v="3"/>
    <n v="180"/>
    <n v="8.3999999999999986"/>
    <m/>
    <x v="0"/>
    <n v="171.6"/>
    <m/>
    <m/>
    <x v="0"/>
    <x v="0"/>
    <m/>
    <m/>
    <x v="0"/>
    <x v="0"/>
    <m/>
    <x v="0"/>
    <x v="0"/>
    <x v="0"/>
    <x v="0"/>
    <x v="0"/>
    <m/>
    <m/>
    <m/>
    <m/>
    <x v="0"/>
    <x v="0"/>
    <m/>
    <x v="0"/>
    <m/>
    <x v="0"/>
    <x v="0"/>
    <x v="0"/>
    <x v="0"/>
    <x v="0"/>
  </r>
  <r>
    <x v="0"/>
    <x v="5"/>
    <s v="1837 F"/>
    <x v="36"/>
    <s v="NEXT WARNING"/>
    <s v="LDN"/>
    <n v="15.5"/>
    <s v="7-7.5"/>
    <s v="جیلانی شیٹ"/>
    <n v="225"/>
    <x v="0"/>
    <n v="1"/>
    <n v="75.2"/>
    <n v="1.9"/>
    <m/>
    <x v="0"/>
    <n v="73.3"/>
    <m/>
    <m/>
    <x v="0"/>
    <x v="0"/>
    <m/>
    <m/>
    <x v="0"/>
    <x v="0"/>
    <m/>
    <x v="0"/>
    <x v="0"/>
    <x v="0"/>
    <x v="0"/>
    <x v="0"/>
    <m/>
    <m/>
    <m/>
    <m/>
    <x v="0"/>
    <x v="0"/>
    <m/>
    <x v="0"/>
    <m/>
    <x v="0"/>
    <x v="0"/>
    <x v="0"/>
    <x v="0"/>
    <x v="0"/>
  </r>
  <r>
    <x v="0"/>
    <x v="5"/>
    <s v="1824 F"/>
    <x v="36"/>
    <s v="WALMART WARNING BIG"/>
    <s v="LDN"/>
    <n v="18"/>
    <s v="8"/>
    <s v="پیور"/>
    <n v="800"/>
    <x v="0"/>
    <n v="5"/>
    <n v="276.39999999999998"/>
    <n v="11"/>
    <m/>
    <x v="0"/>
    <n v="265.39999999999998"/>
    <m/>
    <m/>
    <x v="0"/>
    <x v="0"/>
    <m/>
    <m/>
    <x v="0"/>
    <x v="0"/>
    <m/>
    <x v="0"/>
    <x v="0"/>
    <x v="0"/>
    <x v="0"/>
    <x v="0"/>
    <m/>
    <m/>
    <m/>
    <m/>
    <x v="0"/>
    <x v="0"/>
    <m/>
    <x v="0"/>
    <m/>
    <x v="0"/>
    <x v="0"/>
    <x v="0"/>
    <x v="0"/>
    <x v="0"/>
  </r>
  <r>
    <x v="1"/>
    <x v="5"/>
    <s v="1824 F"/>
    <x v="36"/>
    <s v="WALMART WARNING BIG"/>
    <s v="LDN"/>
    <n v="18"/>
    <s v="8"/>
    <s v="پیور"/>
    <n v="800"/>
    <x v="0"/>
    <n v="6"/>
    <n v="309.90000000000003"/>
    <n v="13.200000000000001"/>
    <m/>
    <x v="0"/>
    <n v="296.70000000000005"/>
    <m/>
    <m/>
    <x v="0"/>
    <x v="0"/>
    <m/>
    <m/>
    <x v="0"/>
    <x v="0"/>
    <m/>
    <x v="0"/>
    <x v="0"/>
    <x v="0"/>
    <x v="0"/>
    <x v="0"/>
    <m/>
    <m/>
    <m/>
    <m/>
    <x v="0"/>
    <x v="0"/>
    <m/>
    <x v="0"/>
    <m/>
    <x v="0"/>
    <x v="0"/>
    <x v="0"/>
    <x v="0"/>
    <x v="0"/>
  </r>
  <r>
    <x v="1"/>
    <x v="5"/>
    <s v="1824 F"/>
    <x v="36"/>
    <s v="WALMART WARNING BIG"/>
    <s v="LDN"/>
    <n v="18"/>
    <s v="8"/>
    <s v="پیور"/>
    <n v="800"/>
    <x v="0"/>
    <n v="2"/>
    <n v="96.6"/>
    <n v="4.4000000000000004"/>
    <m/>
    <x v="0"/>
    <n v="92.199999999999989"/>
    <m/>
    <m/>
    <x v="0"/>
    <x v="0"/>
    <m/>
    <m/>
    <x v="0"/>
    <x v="0"/>
    <m/>
    <x v="0"/>
    <x v="0"/>
    <x v="0"/>
    <x v="0"/>
    <x v="0"/>
    <m/>
    <m/>
    <m/>
    <m/>
    <x v="0"/>
    <x v="0"/>
    <m/>
    <x v="0"/>
    <m/>
    <x v="0"/>
    <x v="0"/>
    <x v="0"/>
    <x v="0"/>
    <x v="0"/>
  </r>
  <r>
    <x v="0"/>
    <x v="0"/>
    <s v="3235 J"/>
    <x v="37"/>
    <s v="Plain Lafafa Waqas Woollen Mills Gujaranwala"/>
    <s v="LDN"/>
    <n v="10"/>
    <s v="8-8.5"/>
    <s v="پیور"/>
    <n v="200"/>
    <x v="0"/>
    <n v="4"/>
    <n v="206.99999999999997"/>
    <n v="4.8"/>
    <m/>
    <x v="0"/>
    <n v="202.19999999999996"/>
    <m/>
    <m/>
    <x v="0"/>
    <x v="0"/>
    <m/>
    <m/>
    <x v="0"/>
    <x v="0"/>
    <m/>
    <x v="0"/>
    <x v="0"/>
    <x v="0"/>
    <x v="0"/>
    <x v="0"/>
    <m/>
    <m/>
    <m/>
    <m/>
    <x v="0"/>
    <x v="0"/>
    <m/>
    <x v="0"/>
    <m/>
    <x v="0"/>
    <x v="0"/>
    <x v="0"/>
    <x v="0"/>
    <x v="0"/>
  </r>
  <r>
    <x v="1"/>
    <x v="0"/>
    <s v="3166 J"/>
    <x v="37"/>
    <s v="U S METAL GOLD"/>
    <s v="LDN"/>
    <n v="4"/>
    <n v="10"/>
    <s v="پیور"/>
    <n v="120"/>
    <x v="0"/>
    <n v="2"/>
    <n v="105"/>
    <n v="2.4"/>
    <m/>
    <x v="0"/>
    <n v="102.6"/>
    <m/>
    <m/>
    <x v="0"/>
    <x v="0"/>
    <m/>
    <m/>
    <x v="0"/>
    <x v="0"/>
    <m/>
    <x v="0"/>
    <x v="0"/>
    <x v="0"/>
    <x v="0"/>
    <x v="0"/>
    <m/>
    <m/>
    <m/>
    <m/>
    <x v="0"/>
    <x v="0"/>
    <m/>
    <x v="0"/>
    <m/>
    <x v="0"/>
    <x v="0"/>
    <x v="0"/>
    <x v="0"/>
    <x v="0"/>
  </r>
  <r>
    <x v="0"/>
    <x v="2"/>
    <s v="3100 J"/>
    <x v="37"/>
    <s v="Eagle Blue"/>
    <s v="LD بلو"/>
    <n v="16"/>
    <s v="10-10.5"/>
    <s v="ABA پیور"/>
    <n v="250"/>
    <x v="0"/>
    <n v="1"/>
    <n v="81.2"/>
    <n v="0.16"/>
    <m/>
    <x v="0"/>
    <n v="81.040000000000006"/>
    <m/>
    <m/>
    <x v="0"/>
    <x v="0"/>
    <m/>
    <m/>
    <x v="0"/>
    <x v="0"/>
    <m/>
    <x v="0"/>
    <x v="0"/>
    <x v="0"/>
    <x v="0"/>
    <x v="0"/>
    <m/>
    <m/>
    <m/>
    <m/>
    <x v="0"/>
    <x v="0"/>
    <m/>
    <x v="0"/>
    <m/>
    <x v="0"/>
    <x v="0"/>
    <x v="0"/>
    <x v="0"/>
    <x v="0"/>
  </r>
  <r>
    <x v="0"/>
    <x v="2"/>
    <s v="3098 J"/>
    <x v="37"/>
    <s v="Blue Click"/>
    <s v="LD بلو"/>
    <n v="16"/>
    <s v="10-10.5"/>
    <s v="ABA پیور"/>
    <n v="200"/>
    <x v="0"/>
    <n v="3"/>
    <n v="214.2"/>
    <n v="5.6999999999999993"/>
    <m/>
    <x v="0"/>
    <n v="208.5"/>
    <m/>
    <m/>
    <x v="0"/>
    <x v="0"/>
    <m/>
    <m/>
    <x v="0"/>
    <x v="0"/>
    <m/>
    <x v="0"/>
    <x v="0"/>
    <x v="0"/>
    <x v="0"/>
    <x v="0"/>
    <m/>
    <m/>
    <m/>
    <m/>
    <x v="0"/>
    <x v="0"/>
    <m/>
    <x v="0"/>
    <m/>
    <x v="0"/>
    <x v="0"/>
    <x v="0"/>
    <x v="0"/>
    <x v="0"/>
  </r>
  <r>
    <x v="0"/>
    <x v="2"/>
    <s v="3102 J"/>
    <x v="37"/>
    <s v="Eagle Blue"/>
    <s v="LD بلو"/>
    <n v="15"/>
    <s v="10-10.5"/>
    <s v="ABA پیور"/>
    <n v="300"/>
    <x v="0"/>
    <n v="2"/>
    <n v="103.8"/>
    <n v="3.8"/>
    <m/>
    <x v="0"/>
    <n v="100"/>
    <m/>
    <m/>
    <x v="0"/>
    <x v="0"/>
    <m/>
    <m/>
    <x v="0"/>
    <x v="0"/>
    <m/>
    <x v="0"/>
    <x v="0"/>
    <x v="0"/>
    <x v="0"/>
    <x v="0"/>
    <m/>
    <m/>
    <m/>
    <m/>
    <x v="0"/>
    <x v="0"/>
    <m/>
    <x v="0"/>
    <m/>
    <x v="0"/>
    <x v="0"/>
    <x v="0"/>
    <x v="0"/>
    <x v="0"/>
  </r>
  <r>
    <x v="1"/>
    <x v="2"/>
    <s v="3102 J"/>
    <x v="37"/>
    <s v="Eagle Blue"/>
    <s v="LD بلو"/>
    <n v="15"/>
    <s v="10-10.5"/>
    <s v="ABA پیور"/>
    <n v="300"/>
    <x v="0"/>
    <n v="4"/>
    <n v="233.8"/>
    <n v="7.6"/>
    <n v="1"/>
    <x v="0"/>
    <n v="226.20000000000002"/>
    <m/>
    <m/>
    <x v="0"/>
    <x v="0"/>
    <m/>
    <m/>
    <x v="0"/>
    <x v="0"/>
    <m/>
    <x v="0"/>
    <x v="0"/>
    <x v="0"/>
    <x v="0"/>
    <x v="0"/>
    <m/>
    <m/>
    <m/>
    <m/>
    <x v="0"/>
    <x v="0"/>
    <m/>
    <x v="0"/>
    <m/>
    <x v="0"/>
    <x v="0"/>
    <x v="0"/>
    <x v="0"/>
    <x v="0"/>
  </r>
  <r>
    <x v="1"/>
    <x v="2"/>
    <s v="3103 J"/>
    <x v="37"/>
    <s v="Eagle Blue"/>
    <s v="LD بلو"/>
    <n v="15"/>
    <s v="10-10.5"/>
    <s v="ABA پیور"/>
    <n v="350"/>
    <x v="0"/>
    <n v="2"/>
    <n v="132"/>
    <n v="3.8"/>
    <m/>
    <x v="0"/>
    <n v="128.19999999999999"/>
    <m/>
    <m/>
    <x v="0"/>
    <x v="0"/>
    <m/>
    <m/>
    <x v="0"/>
    <x v="0"/>
    <m/>
    <x v="0"/>
    <x v="0"/>
    <x v="0"/>
    <x v="0"/>
    <x v="0"/>
    <m/>
    <m/>
    <m/>
    <m/>
    <x v="0"/>
    <x v="0"/>
    <m/>
    <x v="0"/>
    <m/>
    <x v="0"/>
    <x v="0"/>
    <x v="0"/>
    <x v="0"/>
    <x v="0"/>
  </r>
  <r>
    <x v="0"/>
    <x v="3"/>
    <s v="1851 F"/>
    <x v="37"/>
    <s v="SB LAFAFA"/>
    <s v="LDN"/>
    <n v="18"/>
    <s v="9-9.5"/>
    <s v="-"/>
    <n v="75"/>
    <x v="0"/>
    <n v="1"/>
    <n v="34.799999999999997"/>
    <n v="2.2000000000000002"/>
    <m/>
    <x v="0"/>
    <n v="32.599999999999994"/>
    <m/>
    <m/>
    <x v="0"/>
    <x v="0"/>
    <m/>
    <m/>
    <x v="0"/>
    <x v="0"/>
    <m/>
    <x v="0"/>
    <x v="0"/>
    <x v="0"/>
    <x v="0"/>
    <x v="0"/>
    <m/>
    <m/>
    <m/>
    <m/>
    <x v="0"/>
    <x v="0"/>
    <m/>
    <x v="0"/>
    <m/>
    <x v="0"/>
    <x v="0"/>
    <x v="0"/>
    <x v="0"/>
    <x v="0"/>
  </r>
  <r>
    <x v="1"/>
    <x v="3"/>
    <n v="2758"/>
    <x v="37"/>
    <s v="SITARA CHEMICAL"/>
    <s v="LDN"/>
    <n v="24"/>
    <s v="100 G"/>
    <s v="SL"/>
    <n v="7500"/>
    <x v="0"/>
    <n v="2"/>
    <n v="172.60000000000002"/>
    <n v="5.8"/>
    <n v="16.399999999999999"/>
    <x v="0"/>
    <n v="166.8"/>
    <m/>
    <m/>
    <x v="0"/>
    <x v="0"/>
    <m/>
    <m/>
    <x v="0"/>
    <x v="0"/>
    <m/>
    <x v="0"/>
    <x v="0"/>
    <x v="0"/>
    <x v="0"/>
    <x v="0"/>
    <m/>
    <m/>
    <m/>
    <m/>
    <x v="0"/>
    <x v="0"/>
    <m/>
    <x v="0"/>
    <m/>
    <x v="0"/>
    <x v="0"/>
    <x v="0"/>
    <x v="0"/>
    <x v="0"/>
  </r>
  <r>
    <x v="1"/>
    <x v="3"/>
    <s v="1851 F"/>
    <x v="37"/>
    <s v="SB LAFAFA"/>
    <s v="LDN"/>
    <n v="18"/>
    <s v="9-9.5"/>
    <s v="-"/>
    <n v="75"/>
    <x v="0"/>
    <n v="1"/>
    <n v="53"/>
    <n v="2.2999999999999998"/>
    <m/>
    <x v="0"/>
    <n v="50.7"/>
    <m/>
    <m/>
    <x v="0"/>
    <x v="0"/>
    <m/>
    <m/>
    <x v="0"/>
    <x v="0"/>
    <m/>
    <x v="0"/>
    <x v="0"/>
    <x v="0"/>
    <x v="0"/>
    <x v="0"/>
    <m/>
    <m/>
    <m/>
    <m/>
    <x v="0"/>
    <x v="0"/>
    <m/>
    <x v="0"/>
    <m/>
    <x v="0"/>
    <x v="0"/>
    <x v="0"/>
    <x v="0"/>
    <x v="0"/>
  </r>
  <r>
    <x v="0"/>
    <x v="6"/>
    <s v="PACKING"/>
    <x v="37"/>
    <s v="-"/>
    <s v="-"/>
    <s v="-"/>
    <s v="-"/>
    <s v="-"/>
    <s v="-"/>
    <x v="0"/>
    <n v="3"/>
    <n v="285"/>
    <n v="11.399999999999999"/>
    <m/>
    <x v="0"/>
    <n v="273.60000000000002"/>
    <m/>
    <m/>
    <x v="0"/>
    <x v="0"/>
    <m/>
    <m/>
    <x v="0"/>
    <x v="0"/>
    <m/>
    <x v="0"/>
    <x v="0"/>
    <x v="0"/>
    <x v="0"/>
    <x v="0"/>
    <m/>
    <m/>
    <m/>
    <m/>
    <x v="0"/>
    <x v="0"/>
    <m/>
    <x v="0"/>
    <m/>
    <x v="0"/>
    <x v="0"/>
    <x v="0"/>
    <x v="0"/>
    <x v="0"/>
  </r>
  <r>
    <x v="0"/>
    <x v="6"/>
    <n v="2766"/>
    <x v="37"/>
    <s v="MATCO FOOD"/>
    <s v="LDN"/>
    <n v="29"/>
    <s v="88 G+-2"/>
    <s v="SL"/>
    <s v="1800 (40 BAG)"/>
    <x v="0"/>
    <n v="3"/>
    <n v="320"/>
    <n v="10.8"/>
    <m/>
    <x v="0"/>
    <n v="309.2"/>
    <m/>
    <m/>
    <x v="0"/>
    <x v="0"/>
    <m/>
    <m/>
    <x v="0"/>
    <x v="0"/>
    <m/>
    <x v="0"/>
    <x v="0"/>
    <x v="0"/>
    <x v="0"/>
    <x v="0"/>
    <m/>
    <m/>
    <m/>
    <m/>
    <x v="0"/>
    <x v="0"/>
    <m/>
    <x v="0"/>
    <m/>
    <x v="0"/>
    <x v="0"/>
    <x v="0"/>
    <x v="0"/>
    <x v="0"/>
  </r>
  <r>
    <x v="0"/>
    <x v="4"/>
    <s v="3115 J"/>
    <x v="37"/>
    <s v="FATA"/>
    <s v="LDN"/>
    <n v="23"/>
    <n v="6"/>
    <s v="AA کوالٹی"/>
    <n v="1000"/>
    <x v="0"/>
    <n v="6"/>
    <n v="259.60000000000002"/>
    <n v="16.799999999999997"/>
    <n v="67"/>
    <x v="0"/>
    <n v="242.8"/>
    <m/>
    <m/>
    <x v="0"/>
    <x v="0"/>
    <m/>
    <m/>
    <x v="0"/>
    <x v="0"/>
    <m/>
    <x v="0"/>
    <x v="0"/>
    <x v="0"/>
    <x v="0"/>
    <x v="0"/>
    <m/>
    <m/>
    <m/>
    <m/>
    <x v="0"/>
    <x v="0"/>
    <m/>
    <x v="0"/>
    <m/>
    <x v="0"/>
    <x v="0"/>
    <x v="0"/>
    <x v="0"/>
    <x v="0"/>
  </r>
  <r>
    <x v="0"/>
    <x v="4"/>
    <n v="2765"/>
    <x v="37"/>
    <s v="اختر محمد چمن"/>
    <s v="LDN"/>
    <n v="13"/>
    <n v="50"/>
    <s v="SL"/>
    <n v="200"/>
    <x v="0"/>
    <n v="8"/>
    <n v="205"/>
    <n v="8"/>
    <m/>
    <x v="0"/>
    <n v="197"/>
    <m/>
    <m/>
    <x v="0"/>
    <x v="0"/>
    <m/>
    <m/>
    <x v="0"/>
    <x v="0"/>
    <m/>
    <x v="0"/>
    <x v="0"/>
    <x v="0"/>
    <x v="0"/>
    <x v="0"/>
    <m/>
    <m/>
    <m/>
    <m/>
    <x v="0"/>
    <x v="0"/>
    <m/>
    <x v="0"/>
    <m/>
    <x v="0"/>
    <x v="0"/>
    <x v="0"/>
    <x v="0"/>
    <x v="0"/>
  </r>
  <r>
    <x v="0"/>
    <x v="4"/>
    <n v="2764"/>
    <x v="37"/>
    <s v="اختر محمد چمن"/>
    <s v="LDN"/>
    <n v="13"/>
    <n v="60"/>
    <s v="SL"/>
    <n v="400"/>
    <x v="0"/>
    <n v="3"/>
    <n v="70.400000000000006"/>
    <n v="3.4"/>
    <m/>
    <x v="0"/>
    <n v="67"/>
    <m/>
    <m/>
    <x v="0"/>
    <x v="0"/>
    <m/>
    <m/>
    <x v="0"/>
    <x v="0"/>
    <m/>
    <x v="0"/>
    <x v="0"/>
    <x v="0"/>
    <x v="0"/>
    <x v="0"/>
    <m/>
    <m/>
    <m/>
    <m/>
    <x v="0"/>
    <x v="0"/>
    <m/>
    <x v="0"/>
    <m/>
    <x v="0"/>
    <x v="0"/>
    <x v="0"/>
    <x v="0"/>
    <x v="0"/>
  </r>
  <r>
    <x v="1"/>
    <x v="4"/>
    <n v="2764"/>
    <x v="37"/>
    <s v="اختر محمد چمن"/>
    <s v="LDN"/>
    <n v="13"/>
    <n v="60"/>
    <s v="SL"/>
    <n v="400"/>
    <x v="0"/>
    <n v="6"/>
    <n v="160.79999999999998"/>
    <n v="4.0999999999999996"/>
    <n v="20"/>
    <x v="0"/>
    <n v="156.69999999999999"/>
    <m/>
    <m/>
    <x v="0"/>
    <x v="0"/>
    <m/>
    <m/>
    <x v="0"/>
    <x v="0"/>
    <m/>
    <x v="0"/>
    <x v="0"/>
    <x v="0"/>
    <x v="0"/>
    <x v="0"/>
    <m/>
    <m/>
    <m/>
    <m/>
    <x v="0"/>
    <x v="0"/>
    <m/>
    <x v="0"/>
    <m/>
    <x v="0"/>
    <x v="0"/>
    <x v="0"/>
    <x v="0"/>
    <x v="0"/>
  </r>
  <r>
    <x v="1"/>
    <x v="4"/>
    <n v="2764"/>
    <x v="37"/>
    <s v="اختر محمد چمن"/>
    <s v="LDN"/>
    <n v="13"/>
    <n v="60"/>
    <s v="SL"/>
    <n v="400"/>
    <x v="0"/>
    <n v="6"/>
    <n v="158.60000000000002"/>
    <n v="5.2"/>
    <m/>
    <x v="0"/>
    <n v="153.40000000000003"/>
    <m/>
    <m/>
    <x v="0"/>
    <x v="0"/>
    <m/>
    <m/>
    <x v="0"/>
    <x v="0"/>
    <m/>
    <x v="0"/>
    <x v="0"/>
    <x v="0"/>
    <x v="0"/>
    <x v="0"/>
    <m/>
    <m/>
    <m/>
    <m/>
    <x v="0"/>
    <x v="0"/>
    <m/>
    <x v="0"/>
    <m/>
    <x v="0"/>
    <x v="0"/>
    <x v="0"/>
    <x v="0"/>
    <x v="0"/>
  </r>
  <r>
    <x v="1"/>
    <x v="4"/>
    <n v="2768"/>
    <x v="37"/>
    <s v="USMAN AMEEN LAHORE"/>
    <s v="LDN"/>
    <s v="17.75+6.25+6.25"/>
    <s v="9-10/19-20"/>
    <s v="SL"/>
    <n v="400"/>
    <x v="0"/>
    <n v="4"/>
    <n v="231.2"/>
    <n v="8.8000000000000007"/>
    <m/>
    <x v="0"/>
    <n v="222.39999999999998"/>
    <m/>
    <m/>
    <x v="0"/>
    <x v="0"/>
    <m/>
    <m/>
    <x v="0"/>
    <x v="0"/>
    <m/>
    <x v="0"/>
    <x v="0"/>
    <x v="0"/>
    <x v="0"/>
    <x v="0"/>
    <m/>
    <m/>
    <m/>
    <m/>
    <x v="0"/>
    <x v="0"/>
    <m/>
    <x v="0"/>
    <m/>
    <x v="0"/>
    <x v="0"/>
    <x v="0"/>
    <x v="0"/>
    <x v="0"/>
  </r>
  <r>
    <x v="0"/>
    <x v="5"/>
    <s v="1839 F"/>
    <x v="37"/>
    <s v="PLAIN POLY BAG"/>
    <s v="LDN"/>
    <n v="18"/>
    <s v="8"/>
    <s v="پیور"/>
    <n v="75"/>
    <x v="0"/>
    <n v="2"/>
    <n v="78.2"/>
    <n v="4.4000000000000004"/>
    <m/>
    <x v="0"/>
    <n v="73.8"/>
    <m/>
    <m/>
    <x v="0"/>
    <x v="0"/>
    <m/>
    <m/>
    <x v="0"/>
    <x v="0"/>
    <m/>
    <x v="0"/>
    <x v="0"/>
    <x v="0"/>
    <x v="0"/>
    <x v="0"/>
    <m/>
    <m/>
    <m/>
    <m/>
    <x v="0"/>
    <x v="0"/>
    <m/>
    <x v="0"/>
    <m/>
    <x v="0"/>
    <x v="0"/>
    <x v="0"/>
    <x v="0"/>
    <x v="0"/>
  </r>
  <r>
    <x v="0"/>
    <x v="5"/>
    <s v="1825 F"/>
    <x v="37"/>
    <s v="WALMART WARNING BIG"/>
    <s v="LDN"/>
    <n v="22"/>
    <s v="8"/>
    <s v="پیور"/>
    <n v="1520"/>
    <x v="0"/>
    <n v="4"/>
    <n v="255.3"/>
    <n v="10"/>
    <m/>
    <x v="0"/>
    <n v="245.3"/>
    <m/>
    <m/>
    <x v="0"/>
    <x v="0"/>
    <m/>
    <m/>
    <x v="0"/>
    <x v="0"/>
    <m/>
    <x v="0"/>
    <x v="0"/>
    <x v="0"/>
    <x v="0"/>
    <x v="0"/>
    <m/>
    <m/>
    <m/>
    <m/>
    <x v="0"/>
    <x v="0"/>
    <m/>
    <x v="0"/>
    <m/>
    <x v="0"/>
    <x v="0"/>
    <x v="0"/>
    <x v="0"/>
    <x v="0"/>
  </r>
  <r>
    <x v="1"/>
    <x v="5"/>
    <s v="1825 F"/>
    <x v="37"/>
    <s v="WALMART WARNING BIG"/>
    <s v="LDN"/>
    <n v="22"/>
    <s v="8"/>
    <s v="پیور"/>
    <n v="1520"/>
    <x v="0"/>
    <n v="6"/>
    <n v="349.20000000000005"/>
    <n v="15"/>
    <n v="2.8"/>
    <x v="0"/>
    <n v="334.20000000000005"/>
    <m/>
    <m/>
    <x v="0"/>
    <x v="0"/>
    <m/>
    <m/>
    <x v="0"/>
    <x v="0"/>
    <m/>
    <x v="0"/>
    <x v="0"/>
    <x v="0"/>
    <x v="0"/>
    <x v="0"/>
    <m/>
    <m/>
    <m/>
    <m/>
    <x v="0"/>
    <x v="0"/>
    <m/>
    <x v="0"/>
    <m/>
    <x v="0"/>
    <x v="0"/>
    <x v="0"/>
    <x v="0"/>
    <x v="0"/>
  </r>
  <r>
    <x v="1"/>
    <x v="5"/>
    <s v="1825 F"/>
    <x v="37"/>
    <s v="WALMART WARNING BIG"/>
    <s v="LDN"/>
    <n v="22"/>
    <s v="8"/>
    <s v="پیور"/>
    <n v="1520"/>
    <x v="0"/>
    <n v="2"/>
    <n v="61.02"/>
    <n v="5.4"/>
    <m/>
    <x v="0"/>
    <n v="55.620000000000005"/>
    <m/>
    <m/>
    <x v="0"/>
    <x v="0"/>
    <m/>
    <m/>
    <x v="0"/>
    <x v="0"/>
    <m/>
    <x v="0"/>
    <x v="0"/>
    <x v="0"/>
    <x v="0"/>
    <x v="0"/>
    <m/>
    <m/>
    <m/>
    <m/>
    <x v="0"/>
    <x v="0"/>
    <m/>
    <x v="0"/>
    <m/>
    <x v="0"/>
    <x v="0"/>
    <x v="0"/>
    <x v="0"/>
    <x v="0"/>
  </r>
  <r>
    <x v="0"/>
    <x v="0"/>
    <s v="3166 J"/>
    <x v="38"/>
    <s v="U S METAL GOLD"/>
    <s v="LDN"/>
    <n v="4"/>
    <n v="10"/>
    <s v="پیور"/>
    <n v="120"/>
    <x v="0"/>
    <n v="1"/>
    <n v="23.8"/>
    <n v="0.5"/>
    <m/>
    <x v="0"/>
    <n v="23.3"/>
    <m/>
    <m/>
    <x v="0"/>
    <x v="0"/>
    <m/>
    <m/>
    <x v="0"/>
    <x v="0"/>
    <m/>
    <x v="0"/>
    <x v="0"/>
    <x v="0"/>
    <x v="0"/>
    <x v="0"/>
    <m/>
    <m/>
    <m/>
    <m/>
    <x v="0"/>
    <x v="0"/>
    <m/>
    <x v="0"/>
    <m/>
    <x v="0"/>
    <x v="0"/>
    <x v="0"/>
    <x v="0"/>
    <x v="0"/>
  </r>
  <r>
    <x v="0"/>
    <x v="0"/>
    <s v="3190 J"/>
    <x v="38"/>
    <s v="APL Aluminium"/>
    <s v="LDN"/>
    <n v="4"/>
    <n v="10"/>
    <s v="پیور"/>
    <n v="60"/>
    <x v="0"/>
    <n v="1"/>
    <n v="61"/>
    <n v="0.9"/>
    <m/>
    <x v="0"/>
    <n v="60.1"/>
    <m/>
    <m/>
    <x v="0"/>
    <x v="0"/>
    <m/>
    <m/>
    <x v="0"/>
    <x v="0"/>
    <m/>
    <x v="0"/>
    <x v="0"/>
    <x v="0"/>
    <x v="0"/>
    <x v="0"/>
    <m/>
    <m/>
    <m/>
    <m/>
    <x v="0"/>
    <x v="0"/>
    <m/>
    <x v="0"/>
    <m/>
    <x v="0"/>
    <x v="0"/>
    <x v="0"/>
    <x v="0"/>
    <x v="0"/>
  </r>
  <r>
    <x v="0"/>
    <x v="0"/>
    <s v="3186 J"/>
    <x v="38"/>
    <s v="U S METAL"/>
    <s v="LDN"/>
    <n v="4"/>
    <n v="10"/>
    <s v="پیور"/>
    <n v="120"/>
    <x v="0"/>
    <n v="2"/>
    <n v="66"/>
    <n v="0.8"/>
    <m/>
    <x v="0"/>
    <n v="65.2"/>
    <m/>
    <m/>
    <x v="0"/>
    <x v="0"/>
    <m/>
    <m/>
    <x v="0"/>
    <x v="0"/>
    <m/>
    <x v="0"/>
    <x v="0"/>
    <x v="0"/>
    <x v="0"/>
    <x v="0"/>
    <m/>
    <m/>
    <m/>
    <m/>
    <x v="0"/>
    <x v="0"/>
    <m/>
    <x v="0"/>
    <m/>
    <x v="0"/>
    <x v="0"/>
    <x v="0"/>
    <x v="0"/>
    <x v="0"/>
  </r>
  <r>
    <x v="1"/>
    <x v="0"/>
    <s v="3186 J"/>
    <x v="38"/>
    <s v="U S METAL"/>
    <s v="LDN"/>
    <n v="4"/>
    <n v="10"/>
    <s v="پیور"/>
    <n v="120"/>
    <x v="0"/>
    <n v="2"/>
    <n v="64.199999999999989"/>
    <n v="1.2"/>
    <m/>
    <x v="0"/>
    <n v="62.999999999999986"/>
    <m/>
    <m/>
    <x v="0"/>
    <x v="0"/>
    <m/>
    <m/>
    <x v="0"/>
    <x v="0"/>
    <m/>
    <x v="0"/>
    <x v="0"/>
    <x v="0"/>
    <x v="0"/>
    <x v="0"/>
    <m/>
    <m/>
    <m/>
    <m/>
    <x v="0"/>
    <x v="0"/>
    <m/>
    <x v="0"/>
    <m/>
    <x v="0"/>
    <x v="0"/>
    <x v="0"/>
    <x v="0"/>
    <x v="0"/>
  </r>
  <r>
    <x v="1"/>
    <x v="0"/>
    <s v="07/5-5.5"/>
    <x v="38"/>
    <s v="-"/>
    <s v="-"/>
    <s v="-"/>
    <s v="-"/>
    <s v="-"/>
    <s v="-"/>
    <x v="0"/>
    <n v="4"/>
    <n v="50.4"/>
    <n v="2.4"/>
    <m/>
    <x v="0"/>
    <n v="48"/>
    <m/>
    <m/>
    <x v="0"/>
    <x v="0"/>
    <m/>
    <m/>
    <x v="0"/>
    <x v="0"/>
    <m/>
    <x v="0"/>
    <x v="0"/>
    <x v="0"/>
    <x v="0"/>
    <x v="0"/>
    <m/>
    <m/>
    <m/>
    <m/>
    <x v="0"/>
    <x v="0"/>
    <m/>
    <x v="0"/>
    <m/>
    <x v="0"/>
    <x v="0"/>
    <x v="0"/>
    <x v="0"/>
    <x v="0"/>
  </r>
  <r>
    <x v="0"/>
    <x v="2"/>
    <s v="3103 J"/>
    <x v="38"/>
    <s v="Eagle Blue"/>
    <s v="LD بلو"/>
    <n v="15"/>
    <s v="10-10.5"/>
    <s v="ABA پیور"/>
    <n v="350"/>
    <x v="0"/>
    <n v="3"/>
    <n v="227"/>
    <n v="5.6999999999999993"/>
    <m/>
    <x v="0"/>
    <n v="221.3"/>
    <m/>
    <m/>
    <x v="0"/>
    <x v="0"/>
    <m/>
    <m/>
    <x v="0"/>
    <x v="0"/>
    <m/>
    <x v="0"/>
    <x v="0"/>
    <x v="0"/>
    <x v="0"/>
    <x v="0"/>
    <m/>
    <m/>
    <m/>
    <m/>
    <x v="0"/>
    <x v="0"/>
    <m/>
    <x v="0"/>
    <m/>
    <x v="0"/>
    <x v="0"/>
    <x v="0"/>
    <x v="0"/>
    <x v="0"/>
  </r>
  <r>
    <x v="0"/>
    <x v="2"/>
    <s v="3093 J"/>
    <x v="38"/>
    <s v="Fuseline Blue"/>
    <s v="LD بلو"/>
    <n v="12"/>
    <s v="8-8.5"/>
    <s v="ABA پیور"/>
    <n v="100"/>
    <x v="0"/>
    <n v="2"/>
    <n v="96"/>
    <n v="2.9"/>
    <m/>
    <x v="0"/>
    <n v="93.1"/>
    <m/>
    <m/>
    <x v="0"/>
    <x v="0"/>
    <m/>
    <m/>
    <x v="0"/>
    <x v="0"/>
    <m/>
    <x v="0"/>
    <x v="0"/>
    <x v="0"/>
    <x v="0"/>
    <x v="0"/>
    <m/>
    <m/>
    <m/>
    <m/>
    <x v="0"/>
    <x v="0"/>
    <m/>
    <x v="0"/>
    <m/>
    <x v="0"/>
    <x v="0"/>
    <x v="0"/>
    <x v="0"/>
    <x v="0"/>
  </r>
  <r>
    <x v="0"/>
    <x v="2"/>
    <s v="3092 J"/>
    <x v="38"/>
    <s v="Fuseline Blue"/>
    <s v="LD بلو"/>
    <n v="12"/>
    <s v="8-8.5"/>
    <s v="ABA پیور"/>
    <n v="100"/>
    <x v="0"/>
    <n v="1"/>
    <n v="54"/>
    <n v="1.4"/>
    <m/>
    <x v="0"/>
    <n v="52.6"/>
    <m/>
    <m/>
    <x v="0"/>
    <x v="0"/>
    <m/>
    <m/>
    <x v="0"/>
    <x v="0"/>
    <m/>
    <x v="0"/>
    <x v="0"/>
    <x v="0"/>
    <x v="0"/>
    <x v="0"/>
    <m/>
    <m/>
    <m/>
    <m/>
    <x v="0"/>
    <x v="0"/>
    <m/>
    <x v="0"/>
    <m/>
    <x v="0"/>
    <x v="0"/>
    <x v="0"/>
    <x v="0"/>
    <x v="0"/>
  </r>
  <r>
    <x v="1"/>
    <x v="2"/>
    <s v="3092 J"/>
    <x v="38"/>
    <s v="Fuseline Blue"/>
    <s v="LD بلو"/>
    <n v="12"/>
    <s v="8-8.5"/>
    <s v="ABA پیور"/>
    <n v="100"/>
    <x v="0"/>
    <n v="1"/>
    <n v="46.2"/>
    <n v="1.5"/>
    <m/>
    <x v="0"/>
    <n v="44.7"/>
    <m/>
    <m/>
    <x v="0"/>
    <x v="0"/>
    <m/>
    <m/>
    <x v="0"/>
    <x v="0"/>
    <m/>
    <x v="0"/>
    <x v="0"/>
    <x v="0"/>
    <x v="0"/>
    <x v="0"/>
    <m/>
    <m/>
    <m/>
    <m/>
    <x v="0"/>
    <x v="0"/>
    <m/>
    <x v="0"/>
    <m/>
    <x v="0"/>
    <x v="0"/>
    <x v="0"/>
    <x v="0"/>
    <x v="0"/>
  </r>
  <r>
    <x v="1"/>
    <x v="2"/>
    <s v="3089 J"/>
    <x v="38"/>
    <s v="Plain Lafafa"/>
    <s v="LD بلو"/>
    <n v="12"/>
    <s v="8-8.5"/>
    <s v="ABA تھینکیو"/>
    <n v="200"/>
    <x v="0"/>
    <n v="3"/>
    <n v="215.39999999999998"/>
    <n v="4.5"/>
    <m/>
    <x v="0"/>
    <n v="210.89999999999998"/>
    <m/>
    <m/>
    <x v="0"/>
    <x v="0"/>
    <m/>
    <m/>
    <x v="0"/>
    <x v="0"/>
    <m/>
    <x v="0"/>
    <x v="0"/>
    <x v="0"/>
    <x v="0"/>
    <x v="0"/>
    <m/>
    <m/>
    <m/>
    <m/>
    <x v="0"/>
    <x v="0"/>
    <m/>
    <x v="0"/>
    <m/>
    <x v="0"/>
    <x v="0"/>
    <x v="0"/>
    <x v="0"/>
    <x v="0"/>
  </r>
  <r>
    <x v="1"/>
    <x v="2"/>
    <s v="3089 J"/>
    <x v="38"/>
    <s v="Plain Lafafa"/>
    <s v="LD بلو"/>
    <n v="12"/>
    <s v="8-8.5"/>
    <s v="ABA تھینکیو"/>
    <n v="200"/>
    <x v="0"/>
    <n v="2"/>
    <n v="95"/>
    <n v="2.4"/>
    <m/>
    <x v="0"/>
    <n v="92.6"/>
    <m/>
    <m/>
    <x v="0"/>
    <x v="0"/>
    <m/>
    <m/>
    <x v="0"/>
    <x v="0"/>
    <m/>
    <x v="0"/>
    <x v="0"/>
    <x v="0"/>
    <x v="0"/>
    <x v="0"/>
    <m/>
    <m/>
    <m/>
    <m/>
    <x v="0"/>
    <x v="0"/>
    <m/>
    <x v="0"/>
    <m/>
    <x v="0"/>
    <x v="0"/>
    <x v="0"/>
    <x v="0"/>
    <x v="0"/>
  </r>
  <r>
    <x v="0"/>
    <x v="3"/>
    <s v="1850 F"/>
    <x v="38"/>
    <s v="SB LAFAFA"/>
    <s v="LDN"/>
    <n v="18"/>
    <s v="9-9.5"/>
    <s v="-"/>
    <n v="110"/>
    <x v="0"/>
    <n v="2"/>
    <n v="112.6"/>
    <n v="4.4000000000000004"/>
    <m/>
    <x v="0"/>
    <n v="108.19999999999999"/>
    <m/>
    <m/>
    <x v="0"/>
    <x v="0"/>
    <m/>
    <m/>
    <x v="0"/>
    <x v="0"/>
    <m/>
    <x v="0"/>
    <x v="0"/>
    <x v="0"/>
    <x v="0"/>
    <x v="0"/>
    <m/>
    <m/>
    <m/>
    <m/>
    <x v="0"/>
    <x v="0"/>
    <m/>
    <x v="0"/>
    <m/>
    <x v="0"/>
    <x v="0"/>
    <x v="0"/>
    <x v="0"/>
    <x v="0"/>
  </r>
  <r>
    <x v="0"/>
    <x v="3"/>
    <s v="1827 F"/>
    <x v="38"/>
    <s v="MATHES WARNING"/>
    <s v="LDN"/>
    <n v="18"/>
    <s v="7-7.5"/>
    <s v="پیور"/>
    <n v="36"/>
    <x v="0"/>
    <n v="3"/>
    <n v="169.60000000000002"/>
    <n v="6.6000000000000005"/>
    <m/>
    <x v="0"/>
    <n v="163.00000000000003"/>
    <m/>
    <m/>
    <x v="0"/>
    <x v="0"/>
    <m/>
    <m/>
    <x v="0"/>
    <x v="0"/>
    <m/>
    <x v="0"/>
    <x v="0"/>
    <x v="0"/>
    <x v="0"/>
    <x v="0"/>
    <m/>
    <m/>
    <m/>
    <m/>
    <x v="0"/>
    <x v="0"/>
    <m/>
    <x v="0"/>
    <m/>
    <x v="0"/>
    <x v="0"/>
    <x v="0"/>
    <x v="0"/>
    <x v="0"/>
  </r>
  <r>
    <x v="1"/>
    <x v="3"/>
    <s v="1827 F"/>
    <x v="38"/>
    <s v="MATHES WARNING"/>
    <s v="LDN"/>
    <n v="18"/>
    <s v="7-7.5"/>
    <s v="پیور"/>
    <n v="36"/>
    <x v="0"/>
    <n v="3"/>
    <n v="158.4"/>
    <n v="6.8999999999999995"/>
    <n v="15.8"/>
    <x v="0"/>
    <n v="151.5"/>
    <m/>
    <m/>
    <x v="0"/>
    <x v="0"/>
    <m/>
    <m/>
    <x v="0"/>
    <x v="0"/>
    <m/>
    <x v="0"/>
    <x v="0"/>
    <x v="0"/>
    <x v="0"/>
    <x v="0"/>
    <m/>
    <m/>
    <m/>
    <m/>
    <x v="0"/>
    <x v="0"/>
    <m/>
    <x v="0"/>
    <m/>
    <x v="0"/>
    <x v="0"/>
    <x v="0"/>
    <x v="0"/>
    <x v="0"/>
  </r>
  <r>
    <x v="1"/>
    <x v="3"/>
    <s v="1841 F"/>
    <x v="38"/>
    <s v="PLAIN POLY BAG"/>
    <s v="LDN"/>
    <n v="19"/>
    <s v="8"/>
    <s v="پیور"/>
    <n v="75"/>
    <x v="0"/>
    <n v="2"/>
    <n v="92.8"/>
    <n v="4.8"/>
    <m/>
    <x v="0"/>
    <n v="88"/>
    <m/>
    <m/>
    <x v="0"/>
    <x v="0"/>
    <m/>
    <m/>
    <x v="0"/>
    <x v="0"/>
    <m/>
    <x v="0"/>
    <x v="0"/>
    <x v="0"/>
    <x v="0"/>
    <x v="0"/>
    <m/>
    <m/>
    <m/>
    <m/>
    <x v="0"/>
    <x v="0"/>
    <m/>
    <x v="0"/>
    <m/>
    <x v="0"/>
    <x v="0"/>
    <x v="0"/>
    <x v="0"/>
    <x v="0"/>
  </r>
  <r>
    <x v="1"/>
    <x v="3"/>
    <s v="1846 F"/>
    <x v="38"/>
    <s v="WJJF WARNING"/>
    <s v="LDN"/>
    <n v="19"/>
    <s v="10"/>
    <s v="پیور"/>
    <n v="60"/>
    <x v="0"/>
    <n v="2"/>
    <n v="69.400000000000006"/>
    <n v="4.8"/>
    <m/>
    <x v="0"/>
    <n v="64.600000000000009"/>
    <m/>
    <m/>
    <x v="0"/>
    <x v="0"/>
    <m/>
    <m/>
    <x v="0"/>
    <x v="0"/>
    <m/>
    <x v="0"/>
    <x v="0"/>
    <x v="0"/>
    <x v="0"/>
    <x v="0"/>
    <m/>
    <m/>
    <m/>
    <m/>
    <x v="0"/>
    <x v="0"/>
    <m/>
    <x v="0"/>
    <m/>
    <x v="0"/>
    <x v="0"/>
    <x v="0"/>
    <x v="0"/>
    <x v="0"/>
  </r>
  <r>
    <x v="0"/>
    <x v="6"/>
    <n v="2766"/>
    <x v="38"/>
    <s v="MATCO FOOD"/>
    <s v="LDN"/>
    <n v="29"/>
    <s v="88 G+-2"/>
    <s v="SL"/>
    <s v="1800 (40 BAG)"/>
    <x v="0"/>
    <n v="6"/>
    <n v="616.79999999999995"/>
    <n v="21.6"/>
    <m/>
    <x v="0"/>
    <n v="595.19999999999993"/>
    <m/>
    <m/>
    <x v="0"/>
    <x v="0"/>
    <m/>
    <m/>
    <x v="0"/>
    <x v="0"/>
    <m/>
    <x v="0"/>
    <x v="0"/>
    <x v="0"/>
    <x v="0"/>
    <x v="0"/>
    <m/>
    <m/>
    <m/>
    <m/>
    <x v="0"/>
    <x v="0"/>
    <m/>
    <x v="0"/>
    <m/>
    <x v="0"/>
    <x v="0"/>
    <x v="0"/>
    <x v="0"/>
    <x v="0"/>
  </r>
  <r>
    <x v="1"/>
    <x v="6"/>
    <n v="2766"/>
    <x v="38"/>
    <s v="MATCO FOOD"/>
    <s v="LDN"/>
    <n v="29"/>
    <s v="88 G+-2"/>
    <s v="SL"/>
    <s v="1800 (40 BAG)"/>
    <x v="0"/>
    <n v="7"/>
    <n v="621.6"/>
    <n v="25.2"/>
    <m/>
    <x v="0"/>
    <n v="596.4"/>
    <m/>
    <m/>
    <x v="0"/>
    <x v="0"/>
    <m/>
    <m/>
    <x v="0"/>
    <x v="0"/>
    <m/>
    <x v="0"/>
    <x v="0"/>
    <x v="0"/>
    <x v="0"/>
    <x v="0"/>
    <m/>
    <m/>
    <m/>
    <m/>
    <x v="0"/>
    <x v="0"/>
    <m/>
    <x v="0"/>
    <m/>
    <x v="0"/>
    <x v="0"/>
    <x v="0"/>
    <x v="0"/>
    <x v="0"/>
  </r>
  <r>
    <x v="0"/>
    <x v="4"/>
    <n v="2768"/>
    <x v="38"/>
    <s v="USMAN AMEEN LAHORE"/>
    <s v="LDN"/>
    <s v="17.75+6.25+6.25"/>
    <s v="9-10/19-20"/>
    <s v="SL"/>
    <n v="400"/>
    <x v="0"/>
    <n v="3"/>
    <n v="174"/>
    <n v="6.6000000000000005"/>
    <n v="51"/>
    <x v="0"/>
    <n v="167.4"/>
    <m/>
    <m/>
    <x v="0"/>
    <x v="0"/>
    <m/>
    <m/>
    <x v="0"/>
    <x v="0"/>
    <m/>
    <x v="0"/>
    <x v="0"/>
    <x v="0"/>
    <x v="0"/>
    <x v="0"/>
    <m/>
    <m/>
    <m/>
    <m/>
    <x v="0"/>
    <x v="0"/>
    <m/>
    <x v="0"/>
    <m/>
    <x v="0"/>
    <x v="0"/>
    <x v="0"/>
    <x v="0"/>
    <x v="0"/>
  </r>
  <r>
    <x v="0"/>
    <x v="4"/>
    <s v="1786 F"/>
    <x v="38"/>
    <s v="خالی پائیپر وارننگ"/>
    <s v="LDN"/>
    <n v="30"/>
    <s v="7"/>
    <s v="جیلانی شیٹ"/>
    <n v="140"/>
    <x v="0"/>
    <n v="2"/>
    <n v="142.19999999999999"/>
    <n v="8"/>
    <m/>
    <x v="0"/>
    <n v="134.19999999999999"/>
    <m/>
    <m/>
    <x v="0"/>
    <x v="0"/>
    <m/>
    <m/>
    <x v="0"/>
    <x v="0"/>
    <m/>
    <x v="0"/>
    <x v="0"/>
    <x v="0"/>
    <x v="0"/>
    <x v="0"/>
    <m/>
    <m/>
    <m/>
    <m/>
    <x v="0"/>
    <x v="0"/>
    <m/>
    <x v="0"/>
    <m/>
    <x v="0"/>
    <x v="0"/>
    <x v="0"/>
    <x v="0"/>
    <x v="0"/>
  </r>
  <r>
    <x v="0"/>
    <x v="4"/>
    <s v="3165 J"/>
    <x v="38"/>
    <s v="FATA"/>
    <s v="LDN"/>
    <n v="27"/>
    <n v="6"/>
    <s v="AA کوالٹی"/>
    <n v="500"/>
    <x v="0"/>
    <n v="7"/>
    <n v="321.39999999999998"/>
    <n v="22.400000000000002"/>
    <m/>
    <x v="0"/>
    <n v="299"/>
    <m/>
    <m/>
    <x v="0"/>
    <x v="0"/>
    <m/>
    <m/>
    <x v="0"/>
    <x v="0"/>
    <m/>
    <x v="0"/>
    <x v="0"/>
    <x v="0"/>
    <x v="0"/>
    <x v="0"/>
    <m/>
    <m/>
    <m/>
    <m/>
    <x v="0"/>
    <x v="0"/>
    <m/>
    <x v="0"/>
    <m/>
    <x v="0"/>
    <x v="0"/>
    <x v="0"/>
    <x v="0"/>
    <x v="0"/>
  </r>
  <r>
    <x v="1"/>
    <x v="4"/>
    <s v="3165 J"/>
    <x v="38"/>
    <s v="FATA"/>
    <s v="LDN"/>
    <n v="27"/>
    <n v="6"/>
    <s v="AA کوالٹی"/>
    <n v="500"/>
    <x v="0"/>
    <n v="2"/>
    <n v="142.80000000000001"/>
    <n v="6.8"/>
    <n v="41"/>
    <x v="0"/>
    <n v="136"/>
    <m/>
    <m/>
    <x v="0"/>
    <x v="0"/>
    <m/>
    <m/>
    <x v="0"/>
    <x v="0"/>
    <m/>
    <x v="0"/>
    <x v="0"/>
    <x v="0"/>
    <x v="0"/>
    <x v="0"/>
    <m/>
    <m/>
    <m/>
    <m/>
    <x v="0"/>
    <x v="0"/>
    <m/>
    <x v="0"/>
    <m/>
    <x v="0"/>
    <x v="0"/>
    <x v="0"/>
    <x v="0"/>
    <x v="0"/>
  </r>
  <r>
    <x v="1"/>
    <x v="4"/>
    <s v="3115 J"/>
    <x v="38"/>
    <s v="FATA"/>
    <s v="LDN"/>
    <n v="23"/>
    <n v="6"/>
    <s v="AA کوالٹی"/>
    <n v="1000"/>
    <x v="0"/>
    <n v="3"/>
    <n v="175"/>
    <n v="8.3999999999999986"/>
    <m/>
    <x v="0"/>
    <n v="166.6"/>
    <m/>
    <m/>
    <x v="0"/>
    <x v="0"/>
    <m/>
    <m/>
    <x v="0"/>
    <x v="0"/>
    <m/>
    <x v="0"/>
    <x v="0"/>
    <x v="0"/>
    <x v="0"/>
    <x v="0"/>
    <m/>
    <m/>
    <m/>
    <m/>
    <x v="0"/>
    <x v="0"/>
    <m/>
    <x v="0"/>
    <m/>
    <x v="0"/>
    <x v="0"/>
    <x v="0"/>
    <x v="0"/>
    <x v="0"/>
  </r>
  <r>
    <x v="1"/>
    <x v="4"/>
    <s v="3164 J"/>
    <x v="38"/>
    <s v="FATA"/>
    <s v="LDN"/>
    <n v="48"/>
    <n v="6"/>
    <s v="AA کوالٹی"/>
    <n v="250"/>
    <x v="0"/>
    <n v="3"/>
    <n v="274.20000000000005"/>
    <n v="18"/>
    <m/>
    <x v="0"/>
    <n v="256.20000000000005"/>
    <m/>
    <m/>
    <x v="0"/>
    <x v="0"/>
    <m/>
    <m/>
    <x v="0"/>
    <x v="0"/>
    <m/>
    <x v="0"/>
    <x v="0"/>
    <x v="0"/>
    <x v="0"/>
    <x v="0"/>
    <m/>
    <m/>
    <m/>
    <m/>
    <x v="0"/>
    <x v="0"/>
    <m/>
    <x v="0"/>
    <m/>
    <x v="0"/>
    <x v="0"/>
    <x v="0"/>
    <x v="0"/>
    <x v="0"/>
  </r>
  <r>
    <x v="0"/>
    <x v="5"/>
    <s v="1825 F"/>
    <x v="38"/>
    <s v="WALMART WARNING BIG"/>
    <s v="LDN"/>
    <n v="22"/>
    <s v="8"/>
    <s v="پیور"/>
    <n v="1520"/>
    <x v="0"/>
    <n v="6"/>
    <n v="387.40000000000003"/>
    <n v="15.600000000000001"/>
    <m/>
    <x v="0"/>
    <n v="371.8"/>
    <m/>
    <m/>
    <x v="0"/>
    <x v="0"/>
    <m/>
    <m/>
    <x v="0"/>
    <x v="0"/>
    <m/>
    <x v="0"/>
    <x v="0"/>
    <x v="0"/>
    <x v="0"/>
    <x v="0"/>
    <m/>
    <m/>
    <m/>
    <m/>
    <x v="0"/>
    <x v="0"/>
    <m/>
    <x v="0"/>
    <m/>
    <x v="0"/>
    <x v="0"/>
    <x v="0"/>
    <x v="0"/>
    <x v="0"/>
  </r>
  <r>
    <x v="0"/>
    <x v="5"/>
    <s v="1825 F"/>
    <x v="38"/>
    <s v="WALMART WARNING BIG"/>
    <s v="LDN"/>
    <n v="22"/>
    <s v="8"/>
    <s v="پیور"/>
    <n v="1520"/>
    <x v="0"/>
    <n v="1"/>
    <n v="65.099999999999994"/>
    <n v="2.6"/>
    <m/>
    <x v="0"/>
    <n v="62.499999999999993"/>
    <m/>
    <m/>
    <x v="0"/>
    <x v="0"/>
    <m/>
    <m/>
    <x v="0"/>
    <x v="0"/>
    <m/>
    <x v="0"/>
    <x v="0"/>
    <x v="0"/>
    <x v="0"/>
    <x v="0"/>
    <m/>
    <m/>
    <m/>
    <m/>
    <x v="0"/>
    <x v="0"/>
    <m/>
    <x v="0"/>
    <m/>
    <x v="0"/>
    <x v="0"/>
    <x v="0"/>
    <x v="0"/>
    <x v="0"/>
  </r>
  <r>
    <x v="1"/>
    <x v="5"/>
    <s v="1825 F"/>
    <x v="38"/>
    <s v="WALMART WARNING BIG"/>
    <s v="LDN"/>
    <n v="22"/>
    <s v="8"/>
    <s v="پیور"/>
    <n v="1520"/>
    <x v="0"/>
    <n v="6"/>
    <n v="334.90000000000003"/>
    <n v="16.200000000000003"/>
    <n v="2.4"/>
    <x v="0"/>
    <n v="318.70000000000005"/>
    <m/>
    <m/>
    <x v="0"/>
    <x v="0"/>
    <m/>
    <m/>
    <x v="0"/>
    <x v="0"/>
    <m/>
    <x v="0"/>
    <x v="0"/>
    <x v="0"/>
    <x v="0"/>
    <x v="0"/>
    <m/>
    <m/>
    <m/>
    <m/>
    <x v="0"/>
    <x v="0"/>
    <m/>
    <x v="0"/>
    <m/>
    <x v="0"/>
    <x v="0"/>
    <x v="0"/>
    <x v="0"/>
    <x v="0"/>
  </r>
  <r>
    <x v="1"/>
    <x v="5"/>
    <s v="1825 F"/>
    <x v="38"/>
    <s v="WALMART WARNING BIG"/>
    <s v="LDN"/>
    <n v="22"/>
    <s v="8"/>
    <s v="پیور"/>
    <n v="1520"/>
    <x v="0"/>
    <n v="1"/>
    <n v="62.3"/>
    <n v="2.7"/>
    <m/>
    <x v="0"/>
    <n v="59.599999999999994"/>
    <m/>
    <m/>
    <x v="0"/>
    <x v="0"/>
    <m/>
    <m/>
    <x v="0"/>
    <x v="0"/>
    <m/>
    <x v="0"/>
    <x v="0"/>
    <x v="0"/>
    <x v="0"/>
    <x v="0"/>
    <m/>
    <m/>
    <m/>
    <m/>
    <x v="0"/>
    <x v="0"/>
    <m/>
    <x v="0"/>
    <m/>
    <x v="0"/>
    <x v="0"/>
    <x v="0"/>
    <x v="0"/>
    <x v="0"/>
  </r>
  <r>
    <x v="0"/>
    <x v="0"/>
    <s v="3226 J"/>
    <x v="39"/>
    <s v="Purshish Forms Cow Milk"/>
    <s v="LDM"/>
    <n v="7"/>
    <n v="20"/>
    <s v="پیور"/>
    <n v="100"/>
    <x v="0"/>
    <n v="2"/>
    <n v="84"/>
    <n v="1.3"/>
    <n v="6"/>
    <x v="0"/>
    <n v="82.7"/>
    <m/>
    <m/>
    <x v="0"/>
    <x v="0"/>
    <m/>
    <m/>
    <x v="0"/>
    <x v="0"/>
    <m/>
    <x v="0"/>
    <x v="0"/>
    <x v="0"/>
    <x v="0"/>
    <x v="0"/>
    <m/>
    <m/>
    <m/>
    <m/>
    <x v="0"/>
    <x v="0"/>
    <m/>
    <x v="0"/>
    <m/>
    <x v="0"/>
    <x v="0"/>
    <x v="0"/>
    <x v="0"/>
    <x v="0"/>
  </r>
  <r>
    <x v="0"/>
    <x v="0"/>
    <s v="3227 J"/>
    <x v="39"/>
    <s v="Purshish Forms Premium Milk"/>
    <s v="LDM"/>
    <n v="7"/>
    <n v="20"/>
    <s v="پیور"/>
    <n v="100"/>
    <x v="0"/>
    <n v="2"/>
    <n v="103.4"/>
    <n v="1.8"/>
    <m/>
    <x v="0"/>
    <n v="101.60000000000001"/>
    <m/>
    <m/>
    <x v="0"/>
    <x v="0"/>
    <m/>
    <m/>
    <x v="0"/>
    <x v="0"/>
    <m/>
    <x v="0"/>
    <x v="0"/>
    <x v="0"/>
    <x v="0"/>
    <x v="0"/>
    <m/>
    <m/>
    <m/>
    <m/>
    <x v="0"/>
    <x v="0"/>
    <m/>
    <x v="0"/>
    <m/>
    <x v="0"/>
    <x v="0"/>
    <x v="0"/>
    <x v="0"/>
    <x v="0"/>
  </r>
  <r>
    <x v="1"/>
    <x v="0"/>
    <s v="3226 J"/>
    <x v="39"/>
    <s v="Purshish Forms Cow Milk"/>
    <s v="LDM"/>
    <n v="7"/>
    <n v="20"/>
    <s v="پیور"/>
    <n v="100"/>
    <x v="0"/>
    <n v="1"/>
    <n v="27.4"/>
    <n v="0.9"/>
    <m/>
    <x v="0"/>
    <n v="26.5"/>
    <m/>
    <m/>
    <x v="0"/>
    <x v="0"/>
    <m/>
    <m/>
    <x v="0"/>
    <x v="0"/>
    <m/>
    <x v="0"/>
    <x v="0"/>
    <x v="0"/>
    <x v="0"/>
    <x v="0"/>
    <m/>
    <m/>
    <m/>
    <m/>
    <x v="0"/>
    <x v="0"/>
    <m/>
    <x v="0"/>
    <m/>
    <x v="0"/>
    <x v="0"/>
    <x v="0"/>
    <x v="0"/>
    <x v="0"/>
  </r>
  <r>
    <x v="1"/>
    <x v="0"/>
    <s v="3207 J"/>
    <x v="39"/>
    <s v="Milker Khalis Kacha Dood"/>
    <s v="LDM"/>
    <n v="7"/>
    <s v="17-18"/>
    <s v="پیور"/>
    <n v="100"/>
    <x v="0"/>
    <n v="2"/>
    <n v="106.4"/>
    <n v="0.8"/>
    <m/>
    <x v="0"/>
    <n v="105.60000000000001"/>
    <m/>
    <m/>
    <x v="0"/>
    <x v="0"/>
    <m/>
    <m/>
    <x v="0"/>
    <x v="0"/>
    <m/>
    <x v="0"/>
    <x v="0"/>
    <x v="0"/>
    <x v="0"/>
    <x v="0"/>
    <m/>
    <m/>
    <m/>
    <m/>
    <x v="0"/>
    <x v="0"/>
    <m/>
    <x v="0"/>
    <m/>
    <x v="0"/>
    <x v="0"/>
    <x v="0"/>
    <x v="0"/>
    <x v="0"/>
  </r>
  <r>
    <x v="1"/>
    <x v="0"/>
    <s v="3264 J"/>
    <x v="39"/>
    <s v="A and J Dairies"/>
    <s v="LDM"/>
    <n v="7"/>
    <s v="17-18"/>
    <s v="پیور"/>
    <n v="100"/>
    <x v="0"/>
    <n v="2"/>
    <n v="49.6"/>
    <n v="1"/>
    <m/>
    <x v="0"/>
    <n v="48.6"/>
    <m/>
    <m/>
    <x v="0"/>
    <x v="0"/>
    <m/>
    <m/>
    <x v="0"/>
    <x v="0"/>
    <m/>
    <x v="0"/>
    <x v="0"/>
    <x v="0"/>
    <x v="0"/>
    <x v="0"/>
    <m/>
    <m/>
    <m/>
    <m/>
    <x v="0"/>
    <x v="0"/>
    <m/>
    <x v="0"/>
    <m/>
    <x v="0"/>
    <x v="0"/>
    <x v="0"/>
    <x v="0"/>
    <x v="0"/>
  </r>
  <r>
    <x v="0"/>
    <x v="2"/>
    <s v="3088 J"/>
    <x v="39"/>
    <s v="Plain Lafafa"/>
    <s v="LD بلو"/>
    <n v="6"/>
    <s v="8-8.5"/>
    <s v="ABA تھینکیو"/>
    <n v="150"/>
    <x v="0"/>
    <n v="4"/>
    <n v="158.4"/>
    <n v="3.6"/>
    <m/>
    <x v="0"/>
    <n v="154.80000000000001"/>
    <m/>
    <m/>
    <x v="0"/>
    <x v="0"/>
    <m/>
    <m/>
    <x v="0"/>
    <x v="0"/>
    <m/>
    <x v="0"/>
    <x v="0"/>
    <x v="0"/>
    <x v="0"/>
    <x v="0"/>
    <m/>
    <m/>
    <m/>
    <m/>
    <x v="0"/>
    <x v="0"/>
    <m/>
    <x v="0"/>
    <m/>
    <x v="0"/>
    <x v="0"/>
    <x v="0"/>
    <x v="0"/>
    <x v="0"/>
  </r>
  <r>
    <x v="0"/>
    <x v="2"/>
    <s v="3091 J"/>
    <x v="39"/>
    <s v="Plain Lafafa"/>
    <s v="LD اورنج"/>
    <n v="15"/>
    <s v="10-10.5"/>
    <s v="ABA تھینکیو"/>
    <n v="350"/>
    <x v="0"/>
    <n v="1"/>
    <n v="91.6"/>
    <n v="1.9"/>
    <n v="71"/>
    <x v="0"/>
    <n v="89.699999999999989"/>
    <m/>
    <m/>
    <x v="0"/>
    <x v="0"/>
    <m/>
    <m/>
    <x v="0"/>
    <x v="0"/>
    <m/>
    <x v="0"/>
    <x v="0"/>
    <x v="0"/>
    <x v="0"/>
    <x v="0"/>
    <m/>
    <m/>
    <m/>
    <m/>
    <x v="0"/>
    <x v="0"/>
    <m/>
    <x v="0"/>
    <m/>
    <x v="0"/>
    <x v="0"/>
    <x v="0"/>
    <x v="0"/>
    <x v="0"/>
  </r>
  <r>
    <x v="1"/>
    <x v="2"/>
    <s v="3091 J"/>
    <x v="39"/>
    <s v="Plain Lafafa"/>
    <s v="LD اورنج"/>
    <n v="15"/>
    <s v="10-10.5"/>
    <s v="ABA تھینکیو"/>
    <n v="350"/>
    <x v="0"/>
    <n v="4"/>
    <n v="268.2"/>
    <n v="7.6"/>
    <n v="42"/>
    <x v="0"/>
    <n v="260.59999999999997"/>
    <m/>
    <m/>
    <x v="0"/>
    <x v="0"/>
    <m/>
    <m/>
    <x v="0"/>
    <x v="0"/>
    <m/>
    <x v="0"/>
    <x v="0"/>
    <x v="0"/>
    <x v="0"/>
    <x v="0"/>
    <m/>
    <m/>
    <m/>
    <m/>
    <x v="0"/>
    <x v="0"/>
    <m/>
    <x v="0"/>
    <m/>
    <x v="0"/>
    <x v="0"/>
    <x v="0"/>
    <x v="0"/>
    <x v="0"/>
  </r>
  <r>
    <x v="1"/>
    <x v="2"/>
    <s v="3251 J"/>
    <x v="39"/>
    <s v="Plain Lafafa Waqas Woollen Mills Gujaranwala"/>
    <s v="LD گرین"/>
    <n v="14"/>
    <s v="10-10.5"/>
    <s v="ABA تھینکیو"/>
    <n v="200"/>
    <x v="0"/>
    <n v="2"/>
    <n v="116.4"/>
    <n v="3.6"/>
    <m/>
    <x v="0"/>
    <n v="112.80000000000001"/>
    <m/>
    <m/>
    <x v="0"/>
    <x v="0"/>
    <m/>
    <m/>
    <x v="0"/>
    <x v="0"/>
    <m/>
    <x v="0"/>
    <x v="0"/>
    <x v="0"/>
    <x v="0"/>
    <x v="0"/>
    <m/>
    <m/>
    <m/>
    <m/>
    <x v="0"/>
    <x v="0"/>
    <m/>
    <x v="0"/>
    <m/>
    <x v="0"/>
    <x v="0"/>
    <x v="0"/>
    <x v="0"/>
    <x v="0"/>
  </r>
  <r>
    <x v="0"/>
    <x v="3"/>
    <s v="1852 F"/>
    <x v="39"/>
    <s v="SB LAFAFA"/>
    <s v="LDN"/>
    <n v="20"/>
    <s v="9-9.5"/>
    <s v="-"/>
    <n v="85"/>
    <x v="0"/>
    <n v="2"/>
    <n v="94.4"/>
    <n v="4.8"/>
    <m/>
    <x v="0"/>
    <n v="89.600000000000009"/>
    <m/>
    <m/>
    <x v="0"/>
    <x v="0"/>
    <m/>
    <m/>
    <x v="0"/>
    <x v="0"/>
    <m/>
    <x v="0"/>
    <x v="0"/>
    <x v="0"/>
    <x v="0"/>
    <x v="0"/>
    <m/>
    <m/>
    <m/>
    <m/>
    <x v="0"/>
    <x v="0"/>
    <m/>
    <x v="0"/>
    <m/>
    <x v="0"/>
    <x v="0"/>
    <x v="0"/>
    <x v="0"/>
    <x v="0"/>
  </r>
  <r>
    <x v="0"/>
    <x v="3"/>
    <s v="1814 F"/>
    <x v="39"/>
    <s v="STANCE WARNING"/>
    <s v="LDN"/>
    <n v="21"/>
    <s v="7.7.5"/>
    <s v="پیور"/>
    <n v="105"/>
    <x v="0"/>
    <n v="4"/>
    <n v="209.2"/>
    <n v="10"/>
    <m/>
    <x v="0"/>
    <n v="199.2"/>
    <m/>
    <m/>
    <x v="0"/>
    <x v="0"/>
    <m/>
    <m/>
    <x v="0"/>
    <x v="0"/>
    <m/>
    <x v="0"/>
    <x v="0"/>
    <x v="0"/>
    <x v="0"/>
    <x v="0"/>
    <m/>
    <m/>
    <m/>
    <m/>
    <x v="0"/>
    <x v="0"/>
    <m/>
    <x v="0"/>
    <m/>
    <x v="0"/>
    <x v="0"/>
    <x v="0"/>
    <x v="0"/>
    <x v="0"/>
  </r>
  <r>
    <x v="0"/>
    <x v="3"/>
    <s v="1833 F"/>
    <x v="39"/>
    <s v="PLAIN POLY BAG"/>
    <s v="LDN"/>
    <n v="20"/>
    <s v="8"/>
    <s v="پیور"/>
    <n v="50"/>
    <x v="0"/>
    <n v="1"/>
    <n v="63.8"/>
    <n v="2.4"/>
    <m/>
    <x v="0"/>
    <n v="61.4"/>
    <m/>
    <m/>
    <x v="0"/>
    <x v="0"/>
    <m/>
    <m/>
    <x v="0"/>
    <x v="0"/>
    <m/>
    <x v="0"/>
    <x v="0"/>
    <x v="0"/>
    <x v="0"/>
    <x v="0"/>
    <m/>
    <m/>
    <m/>
    <m/>
    <x v="0"/>
    <x v="0"/>
    <m/>
    <x v="0"/>
    <m/>
    <x v="0"/>
    <x v="0"/>
    <x v="0"/>
    <x v="0"/>
    <x v="0"/>
  </r>
  <r>
    <x v="0"/>
    <x v="3"/>
    <s v="1843 F"/>
    <x v="39"/>
    <s v="PLAIN POLY BAG"/>
    <s v="LDN"/>
    <n v="23"/>
    <s v="8"/>
    <s v="پیور"/>
    <n v="50"/>
    <x v="0"/>
    <n v="1"/>
    <n v="56.6"/>
    <n v="2.9"/>
    <n v="16"/>
    <x v="0"/>
    <n v="53.7"/>
    <m/>
    <m/>
    <x v="0"/>
    <x v="0"/>
    <m/>
    <m/>
    <x v="0"/>
    <x v="0"/>
    <m/>
    <x v="0"/>
    <x v="0"/>
    <x v="0"/>
    <x v="0"/>
    <x v="0"/>
    <m/>
    <m/>
    <m/>
    <m/>
    <x v="0"/>
    <x v="0"/>
    <m/>
    <x v="0"/>
    <m/>
    <x v="0"/>
    <x v="0"/>
    <x v="0"/>
    <x v="0"/>
    <x v="0"/>
  </r>
  <r>
    <x v="1"/>
    <x v="3"/>
    <s v="1842 F"/>
    <x v="39"/>
    <s v="PLAIN POLY BAG"/>
    <s v="LDN"/>
    <n v="23"/>
    <s v="8"/>
    <s v="پیور"/>
    <n v="75"/>
    <x v="0"/>
    <n v="2"/>
    <n v="96.8"/>
    <n v="4.5999999999999996"/>
    <n v="7"/>
    <x v="0"/>
    <n v="92.2"/>
    <m/>
    <m/>
    <x v="0"/>
    <x v="0"/>
    <m/>
    <m/>
    <x v="0"/>
    <x v="0"/>
    <m/>
    <x v="0"/>
    <x v="0"/>
    <x v="0"/>
    <x v="0"/>
    <x v="0"/>
    <m/>
    <m/>
    <m/>
    <m/>
    <x v="0"/>
    <x v="0"/>
    <m/>
    <x v="0"/>
    <m/>
    <x v="0"/>
    <x v="0"/>
    <x v="0"/>
    <x v="0"/>
    <x v="0"/>
  </r>
  <r>
    <x v="1"/>
    <x v="3"/>
    <s v="1847 F"/>
    <x v="39"/>
    <s v="WJJF WARNING"/>
    <s v="LDN"/>
    <n v="23"/>
    <s v="10"/>
    <s v="پیور"/>
    <n v="60"/>
    <x v="0"/>
    <n v="1"/>
    <n v="69.2"/>
    <n v="0.25"/>
    <m/>
    <x v="0"/>
    <n v="68.95"/>
    <m/>
    <m/>
    <x v="0"/>
    <x v="0"/>
    <m/>
    <m/>
    <x v="0"/>
    <x v="0"/>
    <m/>
    <x v="0"/>
    <x v="0"/>
    <x v="0"/>
    <x v="0"/>
    <x v="0"/>
    <m/>
    <m/>
    <m/>
    <m/>
    <x v="0"/>
    <x v="0"/>
    <m/>
    <x v="0"/>
    <m/>
    <x v="0"/>
    <x v="0"/>
    <x v="0"/>
    <x v="0"/>
    <x v="0"/>
  </r>
  <r>
    <x v="1"/>
    <x v="3"/>
    <s v="1845 F"/>
    <x v="39"/>
    <s v="KARATE WARNING"/>
    <s v="LDN"/>
    <n v="23"/>
    <s v="12"/>
    <s v="پیور"/>
    <n v="80"/>
    <x v="0"/>
    <n v="2"/>
    <n v="96"/>
    <n v="5.6"/>
    <m/>
    <x v="0"/>
    <n v="90.4"/>
    <m/>
    <m/>
    <x v="0"/>
    <x v="0"/>
    <m/>
    <m/>
    <x v="0"/>
    <x v="0"/>
    <m/>
    <x v="0"/>
    <x v="0"/>
    <x v="0"/>
    <x v="0"/>
    <x v="0"/>
    <m/>
    <m/>
    <m/>
    <m/>
    <x v="0"/>
    <x v="0"/>
    <m/>
    <x v="0"/>
    <m/>
    <x v="0"/>
    <x v="0"/>
    <x v="0"/>
    <x v="0"/>
    <x v="0"/>
  </r>
  <r>
    <x v="1"/>
    <x v="3"/>
    <s v="1795 F"/>
    <x v="39"/>
    <s v="سادہ لفافہ"/>
    <s v="LDN"/>
    <n v="16"/>
    <s v="7-7.5"/>
    <s v="پیور"/>
    <n v="22"/>
    <x v="0"/>
    <n v="1"/>
    <n v="47"/>
    <n v="2"/>
    <m/>
    <x v="0"/>
    <n v="45"/>
    <m/>
    <m/>
    <x v="0"/>
    <x v="0"/>
    <m/>
    <m/>
    <x v="0"/>
    <x v="0"/>
    <m/>
    <x v="0"/>
    <x v="0"/>
    <x v="0"/>
    <x v="0"/>
    <x v="0"/>
    <m/>
    <m/>
    <m/>
    <m/>
    <x v="0"/>
    <x v="0"/>
    <m/>
    <x v="0"/>
    <m/>
    <x v="0"/>
    <x v="0"/>
    <x v="0"/>
    <x v="0"/>
    <x v="0"/>
  </r>
  <r>
    <x v="0"/>
    <x v="6"/>
    <n v="2766"/>
    <x v="39"/>
    <s v="MATCO FOOD"/>
    <s v="LDN"/>
    <n v="29"/>
    <s v="88 G+-2"/>
    <s v="SL"/>
    <s v="1800 (40 BAG)"/>
    <x v="0"/>
    <n v="6"/>
    <n v="724.2"/>
    <n v="23.1"/>
    <n v="11"/>
    <x v="0"/>
    <n v="701.1"/>
    <m/>
    <m/>
    <x v="0"/>
    <x v="0"/>
    <m/>
    <m/>
    <x v="0"/>
    <x v="0"/>
    <m/>
    <x v="0"/>
    <x v="0"/>
    <x v="0"/>
    <x v="0"/>
    <x v="0"/>
    <m/>
    <m/>
    <m/>
    <m/>
    <x v="0"/>
    <x v="0"/>
    <m/>
    <x v="0"/>
    <m/>
    <x v="0"/>
    <x v="0"/>
    <x v="0"/>
    <x v="0"/>
    <x v="0"/>
  </r>
  <r>
    <x v="1"/>
    <x v="6"/>
    <n v="2766"/>
    <x v="39"/>
    <s v="MATCO FOOD"/>
    <s v="LDN"/>
    <n v="29"/>
    <s v="88 G+-2"/>
    <s v="SL"/>
    <s v="1800 (40 BAG)"/>
    <x v="0"/>
    <n v="6"/>
    <n v="723.8"/>
    <n v="23"/>
    <m/>
    <x v="0"/>
    <n v="700.8"/>
    <m/>
    <m/>
    <x v="0"/>
    <x v="0"/>
    <m/>
    <m/>
    <x v="0"/>
    <x v="0"/>
    <m/>
    <x v="0"/>
    <x v="0"/>
    <x v="0"/>
    <x v="0"/>
    <x v="0"/>
    <m/>
    <m/>
    <m/>
    <m/>
    <x v="0"/>
    <x v="0"/>
    <m/>
    <x v="0"/>
    <m/>
    <x v="0"/>
    <x v="0"/>
    <x v="0"/>
    <x v="0"/>
    <x v="0"/>
  </r>
  <r>
    <x v="0"/>
    <x v="4"/>
    <s v="3141 J"/>
    <x v="39"/>
    <s v="Golden Acrylic Glue 500 Gram"/>
    <s v="LDN"/>
    <s v="510 MM"/>
    <s v="15-16/30-32"/>
    <s v="پیور"/>
    <n v="1000"/>
    <x v="0"/>
    <n v="4"/>
    <n v="391.9"/>
    <n v="10.4"/>
    <n v="50"/>
    <x v="0"/>
    <n v="381.5"/>
    <m/>
    <m/>
    <x v="0"/>
    <x v="0"/>
    <m/>
    <m/>
    <x v="0"/>
    <x v="0"/>
    <m/>
    <x v="0"/>
    <x v="0"/>
    <x v="0"/>
    <x v="0"/>
    <x v="0"/>
    <m/>
    <m/>
    <m/>
    <m/>
    <x v="0"/>
    <x v="0"/>
    <m/>
    <x v="0"/>
    <m/>
    <x v="0"/>
    <x v="0"/>
    <x v="0"/>
    <x v="0"/>
    <x v="0"/>
  </r>
  <r>
    <x v="0"/>
    <x v="4"/>
    <s v="3133 J"/>
    <x v="39"/>
    <s v="Japan Watch Works"/>
    <s v="LD پیلا"/>
    <n v="17"/>
    <s v="11.5-12"/>
    <s v="ABA پیور"/>
    <n v="100"/>
    <x v="0"/>
    <n v="2"/>
    <n v="95.2"/>
    <n v="4.2"/>
    <m/>
    <x v="0"/>
    <n v="91"/>
    <m/>
    <m/>
    <x v="0"/>
    <x v="0"/>
    <m/>
    <m/>
    <x v="0"/>
    <x v="0"/>
    <m/>
    <x v="0"/>
    <x v="0"/>
    <x v="0"/>
    <x v="0"/>
    <x v="0"/>
    <m/>
    <m/>
    <m/>
    <m/>
    <x v="0"/>
    <x v="0"/>
    <m/>
    <x v="0"/>
    <m/>
    <x v="0"/>
    <x v="0"/>
    <x v="0"/>
    <x v="0"/>
    <x v="0"/>
  </r>
  <r>
    <x v="0"/>
    <x v="4"/>
    <s v="3236 J"/>
    <x v="39"/>
    <s v="Plain Lafafa Waqas Woollen Mills Gujaranwala"/>
    <s v="LD پیلا"/>
    <n v="30"/>
    <s v="10-10.5"/>
    <s v="ABA تھینکیو"/>
    <n v="100"/>
    <x v="0"/>
    <n v="2"/>
    <n v="112.5"/>
    <n v="7.6"/>
    <m/>
    <x v="0"/>
    <n v="104.9"/>
    <m/>
    <m/>
    <x v="0"/>
    <x v="0"/>
    <m/>
    <m/>
    <x v="0"/>
    <x v="0"/>
    <m/>
    <x v="0"/>
    <x v="0"/>
    <x v="0"/>
    <x v="0"/>
    <x v="0"/>
    <m/>
    <m/>
    <m/>
    <m/>
    <x v="0"/>
    <x v="0"/>
    <m/>
    <x v="0"/>
    <m/>
    <x v="0"/>
    <x v="0"/>
    <x v="0"/>
    <x v="0"/>
    <x v="0"/>
  </r>
  <r>
    <x v="0"/>
    <x v="4"/>
    <s v="3245 J"/>
    <x v="39"/>
    <s v="K.W.C (Mughal Watch Co)"/>
    <s v="LD گولڈن پیلا"/>
    <s v="29&quot; شیٹ"/>
    <s v="7.5-8/15-16"/>
    <s v="ABA پیور"/>
    <n v="100"/>
    <x v="0"/>
    <n v="2"/>
    <n v="116.2"/>
    <n v="7.6"/>
    <m/>
    <x v="0"/>
    <n v="108.60000000000001"/>
    <m/>
    <m/>
    <x v="0"/>
    <x v="0"/>
    <m/>
    <m/>
    <x v="0"/>
    <x v="0"/>
    <m/>
    <x v="0"/>
    <x v="0"/>
    <x v="0"/>
    <x v="0"/>
    <x v="0"/>
    <m/>
    <m/>
    <m/>
    <m/>
    <x v="0"/>
    <x v="0"/>
    <m/>
    <x v="0"/>
    <m/>
    <x v="0"/>
    <x v="0"/>
    <x v="0"/>
    <x v="0"/>
    <x v="0"/>
  </r>
  <r>
    <x v="1"/>
    <x v="4"/>
    <s v="3106 J"/>
    <x v="39"/>
    <s v="Happilac Paint"/>
    <s v="LD پیلا"/>
    <n v="17"/>
    <s v="-"/>
    <s v="ABA پیور"/>
    <n v="580"/>
    <x v="0"/>
    <n v="5"/>
    <n v="622.40000000000009"/>
    <n v="11"/>
    <n v="6"/>
    <x v="0"/>
    <n v="611.40000000000009"/>
    <m/>
    <m/>
    <x v="0"/>
    <x v="0"/>
    <m/>
    <m/>
    <x v="0"/>
    <x v="0"/>
    <m/>
    <x v="0"/>
    <x v="0"/>
    <x v="0"/>
    <x v="0"/>
    <x v="0"/>
    <m/>
    <m/>
    <m/>
    <m/>
    <x v="0"/>
    <x v="0"/>
    <m/>
    <x v="0"/>
    <m/>
    <x v="0"/>
    <x v="0"/>
    <x v="0"/>
    <x v="0"/>
    <x v="0"/>
  </r>
  <r>
    <x v="1"/>
    <x v="4"/>
    <s v="3195 J"/>
    <x v="39"/>
    <s v="برجر پینٹ(پیلا) نیو ڈیزائن"/>
    <s v="LD پیلا"/>
    <n v="18"/>
    <s v="-"/>
    <s v="ABA پیور"/>
    <n v="2000"/>
    <x v="0"/>
    <n v="1"/>
    <n v="92.4"/>
    <n v="2.2000000000000002"/>
    <m/>
    <x v="0"/>
    <n v="90.2"/>
    <m/>
    <m/>
    <x v="0"/>
    <x v="0"/>
    <m/>
    <m/>
    <x v="0"/>
    <x v="0"/>
    <m/>
    <x v="0"/>
    <x v="0"/>
    <x v="0"/>
    <x v="0"/>
    <x v="0"/>
    <m/>
    <m/>
    <m/>
    <m/>
    <x v="0"/>
    <x v="0"/>
    <m/>
    <x v="0"/>
    <m/>
    <x v="0"/>
    <x v="0"/>
    <x v="0"/>
    <x v="0"/>
    <x v="0"/>
  </r>
  <r>
    <x v="0"/>
    <x v="5"/>
    <s v="1825 F"/>
    <x v="39"/>
    <s v="WALMART WARNING BIG"/>
    <s v="LDN"/>
    <n v="22"/>
    <s v="8"/>
    <s v="پیور"/>
    <n v="1520"/>
    <x v="0"/>
    <n v="2"/>
    <n v="113.80000000000001"/>
    <n v="5.2"/>
    <n v="11"/>
    <x v="0"/>
    <n v="108.60000000000001"/>
    <m/>
    <m/>
    <x v="0"/>
    <x v="0"/>
    <m/>
    <m/>
    <x v="0"/>
    <x v="0"/>
    <m/>
    <x v="0"/>
    <x v="0"/>
    <x v="0"/>
    <x v="0"/>
    <x v="0"/>
    <m/>
    <m/>
    <m/>
    <m/>
    <x v="0"/>
    <x v="0"/>
    <m/>
    <x v="0"/>
    <m/>
    <x v="0"/>
    <x v="0"/>
    <x v="0"/>
    <x v="0"/>
    <x v="0"/>
  </r>
  <r>
    <x v="0"/>
    <x v="5"/>
    <s v="3222 J"/>
    <x v="39"/>
    <s v="Nakhel Brand "/>
    <s v="LDN"/>
    <n v="22"/>
    <s v="-"/>
    <s v="پیور"/>
    <n v="350"/>
    <x v="0"/>
    <n v="5"/>
    <n v="288.2"/>
    <n v="13"/>
    <m/>
    <x v="0"/>
    <n v="275.2"/>
    <m/>
    <m/>
    <x v="0"/>
    <x v="0"/>
    <m/>
    <m/>
    <x v="0"/>
    <x v="0"/>
    <m/>
    <x v="0"/>
    <x v="0"/>
    <x v="0"/>
    <x v="0"/>
    <x v="0"/>
    <m/>
    <m/>
    <m/>
    <m/>
    <x v="0"/>
    <x v="0"/>
    <m/>
    <x v="0"/>
    <m/>
    <x v="0"/>
    <x v="0"/>
    <x v="0"/>
    <x v="0"/>
    <x v="0"/>
  </r>
  <r>
    <x v="1"/>
    <x v="5"/>
    <s v="3223 J"/>
    <x v="39"/>
    <s v="Ateaga Family Shop"/>
    <s v="LDN"/>
    <n v="22"/>
    <s v="-"/>
    <s v="پیور"/>
    <n v="250"/>
    <x v="0"/>
    <n v="4"/>
    <n v="208.20000000000002"/>
    <n v="10.8"/>
    <n v="0.5"/>
    <x v="0"/>
    <n v="197.4"/>
    <m/>
    <m/>
    <x v="0"/>
    <x v="0"/>
    <m/>
    <m/>
    <x v="0"/>
    <x v="0"/>
    <m/>
    <x v="0"/>
    <x v="0"/>
    <x v="0"/>
    <x v="0"/>
    <x v="0"/>
    <m/>
    <m/>
    <m/>
    <m/>
    <x v="0"/>
    <x v="0"/>
    <m/>
    <x v="0"/>
    <m/>
    <x v="0"/>
    <x v="0"/>
    <x v="0"/>
    <x v="0"/>
    <x v="0"/>
  </r>
  <r>
    <x v="1"/>
    <x v="5"/>
    <s v="3222 J"/>
    <x v="39"/>
    <s v="Nakhel Brand "/>
    <s v="LDN"/>
    <n v="22"/>
    <s v="-"/>
    <s v="پیور"/>
    <n v="350"/>
    <x v="0"/>
    <n v="2"/>
    <n v="87.6"/>
    <n v="5.4"/>
    <m/>
    <x v="0"/>
    <n v="82.199999999999989"/>
    <m/>
    <m/>
    <x v="0"/>
    <x v="0"/>
    <m/>
    <m/>
    <x v="0"/>
    <x v="0"/>
    <m/>
    <x v="0"/>
    <x v="0"/>
    <x v="0"/>
    <x v="0"/>
    <x v="0"/>
    <m/>
    <m/>
    <m/>
    <m/>
    <x v="0"/>
    <x v="0"/>
    <m/>
    <x v="0"/>
    <m/>
    <x v="0"/>
    <x v="0"/>
    <x v="0"/>
    <x v="0"/>
    <x v="0"/>
  </r>
  <r>
    <x v="1"/>
    <x v="5"/>
    <s v="3224 J"/>
    <x v="39"/>
    <s v="CBNF Brand"/>
    <s v="LDN"/>
    <n v="22"/>
    <s v="-"/>
    <s v="پیور"/>
    <n v="160"/>
    <x v="0"/>
    <n v="1"/>
    <n v="58.6"/>
    <n v="2.7"/>
    <m/>
    <x v="0"/>
    <n v="55.9"/>
    <m/>
    <m/>
    <x v="0"/>
    <x v="0"/>
    <m/>
    <m/>
    <x v="0"/>
    <x v="0"/>
    <m/>
    <x v="0"/>
    <x v="0"/>
    <x v="0"/>
    <x v="0"/>
    <x v="0"/>
    <m/>
    <m/>
    <m/>
    <m/>
    <x v="0"/>
    <x v="0"/>
    <m/>
    <x v="0"/>
    <m/>
    <x v="0"/>
    <x v="0"/>
    <x v="0"/>
    <x v="0"/>
    <x v="0"/>
  </r>
  <r>
    <x v="0"/>
    <x v="0"/>
    <s v="3264 J"/>
    <x v="40"/>
    <s v="A and J Dairies"/>
    <s v="LDM"/>
    <n v="7"/>
    <s v="17-18"/>
    <s v="پیور"/>
    <n v="100"/>
    <x v="0"/>
    <n v="1"/>
    <n v="61.2"/>
    <n v="0.9"/>
    <n v="5"/>
    <x v="0"/>
    <n v="60.300000000000004"/>
    <m/>
    <m/>
    <x v="0"/>
    <x v="0"/>
    <m/>
    <m/>
    <x v="0"/>
    <x v="0"/>
    <m/>
    <x v="0"/>
    <x v="0"/>
    <x v="0"/>
    <x v="0"/>
    <x v="0"/>
    <m/>
    <m/>
    <m/>
    <m/>
    <x v="0"/>
    <x v="0"/>
    <m/>
    <x v="0"/>
    <m/>
    <x v="0"/>
    <x v="0"/>
    <x v="0"/>
    <x v="0"/>
    <x v="0"/>
  </r>
  <r>
    <x v="0"/>
    <x v="0"/>
    <s v="3265 J"/>
    <x v="40"/>
    <s v="A and J Dairies"/>
    <s v="LDM"/>
    <n v="7"/>
    <s v="17-18"/>
    <s v="پیور"/>
    <n v="50"/>
    <x v="0"/>
    <n v="1"/>
    <n v="57"/>
    <n v="0.9"/>
    <m/>
    <x v="0"/>
    <n v="56.1"/>
    <m/>
    <m/>
    <x v="0"/>
    <x v="0"/>
    <m/>
    <m/>
    <x v="0"/>
    <x v="0"/>
    <m/>
    <x v="0"/>
    <x v="0"/>
    <x v="0"/>
    <x v="0"/>
    <x v="0"/>
    <m/>
    <m/>
    <m/>
    <m/>
    <x v="0"/>
    <x v="0"/>
    <m/>
    <x v="0"/>
    <m/>
    <x v="0"/>
    <x v="0"/>
    <x v="0"/>
    <x v="0"/>
    <x v="0"/>
  </r>
  <r>
    <x v="0"/>
    <x v="0"/>
    <s v="07/5-5.5"/>
    <x v="40"/>
    <s v="-"/>
    <s v="-"/>
    <s v="-"/>
    <s v="-"/>
    <s v="-"/>
    <s v="-"/>
    <x v="0"/>
    <n v="2"/>
    <n v="64.199999999999989"/>
    <m/>
    <m/>
    <x v="0"/>
    <n v="64.199999999999989"/>
    <m/>
    <m/>
    <x v="0"/>
    <x v="0"/>
    <m/>
    <m/>
    <x v="0"/>
    <x v="0"/>
    <m/>
    <x v="0"/>
    <x v="0"/>
    <x v="0"/>
    <x v="0"/>
    <x v="0"/>
    <m/>
    <m/>
    <m/>
    <m/>
    <x v="0"/>
    <x v="0"/>
    <m/>
    <x v="0"/>
    <m/>
    <x v="0"/>
    <x v="0"/>
    <x v="0"/>
    <x v="0"/>
    <x v="0"/>
  </r>
  <r>
    <x v="1"/>
    <x v="0"/>
    <s v="3256 J"/>
    <x v="40"/>
    <s v="Golda Aluminium"/>
    <s v="LDN"/>
    <n v="4"/>
    <n v="10"/>
    <s v="پیور"/>
    <n v="100"/>
    <x v="0"/>
    <n v="2"/>
    <n v="104.2"/>
    <n v="2.4"/>
    <n v="4"/>
    <x v="0"/>
    <n v="101.8"/>
    <m/>
    <m/>
    <x v="0"/>
    <x v="0"/>
    <m/>
    <m/>
    <x v="0"/>
    <x v="0"/>
    <m/>
    <x v="0"/>
    <x v="0"/>
    <x v="0"/>
    <x v="0"/>
    <x v="0"/>
    <m/>
    <m/>
    <m/>
    <m/>
    <x v="0"/>
    <x v="0"/>
    <m/>
    <x v="0"/>
    <m/>
    <x v="0"/>
    <x v="0"/>
    <x v="0"/>
    <x v="0"/>
    <x v="0"/>
  </r>
  <r>
    <x v="0"/>
    <x v="2"/>
    <s v="1795 F"/>
    <x v="40"/>
    <s v="سادہ لفافہ"/>
    <s v="LDN"/>
    <n v="16"/>
    <s v="7-7.5"/>
    <s v="پیور"/>
    <n v="22"/>
    <x v="0"/>
    <n v="1"/>
    <n v="60.8"/>
    <n v="1.9"/>
    <n v="7"/>
    <x v="0"/>
    <n v="58.9"/>
    <m/>
    <m/>
    <x v="0"/>
    <x v="0"/>
    <m/>
    <m/>
    <x v="0"/>
    <x v="0"/>
    <m/>
    <x v="0"/>
    <x v="0"/>
    <x v="0"/>
    <x v="0"/>
    <x v="0"/>
    <m/>
    <m/>
    <m/>
    <m/>
    <x v="0"/>
    <x v="0"/>
    <m/>
    <x v="0"/>
    <m/>
    <x v="0"/>
    <x v="0"/>
    <x v="0"/>
    <x v="0"/>
    <x v="0"/>
  </r>
  <r>
    <x v="0"/>
    <x v="2"/>
    <s v="1832 F"/>
    <x v="40"/>
    <s v="PLAIN POLY BAG"/>
    <s v="LDN"/>
    <n v="16"/>
    <s v="8"/>
    <s v="پیور"/>
    <n v="50"/>
    <x v="0"/>
    <n v="1"/>
    <n v="53.8"/>
    <n v="1.9"/>
    <m/>
    <x v="0"/>
    <n v="51.9"/>
    <m/>
    <m/>
    <x v="0"/>
    <x v="0"/>
    <m/>
    <m/>
    <x v="0"/>
    <x v="0"/>
    <m/>
    <x v="0"/>
    <x v="0"/>
    <x v="0"/>
    <x v="0"/>
    <x v="0"/>
    <m/>
    <m/>
    <m/>
    <m/>
    <x v="0"/>
    <x v="0"/>
    <m/>
    <x v="0"/>
    <m/>
    <x v="0"/>
    <x v="0"/>
    <x v="0"/>
    <x v="0"/>
    <x v="0"/>
  </r>
  <r>
    <x v="0"/>
    <x v="2"/>
    <s v="1838 F"/>
    <x v="40"/>
    <s v="PLAIN POLY BAG"/>
    <s v="LDN"/>
    <n v="16"/>
    <s v="8"/>
    <s v="پیور"/>
    <n v="75"/>
    <x v="0"/>
    <n v="2"/>
    <n v="70.599999999999994"/>
    <n v="3.8"/>
    <m/>
    <x v="0"/>
    <n v="66.8"/>
    <m/>
    <m/>
    <x v="0"/>
    <x v="0"/>
    <m/>
    <m/>
    <x v="0"/>
    <x v="0"/>
    <m/>
    <x v="0"/>
    <x v="0"/>
    <x v="0"/>
    <x v="0"/>
    <x v="0"/>
    <m/>
    <m/>
    <m/>
    <m/>
    <x v="0"/>
    <x v="0"/>
    <m/>
    <x v="0"/>
    <m/>
    <x v="0"/>
    <x v="0"/>
    <x v="0"/>
    <x v="0"/>
    <x v="0"/>
  </r>
  <r>
    <x v="0"/>
    <x v="2"/>
    <s v="1840 F"/>
    <x v="40"/>
    <s v="PLAIN POLY BAG"/>
    <s v="LDN"/>
    <n v="14"/>
    <s v="8"/>
    <s v="پیور"/>
    <n v="25"/>
    <x v="0"/>
    <n v="1"/>
    <n v="51.8"/>
    <n v="1.8"/>
    <m/>
    <x v="0"/>
    <n v="50"/>
    <m/>
    <m/>
    <x v="0"/>
    <x v="0"/>
    <m/>
    <m/>
    <x v="0"/>
    <x v="0"/>
    <m/>
    <x v="0"/>
    <x v="0"/>
    <x v="0"/>
    <x v="0"/>
    <x v="0"/>
    <m/>
    <m/>
    <m/>
    <m/>
    <x v="0"/>
    <x v="0"/>
    <m/>
    <x v="0"/>
    <m/>
    <x v="0"/>
    <x v="0"/>
    <x v="0"/>
    <x v="0"/>
    <x v="0"/>
  </r>
  <r>
    <x v="1"/>
    <x v="2"/>
    <s v="1849 F"/>
    <x v="40"/>
    <s v="SB LAFAFA"/>
    <s v="LDN"/>
    <n v="14"/>
    <s v="9-9.5"/>
    <s v="-"/>
    <n v="80"/>
    <x v="0"/>
    <n v="2"/>
    <n v="83.4"/>
    <n v="3.2"/>
    <n v="14"/>
    <x v="0"/>
    <n v="80.2"/>
    <m/>
    <m/>
    <x v="0"/>
    <x v="0"/>
    <m/>
    <m/>
    <x v="0"/>
    <x v="0"/>
    <m/>
    <x v="0"/>
    <x v="0"/>
    <x v="0"/>
    <x v="0"/>
    <x v="0"/>
    <m/>
    <m/>
    <m/>
    <m/>
    <x v="0"/>
    <x v="0"/>
    <m/>
    <x v="0"/>
    <m/>
    <x v="0"/>
    <x v="0"/>
    <x v="0"/>
    <x v="0"/>
    <x v="0"/>
  </r>
  <r>
    <x v="1"/>
    <x v="2"/>
    <s v="1863 F"/>
    <x v="40"/>
    <s v="HOOD RICH WARNING"/>
    <s v="-"/>
    <s v="-"/>
    <s v="-"/>
    <s v="-"/>
    <s v="-"/>
    <x v="0"/>
    <n v="2"/>
    <n v="121.4"/>
    <n v="4.5999999999999996"/>
    <m/>
    <x v="0"/>
    <n v="116.80000000000001"/>
    <m/>
    <m/>
    <x v="0"/>
    <x v="0"/>
    <m/>
    <m/>
    <x v="0"/>
    <x v="0"/>
    <m/>
    <x v="0"/>
    <x v="0"/>
    <x v="0"/>
    <x v="0"/>
    <x v="0"/>
    <m/>
    <m/>
    <m/>
    <m/>
    <x v="0"/>
    <x v="0"/>
    <m/>
    <x v="0"/>
    <m/>
    <x v="0"/>
    <x v="0"/>
    <x v="0"/>
    <x v="0"/>
    <x v="0"/>
  </r>
  <r>
    <x v="1"/>
    <x v="2"/>
    <s v="1864 F"/>
    <x v="40"/>
    <s v="COMBINEND WARNING"/>
    <s v="LDN"/>
    <n v="16"/>
    <s v="5-5.5"/>
    <s v="پیور"/>
    <n v="100"/>
    <x v="0"/>
    <n v="2"/>
    <n v="80.2"/>
    <n v="3.6"/>
    <m/>
    <x v="0"/>
    <n v="76.600000000000009"/>
    <m/>
    <m/>
    <x v="0"/>
    <x v="0"/>
    <m/>
    <m/>
    <x v="0"/>
    <x v="0"/>
    <m/>
    <x v="0"/>
    <x v="0"/>
    <x v="0"/>
    <x v="0"/>
    <x v="0"/>
    <m/>
    <m/>
    <m/>
    <m/>
    <x v="0"/>
    <x v="0"/>
    <m/>
    <x v="0"/>
    <m/>
    <x v="0"/>
    <x v="0"/>
    <x v="0"/>
    <x v="0"/>
    <x v="0"/>
  </r>
  <r>
    <x v="0"/>
    <x v="6"/>
    <n v="2766"/>
    <x v="40"/>
    <s v="MATCO FOOD"/>
    <s v="LDN"/>
    <n v="29"/>
    <s v="88 G+-2"/>
    <s v="SL"/>
    <s v="1800 (40 BAG)"/>
    <x v="0"/>
    <n v="1"/>
    <n v="66"/>
    <n v="3.8"/>
    <n v="6"/>
    <x v="0"/>
    <n v="62.2"/>
    <m/>
    <m/>
    <x v="0"/>
    <x v="0"/>
    <m/>
    <m/>
    <x v="0"/>
    <x v="0"/>
    <m/>
    <x v="0"/>
    <x v="0"/>
    <x v="0"/>
    <x v="0"/>
    <x v="0"/>
    <m/>
    <m/>
    <m/>
    <m/>
    <x v="0"/>
    <x v="0"/>
    <m/>
    <x v="0"/>
    <m/>
    <x v="0"/>
    <x v="0"/>
    <x v="0"/>
    <x v="0"/>
    <x v="0"/>
  </r>
  <r>
    <x v="0"/>
    <x v="6"/>
    <n v="2758"/>
    <x v="40"/>
    <s v="SITARA CHEMICAL"/>
    <s v="LDN"/>
    <n v="24"/>
    <s v="100 G"/>
    <s v="SL"/>
    <n v="7500"/>
    <x v="0"/>
    <n v="5"/>
    <n v="534.80000000000007"/>
    <n v="14"/>
    <m/>
    <x v="0"/>
    <n v="520.80000000000007"/>
    <m/>
    <m/>
    <x v="0"/>
    <x v="0"/>
    <m/>
    <m/>
    <x v="0"/>
    <x v="0"/>
    <m/>
    <x v="0"/>
    <x v="0"/>
    <x v="0"/>
    <x v="0"/>
    <x v="0"/>
    <m/>
    <m/>
    <m/>
    <m/>
    <x v="0"/>
    <x v="0"/>
    <m/>
    <x v="0"/>
    <m/>
    <x v="0"/>
    <x v="0"/>
    <x v="0"/>
    <x v="0"/>
    <x v="0"/>
  </r>
  <r>
    <x v="1"/>
    <x v="6"/>
    <n v="2758"/>
    <x v="40"/>
    <s v="SITARA CHEMICAL"/>
    <s v="LDN"/>
    <n v="24"/>
    <s v="100 G"/>
    <s v="SL"/>
    <n v="7500"/>
    <x v="0"/>
    <n v="4"/>
    <n v="479.6"/>
    <n v="11.399999999999999"/>
    <n v="2"/>
    <x v="0"/>
    <n v="468.20000000000005"/>
    <m/>
    <m/>
    <x v="0"/>
    <x v="0"/>
    <m/>
    <m/>
    <x v="0"/>
    <x v="0"/>
    <m/>
    <x v="0"/>
    <x v="0"/>
    <x v="0"/>
    <x v="0"/>
    <x v="0"/>
    <m/>
    <m/>
    <m/>
    <m/>
    <x v="0"/>
    <x v="0"/>
    <m/>
    <x v="0"/>
    <m/>
    <x v="0"/>
    <x v="0"/>
    <x v="0"/>
    <x v="0"/>
    <x v="0"/>
  </r>
  <r>
    <x v="0"/>
    <x v="4"/>
    <s v="3195 J"/>
    <x v="40"/>
    <s v="برجر پینٹ(پیلا) نیو ڈیزائن"/>
    <s v="LD پیلا"/>
    <n v="18"/>
    <s v="-"/>
    <s v="ABA پیور"/>
    <n v="2000"/>
    <x v="0"/>
    <n v="6"/>
    <n v="701.6"/>
    <n v="13.200000000000001"/>
    <n v="40"/>
    <x v="0"/>
    <n v="688.4"/>
    <m/>
    <m/>
    <x v="0"/>
    <x v="0"/>
    <m/>
    <m/>
    <x v="0"/>
    <x v="0"/>
    <m/>
    <x v="0"/>
    <x v="0"/>
    <x v="0"/>
    <x v="0"/>
    <x v="0"/>
    <m/>
    <m/>
    <m/>
    <m/>
    <x v="0"/>
    <x v="0"/>
    <m/>
    <x v="0"/>
    <m/>
    <x v="0"/>
    <x v="0"/>
    <x v="0"/>
    <x v="0"/>
    <x v="0"/>
  </r>
  <r>
    <x v="1"/>
    <x v="4"/>
    <s v="3195 J"/>
    <x v="40"/>
    <s v="برجر پینٹ(پیلا) نیو ڈیزائن"/>
    <s v="LD پیلا"/>
    <n v="18"/>
    <s v="-"/>
    <s v="ABA پیور"/>
    <n v="2000"/>
    <x v="0"/>
    <n v="5"/>
    <n v="713.80000000000007"/>
    <n v="11"/>
    <n v="5"/>
    <x v="0"/>
    <n v="702.80000000000007"/>
    <m/>
    <m/>
    <x v="0"/>
    <x v="0"/>
    <m/>
    <m/>
    <x v="0"/>
    <x v="0"/>
    <m/>
    <x v="0"/>
    <x v="0"/>
    <x v="0"/>
    <x v="0"/>
    <x v="0"/>
    <m/>
    <m/>
    <m/>
    <m/>
    <x v="0"/>
    <x v="0"/>
    <m/>
    <x v="0"/>
    <m/>
    <x v="0"/>
    <x v="0"/>
    <x v="0"/>
    <x v="0"/>
    <x v="0"/>
  </r>
  <r>
    <x v="0"/>
    <x v="5"/>
    <s v="3224 J"/>
    <x v="40"/>
    <s v="CBNF Brand"/>
    <s v="LDN"/>
    <n v="22"/>
    <s v="-"/>
    <s v="پیور"/>
    <n v="160"/>
    <x v="0"/>
    <n v="2"/>
    <n v="111.6"/>
    <n v="5.2"/>
    <n v="7"/>
    <x v="0"/>
    <n v="106.39999999999999"/>
    <m/>
    <m/>
    <x v="0"/>
    <x v="0"/>
    <m/>
    <m/>
    <x v="0"/>
    <x v="0"/>
    <m/>
    <x v="0"/>
    <x v="0"/>
    <x v="0"/>
    <x v="0"/>
    <x v="0"/>
    <m/>
    <m/>
    <m/>
    <m/>
    <x v="0"/>
    <x v="0"/>
    <m/>
    <x v="0"/>
    <m/>
    <x v="0"/>
    <x v="0"/>
    <x v="0"/>
    <x v="0"/>
    <x v="0"/>
  </r>
  <r>
    <x v="0"/>
    <x v="5"/>
    <s v="1867 F"/>
    <x v="40"/>
    <s v="WARNING RYCLE LOGO"/>
    <s v="LDN"/>
    <n v="25"/>
    <s v="7-7.5"/>
    <s v="جیلانی شیٹ"/>
    <n v="130"/>
    <x v="0"/>
    <n v="2"/>
    <n v="137.1"/>
    <n v="6.4"/>
    <m/>
    <x v="0"/>
    <n v="130.69999999999999"/>
    <m/>
    <m/>
    <x v="0"/>
    <x v="0"/>
    <m/>
    <m/>
    <x v="0"/>
    <x v="0"/>
    <m/>
    <x v="0"/>
    <x v="0"/>
    <x v="0"/>
    <x v="0"/>
    <x v="0"/>
    <m/>
    <m/>
    <m/>
    <m/>
    <x v="0"/>
    <x v="0"/>
    <m/>
    <x v="0"/>
    <m/>
    <x v="0"/>
    <x v="0"/>
    <x v="0"/>
    <x v="0"/>
    <x v="0"/>
  </r>
  <r>
    <x v="0"/>
    <x v="5"/>
    <s v="3283 J"/>
    <x v="40"/>
    <s v="Jamal Al Bahrain"/>
    <s v="LDN"/>
    <n v="22"/>
    <s v="-"/>
    <s v="پیور"/>
    <n v="140"/>
    <x v="0"/>
    <n v="3"/>
    <n v="149.5"/>
    <n v="7.8000000000000007"/>
    <m/>
    <x v="0"/>
    <n v="141.69999999999999"/>
    <m/>
    <m/>
    <x v="0"/>
    <x v="0"/>
    <m/>
    <m/>
    <x v="0"/>
    <x v="0"/>
    <m/>
    <x v="0"/>
    <x v="0"/>
    <x v="0"/>
    <x v="0"/>
    <x v="0"/>
    <m/>
    <m/>
    <m/>
    <m/>
    <x v="0"/>
    <x v="0"/>
    <m/>
    <x v="0"/>
    <m/>
    <x v="0"/>
    <x v="0"/>
    <x v="0"/>
    <x v="0"/>
    <x v="0"/>
  </r>
  <r>
    <x v="0"/>
    <x v="0"/>
    <s v="3260 J"/>
    <x v="41"/>
    <s v="U S METAL GOLD"/>
    <s v="LDN"/>
    <n v="4"/>
    <n v="10"/>
    <s v="پیور"/>
    <n v="100"/>
    <x v="0"/>
    <n v="2"/>
    <n v="81"/>
    <n v="1.7999999999999998"/>
    <n v="2"/>
    <x v="0"/>
    <n v="79.2"/>
    <m/>
    <m/>
    <x v="0"/>
    <x v="0"/>
    <m/>
    <m/>
    <x v="0"/>
    <x v="0"/>
    <m/>
    <x v="0"/>
    <x v="0"/>
    <x v="0"/>
    <x v="0"/>
    <x v="0"/>
    <m/>
    <m/>
    <m/>
    <m/>
    <x v="0"/>
    <x v="0"/>
    <m/>
    <x v="0"/>
    <m/>
    <x v="0"/>
    <x v="0"/>
    <x v="0"/>
    <x v="0"/>
    <x v="0"/>
  </r>
  <r>
    <x v="0"/>
    <x v="0"/>
    <s v="3257 J"/>
    <x v="41"/>
    <s v="Golda Aluminium"/>
    <s v="LDN"/>
    <n v="5"/>
    <n v="10"/>
    <s v="پیور"/>
    <n v="100"/>
    <x v="0"/>
    <n v="1"/>
    <n v="34.6"/>
    <n v="0.7"/>
    <m/>
    <x v="0"/>
    <n v="33.9"/>
    <m/>
    <m/>
    <x v="0"/>
    <x v="0"/>
    <m/>
    <m/>
    <x v="0"/>
    <x v="0"/>
    <m/>
    <x v="0"/>
    <x v="0"/>
    <x v="0"/>
    <x v="0"/>
    <x v="0"/>
    <m/>
    <m/>
    <m/>
    <m/>
    <x v="0"/>
    <x v="0"/>
    <m/>
    <x v="0"/>
    <m/>
    <x v="0"/>
    <x v="0"/>
    <x v="0"/>
    <x v="0"/>
    <x v="0"/>
  </r>
  <r>
    <x v="1"/>
    <x v="0"/>
    <s v="3257 J"/>
    <x v="41"/>
    <s v="Golda Aluminium"/>
    <s v="LDN"/>
    <n v="5"/>
    <n v="10"/>
    <s v="پیور"/>
    <n v="100"/>
    <x v="0"/>
    <n v="2"/>
    <n v="75.199999999999989"/>
    <n v="1.8"/>
    <m/>
    <x v="0"/>
    <n v="73.399999999999991"/>
    <m/>
    <m/>
    <x v="0"/>
    <x v="0"/>
    <m/>
    <m/>
    <x v="0"/>
    <x v="0"/>
    <m/>
    <x v="0"/>
    <x v="0"/>
    <x v="0"/>
    <x v="0"/>
    <x v="0"/>
    <m/>
    <m/>
    <m/>
    <m/>
    <x v="0"/>
    <x v="0"/>
    <m/>
    <x v="0"/>
    <m/>
    <x v="0"/>
    <x v="0"/>
    <x v="0"/>
    <x v="0"/>
    <x v="0"/>
  </r>
  <r>
    <x v="1"/>
    <x v="0"/>
    <s v="3261 J"/>
    <x v="41"/>
    <s v="U S METAL GOLD"/>
    <s v="LDN"/>
    <n v="5"/>
    <n v="10"/>
    <s v="پیور"/>
    <n v="100"/>
    <x v="0"/>
    <n v="3"/>
    <n v="105"/>
    <n v="2.6"/>
    <m/>
    <x v="0"/>
    <n v="102.4"/>
    <m/>
    <m/>
    <x v="0"/>
    <x v="0"/>
    <m/>
    <m/>
    <x v="0"/>
    <x v="0"/>
    <m/>
    <x v="0"/>
    <x v="0"/>
    <x v="0"/>
    <x v="0"/>
    <x v="0"/>
    <m/>
    <m/>
    <m/>
    <m/>
    <x v="0"/>
    <x v="0"/>
    <m/>
    <x v="0"/>
    <m/>
    <x v="0"/>
    <x v="0"/>
    <x v="0"/>
    <x v="0"/>
    <x v="0"/>
  </r>
  <r>
    <x v="0"/>
    <x v="3"/>
    <s v="1864 F"/>
    <x v="41"/>
    <s v="COMBINEND WARNING"/>
    <s v="LDN"/>
    <n v="16"/>
    <s v="5-5.5"/>
    <s v="پیور"/>
    <n v="100"/>
    <x v="0"/>
    <n v="1"/>
    <n v="25.2"/>
    <n v="1.8"/>
    <n v="2"/>
    <x v="0"/>
    <n v="23.4"/>
    <m/>
    <m/>
    <x v="0"/>
    <x v="0"/>
    <m/>
    <m/>
    <x v="0"/>
    <x v="0"/>
    <m/>
    <x v="0"/>
    <x v="0"/>
    <x v="0"/>
    <x v="0"/>
    <x v="0"/>
    <m/>
    <m/>
    <m/>
    <m/>
    <x v="0"/>
    <x v="0"/>
    <m/>
    <x v="0"/>
    <m/>
    <x v="0"/>
    <x v="0"/>
    <x v="0"/>
    <x v="0"/>
    <x v="0"/>
  </r>
  <r>
    <x v="0"/>
    <x v="3"/>
    <s v="1866 F"/>
    <x v="41"/>
    <s v="COMBINEND WARNING"/>
    <s v="LDN"/>
    <n v="16"/>
    <s v="5-5.5"/>
    <s v="پیور"/>
    <n v="160"/>
    <x v="0"/>
    <n v="4"/>
    <n v="161.79999999999998"/>
    <n v="7.2"/>
    <m/>
    <x v="0"/>
    <n v="154.6"/>
    <m/>
    <m/>
    <x v="0"/>
    <x v="0"/>
    <m/>
    <m/>
    <x v="0"/>
    <x v="0"/>
    <m/>
    <x v="0"/>
    <x v="0"/>
    <x v="0"/>
    <x v="0"/>
    <x v="0"/>
    <m/>
    <m/>
    <m/>
    <m/>
    <x v="0"/>
    <x v="0"/>
    <m/>
    <x v="0"/>
    <m/>
    <x v="0"/>
    <x v="0"/>
    <x v="0"/>
    <x v="0"/>
    <x v="0"/>
  </r>
  <r>
    <x v="0"/>
    <x v="3"/>
    <s v="1865 F"/>
    <x v="41"/>
    <s v="COMBINEND WARNING"/>
    <s v="LDN"/>
    <n v="15"/>
    <s v="5-5.5"/>
    <s v="پیور"/>
    <n v="95"/>
    <x v="0"/>
    <n v="1"/>
    <n v="36.799999999999997"/>
    <n v="1.7"/>
    <m/>
    <x v="0"/>
    <n v="35.099999999999994"/>
    <m/>
    <m/>
    <x v="0"/>
    <x v="0"/>
    <m/>
    <m/>
    <x v="0"/>
    <x v="0"/>
    <m/>
    <x v="0"/>
    <x v="0"/>
    <x v="0"/>
    <x v="0"/>
    <x v="0"/>
    <m/>
    <m/>
    <m/>
    <m/>
    <x v="0"/>
    <x v="0"/>
    <m/>
    <x v="0"/>
    <m/>
    <x v="0"/>
    <x v="0"/>
    <x v="0"/>
    <x v="0"/>
    <x v="0"/>
  </r>
  <r>
    <x v="1"/>
    <x v="3"/>
    <s v="1865 F"/>
    <x v="41"/>
    <s v="COMBINEND WARNING"/>
    <s v="LDN"/>
    <n v="15"/>
    <s v="5-5.5"/>
    <s v="پیور"/>
    <n v="95"/>
    <x v="0"/>
    <n v="2"/>
    <n v="66.2"/>
    <n v="3.6"/>
    <n v="5"/>
    <x v="0"/>
    <n v="62.6"/>
    <m/>
    <m/>
    <x v="0"/>
    <x v="0"/>
    <m/>
    <m/>
    <x v="0"/>
    <x v="0"/>
    <m/>
    <x v="0"/>
    <x v="0"/>
    <x v="0"/>
    <x v="0"/>
    <x v="0"/>
    <m/>
    <m/>
    <m/>
    <m/>
    <x v="0"/>
    <x v="0"/>
    <m/>
    <x v="0"/>
    <m/>
    <x v="0"/>
    <x v="0"/>
    <x v="0"/>
    <x v="0"/>
    <x v="0"/>
  </r>
  <r>
    <x v="1"/>
    <x v="3"/>
    <s v="1871 F"/>
    <x v="41"/>
    <s v="PLAIN POLY BAG"/>
    <s v="LDN"/>
    <n v="16"/>
    <s v="8"/>
    <s v="پیور"/>
    <n v="200"/>
    <x v="0"/>
    <n v="3"/>
    <n v="157.6"/>
    <n v="5.6999999999999993"/>
    <m/>
    <x v="0"/>
    <n v="151.9"/>
    <m/>
    <m/>
    <x v="0"/>
    <x v="0"/>
    <m/>
    <m/>
    <x v="0"/>
    <x v="0"/>
    <m/>
    <x v="0"/>
    <x v="0"/>
    <x v="0"/>
    <x v="0"/>
    <x v="0"/>
    <m/>
    <m/>
    <m/>
    <m/>
    <x v="0"/>
    <x v="0"/>
    <m/>
    <x v="0"/>
    <m/>
    <x v="0"/>
    <x v="0"/>
    <x v="0"/>
    <x v="0"/>
    <x v="0"/>
  </r>
  <r>
    <x v="0"/>
    <x v="6"/>
    <n v="2758"/>
    <x v="41"/>
    <s v="SITARA CHEMICAL"/>
    <s v="LDN"/>
    <n v="24"/>
    <s v="100 G"/>
    <s v="SL"/>
    <n v="7500"/>
    <x v="0"/>
    <n v="1"/>
    <n v="83.2"/>
    <n v="3"/>
    <n v="16"/>
    <x v="0"/>
    <n v="80.2"/>
    <m/>
    <m/>
    <x v="0"/>
    <x v="0"/>
    <m/>
    <m/>
    <x v="0"/>
    <x v="0"/>
    <m/>
    <x v="0"/>
    <x v="0"/>
    <x v="0"/>
    <x v="0"/>
    <x v="0"/>
    <m/>
    <m/>
    <m/>
    <m/>
    <x v="0"/>
    <x v="0"/>
    <m/>
    <x v="0"/>
    <m/>
    <x v="0"/>
    <x v="0"/>
    <x v="0"/>
    <x v="0"/>
    <x v="0"/>
  </r>
  <r>
    <x v="0"/>
    <x v="6"/>
    <n v="2769"/>
    <x v="41"/>
    <s v="MATCO FOOD"/>
    <s v="LDN"/>
    <s v="23-23.5"/>
    <s v="70 G+-1"/>
    <s v="SL"/>
    <s v="3500 (100 BAG)"/>
    <x v="0"/>
    <n v="3"/>
    <n v="303.60000000000002"/>
    <n v="8.3999999999999986"/>
    <m/>
    <x v="0"/>
    <n v="295.20000000000005"/>
    <m/>
    <m/>
    <x v="0"/>
    <x v="0"/>
    <m/>
    <m/>
    <x v="0"/>
    <x v="0"/>
    <m/>
    <x v="0"/>
    <x v="0"/>
    <x v="0"/>
    <x v="0"/>
    <x v="0"/>
    <m/>
    <m/>
    <m/>
    <m/>
    <x v="0"/>
    <x v="0"/>
    <m/>
    <x v="0"/>
    <m/>
    <x v="0"/>
    <x v="0"/>
    <x v="0"/>
    <x v="0"/>
    <x v="0"/>
  </r>
  <r>
    <x v="0"/>
    <x v="6"/>
    <s v="1872 F"/>
    <x v="41"/>
    <s v="BOLSA WARINING"/>
    <s v="LDN"/>
    <n v="23"/>
    <s v="7"/>
    <s v="جیلانی شیٹ"/>
    <n v="92"/>
    <x v="0"/>
    <n v="2"/>
    <n v="95"/>
    <n v="5.2"/>
    <m/>
    <x v="0"/>
    <n v="89.8"/>
    <m/>
    <m/>
    <x v="0"/>
    <x v="0"/>
    <m/>
    <m/>
    <x v="0"/>
    <x v="0"/>
    <m/>
    <x v="0"/>
    <x v="0"/>
    <x v="0"/>
    <x v="0"/>
    <x v="0"/>
    <m/>
    <m/>
    <m/>
    <m/>
    <x v="0"/>
    <x v="0"/>
    <m/>
    <x v="0"/>
    <m/>
    <x v="0"/>
    <x v="0"/>
    <x v="0"/>
    <x v="0"/>
    <x v="0"/>
  </r>
  <r>
    <x v="0"/>
    <x v="6"/>
    <s v="1869 F"/>
    <x v="41"/>
    <s v="DUBBLE TREAT ROLL"/>
    <s v="LDN"/>
    <n v="21"/>
    <s v="6-6.5"/>
    <s v="پیور"/>
    <n v="600"/>
    <x v="0"/>
    <n v="2"/>
    <n v="75.400000000000006"/>
    <n v="4.4000000000000004"/>
    <m/>
    <x v="0"/>
    <n v="71"/>
    <m/>
    <m/>
    <x v="0"/>
    <x v="0"/>
    <m/>
    <m/>
    <x v="0"/>
    <x v="0"/>
    <m/>
    <x v="0"/>
    <x v="0"/>
    <x v="0"/>
    <x v="0"/>
    <x v="0"/>
    <m/>
    <m/>
    <m/>
    <m/>
    <x v="0"/>
    <x v="0"/>
    <m/>
    <x v="0"/>
    <m/>
    <x v="0"/>
    <x v="0"/>
    <x v="0"/>
    <x v="0"/>
    <x v="0"/>
  </r>
  <r>
    <x v="1"/>
    <x v="6"/>
    <s v="1869 F"/>
    <x v="41"/>
    <s v="DUBBLE TREAT ROLL"/>
    <s v="LDN"/>
    <n v="21"/>
    <s v="6-6.5"/>
    <s v="پیور"/>
    <n v="600"/>
    <x v="0"/>
    <n v="11"/>
    <n v="502.90000000000003"/>
    <n v="28.6"/>
    <m/>
    <x v="0"/>
    <n v="474.3"/>
    <m/>
    <m/>
    <x v="0"/>
    <x v="0"/>
    <m/>
    <m/>
    <x v="0"/>
    <x v="0"/>
    <m/>
    <x v="0"/>
    <x v="0"/>
    <x v="0"/>
    <x v="0"/>
    <x v="0"/>
    <m/>
    <m/>
    <m/>
    <m/>
    <x v="0"/>
    <x v="0"/>
    <m/>
    <x v="0"/>
    <m/>
    <x v="0"/>
    <x v="0"/>
    <x v="0"/>
    <x v="0"/>
    <x v="0"/>
  </r>
  <r>
    <x v="0"/>
    <x v="4"/>
    <s v="3195 J"/>
    <x v="41"/>
    <s v="برجر پینٹ(پیلا) نیو ڈیزائن"/>
    <s v="LD پیلا"/>
    <n v="18"/>
    <s v="-"/>
    <s v="ABA پیور"/>
    <n v="2000"/>
    <x v="0"/>
    <n v="5"/>
    <n v="552.4"/>
    <n v="11"/>
    <n v="13"/>
    <x v="0"/>
    <n v="541.4"/>
    <m/>
    <m/>
    <x v="0"/>
    <x v="0"/>
    <m/>
    <m/>
    <x v="0"/>
    <x v="0"/>
    <m/>
    <x v="0"/>
    <x v="0"/>
    <x v="0"/>
    <x v="0"/>
    <x v="0"/>
    <m/>
    <m/>
    <m/>
    <m/>
    <x v="0"/>
    <x v="0"/>
    <m/>
    <x v="0"/>
    <m/>
    <x v="0"/>
    <x v="0"/>
    <x v="0"/>
    <x v="0"/>
    <x v="0"/>
  </r>
  <r>
    <x v="0"/>
    <x v="4"/>
    <s v="PACKING"/>
    <x v="41"/>
    <s v="-"/>
    <s v="-"/>
    <s v="-"/>
    <s v="-"/>
    <s v="-"/>
    <s v="-"/>
    <x v="0"/>
    <n v="1"/>
    <n v="80"/>
    <n v="3.2"/>
    <m/>
    <x v="0"/>
    <n v="76.8"/>
    <m/>
    <m/>
    <x v="0"/>
    <x v="0"/>
    <m/>
    <m/>
    <x v="0"/>
    <x v="0"/>
    <m/>
    <x v="0"/>
    <x v="0"/>
    <x v="0"/>
    <x v="0"/>
    <x v="0"/>
    <m/>
    <m/>
    <m/>
    <m/>
    <x v="0"/>
    <x v="0"/>
    <m/>
    <x v="0"/>
    <m/>
    <x v="0"/>
    <x v="0"/>
    <x v="0"/>
    <x v="0"/>
    <x v="0"/>
  </r>
  <r>
    <x v="1"/>
    <x v="4"/>
    <s v="3196 J"/>
    <x v="41"/>
    <s v="برجر پینٹ (وائیٹ)"/>
    <s v="LDM"/>
    <n v="18"/>
    <s v="-"/>
    <s v="ABA پیور"/>
    <n v="600"/>
    <x v="0"/>
    <n v="4"/>
    <n v="460.6"/>
    <n v="9.6"/>
    <n v="35"/>
    <x v="0"/>
    <n v="451"/>
    <m/>
    <m/>
    <x v="0"/>
    <x v="0"/>
    <m/>
    <m/>
    <x v="0"/>
    <x v="0"/>
    <m/>
    <x v="0"/>
    <x v="0"/>
    <x v="0"/>
    <x v="0"/>
    <x v="0"/>
    <m/>
    <m/>
    <m/>
    <m/>
    <x v="0"/>
    <x v="0"/>
    <m/>
    <x v="0"/>
    <m/>
    <x v="0"/>
    <x v="0"/>
    <x v="0"/>
    <x v="0"/>
    <x v="0"/>
  </r>
  <r>
    <x v="1"/>
    <x v="4"/>
    <s v="PACKING"/>
    <x v="41"/>
    <s v="-"/>
    <s v="-"/>
    <s v="-"/>
    <s v="-"/>
    <s v="-"/>
    <s v="-"/>
    <x v="0"/>
    <n v="1"/>
    <n v="75"/>
    <n v="3.4"/>
    <m/>
    <x v="0"/>
    <n v="71.599999999999994"/>
    <m/>
    <m/>
    <x v="0"/>
    <x v="0"/>
    <m/>
    <m/>
    <x v="0"/>
    <x v="0"/>
    <m/>
    <x v="0"/>
    <x v="0"/>
    <x v="0"/>
    <x v="0"/>
    <x v="0"/>
    <m/>
    <m/>
    <m/>
    <m/>
    <x v="0"/>
    <x v="0"/>
    <m/>
    <x v="0"/>
    <m/>
    <x v="0"/>
    <x v="0"/>
    <x v="0"/>
    <x v="0"/>
    <x v="0"/>
  </r>
  <r>
    <x v="0"/>
    <x v="0"/>
    <s v="3262 J"/>
    <x v="42"/>
    <s v="U S METAL GOLD"/>
    <s v="LDN"/>
    <n v="6"/>
    <n v="10"/>
    <s v="پیور"/>
    <n v="100"/>
    <x v="0"/>
    <n v="2"/>
    <n v="68.8"/>
    <n v="1.6"/>
    <n v="5"/>
    <x v="0"/>
    <n v="67.2"/>
    <m/>
    <m/>
    <x v="0"/>
    <x v="0"/>
    <m/>
    <m/>
    <x v="0"/>
    <x v="0"/>
    <m/>
    <x v="0"/>
    <x v="0"/>
    <x v="0"/>
    <x v="0"/>
    <x v="0"/>
    <m/>
    <m/>
    <m/>
    <m/>
    <x v="0"/>
    <x v="0"/>
    <m/>
    <x v="0"/>
    <m/>
    <x v="0"/>
    <x v="0"/>
    <x v="0"/>
    <x v="0"/>
    <x v="0"/>
  </r>
  <r>
    <x v="0"/>
    <x v="0"/>
    <s v="3319 J"/>
    <x v="42"/>
    <s v="Atlas Honda LTD (SKP)"/>
    <s v="LDN"/>
    <n v="13"/>
    <s v="8.5-9"/>
    <s v="LDN"/>
    <n v="0"/>
    <x v="0"/>
    <n v="1"/>
    <n v="57.4"/>
    <n v="1.6"/>
    <m/>
    <x v="0"/>
    <n v="55.8"/>
    <m/>
    <m/>
    <x v="0"/>
    <x v="0"/>
    <m/>
    <m/>
    <x v="0"/>
    <x v="0"/>
    <m/>
    <x v="0"/>
    <x v="0"/>
    <x v="0"/>
    <x v="0"/>
    <x v="0"/>
    <m/>
    <m/>
    <m/>
    <m/>
    <x v="0"/>
    <x v="0"/>
    <m/>
    <x v="0"/>
    <m/>
    <x v="0"/>
    <x v="0"/>
    <x v="0"/>
    <x v="0"/>
    <x v="0"/>
  </r>
  <r>
    <x v="1"/>
    <x v="0"/>
    <s v="3319 J"/>
    <x v="42"/>
    <s v="Atlas Honda LTD (SKP)"/>
    <s v="LDN"/>
    <n v="13"/>
    <s v="8.5-9"/>
    <s v="LDN"/>
    <n v="0"/>
    <x v="0"/>
    <n v="1"/>
    <n v="73.599999999999994"/>
    <n v="1.8"/>
    <n v="3"/>
    <x v="0"/>
    <n v="71.8"/>
    <m/>
    <m/>
    <x v="0"/>
    <x v="0"/>
    <m/>
    <m/>
    <x v="0"/>
    <x v="0"/>
    <m/>
    <x v="0"/>
    <x v="0"/>
    <x v="0"/>
    <x v="0"/>
    <x v="0"/>
    <m/>
    <m/>
    <m/>
    <m/>
    <x v="0"/>
    <x v="0"/>
    <m/>
    <x v="0"/>
    <m/>
    <x v="0"/>
    <x v="0"/>
    <x v="0"/>
    <x v="0"/>
    <x v="0"/>
  </r>
  <r>
    <x v="1"/>
    <x v="0"/>
    <s v="3277 J"/>
    <x v="42"/>
    <s v="Mitue Hydraulic Brake"/>
    <s v="LDN"/>
    <n v="12"/>
    <s v="12-12.5"/>
    <s v="پیور"/>
    <n v="100"/>
    <x v="0"/>
    <n v="2"/>
    <n v="105.80000000000001"/>
    <n v="3.3"/>
    <m/>
    <x v="0"/>
    <n v="102.50000000000001"/>
    <m/>
    <m/>
    <x v="0"/>
    <x v="0"/>
    <m/>
    <m/>
    <x v="0"/>
    <x v="0"/>
    <m/>
    <x v="0"/>
    <x v="0"/>
    <x v="0"/>
    <x v="0"/>
    <x v="0"/>
    <m/>
    <m/>
    <m/>
    <m/>
    <x v="0"/>
    <x v="0"/>
    <m/>
    <x v="0"/>
    <m/>
    <x v="0"/>
    <x v="0"/>
    <x v="0"/>
    <x v="0"/>
    <x v="0"/>
  </r>
  <r>
    <x v="1"/>
    <x v="0"/>
    <s v="3276 J"/>
    <x v="42"/>
    <s v="U and T Geniun Parts"/>
    <s v="LDN"/>
    <n v="12"/>
    <s v="12-12.5"/>
    <s v="پیور"/>
    <n v="100"/>
    <x v="0"/>
    <n v="1"/>
    <n v="50.8"/>
    <n v="0.12"/>
    <m/>
    <x v="0"/>
    <n v="50.68"/>
    <m/>
    <m/>
    <x v="0"/>
    <x v="0"/>
    <m/>
    <m/>
    <x v="0"/>
    <x v="0"/>
    <m/>
    <x v="0"/>
    <x v="0"/>
    <x v="0"/>
    <x v="0"/>
    <x v="0"/>
    <m/>
    <m/>
    <m/>
    <m/>
    <x v="0"/>
    <x v="0"/>
    <m/>
    <x v="0"/>
    <m/>
    <x v="0"/>
    <x v="0"/>
    <x v="0"/>
    <x v="0"/>
    <x v="0"/>
  </r>
  <r>
    <x v="0"/>
    <x v="3"/>
    <s v="1871 F"/>
    <x v="42"/>
    <s v="PLAIN POLY BAG"/>
    <s v="LDN"/>
    <n v="16"/>
    <s v="8"/>
    <s v="پیور"/>
    <n v="200"/>
    <x v="0"/>
    <n v="1"/>
    <n v="53"/>
    <n v="1.2"/>
    <n v="3"/>
    <x v="0"/>
    <n v="51.8"/>
    <m/>
    <m/>
    <x v="0"/>
    <x v="0"/>
    <m/>
    <m/>
    <x v="0"/>
    <x v="0"/>
    <m/>
    <x v="0"/>
    <x v="0"/>
    <x v="0"/>
    <x v="0"/>
    <x v="0"/>
    <m/>
    <m/>
    <m/>
    <m/>
    <x v="0"/>
    <x v="0"/>
    <m/>
    <x v="0"/>
    <m/>
    <x v="0"/>
    <x v="0"/>
    <x v="0"/>
    <x v="0"/>
    <x v="0"/>
  </r>
  <r>
    <x v="0"/>
    <x v="3"/>
    <s v="1785 F"/>
    <x v="42"/>
    <s v=" پائیپر وارننگ"/>
    <s v="LDN"/>
    <n v="17"/>
    <s v="7"/>
    <s v="جیلانی شیٹ"/>
    <n v="250"/>
    <x v="0"/>
    <n v="4"/>
    <n v="215.2"/>
    <n v="8"/>
    <m/>
    <x v="0"/>
    <n v="207.2"/>
    <m/>
    <m/>
    <x v="0"/>
    <x v="0"/>
    <m/>
    <m/>
    <x v="0"/>
    <x v="0"/>
    <m/>
    <x v="0"/>
    <x v="0"/>
    <x v="0"/>
    <x v="0"/>
    <x v="0"/>
    <m/>
    <m/>
    <m/>
    <m/>
    <x v="0"/>
    <x v="0"/>
    <m/>
    <x v="0"/>
    <m/>
    <x v="0"/>
    <x v="0"/>
    <x v="0"/>
    <x v="0"/>
    <x v="0"/>
  </r>
  <r>
    <x v="1"/>
    <x v="3"/>
    <s v="1785 F"/>
    <x v="42"/>
    <s v=" پائیپر وارننگ"/>
    <s v="LDN"/>
    <n v="17"/>
    <s v="7"/>
    <s v="جیلانی شیٹ"/>
    <n v="250"/>
    <x v="0"/>
    <n v="1"/>
    <n v="55.6"/>
    <n v="4"/>
    <m/>
    <x v="0"/>
    <n v="51.6"/>
    <m/>
    <m/>
    <x v="0"/>
    <x v="0"/>
    <m/>
    <m/>
    <x v="0"/>
    <x v="0"/>
    <m/>
    <x v="0"/>
    <x v="0"/>
    <x v="0"/>
    <x v="0"/>
    <x v="0"/>
    <m/>
    <m/>
    <m/>
    <m/>
    <x v="0"/>
    <x v="0"/>
    <m/>
    <x v="0"/>
    <m/>
    <x v="0"/>
    <x v="0"/>
    <x v="0"/>
    <x v="0"/>
    <x v="0"/>
  </r>
  <r>
    <x v="1"/>
    <x v="3"/>
    <s v="1784 F"/>
    <x v="42"/>
    <s v=" پائیپر وارننگ"/>
    <s v="LDN"/>
    <n v="17"/>
    <s v="7"/>
    <s v="جیلانی شیٹ"/>
    <n v="450"/>
    <x v="0"/>
    <n v="3"/>
    <n v="167.2"/>
    <n v="6.3000000000000007"/>
    <m/>
    <x v="0"/>
    <n v="160.89999999999998"/>
    <m/>
    <m/>
    <x v="0"/>
    <x v="0"/>
    <m/>
    <m/>
    <x v="0"/>
    <x v="0"/>
    <m/>
    <x v="0"/>
    <x v="0"/>
    <x v="0"/>
    <x v="0"/>
    <x v="0"/>
    <m/>
    <m/>
    <m/>
    <m/>
    <x v="0"/>
    <x v="0"/>
    <m/>
    <x v="0"/>
    <m/>
    <x v="0"/>
    <x v="0"/>
    <x v="0"/>
    <x v="0"/>
    <x v="0"/>
  </r>
  <r>
    <x v="0"/>
    <x v="6"/>
    <s v="1869 F"/>
    <x v="42"/>
    <s v="DUBBLE TREAT ROLL"/>
    <s v="LDN"/>
    <n v="21"/>
    <s v="6-6.5"/>
    <s v="پیور"/>
    <n v="600"/>
    <x v="0"/>
    <n v="1"/>
    <n v="53.6"/>
    <n v="2.6"/>
    <n v="9.1999999999999993"/>
    <x v="0"/>
    <n v="51"/>
    <m/>
    <m/>
    <x v="0"/>
    <x v="0"/>
    <m/>
    <m/>
    <x v="0"/>
    <x v="0"/>
    <m/>
    <x v="0"/>
    <x v="0"/>
    <x v="0"/>
    <x v="0"/>
    <x v="0"/>
    <m/>
    <m/>
    <m/>
    <m/>
    <x v="0"/>
    <x v="0"/>
    <m/>
    <x v="0"/>
    <m/>
    <x v="0"/>
    <x v="0"/>
    <x v="0"/>
    <x v="0"/>
    <x v="0"/>
  </r>
  <r>
    <x v="0"/>
    <x v="6"/>
    <s v="1868 F"/>
    <x v="42"/>
    <s v="DUBBLE TREAT ROLL"/>
    <s v="LDN"/>
    <n v="20"/>
    <s v="7-7.5"/>
    <s v="پیور"/>
    <n v="100"/>
    <x v="0"/>
    <n v="2"/>
    <n v="99.6"/>
    <n v="5"/>
    <m/>
    <x v="0"/>
    <n v="94.6"/>
    <m/>
    <m/>
    <x v="0"/>
    <x v="0"/>
    <m/>
    <m/>
    <x v="0"/>
    <x v="0"/>
    <m/>
    <x v="0"/>
    <x v="0"/>
    <x v="0"/>
    <x v="0"/>
    <x v="0"/>
    <m/>
    <m/>
    <m/>
    <m/>
    <x v="0"/>
    <x v="0"/>
    <m/>
    <x v="0"/>
    <m/>
    <x v="0"/>
    <x v="0"/>
    <x v="0"/>
    <x v="0"/>
    <x v="0"/>
  </r>
  <r>
    <x v="0"/>
    <x v="6"/>
    <s v="1873 F"/>
    <x v="42"/>
    <s v="DUBBLE TREAT ROLL"/>
    <s v="LDN"/>
    <n v="21"/>
    <s v="7-7.5"/>
    <s v="پیور"/>
    <n v="300"/>
    <x v="0"/>
    <n v="5"/>
    <n v="240.2"/>
    <n v="13"/>
    <m/>
    <x v="0"/>
    <n v="227.2"/>
    <m/>
    <m/>
    <x v="0"/>
    <x v="0"/>
    <m/>
    <m/>
    <x v="0"/>
    <x v="0"/>
    <m/>
    <x v="0"/>
    <x v="0"/>
    <x v="0"/>
    <x v="0"/>
    <x v="0"/>
    <m/>
    <m/>
    <m/>
    <m/>
    <x v="0"/>
    <x v="0"/>
    <m/>
    <x v="0"/>
    <m/>
    <x v="0"/>
    <x v="0"/>
    <x v="0"/>
    <x v="0"/>
    <x v="0"/>
  </r>
  <r>
    <x v="1"/>
    <x v="6"/>
    <s v="1873 F"/>
    <x v="42"/>
    <s v="DUBBLE TREAT ROLL"/>
    <s v="LDN"/>
    <n v="21"/>
    <s v="7-7.5"/>
    <s v="پیور"/>
    <n v="300"/>
    <x v="0"/>
    <n v="2"/>
    <n v="87"/>
    <n v="5.2"/>
    <n v="10"/>
    <x v="0"/>
    <n v="81.8"/>
    <m/>
    <m/>
    <x v="0"/>
    <x v="0"/>
    <m/>
    <m/>
    <x v="0"/>
    <x v="0"/>
    <m/>
    <x v="0"/>
    <x v="0"/>
    <x v="0"/>
    <x v="0"/>
    <x v="0"/>
    <m/>
    <m/>
    <m/>
    <m/>
    <x v="0"/>
    <x v="0"/>
    <m/>
    <x v="0"/>
    <m/>
    <x v="0"/>
    <x v="0"/>
    <x v="0"/>
    <x v="0"/>
    <x v="0"/>
  </r>
  <r>
    <x v="1"/>
    <x v="6"/>
    <n v="2769"/>
    <x v="42"/>
    <s v="MATCO FOOD"/>
    <s v="LDN"/>
    <s v="23-23.5"/>
    <s v="70 G+-1"/>
    <s v="SL"/>
    <s v="3500 (100 BAG)"/>
    <x v="0"/>
    <n v="4"/>
    <n v="383.20000000000005"/>
    <n v="10.4"/>
    <m/>
    <x v="0"/>
    <n v="372.80000000000007"/>
    <m/>
    <m/>
    <x v="0"/>
    <x v="0"/>
    <m/>
    <m/>
    <x v="0"/>
    <x v="0"/>
    <m/>
    <x v="0"/>
    <x v="0"/>
    <x v="0"/>
    <x v="0"/>
    <x v="0"/>
    <m/>
    <m/>
    <m/>
    <m/>
    <x v="0"/>
    <x v="0"/>
    <m/>
    <x v="0"/>
    <m/>
    <x v="0"/>
    <x v="0"/>
    <x v="0"/>
    <x v="0"/>
    <x v="0"/>
  </r>
  <r>
    <x v="0"/>
    <x v="4"/>
    <s v="3196 J"/>
    <x v="42"/>
    <s v="برجر پینٹ (وائیٹ)"/>
    <s v="LDM"/>
    <n v="18"/>
    <s v="-"/>
    <s v="ABA پیور"/>
    <n v="600"/>
    <x v="0"/>
    <n v="1"/>
    <n v="173"/>
    <n v="2.2000000000000002"/>
    <n v="40"/>
    <x v="0"/>
    <n v="170.8"/>
    <m/>
    <m/>
    <x v="0"/>
    <x v="0"/>
    <m/>
    <m/>
    <x v="0"/>
    <x v="0"/>
    <m/>
    <x v="0"/>
    <x v="0"/>
    <x v="0"/>
    <x v="0"/>
    <x v="0"/>
    <m/>
    <m/>
    <m/>
    <m/>
    <x v="0"/>
    <x v="0"/>
    <m/>
    <x v="0"/>
    <m/>
    <x v="0"/>
    <x v="0"/>
    <x v="0"/>
    <x v="0"/>
    <x v="0"/>
  </r>
  <r>
    <x v="0"/>
    <x v="4"/>
    <s v="3225 J"/>
    <x v="42"/>
    <s v="Binaris Cloth House "/>
    <s v="LDM"/>
    <n v="18"/>
    <s v="14-15"/>
    <s v="ABA پیور"/>
    <n v="100"/>
    <x v="0"/>
    <n v="2"/>
    <n v="113.4"/>
    <n v="4.4000000000000004"/>
    <m/>
    <x v="0"/>
    <n v="109"/>
    <m/>
    <m/>
    <x v="0"/>
    <x v="0"/>
    <m/>
    <m/>
    <x v="0"/>
    <x v="0"/>
    <m/>
    <x v="0"/>
    <x v="0"/>
    <x v="0"/>
    <x v="0"/>
    <x v="0"/>
    <m/>
    <m/>
    <m/>
    <m/>
    <x v="0"/>
    <x v="0"/>
    <m/>
    <x v="0"/>
    <m/>
    <x v="0"/>
    <x v="0"/>
    <x v="0"/>
    <x v="0"/>
    <x v="0"/>
  </r>
  <r>
    <x v="0"/>
    <x v="4"/>
    <s v="3246 J"/>
    <x v="42"/>
    <s v="K.W.C (Punjab Watch Co and Sale Service )"/>
    <s v="LDM"/>
    <s v="29&quot; شیٹ"/>
    <s v="7.5-8/15-16"/>
    <s v="ABA پیور"/>
    <n v="100"/>
    <x v="0"/>
    <n v="2"/>
    <n v="125.80000000000001"/>
    <n v="7.6"/>
    <m/>
    <x v="0"/>
    <n v="118.20000000000002"/>
    <m/>
    <m/>
    <x v="0"/>
    <x v="0"/>
    <m/>
    <m/>
    <x v="0"/>
    <x v="0"/>
    <m/>
    <x v="0"/>
    <x v="0"/>
    <x v="0"/>
    <x v="0"/>
    <x v="0"/>
    <m/>
    <m/>
    <m/>
    <m/>
    <x v="0"/>
    <x v="0"/>
    <m/>
    <x v="0"/>
    <m/>
    <x v="0"/>
    <x v="0"/>
    <x v="0"/>
    <x v="0"/>
    <x v="0"/>
  </r>
  <r>
    <x v="0"/>
    <x v="4"/>
    <s v="3309 J"/>
    <x v="42"/>
    <s v="United Cookware +Warning"/>
    <s v="LDN"/>
    <n v="32"/>
    <n v="14"/>
    <s v="پیور"/>
    <n v="100"/>
    <x v="0"/>
    <n v="1"/>
    <n v="114.4"/>
    <n v="4"/>
    <m/>
    <x v="0"/>
    <n v="110.4"/>
    <m/>
    <m/>
    <x v="0"/>
    <x v="0"/>
    <m/>
    <m/>
    <x v="0"/>
    <x v="0"/>
    <m/>
    <x v="0"/>
    <x v="0"/>
    <x v="0"/>
    <x v="0"/>
    <x v="0"/>
    <m/>
    <m/>
    <m/>
    <m/>
    <x v="0"/>
    <x v="0"/>
    <m/>
    <x v="0"/>
    <m/>
    <x v="0"/>
    <x v="0"/>
    <x v="0"/>
    <x v="0"/>
    <x v="0"/>
  </r>
  <r>
    <x v="0"/>
    <x v="4"/>
    <s v="3308 J"/>
    <x v="42"/>
    <s v="United Cookware +Warning"/>
    <s v="LDN"/>
    <n v="26"/>
    <n v="14"/>
    <s v="پیور"/>
    <n v="100"/>
    <x v="0"/>
    <n v="1"/>
    <n v="72"/>
    <n v="3.2"/>
    <m/>
    <x v="0"/>
    <n v="68.8"/>
    <m/>
    <m/>
    <x v="0"/>
    <x v="0"/>
    <m/>
    <m/>
    <x v="0"/>
    <x v="0"/>
    <m/>
    <x v="0"/>
    <x v="0"/>
    <x v="0"/>
    <x v="0"/>
    <x v="0"/>
    <m/>
    <m/>
    <m/>
    <m/>
    <x v="0"/>
    <x v="0"/>
    <m/>
    <x v="0"/>
    <m/>
    <x v="0"/>
    <x v="0"/>
    <x v="0"/>
    <x v="0"/>
    <x v="0"/>
  </r>
  <r>
    <x v="0"/>
    <x v="4"/>
    <s v="3310 J"/>
    <x v="42"/>
    <s v="United Cookware +Warning"/>
    <s v="LDN"/>
    <n v="40"/>
    <n v="14"/>
    <s v="پیور"/>
    <n v="100"/>
    <x v="0"/>
    <n v="1"/>
    <n v="114.4"/>
    <n v="4.5999999999999996"/>
    <m/>
    <x v="0"/>
    <n v="109.80000000000001"/>
    <m/>
    <m/>
    <x v="0"/>
    <x v="0"/>
    <m/>
    <m/>
    <x v="0"/>
    <x v="0"/>
    <m/>
    <x v="0"/>
    <x v="0"/>
    <x v="0"/>
    <x v="0"/>
    <x v="0"/>
    <m/>
    <m/>
    <m/>
    <m/>
    <x v="0"/>
    <x v="0"/>
    <m/>
    <x v="0"/>
    <m/>
    <x v="0"/>
    <x v="0"/>
    <x v="0"/>
    <x v="0"/>
    <x v="0"/>
  </r>
  <r>
    <x v="0"/>
    <x v="4"/>
    <s v="PACKING"/>
    <x v="42"/>
    <s v="-"/>
    <s v="-"/>
    <s v="-"/>
    <s v="-"/>
    <s v="-"/>
    <s v="-"/>
    <x v="0"/>
    <n v="1"/>
    <n v="92.4"/>
    <n v="3.8"/>
    <m/>
    <x v="0"/>
    <n v="88.600000000000009"/>
    <m/>
    <m/>
    <x v="0"/>
    <x v="0"/>
    <m/>
    <m/>
    <x v="0"/>
    <x v="0"/>
    <m/>
    <x v="0"/>
    <x v="0"/>
    <x v="0"/>
    <x v="0"/>
    <x v="0"/>
    <m/>
    <m/>
    <m/>
    <m/>
    <x v="0"/>
    <x v="0"/>
    <m/>
    <x v="0"/>
    <m/>
    <x v="0"/>
    <x v="0"/>
    <x v="0"/>
    <x v="0"/>
    <x v="0"/>
  </r>
  <r>
    <x v="1"/>
    <x v="4"/>
    <s v="1862 F"/>
    <x v="42"/>
    <s v="MACY MARNING"/>
    <s v="LDN"/>
    <n v="26"/>
    <s v="8"/>
    <s v="پیور"/>
    <n v="110"/>
    <x v="0"/>
    <n v="2"/>
    <n v="106.4"/>
    <n v="6.8"/>
    <n v="21"/>
    <x v="0"/>
    <n v="99.600000000000009"/>
    <m/>
    <m/>
    <x v="0"/>
    <x v="0"/>
    <m/>
    <m/>
    <x v="0"/>
    <x v="0"/>
    <m/>
    <x v="0"/>
    <x v="0"/>
    <x v="0"/>
    <x v="0"/>
    <x v="0"/>
    <m/>
    <m/>
    <m/>
    <m/>
    <x v="0"/>
    <x v="0"/>
    <m/>
    <x v="0"/>
    <m/>
    <x v="0"/>
    <x v="0"/>
    <x v="0"/>
    <x v="0"/>
    <x v="0"/>
  </r>
  <r>
    <x v="1"/>
    <x v="4"/>
    <s v="3307 J"/>
    <x v="42"/>
    <s v="United Cookware +Warning"/>
    <s v="LDN"/>
    <n v="28"/>
    <n v="14"/>
    <s v="پیور"/>
    <n v="100"/>
    <x v="0"/>
    <n v="2"/>
    <n v="112.4"/>
    <n v="7.6"/>
    <m/>
    <x v="0"/>
    <n v="104.80000000000001"/>
    <m/>
    <m/>
    <x v="0"/>
    <x v="0"/>
    <m/>
    <m/>
    <x v="0"/>
    <x v="0"/>
    <m/>
    <x v="0"/>
    <x v="0"/>
    <x v="0"/>
    <x v="0"/>
    <x v="0"/>
    <m/>
    <m/>
    <m/>
    <m/>
    <x v="0"/>
    <x v="0"/>
    <m/>
    <x v="0"/>
    <m/>
    <x v="0"/>
    <x v="0"/>
    <x v="0"/>
    <x v="0"/>
    <x v="0"/>
  </r>
  <r>
    <x v="1"/>
    <x v="4"/>
    <s v="3313 J"/>
    <x v="42"/>
    <s v="Nakhel Brand "/>
    <s v="LDN"/>
    <n v="22"/>
    <s v="6-6.5"/>
    <s v="پیور"/>
    <n v="200"/>
    <x v="0"/>
    <n v="4"/>
    <n v="213.8"/>
    <n v="10.799999999999999"/>
    <m/>
    <x v="0"/>
    <n v="203"/>
    <m/>
    <m/>
    <x v="0"/>
    <x v="0"/>
    <m/>
    <m/>
    <x v="0"/>
    <x v="0"/>
    <m/>
    <x v="0"/>
    <x v="0"/>
    <x v="0"/>
    <x v="0"/>
    <x v="0"/>
    <m/>
    <m/>
    <m/>
    <m/>
    <x v="0"/>
    <x v="0"/>
    <m/>
    <x v="0"/>
    <m/>
    <x v="0"/>
    <x v="0"/>
    <x v="0"/>
    <x v="0"/>
    <x v="0"/>
  </r>
  <r>
    <x v="1"/>
    <x v="4"/>
    <s v="3312 J"/>
    <x v="42"/>
    <s v="Cristal Brand "/>
    <s v="LDN"/>
    <n v="20"/>
    <s v="6-6.5"/>
    <s v="پیور"/>
    <n v="200"/>
    <x v="0"/>
    <n v="2"/>
    <n v="118"/>
    <n v="5"/>
    <m/>
    <x v="0"/>
    <n v="113"/>
    <m/>
    <m/>
    <x v="0"/>
    <x v="0"/>
    <m/>
    <m/>
    <x v="0"/>
    <x v="0"/>
    <m/>
    <x v="0"/>
    <x v="0"/>
    <x v="0"/>
    <x v="0"/>
    <x v="0"/>
    <m/>
    <m/>
    <m/>
    <m/>
    <x v="0"/>
    <x v="0"/>
    <m/>
    <x v="0"/>
    <m/>
    <x v="0"/>
    <x v="0"/>
    <x v="0"/>
    <x v="0"/>
    <x v="0"/>
  </r>
  <r>
    <x v="0"/>
    <x v="0"/>
    <s v="3276 J"/>
    <x v="43"/>
    <s v="U and T Geniun Parts"/>
    <s v="LDN"/>
    <n v="12"/>
    <s v="12-12.5"/>
    <s v="پیور"/>
    <n v="100"/>
    <x v="0"/>
    <n v="1"/>
    <n v="58.2"/>
    <n v="1.5"/>
    <m/>
    <x v="0"/>
    <n v="56.7"/>
    <m/>
    <m/>
    <x v="0"/>
    <x v="0"/>
    <m/>
    <m/>
    <x v="0"/>
    <x v="0"/>
    <m/>
    <x v="0"/>
    <x v="0"/>
    <x v="0"/>
    <x v="0"/>
    <x v="0"/>
    <m/>
    <m/>
    <m/>
    <m/>
    <x v="0"/>
    <x v="0"/>
    <m/>
    <x v="0"/>
    <m/>
    <x v="0"/>
    <x v="0"/>
    <x v="0"/>
    <x v="0"/>
    <x v="0"/>
  </r>
  <r>
    <x v="0"/>
    <x v="0"/>
    <s v="3262 J"/>
    <x v="43"/>
    <s v="U S METAL GOLD"/>
    <s v="LDN"/>
    <n v="6"/>
    <n v="10"/>
    <s v="پیور"/>
    <n v="100"/>
    <x v="0"/>
    <n v="1"/>
    <n v="44.6"/>
    <n v="0.6"/>
    <m/>
    <x v="0"/>
    <n v="44"/>
    <m/>
    <m/>
    <x v="0"/>
    <x v="0"/>
    <m/>
    <m/>
    <x v="0"/>
    <x v="0"/>
    <m/>
    <x v="0"/>
    <x v="0"/>
    <x v="0"/>
    <x v="0"/>
    <x v="0"/>
    <m/>
    <m/>
    <m/>
    <m/>
    <x v="0"/>
    <x v="0"/>
    <m/>
    <x v="0"/>
    <m/>
    <x v="0"/>
    <x v="0"/>
    <x v="0"/>
    <x v="0"/>
    <x v="0"/>
  </r>
  <r>
    <x v="0"/>
    <x v="0"/>
    <s v="3258 J"/>
    <x v="43"/>
    <s v="Golda Aluminium"/>
    <s v="LDN"/>
    <n v="6"/>
    <n v="10"/>
    <s v="پیور"/>
    <n v="100"/>
    <x v="0"/>
    <n v="2"/>
    <n v="83.4"/>
    <n v="1.6"/>
    <m/>
    <x v="0"/>
    <n v="81.800000000000011"/>
    <m/>
    <m/>
    <x v="0"/>
    <x v="0"/>
    <m/>
    <m/>
    <x v="0"/>
    <x v="0"/>
    <m/>
    <x v="0"/>
    <x v="0"/>
    <x v="0"/>
    <x v="0"/>
    <x v="0"/>
    <m/>
    <m/>
    <m/>
    <m/>
    <x v="0"/>
    <x v="0"/>
    <m/>
    <x v="0"/>
    <m/>
    <x v="0"/>
    <x v="0"/>
    <x v="0"/>
    <x v="0"/>
    <x v="0"/>
  </r>
  <r>
    <x v="1"/>
    <x v="0"/>
    <s v="3258 J"/>
    <x v="43"/>
    <s v="Golda Aluminium"/>
    <s v="LDN"/>
    <n v="6"/>
    <n v="10"/>
    <s v="پیور"/>
    <n v="100"/>
    <x v="0"/>
    <n v="1"/>
    <n v="36"/>
    <n v="1.8"/>
    <m/>
    <x v="0"/>
    <n v="34.200000000000003"/>
    <m/>
    <m/>
    <x v="0"/>
    <x v="0"/>
    <m/>
    <m/>
    <x v="0"/>
    <x v="0"/>
    <m/>
    <x v="0"/>
    <x v="0"/>
    <x v="0"/>
    <x v="0"/>
    <x v="0"/>
    <m/>
    <m/>
    <m/>
    <m/>
    <x v="0"/>
    <x v="0"/>
    <m/>
    <x v="0"/>
    <m/>
    <x v="0"/>
    <x v="0"/>
    <x v="0"/>
    <x v="0"/>
    <x v="0"/>
  </r>
  <r>
    <x v="1"/>
    <x v="0"/>
    <s v="3266 J"/>
    <x v="43"/>
    <s v="G Mart 500 GRAM"/>
    <s v="LDN"/>
    <n v="6"/>
    <s v="10-10.5"/>
    <s v="پیور"/>
    <n v="100"/>
    <x v="0"/>
    <n v="3"/>
    <n v="107.8"/>
    <n v="2.5"/>
    <m/>
    <x v="0"/>
    <n v="105.3"/>
    <m/>
    <m/>
    <x v="0"/>
    <x v="0"/>
    <m/>
    <m/>
    <x v="0"/>
    <x v="0"/>
    <m/>
    <x v="0"/>
    <x v="0"/>
    <x v="0"/>
    <x v="0"/>
    <x v="0"/>
    <m/>
    <m/>
    <m/>
    <m/>
    <x v="0"/>
    <x v="0"/>
    <m/>
    <x v="0"/>
    <m/>
    <x v="0"/>
    <x v="0"/>
    <x v="0"/>
    <x v="0"/>
    <x v="0"/>
  </r>
  <r>
    <x v="0"/>
    <x v="2"/>
    <s v="3251 j"/>
    <x v="43"/>
    <s v="Plain Lafafa Waqas Woollen Mills Gujaranwala"/>
    <s v="LD گرین"/>
    <n v="14"/>
    <s v="10-10.5"/>
    <s v="ABA تھینکیو"/>
    <n v="200"/>
    <x v="0"/>
    <n v="1"/>
    <n v="96"/>
    <n v="1.6"/>
    <n v="80"/>
    <x v="0"/>
    <n v="94.4"/>
    <m/>
    <m/>
    <x v="0"/>
    <x v="0"/>
    <m/>
    <m/>
    <x v="0"/>
    <x v="0"/>
    <m/>
    <x v="0"/>
    <x v="0"/>
    <x v="0"/>
    <x v="0"/>
    <x v="0"/>
    <m/>
    <m/>
    <m/>
    <m/>
    <x v="0"/>
    <x v="0"/>
    <m/>
    <x v="0"/>
    <m/>
    <x v="0"/>
    <x v="0"/>
    <x v="0"/>
    <x v="0"/>
    <x v="0"/>
  </r>
  <r>
    <x v="1"/>
    <x v="2"/>
    <s v="3208 j"/>
    <x v="43"/>
    <s v="Hassan Cloth House "/>
    <s v="LD فیروزی"/>
    <s v="12+3+3"/>
    <s v="8-8.5/16-17"/>
    <s v="ABA پیور"/>
    <n v="120"/>
    <x v="0"/>
    <n v="3"/>
    <n v="122.2"/>
    <n v="4.5"/>
    <m/>
    <x v="0"/>
    <n v="117.7"/>
    <m/>
    <m/>
    <x v="0"/>
    <x v="0"/>
    <m/>
    <m/>
    <x v="0"/>
    <x v="0"/>
    <m/>
    <x v="0"/>
    <x v="0"/>
    <x v="0"/>
    <x v="0"/>
    <x v="0"/>
    <m/>
    <m/>
    <m/>
    <m/>
    <x v="0"/>
    <x v="0"/>
    <m/>
    <x v="0"/>
    <m/>
    <x v="0"/>
    <x v="0"/>
    <x v="0"/>
    <x v="0"/>
    <x v="0"/>
  </r>
  <r>
    <x v="0"/>
    <x v="3"/>
    <s v="1784 F"/>
    <x v="43"/>
    <s v=" پائیپر وارننگ"/>
    <s v="LDN"/>
    <n v="17"/>
    <s v="7"/>
    <s v="جیلانی شیٹ"/>
    <n v="450"/>
    <x v="0"/>
    <n v="4"/>
    <n v="215"/>
    <n v="8.1"/>
    <n v="52.8"/>
    <x v="0"/>
    <n v="206.9"/>
    <m/>
    <m/>
    <x v="0"/>
    <x v="0"/>
    <m/>
    <m/>
    <x v="0"/>
    <x v="0"/>
    <m/>
    <x v="0"/>
    <x v="0"/>
    <x v="0"/>
    <x v="0"/>
    <x v="0"/>
    <m/>
    <m/>
    <m/>
    <m/>
    <x v="0"/>
    <x v="0"/>
    <m/>
    <x v="0"/>
    <m/>
    <x v="0"/>
    <x v="0"/>
    <x v="0"/>
    <x v="0"/>
    <x v="0"/>
  </r>
  <r>
    <x v="0"/>
    <x v="3"/>
    <s v="1875 F"/>
    <x v="43"/>
    <s v="NEXT "/>
    <s v="LDN"/>
    <n v="15.5"/>
    <s v="7"/>
    <s v="جیلانی شیٹ"/>
    <n v="70"/>
    <x v="0"/>
    <n v="2"/>
    <n v="74.400000000000006"/>
    <n v="3.6"/>
    <m/>
    <x v="0"/>
    <n v="70.800000000000011"/>
    <m/>
    <m/>
    <x v="0"/>
    <x v="0"/>
    <m/>
    <m/>
    <x v="0"/>
    <x v="0"/>
    <m/>
    <x v="0"/>
    <x v="0"/>
    <x v="0"/>
    <x v="0"/>
    <x v="0"/>
    <m/>
    <m/>
    <m/>
    <m/>
    <x v="0"/>
    <x v="0"/>
    <m/>
    <x v="0"/>
    <m/>
    <x v="0"/>
    <x v="0"/>
    <x v="0"/>
    <x v="0"/>
    <x v="0"/>
  </r>
  <r>
    <x v="1"/>
    <x v="3"/>
    <s v="1784 F"/>
    <x v="43"/>
    <s v=" پائیپر وارننگ"/>
    <s v="LDN"/>
    <n v="17"/>
    <s v="7"/>
    <s v="جیلانی شیٹ"/>
    <n v="450"/>
    <x v="0"/>
    <n v="1"/>
    <n v="84.2"/>
    <n v="2.1"/>
    <m/>
    <x v="0"/>
    <n v="82.100000000000009"/>
    <m/>
    <m/>
    <x v="0"/>
    <x v="0"/>
    <m/>
    <m/>
    <x v="0"/>
    <x v="0"/>
    <m/>
    <x v="0"/>
    <x v="0"/>
    <x v="0"/>
    <x v="0"/>
    <x v="0"/>
    <m/>
    <m/>
    <m/>
    <m/>
    <x v="0"/>
    <x v="0"/>
    <m/>
    <x v="0"/>
    <m/>
    <x v="0"/>
    <x v="0"/>
    <x v="0"/>
    <x v="0"/>
    <x v="0"/>
  </r>
  <r>
    <x v="1"/>
    <x v="3"/>
    <s v="1826 F"/>
    <x v="43"/>
    <s v="BAVER WARING"/>
    <s v="LDN"/>
    <n v="17"/>
    <s v="12"/>
    <s v="جیلانی شیٹ"/>
    <n v="150"/>
    <x v="0"/>
    <n v="3"/>
    <n v="161.19999999999999"/>
    <n v="6.3000000000000007"/>
    <m/>
    <x v="0"/>
    <n v="154.89999999999998"/>
    <m/>
    <m/>
    <x v="0"/>
    <x v="0"/>
    <m/>
    <m/>
    <x v="0"/>
    <x v="0"/>
    <m/>
    <x v="0"/>
    <x v="0"/>
    <x v="0"/>
    <x v="0"/>
    <x v="0"/>
    <m/>
    <m/>
    <m/>
    <m/>
    <x v="0"/>
    <x v="0"/>
    <m/>
    <x v="0"/>
    <m/>
    <x v="0"/>
    <x v="0"/>
    <x v="0"/>
    <x v="0"/>
    <x v="0"/>
  </r>
  <r>
    <x v="1"/>
    <x v="3"/>
    <s v="2912 J"/>
    <x v="43"/>
    <s v="Atlas Honda LTD (SKP)"/>
    <s v="LDN"/>
    <n v="22"/>
    <s v="12.5-13"/>
    <s v="LDN"/>
    <n v="250"/>
    <x v="0"/>
    <n v="1"/>
    <n v="63.8"/>
    <n v="2.8"/>
    <n v="8"/>
    <x v="0"/>
    <n v="61"/>
    <m/>
    <m/>
    <x v="0"/>
    <x v="0"/>
    <m/>
    <m/>
    <x v="0"/>
    <x v="0"/>
    <m/>
    <x v="0"/>
    <x v="0"/>
    <x v="0"/>
    <x v="0"/>
    <x v="0"/>
    <m/>
    <m/>
    <m/>
    <m/>
    <x v="0"/>
    <x v="0"/>
    <m/>
    <x v="0"/>
    <m/>
    <x v="0"/>
    <x v="0"/>
    <x v="0"/>
    <x v="0"/>
    <x v="0"/>
  </r>
  <r>
    <x v="0"/>
    <x v="6"/>
    <n v="2769"/>
    <x v="43"/>
    <s v="MATCO FOOD"/>
    <s v="LDN"/>
    <s v="23-23.5"/>
    <s v="70 G+-1"/>
    <s v="SL"/>
    <s v="3500 (100 BAG)"/>
    <x v="0"/>
    <n v="6"/>
    <n v="602.4"/>
    <n v="16.600000000000001"/>
    <n v="10"/>
    <x v="0"/>
    <n v="585.79999999999995"/>
    <m/>
    <m/>
    <x v="0"/>
    <x v="0"/>
    <m/>
    <m/>
    <x v="0"/>
    <x v="0"/>
    <m/>
    <x v="0"/>
    <x v="0"/>
    <x v="0"/>
    <x v="0"/>
    <x v="0"/>
    <m/>
    <m/>
    <m/>
    <m/>
    <x v="0"/>
    <x v="0"/>
    <m/>
    <x v="0"/>
    <m/>
    <x v="0"/>
    <x v="0"/>
    <x v="0"/>
    <x v="0"/>
    <x v="0"/>
  </r>
  <r>
    <x v="1"/>
    <x v="6"/>
    <n v="2769"/>
    <x v="43"/>
    <s v="MATCO FOOD"/>
    <s v="LDN"/>
    <s v="23-23.5"/>
    <s v="70 G+-1"/>
    <s v="SL"/>
    <s v="3500 (100 BAG)"/>
    <x v="0"/>
    <n v="5"/>
    <n v="502.6"/>
    <n v="13.799999999999999"/>
    <n v="12"/>
    <x v="0"/>
    <n v="488.8"/>
    <m/>
    <m/>
    <x v="0"/>
    <x v="0"/>
    <m/>
    <m/>
    <x v="0"/>
    <x v="0"/>
    <m/>
    <x v="0"/>
    <x v="0"/>
    <x v="0"/>
    <x v="0"/>
    <x v="0"/>
    <m/>
    <m/>
    <m/>
    <m/>
    <x v="0"/>
    <x v="0"/>
    <m/>
    <x v="0"/>
    <m/>
    <x v="0"/>
    <x v="0"/>
    <x v="0"/>
    <x v="0"/>
    <x v="0"/>
  </r>
  <r>
    <x v="0"/>
    <x v="4"/>
    <s v="3312 J"/>
    <x v="43"/>
    <s v="Cristal Brand "/>
    <s v="LDN"/>
    <n v="20"/>
    <s v="6-6.5"/>
    <s v="پیور"/>
    <n v="200"/>
    <x v="0"/>
    <n v="2"/>
    <n v="96"/>
    <n v="4.8"/>
    <n v="26"/>
    <x v="0"/>
    <n v="91.2"/>
    <m/>
    <m/>
    <x v="0"/>
    <x v="0"/>
    <m/>
    <m/>
    <x v="0"/>
    <x v="0"/>
    <m/>
    <x v="0"/>
    <x v="0"/>
    <x v="0"/>
    <x v="0"/>
    <x v="0"/>
    <m/>
    <m/>
    <m/>
    <m/>
    <x v="0"/>
    <x v="0"/>
    <m/>
    <x v="0"/>
    <m/>
    <x v="0"/>
    <x v="0"/>
    <x v="0"/>
    <x v="0"/>
    <x v="0"/>
  </r>
  <r>
    <x v="0"/>
    <x v="4"/>
    <s v="3303 J"/>
    <x v="43"/>
    <s v="Plain Lafafa IHSAN Cotton "/>
    <s v="LDN"/>
    <n v="22"/>
    <n v="6"/>
    <s v="AA کولٹی"/>
    <n v="300"/>
    <x v="0"/>
    <n v="5"/>
    <n v="310.40000000000003"/>
    <n v="12.6"/>
    <m/>
    <x v="0"/>
    <n v="297.8"/>
    <m/>
    <m/>
    <x v="0"/>
    <x v="0"/>
    <m/>
    <m/>
    <x v="0"/>
    <x v="0"/>
    <m/>
    <x v="0"/>
    <x v="0"/>
    <x v="0"/>
    <x v="0"/>
    <x v="0"/>
    <m/>
    <m/>
    <m/>
    <m/>
    <x v="0"/>
    <x v="0"/>
    <m/>
    <x v="0"/>
    <m/>
    <x v="0"/>
    <x v="0"/>
    <x v="0"/>
    <x v="0"/>
    <x v="0"/>
  </r>
  <r>
    <x v="0"/>
    <x v="4"/>
    <s v="1877 F"/>
    <x v="43"/>
    <s v="BOLSA WARINING"/>
    <s v="LDN"/>
    <n v="24"/>
    <s v="7"/>
    <s v="جیلانی شیٹ"/>
    <n v="96"/>
    <x v="0"/>
    <n v="2"/>
    <n v="104.2"/>
    <n v="6.2"/>
    <m/>
    <x v="0"/>
    <n v="98"/>
    <m/>
    <m/>
    <x v="0"/>
    <x v="0"/>
    <m/>
    <m/>
    <x v="0"/>
    <x v="0"/>
    <m/>
    <x v="0"/>
    <x v="0"/>
    <x v="0"/>
    <x v="0"/>
    <x v="0"/>
    <m/>
    <m/>
    <m/>
    <m/>
    <x v="0"/>
    <x v="0"/>
    <m/>
    <x v="0"/>
    <m/>
    <x v="0"/>
    <x v="0"/>
    <x v="0"/>
    <x v="0"/>
    <x v="0"/>
  </r>
  <r>
    <x v="1"/>
    <x v="4"/>
    <s v="9531 A"/>
    <x v="43"/>
    <s v="-"/>
    <s v="-"/>
    <s v="-"/>
    <s v="-"/>
    <s v="-"/>
    <s v="-"/>
    <x v="0"/>
    <n v="4"/>
    <n v="317.5"/>
    <n v="12.4"/>
    <n v="40"/>
    <x v="0"/>
    <n v="305.10000000000002"/>
    <m/>
    <m/>
    <x v="0"/>
    <x v="0"/>
    <m/>
    <m/>
    <x v="0"/>
    <x v="0"/>
    <m/>
    <x v="0"/>
    <x v="0"/>
    <x v="0"/>
    <x v="0"/>
    <x v="0"/>
    <m/>
    <m/>
    <m/>
    <m/>
    <x v="0"/>
    <x v="0"/>
    <m/>
    <x v="0"/>
    <m/>
    <x v="0"/>
    <x v="0"/>
    <x v="0"/>
    <x v="0"/>
    <x v="0"/>
  </r>
  <r>
    <x v="1"/>
    <x v="4"/>
    <s v="SAMPLE"/>
    <x v="43"/>
    <s v="-"/>
    <s v="-"/>
    <s v="-"/>
    <s v="-"/>
    <s v="-"/>
    <s v="-"/>
    <x v="0"/>
    <n v="2"/>
    <n v="24.200000000000003"/>
    <n v="8"/>
    <m/>
    <x v="0"/>
    <n v="16.200000000000003"/>
    <m/>
    <m/>
    <x v="0"/>
    <x v="0"/>
    <m/>
    <m/>
    <x v="0"/>
    <x v="0"/>
    <m/>
    <x v="0"/>
    <x v="0"/>
    <x v="0"/>
    <x v="0"/>
    <x v="0"/>
    <m/>
    <m/>
    <m/>
    <m/>
    <x v="0"/>
    <x v="0"/>
    <m/>
    <x v="0"/>
    <m/>
    <x v="0"/>
    <x v="0"/>
    <x v="0"/>
    <x v="0"/>
    <x v="0"/>
  </r>
  <r>
    <x v="1"/>
    <x v="4"/>
    <s v="3285 J"/>
    <x v="43"/>
    <s v="Fresh In Plain Bread"/>
    <s v="LDN"/>
    <s v="36 شیٹ"/>
    <s v="-"/>
    <s v="پیور"/>
    <n v="150"/>
    <x v="0"/>
    <n v="2"/>
    <n v="153"/>
    <n v="0.6"/>
    <m/>
    <x v="0"/>
    <n v="152.4"/>
    <m/>
    <m/>
    <x v="0"/>
    <x v="0"/>
    <m/>
    <m/>
    <x v="0"/>
    <x v="0"/>
    <m/>
    <x v="0"/>
    <x v="0"/>
    <x v="0"/>
    <x v="0"/>
    <x v="0"/>
    <m/>
    <m/>
    <m/>
    <m/>
    <x v="0"/>
    <x v="0"/>
    <m/>
    <x v="0"/>
    <m/>
    <x v="0"/>
    <x v="0"/>
    <x v="0"/>
    <x v="0"/>
    <x v="0"/>
  </r>
  <r>
    <x v="0"/>
    <x v="0"/>
    <s v="3263 J"/>
    <x v="44"/>
    <s v="U S METAL GOLD"/>
    <s v="LDN"/>
    <n v="7"/>
    <n v="10"/>
    <s v="پیور"/>
    <n v="100"/>
    <x v="0"/>
    <n v="3"/>
    <n v="114.6"/>
    <n v="2.7"/>
    <m/>
    <x v="0"/>
    <n v="111.89999999999999"/>
    <m/>
    <m/>
    <x v="0"/>
    <x v="0"/>
    <m/>
    <m/>
    <x v="0"/>
    <x v="0"/>
    <m/>
    <x v="0"/>
    <x v="0"/>
    <x v="0"/>
    <x v="0"/>
    <x v="0"/>
    <m/>
    <m/>
    <m/>
    <m/>
    <x v="0"/>
    <x v="0"/>
    <m/>
    <x v="0"/>
    <m/>
    <x v="0"/>
    <x v="0"/>
    <x v="0"/>
    <x v="0"/>
    <x v="0"/>
  </r>
  <r>
    <x v="0"/>
    <x v="0"/>
    <s v="3263 J"/>
    <x v="44"/>
    <s v="U S METAL GOLD"/>
    <s v="LDN"/>
    <n v="7"/>
    <n v="10"/>
    <s v="پیور"/>
    <n v="100"/>
    <x v="0"/>
    <n v="1"/>
    <n v="33.6"/>
    <n v="0.9"/>
    <m/>
    <x v="0"/>
    <n v="32.700000000000003"/>
    <m/>
    <m/>
    <x v="0"/>
    <x v="0"/>
    <m/>
    <m/>
    <x v="0"/>
    <x v="0"/>
    <m/>
    <x v="0"/>
    <x v="0"/>
    <x v="0"/>
    <x v="0"/>
    <x v="0"/>
    <m/>
    <m/>
    <m/>
    <m/>
    <x v="0"/>
    <x v="0"/>
    <m/>
    <x v="0"/>
    <m/>
    <x v="0"/>
    <x v="0"/>
    <x v="0"/>
    <x v="0"/>
    <x v="0"/>
  </r>
  <r>
    <x v="1"/>
    <x v="0"/>
    <s v="3263 J"/>
    <x v="44"/>
    <s v="U S METAL GOLD"/>
    <s v="LDN"/>
    <n v="7"/>
    <n v="10"/>
    <s v="پیور"/>
    <n v="100"/>
    <x v="0"/>
    <n v="2"/>
    <n v="75.599999999999994"/>
    <n v="1.8"/>
    <m/>
    <x v="0"/>
    <n v="73.8"/>
    <m/>
    <m/>
    <x v="0"/>
    <x v="0"/>
    <m/>
    <m/>
    <x v="0"/>
    <x v="0"/>
    <m/>
    <x v="0"/>
    <x v="0"/>
    <x v="0"/>
    <x v="0"/>
    <x v="0"/>
    <m/>
    <m/>
    <m/>
    <m/>
    <x v="0"/>
    <x v="0"/>
    <m/>
    <x v="0"/>
    <m/>
    <x v="0"/>
    <x v="0"/>
    <x v="0"/>
    <x v="0"/>
    <x v="0"/>
  </r>
  <r>
    <x v="1"/>
    <x v="0"/>
    <s v="3267 J"/>
    <x v="44"/>
    <s v="G Mart 1 KG"/>
    <s v="LDN"/>
    <n v="7"/>
    <s v="12-13"/>
    <s v="پیور"/>
    <n v="200"/>
    <x v="0"/>
    <n v="1"/>
    <n v="53"/>
    <n v="0.9"/>
    <m/>
    <x v="0"/>
    <n v="52.1"/>
    <m/>
    <m/>
    <x v="0"/>
    <x v="0"/>
    <m/>
    <m/>
    <x v="0"/>
    <x v="0"/>
    <m/>
    <x v="0"/>
    <x v="0"/>
    <x v="0"/>
    <x v="0"/>
    <x v="0"/>
    <m/>
    <m/>
    <m/>
    <m/>
    <x v="0"/>
    <x v="0"/>
    <m/>
    <x v="0"/>
    <m/>
    <x v="0"/>
    <x v="0"/>
    <x v="0"/>
    <x v="0"/>
    <x v="0"/>
  </r>
  <r>
    <x v="0"/>
    <x v="3"/>
    <s v="3321 J"/>
    <x v="44"/>
    <s v="Atlas Honda LTD (SKP)"/>
    <s v="LDN"/>
    <n v="22"/>
    <s v="12.5-13"/>
    <s v="LDN"/>
    <n v="110"/>
    <x v="0"/>
    <n v="1"/>
    <n v="64.8"/>
    <n v="2.1"/>
    <n v="18"/>
    <x v="0"/>
    <n v="62.699999999999996"/>
    <m/>
    <m/>
    <x v="0"/>
    <x v="0"/>
    <m/>
    <m/>
    <x v="0"/>
    <x v="0"/>
    <m/>
    <x v="0"/>
    <x v="0"/>
    <x v="0"/>
    <x v="0"/>
    <x v="0"/>
    <m/>
    <m/>
    <m/>
    <m/>
    <x v="0"/>
    <x v="0"/>
    <m/>
    <x v="0"/>
    <m/>
    <x v="0"/>
    <x v="0"/>
    <x v="0"/>
    <x v="0"/>
    <x v="0"/>
  </r>
  <r>
    <x v="0"/>
    <x v="3"/>
    <s v="1874 F"/>
    <x v="44"/>
    <s v="PLAIN POLY BAG"/>
    <s v="LDN"/>
    <n v="18"/>
    <s v="5-5.5"/>
    <s v="پیور"/>
    <n v="500"/>
    <x v="0"/>
    <n v="5"/>
    <n v="288"/>
    <n v="10.5"/>
    <m/>
    <x v="0"/>
    <n v="277.5"/>
    <m/>
    <m/>
    <x v="0"/>
    <x v="0"/>
    <m/>
    <m/>
    <x v="0"/>
    <x v="0"/>
    <m/>
    <x v="0"/>
    <x v="0"/>
    <x v="0"/>
    <x v="0"/>
    <x v="0"/>
    <m/>
    <m/>
    <m/>
    <m/>
    <x v="0"/>
    <x v="0"/>
    <m/>
    <x v="0"/>
    <m/>
    <x v="0"/>
    <x v="0"/>
    <x v="0"/>
    <x v="0"/>
    <x v="0"/>
  </r>
  <r>
    <x v="1"/>
    <x v="3"/>
    <s v="1874 F"/>
    <x v="44"/>
    <s v="PLAIN POLY BAG"/>
    <s v="LDN"/>
    <n v="18"/>
    <s v="5-5.5"/>
    <s v="پیور"/>
    <n v="500"/>
    <x v="0"/>
    <n v="5"/>
    <n v="311.2"/>
    <n v="10.5"/>
    <n v="13"/>
    <x v="0"/>
    <n v="300.7"/>
    <m/>
    <m/>
    <x v="0"/>
    <x v="0"/>
    <m/>
    <m/>
    <x v="0"/>
    <x v="0"/>
    <m/>
    <x v="0"/>
    <x v="0"/>
    <x v="0"/>
    <x v="0"/>
    <x v="0"/>
    <m/>
    <m/>
    <m/>
    <m/>
    <x v="0"/>
    <x v="0"/>
    <m/>
    <x v="0"/>
    <m/>
    <x v="0"/>
    <x v="0"/>
    <x v="0"/>
    <x v="0"/>
    <x v="0"/>
  </r>
  <r>
    <x v="0"/>
    <x v="6"/>
    <n v="2769"/>
    <x v="44"/>
    <s v="MATCO FOOD"/>
    <s v="LDN"/>
    <s v="23-23.5"/>
    <s v="70 G+-1"/>
    <s v="SL"/>
    <s v="3500 (100 BAG)"/>
    <x v="0"/>
    <n v="6"/>
    <n v="564.6"/>
    <n v="16.799999999999997"/>
    <m/>
    <x v="0"/>
    <n v="547.80000000000007"/>
    <m/>
    <m/>
    <x v="0"/>
    <x v="0"/>
    <m/>
    <m/>
    <x v="0"/>
    <x v="0"/>
    <m/>
    <x v="0"/>
    <x v="0"/>
    <x v="0"/>
    <x v="0"/>
    <x v="0"/>
    <m/>
    <m/>
    <m/>
    <m/>
    <x v="0"/>
    <x v="0"/>
    <m/>
    <x v="0"/>
    <m/>
    <x v="0"/>
    <x v="0"/>
    <x v="0"/>
    <x v="0"/>
    <x v="0"/>
  </r>
  <r>
    <x v="1"/>
    <x v="6"/>
    <n v="2769"/>
    <x v="44"/>
    <s v="MATCO FOOD"/>
    <s v="LDN"/>
    <s v="23-23.5"/>
    <s v="70 G+-1"/>
    <s v="SL"/>
    <s v="3500 (100 BAG)"/>
    <x v="0"/>
    <n v="5"/>
    <n v="541.4"/>
    <n v="14"/>
    <n v="8"/>
    <x v="0"/>
    <n v="527.4"/>
    <m/>
    <m/>
    <x v="0"/>
    <x v="0"/>
    <m/>
    <m/>
    <x v="0"/>
    <x v="0"/>
    <m/>
    <x v="0"/>
    <x v="0"/>
    <x v="0"/>
    <x v="0"/>
    <x v="0"/>
    <m/>
    <m/>
    <m/>
    <m/>
    <x v="0"/>
    <x v="0"/>
    <m/>
    <x v="0"/>
    <m/>
    <x v="0"/>
    <x v="0"/>
    <x v="0"/>
    <x v="0"/>
    <x v="0"/>
  </r>
  <r>
    <x v="0"/>
    <x v="4"/>
    <s v="3284 J"/>
    <x v="44"/>
    <s v="Fresh In Milky Bread"/>
    <s v="LDN"/>
    <s v="36 شیٹ"/>
    <s v="-"/>
    <s v="پیور"/>
    <n v="100"/>
    <x v="0"/>
    <n v="2"/>
    <n v="129"/>
    <n v="8.8000000000000007"/>
    <n v="70"/>
    <x v="0"/>
    <n v="120.2"/>
    <m/>
    <m/>
    <x v="0"/>
    <x v="0"/>
    <m/>
    <m/>
    <x v="0"/>
    <x v="0"/>
    <m/>
    <x v="0"/>
    <x v="0"/>
    <x v="0"/>
    <x v="0"/>
    <x v="0"/>
    <m/>
    <m/>
    <m/>
    <m/>
    <x v="0"/>
    <x v="0"/>
    <m/>
    <x v="0"/>
    <m/>
    <x v="0"/>
    <x v="0"/>
    <x v="0"/>
    <x v="0"/>
    <x v="0"/>
  </r>
  <r>
    <x v="0"/>
    <x v="4"/>
    <s v="3287 J"/>
    <x v="44"/>
    <s v="Fresh In Brown Rusk"/>
    <s v="LDN"/>
    <s v="40 شیٹ"/>
    <s v="-"/>
    <s v="پیور"/>
    <n v="100"/>
    <x v="0"/>
    <n v="2"/>
    <n v="119"/>
    <n v="10"/>
    <m/>
    <x v="0"/>
    <n v="109"/>
    <m/>
    <m/>
    <x v="0"/>
    <x v="0"/>
    <m/>
    <m/>
    <x v="0"/>
    <x v="0"/>
    <m/>
    <x v="0"/>
    <x v="0"/>
    <x v="0"/>
    <x v="0"/>
    <x v="0"/>
    <m/>
    <m/>
    <m/>
    <m/>
    <x v="0"/>
    <x v="0"/>
    <m/>
    <x v="0"/>
    <m/>
    <x v="0"/>
    <x v="0"/>
    <x v="0"/>
    <x v="0"/>
    <x v="0"/>
  </r>
  <r>
    <x v="0"/>
    <x v="4"/>
    <s v="1879 F"/>
    <x v="44"/>
    <s v="PLAIN BREAD SMALL FRESH"/>
    <s v="LDN"/>
    <s v="27 SHEET"/>
    <s v="4/8"/>
    <s v="پیور"/>
    <n v="300"/>
    <x v="0"/>
    <n v="4"/>
    <n v="308.8"/>
    <n v="13.6"/>
    <m/>
    <x v="0"/>
    <n v="295.2"/>
    <m/>
    <m/>
    <x v="0"/>
    <x v="0"/>
    <m/>
    <m/>
    <x v="0"/>
    <x v="0"/>
    <m/>
    <x v="0"/>
    <x v="0"/>
    <x v="0"/>
    <x v="0"/>
    <x v="0"/>
    <m/>
    <m/>
    <m/>
    <m/>
    <x v="0"/>
    <x v="0"/>
    <m/>
    <x v="0"/>
    <m/>
    <x v="0"/>
    <x v="0"/>
    <x v="0"/>
    <x v="0"/>
    <x v="0"/>
  </r>
  <r>
    <x v="0"/>
    <x v="4"/>
    <n v="2770"/>
    <x v="44"/>
    <s v="MATCO FOOD"/>
    <s v="LDN"/>
    <s v="28-28.5"/>
    <s v="88 G+-1"/>
    <s v="SL"/>
    <s v="360 (8 BAG)"/>
    <x v="0"/>
    <n v="1"/>
    <n v="128"/>
    <n v="3.6"/>
    <m/>
    <x v="0"/>
    <n v="124.4"/>
    <m/>
    <m/>
    <x v="0"/>
    <x v="0"/>
    <m/>
    <m/>
    <x v="0"/>
    <x v="0"/>
    <m/>
    <x v="0"/>
    <x v="0"/>
    <x v="0"/>
    <x v="0"/>
    <x v="0"/>
    <m/>
    <m/>
    <m/>
    <m/>
    <x v="0"/>
    <x v="0"/>
    <m/>
    <x v="0"/>
    <m/>
    <x v="0"/>
    <x v="0"/>
    <x v="0"/>
    <x v="0"/>
    <x v="0"/>
  </r>
  <r>
    <x v="1"/>
    <x v="4"/>
    <n v="2770"/>
    <x v="44"/>
    <s v="MATCO FOOD"/>
    <s v="LDN"/>
    <s v="28-28.5"/>
    <s v="88 G+-1"/>
    <s v="SL"/>
    <s v="360 (8 BAG)"/>
    <x v="0"/>
    <n v="2"/>
    <n v="240"/>
    <n v="7.2"/>
    <n v="20"/>
    <x v="0"/>
    <n v="232.8"/>
    <m/>
    <m/>
    <x v="0"/>
    <x v="0"/>
    <m/>
    <m/>
    <x v="0"/>
    <x v="0"/>
    <m/>
    <x v="0"/>
    <x v="0"/>
    <x v="0"/>
    <x v="0"/>
    <x v="0"/>
    <m/>
    <m/>
    <m/>
    <m/>
    <x v="0"/>
    <x v="0"/>
    <m/>
    <x v="0"/>
    <m/>
    <x v="0"/>
    <x v="0"/>
    <x v="0"/>
    <x v="0"/>
    <x v="0"/>
  </r>
  <r>
    <x v="1"/>
    <x v="4"/>
    <s v="3252 J"/>
    <x v="44"/>
    <s v="Punjab Rusk "/>
    <s v="PP"/>
    <n v="20"/>
    <s v="6-6.5"/>
    <s v="1:1"/>
    <n v="400"/>
    <x v="0"/>
    <n v="4"/>
    <n v="469.8"/>
    <n v="12.4"/>
    <m/>
    <x v="0"/>
    <n v="457.40000000000003"/>
    <m/>
    <m/>
    <x v="0"/>
    <x v="0"/>
    <m/>
    <m/>
    <x v="0"/>
    <x v="0"/>
    <m/>
    <x v="0"/>
    <x v="0"/>
    <x v="0"/>
    <x v="0"/>
    <x v="0"/>
    <m/>
    <m/>
    <m/>
    <m/>
    <x v="0"/>
    <x v="0"/>
    <m/>
    <x v="0"/>
    <m/>
    <x v="0"/>
    <x v="0"/>
    <x v="0"/>
    <x v="0"/>
    <x v="0"/>
  </r>
  <r>
    <x v="0"/>
    <x v="0"/>
    <s v="3267 J"/>
    <x v="45"/>
    <s v="G Mart 1 KG"/>
    <s v="LDN"/>
    <n v="7"/>
    <s v="12-13"/>
    <s v="پیور"/>
    <n v="200"/>
    <x v="0"/>
    <n v="3"/>
    <n v="158.19999999999999"/>
    <n v="2.7"/>
    <m/>
    <x v="0"/>
    <n v="155.5"/>
    <m/>
    <m/>
    <x v="0"/>
    <x v="0"/>
    <m/>
    <m/>
    <x v="0"/>
    <x v="0"/>
    <m/>
    <x v="0"/>
    <x v="0"/>
    <x v="0"/>
    <x v="0"/>
    <x v="0"/>
    <m/>
    <m/>
    <m/>
    <m/>
    <x v="0"/>
    <x v="0"/>
    <m/>
    <x v="0"/>
    <m/>
    <x v="0"/>
    <x v="0"/>
    <x v="0"/>
    <x v="0"/>
    <x v="0"/>
  </r>
  <r>
    <x v="1"/>
    <x v="0"/>
    <s v="3268 J"/>
    <x v="45"/>
    <s v="G Mart 2 KG"/>
    <s v="LDN"/>
    <n v="9"/>
    <s v="14-15"/>
    <s v="پیور"/>
    <n v="100"/>
    <x v="0"/>
    <n v="2"/>
    <n v="115.6"/>
    <n v="2.2000000000000002"/>
    <m/>
    <x v="0"/>
    <n v="113.39999999999999"/>
    <m/>
    <m/>
    <x v="0"/>
    <x v="0"/>
    <m/>
    <m/>
    <x v="0"/>
    <x v="0"/>
    <m/>
    <x v="0"/>
    <x v="0"/>
    <x v="0"/>
    <x v="0"/>
    <x v="0"/>
    <m/>
    <m/>
    <m/>
    <m/>
    <x v="0"/>
    <x v="0"/>
    <m/>
    <x v="0"/>
    <m/>
    <x v="0"/>
    <x v="0"/>
    <x v="0"/>
    <x v="0"/>
    <x v="0"/>
  </r>
  <r>
    <x v="1"/>
    <x v="0"/>
    <s v="3301 J"/>
    <x v="45"/>
    <s v="Al Burak Deparmental Store"/>
    <s v="LDM"/>
    <n v="9"/>
    <s v="14-15"/>
    <s v="پیور"/>
    <n v="100"/>
    <x v="0"/>
    <n v="1"/>
    <n v="51.2"/>
    <n v="1.1000000000000001"/>
    <m/>
    <x v="0"/>
    <n v="50.1"/>
    <m/>
    <m/>
    <x v="0"/>
    <x v="0"/>
    <m/>
    <m/>
    <x v="0"/>
    <x v="0"/>
    <m/>
    <x v="0"/>
    <x v="0"/>
    <x v="0"/>
    <x v="0"/>
    <x v="0"/>
    <m/>
    <m/>
    <m/>
    <m/>
    <x v="0"/>
    <x v="0"/>
    <m/>
    <x v="0"/>
    <m/>
    <x v="0"/>
    <x v="0"/>
    <x v="0"/>
    <x v="0"/>
    <x v="0"/>
  </r>
  <r>
    <x v="0"/>
    <x v="3"/>
    <s v="1853 F"/>
    <x v="45"/>
    <s v="PLAIN POLY BAG"/>
    <s v="LDN"/>
    <s v="16 SHEET"/>
    <s v="3-3.5/6-6.5"/>
    <s v="پیور"/>
    <n v="800"/>
    <x v="0"/>
    <n v="6"/>
    <n v="331.8"/>
    <n v="0.96"/>
    <n v="7"/>
    <x v="0"/>
    <n v="330.84000000000003"/>
    <m/>
    <m/>
    <x v="0"/>
    <x v="0"/>
    <m/>
    <m/>
    <x v="0"/>
    <x v="0"/>
    <m/>
    <x v="0"/>
    <x v="0"/>
    <x v="0"/>
    <x v="0"/>
    <x v="0"/>
    <m/>
    <m/>
    <m/>
    <m/>
    <x v="0"/>
    <x v="0"/>
    <m/>
    <x v="0"/>
    <m/>
    <x v="0"/>
    <x v="0"/>
    <x v="0"/>
    <x v="0"/>
    <x v="0"/>
  </r>
  <r>
    <x v="1"/>
    <x v="3"/>
    <s v="1853 F"/>
    <x v="45"/>
    <s v="PLAIN POLY BAG"/>
    <s v="LDN"/>
    <s v="16 SHEET"/>
    <s v="3-3.5/6-6.5"/>
    <s v="پیور"/>
    <n v="800"/>
    <x v="0"/>
    <n v="4"/>
    <n v="298"/>
    <n v="4.1899999999999995"/>
    <m/>
    <x v="0"/>
    <n v="293.81"/>
    <m/>
    <m/>
    <x v="0"/>
    <x v="0"/>
    <m/>
    <m/>
    <x v="0"/>
    <x v="0"/>
    <m/>
    <x v="0"/>
    <x v="0"/>
    <x v="0"/>
    <x v="0"/>
    <x v="0"/>
    <m/>
    <m/>
    <m/>
    <m/>
    <x v="0"/>
    <x v="0"/>
    <m/>
    <x v="0"/>
    <m/>
    <x v="0"/>
    <x v="0"/>
    <x v="0"/>
    <x v="0"/>
    <x v="0"/>
  </r>
  <r>
    <x v="0"/>
    <x v="6"/>
    <n v="2769"/>
    <x v="45"/>
    <s v="MATCO FOOD"/>
    <s v="LDN"/>
    <s v="23-23.5"/>
    <s v="70 G+-1"/>
    <s v="SL"/>
    <s v="3500 (100 BAG)"/>
    <x v="0"/>
    <n v="5"/>
    <n v="496.3"/>
    <n v="14"/>
    <n v="8"/>
    <x v="0"/>
    <n v="482.3"/>
    <m/>
    <m/>
    <x v="0"/>
    <x v="0"/>
    <m/>
    <m/>
    <x v="0"/>
    <x v="0"/>
    <m/>
    <x v="0"/>
    <x v="0"/>
    <x v="0"/>
    <x v="0"/>
    <x v="0"/>
    <m/>
    <m/>
    <m/>
    <m/>
    <x v="0"/>
    <x v="0"/>
    <m/>
    <x v="0"/>
    <m/>
    <x v="0"/>
    <x v="0"/>
    <x v="0"/>
    <x v="0"/>
    <x v="0"/>
  </r>
  <r>
    <x v="1"/>
    <x v="6"/>
    <s v="3304 J"/>
    <x v="45"/>
    <s v="Plain Lafafa IHSAN Cotton "/>
    <s v="LDN"/>
    <n v="23"/>
    <n v="6"/>
    <s v="AA کولٹی"/>
    <n v="300"/>
    <x v="0"/>
    <n v="5"/>
    <n v="315.5"/>
    <n v="11.5"/>
    <n v="11"/>
    <x v="0"/>
    <n v="304"/>
    <m/>
    <m/>
    <x v="0"/>
    <x v="0"/>
    <m/>
    <m/>
    <x v="0"/>
    <x v="0"/>
    <m/>
    <x v="0"/>
    <x v="0"/>
    <x v="0"/>
    <x v="0"/>
    <x v="0"/>
    <m/>
    <m/>
    <m/>
    <m/>
    <x v="0"/>
    <x v="0"/>
    <m/>
    <x v="0"/>
    <m/>
    <x v="0"/>
    <x v="0"/>
    <x v="0"/>
    <x v="0"/>
    <x v="0"/>
  </r>
  <r>
    <x v="1"/>
    <x v="6"/>
    <s v="PACKING"/>
    <x v="45"/>
    <s v="-"/>
    <s v="-"/>
    <s v="-"/>
    <s v="-"/>
    <s v="-"/>
    <s v="-"/>
    <x v="0"/>
    <n v="2"/>
    <n v="80.599999999999994"/>
    <n v="4.3"/>
    <m/>
    <x v="0"/>
    <n v="76.3"/>
    <m/>
    <m/>
    <x v="0"/>
    <x v="0"/>
    <m/>
    <m/>
    <x v="0"/>
    <x v="0"/>
    <m/>
    <x v="0"/>
    <x v="0"/>
    <x v="0"/>
    <x v="0"/>
    <x v="0"/>
    <m/>
    <m/>
    <m/>
    <m/>
    <x v="0"/>
    <x v="0"/>
    <m/>
    <x v="0"/>
    <m/>
    <x v="0"/>
    <x v="0"/>
    <x v="0"/>
    <x v="0"/>
    <x v="0"/>
  </r>
  <r>
    <x v="1"/>
    <x v="6"/>
    <s v="1861 F"/>
    <x v="45"/>
    <s v="RDK WARNING"/>
    <s v="LDN"/>
    <n v="19.25"/>
    <s v="9-9.5"/>
    <s v="جیلانی شیٹ"/>
    <n v="160"/>
    <x v="0"/>
    <n v="1"/>
    <n v="65.2"/>
    <n v="2.1"/>
    <m/>
    <x v="0"/>
    <n v="63.1"/>
    <m/>
    <m/>
    <x v="0"/>
    <x v="0"/>
    <m/>
    <m/>
    <x v="0"/>
    <x v="0"/>
    <m/>
    <x v="0"/>
    <x v="0"/>
    <x v="0"/>
    <x v="0"/>
    <x v="0"/>
    <m/>
    <m/>
    <m/>
    <m/>
    <x v="0"/>
    <x v="0"/>
    <m/>
    <x v="0"/>
    <m/>
    <x v="0"/>
    <x v="0"/>
    <x v="0"/>
    <x v="0"/>
    <x v="0"/>
  </r>
  <r>
    <x v="0"/>
    <x v="4"/>
    <s v="3352 J"/>
    <x v="45"/>
    <s v="Jilani Sheet Stock"/>
    <s v="LDN"/>
    <s v="26&quot;شیٹ"/>
    <s v="8-8.5/16-17"/>
    <s v="پیور"/>
    <n v="5000"/>
    <x v="0"/>
    <n v="6"/>
    <n v="579"/>
    <n v="19.200000000000003"/>
    <n v="19"/>
    <x v="0"/>
    <n v="559.79999999999995"/>
    <m/>
    <m/>
    <x v="0"/>
    <x v="0"/>
    <m/>
    <m/>
    <x v="0"/>
    <x v="0"/>
    <m/>
    <x v="0"/>
    <x v="0"/>
    <x v="0"/>
    <x v="0"/>
    <x v="0"/>
    <m/>
    <m/>
    <m/>
    <m/>
    <x v="0"/>
    <x v="0"/>
    <m/>
    <x v="0"/>
    <m/>
    <x v="0"/>
    <x v="0"/>
    <x v="0"/>
    <x v="0"/>
    <x v="0"/>
  </r>
  <r>
    <x v="1"/>
    <x v="4"/>
    <s v="3286 J"/>
    <x v="45"/>
    <s v="Fresh In Small Bread"/>
    <s v="LDN"/>
    <s v="28 شیٹ"/>
    <s v="-"/>
    <s v="پیور"/>
    <n v="100"/>
    <x v="0"/>
    <n v="2"/>
    <n v="107.6"/>
    <n v="7.6"/>
    <n v="17"/>
    <x v="0"/>
    <n v="100"/>
    <m/>
    <m/>
    <x v="0"/>
    <x v="0"/>
    <m/>
    <m/>
    <x v="0"/>
    <x v="0"/>
    <m/>
    <x v="0"/>
    <x v="0"/>
    <x v="0"/>
    <x v="0"/>
    <x v="0"/>
    <m/>
    <m/>
    <m/>
    <m/>
    <x v="0"/>
    <x v="0"/>
    <m/>
    <x v="0"/>
    <m/>
    <x v="0"/>
    <x v="0"/>
    <x v="0"/>
    <x v="0"/>
    <x v="0"/>
  </r>
  <r>
    <x v="1"/>
    <x v="4"/>
    <s v="3141 J"/>
    <x v="45"/>
    <s v="Golden Acrylic Glue 500 Gram"/>
    <s v="LDN"/>
    <s v="510 MM"/>
    <s v="15-16/30-32"/>
    <s v="پیور"/>
    <n v="1000"/>
    <x v="0"/>
    <n v="4"/>
    <n v="403.00000000000006"/>
    <n v="10.4"/>
    <m/>
    <x v="0"/>
    <n v="392.60000000000008"/>
    <m/>
    <m/>
    <x v="0"/>
    <x v="0"/>
    <m/>
    <m/>
    <x v="0"/>
    <x v="0"/>
    <m/>
    <x v="0"/>
    <x v="0"/>
    <x v="0"/>
    <x v="0"/>
    <x v="0"/>
    <m/>
    <m/>
    <m/>
    <m/>
    <x v="0"/>
    <x v="0"/>
    <m/>
    <x v="0"/>
    <m/>
    <x v="0"/>
    <x v="0"/>
    <x v="0"/>
    <x v="0"/>
    <x v="0"/>
  </r>
  <r>
    <x v="0"/>
    <x v="0"/>
    <s v="3301 J"/>
    <x v="46"/>
    <s v="Al Burak Deparmental Store"/>
    <s v="LDM"/>
    <n v="9"/>
    <s v="14-15"/>
    <s v="پیور"/>
    <n v="100"/>
    <x v="0"/>
    <n v="1"/>
    <n v="67.2"/>
    <n v="1.1000000000000001"/>
    <n v="2"/>
    <x v="0"/>
    <n v="66.100000000000009"/>
    <m/>
    <m/>
    <x v="0"/>
    <x v="0"/>
    <m/>
    <m/>
    <x v="0"/>
    <x v="0"/>
    <m/>
    <x v="0"/>
    <x v="0"/>
    <x v="0"/>
    <x v="0"/>
    <x v="0"/>
    <m/>
    <m/>
    <m/>
    <m/>
    <x v="0"/>
    <x v="0"/>
    <m/>
    <x v="0"/>
    <m/>
    <x v="0"/>
    <x v="0"/>
    <x v="0"/>
    <x v="0"/>
    <x v="0"/>
  </r>
  <r>
    <x v="0"/>
    <x v="0"/>
    <s v="3340 J"/>
    <x v="46"/>
    <s v="Chezo Cheez"/>
    <s v="LDN"/>
    <n v="11"/>
    <n v="18"/>
    <s v="پیور"/>
    <n v="100"/>
    <x v="0"/>
    <n v="1"/>
    <n v="61.2"/>
    <n v="1.3"/>
    <m/>
    <x v="0"/>
    <n v="59.900000000000006"/>
    <m/>
    <m/>
    <x v="0"/>
    <x v="0"/>
    <m/>
    <m/>
    <x v="0"/>
    <x v="0"/>
    <m/>
    <x v="0"/>
    <x v="0"/>
    <x v="0"/>
    <x v="0"/>
    <x v="0"/>
    <m/>
    <m/>
    <m/>
    <m/>
    <x v="0"/>
    <x v="0"/>
    <m/>
    <x v="0"/>
    <m/>
    <x v="0"/>
    <x v="0"/>
    <x v="0"/>
    <x v="0"/>
    <x v="0"/>
  </r>
  <r>
    <x v="0"/>
    <x v="0"/>
    <s v="1888 F"/>
    <x v="46"/>
    <s v="STANCE WARNING"/>
    <s v="LDN"/>
    <n v="11"/>
    <s v="7-7.5"/>
    <s v="پیور"/>
    <n v="10"/>
    <x v="0"/>
    <n v="2"/>
    <n v="58.4"/>
    <n v="2.6"/>
    <m/>
    <x v="0"/>
    <n v="55.8"/>
    <m/>
    <m/>
    <x v="0"/>
    <x v="0"/>
    <m/>
    <m/>
    <x v="0"/>
    <x v="0"/>
    <m/>
    <x v="0"/>
    <x v="0"/>
    <x v="0"/>
    <x v="0"/>
    <x v="0"/>
    <m/>
    <m/>
    <m/>
    <m/>
    <x v="0"/>
    <x v="0"/>
    <m/>
    <x v="0"/>
    <m/>
    <x v="0"/>
    <x v="0"/>
    <x v="0"/>
    <x v="0"/>
    <x v="0"/>
  </r>
  <r>
    <x v="1"/>
    <x v="0"/>
    <s v="3340 J"/>
    <x v="46"/>
    <s v="Chezo Cheez"/>
    <s v="LDN"/>
    <n v="11"/>
    <n v="18"/>
    <s v="پیور"/>
    <n v="100"/>
    <x v="0"/>
    <n v="1"/>
    <n v="40.4"/>
    <n v="1.3"/>
    <m/>
    <x v="0"/>
    <n v="39.1"/>
    <m/>
    <m/>
    <x v="0"/>
    <x v="0"/>
    <m/>
    <m/>
    <x v="0"/>
    <x v="0"/>
    <m/>
    <x v="0"/>
    <x v="0"/>
    <x v="0"/>
    <x v="0"/>
    <x v="0"/>
    <m/>
    <m/>
    <m/>
    <m/>
    <x v="0"/>
    <x v="0"/>
    <m/>
    <x v="0"/>
    <m/>
    <x v="0"/>
    <x v="0"/>
    <x v="0"/>
    <x v="0"/>
    <x v="0"/>
  </r>
  <r>
    <x v="1"/>
    <x v="0"/>
    <s v="3305 J"/>
    <x v="46"/>
    <s v="Smart Food Logo"/>
    <s v="LDN"/>
    <n v="6"/>
    <s v="12-12.5"/>
    <s v="پیور"/>
    <n v="150"/>
    <x v="0"/>
    <n v="3"/>
    <n v="121.60000000000001"/>
    <n v="2.4000000000000004"/>
    <m/>
    <x v="0"/>
    <n v="119.2"/>
    <m/>
    <m/>
    <x v="0"/>
    <x v="0"/>
    <m/>
    <m/>
    <x v="0"/>
    <x v="0"/>
    <m/>
    <x v="0"/>
    <x v="0"/>
    <x v="0"/>
    <x v="0"/>
    <x v="0"/>
    <m/>
    <m/>
    <m/>
    <m/>
    <x v="0"/>
    <x v="0"/>
    <m/>
    <x v="0"/>
    <m/>
    <x v="0"/>
    <x v="0"/>
    <x v="0"/>
    <x v="0"/>
    <x v="0"/>
  </r>
  <r>
    <x v="0"/>
    <x v="3"/>
    <s v="1853 F"/>
    <x v="46"/>
    <s v="PLAIN POLY BAG"/>
    <s v="LDN"/>
    <s v="16 SHEET"/>
    <s v="3-3.5/6-6.5"/>
    <s v="پیور"/>
    <n v="800"/>
    <x v="0"/>
    <n v="5"/>
    <n v="344.4"/>
    <n v="9.5"/>
    <n v="7"/>
    <x v="0"/>
    <n v="334.9"/>
    <m/>
    <m/>
    <x v="0"/>
    <x v="0"/>
    <m/>
    <m/>
    <x v="0"/>
    <x v="0"/>
    <m/>
    <x v="0"/>
    <x v="0"/>
    <x v="0"/>
    <x v="0"/>
    <x v="0"/>
    <m/>
    <m/>
    <m/>
    <m/>
    <x v="0"/>
    <x v="0"/>
    <m/>
    <x v="0"/>
    <m/>
    <x v="0"/>
    <x v="0"/>
    <x v="0"/>
    <x v="0"/>
    <x v="0"/>
  </r>
  <r>
    <x v="1"/>
    <x v="3"/>
    <s v="1853 F"/>
    <x v="46"/>
    <s v="PLAIN POLY BAG"/>
    <s v="LDN"/>
    <s v="16 SHEET"/>
    <s v="3-3.5/6-6.5"/>
    <s v="پیور"/>
    <n v="800"/>
    <x v="0"/>
    <n v="4"/>
    <n v="276.29999999999995"/>
    <n v="7.6"/>
    <m/>
    <x v="0"/>
    <n v="268.69999999999993"/>
    <m/>
    <m/>
    <x v="0"/>
    <x v="0"/>
    <m/>
    <m/>
    <x v="0"/>
    <x v="0"/>
    <m/>
    <x v="0"/>
    <x v="0"/>
    <x v="0"/>
    <x v="0"/>
    <x v="0"/>
    <m/>
    <m/>
    <m/>
    <m/>
    <x v="0"/>
    <x v="0"/>
    <m/>
    <x v="0"/>
    <m/>
    <x v="0"/>
    <x v="0"/>
    <x v="0"/>
    <x v="0"/>
    <x v="0"/>
  </r>
  <r>
    <x v="0"/>
    <x v="6"/>
    <s v="1861 F"/>
    <x v="46"/>
    <s v="RDK WARNING"/>
    <s v="LDN"/>
    <n v="19.25"/>
    <s v="9-9.5"/>
    <s v="جیلانی شیٹ"/>
    <n v="160"/>
    <x v="0"/>
    <n v="2"/>
    <n v="117.2"/>
    <n v="4.2"/>
    <m/>
    <x v="0"/>
    <n v="113"/>
    <m/>
    <m/>
    <x v="0"/>
    <x v="0"/>
    <m/>
    <m/>
    <x v="0"/>
    <x v="0"/>
    <m/>
    <x v="0"/>
    <x v="0"/>
    <x v="0"/>
    <x v="0"/>
    <x v="0"/>
    <m/>
    <m/>
    <m/>
    <m/>
    <x v="0"/>
    <x v="0"/>
    <m/>
    <x v="0"/>
    <m/>
    <x v="0"/>
    <x v="0"/>
    <x v="0"/>
    <x v="0"/>
    <x v="0"/>
  </r>
  <r>
    <x v="0"/>
    <x v="6"/>
    <s v="1856 F"/>
    <x v="46"/>
    <s v="RECYCLE LOGO+WARNING+L"/>
    <s v="LDN"/>
    <n v="19"/>
    <s v="5.5-6"/>
    <s v="جیلانی شیٹ"/>
    <n v="105"/>
    <x v="0"/>
    <n v="2"/>
    <n v="100.2"/>
    <n v="4.8"/>
    <m/>
    <x v="0"/>
    <n v="95.4"/>
    <m/>
    <m/>
    <x v="0"/>
    <x v="0"/>
    <m/>
    <m/>
    <x v="0"/>
    <x v="0"/>
    <m/>
    <x v="0"/>
    <x v="0"/>
    <x v="0"/>
    <x v="0"/>
    <x v="0"/>
    <m/>
    <m/>
    <m/>
    <m/>
    <x v="0"/>
    <x v="0"/>
    <m/>
    <x v="0"/>
    <m/>
    <x v="0"/>
    <x v="0"/>
    <x v="0"/>
    <x v="0"/>
    <x v="0"/>
  </r>
  <r>
    <x v="0"/>
    <x v="6"/>
    <s v="1874 F"/>
    <x v="46"/>
    <s v="PLAIN POLY BAG"/>
    <s v="LDN"/>
    <n v="18"/>
    <s v="5-5.5"/>
    <s v="پیور"/>
    <n v="500"/>
    <x v="0"/>
    <n v="2"/>
    <n v="93.8"/>
    <n v="4.5999999999999996"/>
    <m/>
    <x v="0"/>
    <n v="89.2"/>
    <m/>
    <m/>
    <x v="0"/>
    <x v="0"/>
    <m/>
    <m/>
    <x v="0"/>
    <x v="0"/>
    <m/>
    <x v="0"/>
    <x v="0"/>
    <x v="0"/>
    <x v="0"/>
    <x v="0"/>
    <m/>
    <m/>
    <m/>
    <m/>
    <x v="0"/>
    <x v="0"/>
    <m/>
    <x v="0"/>
    <m/>
    <x v="0"/>
    <x v="0"/>
    <x v="0"/>
    <x v="0"/>
    <x v="0"/>
  </r>
  <r>
    <x v="0"/>
    <x v="6"/>
    <s v="1880 F"/>
    <x v="46"/>
    <s v="C+PELD LOGO"/>
    <s v="LDN"/>
    <n v="18"/>
    <s v="6"/>
    <s v="جیلانی شیٹ"/>
    <n v="55"/>
    <x v="0"/>
    <n v="2"/>
    <n v="58.2"/>
    <n v="4.5999999999999996"/>
    <m/>
    <x v="0"/>
    <n v="53.6"/>
    <m/>
    <m/>
    <x v="0"/>
    <x v="0"/>
    <m/>
    <m/>
    <x v="0"/>
    <x v="0"/>
    <m/>
    <x v="0"/>
    <x v="0"/>
    <x v="0"/>
    <x v="0"/>
    <x v="0"/>
    <m/>
    <m/>
    <m/>
    <m/>
    <x v="0"/>
    <x v="0"/>
    <m/>
    <x v="0"/>
    <m/>
    <x v="0"/>
    <x v="0"/>
    <x v="0"/>
    <x v="0"/>
    <x v="0"/>
  </r>
  <r>
    <x v="0"/>
    <x v="6"/>
    <s v="1855 F"/>
    <x v="46"/>
    <s v="RECYCLE LOGO+WARNING+L"/>
    <s v="LDN"/>
    <n v="18"/>
    <s v="5.5-6"/>
    <s v="جیلانی شیٹ"/>
    <n v="170"/>
    <x v="0"/>
    <n v="2"/>
    <n v="84.8"/>
    <n v="4.5999999999999996"/>
    <m/>
    <x v="0"/>
    <n v="80.2"/>
    <m/>
    <m/>
    <x v="0"/>
    <x v="0"/>
    <m/>
    <m/>
    <x v="0"/>
    <x v="0"/>
    <m/>
    <x v="0"/>
    <x v="0"/>
    <x v="0"/>
    <x v="0"/>
    <x v="0"/>
    <m/>
    <m/>
    <m/>
    <m/>
    <x v="0"/>
    <x v="0"/>
    <m/>
    <x v="0"/>
    <m/>
    <x v="0"/>
    <x v="0"/>
    <x v="0"/>
    <x v="0"/>
    <x v="0"/>
  </r>
  <r>
    <x v="1"/>
    <x v="6"/>
    <s v="1855 F"/>
    <x v="46"/>
    <s v="RECYCLE LOGO+WARNING+L"/>
    <s v="LDN"/>
    <n v="18"/>
    <s v="5.5-6"/>
    <s v="جیلانی شیٹ"/>
    <n v="170"/>
    <x v="0"/>
    <n v="2"/>
    <n v="97.4"/>
    <n v="4.5"/>
    <n v="20"/>
    <x v="0"/>
    <n v="92.9"/>
    <m/>
    <m/>
    <x v="0"/>
    <x v="0"/>
    <m/>
    <m/>
    <x v="0"/>
    <x v="0"/>
    <m/>
    <x v="0"/>
    <x v="0"/>
    <x v="0"/>
    <x v="0"/>
    <x v="0"/>
    <m/>
    <m/>
    <m/>
    <m/>
    <x v="0"/>
    <x v="0"/>
    <m/>
    <x v="0"/>
    <m/>
    <x v="0"/>
    <x v="0"/>
    <x v="0"/>
    <x v="0"/>
    <x v="0"/>
  </r>
  <r>
    <x v="1"/>
    <x v="6"/>
    <s v="1881 F"/>
    <x v="46"/>
    <s v="C+PELD LOGO"/>
    <s v="LDN"/>
    <n v="26"/>
    <s v="6"/>
    <s v="جیلانی شیٹ"/>
    <n v="100"/>
    <x v="0"/>
    <n v="2"/>
    <n v="111.6"/>
    <n v="6.6"/>
    <m/>
    <x v="0"/>
    <n v="105"/>
    <m/>
    <m/>
    <x v="0"/>
    <x v="0"/>
    <m/>
    <m/>
    <x v="0"/>
    <x v="0"/>
    <m/>
    <x v="0"/>
    <x v="0"/>
    <x v="0"/>
    <x v="0"/>
    <x v="0"/>
    <m/>
    <m/>
    <m/>
    <m/>
    <x v="0"/>
    <x v="0"/>
    <m/>
    <x v="0"/>
    <m/>
    <x v="0"/>
    <x v="0"/>
    <x v="0"/>
    <x v="0"/>
    <x v="0"/>
  </r>
  <r>
    <x v="1"/>
    <x v="6"/>
    <s v="1876 F"/>
    <x v="46"/>
    <s v="EYE SPORTS WARNING"/>
    <s v="LDN"/>
    <n v="26"/>
    <s v="12"/>
    <s v="جیلانی شیٹ"/>
    <n v="60"/>
    <x v="0"/>
    <n v="1"/>
    <n v="65"/>
    <n v="3.3"/>
    <m/>
    <x v="0"/>
    <n v="61.7"/>
    <m/>
    <m/>
    <x v="0"/>
    <x v="0"/>
    <m/>
    <m/>
    <x v="0"/>
    <x v="0"/>
    <m/>
    <x v="0"/>
    <x v="0"/>
    <x v="0"/>
    <x v="0"/>
    <x v="0"/>
    <m/>
    <m/>
    <m/>
    <m/>
    <x v="0"/>
    <x v="0"/>
    <m/>
    <x v="0"/>
    <m/>
    <x v="0"/>
    <x v="0"/>
    <x v="0"/>
    <x v="0"/>
    <x v="0"/>
  </r>
  <r>
    <x v="1"/>
    <x v="6"/>
    <s v="1893 F"/>
    <x v="46"/>
    <s v="TEDDY SMITH WARNING"/>
    <s v="LDN"/>
    <n v="28.5"/>
    <s v="7.5-8"/>
    <s v="پیور"/>
    <n v="420"/>
    <x v="0"/>
    <n v="4"/>
    <n v="216.60000000000002"/>
    <n v="13.5"/>
    <m/>
    <x v="0"/>
    <n v="203.10000000000002"/>
    <m/>
    <m/>
    <x v="0"/>
    <x v="0"/>
    <m/>
    <m/>
    <x v="0"/>
    <x v="0"/>
    <m/>
    <x v="0"/>
    <x v="0"/>
    <x v="0"/>
    <x v="0"/>
    <x v="0"/>
    <m/>
    <m/>
    <m/>
    <m/>
    <x v="0"/>
    <x v="0"/>
    <m/>
    <x v="0"/>
    <m/>
    <x v="0"/>
    <x v="0"/>
    <x v="0"/>
    <x v="0"/>
    <x v="0"/>
  </r>
  <r>
    <x v="0"/>
    <x v="4"/>
    <s v="3316 J"/>
    <x v="46"/>
    <s v="PhotoCell 1 Kg"/>
    <s v="LDN"/>
    <s v="525 MM"/>
    <s v="15-16/30-32"/>
    <s v="پیور"/>
    <n v="100"/>
    <x v="0"/>
    <n v="1"/>
    <n v="103.8"/>
    <n v="2.6"/>
    <n v="50"/>
    <x v="0"/>
    <n v="101.2"/>
    <m/>
    <m/>
    <x v="0"/>
    <x v="0"/>
    <m/>
    <m/>
    <x v="0"/>
    <x v="0"/>
    <m/>
    <x v="0"/>
    <x v="0"/>
    <x v="0"/>
    <x v="0"/>
    <x v="0"/>
    <m/>
    <m/>
    <m/>
    <m/>
    <x v="0"/>
    <x v="0"/>
    <m/>
    <x v="0"/>
    <m/>
    <x v="0"/>
    <x v="0"/>
    <x v="0"/>
    <x v="0"/>
    <x v="0"/>
  </r>
  <r>
    <x v="0"/>
    <x v="4"/>
    <s v="3317 J"/>
    <x v="46"/>
    <s v="PhotoCell 500 Gram"/>
    <s v="LDN"/>
    <s v="525 MM"/>
    <s v="15-16/30-32"/>
    <s v="پیور"/>
    <n v="100"/>
    <x v="0"/>
    <n v="1"/>
    <n v="102.8"/>
    <n v="2.6"/>
    <m/>
    <x v="0"/>
    <n v="100.2"/>
    <m/>
    <m/>
    <x v="0"/>
    <x v="0"/>
    <m/>
    <m/>
    <x v="0"/>
    <x v="0"/>
    <m/>
    <x v="0"/>
    <x v="0"/>
    <x v="0"/>
    <x v="0"/>
    <x v="0"/>
    <m/>
    <m/>
    <m/>
    <m/>
    <x v="0"/>
    <x v="0"/>
    <m/>
    <x v="0"/>
    <m/>
    <x v="0"/>
    <x v="0"/>
    <x v="0"/>
    <x v="0"/>
    <x v="0"/>
  </r>
  <r>
    <x v="0"/>
    <x v="4"/>
    <s v="3141 J"/>
    <x v="46"/>
    <s v="Golden Acrylic Glue 500 Gram"/>
    <s v="LDN"/>
    <s v="510 MM"/>
    <s v="15-16/30-32"/>
    <s v="پیور"/>
    <n v="1000"/>
    <x v="0"/>
    <n v="2"/>
    <n v="232.8"/>
    <n v="5.2"/>
    <m/>
    <x v="0"/>
    <n v="227.60000000000002"/>
    <m/>
    <m/>
    <x v="0"/>
    <x v="0"/>
    <m/>
    <m/>
    <x v="0"/>
    <x v="0"/>
    <m/>
    <x v="0"/>
    <x v="0"/>
    <x v="0"/>
    <x v="0"/>
    <x v="0"/>
    <m/>
    <m/>
    <m/>
    <m/>
    <x v="0"/>
    <x v="0"/>
    <m/>
    <x v="0"/>
    <m/>
    <x v="0"/>
    <x v="0"/>
    <x v="0"/>
    <x v="0"/>
    <x v="0"/>
  </r>
  <r>
    <x v="1"/>
    <x v="4"/>
    <s v="3352 J"/>
    <x v="46"/>
    <s v="Jilani Sheet Stock"/>
    <s v="LDN"/>
    <s v="26&quot;شیٹ"/>
    <s v="8-8.5/16-17"/>
    <s v="پیور"/>
    <n v="5000"/>
    <x v="0"/>
    <n v="6"/>
    <n v="584"/>
    <n v="19.200000000000003"/>
    <m/>
    <x v="0"/>
    <n v="564.79999999999995"/>
    <m/>
    <m/>
    <x v="0"/>
    <x v="0"/>
    <m/>
    <m/>
    <x v="0"/>
    <x v="0"/>
    <m/>
    <x v="0"/>
    <x v="0"/>
    <x v="0"/>
    <x v="0"/>
    <x v="0"/>
    <m/>
    <m/>
    <m/>
    <m/>
    <x v="0"/>
    <x v="0"/>
    <m/>
    <x v="0"/>
    <m/>
    <x v="0"/>
    <x v="0"/>
    <x v="0"/>
    <x v="0"/>
    <x v="0"/>
  </r>
  <r>
    <x v="0"/>
    <x v="0"/>
    <s v="3305 J"/>
    <x v="47"/>
    <s v="Smart Food Logo"/>
    <s v="LDN"/>
    <n v="6"/>
    <s v="12-12.5"/>
    <s v="پیور"/>
    <n v="150"/>
    <x v="0"/>
    <n v="1"/>
    <n v="35.6"/>
    <n v="0.8"/>
    <n v="14"/>
    <x v="0"/>
    <s v=" "/>
    <m/>
    <m/>
    <x v="0"/>
    <x v="0"/>
    <m/>
    <m/>
    <x v="0"/>
    <x v="0"/>
    <m/>
    <x v="0"/>
    <x v="0"/>
    <x v="0"/>
    <x v="0"/>
    <x v="0"/>
    <m/>
    <m/>
    <m/>
    <m/>
    <x v="0"/>
    <x v="0"/>
    <m/>
    <x v="0"/>
    <m/>
    <x v="0"/>
    <x v="0"/>
    <x v="0"/>
    <x v="0"/>
    <x v="0"/>
  </r>
  <r>
    <x v="0"/>
    <x v="0"/>
    <s v="3306 J"/>
    <x v="47"/>
    <s v="Smart Food Logo"/>
    <s v="LDN"/>
    <n v="5"/>
    <s v="12-12.5"/>
    <s v="پیور"/>
    <n v="100"/>
    <x v="0"/>
    <n v="2"/>
    <n v="77.2"/>
    <n v="0.4"/>
    <m/>
    <x v="0"/>
    <n v="76.8"/>
    <m/>
    <m/>
    <x v="0"/>
    <x v="0"/>
    <m/>
    <m/>
    <x v="0"/>
    <x v="0"/>
    <m/>
    <x v="0"/>
    <x v="0"/>
    <x v="0"/>
    <x v="0"/>
    <x v="0"/>
    <m/>
    <m/>
    <m/>
    <m/>
    <x v="0"/>
    <x v="0"/>
    <m/>
    <x v="0"/>
    <m/>
    <x v="0"/>
    <x v="0"/>
    <x v="0"/>
    <x v="0"/>
    <x v="0"/>
  </r>
  <r>
    <x v="1"/>
    <x v="0"/>
    <s v="3306 J"/>
    <x v="47"/>
    <s v="Smart Food Logo"/>
    <s v="LDN"/>
    <n v="5"/>
    <s v="12-12.5"/>
    <s v="پیور"/>
    <n v="100"/>
    <x v="0"/>
    <n v="1"/>
    <n v="32.799999999999997"/>
    <n v="0.8"/>
    <m/>
    <x v="0"/>
    <n v="31.999999999999996"/>
    <m/>
    <m/>
    <x v="0"/>
    <x v="0"/>
    <m/>
    <m/>
    <x v="0"/>
    <x v="0"/>
    <m/>
    <x v="0"/>
    <x v="0"/>
    <x v="0"/>
    <x v="0"/>
    <x v="0"/>
    <m/>
    <m/>
    <m/>
    <m/>
    <x v="0"/>
    <x v="0"/>
    <m/>
    <x v="0"/>
    <m/>
    <x v="0"/>
    <x v="0"/>
    <x v="0"/>
    <x v="0"/>
    <x v="0"/>
  </r>
  <r>
    <x v="1"/>
    <x v="0"/>
    <s v="3376 J"/>
    <x v="47"/>
    <s v="Atlas Honda LTD (SKP)"/>
    <s v="LDN"/>
    <n v="8"/>
    <s v="8.5-9"/>
    <s v="LDN"/>
    <n v="250"/>
    <x v="0"/>
    <n v="2"/>
    <n v="87"/>
    <n v="2"/>
    <m/>
    <x v="0"/>
    <n v="85"/>
    <m/>
    <m/>
    <x v="0"/>
    <x v="0"/>
    <m/>
    <m/>
    <x v="0"/>
    <x v="0"/>
    <m/>
    <x v="0"/>
    <x v="0"/>
    <x v="0"/>
    <x v="0"/>
    <x v="0"/>
    <m/>
    <m/>
    <m/>
    <m/>
    <x v="0"/>
    <x v="0"/>
    <m/>
    <x v="0"/>
    <m/>
    <x v="0"/>
    <x v="0"/>
    <x v="0"/>
    <x v="0"/>
    <x v="0"/>
  </r>
  <r>
    <x v="0"/>
    <x v="3"/>
    <s v="1858 F"/>
    <x v="47"/>
    <s v="U H L WARNING"/>
    <s v="LDN"/>
    <n v="17"/>
    <s v="12"/>
    <s v="جیلانی شیٹ"/>
    <n v="800"/>
    <x v="0"/>
    <n v="3"/>
    <n v="176.20000000000002"/>
    <n v="6"/>
    <n v="7"/>
    <x v="0"/>
    <n v="170.20000000000002"/>
    <m/>
    <m/>
    <x v="0"/>
    <x v="0"/>
    <m/>
    <m/>
    <x v="0"/>
    <x v="0"/>
    <m/>
    <x v="0"/>
    <x v="0"/>
    <x v="0"/>
    <x v="0"/>
    <x v="0"/>
    <m/>
    <m/>
    <m/>
    <m/>
    <x v="0"/>
    <x v="0"/>
    <m/>
    <x v="0"/>
    <m/>
    <x v="0"/>
    <x v="0"/>
    <x v="0"/>
    <x v="0"/>
    <x v="0"/>
  </r>
  <r>
    <x v="0"/>
    <x v="3"/>
    <s v="SAMPLE"/>
    <x v="47"/>
    <s v="-"/>
    <s v="-"/>
    <s v="-"/>
    <s v="-"/>
    <s v="-"/>
    <s v="-"/>
    <x v="0"/>
    <n v="1"/>
    <n v="37.799999999999997"/>
    <n v="2.2000000000000002"/>
    <m/>
    <x v="0"/>
    <n v="35.599999999999994"/>
    <m/>
    <m/>
    <x v="0"/>
    <x v="0"/>
    <m/>
    <m/>
    <x v="0"/>
    <x v="0"/>
    <m/>
    <x v="0"/>
    <x v="0"/>
    <x v="0"/>
    <x v="0"/>
    <x v="0"/>
    <m/>
    <m/>
    <m/>
    <m/>
    <x v="0"/>
    <x v="0"/>
    <m/>
    <x v="0"/>
    <m/>
    <x v="0"/>
    <x v="0"/>
    <x v="0"/>
    <x v="0"/>
    <x v="0"/>
  </r>
  <r>
    <x v="0"/>
    <x v="3"/>
    <s v="3302 J"/>
    <x v="47"/>
    <s v="Amer Pak Bry Cleaners"/>
    <s v="LDN"/>
    <n v="14"/>
    <s v="4.5-5"/>
    <s v="پیور"/>
    <n v="150"/>
    <x v="0"/>
    <n v="2"/>
    <n v="53.8"/>
    <n v="3.2"/>
    <m/>
    <x v="0"/>
    <n v="50.599999999999994"/>
    <m/>
    <m/>
    <x v="0"/>
    <x v="0"/>
    <m/>
    <m/>
    <x v="0"/>
    <x v="0"/>
    <m/>
    <x v="0"/>
    <x v="0"/>
    <x v="0"/>
    <x v="0"/>
    <x v="0"/>
    <m/>
    <m/>
    <m/>
    <m/>
    <x v="0"/>
    <x v="0"/>
    <m/>
    <x v="0"/>
    <m/>
    <x v="0"/>
    <x v="0"/>
    <x v="0"/>
    <x v="0"/>
    <x v="0"/>
  </r>
  <r>
    <x v="1"/>
    <x v="3"/>
    <s v="3302 J"/>
    <x v="47"/>
    <s v="Amer Pak Bry Cleaners"/>
    <s v="LDN"/>
    <n v="14"/>
    <s v="4.5-5"/>
    <s v="پیور"/>
    <n v="150"/>
    <x v="0"/>
    <n v="2"/>
    <n v="65"/>
    <n v="3.6"/>
    <m/>
    <x v="0"/>
    <n v="61.4"/>
    <m/>
    <m/>
    <x v="0"/>
    <x v="0"/>
    <m/>
    <m/>
    <x v="0"/>
    <x v="0"/>
    <m/>
    <x v="0"/>
    <x v="0"/>
    <x v="0"/>
    <x v="0"/>
    <x v="0"/>
    <m/>
    <m/>
    <m/>
    <m/>
    <x v="0"/>
    <x v="0"/>
    <m/>
    <x v="0"/>
    <m/>
    <x v="0"/>
    <x v="0"/>
    <x v="0"/>
    <x v="0"/>
    <x v="0"/>
  </r>
  <r>
    <x v="1"/>
    <x v="3"/>
    <s v="3373 J"/>
    <x v="47"/>
    <s v="Atlas Honda LTD (SKP)"/>
    <s v="LDN"/>
    <n v="16"/>
    <s v="12.5-13"/>
    <s v="LDN"/>
    <n v="130"/>
    <x v="0"/>
    <n v="2"/>
    <n v="137.60000000000002"/>
    <n v="3.8"/>
    <m/>
    <x v="0"/>
    <n v="133.80000000000001"/>
    <m/>
    <m/>
    <x v="0"/>
    <x v="0"/>
    <m/>
    <m/>
    <x v="0"/>
    <x v="0"/>
    <m/>
    <x v="0"/>
    <x v="0"/>
    <x v="0"/>
    <x v="0"/>
    <x v="0"/>
    <m/>
    <m/>
    <m/>
    <m/>
    <x v="0"/>
    <x v="0"/>
    <m/>
    <x v="0"/>
    <m/>
    <x v="0"/>
    <x v="0"/>
    <x v="0"/>
    <x v="0"/>
    <x v="0"/>
  </r>
  <r>
    <x v="0"/>
    <x v="6"/>
    <s v="1893 F"/>
    <x v="47"/>
    <s v="TEDDY SMITH WARNING"/>
    <s v="LDN"/>
    <n v="28.5"/>
    <s v="7.5-8"/>
    <s v="پیور"/>
    <n v="420"/>
    <x v="0"/>
    <n v="4"/>
    <n v="202.8"/>
    <n v="13.6"/>
    <n v="4"/>
    <x v="0"/>
    <n v="189.20000000000002"/>
    <m/>
    <m/>
    <x v="0"/>
    <x v="0"/>
    <m/>
    <m/>
    <x v="0"/>
    <x v="0"/>
    <m/>
    <x v="0"/>
    <x v="0"/>
    <x v="0"/>
    <x v="0"/>
    <x v="0"/>
    <m/>
    <m/>
    <m/>
    <m/>
    <x v="0"/>
    <x v="0"/>
    <m/>
    <x v="0"/>
    <m/>
    <x v="0"/>
    <x v="0"/>
    <x v="0"/>
    <x v="0"/>
    <x v="0"/>
  </r>
  <r>
    <x v="0"/>
    <x v="6"/>
    <s v="3372 J"/>
    <x v="47"/>
    <s v="Atlas Honda LTD (SKP)"/>
    <s v="LDN"/>
    <n v="22"/>
    <s v="12.5-13"/>
    <s v="LDN"/>
    <n v="215"/>
    <x v="0"/>
    <n v="1"/>
    <n v="66.8"/>
    <n v="2.8"/>
    <m/>
    <x v="0"/>
    <n v="64"/>
    <m/>
    <m/>
    <x v="0"/>
    <x v="0"/>
    <m/>
    <m/>
    <x v="0"/>
    <x v="0"/>
    <m/>
    <x v="0"/>
    <x v="0"/>
    <x v="0"/>
    <x v="0"/>
    <x v="0"/>
    <m/>
    <m/>
    <m/>
    <m/>
    <x v="0"/>
    <x v="0"/>
    <m/>
    <x v="0"/>
    <m/>
    <x v="0"/>
    <x v="0"/>
    <x v="0"/>
    <x v="0"/>
    <x v="0"/>
  </r>
  <r>
    <x v="1"/>
    <x v="6"/>
    <s v="3372 J"/>
    <x v="47"/>
    <s v="Atlas Honda LTD (SKP)"/>
    <s v="LDN"/>
    <n v="22"/>
    <s v="12.5-13"/>
    <s v="LDN"/>
    <n v="215"/>
    <x v="0"/>
    <n v="2"/>
    <n v="152.4"/>
    <n v="5.4"/>
    <m/>
    <x v="0"/>
    <n v="147"/>
    <m/>
    <m/>
    <x v="0"/>
    <x v="0"/>
    <m/>
    <m/>
    <x v="0"/>
    <x v="0"/>
    <m/>
    <x v="0"/>
    <x v="0"/>
    <x v="0"/>
    <x v="0"/>
    <x v="0"/>
    <m/>
    <m/>
    <m/>
    <m/>
    <x v="0"/>
    <x v="0"/>
    <m/>
    <x v="0"/>
    <m/>
    <x v="0"/>
    <x v="0"/>
    <x v="0"/>
    <x v="0"/>
    <x v="0"/>
  </r>
  <r>
    <x v="1"/>
    <x v="6"/>
    <s v="3378 J"/>
    <x v="47"/>
    <s v="Atlas Honda LTD (SKP)"/>
    <s v="LDN"/>
    <n v="22"/>
    <s v="8.5-9"/>
    <s v="LDN"/>
    <n v="310"/>
    <x v="0"/>
    <n v="5"/>
    <n v="317.60000000000002"/>
    <n v="13"/>
    <n v="8"/>
    <x v="0"/>
    <n v="304.60000000000002"/>
    <m/>
    <m/>
    <x v="0"/>
    <x v="0"/>
    <m/>
    <m/>
    <x v="0"/>
    <x v="0"/>
    <m/>
    <x v="0"/>
    <x v="0"/>
    <x v="0"/>
    <x v="0"/>
    <x v="0"/>
    <m/>
    <m/>
    <m/>
    <m/>
    <x v="0"/>
    <x v="0"/>
    <m/>
    <x v="0"/>
    <m/>
    <x v="0"/>
    <x v="0"/>
    <x v="0"/>
    <x v="0"/>
    <x v="0"/>
  </r>
  <r>
    <x v="0"/>
    <x v="4"/>
    <s v="3352 J"/>
    <x v="47"/>
    <s v="Jilani Sheet Stock"/>
    <s v="LDN"/>
    <s v="26&quot;شیٹ"/>
    <s v="8-8.5/16-17"/>
    <s v="پیور"/>
    <n v="5000"/>
    <x v="0"/>
    <n v="2"/>
    <n v="220"/>
    <n v="6.4"/>
    <m/>
    <x v="0"/>
    <n v="213.6"/>
    <m/>
    <m/>
    <x v="0"/>
    <x v="0"/>
    <m/>
    <m/>
    <x v="0"/>
    <x v="0"/>
    <m/>
    <x v="0"/>
    <x v="0"/>
    <x v="0"/>
    <x v="0"/>
    <x v="0"/>
    <m/>
    <m/>
    <m/>
    <m/>
    <x v="0"/>
    <x v="0"/>
    <m/>
    <x v="0"/>
    <m/>
    <x v="0"/>
    <x v="0"/>
    <x v="0"/>
    <x v="0"/>
    <x v="0"/>
  </r>
  <r>
    <x v="0"/>
    <x v="4"/>
    <s v="1870 F"/>
    <x v="47"/>
    <s v="DUBBLE TREAT ROLL"/>
    <s v="LDN"/>
    <s v="36 شیٹ"/>
    <s v="3-3.3/6-6.5"/>
    <s v="پیور"/>
    <n v="300"/>
    <x v="0"/>
    <n v="4"/>
    <n v="330"/>
    <n v="18.399999999999999"/>
    <m/>
    <x v="0"/>
    <n v="311.60000000000002"/>
    <m/>
    <m/>
    <x v="0"/>
    <x v="0"/>
    <m/>
    <m/>
    <x v="0"/>
    <x v="0"/>
    <m/>
    <x v="0"/>
    <x v="0"/>
    <x v="0"/>
    <x v="0"/>
    <x v="0"/>
    <m/>
    <m/>
    <m/>
    <m/>
    <x v="0"/>
    <x v="0"/>
    <m/>
    <x v="0"/>
    <m/>
    <x v="0"/>
    <x v="0"/>
    <x v="0"/>
    <x v="0"/>
    <x v="0"/>
  </r>
  <r>
    <x v="0"/>
    <x v="4"/>
    <s v="1796 F"/>
    <x v="47"/>
    <s v="FORE CAST"/>
    <s v="LDN"/>
    <s v="39شیٹ"/>
    <s v="7/14"/>
    <s v="ABA پیور"/>
    <n v="120"/>
    <x v="0"/>
    <n v="2"/>
    <n v="131"/>
    <n v="10"/>
    <m/>
    <x v="0"/>
    <n v="121"/>
    <m/>
    <m/>
    <x v="0"/>
    <x v="0"/>
    <m/>
    <m/>
    <x v="0"/>
    <x v="0"/>
    <m/>
    <x v="0"/>
    <x v="0"/>
    <x v="0"/>
    <x v="0"/>
    <x v="0"/>
    <m/>
    <m/>
    <m/>
    <m/>
    <x v="0"/>
    <x v="0"/>
    <m/>
    <x v="0"/>
    <m/>
    <x v="0"/>
    <x v="0"/>
    <x v="0"/>
    <x v="0"/>
    <x v="0"/>
  </r>
  <r>
    <x v="0"/>
    <x v="4"/>
    <s v="3380 J"/>
    <x v="47"/>
    <s v="Atlas Honda LTD (SKP)"/>
    <s v="LDM"/>
    <s v="16.75&quot; شیٹ"/>
    <s v="7-7.5/14-15"/>
    <s v="LDM"/>
    <n v="300"/>
    <x v="0"/>
    <n v="4"/>
    <n v="315"/>
    <n v="4"/>
    <m/>
    <x v="0"/>
    <n v="311"/>
    <m/>
    <m/>
    <x v="0"/>
    <x v="0"/>
    <m/>
    <m/>
    <x v="0"/>
    <x v="0"/>
    <m/>
    <x v="0"/>
    <x v="0"/>
    <x v="0"/>
    <x v="0"/>
    <x v="0"/>
    <m/>
    <m/>
    <m/>
    <m/>
    <x v="0"/>
    <x v="0"/>
    <m/>
    <x v="0"/>
    <m/>
    <x v="0"/>
    <x v="0"/>
    <x v="0"/>
    <x v="0"/>
    <x v="0"/>
  </r>
  <r>
    <x v="1"/>
    <x v="4"/>
    <s v="PACKING"/>
    <x v="47"/>
    <s v="-"/>
    <s v="-"/>
    <s v="-"/>
    <s v="-"/>
    <s v="-"/>
    <s v="-"/>
    <x v="0"/>
    <n v="1"/>
    <n v="95"/>
    <n v="4"/>
    <m/>
    <x v="0"/>
    <n v="91"/>
    <m/>
    <m/>
    <x v="0"/>
    <x v="0"/>
    <m/>
    <m/>
    <x v="0"/>
    <x v="0"/>
    <m/>
    <x v="0"/>
    <x v="0"/>
    <x v="0"/>
    <x v="0"/>
    <x v="0"/>
    <m/>
    <m/>
    <m/>
    <m/>
    <x v="0"/>
    <x v="0"/>
    <m/>
    <x v="0"/>
    <m/>
    <x v="0"/>
    <x v="0"/>
    <x v="0"/>
    <x v="0"/>
    <x v="0"/>
  </r>
  <r>
    <x v="1"/>
    <x v="4"/>
    <n v="2771"/>
    <x v="47"/>
    <s v="MATCO FOOD"/>
    <s v="LDN"/>
    <s v="23-23.5"/>
    <s v="70 G+-1"/>
    <s v="SL"/>
    <s v="1400 (40 BAG)"/>
    <x v="0"/>
    <n v="4"/>
    <n v="392.4"/>
    <n v="13.8"/>
    <m/>
    <x v="0"/>
    <n v="378.59999999999997"/>
    <m/>
    <m/>
    <x v="0"/>
    <x v="0"/>
    <m/>
    <m/>
    <x v="0"/>
    <x v="0"/>
    <m/>
    <x v="0"/>
    <x v="0"/>
    <x v="0"/>
    <x v="0"/>
    <x v="0"/>
    <m/>
    <m/>
    <m/>
    <m/>
    <x v="0"/>
    <x v="0"/>
    <m/>
    <x v="0"/>
    <m/>
    <x v="0"/>
    <x v="0"/>
    <x v="0"/>
    <x v="0"/>
    <x v="0"/>
  </r>
  <r>
    <x v="0"/>
    <x v="0"/>
    <s v="3376 J"/>
    <x v="48"/>
    <s v="Atlas Honda LTD (SKP)"/>
    <s v="LDN"/>
    <n v="8"/>
    <s v="8.5-9"/>
    <s v="LDN"/>
    <n v="250"/>
    <x v="0"/>
    <n v="1"/>
    <n v="50.2"/>
    <n v="1"/>
    <n v="10"/>
    <x v="0"/>
    <n v="49.2"/>
    <m/>
    <m/>
    <x v="0"/>
    <x v="0"/>
    <m/>
    <m/>
    <x v="0"/>
    <x v="0"/>
    <m/>
    <x v="0"/>
    <x v="0"/>
    <x v="0"/>
    <x v="0"/>
    <x v="0"/>
    <m/>
    <m/>
    <m/>
    <m/>
    <x v="0"/>
    <x v="0"/>
    <m/>
    <x v="0"/>
    <m/>
    <x v="0"/>
    <x v="0"/>
    <x v="0"/>
    <x v="0"/>
    <x v="0"/>
  </r>
  <r>
    <x v="1"/>
    <x v="0"/>
    <s v="3376 J"/>
    <x v="48"/>
    <s v="Atlas Honda LTD (SKP)"/>
    <s v="LDN"/>
    <n v="8"/>
    <s v="8.5-9"/>
    <s v="LDN"/>
    <n v="250"/>
    <x v="0"/>
    <n v="3"/>
    <n v="124"/>
    <n v="3"/>
    <m/>
    <x v="0"/>
    <n v="121"/>
    <m/>
    <m/>
    <x v="0"/>
    <x v="0"/>
    <m/>
    <m/>
    <x v="0"/>
    <x v="0"/>
    <m/>
    <x v="0"/>
    <x v="0"/>
    <x v="0"/>
    <x v="0"/>
    <x v="0"/>
    <m/>
    <m/>
    <m/>
    <m/>
    <x v="0"/>
    <x v="0"/>
    <m/>
    <x v="0"/>
    <m/>
    <x v="0"/>
    <x v="0"/>
    <x v="0"/>
    <x v="0"/>
    <x v="0"/>
  </r>
  <r>
    <x v="1"/>
    <x v="0"/>
    <s v="3371 J"/>
    <x v="48"/>
    <s v="Atlas Honda LTD (SKP)"/>
    <s v="LDN"/>
    <n v="9"/>
    <s v="9-9.5"/>
    <s v="LDN"/>
    <n v="135"/>
    <x v="0"/>
    <n v="1"/>
    <n v="45.6"/>
    <n v="1.1000000000000001"/>
    <n v="4"/>
    <x v="0"/>
    <n v="44.5"/>
    <m/>
    <m/>
    <x v="0"/>
    <x v="0"/>
    <m/>
    <m/>
    <x v="0"/>
    <x v="0"/>
    <m/>
    <x v="0"/>
    <x v="0"/>
    <x v="0"/>
    <x v="0"/>
    <x v="0"/>
    <m/>
    <m/>
    <m/>
    <m/>
    <x v="0"/>
    <x v="0"/>
    <m/>
    <x v="0"/>
    <m/>
    <x v="0"/>
    <x v="0"/>
    <x v="0"/>
    <x v="0"/>
    <x v="0"/>
  </r>
  <r>
    <x v="1"/>
    <x v="2"/>
    <s v="3433 J"/>
    <x v="48"/>
    <s v="Plain Double Treet Shopper"/>
    <s v="LDسی گرین"/>
    <s v="12+3+3"/>
    <s v="6-6.5/12-13"/>
    <s v="ABA پیور"/>
    <n v="220"/>
    <x v="0"/>
    <n v="6"/>
    <n v="231.60000000000002"/>
    <n v="9"/>
    <n v="13"/>
    <x v="0"/>
    <n v="222.60000000000002"/>
    <m/>
    <m/>
    <x v="0"/>
    <x v="0"/>
    <m/>
    <m/>
    <x v="0"/>
    <x v="0"/>
    <m/>
    <x v="0"/>
    <x v="0"/>
    <x v="0"/>
    <x v="0"/>
    <x v="0"/>
    <m/>
    <m/>
    <m/>
    <m/>
    <x v="0"/>
    <x v="0"/>
    <m/>
    <x v="0"/>
    <m/>
    <x v="0"/>
    <x v="0"/>
    <x v="0"/>
    <x v="0"/>
    <x v="0"/>
  </r>
  <r>
    <x v="1"/>
    <x v="2"/>
    <s v="3399 J"/>
    <x v="48"/>
    <s v="Mubashar Garments"/>
    <s v="LD سی گرین"/>
    <s v="10+2.5+2.5"/>
    <s v="6-6.5/12-13"/>
    <s v="ABA پیور"/>
    <n v="110"/>
    <x v="0"/>
    <n v="2"/>
    <n v="57.8"/>
    <n v="2.4"/>
    <m/>
    <x v="0"/>
    <n v="55.4"/>
    <m/>
    <m/>
    <x v="0"/>
    <x v="0"/>
    <m/>
    <m/>
    <x v="0"/>
    <x v="0"/>
    <m/>
    <x v="0"/>
    <x v="0"/>
    <x v="0"/>
    <x v="0"/>
    <x v="0"/>
    <m/>
    <m/>
    <m/>
    <m/>
    <x v="0"/>
    <x v="0"/>
    <m/>
    <x v="0"/>
    <m/>
    <x v="0"/>
    <x v="0"/>
    <x v="0"/>
    <x v="0"/>
    <x v="0"/>
  </r>
  <r>
    <x v="0"/>
    <x v="3"/>
    <s v="3377 J"/>
    <x v="48"/>
    <s v="Atlas Honda LTD (SKP)"/>
    <s v="LDN"/>
    <n v="13"/>
    <s v="8.5-9"/>
    <s v="LDN"/>
    <n v="375"/>
    <x v="0"/>
    <n v="3"/>
    <n v="125.2"/>
    <n v="5.4"/>
    <n v="15"/>
    <x v="0"/>
    <n v="119.8"/>
    <m/>
    <m/>
    <x v="0"/>
    <x v="0"/>
    <m/>
    <m/>
    <x v="0"/>
    <x v="0"/>
    <m/>
    <x v="0"/>
    <x v="0"/>
    <x v="0"/>
    <x v="0"/>
    <x v="0"/>
    <m/>
    <m/>
    <m/>
    <m/>
    <x v="0"/>
    <x v="0"/>
    <m/>
    <x v="0"/>
    <m/>
    <x v="0"/>
    <x v="0"/>
    <x v="0"/>
    <x v="0"/>
    <x v="0"/>
  </r>
  <r>
    <x v="1"/>
    <x v="3"/>
    <s v="3377 J"/>
    <x v="48"/>
    <s v="Atlas Honda LTD (SKP)"/>
    <s v="LDN"/>
    <n v="13"/>
    <s v="8.5-9"/>
    <s v="LDN"/>
    <n v="375"/>
    <x v="0"/>
    <n v="6"/>
    <n v="223.59999999999997"/>
    <n v="10.8"/>
    <n v="21"/>
    <x v="0"/>
    <n v="212.79999999999995"/>
    <m/>
    <m/>
    <x v="0"/>
    <x v="0"/>
    <m/>
    <m/>
    <x v="0"/>
    <x v="0"/>
    <m/>
    <x v="0"/>
    <x v="0"/>
    <x v="0"/>
    <x v="0"/>
    <x v="0"/>
    <m/>
    <m/>
    <m/>
    <m/>
    <x v="0"/>
    <x v="0"/>
    <m/>
    <x v="0"/>
    <m/>
    <x v="0"/>
    <x v="0"/>
    <x v="0"/>
    <x v="0"/>
    <x v="0"/>
  </r>
  <r>
    <x v="0"/>
    <x v="6"/>
    <s v="3352 J"/>
    <x v="48"/>
    <s v="Jilani Sheet Stock"/>
    <s v="LDN"/>
    <s v="26&quot;شیٹ"/>
    <s v="8-8.5/16-17"/>
    <s v="پیور"/>
    <n v="5000"/>
    <x v="0"/>
    <n v="3"/>
    <n v="311"/>
    <n v="8.8000000000000007"/>
    <n v="18"/>
    <x v="0"/>
    <n v="302.2"/>
    <m/>
    <m/>
    <x v="0"/>
    <x v="0"/>
    <m/>
    <m/>
    <x v="0"/>
    <x v="0"/>
    <m/>
    <x v="0"/>
    <x v="0"/>
    <x v="0"/>
    <x v="0"/>
    <x v="0"/>
    <m/>
    <m/>
    <m/>
    <m/>
    <x v="0"/>
    <x v="0"/>
    <m/>
    <x v="0"/>
    <m/>
    <x v="0"/>
    <x v="0"/>
    <x v="0"/>
    <x v="0"/>
    <x v="0"/>
  </r>
  <r>
    <x v="0"/>
    <x v="6"/>
    <n v="2771"/>
    <x v="48"/>
    <s v="MATCO FOOD"/>
    <s v="LDN"/>
    <s v="23-23.5"/>
    <s v="70 G+-1"/>
    <s v="SL"/>
    <s v="1400 (40 BAG)"/>
    <x v="0"/>
    <n v="1"/>
    <n v="107.8"/>
    <n v="3.6"/>
    <m/>
    <x v="0"/>
    <n v="104.2"/>
    <m/>
    <m/>
    <x v="0"/>
    <x v="0"/>
    <m/>
    <m/>
    <x v="0"/>
    <x v="0"/>
    <m/>
    <x v="0"/>
    <x v="0"/>
    <x v="0"/>
    <x v="0"/>
    <x v="0"/>
    <m/>
    <m/>
    <m/>
    <m/>
    <x v="0"/>
    <x v="0"/>
    <m/>
    <x v="0"/>
    <m/>
    <x v="0"/>
    <x v="0"/>
    <x v="0"/>
    <x v="0"/>
    <x v="0"/>
  </r>
  <r>
    <x v="1"/>
    <x v="6"/>
    <n v="2771"/>
    <x v="48"/>
    <s v="MATCO FOOD"/>
    <s v="LDN"/>
    <s v="23-23.5"/>
    <s v="70 G+-1"/>
    <s v="SL"/>
    <s v="1400 (40 BAG)"/>
    <x v="0"/>
    <n v="5"/>
    <n v="511.59999999999997"/>
    <n v="14.4"/>
    <n v="10"/>
    <x v="0"/>
    <n v="497.2"/>
    <m/>
    <m/>
    <x v="0"/>
    <x v="0"/>
    <m/>
    <m/>
    <x v="0"/>
    <x v="0"/>
    <m/>
    <x v="0"/>
    <x v="0"/>
    <x v="0"/>
    <x v="0"/>
    <x v="0"/>
    <m/>
    <m/>
    <m/>
    <m/>
    <x v="0"/>
    <x v="0"/>
    <m/>
    <x v="0"/>
    <m/>
    <x v="0"/>
    <x v="0"/>
    <x v="0"/>
    <x v="0"/>
    <x v="0"/>
  </r>
  <r>
    <x v="0"/>
    <x v="4"/>
    <s v="3352 J"/>
    <x v="48"/>
    <s v="Jilani Sheet Stock"/>
    <s v="LDN"/>
    <s v="26&quot;شیٹ"/>
    <s v="8-8.5/16-17"/>
    <s v="پیور"/>
    <n v="5000"/>
    <x v="0"/>
    <n v="4"/>
    <n v="433.8"/>
    <n v="12.8"/>
    <n v="30"/>
    <x v="0"/>
    <n v="421"/>
    <m/>
    <m/>
    <x v="0"/>
    <x v="0"/>
    <m/>
    <m/>
    <x v="0"/>
    <x v="0"/>
    <m/>
    <x v="0"/>
    <x v="0"/>
    <x v="0"/>
    <x v="0"/>
    <x v="0"/>
    <m/>
    <m/>
    <m/>
    <m/>
    <x v="0"/>
    <x v="0"/>
    <m/>
    <x v="0"/>
    <m/>
    <x v="0"/>
    <x v="0"/>
    <x v="0"/>
    <x v="0"/>
    <x v="0"/>
  </r>
  <r>
    <x v="1"/>
    <x v="4"/>
    <s v="3352 J"/>
    <x v="48"/>
    <s v="Jilani Sheet Stock"/>
    <s v="LDN"/>
    <s v="26&quot;شیٹ"/>
    <s v="8-8.5/16-17"/>
    <s v="پیور"/>
    <n v="5000"/>
    <x v="0"/>
    <n v="6"/>
    <n v="727.4"/>
    <n v="19.200000000000003"/>
    <n v="15"/>
    <x v="0"/>
    <n v="708.19999999999993"/>
    <m/>
    <m/>
    <x v="0"/>
    <x v="0"/>
    <m/>
    <m/>
    <x v="0"/>
    <x v="0"/>
    <m/>
    <x v="0"/>
    <x v="0"/>
    <x v="0"/>
    <x v="0"/>
    <x v="0"/>
    <m/>
    <m/>
    <m/>
    <m/>
    <x v="0"/>
    <x v="0"/>
    <m/>
    <x v="0"/>
    <m/>
    <x v="0"/>
    <x v="0"/>
    <x v="0"/>
    <x v="0"/>
    <x v="0"/>
  </r>
  <r>
    <x v="0"/>
    <x v="0"/>
    <s v="3377 J"/>
    <x v="49"/>
    <s v="Atlas Honda LTD (SKP)"/>
    <s v="LDN"/>
    <n v="13"/>
    <s v="8.5-9"/>
    <s v="LDN"/>
    <n v="375"/>
    <x v="0"/>
    <n v="1"/>
    <n v="46.8"/>
    <n v="1.6"/>
    <n v="7"/>
    <x v="0"/>
    <n v="45.199999999999996"/>
    <m/>
    <m/>
    <x v="0"/>
    <x v="0"/>
    <m/>
    <m/>
    <x v="0"/>
    <x v="0"/>
    <m/>
    <x v="0"/>
    <x v="0"/>
    <x v="0"/>
    <x v="0"/>
    <x v="0"/>
    <m/>
    <m/>
    <m/>
    <m/>
    <x v="0"/>
    <x v="0"/>
    <m/>
    <x v="0"/>
    <m/>
    <x v="0"/>
    <x v="0"/>
    <x v="0"/>
    <x v="0"/>
    <x v="0"/>
  </r>
  <r>
    <x v="0"/>
    <x v="0"/>
    <s v="3374 J"/>
    <x v="49"/>
    <s v="Atlas Honda LTD (SKP)"/>
    <s v="LDN"/>
    <n v="13"/>
    <s v="12.5-13"/>
    <s v="LDN"/>
    <n v="220"/>
    <x v="0"/>
    <n v="2"/>
    <n v="108"/>
    <n v="3"/>
    <m/>
    <x v="0"/>
    <n v="105"/>
    <m/>
    <m/>
    <x v="0"/>
    <x v="0"/>
    <m/>
    <m/>
    <x v="0"/>
    <x v="0"/>
    <m/>
    <x v="0"/>
    <x v="0"/>
    <x v="0"/>
    <x v="0"/>
    <x v="0"/>
    <m/>
    <m/>
    <m/>
    <m/>
    <x v="0"/>
    <x v="0"/>
    <m/>
    <x v="0"/>
    <m/>
    <x v="0"/>
    <x v="0"/>
    <x v="0"/>
    <x v="0"/>
    <x v="0"/>
  </r>
  <r>
    <x v="0"/>
    <x v="0"/>
    <s v="1911 F"/>
    <x v="49"/>
    <s v="15لینگویج وارننگ+لوگو"/>
    <s v="LDN"/>
    <n v="32"/>
    <s v="6-6.5"/>
    <s v="جیلانی شیٹ"/>
    <n v="300"/>
    <x v="0"/>
    <n v="3"/>
    <n v="202.4"/>
    <n v="12"/>
    <m/>
    <x v="0"/>
    <n v="190.4"/>
    <m/>
    <m/>
    <x v="0"/>
    <x v="0"/>
    <m/>
    <m/>
    <x v="0"/>
    <x v="0"/>
    <m/>
    <x v="0"/>
    <x v="0"/>
    <x v="0"/>
    <x v="0"/>
    <x v="0"/>
    <m/>
    <m/>
    <m/>
    <m/>
    <x v="0"/>
    <x v="0"/>
    <m/>
    <x v="0"/>
    <m/>
    <x v="0"/>
    <x v="0"/>
    <x v="0"/>
    <x v="0"/>
    <x v="0"/>
  </r>
  <r>
    <x v="1"/>
    <x v="0"/>
    <s v="1911 F"/>
    <x v="49"/>
    <s v="15لینگویج وارننگ+لوگو"/>
    <s v="LDN"/>
    <n v="32"/>
    <s v="6-6.5"/>
    <s v="جیلانی شیٹ"/>
    <n v="300"/>
    <x v="0"/>
    <n v="1"/>
    <n v="50"/>
    <n v="4"/>
    <n v="9"/>
    <x v="0"/>
    <n v="46"/>
    <m/>
    <m/>
    <x v="0"/>
    <x v="0"/>
    <m/>
    <m/>
    <x v="0"/>
    <x v="0"/>
    <m/>
    <x v="0"/>
    <x v="0"/>
    <x v="0"/>
    <x v="0"/>
    <x v="0"/>
    <m/>
    <m/>
    <m/>
    <m/>
    <x v="0"/>
    <x v="0"/>
    <m/>
    <x v="0"/>
    <m/>
    <x v="0"/>
    <x v="0"/>
    <x v="0"/>
    <x v="0"/>
    <x v="0"/>
  </r>
  <r>
    <x v="1"/>
    <x v="0"/>
    <s v="1908 F"/>
    <x v="49"/>
    <s v="Warning Next"/>
    <s v="LDN"/>
    <n v="15.5"/>
    <s v="7-7.5"/>
    <s v="جیلانی شیٹ"/>
    <n v="90"/>
    <x v="0"/>
    <n v="2"/>
    <n v="92"/>
    <n v="3.5999999999999996"/>
    <m/>
    <x v="0"/>
    <n v="88.4"/>
    <m/>
    <m/>
    <x v="0"/>
    <x v="0"/>
    <m/>
    <m/>
    <x v="0"/>
    <x v="0"/>
    <m/>
    <x v="0"/>
    <x v="0"/>
    <x v="0"/>
    <x v="0"/>
    <x v="0"/>
    <m/>
    <m/>
    <m/>
    <m/>
    <x v="0"/>
    <x v="0"/>
    <m/>
    <x v="0"/>
    <m/>
    <x v="0"/>
    <x v="0"/>
    <x v="0"/>
    <x v="0"/>
    <x v="0"/>
  </r>
  <r>
    <x v="1"/>
    <x v="0"/>
    <s v="1907 F"/>
    <x v="49"/>
    <s v="Warning Next"/>
    <s v="LDN"/>
    <n v="13"/>
    <s v="7-7.5"/>
    <s v="جیلانی شیٹ"/>
    <n v="35"/>
    <x v="0"/>
    <n v="1"/>
    <n v="34.6"/>
    <n v="1.5"/>
    <m/>
    <x v="0"/>
    <n v="33.1"/>
    <m/>
    <m/>
    <x v="0"/>
    <x v="0"/>
    <m/>
    <m/>
    <x v="0"/>
    <x v="0"/>
    <m/>
    <x v="0"/>
    <x v="0"/>
    <x v="0"/>
    <x v="0"/>
    <x v="0"/>
    <m/>
    <m/>
    <m/>
    <m/>
    <x v="0"/>
    <x v="0"/>
    <m/>
    <x v="0"/>
    <m/>
    <x v="0"/>
    <x v="0"/>
    <x v="0"/>
    <x v="0"/>
    <x v="0"/>
  </r>
  <r>
    <x v="1"/>
    <x v="0"/>
    <s v="1906 F"/>
    <x v="49"/>
    <s v="Warning Next"/>
    <s v="LDN"/>
    <n v="11.5"/>
    <s v="7-7.5"/>
    <s v="جیلانی شیٹ"/>
    <n v="30"/>
    <x v="0"/>
    <n v="1"/>
    <n v="37.4"/>
    <n v="1.4"/>
    <m/>
    <x v="0"/>
    <n v="36"/>
    <m/>
    <m/>
    <x v="0"/>
    <x v="0"/>
    <m/>
    <m/>
    <x v="0"/>
    <x v="0"/>
    <m/>
    <x v="0"/>
    <x v="0"/>
    <x v="0"/>
    <x v="0"/>
    <x v="0"/>
    <m/>
    <m/>
    <m/>
    <m/>
    <x v="0"/>
    <x v="0"/>
    <m/>
    <x v="0"/>
    <m/>
    <x v="0"/>
    <x v="0"/>
    <x v="0"/>
    <x v="0"/>
    <x v="0"/>
  </r>
  <r>
    <x v="0"/>
    <x v="2"/>
    <s v="3399 J"/>
    <x v="49"/>
    <s v="Mubashar Garments"/>
    <s v="LD سی گرین"/>
    <s v="10+2.5+2.5"/>
    <s v="6-6.5/12-13"/>
    <s v="ABA پیور"/>
    <n v="110"/>
    <x v="0"/>
    <n v="1"/>
    <n v="41.4"/>
    <n v="1.2"/>
    <n v="30"/>
    <x v="0"/>
    <n v="40.199999999999996"/>
    <m/>
    <m/>
    <x v="0"/>
    <x v="0"/>
    <m/>
    <m/>
    <x v="0"/>
    <x v="0"/>
    <m/>
    <x v="0"/>
    <x v="0"/>
    <x v="0"/>
    <x v="0"/>
    <x v="0"/>
    <m/>
    <m/>
    <m/>
    <m/>
    <x v="0"/>
    <x v="0"/>
    <m/>
    <x v="0"/>
    <m/>
    <x v="0"/>
    <x v="0"/>
    <x v="0"/>
    <x v="0"/>
    <x v="0"/>
  </r>
  <r>
    <x v="0"/>
    <x v="2"/>
    <s v="3428 J"/>
    <x v="49"/>
    <s v="Mall of Haripur"/>
    <s v="LD لائٹ گرے"/>
    <s v="10+2.5+2.5"/>
    <s v="7.5-8/15-16"/>
    <s v="ABA پیور"/>
    <n v="110"/>
    <x v="0"/>
    <n v="3"/>
    <n v="116.60000000000001"/>
    <n v="3.6"/>
    <m/>
    <x v="0"/>
    <n v="113.00000000000001"/>
    <m/>
    <m/>
    <x v="0"/>
    <x v="0"/>
    <m/>
    <m/>
    <x v="0"/>
    <x v="0"/>
    <m/>
    <x v="0"/>
    <x v="0"/>
    <x v="0"/>
    <x v="0"/>
    <x v="0"/>
    <m/>
    <m/>
    <m/>
    <m/>
    <x v="0"/>
    <x v="0"/>
    <m/>
    <x v="0"/>
    <m/>
    <x v="0"/>
    <x v="0"/>
    <x v="0"/>
    <x v="0"/>
    <x v="0"/>
  </r>
  <r>
    <x v="0"/>
    <x v="2"/>
    <s v="3429 J"/>
    <x v="49"/>
    <s v="Mall of Haripur"/>
    <s v="LD لائٹ گرے"/>
    <s v="12+3+3"/>
    <s v="7.5-8/15-16"/>
    <s v="ABA پیور"/>
    <n v="110"/>
    <x v="0"/>
    <n v="3"/>
    <n v="118.99999999999999"/>
    <n v="4.1999999999999993"/>
    <m/>
    <x v="0"/>
    <n v="114.79999999999998"/>
    <m/>
    <m/>
    <x v="0"/>
    <x v="0"/>
    <m/>
    <m/>
    <x v="0"/>
    <x v="0"/>
    <m/>
    <x v="0"/>
    <x v="0"/>
    <x v="0"/>
    <x v="0"/>
    <x v="0"/>
    <m/>
    <m/>
    <m/>
    <m/>
    <x v="0"/>
    <x v="0"/>
    <m/>
    <x v="0"/>
    <m/>
    <x v="0"/>
    <x v="0"/>
    <x v="0"/>
    <x v="0"/>
    <x v="0"/>
  </r>
  <r>
    <x v="0"/>
    <x v="2"/>
    <s v="3427 J"/>
    <x v="49"/>
    <s v="Mall of Haripur"/>
    <s v="LD لائٹ گرے"/>
    <s v="8+2.5+2.5"/>
    <s v="7.5-8/15-16"/>
    <s v="ABA پیور"/>
    <n v="110"/>
    <x v="0"/>
    <n v="2"/>
    <n v="76.599999999999994"/>
    <n v="2"/>
    <m/>
    <x v="0"/>
    <n v="74.599999999999994"/>
    <m/>
    <m/>
    <x v="0"/>
    <x v="0"/>
    <m/>
    <m/>
    <x v="0"/>
    <x v="0"/>
    <m/>
    <x v="0"/>
    <x v="0"/>
    <x v="0"/>
    <x v="0"/>
    <x v="0"/>
    <m/>
    <m/>
    <m/>
    <m/>
    <x v="0"/>
    <x v="0"/>
    <m/>
    <x v="0"/>
    <m/>
    <x v="0"/>
    <x v="0"/>
    <x v="0"/>
    <x v="0"/>
    <x v="0"/>
  </r>
  <r>
    <x v="1"/>
    <x v="2"/>
    <s v="3427 J"/>
    <x v="49"/>
    <s v="Mall of Haripur"/>
    <s v="LD لائٹ گرے"/>
    <s v="8+2.5+2.5"/>
    <s v="7.5-8/15-16"/>
    <s v="ABA پیور"/>
    <n v="110"/>
    <x v="0"/>
    <n v="1"/>
    <n v="36.6"/>
    <n v="1"/>
    <n v="76"/>
    <x v="0"/>
    <n v="35.6"/>
    <m/>
    <m/>
    <x v="0"/>
    <x v="0"/>
    <m/>
    <m/>
    <x v="0"/>
    <x v="0"/>
    <m/>
    <x v="0"/>
    <x v="0"/>
    <x v="0"/>
    <x v="0"/>
    <x v="0"/>
    <m/>
    <m/>
    <m/>
    <m/>
    <x v="0"/>
    <x v="0"/>
    <m/>
    <x v="0"/>
    <m/>
    <x v="0"/>
    <x v="0"/>
    <x v="0"/>
    <x v="0"/>
    <x v="0"/>
  </r>
  <r>
    <x v="1"/>
    <x v="2"/>
    <s v="3401 J"/>
    <x v="49"/>
    <s v="Mubashar Garments"/>
    <s v="LD بیج"/>
    <s v="12+3+3"/>
    <s v="6-6.5/12-13"/>
    <s v="ABA پیور"/>
    <n v="110"/>
    <x v="0"/>
    <n v="4"/>
    <n v="126"/>
    <n v="6.6"/>
    <m/>
    <x v="0"/>
    <n v="119.4"/>
    <m/>
    <m/>
    <x v="0"/>
    <x v="0"/>
    <m/>
    <m/>
    <x v="0"/>
    <x v="0"/>
    <m/>
    <x v="0"/>
    <x v="0"/>
    <x v="0"/>
    <x v="0"/>
    <x v="0"/>
    <m/>
    <m/>
    <m/>
    <m/>
    <x v="0"/>
    <x v="0"/>
    <m/>
    <x v="0"/>
    <m/>
    <x v="0"/>
    <x v="0"/>
    <x v="0"/>
    <x v="0"/>
    <x v="0"/>
  </r>
  <r>
    <x v="0"/>
    <x v="6"/>
    <n v="2771"/>
    <x v="49"/>
    <s v="MATCO FOOD"/>
    <s v="LDN"/>
    <s v="23-23.5"/>
    <s v="70 G+-1"/>
    <s v="SL"/>
    <s v="1400 (40 BAG)"/>
    <x v="0"/>
    <n v="4"/>
    <n v="442.2"/>
    <n v="11.2"/>
    <m/>
    <x v="0"/>
    <n v="431"/>
    <m/>
    <m/>
    <x v="0"/>
    <x v="0"/>
    <m/>
    <m/>
    <x v="0"/>
    <x v="0"/>
    <m/>
    <x v="0"/>
    <x v="0"/>
    <x v="0"/>
    <x v="0"/>
    <x v="0"/>
    <m/>
    <m/>
    <m/>
    <m/>
    <x v="0"/>
    <x v="0"/>
    <m/>
    <x v="0"/>
    <m/>
    <x v="0"/>
    <x v="0"/>
    <x v="0"/>
    <x v="0"/>
    <x v="0"/>
  </r>
  <r>
    <x v="0"/>
    <x v="6"/>
    <n v="2758"/>
    <x v="49"/>
    <s v="SITARA CHEMICAL"/>
    <s v="LDN"/>
    <n v="24"/>
    <s v="100 G"/>
    <s v="SL"/>
    <n v="7500"/>
    <x v="0"/>
    <n v="2"/>
    <n v="191.8"/>
    <n v="5.8"/>
    <m/>
    <x v="0"/>
    <n v="186"/>
    <m/>
    <m/>
    <x v="0"/>
    <x v="0"/>
    <m/>
    <m/>
    <x v="0"/>
    <x v="0"/>
    <m/>
    <x v="0"/>
    <x v="0"/>
    <x v="0"/>
    <x v="0"/>
    <x v="0"/>
    <m/>
    <m/>
    <m/>
    <m/>
    <x v="0"/>
    <x v="0"/>
    <m/>
    <x v="0"/>
    <m/>
    <x v="0"/>
    <x v="0"/>
    <x v="0"/>
    <x v="0"/>
    <x v="0"/>
  </r>
  <r>
    <x v="1"/>
    <x v="6"/>
    <n v="2758"/>
    <x v="49"/>
    <s v="SITARA CHEMICAL"/>
    <s v="LDN"/>
    <n v="24"/>
    <s v="100 G"/>
    <s v="SL"/>
    <n v="7500"/>
    <x v="0"/>
    <n v="1"/>
    <n v="110.4"/>
    <n v="2.9"/>
    <m/>
    <x v="0"/>
    <n v="107.5"/>
    <m/>
    <m/>
    <x v="0"/>
    <x v="0"/>
    <m/>
    <m/>
    <x v="0"/>
    <x v="0"/>
    <m/>
    <x v="0"/>
    <x v="0"/>
    <x v="0"/>
    <x v="0"/>
    <x v="0"/>
    <m/>
    <m/>
    <m/>
    <m/>
    <x v="0"/>
    <x v="0"/>
    <m/>
    <x v="0"/>
    <m/>
    <x v="0"/>
    <x v="0"/>
    <x v="0"/>
    <x v="0"/>
    <x v="0"/>
  </r>
  <r>
    <x v="1"/>
    <x v="6"/>
    <n v="2772"/>
    <x v="49"/>
    <s v="MATCO FOOD"/>
    <s v="LDN"/>
    <s v="23-23.5"/>
    <s v="70 G+-1"/>
    <n v="0"/>
    <s v="3500 (100 BAGS)"/>
    <x v="0"/>
    <n v="4"/>
    <n v="415"/>
    <n v="11.8"/>
    <m/>
    <x v="0"/>
    <n v="403.2"/>
    <m/>
    <m/>
    <x v="0"/>
    <x v="0"/>
    <m/>
    <m/>
    <x v="0"/>
    <x v="0"/>
    <m/>
    <x v="0"/>
    <x v="0"/>
    <x v="0"/>
    <x v="0"/>
    <x v="0"/>
    <m/>
    <m/>
    <m/>
    <m/>
    <x v="0"/>
    <x v="0"/>
    <m/>
    <x v="0"/>
    <m/>
    <x v="0"/>
    <x v="0"/>
    <x v="0"/>
    <x v="0"/>
    <x v="0"/>
  </r>
  <r>
    <x v="0"/>
    <x v="4"/>
    <s v="3370 J"/>
    <x v="49"/>
    <s v="X7"/>
    <s v="LDN"/>
    <n v="20"/>
    <s v="9.5-10"/>
    <s v="پیور"/>
    <n v="200"/>
    <x v="0"/>
    <n v="1"/>
    <n v="59.8"/>
    <n v="2.4"/>
    <n v="18"/>
    <x v="0"/>
    <n v="57.4"/>
    <m/>
    <m/>
    <x v="0"/>
    <x v="0"/>
    <m/>
    <m/>
    <x v="0"/>
    <x v="0"/>
    <m/>
    <x v="0"/>
    <x v="0"/>
    <x v="0"/>
    <x v="0"/>
    <x v="0"/>
    <m/>
    <m/>
    <m/>
    <m/>
    <x v="0"/>
    <x v="0"/>
    <m/>
    <x v="0"/>
    <m/>
    <x v="0"/>
    <x v="0"/>
    <x v="0"/>
    <x v="0"/>
    <x v="0"/>
  </r>
  <r>
    <x v="0"/>
    <x v="4"/>
    <s v="1885 F"/>
    <x v="49"/>
    <s v="WALMAT BIG WARNING"/>
    <s v="LDN"/>
    <n v="22"/>
    <s v="8"/>
    <s v="پیور"/>
    <n v="212"/>
    <x v="0"/>
    <n v="3"/>
    <n v="215.2"/>
    <n v="7.8000000000000007"/>
    <m/>
    <x v="0"/>
    <n v="207.39999999999998"/>
    <m/>
    <m/>
    <x v="0"/>
    <x v="0"/>
    <m/>
    <m/>
    <x v="0"/>
    <x v="0"/>
    <m/>
    <x v="0"/>
    <x v="0"/>
    <x v="0"/>
    <x v="0"/>
    <x v="0"/>
    <m/>
    <m/>
    <m/>
    <m/>
    <x v="0"/>
    <x v="0"/>
    <m/>
    <x v="0"/>
    <m/>
    <x v="0"/>
    <x v="0"/>
    <x v="0"/>
    <x v="0"/>
    <x v="0"/>
  </r>
  <r>
    <x v="0"/>
    <x v="4"/>
    <s v="3379 J"/>
    <x v="49"/>
    <s v="Atlas Honda LTD (SKP)"/>
    <s v="LDN"/>
    <n v="21"/>
    <s v="14-14.5"/>
    <s v="LDN"/>
    <n v="80"/>
    <x v="0"/>
    <n v="1"/>
    <n v="45.2"/>
    <n v="0.2"/>
    <m/>
    <x v="0"/>
    <n v="45"/>
    <m/>
    <m/>
    <x v="0"/>
    <x v="0"/>
    <m/>
    <m/>
    <x v="0"/>
    <x v="0"/>
    <m/>
    <x v="0"/>
    <x v="0"/>
    <x v="0"/>
    <x v="0"/>
    <x v="0"/>
    <m/>
    <m/>
    <m/>
    <m/>
    <x v="0"/>
    <x v="0"/>
    <m/>
    <x v="0"/>
    <m/>
    <x v="0"/>
    <x v="0"/>
    <x v="0"/>
    <x v="0"/>
    <x v="0"/>
  </r>
  <r>
    <x v="1"/>
    <x v="4"/>
    <s v="3329 J"/>
    <x v="49"/>
    <s v="سادہ لفافہ زمیندار فوڈ کمپنی "/>
    <s v="PP"/>
    <n v="8"/>
    <s v="6-6.5"/>
    <s v="-"/>
    <n v="1000"/>
    <x v="0"/>
    <n v="1"/>
    <n v="46.2"/>
    <n v="2.4"/>
    <n v="12"/>
    <x v="0"/>
    <n v="43.800000000000004"/>
    <m/>
    <m/>
    <x v="0"/>
    <x v="0"/>
    <m/>
    <m/>
    <x v="0"/>
    <x v="0"/>
    <m/>
    <x v="0"/>
    <x v="0"/>
    <x v="0"/>
    <x v="0"/>
    <x v="0"/>
    <m/>
    <m/>
    <m/>
    <m/>
    <x v="0"/>
    <x v="0"/>
    <m/>
    <x v="0"/>
    <m/>
    <x v="0"/>
    <x v="0"/>
    <x v="0"/>
    <x v="0"/>
    <x v="0"/>
  </r>
  <r>
    <x v="1"/>
    <x v="4"/>
    <s v="3370 J"/>
    <x v="49"/>
    <s v="X7"/>
    <s v="LDN"/>
    <n v="20"/>
    <s v="9.5-10"/>
    <s v="پیور"/>
    <n v="200"/>
    <x v="0"/>
    <n v="2"/>
    <n v="109"/>
    <n v="4.8"/>
    <m/>
    <x v="0"/>
    <n v="104.2"/>
    <m/>
    <m/>
    <x v="0"/>
    <x v="0"/>
    <m/>
    <m/>
    <x v="0"/>
    <x v="0"/>
    <m/>
    <x v="0"/>
    <x v="0"/>
    <x v="0"/>
    <x v="0"/>
    <x v="0"/>
    <m/>
    <m/>
    <m/>
    <m/>
    <x v="0"/>
    <x v="0"/>
    <m/>
    <x v="0"/>
    <m/>
    <x v="0"/>
    <x v="0"/>
    <x v="0"/>
    <x v="0"/>
    <x v="0"/>
  </r>
  <r>
    <x v="1"/>
    <x v="4"/>
    <s v="3352 J"/>
    <x v="49"/>
    <s v="Jilani Sheet Stock"/>
    <s v="LDN"/>
    <s v="26&quot;شیٹ"/>
    <s v="8-8.5/16-17"/>
    <s v="پیور"/>
    <n v="5000"/>
    <x v="0"/>
    <n v="6"/>
    <n v="585"/>
    <n v="19.200000000000003"/>
    <m/>
    <x v="0"/>
    <n v="565.79999999999995"/>
    <m/>
    <m/>
    <x v="0"/>
    <x v="0"/>
    <m/>
    <m/>
    <x v="0"/>
    <x v="0"/>
    <m/>
    <x v="0"/>
    <x v="0"/>
    <x v="0"/>
    <x v="0"/>
    <x v="0"/>
    <m/>
    <m/>
    <m/>
    <m/>
    <x v="0"/>
    <x v="0"/>
    <m/>
    <x v="0"/>
    <m/>
    <x v="0"/>
    <x v="0"/>
    <x v="0"/>
    <x v="0"/>
    <x v="0"/>
  </r>
  <r>
    <x v="0"/>
    <x v="2"/>
    <s v="3400 J"/>
    <x v="50"/>
    <s v="Mubashar Garments"/>
    <s v="LD پیچ"/>
    <s v="10+2.5+2.5"/>
    <s v="6-6.5/12-13"/>
    <s v="ABA پیور"/>
    <n v="110"/>
    <x v="0"/>
    <n v="3"/>
    <n v="111.39999999999999"/>
    <n v="3.6"/>
    <n v="30"/>
    <x v="0"/>
    <n v="107.8"/>
    <m/>
    <m/>
    <x v="0"/>
    <x v="0"/>
    <m/>
    <m/>
    <x v="0"/>
    <x v="0"/>
    <m/>
    <x v="0"/>
    <x v="0"/>
    <x v="0"/>
    <x v="0"/>
    <x v="0"/>
    <m/>
    <m/>
    <m/>
    <m/>
    <x v="0"/>
    <x v="0"/>
    <m/>
    <x v="0"/>
    <m/>
    <x v="0"/>
    <x v="0"/>
    <x v="0"/>
    <x v="0"/>
    <x v="0"/>
  </r>
  <r>
    <x v="0"/>
    <x v="2"/>
    <s v="3387 J"/>
    <x v="50"/>
    <s v="Plain Lafafa"/>
    <s v="LD اورنج"/>
    <n v="12"/>
    <s v="8-8.5"/>
    <s v="ABA تھینکیو"/>
    <n v="200"/>
    <x v="0"/>
    <n v="1"/>
    <n v="61.6"/>
    <n v="1.4"/>
    <m/>
    <x v="0"/>
    <n v="60.2"/>
    <m/>
    <m/>
    <x v="0"/>
    <x v="0"/>
    <m/>
    <m/>
    <x v="0"/>
    <x v="0"/>
    <m/>
    <x v="0"/>
    <x v="0"/>
    <x v="0"/>
    <x v="0"/>
    <x v="0"/>
    <m/>
    <m/>
    <m/>
    <m/>
    <x v="0"/>
    <x v="0"/>
    <m/>
    <x v="0"/>
    <m/>
    <x v="0"/>
    <x v="0"/>
    <x v="0"/>
    <x v="0"/>
    <x v="0"/>
  </r>
  <r>
    <x v="1"/>
    <x v="2"/>
    <s v="3387 J"/>
    <x v="50"/>
    <s v="Plain Lafafa"/>
    <s v="LD اورنج"/>
    <n v="12"/>
    <s v="8-8.5"/>
    <s v="ABA تھینکیو"/>
    <n v="200"/>
    <x v="0"/>
    <n v="3"/>
    <n v="153"/>
    <n v="4.5"/>
    <n v="66"/>
    <x v="0"/>
    <n v="148.5"/>
    <m/>
    <m/>
    <x v="0"/>
    <x v="0"/>
    <m/>
    <m/>
    <x v="0"/>
    <x v="0"/>
    <m/>
    <x v="0"/>
    <x v="0"/>
    <x v="0"/>
    <x v="0"/>
    <x v="0"/>
    <m/>
    <m/>
    <m/>
    <m/>
    <x v="0"/>
    <x v="0"/>
    <m/>
    <x v="0"/>
    <m/>
    <x v="0"/>
    <x v="0"/>
    <x v="0"/>
    <x v="0"/>
    <x v="0"/>
  </r>
  <r>
    <x v="1"/>
    <x v="2"/>
    <s v="3388 J"/>
    <x v="50"/>
    <s v="Jilani Lable"/>
    <s v="PP"/>
    <n v="24"/>
    <s v="5-5.5"/>
    <s v="-"/>
    <n v="400"/>
    <x v="0"/>
    <n v="2"/>
    <n v="83"/>
    <n v="1.8"/>
    <m/>
    <x v="0"/>
    <n v="81.2"/>
    <m/>
    <m/>
    <x v="0"/>
    <x v="0"/>
    <m/>
    <m/>
    <x v="0"/>
    <x v="0"/>
    <m/>
    <x v="0"/>
    <x v="0"/>
    <x v="0"/>
    <x v="0"/>
    <x v="0"/>
    <m/>
    <m/>
    <m/>
    <m/>
    <x v="0"/>
    <x v="0"/>
    <m/>
    <x v="0"/>
    <m/>
    <x v="0"/>
    <x v="0"/>
    <x v="0"/>
    <x v="0"/>
    <x v="0"/>
  </r>
  <r>
    <x v="0"/>
    <x v="3"/>
    <s v="1890 F"/>
    <x v="50"/>
    <s v="STANCE WARNING"/>
    <s v="LDN"/>
    <n v="14"/>
    <s v="7-7.5"/>
    <s v="پیور"/>
    <n v="40"/>
    <x v="0"/>
    <n v="1"/>
    <n v="50.8"/>
    <n v="1.8"/>
    <n v="20"/>
    <x v="0"/>
    <n v="49"/>
    <m/>
    <m/>
    <x v="0"/>
    <x v="0"/>
    <m/>
    <m/>
    <x v="0"/>
    <x v="0"/>
    <m/>
    <x v="0"/>
    <x v="0"/>
    <x v="0"/>
    <x v="0"/>
    <x v="0"/>
    <m/>
    <m/>
    <m/>
    <m/>
    <x v="0"/>
    <x v="0"/>
    <m/>
    <x v="0"/>
    <m/>
    <x v="0"/>
    <x v="0"/>
    <x v="0"/>
    <x v="0"/>
    <x v="0"/>
  </r>
  <r>
    <x v="0"/>
    <x v="3"/>
    <s v="3336 J"/>
    <x v="50"/>
    <s v="Plain Double Tape Lafafa"/>
    <s v="LDN"/>
    <n v="14.5"/>
    <s v="6-6.5"/>
    <s v="پیور"/>
    <n v="0"/>
    <x v="0"/>
    <n v="1"/>
    <n v="42.4"/>
    <n v="1.8"/>
    <m/>
    <x v="0"/>
    <n v="40.6"/>
    <m/>
    <m/>
    <x v="0"/>
    <x v="0"/>
    <m/>
    <m/>
    <x v="0"/>
    <x v="0"/>
    <m/>
    <x v="0"/>
    <x v="0"/>
    <x v="0"/>
    <x v="0"/>
    <x v="0"/>
    <m/>
    <m/>
    <m/>
    <m/>
    <x v="0"/>
    <x v="0"/>
    <m/>
    <x v="0"/>
    <m/>
    <x v="0"/>
    <x v="0"/>
    <x v="0"/>
    <x v="0"/>
    <x v="0"/>
  </r>
  <r>
    <x v="0"/>
    <x v="3"/>
    <s v="3374 J"/>
    <x v="50"/>
    <s v="Atlas Honda LTD (SKP)"/>
    <s v="LDN"/>
    <n v="13"/>
    <s v="12.5-13"/>
    <s v="LDN"/>
    <n v="220"/>
    <x v="0"/>
    <n v="3"/>
    <n v="122.4"/>
    <n v="5.2"/>
    <m/>
    <x v="0"/>
    <n v="117.2"/>
    <m/>
    <m/>
    <x v="0"/>
    <x v="0"/>
    <m/>
    <m/>
    <x v="0"/>
    <x v="0"/>
    <m/>
    <x v="0"/>
    <x v="0"/>
    <x v="0"/>
    <x v="0"/>
    <x v="0"/>
    <m/>
    <m/>
    <m/>
    <m/>
    <x v="0"/>
    <x v="0"/>
    <m/>
    <x v="0"/>
    <m/>
    <x v="0"/>
    <x v="0"/>
    <x v="0"/>
    <x v="0"/>
    <x v="0"/>
  </r>
  <r>
    <x v="0"/>
    <x v="3"/>
    <s v="3375 J"/>
    <x v="50"/>
    <s v="Atlas Honda LTD (SKP)"/>
    <s v="LDN"/>
    <n v="12"/>
    <s v="8.5-9"/>
    <s v="LDN"/>
    <n v="230"/>
    <x v="0"/>
    <n v="2"/>
    <n v="84.2"/>
    <n v="2.4"/>
    <m/>
    <x v="0"/>
    <n v="81.8"/>
    <m/>
    <m/>
    <x v="0"/>
    <x v="0"/>
    <m/>
    <m/>
    <x v="0"/>
    <x v="0"/>
    <m/>
    <x v="0"/>
    <x v="0"/>
    <x v="0"/>
    <x v="0"/>
    <x v="0"/>
    <m/>
    <m/>
    <m/>
    <m/>
    <x v="0"/>
    <x v="0"/>
    <m/>
    <x v="0"/>
    <m/>
    <x v="0"/>
    <x v="0"/>
    <x v="0"/>
    <x v="0"/>
    <x v="0"/>
  </r>
  <r>
    <x v="1"/>
    <x v="3"/>
    <s v="3375 J"/>
    <x v="50"/>
    <s v="Atlas Honda LTD (SKP)"/>
    <s v="LDN"/>
    <n v="12"/>
    <s v="8.5-9"/>
    <s v="LDN"/>
    <n v="230"/>
    <x v="0"/>
    <n v="3"/>
    <n v="147.19999999999999"/>
    <n v="6"/>
    <n v="13"/>
    <x v="0"/>
    <n v="141.19999999999999"/>
    <m/>
    <m/>
    <x v="0"/>
    <x v="0"/>
    <m/>
    <m/>
    <x v="0"/>
    <x v="0"/>
    <m/>
    <x v="0"/>
    <x v="0"/>
    <x v="0"/>
    <x v="0"/>
    <x v="0"/>
    <m/>
    <m/>
    <m/>
    <m/>
    <x v="0"/>
    <x v="0"/>
    <m/>
    <x v="0"/>
    <m/>
    <x v="0"/>
    <x v="0"/>
    <x v="0"/>
    <x v="0"/>
    <x v="0"/>
  </r>
  <r>
    <x v="0"/>
    <x v="6"/>
    <n v="2772"/>
    <x v="50"/>
    <s v="MATCO FOOD"/>
    <s v="LDN"/>
    <s v="23-23.5"/>
    <s v="70 G+-1"/>
    <n v="0"/>
    <s v="3500 (100 BAGS)"/>
    <x v="0"/>
    <n v="3"/>
    <n v="332.20000000000005"/>
    <n v="8.3999999999999986"/>
    <n v="15"/>
    <x v="0"/>
    <n v="323.80000000000007"/>
    <m/>
    <m/>
    <x v="0"/>
    <x v="0"/>
    <m/>
    <m/>
    <x v="0"/>
    <x v="0"/>
    <m/>
    <x v="0"/>
    <x v="0"/>
    <x v="0"/>
    <x v="0"/>
    <x v="0"/>
    <m/>
    <m/>
    <m/>
    <m/>
    <x v="0"/>
    <x v="0"/>
    <m/>
    <x v="0"/>
    <m/>
    <x v="0"/>
    <x v="0"/>
    <x v="0"/>
    <x v="0"/>
    <x v="0"/>
  </r>
  <r>
    <x v="0"/>
    <x v="6"/>
    <s v="3405 J"/>
    <x v="50"/>
    <s v="Held Biker Fashion + Warning"/>
    <s v="LDN"/>
    <n v="28"/>
    <s v="10-11."/>
    <s v="پیور"/>
    <n v="120"/>
    <x v="0"/>
    <n v="2"/>
    <n v="137"/>
    <n v="6.8"/>
    <m/>
    <x v="0"/>
    <n v="130.19999999999999"/>
    <m/>
    <m/>
    <x v="0"/>
    <x v="0"/>
    <m/>
    <m/>
    <x v="0"/>
    <x v="0"/>
    <m/>
    <x v="0"/>
    <x v="0"/>
    <x v="0"/>
    <x v="0"/>
    <x v="0"/>
    <m/>
    <m/>
    <m/>
    <m/>
    <x v="0"/>
    <x v="0"/>
    <m/>
    <x v="0"/>
    <m/>
    <x v="0"/>
    <x v="0"/>
    <x v="0"/>
    <x v="0"/>
    <x v="0"/>
  </r>
  <r>
    <x v="0"/>
    <x v="6"/>
    <s v="1893 F"/>
    <x v="50"/>
    <s v="TEDDY SMITH WARNING"/>
    <s v="LDN"/>
    <n v="28.5"/>
    <s v="7.5-8"/>
    <s v="پیور"/>
    <n v="420"/>
    <x v="0"/>
    <n v="1"/>
    <n v="42"/>
    <n v="3"/>
    <m/>
    <x v="0"/>
    <n v="39"/>
    <m/>
    <m/>
    <x v="0"/>
    <x v="0"/>
    <m/>
    <m/>
    <x v="0"/>
    <x v="0"/>
    <m/>
    <x v="0"/>
    <x v="0"/>
    <x v="0"/>
    <x v="0"/>
    <x v="0"/>
    <m/>
    <m/>
    <m/>
    <m/>
    <x v="0"/>
    <x v="0"/>
    <m/>
    <x v="0"/>
    <m/>
    <x v="0"/>
    <x v="0"/>
    <x v="0"/>
    <x v="0"/>
    <x v="0"/>
  </r>
  <r>
    <x v="0"/>
    <x v="6"/>
    <s v="3366 J"/>
    <x v="50"/>
    <s v="G R Powder Coatings"/>
    <s v="LDN"/>
    <n v="28"/>
    <s v="8.5-9"/>
    <s v="AA کولٹی"/>
    <n v="200"/>
    <x v="0"/>
    <n v="2"/>
    <n v="125.2"/>
    <n v="7.4"/>
    <m/>
    <x v="0"/>
    <n v="117.8"/>
    <m/>
    <m/>
    <x v="0"/>
    <x v="0"/>
    <m/>
    <m/>
    <x v="0"/>
    <x v="0"/>
    <m/>
    <x v="0"/>
    <x v="0"/>
    <x v="0"/>
    <x v="0"/>
    <x v="0"/>
    <m/>
    <m/>
    <m/>
    <m/>
    <x v="0"/>
    <x v="0"/>
    <m/>
    <x v="0"/>
    <m/>
    <x v="0"/>
    <x v="0"/>
    <x v="0"/>
    <x v="0"/>
    <x v="0"/>
  </r>
  <r>
    <x v="1"/>
    <x v="6"/>
    <s v="3366 J"/>
    <x v="50"/>
    <s v="G R Powder Coatings"/>
    <s v="LDN"/>
    <n v="28"/>
    <s v="8.5-9"/>
    <s v="AA کولٹی"/>
    <n v="200"/>
    <x v="0"/>
    <n v="1"/>
    <n v="87.6"/>
    <n v="3.8"/>
    <n v="8"/>
    <x v="0"/>
    <n v="83.8"/>
    <m/>
    <m/>
    <x v="0"/>
    <x v="0"/>
    <m/>
    <m/>
    <x v="0"/>
    <x v="0"/>
    <m/>
    <x v="0"/>
    <x v="0"/>
    <x v="0"/>
    <x v="0"/>
    <x v="0"/>
    <m/>
    <m/>
    <m/>
    <m/>
    <x v="0"/>
    <x v="0"/>
    <m/>
    <x v="0"/>
    <m/>
    <x v="0"/>
    <x v="0"/>
    <x v="0"/>
    <x v="0"/>
    <x v="0"/>
  </r>
  <r>
    <x v="1"/>
    <x v="6"/>
    <s v="3367 J"/>
    <x v="50"/>
    <s v="Gulf Powder Coatings"/>
    <s v="LDN"/>
    <n v="28.5"/>
    <s v="13-13.5"/>
    <s v="AA کولٹی"/>
    <n v="200"/>
    <x v="0"/>
    <n v="2"/>
    <n v="219"/>
    <n v="5.8"/>
    <m/>
    <x v="0"/>
    <n v="213.2"/>
    <m/>
    <m/>
    <x v="0"/>
    <x v="0"/>
    <m/>
    <m/>
    <x v="0"/>
    <x v="0"/>
    <m/>
    <x v="0"/>
    <x v="0"/>
    <x v="0"/>
    <x v="0"/>
    <x v="0"/>
    <m/>
    <m/>
    <m/>
    <m/>
    <x v="0"/>
    <x v="0"/>
    <m/>
    <x v="0"/>
    <m/>
    <x v="0"/>
    <x v="0"/>
    <x v="0"/>
    <x v="0"/>
    <x v="0"/>
  </r>
  <r>
    <x v="1"/>
    <x v="6"/>
    <s v="3381 J"/>
    <x v="50"/>
    <s v="Al Khayrat Brand"/>
    <s v="LDN"/>
    <n v="22"/>
    <s v="-"/>
    <s v="پیور"/>
    <n v="350"/>
    <x v="0"/>
    <n v="5"/>
    <n v="250"/>
    <n v="13.5"/>
    <m/>
    <x v="0"/>
    <n v="236.5"/>
    <m/>
    <m/>
    <x v="0"/>
    <x v="0"/>
    <m/>
    <m/>
    <x v="0"/>
    <x v="0"/>
    <m/>
    <x v="0"/>
    <x v="0"/>
    <x v="0"/>
    <x v="0"/>
    <x v="0"/>
    <m/>
    <m/>
    <m/>
    <m/>
    <x v="0"/>
    <x v="0"/>
    <m/>
    <x v="0"/>
    <m/>
    <x v="0"/>
    <x v="0"/>
    <x v="0"/>
    <x v="0"/>
    <x v="0"/>
  </r>
  <r>
    <x v="0"/>
    <x v="4"/>
    <s v="3352 J"/>
    <x v="50"/>
    <s v="Jilani Sheet Stock"/>
    <s v="LDN"/>
    <s v="26&quot;شیٹ"/>
    <s v="8-8.5/16-17"/>
    <s v="پیور"/>
    <n v="5000"/>
    <x v="0"/>
    <n v="6"/>
    <n v="682.4"/>
    <n v="19.200000000000003"/>
    <n v="7"/>
    <x v="0"/>
    <n v="663.19999999999993"/>
    <m/>
    <m/>
    <x v="0"/>
    <x v="0"/>
    <m/>
    <m/>
    <x v="0"/>
    <x v="0"/>
    <m/>
    <x v="0"/>
    <x v="0"/>
    <x v="0"/>
    <x v="0"/>
    <x v="0"/>
    <m/>
    <m/>
    <m/>
    <m/>
    <x v="0"/>
    <x v="0"/>
    <m/>
    <x v="0"/>
    <m/>
    <x v="0"/>
    <x v="0"/>
    <x v="0"/>
    <x v="0"/>
    <x v="0"/>
  </r>
  <r>
    <x v="1"/>
    <x v="4"/>
    <s v="3352 J"/>
    <x v="50"/>
    <s v="Jilani Sheet Stock"/>
    <s v="LDN"/>
    <s v="26&quot;شیٹ"/>
    <s v="8-8.5/16-17"/>
    <s v="پیور"/>
    <n v="5000"/>
    <x v="0"/>
    <n v="2"/>
    <n v="122.19999999999999"/>
    <n v="6.4"/>
    <m/>
    <x v="0"/>
    <n v="115.79999999999998"/>
    <m/>
    <m/>
    <x v="0"/>
    <x v="0"/>
    <m/>
    <m/>
    <x v="0"/>
    <x v="0"/>
    <m/>
    <x v="0"/>
    <x v="0"/>
    <x v="0"/>
    <x v="0"/>
    <x v="0"/>
    <m/>
    <m/>
    <m/>
    <m/>
    <x v="0"/>
    <x v="0"/>
    <m/>
    <x v="0"/>
    <m/>
    <x v="0"/>
    <x v="0"/>
    <x v="0"/>
    <x v="0"/>
    <x v="0"/>
  </r>
  <r>
    <x v="1"/>
    <x v="4"/>
    <s v="3414 J"/>
    <x v="50"/>
    <s v="Alam Bread Kamoki"/>
    <s v="LDN"/>
    <s v="28 شیٹ"/>
    <s v="4-4.5/8-9"/>
    <s v="پیور"/>
    <n v="200"/>
    <x v="0"/>
    <n v="4"/>
    <n v="213"/>
    <n v="13.6"/>
    <m/>
    <x v="0"/>
    <n v="199.4"/>
    <m/>
    <m/>
    <x v="0"/>
    <x v="0"/>
    <m/>
    <m/>
    <x v="0"/>
    <x v="0"/>
    <m/>
    <x v="0"/>
    <x v="0"/>
    <x v="0"/>
    <x v="0"/>
    <x v="0"/>
    <m/>
    <m/>
    <m/>
    <m/>
    <x v="0"/>
    <x v="0"/>
    <m/>
    <x v="0"/>
    <m/>
    <x v="0"/>
    <x v="0"/>
    <x v="0"/>
    <x v="0"/>
    <x v="0"/>
  </r>
  <r>
    <x v="1"/>
    <x v="4"/>
    <s v="3415 J"/>
    <x v="50"/>
    <s v="Alam Bread Kamoki"/>
    <s v="LDN"/>
    <s v="32 شیٹ"/>
    <s v="4-4.5/8-9"/>
    <s v="پیور"/>
    <n v="100"/>
    <x v="0"/>
    <n v="2"/>
    <n v="115"/>
    <n v="7.6"/>
    <m/>
    <x v="0"/>
    <n v="107.4"/>
    <m/>
    <m/>
    <x v="0"/>
    <x v="0"/>
    <m/>
    <m/>
    <x v="0"/>
    <x v="0"/>
    <m/>
    <x v="0"/>
    <x v="0"/>
    <x v="0"/>
    <x v="0"/>
    <x v="0"/>
    <m/>
    <m/>
    <m/>
    <m/>
    <x v="0"/>
    <x v="0"/>
    <m/>
    <x v="0"/>
    <m/>
    <x v="0"/>
    <x v="0"/>
    <x v="0"/>
    <x v="0"/>
    <x v="0"/>
  </r>
  <r>
    <x v="1"/>
    <x v="4"/>
    <s v="3178 J"/>
    <x v="50"/>
    <s v="Thank You Loop Special(ABC Desgine)"/>
    <s v="LDM"/>
    <s v="32 شیٹ"/>
    <s v="5.5-6/11-12"/>
    <s v="ویسٹ کوالٹی"/>
    <n v="750"/>
    <x v="0"/>
    <n v="4"/>
    <n v="486.20000000000005"/>
    <n v="15.2"/>
    <m/>
    <x v="0"/>
    <n v="471.00000000000006"/>
    <m/>
    <m/>
    <x v="0"/>
    <x v="0"/>
    <m/>
    <m/>
    <x v="0"/>
    <x v="0"/>
    <m/>
    <x v="0"/>
    <x v="0"/>
    <x v="0"/>
    <x v="0"/>
    <x v="0"/>
    <m/>
    <m/>
    <m/>
    <m/>
    <x v="0"/>
    <x v="0"/>
    <m/>
    <x v="0"/>
    <m/>
    <x v="0"/>
    <x v="0"/>
    <x v="0"/>
    <x v="0"/>
    <x v="0"/>
  </r>
  <r>
    <x v="1"/>
    <x v="2"/>
    <s v="3358 J"/>
    <x v="51"/>
    <s v="Lazat kenya Chay"/>
    <s v="LD گولڈن یلو"/>
    <n v="7"/>
    <s v="20"/>
    <s v="ABA پیور"/>
    <n v="150"/>
    <x v="0"/>
    <n v="2"/>
    <n v="85.8"/>
    <n v="1.8"/>
    <n v="19"/>
    <x v="0"/>
    <n v="84"/>
    <m/>
    <m/>
    <x v="0"/>
    <x v="0"/>
    <m/>
    <m/>
    <x v="0"/>
    <x v="0"/>
    <m/>
    <x v="0"/>
    <x v="0"/>
    <x v="0"/>
    <x v="0"/>
    <x v="0"/>
    <m/>
    <m/>
    <m/>
    <m/>
    <x v="0"/>
    <x v="0"/>
    <m/>
    <x v="0"/>
    <m/>
    <x v="0"/>
    <x v="0"/>
    <x v="0"/>
    <x v="0"/>
    <x v="0"/>
  </r>
  <r>
    <x v="0"/>
    <x v="3"/>
    <s v="3365 J"/>
    <x v="51"/>
    <s v="G R Powder Coatings"/>
    <s v="LDN"/>
    <n v="13"/>
    <s v="10-10.5"/>
    <s v="AA کولٹی"/>
    <n v="200"/>
    <x v="0"/>
    <n v="4"/>
    <n v="205.2"/>
    <n v="6"/>
    <m/>
    <x v="0"/>
    <n v="199.2"/>
    <m/>
    <m/>
    <x v="0"/>
    <x v="0"/>
    <m/>
    <m/>
    <x v="0"/>
    <x v="0"/>
    <m/>
    <x v="0"/>
    <x v="0"/>
    <x v="0"/>
    <x v="0"/>
    <x v="0"/>
    <m/>
    <m/>
    <m/>
    <m/>
    <x v="0"/>
    <x v="0"/>
    <m/>
    <x v="0"/>
    <m/>
    <x v="0"/>
    <x v="0"/>
    <x v="0"/>
    <x v="0"/>
    <x v="0"/>
  </r>
  <r>
    <x v="0"/>
    <x v="3"/>
    <s v="1918 F"/>
    <x v="51"/>
    <s v="NEXT WARNING BIG"/>
    <s v="LDN"/>
    <n v="13"/>
    <s v="7-7.5"/>
    <s v="جیلانی شیٹ"/>
    <n v="40"/>
    <x v="0"/>
    <n v="1"/>
    <n v="49.8"/>
    <n v="1.5"/>
    <m/>
    <x v="0"/>
    <n v="48.3"/>
    <m/>
    <m/>
    <x v="0"/>
    <x v="0"/>
    <m/>
    <m/>
    <x v="0"/>
    <x v="0"/>
    <m/>
    <x v="0"/>
    <x v="0"/>
    <x v="0"/>
    <x v="0"/>
    <x v="0"/>
    <m/>
    <m/>
    <m/>
    <m/>
    <x v="0"/>
    <x v="0"/>
    <m/>
    <x v="0"/>
    <m/>
    <x v="0"/>
    <x v="0"/>
    <x v="0"/>
    <x v="0"/>
    <x v="0"/>
  </r>
  <r>
    <x v="1"/>
    <x v="3"/>
    <s v="1858 F"/>
    <x v="51"/>
    <s v="U H L WARNING"/>
    <s v="LDN"/>
    <n v="17"/>
    <s v="12"/>
    <s v="جیلانی شیٹ"/>
    <n v="800"/>
    <x v="0"/>
    <n v="5"/>
    <n v="371.8"/>
    <n v="10"/>
    <n v="4"/>
    <x v="0"/>
    <n v="361.8"/>
    <m/>
    <m/>
    <x v="0"/>
    <x v="0"/>
    <m/>
    <m/>
    <x v="0"/>
    <x v="0"/>
    <m/>
    <x v="0"/>
    <x v="0"/>
    <x v="0"/>
    <x v="0"/>
    <x v="0"/>
    <m/>
    <m/>
    <m/>
    <m/>
    <x v="0"/>
    <x v="0"/>
    <m/>
    <x v="0"/>
    <m/>
    <x v="0"/>
    <x v="0"/>
    <x v="0"/>
    <x v="0"/>
    <x v="0"/>
  </r>
  <r>
    <x v="0"/>
    <x v="6"/>
    <s v="3381 J"/>
    <x v="51"/>
    <s v="Al Khayrat Brand"/>
    <s v="LDN"/>
    <n v="22"/>
    <s v="-"/>
    <s v="پیور"/>
    <n v="350"/>
    <x v="0"/>
    <n v="1"/>
    <n v="58.8"/>
    <n v="2.4"/>
    <m/>
    <x v="0"/>
    <n v="56.4"/>
    <m/>
    <m/>
    <x v="0"/>
    <x v="0"/>
    <m/>
    <m/>
    <x v="0"/>
    <x v="0"/>
    <m/>
    <x v="0"/>
    <x v="0"/>
    <x v="0"/>
    <x v="0"/>
    <x v="0"/>
    <m/>
    <m/>
    <m/>
    <m/>
    <x v="0"/>
    <x v="0"/>
    <m/>
    <x v="0"/>
    <m/>
    <x v="0"/>
    <x v="0"/>
    <x v="0"/>
    <x v="0"/>
    <x v="0"/>
  </r>
  <r>
    <x v="0"/>
    <x v="6"/>
    <s v="1900 F"/>
    <x v="51"/>
    <s v="Wallmart"/>
    <s v="LDN"/>
    <n v="22"/>
    <s v="8"/>
    <s v="پیور"/>
    <n v="320"/>
    <x v="0"/>
    <n v="6"/>
    <n v="333.6"/>
    <n v="15"/>
    <m/>
    <x v="0"/>
    <n v="318.60000000000002"/>
    <m/>
    <m/>
    <x v="0"/>
    <x v="0"/>
    <m/>
    <m/>
    <x v="0"/>
    <x v="0"/>
    <m/>
    <x v="0"/>
    <x v="0"/>
    <x v="0"/>
    <x v="0"/>
    <x v="0"/>
    <m/>
    <m/>
    <m/>
    <m/>
    <x v="0"/>
    <x v="0"/>
    <m/>
    <x v="0"/>
    <m/>
    <x v="0"/>
    <x v="0"/>
    <x v="0"/>
    <x v="0"/>
    <x v="0"/>
  </r>
  <r>
    <x v="0"/>
    <x v="6"/>
    <s v="3416 J"/>
    <x v="51"/>
    <s v="Super Diamond Food"/>
    <s v="LDN"/>
    <n v="22"/>
    <s v="7.5-8"/>
    <s v="پیور"/>
    <n v="250"/>
    <x v="0"/>
    <n v="3"/>
    <n v="164"/>
    <n v="7.5"/>
    <m/>
    <x v="0"/>
    <n v="156.5"/>
    <m/>
    <m/>
    <x v="0"/>
    <x v="0"/>
    <m/>
    <m/>
    <x v="0"/>
    <x v="0"/>
    <m/>
    <x v="0"/>
    <x v="0"/>
    <x v="0"/>
    <x v="0"/>
    <x v="0"/>
    <m/>
    <m/>
    <m/>
    <m/>
    <x v="0"/>
    <x v="0"/>
    <m/>
    <x v="0"/>
    <m/>
    <x v="0"/>
    <x v="0"/>
    <x v="0"/>
    <x v="0"/>
    <x v="0"/>
  </r>
  <r>
    <x v="1"/>
    <x v="6"/>
    <s v="3416 J"/>
    <x v="51"/>
    <s v="Super Diamond Food"/>
    <s v="LDN"/>
    <n v="22"/>
    <s v="7.5-8"/>
    <s v="پیور"/>
    <n v="250"/>
    <x v="0"/>
    <n v="2"/>
    <n v="103"/>
    <n v="5.4"/>
    <n v="11.5"/>
    <x v="0"/>
    <n v="97.6"/>
    <m/>
    <m/>
    <x v="0"/>
    <x v="0"/>
    <m/>
    <m/>
    <x v="0"/>
    <x v="0"/>
    <m/>
    <x v="0"/>
    <x v="0"/>
    <x v="0"/>
    <x v="0"/>
    <x v="0"/>
    <m/>
    <m/>
    <m/>
    <m/>
    <x v="0"/>
    <x v="0"/>
    <m/>
    <x v="0"/>
    <m/>
    <x v="0"/>
    <x v="0"/>
    <x v="0"/>
    <x v="0"/>
    <x v="0"/>
  </r>
  <r>
    <x v="1"/>
    <x v="6"/>
    <s v="3381 J"/>
    <x v="51"/>
    <s v="Al Khayrat Brand"/>
    <s v="LDN"/>
    <n v="22"/>
    <s v="-"/>
    <s v="پیور"/>
    <n v="350"/>
    <x v="0"/>
    <n v="2"/>
    <n v="103.19999999999999"/>
    <n v="5.4"/>
    <m/>
    <x v="0"/>
    <n v="97.799999999999983"/>
    <m/>
    <m/>
    <x v="0"/>
    <x v="0"/>
    <m/>
    <m/>
    <x v="0"/>
    <x v="0"/>
    <m/>
    <x v="0"/>
    <x v="0"/>
    <x v="0"/>
    <x v="0"/>
    <x v="0"/>
    <m/>
    <m/>
    <m/>
    <m/>
    <x v="0"/>
    <x v="0"/>
    <m/>
    <x v="0"/>
    <m/>
    <x v="0"/>
    <x v="0"/>
    <x v="0"/>
    <x v="0"/>
    <x v="0"/>
  </r>
  <r>
    <x v="1"/>
    <x v="6"/>
    <s v="3352 J"/>
    <x v="51"/>
    <s v="Jilani Sheet Stock"/>
    <s v="LDN"/>
    <s v="26&quot;شیٹ"/>
    <s v="8-8.5/16-17"/>
    <s v="پیور"/>
    <n v="5000"/>
    <x v="0"/>
    <n v="4"/>
    <n v="237"/>
    <n v="11.100000000000001"/>
    <m/>
    <x v="0"/>
    <n v="225.9"/>
    <m/>
    <m/>
    <x v="0"/>
    <x v="0"/>
    <m/>
    <m/>
    <x v="0"/>
    <x v="0"/>
    <m/>
    <x v="0"/>
    <x v="0"/>
    <x v="0"/>
    <x v="0"/>
    <x v="0"/>
    <m/>
    <m/>
    <m/>
    <m/>
    <x v="0"/>
    <x v="0"/>
    <m/>
    <x v="0"/>
    <m/>
    <x v="0"/>
    <x v="0"/>
    <x v="0"/>
    <x v="0"/>
    <x v="0"/>
  </r>
  <r>
    <x v="1"/>
    <x v="6"/>
    <s v="3467 J"/>
    <x v="51"/>
    <s v="Atlas Honda"/>
    <s v="LDN"/>
    <n v="16"/>
    <n v="8"/>
    <s v="پیور"/>
    <n v="690"/>
    <x v="0"/>
    <n v="2"/>
    <n v="80.05"/>
    <n v="4"/>
    <m/>
    <x v="0"/>
    <n v="76.05"/>
    <m/>
    <m/>
    <x v="0"/>
    <x v="0"/>
    <m/>
    <m/>
    <x v="0"/>
    <x v="0"/>
    <m/>
    <x v="0"/>
    <x v="0"/>
    <x v="0"/>
    <x v="0"/>
    <x v="0"/>
    <m/>
    <m/>
    <m/>
    <m/>
    <x v="0"/>
    <x v="0"/>
    <m/>
    <x v="0"/>
    <m/>
    <x v="0"/>
    <x v="0"/>
    <x v="0"/>
    <x v="0"/>
    <x v="0"/>
  </r>
  <r>
    <x v="0"/>
    <x v="4"/>
    <s v="3178 J"/>
    <x v="51"/>
    <s v="Thank You Loop Special(ABC Desgine)"/>
    <s v="LDM"/>
    <s v="32 شیٹ"/>
    <s v="5.5-6/11-12"/>
    <s v="ویسٹ کوالٹی"/>
    <n v="750"/>
    <x v="0"/>
    <n v="2"/>
    <n v="313.5"/>
    <n v="7.6"/>
    <n v="35"/>
    <x v="0"/>
    <n v="305.89999999999998"/>
    <m/>
    <m/>
    <x v="0"/>
    <x v="0"/>
    <m/>
    <m/>
    <x v="0"/>
    <x v="0"/>
    <m/>
    <x v="0"/>
    <x v="0"/>
    <x v="0"/>
    <x v="0"/>
    <x v="0"/>
    <m/>
    <m/>
    <m/>
    <m/>
    <x v="0"/>
    <x v="0"/>
    <m/>
    <x v="0"/>
    <m/>
    <x v="0"/>
    <x v="0"/>
    <x v="0"/>
    <x v="0"/>
    <x v="0"/>
  </r>
  <r>
    <x v="0"/>
    <x v="4"/>
    <s v="3175 J"/>
    <x v="51"/>
    <s v="Thank You Loop Rainbo"/>
    <s v="LDM"/>
    <s v="32 شیٹ"/>
    <s v="5.5-6/11-12"/>
    <s v="نیو تھینکیو کوالٹی"/>
    <n v="750"/>
    <x v="0"/>
    <n v="6"/>
    <n v="708.00000000000011"/>
    <n v="22.799999999999997"/>
    <m/>
    <x v="0"/>
    <n v="685.20000000000016"/>
    <m/>
    <m/>
    <x v="0"/>
    <x v="0"/>
    <m/>
    <m/>
    <x v="0"/>
    <x v="0"/>
    <m/>
    <x v="0"/>
    <x v="0"/>
    <x v="0"/>
    <x v="0"/>
    <x v="0"/>
    <m/>
    <m/>
    <m/>
    <m/>
    <x v="0"/>
    <x v="0"/>
    <m/>
    <x v="0"/>
    <m/>
    <x v="0"/>
    <x v="0"/>
    <x v="0"/>
    <x v="0"/>
    <x v="0"/>
  </r>
  <r>
    <x v="1"/>
    <x v="4"/>
    <s v="3179 J"/>
    <x v="51"/>
    <s v="Thank You Loop Special(ABC Desgine)"/>
    <s v="LDM"/>
    <s v="36 شیٹ"/>
    <s v="5.5-6/11-12"/>
    <s v="ویسٹ کوالٹی"/>
    <n v="750"/>
    <x v="0"/>
    <n v="6"/>
    <n v="784.19999999999993"/>
    <n v="26.400000000000002"/>
    <n v="11.8"/>
    <x v="0"/>
    <n v="757.8"/>
    <m/>
    <m/>
    <x v="0"/>
    <x v="0"/>
    <m/>
    <m/>
    <x v="0"/>
    <x v="0"/>
    <m/>
    <x v="0"/>
    <x v="0"/>
    <x v="0"/>
    <x v="0"/>
    <x v="0"/>
    <m/>
    <m/>
    <m/>
    <m/>
    <x v="0"/>
    <x v="0"/>
    <m/>
    <x v="0"/>
    <m/>
    <x v="0"/>
    <x v="0"/>
    <x v="0"/>
    <x v="0"/>
    <x v="0"/>
  </r>
  <r>
    <x v="1"/>
    <x v="4"/>
    <s v="3176 J"/>
    <x v="51"/>
    <s v="Thank You Loop Rainbo"/>
    <s v="LDM"/>
    <s v="36 شیٹ"/>
    <s v="5.5-6/11-12"/>
    <s v="سپیشل تھینکیو ABA"/>
    <n v="1000"/>
    <x v="0"/>
    <n v="4"/>
    <n v="432.20000000000005"/>
    <n v="17.600000000000001"/>
    <m/>
    <x v="0"/>
    <n v="414.6"/>
    <m/>
    <m/>
    <x v="0"/>
    <x v="0"/>
    <m/>
    <m/>
    <x v="0"/>
    <x v="0"/>
    <m/>
    <x v="0"/>
    <x v="0"/>
    <x v="0"/>
    <x v="0"/>
    <x v="0"/>
    <m/>
    <m/>
    <m/>
    <m/>
    <x v="0"/>
    <x v="0"/>
    <m/>
    <x v="0"/>
    <m/>
    <x v="0"/>
    <x v="0"/>
    <x v="0"/>
    <x v="0"/>
    <x v="0"/>
  </r>
  <r>
    <x v="1"/>
    <x v="0"/>
    <s v="3371 J"/>
    <x v="52"/>
    <s v="Atlas Honda LTD (SKP)"/>
    <s v="LDN"/>
    <n v="9"/>
    <s v="9-9.5"/>
    <s v="LDN"/>
    <n v="135"/>
    <x v="0"/>
    <n v="2"/>
    <n v="105.2"/>
    <n v="2.4"/>
    <n v="25"/>
    <x v="0"/>
    <n v="102.8"/>
    <m/>
    <m/>
    <x v="0"/>
    <x v="0"/>
    <m/>
    <m/>
    <x v="0"/>
    <x v="0"/>
    <m/>
    <x v="0"/>
    <x v="0"/>
    <x v="0"/>
    <x v="0"/>
    <x v="0"/>
    <m/>
    <m/>
    <m/>
    <m/>
    <x v="0"/>
    <x v="0"/>
    <m/>
    <x v="0"/>
    <m/>
    <x v="0"/>
    <x v="0"/>
    <x v="0"/>
    <x v="0"/>
    <x v="0"/>
  </r>
  <r>
    <x v="1"/>
    <x v="0"/>
    <s v="3419 J"/>
    <x v="52"/>
    <s v="Plain Lafafa"/>
    <s v="LDN"/>
    <n v="11"/>
    <s v="18"/>
    <s v="پیور"/>
    <n v="100"/>
    <x v="0"/>
    <n v="1"/>
    <n v="57.6"/>
    <n v="1.3"/>
    <m/>
    <x v="0"/>
    <n v="56.300000000000004"/>
    <m/>
    <m/>
    <x v="0"/>
    <x v="0"/>
    <m/>
    <m/>
    <x v="0"/>
    <x v="0"/>
    <m/>
    <x v="0"/>
    <x v="0"/>
    <x v="0"/>
    <x v="0"/>
    <x v="0"/>
    <m/>
    <m/>
    <m/>
    <m/>
    <x v="0"/>
    <x v="0"/>
    <m/>
    <x v="0"/>
    <m/>
    <x v="0"/>
    <x v="0"/>
    <x v="0"/>
    <x v="0"/>
    <x v="0"/>
  </r>
  <r>
    <x v="0"/>
    <x v="2"/>
    <s v="3402 J"/>
    <x v="52"/>
    <s v="Mubashar Garments"/>
    <s v="LDM"/>
    <s v="12+3+3"/>
    <s v="6-6.5/12-13"/>
    <s v="ABA پیور"/>
    <n v="110"/>
    <x v="0"/>
    <n v="3"/>
    <n v="119.2"/>
    <n v="4.5"/>
    <n v="23"/>
    <x v="0"/>
    <n v="114.7"/>
    <m/>
    <m/>
    <x v="0"/>
    <x v="0"/>
    <m/>
    <m/>
    <x v="0"/>
    <x v="0"/>
    <m/>
    <x v="0"/>
    <x v="0"/>
    <x v="0"/>
    <x v="0"/>
    <x v="0"/>
    <m/>
    <m/>
    <m/>
    <m/>
    <x v="0"/>
    <x v="0"/>
    <m/>
    <x v="0"/>
    <m/>
    <x v="0"/>
    <x v="0"/>
    <x v="0"/>
    <x v="0"/>
    <x v="0"/>
  </r>
  <r>
    <x v="0"/>
    <x v="2"/>
    <s v="3418 J"/>
    <x v="52"/>
    <s v="Plain Double Treet Shopper"/>
    <s v="LDM"/>
    <s v="12+3+3"/>
    <s v="7.5-8/15-16"/>
    <s v="ABA پیور"/>
    <n v="110"/>
    <x v="0"/>
    <n v="3"/>
    <n v="118.8"/>
    <n v="4.5"/>
    <m/>
    <x v="0"/>
    <n v="114.3"/>
    <m/>
    <m/>
    <x v="0"/>
    <x v="0"/>
    <m/>
    <m/>
    <x v="0"/>
    <x v="0"/>
    <m/>
    <x v="0"/>
    <x v="0"/>
    <x v="0"/>
    <x v="0"/>
    <x v="0"/>
    <m/>
    <m/>
    <m/>
    <m/>
    <x v="0"/>
    <x v="0"/>
    <m/>
    <x v="0"/>
    <m/>
    <x v="0"/>
    <x v="0"/>
    <x v="0"/>
    <x v="0"/>
    <x v="0"/>
  </r>
  <r>
    <x v="0"/>
    <x v="2"/>
    <s v="3417 J"/>
    <x v="52"/>
    <s v="Plain Double Treet Shopper"/>
    <s v="LDM"/>
    <s v="12+3+3"/>
    <s v="7.5-8/15-16"/>
    <s v="ABA پیور"/>
    <n v="110"/>
    <x v="0"/>
    <n v="3"/>
    <n v="117"/>
    <n v="4.5"/>
    <m/>
    <x v="0"/>
    <n v="112.5"/>
    <m/>
    <m/>
    <x v="0"/>
    <x v="0"/>
    <m/>
    <m/>
    <x v="0"/>
    <x v="0"/>
    <m/>
    <x v="0"/>
    <x v="0"/>
    <x v="0"/>
    <x v="0"/>
    <x v="0"/>
    <m/>
    <m/>
    <m/>
    <m/>
    <x v="0"/>
    <x v="0"/>
    <m/>
    <x v="0"/>
    <m/>
    <x v="0"/>
    <x v="0"/>
    <x v="0"/>
    <x v="0"/>
    <x v="0"/>
  </r>
  <r>
    <x v="0"/>
    <x v="2"/>
    <s v="3359 J"/>
    <x v="52"/>
    <s v="Good Boy Shoping Mall "/>
    <s v="LDM"/>
    <n v="13"/>
    <s v="7.5-8/15-16"/>
    <s v="ABA پیور"/>
    <n v="110"/>
    <x v="0"/>
    <n v="1"/>
    <n v="28.8"/>
    <n v="0.8"/>
    <m/>
    <x v="0"/>
    <n v="28"/>
    <m/>
    <m/>
    <x v="0"/>
    <x v="0"/>
    <m/>
    <m/>
    <x v="0"/>
    <x v="0"/>
    <m/>
    <x v="0"/>
    <x v="0"/>
    <x v="0"/>
    <x v="0"/>
    <x v="0"/>
    <m/>
    <m/>
    <m/>
    <m/>
    <x v="0"/>
    <x v="0"/>
    <m/>
    <x v="0"/>
    <m/>
    <x v="0"/>
    <x v="0"/>
    <x v="0"/>
    <x v="0"/>
    <x v="0"/>
  </r>
  <r>
    <x v="1"/>
    <x v="2"/>
    <s v="3359 J"/>
    <x v="52"/>
    <s v="Good Boy Shoping Mall "/>
    <s v="LDM"/>
    <n v="13"/>
    <s v="7.5-8/15-16"/>
    <s v="ABA پیور"/>
    <n v="110"/>
    <x v="0"/>
    <n v="2"/>
    <n v="48"/>
    <n v="2"/>
    <n v="37"/>
    <x v="0"/>
    <n v="46"/>
    <m/>
    <m/>
    <x v="0"/>
    <x v="0"/>
    <m/>
    <m/>
    <x v="0"/>
    <x v="0"/>
    <m/>
    <x v="0"/>
    <x v="0"/>
    <x v="0"/>
    <x v="0"/>
    <x v="0"/>
    <m/>
    <m/>
    <m/>
    <m/>
    <x v="0"/>
    <x v="0"/>
    <m/>
    <x v="0"/>
    <m/>
    <x v="0"/>
    <x v="0"/>
    <x v="0"/>
    <x v="0"/>
    <x v="0"/>
  </r>
  <r>
    <x v="1"/>
    <x v="2"/>
    <n v="2772"/>
    <x v="52"/>
    <s v="MATCO FOOD"/>
    <s v="LDN"/>
    <s v="23-23.5"/>
    <s v="70 G+-1"/>
    <n v="0"/>
    <s v="3500 (100 BAGS)"/>
    <x v="0"/>
    <n v="1"/>
    <n v="105.8"/>
    <n v="3"/>
    <m/>
    <x v="0"/>
    <n v="102.8"/>
    <m/>
    <m/>
    <x v="0"/>
    <x v="0"/>
    <m/>
    <m/>
    <x v="0"/>
    <x v="0"/>
    <m/>
    <x v="0"/>
    <x v="0"/>
    <x v="0"/>
    <x v="0"/>
    <x v="0"/>
    <m/>
    <m/>
    <m/>
    <m/>
    <x v="0"/>
    <x v="0"/>
    <m/>
    <x v="0"/>
    <m/>
    <x v="0"/>
    <x v="0"/>
    <x v="0"/>
    <x v="0"/>
    <x v="0"/>
  </r>
  <r>
    <x v="0"/>
    <x v="3"/>
    <s v="1858 F"/>
    <x v="52"/>
    <s v="U H L WARNING"/>
    <s v="LDN"/>
    <n v="17"/>
    <s v="12"/>
    <s v="جیلانی شیٹ"/>
    <n v="800"/>
    <x v="0"/>
    <n v="4"/>
    <n v="275.82"/>
    <n v="10"/>
    <n v="30"/>
    <x v="0"/>
    <n v="265.82"/>
    <m/>
    <m/>
    <x v="0"/>
    <x v="0"/>
    <m/>
    <m/>
    <x v="0"/>
    <x v="0"/>
    <m/>
    <x v="0"/>
    <x v="0"/>
    <x v="0"/>
    <x v="0"/>
    <x v="0"/>
    <m/>
    <m/>
    <m/>
    <m/>
    <x v="0"/>
    <x v="0"/>
    <m/>
    <x v="0"/>
    <m/>
    <x v="0"/>
    <x v="0"/>
    <x v="0"/>
    <x v="0"/>
    <x v="0"/>
  </r>
  <r>
    <x v="0"/>
    <x v="3"/>
    <s v="1899 F"/>
    <x v="52"/>
    <s v="Wallmart"/>
    <s v="LDN"/>
    <n v="20"/>
    <s v="8"/>
    <s v="پیور"/>
    <n v="245"/>
    <x v="0"/>
    <n v="2"/>
    <n v="93.4"/>
    <n v="5"/>
    <m/>
    <x v="0"/>
    <n v="88.4"/>
    <m/>
    <m/>
    <x v="0"/>
    <x v="0"/>
    <m/>
    <m/>
    <x v="0"/>
    <x v="0"/>
    <m/>
    <x v="0"/>
    <x v="0"/>
    <x v="0"/>
    <x v="0"/>
    <x v="0"/>
    <m/>
    <m/>
    <m/>
    <m/>
    <x v="0"/>
    <x v="0"/>
    <m/>
    <x v="0"/>
    <m/>
    <x v="0"/>
    <x v="0"/>
    <x v="0"/>
    <x v="0"/>
    <x v="0"/>
  </r>
  <r>
    <x v="1"/>
    <x v="3"/>
    <s v="1899 F"/>
    <x v="52"/>
    <s v="Wallmart"/>
    <s v="LDN"/>
    <n v="20"/>
    <s v="8"/>
    <s v="پیور"/>
    <n v="245"/>
    <x v="0"/>
    <n v="3"/>
    <n v="175"/>
    <n v="7.1999999999999993"/>
    <n v="8"/>
    <x v="0"/>
    <n v="167.8"/>
    <m/>
    <m/>
    <x v="0"/>
    <x v="0"/>
    <m/>
    <m/>
    <x v="0"/>
    <x v="0"/>
    <m/>
    <x v="0"/>
    <x v="0"/>
    <x v="0"/>
    <x v="0"/>
    <x v="0"/>
    <m/>
    <m/>
    <m/>
    <m/>
    <x v="0"/>
    <x v="0"/>
    <m/>
    <x v="0"/>
    <m/>
    <x v="0"/>
    <x v="0"/>
    <x v="0"/>
    <x v="0"/>
    <x v="0"/>
  </r>
  <r>
    <x v="1"/>
    <x v="3"/>
    <s v="1882 F"/>
    <x v="52"/>
    <s v="DUBBLE TREAT ROLL"/>
    <s v="LDN"/>
    <n v="21"/>
    <s v="7-7.5"/>
    <s v="پیور"/>
    <n v="500"/>
    <x v="0"/>
    <n v="1"/>
    <n v="55.4"/>
    <n v="2.4"/>
    <m/>
    <x v="0"/>
    <n v="53"/>
    <m/>
    <m/>
    <x v="0"/>
    <x v="0"/>
    <m/>
    <m/>
    <x v="0"/>
    <x v="0"/>
    <m/>
    <x v="0"/>
    <x v="0"/>
    <x v="0"/>
    <x v="0"/>
    <x v="0"/>
    <m/>
    <m/>
    <m/>
    <m/>
    <x v="0"/>
    <x v="0"/>
    <m/>
    <x v="0"/>
    <m/>
    <x v="0"/>
    <x v="0"/>
    <x v="0"/>
    <x v="0"/>
    <x v="0"/>
  </r>
  <r>
    <x v="0"/>
    <x v="6"/>
    <s v="3467 J"/>
    <x v="52"/>
    <s v="Atlas Honda"/>
    <s v="LDN"/>
    <n v="16"/>
    <n v="8"/>
    <s v="پیور"/>
    <n v="690"/>
    <x v="0"/>
    <n v="6"/>
    <n v="328.2"/>
    <n v="11.9"/>
    <m/>
    <x v="0"/>
    <n v="316.3"/>
    <m/>
    <m/>
    <x v="0"/>
    <x v="0"/>
    <m/>
    <m/>
    <x v="0"/>
    <x v="0"/>
    <m/>
    <x v="0"/>
    <x v="0"/>
    <x v="0"/>
    <x v="0"/>
    <x v="0"/>
    <m/>
    <m/>
    <m/>
    <m/>
    <x v="0"/>
    <x v="0"/>
    <m/>
    <x v="0"/>
    <m/>
    <x v="0"/>
    <x v="0"/>
    <x v="0"/>
    <x v="0"/>
    <x v="0"/>
  </r>
  <r>
    <x v="1"/>
    <x v="6"/>
    <s v="3467 J"/>
    <x v="52"/>
    <s v="Atlas Honda"/>
    <s v="LDN"/>
    <n v="16"/>
    <n v="8"/>
    <s v="پیور"/>
    <n v="690"/>
    <x v="0"/>
    <n v="5"/>
    <n v="294.60000000000002"/>
    <n v="9.4"/>
    <m/>
    <x v="0"/>
    <n v="285.20000000000005"/>
    <m/>
    <m/>
    <x v="0"/>
    <x v="0"/>
    <m/>
    <m/>
    <x v="0"/>
    <x v="0"/>
    <m/>
    <x v="0"/>
    <x v="0"/>
    <x v="0"/>
    <x v="0"/>
    <x v="0"/>
    <m/>
    <m/>
    <m/>
    <m/>
    <x v="0"/>
    <x v="0"/>
    <m/>
    <x v="0"/>
    <m/>
    <x v="0"/>
    <x v="0"/>
    <x v="0"/>
    <x v="0"/>
    <x v="0"/>
  </r>
  <r>
    <x v="1"/>
    <x v="6"/>
    <s v="3455 J"/>
    <x v="52"/>
    <s v="X7"/>
    <s v="LDN"/>
    <n v="16"/>
    <s v="9.5-10"/>
    <s v="پیور"/>
    <n v="400"/>
    <x v="0"/>
    <n v="1"/>
    <n v="72.400000000000006"/>
    <n v="1.8"/>
    <n v="9"/>
    <x v="0"/>
    <n v="70.600000000000009"/>
    <m/>
    <m/>
    <x v="0"/>
    <x v="0"/>
    <m/>
    <m/>
    <x v="0"/>
    <x v="0"/>
    <m/>
    <x v="0"/>
    <x v="0"/>
    <x v="0"/>
    <x v="0"/>
    <x v="0"/>
    <m/>
    <m/>
    <m/>
    <m/>
    <x v="0"/>
    <x v="0"/>
    <m/>
    <x v="0"/>
    <m/>
    <x v="0"/>
    <x v="0"/>
    <x v="0"/>
    <x v="0"/>
    <x v="0"/>
  </r>
  <r>
    <x v="0"/>
    <x v="4"/>
    <s v="3176 J"/>
    <x v="52"/>
    <s v="Thank You Loop Rainbo"/>
    <s v="LDM"/>
    <s v="36 شیٹ"/>
    <s v="5.5-6/11-12"/>
    <s v="سپیشل تھینکیو ABA"/>
    <n v="1000"/>
    <x v="0"/>
    <n v="4"/>
    <n v="465.6"/>
    <n v="17.600000000000001"/>
    <m/>
    <x v="0"/>
    <n v="448"/>
    <m/>
    <m/>
    <x v="0"/>
    <x v="0"/>
    <m/>
    <m/>
    <x v="0"/>
    <x v="0"/>
    <m/>
    <x v="0"/>
    <x v="0"/>
    <x v="0"/>
    <x v="0"/>
    <x v="0"/>
    <m/>
    <m/>
    <m/>
    <m/>
    <x v="0"/>
    <x v="0"/>
    <m/>
    <x v="0"/>
    <m/>
    <x v="0"/>
    <x v="0"/>
    <x v="0"/>
    <x v="0"/>
    <x v="0"/>
  </r>
  <r>
    <x v="0"/>
    <x v="4"/>
    <s v="3177 J"/>
    <x v="52"/>
    <s v="Thank You Loop Rainbo"/>
    <s v="LDM"/>
    <s v="40 شیٹ"/>
    <s v="5.5-6/11-12"/>
    <s v="سپیشل تھینکیو ABA"/>
    <n v="1000"/>
    <x v="0"/>
    <n v="8"/>
    <n v="1052.5"/>
    <n v="41.6"/>
    <m/>
    <x v="0"/>
    <n v="1010.9"/>
    <m/>
    <m/>
    <x v="0"/>
    <x v="0"/>
    <m/>
    <m/>
    <x v="0"/>
    <x v="0"/>
    <m/>
    <x v="0"/>
    <x v="0"/>
    <x v="0"/>
    <x v="0"/>
    <x v="0"/>
    <m/>
    <m/>
    <m/>
    <m/>
    <x v="0"/>
    <x v="0"/>
    <m/>
    <x v="0"/>
    <m/>
    <x v="0"/>
    <x v="0"/>
    <x v="0"/>
    <x v="0"/>
    <x v="0"/>
  </r>
  <r>
    <x v="1"/>
    <x v="4"/>
    <s v="3180 J"/>
    <x v="52"/>
    <s v="Thank You Loop Special(ABC Desgine)"/>
    <s v="LDM"/>
    <s v="40 شیٹ"/>
    <s v="5.5-6/11-12"/>
    <s v="ویسٹ کوالٹی"/>
    <n v="500"/>
    <x v="0"/>
    <n v="6"/>
    <n v="730"/>
    <n v="30"/>
    <m/>
    <x v="0"/>
    <n v="700"/>
    <m/>
    <m/>
    <x v="0"/>
    <x v="0"/>
    <m/>
    <m/>
    <x v="0"/>
    <x v="0"/>
    <m/>
    <x v="0"/>
    <x v="0"/>
    <x v="0"/>
    <x v="0"/>
    <x v="0"/>
    <m/>
    <m/>
    <m/>
    <m/>
    <x v="0"/>
    <x v="0"/>
    <m/>
    <x v="0"/>
    <m/>
    <x v="0"/>
    <x v="0"/>
    <x v="0"/>
    <x v="0"/>
    <x v="0"/>
  </r>
  <r>
    <x v="1"/>
    <x v="4"/>
    <s v="3391 J"/>
    <x v="52"/>
    <s v="Ramada Laundry bag"/>
    <s v="LDM"/>
    <n v="18"/>
    <s v="12-13"/>
    <s v="ABA پیور"/>
    <n v="100"/>
    <x v="0"/>
    <n v="2"/>
    <n v="117.8"/>
    <n v="4.4000000000000004"/>
    <n v="40"/>
    <x v="0"/>
    <n v="113.39999999999999"/>
    <m/>
    <m/>
    <x v="0"/>
    <x v="0"/>
    <m/>
    <m/>
    <x v="0"/>
    <x v="0"/>
    <m/>
    <x v="0"/>
    <x v="0"/>
    <x v="0"/>
    <x v="0"/>
    <x v="0"/>
    <m/>
    <m/>
    <m/>
    <m/>
    <x v="0"/>
    <x v="0"/>
    <m/>
    <x v="0"/>
    <m/>
    <x v="0"/>
    <x v="0"/>
    <x v="0"/>
    <x v="0"/>
    <x v="0"/>
  </r>
  <r>
    <x v="1"/>
    <x v="4"/>
    <s v="3357 J"/>
    <x v="52"/>
    <s v="Shoes 4 u + Cat Shoes"/>
    <s v="LDM"/>
    <n v="18"/>
    <s v="6.5-7"/>
    <s v="ABA پیور"/>
    <n v="200"/>
    <x v="0"/>
    <n v="4"/>
    <n v="140.4"/>
    <n v="8.8000000000000007"/>
    <m/>
    <x v="0"/>
    <n v="131.6"/>
    <m/>
    <m/>
    <x v="0"/>
    <x v="0"/>
    <m/>
    <m/>
    <x v="0"/>
    <x v="0"/>
    <m/>
    <x v="0"/>
    <x v="0"/>
    <x v="0"/>
    <x v="0"/>
    <x v="0"/>
    <m/>
    <m/>
    <m/>
    <m/>
    <x v="0"/>
    <x v="0"/>
    <m/>
    <x v="0"/>
    <m/>
    <x v="0"/>
    <x v="0"/>
    <x v="0"/>
    <x v="0"/>
    <x v="0"/>
  </r>
  <r>
    <x v="0"/>
    <x v="0"/>
    <s v="3419 J"/>
    <x v="53"/>
    <s v="Plain Lafafa"/>
    <s v="LDN"/>
    <n v="11"/>
    <s v="18"/>
    <s v="پیور"/>
    <n v="100"/>
    <x v="0"/>
    <n v="1"/>
    <n v="59.4"/>
    <n v="1.3"/>
    <n v="70"/>
    <x v="0"/>
    <n v="58.1"/>
    <m/>
    <m/>
    <x v="0"/>
    <x v="0"/>
    <m/>
    <m/>
    <x v="0"/>
    <x v="0"/>
    <m/>
    <x v="0"/>
    <x v="0"/>
    <x v="0"/>
    <x v="0"/>
    <x v="0"/>
    <m/>
    <m/>
    <m/>
    <m/>
    <x v="0"/>
    <x v="0"/>
    <m/>
    <x v="0"/>
    <m/>
    <x v="0"/>
    <x v="0"/>
    <x v="0"/>
    <x v="0"/>
    <x v="0"/>
  </r>
  <r>
    <x v="0"/>
    <x v="0"/>
    <s v="1897 F"/>
    <x v="53"/>
    <s v="UHL OLD WARNING"/>
    <s v="LDN"/>
    <n v="15"/>
    <s v="12"/>
    <n v="0"/>
    <n v="200"/>
    <x v="0"/>
    <n v="3"/>
    <n v="204.26"/>
    <n v="4.8"/>
    <m/>
    <x v="0"/>
    <n v="199.45999999999998"/>
    <m/>
    <m/>
    <x v="0"/>
    <x v="0"/>
    <m/>
    <m/>
    <x v="0"/>
    <x v="0"/>
    <m/>
    <x v="0"/>
    <x v="0"/>
    <x v="0"/>
    <x v="0"/>
    <x v="0"/>
    <m/>
    <m/>
    <m/>
    <m/>
    <x v="0"/>
    <x v="0"/>
    <m/>
    <x v="0"/>
    <m/>
    <x v="0"/>
    <x v="0"/>
    <x v="0"/>
    <x v="0"/>
    <x v="0"/>
  </r>
  <r>
    <x v="1"/>
    <x v="0"/>
    <s v="1927 J"/>
    <x v="53"/>
    <s v="سادہ رول عثمان عارف بٹ گوجرانولہ"/>
    <s v="LDN"/>
    <n v="2"/>
    <n v="12"/>
    <s v="پیور"/>
    <n v="500"/>
    <x v="0"/>
    <n v="3"/>
    <n v="62.1"/>
    <n v="3.9"/>
    <n v="95"/>
    <x v="0"/>
    <n v="58.2"/>
    <m/>
    <m/>
    <x v="0"/>
    <x v="0"/>
    <m/>
    <m/>
    <x v="0"/>
    <x v="0"/>
    <m/>
    <x v="0"/>
    <x v="0"/>
    <x v="0"/>
    <x v="0"/>
    <x v="0"/>
    <m/>
    <m/>
    <m/>
    <m/>
    <x v="0"/>
    <x v="0"/>
    <m/>
    <x v="0"/>
    <m/>
    <x v="0"/>
    <x v="0"/>
    <x v="0"/>
    <x v="0"/>
    <x v="0"/>
  </r>
  <r>
    <x v="0"/>
    <x v="2"/>
    <n v="2772"/>
    <x v="53"/>
    <s v="MATCO FOOD"/>
    <s v="LDN"/>
    <s v="23-23.5"/>
    <s v="70 G+-1"/>
    <n v="0"/>
    <s v="3500 (100 BAGS)"/>
    <x v="0"/>
    <n v="3"/>
    <n v="301.2"/>
    <n v="7.8"/>
    <m/>
    <x v="0"/>
    <n v="293.39999999999998"/>
    <m/>
    <m/>
    <x v="0"/>
    <x v="0"/>
    <m/>
    <m/>
    <x v="0"/>
    <x v="0"/>
    <m/>
    <x v="0"/>
    <x v="0"/>
    <x v="0"/>
    <x v="0"/>
    <x v="0"/>
    <m/>
    <m/>
    <m/>
    <m/>
    <x v="0"/>
    <x v="0"/>
    <m/>
    <x v="0"/>
    <m/>
    <x v="0"/>
    <x v="0"/>
    <x v="0"/>
    <x v="0"/>
    <x v="0"/>
  </r>
  <r>
    <x v="0"/>
    <x v="2"/>
    <s v="3450 J"/>
    <x v="53"/>
    <s v="Plain Lafafa"/>
    <s v="LDN"/>
    <n v="31"/>
    <s v="7.5-8/15-16"/>
    <s v="پیور"/>
    <n v="350"/>
    <x v="0"/>
    <n v="2"/>
    <n v="98.6"/>
    <n v="4.8"/>
    <m/>
    <x v="0"/>
    <n v="93.8"/>
    <m/>
    <m/>
    <x v="0"/>
    <x v="0"/>
    <m/>
    <m/>
    <x v="0"/>
    <x v="0"/>
    <m/>
    <x v="0"/>
    <x v="0"/>
    <x v="0"/>
    <x v="0"/>
    <x v="0"/>
    <m/>
    <m/>
    <m/>
    <m/>
    <x v="0"/>
    <x v="0"/>
    <m/>
    <x v="0"/>
    <m/>
    <x v="0"/>
    <x v="0"/>
    <x v="0"/>
    <x v="0"/>
    <x v="0"/>
  </r>
  <r>
    <x v="1"/>
    <x v="2"/>
    <s v="3450 J"/>
    <x v="53"/>
    <s v="Plain Lafafa"/>
    <s v="LDN"/>
    <n v="31"/>
    <s v="7.5-8/15-16"/>
    <s v="پیور"/>
    <n v="350"/>
    <x v="0"/>
    <n v="6"/>
    <n v="275.2"/>
    <n v="14.399999999999999"/>
    <m/>
    <x v="0"/>
    <n v="260.8"/>
    <m/>
    <m/>
    <x v="0"/>
    <x v="0"/>
    <m/>
    <m/>
    <x v="0"/>
    <x v="0"/>
    <m/>
    <x v="0"/>
    <x v="0"/>
    <x v="0"/>
    <x v="0"/>
    <x v="0"/>
    <m/>
    <m/>
    <m/>
    <m/>
    <x v="0"/>
    <x v="0"/>
    <m/>
    <x v="0"/>
    <m/>
    <x v="0"/>
    <x v="0"/>
    <x v="0"/>
    <x v="0"/>
    <x v="0"/>
  </r>
  <r>
    <x v="0"/>
    <x v="3"/>
    <s v="1882 F"/>
    <x v="53"/>
    <s v="DUBBLE TREAT ROLL"/>
    <s v="LDN"/>
    <n v="21"/>
    <s v="7-7.5"/>
    <s v="پیور"/>
    <n v="500"/>
    <x v="0"/>
    <n v="5"/>
    <n v="281.2"/>
    <n v="11.8"/>
    <m/>
    <x v="0"/>
    <n v="269.39999999999998"/>
    <m/>
    <m/>
    <x v="0"/>
    <x v="0"/>
    <m/>
    <m/>
    <x v="0"/>
    <x v="0"/>
    <m/>
    <x v="0"/>
    <x v="0"/>
    <x v="0"/>
    <x v="0"/>
    <x v="0"/>
    <m/>
    <m/>
    <m/>
    <m/>
    <x v="0"/>
    <x v="0"/>
    <m/>
    <x v="0"/>
    <m/>
    <x v="0"/>
    <x v="0"/>
    <x v="0"/>
    <x v="0"/>
    <x v="0"/>
  </r>
  <r>
    <x v="1"/>
    <x v="3"/>
    <s v="1913 F"/>
    <x v="53"/>
    <s v="NEW DOUBLE WARNING SAAD"/>
    <s v="LDN"/>
    <n v="17"/>
    <s v="6-6.5"/>
    <s v="جیلانی شیٹ"/>
    <n v="50"/>
    <x v="0"/>
    <n v="1"/>
    <n v="56.6"/>
    <n v="2.1"/>
    <m/>
    <x v="0"/>
    <n v="54.5"/>
    <m/>
    <m/>
    <x v="0"/>
    <x v="0"/>
    <m/>
    <m/>
    <x v="0"/>
    <x v="0"/>
    <m/>
    <x v="0"/>
    <x v="0"/>
    <x v="0"/>
    <x v="0"/>
    <x v="0"/>
    <m/>
    <m/>
    <m/>
    <m/>
    <x v="0"/>
    <x v="0"/>
    <m/>
    <x v="0"/>
    <m/>
    <x v="0"/>
    <x v="0"/>
    <x v="0"/>
    <x v="0"/>
    <x v="0"/>
  </r>
  <r>
    <x v="0"/>
    <x v="6"/>
    <s v="3455 J"/>
    <x v="53"/>
    <s v="X7"/>
    <s v="LDN"/>
    <n v="16"/>
    <s v="9.5-10"/>
    <s v="پیور"/>
    <n v="400"/>
    <x v="0"/>
    <n v="6"/>
    <n v="290"/>
    <n v="10.920000000000002"/>
    <m/>
    <x v="0"/>
    <n v="279.08"/>
    <m/>
    <m/>
    <x v="0"/>
    <x v="0"/>
    <m/>
    <m/>
    <x v="0"/>
    <x v="0"/>
    <m/>
    <x v="0"/>
    <x v="0"/>
    <x v="0"/>
    <x v="0"/>
    <x v="0"/>
    <m/>
    <m/>
    <m/>
    <m/>
    <x v="0"/>
    <x v="0"/>
    <m/>
    <x v="0"/>
    <m/>
    <x v="0"/>
    <x v="0"/>
    <x v="0"/>
    <x v="0"/>
    <x v="0"/>
  </r>
  <r>
    <x v="0"/>
    <x v="6"/>
    <s v="1904 F"/>
    <x v="53"/>
    <s v="Warning Ovs"/>
    <s v="LDN"/>
    <n v="17"/>
    <s v="7-7.5"/>
    <s v="پیور"/>
    <n v="145"/>
    <x v="0"/>
    <n v="1"/>
    <n v="58.2"/>
    <n v="2"/>
    <m/>
    <x v="0"/>
    <n v="56.2"/>
    <m/>
    <m/>
    <x v="0"/>
    <x v="0"/>
    <m/>
    <m/>
    <x v="0"/>
    <x v="0"/>
    <m/>
    <x v="0"/>
    <x v="0"/>
    <x v="0"/>
    <x v="0"/>
    <x v="0"/>
    <m/>
    <m/>
    <m/>
    <m/>
    <x v="0"/>
    <x v="0"/>
    <m/>
    <x v="0"/>
    <m/>
    <x v="0"/>
    <x v="0"/>
    <x v="0"/>
    <x v="0"/>
    <x v="0"/>
  </r>
  <r>
    <x v="1"/>
    <x v="6"/>
    <s v="1904 F"/>
    <x v="53"/>
    <s v="Warning Ovs"/>
    <s v="LDN"/>
    <n v="17"/>
    <s v="7-7.5"/>
    <s v="پیور"/>
    <n v="145"/>
    <x v="0"/>
    <n v="2"/>
    <n v="91.199999999999989"/>
    <n v="3.8"/>
    <m/>
    <x v="0"/>
    <n v="87.399999999999991"/>
    <m/>
    <m/>
    <x v="0"/>
    <x v="0"/>
    <m/>
    <m/>
    <x v="0"/>
    <x v="0"/>
    <m/>
    <x v="0"/>
    <x v="0"/>
    <x v="0"/>
    <x v="0"/>
    <x v="0"/>
    <m/>
    <m/>
    <m/>
    <m/>
    <x v="0"/>
    <x v="0"/>
    <m/>
    <x v="0"/>
    <m/>
    <x v="0"/>
    <x v="0"/>
    <x v="0"/>
    <x v="0"/>
    <x v="0"/>
  </r>
  <r>
    <x v="1"/>
    <x v="6"/>
    <s v="1902 F"/>
    <x v="53"/>
    <s v="Wallmart"/>
    <s v="LDN"/>
    <n v="17"/>
    <s v="8"/>
    <s v="پیور"/>
    <n v="130"/>
    <x v="0"/>
    <n v="3"/>
    <n v="139.39999999999998"/>
    <n v="6.1"/>
    <m/>
    <x v="0"/>
    <n v="133.29999999999998"/>
    <m/>
    <m/>
    <x v="0"/>
    <x v="0"/>
    <m/>
    <m/>
    <x v="0"/>
    <x v="0"/>
    <m/>
    <x v="0"/>
    <x v="0"/>
    <x v="0"/>
    <x v="0"/>
    <x v="0"/>
    <m/>
    <m/>
    <m/>
    <m/>
    <x v="0"/>
    <x v="0"/>
    <m/>
    <x v="0"/>
    <m/>
    <x v="0"/>
    <x v="0"/>
    <x v="0"/>
    <x v="0"/>
    <x v="0"/>
  </r>
  <r>
    <x v="1"/>
    <x v="6"/>
    <s v="3470 J"/>
    <x v="53"/>
    <s v="Royal Brook"/>
    <s v="LDN"/>
    <n v="22"/>
    <s v="8-8.5"/>
    <s v="پیور"/>
    <n v="200"/>
    <x v="0"/>
    <n v="3"/>
    <n v="207.6"/>
    <n v="7.5"/>
    <m/>
    <x v="0"/>
    <n v="200.1"/>
    <m/>
    <m/>
    <x v="0"/>
    <x v="0"/>
    <m/>
    <m/>
    <x v="0"/>
    <x v="0"/>
    <m/>
    <x v="0"/>
    <x v="0"/>
    <x v="0"/>
    <x v="0"/>
    <x v="0"/>
    <m/>
    <m/>
    <m/>
    <m/>
    <x v="0"/>
    <x v="0"/>
    <m/>
    <x v="0"/>
    <m/>
    <x v="0"/>
    <x v="0"/>
    <x v="0"/>
    <x v="0"/>
    <x v="0"/>
  </r>
  <r>
    <x v="1"/>
    <x v="6"/>
    <s v="3471 J"/>
    <x v="53"/>
    <s v="Royal Brook"/>
    <s v="LDN"/>
    <n v="24"/>
    <s v="8-8.5"/>
    <s v="پیور"/>
    <n v="200"/>
    <x v="0"/>
    <n v="1"/>
    <n v="64.2"/>
    <n v="2.8"/>
    <m/>
    <x v="0"/>
    <n v="61.400000000000006"/>
    <m/>
    <m/>
    <x v="0"/>
    <x v="0"/>
    <m/>
    <m/>
    <x v="0"/>
    <x v="0"/>
    <m/>
    <x v="0"/>
    <x v="0"/>
    <x v="0"/>
    <x v="0"/>
    <x v="0"/>
    <m/>
    <m/>
    <m/>
    <m/>
    <x v="0"/>
    <x v="0"/>
    <m/>
    <x v="0"/>
    <m/>
    <x v="0"/>
    <x v="0"/>
    <x v="0"/>
    <x v="0"/>
    <x v="0"/>
  </r>
  <r>
    <x v="0"/>
    <x v="4"/>
    <s v="3459 J"/>
    <x v="53"/>
    <s v="C.A"/>
    <s v="LDM"/>
    <n v="20.5"/>
    <s v="16-17"/>
    <s v="ABA پیور"/>
    <n v="520"/>
    <x v="0"/>
    <n v="9"/>
    <n v="555"/>
    <n v="23.400000000000002"/>
    <m/>
    <x v="0"/>
    <n v="531.6"/>
    <m/>
    <m/>
    <x v="0"/>
    <x v="0"/>
    <m/>
    <m/>
    <x v="0"/>
    <x v="0"/>
    <m/>
    <x v="0"/>
    <x v="0"/>
    <x v="0"/>
    <x v="0"/>
    <x v="0"/>
    <m/>
    <m/>
    <m/>
    <m/>
    <x v="0"/>
    <x v="0"/>
    <m/>
    <x v="0"/>
    <m/>
    <x v="0"/>
    <x v="0"/>
    <x v="0"/>
    <x v="0"/>
    <x v="0"/>
  </r>
  <r>
    <x v="1"/>
    <x v="4"/>
    <s v="1919 F"/>
    <x v="53"/>
    <s v="BREAD SHEET"/>
    <s v="LDN"/>
    <s v="30 SHEET"/>
    <s v="3-3.25/6-6.5"/>
    <s v="پیور"/>
    <n v="150"/>
    <x v="0"/>
    <n v="2"/>
    <n v="56.400000000000006"/>
    <n v="7.2"/>
    <m/>
    <x v="0"/>
    <n v="49.2"/>
    <m/>
    <m/>
    <x v="0"/>
    <x v="0"/>
    <m/>
    <m/>
    <x v="0"/>
    <x v="0"/>
    <m/>
    <x v="0"/>
    <x v="0"/>
    <x v="0"/>
    <x v="0"/>
    <x v="0"/>
    <m/>
    <m/>
    <m/>
    <m/>
    <x v="0"/>
    <x v="0"/>
    <m/>
    <x v="0"/>
    <m/>
    <x v="0"/>
    <x v="0"/>
    <x v="0"/>
    <x v="0"/>
    <x v="0"/>
  </r>
  <r>
    <x v="1"/>
    <x v="4"/>
    <s v="3352 J"/>
    <x v="53"/>
    <s v="Jilani Sheet Stock"/>
    <s v="LDN"/>
    <s v="26&quot;شیٹ"/>
    <s v="8-8.5/16-17"/>
    <s v="پیور"/>
    <n v="5000"/>
    <x v="0"/>
    <n v="4"/>
    <n v="440.59999999999997"/>
    <n v="12.8"/>
    <m/>
    <x v="0"/>
    <n v="427.79999999999995"/>
    <m/>
    <m/>
    <x v="0"/>
    <x v="0"/>
    <m/>
    <m/>
    <x v="0"/>
    <x v="0"/>
    <m/>
    <x v="0"/>
    <x v="0"/>
    <x v="0"/>
    <x v="0"/>
    <x v="0"/>
    <m/>
    <m/>
    <m/>
    <m/>
    <x v="0"/>
    <x v="0"/>
    <m/>
    <x v="0"/>
    <m/>
    <x v="0"/>
    <x v="0"/>
    <x v="0"/>
    <x v="0"/>
    <x v="0"/>
  </r>
  <r>
    <x v="0"/>
    <x v="4"/>
    <s v="1920 J"/>
    <x v="54"/>
    <s v="نیو العمر لیبل"/>
    <s v="PP"/>
    <n v="26"/>
    <s v="5-5.5"/>
    <s v="-"/>
    <n v="300"/>
    <x v="0"/>
    <n v="4"/>
    <n v="372.2"/>
    <n v="12.4"/>
    <n v="40"/>
    <x v="0"/>
    <n v="359.8"/>
    <m/>
    <m/>
    <x v="0"/>
    <x v="0"/>
    <m/>
    <m/>
    <x v="0"/>
    <x v="0"/>
    <m/>
    <x v="0"/>
    <x v="0"/>
    <x v="0"/>
    <x v="0"/>
    <x v="0"/>
    <m/>
    <m/>
    <m/>
    <m/>
    <x v="0"/>
    <x v="0"/>
    <m/>
    <x v="0"/>
    <m/>
    <x v="0"/>
    <x v="0"/>
    <x v="0"/>
    <x v="0"/>
    <x v="0"/>
  </r>
  <r>
    <x v="0"/>
    <x v="4"/>
    <s v="1921 F"/>
    <x v="54"/>
    <s v="BREAD SHEET"/>
    <s v="LDN"/>
    <s v="27 SHEET"/>
    <s v="3-3.25/6-6.5"/>
    <s v="پیور"/>
    <n v="300"/>
    <x v="0"/>
    <n v="6"/>
    <n v="317.2"/>
    <n v="20.399999999999999"/>
    <m/>
    <x v="0"/>
    <n v="296.8"/>
    <m/>
    <m/>
    <x v="0"/>
    <x v="0"/>
    <m/>
    <m/>
    <x v="0"/>
    <x v="0"/>
    <m/>
    <x v="0"/>
    <x v="0"/>
    <x v="0"/>
    <x v="0"/>
    <x v="0"/>
    <m/>
    <m/>
    <m/>
    <m/>
    <x v="0"/>
    <x v="0"/>
    <m/>
    <x v="0"/>
    <m/>
    <x v="0"/>
    <x v="0"/>
    <x v="0"/>
    <x v="0"/>
    <x v="0"/>
  </r>
  <r>
    <x v="1"/>
    <x v="4"/>
    <s v="893 F"/>
    <x v="54"/>
    <s v="سادہ لفافہ"/>
    <s v="LDN"/>
    <n v="28"/>
    <s v="8"/>
    <s v="پیور"/>
    <n v="145"/>
    <x v="0"/>
    <n v="4"/>
    <n v="220.2"/>
    <n v="15.2"/>
    <n v="5"/>
    <x v="0"/>
    <n v="205"/>
    <m/>
    <m/>
    <x v="0"/>
    <x v="0"/>
    <m/>
    <m/>
    <x v="0"/>
    <x v="0"/>
    <m/>
    <x v="0"/>
    <x v="0"/>
    <x v="0"/>
    <x v="0"/>
    <x v="0"/>
    <m/>
    <m/>
    <m/>
    <m/>
    <x v="0"/>
    <x v="0"/>
    <m/>
    <x v="0"/>
    <m/>
    <x v="0"/>
    <x v="0"/>
    <x v="0"/>
    <x v="0"/>
    <x v="0"/>
  </r>
  <r>
    <x v="1"/>
    <x v="4"/>
    <s v="9530 A"/>
    <x v="54"/>
    <s v="-"/>
    <s v="-"/>
    <s v="-"/>
    <s v="-"/>
    <s v="-"/>
    <s v="-"/>
    <x v="0"/>
    <n v="2"/>
    <n v="104"/>
    <n v="7.2"/>
    <m/>
    <x v="0"/>
    <n v="96.8"/>
    <m/>
    <m/>
    <x v="0"/>
    <x v="0"/>
    <m/>
    <m/>
    <x v="0"/>
    <x v="0"/>
    <m/>
    <x v="0"/>
    <x v="0"/>
    <x v="0"/>
    <x v="0"/>
    <x v="0"/>
    <m/>
    <m/>
    <m/>
    <m/>
    <x v="0"/>
    <x v="0"/>
    <m/>
    <x v="0"/>
    <m/>
    <x v="0"/>
    <x v="0"/>
    <x v="0"/>
    <x v="0"/>
    <x v="0"/>
  </r>
  <r>
    <x v="1"/>
    <x v="4"/>
    <s v="936 F"/>
    <x v="54"/>
    <s v="ری سائیکل لوگو"/>
    <s v="LDN"/>
    <n v="34"/>
    <s v="7-7.5"/>
    <s v="جیلانی شیٹ"/>
    <n v="140"/>
    <x v="0"/>
    <n v="4"/>
    <n v="204.8"/>
    <n v="16.8"/>
    <m/>
    <x v="0"/>
    <n v="188"/>
    <m/>
    <m/>
    <x v="0"/>
    <x v="0"/>
    <m/>
    <m/>
    <x v="0"/>
    <x v="0"/>
    <m/>
    <x v="0"/>
    <x v="0"/>
    <x v="0"/>
    <x v="0"/>
    <x v="0"/>
    <m/>
    <m/>
    <m/>
    <m/>
    <x v="0"/>
    <x v="0"/>
    <m/>
    <x v="0"/>
    <m/>
    <x v="0"/>
    <x v="0"/>
    <x v="0"/>
    <x v="0"/>
    <x v="0"/>
  </r>
  <r>
    <x v="1"/>
    <x v="4"/>
    <s v="3420 J"/>
    <x v="54"/>
    <s v="Nadeem Bed Sheet"/>
    <s v="LDN"/>
    <n v="36"/>
    <s v="8-8.5"/>
    <s v="پیور"/>
    <n v="100"/>
    <x v="0"/>
    <n v="2"/>
    <n v="59.2"/>
    <n v="9.1999999999999993"/>
    <m/>
    <x v="0"/>
    <n v="50"/>
    <m/>
    <m/>
    <x v="0"/>
    <x v="0"/>
    <m/>
    <m/>
    <x v="0"/>
    <x v="0"/>
    <m/>
    <x v="0"/>
    <x v="0"/>
    <x v="0"/>
    <x v="0"/>
    <x v="0"/>
    <m/>
    <m/>
    <m/>
    <m/>
    <x v="0"/>
    <x v="0"/>
    <m/>
    <x v="0"/>
    <m/>
    <x v="0"/>
    <x v="0"/>
    <x v="0"/>
    <x v="0"/>
    <x v="0"/>
  </r>
  <r>
    <x v="1"/>
    <x v="4"/>
    <s v="3449 J"/>
    <x v="54"/>
    <s v="Plain Lafafa"/>
    <s v="LDN"/>
    <n v="36"/>
    <s v="14"/>
    <s v="پیور"/>
    <n v="75"/>
    <x v="0"/>
    <n v="1"/>
    <n v="53.2"/>
    <n v="4.5999999999999996"/>
    <m/>
    <x v="0"/>
    <n v="48.6"/>
    <m/>
    <m/>
    <x v="0"/>
    <x v="0"/>
    <m/>
    <m/>
    <x v="0"/>
    <x v="0"/>
    <m/>
    <x v="0"/>
    <x v="0"/>
    <x v="0"/>
    <x v="0"/>
    <x v="0"/>
    <m/>
    <m/>
    <m/>
    <m/>
    <x v="0"/>
    <x v="0"/>
    <m/>
    <x v="0"/>
    <m/>
    <x v="0"/>
    <x v="0"/>
    <x v="0"/>
    <x v="0"/>
    <x v="0"/>
  </r>
  <r>
    <x v="0"/>
    <x v="0"/>
    <s v="1927 J"/>
    <x v="54"/>
    <s v="سادہ رول عثمان عارف بٹ گوجرانولہ"/>
    <s v="LDN"/>
    <n v="2"/>
    <n v="12"/>
    <s v="پیور"/>
    <n v="500"/>
    <x v="0"/>
    <n v="3"/>
    <n v="47.800000000000004"/>
    <n v="3.3000000000000003"/>
    <n v="8"/>
    <x v="0"/>
    <n v="44.500000000000007"/>
    <m/>
    <m/>
    <x v="0"/>
    <x v="0"/>
    <m/>
    <m/>
    <x v="0"/>
    <x v="0"/>
    <m/>
    <x v="0"/>
    <x v="0"/>
    <x v="0"/>
    <x v="0"/>
    <x v="0"/>
    <m/>
    <m/>
    <m/>
    <m/>
    <x v="0"/>
    <x v="0"/>
    <m/>
    <x v="0"/>
    <m/>
    <x v="0"/>
    <x v="0"/>
    <x v="0"/>
    <x v="0"/>
    <x v="0"/>
  </r>
  <r>
    <x v="1"/>
    <x v="0"/>
    <s v="3516 J"/>
    <x v="54"/>
    <s v="سٹاک برائے عثمان عارف بٹ گوجرانولہ"/>
    <s v="LDN"/>
    <n v="7"/>
    <s v="-"/>
    <s v="پیور"/>
    <n v="500"/>
    <x v="0"/>
    <n v="4"/>
    <n v="178.6"/>
    <n v="3.2"/>
    <m/>
    <x v="0"/>
    <n v="175.4"/>
    <m/>
    <m/>
    <x v="0"/>
    <x v="0"/>
    <m/>
    <m/>
    <x v="0"/>
    <x v="0"/>
    <m/>
    <x v="0"/>
    <x v="0"/>
    <x v="0"/>
    <x v="0"/>
    <x v="0"/>
    <m/>
    <m/>
    <m/>
    <m/>
    <x v="0"/>
    <x v="0"/>
    <m/>
    <x v="0"/>
    <m/>
    <x v="0"/>
    <x v="0"/>
    <x v="0"/>
    <x v="0"/>
    <x v="0"/>
  </r>
  <r>
    <x v="0"/>
    <x v="2"/>
    <n v="2772"/>
    <x v="54"/>
    <s v="MATCO FOOD"/>
    <s v="LDN"/>
    <s v="23-23.5"/>
    <s v="70 G+-1"/>
    <n v="0"/>
    <s v="3500 (100 BAGS)"/>
    <x v="0"/>
    <n v="4"/>
    <n v="389.4"/>
    <n v="11.8"/>
    <n v="15"/>
    <x v="0"/>
    <n v="377.59999999999997"/>
    <m/>
    <m/>
    <x v="0"/>
    <x v="0"/>
    <m/>
    <m/>
    <x v="0"/>
    <x v="0"/>
    <m/>
    <x v="0"/>
    <x v="0"/>
    <x v="0"/>
    <x v="0"/>
    <x v="0"/>
    <m/>
    <m/>
    <m/>
    <m/>
    <x v="0"/>
    <x v="0"/>
    <m/>
    <x v="0"/>
    <m/>
    <x v="0"/>
    <x v="0"/>
    <x v="0"/>
    <x v="0"/>
    <x v="0"/>
  </r>
  <r>
    <x v="1"/>
    <x v="2"/>
    <n v="2772"/>
    <x v="54"/>
    <s v="MATCO FOOD"/>
    <s v="LDN"/>
    <s v="23-23.5"/>
    <s v="70 G+-1"/>
    <n v="0"/>
    <s v="3500 (100 BAGS)"/>
    <x v="0"/>
    <n v="3"/>
    <n v="381.4"/>
    <n v="9"/>
    <n v="45"/>
    <x v="0"/>
    <n v="372.4"/>
    <m/>
    <m/>
    <x v="0"/>
    <x v="0"/>
    <m/>
    <m/>
    <x v="0"/>
    <x v="0"/>
    <m/>
    <x v="0"/>
    <x v="0"/>
    <x v="0"/>
    <x v="0"/>
    <x v="0"/>
    <m/>
    <m/>
    <m/>
    <m/>
    <x v="0"/>
    <x v="0"/>
    <m/>
    <x v="0"/>
    <m/>
    <x v="0"/>
    <x v="0"/>
    <x v="0"/>
    <x v="0"/>
    <x v="0"/>
  </r>
  <r>
    <x v="0"/>
    <x v="6"/>
    <s v="3471 J"/>
    <x v="54"/>
    <s v="Royal Brook"/>
    <s v="LDN"/>
    <n v="24"/>
    <s v="8-8.5"/>
    <s v="پیور"/>
    <n v="200"/>
    <x v="0"/>
    <n v="2"/>
    <n v="144"/>
    <n v="5.6"/>
    <n v="20"/>
    <x v="0"/>
    <n v="138.4"/>
    <m/>
    <m/>
    <x v="0"/>
    <x v="0"/>
    <m/>
    <m/>
    <x v="0"/>
    <x v="0"/>
    <m/>
    <x v="0"/>
    <x v="0"/>
    <x v="0"/>
    <x v="0"/>
    <x v="0"/>
    <m/>
    <m/>
    <m/>
    <m/>
    <x v="0"/>
    <x v="0"/>
    <m/>
    <x v="0"/>
    <m/>
    <x v="0"/>
    <x v="0"/>
    <x v="0"/>
    <x v="0"/>
    <x v="0"/>
  </r>
  <r>
    <x v="0"/>
    <x v="6"/>
    <s v="3448 J"/>
    <x v="54"/>
    <s v="Plain Lafafa"/>
    <s v="LDN"/>
    <n v="24"/>
    <s v="6"/>
    <s v="پیور"/>
    <n v="100"/>
    <x v="0"/>
    <n v="2"/>
    <n v="104.80000000000001"/>
    <n v="5.6"/>
    <m/>
    <x v="0"/>
    <n v="99.200000000000017"/>
    <m/>
    <m/>
    <x v="0"/>
    <x v="0"/>
    <m/>
    <m/>
    <x v="0"/>
    <x v="0"/>
    <m/>
    <x v="0"/>
    <x v="0"/>
    <x v="0"/>
    <x v="0"/>
    <x v="0"/>
    <m/>
    <m/>
    <m/>
    <m/>
    <x v="0"/>
    <x v="0"/>
    <m/>
    <x v="0"/>
    <m/>
    <x v="0"/>
    <x v="0"/>
    <x v="0"/>
    <x v="0"/>
    <x v="0"/>
  </r>
  <r>
    <x v="0"/>
    <x v="6"/>
    <s v="1923 F"/>
    <x v="54"/>
    <s v="TEDDY SMITH WARNING"/>
    <s v="LDN"/>
    <n v="26.5"/>
    <s v="7.5-8"/>
    <s v="پیور"/>
    <n v="138"/>
    <x v="0"/>
    <n v="3"/>
    <n v="143.80000000000001"/>
    <n v="6.4"/>
    <m/>
    <x v="0"/>
    <n v="137.4"/>
    <m/>
    <m/>
    <x v="0"/>
    <x v="0"/>
    <m/>
    <m/>
    <x v="0"/>
    <x v="0"/>
    <m/>
    <x v="0"/>
    <x v="0"/>
    <x v="0"/>
    <x v="0"/>
    <x v="0"/>
    <m/>
    <m/>
    <m/>
    <m/>
    <x v="0"/>
    <x v="0"/>
    <m/>
    <x v="0"/>
    <m/>
    <x v="0"/>
    <x v="0"/>
    <x v="0"/>
    <x v="0"/>
    <x v="0"/>
  </r>
  <r>
    <x v="0"/>
    <x v="6"/>
    <s v="1905 F"/>
    <x v="54"/>
    <s v="Warning Ovs"/>
    <s v="LDN"/>
    <n v="30"/>
    <s v="7-7.5"/>
    <s v="پیور"/>
    <n v="275"/>
    <x v="0"/>
    <n v="3"/>
    <n v="182.60000000000002"/>
    <n v="10.8"/>
    <m/>
    <x v="0"/>
    <n v="171.8"/>
    <m/>
    <m/>
    <x v="0"/>
    <x v="0"/>
    <m/>
    <m/>
    <x v="0"/>
    <x v="0"/>
    <m/>
    <x v="0"/>
    <x v="0"/>
    <x v="0"/>
    <x v="0"/>
    <x v="0"/>
    <m/>
    <m/>
    <m/>
    <m/>
    <x v="0"/>
    <x v="0"/>
    <m/>
    <x v="0"/>
    <m/>
    <x v="0"/>
    <x v="0"/>
    <x v="0"/>
    <x v="0"/>
    <x v="0"/>
  </r>
  <r>
    <x v="1"/>
    <x v="6"/>
    <s v="1905 F"/>
    <x v="54"/>
    <s v="Warning Ovs"/>
    <s v="LDN"/>
    <n v="30"/>
    <s v="7-7.5"/>
    <s v="پیور"/>
    <n v="275"/>
    <x v="0"/>
    <n v="2"/>
    <n v="114.2"/>
    <n v="7.6"/>
    <m/>
    <x v="0"/>
    <n v="106.60000000000001"/>
    <m/>
    <m/>
    <x v="0"/>
    <x v="0"/>
    <m/>
    <m/>
    <x v="0"/>
    <x v="0"/>
    <m/>
    <x v="0"/>
    <x v="0"/>
    <x v="0"/>
    <x v="0"/>
    <x v="0"/>
    <m/>
    <m/>
    <m/>
    <m/>
    <x v="0"/>
    <x v="0"/>
    <m/>
    <x v="0"/>
    <m/>
    <x v="0"/>
    <x v="0"/>
    <x v="0"/>
    <x v="0"/>
    <x v="0"/>
  </r>
  <r>
    <x v="1"/>
    <x v="6"/>
    <s v="3421 J"/>
    <x v="54"/>
    <s v="Ajwa Paint"/>
    <s v="LDN"/>
    <n v="20"/>
    <s v="6"/>
    <s v="پیور"/>
    <n v="100"/>
    <x v="0"/>
    <n v="2"/>
    <n v="102.6"/>
    <n v="5"/>
    <m/>
    <x v="0"/>
    <n v="97.6"/>
    <m/>
    <m/>
    <x v="0"/>
    <x v="0"/>
    <m/>
    <m/>
    <x v="0"/>
    <x v="0"/>
    <m/>
    <x v="0"/>
    <x v="0"/>
    <x v="0"/>
    <x v="0"/>
    <x v="0"/>
    <m/>
    <m/>
    <m/>
    <m/>
    <x v="0"/>
    <x v="0"/>
    <m/>
    <x v="0"/>
    <m/>
    <x v="0"/>
    <x v="0"/>
    <x v="0"/>
    <x v="0"/>
    <x v="0"/>
  </r>
  <r>
    <x v="1"/>
    <x v="6"/>
    <s v="1927 F"/>
    <x v="54"/>
    <s v="GREEN BLACK WANING"/>
    <s v="LDN"/>
    <n v="17"/>
    <s v="7-7.5"/>
    <s v="پیور"/>
    <n v="605"/>
    <x v="0"/>
    <n v="5"/>
    <n v="168.8"/>
    <n v="10"/>
    <m/>
    <x v="0"/>
    <n v="158.80000000000001"/>
    <m/>
    <m/>
    <x v="0"/>
    <x v="0"/>
    <m/>
    <m/>
    <x v="0"/>
    <x v="0"/>
    <m/>
    <x v="0"/>
    <x v="0"/>
    <x v="0"/>
    <x v="0"/>
    <x v="0"/>
    <m/>
    <m/>
    <m/>
    <m/>
    <x v="0"/>
    <x v="0"/>
    <m/>
    <x v="0"/>
    <m/>
    <x v="0"/>
    <x v="0"/>
    <x v="0"/>
    <x v="0"/>
    <x v="0"/>
  </r>
  <r>
    <x v="0"/>
    <x v="0"/>
    <s v="3516 J"/>
    <x v="55"/>
    <s v="سٹاک برائے عثمان عارف بٹ گوجرانولہ"/>
    <s v="LDN"/>
    <n v="7"/>
    <s v="-"/>
    <s v="پیور"/>
    <n v="500"/>
    <x v="0"/>
    <n v="1"/>
    <n v="52.6"/>
    <n v="0.9"/>
    <m/>
    <x v="0"/>
    <n v="51.7"/>
    <m/>
    <m/>
    <x v="0"/>
    <x v="0"/>
    <m/>
    <m/>
    <x v="0"/>
    <x v="0"/>
    <m/>
    <x v="0"/>
    <x v="0"/>
    <x v="0"/>
    <x v="0"/>
    <x v="0"/>
    <m/>
    <m/>
    <m/>
    <m/>
    <x v="0"/>
    <x v="0"/>
    <m/>
    <x v="0"/>
    <m/>
    <x v="0"/>
    <x v="0"/>
    <x v="0"/>
    <x v="0"/>
    <x v="0"/>
  </r>
  <r>
    <x v="0"/>
    <x v="0"/>
    <s v="3480 J"/>
    <x v="55"/>
    <s v="Smart Food 1  KG"/>
    <s v="LDN"/>
    <n v="7"/>
    <s v="14-15"/>
    <s v="پیور"/>
    <n v="100"/>
    <x v="0"/>
    <n v="2"/>
    <n v="101.1"/>
    <n v="1.8"/>
    <n v="2"/>
    <x v="0"/>
    <n v="99.3"/>
    <m/>
    <m/>
    <x v="0"/>
    <x v="0"/>
    <m/>
    <m/>
    <x v="0"/>
    <x v="0"/>
    <m/>
    <x v="0"/>
    <x v="0"/>
    <x v="0"/>
    <x v="0"/>
    <x v="0"/>
    <m/>
    <m/>
    <m/>
    <m/>
    <x v="0"/>
    <x v="0"/>
    <m/>
    <x v="0"/>
    <m/>
    <x v="0"/>
    <x v="0"/>
    <x v="0"/>
    <x v="0"/>
    <x v="0"/>
  </r>
  <r>
    <x v="1"/>
    <x v="0"/>
    <s v="3479 J"/>
    <x v="55"/>
    <s v="Smart Food 500 Gram"/>
    <s v="LDN"/>
    <n v="6"/>
    <s v="14-15"/>
    <s v="پیور"/>
    <n v="100"/>
    <x v="0"/>
    <n v="3"/>
    <n v="105.19999999999999"/>
    <n v="2.2999999999999998"/>
    <m/>
    <x v="0"/>
    <n v="102.89999999999999"/>
    <m/>
    <m/>
    <x v="0"/>
    <x v="0"/>
    <m/>
    <m/>
    <x v="0"/>
    <x v="0"/>
    <m/>
    <x v="0"/>
    <x v="0"/>
    <x v="0"/>
    <x v="0"/>
    <x v="0"/>
    <m/>
    <m/>
    <m/>
    <m/>
    <x v="0"/>
    <x v="0"/>
    <m/>
    <x v="0"/>
    <m/>
    <x v="0"/>
    <x v="0"/>
    <x v="0"/>
    <x v="0"/>
    <x v="0"/>
  </r>
  <r>
    <x v="1"/>
    <x v="0"/>
    <s v="3516 J"/>
    <x v="55"/>
    <s v="سٹاک برائے عثمان عارف بٹ گوجرانولہ"/>
    <s v="LDN"/>
    <n v="7"/>
    <s v="-"/>
    <s v="پیور"/>
    <n v="500"/>
    <x v="0"/>
    <n v="1"/>
    <n v="47.9"/>
    <n v="0.8"/>
    <m/>
    <x v="0"/>
    <n v="47.1"/>
    <m/>
    <m/>
    <x v="0"/>
    <x v="0"/>
    <m/>
    <m/>
    <x v="0"/>
    <x v="0"/>
    <m/>
    <x v="0"/>
    <x v="0"/>
    <x v="0"/>
    <x v="0"/>
    <x v="0"/>
    <m/>
    <m/>
    <m/>
    <m/>
    <x v="0"/>
    <x v="0"/>
    <m/>
    <x v="0"/>
    <m/>
    <x v="0"/>
    <x v="0"/>
    <x v="0"/>
    <x v="0"/>
    <x v="0"/>
  </r>
  <r>
    <x v="0"/>
    <x v="2"/>
    <n v="2772"/>
    <x v="55"/>
    <s v="MATCO FOOD"/>
    <s v="LDN"/>
    <s v="23-23.5"/>
    <s v="70 G+-1"/>
    <n v="0"/>
    <s v="3500 (100 BAGS)"/>
    <x v="0"/>
    <n v="3"/>
    <n v="264.2"/>
    <n v="9"/>
    <n v="7"/>
    <x v="0"/>
    <n v="255.2"/>
    <m/>
    <m/>
    <x v="0"/>
    <x v="0"/>
    <m/>
    <m/>
    <x v="0"/>
    <x v="0"/>
    <m/>
    <x v="0"/>
    <x v="0"/>
    <x v="0"/>
    <x v="0"/>
    <x v="0"/>
    <m/>
    <m/>
    <m/>
    <m/>
    <x v="0"/>
    <x v="0"/>
    <m/>
    <x v="0"/>
    <m/>
    <x v="0"/>
    <x v="0"/>
    <x v="0"/>
    <x v="0"/>
    <x v="0"/>
  </r>
  <r>
    <x v="1"/>
    <x v="2"/>
    <s v="22 P"/>
    <x v="55"/>
    <s v="سادہ لفافہ"/>
    <s v="PP"/>
    <n v="19"/>
    <n v="5"/>
    <n v="0"/>
    <s v="-"/>
    <x v="0"/>
    <n v="6"/>
    <n v="335.2"/>
    <n v="8.8000000000000007"/>
    <n v="13"/>
    <x v="0"/>
    <n v="326.39999999999998"/>
    <m/>
    <m/>
    <x v="0"/>
    <x v="0"/>
    <m/>
    <m/>
    <x v="0"/>
    <x v="0"/>
    <m/>
    <x v="0"/>
    <x v="0"/>
    <x v="0"/>
    <x v="0"/>
    <x v="0"/>
    <m/>
    <m/>
    <m/>
    <m/>
    <x v="0"/>
    <x v="0"/>
    <m/>
    <x v="0"/>
    <m/>
    <x v="0"/>
    <x v="0"/>
    <x v="0"/>
    <x v="0"/>
    <x v="0"/>
  </r>
  <r>
    <x v="0"/>
    <x v="4"/>
    <s v="1920 F"/>
    <x v="55"/>
    <s v="BREAD SHEET"/>
    <s v="LDN"/>
    <s v="34 SHEET"/>
    <s v="3-3.25/6-6.5"/>
    <s v="پیور"/>
    <n v="400"/>
    <x v="0"/>
    <n v="4"/>
    <n v="243.4"/>
    <n v="16.399999999999999"/>
    <m/>
    <x v="0"/>
    <n v="227"/>
    <m/>
    <m/>
    <x v="0"/>
    <x v="0"/>
    <m/>
    <m/>
    <x v="0"/>
    <x v="0"/>
    <m/>
    <x v="0"/>
    <x v="0"/>
    <x v="0"/>
    <x v="0"/>
    <x v="0"/>
    <m/>
    <m/>
    <m/>
    <m/>
    <x v="0"/>
    <x v="0"/>
    <m/>
    <x v="0"/>
    <m/>
    <x v="0"/>
    <x v="0"/>
    <x v="0"/>
    <x v="0"/>
    <x v="0"/>
  </r>
  <r>
    <x v="0"/>
    <x v="4"/>
    <s v="3477 J"/>
    <x v="55"/>
    <s v="Fresh In Brown Rusk"/>
    <s v="LDN"/>
    <s v="40 شیٹ"/>
    <s v="-"/>
    <s v="پیور"/>
    <n v="100"/>
    <x v="0"/>
    <n v="2"/>
    <n v="107.6"/>
    <n v="9.8000000000000007"/>
    <m/>
    <x v="0"/>
    <n v="97.8"/>
    <m/>
    <m/>
    <x v="0"/>
    <x v="0"/>
    <m/>
    <m/>
    <x v="0"/>
    <x v="0"/>
    <m/>
    <x v="0"/>
    <x v="0"/>
    <x v="0"/>
    <x v="0"/>
    <x v="0"/>
    <m/>
    <m/>
    <m/>
    <m/>
    <x v="0"/>
    <x v="0"/>
    <m/>
    <x v="0"/>
    <m/>
    <x v="0"/>
    <x v="0"/>
    <x v="0"/>
    <x v="0"/>
    <x v="0"/>
  </r>
  <r>
    <x v="0"/>
    <x v="4"/>
    <s v="3352 J"/>
    <x v="55"/>
    <s v="Jilani Sheet Stock"/>
    <s v="LDN"/>
    <s v="26&quot;شیٹ"/>
    <s v="8-8.5/16-17"/>
    <s v="پیور"/>
    <n v="5000"/>
    <x v="0"/>
    <n v="2"/>
    <n v="175"/>
    <n v="6.4"/>
    <m/>
    <x v="0"/>
    <n v="168.6"/>
    <m/>
    <m/>
    <x v="0"/>
    <x v="0"/>
    <m/>
    <m/>
    <x v="0"/>
    <x v="0"/>
    <m/>
    <x v="0"/>
    <x v="0"/>
    <x v="0"/>
    <x v="0"/>
    <x v="0"/>
    <m/>
    <m/>
    <m/>
    <m/>
    <x v="0"/>
    <x v="0"/>
    <m/>
    <x v="0"/>
    <m/>
    <x v="0"/>
    <x v="0"/>
    <x v="0"/>
    <x v="0"/>
    <x v="0"/>
  </r>
  <r>
    <x v="0"/>
    <x v="4"/>
    <s v="3363 J"/>
    <x v="55"/>
    <s v="MA Bun"/>
    <s v="LDN"/>
    <s v="20&quot; شیٹ"/>
    <s v="6-6.5"/>
    <s v="پیور"/>
    <n v="100"/>
    <x v="0"/>
    <n v="2"/>
    <n v="121.6"/>
    <n v="5.2"/>
    <m/>
    <x v="0"/>
    <n v="116.39999999999999"/>
    <m/>
    <m/>
    <x v="0"/>
    <x v="0"/>
    <m/>
    <m/>
    <x v="0"/>
    <x v="0"/>
    <m/>
    <x v="0"/>
    <x v="0"/>
    <x v="0"/>
    <x v="0"/>
    <x v="0"/>
    <m/>
    <m/>
    <m/>
    <m/>
    <x v="0"/>
    <x v="0"/>
    <m/>
    <x v="0"/>
    <m/>
    <x v="0"/>
    <x v="0"/>
    <x v="0"/>
    <x v="0"/>
    <x v="0"/>
  </r>
  <r>
    <x v="0"/>
    <x v="4"/>
    <s v="3449 J"/>
    <x v="55"/>
    <s v="Plain Lafafa"/>
    <s v="LDN"/>
    <n v="36"/>
    <s v="14"/>
    <s v="پیور"/>
    <n v="75"/>
    <x v="0"/>
    <n v="1"/>
    <n v="47.8"/>
    <n v="4.5999999999999996"/>
    <n v="25"/>
    <x v="0"/>
    <n v="43.199999999999996"/>
    <m/>
    <m/>
    <x v="0"/>
    <x v="0"/>
    <m/>
    <m/>
    <x v="0"/>
    <x v="0"/>
    <m/>
    <x v="0"/>
    <x v="0"/>
    <x v="0"/>
    <x v="0"/>
    <x v="0"/>
    <m/>
    <m/>
    <m/>
    <m/>
    <x v="0"/>
    <x v="0"/>
    <m/>
    <x v="0"/>
    <m/>
    <x v="0"/>
    <x v="0"/>
    <x v="0"/>
    <x v="0"/>
    <x v="0"/>
  </r>
  <r>
    <x v="1"/>
    <x v="4"/>
    <s v="468 J"/>
    <x v="55"/>
    <s v="آصف فیبرکس"/>
    <s v="LDN"/>
    <n v="27"/>
    <s v="6.5-7"/>
    <s v=".1:1"/>
    <n v="100"/>
    <x v="0"/>
    <n v="7"/>
    <n v="496.9"/>
    <n v="26.599999999999998"/>
    <n v="28"/>
    <x v="0"/>
    <n v="470.29999999999995"/>
    <m/>
    <m/>
    <x v="0"/>
    <x v="0"/>
    <m/>
    <m/>
    <x v="0"/>
    <x v="0"/>
    <m/>
    <x v="0"/>
    <x v="0"/>
    <x v="0"/>
    <x v="0"/>
    <x v="0"/>
    <m/>
    <m/>
    <m/>
    <m/>
    <x v="0"/>
    <x v="0"/>
    <m/>
    <x v="0"/>
    <m/>
    <x v="0"/>
    <x v="0"/>
    <x v="0"/>
    <x v="0"/>
    <x v="0"/>
  </r>
  <r>
    <x v="1"/>
    <x v="4"/>
    <s v="3352 J"/>
    <x v="55"/>
    <s v="Jilani Sheet Stock"/>
    <s v="LDN"/>
    <s v="26&quot;شیٹ"/>
    <s v="8-8.5/16-17"/>
    <s v="پیور"/>
    <n v="5000"/>
    <x v="0"/>
    <n v="2"/>
    <n v="205"/>
    <n v="7.2"/>
    <m/>
    <x v="0"/>
    <n v="197.8"/>
    <m/>
    <m/>
    <x v="0"/>
    <x v="0"/>
    <m/>
    <m/>
    <x v="0"/>
    <x v="0"/>
    <m/>
    <x v="0"/>
    <x v="0"/>
    <x v="0"/>
    <x v="0"/>
    <x v="0"/>
    <m/>
    <m/>
    <m/>
    <m/>
    <x v="0"/>
    <x v="0"/>
    <m/>
    <x v="0"/>
    <m/>
    <x v="0"/>
    <x v="0"/>
    <x v="0"/>
    <x v="0"/>
    <x v="0"/>
  </r>
  <r>
    <x v="1"/>
    <x v="4"/>
    <s v="1814 J"/>
    <x v="55"/>
    <s v="اشرفی سویٹس نونہ حلوائی"/>
    <s v="HDM"/>
    <s v="10+3+3"/>
    <s v="7.5-8/15-16"/>
    <s v="جیلانی"/>
    <n v="110"/>
    <x v="0"/>
    <n v="1"/>
    <n v="76.2"/>
    <n v="1.7"/>
    <m/>
    <x v="0"/>
    <n v="74.5"/>
    <m/>
    <m/>
    <x v="0"/>
    <x v="0"/>
    <m/>
    <m/>
    <x v="0"/>
    <x v="0"/>
    <m/>
    <x v="0"/>
    <x v="0"/>
    <x v="0"/>
    <x v="0"/>
    <x v="0"/>
    <m/>
    <m/>
    <m/>
    <m/>
    <x v="0"/>
    <x v="0"/>
    <m/>
    <x v="0"/>
    <m/>
    <x v="0"/>
    <x v="0"/>
    <x v="0"/>
    <x v="0"/>
    <x v="0"/>
  </r>
  <r>
    <x v="0"/>
    <x v="3"/>
    <s v="1927 F"/>
    <x v="55"/>
    <s v="GREEN BLACK WANING"/>
    <s v="LDN"/>
    <n v="17"/>
    <s v="7-7.5"/>
    <s v="پیور"/>
    <n v="605"/>
    <x v="0"/>
    <n v="5"/>
    <n v="197.2"/>
    <n v="10"/>
    <m/>
    <x v="0"/>
    <n v="187.2"/>
    <m/>
    <m/>
    <x v="0"/>
    <x v="0"/>
    <m/>
    <m/>
    <x v="0"/>
    <x v="0"/>
    <m/>
    <x v="0"/>
    <x v="0"/>
    <x v="0"/>
    <x v="0"/>
    <x v="0"/>
    <m/>
    <m/>
    <m/>
    <m/>
    <x v="0"/>
    <x v="0"/>
    <m/>
    <x v="0"/>
    <m/>
    <x v="0"/>
    <x v="0"/>
    <x v="0"/>
    <x v="0"/>
    <x v="0"/>
  </r>
  <r>
    <x v="0"/>
    <x v="3"/>
    <n v="2772"/>
    <x v="55"/>
    <s v="MATCO FOOD"/>
    <s v="LDN"/>
    <s v="23-23.5"/>
    <s v="70 G+-1"/>
    <n v="0"/>
    <s v="3500 (100 BAGS)"/>
    <x v="0"/>
    <n v="1"/>
    <n v="60.6"/>
    <n v="2.8"/>
    <m/>
    <x v="0"/>
    <n v="57.800000000000004"/>
    <m/>
    <m/>
    <x v="0"/>
    <x v="0"/>
    <m/>
    <m/>
    <x v="0"/>
    <x v="0"/>
    <m/>
    <x v="0"/>
    <x v="0"/>
    <x v="0"/>
    <x v="0"/>
    <x v="0"/>
    <m/>
    <m/>
    <m/>
    <m/>
    <x v="0"/>
    <x v="0"/>
    <m/>
    <x v="0"/>
    <m/>
    <x v="0"/>
    <x v="0"/>
    <x v="0"/>
    <x v="0"/>
    <x v="0"/>
  </r>
  <r>
    <x v="1"/>
    <x v="3"/>
    <s v="3453 J"/>
    <x v="55"/>
    <s v="S Asia"/>
    <s v="LDN"/>
    <n v="14"/>
    <s v="5.5-6"/>
    <s v="پیور"/>
    <n v="100"/>
    <x v="0"/>
    <n v="3"/>
    <n v="106.19999999999999"/>
    <n v="4.5"/>
    <n v="18"/>
    <x v="0"/>
    <n v="101.69999999999999"/>
    <m/>
    <m/>
    <x v="0"/>
    <x v="0"/>
    <m/>
    <m/>
    <x v="0"/>
    <x v="0"/>
    <m/>
    <x v="0"/>
    <x v="0"/>
    <x v="0"/>
    <x v="0"/>
    <x v="0"/>
    <m/>
    <m/>
    <m/>
    <m/>
    <x v="0"/>
    <x v="0"/>
    <m/>
    <x v="0"/>
    <m/>
    <x v="0"/>
    <x v="0"/>
    <x v="0"/>
    <x v="0"/>
    <x v="0"/>
  </r>
  <r>
    <x v="1"/>
    <x v="3"/>
    <s v="3469 J"/>
    <x v="55"/>
    <s v="Zam Zam Cap"/>
    <s v="LDN"/>
    <n v="15"/>
    <s v="4.5-5"/>
    <s v="پیور"/>
    <n v="100"/>
    <x v="0"/>
    <n v="1"/>
    <n v="33.200000000000003"/>
    <n v="1.8"/>
    <m/>
    <x v="0"/>
    <n v="31.400000000000002"/>
    <m/>
    <m/>
    <x v="0"/>
    <x v="0"/>
    <m/>
    <m/>
    <x v="0"/>
    <x v="0"/>
    <m/>
    <x v="0"/>
    <x v="0"/>
    <x v="0"/>
    <x v="0"/>
    <x v="0"/>
    <m/>
    <m/>
    <m/>
    <m/>
    <x v="0"/>
    <x v="0"/>
    <m/>
    <x v="0"/>
    <m/>
    <x v="0"/>
    <x v="0"/>
    <x v="0"/>
    <x v="0"/>
    <x v="0"/>
  </r>
  <r>
    <x v="0"/>
    <x v="0"/>
    <s v="3516 J"/>
    <x v="56"/>
    <s v="سٹاک برائے عثمان عارف بٹ گوجرانولہ"/>
    <s v="LDN"/>
    <n v="7"/>
    <s v="-"/>
    <s v="پیور"/>
    <n v="500"/>
    <x v="0"/>
    <n v="2"/>
    <n v="111"/>
    <n v="1.9"/>
    <n v="8"/>
    <x v="0"/>
    <n v="109.1"/>
    <m/>
    <n v="3"/>
    <x v="0"/>
    <x v="0"/>
    <n v="3"/>
    <n v="0.05"/>
    <x v="0"/>
    <x v="0"/>
    <m/>
    <x v="0"/>
    <x v="0"/>
    <x v="0"/>
    <x v="0"/>
    <x v="0"/>
    <n v="0"/>
    <n v="0"/>
    <n v="0.05"/>
    <n v="11.95"/>
    <x v="1"/>
    <x v="0"/>
    <m/>
    <x v="0"/>
    <n v="3200"/>
    <x v="0"/>
    <x v="1"/>
    <x v="0"/>
    <x v="0"/>
    <x v="0"/>
  </r>
  <r>
    <x v="0"/>
    <x v="0"/>
    <s v="3527 J"/>
    <x v="56"/>
    <s v="Plain Tape Lafafa"/>
    <s v="LDN"/>
    <n v="12"/>
    <s v="8.5-9"/>
    <s v="پیور"/>
    <n v="1000"/>
    <x v="0"/>
    <n v="1"/>
    <n v="64.8"/>
    <n v="1.6"/>
    <m/>
    <x v="0"/>
    <n v="63.199999999999996"/>
    <m/>
    <m/>
    <x v="0"/>
    <x v="0"/>
    <n v="0"/>
    <n v="0"/>
    <x v="0"/>
    <x v="0"/>
    <m/>
    <x v="0"/>
    <x v="0"/>
    <x v="0"/>
    <x v="0"/>
    <x v="0"/>
    <n v="0"/>
    <n v="0"/>
    <n v="0"/>
    <n v="12"/>
    <x v="1"/>
    <x v="0"/>
    <m/>
    <x v="0"/>
    <m/>
    <x v="0"/>
    <x v="1"/>
    <x v="0"/>
    <x v="0"/>
    <x v="0"/>
  </r>
  <r>
    <x v="1"/>
    <x v="0"/>
    <s v="3527 J"/>
    <x v="56"/>
    <s v="Plain Tape Lafafa"/>
    <s v="LDN"/>
    <n v="12"/>
    <s v="8.5-9"/>
    <s v="پیور"/>
    <n v="1000"/>
    <x v="0"/>
    <n v="4"/>
    <n v="213.8"/>
    <n v="5.9"/>
    <m/>
    <x v="0"/>
    <n v="207.9"/>
    <m/>
    <m/>
    <x v="0"/>
    <x v="0"/>
    <n v="0"/>
    <n v="0"/>
    <x v="0"/>
    <x v="0"/>
    <m/>
    <x v="0"/>
    <x v="0"/>
    <x v="0"/>
    <x v="0"/>
    <x v="0"/>
    <n v="0"/>
    <n v="0"/>
    <n v="0"/>
    <n v="12"/>
    <x v="1"/>
    <x v="0"/>
    <m/>
    <x v="0"/>
    <m/>
    <x v="0"/>
    <x v="1"/>
    <x v="0"/>
    <x v="0"/>
    <x v="0"/>
  </r>
  <r>
    <x v="0"/>
    <x v="2"/>
    <s v="3501 J"/>
    <x v="56"/>
    <s v="M2"/>
    <s v="LDM"/>
    <n v="14"/>
    <s v="20-20.5"/>
    <s v="پیور"/>
    <n v="200"/>
    <x v="0"/>
    <n v="3"/>
    <n v="207.6"/>
    <n v="5"/>
    <n v="15"/>
    <x v="0"/>
    <n v="202.6"/>
    <m/>
    <n v="11"/>
    <x v="0"/>
    <x v="0"/>
    <n v="11"/>
    <n v="0.18333333333333332"/>
    <x v="0"/>
    <x v="0"/>
    <m/>
    <x v="0"/>
    <x v="0"/>
    <x v="0"/>
    <x v="0"/>
    <x v="0"/>
    <n v="0"/>
    <n v="0"/>
    <n v="0.18333333333333332"/>
    <n v="11.816666666666666"/>
    <x v="1"/>
    <x v="0"/>
    <m/>
    <x v="0"/>
    <m/>
    <x v="0"/>
    <x v="1"/>
    <x v="0"/>
    <x v="0"/>
    <x v="0"/>
  </r>
  <r>
    <x v="0"/>
    <x v="2"/>
    <s v="3503 J"/>
    <x v="56"/>
    <s v="ASK Framers"/>
    <s v="LDM"/>
    <n v="12"/>
    <s v="6-6.5"/>
    <s v="ABA پیور"/>
    <n v="100"/>
    <x v="0"/>
    <n v="2"/>
    <n v="68.2"/>
    <n v="3.1"/>
    <m/>
    <x v="0"/>
    <n v="65.100000000000009"/>
    <m/>
    <m/>
    <x v="0"/>
    <x v="0"/>
    <n v="0"/>
    <n v="0"/>
    <x v="0"/>
    <x v="0"/>
    <m/>
    <x v="0"/>
    <x v="0"/>
    <x v="0"/>
    <x v="0"/>
    <x v="0"/>
    <n v="0"/>
    <n v="0"/>
    <n v="0"/>
    <n v="12"/>
    <x v="1"/>
    <x v="0"/>
    <m/>
    <x v="0"/>
    <m/>
    <x v="0"/>
    <x v="1"/>
    <x v="0"/>
    <x v="0"/>
    <x v="0"/>
  </r>
  <r>
    <x v="0"/>
    <x v="2"/>
    <s v="3504 J"/>
    <x v="56"/>
    <s v="ASK Framers"/>
    <s v="LDM"/>
    <n v="12"/>
    <s v="6-6.5"/>
    <s v="ABA پیور"/>
    <n v="50"/>
    <x v="0"/>
    <n v="1"/>
    <n v="57.2"/>
    <n v="1.5"/>
    <m/>
    <x v="0"/>
    <n v="55.7"/>
    <m/>
    <m/>
    <x v="0"/>
    <x v="0"/>
    <n v="0"/>
    <n v="0"/>
    <x v="0"/>
    <x v="0"/>
    <m/>
    <x v="0"/>
    <x v="0"/>
    <x v="0"/>
    <x v="0"/>
    <x v="0"/>
    <n v="0"/>
    <n v="0"/>
    <n v="0"/>
    <n v="12"/>
    <x v="1"/>
    <x v="0"/>
    <m/>
    <x v="0"/>
    <m/>
    <x v="0"/>
    <x v="1"/>
    <x v="0"/>
    <x v="0"/>
    <x v="0"/>
  </r>
  <r>
    <x v="1"/>
    <x v="2"/>
    <s v="3503 J"/>
    <x v="56"/>
    <s v="ASK Framers"/>
    <s v="LDM"/>
    <n v="12"/>
    <s v="6-6.5"/>
    <s v="ABA پیور"/>
    <n v="100"/>
    <x v="0"/>
    <n v="1"/>
    <n v="47.8"/>
    <n v="1.5"/>
    <m/>
    <x v="0"/>
    <n v="46.3"/>
    <m/>
    <n v="5"/>
    <x v="0"/>
    <x v="0"/>
    <n v="5"/>
    <n v="8.3333333333333329E-2"/>
    <x v="0"/>
    <x v="0"/>
    <m/>
    <x v="0"/>
    <x v="0"/>
    <x v="0"/>
    <x v="1"/>
    <x v="0"/>
    <n v="40"/>
    <n v="0.66666666666666663"/>
    <n v="0.75"/>
    <n v="11.25"/>
    <x v="1"/>
    <x v="0"/>
    <m/>
    <x v="0"/>
    <m/>
    <x v="0"/>
    <x v="1"/>
    <x v="0"/>
    <x v="0"/>
    <x v="0"/>
  </r>
  <r>
    <x v="1"/>
    <x v="2"/>
    <s v="3359 J"/>
    <x v="56"/>
    <s v="Good Boy Shoping Mall "/>
    <s v="LDM"/>
    <n v="13"/>
    <s v="7.5-8/15-16"/>
    <s v="ABA پیور"/>
    <n v="110"/>
    <x v="0"/>
    <n v="1"/>
    <n v="38.799999999999997"/>
    <n v="1"/>
    <m/>
    <x v="0"/>
    <n v="37.799999999999997"/>
    <m/>
    <m/>
    <x v="0"/>
    <x v="0"/>
    <n v="0"/>
    <n v="0"/>
    <x v="0"/>
    <x v="0"/>
    <m/>
    <x v="0"/>
    <x v="0"/>
    <x v="0"/>
    <x v="0"/>
    <x v="0"/>
    <n v="0"/>
    <n v="0"/>
    <n v="0"/>
    <n v="12"/>
    <x v="1"/>
    <x v="0"/>
    <m/>
    <x v="0"/>
    <m/>
    <x v="0"/>
    <x v="1"/>
    <x v="0"/>
    <x v="0"/>
    <x v="0"/>
  </r>
  <r>
    <x v="1"/>
    <x v="2"/>
    <s v="3505 J"/>
    <x v="56"/>
    <s v="ASK Framers"/>
    <s v="LDM"/>
    <n v="10.5"/>
    <s v="6-6.5"/>
    <s v="ABA پیور"/>
    <n v="100"/>
    <x v="0"/>
    <n v="2"/>
    <n v="68.2"/>
    <n v="2.4"/>
    <m/>
    <x v="0"/>
    <n v="65.8"/>
    <m/>
    <m/>
    <x v="0"/>
    <x v="0"/>
    <n v="0"/>
    <n v="0"/>
    <x v="0"/>
    <x v="0"/>
    <m/>
    <x v="0"/>
    <x v="0"/>
    <x v="0"/>
    <x v="0"/>
    <x v="0"/>
    <n v="0"/>
    <n v="0"/>
    <n v="0"/>
    <n v="12"/>
    <x v="1"/>
    <x v="0"/>
    <m/>
    <x v="0"/>
    <m/>
    <x v="0"/>
    <x v="1"/>
    <x v="0"/>
    <x v="0"/>
    <x v="0"/>
  </r>
  <r>
    <x v="1"/>
    <x v="2"/>
    <s v="3506 J"/>
    <x v="56"/>
    <s v="ASK Framers"/>
    <s v="LDM"/>
    <n v="10.5"/>
    <s v="6-6.5"/>
    <s v="ABA پیور"/>
    <n v="50"/>
    <x v="0"/>
    <n v="2"/>
    <n v="56.6"/>
    <n v="2.4"/>
    <m/>
    <x v="0"/>
    <n v="54.2"/>
    <m/>
    <m/>
    <x v="0"/>
    <x v="0"/>
    <n v="0"/>
    <n v="0"/>
    <x v="0"/>
    <x v="0"/>
    <m/>
    <x v="0"/>
    <x v="0"/>
    <x v="0"/>
    <x v="0"/>
    <x v="0"/>
    <n v="0"/>
    <n v="0"/>
    <n v="0"/>
    <n v="12"/>
    <x v="1"/>
    <x v="0"/>
    <m/>
    <x v="0"/>
    <m/>
    <x v="0"/>
    <x v="1"/>
    <x v="0"/>
    <x v="0"/>
    <x v="0"/>
  </r>
  <r>
    <x v="1"/>
    <x v="2"/>
    <s v="3507 J"/>
    <x v="56"/>
    <s v="Shaker Communication"/>
    <s v="LDM"/>
    <n v="14"/>
    <s v="10-10.5"/>
    <s v="ABA پیور"/>
    <n v="100"/>
    <x v="0"/>
    <n v="1"/>
    <n v="48"/>
    <n v="1.6"/>
    <m/>
    <x v="0"/>
    <n v="46.4"/>
    <m/>
    <m/>
    <x v="0"/>
    <x v="0"/>
    <n v="0"/>
    <n v="0"/>
    <x v="0"/>
    <x v="0"/>
    <m/>
    <x v="0"/>
    <x v="0"/>
    <x v="0"/>
    <x v="0"/>
    <x v="0"/>
    <n v="0"/>
    <n v="0"/>
    <n v="0"/>
    <n v="12"/>
    <x v="1"/>
    <x v="0"/>
    <m/>
    <x v="0"/>
    <m/>
    <x v="0"/>
    <x v="1"/>
    <x v="0"/>
    <x v="0"/>
    <x v="0"/>
  </r>
  <r>
    <x v="0"/>
    <x v="3"/>
    <s v="3469 J"/>
    <x v="56"/>
    <s v="Zam Zam Cap"/>
    <s v="LDN"/>
    <n v="15"/>
    <s v="4.5-5"/>
    <s v="پیور"/>
    <n v="100"/>
    <x v="0"/>
    <n v="3"/>
    <n v="106"/>
    <n v="5.0999999999999996"/>
    <m/>
    <x v="0"/>
    <n v="100.9"/>
    <m/>
    <m/>
    <x v="0"/>
    <x v="0"/>
    <n v="0"/>
    <n v="0"/>
    <x v="0"/>
    <x v="0"/>
    <m/>
    <x v="0"/>
    <x v="0"/>
    <x v="0"/>
    <x v="0"/>
    <x v="0"/>
    <n v="0"/>
    <n v="0"/>
    <n v="0"/>
    <n v="12"/>
    <x v="1"/>
    <x v="0"/>
    <m/>
    <x v="0"/>
    <m/>
    <x v="0"/>
    <x v="1"/>
    <x v="0"/>
    <x v="0"/>
    <x v="0"/>
  </r>
  <r>
    <x v="0"/>
    <x v="3"/>
    <s v="1887 F"/>
    <x v="56"/>
    <s v="DYNAMIC WARNING+LOGO"/>
    <s v="LDN"/>
    <n v="15"/>
    <s v="7-7.5"/>
    <s v="پیور"/>
    <n v="27"/>
    <x v="0"/>
    <n v="1"/>
    <n v="59.4"/>
    <n v="1.7"/>
    <n v="7"/>
    <x v="0"/>
    <n v="57.699999999999996"/>
    <m/>
    <n v="3"/>
    <x v="0"/>
    <x v="0"/>
    <n v="3"/>
    <n v="0.05"/>
    <x v="0"/>
    <x v="0"/>
    <m/>
    <x v="0"/>
    <x v="0"/>
    <x v="0"/>
    <x v="0"/>
    <x v="0"/>
    <n v="0"/>
    <n v="0"/>
    <n v="0.05"/>
    <n v="11.95"/>
    <x v="1"/>
    <x v="0"/>
    <m/>
    <x v="0"/>
    <m/>
    <x v="0"/>
    <x v="1"/>
    <x v="0"/>
    <x v="0"/>
    <x v="0"/>
  </r>
  <r>
    <x v="0"/>
    <x v="3"/>
    <s v="3494 J"/>
    <x v="56"/>
    <s v="العمال الراقیہ"/>
    <s v="LDN"/>
    <n v="14"/>
    <s v="7.5-8"/>
    <s v="پیور"/>
    <n v="100"/>
    <x v="0"/>
    <n v="1"/>
    <n v="48"/>
    <n v="1.7"/>
    <m/>
    <x v="0"/>
    <n v="46.3"/>
    <m/>
    <m/>
    <x v="0"/>
    <x v="0"/>
    <n v="0"/>
    <n v="0"/>
    <x v="0"/>
    <x v="0"/>
    <m/>
    <x v="0"/>
    <x v="0"/>
    <x v="0"/>
    <x v="0"/>
    <x v="0"/>
    <n v="0"/>
    <n v="0"/>
    <n v="0"/>
    <n v="12"/>
    <x v="1"/>
    <x v="0"/>
    <m/>
    <x v="0"/>
    <m/>
    <x v="0"/>
    <x v="1"/>
    <x v="0"/>
    <x v="0"/>
    <x v="0"/>
  </r>
  <r>
    <x v="1"/>
    <x v="3"/>
    <s v="3494 J"/>
    <x v="56"/>
    <s v="العمال الراقیہ"/>
    <s v="LDN"/>
    <n v="14"/>
    <s v="7.5-8"/>
    <s v="پیور"/>
    <n v="100"/>
    <x v="0"/>
    <n v="1"/>
    <n v="54.8"/>
    <n v="0.1"/>
    <m/>
    <x v="0"/>
    <n v="54.699999999999996"/>
    <m/>
    <m/>
    <x v="0"/>
    <x v="0"/>
    <n v="0"/>
    <n v="0"/>
    <x v="0"/>
    <x v="0"/>
    <m/>
    <x v="0"/>
    <x v="0"/>
    <x v="0"/>
    <x v="0"/>
    <x v="0"/>
    <n v="0"/>
    <n v="0"/>
    <n v="0"/>
    <n v="12"/>
    <x v="1"/>
    <x v="0"/>
    <m/>
    <x v="0"/>
    <m/>
    <x v="0"/>
    <x v="1"/>
    <x v="0"/>
    <x v="0"/>
    <x v="0"/>
  </r>
  <r>
    <x v="1"/>
    <x v="3"/>
    <s v="3511 J"/>
    <x v="56"/>
    <s v="Sabina Logo"/>
    <s v="LDN"/>
    <n v="14"/>
    <s v="10-10.5"/>
    <s v="پیور"/>
    <n v="150"/>
    <x v="0"/>
    <n v="3"/>
    <n v="170"/>
    <n v="5.0999999999999996"/>
    <m/>
    <x v="0"/>
    <n v="164.9"/>
    <m/>
    <m/>
    <x v="0"/>
    <x v="0"/>
    <n v="0"/>
    <n v="0"/>
    <x v="0"/>
    <x v="0"/>
    <m/>
    <x v="0"/>
    <x v="0"/>
    <x v="0"/>
    <x v="0"/>
    <x v="0"/>
    <n v="0"/>
    <n v="0"/>
    <n v="0"/>
    <n v="12"/>
    <x v="1"/>
    <x v="0"/>
    <m/>
    <x v="0"/>
    <m/>
    <x v="0"/>
    <x v="1"/>
    <x v="0"/>
    <x v="0"/>
    <x v="0"/>
  </r>
  <r>
    <x v="1"/>
    <x v="3"/>
    <s v="1935 F"/>
    <x v="56"/>
    <s v="PLAIN POLY BAG"/>
    <s v="LDN"/>
    <n v="20"/>
    <s v="8"/>
    <s v="پیور"/>
    <n v="95"/>
    <x v="0"/>
    <n v="1"/>
    <n v="66.400000000000006"/>
    <n v="2.8"/>
    <m/>
    <x v="0"/>
    <n v="63.600000000000009"/>
    <m/>
    <m/>
    <x v="0"/>
    <x v="0"/>
    <n v="0"/>
    <n v="0"/>
    <x v="0"/>
    <x v="0"/>
    <m/>
    <x v="0"/>
    <x v="0"/>
    <x v="0"/>
    <x v="0"/>
    <x v="0"/>
    <n v="0"/>
    <n v="0"/>
    <n v="0"/>
    <n v="12"/>
    <x v="1"/>
    <x v="0"/>
    <m/>
    <x v="0"/>
    <m/>
    <x v="0"/>
    <x v="1"/>
    <x v="0"/>
    <x v="0"/>
    <x v="0"/>
  </r>
  <r>
    <x v="0"/>
    <x v="4"/>
    <n v="2774"/>
    <x v="56"/>
    <s v="USMAN AMEEN LAHORE"/>
    <s v="LDN"/>
    <s v="17.75+6.25+6.25"/>
    <s v="9.5-10"/>
    <s v="SL"/>
    <n v="600"/>
    <x v="0"/>
    <n v="9"/>
    <n v="575.69999999999993"/>
    <n v="20.7"/>
    <n v="48"/>
    <x v="0"/>
    <n v="554.99999999999989"/>
    <m/>
    <n v="10"/>
    <x v="0"/>
    <x v="0"/>
    <n v="10"/>
    <n v="0.16666666666666666"/>
    <x v="0"/>
    <x v="0"/>
    <m/>
    <x v="0"/>
    <x v="0"/>
    <x v="0"/>
    <x v="0"/>
    <x v="0"/>
    <n v="0"/>
    <n v="0"/>
    <n v="0.16666666666666666"/>
    <n v="11.833333333333334"/>
    <x v="1"/>
    <x v="0"/>
    <m/>
    <x v="0"/>
    <m/>
    <x v="0"/>
    <x v="1"/>
    <x v="0"/>
    <x v="0"/>
    <x v="0"/>
  </r>
  <r>
    <x v="0"/>
    <x v="4"/>
    <s v="1938 F"/>
    <x v="56"/>
    <s v="BREAD SHEET"/>
    <s v="LDN"/>
    <s v="27 SHEET"/>
    <s v="3-3.25/6-6.5"/>
    <s v="پیور"/>
    <n v="500"/>
    <x v="0"/>
    <n v="4"/>
    <n v="118"/>
    <n v="14"/>
    <m/>
    <x v="0"/>
    <n v="104"/>
    <m/>
    <n v="5"/>
    <x v="0"/>
    <x v="0"/>
    <n v="5"/>
    <n v="8.3333333333333329E-2"/>
    <x v="0"/>
    <x v="0"/>
    <m/>
    <x v="1"/>
    <x v="0"/>
    <x v="0"/>
    <x v="0"/>
    <x v="0"/>
    <n v="10"/>
    <n v="0.16666666666666666"/>
    <n v="0.25"/>
    <n v="11.75"/>
    <x v="1"/>
    <x v="0"/>
    <m/>
    <x v="0"/>
    <m/>
    <x v="0"/>
    <x v="1"/>
    <x v="0"/>
    <x v="0"/>
    <x v="0"/>
  </r>
  <r>
    <x v="1"/>
    <x v="4"/>
    <s v="1938 F"/>
    <x v="56"/>
    <s v="BREAD SHEET"/>
    <s v="LDN"/>
    <s v="27 SHEET"/>
    <s v="3-3.25/6-6.5"/>
    <s v="پیور"/>
    <n v="500"/>
    <x v="0"/>
    <n v="6"/>
    <n v="379.79999999999995"/>
    <n v="21"/>
    <m/>
    <x v="0"/>
    <n v="358.79999999999995"/>
    <m/>
    <m/>
    <x v="0"/>
    <x v="0"/>
    <n v="0"/>
    <n v="0"/>
    <x v="0"/>
    <x v="0"/>
    <m/>
    <x v="0"/>
    <x v="0"/>
    <x v="0"/>
    <x v="0"/>
    <x v="0"/>
    <n v="0"/>
    <n v="0"/>
    <n v="0"/>
    <n v="12"/>
    <x v="1"/>
    <x v="0"/>
    <m/>
    <x v="0"/>
    <m/>
    <x v="0"/>
    <x v="1"/>
    <x v="0"/>
    <x v="0"/>
    <x v="0"/>
  </r>
  <r>
    <x v="1"/>
    <x v="4"/>
    <s v="1939 F"/>
    <x v="56"/>
    <s v="BREAD SHEET"/>
    <s v="LDN"/>
    <s v="34 SHEET"/>
    <s v="3-3.25/6-6.5"/>
    <s v="پیور"/>
    <n v="400"/>
    <x v="0"/>
    <n v="4"/>
    <n v="223"/>
    <n v="11.2"/>
    <m/>
    <x v="0"/>
    <n v="211.8"/>
    <m/>
    <m/>
    <x v="0"/>
    <x v="0"/>
    <n v="0"/>
    <n v="0"/>
    <x v="0"/>
    <x v="0"/>
    <m/>
    <x v="0"/>
    <x v="0"/>
    <x v="0"/>
    <x v="0"/>
    <x v="0"/>
    <n v="0"/>
    <n v="0"/>
    <n v="0"/>
    <n v="12"/>
    <x v="1"/>
    <x v="0"/>
    <m/>
    <x v="0"/>
    <m/>
    <x v="0"/>
    <x v="1"/>
    <x v="0"/>
    <x v="0"/>
    <x v="0"/>
  </r>
  <r>
    <x v="0"/>
    <x v="0"/>
    <s v="3527 J"/>
    <x v="57"/>
    <s v="Plain Tape Lafafa"/>
    <s v="LDN"/>
    <n v="12"/>
    <s v="8.5-9"/>
    <s v="پیور"/>
    <n v="1000"/>
    <x v="0"/>
    <n v="4"/>
    <n v="207.42"/>
    <n v="6"/>
    <m/>
    <x v="0"/>
    <n v="201.42"/>
    <m/>
    <n v="3"/>
    <x v="0"/>
    <x v="0"/>
    <n v="3"/>
    <n v="0.05"/>
    <x v="0"/>
    <x v="0"/>
    <m/>
    <x v="0"/>
    <x v="0"/>
    <x v="0"/>
    <x v="0"/>
    <x v="0"/>
    <n v="0"/>
    <n v="0"/>
    <n v="0.05"/>
    <n v="11.95"/>
    <x v="1"/>
    <x v="0"/>
    <n v="1880"/>
    <x v="0"/>
    <n v="1500"/>
    <x v="0"/>
    <x v="2"/>
    <x v="0"/>
    <x v="0"/>
    <x v="0"/>
  </r>
  <r>
    <x v="1"/>
    <x v="0"/>
    <s v="3527 J"/>
    <x v="57"/>
    <s v="Plain Tape Lafafa"/>
    <s v="LDN"/>
    <n v="12"/>
    <s v="8.5-9"/>
    <s v="پیور"/>
    <n v="1000"/>
    <x v="0"/>
    <n v="3"/>
    <n v="138.6"/>
    <n v="4.5"/>
    <m/>
    <x v="0"/>
    <n v="134.1"/>
    <m/>
    <m/>
    <x v="0"/>
    <x v="0"/>
    <n v="0"/>
    <n v="0"/>
    <x v="0"/>
    <x v="0"/>
    <m/>
    <x v="0"/>
    <x v="0"/>
    <x v="0"/>
    <x v="0"/>
    <x v="0"/>
    <n v="0"/>
    <n v="0"/>
    <n v="0"/>
    <n v="12"/>
    <x v="1"/>
    <x v="0"/>
    <m/>
    <x v="0"/>
    <n v="1500"/>
    <x v="0"/>
    <x v="2"/>
    <x v="0"/>
    <x v="0"/>
    <x v="0"/>
  </r>
  <r>
    <x v="1"/>
    <x v="0"/>
    <s v="3510 J"/>
    <x v="57"/>
    <s v="Sabina Logo"/>
    <s v="LDN"/>
    <n v="12"/>
    <s v="10-10.5"/>
    <s v="پیور"/>
    <n v="100"/>
    <x v="0"/>
    <n v="1"/>
    <n v="56.4"/>
    <n v="1.4"/>
    <m/>
    <x v="0"/>
    <n v="55"/>
    <m/>
    <m/>
    <x v="0"/>
    <x v="0"/>
    <n v="0"/>
    <n v="0"/>
    <x v="0"/>
    <x v="0"/>
    <m/>
    <x v="0"/>
    <x v="0"/>
    <x v="0"/>
    <x v="0"/>
    <x v="0"/>
    <n v="0"/>
    <n v="0"/>
    <n v="0"/>
    <n v="12"/>
    <x v="1"/>
    <x v="0"/>
    <m/>
    <x v="0"/>
    <m/>
    <x v="0"/>
    <x v="2"/>
    <x v="0"/>
    <x v="0"/>
    <x v="0"/>
  </r>
  <r>
    <x v="0"/>
    <x v="2"/>
    <s v="3507 J"/>
    <x v="57"/>
    <s v="Shaker Communication"/>
    <s v="LDM"/>
    <n v="14"/>
    <s v="10-10.5"/>
    <s v="ABA پیور"/>
    <n v="100"/>
    <x v="0"/>
    <n v="2"/>
    <n v="110.8"/>
    <n v="3.2"/>
    <n v="12"/>
    <x v="0"/>
    <n v="107.6"/>
    <m/>
    <n v="4"/>
    <x v="0"/>
    <x v="0"/>
    <n v="4"/>
    <n v="6.6666666666666666E-2"/>
    <x v="0"/>
    <x v="0"/>
    <m/>
    <x v="0"/>
    <x v="0"/>
    <x v="0"/>
    <x v="0"/>
    <x v="1"/>
    <n v="90"/>
    <n v="1.5"/>
    <n v="1.5666666666666667"/>
    <n v="10.433333333333334"/>
    <x v="1"/>
    <x v="0"/>
    <m/>
    <x v="0"/>
    <m/>
    <x v="0"/>
    <x v="2"/>
    <x v="0"/>
    <x v="0"/>
    <x v="0"/>
  </r>
  <r>
    <x v="0"/>
    <x v="2"/>
    <s v="3542 J"/>
    <x v="57"/>
    <s v="Samama Chilli Souce"/>
    <s v="LDM"/>
    <n v="11.5"/>
    <s v="12"/>
    <s v="ABA پیور"/>
    <n v="100"/>
    <x v="0"/>
    <n v="2"/>
    <n v="106.19999999999999"/>
    <n v="2.6"/>
    <m/>
    <x v="0"/>
    <n v="103.6"/>
    <m/>
    <n v="3"/>
    <x v="0"/>
    <x v="0"/>
    <n v="3"/>
    <n v="0.05"/>
    <x v="0"/>
    <x v="0"/>
    <m/>
    <x v="0"/>
    <x v="0"/>
    <x v="0"/>
    <x v="0"/>
    <x v="0"/>
    <n v="0"/>
    <n v="0"/>
    <n v="0.05"/>
    <n v="11.95"/>
    <x v="1"/>
    <x v="0"/>
    <m/>
    <x v="0"/>
    <m/>
    <x v="0"/>
    <x v="2"/>
    <x v="0"/>
    <x v="0"/>
    <x v="0"/>
  </r>
  <r>
    <x v="0"/>
    <x v="2"/>
    <s v="3541 J"/>
    <x v="57"/>
    <s v="Samama Chilli Souce"/>
    <s v="LDM"/>
    <n v="10.5"/>
    <n v="12"/>
    <s v="ABA پیور"/>
    <n v="100"/>
    <x v="0"/>
    <n v="1"/>
    <n v="43.2"/>
    <n v="1.2"/>
    <m/>
    <x v="0"/>
    <n v="42"/>
    <m/>
    <m/>
    <x v="0"/>
    <x v="0"/>
    <n v="0"/>
    <n v="0"/>
    <x v="0"/>
    <x v="0"/>
    <m/>
    <x v="0"/>
    <x v="0"/>
    <x v="0"/>
    <x v="0"/>
    <x v="0"/>
    <n v="0"/>
    <n v="0"/>
    <n v="0"/>
    <n v="12"/>
    <x v="1"/>
    <x v="0"/>
    <m/>
    <x v="0"/>
    <m/>
    <x v="0"/>
    <x v="2"/>
    <x v="0"/>
    <x v="0"/>
    <x v="0"/>
  </r>
  <r>
    <x v="1"/>
    <x v="2"/>
    <s v="3541 J"/>
    <x v="57"/>
    <s v="Samama Chilli Souce"/>
    <s v="LDM"/>
    <n v="10.5"/>
    <n v="12"/>
    <s v="ABA پیور"/>
    <n v="100"/>
    <x v="0"/>
    <n v="1"/>
    <n v="59"/>
    <n v="1.2"/>
    <m/>
    <x v="0"/>
    <n v="57.8"/>
    <m/>
    <n v="3"/>
    <x v="0"/>
    <x v="0"/>
    <n v="3"/>
    <n v="0.05"/>
    <x v="0"/>
    <x v="0"/>
    <m/>
    <x v="0"/>
    <x v="0"/>
    <x v="0"/>
    <x v="0"/>
    <x v="0"/>
    <n v="0"/>
    <n v="0"/>
    <n v="0.05"/>
    <n v="11.95"/>
    <x v="1"/>
    <x v="0"/>
    <m/>
    <x v="0"/>
    <m/>
    <x v="0"/>
    <x v="2"/>
    <x v="0"/>
    <x v="0"/>
    <x v="0"/>
  </r>
  <r>
    <x v="1"/>
    <x v="2"/>
    <s v="3567 J"/>
    <x v="57"/>
    <s v="Salman Shoes-2"/>
    <s v="LDM"/>
    <n v="20"/>
    <s v="15-16"/>
    <s v="ABA پیور"/>
    <n v="100"/>
    <x v="0"/>
    <n v="2"/>
    <n v="94.4"/>
    <n v="5"/>
    <m/>
    <x v="0"/>
    <n v="89.4"/>
    <m/>
    <n v="4"/>
    <x v="0"/>
    <x v="0"/>
    <n v="4"/>
    <n v="6.6666666666666666E-2"/>
    <x v="0"/>
    <x v="0"/>
    <m/>
    <x v="0"/>
    <x v="0"/>
    <x v="0"/>
    <x v="0"/>
    <x v="0"/>
    <n v="0"/>
    <n v="0"/>
    <n v="6.6666666666666666E-2"/>
    <n v="11.933333333333334"/>
    <x v="1"/>
    <x v="0"/>
    <m/>
    <x v="0"/>
    <m/>
    <x v="0"/>
    <x v="2"/>
    <x v="0"/>
    <x v="0"/>
    <x v="0"/>
  </r>
  <r>
    <x v="1"/>
    <x v="2"/>
    <s v="3549 J"/>
    <x v="57"/>
    <s v="Plain Double Treat Shopper"/>
    <s v="LDM"/>
    <s v="12+3+3"/>
    <s v="9.5-10/19-20"/>
    <s v="ABA پیور"/>
    <n v="110"/>
    <x v="0"/>
    <n v="3"/>
    <n v="112.4"/>
    <n v="4.4000000000000004"/>
    <m/>
    <x v="0"/>
    <n v="108"/>
    <m/>
    <n v="4"/>
    <x v="0"/>
    <x v="0"/>
    <n v="4"/>
    <n v="6.6666666666666666E-2"/>
    <x v="0"/>
    <x v="0"/>
    <m/>
    <x v="0"/>
    <x v="0"/>
    <x v="0"/>
    <x v="0"/>
    <x v="0"/>
    <n v="0"/>
    <n v="0"/>
    <n v="6.6666666666666666E-2"/>
    <n v="11.933333333333334"/>
    <x v="1"/>
    <x v="0"/>
    <m/>
    <x v="0"/>
    <m/>
    <x v="0"/>
    <x v="2"/>
    <x v="0"/>
    <x v="0"/>
    <x v="0"/>
  </r>
  <r>
    <x v="1"/>
    <x v="2"/>
    <s v="3548 J"/>
    <x v="57"/>
    <s v="Plain Double Treat Shopper"/>
    <s v="LDM"/>
    <s v="10+2.5+2.5"/>
    <s v="9.5-10/19-20"/>
    <s v="ABA پیور"/>
    <n v="110"/>
    <x v="0"/>
    <n v="3"/>
    <n v="113.8"/>
    <n v="3.5999999999999996"/>
    <m/>
    <x v="0"/>
    <n v="110.2"/>
    <m/>
    <n v="3"/>
    <x v="0"/>
    <x v="0"/>
    <n v="3"/>
    <n v="0.05"/>
    <x v="0"/>
    <x v="0"/>
    <m/>
    <x v="0"/>
    <x v="0"/>
    <x v="0"/>
    <x v="0"/>
    <x v="0"/>
    <n v="0"/>
    <n v="0"/>
    <n v="0.05"/>
    <n v="11.95"/>
    <x v="1"/>
    <x v="0"/>
    <m/>
    <x v="0"/>
    <m/>
    <x v="0"/>
    <x v="2"/>
    <x v="0"/>
    <x v="0"/>
    <x v="0"/>
  </r>
  <r>
    <x v="0"/>
    <x v="3"/>
    <s v="1935 F"/>
    <x v="57"/>
    <s v="PLAIN POLY BAG"/>
    <s v="LDN"/>
    <n v="20"/>
    <s v="8"/>
    <s v="پیور"/>
    <n v="95"/>
    <x v="0"/>
    <n v="1"/>
    <n v="58"/>
    <n v="2.8"/>
    <m/>
    <x v="0"/>
    <n v="55.2"/>
    <m/>
    <n v="3"/>
    <x v="0"/>
    <x v="0"/>
    <n v="3"/>
    <n v="0.05"/>
    <x v="0"/>
    <x v="0"/>
    <m/>
    <x v="0"/>
    <x v="0"/>
    <x v="0"/>
    <x v="0"/>
    <x v="0"/>
    <n v="0"/>
    <n v="0"/>
    <n v="0.05"/>
    <n v="11.95"/>
    <x v="1"/>
    <x v="0"/>
    <m/>
    <x v="0"/>
    <m/>
    <x v="0"/>
    <x v="2"/>
    <x v="0"/>
    <x v="0"/>
    <x v="0"/>
  </r>
  <r>
    <x v="0"/>
    <x v="3"/>
    <n v="1941"/>
    <x v="57"/>
    <s v="-"/>
    <s v="-"/>
    <s v="-"/>
    <s v="-"/>
    <s v="-"/>
    <s v="-"/>
    <x v="0"/>
    <n v="4"/>
    <n v="225.79999999999998"/>
    <n v="11.2"/>
    <m/>
    <x v="0"/>
    <n v="214.6"/>
    <m/>
    <n v="2"/>
    <x v="0"/>
    <x v="0"/>
    <n v="2"/>
    <n v="3.3333333333333333E-2"/>
    <x v="0"/>
    <x v="0"/>
    <m/>
    <x v="0"/>
    <x v="0"/>
    <x v="0"/>
    <x v="0"/>
    <x v="0"/>
    <n v="0"/>
    <n v="0"/>
    <n v="3.3333333333333333E-2"/>
    <n v="11.966666666666667"/>
    <x v="1"/>
    <x v="0"/>
    <m/>
    <x v="0"/>
    <m/>
    <x v="0"/>
    <x v="2"/>
    <x v="0"/>
    <x v="0"/>
    <x v="0"/>
  </r>
  <r>
    <x v="0"/>
    <x v="3"/>
    <s v="3363 J"/>
    <x v="57"/>
    <s v="MA Bun"/>
    <s v="LDN"/>
    <s v="20&quot; شیٹ"/>
    <s v="6-6.5"/>
    <s v="پیور"/>
    <n v="100"/>
    <x v="0"/>
    <n v="1"/>
    <n v="36.6"/>
    <n v="2.8"/>
    <n v="93"/>
    <x v="0"/>
    <n v="33.800000000000004"/>
    <m/>
    <n v="5"/>
    <x v="0"/>
    <x v="0"/>
    <n v="5"/>
    <n v="8.3333333333333329E-2"/>
    <x v="0"/>
    <x v="0"/>
    <m/>
    <x v="0"/>
    <x v="0"/>
    <x v="0"/>
    <x v="0"/>
    <x v="0"/>
    <n v="0"/>
    <n v="0"/>
    <n v="8.3333333333333329E-2"/>
    <n v="11.916666666666666"/>
    <x v="1"/>
    <x v="0"/>
    <m/>
    <x v="0"/>
    <m/>
    <x v="0"/>
    <x v="2"/>
    <x v="0"/>
    <x v="0"/>
    <x v="0"/>
  </r>
  <r>
    <x v="1"/>
    <x v="3"/>
    <s v="1941 J"/>
    <x v="57"/>
    <s v="الفتح سویٹس اینڈ بیکرز"/>
    <s v="HDM"/>
    <s v="12+3+3"/>
    <s v="7.5-8/15-16"/>
    <s v="جیلانی"/>
    <n v="110"/>
    <x v="0"/>
    <n v="3"/>
    <n v="221.4"/>
    <n v="8.3999999999999986"/>
    <n v="67"/>
    <x v="0"/>
    <n v="213"/>
    <m/>
    <m/>
    <x v="0"/>
    <x v="0"/>
    <n v="0"/>
    <n v="0"/>
    <x v="0"/>
    <x v="0"/>
    <m/>
    <x v="0"/>
    <x v="1"/>
    <x v="0"/>
    <x v="0"/>
    <x v="0"/>
    <n v="15"/>
    <n v="0.25"/>
    <n v="0.25"/>
    <n v="11.75"/>
    <x v="1"/>
    <x v="0"/>
    <m/>
    <x v="0"/>
    <m/>
    <x v="0"/>
    <x v="2"/>
    <x v="0"/>
    <x v="0"/>
    <x v="0"/>
  </r>
  <r>
    <x v="1"/>
    <x v="3"/>
    <n v="1944"/>
    <x v="57"/>
    <s v="-"/>
    <s v="-"/>
    <s v="-"/>
    <s v="-"/>
    <s v="-"/>
    <s v="-"/>
    <x v="0"/>
    <n v="3"/>
    <n v="73.599999999999994"/>
    <n v="6"/>
    <m/>
    <x v="0"/>
    <n v="67.599999999999994"/>
    <m/>
    <m/>
    <x v="0"/>
    <x v="0"/>
    <n v="0"/>
    <n v="0"/>
    <x v="0"/>
    <x v="0"/>
    <m/>
    <x v="0"/>
    <x v="0"/>
    <x v="0"/>
    <x v="0"/>
    <x v="0"/>
    <n v="0"/>
    <n v="0"/>
    <n v="0"/>
    <n v="12"/>
    <x v="1"/>
    <x v="0"/>
    <m/>
    <x v="0"/>
    <m/>
    <x v="0"/>
    <x v="2"/>
    <x v="0"/>
    <x v="0"/>
    <x v="0"/>
  </r>
  <r>
    <x v="1"/>
    <x v="3"/>
    <s v="1926 F"/>
    <x v="57"/>
    <s v="BLEND WARNING"/>
    <s v="LDN"/>
    <n v="17"/>
    <s v="7-7.5"/>
    <s v="جیلانی شیٹ"/>
    <n v="95"/>
    <x v="0"/>
    <n v="1"/>
    <n v="35.6"/>
    <n v="2.1"/>
    <m/>
    <x v="0"/>
    <n v="33.5"/>
    <m/>
    <m/>
    <x v="0"/>
    <x v="0"/>
    <n v="0"/>
    <n v="0"/>
    <x v="0"/>
    <x v="0"/>
    <m/>
    <x v="0"/>
    <x v="0"/>
    <x v="0"/>
    <x v="0"/>
    <x v="0"/>
    <n v="0"/>
    <n v="0"/>
    <n v="0"/>
    <n v="12"/>
    <x v="1"/>
    <x v="0"/>
    <m/>
    <x v="0"/>
    <m/>
    <x v="0"/>
    <x v="2"/>
    <x v="0"/>
    <x v="0"/>
    <x v="0"/>
  </r>
  <r>
    <x v="0"/>
    <x v="4"/>
    <s v="1939 F"/>
    <x v="57"/>
    <s v="BREAD SHEET"/>
    <s v="LDN"/>
    <s v="34 SHEET"/>
    <s v="3-3.25/6-6.5"/>
    <s v="پیور"/>
    <n v="400"/>
    <x v="0"/>
    <n v="4"/>
    <n v="241.9"/>
    <n v="11.2"/>
    <m/>
    <x v="0"/>
    <n v="230.70000000000002"/>
    <m/>
    <m/>
    <x v="0"/>
    <x v="0"/>
    <n v="0"/>
    <n v="0"/>
    <x v="0"/>
    <x v="0"/>
    <m/>
    <x v="0"/>
    <x v="0"/>
    <x v="0"/>
    <x v="0"/>
    <x v="0"/>
    <n v="0"/>
    <n v="0"/>
    <n v="0"/>
    <n v="12"/>
    <x v="1"/>
    <x v="0"/>
    <m/>
    <x v="0"/>
    <m/>
    <x v="0"/>
    <x v="2"/>
    <x v="0"/>
    <x v="0"/>
    <x v="0"/>
  </r>
  <r>
    <x v="0"/>
    <x v="4"/>
    <s v="1940 F"/>
    <x v="57"/>
    <s v="BREAD SHEET"/>
    <s v="LDN"/>
    <s v="36 SHEET"/>
    <s v="3-3.25/6-6.5"/>
    <s v="پیور"/>
    <n v="300"/>
    <x v="0"/>
    <n v="3"/>
    <n v="99"/>
    <n v="10.199999999999999"/>
    <m/>
    <x v="0"/>
    <n v="88.8"/>
    <m/>
    <n v="5"/>
    <x v="0"/>
    <x v="0"/>
    <n v="5"/>
    <n v="8.3333333333333329E-2"/>
    <x v="0"/>
    <x v="0"/>
    <m/>
    <x v="0"/>
    <x v="0"/>
    <x v="0"/>
    <x v="0"/>
    <x v="0"/>
    <n v="0"/>
    <n v="0"/>
    <n v="8.3333333333333329E-2"/>
    <n v="11.916666666666666"/>
    <x v="1"/>
    <x v="0"/>
    <m/>
    <x v="0"/>
    <m/>
    <x v="0"/>
    <x v="2"/>
    <x v="0"/>
    <x v="0"/>
    <x v="0"/>
  </r>
  <r>
    <x v="0"/>
    <x v="4"/>
    <n v="2772"/>
    <x v="57"/>
    <s v="MATCO FOOD"/>
    <s v="LDN"/>
    <s v="23-23.5"/>
    <s v="70 G+-1"/>
    <n v="0"/>
    <s v="3500 (100 BAGS)"/>
    <x v="0"/>
    <n v="4"/>
    <n v="406.6"/>
    <n v="9"/>
    <m/>
    <x v="0"/>
    <n v="397.6"/>
    <m/>
    <m/>
    <x v="0"/>
    <x v="0"/>
    <n v="0"/>
    <n v="0"/>
    <x v="0"/>
    <x v="0"/>
    <m/>
    <x v="0"/>
    <x v="0"/>
    <x v="0"/>
    <x v="0"/>
    <x v="0"/>
    <n v="0"/>
    <n v="0"/>
    <n v="0"/>
    <n v="12"/>
    <x v="1"/>
    <x v="0"/>
    <m/>
    <x v="0"/>
    <m/>
    <x v="0"/>
    <x v="2"/>
    <x v="0"/>
    <x v="0"/>
    <x v="0"/>
  </r>
  <r>
    <x v="1"/>
    <x v="4"/>
    <n v="2772"/>
    <x v="57"/>
    <s v="MATCO FOOD"/>
    <s v="LDN"/>
    <s v="23-23.5"/>
    <s v="70 G+-1"/>
    <n v="0"/>
    <s v="3500 (100 BAGS)"/>
    <x v="0"/>
    <n v="6"/>
    <n v="530.6"/>
    <n v="16.799999999999997"/>
    <m/>
    <x v="0"/>
    <n v="513.80000000000007"/>
    <m/>
    <n v="15"/>
    <x v="0"/>
    <x v="0"/>
    <n v="15"/>
    <n v="0.25"/>
    <x v="0"/>
    <x v="0"/>
    <m/>
    <x v="0"/>
    <x v="0"/>
    <x v="0"/>
    <x v="0"/>
    <x v="0"/>
    <n v="0"/>
    <n v="0"/>
    <n v="0.25"/>
    <n v="11.75"/>
    <x v="1"/>
    <x v="0"/>
    <m/>
    <x v="0"/>
    <m/>
    <x v="0"/>
    <x v="2"/>
    <x v="0"/>
    <x v="0"/>
    <x v="0"/>
  </r>
  <r>
    <x v="1"/>
    <x v="4"/>
    <s v="1940 F"/>
    <x v="57"/>
    <s v="BREAD SHEET"/>
    <s v="LDN"/>
    <s v="36 SHEET"/>
    <s v="3-3.25/6-6.5"/>
    <s v="پیور"/>
    <n v="300"/>
    <x v="0"/>
    <n v="2"/>
    <n v="131"/>
    <n v="6.8"/>
    <m/>
    <x v="0"/>
    <n v="124.2"/>
    <m/>
    <m/>
    <x v="0"/>
    <x v="0"/>
    <n v="0"/>
    <n v="0"/>
    <x v="0"/>
    <x v="0"/>
    <m/>
    <x v="0"/>
    <x v="0"/>
    <x v="0"/>
    <x v="0"/>
    <x v="0"/>
    <n v="0"/>
    <n v="0"/>
    <n v="0"/>
    <n v="12"/>
    <x v="1"/>
    <x v="0"/>
    <m/>
    <x v="0"/>
    <m/>
    <x v="0"/>
    <x v="2"/>
    <x v="0"/>
    <x v="0"/>
    <x v="0"/>
  </r>
  <r>
    <x v="0"/>
    <x v="0"/>
    <s v="3510 J"/>
    <x v="58"/>
    <s v="Sabina Logo"/>
    <s v="LDN"/>
    <n v="12"/>
    <s v="10-10.5"/>
    <s v="پیور"/>
    <n v="100"/>
    <x v="0"/>
    <n v="1"/>
    <n v="47.2"/>
    <n v="1.4"/>
    <m/>
    <x v="0"/>
    <n v="45.800000000000004"/>
    <m/>
    <m/>
    <x v="0"/>
    <x v="0"/>
    <n v="0"/>
    <n v="0"/>
    <x v="0"/>
    <x v="0"/>
    <m/>
    <x v="0"/>
    <x v="0"/>
    <x v="0"/>
    <x v="0"/>
    <x v="0"/>
    <n v="0"/>
    <n v="0"/>
    <n v="0"/>
    <n v="12"/>
    <x v="1"/>
    <x v="0"/>
    <n v="1853"/>
    <x v="0"/>
    <n v="950"/>
    <x v="0"/>
    <x v="2"/>
    <x v="0"/>
    <x v="0"/>
    <x v="0"/>
  </r>
  <r>
    <x v="0"/>
    <x v="0"/>
    <s v="3527 J"/>
    <x v="58"/>
    <s v="Plain Tape Lafafa"/>
    <s v="LDN"/>
    <n v="12"/>
    <s v="8.5-9"/>
    <s v="پیور"/>
    <n v="1000"/>
    <x v="0"/>
    <n v="3"/>
    <n v="128.80000000000001"/>
    <n v="4.5"/>
    <n v="75"/>
    <x v="0"/>
    <n v="124.30000000000001"/>
    <m/>
    <m/>
    <x v="0"/>
    <x v="0"/>
    <n v="0"/>
    <n v="0"/>
    <x v="0"/>
    <x v="0"/>
    <m/>
    <x v="0"/>
    <x v="0"/>
    <x v="0"/>
    <x v="0"/>
    <x v="0"/>
    <n v="0"/>
    <n v="0"/>
    <n v="0"/>
    <n v="12"/>
    <x v="1"/>
    <x v="0"/>
    <m/>
    <x v="0"/>
    <m/>
    <x v="0"/>
    <x v="2"/>
    <x v="0"/>
    <x v="0"/>
    <x v="0"/>
  </r>
  <r>
    <x v="1"/>
    <x v="0"/>
    <s v="3527 J"/>
    <x v="58"/>
    <s v="Plain Tape Lafafa"/>
    <s v="LDN"/>
    <n v="12"/>
    <s v="8.5-9"/>
    <s v="پیور"/>
    <n v="1000"/>
    <x v="0"/>
    <n v="1"/>
    <n v="89"/>
    <n v="1"/>
    <m/>
    <x v="0"/>
    <n v="88"/>
    <m/>
    <m/>
    <x v="0"/>
    <x v="0"/>
    <n v="0"/>
    <n v="0"/>
    <x v="0"/>
    <x v="0"/>
    <m/>
    <x v="0"/>
    <x v="0"/>
    <x v="0"/>
    <x v="0"/>
    <x v="0"/>
    <n v="0"/>
    <n v="0"/>
    <n v="0"/>
    <n v="12"/>
    <x v="1"/>
    <x v="0"/>
    <m/>
    <x v="0"/>
    <m/>
    <x v="0"/>
    <x v="2"/>
    <x v="0"/>
    <x v="0"/>
    <x v="0"/>
  </r>
  <r>
    <x v="1"/>
    <x v="0"/>
    <s v="3364 J"/>
    <x v="58"/>
    <s v="Shaheen dariy farm"/>
    <s v="LDM"/>
    <n v="7"/>
    <s v="15-16"/>
    <s v="پیور"/>
    <n v="100"/>
    <x v="0"/>
    <n v="2"/>
    <n v="101.69999999999999"/>
    <n v="2"/>
    <n v="33"/>
    <x v="0"/>
    <n v="99.699999999999989"/>
    <m/>
    <n v="5"/>
    <x v="0"/>
    <x v="0"/>
    <n v="5"/>
    <n v="8.3333333333333329E-2"/>
    <x v="0"/>
    <x v="0"/>
    <m/>
    <x v="0"/>
    <x v="0"/>
    <x v="0"/>
    <x v="0"/>
    <x v="0"/>
    <n v="0"/>
    <n v="0"/>
    <n v="8.3333333333333329E-2"/>
    <n v="11.916666666666666"/>
    <x v="1"/>
    <x v="0"/>
    <m/>
    <x v="0"/>
    <n v="1500"/>
    <x v="0"/>
    <x v="2"/>
    <x v="0"/>
    <x v="0"/>
    <x v="0"/>
  </r>
  <r>
    <x v="0"/>
    <x v="2"/>
    <s v="3355 J"/>
    <x v="58"/>
    <s v="Service Red"/>
    <s v="HDM"/>
    <s v="10+2.5+2.5"/>
    <s v="-"/>
    <s v="جیلانی"/>
    <n v="180"/>
    <x v="0"/>
    <n v="6"/>
    <n v="353"/>
    <n v="7.1999999999999993"/>
    <m/>
    <x v="0"/>
    <n v="345.8"/>
    <m/>
    <m/>
    <x v="0"/>
    <x v="0"/>
    <n v="0"/>
    <n v="0"/>
    <x v="0"/>
    <x v="0"/>
    <m/>
    <x v="0"/>
    <x v="0"/>
    <x v="0"/>
    <x v="0"/>
    <x v="0"/>
    <n v="0"/>
    <n v="0"/>
    <n v="0"/>
    <n v="12"/>
    <x v="1"/>
    <x v="0"/>
    <m/>
    <x v="0"/>
    <m/>
    <x v="0"/>
    <x v="2"/>
    <x v="0"/>
    <x v="0"/>
    <x v="0"/>
  </r>
  <r>
    <x v="1"/>
    <x v="2"/>
    <s v="3355 J"/>
    <x v="58"/>
    <s v="Service Red"/>
    <s v="HDM"/>
    <s v="10+2.5+2.5"/>
    <s v="-"/>
    <s v="جیلانی"/>
    <n v="180"/>
    <x v="0"/>
    <n v="4"/>
    <n v="405.59999999999997"/>
    <n v="7.2"/>
    <m/>
    <x v="0"/>
    <n v="398.4"/>
    <m/>
    <m/>
    <x v="0"/>
    <x v="0"/>
    <n v="0"/>
    <n v="0"/>
    <x v="0"/>
    <x v="0"/>
    <m/>
    <x v="0"/>
    <x v="0"/>
    <x v="0"/>
    <x v="0"/>
    <x v="0"/>
    <n v="0"/>
    <n v="0"/>
    <n v="0"/>
    <n v="12"/>
    <x v="1"/>
    <x v="0"/>
    <m/>
    <x v="0"/>
    <m/>
    <x v="0"/>
    <x v="2"/>
    <x v="0"/>
    <x v="0"/>
    <x v="0"/>
  </r>
  <r>
    <x v="0"/>
    <x v="3"/>
    <s v="1926 F"/>
    <x v="58"/>
    <s v="BLEND WARNING"/>
    <s v="LDN"/>
    <n v="17"/>
    <s v="7-7.5"/>
    <s v="جیلانی شیٹ"/>
    <n v="95"/>
    <x v="0"/>
    <n v="1"/>
    <n v="33.6"/>
    <n v="2.4"/>
    <m/>
    <x v="0"/>
    <n v="31.200000000000003"/>
    <m/>
    <m/>
    <x v="0"/>
    <x v="0"/>
    <n v="0"/>
    <n v="0"/>
    <x v="0"/>
    <x v="0"/>
    <m/>
    <x v="0"/>
    <x v="0"/>
    <x v="0"/>
    <x v="0"/>
    <x v="0"/>
    <n v="0"/>
    <n v="0"/>
    <n v="0"/>
    <n v="12"/>
    <x v="1"/>
    <x v="0"/>
    <m/>
    <x v="0"/>
    <m/>
    <x v="0"/>
    <x v="2"/>
    <x v="0"/>
    <x v="0"/>
    <x v="0"/>
  </r>
  <r>
    <x v="0"/>
    <x v="3"/>
    <s v="1924 F"/>
    <x v="58"/>
    <s v="RECYCLE LOGO+WARNING+L"/>
    <s v="LDN"/>
    <n v="18"/>
    <s v="5.5-6"/>
    <s v="جیلانی شیٹ"/>
    <n v="175"/>
    <x v="0"/>
    <n v="4"/>
    <n v="117.4"/>
    <n v="8.1999999999999993"/>
    <m/>
    <x v="0"/>
    <n v="109.2"/>
    <m/>
    <n v="5"/>
    <x v="0"/>
    <x v="1"/>
    <n v="65"/>
    <n v="1.0833333333333333"/>
    <x v="0"/>
    <x v="0"/>
    <m/>
    <x v="0"/>
    <x v="0"/>
    <x v="0"/>
    <x v="0"/>
    <x v="0"/>
    <n v="0"/>
    <n v="0"/>
    <n v="1.0833333333333333"/>
    <n v="10.916666666666666"/>
    <x v="1"/>
    <x v="0"/>
    <m/>
    <x v="0"/>
    <m/>
    <x v="0"/>
    <x v="2"/>
    <x v="0"/>
    <x v="0"/>
    <x v="0"/>
  </r>
  <r>
    <x v="1"/>
    <x v="3"/>
    <s v="1924 F"/>
    <x v="58"/>
    <s v="RECYCLE LOGO+WARNING+L"/>
    <s v="LDN"/>
    <n v="18"/>
    <s v="5.5-6"/>
    <s v="جیلانی شیٹ"/>
    <n v="175"/>
    <x v="0"/>
    <n v="1"/>
    <n v="36.4"/>
    <n v="1.8"/>
    <m/>
    <x v="0"/>
    <n v="34.6"/>
    <m/>
    <m/>
    <x v="0"/>
    <x v="0"/>
    <n v="0"/>
    <n v="0"/>
    <x v="0"/>
    <x v="0"/>
    <m/>
    <x v="0"/>
    <x v="0"/>
    <x v="0"/>
    <x v="0"/>
    <x v="0"/>
    <n v="0"/>
    <n v="0"/>
    <n v="0"/>
    <n v="12"/>
    <x v="1"/>
    <x v="0"/>
    <m/>
    <x v="0"/>
    <m/>
    <x v="0"/>
    <x v="2"/>
    <x v="0"/>
    <x v="0"/>
    <x v="0"/>
  </r>
  <r>
    <x v="1"/>
    <x v="3"/>
    <s v="1925 F"/>
    <x v="58"/>
    <s v="RECYCLE LOGO+WARNING+L"/>
    <s v="LDN"/>
    <n v="19"/>
    <s v="5.5-6"/>
    <s v="جیلانی شیٹ"/>
    <n v="120"/>
    <x v="0"/>
    <n v="2"/>
    <n v="136.4"/>
    <n v="2.4"/>
    <m/>
    <x v="0"/>
    <n v="134"/>
    <m/>
    <m/>
    <x v="0"/>
    <x v="0"/>
    <n v="0"/>
    <n v="0"/>
    <x v="0"/>
    <x v="0"/>
    <m/>
    <x v="0"/>
    <x v="0"/>
    <x v="0"/>
    <x v="0"/>
    <x v="0"/>
    <n v="0"/>
    <n v="0"/>
    <n v="0"/>
    <n v="12"/>
    <x v="1"/>
    <x v="0"/>
    <m/>
    <x v="0"/>
    <m/>
    <x v="0"/>
    <x v="2"/>
    <x v="0"/>
    <x v="0"/>
    <x v="0"/>
  </r>
  <r>
    <x v="1"/>
    <x v="3"/>
    <s v="1914 F"/>
    <x v="58"/>
    <s v="MAKNIT WARNING NEW"/>
    <s v="LDN"/>
    <n v="21"/>
    <s v="8-8.5"/>
    <s v="جیلانی شیٹ"/>
    <n v="200"/>
    <x v="0"/>
    <n v="2"/>
    <n v="166.6"/>
    <n v="5.2"/>
    <m/>
    <x v="0"/>
    <n v="161.4"/>
    <m/>
    <m/>
    <x v="0"/>
    <x v="0"/>
    <n v="0"/>
    <n v="0"/>
    <x v="0"/>
    <x v="0"/>
    <m/>
    <x v="0"/>
    <x v="0"/>
    <x v="0"/>
    <x v="0"/>
    <x v="0"/>
    <n v="0"/>
    <n v="0"/>
    <n v="0"/>
    <n v="12"/>
    <x v="1"/>
    <x v="0"/>
    <m/>
    <x v="0"/>
    <m/>
    <x v="0"/>
    <x v="2"/>
    <x v="0"/>
    <x v="0"/>
    <x v="0"/>
  </r>
  <r>
    <x v="0"/>
    <x v="6"/>
    <n v="2772"/>
    <x v="58"/>
    <s v="MATCO FOOD"/>
    <s v="LDN"/>
    <s v="23-23.5"/>
    <s v="70 G+-1"/>
    <n v="0"/>
    <s v="3500 (100 BAGS)"/>
    <x v="0"/>
    <n v="3"/>
    <n v="273.79999999999995"/>
    <n v="8.8000000000000007"/>
    <m/>
    <x v="0"/>
    <n v="264.99999999999994"/>
    <m/>
    <m/>
    <x v="0"/>
    <x v="2"/>
    <n v="180"/>
    <n v="3"/>
    <x v="0"/>
    <x v="0"/>
    <m/>
    <x v="0"/>
    <x v="0"/>
    <x v="0"/>
    <x v="0"/>
    <x v="0"/>
    <n v="0"/>
    <n v="0"/>
    <n v="3"/>
    <n v="9"/>
    <x v="1"/>
    <x v="0"/>
    <m/>
    <x v="0"/>
    <m/>
    <x v="0"/>
    <x v="2"/>
    <x v="0"/>
    <x v="0"/>
    <x v="0"/>
  </r>
  <r>
    <x v="0"/>
    <x v="6"/>
    <s v="1940 F"/>
    <x v="58"/>
    <s v="BREAD SHEET"/>
    <s v="LDN"/>
    <s v="36 SHEET"/>
    <s v="3-3.25/6-6.5"/>
    <s v="پیور"/>
    <n v="300"/>
    <x v="0"/>
    <n v="2"/>
    <n v="78.300000000000011"/>
    <n v="7.9"/>
    <m/>
    <x v="0"/>
    <n v="70.400000000000006"/>
    <m/>
    <m/>
    <x v="0"/>
    <x v="0"/>
    <n v="0"/>
    <n v="0"/>
    <x v="0"/>
    <x v="0"/>
    <m/>
    <x v="0"/>
    <x v="0"/>
    <x v="0"/>
    <x v="0"/>
    <x v="0"/>
    <n v="0"/>
    <n v="0"/>
    <n v="0"/>
    <n v="12"/>
    <x v="1"/>
    <x v="0"/>
    <m/>
    <x v="0"/>
    <m/>
    <x v="0"/>
    <x v="2"/>
    <x v="0"/>
    <x v="0"/>
    <x v="0"/>
  </r>
  <r>
    <x v="1"/>
    <x v="6"/>
    <n v="2772"/>
    <x v="58"/>
    <s v="MATCO FOOD"/>
    <s v="LDN"/>
    <s v="23-23.5"/>
    <s v="70 G+-1"/>
    <n v="0"/>
    <s v="3500 (100 BAGS)"/>
    <x v="0"/>
    <n v="6"/>
    <n v="593.80000000000007"/>
    <n v="18"/>
    <m/>
    <x v="0"/>
    <n v="575.80000000000007"/>
    <m/>
    <m/>
    <x v="0"/>
    <x v="0"/>
    <n v="0"/>
    <n v="0"/>
    <x v="0"/>
    <x v="0"/>
    <m/>
    <x v="0"/>
    <x v="0"/>
    <x v="0"/>
    <x v="0"/>
    <x v="0"/>
    <n v="0"/>
    <n v="0"/>
    <n v="0"/>
    <n v="12"/>
    <x v="1"/>
    <x v="0"/>
    <m/>
    <x v="0"/>
    <m/>
    <x v="0"/>
    <x v="2"/>
    <x v="0"/>
    <x v="0"/>
    <x v="0"/>
  </r>
  <r>
    <x v="0"/>
    <x v="0"/>
    <s v="3365 J"/>
    <x v="59"/>
    <s v="G R Powder Coatings"/>
    <s v="LDN"/>
    <n v="13"/>
    <s v="10-10.5"/>
    <s v="AA کولٹی"/>
    <n v="200"/>
    <x v="0"/>
    <n v="1"/>
    <n v="60"/>
    <n v="1"/>
    <m/>
    <x v="0"/>
    <n v="59"/>
    <s v="ADNAN"/>
    <n v="4"/>
    <x v="0"/>
    <x v="0"/>
    <n v="4"/>
    <n v="6.6666666666666666E-2"/>
    <x v="0"/>
    <x v="0"/>
    <m/>
    <x v="0"/>
    <x v="0"/>
    <x v="0"/>
    <x v="0"/>
    <x v="0"/>
    <n v="0"/>
    <n v="0"/>
    <n v="6.6666666666666666E-2"/>
    <n v="11.933333333333334"/>
    <x v="1"/>
    <x v="0"/>
    <n v="1853"/>
    <x v="0"/>
    <n v="1600"/>
    <x v="0"/>
    <x v="2"/>
    <x v="0"/>
    <x v="0"/>
    <x v="0"/>
  </r>
  <r>
    <x v="0"/>
    <x v="0"/>
    <s v="1937 F"/>
    <x v="59"/>
    <s v="Karachi Auto Parts"/>
    <s v="LDN"/>
    <n v="9"/>
    <s v="9"/>
    <s v="پیور"/>
    <n v="70"/>
    <x v="0"/>
    <n v="2"/>
    <n v="74.400000000000006"/>
    <n v="2.2000000000000002"/>
    <m/>
    <x v="0"/>
    <n v="72.2"/>
    <s v="ADNAN"/>
    <n v="4"/>
    <x v="0"/>
    <x v="0"/>
    <n v="4"/>
    <n v="6.6666666666666666E-2"/>
    <x v="0"/>
    <x v="0"/>
    <m/>
    <x v="0"/>
    <x v="0"/>
    <x v="0"/>
    <x v="0"/>
    <x v="0"/>
    <n v="0"/>
    <n v="0"/>
    <n v="6.6666666666666666E-2"/>
    <n v="11.933333333333334"/>
    <x v="1"/>
    <x v="0"/>
    <m/>
    <x v="0"/>
    <m/>
    <x v="0"/>
    <x v="2"/>
    <x v="0"/>
    <x v="0"/>
    <x v="0"/>
  </r>
  <r>
    <x v="0"/>
    <x v="0"/>
    <s v="3544 J"/>
    <x v="59"/>
    <s v="Atlas Honda LTD (SKP)"/>
    <s v="LDN"/>
    <n v="8"/>
    <n v="9"/>
    <s v="LDN"/>
    <n v="50"/>
    <x v="0"/>
    <n v="1"/>
    <n v="48.6"/>
    <n v="1"/>
    <m/>
    <x v="0"/>
    <n v="47.6"/>
    <s v="ADNAN"/>
    <m/>
    <x v="0"/>
    <x v="0"/>
    <n v="0"/>
    <n v="0"/>
    <x v="0"/>
    <x v="0"/>
    <m/>
    <x v="0"/>
    <x v="0"/>
    <x v="0"/>
    <x v="0"/>
    <x v="0"/>
    <n v="0"/>
    <n v="0"/>
    <n v="0"/>
    <n v="12"/>
    <x v="1"/>
    <x v="0"/>
    <m/>
    <x v="0"/>
    <m/>
    <x v="0"/>
    <x v="2"/>
    <x v="0"/>
    <x v="0"/>
    <x v="0"/>
  </r>
  <r>
    <x v="0"/>
    <x v="0"/>
    <s v="3592 J"/>
    <x v="59"/>
    <s v="Atlas Honda LTD (SKP)"/>
    <s v="LDN"/>
    <n v="8"/>
    <n v="9"/>
    <s v="LDN"/>
    <n v="175"/>
    <x v="0"/>
    <n v="1"/>
    <n v="31"/>
    <n v="1"/>
    <m/>
    <x v="0"/>
    <n v="30"/>
    <s v="ADNAN"/>
    <m/>
    <x v="0"/>
    <x v="0"/>
    <n v="0"/>
    <n v="0"/>
    <x v="0"/>
    <x v="0"/>
    <m/>
    <x v="0"/>
    <x v="0"/>
    <x v="0"/>
    <x v="0"/>
    <x v="0"/>
    <n v="0"/>
    <n v="0"/>
    <n v="0"/>
    <n v="12"/>
    <x v="1"/>
    <x v="0"/>
    <m/>
    <x v="0"/>
    <m/>
    <x v="0"/>
    <x v="2"/>
    <x v="0"/>
    <x v="0"/>
    <x v="0"/>
  </r>
  <r>
    <x v="1"/>
    <x v="0"/>
    <s v="3592 J"/>
    <x v="59"/>
    <s v="Atlas Honda LTD (SKP)"/>
    <s v="LDN"/>
    <n v="8"/>
    <n v="9"/>
    <s v="LDN"/>
    <n v="175"/>
    <x v="0"/>
    <n v="3"/>
    <n v="158.19999999999999"/>
    <n v="3"/>
    <m/>
    <x v="0"/>
    <n v="155.19999999999999"/>
    <s v="ADNAN"/>
    <n v="5"/>
    <x v="0"/>
    <x v="0"/>
    <n v="5"/>
    <n v="8.3333333333333329E-2"/>
    <x v="0"/>
    <x v="0"/>
    <m/>
    <x v="0"/>
    <x v="0"/>
    <x v="0"/>
    <x v="0"/>
    <x v="0"/>
    <n v="0"/>
    <n v="0"/>
    <n v="8.3333333333333329E-2"/>
    <n v="11.916666666666666"/>
    <x v="1"/>
    <x v="0"/>
    <m/>
    <x v="0"/>
    <n v="1600"/>
    <x v="0"/>
    <x v="2"/>
    <x v="0"/>
    <x v="0"/>
    <x v="0"/>
  </r>
  <r>
    <x v="1"/>
    <x v="0"/>
    <s v="3527 J"/>
    <x v="59"/>
    <s v="Plain Tape Lafafa"/>
    <s v="LDN"/>
    <n v="12"/>
    <s v="8.5-9"/>
    <s v="پیور"/>
    <n v="1000"/>
    <x v="0"/>
    <n v="1"/>
    <n v="47.6"/>
    <n v="1.5"/>
    <m/>
    <x v="0"/>
    <n v="46.1"/>
    <s v="ADNAN"/>
    <m/>
    <x v="0"/>
    <x v="0"/>
    <n v="0"/>
    <n v="0"/>
    <x v="0"/>
    <x v="0"/>
    <m/>
    <x v="0"/>
    <x v="0"/>
    <x v="0"/>
    <x v="0"/>
    <x v="0"/>
    <n v="0"/>
    <n v="0"/>
    <n v="0"/>
    <n v="12"/>
    <x v="1"/>
    <x v="0"/>
    <m/>
    <x v="0"/>
    <m/>
    <x v="0"/>
    <x v="2"/>
    <x v="0"/>
    <x v="0"/>
    <x v="0"/>
  </r>
  <r>
    <x v="0"/>
    <x v="2"/>
    <s v="3555 J"/>
    <x v="59"/>
    <s v="SKY Star Dry Bond"/>
    <s v="LDM"/>
    <n v="15"/>
    <s v="-"/>
    <s v="ABA پیور"/>
    <n v="1000"/>
    <x v="0"/>
    <n v="3"/>
    <n v="192.20000000000002"/>
    <n v="5.4"/>
    <n v="74"/>
    <x v="0"/>
    <n v="186.8"/>
    <s v="ADNAN"/>
    <m/>
    <x v="0"/>
    <x v="0"/>
    <n v="0"/>
    <n v="0"/>
    <x v="0"/>
    <x v="0"/>
    <m/>
    <x v="0"/>
    <x v="2"/>
    <x v="0"/>
    <x v="0"/>
    <x v="0"/>
    <n v="60"/>
    <n v="1"/>
    <n v="1"/>
    <n v="11"/>
    <x v="1"/>
    <x v="0"/>
    <m/>
    <x v="0"/>
    <m/>
    <x v="0"/>
    <x v="2"/>
    <x v="0"/>
    <x v="0"/>
    <x v="0"/>
  </r>
  <r>
    <x v="0"/>
    <x v="2"/>
    <s v="3498 J"/>
    <x v="59"/>
    <s v="Sadiq Flower"/>
    <s v="LD بیج"/>
    <n v="14"/>
    <s v="20-20.5"/>
    <s v="ABA تھینکیو"/>
    <n v="200"/>
    <x v="0"/>
    <n v="1"/>
    <n v="76.599999999999994"/>
    <n v="1.7"/>
    <m/>
    <x v="0"/>
    <n v="74.899999999999991"/>
    <s v="ADNAN"/>
    <m/>
    <x v="0"/>
    <x v="0"/>
    <n v="0"/>
    <n v="0"/>
    <x v="0"/>
    <x v="0"/>
    <m/>
    <x v="0"/>
    <x v="0"/>
    <x v="0"/>
    <x v="0"/>
    <x v="0"/>
    <n v="0"/>
    <n v="0"/>
    <n v="0"/>
    <n v="12"/>
    <x v="1"/>
    <x v="0"/>
    <m/>
    <x v="0"/>
    <m/>
    <x v="0"/>
    <x v="2"/>
    <x v="0"/>
    <x v="0"/>
    <x v="0"/>
  </r>
  <r>
    <x v="1"/>
    <x v="2"/>
    <s v="3498 J"/>
    <x v="59"/>
    <s v="Sadiq Flower"/>
    <s v="LD بیج"/>
    <n v="14"/>
    <s v="20-20.5"/>
    <s v="ABA تھینکیو"/>
    <n v="200"/>
    <x v="0"/>
    <n v="2"/>
    <n v="128.6"/>
    <n v="3.4"/>
    <n v="77"/>
    <x v="0"/>
    <n v="125.19999999999999"/>
    <s v="ADNAN"/>
    <n v="40"/>
    <x v="0"/>
    <x v="0"/>
    <n v="40"/>
    <n v="0.66666666666666663"/>
    <x v="0"/>
    <x v="0"/>
    <m/>
    <x v="0"/>
    <x v="0"/>
    <x v="0"/>
    <x v="0"/>
    <x v="0"/>
    <n v="0"/>
    <n v="0"/>
    <n v="0.66666666666666663"/>
    <n v="11.333333333333334"/>
    <x v="1"/>
    <x v="0"/>
    <m/>
    <x v="0"/>
    <m/>
    <x v="0"/>
    <x v="2"/>
    <x v="0"/>
    <x v="0"/>
    <x v="0"/>
  </r>
  <r>
    <x v="1"/>
    <x v="2"/>
    <s v="3576 J"/>
    <x v="59"/>
    <s v="Plain Lafafa"/>
    <s v="LD پیلا"/>
    <n v="10"/>
    <s v="8-8.5"/>
    <s v="ABA تھینکیو"/>
    <n v="200"/>
    <x v="0"/>
    <n v="4"/>
    <n v="207"/>
    <n v="4.9000000000000004"/>
    <m/>
    <x v="0"/>
    <n v="202.1"/>
    <s v="ADNAN"/>
    <m/>
    <x v="0"/>
    <x v="0"/>
    <n v="0"/>
    <n v="0"/>
    <x v="0"/>
    <x v="0"/>
    <m/>
    <x v="0"/>
    <x v="0"/>
    <x v="0"/>
    <x v="0"/>
    <x v="0"/>
    <n v="0"/>
    <n v="0"/>
    <n v="0"/>
    <n v="12"/>
    <x v="1"/>
    <x v="0"/>
    <m/>
    <x v="0"/>
    <m/>
    <x v="0"/>
    <x v="2"/>
    <x v="0"/>
    <x v="0"/>
    <x v="0"/>
  </r>
  <r>
    <x v="0"/>
    <x v="3"/>
    <s v="1914 F"/>
    <x v="59"/>
    <s v="MAKNIT WARNING NEW"/>
    <s v="LDN"/>
    <n v="21"/>
    <s v="8-8.5"/>
    <s v="جیلانی شیٹ"/>
    <n v="200"/>
    <x v="0"/>
    <n v="3"/>
    <n v="198.8"/>
    <n v="7.8000000000000007"/>
    <m/>
    <x v="0"/>
    <n v="191"/>
    <s v="ADNAN"/>
    <m/>
    <x v="0"/>
    <x v="0"/>
    <n v="0"/>
    <n v="0"/>
    <x v="0"/>
    <x v="0"/>
    <m/>
    <x v="0"/>
    <x v="0"/>
    <x v="0"/>
    <x v="0"/>
    <x v="0"/>
    <n v="0"/>
    <n v="0"/>
    <n v="0"/>
    <n v="12"/>
    <x v="1"/>
    <x v="0"/>
    <m/>
    <x v="0"/>
    <m/>
    <x v="0"/>
    <x v="2"/>
    <x v="0"/>
    <x v="0"/>
    <x v="0"/>
  </r>
  <r>
    <x v="0"/>
    <x v="3"/>
    <s v="1943 F"/>
    <x v="59"/>
    <s v="Only Payper waring"/>
    <s v="LDN"/>
    <n v="26"/>
    <s v="7"/>
    <s v="جیلانی شیٹ"/>
    <n v="200"/>
    <x v="0"/>
    <n v="3"/>
    <n v="221.6"/>
    <n v="10.199999999999999"/>
    <m/>
    <x v="0"/>
    <n v="211.4"/>
    <s v="ADNAN"/>
    <m/>
    <x v="0"/>
    <x v="0"/>
    <n v="0"/>
    <n v="0"/>
    <x v="0"/>
    <x v="0"/>
    <m/>
    <x v="0"/>
    <x v="0"/>
    <x v="0"/>
    <x v="0"/>
    <x v="0"/>
    <n v="0"/>
    <n v="0"/>
    <n v="0"/>
    <n v="12"/>
    <x v="1"/>
    <x v="0"/>
    <m/>
    <x v="0"/>
    <m/>
    <x v="0"/>
    <x v="2"/>
    <x v="0"/>
    <x v="0"/>
    <x v="0"/>
  </r>
  <r>
    <x v="1"/>
    <x v="3"/>
    <s v="1942 F"/>
    <x v="59"/>
    <s v="Only Payper waring"/>
    <s v="LDN"/>
    <n v="30"/>
    <s v="7"/>
    <s v="جیلانی شیٹ"/>
    <n v="250"/>
    <x v="0"/>
    <n v="6"/>
    <n v="424"/>
    <n v="18"/>
    <m/>
    <x v="0"/>
    <n v="406"/>
    <s v="ADNAN"/>
    <m/>
    <x v="0"/>
    <x v="0"/>
    <n v="0"/>
    <n v="0"/>
    <x v="0"/>
    <x v="0"/>
    <m/>
    <x v="0"/>
    <x v="0"/>
    <x v="0"/>
    <x v="0"/>
    <x v="0"/>
    <n v="0"/>
    <n v="0"/>
    <n v="0"/>
    <n v="12"/>
    <x v="1"/>
    <x v="0"/>
    <m/>
    <x v="0"/>
    <m/>
    <x v="0"/>
    <x v="2"/>
    <x v="0"/>
    <x v="0"/>
    <x v="0"/>
  </r>
  <r>
    <x v="1"/>
    <x v="3"/>
    <s v="1958 F"/>
    <x v="59"/>
    <s v="OVS WARNING"/>
    <s v="LDN"/>
    <n v="30"/>
    <s v="7"/>
    <s v="جیلانی شیٹ"/>
    <n v="65"/>
    <x v="0"/>
    <n v="3"/>
    <n v="130"/>
    <n v="12"/>
    <m/>
    <x v="0"/>
    <n v="118"/>
    <s v="ADNAN"/>
    <m/>
    <x v="0"/>
    <x v="0"/>
    <n v="0"/>
    <n v="0"/>
    <x v="0"/>
    <x v="0"/>
    <m/>
    <x v="0"/>
    <x v="0"/>
    <x v="0"/>
    <x v="0"/>
    <x v="0"/>
    <n v="0"/>
    <n v="0"/>
    <n v="0"/>
    <n v="12"/>
    <x v="1"/>
    <x v="0"/>
    <m/>
    <x v="0"/>
    <m/>
    <x v="0"/>
    <x v="2"/>
    <x v="0"/>
    <x v="0"/>
    <x v="0"/>
  </r>
  <r>
    <x v="1"/>
    <x v="3"/>
    <s v="1967 F"/>
    <x v="59"/>
    <s v="PLAIN POLY BAG"/>
    <s v="LDN"/>
    <n v="16"/>
    <s v="5-5.5"/>
    <s v="پیور"/>
    <n v="65"/>
    <x v="0"/>
    <n v="3"/>
    <n v="94.4"/>
    <n v="4.8000000000000007"/>
    <m/>
    <x v="0"/>
    <n v="89.600000000000009"/>
    <s v="ADNAN"/>
    <m/>
    <x v="0"/>
    <x v="0"/>
    <n v="0"/>
    <n v="0"/>
    <x v="0"/>
    <x v="0"/>
    <m/>
    <x v="0"/>
    <x v="0"/>
    <x v="0"/>
    <x v="0"/>
    <x v="0"/>
    <n v="0"/>
    <n v="0"/>
    <n v="0"/>
    <n v="12"/>
    <x v="1"/>
    <x v="0"/>
    <m/>
    <x v="0"/>
    <m/>
    <x v="0"/>
    <x v="2"/>
    <x v="0"/>
    <x v="0"/>
    <x v="0"/>
  </r>
  <r>
    <x v="0"/>
    <x v="4"/>
    <n v="2772"/>
    <x v="59"/>
    <s v="MATCO FOOD"/>
    <s v="LDN"/>
    <s v="23-23.5"/>
    <s v="70 G+-1"/>
    <n v="0"/>
    <s v="3500 (100 BAGS)"/>
    <x v="0"/>
    <n v="6"/>
    <n v="600"/>
    <n v="18"/>
    <n v="66"/>
    <x v="0"/>
    <n v="582"/>
    <s v="ADNAN"/>
    <n v="5"/>
    <x v="0"/>
    <x v="0"/>
    <n v="5"/>
    <n v="8.3333333333333329E-2"/>
    <x v="0"/>
    <x v="0"/>
    <m/>
    <x v="0"/>
    <x v="0"/>
    <x v="0"/>
    <x v="0"/>
    <x v="0"/>
    <n v="0"/>
    <n v="0"/>
    <n v="8.3333333333333329E-2"/>
    <n v="11.916666666666666"/>
    <x v="1"/>
    <x v="0"/>
    <m/>
    <x v="0"/>
    <m/>
    <x v="0"/>
    <x v="2"/>
    <x v="0"/>
    <x v="0"/>
    <x v="0"/>
  </r>
  <r>
    <x v="0"/>
    <x v="4"/>
    <s v="3534 J"/>
    <x v="59"/>
    <s v="Plain Roll"/>
    <s v="LDN"/>
    <n v="36"/>
    <n v="15"/>
    <s v="پیور"/>
    <n v="500"/>
    <x v="0"/>
    <n v="4"/>
    <n v="120"/>
    <n v="16.799999999999997"/>
    <m/>
    <x v="0"/>
    <n v="103.2"/>
    <s v="ADNAN"/>
    <m/>
    <x v="0"/>
    <x v="0"/>
    <n v="0"/>
    <n v="0"/>
    <x v="0"/>
    <x v="0"/>
    <m/>
    <x v="0"/>
    <x v="0"/>
    <x v="0"/>
    <x v="0"/>
    <x v="0"/>
    <n v="0"/>
    <n v="0"/>
    <n v="0"/>
    <n v="12"/>
    <x v="1"/>
    <x v="0"/>
    <m/>
    <x v="0"/>
    <m/>
    <x v="0"/>
    <x v="2"/>
    <x v="0"/>
    <x v="0"/>
    <x v="0"/>
  </r>
  <r>
    <x v="1"/>
    <x v="4"/>
    <s v="3534 J"/>
    <x v="59"/>
    <s v="Plain Roll"/>
    <s v="LDN"/>
    <n v="36"/>
    <n v="15"/>
    <s v="پیور"/>
    <n v="500"/>
    <x v="0"/>
    <n v="11"/>
    <n v="407.8"/>
    <n v="50.599999999999994"/>
    <m/>
    <x v="0"/>
    <n v="357.20000000000005"/>
    <s v="ADNAN"/>
    <m/>
    <x v="0"/>
    <x v="0"/>
    <n v="0"/>
    <n v="0"/>
    <x v="0"/>
    <x v="0"/>
    <m/>
    <x v="0"/>
    <x v="0"/>
    <x v="0"/>
    <x v="0"/>
    <x v="0"/>
    <n v="0"/>
    <n v="0"/>
    <n v="0"/>
    <n v="12"/>
    <x v="1"/>
    <x v="0"/>
    <m/>
    <x v="0"/>
    <m/>
    <x v="0"/>
    <x v="2"/>
    <x v="0"/>
    <x v="0"/>
    <x v="0"/>
  </r>
  <r>
    <x v="1"/>
    <x v="4"/>
    <s v="3535 J"/>
    <x v="59"/>
    <s v="Bannu Wollen Mills"/>
    <s v="LDN"/>
    <n v="20"/>
    <s v="10-10.5"/>
    <s v="پیور"/>
    <n v="400"/>
    <x v="0"/>
    <n v="5"/>
    <n v="255.4"/>
    <n v="10.5"/>
    <m/>
    <x v="0"/>
    <n v="244.9"/>
    <s v="ADNAN"/>
    <m/>
    <x v="0"/>
    <x v="0"/>
    <n v="0"/>
    <n v="0"/>
    <x v="0"/>
    <x v="0"/>
    <m/>
    <x v="0"/>
    <x v="0"/>
    <x v="0"/>
    <x v="0"/>
    <x v="0"/>
    <n v="0"/>
    <n v="0"/>
    <n v="0"/>
    <n v="12"/>
    <x v="1"/>
    <x v="0"/>
    <m/>
    <x v="0"/>
    <m/>
    <x v="0"/>
    <x v="2"/>
    <x v="0"/>
    <x v="0"/>
    <x v="0"/>
  </r>
  <r>
    <x v="0"/>
    <x v="0"/>
    <s v="3527 J"/>
    <x v="60"/>
    <s v="Plain Tape Lafafa"/>
    <s v="LDN"/>
    <n v="12"/>
    <s v="8.5-9"/>
    <s v="پیور"/>
    <n v="1000"/>
    <x v="0"/>
    <n v="3"/>
    <n v="130.80000000000001"/>
    <n v="4.5"/>
    <m/>
    <x v="0"/>
    <n v="126.30000000000001"/>
    <s v="ADNAN"/>
    <m/>
    <x v="0"/>
    <x v="0"/>
    <n v="0"/>
    <n v="0"/>
    <x v="0"/>
    <x v="0"/>
    <m/>
    <x v="0"/>
    <x v="0"/>
    <x v="0"/>
    <x v="0"/>
    <x v="0"/>
    <n v="0"/>
    <n v="0"/>
    <n v="0"/>
    <n v="12"/>
    <x v="1"/>
    <x v="0"/>
    <m/>
    <x v="0"/>
    <m/>
    <x v="0"/>
    <x v="2"/>
    <x v="0"/>
    <x v="0"/>
    <x v="0"/>
  </r>
  <r>
    <x v="0"/>
    <x v="0"/>
    <s v="3595 J"/>
    <x v="60"/>
    <s v="Atlas Honda LTD (SKP)"/>
    <s v="LDN"/>
    <n v="12"/>
    <s v="8.5-9"/>
    <s v="LDN"/>
    <n v="190"/>
    <x v="0"/>
    <n v="2"/>
    <n v="81"/>
    <n v="3"/>
    <m/>
    <x v="0"/>
    <n v="78"/>
    <s v="ADNAN"/>
    <m/>
    <x v="0"/>
    <x v="0"/>
    <n v="0"/>
    <n v="0"/>
    <x v="0"/>
    <x v="0"/>
    <m/>
    <x v="0"/>
    <x v="0"/>
    <x v="0"/>
    <x v="0"/>
    <x v="0"/>
    <n v="0"/>
    <n v="0"/>
    <n v="0"/>
    <n v="12"/>
    <x v="1"/>
    <x v="0"/>
    <m/>
    <x v="0"/>
    <m/>
    <x v="0"/>
    <x v="2"/>
    <x v="0"/>
    <x v="0"/>
    <x v="0"/>
  </r>
  <r>
    <x v="1"/>
    <x v="0"/>
    <s v="3595 J"/>
    <x v="60"/>
    <s v="Atlas Honda LTD (SKP)"/>
    <s v="LDN"/>
    <n v="12"/>
    <s v="8.5-9"/>
    <s v="LDN"/>
    <n v="190"/>
    <x v="0"/>
    <n v="3"/>
    <n v="128.60000000000002"/>
    <n v="4.5"/>
    <n v="5"/>
    <x v="0"/>
    <n v="124.10000000000002"/>
    <s v="ADNAN"/>
    <m/>
    <x v="0"/>
    <x v="0"/>
    <n v="0"/>
    <n v="0"/>
    <x v="0"/>
    <x v="0"/>
    <m/>
    <x v="0"/>
    <x v="0"/>
    <x v="0"/>
    <x v="0"/>
    <x v="0"/>
    <n v="0"/>
    <n v="0"/>
    <n v="0"/>
    <n v="12"/>
    <x v="1"/>
    <x v="0"/>
    <m/>
    <x v="0"/>
    <m/>
    <x v="0"/>
    <x v="2"/>
    <x v="0"/>
    <x v="0"/>
    <x v="0"/>
  </r>
  <r>
    <x v="1"/>
    <x v="0"/>
    <s v="3540 J"/>
    <x v="60"/>
    <s v="M A Sheer Mall"/>
    <s v="LDN"/>
    <n v="12"/>
    <s v="6-6.5"/>
    <s v="پیور"/>
    <n v="100"/>
    <x v="0"/>
    <n v="2"/>
    <n v="71.800000000000011"/>
    <n v="2.8"/>
    <m/>
    <x v="0"/>
    <n v="69.000000000000014"/>
    <s v="ADNAN"/>
    <m/>
    <x v="0"/>
    <x v="0"/>
    <n v="0"/>
    <n v="0"/>
    <x v="0"/>
    <x v="0"/>
    <m/>
    <x v="0"/>
    <x v="0"/>
    <x v="0"/>
    <x v="0"/>
    <x v="0"/>
    <n v="0"/>
    <n v="0"/>
    <n v="0"/>
    <n v="12"/>
    <x v="1"/>
    <x v="0"/>
    <m/>
    <x v="0"/>
    <m/>
    <x v="0"/>
    <x v="2"/>
    <x v="0"/>
    <x v="0"/>
    <x v="0"/>
  </r>
  <r>
    <x v="0"/>
    <x v="1"/>
    <s v="07/5-5.5"/>
    <x v="60"/>
    <s v="-"/>
    <s v="-"/>
    <s v="-"/>
    <s v="-"/>
    <s v="-"/>
    <s v="-"/>
    <x v="0"/>
    <n v="5"/>
    <n v="142"/>
    <n v="5"/>
    <m/>
    <x v="0"/>
    <n v="137"/>
    <s v="ADNAN"/>
    <m/>
    <x v="0"/>
    <x v="0"/>
    <n v="0"/>
    <n v="0"/>
    <x v="0"/>
    <x v="0"/>
    <m/>
    <x v="0"/>
    <x v="0"/>
    <x v="0"/>
    <x v="0"/>
    <x v="0"/>
    <n v="0"/>
    <n v="0"/>
    <n v="0"/>
    <n v="12"/>
    <x v="1"/>
    <x v="0"/>
    <m/>
    <x v="0"/>
    <m/>
    <x v="0"/>
    <x v="2"/>
    <x v="0"/>
    <x v="0"/>
    <x v="0"/>
  </r>
  <r>
    <x v="1"/>
    <x v="1"/>
    <s v="3526 J"/>
    <x v="60"/>
    <s v="Plain Tape Lafafa"/>
    <s v="LDN"/>
    <n v="8.5"/>
    <s v="8.5-9"/>
    <s v="پیور"/>
    <n v="1000"/>
    <x v="0"/>
    <n v="4"/>
    <n v="173.4"/>
    <n v="4"/>
    <n v="15"/>
    <x v="0"/>
    <n v="169.4"/>
    <s v="ADNAN"/>
    <m/>
    <x v="0"/>
    <x v="0"/>
    <n v="0"/>
    <n v="0"/>
    <x v="0"/>
    <x v="0"/>
    <m/>
    <x v="0"/>
    <x v="0"/>
    <x v="0"/>
    <x v="0"/>
    <x v="0"/>
    <n v="0"/>
    <n v="0"/>
    <n v="0"/>
    <n v="12"/>
    <x v="1"/>
    <x v="0"/>
    <m/>
    <x v="0"/>
    <m/>
    <x v="0"/>
    <x v="2"/>
    <x v="0"/>
    <x v="0"/>
    <x v="0"/>
  </r>
  <r>
    <x v="0"/>
    <x v="2"/>
    <s v="3557 J"/>
    <x v="60"/>
    <s v="Plain Double Treet Shopper"/>
    <s v="LDڈارک کریم"/>
    <s v="10+3+3"/>
    <s v="7-7.5/14-15"/>
    <s v="ABA پیور"/>
    <n v="160"/>
    <x v="0"/>
    <n v="5"/>
    <n v="162.80000000000001"/>
    <n v="6"/>
    <n v="110"/>
    <x v="0"/>
    <n v="156.80000000000001"/>
    <s v="ADNAN"/>
    <m/>
    <x v="0"/>
    <x v="0"/>
    <n v="0"/>
    <n v="0"/>
    <x v="0"/>
    <x v="0"/>
    <m/>
    <x v="0"/>
    <x v="0"/>
    <x v="0"/>
    <x v="0"/>
    <x v="0"/>
    <n v="0"/>
    <n v="0"/>
    <n v="0"/>
    <n v="12"/>
    <x v="1"/>
    <x v="0"/>
    <m/>
    <x v="0"/>
    <m/>
    <x v="0"/>
    <x v="2"/>
    <x v="0"/>
    <x v="0"/>
    <x v="0"/>
  </r>
  <r>
    <x v="0"/>
    <x v="2"/>
    <s v="3558 J"/>
    <x v="60"/>
    <s v="Plain Double Treet Shopper"/>
    <s v="LD سی گرین"/>
    <s v="10+3+3"/>
    <s v="7-7.5/14-15"/>
    <s v="ABA پیور"/>
    <n v="160"/>
    <x v="0"/>
    <n v="5"/>
    <n v="168.20000000000002"/>
    <n v="6"/>
    <m/>
    <x v="0"/>
    <n v="162.20000000000002"/>
    <s v="ADNAN"/>
    <m/>
    <x v="0"/>
    <x v="0"/>
    <n v="0"/>
    <n v="0"/>
    <x v="0"/>
    <x v="0"/>
    <m/>
    <x v="0"/>
    <x v="0"/>
    <x v="0"/>
    <x v="0"/>
    <x v="0"/>
    <n v="0"/>
    <n v="0"/>
    <n v="0"/>
    <n v="12"/>
    <x v="1"/>
    <x v="0"/>
    <m/>
    <x v="0"/>
    <m/>
    <x v="0"/>
    <x v="2"/>
    <x v="0"/>
    <x v="0"/>
    <x v="0"/>
  </r>
  <r>
    <x v="1"/>
    <x v="2"/>
    <s v="3575 J"/>
    <x v="60"/>
    <s v="Plain Lafafa"/>
    <s v="LD گرین"/>
    <n v="14"/>
    <s v="10-10.5"/>
    <s v="ABA تھینکیو"/>
    <n v="200"/>
    <x v="0"/>
    <n v="3"/>
    <n v="207.20000000000002"/>
    <n v="5.5"/>
    <n v="86"/>
    <x v="0"/>
    <n v="201.70000000000002"/>
    <s v="ADNAN"/>
    <m/>
    <x v="0"/>
    <x v="0"/>
    <n v="0"/>
    <n v="0"/>
    <x v="0"/>
    <x v="0"/>
    <m/>
    <x v="0"/>
    <x v="0"/>
    <x v="0"/>
    <x v="0"/>
    <x v="0"/>
    <n v="0"/>
    <n v="0"/>
    <n v="0"/>
    <n v="12"/>
    <x v="1"/>
    <x v="0"/>
    <m/>
    <x v="0"/>
    <m/>
    <x v="0"/>
    <x v="2"/>
    <x v="0"/>
    <x v="0"/>
    <x v="0"/>
  </r>
  <r>
    <x v="1"/>
    <x v="2"/>
    <s v="3577 J"/>
    <x v="60"/>
    <s v="Plain Lafafa"/>
    <s v="LD ریڈ"/>
    <n v="14"/>
    <s v="10-10.5"/>
    <s v="ABA تھینکیو"/>
    <n v="200"/>
    <x v="0"/>
    <n v="3"/>
    <n v="199.4"/>
    <n v="5.4"/>
    <m/>
    <x v="0"/>
    <n v="194"/>
    <s v="ADNAN"/>
    <m/>
    <x v="0"/>
    <x v="0"/>
    <n v="0"/>
    <n v="0"/>
    <x v="0"/>
    <x v="0"/>
    <m/>
    <x v="0"/>
    <x v="0"/>
    <x v="0"/>
    <x v="0"/>
    <x v="0"/>
    <n v="0"/>
    <n v="0"/>
    <n v="0"/>
    <n v="12"/>
    <x v="1"/>
    <x v="0"/>
    <m/>
    <x v="0"/>
    <m/>
    <x v="0"/>
    <x v="2"/>
    <x v="0"/>
    <x v="0"/>
    <x v="0"/>
  </r>
  <r>
    <x v="0"/>
    <x v="3"/>
    <s v="1967 F"/>
    <x v="60"/>
    <s v="PLAIN POLY BAG"/>
    <s v="LDN"/>
    <n v="16"/>
    <s v="5-5.5"/>
    <s v="پیور"/>
    <n v="65"/>
    <x v="0"/>
    <n v="3"/>
    <n v="101.6"/>
    <n v="5.6999999999999993"/>
    <m/>
    <x v="0"/>
    <n v="95.899999999999991"/>
    <s v="ADNAN"/>
    <m/>
    <x v="0"/>
    <x v="0"/>
    <n v="0"/>
    <n v="0"/>
    <x v="0"/>
    <x v="0"/>
    <m/>
    <x v="0"/>
    <x v="0"/>
    <x v="0"/>
    <x v="0"/>
    <x v="0"/>
    <n v="0"/>
    <n v="0"/>
    <n v="0"/>
    <n v="12"/>
    <x v="1"/>
    <x v="0"/>
    <m/>
    <x v="0"/>
    <m/>
    <x v="0"/>
    <x v="2"/>
    <x v="0"/>
    <x v="0"/>
    <x v="0"/>
  </r>
  <r>
    <x v="0"/>
    <x v="3"/>
    <s v="3594 J"/>
    <x v="60"/>
    <s v="Atlas Honda LTD (SKP)"/>
    <s v="LDN"/>
    <n v="16"/>
    <s v="12.5-13"/>
    <s v="LDN"/>
    <n v="250"/>
    <x v="0"/>
    <n v="3"/>
    <n v="150"/>
    <n v="6"/>
    <m/>
    <x v="0"/>
    <n v="144"/>
    <s v="ADNAN"/>
    <m/>
    <x v="0"/>
    <x v="0"/>
    <n v="0"/>
    <n v="0"/>
    <x v="0"/>
    <x v="0"/>
    <m/>
    <x v="0"/>
    <x v="0"/>
    <x v="0"/>
    <x v="0"/>
    <x v="0"/>
    <n v="0"/>
    <n v="0"/>
    <n v="0"/>
    <n v="12"/>
    <x v="1"/>
    <x v="0"/>
    <m/>
    <x v="0"/>
    <m/>
    <x v="0"/>
    <x v="2"/>
    <x v="0"/>
    <x v="0"/>
    <x v="0"/>
  </r>
  <r>
    <x v="0"/>
    <x v="3"/>
    <s v="3387 J"/>
    <x v="60"/>
    <s v="Plain Lafafa"/>
    <s v="LD اورنج"/>
    <n v="12"/>
    <s v="8-8.5"/>
    <s v="ABA تھینکیو"/>
    <n v="200"/>
    <x v="0"/>
    <n v="2"/>
    <n v="104.8"/>
    <n v="4"/>
    <m/>
    <x v="0"/>
    <n v="100.8"/>
    <s v="ADNAN"/>
    <m/>
    <x v="0"/>
    <x v="0"/>
    <n v="0"/>
    <n v="0"/>
    <x v="0"/>
    <x v="0"/>
    <m/>
    <x v="0"/>
    <x v="0"/>
    <x v="0"/>
    <x v="0"/>
    <x v="0"/>
    <n v="0"/>
    <n v="0"/>
    <n v="0"/>
    <n v="12"/>
    <x v="1"/>
    <x v="0"/>
    <m/>
    <x v="0"/>
    <m/>
    <x v="0"/>
    <x v="2"/>
    <x v="0"/>
    <x v="0"/>
    <x v="0"/>
  </r>
  <r>
    <x v="1"/>
    <x v="3"/>
    <s v="3536 J"/>
    <x v="60"/>
    <s v="Bannu Wollen Mills"/>
    <s v="LDN"/>
    <n v="14"/>
    <s v="10-10.5"/>
    <s v="پیور"/>
    <n v="200"/>
    <x v="0"/>
    <n v="2"/>
    <n v="101.2"/>
    <n v="3.8"/>
    <n v="4"/>
    <x v="0"/>
    <n v="97.4"/>
    <s v="ADNAN"/>
    <m/>
    <x v="0"/>
    <x v="0"/>
    <n v="0"/>
    <n v="0"/>
    <x v="0"/>
    <x v="0"/>
    <m/>
    <x v="0"/>
    <x v="0"/>
    <x v="0"/>
    <x v="0"/>
    <x v="0"/>
    <n v="0"/>
    <n v="0"/>
    <n v="0"/>
    <n v="12"/>
    <x v="1"/>
    <x v="0"/>
    <m/>
    <x v="0"/>
    <m/>
    <x v="0"/>
    <x v="2"/>
    <x v="0"/>
    <x v="0"/>
    <x v="0"/>
  </r>
  <r>
    <x v="1"/>
    <x v="3"/>
    <s v="3589 J"/>
    <x v="60"/>
    <s v="Plain lafafa"/>
    <s v="LDN"/>
    <n v="15"/>
    <s v="8"/>
    <s v="پیور"/>
    <n v="100"/>
    <x v="0"/>
    <n v="2"/>
    <n v="114"/>
    <n v="3.8"/>
    <m/>
    <x v="0"/>
    <n v="110.2"/>
    <s v="ADNAN"/>
    <m/>
    <x v="0"/>
    <x v="0"/>
    <n v="0"/>
    <n v="0"/>
    <x v="0"/>
    <x v="0"/>
    <m/>
    <x v="0"/>
    <x v="0"/>
    <x v="0"/>
    <x v="0"/>
    <x v="0"/>
    <n v="0"/>
    <n v="0"/>
    <n v="0"/>
    <n v="12"/>
    <x v="1"/>
    <x v="0"/>
    <m/>
    <x v="0"/>
    <m/>
    <x v="0"/>
    <x v="2"/>
    <x v="0"/>
    <x v="0"/>
    <x v="0"/>
  </r>
  <r>
    <x v="0"/>
    <x v="6"/>
    <s v="3535 J"/>
    <x v="60"/>
    <s v="Bannu Wollen Mills"/>
    <s v="LDN"/>
    <n v="20"/>
    <s v="10-10.5"/>
    <s v="پیور"/>
    <n v="400"/>
    <x v="0"/>
    <n v="3"/>
    <n v="151"/>
    <n v="7.1999999999999993"/>
    <m/>
    <x v="0"/>
    <n v="143.80000000000001"/>
    <s v="ADNAN"/>
    <m/>
    <x v="0"/>
    <x v="0"/>
    <n v="0"/>
    <n v="0"/>
    <x v="0"/>
    <x v="0"/>
    <m/>
    <x v="0"/>
    <x v="0"/>
    <x v="0"/>
    <x v="0"/>
    <x v="0"/>
    <n v="0"/>
    <n v="0"/>
    <n v="0"/>
    <n v="12"/>
    <x v="1"/>
    <x v="0"/>
    <m/>
    <x v="0"/>
    <m/>
    <x v="0"/>
    <x v="2"/>
    <x v="0"/>
    <x v="0"/>
    <x v="0"/>
  </r>
  <r>
    <x v="0"/>
    <x v="6"/>
    <n v="2775"/>
    <x v="60"/>
    <s v="MATCO FOOD"/>
    <s v="LDN"/>
    <s v="23-23.5"/>
    <s v="70 G+-1"/>
    <s v="SL"/>
    <n v="2100"/>
    <x v="0"/>
    <n v="3"/>
    <n v="315.2"/>
    <n v="8.3999999999999986"/>
    <m/>
    <x v="0"/>
    <n v="306.8"/>
    <s v="ADNAN"/>
    <m/>
    <x v="0"/>
    <x v="0"/>
    <n v="0"/>
    <n v="0"/>
    <x v="0"/>
    <x v="0"/>
    <m/>
    <x v="0"/>
    <x v="0"/>
    <x v="0"/>
    <x v="0"/>
    <x v="0"/>
    <n v="0"/>
    <n v="0"/>
    <n v="0"/>
    <n v="12"/>
    <x v="1"/>
    <x v="0"/>
    <m/>
    <x v="0"/>
    <m/>
    <x v="0"/>
    <x v="2"/>
    <x v="0"/>
    <x v="0"/>
    <x v="0"/>
  </r>
  <r>
    <x v="0"/>
    <x v="6"/>
    <s v="3610 J"/>
    <x v="60"/>
    <s v="Plain Tape Lafafa"/>
    <s v="LDN"/>
    <n v="23"/>
    <s v="9-9.5"/>
    <s v="پیور"/>
    <n v="75"/>
    <x v="0"/>
    <n v="1"/>
    <n v="47.8"/>
    <n v="2.8"/>
    <m/>
    <x v="0"/>
    <n v="45"/>
    <s v="ADNAN"/>
    <m/>
    <x v="0"/>
    <x v="0"/>
    <n v="0"/>
    <n v="0"/>
    <x v="0"/>
    <x v="0"/>
    <m/>
    <x v="0"/>
    <x v="0"/>
    <x v="0"/>
    <x v="0"/>
    <x v="0"/>
    <n v="0"/>
    <n v="0"/>
    <n v="0"/>
    <n v="12"/>
    <x v="1"/>
    <x v="0"/>
    <m/>
    <x v="0"/>
    <m/>
    <x v="0"/>
    <x v="2"/>
    <x v="0"/>
    <x v="0"/>
    <x v="0"/>
  </r>
  <r>
    <x v="1"/>
    <x v="6"/>
    <s v="3610 J"/>
    <x v="60"/>
    <s v="Plain Tape Lafafa"/>
    <s v="LDN"/>
    <n v="23"/>
    <s v="9-9.5"/>
    <s v="پیور"/>
    <n v="75"/>
    <x v="0"/>
    <n v="1"/>
    <n v="41.2"/>
    <n v="2.8"/>
    <n v="38"/>
    <x v="0"/>
    <n v="38.400000000000006"/>
    <s v="ADNAN"/>
    <m/>
    <x v="0"/>
    <x v="0"/>
    <n v="0"/>
    <n v="0"/>
    <x v="0"/>
    <x v="0"/>
    <m/>
    <x v="0"/>
    <x v="0"/>
    <x v="0"/>
    <x v="0"/>
    <x v="0"/>
    <n v="0"/>
    <n v="0"/>
    <n v="0"/>
    <n v="12"/>
    <x v="1"/>
    <x v="0"/>
    <m/>
    <x v="0"/>
    <m/>
    <x v="0"/>
    <x v="2"/>
    <x v="0"/>
    <x v="0"/>
    <x v="0"/>
  </r>
  <r>
    <x v="1"/>
    <x v="6"/>
    <s v="3612 J"/>
    <x v="60"/>
    <s v="Plain Tape Lafafa"/>
    <s v="LDN"/>
    <n v="23"/>
    <s v="9-9.5"/>
    <s v="پیور"/>
    <n v="75"/>
    <x v="0"/>
    <n v="2"/>
    <n v="88.8"/>
    <n v="6"/>
    <m/>
    <x v="0"/>
    <n v="82.8"/>
    <s v="ADNAN"/>
    <m/>
    <x v="0"/>
    <x v="0"/>
    <n v="0"/>
    <n v="0"/>
    <x v="0"/>
    <x v="0"/>
    <m/>
    <x v="0"/>
    <x v="0"/>
    <x v="0"/>
    <x v="0"/>
    <x v="0"/>
    <n v="0"/>
    <n v="0"/>
    <n v="0"/>
    <n v="12"/>
    <x v="1"/>
    <x v="0"/>
    <m/>
    <x v="0"/>
    <m/>
    <x v="0"/>
    <x v="2"/>
    <x v="0"/>
    <x v="0"/>
    <x v="0"/>
  </r>
  <r>
    <x v="1"/>
    <x v="6"/>
    <s v="3611 J"/>
    <x v="60"/>
    <s v="Plain Tape Lafafa"/>
    <s v="LDN"/>
    <n v="23"/>
    <s v="9-9.5"/>
    <s v="پیور"/>
    <n v="75"/>
    <x v="0"/>
    <n v="2"/>
    <n v="81"/>
    <n v="6"/>
    <m/>
    <x v="0"/>
    <n v="75"/>
    <s v="ADNAN"/>
    <m/>
    <x v="0"/>
    <x v="0"/>
    <n v="0"/>
    <n v="0"/>
    <x v="0"/>
    <x v="0"/>
    <m/>
    <x v="0"/>
    <x v="0"/>
    <x v="0"/>
    <x v="0"/>
    <x v="0"/>
    <n v="0"/>
    <n v="0"/>
    <n v="0"/>
    <n v="12"/>
    <x v="1"/>
    <x v="0"/>
    <m/>
    <x v="0"/>
    <m/>
    <x v="0"/>
    <x v="2"/>
    <x v="0"/>
    <x v="0"/>
    <x v="0"/>
  </r>
  <r>
    <x v="1"/>
    <x v="6"/>
    <s v="1955 F"/>
    <x v="60"/>
    <s v="Walmart Big Warning"/>
    <s v="LDN"/>
    <n v="22"/>
    <s v="8"/>
    <s v="پیور"/>
    <n v="40"/>
    <x v="0"/>
    <n v="2"/>
    <n v="104.19999999999999"/>
    <n v="5.2"/>
    <m/>
    <x v="0"/>
    <n v="98.999999999999986"/>
    <s v="ADNAN"/>
    <m/>
    <x v="0"/>
    <x v="0"/>
    <n v="0"/>
    <n v="0"/>
    <x v="0"/>
    <x v="0"/>
    <m/>
    <x v="0"/>
    <x v="0"/>
    <x v="0"/>
    <x v="0"/>
    <x v="0"/>
    <n v="0"/>
    <n v="0"/>
    <n v="0"/>
    <n v="12"/>
    <x v="1"/>
    <x v="0"/>
    <m/>
    <x v="0"/>
    <m/>
    <x v="0"/>
    <x v="2"/>
    <x v="0"/>
    <x v="0"/>
    <x v="0"/>
  </r>
  <r>
    <x v="1"/>
    <x v="6"/>
    <s v="1953 F"/>
    <x v="60"/>
    <s v="Walmart Big Warning"/>
    <s v="LDN"/>
    <n v="20"/>
    <s v="8"/>
    <s v="پیور"/>
    <n v="220"/>
    <x v="0"/>
    <n v="2"/>
    <n v="110.8"/>
    <n v="4.8"/>
    <m/>
    <x v="0"/>
    <n v="106"/>
    <s v="ADNAN"/>
    <m/>
    <x v="0"/>
    <x v="0"/>
    <n v="0"/>
    <n v="0"/>
    <x v="0"/>
    <x v="0"/>
    <m/>
    <x v="0"/>
    <x v="0"/>
    <x v="0"/>
    <x v="0"/>
    <x v="0"/>
    <n v="0"/>
    <n v="0"/>
    <n v="0"/>
    <n v="12"/>
    <x v="1"/>
    <x v="0"/>
    <m/>
    <x v="0"/>
    <m/>
    <x v="0"/>
    <x v="2"/>
    <x v="0"/>
    <x v="0"/>
    <x v="0"/>
  </r>
  <r>
    <x v="1"/>
    <x v="6"/>
    <s v="3609 J"/>
    <x v="60"/>
    <s v="Plain Tape Lafafa"/>
    <s v="LDN"/>
    <n v="23"/>
    <s v="9-9.5"/>
    <s v="پیور"/>
    <n v="75"/>
    <x v="0"/>
    <n v="2"/>
    <n v="79.199999999999989"/>
    <n v="6"/>
    <m/>
    <x v="0"/>
    <n v="73.199999999999989"/>
    <s v="ADNAN"/>
    <m/>
    <x v="0"/>
    <x v="0"/>
    <n v="0"/>
    <n v="0"/>
    <x v="0"/>
    <x v="0"/>
    <m/>
    <x v="0"/>
    <x v="0"/>
    <x v="0"/>
    <x v="0"/>
    <x v="0"/>
    <n v="0"/>
    <n v="0"/>
    <n v="0"/>
    <n v="12"/>
    <x v="1"/>
    <x v="0"/>
    <m/>
    <x v="0"/>
    <m/>
    <x v="0"/>
    <x v="2"/>
    <x v="0"/>
    <x v="0"/>
    <x v="0"/>
  </r>
  <r>
    <x v="1"/>
    <x v="6"/>
    <s v="3608 J"/>
    <x v="60"/>
    <s v="Plain Tape Lafafa"/>
    <s v="LDN"/>
    <n v="25"/>
    <s v="9-9.5"/>
    <s v="پیور"/>
    <n v="75"/>
    <x v="0"/>
    <n v="2"/>
    <n v="78"/>
    <n v="7"/>
    <m/>
    <x v="0"/>
    <n v="71"/>
    <s v="ADNAN"/>
    <m/>
    <x v="0"/>
    <x v="0"/>
    <n v="0"/>
    <n v="0"/>
    <x v="0"/>
    <x v="0"/>
    <m/>
    <x v="0"/>
    <x v="0"/>
    <x v="0"/>
    <x v="0"/>
    <x v="0"/>
    <n v="0"/>
    <n v="0"/>
    <n v="0"/>
    <n v="12"/>
    <x v="1"/>
    <x v="0"/>
    <m/>
    <x v="0"/>
    <m/>
    <x v="0"/>
    <x v="2"/>
    <x v="0"/>
    <x v="0"/>
    <x v="0"/>
  </r>
  <r>
    <x v="1"/>
    <x v="6"/>
    <s v="1979 F"/>
    <x v="60"/>
    <s v="WARNING+PELD LOGO"/>
    <s v="LDN"/>
    <n v="25"/>
    <s v="7-7.5"/>
    <s v="پیور"/>
    <n v="55"/>
    <x v="0"/>
    <n v="1"/>
    <n v="49.2"/>
    <n v="3.5"/>
    <m/>
    <x v="0"/>
    <n v="45.7"/>
    <s v="ADNAN"/>
    <m/>
    <x v="0"/>
    <x v="0"/>
    <n v="0"/>
    <n v="0"/>
    <x v="0"/>
    <x v="0"/>
    <m/>
    <x v="0"/>
    <x v="0"/>
    <x v="0"/>
    <x v="0"/>
    <x v="0"/>
    <n v="0"/>
    <n v="0"/>
    <n v="0"/>
    <n v="12"/>
    <x v="1"/>
    <x v="0"/>
    <m/>
    <x v="0"/>
    <m/>
    <x v="0"/>
    <x v="2"/>
    <x v="0"/>
    <x v="0"/>
    <x v="0"/>
  </r>
  <r>
    <x v="0"/>
    <x v="0"/>
    <s v="3540 J"/>
    <x v="61"/>
    <s v="M A Sheer Mall"/>
    <s v="LDN"/>
    <n v="12"/>
    <s v="6-6.5"/>
    <s v="پیور"/>
    <n v="100"/>
    <x v="0"/>
    <n v="1"/>
    <n v="40"/>
    <n v="1.4"/>
    <m/>
    <x v="0"/>
    <n v="38.6"/>
    <s v="ADNAN"/>
    <m/>
    <x v="0"/>
    <x v="0"/>
    <n v="0"/>
    <n v="0"/>
    <x v="0"/>
    <x v="0"/>
    <m/>
    <x v="0"/>
    <x v="0"/>
    <x v="0"/>
    <x v="0"/>
    <x v="0"/>
    <n v="0"/>
    <n v="0"/>
    <n v="0"/>
    <n v="12"/>
    <x v="1"/>
    <x v="0"/>
    <n v="1970"/>
    <x v="0"/>
    <m/>
    <x v="0"/>
    <x v="2"/>
    <x v="0"/>
    <x v="0"/>
    <x v="0"/>
  </r>
  <r>
    <x v="0"/>
    <x v="0"/>
    <s v="3593 J"/>
    <x v="61"/>
    <s v="Atlas Honda LTD (SKP)"/>
    <s v="LDN"/>
    <n v="9"/>
    <s v="9-9.5"/>
    <s v="LDN"/>
    <n v="60"/>
    <x v="0"/>
    <n v="2"/>
    <n v="73.2"/>
    <n v="2.2000000000000002"/>
    <m/>
    <x v="0"/>
    <n v="71"/>
    <s v="ADNAN"/>
    <m/>
    <x v="0"/>
    <x v="0"/>
    <n v="0"/>
    <n v="0"/>
    <x v="0"/>
    <x v="0"/>
    <m/>
    <x v="0"/>
    <x v="0"/>
    <x v="0"/>
    <x v="0"/>
    <x v="0"/>
    <n v="0"/>
    <n v="0"/>
    <n v="0"/>
    <n v="12"/>
    <x v="1"/>
    <x v="0"/>
    <m/>
    <x v="0"/>
    <m/>
    <x v="0"/>
    <x v="2"/>
    <x v="0"/>
    <x v="0"/>
    <x v="0"/>
  </r>
  <r>
    <x v="0"/>
    <x v="0"/>
    <s v="3570 J"/>
    <x v="61"/>
    <s v="Golden Green Vally"/>
    <s v="LDN"/>
    <n v="9"/>
    <s v="14-14.5"/>
    <s v="پیور"/>
    <n v="100"/>
    <x v="0"/>
    <n v="1"/>
    <n v="50.8"/>
    <n v="1.1000000000000001"/>
    <m/>
    <x v="0"/>
    <n v="49.699999999999996"/>
    <s v="ADNAN"/>
    <m/>
    <x v="0"/>
    <x v="0"/>
    <n v="0"/>
    <n v="0"/>
    <x v="0"/>
    <x v="0"/>
    <m/>
    <x v="0"/>
    <x v="0"/>
    <x v="0"/>
    <x v="0"/>
    <x v="0"/>
    <n v="0"/>
    <n v="0"/>
    <n v="0"/>
    <n v="12"/>
    <x v="1"/>
    <x v="0"/>
    <m/>
    <x v="0"/>
    <m/>
    <x v="0"/>
    <x v="2"/>
    <x v="0"/>
    <x v="0"/>
    <x v="0"/>
  </r>
  <r>
    <x v="1"/>
    <x v="0"/>
    <s v="3570 J"/>
    <x v="61"/>
    <s v="Golden Green Vally"/>
    <s v="LDN"/>
    <n v="9"/>
    <s v="14-14.5"/>
    <s v="پیور"/>
    <n v="100"/>
    <x v="0"/>
    <n v="1"/>
    <n v="59"/>
    <n v="1.1000000000000001"/>
    <n v="2"/>
    <x v="0"/>
    <n v="57.9"/>
    <s v="ADNAN"/>
    <m/>
    <x v="0"/>
    <x v="0"/>
    <n v="0"/>
    <n v="0"/>
    <x v="0"/>
    <x v="0"/>
    <m/>
    <x v="0"/>
    <x v="0"/>
    <x v="0"/>
    <x v="0"/>
    <x v="0"/>
    <n v="0"/>
    <n v="0"/>
    <n v="0"/>
    <n v="12"/>
    <x v="1"/>
    <x v="0"/>
    <m/>
    <x v="0"/>
    <m/>
    <x v="0"/>
    <x v="2"/>
    <x v="0"/>
    <x v="0"/>
    <x v="0"/>
  </r>
  <r>
    <x v="1"/>
    <x v="0"/>
    <s v="3596 J"/>
    <x v="61"/>
    <s v="Atlas Honda LTD (SKP)"/>
    <s v="LDN"/>
    <n v="8"/>
    <s v="8.5-9"/>
    <s v="LDN"/>
    <n v="125"/>
    <x v="0"/>
    <n v="3"/>
    <n v="131"/>
    <n v="3"/>
    <m/>
    <x v="0"/>
    <n v="128"/>
    <s v="ADNAN"/>
    <m/>
    <x v="0"/>
    <x v="0"/>
    <n v="0"/>
    <n v="0"/>
    <x v="0"/>
    <x v="0"/>
    <m/>
    <x v="0"/>
    <x v="0"/>
    <x v="0"/>
    <x v="0"/>
    <x v="0"/>
    <n v="0"/>
    <n v="0"/>
    <n v="0"/>
    <n v="12"/>
    <x v="1"/>
    <x v="0"/>
    <m/>
    <x v="0"/>
    <m/>
    <x v="0"/>
    <x v="2"/>
    <x v="0"/>
    <x v="0"/>
    <x v="0"/>
  </r>
  <r>
    <x v="0"/>
    <x v="1"/>
    <s v="3526 J"/>
    <x v="61"/>
    <s v="Plain Tape Lafafa"/>
    <s v="LDN"/>
    <n v="8.5"/>
    <s v="8.5-9"/>
    <s v="پیور"/>
    <n v="1000"/>
    <x v="0"/>
    <n v="4"/>
    <n v="149.60000000000002"/>
    <n v="4.2"/>
    <n v="20"/>
    <x v="0"/>
    <n v="145.40000000000003"/>
    <s v="ADNAN"/>
    <m/>
    <x v="0"/>
    <x v="0"/>
    <n v="0"/>
    <n v="0"/>
    <x v="0"/>
    <x v="0"/>
    <m/>
    <x v="0"/>
    <x v="0"/>
    <x v="0"/>
    <x v="0"/>
    <x v="0"/>
    <n v="0"/>
    <n v="0"/>
    <n v="0"/>
    <n v="12"/>
    <x v="1"/>
    <x v="0"/>
    <m/>
    <x v="0"/>
    <m/>
    <x v="0"/>
    <x v="2"/>
    <x v="0"/>
    <x v="0"/>
    <x v="0"/>
  </r>
  <r>
    <x v="0"/>
    <x v="2"/>
    <s v="3574 J"/>
    <x v="61"/>
    <s v="Plain Lafafa"/>
    <s v="LD بلیو"/>
    <n v="12"/>
    <s v="8-8.5"/>
    <s v="ABA تھینکیو"/>
    <n v="200"/>
    <x v="0"/>
    <n v="3"/>
    <n v="204"/>
    <n v="4.5"/>
    <m/>
    <x v="0"/>
    <n v="199.5"/>
    <s v="ADNAN"/>
    <m/>
    <x v="0"/>
    <x v="0"/>
    <n v="0"/>
    <n v="0"/>
    <x v="0"/>
    <x v="0"/>
    <m/>
    <x v="0"/>
    <x v="0"/>
    <x v="0"/>
    <x v="0"/>
    <x v="0"/>
    <n v="0"/>
    <n v="0"/>
    <n v="0"/>
    <n v="12"/>
    <x v="1"/>
    <x v="0"/>
    <m/>
    <x v="0"/>
    <m/>
    <x v="0"/>
    <x v="2"/>
    <x v="0"/>
    <x v="0"/>
    <x v="0"/>
  </r>
  <r>
    <x v="0"/>
    <x v="2"/>
    <s v="3597 J"/>
    <x v="61"/>
    <s v="PPRC (IIL)"/>
    <s v="LD پیلا"/>
    <s v="300 MM"/>
    <s v="48-50"/>
    <s v="-"/>
    <n v="3500"/>
    <x v="0"/>
    <n v="1"/>
    <n v="321.20000000000005"/>
    <n v="3.3"/>
    <n v="75"/>
    <x v="0"/>
    <n v="317.90000000000003"/>
    <s v="ADNAN"/>
    <m/>
    <x v="0"/>
    <x v="0"/>
    <n v="0"/>
    <n v="0"/>
    <x v="0"/>
    <x v="0"/>
    <m/>
    <x v="0"/>
    <x v="0"/>
    <x v="0"/>
    <x v="0"/>
    <x v="0"/>
    <n v="0"/>
    <n v="0"/>
    <n v="0"/>
    <n v="12"/>
    <x v="1"/>
    <x v="0"/>
    <m/>
    <x v="0"/>
    <m/>
    <x v="0"/>
    <x v="2"/>
    <x v="0"/>
    <x v="0"/>
    <x v="0"/>
  </r>
  <r>
    <x v="1"/>
    <x v="2"/>
    <s v="3500 J"/>
    <x v="61"/>
    <s v="Sadiq Interlinings + Dot Coating Express"/>
    <s v="LD گرے"/>
    <n v="14"/>
    <s v="20-20.5"/>
    <s v="ABA تھینکیو"/>
    <n v="100"/>
    <x v="0"/>
    <n v="2"/>
    <n v="103.2"/>
    <n v="3.2"/>
    <n v="43"/>
    <x v="0"/>
    <n v="100"/>
    <s v="ADNAN"/>
    <m/>
    <x v="0"/>
    <x v="0"/>
    <n v="0"/>
    <n v="0"/>
    <x v="0"/>
    <x v="0"/>
    <m/>
    <x v="0"/>
    <x v="0"/>
    <x v="0"/>
    <x v="0"/>
    <x v="0"/>
    <n v="0"/>
    <n v="0"/>
    <n v="0"/>
    <n v="12"/>
    <x v="1"/>
    <x v="0"/>
    <m/>
    <x v="0"/>
    <m/>
    <x v="0"/>
    <x v="2"/>
    <x v="0"/>
    <x v="0"/>
    <x v="0"/>
  </r>
  <r>
    <x v="1"/>
    <x v="2"/>
    <s v="3597 J"/>
    <x v="61"/>
    <s v="PPRC (IIL)"/>
    <s v="LD پیلا"/>
    <s v="300 MM"/>
    <s v="48-50"/>
    <s v="-"/>
    <n v="3500"/>
    <x v="0"/>
    <n v="2"/>
    <n v="223.6"/>
    <n v="2.8"/>
    <m/>
    <x v="0"/>
    <n v="220.79999999999998"/>
    <s v="ADNAN"/>
    <m/>
    <x v="0"/>
    <x v="0"/>
    <n v="0"/>
    <n v="0"/>
    <x v="0"/>
    <x v="0"/>
    <m/>
    <x v="0"/>
    <x v="0"/>
    <x v="0"/>
    <x v="0"/>
    <x v="0"/>
    <n v="0"/>
    <n v="0"/>
    <n v="0"/>
    <n v="12"/>
    <x v="1"/>
    <x v="0"/>
    <m/>
    <x v="0"/>
    <m/>
    <x v="0"/>
    <x v="2"/>
    <x v="0"/>
    <x v="0"/>
    <x v="0"/>
  </r>
  <r>
    <x v="0"/>
    <x v="3"/>
    <m/>
    <x v="61"/>
    <s v="-"/>
    <s v="-"/>
    <s v="-"/>
    <s v="-"/>
    <s v="-"/>
    <s v="-"/>
    <x v="0"/>
    <n v="2"/>
    <n v="106.6"/>
    <n v="3.6"/>
    <m/>
    <x v="0"/>
    <n v="103"/>
    <s v="ADNAN"/>
    <m/>
    <x v="0"/>
    <x v="0"/>
    <n v="0"/>
    <n v="0"/>
    <x v="0"/>
    <x v="0"/>
    <m/>
    <x v="0"/>
    <x v="0"/>
    <x v="0"/>
    <x v="0"/>
    <x v="0"/>
    <n v="0"/>
    <n v="0"/>
    <n v="0"/>
    <n v="12"/>
    <x v="1"/>
    <x v="0"/>
    <m/>
    <x v="0"/>
    <m/>
    <x v="0"/>
    <x v="2"/>
    <x v="0"/>
    <x v="0"/>
    <x v="0"/>
  </r>
  <r>
    <x v="0"/>
    <x v="3"/>
    <s v="3536 J"/>
    <x v="61"/>
    <s v="Bannu Wollen Mills"/>
    <s v="LDN"/>
    <n v="14"/>
    <s v="10-10.5"/>
    <s v="پیور"/>
    <n v="200"/>
    <x v="0"/>
    <n v="3"/>
    <n v="157.4"/>
    <n v="5.4"/>
    <m/>
    <x v="0"/>
    <n v="152"/>
    <s v="ADNAN"/>
    <m/>
    <x v="0"/>
    <x v="0"/>
    <n v="0"/>
    <n v="0"/>
    <x v="0"/>
    <x v="0"/>
    <m/>
    <x v="0"/>
    <x v="0"/>
    <x v="0"/>
    <x v="0"/>
    <x v="0"/>
    <n v="0"/>
    <n v="0"/>
    <n v="0"/>
    <n v="12"/>
    <x v="1"/>
    <x v="0"/>
    <m/>
    <x v="0"/>
    <m/>
    <x v="0"/>
    <x v="2"/>
    <x v="0"/>
    <x v="0"/>
    <x v="0"/>
  </r>
  <r>
    <x v="1"/>
    <x v="3"/>
    <s v="3536 J"/>
    <x v="61"/>
    <s v="Bannu Wollen Mills"/>
    <s v="LDN"/>
    <n v="14"/>
    <s v="10-10.5"/>
    <s v="پیور"/>
    <n v="200"/>
    <x v="0"/>
    <n v="1"/>
    <n v="41.8"/>
    <n v="1.8"/>
    <n v="6"/>
    <x v="0"/>
    <n v="40"/>
    <s v="ADNAN"/>
    <m/>
    <x v="0"/>
    <x v="0"/>
    <n v="0"/>
    <n v="0"/>
    <x v="0"/>
    <x v="0"/>
    <m/>
    <x v="0"/>
    <x v="0"/>
    <x v="0"/>
    <x v="0"/>
    <x v="0"/>
    <n v="0"/>
    <n v="0"/>
    <n v="0"/>
    <n v="12"/>
    <x v="1"/>
    <x v="0"/>
    <m/>
    <x v="0"/>
    <m/>
    <x v="0"/>
    <x v="2"/>
    <x v="0"/>
    <x v="0"/>
    <x v="0"/>
  </r>
  <r>
    <x v="1"/>
    <x v="3"/>
    <s v="1974 F"/>
    <x v="61"/>
    <s v="PLAY FIT WARNING"/>
    <s v="LDN"/>
    <n v="15"/>
    <s v="12"/>
    <s v="پیور"/>
    <n v="400"/>
    <x v="0"/>
    <n v="4"/>
    <n v="205.39999999999998"/>
    <n v="4.8"/>
    <m/>
    <x v="0"/>
    <n v="200.59999999999997"/>
    <s v="ADNAN"/>
    <m/>
    <x v="0"/>
    <x v="0"/>
    <n v="0"/>
    <n v="0"/>
    <x v="0"/>
    <x v="0"/>
    <m/>
    <x v="0"/>
    <x v="0"/>
    <x v="0"/>
    <x v="0"/>
    <x v="0"/>
    <n v="0"/>
    <n v="0"/>
    <n v="0"/>
    <n v="12"/>
    <x v="1"/>
    <x v="0"/>
    <m/>
    <x v="0"/>
    <m/>
    <x v="0"/>
    <x v="2"/>
    <x v="0"/>
    <x v="0"/>
    <x v="0"/>
  </r>
  <r>
    <x v="0"/>
    <x v="6"/>
    <s v="1935 F"/>
    <x v="61"/>
    <s v="PLAIN POLY BAG"/>
    <s v="LDN"/>
    <n v="20"/>
    <s v="8"/>
    <s v="پیور"/>
    <n v="95"/>
    <x v="0"/>
    <n v="2"/>
    <n v="102.2"/>
    <n v="4.8"/>
    <m/>
    <x v="0"/>
    <n v="97.4"/>
    <s v="ADNAN"/>
    <m/>
    <x v="0"/>
    <x v="0"/>
    <n v="0"/>
    <n v="0"/>
    <x v="0"/>
    <x v="0"/>
    <m/>
    <x v="0"/>
    <x v="0"/>
    <x v="0"/>
    <x v="0"/>
    <x v="0"/>
    <n v="0"/>
    <n v="0"/>
    <n v="0"/>
    <n v="12"/>
    <x v="1"/>
    <x v="0"/>
    <m/>
    <x v="0"/>
    <m/>
    <x v="0"/>
    <x v="2"/>
    <x v="0"/>
    <x v="0"/>
    <x v="0"/>
  </r>
  <r>
    <x v="0"/>
    <x v="6"/>
    <s v="3613 J"/>
    <x v="61"/>
    <s v="Plain Tape Lafafa"/>
    <s v="LDN"/>
    <n v="19"/>
    <s v="9-9.5"/>
    <s v="پیور"/>
    <n v="25"/>
    <x v="0"/>
    <n v="1"/>
    <n v="42.6"/>
    <n v="2.2000000000000002"/>
    <m/>
    <x v="0"/>
    <n v="40.4"/>
    <s v="ADNAN"/>
    <m/>
    <x v="0"/>
    <x v="0"/>
    <n v="0"/>
    <n v="0"/>
    <x v="0"/>
    <x v="0"/>
    <m/>
    <x v="0"/>
    <x v="0"/>
    <x v="0"/>
    <x v="0"/>
    <x v="0"/>
    <n v="0"/>
    <n v="0"/>
    <n v="0"/>
    <n v="12"/>
    <x v="1"/>
    <x v="0"/>
    <m/>
    <x v="0"/>
    <m/>
    <x v="0"/>
    <x v="2"/>
    <x v="0"/>
    <x v="0"/>
    <x v="0"/>
  </r>
  <r>
    <x v="0"/>
    <x v="6"/>
    <s v="1954 F"/>
    <x v="61"/>
    <s v="Walmart Big Warning"/>
    <s v="LDN"/>
    <n v="18"/>
    <s v="8"/>
    <s v="پیور"/>
    <n v="78"/>
    <x v="0"/>
    <n v="3"/>
    <n v="155.4"/>
    <n v="6.6000000000000005"/>
    <m/>
    <x v="0"/>
    <n v="148.80000000000001"/>
    <s v="ADNAN"/>
    <m/>
    <x v="0"/>
    <x v="0"/>
    <n v="0"/>
    <n v="0"/>
    <x v="0"/>
    <x v="0"/>
    <m/>
    <x v="0"/>
    <x v="0"/>
    <x v="0"/>
    <x v="0"/>
    <x v="0"/>
    <n v="0"/>
    <n v="0"/>
    <n v="0"/>
    <n v="12"/>
    <x v="1"/>
    <x v="0"/>
    <m/>
    <x v="0"/>
    <m/>
    <x v="0"/>
    <x v="2"/>
    <x v="0"/>
    <x v="0"/>
    <x v="0"/>
  </r>
  <r>
    <x v="0"/>
    <x v="6"/>
    <s v="1952 F"/>
    <x v="61"/>
    <s v="Walmart Small Warning"/>
    <s v="LDN"/>
    <n v="18"/>
    <s v="7.5-8"/>
    <s v="پیور"/>
    <n v="440"/>
    <x v="0"/>
    <n v="3"/>
    <n v="180.2"/>
    <n v="6.6000000000000005"/>
    <m/>
    <x v="0"/>
    <n v="173.6"/>
    <s v="ADNAN"/>
    <m/>
    <x v="0"/>
    <x v="0"/>
    <n v="0"/>
    <n v="0"/>
    <x v="0"/>
    <x v="0"/>
    <m/>
    <x v="0"/>
    <x v="0"/>
    <x v="0"/>
    <x v="0"/>
    <x v="0"/>
    <n v="0"/>
    <n v="0"/>
    <n v="0"/>
    <n v="12"/>
    <x v="1"/>
    <x v="0"/>
    <m/>
    <x v="0"/>
    <m/>
    <x v="0"/>
    <x v="2"/>
    <x v="0"/>
    <x v="0"/>
    <x v="0"/>
  </r>
  <r>
    <x v="1"/>
    <x v="6"/>
    <s v="1952 F"/>
    <x v="61"/>
    <s v="Walmart Small Warning"/>
    <s v="LDN"/>
    <n v="18"/>
    <s v="7.5-8"/>
    <s v="پیور"/>
    <n v="440"/>
    <x v="0"/>
    <n v="4"/>
    <n v="272.8"/>
    <n v="8.8000000000000007"/>
    <n v="17"/>
    <x v="0"/>
    <n v="264"/>
    <s v="ADNAN"/>
    <m/>
    <x v="0"/>
    <x v="0"/>
    <n v="0"/>
    <n v="0"/>
    <x v="0"/>
    <x v="0"/>
    <m/>
    <x v="0"/>
    <x v="0"/>
    <x v="0"/>
    <x v="0"/>
    <x v="0"/>
    <n v="0"/>
    <n v="0"/>
    <n v="0"/>
    <n v="12"/>
    <x v="1"/>
    <x v="0"/>
    <m/>
    <x v="0"/>
    <m/>
    <x v="0"/>
    <x v="2"/>
    <x v="0"/>
    <x v="0"/>
    <x v="0"/>
  </r>
  <r>
    <x v="1"/>
    <x v="6"/>
    <n v="2766"/>
    <x v="61"/>
    <s v="MATCO FOOD"/>
    <s v="LDN"/>
    <n v="29"/>
    <s v="88 G+-2"/>
    <s v="SL"/>
    <s v="1800 (40 BAG)"/>
    <x v="0"/>
    <n v="3"/>
    <n v="321.60000000000002"/>
    <n v="10.8"/>
    <m/>
    <x v="0"/>
    <n v="310.8"/>
    <s v="ADNAN"/>
    <m/>
    <x v="0"/>
    <x v="0"/>
    <n v="0"/>
    <n v="0"/>
    <x v="0"/>
    <x v="0"/>
    <m/>
    <x v="0"/>
    <x v="0"/>
    <x v="0"/>
    <x v="0"/>
    <x v="0"/>
    <n v="0"/>
    <n v="0"/>
    <n v="0"/>
    <n v="12"/>
    <x v="1"/>
    <x v="0"/>
    <m/>
    <x v="0"/>
    <m/>
    <x v="0"/>
    <x v="2"/>
    <x v="0"/>
    <x v="0"/>
    <x v="0"/>
  </r>
  <r>
    <x v="0"/>
    <x v="0"/>
    <s v="3523 J"/>
    <x v="62"/>
    <s v="Al Burak Deparmental Store"/>
    <s v="LDN"/>
    <n v="8"/>
    <s v="14-15"/>
    <s v="پیور"/>
    <n v="100"/>
    <x v="0"/>
    <n v="2"/>
    <n v="107"/>
    <n v="2"/>
    <m/>
    <x v="0"/>
    <n v="105"/>
    <s v="ADNAN"/>
    <n v="3"/>
    <x v="0"/>
    <x v="0"/>
    <n v="3"/>
    <n v="0.05"/>
    <x v="0"/>
    <x v="0"/>
    <m/>
    <x v="0"/>
    <x v="0"/>
    <x v="0"/>
    <x v="0"/>
    <x v="0"/>
    <n v="0"/>
    <n v="0"/>
    <n v="0.05"/>
    <n v="11.95"/>
    <x v="1"/>
    <x v="0"/>
    <m/>
    <x v="0"/>
    <m/>
    <x v="0"/>
    <x v="2"/>
    <x v="0"/>
    <x v="0"/>
    <x v="0"/>
  </r>
  <r>
    <x v="0"/>
    <x v="0"/>
    <s v="3522 J"/>
    <x v="62"/>
    <s v="Al Burak Deparmental Store"/>
    <s v="LDN"/>
    <n v="7"/>
    <s v="14-15"/>
    <s v="پیور"/>
    <n v="100"/>
    <x v="0"/>
    <n v="1"/>
    <n v="55.6"/>
    <n v="1"/>
    <m/>
    <x v="0"/>
    <n v="54.6"/>
    <s v="ADNAN"/>
    <m/>
    <x v="0"/>
    <x v="0"/>
    <n v="0"/>
    <n v="0"/>
    <x v="0"/>
    <x v="0"/>
    <m/>
    <x v="0"/>
    <x v="0"/>
    <x v="0"/>
    <x v="0"/>
    <x v="0"/>
    <n v="0"/>
    <n v="0"/>
    <n v="0"/>
    <n v="12"/>
    <x v="1"/>
    <x v="0"/>
    <m/>
    <x v="0"/>
    <m/>
    <x v="0"/>
    <x v="2"/>
    <x v="0"/>
    <x v="0"/>
    <x v="0"/>
  </r>
  <r>
    <x v="1"/>
    <x v="0"/>
    <s v="3522 J"/>
    <x v="62"/>
    <s v="Al Burak Deparmental Store"/>
    <s v="LDN"/>
    <n v="7"/>
    <s v="14-15"/>
    <s v="پیور"/>
    <n v="100"/>
    <x v="0"/>
    <n v="1"/>
    <n v="59.8"/>
    <n v="0.9"/>
    <n v="4"/>
    <x v="0"/>
    <n v="58.9"/>
    <s v="ADNAN"/>
    <m/>
    <x v="0"/>
    <x v="0"/>
    <n v="0"/>
    <n v="0"/>
    <x v="0"/>
    <x v="0"/>
    <m/>
    <x v="0"/>
    <x v="0"/>
    <x v="0"/>
    <x v="0"/>
    <x v="0"/>
    <n v="0"/>
    <n v="0"/>
    <n v="0"/>
    <n v="12"/>
    <x v="1"/>
    <x v="0"/>
    <m/>
    <x v="0"/>
    <m/>
    <x v="0"/>
    <x v="2"/>
    <x v="0"/>
    <x v="0"/>
    <x v="0"/>
  </r>
  <r>
    <x v="1"/>
    <x v="0"/>
    <s v="3499 J"/>
    <x v="62"/>
    <s v="Rose Plus Hard"/>
    <s v="LDN"/>
    <n v="14"/>
    <s v="20-20.5"/>
    <s v="پیور"/>
    <n v="200"/>
    <x v="0"/>
    <n v="2"/>
    <n v="126.80000000000001"/>
    <n v="2.4"/>
    <m/>
    <x v="0"/>
    <n v="124.4"/>
    <s v="ADNAN"/>
    <m/>
    <x v="0"/>
    <x v="0"/>
    <n v="0"/>
    <n v="0"/>
    <x v="0"/>
    <x v="0"/>
    <m/>
    <x v="0"/>
    <x v="0"/>
    <x v="0"/>
    <x v="0"/>
    <x v="0"/>
    <n v="0"/>
    <n v="0"/>
    <n v="0"/>
    <n v="12"/>
    <x v="1"/>
    <x v="0"/>
    <m/>
    <x v="0"/>
    <m/>
    <x v="0"/>
    <x v="2"/>
    <x v="0"/>
    <x v="0"/>
    <x v="0"/>
  </r>
  <r>
    <x v="0"/>
    <x v="1"/>
    <n v="2779"/>
    <x v="62"/>
    <s v="PT-01"/>
    <s v="LD سرخ"/>
    <n v="12"/>
    <n v="80"/>
    <s v="سرخ گٹکا"/>
    <s v="5 گٹکے"/>
    <x v="0"/>
    <n v="5"/>
    <n v="133.6"/>
    <n v="0.6"/>
    <n v="15"/>
    <x v="0"/>
    <n v="133"/>
    <s v="ADNAN"/>
    <n v="10"/>
    <x v="0"/>
    <x v="0"/>
    <n v="10"/>
    <n v="0.16666666666666666"/>
    <x v="0"/>
    <x v="0"/>
    <m/>
    <x v="0"/>
    <x v="0"/>
    <x v="0"/>
    <x v="0"/>
    <x v="0"/>
    <n v="0"/>
    <n v="0"/>
    <n v="0.16666666666666666"/>
    <n v="11.833333333333334"/>
    <x v="1"/>
    <x v="0"/>
    <m/>
    <x v="0"/>
    <m/>
    <x v="0"/>
    <x v="2"/>
    <x v="0"/>
    <x v="0"/>
    <x v="0"/>
  </r>
  <r>
    <x v="0"/>
    <x v="1"/>
    <n v="2778"/>
    <x v="62"/>
    <s v="PT-01"/>
    <s v="LD سرخ"/>
    <n v="12"/>
    <n v="70"/>
    <s v="سرخ گٹکا"/>
    <s v="10 گٹکے"/>
    <x v="0"/>
    <n v="3"/>
    <n v="82.199999999999989"/>
    <n v="0.36"/>
    <m/>
    <x v="0"/>
    <n v="81.839999999999989"/>
    <s v="ADNAN"/>
    <m/>
    <x v="0"/>
    <x v="0"/>
    <n v="0"/>
    <n v="0"/>
    <x v="0"/>
    <x v="0"/>
    <m/>
    <x v="0"/>
    <x v="0"/>
    <x v="0"/>
    <x v="0"/>
    <x v="0"/>
    <n v="0"/>
    <n v="0"/>
    <n v="0"/>
    <n v="12"/>
    <x v="1"/>
    <x v="0"/>
    <m/>
    <x v="0"/>
    <m/>
    <x v="0"/>
    <x v="2"/>
    <x v="0"/>
    <x v="0"/>
    <x v="0"/>
  </r>
  <r>
    <x v="1"/>
    <x v="1"/>
    <n v="2778"/>
    <x v="62"/>
    <s v="PT-01"/>
    <s v="LD سرخ"/>
    <n v="12"/>
    <n v="70"/>
    <s v="سرخ گٹکا"/>
    <s v="10 گٹکے"/>
    <x v="0"/>
    <n v="7"/>
    <n v="180.9"/>
    <n v="0.84"/>
    <n v="23"/>
    <x v="0"/>
    <n v="180.06"/>
    <s v="ADNAN"/>
    <m/>
    <x v="0"/>
    <x v="0"/>
    <n v="0"/>
    <n v="0"/>
    <x v="0"/>
    <x v="0"/>
    <m/>
    <x v="0"/>
    <x v="0"/>
    <x v="0"/>
    <x v="0"/>
    <x v="0"/>
    <n v="0"/>
    <n v="0"/>
    <n v="0"/>
    <n v="12"/>
    <x v="1"/>
    <x v="0"/>
    <m/>
    <x v="0"/>
    <m/>
    <x v="0"/>
    <x v="2"/>
    <x v="0"/>
    <x v="0"/>
    <x v="0"/>
  </r>
  <r>
    <x v="1"/>
    <x v="1"/>
    <n v="2777"/>
    <x v="62"/>
    <s v="PT-01"/>
    <s v="LD سرخ"/>
    <n v="10"/>
    <n v="70"/>
    <s v="سرخ گٹکا"/>
    <s v="10 گٹکے"/>
    <x v="0"/>
    <n v="8"/>
    <n v="198.49999999999997"/>
    <n v="0.8"/>
    <m/>
    <x v="0"/>
    <n v="197.69999999999996"/>
    <s v="ADNAN"/>
    <m/>
    <x v="0"/>
    <x v="0"/>
    <n v="0"/>
    <n v="0"/>
    <x v="0"/>
    <x v="0"/>
    <m/>
    <x v="0"/>
    <x v="0"/>
    <x v="0"/>
    <x v="0"/>
    <x v="0"/>
    <n v="0"/>
    <n v="0"/>
    <n v="0"/>
    <n v="12"/>
    <x v="1"/>
    <x v="0"/>
    <m/>
    <x v="0"/>
    <m/>
    <x v="0"/>
    <x v="2"/>
    <x v="0"/>
    <x v="0"/>
    <x v="0"/>
  </r>
  <r>
    <x v="0"/>
    <x v="2"/>
    <s v="3597 J"/>
    <x v="62"/>
    <s v="PPRC (IIL)"/>
    <s v="LD پیلا"/>
    <s v="300 MM"/>
    <s v="48-50"/>
    <s v="-"/>
    <n v="3500"/>
    <x v="0"/>
    <n v="4"/>
    <n v="511.99999999999994"/>
    <n v="5.9"/>
    <m/>
    <x v="0"/>
    <n v="506.09999999999997"/>
    <s v="ADNAN"/>
    <m/>
    <x v="0"/>
    <x v="0"/>
    <n v="0"/>
    <n v="0"/>
    <x v="0"/>
    <x v="0"/>
    <m/>
    <x v="0"/>
    <x v="0"/>
    <x v="0"/>
    <x v="0"/>
    <x v="0"/>
    <n v="0"/>
    <n v="0"/>
    <n v="0"/>
    <n v="12"/>
    <x v="1"/>
    <x v="0"/>
    <m/>
    <x v="0"/>
    <m/>
    <x v="0"/>
    <x v="2"/>
    <x v="0"/>
    <x v="0"/>
    <x v="0"/>
  </r>
  <r>
    <x v="1"/>
    <x v="2"/>
    <s v="3597 J"/>
    <x v="62"/>
    <s v="PPRC (IIL)"/>
    <s v="LD پیلا"/>
    <s v="300 MM"/>
    <s v="48-50"/>
    <s v="-"/>
    <n v="3500"/>
    <x v="0"/>
    <n v="3"/>
    <n v="446.2"/>
    <n v="4.1999999999999993"/>
    <n v="0.5"/>
    <x v="0"/>
    <n v="442"/>
    <s v="ADNAN"/>
    <m/>
    <x v="0"/>
    <x v="0"/>
    <n v="0"/>
    <n v="0"/>
    <x v="0"/>
    <x v="0"/>
    <m/>
    <x v="0"/>
    <x v="0"/>
    <x v="0"/>
    <x v="0"/>
    <x v="0"/>
    <n v="0"/>
    <n v="0"/>
    <n v="0"/>
    <n v="12"/>
    <x v="1"/>
    <x v="0"/>
    <m/>
    <x v="0"/>
    <m/>
    <x v="0"/>
    <x v="2"/>
    <x v="0"/>
    <x v="0"/>
    <x v="0"/>
  </r>
  <r>
    <x v="0"/>
    <x v="3"/>
    <s v="1974 F"/>
    <x v="62"/>
    <s v="PLAY FIT WARNING"/>
    <s v="LDN"/>
    <n v="15"/>
    <s v="12"/>
    <s v="پیور"/>
    <n v="400"/>
    <x v="0"/>
    <n v="4"/>
    <n v="218.2"/>
    <n v="7"/>
    <n v="10"/>
    <x v="0"/>
    <n v="211.2"/>
    <s v="ADNAN"/>
    <m/>
    <x v="0"/>
    <x v="0"/>
    <n v="0"/>
    <n v="0"/>
    <x v="0"/>
    <x v="0"/>
    <m/>
    <x v="0"/>
    <x v="0"/>
    <x v="0"/>
    <x v="0"/>
    <x v="0"/>
    <n v="0"/>
    <n v="0"/>
    <n v="0"/>
    <n v="12"/>
    <x v="1"/>
    <x v="0"/>
    <m/>
    <x v="0"/>
    <m/>
    <x v="0"/>
    <x v="2"/>
    <x v="0"/>
    <x v="0"/>
    <x v="0"/>
  </r>
  <r>
    <x v="0"/>
    <x v="3"/>
    <s v="3606 J"/>
    <x v="62"/>
    <s v="Plain Lafafa IHSAN Cotton "/>
    <s v="LDN"/>
    <n v="22"/>
    <n v="6"/>
    <s v="AA کولٹی"/>
    <n v="800"/>
    <x v="0"/>
    <n v="2"/>
    <n v="130"/>
    <n v="0.44"/>
    <m/>
    <x v="0"/>
    <n v="129.56"/>
    <s v="ADNAN"/>
    <m/>
    <x v="0"/>
    <x v="0"/>
    <n v="0"/>
    <n v="0"/>
    <x v="0"/>
    <x v="0"/>
    <m/>
    <x v="0"/>
    <x v="0"/>
    <x v="0"/>
    <x v="0"/>
    <x v="0"/>
    <n v="0"/>
    <n v="0"/>
    <n v="0"/>
    <n v="12"/>
    <x v="1"/>
    <x v="0"/>
    <m/>
    <x v="0"/>
    <m/>
    <x v="0"/>
    <x v="2"/>
    <x v="0"/>
    <x v="0"/>
    <x v="0"/>
  </r>
  <r>
    <x v="1"/>
    <x v="3"/>
    <s v="3606 J"/>
    <x v="62"/>
    <s v="Plain Lafafa IHSAN Cotton "/>
    <s v="LDN"/>
    <n v="22"/>
    <n v="6"/>
    <s v="AA کولٹی"/>
    <n v="800"/>
    <x v="0"/>
    <n v="6"/>
    <n v="350.8"/>
    <n v="14.599999999999998"/>
    <n v="3"/>
    <x v="0"/>
    <n v="336.2"/>
    <s v="ADNAN"/>
    <n v="15"/>
    <x v="0"/>
    <x v="0"/>
    <n v="15"/>
    <n v="0.25"/>
    <x v="0"/>
    <x v="0"/>
    <m/>
    <x v="0"/>
    <x v="0"/>
    <x v="0"/>
    <x v="0"/>
    <x v="0"/>
    <n v="0"/>
    <n v="0"/>
    <n v="0.25"/>
    <n v="11.75"/>
    <x v="1"/>
    <x v="0"/>
    <m/>
    <x v="0"/>
    <m/>
    <x v="0"/>
    <x v="2"/>
    <x v="0"/>
    <x v="0"/>
    <x v="0"/>
  </r>
  <r>
    <x v="1"/>
    <x v="3"/>
    <s v="3606 J"/>
    <x v="62"/>
    <s v="Plain Lafafa IHSAN Cotton "/>
    <s v="LDN"/>
    <n v="22"/>
    <n v="6"/>
    <s v="AA کولٹی"/>
    <n v="800"/>
    <x v="0"/>
    <n v="1"/>
    <n v="69.8"/>
    <n v="2.8"/>
    <m/>
    <x v="0"/>
    <n v="67"/>
    <s v="ADNAN"/>
    <m/>
    <x v="0"/>
    <x v="0"/>
    <n v="0"/>
    <n v="0"/>
    <x v="0"/>
    <x v="0"/>
    <m/>
    <x v="0"/>
    <x v="0"/>
    <x v="0"/>
    <x v="0"/>
    <x v="0"/>
    <n v="0"/>
    <n v="0"/>
    <n v="0"/>
    <n v="12"/>
    <x v="1"/>
    <x v="0"/>
    <m/>
    <x v="0"/>
    <m/>
    <x v="0"/>
    <x v="2"/>
    <x v="0"/>
    <x v="0"/>
    <x v="0"/>
  </r>
  <r>
    <x v="0"/>
    <x v="4"/>
    <n v="2766"/>
    <x v="62"/>
    <s v="MATCO FOOD"/>
    <s v="LDN"/>
    <n v="29"/>
    <s v="88 G+-2"/>
    <s v="SL"/>
    <s v="1800 (40 BAG)"/>
    <x v="0"/>
    <n v="2"/>
    <n v="155.4"/>
    <n v="7.2"/>
    <n v="15"/>
    <x v="0"/>
    <n v="148.20000000000002"/>
    <s v="ADNAN"/>
    <n v="5"/>
    <x v="0"/>
    <x v="0"/>
    <n v="5"/>
    <n v="8.3333333333333329E-2"/>
    <x v="0"/>
    <x v="0"/>
    <m/>
    <x v="0"/>
    <x v="0"/>
    <x v="0"/>
    <x v="0"/>
    <x v="0"/>
    <n v="0"/>
    <n v="0"/>
    <n v="8.3333333333333329E-2"/>
    <n v="11.916666666666666"/>
    <x v="1"/>
    <x v="0"/>
    <m/>
    <x v="0"/>
    <m/>
    <x v="0"/>
    <x v="2"/>
    <x v="0"/>
    <x v="0"/>
    <x v="0"/>
  </r>
  <r>
    <x v="0"/>
    <x v="4"/>
    <s v="1985 F"/>
    <x v="62"/>
    <s v="ONLY BLEAND WARNING"/>
    <s v="LDN"/>
    <n v="33.5"/>
    <s v="7-7.5"/>
    <s v="جیلانی شیٹ"/>
    <n v="120"/>
    <x v="0"/>
    <n v="2"/>
    <n v="152"/>
    <n v="8"/>
    <m/>
    <x v="0"/>
    <n v="144"/>
    <s v="ADNAN"/>
    <m/>
    <x v="0"/>
    <x v="0"/>
    <n v="0"/>
    <n v="0"/>
    <x v="0"/>
    <x v="0"/>
    <m/>
    <x v="0"/>
    <x v="0"/>
    <x v="0"/>
    <x v="0"/>
    <x v="0"/>
    <n v="0"/>
    <n v="0"/>
    <n v="0"/>
    <n v="12"/>
    <x v="1"/>
    <x v="0"/>
    <m/>
    <x v="0"/>
    <m/>
    <x v="0"/>
    <x v="2"/>
    <x v="0"/>
    <x v="0"/>
    <x v="0"/>
  </r>
  <r>
    <x v="0"/>
    <x v="4"/>
    <s v="3605 J"/>
    <x v="62"/>
    <s v="Plain Lafafa IHSAN Cotton "/>
    <s v="LDN"/>
    <n v="40"/>
    <n v="6"/>
    <s v="AA کولٹی"/>
    <n v="750"/>
    <x v="0"/>
    <n v="8"/>
    <n v="617.20000000000005"/>
    <n v="36.799999999999997"/>
    <m/>
    <x v="0"/>
    <n v="580.40000000000009"/>
    <s v="ADNAN"/>
    <n v="10"/>
    <x v="0"/>
    <x v="0"/>
    <n v="10"/>
    <n v="0.16666666666666666"/>
    <x v="0"/>
    <x v="0"/>
    <m/>
    <x v="0"/>
    <x v="0"/>
    <x v="0"/>
    <x v="0"/>
    <x v="0"/>
    <n v="0"/>
    <n v="0"/>
    <n v="0.16666666666666666"/>
    <n v="11.833333333333334"/>
    <x v="1"/>
    <x v="0"/>
    <m/>
    <x v="0"/>
    <m/>
    <x v="0"/>
    <x v="2"/>
    <x v="0"/>
    <x v="0"/>
    <x v="0"/>
  </r>
  <r>
    <x v="1"/>
    <x v="4"/>
    <s v="3605 J"/>
    <x v="62"/>
    <s v="Plain Lafafa IHSAN Cotton "/>
    <s v="LDN"/>
    <n v="40"/>
    <n v="6"/>
    <s v="AA کولٹی"/>
    <n v="750"/>
    <x v="0"/>
    <n v="2"/>
    <n v="187.2"/>
    <n v="9.1999999999999993"/>
    <n v="8"/>
    <x v="0"/>
    <n v="178"/>
    <s v="ADNAN"/>
    <m/>
    <x v="0"/>
    <x v="0"/>
    <n v="0"/>
    <n v="0"/>
    <x v="0"/>
    <x v="0"/>
    <m/>
    <x v="0"/>
    <x v="0"/>
    <x v="0"/>
    <x v="0"/>
    <x v="0"/>
    <n v="0"/>
    <n v="0"/>
    <n v="0"/>
    <n v="12"/>
    <x v="1"/>
    <x v="0"/>
    <m/>
    <x v="0"/>
    <m/>
    <x v="0"/>
    <x v="2"/>
    <x v="0"/>
    <x v="0"/>
    <x v="0"/>
  </r>
  <r>
    <x v="1"/>
    <x v="4"/>
    <s v="3605 J"/>
    <x v="62"/>
    <s v="Plain Lafafa IHSAN Cotton "/>
    <s v="LDN"/>
    <n v="40"/>
    <n v="6"/>
    <s v="AA کولٹی"/>
    <n v="750"/>
    <x v="0"/>
    <n v="6"/>
    <n v="451.4"/>
    <n v="27.599999999999998"/>
    <m/>
    <x v="0"/>
    <n v="423.79999999999995"/>
    <s v="ADNAN"/>
    <n v="5"/>
    <x v="0"/>
    <x v="0"/>
    <n v="5"/>
    <n v="8.3333333333333329E-2"/>
    <x v="0"/>
    <x v="0"/>
    <m/>
    <x v="0"/>
    <x v="0"/>
    <x v="0"/>
    <x v="0"/>
    <x v="0"/>
    <n v="0"/>
    <n v="0"/>
    <n v="8.3333333333333329E-2"/>
    <n v="11.916666666666666"/>
    <x v="1"/>
    <x v="0"/>
    <m/>
    <x v="0"/>
    <m/>
    <x v="0"/>
    <x v="2"/>
    <x v="0"/>
    <x v="0"/>
    <x v="0"/>
  </r>
  <r>
    <x v="1"/>
    <x v="4"/>
    <s v="3605 J"/>
    <x v="62"/>
    <s v="Plain Lafafa IHSAN Cotton "/>
    <s v="LDN"/>
    <n v="40"/>
    <n v="6"/>
    <s v="AA کولٹی"/>
    <n v="750"/>
    <x v="0"/>
    <n v="1"/>
    <n v="75.2"/>
    <n v="4.5999999999999996"/>
    <m/>
    <x v="0"/>
    <n v="70.600000000000009"/>
    <s v="ADNAN"/>
    <m/>
    <x v="0"/>
    <x v="0"/>
    <n v="0"/>
    <n v="0"/>
    <x v="0"/>
    <x v="0"/>
    <m/>
    <x v="0"/>
    <x v="0"/>
    <x v="0"/>
    <x v="0"/>
    <x v="0"/>
    <n v="0"/>
    <n v="0"/>
    <n v="0"/>
    <n v="12"/>
    <x v="1"/>
    <x v="0"/>
    <m/>
    <x v="0"/>
    <m/>
    <x v="0"/>
    <x v="2"/>
    <x v="0"/>
    <x v="0"/>
    <x v="0"/>
  </r>
  <r>
    <x v="1"/>
    <x v="4"/>
    <s v="3604 J"/>
    <x v="62"/>
    <s v="Plain Lafafa IHSAN Cotton "/>
    <s v="LDN"/>
    <n v="24"/>
    <n v="6"/>
    <s v="AA کولٹی"/>
    <n v="200"/>
    <x v="0"/>
    <n v="2"/>
    <n v="136.80000000000001"/>
    <n v="6"/>
    <m/>
    <x v="0"/>
    <n v="130.80000000000001"/>
    <s v="ADNAN"/>
    <m/>
    <x v="0"/>
    <x v="0"/>
    <n v="0"/>
    <n v="0"/>
    <x v="0"/>
    <x v="0"/>
    <m/>
    <x v="0"/>
    <x v="0"/>
    <x v="0"/>
    <x v="0"/>
    <x v="0"/>
    <n v="0"/>
    <n v="0"/>
    <n v="0"/>
    <n v="12"/>
    <x v="1"/>
    <x v="0"/>
    <m/>
    <x v="0"/>
    <m/>
    <x v="0"/>
    <x v="2"/>
    <x v="0"/>
    <x v="0"/>
    <x v="0"/>
  </r>
  <r>
    <x v="0"/>
    <x v="0"/>
    <s v="3499 J"/>
    <x v="63"/>
    <s v="Rose Plus Hard"/>
    <s v="LDN"/>
    <n v="14"/>
    <s v="20-20.5"/>
    <s v="پیور"/>
    <n v="200"/>
    <x v="0"/>
    <n v="2"/>
    <n v="79.400000000000006"/>
    <n v="2.4"/>
    <m/>
    <x v="0"/>
    <n v="77"/>
    <s v="ADNAN"/>
    <m/>
    <x v="0"/>
    <x v="0"/>
    <n v="0"/>
    <n v="0"/>
    <x v="0"/>
    <x v="0"/>
    <m/>
    <x v="0"/>
    <x v="0"/>
    <x v="0"/>
    <x v="0"/>
    <x v="0"/>
    <n v="0"/>
    <n v="0"/>
    <n v="0"/>
    <n v="12"/>
    <x v="1"/>
    <x v="0"/>
    <m/>
    <x v="0"/>
    <m/>
    <x v="0"/>
    <x v="2"/>
    <x v="0"/>
    <x v="0"/>
    <x v="0"/>
  </r>
  <r>
    <x v="0"/>
    <x v="0"/>
    <s v="3625 J"/>
    <x v="63"/>
    <s v="KGS Aluminium"/>
    <s v="LDN"/>
    <n v="7"/>
    <s v="10"/>
    <s v="پیور"/>
    <n v="50"/>
    <x v="0"/>
    <n v="1"/>
    <n v="57.2"/>
    <n v="1"/>
    <m/>
    <x v="0"/>
    <n v="56.2"/>
    <s v="ADNAN"/>
    <m/>
    <x v="0"/>
    <x v="0"/>
    <n v="0"/>
    <n v="0"/>
    <x v="0"/>
    <x v="0"/>
    <m/>
    <x v="0"/>
    <x v="0"/>
    <x v="0"/>
    <x v="0"/>
    <x v="0"/>
    <n v="0"/>
    <n v="0"/>
    <n v="0"/>
    <n v="12"/>
    <x v="1"/>
    <x v="0"/>
    <m/>
    <x v="0"/>
    <m/>
    <x v="0"/>
    <x v="2"/>
    <x v="0"/>
    <x v="0"/>
    <x v="0"/>
  </r>
  <r>
    <x v="0"/>
    <x v="0"/>
    <s v="3564 J"/>
    <x v="63"/>
    <s v="KGS Aluminium"/>
    <s v="LDN"/>
    <n v="6"/>
    <s v="10"/>
    <s v="پیور"/>
    <n v="150"/>
    <x v="0"/>
    <n v="2"/>
    <n v="97.800000000000011"/>
    <n v="1.7000000000000002"/>
    <m/>
    <x v="0"/>
    <n v="96.100000000000009"/>
    <s v="ADNAN"/>
    <m/>
    <x v="0"/>
    <x v="0"/>
    <n v="0"/>
    <n v="0"/>
    <x v="0"/>
    <x v="0"/>
    <m/>
    <x v="0"/>
    <x v="0"/>
    <x v="0"/>
    <x v="0"/>
    <x v="0"/>
    <n v="0"/>
    <n v="0"/>
    <n v="0"/>
    <n v="12"/>
    <x v="1"/>
    <x v="0"/>
    <m/>
    <x v="0"/>
    <m/>
    <x v="0"/>
    <x v="2"/>
    <x v="0"/>
    <x v="0"/>
    <x v="0"/>
  </r>
  <r>
    <x v="1"/>
    <x v="0"/>
    <s v="3564 J"/>
    <x v="63"/>
    <s v="KGS Aluminium"/>
    <s v="LDN"/>
    <n v="6"/>
    <s v="10"/>
    <s v="پیور"/>
    <n v="150"/>
    <x v="0"/>
    <n v="2"/>
    <n v="59.4"/>
    <n v="1.6"/>
    <n v="3"/>
    <x v="0"/>
    <n v="57.8"/>
    <s v="ADNAN"/>
    <m/>
    <x v="0"/>
    <x v="0"/>
    <n v="0"/>
    <n v="0"/>
    <x v="0"/>
    <x v="0"/>
    <m/>
    <x v="0"/>
    <x v="0"/>
    <x v="0"/>
    <x v="0"/>
    <x v="0"/>
    <n v="0"/>
    <n v="0"/>
    <n v="0"/>
    <n v="12"/>
    <x v="1"/>
    <x v="0"/>
    <m/>
    <x v="0"/>
    <m/>
    <x v="0"/>
    <x v="2"/>
    <x v="0"/>
    <x v="0"/>
    <x v="0"/>
  </r>
  <r>
    <x v="1"/>
    <x v="0"/>
    <s v="3624 J"/>
    <x v="63"/>
    <s v="KGS Aluminium"/>
    <s v="LDN"/>
    <n v="6"/>
    <s v="10"/>
    <s v="پیور"/>
    <n v="50"/>
    <x v="0"/>
    <n v="1"/>
    <n v="48.4"/>
    <n v="0.8"/>
    <m/>
    <x v="0"/>
    <n v="47.6"/>
    <s v="ADNAN"/>
    <m/>
    <x v="0"/>
    <x v="0"/>
    <n v="0"/>
    <n v="0"/>
    <x v="0"/>
    <x v="0"/>
    <m/>
    <x v="0"/>
    <x v="0"/>
    <x v="0"/>
    <x v="0"/>
    <x v="0"/>
    <n v="0"/>
    <n v="0"/>
    <n v="0"/>
    <n v="12"/>
    <x v="1"/>
    <x v="0"/>
    <m/>
    <x v="0"/>
    <m/>
    <x v="0"/>
    <x v="2"/>
    <x v="0"/>
    <x v="0"/>
    <x v="0"/>
  </r>
  <r>
    <x v="1"/>
    <x v="0"/>
    <s v="3563 J"/>
    <x v="63"/>
    <s v="KGS Aluminium"/>
    <s v="LDN"/>
    <n v="5"/>
    <s v="10"/>
    <s v="پیور"/>
    <n v="200"/>
    <x v="0"/>
    <n v="2"/>
    <n v="78.5"/>
    <n v="1.6"/>
    <m/>
    <x v="0"/>
    <n v="76.900000000000006"/>
    <s v="ADNAN"/>
    <m/>
    <x v="0"/>
    <x v="0"/>
    <n v="0"/>
    <n v="0"/>
    <x v="0"/>
    <x v="0"/>
    <m/>
    <x v="0"/>
    <x v="0"/>
    <x v="0"/>
    <x v="0"/>
    <x v="0"/>
    <n v="0"/>
    <n v="0"/>
    <n v="0"/>
    <n v="12"/>
    <x v="1"/>
    <x v="0"/>
    <m/>
    <x v="0"/>
    <m/>
    <x v="0"/>
    <x v="2"/>
    <x v="0"/>
    <x v="0"/>
    <x v="0"/>
  </r>
  <r>
    <x v="0"/>
    <x v="1"/>
    <n v="2777"/>
    <x v="63"/>
    <s v="PT-01"/>
    <s v="LD سرخ"/>
    <n v="10"/>
    <n v="70"/>
    <s v="سرخ گٹکا"/>
    <s v="10 گٹکے"/>
    <x v="0"/>
    <n v="2"/>
    <n v="57.4"/>
    <n v="0"/>
    <n v="4"/>
    <x v="0"/>
    <n v="57.4"/>
    <s v="ADNAN"/>
    <m/>
    <x v="0"/>
    <x v="0"/>
    <n v="0"/>
    <n v="0"/>
    <x v="0"/>
    <x v="0"/>
    <m/>
    <x v="0"/>
    <x v="0"/>
    <x v="0"/>
    <x v="0"/>
    <x v="0"/>
    <n v="0"/>
    <n v="0"/>
    <n v="0"/>
    <n v="12"/>
    <x v="1"/>
    <x v="0"/>
    <m/>
    <x v="0"/>
    <m/>
    <x v="0"/>
    <x v="2"/>
    <x v="0"/>
    <x v="0"/>
    <x v="0"/>
  </r>
  <r>
    <x v="0"/>
    <x v="1"/>
    <n v="2776"/>
    <x v="63"/>
    <s v="PT-01"/>
    <s v="LD سرخ"/>
    <n v="6"/>
    <n v="70"/>
    <s v="سرخ گٹکا"/>
    <s v="10 گٹکے"/>
    <x v="0"/>
    <n v="9"/>
    <n v="276.60000000000002"/>
    <n v="0"/>
    <m/>
    <x v="0"/>
    <n v="276.60000000000002"/>
    <s v="ADNAN"/>
    <m/>
    <x v="0"/>
    <x v="0"/>
    <n v="0"/>
    <n v="0"/>
    <x v="0"/>
    <x v="0"/>
    <m/>
    <x v="0"/>
    <x v="0"/>
    <x v="0"/>
    <x v="0"/>
    <x v="0"/>
    <n v="0"/>
    <n v="0"/>
    <n v="0"/>
    <n v="12"/>
    <x v="1"/>
    <x v="0"/>
    <m/>
    <x v="0"/>
    <m/>
    <x v="0"/>
    <x v="2"/>
    <x v="0"/>
    <x v="0"/>
    <x v="0"/>
  </r>
  <r>
    <x v="1"/>
    <x v="1"/>
    <n v="2776"/>
    <x v="63"/>
    <s v="PT-01"/>
    <s v="LD سرخ"/>
    <n v="6"/>
    <n v="70"/>
    <s v="سرخ گٹکا"/>
    <s v="10 گٹکے"/>
    <x v="0"/>
    <n v="1"/>
    <n v="24.6"/>
    <n v="0"/>
    <n v="13"/>
    <x v="0"/>
    <n v="24.6"/>
    <s v="ADNAN"/>
    <m/>
    <x v="0"/>
    <x v="0"/>
    <n v="0"/>
    <n v="0"/>
    <x v="0"/>
    <x v="0"/>
    <m/>
    <x v="0"/>
    <x v="0"/>
    <x v="0"/>
    <x v="0"/>
    <x v="0"/>
    <n v="0"/>
    <n v="0"/>
    <n v="0"/>
    <n v="12"/>
    <x v="1"/>
    <x v="0"/>
    <m/>
    <x v="0"/>
    <m/>
    <x v="0"/>
    <x v="2"/>
    <x v="0"/>
    <x v="0"/>
    <x v="0"/>
  </r>
  <r>
    <x v="1"/>
    <x v="1"/>
    <n v="2780"/>
    <x v="63"/>
    <s v="PT-01"/>
    <s v="LD سرخ"/>
    <n v="5"/>
    <n v="80"/>
    <s v="سرخ گٹکا"/>
    <s v="15 گٹکے"/>
    <x v="0"/>
    <n v="12"/>
    <n v="324.59999999999991"/>
    <n v="0"/>
    <m/>
    <x v="0"/>
    <n v="324.59999999999991"/>
    <s v="ADNAN"/>
    <m/>
    <x v="0"/>
    <x v="0"/>
    <n v="0"/>
    <n v="0"/>
    <x v="0"/>
    <x v="0"/>
    <m/>
    <x v="0"/>
    <x v="0"/>
    <x v="0"/>
    <x v="0"/>
    <x v="0"/>
    <n v="0"/>
    <n v="0"/>
    <n v="0"/>
    <n v="12"/>
    <x v="1"/>
    <x v="0"/>
    <m/>
    <x v="0"/>
    <m/>
    <x v="0"/>
    <x v="2"/>
    <x v="0"/>
    <x v="0"/>
    <x v="0"/>
  </r>
  <r>
    <x v="0"/>
    <x v="2"/>
    <s v="3597 J"/>
    <x v="63"/>
    <s v="PPRC (IIL)"/>
    <s v="LD پیلا"/>
    <s v="300 MM"/>
    <s v="48-50"/>
    <s v="-"/>
    <n v="3500"/>
    <x v="0"/>
    <n v="3"/>
    <n v="524.20000000000005"/>
    <n v="4.5"/>
    <m/>
    <x v="0"/>
    <n v="519.70000000000005"/>
    <s v="ADNAN"/>
    <m/>
    <x v="0"/>
    <x v="0"/>
    <n v="0"/>
    <n v="0"/>
    <x v="0"/>
    <x v="0"/>
    <m/>
    <x v="0"/>
    <x v="0"/>
    <x v="0"/>
    <x v="0"/>
    <x v="0"/>
    <n v="0"/>
    <n v="0"/>
    <n v="0"/>
    <n v="12"/>
    <x v="1"/>
    <x v="0"/>
    <m/>
    <x v="0"/>
    <m/>
    <x v="0"/>
    <x v="2"/>
    <x v="0"/>
    <x v="0"/>
    <x v="0"/>
  </r>
  <r>
    <x v="1"/>
    <x v="2"/>
    <s v="3597 J"/>
    <x v="63"/>
    <s v="PPRC (IIL)"/>
    <s v="LD پیلا"/>
    <s v="300 MM"/>
    <s v="48-50"/>
    <s v="-"/>
    <n v="3500"/>
    <x v="0"/>
    <n v="3"/>
    <n v="468.6"/>
    <n v="4.5"/>
    <n v="2"/>
    <x v="0"/>
    <n v="464.1"/>
    <s v="ADNAN"/>
    <m/>
    <x v="0"/>
    <x v="0"/>
    <n v="0"/>
    <n v="0"/>
    <x v="0"/>
    <x v="0"/>
    <m/>
    <x v="0"/>
    <x v="0"/>
    <x v="0"/>
    <x v="0"/>
    <x v="0"/>
    <n v="0"/>
    <n v="0"/>
    <n v="0"/>
    <n v="12"/>
    <x v="1"/>
    <x v="0"/>
    <m/>
    <x v="0"/>
    <m/>
    <x v="0"/>
    <x v="2"/>
    <x v="0"/>
    <x v="0"/>
    <x v="0"/>
  </r>
  <r>
    <x v="0"/>
    <x v="3"/>
    <s v="3606 J"/>
    <x v="63"/>
    <s v="Plain Lafafa IHSAN Cotton "/>
    <s v="LDN"/>
    <n v="22"/>
    <n v="6"/>
    <s v="AA کولٹی"/>
    <n v="800"/>
    <x v="0"/>
    <n v="5"/>
    <n v="281.2"/>
    <n v="12.9"/>
    <m/>
    <x v="0"/>
    <n v="268.3"/>
    <s v="ADNAN"/>
    <m/>
    <x v="0"/>
    <x v="0"/>
    <n v="0"/>
    <n v="0"/>
    <x v="0"/>
    <x v="0"/>
    <m/>
    <x v="0"/>
    <x v="0"/>
    <x v="0"/>
    <x v="0"/>
    <x v="0"/>
    <n v="0"/>
    <n v="0"/>
    <n v="0"/>
    <n v="12"/>
    <x v="1"/>
    <x v="0"/>
    <m/>
    <x v="0"/>
    <m/>
    <x v="0"/>
    <x v="2"/>
    <x v="0"/>
    <x v="0"/>
    <x v="0"/>
  </r>
  <r>
    <x v="0"/>
    <x v="3"/>
    <s v="1993 F"/>
    <x v="63"/>
    <s v="KAPA OMNI"/>
    <s v="LDN"/>
    <n v="19"/>
    <s v="12"/>
    <s v="پیور"/>
    <n v="875"/>
    <x v="0"/>
    <n v="2"/>
    <n v="122"/>
    <n v="4.5999999999999996"/>
    <m/>
    <x v="0"/>
    <n v="117.4"/>
    <s v="ADNAN"/>
    <m/>
    <x v="0"/>
    <x v="0"/>
    <n v="0"/>
    <n v="0"/>
    <x v="0"/>
    <x v="0"/>
    <m/>
    <x v="0"/>
    <x v="0"/>
    <x v="0"/>
    <x v="0"/>
    <x v="0"/>
    <n v="0"/>
    <n v="0"/>
    <n v="0"/>
    <n v="12"/>
    <x v="1"/>
    <x v="0"/>
    <m/>
    <x v="0"/>
    <m/>
    <x v="0"/>
    <x v="2"/>
    <x v="0"/>
    <x v="0"/>
    <x v="0"/>
  </r>
  <r>
    <x v="1"/>
    <x v="3"/>
    <s v="1993 F"/>
    <x v="63"/>
    <s v="KAPA OMNI"/>
    <s v="LDN"/>
    <n v="19"/>
    <s v="12"/>
    <s v="پیور"/>
    <n v="875"/>
    <x v="0"/>
    <n v="6"/>
    <n v="368.6"/>
    <n v="14.200000000000001"/>
    <n v="2"/>
    <x v="0"/>
    <n v="354.40000000000003"/>
    <s v="ADNAN"/>
    <m/>
    <x v="0"/>
    <x v="0"/>
    <n v="0"/>
    <n v="0"/>
    <x v="0"/>
    <x v="0"/>
    <m/>
    <x v="0"/>
    <x v="0"/>
    <x v="0"/>
    <x v="0"/>
    <x v="0"/>
    <n v="0"/>
    <n v="0"/>
    <n v="0"/>
    <n v="12"/>
    <x v="1"/>
    <x v="0"/>
    <m/>
    <x v="0"/>
    <m/>
    <x v="0"/>
    <x v="2"/>
    <x v="0"/>
    <x v="0"/>
    <x v="0"/>
  </r>
  <r>
    <x v="0"/>
    <x v="6"/>
    <s v="3604 J"/>
    <x v="63"/>
    <s v="Plain Lafafa IHSAN Cotton "/>
    <s v="LDN"/>
    <n v="24"/>
    <n v="6"/>
    <s v="AA کولٹی"/>
    <n v="200"/>
    <x v="0"/>
    <n v="1"/>
    <n v="64.8"/>
    <n v="3"/>
    <n v="11"/>
    <x v="0"/>
    <n v="61.8"/>
    <s v="ADNAN"/>
    <m/>
    <x v="0"/>
    <x v="0"/>
    <n v="0"/>
    <n v="0"/>
    <x v="0"/>
    <x v="0"/>
    <m/>
    <x v="0"/>
    <x v="0"/>
    <x v="0"/>
    <x v="0"/>
    <x v="0"/>
    <n v="0"/>
    <n v="0"/>
    <n v="0"/>
    <n v="12"/>
    <x v="1"/>
    <x v="0"/>
    <m/>
    <x v="0"/>
    <m/>
    <x v="0"/>
    <x v="2"/>
    <x v="0"/>
    <x v="0"/>
    <x v="0"/>
  </r>
  <r>
    <x v="0"/>
    <x v="6"/>
    <s v="3607 J"/>
    <x v="63"/>
    <s v="Plain Lafafa IHSAN Cotton "/>
    <s v="LDN"/>
    <n v="23"/>
    <n v="6"/>
    <s v="AA کولٹی"/>
    <n v="800"/>
    <x v="0"/>
    <n v="7"/>
    <n v="489.5"/>
    <n v="19.599999999999998"/>
    <m/>
    <x v="0"/>
    <n v="469.9"/>
    <s v="ADNAN"/>
    <m/>
    <x v="0"/>
    <x v="0"/>
    <n v="0"/>
    <n v="0"/>
    <x v="0"/>
    <x v="0"/>
    <m/>
    <x v="0"/>
    <x v="0"/>
    <x v="0"/>
    <x v="0"/>
    <x v="0"/>
    <n v="0"/>
    <n v="0"/>
    <n v="0"/>
    <n v="12"/>
    <x v="1"/>
    <x v="0"/>
    <m/>
    <x v="0"/>
    <m/>
    <x v="0"/>
    <x v="2"/>
    <x v="0"/>
    <x v="0"/>
    <x v="0"/>
  </r>
  <r>
    <x v="1"/>
    <x v="6"/>
    <s v="3607 J"/>
    <x v="63"/>
    <s v="Plain Lafafa IHSAN Cotton "/>
    <s v="LDN"/>
    <n v="23"/>
    <n v="6"/>
    <s v="AA کولٹی"/>
    <n v="800"/>
    <x v="0"/>
    <n v="5"/>
    <n v="353.4"/>
    <n v="14"/>
    <m/>
    <x v="0"/>
    <n v="339.4"/>
    <s v="ADNAN"/>
    <m/>
    <x v="0"/>
    <x v="0"/>
    <n v="0"/>
    <n v="0"/>
    <x v="0"/>
    <x v="0"/>
    <m/>
    <x v="0"/>
    <x v="0"/>
    <x v="0"/>
    <x v="0"/>
    <x v="0"/>
    <n v="0"/>
    <n v="0"/>
    <n v="0"/>
    <n v="12"/>
    <x v="1"/>
    <x v="0"/>
    <m/>
    <x v="0"/>
    <m/>
    <x v="0"/>
    <x v="2"/>
    <x v="0"/>
    <x v="0"/>
    <x v="0"/>
  </r>
  <r>
    <x v="1"/>
    <x v="6"/>
    <n v="2775"/>
    <x v="63"/>
    <s v="MATCO FOOD"/>
    <s v="LDN"/>
    <s v="23-23.5"/>
    <s v="70 G+-1"/>
    <s v="SL"/>
    <n v="2100"/>
    <x v="0"/>
    <n v="1"/>
    <n v="112"/>
    <n v="2.8"/>
    <m/>
    <x v="0"/>
    <n v="109.2"/>
    <s v="ADNAN"/>
    <m/>
    <x v="0"/>
    <x v="0"/>
    <n v="0"/>
    <n v="0"/>
    <x v="0"/>
    <x v="0"/>
    <m/>
    <x v="0"/>
    <x v="0"/>
    <x v="0"/>
    <x v="0"/>
    <x v="0"/>
    <n v="0"/>
    <n v="0"/>
    <n v="0"/>
    <n v="12"/>
    <x v="1"/>
    <x v="0"/>
    <m/>
    <x v="0"/>
    <m/>
    <x v="0"/>
    <x v="2"/>
    <x v="0"/>
    <x v="0"/>
    <x v="0"/>
  </r>
  <r>
    <x v="0"/>
    <x v="4"/>
    <n v="2775"/>
    <x v="63"/>
    <s v="MATCO FOOD"/>
    <s v="LDN"/>
    <s v="23-23.5"/>
    <s v="70 G+-1"/>
    <s v="SL"/>
    <n v="2100"/>
    <x v="0"/>
    <n v="2"/>
    <n v="107.4"/>
    <n v="6"/>
    <n v="34"/>
    <x v="0"/>
    <n v="101.4"/>
    <s v="ADNAN"/>
    <m/>
    <x v="0"/>
    <x v="0"/>
    <n v="0"/>
    <n v="0"/>
    <x v="0"/>
    <x v="0"/>
    <m/>
    <x v="0"/>
    <x v="0"/>
    <x v="0"/>
    <x v="0"/>
    <x v="0"/>
    <n v="0"/>
    <n v="0"/>
    <n v="0"/>
    <n v="12"/>
    <x v="1"/>
    <x v="0"/>
    <m/>
    <x v="0"/>
    <m/>
    <x v="0"/>
    <x v="2"/>
    <x v="0"/>
    <x v="0"/>
    <x v="0"/>
  </r>
  <r>
    <x v="1"/>
    <x v="4"/>
    <n v="2775"/>
    <x v="63"/>
    <s v="MATCO FOOD"/>
    <s v="LDN"/>
    <s v="23-23.5"/>
    <s v="70 G+-1"/>
    <s v="SL"/>
    <n v="2100"/>
    <x v="0"/>
    <n v="1"/>
    <n v="108.4"/>
    <n v="2.8"/>
    <m/>
    <x v="0"/>
    <n v="105.60000000000001"/>
    <s v="ADNAN"/>
    <m/>
    <x v="0"/>
    <x v="0"/>
    <n v="0"/>
    <n v="0"/>
    <x v="0"/>
    <x v="0"/>
    <m/>
    <x v="0"/>
    <x v="0"/>
    <x v="0"/>
    <x v="0"/>
    <x v="0"/>
    <n v="0"/>
    <n v="0"/>
    <n v="0"/>
    <n v="12"/>
    <x v="1"/>
    <x v="0"/>
    <m/>
    <x v="0"/>
    <m/>
    <x v="0"/>
    <x v="2"/>
    <x v="0"/>
    <x v="0"/>
    <x v="0"/>
  </r>
  <r>
    <x v="1"/>
    <x v="4"/>
    <s v="3628 J"/>
    <x v="63"/>
    <s v="Sarkani Fabrics"/>
    <s v="LDM"/>
    <n v="17"/>
    <s v="13-14"/>
    <s v="ABA پیور"/>
    <s v="-"/>
    <x v="0"/>
    <n v="2"/>
    <n v="109"/>
    <n v="4"/>
    <m/>
    <x v="0"/>
    <n v="105"/>
    <s v="ADNAN"/>
    <m/>
    <x v="0"/>
    <x v="0"/>
    <n v="0"/>
    <n v="0"/>
    <x v="0"/>
    <x v="0"/>
    <m/>
    <x v="0"/>
    <x v="0"/>
    <x v="0"/>
    <x v="0"/>
    <x v="0"/>
    <n v="0"/>
    <n v="0"/>
    <n v="0"/>
    <n v="12"/>
    <x v="1"/>
    <x v="0"/>
    <m/>
    <x v="0"/>
    <m/>
    <x v="0"/>
    <x v="2"/>
    <x v="0"/>
    <x v="0"/>
    <x v="0"/>
  </r>
  <r>
    <x v="1"/>
    <x v="4"/>
    <s v="3591 J"/>
    <x v="63"/>
    <s v="Atlas Honda LTD (SKP)"/>
    <s v="LDM"/>
    <s v="16.75&quot; شیٹ"/>
    <s v="7-7.5/14-15"/>
    <s v="LDM"/>
    <n v="200"/>
    <x v="0"/>
    <n v="4"/>
    <n v="207.8"/>
    <n v="8"/>
    <m/>
    <x v="0"/>
    <n v="199.8"/>
    <s v="ADNAN"/>
    <m/>
    <x v="0"/>
    <x v="0"/>
    <n v="0"/>
    <n v="0"/>
    <x v="0"/>
    <x v="0"/>
    <m/>
    <x v="0"/>
    <x v="0"/>
    <x v="0"/>
    <x v="0"/>
    <x v="0"/>
    <n v="0"/>
    <n v="0"/>
    <n v="0"/>
    <n v="12"/>
    <x v="1"/>
    <x v="0"/>
    <m/>
    <x v="0"/>
    <m/>
    <x v="0"/>
    <x v="2"/>
    <x v="0"/>
    <x v="0"/>
    <x v="0"/>
  </r>
  <r>
    <x v="1"/>
    <x v="4"/>
    <s v="3582 J"/>
    <x v="63"/>
    <s v="Gripper"/>
    <s v="LDM"/>
    <s v="432 MM"/>
    <s v="-"/>
    <s v="ABA تھینکیو"/>
    <n v="100"/>
    <x v="0"/>
    <n v="4"/>
    <n v="223.20000000000002"/>
    <n v="8.8000000000000007"/>
    <m/>
    <x v="0"/>
    <n v="214.4"/>
    <s v="ADNAN"/>
    <m/>
    <x v="0"/>
    <x v="0"/>
    <n v="0"/>
    <n v="0"/>
    <x v="0"/>
    <x v="0"/>
    <m/>
    <x v="0"/>
    <x v="0"/>
    <x v="0"/>
    <x v="0"/>
    <x v="0"/>
    <n v="0"/>
    <n v="0"/>
    <n v="0"/>
    <n v="12"/>
    <x v="1"/>
    <x v="0"/>
    <m/>
    <x v="0"/>
    <m/>
    <x v="0"/>
    <x v="2"/>
    <x v="0"/>
    <x v="0"/>
    <x v="0"/>
  </r>
  <r>
    <x v="0"/>
    <x v="0"/>
    <s v="3563 J"/>
    <x v="64"/>
    <s v="KGS Aluminium"/>
    <s v="LDN"/>
    <n v="5"/>
    <s v="10"/>
    <s v="پیور"/>
    <n v="200"/>
    <x v="0"/>
    <n v="4"/>
    <n v="151"/>
    <n v="2.9000000000000004"/>
    <m/>
    <x v="0"/>
    <n v="148.1"/>
    <s v="ADNAN"/>
    <m/>
    <x v="0"/>
    <x v="0"/>
    <n v="0"/>
    <n v="0"/>
    <x v="0"/>
    <x v="0"/>
    <m/>
    <x v="0"/>
    <x v="0"/>
    <x v="0"/>
    <x v="0"/>
    <x v="0"/>
    <n v="0"/>
    <n v="0"/>
    <n v="0"/>
    <n v="12"/>
    <x v="1"/>
    <x v="0"/>
    <m/>
    <x v="0"/>
    <m/>
    <x v="0"/>
    <x v="2"/>
    <x v="0"/>
    <x v="0"/>
    <x v="0"/>
  </r>
  <r>
    <x v="1"/>
    <x v="0"/>
    <s v="3563 J"/>
    <x v="64"/>
    <s v="KGS Aluminium"/>
    <s v="LDN"/>
    <n v="5"/>
    <s v="10"/>
    <s v="پیور"/>
    <n v="200"/>
    <x v="0"/>
    <n v="2"/>
    <n v="79"/>
    <n v="1.4"/>
    <n v="5"/>
    <x v="0"/>
    <n v="77.599999999999994"/>
    <s v="ADNAN"/>
    <m/>
    <x v="0"/>
    <x v="0"/>
    <n v="0"/>
    <n v="0"/>
    <x v="0"/>
    <x v="0"/>
    <m/>
    <x v="0"/>
    <x v="0"/>
    <x v="0"/>
    <x v="0"/>
    <x v="0"/>
    <n v="0"/>
    <n v="0"/>
    <n v="0"/>
    <n v="12"/>
    <x v="1"/>
    <x v="0"/>
    <m/>
    <x v="0"/>
    <m/>
    <x v="0"/>
    <x v="2"/>
    <x v="0"/>
    <x v="0"/>
    <x v="0"/>
  </r>
  <r>
    <x v="1"/>
    <x v="0"/>
    <s v="3514 J"/>
    <x v="64"/>
    <s v="سٹاک برائے عثمان عارف بٹ گوجرانولہ"/>
    <s v="LDN"/>
    <n v="5"/>
    <s v="-"/>
    <s v="پیور"/>
    <n v="500"/>
    <x v="0"/>
    <n v="4"/>
    <n v="156.4"/>
    <n v="2.8"/>
    <m/>
    <x v="0"/>
    <n v="153.6"/>
    <s v="ADNAN"/>
    <m/>
    <x v="0"/>
    <x v="0"/>
    <n v="0"/>
    <n v="0"/>
    <x v="0"/>
    <x v="0"/>
    <m/>
    <x v="0"/>
    <x v="0"/>
    <x v="0"/>
    <x v="0"/>
    <x v="0"/>
    <n v="0"/>
    <n v="0"/>
    <n v="0"/>
    <n v="12"/>
    <x v="1"/>
    <x v="0"/>
    <m/>
    <x v="0"/>
    <m/>
    <x v="0"/>
    <x v="2"/>
    <x v="0"/>
    <x v="0"/>
    <x v="0"/>
  </r>
  <r>
    <x v="0"/>
    <x v="1"/>
    <n v="2780"/>
    <x v="64"/>
    <s v="PT-01"/>
    <s v="LD سرخ"/>
    <n v="5"/>
    <n v="80"/>
    <s v="سرخ گٹکا"/>
    <s v="15 گٹکے"/>
    <x v="0"/>
    <n v="2"/>
    <n v="48.8"/>
    <m/>
    <m/>
    <x v="0"/>
    <n v="48.8"/>
    <s v="ADNAN"/>
    <m/>
    <x v="0"/>
    <x v="0"/>
    <n v="0"/>
    <n v="0"/>
    <x v="0"/>
    <x v="0"/>
    <m/>
    <x v="0"/>
    <x v="0"/>
    <x v="0"/>
    <x v="0"/>
    <x v="0"/>
    <n v="0"/>
    <n v="0"/>
    <n v="0"/>
    <n v="12"/>
    <x v="1"/>
    <x v="0"/>
    <m/>
    <x v="0"/>
    <m/>
    <x v="0"/>
    <x v="2"/>
    <x v="0"/>
    <x v="0"/>
    <x v="0"/>
  </r>
  <r>
    <x v="0"/>
    <x v="2"/>
    <s v="3597 J"/>
    <x v="64"/>
    <s v="PPRC (IIL)"/>
    <s v="LD پیلا"/>
    <s v="300 MM"/>
    <s v="48-50"/>
    <s v="-"/>
    <n v="3500"/>
    <x v="0"/>
    <n v="2"/>
    <n v="330"/>
    <n v="3"/>
    <m/>
    <x v="0"/>
    <n v="327"/>
    <s v="ADNAN"/>
    <m/>
    <x v="0"/>
    <x v="0"/>
    <n v="0"/>
    <n v="0"/>
    <x v="0"/>
    <x v="0"/>
    <m/>
    <x v="0"/>
    <x v="0"/>
    <x v="0"/>
    <x v="0"/>
    <x v="0"/>
    <n v="0"/>
    <n v="0"/>
    <n v="0"/>
    <n v="12"/>
    <x v="1"/>
    <x v="0"/>
    <m/>
    <x v="0"/>
    <m/>
    <x v="0"/>
    <x v="2"/>
    <x v="0"/>
    <x v="0"/>
    <x v="0"/>
  </r>
  <r>
    <x v="1"/>
    <x v="2"/>
    <s v="3597 J"/>
    <x v="64"/>
    <s v="PPRC (IIL)"/>
    <s v="LD پیلا"/>
    <s v="300 MM"/>
    <s v="48-50"/>
    <s v="-"/>
    <n v="3500"/>
    <x v="0"/>
    <n v="4"/>
    <n v="530.6"/>
    <n v="6"/>
    <m/>
    <x v="0"/>
    <n v="524.6"/>
    <s v="ADNAN"/>
    <m/>
    <x v="0"/>
    <x v="0"/>
    <n v="0"/>
    <n v="0"/>
    <x v="0"/>
    <x v="0"/>
    <m/>
    <x v="0"/>
    <x v="0"/>
    <x v="0"/>
    <x v="0"/>
    <x v="0"/>
    <n v="0"/>
    <n v="0"/>
    <n v="0"/>
    <n v="12"/>
    <x v="1"/>
    <x v="0"/>
    <m/>
    <x v="0"/>
    <m/>
    <x v="0"/>
    <x v="2"/>
    <x v="0"/>
    <x v="0"/>
    <x v="0"/>
  </r>
  <r>
    <x v="0"/>
    <x v="3"/>
    <s v="1993 F"/>
    <x v="64"/>
    <s v="KAPA OMNI"/>
    <s v="LDN"/>
    <n v="19"/>
    <s v="12"/>
    <s v="پیور"/>
    <n v="875"/>
    <x v="0"/>
    <n v="5"/>
    <n v="360.2"/>
    <n v="12"/>
    <m/>
    <x v="0"/>
    <n v="348.2"/>
    <s v="ADNAN"/>
    <m/>
    <x v="0"/>
    <x v="0"/>
    <n v="0"/>
    <n v="0"/>
    <x v="0"/>
    <x v="0"/>
    <m/>
    <x v="0"/>
    <x v="0"/>
    <x v="0"/>
    <x v="0"/>
    <x v="0"/>
    <n v="0"/>
    <n v="0"/>
    <n v="0"/>
    <n v="12"/>
    <x v="1"/>
    <x v="0"/>
    <m/>
    <x v="0"/>
    <m/>
    <x v="0"/>
    <x v="2"/>
    <x v="0"/>
    <x v="0"/>
    <x v="0"/>
  </r>
  <r>
    <x v="1"/>
    <x v="3"/>
    <s v="1993 F"/>
    <x v="64"/>
    <s v="KAPA OMNI"/>
    <s v="LDN"/>
    <n v="19"/>
    <s v="12"/>
    <s v="پیور"/>
    <n v="875"/>
    <x v="0"/>
    <n v="1"/>
    <n v="61.6"/>
    <n v="2.4"/>
    <n v="33"/>
    <x v="0"/>
    <n v="59.2"/>
    <s v="ADNAN"/>
    <m/>
    <x v="0"/>
    <x v="0"/>
    <n v="0"/>
    <n v="0"/>
    <x v="0"/>
    <x v="0"/>
    <m/>
    <x v="0"/>
    <x v="0"/>
    <x v="0"/>
    <x v="0"/>
    <x v="0"/>
    <n v="0"/>
    <n v="0"/>
    <n v="0"/>
    <n v="12"/>
    <x v="1"/>
    <x v="0"/>
    <m/>
    <x v="0"/>
    <m/>
    <x v="0"/>
    <x v="2"/>
    <x v="0"/>
    <x v="0"/>
    <x v="0"/>
  </r>
  <r>
    <x v="1"/>
    <x v="3"/>
    <s v="1953 F"/>
    <x v="64"/>
    <s v="Walmart Big Warning"/>
    <s v="LDN"/>
    <n v="20"/>
    <s v="8"/>
    <s v="پیور"/>
    <n v="220"/>
    <x v="0"/>
    <n v="1"/>
    <n v="79.2"/>
    <n v="2.6"/>
    <m/>
    <x v="0"/>
    <n v="76.600000000000009"/>
    <s v="ADNAN"/>
    <m/>
    <x v="0"/>
    <x v="0"/>
    <n v="0"/>
    <n v="0"/>
    <x v="0"/>
    <x v="0"/>
    <m/>
    <x v="0"/>
    <x v="0"/>
    <x v="0"/>
    <x v="0"/>
    <x v="0"/>
    <n v="0"/>
    <n v="0"/>
    <n v="0"/>
    <n v="12"/>
    <x v="1"/>
    <x v="0"/>
    <m/>
    <x v="0"/>
    <m/>
    <x v="0"/>
    <x v="2"/>
    <x v="0"/>
    <x v="0"/>
    <x v="0"/>
  </r>
  <r>
    <x v="1"/>
    <x v="3"/>
    <s v="1994 F"/>
    <x v="64"/>
    <s v="KAPA OMNI"/>
    <s v="LDN"/>
    <n v="17.25"/>
    <s v="12"/>
    <s v="پیور"/>
    <n v="1000"/>
    <x v="0"/>
    <n v="3"/>
    <n v="214.4"/>
    <n v="6"/>
    <m/>
    <x v="0"/>
    <n v="208.4"/>
    <s v="ADNAN"/>
    <m/>
    <x v="0"/>
    <x v="0"/>
    <n v="0"/>
    <n v="0"/>
    <x v="0"/>
    <x v="0"/>
    <m/>
    <x v="0"/>
    <x v="0"/>
    <x v="0"/>
    <x v="0"/>
    <x v="0"/>
    <n v="0"/>
    <n v="0"/>
    <n v="0"/>
    <n v="12"/>
    <x v="1"/>
    <x v="0"/>
    <m/>
    <x v="0"/>
    <m/>
    <x v="0"/>
    <x v="2"/>
    <x v="0"/>
    <x v="0"/>
    <x v="0"/>
  </r>
  <r>
    <x v="0"/>
    <x v="6"/>
    <n v="2775"/>
    <x v="64"/>
    <s v="MATCO FOOD"/>
    <s v="LDN"/>
    <s v="23-23.5"/>
    <s v="70 G+-1"/>
    <s v="SL"/>
    <n v="2100"/>
    <x v="0"/>
    <n v="5"/>
    <n v="594"/>
    <n v="12.9"/>
    <m/>
    <x v="0"/>
    <n v="581.1"/>
    <s v="ADNAN"/>
    <m/>
    <x v="0"/>
    <x v="0"/>
    <n v="0"/>
    <n v="0"/>
    <x v="0"/>
    <x v="0"/>
    <m/>
    <x v="0"/>
    <x v="0"/>
    <x v="0"/>
    <x v="0"/>
    <x v="0"/>
    <n v="0"/>
    <n v="0"/>
    <n v="0"/>
    <n v="12"/>
    <x v="1"/>
    <x v="0"/>
    <m/>
    <x v="0"/>
    <m/>
    <x v="0"/>
    <x v="2"/>
    <x v="0"/>
    <x v="0"/>
    <x v="0"/>
  </r>
  <r>
    <x v="1"/>
    <x v="6"/>
    <n v="2775"/>
    <x v="64"/>
    <s v="MATCO FOOD"/>
    <s v="LDN"/>
    <s v="23-23.5"/>
    <s v="70 G+-1"/>
    <s v="SL"/>
    <n v="2100"/>
    <x v="0"/>
    <n v="5"/>
    <n v="545"/>
    <n v="13.400000000000002"/>
    <m/>
    <x v="0"/>
    <n v="531.6"/>
    <s v="ADNAN"/>
    <m/>
    <x v="0"/>
    <x v="0"/>
    <n v="0"/>
    <n v="0"/>
    <x v="0"/>
    <x v="0"/>
    <m/>
    <x v="0"/>
    <x v="0"/>
    <x v="0"/>
    <x v="0"/>
    <x v="0"/>
    <n v="0"/>
    <n v="0"/>
    <n v="0"/>
    <n v="12"/>
    <x v="1"/>
    <x v="0"/>
    <m/>
    <x v="0"/>
    <m/>
    <x v="0"/>
    <x v="2"/>
    <x v="0"/>
    <x v="0"/>
    <x v="0"/>
  </r>
  <r>
    <x v="0"/>
    <x v="4"/>
    <s v="3578 J"/>
    <x v="64"/>
    <s v="MTB"/>
    <s v="LDM"/>
    <s v="432 MM"/>
    <s v="-"/>
    <s v="ABA تھینکیو"/>
    <n v="300"/>
    <x v="0"/>
    <n v="2"/>
    <n v="108.19999999999999"/>
    <n v="4.4000000000000004"/>
    <n v="30"/>
    <x v="0"/>
    <n v="103.79999999999998"/>
    <s v="ADNAN"/>
    <m/>
    <x v="0"/>
    <x v="0"/>
    <n v="0"/>
    <n v="0"/>
    <x v="0"/>
    <x v="0"/>
    <m/>
    <x v="0"/>
    <x v="0"/>
    <x v="0"/>
    <x v="0"/>
    <x v="0"/>
    <n v="0"/>
    <n v="0"/>
    <n v="0"/>
    <n v="12"/>
    <x v="1"/>
    <x v="0"/>
    <m/>
    <x v="0"/>
    <m/>
    <x v="0"/>
    <x v="2"/>
    <x v="0"/>
    <x v="0"/>
    <x v="0"/>
  </r>
  <r>
    <x v="0"/>
    <x v="4"/>
    <s v="3582 J"/>
    <x v="64"/>
    <s v="Gripper"/>
    <s v="LDM"/>
    <s v="432 MM"/>
    <s v="-"/>
    <s v="ABA تھینکیو"/>
    <n v="100"/>
    <x v="0"/>
    <n v="1"/>
    <n v="46"/>
    <n v="2.2000000000000002"/>
    <m/>
    <x v="0"/>
    <n v="43.8"/>
    <s v="ADNAN"/>
    <m/>
    <x v="0"/>
    <x v="0"/>
    <n v="0"/>
    <n v="0"/>
    <x v="0"/>
    <x v="0"/>
    <m/>
    <x v="0"/>
    <x v="0"/>
    <x v="0"/>
    <x v="0"/>
    <x v="0"/>
    <n v="0"/>
    <n v="0"/>
    <n v="0"/>
    <n v="12"/>
    <x v="1"/>
    <x v="0"/>
    <m/>
    <x v="0"/>
    <m/>
    <x v="0"/>
    <x v="2"/>
    <x v="0"/>
    <x v="0"/>
    <x v="0"/>
  </r>
  <r>
    <x v="1"/>
    <x v="4"/>
    <s v="3582 J"/>
    <x v="64"/>
    <s v="Gripper"/>
    <s v="LDM"/>
    <s v="432 MM"/>
    <s v="-"/>
    <s v="ABA تھینکیو"/>
    <n v="100"/>
    <x v="0"/>
    <n v="1"/>
    <n v="64.400000000000006"/>
    <n v="2.2000000000000002"/>
    <n v="32"/>
    <x v="0"/>
    <n v="62.2"/>
    <s v="ADNAN"/>
    <m/>
    <x v="0"/>
    <x v="0"/>
    <n v="0"/>
    <n v="0"/>
    <x v="0"/>
    <x v="0"/>
    <m/>
    <x v="0"/>
    <x v="0"/>
    <x v="0"/>
    <x v="0"/>
    <x v="0"/>
    <n v="0"/>
    <n v="0"/>
    <n v="0"/>
    <n v="12"/>
    <x v="1"/>
    <x v="0"/>
    <m/>
    <x v="0"/>
    <m/>
    <x v="0"/>
    <x v="2"/>
    <x v="0"/>
    <x v="0"/>
    <x v="0"/>
  </r>
  <r>
    <x v="0"/>
    <x v="0"/>
    <s v="3562 J"/>
    <x v="65"/>
    <s v="KGS Aluminium"/>
    <s v="LDN"/>
    <n v="4"/>
    <s v="10"/>
    <s v="پیور"/>
    <n v="200"/>
    <x v="0"/>
    <n v="2"/>
    <n v="99.1"/>
    <n v="1.6"/>
    <m/>
    <x v="0"/>
    <n v="97.5"/>
    <s v="ADNAN"/>
    <m/>
    <x v="0"/>
    <x v="0"/>
    <n v="0"/>
    <n v="0"/>
    <x v="0"/>
    <x v="0"/>
    <m/>
    <x v="0"/>
    <x v="0"/>
    <x v="0"/>
    <x v="0"/>
    <x v="0"/>
    <n v="0"/>
    <n v="0"/>
    <n v="0"/>
    <n v="12"/>
    <x v="1"/>
    <x v="0"/>
    <m/>
    <x v="0"/>
    <m/>
    <x v="0"/>
    <x v="2"/>
    <x v="0"/>
    <x v="0"/>
    <x v="0"/>
  </r>
  <r>
    <x v="1"/>
    <x v="0"/>
    <s v="3562 J"/>
    <x v="65"/>
    <s v="KGS Aluminium"/>
    <s v="LDN"/>
    <n v="4"/>
    <s v="10"/>
    <s v="پیور"/>
    <n v="200"/>
    <x v="0"/>
    <n v="2"/>
    <n v="111.1"/>
    <n v="2.4"/>
    <m/>
    <x v="0"/>
    <n v="108.69999999999999"/>
    <s v="ADNAN"/>
    <m/>
    <x v="0"/>
    <x v="0"/>
    <n v="0"/>
    <n v="0"/>
    <x v="0"/>
    <x v="0"/>
    <m/>
    <x v="0"/>
    <x v="0"/>
    <x v="0"/>
    <x v="0"/>
    <x v="0"/>
    <n v="0"/>
    <n v="0"/>
    <n v="0"/>
    <n v="12"/>
    <x v="1"/>
    <x v="0"/>
    <m/>
    <x v="0"/>
    <m/>
    <x v="0"/>
    <x v="2"/>
    <x v="0"/>
    <x v="0"/>
    <x v="0"/>
  </r>
  <r>
    <x v="1"/>
    <x v="0"/>
    <s v="3622 J"/>
    <x v="65"/>
    <s v="KGS Aluminium"/>
    <s v="LDN"/>
    <n v="4"/>
    <s v="10"/>
    <s v="پیور"/>
    <n v="75"/>
    <x v="0"/>
    <n v="2"/>
    <n v="77.900000000000006"/>
    <n v="2.4"/>
    <m/>
    <x v="0"/>
    <n v="75.5"/>
    <s v="ADNAN"/>
    <m/>
    <x v="0"/>
    <x v="0"/>
    <n v="0"/>
    <n v="0"/>
    <x v="0"/>
    <x v="0"/>
    <m/>
    <x v="0"/>
    <x v="0"/>
    <x v="0"/>
    <x v="0"/>
    <x v="0"/>
    <n v="0"/>
    <n v="0"/>
    <n v="0"/>
    <n v="12"/>
    <x v="1"/>
    <x v="0"/>
    <m/>
    <x v="0"/>
    <m/>
    <x v="0"/>
    <x v="2"/>
    <x v="0"/>
    <x v="0"/>
    <x v="0"/>
  </r>
  <r>
    <x v="0"/>
    <x v="2"/>
    <s v="3597 J"/>
    <x v="65"/>
    <s v="PPRC (IIL)"/>
    <s v="LD پیلا"/>
    <s v="300 MM"/>
    <s v="48-50"/>
    <s v="-"/>
    <n v="3500"/>
    <x v="0"/>
    <n v="1"/>
    <n v="87.2"/>
    <n v="1.5"/>
    <n v="31"/>
    <x v="0"/>
    <n v="85.7"/>
    <s v="ADNAN"/>
    <m/>
    <x v="0"/>
    <x v="0"/>
    <n v="0"/>
    <n v="0"/>
    <x v="0"/>
    <x v="0"/>
    <m/>
    <x v="0"/>
    <x v="0"/>
    <x v="0"/>
    <x v="0"/>
    <x v="0"/>
    <n v="0"/>
    <n v="0"/>
    <n v="0"/>
    <n v="12"/>
    <x v="1"/>
    <x v="0"/>
    <m/>
    <x v="0"/>
    <m/>
    <x v="0"/>
    <x v="2"/>
    <x v="0"/>
    <x v="0"/>
    <x v="0"/>
  </r>
  <r>
    <x v="0"/>
    <x v="2"/>
    <s v="3629 J"/>
    <x v="65"/>
    <s v="Sarkani Fabrics"/>
    <s v="LD پیلا"/>
    <n v="18"/>
    <s v="13-14"/>
    <s v="ABA پیور"/>
    <n v="100"/>
    <x v="0"/>
    <n v="2"/>
    <n v="111.2"/>
    <n v="4.5"/>
    <m/>
    <x v="0"/>
    <n v="106.7"/>
    <s v="ADNAN"/>
    <m/>
    <x v="0"/>
    <x v="0"/>
    <n v="0"/>
    <n v="0"/>
    <x v="0"/>
    <x v="0"/>
    <m/>
    <x v="0"/>
    <x v="0"/>
    <x v="0"/>
    <x v="0"/>
    <x v="0"/>
    <n v="0"/>
    <n v="0"/>
    <n v="0"/>
    <n v="12"/>
    <x v="1"/>
    <x v="0"/>
    <m/>
    <x v="0"/>
    <m/>
    <x v="0"/>
    <x v="2"/>
    <x v="0"/>
    <x v="0"/>
    <x v="0"/>
  </r>
  <r>
    <x v="0"/>
    <x v="2"/>
    <s v="3657 J"/>
    <x v="65"/>
    <s v="Blue Tiger"/>
    <s v="LD بلو"/>
    <n v="18"/>
    <s v="10-10.5"/>
    <s v="ABA پیور"/>
    <n v="150"/>
    <x v="0"/>
    <n v="1"/>
    <n v="76"/>
    <n v="2.1"/>
    <m/>
    <x v="0"/>
    <n v="73.900000000000006"/>
    <s v="ADNAN"/>
    <m/>
    <x v="0"/>
    <x v="0"/>
    <n v="0"/>
    <n v="0"/>
    <x v="0"/>
    <x v="0"/>
    <m/>
    <x v="0"/>
    <x v="0"/>
    <x v="0"/>
    <x v="0"/>
    <x v="0"/>
    <n v="0"/>
    <n v="0"/>
    <n v="0"/>
    <n v="12"/>
    <x v="1"/>
    <x v="0"/>
    <m/>
    <x v="0"/>
    <m/>
    <x v="0"/>
    <x v="2"/>
    <x v="0"/>
    <x v="0"/>
    <x v="0"/>
  </r>
  <r>
    <x v="1"/>
    <x v="2"/>
    <s v="3657 J"/>
    <x v="65"/>
    <s v="Blue Tiger"/>
    <s v="LD بلو"/>
    <n v="18"/>
    <s v="10-10.5"/>
    <s v="ABA پیور"/>
    <n v="150"/>
    <x v="0"/>
    <n v="1"/>
    <n v="85.2"/>
    <n v="2.1"/>
    <n v="31"/>
    <x v="0"/>
    <n v="83.100000000000009"/>
    <s v="ADNAN"/>
    <m/>
    <x v="0"/>
    <x v="0"/>
    <n v="0"/>
    <n v="0"/>
    <x v="0"/>
    <x v="0"/>
    <m/>
    <x v="0"/>
    <x v="0"/>
    <x v="0"/>
    <x v="0"/>
    <x v="0"/>
    <n v="0"/>
    <n v="0"/>
    <n v="0"/>
    <n v="12"/>
    <x v="1"/>
    <x v="0"/>
    <m/>
    <x v="0"/>
    <m/>
    <x v="0"/>
    <x v="2"/>
    <x v="0"/>
    <x v="0"/>
    <x v="0"/>
  </r>
  <r>
    <x v="1"/>
    <x v="2"/>
    <s v="3658 J"/>
    <x v="65"/>
    <s v="Blue Tiger"/>
    <s v="LD بلو"/>
    <n v="18"/>
    <s v="10-10.5"/>
    <s v="ABA پیور"/>
    <n v="150"/>
    <x v="0"/>
    <n v="2"/>
    <n v="165.8"/>
    <n v="4.2"/>
    <m/>
    <x v="0"/>
    <n v="161.60000000000002"/>
    <s v="ADNAN"/>
    <m/>
    <x v="0"/>
    <x v="0"/>
    <n v="0"/>
    <n v="0"/>
    <x v="0"/>
    <x v="0"/>
    <m/>
    <x v="0"/>
    <x v="0"/>
    <x v="0"/>
    <x v="0"/>
    <x v="0"/>
    <n v="0"/>
    <n v="0"/>
    <n v="0"/>
    <n v="12"/>
    <x v="1"/>
    <x v="0"/>
    <m/>
    <x v="0"/>
    <m/>
    <x v="0"/>
    <x v="2"/>
    <x v="0"/>
    <x v="0"/>
    <x v="0"/>
  </r>
  <r>
    <x v="1"/>
    <x v="2"/>
    <s v="3660 J"/>
    <x v="65"/>
    <s v="Olper Blue"/>
    <s v="LD بلو"/>
    <n v="16"/>
    <s v="10-10.5"/>
    <s v="ABA پیور"/>
    <n v="150"/>
    <x v="0"/>
    <n v="1"/>
    <n v="82.2"/>
    <n v="1.9"/>
    <m/>
    <x v="0"/>
    <n v="80.3"/>
    <s v="ADNAN"/>
    <m/>
    <x v="0"/>
    <x v="0"/>
    <n v="0"/>
    <n v="0"/>
    <x v="0"/>
    <x v="0"/>
    <m/>
    <x v="0"/>
    <x v="0"/>
    <x v="0"/>
    <x v="0"/>
    <x v="0"/>
    <n v="0"/>
    <n v="0"/>
    <n v="0"/>
    <n v="12"/>
    <x v="1"/>
    <x v="0"/>
    <m/>
    <x v="0"/>
    <m/>
    <x v="0"/>
    <x v="2"/>
    <x v="0"/>
    <x v="0"/>
    <x v="0"/>
  </r>
  <r>
    <x v="0"/>
    <x v="3"/>
    <s v="1994 F"/>
    <x v="65"/>
    <s v="KAPA OMNI"/>
    <s v="LDN"/>
    <n v="17.25"/>
    <s v="12"/>
    <s v="پیور"/>
    <n v="1000"/>
    <x v="0"/>
    <n v="5"/>
    <n v="310"/>
    <n v="9.8000000000000007"/>
    <n v="9"/>
    <x v="0"/>
    <n v="300.2"/>
    <s v="ADNAN"/>
    <m/>
    <x v="0"/>
    <x v="0"/>
    <n v="0"/>
    <n v="0"/>
    <x v="0"/>
    <x v="0"/>
    <m/>
    <x v="0"/>
    <x v="0"/>
    <x v="0"/>
    <x v="0"/>
    <x v="0"/>
    <n v="0"/>
    <n v="0"/>
    <n v="0"/>
    <n v="12"/>
    <x v="1"/>
    <x v="0"/>
    <m/>
    <x v="0"/>
    <m/>
    <x v="0"/>
    <x v="2"/>
    <x v="0"/>
    <x v="0"/>
    <x v="0"/>
  </r>
  <r>
    <x v="1"/>
    <x v="3"/>
    <s v="1994 F"/>
    <x v="65"/>
    <s v="KAPA OMNI"/>
    <s v="LDN"/>
    <n v="17.25"/>
    <s v="12"/>
    <s v="پیور"/>
    <n v="1000"/>
    <x v="0"/>
    <n v="5"/>
    <n v="323.20000000000005"/>
    <n v="10.399999999999999"/>
    <m/>
    <x v="0"/>
    <n v="312.80000000000007"/>
    <s v="ADNAN"/>
    <m/>
    <x v="0"/>
    <x v="0"/>
    <n v="0"/>
    <n v="0"/>
    <x v="0"/>
    <x v="0"/>
    <m/>
    <x v="0"/>
    <x v="0"/>
    <x v="0"/>
    <x v="0"/>
    <x v="0"/>
    <n v="0"/>
    <n v="0"/>
    <n v="0"/>
    <n v="12"/>
    <x v="1"/>
    <x v="0"/>
    <m/>
    <x v="0"/>
    <m/>
    <x v="0"/>
    <x v="2"/>
    <x v="0"/>
    <x v="0"/>
    <x v="0"/>
  </r>
  <r>
    <x v="0"/>
    <x v="6"/>
    <n v="2781"/>
    <x v="65"/>
    <s v="MATCO FOOD"/>
    <s v="LDN"/>
    <s v="23-23.5"/>
    <s v="70 G+-1"/>
    <s v="SL"/>
    <s v="4900 KG"/>
    <x v="0"/>
    <n v="2"/>
    <n v="255.60000000000002"/>
    <n v="5.8"/>
    <n v="14"/>
    <x v="0"/>
    <n v="249.8"/>
    <s v="ADNAN"/>
    <m/>
    <x v="0"/>
    <x v="0"/>
    <n v="0"/>
    <n v="0"/>
    <x v="0"/>
    <x v="0"/>
    <m/>
    <x v="0"/>
    <x v="0"/>
    <x v="0"/>
    <x v="0"/>
    <x v="0"/>
    <n v="0"/>
    <n v="0"/>
    <n v="0"/>
    <n v="12"/>
    <x v="1"/>
    <x v="0"/>
    <m/>
    <x v="0"/>
    <m/>
    <x v="0"/>
    <x v="2"/>
    <x v="0"/>
    <x v="0"/>
    <x v="0"/>
  </r>
  <r>
    <x v="0"/>
    <x v="6"/>
    <n v="2782"/>
    <x v="65"/>
    <s v="MATCO FOOD"/>
    <s v="LDN"/>
    <s v="29-29.5"/>
    <s v="88 G+-1"/>
    <s v="SL"/>
    <s v="880 KG"/>
    <x v="0"/>
    <n v="4"/>
    <n v="461.29999999999995"/>
    <n v="14.4"/>
    <m/>
    <x v="0"/>
    <n v="446.9"/>
    <s v="ADNAN"/>
    <m/>
    <x v="0"/>
    <x v="0"/>
    <n v="0"/>
    <n v="0"/>
    <x v="0"/>
    <x v="0"/>
    <m/>
    <x v="0"/>
    <x v="0"/>
    <x v="0"/>
    <x v="0"/>
    <x v="0"/>
    <n v="0"/>
    <n v="0"/>
    <n v="0"/>
    <n v="12"/>
    <x v="1"/>
    <x v="0"/>
    <m/>
    <x v="0"/>
    <m/>
    <x v="0"/>
    <x v="2"/>
    <x v="0"/>
    <x v="0"/>
    <x v="0"/>
  </r>
  <r>
    <x v="1"/>
    <x v="6"/>
    <n v="2782"/>
    <x v="65"/>
    <s v="MATCO FOOD"/>
    <s v="LDN"/>
    <s v="29-29.5"/>
    <s v="88 G+-1"/>
    <s v="SL"/>
    <s v="880 KG"/>
    <x v="0"/>
    <n v="5"/>
    <n v="619.20000000000005"/>
    <n v="17.600000000000001"/>
    <n v="6"/>
    <x v="0"/>
    <n v="601.6"/>
    <s v="ADNAN"/>
    <m/>
    <x v="0"/>
    <x v="0"/>
    <n v="0"/>
    <n v="0"/>
    <x v="0"/>
    <x v="0"/>
    <m/>
    <x v="0"/>
    <x v="0"/>
    <x v="0"/>
    <x v="0"/>
    <x v="0"/>
    <n v="0"/>
    <n v="0"/>
    <n v="0"/>
    <n v="12"/>
    <x v="1"/>
    <x v="0"/>
    <m/>
    <x v="0"/>
    <m/>
    <x v="0"/>
    <x v="2"/>
    <x v="0"/>
    <x v="0"/>
    <x v="0"/>
  </r>
  <r>
    <x v="0"/>
    <x v="0"/>
    <s v="3565 J"/>
    <x v="66"/>
    <s v="KGS Aluminium"/>
    <s v="LDN"/>
    <n v="7"/>
    <s v="10"/>
    <s v="پیور"/>
    <n v="150"/>
    <x v="0"/>
    <n v="4"/>
    <n v="157.20000000000002"/>
    <n v="3.2"/>
    <m/>
    <x v="0"/>
    <n v="154.00000000000003"/>
    <s v="ADNAN"/>
    <m/>
    <x v="0"/>
    <x v="0"/>
    <n v="0"/>
    <n v="0"/>
    <x v="0"/>
    <x v="0"/>
    <m/>
    <x v="0"/>
    <x v="0"/>
    <x v="0"/>
    <x v="0"/>
    <x v="0"/>
    <n v="0"/>
    <n v="0"/>
    <n v="0"/>
    <n v="12"/>
    <x v="1"/>
    <x v="0"/>
    <m/>
    <x v="0"/>
    <m/>
    <x v="0"/>
    <x v="2"/>
    <x v="0"/>
    <x v="0"/>
    <x v="0"/>
  </r>
  <r>
    <x v="1"/>
    <x v="0"/>
    <s v="3869 J"/>
    <x v="66"/>
    <s v="Subhan Cloth House"/>
    <s v="LD پیلا"/>
    <n v="17"/>
    <s v="7.5-8/15-16"/>
    <s v="پیور"/>
    <n v="120"/>
    <x v="0"/>
    <n v="3"/>
    <n v="174"/>
    <n v="2.7"/>
    <m/>
    <x v="0"/>
    <n v="171.3"/>
    <s v="ILYAS"/>
    <m/>
    <x v="0"/>
    <x v="0"/>
    <n v="0"/>
    <n v="0"/>
    <x v="0"/>
    <x v="0"/>
    <m/>
    <x v="0"/>
    <x v="0"/>
    <x v="0"/>
    <x v="0"/>
    <x v="0"/>
    <n v="0"/>
    <n v="0"/>
    <n v="0"/>
    <n v="12"/>
    <x v="1"/>
    <x v="0"/>
    <m/>
    <x v="0"/>
    <m/>
    <x v="0"/>
    <x v="2"/>
    <x v="0"/>
    <x v="0"/>
    <x v="0"/>
  </r>
  <r>
    <x v="0"/>
    <x v="2"/>
    <s v="3655 J"/>
    <x v="66"/>
    <s v="Blue Flower"/>
    <s v="LD بلو"/>
    <n v="16"/>
    <s v="10-10.5"/>
    <s v="ABA پیور"/>
    <n v="400"/>
    <x v="0"/>
    <n v="4"/>
    <n v="311"/>
    <n v="8"/>
    <m/>
    <x v="0"/>
    <n v="303"/>
    <s v="ADNAN"/>
    <m/>
    <x v="0"/>
    <x v="0"/>
    <n v="0"/>
    <n v="0"/>
    <x v="0"/>
    <x v="0"/>
    <m/>
    <x v="0"/>
    <x v="0"/>
    <x v="0"/>
    <x v="0"/>
    <x v="0"/>
    <n v="0"/>
    <n v="0"/>
    <n v="0"/>
    <n v="12"/>
    <x v="1"/>
    <x v="0"/>
    <m/>
    <x v="0"/>
    <m/>
    <x v="0"/>
    <x v="2"/>
    <x v="0"/>
    <x v="0"/>
    <x v="0"/>
  </r>
  <r>
    <x v="0"/>
    <x v="2"/>
    <s v="3660 J"/>
    <x v="66"/>
    <s v="Olper Blue"/>
    <s v="LD بلو"/>
    <n v="16"/>
    <s v="10-10.5"/>
    <s v="ABA پیور"/>
    <n v="150"/>
    <x v="0"/>
    <n v="1"/>
    <n v="90.4"/>
    <n v="0.8"/>
    <m/>
    <x v="0"/>
    <n v="89.600000000000009"/>
    <s v="ADNAN"/>
    <m/>
    <x v="0"/>
    <x v="0"/>
    <n v="0"/>
    <n v="0"/>
    <x v="0"/>
    <x v="0"/>
    <m/>
    <x v="0"/>
    <x v="0"/>
    <x v="0"/>
    <x v="0"/>
    <x v="0"/>
    <n v="0"/>
    <n v="0"/>
    <n v="0"/>
    <n v="12"/>
    <x v="1"/>
    <x v="0"/>
    <m/>
    <x v="0"/>
    <m/>
    <x v="0"/>
    <x v="2"/>
    <x v="0"/>
    <x v="0"/>
    <x v="0"/>
  </r>
  <r>
    <x v="1"/>
    <x v="2"/>
    <s v="3655 J"/>
    <x v="66"/>
    <s v="Blue Flower"/>
    <s v="LD بلو"/>
    <n v="16"/>
    <s v="10-10.5"/>
    <s v="ABA پیور"/>
    <n v="400"/>
    <x v="0"/>
    <n v="1"/>
    <n v="85.4"/>
    <n v="1.9"/>
    <m/>
    <x v="0"/>
    <n v="83.5"/>
    <s v="ILYAS"/>
    <m/>
    <x v="0"/>
    <x v="0"/>
    <n v="0"/>
    <n v="0"/>
    <x v="0"/>
    <x v="0"/>
    <m/>
    <x v="0"/>
    <x v="0"/>
    <x v="0"/>
    <x v="0"/>
    <x v="0"/>
    <n v="0"/>
    <n v="0"/>
    <n v="0"/>
    <n v="12"/>
    <x v="1"/>
    <x v="0"/>
    <m/>
    <x v="0"/>
    <m/>
    <x v="0"/>
    <x v="2"/>
    <x v="0"/>
    <x v="0"/>
    <x v="0"/>
  </r>
  <r>
    <x v="1"/>
    <x v="2"/>
    <s v="3659 J"/>
    <x v="66"/>
    <s v="Olper Blue"/>
    <s v="LD بلو"/>
    <n v="16"/>
    <s v="10-10.5"/>
    <s v="ABA پیور"/>
    <n v="150"/>
    <x v="0"/>
    <n v="2"/>
    <n v="187.8"/>
    <n v="3.8"/>
    <m/>
    <x v="0"/>
    <n v="184"/>
    <s v="ILYAS"/>
    <m/>
    <x v="0"/>
    <x v="0"/>
    <n v="0"/>
    <n v="0"/>
    <x v="0"/>
    <x v="0"/>
    <m/>
    <x v="0"/>
    <x v="0"/>
    <x v="0"/>
    <x v="0"/>
    <x v="0"/>
    <n v="0"/>
    <n v="0"/>
    <n v="0"/>
    <n v="12"/>
    <x v="1"/>
    <x v="0"/>
    <m/>
    <x v="0"/>
    <m/>
    <x v="0"/>
    <x v="2"/>
    <x v="0"/>
    <x v="0"/>
    <x v="0"/>
  </r>
  <r>
    <x v="1"/>
    <x v="2"/>
    <s v="3651 J"/>
    <x v="66"/>
    <s v="Fuseline Blue"/>
    <s v="LD بلو"/>
    <n v="12"/>
    <s v="8-8.5"/>
    <s v="ABA پیور"/>
    <n v="150"/>
    <x v="0"/>
    <n v="1"/>
    <n v="54.8"/>
    <n v="1.8"/>
    <m/>
    <x v="0"/>
    <n v="53"/>
    <s v="ILYAS"/>
    <m/>
    <x v="0"/>
    <x v="0"/>
    <n v="0"/>
    <n v="0"/>
    <x v="0"/>
    <x v="0"/>
    <m/>
    <x v="0"/>
    <x v="0"/>
    <x v="0"/>
    <x v="0"/>
    <x v="0"/>
    <n v="0"/>
    <n v="0"/>
    <n v="0"/>
    <n v="12"/>
    <x v="1"/>
    <x v="0"/>
    <m/>
    <x v="0"/>
    <m/>
    <x v="0"/>
    <x v="2"/>
    <x v="0"/>
    <x v="0"/>
    <x v="0"/>
  </r>
  <r>
    <x v="0"/>
    <x v="3"/>
    <s v="1994 F"/>
    <x v="66"/>
    <s v="KAPA OMNI"/>
    <s v="LDN"/>
    <n v="17.25"/>
    <s v="12"/>
    <s v="پیور"/>
    <n v="1000"/>
    <x v="0"/>
    <n v="3"/>
    <n v="192.4"/>
    <n v="6.1"/>
    <m/>
    <x v="0"/>
    <n v="186.3"/>
    <s v="ADNAN"/>
    <m/>
    <x v="0"/>
    <x v="0"/>
    <n v="0"/>
    <n v="0"/>
    <x v="0"/>
    <x v="0"/>
    <m/>
    <x v="0"/>
    <x v="0"/>
    <x v="0"/>
    <x v="0"/>
    <x v="0"/>
    <n v="0"/>
    <n v="0"/>
    <n v="0"/>
    <n v="12"/>
    <x v="1"/>
    <x v="0"/>
    <m/>
    <x v="0"/>
    <m/>
    <x v="0"/>
    <x v="2"/>
    <x v="0"/>
    <x v="0"/>
    <x v="0"/>
  </r>
  <r>
    <x v="0"/>
    <x v="3"/>
    <s v="1996 F"/>
    <x v="66"/>
    <s v="PLAIN POLY BAG"/>
    <s v="LDN"/>
    <n v="17"/>
    <s v="8"/>
    <s v="پیور"/>
    <n v="150"/>
    <x v="0"/>
    <n v="2"/>
    <n v="111.4"/>
    <n v="4"/>
    <m/>
    <x v="0"/>
    <n v="107.4"/>
    <s v="ADNAN"/>
    <m/>
    <x v="0"/>
    <x v="0"/>
    <n v="0"/>
    <n v="0"/>
    <x v="0"/>
    <x v="0"/>
    <m/>
    <x v="0"/>
    <x v="0"/>
    <x v="0"/>
    <x v="0"/>
    <x v="0"/>
    <n v="0"/>
    <n v="0"/>
    <n v="0"/>
    <n v="12"/>
    <x v="1"/>
    <x v="0"/>
    <m/>
    <x v="0"/>
    <m/>
    <x v="0"/>
    <x v="2"/>
    <x v="0"/>
    <x v="0"/>
    <x v="0"/>
  </r>
  <r>
    <x v="1"/>
    <x v="3"/>
    <s v="1996 F"/>
    <x v="66"/>
    <s v="PLAIN POLY BAG"/>
    <s v="LDN"/>
    <n v="17"/>
    <s v="8"/>
    <s v="پیور"/>
    <n v="150"/>
    <x v="0"/>
    <n v="1"/>
    <n v="50"/>
    <n v="2"/>
    <m/>
    <x v="0"/>
    <n v="48"/>
    <s v="ILYAS"/>
    <m/>
    <x v="0"/>
    <x v="0"/>
    <n v="0"/>
    <n v="0"/>
    <x v="0"/>
    <x v="0"/>
    <m/>
    <x v="0"/>
    <x v="0"/>
    <x v="0"/>
    <x v="0"/>
    <x v="0"/>
    <n v="0"/>
    <n v="0"/>
    <n v="0"/>
    <n v="12"/>
    <x v="1"/>
    <x v="0"/>
    <m/>
    <x v="0"/>
    <m/>
    <x v="0"/>
    <x v="2"/>
    <x v="0"/>
    <x v="0"/>
    <x v="0"/>
  </r>
  <r>
    <x v="1"/>
    <x v="3"/>
    <s v="1998 F"/>
    <x v="66"/>
    <s v="PLAIN POLY BAG"/>
    <s v="LDN"/>
    <n v="16"/>
    <s v="8"/>
    <s v="پیور"/>
    <n v="100"/>
    <x v="0"/>
    <n v="3"/>
    <n v="134.80000000000001"/>
    <n v="5.6999999999999993"/>
    <m/>
    <x v="0"/>
    <n v="129.10000000000002"/>
    <s v="ILYAS"/>
    <m/>
    <x v="0"/>
    <x v="0"/>
    <n v="0"/>
    <n v="0"/>
    <x v="0"/>
    <x v="0"/>
    <m/>
    <x v="0"/>
    <x v="0"/>
    <x v="0"/>
    <x v="0"/>
    <x v="0"/>
    <n v="0"/>
    <n v="0"/>
    <n v="0"/>
    <n v="12"/>
    <x v="1"/>
    <x v="0"/>
    <m/>
    <x v="0"/>
    <m/>
    <x v="0"/>
    <x v="2"/>
    <x v="0"/>
    <x v="0"/>
    <x v="0"/>
  </r>
  <r>
    <x v="1"/>
    <x v="3"/>
    <s v="2000 F"/>
    <x v="66"/>
    <s v="UHL WARNING"/>
    <s v="LDN"/>
    <n v="17"/>
    <s v="12"/>
    <s v="جیلانی شیٹ"/>
    <n v="500"/>
    <x v="0"/>
    <n v="2"/>
    <n v="144.19999999999999"/>
    <n v="4"/>
    <m/>
    <x v="0"/>
    <n v="140.19999999999999"/>
    <s v="ILYAS"/>
    <m/>
    <x v="0"/>
    <x v="0"/>
    <n v="0"/>
    <n v="0"/>
    <x v="0"/>
    <x v="0"/>
    <m/>
    <x v="0"/>
    <x v="0"/>
    <x v="0"/>
    <x v="0"/>
    <x v="0"/>
    <n v="0"/>
    <n v="0"/>
    <n v="0"/>
    <n v="12"/>
    <x v="1"/>
    <x v="0"/>
    <m/>
    <x v="0"/>
    <m/>
    <x v="0"/>
    <x v="2"/>
    <x v="0"/>
    <x v="0"/>
    <x v="0"/>
  </r>
  <r>
    <x v="0"/>
    <x v="6"/>
    <n v="2781"/>
    <x v="66"/>
    <s v="MATCO FOOD"/>
    <s v="LDN"/>
    <s v="23-23.5"/>
    <s v="70 G+-1"/>
    <s v="SL"/>
    <s v="4900 KG"/>
    <x v="0"/>
    <n v="4"/>
    <n v="435.40000000000003"/>
    <n v="11.2"/>
    <m/>
    <x v="0"/>
    <n v="424.20000000000005"/>
    <s v="ADNAN"/>
    <m/>
    <x v="0"/>
    <x v="0"/>
    <n v="0"/>
    <n v="0"/>
    <x v="0"/>
    <x v="0"/>
    <m/>
    <x v="0"/>
    <x v="0"/>
    <x v="0"/>
    <x v="0"/>
    <x v="0"/>
    <n v="0"/>
    <n v="0"/>
    <n v="0"/>
    <n v="12"/>
    <x v="1"/>
    <x v="0"/>
    <m/>
    <x v="0"/>
    <m/>
    <x v="0"/>
    <x v="2"/>
    <x v="0"/>
    <x v="0"/>
    <x v="0"/>
  </r>
  <r>
    <x v="0"/>
    <x v="6"/>
    <s v="3666 J"/>
    <x v="66"/>
    <s v="MIR Industry"/>
    <s v="LDN"/>
    <n v="22"/>
    <s v="9.5-10"/>
    <s v="پیور"/>
    <n v="300"/>
    <x v="0"/>
    <n v="2"/>
    <n v="134.4"/>
    <n v="5.2"/>
    <m/>
    <x v="0"/>
    <n v="129.20000000000002"/>
    <s v="ADNAN"/>
    <m/>
    <x v="0"/>
    <x v="0"/>
    <n v="0"/>
    <n v="0"/>
    <x v="0"/>
    <x v="0"/>
    <m/>
    <x v="0"/>
    <x v="0"/>
    <x v="0"/>
    <x v="0"/>
    <x v="0"/>
    <n v="0"/>
    <n v="0"/>
    <n v="0"/>
    <n v="12"/>
    <x v="1"/>
    <x v="0"/>
    <m/>
    <x v="0"/>
    <m/>
    <x v="0"/>
    <x v="2"/>
    <x v="0"/>
    <x v="0"/>
    <x v="0"/>
  </r>
  <r>
    <x v="1"/>
    <x v="6"/>
    <s v="3666 J"/>
    <x v="66"/>
    <s v="MIR Industry"/>
    <s v="LDN"/>
    <n v="22"/>
    <s v="9.5-10"/>
    <s v="پیور"/>
    <n v="300"/>
    <x v="0"/>
    <n v="2"/>
    <n v="168.2"/>
    <n v="5.2"/>
    <m/>
    <x v="0"/>
    <n v="163"/>
    <s v="ILYAS"/>
    <m/>
    <x v="0"/>
    <x v="0"/>
    <n v="0"/>
    <n v="0"/>
    <x v="0"/>
    <x v="0"/>
    <m/>
    <x v="0"/>
    <x v="0"/>
    <x v="0"/>
    <x v="0"/>
    <x v="0"/>
    <n v="0"/>
    <n v="0"/>
    <n v="0"/>
    <n v="12"/>
    <x v="1"/>
    <x v="0"/>
    <m/>
    <x v="0"/>
    <m/>
    <x v="0"/>
    <x v="2"/>
    <x v="0"/>
    <x v="0"/>
    <x v="0"/>
  </r>
  <r>
    <x v="1"/>
    <x v="6"/>
    <s v="1988 F"/>
    <x v="66"/>
    <s v="COMBINEND WARNING"/>
    <s v="LDN"/>
    <n v="34"/>
    <s v="7-7.5"/>
    <s v="پیور"/>
    <n v="230"/>
    <x v="0"/>
    <n v="3"/>
    <n v="250.60000000000002"/>
    <n v="12.1"/>
    <m/>
    <x v="0"/>
    <n v="238.50000000000003"/>
    <s v="ILYAS"/>
    <m/>
    <x v="0"/>
    <x v="0"/>
    <n v="0"/>
    <n v="0"/>
    <x v="0"/>
    <x v="0"/>
    <m/>
    <x v="0"/>
    <x v="0"/>
    <x v="0"/>
    <x v="0"/>
    <x v="0"/>
    <n v="0"/>
    <n v="0"/>
    <n v="0"/>
    <n v="12"/>
    <x v="1"/>
    <x v="0"/>
    <m/>
    <x v="0"/>
    <m/>
    <x v="0"/>
    <x v="2"/>
    <x v="0"/>
    <x v="0"/>
    <x v="0"/>
  </r>
  <r>
    <x v="1"/>
    <x v="6"/>
    <s v="1987 F"/>
    <x v="66"/>
    <s v="COMBINEND WARNING"/>
    <s v="LDN"/>
    <n v="30"/>
    <s v="7-7.5"/>
    <s v="پیور"/>
    <n v="170"/>
    <x v="0"/>
    <n v="3"/>
    <n v="159"/>
    <n v="10.8"/>
    <m/>
    <x v="0"/>
    <n v="148.19999999999999"/>
    <s v="ILYAS"/>
    <m/>
    <x v="0"/>
    <x v="0"/>
    <n v="0"/>
    <n v="0"/>
    <x v="0"/>
    <x v="0"/>
    <m/>
    <x v="0"/>
    <x v="0"/>
    <x v="0"/>
    <x v="0"/>
    <x v="0"/>
    <n v="0"/>
    <n v="0"/>
    <n v="0"/>
    <n v="12"/>
    <x v="1"/>
    <x v="0"/>
    <m/>
    <x v="0"/>
    <m/>
    <x v="0"/>
    <x v="2"/>
    <x v="0"/>
    <x v="0"/>
    <x v="0"/>
  </r>
  <r>
    <x v="1"/>
    <x v="4"/>
    <n v="2781"/>
    <x v="66"/>
    <s v="MATCO FOOD"/>
    <s v="LDN"/>
    <s v="23-23.5"/>
    <s v="70 G+-1"/>
    <s v="SL"/>
    <s v="4900 KG"/>
    <x v="0"/>
    <n v="4"/>
    <n v="435.8"/>
    <n v="11.2"/>
    <n v="108"/>
    <x v="0"/>
    <n v="424.6"/>
    <s v="ILYAS"/>
    <m/>
    <x v="0"/>
    <x v="0"/>
    <n v="0"/>
    <n v="0"/>
    <x v="0"/>
    <x v="0"/>
    <m/>
    <x v="0"/>
    <x v="0"/>
    <x v="0"/>
    <x v="0"/>
    <x v="0"/>
    <n v="0"/>
    <n v="0"/>
    <n v="0"/>
    <n v="12"/>
    <x v="1"/>
    <x v="0"/>
    <m/>
    <x v="0"/>
    <m/>
    <x v="0"/>
    <x v="2"/>
    <x v="0"/>
    <x v="0"/>
    <x v="0"/>
  </r>
  <r>
    <x v="1"/>
    <x v="4"/>
    <s v="QUALITY CHANGE"/>
    <x v="66"/>
    <s v="-"/>
    <s v="-"/>
    <s v="-"/>
    <s v="-"/>
    <s v="-"/>
    <s v="-"/>
    <x v="0"/>
    <n v="1"/>
    <n v="59.4"/>
    <n v="3.6"/>
    <m/>
    <x v="0"/>
    <n v="55.8"/>
    <s v="ILYAS"/>
    <m/>
    <x v="0"/>
    <x v="0"/>
    <n v="0"/>
    <n v="0"/>
    <x v="0"/>
    <x v="0"/>
    <m/>
    <x v="0"/>
    <x v="0"/>
    <x v="0"/>
    <x v="0"/>
    <x v="0"/>
    <n v="0"/>
    <n v="0"/>
    <n v="0"/>
    <n v="12"/>
    <x v="1"/>
    <x v="0"/>
    <m/>
    <x v="0"/>
    <m/>
    <x v="0"/>
    <x v="2"/>
    <x v="0"/>
    <x v="0"/>
    <x v="0"/>
  </r>
  <r>
    <x v="1"/>
    <x v="4"/>
    <s v="9531 A"/>
    <x v="66"/>
    <s v="-"/>
    <s v="-"/>
    <s v="-"/>
    <s v="-"/>
    <s v="-"/>
    <s v="-"/>
    <x v="0"/>
    <n v="2"/>
    <n v="211.6"/>
    <n v="6.4"/>
    <m/>
    <x v="0"/>
    <n v="205.2"/>
    <s v="ILYAS"/>
    <m/>
    <x v="0"/>
    <x v="0"/>
    <n v="0"/>
    <n v="0"/>
    <x v="0"/>
    <x v="0"/>
    <m/>
    <x v="0"/>
    <x v="0"/>
    <x v="0"/>
    <x v="0"/>
    <x v="0"/>
    <n v="0"/>
    <n v="0"/>
    <n v="0"/>
    <n v="12"/>
    <x v="1"/>
    <x v="0"/>
    <m/>
    <x v="0"/>
    <m/>
    <x v="0"/>
    <x v="2"/>
    <x v="0"/>
    <x v="0"/>
    <x v="0"/>
  </r>
  <r>
    <x v="0"/>
    <x v="0"/>
    <s v="3569 J"/>
    <x v="67"/>
    <s v="Golden Green Vally"/>
    <s v="LDN"/>
    <n v="7"/>
    <s v="14-14.5"/>
    <s v="پیور"/>
    <n v="250"/>
    <x v="0"/>
    <n v="2"/>
    <n v="113"/>
    <n v="1.9"/>
    <m/>
    <x v="0"/>
    <n v="111.1"/>
    <m/>
    <m/>
    <x v="0"/>
    <x v="0"/>
    <n v="0"/>
    <n v="0"/>
    <x v="0"/>
    <x v="0"/>
    <m/>
    <x v="0"/>
    <x v="0"/>
    <x v="0"/>
    <x v="0"/>
    <x v="0"/>
    <n v="0"/>
    <n v="0"/>
    <n v="0"/>
    <n v="12"/>
    <x v="1"/>
    <x v="0"/>
    <m/>
    <x v="0"/>
    <m/>
    <x v="0"/>
    <x v="2"/>
    <x v="0"/>
    <x v="0"/>
    <x v="0"/>
  </r>
  <r>
    <x v="0"/>
    <x v="0"/>
    <s v="1964 F"/>
    <x v="67"/>
    <s v="PLAIN POLY BAG"/>
    <s v="LDN"/>
    <n v="13"/>
    <s v="7-7.5"/>
    <s v="پیور"/>
    <n v="110"/>
    <x v="0"/>
    <n v="2"/>
    <n v="119.8"/>
    <n v="3.6"/>
    <m/>
    <x v="0"/>
    <n v="116.2"/>
    <m/>
    <m/>
    <x v="0"/>
    <x v="0"/>
    <n v="0"/>
    <n v="0"/>
    <x v="0"/>
    <x v="0"/>
    <m/>
    <x v="0"/>
    <x v="0"/>
    <x v="0"/>
    <x v="0"/>
    <x v="0"/>
    <n v="0"/>
    <n v="0"/>
    <n v="0"/>
    <n v="12"/>
    <x v="1"/>
    <x v="0"/>
    <m/>
    <x v="0"/>
    <m/>
    <x v="0"/>
    <x v="2"/>
    <x v="0"/>
    <x v="0"/>
    <x v="0"/>
  </r>
  <r>
    <x v="1"/>
    <x v="0"/>
    <s v="3688 J"/>
    <x v="67"/>
    <s v="Prime Aluminium"/>
    <s v="LDN"/>
    <n v="7"/>
    <n v="10"/>
    <s v="پیور"/>
    <n v="400"/>
    <x v="0"/>
    <n v="2"/>
    <n v="105.80000000000001"/>
    <n v="1.7000000000000002"/>
    <m/>
    <x v="0"/>
    <n v="104.10000000000001"/>
    <m/>
    <m/>
    <x v="0"/>
    <x v="0"/>
    <n v="0"/>
    <n v="0"/>
    <x v="0"/>
    <x v="0"/>
    <m/>
    <x v="0"/>
    <x v="0"/>
    <x v="0"/>
    <x v="0"/>
    <x v="0"/>
    <n v="0"/>
    <n v="0"/>
    <n v="0"/>
    <n v="12"/>
    <x v="1"/>
    <x v="0"/>
    <m/>
    <x v="0"/>
    <m/>
    <x v="0"/>
    <x v="2"/>
    <x v="0"/>
    <x v="0"/>
    <x v="0"/>
  </r>
  <r>
    <x v="0"/>
    <x v="2"/>
    <s v="3651 J"/>
    <x v="67"/>
    <s v="Fuseline Blue"/>
    <s v="LD بلو"/>
    <n v="12"/>
    <s v="8-8.5"/>
    <s v="ABA پیور"/>
    <n v="150"/>
    <x v="0"/>
    <n v="2"/>
    <n v="105"/>
    <n v="3"/>
    <m/>
    <x v="0"/>
    <n v="102"/>
    <m/>
    <m/>
    <x v="0"/>
    <x v="0"/>
    <n v="0"/>
    <n v="0"/>
    <x v="0"/>
    <x v="0"/>
    <m/>
    <x v="0"/>
    <x v="0"/>
    <x v="0"/>
    <x v="0"/>
    <x v="0"/>
    <n v="0"/>
    <n v="0"/>
    <n v="0"/>
    <n v="12"/>
    <x v="1"/>
    <x v="0"/>
    <m/>
    <x v="0"/>
    <m/>
    <x v="0"/>
    <x v="2"/>
    <x v="0"/>
    <x v="0"/>
    <x v="0"/>
  </r>
  <r>
    <x v="0"/>
    <x v="2"/>
    <s v="3656 J"/>
    <x v="67"/>
    <s v="Blue Flower"/>
    <s v="LD بلو"/>
    <n v="12"/>
    <s v="8-8.5"/>
    <s v="ABA پیور"/>
    <n v="100"/>
    <x v="0"/>
    <n v="2"/>
    <n v="111.4"/>
    <n v="3.1"/>
    <m/>
    <x v="0"/>
    <n v="108.30000000000001"/>
    <m/>
    <m/>
    <x v="0"/>
    <x v="0"/>
    <n v="0"/>
    <n v="0"/>
    <x v="0"/>
    <x v="0"/>
    <m/>
    <x v="0"/>
    <x v="0"/>
    <x v="0"/>
    <x v="0"/>
    <x v="0"/>
    <n v="0"/>
    <n v="0"/>
    <n v="0"/>
    <n v="12"/>
    <x v="1"/>
    <x v="0"/>
    <m/>
    <x v="0"/>
    <m/>
    <x v="0"/>
    <x v="2"/>
    <x v="0"/>
    <x v="0"/>
    <x v="0"/>
  </r>
  <r>
    <x v="0"/>
    <x v="2"/>
    <s v="3650 J"/>
    <x v="67"/>
    <s v="Fuseline Blue"/>
    <s v="LD بلو"/>
    <n v="12"/>
    <s v="8-8.5"/>
    <s v="ABA پیور"/>
    <n v="100"/>
    <x v="0"/>
    <n v="2"/>
    <n v="111.2"/>
    <n v="3.2"/>
    <m/>
    <x v="0"/>
    <n v="108"/>
    <m/>
    <m/>
    <x v="0"/>
    <x v="0"/>
    <n v="0"/>
    <n v="0"/>
    <x v="0"/>
    <x v="0"/>
    <m/>
    <x v="0"/>
    <x v="0"/>
    <x v="0"/>
    <x v="0"/>
    <x v="0"/>
    <n v="0"/>
    <n v="0"/>
    <n v="0"/>
    <n v="12"/>
    <x v="1"/>
    <x v="0"/>
    <m/>
    <x v="0"/>
    <m/>
    <x v="0"/>
    <x v="2"/>
    <x v="0"/>
    <x v="0"/>
    <x v="0"/>
  </r>
  <r>
    <x v="0"/>
    <x v="2"/>
    <s v="3654 J"/>
    <x v="67"/>
    <s v="Dark Blue BNC"/>
    <s v="LD بلو"/>
    <n v="12"/>
    <s v="10-10.5"/>
    <s v="ABA تھینکیو"/>
    <n v="150"/>
    <x v="0"/>
    <n v="1"/>
    <n v="61.6"/>
    <n v="1.6"/>
    <m/>
    <x v="0"/>
    <n v="60"/>
    <m/>
    <m/>
    <x v="0"/>
    <x v="0"/>
    <n v="0"/>
    <n v="0"/>
    <x v="0"/>
    <x v="0"/>
    <m/>
    <x v="0"/>
    <x v="0"/>
    <x v="0"/>
    <x v="0"/>
    <x v="0"/>
    <n v="0"/>
    <n v="0"/>
    <n v="0"/>
    <n v="12"/>
    <x v="1"/>
    <x v="0"/>
    <m/>
    <x v="0"/>
    <m/>
    <x v="0"/>
    <x v="2"/>
    <x v="0"/>
    <x v="0"/>
    <x v="0"/>
  </r>
  <r>
    <x v="1"/>
    <x v="2"/>
    <s v="3654 J"/>
    <x v="67"/>
    <s v="Dark Blue BNC"/>
    <s v="LD بلو"/>
    <n v="12"/>
    <s v="10-10.5"/>
    <s v="ABA تھینکیو"/>
    <n v="150"/>
    <x v="0"/>
    <n v="2"/>
    <n v="114.6"/>
    <n v="3"/>
    <m/>
    <x v="0"/>
    <n v="111.6"/>
    <m/>
    <m/>
    <x v="0"/>
    <x v="0"/>
    <n v="0"/>
    <n v="0"/>
    <x v="0"/>
    <x v="0"/>
    <m/>
    <x v="0"/>
    <x v="0"/>
    <x v="0"/>
    <x v="0"/>
    <x v="0"/>
    <n v="0"/>
    <n v="0"/>
    <n v="0"/>
    <n v="12"/>
    <x v="1"/>
    <x v="0"/>
    <m/>
    <x v="0"/>
    <m/>
    <x v="0"/>
    <x v="2"/>
    <x v="0"/>
    <x v="0"/>
    <x v="0"/>
  </r>
  <r>
    <x v="1"/>
    <x v="2"/>
    <s v="3653 J"/>
    <x v="67"/>
    <s v="Dark Blue BNC"/>
    <s v="LD بلو"/>
    <n v="16"/>
    <s v="10-10.5"/>
    <s v="ABA تھینکیو"/>
    <n v="200"/>
    <x v="0"/>
    <n v="2"/>
    <n v="177.6"/>
    <n v="2.4"/>
    <m/>
    <x v="0"/>
    <n v="175.2"/>
    <m/>
    <m/>
    <x v="0"/>
    <x v="0"/>
    <n v="0"/>
    <n v="0"/>
    <x v="0"/>
    <x v="0"/>
    <m/>
    <x v="0"/>
    <x v="0"/>
    <x v="0"/>
    <x v="0"/>
    <x v="0"/>
    <n v="0"/>
    <n v="0"/>
    <n v="0"/>
    <n v="12"/>
    <x v="1"/>
    <x v="0"/>
    <m/>
    <x v="0"/>
    <m/>
    <x v="0"/>
    <x v="2"/>
    <x v="0"/>
    <x v="0"/>
    <x v="0"/>
  </r>
  <r>
    <x v="1"/>
    <x v="2"/>
    <s v="3682 J"/>
    <x v="67"/>
    <s v="Jilani Lable"/>
    <s v="PP"/>
    <n v="16"/>
    <s v="5-5.5"/>
    <s v="-"/>
    <n v="300"/>
    <x v="0"/>
    <n v="2"/>
    <n v="171.5"/>
    <n v="2.4"/>
    <m/>
    <x v="0"/>
    <n v="169.1"/>
    <m/>
    <m/>
    <x v="0"/>
    <x v="0"/>
    <n v="0"/>
    <n v="0"/>
    <x v="0"/>
    <x v="0"/>
    <m/>
    <x v="0"/>
    <x v="0"/>
    <x v="0"/>
    <x v="0"/>
    <x v="0"/>
    <n v="0"/>
    <n v="0"/>
    <n v="0"/>
    <n v="12"/>
    <x v="1"/>
    <x v="0"/>
    <m/>
    <x v="0"/>
    <m/>
    <x v="0"/>
    <x v="2"/>
    <x v="0"/>
    <x v="0"/>
    <x v="0"/>
  </r>
  <r>
    <x v="0"/>
    <x v="4"/>
    <n v="2781"/>
    <x v="67"/>
    <s v="MATCO FOOD"/>
    <s v="LDN"/>
    <s v="23-23.5"/>
    <s v="70 G+-1"/>
    <s v="SL"/>
    <s v="4900 KG"/>
    <x v="0"/>
    <n v="2"/>
    <n v="158.80000000000001"/>
    <n v="5.6"/>
    <m/>
    <x v="0"/>
    <n v="153.20000000000002"/>
    <m/>
    <m/>
    <x v="0"/>
    <x v="0"/>
    <n v="0"/>
    <n v="0"/>
    <x v="0"/>
    <x v="0"/>
    <n v="60"/>
    <x v="0"/>
    <x v="0"/>
    <x v="0"/>
    <x v="0"/>
    <x v="0"/>
    <n v="60"/>
    <n v="1"/>
    <n v="1"/>
    <n v="11"/>
    <x v="1"/>
    <x v="0"/>
    <m/>
    <x v="0"/>
    <m/>
    <x v="0"/>
    <x v="2"/>
    <x v="0"/>
    <x v="0"/>
    <x v="0"/>
  </r>
  <r>
    <x v="0"/>
    <x v="4"/>
    <s v="26/16"/>
    <x v="67"/>
    <s v="-"/>
    <s v="-"/>
    <s v="-"/>
    <s v="-"/>
    <s v="-"/>
    <s v="-"/>
    <x v="0"/>
    <n v="2"/>
    <n v="244.2"/>
    <n v="7.2"/>
    <m/>
    <x v="0"/>
    <n v="237"/>
    <m/>
    <m/>
    <x v="0"/>
    <x v="0"/>
    <n v="0"/>
    <n v="0"/>
    <x v="0"/>
    <x v="0"/>
    <m/>
    <x v="0"/>
    <x v="0"/>
    <x v="0"/>
    <x v="0"/>
    <x v="0"/>
    <n v="0"/>
    <n v="0"/>
    <n v="0"/>
    <n v="12"/>
    <x v="1"/>
    <x v="0"/>
    <m/>
    <x v="0"/>
    <m/>
    <x v="0"/>
    <x v="2"/>
    <x v="0"/>
    <x v="0"/>
    <x v="0"/>
  </r>
  <r>
    <x v="1"/>
    <x v="4"/>
    <s v="3581 J"/>
    <x v="67"/>
    <s v="MTB Sports"/>
    <s v="LDM"/>
    <s v="432 MM"/>
    <s v="-"/>
    <s v="ABA تھینکیو"/>
    <n v="200"/>
    <x v="0"/>
    <n v="2"/>
    <n v="48.8"/>
    <n v="4.4000000000000004"/>
    <m/>
    <x v="0"/>
    <n v="44.4"/>
    <m/>
    <n v="10"/>
    <x v="0"/>
    <x v="0"/>
    <n v="10"/>
    <n v="0.16666666666666666"/>
    <x v="0"/>
    <x v="0"/>
    <n v="300"/>
    <x v="0"/>
    <x v="0"/>
    <x v="0"/>
    <x v="2"/>
    <x v="0"/>
    <n v="350"/>
    <n v="5.833333333333333"/>
    <n v="6"/>
    <n v="6"/>
    <x v="1"/>
    <x v="0"/>
    <m/>
    <x v="0"/>
    <m/>
    <x v="0"/>
    <x v="2"/>
    <x v="0"/>
    <x v="0"/>
    <x v="0"/>
  </r>
  <r>
    <x v="1"/>
    <x v="4"/>
    <n v="2781"/>
    <x v="67"/>
    <s v="MATCO FOOD"/>
    <s v="LDN"/>
    <s v="23-23.5"/>
    <s v="70 G+-1"/>
    <s v="SL"/>
    <s v="4900 KG"/>
    <x v="0"/>
    <n v="1"/>
    <n v="112.6"/>
    <n v="2.8"/>
    <m/>
    <x v="0"/>
    <n v="109.8"/>
    <m/>
    <m/>
    <x v="0"/>
    <x v="0"/>
    <n v="0"/>
    <n v="0"/>
    <x v="0"/>
    <x v="0"/>
    <m/>
    <x v="0"/>
    <x v="0"/>
    <x v="0"/>
    <x v="0"/>
    <x v="0"/>
    <n v="0"/>
    <n v="0"/>
    <n v="0"/>
    <n v="12"/>
    <x v="1"/>
    <x v="0"/>
    <m/>
    <x v="0"/>
    <m/>
    <x v="0"/>
    <x v="2"/>
    <x v="0"/>
    <x v="0"/>
    <x v="0"/>
  </r>
  <r>
    <x v="0"/>
    <x v="5"/>
    <s v="8006 F"/>
    <x v="67"/>
    <s v="-"/>
    <s v="-"/>
    <s v="-"/>
    <s v="-"/>
    <s v="-"/>
    <s v="-"/>
    <x v="0"/>
    <n v="1"/>
    <n v="66.400000000000006"/>
    <n v="3.5"/>
    <m/>
    <x v="0"/>
    <n v="62.900000000000006"/>
    <m/>
    <m/>
    <x v="0"/>
    <x v="0"/>
    <n v="0"/>
    <n v="0"/>
    <x v="0"/>
    <x v="0"/>
    <m/>
    <x v="0"/>
    <x v="0"/>
    <x v="0"/>
    <x v="0"/>
    <x v="0"/>
    <n v="0"/>
    <n v="0"/>
    <n v="0"/>
    <n v="12"/>
    <x v="1"/>
    <x v="0"/>
    <m/>
    <x v="0"/>
    <m/>
    <x v="0"/>
    <x v="2"/>
    <x v="0"/>
    <x v="0"/>
    <x v="0"/>
  </r>
  <r>
    <x v="1"/>
    <x v="5"/>
    <s v="2004 F"/>
    <x v="67"/>
    <s v="WARING+RECYCLE LOGO"/>
    <s v="LDN"/>
    <n v="25"/>
    <s v="7-7.5"/>
    <s v="جیلانی شیٹ"/>
    <n v="85"/>
    <x v="0"/>
    <n v="1"/>
    <n v="66"/>
    <n v="3.1"/>
    <m/>
    <x v="0"/>
    <n v="62.9"/>
    <m/>
    <m/>
    <x v="0"/>
    <x v="0"/>
    <n v="0"/>
    <n v="0"/>
    <x v="0"/>
    <x v="0"/>
    <m/>
    <x v="0"/>
    <x v="0"/>
    <x v="0"/>
    <x v="0"/>
    <x v="0"/>
    <n v="0"/>
    <n v="0"/>
    <n v="0"/>
    <n v="12"/>
    <x v="1"/>
    <x v="0"/>
    <m/>
    <x v="0"/>
    <m/>
    <x v="0"/>
    <x v="2"/>
    <x v="0"/>
    <x v="0"/>
    <x v="0"/>
  </r>
  <r>
    <x v="1"/>
    <x v="5"/>
    <s v="1991 F"/>
    <x v="67"/>
    <s v="DUBBLE TREAT ROLL"/>
    <s v="LDN"/>
    <n v="21"/>
    <s v="7-7.5"/>
    <s v="پیور"/>
    <n v="600"/>
    <x v="0"/>
    <n v="6"/>
    <n v="294.60000000000002"/>
    <n v="13.600000000000001"/>
    <m/>
    <x v="0"/>
    <n v="281"/>
    <m/>
    <m/>
    <x v="0"/>
    <x v="0"/>
    <n v="0"/>
    <n v="0"/>
    <x v="0"/>
    <x v="0"/>
    <m/>
    <x v="0"/>
    <x v="0"/>
    <x v="0"/>
    <x v="0"/>
    <x v="0"/>
    <n v="0"/>
    <n v="0"/>
    <n v="0"/>
    <n v="12"/>
    <x v="1"/>
    <x v="0"/>
    <m/>
    <x v="0"/>
    <m/>
    <x v="0"/>
    <x v="2"/>
    <x v="0"/>
    <x v="0"/>
    <x v="0"/>
  </r>
  <r>
    <x v="0"/>
    <x v="0"/>
    <s v="3688 J"/>
    <x v="68"/>
    <s v="Prime Aluminium"/>
    <s v="LDN"/>
    <n v="7"/>
    <n v="10"/>
    <s v="پیور"/>
    <n v="400"/>
    <x v="0"/>
    <n v="1"/>
    <n v="57.4"/>
    <n v="0.9"/>
    <m/>
    <x v="0"/>
    <n v="56.5"/>
    <m/>
    <m/>
    <x v="0"/>
    <x v="0"/>
    <n v="0"/>
    <n v="0"/>
    <x v="0"/>
    <x v="0"/>
    <m/>
    <x v="0"/>
    <x v="0"/>
    <x v="0"/>
    <x v="0"/>
    <x v="0"/>
    <n v="0"/>
    <n v="0"/>
    <n v="0"/>
    <n v="12"/>
    <x v="1"/>
    <x v="0"/>
    <n v="1874"/>
    <x v="0"/>
    <n v="1500"/>
    <x v="0"/>
    <x v="0"/>
    <x v="0"/>
    <x v="0"/>
    <x v="0"/>
  </r>
  <r>
    <x v="0"/>
    <x v="0"/>
    <s v="3689 J"/>
    <x v="68"/>
    <s v="Prime Aluminium"/>
    <s v="LDN"/>
    <n v="8"/>
    <n v="10"/>
    <s v="پیور"/>
    <n v="400"/>
    <x v="0"/>
    <n v="1"/>
    <n v="64"/>
    <n v="1.1000000000000001"/>
    <n v="36"/>
    <x v="0"/>
    <n v="62.9"/>
    <m/>
    <m/>
    <x v="0"/>
    <x v="0"/>
    <n v="0"/>
    <n v="0"/>
    <x v="0"/>
    <x v="0"/>
    <m/>
    <x v="0"/>
    <x v="0"/>
    <x v="0"/>
    <x v="0"/>
    <x v="0"/>
    <n v="0"/>
    <n v="0"/>
    <n v="0"/>
    <n v="12"/>
    <x v="1"/>
    <x v="0"/>
    <m/>
    <x v="0"/>
    <m/>
    <x v="0"/>
    <x v="0"/>
    <x v="0"/>
    <x v="0"/>
    <x v="0"/>
  </r>
  <r>
    <x v="1"/>
    <x v="0"/>
    <s v="3689 J"/>
    <x v="68"/>
    <s v="Prime Aluminium"/>
    <s v="LDN"/>
    <n v="8"/>
    <n v="10"/>
    <s v="پیور"/>
    <n v="400"/>
    <x v="0"/>
    <n v="1"/>
    <n v="45.2"/>
    <n v="0.8"/>
    <n v="15"/>
    <x v="0"/>
    <n v="44.400000000000006"/>
    <m/>
    <m/>
    <x v="0"/>
    <x v="0"/>
    <n v="0"/>
    <n v="0"/>
    <x v="0"/>
    <x v="0"/>
    <m/>
    <x v="0"/>
    <x v="0"/>
    <x v="0"/>
    <x v="0"/>
    <x v="0"/>
    <n v="0"/>
    <n v="0"/>
    <n v="0"/>
    <n v="12"/>
    <x v="1"/>
    <x v="0"/>
    <m/>
    <x v="0"/>
    <n v="1700"/>
    <x v="0"/>
    <x v="0"/>
    <x v="0"/>
    <x v="0"/>
    <x v="0"/>
  </r>
  <r>
    <x v="1"/>
    <x v="0"/>
    <s v="3667 J"/>
    <x v="68"/>
    <s v="Shah Jee Achar"/>
    <s v="LDN"/>
    <n v="5"/>
    <s v="12-12.5"/>
    <s v="پیور"/>
    <n v="500"/>
    <x v="0"/>
    <n v="3"/>
    <n v="109.4"/>
    <n v="2.0999999999999996"/>
    <m/>
    <x v="0"/>
    <n v="107.30000000000001"/>
    <m/>
    <m/>
    <x v="0"/>
    <x v="0"/>
    <n v="0"/>
    <n v="0"/>
    <x v="0"/>
    <x v="0"/>
    <m/>
    <x v="0"/>
    <x v="0"/>
    <x v="0"/>
    <x v="0"/>
    <x v="0"/>
    <n v="0"/>
    <n v="0"/>
    <n v="0"/>
    <n v="12"/>
    <x v="1"/>
    <x v="0"/>
    <m/>
    <x v="0"/>
    <m/>
    <x v="0"/>
    <x v="0"/>
    <x v="0"/>
    <x v="0"/>
    <x v="0"/>
  </r>
  <r>
    <x v="0"/>
    <x v="2"/>
    <s v="3652 J"/>
    <x v="68"/>
    <s v="Dark Blue BNC"/>
    <s v="LD بلو"/>
    <n v="16"/>
    <s v="10-10.5"/>
    <s v="ABA تھینکیو"/>
    <n v="200"/>
    <x v="0"/>
    <n v="2"/>
    <n v="123.7"/>
    <n v="3.8"/>
    <m/>
    <x v="0"/>
    <n v="119.9"/>
    <m/>
    <n v="20"/>
    <x v="0"/>
    <x v="0"/>
    <n v="20"/>
    <n v="0.33333333333333331"/>
    <x v="0"/>
    <x v="0"/>
    <m/>
    <x v="0"/>
    <x v="0"/>
    <x v="0"/>
    <x v="0"/>
    <x v="0"/>
    <n v="0"/>
    <n v="0"/>
    <n v="0.33333333333333331"/>
    <n v="11.666666666666666"/>
    <x v="1"/>
    <x v="0"/>
    <m/>
    <x v="0"/>
    <m/>
    <x v="0"/>
    <x v="0"/>
    <x v="0"/>
    <x v="0"/>
    <x v="0"/>
  </r>
  <r>
    <x v="0"/>
    <x v="2"/>
    <s v="3655 J"/>
    <x v="68"/>
    <s v="Blue Flower"/>
    <s v="LD بلو"/>
    <n v="16"/>
    <s v="10-10.5"/>
    <s v="ABA پیور"/>
    <n v="400"/>
    <x v="0"/>
    <n v="1"/>
    <n v="41.2"/>
    <n v="1.9"/>
    <m/>
    <x v="0"/>
    <n v="39.300000000000004"/>
    <m/>
    <m/>
    <x v="0"/>
    <x v="0"/>
    <n v="0"/>
    <n v="0"/>
    <x v="0"/>
    <x v="0"/>
    <m/>
    <x v="0"/>
    <x v="0"/>
    <x v="0"/>
    <x v="0"/>
    <x v="0"/>
    <n v="0"/>
    <n v="0"/>
    <n v="0"/>
    <n v="12"/>
    <x v="1"/>
    <x v="0"/>
    <m/>
    <x v="0"/>
    <m/>
    <x v="0"/>
    <x v="0"/>
    <x v="0"/>
    <x v="0"/>
    <x v="0"/>
  </r>
  <r>
    <x v="0"/>
    <x v="2"/>
    <s v="3661 J"/>
    <x v="68"/>
    <s v="Plain Lafafa"/>
    <s v="LD بلو"/>
    <n v="7"/>
    <s v="8-8.5"/>
    <s v="ABA تھینکیو"/>
    <n v="200"/>
    <x v="0"/>
    <n v="3"/>
    <n v="94.2"/>
    <n v="2.8"/>
    <m/>
    <x v="0"/>
    <n v="91.4"/>
    <m/>
    <m/>
    <x v="0"/>
    <x v="0"/>
    <n v="0"/>
    <n v="0"/>
    <x v="0"/>
    <x v="0"/>
    <m/>
    <x v="0"/>
    <x v="0"/>
    <x v="0"/>
    <x v="0"/>
    <x v="0"/>
    <n v="0"/>
    <n v="0"/>
    <n v="0"/>
    <n v="12"/>
    <x v="1"/>
    <x v="0"/>
    <m/>
    <x v="0"/>
    <m/>
    <x v="0"/>
    <x v="0"/>
    <x v="0"/>
    <x v="0"/>
    <x v="0"/>
  </r>
  <r>
    <x v="0"/>
    <x v="2"/>
    <s v="3580 J"/>
    <x v="68"/>
    <s v="LongLife Green Black"/>
    <s v="LD سی گرین"/>
    <s v="428 MM"/>
    <s v="-"/>
    <s v="ABA تھینکیو"/>
    <n v="375"/>
    <x v="0"/>
    <n v="1"/>
    <n v="36.200000000000003"/>
    <n v="2.2000000000000002"/>
    <m/>
    <x v="0"/>
    <n v="34"/>
    <m/>
    <m/>
    <x v="0"/>
    <x v="0"/>
    <n v="0"/>
    <n v="0"/>
    <x v="0"/>
    <x v="0"/>
    <m/>
    <x v="0"/>
    <x v="0"/>
    <x v="0"/>
    <x v="0"/>
    <x v="0"/>
    <n v="0"/>
    <n v="0"/>
    <n v="0"/>
    <n v="12"/>
    <x v="1"/>
    <x v="0"/>
    <m/>
    <x v="0"/>
    <m/>
    <x v="0"/>
    <x v="0"/>
    <x v="0"/>
    <x v="0"/>
    <x v="0"/>
  </r>
  <r>
    <x v="1"/>
    <x v="2"/>
    <s v="3580 J"/>
    <x v="68"/>
    <s v="LongLife Green Black"/>
    <s v="LD سی گرین"/>
    <s v="428 MM"/>
    <s v="-"/>
    <s v="ABA تھینکیو"/>
    <n v="375"/>
    <x v="0"/>
    <n v="9"/>
    <n v="371.6"/>
    <n v="16.5"/>
    <m/>
    <x v="0"/>
    <n v="355.1"/>
    <m/>
    <m/>
    <x v="0"/>
    <x v="0"/>
    <n v="0"/>
    <n v="0"/>
    <x v="0"/>
    <x v="0"/>
    <m/>
    <x v="0"/>
    <x v="0"/>
    <x v="0"/>
    <x v="0"/>
    <x v="0"/>
    <n v="0"/>
    <n v="0"/>
    <n v="0"/>
    <n v="12"/>
    <x v="1"/>
    <x v="0"/>
    <m/>
    <x v="0"/>
    <m/>
    <x v="0"/>
    <x v="0"/>
    <x v="0"/>
    <x v="0"/>
    <x v="0"/>
  </r>
  <r>
    <x v="0"/>
    <x v="4"/>
    <n v="2781"/>
    <x v="68"/>
    <s v="MATCO FOOD"/>
    <s v="LDN"/>
    <s v="23-23.5"/>
    <s v="70 G+-1"/>
    <s v="SL"/>
    <s v="4900 KG"/>
    <x v="0"/>
    <n v="5"/>
    <n v="596.6"/>
    <n v="14"/>
    <m/>
    <x v="0"/>
    <n v="582.6"/>
    <m/>
    <n v="10"/>
    <x v="0"/>
    <x v="0"/>
    <n v="10"/>
    <n v="0.16666666666666666"/>
    <x v="0"/>
    <x v="0"/>
    <m/>
    <x v="0"/>
    <x v="0"/>
    <x v="0"/>
    <x v="0"/>
    <x v="0"/>
    <n v="0"/>
    <n v="0"/>
    <n v="0.16666666666666666"/>
    <n v="11.833333333333334"/>
    <x v="1"/>
    <x v="0"/>
    <m/>
    <x v="0"/>
    <m/>
    <x v="0"/>
    <x v="0"/>
    <x v="0"/>
    <x v="0"/>
    <x v="0"/>
  </r>
  <r>
    <x v="1"/>
    <x v="4"/>
    <n v="2781"/>
    <x v="68"/>
    <s v="MATCO FOOD"/>
    <s v="LDN"/>
    <s v="23-23.5"/>
    <s v="70 G+-1"/>
    <s v="SL"/>
    <s v="4900 KG"/>
    <x v="0"/>
    <n v="7"/>
    <n v="773.4"/>
    <n v="19.599999999999998"/>
    <m/>
    <x v="0"/>
    <n v="753.8"/>
    <m/>
    <m/>
    <x v="0"/>
    <x v="0"/>
    <n v="0"/>
    <n v="0"/>
    <x v="0"/>
    <x v="0"/>
    <m/>
    <x v="0"/>
    <x v="0"/>
    <x v="0"/>
    <x v="0"/>
    <x v="0"/>
    <n v="0"/>
    <n v="0"/>
    <n v="0"/>
    <n v="12"/>
    <x v="1"/>
    <x v="0"/>
    <m/>
    <x v="0"/>
    <m/>
    <x v="0"/>
    <x v="0"/>
    <x v="0"/>
    <x v="0"/>
    <x v="0"/>
  </r>
  <r>
    <x v="0"/>
    <x v="5"/>
    <s v="1991 F"/>
    <x v="68"/>
    <s v="DUBBLE TREAT ROLL"/>
    <s v="LDN"/>
    <n v="21"/>
    <s v="7-7.5"/>
    <s v="پیور"/>
    <n v="600"/>
    <x v="0"/>
    <n v="7"/>
    <n v="342.79999999999995"/>
    <n v="19.599999999999998"/>
    <m/>
    <x v="0"/>
    <n v="323.19999999999993"/>
    <m/>
    <m/>
    <x v="0"/>
    <x v="0"/>
    <n v="0"/>
    <n v="0"/>
    <x v="0"/>
    <x v="0"/>
    <m/>
    <x v="0"/>
    <x v="0"/>
    <x v="0"/>
    <x v="0"/>
    <x v="0"/>
    <n v="0"/>
    <n v="0"/>
    <n v="0"/>
    <n v="12"/>
    <x v="1"/>
    <x v="0"/>
    <m/>
    <x v="0"/>
    <m/>
    <x v="0"/>
    <x v="0"/>
    <x v="0"/>
    <x v="0"/>
    <x v="0"/>
  </r>
  <r>
    <x v="1"/>
    <x v="5"/>
    <s v="3501 J"/>
    <x v="68"/>
    <s v="M2"/>
    <s v="LDM"/>
    <n v="14"/>
    <s v="20-20.5"/>
    <s v="پیور"/>
    <n v="200"/>
    <x v="0"/>
    <n v="3"/>
    <n v="199.8"/>
    <n v="5.2"/>
    <m/>
    <x v="0"/>
    <n v="194.60000000000002"/>
    <m/>
    <m/>
    <x v="0"/>
    <x v="0"/>
    <n v="0"/>
    <n v="0"/>
    <x v="0"/>
    <x v="0"/>
    <m/>
    <x v="0"/>
    <x v="0"/>
    <x v="0"/>
    <x v="0"/>
    <x v="0"/>
    <n v="0"/>
    <n v="0"/>
    <n v="0"/>
    <n v="12"/>
    <x v="1"/>
    <x v="0"/>
    <m/>
    <x v="0"/>
    <m/>
    <x v="0"/>
    <x v="0"/>
    <x v="0"/>
    <x v="0"/>
    <x v="0"/>
  </r>
  <r>
    <x v="1"/>
    <x v="5"/>
    <s v="1997 F"/>
    <x v="68"/>
    <s v="PLAIN POLY BAG"/>
    <s v="LDN"/>
    <n v="14"/>
    <s v="8"/>
    <s v="پیور"/>
    <n v="200"/>
    <x v="0"/>
    <n v="5"/>
    <n v="171.4"/>
    <n v="8.5"/>
    <m/>
    <x v="0"/>
    <n v="162.9"/>
    <m/>
    <m/>
    <x v="0"/>
    <x v="0"/>
    <n v="0"/>
    <n v="0"/>
    <x v="0"/>
    <x v="0"/>
    <m/>
    <x v="0"/>
    <x v="0"/>
    <x v="0"/>
    <x v="0"/>
    <x v="0"/>
    <n v="0"/>
    <n v="0"/>
    <n v="0"/>
    <n v="12"/>
    <x v="1"/>
    <x v="0"/>
    <m/>
    <x v="0"/>
    <m/>
    <x v="0"/>
    <x v="0"/>
    <x v="0"/>
    <x v="0"/>
    <x v="0"/>
  </r>
  <r>
    <x v="0"/>
    <x v="0"/>
    <s v="3667 J"/>
    <x v="69"/>
    <s v="Shah Jee Achar"/>
    <s v="LDN"/>
    <n v="5"/>
    <s v="12-12.5"/>
    <s v="پیور"/>
    <n v="500"/>
    <x v="0"/>
    <n v="4"/>
    <n v="168.1"/>
    <n v="2.8"/>
    <n v="67"/>
    <x v="0"/>
    <n v="165.29999999999998"/>
    <m/>
    <m/>
    <x v="0"/>
    <x v="0"/>
    <n v="0"/>
    <n v="0"/>
    <x v="0"/>
    <x v="0"/>
    <m/>
    <x v="0"/>
    <x v="0"/>
    <x v="0"/>
    <x v="0"/>
    <x v="0"/>
    <n v="0"/>
    <n v="0"/>
    <n v="0"/>
    <n v="12"/>
    <x v="1"/>
    <x v="0"/>
    <m/>
    <x v="0"/>
    <m/>
    <x v="0"/>
    <x v="0"/>
    <x v="0"/>
    <x v="0"/>
    <x v="0"/>
  </r>
  <r>
    <x v="1"/>
    <x v="0"/>
    <s v="3667 J"/>
    <x v="69"/>
    <s v="Shah Jee Achar"/>
    <s v="LDN"/>
    <n v="5"/>
    <s v="12-12.5"/>
    <s v="پیور"/>
    <n v="500"/>
    <x v="0"/>
    <n v="3"/>
    <n v="121.19999999999999"/>
    <n v="2.0999999999999996"/>
    <n v="162"/>
    <x v="0"/>
    <n v="119.1"/>
    <m/>
    <m/>
    <x v="0"/>
    <x v="0"/>
    <n v="0"/>
    <n v="0"/>
    <x v="0"/>
    <x v="0"/>
    <m/>
    <x v="0"/>
    <x v="0"/>
    <x v="0"/>
    <x v="0"/>
    <x v="0"/>
    <n v="0"/>
    <n v="0"/>
    <n v="0"/>
    <n v="12"/>
    <x v="1"/>
    <x v="0"/>
    <m/>
    <x v="0"/>
    <m/>
    <x v="0"/>
    <x v="0"/>
    <x v="0"/>
    <x v="0"/>
    <x v="0"/>
  </r>
  <r>
    <x v="0"/>
    <x v="2"/>
    <s v="3575 J"/>
    <x v="69"/>
    <s v="Plain Lafafa"/>
    <s v="LD گرین"/>
    <n v="14"/>
    <s v="10-10.5"/>
    <s v="ABA تھینکیو"/>
    <n v="200"/>
    <x v="0"/>
    <n v="7"/>
    <n v="273.59999999999997"/>
    <n v="15.400000000000002"/>
    <m/>
    <x v="0"/>
    <n v="258.2"/>
    <m/>
    <m/>
    <x v="0"/>
    <x v="2"/>
    <n v="180"/>
    <n v="3"/>
    <x v="0"/>
    <x v="0"/>
    <m/>
    <x v="0"/>
    <x v="0"/>
    <x v="0"/>
    <x v="3"/>
    <x v="0"/>
    <n v="30"/>
    <n v="0.5"/>
    <n v="3.5"/>
    <n v="8.5"/>
    <x v="1"/>
    <x v="0"/>
    <m/>
    <x v="0"/>
    <m/>
    <x v="0"/>
    <x v="0"/>
    <x v="0"/>
    <x v="0"/>
    <x v="0"/>
  </r>
  <r>
    <x v="0"/>
    <x v="2"/>
    <s v="3691 J"/>
    <x v="69"/>
    <s v="Ahsan Fayaz Cloth House"/>
    <s v="LDM"/>
    <s v="12+3+3"/>
    <s v="7-7.5/14-15"/>
    <s v="ABA پیور"/>
    <n v="110"/>
    <x v="0"/>
    <n v="4"/>
    <n v="126.4"/>
    <n v="6"/>
    <m/>
    <x v="0"/>
    <n v="120.4"/>
    <m/>
    <n v="3"/>
    <x v="0"/>
    <x v="0"/>
    <n v="3"/>
    <n v="0.05"/>
    <x v="0"/>
    <x v="0"/>
    <m/>
    <x v="0"/>
    <x v="0"/>
    <x v="0"/>
    <x v="0"/>
    <x v="0"/>
    <n v="0"/>
    <n v="0"/>
    <n v="0.05"/>
    <n v="11.95"/>
    <x v="1"/>
    <x v="0"/>
    <m/>
    <x v="0"/>
    <m/>
    <x v="0"/>
    <x v="0"/>
    <x v="0"/>
    <x v="0"/>
    <x v="0"/>
  </r>
  <r>
    <x v="1"/>
    <x v="2"/>
    <s v="3649 J"/>
    <x v="69"/>
    <s v="Lucky Gaments"/>
    <s v="LDM"/>
    <n v="20"/>
    <s v="8-8.5/16-17"/>
    <s v="ABA پیور"/>
    <n v="100"/>
    <x v="0"/>
    <n v="2"/>
    <n v="111.2"/>
    <n v="4.9000000000000004"/>
    <m/>
    <x v="0"/>
    <n v="106.3"/>
    <m/>
    <m/>
    <x v="0"/>
    <x v="0"/>
    <n v="0"/>
    <n v="0"/>
    <x v="0"/>
    <x v="0"/>
    <m/>
    <x v="0"/>
    <x v="0"/>
    <x v="0"/>
    <x v="0"/>
    <x v="0"/>
    <n v="0"/>
    <n v="0"/>
    <n v="0"/>
    <n v="12"/>
    <x v="1"/>
    <x v="0"/>
    <m/>
    <x v="0"/>
    <m/>
    <x v="0"/>
    <x v="0"/>
    <x v="0"/>
    <x v="0"/>
    <x v="0"/>
  </r>
  <r>
    <x v="1"/>
    <x v="2"/>
    <s v="3579 J"/>
    <x v="69"/>
    <s v="LongLife Eco Yellow"/>
    <s v="LDM"/>
    <s v="428 MM"/>
    <s v="-"/>
    <s v="ABA تھینکیو"/>
    <n v="350"/>
    <x v="0"/>
    <n v="3"/>
    <n v="115.60000000000001"/>
    <n v="6.1"/>
    <m/>
    <x v="0"/>
    <n v="109.50000000000001"/>
    <m/>
    <m/>
    <x v="0"/>
    <x v="0"/>
    <n v="0"/>
    <n v="0"/>
    <x v="0"/>
    <x v="0"/>
    <m/>
    <x v="0"/>
    <x v="0"/>
    <x v="0"/>
    <x v="0"/>
    <x v="0"/>
    <n v="0"/>
    <n v="0"/>
    <n v="0"/>
    <n v="12"/>
    <x v="1"/>
    <x v="0"/>
    <m/>
    <x v="0"/>
    <m/>
    <x v="0"/>
    <x v="0"/>
    <x v="0"/>
    <x v="0"/>
    <x v="0"/>
  </r>
  <r>
    <x v="1"/>
    <x v="2"/>
    <s v="2865 J"/>
    <x v="69"/>
    <s v="ایڈمرل ہیوی ڈیوٹی"/>
    <s v="LDM"/>
    <s v="428 MM"/>
    <s v="-"/>
    <s v="ABA تھینکیو"/>
    <n v="100"/>
    <x v="0"/>
    <n v="2"/>
    <n v="78.800000000000011"/>
    <n v="4.3000000000000007"/>
    <m/>
    <x v="0"/>
    <n v="74.500000000000014"/>
    <m/>
    <m/>
    <x v="0"/>
    <x v="0"/>
    <n v="0"/>
    <n v="0"/>
    <x v="0"/>
    <x v="0"/>
    <m/>
    <x v="0"/>
    <x v="0"/>
    <x v="0"/>
    <x v="0"/>
    <x v="0"/>
    <n v="0"/>
    <n v="0"/>
    <n v="0"/>
    <n v="12"/>
    <x v="1"/>
    <x v="0"/>
    <m/>
    <x v="0"/>
    <m/>
    <x v="0"/>
    <x v="0"/>
    <x v="0"/>
    <x v="0"/>
    <x v="0"/>
  </r>
  <r>
    <x v="1"/>
    <x v="3"/>
    <s v="3726 J"/>
    <x v="69"/>
    <s v="Plain Lafafa IHSAN Cotton "/>
    <s v="LDN"/>
    <n v="22"/>
    <n v="6"/>
    <s v="AA کولٹی"/>
    <n v="500"/>
    <x v="0"/>
    <n v="3"/>
    <n v="223.8"/>
    <n v="8.3999999999999986"/>
    <m/>
    <x v="0"/>
    <n v="215.4"/>
    <m/>
    <m/>
    <x v="0"/>
    <x v="0"/>
    <n v="0"/>
    <n v="0"/>
    <x v="0"/>
    <x v="0"/>
    <m/>
    <x v="0"/>
    <x v="0"/>
    <x v="0"/>
    <x v="0"/>
    <x v="0"/>
    <n v="0"/>
    <n v="0"/>
    <n v="0"/>
    <n v="12"/>
    <x v="1"/>
    <x v="0"/>
    <m/>
    <x v="0"/>
    <m/>
    <x v="0"/>
    <x v="0"/>
    <x v="0"/>
    <x v="0"/>
    <x v="0"/>
  </r>
  <r>
    <x v="0"/>
    <x v="4"/>
    <n v="2781"/>
    <x v="69"/>
    <s v="MATCO FOOD"/>
    <s v="LDN"/>
    <s v="23-23.5"/>
    <s v="70 G+-1"/>
    <s v="SL"/>
    <s v="4900 KG"/>
    <x v="0"/>
    <n v="2"/>
    <n v="178.2"/>
    <n v="5.6"/>
    <m/>
    <x v="0"/>
    <n v="172.6"/>
    <m/>
    <m/>
    <x v="0"/>
    <x v="0"/>
    <n v="0"/>
    <n v="0"/>
    <x v="0"/>
    <x v="0"/>
    <m/>
    <x v="0"/>
    <x v="0"/>
    <x v="0"/>
    <x v="0"/>
    <x v="0"/>
    <n v="0"/>
    <n v="0"/>
    <n v="0"/>
    <n v="12"/>
    <x v="1"/>
    <x v="0"/>
    <m/>
    <x v="0"/>
    <m/>
    <x v="0"/>
    <x v="0"/>
    <x v="0"/>
    <x v="0"/>
    <x v="0"/>
  </r>
  <r>
    <x v="1"/>
    <x v="4"/>
    <s v="3638 J"/>
    <x v="69"/>
    <s v="Gorilla Premium (1 kg)"/>
    <s v="LDN"/>
    <s v="525 MM"/>
    <s v="15-16/30-32"/>
    <s v="پیور"/>
    <n v="120"/>
    <x v="0"/>
    <n v="2"/>
    <n v="123.19999999999999"/>
    <n v="4.4000000000000004"/>
    <m/>
    <x v="0"/>
    <n v="118.79999999999998"/>
    <n v="5"/>
    <m/>
    <x v="0"/>
    <x v="0"/>
    <n v="0"/>
    <n v="0"/>
    <x v="0"/>
    <x v="0"/>
    <n v="240"/>
    <x v="0"/>
    <x v="0"/>
    <x v="0"/>
    <x v="0"/>
    <x v="0"/>
    <n v="240"/>
    <n v="4"/>
    <n v="4"/>
    <n v="8"/>
    <x v="1"/>
    <x v="0"/>
    <m/>
    <x v="0"/>
    <m/>
    <x v="0"/>
    <x v="0"/>
    <x v="0"/>
    <x v="0"/>
    <x v="0"/>
  </r>
  <r>
    <x v="1"/>
    <x v="4"/>
    <s v="3637 J"/>
    <x v="69"/>
    <s v="Gorilla Premium (1/2 kg)"/>
    <s v="LDN"/>
    <s v="525 MM"/>
    <s v="15-16/30-32"/>
    <s v="پیور"/>
    <n v="120"/>
    <x v="0"/>
    <n v="2"/>
    <n v="124.8"/>
    <n v="4.4000000000000004"/>
    <m/>
    <x v="0"/>
    <n v="120.39999999999999"/>
    <m/>
    <m/>
    <x v="0"/>
    <x v="0"/>
    <n v="0"/>
    <n v="0"/>
    <x v="0"/>
    <x v="0"/>
    <m/>
    <x v="0"/>
    <x v="0"/>
    <x v="0"/>
    <x v="0"/>
    <x v="0"/>
    <n v="0"/>
    <n v="0"/>
    <n v="0"/>
    <n v="12"/>
    <x v="1"/>
    <x v="0"/>
    <m/>
    <x v="0"/>
    <m/>
    <x v="0"/>
    <x v="0"/>
    <x v="0"/>
    <x v="0"/>
    <x v="0"/>
  </r>
  <r>
    <x v="1"/>
    <x v="4"/>
    <s v="2002 J"/>
    <x v="69"/>
    <s v="پاک شفیق سالٹ"/>
    <s v="HDM"/>
    <s v="6+2+2"/>
    <s v="4.5-5/9-10"/>
    <s v="جیلانی"/>
    <n v="110"/>
    <x v="0"/>
    <n v="4"/>
    <n v="268.40000000000003"/>
    <n v="18.399999999999999"/>
    <m/>
    <x v="0"/>
    <n v="250.00000000000003"/>
    <m/>
    <m/>
    <x v="0"/>
    <x v="0"/>
    <n v="0"/>
    <n v="0"/>
    <x v="0"/>
    <x v="0"/>
    <m/>
    <x v="0"/>
    <x v="0"/>
    <x v="0"/>
    <x v="0"/>
    <x v="0"/>
    <n v="0"/>
    <n v="0"/>
    <n v="0"/>
    <n v="12"/>
    <x v="1"/>
    <x v="0"/>
    <m/>
    <x v="0"/>
    <m/>
    <x v="0"/>
    <x v="0"/>
    <x v="0"/>
    <x v="0"/>
    <x v="0"/>
  </r>
  <r>
    <x v="1"/>
    <x v="4"/>
    <s v="30/12"/>
    <x v="69"/>
    <s v="-"/>
    <s v="-"/>
    <s v="-"/>
    <s v="-"/>
    <s v="-"/>
    <s v="-"/>
    <x v="0"/>
    <n v="6"/>
    <n v="108"/>
    <n v="11"/>
    <m/>
    <x v="0"/>
    <n v="97"/>
    <m/>
    <m/>
    <x v="0"/>
    <x v="0"/>
    <n v="0"/>
    <n v="0"/>
    <x v="0"/>
    <x v="0"/>
    <m/>
    <x v="0"/>
    <x v="0"/>
    <x v="0"/>
    <x v="0"/>
    <x v="0"/>
    <n v="0"/>
    <n v="0"/>
    <n v="0"/>
    <n v="12"/>
    <x v="1"/>
    <x v="0"/>
    <m/>
    <x v="0"/>
    <m/>
    <x v="0"/>
    <x v="0"/>
    <x v="0"/>
    <x v="0"/>
    <x v="0"/>
  </r>
  <r>
    <x v="1"/>
    <x v="4"/>
    <s v="3698 J"/>
    <x v="69"/>
    <s v="Chaudhary Milk Large Bread"/>
    <s v="LDN"/>
    <s v="36&quot; شیٹ"/>
    <s v="4-4.5/8-9"/>
    <s v="پیور"/>
    <n v="150"/>
    <x v="0"/>
    <n v="2"/>
    <n v="118.80000000000001"/>
    <n v="4.5999999999999996"/>
    <m/>
    <x v="0"/>
    <n v="114.20000000000002"/>
    <m/>
    <m/>
    <x v="0"/>
    <x v="0"/>
    <n v="0"/>
    <n v="0"/>
    <x v="0"/>
    <x v="0"/>
    <m/>
    <x v="0"/>
    <x v="0"/>
    <x v="0"/>
    <x v="0"/>
    <x v="0"/>
    <n v="0"/>
    <n v="0"/>
    <n v="0"/>
    <n v="12"/>
    <x v="1"/>
    <x v="0"/>
    <m/>
    <x v="0"/>
    <m/>
    <x v="0"/>
    <x v="0"/>
    <x v="0"/>
    <x v="0"/>
    <x v="0"/>
  </r>
  <r>
    <x v="1"/>
    <x v="4"/>
    <n v="46015"/>
    <x v="69"/>
    <s v="-"/>
    <s v="-"/>
    <s v="-"/>
    <s v="-"/>
    <s v="-"/>
    <s v="-"/>
    <x v="0"/>
    <n v="10"/>
    <n v="187.59999999999997"/>
    <n v="14"/>
    <m/>
    <x v="0"/>
    <n v="173.59999999999997"/>
    <m/>
    <m/>
    <x v="0"/>
    <x v="0"/>
    <n v="0"/>
    <n v="0"/>
    <x v="0"/>
    <x v="0"/>
    <m/>
    <x v="0"/>
    <x v="0"/>
    <x v="0"/>
    <x v="0"/>
    <x v="0"/>
    <n v="0"/>
    <n v="0"/>
    <n v="0"/>
    <n v="12"/>
    <x v="1"/>
    <x v="0"/>
    <m/>
    <x v="0"/>
    <m/>
    <x v="0"/>
    <x v="0"/>
    <x v="0"/>
    <x v="0"/>
    <x v="0"/>
  </r>
  <r>
    <x v="0"/>
    <x v="5"/>
    <s v="1997 F"/>
    <x v="69"/>
    <s v="PLAIN POLY BAG"/>
    <s v="LDN"/>
    <n v="14"/>
    <s v="8"/>
    <s v="پیور"/>
    <n v="200"/>
    <x v="0"/>
    <n v="1"/>
    <n v="39.200000000000003"/>
    <n v="14"/>
    <m/>
    <x v="0"/>
    <n v="25.200000000000003"/>
    <m/>
    <m/>
    <x v="0"/>
    <x v="0"/>
    <n v="0"/>
    <n v="0"/>
    <x v="0"/>
    <x v="0"/>
    <m/>
    <x v="0"/>
    <x v="0"/>
    <x v="0"/>
    <x v="0"/>
    <x v="0"/>
    <n v="0"/>
    <n v="0"/>
    <n v="0"/>
    <n v="12"/>
    <x v="1"/>
    <x v="0"/>
    <m/>
    <x v="0"/>
    <m/>
    <x v="0"/>
    <x v="0"/>
    <x v="0"/>
    <x v="0"/>
    <x v="0"/>
  </r>
  <r>
    <x v="0"/>
    <x v="5"/>
    <s v="3743 J"/>
    <x v="69"/>
    <s v="Sada Lafafa Bandu Khan"/>
    <s v="LDN"/>
    <n v="11"/>
    <s v="6-6.5"/>
    <s v="پیور"/>
    <n v="300"/>
    <x v="0"/>
    <n v="6"/>
    <n v="208.8"/>
    <n v="14"/>
    <m/>
    <x v="0"/>
    <n v="194.8"/>
    <m/>
    <m/>
    <x v="0"/>
    <x v="0"/>
    <n v="0"/>
    <n v="0"/>
    <x v="0"/>
    <x v="0"/>
    <m/>
    <x v="0"/>
    <x v="0"/>
    <x v="0"/>
    <x v="0"/>
    <x v="0"/>
    <n v="0"/>
    <n v="0"/>
    <n v="0"/>
    <n v="12"/>
    <x v="1"/>
    <x v="0"/>
    <m/>
    <x v="0"/>
    <m/>
    <x v="0"/>
    <x v="0"/>
    <x v="0"/>
    <x v="0"/>
    <x v="0"/>
  </r>
  <r>
    <x v="0"/>
    <x v="5"/>
    <s v="1989 F"/>
    <x v="69"/>
    <s v="COMBINEND WARNING"/>
    <s v="LDN"/>
    <n v="15"/>
    <s v="5-5.5"/>
    <s v="پیور"/>
    <n v="110"/>
    <x v="0"/>
    <n v="2"/>
    <n v="63.2"/>
    <n v="14"/>
    <m/>
    <x v="0"/>
    <n v="49.2"/>
    <m/>
    <m/>
    <x v="0"/>
    <x v="0"/>
    <n v="0"/>
    <n v="0"/>
    <x v="0"/>
    <x v="0"/>
    <m/>
    <x v="0"/>
    <x v="0"/>
    <x v="0"/>
    <x v="0"/>
    <x v="0"/>
    <n v="0"/>
    <n v="0"/>
    <n v="0"/>
    <n v="12"/>
    <x v="1"/>
    <x v="0"/>
    <m/>
    <x v="0"/>
    <m/>
    <x v="0"/>
    <x v="0"/>
    <x v="0"/>
    <x v="0"/>
    <x v="0"/>
  </r>
  <r>
    <x v="1"/>
    <x v="5"/>
    <s v="1989 F"/>
    <x v="69"/>
    <s v="COMBINEND WARNING"/>
    <s v="LDN"/>
    <n v="15"/>
    <s v="5-5.5"/>
    <s v="پیور"/>
    <n v="110"/>
    <x v="0"/>
    <n v="2"/>
    <n v="67.8"/>
    <n v="14"/>
    <m/>
    <x v="0"/>
    <n v="53.8"/>
    <m/>
    <m/>
    <x v="0"/>
    <x v="0"/>
    <n v="0"/>
    <n v="0"/>
    <x v="0"/>
    <x v="0"/>
    <m/>
    <x v="0"/>
    <x v="0"/>
    <x v="0"/>
    <x v="0"/>
    <x v="0"/>
    <n v="0"/>
    <n v="0"/>
    <n v="0"/>
    <n v="12"/>
    <x v="1"/>
    <x v="0"/>
    <m/>
    <x v="0"/>
    <m/>
    <x v="0"/>
    <x v="0"/>
    <x v="0"/>
    <x v="0"/>
    <x v="0"/>
  </r>
  <r>
    <x v="1"/>
    <x v="5"/>
    <s v="3742 J"/>
    <x v="69"/>
    <s v="Sada Lafafa Bandu Khan"/>
    <s v="LDN"/>
    <n v="16"/>
    <s v="8-8.5"/>
    <s v="پیور"/>
    <n v="400"/>
    <x v="0"/>
    <n v="5"/>
    <n v="231.79999999999998"/>
    <n v="14"/>
    <m/>
    <x v="0"/>
    <n v="217.79999999999998"/>
    <m/>
    <m/>
    <x v="0"/>
    <x v="0"/>
    <n v="0"/>
    <n v="0"/>
    <x v="0"/>
    <x v="0"/>
    <m/>
    <x v="0"/>
    <x v="0"/>
    <x v="0"/>
    <x v="0"/>
    <x v="0"/>
    <n v="0"/>
    <n v="0"/>
    <n v="0"/>
    <n v="12"/>
    <x v="1"/>
    <x v="0"/>
    <m/>
    <x v="0"/>
    <m/>
    <x v="0"/>
    <x v="0"/>
    <x v="0"/>
    <x v="0"/>
    <x v="0"/>
  </r>
  <r>
    <x v="0"/>
    <x v="0"/>
    <s v="3667 J"/>
    <x v="70"/>
    <s v="Shah Jee Achar"/>
    <s v="LDN"/>
    <n v="5"/>
    <s v="12-12.5"/>
    <s v="پیور"/>
    <n v="500"/>
    <x v="0"/>
    <n v="4"/>
    <n v="134.20000000000002"/>
    <n v="2.8"/>
    <n v="200"/>
    <x v="0"/>
    <n v="131.4"/>
    <m/>
    <m/>
    <x v="0"/>
    <x v="0"/>
    <n v="0"/>
    <n v="0"/>
    <x v="0"/>
    <x v="0"/>
    <m/>
    <x v="0"/>
    <x v="0"/>
    <x v="0"/>
    <x v="0"/>
    <x v="0"/>
    <n v="0"/>
    <n v="0"/>
    <n v="0"/>
    <n v="12"/>
    <x v="1"/>
    <x v="0"/>
    <n v="2297.5"/>
    <x v="0"/>
    <n v="1700"/>
    <x v="0"/>
    <x v="0"/>
    <x v="0"/>
    <x v="0"/>
    <x v="0"/>
  </r>
  <r>
    <x v="1"/>
    <x v="0"/>
    <s v="3686 J"/>
    <x v="70"/>
    <s v="Prime Aluminium"/>
    <s v="LDN"/>
    <n v="5"/>
    <n v="10"/>
    <s v="پیور"/>
    <n v="400"/>
    <x v="0"/>
    <n v="4"/>
    <n v="145"/>
    <n v="2.8"/>
    <n v="67"/>
    <x v="0"/>
    <n v="142.19999999999999"/>
    <m/>
    <m/>
    <x v="0"/>
    <x v="0"/>
    <n v="0"/>
    <n v="0"/>
    <x v="0"/>
    <x v="0"/>
    <m/>
    <x v="0"/>
    <x v="0"/>
    <x v="0"/>
    <x v="0"/>
    <x v="0"/>
    <n v="0"/>
    <n v="0"/>
    <n v="0"/>
    <n v="12"/>
    <x v="1"/>
    <x v="0"/>
    <m/>
    <x v="0"/>
    <n v="1700"/>
    <x v="0"/>
    <x v="0"/>
    <x v="0"/>
    <x v="0"/>
    <x v="0"/>
  </r>
  <r>
    <x v="0"/>
    <x v="1"/>
    <s v="5X7 M"/>
    <x v="70"/>
    <s v="-"/>
    <s v="-"/>
    <s v="-"/>
    <s v="-"/>
    <s v="-"/>
    <s v="-"/>
    <x v="0"/>
    <n v="1"/>
    <n v="24.6"/>
    <n v="0.7"/>
    <m/>
    <x v="0"/>
    <n v="23.900000000000002"/>
    <m/>
    <m/>
    <x v="0"/>
    <x v="0"/>
    <n v="0"/>
    <n v="0"/>
    <x v="0"/>
    <x v="0"/>
    <m/>
    <x v="0"/>
    <x v="0"/>
    <x v="0"/>
    <x v="0"/>
    <x v="0"/>
    <n v="0"/>
    <n v="0"/>
    <n v="0"/>
    <n v="12"/>
    <x v="1"/>
    <x v="0"/>
    <m/>
    <x v="0"/>
    <m/>
    <x v="0"/>
    <x v="0"/>
    <x v="0"/>
    <x v="0"/>
    <x v="0"/>
  </r>
  <r>
    <x v="1"/>
    <x v="1"/>
    <s v="5X7 M"/>
    <x v="70"/>
    <s v="-"/>
    <s v="-"/>
    <s v="-"/>
    <s v="-"/>
    <s v="-"/>
    <s v="-"/>
    <x v="0"/>
    <n v="1"/>
    <n v="28.8"/>
    <n v="0.5"/>
    <m/>
    <x v="0"/>
    <n v="28.3"/>
    <m/>
    <m/>
    <x v="0"/>
    <x v="0"/>
    <n v="0"/>
    <n v="0"/>
    <x v="0"/>
    <x v="0"/>
    <m/>
    <x v="0"/>
    <x v="0"/>
    <x v="0"/>
    <x v="0"/>
    <x v="0"/>
    <n v="0"/>
    <n v="0"/>
    <n v="0"/>
    <n v="12"/>
    <x v="1"/>
    <x v="0"/>
    <m/>
    <x v="0"/>
    <m/>
    <x v="0"/>
    <x v="0"/>
    <x v="0"/>
    <x v="0"/>
    <x v="0"/>
  </r>
  <r>
    <x v="1"/>
    <x v="1"/>
    <s v="3741 J"/>
    <x v="70"/>
    <s v="Milk Dairies"/>
    <s v="LDM"/>
    <n v="7"/>
    <s v="14.5-15"/>
    <s v="پیور"/>
    <n v="300"/>
    <x v="0"/>
    <n v="1"/>
    <n v="38.799999999999997"/>
    <n v="0.8"/>
    <m/>
    <x v="0"/>
    <n v="38"/>
    <m/>
    <m/>
    <x v="0"/>
    <x v="0"/>
    <n v="0"/>
    <n v="0"/>
    <x v="0"/>
    <x v="0"/>
    <m/>
    <x v="0"/>
    <x v="0"/>
    <x v="0"/>
    <x v="0"/>
    <x v="0"/>
    <n v="0"/>
    <n v="0"/>
    <n v="0"/>
    <n v="12"/>
    <x v="1"/>
    <x v="0"/>
    <m/>
    <x v="0"/>
    <m/>
    <x v="0"/>
    <x v="0"/>
    <x v="0"/>
    <x v="0"/>
    <x v="0"/>
  </r>
  <r>
    <x v="1"/>
    <x v="1"/>
    <s v="3630 J"/>
    <x v="70"/>
    <s v="Milk Way Milk"/>
    <s v="LDM"/>
    <n v="7"/>
    <s v="15-16"/>
    <s v="پیور"/>
    <n v="100"/>
    <x v="0"/>
    <n v="2"/>
    <n v="103.6"/>
    <n v="1.9"/>
    <m/>
    <x v="0"/>
    <n v="101.69999999999999"/>
    <m/>
    <m/>
    <x v="0"/>
    <x v="0"/>
    <n v="0"/>
    <n v="0"/>
    <x v="0"/>
    <x v="0"/>
    <m/>
    <x v="0"/>
    <x v="0"/>
    <x v="0"/>
    <x v="0"/>
    <x v="0"/>
    <n v="0"/>
    <n v="0"/>
    <n v="0"/>
    <n v="12"/>
    <x v="1"/>
    <x v="0"/>
    <m/>
    <x v="0"/>
    <m/>
    <x v="0"/>
    <x v="0"/>
    <x v="0"/>
    <x v="0"/>
    <x v="0"/>
  </r>
  <r>
    <x v="0"/>
    <x v="2"/>
    <s v="2865 J"/>
    <x v="70"/>
    <s v="ایڈمرل ہیوی ڈیوٹی"/>
    <s v="LDM"/>
    <s v="428 MM"/>
    <s v="-"/>
    <s v="ABA تھینکیو"/>
    <n v="100"/>
    <x v="0"/>
    <n v="5"/>
    <n v="200"/>
    <n v="11"/>
    <m/>
    <x v="0"/>
    <n v="189"/>
    <m/>
    <m/>
    <x v="0"/>
    <x v="0"/>
    <n v="0"/>
    <n v="0"/>
    <x v="0"/>
    <x v="0"/>
    <m/>
    <x v="0"/>
    <x v="0"/>
    <x v="0"/>
    <x v="0"/>
    <x v="0"/>
    <n v="0"/>
    <n v="0"/>
    <n v="0"/>
    <n v="12"/>
    <x v="1"/>
    <x v="0"/>
    <m/>
    <x v="0"/>
    <m/>
    <x v="0"/>
    <x v="0"/>
    <x v="0"/>
    <x v="0"/>
    <x v="0"/>
  </r>
  <r>
    <x v="0"/>
    <x v="2"/>
    <s v="3690 J"/>
    <x v="70"/>
    <s v="Prime Aluminium"/>
    <s v="LDN"/>
    <n v="10"/>
    <n v="10"/>
    <s v="پیور"/>
    <n v="400"/>
    <x v="0"/>
    <n v="2"/>
    <n v="99"/>
    <n v="3.5999999999999996"/>
    <m/>
    <x v="0"/>
    <n v="95.4"/>
    <m/>
    <m/>
    <x v="0"/>
    <x v="0"/>
    <n v="0"/>
    <n v="0"/>
    <x v="0"/>
    <x v="0"/>
    <m/>
    <x v="0"/>
    <x v="0"/>
    <x v="0"/>
    <x v="0"/>
    <x v="0"/>
    <n v="0"/>
    <n v="0"/>
    <n v="0"/>
    <n v="12"/>
    <x v="1"/>
    <x v="0"/>
    <m/>
    <x v="0"/>
    <m/>
    <x v="0"/>
    <x v="0"/>
    <x v="0"/>
    <x v="0"/>
    <x v="0"/>
  </r>
  <r>
    <x v="1"/>
    <x v="2"/>
    <s v="3690 J"/>
    <x v="70"/>
    <s v="Prime Aluminium"/>
    <s v="LDN"/>
    <n v="10"/>
    <n v="10"/>
    <s v="پیور"/>
    <n v="400"/>
    <x v="0"/>
    <n v="6"/>
    <n v="254.8"/>
    <n v="0.60000000000000009"/>
    <m/>
    <x v="0"/>
    <n v="254.20000000000002"/>
    <m/>
    <m/>
    <x v="0"/>
    <x v="0"/>
    <n v="0"/>
    <n v="0"/>
    <x v="0"/>
    <x v="0"/>
    <m/>
    <x v="0"/>
    <x v="0"/>
    <x v="0"/>
    <x v="0"/>
    <x v="0"/>
    <n v="0"/>
    <n v="0"/>
    <n v="0"/>
    <n v="12"/>
    <x v="1"/>
    <x v="0"/>
    <m/>
    <x v="0"/>
    <m/>
    <x v="0"/>
    <x v="0"/>
    <x v="0"/>
    <x v="0"/>
    <x v="0"/>
  </r>
  <r>
    <x v="0"/>
    <x v="3"/>
    <s v="3726 J"/>
    <x v="70"/>
    <s v="Plain Lafafa IHSAN Cotton "/>
    <s v="LDN"/>
    <n v="22"/>
    <n v="6"/>
    <s v="AA کولٹی"/>
    <n v="500"/>
    <x v="0"/>
    <n v="4"/>
    <n v="307.2"/>
    <n v="11.2"/>
    <m/>
    <x v="0"/>
    <n v="296"/>
    <n v="7"/>
    <m/>
    <x v="0"/>
    <x v="0"/>
    <n v="0"/>
    <n v="0"/>
    <x v="0"/>
    <x v="0"/>
    <m/>
    <x v="0"/>
    <x v="0"/>
    <x v="0"/>
    <x v="0"/>
    <x v="0"/>
    <n v="0"/>
    <n v="0"/>
    <n v="0"/>
    <n v="12"/>
    <x v="1"/>
    <x v="0"/>
    <m/>
    <x v="0"/>
    <m/>
    <x v="0"/>
    <x v="0"/>
    <x v="0"/>
    <x v="0"/>
    <x v="0"/>
  </r>
  <r>
    <x v="0"/>
    <x v="3"/>
    <s v="3727 J"/>
    <x v="70"/>
    <s v="Plain Lafafa IHSAN Cotton "/>
    <s v="LDN"/>
    <n v="23"/>
    <n v="6"/>
    <s v="AA کولٹی"/>
    <n v="500"/>
    <x v="0"/>
    <n v="3"/>
    <n v="228.4"/>
    <n v="6.6000000000000005"/>
    <m/>
    <x v="0"/>
    <n v="221.8"/>
    <n v="2"/>
    <m/>
    <x v="0"/>
    <x v="0"/>
    <n v="0"/>
    <n v="0"/>
    <x v="0"/>
    <x v="0"/>
    <m/>
    <x v="0"/>
    <x v="2"/>
    <x v="0"/>
    <x v="0"/>
    <x v="0"/>
    <n v="60"/>
    <n v="1"/>
    <n v="1"/>
    <n v="11"/>
    <x v="1"/>
    <x v="0"/>
    <m/>
    <x v="0"/>
    <m/>
    <x v="0"/>
    <x v="0"/>
    <x v="0"/>
    <x v="0"/>
    <x v="0"/>
  </r>
  <r>
    <x v="0"/>
    <x v="4"/>
    <n v="30"/>
    <x v="70"/>
    <s v="-"/>
    <s v="-"/>
    <s v="-"/>
    <s v="-"/>
    <s v="-"/>
    <s v="-"/>
    <x v="0"/>
    <n v="12"/>
    <n v="244.59999999999997"/>
    <n v="24"/>
    <m/>
    <x v="0"/>
    <n v="220.59999999999997"/>
    <m/>
    <m/>
    <x v="0"/>
    <x v="0"/>
    <n v="0"/>
    <n v="0"/>
    <x v="0"/>
    <x v="0"/>
    <m/>
    <x v="0"/>
    <x v="0"/>
    <x v="0"/>
    <x v="0"/>
    <x v="0"/>
    <n v="0"/>
    <n v="0"/>
    <n v="0"/>
    <n v="12"/>
    <x v="1"/>
    <x v="0"/>
    <m/>
    <x v="0"/>
    <m/>
    <x v="0"/>
    <x v="0"/>
    <x v="0"/>
    <x v="0"/>
    <x v="0"/>
  </r>
  <r>
    <x v="0"/>
    <x v="4"/>
    <s v="3701 J"/>
    <x v="70"/>
    <s v="Paradise Dry Cleaners"/>
    <s v="LDN"/>
    <n v="26"/>
    <s v="4.5-5"/>
    <s v="پیور"/>
    <n v="100"/>
    <x v="0"/>
    <n v="3"/>
    <n v="112.6"/>
    <n v="9.6000000000000014"/>
    <m/>
    <x v="0"/>
    <n v="103"/>
    <n v="5"/>
    <m/>
    <x v="0"/>
    <x v="0"/>
    <n v="0"/>
    <n v="0"/>
    <x v="0"/>
    <x v="0"/>
    <m/>
    <x v="0"/>
    <x v="0"/>
    <x v="0"/>
    <x v="0"/>
    <x v="0"/>
    <n v="0"/>
    <n v="0"/>
    <n v="0"/>
    <n v="12"/>
    <x v="1"/>
    <x v="0"/>
    <m/>
    <x v="0"/>
    <m/>
    <x v="0"/>
    <x v="0"/>
    <x v="0"/>
    <x v="0"/>
    <x v="0"/>
  </r>
  <r>
    <x v="0"/>
    <x v="4"/>
    <s v="3759 J"/>
    <x v="70"/>
    <s v="Al Noor Bread "/>
    <s v="LDN"/>
    <s v="28&quot; شیٹ"/>
    <s v="3-3.25/6-6.5"/>
    <s v="پیور"/>
    <n v="125"/>
    <x v="0"/>
    <n v="2"/>
    <n v="128.6"/>
    <n v="7.2"/>
    <m/>
    <x v="0"/>
    <n v="121.39999999999999"/>
    <n v="5"/>
    <m/>
    <x v="0"/>
    <x v="0"/>
    <n v="0"/>
    <n v="0"/>
    <x v="1"/>
    <x v="0"/>
    <m/>
    <x v="0"/>
    <x v="0"/>
    <x v="0"/>
    <x v="0"/>
    <x v="0"/>
    <n v="15"/>
    <n v="0.25"/>
    <n v="0.25"/>
    <n v="11.75"/>
    <x v="1"/>
    <x v="0"/>
    <m/>
    <x v="0"/>
    <m/>
    <x v="0"/>
    <x v="0"/>
    <x v="0"/>
    <x v="0"/>
    <x v="0"/>
  </r>
  <r>
    <x v="1"/>
    <x v="4"/>
    <s v="3760 J"/>
    <x v="70"/>
    <s v="Al Noor Bread "/>
    <s v="LDN"/>
    <s v="36&quot; شیٹ"/>
    <s v="3-3.25/6-6.5"/>
    <s v="پیور"/>
    <n v="125"/>
    <x v="0"/>
    <n v="2"/>
    <n v="134.4"/>
    <n v="8.4"/>
    <m/>
    <x v="0"/>
    <n v="126"/>
    <m/>
    <m/>
    <x v="0"/>
    <x v="0"/>
    <n v="0"/>
    <n v="0"/>
    <x v="0"/>
    <x v="0"/>
    <m/>
    <x v="0"/>
    <x v="0"/>
    <x v="0"/>
    <x v="0"/>
    <x v="0"/>
    <n v="0"/>
    <n v="0"/>
    <n v="0"/>
    <n v="12"/>
    <x v="1"/>
    <x v="0"/>
    <m/>
    <x v="0"/>
    <m/>
    <x v="0"/>
    <x v="0"/>
    <x v="0"/>
    <x v="0"/>
    <x v="0"/>
  </r>
  <r>
    <x v="1"/>
    <x v="4"/>
    <s v="1951 F"/>
    <x v="70"/>
    <s v="15 LANGUAGE WARNING"/>
    <s v="LDN"/>
    <s v="31+7+7"/>
    <s v="7-7.5/14-15"/>
    <s v="جیلانی شیٹ"/>
    <n v="350"/>
    <x v="0"/>
    <n v="10"/>
    <n v="620.99999999999989"/>
    <n v="37.9"/>
    <m/>
    <x v="0"/>
    <n v="583.09999999999991"/>
    <m/>
    <m/>
    <x v="0"/>
    <x v="0"/>
    <n v="0"/>
    <n v="0"/>
    <x v="0"/>
    <x v="0"/>
    <m/>
    <x v="0"/>
    <x v="0"/>
    <x v="0"/>
    <x v="0"/>
    <x v="0"/>
    <n v="0"/>
    <n v="0"/>
    <n v="0"/>
    <n v="12"/>
    <x v="1"/>
    <x v="0"/>
    <m/>
    <x v="0"/>
    <m/>
    <x v="0"/>
    <x v="0"/>
    <x v="0"/>
    <x v="0"/>
    <x v="0"/>
  </r>
  <r>
    <x v="1"/>
    <x v="4"/>
    <s v="3749 J"/>
    <x v="70"/>
    <s v="Al Khayrat Brand"/>
    <s v="LDN"/>
    <n v="22"/>
    <s v="4.5-5"/>
    <s v="پیور"/>
    <n v="200"/>
    <x v="0"/>
    <n v="2"/>
    <n v="103.4"/>
    <n v="4.8"/>
    <m/>
    <x v="0"/>
    <n v="98.600000000000009"/>
    <m/>
    <m/>
    <x v="0"/>
    <x v="0"/>
    <n v="0"/>
    <n v="0"/>
    <x v="0"/>
    <x v="0"/>
    <m/>
    <x v="0"/>
    <x v="0"/>
    <x v="0"/>
    <x v="0"/>
    <x v="0"/>
    <n v="0"/>
    <n v="0"/>
    <n v="0"/>
    <n v="12"/>
    <x v="1"/>
    <x v="0"/>
    <m/>
    <x v="0"/>
    <m/>
    <x v="0"/>
    <x v="0"/>
    <x v="0"/>
    <x v="0"/>
    <x v="0"/>
  </r>
  <r>
    <x v="0"/>
    <x v="5"/>
    <s v="3743 J"/>
    <x v="70"/>
    <s v="Sada Lafafa Bandu Khan"/>
    <s v="LDN"/>
    <n v="11"/>
    <s v="6-6.5"/>
    <s v="پیور"/>
    <n v="300"/>
    <x v="0"/>
    <n v="3"/>
    <n v="118.6"/>
    <n v="4.1999999999999993"/>
    <m/>
    <x v="0"/>
    <n v="114.39999999999999"/>
    <n v="2"/>
    <m/>
    <x v="0"/>
    <x v="0"/>
    <n v="0"/>
    <n v="0"/>
    <x v="0"/>
    <x v="0"/>
    <m/>
    <x v="0"/>
    <x v="0"/>
    <x v="0"/>
    <x v="0"/>
    <x v="0"/>
    <n v="0"/>
    <n v="0"/>
    <n v="0"/>
    <n v="12"/>
    <x v="1"/>
    <x v="0"/>
    <m/>
    <x v="0"/>
    <m/>
    <x v="0"/>
    <x v="0"/>
    <x v="0"/>
    <x v="0"/>
    <x v="0"/>
  </r>
  <r>
    <x v="0"/>
    <x v="5"/>
    <s v="2010 F"/>
    <x v="70"/>
    <s v="PLAIN POLY BAG"/>
    <s v="LDN"/>
    <n v="16"/>
    <s v="7-7.5"/>
    <s v="پیور"/>
    <n v="63"/>
    <x v="0"/>
    <n v="3"/>
    <n v="107.60000000000001"/>
    <n v="5.0999999999999996"/>
    <m/>
    <x v="0"/>
    <n v="102.50000000000001"/>
    <n v="4"/>
    <m/>
    <x v="0"/>
    <x v="0"/>
    <n v="0"/>
    <n v="0"/>
    <x v="0"/>
    <x v="0"/>
    <m/>
    <x v="0"/>
    <x v="0"/>
    <x v="0"/>
    <x v="0"/>
    <x v="0"/>
    <n v="0"/>
    <n v="0"/>
    <n v="0"/>
    <n v="12"/>
    <x v="1"/>
    <x v="0"/>
    <m/>
    <x v="0"/>
    <m/>
    <x v="0"/>
    <x v="0"/>
    <x v="0"/>
    <x v="0"/>
    <x v="0"/>
  </r>
  <r>
    <x v="0"/>
    <x v="5"/>
    <s v="2011 F"/>
    <x v="70"/>
    <s v="PLAIN POLY BAG"/>
    <s v="LDN"/>
    <n v="20"/>
    <s v="7-7.5"/>
    <s v="پیور"/>
    <n v="20"/>
    <x v="0"/>
    <n v="3"/>
    <n v="119.64999999999999"/>
    <n v="6.7"/>
    <m/>
    <x v="0"/>
    <n v="112.94999999999999"/>
    <n v="2"/>
    <m/>
    <x v="0"/>
    <x v="0"/>
    <n v="0"/>
    <n v="0"/>
    <x v="0"/>
    <x v="0"/>
    <m/>
    <x v="0"/>
    <x v="0"/>
    <x v="0"/>
    <x v="0"/>
    <x v="0"/>
    <n v="0"/>
    <n v="0"/>
    <n v="0"/>
    <n v="12"/>
    <x v="1"/>
    <x v="0"/>
    <m/>
    <x v="0"/>
    <m/>
    <x v="0"/>
    <x v="0"/>
    <x v="0"/>
    <x v="0"/>
    <x v="0"/>
  </r>
  <r>
    <x v="1"/>
    <x v="5"/>
    <s v="2010 F"/>
    <x v="70"/>
    <s v="PLAIN POLY BAG"/>
    <s v="LDN"/>
    <n v="16"/>
    <s v="7-7.5"/>
    <s v="پیور"/>
    <n v="63"/>
    <x v="0"/>
    <n v="1"/>
    <n v="36.32"/>
    <n v="2"/>
    <m/>
    <x v="0"/>
    <n v="34.32"/>
    <m/>
    <m/>
    <x v="0"/>
    <x v="0"/>
    <n v="0"/>
    <n v="0"/>
    <x v="0"/>
    <x v="0"/>
    <m/>
    <x v="0"/>
    <x v="0"/>
    <x v="0"/>
    <x v="0"/>
    <x v="0"/>
    <n v="0"/>
    <n v="0"/>
    <n v="0"/>
    <n v="12"/>
    <x v="1"/>
    <x v="0"/>
    <m/>
    <x v="0"/>
    <m/>
    <x v="0"/>
    <x v="0"/>
    <x v="0"/>
    <x v="0"/>
    <x v="0"/>
  </r>
  <r>
    <x v="1"/>
    <x v="5"/>
    <s v="2014 F"/>
    <x v="70"/>
    <s v="WALMART WARNING SMALL"/>
    <s v="LDN"/>
    <n v="14"/>
    <s v="7-7.5"/>
    <s v="پیور"/>
    <n v="20"/>
    <x v="0"/>
    <n v="2"/>
    <n v="69.28"/>
    <n v="2.6"/>
    <m/>
    <x v="0"/>
    <n v="66.680000000000007"/>
    <m/>
    <m/>
    <x v="0"/>
    <x v="0"/>
    <n v="0"/>
    <n v="0"/>
    <x v="0"/>
    <x v="0"/>
    <m/>
    <x v="0"/>
    <x v="0"/>
    <x v="0"/>
    <x v="0"/>
    <x v="0"/>
    <n v="0"/>
    <n v="0"/>
    <n v="0"/>
    <n v="12"/>
    <x v="1"/>
    <x v="0"/>
    <m/>
    <x v="0"/>
    <m/>
    <x v="0"/>
    <x v="0"/>
    <x v="0"/>
    <x v="0"/>
    <x v="0"/>
  </r>
  <r>
    <x v="1"/>
    <x v="5"/>
    <s v="3727 J"/>
    <x v="70"/>
    <s v="Plain Lafafa IHSAN Cotton "/>
    <s v="LDN"/>
    <n v="23"/>
    <n v="6"/>
    <s v="AA کولٹی"/>
    <n v="500"/>
    <x v="0"/>
    <n v="5"/>
    <n v="283"/>
    <n v="12.45"/>
    <m/>
    <x v="0"/>
    <n v="270.55"/>
    <m/>
    <m/>
    <x v="0"/>
    <x v="0"/>
    <n v="0"/>
    <n v="0"/>
    <x v="0"/>
    <x v="0"/>
    <m/>
    <x v="0"/>
    <x v="0"/>
    <x v="0"/>
    <x v="0"/>
    <x v="0"/>
    <n v="0"/>
    <n v="0"/>
    <n v="0"/>
    <n v="12"/>
    <x v="1"/>
    <x v="0"/>
    <m/>
    <x v="0"/>
    <m/>
    <x v="0"/>
    <x v="0"/>
    <x v="0"/>
    <x v="0"/>
    <x v="0"/>
  </r>
  <r>
    <x v="1"/>
    <x v="5"/>
    <s v="2009 F"/>
    <x v="70"/>
    <s v="15 LANGUAGE WARNING+LOGO"/>
    <s v="LDN"/>
    <n v="23"/>
    <s v="8-8.5"/>
    <s v="جیلانی شیٹ"/>
    <n v="110"/>
    <x v="0"/>
    <n v="2"/>
    <n v="115.92"/>
    <n v="5"/>
    <m/>
    <x v="0"/>
    <n v="110.92"/>
    <m/>
    <m/>
    <x v="0"/>
    <x v="0"/>
    <n v="0"/>
    <n v="0"/>
    <x v="0"/>
    <x v="0"/>
    <m/>
    <x v="0"/>
    <x v="0"/>
    <x v="0"/>
    <x v="0"/>
    <x v="0"/>
    <n v="0"/>
    <n v="0"/>
    <n v="0"/>
    <n v="12"/>
    <x v="1"/>
    <x v="0"/>
    <m/>
    <x v="0"/>
    <m/>
    <x v="0"/>
    <x v="0"/>
    <x v="0"/>
    <x v="0"/>
    <x v="0"/>
  </r>
  <r>
    <x v="0"/>
    <x v="0"/>
    <s v="3686 J"/>
    <x v="71"/>
    <s v="Prime Aluminium"/>
    <s v="LDN"/>
    <n v="5"/>
    <n v="10"/>
    <s v="پیور"/>
    <n v="400"/>
    <x v="0"/>
    <n v="4"/>
    <n v="140.6"/>
    <n v="2.8"/>
    <n v="37"/>
    <x v="0"/>
    <n v="137.79999999999998"/>
    <m/>
    <m/>
    <x v="0"/>
    <x v="0"/>
    <n v="0"/>
    <n v="0"/>
    <x v="0"/>
    <x v="0"/>
    <m/>
    <x v="0"/>
    <x v="0"/>
    <x v="0"/>
    <x v="0"/>
    <x v="0"/>
    <n v="0"/>
    <n v="0"/>
    <n v="0"/>
    <n v="12"/>
    <x v="1"/>
    <x v="0"/>
    <n v="2055.5"/>
    <x v="0"/>
    <n v="1550"/>
    <x v="0"/>
    <x v="0"/>
    <x v="0"/>
    <x v="0"/>
    <x v="0"/>
  </r>
  <r>
    <x v="1"/>
    <x v="0"/>
    <s v="3686 J"/>
    <x v="71"/>
    <s v="Prime Aluminium"/>
    <s v="LDN"/>
    <n v="5"/>
    <n v="10"/>
    <s v="پیور"/>
    <n v="400"/>
    <x v="0"/>
    <n v="4"/>
    <n v="126.4"/>
    <n v="36"/>
    <n v="2"/>
    <x v="0"/>
    <n v="90.4"/>
    <m/>
    <n v="1"/>
    <x v="0"/>
    <x v="0"/>
    <n v="1"/>
    <n v="1.6666666666666666E-2"/>
    <x v="0"/>
    <x v="0"/>
    <m/>
    <x v="0"/>
    <x v="0"/>
    <x v="0"/>
    <x v="0"/>
    <x v="0"/>
    <n v="0"/>
    <n v="0"/>
    <n v="1.6666666666666666E-2"/>
    <n v="11.983333333333333"/>
    <x v="1"/>
    <x v="0"/>
    <m/>
    <x v="0"/>
    <n v="1550"/>
    <x v="0"/>
    <x v="0"/>
    <x v="0"/>
    <x v="0"/>
    <x v="0"/>
  </r>
  <r>
    <x v="0"/>
    <x v="1"/>
    <s v="3741 J"/>
    <x v="71"/>
    <s v="Milk Dairies"/>
    <s v="LDM"/>
    <n v="7"/>
    <s v="14.5-15"/>
    <s v="پیور"/>
    <n v="300"/>
    <x v="0"/>
    <n v="1"/>
    <n v="56.2"/>
    <n v="0.9"/>
    <m/>
    <x v="0"/>
    <n v="55.300000000000004"/>
    <m/>
    <m/>
    <x v="0"/>
    <x v="0"/>
    <n v="0"/>
    <n v="0"/>
    <x v="0"/>
    <x v="0"/>
    <m/>
    <x v="0"/>
    <x v="0"/>
    <x v="0"/>
    <x v="0"/>
    <x v="0"/>
    <n v="0"/>
    <n v="0"/>
    <n v="0"/>
    <n v="12"/>
    <x v="1"/>
    <x v="0"/>
    <m/>
    <x v="0"/>
    <m/>
    <x v="0"/>
    <x v="0"/>
    <x v="0"/>
    <x v="0"/>
    <x v="0"/>
  </r>
  <r>
    <x v="1"/>
    <x v="1"/>
    <s v="3741 J"/>
    <x v="71"/>
    <s v="Milk Dairies"/>
    <s v="LDM"/>
    <n v="7"/>
    <s v="14.5-15"/>
    <s v="پیور"/>
    <n v="300"/>
    <x v="0"/>
    <n v="3"/>
    <n v="62.2"/>
    <n v="3.5999999999999996"/>
    <n v="17"/>
    <x v="0"/>
    <n v="58.6"/>
    <m/>
    <n v="4"/>
    <x v="0"/>
    <x v="0"/>
    <n v="4"/>
    <n v="6.6666666666666666E-2"/>
    <x v="0"/>
    <x v="0"/>
    <n v="3"/>
    <x v="0"/>
    <x v="0"/>
    <x v="0"/>
    <x v="0"/>
    <x v="0"/>
    <n v="3"/>
    <n v="0.05"/>
    <n v="0.11666666666666667"/>
    <n v="11.883333333333333"/>
    <x v="1"/>
    <x v="0"/>
    <m/>
    <x v="0"/>
    <m/>
    <x v="0"/>
    <x v="0"/>
    <x v="0"/>
    <x v="0"/>
    <x v="0"/>
  </r>
  <r>
    <x v="1"/>
    <x v="1"/>
    <s v="6/4"/>
    <x v="71"/>
    <s v="-"/>
    <s v="-"/>
    <s v="-"/>
    <s v="-"/>
    <s v="-"/>
    <s v="-"/>
    <x v="0"/>
    <n v="2"/>
    <n v="85.8"/>
    <n v="1.9"/>
    <m/>
    <x v="0"/>
    <n v="83.899999999999991"/>
    <m/>
    <m/>
    <x v="0"/>
    <x v="0"/>
    <n v="0"/>
    <n v="0"/>
    <x v="0"/>
    <x v="0"/>
    <m/>
    <x v="0"/>
    <x v="0"/>
    <x v="0"/>
    <x v="0"/>
    <x v="0"/>
    <n v="0"/>
    <n v="0"/>
    <n v="0"/>
    <n v="12"/>
    <x v="1"/>
    <x v="0"/>
    <m/>
    <x v="0"/>
    <m/>
    <x v="0"/>
    <x v="0"/>
    <x v="0"/>
    <x v="0"/>
    <x v="0"/>
  </r>
  <r>
    <x v="1"/>
    <x v="1"/>
    <s v="3690 J"/>
    <x v="71"/>
    <s v="Prime Aluminium"/>
    <s v="LDN"/>
    <n v="10"/>
    <n v="10"/>
    <s v="پیور"/>
    <n v="400"/>
    <x v="0"/>
    <n v="1"/>
    <n v="53.4"/>
    <n v="1.2"/>
    <m/>
    <x v="0"/>
    <n v="52.199999999999996"/>
    <m/>
    <m/>
    <x v="0"/>
    <x v="0"/>
    <n v="0"/>
    <n v="0"/>
    <x v="0"/>
    <x v="0"/>
    <m/>
    <x v="0"/>
    <x v="0"/>
    <x v="0"/>
    <x v="0"/>
    <x v="0"/>
    <n v="0"/>
    <n v="0"/>
    <n v="0"/>
    <n v="12"/>
    <x v="1"/>
    <x v="0"/>
    <m/>
    <x v="0"/>
    <m/>
    <x v="0"/>
    <x v="0"/>
    <x v="0"/>
    <x v="0"/>
    <x v="0"/>
  </r>
  <r>
    <x v="0"/>
    <x v="2"/>
    <s v="3689 J"/>
    <x v="71"/>
    <s v="Prime Aluminium"/>
    <s v="LDN"/>
    <n v="8"/>
    <n v="10"/>
    <s v="پیور"/>
    <n v="400"/>
    <x v="0"/>
    <n v="3"/>
    <n v="112.80000000000001"/>
    <n v="3"/>
    <m/>
    <x v="0"/>
    <n v="109.80000000000001"/>
    <m/>
    <m/>
    <x v="0"/>
    <x v="0"/>
    <n v="0"/>
    <n v="0"/>
    <x v="0"/>
    <x v="0"/>
    <m/>
    <x v="0"/>
    <x v="0"/>
    <x v="0"/>
    <x v="0"/>
    <x v="0"/>
    <n v="0"/>
    <n v="0"/>
    <n v="0"/>
    <n v="12"/>
    <x v="1"/>
    <x v="0"/>
    <m/>
    <x v="0"/>
    <m/>
    <x v="0"/>
    <x v="0"/>
    <x v="0"/>
    <x v="0"/>
    <x v="0"/>
  </r>
  <r>
    <x v="0"/>
    <x v="2"/>
    <s v="3696 J"/>
    <x v="71"/>
    <s v="Chaudhary Milk and Bakers Small Rusk"/>
    <s v="LDN"/>
    <n v="17"/>
    <s v="8-8.5"/>
    <s v="پیور"/>
    <n v="100"/>
    <x v="0"/>
    <n v="1"/>
    <n v="48.8"/>
    <n v="2"/>
    <m/>
    <x v="0"/>
    <n v="46.8"/>
    <m/>
    <m/>
    <x v="0"/>
    <x v="0"/>
    <n v="0"/>
    <n v="0"/>
    <x v="0"/>
    <x v="0"/>
    <m/>
    <x v="0"/>
    <x v="0"/>
    <x v="0"/>
    <x v="0"/>
    <x v="0"/>
    <n v="0"/>
    <n v="0"/>
    <n v="0"/>
    <n v="12"/>
    <x v="1"/>
    <x v="0"/>
    <m/>
    <x v="0"/>
    <m/>
    <x v="0"/>
    <x v="0"/>
    <x v="0"/>
    <x v="0"/>
    <x v="0"/>
  </r>
  <r>
    <x v="0"/>
    <x v="2"/>
    <s v="3696 J"/>
    <x v="71"/>
    <s v="Chaudhary Milk and Bakers Small Rusk"/>
    <s v="LDN"/>
    <n v="17"/>
    <s v="8-8.5"/>
    <s v="پیور"/>
    <n v="100"/>
    <x v="0"/>
    <n v="1"/>
    <n v="67.2"/>
    <n v="2.1"/>
    <m/>
    <x v="0"/>
    <n v="65.100000000000009"/>
    <m/>
    <m/>
    <x v="0"/>
    <x v="0"/>
    <n v="0"/>
    <n v="0"/>
    <x v="0"/>
    <x v="0"/>
    <m/>
    <x v="0"/>
    <x v="0"/>
    <x v="0"/>
    <x v="0"/>
    <x v="0"/>
    <n v="0"/>
    <n v="0"/>
    <n v="0"/>
    <n v="12"/>
    <x v="1"/>
    <x v="0"/>
    <m/>
    <x v="0"/>
    <m/>
    <x v="0"/>
    <x v="0"/>
    <x v="0"/>
    <x v="0"/>
    <x v="0"/>
  </r>
  <r>
    <x v="1"/>
    <x v="2"/>
    <s v="3684 J"/>
    <x v="71"/>
    <s v="Al Amaal Al Raqia"/>
    <s v="LDN"/>
    <n v="14"/>
    <s v="7.5-8"/>
    <s v="پیور"/>
    <n v="100"/>
    <x v="0"/>
    <n v="3"/>
    <n v="97.8"/>
    <n v="5.0999999999999996"/>
    <n v="7"/>
    <x v="0"/>
    <n v="92.7"/>
    <m/>
    <n v="5"/>
    <x v="0"/>
    <x v="0"/>
    <n v="5"/>
    <n v="8.3333333333333329E-2"/>
    <x v="0"/>
    <x v="0"/>
    <m/>
    <x v="0"/>
    <x v="0"/>
    <x v="0"/>
    <x v="0"/>
    <x v="0"/>
    <n v="0"/>
    <n v="0"/>
    <n v="8.3333333333333329E-2"/>
    <n v="11.916666666666666"/>
    <x v="1"/>
    <x v="0"/>
    <m/>
    <x v="0"/>
    <m/>
    <x v="0"/>
    <x v="0"/>
    <x v="0"/>
    <x v="0"/>
    <x v="0"/>
  </r>
  <r>
    <x v="1"/>
    <x v="2"/>
    <s v="3781 J"/>
    <x v="71"/>
    <s v="Hyzon"/>
    <s v="LDN"/>
    <n v="12"/>
    <s v="11.5-12"/>
    <s v="پیور"/>
    <n v="100"/>
    <x v="0"/>
    <n v="2"/>
    <n v="105.2"/>
    <n v="2.8"/>
    <m/>
    <x v="0"/>
    <n v="102.4"/>
    <m/>
    <m/>
    <x v="0"/>
    <x v="0"/>
    <n v="0"/>
    <n v="0"/>
    <x v="0"/>
    <x v="0"/>
    <m/>
    <x v="0"/>
    <x v="0"/>
    <x v="0"/>
    <x v="0"/>
    <x v="0"/>
    <n v="0"/>
    <n v="0"/>
    <n v="0"/>
    <n v="12"/>
    <x v="1"/>
    <x v="0"/>
    <m/>
    <x v="0"/>
    <m/>
    <x v="0"/>
    <x v="0"/>
    <x v="0"/>
    <x v="0"/>
    <x v="0"/>
  </r>
  <r>
    <x v="1"/>
    <x v="2"/>
    <s v="3739 J"/>
    <x v="71"/>
    <s v="Super Shangai Dry Cleaners"/>
    <s v="LDN"/>
    <n v="13"/>
    <s v="4.5-5"/>
    <s v="پیور"/>
    <n v="150"/>
    <x v="0"/>
    <n v="2"/>
    <n v="43.8"/>
    <n v="2.7"/>
    <m/>
    <x v="0"/>
    <n v="41.099999999999994"/>
    <m/>
    <m/>
    <x v="0"/>
    <x v="0"/>
    <n v="0"/>
    <n v="0"/>
    <x v="0"/>
    <x v="0"/>
    <m/>
    <x v="0"/>
    <x v="0"/>
    <x v="0"/>
    <x v="0"/>
    <x v="0"/>
    <n v="0"/>
    <n v="0"/>
    <n v="0"/>
    <n v="12"/>
    <x v="1"/>
    <x v="0"/>
    <m/>
    <x v="0"/>
    <m/>
    <x v="0"/>
    <x v="0"/>
    <x v="0"/>
    <x v="0"/>
    <x v="0"/>
  </r>
  <r>
    <x v="0"/>
    <x v="4"/>
    <s v="3749 J"/>
    <x v="71"/>
    <s v="Al Khayrat Brand"/>
    <s v="LDN"/>
    <n v="22"/>
    <s v="4.5-5"/>
    <s v="پیور"/>
    <n v="200"/>
    <x v="0"/>
    <n v="2"/>
    <n v="118.4"/>
    <n v="5.6"/>
    <m/>
    <x v="0"/>
    <n v="112.80000000000001"/>
    <m/>
    <m/>
    <x v="0"/>
    <x v="0"/>
    <n v="0"/>
    <n v="0"/>
    <x v="1"/>
    <x v="0"/>
    <m/>
    <x v="0"/>
    <x v="0"/>
    <x v="0"/>
    <x v="0"/>
    <x v="0"/>
    <n v="15"/>
    <n v="0.25"/>
    <n v="0.25"/>
    <n v="11.75"/>
    <x v="1"/>
    <x v="0"/>
    <m/>
    <x v="0"/>
    <m/>
    <x v="0"/>
    <x v="0"/>
    <x v="0"/>
    <x v="0"/>
    <x v="0"/>
  </r>
  <r>
    <x v="0"/>
    <x v="4"/>
    <s v="3750 J"/>
    <x v="71"/>
    <s v="Nakhel Brand "/>
    <s v="LDN"/>
    <n v="22"/>
    <s v="6-6.5"/>
    <s v="پیور"/>
    <n v="100"/>
    <x v="0"/>
    <n v="2"/>
    <n v="109"/>
    <n v="5.2"/>
    <m/>
    <x v="0"/>
    <n v="103.8"/>
    <m/>
    <m/>
    <x v="0"/>
    <x v="0"/>
    <n v="0"/>
    <n v="0"/>
    <x v="0"/>
    <x v="0"/>
    <m/>
    <x v="0"/>
    <x v="0"/>
    <x v="0"/>
    <x v="0"/>
    <x v="0"/>
    <n v="0"/>
    <n v="0"/>
    <n v="0"/>
    <n v="12"/>
    <x v="1"/>
    <x v="0"/>
    <m/>
    <x v="0"/>
    <m/>
    <x v="0"/>
    <x v="0"/>
    <x v="0"/>
    <x v="0"/>
    <x v="0"/>
  </r>
  <r>
    <x v="0"/>
    <x v="4"/>
    <s v="3795 J"/>
    <x v="71"/>
    <s v="Nakhel Brand "/>
    <s v="LDN"/>
    <n v="22"/>
    <s v="-"/>
    <s v="پیور"/>
    <n v="500"/>
    <x v="0"/>
    <n v="3"/>
    <n v="146.80000000000001"/>
    <n v="7.8000000000000007"/>
    <m/>
    <x v="0"/>
    <n v="139"/>
    <m/>
    <m/>
    <x v="0"/>
    <x v="0"/>
    <n v="0"/>
    <n v="0"/>
    <x v="0"/>
    <x v="0"/>
    <m/>
    <x v="0"/>
    <x v="0"/>
    <x v="0"/>
    <x v="0"/>
    <x v="0"/>
    <n v="0"/>
    <n v="0"/>
    <n v="0"/>
    <n v="12"/>
    <x v="1"/>
    <x v="0"/>
    <m/>
    <x v="0"/>
    <m/>
    <x v="0"/>
    <x v="0"/>
    <x v="0"/>
    <x v="0"/>
    <x v="0"/>
  </r>
  <r>
    <x v="0"/>
    <x v="4"/>
    <s v="3697 J"/>
    <x v="71"/>
    <s v="Chaudhary Milk Sweets and Large Rusk"/>
    <s v="LDN"/>
    <n v="21"/>
    <s v="8-8.5"/>
    <s v="پیور"/>
    <n v="150"/>
    <x v="0"/>
    <n v="4"/>
    <n v="206.8"/>
    <n v="10.4"/>
    <m/>
    <x v="0"/>
    <n v="196.4"/>
    <m/>
    <m/>
    <x v="0"/>
    <x v="0"/>
    <n v="0"/>
    <n v="0"/>
    <x v="0"/>
    <x v="0"/>
    <m/>
    <x v="0"/>
    <x v="0"/>
    <x v="0"/>
    <x v="0"/>
    <x v="0"/>
    <n v="0"/>
    <n v="0"/>
    <n v="0"/>
    <n v="12"/>
    <x v="1"/>
    <x v="0"/>
    <m/>
    <x v="0"/>
    <m/>
    <x v="0"/>
    <x v="0"/>
    <x v="0"/>
    <x v="0"/>
    <x v="0"/>
  </r>
  <r>
    <x v="1"/>
    <x v="4"/>
    <s v="3795 J"/>
    <x v="71"/>
    <s v="Nakhel Brand "/>
    <s v="LDN"/>
    <n v="22"/>
    <s v="-"/>
    <s v="پیور"/>
    <n v="500"/>
    <x v="0"/>
    <n v="6"/>
    <n v="332.19999999999993"/>
    <n v="15.600000000000001"/>
    <n v="13"/>
    <x v="0"/>
    <n v="316.59999999999991"/>
    <m/>
    <n v="10"/>
    <x v="0"/>
    <x v="0"/>
    <n v="10"/>
    <n v="0.16666666666666666"/>
    <x v="0"/>
    <x v="0"/>
    <m/>
    <x v="2"/>
    <x v="0"/>
    <x v="0"/>
    <x v="0"/>
    <x v="0"/>
    <n v="5"/>
    <n v="8.3333333333333329E-2"/>
    <n v="0.25"/>
    <n v="11.75"/>
    <x v="1"/>
    <x v="0"/>
    <m/>
    <x v="0"/>
    <m/>
    <x v="0"/>
    <x v="0"/>
    <x v="0"/>
    <x v="0"/>
    <x v="0"/>
  </r>
  <r>
    <x v="1"/>
    <x v="4"/>
    <n v="2781"/>
    <x v="71"/>
    <s v="MATCO FOOD"/>
    <s v="LDN"/>
    <s v="23-23.5"/>
    <s v="70 G+-1"/>
    <s v="SL"/>
    <s v="4900 KG"/>
    <x v="0"/>
    <n v="4"/>
    <n v="184.20000000000002"/>
    <n v="11.2"/>
    <m/>
    <x v="0"/>
    <n v="173.00000000000003"/>
    <m/>
    <n v="10"/>
    <x v="0"/>
    <x v="0"/>
    <n v="10"/>
    <n v="0.16666666666666666"/>
    <x v="0"/>
    <x v="0"/>
    <m/>
    <x v="0"/>
    <x v="0"/>
    <x v="0"/>
    <x v="0"/>
    <x v="0"/>
    <n v="0"/>
    <n v="0"/>
    <n v="0.16666666666666666"/>
    <n v="11.833333333333334"/>
    <x v="1"/>
    <x v="0"/>
    <m/>
    <x v="0"/>
    <m/>
    <x v="0"/>
    <x v="0"/>
    <x v="0"/>
    <x v="0"/>
    <x v="0"/>
  </r>
  <r>
    <x v="0"/>
    <x v="5"/>
    <s v="2008 F"/>
    <x v="71"/>
    <s v="MAKNIT WARNING NEW"/>
    <s v="LDN"/>
    <n v="17"/>
    <s v="8-8.5"/>
    <s v="جیلانی شیٹ"/>
    <n v="110"/>
    <x v="0"/>
    <n v="3"/>
    <n v="122.80000000000001"/>
    <n v="6.6000000000000005"/>
    <m/>
    <x v="0"/>
    <n v="116.20000000000002"/>
    <m/>
    <m/>
    <x v="0"/>
    <x v="0"/>
    <n v="0"/>
    <n v="0"/>
    <x v="0"/>
    <x v="0"/>
    <m/>
    <x v="0"/>
    <x v="0"/>
    <x v="0"/>
    <x v="0"/>
    <x v="0"/>
    <n v="0"/>
    <n v="0"/>
    <n v="0"/>
    <n v="12"/>
    <x v="1"/>
    <x v="0"/>
    <m/>
    <x v="0"/>
    <m/>
    <x v="0"/>
    <x v="0"/>
    <x v="0"/>
    <x v="0"/>
    <x v="0"/>
  </r>
  <r>
    <x v="0"/>
    <x v="5"/>
    <s v="2000 F"/>
    <x v="71"/>
    <s v="UHL WARNING"/>
    <s v="LDN"/>
    <n v="17"/>
    <s v="12"/>
    <s v="جیلانی شیٹ"/>
    <n v="500"/>
    <x v="0"/>
    <n v="4"/>
    <n v="292.2"/>
    <n v="6.3999999999999995"/>
    <m/>
    <x v="0"/>
    <n v="285.8"/>
    <m/>
    <m/>
    <x v="0"/>
    <x v="0"/>
    <n v="0"/>
    <n v="0"/>
    <x v="0"/>
    <x v="0"/>
    <m/>
    <x v="0"/>
    <x v="0"/>
    <x v="0"/>
    <x v="0"/>
    <x v="0"/>
    <n v="0"/>
    <n v="0"/>
    <n v="0"/>
    <n v="12"/>
    <x v="1"/>
    <x v="0"/>
    <m/>
    <x v="0"/>
    <m/>
    <x v="0"/>
    <x v="0"/>
    <x v="0"/>
    <x v="0"/>
    <x v="0"/>
  </r>
  <r>
    <x v="1"/>
    <x v="5"/>
    <s v="2000 F"/>
    <x v="71"/>
    <s v="UHL WARNING"/>
    <s v="LDN"/>
    <n v="17"/>
    <s v="12"/>
    <s v="جیلانی شیٹ"/>
    <n v="500"/>
    <x v="0"/>
    <n v="1"/>
    <n v="73.400000000000006"/>
    <n v="2.1"/>
    <n v="2"/>
    <x v="0"/>
    <n v="71.300000000000011"/>
    <m/>
    <n v="2"/>
    <x v="0"/>
    <x v="0"/>
    <n v="2"/>
    <n v="3.3333333333333333E-2"/>
    <x v="0"/>
    <x v="0"/>
    <m/>
    <x v="0"/>
    <x v="0"/>
    <x v="0"/>
    <x v="0"/>
    <x v="0"/>
    <n v="0"/>
    <n v="0"/>
    <n v="3.3333333333333333E-2"/>
    <n v="11.966666666666667"/>
    <x v="1"/>
    <x v="0"/>
    <m/>
    <x v="0"/>
    <m/>
    <x v="0"/>
    <x v="0"/>
    <x v="0"/>
    <x v="0"/>
    <x v="0"/>
  </r>
  <r>
    <x v="1"/>
    <x v="5"/>
    <s v="2001 F"/>
    <x v="71"/>
    <s v="ERIMA WARNING"/>
    <s v="LDN"/>
    <n v="17"/>
    <s v="8"/>
    <s v="جیلانی شیٹ"/>
    <n v="500"/>
    <x v="0"/>
    <n v="6"/>
    <n v="293.8"/>
    <n v="11.9"/>
    <m/>
    <x v="0"/>
    <n v="281.90000000000003"/>
    <m/>
    <m/>
    <x v="0"/>
    <x v="0"/>
    <n v="0"/>
    <n v="0"/>
    <x v="0"/>
    <x v="0"/>
    <m/>
    <x v="0"/>
    <x v="0"/>
    <x v="0"/>
    <x v="0"/>
    <x v="0"/>
    <n v="0"/>
    <n v="0"/>
    <n v="0"/>
    <n v="12"/>
    <x v="1"/>
    <x v="0"/>
    <m/>
    <x v="0"/>
    <m/>
    <x v="0"/>
    <x v="0"/>
    <x v="0"/>
    <x v="0"/>
    <x v="0"/>
  </r>
  <r>
    <x v="0"/>
    <x v="0"/>
    <s v="3685 J"/>
    <x v="72"/>
    <s v="Prime Aluminium"/>
    <s v="LDN"/>
    <n v="4"/>
    <n v="10"/>
    <s v="پیور"/>
    <n v="400"/>
    <x v="0"/>
    <n v="3"/>
    <n v="114.6"/>
    <n v="1.44"/>
    <n v="90"/>
    <x v="0"/>
    <n v="113.16"/>
    <m/>
    <m/>
    <x v="0"/>
    <x v="0"/>
    <n v="0"/>
    <n v="0"/>
    <x v="0"/>
    <x v="0"/>
    <m/>
    <x v="0"/>
    <x v="0"/>
    <x v="0"/>
    <x v="0"/>
    <x v="0"/>
    <n v="0"/>
    <n v="0"/>
    <n v="0"/>
    <n v="12"/>
    <x v="1"/>
    <x v="0"/>
    <n v="1920"/>
    <x v="0"/>
    <m/>
    <x v="0"/>
    <x v="0"/>
    <x v="0"/>
    <x v="0"/>
    <x v="0"/>
  </r>
  <r>
    <x v="0"/>
    <x v="0"/>
    <s v="3689 J"/>
    <x v="72"/>
    <s v="Prime Aluminium"/>
    <s v="LDN"/>
    <n v="8"/>
    <n v="10"/>
    <s v="پیور"/>
    <n v="400"/>
    <x v="0"/>
    <n v="1"/>
    <n v="53.6"/>
    <n v="1"/>
    <m/>
    <x v="0"/>
    <n v="52.6"/>
    <m/>
    <m/>
    <x v="0"/>
    <x v="0"/>
    <n v="0"/>
    <n v="0"/>
    <x v="0"/>
    <x v="0"/>
    <m/>
    <x v="0"/>
    <x v="0"/>
    <x v="0"/>
    <x v="0"/>
    <x v="0"/>
    <n v="0"/>
    <n v="0"/>
    <n v="0"/>
    <n v="12"/>
    <x v="1"/>
    <x v="0"/>
    <m/>
    <x v="0"/>
    <n v="1550"/>
    <x v="0"/>
    <x v="0"/>
    <x v="0"/>
    <x v="0"/>
    <x v="0"/>
  </r>
  <r>
    <x v="1"/>
    <x v="0"/>
    <s v="3687 J"/>
    <x v="72"/>
    <s v="Prime Aluminium"/>
    <s v="LDN"/>
    <n v="6"/>
    <n v="10"/>
    <s v="پیور"/>
    <n v="400"/>
    <x v="0"/>
    <n v="3"/>
    <n v="149.80000000000001"/>
    <n v="2.0999999999999996"/>
    <n v="86"/>
    <x v="0"/>
    <n v="147.70000000000002"/>
    <m/>
    <m/>
    <x v="0"/>
    <x v="0"/>
    <n v="0"/>
    <n v="0"/>
    <x v="0"/>
    <x v="0"/>
    <m/>
    <x v="0"/>
    <x v="0"/>
    <x v="0"/>
    <x v="0"/>
    <x v="0"/>
    <n v="0"/>
    <n v="0"/>
    <n v="0"/>
    <n v="12"/>
    <x v="1"/>
    <x v="0"/>
    <m/>
    <x v="0"/>
    <n v="1500"/>
    <x v="0"/>
    <x v="0"/>
    <x v="0"/>
    <x v="0"/>
    <x v="0"/>
  </r>
  <r>
    <x v="0"/>
    <x v="1"/>
    <s v="3689 J"/>
    <x v="72"/>
    <s v="Prime Aluminium"/>
    <s v="LDN"/>
    <n v="8"/>
    <n v="10"/>
    <s v="پیور"/>
    <n v="400"/>
    <x v="0"/>
    <n v="2"/>
    <n v="102.2"/>
    <n v="1.8"/>
    <m/>
    <x v="0"/>
    <n v="100.4"/>
    <m/>
    <m/>
    <x v="0"/>
    <x v="0"/>
    <n v="0"/>
    <n v="0"/>
    <x v="0"/>
    <x v="0"/>
    <n v="720"/>
    <x v="0"/>
    <x v="0"/>
    <x v="0"/>
    <x v="0"/>
    <x v="0"/>
    <n v="720"/>
    <n v="12"/>
    <n v="12"/>
    <n v="0"/>
    <x v="1"/>
    <x v="0"/>
    <m/>
    <x v="0"/>
    <m/>
    <x v="0"/>
    <x v="0"/>
    <x v="0"/>
    <x v="0"/>
    <x v="0"/>
  </r>
  <r>
    <x v="0"/>
    <x v="2"/>
    <s v="3739 J"/>
    <x v="72"/>
    <s v="Super Shangai Dry Cleaners"/>
    <s v="LDN"/>
    <n v="13"/>
    <s v="4.5-5"/>
    <s v="پیور"/>
    <n v="150"/>
    <x v="0"/>
    <n v="6"/>
    <n v="112.19999999999999"/>
    <n v="6"/>
    <m/>
    <x v="0"/>
    <n v="106.19999999999999"/>
    <m/>
    <m/>
    <x v="0"/>
    <x v="0"/>
    <n v="0"/>
    <n v="0"/>
    <x v="0"/>
    <x v="0"/>
    <n v="45"/>
    <x v="0"/>
    <x v="0"/>
    <x v="0"/>
    <x v="0"/>
    <x v="0"/>
    <n v="45"/>
    <n v="0.75"/>
    <n v="0.75"/>
    <n v="11.25"/>
    <x v="1"/>
    <x v="0"/>
    <m/>
    <x v="0"/>
    <m/>
    <x v="0"/>
    <x v="0"/>
    <x v="0"/>
    <x v="0"/>
    <x v="0"/>
  </r>
  <r>
    <x v="0"/>
    <x v="2"/>
    <s v="3648 J"/>
    <x v="72"/>
    <s v="Lucky Gaments"/>
    <s v="LDM"/>
    <s v="10.5+2.75+2.75"/>
    <s v="8-8.5/16-17"/>
    <s v="ABA پیور"/>
    <n v="120"/>
    <x v="0"/>
    <n v="5"/>
    <n v="118.00000000000001"/>
    <n v="4.8"/>
    <m/>
    <x v="0"/>
    <n v="113.20000000000002"/>
    <m/>
    <m/>
    <x v="0"/>
    <x v="0"/>
    <n v="0"/>
    <n v="0"/>
    <x v="0"/>
    <x v="0"/>
    <m/>
    <x v="0"/>
    <x v="0"/>
    <x v="0"/>
    <x v="4"/>
    <x v="0"/>
    <n v="20"/>
    <n v="0.33333333333333331"/>
    <n v="0.33333333333333331"/>
    <n v="11.666666666666666"/>
    <x v="1"/>
    <x v="0"/>
    <m/>
    <x v="0"/>
    <m/>
    <x v="0"/>
    <x v="0"/>
    <x v="0"/>
    <x v="0"/>
    <x v="0"/>
  </r>
  <r>
    <x v="1"/>
    <x v="2"/>
    <s v="3597 J"/>
    <x v="72"/>
    <s v="PPRC (IIL)"/>
    <s v="LD پیلا"/>
    <s v="300 MM"/>
    <s v="48-50"/>
    <s v="-"/>
    <n v="3500"/>
    <x v="0"/>
    <n v="3"/>
    <n v="275"/>
    <n v="4.1999999999999993"/>
    <m/>
    <x v="0"/>
    <n v="270.8"/>
    <m/>
    <m/>
    <x v="0"/>
    <x v="0"/>
    <n v="0"/>
    <n v="0"/>
    <x v="0"/>
    <x v="0"/>
    <m/>
    <x v="0"/>
    <x v="0"/>
    <x v="0"/>
    <x v="0"/>
    <x v="0"/>
    <n v="0"/>
    <n v="0"/>
    <n v="0"/>
    <n v="12"/>
    <x v="1"/>
    <x v="0"/>
    <m/>
    <x v="0"/>
    <m/>
    <x v="0"/>
    <x v="0"/>
    <x v="0"/>
    <x v="0"/>
    <x v="0"/>
  </r>
  <r>
    <x v="1"/>
    <x v="2"/>
    <s v="3765 J"/>
    <x v="72"/>
    <s v="Khandan Shoes Center Barikot"/>
    <s v="LD پیلا"/>
    <n v="18"/>
    <s v="14-15"/>
    <s v="ABA پیور"/>
    <n v="100"/>
    <x v="0"/>
    <n v="1"/>
    <n v="32.4"/>
    <n v="2.1"/>
    <m/>
    <x v="0"/>
    <n v="30.299999999999997"/>
    <m/>
    <n v="20"/>
    <x v="0"/>
    <x v="0"/>
    <n v="20"/>
    <n v="0.33333333333333331"/>
    <x v="0"/>
    <x v="0"/>
    <m/>
    <x v="0"/>
    <x v="0"/>
    <x v="0"/>
    <x v="5"/>
    <x v="0"/>
    <n v="180"/>
    <n v="3"/>
    <n v="3.3333333333333335"/>
    <n v="8.6666666666666661"/>
    <x v="1"/>
    <x v="0"/>
    <m/>
    <x v="0"/>
    <m/>
    <x v="0"/>
    <x v="0"/>
    <x v="0"/>
    <x v="0"/>
    <x v="0"/>
  </r>
  <r>
    <x v="0"/>
    <x v="4"/>
    <s v="1932 F"/>
    <x v="72"/>
    <s v="PELD Logo"/>
    <s v="LDN"/>
    <n v="27"/>
    <s v="7.5-8"/>
    <s v="پیور"/>
    <n v="470"/>
    <x v="0"/>
    <n v="1"/>
    <n v="85.6"/>
    <n v="3.4"/>
    <m/>
    <x v="0"/>
    <n v="82.199999999999989"/>
    <m/>
    <n v="5"/>
    <x v="0"/>
    <x v="0"/>
    <n v="5"/>
    <n v="8.3333333333333329E-2"/>
    <x v="0"/>
    <x v="0"/>
    <m/>
    <x v="0"/>
    <x v="0"/>
    <x v="0"/>
    <x v="0"/>
    <x v="0"/>
    <n v="0"/>
    <n v="0"/>
    <n v="8.3333333333333329E-2"/>
    <n v="11.916666666666666"/>
    <x v="1"/>
    <x v="0"/>
    <m/>
    <x v="0"/>
    <m/>
    <x v="0"/>
    <x v="0"/>
    <x v="0"/>
    <x v="0"/>
    <x v="0"/>
  </r>
  <r>
    <x v="0"/>
    <x v="4"/>
    <s v="3810 J"/>
    <x v="72"/>
    <s v="3 Eagle Acrylic (1 KG)"/>
    <s v="LDN"/>
    <s v="525 MM"/>
    <s v="15-16/30-32"/>
    <s v="پیور"/>
    <n v="120"/>
    <x v="0"/>
    <n v="2"/>
    <n v="142"/>
    <n v="4.8"/>
    <m/>
    <x v="0"/>
    <n v="137.19999999999999"/>
    <m/>
    <n v="5"/>
    <x v="0"/>
    <x v="0"/>
    <n v="5"/>
    <n v="8.3333333333333329E-2"/>
    <x v="0"/>
    <x v="0"/>
    <m/>
    <x v="0"/>
    <x v="0"/>
    <x v="0"/>
    <x v="0"/>
    <x v="0"/>
    <n v="0"/>
    <n v="0"/>
    <n v="8.3333333333333329E-2"/>
    <n v="11.916666666666666"/>
    <x v="1"/>
    <x v="0"/>
    <m/>
    <x v="0"/>
    <m/>
    <x v="0"/>
    <x v="0"/>
    <x v="0"/>
    <x v="0"/>
    <x v="0"/>
  </r>
  <r>
    <x v="0"/>
    <x v="4"/>
    <n v="2781"/>
    <x v="72"/>
    <s v="MATCO FOOD"/>
    <s v="LDN"/>
    <s v="23-23.5"/>
    <s v="70 G+-1"/>
    <s v="SL"/>
    <s v="4900 KG"/>
    <x v="0"/>
    <n v="2"/>
    <n v="180"/>
    <n v="5.6"/>
    <m/>
    <x v="0"/>
    <n v="174.4"/>
    <m/>
    <m/>
    <x v="0"/>
    <x v="0"/>
    <n v="0"/>
    <n v="0"/>
    <x v="0"/>
    <x v="0"/>
    <m/>
    <x v="3"/>
    <x v="0"/>
    <x v="0"/>
    <x v="0"/>
    <x v="0"/>
    <n v="7"/>
    <n v="0.11666666666666667"/>
    <n v="0.11666666666666667"/>
    <n v="11.883333333333333"/>
    <x v="1"/>
    <x v="0"/>
    <m/>
    <x v="0"/>
    <m/>
    <x v="0"/>
    <x v="0"/>
    <x v="0"/>
    <x v="0"/>
    <x v="0"/>
  </r>
  <r>
    <x v="0"/>
    <x v="4"/>
    <s v="3827 J"/>
    <x v="72"/>
    <s v="Atlas Honda LTD (SKP)"/>
    <s v="LDN"/>
    <n v="26"/>
    <s v="8.5-9"/>
    <s v="LDN"/>
    <n v="375"/>
    <x v="0"/>
    <n v="3"/>
    <n v="245.2"/>
    <n v="9.6000000000000014"/>
    <m/>
    <x v="0"/>
    <n v="235.6"/>
    <m/>
    <m/>
    <x v="0"/>
    <x v="0"/>
    <n v="0"/>
    <n v="0"/>
    <x v="0"/>
    <x v="1"/>
    <m/>
    <x v="0"/>
    <x v="0"/>
    <x v="0"/>
    <x v="0"/>
    <x v="0"/>
    <n v="10"/>
    <n v="0.16666666666666666"/>
    <n v="0.16666666666666666"/>
    <n v="11.833333333333334"/>
    <x v="1"/>
    <x v="0"/>
    <m/>
    <x v="0"/>
    <m/>
    <x v="0"/>
    <x v="0"/>
    <x v="0"/>
    <x v="0"/>
    <x v="0"/>
  </r>
  <r>
    <x v="1"/>
    <x v="4"/>
    <s v="3827 J"/>
    <x v="72"/>
    <s v="Atlas Honda LTD (SKP)"/>
    <s v="LDN"/>
    <n v="26"/>
    <s v="8.5-9"/>
    <s v="LDN"/>
    <n v="375"/>
    <x v="0"/>
    <n v="6"/>
    <n v="328.79999999999995"/>
    <n v="20.399999999999999"/>
    <m/>
    <x v="0"/>
    <n v="308.39999999999998"/>
    <m/>
    <n v="7"/>
    <x v="0"/>
    <x v="0"/>
    <n v="7"/>
    <n v="0.11666666666666667"/>
    <x v="0"/>
    <x v="0"/>
    <m/>
    <x v="0"/>
    <x v="0"/>
    <x v="0"/>
    <x v="0"/>
    <x v="0"/>
    <n v="0"/>
    <n v="0"/>
    <n v="0.11666666666666667"/>
    <n v="11.883333333333333"/>
    <x v="1"/>
    <x v="0"/>
    <m/>
    <x v="0"/>
    <m/>
    <x v="0"/>
    <x v="0"/>
    <x v="0"/>
    <x v="0"/>
    <x v="0"/>
  </r>
  <r>
    <x v="1"/>
    <x v="4"/>
    <s v="2022 F"/>
    <x v="72"/>
    <s v="7 LANGUAGE WARNING+LOGO"/>
    <s v="LDN"/>
    <n v="28"/>
    <s v="7"/>
    <s v="پیور"/>
    <n v="32"/>
    <x v="0"/>
    <n v="1"/>
    <n v="37.799999999999997"/>
    <n v="3.8"/>
    <m/>
    <x v="0"/>
    <n v="34"/>
    <m/>
    <n v="10"/>
    <x v="0"/>
    <x v="0"/>
    <n v="10"/>
    <n v="0.16666666666666666"/>
    <x v="0"/>
    <x v="0"/>
    <m/>
    <x v="0"/>
    <x v="0"/>
    <x v="0"/>
    <x v="0"/>
    <x v="0"/>
    <n v="0"/>
    <n v="0"/>
    <n v="0.16666666666666666"/>
    <n v="11.833333333333334"/>
    <x v="1"/>
    <x v="0"/>
    <m/>
    <x v="0"/>
    <m/>
    <x v="0"/>
    <x v="0"/>
    <x v="0"/>
    <x v="0"/>
    <x v="0"/>
  </r>
  <r>
    <x v="1"/>
    <x v="4"/>
    <s v="2021 F"/>
    <x v="72"/>
    <s v="Only Payper waring"/>
    <s v="LDN"/>
    <n v="26"/>
    <s v="7"/>
    <s v="جیلانی شیٹ"/>
    <n v="170"/>
    <x v="0"/>
    <n v="3"/>
    <n v="192.79999999999998"/>
    <n v="10.199999999999999"/>
    <m/>
    <x v="0"/>
    <n v="182.6"/>
    <m/>
    <n v="5"/>
    <x v="0"/>
    <x v="0"/>
    <n v="5"/>
    <n v="8.3333333333333329E-2"/>
    <x v="0"/>
    <x v="0"/>
    <m/>
    <x v="0"/>
    <x v="0"/>
    <x v="0"/>
    <x v="0"/>
    <x v="0"/>
    <n v="0"/>
    <n v="0"/>
    <n v="8.3333333333333329E-2"/>
    <n v="11.916666666666666"/>
    <x v="1"/>
    <x v="0"/>
    <m/>
    <x v="0"/>
    <m/>
    <x v="0"/>
    <x v="0"/>
    <x v="0"/>
    <x v="0"/>
    <x v="0"/>
  </r>
  <r>
    <x v="1"/>
    <x v="4"/>
    <s v="2020 F"/>
    <x v="72"/>
    <s v="Only Payper waring"/>
    <s v="LDN"/>
    <n v="30"/>
    <s v="7"/>
    <s v="جیلانی شیٹ"/>
    <n v="200"/>
    <x v="0"/>
    <n v="3"/>
    <n v="209.2"/>
    <n v="12"/>
    <m/>
    <x v="0"/>
    <n v="197.2"/>
    <m/>
    <m/>
    <x v="0"/>
    <x v="0"/>
    <n v="0"/>
    <n v="0"/>
    <x v="0"/>
    <x v="0"/>
    <m/>
    <x v="0"/>
    <x v="0"/>
    <x v="0"/>
    <x v="0"/>
    <x v="0"/>
    <n v="0"/>
    <n v="0"/>
    <n v="0"/>
    <n v="12"/>
    <x v="1"/>
    <x v="0"/>
    <m/>
    <x v="0"/>
    <m/>
    <x v="0"/>
    <x v="0"/>
    <x v="0"/>
    <x v="0"/>
    <x v="0"/>
  </r>
  <r>
    <x v="0"/>
    <x v="5"/>
    <s v="2001 F"/>
    <x v="72"/>
    <s v="ERIMA WARNING"/>
    <s v="LDN"/>
    <n v="17"/>
    <s v="8"/>
    <s v="جیلانی شیٹ"/>
    <n v="500"/>
    <x v="0"/>
    <n v="5"/>
    <n v="233.10000000000002"/>
    <n v="10"/>
    <m/>
    <x v="0"/>
    <n v="223.10000000000002"/>
    <m/>
    <m/>
    <x v="0"/>
    <x v="0"/>
    <n v="0"/>
    <n v="0"/>
    <x v="0"/>
    <x v="0"/>
    <m/>
    <x v="0"/>
    <x v="0"/>
    <x v="0"/>
    <x v="0"/>
    <x v="0"/>
    <n v="0"/>
    <n v="0"/>
    <n v="0"/>
    <n v="12"/>
    <x v="1"/>
    <x v="0"/>
    <m/>
    <x v="0"/>
    <m/>
    <x v="0"/>
    <x v="0"/>
    <x v="0"/>
    <x v="0"/>
    <x v="0"/>
  </r>
  <r>
    <x v="0"/>
    <x v="5"/>
    <s v="2012 F"/>
    <x v="72"/>
    <s v="OLD SKULL "/>
    <s v="LDN"/>
    <n v="17"/>
    <s v="7-7.5"/>
    <s v="جیلانی شیٹ"/>
    <n v="190"/>
    <x v="0"/>
    <n v="2"/>
    <n v="85.9"/>
    <n v="4"/>
    <m/>
    <x v="0"/>
    <n v="81.900000000000006"/>
    <m/>
    <m/>
    <x v="0"/>
    <x v="0"/>
    <n v="0"/>
    <n v="0"/>
    <x v="0"/>
    <x v="0"/>
    <m/>
    <x v="0"/>
    <x v="0"/>
    <x v="0"/>
    <x v="0"/>
    <x v="0"/>
    <n v="0"/>
    <n v="0"/>
    <n v="0"/>
    <n v="12"/>
    <x v="1"/>
    <x v="0"/>
    <m/>
    <x v="0"/>
    <m/>
    <x v="0"/>
    <x v="0"/>
    <x v="0"/>
    <x v="0"/>
    <x v="0"/>
  </r>
  <r>
    <x v="1"/>
    <x v="5"/>
    <s v="2012 F"/>
    <x v="72"/>
    <s v="OLD SKULL "/>
    <s v="LDN"/>
    <n v="17"/>
    <s v="7-7.5"/>
    <s v="جیلانی شیٹ"/>
    <n v="190"/>
    <x v="0"/>
    <n v="2"/>
    <n v="114"/>
    <n v="3.9"/>
    <m/>
    <x v="0"/>
    <n v="110.1"/>
    <m/>
    <m/>
    <x v="0"/>
    <x v="0"/>
    <n v="0"/>
    <n v="0"/>
    <x v="0"/>
    <x v="0"/>
    <m/>
    <x v="0"/>
    <x v="0"/>
    <x v="0"/>
    <x v="0"/>
    <x v="0"/>
    <n v="0"/>
    <n v="0"/>
    <n v="0"/>
    <n v="12"/>
    <x v="1"/>
    <x v="0"/>
    <m/>
    <x v="0"/>
    <m/>
    <x v="0"/>
    <x v="0"/>
    <x v="0"/>
    <x v="0"/>
    <x v="0"/>
  </r>
  <r>
    <x v="1"/>
    <x v="5"/>
    <s v="2018 F"/>
    <x v="72"/>
    <s v="PAYPER WARNING"/>
    <s v="LDN"/>
    <n v="17"/>
    <s v="7"/>
    <s v="جیلانی شیٹ"/>
    <n v="450"/>
    <x v="0"/>
    <n v="4"/>
    <n v="208.2"/>
    <n v="8"/>
    <m/>
    <x v="0"/>
    <n v="200.2"/>
    <m/>
    <m/>
    <x v="0"/>
    <x v="0"/>
    <n v="0"/>
    <n v="0"/>
    <x v="0"/>
    <x v="0"/>
    <m/>
    <x v="0"/>
    <x v="0"/>
    <x v="0"/>
    <x v="0"/>
    <x v="0"/>
    <n v="0"/>
    <n v="0"/>
    <n v="0"/>
    <n v="12"/>
    <x v="1"/>
    <x v="0"/>
    <m/>
    <x v="0"/>
    <m/>
    <x v="0"/>
    <x v="0"/>
    <x v="0"/>
    <x v="0"/>
    <x v="0"/>
  </r>
  <r>
    <x v="0"/>
    <x v="0"/>
    <s v="3687 J"/>
    <x v="73"/>
    <s v="Prime Aluminium"/>
    <s v="LDN"/>
    <n v="6"/>
    <n v="10"/>
    <s v="پیور"/>
    <n v="400"/>
    <x v="0"/>
    <n v="5"/>
    <n v="189.8"/>
    <n v="4"/>
    <n v="93"/>
    <x v="0"/>
    <n v="185.8"/>
    <m/>
    <m/>
    <x v="0"/>
    <x v="0"/>
    <n v="0"/>
    <n v="0"/>
    <x v="0"/>
    <x v="0"/>
    <m/>
    <x v="0"/>
    <x v="0"/>
    <x v="0"/>
    <x v="0"/>
    <x v="0"/>
    <n v="0"/>
    <n v="0"/>
    <n v="0"/>
    <n v="12"/>
    <x v="1"/>
    <x v="0"/>
    <n v="2058.5"/>
    <x v="0"/>
    <m/>
    <x v="0"/>
    <x v="0"/>
    <x v="0"/>
    <x v="0"/>
    <x v="0"/>
  </r>
  <r>
    <x v="1"/>
    <x v="0"/>
    <s v="3687 J"/>
    <x v="73"/>
    <s v="Prime Aluminium"/>
    <s v="LDN"/>
    <n v="6"/>
    <n v="10"/>
    <s v="پیور"/>
    <n v="400"/>
    <x v="0"/>
    <n v="1"/>
    <n v="48.4"/>
    <n v="0.8"/>
    <n v="20"/>
    <x v="0"/>
    <n v="47.6"/>
    <m/>
    <n v="2"/>
    <x v="0"/>
    <x v="0"/>
    <n v="2"/>
    <n v="3.3333333333333333E-2"/>
    <x v="0"/>
    <x v="0"/>
    <m/>
    <x v="0"/>
    <x v="0"/>
    <x v="0"/>
    <x v="0"/>
    <x v="0"/>
    <n v="0"/>
    <n v="0"/>
    <n v="3.3333333333333333E-2"/>
    <n v="11.966666666666667"/>
    <x v="1"/>
    <x v="0"/>
    <m/>
    <x v="0"/>
    <m/>
    <x v="0"/>
    <x v="0"/>
    <x v="0"/>
    <x v="0"/>
    <x v="0"/>
  </r>
  <r>
    <x v="1"/>
    <x v="0"/>
    <s v="3798 J"/>
    <x v="73"/>
    <s v="U.S Metal Smart Golden"/>
    <s v="LDN"/>
    <n v="6"/>
    <n v="10"/>
    <s v="پیور"/>
    <n v="140"/>
    <x v="0"/>
    <n v="1"/>
    <n v="46.2"/>
    <n v="0.8"/>
    <m/>
    <x v="0"/>
    <n v="45.400000000000006"/>
    <m/>
    <m/>
    <x v="0"/>
    <x v="0"/>
    <n v="0"/>
    <n v="0"/>
    <x v="0"/>
    <x v="0"/>
    <m/>
    <x v="0"/>
    <x v="0"/>
    <x v="0"/>
    <x v="0"/>
    <x v="0"/>
    <n v="0"/>
    <n v="0"/>
    <n v="0"/>
    <n v="12"/>
    <x v="1"/>
    <x v="0"/>
    <m/>
    <x v="0"/>
    <m/>
    <x v="0"/>
    <x v="0"/>
    <x v="0"/>
    <x v="0"/>
    <x v="0"/>
  </r>
  <r>
    <x v="1"/>
    <x v="0"/>
    <s v="3805 J"/>
    <x v="73"/>
    <s v="G Metal Aluminum+ISO CertifiED"/>
    <s v="LDN"/>
    <n v="5"/>
    <n v="10"/>
    <s v="پیور"/>
    <n v="120"/>
    <x v="0"/>
    <n v="2"/>
    <n v="68.599999999999994"/>
    <n v="1.6"/>
    <m/>
    <x v="0"/>
    <n v="67"/>
    <m/>
    <m/>
    <x v="0"/>
    <x v="0"/>
    <n v="0"/>
    <n v="0"/>
    <x v="0"/>
    <x v="0"/>
    <m/>
    <x v="0"/>
    <x v="0"/>
    <x v="0"/>
    <x v="0"/>
    <x v="0"/>
    <n v="0"/>
    <n v="0"/>
    <n v="0"/>
    <n v="12"/>
    <x v="1"/>
    <x v="0"/>
    <m/>
    <x v="0"/>
    <m/>
    <x v="0"/>
    <x v="0"/>
    <x v="0"/>
    <x v="0"/>
    <x v="0"/>
  </r>
  <r>
    <x v="1"/>
    <x v="1"/>
    <s v="3803 J"/>
    <x v="73"/>
    <s v="U.S Metal"/>
    <s v="LDN"/>
    <n v="7"/>
    <n v="10"/>
    <s v="پیور"/>
    <n v="130"/>
    <x v="0"/>
    <n v="2"/>
    <n v="90.8"/>
    <n v="1.8"/>
    <m/>
    <x v="0"/>
    <n v="89"/>
    <m/>
    <m/>
    <x v="0"/>
    <x v="3"/>
    <n v="240"/>
    <n v="4"/>
    <x v="0"/>
    <x v="0"/>
    <m/>
    <x v="0"/>
    <x v="0"/>
    <x v="0"/>
    <x v="0"/>
    <x v="0"/>
    <n v="0"/>
    <n v="0"/>
    <n v="4"/>
    <n v="8"/>
    <x v="1"/>
    <x v="0"/>
    <m/>
    <x v="0"/>
    <m/>
    <x v="0"/>
    <x v="0"/>
    <x v="0"/>
    <x v="0"/>
    <x v="0"/>
  </r>
  <r>
    <x v="0"/>
    <x v="2"/>
    <s v="3765 J"/>
    <x v="73"/>
    <s v="Khandan Shoes Center Barikot"/>
    <s v="LD پیلا"/>
    <n v="18"/>
    <s v="14-15"/>
    <s v="ABA پیور"/>
    <n v="100"/>
    <x v="0"/>
    <n v="2"/>
    <n v="75.400000000000006"/>
    <n v="4.5999999999999996"/>
    <m/>
    <x v="0"/>
    <n v="70.800000000000011"/>
    <m/>
    <n v="5"/>
    <x v="0"/>
    <x v="0"/>
    <n v="5"/>
    <n v="8.3333333333333329E-2"/>
    <x v="0"/>
    <x v="0"/>
    <m/>
    <x v="0"/>
    <x v="0"/>
    <x v="0"/>
    <x v="0"/>
    <x v="0"/>
    <n v="0"/>
    <n v="0"/>
    <n v="8.3333333333333329E-2"/>
    <n v="11.916666666666666"/>
    <x v="1"/>
    <x v="0"/>
    <m/>
    <x v="0"/>
    <m/>
    <x v="0"/>
    <x v="0"/>
    <x v="0"/>
    <x v="0"/>
    <x v="0"/>
  </r>
  <r>
    <x v="0"/>
    <x v="2"/>
    <s v="3738 J"/>
    <x v="73"/>
    <s v="Salman Shoes Mata"/>
    <s v="LD گولڈن پیلا"/>
    <n v="20"/>
    <s v="15-16"/>
    <s v="ABA پیور"/>
    <n v="100"/>
    <x v="0"/>
    <n v="2"/>
    <n v="108"/>
    <n v="5"/>
    <m/>
    <x v="0"/>
    <n v="103"/>
    <m/>
    <m/>
    <x v="0"/>
    <x v="0"/>
    <n v="0"/>
    <n v="0"/>
    <x v="0"/>
    <x v="0"/>
    <m/>
    <x v="0"/>
    <x v="0"/>
    <x v="0"/>
    <x v="0"/>
    <x v="0"/>
    <n v="0"/>
    <n v="0"/>
    <n v="0"/>
    <n v="12"/>
    <x v="1"/>
    <x v="0"/>
    <m/>
    <x v="0"/>
    <m/>
    <x v="0"/>
    <x v="0"/>
    <x v="0"/>
    <x v="0"/>
    <x v="0"/>
  </r>
  <r>
    <x v="0"/>
    <x v="2"/>
    <s v="3652 J"/>
    <x v="73"/>
    <s v="Dark Blue BNC"/>
    <s v="LD بلو"/>
    <n v="16"/>
    <s v="10-10.5"/>
    <s v="ABA تھینکیو"/>
    <n v="200"/>
    <x v="0"/>
    <n v="5"/>
    <n v="256.60000000000002"/>
    <n v="10"/>
    <m/>
    <x v="0"/>
    <n v="246.60000000000002"/>
    <m/>
    <m/>
    <x v="0"/>
    <x v="0"/>
    <n v="0"/>
    <n v="0"/>
    <x v="0"/>
    <x v="0"/>
    <m/>
    <x v="0"/>
    <x v="0"/>
    <x v="0"/>
    <x v="0"/>
    <x v="0"/>
    <n v="0"/>
    <n v="0"/>
    <n v="0"/>
    <n v="12"/>
    <x v="1"/>
    <x v="0"/>
    <m/>
    <x v="0"/>
    <m/>
    <x v="0"/>
    <x v="0"/>
    <x v="0"/>
    <x v="0"/>
    <x v="0"/>
  </r>
  <r>
    <x v="1"/>
    <x v="2"/>
    <s v="3653 J"/>
    <x v="73"/>
    <s v="Dark Blue BNC"/>
    <s v="LD بلو"/>
    <n v="16"/>
    <s v="10-10.5"/>
    <s v="ABA تھینکیو"/>
    <n v="200"/>
    <x v="0"/>
    <n v="5"/>
    <n v="252.8"/>
    <n v="10"/>
    <m/>
    <x v="0"/>
    <n v="242.8"/>
    <m/>
    <m/>
    <x v="0"/>
    <x v="0"/>
    <n v="0"/>
    <n v="0"/>
    <x v="0"/>
    <x v="0"/>
    <m/>
    <x v="0"/>
    <x v="0"/>
    <x v="0"/>
    <x v="0"/>
    <x v="0"/>
    <n v="0"/>
    <n v="0"/>
    <n v="0"/>
    <n v="12"/>
    <x v="1"/>
    <x v="0"/>
    <m/>
    <x v="0"/>
    <m/>
    <x v="0"/>
    <x v="0"/>
    <x v="0"/>
    <x v="0"/>
    <x v="0"/>
  </r>
  <r>
    <x v="1"/>
    <x v="2"/>
    <s v="3721 J"/>
    <x v="73"/>
    <s v="Rasheed Optical and Vision Center "/>
    <s v="LDM"/>
    <n v="11"/>
    <s v="7.5-8"/>
    <s v="ABA پیور"/>
    <n v="100"/>
    <x v="0"/>
    <n v="3"/>
    <n v="83"/>
    <n v="3.9000000000000004"/>
    <m/>
    <x v="0"/>
    <n v="79.099999999999994"/>
    <m/>
    <m/>
    <x v="0"/>
    <x v="0"/>
    <n v="0"/>
    <n v="0"/>
    <x v="0"/>
    <x v="0"/>
    <m/>
    <x v="0"/>
    <x v="0"/>
    <x v="0"/>
    <x v="0"/>
    <x v="0"/>
    <n v="0"/>
    <n v="0"/>
    <n v="0"/>
    <n v="12"/>
    <x v="1"/>
    <x v="0"/>
    <m/>
    <x v="0"/>
    <m/>
    <x v="0"/>
    <x v="0"/>
    <x v="0"/>
    <x v="0"/>
    <x v="0"/>
  </r>
  <r>
    <x v="0"/>
    <x v="4"/>
    <n v="2781"/>
    <x v="73"/>
    <s v="MATCO FOOD"/>
    <s v="LDN"/>
    <s v="23-23.5"/>
    <s v="70 G+-1"/>
    <s v="SL"/>
    <s v="4900 KG"/>
    <x v="0"/>
    <n v="5"/>
    <n v="444.19999999999993"/>
    <n v="14"/>
    <m/>
    <x v="0"/>
    <n v="430.19999999999993"/>
    <m/>
    <n v="5"/>
    <x v="0"/>
    <x v="0"/>
    <n v="5"/>
    <n v="8.3333333333333329E-2"/>
    <x v="0"/>
    <x v="0"/>
    <m/>
    <x v="0"/>
    <x v="0"/>
    <x v="0"/>
    <x v="0"/>
    <x v="0"/>
    <n v="0"/>
    <n v="0"/>
    <n v="8.3333333333333329E-2"/>
    <n v="11.916666666666666"/>
    <x v="1"/>
    <x v="0"/>
    <m/>
    <x v="0"/>
    <m/>
    <x v="0"/>
    <x v="0"/>
    <x v="0"/>
    <x v="0"/>
    <x v="0"/>
  </r>
  <r>
    <x v="0"/>
    <x v="4"/>
    <s v="3854 J"/>
    <x v="73"/>
    <s v="Plain Lafafa"/>
    <s v="LDN"/>
    <n v="20"/>
    <s v="12-12.5"/>
    <s v="پیور"/>
    <n v="200"/>
    <x v="0"/>
    <n v="2"/>
    <n v="144.19999999999999"/>
    <n v="5"/>
    <m/>
    <x v="0"/>
    <n v="139.19999999999999"/>
    <m/>
    <m/>
    <x v="0"/>
    <x v="0"/>
    <n v="0"/>
    <n v="0"/>
    <x v="0"/>
    <x v="0"/>
    <m/>
    <x v="0"/>
    <x v="0"/>
    <x v="0"/>
    <x v="0"/>
    <x v="0"/>
    <n v="0"/>
    <n v="0"/>
    <n v="0"/>
    <n v="12"/>
    <x v="1"/>
    <x v="0"/>
    <m/>
    <x v="0"/>
    <m/>
    <x v="0"/>
    <x v="0"/>
    <x v="0"/>
    <x v="0"/>
    <x v="0"/>
  </r>
  <r>
    <x v="1"/>
    <x v="4"/>
    <s v="3851 J"/>
    <x v="73"/>
    <s v="Royal Gold Ball Fiber Pillow"/>
    <s v="LDN"/>
    <n v="19"/>
    <s v="14.5-15"/>
    <s v="پیور"/>
    <n v="400"/>
    <x v="0"/>
    <n v="8"/>
    <n v="416.39999999999992"/>
    <n v="17.600000000000001"/>
    <m/>
    <x v="0"/>
    <n v="398.7999999999999"/>
    <m/>
    <m/>
    <x v="0"/>
    <x v="0"/>
    <n v="0"/>
    <n v="0"/>
    <x v="0"/>
    <x v="0"/>
    <m/>
    <x v="0"/>
    <x v="0"/>
    <x v="0"/>
    <x v="0"/>
    <x v="0"/>
    <n v="0"/>
    <n v="0"/>
    <n v="0"/>
    <n v="12"/>
    <x v="1"/>
    <x v="0"/>
    <m/>
    <x v="0"/>
    <m/>
    <x v="0"/>
    <x v="0"/>
    <x v="0"/>
    <x v="0"/>
    <x v="0"/>
  </r>
  <r>
    <x v="1"/>
    <x v="4"/>
    <s v="3852 J"/>
    <x v="73"/>
    <s v="Royal Gold Ball Fiber Pillow"/>
    <s v="LDN"/>
    <n v="19"/>
    <s v="14.5-15"/>
    <s v="پیور"/>
    <n v="300"/>
    <x v="0"/>
    <n v="2"/>
    <n v="119"/>
    <n v="4.4000000000000004"/>
    <m/>
    <x v="0"/>
    <n v="114.6"/>
    <m/>
    <m/>
    <x v="0"/>
    <x v="0"/>
    <n v="0"/>
    <n v="0"/>
    <x v="0"/>
    <x v="0"/>
    <m/>
    <x v="0"/>
    <x v="0"/>
    <x v="0"/>
    <x v="0"/>
    <x v="0"/>
    <n v="0"/>
    <n v="0"/>
    <n v="0"/>
    <n v="12"/>
    <x v="1"/>
    <x v="0"/>
    <m/>
    <x v="0"/>
    <m/>
    <x v="0"/>
    <x v="0"/>
    <x v="0"/>
    <x v="0"/>
    <x v="0"/>
  </r>
  <r>
    <x v="1"/>
    <x v="4"/>
    <s v="3854 J"/>
    <x v="73"/>
    <s v="Plain Lafafa"/>
    <s v="LDN"/>
    <n v="20"/>
    <s v="12-12.5"/>
    <s v="پیور"/>
    <n v="200"/>
    <x v="0"/>
    <n v="1"/>
    <n v="25.4"/>
    <n v="2.4"/>
    <m/>
    <x v="0"/>
    <n v="23"/>
    <m/>
    <m/>
    <x v="0"/>
    <x v="0"/>
    <n v="0"/>
    <n v="0"/>
    <x v="0"/>
    <x v="0"/>
    <m/>
    <x v="0"/>
    <x v="0"/>
    <x v="0"/>
    <x v="0"/>
    <x v="0"/>
    <n v="0"/>
    <n v="0"/>
    <n v="0"/>
    <n v="12"/>
    <x v="1"/>
    <x v="0"/>
    <m/>
    <x v="0"/>
    <m/>
    <x v="0"/>
    <x v="0"/>
    <x v="0"/>
    <x v="0"/>
    <x v="0"/>
  </r>
  <r>
    <x v="0"/>
    <x v="5"/>
    <s v="2018 F"/>
    <x v="73"/>
    <s v="PAYPER WARNING"/>
    <s v="LDN"/>
    <n v="17"/>
    <s v="7"/>
    <s v="جیلانی شیٹ"/>
    <n v="450"/>
    <x v="0"/>
    <n v="6"/>
    <n v="267.59999999999997"/>
    <n v="12"/>
    <m/>
    <x v="0"/>
    <n v="255.59999999999997"/>
    <m/>
    <m/>
    <x v="0"/>
    <x v="0"/>
    <n v="0"/>
    <n v="0"/>
    <x v="0"/>
    <x v="0"/>
    <m/>
    <x v="0"/>
    <x v="0"/>
    <x v="0"/>
    <x v="0"/>
    <x v="0"/>
    <n v="0"/>
    <n v="0"/>
    <n v="0"/>
    <n v="12"/>
    <x v="1"/>
    <x v="0"/>
    <m/>
    <x v="0"/>
    <m/>
    <x v="0"/>
    <x v="0"/>
    <x v="0"/>
    <x v="0"/>
    <x v="0"/>
  </r>
  <r>
    <x v="0"/>
    <x v="5"/>
    <s v="2019 F"/>
    <x v="73"/>
    <s v="PAYPER WARNING"/>
    <s v="LDN"/>
    <n v="17"/>
    <s v="7"/>
    <s v="جیلانی شیٹ"/>
    <n v="300"/>
    <x v="0"/>
    <n v="1"/>
    <n v="34.299999999999997"/>
    <n v="2"/>
    <m/>
    <x v="0"/>
    <n v="32.299999999999997"/>
    <m/>
    <m/>
    <x v="0"/>
    <x v="0"/>
    <n v="0"/>
    <n v="0"/>
    <x v="0"/>
    <x v="0"/>
    <m/>
    <x v="0"/>
    <x v="0"/>
    <x v="0"/>
    <x v="0"/>
    <x v="0"/>
    <n v="0"/>
    <n v="0"/>
    <n v="0"/>
    <n v="12"/>
    <x v="1"/>
    <x v="0"/>
    <m/>
    <x v="0"/>
    <m/>
    <x v="0"/>
    <x v="0"/>
    <x v="0"/>
    <x v="0"/>
    <x v="0"/>
  </r>
  <r>
    <x v="1"/>
    <x v="5"/>
    <s v="2019 F"/>
    <x v="73"/>
    <s v="PAYPER WARNING"/>
    <s v="LDN"/>
    <n v="17"/>
    <s v="7"/>
    <s v="جیلانی شیٹ"/>
    <n v="300"/>
    <x v="0"/>
    <n v="5"/>
    <n v="282.39999999999998"/>
    <n v="9.9"/>
    <m/>
    <x v="0"/>
    <n v="272.5"/>
    <m/>
    <m/>
    <x v="0"/>
    <x v="0"/>
    <n v="0"/>
    <n v="0"/>
    <x v="0"/>
    <x v="0"/>
    <m/>
    <x v="0"/>
    <x v="3"/>
    <x v="0"/>
    <x v="0"/>
    <x v="0"/>
    <n v="20"/>
    <n v="0.33333333333333331"/>
    <n v="0.33333333333333331"/>
    <n v="11.666666666666666"/>
    <x v="1"/>
    <x v="0"/>
    <m/>
    <x v="0"/>
    <m/>
    <x v="0"/>
    <x v="0"/>
    <x v="0"/>
    <x v="0"/>
    <x v="0"/>
  </r>
  <r>
    <x v="1"/>
    <x v="5"/>
    <s v="2027 F"/>
    <x v="73"/>
    <s v="TIFFOSI WARNING"/>
    <s v="LDN"/>
    <n v="17"/>
    <s v="7-7.5"/>
    <s v="پیور"/>
    <n v="112"/>
    <x v="0"/>
    <n v="1"/>
    <n v="37.4"/>
    <n v="2"/>
    <m/>
    <x v="0"/>
    <n v="35.4"/>
    <m/>
    <m/>
    <x v="0"/>
    <x v="0"/>
    <n v="0"/>
    <n v="0"/>
    <x v="0"/>
    <x v="0"/>
    <m/>
    <x v="0"/>
    <x v="0"/>
    <x v="0"/>
    <x v="0"/>
    <x v="0"/>
    <n v="0"/>
    <n v="0"/>
    <n v="0"/>
    <n v="12"/>
    <x v="1"/>
    <x v="0"/>
    <m/>
    <x v="0"/>
    <m/>
    <x v="0"/>
    <x v="0"/>
    <x v="0"/>
    <x v="0"/>
    <x v="0"/>
  </r>
  <r>
    <x v="0"/>
    <x v="0"/>
    <s v="3805 J"/>
    <x v="74"/>
    <s v="G Metal Aluminum+ISO CertifiED"/>
    <s v="LDN"/>
    <n v="5"/>
    <n v="10"/>
    <s v="پیور"/>
    <n v="120"/>
    <x v="0"/>
    <n v="2"/>
    <n v="64.599999999999994"/>
    <n v="1.5"/>
    <m/>
    <x v="0"/>
    <n v="63.099999999999994"/>
    <m/>
    <m/>
    <x v="0"/>
    <x v="0"/>
    <n v="0"/>
    <n v="0"/>
    <x v="0"/>
    <x v="0"/>
    <m/>
    <x v="0"/>
    <x v="0"/>
    <x v="0"/>
    <x v="0"/>
    <x v="0"/>
    <n v="0"/>
    <n v="0"/>
    <n v="0"/>
    <n v="12"/>
    <x v="1"/>
    <x v="0"/>
    <m/>
    <x v="0"/>
    <m/>
    <x v="0"/>
    <x v="0"/>
    <x v="0"/>
    <x v="0"/>
    <x v="0"/>
  </r>
  <r>
    <x v="0"/>
    <x v="0"/>
    <s v="3801 J"/>
    <x v="74"/>
    <s v="U.S Metal"/>
    <s v="LDN"/>
    <n v="5"/>
    <n v="10"/>
    <s v="پیور"/>
    <n v="120"/>
    <x v="0"/>
    <n v="2"/>
    <n v="71.800000000000011"/>
    <n v="1.4"/>
    <n v="97"/>
    <x v="0"/>
    <n v="70.400000000000006"/>
    <m/>
    <m/>
    <x v="0"/>
    <x v="0"/>
    <n v="0"/>
    <n v="0"/>
    <x v="0"/>
    <x v="0"/>
    <m/>
    <x v="0"/>
    <x v="0"/>
    <x v="0"/>
    <x v="0"/>
    <x v="0"/>
    <n v="0"/>
    <n v="0"/>
    <n v="0"/>
    <n v="12"/>
    <x v="1"/>
    <x v="0"/>
    <n v="2083"/>
    <x v="0"/>
    <m/>
    <x v="0"/>
    <x v="0"/>
    <x v="0"/>
    <x v="0"/>
    <x v="0"/>
  </r>
  <r>
    <x v="1"/>
    <x v="0"/>
    <s v="3801 J"/>
    <x v="74"/>
    <s v="U.S Metal"/>
    <s v="LDN"/>
    <n v="5"/>
    <n v="10"/>
    <s v="پیور"/>
    <n v="120"/>
    <x v="0"/>
    <n v="1"/>
    <n v="45.8"/>
    <n v="0.5"/>
    <n v="40"/>
    <x v="0"/>
    <n v="45.3"/>
    <m/>
    <m/>
    <x v="0"/>
    <x v="0"/>
    <n v="0"/>
    <n v="0"/>
    <x v="0"/>
    <x v="0"/>
    <m/>
    <x v="0"/>
    <x v="0"/>
    <x v="0"/>
    <x v="0"/>
    <x v="0"/>
    <n v="0"/>
    <n v="0"/>
    <n v="0"/>
    <n v="12"/>
    <x v="1"/>
    <x v="0"/>
    <m/>
    <x v="0"/>
    <m/>
    <x v="0"/>
    <x v="0"/>
    <x v="0"/>
    <x v="0"/>
    <x v="0"/>
  </r>
  <r>
    <x v="1"/>
    <x v="0"/>
    <s v="3797 J"/>
    <x v="74"/>
    <s v="U.S Metal Smart Golden"/>
    <s v="LDN"/>
    <n v="5"/>
    <n v="10"/>
    <s v="پیور"/>
    <n v="140"/>
    <x v="0"/>
    <n v="1"/>
    <n v="43"/>
    <n v="0.7"/>
    <m/>
    <x v="0"/>
    <n v="42.3"/>
    <m/>
    <m/>
    <x v="0"/>
    <x v="0"/>
    <n v="0"/>
    <n v="0"/>
    <x v="0"/>
    <x v="0"/>
    <m/>
    <x v="0"/>
    <x v="0"/>
    <x v="0"/>
    <x v="0"/>
    <x v="0"/>
    <n v="0"/>
    <n v="0"/>
    <n v="0"/>
    <n v="12"/>
    <x v="1"/>
    <x v="0"/>
    <m/>
    <x v="0"/>
    <m/>
    <x v="0"/>
    <x v="0"/>
    <x v="0"/>
    <x v="0"/>
    <x v="0"/>
  </r>
  <r>
    <x v="0"/>
    <x v="1"/>
    <s v="3803 J"/>
    <x v="74"/>
    <s v="U.S Metal"/>
    <s v="LDN"/>
    <n v="7"/>
    <n v="10"/>
    <s v="پیور"/>
    <n v="130"/>
    <x v="0"/>
    <n v="1"/>
    <n v="45"/>
    <n v="0.9"/>
    <m/>
    <x v="0"/>
    <n v="44.1"/>
    <m/>
    <m/>
    <x v="0"/>
    <x v="0"/>
    <n v="0"/>
    <n v="0"/>
    <x v="0"/>
    <x v="0"/>
    <m/>
    <x v="0"/>
    <x v="0"/>
    <x v="0"/>
    <x v="0"/>
    <x v="0"/>
    <n v="0"/>
    <n v="0"/>
    <n v="0"/>
    <n v="12"/>
    <x v="1"/>
    <x v="0"/>
    <m/>
    <x v="0"/>
    <m/>
    <x v="0"/>
    <x v="0"/>
    <x v="0"/>
    <x v="0"/>
    <x v="0"/>
  </r>
  <r>
    <x v="0"/>
    <x v="1"/>
    <s v="3799 J"/>
    <x v="74"/>
    <s v="U.S Metal Smart Golden"/>
    <s v="LDN"/>
    <n v="7"/>
    <n v="10"/>
    <s v="پیور"/>
    <n v="200"/>
    <x v="0"/>
    <n v="3"/>
    <n v="128.4"/>
    <n v="2.7"/>
    <m/>
    <x v="0"/>
    <n v="125.7"/>
    <m/>
    <m/>
    <x v="0"/>
    <x v="0"/>
    <n v="0"/>
    <n v="0"/>
    <x v="0"/>
    <x v="0"/>
    <m/>
    <x v="0"/>
    <x v="0"/>
    <x v="0"/>
    <x v="0"/>
    <x v="0"/>
    <n v="0"/>
    <n v="0"/>
    <n v="0"/>
    <n v="12"/>
    <x v="1"/>
    <x v="0"/>
    <m/>
    <x v="0"/>
    <m/>
    <x v="0"/>
    <x v="0"/>
    <x v="0"/>
    <x v="0"/>
    <x v="0"/>
  </r>
  <r>
    <x v="1"/>
    <x v="1"/>
    <s v="3799 J"/>
    <x v="74"/>
    <s v="U.S Metal Smart Golden"/>
    <s v="LDN"/>
    <n v="7"/>
    <n v="10"/>
    <s v="پیور"/>
    <n v="200"/>
    <x v="0"/>
    <n v="2"/>
    <n v="87.2"/>
    <n v="1.9"/>
    <m/>
    <x v="0"/>
    <n v="85.3"/>
    <m/>
    <m/>
    <x v="0"/>
    <x v="0"/>
    <n v="0"/>
    <n v="0"/>
    <x v="0"/>
    <x v="0"/>
    <m/>
    <x v="0"/>
    <x v="0"/>
    <x v="0"/>
    <x v="0"/>
    <x v="0"/>
    <n v="0"/>
    <n v="0"/>
    <n v="0"/>
    <n v="12"/>
    <x v="1"/>
    <x v="0"/>
    <m/>
    <x v="0"/>
    <m/>
    <x v="0"/>
    <x v="0"/>
    <x v="0"/>
    <x v="0"/>
    <x v="0"/>
  </r>
  <r>
    <x v="1"/>
    <x v="1"/>
    <s v="3839 J"/>
    <x v="74"/>
    <s v="Bilal Super Store"/>
    <s v="LDN"/>
    <n v="7"/>
    <s v="14-14.5"/>
    <s v="پیور"/>
    <n v="120"/>
    <x v="0"/>
    <n v="2"/>
    <n v="94"/>
    <n v="1.8"/>
    <m/>
    <x v="0"/>
    <n v="92.2"/>
    <m/>
    <m/>
    <x v="0"/>
    <x v="0"/>
    <n v="0"/>
    <n v="0"/>
    <x v="0"/>
    <x v="0"/>
    <m/>
    <x v="0"/>
    <x v="0"/>
    <x v="0"/>
    <x v="0"/>
    <x v="0"/>
    <n v="0"/>
    <n v="0"/>
    <n v="0"/>
    <n v="12"/>
    <x v="1"/>
    <x v="0"/>
    <m/>
    <x v="0"/>
    <m/>
    <x v="0"/>
    <x v="0"/>
    <x v="0"/>
    <x v="0"/>
    <x v="0"/>
  </r>
  <r>
    <x v="0"/>
    <x v="2"/>
    <s v="3721 J"/>
    <x v="74"/>
    <s v="Rasheed Optical and Vision Center "/>
    <s v="LDM"/>
    <n v="11"/>
    <s v="7.5-8"/>
    <s v="ABA پیور"/>
    <n v="100"/>
    <x v="0"/>
    <n v="1"/>
    <n v="31.4"/>
    <n v="1.3"/>
    <m/>
    <x v="0"/>
    <n v="30.099999999999998"/>
    <m/>
    <n v="3"/>
    <x v="0"/>
    <x v="0"/>
    <n v="3"/>
    <n v="0.05"/>
    <x v="0"/>
    <x v="0"/>
    <m/>
    <x v="0"/>
    <x v="0"/>
    <x v="0"/>
    <x v="0"/>
    <x v="0"/>
    <n v="0"/>
    <n v="0"/>
    <n v="0.05"/>
    <n v="11.95"/>
    <x v="1"/>
    <x v="0"/>
    <m/>
    <x v="0"/>
    <m/>
    <x v="0"/>
    <x v="0"/>
    <x v="0"/>
    <x v="0"/>
    <x v="0"/>
  </r>
  <r>
    <x v="0"/>
    <x v="2"/>
    <s v="3775 J"/>
    <x v="74"/>
    <s v="Nimir Chemicoats "/>
    <s v="LDM"/>
    <n v="14"/>
    <s v="25-26"/>
    <s v="ABA پیور"/>
    <n v="600"/>
    <x v="0"/>
    <n v="6"/>
    <n v="362.59999999999997"/>
    <n v="9.6000000000000014"/>
    <m/>
    <x v="0"/>
    <n v="352.99999999999994"/>
    <m/>
    <m/>
    <x v="0"/>
    <x v="0"/>
    <n v="0"/>
    <n v="0"/>
    <x v="0"/>
    <x v="0"/>
    <m/>
    <x v="0"/>
    <x v="0"/>
    <x v="0"/>
    <x v="0"/>
    <x v="0"/>
    <n v="0"/>
    <n v="0"/>
    <n v="0"/>
    <n v="12"/>
    <x v="1"/>
    <x v="0"/>
    <m/>
    <x v="0"/>
    <m/>
    <x v="0"/>
    <x v="0"/>
    <x v="0"/>
    <x v="0"/>
    <x v="0"/>
  </r>
  <r>
    <x v="1"/>
    <x v="2"/>
    <s v="3775 J"/>
    <x v="74"/>
    <s v="Nimir Chemicoats "/>
    <s v="LDM"/>
    <n v="14"/>
    <s v="25-26"/>
    <s v="ABA پیور"/>
    <n v="600"/>
    <x v="0"/>
    <n v="5"/>
    <n v="267.60000000000002"/>
    <n v="8.5"/>
    <m/>
    <x v="0"/>
    <n v="259.10000000000002"/>
    <m/>
    <m/>
    <x v="0"/>
    <x v="0"/>
    <n v="0"/>
    <n v="0"/>
    <x v="0"/>
    <x v="0"/>
    <m/>
    <x v="0"/>
    <x v="0"/>
    <x v="0"/>
    <x v="0"/>
    <x v="0"/>
    <n v="0"/>
    <n v="0"/>
    <n v="0"/>
    <n v="12"/>
    <x v="1"/>
    <x v="0"/>
    <m/>
    <x v="0"/>
    <m/>
    <x v="0"/>
    <x v="0"/>
    <x v="0"/>
    <x v="0"/>
    <x v="0"/>
  </r>
  <r>
    <x v="1"/>
    <x v="2"/>
    <s v="3793 J"/>
    <x v="74"/>
    <s v="Shiner"/>
    <s v="LDM"/>
    <n v="16"/>
    <s v="12-13"/>
    <s v="ABA پیور"/>
    <n v="100"/>
    <x v="0"/>
    <n v="2"/>
    <n v="102.4"/>
    <n v="3.8"/>
    <m/>
    <x v="0"/>
    <n v="98.600000000000009"/>
    <m/>
    <m/>
    <x v="0"/>
    <x v="0"/>
    <n v="0"/>
    <n v="0"/>
    <x v="0"/>
    <x v="0"/>
    <m/>
    <x v="0"/>
    <x v="0"/>
    <x v="0"/>
    <x v="0"/>
    <x v="0"/>
    <n v="0"/>
    <n v="0"/>
    <n v="0"/>
    <n v="12"/>
    <x v="1"/>
    <x v="0"/>
    <m/>
    <x v="0"/>
    <m/>
    <x v="0"/>
    <x v="0"/>
    <x v="0"/>
    <x v="0"/>
    <x v="0"/>
  </r>
  <r>
    <x v="0"/>
    <x v="4"/>
    <s v="3852 J"/>
    <x v="74"/>
    <s v="Royal Gold Ball Fiber Pillow"/>
    <s v="LDN"/>
    <n v="19"/>
    <s v="14.5-15"/>
    <s v="پیور"/>
    <n v="300"/>
    <x v="0"/>
    <n v="3"/>
    <n v="201.8"/>
    <n v="7.1"/>
    <m/>
    <x v="0"/>
    <n v="194.70000000000002"/>
    <m/>
    <m/>
    <x v="0"/>
    <x v="0"/>
    <n v="0"/>
    <n v="0"/>
    <x v="0"/>
    <x v="0"/>
    <m/>
    <x v="0"/>
    <x v="0"/>
    <x v="0"/>
    <x v="0"/>
    <x v="0"/>
    <n v="0"/>
    <n v="0"/>
    <n v="0"/>
    <n v="12"/>
    <x v="1"/>
    <x v="0"/>
    <m/>
    <x v="0"/>
    <m/>
    <x v="0"/>
    <x v="0"/>
    <x v="0"/>
    <x v="0"/>
    <x v="0"/>
  </r>
  <r>
    <x v="0"/>
    <x v="4"/>
    <s v="3828 J"/>
    <x v="74"/>
    <s v="Shah Taj Fabrics"/>
    <s v="LDN"/>
    <n v="28"/>
    <s v="-"/>
    <s v="پیور"/>
    <n v="300"/>
    <x v="0"/>
    <n v="5"/>
    <n v="337.4"/>
    <n v="13.6"/>
    <m/>
    <x v="0"/>
    <n v="323.79999999999995"/>
    <m/>
    <m/>
    <x v="0"/>
    <x v="0"/>
    <n v="0"/>
    <n v="0"/>
    <x v="0"/>
    <x v="0"/>
    <n v="65"/>
    <x v="0"/>
    <x v="0"/>
    <x v="0"/>
    <x v="0"/>
    <x v="0"/>
    <n v="65"/>
    <n v="1.0833333333333333"/>
    <n v="1.0833333333333333"/>
    <n v="10.916666666666666"/>
    <x v="1"/>
    <x v="0"/>
    <m/>
    <x v="0"/>
    <m/>
    <x v="0"/>
    <x v="0"/>
    <x v="0"/>
    <x v="0"/>
    <x v="0"/>
  </r>
  <r>
    <x v="1"/>
    <x v="4"/>
    <s v="3831 J"/>
    <x v="74"/>
    <s v="Sayyam Bedding"/>
    <s v="LDN"/>
    <n v="36"/>
    <s v="7-7.5"/>
    <s v="پیور"/>
    <n v="100"/>
    <x v="0"/>
    <n v="2"/>
    <n v="102.6"/>
    <n v="8.4"/>
    <m/>
    <x v="0"/>
    <n v="94.199999999999989"/>
    <m/>
    <n v="5"/>
    <x v="0"/>
    <x v="0"/>
    <n v="5"/>
    <n v="8.3333333333333329E-2"/>
    <x v="0"/>
    <x v="0"/>
    <m/>
    <x v="0"/>
    <x v="0"/>
    <x v="0"/>
    <x v="0"/>
    <x v="0"/>
    <n v="0"/>
    <n v="0"/>
    <n v="8.3333333333333329E-2"/>
    <n v="11.916666666666666"/>
    <x v="1"/>
    <x v="0"/>
    <m/>
    <x v="0"/>
    <m/>
    <x v="0"/>
    <x v="0"/>
    <x v="0"/>
    <x v="0"/>
    <x v="0"/>
  </r>
  <r>
    <x v="1"/>
    <x v="4"/>
    <s v="2784/1"/>
    <x v="74"/>
    <s v="SITARA CHEMICAL"/>
    <s v="LDN"/>
    <n v="24"/>
    <s v="100 G"/>
    <s v="SL"/>
    <n v="3000"/>
    <x v="0"/>
    <n v="5"/>
    <n v="580.4"/>
    <n v="16"/>
    <m/>
    <x v="0"/>
    <n v="564.4"/>
    <m/>
    <m/>
    <x v="0"/>
    <x v="0"/>
    <n v="0"/>
    <n v="0"/>
    <x v="0"/>
    <x v="0"/>
    <m/>
    <x v="0"/>
    <x v="0"/>
    <x v="0"/>
    <x v="0"/>
    <x v="0"/>
    <n v="0"/>
    <n v="0"/>
    <n v="0"/>
    <n v="12"/>
    <x v="1"/>
    <x v="0"/>
    <m/>
    <x v="0"/>
    <m/>
    <x v="0"/>
    <x v="0"/>
    <x v="0"/>
    <x v="0"/>
    <x v="0"/>
  </r>
  <r>
    <x v="0"/>
    <x v="5"/>
    <s v="2027 F"/>
    <x v="74"/>
    <s v="TIFFOSI WARNING"/>
    <s v="LDN"/>
    <n v="17"/>
    <s v="7-7.5"/>
    <s v="پیور"/>
    <n v="112"/>
    <x v="0"/>
    <n v="2"/>
    <n v="85"/>
    <n v="4"/>
    <m/>
    <x v="0"/>
    <n v="81"/>
    <m/>
    <m/>
    <x v="0"/>
    <x v="0"/>
    <n v="0"/>
    <n v="0"/>
    <x v="0"/>
    <x v="0"/>
    <m/>
    <x v="0"/>
    <x v="0"/>
    <x v="0"/>
    <x v="0"/>
    <x v="0"/>
    <n v="0"/>
    <n v="0"/>
    <n v="0"/>
    <n v="12"/>
    <x v="1"/>
    <x v="0"/>
    <m/>
    <x v="0"/>
    <m/>
    <x v="0"/>
    <x v="0"/>
    <x v="0"/>
    <x v="0"/>
    <x v="0"/>
  </r>
  <r>
    <x v="0"/>
    <x v="5"/>
    <s v="2028 F"/>
    <x v="74"/>
    <s v="PLAIN POLY BAG"/>
    <s v="LDN"/>
    <s v="16 SHEET"/>
    <s v="3-3.25/6-6.5"/>
    <s v="پیور"/>
    <n v="500"/>
    <x v="0"/>
    <n v="5"/>
    <n v="216.20000000000002"/>
    <n v="9.8000000000000007"/>
    <m/>
    <x v="0"/>
    <n v="206.4"/>
    <m/>
    <m/>
    <x v="0"/>
    <x v="0"/>
    <n v="0"/>
    <n v="0"/>
    <x v="0"/>
    <x v="0"/>
    <m/>
    <x v="0"/>
    <x v="0"/>
    <x v="0"/>
    <x v="0"/>
    <x v="0"/>
    <n v="0"/>
    <n v="0"/>
    <n v="0"/>
    <n v="12"/>
    <x v="1"/>
    <x v="0"/>
    <m/>
    <x v="0"/>
    <m/>
    <x v="0"/>
    <x v="0"/>
    <x v="0"/>
    <x v="0"/>
    <x v="0"/>
  </r>
  <r>
    <x v="1"/>
    <x v="5"/>
    <s v="2028 F"/>
    <x v="74"/>
    <s v="PLAIN POLY BAG"/>
    <s v="LDN"/>
    <s v="16 SHEET"/>
    <s v="3-3.25/6-6.5"/>
    <s v="پیور"/>
    <n v="500"/>
    <x v="0"/>
    <n v="7"/>
    <n v="336.5"/>
    <n v="12.9"/>
    <m/>
    <x v="0"/>
    <n v="323.60000000000002"/>
    <m/>
    <m/>
    <x v="0"/>
    <x v="0"/>
    <n v="0"/>
    <n v="0"/>
    <x v="0"/>
    <x v="0"/>
    <m/>
    <x v="0"/>
    <x v="0"/>
    <x v="0"/>
    <x v="0"/>
    <x v="0"/>
    <n v="0"/>
    <n v="0"/>
    <n v="0"/>
    <n v="12"/>
    <x v="1"/>
    <x v="0"/>
    <m/>
    <x v="0"/>
    <m/>
    <x v="0"/>
    <x v="0"/>
    <x v="0"/>
    <x v="0"/>
    <x v="0"/>
  </r>
  <r>
    <x v="0"/>
    <x v="0"/>
    <s v="3797 J"/>
    <x v="75"/>
    <s v="U.S Metal Smart Golden"/>
    <s v="LDN"/>
    <n v="5"/>
    <n v="10"/>
    <s v="پیور"/>
    <n v="140"/>
    <x v="0"/>
    <n v="3"/>
    <n v="104"/>
    <n v="2.0999999999999996"/>
    <m/>
    <x v="0"/>
    <n v="101.9"/>
    <m/>
    <m/>
    <x v="0"/>
    <x v="0"/>
    <n v="0"/>
    <n v="0"/>
    <x v="0"/>
    <x v="0"/>
    <n v="360"/>
    <x v="0"/>
    <x v="0"/>
    <x v="0"/>
    <x v="0"/>
    <x v="0"/>
    <n v="360"/>
    <n v="6"/>
    <n v="6"/>
    <n v="6"/>
    <x v="1"/>
    <x v="0"/>
    <n v="2065"/>
    <x v="0"/>
    <n v="1850"/>
    <x v="0"/>
    <x v="0"/>
    <x v="0"/>
    <x v="0"/>
    <x v="0"/>
  </r>
  <r>
    <x v="1"/>
    <x v="0"/>
    <s v="3800 J"/>
    <x v="75"/>
    <s v="U.S Metal"/>
    <s v="LDN"/>
    <n v="4"/>
    <n v="10"/>
    <s v="پیور"/>
    <n v="120"/>
    <x v="0"/>
    <n v="3"/>
    <n v="127"/>
    <n v="3.5999999999999996"/>
    <m/>
    <x v="0"/>
    <n v="123.4"/>
    <m/>
    <m/>
    <x v="0"/>
    <x v="0"/>
    <n v="0"/>
    <n v="0"/>
    <x v="0"/>
    <x v="0"/>
    <m/>
    <x v="0"/>
    <x v="0"/>
    <x v="0"/>
    <x v="0"/>
    <x v="0"/>
    <n v="0"/>
    <n v="0"/>
    <n v="0"/>
    <n v="12"/>
    <x v="1"/>
    <x v="0"/>
    <m/>
    <x v="0"/>
    <n v="1900"/>
    <x v="0"/>
    <x v="0"/>
    <x v="0"/>
    <x v="0"/>
    <x v="0"/>
  </r>
  <r>
    <x v="0"/>
    <x v="1"/>
    <s v="3798 J"/>
    <x v="75"/>
    <s v="U.S Metal Smart Golden"/>
    <s v="LDN"/>
    <n v="6"/>
    <n v="10"/>
    <s v="پیور"/>
    <n v="140"/>
    <x v="0"/>
    <n v="2"/>
    <n v="104.2"/>
    <n v="1.6"/>
    <m/>
    <x v="0"/>
    <n v="102.60000000000001"/>
    <m/>
    <n v="1"/>
    <x v="0"/>
    <x v="0"/>
    <n v="1"/>
    <n v="1.6666666666666666E-2"/>
    <x v="0"/>
    <x v="0"/>
    <m/>
    <x v="0"/>
    <x v="0"/>
    <x v="0"/>
    <x v="0"/>
    <x v="0"/>
    <n v="0"/>
    <n v="0"/>
    <n v="1.6666666666666666E-2"/>
    <n v="11.983333333333333"/>
    <x v="1"/>
    <x v="0"/>
    <m/>
    <x v="0"/>
    <m/>
    <x v="0"/>
    <x v="0"/>
    <x v="0"/>
    <x v="0"/>
    <x v="0"/>
  </r>
  <r>
    <x v="0"/>
    <x v="1"/>
    <s v="3806 J"/>
    <x v="75"/>
    <s v="G Metal Aluminum+ISO CertifiED"/>
    <s v="LDN"/>
    <n v="6"/>
    <n v="10"/>
    <s v="پیور"/>
    <n v="120"/>
    <x v="0"/>
    <n v="1"/>
    <n v="22.8"/>
    <n v="0.7"/>
    <m/>
    <x v="0"/>
    <n v="22.1"/>
    <m/>
    <m/>
    <x v="0"/>
    <x v="0"/>
    <n v="0"/>
    <n v="0"/>
    <x v="0"/>
    <x v="0"/>
    <m/>
    <x v="0"/>
    <x v="0"/>
    <x v="0"/>
    <x v="0"/>
    <x v="0"/>
    <n v="0"/>
    <n v="0"/>
    <n v="0"/>
    <n v="12"/>
    <x v="1"/>
    <x v="0"/>
    <m/>
    <x v="0"/>
    <m/>
    <x v="0"/>
    <x v="0"/>
    <x v="0"/>
    <x v="0"/>
    <x v="0"/>
  </r>
  <r>
    <x v="0"/>
    <x v="1"/>
    <s v="3839 J"/>
    <x v="75"/>
    <s v="Bilal Super Store"/>
    <s v="LDN"/>
    <n v="7"/>
    <s v="14-14.5"/>
    <s v="پیور"/>
    <n v="120"/>
    <x v="0"/>
    <n v="1"/>
    <n v="57"/>
    <n v="0.8"/>
    <m/>
    <x v="0"/>
    <n v="56.2"/>
    <m/>
    <m/>
    <x v="0"/>
    <x v="0"/>
    <n v="0"/>
    <n v="0"/>
    <x v="0"/>
    <x v="0"/>
    <m/>
    <x v="0"/>
    <x v="0"/>
    <x v="0"/>
    <x v="0"/>
    <x v="0"/>
    <n v="0"/>
    <n v="0"/>
    <n v="0"/>
    <n v="12"/>
    <x v="1"/>
    <x v="0"/>
    <m/>
    <x v="0"/>
    <m/>
    <x v="0"/>
    <x v="0"/>
    <x v="0"/>
    <x v="0"/>
    <x v="0"/>
  </r>
  <r>
    <x v="1"/>
    <x v="1"/>
    <s v="3806 J"/>
    <x v="75"/>
    <s v="G Metal Aluminum+ISO CertifiED"/>
    <s v="LDN"/>
    <n v="6"/>
    <n v="10"/>
    <s v="پیور"/>
    <n v="120"/>
    <x v="0"/>
    <n v="3"/>
    <n v="102.4"/>
    <n v="2.4000000000000004"/>
    <m/>
    <x v="0"/>
    <n v="100"/>
    <m/>
    <m/>
    <x v="0"/>
    <x v="0"/>
    <n v="0"/>
    <n v="0"/>
    <x v="0"/>
    <x v="0"/>
    <m/>
    <x v="0"/>
    <x v="0"/>
    <x v="0"/>
    <x v="0"/>
    <x v="0"/>
    <n v="0"/>
    <n v="0"/>
    <n v="0"/>
    <n v="12"/>
    <x v="1"/>
    <x v="0"/>
    <m/>
    <x v="0"/>
    <m/>
    <x v="0"/>
    <x v="0"/>
    <x v="0"/>
    <x v="0"/>
    <x v="0"/>
  </r>
  <r>
    <x v="1"/>
    <x v="1"/>
    <s v="3860 J"/>
    <x v="75"/>
    <s v="Plain Lafafa"/>
    <s v="LDN"/>
    <n v="11"/>
    <s v="6.5-7"/>
    <s v="پیور"/>
    <n v="100"/>
    <x v="0"/>
    <n v="4"/>
    <n v="113.39999999999999"/>
    <n v="5.2"/>
    <m/>
    <x v="0"/>
    <n v="108.19999999999999"/>
    <m/>
    <m/>
    <x v="0"/>
    <x v="0"/>
    <n v="0"/>
    <n v="0"/>
    <x v="0"/>
    <x v="0"/>
    <m/>
    <x v="0"/>
    <x v="0"/>
    <x v="0"/>
    <x v="0"/>
    <x v="0"/>
    <n v="0"/>
    <n v="0"/>
    <n v="0"/>
    <n v="12"/>
    <x v="1"/>
    <x v="0"/>
    <m/>
    <x v="0"/>
    <m/>
    <x v="0"/>
    <x v="0"/>
    <x v="0"/>
    <x v="0"/>
    <x v="0"/>
  </r>
  <r>
    <x v="0"/>
    <x v="2"/>
    <s v="3695 J"/>
    <x v="75"/>
    <s v="Spical Quality Ahram "/>
    <s v="LDM"/>
    <n v="17"/>
    <s v="10.5-11"/>
    <s v="ABA پیور"/>
    <n v="100"/>
    <x v="0"/>
    <n v="2"/>
    <n v="114.6"/>
    <n v="4.4000000000000004"/>
    <m/>
    <x v="0"/>
    <n v="110.19999999999999"/>
    <m/>
    <n v="5"/>
    <x v="0"/>
    <x v="0"/>
    <n v="5"/>
    <n v="8.3333333333333329E-2"/>
    <x v="0"/>
    <x v="0"/>
    <m/>
    <x v="0"/>
    <x v="0"/>
    <x v="0"/>
    <x v="0"/>
    <x v="0"/>
    <n v="0"/>
    <n v="0"/>
    <n v="8.3333333333333329E-2"/>
    <n v="11.916666666666666"/>
    <x v="1"/>
    <x v="0"/>
    <m/>
    <x v="0"/>
    <m/>
    <x v="0"/>
    <x v="0"/>
    <x v="0"/>
    <x v="0"/>
    <x v="0"/>
  </r>
  <r>
    <x v="0"/>
    <x v="2"/>
    <s v="3838 J"/>
    <x v="75"/>
    <s v="Acefit"/>
    <s v="LDM"/>
    <n v="18"/>
    <s v="11-11.5"/>
    <s v="ABA پیور"/>
    <n v="100"/>
    <x v="0"/>
    <n v="2"/>
    <n v="99.6"/>
    <n v="4.4000000000000004"/>
    <n v="27"/>
    <x v="0"/>
    <n v="95.199999999999989"/>
    <m/>
    <n v="5"/>
    <x v="0"/>
    <x v="0"/>
    <n v="5"/>
    <n v="8.3333333333333329E-2"/>
    <x v="0"/>
    <x v="0"/>
    <m/>
    <x v="0"/>
    <x v="0"/>
    <x v="0"/>
    <x v="0"/>
    <x v="0"/>
    <n v="0"/>
    <n v="0"/>
    <n v="8.3333333333333329E-2"/>
    <n v="11.916666666666666"/>
    <x v="1"/>
    <x v="0"/>
    <m/>
    <x v="0"/>
    <m/>
    <x v="0"/>
    <x v="0"/>
    <x v="0"/>
    <x v="0"/>
    <x v="0"/>
  </r>
  <r>
    <x v="0"/>
    <x v="2"/>
    <s v="3780 J"/>
    <x v="75"/>
    <s v="FBF Gold"/>
    <s v="LDM"/>
    <s v="525 MM"/>
    <s v="4.5-5/9-10"/>
    <s v="ABA تھینکیو"/>
    <n v="100"/>
    <x v="0"/>
    <n v="2"/>
    <n v="121.80000000000001"/>
    <n v="5.8"/>
    <n v="5"/>
    <x v="0"/>
    <n v="116.00000000000001"/>
    <m/>
    <n v="10"/>
    <x v="0"/>
    <x v="0"/>
    <n v="10"/>
    <n v="0.16666666666666666"/>
    <x v="0"/>
    <x v="0"/>
    <m/>
    <x v="0"/>
    <x v="0"/>
    <x v="0"/>
    <x v="0"/>
    <x v="0"/>
    <n v="0"/>
    <n v="0"/>
    <n v="0.16666666666666666"/>
    <n v="11.833333333333334"/>
    <x v="1"/>
    <x v="0"/>
    <m/>
    <x v="0"/>
    <m/>
    <x v="0"/>
    <x v="0"/>
    <x v="0"/>
    <x v="0"/>
    <x v="0"/>
  </r>
  <r>
    <x v="0"/>
    <x v="2"/>
    <s v="3769 J"/>
    <x v="75"/>
    <s v="Dubai Suitting"/>
    <s v="LDM"/>
    <n v="20"/>
    <s v="15-16"/>
    <s v="ABA پیور"/>
    <n v="120"/>
    <x v="0"/>
    <n v="2"/>
    <n v="134.39999999999998"/>
    <n v="5.2"/>
    <m/>
    <x v="0"/>
    <n v="129.19999999999999"/>
    <m/>
    <m/>
    <x v="0"/>
    <x v="0"/>
    <n v="0"/>
    <n v="0"/>
    <x v="0"/>
    <x v="0"/>
    <m/>
    <x v="0"/>
    <x v="0"/>
    <x v="0"/>
    <x v="0"/>
    <x v="0"/>
    <n v="0"/>
    <n v="0"/>
    <n v="0"/>
    <n v="12"/>
    <x v="1"/>
    <x v="0"/>
    <m/>
    <x v="0"/>
    <m/>
    <x v="0"/>
    <x v="0"/>
    <x v="0"/>
    <x v="0"/>
    <x v="0"/>
  </r>
  <r>
    <x v="1"/>
    <x v="2"/>
    <s v="3857 J"/>
    <x v="75"/>
    <s v="Berger Paint White"/>
    <s v="LDM"/>
    <n v="18"/>
    <s v="-"/>
    <s v="ABA پیور"/>
    <n v="1000"/>
    <x v="0"/>
    <n v="7"/>
    <n v="445.4"/>
    <n v="2.2999999999999998"/>
    <m/>
    <x v="0"/>
    <n v="443.09999999999997"/>
    <m/>
    <m/>
    <x v="0"/>
    <x v="0"/>
    <n v="0"/>
    <n v="0"/>
    <x v="0"/>
    <x v="0"/>
    <m/>
    <x v="0"/>
    <x v="0"/>
    <x v="0"/>
    <x v="0"/>
    <x v="0"/>
    <n v="0"/>
    <n v="0"/>
    <n v="0"/>
    <n v="12"/>
    <x v="1"/>
    <x v="0"/>
    <m/>
    <x v="0"/>
    <m/>
    <x v="0"/>
    <x v="0"/>
    <x v="0"/>
    <x v="0"/>
    <x v="0"/>
  </r>
  <r>
    <x v="0"/>
    <x v="4"/>
    <s v="2784/1"/>
    <x v="75"/>
    <s v="SITARA CHEMICAL"/>
    <s v="LDN"/>
    <n v="24"/>
    <s v="100 G"/>
    <s v="SL"/>
    <n v="3000"/>
    <x v="0"/>
    <n v="6"/>
    <n v="724.19999999999993"/>
    <n v="20.2"/>
    <m/>
    <x v="0"/>
    <n v="703.99999999999989"/>
    <m/>
    <m/>
    <x v="0"/>
    <x v="0"/>
    <n v="0"/>
    <n v="0"/>
    <x v="0"/>
    <x v="0"/>
    <m/>
    <x v="0"/>
    <x v="0"/>
    <x v="0"/>
    <x v="0"/>
    <x v="0"/>
    <n v="0"/>
    <n v="0"/>
    <n v="0"/>
    <n v="12"/>
    <x v="1"/>
    <x v="0"/>
    <m/>
    <x v="0"/>
    <m/>
    <x v="0"/>
    <x v="0"/>
    <x v="0"/>
    <x v="0"/>
    <x v="0"/>
  </r>
  <r>
    <x v="1"/>
    <x v="4"/>
    <s v="2784/1"/>
    <x v="75"/>
    <s v="SITARA CHEMICAL"/>
    <s v="LDN"/>
    <n v="24"/>
    <s v="100 G"/>
    <s v="SL"/>
    <n v="3000"/>
    <x v="0"/>
    <n v="7"/>
    <n v="749.6"/>
    <n v="21"/>
    <m/>
    <x v="0"/>
    <n v="728.6"/>
    <m/>
    <m/>
    <x v="0"/>
    <x v="0"/>
    <n v="0"/>
    <n v="0"/>
    <x v="0"/>
    <x v="0"/>
    <m/>
    <x v="0"/>
    <x v="0"/>
    <x v="0"/>
    <x v="0"/>
    <x v="0"/>
    <n v="0"/>
    <n v="0"/>
    <n v="0"/>
    <n v="12"/>
    <x v="1"/>
    <x v="0"/>
    <m/>
    <x v="0"/>
    <m/>
    <x v="0"/>
    <x v="0"/>
    <x v="0"/>
    <x v="0"/>
    <x v="0"/>
  </r>
  <r>
    <x v="0"/>
    <x v="5"/>
    <s v="2042 F"/>
    <x v="75"/>
    <s v="COMBINEND WARNING"/>
    <s v="LDN"/>
    <n v="16"/>
    <s v="5-5.5"/>
    <s v="پیور"/>
    <n v="22"/>
    <x v="0"/>
    <n v="3"/>
    <n v="95.4"/>
    <n v="22.8"/>
    <m/>
    <x v="0"/>
    <n v="72.600000000000009"/>
    <m/>
    <m/>
    <x v="0"/>
    <x v="0"/>
    <n v="0"/>
    <n v="0"/>
    <x v="0"/>
    <x v="0"/>
    <m/>
    <x v="0"/>
    <x v="0"/>
    <x v="0"/>
    <x v="0"/>
    <x v="0"/>
    <n v="0"/>
    <n v="0"/>
    <n v="0"/>
    <n v="12"/>
    <x v="1"/>
    <x v="0"/>
    <m/>
    <x v="0"/>
    <m/>
    <x v="0"/>
    <x v="0"/>
    <x v="0"/>
    <x v="0"/>
    <x v="0"/>
  </r>
  <r>
    <x v="0"/>
    <x v="5"/>
    <s v="2044 F"/>
    <x v="75"/>
    <s v="COMBINEND WARNING"/>
    <s v="LDN"/>
    <n v="15"/>
    <s v="5-5.5"/>
    <s v="پیور"/>
    <n v="60"/>
    <x v="0"/>
    <n v="2"/>
    <n v="66.599999999999994"/>
    <n v="3.6"/>
    <m/>
    <x v="0"/>
    <n v="62.999999999999993"/>
    <m/>
    <m/>
    <x v="0"/>
    <x v="0"/>
    <n v="0"/>
    <n v="0"/>
    <x v="0"/>
    <x v="0"/>
    <m/>
    <x v="0"/>
    <x v="0"/>
    <x v="0"/>
    <x v="0"/>
    <x v="0"/>
    <n v="0"/>
    <n v="0"/>
    <n v="0"/>
    <n v="12"/>
    <x v="1"/>
    <x v="0"/>
    <m/>
    <x v="0"/>
    <m/>
    <x v="0"/>
    <x v="0"/>
    <x v="0"/>
    <x v="0"/>
    <x v="0"/>
  </r>
  <r>
    <x v="0"/>
    <x v="5"/>
    <s v="2039 F"/>
    <x v="75"/>
    <s v="KAPPA OMINI"/>
    <s v="LDN"/>
    <n v="19"/>
    <s v="12"/>
    <s v="پیور"/>
    <n v="500"/>
    <x v="0"/>
    <n v="1"/>
    <n v="92"/>
    <n v="2.5"/>
    <m/>
    <x v="0"/>
    <n v="89.5"/>
    <m/>
    <m/>
    <x v="0"/>
    <x v="0"/>
    <n v="0"/>
    <n v="0"/>
    <x v="0"/>
    <x v="0"/>
    <m/>
    <x v="0"/>
    <x v="0"/>
    <x v="0"/>
    <x v="0"/>
    <x v="0"/>
    <n v="0"/>
    <n v="0"/>
    <n v="0"/>
    <n v="12"/>
    <x v="1"/>
    <x v="0"/>
    <m/>
    <x v="0"/>
    <m/>
    <x v="0"/>
    <x v="0"/>
    <x v="0"/>
    <x v="0"/>
    <x v="0"/>
  </r>
  <r>
    <x v="1"/>
    <x v="5"/>
    <s v="2039 F"/>
    <x v="75"/>
    <s v="KAPPA OMINI"/>
    <s v="LDN"/>
    <n v="19"/>
    <s v="12"/>
    <s v="پیور"/>
    <n v="500"/>
    <x v="0"/>
    <n v="1"/>
    <n v="73.8"/>
    <n v="2.4"/>
    <n v="32"/>
    <x v="0"/>
    <n v="71.399999999999991"/>
    <m/>
    <n v="2"/>
    <x v="0"/>
    <x v="0"/>
    <n v="2"/>
    <n v="3.3333333333333333E-2"/>
    <x v="0"/>
    <x v="0"/>
    <m/>
    <x v="0"/>
    <x v="0"/>
    <x v="0"/>
    <x v="0"/>
    <x v="0"/>
    <n v="0"/>
    <n v="0"/>
    <n v="3.3333333333333333E-2"/>
    <n v="11.966666666666667"/>
    <x v="1"/>
    <x v="0"/>
    <m/>
    <x v="0"/>
    <m/>
    <x v="0"/>
    <x v="0"/>
    <x v="0"/>
    <x v="0"/>
    <x v="0"/>
  </r>
  <r>
    <x v="1"/>
    <x v="5"/>
    <s v="2041 F"/>
    <x v="75"/>
    <s v="R D K WARNING"/>
    <s v="LDN"/>
    <n v="19.25"/>
    <s v="9-9.5"/>
    <s v="جیلانی شیٹ"/>
    <n v="75"/>
    <x v="0"/>
    <n v="2"/>
    <n v="82.6"/>
    <n v="5"/>
    <m/>
    <x v="0"/>
    <n v="77.599999999999994"/>
    <m/>
    <n v="2"/>
    <x v="0"/>
    <x v="0"/>
    <n v="2"/>
    <n v="3.3333333333333333E-2"/>
    <x v="0"/>
    <x v="0"/>
    <m/>
    <x v="0"/>
    <x v="0"/>
    <x v="0"/>
    <x v="0"/>
    <x v="0"/>
    <n v="0"/>
    <n v="0"/>
    <n v="3.3333333333333333E-2"/>
    <n v="11.966666666666667"/>
    <x v="1"/>
    <x v="0"/>
    <m/>
    <x v="0"/>
    <m/>
    <x v="0"/>
    <x v="0"/>
    <x v="0"/>
    <x v="0"/>
    <x v="0"/>
  </r>
  <r>
    <x v="1"/>
    <x v="5"/>
    <s v="2037 F"/>
    <x v="75"/>
    <s v="UHL WARNING"/>
    <s v="LDN"/>
    <n v="17"/>
    <s v="12"/>
    <s v="جیلانی شیٹ"/>
    <n v="500"/>
    <x v="0"/>
    <n v="4"/>
    <n v="264.3"/>
    <n v="9.1999999999999993"/>
    <m/>
    <x v="0"/>
    <n v="255.10000000000002"/>
    <m/>
    <m/>
    <x v="0"/>
    <x v="0"/>
    <n v="0"/>
    <n v="0"/>
    <x v="0"/>
    <x v="0"/>
    <m/>
    <x v="0"/>
    <x v="0"/>
    <x v="0"/>
    <x v="0"/>
    <x v="0"/>
    <n v="0"/>
    <n v="0"/>
    <n v="0"/>
    <n v="12"/>
    <x v="1"/>
    <x v="0"/>
    <m/>
    <x v="0"/>
    <m/>
    <x v="0"/>
    <x v="0"/>
    <x v="0"/>
    <x v="0"/>
    <x v="0"/>
  </r>
  <r>
    <x v="0"/>
    <x v="0"/>
    <s v="3804 J"/>
    <x v="76"/>
    <s v="Usman Arif Butt Gujranwala"/>
    <s v="LDN"/>
    <n v="4"/>
    <n v="10"/>
    <s v="پیور"/>
    <n v="120"/>
    <x v="0"/>
    <n v="1"/>
    <n v="35.200000000000003"/>
    <n v="0.7"/>
    <n v="3"/>
    <x v="0"/>
    <n v="34.5"/>
    <m/>
    <n v="2"/>
    <x v="0"/>
    <x v="0"/>
    <n v="2"/>
    <n v="3.3333333333333333E-2"/>
    <x v="0"/>
    <x v="0"/>
    <m/>
    <x v="4"/>
    <x v="0"/>
    <x v="0"/>
    <x v="0"/>
    <x v="0"/>
    <n v="2"/>
    <n v="3.3333333333333333E-2"/>
    <n v="6.6666666666666666E-2"/>
    <n v="11.933333333333334"/>
    <x v="1"/>
    <x v="0"/>
    <m/>
    <x v="0"/>
    <n v="35.200000000000003"/>
    <x v="0"/>
    <x v="3"/>
    <x v="0"/>
    <x v="0"/>
    <x v="0"/>
  </r>
  <r>
    <x v="0"/>
    <x v="0"/>
    <s v="3796 J"/>
    <x v="76"/>
    <s v="Usman Arif Butt Gujranwala"/>
    <s v="LDN"/>
    <n v="4"/>
    <n v="10"/>
    <s v="پیور"/>
    <n v="140"/>
    <x v="0"/>
    <n v="2"/>
    <n v="99.4"/>
    <n v="1.4"/>
    <m/>
    <x v="0"/>
    <n v="98"/>
    <m/>
    <n v="3"/>
    <x v="0"/>
    <x v="0"/>
    <n v="3"/>
    <n v="0.05"/>
    <x v="0"/>
    <x v="0"/>
    <m/>
    <x v="5"/>
    <x v="0"/>
    <x v="0"/>
    <x v="0"/>
    <x v="0"/>
    <n v="3"/>
    <n v="0.05"/>
    <n v="0.1"/>
    <n v="11.9"/>
    <x v="1"/>
    <x v="0"/>
    <n v="2156"/>
    <x v="0"/>
    <n v="99.4"/>
    <x v="0"/>
    <x v="3"/>
    <x v="0"/>
    <x v="0"/>
    <x v="0"/>
  </r>
  <r>
    <x v="1"/>
    <x v="0"/>
    <s v="3804 J"/>
    <x v="76"/>
    <s v="Usman Arif Butt Gujranwala"/>
    <s v="LDN"/>
    <n v="4"/>
    <n v="10"/>
    <s v="پیور"/>
    <n v="120"/>
    <x v="0"/>
    <n v="3"/>
    <n v="108.4"/>
    <n v="1.4"/>
    <m/>
    <x v="0"/>
    <n v="107"/>
    <m/>
    <m/>
    <x v="0"/>
    <x v="0"/>
    <n v="0"/>
    <n v="0"/>
    <x v="0"/>
    <x v="0"/>
    <m/>
    <x v="0"/>
    <x v="0"/>
    <x v="0"/>
    <x v="0"/>
    <x v="0"/>
    <n v="0"/>
    <n v="0"/>
    <n v="0"/>
    <n v="12"/>
    <x v="1"/>
    <x v="0"/>
    <m/>
    <x v="0"/>
    <n v="108.4"/>
    <x v="0"/>
    <x v="3"/>
    <x v="0"/>
    <x v="0"/>
    <x v="0"/>
  </r>
  <r>
    <x v="1"/>
    <x v="0"/>
    <s v="3514 J"/>
    <x v="76"/>
    <s v="Usman Arif Butt Gujranwala"/>
    <s v="LDN"/>
    <n v="5"/>
    <s v="-"/>
    <s v="پیور"/>
    <n v="500"/>
    <x v="0"/>
    <n v="1"/>
    <n v="36.4"/>
    <n v="0.7"/>
    <m/>
    <x v="0"/>
    <n v="35.699999999999996"/>
    <m/>
    <m/>
    <x v="0"/>
    <x v="0"/>
    <n v="0"/>
    <n v="0"/>
    <x v="0"/>
    <x v="0"/>
    <m/>
    <x v="0"/>
    <x v="0"/>
    <x v="0"/>
    <x v="0"/>
    <x v="0"/>
    <n v="0"/>
    <n v="0"/>
    <n v="0"/>
    <n v="12"/>
    <x v="1"/>
    <x v="0"/>
    <m/>
    <x v="0"/>
    <n v="36.4"/>
    <x v="0"/>
    <x v="3"/>
    <x v="0"/>
    <x v="0"/>
    <x v="0"/>
  </r>
  <r>
    <x v="0"/>
    <x v="1"/>
    <s v="2023 F"/>
    <x v="76"/>
    <s v="Usman Amin"/>
    <s v="LDN"/>
    <s v="3X13"/>
    <s v="9"/>
    <s v="پیور"/>
    <n v="60"/>
    <x v="0"/>
    <n v="1"/>
    <n v="67.599999999999994"/>
    <n v="1.7"/>
    <m/>
    <x v="0"/>
    <n v="65.899999999999991"/>
    <m/>
    <m/>
    <x v="0"/>
    <x v="0"/>
    <n v="0"/>
    <n v="0"/>
    <x v="0"/>
    <x v="0"/>
    <m/>
    <x v="0"/>
    <x v="0"/>
    <x v="0"/>
    <x v="0"/>
    <x v="0"/>
    <n v="0"/>
    <n v="0"/>
    <n v="0"/>
    <n v="12"/>
    <x v="1"/>
    <x v="0"/>
    <m/>
    <x v="0"/>
    <n v="67.599999999999994"/>
    <x v="0"/>
    <x v="3"/>
    <x v="0"/>
    <x v="0"/>
    <x v="0"/>
  </r>
  <r>
    <x v="0"/>
    <x v="1"/>
    <s v="3802 J"/>
    <x v="76"/>
    <s v="Usman Arif Butt Gujranwala"/>
    <s v="LDN"/>
    <n v="6"/>
    <n v="10"/>
    <s v="پیور"/>
    <n v="100"/>
    <x v="0"/>
    <n v="2"/>
    <n v="101.8"/>
    <n v="2.0999999999999996"/>
    <n v="5"/>
    <x v="0"/>
    <n v="99.7"/>
    <m/>
    <n v="2"/>
    <x v="0"/>
    <x v="0"/>
    <n v="2"/>
    <n v="3.3333333333333333E-2"/>
    <x v="0"/>
    <x v="0"/>
    <m/>
    <x v="0"/>
    <x v="0"/>
    <x v="0"/>
    <x v="0"/>
    <x v="0"/>
    <n v="0"/>
    <n v="0"/>
    <n v="3.3333333333333333E-2"/>
    <n v="11.966666666666667"/>
    <x v="1"/>
    <x v="0"/>
    <m/>
    <x v="0"/>
    <n v="101.8"/>
    <x v="0"/>
    <x v="3"/>
    <x v="0"/>
    <x v="0"/>
    <x v="0"/>
  </r>
  <r>
    <x v="0"/>
    <x v="1"/>
    <s v="3515 J"/>
    <x v="76"/>
    <s v="Usman Arif Butt Gujranwala"/>
    <s v="LDN"/>
    <n v="6"/>
    <s v="-"/>
    <s v="پیور"/>
    <n v="500"/>
    <x v="0"/>
    <n v="1"/>
    <n v="29.6"/>
    <n v="0.6"/>
    <m/>
    <x v="0"/>
    <n v="29"/>
    <m/>
    <m/>
    <x v="0"/>
    <x v="0"/>
    <n v="0"/>
    <n v="0"/>
    <x v="0"/>
    <x v="0"/>
    <m/>
    <x v="0"/>
    <x v="0"/>
    <x v="0"/>
    <x v="0"/>
    <x v="0"/>
    <n v="0"/>
    <n v="0"/>
    <n v="0"/>
    <n v="12"/>
    <x v="1"/>
    <x v="0"/>
    <m/>
    <x v="0"/>
    <n v="29.6"/>
    <x v="0"/>
    <x v="3"/>
    <x v="0"/>
    <x v="0"/>
    <x v="0"/>
  </r>
  <r>
    <x v="1"/>
    <x v="1"/>
    <s v="3515 J"/>
    <x v="76"/>
    <s v="Usman Arif Butt Gujranwala"/>
    <s v="LDN"/>
    <n v="6"/>
    <s v="-"/>
    <s v="پیور"/>
    <n v="500"/>
    <x v="0"/>
    <n v="4"/>
    <n v="155.80000000000001"/>
    <n v="3.2"/>
    <m/>
    <x v="0"/>
    <n v="152.60000000000002"/>
    <m/>
    <m/>
    <x v="0"/>
    <x v="0"/>
    <n v="0"/>
    <n v="0"/>
    <x v="0"/>
    <x v="0"/>
    <m/>
    <x v="0"/>
    <x v="0"/>
    <x v="0"/>
    <x v="0"/>
    <x v="0"/>
    <n v="0"/>
    <n v="0"/>
    <n v="0"/>
    <n v="12"/>
    <x v="1"/>
    <x v="0"/>
    <m/>
    <x v="0"/>
    <n v="155.80000000000001"/>
    <x v="0"/>
    <x v="3"/>
    <x v="0"/>
    <x v="0"/>
    <x v="0"/>
  </r>
  <r>
    <x v="0"/>
    <x v="2"/>
    <s v="3857 J"/>
    <x v="76"/>
    <s v="Berger Paint Lahore"/>
    <s v="LDM"/>
    <s v="18X32"/>
    <s v="-"/>
    <s v="ABA پیور"/>
    <n v="1000"/>
    <x v="0"/>
    <n v="6"/>
    <n v="489.59999999999997"/>
    <n v="13.799999999999999"/>
    <m/>
    <x v="0"/>
    <n v="475.79999999999995"/>
    <m/>
    <m/>
    <x v="0"/>
    <x v="0"/>
    <n v="0"/>
    <n v="0"/>
    <x v="0"/>
    <x v="0"/>
    <m/>
    <x v="0"/>
    <x v="0"/>
    <x v="0"/>
    <x v="0"/>
    <x v="0"/>
    <n v="0"/>
    <n v="0"/>
    <n v="0"/>
    <n v="12"/>
    <x v="1"/>
    <x v="0"/>
    <m/>
    <x v="0"/>
    <n v="489.59999999999997"/>
    <x v="0"/>
    <x v="3"/>
    <x v="0"/>
    <x v="0"/>
    <x v="0"/>
  </r>
  <r>
    <x v="1"/>
    <x v="2"/>
    <s v="3857 J"/>
    <x v="76"/>
    <s v="Berger Paint Lahore"/>
    <s v="LDM"/>
    <s v="18X32"/>
    <s v="-"/>
    <s v="ABA پیور"/>
    <n v="1000"/>
    <x v="0"/>
    <n v="2"/>
    <n v="101.80000000000001"/>
    <n v="4.5999999999999996"/>
    <n v="32"/>
    <x v="0"/>
    <n v="97.200000000000017"/>
    <m/>
    <n v="25"/>
    <x v="0"/>
    <x v="0"/>
    <n v="25"/>
    <n v="0.41666666666666669"/>
    <x v="0"/>
    <x v="0"/>
    <m/>
    <x v="0"/>
    <x v="0"/>
    <x v="0"/>
    <x v="0"/>
    <x v="0"/>
    <n v="0"/>
    <n v="0"/>
    <n v="0.41666666666666669"/>
    <n v="11.583333333333334"/>
    <x v="1"/>
    <x v="0"/>
    <m/>
    <x v="0"/>
    <n v="101.80000000000001"/>
    <x v="0"/>
    <x v="3"/>
    <x v="0"/>
    <x v="0"/>
    <x v="0"/>
  </r>
  <r>
    <x v="1"/>
    <x v="2"/>
    <s v="3862 J"/>
    <x v="76"/>
    <s v="Jhangir Hussain Gudam Leager HD"/>
    <s v="LDN"/>
    <s v="10X16+2"/>
    <s v="3.5-4/7-8"/>
    <s v="پیور"/>
    <n v="100"/>
    <x v="0"/>
    <n v="2"/>
    <n v="160.80000000000001"/>
    <n v="4.5999999999999996"/>
    <m/>
    <x v="0"/>
    <n v="156.20000000000002"/>
    <m/>
    <n v="5"/>
    <x v="0"/>
    <x v="0"/>
    <n v="5"/>
    <n v="8.3333333333333329E-2"/>
    <x v="0"/>
    <x v="0"/>
    <m/>
    <x v="0"/>
    <x v="0"/>
    <x v="0"/>
    <x v="0"/>
    <x v="0"/>
    <n v="0"/>
    <n v="0"/>
    <n v="8.3333333333333329E-2"/>
    <n v="11.916666666666666"/>
    <x v="1"/>
    <x v="0"/>
    <m/>
    <x v="0"/>
    <n v="160.80000000000001"/>
    <x v="0"/>
    <x v="3"/>
    <x v="0"/>
    <x v="0"/>
    <x v="0"/>
  </r>
  <r>
    <x v="1"/>
    <x v="2"/>
    <s v="3864 J"/>
    <x v="76"/>
    <s v="Hammad Plastic Gujranwala"/>
    <s v="LD پیلا"/>
    <s v="16X20"/>
    <s v="12-12.5"/>
    <s v="ABA سپیشل تھینکیو"/>
    <n v="150"/>
    <x v="0"/>
    <n v="2"/>
    <n v="159.80000000000001"/>
    <n v="5"/>
    <m/>
    <x v="0"/>
    <n v="154.80000000000001"/>
    <m/>
    <n v="35"/>
    <x v="0"/>
    <x v="0"/>
    <n v="35"/>
    <n v="0.58333333333333337"/>
    <x v="0"/>
    <x v="0"/>
    <m/>
    <x v="0"/>
    <x v="0"/>
    <x v="0"/>
    <x v="0"/>
    <x v="2"/>
    <n v="65"/>
    <n v="1.0833333333333333"/>
    <n v="1.6666666666666665"/>
    <n v="10.333333333333334"/>
    <x v="1"/>
    <x v="0"/>
    <m/>
    <x v="0"/>
    <n v="159.80000000000001"/>
    <x v="0"/>
    <x v="3"/>
    <x v="0"/>
    <x v="0"/>
    <x v="0"/>
  </r>
  <r>
    <x v="0"/>
    <x v="4"/>
    <s v="2784/1"/>
    <x v="76"/>
    <s v="SITARA CHEMICAL IND (PVT) LTD"/>
    <s v="LDN"/>
    <s v="24X38"/>
    <s v="100 G"/>
    <s v="SL"/>
    <n v="3000"/>
    <x v="0"/>
    <n v="6"/>
    <n v="703.80000000000007"/>
    <n v="19.200000000000003"/>
    <n v="13"/>
    <x v="0"/>
    <n v="684.6"/>
    <m/>
    <n v="5"/>
    <x v="0"/>
    <x v="0"/>
    <n v="5"/>
    <n v="8.3333333333333329E-2"/>
    <x v="0"/>
    <x v="0"/>
    <m/>
    <x v="0"/>
    <x v="0"/>
    <x v="0"/>
    <x v="0"/>
    <x v="0"/>
    <n v="0"/>
    <n v="0"/>
    <n v="8.3333333333333329E-2"/>
    <n v="11.916666666666666"/>
    <x v="1"/>
    <x v="0"/>
    <m/>
    <x v="0"/>
    <n v="703.80000000000007"/>
    <x v="0"/>
    <x v="3"/>
    <x v="0"/>
    <x v="0"/>
    <x v="0"/>
  </r>
  <r>
    <x v="1"/>
    <x v="4"/>
    <s v="2052 F"/>
    <x v="76"/>
    <s v="Usman Amin"/>
    <s v="LDN"/>
    <n v="21"/>
    <s v="7-7.5"/>
    <s v="پیور"/>
    <n v="500"/>
    <x v="0"/>
    <n v="8"/>
    <n v="566.4"/>
    <n v="20.8"/>
    <n v="28"/>
    <x v="0"/>
    <n v="545.6"/>
    <m/>
    <m/>
    <x v="0"/>
    <x v="0"/>
    <n v="0"/>
    <n v="0"/>
    <x v="0"/>
    <x v="0"/>
    <m/>
    <x v="0"/>
    <x v="0"/>
    <x v="0"/>
    <x v="0"/>
    <x v="0"/>
    <n v="0"/>
    <n v="0"/>
    <n v="0"/>
    <n v="12"/>
    <x v="1"/>
    <x v="0"/>
    <m/>
    <x v="0"/>
    <n v="566.4"/>
    <x v="0"/>
    <x v="3"/>
    <x v="0"/>
    <x v="0"/>
    <x v="0"/>
  </r>
  <r>
    <x v="1"/>
    <x v="4"/>
    <s v="2785/1"/>
    <x v="76"/>
    <s v="USMAN AMEEN LAHORE"/>
    <s v="LD BLACK"/>
    <s v="34X44"/>
    <n v="16"/>
    <s v="SL"/>
    <n v="2000"/>
    <x v="0"/>
    <n v="2"/>
    <n v="199.6"/>
    <n v="7.8000000000000007"/>
    <m/>
    <x v="0"/>
    <n v="191.79999999999998"/>
    <m/>
    <m/>
    <x v="0"/>
    <x v="0"/>
    <n v="0"/>
    <n v="0"/>
    <x v="0"/>
    <x v="0"/>
    <m/>
    <x v="0"/>
    <x v="0"/>
    <x v="0"/>
    <x v="0"/>
    <x v="0"/>
    <n v="0"/>
    <n v="0"/>
    <n v="0"/>
    <n v="12"/>
    <x v="1"/>
    <x v="0"/>
    <m/>
    <x v="0"/>
    <n v="199.6"/>
    <x v="0"/>
    <x v="3"/>
    <x v="0"/>
    <x v="0"/>
    <x v="0"/>
  </r>
  <r>
    <x v="0"/>
    <x v="5"/>
    <s v="2037 F"/>
    <x v="76"/>
    <s v="Usman Amin"/>
    <s v="LDN"/>
    <s v="11X16+2"/>
    <s v="12"/>
    <s v="جیلانی شیٹ"/>
    <n v="500"/>
    <x v="0"/>
    <n v="4"/>
    <n v="252.8"/>
    <n v="9.3999999999999986"/>
    <n v="4"/>
    <x v="0"/>
    <n v="243.4"/>
    <m/>
    <m/>
    <x v="0"/>
    <x v="0"/>
    <n v="0"/>
    <n v="0"/>
    <x v="0"/>
    <x v="0"/>
    <m/>
    <x v="0"/>
    <x v="0"/>
    <x v="0"/>
    <x v="0"/>
    <x v="0"/>
    <n v="0"/>
    <n v="0"/>
    <n v="0"/>
    <n v="12"/>
    <x v="1"/>
    <x v="0"/>
    <m/>
    <x v="0"/>
    <n v="252.8"/>
    <x v="0"/>
    <x v="3"/>
    <x v="0"/>
    <x v="0"/>
    <x v="0"/>
  </r>
  <r>
    <x v="0"/>
    <x v="5"/>
    <s v="2038 F"/>
    <x v="76"/>
    <s v="Usman Amin"/>
    <s v="LDN"/>
    <s v="12X16+2"/>
    <s v="8-8.5"/>
    <s v="جیلانی شیٹ"/>
    <n v="500"/>
    <x v="0"/>
    <n v="2"/>
    <n v="111"/>
    <n v="4"/>
    <m/>
    <x v="0"/>
    <n v="107"/>
    <m/>
    <m/>
    <x v="0"/>
    <x v="0"/>
    <n v="0"/>
    <n v="0"/>
    <x v="0"/>
    <x v="0"/>
    <m/>
    <x v="0"/>
    <x v="0"/>
    <x v="0"/>
    <x v="0"/>
    <x v="0"/>
    <n v="0"/>
    <n v="0"/>
    <n v="0"/>
    <n v="12"/>
    <x v="1"/>
    <x v="0"/>
    <m/>
    <x v="0"/>
    <n v="111"/>
    <x v="0"/>
    <x v="3"/>
    <x v="0"/>
    <x v="0"/>
    <x v="0"/>
  </r>
  <r>
    <x v="1"/>
    <x v="5"/>
    <s v="2038 F"/>
    <x v="76"/>
    <s v="Usman Amin"/>
    <s v="LDN"/>
    <s v="12X16+2"/>
    <s v="8-8.5"/>
    <s v="جیلانی شیٹ"/>
    <n v="500"/>
    <x v="0"/>
    <n v="7"/>
    <n v="345"/>
    <n v="14"/>
    <m/>
    <x v="0"/>
    <n v="331"/>
    <m/>
    <m/>
    <x v="0"/>
    <x v="0"/>
    <n v="0"/>
    <n v="0"/>
    <x v="0"/>
    <x v="0"/>
    <m/>
    <x v="0"/>
    <x v="0"/>
    <x v="0"/>
    <x v="0"/>
    <x v="0"/>
    <n v="0"/>
    <n v="0"/>
    <n v="0"/>
    <n v="12"/>
    <x v="1"/>
    <x v="0"/>
    <m/>
    <x v="0"/>
    <n v="345"/>
    <x v="0"/>
    <x v="3"/>
    <x v="0"/>
    <x v="0"/>
    <x v="0"/>
  </r>
  <r>
    <x v="0"/>
    <x v="0"/>
    <s v="3514 J"/>
    <x v="77"/>
    <s v="Usman Arif Butt Gujranwala"/>
    <s v="LDN"/>
    <n v="5"/>
    <s v="-"/>
    <s v="پیور"/>
    <n v="500"/>
    <x v="0"/>
    <n v="4"/>
    <n v="154.79999999999998"/>
    <n v="0.8"/>
    <m/>
    <x v="0"/>
    <n v="153.99999999999997"/>
    <m/>
    <m/>
    <x v="0"/>
    <x v="0"/>
    <n v="0"/>
    <n v="0"/>
    <x v="0"/>
    <x v="0"/>
    <m/>
    <x v="0"/>
    <x v="0"/>
    <x v="0"/>
    <x v="0"/>
    <x v="0"/>
    <n v="0"/>
    <n v="0"/>
    <n v="0"/>
    <n v="12"/>
    <x v="1"/>
    <x v="0"/>
    <n v="2201"/>
    <x v="0"/>
    <n v="154.79999999999998"/>
    <x v="0"/>
    <x v="3"/>
    <x v="0"/>
    <x v="0"/>
    <x v="0"/>
  </r>
  <r>
    <x v="1"/>
    <x v="0"/>
    <s v="3514 J"/>
    <x v="77"/>
    <s v="Usman Arif Butt Gujranwala"/>
    <s v="LDN"/>
    <n v="5"/>
    <s v="-"/>
    <s v="پیور"/>
    <n v="500"/>
    <x v="0"/>
    <n v="2"/>
    <n v="61.800000000000004"/>
    <n v="1.4"/>
    <n v="11"/>
    <x v="0"/>
    <n v="60.400000000000006"/>
    <m/>
    <m/>
    <x v="0"/>
    <x v="0"/>
    <n v="0"/>
    <n v="0"/>
    <x v="0"/>
    <x v="0"/>
    <m/>
    <x v="0"/>
    <x v="0"/>
    <x v="0"/>
    <x v="0"/>
    <x v="0"/>
    <n v="0"/>
    <n v="0"/>
    <n v="0"/>
    <n v="12"/>
    <x v="1"/>
    <x v="0"/>
    <m/>
    <x v="0"/>
    <n v="61.800000000000004"/>
    <x v="0"/>
    <x v="3"/>
    <x v="0"/>
    <x v="0"/>
    <x v="0"/>
  </r>
  <r>
    <x v="1"/>
    <x v="0"/>
    <s v="3938 J"/>
    <x v="77"/>
    <s v="Perfect Food Industry LHR"/>
    <s v="LDN"/>
    <s v="13CM X 17CM"/>
    <s v="11-12"/>
    <s v="پیور"/>
    <n v="100"/>
    <x v="0"/>
    <n v="2"/>
    <n v="55.6"/>
    <n v="1.4"/>
    <m/>
    <x v="0"/>
    <n v="54.2"/>
    <m/>
    <m/>
    <x v="0"/>
    <x v="0"/>
    <n v="0"/>
    <n v="0"/>
    <x v="0"/>
    <x v="0"/>
    <m/>
    <x v="0"/>
    <x v="0"/>
    <x v="0"/>
    <x v="0"/>
    <x v="0"/>
    <n v="0"/>
    <n v="0"/>
    <n v="0"/>
    <n v="12"/>
    <x v="1"/>
    <x v="0"/>
    <m/>
    <x v="0"/>
    <n v="55.6"/>
    <x v="0"/>
    <x v="3"/>
    <x v="0"/>
    <x v="0"/>
    <x v="0"/>
  </r>
  <r>
    <x v="0"/>
    <x v="1"/>
    <s v="3515 J"/>
    <x v="77"/>
    <s v="Usman Arif Butt Gujranwala"/>
    <s v="LDN"/>
    <n v="6"/>
    <s v="-"/>
    <s v="پیور"/>
    <n v="500"/>
    <x v="0"/>
    <n v="4"/>
    <n v="190.39999999999998"/>
    <n v="3.1000000000000005"/>
    <m/>
    <x v="0"/>
    <n v="187.29999999999998"/>
    <m/>
    <m/>
    <x v="0"/>
    <x v="0"/>
    <n v="0"/>
    <n v="0"/>
    <x v="0"/>
    <x v="0"/>
    <m/>
    <x v="0"/>
    <x v="0"/>
    <x v="0"/>
    <x v="0"/>
    <x v="0"/>
    <n v="0"/>
    <n v="0"/>
    <n v="0"/>
    <n v="12"/>
    <x v="1"/>
    <x v="0"/>
    <m/>
    <x v="0"/>
    <n v="190.39999999999998"/>
    <x v="0"/>
    <x v="3"/>
    <x v="0"/>
    <x v="0"/>
    <x v="0"/>
  </r>
  <r>
    <x v="1"/>
    <x v="1"/>
    <s v="3515 J"/>
    <x v="77"/>
    <s v="Usman Arif Butt Gujranwala"/>
    <s v="LDN"/>
    <n v="6"/>
    <s v="-"/>
    <s v="پیور"/>
    <n v="500"/>
    <x v="0"/>
    <n v="3"/>
    <n v="98.2"/>
    <n v="2.4000000000000004"/>
    <n v="2"/>
    <x v="0"/>
    <n v="95.8"/>
    <m/>
    <m/>
    <x v="0"/>
    <x v="0"/>
    <n v="0"/>
    <n v="0"/>
    <x v="0"/>
    <x v="0"/>
    <m/>
    <x v="0"/>
    <x v="0"/>
    <x v="0"/>
    <x v="0"/>
    <x v="0"/>
    <n v="0"/>
    <n v="0"/>
    <n v="0"/>
    <n v="12"/>
    <x v="1"/>
    <x v="0"/>
    <m/>
    <x v="0"/>
    <n v="98.2"/>
    <x v="0"/>
    <x v="3"/>
    <x v="0"/>
    <x v="0"/>
    <x v="0"/>
  </r>
  <r>
    <x v="1"/>
    <x v="1"/>
    <s v="3514 J"/>
    <x v="77"/>
    <s v="Usman Arif Butt Gujranwala"/>
    <s v="LDN"/>
    <n v="5"/>
    <s v="-"/>
    <s v="پیور"/>
    <n v="500"/>
    <x v="0"/>
    <n v="2"/>
    <n v="63.7"/>
    <n v="1.4"/>
    <m/>
    <x v="0"/>
    <n v="62.300000000000004"/>
    <m/>
    <m/>
    <x v="0"/>
    <x v="0"/>
    <n v="0"/>
    <n v="0"/>
    <x v="0"/>
    <x v="0"/>
    <m/>
    <x v="0"/>
    <x v="0"/>
    <x v="0"/>
    <x v="0"/>
    <x v="0"/>
    <n v="0"/>
    <n v="0"/>
    <n v="0"/>
    <n v="12"/>
    <x v="1"/>
    <x v="0"/>
    <m/>
    <x v="0"/>
    <n v="63.7"/>
    <x v="0"/>
    <x v="3"/>
    <x v="0"/>
    <x v="0"/>
    <x v="0"/>
  </r>
  <r>
    <x v="0"/>
    <x v="2"/>
    <s v="3868 J"/>
    <x v="77"/>
    <s v="Subhan Cloth House Nankana"/>
    <s v="LD پیلا"/>
    <s v="15X18"/>
    <s v="7.5-8/15-16"/>
    <s v="پیور"/>
    <n v="120"/>
    <x v="0"/>
    <n v="5"/>
    <n v="131.80000000000001"/>
    <n v="5.7999999999999989"/>
    <m/>
    <x v="0"/>
    <n v="126.00000000000001"/>
    <m/>
    <m/>
    <x v="0"/>
    <x v="0"/>
    <n v="0"/>
    <n v="0"/>
    <x v="0"/>
    <x v="0"/>
    <m/>
    <x v="0"/>
    <x v="0"/>
    <x v="0"/>
    <x v="0"/>
    <x v="0"/>
    <n v="0"/>
    <n v="0"/>
    <n v="0"/>
    <n v="12"/>
    <x v="1"/>
    <x v="0"/>
    <m/>
    <x v="0"/>
    <n v="131.80000000000001"/>
    <x v="0"/>
    <x v="3"/>
    <x v="0"/>
    <x v="0"/>
    <x v="0"/>
  </r>
  <r>
    <x v="0"/>
    <x v="2"/>
    <s v="3869 J"/>
    <x v="77"/>
    <s v="Subhan Cloth House Nankana"/>
    <s v="LD پیلا"/>
    <s v="17X22"/>
    <s v="7.5-8/15-16"/>
    <s v="پیور"/>
    <n v="120"/>
    <x v="0"/>
    <n v="2"/>
    <n v="53.8"/>
    <n v="2.5"/>
    <m/>
    <x v="0"/>
    <n v="51.3"/>
    <m/>
    <m/>
    <x v="0"/>
    <x v="0"/>
    <n v="0"/>
    <n v="0"/>
    <x v="0"/>
    <x v="0"/>
    <m/>
    <x v="0"/>
    <x v="0"/>
    <x v="0"/>
    <x v="0"/>
    <x v="0"/>
    <n v="0"/>
    <n v="0"/>
    <n v="0"/>
    <n v="12"/>
    <x v="1"/>
    <x v="0"/>
    <m/>
    <x v="0"/>
    <n v="53.8"/>
    <x v="0"/>
    <x v="3"/>
    <x v="0"/>
    <x v="0"/>
    <x v="0"/>
  </r>
  <r>
    <x v="1"/>
    <x v="2"/>
    <s v="3869 J"/>
    <x v="77"/>
    <s v="Subhan Cloth House Nankana"/>
    <s v="LD پیلا"/>
    <s v="17X22"/>
    <s v="7.5-8/15-16"/>
    <s v="پیور"/>
    <n v="120"/>
    <x v="0"/>
    <n v="3"/>
    <n v="78.400000000000006"/>
    <n v="3.9000000000000004"/>
    <n v="37"/>
    <x v="0"/>
    <n v="74.5"/>
    <m/>
    <n v="40"/>
    <x v="0"/>
    <x v="0"/>
    <n v="40"/>
    <n v="0.66666666666666663"/>
    <x v="0"/>
    <x v="0"/>
    <m/>
    <x v="0"/>
    <x v="0"/>
    <x v="0"/>
    <x v="0"/>
    <x v="0"/>
    <n v="0"/>
    <n v="0"/>
    <n v="0.66666666666666663"/>
    <n v="11.333333333333334"/>
    <x v="1"/>
    <x v="0"/>
    <m/>
    <x v="0"/>
    <n v="78.400000000000006"/>
    <x v="0"/>
    <x v="3"/>
    <x v="0"/>
    <x v="0"/>
    <x v="0"/>
  </r>
  <r>
    <x v="1"/>
    <x v="2"/>
    <s v="3823 J"/>
    <x v="77"/>
    <s v="Jhangir Hussain Gudam Leager HD"/>
    <s v="PP"/>
    <s v="6X9 (8X11)"/>
    <s v="5-5.5"/>
    <s v="1:1"/>
    <n v="100"/>
    <x v="0"/>
    <n v="5"/>
    <n v="126.30000000000001"/>
    <n v="7"/>
    <m/>
    <x v="0"/>
    <n v="119.30000000000001"/>
    <m/>
    <n v="30"/>
    <x v="0"/>
    <x v="0"/>
    <n v="30"/>
    <n v="0.5"/>
    <x v="0"/>
    <x v="0"/>
    <m/>
    <x v="0"/>
    <x v="0"/>
    <x v="0"/>
    <x v="0"/>
    <x v="0"/>
    <n v="0"/>
    <n v="0"/>
    <n v="0.5"/>
    <n v="11.5"/>
    <x v="1"/>
    <x v="0"/>
    <m/>
    <x v="0"/>
    <n v="126.30000000000001"/>
    <x v="0"/>
    <x v="3"/>
    <x v="0"/>
    <x v="0"/>
    <x v="0"/>
  </r>
  <r>
    <x v="1"/>
    <x v="2"/>
    <s v="3770 J"/>
    <x v="77"/>
    <s v="Wazir Suitting Center Lahore"/>
    <s v="LDM"/>
    <s v="14X18"/>
    <s v="14-15"/>
    <s v="ABA پیور"/>
    <n v="100"/>
    <x v="0"/>
    <n v="2"/>
    <n v="103.4"/>
    <n v="4.5999999999999996"/>
    <m/>
    <x v="0"/>
    <n v="98.800000000000011"/>
    <m/>
    <n v="30"/>
    <x v="0"/>
    <x v="0"/>
    <n v="30"/>
    <n v="0.5"/>
    <x v="0"/>
    <x v="0"/>
    <m/>
    <x v="0"/>
    <x v="0"/>
    <x v="0"/>
    <x v="0"/>
    <x v="0"/>
    <n v="0"/>
    <n v="0"/>
    <n v="0.5"/>
    <n v="11.5"/>
    <x v="1"/>
    <x v="0"/>
    <m/>
    <x v="0"/>
    <n v="103.4"/>
    <x v="0"/>
    <x v="3"/>
    <x v="0"/>
    <x v="0"/>
    <x v="0"/>
  </r>
  <r>
    <x v="1"/>
    <x v="2"/>
    <s v="3875 J"/>
    <x v="77"/>
    <s v="Umair PP Adda Crown C/O Majest Plastic LHR"/>
    <s v="LDM"/>
    <s v="14X18"/>
    <s v="12-13"/>
    <s v="سپیشل تھینکیو ABA"/>
    <n v="2000"/>
    <x v="0"/>
    <n v="1"/>
    <n v="66.2"/>
    <n v="2.2999999999999998"/>
    <m/>
    <x v="0"/>
    <n v="63.900000000000006"/>
    <m/>
    <m/>
    <x v="0"/>
    <x v="0"/>
    <n v="0"/>
    <n v="0"/>
    <x v="0"/>
    <x v="0"/>
    <m/>
    <x v="0"/>
    <x v="0"/>
    <x v="0"/>
    <x v="0"/>
    <x v="0"/>
    <n v="0"/>
    <n v="0"/>
    <n v="0"/>
    <n v="12"/>
    <x v="1"/>
    <x v="0"/>
    <m/>
    <x v="0"/>
    <n v="66.2"/>
    <x v="0"/>
    <x v="3"/>
    <x v="0"/>
    <x v="0"/>
    <x v="0"/>
  </r>
  <r>
    <x v="0"/>
    <x v="4"/>
    <s v="2785/1"/>
    <x v="77"/>
    <s v="USMAN AMEEN LAHORE"/>
    <s v="LD BLACK"/>
    <s v="34X44"/>
    <n v="16"/>
    <s v="SL"/>
    <n v="2000"/>
    <x v="0"/>
    <n v="12"/>
    <n v="1218.0999999999999"/>
    <n v="52.000000000000007"/>
    <n v="27"/>
    <x v="0"/>
    <n v="1166.0999999999999"/>
    <m/>
    <m/>
    <x v="0"/>
    <x v="0"/>
    <n v="0"/>
    <n v="0"/>
    <x v="0"/>
    <x v="0"/>
    <m/>
    <x v="0"/>
    <x v="0"/>
    <x v="0"/>
    <x v="0"/>
    <x v="0"/>
    <n v="0"/>
    <n v="0"/>
    <n v="0"/>
    <n v="12"/>
    <x v="1"/>
    <x v="0"/>
    <m/>
    <x v="0"/>
    <n v="1218.0999999999999"/>
    <x v="0"/>
    <x v="3"/>
    <x v="0"/>
    <x v="0"/>
    <x v="0"/>
  </r>
  <r>
    <x v="1"/>
    <x v="4"/>
    <s v="2785/1"/>
    <x v="77"/>
    <s v="USMAN AMEEN LAHORE"/>
    <s v="LD BLACK"/>
    <s v="34X44"/>
    <n v="16"/>
    <s v="SL"/>
    <n v="2000"/>
    <x v="0"/>
    <n v="7"/>
    <n v="791.4"/>
    <n v="30.800000000000004"/>
    <n v="57"/>
    <x v="0"/>
    <n v="760.6"/>
    <m/>
    <n v="65"/>
    <x v="0"/>
    <x v="0"/>
    <n v="65"/>
    <n v="1.0833333333333333"/>
    <x v="0"/>
    <x v="0"/>
    <m/>
    <x v="0"/>
    <x v="0"/>
    <x v="0"/>
    <x v="6"/>
    <x v="0"/>
    <n v="60"/>
    <n v="1"/>
    <n v="2.083333333333333"/>
    <n v="9.9166666666666679"/>
    <x v="1"/>
    <x v="0"/>
    <m/>
    <x v="0"/>
    <n v="791.4"/>
    <x v="0"/>
    <x v="3"/>
    <x v="0"/>
    <x v="0"/>
    <x v="0"/>
  </r>
  <r>
    <x v="1"/>
    <x v="4"/>
    <s v="3858 J"/>
    <x v="77"/>
    <s v="Berger Paint Lahore"/>
    <s v="LDM"/>
    <s v="18X32"/>
    <s v="-"/>
    <s v="ABA پیور"/>
    <n v="2000"/>
    <x v="0"/>
    <n v="1"/>
    <n v="82.8"/>
    <n v="2.2000000000000002"/>
    <m/>
    <x v="0"/>
    <n v="80.599999999999994"/>
    <m/>
    <m/>
    <x v="0"/>
    <x v="0"/>
    <n v="0"/>
    <n v="0"/>
    <x v="0"/>
    <x v="0"/>
    <m/>
    <x v="0"/>
    <x v="0"/>
    <x v="0"/>
    <x v="0"/>
    <x v="0"/>
    <n v="0"/>
    <n v="0"/>
    <n v="0"/>
    <n v="12"/>
    <x v="1"/>
    <x v="0"/>
    <m/>
    <x v="0"/>
    <n v="82.8"/>
    <x v="0"/>
    <x v="3"/>
    <x v="0"/>
    <x v="0"/>
    <x v="0"/>
  </r>
  <r>
    <x v="0"/>
    <x v="5"/>
    <s v="2040 F"/>
    <x v="77"/>
    <s v="Usman Amin"/>
    <s v="LDN"/>
    <s v="12X16.25+2.25"/>
    <s v="12"/>
    <s v="پیور"/>
    <n v="500"/>
    <x v="0"/>
    <n v="7"/>
    <n v="412.63"/>
    <n v="11.9"/>
    <m/>
    <x v="0"/>
    <n v="400.73"/>
    <m/>
    <m/>
    <x v="0"/>
    <x v="0"/>
    <n v="0"/>
    <n v="0"/>
    <x v="0"/>
    <x v="0"/>
    <m/>
    <x v="0"/>
    <x v="0"/>
    <x v="0"/>
    <x v="0"/>
    <x v="0"/>
    <n v="0"/>
    <n v="0"/>
    <n v="0"/>
    <n v="12"/>
    <x v="1"/>
    <x v="0"/>
    <m/>
    <x v="0"/>
    <n v="412.63"/>
    <x v="0"/>
    <x v="3"/>
    <x v="0"/>
    <x v="0"/>
    <x v="0"/>
  </r>
  <r>
    <x v="1"/>
    <x v="5"/>
    <s v="2040 F"/>
    <x v="77"/>
    <s v="Usman Amin"/>
    <s v="LDN"/>
    <s v="12X16.25+2.25"/>
    <s v="12"/>
    <s v="پیور"/>
    <n v="500"/>
    <x v="0"/>
    <n v="2"/>
    <n v="103.9"/>
    <n v="4"/>
    <n v="4"/>
    <x v="0"/>
    <n v="99.9"/>
    <m/>
    <n v="5"/>
    <x v="0"/>
    <x v="0"/>
    <n v="5"/>
    <n v="8.3333333333333329E-2"/>
    <x v="0"/>
    <x v="0"/>
    <m/>
    <x v="0"/>
    <x v="0"/>
    <x v="0"/>
    <x v="0"/>
    <x v="0"/>
    <n v="0"/>
    <n v="0"/>
    <n v="8.3333333333333329E-2"/>
    <n v="11.916666666666666"/>
    <x v="1"/>
    <x v="0"/>
    <m/>
    <x v="0"/>
    <n v="103.9"/>
    <x v="0"/>
    <x v="3"/>
    <x v="0"/>
    <x v="0"/>
    <x v="0"/>
  </r>
  <r>
    <x v="1"/>
    <x v="5"/>
    <s v="2039 F"/>
    <x v="77"/>
    <s v="Usman Amin"/>
    <s v="LDN"/>
    <s v="14X17.75+2.25"/>
    <s v="12"/>
    <s v="پیور"/>
    <n v="500"/>
    <x v="0"/>
    <n v="4"/>
    <n v="260"/>
    <n v="8.8000000000000007"/>
    <m/>
    <x v="0"/>
    <n v="251.2"/>
    <m/>
    <m/>
    <x v="0"/>
    <x v="0"/>
    <n v="0"/>
    <n v="0"/>
    <x v="0"/>
    <x v="0"/>
    <m/>
    <x v="0"/>
    <x v="0"/>
    <x v="0"/>
    <x v="0"/>
    <x v="0"/>
    <n v="0"/>
    <n v="0"/>
    <n v="0"/>
    <n v="12"/>
    <x v="1"/>
    <x v="0"/>
    <m/>
    <x v="0"/>
    <n v="260"/>
    <x v="0"/>
    <x v="3"/>
    <x v="0"/>
    <x v="0"/>
    <x v="0"/>
  </r>
  <r>
    <x v="0"/>
    <x v="0"/>
    <s v="3938 J"/>
    <x v="78"/>
    <s v="Perfect Food Industry LHR"/>
    <s v="LDN"/>
    <s v="13CM X 17CM"/>
    <s v="11-12"/>
    <s v="پیور"/>
    <n v="100"/>
    <x v="0"/>
    <n v="2"/>
    <n v="58.400000000000006"/>
    <n v="1.4"/>
    <n v="40"/>
    <x v="0"/>
    <n v="57.000000000000007"/>
    <m/>
    <m/>
    <x v="0"/>
    <x v="0"/>
    <n v="0"/>
    <n v="0"/>
    <x v="0"/>
    <x v="0"/>
    <m/>
    <x v="0"/>
    <x v="0"/>
    <x v="0"/>
    <x v="0"/>
    <x v="0"/>
    <n v="0"/>
    <n v="0"/>
    <n v="0"/>
    <n v="12"/>
    <x v="1"/>
    <x v="0"/>
    <m/>
    <x v="0"/>
    <n v="58.400000000000006"/>
    <x v="0"/>
    <x v="3"/>
    <x v="0"/>
    <x v="0"/>
    <x v="0"/>
  </r>
  <r>
    <x v="0"/>
    <x v="0"/>
    <s v="3939 J"/>
    <x v="78"/>
    <s v="Perfect Food Industry LHR"/>
    <s v="LDN"/>
    <s v="18CM X 25CM"/>
    <s v="11-12"/>
    <s v="پیور"/>
    <n v="100"/>
    <x v="0"/>
    <n v="2"/>
    <n v="109.6"/>
    <n v="2"/>
    <n v="20"/>
    <x v="0"/>
    <n v="107.6"/>
    <m/>
    <m/>
    <x v="0"/>
    <x v="0"/>
    <n v="0"/>
    <n v="0"/>
    <x v="0"/>
    <x v="0"/>
    <m/>
    <x v="0"/>
    <x v="0"/>
    <x v="0"/>
    <x v="0"/>
    <x v="0"/>
    <n v="0"/>
    <n v="0"/>
    <n v="0"/>
    <n v="12"/>
    <x v="1"/>
    <x v="0"/>
    <n v="2150.5"/>
    <x v="0"/>
    <n v="109.6"/>
    <x v="0"/>
    <x v="3"/>
    <x v="0"/>
    <x v="0"/>
    <x v="0"/>
  </r>
  <r>
    <x v="1"/>
    <x v="0"/>
    <s v="3940 J"/>
    <x v="78"/>
    <s v="Perfect Food Industry LHR"/>
    <s v="LDN"/>
    <s v="20CM X 26CM"/>
    <s v="11-12"/>
    <s v="پیور"/>
    <n v="100"/>
    <x v="0"/>
    <n v="2"/>
    <n v="103.19999999999999"/>
    <n v="2"/>
    <n v="80"/>
    <x v="0"/>
    <n v="101.19999999999999"/>
    <m/>
    <m/>
    <x v="0"/>
    <x v="0"/>
    <n v="0"/>
    <n v="0"/>
    <x v="0"/>
    <x v="0"/>
    <m/>
    <x v="0"/>
    <x v="0"/>
    <x v="0"/>
    <x v="0"/>
    <x v="0"/>
    <n v="0"/>
    <n v="0"/>
    <n v="0"/>
    <n v="12"/>
    <x v="1"/>
    <x v="0"/>
    <m/>
    <x v="0"/>
    <n v="103.19999999999999"/>
    <x v="0"/>
    <x v="3"/>
    <x v="0"/>
    <x v="0"/>
    <x v="0"/>
  </r>
  <r>
    <x v="1"/>
    <x v="0"/>
    <s v="3513 J"/>
    <x v="78"/>
    <s v="Usman Arif Butt Gujranwala"/>
    <s v="LDN"/>
    <n v="4"/>
    <s v="-"/>
    <s v="پیور"/>
    <n v="500"/>
    <x v="0"/>
    <n v="1"/>
    <n v="55"/>
    <n v="1.2"/>
    <n v="20"/>
    <x v="0"/>
    <n v="53.8"/>
    <m/>
    <m/>
    <x v="0"/>
    <x v="0"/>
    <n v="0"/>
    <n v="0"/>
    <x v="0"/>
    <x v="0"/>
    <m/>
    <x v="0"/>
    <x v="0"/>
    <x v="0"/>
    <x v="0"/>
    <x v="0"/>
    <n v="0"/>
    <n v="0"/>
    <n v="0"/>
    <n v="12"/>
    <x v="1"/>
    <x v="0"/>
    <m/>
    <x v="0"/>
    <n v="55"/>
    <x v="0"/>
    <x v="3"/>
    <x v="0"/>
    <x v="0"/>
    <x v="0"/>
  </r>
  <r>
    <x v="0"/>
    <x v="1"/>
    <s v="3514 J"/>
    <x v="78"/>
    <s v="Usman Arif Butt Gujranwala"/>
    <s v="LDN"/>
    <n v="5"/>
    <s v="-"/>
    <s v="پیور"/>
    <n v="500"/>
    <x v="0"/>
    <n v="2"/>
    <n v="79.599999999999994"/>
    <n v="0.4"/>
    <m/>
    <x v="0"/>
    <n v="79.199999999999989"/>
    <m/>
    <m/>
    <x v="0"/>
    <x v="0"/>
    <n v="0"/>
    <n v="0"/>
    <x v="0"/>
    <x v="0"/>
    <m/>
    <x v="0"/>
    <x v="0"/>
    <x v="0"/>
    <x v="0"/>
    <x v="0"/>
    <n v="0"/>
    <n v="0"/>
    <n v="0"/>
    <n v="12"/>
    <x v="1"/>
    <x v="0"/>
    <m/>
    <x v="0"/>
    <n v="79.599999999999994"/>
    <x v="0"/>
    <x v="3"/>
    <x v="0"/>
    <x v="0"/>
    <x v="0"/>
  </r>
  <r>
    <x v="0"/>
    <x v="1"/>
    <s v="2045 F"/>
    <x v="78"/>
    <s v="Usman Amin"/>
    <s v="LDN"/>
    <s v="10X12+2"/>
    <s v="7-7.5"/>
    <s v="پیور"/>
    <n v="175"/>
    <x v="0"/>
    <n v="4"/>
    <n v="111.80000000000001"/>
    <n v="7.1"/>
    <m/>
    <x v="0"/>
    <n v="104.70000000000002"/>
    <m/>
    <m/>
    <x v="0"/>
    <x v="0"/>
    <n v="0"/>
    <n v="0"/>
    <x v="0"/>
    <x v="0"/>
    <m/>
    <x v="0"/>
    <x v="0"/>
    <x v="0"/>
    <x v="0"/>
    <x v="0"/>
    <n v="0"/>
    <n v="0"/>
    <n v="0"/>
    <n v="12"/>
    <x v="1"/>
    <x v="0"/>
    <m/>
    <x v="0"/>
    <n v="111.80000000000001"/>
    <x v="0"/>
    <x v="3"/>
    <x v="0"/>
    <x v="0"/>
    <x v="0"/>
  </r>
  <r>
    <x v="1"/>
    <x v="1"/>
    <s v="2057 J"/>
    <x v="78"/>
    <s v="فرخ حسین فیبرکس فورٹ عباس"/>
    <s v="HDM"/>
    <s v="18X26"/>
    <s v="7-7.5/14-15"/>
    <s v="جیلانی"/>
    <n v="110"/>
    <x v="0"/>
    <n v="5"/>
    <n v="236.8"/>
    <n v="8"/>
    <m/>
    <x v="0"/>
    <n v="228.8"/>
    <m/>
    <m/>
    <x v="0"/>
    <x v="0"/>
    <n v="0"/>
    <n v="0"/>
    <x v="0"/>
    <x v="0"/>
    <m/>
    <x v="0"/>
    <x v="0"/>
    <x v="0"/>
    <x v="0"/>
    <x v="0"/>
    <n v="0"/>
    <n v="0"/>
    <n v="0"/>
    <n v="12"/>
    <x v="1"/>
    <x v="0"/>
    <m/>
    <x v="0"/>
    <n v="236.8"/>
    <x v="0"/>
    <x v="3"/>
    <x v="0"/>
    <x v="0"/>
    <x v="0"/>
  </r>
  <r>
    <x v="0"/>
    <x v="2"/>
    <s v="3875 J"/>
    <x v="78"/>
    <s v="Umair PP Adda Crown C/O Majest Plastic LHR"/>
    <s v="LDM"/>
    <s v="14X18"/>
    <s v="12-13"/>
    <s v="سپیشل تھینکیو ABA"/>
    <n v="2000"/>
    <x v="0"/>
    <n v="8"/>
    <n v="517.40000000000009"/>
    <n v="17.299999999999997"/>
    <m/>
    <x v="0"/>
    <n v="500.10000000000008"/>
    <m/>
    <m/>
    <x v="0"/>
    <x v="0"/>
    <n v="0"/>
    <n v="0"/>
    <x v="0"/>
    <x v="0"/>
    <m/>
    <x v="0"/>
    <x v="0"/>
    <x v="0"/>
    <x v="0"/>
    <x v="0"/>
    <n v="0"/>
    <n v="0"/>
    <n v="0"/>
    <n v="12"/>
    <x v="1"/>
    <x v="0"/>
    <m/>
    <x v="0"/>
    <n v="517.40000000000009"/>
    <x v="0"/>
    <x v="3"/>
    <x v="0"/>
    <x v="0"/>
    <x v="0"/>
  </r>
  <r>
    <x v="1"/>
    <x v="2"/>
    <s v="3875 J"/>
    <x v="78"/>
    <s v="Umair PP Adda Crown C/O Majest Plastic LHR"/>
    <s v="LDM"/>
    <s v="14X18"/>
    <s v="12-13"/>
    <s v="سپیشل تھینکیو ABA"/>
    <n v="2000"/>
    <x v="0"/>
    <n v="7"/>
    <n v="448.59999999999997"/>
    <n v="16.099999999999998"/>
    <m/>
    <x v="0"/>
    <n v="432.49999999999994"/>
    <m/>
    <n v="25"/>
    <x v="0"/>
    <x v="0"/>
    <n v="25"/>
    <n v="0.41666666666666669"/>
    <x v="0"/>
    <x v="0"/>
    <m/>
    <x v="0"/>
    <x v="0"/>
    <x v="0"/>
    <x v="0"/>
    <x v="0"/>
    <n v="0"/>
    <n v="0"/>
    <n v="0.41666666666666669"/>
    <n v="11.583333333333334"/>
    <x v="1"/>
    <x v="0"/>
    <m/>
    <x v="0"/>
    <n v="448.59999999999997"/>
    <x v="0"/>
    <x v="3"/>
    <x v="0"/>
    <x v="0"/>
    <x v="0"/>
  </r>
  <r>
    <x v="1"/>
    <x v="2"/>
    <s v="3858 J"/>
    <x v="78"/>
    <s v="Berger Paint Lahore"/>
    <s v="LDM"/>
    <s v="18X32"/>
    <s v="-"/>
    <s v="ABA پیور"/>
    <n v="2000"/>
    <x v="0"/>
    <n v="1"/>
    <n v="53.8"/>
    <n v="2.2999999999999998"/>
    <m/>
    <x v="0"/>
    <n v="51.5"/>
    <m/>
    <m/>
    <x v="0"/>
    <x v="0"/>
    <n v="0"/>
    <n v="0"/>
    <x v="0"/>
    <x v="0"/>
    <m/>
    <x v="0"/>
    <x v="0"/>
    <x v="0"/>
    <x v="0"/>
    <x v="0"/>
    <n v="0"/>
    <n v="0"/>
    <n v="0"/>
    <n v="12"/>
    <x v="1"/>
    <x v="0"/>
    <m/>
    <x v="0"/>
    <n v="53.8"/>
    <x v="0"/>
    <x v="3"/>
    <x v="0"/>
    <x v="0"/>
    <x v="0"/>
  </r>
  <r>
    <x v="0"/>
    <x v="4"/>
    <s v="3858 J"/>
    <x v="78"/>
    <s v="Berger Paint Lahore"/>
    <s v="LDM"/>
    <s v="18X32"/>
    <s v="-"/>
    <s v="ABA پیور"/>
    <n v="2000"/>
    <x v="0"/>
    <n v="7"/>
    <n v="539.4"/>
    <n v="15.400000000000002"/>
    <m/>
    <x v="0"/>
    <n v="524"/>
    <m/>
    <m/>
    <x v="0"/>
    <x v="0"/>
    <n v="0"/>
    <n v="0"/>
    <x v="0"/>
    <x v="0"/>
    <n v="65"/>
    <x v="0"/>
    <x v="0"/>
    <x v="0"/>
    <x v="0"/>
    <x v="0"/>
    <n v="65"/>
    <n v="1.0833333333333333"/>
    <n v="1.0833333333333333"/>
    <n v="10.916666666666666"/>
    <x v="1"/>
    <x v="0"/>
    <m/>
    <x v="0"/>
    <n v="539.4"/>
    <x v="0"/>
    <x v="3"/>
    <x v="0"/>
    <x v="0"/>
    <x v="0"/>
  </r>
  <r>
    <x v="1"/>
    <x v="4"/>
    <s v="3875 J"/>
    <x v="78"/>
    <s v="Umair PP Adda Crown C/O Majest Plastic LHR"/>
    <s v="LDM"/>
    <s v="14X18"/>
    <s v="12-13"/>
    <s v="سپیشل تھینکیو ABA"/>
    <n v="2000"/>
    <x v="0"/>
    <n v="9"/>
    <n v="646"/>
    <n v="19.8"/>
    <m/>
    <x v="0"/>
    <n v="626.20000000000005"/>
    <m/>
    <m/>
    <x v="0"/>
    <x v="0"/>
    <n v="0"/>
    <n v="0"/>
    <x v="0"/>
    <x v="0"/>
    <m/>
    <x v="0"/>
    <x v="0"/>
    <x v="0"/>
    <x v="7"/>
    <x v="0"/>
    <n v="65"/>
    <n v="1.0833333333333333"/>
    <n v="1.0833333333333333"/>
    <n v="10.916666666666666"/>
    <x v="1"/>
    <x v="0"/>
    <m/>
    <x v="0"/>
    <n v="646"/>
    <x v="0"/>
    <x v="3"/>
    <x v="0"/>
    <x v="0"/>
    <x v="0"/>
  </r>
  <r>
    <x v="0"/>
    <x v="5"/>
    <s v="2039 F"/>
    <x v="78"/>
    <s v="Usman Amin"/>
    <s v="LDN"/>
    <s v="14X17.75+2.25"/>
    <s v="12"/>
    <s v="پیور"/>
    <n v="500"/>
    <x v="0"/>
    <n v="1"/>
    <n v="93.3"/>
    <n v="2.2000000000000002"/>
    <m/>
    <x v="0"/>
    <n v="91.1"/>
    <m/>
    <m/>
    <x v="0"/>
    <x v="0"/>
    <n v="0"/>
    <n v="0"/>
    <x v="0"/>
    <x v="0"/>
    <m/>
    <x v="0"/>
    <x v="0"/>
    <x v="0"/>
    <x v="0"/>
    <x v="0"/>
    <n v="0"/>
    <n v="0"/>
    <n v="0"/>
    <n v="12"/>
    <x v="1"/>
    <x v="0"/>
    <m/>
    <x v="0"/>
    <n v="93.3"/>
    <x v="0"/>
    <x v="3"/>
    <x v="0"/>
    <x v="0"/>
    <x v="0"/>
  </r>
  <r>
    <x v="0"/>
    <x v="5"/>
    <s v="3862 J"/>
    <x v="78"/>
    <s v="Jhangir Hussain Gudam Leager HD"/>
    <s v="LDN"/>
    <s v="10X16+2"/>
    <s v="3.5-4/7-8"/>
    <s v="پیور"/>
    <n v="100"/>
    <x v="0"/>
    <n v="2"/>
    <n v="106.69999999999999"/>
    <n v="4.2"/>
    <m/>
    <x v="0"/>
    <n v="102.49999999999999"/>
    <m/>
    <m/>
    <x v="0"/>
    <x v="0"/>
    <n v="0"/>
    <n v="0"/>
    <x v="0"/>
    <x v="0"/>
    <m/>
    <x v="0"/>
    <x v="0"/>
    <x v="0"/>
    <x v="0"/>
    <x v="0"/>
    <n v="0"/>
    <n v="0"/>
    <n v="0"/>
    <n v="12"/>
    <x v="1"/>
    <x v="0"/>
    <m/>
    <x v="0"/>
    <n v="106.69999999999999"/>
    <x v="0"/>
    <x v="3"/>
    <x v="0"/>
    <x v="0"/>
    <x v="0"/>
  </r>
  <r>
    <x v="0"/>
    <x v="5"/>
    <s v="3861 J"/>
    <x v="78"/>
    <s v="Jhangir Hussain Gudam Leager HD"/>
    <s v="LDN"/>
    <s v="9X14+2"/>
    <s v="3.5-4/7-8"/>
    <s v="پیور"/>
    <n v="100"/>
    <x v="0"/>
    <n v="3"/>
    <n v="99.77"/>
    <n v="6.2"/>
    <m/>
    <x v="0"/>
    <n v="93.57"/>
    <m/>
    <m/>
    <x v="0"/>
    <x v="0"/>
    <n v="0"/>
    <n v="0"/>
    <x v="0"/>
    <x v="0"/>
    <m/>
    <x v="0"/>
    <x v="0"/>
    <x v="0"/>
    <x v="0"/>
    <x v="0"/>
    <n v="0"/>
    <n v="0"/>
    <n v="0"/>
    <n v="12"/>
    <x v="1"/>
    <x v="0"/>
    <m/>
    <x v="0"/>
    <n v="99.77"/>
    <x v="0"/>
    <x v="3"/>
    <x v="0"/>
    <x v="0"/>
    <x v="0"/>
  </r>
  <r>
    <x v="0"/>
    <x v="5"/>
    <s v="2042 F"/>
    <x v="78"/>
    <s v="Usman Amin"/>
    <s v="LDN"/>
    <s v="12X14.5+3"/>
    <s v="5-5.5"/>
    <s v="پیور"/>
    <n v="22"/>
    <x v="0"/>
    <n v="2"/>
    <n v="62.88"/>
    <n v="4"/>
    <m/>
    <x v="0"/>
    <n v="58.88"/>
    <m/>
    <m/>
    <x v="0"/>
    <x v="0"/>
    <n v="0"/>
    <n v="0"/>
    <x v="0"/>
    <x v="0"/>
    <m/>
    <x v="0"/>
    <x v="0"/>
    <x v="0"/>
    <x v="0"/>
    <x v="0"/>
    <n v="0"/>
    <n v="0"/>
    <n v="0"/>
    <n v="12"/>
    <x v="1"/>
    <x v="0"/>
    <m/>
    <x v="0"/>
    <n v="62.88"/>
    <x v="0"/>
    <x v="3"/>
    <x v="0"/>
    <x v="0"/>
    <x v="0"/>
  </r>
  <r>
    <x v="0"/>
    <x v="5"/>
    <s v="2054 F"/>
    <x v="78"/>
    <s v="Usman Amin"/>
    <s v="LDN"/>
    <s v="15X18+2"/>
    <s v="5.5-6"/>
    <s v="جیلانی شیٹ"/>
    <n v="415"/>
    <x v="0"/>
    <n v="1"/>
    <n v="36.200000000000003"/>
    <n v="2.2999999999999998"/>
    <m/>
    <x v="0"/>
    <n v="33.900000000000006"/>
    <m/>
    <m/>
    <x v="0"/>
    <x v="0"/>
    <n v="0"/>
    <n v="0"/>
    <x v="0"/>
    <x v="0"/>
    <m/>
    <x v="0"/>
    <x v="0"/>
    <x v="0"/>
    <x v="0"/>
    <x v="0"/>
    <n v="0"/>
    <n v="0"/>
    <n v="0"/>
    <n v="12"/>
    <x v="1"/>
    <x v="0"/>
    <m/>
    <x v="0"/>
    <n v="36.200000000000003"/>
    <x v="0"/>
    <x v="3"/>
    <x v="0"/>
    <x v="0"/>
    <x v="0"/>
  </r>
  <r>
    <x v="1"/>
    <x v="5"/>
    <s v="2054 F"/>
    <x v="78"/>
    <s v="Usman Amin"/>
    <s v="LDN"/>
    <s v="15X18+2"/>
    <s v="5.5-6"/>
    <s v="جیلانی شیٹ"/>
    <n v="415"/>
    <x v="0"/>
    <n v="9"/>
    <n v="356.5"/>
    <n v="21.6"/>
    <m/>
    <x v="0"/>
    <n v="334.9"/>
    <m/>
    <m/>
    <x v="0"/>
    <x v="0"/>
    <n v="0"/>
    <n v="0"/>
    <x v="0"/>
    <x v="0"/>
    <m/>
    <x v="0"/>
    <x v="0"/>
    <x v="0"/>
    <x v="0"/>
    <x v="0"/>
    <n v="0"/>
    <n v="0"/>
    <n v="0"/>
    <n v="12"/>
    <x v="1"/>
    <x v="0"/>
    <m/>
    <x v="0"/>
    <n v="356.5"/>
    <x v="0"/>
    <x v="3"/>
    <x v="0"/>
    <x v="0"/>
    <x v="0"/>
  </r>
  <r>
    <x v="0"/>
    <x v="0"/>
    <s v="3513 J"/>
    <x v="79"/>
    <s v="Usman Arif Butt Gujranwala"/>
    <s v="LDN"/>
    <n v="4"/>
    <s v="-"/>
    <s v="پیور"/>
    <n v="500"/>
    <x v="0"/>
    <n v="2"/>
    <n v="135.22"/>
    <n v="1.6"/>
    <n v="6"/>
    <x v="0"/>
    <n v="133.62"/>
    <m/>
    <m/>
    <x v="0"/>
    <x v="0"/>
    <n v="0"/>
    <n v="0"/>
    <x v="0"/>
    <x v="0"/>
    <m/>
    <x v="0"/>
    <x v="0"/>
    <x v="0"/>
    <x v="0"/>
    <x v="0"/>
    <n v="0"/>
    <n v="0"/>
    <n v="0"/>
    <n v="12"/>
    <x v="1"/>
    <x v="0"/>
    <n v="2543"/>
    <x v="0"/>
    <n v="135.22"/>
    <x v="0"/>
    <x v="3"/>
    <x v="0"/>
    <x v="0"/>
    <x v="0"/>
  </r>
  <r>
    <x v="1"/>
    <x v="0"/>
    <s v="3513 J"/>
    <x v="79"/>
    <s v="Usman Arif Butt Gujranwala"/>
    <s v="LDN"/>
    <n v="4"/>
    <s v="-"/>
    <s v="پیور"/>
    <n v="500"/>
    <x v="0"/>
    <n v="3"/>
    <n v="127.39999999999999"/>
    <n v="3.5999999999999996"/>
    <m/>
    <x v="0"/>
    <n v="123.8"/>
    <m/>
    <m/>
    <x v="0"/>
    <x v="0"/>
    <n v="0"/>
    <n v="0"/>
    <x v="0"/>
    <x v="0"/>
    <m/>
    <x v="0"/>
    <x v="0"/>
    <x v="0"/>
    <x v="0"/>
    <x v="0"/>
    <n v="0"/>
    <n v="0"/>
    <n v="0"/>
    <n v="12"/>
    <x v="1"/>
    <x v="0"/>
    <m/>
    <x v="0"/>
    <n v="127.39999999999999"/>
    <x v="0"/>
    <x v="3"/>
    <x v="0"/>
    <x v="0"/>
    <x v="0"/>
  </r>
  <r>
    <x v="0"/>
    <x v="1"/>
    <s v="2057 F"/>
    <x v="79"/>
    <s v="Usman Amin"/>
    <s v="LDN"/>
    <s v="10X13+2"/>
    <s v="12"/>
    <s v="پیور"/>
    <n v="300"/>
    <x v="0"/>
    <n v="2"/>
    <n v="81"/>
    <n v="3.6"/>
    <m/>
    <x v="0"/>
    <n v="77.400000000000006"/>
    <m/>
    <m/>
    <x v="0"/>
    <x v="0"/>
    <n v="0"/>
    <n v="0"/>
    <x v="0"/>
    <x v="0"/>
    <m/>
    <x v="0"/>
    <x v="0"/>
    <x v="0"/>
    <x v="0"/>
    <x v="0"/>
    <n v="0"/>
    <n v="0"/>
    <n v="0"/>
    <n v="12"/>
    <x v="1"/>
    <x v="0"/>
    <m/>
    <x v="0"/>
    <n v="81"/>
    <x v="0"/>
    <x v="3"/>
    <x v="0"/>
    <x v="0"/>
    <x v="0"/>
  </r>
  <r>
    <x v="0"/>
    <x v="1"/>
    <s v="3947 J"/>
    <x v="79"/>
    <s v="Atlas Honda LTD (SKP)"/>
    <s v="LDN"/>
    <s v="4X7"/>
    <s v="10-10.5"/>
    <s v="پیور"/>
    <n v="20"/>
    <x v="0"/>
    <n v="1"/>
    <n v="63.8"/>
    <n v="1.8"/>
    <m/>
    <x v="0"/>
    <n v="62"/>
    <m/>
    <m/>
    <x v="0"/>
    <x v="0"/>
    <n v="0"/>
    <n v="0"/>
    <x v="0"/>
    <x v="0"/>
    <m/>
    <x v="0"/>
    <x v="0"/>
    <x v="0"/>
    <x v="0"/>
    <x v="0"/>
    <n v="0"/>
    <n v="0"/>
    <n v="0"/>
    <n v="12"/>
    <x v="1"/>
    <x v="0"/>
    <m/>
    <x v="0"/>
    <n v="63.8"/>
    <x v="0"/>
    <x v="3"/>
    <x v="0"/>
    <x v="0"/>
    <x v="0"/>
  </r>
  <r>
    <x v="0"/>
    <x v="1"/>
    <s v="3946 J"/>
    <x v="79"/>
    <s v="Atlas Honda LTD Krachi"/>
    <s v="LDN"/>
    <s v="4X7"/>
    <s v="10-10.5"/>
    <s v="پیور"/>
    <s v="-"/>
    <x v="0"/>
    <n v="2"/>
    <n v="91.6"/>
    <n v="3.6"/>
    <m/>
    <x v="0"/>
    <n v="88"/>
    <m/>
    <m/>
    <x v="0"/>
    <x v="0"/>
    <n v="0"/>
    <n v="0"/>
    <x v="0"/>
    <x v="0"/>
    <m/>
    <x v="0"/>
    <x v="0"/>
    <x v="0"/>
    <x v="0"/>
    <x v="0"/>
    <n v="0"/>
    <n v="0"/>
    <n v="0"/>
    <n v="12"/>
    <x v="1"/>
    <x v="0"/>
    <m/>
    <x v="0"/>
    <n v="91.6"/>
    <x v="0"/>
    <x v="3"/>
    <x v="0"/>
    <x v="0"/>
    <x v="0"/>
  </r>
  <r>
    <x v="1"/>
    <x v="1"/>
    <s v="3953 J"/>
    <x v="79"/>
    <s v="Atlas Honda LTD (SKP)"/>
    <s v="LDN"/>
    <s v="6X12"/>
    <s v="8.5-9"/>
    <s v="پیور"/>
    <n v="155"/>
    <x v="0"/>
    <n v="2"/>
    <n v="117.8"/>
    <n v="3"/>
    <n v="15"/>
    <x v="0"/>
    <n v="114.8"/>
    <m/>
    <m/>
    <x v="0"/>
    <x v="0"/>
    <n v="0"/>
    <n v="0"/>
    <x v="0"/>
    <x v="0"/>
    <m/>
    <x v="0"/>
    <x v="0"/>
    <x v="0"/>
    <x v="0"/>
    <x v="0"/>
    <n v="0"/>
    <n v="0"/>
    <n v="0"/>
    <n v="12"/>
    <x v="1"/>
    <x v="0"/>
    <m/>
    <x v="0"/>
    <n v="117.8"/>
    <x v="0"/>
    <x v="3"/>
    <x v="0"/>
    <x v="0"/>
    <x v="0"/>
  </r>
  <r>
    <x v="1"/>
    <x v="1"/>
    <s v="3951 J"/>
    <x v="79"/>
    <s v="Atlas Honda LTD (SKP)"/>
    <s v="LDN"/>
    <s v="5X16"/>
    <s v="12.5-13"/>
    <s v="پیور"/>
    <n v="188"/>
    <x v="0"/>
    <n v="3"/>
    <n v="151"/>
    <n v="5.6999999999999993"/>
    <m/>
    <x v="0"/>
    <n v="145.30000000000001"/>
    <m/>
    <m/>
    <x v="0"/>
    <x v="0"/>
    <n v="0"/>
    <n v="0"/>
    <x v="0"/>
    <x v="0"/>
    <m/>
    <x v="0"/>
    <x v="0"/>
    <x v="0"/>
    <x v="0"/>
    <x v="0"/>
    <n v="0"/>
    <n v="0"/>
    <n v="0"/>
    <n v="12"/>
    <x v="1"/>
    <x v="0"/>
    <m/>
    <x v="0"/>
    <n v="151"/>
    <x v="0"/>
    <x v="3"/>
    <x v="0"/>
    <x v="0"/>
    <x v="0"/>
  </r>
  <r>
    <x v="0"/>
    <x v="2"/>
    <s v="3858 J"/>
    <x v="79"/>
    <s v="Berger Paint Lahore"/>
    <s v="LDM"/>
    <s v="18X32"/>
    <s v="-"/>
    <s v="ABA پیور"/>
    <n v="2000"/>
    <x v="0"/>
    <n v="4"/>
    <n v="402"/>
    <n v="8.9"/>
    <m/>
    <x v="0"/>
    <n v="393.1"/>
    <m/>
    <m/>
    <x v="0"/>
    <x v="0"/>
    <n v="0"/>
    <n v="0"/>
    <x v="0"/>
    <x v="0"/>
    <m/>
    <x v="0"/>
    <x v="0"/>
    <x v="0"/>
    <x v="0"/>
    <x v="0"/>
    <n v="0"/>
    <n v="0"/>
    <n v="0"/>
    <n v="12"/>
    <x v="1"/>
    <x v="0"/>
    <m/>
    <x v="0"/>
    <n v="402"/>
    <x v="0"/>
    <x v="3"/>
    <x v="0"/>
    <x v="0"/>
    <x v="0"/>
  </r>
  <r>
    <x v="1"/>
    <x v="2"/>
    <s v="3858 J"/>
    <x v="79"/>
    <s v="Berger Paint Lahore"/>
    <s v="LDM"/>
    <s v="18X32"/>
    <s v="-"/>
    <s v="ABA پیور"/>
    <n v="2000"/>
    <x v="0"/>
    <n v="4"/>
    <n v="484.6"/>
    <n v="9.1999999999999993"/>
    <n v="10"/>
    <x v="0"/>
    <n v="475.40000000000003"/>
    <m/>
    <m/>
    <x v="0"/>
    <x v="0"/>
    <n v="0"/>
    <n v="0"/>
    <x v="0"/>
    <x v="0"/>
    <m/>
    <x v="0"/>
    <x v="0"/>
    <x v="0"/>
    <x v="0"/>
    <x v="0"/>
    <n v="0"/>
    <n v="0"/>
    <n v="0"/>
    <n v="12"/>
    <x v="1"/>
    <x v="0"/>
    <m/>
    <x v="0"/>
    <n v="484.6"/>
    <x v="0"/>
    <x v="3"/>
    <x v="0"/>
    <x v="0"/>
    <x v="0"/>
  </r>
  <r>
    <x v="1"/>
    <x v="3"/>
    <s v="2784/1"/>
    <x v="79"/>
    <s v="SITARA CHEMICAL IND (PVT) LTD"/>
    <s v="LDN"/>
    <s v="24X38"/>
    <s v="100 G"/>
    <s v="SL"/>
    <n v="3000"/>
    <x v="0"/>
    <n v="4"/>
    <n v="431"/>
    <n v="12"/>
    <n v="15"/>
    <x v="0"/>
    <n v="419"/>
    <m/>
    <m/>
    <x v="0"/>
    <x v="1"/>
    <n v="60"/>
    <n v="1"/>
    <x v="0"/>
    <x v="0"/>
    <m/>
    <x v="0"/>
    <x v="0"/>
    <x v="0"/>
    <x v="0"/>
    <x v="0"/>
    <n v="0"/>
    <n v="0"/>
    <n v="1"/>
    <n v="11"/>
    <x v="1"/>
    <x v="0"/>
    <m/>
    <x v="0"/>
    <n v="431"/>
    <x v="0"/>
    <x v="3"/>
    <x v="0"/>
    <x v="0"/>
    <x v="0"/>
  </r>
  <r>
    <x v="0"/>
    <x v="4"/>
    <s v="3875 J"/>
    <x v="79"/>
    <s v="Umair PP Adda Crown C/O Majest Plastic LHR"/>
    <s v="LDM"/>
    <s v="14X18"/>
    <s v="12-13"/>
    <s v="سپیشل تھینکیو ABA"/>
    <n v="2000"/>
    <x v="0"/>
    <n v="6"/>
    <n v="398.8"/>
    <n v="13.200000000000001"/>
    <n v="28"/>
    <x v="0"/>
    <n v="385.6"/>
    <m/>
    <n v="3"/>
    <x v="0"/>
    <x v="0"/>
    <n v="3"/>
    <n v="0.05"/>
    <x v="0"/>
    <x v="0"/>
    <m/>
    <x v="3"/>
    <x v="0"/>
    <x v="0"/>
    <x v="0"/>
    <x v="0"/>
    <n v="7"/>
    <n v="0.11666666666666667"/>
    <n v="0.16666666666666669"/>
    <n v="11.833333333333334"/>
    <x v="1"/>
    <x v="0"/>
    <m/>
    <x v="0"/>
    <n v="398.8"/>
    <x v="0"/>
    <x v="3"/>
    <x v="0"/>
    <x v="0"/>
    <x v="0"/>
  </r>
  <r>
    <x v="0"/>
    <x v="4"/>
    <s v="3877 J"/>
    <x v="79"/>
    <s v="Umair PP Adda Crown C/O Majest Plastic LHR"/>
    <s v="LDM"/>
    <s v="14X18"/>
    <s v="12-13"/>
    <s v="سپیشل تھینکیو ABA"/>
    <n v="250"/>
    <x v="0"/>
    <n v="4"/>
    <n v="252.20000000000005"/>
    <n v="8.8000000000000007"/>
    <m/>
    <x v="0"/>
    <n v="243.40000000000003"/>
    <m/>
    <n v="2"/>
    <x v="0"/>
    <x v="0"/>
    <n v="2"/>
    <n v="3.3333333333333333E-2"/>
    <x v="0"/>
    <x v="0"/>
    <m/>
    <x v="6"/>
    <x v="0"/>
    <x v="0"/>
    <x v="0"/>
    <x v="0"/>
    <n v="8"/>
    <n v="0.13333333333333333"/>
    <n v="0.16666666666666666"/>
    <n v="11.833333333333334"/>
    <x v="1"/>
    <x v="0"/>
    <m/>
    <x v="0"/>
    <n v="252.20000000000005"/>
    <x v="0"/>
    <x v="3"/>
    <x v="0"/>
    <x v="0"/>
    <x v="0"/>
  </r>
  <r>
    <x v="0"/>
    <x v="4"/>
    <s v="3878 J"/>
    <x v="79"/>
    <s v="Umair PP Adda Crown C/O Majest Plastic LHR"/>
    <s v="LDM"/>
    <s v="16X22"/>
    <s v="12-13"/>
    <s v="سپیشل تھینکیو ABA"/>
    <n v="150"/>
    <x v="0"/>
    <n v="3"/>
    <n v="151"/>
    <n v="7.1999999999999993"/>
    <m/>
    <x v="0"/>
    <n v="143.80000000000001"/>
    <m/>
    <m/>
    <x v="0"/>
    <x v="0"/>
    <n v="0"/>
    <n v="0"/>
    <x v="0"/>
    <x v="0"/>
    <m/>
    <x v="0"/>
    <x v="0"/>
    <x v="0"/>
    <x v="0"/>
    <x v="0"/>
    <n v="0"/>
    <n v="0"/>
    <n v="0"/>
    <n v="12"/>
    <x v="1"/>
    <x v="0"/>
    <m/>
    <x v="0"/>
    <n v="151"/>
    <x v="0"/>
    <x v="3"/>
    <x v="0"/>
    <x v="0"/>
    <x v="0"/>
  </r>
  <r>
    <x v="1"/>
    <x v="4"/>
    <s v="3874 J"/>
    <x v="79"/>
    <s v="Umair PP Adda Crown C/O Majest Plastic LHR"/>
    <s v="LDM"/>
    <s v="12X16"/>
    <s v="12-13"/>
    <s v="سپیشل تھینکیو ABA"/>
    <n v="1000"/>
    <x v="0"/>
    <n v="13"/>
    <n v="750.3"/>
    <n v="26"/>
    <n v="10"/>
    <x v="0"/>
    <n v="724.3"/>
    <m/>
    <m/>
    <x v="0"/>
    <x v="0"/>
    <n v="0"/>
    <n v="0"/>
    <x v="0"/>
    <x v="0"/>
    <m/>
    <x v="0"/>
    <x v="0"/>
    <x v="0"/>
    <x v="0"/>
    <x v="0"/>
    <n v="0"/>
    <n v="0"/>
    <n v="0"/>
    <n v="12"/>
    <x v="1"/>
    <x v="0"/>
    <m/>
    <x v="0"/>
    <n v="750.3"/>
    <x v="0"/>
    <x v="3"/>
    <x v="0"/>
    <x v="0"/>
    <x v="0"/>
  </r>
  <r>
    <x v="0"/>
    <x v="5"/>
    <s v="2054 F"/>
    <x v="79"/>
    <s v="Usman Amin"/>
    <s v="LDN"/>
    <s v="15X18+2"/>
    <s v="5.5-6"/>
    <s v="جیلانی شیٹ"/>
    <n v="415"/>
    <x v="0"/>
    <n v="1"/>
    <n v="41.98"/>
    <n v="2.4"/>
    <n v="7"/>
    <x v="0"/>
    <n v="39.58"/>
    <m/>
    <m/>
    <x v="0"/>
    <x v="0"/>
    <n v="0"/>
    <n v="0"/>
    <x v="0"/>
    <x v="0"/>
    <m/>
    <x v="0"/>
    <x v="0"/>
    <x v="0"/>
    <x v="0"/>
    <x v="0"/>
    <n v="0"/>
    <n v="0"/>
    <n v="0"/>
    <n v="12"/>
    <x v="1"/>
    <x v="0"/>
    <m/>
    <x v="0"/>
    <n v="41.98"/>
    <x v="0"/>
    <x v="3"/>
    <x v="0"/>
    <x v="0"/>
    <x v="0"/>
  </r>
  <r>
    <x v="0"/>
    <x v="5"/>
    <s v="2062 F"/>
    <x v="79"/>
    <s v="Usman Amin"/>
    <s v="LDN"/>
    <s v="14X18+2"/>
    <s v="12"/>
    <s v="جیلانی شیٹ"/>
    <n v="140"/>
    <x v="0"/>
    <n v="3"/>
    <n v="148.60000000000002"/>
    <n v="7.1999999999999993"/>
    <m/>
    <x v="0"/>
    <n v="141.40000000000003"/>
    <m/>
    <m/>
    <x v="0"/>
    <x v="0"/>
    <n v="0"/>
    <n v="0"/>
    <x v="0"/>
    <x v="0"/>
    <m/>
    <x v="0"/>
    <x v="0"/>
    <x v="0"/>
    <x v="0"/>
    <x v="0"/>
    <n v="0"/>
    <n v="0"/>
    <n v="0"/>
    <n v="12"/>
    <x v="1"/>
    <x v="0"/>
    <m/>
    <x v="0"/>
    <n v="148.60000000000002"/>
    <x v="0"/>
    <x v="3"/>
    <x v="0"/>
    <x v="0"/>
    <x v="0"/>
  </r>
  <r>
    <x v="0"/>
    <x v="5"/>
    <s v="2064 F"/>
    <x v="79"/>
    <s v="Usman Amin"/>
    <s v="LDN"/>
    <s v="12X16+2"/>
    <s v="12"/>
    <s v="جیلانی شیٹ"/>
    <n v="70"/>
    <x v="0"/>
    <n v="1"/>
    <n v="70.099999999999994"/>
    <n v="2"/>
    <m/>
    <x v="0"/>
    <n v="68.099999999999994"/>
    <m/>
    <m/>
    <x v="0"/>
    <x v="0"/>
    <n v="0"/>
    <n v="0"/>
    <x v="0"/>
    <x v="0"/>
    <m/>
    <x v="0"/>
    <x v="0"/>
    <x v="0"/>
    <x v="0"/>
    <x v="0"/>
    <n v="0"/>
    <n v="0"/>
    <n v="0"/>
    <n v="12"/>
    <x v="1"/>
    <x v="0"/>
    <m/>
    <x v="0"/>
    <n v="70.099999999999994"/>
    <x v="0"/>
    <x v="3"/>
    <x v="0"/>
    <x v="0"/>
    <x v="0"/>
  </r>
  <r>
    <x v="0"/>
    <x v="5"/>
    <s v="2063 F"/>
    <x v="79"/>
    <s v="Usman Amin"/>
    <s v="LDN"/>
    <s v="12X16+2"/>
    <s v="12"/>
    <s v="جیلانی شیٹ"/>
    <n v="75"/>
    <x v="0"/>
    <n v="1"/>
    <n v="77.3"/>
    <n v="2.2000000000000002"/>
    <m/>
    <x v="0"/>
    <n v="75.099999999999994"/>
    <m/>
    <m/>
    <x v="0"/>
    <x v="0"/>
    <n v="0"/>
    <n v="0"/>
    <x v="0"/>
    <x v="0"/>
    <m/>
    <x v="0"/>
    <x v="0"/>
    <x v="0"/>
    <x v="0"/>
    <x v="0"/>
    <n v="0"/>
    <n v="0"/>
    <n v="0"/>
    <n v="12"/>
    <x v="1"/>
    <x v="0"/>
    <m/>
    <x v="0"/>
    <n v="77.3"/>
    <x v="0"/>
    <x v="3"/>
    <x v="0"/>
    <x v="0"/>
    <x v="0"/>
  </r>
  <r>
    <x v="1"/>
    <x v="5"/>
    <s v="2061 F"/>
    <x v="79"/>
    <s v="Usman Amin"/>
    <s v="LDN"/>
    <s v="12X16+2"/>
    <s v="12"/>
    <s v="جیلانی شیٹ"/>
    <n v="60"/>
    <x v="0"/>
    <n v="1"/>
    <n v="76.599999999999994"/>
    <n v="2"/>
    <n v="20"/>
    <x v="0"/>
    <n v="74.599999999999994"/>
    <m/>
    <m/>
    <x v="0"/>
    <x v="0"/>
    <n v="0"/>
    <n v="0"/>
    <x v="0"/>
    <x v="0"/>
    <m/>
    <x v="0"/>
    <x v="0"/>
    <x v="0"/>
    <x v="0"/>
    <x v="0"/>
    <n v="0"/>
    <n v="0"/>
    <n v="0"/>
    <n v="12"/>
    <x v="1"/>
    <x v="0"/>
    <m/>
    <x v="0"/>
    <n v="76.599999999999994"/>
    <x v="0"/>
    <x v="3"/>
    <x v="0"/>
    <x v="0"/>
    <x v="0"/>
  </r>
  <r>
    <x v="1"/>
    <x v="5"/>
    <s v="2053 F"/>
    <x v="79"/>
    <s v="Usman Amin"/>
    <s v="LDN"/>
    <s v="13X17+2"/>
    <s v="5.5-6"/>
    <s v="جیلانی شیٹ"/>
    <n v="100"/>
    <x v="0"/>
    <n v="3"/>
    <n v="106.5"/>
    <n v="6"/>
    <m/>
    <x v="0"/>
    <n v="100.5"/>
    <m/>
    <m/>
    <x v="0"/>
    <x v="0"/>
    <n v="0"/>
    <n v="0"/>
    <x v="0"/>
    <x v="0"/>
    <m/>
    <x v="0"/>
    <x v="0"/>
    <x v="0"/>
    <x v="0"/>
    <x v="0"/>
    <n v="0"/>
    <n v="0"/>
    <n v="0"/>
    <n v="12"/>
    <x v="1"/>
    <x v="0"/>
    <m/>
    <x v="0"/>
    <n v="106.5"/>
    <x v="0"/>
    <x v="3"/>
    <x v="0"/>
    <x v="0"/>
    <x v="0"/>
  </r>
  <r>
    <x v="1"/>
    <x v="5"/>
    <s v="2067 F"/>
    <x v="79"/>
    <s v="Usman Amin"/>
    <s v="LDN"/>
    <s v="14X17+2"/>
    <s v="7-7.5"/>
    <s v="پیور"/>
    <n v="70"/>
    <x v="0"/>
    <n v="3"/>
    <n v="153.60000000000002"/>
    <n v="6"/>
    <m/>
    <x v="0"/>
    <n v="147.60000000000002"/>
    <m/>
    <m/>
    <x v="0"/>
    <x v="0"/>
    <n v="0"/>
    <n v="0"/>
    <x v="0"/>
    <x v="0"/>
    <m/>
    <x v="0"/>
    <x v="0"/>
    <x v="0"/>
    <x v="0"/>
    <x v="0"/>
    <n v="0"/>
    <n v="0"/>
    <n v="0"/>
    <n v="12"/>
    <x v="1"/>
    <x v="0"/>
    <m/>
    <x v="0"/>
    <n v="153.60000000000002"/>
    <x v="0"/>
    <x v="3"/>
    <x v="0"/>
    <x v="0"/>
    <x v="0"/>
  </r>
  <r>
    <x v="1"/>
    <x v="5"/>
    <s v="2058 F"/>
    <x v="79"/>
    <s v="Usman Amin"/>
    <s v="LDN"/>
    <s v="12X16+2"/>
    <s v="12"/>
    <s v="پیور"/>
    <n v="500"/>
    <x v="0"/>
    <n v="1"/>
    <n v="61.8"/>
    <n v="2"/>
    <m/>
    <x v="0"/>
    <n v="59.8"/>
    <m/>
    <m/>
    <x v="0"/>
    <x v="0"/>
    <n v="0"/>
    <n v="0"/>
    <x v="0"/>
    <x v="0"/>
    <m/>
    <x v="0"/>
    <x v="0"/>
    <x v="0"/>
    <x v="0"/>
    <x v="0"/>
    <n v="0"/>
    <n v="0"/>
    <n v="0"/>
    <n v="12"/>
    <x v="1"/>
    <x v="0"/>
    <m/>
    <x v="0"/>
    <n v="61.8"/>
    <x v="0"/>
    <x v="3"/>
    <x v="0"/>
    <x v="0"/>
    <x v="0"/>
  </r>
  <r>
    <x v="0"/>
    <x v="0"/>
    <s v="3513 J"/>
    <x v="80"/>
    <s v="Usman Arif Butt Gujranwala"/>
    <s v="LDN"/>
    <n v="4"/>
    <s v="-"/>
    <s v="پیور"/>
    <n v="500"/>
    <x v="0"/>
    <n v="1"/>
    <n v="51.4"/>
    <n v="1"/>
    <n v="3"/>
    <x v="0"/>
    <n v="50.4"/>
    <m/>
    <n v="5"/>
    <x v="0"/>
    <x v="0"/>
    <n v="5"/>
    <n v="8.3333333333333329E-2"/>
    <x v="0"/>
    <x v="0"/>
    <m/>
    <x v="0"/>
    <x v="0"/>
    <x v="0"/>
    <x v="0"/>
    <x v="0"/>
    <n v="0"/>
    <n v="0"/>
    <n v="8.3333333333333329E-2"/>
    <n v="11.916666666666666"/>
    <x v="1"/>
    <x v="0"/>
    <n v="2090"/>
    <x v="0"/>
    <n v="51.4"/>
    <x v="0"/>
    <x v="3"/>
    <x v="0"/>
    <x v="0"/>
    <x v="0"/>
  </r>
  <r>
    <x v="0"/>
    <x v="0"/>
    <s v="3954 J"/>
    <x v="80"/>
    <s v="Atlas Honda LTD (SKP)"/>
    <s v="LDN"/>
    <n v="8"/>
    <s v="8.5-9"/>
    <s v="پیور"/>
    <n v="222"/>
    <x v="0"/>
    <n v="2"/>
    <n v="90.6"/>
    <n v="2"/>
    <m/>
    <x v="0"/>
    <n v="88.6"/>
    <m/>
    <m/>
    <x v="0"/>
    <x v="0"/>
    <n v="0"/>
    <n v="0"/>
    <x v="0"/>
    <x v="0"/>
    <m/>
    <x v="0"/>
    <x v="0"/>
    <x v="0"/>
    <x v="0"/>
    <x v="0"/>
    <n v="0"/>
    <n v="0"/>
    <n v="0"/>
    <n v="12"/>
    <x v="1"/>
    <x v="0"/>
    <m/>
    <x v="0"/>
    <n v="90.6"/>
    <x v="0"/>
    <x v="3"/>
    <x v="0"/>
    <x v="0"/>
    <x v="0"/>
  </r>
  <r>
    <x v="1"/>
    <x v="0"/>
    <s v="3954 J"/>
    <x v="80"/>
    <s v="Atlas Honda LTD (SKP)"/>
    <s v="LDN"/>
    <n v="8"/>
    <s v="8.5-9"/>
    <s v="پیور"/>
    <n v="222"/>
    <x v="0"/>
    <n v="3"/>
    <n v="163.4"/>
    <n v="3"/>
    <n v="5"/>
    <x v="0"/>
    <n v="160.4"/>
    <m/>
    <m/>
    <x v="0"/>
    <x v="0"/>
    <n v="0"/>
    <n v="0"/>
    <x v="0"/>
    <x v="0"/>
    <m/>
    <x v="0"/>
    <x v="0"/>
    <x v="0"/>
    <x v="0"/>
    <x v="0"/>
    <n v="0"/>
    <n v="0"/>
    <n v="0"/>
    <n v="12"/>
    <x v="1"/>
    <x v="0"/>
    <m/>
    <x v="0"/>
    <n v="163.4"/>
    <x v="0"/>
    <x v="3"/>
    <x v="0"/>
    <x v="0"/>
    <x v="0"/>
  </r>
  <r>
    <x v="0"/>
    <x v="1"/>
    <s v="3950 J"/>
    <x v="80"/>
    <s v="Atlas Honda LTD (SKP)"/>
    <s v="LDN"/>
    <n v="16"/>
    <s v="14-14.5"/>
    <s v="پیور"/>
    <n v="85"/>
    <x v="0"/>
    <n v="2"/>
    <n v="119.4"/>
    <n v="3.8"/>
    <n v="10"/>
    <x v="0"/>
    <n v="115.60000000000001"/>
    <m/>
    <n v="5"/>
    <x v="0"/>
    <x v="0"/>
    <n v="5"/>
    <n v="8.3333333333333329E-2"/>
    <x v="0"/>
    <x v="0"/>
    <n v="45"/>
    <x v="0"/>
    <x v="0"/>
    <x v="0"/>
    <x v="0"/>
    <x v="0"/>
    <n v="45"/>
    <n v="0.75"/>
    <n v="0.83333333333333337"/>
    <n v="11.166666666666666"/>
    <x v="1"/>
    <x v="0"/>
    <m/>
    <x v="0"/>
    <n v="119.4"/>
    <x v="0"/>
    <x v="3"/>
    <x v="0"/>
    <x v="0"/>
    <x v="0"/>
  </r>
  <r>
    <x v="0"/>
    <x v="1"/>
    <s v="3951 J"/>
    <x v="80"/>
    <s v="Atlas Honda LTD (SKP)"/>
    <s v="LDN"/>
    <n v="16"/>
    <s v="12.5-13"/>
    <s v="پیور"/>
    <n v="188"/>
    <x v="0"/>
    <n v="1"/>
    <n v="48"/>
    <n v="2"/>
    <m/>
    <x v="0"/>
    <n v="46"/>
    <m/>
    <n v="5"/>
    <x v="0"/>
    <x v="0"/>
    <n v="5"/>
    <n v="8.3333333333333329E-2"/>
    <x v="0"/>
    <x v="0"/>
    <m/>
    <x v="0"/>
    <x v="0"/>
    <x v="0"/>
    <x v="0"/>
    <x v="0"/>
    <n v="0"/>
    <n v="0"/>
    <n v="8.3333333333333329E-2"/>
    <n v="11.916666666666666"/>
    <x v="1"/>
    <x v="0"/>
    <m/>
    <x v="0"/>
    <n v="48"/>
    <x v="0"/>
    <x v="3"/>
    <x v="0"/>
    <x v="0"/>
    <x v="0"/>
  </r>
  <r>
    <x v="0"/>
    <x v="1"/>
    <s v="3952 J"/>
    <x v="80"/>
    <s v="Atlas Honda LTD (SKP)"/>
    <s v="LDN"/>
    <n v="10"/>
    <s v="9.5-10"/>
    <s v="پیور"/>
    <n v="30"/>
    <x v="0"/>
    <n v="1"/>
    <n v="37.200000000000003"/>
    <n v="1.2"/>
    <m/>
    <x v="0"/>
    <n v="36"/>
    <m/>
    <n v="5"/>
    <x v="0"/>
    <x v="0"/>
    <n v="5"/>
    <n v="8.3333333333333329E-2"/>
    <x v="0"/>
    <x v="0"/>
    <m/>
    <x v="0"/>
    <x v="0"/>
    <x v="0"/>
    <x v="0"/>
    <x v="0"/>
    <n v="0"/>
    <n v="0"/>
    <n v="8.3333333333333329E-2"/>
    <n v="11.916666666666666"/>
    <x v="1"/>
    <x v="0"/>
    <m/>
    <x v="0"/>
    <n v="37.200000000000003"/>
    <x v="0"/>
    <x v="3"/>
    <x v="0"/>
    <x v="0"/>
    <x v="0"/>
  </r>
  <r>
    <x v="0"/>
    <x v="1"/>
    <s v="3949 J"/>
    <x v="80"/>
    <s v="Atlas Honda LTD (SKP)"/>
    <s v="LDN"/>
    <n v="9"/>
    <s v="9-9.5"/>
    <s v="پیور"/>
    <n v="68"/>
    <x v="0"/>
    <n v="1"/>
    <n v="29.8"/>
    <n v="1.1000000000000001"/>
    <m/>
    <x v="0"/>
    <n v="28.7"/>
    <m/>
    <n v="5"/>
    <x v="0"/>
    <x v="0"/>
    <n v="5"/>
    <n v="8.3333333333333329E-2"/>
    <x v="0"/>
    <x v="0"/>
    <m/>
    <x v="0"/>
    <x v="0"/>
    <x v="0"/>
    <x v="0"/>
    <x v="0"/>
    <n v="0"/>
    <n v="0"/>
    <n v="8.3333333333333329E-2"/>
    <n v="11.916666666666666"/>
    <x v="1"/>
    <x v="0"/>
    <m/>
    <x v="0"/>
    <n v="29.8"/>
    <x v="0"/>
    <x v="3"/>
    <x v="0"/>
    <x v="0"/>
    <x v="0"/>
  </r>
  <r>
    <x v="1"/>
    <x v="1"/>
    <s v="3949 J"/>
    <x v="80"/>
    <s v="Atlas Honda LTD (SKP)"/>
    <s v="LDN"/>
    <n v="9"/>
    <s v="9-9.5"/>
    <s v="پیور"/>
    <n v="68"/>
    <x v="0"/>
    <n v="3"/>
    <n v="130"/>
    <n v="3.3000000000000003"/>
    <n v="7"/>
    <x v="0"/>
    <n v="126.7"/>
    <m/>
    <m/>
    <x v="0"/>
    <x v="0"/>
    <n v="0"/>
    <n v="0"/>
    <x v="0"/>
    <x v="0"/>
    <m/>
    <x v="0"/>
    <x v="0"/>
    <x v="0"/>
    <x v="0"/>
    <x v="0"/>
    <n v="0"/>
    <n v="0"/>
    <n v="0"/>
    <n v="12"/>
    <x v="1"/>
    <x v="0"/>
    <m/>
    <x v="0"/>
    <n v="130"/>
    <x v="0"/>
    <x v="3"/>
    <x v="0"/>
    <x v="0"/>
    <x v="0"/>
  </r>
  <r>
    <x v="1"/>
    <x v="1"/>
    <s v="3955 J"/>
    <x v="80"/>
    <s v="Atlas Honda LTD (SKP)"/>
    <s v="LDN"/>
    <n v="9"/>
    <s v="8.5-9"/>
    <s v="پیور"/>
    <n v="375"/>
    <x v="0"/>
    <n v="2"/>
    <n v="108"/>
    <n v="2.2000000000000002"/>
    <m/>
    <x v="0"/>
    <n v="105.8"/>
    <m/>
    <m/>
    <x v="0"/>
    <x v="0"/>
    <n v="0"/>
    <n v="0"/>
    <x v="0"/>
    <x v="0"/>
    <m/>
    <x v="0"/>
    <x v="0"/>
    <x v="0"/>
    <x v="0"/>
    <x v="0"/>
    <n v="0"/>
    <n v="0"/>
    <n v="0"/>
    <n v="12"/>
    <x v="1"/>
    <x v="0"/>
    <m/>
    <x v="0"/>
    <n v="108"/>
    <x v="0"/>
    <x v="3"/>
    <x v="0"/>
    <x v="0"/>
    <x v="0"/>
  </r>
  <r>
    <x v="0"/>
    <x v="2"/>
    <s v="3858 J"/>
    <x v="80"/>
    <s v="Berger Paint Lahore"/>
    <s v="LDM"/>
    <n v="18"/>
    <s v="-"/>
    <s v="ABA پیور"/>
    <n v="2000"/>
    <x v="0"/>
    <n v="3"/>
    <n v="463.65999999999997"/>
    <n v="6.7"/>
    <n v="100"/>
    <x v="0"/>
    <n v="456.96"/>
    <m/>
    <m/>
    <x v="0"/>
    <x v="0"/>
    <n v="0"/>
    <n v="0"/>
    <x v="0"/>
    <x v="0"/>
    <n v="90"/>
    <x v="0"/>
    <x v="4"/>
    <x v="0"/>
    <x v="0"/>
    <x v="0"/>
    <n v="180"/>
    <n v="3"/>
    <n v="3"/>
    <n v="9"/>
    <x v="1"/>
    <x v="0"/>
    <m/>
    <x v="0"/>
    <n v="463.65999999999997"/>
    <x v="0"/>
    <x v="3"/>
    <x v="0"/>
    <x v="0"/>
    <x v="0"/>
  </r>
  <r>
    <x v="1"/>
    <x v="2"/>
    <s v="3817 J"/>
    <x v="80"/>
    <s v="Waqas Wollan Mills Gujranwala"/>
    <s v="LD گرے"/>
    <n v="16"/>
    <s v="10-10.5"/>
    <s v="ABA پیور"/>
    <n v="120"/>
    <x v="0"/>
    <n v="3"/>
    <n v="133"/>
    <n v="6"/>
    <n v="45"/>
    <x v="0"/>
    <n v="127"/>
    <m/>
    <n v="15"/>
    <x v="0"/>
    <x v="0"/>
    <n v="15"/>
    <n v="0.25"/>
    <x v="0"/>
    <x v="0"/>
    <m/>
    <x v="0"/>
    <x v="0"/>
    <x v="0"/>
    <x v="0"/>
    <x v="0"/>
    <n v="0"/>
    <n v="0"/>
    <n v="0.25"/>
    <n v="11.75"/>
    <x v="1"/>
    <x v="0"/>
    <m/>
    <x v="0"/>
    <n v="133"/>
    <x v="0"/>
    <x v="3"/>
    <x v="0"/>
    <x v="0"/>
    <x v="0"/>
  </r>
  <r>
    <x v="1"/>
    <x v="2"/>
    <s v="3971 J"/>
    <x v="80"/>
    <s v="Waqas Wollan Mills Gujranwala"/>
    <s v="LD پیلا"/>
    <n v="16"/>
    <s v="10-10.5"/>
    <s v="ABA تھینکیو"/>
    <n v="150"/>
    <x v="0"/>
    <n v="2"/>
    <n v="120.7"/>
    <n v="4"/>
    <m/>
    <x v="0"/>
    <n v="116.7"/>
    <m/>
    <n v="15"/>
    <x v="0"/>
    <x v="0"/>
    <n v="15"/>
    <n v="0.25"/>
    <x v="0"/>
    <x v="0"/>
    <m/>
    <x v="0"/>
    <x v="0"/>
    <x v="0"/>
    <x v="0"/>
    <x v="0"/>
    <n v="0"/>
    <n v="0"/>
    <n v="0.25"/>
    <n v="11.75"/>
    <x v="1"/>
    <x v="0"/>
    <m/>
    <x v="0"/>
    <n v="120.7"/>
    <x v="0"/>
    <x v="3"/>
    <x v="0"/>
    <x v="0"/>
    <x v="0"/>
  </r>
  <r>
    <x v="0"/>
    <x v="3"/>
    <s v="3957 J"/>
    <x v="80"/>
    <s v="Atlas Honda LTD (SKP)"/>
    <s v="LDN"/>
    <n v="22"/>
    <s v="8.5-9"/>
    <s v="پیور"/>
    <n v="461"/>
    <x v="0"/>
    <n v="8"/>
    <n v="449.99999999999994"/>
    <n v="19.3"/>
    <m/>
    <x v="0"/>
    <n v="430.69999999999993"/>
    <m/>
    <m/>
    <x v="0"/>
    <x v="0"/>
    <n v="0"/>
    <n v="0"/>
    <x v="0"/>
    <x v="0"/>
    <m/>
    <x v="0"/>
    <x v="0"/>
    <x v="0"/>
    <x v="0"/>
    <x v="0"/>
    <n v="0"/>
    <n v="0"/>
    <n v="0"/>
    <n v="12"/>
    <x v="1"/>
    <x v="0"/>
    <m/>
    <x v="0"/>
    <n v="449.99999999999994"/>
    <x v="0"/>
    <x v="3"/>
    <x v="0"/>
    <x v="0"/>
    <x v="0"/>
  </r>
  <r>
    <x v="1"/>
    <x v="3"/>
    <s v="3957 J"/>
    <x v="80"/>
    <s v="Atlas Honda LTD (SKP)"/>
    <s v="LDN"/>
    <n v="22"/>
    <s v="8.5-9"/>
    <s v="پیور"/>
    <n v="461"/>
    <x v="0"/>
    <n v="2"/>
    <n v="155.80000000000001"/>
    <n v="4.4000000000000004"/>
    <n v="10"/>
    <x v="0"/>
    <n v="151.4"/>
    <m/>
    <n v="6"/>
    <x v="0"/>
    <x v="0"/>
    <n v="6"/>
    <n v="0.1"/>
    <x v="0"/>
    <x v="2"/>
    <m/>
    <x v="0"/>
    <x v="0"/>
    <x v="0"/>
    <x v="0"/>
    <x v="0"/>
    <n v="20"/>
    <n v="0.33333333333333331"/>
    <n v="0.43333333333333335"/>
    <n v="11.566666666666666"/>
    <x v="1"/>
    <x v="0"/>
    <m/>
    <x v="0"/>
    <n v="155.80000000000001"/>
    <x v="0"/>
    <x v="3"/>
    <x v="0"/>
    <x v="0"/>
    <x v="0"/>
  </r>
  <r>
    <x v="1"/>
    <x v="3"/>
    <s v="3948 J"/>
    <x v="80"/>
    <s v="Atlas Honda LTD (SKP)"/>
    <s v="LDN"/>
    <n v="21"/>
    <s v="14-14.5"/>
    <s v="پیور"/>
    <n v="148"/>
    <x v="0"/>
    <n v="2"/>
    <n v="159"/>
    <n v="4.4000000000000004"/>
    <m/>
    <x v="0"/>
    <n v="154.6"/>
    <m/>
    <n v="5"/>
    <x v="0"/>
    <x v="0"/>
    <n v="5"/>
    <n v="8.3333333333333329E-2"/>
    <x v="0"/>
    <x v="0"/>
    <m/>
    <x v="0"/>
    <x v="0"/>
    <x v="0"/>
    <x v="0"/>
    <x v="0"/>
    <n v="0"/>
    <n v="0"/>
    <n v="8.3333333333333329E-2"/>
    <n v="11.916666666666666"/>
    <x v="1"/>
    <x v="0"/>
    <m/>
    <x v="0"/>
    <n v="159"/>
    <x v="0"/>
    <x v="3"/>
    <x v="0"/>
    <x v="0"/>
    <x v="0"/>
  </r>
  <r>
    <x v="1"/>
    <x v="3"/>
    <s v="3956 J"/>
    <x v="80"/>
    <s v="Atlas Honda LTD (SKP)"/>
    <s v="LDN"/>
    <n v="26"/>
    <s v="8.5-9"/>
    <s v="پیور"/>
    <n v="307"/>
    <x v="0"/>
    <n v="2"/>
    <n v="148"/>
    <n v="6.4"/>
    <m/>
    <x v="0"/>
    <n v="141.6"/>
    <m/>
    <m/>
    <x v="0"/>
    <x v="0"/>
    <n v="0"/>
    <n v="0"/>
    <x v="0"/>
    <x v="0"/>
    <m/>
    <x v="0"/>
    <x v="0"/>
    <x v="0"/>
    <x v="0"/>
    <x v="0"/>
    <n v="0"/>
    <n v="0"/>
    <n v="0"/>
    <n v="12"/>
    <x v="1"/>
    <x v="0"/>
    <m/>
    <x v="0"/>
    <n v="148"/>
    <x v="0"/>
    <x v="3"/>
    <x v="0"/>
    <x v="0"/>
    <x v="0"/>
  </r>
  <r>
    <x v="0"/>
    <x v="4"/>
    <s v="3874 J"/>
    <x v="80"/>
    <s v="Umair PP Adda Crown C/O Majest Plastic LHR"/>
    <s v="LDM"/>
    <n v="16"/>
    <s v="12-13"/>
    <s v="سپیشل تھینکیو ABA"/>
    <n v="1000"/>
    <x v="0"/>
    <n v="4"/>
    <n v="231.60000000000002"/>
    <n v="7.2"/>
    <n v="20"/>
    <x v="0"/>
    <n v="224.40000000000003"/>
    <m/>
    <m/>
    <x v="0"/>
    <x v="0"/>
    <n v="0"/>
    <n v="0"/>
    <x v="0"/>
    <x v="0"/>
    <n v="240"/>
    <x v="0"/>
    <x v="0"/>
    <x v="0"/>
    <x v="0"/>
    <x v="0"/>
    <n v="240"/>
    <n v="4"/>
    <n v="4"/>
    <n v="8"/>
    <x v="1"/>
    <x v="0"/>
    <m/>
    <x v="0"/>
    <n v="231.60000000000002"/>
    <x v="0"/>
    <x v="3"/>
    <x v="0"/>
    <x v="0"/>
    <x v="0"/>
  </r>
  <r>
    <x v="0"/>
    <x v="4"/>
    <s v="3876 J"/>
    <x v="80"/>
    <s v="Umair PP Adda Crown C/O Majest Plastic LHR"/>
    <s v="LDM"/>
    <n v="16"/>
    <s v="12-13"/>
    <s v="سپیشل تھینکیو ABA"/>
    <n v="150"/>
    <x v="0"/>
    <n v="3"/>
    <n v="128"/>
    <n v="5.2"/>
    <m/>
    <x v="0"/>
    <n v="122.8"/>
    <m/>
    <m/>
    <x v="0"/>
    <x v="0"/>
    <n v="0"/>
    <n v="0"/>
    <x v="0"/>
    <x v="0"/>
    <m/>
    <x v="0"/>
    <x v="0"/>
    <x v="0"/>
    <x v="0"/>
    <x v="0"/>
    <n v="0"/>
    <n v="0"/>
    <n v="0"/>
    <n v="12"/>
    <x v="1"/>
    <x v="0"/>
    <m/>
    <x v="0"/>
    <n v="128"/>
    <x v="0"/>
    <x v="3"/>
    <x v="0"/>
    <x v="0"/>
    <x v="0"/>
  </r>
  <r>
    <x v="0"/>
    <x v="4"/>
    <s v="3958 J"/>
    <x v="80"/>
    <s v="Atlas Honda LTD (SKP)"/>
    <s v="LDM"/>
    <s v="16.75&quot; شیٹ"/>
    <s v="7-7.5/14-15"/>
    <s v="ABA پیور"/>
    <n v="300"/>
    <x v="0"/>
    <n v="2"/>
    <n v="98.199999999999989"/>
    <n v="4"/>
    <m/>
    <x v="0"/>
    <n v="94.199999999999989"/>
    <m/>
    <m/>
    <x v="0"/>
    <x v="0"/>
    <n v="0"/>
    <n v="0"/>
    <x v="0"/>
    <x v="0"/>
    <m/>
    <x v="0"/>
    <x v="0"/>
    <x v="0"/>
    <x v="0"/>
    <x v="0"/>
    <n v="0"/>
    <n v="0"/>
    <n v="0"/>
    <n v="12"/>
    <x v="1"/>
    <x v="0"/>
    <m/>
    <x v="0"/>
    <n v="98.199999999999989"/>
    <x v="0"/>
    <x v="3"/>
    <x v="0"/>
    <x v="0"/>
    <x v="0"/>
  </r>
  <r>
    <x v="0"/>
    <x v="5"/>
    <s v="2058 F"/>
    <x v="80"/>
    <s v="Usman Amin"/>
    <s v="LDN"/>
    <n v="17"/>
    <s v="12"/>
    <s v="پیور"/>
    <n v="500"/>
    <x v="0"/>
    <n v="5"/>
    <n v="365.09999999999997"/>
    <n v="10"/>
    <n v="13"/>
    <x v="0"/>
    <n v="355.09999999999997"/>
    <m/>
    <m/>
    <x v="0"/>
    <x v="0"/>
    <n v="0"/>
    <n v="0"/>
    <x v="0"/>
    <x v="3"/>
    <m/>
    <x v="0"/>
    <x v="0"/>
    <x v="0"/>
    <x v="0"/>
    <x v="0"/>
    <n v="15"/>
    <n v="0.25"/>
    <n v="0.25"/>
    <n v="11.75"/>
    <x v="1"/>
    <x v="0"/>
    <m/>
    <x v="0"/>
    <n v="365.09999999999997"/>
    <x v="0"/>
    <x v="3"/>
    <x v="0"/>
    <x v="0"/>
    <x v="0"/>
  </r>
  <r>
    <x v="1"/>
    <x v="5"/>
    <s v="2058 F"/>
    <x v="80"/>
    <s v="Usman Amin"/>
    <s v="LDN"/>
    <n v="17"/>
    <s v="12"/>
    <s v="پیور"/>
    <n v="500"/>
    <x v="0"/>
    <n v="2"/>
    <n v="98.800000000000011"/>
    <n v="4"/>
    <n v="3"/>
    <x v="0"/>
    <n v="94.800000000000011"/>
    <m/>
    <n v="5"/>
    <x v="0"/>
    <x v="0"/>
    <n v="5"/>
    <n v="8.3333333333333329E-2"/>
    <x v="0"/>
    <x v="0"/>
    <m/>
    <x v="0"/>
    <x v="0"/>
    <x v="0"/>
    <x v="0"/>
    <x v="0"/>
    <n v="0"/>
    <n v="0"/>
    <n v="8.3333333333333329E-2"/>
    <n v="11.916666666666666"/>
    <x v="1"/>
    <x v="0"/>
    <m/>
    <x v="0"/>
    <n v="98.800000000000011"/>
    <x v="0"/>
    <x v="3"/>
    <x v="0"/>
    <x v="0"/>
    <x v="0"/>
  </r>
  <r>
    <x v="1"/>
    <x v="5"/>
    <s v="2059 F"/>
    <x v="80"/>
    <s v="Usman Amin"/>
    <s v="LDN"/>
    <n v="19"/>
    <s v="12"/>
    <s v="پیور"/>
    <n v="400"/>
    <x v="0"/>
    <n v="5"/>
    <n v="359.20000000000005"/>
    <n v="11"/>
    <m/>
    <x v="0"/>
    <n v="348.20000000000005"/>
    <m/>
    <m/>
    <x v="0"/>
    <x v="0"/>
    <n v="0"/>
    <n v="0"/>
    <x v="0"/>
    <x v="0"/>
    <m/>
    <x v="0"/>
    <x v="0"/>
    <x v="0"/>
    <x v="0"/>
    <x v="0"/>
    <n v="0"/>
    <n v="0"/>
    <n v="0"/>
    <n v="12"/>
    <x v="1"/>
    <x v="0"/>
    <m/>
    <x v="0"/>
    <n v="359.20000000000005"/>
    <x v="0"/>
    <x v="3"/>
    <x v="0"/>
    <x v="0"/>
    <x v="0"/>
  </r>
  <r>
    <x v="0"/>
    <x v="0"/>
    <s v="3954 J"/>
    <x v="81"/>
    <s v="Atlas Honda LTD (SKP)"/>
    <s v="LDN"/>
    <n v="8"/>
    <s v="8.5-9"/>
    <s v="پیور"/>
    <n v="222"/>
    <x v="0"/>
    <n v="1"/>
    <n v="25.8"/>
    <n v="0.8"/>
    <n v="7"/>
    <x v="0"/>
    <n v="25"/>
    <m/>
    <m/>
    <x v="0"/>
    <x v="0"/>
    <n v="0"/>
    <n v="0"/>
    <x v="0"/>
    <x v="0"/>
    <m/>
    <x v="0"/>
    <x v="0"/>
    <x v="0"/>
    <x v="0"/>
    <x v="0"/>
    <n v="0"/>
    <n v="0"/>
    <n v="0"/>
    <n v="12"/>
    <x v="1"/>
    <x v="0"/>
    <n v="2177"/>
    <x v="0"/>
    <n v="25.8"/>
    <x v="0"/>
    <x v="3"/>
    <x v="0"/>
    <x v="0"/>
    <x v="0"/>
  </r>
  <r>
    <x v="0"/>
    <x v="0"/>
    <s v="3513 J"/>
    <x v="81"/>
    <s v="Usman Arif Butt Gujranwala"/>
    <s v="LDN"/>
    <n v="4"/>
    <s v="-"/>
    <s v="پیور"/>
    <n v="500"/>
    <x v="0"/>
    <n v="2"/>
    <n v="102"/>
    <n v="0.8"/>
    <m/>
    <x v="0"/>
    <n v="101.2"/>
    <m/>
    <m/>
    <x v="0"/>
    <x v="0"/>
    <n v="0"/>
    <n v="0"/>
    <x v="0"/>
    <x v="0"/>
    <m/>
    <x v="0"/>
    <x v="0"/>
    <x v="0"/>
    <x v="0"/>
    <x v="0"/>
    <n v="0"/>
    <n v="0"/>
    <n v="0"/>
    <n v="12"/>
    <x v="1"/>
    <x v="0"/>
    <m/>
    <x v="0"/>
    <n v="102"/>
    <x v="0"/>
    <x v="3"/>
    <x v="0"/>
    <x v="0"/>
    <x v="0"/>
  </r>
  <r>
    <x v="1"/>
    <x v="0"/>
    <s v="3513 J"/>
    <x v="81"/>
    <s v="Usman Arif Butt Gujranwala"/>
    <s v="LDN"/>
    <n v="4"/>
    <s v="-"/>
    <s v="پیور"/>
    <n v="500"/>
    <x v="0"/>
    <n v="2"/>
    <n v="44"/>
    <n v="1.2"/>
    <m/>
    <x v="0"/>
    <n v="42.8"/>
    <m/>
    <m/>
    <x v="0"/>
    <x v="0"/>
    <n v="0"/>
    <n v="0"/>
    <x v="0"/>
    <x v="0"/>
    <m/>
    <x v="0"/>
    <x v="0"/>
    <x v="0"/>
    <x v="0"/>
    <x v="0"/>
    <n v="0"/>
    <n v="0"/>
    <n v="0"/>
    <n v="12"/>
    <x v="1"/>
    <x v="0"/>
    <m/>
    <x v="0"/>
    <n v="44"/>
    <x v="0"/>
    <x v="3"/>
    <x v="0"/>
    <x v="0"/>
    <x v="0"/>
  </r>
  <r>
    <x v="0"/>
    <x v="1"/>
    <s v="3955 J"/>
    <x v="81"/>
    <s v="Atlas Honda LTD (SKP)"/>
    <s v="LDN"/>
    <n v="9"/>
    <s v="8.5-9"/>
    <s v="پیور"/>
    <n v="375"/>
    <x v="0"/>
    <n v="4"/>
    <n v="243.2"/>
    <n v="4.2"/>
    <m/>
    <x v="0"/>
    <n v="239"/>
    <m/>
    <m/>
    <x v="0"/>
    <x v="0"/>
    <n v="0"/>
    <n v="0"/>
    <x v="0"/>
    <x v="0"/>
    <m/>
    <x v="0"/>
    <x v="0"/>
    <x v="0"/>
    <x v="0"/>
    <x v="0"/>
    <n v="0"/>
    <n v="0"/>
    <n v="0"/>
    <n v="12"/>
    <x v="1"/>
    <x v="0"/>
    <m/>
    <x v="0"/>
    <n v="243.2"/>
    <x v="0"/>
    <x v="3"/>
    <x v="0"/>
    <x v="0"/>
    <x v="0"/>
  </r>
  <r>
    <x v="1"/>
    <x v="1"/>
    <s v="3955 J"/>
    <x v="81"/>
    <s v="Atlas Honda LTD (SKP)"/>
    <s v="LDN"/>
    <n v="9"/>
    <s v="8.5-9"/>
    <s v="پیور"/>
    <n v="375"/>
    <x v="0"/>
    <n v="1"/>
    <n v="48.8"/>
    <n v="1.1000000000000001"/>
    <n v="15"/>
    <x v="0"/>
    <n v="47.699999999999996"/>
    <m/>
    <m/>
    <x v="0"/>
    <x v="0"/>
    <n v="0"/>
    <n v="0"/>
    <x v="0"/>
    <x v="0"/>
    <m/>
    <x v="0"/>
    <x v="0"/>
    <x v="0"/>
    <x v="0"/>
    <x v="0"/>
    <n v="0"/>
    <n v="0"/>
    <n v="0"/>
    <n v="12"/>
    <x v="1"/>
    <x v="0"/>
    <m/>
    <x v="0"/>
    <n v="48.8"/>
    <x v="0"/>
    <x v="3"/>
    <x v="0"/>
    <x v="0"/>
    <x v="0"/>
  </r>
  <r>
    <x v="1"/>
    <x v="1"/>
    <s v="3953 J"/>
    <x v="81"/>
    <s v="Atlas Honda LTD (SKP)"/>
    <s v="LDN"/>
    <n v="12"/>
    <s v="8.5-9"/>
    <s v="پیور"/>
    <n v="155"/>
    <x v="0"/>
    <n v="2"/>
    <n v="88.4"/>
    <n v="3"/>
    <m/>
    <x v="0"/>
    <n v="85.4"/>
    <m/>
    <m/>
    <x v="0"/>
    <x v="0"/>
    <n v="0"/>
    <n v="0"/>
    <x v="0"/>
    <x v="0"/>
    <m/>
    <x v="0"/>
    <x v="0"/>
    <x v="0"/>
    <x v="0"/>
    <x v="0"/>
    <n v="0"/>
    <n v="0"/>
    <n v="0"/>
    <n v="12"/>
    <x v="1"/>
    <x v="0"/>
    <m/>
    <x v="0"/>
    <n v="88.4"/>
    <x v="0"/>
    <x v="3"/>
    <x v="0"/>
    <x v="0"/>
    <x v="0"/>
  </r>
  <r>
    <x v="1"/>
    <x v="1"/>
    <s v="4000 J"/>
    <x v="81"/>
    <s v="Pizza Bank And Fast Food Kamoki"/>
    <s v="LDN"/>
    <n v="8"/>
    <s v="12-12.5"/>
    <s v="پیور"/>
    <n v="100"/>
    <x v="0"/>
    <n v="2"/>
    <n v="91.8"/>
    <n v="3"/>
    <m/>
    <x v="0"/>
    <n v="88.8"/>
    <m/>
    <m/>
    <x v="0"/>
    <x v="0"/>
    <n v="0"/>
    <n v="0"/>
    <x v="0"/>
    <x v="0"/>
    <m/>
    <x v="0"/>
    <x v="0"/>
    <x v="0"/>
    <x v="0"/>
    <x v="0"/>
    <n v="0"/>
    <n v="0"/>
    <n v="0"/>
    <n v="12"/>
    <x v="1"/>
    <x v="0"/>
    <m/>
    <x v="0"/>
    <n v="91.8"/>
    <x v="0"/>
    <x v="3"/>
    <x v="0"/>
    <x v="0"/>
    <x v="0"/>
  </r>
  <r>
    <x v="0"/>
    <x v="2"/>
    <s v="3971 J"/>
    <x v="81"/>
    <s v="Waqas Wollan Mills Gujranwala"/>
    <s v="LD پیلا"/>
    <n v="16"/>
    <s v="10-10.5"/>
    <s v="ABA تھینکیو"/>
    <n v="150"/>
    <x v="0"/>
    <n v="1"/>
    <n v="45.6"/>
    <n v="0.2"/>
    <n v="66"/>
    <x v="0"/>
    <n v="45.4"/>
    <m/>
    <m/>
    <x v="0"/>
    <x v="0"/>
    <n v="0"/>
    <n v="0"/>
    <x v="0"/>
    <x v="0"/>
    <m/>
    <x v="0"/>
    <x v="0"/>
    <x v="0"/>
    <x v="0"/>
    <x v="0"/>
    <n v="0"/>
    <n v="0"/>
    <n v="0"/>
    <n v="12"/>
    <x v="1"/>
    <x v="0"/>
    <m/>
    <x v="0"/>
    <n v="45.6"/>
    <x v="0"/>
    <x v="3"/>
    <x v="0"/>
    <x v="0"/>
    <x v="0"/>
  </r>
  <r>
    <x v="0"/>
    <x v="2"/>
    <s v="3972 J"/>
    <x v="81"/>
    <s v="Waqas Wollan Mills Gujranwala"/>
    <s v="LD پیلا"/>
    <n v="18"/>
    <s v="10-10.5"/>
    <s v="ABA تھینکیو"/>
    <n v="150"/>
    <x v="0"/>
    <n v="2"/>
    <n v="158.19999999999999"/>
    <n v="4.9000000000000004"/>
    <m/>
    <x v="0"/>
    <n v="153.29999999999998"/>
    <m/>
    <m/>
    <x v="0"/>
    <x v="0"/>
    <n v="0"/>
    <n v="0"/>
    <x v="0"/>
    <x v="0"/>
    <m/>
    <x v="0"/>
    <x v="0"/>
    <x v="0"/>
    <x v="0"/>
    <x v="0"/>
    <n v="0"/>
    <n v="0"/>
    <n v="0"/>
    <n v="12"/>
    <x v="1"/>
    <x v="0"/>
    <m/>
    <x v="0"/>
    <n v="158.19999999999999"/>
    <x v="0"/>
    <x v="3"/>
    <x v="0"/>
    <x v="0"/>
    <x v="0"/>
  </r>
  <r>
    <x v="0"/>
    <x v="2"/>
    <s v="3973 J"/>
    <x v="81"/>
    <s v="Waqas Wollan Mills Gujranwala"/>
    <s v="LD پیلا"/>
    <n v="10"/>
    <s v="8-8.5"/>
    <s v="ABA تھینکیو"/>
    <n v="200"/>
    <x v="0"/>
    <n v="3"/>
    <n v="156"/>
    <n v="3.5999999999999996"/>
    <m/>
    <x v="0"/>
    <n v="152.4"/>
    <m/>
    <m/>
    <x v="0"/>
    <x v="0"/>
    <n v="0"/>
    <n v="0"/>
    <x v="0"/>
    <x v="0"/>
    <m/>
    <x v="0"/>
    <x v="0"/>
    <x v="0"/>
    <x v="0"/>
    <x v="0"/>
    <n v="0"/>
    <n v="0"/>
    <n v="0"/>
    <n v="12"/>
    <x v="1"/>
    <x v="0"/>
    <m/>
    <x v="0"/>
    <n v="156"/>
    <x v="0"/>
    <x v="3"/>
    <x v="0"/>
    <x v="0"/>
    <x v="0"/>
  </r>
  <r>
    <x v="1"/>
    <x v="2"/>
    <s v="3973 J"/>
    <x v="81"/>
    <s v="Waqas Wollan Mills Gujranwala"/>
    <s v="LD پیلا"/>
    <n v="10"/>
    <s v="8-8.5"/>
    <s v="ABA تھینکیو"/>
    <n v="200"/>
    <x v="0"/>
    <n v="1"/>
    <n v="50.6"/>
    <n v="1.2"/>
    <n v="33"/>
    <x v="0"/>
    <n v="49.4"/>
    <m/>
    <m/>
    <x v="0"/>
    <x v="0"/>
    <n v="0"/>
    <n v="0"/>
    <x v="0"/>
    <x v="0"/>
    <m/>
    <x v="0"/>
    <x v="0"/>
    <x v="0"/>
    <x v="0"/>
    <x v="0"/>
    <n v="0"/>
    <n v="0"/>
    <n v="0"/>
    <n v="12"/>
    <x v="1"/>
    <x v="0"/>
    <m/>
    <x v="0"/>
    <n v="50.6"/>
    <x v="0"/>
    <x v="3"/>
    <x v="0"/>
    <x v="0"/>
    <x v="0"/>
  </r>
  <r>
    <x v="1"/>
    <x v="2"/>
    <s v="3974 J"/>
    <x v="81"/>
    <s v="Waqas Wollan Mills Gujranwala"/>
    <s v="LD اورنج"/>
    <n v="15"/>
    <s v="10-10.5"/>
    <s v="ABA تھینکیو"/>
    <n v="350"/>
    <x v="0"/>
    <n v="4"/>
    <n v="249.89999999999998"/>
    <n v="5.6"/>
    <m/>
    <x v="0"/>
    <n v="244.29999999999998"/>
    <m/>
    <m/>
    <x v="0"/>
    <x v="0"/>
    <n v="0"/>
    <n v="0"/>
    <x v="0"/>
    <x v="0"/>
    <m/>
    <x v="0"/>
    <x v="0"/>
    <x v="0"/>
    <x v="0"/>
    <x v="0"/>
    <n v="0"/>
    <n v="0"/>
    <n v="0"/>
    <n v="12"/>
    <x v="1"/>
    <x v="0"/>
    <m/>
    <x v="0"/>
    <n v="249.89999999999998"/>
    <x v="0"/>
    <x v="3"/>
    <x v="0"/>
    <x v="0"/>
    <x v="0"/>
  </r>
  <r>
    <x v="0"/>
    <x v="3"/>
    <s v="3956 J"/>
    <x v="81"/>
    <s v="Atlas Honda LTD (SKP)"/>
    <s v="LDN"/>
    <n v="26"/>
    <s v="8.5-9"/>
    <s v="پیور"/>
    <n v="307"/>
    <x v="0"/>
    <n v="3"/>
    <n v="188.8"/>
    <n v="9.8000000000000007"/>
    <n v="19"/>
    <x v="0"/>
    <n v="179"/>
    <m/>
    <n v="10"/>
    <x v="0"/>
    <x v="0"/>
    <n v="10"/>
    <n v="0.16666666666666666"/>
    <x v="0"/>
    <x v="0"/>
    <m/>
    <x v="0"/>
    <x v="0"/>
    <x v="0"/>
    <x v="2"/>
    <x v="0"/>
    <n v="50"/>
    <n v="0.83333333333333337"/>
    <n v="1"/>
    <n v="11"/>
    <x v="1"/>
    <x v="0"/>
    <m/>
    <x v="0"/>
    <n v="188.8"/>
    <x v="0"/>
    <x v="3"/>
    <x v="0"/>
    <x v="0"/>
    <x v="0"/>
  </r>
  <r>
    <x v="0"/>
    <x v="3"/>
    <s v="3929 J"/>
    <x v="81"/>
    <s v="Allied Impex Sialkot "/>
    <s v="LDN"/>
    <n v="28"/>
    <s v="10"/>
    <s v="پیور"/>
    <n v="100"/>
    <x v="0"/>
    <n v="2"/>
    <n v="112"/>
    <n v="7"/>
    <m/>
    <x v="0"/>
    <n v="105"/>
    <m/>
    <m/>
    <x v="0"/>
    <x v="0"/>
    <n v="0"/>
    <n v="0"/>
    <x v="0"/>
    <x v="0"/>
    <m/>
    <x v="0"/>
    <x v="0"/>
    <x v="0"/>
    <x v="0"/>
    <x v="0"/>
    <n v="0"/>
    <n v="0"/>
    <n v="0"/>
    <n v="12"/>
    <x v="1"/>
    <x v="0"/>
    <m/>
    <x v="0"/>
    <n v="112"/>
    <x v="0"/>
    <x v="3"/>
    <x v="0"/>
    <x v="0"/>
    <x v="0"/>
  </r>
  <r>
    <x v="0"/>
    <x v="3"/>
    <s v="3928 J"/>
    <x v="81"/>
    <s v="Allied Impex Sialkot "/>
    <s v="LDN"/>
    <n v="24"/>
    <s v="10"/>
    <s v="پیور"/>
    <n v="100"/>
    <x v="0"/>
    <n v="2"/>
    <n v="108.4"/>
    <n v="6"/>
    <m/>
    <x v="0"/>
    <n v="102.4"/>
    <m/>
    <m/>
    <x v="0"/>
    <x v="0"/>
    <n v="0"/>
    <n v="0"/>
    <x v="0"/>
    <x v="0"/>
    <m/>
    <x v="0"/>
    <x v="0"/>
    <x v="0"/>
    <x v="0"/>
    <x v="0"/>
    <n v="0"/>
    <n v="0"/>
    <n v="0"/>
    <n v="12"/>
    <x v="1"/>
    <x v="0"/>
    <m/>
    <x v="0"/>
    <n v="108.4"/>
    <x v="0"/>
    <x v="3"/>
    <x v="0"/>
    <x v="0"/>
    <x v="0"/>
  </r>
  <r>
    <x v="1"/>
    <x v="3"/>
    <s v="3920 J"/>
    <x v="81"/>
    <s v="Cakes and Bakes Lahore"/>
    <s v="LDN"/>
    <n v="24"/>
    <s v="6"/>
    <s v="پیور"/>
    <n v="100"/>
    <x v="0"/>
    <n v="2"/>
    <n v="113.6"/>
    <n v="6"/>
    <n v="7"/>
    <x v="0"/>
    <n v="107.6"/>
    <m/>
    <m/>
    <x v="0"/>
    <x v="0"/>
    <n v="0"/>
    <n v="0"/>
    <x v="0"/>
    <x v="0"/>
    <m/>
    <x v="0"/>
    <x v="0"/>
    <x v="0"/>
    <x v="0"/>
    <x v="0"/>
    <n v="0"/>
    <n v="0"/>
    <n v="0"/>
    <n v="12"/>
    <x v="1"/>
    <x v="0"/>
    <m/>
    <x v="0"/>
    <n v="113.6"/>
    <x v="0"/>
    <x v="3"/>
    <x v="0"/>
    <x v="0"/>
    <x v="0"/>
  </r>
  <r>
    <x v="1"/>
    <x v="3"/>
    <m/>
    <x v="81"/>
    <s v="-"/>
    <m/>
    <m/>
    <m/>
    <m/>
    <m/>
    <x v="0"/>
    <n v="2"/>
    <n v="119.4"/>
    <n v="5.6"/>
    <m/>
    <x v="0"/>
    <n v="113.80000000000001"/>
    <m/>
    <m/>
    <x v="0"/>
    <x v="0"/>
    <n v="0"/>
    <n v="0"/>
    <x v="0"/>
    <x v="0"/>
    <m/>
    <x v="0"/>
    <x v="0"/>
    <x v="0"/>
    <x v="0"/>
    <x v="0"/>
    <n v="0"/>
    <n v="0"/>
    <n v="0"/>
    <n v="12"/>
    <x v="1"/>
    <x v="0"/>
    <m/>
    <x v="0"/>
    <n v="119.4"/>
    <x v="0"/>
    <x v="3"/>
    <x v="0"/>
    <x v="0"/>
    <x v="0"/>
  </r>
  <r>
    <x v="1"/>
    <x v="3"/>
    <s v="3994 J"/>
    <x v="81"/>
    <s v="G.G Snacks Lahore"/>
    <s v="LDN"/>
    <n v="20"/>
    <s v="9.5-10"/>
    <s v="پیور"/>
    <n v="230"/>
    <x v="0"/>
    <n v="2"/>
    <n v="128.4"/>
    <n v="5.6"/>
    <m/>
    <x v="0"/>
    <n v="122.80000000000001"/>
    <m/>
    <m/>
    <x v="0"/>
    <x v="0"/>
    <n v="0"/>
    <n v="0"/>
    <x v="0"/>
    <x v="0"/>
    <m/>
    <x v="0"/>
    <x v="0"/>
    <x v="0"/>
    <x v="0"/>
    <x v="0"/>
    <n v="0"/>
    <n v="0"/>
    <n v="0"/>
    <n v="12"/>
    <x v="1"/>
    <x v="0"/>
    <m/>
    <x v="0"/>
    <n v="128.4"/>
    <x v="0"/>
    <x v="3"/>
    <x v="0"/>
    <x v="0"/>
    <x v="0"/>
  </r>
  <r>
    <x v="0"/>
    <x v="4"/>
    <s v="3921 J"/>
    <x v="81"/>
    <s v="Cakes and Bakes Lahore"/>
    <s v="LDN"/>
    <n v="36"/>
    <s v="14"/>
    <s v="پیور"/>
    <n v="100"/>
    <x v="0"/>
    <n v="1"/>
    <n v="105.8"/>
    <n v="4.5999999999999996"/>
    <n v="39"/>
    <x v="0"/>
    <n v="101.2"/>
    <m/>
    <m/>
    <x v="0"/>
    <x v="0"/>
    <n v="0"/>
    <n v="0"/>
    <x v="0"/>
    <x v="0"/>
    <m/>
    <x v="0"/>
    <x v="0"/>
    <x v="0"/>
    <x v="0"/>
    <x v="0"/>
    <n v="0"/>
    <n v="0"/>
    <n v="0"/>
    <n v="12"/>
    <x v="1"/>
    <x v="0"/>
    <m/>
    <x v="0"/>
    <n v="105.8"/>
    <x v="0"/>
    <x v="3"/>
    <x v="0"/>
    <x v="0"/>
    <x v="0"/>
  </r>
  <r>
    <x v="0"/>
    <x v="4"/>
    <s v="2781 J"/>
    <x v="81"/>
    <s v="کینٹر پرا‏ئیویٹ لیمیٹڈ"/>
    <s v="LDN"/>
    <n v="17"/>
    <s v="8.5-9"/>
    <s v="پیور"/>
    <n v="0"/>
    <x v="0"/>
    <n v="1"/>
    <n v="114.8"/>
    <n v="2.85"/>
    <m/>
    <x v="0"/>
    <n v="111.95"/>
    <m/>
    <m/>
    <x v="0"/>
    <x v="0"/>
    <n v="0"/>
    <n v="0"/>
    <x v="0"/>
    <x v="0"/>
    <m/>
    <x v="0"/>
    <x v="0"/>
    <x v="0"/>
    <x v="0"/>
    <x v="0"/>
    <n v="0"/>
    <n v="0"/>
    <n v="0"/>
    <n v="12"/>
    <x v="1"/>
    <x v="0"/>
    <m/>
    <x v="0"/>
    <n v="114.8"/>
    <x v="0"/>
    <x v="3"/>
    <x v="0"/>
    <x v="0"/>
    <x v="0"/>
  </r>
  <r>
    <x v="1"/>
    <x v="4"/>
    <s v="2781 J"/>
    <x v="81"/>
    <s v="کینٹر پرا‏ئیویٹ لیمیٹڈ"/>
    <s v="LDN"/>
    <n v="17"/>
    <s v="8.5-9"/>
    <s v="پیور"/>
    <n v="0"/>
    <x v="0"/>
    <n v="5"/>
    <n v="532.20000000000005"/>
    <n v="15"/>
    <n v="25"/>
    <x v="0"/>
    <n v="517.20000000000005"/>
    <m/>
    <m/>
    <x v="0"/>
    <x v="0"/>
    <n v="0"/>
    <n v="0"/>
    <x v="0"/>
    <x v="0"/>
    <n v="60"/>
    <x v="0"/>
    <x v="0"/>
    <x v="0"/>
    <x v="0"/>
    <x v="0"/>
    <n v="60"/>
    <n v="1"/>
    <n v="1"/>
    <n v="11"/>
    <x v="1"/>
    <x v="0"/>
    <m/>
    <x v="0"/>
    <n v="532.20000000000005"/>
    <x v="0"/>
    <x v="3"/>
    <x v="0"/>
    <x v="0"/>
    <x v="0"/>
  </r>
  <r>
    <x v="1"/>
    <x v="4"/>
    <s v="1829 F"/>
    <x v="81"/>
    <s v="Usman Amin"/>
    <s v="LDN"/>
    <n v="21"/>
    <s v="8-8.5"/>
    <s v="جیلانی شیٹ"/>
    <n v="60"/>
    <x v="0"/>
    <n v="3"/>
    <n v="132.80000000000001"/>
    <n v="9"/>
    <m/>
    <x v="0"/>
    <n v="123.80000000000001"/>
    <m/>
    <m/>
    <x v="0"/>
    <x v="0"/>
    <n v="0"/>
    <n v="0"/>
    <x v="0"/>
    <x v="0"/>
    <m/>
    <x v="0"/>
    <x v="0"/>
    <x v="0"/>
    <x v="0"/>
    <x v="0"/>
    <n v="0"/>
    <n v="0"/>
    <n v="0"/>
    <n v="12"/>
    <x v="1"/>
    <x v="0"/>
    <m/>
    <x v="0"/>
    <n v="132.80000000000001"/>
    <x v="0"/>
    <x v="3"/>
    <x v="0"/>
    <x v="0"/>
    <x v="0"/>
  </r>
  <r>
    <x v="0"/>
    <x v="5"/>
    <s v="2059 F"/>
    <x v="81"/>
    <s v="Usman Amin"/>
    <s v="LDN"/>
    <n v="19"/>
    <s v="12"/>
    <s v="پیور"/>
    <n v="400"/>
    <x v="0"/>
    <n v="1"/>
    <n v="50.1"/>
    <n v="2.2000000000000002"/>
    <n v="24"/>
    <x v="0"/>
    <n v="47.9"/>
    <m/>
    <m/>
    <x v="0"/>
    <x v="0"/>
    <n v="0"/>
    <n v="0"/>
    <x v="0"/>
    <x v="0"/>
    <m/>
    <x v="0"/>
    <x v="0"/>
    <x v="0"/>
    <x v="0"/>
    <x v="0"/>
    <n v="0"/>
    <n v="0"/>
    <n v="0"/>
    <n v="12"/>
    <x v="1"/>
    <x v="0"/>
    <m/>
    <x v="0"/>
    <n v="50.1"/>
    <x v="0"/>
    <x v="3"/>
    <x v="0"/>
    <x v="0"/>
    <x v="0"/>
  </r>
  <r>
    <x v="0"/>
    <x v="5"/>
    <s v="3927 J"/>
    <x v="81"/>
    <s v="Allied Impex Sialkot "/>
    <s v="LDN"/>
    <n v="17.5"/>
    <s v="8.5-9"/>
    <s v="پیور"/>
    <n v="100"/>
    <x v="0"/>
    <n v="2"/>
    <n v="103.05"/>
    <n v="4.2"/>
    <m/>
    <x v="0"/>
    <n v="98.85"/>
    <m/>
    <m/>
    <x v="0"/>
    <x v="0"/>
    <n v="0"/>
    <n v="0"/>
    <x v="0"/>
    <x v="0"/>
    <m/>
    <x v="0"/>
    <x v="0"/>
    <x v="0"/>
    <x v="0"/>
    <x v="0"/>
    <n v="0"/>
    <n v="0"/>
    <n v="0"/>
    <n v="12"/>
    <x v="1"/>
    <x v="0"/>
    <m/>
    <x v="0"/>
    <n v="103.05"/>
    <x v="0"/>
    <x v="3"/>
    <x v="0"/>
    <x v="0"/>
    <x v="0"/>
  </r>
  <r>
    <x v="0"/>
    <x v="5"/>
    <s v="3977 J"/>
    <x v="81"/>
    <s v="Waqas Wollan Mills Gujranwala"/>
    <s v="LDN"/>
    <n v="18"/>
    <s v="10-10.5"/>
    <s v="پیور"/>
    <n v="150"/>
    <x v="0"/>
    <n v="2"/>
    <n v="152"/>
    <n v="4"/>
    <m/>
    <x v="0"/>
    <n v="148"/>
    <m/>
    <m/>
    <x v="0"/>
    <x v="0"/>
    <n v="0"/>
    <n v="0"/>
    <x v="0"/>
    <x v="0"/>
    <m/>
    <x v="0"/>
    <x v="0"/>
    <x v="0"/>
    <x v="0"/>
    <x v="0"/>
    <n v="0"/>
    <n v="0"/>
    <n v="0"/>
    <n v="12"/>
    <x v="1"/>
    <x v="0"/>
    <m/>
    <x v="0"/>
    <n v="152"/>
    <x v="0"/>
    <x v="3"/>
    <x v="0"/>
    <x v="0"/>
    <x v="0"/>
  </r>
  <r>
    <x v="1"/>
    <x v="5"/>
    <s v="3992 J"/>
    <x v="81"/>
    <s v="Ibraheem Filter Industry (SMC.PVT.LTD)"/>
    <s v="LDN"/>
    <n v="16"/>
    <n v="8"/>
    <s v="پیور"/>
    <n v="690"/>
    <x v="0"/>
    <n v="5"/>
    <n v="323.2"/>
    <n v="15.8"/>
    <m/>
    <x v="0"/>
    <n v="307.39999999999998"/>
    <m/>
    <m/>
    <x v="0"/>
    <x v="0"/>
    <n v="0"/>
    <n v="0"/>
    <x v="0"/>
    <x v="0"/>
    <m/>
    <x v="0"/>
    <x v="0"/>
    <x v="0"/>
    <x v="0"/>
    <x v="0"/>
    <n v="0"/>
    <n v="0"/>
    <n v="0"/>
    <n v="12"/>
    <x v="1"/>
    <x v="0"/>
    <m/>
    <x v="0"/>
    <n v="323.2"/>
    <x v="0"/>
    <x v="3"/>
    <x v="0"/>
    <x v="0"/>
    <x v="0"/>
  </r>
  <r>
    <x v="0"/>
    <x v="3"/>
    <s v="3994 J"/>
    <x v="82"/>
    <s v="G.G Snacks Lahore"/>
    <s v="LDN"/>
    <n v="20"/>
    <s v="9.5-10"/>
    <s v="پیور"/>
    <n v="230"/>
    <x v="0"/>
    <n v="2"/>
    <n v="135"/>
    <n v="4.8"/>
    <n v="3"/>
    <x v="0"/>
    <n v="130.19999999999999"/>
    <m/>
    <m/>
    <x v="0"/>
    <x v="4"/>
    <n v="200"/>
    <n v="3.3333333333333335"/>
    <x v="0"/>
    <x v="0"/>
    <m/>
    <x v="0"/>
    <x v="0"/>
    <x v="0"/>
    <x v="0"/>
    <x v="0"/>
    <n v="0"/>
    <n v="0"/>
    <n v="3.3333333333333335"/>
    <n v="8.6666666666666661"/>
    <x v="1"/>
    <x v="0"/>
    <n v="2070"/>
    <x v="0"/>
    <n v="135"/>
    <x v="0"/>
    <x v="4"/>
    <x v="0"/>
    <x v="0"/>
    <x v="0"/>
  </r>
  <r>
    <x v="0"/>
    <x v="3"/>
    <s v="2075 F"/>
    <x v="82"/>
    <s v="Usman Amin"/>
    <s v="LDN"/>
    <n v="19"/>
    <s v="7.7.5"/>
    <s v="پیور"/>
    <n v="100"/>
    <x v="0"/>
    <n v="2"/>
    <n v="87.8"/>
    <n v="4.5999999999999996"/>
    <m/>
    <x v="0"/>
    <n v="83.2"/>
    <m/>
    <m/>
    <x v="0"/>
    <x v="0"/>
    <n v="0"/>
    <n v="0"/>
    <x v="0"/>
    <x v="0"/>
    <m/>
    <x v="0"/>
    <x v="0"/>
    <x v="0"/>
    <x v="0"/>
    <x v="0"/>
    <n v="0"/>
    <n v="0"/>
    <n v="0"/>
    <n v="12"/>
    <x v="1"/>
    <x v="0"/>
    <m/>
    <x v="0"/>
    <n v="87.8"/>
    <x v="0"/>
    <x v="4"/>
    <x v="0"/>
    <x v="0"/>
    <x v="0"/>
  </r>
  <r>
    <x v="1"/>
    <x v="3"/>
    <s v="3992 J"/>
    <x v="82"/>
    <s v="Ibraheem Filter Industry (SMC.PVT.LTD)"/>
    <s v="LDN"/>
    <n v="16"/>
    <n v="8"/>
    <s v="پیور"/>
    <n v="690"/>
    <x v="0"/>
    <n v="5"/>
    <n v="298.39999999999998"/>
    <n v="10.6"/>
    <m/>
    <x v="0"/>
    <n v="287.79999999999995"/>
    <m/>
    <m/>
    <x v="0"/>
    <x v="0"/>
    <n v="0"/>
    <n v="0"/>
    <x v="0"/>
    <x v="0"/>
    <m/>
    <x v="0"/>
    <x v="0"/>
    <x v="0"/>
    <x v="0"/>
    <x v="0"/>
    <n v="0"/>
    <n v="0"/>
    <n v="0"/>
    <n v="12"/>
    <x v="1"/>
    <x v="0"/>
    <m/>
    <x v="0"/>
    <n v="298.39999999999998"/>
    <x v="0"/>
    <x v="4"/>
    <x v="0"/>
    <x v="0"/>
    <x v="0"/>
  </r>
  <r>
    <x v="0"/>
    <x v="1"/>
    <s v="3999 J"/>
    <x v="82"/>
    <s v="Pizza Bank And Fast Food Kamoki"/>
    <s v="LDN"/>
    <n v="8"/>
    <s v="12-12.5"/>
    <s v="پیور"/>
    <n v="100"/>
    <x v="0"/>
    <n v="2"/>
    <n v="100.6"/>
    <n v="3"/>
    <n v="10"/>
    <x v="0"/>
    <n v="97.6"/>
    <m/>
    <n v="3"/>
    <x v="0"/>
    <x v="4"/>
    <n v="203"/>
    <n v="3.3833333333333333"/>
    <x v="0"/>
    <x v="0"/>
    <m/>
    <x v="0"/>
    <x v="0"/>
    <x v="0"/>
    <x v="0"/>
    <x v="0"/>
    <n v="0"/>
    <n v="0"/>
    <n v="3.3833333333333333"/>
    <n v="8.6166666666666671"/>
    <x v="1"/>
    <x v="0"/>
    <m/>
    <x v="0"/>
    <n v="100.6"/>
    <x v="0"/>
    <x v="4"/>
    <x v="0"/>
    <x v="0"/>
    <x v="0"/>
  </r>
  <r>
    <x v="0"/>
    <x v="1"/>
    <s v="3998 J"/>
    <x v="82"/>
    <s v="Pizza Bank And Fast Food Kamoki"/>
    <s v="LDN"/>
    <n v="8"/>
    <s v="12-12.5"/>
    <s v="پیور"/>
    <n v="100"/>
    <x v="0"/>
    <n v="2"/>
    <n v="68.599999999999994"/>
    <n v="3"/>
    <m/>
    <x v="0"/>
    <n v="65.599999999999994"/>
    <m/>
    <m/>
    <x v="0"/>
    <x v="0"/>
    <n v="0"/>
    <n v="0"/>
    <x v="0"/>
    <x v="0"/>
    <m/>
    <x v="0"/>
    <x v="0"/>
    <x v="0"/>
    <x v="0"/>
    <x v="0"/>
    <n v="0"/>
    <n v="0"/>
    <n v="0"/>
    <n v="12"/>
    <x v="1"/>
    <x v="0"/>
    <m/>
    <x v="0"/>
    <n v="68.599999999999994"/>
    <x v="0"/>
    <x v="4"/>
    <x v="0"/>
    <x v="0"/>
    <x v="0"/>
  </r>
  <r>
    <x v="1"/>
    <x v="1"/>
    <s v="3997 J"/>
    <x v="82"/>
    <s v="Pizza Bank And Fast Food Kamoki"/>
    <s v="LDN"/>
    <n v="8"/>
    <s v="12-12.5"/>
    <s v="پیور"/>
    <n v="100"/>
    <x v="0"/>
    <n v="2"/>
    <n v="107.80000000000001"/>
    <n v="3.5"/>
    <n v="5"/>
    <x v="0"/>
    <n v="104.30000000000001"/>
    <m/>
    <m/>
    <x v="0"/>
    <x v="0"/>
    <n v="0"/>
    <n v="0"/>
    <x v="0"/>
    <x v="0"/>
    <m/>
    <x v="0"/>
    <x v="0"/>
    <x v="0"/>
    <x v="0"/>
    <x v="0"/>
    <n v="0"/>
    <n v="0"/>
    <n v="0"/>
    <n v="12"/>
    <x v="1"/>
    <x v="0"/>
    <m/>
    <x v="0"/>
    <n v="107.80000000000001"/>
    <x v="0"/>
    <x v="4"/>
    <x v="0"/>
    <x v="0"/>
    <x v="0"/>
  </r>
  <r>
    <x v="1"/>
    <x v="1"/>
    <s v="3998 J"/>
    <x v="82"/>
    <s v="Pizza Bank And Fast Food Kamoki"/>
    <s v="LDN"/>
    <n v="8"/>
    <s v="12-12.5"/>
    <s v="پیور"/>
    <n v="100"/>
    <x v="0"/>
    <n v="1"/>
    <n v="38.4"/>
    <n v="1.8"/>
    <m/>
    <x v="0"/>
    <n v="36.6"/>
    <m/>
    <m/>
    <x v="0"/>
    <x v="0"/>
    <n v="0"/>
    <n v="0"/>
    <x v="0"/>
    <x v="0"/>
    <m/>
    <x v="0"/>
    <x v="0"/>
    <x v="0"/>
    <x v="0"/>
    <x v="0"/>
    <n v="0"/>
    <n v="0"/>
    <n v="0"/>
    <n v="12"/>
    <x v="1"/>
    <x v="0"/>
    <m/>
    <x v="0"/>
    <n v="38.4"/>
    <x v="0"/>
    <x v="4"/>
    <x v="0"/>
    <x v="0"/>
    <x v="0"/>
  </r>
  <r>
    <x v="1"/>
    <x v="1"/>
    <s v="4033 J"/>
    <x v="82"/>
    <s v="Chezo Cheez Lahore"/>
    <s v="LDN"/>
    <n v="11"/>
    <s v="18"/>
    <s v="پیور"/>
    <n v="150"/>
    <x v="0"/>
    <n v="2"/>
    <n v="110.19999999999999"/>
    <n v="1.3"/>
    <m/>
    <x v="0"/>
    <n v="108.89999999999999"/>
    <m/>
    <m/>
    <x v="0"/>
    <x v="0"/>
    <n v="0"/>
    <n v="0"/>
    <x v="0"/>
    <x v="0"/>
    <m/>
    <x v="0"/>
    <x v="0"/>
    <x v="0"/>
    <x v="0"/>
    <x v="0"/>
    <n v="0"/>
    <n v="0"/>
    <n v="0"/>
    <n v="12"/>
    <x v="1"/>
    <x v="0"/>
    <m/>
    <x v="0"/>
    <n v="110.19999999999999"/>
    <x v="0"/>
    <x v="4"/>
    <x v="0"/>
    <x v="0"/>
    <x v="0"/>
  </r>
  <r>
    <x v="0"/>
    <x v="2"/>
    <s v="3974 J"/>
    <x v="82"/>
    <s v="Waqas Wollan Mills Gujranwala"/>
    <s v="LD اورنج"/>
    <n v="15"/>
    <s v="10-10.5"/>
    <s v="ABA تھینکیو"/>
    <n v="350"/>
    <x v="0"/>
    <n v="2"/>
    <n v="106.8"/>
    <n v="3.4"/>
    <n v="25"/>
    <x v="0"/>
    <n v="103.39999999999999"/>
    <m/>
    <m/>
    <x v="0"/>
    <x v="0"/>
    <n v="0"/>
    <n v="0"/>
    <x v="0"/>
    <x v="0"/>
    <m/>
    <x v="0"/>
    <x v="0"/>
    <x v="0"/>
    <x v="0"/>
    <x v="0"/>
    <n v="0"/>
    <n v="0"/>
    <n v="0"/>
    <n v="12"/>
    <x v="1"/>
    <x v="0"/>
    <m/>
    <x v="0"/>
    <n v="106.8"/>
    <x v="0"/>
    <x v="4"/>
    <x v="0"/>
    <x v="0"/>
    <x v="0"/>
  </r>
  <r>
    <x v="0"/>
    <x v="2"/>
    <s v="3975 J"/>
    <x v="82"/>
    <s v="Waqas Wollan Mills Gujranwala"/>
    <s v="LD ریڈ"/>
    <n v="11"/>
    <s v="8-8.5"/>
    <s v="ABA تھینکیو"/>
    <n v="200"/>
    <x v="0"/>
    <n v="2"/>
    <n v="124.6"/>
    <n v="2.6"/>
    <m/>
    <x v="0"/>
    <n v="122"/>
    <m/>
    <m/>
    <x v="0"/>
    <x v="0"/>
    <n v="0"/>
    <n v="0"/>
    <x v="0"/>
    <x v="0"/>
    <m/>
    <x v="0"/>
    <x v="0"/>
    <x v="0"/>
    <x v="0"/>
    <x v="0"/>
    <n v="0"/>
    <n v="0"/>
    <n v="0"/>
    <n v="12"/>
    <x v="1"/>
    <x v="0"/>
    <m/>
    <x v="0"/>
    <n v="124.6"/>
    <x v="0"/>
    <x v="4"/>
    <x v="0"/>
    <x v="0"/>
    <x v="0"/>
  </r>
  <r>
    <x v="1"/>
    <x v="2"/>
    <s v="3975 J"/>
    <x v="82"/>
    <s v="Waqas Wollan Mills Gujranwala"/>
    <s v="LD ریڈ"/>
    <n v="11"/>
    <s v="8-8.5"/>
    <s v="ABA تھینکیو"/>
    <n v="200"/>
    <x v="0"/>
    <n v="3"/>
    <n v="115.8"/>
    <n v="4"/>
    <n v="9"/>
    <x v="0"/>
    <n v="111.8"/>
    <m/>
    <m/>
    <x v="0"/>
    <x v="0"/>
    <n v="0"/>
    <n v="0"/>
    <x v="0"/>
    <x v="0"/>
    <m/>
    <x v="0"/>
    <x v="0"/>
    <x v="0"/>
    <x v="0"/>
    <x v="0"/>
    <n v="0"/>
    <n v="0"/>
    <n v="0"/>
    <n v="12"/>
    <x v="1"/>
    <x v="0"/>
    <m/>
    <x v="0"/>
    <n v="115.8"/>
    <x v="0"/>
    <x v="4"/>
    <x v="0"/>
    <x v="0"/>
    <x v="0"/>
  </r>
  <r>
    <x v="1"/>
    <x v="2"/>
    <s v="3976 J"/>
    <x v="82"/>
    <s v="Waqas Wollan Mills Gujranwala"/>
    <s v="LD گرین"/>
    <n v="14"/>
    <s v="8-8.5"/>
    <s v="ABA تھینکیو"/>
    <n v="200"/>
    <x v="0"/>
    <n v="3"/>
    <n v="199.4"/>
    <n v="5.4"/>
    <m/>
    <x v="0"/>
    <n v="194"/>
    <m/>
    <m/>
    <x v="0"/>
    <x v="0"/>
    <n v="0"/>
    <n v="0"/>
    <x v="0"/>
    <x v="0"/>
    <m/>
    <x v="0"/>
    <x v="0"/>
    <x v="0"/>
    <x v="0"/>
    <x v="0"/>
    <n v="0"/>
    <n v="0"/>
    <n v="0"/>
    <n v="12"/>
    <x v="1"/>
    <x v="0"/>
    <m/>
    <x v="0"/>
    <n v="199.4"/>
    <x v="0"/>
    <x v="4"/>
    <x v="0"/>
    <x v="0"/>
    <x v="0"/>
  </r>
  <r>
    <x v="0"/>
    <x v="4"/>
    <n v="2781"/>
    <x v="82"/>
    <s v="MATCO FOOD"/>
    <s v="LDN"/>
    <s v="23-23.5"/>
    <s v="70 G+-1"/>
    <s v="SL"/>
    <s v="4900 KG"/>
    <x v="0"/>
    <n v="4"/>
    <n v="419.40000000000003"/>
    <n v="12"/>
    <n v="15"/>
    <x v="0"/>
    <n v="407.40000000000003"/>
    <m/>
    <m/>
    <x v="0"/>
    <x v="2"/>
    <n v="180"/>
    <n v="3"/>
    <x v="0"/>
    <x v="0"/>
    <m/>
    <x v="0"/>
    <x v="0"/>
    <x v="0"/>
    <x v="0"/>
    <x v="0"/>
    <n v="0"/>
    <n v="0"/>
    <n v="3"/>
    <n v="9"/>
    <x v="1"/>
    <x v="0"/>
    <m/>
    <x v="0"/>
    <n v="419.40000000000003"/>
    <x v="0"/>
    <x v="4"/>
    <x v="0"/>
    <x v="0"/>
    <x v="0"/>
  </r>
  <r>
    <x v="1"/>
    <x v="4"/>
    <n v="2781"/>
    <x v="82"/>
    <s v="MATCO FOOD"/>
    <s v="LDN"/>
    <s v="23-23.5"/>
    <s v="70 G+-1"/>
    <s v="SL"/>
    <s v="4900 KG"/>
    <x v="0"/>
    <n v="6"/>
    <n v="634.4"/>
    <n v="18"/>
    <n v="10"/>
    <x v="0"/>
    <n v="616.4"/>
    <m/>
    <m/>
    <x v="0"/>
    <x v="0"/>
    <n v="0"/>
    <n v="0"/>
    <x v="0"/>
    <x v="0"/>
    <m/>
    <x v="0"/>
    <x v="0"/>
    <x v="0"/>
    <x v="0"/>
    <x v="0"/>
    <n v="0"/>
    <n v="0"/>
    <n v="0"/>
    <n v="12"/>
    <x v="1"/>
    <x v="0"/>
    <m/>
    <x v="0"/>
    <n v="634.4"/>
    <x v="0"/>
    <x v="4"/>
    <x v="0"/>
    <x v="0"/>
    <x v="0"/>
  </r>
  <r>
    <x v="1"/>
    <x v="4"/>
    <s v="2080 F"/>
    <x v="82"/>
    <s v="Usman Amin"/>
    <s v="LDN"/>
    <n v="19"/>
    <s v="12"/>
    <s v="پیور"/>
    <n v="100"/>
    <x v="0"/>
    <n v="1"/>
    <n v="54.8"/>
    <n v="2.4"/>
    <m/>
    <x v="0"/>
    <n v="52.4"/>
    <m/>
    <m/>
    <x v="0"/>
    <x v="0"/>
    <n v="0"/>
    <n v="0"/>
    <x v="0"/>
    <x v="0"/>
    <m/>
    <x v="0"/>
    <x v="0"/>
    <x v="0"/>
    <x v="0"/>
    <x v="0"/>
    <n v="0"/>
    <n v="0"/>
    <n v="0"/>
    <n v="12"/>
    <x v="1"/>
    <x v="0"/>
    <m/>
    <x v="0"/>
    <n v="54.8"/>
    <x v="0"/>
    <x v="4"/>
    <x v="0"/>
    <x v="0"/>
    <x v="0"/>
  </r>
  <r>
    <x v="0"/>
    <x v="1"/>
    <s v="4033 J"/>
    <x v="83"/>
    <s v="Chezo Cheez Lahore"/>
    <s v="LDN"/>
    <n v="11"/>
    <s v="18"/>
    <s v="پیور"/>
    <n v="150"/>
    <x v="0"/>
    <n v="1"/>
    <n v="47.8"/>
    <n v="1.5"/>
    <m/>
    <x v="0"/>
    <n v="46.3"/>
    <m/>
    <m/>
    <x v="0"/>
    <x v="0"/>
    <n v="0"/>
    <n v="0"/>
    <x v="0"/>
    <x v="0"/>
    <m/>
    <x v="0"/>
    <x v="0"/>
    <x v="0"/>
    <x v="0"/>
    <x v="0"/>
    <n v="0"/>
    <n v="0"/>
    <n v="0"/>
    <n v="12"/>
    <x v="1"/>
    <x v="0"/>
    <n v="2057"/>
    <x v="0"/>
    <n v="47.8"/>
    <x v="0"/>
    <x v="4"/>
    <x v="0"/>
    <x v="0"/>
    <x v="0"/>
  </r>
  <r>
    <x v="0"/>
    <x v="1"/>
    <s v="4009 J"/>
    <x v="83"/>
    <s v="Shafique Khan SB Sheikhupura"/>
    <s v="LDN"/>
    <n v="7"/>
    <s v="7.5-8"/>
    <s v="پیور"/>
    <n v="100"/>
    <x v="0"/>
    <n v="2"/>
    <n v="101.80000000000001"/>
    <n v="1.8"/>
    <m/>
    <x v="0"/>
    <n v="100.00000000000001"/>
    <n v="7"/>
    <m/>
    <x v="0"/>
    <x v="0"/>
    <n v="0"/>
    <n v="0"/>
    <x v="0"/>
    <x v="0"/>
    <m/>
    <x v="0"/>
    <x v="0"/>
    <x v="0"/>
    <x v="0"/>
    <x v="0"/>
    <n v="0"/>
    <n v="0"/>
    <n v="0"/>
    <n v="12"/>
    <x v="1"/>
    <x v="0"/>
    <m/>
    <x v="0"/>
    <n v="101.80000000000001"/>
    <x v="0"/>
    <x v="4"/>
    <x v="0"/>
    <x v="0"/>
    <x v="0"/>
  </r>
  <r>
    <x v="0"/>
    <x v="1"/>
    <s v="3875 J"/>
    <x v="83"/>
    <s v="Umair PP Adda Crown C/O Majest Plastic LHR"/>
    <s v="LDM"/>
    <n v="18"/>
    <s v="12-13"/>
    <s v="سپیشل تھینکیو ABA"/>
    <n v="2000"/>
    <x v="0"/>
    <n v="2"/>
    <n v="95.4"/>
    <n v="4"/>
    <m/>
    <x v="0"/>
    <n v="91.4"/>
    <m/>
    <m/>
    <x v="0"/>
    <x v="0"/>
    <n v="0"/>
    <n v="0"/>
    <x v="0"/>
    <x v="0"/>
    <m/>
    <x v="0"/>
    <x v="0"/>
    <x v="0"/>
    <x v="0"/>
    <x v="0"/>
    <n v="0"/>
    <n v="0"/>
    <n v="0"/>
    <n v="12"/>
    <x v="1"/>
    <x v="0"/>
    <m/>
    <x v="0"/>
    <n v="95.4"/>
    <x v="0"/>
    <x v="4"/>
    <x v="0"/>
    <x v="0"/>
    <x v="0"/>
  </r>
  <r>
    <x v="1"/>
    <x v="1"/>
    <s v="4008 J"/>
    <x v="83"/>
    <s v="Shafique Khan SB Sheikhupura"/>
    <s v="LDN"/>
    <n v="6.5"/>
    <s v="7.5-8"/>
    <s v="پیور"/>
    <n v="120"/>
    <x v="0"/>
    <n v="3"/>
    <n v="124.20000000000002"/>
    <n v="2.4000000000000004"/>
    <m/>
    <x v="0"/>
    <n v="121.80000000000001"/>
    <m/>
    <m/>
    <x v="0"/>
    <x v="0"/>
    <n v="0"/>
    <n v="0"/>
    <x v="0"/>
    <x v="0"/>
    <m/>
    <x v="0"/>
    <x v="0"/>
    <x v="0"/>
    <x v="0"/>
    <x v="0"/>
    <n v="0"/>
    <n v="0"/>
    <n v="0"/>
    <n v="12"/>
    <x v="1"/>
    <x v="0"/>
    <m/>
    <x v="0"/>
    <n v="124.20000000000002"/>
    <x v="0"/>
    <x v="4"/>
    <x v="0"/>
    <x v="0"/>
    <x v="0"/>
  </r>
  <r>
    <x v="1"/>
    <x v="1"/>
    <s v="2079 F"/>
    <x v="83"/>
    <s v="Usman Amin"/>
    <s v="LDN"/>
    <n v="15"/>
    <s v="12"/>
    <s v="پیور"/>
    <n v="300"/>
    <x v="0"/>
    <n v="1"/>
    <n v="73.400000000000006"/>
    <n v="1.8"/>
    <m/>
    <x v="0"/>
    <n v="71.600000000000009"/>
    <m/>
    <m/>
    <x v="0"/>
    <x v="0"/>
    <n v="0"/>
    <n v="0"/>
    <x v="0"/>
    <x v="0"/>
    <m/>
    <x v="0"/>
    <x v="0"/>
    <x v="0"/>
    <x v="0"/>
    <x v="0"/>
    <n v="0"/>
    <n v="0"/>
    <n v="0"/>
    <n v="12"/>
    <x v="1"/>
    <x v="0"/>
    <m/>
    <x v="0"/>
    <n v="73.400000000000006"/>
    <x v="0"/>
    <x v="4"/>
    <x v="0"/>
    <x v="0"/>
    <x v="0"/>
  </r>
  <r>
    <x v="0"/>
    <x v="2"/>
    <s v="3923 J"/>
    <x v="83"/>
    <s v="Fixit Tile Band Lahore"/>
    <s v="LDM"/>
    <n v="15"/>
    <s v="24-25"/>
    <s v="ABA پیور"/>
    <n v="110"/>
    <x v="0"/>
    <n v="2"/>
    <n v="133.6"/>
    <n v="3.4"/>
    <m/>
    <x v="0"/>
    <n v="130.19999999999999"/>
    <n v="10"/>
    <m/>
    <x v="0"/>
    <x v="0"/>
    <n v="0"/>
    <n v="0"/>
    <x v="0"/>
    <x v="0"/>
    <m/>
    <x v="0"/>
    <x v="0"/>
    <x v="0"/>
    <x v="0"/>
    <x v="0"/>
    <n v="0"/>
    <n v="0"/>
    <n v="0"/>
    <n v="12"/>
    <x v="1"/>
    <x v="0"/>
    <m/>
    <x v="0"/>
    <n v="133.6"/>
    <x v="0"/>
    <x v="4"/>
    <x v="0"/>
    <x v="0"/>
    <x v="0"/>
  </r>
  <r>
    <x v="0"/>
    <x v="2"/>
    <s v="3922 J"/>
    <x v="83"/>
    <s v="Ramada Multan"/>
    <s v="LDM"/>
    <n v="18"/>
    <s v="12-13"/>
    <s v="ABA پیور"/>
    <n v="100"/>
    <x v="0"/>
    <n v="2"/>
    <n v="106.1"/>
    <n v="4.2"/>
    <m/>
    <x v="0"/>
    <n v="101.89999999999999"/>
    <m/>
    <m/>
    <x v="0"/>
    <x v="0"/>
    <n v="0"/>
    <n v="0"/>
    <x v="0"/>
    <x v="0"/>
    <m/>
    <x v="0"/>
    <x v="0"/>
    <x v="0"/>
    <x v="0"/>
    <x v="0"/>
    <n v="0"/>
    <n v="0"/>
    <n v="0"/>
    <n v="12"/>
    <x v="1"/>
    <x v="0"/>
    <m/>
    <x v="0"/>
    <n v="106.1"/>
    <x v="0"/>
    <x v="4"/>
    <x v="0"/>
    <x v="0"/>
    <x v="0"/>
  </r>
  <r>
    <x v="1"/>
    <x v="2"/>
    <s v="3875 J"/>
    <x v="83"/>
    <s v="Umair PP Adda Crown C/O Majest Plastic LHR"/>
    <s v="LDM"/>
    <n v="18"/>
    <s v="12-13"/>
    <s v="سپیشل تھینکیو ABA"/>
    <n v="2000"/>
    <x v="0"/>
    <n v="4"/>
    <n v="197"/>
    <n v="9"/>
    <m/>
    <x v="0"/>
    <n v="188"/>
    <m/>
    <m/>
    <x v="0"/>
    <x v="0"/>
    <n v="0"/>
    <n v="0"/>
    <x v="0"/>
    <x v="0"/>
    <m/>
    <x v="0"/>
    <x v="0"/>
    <x v="0"/>
    <x v="0"/>
    <x v="0"/>
    <n v="0"/>
    <n v="0"/>
    <n v="0"/>
    <n v="12"/>
    <x v="1"/>
    <x v="0"/>
    <m/>
    <x v="0"/>
    <n v="197"/>
    <x v="0"/>
    <x v="4"/>
    <x v="0"/>
    <x v="0"/>
    <x v="0"/>
  </r>
  <r>
    <x v="1"/>
    <x v="2"/>
    <s v="3877 J"/>
    <x v="83"/>
    <s v="Umair PP Adda Crown C/O Majest Plastic LHR"/>
    <s v="LDM"/>
    <n v="18"/>
    <s v="12-13"/>
    <s v="سپیشل تھینکیو ABA"/>
    <n v="250"/>
    <x v="0"/>
    <n v="2"/>
    <n v="88.8"/>
    <n v="2.2000000000000002"/>
    <m/>
    <x v="0"/>
    <n v="86.6"/>
    <m/>
    <m/>
    <x v="0"/>
    <x v="0"/>
    <n v="0"/>
    <n v="0"/>
    <x v="0"/>
    <x v="0"/>
    <m/>
    <x v="0"/>
    <x v="0"/>
    <x v="0"/>
    <x v="0"/>
    <x v="0"/>
    <n v="0"/>
    <n v="0"/>
    <n v="0"/>
    <n v="12"/>
    <x v="1"/>
    <x v="0"/>
    <m/>
    <x v="0"/>
    <n v="88.8"/>
    <x v="0"/>
    <x v="4"/>
    <x v="0"/>
    <x v="0"/>
    <x v="0"/>
  </r>
  <r>
    <x v="1"/>
    <x v="2"/>
    <s v="3874 J"/>
    <x v="83"/>
    <s v="Umair PP Adda Crown C/O Majest Plastic LHR"/>
    <s v="LDM"/>
    <n v="16"/>
    <s v="12-13"/>
    <s v="سپیشل تھینکیو ABA"/>
    <n v="1000"/>
    <x v="0"/>
    <n v="2"/>
    <n v="88.800000000000011"/>
    <n v="3.8"/>
    <m/>
    <x v="0"/>
    <n v="85.000000000000014"/>
    <m/>
    <m/>
    <x v="0"/>
    <x v="0"/>
    <n v="0"/>
    <n v="0"/>
    <x v="0"/>
    <x v="0"/>
    <m/>
    <x v="0"/>
    <x v="0"/>
    <x v="0"/>
    <x v="0"/>
    <x v="0"/>
    <n v="0"/>
    <n v="0"/>
    <n v="0"/>
    <n v="12"/>
    <x v="1"/>
    <x v="0"/>
    <m/>
    <x v="0"/>
    <n v="88.800000000000011"/>
    <x v="0"/>
    <x v="4"/>
    <x v="0"/>
    <x v="0"/>
    <x v="0"/>
  </r>
  <r>
    <x v="1"/>
    <x v="2"/>
    <s v="4075 J"/>
    <x v="83"/>
    <s v="The Kids Mall Lahore"/>
    <s v="LDM"/>
    <n v="16"/>
    <s v="13.5-14"/>
    <s v="ABA پیور"/>
    <n v="200"/>
    <x v="0"/>
    <n v="1"/>
    <n v="90"/>
    <n v="4.2"/>
    <m/>
    <x v="0"/>
    <n v="85.8"/>
    <m/>
    <m/>
    <x v="0"/>
    <x v="0"/>
    <n v="0"/>
    <n v="0"/>
    <x v="0"/>
    <x v="0"/>
    <m/>
    <x v="0"/>
    <x v="0"/>
    <x v="0"/>
    <x v="0"/>
    <x v="0"/>
    <n v="0"/>
    <n v="0"/>
    <n v="0"/>
    <n v="12"/>
    <x v="1"/>
    <x v="0"/>
    <m/>
    <x v="0"/>
    <n v="90"/>
    <x v="0"/>
    <x v="4"/>
    <x v="0"/>
    <x v="0"/>
    <x v="0"/>
  </r>
  <r>
    <x v="0"/>
    <x v="3"/>
    <s v="3992 J"/>
    <x v="83"/>
    <s v="Ibraheem Filter Industry (SMC.PVT.LTD)"/>
    <s v="LDN"/>
    <n v="16"/>
    <n v="8"/>
    <s v="پیور"/>
    <n v="690"/>
    <x v="0"/>
    <n v="7"/>
    <n v="338.49"/>
    <n v="13.61"/>
    <m/>
    <x v="0"/>
    <n v="324.88"/>
    <m/>
    <m/>
    <x v="0"/>
    <x v="0"/>
    <n v="0"/>
    <n v="0"/>
    <x v="0"/>
    <x v="0"/>
    <m/>
    <x v="0"/>
    <x v="0"/>
    <x v="0"/>
    <x v="0"/>
    <x v="0"/>
    <n v="0"/>
    <n v="0"/>
    <n v="0"/>
    <n v="12"/>
    <x v="1"/>
    <x v="0"/>
    <m/>
    <x v="0"/>
    <n v="338.49"/>
    <x v="0"/>
    <x v="4"/>
    <x v="0"/>
    <x v="0"/>
    <x v="0"/>
  </r>
  <r>
    <x v="1"/>
    <x v="3"/>
    <s v="2081 F"/>
    <x v="83"/>
    <s v="Usman Amin"/>
    <s v="LDN"/>
    <n v="16"/>
    <s v="8"/>
    <s v="پیور"/>
    <n v="200"/>
    <x v="0"/>
    <n v="5"/>
    <n v="208.60000000000002"/>
    <n v="9.9"/>
    <m/>
    <x v="0"/>
    <n v="198.70000000000002"/>
    <m/>
    <m/>
    <x v="0"/>
    <x v="0"/>
    <n v="0"/>
    <n v="0"/>
    <x v="0"/>
    <x v="0"/>
    <m/>
    <x v="0"/>
    <x v="0"/>
    <x v="0"/>
    <x v="0"/>
    <x v="0"/>
    <n v="0"/>
    <n v="0"/>
    <n v="0"/>
    <n v="12"/>
    <x v="1"/>
    <x v="0"/>
    <m/>
    <x v="0"/>
    <n v="208.60000000000002"/>
    <x v="0"/>
    <x v="4"/>
    <x v="0"/>
    <x v="0"/>
    <x v="0"/>
  </r>
  <r>
    <x v="1"/>
    <x v="3"/>
    <s v="2091 F"/>
    <x v="83"/>
    <s v="Usman Amin"/>
    <s v="LDN"/>
    <n v="17"/>
    <s v="7-7.5"/>
    <s v="پیور"/>
    <n v="600"/>
    <x v="0"/>
    <n v="1"/>
    <n v="46.8"/>
    <n v="2"/>
    <m/>
    <x v="0"/>
    <n v="44.8"/>
    <m/>
    <m/>
    <x v="0"/>
    <x v="0"/>
    <n v="0"/>
    <n v="0"/>
    <x v="0"/>
    <x v="0"/>
    <m/>
    <x v="0"/>
    <x v="0"/>
    <x v="0"/>
    <x v="0"/>
    <x v="0"/>
    <n v="0"/>
    <n v="0"/>
    <n v="0"/>
    <n v="12"/>
    <x v="1"/>
    <x v="0"/>
    <m/>
    <x v="0"/>
    <n v="46.8"/>
    <x v="0"/>
    <x v="4"/>
    <x v="0"/>
    <x v="0"/>
    <x v="0"/>
  </r>
  <r>
    <x v="0"/>
    <x v="4"/>
    <s v="2080 F"/>
    <x v="83"/>
    <s v="Usman Amin"/>
    <s v="LDN"/>
    <n v="19"/>
    <s v="12"/>
    <s v="پیور"/>
    <n v="100"/>
    <x v="0"/>
    <n v="2"/>
    <n v="107.80000000000001"/>
    <n v="4.4000000000000004"/>
    <n v="160"/>
    <x v="0"/>
    <n v="103.4"/>
    <n v="5"/>
    <m/>
    <x v="0"/>
    <x v="0"/>
    <n v="0"/>
    <n v="0"/>
    <x v="2"/>
    <x v="0"/>
    <m/>
    <x v="0"/>
    <x v="0"/>
    <x v="0"/>
    <x v="8"/>
    <x v="0"/>
    <n v="275"/>
    <n v="4.583333333333333"/>
    <n v="4.583333333333333"/>
    <n v="7.416666666666667"/>
    <x v="1"/>
    <x v="0"/>
    <m/>
    <x v="0"/>
    <n v="107.80000000000001"/>
    <x v="0"/>
    <x v="4"/>
    <x v="0"/>
    <x v="0"/>
    <x v="0"/>
  </r>
  <r>
    <x v="0"/>
    <x v="4"/>
    <s v="2082 F"/>
    <x v="83"/>
    <s v="Usman Amin"/>
    <s v="LDN"/>
    <n v="17"/>
    <s v="8"/>
    <s v="پیور"/>
    <n v="100"/>
    <x v="0"/>
    <n v="2"/>
    <n v="105.2"/>
    <n v="4.4000000000000004"/>
    <m/>
    <x v="0"/>
    <n v="100.8"/>
    <m/>
    <m/>
    <x v="0"/>
    <x v="0"/>
    <n v="0"/>
    <n v="0"/>
    <x v="0"/>
    <x v="0"/>
    <m/>
    <x v="0"/>
    <x v="0"/>
    <x v="0"/>
    <x v="0"/>
    <x v="0"/>
    <n v="0"/>
    <n v="0"/>
    <n v="0"/>
    <n v="12"/>
    <x v="1"/>
    <x v="0"/>
    <m/>
    <x v="0"/>
    <n v="105.2"/>
    <x v="0"/>
    <x v="4"/>
    <x v="0"/>
    <x v="0"/>
    <x v="0"/>
  </r>
  <r>
    <x v="0"/>
    <x v="4"/>
    <s v="2083 F"/>
    <x v="83"/>
    <s v="Usman Amin"/>
    <s v="LDN"/>
    <n v="27.5"/>
    <s v="4/8"/>
    <s v="پیور"/>
    <n v="150"/>
    <x v="0"/>
    <n v="2"/>
    <n v="141.19999999999999"/>
    <n v="6.8"/>
    <m/>
    <x v="0"/>
    <n v="134.39999999999998"/>
    <m/>
    <m/>
    <x v="0"/>
    <x v="0"/>
    <n v="0"/>
    <n v="0"/>
    <x v="0"/>
    <x v="0"/>
    <m/>
    <x v="0"/>
    <x v="0"/>
    <x v="0"/>
    <x v="0"/>
    <x v="0"/>
    <n v="0"/>
    <n v="0"/>
    <n v="0"/>
    <n v="12"/>
    <x v="1"/>
    <x v="0"/>
    <m/>
    <x v="0"/>
    <n v="141.19999999999999"/>
    <x v="0"/>
    <x v="4"/>
    <x v="0"/>
    <x v="0"/>
    <x v="0"/>
  </r>
  <r>
    <x v="0"/>
    <x v="4"/>
    <n v="2781"/>
    <x v="83"/>
    <s v="MATCO FOOD"/>
    <s v="LDN"/>
    <s v="23-23.5"/>
    <s v="70 G+-1"/>
    <s v="SL"/>
    <s v="4900 KG"/>
    <x v="0"/>
    <n v="3"/>
    <n v="322"/>
    <n v="6.8999999999999995"/>
    <m/>
    <x v="0"/>
    <n v="315.10000000000002"/>
    <m/>
    <m/>
    <x v="0"/>
    <x v="0"/>
    <n v="0"/>
    <n v="0"/>
    <x v="0"/>
    <x v="0"/>
    <m/>
    <x v="0"/>
    <x v="0"/>
    <x v="0"/>
    <x v="0"/>
    <x v="0"/>
    <n v="0"/>
    <n v="0"/>
    <n v="0"/>
    <n v="12"/>
    <x v="1"/>
    <x v="0"/>
    <m/>
    <x v="0"/>
    <n v="322"/>
    <x v="0"/>
    <x v="4"/>
    <x v="0"/>
    <x v="0"/>
    <x v="0"/>
  </r>
  <r>
    <x v="1"/>
    <x v="4"/>
    <s v="2085 F"/>
    <x v="83"/>
    <s v="Usman Amin"/>
    <s v="LDN"/>
    <n v="27"/>
    <s v="4/8"/>
    <s v="پیور"/>
    <n v="150"/>
    <x v="0"/>
    <n v="2"/>
    <n v="154"/>
    <n v="6.8"/>
    <n v="142"/>
    <x v="0"/>
    <n v="147.19999999999999"/>
    <n v="15"/>
    <m/>
    <x v="0"/>
    <x v="0"/>
    <n v="0"/>
    <n v="0"/>
    <x v="0"/>
    <x v="0"/>
    <m/>
    <x v="0"/>
    <x v="0"/>
    <x v="0"/>
    <x v="0"/>
    <x v="0"/>
    <n v="0"/>
    <n v="0"/>
    <n v="0"/>
    <n v="12"/>
    <x v="1"/>
    <x v="0"/>
    <m/>
    <x v="0"/>
    <n v="154"/>
    <x v="0"/>
    <x v="4"/>
    <x v="0"/>
    <x v="0"/>
    <x v="0"/>
  </r>
  <r>
    <x v="1"/>
    <x v="4"/>
    <s v="3890 J"/>
    <x v="83"/>
    <s v="Wazirstan Tex Azam Market LHR"/>
    <s v="LDN"/>
    <n v="36"/>
    <s v="10-10.5"/>
    <s v="پیور"/>
    <n v="100"/>
    <x v="0"/>
    <n v="1"/>
    <n v="45.8"/>
    <n v="4.5999999999999996"/>
    <m/>
    <x v="0"/>
    <n v="41.199999999999996"/>
    <m/>
    <m/>
    <x v="0"/>
    <x v="0"/>
    <n v="0"/>
    <n v="0"/>
    <x v="0"/>
    <x v="0"/>
    <m/>
    <x v="0"/>
    <x v="0"/>
    <x v="0"/>
    <x v="0"/>
    <x v="0"/>
    <n v="0"/>
    <n v="0"/>
    <n v="0"/>
    <n v="12"/>
    <x v="1"/>
    <x v="0"/>
    <m/>
    <x v="0"/>
    <n v="45.8"/>
    <x v="0"/>
    <x v="4"/>
    <x v="0"/>
    <x v="0"/>
    <x v="0"/>
  </r>
  <r>
    <x v="1"/>
    <x v="4"/>
    <s v="3891 J"/>
    <x v="83"/>
    <s v="Wazirstan Tex Azam Market LHR"/>
    <s v="LDN"/>
    <n v="36"/>
    <s v="10-10.5"/>
    <s v="پیور"/>
    <n v="100"/>
    <x v="0"/>
    <n v="2"/>
    <n v="118.4"/>
    <n v="9.1999999999999993"/>
    <m/>
    <x v="0"/>
    <n v="109.2"/>
    <m/>
    <m/>
    <x v="0"/>
    <x v="0"/>
    <n v="0"/>
    <n v="0"/>
    <x v="0"/>
    <x v="0"/>
    <m/>
    <x v="0"/>
    <x v="0"/>
    <x v="0"/>
    <x v="0"/>
    <x v="0"/>
    <n v="0"/>
    <n v="0"/>
    <n v="0"/>
    <n v="12"/>
    <x v="1"/>
    <x v="0"/>
    <m/>
    <x v="0"/>
    <n v="118.4"/>
    <x v="0"/>
    <x v="4"/>
    <x v="0"/>
    <x v="0"/>
    <x v="0"/>
  </r>
  <r>
    <x v="1"/>
    <x v="4"/>
    <s v="2086 F"/>
    <x v="83"/>
    <s v="Usman Amin"/>
    <s v="LDN"/>
    <n v="36"/>
    <s v="4/8"/>
    <s v="پیور"/>
    <n v="200"/>
    <x v="0"/>
    <n v="4"/>
    <n v="224"/>
    <n v="18.399999999999999"/>
    <m/>
    <x v="0"/>
    <n v="205.6"/>
    <m/>
    <m/>
    <x v="0"/>
    <x v="0"/>
    <n v="0"/>
    <n v="0"/>
    <x v="0"/>
    <x v="0"/>
    <m/>
    <x v="0"/>
    <x v="0"/>
    <x v="0"/>
    <x v="0"/>
    <x v="0"/>
    <n v="0"/>
    <n v="0"/>
    <n v="0"/>
    <n v="12"/>
    <x v="1"/>
    <x v="0"/>
    <m/>
    <x v="0"/>
    <n v="224"/>
    <x v="0"/>
    <x v="4"/>
    <x v="0"/>
    <x v="0"/>
    <x v="0"/>
  </r>
  <r>
    <x v="1"/>
    <x v="4"/>
    <s v="2084 F"/>
    <x v="83"/>
    <s v="Usman Amin"/>
    <s v="LDN"/>
    <n v="37"/>
    <s v="4/8"/>
    <s v="پیور"/>
    <n v="300"/>
    <x v="0"/>
    <n v="6"/>
    <n v="320.59999999999997"/>
    <n v="20.399999999999999"/>
    <m/>
    <x v="0"/>
    <n v="300.2"/>
    <m/>
    <m/>
    <x v="0"/>
    <x v="0"/>
    <n v="0"/>
    <n v="0"/>
    <x v="0"/>
    <x v="0"/>
    <m/>
    <x v="0"/>
    <x v="0"/>
    <x v="0"/>
    <x v="0"/>
    <x v="0"/>
    <n v="0"/>
    <n v="0"/>
    <n v="0"/>
    <n v="12"/>
    <x v="1"/>
    <x v="0"/>
    <m/>
    <x v="0"/>
    <n v="320.59999999999997"/>
    <x v="0"/>
    <x v="4"/>
    <x v="0"/>
    <x v="0"/>
    <x v="0"/>
  </r>
  <r>
    <x v="0"/>
    <x v="1"/>
    <s v="2079 F"/>
    <x v="84"/>
    <s v="Usman Amin"/>
    <s v="LDN"/>
    <n v="15"/>
    <s v="12"/>
    <s v="پیور"/>
    <n v="300"/>
    <x v="0"/>
    <n v="3"/>
    <n v="216.60000000000002"/>
    <n v="5.0999999999999996"/>
    <m/>
    <x v="0"/>
    <n v="211.50000000000003"/>
    <n v="3"/>
    <m/>
    <x v="0"/>
    <x v="0"/>
    <n v="0"/>
    <n v="0"/>
    <x v="0"/>
    <x v="0"/>
    <m/>
    <x v="0"/>
    <x v="0"/>
    <x v="0"/>
    <x v="0"/>
    <x v="0"/>
    <n v="0"/>
    <n v="0"/>
    <n v="0"/>
    <n v="12"/>
    <x v="1"/>
    <x v="0"/>
    <n v="2012"/>
    <x v="0"/>
    <n v="216.60000000000002"/>
    <x v="0"/>
    <x v="4"/>
    <x v="0"/>
    <x v="0"/>
    <x v="0"/>
  </r>
  <r>
    <x v="0"/>
    <x v="1"/>
    <s v="2078 F"/>
    <x v="84"/>
    <s v="Usman Amin"/>
    <s v="LDN"/>
    <n v="15"/>
    <s v="12"/>
    <s v="پیور"/>
    <n v="300"/>
    <x v="0"/>
    <n v="2"/>
    <n v="126.4"/>
    <n v="3.4"/>
    <m/>
    <x v="0"/>
    <n v="123"/>
    <m/>
    <m/>
    <x v="0"/>
    <x v="0"/>
    <n v="0"/>
    <n v="0"/>
    <x v="0"/>
    <x v="0"/>
    <m/>
    <x v="0"/>
    <x v="0"/>
    <x v="0"/>
    <x v="0"/>
    <x v="0"/>
    <n v="0"/>
    <n v="0"/>
    <n v="0"/>
    <n v="12"/>
    <x v="1"/>
    <x v="0"/>
    <m/>
    <x v="0"/>
    <n v="126.4"/>
    <x v="0"/>
    <x v="4"/>
    <x v="0"/>
    <x v="0"/>
    <x v="0"/>
  </r>
  <r>
    <x v="1"/>
    <x v="1"/>
    <s v="2078 F"/>
    <x v="84"/>
    <s v="Usman Amin"/>
    <s v="LDN"/>
    <n v="15"/>
    <s v="12"/>
    <s v="پیور"/>
    <n v="300"/>
    <x v="0"/>
    <n v="4"/>
    <n v="195.60000000000002"/>
    <n v="7.6"/>
    <m/>
    <x v="0"/>
    <n v="188.00000000000003"/>
    <m/>
    <m/>
    <x v="0"/>
    <x v="0"/>
    <n v="0"/>
    <n v="0"/>
    <x v="0"/>
    <x v="0"/>
    <m/>
    <x v="0"/>
    <x v="0"/>
    <x v="0"/>
    <x v="0"/>
    <x v="0"/>
    <n v="0"/>
    <n v="0"/>
    <n v="0"/>
    <n v="12"/>
    <x v="1"/>
    <x v="0"/>
    <m/>
    <x v="0"/>
    <n v="195.60000000000002"/>
    <x v="0"/>
    <x v="4"/>
    <x v="0"/>
    <x v="0"/>
    <x v="0"/>
  </r>
  <r>
    <x v="1"/>
    <x v="1"/>
    <s v="2095 F"/>
    <x v="84"/>
    <s v="Usman Amin"/>
    <s v="LDN"/>
    <n v="19"/>
    <s v="12"/>
    <s v="پیور"/>
    <n v="75"/>
    <x v="0"/>
    <n v="2"/>
    <n v="75.199999999999989"/>
    <n v="5"/>
    <m/>
    <x v="0"/>
    <n v="70.199999999999989"/>
    <m/>
    <m/>
    <x v="0"/>
    <x v="0"/>
    <n v="0"/>
    <n v="0"/>
    <x v="0"/>
    <x v="0"/>
    <m/>
    <x v="0"/>
    <x v="0"/>
    <x v="0"/>
    <x v="0"/>
    <x v="0"/>
    <n v="0"/>
    <n v="0"/>
    <n v="0"/>
    <n v="12"/>
    <x v="1"/>
    <x v="0"/>
    <m/>
    <x v="0"/>
    <n v="75.199999999999989"/>
    <x v="0"/>
    <x v="4"/>
    <x v="0"/>
    <x v="0"/>
    <x v="0"/>
  </r>
  <r>
    <x v="1"/>
    <x v="1"/>
    <s v="2096 F"/>
    <x v="84"/>
    <s v="Usman Amin"/>
    <s v="LDN"/>
    <n v="19"/>
    <s v="12"/>
    <s v="پیور"/>
    <n v="75"/>
    <x v="0"/>
    <n v="1"/>
    <n v="37.799999999999997"/>
    <n v="2.5"/>
    <m/>
    <x v="0"/>
    <n v="35.299999999999997"/>
    <m/>
    <m/>
    <x v="0"/>
    <x v="0"/>
    <n v="0"/>
    <n v="0"/>
    <x v="0"/>
    <x v="0"/>
    <m/>
    <x v="0"/>
    <x v="0"/>
    <x v="0"/>
    <x v="0"/>
    <x v="0"/>
    <n v="0"/>
    <n v="0"/>
    <n v="0"/>
    <n v="12"/>
    <x v="1"/>
    <x v="0"/>
    <m/>
    <x v="0"/>
    <n v="37.799999999999997"/>
    <x v="0"/>
    <x v="4"/>
    <x v="0"/>
    <x v="0"/>
    <x v="0"/>
  </r>
  <r>
    <x v="0"/>
    <x v="2"/>
    <s v="4075 J"/>
    <x v="84"/>
    <s v="The Kids Mall Lahore"/>
    <s v="LDM"/>
    <n v="16"/>
    <s v="13.5-14"/>
    <s v="ABA پیور"/>
    <n v="200"/>
    <x v="0"/>
    <n v="1"/>
    <n v="100.2"/>
    <n v="1.9"/>
    <n v="10"/>
    <x v="0"/>
    <n v="98.3"/>
    <m/>
    <n v="8"/>
    <x v="0"/>
    <x v="0"/>
    <n v="8"/>
    <n v="0.13333333333333333"/>
    <x v="0"/>
    <x v="0"/>
    <m/>
    <x v="0"/>
    <x v="0"/>
    <x v="0"/>
    <x v="0"/>
    <x v="0"/>
    <n v="0"/>
    <n v="0"/>
    <n v="0.13333333333333333"/>
    <n v="11.866666666666667"/>
    <x v="1"/>
    <x v="0"/>
    <m/>
    <x v="0"/>
    <n v="100.2"/>
    <x v="0"/>
    <x v="4"/>
    <x v="0"/>
    <x v="0"/>
    <x v="0"/>
  </r>
  <r>
    <x v="0"/>
    <x v="2"/>
    <s v="4076 J"/>
    <x v="84"/>
    <s v="The Kids Mall Lahore"/>
    <s v="LDM"/>
    <n v="18.5"/>
    <s v="15-16"/>
    <s v="ABA پیور"/>
    <n v="200"/>
    <x v="0"/>
    <n v="3"/>
    <n v="202.8"/>
    <n v="6.3000000000000007"/>
    <m/>
    <x v="0"/>
    <n v="196.5"/>
    <m/>
    <m/>
    <x v="0"/>
    <x v="0"/>
    <n v="0"/>
    <n v="0"/>
    <x v="0"/>
    <x v="0"/>
    <m/>
    <x v="0"/>
    <x v="0"/>
    <x v="0"/>
    <x v="0"/>
    <x v="0"/>
    <n v="0"/>
    <n v="0"/>
    <n v="0"/>
    <n v="12"/>
    <x v="1"/>
    <x v="0"/>
    <m/>
    <x v="0"/>
    <n v="202.8"/>
    <x v="0"/>
    <x v="4"/>
    <x v="0"/>
    <x v="0"/>
    <x v="0"/>
  </r>
  <r>
    <x v="0"/>
    <x v="2"/>
    <s v="4079 J"/>
    <x v="84"/>
    <s v="The Kids Mall Lahore"/>
    <s v="LDM"/>
    <n v="18.5"/>
    <s v="15-16"/>
    <s v="ABA پیور"/>
    <n v="100"/>
    <x v="0"/>
    <n v="2"/>
    <n v="125.4"/>
    <n v="4.3000000000000007"/>
    <m/>
    <x v="0"/>
    <n v="121.10000000000001"/>
    <m/>
    <m/>
    <x v="0"/>
    <x v="0"/>
    <n v="0"/>
    <n v="0"/>
    <x v="0"/>
    <x v="0"/>
    <m/>
    <x v="0"/>
    <x v="0"/>
    <x v="0"/>
    <x v="0"/>
    <x v="0"/>
    <n v="0"/>
    <n v="0"/>
    <n v="0"/>
    <n v="12"/>
    <x v="1"/>
    <x v="0"/>
    <m/>
    <x v="0"/>
    <n v="125.4"/>
    <x v="0"/>
    <x v="4"/>
    <x v="0"/>
    <x v="0"/>
    <x v="0"/>
  </r>
  <r>
    <x v="1"/>
    <x v="2"/>
    <s v="4074 J"/>
    <x v="84"/>
    <s v="The Kids Mall Lahore"/>
    <s v="LDM"/>
    <n v="14.5"/>
    <s v="12.5-13"/>
    <s v="ABA پیور"/>
    <n v="200"/>
    <x v="0"/>
    <n v="4"/>
    <n v="224.60000000000002"/>
    <n v="7.4999999999999991"/>
    <m/>
    <x v="0"/>
    <n v="217.10000000000002"/>
    <m/>
    <n v="7"/>
    <x v="0"/>
    <x v="0"/>
    <n v="7"/>
    <n v="0.11666666666666667"/>
    <x v="0"/>
    <x v="0"/>
    <m/>
    <x v="0"/>
    <x v="0"/>
    <x v="0"/>
    <x v="0"/>
    <x v="0"/>
    <n v="0"/>
    <n v="0"/>
    <n v="0.11666666666666667"/>
    <n v="11.883333333333333"/>
    <x v="1"/>
    <x v="0"/>
    <m/>
    <x v="0"/>
    <n v="224.60000000000002"/>
    <x v="0"/>
    <x v="4"/>
    <x v="0"/>
    <x v="0"/>
    <x v="0"/>
  </r>
  <r>
    <x v="1"/>
    <x v="2"/>
    <s v="4078 J"/>
    <x v="84"/>
    <s v="The Kids Mall Lahore"/>
    <s v="LDM"/>
    <n v="14"/>
    <s v="13-14"/>
    <s v="ABA پیور"/>
    <n v="100"/>
    <x v="0"/>
    <n v="2"/>
    <n v="104"/>
    <n v="3.5"/>
    <m/>
    <x v="0"/>
    <n v="100.5"/>
    <m/>
    <m/>
    <x v="0"/>
    <x v="0"/>
    <n v="0"/>
    <n v="0"/>
    <x v="0"/>
    <x v="0"/>
    <m/>
    <x v="0"/>
    <x v="0"/>
    <x v="0"/>
    <x v="0"/>
    <x v="0"/>
    <n v="0"/>
    <n v="0"/>
    <n v="0"/>
    <n v="12"/>
    <x v="1"/>
    <x v="0"/>
    <m/>
    <x v="0"/>
    <n v="104"/>
    <x v="0"/>
    <x v="4"/>
    <x v="0"/>
    <x v="0"/>
    <x v="0"/>
  </r>
  <r>
    <x v="1"/>
    <x v="2"/>
    <s v="4077 J"/>
    <x v="84"/>
    <s v="The Kids Mall Lahore"/>
    <s v="LDM"/>
    <n v="13"/>
    <s v="12.5-13"/>
    <s v="ABA پیور"/>
    <n v="100"/>
    <x v="0"/>
    <n v="2"/>
    <n v="107.8"/>
    <n v="3.5"/>
    <m/>
    <x v="0"/>
    <n v="104.3"/>
    <m/>
    <m/>
    <x v="0"/>
    <x v="0"/>
    <n v="0"/>
    <n v="0"/>
    <x v="0"/>
    <x v="0"/>
    <m/>
    <x v="0"/>
    <x v="0"/>
    <x v="0"/>
    <x v="0"/>
    <x v="0"/>
    <n v="0"/>
    <n v="0"/>
    <n v="0"/>
    <n v="12"/>
    <x v="1"/>
    <x v="0"/>
    <m/>
    <x v="0"/>
    <n v="107.8"/>
    <x v="0"/>
    <x v="4"/>
    <x v="0"/>
    <x v="0"/>
    <x v="0"/>
  </r>
  <r>
    <x v="0"/>
    <x v="3"/>
    <s v="2091 F"/>
    <x v="84"/>
    <s v="Usman Amin"/>
    <s v="LDN"/>
    <n v="17"/>
    <s v="7-7.5"/>
    <s v="پیور"/>
    <n v="600"/>
    <x v="0"/>
    <n v="7"/>
    <n v="444.00000000000006"/>
    <n v="14"/>
    <m/>
    <x v="0"/>
    <n v="430.00000000000006"/>
    <m/>
    <m/>
    <x v="0"/>
    <x v="0"/>
    <n v="0"/>
    <n v="0"/>
    <x v="0"/>
    <x v="0"/>
    <m/>
    <x v="0"/>
    <x v="0"/>
    <x v="0"/>
    <x v="0"/>
    <x v="0"/>
    <n v="0"/>
    <n v="0"/>
    <n v="0"/>
    <n v="12"/>
    <x v="1"/>
    <x v="0"/>
    <m/>
    <x v="0"/>
    <n v="444.00000000000006"/>
    <x v="0"/>
    <x v="4"/>
    <x v="0"/>
    <x v="0"/>
    <x v="0"/>
  </r>
  <r>
    <x v="1"/>
    <x v="3"/>
    <s v="2091 F"/>
    <x v="84"/>
    <s v="Usman Amin"/>
    <s v="LDN"/>
    <n v="17"/>
    <s v="7-7.5"/>
    <s v="پیور"/>
    <n v="600"/>
    <x v="0"/>
    <n v="3"/>
    <n v="158.80000000000001"/>
    <n v="6"/>
    <m/>
    <x v="0"/>
    <n v="152.80000000000001"/>
    <m/>
    <m/>
    <x v="0"/>
    <x v="0"/>
    <n v="0"/>
    <n v="0"/>
    <x v="0"/>
    <x v="0"/>
    <m/>
    <x v="0"/>
    <x v="0"/>
    <x v="0"/>
    <x v="0"/>
    <x v="0"/>
    <n v="0"/>
    <n v="0"/>
    <n v="0"/>
    <n v="12"/>
    <x v="1"/>
    <x v="0"/>
    <m/>
    <x v="0"/>
    <n v="158.80000000000001"/>
    <x v="0"/>
    <x v="4"/>
    <x v="0"/>
    <x v="0"/>
    <x v="0"/>
  </r>
  <r>
    <x v="1"/>
    <x v="3"/>
    <s v="2788/1"/>
    <x v="84"/>
    <s v="HONDA ATLAS (CARS) LTD"/>
    <s v="LDN"/>
    <n v="30"/>
    <s v="12-13"/>
    <s v="SL"/>
    <n v="400"/>
    <x v="0"/>
    <n v="1"/>
    <n v="106.4"/>
    <n v="3.2"/>
    <m/>
    <x v="0"/>
    <n v="103.2"/>
    <m/>
    <m/>
    <x v="0"/>
    <x v="0"/>
    <n v="0"/>
    <n v="0"/>
    <x v="0"/>
    <x v="0"/>
    <m/>
    <x v="0"/>
    <x v="0"/>
    <x v="0"/>
    <x v="0"/>
    <x v="0"/>
    <n v="0"/>
    <n v="0"/>
    <n v="0"/>
    <n v="12"/>
    <x v="1"/>
    <x v="0"/>
    <m/>
    <x v="0"/>
    <n v="106.4"/>
    <x v="0"/>
    <x v="4"/>
    <x v="0"/>
    <x v="0"/>
    <x v="0"/>
  </r>
  <r>
    <x v="1"/>
    <x v="3"/>
    <s v="2075 F"/>
    <x v="84"/>
    <s v="Usman Amin"/>
    <s v="LDN"/>
    <n v="19"/>
    <s v="7.7.5"/>
    <s v="پیور"/>
    <n v="100"/>
    <x v="0"/>
    <n v="2"/>
    <n v="95.6"/>
    <n v="4.4000000000000004"/>
    <m/>
    <x v="0"/>
    <n v="91.199999999999989"/>
    <m/>
    <m/>
    <x v="0"/>
    <x v="0"/>
    <n v="0"/>
    <n v="0"/>
    <x v="0"/>
    <x v="0"/>
    <m/>
    <x v="0"/>
    <x v="0"/>
    <x v="0"/>
    <x v="0"/>
    <x v="0"/>
    <n v="0"/>
    <n v="0"/>
    <n v="0"/>
    <n v="12"/>
    <x v="1"/>
    <x v="0"/>
    <m/>
    <x v="0"/>
    <n v="95.6"/>
    <x v="0"/>
    <x v="4"/>
    <x v="0"/>
    <x v="0"/>
    <x v="0"/>
  </r>
  <r>
    <x v="0"/>
    <x v="4"/>
    <s v="4015 J"/>
    <x v="84"/>
    <s v="Jilani Poly Stock"/>
    <s v="HD وائیٹ"/>
    <n v="14.25"/>
    <s v="13-14/26-28"/>
    <s v="-"/>
    <n v="300"/>
    <x v="0"/>
    <n v="6"/>
    <n v="321.2"/>
    <n v="10.8"/>
    <n v="131"/>
    <x v="0"/>
    <n v="310.39999999999998"/>
    <m/>
    <n v="20"/>
    <x v="0"/>
    <x v="0"/>
    <n v="20"/>
    <n v="0.33333333333333331"/>
    <x v="0"/>
    <x v="0"/>
    <n v="160"/>
    <x v="0"/>
    <x v="0"/>
    <x v="0"/>
    <x v="0"/>
    <x v="0"/>
    <n v="160"/>
    <n v="2.6666666666666665"/>
    <n v="3"/>
    <n v="9"/>
    <x v="1"/>
    <x v="0"/>
    <m/>
    <x v="0"/>
    <n v="321.2"/>
    <x v="0"/>
    <x v="4"/>
    <x v="0"/>
    <x v="0"/>
    <x v="0"/>
  </r>
  <r>
    <x v="0"/>
    <x v="4"/>
    <s v="4014 J"/>
    <x v="84"/>
    <s v="Jilani Poly Stock"/>
    <s v="HD بلیک"/>
    <n v="14.25"/>
    <s v="13-14/26-28"/>
    <s v="-"/>
    <n v="500"/>
    <x v="0"/>
    <n v="10"/>
    <n v="465.00000000000006"/>
    <n v="18"/>
    <m/>
    <x v="0"/>
    <n v="447.00000000000006"/>
    <m/>
    <m/>
    <x v="0"/>
    <x v="0"/>
    <n v="0"/>
    <n v="0"/>
    <x v="0"/>
    <x v="0"/>
    <m/>
    <x v="0"/>
    <x v="0"/>
    <x v="0"/>
    <x v="0"/>
    <x v="0"/>
    <n v="0"/>
    <n v="0"/>
    <n v="0"/>
    <n v="12"/>
    <x v="1"/>
    <x v="0"/>
    <m/>
    <x v="0"/>
    <n v="465.00000000000006"/>
    <x v="0"/>
    <x v="4"/>
    <x v="0"/>
    <x v="0"/>
    <x v="0"/>
  </r>
  <r>
    <x v="0"/>
    <x v="4"/>
    <s v="P.ROLL"/>
    <x v="84"/>
    <s v="-"/>
    <m/>
    <n v="30"/>
    <m/>
    <m/>
    <m/>
    <x v="0"/>
    <n v="1"/>
    <n v="78.599999999999994"/>
    <n v="3.8"/>
    <m/>
    <x v="0"/>
    <n v="74.8"/>
    <m/>
    <m/>
    <x v="0"/>
    <x v="0"/>
    <n v="0"/>
    <n v="0"/>
    <x v="0"/>
    <x v="0"/>
    <m/>
    <x v="0"/>
    <x v="0"/>
    <x v="0"/>
    <x v="0"/>
    <x v="0"/>
    <n v="0"/>
    <n v="0"/>
    <n v="0"/>
    <n v="12"/>
    <x v="1"/>
    <x v="0"/>
    <m/>
    <x v="0"/>
    <n v="78.599999999999994"/>
    <x v="0"/>
    <x v="4"/>
    <x v="0"/>
    <x v="0"/>
    <x v="0"/>
  </r>
  <r>
    <x v="1"/>
    <x v="4"/>
    <s v="4034 J"/>
    <x v="84"/>
    <s v="Irfan SB Azam Market LHR"/>
    <s v="LD گولڈن پیلا"/>
    <n v="19.5"/>
    <s v="14-15"/>
    <s v="ABA پیور"/>
    <n v="500"/>
    <x v="0"/>
    <n v="10"/>
    <n v="538.39999999999986"/>
    <n v="24"/>
    <m/>
    <x v="0"/>
    <n v="514.39999999999986"/>
    <m/>
    <n v="20"/>
    <x v="0"/>
    <x v="0"/>
    <n v="20"/>
    <n v="0.33333333333333331"/>
    <x v="0"/>
    <x v="0"/>
    <n v="340"/>
    <x v="0"/>
    <x v="0"/>
    <x v="0"/>
    <x v="6"/>
    <x v="0"/>
    <n v="400"/>
    <n v="6.666666666666667"/>
    <n v="7"/>
    <n v="5"/>
    <x v="1"/>
    <x v="0"/>
    <m/>
    <x v="0"/>
    <n v="538.39999999999986"/>
    <x v="0"/>
    <x v="4"/>
    <x v="0"/>
    <x v="0"/>
    <x v="0"/>
  </r>
  <r>
    <x v="0"/>
    <x v="1"/>
    <s v="2096 F"/>
    <x v="85"/>
    <s v="Usman Amin"/>
    <s v="LDN"/>
    <n v="19"/>
    <s v="12"/>
    <s v="پیور"/>
    <n v="75"/>
    <x v="0"/>
    <n v="1"/>
    <n v="43"/>
    <n v="2.2000000000000002"/>
    <m/>
    <x v="0"/>
    <n v="40.799999999999997"/>
    <m/>
    <n v="5"/>
    <x v="0"/>
    <x v="0"/>
    <n v="5"/>
    <n v="8.3333333333333329E-2"/>
    <x v="0"/>
    <x v="0"/>
    <m/>
    <x v="0"/>
    <x v="0"/>
    <x v="0"/>
    <x v="0"/>
    <x v="0"/>
    <n v="0"/>
    <n v="0"/>
    <n v="8.3333333333333329E-2"/>
    <n v="11.916666666666666"/>
    <x v="1"/>
    <x v="0"/>
    <m/>
    <x v="0"/>
    <n v="43"/>
    <x v="0"/>
    <x v="4"/>
    <x v="0"/>
    <x v="0"/>
    <x v="0"/>
  </r>
  <r>
    <x v="0"/>
    <x v="1"/>
    <s v="2092 F"/>
    <x v="85"/>
    <s v="Usman Amin"/>
    <s v="LDN"/>
    <n v="18"/>
    <s v="7"/>
    <s v="جیلانی شیٹ"/>
    <n v="330"/>
    <x v="0"/>
    <n v="4"/>
    <n v="243.6"/>
    <n v="8.4"/>
    <m/>
    <x v="0"/>
    <n v="235.2"/>
    <m/>
    <m/>
    <x v="0"/>
    <x v="0"/>
    <n v="0"/>
    <n v="0"/>
    <x v="0"/>
    <x v="0"/>
    <m/>
    <x v="0"/>
    <x v="0"/>
    <x v="0"/>
    <x v="0"/>
    <x v="0"/>
    <n v="0"/>
    <n v="0"/>
    <n v="0"/>
    <n v="12"/>
    <x v="1"/>
    <x v="0"/>
    <n v="1757.5"/>
    <x v="0"/>
    <n v="243.6"/>
    <x v="0"/>
    <x v="4"/>
    <x v="0"/>
    <x v="0"/>
    <x v="0"/>
  </r>
  <r>
    <x v="1"/>
    <x v="1"/>
    <s v="2092 F"/>
    <x v="85"/>
    <s v="Usman Amin"/>
    <s v="LDN"/>
    <n v="18"/>
    <s v="7"/>
    <s v="جیلانی شیٹ"/>
    <n v="330"/>
    <x v="0"/>
    <n v="2"/>
    <n v="105.6"/>
    <n v="4.3000000000000007"/>
    <m/>
    <x v="0"/>
    <n v="101.3"/>
    <m/>
    <m/>
    <x v="0"/>
    <x v="0"/>
    <n v="0"/>
    <n v="0"/>
    <x v="0"/>
    <x v="0"/>
    <m/>
    <x v="0"/>
    <x v="0"/>
    <x v="0"/>
    <x v="0"/>
    <x v="0"/>
    <n v="0"/>
    <n v="0"/>
    <n v="0"/>
    <n v="12"/>
    <x v="1"/>
    <x v="0"/>
    <m/>
    <x v="0"/>
    <n v="105.6"/>
    <x v="0"/>
    <x v="4"/>
    <x v="0"/>
    <x v="0"/>
    <x v="0"/>
  </r>
  <r>
    <x v="1"/>
    <x v="1"/>
    <s v="2093 F"/>
    <x v="85"/>
    <s v="Usman Amin"/>
    <s v="LDN"/>
    <n v="19"/>
    <s v="7"/>
    <s v="جیلانی شیٹ"/>
    <n v="110"/>
    <x v="0"/>
    <n v="3"/>
    <n v="175.2"/>
    <n v="6.6000000000000005"/>
    <m/>
    <x v="0"/>
    <n v="168.6"/>
    <m/>
    <m/>
    <x v="0"/>
    <x v="0"/>
    <n v="0"/>
    <n v="0"/>
    <x v="0"/>
    <x v="0"/>
    <m/>
    <x v="0"/>
    <x v="0"/>
    <x v="0"/>
    <x v="0"/>
    <x v="0"/>
    <n v="0"/>
    <n v="0"/>
    <n v="0"/>
    <n v="12"/>
    <x v="1"/>
    <x v="0"/>
    <m/>
    <x v="0"/>
    <n v="175.2"/>
    <x v="0"/>
    <x v="4"/>
    <x v="0"/>
    <x v="0"/>
    <x v="0"/>
  </r>
  <r>
    <x v="0"/>
    <x v="2"/>
    <s v="4088 J"/>
    <x v="85"/>
    <s v="DW Organic Dairy Farms Kasur"/>
    <s v="LDM"/>
    <n v="8"/>
    <s v="15-16"/>
    <s v="پیور"/>
    <n v="100"/>
    <x v="0"/>
    <n v="3"/>
    <n v="104.79999999999998"/>
    <n v="3"/>
    <m/>
    <x v="0"/>
    <n v="101.79999999999998"/>
    <m/>
    <n v="10"/>
    <x v="0"/>
    <x v="0"/>
    <n v="10"/>
    <n v="0.16666666666666666"/>
    <x v="0"/>
    <x v="4"/>
    <m/>
    <x v="0"/>
    <x v="0"/>
    <x v="0"/>
    <x v="0"/>
    <x v="0"/>
    <n v="30"/>
    <n v="0.5"/>
    <n v="0.66666666666666663"/>
    <n v="11.333333333333334"/>
    <x v="1"/>
    <x v="0"/>
    <m/>
    <x v="0"/>
    <n v="104.79999999999998"/>
    <x v="0"/>
    <x v="4"/>
    <x v="0"/>
    <x v="0"/>
    <x v="0"/>
  </r>
  <r>
    <x v="0"/>
    <x v="2"/>
    <s v="4055 J"/>
    <x v="85"/>
    <s v="Moazmi Plastic Sahiwal "/>
    <s v="LDM"/>
    <n v="7"/>
    <n v="20"/>
    <s v="پیور"/>
    <n v="100"/>
    <x v="0"/>
    <n v="3"/>
    <n v="108.4"/>
    <n v="2.7"/>
    <m/>
    <x v="0"/>
    <n v="105.7"/>
    <m/>
    <m/>
    <x v="0"/>
    <x v="0"/>
    <n v="0"/>
    <n v="0"/>
    <x v="0"/>
    <x v="0"/>
    <m/>
    <x v="0"/>
    <x v="0"/>
    <x v="0"/>
    <x v="0"/>
    <x v="0"/>
    <n v="0"/>
    <n v="0"/>
    <n v="0"/>
    <n v="12"/>
    <x v="1"/>
    <x v="0"/>
    <m/>
    <x v="0"/>
    <n v="108.4"/>
    <x v="0"/>
    <x v="4"/>
    <x v="0"/>
    <x v="0"/>
    <x v="0"/>
  </r>
  <r>
    <x v="1"/>
    <x v="2"/>
    <s v="4056 J"/>
    <x v="85"/>
    <s v="Moazmi Plastic Sahiwal "/>
    <s v="LDM"/>
    <n v="7"/>
    <n v="20"/>
    <s v="پیور"/>
    <n v="100"/>
    <x v="0"/>
    <n v="2"/>
    <n v="101.2"/>
    <n v="1.9"/>
    <m/>
    <x v="0"/>
    <n v="99.3"/>
    <m/>
    <n v="10"/>
    <x v="0"/>
    <x v="0"/>
    <n v="10"/>
    <n v="0.16666666666666666"/>
    <x v="0"/>
    <x v="0"/>
    <m/>
    <x v="0"/>
    <x v="0"/>
    <x v="0"/>
    <x v="0"/>
    <x v="0"/>
    <n v="0"/>
    <n v="0"/>
    <n v="0.16666666666666666"/>
    <n v="11.833333333333334"/>
    <x v="1"/>
    <x v="0"/>
    <m/>
    <x v="0"/>
    <n v="101.2"/>
    <x v="0"/>
    <x v="4"/>
    <x v="0"/>
    <x v="0"/>
    <x v="0"/>
  </r>
  <r>
    <x v="1"/>
    <x v="2"/>
    <s v="2786/1"/>
    <x v="85"/>
    <s v="GOGA PLASTIC GJW"/>
    <s v="PT MILKY"/>
    <n v="5"/>
    <n v="9"/>
    <s v="PT MILKY"/>
    <n v="250"/>
    <x v="0"/>
    <n v="4"/>
    <n v="115.60000000000001"/>
    <n v="2.5"/>
    <m/>
    <x v="0"/>
    <n v="113.10000000000001"/>
    <m/>
    <m/>
    <x v="0"/>
    <x v="0"/>
    <n v="0"/>
    <n v="0"/>
    <x v="0"/>
    <x v="0"/>
    <m/>
    <x v="0"/>
    <x v="0"/>
    <x v="0"/>
    <x v="0"/>
    <x v="0"/>
    <n v="0"/>
    <n v="0"/>
    <n v="0"/>
    <n v="12"/>
    <x v="1"/>
    <x v="0"/>
    <m/>
    <x v="0"/>
    <n v="115.60000000000001"/>
    <x v="0"/>
    <x v="4"/>
    <x v="0"/>
    <x v="0"/>
    <x v="0"/>
  </r>
  <r>
    <x v="0"/>
    <x v="3"/>
    <s v="2788/1"/>
    <x v="85"/>
    <s v="HONDA ATLAS (CARS) LTD"/>
    <s v="LDN"/>
    <n v="30"/>
    <s v="12-13"/>
    <s v="SL"/>
    <n v="400"/>
    <x v="0"/>
    <n v="3"/>
    <n v="293.2"/>
    <n v="9.8999999999999986"/>
    <m/>
    <x v="0"/>
    <n v="283.3"/>
    <m/>
    <m/>
    <x v="0"/>
    <x v="0"/>
    <n v="0"/>
    <n v="0"/>
    <x v="0"/>
    <x v="0"/>
    <m/>
    <x v="0"/>
    <x v="0"/>
    <x v="0"/>
    <x v="0"/>
    <x v="0"/>
    <n v="0"/>
    <n v="0"/>
    <n v="0"/>
    <n v="12"/>
    <x v="1"/>
    <x v="0"/>
    <m/>
    <x v="0"/>
    <n v="293.2"/>
    <x v="0"/>
    <x v="4"/>
    <x v="0"/>
    <x v="0"/>
    <x v="0"/>
  </r>
  <r>
    <x v="0"/>
    <x v="3"/>
    <s v="2787/1"/>
    <x v="85"/>
    <s v="MATCO FOOD"/>
    <s v="LDN"/>
    <s v="23-23.5"/>
    <s v="70 GRAM"/>
    <s v="SL"/>
    <n v="2600"/>
    <x v="0"/>
    <n v="2"/>
    <n v="202.2"/>
    <n v="5.6"/>
    <m/>
    <x v="0"/>
    <n v="196.6"/>
    <m/>
    <m/>
    <x v="0"/>
    <x v="0"/>
    <n v="0"/>
    <n v="0"/>
    <x v="0"/>
    <x v="0"/>
    <m/>
    <x v="0"/>
    <x v="0"/>
    <x v="0"/>
    <x v="0"/>
    <x v="0"/>
    <n v="0"/>
    <n v="0"/>
    <n v="0"/>
    <n v="12"/>
    <x v="1"/>
    <x v="0"/>
    <m/>
    <x v="0"/>
    <n v="202.2"/>
    <x v="0"/>
    <x v="4"/>
    <x v="0"/>
    <x v="0"/>
    <x v="0"/>
  </r>
  <r>
    <x v="1"/>
    <x v="3"/>
    <s v="2787/1"/>
    <x v="85"/>
    <s v="MATCO FOOD"/>
    <s v="LDN"/>
    <s v="23-23.5"/>
    <s v="70 GRAM"/>
    <s v="SL"/>
    <n v="2600"/>
    <x v="0"/>
    <n v="4"/>
    <n v="421.4"/>
    <n v="11.2"/>
    <m/>
    <x v="0"/>
    <n v="410.2"/>
    <m/>
    <m/>
    <x v="0"/>
    <x v="0"/>
    <n v="0"/>
    <n v="0"/>
    <x v="0"/>
    <x v="0"/>
    <m/>
    <x v="0"/>
    <x v="0"/>
    <x v="0"/>
    <x v="0"/>
    <x v="0"/>
    <n v="0"/>
    <n v="0"/>
    <n v="0"/>
    <n v="12"/>
    <x v="1"/>
    <x v="0"/>
    <m/>
    <x v="0"/>
    <n v="421.4"/>
    <x v="0"/>
    <x v="4"/>
    <x v="0"/>
    <x v="0"/>
    <x v="0"/>
  </r>
  <r>
    <x v="1"/>
    <x v="4"/>
    <s v="M.CLEAN"/>
    <x v="85"/>
    <m/>
    <m/>
    <m/>
    <m/>
    <m/>
    <m/>
    <x v="1"/>
    <n v="1"/>
    <n v="75.8"/>
    <n v="2.8"/>
    <n v="75.8"/>
    <x v="0"/>
    <n v="73"/>
    <m/>
    <m/>
    <x v="0"/>
    <x v="0"/>
    <n v="0"/>
    <n v="0"/>
    <x v="0"/>
    <x v="0"/>
    <m/>
    <x v="0"/>
    <x v="0"/>
    <x v="0"/>
    <x v="0"/>
    <x v="0"/>
    <n v="0"/>
    <n v="0"/>
    <n v="0"/>
    <n v="12"/>
    <x v="1"/>
    <x v="0"/>
    <m/>
    <x v="0"/>
    <n v="75.8"/>
    <x v="0"/>
    <x v="4"/>
    <x v="0"/>
    <x v="0"/>
    <x v="0"/>
  </r>
  <r>
    <x v="1"/>
    <x v="4"/>
    <s v="4005 J"/>
    <x v="85"/>
    <s v="Khurshid Hmaidi Foam Afghanstan"/>
    <s v="LDM"/>
    <s v="20&quot; شیٹ"/>
    <s v="7-7.5/14-15"/>
    <s v="ABA پیور"/>
    <n v="300"/>
    <x v="0"/>
    <n v="4"/>
    <n v="299.8"/>
    <n v="9.3000000000000007"/>
    <m/>
    <x v="0"/>
    <n v="290.5"/>
    <m/>
    <m/>
    <x v="0"/>
    <x v="0"/>
    <n v="0"/>
    <n v="0"/>
    <x v="0"/>
    <x v="0"/>
    <m/>
    <x v="0"/>
    <x v="0"/>
    <x v="0"/>
    <x v="0"/>
    <x v="0"/>
    <n v="0"/>
    <n v="0"/>
    <n v="0"/>
    <n v="12"/>
    <x v="1"/>
    <x v="0"/>
    <m/>
    <x v="0"/>
    <n v="299.8"/>
    <x v="0"/>
    <x v="4"/>
    <x v="0"/>
    <x v="0"/>
    <x v="0"/>
  </r>
  <r>
    <x v="1"/>
    <x v="4"/>
    <s v="4054 J"/>
    <x v="85"/>
    <s v="Shafi Foam Lahore"/>
    <s v="LDM"/>
    <s v="20 شیٹ"/>
    <s v="7-7.5/14-15"/>
    <s v="ABA پیور"/>
    <n v="200"/>
    <x v="0"/>
    <n v="2"/>
    <n v="102"/>
    <n v="3.8"/>
    <m/>
    <x v="0"/>
    <n v="98.2"/>
    <m/>
    <m/>
    <x v="0"/>
    <x v="0"/>
    <n v="0"/>
    <n v="0"/>
    <x v="0"/>
    <x v="0"/>
    <m/>
    <x v="0"/>
    <x v="0"/>
    <x v="0"/>
    <x v="0"/>
    <x v="0"/>
    <n v="0"/>
    <n v="0"/>
    <n v="0"/>
    <n v="12"/>
    <x v="1"/>
    <x v="0"/>
    <m/>
    <x v="0"/>
    <n v="102"/>
    <x v="0"/>
    <x v="4"/>
    <x v="0"/>
    <x v="0"/>
    <x v="0"/>
  </r>
  <r>
    <x v="0"/>
    <x v="1"/>
    <s v="2093 F"/>
    <x v="86"/>
    <s v="Usman Amin"/>
    <s v="LDN"/>
    <n v="19"/>
    <s v="7"/>
    <s v="جیلانی شیٹ"/>
    <n v="110"/>
    <x v="0"/>
    <n v="2"/>
    <n v="106.2"/>
    <n v="4.4000000000000004"/>
    <n v="60"/>
    <x v="0"/>
    <n v="101.8"/>
    <m/>
    <m/>
    <x v="0"/>
    <x v="0"/>
    <n v="0"/>
    <n v="0"/>
    <x v="0"/>
    <x v="0"/>
    <m/>
    <x v="0"/>
    <x v="0"/>
    <x v="0"/>
    <x v="0"/>
    <x v="0"/>
    <n v="0"/>
    <n v="0"/>
    <n v="0"/>
    <n v="12"/>
    <x v="1"/>
    <x v="0"/>
    <n v="1409"/>
    <x v="0"/>
    <n v="106.2"/>
    <x v="0"/>
    <x v="4"/>
    <x v="0"/>
    <x v="0"/>
    <x v="0"/>
  </r>
  <r>
    <x v="0"/>
    <x v="1"/>
    <s v="4063 J"/>
    <x v="86"/>
    <s v="Waqas Wollan Mills Gujranwala"/>
    <s v="LDN"/>
    <n v="13"/>
    <s v="8-8.5"/>
    <s v="پیور"/>
    <n v="150"/>
    <x v="0"/>
    <n v="1"/>
    <n v="59.2"/>
    <n v="1.7"/>
    <m/>
    <x v="0"/>
    <n v="57.5"/>
    <m/>
    <m/>
    <x v="0"/>
    <x v="0"/>
    <n v="0"/>
    <n v="0"/>
    <x v="0"/>
    <x v="0"/>
    <m/>
    <x v="0"/>
    <x v="0"/>
    <x v="0"/>
    <x v="0"/>
    <x v="0"/>
    <n v="0"/>
    <n v="0"/>
    <n v="0"/>
    <n v="12"/>
    <x v="1"/>
    <x v="0"/>
    <m/>
    <x v="0"/>
    <n v="59.2"/>
    <x v="0"/>
    <x v="4"/>
    <x v="0"/>
    <x v="0"/>
    <x v="0"/>
  </r>
  <r>
    <x v="1"/>
    <x v="1"/>
    <s v="4063 J"/>
    <x v="86"/>
    <s v="Waqas Wollan Mills Gujranwala"/>
    <s v="LDN"/>
    <n v="13"/>
    <s v="8-8.5"/>
    <s v="پیور"/>
    <n v="150"/>
    <x v="0"/>
    <n v="2"/>
    <n v="108.2"/>
    <n v="3.5"/>
    <n v="60"/>
    <x v="0"/>
    <n v="104.7"/>
    <m/>
    <m/>
    <x v="0"/>
    <x v="0"/>
    <n v="0"/>
    <n v="0"/>
    <x v="0"/>
    <x v="0"/>
    <m/>
    <x v="0"/>
    <x v="0"/>
    <x v="0"/>
    <x v="0"/>
    <x v="0"/>
    <n v="0"/>
    <n v="0"/>
    <n v="0"/>
    <n v="12"/>
    <x v="1"/>
    <x v="0"/>
    <m/>
    <x v="0"/>
    <n v="108.2"/>
    <x v="0"/>
    <x v="4"/>
    <x v="0"/>
    <x v="0"/>
    <x v="0"/>
  </r>
  <r>
    <x v="1"/>
    <x v="1"/>
    <s v="2115 F"/>
    <x v="86"/>
    <s v="Usman Amin"/>
    <s v="LDN"/>
    <n v="13"/>
    <s v="8-8.5"/>
    <s v="پیور"/>
    <n v="60"/>
    <x v="0"/>
    <n v="1"/>
    <n v="62"/>
    <n v="1.7"/>
    <m/>
    <x v="0"/>
    <n v="60.3"/>
    <m/>
    <m/>
    <x v="0"/>
    <x v="0"/>
    <n v="0"/>
    <n v="0"/>
    <x v="0"/>
    <x v="0"/>
    <m/>
    <x v="0"/>
    <x v="0"/>
    <x v="0"/>
    <x v="0"/>
    <x v="0"/>
    <n v="0"/>
    <n v="0"/>
    <n v="0"/>
    <n v="12"/>
    <x v="1"/>
    <x v="0"/>
    <m/>
    <x v="0"/>
    <n v="62"/>
    <x v="0"/>
    <x v="4"/>
    <x v="0"/>
    <x v="0"/>
    <x v="0"/>
  </r>
  <r>
    <x v="1"/>
    <x v="1"/>
    <s v="4058 J"/>
    <x v="86"/>
    <s v="Cakes and Bakes Lahore"/>
    <s v="LDN"/>
    <n v="16"/>
    <s v="14"/>
    <s v="پیور"/>
    <n v="50"/>
    <x v="0"/>
    <n v="1"/>
    <n v="45.4"/>
    <n v="2"/>
    <m/>
    <x v="0"/>
    <n v="43.4"/>
    <m/>
    <m/>
    <x v="0"/>
    <x v="0"/>
    <n v="0"/>
    <n v="0"/>
    <x v="0"/>
    <x v="0"/>
    <m/>
    <x v="0"/>
    <x v="0"/>
    <x v="0"/>
    <x v="0"/>
    <x v="0"/>
    <n v="0"/>
    <n v="0"/>
    <n v="0"/>
    <n v="12"/>
    <x v="1"/>
    <x v="0"/>
    <m/>
    <x v="0"/>
    <n v="45.4"/>
    <x v="0"/>
    <x v="4"/>
    <x v="0"/>
    <x v="0"/>
    <x v="0"/>
  </r>
  <r>
    <x v="0"/>
    <x v="2"/>
    <s v="2786/1"/>
    <x v="86"/>
    <s v="GOGA PLASTIC GJW"/>
    <s v="PT MILKY"/>
    <n v="5"/>
    <n v="9"/>
    <s v="PT MILKY"/>
    <n v="250"/>
    <x v="0"/>
    <n v="5"/>
    <n v="139.69999999999999"/>
    <n v="3.5"/>
    <m/>
    <x v="0"/>
    <n v="136.19999999999999"/>
    <m/>
    <m/>
    <x v="0"/>
    <x v="0"/>
    <n v="0"/>
    <n v="0"/>
    <x v="0"/>
    <x v="0"/>
    <m/>
    <x v="0"/>
    <x v="0"/>
    <x v="0"/>
    <x v="0"/>
    <x v="0"/>
    <n v="0"/>
    <n v="0"/>
    <n v="0"/>
    <n v="12"/>
    <x v="1"/>
    <x v="0"/>
    <m/>
    <x v="0"/>
    <n v="139.69999999999999"/>
    <x v="0"/>
    <x v="4"/>
    <x v="0"/>
    <x v="0"/>
    <x v="0"/>
  </r>
  <r>
    <x v="0"/>
    <x v="3"/>
    <s v="2787/1"/>
    <x v="86"/>
    <s v="MATCO FOOD"/>
    <s v="LDN"/>
    <s v="23-23.5"/>
    <s v="70 GRAM"/>
    <s v="SL"/>
    <n v="2600"/>
    <x v="0"/>
    <n v="3"/>
    <n v="353.6"/>
    <n v="8.3999999999999986"/>
    <m/>
    <x v="0"/>
    <n v="345.20000000000005"/>
    <m/>
    <m/>
    <x v="0"/>
    <x v="0"/>
    <n v="0"/>
    <n v="0"/>
    <x v="0"/>
    <x v="0"/>
    <m/>
    <x v="0"/>
    <x v="0"/>
    <x v="0"/>
    <x v="0"/>
    <x v="0"/>
    <n v="0"/>
    <n v="0"/>
    <n v="0"/>
    <n v="12"/>
    <x v="1"/>
    <x v="0"/>
    <m/>
    <x v="0"/>
    <n v="353.6"/>
    <x v="0"/>
    <x v="4"/>
    <x v="0"/>
    <x v="0"/>
    <x v="0"/>
  </r>
  <r>
    <x v="1"/>
    <x v="3"/>
    <s v="2787/1"/>
    <x v="86"/>
    <s v="MATCO FOOD"/>
    <s v="LDN"/>
    <s v="23-23.5"/>
    <s v="70 GRAM"/>
    <s v="SL"/>
    <n v="2600"/>
    <x v="0"/>
    <n v="3"/>
    <n v="362"/>
    <n v="8.3999999999999986"/>
    <m/>
    <x v="0"/>
    <n v="353.6"/>
    <m/>
    <m/>
    <x v="0"/>
    <x v="0"/>
    <n v="0"/>
    <n v="0"/>
    <x v="0"/>
    <x v="0"/>
    <m/>
    <x v="0"/>
    <x v="0"/>
    <x v="0"/>
    <x v="0"/>
    <x v="0"/>
    <n v="0"/>
    <n v="0"/>
    <n v="0"/>
    <n v="12"/>
    <x v="1"/>
    <x v="0"/>
    <m/>
    <x v="0"/>
    <n v="362"/>
    <x v="0"/>
    <x v="4"/>
    <x v="0"/>
    <x v="0"/>
    <x v="0"/>
  </r>
  <r>
    <x v="0"/>
    <x v="6"/>
    <s v="4054 J"/>
    <x v="86"/>
    <s v="Shafi Foam Lahore"/>
    <s v="LDM"/>
    <s v="20 شیٹ"/>
    <s v="7-7.5/14-15"/>
    <s v="ABA پیور"/>
    <n v="200"/>
    <x v="0"/>
    <n v="2"/>
    <n v="118"/>
    <n v="4"/>
    <m/>
    <x v="0"/>
    <n v="114"/>
    <m/>
    <m/>
    <x v="0"/>
    <x v="0"/>
    <n v="0"/>
    <n v="0"/>
    <x v="0"/>
    <x v="0"/>
    <m/>
    <x v="0"/>
    <x v="0"/>
    <x v="0"/>
    <x v="0"/>
    <x v="0"/>
    <n v="0"/>
    <n v="0"/>
    <n v="0"/>
    <n v="12"/>
    <x v="1"/>
    <x v="0"/>
    <m/>
    <x v="0"/>
    <n v="118"/>
    <x v="0"/>
    <x v="4"/>
    <x v="0"/>
    <x v="0"/>
    <x v="0"/>
  </r>
  <r>
    <x v="0"/>
    <x v="6"/>
    <s v="4070 J"/>
    <x v="86"/>
    <s v="Shafi Foam Lahore"/>
    <s v="LDM"/>
    <s v="20 شیٹ"/>
    <s v="6-6.5/12-13"/>
    <s v="ABA پیور"/>
    <n v="200"/>
    <x v="0"/>
    <n v="4"/>
    <n v="220.39999999999998"/>
    <n v="8"/>
    <m/>
    <x v="0"/>
    <n v="212.39999999999998"/>
    <m/>
    <m/>
    <x v="0"/>
    <x v="0"/>
    <n v="0"/>
    <n v="0"/>
    <x v="0"/>
    <x v="0"/>
    <m/>
    <x v="0"/>
    <x v="0"/>
    <x v="0"/>
    <x v="0"/>
    <x v="0"/>
    <n v="0"/>
    <n v="0"/>
    <n v="0"/>
    <n v="12"/>
    <x v="1"/>
    <x v="0"/>
    <m/>
    <x v="0"/>
    <n v="220.39999999999998"/>
    <x v="0"/>
    <x v="4"/>
    <x v="0"/>
    <x v="0"/>
    <x v="0"/>
  </r>
  <r>
    <x v="0"/>
    <x v="6"/>
    <s v="4100 J"/>
    <x v="86"/>
    <s v="Service Industry Gujrat"/>
    <s v="LDM"/>
    <s v="432 MM"/>
    <s v="-"/>
    <s v="ABA تھینکیو"/>
    <n v="250"/>
    <x v="0"/>
    <n v="4"/>
    <n v="245.8"/>
    <n v="8"/>
    <m/>
    <x v="0"/>
    <n v="237.8"/>
    <m/>
    <m/>
    <x v="0"/>
    <x v="0"/>
    <n v="0"/>
    <n v="0"/>
    <x v="0"/>
    <x v="0"/>
    <m/>
    <x v="0"/>
    <x v="0"/>
    <x v="0"/>
    <x v="0"/>
    <x v="0"/>
    <n v="0"/>
    <n v="0"/>
    <n v="0"/>
    <n v="12"/>
    <x v="1"/>
    <x v="0"/>
    <m/>
    <x v="0"/>
    <n v="245.8"/>
    <x v="0"/>
    <x v="4"/>
    <x v="0"/>
    <x v="0"/>
    <x v="0"/>
  </r>
  <r>
    <x v="1"/>
    <x v="6"/>
    <s v="3991 J"/>
    <x v="86"/>
    <s v="Service Industry Gujrat"/>
    <s v="LDM"/>
    <s v="428 MM"/>
    <s v="-"/>
    <s v="ABA تھینکیو"/>
    <n v="120"/>
    <x v="0"/>
    <n v="2"/>
    <n v="132.6"/>
    <n v="4"/>
    <m/>
    <x v="0"/>
    <n v="128.6"/>
    <m/>
    <m/>
    <x v="0"/>
    <x v="0"/>
    <n v="0"/>
    <n v="0"/>
    <x v="0"/>
    <x v="0"/>
    <m/>
    <x v="0"/>
    <x v="0"/>
    <x v="0"/>
    <x v="0"/>
    <x v="0"/>
    <n v="0"/>
    <n v="0"/>
    <n v="0"/>
    <n v="12"/>
    <x v="1"/>
    <x v="0"/>
    <m/>
    <x v="0"/>
    <n v="132.6"/>
    <x v="0"/>
    <x v="4"/>
    <x v="0"/>
    <x v="0"/>
    <x v="0"/>
  </r>
  <r>
    <x v="1"/>
    <x v="6"/>
    <s v="2787/1"/>
    <x v="86"/>
    <s v="MATCO FOOD"/>
    <s v="LDN"/>
    <s v="23-23.5"/>
    <s v="70 GRAM"/>
    <s v="SL"/>
    <n v="2600"/>
    <x v="0"/>
    <n v="2"/>
    <n v="278.39999999999998"/>
    <n v="5.6"/>
    <m/>
    <x v="0"/>
    <n v="272.79999999999995"/>
    <m/>
    <m/>
    <x v="0"/>
    <x v="0"/>
    <n v="0"/>
    <n v="0"/>
    <x v="0"/>
    <x v="0"/>
    <m/>
    <x v="0"/>
    <x v="0"/>
    <x v="0"/>
    <x v="0"/>
    <x v="0"/>
    <n v="0"/>
    <n v="0"/>
    <n v="0"/>
    <n v="12"/>
    <x v="1"/>
    <x v="0"/>
    <m/>
    <x v="0"/>
    <n v="278.39999999999998"/>
    <x v="0"/>
    <x v="4"/>
    <x v="0"/>
    <x v="0"/>
    <x v="0"/>
  </r>
  <r>
    <x v="2"/>
    <x v="7"/>
    <s v="-"/>
    <x v="87"/>
    <s v="ALL MACHINES OFF"/>
    <m/>
    <m/>
    <m/>
    <m/>
    <m/>
    <x v="1"/>
    <m/>
    <m/>
    <m/>
    <m/>
    <x v="0"/>
    <n v="0"/>
    <m/>
    <m/>
    <x v="0"/>
    <x v="0"/>
    <n v="0"/>
    <n v="0"/>
    <x v="0"/>
    <x v="0"/>
    <m/>
    <x v="0"/>
    <x v="0"/>
    <x v="0"/>
    <x v="0"/>
    <x v="0"/>
    <m/>
    <m/>
    <m/>
    <m/>
    <x v="0"/>
    <x v="0"/>
    <m/>
    <x v="0"/>
    <m/>
    <x v="0"/>
    <x v="5"/>
    <x v="0"/>
    <x v="0"/>
    <x v="0"/>
  </r>
  <r>
    <x v="0"/>
    <x v="1"/>
    <s v="4062 J"/>
    <x v="88"/>
    <s v="Waqas Wollan Mills Gujranwala"/>
    <s v="LDN"/>
    <n v="16"/>
    <s v="10-10.5"/>
    <s v="پیور"/>
    <n v="150"/>
    <x v="0"/>
    <n v="2"/>
    <n v="145"/>
    <n v="2.8"/>
    <n v="10"/>
    <x v="0"/>
    <n v="142.19999999999999"/>
    <m/>
    <m/>
    <x v="0"/>
    <x v="2"/>
    <n v="180"/>
    <n v="3"/>
    <x v="0"/>
    <x v="0"/>
    <m/>
    <x v="0"/>
    <x v="0"/>
    <x v="0"/>
    <x v="0"/>
    <x v="0"/>
    <n v="0"/>
    <n v="0"/>
    <n v="3"/>
    <n v="9"/>
    <x v="1"/>
    <x v="0"/>
    <n v="1230"/>
    <x v="0"/>
    <n v="147.19999999999999"/>
    <x v="1"/>
    <x v="5"/>
    <x v="0"/>
    <x v="0"/>
    <x v="0"/>
  </r>
  <r>
    <x v="1"/>
    <x v="1"/>
    <s v="4156 J"/>
    <x v="88"/>
    <s v="Bundu Khan Lahore"/>
    <s v="LDN"/>
    <n v="16"/>
    <s v="8-8.5"/>
    <s v="پیور"/>
    <n v="500"/>
    <x v="0"/>
    <n v="4"/>
    <n v="269.2"/>
    <n v="8"/>
    <n v="7"/>
    <x v="0"/>
    <n v="261.2"/>
    <m/>
    <m/>
    <x v="0"/>
    <x v="0"/>
    <n v="0"/>
    <n v="0"/>
    <x v="0"/>
    <x v="0"/>
    <m/>
    <x v="0"/>
    <x v="0"/>
    <x v="0"/>
    <x v="0"/>
    <x v="0"/>
    <n v="0"/>
    <n v="0"/>
    <n v="0"/>
    <n v="12"/>
    <x v="1"/>
    <x v="0"/>
    <m/>
    <x v="0"/>
    <n v="266.2"/>
    <x v="0"/>
    <x v="5"/>
    <x v="0"/>
    <x v="0"/>
    <x v="0"/>
  </r>
  <r>
    <x v="0"/>
    <x v="2"/>
    <s v="3970 J"/>
    <x v="88"/>
    <s v="Waqas Wollan Mills Gujranwala"/>
    <s v="LD پیلا"/>
    <n v="16"/>
    <s v="10-10.5"/>
    <s v="ABA تھینکیو"/>
    <n v="150"/>
    <x v="0"/>
    <n v="2"/>
    <n v="156.80000000000001"/>
    <n v="3.8"/>
    <n v="25"/>
    <x v="0"/>
    <n v="153"/>
    <m/>
    <m/>
    <x v="0"/>
    <x v="2"/>
    <n v="180"/>
    <n v="3"/>
    <x v="0"/>
    <x v="0"/>
    <m/>
    <x v="0"/>
    <x v="0"/>
    <x v="0"/>
    <x v="3"/>
    <x v="0"/>
    <n v="30"/>
    <n v="0.5"/>
    <n v="3.5"/>
    <n v="8.5"/>
    <x v="1"/>
    <x v="0"/>
    <m/>
    <x v="0"/>
    <n v="158"/>
    <x v="0"/>
    <x v="5"/>
    <x v="0"/>
    <x v="0"/>
    <x v="0"/>
  </r>
  <r>
    <x v="0"/>
    <x v="2"/>
    <s v="3969 J"/>
    <x v="88"/>
    <s v="Waqas Wollan Mills Gujranwala"/>
    <s v="LD بلو"/>
    <n v="16"/>
    <s v="10-10.5"/>
    <s v="ABA تھینکیو"/>
    <n v="150"/>
    <x v="0"/>
    <n v="1"/>
    <n v="81"/>
    <n v="2"/>
    <m/>
    <x v="0"/>
    <n v="79"/>
    <m/>
    <m/>
    <x v="0"/>
    <x v="0"/>
    <n v="0"/>
    <n v="0"/>
    <x v="0"/>
    <x v="0"/>
    <m/>
    <x v="0"/>
    <x v="0"/>
    <x v="0"/>
    <x v="0"/>
    <x v="0"/>
    <n v="0"/>
    <n v="0"/>
    <n v="0"/>
    <n v="12"/>
    <x v="1"/>
    <x v="0"/>
    <m/>
    <x v="0"/>
    <n v="84"/>
    <x v="0"/>
    <x v="5"/>
    <x v="0"/>
    <x v="0"/>
    <x v="0"/>
  </r>
  <r>
    <x v="1"/>
    <x v="2"/>
    <s v="3969 J"/>
    <x v="88"/>
    <s v="Waqas Wollan Mills Gujranwala"/>
    <s v="LD بلو"/>
    <n v="16"/>
    <s v="10-10.5"/>
    <s v="ABA تھینکیو"/>
    <n v="150"/>
    <x v="0"/>
    <n v="1"/>
    <n v="75.2"/>
    <n v="1.6"/>
    <n v="24"/>
    <x v="0"/>
    <n v="73.600000000000009"/>
    <m/>
    <m/>
    <x v="0"/>
    <x v="0"/>
    <n v="0"/>
    <n v="0"/>
    <x v="0"/>
    <x v="0"/>
    <m/>
    <x v="0"/>
    <x v="0"/>
    <x v="0"/>
    <x v="0"/>
    <x v="0"/>
    <n v="0"/>
    <n v="0"/>
    <n v="0"/>
    <n v="12"/>
    <x v="1"/>
    <x v="0"/>
    <m/>
    <x v="0"/>
    <n v="78.600000000000009"/>
    <x v="0"/>
    <x v="5"/>
    <x v="0"/>
    <x v="0"/>
    <x v="0"/>
  </r>
  <r>
    <x v="1"/>
    <x v="2"/>
    <s v="3984 J"/>
    <x v="88"/>
    <s v="Waqas Wollan Mills Gujranwala"/>
    <s v="LD بلو"/>
    <n v="16"/>
    <s v="10-10.5"/>
    <s v="ABA پیور"/>
    <n v="600"/>
    <x v="0"/>
    <n v="4"/>
    <n v="321.62"/>
    <n v="8"/>
    <m/>
    <x v="0"/>
    <n v="313.62"/>
    <m/>
    <m/>
    <x v="0"/>
    <x v="0"/>
    <n v="0"/>
    <n v="0"/>
    <x v="0"/>
    <x v="0"/>
    <m/>
    <x v="0"/>
    <x v="0"/>
    <x v="0"/>
    <x v="0"/>
    <x v="0"/>
    <n v="0"/>
    <n v="0"/>
    <n v="0"/>
    <n v="12"/>
    <x v="1"/>
    <x v="0"/>
    <m/>
    <x v="0"/>
    <n v="318.62"/>
    <x v="0"/>
    <x v="5"/>
    <x v="0"/>
    <x v="0"/>
    <x v="0"/>
  </r>
  <r>
    <x v="0"/>
    <x v="3"/>
    <s v="2787/1"/>
    <x v="88"/>
    <s v="MATCO FOOD"/>
    <s v="LDN"/>
    <s v="23-23.5"/>
    <s v="70 GRAM"/>
    <s v="SL"/>
    <n v="2600"/>
    <x v="0"/>
    <n v="3"/>
    <n v="277.60000000000002"/>
    <n v="8.3999999999999986"/>
    <n v="13"/>
    <x v="0"/>
    <n v="269.20000000000005"/>
    <m/>
    <m/>
    <x v="0"/>
    <x v="2"/>
    <n v="180"/>
    <n v="3"/>
    <x v="0"/>
    <x v="0"/>
    <m/>
    <x v="0"/>
    <x v="0"/>
    <x v="0"/>
    <x v="0"/>
    <x v="0"/>
    <n v="0"/>
    <n v="0"/>
    <n v="3"/>
    <n v="9"/>
    <x v="1"/>
    <x v="0"/>
    <m/>
    <x v="0"/>
    <n v="274.20000000000005"/>
    <x v="0"/>
    <x v="5"/>
    <x v="0"/>
    <x v="0"/>
    <x v="0"/>
  </r>
  <r>
    <x v="1"/>
    <x v="3"/>
    <s v="4139 J"/>
    <x v="88"/>
    <s v="Atlas Honda LTD (SKP)"/>
    <s v="LDN"/>
    <n v="22"/>
    <s v="12.5-13"/>
    <s v="پیور"/>
    <n v="210"/>
    <x v="0"/>
    <n v="2"/>
    <n v="179.39999999999998"/>
    <n v="5.4"/>
    <n v="9"/>
    <x v="0"/>
    <n v="173.99999999999997"/>
    <m/>
    <m/>
    <x v="0"/>
    <x v="0"/>
    <n v="0"/>
    <n v="0"/>
    <x v="0"/>
    <x v="0"/>
    <m/>
    <x v="0"/>
    <x v="0"/>
    <x v="0"/>
    <x v="0"/>
    <x v="0"/>
    <n v="0"/>
    <n v="0"/>
    <n v="0"/>
    <n v="12"/>
    <x v="1"/>
    <x v="0"/>
    <m/>
    <x v="0"/>
    <n v="178.99999999999997"/>
    <x v="0"/>
    <x v="5"/>
    <x v="0"/>
    <x v="0"/>
    <x v="0"/>
  </r>
  <r>
    <x v="1"/>
    <x v="3"/>
    <s v="4149 J"/>
    <x v="88"/>
    <s v="Atlas Honda LTD (SKP)"/>
    <s v="LDN"/>
    <n v="21"/>
    <s v="14-14.5"/>
    <s v="پیور"/>
    <n v="75"/>
    <x v="0"/>
    <n v="1"/>
    <n v="89.6"/>
    <n v="2.6"/>
    <m/>
    <x v="0"/>
    <n v="87"/>
    <m/>
    <m/>
    <x v="0"/>
    <x v="0"/>
    <n v="0"/>
    <n v="0"/>
    <x v="0"/>
    <x v="0"/>
    <m/>
    <x v="0"/>
    <x v="0"/>
    <x v="0"/>
    <x v="0"/>
    <x v="0"/>
    <n v="0"/>
    <n v="0"/>
    <n v="0"/>
    <n v="12"/>
    <x v="1"/>
    <x v="0"/>
    <m/>
    <x v="0"/>
    <n v="92"/>
    <x v="0"/>
    <x v="5"/>
    <x v="0"/>
    <x v="0"/>
    <x v="0"/>
  </r>
  <r>
    <x v="1"/>
    <x v="3"/>
    <s v="4140 J"/>
    <x v="88"/>
    <s v="Atlas Honda LTD (SKP)"/>
    <s v="LDN"/>
    <n v="22"/>
    <s v="12.5-13"/>
    <s v="پیور"/>
    <n v="210"/>
    <x v="0"/>
    <n v="2"/>
    <n v="185.6"/>
    <n v="5.2"/>
    <m/>
    <x v="0"/>
    <n v="180.4"/>
    <m/>
    <m/>
    <x v="0"/>
    <x v="0"/>
    <n v="0"/>
    <n v="0"/>
    <x v="0"/>
    <x v="0"/>
    <m/>
    <x v="0"/>
    <x v="0"/>
    <x v="0"/>
    <x v="0"/>
    <x v="0"/>
    <n v="0"/>
    <n v="0"/>
    <n v="0"/>
    <n v="12"/>
    <x v="1"/>
    <x v="0"/>
    <m/>
    <x v="0"/>
    <n v="185.4"/>
    <x v="0"/>
    <x v="5"/>
    <x v="0"/>
    <x v="0"/>
    <x v="0"/>
  </r>
  <r>
    <x v="0"/>
    <x v="0"/>
    <s v="4060 J"/>
    <x v="89"/>
    <s v="Waqas Wollan Mills Gujranwala"/>
    <s v="LDN"/>
    <n v="11"/>
    <s v="8-8.5"/>
    <s v="پیور"/>
    <n v="300"/>
    <x v="0"/>
    <n v="1"/>
    <n v="55"/>
    <n v="1.3"/>
    <n v="13"/>
    <x v="0"/>
    <n v="53.7"/>
    <m/>
    <m/>
    <x v="0"/>
    <x v="5"/>
    <n v="510"/>
    <n v="8.5"/>
    <x v="0"/>
    <x v="0"/>
    <m/>
    <x v="0"/>
    <x v="0"/>
    <x v="0"/>
    <x v="0"/>
    <x v="0"/>
    <n v="0"/>
    <n v="0"/>
    <n v="8.5"/>
    <n v="3.5"/>
    <x v="1"/>
    <x v="0"/>
    <m/>
    <x v="0"/>
    <n v="58.7"/>
    <x v="0"/>
    <x v="5"/>
    <x v="0"/>
    <x v="0"/>
    <x v="0"/>
  </r>
  <r>
    <x v="1"/>
    <x v="0"/>
    <s v="4060 J"/>
    <x v="89"/>
    <s v="Waqas Wollan Mills Gujranwala"/>
    <s v="LDN"/>
    <n v="11"/>
    <s v="8-8.5"/>
    <s v="پیور"/>
    <n v="300"/>
    <x v="0"/>
    <n v="3"/>
    <n v="188.8"/>
    <n v="3.9000000000000004"/>
    <m/>
    <x v="0"/>
    <n v="184.9"/>
    <m/>
    <m/>
    <x v="0"/>
    <x v="0"/>
    <n v="0"/>
    <n v="0"/>
    <x v="0"/>
    <x v="0"/>
    <m/>
    <x v="0"/>
    <x v="0"/>
    <x v="0"/>
    <x v="0"/>
    <x v="0"/>
    <n v="0"/>
    <n v="0"/>
    <n v="0"/>
    <n v="12"/>
    <x v="1"/>
    <x v="0"/>
    <n v="1685.5"/>
    <x v="0"/>
    <n v="189.9"/>
    <x v="1"/>
    <x v="5"/>
    <x v="0"/>
    <x v="0"/>
    <x v="0"/>
  </r>
  <r>
    <x v="0"/>
    <x v="1"/>
    <s v="4156 J"/>
    <x v="89"/>
    <s v="Bundu Khan Lahore"/>
    <s v="LDN"/>
    <n v="16"/>
    <s v="8-8.5"/>
    <s v="پیور"/>
    <n v="500"/>
    <x v="0"/>
    <n v="4"/>
    <n v="260"/>
    <n v="7.9"/>
    <n v="2"/>
    <x v="0"/>
    <n v="252.1"/>
    <m/>
    <m/>
    <x v="0"/>
    <x v="0"/>
    <n v="0"/>
    <n v="0"/>
    <x v="0"/>
    <x v="0"/>
    <m/>
    <x v="0"/>
    <x v="0"/>
    <x v="0"/>
    <x v="0"/>
    <x v="0"/>
    <n v="0"/>
    <n v="0"/>
    <n v="0"/>
    <n v="12"/>
    <x v="1"/>
    <x v="0"/>
    <m/>
    <x v="0"/>
    <n v="257.10000000000002"/>
    <x v="0"/>
    <x v="5"/>
    <x v="0"/>
    <x v="0"/>
    <x v="0"/>
  </r>
  <r>
    <x v="1"/>
    <x v="1"/>
    <s v="2116 F"/>
    <x v="89"/>
    <s v="Usman Amin"/>
    <s v="LDN"/>
    <n v="15"/>
    <s v="8-8.5"/>
    <s v="پیور"/>
    <n v="60"/>
    <x v="0"/>
    <n v="1"/>
    <n v="69.8"/>
    <n v="1.8"/>
    <n v="24"/>
    <x v="0"/>
    <n v="68"/>
    <m/>
    <m/>
    <x v="0"/>
    <x v="0"/>
    <n v="0"/>
    <n v="0"/>
    <x v="0"/>
    <x v="0"/>
    <n v="240"/>
    <x v="0"/>
    <x v="0"/>
    <x v="0"/>
    <x v="0"/>
    <x v="0"/>
    <n v="240"/>
    <n v="4"/>
    <n v="4"/>
    <n v="8"/>
    <x v="1"/>
    <x v="0"/>
    <m/>
    <x v="0"/>
    <n v="73"/>
    <x v="0"/>
    <x v="5"/>
    <x v="0"/>
    <x v="0"/>
    <x v="0"/>
  </r>
  <r>
    <x v="0"/>
    <x v="2"/>
    <s v="3984 J"/>
    <x v="89"/>
    <s v="Waqas Wollan Mills Gujranwala"/>
    <s v="LD بلو"/>
    <n v="16"/>
    <s v="10-10.5"/>
    <s v="ABA پیور"/>
    <n v="600"/>
    <x v="0"/>
    <n v="1"/>
    <n v="63"/>
    <n v="2.2000000000000002"/>
    <n v="7"/>
    <x v="0"/>
    <n v="60.8"/>
    <m/>
    <m/>
    <x v="0"/>
    <x v="0"/>
    <n v="0"/>
    <n v="0"/>
    <x v="0"/>
    <x v="0"/>
    <m/>
    <x v="0"/>
    <x v="0"/>
    <x v="0"/>
    <x v="0"/>
    <x v="0"/>
    <n v="0"/>
    <n v="0"/>
    <n v="0"/>
    <n v="12"/>
    <x v="1"/>
    <x v="0"/>
    <m/>
    <x v="0"/>
    <n v="65.8"/>
    <x v="0"/>
    <x v="5"/>
    <x v="0"/>
    <x v="0"/>
    <x v="0"/>
  </r>
  <r>
    <x v="0"/>
    <x v="2"/>
    <s v="3980 J"/>
    <x v="89"/>
    <s v="Waqas Wollan Mills Gujranwala"/>
    <s v="LD بلو"/>
    <n v="16"/>
    <s v="10-10.5"/>
    <s v="ABA پیور"/>
    <n v="150"/>
    <x v="0"/>
    <n v="1"/>
    <n v="71.599999999999994"/>
    <n v="2.2000000000000002"/>
    <m/>
    <x v="0"/>
    <n v="69.399999999999991"/>
    <m/>
    <m/>
    <x v="0"/>
    <x v="0"/>
    <n v="0"/>
    <n v="0"/>
    <x v="0"/>
    <x v="0"/>
    <m/>
    <x v="0"/>
    <x v="0"/>
    <x v="0"/>
    <x v="0"/>
    <x v="0"/>
    <n v="0"/>
    <n v="0"/>
    <n v="0"/>
    <n v="12"/>
    <x v="1"/>
    <x v="0"/>
    <m/>
    <x v="0"/>
    <n v="74.399999999999991"/>
    <x v="0"/>
    <x v="5"/>
    <x v="0"/>
    <x v="0"/>
    <x v="0"/>
  </r>
  <r>
    <x v="0"/>
    <x v="2"/>
    <s v="3979 J"/>
    <x v="89"/>
    <s v="Waqas Wollan Mills Gujranwala"/>
    <s v="LD بلو"/>
    <n v="16"/>
    <s v="10-10.5"/>
    <s v="ABA پیور"/>
    <n v="250"/>
    <x v="0"/>
    <n v="3"/>
    <n v="252"/>
    <n v="6"/>
    <m/>
    <x v="0"/>
    <n v="246"/>
    <m/>
    <m/>
    <x v="0"/>
    <x v="0"/>
    <n v="0"/>
    <n v="0"/>
    <x v="0"/>
    <x v="0"/>
    <m/>
    <x v="0"/>
    <x v="0"/>
    <x v="0"/>
    <x v="0"/>
    <x v="0"/>
    <n v="0"/>
    <n v="0"/>
    <n v="0"/>
    <n v="12"/>
    <x v="1"/>
    <x v="0"/>
    <m/>
    <x v="0"/>
    <n v="251"/>
    <x v="0"/>
    <x v="5"/>
    <x v="0"/>
    <x v="0"/>
    <x v="0"/>
  </r>
  <r>
    <x v="0"/>
    <x v="2"/>
    <s v="3983 J"/>
    <x v="89"/>
    <s v="Waqas Wollan Mills Gujranwala"/>
    <s v="LD بلو"/>
    <n v="16"/>
    <s v="10-10.5"/>
    <s v="ABA پیور"/>
    <n v="250"/>
    <x v="0"/>
    <n v="1"/>
    <n v="46.6"/>
    <n v="2"/>
    <m/>
    <x v="0"/>
    <n v="44.6"/>
    <m/>
    <m/>
    <x v="0"/>
    <x v="0"/>
    <n v="0"/>
    <n v="0"/>
    <x v="0"/>
    <x v="0"/>
    <m/>
    <x v="0"/>
    <x v="0"/>
    <x v="0"/>
    <x v="0"/>
    <x v="0"/>
    <n v="0"/>
    <n v="0"/>
    <n v="0"/>
    <n v="12"/>
    <x v="1"/>
    <x v="0"/>
    <m/>
    <x v="0"/>
    <n v="49.6"/>
    <x v="0"/>
    <x v="5"/>
    <x v="0"/>
    <x v="0"/>
    <x v="0"/>
  </r>
  <r>
    <x v="1"/>
    <x v="2"/>
    <s v="3983 J"/>
    <x v="89"/>
    <s v="Waqas Wollan Mills Gujranwala"/>
    <s v="LD بلو"/>
    <n v="16"/>
    <s v="10-10.5"/>
    <s v="ABA پیور"/>
    <n v="250"/>
    <x v="0"/>
    <n v="1"/>
    <n v="88.2"/>
    <n v="2"/>
    <n v="15"/>
    <x v="0"/>
    <n v="86.2"/>
    <m/>
    <m/>
    <x v="0"/>
    <x v="0"/>
    <n v="0"/>
    <n v="0"/>
    <x v="0"/>
    <x v="0"/>
    <m/>
    <x v="0"/>
    <x v="0"/>
    <x v="0"/>
    <x v="0"/>
    <x v="0"/>
    <n v="0"/>
    <n v="0"/>
    <n v="0"/>
    <n v="12"/>
    <x v="1"/>
    <x v="0"/>
    <m/>
    <x v="0"/>
    <n v="91.2"/>
    <x v="0"/>
    <x v="5"/>
    <x v="0"/>
    <x v="0"/>
    <x v="0"/>
  </r>
  <r>
    <x v="1"/>
    <x v="2"/>
    <s v="3987 J"/>
    <x v="89"/>
    <s v="Waqas Wollan Mills Gujranwala"/>
    <s v="LD بلو"/>
    <n v="15"/>
    <s v="10-10.5"/>
    <s v="ABA پیور"/>
    <n v="450"/>
    <x v="0"/>
    <n v="3"/>
    <n v="243.2"/>
    <n v="5.5"/>
    <m/>
    <x v="0"/>
    <n v="237.7"/>
    <m/>
    <m/>
    <x v="0"/>
    <x v="0"/>
    <n v="0"/>
    <n v="0"/>
    <x v="0"/>
    <x v="0"/>
    <m/>
    <x v="0"/>
    <x v="0"/>
    <x v="0"/>
    <x v="0"/>
    <x v="0"/>
    <n v="0"/>
    <n v="0"/>
    <n v="0"/>
    <n v="12"/>
    <x v="1"/>
    <x v="0"/>
    <m/>
    <x v="0"/>
    <n v="242.7"/>
    <x v="0"/>
    <x v="5"/>
    <x v="0"/>
    <x v="0"/>
    <x v="0"/>
  </r>
  <r>
    <x v="0"/>
    <x v="3"/>
    <s v="4139 J"/>
    <x v="89"/>
    <s v="Atlas Honda LTD (SKP)"/>
    <s v="LDN"/>
    <n v="22"/>
    <s v="12.5-13"/>
    <s v="پیور"/>
    <n v="210"/>
    <x v="0"/>
    <n v="1"/>
    <n v="56"/>
    <n v="2.8"/>
    <n v="18"/>
    <x v="0"/>
    <n v="53.2"/>
    <m/>
    <m/>
    <x v="0"/>
    <x v="0"/>
    <n v="0"/>
    <n v="0"/>
    <x v="0"/>
    <x v="0"/>
    <m/>
    <x v="0"/>
    <x v="0"/>
    <x v="0"/>
    <x v="0"/>
    <x v="0"/>
    <n v="0"/>
    <n v="0"/>
    <n v="0"/>
    <n v="12"/>
    <x v="1"/>
    <x v="0"/>
    <m/>
    <x v="0"/>
    <n v="58.2"/>
    <x v="0"/>
    <x v="5"/>
    <x v="0"/>
    <x v="0"/>
    <x v="0"/>
  </r>
  <r>
    <x v="0"/>
    <x v="3"/>
    <s v="4147 J"/>
    <x v="89"/>
    <s v="Atlas Honda LTD (SKP)"/>
    <s v="LDN"/>
    <n v="22"/>
    <s v="8.5-9"/>
    <s v="پیور"/>
    <n v="75"/>
    <x v="0"/>
    <n v="2"/>
    <n v="113.8"/>
    <n v="4.4000000000000004"/>
    <m/>
    <x v="0"/>
    <n v="109.39999999999999"/>
    <m/>
    <m/>
    <x v="0"/>
    <x v="0"/>
    <n v="0"/>
    <n v="0"/>
    <x v="0"/>
    <x v="0"/>
    <m/>
    <x v="0"/>
    <x v="0"/>
    <x v="0"/>
    <x v="0"/>
    <x v="0"/>
    <n v="0"/>
    <n v="0"/>
    <n v="0"/>
    <n v="12"/>
    <x v="1"/>
    <x v="0"/>
    <m/>
    <x v="0"/>
    <n v="114.39999999999999"/>
    <x v="0"/>
    <x v="5"/>
    <x v="0"/>
    <x v="0"/>
    <x v="0"/>
  </r>
  <r>
    <x v="0"/>
    <x v="3"/>
    <s v="2118 F"/>
    <x v="89"/>
    <s v="Usman Amin"/>
    <s v="LDN"/>
    <n v="26.5"/>
    <s v="7"/>
    <s v="پیور"/>
    <n v="120"/>
    <x v="0"/>
    <n v="2"/>
    <n v="127.6"/>
    <n v="6.6"/>
    <m/>
    <x v="0"/>
    <n v="121"/>
    <m/>
    <m/>
    <x v="0"/>
    <x v="0"/>
    <n v="0"/>
    <n v="0"/>
    <x v="0"/>
    <x v="0"/>
    <m/>
    <x v="0"/>
    <x v="0"/>
    <x v="0"/>
    <x v="0"/>
    <x v="0"/>
    <n v="0"/>
    <n v="0"/>
    <n v="0"/>
    <n v="12"/>
    <x v="1"/>
    <x v="0"/>
    <m/>
    <x v="0"/>
    <n v="126"/>
    <x v="0"/>
    <x v="5"/>
    <x v="0"/>
    <x v="0"/>
    <x v="0"/>
  </r>
  <r>
    <x v="0"/>
    <x v="3"/>
    <s v="4146 J"/>
    <x v="89"/>
    <s v="Atlas Honda LTD (SKP)"/>
    <s v="LDN"/>
    <n v="26"/>
    <s v="8.5-9"/>
    <s v="پیور"/>
    <n v="225"/>
    <x v="0"/>
    <n v="1"/>
    <n v="67.8"/>
    <n v="3.4"/>
    <m/>
    <x v="0"/>
    <n v="64.399999999999991"/>
    <m/>
    <m/>
    <x v="0"/>
    <x v="0"/>
    <n v="0"/>
    <n v="0"/>
    <x v="0"/>
    <x v="0"/>
    <m/>
    <x v="0"/>
    <x v="0"/>
    <x v="0"/>
    <x v="0"/>
    <x v="0"/>
    <n v="0"/>
    <n v="0"/>
    <n v="0"/>
    <n v="12"/>
    <x v="1"/>
    <x v="0"/>
    <m/>
    <x v="0"/>
    <n v="69.399999999999991"/>
    <x v="0"/>
    <x v="5"/>
    <x v="0"/>
    <x v="0"/>
    <x v="0"/>
  </r>
  <r>
    <x v="1"/>
    <x v="3"/>
    <s v="4146 J"/>
    <x v="89"/>
    <s v="Atlas Honda LTD (SKP)"/>
    <s v="LDN"/>
    <n v="26"/>
    <s v="8.5-9"/>
    <s v="پیور"/>
    <n v="225"/>
    <x v="0"/>
    <n v="3"/>
    <n v="177.60000000000002"/>
    <n v="6.4"/>
    <m/>
    <x v="0"/>
    <n v="171.20000000000002"/>
    <m/>
    <m/>
    <x v="0"/>
    <x v="0"/>
    <n v="0"/>
    <n v="0"/>
    <x v="0"/>
    <x v="0"/>
    <m/>
    <x v="0"/>
    <x v="0"/>
    <x v="0"/>
    <x v="0"/>
    <x v="0"/>
    <n v="0"/>
    <n v="0"/>
    <n v="0"/>
    <n v="12"/>
    <x v="1"/>
    <x v="0"/>
    <m/>
    <x v="0"/>
    <n v="176.20000000000002"/>
    <x v="0"/>
    <x v="5"/>
    <x v="0"/>
    <x v="0"/>
    <x v="0"/>
  </r>
  <r>
    <x v="1"/>
    <x v="3"/>
    <s v="2117 F"/>
    <x v="89"/>
    <s v="Usman Amin"/>
    <s v="LDN"/>
    <n v="24"/>
    <s v="7"/>
    <s v="پیور"/>
    <n v="405"/>
    <x v="0"/>
    <n v="2"/>
    <n v="125.4"/>
    <n v="5.6"/>
    <m/>
    <x v="0"/>
    <n v="119.80000000000001"/>
    <m/>
    <m/>
    <x v="0"/>
    <x v="0"/>
    <n v="0"/>
    <n v="0"/>
    <x v="0"/>
    <x v="0"/>
    <m/>
    <x v="0"/>
    <x v="0"/>
    <x v="0"/>
    <x v="0"/>
    <x v="0"/>
    <n v="0"/>
    <n v="0"/>
    <n v="0"/>
    <n v="12"/>
    <x v="1"/>
    <x v="0"/>
    <m/>
    <x v="0"/>
    <n v="124.80000000000001"/>
    <x v="0"/>
    <x v="5"/>
    <x v="0"/>
    <x v="0"/>
    <x v="0"/>
  </r>
  <r>
    <x v="1"/>
    <x v="3"/>
    <s v="2787/1"/>
    <x v="89"/>
    <s v="MATCO FOOD"/>
    <s v="LDN"/>
    <s v="23-23.5"/>
    <s v="70 GRAM"/>
    <s v="SL"/>
    <n v="2600"/>
    <x v="0"/>
    <n v="1"/>
    <n v="80.2"/>
    <n v="2.6"/>
    <m/>
    <x v="0"/>
    <n v="77.600000000000009"/>
    <m/>
    <m/>
    <x v="0"/>
    <x v="0"/>
    <n v="0"/>
    <n v="0"/>
    <x v="0"/>
    <x v="0"/>
    <m/>
    <x v="0"/>
    <x v="0"/>
    <x v="0"/>
    <x v="0"/>
    <x v="0"/>
    <n v="0"/>
    <n v="0"/>
    <n v="0"/>
    <n v="12"/>
    <x v="1"/>
    <x v="0"/>
    <m/>
    <x v="0"/>
    <n v="82.600000000000009"/>
    <x v="0"/>
    <x v="5"/>
    <x v="0"/>
    <x v="0"/>
    <x v="0"/>
  </r>
  <r>
    <x v="1"/>
    <x v="4"/>
    <s v="PAKING ROLL"/>
    <x v="89"/>
    <s v="-"/>
    <m/>
    <m/>
    <m/>
    <m/>
    <m/>
    <x v="0"/>
    <n v="1"/>
    <n v="80.599999999999994"/>
    <n v="3.4"/>
    <n v="33"/>
    <x v="0"/>
    <n v="77.199999999999989"/>
    <m/>
    <m/>
    <x v="0"/>
    <x v="6"/>
    <n v="270"/>
    <n v="4.5"/>
    <x v="0"/>
    <x v="0"/>
    <m/>
    <x v="0"/>
    <x v="0"/>
    <x v="0"/>
    <x v="0"/>
    <x v="0"/>
    <n v="0"/>
    <n v="0"/>
    <n v="4.5"/>
    <n v="7.5"/>
    <x v="1"/>
    <x v="0"/>
    <m/>
    <x v="0"/>
    <n v="82.199999999999989"/>
    <x v="0"/>
    <x v="5"/>
    <x v="0"/>
    <x v="0"/>
    <x v="0"/>
  </r>
  <r>
    <x v="1"/>
    <x v="4"/>
    <s v="2787/1"/>
    <x v="89"/>
    <s v="MATCO FOOD"/>
    <s v="LDN"/>
    <s v="23-23.5"/>
    <s v="70 GRAM"/>
    <s v="SL"/>
    <n v="2600"/>
    <x v="0"/>
    <n v="4"/>
    <n v="363.4"/>
    <n v="11.2"/>
    <m/>
    <x v="0"/>
    <n v="352.2"/>
    <m/>
    <m/>
    <x v="0"/>
    <x v="0"/>
    <n v="0"/>
    <n v="0"/>
    <x v="0"/>
    <x v="0"/>
    <m/>
    <x v="0"/>
    <x v="0"/>
    <x v="0"/>
    <x v="0"/>
    <x v="0"/>
    <n v="0"/>
    <n v="0"/>
    <n v="0"/>
    <n v="12"/>
    <x v="1"/>
    <x v="0"/>
    <m/>
    <x v="0"/>
    <n v="357.2"/>
    <x v="0"/>
    <x v="5"/>
    <x v="0"/>
    <x v="0"/>
    <x v="0"/>
  </r>
  <r>
    <x v="0"/>
    <x v="0"/>
    <s v="4060 J"/>
    <x v="90"/>
    <s v="Waqas Wollan Mills Gujranwala"/>
    <s v="LDN"/>
    <n v="11"/>
    <s v="8-8.5"/>
    <s v="پیور"/>
    <n v="300"/>
    <x v="0"/>
    <n v="2"/>
    <n v="82.4"/>
    <n v="2.6"/>
    <n v="90"/>
    <x v="0"/>
    <n v="79.800000000000011"/>
    <m/>
    <m/>
    <x v="0"/>
    <x v="0"/>
    <n v="0"/>
    <n v="0"/>
    <x v="0"/>
    <x v="0"/>
    <m/>
    <x v="0"/>
    <x v="0"/>
    <x v="0"/>
    <x v="0"/>
    <x v="0"/>
    <n v="0"/>
    <n v="0"/>
    <n v="0"/>
    <n v="12"/>
    <x v="1"/>
    <x v="0"/>
    <n v="2002.5"/>
    <x v="0"/>
    <n v="84.800000000000011"/>
    <x v="1"/>
    <x v="5"/>
    <x v="0"/>
    <x v="0"/>
    <x v="0"/>
  </r>
  <r>
    <x v="0"/>
    <x v="0"/>
    <s v="4145 J"/>
    <x v="90"/>
    <s v="Atlas Honda LTD (SKP)"/>
    <s v="LDN"/>
    <n v="9"/>
    <s v="8.5-9"/>
    <s v="پیور"/>
    <n v="365"/>
    <x v="0"/>
    <n v="2"/>
    <n v="110.4"/>
    <n v="2.2000000000000002"/>
    <m/>
    <x v="0"/>
    <n v="108.2"/>
    <m/>
    <m/>
    <x v="0"/>
    <x v="0"/>
    <n v="0"/>
    <n v="0"/>
    <x v="0"/>
    <x v="0"/>
    <m/>
    <x v="0"/>
    <x v="0"/>
    <x v="0"/>
    <x v="0"/>
    <x v="0"/>
    <n v="0"/>
    <n v="0"/>
    <n v="0"/>
    <n v="12"/>
    <x v="1"/>
    <x v="0"/>
    <m/>
    <x v="0"/>
    <n v="113.2"/>
    <x v="0"/>
    <x v="5"/>
    <x v="0"/>
    <x v="0"/>
    <x v="0"/>
  </r>
  <r>
    <x v="1"/>
    <x v="0"/>
    <s v="4145 J"/>
    <x v="90"/>
    <s v="Atlas Honda LTD (SKP)"/>
    <s v="LDN"/>
    <n v="9"/>
    <s v="8.5-9"/>
    <s v="پیور"/>
    <n v="365"/>
    <x v="0"/>
    <n v="4"/>
    <n v="193.2"/>
    <n v="4.4000000000000004"/>
    <n v="11"/>
    <x v="0"/>
    <n v="188.79999999999998"/>
    <m/>
    <m/>
    <x v="0"/>
    <x v="0"/>
    <n v="0"/>
    <n v="0"/>
    <x v="0"/>
    <x v="0"/>
    <m/>
    <x v="0"/>
    <x v="0"/>
    <x v="0"/>
    <x v="0"/>
    <x v="0"/>
    <n v="0"/>
    <n v="0"/>
    <n v="0"/>
    <n v="12"/>
    <x v="1"/>
    <x v="0"/>
    <m/>
    <x v="0"/>
    <n v="193.79999999999998"/>
    <x v="0"/>
    <x v="5"/>
    <x v="0"/>
    <x v="0"/>
    <x v="0"/>
  </r>
  <r>
    <x v="0"/>
    <x v="1"/>
    <s v="4000 J"/>
    <x v="90"/>
    <s v="Pizza Bank And Fast Food Kamoki"/>
    <s v="LDN"/>
    <n v="8"/>
    <s v="12-12.5"/>
    <s v="پیور"/>
    <n v="100"/>
    <x v="0"/>
    <n v="2"/>
    <n v="109.4"/>
    <n v="2"/>
    <m/>
    <x v="0"/>
    <n v="107.4"/>
    <m/>
    <m/>
    <x v="0"/>
    <x v="0"/>
    <n v="0"/>
    <n v="0"/>
    <x v="0"/>
    <x v="0"/>
    <m/>
    <x v="0"/>
    <x v="0"/>
    <x v="0"/>
    <x v="0"/>
    <x v="0"/>
    <n v="0"/>
    <n v="0"/>
    <n v="0"/>
    <n v="12"/>
    <x v="1"/>
    <x v="0"/>
    <m/>
    <x v="0"/>
    <n v="112.4"/>
    <x v="0"/>
    <x v="5"/>
    <x v="0"/>
    <x v="0"/>
    <x v="0"/>
  </r>
  <r>
    <x v="0"/>
    <x v="1"/>
    <s v="3997 J"/>
    <x v="90"/>
    <s v="Pizza Bank And Fast Food Kamoki"/>
    <s v="LDN"/>
    <n v="8"/>
    <s v="12-12.5"/>
    <s v="پیور"/>
    <n v="100"/>
    <x v="0"/>
    <n v="2"/>
    <n v="104.4"/>
    <n v="2"/>
    <m/>
    <x v="0"/>
    <n v="102.4"/>
    <m/>
    <m/>
    <x v="0"/>
    <x v="0"/>
    <n v="0"/>
    <n v="0"/>
    <x v="0"/>
    <x v="0"/>
    <m/>
    <x v="0"/>
    <x v="0"/>
    <x v="0"/>
    <x v="0"/>
    <x v="0"/>
    <n v="0"/>
    <n v="0"/>
    <n v="0"/>
    <n v="12"/>
    <x v="1"/>
    <x v="0"/>
    <m/>
    <x v="0"/>
    <n v="107.4"/>
    <x v="0"/>
    <x v="5"/>
    <x v="0"/>
    <x v="0"/>
    <x v="0"/>
  </r>
  <r>
    <x v="1"/>
    <x v="1"/>
    <s v="3998 J"/>
    <x v="90"/>
    <s v="Pizza Bank And Fast Food Kamoki"/>
    <s v="LDN"/>
    <n v="8"/>
    <s v="12-12.5"/>
    <s v="پیور"/>
    <n v="100"/>
    <x v="0"/>
    <n v="1"/>
    <n v="45.2"/>
    <n v="1"/>
    <n v="8"/>
    <x v="0"/>
    <n v="44.2"/>
    <m/>
    <m/>
    <x v="0"/>
    <x v="0"/>
    <n v="0"/>
    <n v="0"/>
    <x v="0"/>
    <x v="0"/>
    <m/>
    <x v="0"/>
    <x v="0"/>
    <x v="0"/>
    <x v="0"/>
    <x v="0"/>
    <n v="0"/>
    <n v="0"/>
    <n v="0"/>
    <n v="12"/>
    <x v="1"/>
    <x v="0"/>
    <m/>
    <x v="0"/>
    <n v="49.2"/>
    <x v="0"/>
    <x v="5"/>
    <x v="0"/>
    <x v="0"/>
    <x v="0"/>
  </r>
  <r>
    <x v="1"/>
    <x v="1"/>
    <s v="3999 J"/>
    <x v="90"/>
    <s v="Pizza Bank And Fast Food Kamoki"/>
    <s v="LDN"/>
    <n v="8"/>
    <s v="12-12.5"/>
    <s v="پیور"/>
    <n v="100"/>
    <x v="0"/>
    <n v="2"/>
    <n v="92.6"/>
    <n v="2"/>
    <m/>
    <x v="0"/>
    <n v="90.6"/>
    <m/>
    <m/>
    <x v="0"/>
    <x v="0"/>
    <n v="0"/>
    <n v="0"/>
    <x v="0"/>
    <x v="0"/>
    <m/>
    <x v="0"/>
    <x v="0"/>
    <x v="0"/>
    <x v="0"/>
    <x v="0"/>
    <n v="0"/>
    <n v="0"/>
    <n v="0"/>
    <n v="12"/>
    <x v="1"/>
    <x v="0"/>
    <m/>
    <x v="0"/>
    <n v="95.6"/>
    <x v="0"/>
    <x v="5"/>
    <x v="0"/>
    <x v="0"/>
    <x v="0"/>
  </r>
  <r>
    <x v="0"/>
    <x v="2"/>
    <s v="3987 J"/>
    <x v="90"/>
    <s v="Waqas Wollan Mills Gujranwala"/>
    <s v="LD بلو"/>
    <n v="15"/>
    <s v="10-10.5"/>
    <s v="ABA پیور"/>
    <n v="450"/>
    <x v="0"/>
    <n v="3"/>
    <n v="228.2"/>
    <n v="5.6999999999999993"/>
    <m/>
    <x v="0"/>
    <n v="222.5"/>
    <m/>
    <m/>
    <x v="0"/>
    <x v="0"/>
    <n v="0"/>
    <n v="0"/>
    <x v="0"/>
    <x v="0"/>
    <m/>
    <x v="0"/>
    <x v="0"/>
    <x v="0"/>
    <x v="0"/>
    <x v="0"/>
    <n v="0"/>
    <n v="0"/>
    <n v="0"/>
    <n v="12"/>
    <x v="1"/>
    <x v="0"/>
    <m/>
    <x v="0"/>
    <n v="227.5"/>
    <x v="0"/>
    <x v="5"/>
    <x v="0"/>
    <x v="0"/>
    <x v="0"/>
  </r>
  <r>
    <x v="0"/>
    <x v="2"/>
    <s v="3986 J"/>
    <x v="90"/>
    <s v="Waqas Wollan Mills Gujranwala"/>
    <s v="LD بلو"/>
    <n v="15"/>
    <s v="10-10.5"/>
    <s v="ABA پیور"/>
    <n v="350"/>
    <x v="0"/>
    <n v="2"/>
    <n v="173.4"/>
    <n v="3.8"/>
    <m/>
    <x v="0"/>
    <n v="169.6"/>
    <m/>
    <m/>
    <x v="0"/>
    <x v="0"/>
    <n v="0"/>
    <n v="0"/>
    <x v="0"/>
    <x v="0"/>
    <m/>
    <x v="0"/>
    <x v="0"/>
    <x v="0"/>
    <x v="0"/>
    <x v="0"/>
    <n v="0"/>
    <n v="0"/>
    <n v="0"/>
    <n v="12"/>
    <x v="1"/>
    <x v="0"/>
    <m/>
    <x v="0"/>
    <n v="174.6"/>
    <x v="0"/>
    <x v="5"/>
    <x v="0"/>
    <x v="0"/>
    <x v="0"/>
  </r>
  <r>
    <x v="1"/>
    <x v="2"/>
    <s v="3986 J"/>
    <x v="90"/>
    <s v="Waqas Wollan Mills Gujranwala"/>
    <s v="LD بلو"/>
    <n v="15"/>
    <s v="10-10.5"/>
    <s v="ABA پیور"/>
    <n v="350"/>
    <x v="0"/>
    <n v="4"/>
    <n v="191.20000000000002"/>
    <n v="7.8"/>
    <n v="20"/>
    <x v="0"/>
    <n v="183.4"/>
    <m/>
    <n v="20"/>
    <x v="0"/>
    <x v="0"/>
    <n v="20"/>
    <n v="0.33333333333333331"/>
    <x v="0"/>
    <x v="0"/>
    <m/>
    <x v="0"/>
    <x v="0"/>
    <x v="0"/>
    <x v="0"/>
    <x v="0"/>
    <n v="0"/>
    <n v="0"/>
    <n v="0.33333333333333331"/>
    <n v="11.666666666666666"/>
    <x v="1"/>
    <x v="0"/>
    <m/>
    <x v="0"/>
    <n v="188.4"/>
    <x v="0"/>
    <x v="5"/>
    <x v="0"/>
    <x v="0"/>
    <x v="0"/>
  </r>
  <r>
    <x v="1"/>
    <x v="2"/>
    <s v="3982 J"/>
    <x v="90"/>
    <s v="Waqas Wollan Mills Gujranwala"/>
    <s v="LD بلو"/>
    <n v="18"/>
    <s v="10-10.5"/>
    <s v="ABA پیور"/>
    <n v="100"/>
    <x v="0"/>
    <n v="2"/>
    <n v="115"/>
    <n v="2.8"/>
    <m/>
    <x v="0"/>
    <n v="112.2"/>
    <m/>
    <m/>
    <x v="0"/>
    <x v="0"/>
    <n v="0"/>
    <n v="0"/>
    <x v="0"/>
    <x v="0"/>
    <m/>
    <x v="0"/>
    <x v="0"/>
    <x v="0"/>
    <x v="0"/>
    <x v="0"/>
    <n v="0"/>
    <n v="0"/>
    <n v="0"/>
    <n v="12"/>
    <x v="1"/>
    <x v="0"/>
    <m/>
    <x v="0"/>
    <n v="117.2"/>
    <x v="0"/>
    <x v="5"/>
    <x v="0"/>
    <x v="0"/>
    <x v="0"/>
  </r>
  <r>
    <x v="1"/>
    <x v="2"/>
    <s v="3981 J"/>
    <x v="90"/>
    <s v="Waqas Wollan Mills Gujranwala"/>
    <s v="LD بلو"/>
    <n v="18"/>
    <s v="10-10.5"/>
    <s v="ABA پیور"/>
    <n v="100"/>
    <x v="0"/>
    <n v="2"/>
    <n v="101"/>
    <n v="4.4000000000000004"/>
    <m/>
    <x v="0"/>
    <n v="96.6"/>
    <m/>
    <m/>
    <x v="0"/>
    <x v="0"/>
    <n v="0"/>
    <n v="0"/>
    <x v="0"/>
    <x v="0"/>
    <m/>
    <x v="0"/>
    <x v="0"/>
    <x v="0"/>
    <x v="0"/>
    <x v="0"/>
    <n v="0"/>
    <n v="0"/>
    <n v="0"/>
    <n v="12"/>
    <x v="1"/>
    <x v="0"/>
    <m/>
    <x v="0"/>
    <n v="101.6"/>
    <x v="0"/>
    <x v="5"/>
    <x v="0"/>
    <x v="0"/>
    <x v="0"/>
  </r>
  <r>
    <x v="0"/>
    <x v="3"/>
    <s v="2117 F"/>
    <x v="90"/>
    <s v="Usman Amin"/>
    <s v="LDN"/>
    <n v="24"/>
    <s v="7"/>
    <s v="پیور"/>
    <n v="405"/>
    <x v="0"/>
    <n v="1"/>
    <n v="44.4"/>
    <n v="2.8"/>
    <m/>
    <x v="0"/>
    <n v="41.6"/>
    <m/>
    <m/>
    <x v="0"/>
    <x v="0"/>
    <n v="0"/>
    <n v="0"/>
    <x v="0"/>
    <x v="0"/>
    <m/>
    <x v="0"/>
    <x v="0"/>
    <x v="0"/>
    <x v="0"/>
    <x v="0"/>
    <n v="0"/>
    <n v="0"/>
    <n v="0"/>
    <n v="12"/>
    <x v="1"/>
    <x v="0"/>
    <m/>
    <x v="0"/>
    <n v="46.6"/>
    <x v="0"/>
    <x v="5"/>
    <x v="0"/>
    <x v="0"/>
    <x v="0"/>
  </r>
  <r>
    <x v="0"/>
    <x v="3"/>
    <s v="2113 F"/>
    <x v="90"/>
    <s v="Usman Amin"/>
    <s v="LDN"/>
    <n v="23"/>
    <s v="8-8.5"/>
    <s v="جیلانی شیٹ"/>
    <n v="165"/>
    <x v="0"/>
    <n v="3"/>
    <n v="159.60000000000002"/>
    <n v="8.3999999999999986"/>
    <m/>
    <x v="0"/>
    <n v="151.20000000000002"/>
    <m/>
    <m/>
    <x v="0"/>
    <x v="0"/>
    <n v="0"/>
    <n v="0"/>
    <x v="0"/>
    <x v="0"/>
    <m/>
    <x v="0"/>
    <x v="0"/>
    <x v="0"/>
    <x v="0"/>
    <x v="0"/>
    <n v="0"/>
    <n v="0"/>
    <n v="0"/>
    <n v="12"/>
    <x v="1"/>
    <x v="0"/>
    <m/>
    <x v="0"/>
    <n v="156.20000000000002"/>
    <x v="0"/>
    <x v="5"/>
    <x v="0"/>
    <x v="0"/>
    <x v="0"/>
  </r>
  <r>
    <x v="0"/>
    <x v="3"/>
    <s v="2060 F"/>
    <x v="90"/>
    <s v="Usman Amin"/>
    <s v="LDN"/>
    <n v="28"/>
    <s v="12"/>
    <s v="جیلانی شیٹ"/>
    <n v="70"/>
    <x v="0"/>
    <n v="1"/>
    <n v="67.599999999999994"/>
    <n v="3.8"/>
    <m/>
    <x v="0"/>
    <n v="63.8"/>
    <m/>
    <m/>
    <x v="0"/>
    <x v="0"/>
    <n v="0"/>
    <n v="0"/>
    <x v="0"/>
    <x v="0"/>
    <m/>
    <x v="0"/>
    <x v="0"/>
    <x v="0"/>
    <x v="0"/>
    <x v="0"/>
    <n v="0"/>
    <n v="0"/>
    <n v="0"/>
    <n v="12"/>
    <x v="1"/>
    <x v="0"/>
    <m/>
    <x v="0"/>
    <n v="68.8"/>
    <x v="0"/>
    <x v="5"/>
    <x v="0"/>
    <x v="0"/>
    <x v="0"/>
  </r>
  <r>
    <x v="1"/>
    <x v="3"/>
    <s v="2133 F"/>
    <x v="90"/>
    <s v="Usman Amin"/>
    <s v="LDN"/>
    <n v="28"/>
    <s v="12"/>
    <s v="جیلانی شیٹ"/>
    <n v="100"/>
    <x v="0"/>
    <n v="2"/>
    <n v="117.8"/>
    <n v="7.1999999999999993"/>
    <n v="10"/>
    <x v="0"/>
    <n v="110.6"/>
    <m/>
    <n v="15"/>
    <x v="0"/>
    <x v="0"/>
    <n v="15"/>
    <n v="0.25"/>
    <x v="0"/>
    <x v="0"/>
    <m/>
    <x v="0"/>
    <x v="0"/>
    <x v="0"/>
    <x v="0"/>
    <x v="0"/>
    <n v="0"/>
    <n v="0"/>
    <n v="0.25"/>
    <n v="11.75"/>
    <x v="1"/>
    <x v="0"/>
    <m/>
    <x v="0"/>
    <n v="115.6"/>
    <x v="0"/>
    <x v="5"/>
    <x v="0"/>
    <x v="0"/>
    <x v="0"/>
  </r>
  <r>
    <x v="1"/>
    <x v="3"/>
    <s v="2134 F"/>
    <x v="90"/>
    <s v="Usman Amin"/>
    <s v="LDN"/>
    <n v="19"/>
    <s v="12"/>
    <s v="جیلانی شیٹ"/>
    <n v="60"/>
    <x v="0"/>
    <n v="1"/>
    <n v="57.8"/>
    <n v="1.6"/>
    <m/>
    <x v="0"/>
    <n v="56.199999999999996"/>
    <m/>
    <m/>
    <x v="0"/>
    <x v="0"/>
    <n v="0"/>
    <n v="0"/>
    <x v="0"/>
    <x v="0"/>
    <m/>
    <x v="0"/>
    <x v="0"/>
    <x v="0"/>
    <x v="0"/>
    <x v="0"/>
    <n v="0"/>
    <n v="0"/>
    <n v="0"/>
    <n v="12"/>
    <x v="1"/>
    <x v="0"/>
    <m/>
    <x v="0"/>
    <n v="61.199999999999996"/>
    <x v="0"/>
    <x v="5"/>
    <x v="0"/>
    <x v="0"/>
    <x v="0"/>
  </r>
  <r>
    <x v="1"/>
    <x v="3"/>
    <s v="2127 F"/>
    <x v="90"/>
    <s v="Usman Amin"/>
    <s v="LDN"/>
    <n v="15"/>
    <s v="10.5-11"/>
    <s v="پیور"/>
    <n v="530"/>
    <x v="0"/>
    <n v="4"/>
    <n v="205.2"/>
    <n v="7"/>
    <m/>
    <x v="0"/>
    <n v="198.2"/>
    <m/>
    <m/>
    <x v="0"/>
    <x v="0"/>
    <n v="0"/>
    <n v="0"/>
    <x v="0"/>
    <x v="0"/>
    <m/>
    <x v="0"/>
    <x v="0"/>
    <x v="0"/>
    <x v="0"/>
    <x v="0"/>
    <n v="0"/>
    <n v="0"/>
    <n v="0"/>
    <n v="12"/>
    <x v="1"/>
    <x v="0"/>
    <m/>
    <x v="0"/>
    <n v="203.2"/>
    <x v="0"/>
    <x v="5"/>
    <x v="0"/>
    <x v="0"/>
    <x v="0"/>
  </r>
  <r>
    <x v="0"/>
    <x v="4"/>
    <s v="2787/1"/>
    <x v="90"/>
    <s v="MATCO FOOD"/>
    <s v="LDN"/>
    <s v="23-23.5"/>
    <s v="70 GRAM"/>
    <s v="SL"/>
    <n v="2600"/>
    <x v="0"/>
    <n v="4"/>
    <n v="472.8"/>
    <n v="11.2"/>
    <m/>
    <x v="0"/>
    <n v="461.6"/>
    <m/>
    <m/>
    <x v="0"/>
    <x v="0"/>
    <n v="0"/>
    <n v="0"/>
    <x v="0"/>
    <x v="0"/>
    <m/>
    <x v="0"/>
    <x v="0"/>
    <x v="0"/>
    <x v="0"/>
    <x v="0"/>
    <n v="0"/>
    <n v="0"/>
    <n v="0"/>
    <n v="12"/>
    <x v="1"/>
    <x v="0"/>
    <m/>
    <x v="0"/>
    <n v="466.6"/>
    <x v="0"/>
    <x v="5"/>
    <x v="0"/>
    <x v="0"/>
    <x v="0"/>
  </r>
  <r>
    <x v="0"/>
    <x v="4"/>
    <s v="4103 J"/>
    <x v="90"/>
    <s v="Super Diamond Food Kamoki"/>
    <s v="LDN"/>
    <n v="22"/>
    <s v="7.5-8"/>
    <s v="پیور"/>
    <n v="300"/>
    <x v="0"/>
    <n v="3"/>
    <n v="148.20000000000002"/>
    <n v="6.8999999999999995"/>
    <m/>
    <x v="0"/>
    <n v="141.30000000000001"/>
    <m/>
    <m/>
    <x v="0"/>
    <x v="0"/>
    <n v="0"/>
    <n v="0"/>
    <x v="0"/>
    <x v="0"/>
    <m/>
    <x v="0"/>
    <x v="0"/>
    <x v="0"/>
    <x v="0"/>
    <x v="0"/>
    <n v="0"/>
    <n v="0"/>
    <n v="0"/>
    <n v="12"/>
    <x v="1"/>
    <x v="0"/>
    <m/>
    <x v="0"/>
    <n v="146.30000000000001"/>
    <x v="0"/>
    <x v="5"/>
    <x v="0"/>
    <x v="0"/>
    <x v="0"/>
  </r>
  <r>
    <x v="1"/>
    <x v="4"/>
    <s v="4103 J"/>
    <x v="90"/>
    <s v="Super Diamond Food Kamoki"/>
    <s v="LDN"/>
    <n v="22"/>
    <s v="7.5-8"/>
    <s v="پیور"/>
    <n v="300"/>
    <x v="0"/>
    <n v="3"/>
    <n v="168.8"/>
    <n v="7.8000000000000007"/>
    <n v="9"/>
    <x v="0"/>
    <n v="161"/>
    <m/>
    <n v="5"/>
    <x v="0"/>
    <x v="0"/>
    <n v="5"/>
    <n v="8.3333333333333329E-2"/>
    <x v="0"/>
    <x v="1"/>
    <m/>
    <x v="0"/>
    <x v="0"/>
    <x v="0"/>
    <x v="0"/>
    <x v="0"/>
    <n v="10"/>
    <n v="0.16666666666666666"/>
    <n v="0.25"/>
    <n v="11.75"/>
    <x v="1"/>
    <x v="0"/>
    <m/>
    <x v="0"/>
    <n v="166"/>
    <x v="0"/>
    <x v="5"/>
    <x v="0"/>
    <x v="0"/>
    <x v="0"/>
  </r>
  <r>
    <x v="1"/>
    <x v="4"/>
    <s v="4232 J"/>
    <x v="90"/>
    <s v="Super Diamond Food Kamoki"/>
    <s v="LDN"/>
    <n v="22"/>
    <s v="7.5-8"/>
    <s v="پیور"/>
    <n v="200"/>
    <x v="0"/>
    <n v="3"/>
    <n v="199.3"/>
    <n v="7.8000000000000007"/>
    <m/>
    <x v="0"/>
    <n v="191.5"/>
    <m/>
    <m/>
    <x v="0"/>
    <x v="0"/>
    <n v="0"/>
    <n v="0"/>
    <x v="0"/>
    <x v="0"/>
    <m/>
    <x v="0"/>
    <x v="0"/>
    <x v="0"/>
    <x v="0"/>
    <x v="0"/>
    <n v="0"/>
    <n v="0"/>
    <n v="0"/>
    <n v="12"/>
    <x v="1"/>
    <x v="0"/>
    <m/>
    <x v="0"/>
    <n v="196.5"/>
    <x v="0"/>
    <x v="5"/>
    <x v="0"/>
    <x v="0"/>
    <x v="0"/>
  </r>
  <r>
    <x v="1"/>
    <x v="4"/>
    <s v="4138 J"/>
    <x v="90"/>
    <s v="Atlas Honda LTD (SKP)"/>
    <s v="LDN"/>
    <n v="16"/>
    <s v="14-14.5"/>
    <s v="پیور"/>
    <n v="125"/>
    <x v="0"/>
    <n v="2"/>
    <n v="136.4"/>
    <n v="4"/>
    <m/>
    <x v="0"/>
    <n v="132.4"/>
    <m/>
    <m/>
    <x v="0"/>
    <x v="0"/>
    <n v="0"/>
    <n v="0"/>
    <x v="0"/>
    <x v="0"/>
    <m/>
    <x v="0"/>
    <x v="0"/>
    <x v="0"/>
    <x v="0"/>
    <x v="0"/>
    <n v="0"/>
    <n v="0"/>
    <n v="0"/>
    <n v="12"/>
    <x v="1"/>
    <x v="0"/>
    <m/>
    <x v="0"/>
    <n v="137.4"/>
    <x v="0"/>
    <x v="5"/>
    <x v="0"/>
    <x v="0"/>
    <x v="0"/>
  </r>
  <r>
    <x v="1"/>
    <x v="4"/>
    <s v="4141 J"/>
    <x v="90"/>
    <s v="Atlas Honda LTD (SKP)"/>
    <s v="LDN"/>
    <n v="16"/>
    <s v="12.5-13"/>
    <s v="پیور"/>
    <n v="130"/>
    <x v="0"/>
    <n v="1"/>
    <n v="65"/>
    <n v="2"/>
    <m/>
    <x v="0"/>
    <n v="63"/>
    <m/>
    <m/>
    <x v="0"/>
    <x v="0"/>
    <n v="0"/>
    <n v="0"/>
    <x v="0"/>
    <x v="0"/>
    <m/>
    <x v="0"/>
    <x v="0"/>
    <x v="0"/>
    <x v="0"/>
    <x v="0"/>
    <n v="0"/>
    <n v="0"/>
    <n v="0"/>
    <n v="12"/>
    <x v="1"/>
    <x v="0"/>
    <m/>
    <x v="0"/>
    <n v="68"/>
    <x v="0"/>
    <x v="5"/>
    <x v="0"/>
    <x v="0"/>
    <x v="0"/>
  </r>
  <r>
    <x v="0"/>
    <x v="0"/>
    <s v="4145 J"/>
    <x v="91"/>
    <s v="Atlas Honda LTD (SKP)"/>
    <s v="LDN"/>
    <n v="9"/>
    <s v="8.5-9"/>
    <s v="پیور"/>
    <n v="365"/>
    <x v="0"/>
    <n v="2"/>
    <n v="96.199999999999989"/>
    <n v="2.2000000000000002"/>
    <n v="8"/>
    <x v="0"/>
    <n v="93.999999999999986"/>
    <m/>
    <n v="3"/>
    <x v="0"/>
    <x v="0"/>
    <n v="3"/>
    <n v="0.05"/>
    <x v="0"/>
    <x v="0"/>
    <m/>
    <x v="0"/>
    <x v="0"/>
    <x v="0"/>
    <x v="0"/>
    <x v="0"/>
    <n v="0"/>
    <n v="0"/>
    <n v="0.05"/>
    <n v="11.95"/>
    <x v="1"/>
    <x v="0"/>
    <n v="2005.5"/>
    <x v="0"/>
    <n v="98.999999999999986"/>
    <x v="1"/>
    <x v="5"/>
    <x v="0"/>
    <x v="0"/>
    <x v="0"/>
  </r>
  <r>
    <x v="0"/>
    <x v="0"/>
    <s v="4143 J"/>
    <x v="91"/>
    <s v="Atlas Honda LTD (SKP)"/>
    <s v="LDN"/>
    <n v="12"/>
    <s v="8.5-9"/>
    <s v="پیور"/>
    <n v="150"/>
    <x v="0"/>
    <n v="2"/>
    <n v="116.4"/>
    <n v="2.9"/>
    <m/>
    <x v="0"/>
    <n v="113.5"/>
    <m/>
    <m/>
    <x v="0"/>
    <x v="0"/>
    <n v="0"/>
    <n v="0"/>
    <x v="0"/>
    <x v="0"/>
    <m/>
    <x v="0"/>
    <x v="0"/>
    <x v="0"/>
    <x v="0"/>
    <x v="0"/>
    <n v="0"/>
    <n v="0"/>
    <n v="0"/>
    <n v="12"/>
    <x v="1"/>
    <x v="0"/>
    <m/>
    <x v="0"/>
    <n v="118.5"/>
    <x v="0"/>
    <x v="5"/>
    <x v="0"/>
    <x v="0"/>
    <x v="0"/>
  </r>
  <r>
    <x v="1"/>
    <x v="0"/>
    <s v="4143 J"/>
    <x v="91"/>
    <s v="Atlas Honda LTD (SKP)"/>
    <s v="LDN"/>
    <n v="12"/>
    <s v="8.5-9"/>
    <s v="پیور"/>
    <n v="150"/>
    <x v="0"/>
    <n v="1"/>
    <n v="56"/>
    <n v="1.5"/>
    <n v="2"/>
    <x v="0"/>
    <n v="54.5"/>
    <m/>
    <m/>
    <x v="0"/>
    <x v="0"/>
    <n v="0"/>
    <n v="0"/>
    <x v="0"/>
    <x v="0"/>
    <m/>
    <x v="0"/>
    <x v="0"/>
    <x v="0"/>
    <x v="0"/>
    <x v="0"/>
    <n v="0"/>
    <n v="0"/>
    <n v="0"/>
    <n v="12"/>
    <x v="1"/>
    <x v="0"/>
    <m/>
    <x v="0"/>
    <n v="59.5"/>
    <x v="0"/>
    <x v="5"/>
    <x v="0"/>
    <x v="0"/>
    <x v="0"/>
  </r>
  <r>
    <x v="1"/>
    <x v="0"/>
    <s v="4090 J"/>
    <x v="91"/>
    <s v="Usman Arif Butt Gujranwala"/>
    <s v="LDN"/>
    <n v="10"/>
    <s v="5"/>
    <s v="پیور"/>
    <n v="100"/>
    <x v="0"/>
    <n v="4"/>
    <n v="110.39999999999999"/>
    <n v="5.2"/>
    <m/>
    <x v="0"/>
    <n v="105.19999999999999"/>
    <m/>
    <m/>
    <x v="0"/>
    <x v="0"/>
    <n v="0"/>
    <n v="0"/>
    <x v="0"/>
    <x v="0"/>
    <m/>
    <x v="0"/>
    <x v="0"/>
    <x v="0"/>
    <x v="0"/>
    <x v="0"/>
    <n v="0"/>
    <n v="0"/>
    <n v="0"/>
    <n v="12"/>
    <x v="1"/>
    <x v="0"/>
    <m/>
    <x v="0"/>
    <n v="110.19999999999999"/>
    <x v="0"/>
    <x v="5"/>
    <x v="0"/>
    <x v="0"/>
    <x v="0"/>
  </r>
  <r>
    <x v="1"/>
    <x v="0"/>
    <s v="4064 J"/>
    <x v="91"/>
    <s v="Waqas Wollan Mills Gujranwala"/>
    <s v="LDN"/>
    <n v="5.5"/>
    <s v="8-8.5"/>
    <s v="پیور"/>
    <n v="150"/>
    <x v="0"/>
    <n v="1"/>
    <n v="37.4"/>
    <n v="0.7"/>
    <m/>
    <x v="0"/>
    <n v="36.699999999999996"/>
    <m/>
    <m/>
    <x v="0"/>
    <x v="0"/>
    <n v="0"/>
    <n v="0"/>
    <x v="0"/>
    <x v="0"/>
    <m/>
    <x v="0"/>
    <x v="0"/>
    <x v="0"/>
    <x v="0"/>
    <x v="0"/>
    <n v="0"/>
    <n v="0"/>
    <n v="0"/>
    <n v="12"/>
    <x v="1"/>
    <x v="0"/>
    <m/>
    <x v="0"/>
    <n v="41.699999999999996"/>
    <x v="0"/>
    <x v="5"/>
    <x v="0"/>
    <x v="0"/>
    <x v="0"/>
  </r>
  <r>
    <x v="0"/>
    <x v="1"/>
    <s v="3998 J"/>
    <x v="91"/>
    <s v="Pizza Bank And Fast Food Kamoki"/>
    <s v="LDN"/>
    <n v="8"/>
    <s v="12-12.5"/>
    <s v="پیور"/>
    <n v="100"/>
    <x v="0"/>
    <n v="1"/>
    <n v="36.6"/>
    <n v="1"/>
    <n v="6"/>
    <x v="0"/>
    <n v="35.6"/>
    <m/>
    <n v="5"/>
    <x v="0"/>
    <x v="0"/>
    <n v="5"/>
    <n v="8.3333333333333329E-2"/>
    <x v="0"/>
    <x v="0"/>
    <m/>
    <x v="2"/>
    <x v="0"/>
    <x v="0"/>
    <x v="0"/>
    <x v="0"/>
    <n v="5"/>
    <n v="8.3333333333333329E-2"/>
    <n v="0.16666666666666666"/>
    <n v="11.833333333333334"/>
    <x v="1"/>
    <x v="0"/>
    <m/>
    <x v="0"/>
    <n v="40.6"/>
    <x v="0"/>
    <x v="5"/>
    <x v="0"/>
    <x v="0"/>
    <x v="0"/>
  </r>
  <r>
    <x v="0"/>
    <x v="1"/>
    <s v="4144 J"/>
    <x v="91"/>
    <s v="Atlas Honda LTD (SKP)"/>
    <s v="LDN"/>
    <n v="8"/>
    <s v="8.5-9"/>
    <s v="پیور"/>
    <n v="120"/>
    <x v="0"/>
    <n v="3"/>
    <n v="128.4"/>
    <n v="3"/>
    <m/>
    <x v="0"/>
    <n v="125.4"/>
    <m/>
    <m/>
    <x v="0"/>
    <x v="0"/>
    <n v="0"/>
    <n v="0"/>
    <x v="0"/>
    <x v="0"/>
    <m/>
    <x v="0"/>
    <x v="0"/>
    <x v="0"/>
    <x v="0"/>
    <x v="0"/>
    <n v="0"/>
    <n v="0"/>
    <n v="0"/>
    <n v="12"/>
    <x v="1"/>
    <x v="0"/>
    <m/>
    <x v="0"/>
    <n v="130.4"/>
    <x v="0"/>
    <x v="5"/>
    <x v="0"/>
    <x v="0"/>
    <x v="0"/>
  </r>
  <r>
    <x v="1"/>
    <x v="1"/>
    <s v="4091 J"/>
    <x v="91"/>
    <s v="Usman Arif Butt Gujranwala"/>
    <s v="LDN"/>
    <n v="8"/>
    <s v="7"/>
    <s v="پیور"/>
    <n v="100"/>
    <x v="0"/>
    <n v="3"/>
    <n v="112.6"/>
    <n v="3"/>
    <n v="3"/>
    <x v="0"/>
    <n v="109.6"/>
    <m/>
    <m/>
    <x v="0"/>
    <x v="0"/>
    <n v="0"/>
    <n v="0"/>
    <x v="0"/>
    <x v="0"/>
    <m/>
    <x v="0"/>
    <x v="0"/>
    <x v="0"/>
    <x v="0"/>
    <x v="0"/>
    <n v="0"/>
    <n v="0"/>
    <n v="0"/>
    <n v="12"/>
    <x v="1"/>
    <x v="0"/>
    <m/>
    <x v="0"/>
    <n v="114.6"/>
    <x v="0"/>
    <x v="5"/>
    <x v="0"/>
    <x v="0"/>
    <x v="0"/>
  </r>
  <r>
    <x v="1"/>
    <x v="1"/>
    <s v="4089 J"/>
    <x v="91"/>
    <s v="Usman Arif Butt Gujranwala"/>
    <s v="LDN"/>
    <n v="8"/>
    <s v="5"/>
    <s v="پیور"/>
    <n v="100"/>
    <x v="0"/>
    <n v="3"/>
    <n v="79.2"/>
    <n v="3"/>
    <m/>
    <x v="0"/>
    <n v="76.2"/>
    <m/>
    <m/>
    <x v="0"/>
    <x v="0"/>
    <n v="0"/>
    <n v="0"/>
    <x v="0"/>
    <x v="0"/>
    <m/>
    <x v="0"/>
    <x v="0"/>
    <x v="0"/>
    <x v="0"/>
    <x v="0"/>
    <n v="0"/>
    <n v="0"/>
    <n v="0"/>
    <n v="12"/>
    <x v="1"/>
    <x v="0"/>
    <m/>
    <x v="0"/>
    <n v="81.2"/>
    <x v="0"/>
    <x v="5"/>
    <x v="0"/>
    <x v="0"/>
    <x v="0"/>
  </r>
  <r>
    <x v="0"/>
    <x v="2"/>
    <s v="3985 J"/>
    <x v="91"/>
    <s v="Waqas Wollan Mills Gujranwala"/>
    <s v="LD بلو"/>
    <n v="12"/>
    <s v="8-8.5"/>
    <s v="ABA پیور"/>
    <n v="200"/>
    <x v="0"/>
    <n v="4"/>
    <n v="211.6"/>
    <n v="6"/>
    <n v="20"/>
    <x v="0"/>
    <n v="205.6"/>
    <m/>
    <m/>
    <x v="0"/>
    <x v="0"/>
    <n v="0"/>
    <n v="0"/>
    <x v="0"/>
    <x v="0"/>
    <m/>
    <x v="0"/>
    <x v="0"/>
    <x v="0"/>
    <x v="0"/>
    <x v="0"/>
    <n v="0"/>
    <n v="0"/>
    <n v="0"/>
    <n v="12"/>
    <x v="1"/>
    <x v="0"/>
    <m/>
    <x v="0"/>
    <n v="210.6"/>
    <x v="0"/>
    <x v="5"/>
    <x v="0"/>
    <x v="0"/>
    <x v="0"/>
  </r>
  <r>
    <x v="0"/>
    <x v="2"/>
    <s v="3978 J"/>
    <x v="91"/>
    <s v="Waqas Wollan Mills Gujranwala"/>
    <s v="LD بلو"/>
    <n v="12"/>
    <s v="10-10.5"/>
    <s v="ABA پیور"/>
    <n v="200"/>
    <x v="0"/>
    <n v="2"/>
    <n v="121.19999999999999"/>
    <n v="3"/>
    <m/>
    <x v="0"/>
    <n v="118.19999999999999"/>
    <m/>
    <m/>
    <x v="0"/>
    <x v="0"/>
    <n v="0"/>
    <n v="0"/>
    <x v="0"/>
    <x v="0"/>
    <m/>
    <x v="0"/>
    <x v="0"/>
    <x v="0"/>
    <x v="0"/>
    <x v="0"/>
    <n v="0"/>
    <n v="0"/>
    <n v="0"/>
    <n v="12"/>
    <x v="1"/>
    <x v="0"/>
    <m/>
    <x v="0"/>
    <n v="123.19999999999999"/>
    <x v="0"/>
    <x v="5"/>
    <x v="0"/>
    <x v="0"/>
    <x v="0"/>
  </r>
  <r>
    <x v="1"/>
    <x v="2"/>
    <s v="3978 J"/>
    <x v="91"/>
    <s v="Waqas Wollan Mills Gujranwala"/>
    <s v="LD بلو"/>
    <n v="12"/>
    <s v="10-10.5"/>
    <s v="ABA پیور"/>
    <n v="200"/>
    <x v="0"/>
    <n v="2"/>
    <n v="98.4"/>
    <n v="3"/>
    <n v="70"/>
    <x v="0"/>
    <n v="95.4"/>
    <m/>
    <n v="30"/>
    <x v="0"/>
    <x v="0"/>
    <n v="30"/>
    <n v="0.5"/>
    <x v="0"/>
    <x v="0"/>
    <m/>
    <x v="0"/>
    <x v="0"/>
    <x v="0"/>
    <x v="0"/>
    <x v="0"/>
    <n v="0"/>
    <n v="0"/>
    <n v="0.5"/>
    <n v="11.5"/>
    <x v="1"/>
    <x v="0"/>
    <m/>
    <x v="0"/>
    <n v="100.4"/>
    <x v="0"/>
    <x v="5"/>
    <x v="0"/>
    <x v="0"/>
    <x v="0"/>
  </r>
  <r>
    <x v="1"/>
    <x v="2"/>
    <s v="4059 J"/>
    <x v="91"/>
    <s v="Waqas Wollan Mills Gujranwala"/>
    <s v="LD بلو"/>
    <n v="11"/>
    <s v="8-8.5"/>
    <s v="ABA تھینکیو"/>
    <n v="200"/>
    <x v="0"/>
    <n v="4"/>
    <n v="205.63"/>
    <n v="5.2"/>
    <m/>
    <x v="0"/>
    <n v="200.43"/>
    <m/>
    <m/>
    <x v="0"/>
    <x v="0"/>
    <n v="0"/>
    <n v="0"/>
    <x v="0"/>
    <x v="0"/>
    <m/>
    <x v="0"/>
    <x v="0"/>
    <x v="0"/>
    <x v="0"/>
    <x v="0"/>
    <n v="0"/>
    <n v="0"/>
    <n v="0"/>
    <n v="12"/>
    <x v="1"/>
    <x v="0"/>
    <m/>
    <x v="0"/>
    <n v="205.43"/>
    <x v="0"/>
    <x v="5"/>
    <x v="0"/>
    <x v="0"/>
    <x v="0"/>
  </r>
  <r>
    <x v="0"/>
    <x v="3"/>
    <s v="2127 F"/>
    <x v="91"/>
    <s v="Usman Amin"/>
    <s v="LDN"/>
    <n v="15"/>
    <s v="10.5-11"/>
    <s v="پیور"/>
    <n v="530"/>
    <x v="0"/>
    <n v="5"/>
    <n v="264.3"/>
    <n v="9.2000000000000011"/>
    <n v="6"/>
    <x v="0"/>
    <n v="255.10000000000002"/>
    <m/>
    <m/>
    <x v="0"/>
    <x v="0"/>
    <n v="0"/>
    <n v="0"/>
    <x v="0"/>
    <x v="0"/>
    <m/>
    <x v="0"/>
    <x v="0"/>
    <x v="0"/>
    <x v="0"/>
    <x v="0"/>
    <n v="0"/>
    <n v="0"/>
    <n v="0"/>
    <n v="12"/>
    <x v="1"/>
    <x v="0"/>
    <m/>
    <x v="0"/>
    <n v="260.10000000000002"/>
    <x v="0"/>
    <x v="5"/>
    <x v="0"/>
    <x v="0"/>
    <x v="0"/>
  </r>
  <r>
    <x v="1"/>
    <x v="3"/>
    <s v="2136 F"/>
    <x v="91"/>
    <s v="Usman Amin"/>
    <s v="LDN"/>
    <n v="15"/>
    <s v="7.7.5"/>
    <s v="پیور"/>
    <n v="35"/>
    <x v="0"/>
    <n v="1"/>
    <n v="39.4"/>
    <n v="1.7"/>
    <n v="7"/>
    <x v="0"/>
    <n v="37.699999999999996"/>
    <m/>
    <n v="12"/>
    <x v="0"/>
    <x v="0"/>
    <n v="12"/>
    <n v="0.2"/>
    <x v="0"/>
    <x v="0"/>
    <m/>
    <x v="0"/>
    <x v="0"/>
    <x v="0"/>
    <x v="0"/>
    <x v="0"/>
    <n v="0"/>
    <n v="0"/>
    <n v="0.2"/>
    <n v="11.8"/>
    <x v="1"/>
    <x v="0"/>
    <m/>
    <x v="0"/>
    <n v="42.699999999999996"/>
    <x v="0"/>
    <x v="5"/>
    <x v="0"/>
    <x v="0"/>
    <x v="0"/>
  </r>
  <r>
    <x v="1"/>
    <x v="3"/>
    <s v="2135 F"/>
    <x v="91"/>
    <s v="Usman Amin"/>
    <s v="LDN"/>
    <n v="17"/>
    <s v="12"/>
    <s v="جیلانی شیٹ"/>
    <n v="500"/>
    <x v="0"/>
    <n v="4"/>
    <n v="194.4"/>
    <n v="5.8500000000000005"/>
    <m/>
    <x v="0"/>
    <n v="188.55"/>
    <m/>
    <m/>
    <x v="0"/>
    <x v="0"/>
    <n v="0"/>
    <n v="0"/>
    <x v="0"/>
    <x v="0"/>
    <m/>
    <x v="0"/>
    <x v="0"/>
    <x v="0"/>
    <x v="0"/>
    <x v="0"/>
    <n v="0"/>
    <n v="0"/>
    <n v="0"/>
    <n v="12"/>
    <x v="1"/>
    <x v="0"/>
    <m/>
    <x v="0"/>
    <n v="193.55"/>
    <x v="0"/>
    <x v="5"/>
    <x v="0"/>
    <x v="0"/>
    <x v="0"/>
  </r>
  <r>
    <x v="0"/>
    <x v="4"/>
    <s v="4141 J"/>
    <x v="91"/>
    <s v="Atlas Honda LTD (SKP)"/>
    <s v="LDN"/>
    <n v="16"/>
    <s v="12.5-13"/>
    <s v="پیور"/>
    <n v="130"/>
    <x v="0"/>
    <n v="1"/>
    <n v="65.400000000000006"/>
    <n v="2"/>
    <n v="10"/>
    <x v="0"/>
    <n v="63.400000000000006"/>
    <m/>
    <n v="5"/>
    <x v="0"/>
    <x v="0"/>
    <n v="5"/>
    <n v="8.3333333333333329E-2"/>
    <x v="0"/>
    <x v="0"/>
    <m/>
    <x v="0"/>
    <x v="0"/>
    <x v="0"/>
    <x v="0"/>
    <x v="0"/>
    <n v="0"/>
    <n v="0"/>
    <n v="8.3333333333333329E-2"/>
    <n v="11.916666666666666"/>
    <x v="1"/>
    <x v="0"/>
    <m/>
    <x v="0"/>
    <n v="68.400000000000006"/>
    <x v="0"/>
    <x v="5"/>
    <x v="0"/>
    <x v="0"/>
    <x v="0"/>
  </r>
  <r>
    <x v="0"/>
    <x v="4"/>
    <s v="4072 J"/>
    <x v="91"/>
    <s v="M.K.B PESAHAR"/>
    <s v="LDN"/>
    <n v="20"/>
    <s v="6-6.5"/>
    <s v="پیور"/>
    <n v="200"/>
    <x v="0"/>
    <n v="5"/>
    <n v="224.4"/>
    <n v="11.6"/>
    <m/>
    <x v="0"/>
    <n v="212.8"/>
    <m/>
    <m/>
    <x v="0"/>
    <x v="0"/>
    <n v="0"/>
    <n v="0"/>
    <x v="0"/>
    <x v="0"/>
    <m/>
    <x v="0"/>
    <x v="0"/>
    <x v="0"/>
    <x v="0"/>
    <x v="0"/>
    <n v="0"/>
    <n v="0"/>
    <n v="0"/>
    <n v="12"/>
    <x v="1"/>
    <x v="0"/>
    <m/>
    <x v="0"/>
    <n v="217.8"/>
    <x v="0"/>
    <x v="5"/>
    <x v="0"/>
    <x v="0"/>
    <x v="0"/>
  </r>
  <r>
    <x v="0"/>
    <x v="4"/>
    <s v="2117 F"/>
    <x v="91"/>
    <s v="Usman Amin"/>
    <s v="LDN"/>
    <n v="24"/>
    <s v="7"/>
    <s v="پیور"/>
    <n v="405"/>
    <x v="0"/>
    <n v="2"/>
    <n v="142.80000000000001"/>
    <n v="5.8"/>
    <m/>
    <x v="0"/>
    <n v="137"/>
    <m/>
    <m/>
    <x v="0"/>
    <x v="0"/>
    <n v="0"/>
    <n v="0"/>
    <x v="0"/>
    <x v="0"/>
    <m/>
    <x v="0"/>
    <x v="0"/>
    <x v="0"/>
    <x v="0"/>
    <x v="0"/>
    <n v="0"/>
    <n v="0"/>
    <n v="0"/>
    <n v="12"/>
    <x v="1"/>
    <x v="0"/>
    <m/>
    <x v="0"/>
    <n v="142"/>
    <x v="0"/>
    <x v="5"/>
    <x v="0"/>
    <x v="0"/>
    <x v="0"/>
  </r>
  <r>
    <x v="0"/>
    <x v="4"/>
    <s v="4065 J"/>
    <x v="91"/>
    <s v="Cakes and Bakes Lahore Dairy Unit"/>
    <s v="LDN"/>
    <n v="24"/>
    <s v="5.5-6"/>
    <s v="پیور"/>
    <n v="200"/>
    <x v="0"/>
    <n v="5"/>
    <n v="209.2"/>
    <n v="14"/>
    <m/>
    <x v="0"/>
    <n v="195.2"/>
    <m/>
    <m/>
    <x v="0"/>
    <x v="0"/>
    <n v="0"/>
    <n v="0"/>
    <x v="0"/>
    <x v="0"/>
    <m/>
    <x v="0"/>
    <x v="0"/>
    <x v="0"/>
    <x v="0"/>
    <x v="0"/>
    <n v="0"/>
    <n v="0"/>
    <n v="0"/>
    <n v="12"/>
    <x v="1"/>
    <x v="0"/>
    <m/>
    <x v="0"/>
    <n v="200.2"/>
    <x v="0"/>
    <x v="5"/>
    <x v="0"/>
    <x v="0"/>
    <x v="0"/>
  </r>
  <r>
    <x v="1"/>
    <x v="4"/>
    <s v="4071 J"/>
    <x v="91"/>
    <s v="M.K.B PESAHAR"/>
    <s v="LDN"/>
    <n v="22"/>
    <s v="6-6.5"/>
    <s v="پیور"/>
    <n v="250"/>
    <x v="0"/>
    <n v="7"/>
    <n v="270.2"/>
    <n v="20.2"/>
    <n v="50"/>
    <x v="0"/>
    <n v="250"/>
    <m/>
    <n v="10"/>
    <x v="0"/>
    <x v="0"/>
    <n v="10"/>
    <n v="0.16666666666666666"/>
    <x v="0"/>
    <x v="0"/>
    <m/>
    <x v="0"/>
    <x v="0"/>
    <x v="0"/>
    <x v="9"/>
    <x v="0"/>
    <n v="150"/>
    <n v="2.5"/>
    <n v="2.6666666666666665"/>
    <n v="9.3333333333333339"/>
    <x v="1"/>
    <x v="0"/>
    <m/>
    <x v="0"/>
    <n v="255"/>
    <x v="0"/>
    <x v="5"/>
    <x v="0"/>
    <x v="0"/>
    <x v="0"/>
  </r>
  <r>
    <x v="1"/>
    <x v="4"/>
    <s v="4057 J"/>
    <x v="91"/>
    <s v="Cakes and Bakes Lahore"/>
    <s v="LDN"/>
    <s v="20+5.5+5.5"/>
    <s v="7.5-8/15-16"/>
    <s v="پیور"/>
    <n v="400"/>
    <x v="0"/>
    <n v="4"/>
    <n v="229.20000000000002"/>
    <n v="9.6"/>
    <m/>
    <x v="0"/>
    <n v="219.60000000000002"/>
    <m/>
    <m/>
    <x v="0"/>
    <x v="0"/>
    <n v="0"/>
    <n v="0"/>
    <x v="0"/>
    <x v="0"/>
    <m/>
    <x v="0"/>
    <x v="0"/>
    <x v="0"/>
    <x v="0"/>
    <x v="0"/>
    <n v="0"/>
    <n v="0"/>
    <n v="0"/>
    <n v="12"/>
    <x v="1"/>
    <x v="0"/>
    <m/>
    <x v="0"/>
    <n v="224.60000000000002"/>
    <x v="0"/>
    <x v="5"/>
    <x v="0"/>
    <x v="0"/>
    <x v="0"/>
  </r>
  <r>
    <x v="0"/>
    <x v="0"/>
    <s v="4064 J"/>
    <x v="92"/>
    <s v="Waqas Wollan Mills Gujranwala"/>
    <s v="LDN"/>
    <n v="5.5"/>
    <s v="8-8.5"/>
    <s v="پیور"/>
    <n v="150"/>
    <x v="0"/>
    <n v="4"/>
    <n v="142.20000000000002"/>
    <n v="2.8"/>
    <n v="4"/>
    <x v="0"/>
    <n v="139.4"/>
    <m/>
    <m/>
    <x v="0"/>
    <x v="0"/>
    <n v="0"/>
    <n v="0"/>
    <x v="0"/>
    <x v="0"/>
    <m/>
    <x v="0"/>
    <x v="0"/>
    <x v="0"/>
    <x v="0"/>
    <x v="0"/>
    <n v="0"/>
    <n v="0"/>
    <n v="0"/>
    <n v="12"/>
    <x v="1"/>
    <x v="0"/>
    <n v="2052"/>
    <x v="0"/>
    <n v="144.4"/>
    <x v="1"/>
    <x v="5"/>
    <x v="0"/>
    <x v="0"/>
    <x v="0"/>
  </r>
  <r>
    <x v="1"/>
    <x v="0"/>
    <s v="4157 J"/>
    <x v="92"/>
    <s v="Cakes and Bakes Lahore"/>
    <s v="LDN"/>
    <n v="5"/>
    <s v="5.5-6"/>
    <s v="پیور"/>
    <n v="50"/>
    <x v="0"/>
    <n v="2"/>
    <n v="59.6"/>
    <n v="1.4"/>
    <n v="2"/>
    <x v="0"/>
    <n v="58.2"/>
    <m/>
    <m/>
    <x v="0"/>
    <x v="0"/>
    <n v="0"/>
    <n v="0"/>
    <x v="0"/>
    <x v="0"/>
    <m/>
    <x v="0"/>
    <x v="0"/>
    <x v="0"/>
    <x v="0"/>
    <x v="0"/>
    <n v="0"/>
    <n v="0"/>
    <n v="0"/>
    <n v="12"/>
    <x v="1"/>
    <x v="0"/>
    <m/>
    <x v="0"/>
    <n v="63.2"/>
    <x v="0"/>
    <x v="5"/>
    <x v="0"/>
    <x v="0"/>
    <x v="0"/>
  </r>
  <r>
    <x v="1"/>
    <x v="0"/>
    <s v="4061 J"/>
    <x v="92"/>
    <s v="Waqas Wollan Mills Gujranwala"/>
    <s v="LDN"/>
    <n v="10"/>
    <s v="8-8.5"/>
    <s v="پیور"/>
    <n v="300"/>
    <x v="0"/>
    <n v="1"/>
    <n v="41"/>
    <n v="1.2"/>
    <m/>
    <x v="0"/>
    <n v="39.799999999999997"/>
    <m/>
    <m/>
    <x v="0"/>
    <x v="0"/>
    <n v="0"/>
    <n v="0"/>
    <x v="0"/>
    <x v="0"/>
    <m/>
    <x v="0"/>
    <x v="0"/>
    <x v="0"/>
    <x v="0"/>
    <x v="0"/>
    <n v="0"/>
    <n v="0"/>
    <n v="0"/>
    <n v="12"/>
    <x v="1"/>
    <x v="0"/>
    <m/>
    <x v="0"/>
    <n v="44.8"/>
    <x v="0"/>
    <x v="5"/>
    <x v="0"/>
    <x v="0"/>
    <x v="0"/>
  </r>
  <r>
    <x v="1"/>
    <x v="0"/>
    <s v="PAKING ROLL"/>
    <x v="92"/>
    <s v="-"/>
    <m/>
    <m/>
    <m/>
    <m/>
    <m/>
    <x v="0"/>
    <n v="1"/>
    <n v="55.4"/>
    <n v="2.8"/>
    <m/>
    <x v="0"/>
    <n v="52.6"/>
    <m/>
    <m/>
    <x v="0"/>
    <x v="0"/>
    <n v="0"/>
    <n v="0"/>
    <x v="0"/>
    <x v="0"/>
    <m/>
    <x v="0"/>
    <x v="0"/>
    <x v="0"/>
    <x v="0"/>
    <x v="0"/>
    <n v="0"/>
    <n v="0"/>
    <n v="0"/>
    <n v="12"/>
    <x v="1"/>
    <x v="0"/>
    <m/>
    <x v="0"/>
    <n v="57.6"/>
    <x v="0"/>
    <x v="5"/>
    <x v="0"/>
    <x v="0"/>
    <x v="0"/>
  </r>
  <r>
    <x v="0"/>
    <x v="1"/>
    <s v="4089 J"/>
    <x v="92"/>
    <s v="Usman Arif Butt Gujranwala"/>
    <s v="LDN"/>
    <n v="8"/>
    <s v="5"/>
    <s v="LDN"/>
    <n v="100"/>
    <x v="0"/>
    <n v="1"/>
    <n v="31.8"/>
    <n v="1"/>
    <n v="8"/>
    <x v="0"/>
    <n v="30.8"/>
    <m/>
    <m/>
    <x v="0"/>
    <x v="0"/>
    <n v="0"/>
    <n v="0"/>
    <x v="0"/>
    <x v="0"/>
    <m/>
    <x v="0"/>
    <x v="0"/>
    <x v="0"/>
    <x v="0"/>
    <x v="0"/>
    <n v="0"/>
    <n v="0"/>
    <n v="0"/>
    <n v="12"/>
    <x v="1"/>
    <x v="0"/>
    <m/>
    <x v="0"/>
    <n v="35.799999999999997"/>
    <x v="0"/>
    <x v="5"/>
    <x v="0"/>
    <x v="0"/>
    <x v="0"/>
  </r>
  <r>
    <x v="0"/>
    <x v="1"/>
    <s v="4068 J"/>
    <x v="92"/>
    <s v="Hammad Plastic Gujranwala"/>
    <s v="LDN"/>
    <n v="14"/>
    <s v="5.5-6"/>
    <s v="LDN"/>
    <n v="120"/>
    <x v="0"/>
    <n v="4"/>
    <n v="130.4"/>
    <n v="5.3"/>
    <m/>
    <x v="0"/>
    <n v="125.10000000000001"/>
    <m/>
    <m/>
    <x v="0"/>
    <x v="0"/>
    <n v="0"/>
    <n v="0"/>
    <x v="0"/>
    <x v="0"/>
    <m/>
    <x v="0"/>
    <x v="0"/>
    <x v="0"/>
    <x v="0"/>
    <x v="0"/>
    <n v="0"/>
    <n v="0"/>
    <n v="0"/>
    <n v="12"/>
    <x v="1"/>
    <x v="0"/>
    <m/>
    <x v="0"/>
    <n v="130.10000000000002"/>
    <x v="0"/>
    <x v="5"/>
    <x v="0"/>
    <x v="0"/>
    <x v="0"/>
  </r>
  <r>
    <x v="0"/>
    <x v="1"/>
    <s v="4160 J"/>
    <x v="92"/>
    <s v="Farooq Textile Lahore"/>
    <s v="LDN"/>
    <n v="14"/>
    <s v="7.5-8"/>
    <s v="LDN"/>
    <n v="200"/>
    <x v="0"/>
    <n v="1"/>
    <n v="67"/>
    <n v="1.8"/>
    <m/>
    <x v="0"/>
    <n v="65.2"/>
    <m/>
    <m/>
    <x v="0"/>
    <x v="0"/>
    <n v="0"/>
    <n v="0"/>
    <x v="0"/>
    <x v="0"/>
    <m/>
    <x v="0"/>
    <x v="0"/>
    <x v="0"/>
    <x v="0"/>
    <x v="0"/>
    <n v="0"/>
    <n v="0"/>
    <n v="0"/>
    <n v="12"/>
    <x v="1"/>
    <x v="0"/>
    <m/>
    <x v="0"/>
    <n v="70.2"/>
    <x v="0"/>
    <x v="5"/>
    <x v="0"/>
    <x v="0"/>
    <x v="0"/>
  </r>
  <r>
    <x v="1"/>
    <x v="1"/>
    <s v="4167 J"/>
    <x v="92"/>
    <s v="Usman Arif Butt Gujranwala"/>
    <s v="LDN"/>
    <n v="4"/>
    <n v="10"/>
    <s v="LDN"/>
    <n v="100"/>
    <x v="0"/>
    <n v="3"/>
    <n v="148.60000000000002"/>
    <n v="4.8000000000000007"/>
    <n v="5"/>
    <x v="0"/>
    <n v="143.80000000000001"/>
    <m/>
    <m/>
    <x v="0"/>
    <x v="0"/>
    <n v="0"/>
    <n v="0"/>
    <x v="0"/>
    <x v="0"/>
    <m/>
    <x v="0"/>
    <x v="0"/>
    <x v="0"/>
    <x v="0"/>
    <x v="0"/>
    <n v="0"/>
    <n v="0"/>
    <n v="0"/>
    <n v="12"/>
    <x v="1"/>
    <x v="0"/>
    <m/>
    <x v="0"/>
    <n v="148.80000000000001"/>
    <x v="0"/>
    <x v="5"/>
    <x v="0"/>
    <x v="0"/>
    <x v="0"/>
  </r>
  <r>
    <x v="1"/>
    <x v="1"/>
    <s v="4080 J"/>
    <x v="92"/>
    <s v="AK And HBCO Lahore"/>
    <s v="LDN"/>
    <n v="15"/>
    <s v="6-6.5"/>
    <s v="LDN"/>
    <n v="150"/>
    <x v="0"/>
    <n v="3"/>
    <n v="100.80000000000001"/>
    <n v="5.0999999999999996"/>
    <m/>
    <x v="0"/>
    <n v="95.700000000000017"/>
    <m/>
    <m/>
    <x v="0"/>
    <x v="0"/>
    <n v="0"/>
    <n v="0"/>
    <x v="0"/>
    <x v="0"/>
    <m/>
    <x v="0"/>
    <x v="0"/>
    <x v="0"/>
    <x v="0"/>
    <x v="0"/>
    <n v="0"/>
    <n v="0"/>
    <n v="0"/>
    <n v="12"/>
    <x v="1"/>
    <x v="0"/>
    <m/>
    <x v="0"/>
    <n v="100.70000000000002"/>
    <x v="0"/>
    <x v="5"/>
    <x v="0"/>
    <x v="0"/>
    <x v="0"/>
  </r>
  <r>
    <x v="0"/>
    <x v="2"/>
    <s v="4163 J"/>
    <x v="92"/>
    <s v="Irfan Chemical PVT (LTD)"/>
    <s v="LD پیلا"/>
    <n v="7"/>
    <s v="10-10.5"/>
    <s v="LDM"/>
    <n v="100"/>
    <x v="0"/>
    <n v="2"/>
    <n v="108.6"/>
    <n v="1.9"/>
    <n v="10"/>
    <x v="0"/>
    <n v="106.69999999999999"/>
    <m/>
    <m/>
    <x v="0"/>
    <x v="0"/>
    <n v="0"/>
    <n v="0"/>
    <x v="0"/>
    <x v="0"/>
    <n v="330"/>
    <x v="0"/>
    <x v="0"/>
    <x v="0"/>
    <x v="0"/>
    <x v="0"/>
    <n v="330"/>
    <n v="5.5"/>
    <n v="5.5"/>
    <n v="6.5"/>
    <x v="1"/>
    <x v="0"/>
    <m/>
    <x v="0"/>
    <n v="111.69999999999999"/>
    <x v="0"/>
    <x v="5"/>
    <x v="0"/>
    <x v="0"/>
    <x v="0"/>
  </r>
  <r>
    <x v="1"/>
    <x v="2"/>
    <s v="4104 J"/>
    <x v="92"/>
    <s v="Khwaja Watch Center Lahore"/>
    <s v="LDگولڈن یلو"/>
    <s v="29&quot; شیٹ"/>
    <s v="7.5-8/15-16"/>
    <s v="LDM"/>
    <n v="300"/>
    <x v="0"/>
    <n v="4"/>
    <n v="347.4"/>
    <n v="15.2"/>
    <n v="75"/>
    <x v="0"/>
    <n v="332.2"/>
    <m/>
    <n v="60"/>
    <x v="0"/>
    <x v="7"/>
    <n v="90"/>
    <n v="1.5"/>
    <x v="0"/>
    <x v="0"/>
    <m/>
    <x v="0"/>
    <x v="0"/>
    <x v="0"/>
    <x v="0"/>
    <x v="0"/>
    <n v="0"/>
    <n v="0"/>
    <n v="1.5"/>
    <n v="10.5"/>
    <x v="1"/>
    <x v="0"/>
    <m/>
    <x v="0"/>
    <n v="337.2"/>
    <x v="0"/>
    <x v="5"/>
    <x v="0"/>
    <x v="0"/>
    <x v="0"/>
  </r>
  <r>
    <x v="1"/>
    <x v="2"/>
    <s v="4225 J"/>
    <x v="92"/>
    <s v="Fancy Garments Kamoki"/>
    <s v="LD ڈارک کریم"/>
    <s v="14+4+4"/>
    <s v="6-6.5/12-13"/>
    <s v="LDM"/>
    <n v="110"/>
    <x v="0"/>
    <n v="2"/>
    <n v="115.2"/>
    <n v="3.4"/>
    <m/>
    <x v="0"/>
    <n v="111.8"/>
    <m/>
    <m/>
    <x v="0"/>
    <x v="0"/>
    <n v="0"/>
    <n v="0"/>
    <x v="0"/>
    <x v="0"/>
    <m/>
    <x v="0"/>
    <x v="0"/>
    <x v="0"/>
    <x v="0"/>
    <x v="0"/>
    <n v="0"/>
    <n v="0"/>
    <n v="0"/>
    <n v="12"/>
    <x v="1"/>
    <x v="0"/>
    <m/>
    <x v="0"/>
    <n v="116.8"/>
    <x v="0"/>
    <x v="5"/>
    <x v="0"/>
    <x v="0"/>
    <x v="0"/>
  </r>
  <r>
    <x v="1"/>
    <x v="2"/>
    <s v="PAKING ROLL"/>
    <x v="92"/>
    <s v="-"/>
    <m/>
    <s v="22"/>
    <s v="12"/>
    <m/>
    <m/>
    <x v="0"/>
    <n v="1"/>
    <n v="52"/>
    <n v="2.6"/>
    <m/>
    <x v="0"/>
    <n v="49.4"/>
    <m/>
    <m/>
    <x v="0"/>
    <x v="0"/>
    <n v="0"/>
    <n v="0"/>
    <x v="0"/>
    <x v="0"/>
    <m/>
    <x v="0"/>
    <x v="0"/>
    <x v="0"/>
    <x v="0"/>
    <x v="0"/>
    <n v="0"/>
    <n v="0"/>
    <n v="0"/>
    <n v="12"/>
    <x v="1"/>
    <x v="0"/>
    <m/>
    <x v="0"/>
    <n v="54.4"/>
    <x v="0"/>
    <x v="5"/>
    <x v="0"/>
    <x v="0"/>
    <x v="0"/>
  </r>
  <r>
    <x v="0"/>
    <x v="3"/>
    <s v="2135 F"/>
    <x v="92"/>
    <s v="Usman Amin"/>
    <s v="LDN"/>
    <n v="17"/>
    <s v="12"/>
    <s v="LDN"/>
    <n v="500"/>
    <x v="0"/>
    <n v="3"/>
    <n v="236.20000000000002"/>
    <n v="6"/>
    <m/>
    <x v="0"/>
    <n v="230.20000000000002"/>
    <m/>
    <m/>
    <x v="0"/>
    <x v="0"/>
    <n v="0"/>
    <n v="0"/>
    <x v="0"/>
    <x v="0"/>
    <m/>
    <x v="0"/>
    <x v="0"/>
    <x v="0"/>
    <x v="0"/>
    <x v="0"/>
    <n v="0"/>
    <n v="0"/>
    <n v="0"/>
    <n v="12"/>
    <x v="1"/>
    <x v="0"/>
    <m/>
    <x v="0"/>
    <n v="235.20000000000002"/>
    <x v="0"/>
    <x v="5"/>
    <x v="0"/>
    <x v="0"/>
    <x v="0"/>
  </r>
  <r>
    <x v="0"/>
    <x v="3"/>
    <s v="2139 F"/>
    <x v="92"/>
    <s v="Usman Amin"/>
    <s v="LDN"/>
    <n v="19"/>
    <s v="5-5.5"/>
    <s v="LDN"/>
    <n v="500"/>
    <x v="0"/>
    <n v="1"/>
    <n v="66.599999999999994"/>
    <n v="2.2000000000000002"/>
    <m/>
    <x v="0"/>
    <n v="64.399999999999991"/>
    <m/>
    <m/>
    <x v="0"/>
    <x v="0"/>
    <n v="0"/>
    <n v="0"/>
    <x v="0"/>
    <x v="0"/>
    <m/>
    <x v="0"/>
    <x v="0"/>
    <x v="0"/>
    <x v="0"/>
    <x v="0"/>
    <n v="0"/>
    <n v="0"/>
    <n v="0"/>
    <n v="12"/>
    <x v="1"/>
    <x v="0"/>
    <m/>
    <x v="0"/>
    <n v="69.399999999999991"/>
    <x v="0"/>
    <x v="5"/>
    <x v="0"/>
    <x v="0"/>
    <x v="0"/>
  </r>
  <r>
    <x v="1"/>
    <x v="3"/>
    <s v="2139 F"/>
    <x v="92"/>
    <s v="Usman Amin"/>
    <s v="LDN"/>
    <n v="19"/>
    <s v="5-5.5"/>
    <s v="LDN"/>
    <n v="500"/>
    <x v="0"/>
    <n v="5"/>
    <n v="345.1"/>
    <n v="11.100000000000001"/>
    <n v="4"/>
    <x v="0"/>
    <n v="334"/>
    <m/>
    <m/>
    <x v="0"/>
    <x v="0"/>
    <n v="0"/>
    <n v="0"/>
    <x v="0"/>
    <x v="0"/>
    <m/>
    <x v="0"/>
    <x v="0"/>
    <x v="0"/>
    <x v="0"/>
    <x v="0"/>
    <n v="0"/>
    <n v="0"/>
    <n v="0"/>
    <n v="12"/>
    <x v="1"/>
    <x v="0"/>
    <m/>
    <x v="0"/>
    <n v="339"/>
    <x v="0"/>
    <x v="5"/>
    <x v="0"/>
    <x v="0"/>
    <x v="0"/>
  </r>
  <r>
    <x v="1"/>
    <x v="3"/>
    <s v="4130 J"/>
    <x v="92"/>
    <s v="Meezan Foom (PVT) LTD"/>
    <s v="LDN"/>
    <n v="18"/>
    <s v="13-13.5"/>
    <s v="LDN"/>
    <n v="100"/>
    <x v="0"/>
    <n v="2"/>
    <n v="109.6"/>
    <n v="4"/>
    <m/>
    <x v="0"/>
    <n v="105.6"/>
    <m/>
    <m/>
    <x v="0"/>
    <x v="0"/>
    <n v="0"/>
    <n v="0"/>
    <x v="0"/>
    <x v="0"/>
    <m/>
    <x v="0"/>
    <x v="0"/>
    <x v="0"/>
    <x v="0"/>
    <x v="0"/>
    <n v="0"/>
    <n v="0"/>
    <n v="0"/>
    <n v="12"/>
    <x v="1"/>
    <x v="0"/>
    <m/>
    <x v="0"/>
    <n v="110.6"/>
    <x v="0"/>
    <x v="5"/>
    <x v="0"/>
    <x v="0"/>
    <x v="0"/>
  </r>
  <r>
    <x v="0"/>
    <x v="6"/>
    <s v="4057 J"/>
    <x v="92"/>
    <s v="Cakes and Bakes Lahore"/>
    <s v="LDN"/>
    <s v="20+5.5+5.5"/>
    <s v="7.5-8/15-16"/>
    <s v="LDN"/>
    <n v="400"/>
    <x v="0"/>
    <n v="2"/>
    <n v="83.8"/>
    <n v="4.8"/>
    <n v="30"/>
    <x v="0"/>
    <n v="79"/>
    <m/>
    <n v="15"/>
    <x v="0"/>
    <x v="0"/>
    <n v="15"/>
    <n v="0.25"/>
    <x v="0"/>
    <x v="0"/>
    <m/>
    <x v="0"/>
    <x v="0"/>
    <x v="0"/>
    <x v="0"/>
    <x v="0"/>
    <n v="0"/>
    <n v="0"/>
    <n v="0.25"/>
    <n v="11.75"/>
    <x v="1"/>
    <x v="0"/>
    <m/>
    <x v="0"/>
    <n v="84"/>
    <x v="0"/>
    <x v="5"/>
    <x v="0"/>
    <x v="0"/>
    <x v="0"/>
  </r>
  <r>
    <x v="0"/>
    <x v="6"/>
    <s v="2790/1"/>
    <x v="92"/>
    <s v="SUPER AGRO PAKISTAN"/>
    <s v="LDN"/>
    <s v="28-28.5"/>
    <s v="95±1"/>
    <s v="LDN"/>
    <n v="4750"/>
    <x v="0"/>
    <n v="6"/>
    <n v="576.6"/>
    <n v="20.399999999999999"/>
    <m/>
    <x v="0"/>
    <n v="556.20000000000005"/>
    <m/>
    <m/>
    <x v="0"/>
    <x v="0"/>
    <n v="0"/>
    <n v="0"/>
    <x v="0"/>
    <x v="0"/>
    <m/>
    <x v="0"/>
    <x v="0"/>
    <x v="0"/>
    <x v="0"/>
    <x v="0"/>
    <n v="0"/>
    <n v="0"/>
    <n v="0"/>
    <n v="12"/>
    <x v="1"/>
    <x v="0"/>
    <m/>
    <x v="0"/>
    <n v="561.20000000000005"/>
    <x v="0"/>
    <x v="5"/>
    <x v="0"/>
    <x v="0"/>
    <x v="0"/>
  </r>
  <r>
    <x v="1"/>
    <x v="6"/>
    <s v="2790/1"/>
    <x v="92"/>
    <s v="SUPER AGRO PAKISTAN"/>
    <s v="LDN"/>
    <s v="28-28.5"/>
    <s v="95±1"/>
    <s v="LDN"/>
    <n v="4750"/>
    <x v="0"/>
    <n v="8"/>
    <n v="855.79999999999984"/>
    <n v="27.2"/>
    <n v="4"/>
    <x v="0"/>
    <n v="828.5999999999998"/>
    <m/>
    <m/>
    <x v="0"/>
    <x v="0"/>
    <n v="0"/>
    <n v="0"/>
    <x v="0"/>
    <x v="0"/>
    <m/>
    <x v="7"/>
    <x v="0"/>
    <x v="0"/>
    <x v="0"/>
    <x v="0"/>
    <n v="20"/>
    <n v="0.33333333333333331"/>
    <n v="0.33333333333333331"/>
    <n v="11.666666666666666"/>
    <x v="1"/>
    <x v="0"/>
    <m/>
    <x v="0"/>
    <n v="833.5999999999998"/>
    <x v="0"/>
    <x v="5"/>
    <x v="0"/>
    <x v="0"/>
    <x v="0"/>
  </r>
  <r>
    <x v="0"/>
    <x v="8"/>
    <s v="4061 J"/>
    <x v="93"/>
    <s v="Waqas Wollan Mills Gujranwala"/>
    <s v="LDN"/>
    <n v="10"/>
    <s v="8-8.5"/>
    <s v="LDN"/>
    <n v="300"/>
    <x v="0"/>
    <s v="5"/>
    <n v="142"/>
    <n v="6"/>
    <m/>
    <x v="0"/>
    <n v="136"/>
    <m/>
    <m/>
    <x v="0"/>
    <x v="0"/>
    <n v="0"/>
    <n v="0"/>
    <x v="0"/>
    <x v="0"/>
    <m/>
    <x v="0"/>
    <x v="0"/>
    <x v="0"/>
    <x v="0"/>
    <x v="0"/>
    <n v="0"/>
    <n v="0"/>
    <n v="0"/>
    <n v="12"/>
    <x v="1"/>
    <x v="0"/>
    <m/>
    <x v="0"/>
    <n v="141"/>
    <x v="0"/>
    <x v="5"/>
    <x v="0"/>
    <x v="0"/>
    <x v="0"/>
  </r>
  <r>
    <x v="1"/>
    <x v="8"/>
    <s v="4061 J"/>
    <x v="93"/>
    <s v="Waqas Wollan Mills Gujranwala"/>
    <s v="LDN"/>
    <n v="10"/>
    <s v="8-8.5"/>
    <s v="LDN"/>
    <n v="300"/>
    <x v="0"/>
    <s v="3"/>
    <n v="125.2"/>
    <n v="3.5999999999999996"/>
    <m/>
    <x v="0"/>
    <n v="121.60000000000001"/>
    <m/>
    <m/>
    <x v="0"/>
    <x v="0"/>
    <n v="0"/>
    <n v="0"/>
    <x v="0"/>
    <x v="0"/>
    <m/>
    <x v="0"/>
    <x v="0"/>
    <x v="0"/>
    <x v="0"/>
    <x v="0"/>
    <n v="0"/>
    <n v="0"/>
    <n v="0"/>
    <n v="12"/>
    <x v="1"/>
    <x v="0"/>
    <m/>
    <x v="0"/>
    <n v="126.60000000000001"/>
    <x v="0"/>
    <x v="5"/>
    <x v="0"/>
    <x v="0"/>
    <x v="0"/>
  </r>
  <r>
    <x v="1"/>
    <x v="8"/>
    <s v="4284 J"/>
    <x v="93"/>
    <s v="Al Burak Deparmental Store Lahore"/>
    <s v="LDN"/>
    <n v="9"/>
    <s v="14-15"/>
    <s v="LDN"/>
    <n v="120"/>
    <x v="0"/>
    <s v="1"/>
    <n v="63.8"/>
    <n v="1.1000000000000001"/>
    <m/>
    <x v="0"/>
    <n v="62.699999999999996"/>
    <m/>
    <m/>
    <x v="0"/>
    <x v="0"/>
    <n v="0"/>
    <n v="0"/>
    <x v="0"/>
    <x v="0"/>
    <m/>
    <x v="0"/>
    <x v="0"/>
    <x v="0"/>
    <x v="0"/>
    <x v="0"/>
    <n v="0"/>
    <n v="0"/>
    <n v="0"/>
    <n v="12"/>
    <x v="1"/>
    <x v="0"/>
    <m/>
    <x v="0"/>
    <n v="67.699999999999989"/>
    <x v="0"/>
    <x v="5"/>
    <x v="0"/>
    <x v="0"/>
    <x v="0"/>
  </r>
  <r>
    <x v="0"/>
    <x v="9"/>
    <s v="4080 J"/>
    <x v="93"/>
    <s v="AK And HBCO Lahore"/>
    <s v="LDN"/>
    <n v="15"/>
    <s v="6-6.5"/>
    <s v="LDN"/>
    <n v="150"/>
    <x v="0"/>
    <s v="3"/>
    <n v="158.4"/>
    <n v="5.25"/>
    <m/>
    <x v="0"/>
    <n v="153.15"/>
    <m/>
    <m/>
    <x v="0"/>
    <x v="0"/>
    <n v="0"/>
    <n v="0"/>
    <x v="0"/>
    <x v="0"/>
    <m/>
    <x v="0"/>
    <x v="0"/>
    <x v="0"/>
    <x v="0"/>
    <x v="0"/>
    <n v="0"/>
    <n v="0"/>
    <n v="0"/>
    <n v="12"/>
    <x v="1"/>
    <x v="0"/>
    <m/>
    <x v="0"/>
    <n v="158.15"/>
    <x v="0"/>
    <x v="5"/>
    <x v="0"/>
    <x v="0"/>
    <x v="0"/>
  </r>
  <r>
    <x v="1"/>
    <x v="9"/>
    <s v="4209 J"/>
    <x v="93"/>
    <s v="Bolan Pastry Shop Quita"/>
    <s v="LDN"/>
    <n v="11"/>
    <s v="6-6.5"/>
    <s v="LDN"/>
    <n v="100"/>
    <x v="0"/>
    <s v="2"/>
    <n v="106.8"/>
    <n v="2.7"/>
    <m/>
    <x v="0"/>
    <n v="104.1"/>
    <m/>
    <m/>
    <x v="0"/>
    <x v="0"/>
    <n v="0"/>
    <n v="0"/>
    <x v="0"/>
    <x v="0"/>
    <m/>
    <x v="0"/>
    <x v="0"/>
    <x v="0"/>
    <x v="0"/>
    <x v="0"/>
    <n v="0"/>
    <n v="0"/>
    <n v="0"/>
    <n v="12"/>
    <x v="1"/>
    <x v="0"/>
    <m/>
    <x v="0"/>
    <n v="109.1"/>
    <x v="0"/>
    <x v="5"/>
    <x v="0"/>
    <x v="0"/>
    <x v="0"/>
  </r>
  <r>
    <x v="1"/>
    <x v="9"/>
    <s v="4205 J"/>
    <x v="93"/>
    <s v="Bolan Pastry Shop Quita"/>
    <s v="LDN"/>
    <n v="10.5"/>
    <s v="6-6.5"/>
    <s v="LDN"/>
    <n v="200"/>
    <x v="0"/>
    <s v="2"/>
    <n v="73.599999999999994"/>
    <n v="2.6"/>
    <m/>
    <x v="0"/>
    <n v="71"/>
    <m/>
    <m/>
    <x v="0"/>
    <x v="0"/>
    <n v="0"/>
    <n v="0"/>
    <x v="0"/>
    <x v="0"/>
    <m/>
    <x v="0"/>
    <x v="0"/>
    <x v="0"/>
    <x v="0"/>
    <x v="0"/>
    <n v="0"/>
    <n v="0"/>
    <n v="0"/>
    <n v="12"/>
    <x v="1"/>
    <x v="0"/>
    <m/>
    <x v="0"/>
    <n v="76"/>
    <x v="0"/>
    <x v="5"/>
    <x v="0"/>
    <x v="0"/>
    <x v="0"/>
  </r>
  <r>
    <x v="0"/>
    <x v="10"/>
    <s v="4246 J"/>
    <x v="93"/>
    <s v="Service Industry Gujrat"/>
    <s v="LDM"/>
    <s v="432 MM"/>
    <s v="-"/>
    <s v="LDM"/>
    <n v="500"/>
    <x v="0"/>
    <s v="9"/>
    <n v="463.4"/>
    <n v="18.600000000000001"/>
    <m/>
    <x v="0"/>
    <n v="444.79999999999995"/>
    <m/>
    <m/>
    <x v="0"/>
    <x v="0"/>
    <n v="0"/>
    <n v="0"/>
    <x v="0"/>
    <x v="0"/>
    <m/>
    <x v="0"/>
    <x v="0"/>
    <x v="0"/>
    <x v="0"/>
    <x v="0"/>
    <n v="0"/>
    <n v="0"/>
    <n v="0"/>
    <n v="12"/>
    <x v="1"/>
    <x v="0"/>
    <m/>
    <x v="0"/>
    <n v="449.79999999999995"/>
    <x v="0"/>
    <x v="5"/>
    <x v="0"/>
    <x v="0"/>
    <x v="0"/>
  </r>
  <r>
    <x v="1"/>
    <x v="10"/>
    <s v="4246 J"/>
    <x v="93"/>
    <s v="Service Industry Gujrat"/>
    <s v="LDM"/>
    <s v="432 MM"/>
    <s v="-"/>
    <s v="LDM"/>
    <n v="500"/>
    <x v="0"/>
    <s v="2"/>
    <n v="101.6"/>
    <n v="4"/>
    <m/>
    <x v="0"/>
    <n v="97.6"/>
    <m/>
    <m/>
    <x v="0"/>
    <x v="0"/>
    <n v="0"/>
    <n v="0"/>
    <x v="0"/>
    <x v="0"/>
    <m/>
    <x v="0"/>
    <x v="0"/>
    <x v="0"/>
    <x v="0"/>
    <x v="0"/>
    <n v="0"/>
    <n v="0"/>
    <n v="0"/>
    <n v="12"/>
    <x v="1"/>
    <x v="0"/>
    <m/>
    <x v="0"/>
    <n v="102.6"/>
    <x v="0"/>
    <x v="5"/>
    <x v="0"/>
    <x v="0"/>
    <x v="0"/>
  </r>
  <r>
    <x v="1"/>
    <x v="10"/>
    <s v="4247 J"/>
    <x v="93"/>
    <s v="Service Industry Gujrat"/>
    <s v="LDM"/>
    <s v="432 MM"/>
    <s v="-"/>
    <s v="LDM"/>
    <n v="300"/>
    <x v="0"/>
    <s v="5"/>
    <n v="323.20000000000005"/>
    <n v="10"/>
    <m/>
    <x v="0"/>
    <n v="313.20000000000005"/>
    <m/>
    <m/>
    <x v="0"/>
    <x v="0"/>
    <n v="0"/>
    <n v="0"/>
    <x v="0"/>
    <x v="0"/>
    <m/>
    <x v="0"/>
    <x v="0"/>
    <x v="0"/>
    <x v="0"/>
    <x v="0"/>
    <n v="0"/>
    <n v="0"/>
    <n v="0"/>
    <n v="12"/>
    <x v="1"/>
    <x v="0"/>
    <m/>
    <x v="0"/>
    <n v="318.20000000000005"/>
    <x v="0"/>
    <x v="5"/>
    <x v="0"/>
    <x v="0"/>
    <x v="0"/>
  </r>
  <r>
    <x v="0"/>
    <x v="11"/>
    <s v="2139 F"/>
    <x v="93"/>
    <s v="Usman Amin"/>
    <s v="LDN"/>
    <n v="19"/>
    <s v="5-5.5"/>
    <s v="LDN"/>
    <n v="500"/>
    <x v="0"/>
    <s v="2"/>
    <n v="120"/>
    <n v="4.3000000000000007"/>
    <m/>
    <x v="0"/>
    <n v="115.7"/>
    <m/>
    <m/>
    <x v="0"/>
    <x v="0"/>
    <n v="0"/>
    <n v="0"/>
    <x v="0"/>
    <x v="0"/>
    <m/>
    <x v="0"/>
    <x v="0"/>
    <x v="0"/>
    <x v="0"/>
    <x v="0"/>
    <n v="0"/>
    <n v="0"/>
    <n v="0"/>
    <n v="12"/>
    <x v="1"/>
    <x v="0"/>
    <m/>
    <x v="0"/>
    <n v="120.7"/>
    <x v="0"/>
    <x v="5"/>
    <x v="0"/>
    <x v="0"/>
    <x v="0"/>
  </r>
  <r>
    <x v="0"/>
    <x v="11"/>
    <s v="4166 J"/>
    <x v="93"/>
    <s v="Usman Arif Butt Gujranwala"/>
    <s v="LDN"/>
    <n v="16"/>
    <n v="5"/>
    <s v="LDN"/>
    <n v="150"/>
    <x v="0"/>
    <s v="5"/>
    <n v="155.6"/>
    <n v="10"/>
    <m/>
    <x v="0"/>
    <n v="145.6"/>
    <m/>
    <m/>
    <x v="0"/>
    <x v="0"/>
    <n v="0"/>
    <n v="0"/>
    <x v="0"/>
    <x v="0"/>
    <m/>
    <x v="0"/>
    <x v="0"/>
    <x v="0"/>
    <x v="0"/>
    <x v="0"/>
    <n v="0"/>
    <n v="0"/>
    <n v="0"/>
    <n v="12"/>
    <x v="1"/>
    <x v="0"/>
    <m/>
    <x v="0"/>
    <n v="150.6"/>
    <x v="0"/>
    <x v="5"/>
    <x v="0"/>
    <x v="0"/>
    <x v="0"/>
  </r>
  <r>
    <x v="1"/>
    <x v="11"/>
    <s v="2132 F"/>
    <x v="93"/>
    <s v="Usman Amin"/>
    <s v="LDN"/>
    <n v="17"/>
    <s v="7"/>
    <s v="LDN"/>
    <n v="460"/>
    <x v="0"/>
    <s v="5"/>
    <n v="286.8"/>
    <n v="10"/>
    <m/>
    <x v="0"/>
    <n v="276.8"/>
    <m/>
    <m/>
    <x v="0"/>
    <x v="0"/>
    <n v="0"/>
    <n v="0"/>
    <x v="0"/>
    <x v="0"/>
    <m/>
    <x v="0"/>
    <x v="0"/>
    <x v="0"/>
    <x v="0"/>
    <x v="0"/>
    <n v="0"/>
    <n v="0"/>
    <n v="0"/>
    <n v="12"/>
    <x v="1"/>
    <x v="0"/>
    <m/>
    <x v="0"/>
    <n v="281.8"/>
    <x v="0"/>
    <x v="5"/>
    <x v="0"/>
    <x v="0"/>
    <x v="0"/>
  </r>
  <r>
    <x v="0"/>
    <x v="12"/>
    <s v="2790/1"/>
    <x v="93"/>
    <s v="SUPER AGRO PAKISTAN"/>
    <s v="LDN"/>
    <s v="28-28.5"/>
    <s v="95±1"/>
    <s v="LDN"/>
    <n v="4750"/>
    <x v="0"/>
    <s v="4"/>
    <n v="374.5"/>
    <n v="13.6"/>
    <m/>
    <x v="0"/>
    <n v="360.9"/>
    <m/>
    <m/>
    <x v="0"/>
    <x v="0"/>
    <n v="0"/>
    <n v="0"/>
    <x v="0"/>
    <x v="0"/>
    <m/>
    <x v="0"/>
    <x v="0"/>
    <x v="0"/>
    <x v="0"/>
    <x v="0"/>
    <n v="0"/>
    <n v="0"/>
    <n v="0"/>
    <n v="12"/>
    <x v="1"/>
    <x v="0"/>
    <m/>
    <x v="0"/>
    <n v="365.9"/>
    <x v="0"/>
    <x v="5"/>
    <x v="0"/>
    <x v="0"/>
    <x v="0"/>
  </r>
  <r>
    <x v="0"/>
    <x v="12"/>
    <s v="261 R"/>
    <x v="93"/>
    <s v="ریفلیکٹ پیک"/>
    <s v="LDN"/>
    <n v="23"/>
    <s v="18-19"/>
    <s v="LDN"/>
    <n v="2000"/>
    <x v="0"/>
    <s v="3"/>
    <n v="335.79999999999995"/>
    <n v="6"/>
    <m/>
    <x v="0"/>
    <n v="329.79999999999995"/>
    <m/>
    <m/>
    <x v="0"/>
    <x v="0"/>
    <n v="0"/>
    <n v="0"/>
    <x v="0"/>
    <x v="0"/>
    <m/>
    <x v="0"/>
    <x v="0"/>
    <x v="0"/>
    <x v="0"/>
    <x v="0"/>
    <n v="0"/>
    <n v="0"/>
    <n v="0"/>
    <n v="12"/>
    <x v="1"/>
    <x v="0"/>
    <m/>
    <x v="0"/>
    <n v="334.79999999999995"/>
    <x v="0"/>
    <x v="5"/>
    <x v="0"/>
    <x v="0"/>
    <x v="0"/>
  </r>
  <r>
    <x v="1"/>
    <x v="12"/>
    <s v="261 R"/>
    <x v="93"/>
    <s v="ریفلیکٹ پیک"/>
    <s v="LDN"/>
    <n v="23"/>
    <s v="18-19"/>
    <s v="LDN"/>
    <n v="2000"/>
    <x v="0"/>
    <s v="5"/>
    <n v="748.8"/>
    <n v="9"/>
    <m/>
    <x v="0"/>
    <n v="739.8"/>
    <m/>
    <m/>
    <x v="0"/>
    <x v="0"/>
    <n v="0"/>
    <n v="0"/>
    <x v="0"/>
    <x v="0"/>
    <m/>
    <x v="0"/>
    <x v="0"/>
    <x v="0"/>
    <x v="0"/>
    <x v="0"/>
    <n v="0"/>
    <n v="0"/>
    <n v="0"/>
    <n v="12"/>
    <x v="1"/>
    <x v="0"/>
    <m/>
    <x v="0"/>
    <n v="744.8"/>
    <x v="0"/>
    <x v="5"/>
    <x v="0"/>
    <x v="0"/>
    <x v="0"/>
  </r>
  <r>
    <x v="0"/>
    <x v="8"/>
    <s v="4284 J"/>
    <x v="94"/>
    <s v="Al Burak Deparmental Store Lahore"/>
    <s v="LDN"/>
    <n v="9"/>
    <s v="14-15"/>
    <s v="LDN"/>
    <n v="120"/>
    <x v="0"/>
    <s v="1"/>
    <n v="72.8"/>
    <s v="1.1"/>
    <s v="10"/>
    <x v="0"/>
    <n v="71.7"/>
    <m/>
    <n v="15"/>
    <x v="0"/>
    <x v="0"/>
    <n v="15"/>
    <n v="0.25"/>
    <x v="0"/>
    <x v="0"/>
    <m/>
    <x v="0"/>
    <x v="0"/>
    <x v="0"/>
    <x v="0"/>
    <x v="0"/>
    <n v="0"/>
    <n v="0"/>
    <n v="0.25"/>
    <n v="11.75"/>
    <x v="1"/>
    <x v="0"/>
    <n v="1976"/>
    <x v="0"/>
    <n v="76.7"/>
    <x v="1"/>
    <x v="5"/>
    <x v="0"/>
    <x v="0"/>
    <x v="0"/>
  </r>
  <r>
    <x v="0"/>
    <x v="8"/>
    <s v="4283 J"/>
    <x v="94"/>
    <s v="Al Burak Deparmental Store Lahore"/>
    <s v="LDN"/>
    <n v="7"/>
    <s v="14-15"/>
    <s v="LDN"/>
    <n v="120"/>
    <x v="0"/>
    <s v="2"/>
    <n v="118.8"/>
    <n v="1.8"/>
    <m/>
    <x v="0"/>
    <n v="117"/>
    <m/>
    <m/>
    <x v="0"/>
    <x v="0"/>
    <n v="0"/>
    <n v="0"/>
    <x v="0"/>
    <x v="0"/>
    <m/>
    <x v="0"/>
    <x v="0"/>
    <x v="0"/>
    <x v="0"/>
    <x v="0"/>
    <n v="0"/>
    <n v="0"/>
    <n v="0"/>
    <n v="12"/>
    <x v="1"/>
    <x v="0"/>
    <m/>
    <x v="0"/>
    <n v="122"/>
    <x v="0"/>
    <x v="5"/>
    <x v="0"/>
    <x v="0"/>
    <x v="0"/>
  </r>
  <r>
    <x v="1"/>
    <x v="8"/>
    <s v="4251 J"/>
    <x v="94"/>
    <s v="Milk Man Dairies PVT (LTD)"/>
    <s v="LDM"/>
    <n v="6"/>
    <s v="17-18"/>
    <s v="LDM"/>
    <n v="100"/>
    <x v="0"/>
    <s v="3"/>
    <n v="110"/>
    <n v="2.4000000000000004"/>
    <s v="10"/>
    <x v="0"/>
    <n v="107.6"/>
    <m/>
    <m/>
    <x v="0"/>
    <x v="0"/>
    <n v="0"/>
    <n v="0"/>
    <x v="0"/>
    <x v="0"/>
    <m/>
    <x v="0"/>
    <x v="0"/>
    <x v="0"/>
    <x v="0"/>
    <x v="0"/>
    <n v="0"/>
    <n v="0"/>
    <n v="0"/>
    <n v="12"/>
    <x v="1"/>
    <x v="0"/>
    <m/>
    <x v="0"/>
    <n v="112.6"/>
    <x v="0"/>
    <x v="5"/>
    <x v="0"/>
    <x v="0"/>
    <x v="0"/>
  </r>
  <r>
    <x v="1"/>
    <x v="8"/>
    <s v="4159 J"/>
    <x v="94"/>
    <s v="Rathore Dairy Solution"/>
    <s v="LDM"/>
    <n v="6.5"/>
    <s v="14-14.5"/>
    <s v="LDM"/>
    <n v="50"/>
    <x v="0"/>
    <s v="1"/>
    <n v="61.8"/>
    <n v="0.9"/>
    <m/>
    <x v="0"/>
    <n v="60.9"/>
    <m/>
    <m/>
    <x v="0"/>
    <x v="0"/>
    <n v="0"/>
    <n v="0"/>
    <x v="0"/>
    <x v="0"/>
    <m/>
    <x v="0"/>
    <x v="0"/>
    <x v="0"/>
    <x v="0"/>
    <x v="0"/>
    <n v="0"/>
    <n v="0"/>
    <n v="0"/>
    <n v="12"/>
    <x v="1"/>
    <x v="0"/>
    <m/>
    <x v="0"/>
    <n v="65.900000000000006"/>
    <x v="0"/>
    <x v="5"/>
    <x v="0"/>
    <x v="0"/>
    <x v="0"/>
  </r>
  <r>
    <x v="0"/>
    <x v="9"/>
    <s v="4205 J"/>
    <x v="94"/>
    <s v="Bolan Pastry Shop Quita"/>
    <s v="LDN"/>
    <n v="10.5"/>
    <s v="6-6.5"/>
    <s v="LDN"/>
    <n v="200"/>
    <x v="0"/>
    <s v="3"/>
    <n v="142.4"/>
    <n v="3.9000000000000004"/>
    <s v="1"/>
    <x v="0"/>
    <n v="138.5"/>
    <m/>
    <m/>
    <x v="0"/>
    <x v="0"/>
    <n v="0"/>
    <n v="0"/>
    <x v="0"/>
    <x v="0"/>
    <m/>
    <x v="0"/>
    <x v="0"/>
    <x v="0"/>
    <x v="0"/>
    <x v="0"/>
    <n v="0"/>
    <n v="0"/>
    <n v="0"/>
    <n v="12"/>
    <x v="1"/>
    <x v="0"/>
    <m/>
    <x v="0"/>
    <n v="143.5"/>
    <x v="0"/>
    <x v="5"/>
    <x v="0"/>
    <x v="0"/>
    <x v="0"/>
  </r>
  <r>
    <x v="0"/>
    <x v="9"/>
    <s v="4204 J"/>
    <x v="94"/>
    <s v="Bolan Pastry Shop Quita"/>
    <s v="LDN"/>
    <n v="10"/>
    <s v="6-6.5"/>
    <s v="LDN"/>
    <n v="100"/>
    <x v="0"/>
    <s v="1"/>
    <n v="46.2"/>
    <n v="1.2"/>
    <m/>
    <x v="0"/>
    <n v="45"/>
    <m/>
    <m/>
    <x v="0"/>
    <x v="0"/>
    <n v="0"/>
    <n v="0"/>
    <x v="0"/>
    <x v="0"/>
    <m/>
    <x v="0"/>
    <x v="0"/>
    <x v="0"/>
    <x v="0"/>
    <x v="0"/>
    <n v="0"/>
    <n v="0"/>
    <n v="0"/>
    <n v="12"/>
    <x v="1"/>
    <x v="0"/>
    <m/>
    <x v="0"/>
    <n v="50"/>
    <x v="0"/>
    <x v="5"/>
    <x v="0"/>
    <x v="0"/>
    <x v="0"/>
  </r>
  <r>
    <x v="1"/>
    <x v="9"/>
    <s v="4204 J"/>
    <x v="94"/>
    <s v="Bolan Pastry Shop Quita"/>
    <s v="LDN"/>
    <n v="10"/>
    <s v="6-6.5"/>
    <s v="LDN"/>
    <n v="100"/>
    <x v="0"/>
    <s v="1"/>
    <n v="57.6"/>
    <n v="1.2"/>
    <s v="12"/>
    <x v="0"/>
    <n v="56.4"/>
    <m/>
    <n v="12"/>
    <x v="0"/>
    <x v="0"/>
    <n v="12"/>
    <n v="0.2"/>
    <x v="0"/>
    <x v="0"/>
    <m/>
    <x v="0"/>
    <x v="0"/>
    <x v="0"/>
    <x v="0"/>
    <x v="0"/>
    <n v="0"/>
    <n v="0"/>
    <n v="0.2"/>
    <n v="11.8"/>
    <x v="1"/>
    <x v="0"/>
    <m/>
    <x v="0"/>
    <n v="61.4"/>
    <x v="0"/>
    <x v="5"/>
    <x v="0"/>
    <x v="0"/>
    <x v="0"/>
  </r>
  <r>
    <x v="1"/>
    <x v="9"/>
    <s v="4259 J"/>
    <x v="94"/>
    <s v="Niswar Canter Butkhela"/>
    <s v="LDN"/>
    <n v="9"/>
    <s v="6-6.5"/>
    <s v="LDN"/>
    <n v="100"/>
    <x v="0"/>
    <s v="3"/>
    <n v="116.2"/>
    <n v="3.3000000000000003"/>
    <m/>
    <x v="0"/>
    <n v="112.9"/>
    <m/>
    <m/>
    <x v="0"/>
    <x v="0"/>
    <n v="0"/>
    <n v="0"/>
    <x v="0"/>
    <x v="0"/>
    <m/>
    <x v="0"/>
    <x v="0"/>
    <x v="0"/>
    <x v="0"/>
    <x v="0"/>
    <n v="0"/>
    <n v="0"/>
    <n v="0"/>
    <n v="12"/>
    <x v="1"/>
    <x v="0"/>
    <m/>
    <x v="0"/>
    <n v="117.9"/>
    <x v="0"/>
    <x v="5"/>
    <x v="0"/>
    <x v="0"/>
    <x v="0"/>
  </r>
  <r>
    <x v="0"/>
    <x v="10"/>
    <s v="4245 J"/>
    <x v="94"/>
    <s v="-"/>
    <m/>
    <m/>
    <m/>
    <m/>
    <m/>
    <x v="0"/>
    <s v="4"/>
    <n v="225.39999999999998"/>
    <n v="8"/>
    <s v="20"/>
    <x v="0"/>
    <n v="217.39999999999998"/>
    <m/>
    <n v="43"/>
    <x v="0"/>
    <x v="0"/>
    <n v="43"/>
    <n v="0.71666666666666667"/>
    <x v="0"/>
    <x v="0"/>
    <m/>
    <x v="0"/>
    <x v="0"/>
    <x v="0"/>
    <x v="0"/>
    <x v="0"/>
    <n v="0"/>
    <n v="0"/>
    <n v="0.71666666666666667"/>
    <n v="11.283333333333333"/>
    <x v="1"/>
    <x v="0"/>
    <m/>
    <x v="0"/>
    <n v="222.39999999999998"/>
    <x v="0"/>
    <x v="5"/>
    <x v="0"/>
    <x v="0"/>
    <x v="0"/>
  </r>
  <r>
    <x v="0"/>
    <x v="10"/>
    <s v="4105 J"/>
    <x v="94"/>
    <s v="Ramada Gulbarg Lahore"/>
    <s v="LDM"/>
    <n v="16"/>
    <s v="13-14"/>
    <s v="LDM"/>
    <n v="150"/>
    <x v="0"/>
    <s v="2"/>
    <n v="118.6"/>
    <n v="4"/>
    <m/>
    <x v="0"/>
    <n v="114.6"/>
    <m/>
    <m/>
    <x v="0"/>
    <x v="0"/>
    <n v="0"/>
    <n v="0"/>
    <x v="0"/>
    <x v="0"/>
    <m/>
    <x v="0"/>
    <x v="0"/>
    <x v="0"/>
    <x v="0"/>
    <x v="0"/>
    <n v="0"/>
    <n v="0"/>
    <n v="0"/>
    <n v="12"/>
    <x v="1"/>
    <x v="0"/>
    <m/>
    <x v="0"/>
    <n v="119.6"/>
    <x v="0"/>
    <x v="5"/>
    <x v="0"/>
    <x v="0"/>
    <x v="0"/>
  </r>
  <r>
    <x v="1"/>
    <x v="10"/>
    <s v="4105 J"/>
    <x v="94"/>
    <s v="Ramada Gulbarg Lahore"/>
    <s v="LDM"/>
    <n v="16"/>
    <s v="13-14"/>
    <s v="LDM"/>
    <n v="150"/>
    <x v="0"/>
    <s v="1"/>
    <n v="52.4"/>
    <n v="1.4"/>
    <s v="8"/>
    <x v="0"/>
    <n v="51"/>
    <m/>
    <n v="10"/>
    <x v="0"/>
    <x v="0"/>
    <n v="10"/>
    <n v="0.16666666666666666"/>
    <x v="0"/>
    <x v="0"/>
    <m/>
    <x v="0"/>
    <x v="0"/>
    <x v="0"/>
    <x v="0"/>
    <x v="0"/>
    <n v="0"/>
    <n v="0"/>
    <n v="0.16666666666666666"/>
    <n v="11.833333333333334"/>
    <x v="1"/>
    <x v="0"/>
    <m/>
    <x v="0"/>
    <n v="56"/>
    <x v="0"/>
    <x v="5"/>
    <x v="0"/>
    <x v="0"/>
    <x v="0"/>
  </r>
  <r>
    <x v="1"/>
    <x v="10"/>
    <s v="4286 J"/>
    <x v="94"/>
    <s v="Mozami Plastice Sahiwal"/>
    <s v="LDM"/>
    <n v="11.5"/>
    <s v="12"/>
    <s v="LDM"/>
    <n v="150"/>
    <x v="0"/>
    <s v="3"/>
    <n v="123.6"/>
    <n v="3.9000000000000004"/>
    <m/>
    <x v="0"/>
    <n v="119.69999999999999"/>
    <m/>
    <m/>
    <x v="0"/>
    <x v="0"/>
    <n v="0"/>
    <n v="0"/>
    <x v="0"/>
    <x v="0"/>
    <m/>
    <x v="0"/>
    <x v="0"/>
    <x v="0"/>
    <x v="0"/>
    <x v="0"/>
    <n v="0"/>
    <n v="0"/>
    <n v="0"/>
    <n v="12"/>
    <x v="1"/>
    <x v="0"/>
    <m/>
    <x v="0"/>
    <n v="124.69999999999999"/>
    <x v="0"/>
    <x v="5"/>
    <x v="0"/>
    <x v="0"/>
    <x v="0"/>
  </r>
  <r>
    <x v="1"/>
    <x v="10"/>
    <s v="4285 J"/>
    <x v="94"/>
    <s v="Mozami Plastice Sahiwal"/>
    <s v="LDM"/>
    <n v="10.5"/>
    <n v="12"/>
    <s v="LDM"/>
    <n v="150"/>
    <x v="0"/>
    <s v="2"/>
    <n v="132.80000000000001"/>
    <n v="2.6"/>
    <m/>
    <x v="0"/>
    <n v="130.20000000000002"/>
    <m/>
    <m/>
    <x v="0"/>
    <x v="0"/>
    <n v="0"/>
    <n v="0"/>
    <x v="0"/>
    <x v="0"/>
    <m/>
    <x v="0"/>
    <x v="0"/>
    <x v="0"/>
    <x v="0"/>
    <x v="0"/>
    <n v="0"/>
    <n v="0"/>
    <n v="0"/>
    <n v="12"/>
    <x v="1"/>
    <x v="0"/>
    <m/>
    <x v="0"/>
    <n v="135.20000000000002"/>
    <x v="0"/>
    <x v="5"/>
    <x v="0"/>
    <x v="0"/>
    <x v="0"/>
  </r>
  <r>
    <x v="0"/>
    <x v="11"/>
    <s v="2132 F"/>
    <x v="94"/>
    <s v="Usman Amin"/>
    <s v="LDN"/>
    <n v="17"/>
    <s v="7"/>
    <s v="LDN"/>
    <n v="460"/>
    <x v="0"/>
    <s v="3"/>
    <n v="192.8"/>
    <n v="6.3000000000000007"/>
    <m/>
    <x v="3"/>
    <n v="186.5"/>
    <m/>
    <m/>
    <x v="0"/>
    <x v="0"/>
    <n v="0"/>
    <n v="0"/>
    <x v="0"/>
    <x v="0"/>
    <m/>
    <x v="7"/>
    <x v="5"/>
    <x v="0"/>
    <x v="10"/>
    <x v="0"/>
    <n v="65"/>
    <n v="1.0833333333333333"/>
    <n v="1.0833333333333333"/>
    <n v="10.916666666666666"/>
    <x v="1"/>
    <x v="0"/>
    <m/>
    <x v="0"/>
    <n v="191.5"/>
    <x v="0"/>
    <x v="5"/>
    <x v="0"/>
    <x v="0"/>
    <x v="0"/>
  </r>
  <r>
    <x v="0"/>
    <x v="11"/>
    <s v="4107 J"/>
    <x v="94"/>
    <s v="Ramada Gulbarg Lahore"/>
    <s v="LDN"/>
    <n v="17"/>
    <s v="7-7.5"/>
    <s v="LDN"/>
    <n v="100"/>
    <x v="0"/>
    <s v="2"/>
    <n v="109.2"/>
    <n v="4.2"/>
    <m/>
    <x v="0"/>
    <n v="105"/>
    <m/>
    <m/>
    <x v="0"/>
    <x v="0"/>
    <n v="0"/>
    <n v="0"/>
    <x v="0"/>
    <x v="0"/>
    <m/>
    <x v="0"/>
    <x v="0"/>
    <x v="0"/>
    <x v="0"/>
    <x v="0"/>
    <n v="0"/>
    <n v="0"/>
    <n v="0"/>
    <n v="12"/>
    <x v="1"/>
    <x v="0"/>
    <m/>
    <x v="0"/>
    <n v="110"/>
    <x v="0"/>
    <x v="5"/>
    <x v="0"/>
    <x v="0"/>
    <x v="0"/>
  </r>
  <r>
    <x v="1"/>
    <x v="11"/>
    <s v="4120 J"/>
    <x v="94"/>
    <s v="Bawa Towels Lahore"/>
    <s v="LDN"/>
    <n v="22.5"/>
    <s v="7-7.5"/>
    <s v="LDN"/>
    <n v="100"/>
    <x v="0"/>
    <s v="2"/>
    <n v="108.8"/>
    <n v="5.6"/>
    <s v="9"/>
    <x v="0"/>
    <n v="103.2"/>
    <m/>
    <m/>
    <x v="0"/>
    <x v="0"/>
    <n v="0"/>
    <n v="0"/>
    <x v="0"/>
    <x v="0"/>
    <m/>
    <x v="0"/>
    <x v="0"/>
    <x v="0"/>
    <x v="0"/>
    <x v="0"/>
    <n v="0"/>
    <n v="0"/>
    <n v="0"/>
    <n v="12"/>
    <x v="1"/>
    <x v="0"/>
    <m/>
    <x v="0"/>
    <n v="108.2"/>
    <x v="0"/>
    <x v="5"/>
    <x v="0"/>
    <x v="0"/>
    <x v="0"/>
  </r>
  <r>
    <x v="1"/>
    <x v="11"/>
    <s v="4111 J"/>
    <x v="94"/>
    <s v="Nehar Kiara Harbanspura Lahore"/>
    <s v="LDN"/>
    <s v="20&quot;شیٹ"/>
    <s v="5.5-6/11-12"/>
    <s v="LDN"/>
    <n v="100"/>
    <x v="0"/>
    <s v="2"/>
    <n v="116.6"/>
    <n v="5.2"/>
    <m/>
    <x v="0"/>
    <n v="111.39999999999999"/>
    <m/>
    <m/>
    <x v="0"/>
    <x v="0"/>
    <n v="0"/>
    <n v="0"/>
    <x v="0"/>
    <x v="0"/>
    <m/>
    <x v="0"/>
    <x v="0"/>
    <x v="0"/>
    <x v="0"/>
    <x v="0"/>
    <n v="0"/>
    <n v="0"/>
    <n v="0"/>
    <n v="12"/>
    <x v="1"/>
    <x v="0"/>
    <m/>
    <x v="0"/>
    <n v="116.39999999999999"/>
    <x v="0"/>
    <x v="5"/>
    <x v="0"/>
    <x v="0"/>
    <x v="0"/>
  </r>
  <r>
    <x v="1"/>
    <x v="11"/>
    <s v="4182 J"/>
    <x v="94"/>
    <s v="Afghan Perfum Perhawar"/>
    <s v="LDM"/>
    <n v="20"/>
    <s v="21-22"/>
    <s v="LDM"/>
    <n v="150"/>
    <x v="0"/>
    <s v="2"/>
    <n v="156.4"/>
    <n v="4"/>
    <m/>
    <x v="0"/>
    <n v="152.4"/>
    <m/>
    <m/>
    <x v="0"/>
    <x v="0"/>
    <n v="0"/>
    <n v="0"/>
    <x v="0"/>
    <x v="0"/>
    <m/>
    <x v="0"/>
    <x v="0"/>
    <x v="0"/>
    <x v="0"/>
    <x v="0"/>
    <n v="0"/>
    <n v="0"/>
    <n v="0"/>
    <n v="12"/>
    <x v="1"/>
    <x v="0"/>
    <m/>
    <x v="0"/>
    <n v="157.4"/>
    <x v="0"/>
    <x v="5"/>
    <x v="0"/>
    <x v="0"/>
    <x v="0"/>
  </r>
  <r>
    <x v="1"/>
    <x v="11"/>
    <s v="4183 J"/>
    <x v="94"/>
    <s v="Afghan Perfum Perhawar"/>
    <s v="LDM"/>
    <n v="25"/>
    <s v="21-22"/>
    <s v="LDM"/>
    <n v="150"/>
    <x v="0"/>
    <s v="1"/>
    <n v="80.599999999999994"/>
    <n v="2.9"/>
    <m/>
    <x v="0"/>
    <n v="77.699999999999989"/>
    <m/>
    <m/>
    <x v="0"/>
    <x v="0"/>
    <n v="0"/>
    <n v="0"/>
    <x v="0"/>
    <x v="0"/>
    <m/>
    <x v="0"/>
    <x v="0"/>
    <x v="0"/>
    <x v="0"/>
    <x v="0"/>
    <n v="0"/>
    <n v="0"/>
    <n v="0"/>
    <n v="12"/>
    <x v="1"/>
    <x v="0"/>
    <m/>
    <x v="0"/>
    <n v="82.699999999999989"/>
    <x v="0"/>
    <x v="5"/>
    <x v="0"/>
    <x v="0"/>
    <x v="0"/>
  </r>
  <r>
    <x v="0"/>
    <x v="13"/>
    <s v="261 R"/>
    <x v="94"/>
    <s v="ریفلیکٹ پیک"/>
    <s v="LDN"/>
    <n v="23"/>
    <s v="18-19"/>
    <s v="LDN"/>
    <n v="2000"/>
    <x v="0"/>
    <s v="3"/>
    <n v="425.2"/>
    <n v="7.2"/>
    <s v="15"/>
    <x v="0"/>
    <n v="418"/>
    <m/>
    <m/>
    <x v="0"/>
    <x v="0"/>
    <n v="0"/>
    <n v="0"/>
    <x v="0"/>
    <x v="0"/>
    <m/>
    <x v="0"/>
    <x v="0"/>
    <x v="0"/>
    <x v="0"/>
    <x v="0"/>
    <n v="0"/>
    <n v="0"/>
    <n v="0"/>
    <n v="12"/>
    <x v="1"/>
    <x v="0"/>
    <m/>
    <x v="0"/>
    <n v="423"/>
    <x v="0"/>
    <x v="5"/>
    <x v="0"/>
    <x v="0"/>
    <x v="0"/>
  </r>
  <r>
    <x v="1"/>
    <x v="13"/>
    <s v="261 R"/>
    <x v="94"/>
    <s v="ریفلیکٹ پیک"/>
    <s v="LDN"/>
    <n v="23"/>
    <s v="18-19"/>
    <s v="LDN"/>
    <n v="2000"/>
    <x v="0"/>
    <s v="3"/>
    <n v="428"/>
    <n v="5.4"/>
    <s v="30"/>
    <x v="0"/>
    <n v="422.6"/>
    <m/>
    <n v="40"/>
    <x v="0"/>
    <x v="0"/>
    <n v="40"/>
    <n v="0.66666666666666663"/>
    <x v="0"/>
    <x v="0"/>
    <m/>
    <x v="0"/>
    <x v="0"/>
    <x v="0"/>
    <x v="0"/>
    <x v="0"/>
    <n v="0"/>
    <n v="0"/>
    <n v="0.66666666666666663"/>
    <n v="11.333333333333334"/>
    <x v="1"/>
    <x v="0"/>
    <m/>
    <x v="0"/>
    <n v="427.6"/>
    <x v="0"/>
    <x v="5"/>
    <x v="0"/>
    <x v="0"/>
    <x v="0"/>
  </r>
  <r>
    <x v="1"/>
    <x v="13"/>
    <s v="4260 J"/>
    <x v="94"/>
    <s v="Usman Ghani Textile Mills Sheikhpura"/>
    <s v="LDN"/>
    <s v="21+4+4"/>
    <s v="12"/>
    <s v="LDN"/>
    <n v="285"/>
    <x v="0"/>
    <s v="9"/>
    <n v="300.5"/>
    <n v="16.2"/>
    <m/>
    <x v="0"/>
    <n v="284.3"/>
    <m/>
    <m/>
    <x v="0"/>
    <x v="0"/>
    <n v="0"/>
    <n v="0"/>
    <x v="0"/>
    <x v="0"/>
    <m/>
    <x v="0"/>
    <x v="0"/>
    <x v="0"/>
    <x v="0"/>
    <x v="0"/>
    <n v="0"/>
    <n v="0"/>
    <n v="0"/>
    <n v="12"/>
    <x v="1"/>
    <x v="0"/>
    <m/>
    <x v="0"/>
    <n v="289.3"/>
    <x v="0"/>
    <x v="5"/>
    <x v="0"/>
    <x v="0"/>
    <x v="0"/>
  </r>
  <r>
    <x v="0"/>
    <x v="9"/>
    <s v="4206 J"/>
    <x v="95"/>
    <s v="Bolan Pastry Shop Quita"/>
    <s v="LDN"/>
    <n v="9"/>
    <s v="6-6.5"/>
    <s v="LDN"/>
    <n v="100"/>
    <x v="0"/>
    <s v="3"/>
    <n v="120"/>
    <n v="3.3000000000000003"/>
    <n v="127"/>
    <x v="0"/>
    <n v="116.7"/>
    <m/>
    <n v="30"/>
    <x v="0"/>
    <x v="0"/>
    <n v="30"/>
    <n v="0.5"/>
    <x v="0"/>
    <x v="0"/>
    <m/>
    <x v="0"/>
    <x v="0"/>
    <x v="0"/>
    <x v="0"/>
    <x v="0"/>
    <n v="0"/>
    <n v="0"/>
    <n v="0.5"/>
    <n v="11.5"/>
    <x v="1"/>
    <x v="0"/>
    <n v="1953"/>
    <x v="0"/>
    <m/>
    <x v="1"/>
    <x v="6"/>
    <x v="0"/>
    <x v="0"/>
    <x v="0"/>
  </r>
  <r>
    <x v="0"/>
    <x v="9"/>
    <s v="4208 J"/>
    <x v="95"/>
    <s v="Bolan Pastry Shop Quita"/>
    <s v="LDN"/>
    <n v="9"/>
    <s v="6-6.5"/>
    <s v="LDN"/>
    <n v="100"/>
    <x v="0"/>
    <s v="2"/>
    <n v="75.400000000000006"/>
    <n v="2.2000000000000002"/>
    <m/>
    <x v="0"/>
    <n v="73.2"/>
    <m/>
    <m/>
    <x v="0"/>
    <x v="0"/>
    <n v="0"/>
    <n v="0"/>
    <x v="0"/>
    <x v="0"/>
    <m/>
    <x v="0"/>
    <x v="0"/>
    <x v="0"/>
    <x v="0"/>
    <x v="0"/>
    <n v="0"/>
    <n v="0"/>
    <n v="0"/>
    <n v="12"/>
    <x v="1"/>
    <x v="0"/>
    <m/>
    <x v="0"/>
    <m/>
    <x v="0"/>
    <x v="0"/>
    <x v="0"/>
    <x v="0"/>
    <x v="0"/>
  </r>
  <r>
    <x v="1"/>
    <x v="9"/>
    <s v="4207 J"/>
    <x v="95"/>
    <s v="Bolan Pastry Shop Quita"/>
    <s v="LDN"/>
    <n v="8"/>
    <s v="6-6.5"/>
    <s v="LDN"/>
    <n v="200"/>
    <x v="0"/>
    <s v="4"/>
    <n v="156"/>
    <n v="4.5"/>
    <n v="110"/>
    <x v="0"/>
    <n v="151.5"/>
    <m/>
    <m/>
    <x v="0"/>
    <x v="0"/>
    <n v="0"/>
    <n v="0"/>
    <x v="0"/>
    <x v="0"/>
    <m/>
    <x v="0"/>
    <x v="0"/>
    <x v="0"/>
    <x v="0"/>
    <x v="0"/>
    <n v="0"/>
    <n v="0"/>
    <n v="0"/>
    <n v="12"/>
    <x v="1"/>
    <x v="0"/>
    <m/>
    <x v="0"/>
    <m/>
    <x v="0"/>
    <x v="0"/>
    <x v="0"/>
    <x v="0"/>
    <x v="0"/>
  </r>
  <r>
    <x v="0"/>
    <x v="10"/>
    <s v="4285 J"/>
    <x v="95"/>
    <s v="Mozami Plastice Sahiwal"/>
    <s v="LDM"/>
    <n v="10.5"/>
    <n v="12"/>
    <s v="LDM"/>
    <n v="150"/>
    <x v="0"/>
    <s v="1"/>
    <n v="54.8"/>
    <n v="1.3"/>
    <m/>
    <x v="0"/>
    <n v="53.5"/>
    <m/>
    <m/>
    <x v="0"/>
    <x v="0"/>
    <n v="0"/>
    <n v="0"/>
    <x v="0"/>
    <x v="0"/>
    <m/>
    <x v="0"/>
    <x v="0"/>
    <x v="0"/>
    <x v="0"/>
    <x v="0"/>
    <n v="0"/>
    <n v="0"/>
    <n v="0"/>
    <n v="12"/>
    <x v="1"/>
    <x v="0"/>
    <m/>
    <x v="0"/>
    <m/>
    <x v="0"/>
    <x v="0"/>
    <x v="0"/>
    <x v="0"/>
    <x v="0"/>
  </r>
  <r>
    <x v="0"/>
    <x v="10"/>
    <s v="4162 J"/>
    <x v="95"/>
    <s v="Irfan Chemical PVT (LTD)"/>
    <s v="LDM"/>
    <n v="7"/>
    <s v="10-10.5"/>
    <s v="LDM"/>
    <n v="100"/>
    <x v="0"/>
    <s v="2"/>
    <n v="106.4"/>
    <n v="1.8"/>
    <m/>
    <x v="0"/>
    <n v="104.60000000000001"/>
    <m/>
    <m/>
    <x v="0"/>
    <x v="0"/>
    <n v="0"/>
    <n v="0"/>
    <x v="0"/>
    <x v="0"/>
    <m/>
    <x v="0"/>
    <x v="0"/>
    <x v="0"/>
    <x v="0"/>
    <x v="0"/>
    <n v="0"/>
    <n v="0"/>
    <n v="0"/>
    <n v="12"/>
    <x v="1"/>
    <x v="0"/>
    <m/>
    <x v="0"/>
    <m/>
    <x v="0"/>
    <x v="0"/>
    <x v="0"/>
    <x v="0"/>
    <x v="0"/>
  </r>
  <r>
    <x v="0"/>
    <x v="10"/>
    <s v="4160 J"/>
    <x v="95"/>
    <s v="Farooq Textile Lahore"/>
    <s v="LDN"/>
    <n v="14"/>
    <s v="7.5-8"/>
    <s v="LDN"/>
    <n v="200"/>
    <x v="0"/>
    <s v="2"/>
    <n v="116.6"/>
    <n v="1.8"/>
    <m/>
    <x v="0"/>
    <n v="114.8"/>
    <m/>
    <m/>
    <x v="0"/>
    <x v="0"/>
    <n v="0"/>
    <n v="0"/>
    <x v="0"/>
    <x v="0"/>
    <m/>
    <x v="0"/>
    <x v="0"/>
    <x v="0"/>
    <x v="0"/>
    <x v="0"/>
    <n v="0"/>
    <n v="0"/>
    <n v="0"/>
    <n v="12"/>
    <x v="1"/>
    <x v="0"/>
    <m/>
    <x v="0"/>
    <m/>
    <x v="0"/>
    <x v="0"/>
    <x v="0"/>
    <x v="0"/>
    <x v="0"/>
  </r>
  <r>
    <x v="0"/>
    <x v="10"/>
    <s v="4212 J"/>
    <x v="95"/>
    <s v="Lahore Regency Hospitality Lahore"/>
    <s v="LDM"/>
    <n v="18"/>
    <s v="9-9.5"/>
    <s v="LDM"/>
    <n v="200"/>
    <x v="0"/>
    <s v="2"/>
    <n v="82.6"/>
    <n v="4.4000000000000004"/>
    <m/>
    <x v="0"/>
    <n v="78.199999999999989"/>
    <m/>
    <m/>
    <x v="0"/>
    <x v="0"/>
    <n v="0"/>
    <n v="0"/>
    <x v="0"/>
    <x v="0"/>
    <m/>
    <x v="0"/>
    <x v="0"/>
    <x v="0"/>
    <x v="0"/>
    <x v="0"/>
    <n v="0"/>
    <n v="0"/>
    <n v="0"/>
    <n v="12"/>
    <x v="1"/>
    <x v="0"/>
    <m/>
    <x v="0"/>
    <m/>
    <x v="0"/>
    <x v="0"/>
    <x v="0"/>
    <x v="0"/>
    <x v="0"/>
  </r>
  <r>
    <x v="1"/>
    <x v="10"/>
    <s v="4212 J"/>
    <x v="95"/>
    <s v="Lahore Regency Hospitality Lahore"/>
    <s v="LDM"/>
    <n v="18"/>
    <s v="9-9.5"/>
    <s v="LDM"/>
    <n v="200"/>
    <x v="0"/>
    <s v="2"/>
    <n v="124.8"/>
    <n v="4"/>
    <m/>
    <x v="0"/>
    <n v="120.8"/>
    <m/>
    <m/>
    <x v="0"/>
    <x v="0"/>
    <n v="0"/>
    <n v="0"/>
    <x v="0"/>
    <x v="0"/>
    <m/>
    <x v="0"/>
    <x v="0"/>
    <x v="0"/>
    <x v="0"/>
    <x v="0"/>
    <n v="0"/>
    <n v="0"/>
    <n v="0"/>
    <n v="12"/>
    <x v="1"/>
    <x v="0"/>
    <m/>
    <x v="0"/>
    <m/>
    <x v="0"/>
    <x v="0"/>
    <x v="0"/>
    <x v="0"/>
    <x v="0"/>
  </r>
  <r>
    <x v="1"/>
    <x v="10"/>
    <s v="4221 J"/>
    <x v="95"/>
    <s v="Wazir Suiting Center Lahore"/>
    <s v="LDM"/>
    <n v="20"/>
    <s v="15-16"/>
    <s v="LDM"/>
    <n v="100"/>
    <x v="0"/>
    <s v="2"/>
    <n v="114.6"/>
    <n v="5.1999999999999993"/>
    <m/>
    <x v="0"/>
    <n v="109.39999999999999"/>
    <m/>
    <m/>
    <x v="0"/>
    <x v="0"/>
    <n v="0"/>
    <n v="0"/>
    <x v="0"/>
    <x v="0"/>
    <m/>
    <x v="0"/>
    <x v="0"/>
    <x v="0"/>
    <x v="0"/>
    <x v="0"/>
    <n v="0"/>
    <n v="0"/>
    <n v="0"/>
    <n v="12"/>
    <x v="1"/>
    <x v="0"/>
    <m/>
    <x v="0"/>
    <m/>
    <x v="0"/>
    <x v="0"/>
    <x v="0"/>
    <x v="0"/>
    <x v="0"/>
  </r>
  <r>
    <x v="1"/>
    <x v="10"/>
    <s v="4202 J"/>
    <x v="95"/>
    <s v="-"/>
    <m/>
    <m/>
    <m/>
    <m/>
    <m/>
    <x v="0"/>
    <s v="2"/>
    <n v="122.6"/>
    <n v="4.8"/>
    <m/>
    <x v="0"/>
    <n v="117.8"/>
    <m/>
    <m/>
    <x v="0"/>
    <x v="0"/>
    <n v="0"/>
    <n v="0"/>
    <x v="0"/>
    <x v="0"/>
    <m/>
    <x v="0"/>
    <x v="0"/>
    <x v="0"/>
    <x v="0"/>
    <x v="0"/>
    <n v="0"/>
    <n v="0"/>
    <n v="0"/>
    <n v="12"/>
    <x v="1"/>
    <x v="0"/>
    <m/>
    <x v="0"/>
    <m/>
    <x v="0"/>
    <x v="0"/>
    <x v="0"/>
    <x v="0"/>
    <x v="0"/>
  </r>
  <r>
    <x v="1"/>
    <x v="10"/>
    <s v="4203 J"/>
    <x v="95"/>
    <s v="-"/>
    <m/>
    <m/>
    <m/>
    <m/>
    <m/>
    <x v="0"/>
    <s v="1"/>
    <n v="61.8"/>
    <n v="2.4"/>
    <m/>
    <x v="0"/>
    <n v="59.4"/>
    <m/>
    <m/>
    <x v="0"/>
    <x v="0"/>
    <n v="0"/>
    <n v="0"/>
    <x v="0"/>
    <x v="0"/>
    <m/>
    <x v="0"/>
    <x v="0"/>
    <x v="0"/>
    <x v="0"/>
    <x v="0"/>
    <n v="0"/>
    <n v="0"/>
    <n v="0"/>
    <n v="12"/>
    <x v="1"/>
    <x v="0"/>
    <m/>
    <x v="0"/>
    <m/>
    <x v="0"/>
    <x v="0"/>
    <x v="0"/>
    <x v="0"/>
    <x v="0"/>
  </r>
  <r>
    <x v="0"/>
    <x v="11"/>
    <s v="4183 J"/>
    <x v="95"/>
    <s v="Afghan Perfum Perhawar"/>
    <s v="LDM"/>
    <n v="25"/>
    <s v="21-22"/>
    <s v="LDM"/>
    <n v="150"/>
    <x v="0"/>
    <s v="1"/>
    <n v="85.6"/>
    <n v="2.5"/>
    <m/>
    <x v="0"/>
    <n v="83.1"/>
    <m/>
    <n v="5"/>
    <x v="0"/>
    <x v="0"/>
    <n v="5"/>
    <n v="8.3333333333333329E-2"/>
    <x v="0"/>
    <x v="0"/>
    <n v="40"/>
    <x v="0"/>
    <x v="0"/>
    <x v="0"/>
    <x v="10"/>
    <x v="0"/>
    <n v="75"/>
    <n v="1.25"/>
    <n v="1.3333333333333333"/>
    <n v="10.666666666666666"/>
    <x v="1"/>
    <x v="0"/>
    <m/>
    <x v="0"/>
    <m/>
    <x v="0"/>
    <x v="0"/>
    <x v="0"/>
    <x v="0"/>
    <x v="0"/>
  </r>
  <r>
    <x v="0"/>
    <x v="11"/>
    <s v="2790/1"/>
    <x v="95"/>
    <s v="SUPER AGRO PAKISTAN"/>
    <s v="LDN"/>
    <s v="28-28.5"/>
    <s v="95±1"/>
    <s v="LDN"/>
    <n v="4750"/>
    <x v="0"/>
    <s v="2"/>
    <n v="157"/>
    <n v="6.8"/>
    <m/>
    <x v="0"/>
    <n v="150.19999999999999"/>
    <m/>
    <m/>
    <x v="0"/>
    <x v="0"/>
    <n v="0"/>
    <n v="0"/>
    <x v="0"/>
    <x v="0"/>
    <m/>
    <x v="0"/>
    <x v="0"/>
    <x v="0"/>
    <x v="0"/>
    <x v="0"/>
    <n v="0"/>
    <n v="0"/>
    <n v="0"/>
    <n v="12"/>
    <x v="1"/>
    <x v="0"/>
    <m/>
    <x v="0"/>
    <m/>
    <x v="0"/>
    <x v="0"/>
    <x v="0"/>
    <x v="0"/>
    <x v="0"/>
  </r>
  <r>
    <x v="0"/>
    <x v="11"/>
    <s v="4228 J"/>
    <x v="95"/>
    <s v="M. Boota Plastic Azam Market Lahore "/>
    <s v="LDN"/>
    <n v="28"/>
    <s v="14"/>
    <s v="LDN"/>
    <n v="200"/>
    <x v="0"/>
    <s v="2"/>
    <n v="175.2"/>
    <n v="4.8"/>
    <m/>
    <x v="0"/>
    <n v="170.39999999999998"/>
    <m/>
    <m/>
    <x v="0"/>
    <x v="0"/>
    <n v="0"/>
    <n v="0"/>
    <x v="0"/>
    <x v="0"/>
    <m/>
    <x v="0"/>
    <x v="0"/>
    <x v="0"/>
    <x v="0"/>
    <x v="0"/>
    <n v="0"/>
    <n v="0"/>
    <n v="0"/>
    <n v="12"/>
    <x v="1"/>
    <x v="0"/>
    <m/>
    <x v="0"/>
    <m/>
    <x v="0"/>
    <x v="0"/>
    <x v="0"/>
    <x v="0"/>
    <x v="0"/>
  </r>
  <r>
    <x v="1"/>
    <x v="11"/>
    <s v="2790/1"/>
    <x v="95"/>
    <s v="SUPER AGRO PAKISTAN"/>
    <s v="LDN"/>
    <s v="28-28.5"/>
    <s v="95±1"/>
    <s v="LDN"/>
    <n v="4750"/>
    <x v="0"/>
    <s v="4"/>
    <n v="452.8"/>
    <n v="14.4"/>
    <m/>
    <x v="0"/>
    <n v="438.40000000000003"/>
    <m/>
    <m/>
    <x v="0"/>
    <x v="0"/>
    <n v="0"/>
    <n v="0"/>
    <x v="0"/>
    <x v="0"/>
    <m/>
    <x v="0"/>
    <x v="0"/>
    <x v="0"/>
    <x v="0"/>
    <x v="0"/>
    <n v="0"/>
    <n v="0"/>
    <n v="0"/>
    <n v="12"/>
    <x v="1"/>
    <x v="0"/>
    <m/>
    <x v="0"/>
    <m/>
    <x v="0"/>
    <x v="0"/>
    <x v="0"/>
    <x v="0"/>
    <x v="0"/>
  </r>
  <r>
    <x v="0"/>
    <x v="12"/>
    <s v="4250 J"/>
    <x v="95"/>
    <s v="Usman Ghani Textile Mills Sheikhpura"/>
    <s v="LDN"/>
    <n v="30"/>
    <s v="10"/>
    <s v="LDN"/>
    <n v="250"/>
    <x v="0"/>
    <s v="4"/>
    <n v="274.40000000000003"/>
    <n v="11.2"/>
    <m/>
    <x v="0"/>
    <n v="263.20000000000005"/>
    <m/>
    <m/>
    <x v="0"/>
    <x v="0"/>
    <n v="0"/>
    <n v="0"/>
    <x v="0"/>
    <x v="0"/>
    <m/>
    <x v="0"/>
    <x v="0"/>
    <x v="0"/>
    <x v="0"/>
    <x v="0"/>
    <n v="0"/>
    <n v="0"/>
    <n v="0"/>
    <n v="12"/>
    <x v="1"/>
    <x v="0"/>
    <m/>
    <x v="0"/>
    <m/>
    <x v="0"/>
    <x v="0"/>
    <x v="0"/>
    <x v="0"/>
    <x v="0"/>
  </r>
  <r>
    <x v="0"/>
    <x v="12"/>
    <s v="4235 J"/>
    <x v="95"/>
    <s v="Alam bread Shahdrah"/>
    <s v="LDN"/>
    <s v="28 شیٹ"/>
    <s v="4-4.5/8-9"/>
    <s v="LDN"/>
    <n v="120"/>
    <x v="0"/>
    <s v="2"/>
    <n v="136.80000000000001"/>
    <n v="6"/>
    <m/>
    <x v="0"/>
    <n v="130.80000000000001"/>
    <m/>
    <m/>
    <x v="0"/>
    <x v="0"/>
    <n v="0"/>
    <n v="0"/>
    <x v="0"/>
    <x v="0"/>
    <m/>
    <x v="0"/>
    <x v="0"/>
    <x v="0"/>
    <x v="0"/>
    <x v="0"/>
    <n v="0"/>
    <n v="0"/>
    <n v="0"/>
    <n v="12"/>
    <x v="1"/>
    <x v="0"/>
    <m/>
    <x v="0"/>
    <m/>
    <x v="0"/>
    <x v="0"/>
    <x v="0"/>
    <x v="0"/>
    <x v="0"/>
  </r>
  <r>
    <x v="0"/>
    <x v="12"/>
    <s v="4236 J"/>
    <x v="95"/>
    <s v="Alam bread Shahdrah"/>
    <s v="LDN"/>
    <s v="32 شیٹ"/>
    <s v="4-4.5/8-9"/>
    <s v="LDN"/>
    <n v="210"/>
    <x v="0"/>
    <s v="2"/>
    <n v="212.39999999999998"/>
    <n v="6.4"/>
    <m/>
    <x v="0"/>
    <n v="205.99999999999997"/>
    <m/>
    <m/>
    <x v="0"/>
    <x v="0"/>
    <n v="0"/>
    <n v="0"/>
    <x v="0"/>
    <x v="0"/>
    <m/>
    <x v="0"/>
    <x v="0"/>
    <x v="0"/>
    <x v="0"/>
    <x v="0"/>
    <n v="0"/>
    <n v="0"/>
    <n v="0"/>
    <n v="12"/>
    <x v="1"/>
    <x v="0"/>
    <m/>
    <x v="0"/>
    <m/>
    <x v="0"/>
    <x v="0"/>
    <x v="0"/>
    <x v="0"/>
    <x v="0"/>
  </r>
  <r>
    <x v="0"/>
    <x v="12"/>
    <s v="4129 J"/>
    <x v="95"/>
    <s v="Alam Baker Hafizabad"/>
    <s v="LDN"/>
    <s v="32 شیٹ"/>
    <s v="4-4.5/8-9"/>
    <s v="LDN"/>
    <n v="150"/>
    <x v="0"/>
    <s v="2"/>
    <n v="148"/>
    <n v="6"/>
    <m/>
    <x v="0"/>
    <n v="142"/>
    <m/>
    <m/>
    <x v="0"/>
    <x v="0"/>
    <n v="0"/>
    <n v="0"/>
    <x v="0"/>
    <x v="0"/>
    <m/>
    <x v="0"/>
    <x v="0"/>
    <x v="0"/>
    <x v="0"/>
    <x v="0"/>
    <n v="0"/>
    <n v="0"/>
    <n v="0"/>
    <n v="12"/>
    <x v="1"/>
    <x v="0"/>
    <m/>
    <x v="0"/>
    <m/>
    <x v="0"/>
    <x v="0"/>
    <x v="0"/>
    <x v="0"/>
    <x v="0"/>
  </r>
  <r>
    <x v="1"/>
    <x v="12"/>
    <s v="2154 F"/>
    <x v="95"/>
    <s v="Usman Amin"/>
    <s v="LDN"/>
    <s v="34 SHEET"/>
    <s v="3.3.25/6.6.5"/>
    <s v="LDN"/>
    <n v="400"/>
    <x v="0"/>
    <s v="6"/>
    <n v="403.59999999999997"/>
    <n v="16.799999999999997"/>
    <m/>
    <x v="0"/>
    <n v="386.79999999999995"/>
    <m/>
    <n v="30"/>
    <x v="0"/>
    <x v="0"/>
    <n v="30"/>
    <n v="0.5"/>
    <x v="0"/>
    <x v="0"/>
    <m/>
    <x v="0"/>
    <x v="0"/>
    <x v="0"/>
    <x v="0"/>
    <x v="0"/>
    <n v="0"/>
    <n v="0"/>
    <n v="0.5"/>
    <n v="11.5"/>
    <x v="1"/>
    <x v="0"/>
    <m/>
    <x v="0"/>
    <m/>
    <x v="0"/>
    <x v="0"/>
    <x v="0"/>
    <x v="0"/>
    <x v="0"/>
  </r>
  <r>
    <x v="1"/>
    <x v="12"/>
    <s v="4122 J"/>
    <x v="95"/>
    <s v="Ghousia Collection Lahore"/>
    <s v="LDM"/>
    <s v="28+5.5+5.5"/>
    <s v="28-28.5/56-57"/>
    <s v="LDM"/>
    <n v="100"/>
    <x v="0"/>
    <s v="2"/>
    <n v="113.2"/>
    <n v="7.2"/>
    <m/>
    <x v="0"/>
    <n v="106"/>
    <m/>
    <m/>
    <x v="0"/>
    <x v="0"/>
    <n v="0"/>
    <n v="0"/>
    <x v="0"/>
    <x v="0"/>
    <m/>
    <x v="0"/>
    <x v="0"/>
    <x v="0"/>
    <x v="0"/>
    <x v="0"/>
    <n v="0"/>
    <n v="0"/>
    <n v="0"/>
    <n v="12"/>
    <x v="1"/>
    <x v="0"/>
    <m/>
    <x v="0"/>
    <m/>
    <x v="0"/>
    <x v="0"/>
    <x v="0"/>
    <x v="0"/>
    <x v="0"/>
  </r>
  <r>
    <x v="1"/>
    <x v="12"/>
    <s v="4161 J"/>
    <x v="95"/>
    <s v="Karss Paint Industry Pvt LTD"/>
    <s v="LDM"/>
    <n v="17"/>
    <s v="7.5-8"/>
    <s v="LDM"/>
    <n v="3"/>
    <x v="0"/>
    <s v="2"/>
    <n v="244.6"/>
    <n v="3.4000000000000004"/>
    <m/>
    <x v="0"/>
    <n v="241.2"/>
    <m/>
    <m/>
    <x v="0"/>
    <x v="0"/>
    <n v="0"/>
    <n v="0"/>
    <x v="0"/>
    <x v="0"/>
    <m/>
    <x v="0"/>
    <x v="0"/>
    <x v="0"/>
    <x v="0"/>
    <x v="0"/>
    <n v="0"/>
    <n v="0"/>
    <n v="0"/>
    <n v="12"/>
    <x v="1"/>
    <x v="0"/>
    <m/>
    <x v="0"/>
    <m/>
    <x v="0"/>
    <x v="0"/>
    <x v="0"/>
    <x v="0"/>
    <x v="0"/>
  </r>
  <r>
    <x v="0"/>
    <x v="9"/>
    <s v="4207 J"/>
    <x v="96"/>
    <s v="Bolan Pastry Shop Quita"/>
    <s v="LDN"/>
    <n v="8"/>
    <s v="6-6.5"/>
    <s v="LDN"/>
    <n v="200"/>
    <x v="0"/>
    <s v="1"/>
    <n v="38.4"/>
    <n v="1"/>
    <n v="9"/>
    <x v="0"/>
    <n v="37.4"/>
    <m/>
    <n v="10"/>
    <x v="0"/>
    <x v="7"/>
    <n v="40"/>
    <n v="0.66666666666666663"/>
    <x v="0"/>
    <x v="2"/>
    <m/>
    <x v="0"/>
    <x v="0"/>
    <x v="0"/>
    <x v="0"/>
    <x v="0"/>
    <n v="20"/>
    <n v="0.33333333333333331"/>
    <n v="1"/>
    <n v="11"/>
    <x v="1"/>
    <x v="0"/>
    <n v="2019.5"/>
    <x v="0"/>
    <m/>
    <x v="0"/>
    <x v="0"/>
    <x v="0"/>
    <x v="0"/>
    <x v="0"/>
  </r>
  <r>
    <x v="0"/>
    <x v="9"/>
    <s v="2147 F"/>
    <x v="96"/>
    <s v="Usman Amin"/>
    <s v="LDN"/>
    <n v="15"/>
    <s v="10.5-11"/>
    <s v="LDN"/>
    <n v="35"/>
    <x v="0"/>
    <s v="1"/>
    <n v="33.799999999999997"/>
    <n v="1.7"/>
    <m/>
    <x v="0"/>
    <n v="32.099999999999994"/>
    <m/>
    <m/>
    <x v="0"/>
    <x v="0"/>
    <n v="0"/>
    <n v="0"/>
    <x v="0"/>
    <x v="0"/>
    <m/>
    <x v="0"/>
    <x v="0"/>
    <x v="0"/>
    <x v="0"/>
    <x v="0"/>
    <n v="0"/>
    <n v="0"/>
    <n v="0"/>
    <n v="12"/>
    <x v="1"/>
    <x v="0"/>
    <m/>
    <x v="0"/>
    <m/>
    <x v="0"/>
    <x v="0"/>
    <x v="0"/>
    <x v="0"/>
    <x v="0"/>
  </r>
  <r>
    <x v="0"/>
    <x v="9"/>
    <s v="2790/1"/>
    <x v="96"/>
    <s v="SUPER AGRO PAKISTAN"/>
    <s v="LDN"/>
    <s v="28-28.5"/>
    <s v="95±1"/>
    <s v="LDN"/>
    <n v="4750"/>
    <x v="0"/>
    <s v="2"/>
    <n v="246"/>
    <n v="5.6"/>
    <m/>
    <x v="0"/>
    <n v="240.4"/>
    <m/>
    <m/>
    <x v="0"/>
    <x v="0"/>
    <n v="0"/>
    <n v="0"/>
    <x v="0"/>
    <x v="0"/>
    <m/>
    <x v="0"/>
    <x v="0"/>
    <x v="0"/>
    <x v="0"/>
    <x v="0"/>
    <n v="0"/>
    <n v="0"/>
    <n v="0"/>
    <n v="12"/>
    <x v="1"/>
    <x v="0"/>
    <m/>
    <x v="0"/>
    <m/>
    <x v="0"/>
    <x v="0"/>
    <x v="0"/>
    <x v="0"/>
    <x v="0"/>
  </r>
  <r>
    <x v="1"/>
    <x v="9"/>
    <s v="4282 J"/>
    <x v="96"/>
    <s v="Fancy Garments Kamoki"/>
    <s v="LD پیلا"/>
    <n v="20"/>
    <s v="11-11.5"/>
    <s v="LDM"/>
    <n v="200"/>
    <x v="0"/>
    <s v="4"/>
    <n v="234.79999999999998"/>
    <n v="8.6999999999999993"/>
    <n v="35"/>
    <x v="0"/>
    <n v="226.1"/>
    <m/>
    <n v="20"/>
    <x v="0"/>
    <x v="0"/>
    <n v="20"/>
    <n v="0.33333333333333331"/>
    <x v="0"/>
    <x v="0"/>
    <m/>
    <x v="0"/>
    <x v="0"/>
    <x v="0"/>
    <x v="0"/>
    <x v="3"/>
    <n v="20"/>
    <n v="0.33333333333333331"/>
    <n v="0.66666666666666663"/>
    <n v="11.333333333333334"/>
    <x v="1"/>
    <x v="0"/>
    <m/>
    <x v="0"/>
    <m/>
    <x v="0"/>
    <x v="0"/>
    <x v="0"/>
    <x v="0"/>
    <x v="0"/>
  </r>
  <r>
    <x v="1"/>
    <x v="9"/>
    <s v="2783/1"/>
    <x v="96"/>
    <s v="PT-01"/>
    <s v="LD سرخ"/>
    <n v="4"/>
    <n v="80"/>
    <s v="LD سرخ"/>
    <n v="2500"/>
    <x v="0"/>
    <s v="2"/>
    <n v="61.8"/>
    <n v="0.8"/>
    <m/>
    <x v="0"/>
    <n v="61"/>
    <m/>
    <m/>
    <x v="0"/>
    <x v="0"/>
    <n v="0"/>
    <n v="0"/>
    <x v="0"/>
    <x v="0"/>
    <m/>
    <x v="0"/>
    <x v="0"/>
    <x v="0"/>
    <x v="0"/>
    <x v="0"/>
    <n v="0"/>
    <n v="0"/>
    <n v="0"/>
    <n v="12"/>
    <x v="1"/>
    <x v="0"/>
    <m/>
    <x v="0"/>
    <m/>
    <x v="0"/>
    <x v="0"/>
    <x v="0"/>
    <x v="0"/>
    <x v="0"/>
  </r>
  <r>
    <x v="0"/>
    <x v="10"/>
    <s v="4203 J"/>
    <x v="96"/>
    <s v="-"/>
    <m/>
    <m/>
    <m/>
    <m/>
    <m/>
    <x v="0"/>
    <s v="1"/>
    <n v="58.4"/>
    <n v="2.4"/>
    <n v="10"/>
    <x v="0"/>
    <n v="56"/>
    <m/>
    <n v="5"/>
    <x v="0"/>
    <x v="0"/>
    <n v="5"/>
    <n v="8.3333333333333329E-2"/>
    <x v="0"/>
    <x v="0"/>
    <m/>
    <x v="0"/>
    <x v="0"/>
    <x v="0"/>
    <x v="0"/>
    <x v="0"/>
    <n v="0"/>
    <n v="0"/>
    <n v="8.3333333333333329E-2"/>
    <n v="11.916666666666666"/>
    <x v="1"/>
    <x v="0"/>
    <m/>
    <x v="0"/>
    <m/>
    <x v="0"/>
    <x v="0"/>
    <x v="0"/>
    <x v="0"/>
    <x v="0"/>
  </r>
  <r>
    <x v="0"/>
    <x v="10"/>
    <s v="4254 J"/>
    <x v="96"/>
    <s v="Alam Printers Butkhela"/>
    <s v="LDM"/>
    <n v="20"/>
    <s v="15-16"/>
    <s v="LDM"/>
    <n v="100"/>
    <x v="0"/>
    <s v="2"/>
    <n v="127.60000000000001"/>
    <n v="4.8"/>
    <m/>
    <x v="0"/>
    <n v="122.80000000000001"/>
    <m/>
    <m/>
    <x v="0"/>
    <x v="0"/>
    <n v="0"/>
    <n v="0"/>
    <x v="0"/>
    <x v="0"/>
    <m/>
    <x v="0"/>
    <x v="0"/>
    <x v="0"/>
    <x v="0"/>
    <x v="0"/>
    <n v="0"/>
    <n v="0"/>
    <n v="0"/>
    <n v="12"/>
    <x v="1"/>
    <x v="0"/>
    <m/>
    <x v="0"/>
    <m/>
    <x v="0"/>
    <x v="0"/>
    <x v="0"/>
    <x v="0"/>
    <x v="0"/>
  </r>
  <r>
    <x v="0"/>
    <x v="10"/>
    <s v="4220 J"/>
    <x v="96"/>
    <s v="Wazir Suiting Center Lahore"/>
    <s v="LDM"/>
    <n v="18"/>
    <s v="14-15"/>
    <s v="LDM"/>
    <n v="100"/>
    <x v="0"/>
    <s v="2"/>
    <n v="101.4"/>
    <n v="4.2"/>
    <m/>
    <x v="0"/>
    <n v="97.2"/>
    <m/>
    <m/>
    <x v="0"/>
    <x v="0"/>
    <n v="0"/>
    <n v="0"/>
    <x v="0"/>
    <x v="0"/>
    <m/>
    <x v="0"/>
    <x v="0"/>
    <x v="0"/>
    <x v="0"/>
    <x v="0"/>
    <n v="0"/>
    <n v="0"/>
    <n v="0"/>
    <n v="12"/>
    <x v="1"/>
    <x v="0"/>
    <m/>
    <x v="0"/>
    <m/>
    <x v="0"/>
    <x v="0"/>
    <x v="0"/>
    <x v="0"/>
    <x v="0"/>
  </r>
  <r>
    <x v="0"/>
    <x v="10"/>
    <s v="4256 J"/>
    <x v="96"/>
    <s v="Arshad Lafafa Muchant Gujar Khan"/>
    <s v="LDM"/>
    <s v="8-2.5-2.5"/>
    <s v="7.5-8/15-16"/>
    <s v="LDM"/>
    <n v="110"/>
    <x v="0"/>
    <s v="3"/>
    <n v="119.8"/>
    <n v="2.4000000000000004"/>
    <m/>
    <x v="0"/>
    <n v="117.39999999999999"/>
    <m/>
    <m/>
    <x v="0"/>
    <x v="0"/>
    <n v="0"/>
    <n v="0"/>
    <x v="0"/>
    <x v="0"/>
    <m/>
    <x v="0"/>
    <x v="0"/>
    <x v="0"/>
    <x v="0"/>
    <x v="0"/>
    <n v="0"/>
    <n v="0"/>
    <n v="0"/>
    <n v="12"/>
    <x v="1"/>
    <x v="0"/>
    <m/>
    <x v="0"/>
    <m/>
    <x v="0"/>
    <x v="0"/>
    <x v="0"/>
    <x v="0"/>
    <x v="0"/>
  </r>
  <r>
    <x v="1"/>
    <x v="10"/>
    <s v="4223 J"/>
    <x v="96"/>
    <s v="Fancy Garments Kamoki"/>
    <s v="LDM"/>
    <s v="8+2+2"/>
    <s v="5-5.5/10-11"/>
    <s v="LDM"/>
    <n v="110"/>
    <x v="0"/>
    <s v="4"/>
    <n v="125.4"/>
    <n v="4"/>
    <n v="29"/>
    <x v="0"/>
    <n v="121.4"/>
    <m/>
    <n v="15"/>
    <x v="0"/>
    <x v="0"/>
    <n v="15"/>
    <n v="0.25"/>
    <x v="0"/>
    <x v="0"/>
    <m/>
    <x v="0"/>
    <x v="0"/>
    <x v="0"/>
    <x v="0"/>
    <x v="0"/>
    <n v="0"/>
    <n v="0"/>
    <n v="0.25"/>
    <n v="11.75"/>
    <x v="1"/>
    <x v="0"/>
    <m/>
    <x v="0"/>
    <m/>
    <x v="0"/>
    <x v="0"/>
    <x v="0"/>
    <x v="0"/>
    <x v="0"/>
  </r>
  <r>
    <x v="1"/>
    <x v="10"/>
    <s v="4257 J"/>
    <x v="96"/>
    <s v="Arshad Lafafa Muchant Gujar Khan"/>
    <s v="LDM"/>
    <s v="10+2.5+2.5"/>
    <s v="7.5-8/15-16"/>
    <s v="LDM"/>
    <n v="110"/>
    <x v="0"/>
    <s v="4"/>
    <n v="124.6"/>
    <n v="5"/>
    <m/>
    <x v="0"/>
    <n v="119.6"/>
    <m/>
    <m/>
    <x v="0"/>
    <x v="0"/>
    <n v="0"/>
    <n v="0"/>
    <x v="0"/>
    <x v="0"/>
    <m/>
    <x v="0"/>
    <x v="0"/>
    <x v="0"/>
    <x v="0"/>
    <x v="0"/>
    <n v="0"/>
    <n v="0"/>
    <n v="0"/>
    <n v="12"/>
    <x v="1"/>
    <x v="0"/>
    <m/>
    <x v="0"/>
    <m/>
    <x v="0"/>
    <x v="0"/>
    <x v="0"/>
    <x v="0"/>
    <x v="0"/>
  </r>
  <r>
    <x v="1"/>
    <x v="10"/>
    <s v="4224 J"/>
    <x v="96"/>
    <s v="Fancy Garments Kamoki"/>
    <s v="LDM"/>
    <s v="12+3+3"/>
    <s v="6-6.5/12-13"/>
    <s v="LDM"/>
    <n v="110"/>
    <x v="0"/>
    <s v="3"/>
    <n v="121"/>
    <n v="4.4000000000000004"/>
    <m/>
    <x v="0"/>
    <n v="116.6"/>
    <m/>
    <m/>
    <x v="0"/>
    <x v="0"/>
    <n v="0"/>
    <n v="0"/>
    <x v="0"/>
    <x v="0"/>
    <m/>
    <x v="0"/>
    <x v="0"/>
    <x v="0"/>
    <x v="0"/>
    <x v="0"/>
    <n v="0"/>
    <n v="0"/>
    <n v="0"/>
    <n v="12"/>
    <x v="1"/>
    <x v="0"/>
    <m/>
    <x v="0"/>
    <m/>
    <x v="0"/>
    <x v="0"/>
    <x v="0"/>
    <x v="0"/>
    <x v="0"/>
  </r>
  <r>
    <x v="0"/>
    <x v="11"/>
    <s v="4288 J"/>
    <x v="96"/>
    <s v="H A Industry Peshawar"/>
    <s v="LDN"/>
    <n v="22"/>
    <s v="-"/>
    <s v="LDN"/>
    <n v="160"/>
    <x v="0"/>
    <s v="3"/>
    <n v="156"/>
    <n v="5.4"/>
    <n v="16.3"/>
    <x v="0"/>
    <n v="150.6"/>
    <m/>
    <m/>
    <x v="0"/>
    <x v="0"/>
    <n v="0"/>
    <n v="0"/>
    <x v="0"/>
    <x v="0"/>
    <m/>
    <x v="8"/>
    <x v="0"/>
    <x v="0"/>
    <x v="3"/>
    <x v="0"/>
    <n v="55"/>
    <n v="0.91666666666666663"/>
    <n v="0.91666666666666663"/>
    <n v="11.083333333333334"/>
    <x v="1"/>
    <x v="0"/>
    <m/>
    <x v="0"/>
    <m/>
    <x v="0"/>
    <x v="0"/>
    <x v="0"/>
    <x v="0"/>
    <x v="0"/>
  </r>
  <r>
    <x v="0"/>
    <x v="11"/>
    <s v="4287 J"/>
    <x v="96"/>
    <s v="H A Industry Peshawar"/>
    <s v="LDN"/>
    <n v="22"/>
    <s v="-"/>
    <s v="LDN"/>
    <n v="600"/>
    <x v="0"/>
    <s v="2"/>
    <n v="104.6"/>
    <n v="5.8"/>
    <m/>
    <x v="0"/>
    <n v="98.8"/>
    <m/>
    <m/>
    <x v="0"/>
    <x v="0"/>
    <n v="0"/>
    <n v="0"/>
    <x v="0"/>
    <x v="0"/>
    <m/>
    <x v="0"/>
    <x v="0"/>
    <x v="0"/>
    <x v="0"/>
    <x v="0"/>
    <n v="0"/>
    <n v="0"/>
    <n v="0"/>
    <n v="12"/>
    <x v="1"/>
    <x v="0"/>
    <m/>
    <x v="0"/>
    <m/>
    <x v="0"/>
    <x v="0"/>
    <x v="0"/>
    <x v="0"/>
    <x v="0"/>
  </r>
  <r>
    <x v="0"/>
    <x v="11"/>
    <s v="4289 J"/>
    <x v="96"/>
    <s v="H A Industry Peshawar"/>
    <s v="LDN"/>
    <n v="22"/>
    <s v="-"/>
    <s v="LDN"/>
    <n v="150"/>
    <x v="0"/>
    <s v="2"/>
    <n v="112.6"/>
    <n v="4.3499999999999996"/>
    <m/>
    <x v="0"/>
    <n v="108.25"/>
    <m/>
    <m/>
    <x v="0"/>
    <x v="0"/>
    <n v="0"/>
    <n v="0"/>
    <x v="0"/>
    <x v="0"/>
    <m/>
    <x v="0"/>
    <x v="0"/>
    <x v="0"/>
    <x v="0"/>
    <x v="0"/>
    <n v="0"/>
    <n v="0"/>
    <n v="0"/>
    <n v="12"/>
    <x v="1"/>
    <x v="0"/>
    <m/>
    <x v="0"/>
    <m/>
    <x v="0"/>
    <x v="0"/>
    <x v="0"/>
    <x v="0"/>
    <x v="0"/>
  </r>
  <r>
    <x v="1"/>
    <x v="11"/>
    <s v="4289 J"/>
    <x v="96"/>
    <s v="H A Industry Peshawar"/>
    <s v="LDN"/>
    <n v="22"/>
    <s v="-"/>
    <s v="LDN"/>
    <n v="150"/>
    <x v="0"/>
    <s v="1"/>
    <n v="37.799999999999997"/>
    <n v="1.5"/>
    <n v="24"/>
    <x v="0"/>
    <n v="36.299999999999997"/>
    <m/>
    <m/>
    <x v="0"/>
    <x v="0"/>
    <n v="0"/>
    <n v="0"/>
    <x v="0"/>
    <x v="0"/>
    <m/>
    <x v="9"/>
    <x v="0"/>
    <x v="0"/>
    <x v="0"/>
    <x v="0"/>
    <n v="15"/>
    <n v="0.25"/>
    <n v="0.25"/>
    <n v="11.75"/>
    <x v="1"/>
    <x v="0"/>
    <m/>
    <x v="0"/>
    <m/>
    <x v="0"/>
    <x v="0"/>
    <x v="0"/>
    <x v="0"/>
    <x v="0"/>
  </r>
  <r>
    <x v="1"/>
    <x v="11"/>
    <s v="4290 J"/>
    <x v="96"/>
    <s v="H A Industry Peshawar"/>
    <s v="LDN"/>
    <n v="22"/>
    <s v="-"/>
    <s v="LDN"/>
    <n v="620"/>
    <x v="0"/>
    <s v="8"/>
    <n v="338.2"/>
    <n v="14.200000000000001"/>
    <m/>
    <x v="0"/>
    <n v="324"/>
    <m/>
    <m/>
    <x v="0"/>
    <x v="0"/>
    <n v="0"/>
    <n v="0"/>
    <x v="0"/>
    <x v="0"/>
    <m/>
    <x v="0"/>
    <x v="0"/>
    <x v="0"/>
    <x v="0"/>
    <x v="0"/>
    <n v="0"/>
    <n v="0"/>
    <n v="0"/>
    <n v="12"/>
    <x v="1"/>
    <x v="0"/>
    <m/>
    <x v="0"/>
    <m/>
    <x v="0"/>
    <x v="0"/>
    <x v="0"/>
    <x v="0"/>
    <x v="0"/>
  </r>
  <r>
    <x v="0"/>
    <x v="12"/>
    <s v="4161 J"/>
    <x v="96"/>
    <s v="Karss Paint Industry Pvt LTD"/>
    <s v="LDM"/>
    <n v="17"/>
    <s v="7.5-8"/>
    <s v="LDM"/>
    <n v="3"/>
    <x v="0"/>
    <s v="1"/>
    <n v="130.19999999999999"/>
    <n v="2"/>
    <n v="29"/>
    <x v="0"/>
    <n v="128.19999999999999"/>
    <m/>
    <n v="20"/>
    <x v="0"/>
    <x v="0"/>
    <n v="20"/>
    <n v="0.33333333333333331"/>
    <x v="0"/>
    <x v="0"/>
    <m/>
    <x v="0"/>
    <x v="0"/>
    <x v="0"/>
    <x v="0"/>
    <x v="0"/>
    <n v="0"/>
    <n v="0"/>
    <n v="0.33333333333333331"/>
    <n v="11.666666666666666"/>
    <x v="1"/>
    <x v="0"/>
    <m/>
    <x v="0"/>
    <m/>
    <x v="0"/>
    <x v="0"/>
    <x v="0"/>
    <x v="0"/>
    <x v="0"/>
  </r>
  <r>
    <x v="0"/>
    <x v="12"/>
    <s v="4181 J"/>
    <x v="96"/>
    <s v="Shoaib Auto RWP"/>
    <s v="LDM"/>
    <n v="22"/>
    <s v="15.5-16"/>
    <s v="LDM"/>
    <n v="100"/>
    <x v="0"/>
    <s v="2"/>
    <n v="110.8"/>
    <n v="3.6"/>
    <m/>
    <x v="0"/>
    <n v="107.2"/>
    <m/>
    <m/>
    <x v="0"/>
    <x v="0"/>
    <n v="0"/>
    <n v="0"/>
    <x v="0"/>
    <x v="0"/>
    <m/>
    <x v="0"/>
    <x v="0"/>
    <x v="0"/>
    <x v="0"/>
    <x v="0"/>
    <n v="0"/>
    <n v="0"/>
    <n v="0"/>
    <n v="12"/>
    <x v="1"/>
    <x v="0"/>
    <m/>
    <x v="0"/>
    <m/>
    <x v="0"/>
    <x v="0"/>
    <x v="0"/>
    <x v="0"/>
    <x v="0"/>
  </r>
  <r>
    <x v="0"/>
    <x v="12"/>
    <s v="4124 J"/>
    <x v="96"/>
    <s v="K.D Auto Parts LHR"/>
    <s v="LDM"/>
    <n v="22"/>
    <s v="6-6.5"/>
    <s v="LDM"/>
    <n v="200"/>
    <x v="0"/>
    <s v="4"/>
    <n v="206.8"/>
    <n v="8.1999999999999993"/>
    <m/>
    <x v="0"/>
    <n v="198.60000000000002"/>
    <m/>
    <m/>
    <x v="0"/>
    <x v="0"/>
    <n v="0"/>
    <n v="0"/>
    <x v="0"/>
    <x v="0"/>
    <m/>
    <x v="0"/>
    <x v="0"/>
    <x v="0"/>
    <x v="0"/>
    <x v="0"/>
    <n v="0"/>
    <n v="0"/>
    <n v="0"/>
    <n v="12"/>
    <x v="1"/>
    <x v="0"/>
    <m/>
    <x v="0"/>
    <m/>
    <x v="0"/>
    <x v="0"/>
    <x v="0"/>
    <x v="0"/>
    <x v="0"/>
  </r>
  <r>
    <x v="0"/>
    <x v="12"/>
    <s v="4125 J"/>
    <x v="96"/>
    <s v="K.D Auto Parts LHR"/>
    <s v="LDM"/>
    <n v="26"/>
    <s v="6-6.5"/>
    <s v="LDM"/>
    <n v="100"/>
    <x v="0"/>
    <s v="2"/>
    <n v="107"/>
    <n v="6.4"/>
    <m/>
    <x v="0"/>
    <n v="100.6"/>
    <m/>
    <m/>
    <x v="0"/>
    <x v="0"/>
    <n v="0"/>
    <n v="0"/>
    <x v="0"/>
    <x v="0"/>
    <m/>
    <x v="0"/>
    <x v="0"/>
    <x v="0"/>
    <x v="0"/>
    <x v="0"/>
    <n v="0"/>
    <n v="0"/>
    <n v="0"/>
    <n v="12"/>
    <x v="1"/>
    <x v="0"/>
    <m/>
    <x v="0"/>
    <m/>
    <x v="0"/>
    <x v="0"/>
    <x v="0"/>
    <x v="0"/>
    <x v="0"/>
  </r>
  <r>
    <x v="0"/>
    <x v="12"/>
    <s v="4222 J"/>
    <x v="96"/>
    <s v="New Shareefi Jewalars and Shoes Lahore"/>
    <s v="LDM"/>
    <n v="23"/>
    <s v="13-14"/>
    <s v="LDM"/>
    <n v="90"/>
    <x v="0"/>
    <s v="2"/>
    <n v="92.4"/>
    <n v="4"/>
    <m/>
    <x v="0"/>
    <n v="88.4"/>
    <m/>
    <m/>
    <x v="0"/>
    <x v="0"/>
    <n v="0"/>
    <n v="0"/>
    <x v="0"/>
    <x v="0"/>
    <m/>
    <x v="0"/>
    <x v="0"/>
    <x v="0"/>
    <x v="0"/>
    <x v="0"/>
    <n v="0"/>
    <n v="0"/>
    <n v="0"/>
    <n v="12"/>
    <x v="1"/>
    <x v="0"/>
    <m/>
    <x v="0"/>
    <m/>
    <x v="0"/>
    <x v="0"/>
    <x v="0"/>
    <x v="0"/>
    <x v="0"/>
  </r>
  <r>
    <x v="0"/>
    <x v="12"/>
    <s v="4296 J"/>
    <x v="96"/>
    <s v="Umair PP  Adda Crown C/O Majistice Plastice"/>
    <s v="LDM"/>
    <n v="17"/>
    <s v="12-13"/>
    <s v="LDM"/>
    <n v="100"/>
    <x v="0"/>
    <s v="1"/>
    <n v="46.4"/>
    <n v="2"/>
    <m/>
    <x v="0"/>
    <n v="44.4"/>
    <m/>
    <m/>
    <x v="0"/>
    <x v="0"/>
    <n v="0"/>
    <n v="0"/>
    <x v="0"/>
    <x v="0"/>
    <m/>
    <x v="0"/>
    <x v="0"/>
    <x v="0"/>
    <x v="0"/>
    <x v="0"/>
    <n v="0"/>
    <n v="0"/>
    <n v="0"/>
    <n v="12"/>
    <x v="1"/>
    <x v="0"/>
    <m/>
    <x v="0"/>
    <m/>
    <x v="0"/>
    <x v="0"/>
    <x v="0"/>
    <x v="0"/>
    <x v="0"/>
  </r>
  <r>
    <x v="1"/>
    <x v="12"/>
    <s v="4296 J"/>
    <x v="96"/>
    <s v="Umair PP  Adda Crown C/O Majistice Plastice"/>
    <s v="LDM"/>
    <n v="17"/>
    <s v="12-13"/>
    <s v="LDM"/>
    <n v="100"/>
    <x v="0"/>
    <s v="1"/>
    <n v="49.2"/>
    <n v="2"/>
    <n v="18"/>
    <x v="0"/>
    <n v="47.2"/>
    <m/>
    <n v="15"/>
    <x v="0"/>
    <x v="0"/>
    <n v="15"/>
    <n v="0.25"/>
    <x v="0"/>
    <x v="0"/>
    <m/>
    <x v="0"/>
    <x v="0"/>
    <x v="0"/>
    <x v="0"/>
    <x v="0"/>
    <n v="0"/>
    <n v="0"/>
    <n v="0.25"/>
    <n v="11.75"/>
    <x v="1"/>
    <x v="0"/>
    <m/>
    <x v="0"/>
    <m/>
    <x v="0"/>
    <x v="0"/>
    <x v="0"/>
    <x v="0"/>
    <x v="0"/>
  </r>
  <r>
    <x v="1"/>
    <x v="12"/>
    <s v="2790/1"/>
    <x v="96"/>
    <s v="SUPER AGRO PAKISTAN"/>
    <s v="LDN"/>
    <s v="28-28.5"/>
    <s v="95±1"/>
    <s v="LDN"/>
    <n v="4750"/>
    <x v="0"/>
    <s v="5"/>
    <n v="634"/>
    <n v="17"/>
    <m/>
    <x v="0"/>
    <n v="617"/>
    <m/>
    <m/>
    <x v="0"/>
    <x v="0"/>
    <n v="0"/>
    <n v="0"/>
    <x v="0"/>
    <x v="0"/>
    <m/>
    <x v="0"/>
    <x v="0"/>
    <x v="0"/>
    <x v="0"/>
    <x v="0"/>
    <n v="0"/>
    <n v="0"/>
    <n v="0"/>
    <n v="12"/>
    <x v="1"/>
    <x v="0"/>
    <m/>
    <x v="0"/>
    <m/>
    <x v="0"/>
    <x v="0"/>
    <x v="0"/>
    <x v="0"/>
    <x v="0"/>
  </r>
  <r>
    <x v="0"/>
    <x v="8"/>
    <s v="4330 J"/>
    <x v="97"/>
    <s v="Jazz Hattari Lahore"/>
    <s v="LDM"/>
    <n v="9"/>
    <s v="13-14"/>
    <s v="LDM"/>
    <n v="100"/>
    <x v="0"/>
    <s v="3"/>
    <n v="121.4"/>
    <n v="3.3000000000000003"/>
    <n v="5"/>
    <x v="0"/>
    <n v="118.10000000000001"/>
    <m/>
    <m/>
    <x v="0"/>
    <x v="0"/>
    <n v="0"/>
    <n v="0"/>
    <x v="0"/>
    <x v="0"/>
    <m/>
    <x v="0"/>
    <x v="0"/>
    <x v="0"/>
    <x v="0"/>
    <x v="0"/>
    <n v="0"/>
    <n v="0"/>
    <n v="0"/>
    <n v="12"/>
    <x v="1"/>
    <x v="0"/>
    <n v="2655.5"/>
    <x v="0"/>
    <m/>
    <x v="0"/>
    <x v="0"/>
    <x v="0"/>
    <x v="0"/>
    <x v="0"/>
  </r>
  <r>
    <x v="1"/>
    <x v="8"/>
    <s v="4329 J"/>
    <x v="97"/>
    <s v="Jazz Hattari Lahore"/>
    <s v="LDM"/>
    <n v="7"/>
    <s v="12-13"/>
    <s v="LDM"/>
    <n v="100"/>
    <x v="0"/>
    <s v="2"/>
    <n v="105.5"/>
    <n v="2.1"/>
    <n v="15"/>
    <x v="0"/>
    <n v="103.4"/>
    <m/>
    <n v="3"/>
    <x v="0"/>
    <x v="0"/>
    <n v="3"/>
    <n v="0.05"/>
    <x v="0"/>
    <x v="0"/>
    <m/>
    <x v="0"/>
    <x v="0"/>
    <x v="0"/>
    <x v="0"/>
    <x v="0"/>
    <n v="0"/>
    <n v="0"/>
    <n v="0.05"/>
    <n v="11.95"/>
    <x v="1"/>
    <x v="0"/>
    <m/>
    <x v="0"/>
    <m/>
    <x v="0"/>
    <x v="0"/>
    <x v="0"/>
    <x v="0"/>
    <x v="0"/>
  </r>
  <r>
    <x v="1"/>
    <x v="8"/>
    <s v="MISS"/>
    <x v="97"/>
    <s v="-"/>
    <m/>
    <m/>
    <m/>
    <m/>
    <m/>
    <x v="0"/>
    <s v="1"/>
    <n v="38.200000000000003"/>
    <n v="0.9"/>
    <m/>
    <x v="0"/>
    <n v="37.300000000000004"/>
    <m/>
    <m/>
    <x v="0"/>
    <x v="0"/>
    <n v="0"/>
    <n v="0"/>
    <x v="0"/>
    <x v="0"/>
    <m/>
    <x v="0"/>
    <x v="0"/>
    <x v="0"/>
    <x v="0"/>
    <x v="0"/>
    <n v="0"/>
    <n v="0"/>
    <n v="0"/>
    <n v="12"/>
    <x v="1"/>
    <x v="0"/>
    <m/>
    <x v="0"/>
    <m/>
    <x v="0"/>
    <x v="0"/>
    <x v="0"/>
    <x v="0"/>
    <x v="0"/>
  </r>
  <r>
    <x v="0"/>
    <x v="9"/>
    <s v="2783/1"/>
    <x v="97"/>
    <s v="PT-01"/>
    <s v="LD سرخ"/>
    <n v="4"/>
    <n v="80"/>
    <s v="LD سرخ"/>
    <n v="2500"/>
    <x v="0"/>
    <s v="11"/>
    <n v="311"/>
    <n v="6.6"/>
    <n v="26"/>
    <x v="0"/>
    <n v="304.39999999999998"/>
    <m/>
    <m/>
    <x v="0"/>
    <x v="0"/>
    <n v="0"/>
    <n v="0"/>
    <x v="0"/>
    <x v="0"/>
    <m/>
    <x v="0"/>
    <x v="0"/>
    <x v="0"/>
    <x v="0"/>
    <x v="0"/>
    <n v="0"/>
    <n v="0"/>
    <n v="0"/>
    <n v="12"/>
    <x v="1"/>
    <x v="0"/>
    <m/>
    <x v="0"/>
    <m/>
    <x v="0"/>
    <x v="0"/>
    <x v="0"/>
    <x v="0"/>
    <x v="0"/>
  </r>
  <r>
    <x v="1"/>
    <x v="9"/>
    <s v="2783/1"/>
    <x v="97"/>
    <s v="PT-01"/>
    <s v="LD سرخ"/>
    <n v="4"/>
    <n v="80"/>
    <s v="LD سرخ"/>
    <n v="2500"/>
    <x v="0"/>
    <n v="9"/>
    <n v="247.28999999999996"/>
    <n v="4.5"/>
    <n v="25"/>
    <x v="0"/>
    <n v="242.78999999999996"/>
    <m/>
    <m/>
    <x v="0"/>
    <x v="0"/>
    <n v="0"/>
    <n v="0"/>
    <x v="0"/>
    <x v="0"/>
    <m/>
    <x v="0"/>
    <x v="0"/>
    <x v="0"/>
    <x v="0"/>
    <x v="0"/>
    <n v="0"/>
    <n v="0"/>
    <n v="0"/>
    <n v="12"/>
    <x v="1"/>
    <x v="0"/>
    <m/>
    <x v="0"/>
    <m/>
    <x v="0"/>
    <x v="0"/>
    <x v="0"/>
    <x v="0"/>
    <x v="0"/>
  </r>
  <r>
    <x v="0"/>
    <x v="10"/>
    <s v="4258 J"/>
    <x v="97"/>
    <s v="Khuram Cloth House Multan"/>
    <s v="LDM"/>
    <s v="13+3+3"/>
    <s v="9.5-10/19-20"/>
    <s v="LDM"/>
    <n v="120"/>
    <x v="0"/>
    <n v="4"/>
    <n v="131.89999999999998"/>
    <n v="6"/>
    <m/>
    <x v="0"/>
    <n v="125.89999999999998"/>
    <m/>
    <m/>
    <x v="0"/>
    <x v="0"/>
    <n v="0"/>
    <n v="0"/>
    <x v="0"/>
    <x v="0"/>
    <m/>
    <x v="0"/>
    <x v="0"/>
    <x v="0"/>
    <x v="0"/>
    <x v="0"/>
    <n v="0"/>
    <n v="0"/>
    <n v="0"/>
    <n v="12"/>
    <x v="1"/>
    <x v="0"/>
    <m/>
    <x v="0"/>
    <m/>
    <x v="0"/>
    <x v="0"/>
    <x v="0"/>
    <x v="0"/>
    <x v="0"/>
  </r>
  <r>
    <x v="0"/>
    <x v="10"/>
    <s v="2156 F"/>
    <x v="97"/>
    <s v="Usman Amin"/>
    <s v="LDM"/>
    <n v="14"/>
    <s v="15"/>
    <s v="LDM"/>
    <n v="400"/>
    <x v="0"/>
    <n v="4"/>
    <n v="229.20000000000002"/>
    <n v="6.5000000000000009"/>
    <n v="12"/>
    <x v="0"/>
    <n v="222.70000000000002"/>
    <m/>
    <m/>
    <x v="0"/>
    <x v="0"/>
    <n v="0"/>
    <n v="0"/>
    <x v="0"/>
    <x v="0"/>
    <m/>
    <x v="0"/>
    <x v="0"/>
    <x v="0"/>
    <x v="0"/>
    <x v="0"/>
    <n v="0"/>
    <n v="0"/>
    <n v="0"/>
    <n v="12"/>
    <x v="1"/>
    <x v="0"/>
    <m/>
    <x v="0"/>
    <m/>
    <x v="0"/>
    <x v="0"/>
    <x v="0"/>
    <x v="0"/>
    <x v="0"/>
  </r>
  <r>
    <x v="1"/>
    <x v="10"/>
    <s v="2156 F"/>
    <x v="97"/>
    <s v="Usman Amin"/>
    <s v="LDM"/>
    <n v="14"/>
    <s v="15"/>
    <s v="LDM"/>
    <n v="400"/>
    <x v="0"/>
    <n v="3"/>
    <n v="183.6"/>
    <n v="5.2"/>
    <n v="6"/>
    <x v="0"/>
    <n v="178.4"/>
    <m/>
    <n v="5"/>
    <x v="0"/>
    <x v="0"/>
    <n v="5"/>
    <n v="8.3333333333333329E-2"/>
    <x v="0"/>
    <x v="0"/>
    <m/>
    <x v="0"/>
    <x v="0"/>
    <x v="0"/>
    <x v="0"/>
    <x v="0"/>
    <n v="0"/>
    <n v="0"/>
    <n v="8.3333333333333329E-2"/>
    <n v="11.916666666666666"/>
    <x v="1"/>
    <x v="0"/>
    <m/>
    <x v="0"/>
    <m/>
    <x v="0"/>
    <x v="0"/>
    <x v="0"/>
    <x v="0"/>
    <x v="0"/>
  </r>
  <r>
    <x v="1"/>
    <x v="10"/>
    <s v="2791/3"/>
    <x v="97"/>
    <s v="PT-02 (HAZRAT ALI MINGORA)"/>
    <s v="LD MILKY"/>
    <n v="8"/>
    <n v="12"/>
    <s v="LD MILKY"/>
    <n v="125"/>
    <x v="0"/>
    <n v="1"/>
    <n v="30.4"/>
    <n v="0.9"/>
    <m/>
    <x v="0"/>
    <n v="29.5"/>
    <m/>
    <m/>
    <x v="0"/>
    <x v="0"/>
    <n v="0"/>
    <n v="0"/>
    <x v="0"/>
    <x v="0"/>
    <m/>
    <x v="0"/>
    <x v="0"/>
    <x v="0"/>
    <x v="0"/>
    <x v="0"/>
    <n v="0"/>
    <n v="0"/>
    <n v="0"/>
    <n v="12"/>
    <x v="1"/>
    <x v="0"/>
    <m/>
    <x v="0"/>
    <m/>
    <x v="0"/>
    <x v="0"/>
    <x v="0"/>
    <x v="0"/>
    <x v="0"/>
  </r>
  <r>
    <x v="1"/>
    <x v="10"/>
    <s v="2791/4"/>
    <x v="97"/>
    <s v="PT-02 (HAZRAT ALI MINGORA)"/>
    <s v="LD MILKY"/>
    <n v="9"/>
    <n v="12"/>
    <s v="LD MILKY"/>
    <n v="125"/>
    <x v="0"/>
    <n v="4"/>
    <n v="131.20000000000002"/>
    <n v="4.2"/>
    <m/>
    <x v="0"/>
    <n v="127.00000000000001"/>
    <m/>
    <m/>
    <x v="0"/>
    <x v="0"/>
    <n v="0"/>
    <n v="0"/>
    <x v="0"/>
    <x v="0"/>
    <m/>
    <x v="0"/>
    <x v="0"/>
    <x v="0"/>
    <x v="0"/>
    <x v="0"/>
    <n v="0"/>
    <n v="0"/>
    <n v="0"/>
    <n v="12"/>
    <x v="1"/>
    <x v="0"/>
    <m/>
    <x v="0"/>
    <m/>
    <x v="0"/>
    <x v="0"/>
    <x v="0"/>
    <x v="0"/>
    <x v="0"/>
  </r>
  <r>
    <x v="0"/>
    <x v="11"/>
    <s v="4290 J"/>
    <x v="97"/>
    <s v="H A Industry Peshawar"/>
    <s v="LDN"/>
    <n v="22"/>
    <s v="-"/>
    <s v="LDN"/>
    <n v="620"/>
    <x v="0"/>
    <n v="6"/>
    <n v="296.60000000000002"/>
    <n v="10.8"/>
    <m/>
    <x v="0"/>
    <n v="285.8"/>
    <m/>
    <m/>
    <x v="0"/>
    <x v="0"/>
    <n v="0"/>
    <n v="0"/>
    <x v="0"/>
    <x v="0"/>
    <m/>
    <x v="0"/>
    <x v="0"/>
    <x v="0"/>
    <x v="0"/>
    <x v="0"/>
    <n v="0"/>
    <n v="0"/>
    <n v="0"/>
    <n v="12"/>
    <x v="1"/>
    <x v="0"/>
    <m/>
    <x v="0"/>
    <m/>
    <x v="0"/>
    <x v="0"/>
    <x v="0"/>
    <x v="0"/>
    <x v="0"/>
  </r>
  <r>
    <x v="0"/>
    <x v="11"/>
    <s v="4287 J"/>
    <x v="97"/>
    <s v="H A Industry Peshawar"/>
    <s v="LDN"/>
    <n v="22"/>
    <s v="-"/>
    <s v="LDN"/>
    <n v="600"/>
    <x v="0"/>
    <n v="2"/>
    <n v="125.19999999999999"/>
    <n v="5.6"/>
    <n v="4.2"/>
    <x v="0"/>
    <n v="119.6"/>
    <m/>
    <m/>
    <x v="0"/>
    <x v="0"/>
    <n v="0"/>
    <n v="0"/>
    <x v="0"/>
    <x v="0"/>
    <m/>
    <x v="0"/>
    <x v="0"/>
    <x v="0"/>
    <x v="0"/>
    <x v="0"/>
    <n v="0"/>
    <n v="0"/>
    <n v="0"/>
    <n v="12"/>
    <x v="1"/>
    <x v="0"/>
    <m/>
    <x v="0"/>
    <m/>
    <x v="0"/>
    <x v="0"/>
    <x v="0"/>
    <x v="0"/>
    <x v="0"/>
  </r>
  <r>
    <x v="1"/>
    <x v="11"/>
    <s v="4287 J"/>
    <x v="97"/>
    <s v="H A Industry Peshawar"/>
    <s v="LDN"/>
    <n v="22"/>
    <s v="-"/>
    <s v="LDN"/>
    <n v="600"/>
    <x v="0"/>
    <n v="7"/>
    <n v="345.2"/>
    <n v="16.8"/>
    <n v="20"/>
    <x v="0"/>
    <n v="328.4"/>
    <m/>
    <m/>
    <x v="0"/>
    <x v="0"/>
    <n v="0"/>
    <n v="0"/>
    <x v="0"/>
    <x v="0"/>
    <m/>
    <x v="0"/>
    <x v="0"/>
    <x v="0"/>
    <x v="0"/>
    <x v="0"/>
    <n v="0"/>
    <n v="0"/>
    <n v="0"/>
    <n v="12"/>
    <x v="1"/>
    <x v="0"/>
    <m/>
    <x v="0"/>
    <m/>
    <x v="0"/>
    <x v="0"/>
    <x v="0"/>
    <x v="0"/>
    <x v="0"/>
  </r>
  <r>
    <x v="1"/>
    <x v="13"/>
    <s v="2790/1"/>
    <x v="97"/>
    <s v="SUPER AGRO PAKISTAN"/>
    <s v="LDN"/>
    <s v="28-28.5"/>
    <s v="95±1"/>
    <s v="LDN"/>
    <n v="4750"/>
    <x v="0"/>
    <n v="4"/>
    <n v="330.6"/>
    <n v="14.2"/>
    <n v="30"/>
    <x v="0"/>
    <n v="316.40000000000003"/>
    <m/>
    <m/>
    <x v="0"/>
    <x v="3"/>
    <n v="240"/>
    <n v="4"/>
    <x v="0"/>
    <x v="0"/>
    <m/>
    <x v="0"/>
    <x v="0"/>
    <x v="0"/>
    <x v="0"/>
    <x v="0"/>
    <n v="0"/>
    <n v="0"/>
    <n v="4"/>
    <n v="8"/>
    <x v="1"/>
    <x v="0"/>
    <m/>
    <x v="0"/>
    <m/>
    <x v="0"/>
    <x v="0"/>
    <x v="0"/>
    <x v="0"/>
    <x v="0"/>
  </r>
  <r>
    <x v="0"/>
    <x v="12"/>
    <s v="2790/1"/>
    <x v="97"/>
    <s v="SUPER AGRO PAKISTAN"/>
    <s v="LDN"/>
    <s v="28-28.5"/>
    <s v="95±1"/>
    <s v="LDN"/>
    <n v="4750"/>
    <x v="0"/>
    <n v="7"/>
    <n v="696.19999999999993"/>
    <n v="23.8"/>
    <n v="30"/>
    <x v="0"/>
    <n v="672.4"/>
    <m/>
    <m/>
    <x v="0"/>
    <x v="0"/>
    <n v="0"/>
    <n v="0"/>
    <x v="0"/>
    <x v="0"/>
    <m/>
    <x v="0"/>
    <x v="0"/>
    <x v="0"/>
    <x v="0"/>
    <x v="0"/>
    <n v="0"/>
    <n v="0"/>
    <n v="0"/>
    <n v="12"/>
    <x v="1"/>
    <x v="0"/>
    <m/>
    <x v="0"/>
    <m/>
    <x v="0"/>
    <x v="0"/>
    <x v="0"/>
    <x v="0"/>
    <x v="0"/>
  </r>
  <r>
    <x v="1"/>
    <x v="12"/>
    <s v="2790/1"/>
    <x v="97"/>
    <s v="SUPER AGRO PAKISTAN"/>
    <s v="LDN"/>
    <s v="28-28.5"/>
    <s v="95±1"/>
    <s v="LDN"/>
    <n v="4750"/>
    <x v="0"/>
    <n v="12"/>
    <n v="865.3"/>
    <n v="56"/>
    <n v="5"/>
    <x v="0"/>
    <n v="809.3"/>
    <m/>
    <m/>
    <x v="0"/>
    <x v="0"/>
    <n v="0"/>
    <n v="0"/>
    <x v="0"/>
    <x v="0"/>
    <m/>
    <x v="0"/>
    <x v="0"/>
    <x v="0"/>
    <x v="0"/>
    <x v="0"/>
    <n v="0"/>
    <n v="0"/>
    <n v="0"/>
    <n v="12"/>
    <x v="1"/>
    <x v="0"/>
    <m/>
    <x v="0"/>
    <m/>
    <x v="0"/>
    <x v="0"/>
    <x v="0"/>
    <x v="0"/>
    <x v="0"/>
  </r>
  <r>
    <x v="0"/>
    <x v="8"/>
    <s v="4352 J"/>
    <x v="98"/>
    <s v="Kotal Mart and Bakers Kohat"/>
    <s v="LDN"/>
    <n v="7"/>
    <s v="17-18"/>
    <s v="LDN"/>
    <n v="100"/>
    <x v="0"/>
    <n v="2"/>
    <n v="59.400000000000006"/>
    <n v="1.8"/>
    <n v="10"/>
    <x v="0"/>
    <n v="57.600000000000009"/>
    <m/>
    <n v="49"/>
    <x v="0"/>
    <x v="0"/>
    <n v="49"/>
    <n v="0.81666666666666665"/>
    <x v="0"/>
    <x v="0"/>
    <m/>
    <x v="2"/>
    <x v="0"/>
    <x v="0"/>
    <x v="0"/>
    <x v="0"/>
    <n v="5"/>
    <n v="8.3333333333333329E-2"/>
    <n v="0.9"/>
    <n v="11.1"/>
    <x v="1"/>
    <x v="0"/>
    <n v="2816"/>
    <x v="0"/>
    <m/>
    <x v="0"/>
    <x v="0"/>
    <x v="0"/>
    <x v="0"/>
    <x v="0"/>
  </r>
  <r>
    <x v="0"/>
    <x v="8"/>
    <s v="4351 J"/>
    <x v="98"/>
    <s v="Kotal Mart and Bakers Kohat"/>
    <s v="LDN"/>
    <n v="6"/>
    <s v="17-18"/>
    <s v="LDN"/>
    <n v="100"/>
    <x v="0"/>
    <n v="3"/>
    <n v="101.19999999999999"/>
    <n v="2.31"/>
    <m/>
    <x v="0"/>
    <n v="98.889999999999986"/>
    <m/>
    <m/>
    <x v="0"/>
    <x v="0"/>
    <n v="0"/>
    <n v="0"/>
    <x v="0"/>
    <x v="0"/>
    <m/>
    <x v="0"/>
    <x v="0"/>
    <x v="0"/>
    <x v="0"/>
    <x v="0"/>
    <n v="0"/>
    <n v="0"/>
    <n v="0"/>
    <n v="12"/>
    <x v="1"/>
    <x v="0"/>
    <m/>
    <x v="0"/>
    <m/>
    <x v="0"/>
    <x v="0"/>
    <x v="0"/>
    <x v="0"/>
    <x v="0"/>
  </r>
  <r>
    <x v="1"/>
    <x v="8"/>
    <s v="4353 J"/>
    <x v="98"/>
    <s v="Kotal Mart and Bakers Kohat"/>
    <s v="LDN"/>
    <n v="8"/>
    <s v="17-18"/>
    <s v="LDN"/>
    <n v="100"/>
    <x v="0"/>
    <n v="2"/>
    <n v="108"/>
    <n v="2"/>
    <m/>
    <x v="0"/>
    <n v="106"/>
    <m/>
    <m/>
    <x v="0"/>
    <x v="0"/>
    <n v="0"/>
    <n v="0"/>
    <x v="0"/>
    <x v="0"/>
    <m/>
    <x v="0"/>
    <x v="0"/>
    <x v="0"/>
    <x v="0"/>
    <x v="0"/>
    <n v="0"/>
    <n v="0"/>
    <n v="0"/>
    <n v="12"/>
    <x v="1"/>
    <x v="0"/>
    <m/>
    <x v="0"/>
    <m/>
    <x v="0"/>
    <x v="0"/>
    <x v="0"/>
    <x v="0"/>
    <x v="0"/>
  </r>
  <r>
    <x v="1"/>
    <x v="8"/>
    <s v="4354 J"/>
    <x v="98"/>
    <s v="Kotal Mart and Bakers Kohat"/>
    <s v="LDN"/>
    <n v="12"/>
    <s v="17-18"/>
    <s v="LDN"/>
    <n v="100"/>
    <x v="0"/>
    <n v="2"/>
    <n v="110"/>
    <n v="3"/>
    <m/>
    <x v="0"/>
    <n v="107"/>
    <m/>
    <m/>
    <x v="0"/>
    <x v="0"/>
    <n v="0"/>
    <n v="0"/>
    <x v="0"/>
    <x v="0"/>
    <m/>
    <x v="0"/>
    <x v="0"/>
    <x v="0"/>
    <x v="0"/>
    <x v="0"/>
    <n v="0"/>
    <n v="0"/>
    <n v="0"/>
    <n v="12"/>
    <x v="1"/>
    <x v="0"/>
    <m/>
    <x v="0"/>
    <m/>
    <x v="0"/>
    <x v="0"/>
    <x v="0"/>
    <x v="0"/>
    <x v="0"/>
  </r>
  <r>
    <x v="0"/>
    <x v="9"/>
    <s v="2783/1"/>
    <x v="98"/>
    <s v="PT-01"/>
    <s v="LD سرخ"/>
    <n v="4"/>
    <n v="80"/>
    <s v="LD سرخ"/>
    <n v="2500"/>
    <x v="0"/>
    <n v="10"/>
    <n v="256.39999999999998"/>
    <n v="6"/>
    <n v="2"/>
    <x v="0"/>
    <n v="250.39999999999998"/>
    <m/>
    <m/>
    <x v="0"/>
    <x v="0"/>
    <n v="0"/>
    <n v="0"/>
    <x v="0"/>
    <x v="0"/>
    <m/>
    <x v="0"/>
    <x v="0"/>
    <x v="0"/>
    <x v="0"/>
    <x v="0"/>
    <n v="0"/>
    <n v="0"/>
    <n v="0"/>
    <n v="12"/>
    <x v="1"/>
    <x v="0"/>
    <m/>
    <x v="0"/>
    <m/>
    <x v="0"/>
    <x v="0"/>
    <x v="0"/>
    <x v="0"/>
    <x v="0"/>
  </r>
  <r>
    <x v="1"/>
    <x v="9"/>
    <s v="2783/1"/>
    <x v="98"/>
    <s v="PT-01"/>
    <s v="LD سرخ"/>
    <n v="4"/>
    <n v="80"/>
    <s v="LD سرخ"/>
    <n v="2500"/>
    <x v="0"/>
    <n v="9"/>
    <n v="230.43"/>
    <n v="4.21"/>
    <m/>
    <x v="0"/>
    <n v="226.22"/>
    <m/>
    <m/>
    <x v="0"/>
    <x v="0"/>
    <n v="0"/>
    <n v="0"/>
    <x v="0"/>
    <x v="0"/>
    <m/>
    <x v="0"/>
    <x v="0"/>
    <x v="0"/>
    <x v="0"/>
    <x v="0"/>
    <n v="0"/>
    <n v="0"/>
    <n v="0"/>
    <n v="12"/>
    <x v="1"/>
    <x v="0"/>
    <m/>
    <x v="0"/>
    <m/>
    <x v="0"/>
    <x v="0"/>
    <x v="0"/>
    <x v="0"/>
    <x v="0"/>
  </r>
  <r>
    <x v="0"/>
    <x v="11"/>
    <s v="4287 J"/>
    <x v="98"/>
    <s v="H A Industry Peshawar"/>
    <s v="LDN"/>
    <n v="22"/>
    <s v="-"/>
    <s v="LDN"/>
    <n v="600"/>
    <x v="0"/>
    <n v="1"/>
    <n v="48.4"/>
    <n v="3.4"/>
    <n v="10"/>
    <x v="0"/>
    <n v="45"/>
    <m/>
    <n v="30"/>
    <x v="0"/>
    <x v="0"/>
    <n v="30"/>
    <n v="0.5"/>
    <x v="0"/>
    <x v="0"/>
    <n v="65"/>
    <x v="0"/>
    <x v="0"/>
    <x v="0"/>
    <x v="0"/>
    <x v="0"/>
    <n v="65"/>
    <n v="1.0833333333333333"/>
    <n v="1.5833333333333333"/>
    <n v="10.416666666666666"/>
    <x v="1"/>
    <x v="0"/>
    <m/>
    <x v="0"/>
    <m/>
    <x v="0"/>
    <x v="0"/>
    <x v="0"/>
    <x v="0"/>
    <x v="0"/>
  </r>
  <r>
    <x v="0"/>
    <x v="11"/>
    <s v="2161 F"/>
    <x v="98"/>
    <s v="Usman Amin"/>
    <s v="LDN"/>
    <n v="16"/>
    <s v="7"/>
    <s v="LDN"/>
    <n v="100"/>
    <x v="0"/>
    <n v="3"/>
    <n v="115.8"/>
    <n v="5.6999999999999993"/>
    <m/>
    <x v="0"/>
    <n v="110.1"/>
    <m/>
    <m/>
    <x v="0"/>
    <x v="0"/>
    <n v="0"/>
    <n v="0"/>
    <x v="0"/>
    <x v="0"/>
    <m/>
    <x v="0"/>
    <x v="0"/>
    <x v="0"/>
    <x v="0"/>
    <x v="0"/>
    <n v="0"/>
    <n v="0"/>
    <n v="0"/>
    <n v="12"/>
    <x v="1"/>
    <x v="0"/>
    <m/>
    <x v="0"/>
    <m/>
    <x v="0"/>
    <x v="0"/>
    <x v="0"/>
    <x v="0"/>
    <x v="0"/>
  </r>
  <r>
    <x v="0"/>
    <x v="11"/>
    <s v="2160 F"/>
    <x v="98"/>
    <s v="Usman Amin"/>
    <s v="LDN"/>
    <n v="15"/>
    <s v="7"/>
    <s v="LDN"/>
    <n v="75"/>
    <x v="0"/>
    <n v="1"/>
    <n v="37"/>
    <n v="1.7"/>
    <m/>
    <x v="0"/>
    <n v="35.299999999999997"/>
    <m/>
    <m/>
    <x v="0"/>
    <x v="0"/>
    <n v="0"/>
    <n v="0"/>
    <x v="0"/>
    <x v="0"/>
    <m/>
    <x v="0"/>
    <x v="0"/>
    <x v="0"/>
    <x v="0"/>
    <x v="0"/>
    <n v="0"/>
    <n v="0"/>
    <n v="0"/>
    <n v="12"/>
    <x v="1"/>
    <x v="0"/>
    <m/>
    <x v="0"/>
    <m/>
    <x v="0"/>
    <x v="0"/>
    <x v="0"/>
    <x v="0"/>
    <x v="0"/>
  </r>
  <r>
    <x v="1"/>
    <x v="11"/>
    <s v="2160 F"/>
    <x v="98"/>
    <s v="Usman Amin"/>
    <s v="LDN"/>
    <n v="15"/>
    <s v="7"/>
    <s v="LDN"/>
    <n v="75"/>
    <x v="0"/>
    <n v="1"/>
    <n v="50.6"/>
    <n v="1.8"/>
    <m/>
    <x v="0"/>
    <n v="48.800000000000004"/>
    <m/>
    <m/>
    <x v="0"/>
    <x v="0"/>
    <n v="0"/>
    <n v="0"/>
    <x v="0"/>
    <x v="0"/>
    <m/>
    <x v="0"/>
    <x v="0"/>
    <x v="0"/>
    <x v="10"/>
    <x v="0"/>
    <n v="35"/>
    <n v="0.58333333333333337"/>
    <n v="0.58333333333333337"/>
    <n v="11.416666666666666"/>
    <x v="1"/>
    <x v="0"/>
    <m/>
    <x v="0"/>
    <m/>
    <x v="0"/>
    <x v="0"/>
    <x v="0"/>
    <x v="0"/>
    <x v="0"/>
  </r>
  <r>
    <x v="1"/>
    <x v="11"/>
    <s v="2146 F"/>
    <x v="98"/>
    <s v="Usman Amin"/>
    <s v="LDN"/>
    <n v="16"/>
    <s v="5.5.5"/>
    <s v="LDN"/>
    <n v="55"/>
    <x v="0"/>
    <n v="1"/>
    <n v="55"/>
    <n v="2"/>
    <m/>
    <x v="0"/>
    <n v="53"/>
    <m/>
    <m/>
    <x v="0"/>
    <x v="0"/>
    <n v="0"/>
    <n v="0"/>
    <x v="0"/>
    <x v="0"/>
    <m/>
    <x v="0"/>
    <x v="0"/>
    <x v="0"/>
    <x v="0"/>
    <x v="0"/>
    <n v="0"/>
    <n v="0"/>
    <n v="0"/>
    <n v="12"/>
    <x v="1"/>
    <x v="0"/>
    <m/>
    <x v="0"/>
    <m/>
    <x v="0"/>
    <x v="0"/>
    <x v="0"/>
    <x v="0"/>
    <x v="0"/>
  </r>
  <r>
    <x v="1"/>
    <x v="11"/>
    <s v="2158 F"/>
    <x v="98"/>
    <s v="Usman Amin"/>
    <s v="LDN"/>
    <n v="23"/>
    <s v="8-8.5"/>
    <s v="LDN"/>
    <n v="1"/>
    <x v="0"/>
    <n v="2"/>
    <n v="147.80000000000001"/>
    <n v="4.0999999999999996"/>
    <m/>
    <x v="0"/>
    <n v="143.70000000000002"/>
    <m/>
    <m/>
    <x v="0"/>
    <x v="0"/>
    <n v="0"/>
    <n v="0"/>
    <x v="0"/>
    <x v="0"/>
    <m/>
    <x v="0"/>
    <x v="0"/>
    <x v="0"/>
    <x v="0"/>
    <x v="0"/>
    <n v="0"/>
    <n v="0"/>
    <n v="0"/>
    <n v="12"/>
    <x v="1"/>
    <x v="0"/>
    <m/>
    <x v="0"/>
    <m/>
    <x v="0"/>
    <x v="0"/>
    <x v="0"/>
    <x v="0"/>
    <x v="0"/>
  </r>
  <r>
    <x v="1"/>
    <x v="11"/>
    <s v="2150 F"/>
    <x v="98"/>
    <s v="Usman Amin"/>
    <s v="LDN"/>
    <n v="24"/>
    <s v="7"/>
    <s v="LDN"/>
    <n v="33"/>
    <x v="0"/>
    <n v="1"/>
    <n v="42"/>
    <n v="2.8"/>
    <m/>
    <x v="0"/>
    <n v="39.200000000000003"/>
    <m/>
    <m/>
    <x v="0"/>
    <x v="0"/>
    <n v="0"/>
    <n v="0"/>
    <x v="0"/>
    <x v="0"/>
    <m/>
    <x v="0"/>
    <x v="0"/>
    <x v="0"/>
    <x v="0"/>
    <x v="0"/>
    <n v="0"/>
    <n v="0"/>
    <n v="0"/>
    <n v="12"/>
    <x v="1"/>
    <x v="0"/>
    <m/>
    <x v="0"/>
    <m/>
    <x v="0"/>
    <x v="0"/>
    <x v="0"/>
    <x v="0"/>
    <x v="0"/>
  </r>
  <r>
    <x v="0"/>
    <x v="13"/>
    <s v="2790/1"/>
    <x v="98"/>
    <s v="SUPER AGRO PAKISTAN"/>
    <s v="LDN"/>
    <s v="28-28.5"/>
    <s v="95±1"/>
    <s v="LDN"/>
    <n v="4750"/>
    <x v="0"/>
    <n v="6"/>
    <n v="665.4"/>
    <n v="20.399999999999999"/>
    <m/>
    <x v="0"/>
    <n v="645"/>
    <m/>
    <n v="10"/>
    <x v="0"/>
    <x v="0"/>
    <n v="10"/>
    <n v="0.16666666666666666"/>
    <x v="0"/>
    <x v="0"/>
    <m/>
    <x v="0"/>
    <x v="0"/>
    <x v="0"/>
    <x v="0"/>
    <x v="0"/>
    <n v="0"/>
    <n v="0"/>
    <n v="0.16666666666666666"/>
    <n v="11.833333333333334"/>
    <x v="1"/>
    <x v="0"/>
    <m/>
    <x v="0"/>
    <m/>
    <x v="0"/>
    <x v="0"/>
    <x v="0"/>
    <x v="0"/>
    <x v="0"/>
  </r>
  <r>
    <x v="1"/>
    <x v="13"/>
    <s v="2790/1"/>
    <x v="98"/>
    <s v="SUPER AGRO PAKISTAN"/>
    <s v="LDN"/>
    <s v="28-28.5"/>
    <s v="95±1"/>
    <s v="LDN"/>
    <n v="4750"/>
    <x v="0"/>
    <n v="2"/>
    <n v="200.3"/>
    <n v="6.8"/>
    <m/>
    <x v="0"/>
    <n v="193.5"/>
    <m/>
    <m/>
    <x v="0"/>
    <x v="0"/>
    <n v="0"/>
    <n v="0"/>
    <x v="0"/>
    <x v="0"/>
    <m/>
    <x v="0"/>
    <x v="0"/>
    <x v="0"/>
    <x v="1"/>
    <x v="0"/>
    <n v="40"/>
    <n v="0.66666666666666663"/>
    <n v="0.66666666666666663"/>
    <n v="11.333333333333334"/>
    <x v="1"/>
    <x v="0"/>
    <m/>
    <x v="0"/>
    <m/>
    <x v="0"/>
    <x v="0"/>
    <x v="0"/>
    <x v="0"/>
    <x v="0"/>
  </r>
  <r>
    <x v="1"/>
    <x v="13"/>
    <s v="2795/1"/>
    <x v="98"/>
    <s v="ENGRO ZARKHEZ"/>
    <s v="LDN"/>
    <s v="24-24.5"/>
    <s v="60±1"/>
    <s v="LDN"/>
    <n v="0"/>
    <x v="0"/>
    <n v="4"/>
    <n v="414.3"/>
    <n v="9.7000000000000011"/>
    <m/>
    <x v="0"/>
    <n v="404.6"/>
    <m/>
    <m/>
    <x v="0"/>
    <x v="0"/>
    <n v="0"/>
    <n v="0"/>
    <x v="0"/>
    <x v="0"/>
    <m/>
    <x v="0"/>
    <x v="0"/>
    <x v="0"/>
    <x v="0"/>
    <x v="0"/>
    <n v="0"/>
    <n v="0"/>
    <n v="0"/>
    <n v="12"/>
    <x v="1"/>
    <x v="0"/>
    <m/>
    <x v="0"/>
    <m/>
    <x v="0"/>
    <x v="0"/>
    <x v="0"/>
    <x v="0"/>
    <x v="0"/>
  </r>
  <r>
    <x v="0"/>
    <x v="12"/>
    <s v="262 R"/>
    <x v="98"/>
    <s v="ریفلیکٹ پیک"/>
    <s v="LDN"/>
    <n v="35"/>
    <s v="5-5.5"/>
    <s v="LDN"/>
    <n v="10000"/>
    <x v="0"/>
    <n v="10"/>
    <n v="775.8"/>
    <n v="44"/>
    <m/>
    <x v="0"/>
    <n v="731.8"/>
    <m/>
    <m/>
    <x v="0"/>
    <x v="0"/>
    <n v="0"/>
    <n v="0"/>
    <x v="0"/>
    <x v="0"/>
    <m/>
    <x v="0"/>
    <x v="0"/>
    <x v="0"/>
    <x v="0"/>
    <x v="0"/>
    <n v="0"/>
    <n v="0"/>
    <n v="0"/>
    <n v="12"/>
    <x v="1"/>
    <x v="0"/>
    <m/>
    <x v="0"/>
    <m/>
    <x v="0"/>
    <x v="0"/>
    <x v="0"/>
    <x v="0"/>
    <x v="0"/>
  </r>
  <r>
    <x v="1"/>
    <x v="12"/>
    <s v="262 R"/>
    <x v="98"/>
    <s v="ریفلیکٹ پیک"/>
    <s v="LDN"/>
    <n v="35"/>
    <s v="5-5.5"/>
    <s v="LDN"/>
    <n v="10000"/>
    <x v="0"/>
    <n v="12"/>
    <n v="868.1"/>
    <n v="40.200000000000003"/>
    <n v="26"/>
    <x v="0"/>
    <n v="827.9"/>
    <m/>
    <m/>
    <x v="0"/>
    <x v="0"/>
    <n v="0"/>
    <n v="0"/>
    <x v="0"/>
    <x v="0"/>
    <m/>
    <x v="0"/>
    <x v="0"/>
    <x v="0"/>
    <x v="0"/>
    <x v="0"/>
    <n v="0"/>
    <n v="0"/>
    <n v="0"/>
    <n v="12"/>
    <x v="1"/>
    <x v="0"/>
    <m/>
    <x v="0"/>
    <m/>
    <x v="0"/>
    <x v="0"/>
    <x v="0"/>
    <x v="0"/>
    <x v="0"/>
  </r>
  <r>
    <x v="0"/>
    <x v="10"/>
    <s v="2791/3"/>
    <x v="98"/>
    <s v="PT-02 (HAZRAT ALI MINGORA)"/>
    <s v="LD MILKY"/>
    <n v="8"/>
    <n v="12"/>
    <s v="LD MILKY"/>
    <n v="125"/>
    <x v="0"/>
    <n v="3"/>
    <n v="108"/>
    <n v="2.4000000000000004"/>
    <n v="32"/>
    <x v="0"/>
    <n v="105.6"/>
    <m/>
    <n v="45"/>
    <x v="0"/>
    <x v="0"/>
    <n v="45"/>
    <n v="0.75"/>
    <x v="0"/>
    <x v="0"/>
    <m/>
    <x v="0"/>
    <x v="0"/>
    <x v="0"/>
    <x v="0"/>
    <x v="0"/>
    <n v="0"/>
    <n v="0"/>
    <n v="0.75"/>
    <n v="11.25"/>
    <x v="1"/>
    <x v="0"/>
    <m/>
    <x v="0"/>
    <m/>
    <x v="0"/>
    <x v="0"/>
    <x v="0"/>
    <x v="0"/>
    <x v="0"/>
  </r>
  <r>
    <x v="0"/>
    <x v="10"/>
    <s v="2791/2"/>
    <x v="98"/>
    <s v="PT-02 (HAZRAT ALI MINGORA)"/>
    <s v="LD MILKY"/>
    <n v="7"/>
    <n v="12"/>
    <s v="LD MILKY"/>
    <n v="125"/>
    <x v="0"/>
    <n v="4"/>
    <n v="146.6"/>
    <n v="4"/>
    <m/>
    <x v="0"/>
    <n v="142.6"/>
    <m/>
    <m/>
    <x v="0"/>
    <x v="0"/>
    <n v="0"/>
    <n v="0"/>
    <x v="0"/>
    <x v="0"/>
    <m/>
    <x v="0"/>
    <x v="0"/>
    <x v="0"/>
    <x v="0"/>
    <x v="0"/>
    <n v="0"/>
    <n v="0"/>
    <n v="0"/>
    <n v="12"/>
    <x v="1"/>
    <x v="0"/>
    <m/>
    <x v="0"/>
    <m/>
    <x v="0"/>
    <x v="0"/>
    <x v="0"/>
    <x v="0"/>
    <x v="0"/>
  </r>
  <r>
    <x v="1"/>
    <x v="10"/>
    <s v="2791/1"/>
    <x v="98"/>
    <s v="PT-02 (HAZRAT ALI MINGORA)"/>
    <s v="LD MILKY"/>
    <n v="6"/>
    <n v="12"/>
    <s v="LD MILKY"/>
    <n v="125"/>
    <x v="0"/>
    <n v="4"/>
    <n v="131.19999999999999"/>
    <n v="2.4"/>
    <m/>
    <x v="0"/>
    <n v="128.79999999999998"/>
    <m/>
    <m/>
    <x v="0"/>
    <x v="0"/>
    <n v="0"/>
    <n v="0"/>
    <x v="0"/>
    <x v="0"/>
    <m/>
    <x v="0"/>
    <x v="0"/>
    <x v="0"/>
    <x v="0"/>
    <x v="0"/>
    <n v="0"/>
    <n v="0"/>
    <n v="0"/>
    <n v="12"/>
    <x v="1"/>
    <x v="0"/>
    <m/>
    <x v="0"/>
    <m/>
    <x v="0"/>
    <x v="0"/>
    <x v="0"/>
    <x v="0"/>
    <x v="0"/>
  </r>
  <r>
    <x v="1"/>
    <x v="10"/>
    <s v="4240 J"/>
    <x v="98"/>
    <s v="International Industries (LTD)"/>
    <s v="LD پیلا"/>
    <s v="300 MM"/>
    <s v="48-50"/>
    <s v="LDM"/>
    <n v="3000"/>
    <x v="0"/>
    <n v="1"/>
    <n v="115"/>
    <n v="1.2"/>
    <m/>
    <x v="0"/>
    <n v="113.8"/>
    <m/>
    <m/>
    <x v="0"/>
    <x v="0"/>
    <n v="0"/>
    <n v="0"/>
    <x v="0"/>
    <x v="0"/>
    <m/>
    <x v="0"/>
    <x v="0"/>
    <x v="0"/>
    <x v="0"/>
    <x v="0"/>
    <n v="0"/>
    <n v="0"/>
    <n v="0"/>
    <n v="12"/>
    <x v="1"/>
    <x v="0"/>
    <m/>
    <x v="0"/>
    <m/>
    <x v="0"/>
    <x v="0"/>
    <x v="0"/>
    <x v="0"/>
    <x v="0"/>
  </r>
  <r>
    <x v="0"/>
    <x v="8"/>
    <s v="4323 J"/>
    <x v="99"/>
    <s v="Fancy Garmants Kamoki"/>
    <s v="LDN"/>
    <n v="13"/>
    <s v="8-8.5"/>
    <s v="LDN"/>
    <n v="100"/>
    <x v="0"/>
    <n v="2"/>
    <n v="102.6"/>
    <n v="3.2"/>
    <n v="5.8"/>
    <x v="0"/>
    <n v="99.399999999999991"/>
    <m/>
    <n v="4"/>
    <x v="0"/>
    <x v="0"/>
    <n v="4"/>
    <n v="6.6666666666666666E-2"/>
    <x v="0"/>
    <x v="0"/>
    <m/>
    <x v="0"/>
    <x v="0"/>
    <x v="0"/>
    <x v="0"/>
    <x v="0"/>
    <n v="0"/>
    <n v="0"/>
    <n v="6.6666666666666666E-2"/>
    <n v="11.933333333333334"/>
    <x v="1"/>
    <x v="0"/>
    <s v="`"/>
    <x v="0"/>
    <m/>
    <x v="0"/>
    <x v="0"/>
    <x v="0"/>
    <x v="0"/>
    <x v="0"/>
  </r>
  <r>
    <x v="0"/>
    <x v="8"/>
    <s v="4350 J"/>
    <x v="99"/>
    <s v="Kotal Mart and Bakers Kohat"/>
    <s v="LDN"/>
    <n v="4.5"/>
    <s v="17-18"/>
    <s v="LDN"/>
    <n v="100"/>
    <x v="0"/>
    <n v="3"/>
    <n v="60.4"/>
    <n v="1.7999999999999998"/>
    <m/>
    <x v="0"/>
    <n v="58.6"/>
    <m/>
    <m/>
    <x v="0"/>
    <x v="0"/>
    <n v="0"/>
    <n v="0"/>
    <x v="0"/>
    <x v="0"/>
    <m/>
    <x v="0"/>
    <x v="0"/>
    <x v="0"/>
    <x v="0"/>
    <x v="0"/>
    <n v="0"/>
    <n v="0"/>
    <n v="0"/>
    <n v="12"/>
    <x v="1"/>
    <x v="0"/>
    <m/>
    <x v="0"/>
    <m/>
    <x v="0"/>
    <x v="0"/>
    <x v="0"/>
    <x v="0"/>
    <x v="0"/>
  </r>
  <r>
    <x v="1"/>
    <x v="8"/>
    <s v="4350 J"/>
    <x v="99"/>
    <s v="Kotal Mart and Bakers Kohat"/>
    <s v="LDN"/>
    <n v="4.5"/>
    <s v="17-18"/>
    <s v="LDN"/>
    <n v="100"/>
    <x v="0"/>
    <n v="2"/>
    <n v="49.1"/>
    <n v="1"/>
    <n v="8"/>
    <x v="0"/>
    <n v="48.1"/>
    <m/>
    <n v="8"/>
    <x v="0"/>
    <x v="0"/>
    <n v="8"/>
    <n v="0.13333333333333333"/>
    <x v="0"/>
    <x v="0"/>
    <m/>
    <x v="0"/>
    <x v="0"/>
    <x v="0"/>
    <x v="0"/>
    <x v="0"/>
    <n v="0"/>
    <n v="0"/>
    <n v="0.13333333333333333"/>
    <n v="11.866666666666667"/>
    <x v="1"/>
    <x v="0"/>
    <m/>
    <x v="0"/>
    <m/>
    <x v="0"/>
    <x v="0"/>
    <x v="0"/>
    <x v="0"/>
    <x v="0"/>
  </r>
  <r>
    <x v="1"/>
    <x v="8"/>
    <m/>
    <x v="99"/>
    <s v="-"/>
    <m/>
    <n v="11"/>
    <s v="7-7.5"/>
    <m/>
    <m/>
    <x v="0"/>
    <n v="1"/>
    <n v="24.5"/>
    <n v="1.3"/>
    <m/>
    <x v="0"/>
    <n v="23.2"/>
    <m/>
    <m/>
    <x v="0"/>
    <x v="0"/>
    <n v="0"/>
    <n v="0"/>
    <x v="0"/>
    <x v="0"/>
    <m/>
    <x v="0"/>
    <x v="0"/>
    <x v="0"/>
    <x v="0"/>
    <x v="0"/>
    <n v="0"/>
    <n v="0"/>
    <n v="0"/>
    <n v="12"/>
    <x v="1"/>
    <x v="0"/>
    <m/>
    <x v="0"/>
    <m/>
    <x v="0"/>
    <x v="0"/>
    <x v="0"/>
    <x v="0"/>
    <x v="0"/>
  </r>
  <r>
    <x v="1"/>
    <x v="8"/>
    <s v="2793/1"/>
    <x v="99"/>
    <s v="PT-02 (MEHBOOB MAQBOOL GJW)"/>
    <s v="LDM"/>
    <n v="5"/>
    <n v="9"/>
    <s v="LDM"/>
    <n v="250"/>
    <x v="0"/>
    <n v="3"/>
    <n v="93"/>
    <n v="2.0999999999999996"/>
    <m/>
    <x v="0"/>
    <n v="90.9"/>
    <m/>
    <m/>
    <x v="0"/>
    <x v="0"/>
    <n v="0"/>
    <n v="0"/>
    <x v="0"/>
    <x v="0"/>
    <m/>
    <x v="0"/>
    <x v="0"/>
    <x v="0"/>
    <x v="0"/>
    <x v="0"/>
    <n v="0"/>
    <n v="0"/>
    <n v="0"/>
    <n v="12"/>
    <x v="1"/>
    <x v="0"/>
    <m/>
    <x v="0"/>
    <m/>
    <x v="0"/>
    <x v="0"/>
    <x v="0"/>
    <x v="0"/>
    <x v="0"/>
  </r>
  <r>
    <x v="0"/>
    <x v="9"/>
    <s v="2783/1"/>
    <x v="99"/>
    <s v="PT-01"/>
    <s v="LD سرخ"/>
    <n v="4"/>
    <n v="80"/>
    <s v="LD سرخ"/>
    <n v="2500"/>
    <x v="0"/>
    <n v="9"/>
    <n v="228.2"/>
    <n v="3.6"/>
    <m/>
    <x v="0"/>
    <n v="224.6"/>
    <m/>
    <m/>
    <x v="0"/>
    <x v="0"/>
    <n v="0"/>
    <n v="0"/>
    <x v="0"/>
    <x v="0"/>
    <m/>
    <x v="0"/>
    <x v="0"/>
    <x v="0"/>
    <x v="0"/>
    <x v="0"/>
    <n v="0"/>
    <n v="0"/>
    <n v="0"/>
    <n v="12"/>
    <x v="1"/>
    <x v="0"/>
    <m/>
    <x v="0"/>
    <m/>
    <x v="0"/>
    <x v="0"/>
    <x v="0"/>
    <x v="0"/>
    <x v="0"/>
  </r>
  <r>
    <x v="1"/>
    <x v="9"/>
    <s v="2783/1"/>
    <x v="99"/>
    <s v="PT-01"/>
    <s v="LD سرخ"/>
    <n v="4"/>
    <n v="80"/>
    <s v="LD سرخ"/>
    <n v="2500"/>
    <x v="0"/>
    <n v="8"/>
    <n v="227.53"/>
    <n v="3.85"/>
    <n v="2.6"/>
    <x v="0"/>
    <n v="223.68"/>
    <m/>
    <m/>
    <x v="0"/>
    <x v="0"/>
    <n v="0"/>
    <n v="0"/>
    <x v="0"/>
    <x v="0"/>
    <m/>
    <x v="0"/>
    <x v="0"/>
    <x v="0"/>
    <x v="0"/>
    <x v="0"/>
    <n v="0"/>
    <n v="0"/>
    <n v="0"/>
    <n v="12"/>
    <x v="1"/>
    <x v="0"/>
    <m/>
    <x v="0"/>
    <m/>
    <x v="0"/>
    <x v="0"/>
    <x v="0"/>
    <x v="0"/>
    <x v="0"/>
  </r>
  <r>
    <x v="0"/>
    <x v="10"/>
    <s v="4240 J"/>
    <x v="99"/>
    <s v="International Industries (LTD)"/>
    <s v="LD پیلا"/>
    <s v="300 MM"/>
    <s v="48-50"/>
    <s v="LDM"/>
    <n v="3000"/>
    <x v="0"/>
    <n v="2"/>
    <n v="279.7"/>
    <n v="3"/>
    <n v="2.5"/>
    <x v="0"/>
    <n v="276.7"/>
    <m/>
    <m/>
    <x v="0"/>
    <x v="8"/>
    <n v="90"/>
    <n v="1.5"/>
    <x v="0"/>
    <x v="0"/>
    <n v="60"/>
    <x v="0"/>
    <x v="0"/>
    <x v="0"/>
    <x v="6"/>
    <x v="0"/>
    <n v="120"/>
    <n v="2"/>
    <n v="3.5"/>
    <n v="8.5"/>
    <x v="1"/>
    <x v="0"/>
    <m/>
    <x v="0"/>
    <m/>
    <x v="0"/>
    <x v="0"/>
    <x v="0"/>
    <x v="0"/>
    <x v="0"/>
  </r>
  <r>
    <x v="1"/>
    <x v="10"/>
    <s v="4240 J"/>
    <x v="99"/>
    <s v="International Industries (LTD)"/>
    <s v="LD پیلا"/>
    <s v="300 MM"/>
    <s v="48-50"/>
    <s v="LDM"/>
    <n v="3000"/>
    <x v="0"/>
    <n v="2"/>
    <n v="252.4"/>
    <n v="2.8"/>
    <m/>
    <x v="0"/>
    <n v="249.6"/>
    <m/>
    <m/>
    <x v="0"/>
    <x v="0"/>
    <n v="0"/>
    <n v="0"/>
    <x v="0"/>
    <x v="0"/>
    <m/>
    <x v="0"/>
    <x v="0"/>
    <x v="0"/>
    <x v="0"/>
    <x v="0"/>
    <n v="0"/>
    <n v="0"/>
    <n v="0"/>
    <n v="12"/>
    <x v="1"/>
    <x v="0"/>
    <m/>
    <x v="0"/>
    <m/>
    <x v="0"/>
    <x v="0"/>
    <x v="0"/>
    <x v="0"/>
    <x v="0"/>
  </r>
  <r>
    <x v="0"/>
    <x v="11"/>
    <s v="24/7"/>
    <x v="99"/>
    <s v="-"/>
    <m/>
    <n v="24"/>
    <n v="7"/>
    <m/>
    <m/>
    <x v="0"/>
    <n v="1"/>
    <n v="85"/>
    <n v="2.8"/>
    <n v="9"/>
    <x v="0"/>
    <n v="82.2"/>
    <m/>
    <n v="8"/>
    <x v="0"/>
    <x v="0"/>
    <n v="8"/>
    <n v="0.13333333333333333"/>
    <x v="0"/>
    <x v="0"/>
    <m/>
    <x v="8"/>
    <x v="0"/>
    <x v="0"/>
    <x v="11"/>
    <x v="0"/>
    <n v="95"/>
    <n v="1.5833333333333333"/>
    <n v="1.7166666666666666"/>
    <n v="10.283333333333333"/>
    <x v="1"/>
    <x v="0"/>
    <m/>
    <x v="0"/>
    <m/>
    <x v="0"/>
    <x v="0"/>
    <x v="0"/>
    <x v="0"/>
    <x v="0"/>
  </r>
  <r>
    <x v="0"/>
    <x v="11"/>
    <s v="4326 J"/>
    <x v="99"/>
    <s v="U.S Denim Mills Pvt LTD"/>
    <s v="LDN"/>
    <n v="24"/>
    <s v="15.5-16"/>
    <s v="LDN"/>
    <n v="100"/>
    <x v="0"/>
    <n v="1"/>
    <n v="103.6"/>
    <n v="2.8"/>
    <m/>
    <x v="0"/>
    <n v="100.8"/>
    <m/>
    <m/>
    <x v="0"/>
    <x v="0"/>
    <n v="0"/>
    <n v="0"/>
    <x v="0"/>
    <x v="0"/>
    <m/>
    <x v="0"/>
    <x v="0"/>
    <x v="0"/>
    <x v="0"/>
    <x v="0"/>
    <n v="0"/>
    <n v="0"/>
    <n v="0"/>
    <n v="12"/>
    <x v="1"/>
    <x v="0"/>
    <m/>
    <x v="0"/>
    <m/>
    <x v="0"/>
    <x v="0"/>
    <x v="0"/>
    <x v="0"/>
    <x v="0"/>
  </r>
  <r>
    <x v="0"/>
    <x v="11"/>
    <s v="4319 J"/>
    <x v="99"/>
    <s v="Waqas Wollan Mills Gujranwala"/>
    <s v="LDN"/>
    <n v="18"/>
    <s v="10-10.5"/>
    <s v="LDN"/>
    <n v="120"/>
    <x v="0"/>
    <n v="1"/>
    <n v="60.4"/>
    <n v="1.2"/>
    <m/>
    <x v="0"/>
    <n v="59.199999999999996"/>
    <m/>
    <m/>
    <x v="0"/>
    <x v="0"/>
    <n v="0"/>
    <n v="0"/>
    <x v="0"/>
    <x v="0"/>
    <m/>
    <x v="0"/>
    <x v="0"/>
    <x v="0"/>
    <x v="0"/>
    <x v="0"/>
    <n v="0"/>
    <n v="0"/>
    <n v="0"/>
    <n v="12"/>
    <x v="1"/>
    <x v="0"/>
    <m/>
    <x v="0"/>
    <m/>
    <x v="0"/>
    <x v="0"/>
    <x v="0"/>
    <x v="0"/>
    <x v="0"/>
  </r>
  <r>
    <x v="0"/>
    <x v="11"/>
    <s v="4320 J"/>
    <x v="99"/>
    <s v="Waqas Wollan Mills Gujranwala"/>
    <s v="LDN"/>
    <n v="17"/>
    <s v="10-10.5"/>
    <s v="LDN"/>
    <n v="120"/>
    <x v="0"/>
    <n v="1"/>
    <n v="49.2"/>
    <n v="2"/>
    <m/>
    <x v="0"/>
    <n v="47.2"/>
    <m/>
    <m/>
    <x v="0"/>
    <x v="0"/>
    <n v="0"/>
    <n v="0"/>
    <x v="0"/>
    <x v="0"/>
    <m/>
    <x v="0"/>
    <x v="0"/>
    <x v="0"/>
    <x v="0"/>
    <x v="0"/>
    <n v="0"/>
    <n v="0"/>
    <n v="0"/>
    <n v="12"/>
    <x v="1"/>
    <x v="0"/>
    <m/>
    <x v="0"/>
    <m/>
    <x v="0"/>
    <x v="0"/>
    <x v="0"/>
    <x v="0"/>
    <x v="0"/>
  </r>
  <r>
    <x v="1"/>
    <x v="11"/>
    <s v="4320 J"/>
    <x v="99"/>
    <s v="Waqas Wollan Mills Gujranwala"/>
    <s v="LDN"/>
    <n v="17"/>
    <s v="10-10.5"/>
    <s v="LDN"/>
    <n v="120"/>
    <x v="0"/>
    <n v="1"/>
    <n v="68.400000000000006"/>
    <n v="2"/>
    <n v="40"/>
    <x v="0"/>
    <n v="66.400000000000006"/>
    <m/>
    <m/>
    <x v="0"/>
    <x v="0"/>
    <n v="0"/>
    <n v="0"/>
    <x v="0"/>
    <x v="0"/>
    <m/>
    <x v="0"/>
    <x v="0"/>
    <x v="0"/>
    <x v="0"/>
    <x v="0"/>
    <n v="0"/>
    <n v="0"/>
    <n v="0"/>
    <n v="12"/>
    <x v="1"/>
    <x v="0"/>
    <m/>
    <x v="0"/>
    <m/>
    <x v="0"/>
    <x v="0"/>
    <x v="0"/>
    <x v="0"/>
    <x v="0"/>
  </r>
  <r>
    <x v="1"/>
    <x v="11"/>
    <s v="4311 J"/>
    <x v="99"/>
    <s v="Usman Arif Butt Gujranwala"/>
    <s v="LDN"/>
    <n v="28"/>
    <n v="14"/>
    <s v="LDN"/>
    <n v="100"/>
    <x v="0"/>
    <n v="1"/>
    <n v="115"/>
    <n v="3.8"/>
    <m/>
    <x v="0"/>
    <n v="111.2"/>
    <m/>
    <m/>
    <x v="0"/>
    <x v="0"/>
    <n v="0"/>
    <n v="0"/>
    <x v="0"/>
    <x v="0"/>
    <m/>
    <x v="0"/>
    <x v="0"/>
    <x v="0"/>
    <x v="0"/>
    <x v="0"/>
    <n v="0"/>
    <n v="0"/>
    <n v="0"/>
    <n v="12"/>
    <x v="1"/>
    <x v="0"/>
    <m/>
    <x v="0"/>
    <m/>
    <x v="0"/>
    <x v="0"/>
    <x v="0"/>
    <x v="0"/>
    <x v="0"/>
  </r>
  <r>
    <x v="1"/>
    <x v="11"/>
    <s v="4319 J"/>
    <x v="99"/>
    <s v="Waqas Wollan Mills Gujranwala"/>
    <s v="LDN"/>
    <n v="18"/>
    <s v="10-10.5"/>
    <s v="LDN"/>
    <n v="120"/>
    <x v="0"/>
    <n v="1"/>
    <n v="53.4"/>
    <n v="2.2000000000000002"/>
    <m/>
    <x v="0"/>
    <n v="51.199999999999996"/>
    <m/>
    <m/>
    <x v="0"/>
    <x v="0"/>
    <n v="0"/>
    <n v="0"/>
    <x v="0"/>
    <x v="0"/>
    <m/>
    <x v="0"/>
    <x v="0"/>
    <x v="0"/>
    <x v="0"/>
    <x v="0"/>
    <n v="0"/>
    <n v="0"/>
    <n v="0"/>
    <n v="12"/>
    <x v="1"/>
    <x v="0"/>
    <m/>
    <x v="0"/>
    <m/>
    <x v="0"/>
    <x v="0"/>
    <x v="0"/>
    <x v="0"/>
    <x v="0"/>
  </r>
  <r>
    <x v="0"/>
    <x v="13"/>
    <s v="2795/1"/>
    <x v="99"/>
    <s v="ENGRO ZARKHEZ"/>
    <s v="LDN"/>
    <s v="24-24.5"/>
    <s v="60±1"/>
    <s v="LDN"/>
    <n v="0"/>
    <x v="0"/>
    <n v="5"/>
    <n v="533.20000000000005"/>
    <n v="15.4"/>
    <n v="12"/>
    <x v="0"/>
    <n v="517.80000000000007"/>
    <m/>
    <m/>
    <x v="0"/>
    <x v="0"/>
    <n v="0"/>
    <n v="0"/>
    <x v="0"/>
    <x v="0"/>
    <m/>
    <x v="0"/>
    <x v="0"/>
    <x v="0"/>
    <x v="0"/>
    <x v="0"/>
    <n v="0"/>
    <n v="0"/>
    <n v="0"/>
    <n v="12"/>
    <x v="1"/>
    <x v="0"/>
    <m/>
    <x v="0"/>
    <m/>
    <x v="0"/>
    <x v="0"/>
    <x v="0"/>
    <x v="0"/>
    <x v="0"/>
  </r>
  <r>
    <x v="1"/>
    <x v="13"/>
    <s v="2795/1"/>
    <x v="99"/>
    <s v="ENGRO ZARKHEZ"/>
    <s v="LDN"/>
    <s v="24-24.5"/>
    <s v="60±1"/>
    <s v="LDN"/>
    <n v="0"/>
    <x v="0"/>
    <n v="5"/>
    <n v="525"/>
    <n v="14.1"/>
    <n v="30"/>
    <x v="0"/>
    <n v="510.9"/>
    <m/>
    <m/>
    <x v="0"/>
    <x v="0"/>
    <n v="0"/>
    <n v="0"/>
    <x v="0"/>
    <x v="0"/>
    <n v="60"/>
    <x v="7"/>
    <x v="0"/>
    <x v="0"/>
    <x v="0"/>
    <x v="0"/>
    <n v="80"/>
    <n v="1.3333333333333333"/>
    <n v="1.3333333333333333"/>
    <n v="10.666666666666666"/>
    <x v="1"/>
    <x v="0"/>
    <m/>
    <x v="0"/>
    <m/>
    <x v="0"/>
    <x v="0"/>
    <x v="0"/>
    <x v="0"/>
    <x v="0"/>
  </r>
  <r>
    <x v="0"/>
    <x v="12"/>
    <s v="262 R"/>
    <x v="99"/>
    <s v="ریفلیکٹ پیک"/>
    <s v="LDN"/>
    <n v="35"/>
    <s v="5-5.5"/>
    <s v="LDN"/>
    <n v="10000"/>
    <x v="0"/>
    <n v="6"/>
    <n v="452.4"/>
    <n v="22.200000000000003"/>
    <n v="18"/>
    <x v="0"/>
    <n v="430.2"/>
    <m/>
    <m/>
    <x v="0"/>
    <x v="0"/>
    <n v="0"/>
    <n v="0"/>
    <x v="0"/>
    <x v="0"/>
    <n v="300"/>
    <x v="0"/>
    <x v="0"/>
    <x v="0"/>
    <x v="0"/>
    <x v="0"/>
    <n v="300"/>
    <n v="5"/>
    <n v="5"/>
    <n v="7"/>
    <x v="1"/>
    <x v="0"/>
    <m/>
    <x v="0"/>
    <m/>
    <x v="0"/>
    <x v="0"/>
    <x v="0"/>
    <x v="0"/>
    <x v="0"/>
  </r>
  <r>
    <x v="1"/>
    <x v="12"/>
    <s v="262 R"/>
    <x v="99"/>
    <s v="ریفلیکٹ پیک"/>
    <s v="LDN"/>
    <n v="35"/>
    <s v="5-5.5"/>
    <s v="LDN"/>
    <n v="10000"/>
    <x v="0"/>
    <n v="11"/>
    <n v="795.4"/>
    <n v="46.4"/>
    <n v="12.2"/>
    <x v="0"/>
    <n v="749"/>
    <m/>
    <m/>
    <x v="0"/>
    <x v="0"/>
    <n v="0"/>
    <n v="0"/>
    <x v="0"/>
    <x v="0"/>
    <m/>
    <x v="1"/>
    <x v="0"/>
    <x v="0"/>
    <x v="0"/>
    <x v="0"/>
    <n v="10"/>
    <n v="0.16666666666666666"/>
    <n v="0.16666666666666666"/>
    <n v="11.833333333333334"/>
    <x v="1"/>
    <x v="0"/>
    <m/>
    <x v="0"/>
    <m/>
    <x v="0"/>
    <x v="0"/>
    <x v="0"/>
    <x v="0"/>
    <x v="0"/>
  </r>
  <r>
    <x v="0"/>
    <x v="8"/>
    <s v="2793/1"/>
    <x v="100"/>
    <s v="PT-02 (MEHBOOB MAQBOOL GJW)"/>
    <s v="LDM"/>
    <n v="5"/>
    <n v="9"/>
    <s v="LDM"/>
    <n v="250"/>
    <x v="0"/>
    <n v="5"/>
    <n v="118.39999999999999"/>
    <n v="4.1999999999999993"/>
    <n v="6.2"/>
    <x v="0"/>
    <n v="114.19999999999999"/>
    <m/>
    <m/>
    <x v="0"/>
    <x v="0"/>
    <n v="0"/>
    <n v="0"/>
    <x v="0"/>
    <x v="0"/>
    <m/>
    <x v="0"/>
    <x v="0"/>
    <x v="0"/>
    <x v="0"/>
    <x v="0"/>
    <n v="0"/>
    <n v="0"/>
    <n v="0"/>
    <n v="12"/>
    <x v="1"/>
    <x v="0"/>
    <m/>
    <x v="0"/>
    <m/>
    <x v="0"/>
    <x v="0"/>
    <x v="0"/>
    <x v="0"/>
    <x v="0"/>
  </r>
  <r>
    <x v="1"/>
    <x v="8"/>
    <s v="2793/1"/>
    <x v="100"/>
    <s v="PT-02 (MEHBOOB MAQBOOL GJW)"/>
    <s v="LDM"/>
    <n v="5"/>
    <n v="9"/>
    <s v="LDM"/>
    <n v="250"/>
    <x v="0"/>
    <n v="2"/>
    <n v="63"/>
    <n v="1.4"/>
    <n v="22"/>
    <x v="0"/>
    <n v="61.6"/>
    <m/>
    <n v="20"/>
    <x v="0"/>
    <x v="0"/>
    <n v="20"/>
    <n v="0.33333333333333331"/>
    <x v="0"/>
    <x v="0"/>
    <m/>
    <x v="0"/>
    <x v="0"/>
    <x v="0"/>
    <x v="0"/>
    <x v="0"/>
    <n v="0"/>
    <n v="0"/>
    <n v="0.33333333333333331"/>
    <n v="11.666666666666666"/>
    <x v="1"/>
    <x v="0"/>
    <m/>
    <x v="0"/>
    <m/>
    <x v="0"/>
    <x v="0"/>
    <x v="0"/>
    <x v="0"/>
    <x v="0"/>
  </r>
  <r>
    <x v="0"/>
    <x v="9"/>
    <s v="2783/1"/>
    <x v="100"/>
    <s v="PT-01"/>
    <s v="LD سرخ"/>
    <n v="4"/>
    <n v="80"/>
    <s v="LD سرخ"/>
    <n v="2500"/>
    <x v="0"/>
    <n v="9"/>
    <n v="227.86"/>
    <n v="3.6"/>
    <n v="3.4"/>
    <x v="0"/>
    <n v="224.26000000000002"/>
    <m/>
    <m/>
    <x v="0"/>
    <x v="0"/>
    <n v="0"/>
    <n v="0"/>
    <x v="0"/>
    <x v="0"/>
    <m/>
    <x v="0"/>
    <x v="0"/>
    <x v="0"/>
    <x v="0"/>
    <x v="0"/>
    <n v="0"/>
    <n v="0"/>
    <n v="0"/>
    <n v="12"/>
    <x v="1"/>
    <x v="0"/>
    <m/>
    <x v="0"/>
    <m/>
    <x v="0"/>
    <x v="0"/>
    <x v="0"/>
    <x v="0"/>
    <x v="0"/>
  </r>
  <r>
    <x v="0"/>
    <x v="10"/>
    <s v="4240 J"/>
    <x v="100"/>
    <s v="International Industries (LTD)"/>
    <s v="LD پیلا"/>
    <s v="300 MM"/>
    <s v="48-50"/>
    <s v="LDM"/>
    <n v="3000"/>
    <x v="0"/>
    <n v="3"/>
    <n v="439.6"/>
    <n v="4.5"/>
    <m/>
    <x v="0"/>
    <n v="435.1"/>
    <m/>
    <m/>
    <x v="0"/>
    <x v="0"/>
    <n v="0"/>
    <n v="0"/>
    <x v="0"/>
    <x v="0"/>
    <m/>
    <x v="0"/>
    <x v="0"/>
    <x v="0"/>
    <x v="0"/>
    <x v="0"/>
    <n v="0"/>
    <n v="0"/>
    <n v="0"/>
    <n v="12"/>
    <x v="1"/>
    <x v="0"/>
    <m/>
    <x v="0"/>
    <m/>
    <x v="0"/>
    <x v="0"/>
    <x v="0"/>
    <x v="0"/>
    <x v="0"/>
  </r>
  <r>
    <x v="1"/>
    <x v="10"/>
    <s v="4240 J"/>
    <x v="100"/>
    <s v="International Industries (LTD)"/>
    <s v="LD پیلا"/>
    <s v="300 MM"/>
    <s v="48-50"/>
    <s v="LDM"/>
    <n v="3000"/>
    <x v="0"/>
    <n v="4"/>
    <n v="464.6"/>
    <n v="6"/>
    <m/>
    <x v="0"/>
    <n v="458.6"/>
    <m/>
    <m/>
    <x v="0"/>
    <x v="0"/>
    <n v="0"/>
    <n v="0"/>
    <x v="0"/>
    <x v="0"/>
    <m/>
    <x v="0"/>
    <x v="0"/>
    <x v="0"/>
    <x v="0"/>
    <x v="0"/>
    <n v="0"/>
    <n v="0"/>
    <n v="0"/>
    <n v="12"/>
    <x v="1"/>
    <x v="0"/>
    <m/>
    <x v="0"/>
    <m/>
    <x v="0"/>
    <x v="0"/>
    <x v="0"/>
    <x v="0"/>
    <x v="0"/>
  </r>
  <r>
    <x v="0"/>
    <x v="11"/>
    <s v="4308 J"/>
    <x v="100"/>
    <s v="Usman Arif Butt Gujranwala"/>
    <s v="LDN"/>
    <n v="28"/>
    <n v="14"/>
    <s v="LDN"/>
    <n v="100"/>
    <x v="0"/>
    <n v="1"/>
    <n v="110.8"/>
    <n v="3.4"/>
    <m/>
    <x v="0"/>
    <n v="107.39999999999999"/>
    <m/>
    <m/>
    <x v="0"/>
    <x v="9"/>
    <n v="360"/>
    <n v="6"/>
    <x v="0"/>
    <x v="0"/>
    <n v="30"/>
    <x v="0"/>
    <x v="0"/>
    <x v="0"/>
    <x v="0"/>
    <x v="0"/>
    <n v="30"/>
    <n v="0.5"/>
    <n v="6.5"/>
    <n v="5.5"/>
    <x v="1"/>
    <x v="0"/>
    <m/>
    <x v="0"/>
    <m/>
    <x v="0"/>
    <x v="0"/>
    <x v="0"/>
    <x v="0"/>
    <x v="0"/>
  </r>
  <r>
    <x v="0"/>
    <x v="11"/>
    <s v="4309 J"/>
    <x v="100"/>
    <s v="Usman Arif Butt Gujranwala"/>
    <s v="LDN"/>
    <n v="26"/>
    <n v="14"/>
    <s v="LDN"/>
    <n v="100"/>
    <x v="0"/>
    <n v="1"/>
    <n v="118.4"/>
    <n v="3.1"/>
    <m/>
    <x v="0"/>
    <n v="115.30000000000001"/>
    <m/>
    <m/>
    <x v="0"/>
    <x v="0"/>
    <n v="0"/>
    <n v="0"/>
    <x v="0"/>
    <x v="0"/>
    <m/>
    <x v="0"/>
    <x v="0"/>
    <x v="0"/>
    <x v="0"/>
    <x v="0"/>
    <n v="0"/>
    <n v="0"/>
    <n v="0"/>
    <n v="12"/>
    <x v="1"/>
    <x v="0"/>
    <m/>
    <x v="0"/>
    <m/>
    <x v="0"/>
    <x v="0"/>
    <x v="0"/>
    <x v="0"/>
    <x v="0"/>
  </r>
  <r>
    <x v="1"/>
    <x v="11"/>
    <s v="2178 F"/>
    <x v="100"/>
    <s v="Usman Amin"/>
    <s v="LDN"/>
    <n v="19"/>
    <s v="8-8.5"/>
    <s v="LDN"/>
    <n v="490"/>
    <x v="0"/>
    <n v="5"/>
    <n v="295.60000000000002"/>
    <n v="10.5"/>
    <m/>
    <x v="0"/>
    <n v="285.10000000000002"/>
    <m/>
    <m/>
    <x v="0"/>
    <x v="0"/>
    <n v="0"/>
    <n v="0"/>
    <x v="0"/>
    <x v="0"/>
    <m/>
    <x v="0"/>
    <x v="0"/>
    <x v="0"/>
    <x v="0"/>
    <x v="0"/>
    <n v="0"/>
    <n v="0"/>
    <n v="0"/>
    <n v="12"/>
    <x v="1"/>
    <x v="0"/>
    <m/>
    <x v="0"/>
    <m/>
    <x v="0"/>
    <x v="0"/>
    <x v="0"/>
    <x v="0"/>
    <x v="0"/>
  </r>
  <r>
    <x v="0"/>
    <x v="13"/>
    <s v="2795/1"/>
    <x v="100"/>
    <s v="ENGRO ZARKHEZ"/>
    <s v="LDN"/>
    <s v="24-24.5"/>
    <s v="60±1"/>
    <s v="LDN"/>
    <n v="0"/>
    <x v="0"/>
    <n v="5"/>
    <n v="573.20000000000005"/>
    <n v="14"/>
    <m/>
    <x v="0"/>
    <n v="559.20000000000005"/>
    <m/>
    <m/>
    <x v="0"/>
    <x v="0"/>
    <n v="0"/>
    <n v="0"/>
    <x v="0"/>
    <x v="0"/>
    <m/>
    <x v="0"/>
    <x v="0"/>
    <x v="0"/>
    <x v="0"/>
    <x v="0"/>
    <n v="0"/>
    <n v="0"/>
    <n v="0"/>
    <n v="12"/>
    <x v="1"/>
    <x v="0"/>
    <m/>
    <x v="0"/>
    <m/>
    <x v="0"/>
    <x v="0"/>
    <x v="0"/>
    <x v="0"/>
    <x v="0"/>
  </r>
  <r>
    <x v="1"/>
    <x v="13"/>
    <s v="2795/1"/>
    <x v="100"/>
    <s v="ENGRO ZARKHEZ"/>
    <s v="LDN"/>
    <s v="24-24.5"/>
    <s v="60±1"/>
    <s v="LDN"/>
    <n v="0"/>
    <x v="0"/>
    <n v="5"/>
    <n v="557.79999999999995"/>
    <n v="14"/>
    <m/>
    <x v="0"/>
    <n v="543.79999999999995"/>
    <m/>
    <m/>
    <x v="0"/>
    <x v="0"/>
    <n v="0"/>
    <n v="0"/>
    <x v="0"/>
    <x v="0"/>
    <m/>
    <x v="0"/>
    <x v="0"/>
    <x v="0"/>
    <x v="0"/>
    <x v="0"/>
    <n v="0"/>
    <n v="0"/>
    <n v="0"/>
    <n v="12"/>
    <x v="1"/>
    <x v="0"/>
    <m/>
    <x v="0"/>
    <m/>
    <x v="0"/>
    <x v="0"/>
    <x v="0"/>
    <x v="0"/>
    <x v="0"/>
  </r>
  <r>
    <x v="0"/>
    <x v="12"/>
    <s v="262 R"/>
    <x v="100"/>
    <s v="ریفلیکٹ پیک"/>
    <s v="LDN"/>
    <n v="35"/>
    <s v="5-5.5"/>
    <s v="LDN"/>
    <n v="10000"/>
    <x v="0"/>
    <n v="12"/>
    <n v="857.4"/>
    <n v="52.800000000000004"/>
    <n v="24"/>
    <x v="0"/>
    <n v="804.6"/>
    <m/>
    <m/>
    <x v="0"/>
    <x v="0"/>
    <n v="0"/>
    <n v="0"/>
    <x v="0"/>
    <x v="0"/>
    <m/>
    <x v="0"/>
    <x v="0"/>
    <x v="0"/>
    <x v="0"/>
    <x v="0"/>
    <n v="0"/>
    <n v="0"/>
    <n v="0"/>
    <n v="12"/>
    <x v="1"/>
    <x v="0"/>
    <m/>
    <x v="0"/>
    <m/>
    <x v="0"/>
    <x v="0"/>
    <x v="0"/>
    <x v="0"/>
    <x v="0"/>
  </r>
  <r>
    <x v="1"/>
    <x v="12"/>
    <s v="4310 J"/>
    <x v="100"/>
    <s v="Usman Arif Butt Gujranwala"/>
    <s v="LDN"/>
    <n v="32"/>
    <n v="14"/>
    <s v="LDN"/>
    <n v="100"/>
    <x v="0"/>
    <n v="2"/>
    <n v="106.2"/>
    <n v="8"/>
    <n v="31"/>
    <x v="0"/>
    <n v="98.2"/>
    <m/>
    <n v="5"/>
    <x v="0"/>
    <x v="0"/>
    <n v="5"/>
    <n v="8.3333333333333329E-2"/>
    <x v="0"/>
    <x v="0"/>
    <m/>
    <x v="0"/>
    <x v="0"/>
    <x v="0"/>
    <x v="0"/>
    <x v="0"/>
    <n v="0"/>
    <n v="0"/>
    <n v="8.3333333333333329E-2"/>
    <n v="11.916666666666666"/>
    <x v="1"/>
    <x v="0"/>
    <m/>
    <x v="0"/>
    <m/>
    <x v="0"/>
    <x v="0"/>
    <x v="0"/>
    <x v="0"/>
    <x v="0"/>
  </r>
  <r>
    <x v="1"/>
    <x v="12"/>
    <s v="2155 F"/>
    <x v="100"/>
    <s v="Usman Amin"/>
    <s v="LDN"/>
    <s v="16 SHEET"/>
    <s v="3.3.25/6.6.5"/>
    <s v="LDN"/>
    <n v="1000"/>
    <x v="0"/>
    <n v="8"/>
    <n v="396.09999999999997"/>
    <n v="11.2"/>
    <m/>
    <x v="0"/>
    <n v="384.9"/>
    <m/>
    <m/>
    <x v="0"/>
    <x v="0"/>
    <n v="0"/>
    <n v="0"/>
    <x v="0"/>
    <x v="0"/>
    <m/>
    <x v="0"/>
    <x v="0"/>
    <x v="0"/>
    <x v="0"/>
    <x v="0"/>
    <n v="0"/>
    <n v="0"/>
    <n v="0"/>
    <n v="12"/>
    <x v="1"/>
    <x v="0"/>
    <m/>
    <x v="0"/>
    <m/>
    <x v="0"/>
    <x v="0"/>
    <x v="0"/>
    <x v="0"/>
    <x v="0"/>
  </r>
  <r>
    <x v="0"/>
    <x v="8"/>
    <s v="4334 J"/>
    <x v="101"/>
    <s v="Adam Jee Dura Duct Built PVT LTD"/>
    <s v="LDN"/>
    <n v="9"/>
    <s v="15-16"/>
    <s v="LDN"/>
    <n v="500"/>
    <x v="0"/>
    <n v="4"/>
    <n v="236"/>
    <n v="4.2"/>
    <m/>
    <x v="0"/>
    <n v="231.8"/>
    <m/>
    <m/>
    <x v="0"/>
    <x v="0"/>
    <n v="0"/>
    <n v="0"/>
    <x v="0"/>
    <x v="0"/>
    <m/>
    <x v="0"/>
    <x v="0"/>
    <x v="0"/>
    <x v="0"/>
    <x v="0"/>
    <n v="0"/>
    <n v="0"/>
    <n v="0"/>
    <n v="12"/>
    <x v="1"/>
    <x v="0"/>
    <n v="2200"/>
    <x v="0"/>
    <m/>
    <x v="0"/>
    <x v="0"/>
    <x v="0"/>
    <x v="0"/>
    <x v="0"/>
  </r>
  <r>
    <x v="1"/>
    <x v="8"/>
    <s v="4334 J"/>
    <x v="101"/>
    <s v="Adam Jee Dura Duct Built PVT LTD"/>
    <s v="LDN"/>
    <n v="9"/>
    <s v="15-16"/>
    <s v="LDN"/>
    <n v="500"/>
    <x v="0"/>
    <n v="5"/>
    <n v="204.48000000000002"/>
    <n v="5.5"/>
    <m/>
    <x v="0"/>
    <n v="198.98000000000002"/>
    <m/>
    <m/>
    <x v="0"/>
    <x v="0"/>
    <n v="0"/>
    <n v="0"/>
    <x v="0"/>
    <x v="0"/>
    <m/>
    <x v="0"/>
    <x v="0"/>
    <x v="0"/>
    <x v="0"/>
    <x v="0"/>
    <n v="0"/>
    <n v="0"/>
    <n v="0"/>
    <n v="12"/>
    <x v="1"/>
    <x v="0"/>
    <m/>
    <x v="0"/>
    <m/>
    <x v="0"/>
    <x v="0"/>
    <x v="0"/>
    <x v="0"/>
    <x v="0"/>
  </r>
  <r>
    <x v="0"/>
    <x v="9"/>
    <s v="2783/1"/>
    <x v="101"/>
    <s v="PT-01"/>
    <s v="LD سرخ"/>
    <n v="4"/>
    <n v="80"/>
    <s v="LD سرخ"/>
    <n v="2500"/>
    <x v="0"/>
    <n v="7"/>
    <n v="182.54"/>
    <n v="2.7"/>
    <n v="15"/>
    <x v="0"/>
    <n v="179.84"/>
    <m/>
    <m/>
    <x v="0"/>
    <x v="0"/>
    <n v="0"/>
    <n v="0"/>
    <x v="0"/>
    <x v="0"/>
    <m/>
    <x v="2"/>
    <x v="0"/>
    <x v="0"/>
    <x v="10"/>
    <x v="0"/>
    <n v="40"/>
    <n v="0.66666666666666663"/>
    <n v="0.66666666666666663"/>
    <n v="11.333333333333334"/>
    <x v="1"/>
    <x v="0"/>
    <m/>
    <x v="0"/>
    <m/>
    <x v="0"/>
    <x v="0"/>
    <x v="0"/>
    <x v="0"/>
    <x v="0"/>
  </r>
  <r>
    <x v="1"/>
    <x v="9"/>
    <s v="2783/1"/>
    <x v="101"/>
    <s v="PT-01"/>
    <s v="LD سرخ"/>
    <n v="4"/>
    <n v="80"/>
    <s v="LD سرخ"/>
    <n v="2500"/>
    <x v="0"/>
    <n v="9"/>
    <n v="220.32"/>
    <n v="3.6"/>
    <n v="7"/>
    <x v="0"/>
    <n v="216.72"/>
    <m/>
    <m/>
    <x v="0"/>
    <x v="0"/>
    <n v="0"/>
    <n v="0"/>
    <x v="0"/>
    <x v="0"/>
    <m/>
    <x v="0"/>
    <x v="0"/>
    <x v="0"/>
    <x v="0"/>
    <x v="0"/>
    <n v="0"/>
    <n v="0"/>
    <n v="0"/>
    <n v="12"/>
    <x v="1"/>
    <x v="0"/>
    <m/>
    <x v="0"/>
    <m/>
    <x v="0"/>
    <x v="0"/>
    <x v="0"/>
    <x v="0"/>
    <x v="0"/>
  </r>
  <r>
    <x v="1"/>
    <x v="10"/>
    <s v="4240 J"/>
    <x v="101"/>
    <s v="International Industries (LTD)"/>
    <s v="LD پیلا"/>
    <s v="300 MM"/>
    <s v="48-50"/>
    <s v="LDM"/>
    <n v="3000"/>
    <x v="0"/>
    <n v="2"/>
    <n v="333.6"/>
    <n v="3"/>
    <n v="25"/>
    <x v="0"/>
    <n v="330.6"/>
    <m/>
    <m/>
    <x v="0"/>
    <x v="10"/>
    <n v="120"/>
    <n v="2"/>
    <x v="0"/>
    <x v="0"/>
    <m/>
    <x v="0"/>
    <x v="0"/>
    <x v="0"/>
    <x v="0"/>
    <x v="0"/>
    <n v="0"/>
    <n v="0"/>
    <n v="2"/>
    <n v="10"/>
    <x v="1"/>
    <x v="0"/>
    <m/>
    <x v="0"/>
    <m/>
    <x v="0"/>
    <x v="0"/>
    <x v="0"/>
    <x v="0"/>
    <x v="0"/>
  </r>
  <r>
    <x v="0"/>
    <x v="11"/>
    <s v="2178 F"/>
    <x v="101"/>
    <s v="Usman Amin"/>
    <s v="LDN"/>
    <n v="19"/>
    <s v="8-8.5"/>
    <s v="LDN"/>
    <n v="490"/>
    <x v="0"/>
    <n v="4"/>
    <n v="232.6"/>
    <n v="8.8000000000000007"/>
    <n v="4"/>
    <x v="0"/>
    <n v="223.79999999999998"/>
    <m/>
    <m/>
    <x v="0"/>
    <x v="0"/>
    <n v="0"/>
    <n v="0"/>
    <x v="0"/>
    <x v="0"/>
    <m/>
    <x v="0"/>
    <x v="0"/>
    <x v="0"/>
    <x v="0"/>
    <x v="0"/>
    <n v="0"/>
    <n v="0"/>
    <n v="0"/>
    <n v="12"/>
    <x v="1"/>
    <x v="0"/>
    <m/>
    <x v="0"/>
    <m/>
    <x v="0"/>
    <x v="0"/>
    <x v="0"/>
    <x v="0"/>
    <x v="0"/>
  </r>
  <r>
    <x v="0"/>
    <x v="11"/>
    <s v="4335 J"/>
    <x v="101"/>
    <s v="Royal Brook Lahore"/>
    <s v="LDN"/>
    <n v="19"/>
    <s v="8-8.5"/>
    <s v="LDN"/>
    <n v="300"/>
    <x v="0"/>
    <n v="3"/>
    <n v="167"/>
    <n v="6.6000000000000005"/>
    <m/>
    <x v="0"/>
    <n v="160.4"/>
    <m/>
    <m/>
    <x v="0"/>
    <x v="0"/>
    <n v="0"/>
    <n v="0"/>
    <x v="0"/>
    <x v="0"/>
    <m/>
    <x v="0"/>
    <x v="0"/>
    <x v="0"/>
    <x v="0"/>
    <x v="0"/>
    <n v="0"/>
    <n v="0"/>
    <n v="0"/>
    <n v="12"/>
    <x v="1"/>
    <x v="0"/>
    <m/>
    <x v="0"/>
    <m/>
    <x v="0"/>
    <x v="0"/>
    <x v="0"/>
    <x v="0"/>
    <x v="0"/>
  </r>
  <r>
    <x v="1"/>
    <x v="11"/>
    <s v="4335 J"/>
    <x v="101"/>
    <s v="Royal Brook Lahore"/>
    <s v="LDN"/>
    <n v="19"/>
    <s v="8-8.5"/>
    <s v="LDN"/>
    <n v="300"/>
    <x v="0"/>
    <n v="3"/>
    <n v="169.60000000000002"/>
    <n v="6.6000000000000005"/>
    <n v="8"/>
    <x v="0"/>
    <n v="163.00000000000003"/>
    <m/>
    <n v="5"/>
    <x v="0"/>
    <x v="0"/>
    <n v="5"/>
    <n v="8.3333333333333329E-2"/>
    <x v="0"/>
    <x v="0"/>
    <m/>
    <x v="0"/>
    <x v="0"/>
    <x v="0"/>
    <x v="0"/>
    <x v="0"/>
    <n v="0"/>
    <n v="0"/>
    <n v="8.3333333333333329E-2"/>
    <n v="11.916666666666666"/>
    <x v="1"/>
    <x v="0"/>
    <m/>
    <x v="0"/>
    <m/>
    <x v="0"/>
    <x v="0"/>
    <x v="0"/>
    <x v="0"/>
    <x v="0"/>
  </r>
  <r>
    <x v="1"/>
    <x v="11"/>
    <s v="2173 F"/>
    <x v="101"/>
    <s v="Usman Amin"/>
    <s v="LDN"/>
    <n v="16"/>
    <s v="7.7.5"/>
    <s v="LDN"/>
    <n v="22"/>
    <x v="0"/>
    <n v="2"/>
    <n v="115.4"/>
    <n v="3.8"/>
    <m/>
    <x v="0"/>
    <n v="111.60000000000001"/>
    <m/>
    <m/>
    <x v="0"/>
    <x v="0"/>
    <n v="0"/>
    <n v="0"/>
    <x v="0"/>
    <x v="0"/>
    <m/>
    <x v="0"/>
    <x v="0"/>
    <x v="0"/>
    <x v="0"/>
    <x v="0"/>
    <n v="0"/>
    <n v="0"/>
    <n v="0"/>
    <n v="12"/>
    <x v="1"/>
    <x v="0"/>
    <m/>
    <x v="0"/>
    <m/>
    <x v="0"/>
    <x v="0"/>
    <x v="0"/>
    <x v="0"/>
    <x v="0"/>
  </r>
  <r>
    <x v="1"/>
    <x v="11"/>
    <s v="2175 F"/>
    <x v="101"/>
    <s v="Usman Amin"/>
    <s v="LDN"/>
    <n v="17"/>
    <s v="7"/>
    <s v="LDN"/>
    <n v="250"/>
    <x v="0"/>
    <n v="1"/>
    <n v="52.6"/>
    <n v="2.1"/>
    <m/>
    <x v="0"/>
    <n v="50.5"/>
    <m/>
    <m/>
    <x v="0"/>
    <x v="0"/>
    <n v="0"/>
    <n v="0"/>
    <x v="0"/>
    <x v="0"/>
    <m/>
    <x v="0"/>
    <x v="0"/>
    <x v="0"/>
    <x v="0"/>
    <x v="0"/>
    <n v="0"/>
    <n v="0"/>
    <n v="0"/>
    <n v="12"/>
    <x v="1"/>
    <x v="0"/>
    <m/>
    <x v="0"/>
    <m/>
    <x v="0"/>
    <x v="0"/>
    <x v="0"/>
    <x v="0"/>
    <x v="0"/>
  </r>
  <r>
    <x v="0"/>
    <x v="13"/>
    <s v="2795/1"/>
    <x v="101"/>
    <s v="ENGRO ZARKHEZ"/>
    <s v="LDN"/>
    <s v="24-24.5"/>
    <s v="60±1"/>
    <s v="LDN"/>
    <n v="0"/>
    <x v="0"/>
    <n v="4"/>
    <n v="523.29999999999995"/>
    <n v="10.8"/>
    <n v="3.2"/>
    <x v="0"/>
    <n v="512.5"/>
    <m/>
    <m/>
    <x v="0"/>
    <x v="0"/>
    <n v="0"/>
    <n v="0"/>
    <x v="0"/>
    <x v="0"/>
    <m/>
    <x v="0"/>
    <x v="0"/>
    <x v="0"/>
    <x v="0"/>
    <x v="0"/>
    <n v="0"/>
    <n v="0"/>
    <n v="0"/>
    <n v="12"/>
    <x v="1"/>
    <x v="0"/>
    <m/>
    <x v="0"/>
    <m/>
    <x v="0"/>
    <x v="0"/>
    <x v="0"/>
    <x v="0"/>
    <x v="0"/>
  </r>
  <r>
    <x v="1"/>
    <x v="13"/>
    <s v="2795/1"/>
    <x v="101"/>
    <s v="ENGRO ZARKHEZ"/>
    <s v="LDN"/>
    <s v="24-24.5"/>
    <s v="60±1"/>
    <s v="LDN"/>
    <n v="0"/>
    <x v="0"/>
    <n v="5"/>
    <n v="584.6"/>
    <n v="12.9"/>
    <m/>
    <x v="0"/>
    <n v="571.70000000000005"/>
    <m/>
    <m/>
    <x v="0"/>
    <x v="0"/>
    <n v="0"/>
    <n v="0"/>
    <x v="0"/>
    <x v="0"/>
    <m/>
    <x v="0"/>
    <x v="0"/>
    <x v="0"/>
    <x v="0"/>
    <x v="0"/>
    <n v="0"/>
    <n v="0"/>
    <n v="0"/>
    <n v="12"/>
    <x v="1"/>
    <x v="0"/>
    <m/>
    <x v="0"/>
    <m/>
    <x v="0"/>
    <x v="0"/>
    <x v="0"/>
    <x v="0"/>
    <x v="0"/>
  </r>
  <r>
    <x v="0"/>
    <x v="12"/>
    <s v="2155 F"/>
    <x v="101"/>
    <s v="Usman Amin"/>
    <s v="LDN"/>
    <s v="16 SHEET"/>
    <s v="3.3.25/6.6.5"/>
    <s v="LDN"/>
    <n v="1000"/>
    <x v="0"/>
    <n v="12"/>
    <n v="619.9"/>
    <n v="19.2"/>
    <m/>
    <x v="0"/>
    <n v="600.69999999999993"/>
    <m/>
    <n v="5"/>
    <x v="0"/>
    <x v="0"/>
    <n v="5"/>
    <n v="8.3333333333333329E-2"/>
    <x v="0"/>
    <x v="0"/>
    <m/>
    <x v="0"/>
    <x v="0"/>
    <x v="0"/>
    <x v="0"/>
    <x v="0"/>
    <n v="0"/>
    <n v="0"/>
    <n v="8.3333333333333329E-2"/>
    <n v="11.916666666666666"/>
    <x v="1"/>
    <x v="0"/>
    <m/>
    <x v="0"/>
    <m/>
    <x v="0"/>
    <x v="0"/>
    <x v="0"/>
    <x v="0"/>
    <x v="0"/>
  </r>
  <r>
    <x v="0"/>
    <x v="12"/>
    <s v="262 R"/>
    <x v="101"/>
    <s v="ریفلیکٹ پیک"/>
    <s v="LDN"/>
    <n v="35"/>
    <s v="5-5.5"/>
    <s v="LDN"/>
    <n v="10000"/>
    <x v="0"/>
    <n v="1"/>
    <n v="55"/>
    <n v="3.5"/>
    <m/>
    <x v="0"/>
    <n v="51.5"/>
    <m/>
    <m/>
    <x v="0"/>
    <x v="0"/>
    <n v="0"/>
    <n v="0"/>
    <x v="0"/>
    <x v="0"/>
    <m/>
    <x v="0"/>
    <x v="0"/>
    <x v="0"/>
    <x v="0"/>
    <x v="0"/>
    <n v="0"/>
    <n v="0"/>
    <n v="0"/>
    <n v="12"/>
    <x v="1"/>
    <x v="0"/>
    <m/>
    <x v="0"/>
    <m/>
    <x v="0"/>
    <x v="0"/>
    <x v="0"/>
    <x v="0"/>
    <x v="0"/>
  </r>
  <r>
    <x v="1"/>
    <x v="12"/>
    <s v="262 R"/>
    <x v="101"/>
    <s v="ریفلیکٹ پیک"/>
    <s v="LDN"/>
    <n v="35"/>
    <s v="5-5.5"/>
    <s v="LDN"/>
    <n v="10000"/>
    <x v="0"/>
    <n v="9"/>
    <n v="680.7"/>
    <n v="32.6"/>
    <m/>
    <x v="0"/>
    <n v="648.1"/>
    <m/>
    <m/>
    <x v="0"/>
    <x v="0"/>
    <n v="0"/>
    <n v="0"/>
    <x v="0"/>
    <x v="0"/>
    <m/>
    <x v="0"/>
    <x v="0"/>
    <x v="0"/>
    <x v="0"/>
    <x v="0"/>
    <n v="0"/>
    <n v="0"/>
    <n v="0"/>
    <n v="12"/>
    <x v="1"/>
    <x v="0"/>
    <m/>
    <x v="0"/>
    <m/>
    <x v="0"/>
    <x v="0"/>
    <x v="0"/>
    <x v="0"/>
    <x v="0"/>
  </r>
  <r>
    <x v="0"/>
    <x v="8"/>
    <s v="4334 J"/>
    <x v="102"/>
    <s v="Adam Jee Dura Duct Built PVT LTD"/>
    <s v="LDN"/>
    <n v="9"/>
    <s v="15-16"/>
    <s v="LDN"/>
    <n v="500"/>
    <x v="0"/>
    <n v="2"/>
    <n v="70.599999999999994"/>
    <n v="2.2000000000000002"/>
    <m/>
    <x v="0"/>
    <n v="68.399999999999991"/>
    <m/>
    <m/>
    <x v="0"/>
    <x v="0"/>
    <n v="0"/>
    <n v="0"/>
    <x v="0"/>
    <x v="0"/>
    <m/>
    <x v="0"/>
    <x v="0"/>
    <x v="0"/>
    <x v="0"/>
    <x v="0"/>
    <n v="0"/>
    <n v="0"/>
    <n v="0"/>
    <n v="12"/>
    <x v="1"/>
    <x v="0"/>
    <n v="2401.5"/>
    <x v="0"/>
    <m/>
    <x v="0"/>
    <x v="0"/>
    <x v="0"/>
    <x v="0"/>
    <x v="0"/>
  </r>
  <r>
    <x v="0"/>
    <x v="8"/>
    <s v="4333 J"/>
    <x v="102"/>
    <s v="Adam Jee Dura Duct Built PVT LTD"/>
    <s v="LDN"/>
    <n v="9"/>
    <s v="15-16"/>
    <s v="LDN"/>
    <n v="500"/>
    <x v="0"/>
    <n v="2"/>
    <n v="109.8"/>
    <n v="2.2999999999999998"/>
    <m/>
    <x v="0"/>
    <n v="107.5"/>
    <m/>
    <m/>
    <x v="0"/>
    <x v="0"/>
    <n v="0"/>
    <n v="0"/>
    <x v="0"/>
    <x v="0"/>
    <m/>
    <x v="0"/>
    <x v="0"/>
    <x v="0"/>
    <x v="0"/>
    <x v="0"/>
    <n v="0"/>
    <n v="0"/>
    <n v="0"/>
    <n v="12"/>
    <x v="1"/>
    <x v="0"/>
    <m/>
    <x v="0"/>
    <m/>
    <x v="0"/>
    <x v="0"/>
    <x v="0"/>
    <x v="0"/>
    <x v="0"/>
  </r>
  <r>
    <x v="1"/>
    <x v="8"/>
    <s v="4333 J"/>
    <x v="102"/>
    <s v="Adam Jee Dura Duct Built PVT LTD"/>
    <s v="LDN"/>
    <n v="9"/>
    <s v="15-16"/>
    <s v="LDN"/>
    <n v="500"/>
    <x v="0"/>
    <n v="3"/>
    <n v="199.79999999999998"/>
    <n v="3.3000000000000003"/>
    <m/>
    <x v="0"/>
    <n v="196.49999999999997"/>
    <m/>
    <m/>
    <x v="0"/>
    <x v="0"/>
    <n v="0"/>
    <n v="0"/>
    <x v="0"/>
    <x v="0"/>
    <m/>
    <x v="0"/>
    <x v="0"/>
    <x v="0"/>
    <x v="0"/>
    <x v="0"/>
    <n v="0"/>
    <n v="0"/>
    <n v="0"/>
    <n v="12"/>
    <x v="1"/>
    <x v="0"/>
    <m/>
    <x v="0"/>
    <m/>
    <x v="0"/>
    <x v="0"/>
    <x v="0"/>
    <x v="0"/>
    <x v="0"/>
  </r>
  <r>
    <x v="0"/>
    <x v="9"/>
    <s v="2783/1"/>
    <x v="102"/>
    <s v="PT-01"/>
    <s v="LD سرخ"/>
    <n v="4"/>
    <n v="80"/>
    <s v="LD سرخ"/>
    <n v="2500"/>
    <x v="0"/>
    <n v="9"/>
    <n v="251.70000000000005"/>
    <n v="3.6"/>
    <n v="21"/>
    <x v="0"/>
    <n v="248.10000000000005"/>
    <m/>
    <m/>
    <x v="0"/>
    <x v="0"/>
    <n v="0"/>
    <n v="0"/>
    <x v="0"/>
    <x v="0"/>
    <m/>
    <x v="0"/>
    <x v="0"/>
    <x v="0"/>
    <x v="0"/>
    <x v="0"/>
    <n v="0"/>
    <n v="0"/>
    <n v="0"/>
    <n v="12"/>
    <x v="1"/>
    <x v="0"/>
    <m/>
    <x v="0"/>
    <m/>
    <x v="0"/>
    <x v="0"/>
    <x v="0"/>
    <x v="0"/>
    <x v="0"/>
  </r>
  <r>
    <x v="1"/>
    <x v="9"/>
    <s v="2783/1"/>
    <x v="102"/>
    <s v="PT-01"/>
    <s v="LD سرخ"/>
    <n v="4"/>
    <n v="80"/>
    <s v="LD سرخ"/>
    <n v="2500"/>
    <x v="0"/>
    <n v="8"/>
    <n v="228.7"/>
    <n v="3.2"/>
    <n v="8.1999999999999993"/>
    <x v="0"/>
    <n v="225.5"/>
    <m/>
    <m/>
    <x v="0"/>
    <x v="0"/>
    <n v="0"/>
    <n v="0"/>
    <x v="0"/>
    <x v="0"/>
    <m/>
    <x v="0"/>
    <x v="0"/>
    <x v="0"/>
    <x v="0"/>
    <x v="0"/>
    <n v="0"/>
    <n v="0"/>
    <n v="0"/>
    <n v="12"/>
    <x v="1"/>
    <x v="0"/>
    <m/>
    <x v="0"/>
    <m/>
    <x v="0"/>
    <x v="0"/>
    <x v="0"/>
    <x v="0"/>
    <x v="0"/>
  </r>
  <r>
    <x v="0"/>
    <x v="10"/>
    <s v="4240 J"/>
    <x v="102"/>
    <s v="International Industries (LTD)"/>
    <s v="LD پیلا"/>
    <s v="300 MM"/>
    <s v="48-50"/>
    <s v="LDM"/>
    <n v="3000"/>
    <x v="0"/>
    <n v="2"/>
    <n v="404"/>
    <n v="3"/>
    <m/>
    <x v="0"/>
    <n v="401"/>
    <m/>
    <m/>
    <x v="0"/>
    <x v="0"/>
    <n v="0"/>
    <n v="0"/>
    <x v="0"/>
    <x v="0"/>
    <m/>
    <x v="0"/>
    <x v="0"/>
    <x v="0"/>
    <x v="0"/>
    <x v="0"/>
    <n v="0"/>
    <n v="0"/>
    <n v="0"/>
    <n v="12"/>
    <x v="1"/>
    <x v="0"/>
    <m/>
    <x v="0"/>
    <m/>
    <x v="0"/>
    <x v="0"/>
    <x v="0"/>
    <x v="0"/>
    <x v="0"/>
  </r>
  <r>
    <x v="1"/>
    <x v="10"/>
    <s v="4240 J"/>
    <x v="102"/>
    <s v="International Industries (LTD)"/>
    <s v="LD پیلا"/>
    <s v="300 MM"/>
    <s v="48-50"/>
    <s v="LDM"/>
    <n v="3000"/>
    <x v="0"/>
    <n v="3"/>
    <n v="522.4"/>
    <n v="4.5"/>
    <n v="7"/>
    <x v="0"/>
    <n v="517.9"/>
    <m/>
    <m/>
    <x v="0"/>
    <x v="0"/>
    <n v="0"/>
    <n v="0"/>
    <x v="0"/>
    <x v="0"/>
    <n v="5"/>
    <x v="0"/>
    <x v="0"/>
    <x v="0"/>
    <x v="0"/>
    <x v="0"/>
    <n v="5"/>
    <n v="8.3333333333333329E-2"/>
    <n v="8.3333333333333329E-2"/>
    <n v="11.916666666666666"/>
    <x v="1"/>
    <x v="0"/>
    <m/>
    <x v="0"/>
    <m/>
    <x v="0"/>
    <x v="0"/>
    <x v="0"/>
    <x v="0"/>
    <x v="0"/>
  </r>
  <r>
    <x v="0"/>
    <x v="11"/>
    <s v="2175 F"/>
    <x v="102"/>
    <s v="Usman Amin"/>
    <s v="LDN"/>
    <n v="17"/>
    <s v="7"/>
    <s v="LDN"/>
    <n v="250"/>
    <x v="0"/>
    <n v="4"/>
    <n v="213"/>
    <n v="8.4"/>
    <m/>
    <x v="0"/>
    <n v="204.6"/>
    <m/>
    <m/>
    <x v="0"/>
    <x v="0"/>
    <n v="0"/>
    <n v="0"/>
    <x v="0"/>
    <x v="0"/>
    <m/>
    <x v="0"/>
    <x v="0"/>
    <x v="0"/>
    <x v="0"/>
    <x v="0"/>
    <n v="0"/>
    <n v="0"/>
    <n v="0"/>
    <n v="12"/>
    <x v="1"/>
    <x v="0"/>
    <m/>
    <x v="0"/>
    <m/>
    <x v="0"/>
    <x v="0"/>
    <x v="0"/>
    <x v="0"/>
    <x v="0"/>
  </r>
  <r>
    <x v="0"/>
    <x v="11"/>
    <s v="2174 F"/>
    <x v="102"/>
    <s v="Usman Amin"/>
    <s v="LDN"/>
    <n v="17"/>
    <s v="7"/>
    <s v="LDN"/>
    <n v="0"/>
    <x v="0"/>
    <n v="2"/>
    <n v="116.4"/>
    <n v="4"/>
    <m/>
    <x v="0"/>
    <n v="112.4"/>
    <m/>
    <m/>
    <x v="0"/>
    <x v="0"/>
    <n v="0"/>
    <n v="0"/>
    <x v="0"/>
    <x v="0"/>
    <m/>
    <x v="0"/>
    <x v="0"/>
    <x v="0"/>
    <x v="0"/>
    <x v="0"/>
    <n v="0"/>
    <n v="0"/>
    <n v="0"/>
    <n v="12"/>
    <x v="1"/>
    <x v="0"/>
    <m/>
    <x v="0"/>
    <m/>
    <x v="0"/>
    <x v="0"/>
    <x v="0"/>
    <x v="0"/>
    <x v="0"/>
  </r>
  <r>
    <x v="1"/>
    <x v="11"/>
    <s v="2174 F"/>
    <x v="102"/>
    <s v="Usman Amin"/>
    <s v="LDN"/>
    <n v="17"/>
    <s v="7"/>
    <s v="LDN"/>
    <n v="0"/>
    <x v="0"/>
    <n v="5"/>
    <n v="338.59999999999997"/>
    <n v="10"/>
    <n v="6"/>
    <x v="0"/>
    <n v="328.59999999999997"/>
    <m/>
    <m/>
    <x v="1"/>
    <x v="0"/>
    <n v="3"/>
    <n v="0.05"/>
    <x v="0"/>
    <x v="0"/>
    <m/>
    <x v="0"/>
    <x v="0"/>
    <x v="0"/>
    <x v="0"/>
    <x v="0"/>
    <n v="0"/>
    <n v="0"/>
    <n v="0.05"/>
    <n v="11.95"/>
    <x v="1"/>
    <x v="0"/>
    <m/>
    <x v="0"/>
    <m/>
    <x v="0"/>
    <x v="0"/>
    <x v="0"/>
    <x v="0"/>
    <x v="0"/>
  </r>
  <r>
    <x v="1"/>
    <x v="11"/>
    <s v="2169 F"/>
    <x v="102"/>
    <s v="Usman Amin"/>
    <s v="LDN"/>
    <n v="18"/>
    <s v="5.5-6"/>
    <s v="LDN"/>
    <n v="100"/>
    <x v="0"/>
    <n v="1"/>
    <n v="61.2"/>
    <n v="2.2999999999999998"/>
    <m/>
    <x v="0"/>
    <n v="58.900000000000006"/>
    <m/>
    <m/>
    <x v="0"/>
    <x v="0"/>
    <n v="0"/>
    <n v="0"/>
    <x v="0"/>
    <x v="0"/>
    <m/>
    <x v="0"/>
    <x v="0"/>
    <x v="0"/>
    <x v="0"/>
    <x v="0"/>
    <n v="0"/>
    <n v="0"/>
    <n v="0"/>
    <n v="12"/>
    <x v="1"/>
    <x v="0"/>
    <m/>
    <x v="0"/>
    <m/>
    <x v="0"/>
    <x v="0"/>
    <x v="0"/>
    <x v="0"/>
    <x v="0"/>
  </r>
  <r>
    <x v="0"/>
    <x v="12"/>
    <s v="262 R"/>
    <x v="102"/>
    <s v="ریفلیکٹ پیک"/>
    <s v="LDN"/>
    <n v="35"/>
    <s v="5-5.5"/>
    <s v="LDN"/>
    <n v="10000"/>
    <x v="0"/>
    <n v="12"/>
    <n v="877.8"/>
    <n v="40.199999999999996"/>
    <n v="18"/>
    <x v="0"/>
    <n v="837.59999999999991"/>
    <m/>
    <m/>
    <x v="0"/>
    <x v="0"/>
    <n v="0"/>
    <n v="0"/>
    <x v="0"/>
    <x v="0"/>
    <m/>
    <x v="0"/>
    <x v="0"/>
    <x v="0"/>
    <x v="0"/>
    <x v="0"/>
    <n v="0"/>
    <n v="0"/>
    <n v="0"/>
    <n v="12"/>
    <x v="1"/>
    <x v="0"/>
    <m/>
    <x v="0"/>
    <m/>
    <x v="0"/>
    <x v="0"/>
    <x v="0"/>
    <x v="0"/>
    <x v="0"/>
  </r>
  <r>
    <x v="1"/>
    <x v="12"/>
    <s v="262 R"/>
    <x v="102"/>
    <s v="ریفلیکٹ پیک"/>
    <s v="LDN"/>
    <n v="35"/>
    <s v="5-5.5"/>
    <s v="LDN"/>
    <n v="10000"/>
    <x v="0"/>
    <n v="10"/>
    <n v="719.10000000000014"/>
    <n v="44"/>
    <n v="13"/>
    <x v="0"/>
    <n v="675.10000000000014"/>
    <m/>
    <m/>
    <x v="0"/>
    <x v="0"/>
    <n v="0"/>
    <n v="0"/>
    <x v="0"/>
    <x v="0"/>
    <m/>
    <x v="0"/>
    <x v="0"/>
    <x v="0"/>
    <x v="0"/>
    <x v="0"/>
    <n v="0"/>
    <n v="0"/>
    <n v="0"/>
    <n v="12"/>
    <x v="1"/>
    <x v="0"/>
    <n v="2497"/>
    <x v="0"/>
    <m/>
    <x v="0"/>
    <x v="0"/>
    <x v="0"/>
    <x v="0"/>
    <x v="0"/>
  </r>
  <r>
    <x v="0"/>
    <x v="8"/>
    <s v="4333 J"/>
    <x v="103"/>
    <s v="Adam Jee Dura Duct Built PVT LTD"/>
    <s v="LDN"/>
    <n v="9"/>
    <s v="15-16"/>
    <s v="LDN"/>
    <n v="500"/>
    <x v="0"/>
    <n v="1"/>
    <n v="57.8"/>
    <n v="0.9"/>
    <n v="2"/>
    <x v="0"/>
    <n v="56.9"/>
    <m/>
    <n v="5"/>
    <x v="0"/>
    <x v="0"/>
    <n v="5"/>
    <n v="8.3333333333333329E-2"/>
    <x v="0"/>
    <x v="0"/>
    <m/>
    <x v="0"/>
    <x v="0"/>
    <x v="0"/>
    <x v="0"/>
    <x v="0"/>
    <n v="0"/>
    <n v="0"/>
    <n v="8.3333333333333329E-2"/>
    <n v="11.916666666666666"/>
    <x v="1"/>
    <x v="0"/>
    <m/>
    <x v="0"/>
    <m/>
    <x v="0"/>
    <x v="0"/>
    <x v="0"/>
    <x v="0"/>
    <x v="0"/>
  </r>
  <r>
    <x v="0"/>
    <x v="8"/>
    <s v="4352 J"/>
    <x v="103"/>
    <s v="Kotal Mart and Bakers Kohat"/>
    <s v="LDN"/>
    <n v="7"/>
    <s v="17-18"/>
    <s v="LDN"/>
    <n v="100"/>
    <x v="0"/>
    <n v="2"/>
    <n v="105.2"/>
    <n v="1.8"/>
    <m/>
    <x v="0"/>
    <n v="103.4"/>
    <m/>
    <m/>
    <x v="0"/>
    <x v="0"/>
    <n v="0"/>
    <n v="0"/>
    <x v="0"/>
    <x v="0"/>
    <m/>
    <x v="0"/>
    <x v="0"/>
    <x v="0"/>
    <x v="0"/>
    <x v="0"/>
    <n v="0"/>
    <n v="0"/>
    <n v="0"/>
    <n v="12"/>
    <x v="1"/>
    <x v="0"/>
    <m/>
    <x v="0"/>
    <m/>
    <x v="0"/>
    <x v="0"/>
    <x v="0"/>
    <x v="0"/>
    <x v="0"/>
  </r>
  <r>
    <x v="1"/>
    <x v="8"/>
    <s v="4333 J"/>
    <x v="103"/>
    <s v="Adam Jee Dura Duct Built PVT LTD"/>
    <s v="LDN"/>
    <n v="9"/>
    <s v="15-16"/>
    <s v="LDN"/>
    <n v="500"/>
    <x v="0"/>
    <n v="3"/>
    <n v="151.19999999999999"/>
    <n v="3.3000000000000003"/>
    <n v="2"/>
    <x v="0"/>
    <n v="147.89999999999998"/>
    <m/>
    <m/>
    <x v="0"/>
    <x v="0"/>
    <n v="0"/>
    <n v="0"/>
    <x v="0"/>
    <x v="0"/>
    <m/>
    <x v="0"/>
    <x v="0"/>
    <x v="0"/>
    <x v="0"/>
    <x v="0"/>
    <n v="0"/>
    <n v="0"/>
    <n v="0"/>
    <n v="12"/>
    <x v="1"/>
    <x v="0"/>
    <m/>
    <x v="0"/>
    <m/>
    <x v="0"/>
    <x v="0"/>
    <x v="0"/>
    <x v="0"/>
    <x v="0"/>
  </r>
  <r>
    <x v="1"/>
    <x v="8"/>
    <s v="4356 J"/>
    <x v="103"/>
    <s v="Al Razaq Printers Lahore"/>
    <s v="LDN"/>
    <n v="12"/>
    <s v="11.5-12"/>
    <s v="LDN"/>
    <n v="200"/>
    <x v="0"/>
    <n v="1"/>
    <n v="58.8"/>
    <n v="1.5"/>
    <m/>
    <x v="0"/>
    <n v="57.3"/>
    <m/>
    <m/>
    <x v="0"/>
    <x v="0"/>
    <n v="0"/>
    <n v="0"/>
    <x v="0"/>
    <x v="0"/>
    <m/>
    <x v="0"/>
    <x v="0"/>
    <x v="0"/>
    <x v="0"/>
    <x v="0"/>
    <n v="0"/>
    <n v="0"/>
    <n v="0"/>
    <n v="12"/>
    <x v="1"/>
    <x v="0"/>
    <m/>
    <x v="0"/>
    <m/>
    <x v="0"/>
    <x v="0"/>
    <x v="0"/>
    <x v="0"/>
    <x v="0"/>
  </r>
  <r>
    <x v="0"/>
    <x v="9"/>
    <s v="2783/2"/>
    <x v="103"/>
    <s v="PT-01"/>
    <s v="LD سرخ"/>
    <n v="5"/>
    <n v="80"/>
    <s v="LD سرخ"/>
    <n v="2500"/>
    <x v="0"/>
    <n v="6"/>
    <n v="153.72"/>
    <n v="3"/>
    <n v="6"/>
    <x v="0"/>
    <n v="150.72"/>
    <s v="Z  ALI"/>
    <n v="3"/>
    <x v="0"/>
    <x v="0"/>
    <n v="3"/>
    <n v="0.05"/>
    <x v="0"/>
    <x v="0"/>
    <m/>
    <x v="0"/>
    <x v="0"/>
    <x v="0"/>
    <x v="0"/>
    <x v="0"/>
    <n v="0"/>
    <n v="0"/>
    <n v="0.05"/>
    <n v="11.95"/>
    <x v="1"/>
    <x v="0"/>
    <m/>
    <x v="0"/>
    <m/>
    <x v="0"/>
    <x v="0"/>
    <x v="0"/>
    <x v="0"/>
    <x v="0"/>
  </r>
  <r>
    <x v="0"/>
    <x v="9"/>
    <s v="2783/1"/>
    <x v="103"/>
    <s v="PT-01"/>
    <s v="LD سرخ"/>
    <n v="4"/>
    <n v="80"/>
    <s v="LD سرخ"/>
    <n v="2500"/>
    <x v="0"/>
    <n v="2"/>
    <n v="54.34"/>
    <n v="1.6"/>
    <m/>
    <x v="0"/>
    <n v="52.74"/>
    <s v="Z  ALI"/>
    <m/>
    <x v="0"/>
    <x v="0"/>
    <n v="0"/>
    <n v="0"/>
    <x v="0"/>
    <x v="0"/>
    <m/>
    <x v="0"/>
    <x v="0"/>
    <x v="0"/>
    <x v="0"/>
    <x v="0"/>
    <n v="0"/>
    <n v="0"/>
    <n v="0"/>
    <n v="12"/>
    <x v="1"/>
    <x v="0"/>
    <m/>
    <x v="0"/>
    <m/>
    <x v="0"/>
    <x v="0"/>
    <x v="0"/>
    <x v="0"/>
    <x v="0"/>
  </r>
  <r>
    <x v="1"/>
    <x v="9"/>
    <s v="2783/2"/>
    <x v="103"/>
    <s v="PT-01"/>
    <s v="LD سرخ"/>
    <n v="5"/>
    <n v="80"/>
    <s v="LD سرخ"/>
    <n v="2500"/>
    <x v="0"/>
    <n v="9"/>
    <n v="262.48"/>
    <n v="4.5"/>
    <n v="15.4"/>
    <x v="0"/>
    <n v="257.98"/>
    <s v="TABIR"/>
    <m/>
    <x v="0"/>
    <x v="0"/>
    <n v="0"/>
    <n v="0"/>
    <x v="0"/>
    <x v="0"/>
    <m/>
    <x v="0"/>
    <x v="0"/>
    <x v="0"/>
    <x v="0"/>
    <x v="0"/>
    <n v="0"/>
    <n v="0"/>
    <n v="0"/>
    <n v="12"/>
    <x v="1"/>
    <x v="0"/>
    <m/>
    <x v="0"/>
    <m/>
    <x v="0"/>
    <x v="0"/>
    <x v="0"/>
    <x v="0"/>
    <x v="0"/>
  </r>
  <r>
    <x v="0"/>
    <x v="10"/>
    <s v="4240 J"/>
    <x v="103"/>
    <s v="International Industries (LTD)"/>
    <s v="LD پیلا"/>
    <s v="300 MM"/>
    <s v="48-50"/>
    <s v="LDM"/>
    <n v="3000"/>
    <x v="0"/>
    <n v="2"/>
    <n v="236.8"/>
    <n v="3"/>
    <n v="92"/>
    <x v="0"/>
    <n v="233.8"/>
    <s v="NASIR"/>
    <n v="37"/>
    <x v="0"/>
    <x v="0"/>
    <n v="37"/>
    <n v="0.6166666666666667"/>
    <x v="0"/>
    <x v="0"/>
    <m/>
    <x v="0"/>
    <x v="0"/>
    <x v="0"/>
    <x v="0"/>
    <x v="0"/>
    <n v="0"/>
    <n v="0"/>
    <n v="0.6166666666666667"/>
    <n v="11.383333333333333"/>
    <x v="1"/>
    <x v="0"/>
    <m/>
    <x v="0"/>
    <m/>
    <x v="0"/>
    <x v="0"/>
    <x v="0"/>
    <x v="0"/>
    <x v="0"/>
  </r>
  <r>
    <x v="0"/>
    <x v="10"/>
    <s v="4357 J"/>
    <x v="103"/>
    <s v="Alam Bakers ButKhela"/>
    <s v="LD گولڈن پیلا"/>
    <n v="20"/>
    <s v="15-16"/>
    <s v="LDM"/>
    <n v="120"/>
    <x v="0"/>
    <n v="2"/>
    <n v="132.80000000000001"/>
    <n v="5"/>
    <m/>
    <x v="0"/>
    <n v="127.80000000000001"/>
    <s v="NASIR"/>
    <m/>
    <x v="0"/>
    <x v="0"/>
    <n v="0"/>
    <n v="0"/>
    <x v="0"/>
    <x v="0"/>
    <m/>
    <x v="0"/>
    <x v="0"/>
    <x v="0"/>
    <x v="0"/>
    <x v="0"/>
    <n v="0"/>
    <n v="0"/>
    <n v="0"/>
    <n v="12"/>
    <x v="1"/>
    <x v="0"/>
    <m/>
    <x v="0"/>
    <m/>
    <x v="0"/>
    <x v="0"/>
    <x v="0"/>
    <x v="0"/>
    <x v="0"/>
  </r>
  <r>
    <x v="1"/>
    <x v="10"/>
    <s v="4321 J"/>
    <x v="103"/>
    <s v="Waqas Wollan Mills Gujranwala"/>
    <s v="LD بلو"/>
    <n v="16"/>
    <s v="10-10.5"/>
    <s v="LDM"/>
    <n v="120"/>
    <x v="0"/>
    <n v="2"/>
    <n v="124"/>
    <n v="3.8"/>
    <n v="15.6"/>
    <x v="0"/>
    <n v="120.2"/>
    <s v="GULFAM"/>
    <n v="15"/>
    <x v="0"/>
    <x v="0"/>
    <n v="15"/>
    <n v="0.25"/>
    <x v="0"/>
    <x v="0"/>
    <m/>
    <x v="0"/>
    <x v="0"/>
    <x v="0"/>
    <x v="0"/>
    <x v="0"/>
    <n v="0"/>
    <n v="0"/>
    <n v="0.25"/>
    <n v="11.75"/>
    <x v="1"/>
    <x v="0"/>
    <m/>
    <x v="0"/>
    <m/>
    <x v="0"/>
    <x v="0"/>
    <x v="0"/>
    <x v="0"/>
    <x v="0"/>
  </r>
  <r>
    <x v="1"/>
    <x v="10"/>
    <s v="4322 J"/>
    <x v="103"/>
    <s v="Waqas Wollan Mills Gujranwala"/>
    <s v="LD بلو"/>
    <n v="16"/>
    <s v="10-10.5"/>
    <s v="LDM"/>
    <n v="200"/>
    <x v="0"/>
    <n v="3"/>
    <n v="218.70000000000002"/>
    <n v="5.6999999999999993"/>
    <m/>
    <x v="0"/>
    <n v="213.00000000000003"/>
    <s v="GULFAM"/>
    <m/>
    <x v="0"/>
    <x v="0"/>
    <n v="0"/>
    <n v="0"/>
    <x v="0"/>
    <x v="0"/>
    <m/>
    <x v="0"/>
    <x v="0"/>
    <x v="0"/>
    <x v="0"/>
    <x v="0"/>
    <n v="0"/>
    <n v="0"/>
    <n v="0"/>
    <n v="12"/>
    <x v="1"/>
    <x v="0"/>
    <m/>
    <x v="0"/>
    <m/>
    <x v="0"/>
    <x v="0"/>
    <x v="0"/>
    <x v="0"/>
    <x v="0"/>
  </r>
  <r>
    <x v="0"/>
    <x v="11"/>
    <s v="2169 F"/>
    <x v="103"/>
    <s v="Usman Amin"/>
    <s v="LDN"/>
    <n v="18"/>
    <s v="5.5-6"/>
    <s v="LDN"/>
    <n v="100"/>
    <x v="0"/>
    <n v="1"/>
    <n v="44.8"/>
    <n v="2.2999999999999998"/>
    <n v="10"/>
    <x v="0"/>
    <n v="42.5"/>
    <s v="UMAR RASHEED"/>
    <n v="5"/>
    <x v="0"/>
    <x v="0"/>
    <n v="5"/>
    <n v="8.3333333333333329E-2"/>
    <x v="0"/>
    <x v="0"/>
    <m/>
    <x v="0"/>
    <x v="0"/>
    <x v="0"/>
    <x v="0"/>
    <x v="0"/>
    <n v="0"/>
    <n v="0"/>
    <n v="8.3333333333333329E-2"/>
    <n v="11.916666666666666"/>
    <x v="1"/>
    <x v="0"/>
    <m/>
    <x v="0"/>
    <m/>
    <x v="0"/>
    <x v="0"/>
    <x v="0"/>
    <x v="0"/>
    <x v="0"/>
  </r>
  <r>
    <x v="0"/>
    <x v="11"/>
    <s v="2170 F"/>
    <x v="103"/>
    <s v="Usman Amin"/>
    <s v="LDN"/>
    <n v="19"/>
    <s v="5.5-6"/>
    <s v="LDN"/>
    <n v="100"/>
    <x v="0"/>
    <n v="2"/>
    <n v="91.8"/>
    <n v="3.6"/>
    <m/>
    <x v="0"/>
    <n v="88.2"/>
    <s v="UMAR RASHEED"/>
    <m/>
    <x v="0"/>
    <x v="0"/>
    <n v="0"/>
    <n v="0"/>
    <x v="0"/>
    <x v="0"/>
    <m/>
    <x v="0"/>
    <x v="0"/>
    <x v="0"/>
    <x v="0"/>
    <x v="0"/>
    <n v="0"/>
    <n v="0"/>
    <n v="0"/>
    <n v="12"/>
    <x v="1"/>
    <x v="0"/>
    <m/>
    <x v="0"/>
    <m/>
    <x v="0"/>
    <x v="0"/>
    <x v="0"/>
    <x v="0"/>
    <x v="0"/>
  </r>
  <r>
    <x v="0"/>
    <x v="11"/>
    <s v="2186 F"/>
    <x v="103"/>
    <s v="Usman Amin"/>
    <s v="LDN"/>
    <n v="34"/>
    <s v="7-7.5"/>
    <s v="LDN"/>
    <n v="155"/>
    <x v="0"/>
    <n v="2"/>
    <n v="170.4"/>
    <n v="6"/>
    <m/>
    <x v="0"/>
    <n v="164.4"/>
    <s v="UMAR RASHEED"/>
    <m/>
    <x v="0"/>
    <x v="0"/>
    <n v="0"/>
    <n v="0"/>
    <x v="0"/>
    <x v="0"/>
    <m/>
    <x v="0"/>
    <x v="0"/>
    <x v="0"/>
    <x v="0"/>
    <x v="0"/>
    <n v="0"/>
    <n v="0"/>
    <n v="0"/>
    <n v="12"/>
    <x v="1"/>
    <x v="0"/>
    <m/>
    <x v="0"/>
    <m/>
    <x v="0"/>
    <x v="0"/>
    <x v="0"/>
    <x v="0"/>
    <x v="0"/>
  </r>
  <r>
    <x v="0"/>
    <x v="11"/>
    <s v="2177 F"/>
    <x v="103"/>
    <s v="Usman Amin"/>
    <s v="LDN"/>
    <n v="30"/>
    <s v="7"/>
    <s v="LDN"/>
    <n v="250"/>
    <x v="0"/>
    <n v="1"/>
    <n v="76.8"/>
    <n v="4"/>
    <m/>
    <x v="0"/>
    <n v="72.8"/>
    <s v="UMAR RASHEED"/>
    <m/>
    <x v="0"/>
    <x v="0"/>
    <n v="0"/>
    <n v="0"/>
    <x v="0"/>
    <x v="0"/>
    <m/>
    <x v="0"/>
    <x v="0"/>
    <x v="0"/>
    <x v="0"/>
    <x v="0"/>
    <n v="0"/>
    <n v="0"/>
    <n v="0"/>
    <n v="12"/>
    <x v="1"/>
    <x v="0"/>
    <m/>
    <x v="0"/>
    <m/>
    <x v="0"/>
    <x v="0"/>
    <x v="0"/>
    <x v="0"/>
    <x v="0"/>
  </r>
  <r>
    <x v="1"/>
    <x v="11"/>
    <s v="2177 F"/>
    <x v="103"/>
    <s v="Usman Amin"/>
    <s v="LDN"/>
    <n v="30"/>
    <s v="7"/>
    <s v="LDN"/>
    <n v="250"/>
    <x v="0"/>
    <n v="2"/>
    <n v="181.8"/>
    <n v="8.1"/>
    <n v="8"/>
    <x v="0"/>
    <n v="173.70000000000002"/>
    <s v="UMAR RASHEED"/>
    <m/>
    <x v="0"/>
    <x v="0"/>
    <n v="0"/>
    <n v="0"/>
    <x v="0"/>
    <x v="0"/>
    <m/>
    <x v="0"/>
    <x v="0"/>
    <x v="0"/>
    <x v="0"/>
    <x v="0"/>
    <n v="0"/>
    <n v="0"/>
    <n v="0"/>
    <n v="12"/>
    <x v="1"/>
    <x v="0"/>
    <m/>
    <x v="0"/>
    <m/>
    <x v="0"/>
    <x v="0"/>
    <x v="0"/>
    <x v="0"/>
    <x v="0"/>
  </r>
  <r>
    <x v="1"/>
    <x v="11"/>
    <s v="2176 F"/>
    <x v="103"/>
    <s v="Usman Amin"/>
    <s v="LDN"/>
    <n v="26"/>
    <s v="7"/>
    <s v="LDN"/>
    <n v="200"/>
    <x v="0"/>
    <n v="3"/>
    <n v="218.8"/>
    <n v="10.4"/>
    <m/>
    <x v="0"/>
    <n v="208.4"/>
    <s v="UMAR RASHEED"/>
    <m/>
    <x v="0"/>
    <x v="0"/>
    <n v="0"/>
    <n v="0"/>
    <x v="0"/>
    <x v="0"/>
    <m/>
    <x v="0"/>
    <x v="0"/>
    <x v="0"/>
    <x v="0"/>
    <x v="0"/>
    <n v="0"/>
    <n v="0"/>
    <n v="0"/>
    <n v="12"/>
    <x v="1"/>
    <x v="0"/>
    <m/>
    <x v="0"/>
    <m/>
    <x v="0"/>
    <x v="0"/>
    <x v="0"/>
    <x v="0"/>
    <x v="0"/>
  </r>
  <r>
    <x v="1"/>
    <x v="11"/>
    <s v="2188 F"/>
    <x v="103"/>
    <s v="Usman Amin"/>
    <s v="LDN"/>
    <n v="21"/>
    <s v="8-8.5"/>
    <s v="LDN"/>
    <n v="60"/>
    <x v="0"/>
    <n v="1"/>
    <n v="62"/>
    <n v="2"/>
    <m/>
    <x v="0"/>
    <n v="60"/>
    <s v="UMAR RASHEED"/>
    <m/>
    <x v="0"/>
    <x v="0"/>
    <n v="0"/>
    <n v="0"/>
    <x v="0"/>
    <x v="0"/>
    <m/>
    <x v="0"/>
    <x v="0"/>
    <x v="0"/>
    <x v="0"/>
    <x v="0"/>
    <n v="0"/>
    <n v="0"/>
    <n v="0"/>
    <n v="12"/>
    <x v="1"/>
    <x v="0"/>
    <m/>
    <x v="0"/>
    <m/>
    <x v="0"/>
    <x v="0"/>
    <x v="0"/>
    <x v="0"/>
    <x v="0"/>
  </r>
  <r>
    <x v="0"/>
    <x v="12"/>
    <s v="262 R"/>
    <x v="103"/>
    <s v="ریفلیکٹ پیک"/>
    <s v="LDN"/>
    <n v="35"/>
    <s v="5-5.5"/>
    <s v="LDN"/>
    <n v="10000"/>
    <x v="0"/>
    <n v="12"/>
    <n v="854.59999999999991"/>
    <n v="28.799999999999997"/>
    <n v="16"/>
    <x v="0"/>
    <n v="825.8"/>
    <s v="WAQAS"/>
    <m/>
    <x v="0"/>
    <x v="0"/>
    <n v="0"/>
    <n v="0"/>
    <x v="0"/>
    <x v="0"/>
    <m/>
    <x v="1"/>
    <x v="0"/>
    <x v="0"/>
    <x v="0"/>
    <x v="0"/>
    <n v="10"/>
    <n v="0.16666666666666666"/>
    <n v="0.16666666666666666"/>
    <n v="11.833333333333334"/>
    <x v="1"/>
    <x v="0"/>
    <m/>
    <x v="0"/>
    <m/>
    <x v="0"/>
    <x v="0"/>
    <x v="0"/>
    <x v="0"/>
    <x v="0"/>
  </r>
  <r>
    <x v="1"/>
    <x v="12"/>
    <s v="262 R"/>
    <x v="103"/>
    <s v="ریفلیکٹ پیک"/>
    <s v="LDN"/>
    <n v="35"/>
    <s v="5-5.5"/>
    <s v="LDN"/>
    <n v="10000"/>
    <x v="0"/>
    <n v="12"/>
    <n v="890.5"/>
    <n v="52.800000000000004"/>
    <n v="8.4"/>
    <x v="0"/>
    <n v="837.7"/>
    <s v="WAQAS"/>
    <m/>
    <x v="0"/>
    <x v="0"/>
    <n v="0"/>
    <n v="0"/>
    <x v="0"/>
    <x v="0"/>
    <m/>
    <x v="0"/>
    <x v="0"/>
    <x v="0"/>
    <x v="0"/>
    <x v="0"/>
    <n v="0"/>
    <n v="0"/>
    <n v="0"/>
    <n v="12"/>
    <x v="1"/>
    <x v="0"/>
    <m/>
    <x v="0"/>
    <m/>
    <x v="0"/>
    <x v="0"/>
    <x v="0"/>
    <x v="0"/>
    <x v="0"/>
  </r>
  <r>
    <x v="0"/>
    <x v="8"/>
    <s v="4356 J"/>
    <x v="104"/>
    <s v="Al Razaq Printers Lahore"/>
    <s v="LDN"/>
    <n v="12"/>
    <s v="11.5-12"/>
    <s v="LDN"/>
    <n v="200"/>
    <x v="0"/>
    <n v="3"/>
    <n v="161.29999999999998"/>
    <n v="4.5"/>
    <m/>
    <x v="0"/>
    <n v="156.79999999999998"/>
    <s v="ASIF"/>
    <m/>
    <x v="0"/>
    <x v="0"/>
    <n v="0"/>
    <n v="0"/>
    <x v="0"/>
    <x v="0"/>
    <m/>
    <x v="0"/>
    <x v="0"/>
    <x v="0"/>
    <x v="0"/>
    <x v="0"/>
    <n v="0"/>
    <n v="0"/>
    <n v="0"/>
    <n v="12"/>
    <x v="1"/>
    <x v="0"/>
    <n v="2297.5"/>
    <x v="0"/>
    <m/>
    <x v="0"/>
    <x v="0"/>
    <x v="0"/>
    <x v="0"/>
    <x v="0"/>
  </r>
  <r>
    <x v="0"/>
    <x v="8"/>
    <s v="4427 J"/>
    <x v="104"/>
    <s v="A S Cable Lahore"/>
    <s v="LDN"/>
    <n v="12"/>
    <s v="10-11"/>
    <s v="LDN"/>
    <n v="100"/>
    <x v="0"/>
    <n v="1"/>
    <n v="69.599999999999994"/>
    <n v="1.6"/>
    <m/>
    <x v="0"/>
    <n v="68"/>
    <s v="ASIF"/>
    <m/>
    <x v="0"/>
    <x v="0"/>
    <n v="0"/>
    <n v="0"/>
    <x v="0"/>
    <x v="0"/>
    <m/>
    <x v="0"/>
    <x v="0"/>
    <x v="0"/>
    <x v="0"/>
    <x v="0"/>
    <n v="0"/>
    <n v="0"/>
    <n v="0"/>
    <n v="12"/>
    <x v="1"/>
    <x v="0"/>
    <m/>
    <x v="0"/>
    <m/>
    <x v="0"/>
    <x v="0"/>
    <x v="0"/>
    <x v="0"/>
    <x v="0"/>
  </r>
  <r>
    <x v="1"/>
    <x v="8"/>
    <s v="4421 J"/>
    <x v="104"/>
    <s v="Usman Arif Butt Gujranwala"/>
    <s v="LDN"/>
    <n v="5"/>
    <n v="10"/>
    <s v="LDN"/>
    <n v="80"/>
    <x v="0"/>
    <n v="1"/>
    <n v="49.97"/>
    <n v="1.6"/>
    <n v="7.2"/>
    <x v="0"/>
    <n v="48.37"/>
    <s v="NASIR"/>
    <n v="4"/>
    <x v="0"/>
    <x v="0"/>
    <n v="4"/>
    <n v="6.6666666666666666E-2"/>
    <x v="0"/>
    <x v="0"/>
    <m/>
    <x v="0"/>
    <x v="0"/>
    <x v="0"/>
    <x v="0"/>
    <x v="0"/>
    <n v="0"/>
    <n v="0"/>
    <n v="6.6666666666666666E-2"/>
    <n v="11.933333333333334"/>
    <x v="1"/>
    <x v="0"/>
    <m/>
    <x v="0"/>
    <m/>
    <x v="0"/>
    <x v="0"/>
    <x v="0"/>
    <x v="0"/>
    <x v="0"/>
  </r>
  <r>
    <x v="1"/>
    <x v="8"/>
    <s v="4450 J"/>
    <x v="104"/>
    <s v="-"/>
    <m/>
    <m/>
    <m/>
    <m/>
    <m/>
    <x v="0"/>
    <n v="2"/>
    <n v="98.800000000000011"/>
    <n v="2.6"/>
    <m/>
    <x v="0"/>
    <n v="96.200000000000017"/>
    <s v="NASIR"/>
    <m/>
    <x v="0"/>
    <x v="0"/>
    <n v="0"/>
    <n v="0"/>
    <x v="0"/>
    <x v="0"/>
    <m/>
    <x v="0"/>
    <x v="0"/>
    <x v="0"/>
    <x v="0"/>
    <x v="0"/>
    <n v="0"/>
    <n v="0"/>
    <n v="0"/>
    <n v="12"/>
    <x v="1"/>
    <x v="0"/>
    <m/>
    <x v="0"/>
    <m/>
    <x v="0"/>
    <x v="0"/>
    <x v="0"/>
    <x v="0"/>
    <x v="0"/>
  </r>
  <r>
    <x v="1"/>
    <x v="8"/>
    <s v="4449 J"/>
    <x v="104"/>
    <s v="Chezo Cheez Lahore"/>
    <s v="LDN"/>
    <n v="11"/>
    <s v="18"/>
    <s v="LDN"/>
    <n v="100"/>
    <x v="0"/>
    <n v="1"/>
    <n v="49.32"/>
    <n v="1.3"/>
    <m/>
    <x v="0"/>
    <n v="48.02"/>
    <s v="NASIR"/>
    <m/>
    <x v="0"/>
    <x v="0"/>
    <n v="0"/>
    <n v="0"/>
    <x v="0"/>
    <x v="0"/>
    <m/>
    <x v="0"/>
    <x v="0"/>
    <x v="0"/>
    <x v="0"/>
    <x v="0"/>
    <n v="0"/>
    <n v="0"/>
    <n v="0"/>
    <n v="12"/>
    <x v="1"/>
    <x v="0"/>
    <m/>
    <x v="0"/>
    <m/>
    <x v="0"/>
    <x v="0"/>
    <x v="0"/>
    <x v="0"/>
    <x v="0"/>
  </r>
  <r>
    <x v="0"/>
    <x v="9"/>
    <s v="2783/2"/>
    <x v="104"/>
    <s v="PT-01"/>
    <s v="LD سرخ"/>
    <n v="5"/>
    <n v="80"/>
    <s v="LD سرخ"/>
    <n v="2500"/>
    <x v="0"/>
    <n v="9"/>
    <n v="241.39000000000001"/>
    <n v="4.5"/>
    <n v="5"/>
    <x v="0"/>
    <n v="236.89000000000001"/>
    <s v="ADNAN"/>
    <m/>
    <x v="0"/>
    <x v="0"/>
    <n v="0"/>
    <n v="0"/>
    <x v="0"/>
    <x v="0"/>
    <m/>
    <x v="0"/>
    <x v="0"/>
    <x v="0"/>
    <x v="0"/>
    <x v="0"/>
    <n v="0"/>
    <n v="0"/>
    <n v="0"/>
    <n v="12"/>
    <x v="1"/>
    <x v="0"/>
    <m/>
    <x v="0"/>
    <m/>
    <x v="0"/>
    <x v="0"/>
    <x v="0"/>
    <x v="0"/>
    <x v="0"/>
  </r>
  <r>
    <x v="1"/>
    <x v="9"/>
    <s v="2783/2"/>
    <x v="104"/>
    <s v="PT-01"/>
    <s v="LD سرخ"/>
    <n v="5"/>
    <n v="80"/>
    <s v="LD سرخ"/>
    <n v="2500"/>
    <x v="0"/>
    <n v="9"/>
    <n v="241.23000000000002"/>
    <n v="4.5"/>
    <n v="12.6"/>
    <x v="0"/>
    <n v="236.73000000000002"/>
    <s v="ADNAN"/>
    <m/>
    <x v="0"/>
    <x v="0"/>
    <n v="0"/>
    <n v="0"/>
    <x v="0"/>
    <x v="0"/>
    <m/>
    <x v="0"/>
    <x v="0"/>
    <x v="0"/>
    <x v="0"/>
    <x v="0"/>
    <n v="0"/>
    <n v="0"/>
    <n v="0"/>
    <n v="12"/>
    <x v="1"/>
    <x v="0"/>
    <m/>
    <x v="0"/>
    <m/>
    <x v="0"/>
    <x v="0"/>
    <x v="0"/>
    <x v="0"/>
    <x v="0"/>
  </r>
  <r>
    <x v="0"/>
    <x v="10"/>
    <s v="4302 J"/>
    <x v="104"/>
    <s v="Siddique Garments Iqbal Town LHR"/>
    <s v="LDM"/>
    <n v="16"/>
    <s v="8-9"/>
    <s v="LDM"/>
    <n v="100"/>
    <x v="0"/>
    <n v="2"/>
    <n v="108"/>
    <n v="4"/>
    <m/>
    <x v="0"/>
    <n v="104"/>
    <s v="ADNAN"/>
    <m/>
    <x v="0"/>
    <x v="0"/>
    <n v="0"/>
    <n v="0"/>
    <x v="0"/>
    <x v="0"/>
    <m/>
    <x v="0"/>
    <x v="0"/>
    <x v="0"/>
    <x v="0"/>
    <x v="0"/>
    <n v="0"/>
    <n v="0"/>
    <n v="0"/>
    <n v="12"/>
    <x v="1"/>
    <x v="0"/>
    <m/>
    <x v="0"/>
    <m/>
    <x v="0"/>
    <x v="0"/>
    <x v="0"/>
    <x v="0"/>
    <x v="0"/>
  </r>
  <r>
    <x v="0"/>
    <x v="10"/>
    <s v="4405 J"/>
    <x v="104"/>
    <s v="Khan Chappli Kabab And Fish Coner Lahore"/>
    <s v="LDM"/>
    <n v="15"/>
    <s v="14-14.5"/>
    <s v="LDM"/>
    <n v="100"/>
    <x v="0"/>
    <n v="2"/>
    <n v="112"/>
    <n v="3"/>
    <m/>
    <x v="0"/>
    <n v="109"/>
    <s v="ADNAN"/>
    <m/>
    <x v="0"/>
    <x v="0"/>
    <n v="0"/>
    <n v="0"/>
    <x v="0"/>
    <x v="0"/>
    <m/>
    <x v="0"/>
    <x v="0"/>
    <x v="0"/>
    <x v="0"/>
    <x v="0"/>
    <n v="0"/>
    <n v="0"/>
    <n v="0"/>
    <n v="12"/>
    <x v="1"/>
    <x v="0"/>
    <m/>
    <x v="0"/>
    <m/>
    <x v="0"/>
    <x v="0"/>
    <x v="0"/>
    <x v="0"/>
    <x v="0"/>
  </r>
  <r>
    <x v="0"/>
    <x v="10"/>
    <s v="4303 J"/>
    <x v="104"/>
    <s v="Siddique Garments Iqbal Town LHR"/>
    <s v="LDM"/>
    <n v="18"/>
    <s v="11-12"/>
    <s v="LDM"/>
    <n v="100"/>
    <x v="0"/>
    <n v="1"/>
    <n v="58.2"/>
    <n v="2.2999999999999998"/>
    <m/>
    <x v="0"/>
    <n v="55.900000000000006"/>
    <s v="ADNAN"/>
    <m/>
    <x v="0"/>
    <x v="0"/>
    <n v="0"/>
    <n v="0"/>
    <x v="0"/>
    <x v="0"/>
    <m/>
    <x v="0"/>
    <x v="0"/>
    <x v="0"/>
    <x v="0"/>
    <x v="0"/>
    <n v="0"/>
    <n v="0"/>
    <n v="0"/>
    <n v="12"/>
    <x v="1"/>
    <x v="0"/>
    <m/>
    <x v="0"/>
    <m/>
    <x v="0"/>
    <x v="0"/>
    <x v="0"/>
    <x v="0"/>
    <x v="0"/>
  </r>
  <r>
    <x v="1"/>
    <x v="10"/>
    <s v="4303 J"/>
    <x v="104"/>
    <s v="Siddique Garments Iqbal Town LHR"/>
    <s v="LDM"/>
    <n v="18"/>
    <s v="11-12"/>
    <s v="LDM"/>
    <n v="100"/>
    <x v="0"/>
    <n v="1"/>
    <n v="71.599999999999994"/>
    <n v="2.1"/>
    <n v="17"/>
    <x v="0"/>
    <n v="69.5"/>
    <s v="GULFAM"/>
    <m/>
    <x v="0"/>
    <x v="0"/>
    <n v="0"/>
    <n v="0"/>
    <x v="0"/>
    <x v="0"/>
    <m/>
    <x v="0"/>
    <x v="0"/>
    <x v="0"/>
    <x v="0"/>
    <x v="0"/>
    <n v="0"/>
    <n v="0"/>
    <n v="0"/>
    <n v="12"/>
    <x v="1"/>
    <x v="0"/>
    <m/>
    <x v="0"/>
    <m/>
    <x v="0"/>
    <x v="0"/>
    <x v="0"/>
    <x v="0"/>
    <x v="0"/>
  </r>
  <r>
    <x v="1"/>
    <x v="10"/>
    <s v="4304 J"/>
    <x v="104"/>
    <s v="Siddique Garments Iqbal Town LHR"/>
    <s v="LDM"/>
    <n v="23"/>
    <s v="11-12"/>
    <s v="LDM"/>
    <n v="100"/>
    <x v="0"/>
    <n v="2"/>
    <n v="124.2"/>
    <n v="5.6"/>
    <m/>
    <x v="0"/>
    <n v="118.60000000000001"/>
    <s v="GULFAM"/>
    <m/>
    <x v="0"/>
    <x v="0"/>
    <n v="0"/>
    <n v="0"/>
    <x v="0"/>
    <x v="0"/>
    <m/>
    <x v="0"/>
    <x v="0"/>
    <x v="0"/>
    <x v="0"/>
    <x v="0"/>
    <n v="0"/>
    <n v="0"/>
    <n v="0"/>
    <n v="12"/>
    <x v="1"/>
    <x v="0"/>
    <m/>
    <x v="0"/>
    <m/>
    <x v="0"/>
    <x v="0"/>
    <x v="0"/>
    <x v="0"/>
    <x v="0"/>
  </r>
  <r>
    <x v="1"/>
    <x v="10"/>
    <s v="4470 J"/>
    <x v="104"/>
    <s v="Khawaja Watch Center Lahore"/>
    <s v="LDM"/>
    <n v="24"/>
    <s v="14-15"/>
    <s v="LDM"/>
    <n v="300"/>
    <x v="0"/>
    <n v="3"/>
    <n v="195.8"/>
    <n v="8.3999999999999986"/>
    <m/>
    <x v="0"/>
    <n v="187.4"/>
    <s v="GULFAM"/>
    <m/>
    <x v="0"/>
    <x v="0"/>
    <n v="0"/>
    <n v="0"/>
    <x v="0"/>
    <x v="0"/>
    <m/>
    <x v="0"/>
    <x v="0"/>
    <x v="0"/>
    <x v="0"/>
    <x v="0"/>
    <n v="0"/>
    <n v="0"/>
    <n v="0"/>
    <n v="12"/>
    <x v="1"/>
    <x v="0"/>
    <m/>
    <x v="0"/>
    <m/>
    <x v="0"/>
    <x v="0"/>
    <x v="0"/>
    <x v="0"/>
    <x v="0"/>
  </r>
  <r>
    <x v="0"/>
    <x v="11"/>
    <s v="2187 F"/>
    <x v="104"/>
    <s v="Usman Amin"/>
    <s v="LDN"/>
    <n v="21"/>
    <s v="8-8.5"/>
    <s v="LDN"/>
    <n v="130"/>
    <x v="0"/>
    <n v="2"/>
    <n v="147"/>
    <n v="4"/>
    <m/>
    <x v="0"/>
    <n v="143"/>
    <s v="UMAR RASHEED"/>
    <m/>
    <x v="0"/>
    <x v="0"/>
    <n v="0"/>
    <n v="0"/>
    <x v="0"/>
    <x v="0"/>
    <m/>
    <x v="0"/>
    <x v="0"/>
    <x v="0"/>
    <x v="0"/>
    <x v="0"/>
    <n v="0"/>
    <n v="0"/>
    <n v="0"/>
    <n v="12"/>
    <x v="1"/>
    <x v="0"/>
    <m/>
    <x v="0"/>
    <m/>
    <x v="0"/>
    <x v="0"/>
    <x v="0"/>
    <x v="0"/>
    <x v="0"/>
  </r>
  <r>
    <x v="0"/>
    <x v="11"/>
    <s v="2795/1"/>
    <x v="104"/>
    <s v="ENGRO ZARKHEZ"/>
    <s v="LDN"/>
    <s v="24-24.5"/>
    <s v="60±1"/>
    <s v="LDN"/>
    <n v="0"/>
    <x v="0"/>
    <n v="2"/>
    <n v="209.8"/>
    <n v="3.6"/>
    <m/>
    <x v="0"/>
    <n v="206.20000000000002"/>
    <s v="UMAR RASHEED"/>
    <m/>
    <x v="0"/>
    <x v="0"/>
    <n v="0"/>
    <n v="0"/>
    <x v="0"/>
    <x v="0"/>
    <m/>
    <x v="0"/>
    <x v="0"/>
    <x v="0"/>
    <x v="0"/>
    <x v="0"/>
    <n v="0"/>
    <n v="0"/>
    <n v="0"/>
    <n v="12"/>
    <x v="1"/>
    <x v="0"/>
    <m/>
    <x v="0"/>
    <m/>
    <x v="0"/>
    <x v="0"/>
    <x v="0"/>
    <x v="0"/>
    <x v="0"/>
  </r>
  <r>
    <x v="0"/>
    <x v="11"/>
    <s v="2185 F"/>
    <x v="104"/>
    <s v="Usman Amin"/>
    <s v="LDN"/>
    <n v="16"/>
    <s v="5-5.5"/>
    <s v="LDN"/>
    <n v="100"/>
    <x v="0"/>
    <n v="1"/>
    <n v="30.8"/>
    <n v="1.6"/>
    <m/>
    <x v="0"/>
    <n v="29.2"/>
    <s v="UMAR RASHEED"/>
    <m/>
    <x v="0"/>
    <x v="0"/>
    <n v="0"/>
    <n v="0"/>
    <x v="0"/>
    <x v="0"/>
    <m/>
    <x v="0"/>
    <x v="0"/>
    <x v="0"/>
    <x v="0"/>
    <x v="0"/>
    <n v="0"/>
    <n v="0"/>
    <n v="0"/>
    <n v="12"/>
    <x v="1"/>
    <x v="0"/>
    <m/>
    <x v="0"/>
    <m/>
    <x v="0"/>
    <x v="0"/>
    <x v="0"/>
    <x v="0"/>
    <x v="0"/>
  </r>
  <r>
    <x v="1"/>
    <x v="11"/>
    <s v="2185 F"/>
    <x v="104"/>
    <s v="Usman Amin"/>
    <s v="LDN"/>
    <n v="16"/>
    <s v="5-5.5"/>
    <s v="LDN"/>
    <n v="100"/>
    <x v="0"/>
    <n v="3"/>
    <n v="118.6"/>
    <n v="5.6999999999999993"/>
    <n v="7"/>
    <x v="0"/>
    <n v="112.89999999999999"/>
    <s v="GULFAM"/>
    <m/>
    <x v="0"/>
    <x v="0"/>
    <n v="0"/>
    <n v="0"/>
    <x v="0"/>
    <x v="0"/>
    <m/>
    <x v="0"/>
    <x v="0"/>
    <x v="0"/>
    <x v="0"/>
    <x v="0"/>
    <n v="0"/>
    <n v="0"/>
    <n v="0"/>
    <n v="12"/>
    <x v="1"/>
    <x v="0"/>
    <m/>
    <x v="0"/>
    <m/>
    <x v="0"/>
    <x v="0"/>
    <x v="0"/>
    <x v="0"/>
    <x v="0"/>
  </r>
  <r>
    <x v="1"/>
    <x v="11"/>
    <s v="2197 F"/>
    <x v="104"/>
    <s v="Usman Amin"/>
    <s v="LDN"/>
    <n v="15"/>
    <s v="5-5.5"/>
    <s v="LDN"/>
    <n v="25"/>
    <x v="0"/>
    <n v="3"/>
    <n v="109.8"/>
    <n v="5.0999999999999996"/>
    <m/>
    <x v="0"/>
    <n v="104.7"/>
    <s v="GULFAM"/>
    <m/>
    <x v="0"/>
    <x v="0"/>
    <n v="0"/>
    <n v="0"/>
    <x v="0"/>
    <x v="0"/>
    <m/>
    <x v="0"/>
    <x v="0"/>
    <x v="0"/>
    <x v="0"/>
    <x v="0"/>
    <n v="0"/>
    <n v="0"/>
    <n v="0"/>
    <n v="12"/>
    <x v="1"/>
    <x v="0"/>
    <m/>
    <x v="0"/>
    <m/>
    <x v="0"/>
    <x v="0"/>
    <x v="0"/>
    <x v="0"/>
    <x v="0"/>
  </r>
  <r>
    <x v="1"/>
    <x v="11"/>
    <s v="4425 J"/>
    <x v="104"/>
    <s v="A S Cable Lahore"/>
    <s v="LDN"/>
    <n v="15"/>
    <s v="10-11"/>
    <s v="LDN"/>
    <n v="100"/>
    <x v="0"/>
    <n v="1"/>
    <n v="50"/>
    <n v="1.7"/>
    <m/>
    <x v="0"/>
    <n v="48.3"/>
    <s v="GULFAM"/>
    <m/>
    <x v="0"/>
    <x v="0"/>
    <n v="0"/>
    <n v="0"/>
    <x v="0"/>
    <x v="0"/>
    <m/>
    <x v="0"/>
    <x v="0"/>
    <x v="0"/>
    <x v="0"/>
    <x v="0"/>
    <n v="0"/>
    <n v="0"/>
    <n v="0"/>
    <n v="12"/>
    <x v="1"/>
    <x v="0"/>
    <m/>
    <x v="0"/>
    <m/>
    <x v="0"/>
    <x v="0"/>
    <x v="0"/>
    <x v="0"/>
    <x v="0"/>
  </r>
  <r>
    <x v="0"/>
    <x v="12"/>
    <s v="262 R"/>
    <x v="104"/>
    <s v="ریفلیکٹ پیک"/>
    <s v="LDN"/>
    <n v="35"/>
    <s v="5-5.5"/>
    <s v="LDN"/>
    <n v="10000"/>
    <x v="0"/>
    <n v="10"/>
    <n v="675.6"/>
    <n v="39.4"/>
    <n v="40"/>
    <x v="0"/>
    <n v="636.20000000000005"/>
    <s v="WAQAS"/>
    <m/>
    <x v="0"/>
    <x v="0"/>
    <n v="0"/>
    <n v="0"/>
    <x v="0"/>
    <x v="0"/>
    <m/>
    <x v="1"/>
    <x v="0"/>
    <x v="0"/>
    <x v="3"/>
    <x v="0"/>
    <n v="40"/>
    <n v="0.66666666666666663"/>
    <n v="0.66666666666666663"/>
    <n v="11.333333333333334"/>
    <x v="1"/>
    <x v="0"/>
    <m/>
    <x v="0"/>
    <m/>
    <x v="0"/>
    <x v="0"/>
    <x v="0"/>
    <x v="0"/>
    <x v="0"/>
  </r>
  <r>
    <x v="1"/>
    <x v="12"/>
    <s v="262 R"/>
    <x v="104"/>
    <s v="ریفلیکٹ پیک"/>
    <s v="LDN"/>
    <n v="35"/>
    <s v="5-5.5"/>
    <s v="LDN"/>
    <n v="10000"/>
    <x v="0"/>
    <n v="6"/>
    <n v="441.2"/>
    <n v="25"/>
    <n v="35"/>
    <x v="0"/>
    <n v="416.2"/>
    <s v="WAQAS"/>
    <n v="10"/>
    <x v="0"/>
    <x v="0"/>
    <n v="10"/>
    <n v="0.16666666666666666"/>
    <x v="0"/>
    <x v="0"/>
    <m/>
    <x v="2"/>
    <x v="0"/>
    <x v="0"/>
    <x v="0"/>
    <x v="0"/>
    <n v="5"/>
    <n v="8.3333333333333329E-2"/>
    <n v="0.25"/>
    <n v="11.75"/>
    <x v="1"/>
    <x v="0"/>
    <m/>
    <x v="0"/>
    <m/>
    <x v="0"/>
    <x v="0"/>
    <x v="0"/>
    <x v="0"/>
    <x v="0"/>
  </r>
  <r>
    <x v="1"/>
    <x v="12"/>
    <s v="4480 J"/>
    <x v="104"/>
    <s v="Super Shangai Dry Cleaners Nankana"/>
    <s v="LDM"/>
    <n v="26"/>
    <s v="4.5-5"/>
    <s v="LDM"/>
    <n v="100"/>
    <x v="0"/>
    <n v="3"/>
    <n v="106.6"/>
    <n v="6"/>
    <m/>
    <x v="0"/>
    <n v="100.6"/>
    <s v="WAQAS"/>
    <m/>
    <x v="0"/>
    <x v="0"/>
    <n v="0"/>
    <n v="0"/>
    <x v="0"/>
    <x v="0"/>
    <m/>
    <x v="0"/>
    <x v="0"/>
    <x v="0"/>
    <x v="0"/>
    <x v="0"/>
    <n v="0"/>
    <n v="0"/>
    <n v="0"/>
    <n v="12"/>
    <x v="1"/>
    <x v="0"/>
    <m/>
    <x v="0"/>
    <m/>
    <x v="0"/>
    <x v="0"/>
    <x v="0"/>
    <x v="0"/>
    <x v="0"/>
  </r>
  <r>
    <x v="1"/>
    <x v="12"/>
    <s v="4312 J"/>
    <x v="104"/>
    <s v="Usman Arif Butt Gujranwala"/>
    <s v="LDN"/>
    <n v="26"/>
    <n v="5"/>
    <s v="LDN"/>
    <n v="100"/>
    <x v="0"/>
    <n v="3"/>
    <n v="108.6"/>
    <n v="9.6000000000000014"/>
    <m/>
    <x v="0"/>
    <n v="99"/>
    <s v="WAQAS"/>
    <m/>
    <x v="0"/>
    <x v="0"/>
    <n v="0"/>
    <n v="0"/>
    <x v="0"/>
    <x v="0"/>
    <m/>
    <x v="0"/>
    <x v="0"/>
    <x v="0"/>
    <x v="0"/>
    <x v="0"/>
    <n v="0"/>
    <n v="0"/>
    <n v="0"/>
    <n v="12"/>
    <x v="1"/>
    <x v="0"/>
    <m/>
    <x v="0"/>
    <m/>
    <x v="0"/>
    <x v="0"/>
    <x v="0"/>
    <x v="0"/>
    <x v="0"/>
  </r>
  <r>
    <x v="1"/>
    <x v="12"/>
    <s v="4228 J"/>
    <x v="104"/>
    <s v="M. Boota Plastic Azam Market Lahore "/>
    <s v="LDN"/>
    <n v="28"/>
    <s v="14"/>
    <s v="LDN"/>
    <n v="200"/>
    <x v="0"/>
    <n v="1"/>
    <n v="72.599999999999994"/>
    <n v="3.6"/>
    <m/>
    <x v="0"/>
    <n v="69"/>
    <s v="WAQAS"/>
    <m/>
    <x v="0"/>
    <x v="0"/>
    <n v="0"/>
    <n v="0"/>
    <x v="0"/>
    <x v="0"/>
    <m/>
    <x v="0"/>
    <x v="0"/>
    <x v="0"/>
    <x v="0"/>
    <x v="0"/>
    <n v="0"/>
    <n v="0"/>
    <n v="0"/>
    <n v="12"/>
    <x v="1"/>
    <x v="0"/>
    <m/>
    <x v="0"/>
    <m/>
    <x v="0"/>
    <x v="0"/>
    <x v="0"/>
    <x v="0"/>
    <x v="0"/>
  </r>
  <r>
    <x v="0"/>
    <x v="8"/>
    <s v="4449 J"/>
    <x v="105"/>
    <s v="Chezo Cheez Lahore"/>
    <s v="LDN"/>
    <n v="11"/>
    <s v="18"/>
    <s v="LDN"/>
    <n v="100"/>
    <x v="0"/>
    <n v="1"/>
    <n v="55"/>
    <n v="1.3"/>
    <n v="3"/>
    <x v="0"/>
    <n v="53.7"/>
    <m/>
    <m/>
    <x v="0"/>
    <x v="0"/>
    <n v="0"/>
    <n v="0"/>
    <x v="0"/>
    <x v="0"/>
    <m/>
    <x v="0"/>
    <x v="0"/>
    <x v="0"/>
    <x v="0"/>
    <x v="0"/>
    <n v="0"/>
    <n v="0"/>
    <n v="0"/>
    <n v="12"/>
    <x v="1"/>
    <x v="0"/>
    <n v="2331"/>
    <x v="0"/>
    <m/>
    <x v="0"/>
    <x v="0"/>
    <x v="0"/>
    <x v="0"/>
    <x v="0"/>
  </r>
  <r>
    <x v="0"/>
    <x v="8"/>
    <s v="4415 J"/>
    <x v="105"/>
    <s v="Usman Arif Butt Gujranwala"/>
    <s v="LDN"/>
    <n v="7"/>
    <n v="10"/>
    <s v="LDN"/>
    <n v="80"/>
    <x v="0"/>
    <n v="2"/>
    <n v="78.599999999999994"/>
    <n v="1.5"/>
    <m/>
    <x v="0"/>
    <n v="77.099999999999994"/>
    <m/>
    <m/>
    <x v="0"/>
    <x v="0"/>
    <n v="0"/>
    <n v="0"/>
    <x v="0"/>
    <x v="0"/>
    <m/>
    <x v="0"/>
    <x v="0"/>
    <x v="0"/>
    <x v="0"/>
    <x v="0"/>
    <n v="0"/>
    <n v="0"/>
    <n v="0"/>
    <n v="12"/>
    <x v="1"/>
    <x v="0"/>
    <m/>
    <x v="0"/>
    <m/>
    <x v="0"/>
    <x v="0"/>
    <x v="0"/>
    <x v="0"/>
    <x v="0"/>
  </r>
  <r>
    <x v="0"/>
    <x v="8"/>
    <s v="4469 J"/>
    <x v="105"/>
    <s v="Zhahid Shaker Garh"/>
    <s v="LDN"/>
    <n v="7"/>
    <s v="14-15"/>
    <s v="LDN"/>
    <n v="300"/>
    <x v="0"/>
    <n v="2"/>
    <n v="74.199999999999989"/>
    <n v="1.6"/>
    <m/>
    <x v="0"/>
    <n v="72.599999999999994"/>
    <m/>
    <m/>
    <x v="0"/>
    <x v="0"/>
    <n v="0"/>
    <n v="0"/>
    <x v="0"/>
    <x v="0"/>
    <m/>
    <x v="0"/>
    <x v="0"/>
    <x v="0"/>
    <x v="0"/>
    <x v="0"/>
    <n v="0"/>
    <n v="0"/>
    <n v="0"/>
    <n v="12"/>
    <x v="1"/>
    <x v="0"/>
    <m/>
    <x v="0"/>
    <m/>
    <x v="0"/>
    <x v="0"/>
    <x v="0"/>
    <x v="0"/>
    <x v="0"/>
  </r>
  <r>
    <x v="1"/>
    <x v="8"/>
    <s v="4469 J"/>
    <x v="105"/>
    <s v="Zhahid Shaker Garh"/>
    <s v="LDN"/>
    <n v="7"/>
    <s v="14-15"/>
    <s v="LDN"/>
    <n v="300"/>
    <x v="0"/>
    <n v="6"/>
    <n v="189.94999999999996"/>
    <n v="4.8000000000000007"/>
    <n v="1"/>
    <x v="0"/>
    <n v="185.14999999999995"/>
    <m/>
    <m/>
    <x v="0"/>
    <x v="0"/>
    <n v="0"/>
    <n v="0"/>
    <x v="0"/>
    <x v="0"/>
    <m/>
    <x v="0"/>
    <x v="0"/>
    <x v="0"/>
    <x v="0"/>
    <x v="0"/>
    <n v="0"/>
    <n v="0"/>
    <n v="0"/>
    <n v="12"/>
    <x v="1"/>
    <x v="0"/>
    <m/>
    <x v="0"/>
    <m/>
    <x v="0"/>
    <x v="0"/>
    <x v="0"/>
    <x v="0"/>
    <x v="0"/>
  </r>
  <r>
    <x v="0"/>
    <x v="9"/>
    <s v="2783/2"/>
    <x v="105"/>
    <s v="PT-01"/>
    <s v="LD سرخ"/>
    <n v="5"/>
    <n v="80"/>
    <s v="LD سرخ"/>
    <n v="2500"/>
    <x v="0"/>
    <n v="10"/>
    <n v="279.92"/>
    <n v="10"/>
    <n v="4"/>
    <x v="0"/>
    <n v="269.92"/>
    <m/>
    <m/>
    <x v="0"/>
    <x v="0"/>
    <n v="0"/>
    <n v="0"/>
    <x v="0"/>
    <x v="0"/>
    <m/>
    <x v="0"/>
    <x v="0"/>
    <x v="0"/>
    <x v="0"/>
    <x v="0"/>
    <n v="0"/>
    <n v="0"/>
    <n v="0"/>
    <n v="12"/>
    <x v="1"/>
    <x v="0"/>
    <m/>
    <x v="0"/>
    <m/>
    <x v="0"/>
    <x v="0"/>
    <x v="0"/>
    <x v="0"/>
    <x v="0"/>
  </r>
  <r>
    <x v="1"/>
    <x v="9"/>
    <s v="2783/2"/>
    <x v="105"/>
    <s v="PT-01"/>
    <s v="LD سرخ"/>
    <n v="5"/>
    <n v="80"/>
    <s v="LD سرخ"/>
    <n v="2500"/>
    <x v="0"/>
    <n v="9"/>
    <n v="227.28999999999996"/>
    <n v="4.5"/>
    <n v="6"/>
    <x v="0"/>
    <n v="222.78999999999996"/>
    <m/>
    <m/>
    <x v="0"/>
    <x v="0"/>
    <n v="0"/>
    <n v="0"/>
    <x v="0"/>
    <x v="0"/>
    <m/>
    <x v="0"/>
    <x v="0"/>
    <x v="0"/>
    <x v="0"/>
    <x v="0"/>
    <n v="0"/>
    <n v="0"/>
    <n v="0"/>
    <n v="12"/>
    <x v="1"/>
    <x v="0"/>
    <m/>
    <x v="0"/>
    <m/>
    <x v="0"/>
    <x v="0"/>
    <x v="0"/>
    <x v="0"/>
    <x v="0"/>
  </r>
  <r>
    <x v="0"/>
    <x v="10"/>
    <s v="4470 J"/>
    <x v="105"/>
    <s v="Khawaja Watch Center Lahore"/>
    <s v="LDM"/>
    <n v="24"/>
    <s v="14-15"/>
    <s v="LDM"/>
    <n v="300"/>
    <x v="0"/>
    <n v="1"/>
    <n v="72.599999999999994"/>
    <n v="2.8"/>
    <n v="28"/>
    <x v="0"/>
    <n v="69.8"/>
    <s v="BURAN"/>
    <n v="30"/>
    <x v="0"/>
    <x v="0"/>
    <n v="30"/>
    <n v="0.5"/>
    <x v="0"/>
    <x v="0"/>
    <n v="20"/>
    <x v="0"/>
    <x v="0"/>
    <x v="0"/>
    <x v="0"/>
    <x v="0"/>
    <n v="20"/>
    <n v="0.33333333333333331"/>
    <n v="0.83333333333333326"/>
    <n v="11.166666666666666"/>
    <x v="1"/>
    <x v="0"/>
    <m/>
    <x v="0"/>
    <m/>
    <x v="0"/>
    <x v="0"/>
    <x v="0"/>
    <x v="0"/>
    <x v="0"/>
  </r>
  <r>
    <x v="0"/>
    <x v="10"/>
    <s v="4481 J"/>
    <x v="105"/>
    <s v="Wazir Suiting Center Lahore"/>
    <s v="LDM"/>
    <n v="20"/>
    <s v="15-16"/>
    <s v="LDM"/>
    <n v="120"/>
    <x v="0"/>
    <n v="2"/>
    <n v="117"/>
    <n v="5.0999999999999996"/>
    <m/>
    <x v="0"/>
    <n v="111.9"/>
    <s v="BURAN"/>
    <m/>
    <x v="0"/>
    <x v="0"/>
    <n v="0"/>
    <n v="0"/>
    <x v="0"/>
    <x v="0"/>
    <m/>
    <x v="0"/>
    <x v="0"/>
    <x v="0"/>
    <x v="0"/>
    <x v="0"/>
    <n v="0"/>
    <n v="0"/>
    <n v="0"/>
    <n v="12"/>
    <x v="1"/>
    <x v="0"/>
    <m/>
    <x v="0"/>
    <m/>
    <x v="0"/>
    <x v="0"/>
    <x v="0"/>
    <x v="0"/>
    <x v="0"/>
  </r>
  <r>
    <x v="0"/>
    <x v="10"/>
    <s v="4448 J"/>
    <x v="105"/>
    <s v="New Shareefi Jewalars and Shoes Lahore"/>
    <s v="LDM"/>
    <s v="11+3+3"/>
    <s v="7.5-8/15-16"/>
    <s v="LDM"/>
    <n v="225"/>
    <x v="0"/>
    <n v="4"/>
    <n v="134.4"/>
    <n v="5.2"/>
    <m/>
    <x v="0"/>
    <n v="129.20000000000002"/>
    <s v="BURAN"/>
    <m/>
    <x v="0"/>
    <x v="0"/>
    <n v="0"/>
    <n v="0"/>
    <x v="0"/>
    <x v="0"/>
    <m/>
    <x v="0"/>
    <x v="0"/>
    <x v="0"/>
    <x v="0"/>
    <x v="0"/>
    <n v="0"/>
    <n v="0"/>
    <n v="0"/>
    <n v="12"/>
    <x v="1"/>
    <x v="0"/>
    <m/>
    <x v="0"/>
    <m/>
    <x v="0"/>
    <x v="0"/>
    <x v="0"/>
    <x v="0"/>
    <x v="0"/>
  </r>
  <r>
    <x v="1"/>
    <x v="10"/>
    <s v="4448 J"/>
    <x v="105"/>
    <s v="New Shareefi Jewalars and Shoes Lahore"/>
    <s v="LDM"/>
    <s v="11+3+3"/>
    <s v="7.5-8/15-16"/>
    <s v="LDM"/>
    <n v="225"/>
    <x v="0"/>
    <n v="3"/>
    <n v="96.800000000000011"/>
    <n v="3.9000000000000004"/>
    <n v="8"/>
    <x v="0"/>
    <n v="92.9"/>
    <s v="GULFAM"/>
    <m/>
    <x v="0"/>
    <x v="0"/>
    <n v="0"/>
    <n v="0"/>
    <x v="0"/>
    <x v="0"/>
    <m/>
    <x v="0"/>
    <x v="0"/>
    <x v="0"/>
    <x v="0"/>
    <x v="0"/>
    <n v="0"/>
    <n v="0"/>
    <n v="0"/>
    <n v="12"/>
    <x v="1"/>
    <x v="0"/>
    <m/>
    <x v="0"/>
    <m/>
    <x v="0"/>
    <x v="0"/>
    <x v="0"/>
    <x v="0"/>
    <x v="0"/>
  </r>
  <r>
    <x v="1"/>
    <x v="10"/>
    <s v="4388 J"/>
    <x v="105"/>
    <s v="-"/>
    <m/>
    <m/>
    <m/>
    <m/>
    <m/>
    <x v="0"/>
    <n v="4"/>
    <n v="117.8"/>
    <n v="7.5"/>
    <m/>
    <x v="0"/>
    <n v="110.3"/>
    <s v="GULFAM"/>
    <m/>
    <x v="0"/>
    <x v="0"/>
    <n v="0"/>
    <n v="0"/>
    <x v="0"/>
    <x v="0"/>
    <m/>
    <x v="0"/>
    <x v="0"/>
    <x v="0"/>
    <x v="0"/>
    <x v="0"/>
    <n v="0"/>
    <n v="0"/>
    <n v="0"/>
    <n v="12"/>
    <x v="1"/>
    <x v="0"/>
    <m/>
    <x v="0"/>
    <m/>
    <x v="0"/>
    <x v="0"/>
    <x v="0"/>
    <x v="0"/>
    <x v="0"/>
  </r>
  <r>
    <x v="1"/>
    <x v="10"/>
    <s v="4453 J"/>
    <x v="105"/>
    <s v="-"/>
    <m/>
    <m/>
    <m/>
    <m/>
    <m/>
    <x v="0"/>
    <n v="2"/>
    <n v="166.2"/>
    <n v="3.4"/>
    <m/>
    <x v="0"/>
    <n v="162.79999999999998"/>
    <s v="GULFAM"/>
    <m/>
    <x v="0"/>
    <x v="0"/>
    <n v="0"/>
    <n v="0"/>
    <x v="0"/>
    <x v="0"/>
    <m/>
    <x v="0"/>
    <x v="0"/>
    <x v="0"/>
    <x v="0"/>
    <x v="0"/>
    <n v="0"/>
    <n v="0"/>
    <n v="0"/>
    <n v="12"/>
    <x v="1"/>
    <x v="0"/>
    <m/>
    <x v="0"/>
    <m/>
    <x v="0"/>
    <x v="0"/>
    <x v="0"/>
    <x v="0"/>
    <x v="0"/>
  </r>
  <r>
    <x v="0"/>
    <x v="11"/>
    <s v="4425 J"/>
    <x v="105"/>
    <s v="A S Cable Lahore"/>
    <s v="LDN"/>
    <n v="15"/>
    <s v="10-11"/>
    <s v="LDN"/>
    <n v="100"/>
    <x v="0"/>
    <n v="1"/>
    <n v="65.8"/>
    <n v="1.9"/>
    <n v="3"/>
    <x v="0"/>
    <n v="63.9"/>
    <s v="BURAN"/>
    <n v="8"/>
    <x v="0"/>
    <x v="0"/>
    <n v="8"/>
    <n v="0.13333333333333333"/>
    <x v="0"/>
    <x v="0"/>
    <m/>
    <x v="0"/>
    <x v="0"/>
    <x v="0"/>
    <x v="0"/>
    <x v="0"/>
    <n v="0"/>
    <n v="0"/>
    <n v="0.13333333333333333"/>
    <n v="11.866666666666667"/>
    <x v="1"/>
    <x v="0"/>
    <m/>
    <x v="0"/>
    <m/>
    <x v="0"/>
    <x v="0"/>
    <x v="0"/>
    <x v="0"/>
    <x v="0"/>
  </r>
  <r>
    <x v="0"/>
    <x v="11"/>
    <s v="4424 J"/>
    <x v="105"/>
    <s v="A S Cable Lahore"/>
    <s v="LDN"/>
    <n v="14"/>
    <s v="12-12.5"/>
    <s v="LDN"/>
    <n v="100"/>
    <x v="0"/>
    <n v="1"/>
    <n v="49.4"/>
    <n v="1.8"/>
    <m/>
    <x v="0"/>
    <n v="47.6"/>
    <s v="BURAN"/>
    <m/>
    <x v="0"/>
    <x v="0"/>
    <n v="0"/>
    <n v="0"/>
    <x v="0"/>
    <x v="0"/>
    <m/>
    <x v="0"/>
    <x v="0"/>
    <x v="0"/>
    <x v="0"/>
    <x v="0"/>
    <n v="0"/>
    <n v="0"/>
    <n v="0"/>
    <n v="12"/>
    <x v="1"/>
    <x v="0"/>
    <m/>
    <x v="0"/>
    <m/>
    <x v="0"/>
    <x v="0"/>
    <x v="0"/>
    <x v="0"/>
    <x v="0"/>
  </r>
  <r>
    <x v="0"/>
    <x v="11"/>
    <s v="2204 F"/>
    <x v="105"/>
    <s v="Usman Amin"/>
    <s v="LDN"/>
    <n v="18"/>
    <s v="7"/>
    <s v="LDN"/>
    <n v="435"/>
    <x v="0"/>
    <n v="3"/>
    <n v="207.8"/>
    <n v="6.3000000000000007"/>
    <m/>
    <x v="0"/>
    <n v="201.5"/>
    <s v="BURAN"/>
    <m/>
    <x v="0"/>
    <x v="0"/>
    <n v="0"/>
    <n v="0"/>
    <x v="0"/>
    <x v="0"/>
    <m/>
    <x v="0"/>
    <x v="0"/>
    <x v="0"/>
    <x v="0"/>
    <x v="0"/>
    <n v="0"/>
    <n v="0"/>
    <n v="0"/>
    <n v="12"/>
    <x v="1"/>
    <x v="0"/>
    <m/>
    <x v="0"/>
    <m/>
    <x v="0"/>
    <x v="0"/>
    <x v="0"/>
    <x v="0"/>
    <x v="0"/>
  </r>
  <r>
    <x v="1"/>
    <x v="11"/>
    <s v="2204 F"/>
    <x v="105"/>
    <s v="Usman Amin"/>
    <s v="LDN"/>
    <n v="18"/>
    <s v="7"/>
    <s v="LDN"/>
    <n v="435"/>
    <x v="0"/>
    <n v="4"/>
    <n v="240.89999999999998"/>
    <n v="8.4"/>
    <n v="3"/>
    <x v="0"/>
    <n v="232.49999999999997"/>
    <s v="GULFAM"/>
    <m/>
    <x v="0"/>
    <x v="0"/>
    <n v="0"/>
    <n v="0"/>
    <x v="0"/>
    <x v="0"/>
    <m/>
    <x v="0"/>
    <x v="0"/>
    <x v="0"/>
    <x v="0"/>
    <x v="0"/>
    <n v="0"/>
    <n v="0"/>
    <n v="0"/>
    <n v="12"/>
    <x v="1"/>
    <x v="0"/>
    <m/>
    <x v="0"/>
    <m/>
    <x v="0"/>
    <x v="0"/>
    <x v="0"/>
    <x v="0"/>
    <x v="0"/>
  </r>
  <r>
    <x v="1"/>
    <x v="11"/>
    <s v="2203 F"/>
    <x v="105"/>
    <s v="Usman Amin"/>
    <s v="LDN"/>
    <n v="18"/>
    <s v="7"/>
    <s v="LDN"/>
    <n v="800"/>
    <x v="0"/>
    <n v="2"/>
    <n v="129.39999999999998"/>
    <n v="4.2"/>
    <m/>
    <x v="0"/>
    <n v="125.19999999999997"/>
    <s v="GULFAM"/>
    <m/>
    <x v="0"/>
    <x v="0"/>
    <n v="0"/>
    <n v="0"/>
    <x v="0"/>
    <x v="0"/>
    <m/>
    <x v="0"/>
    <x v="0"/>
    <x v="0"/>
    <x v="0"/>
    <x v="0"/>
    <n v="0"/>
    <n v="0"/>
    <n v="0"/>
    <n v="12"/>
    <x v="1"/>
    <x v="0"/>
    <m/>
    <x v="0"/>
    <m/>
    <x v="0"/>
    <x v="0"/>
    <x v="0"/>
    <x v="0"/>
    <x v="0"/>
  </r>
  <r>
    <x v="0"/>
    <x v="12"/>
    <s v="4228 J"/>
    <x v="105"/>
    <s v="M. Boota Plastic Azam Market Lahore "/>
    <s v="LDN"/>
    <n v="28"/>
    <s v="14"/>
    <s v="LDN"/>
    <n v="200"/>
    <x v="0"/>
    <n v="2"/>
    <n v="137"/>
    <n v="7.2"/>
    <m/>
    <x v="0"/>
    <n v="129.80000000000001"/>
    <s v="WAQAS"/>
    <n v="5"/>
    <x v="0"/>
    <x v="0"/>
    <n v="5"/>
    <n v="8.3333333333333329E-2"/>
    <x v="0"/>
    <x v="0"/>
    <m/>
    <x v="1"/>
    <x v="0"/>
    <x v="0"/>
    <x v="0"/>
    <x v="0"/>
    <n v="10"/>
    <n v="0.16666666666666666"/>
    <n v="0.25"/>
    <n v="11.75"/>
    <x v="1"/>
    <x v="0"/>
    <m/>
    <x v="0"/>
    <m/>
    <x v="0"/>
    <x v="0"/>
    <x v="0"/>
    <x v="0"/>
    <x v="0"/>
  </r>
  <r>
    <x v="0"/>
    <x v="12"/>
    <s v="4452 J"/>
    <x v="105"/>
    <s v="-"/>
    <m/>
    <m/>
    <m/>
    <m/>
    <m/>
    <x v="0"/>
    <n v="2"/>
    <n v="157"/>
    <n v="5.2"/>
    <m/>
    <x v="0"/>
    <n v="151.80000000000001"/>
    <s v="WAQAS"/>
    <m/>
    <x v="0"/>
    <x v="0"/>
    <n v="0"/>
    <n v="0"/>
    <x v="0"/>
    <x v="0"/>
    <m/>
    <x v="0"/>
    <x v="0"/>
    <x v="0"/>
    <x v="0"/>
    <x v="0"/>
    <n v="0"/>
    <n v="0"/>
    <n v="0"/>
    <n v="12"/>
    <x v="1"/>
    <x v="0"/>
    <m/>
    <x v="0"/>
    <m/>
    <x v="0"/>
    <x v="0"/>
    <x v="0"/>
    <x v="0"/>
    <x v="0"/>
  </r>
  <r>
    <x v="0"/>
    <x v="12"/>
    <s v="263 R"/>
    <x v="105"/>
    <s v="ریفلیکٹ پیک"/>
    <s v="LDN"/>
    <n v="18"/>
    <n v="13"/>
    <s v="LDN"/>
    <n v="2000"/>
    <x v="0"/>
    <n v="3"/>
    <n v="230.2"/>
    <n v="7.1999999999999993"/>
    <m/>
    <x v="0"/>
    <n v="223"/>
    <s v="WAQAS"/>
    <m/>
    <x v="0"/>
    <x v="0"/>
    <n v="0"/>
    <n v="0"/>
    <x v="0"/>
    <x v="0"/>
    <m/>
    <x v="0"/>
    <x v="0"/>
    <x v="0"/>
    <x v="0"/>
    <x v="0"/>
    <n v="0"/>
    <n v="0"/>
    <n v="0"/>
    <n v="12"/>
    <x v="1"/>
    <x v="0"/>
    <m/>
    <x v="0"/>
    <m/>
    <x v="0"/>
    <x v="0"/>
    <x v="0"/>
    <x v="0"/>
    <x v="0"/>
  </r>
  <r>
    <x v="1"/>
    <x v="12"/>
    <s v="263 R"/>
    <x v="105"/>
    <s v="ریفلیکٹ پیک"/>
    <s v="LDN"/>
    <n v="18"/>
    <n v="13"/>
    <s v="LDN"/>
    <n v="2000"/>
    <x v="0"/>
    <n v="5"/>
    <n v="373.2"/>
    <n v="11"/>
    <n v="5"/>
    <x v="0"/>
    <n v="362.2"/>
    <s v="RAI WAQAS"/>
    <n v="5"/>
    <x v="0"/>
    <x v="0"/>
    <n v="5"/>
    <n v="8.3333333333333329E-2"/>
    <x v="0"/>
    <x v="0"/>
    <m/>
    <x v="0"/>
    <x v="0"/>
    <x v="0"/>
    <x v="0"/>
    <x v="0"/>
    <n v="0"/>
    <n v="0"/>
    <n v="8.3333333333333329E-2"/>
    <n v="11.916666666666666"/>
    <x v="1"/>
    <x v="0"/>
    <m/>
    <x v="0"/>
    <m/>
    <x v="0"/>
    <x v="0"/>
    <x v="0"/>
    <x v="0"/>
    <x v="0"/>
  </r>
  <r>
    <x v="1"/>
    <x v="12"/>
    <s v="4392 J"/>
    <x v="105"/>
    <s v="Al Habib Bakers Rawalpindi"/>
    <s v="LDN"/>
    <n v="16"/>
    <s v="7-7.5"/>
    <s v="LDN"/>
    <n v="100"/>
    <x v="0"/>
    <n v="3"/>
    <n v="106.2"/>
    <n v="5.2"/>
    <m/>
    <x v="0"/>
    <n v="101"/>
    <s v="RAI WAQAS"/>
    <m/>
    <x v="0"/>
    <x v="0"/>
    <n v="0"/>
    <n v="0"/>
    <x v="0"/>
    <x v="0"/>
    <m/>
    <x v="0"/>
    <x v="0"/>
    <x v="0"/>
    <x v="0"/>
    <x v="0"/>
    <n v="0"/>
    <n v="0"/>
    <n v="0"/>
    <n v="12"/>
    <x v="1"/>
    <x v="0"/>
    <m/>
    <x v="0"/>
    <m/>
    <x v="0"/>
    <x v="0"/>
    <x v="0"/>
    <x v="0"/>
    <x v="0"/>
  </r>
  <r>
    <x v="1"/>
    <x v="14"/>
    <s v="2796/2"/>
    <x v="105"/>
    <s v="MATCO FOOD"/>
    <s v="LDN"/>
    <s v="23-23.5"/>
    <s v="70±1"/>
    <s v="LDN"/>
    <n v="1750"/>
    <x v="0"/>
    <n v="2"/>
    <n v="169.8"/>
    <n v="6.4"/>
    <n v="35.200000000000003"/>
    <x v="0"/>
    <n v="163.4"/>
    <s v="UMAR RASHEED"/>
    <n v="5"/>
    <x v="0"/>
    <x v="11"/>
    <n v="215"/>
    <n v="3.5833333333333335"/>
    <x v="0"/>
    <x v="0"/>
    <n v="60"/>
    <x v="0"/>
    <x v="0"/>
    <x v="0"/>
    <x v="3"/>
    <x v="0"/>
    <n v="90"/>
    <n v="1.5"/>
    <n v="5.0833333333333339"/>
    <n v="6.9166666666666661"/>
    <x v="1"/>
    <x v="0"/>
    <m/>
    <x v="0"/>
    <m/>
    <x v="0"/>
    <x v="0"/>
    <x v="0"/>
    <x v="0"/>
    <x v="0"/>
  </r>
  <r>
    <x v="1"/>
    <x v="14"/>
    <s v="263 R"/>
    <x v="105"/>
    <s v="ریفلیکٹ پیک"/>
    <s v="LDN"/>
    <n v="18"/>
    <n v="13"/>
    <s v="LDN"/>
    <n v="2000"/>
    <x v="0"/>
    <n v="1"/>
    <n v="46.7"/>
    <n v="4.5"/>
    <m/>
    <x v="0"/>
    <n v="42.2"/>
    <s v="UMAR RASHEED"/>
    <m/>
    <x v="0"/>
    <x v="0"/>
    <n v="0"/>
    <n v="0"/>
    <x v="0"/>
    <x v="0"/>
    <m/>
    <x v="0"/>
    <x v="0"/>
    <x v="0"/>
    <x v="0"/>
    <x v="0"/>
    <n v="0"/>
    <n v="0"/>
    <n v="0"/>
    <n v="12"/>
    <x v="1"/>
    <x v="0"/>
    <m/>
    <x v="0"/>
    <m/>
    <x v="0"/>
    <x v="0"/>
    <x v="0"/>
    <x v="0"/>
    <x v="0"/>
  </r>
  <r>
    <x v="0"/>
    <x v="8"/>
    <s v="4469 J"/>
    <x v="106"/>
    <s v="Zhahid Shaker Garh"/>
    <s v="LDN"/>
    <n v="7"/>
    <s v="14-15"/>
    <s v="LDN"/>
    <n v="300"/>
    <x v="0"/>
    <n v="1"/>
    <n v="45"/>
    <n v="0.8"/>
    <n v="1"/>
    <x v="0"/>
    <n v="44.2"/>
    <s v="Z  ALI"/>
    <m/>
    <x v="0"/>
    <x v="0"/>
    <n v="0"/>
    <n v="0"/>
    <x v="0"/>
    <x v="0"/>
    <m/>
    <x v="0"/>
    <x v="0"/>
    <x v="0"/>
    <x v="0"/>
    <x v="0"/>
    <n v="0"/>
    <n v="0"/>
    <n v="0"/>
    <n v="12"/>
    <x v="1"/>
    <x v="0"/>
    <n v="2416"/>
    <x v="0"/>
    <m/>
    <x v="0"/>
    <x v="0"/>
    <x v="0"/>
    <x v="0"/>
    <x v="0"/>
  </r>
  <r>
    <x v="0"/>
    <x v="8"/>
    <s v="4468 J"/>
    <x v="106"/>
    <s v="Zhahid Shaker Garh"/>
    <s v="LDN"/>
    <n v="6"/>
    <s v="14-15"/>
    <s v="LDN"/>
    <n v="300"/>
    <x v="0"/>
    <n v="3"/>
    <n v="116.2"/>
    <n v="1.9"/>
    <m/>
    <x v="0"/>
    <n v="114.3"/>
    <s v="NASIR"/>
    <m/>
    <x v="0"/>
    <x v="0"/>
    <n v="0"/>
    <n v="0"/>
    <x v="0"/>
    <x v="0"/>
    <m/>
    <x v="0"/>
    <x v="0"/>
    <x v="0"/>
    <x v="0"/>
    <x v="0"/>
    <n v="0"/>
    <n v="0"/>
    <n v="0"/>
    <n v="12"/>
    <x v="1"/>
    <x v="0"/>
    <m/>
    <x v="0"/>
    <m/>
    <x v="0"/>
    <x v="0"/>
    <x v="0"/>
    <x v="0"/>
    <x v="0"/>
  </r>
  <r>
    <x v="1"/>
    <x v="8"/>
    <s v="4468 J"/>
    <x v="106"/>
    <s v="Zhahid Shaker Garh"/>
    <s v="LDN"/>
    <n v="6"/>
    <s v="14-15"/>
    <s v="LDN"/>
    <n v="300"/>
    <x v="0"/>
    <n v="6"/>
    <n v="154.19"/>
    <n v="4.1999999999999993"/>
    <m/>
    <x v="0"/>
    <n v="149.99"/>
    <s v="Z  ALI"/>
    <m/>
    <x v="0"/>
    <x v="0"/>
    <n v="0"/>
    <n v="0"/>
    <x v="0"/>
    <x v="0"/>
    <m/>
    <x v="0"/>
    <x v="0"/>
    <x v="0"/>
    <x v="0"/>
    <x v="0"/>
    <n v="0"/>
    <n v="0"/>
    <n v="0"/>
    <n v="12"/>
    <x v="1"/>
    <x v="0"/>
    <m/>
    <x v="0"/>
    <m/>
    <x v="0"/>
    <x v="0"/>
    <x v="0"/>
    <x v="0"/>
    <x v="0"/>
  </r>
  <r>
    <x v="0"/>
    <x v="9"/>
    <s v="2783/2"/>
    <x v="106"/>
    <s v="PT-01"/>
    <s v="LD سرخ"/>
    <n v="5"/>
    <n v="80"/>
    <s v="LD سرخ"/>
    <n v="2500"/>
    <x v="0"/>
    <n v="8"/>
    <n v="224.14000000000001"/>
    <n v="4"/>
    <n v="4"/>
    <x v="0"/>
    <n v="220.14000000000001"/>
    <s v="NASIR"/>
    <m/>
    <x v="0"/>
    <x v="0"/>
    <n v="0"/>
    <n v="0"/>
    <x v="0"/>
    <x v="0"/>
    <m/>
    <x v="0"/>
    <x v="0"/>
    <x v="0"/>
    <x v="0"/>
    <x v="0"/>
    <n v="0"/>
    <n v="0"/>
    <n v="0"/>
    <n v="12"/>
    <x v="1"/>
    <x v="0"/>
    <m/>
    <x v="0"/>
    <m/>
    <x v="0"/>
    <x v="0"/>
    <x v="0"/>
    <x v="0"/>
    <x v="0"/>
  </r>
  <r>
    <x v="1"/>
    <x v="9"/>
    <s v="2783/2"/>
    <x v="106"/>
    <s v="PT-01"/>
    <s v="LD سرخ"/>
    <n v="5"/>
    <n v="80"/>
    <s v="LD سرخ"/>
    <n v="2500"/>
    <x v="0"/>
    <n v="8"/>
    <n v="206.1"/>
    <n v="4"/>
    <m/>
    <x v="0"/>
    <n v="202.1"/>
    <s v="BURAN"/>
    <m/>
    <x v="0"/>
    <x v="0"/>
    <n v="0"/>
    <n v="0"/>
    <x v="0"/>
    <x v="0"/>
    <m/>
    <x v="0"/>
    <x v="0"/>
    <x v="0"/>
    <x v="0"/>
    <x v="0"/>
    <n v="0"/>
    <n v="0"/>
    <n v="0"/>
    <n v="12"/>
    <x v="1"/>
    <x v="0"/>
    <m/>
    <x v="0"/>
    <m/>
    <x v="0"/>
    <x v="0"/>
    <x v="0"/>
    <x v="0"/>
    <x v="0"/>
  </r>
  <r>
    <x v="0"/>
    <x v="10"/>
    <s v="4453 J"/>
    <x v="106"/>
    <s v="-"/>
    <m/>
    <m/>
    <m/>
    <m/>
    <m/>
    <x v="0"/>
    <n v="6"/>
    <n v="470.79999999999995"/>
    <n v="11.399999999999999"/>
    <n v="6"/>
    <x v="0"/>
    <n v="459.4"/>
    <s v="GULFAM"/>
    <m/>
    <x v="0"/>
    <x v="0"/>
    <n v="0"/>
    <n v="0"/>
    <x v="0"/>
    <x v="0"/>
    <m/>
    <x v="0"/>
    <x v="0"/>
    <x v="0"/>
    <x v="0"/>
    <x v="0"/>
    <n v="0"/>
    <n v="0"/>
    <n v="0"/>
    <n v="12"/>
    <x v="1"/>
    <x v="0"/>
    <m/>
    <x v="0"/>
    <m/>
    <x v="0"/>
    <x v="0"/>
    <x v="0"/>
    <x v="0"/>
    <x v="0"/>
  </r>
  <r>
    <x v="1"/>
    <x v="10"/>
    <s v="4453 J"/>
    <x v="106"/>
    <s v="-"/>
    <m/>
    <m/>
    <m/>
    <m/>
    <m/>
    <x v="0"/>
    <n v="6"/>
    <n v="400"/>
    <n v="10.199999999999999"/>
    <m/>
    <x v="0"/>
    <n v="389.8"/>
    <s v="GULFAM"/>
    <m/>
    <x v="0"/>
    <x v="0"/>
    <n v="0"/>
    <n v="0"/>
    <x v="0"/>
    <x v="0"/>
    <m/>
    <x v="0"/>
    <x v="0"/>
    <x v="0"/>
    <x v="0"/>
    <x v="0"/>
    <n v="0"/>
    <n v="0"/>
    <n v="0"/>
    <n v="12"/>
    <x v="1"/>
    <x v="0"/>
    <m/>
    <x v="0"/>
    <m/>
    <x v="0"/>
    <x v="0"/>
    <x v="0"/>
    <x v="0"/>
    <x v="0"/>
  </r>
  <r>
    <x v="0"/>
    <x v="11"/>
    <s v="2186 F"/>
    <x v="106"/>
    <s v="Usman Amin"/>
    <s v="LDN"/>
    <n v="34"/>
    <s v="7-7.5"/>
    <s v="LDN"/>
    <n v="155"/>
    <x v="0"/>
    <n v="1"/>
    <n v="33.4"/>
    <n v="3.4"/>
    <n v="13"/>
    <x v="0"/>
    <n v="30"/>
    <s v="BURAN"/>
    <n v="10"/>
    <x v="0"/>
    <x v="0"/>
    <n v="10"/>
    <n v="0.16666666666666666"/>
    <x v="0"/>
    <x v="0"/>
    <m/>
    <x v="0"/>
    <x v="0"/>
    <x v="0"/>
    <x v="12"/>
    <x v="0"/>
    <n v="90"/>
    <n v="1.5"/>
    <n v="1.6666666666666667"/>
    <n v="10.333333333333334"/>
    <x v="1"/>
    <x v="0"/>
    <m/>
    <x v="0"/>
    <m/>
    <x v="0"/>
    <x v="0"/>
    <x v="0"/>
    <x v="0"/>
    <x v="0"/>
  </r>
  <r>
    <x v="0"/>
    <x v="11"/>
    <s v="2203 F"/>
    <x v="106"/>
    <s v="Usman Amin"/>
    <s v="LDN"/>
    <n v="18"/>
    <s v="7"/>
    <s v="LDN"/>
    <n v="800"/>
    <x v="0"/>
    <n v="3"/>
    <n v="181.2"/>
    <n v="7.1999999999999993"/>
    <m/>
    <x v="0"/>
    <n v="174"/>
    <s v="BURAN"/>
    <m/>
    <x v="0"/>
    <x v="0"/>
    <n v="0"/>
    <n v="0"/>
    <x v="0"/>
    <x v="0"/>
    <m/>
    <x v="0"/>
    <x v="0"/>
    <x v="0"/>
    <x v="0"/>
    <x v="0"/>
    <n v="0"/>
    <n v="0"/>
    <n v="0"/>
    <n v="12"/>
    <x v="1"/>
    <x v="0"/>
    <m/>
    <x v="0"/>
    <m/>
    <x v="0"/>
    <x v="0"/>
    <x v="0"/>
    <x v="0"/>
    <x v="0"/>
  </r>
  <r>
    <x v="1"/>
    <x v="11"/>
    <s v="2203 F"/>
    <x v="106"/>
    <s v="Usman Amin"/>
    <s v="LDN"/>
    <n v="18"/>
    <s v="7"/>
    <s v="LDN"/>
    <n v="800"/>
    <x v="0"/>
    <n v="4"/>
    <n v="269"/>
    <n v="8.4"/>
    <m/>
    <x v="0"/>
    <n v="260.60000000000002"/>
    <s v="GULFAM"/>
    <m/>
    <x v="0"/>
    <x v="0"/>
    <n v="0"/>
    <n v="0"/>
    <x v="0"/>
    <x v="0"/>
    <m/>
    <x v="0"/>
    <x v="0"/>
    <x v="0"/>
    <x v="0"/>
    <x v="0"/>
    <n v="0"/>
    <n v="0"/>
    <n v="0"/>
    <n v="12"/>
    <x v="1"/>
    <x v="0"/>
    <m/>
    <x v="0"/>
    <m/>
    <x v="0"/>
    <x v="0"/>
    <x v="0"/>
    <x v="0"/>
    <x v="0"/>
  </r>
  <r>
    <x v="0"/>
    <x v="12"/>
    <s v="4335 J"/>
    <x v="106"/>
    <s v="Royal Brook Lahore"/>
    <s v="LDN"/>
    <n v="19"/>
    <s v="8-8.5"/>
    <s v="LDN"/>
    <n v="300"/>
    <x v="0"/>
    <n v="3"/>
    <n v="108.5"/>
    <n v="6"/>
    <n v="35"/>
    <x v="0"/>
    <n v="102.5"/>
    <m/>
    <m/>
    <x v="0"/>
    <x v="0"/>
    <n v="0"/>
    <n v="0"/>
    <x v="0"/>
    <x v="0"/>
    <m/>
    <x v="0"/>
    <x v="0"/>
    <x v="0"/>
    <x v="0"/>
    <x v="0"/>
    <n v="0"/>
    <n v="0"/>
    <n v="0"/>
    <n v="12"/>
    <x v="1"/>
    <x v="0"/>
    <m/>
    <x v="0"/>
    <m/>
    <x v="0"/>
    <x v="0"/>
    <x v="0"/>
    <x v="0"/>
    <x v="0"/>
  </r>
  <r>
    <x v="0"/>
    <x v="12"/>
    <s v="4316 J"/>
    <x v="106"/>
    <s v="Anwar Raseed Industry Pvt. LTD"/>
    <s v="LDN"/>
    <s v="9 شیٹ"/>
    <s v="4-4.5/8-9"/>
    <s v="LDN"/>
    <n v="500"/>
    <x v="0"/>
    <n v="6"/>
    <n v="301.39999999999998"/>
    <n v="8.3999999999999986"/>
    <m/>
    <x v="0"/>
    <n v="293"/>
    <m/>
    <m/>
    <x v="0"/>
    <x v="0"/>
    <n v="0"/>
    <n v="0"/>
    <x v="0"/>
    <x v="0"/>
    <m/>
    <x v="0"/>
    <x v="0"/>
    <x v="0"/>
    <x v="0"/>
    <x v="0"/>
    <n v="0"/>
    <n v="0"/>
    <n v="0"/>
    <n v="12"/>
    <x v="1"/>
    <x v="0"/>
    <m/>
    <x v="0"/>
    <m/>
    <x v="0"/>
    <x v="0"/>
    <x v="0"/>
    <x v="0"/>
    <x v="0"/>
  </r>
  <r>
    <x v="1"/>
    <x v="12"/>
    <s v="4316 J"/>
    <x v="106"/>
    <s v="Anwar Raseed Industry Pvt. LTD"/>
    <s v="LDN"/>
    <s v="9 شیٹ"/>
    <s v="4-4.5/8-9"/>
    <s v="LDN"/>
    <n v="500"/>
    <x v="0"/>
    <n v="1"/>
    <n v="55.4"/>
    <n v="1.4"/>
    <m/>
    <x v="0"/>
    <n v="54"/>
    <s v="RAI WAQAS"/>
    <m/>
    <x v="0"/>
    <x v="0"/>
    <n v="0"/>
    <n v="0"/>
    <x v="0"/>
    <x v="0"/>
    <m/>
    <x v="0"/>
    <x v="0"/>
    <x v="0"/>
    <x v="0"/>
    <x v="0"/>
    <n v="0"/>
    <n v="0"/>
    <n v="0"/>
    <n v="12"/>
    <x v="1"/>
    <x v="0"/>
    <m/>
    <x v="0"/>
    <m/>
    <x v="0"/>
    <x v="0"/>
    <x v="0"/>
    <x v="0"/>
    <x v="0"/>
  </r>
  <r>
    <x v="1"/>
    <x v="12"/>
    <s v="4314 J"/>
    <x v="106"/>
    <s v="Anwar Raseed Industry Pvt. LTD"/>
    <s v="LDN"/>
    <s v="9 شیٹ"/>
    <s v="4-4.5/8-9"/>
    <s v="LDN"/>
    <n v="500"/>
    <x v="0"/>
    <n v="7"/>
    <n v="384.22"/>
    <n v="13.399999999999999"/>
    <m/>
    <x v="0"/>
    <n v="370.82000000000005"/>
    <s v="RAI WAQAS"/>
    <m/>
    <x v="0"/>
    <x v="0"/>
    <n v="0"/>
    <n v="0"/>
    <x v="0"/>
    <x v="0"/>
    <m/>
    <x v="0"/>
    <x v="0"/>
    <x v="0"/>
    <x v="0"/>
    <x v="0"/>
    <n v="0"/>
    <n v="0"/>
    <n v="0"/>
    <n v="12"/>
    <x v="1"/>
    <x v="0"/>
    <m/>
    <x v="0"/>
    <m/>
    <x v="0"/>
    <x v="0"/>
    <x v="0"/>
    <x v="0"/>
    <x v="0"/>
  </r>
  <r>
    <x v="0"/>
    <x v="14"/>
    <s v="263 R"/>
    <x v="106"/>
    <s v="ریفلیکٹ پیک"/>
    <s v="LDN"/>
    <n v="18"/>
    <n v="13"/>
    <s v="LDN"/>
    <n v="2000"/>
    <x v="0"/>
    <n v="2"/>
    <n v="118.4"/>
    <n v="3.1"/>
    <m/>
    <x v="0"/>
    <n v="115.30000000000001"/>
    <s v="HAIDER"/>
    <m/>
    <x v="0"/>
    <x v="0"/>
    <n v="0"/>
    <n v="0"/>
    <x v="0"/>
    <x v="0"/>
    <n v="30"/>
    <x v="0"/>
    <x v="0"/>
    <x v="0"/>
    <x v="0"/>
    <x v="0"/>
    <n v="30"/>
    <n v="0.5"/>
    <n v="0.5"/>
    <n v="11.5"/>
    <x v="1"/>
    <x v="0"/>
    <m/>
    <x v="0"/>
    <m/>
    <x v="0"/>
    <x v="0"/>
    <x v="0"/>
    <x v="0"/>
    <x v="0"/>
  </r>
  <r>
    <x v="1"/>
    <x v="14"/>
    <s v="263 R"/>
    <x v="106"/>
    <s v="ریفلیکٹ پیک"/>
    <s v="LDN"/>
    <n v="18"/>
    <n v="13"/>
    <s v="LDN"/>
    <n v="2000"/>
    <x v="0"/>
    <n v="4"/>
    <n v="296"/>
    <n v="10.199999999999999"/>
    <m/>
    <x v="0"/>
    <n v="285.8"/>
    <s v="ARSHAD"/>
    <m/>
    <x v="0"/>
    <x v="0"/>
    <n v="0"/>
    <n v="0"/>
    <x v="0"/>
    <x v="0"/>
    <m/>
    <x v="0"/>
    <x v="0"/>
    <x v="0"/>
    <x v="0"/>
    <x v="0"/>
    <n v="0"/>
    <n v="0"/>
    <n v="0"/>
    <n v="12"/>
    <x v="1"/>
    <x v="0"/>
    <m/>
    <x v="0"/>
    <m/>
    <x v="0"/>
    <x v="0"/>
    <x v="0"/>
    <x v="0"/>
    <x v="0"/>
  </r>
  <r>
    <x v="0"/>
    <x v="0"/>
    <s v="4422 J"/>
    <x v="107"/>
    <s v="Usman Arif Butt Gujranwala"/>
    <s v="LDN"/>
    <n v="6"/>
    <n v="10"/>
    <s v="LDN"/>
    <n v="80"/>
    <x v="0"/>
    <n v="2"/>
    <n v="84"/>
    <n v="1.2"/>
    <n v="5"/>
    <x v="0"/>
    <n v="82.8"/>
    <m/>
    <n v="3"/>
    <x v="0"/>
    <x v="0"/>
    <n v="3"/>
    <n v="0"/>
    <x v="0"/>
    <x v="0"/>
    <m/>
    <x v="0"/>
    <x v="0"/>
    <x v="0"/>
    <x v="0"/>
    <x v="0"/>
    <n v="0"/>
    <n v="0"/>
    <n v="0"/>
    <n v="12"/>
    <x v="1"/>
    <x v="0"/>
    <n v="2640"/>
    <x v="0"/>
    <m/>
    <x v="0"/>
    <x v="0"/>
    <x v="0"/>
    <x v="0"/>
    <x v="0"/>
  </r>
  <r>
    <x v="0"/>
    <x v="0"/>
    <s v="4414 J"/>
    <x v="107"/>
    <s v="Usman Arif Butt Gujranwala"/>
    <s v="LDN"/>
    <n v="6"/>
    <n v="10"/>
    <s v="LDN"/>
    <n v="80"/>
    <x v="0"/>
    <n v="2"/>
    <n v="83.6"/>
    <n v="1.2"/>
    <m/>
    <x v="0"/>
    <n v="82.399999999999991"/>
    <m/>
    <m/>
    <x v="0"/>
    <x v="0"/>
    <n v="0"/>
    <n v="0"/>
    <x v="0"/>
    <x v="0"/>
    <m/>
    <x v="0"/>
    <x v="0"/>
    <x v="0"/>
    <x v="0"/>
    <x v="0"/>
    <n v="0"/>
    <n v="0"/>
    <n v="0"/>
    <n v="12"/>
    <x v="1"/>
    <x v="0"/>
    <m/>
    <x v="0"/>
    <m/>
    <x v="0"/>
    <x v="0"/>
    <x v="0"/>
    <x v="0"/>
    <x v="0"/>
  </r>
  <r>
    <x v="1"/>
    <x v="0"/>
    <s v="4461 J"/>
    <x v="107"/>
    <s v="Shah Jee Achar Mardan"/>
    <s v="LDN"/>
    <n v="6"/>
    <s v="18"/>
    <s v="LDN"/>
    <n v="100"/>
    <x v="0"/>
    <n v="3"/>
    <n v="103.34"/>
    <n v="2.0999999999999996"/>
    <n v="6"/>
    <x v="0"/>
    <n v="101.24000000000001"/>
    <m/>
    <n v="4"/>
    <x v="0"/>
    <x v="0"/>
    <n v="4"/>
    <n v="0"/>
    <x v="0"/>
    <x v="0"/>
    <m/>
    <x v="0"/>
    <x v="0"/>
    <x v="0"/>
    <x v="0"/>
    <x v="0"/>
    <n v="0"/>
    <n v="0"/>
    <n v="0"/>
    <n v="12"/>
    <x v="1"/>
    <x v="0"/>
    <m/>
    <x v="0"/>
    <m/>
    <x v="0"/>
    <x v="0"/>
    <x v="0"/>
    <x v="0"/>
    <x v="0"/>
  </r>
  <r>
    <x v="1"/>
    <x v="0"/>
    <s v="4462 J"/>
    <x v="107"/>
    <s v="Shah Jee Achar Mardan"/>
    <s v="LDN"/>
    <n v="5.5"/>
    <s v="18"/>
    <s v="LDN"/>
    <n v="100"/>
    <x v="0"/>
    <n v="2"/>
    <n v="67.2"/>
    <n v="1.4"/>
    <m/>
    <x v="0"/>
    <n v="65.8"/>
    <m/>
    <m/>
    <x v="0"/>
    <x v="0"/>
    <n v="0"/>
    <n v="0"/>
    <x v="0"/>
    <x v="0"/>
    <m/>
    <x v="0"/>
    <x v="0"/>
    <x v="0"/>
    <x v="0"/>
    <x v="0"/>
    <n v="0"/>
    <n v="0"/>
    <n v="0"/>
    <n v="12"/>
    <x v="1"/>
    <x v="0"/>
    <m/>
    <x v="0"/>
    <m/>
    <x v="0"/>
    <x v="0"/>
    <x v="0"/>
    <x v="0"/>
    <x v="0"/>
  </r>
  <r>
    <x v="0"/>
    <x v="9"/>
    <s v="2783/2"/>
    <x v="107"/>
    <s v="PT-01"/>
    <s v="LD سرخ"/>
    <n v="5"/>
    <n v="80"/>
    <s v="LD سرخ"/>
    <n v="2500"/>
    <x v="0"/>
    <n v="8"/>
    <n v="230.9"/>
    <n v="4"/>
    <m/>
    <x v="0"/>
    <n v="226.9"/>
    <m/>
    <m/>
    <x v="0"/>
    <x v="0"/>
    <n v="0"/>
    <n v="0"/>
    <x v="0"/>
    <x v="0"/>
    <m/>
    <x v="0"/>
    <x v="0"/>
    <x v="0"/>
    <x v="0"/>
    <x v="0"/>
    <n v="0"/>
    <n v="0"/>
    <n v="0"/>
    <n v="12"/>
    <x v="1"/>
    <x v="0"/>
    <m/>
    <x v="0"/>
    <m/>
    <x v="0"/>
    <x v="0"/>
    <x v="0"/>
    <x v="0"/>
    <x v="0"/>
  </r>
  <r>
    <x v="1"/>
    <x v="9"/>
    <s v="2783/2"/>
    <x v="107"/>
    <s v="PT-01"/>
    <s v="LD سرخ"/>
    <n v="5"/>
    <n v="80"/>
    <s v="LD سرخ"/>
    <n v="2500"/>
    <x v="0"/>
    <n v="8"/>
    <n v="231.4"/>
    <n v="4"/>
    <n v="7"/>
    <x v="0"/>
    <n v="227.4"/>
    <m/>
    <m/>
    <x v="0"/>
    <x v="0"/>
    <n v="0"/>
    <n v="0"/>
    <x v="0"/>
    <x v="0"/>
    <m/>
    <x v="0"/>
    <x v="0"/>
    <x v="0"/>
    <x v="0"/>
    <x v="0"/>
    <n v="0"/>
    <n v="0"/>
    <n v="0"/>
    <n v="12"/>
    <x v="1"/>
    <x v="0"/>
    <m/>
    <x v="0"/>
    <m/>
    <x v="0"/>
    <x v="0"/>
    <x v="0"/>
    <x v="0"/>
    <x v="0"/>
  </r>
  <r>
    <x v="0"/>
    <x v="10"/>
    <s v="4453 J"/>
    <x v="107"/>
    <s v="-"/>
    <m/>
    <m/>
    <m/>
    <m/>
    <m/>
    <x v="0"/>
    <n v="1"/>
    <n v="68.599999999999994"/>
    <n v="1.9"/>
    <m/>
    <x v="0"/>
    <n v="66.699999999999989"/>
    <m/>
    <m/>
    <x v="0"/>
    <x v="0"/>
    <n v="0"/>
    <n v="0"/>
    <x v="0"/>
    <x v="0"/>
    <m/>
    <x v="0"/>
    <x v="0"/>
    <x v="0"/>
    <x v="0"/>
    <x v="0"/>
    <n v="0"/>
    <n v="0"/>
    <n v="0"/>
    <n v="12"/>
    <x v="1"/>
    <x v="0"/>
    <m/>
    <x v="0"/>
    <m/>
    <x v="0"/>
    <x v="0"/>
    <x v="0"/>
    <x v="0"/>
    <x v="0"/>
  </r>
  <r>
    <x v="0"/>
    <x v="10"/>
    <s v="4494 J"/>
    <x v="107"/>
    <s v="Alam Printers Butkhela"/>
    <s v="LDM"/>
    <n v="15"/>
    <s v="9-10"/>
    <s v="LDM"/>
    <n v="100"/>
    <x v="0"/>
    <n v="2"/>
    <n v="117.2"/>
    <n v="3.8"/>
    <m/>
    <x v="0"/>
    <n v="113.4"/>
    <m/>
    <m/>
    <x v="0"/>
    <x v="0"/>
    <n v="0"/>
    <n v="0"/>
    <x v="0"/>
    <x v="0"/>
    <m/>
    <x v="0"/>
    <x v="0"/>
    <x v="0"/>
    <x v="0"/>
    <x v="0"/>
    <n v="0"/>
    <n v="0"/>
    <n v="0"/>
    <n v="12"/>
    <x v="1"/>
    <x v="0"/>
    <m/>
    <x v="0"/>
    <m/>
    <x v="0"/>
    <x v="0"/>
    <x v="0"/>
    <x v="0"/>
    <x v="0"/>
  </r>
  <r>
    <x v="0"/>
    <x v="10"/>
    <s v="4488 J"/>
    <x v="107"/>
    <s v="M. Imran Pakistan Market Lahore"/>
    <s v="LDM"/>
    <n v="19"/>
    <s v="13.5-14"/>
    <s v="LDM"/>
    <n v="100"/>
    <x v="0"/>
    <n v="2"/>
    <n v="103"/>
    <n v="4.5999999999999996"/>
    <m/>
    <x v="0"/>
    <n v="98.4"/>
    <m/>
    <m/>
    <x v="0"/>
    <x v="0"/>
    <n v="0"/>
    <n v="0"/>
    <x v="0"/>
    <x v="0"/>
    <m/>
    <x v="0"/>
    <x v="0"/>
    <x v="0"/>
    <x v="0"/>
    <x v="0"/>
    <n v="0"/>
    <n v="0"/>
    <n v="0"/>
    <n v="12"/>
    <x v="1"/>
    <x v="0"/>
    <m/>
    <x v="0"/>
    <m/>
    <x v="0"/>
    <x v="0"/>
    <x v="0"/>
    <x v="0"/>
    <x v="0"/>
  </r>
  <r>
    <x v="0"/>
    <x v="10"/>
    <s v="4489 J"/>
    <x v="107"/>
    <s v="M. Imran Pakistan Market Lahore"/>
    <s v="LDM"/>
    <n v="19"/>
    <s v="13.5-14"/>
    <s v="LDM"/>
    <n v="60"/>
    <x v="0"/>
    <n v="1"/>
    <n v="70.2"/>
    <n v="2.4"/>
    <m/>
    <x v="0"/>
    <n v="67.8"/>
    <m/>
    <m/>
    <x v="0"/>
    <x v="0"/>
    <n v="0"/>
    <n v="0"/>
    <x v="0"/>
    <x v="0"/>
    <m/>
    <x v="0"/>
    <x v="0"/>
    <x v="0"/>
    <x v="0"/>
    <x v="0"/>
    <n v="0"/>
    <n v="0"/>
    <n v="0"/>
    <n v="12"/>
    <x v="1"/>
    <x v="0"/>
    <m/>
    <x v="0"/>
    <m/>
    <x v="0"/>
    <x v="0"/>
    <x v="0"/>
    <x v="0"/>
    <x v="0"/>
  </r>
  <r>
    <x v="0"/>
    <x v="10"/>
    <s v="4490 J"/>
    <x v="107"/>
    <s v="M. Imran Pakistan Market Lahore"/>
    <s v="LDM"/>
    <n v="19"/>
    <s v="13.5-14"/>
    <s v="LDM"/>
    <n v="60"/>
    <x v="0"/>
    <n v="1"/>
    <n v="61.4"/>
    <n v="2.2999999999999998"/>
    <m/>
    <x v="0"/>
    <n v="59.1"/>
    <m/>
    <m/>
    <x v="0"/>
    <x v="0"/>
    <n v="0"/>
    <n v="0"/>
    <x v="0"/>
    <x v="0"/>
    <m/>
    <x v="0"/>
    <x v="0"/>
    <x v="0"/>
    <x v="0"/>
    <x v="0"/>
    <n v="0"/>
    <n v="0"/>
    <n v="0"/>
    <n v="12"/>
    <x v="1"/>
    <x v="0"/>
    <m/>
    <x v="0"/>
    <m/>
    <x v="0"/>
    <x v="0"/>
    <x v="0"/>
    <x v="0"/>
    <x v="0"/>
  </r>
  <r>
    <x v="1"/>
    <x v="10"/>
    <s v="4528 J"/>
    <x v="107"/>
    <s v="-"/>
    <m/>
    <m/>
    <m/>
    <m/>
    <m/>
    <x v="0"/>
    <n v="2"/>
    <n v="108.8"/>
    <n v="3.8"/>
    <m/>
    <x v="0"/>
    <n v="105"/>
    <m/>
    <m/>
    <x v="0"/>
    <x v="0"/>
    <n v="0"/>
    <n v="0"/>
    <x v="0"/>
    <x v="0"/>
    <m/>
    <x v="0"/>
    <x v="0"/>
    <x v="0"/>
    <x v="0"/>
    <x v="0"/>
    <n v="0"/>
    <n v="0"/>
    <n v="0"/>
    <n v="12"/>
    <x v="1"/>
    <x v="0"/>
    <m/>
    <x v="0"/>
    <m/>
    <x v="0"/>
    <x v="0"/>
    <x v="0"/>
    <x v="0"/>
    <x v="0"/>
  </r>
  <r>
    <x v="1"/>
    <x v="10"/>
    <s v="2797/1"/>
    <x v="107"/>
    <s v="PT-02 (ZEPHYR TEXTILE MILLS PVT LTD)"/>
    <s v="LDN"/>
    <n v="23"/>
    <n v="15"/>
    <s v="LDN"/>
    <n v="1000"/>
    <x v="0"/>
    <n v="4"/>
    <n v="327"/>
    <n v="11.2"/>
    <m/>
    <x v="0"/>
    <n v="315.8"/>
    <m/>
    <m/>
    <x v="0"/>
    <x v="0"/>
    <n v="0"/>
    <n v="0"/>
    <x v="0"/>
    <x v="0"/>
    <m/>
    <x v="0"/>
    <x v="0"/>
    <x v="0"/>
    <x v="0"/>
    <x v="0"/>
    <n v="0"/>
    <n v="0"/>
    <n v="0"/>
    <n v="12"/>
    <x v="1"/>
    <x v="0"/>
    <m/>
    <x v="0"/>
    <m/>
    <x v="0"/>
    <x v="0"/>
    <x v="0"/>
    <x v="0"/>
    <x v="0"/>
  </r>
  <r>
    <x v="0"/>
    <x v="11"/>
    <s v="2203 F"/>
    <x v="107"/>
    <s v="Usman Amin"/>
    <s v="LDN"/>
    <n v="18"/>
    <s v="7"/>
    <s v="LDN"/>
    <n v="800"/>
    <x v="0"/>
    <n v="4"/>
    <n v="254.40000000000003"/>
    <n v="8.4"/>
    <m/>
    <x v="0"/>
    <n v="246.00000000000003"/>
    <m/>
    <m/>
    <x v="0"/>
    <x v="0"/>
    <n v="0"/>
    <n v="0"/>
    <x v="0"/>
    <x v="0"/>
    <m/>
    <x v="0"/>
    <x v="0"/>
    <x v="0"/>
    <x v="0"/>
    <x v="0"/>
    <n v="0"/>
    <n v="0"/>
    <n v="0"/>
    <n v="12"/>
    <x v="1"/>
    <x v="0"/>
    <m/>
    <x v="0"/>
    <m/>
    <x v="0"/>
    <x v="0"/>
    <x v="0"/>
    <x v="0"/>
    <x v="0"/>
  </r>
  <r>
    <x v="0"/>
    <x v="11"/>
    <s v="2219 F"/>
    <x v="107"/>
    <s v="Usman Amin"/>
    <s v="LDN"/>
    <n v="19"/>
    <s v="5-5.5"/>
    <s v="LDN"/>
    <n v="230"/>
    <x v="0"/>
    <n v="3"/>
    <n v="106"/>
    <n v="6.7"/>
    <m/>
    <x v="0"/>
    <n v="99.3"/>
    <m/>
    <m/>
    <x v="0"/>
    <x v="0"/>
    <n v="0"/>
    <n v="0"/>
    <x v="0"/>
    <x v="0"/>
    <m/>
    <x v="0"/>
    <x v="0"/>
    <x v="0"/>
    <x v="0"/>
    <x v="0"/>
    <n v="0"/>
    <n v="0"/>
    <n v="0"/>
    <n v="12"/>
    <x v="1"/>
    <x v="0"/>
    <m/>
    <x v="0"/>
    <m/>
    <x v="0"/>
    <x v="0"/>
    <x v="0"/>
    <x v="0"/>
    <x v="0"/>
  </r>
  <r>
    <x v="1"/>
    <x v="11"/>
    <s v="2219 F"/>
    <x v="107"/>
    <s v="Usman Amin"/>
    <s v="LDN"/>
    <n v="19"/>
    <s v="5-5.5"/>
    <s v="LDN"/>
    <n v="230"/>
    <x v="0"/>
    <n v="4"/>
    <n v="139.68"/>
    <n v="8.8000000000000007"/>
    <m/>
    <x v="0"/>
    <n v="130.88"/>
    <m/>
    <n v="4"/>
    <x v="0"/>
    <x v="0"/>
    <n v="4"/>
    <n v="6.6666666666666666E-2"/>
    <x v="0"/>
    <x v="0"/>
    <m/>
    <x v="0"/>
    <x v="0"/>
    <x v="0"/>
    <x v="0"/>
    <x v="0"/>
    <n v="0"/>
    <n v="0"/>
    <n v="6.6666666666666666E-2"/>
    <n v="11.933333333333334"/>
    <x v="1"/>
    <x v="0"/>
    <m/>
    <x v="0"/>
    <m/>
    <x v="0"/>
    <x v="0"/>
    <x v="0"/>
    <x v="0"/>
    <x v="0"/>
  </r>
  <r>
    <x v="1"/>
    <x v="11"/>
    <s v="2220 F"/>
    <x v="107"/>
    <s v="Usman Amin"/>
    <s v="LDN"/>
    <n v="21"/>
    <s v="5-5.5"/>
    <s v="LDN"/>
    <n v="395"/>
    <x v="0"/>
    <n v="4"/>
    <n v="182.42000000000002"/>
    <n v="10"/>
    <m/>
    <x v="0"/>
    <n v="172.42000000000002"/>
    <m/>
    <m/>
    <x v="0"/>
    <x v="0"/>
    <n v="0"/>
    <n v="0"/>
    <x v="0"/>
    <x v="0"/>
    <m/>
    <x v="0"/>
    <x v="0"/>
    <x v="0"/>
    <x v="0"/>
    <x v="0"/>
    <n v="0"/>
    <n v="0"/>
    <n v="0"/>
    <n v="12"/>
    <x v="1"/>
    <x v="0"/>
    <m/>
    <x v="0"/>
    <m/>
    <x v="0"/>
    <x v="0"/>
    <x v="0"/>
    <x v="0"/>
    <x v="0"/>
  </r>
  <r>
    <x v="0"/>
    <x v="12"/>
    <s v="4314 J"/>
    <x v="107"/>
    <s v="Anwar Raseed Industry Pvt. LTD"/>
    <s v="LDN"/>
    <s v="9 شیٹ"/>
    <s v="4-4.5/8-9"/>
    <s v="LDN"/>
    <n v="500"/>
    <x v="0"/>
    <n v="2"/>
    <n v="121.80000000000001"/>
    <n v="4.4000000000000004"/>
    <m/>
    <x v="0"/>
    <n v="117.4"/>
    <m/>
    <n v="5"/>
    <x v="0"/>
    <x v="0"/>
    <n v="5"/>
    <n v="8.3333333333333329E-2"/>
    <x v="0"/>
    <x v="0"/>
    <m/>
    <x v="0"/>
    <x v="0"/>
    <x v="0"/>
    <x v="0"/>
    <x v="0"/>
    <n v="0"/>
    <n v="0"/>
    <n v="8.3333333333333329E-2"/>
    <n v="11.916666666666666"/>
    <x v="1"/>
    <x v="0"/>
    <m/>
    <x v="0"/>
    <m/>
    <x v="0"/>
    <x v="0"/>
    <x v="0"/>
    <x v="0"/>
    <x v="0"/>
  </r>
  <r>
    <x v="0"/>
    <x v="12"/>
    <s v="4451 J"/>
    <x v="107"/>
    <s v="-"/>
    <m/>
    <m/>
    <m/>
    <m/>
    <m/>
    <x v="0"/>
    <n v="1"/>
    <n v="72.8"/>
    <n v="1.8"/>
    <m/>
    <x v="0"/>
    <n v="71"/>
    <m/>
    <m/>
    <x v="0"/>
    <x v="0"/>
    <n v="0"/>
    <n v="0"/>
    <x v="0"/>
    <x v="0"/>
    <m/>
    <x v="0"/>
    <x v="0"/>
    <x v="0"/>
    <x v="0"/>
    <x v="0"/>
    <n v="0"/>
    <n v="0"/>
    <n v="0"/>
    <n v="12"/>
    <x v="1"/>
    <x v="0"/>
    <m/>
    <x v="0"/>
    <m/>
    <x v="0"/>
    <x v="0"/>
    <x v="0"/>
    <x v="0"/>
    <x v="0"/>
  </r>
  <r>
    <x v="0"/>
    <x v="12"/>
    <s v="2212 F"/>
    <x v="107"/>
    <s v="Usman Amin"/>
    <s v="LDN"/>
    <s v="34 SHEET"/>
    <s v="3-3.25/6-6.5"/>
    <s v="LDN"/>
    <n v="250"/>
    <x v="0"/>
    <n v="6"/>
    <n v="392.99999999999994"/>
    <n v="25.200000000000003"/>
    <m/>
    <x v="0"/>
    <n v="367.79999999999995"/>
    <m/>
    <m/>
    <x v="0"/>
    <x v="0"/>
    <n v="0"/>
    <n v="0"/>
    <x v="0"/>
    <x v="0"/>
    <m/>
    <x v="0"/>
    <x v="0"/>
    <x v="0"/>
    <x v="0"/>
    <x v="0"/>
    <n v="0"/>
    <n v="0"/>
    <n v="0"/>
    <n v="12"/>
    <x v="1"/>
    <x v="0"/>
    <m/>
    <x v="0"/>
    <m/>
    <x v="0"/>
    <x v="0"/>
    <x v="0"/>
    <x v="0"/>
    <x v="0"/>
  </r>
  <r>
    <x v="1"/>
    <x v="12"/>
    <s v="2191 F"/>
    <x v="107"/>
    <s v="Usman Amin"/>
    <s v="LDN"/>
    <s v="36 SHEET"/>
    <s v="3-3.25/6-6.5"/>
    <s v="LDN"/>
    <n v="275"/>
    <x v="0"/>
    <n v="4"/>
    <n v="293.60000000000002"/>
    <n v="18.399999999999999"/>
    <m/>
    <x v="0"/>
    <n v="275.20000000000005"/>
    <m/>
    <m/>
    <x v="0"/>
    <x v="0"/>
    <n v="0"/>
    <n v="0"/>
    <x v="0"/>
    <x v="0"/>
    <m/>
    <x v="0"/>
    <x v="0"/>
    <x v="0"/>
    <x v="0"/>
    <x v="0"/>
    <n v="0"/>
    <n v="0"/>
    <n v="0"/>
    <n v="12"/>
    <x v="1"/>
    <x v="0"/>
    <m/>
    <x v="0"/>
    <m/>
    <x v="0"/>
    <x v="0"/>
    <x v="0"/>
    <x v="0"/>
    <x v="0"/>
  </r>
  <r>
    <x v="1"/>
    <x v="12"/>
    <s v="4525 J"/>
    <x v="107"/>
    <s v="-"/>
    <m/>
    <m/>
    <m/>
    <m/>
    <m/>
    <x v="0"/>
    <n v="3"/>
    <n v="213.39999999999998"/>
    <n v="10.8"/>
    <m/>
    <x v="0"/>
    <n v="202.59999999999997"/>
    <m/>
    <m/>
    <x v="0"/>
    <x v="0"/>
    <n v="0"/>
    <n v="0"/>
    <x v="0"/>
    <x v="0"/>
    <m/>
    <x v="0"/>
    <x v="0"/>
    <x v="0"/>
    <x v="0"/>
    <x v="0"/>
    <n v="0"/>
    <n v="0"/>
    <n v="0"/>
    <n v="12"/>
    <x v="1"/>
    <x v="0"/>
    <m/>
    <x v="0"/>
    <m/>
    <x v="0"/>
    <x v="0"/>
    <x v="0"/>
    <x v="0"/>
    <x v="0"/>
  </r>
  <r>
    <x v="1"/>
    <x v="12"/>
    <s v="2796/2"/>
    <x v="107"/>
    <s v="MATCO FOOD"/>
    <s v="LDN"/>
    <s v="23-23.5"/>
    <s v="70±1"/>
    <s v="LDN"/>
    <n v="1750"/>
    <x v="0"/>
    <n v="2"/>
    <n v="227"/>
    <n v="6"/>
    <m/>
    <x v="0"/>
    <n v="221"/>
    <m/>
    <m/>
    <x v="0"/>
    <x v="0"/>
    <n v="0"/>
    <n v="0"/>
    <x v="0"/>
    <x v="0"/>
    <m/>
    <x v="0"/>
    <x v="0"/>
    <x v="0"/>
    <x v="0"/>
    <x v="0"/>
    <n v="0"/>
    <n v="0"/>
    <n v="0"/>
    <n v="12"/>
    <x v="1"/>
    <x v="0"/>
    <m/>
    <x v="0"/>
    <m/>
    <x v="0"/>
    <x v="0"/>
    <x v="0"/>
    <x v="0"/>
    <x v="0"/>
  </r>
  <r>
    <x v="0"/>
    <x v="8"/>
    <s v="4462 J"/>
    <x v="108"/>
    <s v="Shah Jee Achar Mardan"/>
    <s v="LDN"/>
    <n v="5.5"/>
    <s v="18"/>
    <s v="LDN"/>
    <n v="100"/>
    <x v="0"/>
    <n v="1"/>
    <n v="30.8"/>
    <n v="0.7"/>
    <m/>
    <x v="0"/>
    <n v="30.1"/>
    <s v="NASIR"/>
    <m/>
    <x v="0"/>
    <x v="0"/>
    <n v="0"/>
    <n v="0"/>
    <x v="0"/>
    <x v="0"/>
    <m/>
    <x v="0"/>
    <x v="0"/>
    <x v="0"/>
    <x v="0"/>
    <x v="0"/>
    <n v="0"/>
    <n v="0"/>
    <n v="0"/>
    <n v="12"/>
    <x v="1"/>
    <x v="0"/>
    <n v="2483.5"/>
    <x v="0"/>
    <m/>
    <x v="0"/>
    <x v="0"/>
    <x v="0"/>
    <x v="0"/>
    <x v="0"/>
  </r>
  <r>
    <x v="0"/>
    <x v="8"/>
    <s v="2216 F"/>
    <x v="108"/>
    <s v="Usman Amin"/>
    <s v="LDN"/>
    <n v="5"/>
    <s v="8-8.5"/>
    <s v="LDN"/>
    <n v="125"/>
    <x v="0"/>
    <n v="5"/>
    <n v="89.6"/>
    <n v="3"/>
    <m/>
    <x v="0"/>
    <n v="86.6"/>
    <s v="NASIR"/>
    <m/>
    <x v="0"/>
    <x v="0"/>
    <n v="0"/>
    <n v="0"/>
    <x v="0"/>
    <x v="0"/>
    <m/>
    <x v="0"/>
    <x v="0"/>
    <x v="0"/>
    <x v="0"/>
    <x v="0"/>
    <n v="0"/>
    <n v="0"/>
    <n v="0"/>
    <n v="12"/>
    <x v="1"/>
    <x v="0"/>
    <m/>
    <x v="0"/>
    <m/>
    <x v="0"/>
    <x v="0"/>
    <x v="0"/>
    <x v="0"/>
    <x v="0"/>
  </r>
  <r>
    <x v="1"/>
    <x v="8"/>
    <s v="2216 F"/>
    <x v="108"/>
    <s v="Usman Amin"/>
    <s v="LDN"/>
    <n v="5"/>
    <s v="8-8.5"/>
    <s v="LDN"/>
    <n v="125"/>
    <x v="0"/>
    <n v="2"/>
    <n v="61.3"/>
    <n v="1.2"/>
    <n v="1.3"/>
    <x v="0"/>
    <n v="60.099999999999994"/>
    <s v="BURAN"/>
    <n v="2"/>
    <x v="0"/>
    <x v="0"/>
    <n v="2"/>
    <n v="3.3333333333333333E-2"/>
    <x v="0"/>
    <x v="0"/>
    <m/>
    <x v="0"/>
    <x v="0"/>
    <x v="0"/>
    <x v="0"/>
    <x v="0"/>
    <n v="0"/>
    <n v="0"/>
    <n v="3.3333333333333333E-2"/>
    <n v="11.966666666666667"/>
    <x v="1"/>
    <x v="0"/>
    <m/>
    <x v="0"/>
    <m/>
    <x v="0"/>
    <x v="0"/>
    <x v="0"/>
    <x v="0"/>
    <x v="0"/>
  </r>
  <r>
    <x v="1"/>
    <x v="8"/>
    <s v="4421 J"/>
    <x v="108"/>
    <s v="Usman Arif Butt Gujranwala"/>
    <s v="LDN"/>
    <n v="5"/>
    <n v="10"/>
    <s v="LDN"/>
    <n v="80"/>
    <x v="0"/>
    <n v="1"/>
    <n v="36.799999999999997"/>
    <n v="0.7"/>
    <m/>
    <x v="0"/>
    <n v="36.099999999999994"/>
    <s v="BURAN"/>
    <m/>
    <x v="0"/>
    <x v="0"/>
    <n v="0"/>
    <n v="0"/>
    <x v="0"/>
    <x v="0"/>
    <m/>
    <x v="0"/>
    <x v="0"/>
    <x v="0"/>
    <x v="0"/>
    <x v="0"/>
    <n v="0"/>
    <n v="0"/>
    <n v="0"/>
    <n v="12"/>
    <x v="1"/>
    <x v="0"/>
    <m/>
    <x v="0"/>
    <m/>
    <x v="0"/>
    <x v="0"/>
    <x v="0"/>
    <x v="0"/>
    <x v="0"/>
  </r>
  <r>
    <x v="1"/>
    <x v="8"/>
    <s v="2217 F"/>
    <x v="108"/>
    <s v="Usman Amin"/>
    <s v="LDN"/>
    <n v="16"/>
    <s v="8"/>
    <s v="LDN"/>
    <n v="100"/>
    <x v="0"/>
    <n v="1"/>
    <n v="35.4"/>
    <n v="0.7"/>
    <m/>
    <x v="0"/>
    <n v="34.699999999999996"/>
    <s v="BURAN"/>
    <m/>
    <x v="0"/>
    <x v="0"/>
    <n v="0"/>
    <n v="0"/>
    <x v="0"/>
    <x v="0"/>
    <m/>
    <x v="0"/>
    <x v="0"/>
    <x v="0"/>
    <x v="0"/>
    <x v="0"/>
    <n v="0"/>
    <n v="0"/>
    <n v="0"/>
    <n v="12"/>
    <x v="1"/>
    <x v="0"/>
    <m/>
    <x v="0"/>
    <m/>
    <x v="0"/>
    <x v="0"/>
    <x v="0"/>
    <x v="0"/>
    <x v="0"/>
  </r>
  <r>
    <x v="0"/>
    <x v="9"/>
    <s v="2783/2"/>
    <x v="108"/>
    <s v="PT-01"/>
    <s v="LD سرخ"/>
    <n v="5"/>
    <n v="80"/>
    <s v="LD سرخ"/>
    <n v="2500"/>
    <x v="0"/>
    <n v="9"/>
    <n v="249.32000000000002"/>
    <n v="1.8"/>
    <n v="12"/>
    <x v="0"/>
    <n v="247.52"/>
    <s v="GULFAM"/>
    <m/>
    <x v="0"/>
    <x v="0"/>
    <n v="0"/>
    <n v="0"/>
    <x v="0"/>
    <x v="0"/>
    <m/>
    <x v="0"/>
    <x v="0"/>
    <x v="0"/>
    <x v="0"/>
    <x v="0"/>
    <n v="0"/>
    <n v="0"/>
    <n v="0"/>
    <n v="12"/>
    <x v="1"/>
    <x v="0"/>
    <m/>
    <x v="0"/>
    <m/>
    <x v="0"/>
    <x v="0"/>
    <x v="0"/>
    <x v="0"/>
    <x v="0"/>
  </r>
  <r>
    <x v="1"/>
    <x v="9"/>
    <s v="2783/2"/>
    <x v="108"/>
    <s v="PT-01"/>
    <s v="LD سرخ"/>
    <n v="5"/>
    <n v="80"/>
    <s v="LD سرخ"/>
    <n v="2500"/>
    <x v="0"/>
    <n v="10"/>
    <n v="236.63"/>
    <n v="1"/>
    <n v="15"/>
    <x v="0"/>
    <n v="235.63"/>
    <s v="NASIR"/>
    <m/>
    <x v="0"/>
    <x v="0"/>
    <n v="0"/>
    <n v="0"/>
    <x v="0"/>
    <x v="0"/>
    <m/>
    <x v="0"/>
    <x v="0"/>
    <x v="0"/>
    <x v="0"/>
    <x v="0"/>
    <n v="0"/>
    <n v="0"/>
    <n v="0"/>
    <n v="12"/>
    <x v="1"/>
    <x v="0"/>
    <m/>
    <x v="0"/>
    <m/>
    <x v="0"/>
    <x v="0"/>
    <x v="0"/>
    <x v="0"/>
    <x v="0"/>
  </r>
  <r>
    <x v="0"/>
    <x v="10"/>
    <s v="2797/1"/>
    <x v="108"/>
    <s v="PT-02 (ZEPHYR TEXTILE MILLS PVT LTD)"/>
    <s v="LDN"/>
    <n v="23"/>
    <n v="15"/>
    <s v="LDN"/>
    <n v="1000"/>
    <x v="0"/>
    <n v="4"/>
    <n v="317.39999999999998"/>
    <n v="14"/>
    <n v="9"/>
    <x v="0"/>
    <n v="303.39999999999998"/>
    <s v="GULFAM"/>
    <n v="20"/>
    <x v="0"/>
    <x v="0"/>
    <n v="20"/>
    <n v="0.33333333333333331"/>
    <x v="0"/>
    <x v="0"/>
    <m/>
    <x v="0"/>
    <x v="0"/>
    <x v="0"/>
    <x v="0"/>
    <x v="0"/>
    <n v="0"/>
    <n v="0"/>
    <n v="0.33333333333333331"/>
    <n v="11.666666666666666"/>
    <x v="1"/>
    <x v="0"/>
    <m/>
    <x v="0"/>
    <m/>
    <x v="0"/>
    <x v="0"/>
    <x v="0"/>
    <x v="0"/>
    <x v="0"/>
  </r>
  <r>
    <x v="1"/>
    <x v="10"/>
    <s v="2797/1"/>
    <x v="108"/>
    <s v="PT-02 (ZEPHYR TEXTILE MILLS PVT LTD)"/>
    <s v="LDN"/>
    <n v="23"/>
    <n v="15"/>
    <s v="LDN"/>
    <n v="1000"/>
    <x v="0"/>
    <n v="4"/>
    <n v="286.60000000000002"/>
    <n v="12"/>
    <n v="26"/>
    <x v="0"/>
    <n v="274.60000000000002"/>
    <s v="UMAR RASHEED"/>
    <m/>
    <x v="0"/>
    <x v="0"/>
    <n v="0"/>
    <n v="0"/>
    <x v="0"/>
    <x v="0"/>
    <m/>
    <x v="0"/>
    <x v="0"/>
    <x v="0"/>
    <x v="0"/>
    <x v="0"/>
    <n v="0"/>
    <n v="0"/>
    <n v="0"/>
    <n v="12"/>
    <x v="1"/>
    <x v="0"/>
    <m/>
    <x v="0"/>
    <m/>
    <x v="0"/>
    <x v="0"/>
    <x v="0"/>
    <x v="0"/>
    <x v="0"/>
  </r>
  <r>
    <x v="1"/>
    <x v="10"/>
    <s v="4483 J"/>
    <x v="108"/>
    <s v="Javed Enterprises Gujranwala"/>
    <s v="LDN"/>
    <n v="10"/>
    <s v="20-21"/>
    <s v="LDN"/>
    <n v="200"/>
    <x v="0"/>
    <n v="1"/>
    <n v="62.2"/>
    <n v="1.2"/>
    <m/>
    <x v="0"/>
    <n v="61"/>
    <s v="UMAR RASHEED"/>
    <m/>
    <x v="0"/>
    <x v="0"/>
    <n v="0"/>
    <n v="0"/>
    <x v="0"/>
    <x v="0"/>
    <m/>
    <x v="0"/>
    <x v="0"/>
    <x v="0"/>
    <x v="0"/>
    <x v="0"/>
    <n v="0"/>
    <n v="0"/>
    <n v="0"/>
    <n v="12"/>
    <x v="1"/>
    <x v="0"/>
    <m/>
    <x v="0"/>
    <m/>
    <x v="0"/>
    <x v="0"/>
    <x v="0"/>
    <x v="0"/>
    <x v="0"/>
  </r>
  <r>
    <x v="0"/>
    <x v="11"/>
    <s v="2220 F"/>
    <x v="108"/>
    <s v="Usman Amin"/>
    <s v="LDN"/>
    <n v="21"/>
    <s v="5-5.5"/>
    <s v="LDN"/>
    <n v="395"/>
    <x v="0"/>
    <n v="5"/>
    <n v="276.2"/>
    <n v="12.5"/>
    <n v="16"/>
    <x v="0"/>
    <n v="263.7"/>
    <s v="GULFAM"/>
    <m/>
    <x v="0"/>
    <x v="0"/>
    <n v="0"/>
    <n v="0"/>
    <x v="0"/>
    <x v="0"/>
    <m/>
    <x v="0"/>
    <x v="0"/>
    <x v="0"/>
    <x v="0"/>
    <x v="0"/>
    <n v="0"/>
    <n v="0"/>
    <n v="0"/>
    <n v="12"/>
    <x v="1"/>
    <x v="0"/>
    <m/>
    <x v="0"/>
    <m/>
    <x v="0"/>
    <x v="0"/>
    <x v="0"/>
    <x v="0"/>
    <x v="0"/>
  </r>
  <r>
    <x v="1"/>
    <x v="11"/>
    <s v="2211 F"/>
    <x v="108"/>
    <s v="Usman Amin"/>
    <s v="LDN"/>
    <n v="21"/>
    <s v="6-6.5"/>
    <s v="LDN"/>
    <n v="200"/>
    <x v="0"/>
    <n v="4"/>
    <n v="206"/>
    <n v="10"/>
    <n v="10"/>
    <x v="0"/>
    <n v="196"/>
    <s v="UMAR RASHEED"/>
    <m/>
    <x v="0"/>
    <x v="0"/>
    <n v="0"/>
    <n v="0"/>
    <x v="0"/>
    <x v="0"/>
    <m/>
    <x v="0"/>
    <x v="0"/>
    <x v="0"/>
    <x v="0"/>
    <x v="0"/>
    <n v="0"/>
    <n v="0"/>
    <n v="0"/>
    <n v="12"/>
    <x v="1"/>
    <x v="0"/>
    <m/>
    <x v="0"/>
    <m/>
    <x v="0"/>
    <x v="0"/>
    <x v="0"/>
    <x v="0"/>
    <x v="0"/>
  </r>
  <r>
    <x v="1"/>
    <x v="11"/>
    <s v="2206 F"/>
    <x v="108"/>
    <s v="Usman Amin"/>
    <s v="LDN"/>
    <n v="19"/>
    <s v="7"/>
    <s v="LDN"/>
    <n v="60"/>
    <x v="0"/>
    <n v="1"/>
    <n v="60"/>
    <n v="2.2999999999999998"/>
    <m/>
    <x v="0"/>
    <n v="57.7"/>
    <s v="UMAR RASHEED"/>
    <m/>
    <x v="0"/>
    <x v="0"/>
    <n v="0"/>
    <n v="0"/>
    <x v="0"/>
    <x v="0"/>
    <m/>
    <x v="0"/>
    <x v="0"/>
    <x v="0"/>
    <x v="0"/>
    <x v="0"/>
    <n v="0"/>
    <n v="0"/>
    <n v="0"/>
    <n v="12"/>
    <x v="1"/>
    <x v="0"/>
    <m/>
    <x v="0"/>
    <m/>
    <x v="0"/>
    <x v="0"/>
    <x v="0"/>
    <x v="0"/>
    <x v="0"/>
  </r>
  <r>
    <x v="1"/>
    <x v="11"/>
    <s v="2205 F"/>
    <x v="108"/>
    <s v="Usman Amin"/>
    <s v="LDN"/>
    <n v="19"/>
    <s v="7"/>
    <s v="LDN"/>
    <n v="200"/>
    <x v="0"/>
    <n v="1"/>
    <n v="61.6"/>
    <n v="2.2000000000000002"/>
    <m/>
    <x v="0"/>
    <n v="59.4"/>
    <s v="UMAR RASHEED"/>
    <m/>
    <x v="0"/>
    <x v="0"/>
    <n v="0"/>
    <n v="0"/>
    <x v="0"/>
    <x v="0"/>
    <m/>
    <x v="0"/>
    <x v="0"/>
    <x v="0"/>
    <x v="0"/>
    <x v="0"/>
    <n v="0"/>
    <n v="0"/>
    <n v="0"/>
    <n v="12"/>
    <x v="1"/>
    <x v="0"/>
    <m/>
    <x v="0"/>
    <m/>
    <x v="0"/>
    <x v="0"/>
    <x v="0"/>
    <x v="0"/>
    <x v="0"/>
  </r>
  <r>
    <x v="0"/>
    <x v="12"/>
    <s v="2796/2"/>
    <x v="108"/>
    <s v="MATCO FOOD"/>
    <s v="LDN"/>
    <s v="23-23.5"/>
    <s v="70±1"/>
    <s v="LDN"/>
    <n v="1750"/>
    <x v="0"/>
    <n v="6"/>
    <n v="641"/>
    <n v="18.2"/>
    <n v="12"/>
    <x v="0"/>
    <n v="622.79999999999995"/>
    <s v="UMAR RASHEED"/>
    <m/>
    <x v="0"/>
    <x v="0"/>
    <n v="0"/>
    <n v="0"/>
    <x v="0"/>
    <x v="0"/>
    <m/>
    <x v="0"/>
    <x v="0"/>
    <x v="0"/>
    <x v="0"/>
    <x v="0"/>
    <n v="0"/>
    <n v="0"/>
    <n v="0"/>
    <n v="12"/>
    <x v="1"/>
    <x v="0"/>
    <m/>
    <x v="0"/>
    <m/>
    <x v="0"/>
    <x v="0"/>
    <x v="0"/>
    <x v="0"/>
    <x v="0"/>
  </r>
  <r>
    <x v="1"/>
    <x v="12"/>
    <s v="2796/2"/>
    <x v="108"/>
    <s v="MATCO FOOD"/>
    <s v="LDN"/>
    <s v="23-23.5"/>
    <s v="70±1"/>
    <s v="LDN"/>
    <n v="1750"/>
    <x v="0"/>
    <n v="5"/>
    <n v="602.59999999999991"/>
    <n v="15"/>
    <m/>
    <x v="0"/>
    <n v="587.59999999999991"/>
    <s v="WAQAS"/>
    <m/>
    <x v="0"/>
    <x v="0"/>
    <n v="0"/>
    <n v="0"/>
    <x v="0"/>
    <x v="0"/>
    <m/>
    <x v="0"/>
    <x v="0"/>
    <x v="0"/>
    <x v="0"/>
    <x v="0"/>
    <n v="0"/>
    <n v="0"/>
    <n v="0"/>
    <n v="12"/>
    <x v="1"/>
    <x v="0"/>
    <m/>
    <x v="0"/>
    <m/>
    <x v="0"/>
    <x v="0"/>
    <x v="0"/>
    <x v="0"/>
    <x v="0"/>
  </r>
  <r>
    <x v="0"/>
    <x v="14"/>
    <s v="263 R"/>
    <x v="108"/>
    <s v="ریفلیکٹ پیک"/>
    <s v="LDN"/>
    <n v="18"/>
    <n v="13"/>
    <s v="LDN"/>
    <n v="2000"/>
    <x v="0"/>
    <n v="4"/>
    <n v="358.9"/>
    <n v="8.8000000000000007"/>
    <n v="4"/>
    <x v="0"/>
    <n v="350.09999999999997"/>
    <s v="ARSHAD"/>
    <m/>
    <x v="0"/>
    <x v="0"/>
    <n v="0"/>
    <n v="0"/>
    <x v="0"/>
    <x v="0"/>
    <m/>
    <x v="0"/>
    <x v="0"/>
    <x v="0"/>
    <x v="0"/>
    <x v="0"/>
    <n v="0"/>
    <n v="0"/>
    <n v="0"/>
    <n v="12"/>
    <x v="1"/>
    <x v="0"/>
    <m/>
    <x v="0"/>
    <m/>
    <x v="0"/>
    <x v="0"/>
    <x v="0"/>
    <x v="0"/>
    <x v="0"/>
  </r>
  <r>
    <x v="0"/>
    <x v="14"/>
    <s v="4451 J"/>
    <x v="108"/>
    <s v="-"/>
    <m/>
    <m/>
    <m/>
    <m/>
    <m/>
    <x v="0"/>
    <n v="1"/>
    <n v="52.85"/>
    <n v="2.9"/>
    <m/>
    <x v="0"/>
    <n v="49.95"/>
    <s v="ARSHAD"/>
    <m/>
    <x v="0"/>
    <x v="0"/>
    <n v="0"/>
    <n v="0"/>
    <x v="0"/>
    <x v="0"/>
    <m/>
    <x v="0"/>
    <x v="0"/>
    <x v="0"/>
    <x v="0"/>
    <x v="0"/>
    <n v="0"/>
    <n v="0"/>
    <n v="0"/>
    <n v="12"/>
    <x v="1"/>
    <x v="0"/>
    <m/>
    <x v="0"/>
    <m/>
    <x v="0"/>
    <x v="0"/>
    <x v="0"/>
    <x v="0"/>
    <x v="0"/>
  </r>
  <r>
    <x v="1"/>
    <x v="14"/>
    <s v="4451 J"/>
    <x v="108"/>
    <s v="-"/>
    <m/>
    <m/>
    <m/>
    <m/>
    <m/>
    <x v="0"/>
    <n v="3"/>
    <n v="181.2"/>
    <n v="7.1999999999999993"/>
    <n v="8"/>
    <x v="0"/>
    <n v="174"/>
    <s v="WAQAS"/>
    <m/>
    <x v="0"/>
    <x v="0"/>
    <n v="0"/>
    <n v="0"/>
    <x v="0"/>
    <x v="0"/>
    <m/>
    <x v="0"/>
    <x v="0"/>
    <x v="0"/>
    <x v="0"/>
    <x v="0"/>
    <n v="0"/>
    <n v="0"/>
    <n v="0"/>
    <n v="12"/>
    <x v="1"/>
    <x v="0"/>
    <m/>
    <x v="0"/>
    <m/>
    <x v="0"/>
    <x v="0"/>
    <x v="0"/>
    <x v="0"/>
    <x v="0"/>
  </r>
  <r>
    <x v="1"/>
    <x v="14"/>
    <s v="4336 J"/>
    <x v="108"/>
    <s v="Royal Brook Lahore"/>
    <s v="LDN"/>
    <n v="22"/>
    <s v="8-8.5"/>
    <s v="LDN"/>
    <n v="200"/>
    <x v="0"/>
    <n v="2"/>
    <n v="141.69999999999999"/>
    <n v="4.8"/>
    <m/>
    <x v="0"/>
    <n v="136.89999999999998"/>
    <s v="WAQAS"/>
    <m/>
    <x v="0"/>
    <x v="0"/>
    <n v="0"/>
    <n v="0"/>
    <x v="0"/>
    <x v="0"/>
    <m/>
    <x v="0"/>
    <x v="0"/>
    <x v="0"/>
    <x v="0"/>
    <x v="0"/>
    <n v="0"/>
    <n v="0"/>
    <n v="0"/>
    <n v="12"/>
    <x v="1"/>
    <x v="0"/>
    <m/>
    <x v="0"/>
    <m/>
    <x v="0"/>
    <x v="0"/>
    <x v="0"/>
    <x v="0"/>
    <x v="0"/>
  </r>
  <r>
    <x v="1"/>
    <x v="14"/>
    <s v="2217 F"/>
    <x v="108"/>
    <s v="Usman Amin"/>
    <s v="LDN"/>
    <n v="16"/>
    <s v="8"/>
    <s v="LDN"/>
    <n v="100"/>
    <x v="0"/>
    <n v="2"/>
    <n v="104.4"/>
    <n v="3.2"/>
    <m/>
    <x v="0"/>
    <n v="101.2"/>
    <s v="WAQAS"/>
    <m/>
    <x v="0"/>
    <x v="0"/>
    <n v="0"/>
    <n v="0"/>
    <x v="0"/>
    <x v="0"/>
    <m/>
    <x v="0"/>
    <x v="0"/>
    <x v="0"/>
    <x v="0"/>
    <x v="0"/>
    <n v="0"/>
    <n v="0"/>
    <n v="0"/>
    <n v="12"/>
    <x v="1"/>
    <x v="0"/>
    <m/>
    <x v="0"/>
    <m/>
    <x v="0"/>
    <x v="0"/>
    <x v="0"/>
    <x v="0"/>
    <x v="0"/>
  </r>
  <r>
    <x v="0"/>
    <x v="8"/>
    <s v="4413 J"/>
    <x v="109"/>
    <s v="Usman Arif Butt Gujranwala"/>
    <s v="LDN"/>
    <n v="5"/>
    <n v="10"/>
    <s v="LDN"/>
    <n v="80"/>
    <x v="0"/>
    <n v="2"/>
    <n v="48.4"/>
    <n v="1.4"/>
    <n v="4"/>
    <x v="0"/>
    <n v="47"/>
    <m/>
    <m/>
    <x v="0"/>
    <x v="0"/>
    <n v="0"/>
    <n v="0"/>
    <x v="0"/>
    <x v="0"/>
    <m/>
    <x v="0"/>
    <x v="0"/>
    <x v="0"/>
    <x v="0"/>
    <x v="0"/>
    <n v="0"/>
    <n v="0"/>
    <n v="0"/>
    <n v="12"/>
    <x v="1"/>
    <x v="0"/>
    <n v="2331.5"/>
    <x v="0"/>
    <n v="57"/>
    <x v="1"/>
    <x v="0"/>
    <x v="0"/>
    <x v="0"/>
    <x v="0"/>
  </r>
  <r>
    <x v="0"/>
    <x v="8"/>
    <s v="4417 J"/>
    <x v="109"/>
    <s v="Usman Arif Butt Gujranwala"/>
    <s v="LDN"/>
    <n v="5"/>
    <n v="10"/>
    <s v="LDN"/>
    <n v="100"/>
    <x v="0"/>
    <n v="4"/>
    <n v="103.4"/>
    <n v="2.4"/>
    <m/>
    <x v="0"/>
    <n v="101"/>
    <m/>
    <m/>
    <x v="0"/>
    <x v="0"/>
    <n v="0"/>
    <n v="0"/>
    <x v="0"/>
    <x v="0"/>
    <m/>
    <x v="0"/>
    <x v="0"/>
    <x v="0"/>
    <x v="0"/>
    <x v="0"/>
    <n v="0"/>
    <n v="0"/>
    <n v="0"/>
    <n v="12"/>
    <x v="1"/>
    <x v="0"/>
    <m/>
    <x v="0"/>
    <n v="111"/>
    <x v="0"/>
    <x v="0"/>
    <x v="0"/>
    <x v="0"/>
    <x v="0"/>
  </r>
  <r>
    <x v="1"/>
    <x v="8"/>
    <s v="4416 J"/>
    <x v="109"/>
    <s v="Usman Arif Butt Gujranwala"/>
    <s v="LDN"/>
    <n v="4"/>
    <n v="10"/>
    <s v="LDN"/>
    <n v="100"/>
    <x v="0"/>
    <n v="2"/>
    <n v="98.2"/>
    <n v="1.6"/>
    <n v="4"/>
    <x v="0"/>
    <n v="96.600000000000009"/>
    <m/>
    <m/>
    <x v="0"/>
    <x v="0"/>
    <n v="0"/>
    <n v="0"/>
    <x v="0"/>
    <x v="0"/>
    <m/>
    <x v="0"/>
    <x v="0"/>
    <x v="0"/>
    <x v="0"/>
    <x v="0"/>
    <n v="0"/>
    <n v="0"/>
    <n v="0"/>
    <n v="12"/>
    <x v="1"/>
    <x v="0"/>
    <m/>
    <x v="0"/>
    <n v="106.60000000000001"/>
    <x v="0"/>
    <x v="0"/>
    <x v="0"/>
    <x v="0"/>
    <x v="0"/>
  </r>
  <r>
    <x v="1"/>
    <x v="8"/>
    <s v="4473 J"/>
    <x v="109"/>
    <s v="KOS Joint Oil Company LHR"/>
    <s v="LDN"/>
    <n v="12"/>
    <s v="14.5-15"/>
    <s v="LDN"/>
    <n v="100"/>
    <x v="0"/>
    <n v="1"/>
    <n v="45.2"/>
    <n v="1.4"/>
    <m/>
    <x v="0"/>
    <n v="43.800000000000004"/>
    <m/>
    <m/>
    <x v="0"/>
    <x v="0"/>
    <n v="0"/>
    <n v="0"/>
    <x v="0"/>
    <x v="0"/>
    <m/>
    <x v="0"/>
    <x v="0"/>
    <x v="0"/>
    <x v="0"/>
    <x v="0"/>
    <n v="0"/>
    <n v="0"/>
    <n v="0"/>
    <n v="12"/>
    <x v="1"/>
    <x v="0"/>
    <m/>
    <x v="0"/>
    <n v="53.800000000000004"/>
    <x v="0"/>
    <x v="0"/>
    <x v="0"/>
    <x v="0"/>
    <x v="0"/>
  </r>
  <r>
    <x v="0"/>
    <x v="9"/>
    <s v="2783/2"/>
    <x v="109"/>
    <s v="PT-01"/>
    <s v="LD سرخ"/>
    <n v="5"/>
    <n v="80"/>
    <s v="LD سرخ"/>
    <n v="2500"/>
    <x v="0"/>
    <n v="2"/>
    <n v="61.2"/>
    <n v="1"/>
    <n v="14.5"/>
    <x v="0"/>
    <n v="60.2"/>
    <m/>
    <m/>
    <x v="0"/>
    <x v="0"/>
    <n v="0"/>
    <n v="0"/>
    <x v="0"/>
    <x v="0"/>
    <m/>
    <x v="0"/>
    <x v="0"/>
    <x v="0"/>
    <x v="0"/>
    <x v="0"/>
    <n v="0"/>
    <n v="0"/>
    <n v="0"/>
    <n v="12"/>
    <x v="1"/>
    <x v="0"/>
    <m/>
    <x v="0"/>
    <n v="70.2"/>
    <x v="0"/>
    <x v="0"/>
    <x v="0"/>
    <x v="0"/>
    <x v="0"/>
  </r>
  <r>
    <x v="0"/>
    <x v="9"/>
    <s v="2783/3"/>
    <x v="109"/>
    <s v="PT-01"/>
    <s v="LD سرخ"/>
    <n v="6"/>
    <n v="80"/>
    <s v="LD سرخ"/>
    <n v="2500"/>
    <x v="0"/>
    <n v="6"/>
    <n v="176.4"/>
    <n v="3.5999999999999996"/>
    <m/>
    <x v="0"/>
    <n v="172.8"/>
    <m/>
    <m/>
    <x v="0"/>
    <x v="0"/>
    <n v="0"/>
    <n v="0"/>
    <x v="0"/>
    <x v="0"/>
    <m/>
    <x v="0"/>
    <x v="0"/>
    <x v="0"/>
    <x v="0"/>
    <x v="0"/>
    <n v="0"/>
    <n v="0"/>
    <n v="0"/>
    <n v="12"/>
    <x v="1"/>
    <x v="0"/>
    <m/>
    <x v="0"/>
    <n v="182.8"/>
    <x v="0"/>
    <x v="0"/>
    <x v="0"/>
    <x v="0"/>
    <x v="0"/>
  </r>
  <r>
    <x v="1"/>
    <x v="9"/>
    <s v="2783/3"/>
    <x v="109"/>
    <s v="PT-01"/>
    <s v="LD سرخ"/>
    <n v="6"/>
    <n v="80"/>
    <s v="LD سرخ"/>
    <n v="2500"/>
    <x v="0"/>
    <n v="9"/>
    <n v="259.14"/>
    <n v="5.3999999999999995"/>
    <n v="16"/>
    <x v="0"/>
    <n v="253.73999999999998"/>
    <m/>
    <m/>
    <x v="0"/>
    <x v="0"/>
    <n v="0"/>
    <n v="0"/>
    <x v="0"/>
    <x v="0"/>
    <m/>
    <x v="0"/>
    <x v="0"/>
    <x v="0"/>
    <x v="0"/>
    <x v="0"/>
    <n v="0"/>
    <n v="0"/>
    <n v="0"/>
    <n v="12"/>
    <x v="1"/>
    <x v="0"/>
    <m/>
    <x v="0"/>
    <n v="263.74"/>
    <x v="0"/>
    <x v="0"/>
    <x v="0"/>
    <x v="0"/>
    <x v="0"/>
  </r>
  <r>
    <x v="0"/>
    <x v="10"/>
    <s v="4483 J"/>
    <x v="109"/>
    <s v="Javed Enterprises Gujranwala"/>
    <s v="LDN"/>
    <n v="10"/>
    <s v="20-21"/>
    <s v="LDN"/>
    <n v="200"/>
    <x v="0"/>
    <n v="3"/>
    <n v="155"/>
    <n v="6.6000000000000005"/>
    <n v="12"/>
    <x v="0"/>
    <n v="148.4"/>
    <m/>
    <n v="3"/>
    <x v="0"/>
    <x v="0"/>
    <n v="3"/>
    <n v="0.05"/>
    <x v="0"/>
    <x v="0"/>
    <m/>
    <x v="0"/>
    <x v="0"/>
    <x v="0"/>
    <x v="7"/>
    <x v="0"/>
    <n v="65"/>
    <n v="1.0833333333333333"/>
    <n v="1.1333333333333333"/>
    <n v="10.866666666666667"/>
    <x v="1"/>
    <x v="0"/>
    <m/>
    <x v="0"/>
    <n v="158.4"/>
    <x v="0"/>
    <x v="0"/>
    <x v="0"/>
    <x v="0"/>
    <x v="0"/>
  </r>
  <r>
    <x v="0"/>
    <x v="10"/>
    <s v="4473 J"/>
    <x v="109"/>
    <s v="KOS Joint Oil Company LHR"/>
    <s v="LDN"/>
    <n v="12"/>
    <s v="14.5-15"/>
    <s v="LDN"/>
    <n v="100"/>
    <x v="0"/>
    <n v="1"/>
    <n v="45.2"/>
    <n v="1.4"/>
    <m/>
    <x v="0"/>
    <n v="43.800000000000004"/>
    <m/>
    <m/>
    <x v="0"/>
    <x v="0"/>
    <n v="0"/>
    <n v="0"/>
    <x v="0"/>
    <x v="0"/>
    <m/>
    <x v="0"/>
    <x v="0"/>
    <x v="0"/>
    <x v="0"/>
    <x v="0"/>
    <n v="0"/>
    <n v="0"/>
    <n v="0"/>
    <n v="12"/>
    <x v="1"/>
    <x v="0"/>
    <m/>
    <x v="0"/>
    <n v="53.800000000000004"/>
    <x v="0"/>
    <x v="0"/>
    <x v="0"/>
    <x v="0"/>
    <x v="0"/>
  </r>
  <r>
    <x v="0"/>
    <x v="11"/>
    <s v="2205 F"/>
    <x v="109"/>
    <s v="Usman Amin"/>
    <s v="LDN"/>
    <n v="19"/>
    <s v="7"/>
    <s v="LDN"/>
    <n v="200"/>
    <x v="0"/>
    <n v="2"/>
    <n v="93.4"/>
    <n v="4.4000000000000004"/>
    <n v="4"/>
    <x v="0"/>
    <n v="89"/>
    <m/>
    <m/>
    <x v="0"/>
    <x v="0"/>
    <n v="0"/>
    <n v="0"/>
    <x v="0"/>
    <x v="0"/>
    <m/>
    <x v="0"/>
    <x v="0"/>
    <x v="0"/>
    <x v="0"/>
    <x v="0"/>
    <n v="0"/>
    <n v="0"/>
    <n v="0"/>
    <n v="12"/>
    <x v="1"/>
    <x v="0"/>
    <m/>
    <x v="0"/>
    <n v="99"/>
    <x v="0"/>
    <x v="0"/>
    <x v="0"/>
    <x v="0"/>
    <x v="0"/>
  </r>
  <r>
    <x v="0"/>
    <x v="11"/>
    <s v="2202 F"/>
    <x v="109"/>
    <s v="Usman Amin"/>
    <s v="LDN"/>
    <n v="17"/>
    <s v="7"/>
    <s v="LDN"/>
    <n v="55"/>
    <x v="0"/>
    <n v="1"/>
    <n v="64"/>
    <n v="2"/>
    <m/>
    <x v="0"/>
    <n v="62"/>
    <m/>
    <m/>
    <x v="0"/>
    <x v="0"/>
    <n v="0"/>
    <n v="0"/>
    <x v="0"/>
    <x v="0"/>
    <m/>
    <x v="0"/>
    <x v="0"/>
    <x v="0"/>
    <x v="0"/>
    <x v="0"/>
    <n v="0"/>
    <n v="0"/>
    <n v="0"/>
    <n v="12"/>
    <x v="1"/>
    <x v="0"/>
    <m/>
    <x v="0"/>
    <n v="72"/>
    <x v="0"/>
    <x v="0"/>
    <x v="0"/>
    <x v="0"/>
    <x v="0"/>
  </r>
  <r>
    <x v="0"/>
    <x v="11"/>
    <s v="2213 F"/>
    <x v="109"/>
    <s v="Usman Amin"/>
    <s v="LDN"/>
    <n v="17"/>
    <s v="12"/>
    <s v="LDN"/>
    <n v="1000"/>
    <x v="0"/>
    <n v="1"/>
    <n v="87.6"/>
    <n v="2"/>
    <m/>
    <x v="0"/>
    <n v="85.6"/>
    <m/>
    <m/>
    <x v="0"/>
    <x v="0"/>
    <n v="0"/>
    <n v="0"/>
    <x v="0"/>
    <x v="0"/>
    <m/>
    <x v="0"/>
    <x v="0"/>
    <x v="0"/>
    <x v="0"/>
    <x v="0"/>
    <n v="0"/>
    <n v="0"/>
    <n v="0"/>
    <n v="12"/>
    <x v="1"/>
    <x v="0"/>
    <m/>
    <x v="0"/>
    <n v="95.6"/>
    <x v="0"/>
    <x v="0"/>
    <x v="0"/>
    <x v="0"/>
    <x v="0"/>
  </r>
  <r>
    <x v="1"/>
    <x v="11"/>
    <s v="2213 F"/>
    <x v="109"/>
    <s v="Usman Amin"/>
    <s v="LDN"/>
    <n v="17"/>
    <s v="12"/>
    <s v="LDN"/>
    <n v="1000"/>
    <x v="0"/>
    <n v="5"/>
    <n v="349.59999999999997"/>
    <n v="10"/>
    <m/>
    <x v="0"/>
    <n v="339.59999999999997"/>
    <m/>
    <m/>
    <x v="0"/>
    <x v="0"/>
    <n v="0"/>
    <n v="0"/>
    <x v="0"/>
    <x v="0"/>
    <m/>
    <x v="0"/>
    <x v="0"/>
    <x v="0"/>
    <x v="0"/>
    <x v="0"/>
    <n v="0"/>
    <n v="0"/>
    <n v="0"/>
    <n v="12"/>
    <x v="1"/>
    <x v="0"/>
    <m/>
    <x v="0"/>
    <n v="349.59999999999997"/>
    <x v="0"/>
    <x v="0"/>
    <x v="0"/>
    <x v="0"/>
    <x v="0"/>
  </r>
  <r>
    <x v="0"/>
    <x v="12"/>
    <s v="2796/2"/>
    <x v="109"/>
    <s v="MATCO FOOD"/>
    <s v="LDN"/>
    <s v="23-23.5"/>
    <s v="70±1"/>
    <s v="LDN"/>
    <n v="1750"/>
    <x v="0"/>
    <n v="2"/>
    <n v="252"/>
    <n v="6"/>
    <n v="34"/>
    <x v="0"/>
    <n v="246"/>
    <m/>
    <m/>
    <x v="0"/>
    <x v="0"/>
    <n v="0"/>
    <n v="0"/>
    <x v="0"/>
    <x v="0"/>
    <m/>
    <x v="0"/>
    <x v="0"/>
    <x v="0"/>
    <x v="0"/>
    <x v="0"/>
    <n v="0"/>
    <n v="0"/>
    <n v="0"/>
    <n v="12"/>
    <x v="1"/>
    <x v="0"/>
    <m/>
    <x v="0"/>
    <n v="256"/>
    <x v="0"/>
    <x v="0"/>
    <x v="0"/>
    <x v="0"/>
    <x v="0"/>
  </r>
  <r>
    <x v="0"/>
    <x v="12"/>
    <s v="4433 J"/>
    <x v="109"/>
    <s v="Jilani Poly Stock"/>
    <s v="LDN"/>
    <s v="26&quot; شیٹ"/>
    <s v="8-8.5/16-17"/>
    <s v="LDN"/>
    <n v="500"/>
    <x v="0"/>
    <n v="6"/>
    <n v="546.29999999999995"/>
    <n v="19.200000000000003"/>
    <m/>
    <x v="0"/>
    <n v="527.09999999999991"/>
    <m/>
    <m/>
    <x v="0"/>
    <x v="0"/>
    <n v="0"/>
    <n v="0"/>
    <x v="0"/>
    <x v="0"/>
    <m/>
    <x v="0"/>
    <x v="0"/>
    <x v="0"/>
    <x v="0"/>
    <x v="0"/>
    <n v="0"/>
    <n v="0"/>
    <n v="0"/>
    <n v="12"/>
    <x v="1"/>
    <x v="0"/>
    <m/>
    <x v="0"/>
    <n v="537.09999999999991"/>
    <x v="0"/>
    <x v="0"/>
    <x v="0"/>
    <x v="0"/>
    <x v="0"/>
  </r>
  <r>
    <x v="1"/>
    <x v="12"/>
    <s v="2210 F"/>
    <x v="109"/>
    <s v="Usman Amin"/>
    <s v="LDN"/>
    <n v="27"/>
    <s v="8-8.5"/>
    <s v="LDN"/>
    <n v="100"/>
    <x v="0"/>
    <n v="2"/>
    <n v="114.6"/>
    <n v="7.2"/>
    <n v="12.8"/>
    <x v="0"/>
    <n v="107.39999999999999"/>
    <m/>
    <n v="10"/>
    <x v="0"/>
    <x v="0"/>
    <n v="10"/>
    <n v="0.16666666666666666"/>
    <x v="0"/>
    <x v="0"/>
    <m/>
    <x v="0"/>
    <x v="0"/>
    <x v="0"/>
    <x v="0"/>
    <x v="0"/>
    <n v="0"/>
    <n v="0"/>
    <n v="0.16666666666666666"/>
    <n v="11.833333333333334"/>
    <x v="1"/>
    <x v="0"/>
    <m/>
    <x v="0"/>
    <n v="117.39999999999999"/>
    <x v="0"/>
    <x v="0"/>
    <x v="0"/>
    <x v="0"/>
    <x v="0"/>
  </r>
  <r>
    <x v="1"/>
    <x v="12"/>
    <s v="2796/1"/>
    <x v="109"/>
    <s v="MATCO FOOD"/>
    <s v="LDN"/>
    <s v="29-29.5"/>
    <n v="0"/>
    <s v="LDN"/>
    <n v="470"/>
    <x v="0"/>
    <n v="7"/>
    <n v="524.23"/>
    <n v="26.8"/>
    <m/>
    <x v="0"/>
    <n v="497.43"/>
    <m/>
    <m/>
    <x v="0"/>
    <x v="0"/>
    <n v="0"/>
    <n v="0"/>
    <x v="0"/>
    <x v="0"/>
    <m/>
    <x v="0"/>
    <x v="0"/>
    <x v="0"/>
    <x v="0"/>
    <x v="0"/>
    <n v="0"/>
    <n v="0"/>
    <n v="0"/>
    <n v="12"/>
    <x v="1"/>
    <x v="0"/>
    <m/>
    <x v="0"/>
    <n v="507.43"/>
    <x v="0"/>
    <x v="0"/>
    <x v="0"/>
    <x v="0"/>
    <x v="0"/>
  </r>
  <r>
    <x v="0"/>
    <x v="14"/>
    <s v="2208 F"/>
    <x v="109"/>
    <s v="Usman Amin"/>
    <s v="LDN"/>
    <n v="15"/>
    <s v="7-7.5"/>
    <s v="LDN"/>
    <n v="80"/>
    <x v="0"/>
    <n v="1"/>
    <n v="80.400000000000006"/>
    <n v="1.8"/>
    <n v="11"/>
    <x v="0"/>
    <n v="78.600000000000009"/>
    <m/>
    <m/>
    <x v="0"/>
    <x v="0"/>
    <n v="0"/>
    <n v="0"/>
    <x v="0"/>
    <x v="0"/>
    <m/>
    <x v="0"/>
    <x v="0"/>
    <x v="0"/>
    <x v="0"/>
    <x v="0"/>
    <n v="0"/>
    <n v="0"/>
    <n v="0"/>
    <n v="12"/>
    <x v="1"/>
    <x v="0"/>
    <m/>
    <x v="0"/>
    <n v="88.600000000000009"/>
    <x v="0"/>
    <x v="0"/>
    <x v="0"/>
    <x v="0"/>
    <x v="0"/>
  </r>
  <r>
    <x v="0"/>
    <x v="14"/>
    <s v="4378 J"/>
    <x v="109"/>
    <s v="Raza Printing General Order Supplier"/>
    <s v="LDN"/>
    <n v="15"/>
    <s v="6-6.5"/>
    <s v="LDN"/>
    <n v="120"/>
    <x v="0"/>
    <n v="2"/>
    <n v="115.4"/>
    <n v="3.6"/>
    <m/>
    <x v="0"/>
    <n v="111.80000000000001"/>
    <m/>
    <m/>
    <x v="0"/>
    <x v="0"/>
    <n v="0"/>
    <n v="0"/>
    <x v="0"/>
    <x v="0"/>
    <m/>
    <x v="0"/>
    <x v="0"/>
    <x v="0"/>
    <x v="0"/>
    <x v="0"/>
    <n v="0"/>
    <n v="0"/>
    <n v="0"/>
    <n v="12"/>
    <x v="1"/>
    <x v="0"/>
    <m/>
    <x v="0"/>
    <n v="121.80000000000001"/>
    <x v="0"/>
    <x v="0"/>
    <x v="0"/>
    <x v="0"/>
    <x v="0"/>
  </r>
  <r>
    <x v="0"/>
    <x v="14"/>
    <s v="4486 J"/>
    <x v="109"/>
    <s v="Atlas Honda LTD (KARACHI)"/>
    <s v="LDN"/>
    <n v="14"/>
    <s v="10-10.5"/>
    <s v="LDN"/>
    <n v="0"/>
    <x v="0"/>
    <n v="2"/>
    <n v="104"/>
    <n v="3.5999999999999996"/>
    <m/>
    <x v="0"/>
    <n v="100.4"/>
    <m/>
    <m/>
    <x v="0"/>
    <x v="0"/>
    <n v="0"/>
    <n v="0"/>
    <x v="0"/>
    <x v="0"/>
    <m/>
    <x v="0"/>
    <x v="0"/>
    <x v="0"/>
    <x v="0"/>
    <x v="0"/>
    <n v="0"/>
    <n v="0"/>
    <n v="0"/>
    <n v="12"/>
    <x v="1"/>
    <x v="0"/>
    <m/>
    <x v="0"/>
    <n v="110.4"/>
    <x v="0"/>
    <x v="0"/>
    <x v="0"/>
    <x v="0"/>
    <x v="0"/>
  </r>
  <r>
    <x v="0"/>
    <x v="14"/>
    <s v="2207 F"/>
    <x v="109"/>
    <s v="Usman Amin"/>
    <s v="LDN"/>
    <n v="13"/>
    <s v="7-7.5"/>
    <s v="LDN"/>
    <n v="100"/>
    <x v="0"/>
    <n v="1"/>
    <n v="52.2"/>
    <n v="1.5"/>
    <m/>
    <x v="0"/>
    <n v="50.7"/>
    <m/>
    <m/>
    <x v="0"/>
    <x v="0"/>
    <n v="0"/>
    <n v="0"/>
    <x v="0"/>
    <x v="0"/>
    <m/>
    <x v="0"/>
    <x v="0"/>
    <x v="0"/>
    <x v="0"/>
    <x v="0"/>
    <n v="0"/>
    <n v="0"/>
    <n v="0"/>
    <n v="12"/>
    <x v="1"/>
    <x v="0"/>
    <m/>
    <x v="0"/>
    <n v="60.7"/>
    <x v="0"/>
    <x v="0"/>
    <x v="0"/>
    <x v="0"/>
    <x v="0"/>
  </r>
  <r>
    <x v="1"/>
    <x v="14"/>
    <s v="2207 F"/>
    <x v="109"/>
    <s v="Usman Amin"/>
    <s v="LDN"/>
    <n v="13"/>
    <s v="7-7.5"/>
    <s v="LDN"/>
    <n v="100"/>
    <x v="0"/>
    <n v="2"/>
    <n v="117.7"/>
    <n v="3"/>
    <n v="3.6"/>
    <x v="0"/>
    <n v="114.7"/>
    <m/>
    <n v="5"/>
    <x v="0"/>
    <x v="0"/>
    <n v="5"/>
    <n v="8.3333333333333329E-2"/>
    <x v="0"/>
    <x v="0"/>
    <m/>
    <x v="0"/>
    <x v="0"/>
    <x v="0"/>
    <x v="0"/>
    <x v="0"/>
    <n v="0"/>
    <n v="0"/>
    <n v="8.3333333333333329E-2"/>
    <n v="11.916666666666666"/>
    <x v="1"/>
    <x v="0"/>
    <m/>
    <x v="0"/>
    <n v="124.7"/>
    <x v="0"/>
    <x v="0"/>
    <x v="0"/>
    <x v="0"/>
    <x v="0"/>
  </r>
  <r>
    <x v="1"/>
    <x v="14"/>
    <s v="2213 F"/>
    <x v="109"/>
    <s v="Usman Amin"/>
    <s v="LDN"/>
    <n v="17"/>
    <s v="12"/>
    <s v="LDN"/>
    <n v="1000"/>
    <x v="0"/>
    <n v="6"/>
    <n v="396.96000000000004"/>
    <n v="12"/>
    <m/>
    <x v="0"/>
    <n v="384.96000000000004"/>
    <m/>
    <m/>
    <x v="0"/>
    <x v="0"/>
    <n v="0"/>
    <n v="0"/>
    <x v="0"/>
    <x v="0"/>
    <m/>
    <x v="0"/>
    <x v="0"/>
    <x v="0"/>
    <x v="0"/>
    <x v="0"/>
    <n v="0"/>
    <n v="0"/>
    <n v="0"/>
    <n v="12"/>
    <x v="1"/>
    <x v="0"/>
    <m/>
    <x v="0"/>
    <n v="394.96000000000004"/>
    <x v="0"/>
    <x v="0"/>
    <x v="0"/>
    <x v="0"/>
    <x v="0"/>
  </r>
  <r>
    <x v="0"/>
    <x v="8"/>
    <s v="4473 J"/>
    <x v="110"/>
    <s v="KOS Joint Oil Company LHR"/>
    <s v="LDN"/>
    <n v="12"/>
    <s v="14.5-15"/>
    <s v="LDN"/>
    <n v="100"/>
    <x v="0"/>
    <n v="1"/>
    <n v="72"/>
    <n v="1.4"/>
    <n v="8"/>
    <x v="0"/>
    <n v="70.599999999999994"/>
    <m/>
    <n v="5"/>
    <x v="0"/>
    <x v="0"/>
    <n v="5"/>
    <n v="8.3333333333333329E-2"/>
    <x v="0"/>
    <x v="0"/>
    <m/>
    <x v="0"/>
    <x v="0"/>
    <x v="0"/>
    <x v="0"/>
    <x v="0"/>
    <n v="0"/>
    <n v="0"/>
    <n v="8.3333333333333329E-2"/>
    <n v="11.916666666666666"/>
    <x v="1"/>
    <x v="0"/>
    <n v="2272"/>
    <x v="0"/>
    <n v="80.599999999999994"/>
    <x v="1"/>
    <x v="0"/>
    <x v="0"/>
    <x v="0"/>
    <x v="0"/>
  </r>
  <r>
    <x v="0"/>
    <x v="8"/>
    <s v="4529 J"/>
    <x v="110"/>
    <s v="-"/>
    <m/>
    <m/>
    <m/>
    <m/>
    <m/>
    <x v="0"/>
    <n v="3"/>
    <n v="153.67000000000002"/>
    <n v="4.1999999999999993"/>
    <m/>
    <x v="0"/>
    <n v="149.47000000000003"/>
    <m/>
    <m/>
    <x v="0"/>
    <x v="0"/>
    <n v="0"/>
    <n v="0"/>
    <x v="0"/>
    <x v="0"/>
    <m/>
    <x v="0"/>
    <x v="0"/>
    <x v="0"/>
    <x v="0"/>
    <x v="0"/>
    <n v="0"/>
    <n v="0"/>
    <n v="0"/>
    <n v="12"/>
    <x v="1"/>
    <x v="0"/>
    <m/>
    <x v="0"/>
    <n v="159.47000000000003"/>
    <x v="0"/>
    <x v="0"/>
    <x v="0"/>
    <x v="0"/>
    <x v="0"/>
  </r>
  <r>
    <x v="1"/>
    <x v="8"/>
    <s v="4529 J"/>
    <x v="110"/>
    <s v="-"/>
    <m/>
    <m/>
    <m/>
    <m/>
    <m/>
    <x v="0"/>
    <n v="2"/>
    <n v="114.8"/>
    <n v="2.8"/>
    <n v="7"/>
    <x v="0"/>
    <n v="112"/>
    <m/>
    <n v="5"/>
    <x v="0"/>
    <x v="0"/>
    <n v="5"/>
    <n v="8.3333333333333329E-2"/>
    <x v="0"/>
    <x v="2"/>
    <m/>
    <x v="0"/>
    <x v="0"/>
    <x v="0"/>
    <x v="0"/>
    <x v="0"/>
    <n v="20"/>
    <n v="0.33333333333333331"/>
    <n v="0.41666666666666663"/>
    <n v="11.583333333333334"/>
    <x v="1"/>
    <x v="0"/>
    <m/>
    <x v="0"/>
    <n v="122"/>
    <x v="0"/>
    <x v="0"/>
    <x v="0"/>
    <x v="0"/>
    <x v="0"/>
  </r>
  <r>
    <x v="1"/>
    <x v="8"/>
    <s v="4505 J"/>
    <x v="110"/>
    <s v="-"/>
    <m/>
    <m/>
    <m/>
    <m/>
    <m/>
    <x v="0"/>
    <n v="2"/>
    <n v="99.1"/>
    <n v="1.5"/>
    <m/>
    <x v="0"/>
    <n v="97.6"/>
    <m/>
    <m/>
    <x v="0"/>
    <x v="0"/>
    <n v="0"/>
    <n v="0"/>
    <x v="0"/>
    <x v="0"/>
    <m/>
    <x v="0"/>
    <x v="0"/>
    <x v="0"/>
    <x v="0"/>
    <x v="0"/>
    <n v="0"/>
    <n v="0"/>
    <n v="0"/>
    <n v="12"/>
    <x v="1"/>
    <x v="0"/>
    <m/>
    <x v="0"/>
    <n v="107.6"/>
    <x v="0"/>
    <x v="0"/>
    <x v="0"/>
    <x v="0"/>
    <x v="0"/>
  </r>
  <r>
    <x v="0"/>
    <x v="9"/>
    <s v="2783/3"/>
    <x v="110"/>
    <s v="PT-01"/>
    <s v="LD سرخ"/>
    <n v="6"/>
    <n v="80"/>
    <s v="LD سرخ"/>
    <n v="2500"/>
    <x v="0"/>
    <n v="5"/>
    <n v="157.69999999999999"/>
    <n v="3.5999999999999996"/>
    <n v="76"/>
    <x v="0"/>
    <n v="154.1"/>
    <m/>
    <m/>
    <x v="0"/>
    <x v="10"/>
    <n v="120"/>
    <n v="2"/>
    <x v="0"/>
    <x v="0"/>
    <m/>
    <x v="0"/>
    <x v="0"/>
    <x v="1"/>
    <x v="0"/>
    <x v="0"/>
    <n v="240"/>
    <n v="4"/>
    <n v="6"/>
    <n v="6"/>
    <x v="1"/>
    <x v="0"/>
    <m/>
    <x v="0"/>
    <n v="164.1"/>
    <x v="0"/>
    <x v="0"/>
    <x v="0"/>
    <x v="0"/>
    <x v="0"/>
  </r>
  <r>
    <x v="1"/>
    <x v="9"/>
    <s v="2783/3"/>
    <x v="110"/>
    <s v="PT-01"/>
    <s v="LD سرخ"/>
    <n v="6"/>
    <n v="80"/>
    <s v="LD سرخ"/>
    <n v="2500"/>
    <x v="0"/>
    <n v="4"/>
    <n v="116.15"/>
    <n v="2.4"/>
    <n v="90"/>
    <x v="0"/>
    <n v="113.75"/>
    <m/>
    <n v="95"/>
    <x v="0"/>
    <x v="0"/>
    <n v="95"/>
    <n v="1.5833333333333333"/>
    <x v="0"/>
    <x v="0"/>
    <m/>
    <x v="0"/>
    <x v="0"/>
    <x v="0"/>
    <x v="0"/>
    <x v="3"/>
    <n v="20"/>
    <n v="0.33333333333333331"/>
    <n v="1.9166666666666665"/>
    <n v="10.083333333333334"/>
    <x v="1"/>
    <x v="0"/>
    <m/>
    <x v="0"/>
    <n v="123.75"/>
    <x v="0"/>
    <x v="0"/>
    <x v="0"/>
    <x v="0"/>
    <x v="0"/>
  </r>
  <r>
    <x v="1"/>
    <x v="9"/>
    <s v="4535 J"/>
    <x v="110"/>
    <s v="-"/>
    <m/>
    <m/>
    <m/>
    <m/>
    <m/>
    <x v="0"/>
    <n v="2"/>
    <n v="91.4"/>
    <n v="4.4000000000000004"/>
    <m/>
    <x v="0"/>
    <n v="87"/>
    <m/>
    <m/>
    <x v="0"/>
    <x v="0"/>
    <n v="0"/>
    <n v="0"/>
    <x v="0"/>
    <x v="0"/>
    <m/>
    <x v="0"/>
    <x v="0"/>
    <x v="0"/>
    <x v="0"/>
    <x v="0"/>
    <n v="0"/>
    <n v="0"/>
    <n v="0"/>
    <n v="12"/>
    <x v="1"/>
    <x v="0"/>
    <m/>
    <x v="0"/>
    <n v="97"/>
    <x v="0"/>
    <x v="0"/>
    <x v="0"/>
    <x v="0"/>
    <x v="0"/>
  </r>
  <r>
    <x v="1"/>
    <x v="10"/>
    <s v="2783/4"/>
    <x v="110"/>
    <s v="PT-01"/>
    <s v="LD سرخ"/>
    <n v="8"/>
    <n v="80"/>
    <s v="LD سرخ"/>
    <n v="5000"/>
    <x v="0"/>
    <n v="13"/>
    <n v="371.5"/>
    <n v="10.4"/>
    <n v="50"/>
    <x v="0"/>
    <n v="361.1"/>
    <m/>
    <n v="120"/>
    <x v="0"/>
    <x v="0"/>
    <n v="120"/>
    <n v="2"/>
    <x v="0"/>
    <x v="0"/>
    <n v="90"/>
    <x v="10"/>
    <x v="0"/>
    <x v="0"/>
    <x v="0"/>
    <x v="0"/>
    <n v="120"/>
    <n v="2"/>
    <n v="4"/>
    <n v="8"/>
    <x v="1"/>
    <x v="0"/>
    <m/>
    <x v="0"/>
    <n v="371.1"/>
    <x v="0"/>
    <x v="0"/>
    <x v="0"/>
    <x v="0"/>
    <x v="0"/>
  </r>
  <r>
    <x v="0"/>
    <x v="12"/>
    <s v="2790/1"/>
    <x v="110"/>
    <s v="SUPER AGRO PAKISTAN"/>
    <s v="LDN"/>
    <s v="28-28.5"/>
    <s v="95±1"/>
    <s v="LDN"/>
    <n v="4750"/>
    <x v="0"/>
    <n v="3"/>
    <n v="275"/>
    <n v="10.8"/>
    <n v="54"/>
    <x v="0"/>
    <n v="264.2"/>
    <m/>
    <n v="10"/>
    <x v="0"/>
    <x v="0"/>
    <n v="10"/>
    <n v="0.16666666666666666"/>
    <x v="0"/>
    <x v="0"/>
    <m/>
    <x v="0"/>
    <x v="0"/>
    <x v="0"/>
    <x v="0"/>
    <x v="0"/>
    <n v="0"/>
    <n v="0"/>
    <n v="0.16666666666666666"/>
    <n v="11.833333333333334"/>
    <x v="1"/>
    <x v="0"/>
    <m/>
    <x v="0"/>
    <n v="274.2"/>
    <x v="0"/>
    <x v="0"/>
    <x v="0"/>
    <x v="0"/>
    <x v="0"/>
  </r>
  <r>
    <x v="0"/>
    <x v="12"/>
    <s v="2192 F"/>
    <x v="110"/>
    <s v="Usman Amin"/>
    <s v="LDN"/>
    <s v="27 SHEET"/>
    <s v="3-3.25/6-6.5"/>
    <s v="LDN"/>
    <n v="125"/>
    <x v="0"/>
    <n v="2"/>
    <n v="143.80000000000001"/>
    <n v="7.2"/>
    <m/>
    <x v="0"/>
    <n v="136.60000000000002"/>
    <m/>
    <m/>
    <x v="0"/>
    <x v="0"/>
    <n v="0"/>
    <n v="0"/>
    <x v="0"/>
    <x v="0"/>
    <m/>
    <x v="0"/>
    <x v="0"/>
    <x v="0"/>
    <x v="0"/>
    <x v="0"/>
    <n v="0"/>
    <n v="0"/>
    <n v="0"/>
    <n v="12"/>
    <x v="1"/>
    <x v="0"/>
    <m/>
    <x v="0"/>
    <n v="146.60000000000002"/>
    <x v="0"/>
    <x v="0"/>
    <x v="0"/>
    <x v="0"/>
    <x v="0"/>
  </r>
  <r>
    <x v="0"/>
    <x v="12"/>
    <s v="4507 J"/>
    <x v="110"/>
    <s v="-"/>
    <m/>
    <m/>
    <m/>
    <m/>
    <m/>
    <x v="0"/>
    <n v="2"/>
    <n v="115"/>
    <n v="5.2"/>
    <m/>
    <x v="0"/>
    <n v="109.8"/>
    <m/>
    <m/>
    <x v="0"/>
    <x v="0"/>
    <n v="0"/>
    <n v="0"/>
    <x v="0"/>
    <x v="0"/>
    <m/>
    <x v="0"/>
    <x v="0"/>
    <x v="0"/>
    <x v="0"/>
    <x v="0"/>
    <n v="0"/>
    <n v="0"/>
    <n v="0"/>
    <n v="12"/>
    <x v="1"/>
    <x v="0"/>
    <m/>
    <x v="0"/>
    <n v="119.8"/>
    <x v="0"/>
    <x v="0"/>
    <x v="0"/>
    <x v="0"/>
    <x v="0"/>
  </r>
  <r>
    <x v="1"/>
    <x v="12"/>
    <s v="4509 J"/>
    <x v="110"/>
    <s v="-"/>
    <m/>
    <m/>
    <m/>
    <m/>
    <m/>
    <x v="0"/>
    <n v="1"/>
    <n v="123.4"/>
    <n v="2.6"/>
    <m/>
    <x v="0"/>
    <n v="120.80000000000001"/>
    <m/>
    <m/>
    <x v="0"/>
    <x v="0"/>
    <n v="0"/>
    <n v="0"/>
    <x v="0"/>
    <x v="0"/>
    <m/>
    <x v="0"/>
    <x v="0"/>
    <x v="0"/>
    <x v="0"/>
    <x v="0"/>
    <n v="0"/>
    <n v="0"/>
    <n v="0"/>
    <n v="12"/>
    <x v="1"/>
    <x v="0"/>
    <m/>
    <x v="0"/>
    <n v="130.80000000000001"/>
    <x v="0"/>
    <x v="0"/>
    <x v="0"/>
    <x v="0"/>
    <x v="0"/>
  </r>
  <r>
    <x v="1"/>
    <x v="12"/>
    <s v="4508 J"/>
    <x v="110"/>
    <s v="-"/>
    <m/>
    <m/>
    <m/>
    <m/>
    <m/>
    <x v="0"/>
    <n v="1"/>
    <n v="123.2"/>
    <n v="2.6"/>
    <m/>
    <x v="0"/>
    <n v="120.60000000000001"/>
    <m/>
    <m/>
    <x v="0"/>
    <x v="0"/>
    <n v="0"/>
    <n v="0"/>
    <x v="0"/>
    <x v="0"/>
    <m/>
    <x v="0"/>
    <x v="0"/>
    <x v="0"/>
    <x v="0"/>
    <x v="0"/>
    <n v="0"/>
    <n v="0"/>
    <n v="0"/>
    <n v="12"/>
    <x v="1"/>
    <x v="0"/>
    <m/>
    <x v="0"/>
    <n v="130.60000000000002"/>
    <x v="0"/>
    <x v="0"/>
    <x v="0"/>
    <x v="0"/>
    <x v="0"/>
  </r>
  <r>
    <x v="1"/>
    <x v="12"/>
    <s v="4524 J"/>
    <x v="110"/>
    <s v="-"/>
    <m/>
    <m/>
    <m/>
    <m/>
    <m/>
    <x v="0"/>
    <n v="3"/>
    <n v="102"/>
    <n v="10.8"/>
    <m/>
    <x v="0"/>
    <n v="91.2"/>
    <m/>
    <m/>
    <x v="0"/>
    <x v="0"/>
    <n v="0"/>
    <n v="0"/>
    <x v="0"/>
    <x v="0"/>
    <m/>
    <x v="0"/>
    <x v="0"/>
    <x v="0"/>
    <x v="0"/>
    <x v="0"/>
    <n v="0"/>
    <n v="0"/>
    <n v="0"/>
    <n v="12"/>
    <x v="1"/>
    <x v="0"/>
    <m/>
    <x v="0"/>
    <n v="101.2"/>
    <x v="0"/>
    <x v="0"/>
    <x v="0"/>
    <x v="0"/>
    <x v="0"/>
  </r>
  <r>
    <x v="1"/>
    <x v="12"/>
    <s v="2790/1"/>
    <x v="110"/>
    <s v="SUPER AGRO PAKISTAN"/>
    <s v="LDN"/>
    <s v="28-28.5"/>
    <s v="95±1"/>
    <s v="LDN"/>
    <n v="4750"/>
    <x v="0"/>
    <n v="3"/>
    <n v="343.6"/>
    <n v="10.8"/>
    <m/>
    <x v="0"/>
    <n v="332.8"/>
    <m/>
    <m/>
    <x v="0"/>
    <x v="0"/>
    <n v="0"/>
    <n v="0"/>
    <x v="0"/>
    <x v="0"/>
    <m/>
    <x v="0"/>
    <x v="0"/>
    <x v="0"/>
    <x v="0"/>
    <x v="0"/>
    <n v="0"/>
    <n v="0"/>
    <n v="0"/>
    <n v="12"/>
    <x v="1"/>
    <x v="0"/>
    <m/>
    <x v="0"/>
    <n v="342.8"/>
    <x v="0"/>
    <x v="0"/>
    <x v="0"/>
    <x v="0"/>
    <x v="0"/>
  </r>
  <r>
    <x v="0"/>
    <x v="14"/>
    <s v="2213 F"/>
    <x v="110"/>
    <s v="Usman Amin"/>
    <s v="LDN"/>
    <n v="17"/>
    <s v="12"/>
    <s v="LDN"/>
    <n v="1000"/>
    <x v="0"/>
    <n v="2"/>
    <n v="95.199999999999989"/>
    <n v="4"/>
    <n v="49"/>
    <x v="0"/>
    <n v="91.199999999999989"/>
    <m/>
    <m/>
    <x v="0"/>
    <x v="0"/>
    <n v="0"/>
    <n v="0"/>
    <x v="0"/>
    <x v="0"/>
    <m/>
    <x v="0"/>
    <x v="3"/>
    <x v="0"/>
    <x v="0"/>
    <x v="0"/>
    <n v="20"/>
    <n v="0.33333333333333331"/>
    <n v="0.33333333333333331"/>
    <n v="11.666666666666666"/>
    <x v="1"/>
    <x v="0"/>
    <m/>
    <x v="0"/>
    <n v="101.19999999999999"/>
    <x v="0"/>
    <x v="0"/>
    <x v="0"/>
    <x v="0"/>
    <x v="0"/>
  </r>
  <r>
    <x v="0"/>
    <x v="14"/>
    <s v="4424 J"/>
    <x v="110"/>
    <s v="A S Cable Lahore"/>
    <s v="LDN"/>
    <n v="14"/>
    <s v="12-12.5"/>
    <s v="LDN"/>
    <n v="100"/>
    <x v="0"/>
    <n v="1"/>
    <n v="62.8"/>
    <n v="1.7"/>
    <m/>
    <x v="0"/>
    <n v="61.099999999999994"/>
    <m/>
    <m/>
    <x v="0"/>
    <x v="0"/>
    <n v="0"/>
    <n v="0"/>
    <x v="0"/>
    <x v="0"/>
    <m/>
    <x v="0"/>
    <x v="0"/>
    <x v="0"/>
    <x v="0"/>
    <x v="0"/>
    <n v="0"/>
    <n v="0"/>
    <n v="0"/>
    <n v="12"/>
    <x v="1"/>
    <x v="0"/>
    <m/>
    <x v="0"/>
    <n v="71.099999999999994"/>
    <x v="0"/>
    <x v="0"/>
    <x v="0"/>
    <x v="0"/>
    <x v="0"/>
  </r>
  <r>
    <x v="0"/>
    <x v="14"/>
    <s v="4426 J"/>
    <x v="110"/>
    <s v="A S Cable Lahore"/>
    <s v="LDN"/>
    <n v="13"/>
    <s v="10-11"/>
    <s v="LDN"/>
    <n v="100"/>
    <x v="0"/>
    <n v="2"/>
    <n v="105.30000000000001"/>
    <n v="3.4"/>
    <m/>
    <x v="0"/>
    <n v="101.9"/>
    <m/>
    <m/>
    <x v="0"/>
    <x v="0"/>
    <n v="0"/>
    <n v="0"/>
    <x v="0"/>
    <x v="0"/>
    <m/>
    <x v="0"/>
    <x v="0"/>
    <x v="0"/>
    <x v="0"/>
    <x v="0"/>
    <n v="0"/>
    <n v="0"/>
    <n v="0"/>
    <n v="12"/>
    <x v="1"/>
    <x v="0"/>
    <m/>
    <x v="0"/>
    <n v="111.9"/>
    <x v="0"/>
    <x v="0"/>
    <x v="0"/>
    <x v="0"/>
    <x v="0"/>
  </r>
  <r>
    <x v="1"/>
    <x v="14"/>
    <s v="2213 F"/>
    <x v="110"/>
    <s v="Usman Amin"/>
    <s v="LDN"/>
    <n v="17"/>
    <s v="12"/>
    <s v="LDN"/>
    <n v="1000"/>
    <x v="0"/>
    <n v="1"/>
    <n v="101.7"/>
    <n v="2"/>
    <n v="10"/>
    <x v="0"/>
    <n v="99.7"/>
    <m/>
    <n v="10"/>
    <x v="0"/>
    <x v="0"/>
    <n v="10"/>
    <n v="0.16666666666666666"/>
    <x v="0"/>
    <x v="0"/>
    <m/>
    <x v="0"/>
    <x v="0"/>
    <x v="0"/>
    <x v="0"/>
    <x v="0"/>
    <n v="0"/>
    <n v="0"/>
    <n v="0.16666666666666666"/>
    <n v="11.833333333333334"/>
    <x v="1"/>
    <x v="0"/>
    <m/>
    <x v="0"/>
    <n v="109.7"/>
    <x v="0"/>
    <x v="0"/>
    <x v="0"/>
    <x v="0"/>
    <x v="0"/>
  </r>
  <r>
    <x v="1"/>
    <x v="14"/>
    <s v="2214 F"/>
    <x v="110"/>
    <s v="Usman Amin"/>
    <s v="LDN"/>
    <n v="21"/>
    <s v="12"/>
    <s v="LDN"/>
    <n v="900"/>
    <x v="0"/>
    <n v="5"/>
    <n v="430.2"/>
    <n v="14"/>
    <m/>
    <x v="0"/>
    <n v="416.2"/>
    <m/>
    <m/>
    <x v="0"/>
    <x v="0"/>
    <n v="0"/>
    <n v="0"/>
    <x v="0"/>
    <x v="0"/>
    <m/>
    <x v="0"/>
    <x v="0"/>
    <x v="0"/>
    <x v="0"/>
    <x v="0"/>
    <n v="0"/>
    <n v="0"/>
    <n v="0"/>
    <n v="12"/>
    <x v="1"/>
    <x v="0"/>
    <m/>
    <x v="0"/>
    <n v="426.2"/>
    <x v="0"/>
    <x v="0"/>
    <x v="0"/>
    <x v="0"/>
    <x v="0"/>
  </r>
  <r>
    <x v="0"/>
    <x v="8"/>
    <s v="4505 J"/>
    <x v="111"/>
    <s v="-"/>
    <m/>
    <m/>
    <m/>
    <m/>
    <m/>
    <x v="0"/>
    <n v="3"/>
    <n v="133.1"/>
    <n v="2.0999999999999996"/>
    <m/>
    <x v="0"/>
    <n v="131"/>
    <m/>
    <m/>
    <x v="0"/>
    <x v="0"/>
    <n v="0"/>
    <n v="0"/>
    <x v="0"/>
    <x v="0"/>
    <m/>
    <x v="0"/>
    <x v="0"/>
    <x v="0"/>
    <x v="0"/>
    <x v="0"/>
    <n v="0"/>
    <n v="0"/>
    <n v="0"/>
    <n v="12"/>
    <x v="1"/>
    <x v="0"/>
    <n v="2272"/>
    <x v="0"/>
    <n v="141"/>
    <x v="1"/>
    <x v="7"/>
    <x v="0"/>
    <x v="0"/>
    <x v="0"/>
  </r>
  <r>
    <x v="1"/>
    <x v="8"/>
    <s v="4505 J"/>
    <x v="111"/>
    <s v="-"/>
    <m/>
    <m/>
    <m/>
    <m/>
    <m/>
    <x v="0"/>
    <n v="3"/>
    <n v="156.29999999999998"/>
    <n v="2.65"/>
    <m/>
    <x v="0"/>
    <n v="153.64999999999998"/>
    <m/>
    <m/>
    <x v="0"/>
    <x v="0"/>
    <n v="0"/>
    <n v="0"/>
    <x v="0"/>
    <x v="0"/>
    <m/>
    <x v="0"/>
    <x v="0"/>
    <x v="0"/>
    <x v="0"/>
    <x v="0"/>
    <n v="0"/>
    <n v="0"/>
    <n v="0"/>
    <n v="12"/>
    <x v="1"/>
    <x v="0"/>
    <m/>
    <x v="0"/>
    <n v="163.64999999999998"/>
    <x v="0"/>
    <x v="7"/>
    <x v="0"/>
    <x v="0"/>
    <x v="0"/>
  </r>
  <r>
    <x v="0"/>
    <x v="9"/>
    <s v="4487 J"/>
    <x v="111"/>
    <s v="Mehbob Printers Gujranwala"/>
    <s v="LD پیلا"/>
    <n v="18"/>
    <s v="12.5-13"/>
    <s v="LDM"/>
    <n v="250"/>
    <x v="0"/>
    <n v="3"/>
    <n v="272.2"/>
    <n v="6.3000000000000007"/>
    <m/>
    <x v="0"/>
    <n v="265.89999999999998"/>
    <m/>
    <m/>
    <x v="0"/>
    <x v="0"/>
    <n v="0"/>
    <n v="0"/>
    <x v="0"/>
    <x v="0"/>
    <n v="64"/>
    <x v="0"/>
    <x v="0"/>
    <x v="0"/>
    <x v="0"/>
    <x v="0"/>
    <n v="64"/>
    <n v="1.0666666666666667"/>
    <n v="1.0666666666666667"/>
    <n v="10.933333333333334"/>
    <x v="1"/>
    <x v="0"/>
    <m/>
    <x v="0"/>
    <n v="275.89999999999998"/>
    <x v="0"/>
    <x v="7"/>
    <x v="0"/>
    <x v="0"/>
    <x v="0"/>
  </r>
  <r>
    <x v="0"/>
    <x v="9"/>
    <s v="2783/3"/>
    <x v="111"/>
    <s v="PT-01"/>
    <s v="LD سرخ"/>
    <n v="6"/>
    <n v="80"/>
    <s v="LD سرخ"/>
    <n v="2500"/>
    <x v="0"/>
    <n v="2"/>
    <n v="69.86"/>
    <n v="1.2"/>
    <m/>
    <x v="0"/>
    <n v="68.66"/>
    <m/>
    <m/>
    <x v="0"/>
    <x v="0"/>
    <n v="0"/>
    <n v="0"/>
    <x v="0"/>
    <x v="0"/>
    <m/>
    <x v="0"/>
    <x v="0"/>
    <x v="0"/>
    <x v="0"/>
    <x v="0"/>
    <n v="0"/>
    <n v="0"/>
    <n v="0"/>
    <n v="12"/>
    <x v="1"/>
    <x v="0"/>
    <m/>
    <x v="0"/>
    <n v="78.66"/>
    <x v="0"/>
    <x v="7"/>
    <x v="0"/>
    <x v="0"/>
    <x v="0"/>
  </r>
  <r>
    <x v="1"/>
    <x v="9"/>
    <s v="2783/3"/>
    <x v="111"/>
    <s v="PT-01"/>
    <s v="LD سرخ"/>
    <n v="6"/>
    <n v="80"/>
    <s v="LD سرخ"/>
    <n v="2500"/>
    <x v="0"/>
    <n v="10"/>
    <n v="298.93"/>
    <n v="6"/>
    <m/>
    <x v="0"/>
    <n v="292.93"/>
    <m/>
    <n v="30"/>
    <x v="0"/>
    <x v="0"/>
    <n v="30"/>
    <n v="0.5"/>
    <x v="0"/>
    <x v="0"/>
    <m/>
    <x v="0"/>
    <x v="0"/>
    <x v="0"/>
    <x v="0"/>
    <x v="0"/>
    <n v="0"/>
    <n v="0"/>
    <n v="0.5"/>
    <n v="11.5"/>
    <x v="1"/>
    <x v="0"/>
    <m/>
    <x v="0"/>
    <n v="302.93"/>
    <x v="0"/>
    <x v="7"/>
    <x v="0"/>
    <x v="0"/>
    <x v="0"/>
  </r>
  <r>
    <x v="0"/>
    <x v="10"/>
    <s v="2783/4"/>
    <x v="111"/>
    <s v="PT-01"/>
    <s v="LD سرخ"/>
    <n v="8"/>
    <n v="80"/>
    <s v="LD سرخ"/>
    <n v="5000"/>
    <x v="0"/>
    <n v="10"/>
    <n v="298.68999999999994"/>
    <n v="8"/>
    <m/>
    <x v="0"/>
    <n v="290.68999999999994"/>
    <m/>
    <m/>
    <x v="0"/>
    <x v="0"/>
    <n v="0"/>
    <n v="0"/>
    <x v="0"/>
    <x v="0"/>
    <m/>
    <x v="0"/>
    <x v="0"/>
    <x v="0"/>
    <x v="0"/>
    <x v="0"/>
    <n v="0"/>
    <n v="0"/>
    <n v="0"/>
    <n v="12"/>
    <x v="1"/>
    <x v="0"/>
    <m/>
    <x v="0"/>
    <n v="300.68999999999994"/>
    <x v="0"/>
    <x v="7"/>
    <x v="0"/>
    <x v="0"/>
    <x v="0"/>
  </r>
  <r>
    <x v="1"/>
    <x v="10"/>
    <s v="2783/4"/>
    <x v="111"/>
    <s v="PT-01"/>
    <s v="LD سرخ"/>
    <n v="8"/>
    <n v="80"/>
    <s v="LD سرخ"/>
    <n v="5000"/>
    <x v="0"/>
    <n v="7"/>
    <n v="193.8"/>
    <n v="6.4"/>
    <n v="13.5"/>
    <x v="0"/>
    <n v="187.4"/>
    <m/>
    <m/>
    <x v="0"/>
    <x v="0"/>
    <n v="0"/>
    <n v="0"/>
    <x v="0"/>
    <x v="0"/>
    <n v="100"/>
    <x v="0"/>
    <x v="0"/>
    <x v="0"/>
    <x v="0"/>
    <x v="0"/>
    <n v="100"/>
    <n v="1.6666666666666667"/>
    <n v="1.6666666666666667"/>
    <n v="10.333333333333334"/>
    <x v="1"/>
    <x v="0"/>
    <m/>
    <x v="0"/>
    <n v="197.4"/>
    <x v="0"/>
    <x v="7"/>
    <x v="0"/>
    <x v="0"/>
    <x v="0"/>
  </r>
  <r>
    <x v="1"/>
    <x v="11"/>
    <s v="4600 J"/>
    <x v="111"/>
    <s v="Atlas Honda LTD (SKP)"/>
    <s v="LDN"/>
    <n v="22"/>
    <s v="8.5-9"/>
    <s v="LDN"/>
    <n v="305"/>
    <x v="0"/>
    <n v="3"/>
    <n v="235.79999999999998"/>
    <n v="8.6"/>
    <n v="15"/>
    <x v="0"/>
    <n v="227.2"/>
    <m/>
    <n v="5"/>
    <x v="0"/>
    <x v="10"/>
    <n v="125"/>
    <n v="2.0833333333333335"/>
    <x v="0"/>
    <x v="0"/>
    <m/>
    <x v="0"/>
    <x v="0"/>
    <x v="0"/>
    <x v="0"/>
    <x v="0"/>
    <n v="0"/>
    <n v="0"/>
    <n v="2.0833333333333335"/>
    <n v="9.9166666666666661"/>
    <x v="1"/>
    <x v="0"/>
    <m/>
    <x v="0"/>
    <n v="237.2"/>
    <x v="0"/>
    <x v="7"/>
    <x v="0"/>
    <x v="0"/>
    <x v="0"/>
  </r>
  <r>
    <x v="1"/>
    <x v="11"/>
    <s v="2213 F"/>
    <x v="111"/>
    <s v="Usman Amin"/>
    <s v="LDN"/>
    <n v="17"/>
    <s v="12"/>
    <s v="LDN"/>
    <n v="1000"/>
    <x v="0"/>
    <n v="1"/>
    <n v="35"/>
    <n v="1.2"/>
    <m/>
    <x v="0"/>
    <n v="33.799999999999997"/>
    <m/>
    <m/>
    <x v="0"/>
    <x v="0"/>
    <n v="0"/>
    <n v="0"/>
    <x v="0"/>
    <x v="0"/>
    <m/>
    <x v="0"/>
    <x v="0"/>
    <x v="0"/>
    <x v="0"/>
    <x v="0"/>
    <n v="0"/>
    <n v="0"/>
    <n v="0"/>
    <n v="12"/>
    <x v="1"/>
    <x v="0"/>
    <m/>
    <x v="0"/>
    <n v="43.8"/>
    <x v="0"/>
    <x v="7"/>
    <x v="0"/>
    <x v="0"/>
    <x v="0"/>
  </r>
  <r>
    <x v="1"/>
    <x v="13"/>
    <s v="4431 J"/>
    <x v="111"/>
    <s v="Jilani Poly Stock"/>
    <s v="LDN"/>
    <s v="26&quot; شیٹ"/>
    <s v="8-8.5/16-17"/>
    <s v="LDN"/>
    <n v="500"/>
    <x v="0"/>
    <n v="4"/>
    <n v="427.6"/>
    <n v="11.399999999999999"/>
    <n v="17"/>
    <x v="0"/>
    <n v="416.20000000000005"/>
    <m/>
    <m/>
    <x v="0"/>
    <x v="0"/>
    <n v="0"/>
    <n v="0"/>
    <x v="0"/>
    <x v="0"/>
    <m/>
    <x v="0"/>
    <x v="0"/>
    <x v="0"/>
    <x v="0"/>
    <x v="0"/>
    <n v="0"/>
    <n v="0"/>
    <n v="0"/>
    <n v="12"/>
    <x v="1"/>
    <x v="0"/>
    <m/>
    <x v="0"/>
    <n v="426.20000000000005"/>
    <x v="0"/>
    <x v="7"/>
    <x v="0"/>
    <x v="0"/>
    <x v="0"/>
  </r>
  <r>
    <x v="0"/>
    <x v="12"/>
    <s v="2790/1"/>
    <x v="111"/>
    <s v="SUPER AGRO PAKISTAN"/>
    <s v="LDN"/>
    <s v="28-28.5"/>
    <s v="95±1"/>
    <s v="LDN"/>
    <n v="4750"/>
    <x v="0"/>
    <n v="2"/>
    <n v="228.4"/>
    <n v="7.2"/>
    <m/>
    <x v="0"/>
    <n v="221.20000000000002"/>
    <m/>
    <n v="10"/>
    <x v="0"/>
    <x v="0"/>
    <n v="10"/>
    <n v="0.16666666666666666"/>
    <x v="0"/>
    <x v="0"/>
    <m/>
    <x v="0"/>
    <x v="0"/>
    <x v="0"/>
    <x v="0"/>
    <x v="0"/>
    <n v="0"/>
    <n v="0"/>
    <n v="0.16666666666666666"/>
    <n v="11.833333333333334"/>
    <x v="1"/>
    <x v="0"/>
    <m/>
    <x v="0"/>
    <n v="231.20000000000002"/>
    <x v="0"/>
    <x v="7"/>
    <x v="0"/>
    <x v="0"/>
    <x v="0"/>
  </r>
  <r>
    <x v="0"/>
    <x v="12"/>
    <s v="2226 F"/>
    <x v="111"/>
    <s v="Usman Amin"/>
    <s v="LDN"/>
    <n v="28"/>
    <s v="8-8.5"/>
    <s v="LDN"/>
    <n v="100"/>
    <x v="0"/>
    <n v="2"/>
    <n v="115"/>
    <n v="7.2"/>
    <m/>
    <x v="0"/>
    <n v="107.8"/>
    <m/>
    <m/>
    <x v="0"/>
    <x v="0"/>
    <n v="0"/>
    <n v="0"/>
    <x v="0"/>
    <x v="0"/>
    <m/>
    <x v="0"/>
    <x v="0"/>
    <x v="0"/>
    <x v="0"/>
    <x v="0"/>
    <n v="0"/>
    <n v="0"/>
    <n v="0"/>
    <n v="12"/>
    <x v="1"/>
    <x v="0"/>
    <m/>
    <x v="0"/>
    <n v="117.8"/>
    <x v="0"/>
    <x v="7"/>
    <x v="0"/>
    <x v="0"/>
    <x v="0"/>
  </r>
  <r>
    <x v="0"/>
    <x v="12"/>
    <s v="2229 F"/>
    <x v="111"/>
    <s v="Usman Amin"/>
    <s v="LDN"/>
    <s v="34 SHEET"/>
    <s v="3-3.25/6-6.5"/>
    <s v="LDN"/>
    <n v="300"/>
    <x v="0"/>
    <n v="4"/>
    <n v="303"/>
    <n v="13.399999999999999"/>
    <m/>
    <x v="0"/>
    <n v="289.60000000000002"/>
    <m/>
    <m/>
    <x v="0"/>
    <x v="0"/>
    <n v="0"/>
    <n v="0"/>
    <x v="0"/>
    <x v="0"/>
    <m/>
    <x v="0"/>
    <x v="0"/>
    <x v="0"/>
    <x v="0"/>
    <x v="0"/>
    <n v="0"/>
    <n v="0"/>
    <n v="0"/>
    <n v="12"/>
    <x v="1"/>
    <x v="0"/>
    <m/>
    <x v="0"/>
    <n v="299.60000000000002"/>
    <x v="0"/>
    <x v="7"/>
    <x v="0"/>
    <x v="0"/>
    <x v="0"/>
  </r>
  <r>
    <x v="0"/>
    <x v="12"/>
    <s v="4513 J"/>
    <x v="111"/>
    <s v="-"/>
    <m/>
    <m/>
    <m/>
    <m/>
    <m/>
    <x v="0"/>
    <n v="3"/>
    <n v="169.8"/>
    <n v="11"/>
    <n v="60"/>
    <x v="0"/>
    <n v="158.80000000000001"/>
    <m/>
    <n v="25"/>
    <x v="0"/>
    <x v="0"/>
    <n v="25"/>
    <n v="0.41666666666666669"/>
    <x v="0"/>
    <x v="0"/>
    <m/>
    <x v="0"/>
    <x v="0"/>
    <x v="0"/>
    <x v="0"/>
    <x v="0"/>
    <n v="0"/>
    <n v="0"/>
    <n v="0.41666666666666669"/>
    <n v="11.583333333333334"/>
    <x v="1"/>
    <x v="0"/>
    <m/>
    <x v="0"/>
    <n v="168.8"/>
    <x v="0"/>
    <x v="7"/>
    <x v="0"/>
    <x v="0"/>
    <x v="0"/>
  </r>
  <r>
    <x v="1"/>
    <x v="12"/>
    <s v="4482 J"/>
    <x v="111"/>
    <s v="Javed Enterprises Gujranwala"/>
    <s v="LD پیلا"/>
    <n v="14"/>
    <s v="20-21"/>
    <s v="LDM"/>
    <n v="300"/>
    <x v="0"/>
    <n v="6"/>
    <n v="309.8"/>
    <n v="10.200000000000001"/>
    <n v="45"/>
    <x v="0"/>
    <n v="299.60000000000002"/>
    <m/>
    <m/>
    <x v="0"/>
    <x v="0"/>
    <n v="0"/>
    <n v="0"/>
    <x v="0"/>
    <x v="0"/>
    <m/>
    <x v="0"/>
    <x v="0"/>
    <x v="0"/>
    <x v="0"/>
    <x v="0"/>
    <n v="0"/>
    <n v="0"/>
    <n v="0"/>
    <n v="12"/>
    <x v="1"/>
    <x v="0"/>
    <m/>
    <x v="0"/>
    <n v="309.60000000000002"/>
    <x v="0"/>
    <x v="7"/>
    <x v="0"/>
    <x v="0"/>
    <x v="0"/>
  </r>
  <r>
    <x v="1"/>
    <x v="12"/>
    <s v="4547 J"/>
    <x v="111"/>
    <s v="-"/>
    <m/>
    <m/>
    <m/>
    <m/>
    <m/>
    <x v="0"/>
    <n v="2"/>
    <n v="80.8"/>
    <n v="2.6"/>
    <m/>
    <x v="0"/>
    <n v="78.2"/>
    <m/>
    <m/>
    <x v="0"/>
    <x v="0"/>
    <n v="0"/>
    <n v="0"/>
    <x v="0"/>
    <x v="0"/>
    <m/>
    <x v="0"/>
    <x v="0"/>
    <x v="0"/>
    <x v="0"/>
    <x v="0"/>
    <n v="0"/>
    <n v="0"/>
    <n v="0"/>
    <n v="12"/>
    <x v="1"/>
    <x v="0"/>
    <m/>
    <x v="0"/>
    <n v="88.2"/>
    <x v="0"/>
    <x v="7"/>
    <x v="0"/>
    <x v="0"/>
    <x v="0"/>
  </r>
  <r>
    <x v="0"/>
    <x v="14"/>
    <s v="2221 F"/>
    <x v="111"/>
    <s v="Usman Amin"/>
    <s v="PP"/>
    <n v="17"/>
    <s v="7.5-8"/>
    <s v="PP"/>
    <n v="0"/>
    <x v="0"/>
    <n v="3"/>
    <n v="290.2"/>
    <n v="7.1999999999999993"/>
    <m/>
    <x v="0"/>
    <n v="283"/>
    <m/>
    <m/>
    <x v="0"/>
    <x v="0"/>
    <n v="0"/>
    <n v="0"/>
    <x v="0"/>
    <x v="0"/>
    <m/>
    <x v="0"/>
    <x v="0"/>
    <x v="0"/>
    <x v="0"/>
    <x v="0"/>
    <n v="0"/>
    <n v="0"/>
    <n v="0"/>
    <n v="12"/>
    <x v="1"/>
    <x v="0"/>
    <m/>
    <x v="0"/>
    <n v="293"/>
    <x v="0"/>
    <x v="7"/>
    <x v="0"/>
    <x v="0"/>
    <x v="0"/>
  </r>
  <r>
    <x v="0"/>
    <x v="14"/>
    <s v="2240 F"/>
    <x v="111"/>
    <s v="Usman Amin"/>
    <s v="LDN"/>
    <n v="18"/>
    <s v="6-6.5"/>
    <s v="LDN"/>
    <n v="95"/>
    <x v="0"/>
    <n v="1"/>
    <n v="58"/>
    <n v="2.1"/>
    <m/>
    <x v="0"/>
    <n v="55.9"/>
    <m/>
    <m/>
    <x v="0"/>
    <x v="0"/>
    <n v="0"/>
    <n v="0"/>
    <x v="0"/>
    <x v="0"/>
    <m/>
    <x v="0"/>
    <x v="0"/>
    <x v="0"/>
    <x v="0"/>
    <x v="0"/>
    <n v="0"/>
    <n v="0"/>
    <n v="0"/>
    <n v="12"/>
    <x v="1"/>
    <x v="0"/>
    <m/>
    <x v="0"/>
    <n v="65.900000000000006"/>
    <x v="0"/>
    <x v="7"/>
    <x v="0"/>
    <x v="0"/>
    <x v="0"/>
  </r>
  <r>
    <x v="0"/>
    <x v="14"/>
    <s v="2241 F"/>
    <x v="111"/>
    <s v="Usman Amin"/>
    <s v="LDN"/>
    <n v="18"/>
    <s v="6-6.5"/>
    <s v="LDN"/>
    <n v="90"/>
    <x v="0"/>
    <n v="1"/>
    <n v="54"/>
    <n v="2.1"/>
    <m/>
    <x v="0"/>
    <n v="51.9"/>
    <m/>
    <m/>
    <x v="0"/>
    <x v="0"/>
    <n v="0"/>
    <n v="0"/>
    <x v="0"/>
    <x v="0"/>
    <m/>
    <x v="0"/>
    <x v="0"/>
    <x v="0"/>
    <x v="0"/>
    <x v="0"/>
    <n v="0"/>
    <n v="0"/>
    <n v="0"/>
    <n v="12"/>
    <x v="1"/>
    <x v="0"/>
    <m/>
    <x v="0"/>
    <n v="61.9"/>
    <x v="0"/>
    <x v="7"/>
    <x v="0"/>
    <x v="0"/>
    <x v="0"/>
  </r>
  <r>
    <x v="1"/>
    <x v="14"/>
    <s v="2241 F"/>
    <x v="111"/>
    <s v="Usman Amin"/>
    <s v="LDN"/>
    <n v="18"/>
    <s v="6-6.5"/>
    <s v="LDN"/>
    <n v="90"/>
    <x v="0"/>
    <n v="1"/>
    <n v="51.9"/>
    <n v="1.8"/>
    <m/>
    <x v="0"/>
    <n v="50.1"/>
    <m/>
    <m/>
    <x v="0"/>
    <x v="0"/>
    <n v="0"/>
    <n v="0"/>
    <x v="0"/>
    <x v="0"/>
    <m/>
    <x v="0"/>
    <x v="0"/>
    <x v="0"/>
    <x v="0"/>
    <x v="0"/>
    <n v="0"/>
    <n v="0"/>
    <n v="0"/>
    <n v="12"/>
    <x v="1"/>
    <x v="0"/>
    <m/>
    <x v="0"/>
    <n v="60.1"/>
    <x v="0"/>
    <x v="7"/>
    <x v="0"/>
    <x v="0"/>
    <x v="0"/>
  </r>
  <r>
    <x v="1"/>
    <x v="14"/>
    <s v="2240 F"/>
    <x v="111"/>
    <s v="Usman Amin"/>
    <s v="LDN"/>
    <n v="18"/>
    <s v="6-6.5"/>
    <s v="LDN"/>
    <n v="95"/>
    <x v="0"/>
    <n v="1"/>
    <n v="41.5"/>
    <n v="1.8"/>
    <m/>
    <x v="0"/>
    <n v="39.700000000000003"/>
    <m/>
    <m/>
    <x v="0"/>
    <x v="0"/>
    <n v="0"/>
    <n v="0"/>
    <x v="0"/>
    <x v="0"/>
    <m/>
    <x v="0"/>
    <x v="0"/>
    <x v="0"/>
    <x v="0"/>
    <x v="0"/>
    <n v="0"/>
    <n v="0"/>
    <n v="0"/>
    <n v="12"/>
    <x v="1"/>
    <x v="0"/>
    <m/>
    <x v="0"/>
    <n v="49.7"/>
    <x v="0"/>
    <x v="7"/>
    <x v="0"/>
    <x v="0"/>
    <x v="0"/>
  </r>
  <r>
    <x v="1"/>
    <x v="14"/>
    <s v="2218 F"/>
    <x v="111"/>
    <s v="Usman Amin"/>
    <s v="PP"/>
    <n v="20"/>
    <s v="8"/>
    <s v="PP"/>
    <n v="150"/>
    <x v="0"/>
    <n v="6"/>
    <n v="319.81"/>
    <n v="12.8"/>
    <m/>
    <x v="0"/>
    <n v="307.01"/>
    <m/>
    <m/>
    <x v="0"/>
    <x v="0"/>
    <n v="0"/>
    <n v="0"/>
    <x v="0"/>
    <x v="0"/>
    <m/>
    <x v="0"/>
    <x v="0"/>
    <x v="0"/>
    <x v="0"/>
    <x v="0"/>
    <n v="0"/>
    <n v="0"/>
    <n v="0"/>
    <n v="12"/>
    <x v="1"/>
    <x v="0"/>
    <m/>
    <x v="0"/>
    <n v="317.01"/>
    <x v="0"/>
    <x v="7"/>
    <x v="0"/>
    <x v="0"/>
    <x v="0"/>
  </r>
  <r>
    <x v="0"/>
    <x v="8"/>
    <s v="4505 J"/>
    <x v="112"/>
    <s v="-"/>
    <m/>
    <m/>
    <m/>
    <m/>
    <m/>
    <x v="0"/>
    <n v="4"/>
    <n v="119.4"/>
    <n v="2.4"/>
    <m/>
    <x v="0"/>
    <n v="117"/>
    <m/>
    <m/>
    <x v="0"/>
    <x v="0"/>
    <n v="0"/>
    <n v="0"/>
    <x v="0"/>
    <x v="0"/>
    <m/>
    <x v="0"/>
    <x v="0"/>
    <x v="0"/>
    <x v="0"/>
    <x v="0"/>
    <n v="0"/>
    <n v="0"/>
    <n v="0"/>
    <n v="12"/>
    <x v="1"/>
    <x v="0"/>
    <n v="2864"/>
    <x v="0"/>
    <n v="127"/>
    <x v="1"/>
    <x v="7"/>
    <x v="0"/>
    <x v="0"/>
    <x v="0"/>
  </r>
  <r>
    <x v="1"/>
    <x v="8"/>
    <s v="4597 J"/>
    <x v="112"/>
    <s v="-"/>
    <m/>
    <m/>
    <m/>
    <m/>
    <m/>
    <x v="0"/>
    <n v="4"/>
    <n v="149.69999999999999"/>
    <n v="3.6"/>
    <n v="2"/>
    <x v="0"/>
    <n v="146.1"/>
    <m/>
    <m/>
    <x v="0"/>
    <x v="0"/>
    <n v="0"/>
    <n v="0"/>
    <x v="0"/>
    <x v="0"/>
    <m/>
    <x v="0"/>
    <x v="0"/>
    <x v="0"/>
    <x v="0"/>
    <x v="0"/>
    <n v="0"/>
    <n v="0"/>
    <n v="0"/>
    <n v="12"/>
    <x v="1"/>
    <x v="0"/>
    <m/>
    <x v="0"/>
    <n v="156.1"/>
    <x v="0"/>
    <x v="7"/>
    <x v="0"/>
    <x v="0"/>
    <x v="0"/>
  </r>
  <r>
    <x v="0"/>
    <x v="9"/>
    <s v="2783/3"/>
    <x v="112"/>
    <s v="PT-01"/>
    <s v="LD سرخ"/>
    <n v="6"/>
    <n v="80"/>
    <s v="LD سرخ"/>
    <n v="2500"/>
    <x v="0"/>
    <n v="3"/>
    <n v="93"/>
    <n v="1.7999999999999998"/>
    <n v="13"/>
    <x v="0"/>
    <n v="91.2"/>
    <m/>
    <n v="5"/>
    <x v="0"/>
    <x v="0"/>
    <n v="5"/>
    <n v="8.3333333333333329E-2"/>
    <x v="0"/>
    <x v="0"/>
    <m/>
    <x v="0"/>
    <x v="0"/>
    <x v="0"/>
    <x v="0"/>
    <x v="0"/>
    <n v="0"/>
    <n v="0"/>
    <n v="8.3333333333333329E-2"/>
    <n v="11.916666666666666"/>
    <x v="1"/>
    <x v="0"/>
    <m/>
    <x v="0"/>
    <n v="101.2"/>
    <x v="0"/>
    <x v="7"/>
    <x v="0"/>
    <x v="0"/>
    <x v="0"/>
  </r>
  <r>
    <x v="0"/>
    <x v="9"/>
    <s v="2783/4"/>
    <x v="112"/>
    <s v="PT-01"/>
    <s v="LD سرخ"/>
    <n v="8"/>
    <n v="80"/>
    <s v="LD سرخ"/>
    <n v="5000"/>
    <x v="0"/>
    <n v="10"/>
    <n v="278.5"/>
    <n v="8"/>
    <m/>
    <x v="0"/>
    <n v="270.5"/>
    <m/>
    <m/>
    <x v="0"/>
    <x v="0"/>
    <n v="0"/>
    <n v="0"/>
    <x v="0"/>
    <x v="0"/>
    <m/>
    <x v="0"/>
    <x v="0"/>
    <x v="0"/>
    <x v="0"/>
    <x v="0"/>
    <n v="0"/>
    <n v="0"/>
    <n v="0"/>
    <n v="12"/>
    <x v="1"/>
    <x v="0"/>
    <m/>
    <x v="0"/>
    <n v="280.5"/>
    <x v="0"/>
    <x v="7"/>
    <x v="0"/>
    <x v="0"/>
    <x v="0"/>
  </r>
  <r>
    <x v="1"/>
    <x v="9"/>
    <s v="2783/4"/>
    <x v="112"/>
    <s v="PT-01"/>
    <s v="LD سرخ"/>
    <n v="8"/>
    <n v="80"/>
    <s v="LD سرخ"/>
    <n v="5000"/>
    <x v="0"/>
    <n v="15"/>
    <n v="407.56"/>
    <n v="8"/>
    <m/>
    <x v="0"/>
    <n v="399.56"/>
    <m/>
    <m/>
    <x v="0"/>
    <x v="0"/>
    <n v="0"/>
    <n v="0"/>
    <x v="0"/>
    <x v="0"/>
    <m/>
    <x v="0"/>
    <x v="0"/>
    <x v="0"/>
    <x v="0"/>
    <x v="0"/>
    <n v="0"/>
    <n v="0"/>
    <n v="0"/>
    <n v="12"/>
    <x v="1"/>
    <x v="0"/>
    <m/>
    <x v="0"/>
    <n v="409.56"/>
    <x v="0"/>
    <x v="7"/>
    <x v="0"/>
    <x v="0"/>
    <x v="0"/>
  </r>
  <r>
    <x v="0"/>
    <x v="11"/>
    <s v="4600 J"/>
    <x v="112"/>
    <s v="Atlas Honda LTD (SKP)"/>
    <s v="LDN"/>
    <n v="22"/>
    <s v="8.5-9"/>
    <s v="LDN"/>
    <n v="305"/>
    <x v="0"/>
    <n v="1"/>
    <n v="100.2"/>
    <n v="2.2000000000000002"/>
    <n v="8"/>
    <x v="0"/>
    <n v="98"/>
    <m/>
    <n v="3"/>
    <x v="0"/>
    <x v="0"/>
    <n v="3"/>
    <n v="0.05"/>
    <x v="0"/>
    <x v="0"/>
    <m/>
    <x v="0"/>
    <x v="0"/>
    <x v="0"/>
    <x v="0"/>
    <x v="0"/>
    <n v="0"/>
    <n v="0"/>
    <n v="0.05"/>
    <n v="11.95"/>
    <x v="1"/>
    <x v="0"/>
    <m/>
    <x v="0"/>
    <n v="108"/>
    <x v="0"/>
    <x v="7"/>
    <x v="0"/>
    <x v="0"/>
    <x v="0"/>
  </r>
  <r>
    <x v="0"/>
    <x v="11"/>
    <s v="4599 J"/>
    <x v="112"/>
    <s v="-"/>
    <m/>
    <m/>
    <m/>
    <m/>
    <m/>
    <x v="0"/>
    <n v="3"/>
    <n v="275.2"/>
    <n v="10"/>
    <m/>
    <x v="0"/>
    <n v="265.2"/>
    <m/>
    <m/>
    <x v="0"/>
    <x v="0"/>
    <n v="0"/>
    <n v="0"/>
    <x v="0"/>
    <x v="0"/>
    <m/>
    <x v="0"/>
    <x v="0"/>
    <x v="0"/>
    <x v="0"/>
    <x v="0"/>
    <n v="0"/>
    <n v="0"/>
    <n v="0"/>
    <n v="12"/>
    <x v="1"/>
    <x v="0"/>
    <m/>
    <x v="0"/>
    <n v="275.2"/>
    <x v="0"/>
    <x v="7"/>
    <x v="0"/>
    <x v="0"/>
    <x v="0"/>
  </r>
  <r>
    <x v="1"/>
    <x v="11"/>
    <s v="4599 J"/>
    <x v="112"/>
    <s v="-"/>
    <m/>
    <m/>
    <m/>
    <m/>
    <m/>
    <x v="0"/>
    <n v="3"/>
    <n v="201"/>
    <n v="11"/>
    <n v="14.6"/>
    <x v="0"/>
    <n v="190"/>
    <m/>
    <n v="10"/>
    <x v="0"/>
    <x v="0"/>
    <n v="10"/>
    <n v="0.16666666666666666"/>
    <x v="0"/>
    <x v="0"/>
    <m/>
    <x v="0"/>
    <x v="0"/>
    <x v="0"/>
    <x v="0"/>
    <x v="0"/>
    <n v="0"/>
    <n v="0"/>
    <n v="0.16666666666666666"/>
    <n v="11.833333333333334"/>
    <x v="1"/>
    <x v="0"/>
    <m/>
    <x v="0"/>
    <n v="200"/>
    <x v="0"/>
    <x v="7"/>
    <x v="0"/>
    <x v="0"/>
    <x v="0"/>
  </r>
  <r>
    <x v="1"/>
    <x v="11"/>
    <s v="4594 J"/>
    <x v="112"/>
    <s v="-"/>
    <m/>
    <m/>
    <m/>
    <m/>
    <m/>
    <x v="0"/>
    <n v="3"/>
    <n v="219"/>
    <n v="8.3999999999999986"/>
    <m/>
    <x v="0"/>
    <n v="210.6"/>
    <m/>
    <m/>
    <x v="0"/>
    <x v="0"/>
    <n v="0"/>
    <n v="0"/>
    <x v="0"/>
    <x v="0"/>
    <m/>
    <x v="0"/>
    <x v="0"/>
    <x v="0"/>
    <x v="0"/>
    <x v="0"/>
    <n v="0"/>
    <n v="0"/>
    <n v="0"/>
    <n v="12"/>
    <x v="1"/>
    <x v="0"/>
    <m/>
    <x v="0"/>
    <n v="220.6"/>
    <x v="0"/>
    <x v="7"/>
    <x v="0"/>
    <x v="0"/>
    <x v="0"/>
  </r>
  <r>
    <x v="0"/>
    <x v="13"/>
    <s v="4593 J"/>
    <x v="112"/>
    <s v="-"/>
    <m/>
    <m/>
    <m/>
    <m/>
    <m/>
    <x v="0"/>
    <n v="4"/>
    <n v="299.20000000000005"/>
    <n v="8.8000000000000007"/>
    <n v="22"/>
    <x v="0"/>
    <n v="290.40000000000003"/>
    <m/>
    <n v="5"/>
    <x v="0"/>
    <x v="0"/>
    <n v="5"/>
    <n v="8.3333333333333329E-2"/>
    <x v="0"/>
    <x v="0"/>
    <m/>
    <x v="0"/>
    <x v="0"/>
    <x v="0"/>
    <x v="0"/>
    <x v="0"/>
    <n v="0"/>
    <n v="0"/>
    <n v="8.3333333333333329E-2"/>
    <n v="11.916666666666666"/>
    <x v="1"/>
    <x v="0"/>
    <m/>
    <x v="0"/>
    <n v="300.40000000000003"/>
    <x v="0"/>
    <x v="7"/>
    <x v="0"/>
    <x v="0"/>
    <x v="0"/>
  </r>
  <r>
    <x v="1"/>
    <x v="13"/>
    <s v="4593 J"/>
    <x v="112"/>
    <s v="-"/>
    <m/>
    <m/>
    <m/>
    <m/>
    <m/>
    <x v="0"/>
    <n v="7"/>
    <n v="427.59999999999997"/>
    <n v="12.200000000000001"/>
    <n v="46"/>
    <x v="0"/>
    <n v="415.4"/>
    <m/>
    <m/>
    <x v="0"/>
    <x v="0"/>
    <n v="0"/>
    <n v="0"/>
    <x v="0"/>
    <x v="0"/>
    <m/>
    <x v="0"/>
    <x v="0"/>
    <x v="0"/>
    <x v="0"/>
    <x v="0"/>
    <n v="0"/>
    <n v="0"/>
    <n v="0"/>
    <n v="12"/>
    <x v="1"/>
    <x v="0"/>
    <m/>
    <x v="0"/>
    <n v="425.4"/>
    <x v="0"/>
    <x v="7"/>
    <x v="0"/>
    <x v="0"/>
    <x v="0"/>
  </r>
  <r>
    <x v="1"/>
    <x v="13"/>
    <s v="4500 J"/>
    <x v="112"/>
    <s v="-"/>
    <m/>
    <m/>
    <m/>
    <m/>
    <m/>
    <x v="0"/>
    <n v="2"/>
    <n v="152.39999999999998"/>
    <n v="4.8"/>
    <m/>
    <x v="0"/>
    <n v="147.59999999999997"/>
    <m/>
    <m/>
    <x v="0"/>
    <x v="0"/>
    <n v="0"/>
    <n v="0"/>
    <x v="0"/>
    <x v="0"/>
    <m/>
    <x v="0"/>
    <x v="0"/>
    <x v="0"/>
    <x v="0"/>
    <x v="0"/>
    <n v="0"/>
    <n v="0"/>
    <n v="0"/>
    <n v="12"/>
    <x v="1"/>
    <x v="0"/>
    <m/>
    <x v="0"/>
    <n v="157.59999999999997"/>
    <x v="0"/>
    <x v="7"/>
    <x v="0"/>
    <x v="0"/>
    <x v="0"/>
  </r>
  <r>
    <x v="0"/>
    <x v="12"/>
    <s v="4592 J"/>
    <x v="112"/>
    <s v="-"/>
    <m/>
    <m/>
    <m/>
    <m/>
    <m/>
    <x v="0"/>
    <n v="6"/>
    <n v="767.50000000000011"/>
    <n v="13.200000000000001"/>
    <n v="19"/>
    <x v="0"/>
    <n v="754.30000000000007"/>
    <m/>
    <m/>
    <x v="0"/>
    <x v="0"/>
    <n v="0"/>
    <n v="0"/>
    <x v="0"/>
    <x v="0"/>
    <m/>
    <x v="0"/>
    <x v="0"/>
    <x v="0"/>
    <x v="0"/>
    <x v="0"/>
    <n v="0"/>
    <n v="0"/>
    <n v="0"/>
    <n v="12"/>
    <x v="1"/>
    <x v="0"/>
    <m/>
    <x v="0"/>
    <n v="764.30000000000007"/>
    <x v="0"/>
    <x v="7"/>
    <x v="0"/>
    <x v="0"/>
    <x v="0"/>
  </r>
  <r>
    <x v="1"/>
    <x v="12"/>
    <s v="4592 J"/>
    <x v="112"/>
    <s v="-"/>
    <m/>
    <m/>
    <m/>
    <m/>
    <m/>
    <x v="0"/>
    <n v="5"/>
    <n v="666"/>
    <n v="11"/>
    <n v="13"/>
    <x v="0"/>
    <n v="655"/>
    <m/>
    <m/>
    <x v="0"/>
    <x v="0"/>
    <n v="0"/>
    <n v="0"/>
    <x v="0"/>
    <x v="0"/>
    <m/>
    <x v="0"/>
    <x v="0"/>
    <x v="0"/>
    <x v="0"/>
    <x v="0"/>
    <n v="0"/>
    <n v="0"/>
    <n v="0"/>
    <n v="12"/>
    <x v="1"/>
    <x v="0"/>
    <m/>
    <x v="0"/>
    <n v="665"/>
    <x v="0"/>
    <x v="7"/>
    <x v="0"/>
    <x v="0"/>
    <x v="0"/>
  </r>
  <r>
    <x v="0"/>
    <x v="14"/>
    <s v="2232 F"/>
    <x v="112"/>
    <s v="Usman Amin"/>
    <s v="LDN"/>
    <n v="18"/>
    <s v="5-5.5"/>
    <s v="LDN"/>
    <n v="370"/>
    <x v="0"/>
    <n v="2"/>
    <n v="137.80000000000001"/>
    <n v="4"/>
    <m/>
    <x v="0"/>
    <n v="133.80000000000001"/>
    <m/>
    <n v="2"/>
    <x v="0"/>
    <x v="0"/>
    <n v="2"/>
    <n v="3.3333333333333333E-2"/>
    <x v="0"/>
    <x v="0"/>
    <m/>
    <x v="0"/>
    <x v="0"/>
    <x v="0"/>
    <x v="0"/>
    <x v="0"/>
    <n v="0"/>
    <n v="0"/>
    <n v="3.3333333333333333E-2"/>
    <n v="11.966666666666667"/>
    <x v="1"/>
    <x v="0"/>
    <m/>
    <x v="0"/>
    <n v="143.80000000000001"/>
    <x v="0"/>
    <x v="7"/>
    <x v="0"/>
    <x v="0"/>
    <x v="0"/>
  </r>
  <r>
    <x v="0"/>
    <x v="14"/>
    <s v="2237 F"/>
    <x v="112"/>
    <s v="Usman Amin"/>
    <s v="LDN"/>
    <n v="15"/>
    <s v="12"/>
    <s v="LDN"/>
    <n v="200"/>
    <x v="0"/>
    <n v="3"/>
    <n v="200.4"/>
    <n v="3.8"/>
    <m/>
    <x v="0"/>
    <n v="196.6"/>
    <m/>
    <m/>
    <x v="0"/>
    <x v="0"/>
    <n v="0"/>
    <n v="0"/>
    <x v="0"/>
    <x v="0"/>
    <m/>
    <x v="0"/>
    <x v="0"/>
    <x v="0"/>
    <x v="0"/>
    <x v="0"/>
    <n v="0"/>
    <n v="0"/>
    <n v="0"/>
    <n v="12"/>
    <x v="1"/>
    <x v="0"/>
    <m/>
    <x v="0"/>
    <n v="206.6"/>
    <x v="0"/>
    <x v="7"/>
    <x v="0"/>
    <x v="0"/>
    <x v="0"/>
  </r>
  <r>
    <x v="0"/>
    <x v="14"/>
    <s v="2225 F"/>
    <x v="112"/>
    <s v="Usman Amin"/>
    <s v="LDN"/>
    <n v="15"/>
    <s v="12"/>
    <s v="LDN"/>
    <n v="200"/>
    <x v="0"/>
    <n v="2"/>
    <n v="134.80000000000001"/>
    <n v="3.8"/>
    <m/>
    <x v="0"/>
    <n v="131"/>
    <m/>
    <m/>
    <x v="0"/>
    <x v="0"/>
    <n v="0"/>
    <n v="0"/>
    <x v="0"/>
    <x v="0"/>
    <m/>
    <x v="0"/>
    <x v="0"/>
    <x v="0"/>
    <x v="0"/>
    <x v="0"/>
    <n v="0"/>
    <n v="0"/>
    <n v="0"/>
    <n v="12"/>
    <x v="1"/>
    <x v="0"/>
    <m/>
    <x v="0"/>
    <n v="141"/>
    <x v="0"/>
    <x v="7"/>
    <x v="0"/>
    <x v="0"/>
    <x v="0"/>
  </r>
  <r>
    <x v="1"/>
    <x v="14"/>
    <s v="2225 F"/>
    <x v="112"/>
    <s v="Usman Amin"/>
    <s v="LDN"/>
    <n v="15"/>
    <s v="12"/>
    <s v="LDN"/>
    <n v="200"/>
    <x v="0"/>
    <n v="1"/>
    <n v="73.099999999999994"/>
    <n v="1.5"/>
    <m/>
    <x v="0"/>
    <n v="71.599999999999994"/>
    <m/>
    <m/>
    <x v="0"/>
    <x v="0"/>
    <n v="0"/>
    <n v="0"/>
    <x v="0"/>
    <x v="0"/>
    <m/>
    <x v="0"/>
    <x v="0"/>
    <x v="0"/>
    <x v="0"/>
    <x v="0"/>
    <n v="0"/>
    <n v="0"/>
    <n v="0"/>
    <n v="12"/>
    <x v="1"/>
    <x v="0"/>
    <m/>
    <x v="0"/>
    <n v="81.599999999999994"/>
    <x v="0"/>
    <x v="7"/>
    <x v="0"/>
    <x v="0"/>
    <x v="0"/>
  </r>
  <r>
    <x v="1"/>
    <x v="14"/>
    <s v="2224 F"/>
    <x v="112"/>
    <s v="Usman Amin"/>
    <s v="LDN"/>
    <n v="15"/>
    <s v="12"/>
    <s v="LDN"/>
    <n v="200"/>
    <x v="0"/>
    <n v="3"/>
    <n v="209.3"/>
    <n v="4.5"/>
    <m/>
    <x v="0"/>
    <n v="204.8"/>
    <m/>
    <m/>
    <x v="0"/>
    <x v="0"/>
    <n v="0"/>
    <n v="0"/>
    <x v="0"/>
    <x v="0"/>
    <m/>
    <x v="0"/>
    <x v="0"/>
    <x v="0"/>
    <x v="0"/>
    <x v="0"/>
    <n v="0"/>
    <n v="0"/>
    <n v="0"/>
    <n v="12"/>
    <x v="1"/>
    <x v="0"/>
    <m/>
    <x v="0"/>
    <n v="214.8"/>
    <x v="0"/>
    <x v="7"/>
    <x v="0"/>
    <x v="0"/>
    <x v="0"/>
  </r>
  <r>
    <x v="0"/>
    <x v="8"/>
    <s v="4597 J"/>
    <x v="113"/>
    <s v="-"/>
    <m/>
    <m/>
    <m/>
    <m/>
    <m/>
    <x v="0"/>
    <n v="3"/>
    <n v="108.89999999999999"/>
    <n v="3"/>
    <n v="2"/>
    <x v="0"/>
    <n v="105.89999999999999"/>
    <m/>
    <m/>
    <x v="0"/>
    <x v="0"/>
    <n v="0"/>
    <n v="0"/>
    <x v="0"/>
    <x v="0"/>
    <m/>
    <x v="0"/>
    <x v="0"/>
    <x v="0"/>
    <x v="0"/>
    <x v="0"/>
    <n v="0"/>
    <n v="0"/>
    <n v="0"/>
    <n v="12"/>
    <x v="1"/>
    <x v="0"/>
    <n v="2797"/>
    <x v="0"/>
    <n v="115.89999999999999"/>
    <x v="1"/>
    <x v="7"/>
    <x v="0"/>
    <x v="0"/>
    <x v="0"/>
  </r>
  <r>
    <x v="0"/>
    <x v="8"/>
    <s v="4598 J"/>
    <x v="113"/>
    <s v="-"/>
    <m/>
    <m/>
    <m/>
    <m/>
    <m/>
    <x v="0"/>
    <n v="1"/>
    <n v="37.799999999999997"/>
    <n v="1.1000000000000001"/>
    <m/>
    <x v="0"/>
    <n v="36.699999999999996"/>
    <m/>
    <m/>
    <x v="0"/>
    <x v="0"/>
    <n v="0"/>
    <n v="0"/>
    <x v="0"/>
    <x v="0"/>
    <m/>
    <x v="0"/>
    <x v="0"/>
    <x v="0"/>
    <x v="0"/>
    <x v="0"/>
    <n v="0"/>
    <n v="0"/>
    <n v="0"/>
    <n v="12"/>
    <x v="1"/>
    <x v="0"/>
    <m/>
    <x v="0"/>
    <n v="46.699999999999996"/>
    <x v="0"/>
    <x v="7"/>
    <x v="0"/>
    <x v="0"/>
    <x v="0"/>
  </r>
  <r>
    <x v="1"/>
    <x v="8"/>
    <s v="4598 J"/>
    <x v="113"/>
    <s v="-"/>
    <m/>
    <m/>
    <m/>
    <m/>
    <m/>
    <x v="0"/>
    <n v="4"/>
    <n v="176.09999999999997"/>
    <n v="4"/>
    <m/>
    <x v="0"/>
    <n v="172.09999999999997"/>
    <m/>
    <m/>
    <x v="0"/>
    <x v="0"/>
    <n v="0"/>
    <n v="0"/>
    <x v="0"/>
    <x v="0"/>
    <m/>
    <x v="0"/>
    <x v="0"/>
    <x v="0"/>
    <x v="0"/>
    <x v="0"/>
    <n v="0"/>
    <n v="0"/>
    <n v="0"/>
    <n v="12"/>
    <x v="1"/>
    <x v="0"/>
    <m/>
    <x v="0"/>
    <n v="182.09999999999997"/>
    <x v="0"/>
    <x v="7"/>
    <x v="0"/>
    <x v="0"/>
    <x v="0"/>
  </r>
  <r>
    <x v="0"/>
    <x v="9"/>
    <s v="2783/4"/>
    <x v="113"/>
    <s v="PT-01"/>
    <s v="LD سرخ"/>
    <n v="8"/>
    <n v="80"/>
    <s v="LD سرخ"/>
    <n v="5000"/>
    <x v="0"/>
    <n v="13"/>
    <n v="342.90000000000003"/>
    <n v="10.4"/>
    <n v="10"/>
    <x v="0"/>
    <n v="332.50000000000006"/>
    <m/>
    <m/>
    <x v="0"/>
    <x v="0"/>
    <n v="0"/>
    <n v="0"/>
    <x v="0"/>
    <x v="0"/>
    <m/>
    <x v="0"/>
    <x v="0"/>
    <x v="0"/>
    <x v="0"/>
    <x v="0"/>
    <n v="0"/>
    <n v="0"/>
    <n v="0"/>
    <n v="12"/>
    <x v="1"/>
    <x v="0"/>
    <m/>
    <x v="0"/>
    <n v="342.50000000000006"/>
    <x v="0"/>
    <x v="7"/>
    <x v="0"/>
    <x v="0"/>
    <x v="0"/>
  </r>
  <r>
    <x v="0"/>
    <x v="9"/>
    <s v="2783/4"/>
    <x v="113"/>
    <s v="PT-01"/>
    <s v="LD سرخ"/>
    <n v="8"/>
    <n v="80"/>
    <s v="LD سرخ"/>
    <n v="5000"/>
    <x v="0"/>
    <n v="1"/>
    <n v="31"/>
    <n v="0.8"/>
    <m/>
    <x v="0"/>
    <n v="30.2"/>
    <m/>
    <m/>
    <x v="0"/>
    <x v="0"/>
    <n v="0"/>
    <n v="0"/>
    <x v="0"/>
    <x v="0"/>
    <m/>
    <x v="0"/>
    <x v="0"/>
    <x v="0"/>
    <x v="0"/>
    <x v="0"/>
    <n v="0"/>
    <n v="0"/>
    <n v="0"/>
    <n v="12"/>
    <x v="1"/>
    <x v="0"/>
    <m/>
    <x v="0"/>
    <n v="40.200000000000003"/>
    <x v="0"/>
    <x v="7"/>
    <x v="0"/>
    <x v="0"/>
    <x v="0"/>
  </r>
  <r>
    <x v="0"/>
    <x v="9"/>
    <s v="2783/5"/>
    <x v="113"/>
    <s v="PT-01"/>
    <s v="LD سرخ"/>
    <n v="10"/>
    <n v="80"/>
    <s v="LD سرخ"/>
    <n v="1250"/>
    <x v="0"/>
    <n v="1"/>
    <n v="27.8"/>
    <n v="1"/>
    <m/>
    <x v="0"/>
    <n v="26.8"/>
    <m/>
    <m/>
    <x v="0"/>
    <x v="0"/>
    <n v="0"/>
    <n v="0"/>
    <x v="0"/>
    <x v="0"/>
    <m/>
    <x v="0"/>
    <x v="0"/>
    <x v="0"/>
    <x v="0"/>
    <x v="0"/>
    <n v="0"/>
    <n v="0"/>
    <n v="0"/>
    <n v="12"/>
    <x v="1"/>
    <x v="0"/>
    <m/>
    <x v="0"/>
    <n v="36.799999999999997"/>
    <x v="0"/>
    <x v="7"/>
    <x v="0"/>
    <x v="0"/>
    <x v="0"/>
  </r>
  <r>
    <x v="1"/>
    <x v="9"/>
    <s v="2783/5"/>
    <x v="113"/>
    <s v="PT-01"/>
    <s v="LD سرخ"/>
    <n v="10"/>
    <n v="80"/>
    <s v="LD سرخ"/>
    <n v="1250"/>
    <x v="0"/>
    <n v="13"/>
    <n v="366.82"/>
    <n v="1.3"/>
    <m/>
    <x v="0"/>
    <n v="365.52"/>
    <m/>
    <m/>
    <x v="0"/>
    <x v="0"/>
    <n v="0"/>
    <n v="0"/>
    <x v="0"/>
    <x v="0"/>
    <m/>
    <x v="0"/>
    <x v="0"/>
    <x v="0"/>
    <x v="0"/>
    <x v="0"/>
    <n v="0"/>
    <n v="0"/>
    <n v="0"/>
    <n v="12"/>
    <x v="1"/>
    <x v="0"/>
    <m/>
    <x v="0"/>
    <n v="375.52"/>
    <x v="0"/>
    <x v="7"/>
    <x v="0"/>
    <x v="0"/>
    <x v="0"/>
  </r>
  <r>
    <x v="1"/>
    <x v="10"/>
    <s v="2783/5"/>
    <x v="113"/>
    <s v="PT-01"/>
    <s v="LD سرخ"/>
    <n v="10"/>
    <n v="80"/>
    <s v="LD سرخ"/>
    <n v="1250"/>
    <x v="0"/>
    <n v="10"/>
    <n v="287.36"/>
    <n v="10"/>
    <n v="25"/>
    <x v="0"/>
    <n v="277.36"/>
    <m/>
    <m/>
    <x v="0"/>
    <x v="10"/>
    <n v="120"/>
    <n v="2"/>
    <x v="0"/>
    <x v="0"/>
    <m/>
    <x v="0"/>
    <x v="0"/>
    <x v="0"/>
    <x v="0"/>
    <x v="0"/>
    <n v="0"/>
    <n v="0"/>
    <n v="2"/>
    <n v="10"/>
    <x v="1"/>
    <x v="0"/>
    <m/>
    <x v="0"/>
    <n v="287.36"/>
    <x v="0"/>
    <x v="7"/>
    <x v="0"/>
    <x v="0"/>
    <x v="0"/>
  </r>
  <r>
    <x v="0"/>
    <x v="11"/>
    <s v="4603 J"/>
    <x v="113"/>
    <s v="Atlas Honda LTD (SKP)"/>
    <s v="LDN"/>
    <n v="21"/>
    <s v="14-14.5"/>
    <s v="LDN"/>
    <n v="80"/>
    <x v="0"/>
    <n v="2"/>
    <n v="106.4"/>
    <n v="4.5"/>
    <n v="8"/>
    <x v="0"/>
    <n v="101.9"/>
    <m/>
    <m/>
    <x v="0"/>
    <x v="0"/>
    <n v="0"/>
    <n v="0"/>
    <x v="0"/>
    <x v="0"/>
    <m/>
    <x v="0"/>
    <x v="0"/>
    <x v="0"/>
    <x v="0"/>
    <x v="0"/>
    <n v="0"/>
    <n v="0"/>
    <n v="0"/>
    <n v="12"/>
    <x v="1"/>
    <x v="0"/>
    <m/>
    <x v="0"/>
    <n v="111.9"/>
    <x v="0"/>
    <x v="7"/>
    <x v="0"/>
    <x v="0"/>
    <x v="0"/>
  </r>
  <r>
    <x v="1"/>
    <x v="11"/>
    <s v="4601 J"/>
    <x v="113"/>
    <s v="Atlas Honda LTD (SKP)"/>
    <s v="LDN"/>
    <n v="19"/>
    <s v="8.5-9"/>
    <s v="LDN"/>
    <n v="280"/>
    <x v="0"/>
    <n v="2"/>
    <n v="151.4"/>
    <n v="4.8"/>
    <n v="5.2"/>
    <x v="0"/>
    <n v="146.6"/>
    <m/>
    <n v="10"/>
    <x v="0"/>
    <x v="0"/>
    <n v="10"/>
    <n v="0.16666666666666666"/>
    <x v="0"/>
    <x v="0"/>
    <m/>
    <x v="0"/>
    <x v="0"/>
    <x v="0"/>
    <x v="0"/>
    <x v="0"/>
    <n v="0"/>
    <n v="0"/>
    <n v="0.16666666666666666"/>
    <n v="11.833333333333334"/>
    <x v="1"/>
    <x v="0"/>
    <m/>
    <x v="0"/>
    <n v="156.6"/>
    <x v="0"/>
    <x v="7"/>
    <x v="0"/>
    <x v="0"/>
    <x v="0"/>
  </r>
  <r>
    <x v="1"/>
    <x v="11"/>
    <s v="4574 J"/>
    <x v="113"/>
    <s v="-"/>
    <m/>
    <m/>
    <m/>
    <m/>
    <m/>
    <x v="0"/>
    <n v="2"/>
    <n v="108.6"/>
    <n v="3.9"/>
    <m/>
    <x v="0"/>
    <n v="104.69999999999999"/>
    <m/>
    <m/>
    <x v="0"/>
    <x v="0"/>
    <n v="0"/>
    <n v="0"/>
    <x v="0"/>
    <x v="0"/>
    <m/>
    <x v="0"/>
    <x v="0"/>
    <x v="0"/>
    <x v="0"/>
    <x v="0"/>
    <n v="0"/>
    <n v="0"/>
    <n v="0"/>
    <n v="12"/>
    <x v="1"/>
    <x v="0"/>
    <m/>
    <x v="0"/>
    <n v="114.69999999999999"/>
    <x v="0"/>
    <x v="7"/>
    <x v="0"/>
    <x v="0"/>
    <x v="0"/>
  </r>
  <r>
    <x v="1"/>
    <x v="11"/>
    <s v="4595 J"/>
    <x v="113"/>
    <s v="-"/>
    <m/>
    <m/>
    <m/>
    <m/>
    <m/>
    <x v="0"/>
    <n v="2"/>
    <n v="148.19999999999999"/>
    <n v="3.8"/>
    <m/>
    <x v="0"/>
    <n v="144.39999999999998"/>
    <m/>
    <m/>
    <x v="0"/>
    <x v="0"/>
    <n v="0"/>
    <n v="0"/>
    <x v="0"/>
    <x v="0"/>
    <m/>
    <x v="0"/>
    <x v="0"/>
    <x v="0"/>
    <x v="0"/>
    <x v="0"/>
    <n v="0"/>
    <n v="0"/>
    <n v="0"/>
    <n v="12"/>
    <x v="1"/>
    <x v="0"/>
    <m/>
    <x v="0"/>
    <n v="154.39999999999998"/>
    <x v="0"/>
    <x v="7"/>
    <x v="0"/>
    <x v="0"/>
    <x v="0"/>
  </r>
  <r>
    <x v="0"/>
    <x v="13"/>
    <s v="4500 J"/>
    <x v="113"/>
    <s v="-"/>
    <m/>
    <m/>
    <m/>
    <m/>
    <m/>
    <x v="0"/>
    <n v="9"/>
    <n v="687.2"/>
    <n v="21.599999999999998"/>
    <n v="70"/>
    <x v="0"/>
    <n v="665.6"/>
    <m/>
    <m/>
    <x v="0"/>
    <x v="0"/>
    <n v="0"/>
    <n v="0"/>
    <x v="0"/>
    <x v="0"/>
    <m/>
    <x v="0"/>
    <x v="0"/>
    <x v="0"/>
    <x v="0"/>
    <x v="0"/>
    <n v="0"/>
    <n v="0"/>
    <n v="0"/>
    <n v="12"/>
    <x v="1"/>
    <x v="0"/>
    <m/>
    <x v="0"/>
    <n v="675.6"/>
    <x v="0"/>
    <x v="7"/>
    <x v="0"/>
    <x v="0"/>
    <x v="0"/>
  </r>
  <r>
    <x v="1"/>
    <x v="13"/>
    <s v="4500 J"/>
    <x v="113"/>
    <s v="-"/>
    <m/>
    <m/>
    <m/>
    <m/>
    <m/>
    <x v="0"/>
    <n v="6"/>
    <n v="440.79999999999995"/>
    <n v="14.399999999999999"/>
    <m/>
    <x v="0"/>
    <n v="426.4"/>
    <m/>
    <m/>
    <x v="0"/>
    <x v="0"/>
    <n v="0"/>
    <n v="0"/>
    <x v="0"/>
    <x v="0"/>
    <m/>
    <x v="0"/>
    <x v="0"/>
    <x v="0"/>
    <x v="0"/>
    <x v="0"/>
    <n v="0"/>
    <n v="0"/>
    <n v="0"/>
    <n v="12"/>
    <x v="1"/>
    <x v="0"/>
    <m/>
    <x v="0"/>
    <n v="436.4"/>
    <x v="0"/>
    <x v="7"/>
    <x v="0"/>
    <x v="0"/>
    <x v="0"/>
  </r>
  <r>
    <x v="0"/>
    <x v="12"/>
    <s v="4592 J"/>
    <x v="113"/>
    <s v="-"/>
    <m/>
    <m/>
    <m/>
    <m/>
    <m/>
    <x v="0"/>
    <n v="3"/>
    <n v="475.6"/>
    <n v="6.6000000000000005"/>
    <m/>
    <x v="0"/>
    <n v="469"/>
    <m/>
    <m/>
    <x v="0"/>
    <x v="0"/>
    <n v="0"/>
    <n v="0"/>
    <x v="0"/>
    <x v="0"/>
    <m/>
    <x v="0"/>
    <x v="0"/>
    <x v="0"/>
    <x v="0"/>
    <x v="0"/>
    <n v="0"/>
    <n v="0"/>
    <n v="0"/>
    <n v="12"/>
    <x v="1"/>
    <x v="0"/>
    <m/>
    <x v="0"/>
    <n v="479"/>
    <x v="0"/>
    <x v="7"/>
    <x v="0"/>
    <x v="0"/>
    <x v="0"/>
  </r>
  <r>
    <x v="1"/>
    <x v="12"/>
    <s v="4592 J"/>
    <x v="113"/>
    <s v="-"/>
    <m/>
    <m/>
    <m/>
    <m/>
    <m/>
    <x v="0"/>
    <n v="2"/>
    <n v="252.6"/>
    <n v="4.4000000000000004"/>
    <m/>
    <x v="0"/>
    <n v="248.2"/>
    <m/>
    <m/>
    <x v="0"/>
    <x v="0"/>
    <n v="0"/>
    <n v="0"/>
    <x v="0"/>
    <x v="0"/>
    <m/>
    <x v="0"/>
    <x v="0"/>
    <x v="0"/>
    <x v="0"/>
    <x v="0"/>
    <n v="0"/>
    <n v="0"/>
    <n v="0"/>
    <n v="12"/>
    <x v="1"/>
    <x v="0"/>
    <m/>
    <x v="0"/>
    <n v="258.2"/>
    <x v="0"/>
    <x v="7"/>
    <x v="0"/>
    <x v="0"/>
    <x v="0"/>
  </r>
  <r>
    <x v="1"/>
    <x v="12"/>
    <s v="4653 J"/>
    <x v="113"/>
    <s v="RMC PACK"/>
    <s v="LD پیلا"/>
    <s v="12+3+3"/>
    <s v="7.5"/>
    <s v="LDM"/>
    <n v="300"/>
    <x v="0"/>
    <n v="11"/>
    <n v="311.5"/>
    <n v="15.399999999999999"/>
    <m/>
    <x v="0"/>
    <n v="296.10000000000002"/>
    <m/>
    <m/>
    <x v="0"/>
    <x v="0"/>
    <n v="0"/>
    <n v="0"/>
    <x v="0"/>
    <x v="0"/>
    <m/>
    <x v="0"/>
    <x v="0"/>
    <x v="0"/>
    <x v="0"/>
    <x v="0"/>
    <n v="0"/>
    <n v="0"/>
    <n v="0"/>
    <n v="12"/>
    <x v="1"/>
    <x v="0"/>
    <m/>
    <x v="0"/>
    <n v="306.10000000000002"/>
    <x v="0"/>
    <x v="7"/>
    <x v="0"/>
    <x v="0"/>
    <x v="0"/>
  </r>
  <r>
    <x v="1"/>
    <x v="12"/>
    <s v="4654 J"/>
    <x v="113"/>
    <s v="RMC PACK"/>
    <s v="LD پیلا"/>
    <s v="14+4+4"/>
    <s v="7.5"/>
    <s v="LDM"/>
    <n v="300"/>
    <x v="0"/>
    <n v="3"/>
    <n v="88.8"/>
    <n v="5.4"/>
    <m/>
    <x v="0"/>
    <n v="83.399999999999991"/>
    <m/>
    <m/>
    <x v="0"/>
    <x v="0"/>
    <n v="0"/>
    <n v="0"/>
    <x v="0"/>
    <x v="0"/>
    <m/>
    <x v="0"/>
    <x v="0"/>
    <x v="0"/>
    <x v="0"/>
    <x v="0"/>
    <n v="0"/>
    <n v="0"/>
    <n v="0"/>
    <n v="12"/>
    <x v="1"/>
    <x v="0"/>
    <m/>
    <x v="0"/>
    <n v="93.399999999999991"/>
    <x v="0"/>
    <x v="7"/>
    <x v="0"/>
    <x v="0"/>
    <x v="0"/>
  </r>
  <r>
    <x v="0"/>
    <x v="14"/>
    <s v="2215 F"/>
    <x v="113"/>
    <s v="Usman Amin"/>
    <s v="LDN"/>
    <n v="11"/>
    <s v="12"/>
    <s v="LDN"/>
    <n v="550"/>
    <x v="0"/>
    <n v="4"/>
    <n v="288.8"/>
    <n v="5.4"/>
    <m/>
    <x v="0"/>
    <n v="283.40000000000003"/>
    <m/>
    <m/>
    <x v="0"/>
    <x v="0"/>
    <n v="0"/>
    <n v="0"/>
    <x v="0"/>
    <x v="0"/>
    <m/>
    <x v="0"/>
    <x v="0"/>
    <x v="0"/>
    <x v="0"/>
    <x v="0"/>
    <n v="0"/>
    <n v="0"/>
    <n v="0"/>
    <n v="12"/>
    <x v="1"/>
    <x v="0"/>
    <m/>
    <x v="0"/>
    <n v="293.40000000000003"/>
    <x v="0"/>
    <x v="7"/>
    <x v="0"/>
    <x v="0"/>
    <x v="0"/>
  </r>
  <r>
    <x v="1"/>
    <x v="14"/>
    <s v="2215 F"/>
    <x v="113"/>
    <s v="Usman Amin"/>
    <s v="LDN"/>
    <n v="11"/>
    <s v="12"/>
    <s v="LDN"/>
    <n v="550"/>
    <x v="0"/>
    <n v="4"/>
    <n v="228.94"/>
    <n v="5.6"/>
    <m/>
    <x v="0"/>
    <n v="223.34"/>
    <m/>
    <m/>
    <x v="0"/>
    <x v="0"/>
    <n v="0"/>
    <n v="0"/>
    <x v="0"/>
    <x v="0"/>
    <m/>
    <x v="0"/>
    <x v="0"/>
    <x v="0"/>
    <x v="0"/>
    <x v="0"/>
    <n v="0"/>
    <n v="0"/>
    <n v="0"/>
    <n v="12"/>
    <x v="1"/>
    <x v="0"/>
    <m/>
    <x v="0"/>
    <n v="233.34"/>
    <x v="0"/>
    <x v="7"/>
    <x v="0"/>
    <x v="0"/>
    <x v="0"/>
  </r>
  <r>
    <x v="1"/>
    <x v="14"/>
    <s v="2255 F"/>
    <x v="113"/>
    <s v="Usman Amin"/>
    <s v="LDN"/>
    <n v="11"/>
    <s v="7-7.5"/>
    <s v="LDN"/>
    <n v="25"/>
    <x v="0"/>
    <n v="1"/>
    <n v="73.400000000000006"/>
    <n v="2"/>
    <m/>
    <x v="0"/>
    <n v="71.400000000000006"/>
    <m/>
    <m/>
    <x v="0"/>
    <x v="0"/>
    <n v="0"/>
    <n v="0"/>
    <x v="0"/>
    <x v="0"/>
    <m/>
    <x v="0"/>
    <x v="0"/>
    <x v="0"/>
    <x v="0"/>
    <x v="0"/>
    <n v="0"/>
    <n v="0"/>
    <n v="0"/>
    <n v="12"/>
    <x v="1"/>
    <x v="0"/>
    <m/>
    <x v="0"/>
    <n v="81.400000000000006"/>
    <x v="0"/>
    <x v="7"/>
    <x v="0"/>
    <x v="0"/>
    <x v="0"/>
  </r>
  <r>
    <x v="1"/>
    <x v="14"/>
    <s v="2239 F"/>
    <x v="113"/>
    <s v="Usman Amin"/>
    <s v="LDN"/>
    <n v="19"/>
    <s v="14"/>
    <s v="LDN"/>
    <n v="110"/>
    <x v="0"/>
    <n v="1"/>
    <n v="70.28"/>
    <n v="2.2000000000000002"/>
    <m/>
    <x v="0"/>
    <n v="68.08"/>
    <m/>
    <m/>
    <x v="0"/>
    <x v="0"/>
    <n v="0"/>
    <n v="0"/>
    <x v="0"/>
    <x v="0"/>
    <m/>
    <x v="0"/>
    <x v="0"/>
    <x v="0"/>
    <x v="0"/>
    <x v="0"/>
    <n v="0"/>
    <n v="0"/>
    <n v="0"/>
    <n v="12"/>
    <x v="1"/>
    <x v="0"/>
    <m/>
    <x v="0"/>
    <n v="78.08"/>
    <x v="0"/>
    <x v="7"/>
    <x v="0"/>
    <x v="0"/>
    <x v="0"/>
  </r>
  <r>
    <x v="0"/>
    <x v="8"/>
    <s v="4598 J"/>
    <x v="114"/>
    <s v="-"/>
    <m/>
    <m/>
    <m/>
    <m/>
    <m/>
    <x v="0"/>
    <n v="3"/>
    <n v="120.01000000000002"/>
    <n v="3.3000000000000003"/>
    <n v="5"/>
    <x v="0"/>
    <n v="116.71000000000002"/>
    <m/>
    <m/>
    <x v="0"/>
    <x v="0"/>
    <n v="0"/>
    <n v="0"/>
    <x v="0"/>
    <x v="0"/>
    <m/>
    <x v="0"/>
    <x v="0"/>
    <x v="0"/>
    <x v="0"/>
    <x v="0"/>
    <n v="0"/>
    <n v="0"/>
    <n v="0"/>
    <n v="12"/>
    <x v="1"/>
    <x v="0"/>
    <n v="2856.5"/>
    <x v="0"/>
    <n v="126.71000000000002"/>
    <x v="1"/>
    <x v="7"/>
    <x v="0"/>
    <x v="0"/>
    <x v="0"/>
  </r>
  <r>
    <x v="1"/>
    <x v="8"/>
    <s v="4598 J"/>
    <x v="114"/>
    <s v="-"/>
    <m/>
    <m/>
    <m/>
    <m/>
    <m/>
    <x v="0"/>
    <n v="1"/>
    <n v="45.4"/>
    <n v="1"/>
    <m/>
    <x v="0"/>
    <n v="44.4"/>
    <m/>
    <m/>
    <x v="0"/>
    <x v="0"/>
    <n v="0"/>
    <n v="0"/>
    <x v="0"/>
    <x v="0"/>
    <m/>
    <x v="0"/>
    <x v="0"/>
    <x v="0"/>
    <x v="0"/>
    <x v="0"/>
    <n v="0"/>
    <n v="0"/>
    <n v="0"/>
    <n v="12"/>
    <x v="1"/>
    <x v="0"/>
    <m/>
    <x v="0"/>
    <n v="54.4"/>
    <x v="0"/>
    <x v="7"/>
    <x v="0"/>
    <x v="0"/>
    <x v="0"/>
  </r>
  <r>
    <x v="1"/>
    <x v="8"/>
    <s v="4464 J"/>
    <x v="114"/>
    <s v="Usman Arif Butt Gujranwala"/>
    <s v="LDN"/>
    <n v="2.5"/>
    <n v="14"/>
    <s v="LDN"/>
    <n v="300"/>
    <x v="0"/>
    <n v="3"/>
    <n v="59.95"/>
    <n v="5.4"/>
    <m/>
    <x v="0"/>
    <n v="54.550000000000004"/>
    <m/>
    <m/>
    <x v="0"/>
    <x v="0"/>
    <n v="0"/>
    <n v="0"/>
    <x v="0"/>
    <x v="0"/>
    <m/>
    <x v="0"/>
    <x v="0"/>
    <x v="0"/>
    <x v="0"/>
    <x v="0"/>
    <n v="0"/>
    <n v="0"/>
    <n v="0"/>
    <n v="12"/>
    <x v="1"/>
    <x v="0"/>
    <m/>
    <x v="0"/>
    <n v="64.550000000000011"/>
    <x v="0"/>
    <x v="7"/>
    <x v="0"/>
    <x v="0"/>
    <x v="0"/>
  </r>
  <r>
    <x v="0"/>
    <x v="9"/>
    <s v="2783/5"/>
    <x v="114"/>
    <s v="PT-01"/>
    <s v="LD سرخ"/>
    <n v="10"/>
    <n v="80"/>
    <s v="LD سرخ"/>
    <n v="1250"/>
    <x v="0"/>
    <n v="3"/>
    <n v="102.1"/>
    <n v="0.30000000000000004"/>
    <n v="10"/>
    <x v="0"/>
    <n v="101.8"/>
    <m/>
    <n v="5"/>
    <x v="0"/>
    <x v="0"/>
    <n v="5"/>
    <n v="8.3333333333333329E-2"/>
    <x v="0"/>
    <x v="0"/>
    <m/>
    <x v="0"/>
    <x v="0"/>
    <x v="0"/>
    <x v="0"/>
    <x v="0"/>
    <n v="0"/>
    <n v="0"/>
    <n v="8.3333333333333329E-2"/>
    <n v="11.916666666666666"/>
    <x v="1"/>
    <x v="0"/>
    <m/>
    <x v="0"/>
    <n v="111.8"/>
    <x v="0"/>
    <x v="7"/>
    <x v="0"/>
    <x v="0"/>
    <x v="0"/>
  </r>
  <r>
    <x v="0"/>
    <x v="9"/>
    <s v="2783/3"/>
    <x v="114"/>
    <s v="PT-01"/>
    <s v="LD سرخ"/>
    <n v="6"/>
    <n v="80"/>
    <s v="LD سرخ"/>
    <n v="2500"/>
    <x v="0"/>
    <n v="5"/>
    <n v="163"/>
    <n v="3"/>
    <m/>
    <x v="0"/>
    <n v="160"/>
    <m/>
    <m/>
    <x v="0"/>
    <x v="0"/>
    <n v="0"/>
    <n v="0"/>
    <x v="0"/>
    <x v="0"/>
    <m/>
    <x v="0"/>
    <x v="0"/>
    <x v="0"/>
    <x v="0"/>
    <x v="0"/>
    <n v="0"/>
    <n v="0"/>
    <n v="0"/>
    <n v="12"/>
    <x v="1"/>
    <x v="0"/>
    <m/>
    <x v="0"/>
    <n v="170"/>
    <x v="0"/>
    <x v="7"/>
    <x v="0"/>
    <x v="0"/>
    <x v="0"/>
  </r>
  <r>
    <x v="1"/>
    <x v="9"/>
    <s v="2783/3"/>
    <x v="114"/>
    <s v="PT-01"/>
    <s v="LD سرخ"/>
    <n v="6"/>
    <n v="80"/>
    <s v="LD سرخ"/>
    <n v="2500"/>
    <x v="0"/>
    <n v="4"/>
    <n v="129"/>
    <n v="2.4"/>
    <m/>
    <x v="0"/>
    <n v="126.6"/>
    <m/>
    <m/>
    <x v="0"/>
    <x v="0"/>
    <n v="0"/>
    <n v="0"/>
    <x v="0"/>
    <x v="0"/>
    <m/>
    <x v="0"/>
    <x v="0"/>
    <x v="0"/>
    <x v="0"/>
    <x v="0"/>
    <n v="0"/>
    <n v="0"/>
    <n v="0"/>
    <n v="12"/>
    <x v="1"/>
    <x v="0"/>
    <m/>
    <x v="0"/>
    <n v="136.6"/>
    <x v="0"/>
    <x v="7"/>
    <x v="0"/>
    <x v="0"/>
    <x v="0"/>
  </r>
  <r>
    <x v="0"/>
    <x v="10"/>
    <s v="2783/5"/>
    <x v="114"/>
    <s v="PT-01"/>
    <s v="LD سرخ"/>
    <n v="10"/>
    <n v="80"/>
    <s v="LD سرخ"/>
    <n v="1250"/>
    <x v="0"/>
    <n v="10"/>
    <n v="348.72999999999996"/>
    <n v="1"/>
    <n v="10"/>
    <x v="0"/>
    <n v="347.72999999999996"/>
    <m/>
    <m/>
    <x v="0"/>
    <x v="0"/>
    <n v="0"/>
    <n v="0"/>
    <x v="0"/>
    <x v="0"/>
    <m/>
    <x v="1"/>
    <x v="0"/>
    <x v="0"/>
    <x v="0"/>
    <x v="0"/>
    <n v="10"/>
    <n v="0.16666666666666666"/>
    <n v="0.16666666666666666"/>
    <n v="11.833333333333334"/>
    <x v="1"/>
    <x v="0"/>
    <m/>
    <x v="0"/>
    <n v="357.72999999999996"/>
    <x v="0"/>
    <x v="7"/>
    <x v="0"/>
    <x v="0"/>
    <x v="0"/>
  </r>
  <r>
    <x v="1"/>
    <x v="10"/>
    <s v="2783/5"/>
    <x v="114"/>
    <s v="PT-01"/>
    <s v="LD سرخ"/>
    <n v="10"/>
    <n v="80"/>
    <s v="LD سرخ"/>
    <n v="1250"/>
    <x v="0"/>
    <n v="14"/>
    <n v="391.17"/>
    <n v="1.4000000000000001"/>
    <m/>
    <x v="0"/>
    <n v="389.77000000000004"/>
    <m/>
    <m/>
    <x v="0"/>
    <x v="0"/>
    <n v="0"/>
    <n v="0"/>
    <x v="0"/>
    <x v="0"/>
    <m/>
    <x v="0"/>
    <x v="0"/>
    <x v="0"/>
    <x v="0"/>
    <x v="0"/>
    <n v="0"/>
    <n v="0"/>
    <n v="0"/>
    <n v="12"/>
    <x v="1"/>
    <x v="0"/>
    <m/>
    <x v="0"/>
    <n v="399.77000000000004"/>
    <x v="0"/>
    <x v="7"/>
    <x v="0"/>
    <x v="0"/>
    <x v="0"/>
  </r>
  <r>
    <x v="0"/>
    <x v="11"/>
    <s v="4595 J"/>
    <x v="114"/>
    <s v="-"/>
    <m/>
    <m/>
    <m/>
    <m/>
    <m/>
    <x v="0"/>
    <n v="2"/>
    <n v="109.2"/>
    <n v="3.8"/>
    <n v="5"/>
    <x v="0"/>
    <n v="105.4"/>
    <m/>
    <n v="15"/>
    <x v="0"/>
    <x v="0"/>
    <n v="15"/>
    <n v="0.25"/>
    <x v="0"/>
    <x v="0"/>
    <m/>
    <x v="0"/>
    <x v="0"/>
    <x v="0"/>
    <x v="0"/>
    <x v="0"/>
    <n v="0"/>
    <n v="0"/>
    <n v="0.25"/>
    <n v="11.75"/>
    <x v="1"/>
    <x v="0"/>
    <m/>
    <x v="0"/>
    <n v="115.4"/>
    <x v="0"/>
    <x v="7"/>
    <x v="0"/>
    <x v="0"/>
    <x v="0"/>
  </r>
  <r>
    <x v="0"/>
    <x v="11"/>
    <s v="4596 J"/>
    <x v="114"/>
    <s v="-"/>
    <m/>
    <m/>
    <m/>
    <m/>
    <m/>
    <x v="0"/>
    <n v="3"/>
    <n v="176.8"/>
    <n v="4.7"/>
    <m/>
    <x v="0"/>
    <n v="172.10000000000002"/>
    <m/>
    <m/>
    <x v="0"/>
    <x v="0"/>
    <n v="0"/>
    <n v="0"/>
    <x v="0"/>
    <x v="0"/>
    <m/>
    <x v="0"/>
    <x v="0"/>
    <x v="0"/>
    <x v="0"/>
    <x v="0"/>
    <n v="0"/>
    <n v="0"/>
    <n v="0"/>
    <n v="12"/>
    <x v="1"/>
    <x v="0"/>
    <m/>
    <x v="0"/>
    <n v="182.10000000000002"/>
    <x v="0"/>
    <x v="7"/>
    <x v="0"/>
    <x v="0"/>
    <x v="0"/>
  </r>
  <r>
    <x v="1"/>
    <x v="11"/>
    <s v="4579 J"/>
    <x v="114"/>
    <s v="-"/>
    <m/>
    <m/>
    <m/>
    <m/>
    <m/>
    <x v="0"/>
    <n v="3"/>
    <n v="207.8"/>
    <n v="5.3"/>
    <m/>
    <x v="0"/>
    <n v="202.5"/>
    <m/>
    <m/>
    <x v="0"/>
    <x v="0"/>
    <n v="0"/>
    <n v="0"/>
    <x v="0"/>
    <x v="0"/>
    <m/>
    <x v="0"/>
    <x v="0"/>
    <x v="0"/>
    <x v="0"/>
    <x v="0"/>
    <n v="0"/>
    <n v="0"/>
    <n v="0"/>
    <n v="12"/>
    <x v="1"/>
    <x v="0"/>
    <m/>
    <x v="0"/>
    <n v="212.5"/>
    <x v="0"/>
    <x v="7"/>
    <x v="0"/>
    <x v="0"/>
    <x v="0"/>
  </r>
  <r>
    <x v="1"/>
    <x v="11"/>
    <s v="2256 F"/>
    <x v="114"/>
    <s v="Usman Amin"/>
    <s v="LDN"/>
    <n v="15"/>
    <s v="7-7.5"/>
    <s v="LDN"/>
    <n v="65"/>
    <x v="0"/>
    <n v="1"/>
    <n v="43.8"/>
    <n v="1.7"/>
    <m/>
    <x v="0"/>
    <n v="42.099999999999994"/>
    <m/>
    <m/>
    <x v="0"/>
    <x v="0"/>
    <n v="0"/>
    <n v="0"/>
    <x v="0"/>
    <x v="0"/>
    <m/>
    <x v="0"/>
    <x v="0"/>
    <x v="0"/>
    <x v="0"/>
    <x v="0"/>
    <n v="0"/>
    <n v="0"/>
    <n v="0"/>
    <n v="12"/>
    <x v="1"/>
    <x v="0"/>
    <m/>
    <x v="0"/>
    <n v="52.099999999999994"/>
    <x v="0"/>
    <x v="7"/>
    <x v="0"/>
    <x v="0"/>
    <x v="0"/>
  </r>
  <r>
    <x v="0"/>
    <x v="13"/>
    <s v="4500 J"/>
    <x v="114"/>
    <s v="-"/>
    <m/>
    <m/>
    <m/>
    <m/>
    <m/>
    <x v="0"/>
    <n v="2"/>
    <n v="218"/>
    <n v="4.8"/>
    <n v="100"/>
    <x v="0"/>
    <n v="213.2"/>
    <m/>
    <m/>
    <x v="0"/>
    <x v="0"/>
    <n v="0"/>
    <n v="0"/>
    <x v="0"/>
    <x v="0"/>
    <m/>
    <x v="0"/>
    <x v="2"/>
    <x v="0"/>
    <x v="2"/>
    <x v="0"/>
    <n v="110"/>
    <n v="1.8333333333333333"/>
    <n v="1.8333333333333333"/>
    <n v="10.166666666666666"/>
    <x v="1"/>
    <x v="0"/>
    <m/>
    <x v="0"/>
    <n v="223.2"/>
    <x v="0"/>
    <x v="7"/>
    <x v="0"/>
    <x v="0"/>
    <x v="0"/>
  </r>
  <r>
    <x v="0"/>
    <x v="13"/>
    <s v="4499 J"/>
    <x v="114"/>
    <s v="Chairman Foam Pvt Ltd."/>
    <s v="LDM"/>
    <s v="20 شیٹ"/>
    <s v="7-7.5/14-15"/>
    <s v="LDM"/>
    <n v="3000"/>
    <x v="0"/>
    <n v="4"/>
    <n v="343.40000000000003"/>
    <n v="10"/>
    <m/>
    <x v="0"/>
    <n v="333.40000000000003"/>
    <m/>
    <m/>
    <x v="0"/>
    <x v="0"/>
    <n v="0"/>
    <n v="0"/>
    <x v="0"/>
    <x v="0"/>
    <m/>
    <x v="0"/>
    <x v="0"/>
    <x v="0"/>
    <x v="0"/>
    <x v="0"/>
    <n v="0"/>
    <n v="0"/>
    <n v="0"/>
    <n v="12"/>
    <x v="1"/>
    <x v="0"/>
    <m/>
    <x v="0"/>
    <n v="343.40000000000003"/>
    <x v="0"/>
    <x v="7"/>
    <x v="0"/>
    <x v="0"/>
    <x v="0"/>
  </r>
  <r>
    <x v="1"/>
    <x v="13"/>
    <s v="4499 J"/>
    <x v="114"/>
    <s v="Chairman Foam Pvt Ltd."/>
    <s v="LDM"/>
    <s v="20 شیٹ"/>
    <s v="7-7.5/14-15"/>
    <s v="LDM"/>
    <n v="3000"/>
    <x v="0"/>
    <n v="6"/>
    <n v="545.80000000000007"/>
    <n v="15"/>
    <m/>
    <x v="0"/>
    <n v="530.80000000000007"/>
    <m/>
    <m/>
    <x v="0"/>
    <x v="0"/>
    <n v="0"/>
    <n v="0"/>
    <x v="0"/>
    <x v="0"/>
    <m/>
    <x v="0"/>
    <x v="0"/>
    <x v="0"/>
    <x v="0"/>
    <x v="0"/>
    <n v="0"/>
    <n v="0"/>
    <n v="0"/>
    <n v="12"/>
    <x v="1"/>
    <x v="0"/>
    <m/>
    <x v="0"/>
    <n v="540.80000000000007"/>
    <x v="0"/>
    <x v="7"/>
    <x v="0"/>
    <x v="0"/>
    <x v="0"/>
  </r>
  <r>
    <x v="0"/>
    <x v="12"/>
    <s v="4654 J"/>
    <x v="114"/>
    <s v="RMC PACK"/>
    <s v="LD پیلا"/>
    <s v="14+4+4"/>
    <s v="7.5"/>
    <s v="LDM"/>
    <n v="300"/>
    <x v="0"/>
    <n v="6"/>
    <n v="173.79999999999998"/>
    <n v="10.8"/>
    <n v="25"/>
    <x v="0"/>
    <n v="162.99999999999997"/>
    <m/>
    <n v="15"/>
    <x v="0"/>
    <x v="0"/>
    <n v="15"/>
    <n v="0.25"/>
    <x v="0"/>
    <x v="0"/>
    <m/>
    <x v="0"/>
    <x v="0"/>
    <x v="0"/>
    <x v="0"/>
    <x v="0"/>
    <n v="0"/>
    <n v="0"/>
    <n v="0.25"/>
    <n v="11.75"/>
    <x v="1"/>
    <x v="0"/>
    <m/>
    <x v="0"/>
    <n v="172.99999999999997"/>
    <x v="0"/>
    <x v="7"/>
    <x v="0"/>
    <x v="0"/>
    <x v="0"/>
  </r>
  <r>
    <x v="0"/>
    <x v="12"/>
    <s v="4630 J"/>
    <x v="114"/>
    <s v="Mughal Plastic Store Layyah"/>
    <s v="LD پیلا"/>
    <n v="18"/>
    <s v="15-16"/>
    <s v="LDM"/>
    <n v="100"/>
    <x v="0"/>
    <n v="2"/>
    <n v="109.2"/>
    <n v="4.4000000000000004"/>
    <m/>
    <x v="0"/>
    <n v="104.8"/>
    <m/>
    <m/>
    <x v="0"/>
    <x v="0"/>
    <n v="0"/>
    <n v="0"/>
    <x v="0"/>
    <x v="0"/>
    <m/>
    <x v="0"/>
    <x v="0"/>
    <x v="0"/>
    <x v="0"/>
    <x v="0"/>
    <n v="0"/>
    <n v="0"/>
    <n v="0"/>
    <n v="12"/>
    <x v="1"/>
    <x v="0"/>
    <m/>
    <x v="0"/>
    <n v="114.8"/>
    <x v="0"/>
    <x v="7"/>
    <x v="0"/>
    <x v="0"/>
    <x v="0"/>
  </r>
  <r>
    <x v="0"/>
    <x v="12"/>
    <s v="4656 J"/>
    <x v="114"/>
    <s v="Karss Paint Industry Pvt LTD"/>
    <s v="LD پیلا"/>
    <n v="17"/>
    <s v="-"/>
    <s v="LDM"/>
    <n v="580"/>
    <x v="0"/>
    <n v="1"/>
    <n v="247.2"/>
    <n v="2.2000000000000002"/>
    <m/>
    <x v="0"/>
    <n v="245"/>
    <m/>
    <m/>
    <x v="0"/>
    <x v="0"/>
    <n v="0"/>
    <n v="0"/>
    <x v="0"/>
    <x v="0"/>
    <m/>
    <x v="0"/>
    <x v="0"/>
    <x v="0"/>
    <x v="0"/>
    <x v="0"/>
    <n v="0"/>
    <n v="0"/>
    <n v="0"/>
    <n v="12"/>
    <x v="1"/>
    <x v="0"/>
    <m/>
    <x v="0"/>
    <n v="255"/>
    <x v="0"/>
    <x v="7"/>
    <x v="0"/>
    <x v="0"/>
    <x v="0"/>
  </r>
  <r>
    <x v="0"/>
    <x v="12"/>
    <s v="4654 J"/>
    <x v="114"/>
    <s v="RMC PACK"/>
    <s v="LD پیلا"/>
    <s v="14+4+4"/>
    <s v="7.5"/>
    <s v="LDM"/>
    <n v="300"/>
    <x v="0"/>
    <n v="2"/>
    <n v="45.2"/>
    <n v="3.6"/>
    <m/>
    <x v="0"/>
    <n v="41.6"/>
    <m/>
    <m/>
    <x v="0"/>
    <x v="0"/>
    <n v="0"/>
    <n v="0"/>
    <x v="0"/>
    <x v="0"/>
    <m/>
    <x v="0"/>
    <x v="0"/>
    <x v="0"/>
    <x v="0"/>
    <x v="0"/>
    <n v="0"/>
    <n v="0"/>
    <n v="0"/>
    <n v="12"/>
    <x v="1"/>
    <x v="0"/>
    <m/>
    <x v="0"/>
    <n v="51.6"/>
    <x v="0"/>
    <x v="7"/>
    <x v="0"/>
    <x v="0"/>
    <x v="0"/>
  </r>
  <r>
    <x v="1"/>
    <x v="12"/>
    <s v="4656 J"/>
    <x v="114"/>
    <s v="Karss Paint Industry Pvt LTD"/>
    <s v="LD پیلا"/>
    <n v="17"/>
    <s v="-"/>
    <s v="LDM"/>
    <n v="580"/>
    <x v="0"/>
    <n v="2"/>
    <n v="371"/>
    <n v="4.4000000000000004"/>
    <n v="40"/>
    <x v="0"/>
    <n v="366.6"/>
    <m/>
    <n v="60"/>
    <x v="0"/>
    <x v="0"/>
    <n v="60"/>
    <n v="1"/>
    <x v="0"/>
    <x v="0"/>
    <m/>
    <x v="0"/>
    <x v="0"/>
    <x v="0"/>
    <x v="0"/>
    <x v="0"/>
    <n v="0"/>
    <n v="0"/>
    <n v="1"/>
    <n v="11"/>
    <x v="1"/>
    <x v="0"/>
    <m/>
    <x v="0"/>
    <n v="376.6"/>
    <x v="0"/>
    <x v="7"/>
    <x v="0"/>
    <x v="0"/>
    <x v="0"/>
  </r>
  <r>
    <x v="1"/>
    <x v="12"/>
    <s v="4655 J"/>
    <x v="114"/>
    <s v="RMC PACK"/>
    <s v="LD کریم"/>
    <s v="8+2.5+2.5"/>
    <s v="7.5"/>
    <s v="LDM"/>
    <n v="100"/>
    <x v="0"/>
    <n v="5"/>
    <n v="140"/>
    <n v="5"/>
    <m/>
    <x v="0"/>
    <n v="135"/>
    <m/>
    <m/>
    <x v="0"/>
    <x v="0"/>
    <n v="0"/>
    <n v="0"/>
    <x v="0"/>
    <x v="0"/>
    <m/>
    <x v="0"/>
    <x v="0"/>
    <x v="0"/>
    <x v="0"/>
    <x v="0"/>
    <n v="0"/>
    <n v="0"/>
    <n v="0"/>
    <n v="12"/>
    <x v="1"/>
    <x v="0"/>
    <m/>
    <x v="0"/>
    <n v="145"/>
    <x v="0"/>
    <x v="7"/>
    <x v="0"/>
    <x v="0"/>
    <x v="0"/>
  </r>
  <r>
    <x v="0"/>
    <x v="14"/>
    <s v="2795/1"/>
    <x v="114"/>
    <s v="ENGRO ZARKHEZ"/>
    <s v="LDN"/>
    <s v="24-24.5"/>
    <s v="60±1"/>
    <s v="LDN"/>
    <n v="0"/>
    <x v="0"/>
    <n v="4"/>
    <n v="505.91999999999996"/>
    <n v="12"/>
    <m/>
    <x v="0"/>
    <n v="493.91999999999996"/>
    <m/>
    <m/>
    <x v="0"/>
    <x v="0"/>
    <n v="0"/>
    <n v="0"/>
    <x v="0"/>
    <x v="0"/>
    <m/>
    <x v="0"/>
    <x v="0"/>
    <x v="0"/>
    <x v="0"/>
    <x v="0"/>
    <n v="0"/>
    <n v="0"/>
    <n v="0"/>
    <n v="12"/>
    <x v="1"/>
    <x v="0"/>
    <m/>
    <x v="0"/>
    <n v="503.91999999999996"/>
    <x v="0"/>
    <x v="7"/>
    <x v="0"/>
    <x v="0"/>
    <x v="0"/>
  </r>
  <r>
    <x v="1"/>
    <x v="14"/>
    <s v="2238 F"/>
    <x v="114"/>
    <s v="Usman Amin"/>
    <s v="LDN"/>
    <n v="19"/>
    <s v="14"/>
    <s v="LDN"/>
    <n v="160"/>
    <x v="0"/>
    <n v="1"/>
    <n v="92.8"/>
    <n v="2.1"/>
    <n v="5"/>
    <x v="0"/>
    <n v="90.7"/>
    <m/>
    <n v="10"/>
    <x v="0"/>
    <x v="0"/>
    <n v="10"/>
    <n v="0.16666666666666666"/>
    <x v="0"/>
    <x v="0"/>
    <n v="120"/>
    <x v="0"/>
    <x v="0"/>
    <x v="0"/>
    <x v="0"/>
    <x v="0"/>
    <n v="120"/>
    <n v="2"/>
    <n v="2.1666666666666665"/>
    <n v="9.8333333333333339"/>
    <x v="1"/>
    <x v="0"/>
    <m/>
    <x v="0"/>
    <n v="100.7"/>
    <x v="0"/>
    <x v="7"/>
    <x v="0"/>
    <x v="0"/>
    <x v="0"/>
  </r>
  <r>
    <x v="1"/>
    <x v="14"/>
    <s v="2239 F"/>
    <x v="114"/>
    <s v="Usman Amin"/>
    <s v="LDN"/>
    <n v="19"/>
    <s v="14"/>
    <s v="LDN"/>
    <n v="110"/>
    <x v="0"/>
    <n v="1"/>
    <n v="54"/>
    <n v="2.1"/>
    <m/>
    <x v="0"/>
    <n v="51.9"/>
    <m/>
    <m/>
    <x v="0"/>
    <x v="0"/>
    <n v="0"/>
    <n v="0"/>
    <x v="0"/>
    <x v="0"/>
    <m/>
    <x v="0"/>
    <x v="0"/>
    <x v="0"/>
    <x v="0"/>
    <x v="0"/>
    <n v="0"/>
    <n v="0"/>
    <n v="0"/>
    <n v="12"/>
    <x v="1"/>
    <x v="0"/>
    <m/>
    <x v="0"/>
    <n v="61.9"/>
    <x v="0"/>
    <x v="7"/>
    <x v="0"/>
    <x v="0"/>
    <x v="0"/>
  </r>
  <r>
    <x v="1"/>
    <x v="14"/>
    <s v="2227 F"/>
    <x v="114"/>
    <s v="Usman Amin"/>
    <s v="LDN"/>
    <n v="19"/>
    <s v="5.5-6"/>
    <s v="LDN"/>
    <n v="190"/>
    <x v="0"/>
    <n v="2"/>
    <n v="98"/>
    <n v="4.4000000000000004"/>
    <m/>
    <x v="0"/>
    <n v="93.6"/>
    <m/>
    <m/>
    <x v="0"/>
    <x v="0"/>
    <n v="0"/>
    <n v="0"/>
    <x v="0"/>
    <x v="0"/>
    <m/>
    <x v="0"/>
    <x v="0"/>
    <x v="0"/>
    <x v="0"/>
    <x v="0"/>
    <n v="0"/>
    <n v="0"/>
    <n v="0"/>
    <n v="12"/>
    <x v="1"/>
    <x v="0"/>
    <m/>
    <x v="0"/>
    <n v="103.6"/>
    <x v="0"/>
    <x v="7"/>
    <x v="0"/>
    <x v="0"/>
    <x v="0"/>
  </r>
  <r>
    <x v="1"/>
    <x v="14"/>
    <s v="2795/1"/>
    <x v="114"/>
    <s v="ENGRO ZARKHEZ"/>
    <s v="LDN"/>
    <s v="24-24.5"/>
    <s v="60±1"/>
    <s v="LDN"/>
    <n v="0"/>
    <x v="0"/>
    <n v="1"/>
    <n v="115"/>
    <n v="2.4"/>
    <m/>
    <x v="0"/>
    <n v="112.6"/>
    <m/>
    <m/>
    <x v="0"/>
    <x v="0"/>
    <n v="0"/>
    <n v="0"/>
    <x v="0"/>
    <x v="0"/>
    <m/>
    <x v="0"/>
    <x v="0"/>
    <x v="0"/>
    <x v="0"/>
    <x v="0"/>
    <n v="0"/>
    <n v="0"/>
    <n v="0"/>
    <n v="12"/>
    <x v="1"/>
    <x v="0"/>
    <m/>
    <x v="0"/>
    <n v="122.6"/>
    <x v="0"/>
    <x v="7"/>
    <x v="0"/>
    <x v="0"/>
    <x v="0"/>
  </r>
  <r>
    <x v="0"/>
    <x v="8"/>
    <s v="4464 J"/>
    <x v="115"/>
    <s v="Usman Arif Butt Gujranwala"/>
    <s v="LDN"/>
    <n v="2.5"/>
    <n v="14"/>
    <s v="LDN"/>
    <n v="300"/>
    <x v="0"/>
    <n v="4"/>
    <n v="83.81"/>
    <n v="0.4"/>
    <n v="60"/>
    <x v="0"/>
    <n v="83.41"/>
    <n v="306.68000000000006"/>
    <n v="4"/>
    <x v="0"/>
    <x v="0"/>
    <n v="4"/>
    <n v="6.6666666666666666E-2"/>
    <x v="0"/>
    <x v="0"/>
    <m/>
    <x v="0"/>
    <x v="0"/>
    <x v="0"/>
    <x v="0"/>
    <x v="0"/>
    <n v="0"/>
    <n v="0"/>
    <n v="6.6666666666666666E-2"/>
    <n v="11.933333333333334"/>
    <x v="1"/>
    <x v="0"/>
    <n v="2836.5"/>
    <x v="0"/>
    <n v="93.41"/>
    <x v="1"/>
    <x v="7"/>
    <x v="0"/>
    <x v="0"/>
    <x v="0"/>
  </r>
  <r>
    <x v="0"/>
    <x v="8"/>
    <s v="4533 J"/>
    <x v="115"/>
    <s v="-"/>
    <m/>
    <m/>
    <m/>
    <m/>
    <m/>
    <x v="0"/>
    <n v="1"/>
    <n v="26.25"/>
    <n v="0.8"/>
    <m/>
    <x v="0"/>
    <n v="25.45"/>
    <n v="968.06999999999994"/>
    <m/>
    <x v="0"/>
    <x v="0"/>
    <n v="0"/>
    <n v="0"/>
    <x v="0"/>
    <x v="0"/>
    <m/>
    <x v="0"/>
    <x v="0"/>
    <x v="0"/>
    <x v="0"/>
    <x v="0"/>
    <n v="0"/>
    <n v="0"/>
    <n v="0"/>
    <n v="12"/>
    <x v="1"/>
    <x v="0"/>
    <m/>
    <x v="0"/>
    <n v="35.450000000000003"/>
    <x v="0"/>
    <x v="7"/>
    <x v="0"/>
    <x v="0"/>
    <x v="0"/>
  </r>
  <r>
    <x v="1"/>
    <x v="8"/>
    <s v="4464 J"/>
    <x v="115"/>
    <s v="Usman Arif Butt Gujranwala"/>
    <s v="LDN"/>
    <n v="2.5"/>
    <n v="14"/>
    <s v="LDN"/>
    <n v="300"/>
    <x v="0"/>
    <n v="4"/>
    <n v="74.290000000000006"/>
    <n v="1.6"/>
    <n v="80"/>
    <x v="0"/>
    <n v="72.690000000000012"/>
    <n v="306.68000000000006"/>
    <m/>
    <x v="0"/>
    <x v="0"/>
    <n v="0"/>
    <n v="0"/>
    <x v="0"/>
    <x v="0"/>
    <m/>
    <x v="0"/>
    <x v="0"/>
    <x v="0"/>
    <x v="0"/>
    <x v="0"/>
    <n v="0"/>
    <n v="0"/>
    <n v="0"/>
    <n v="12"/>
    <x v="1"/>
    <x v="0"/>
    <m/>
    <x v="0"/>
    <n v="82.690000000000012"/>
    <x v="0"/>
    <x v="7"/>
    <x v="0"/>
    <x v="0"/>
    <x v="0"/>
  </r>
  <r>
    <x v="0"/>
    <x v="9"/>
    <s v="2783/3"/>
    <x v="115"/>
    <s v="PT-01"/>
    <s v="LD سرخ"/>
    <n v="6"/>
    <n v="80"/>
    <s v="LD سرخ"/>
    <n v="2500"/>
    <x v="0"/>
    <n v="8"/>
    <n v="197.70000000000002"/>
    <n v="0.8"/>
    <m/>
    <x v="0"/>
    <n v="196.9"/>
    <n v="2519.75"/>
    <m/>
    <x v="0"/>
    <x v="0"/>
    <n v="0"/>
    <n v="0"/>
    <x v="0"/>
    <x v="0"/>
    <m/>
    <x v="0"/>
    <x v="0"/>
    <x v="0"/>
    <x v="0"/>
    <x v="0"/>
    <n v="0"/>
    <n v="0"/>
    <n v="0"/>
    <n v="12"/>
    <x v="1"/>
    <x v="0"/>
    <m/>
    <x v="0"/>
    <n v="206.9"/>
    <x v="0"/>
    <x v="7"/>
    <x v="0"/>
    <x v="0"/>
    <x v="0"/>
  </r>
  <r>
    <x v="1"/>
    <x v="9"/>
    <s v="2783/3"/>
    <x v="115"/>
    <s v="PT-01"/>
    <s v="LD سرخ"/>
    <n v="6"/>
    <n v="80"/>
    <s v="LD سرخ"/>
    <n v="2500"/>
    <x v="0"/>
    <n v="8"/>
    <n v="217.9"/>
    <n v="0.8"/>
    <m/>
    <x v="0"/>
    <n v="217.1"/>
    <n v="2519.75"/>
    <m/>
    <x v="0"/>
    <x v="0"/>
    <n v="0"/>
    <n v="0"/>
    <x v="0"/>
    <x v="0"/>
    <m/>
    <x v="0"/>
    <x v="0"/>
    <x v="0"/>
    <x v="0"/>
    <x v="0"/>
    <n v="0"/>
    <n v="0"/>
    <n v="0"/>
    <n v="12"/>
    <x v="1"/>
    <x v="0"/>
    <m/>
    <x v="0"/>
    <n v="227.1"/>
    <x v="0"/>
    <x v="7"/>
    <x v="0"/>
    <x v="0"/>
    <x v="0"/>
  </r>
  <r>
    <x v="0"/>
    <x v="10"/>
    <s v="2783/5"/>
    <x v="115"/>
    <s v="PT-01"/>
    <s v="LD سرخ"/>
    <n v="10"/>
    <n v="80"/>
    <s v="LD سرخ"/>
    <n v="1250"/>
    <x v="0"/>
    <n v="13"/>
    <n v="390.51000000000005"/>
    <n v="13"/>
    <m/>
    <x v="0"/>
    <n v="377.51000000000005"/>
    <n v="2951.4700000000003"/>
    <n v="20"/>
    <x v="0"/>
    <x v="0"/>
    <n v="20"/>
    <n v="0.33333333333333331"/>
    <x v="0"/>
    <x v="0"/>
    <m/>
    <x v="0"/>
    <x v="0"/>
    <x v="0"/>
    <x v="0"/>
    <x v="0"/>
    <n v="0"/>
    <n v="0"/>
    <n v="0.33333333333333331"/>
    <n v="11.666666666666666"/>
    <x v="1"/>
    <x v="0"/>
    <m/>
    <x v="0"/>
    <n v="387.51000000000005"/>
    <x v="0"/>
    <x v="7"/>
    <x v="0"/>
    <x v="0"/>
    <x v="0"/>
  </r>
  <r>
    <x v="1"/>
    <x v="10"/>
    <s v="2783/5"/>
    <x v="115"/>
    <s v="PT-01"/>
    <s v="LD سرخ"/>
    <n v="10"/>
    <n v="80"/>
    <s v="LD سرخ"/>
    <n v="1250"/>
    <x v="0"/>
    <n v="13"/>
    <n v="394.09999999999997"/>
    <n v="13"/>
    <m/>
    <x v="0"/>
    <n v="381.09999999999997"/>
    <n v="2951.4700000000003"/>
    <m/>
    <x v="0"/>
    <x v="0"/>
    <n v="0"/>
    <n v="0"/>
    <x v="0"/>
    <x v="0"/>
    <m/>
    <x v="0"/>
    <x v="0"/>
    <x v="0"/>
    <x v="0"/>
    <x v="0"/>
    <n v="0"/>
    <n v="0"/>
    <n v="0"/>
    <n v="12"/>
    <x v="1"/>
    <x v="0"/>
    <m/>
    <x v="0"/>
    <n v="391.09999999999997"/>
    <x v="0"/>
    <x v="7"/>
    <x v="0"/>
    <x v="0"/>
    <x v="0"/>
  </r>
  <r>
    <x v="0"/>
    <x v="11"/>
    <s v="2256 F"/>
    <x v="115"/>
    <s v="Usman Amin"/>
    <s v="LDN"/>
    <n v="15"/>
    <s v="7-7.5"/>
    <s v="LDN"/>
    <n v="65"/>
    <x v="0"/>
    <n v="1"/>
    <n v="65.8"/>
    <n v="1"/>
    <m/>
    <x v="0"/>
    <n v="64.8"/>
    <n v="106.89999999999999"/>
    <m/>
    <x v="0"/>
    <x v="0"/>
    <n v="0"/>
    <n v="0"/>
    <x v="0"/>
    <x v="0"/>
    <m/>
    <x v="0"/>
    <x v="0"/>
    <x v="0"/>
    <x v="10"/>
    <x v="0"/>
    <n v="35"/>
    <n v="0.58333333333333337"/>
    <n v="0.58333333333333337"/>
    <n v="11.416666666666666"/>
    <x v="1"/>
    <x v="0"/>
    <m/>
    <x v="0"/>
    <n v="74.8"/>
    <x v="0"/>
    <x v="7"/>
    <x v="0"/>
    <x v="0"/>
    <x v="0"/>
  </r>
  <r>
    <x v="0"/>
    <x v="11"/>
    <s v="2258 F"/>
    <x v="115"/>
    <s v="Usman Amin"/>
    <s v="LDN"/>
    <n v="16"/>
    <s v="7-7.5"/>
    <s v="LDN"/>
    <n v="115"/>
    <x v="0"/>
    <n v="2"/>
    <n v="120.2"/>
    <n v="3.8"/>
    <m/>
    <x v="0"/>
    <n v="116.4"/>
    <n v="116.4"/>
    <m/>
    <x v="0"/>
    <x v="0"/>
    <n v="0"/>
    <n v="0"/>
    <x v="0"/>
    <x v="0"/>
    <m/>
    <x v="0"/>
    <x v="0"/>
    <x v="0"/>
    <x v="0"/>
    <x v="0"/>
    <n v="0"/>
    <n v="0"/>
    <n v="0"/>
    <n v="12"/>
    <x v="1"/>
    <x v="0"/>
    <m/>
    <x v="0"/>
    <n v="126.4"/>
    <x v="0"/>
    <x v="7"/>
    <x v="0"/>
    <x v="0"/>
    <x v="0"/>
  </r>
  <r>
    <x v="0"/>
    <x v="11"/>
    <s v="2254 F"/>
    <x v="115"/>
    <s v="Usman Amin"/>
    <s v="LDN"/>
    <n v="19"/>
    <s v="8-8.5"/>
    <s v="LDN"/>
    <n v="85"/>
    <x v="0"/>
    <n v="1"/>
    <n v="39.4"/>
    <n v="2.1"/>
    <m/>
    <x v="0"/>
    <n v="37.299999999999997"/>
    <n v="178.1"/>
    <m/>
    <x v="0"/>
    <x v="0"/>
    <n v="0"/>
    <n v="0"/>
    <x v="0"/>
    <x v="0"/>
    <m/>
    <x v="0"/>
    <x v="0"/>
    <x v="0"/>
    <x v="0"/>
    <x v="0"/>
    <n v="0"/>
    <n v="0"/>
    <n v="0"/>
    <n v="12"/>
    <x v="1"/>
    <x v="0"/>
    <m/>
    <x v="0"/>
    <n v="47.3"/>
    <x v="0"/>
    <x v="7"/>
    <x v="0"/>
    <x v="0"/>
    <x v="0"/>
  </r>
  <r>
    <x v="1"/>
    <x v="11"/>
    <s v="2254 F"/>
    <x v="115"/>
    <s v="Usman Amin"/>
    <s v="LDN"/>
    <n v="19"/>
    <s v="8-8.5"/>
    <s v="LDN"/>
    <n v="85"/>
    <x v="0"/>
    <n v="1"/>
    <n v="53.2"/>
    <n v="2.2000000000000002"/>
    <m/>
    <x v="0"/>
    <n v="51"/>
    <n v="178.1"/>
    <m/>
    <x v="0"/>
    <x v="0"/>
    <n v="0"/>
    <n v="0"/>
    <x v="0"/>
    <x v="0"/>
    <m/>
    <x v="0"/>
    <x v="0"/>
    <x v="2"/>
    <x v="0"/>
    <x v="0"/>
    <n v="20"/>
    <n v="0.33333333333333331"/>
    <n v="0.33333333333333331"/>
    <n v="11.666666666666666"/>
    <x v="1"/>
    <x v="0"/>
    <m/>
    <x v="0"/>
    <n v="61"/>
    <x v="0"/>
    <x v="7"/>
    <x v="0"/>
    <x v="0"/>
    <x v="0"/>
  </r>
  <r>
    <x v="1"/>
    <x v="11"/>
    <s v="4665 J"/>
    <x v="115"/>
    <s v="Hamza Plastic Peshawar"/>
    <s v="LDN"/>
    <n v="20"/>
    <s v="8-8.5"/>
    <s v="LDN"/>
    <n v="300"/>
    <x v="0"/>
    <n v="3"/>
    <n v="212.20000000000002"/>
    <n v="7.1999999999999993"/>
    <m/>
    <x v="0"/>
    <n v="205.00000000000003"/>
    <n v="317.60000000000002"/>
    <m/>
    <x v="0"/>
    <x v="0"/>
    <n v="0"/>
    <n v="0"/>
    <x v="0"/>
    <x v="0"/>
    <m/>
    <x v="0"/>
    <x v="0"/>
    <x v="0"/>
    <x v="0"/>
    <x v="0"/>
    <n v="0"/>
    <n v="0"/>
    <n v="0"/>
    <n v="12"/>
    <x v="1"/>
    <x v="0"/>
    <m/>
    <x v="0"/>
    <n v="215.00000000000003"/>
    <x v="0"/>
    <x v="7"/>
    <x v="0"/>
    <x v="0"/>
    <x v="0"/>
  </r>
  <r>
    <x v="0"/>
    <x v="13"/>
    <s v="4499 J"/>
    <x v="115"/>
    <s v="Chairman Foam Pvt Ltd."/>
    <s v="LDM"/>
    <s v="20 شیٹ"/>
    <s v="7-7.5/14-15"/>
    <s v="LDM"/>
    <n v="3000"/>
    <x v="0"/>
    <n v="6"/>
    <n v="386.40000000000003"/>
    <n v="15"/>
    <m/>
    <x v="0"/>
    <n v="371.40000000000003"/>
    <n v="3009.32"/>
    <m/>
    <x v="0"/>
    <x v="0"/>
    <n v="0"/>
    <n v="0"/>
    <x v="0"/>
    <x v="0"/>
    <m/>
    <x v="7"/>
    <x v="0"/>
    <x v="0"/>
    <x v="1"/>
    <x v="0"/>
    <n v="60"/>
    <n v="1"/>
    <n v="1"/>
    <n v="11"/>
    <x v="1"/>
    <x v="0"/>
    <m/>
    <x v="0"/>
    <n v="381.40000000000003"/>
    <x v="0"/>
    <x v="7"/>
    <x v="0"/>
    <x v="0"/>
    <x v="0"/>
  </r>
  <r>
    <x v="1"/>
    <x v="13"/>
    <s v="4499 J"/>
    <x v="115"/>
    <s v="Chairman Foam Pvt Ltd."/>
    <s v="LDM"/>
    <s v="20 شیٹ"/>
    <s v="7-7.5/14-15"/>
    <s v="LDM"/>
    <n v="3000"/>
    <x v="0"/>
    <n v="6"/>
    <n v="474.20000000000005"/>
    <n v="12.3"/>
    <m/>
    <x v="0"/>
    <n v="461.90000000000003"/>
    <n v="3009.32"/>
    <m/>
    <x v="0"/>
    <x v="0"/>
    <n v="0"/>
    <n v="0"/>
    <x v="0"/>
    <x v="0"/>
    <m/>
    <x v="0"/>
    <x v="0"/>
    <x v="0"/>
    <x v="0"/>
    <x v="0"/>
    <n v="0"/>
    <n v="0"/>
    <n v="0"/>
    <n v="12"/>
    <x v="1"/>
    <x v="0"/>
    <m/>
    <x v="0"/>
    <n v="471.90000000000003"/>
    <x v="0"/>
    <x v="7"/>
    <x v="0"/>
    <x v="0"/>
    <x v="0"/>
  </r>
  <r>
    <x v="0"/>
    <x v="12"/>
    <s v="4491 J"/>
    <x v="115"/>
    <s v="M. Imran Pakistan Market Lahore"/>
    <s v="LD گرے"/>
    <n v="19"/>
    <s v="13.5-14"/>
    <s v="LDM"/>
    <n v="200"/>
    <x v="0"/>
    <n v="3"/>
    <n v="216.3"/>
    <n v="6.6000000000000005"/>
    <m/>
    <x v="0"/>
    <n v="209.70000000000002"/>
    <n v="209.70000000000002"/>
    <n v="45"/>
    <x v="0"/>
    <x v="0"/>
    <n v="45"/>
    <n v="0.75"/>
    <x v="0"/>
    <x v="0"/>
    <m/>
    <x v="0"/>
    <x v="0"/>
    <x v="0"/>
    <x v="0"/>
    <x v="0"/>
    <n v="0"/>
    <n v="0"/>
    <n v="0.75"/>
    <n v="11.25"/>
    <x v="1"/>
    <x v="0"/>
    <m/>
    <x v="0"/>
    <n v="219.70000000000002"/>
    <x v="0"/>
    <x v="7"/>
    <x v="0"/>
    <x v="0"/>
    <x v="0"/>
  </r>
  <r>
    <x v="0"/>
    <x v="12"/>
    <s v="PACKING"/>
    <x v="115"/>
    <s v="-"/>
    <m/>
    <n v="30"/>
    <m/>
    <m/>
    <m/>
    <x v="0"/>
    <n v="1"/>
    <n v="75.599999999999994"/>
    <n v="3"/>
    <m/>
    <x v="0"/>
    <n v="72.599999999999994"/>
    <n v="2074.5"/>
    <m/>
    <x v="0"/>
    <x v="0"/>
    <n v="0"/>
    <n v="0"/>
    <x v="0"/>
    <x v="0"/>
    <m/>
    <x v="0"/>
    <x v="0"/>
    <x v="0"/>
    <x v="0"/>
    <x v="0"/>
    <n v="0"/>
    <n v="0"/>
    <n v="0"/>
    <n v="12"/>
    <x v="1"/>
    <x v="0"/>
    <m/>
    <x v="0"/>
    <n v="82.6"/>
    <x v="0"/>
    <x v="7"/>
    <x v="0"/>
    <x v="0"/>
    <x v="0"/>
  </r>
  <r>
    <x v="0"/>
    <x v="12"/>
    <s v="4564 J"/>
    <x v="115"/>
    <s v="-"/>
    <m/>
    <m/>
    <m/>
    <m/>
    <m/>
    <x v="0"/>
    <n v="6"/>
    <n v="320.65000000000003"/>
    <n v="14.8"/>
    <m/>
    <x v="0"/>
    <n v="305.85000000000002"/>
    <n v="305.85000000000002"/>
    <m/>
    <x v="0"/>
    <x v="0"/>
    <n v="0"/>
    <n v="0"/>
    <x v="0"/>
    <x v="0"/>
    <m/>
    <x v="0"/>
    <x v="0"/>
    <x v="0"/>
    <x v="0"/>
    <x v="0"/>
    <n v="0"/>
    <n v="0"/>
    <n v="0"/>
    <n v="12"/>
    <x v="1"/>
    <x v="0"/>
    <m/>
    <x v="0"/>
    <n v="315.85000000000002"/>
    <x v="0"/>
    <x v="7"/>
    <x v="0"/>
    <x v="0"/>
    <x v="0"/>
  </r>
  <r>
    <x v="1"/>
    <x v="12"/>
    <s v="264 R"/>
    <x v="115"/>
    <s v="ریفلیکٹ پیک"/>
    <s v="LDN"/>
    <n v="20"/>
    <s v="13-14"/>
    <s v="LDN"/>
    <n v="3000"/>
    <x v="0"/>
    <n v="6"/>
    <n v="644.79999999999995"/>
    <n v="15.600000000000001"/>
    <m/>
    <x v="0"/>
    <n v="629.19999999999993"/>
    <n v="2861.7999999999997"/>
    <m/>
    <x v="0"/>
    <x v="0"/>
    <n v="0"/>
    <n v="0"/>
    <x v="0"/>
    <x v="0"/>
    <m/>
    <x v="0"/>
    <x v="0"/>
    <x v="0"/>
    <x v="0"/>
    <x v="0"/>
    <n v="0"/>
    <n v="0"/>
    <n v="0"/>
    <n v="12"/>
    <x v="1"/>
    <x v="0"/>
    <m/>
    <x v="0"/>
    <n v="639.19999999999993"/>
    <x v="0"/>
    <x v="7"/>
    <x v="0"/>
    <x v="0"/>
    <x v="0"/>
  </r>
  <r>
    <x v="0"/>
    <x v="14"/>
    <s v="2795/1"/>
    <x v="115"/>
    <s v="ENGRO ZARKHEZ"/>
    <s v="LDN"/>
    <s v="24-24.5"/>
    <s v="60±1"/>
    <s v="LDN"/>
    <n v="0"/>
    <x v="0"/>
    <n v="3"/>
    <n v="412.1"/>
    <n v="10.199999999999999"/>
    <m/>
    <x v="0"/>
    <n v="401.90000000000003"/>
    <n v="4960.12"/>
    <m/>
    <x v="0"/>
    <x v="0"/>
    <n v="0"/>
    <n v="0"/>
    <x v="0"/>
    <x v="0"/>
    <m/>
    <x v="0"/>
    <x v="0"/>
    <x v="0"/>
    <x v="0"/>
    <x v="0"/>
    <n v="0"/>
    <n v="0"/>
    <n v="0"/>
    <n v="12"/>
    <x v="1"/>
    <x v="0"/>
    <m/>
    <x v="0"/>
    <n v="411.90000000000003"/>
    <x v="0"/>
    <x v="7"/>
    <x v="0"/>
    <x v="0"/>
    <x v="0"/>
  </r>
  <r>
    <x v="1"/>
    <x v="14"/>
    <s v="2795/1"/>
    <x v="115"/>
    <s v="ENGRO ZARKHEZ"/>
    <s v="LDN"/>
    <s v="24-24.5"/>
    <s v="60±1"/>
    <s v="LDN"/>
    <n v="0"/>
    <x v="0"/>
    <n v="1"/>
    <n v="128.4"/>
    <n v="3.4"/>
    <m/>
    <x v="0"/>
    <n v="125"/>
    <n v="4960.12"/>
    <n v="15"/>
    <x v="0"/>
    <x v="0"/>
    <n v="15"/>
    <n v="0.25"/>
    <x v="0"/>
    <x v="0"/>
    <m/>
    <x v="0"/>
    <x v="0"/>
    <x v="0"/>
    <x v="0"/>
    <x v="0"/>
    <n v="0"/>
    <n v="0"/>
    <n v="0.25"/>
    <n v="11.75"/>
    <x v="1"/>
    <x v="0"/>
    <m/>
    <x v="0"/>
    <n v="135"/>
    <x v="0"/>
    <x v="7"/>
    <x v="0"/>
    <x v="0"/>
    <x v="0"/>
  </r>
  <r>
    <x v="1"/>
    <x v="14"/>
    <s v="2245 F"/>
    <x v="115"/>
    <s v="-"/>
    <m/>
    <m/>
    <m/>
    <m/>
    <m/>
    <x v="0"/>
    <n v="3"/>
    <n v="216.79999999999998"/>
    <n v="11.100000000000001"/>
    <m/>
    <x v="0"/>
    <n v="205.7"/>
    <n v="205.7"/>
    <m/>
    <x v="0"/>
    <x v="0"/>
    <n v="0"/>
    <n v="0"/>
    <x v="0"/>
    <x v="0"/>
    <m/>
    <x v="0"/>
    <x v="0"/>
    <x v="0"/>
    <x v="0"/>
    <x v="0"/>
    <n v="0"/>
    <n v="0"/>
    <n v="0"/>
    <n v="12"/>
    <x v="1"/>
    <x v="0"/>
    <m/>
    <x v="0"/>
    <n v="215.7"/>
    <x v="0"/>
    <x v="7"/>
    <x v="0"/>
    <x v="0"/>
    <x v="0"/>
  </r>
  <r>
    <x v="1"/>
    <x v="14"/>
    <s v="2246 F"/>
    <x v="115"/>
    <s v="Usman Amin"/>
    <s v="LDN"/>
    <n v="30"/>
    <s v="7"/>
    <s v="LDN"/>
    <n v="250"/>
    <x v="0"/>
    <n v="3"/>
    <n v="264.8"/>
    <n v="12.899999999999999"/>
    <m/>
    <x v="0"/>
    <n v="251.9"/>
    <n v="251.9"/>
    <m/>
    <x v="0"/>
    <x v="0"/>
    <n v="0"/>
    <n v="0"/>
    <x v="0"/>
    <x v="0"/>
    <m/>
    <x v="0"/>
    <x v="0"/>
    <x v="0"/>
    <x v="0"/>
    <x v="0"/>
    <n v="0"/>
    <n v="0"/>
    <n v="0"/>
    <n v="12"/>
    <x v="1"/>
    <x v="0"/>
    <m/>
    <x v="0"/>
    <n v="261.89999999999998"/>
    <x v="0"/>
    <x v="7"/>
    <x v="0"/>
    <x v="0"/>
    <x v="0"/>
  </r>
  <r>
    <x v="1"/>
    <x v="15"/>
    <s v="4464 J"/>
    <x v="115"/>
    <s v="Usman Arif Butt Gujranwala"/>
    <s v="LDN"/>
    <n v="2.5"/>
    <n v="14"/>
    <s v="LDN"/>
    <n v="300"/>
    <x v="0"/>
    <n v="3"/>
    <n v="68.209999999999994"/>
    <n v="5.4"/>
    <m/>
    <x v="0"/>
    <n v="62.809999999999995"/>
    <n v="306.68000000000006"/>
    <m/>
    <x v="0"/>
    <x v="10"/>
    <n v="120"/>
    <n v="2"/>
    <x v="0"/>
    <x v="0"/>
    <m/>
    <x v="0"/>
    <x v="0"/>
    <x v="0"/>
    <x v="0"/>
    <x v="0"/>
    <n v="0"/>
    <n v="0"/>
    <n v="2"/>
    <n v="10"/>
    <x v="1"/>
    <x v="0"/>
    <m/>
    <x v="0"/>
    <n v="72.81"/>
    <x v="0"/>
    <x v="7"/>
    <x v="0"/>
    <x v="0"/>
    <x v="0"/>
  </r>
  <r>
    <x v="1"/>
    <x v="15"/>
    <s v="2238 F"/>
    <x v="115"/>
    <s v="Usman Amin"/>
    <s v="LDN"/>
    <n v="19"/>
    <s v="14"/>
    <s v="LDN"/>
    <n v="160"/>
    <x v="0"/>
    <n v="1"/>
    <n v="27"/>
    <n v="1"/>
    <m/>
    <x v="0"/>
    <n v="26"/>
    <n v="116.7"/>
    <m/>
    <x v="0"/>
    <x v="0"/>
    <n v="0"/>
    <n v="0"/>
    <x v="0"/>
    <x v="0"/>
    <m/>
    <x v="0"/>
    <x v="0"/>
    <x v="0"/>
    <x v="0"/>
    <x v="0"/>
    <n v="0"/>
    <n v="0"/>
    <n v="0"/>
    <n v="12"/>
    <x v="1"/>
    <x v="0"/>
    <m/>
    <x v="0"/>
    <n v="36"/>
    <x v="0"/>
    <x v="7"/>
    <x v="0"/>
    <x v="0"/>
    <x v="0"/>
  </r>
  <r>
    <x v="0"/>
    <x v="8"/>
    <s v="4533 J"/>
    <x v="116"/>
    <s v="-"/>
    <m/>
    <m/>
    <m/>
    <m/>
    <m/>
    <x v="0"/>
    <n v="3"/>
    <n v="115.38"/>
    <n v="2.6"/>
    <m/>
    <x v="4"/>
    <n v="112.78"/>
    <n v="968.06999999999994"/>
    <m/>
    <x v="0"/>
    <x v="0"/>
    <n v="0"/>
    <n v="0"/>
    <x v="0"/>
    <x v="0"/>
    <m/>
    <x v="0"/>
    <x v="0"/>
    <x v="0"/>
    <x v="0"/>
    <x v="0"/>
    <n v="0"/>
    <n v="0"/>
    <n v="0"/>
    <n v="12"/>
    <x v="1"/>
    <x v="0"/>
    <n v="3082"/>
    <x v="0"/>
    <n v="118.78"/>
    <x v="1"/>
    <x v="8"/>
    <x v="0"/>
    <x v="0"/>
    <x v="0"/>
  </r>
  <r>
    <x v="1"/>
    <x v="8"/>
    <s v="4533 J"/>
    <x v="116"/>
    <s v="-"/>
    <m/>
    <m/>
    <m/>
    <m/>
    <m/>
    <x v="0"/>
    <n v="4"/>
    <n v="133.75"/>
    <n v="3.2"/>
    <m/>
    <x v="0"/>
    <n v="130.55000000000001"/>
    <n v="968.06999999999994"/>
    <m/>
    <x v="0"/>
    <x v="0"/>
    <n v="0"/>
    <n v="0"/>
    <x v="0"/>
    <x v="0"/>
    <m/>
    <x v="0"/>
    <x v="0"/>
    <x v="0"/>
    <x v="0"/>
    <x v="0"/>
    <n v="0"/>
    <n v="0"/>
    <n v="0"/>
    <n v="12"/>
    <x v="1"/>
    <x v="0"/>
    <m/>
    <x v="0"/>
    <n v="136.55000000000001"/>
    <x v="0"/>
    <x v="8"/>
    <x v="0"/>
    <x v="0"/>
    <x v="0"/>
  </r>
  <r>
    <x v="0"/>
    <x v="9"/>
    <s v="2783/3"/>
    <x v="116"/>
    <s v="PT-01"/>
    <s v="LD سرخ"/>
    <n v="6"/>
    <n v="80"/>
    <s v="LD سرخ"/>
    <n v="2500"/>
    <x v="0"/>
    <n v="6"/>
    <n v="164.13"/>
    <n v="3.5999999999999996"/>
    <m/>
    <x v="0"/>
    <n v="160.53"/>
    <n v="2519.75"/>
    <m/>
    <x v="0"/>
    <x v="0"/>
    <n v="0"/>
    <n v="0"/>
    <x v="0"/>
    <x v="0"/>
    <m/>
    <x v="0"/>
    <x v="0"/>
    <x v="0"/>
    <x v="0"/>
    <x v="0"/>
    <n v="0"/>
    <n v="0"/>
    <n v="0"/>
    <n v="12"/>
    <x v="1"/>
    <x v="0"/>
    <m/>
    <x v="0"/>
    <n v="166.53"/>
    <x v="0"/>
    <x v="8"/>
    <x v="0"/>
    <x v="0"/>
    <x v="0"/>
  </r>
  <r>
    <x v="1"/>
    <x v="9"/>
    <s v="2783/3"/>
    <x v="116"/>
    <s v="PT-01"/>
    <s v="LD سرخ"/>
    <n v="6"/>
    <n v="80"/>
    <s v="LD سرخ"/>
    <n v="2500"/>
    <x v="0"/>
    <n v="6"/>
    <n v="158.49999999999997"/>
    <n v="3.5999999999999996"/>
    <m/>
    <x v="0"/>
    <n v="154.89999999999998"/>
    <n v="2519.75"/>
    <m/>
    <x v="0"/>
    <x v="0"/>
    <n v="0"/>
    <n v="0"/>
    <x v="0"/>
    <x v="0"/>
    <m/>
    <x v="0"/>
    <x v="0"/>
    <x v="0"/>
    <x v="0"/>
    <x v="0"/>
    <n v="0"/>
    <n v="0"/>
    <n v="0"/>
    <n v="12"/>
    <x v="1"/>
    <x v="0"/>
    <m/>
    <x v="0"/>
    <n v="160.89999999999998"/>
    <x v="0"/>
    <x v="8"/>
    <x v="0"/>
    <x v="0"/>
    <x v="0"/>
  </r>
  <r>
    <x v="0"/>
    <x v="13"/>
    <s v="4665 J"/>
    <x v="116"/>
    <s v="Hamza Plastic Peshawar"/>
    <s v="LDN"/>
    <n v="20"/>
    <s v="8-8.5"/>
    <s v="LDN"/>
    <n v="300"/>
    <x v="0"/>
    <n v="2"/>
    <n v="117.6"/>
    <n v="5"/>
    <m/>
    <x v="0"/>
    <n v="112.6"/>
    <n v="317.60000000000002"/>
    <m/>
    <x v="0"/>
    <x v="0"/>
    <n v="0"/>
    <n v="0"/>
    <x v="0"/>
    <x v="0"/>
    <m/>
    <x v="0"/>
    <x v="0"/>
    <x v="0"/>
    <x v="0"/>
    <x v="0"/>
    <n v="0"/>
    <n v="0"/>
    <n v="0"/>
    <n v="12"/>
    <x v="1"/>
    <x v="0"/>
    <m/>
    <x v="0"/>
    <n v="118.6"/>
    <x v="0"/>
    <x v="8"/>
    <x v="0"/>
    <x v="0"/>
    <x v="0"/>
  </r>
  <r>
    <x v="0"/>
    <x v="13"/>
    <s v="4582 J"/>
    <x v="116"/>
    <s v="-"/>
    <m/>
    <m/>
    <m/>
    <m/>
    <m/>
    <x v="0"/>
    <n v="3"/>
    <n v="168.6"/>
    <n v="7.4"/>
    <m/>
    <x v="0"/>
    <n v="161.19999999999999"/>
    <n v="161.19999999999999"/>
    <m/>
    <x v="0"/>
    <x v="0"/>
    <n v="0"/>
    <n v="0"/>
    <x v="0"/>
    <x v="0"/>
    <m/>
    <x v="0"/>
    <x v="0"/>
    <x v="0"/>
    <x v="0"/>
    <x v="0"/>
    <n v="0"/>
    <n v="0"/>
    <n v="0"/>
    <n v="12"/>
    <x v="1"/>
    <x v="0"/>
    <m/>
    <x v="0"/>
    <n v="167.2"/>
    <x v="0"/>
    <x v="8"/>
    <x v="0"/>
    <x v="0"/>
    <x v="0"/>
  </r>
  <r>
    <x v="0"/>
    <x v="13"/>
    <s v="2262 F"/>
    <x v="116"/>
    <s v="Usman Amin"/>
    <s v="LDN"/>
    <n v="24"/>
    <s v="5-5.5"/>
    <s v="LDN"/>
    <n v="36"/>
    <x v="0"/>
    <n v="1"/>
    <n v="82.4"/>
    <n v="3.4"/>
    <m/>
    <x v="0"/>
    <n v="79"/>
    <n v="79"/>
    <m/>
    <x v="0"/>
    <x v="0"/>
    <n v="0"/>
    <n v="0"/>
    <x v="0"/>
    <x v="0"/>
    <m/>
    <x v="0"/>
    <x v="0"/>
    <x v="0"/>
    <x v="0"/>
    <x v="0"/>
    <n v="0"/>
    <n v="0"/>
    <n v="0"/>
    <n v="12"/>
    <x v="1"/>
    <x v="0"/>
    <m/>
    <x v="0"/>
    <n v="85"/>
    <x v="0"/>
    <x v="8"/>
    <x v="0"/>
    <x v="0"/>
    <x v="0"/>
  </r>
  <r>
    <x v="0"/>
    <x v="13"/>
    <s v="4681 J"/>
    <x v="116"/>
    <s v="Liaqat Landa Bazar Lahore"/>
    <s v="LDN"/>
    <n v="25"/>
    <s v="9-9.5"/>
    <s v="LDN"/>
    <n v="50"/>
    <x v="0"/>
    <n v="1"/>
    <n v="55.8"/>
    <n v="3.6"/>
    <m/>
    <x v="0"/>
    <n v="52.199999999999996"/>
    <n v="52.199999999999996"/>
    <m/>
    <x v="0"/>
    <x v="0"/>
    <n v="0"/>
    <n v="0"/>
    <x v="0"/>
    <x v="0"/>
    <m/>
    <x v="0"/>
    <x v="0"/>
    <x v="0"/>
    <x v="0"/>
    <x v="0"/>
    <n v="0"/>
    <n v="0"/>
    <n v="0"/>
    <n v="12"/>
    <x v="1"/>
    <x v="0"/>
    <m/>
    <x v="0"/>
    <n v="58.199999999999996"/>
    <x v="0"/>
    <x v="8"/>
    <x v="0"/>
    <x v="0"/>
    <x v="0"/>
  </r>
  <r>
    <x v="1"/>
    <x v="13"/>
    <s v="4680 J"/>
    <x v="116"/>
    <s v="Liaqat Landa Bazar Lahore"/>
    <s v="LDN"/>
    <n v="23"/>
    <s v="9-9.5"/>
    <s v="LDN"/>
    <n v="50"/>
    <x v="0"/>
    <n v="1"/>
    <n v="59.4"/>
    <n v="2.6"/>
    <n v="5"/>
    <x v="0"/>
    <n v="56.8"/>
    <n v="56.8"/>
    <m/>
    <x v="0"/>
    <x v="0"/>
    <n v="0"/>
    <n v="0"/>
    <x v="0"/>
    <x v="0"/>
    <m/>
    <x v="0"/>
    <x v="0"/>
    <x v="0"/>
    <x v="0"/>
    <x v="0"/>
    <n v="0"/>
    <n v="0"/>
    <n v="0"/>
    <n v="12"/>
    <x v="1"/>
    <x v="0"/>
    <m/>
    <x v="0"/>
    <n v="62.8"/>
    <x v="0"/>
    <x v="8"/>
    <x v="0"/>
    <x v="0"/>
    <x v="0"/>
  </r>
  <r>
    <x v="1"/>
    <x v="13"/>
    <s v="4679 J"/>
    <x v="116"/>
    <s v="Liaqat Landa Bazar Lahore"/>
    <s v="LDN"/>
    <n v="23"/>
    <s v="9-9.5"/>
    <s v="LDN"/>
    <n v="50"/>
    <x v="0"/>
    <n v="1"/>
    <n v="65.400000000000006"/>
    <n v="2.6"/>
    <m/>
    <x v="0"/>
    <n v="62.800000000000004"/>
    <n v="62.800000000000004"/>
    <m/>
    <x v="0"/>
    <x v="0"/>
    <n v="0"/>
    <n v="0"/>
    <x v="0"/>
    <x v="0"/>
    <m/>
    <x v="0"/>
    <x v="0"/>
    <x v="0"/>
    <x v="0"/>
    <x v="0"/>
    <n v="0"/>
    <n v="0"/>
    <n v="0"/>
    <n v="12"/>
    <x v="1"/>
    <x v="0"/>
    <m/>
    <x v="0"/>
    <n v="68.800000000000011"/>
    <x v="0"/>
    <x v="8"/>
    <x v="0"/>
    <x v="0"/>
    <x v="0"/>
  </r>
  <r>
    <x v="1"/>
    <x v="13"/>
    <s v="4667 J"/>
    <x v="116"/>
    <s v="Mehboob Plastic Gujranwala"/>
    <s v="LDN"/>
    <n v="22"/>
    <s v="9"/>
    <s v="LDN"/>
    <n v="100"/>
    <x v="0"/>
    <n v="2"/>
    <n v="113.6"/>
    <n v="5"/>
    <m/>
    <x v="0"/>
    <n v="108.6"/>
    <n v="108.6"/>
    <m/>
    <x v="0"/>
    <x v="0"/>
    <n v="0"/>
    <n v="0"/>
    <x v="0"/>
    <x v="0"/>
    <m/>
    <x v="0"/>
    <x v="0"/>
    <x v="0"/>
    <x v="0"/>
    <x v="0"/>
    <n v="0"/>
    <n v="0"/>
    <n v="0"/>
    <n v="12"/>
    <x v="1"/>
    <x v="0"/>
    <m/>
    <x v="0"/>
    <n v="114.6"/>
    <x v="0"/>
    <x v="8"/>
    <x v="0"/>
    <x v="0"/>
    <x v="0"/>
  </r>
  <r>
    <x v="1"/>
    <x v="13"/>
    <s v="4683 J"/>
    <x v="116"/>
    <s v="Ibraheem Filter Industry (SMC.PVT.LTD)"/>
    <s v="LDN"/>
    <n v="16"/>
    <n v="8"/>
    <s v="LDN"/>
    <n v="0"/>
    <x v="0"/>
    <n v="2"/>
    <n v="104.3"/>
    <n v="3.8"/>
    <m/>
    <x v="0"/>
    <n v="100.5"/>
    <n v="353.70000000000005"/>
    <m/>
    <x v="0"/>
    <x v="0"/>
    <n v="0"/>
    <n v="0"/>
    <x v="0"/>
    <x v="0"/>
    <m/>
    <x v="0"/>
    <x v="0"/>
    <x v="0"/>
    <x v="0"/>
    <x v="0"/>
    <n v="0"/>
    <n v="0"/>
    <n v="0"/>
    <n v="12"/>
    <x v="1"/>
    <x v="0"/>
    <m/>
    <x v="0"/>
    <n v="106.5"/>
    <x v="0"/>
    <x v="8"/>
    <x v="0"/>
    <x v="0"/>
    <x v="0"/>
  </r>
  <r>
    <x v="0"/>
    <x v="11"/>
    <s v="2783/5"/>
    <x v="116"/>
    <s v="PT-01"/>
    <s v="LD سرخ"/>
    <n v="10"/>
    <n v="80"/>
    <s v="LD سرخ"/>
    <n v="1250"/>
    <x v="0"/>
    <n v="11"/>
    <n v="313.08000000000004"/>
    <n v="1.1000000000000001"/>
    <m/>
    <x v="0"/>
    <n v="311.98"/>
    <n v="2951.4700000000003"/>
    <m/>
    <x v="0"/>
    <x v="0"/>
    <n v="0"/>
    <n v="0"/>
    <x v="0"/>
    <x v="0"/>
    <m/>
    <x v="0"/>
    <x v="0"/>
    <x v="0"/>
    <x v="0"/>
    <x v="0"/>
    <n v="0"/>
    <n v="0"/>
    <n v="0"/>
    <n v="12"/>
    <x v="1"/>
    <x v="0"/>
    <m/>
    <x v="0"/>
    <n v="317.98"/>
    <x v="0"/>
    <x v="8"/>
    <x v="0"/>
    <x v="0"/>
    <x v="0"/>
  </r>
  <r>
    <x v="1"/>
    <x v="11"/>
    <s v="2783/5"/>
    <x v="116"/>
    <s v="PT-01"/>
    <s v="LD سرخ"/>
    <n v="10"/>
    <n v="80"/>
    <s v="LD سرخ"/>
    <n v="1250"/>
    <x v="0"/>
    <n v="12"/>
    <n v="373.1"/>
    <n v="1.2000000000000002"/>
    <m/>
    <x v="0"/>
    <n v="371.90000000000003"/>
    <n v="2951.4700000000003"/>
    <m/>
    <x v="0"/>
    <x v="0"/>
    <n v="0"/>
    <n v="0"/>
    <x v="0"/>
    <x v="0"/>
    <m/>
    <x v="0"/>
    <x v="0"/>
    <x v="0"/>
    <x v="0"/>
    <x v="0"/>
    <n v="0"/>
    <n v="0"/>
    <n v="0"/>
    <n v="12"/>
    <x v="1"/>
    <x v="0"/>
    <m/>
    <x v="0"/>
    <n v="377.90000000000003"/>
    <x v="0"/>
    <x v="8"/>
    <x v="0"/>
    <x v="0"/>
    <x v="0"/>
  </r>
  <r>
    <x v="0"/>
    <x v="13"/>
    <s v="4499 J"/>
    <x v="116"/>
    <s v="Chairman Foam Pvt Ltd."/>
    <s v="LDM"/>
    <s v="20 شیٹ"/>
    <s v="7-7.5/14-15"/>
    <s v="LDM"/>
    <n v="3000"/>
    <x v="0"/>
    <n v="4"/>
    <n v="395.20000000000005"/>
    <n v="10"/>
    <n v="40"/>
    <x v="0"/>
    <n v="385.20000000000005"/>
    <n v="3009.32"/>
    <m/>
    <x v="0"/>
    <x v="0"/>
    <n v="0"/>
    <n v="0"/>
    <x v="0"/>
    <x v="0"/>
    <m/>
    <x v="0"/>
    <x v="0"/>
    <x v="0"/>
    <x v="0"/>
    <x v="0"/>
    <n v="0"/>
    <n v="0"/>
    <n v="0"/>
    <n v="12"/>
    <x v="1"/>
    <x v="0"/>
    <m/>
    <x v="0"/>
    <n v="391.20000000000005"/>
    <x v="0"/>
    <x v="8"/>
    <x v="0"/>
    <x v="0"/>
    <x v="0"/>
  </r>
  <r>
    <x v="1"/>
    <x v="13"/>
    <s v="4499 J"/>
    <x v="116"/>
    <s v="Chairman Foam Pvt Ltd."/>
    <s v="LDM"/>
    <s v="20 شیٹ"/>
    <s v="7-7.5/14-15"/>
    <s v="LDM"/>
    <n v="3000"/>
    <x v="0"/>
    <n v="7"/>
    <n v="713.4"/>
    <n v="17.5"/>
    <n v="60"/>
    <x v="0"/>
    <n v="695.9"/>
    <n v="3009.32"/>
    <m/>
    <x v="0"/>
    <x v="0"/>
    <n v="0"/>
    <n v="0"/>
    <x v="0"/>
    <x v="0"/>
    <m/>
    <x v="0"/>
    <x v="0"/>
    <x v="0"/>
    <x v="0"/>
    <x v="0"/>
    <n v="0"/>
    <n v="0"/>
    <n v="0"/>
    <n v="12"/>
    <x v="1"/>
    <x v="0"/>
    <m/>
    <x v="0"/>
    <n v="701.9"/>
    <x v="0"/>
    <x v="8"/>
    <x v="0"/>
    <x v="0"/>
    <x v="0"/>
  </r>
  <r>
    <x v="0"/>
    <x v="12"/>
    <s v="264 R"/>
    <x v="116"/>
    <s v="ریفلیکٹ پیک"/>
    <s v="LDN"/>
    <n v="20"/>
    <s v="13-14"/>
    <s v="LDN"/>
    <n v="3000"/>
    <x v="0"/>
    <n v="3"/>
    <n v="283.8"/>
    <n v="6.8000000000000007"/>
    <n v="23"/>
    <x v="0"/>
    <n v="277"/>
    <n v="2861.7999999999997"/>
    <m/>
    <x v="0"/>
    <x v="0"/>
    <n v="0"/>
    <n v="0"/>
    <x v="0"/>
    <x v="3"/>
    <m/>
    <x v="0"/>
    <x v="0"/>
    <x v="0"/>
    <x v="0"/>
    <x v="0"/>
    <n v="15"/>
    <n v="0.25"/>
    <n v="0.25"/>
    <n v="11.75"/>
    <x v="1"/>
    <x v="0"/>
    <m/>
    <x v="0"/>
    <n v="283"/>
    <x v="0"/>
    <x v="8"/>
    <x v="0"/>
    <x v="0"/>
    <x v="0"/>
  </r>
  <r>
    <x v="0"/>
    <x v="12"/>
    <s v="2265 F"/>
    <x v="116"/>
    <s v="Usman Amin"/>
    <s v="LDN"/>
    <n v="36"/>
    <s v="3-3.25/6-6.5"/>
    <s v="LDN"/>
    <n v="350"/>
    <x v="0"/>
    <n v="4"/>
    <n v="396.6"/>
    <n v="18.399999999999999"/>
    <m/>
    <x v="0"/>
    <n v="378.20000000000005"/>
    <n v="756.40000000000009"/>
    <m/>
    <x v="0"/>
    <x v="0"/>
    <n v="0"/>
    <n v="0"/>
    <x v="0"/>
    <x v="0"/>
    <m/>
    <x v="0"/>
    <x v="0"/>
    <x v="0"/>
    <x v="0"/>
    <x v="0"/>
    <n v="0"/>
    <n v="0"/>
    <n v="0"/>
    <n v="12"/>
    <x v="1"/>
    <x v="0"/>
    <m/>
    <x v="0"/>
    <n v="384.20000000000005"/>
    <x v="0"/>
    <x v="8"/>
    <x v="0"/>
    <x v="0"/>
    <x v="0"/>
  </r>
  <r>
    <x v="1"/>
    <x v="12"/>
    <s v="2265 F"/>
    <x v="116"/>
    <s v="Usman Amin"/>
    <s v="LDN"/>
    <n v="36"/>
    <s v="3-3.25/6-6.5"/>
    <s v="LDN"/>
    <n v="350"/>
    <x v="0"/>
    <n v="4"/>
    <n v="396.6"/>
    <n v="18.399999999999999"/>
    <n v="13"/>
    <x v="0"/>
    <n v="378.20000000000005"/>
    <n v="756.40000000000009"/>
    <n v="10"/>
    <x v="0"/>
    <x v="0"/>
    <n v="10"/>
    <n v="0.16666666666666666"/>
    <x v="0"/>
    <x v="0"/>
    <m/>
    <x v="0"/>
    <x v="0"/>
    <x v="0"/>
    <x v="0"/>
    <x v="0"/>
    <n v="0"/>
    <n v="0"/>
    <n v="0.16666666666666666"/>
    <n v="11.833333333333334"/>
    <x v="1"/>
    <x v="0"/>
    <m/>
    <x v="0"/>
    <n v="384.20000000000005"/>
    <x v="0"/>
    <x v="8"/>
    <x v="0"/>
    <x v="0"/>
    <x v="0"/>
  </r>
  <r>
    <x v="1"/>
    <x v="12"/>
    <s v="2266 F"/>
    <x v="116"/>
    <s v="Usman Amin"/>
    <s v="LDN"/>
    <n v="30"/>
    <s v="3-3.25/6-6.5"/>
    <s v="LDN"/>
    <n v="100"/>
    <x v="0"/>
    <n v="2"/>
    <n v="123"/>
    <n v="7.2"/>
    <m/>
    <x v="0"/>
    <n v="115.8"/>
    <n v="115.8"/>
    <m/>
    <x v="0"/>
    <x v="0"/>
    <n v="0"/>
    <n v="0"/>
    <x v="0"/>
    <x v="0"/>
    <m/>
    <x v="0"/>
    <x v="0"/>
    <x v="0"/>
    <x v="0"/>
    <x v="0"/>
    <n v="0"/>
    <n v="0"/>
    <n v="0"/>
    <n v="12"/>
    <x v="1"/>
    <x v="0"/>
    <m/>
    <x v="0"/>
    <n v="121.8"/>
    <x v="0"/>
    <x v="8"/>
    <x v="0"/>
    <x v="0"/>
    <x v="0"/>
  </r>
  <r>
    <x v="1"/>
    <x v="12"/>
    <s v="2799/1"/>
    <x v="116"/>
    <s v="ZEPHYR TEXTILE (PVT) LTD"/>
    <s v="LDN"/>
    <n v="23"/>
    <n v="15"/>
    <s v="LDN"/>
    <n v="1000"/>
    <x v="0"/>
    <n v="2"/>
    <n v="236.8"/>
    <n v="6.4"/>
    <m/>
    <x v="0"/>
    <n v="230.4"/>
    <n v="535.46"/>
    <m/>
    <x v="0"/>
    <x v="0"/>
    <n v="0"/>
    <n v="0"/>
    <x v="0"/>
    <x v="0"/>
    <m/>
    <x v="0"/>
    <x v="0"/>
    <x v="0"/>
    <x v="0"/>
    <x v="0"/>
    <n v="0"/>
    <n v="0"/>
    <n v="0"/>
    <n v="12"/>
    <x v="1"/>
    <x v="0"/>
    <m/>
    <x v="0"/>
    <n v="236.4"/>
    <x v="0"/>
    <x v="8"/>
    <x v="0"/>
    <x v="0"/>
    <x v="0"/>
  </r>
  <r>
    <x v="0"/>
    <x v="14"/>
    <s v="2247 F"/>
    <x v="116"/>
    <s v="Usman Amin"/>
    <s v="LDN"/>
    <n v="32"/>
    <s v="6-6.5"/>
    <s v="LDN"/>
    <n v="1375"/>
    <x v="0"/>
    <n v="5"/>
    <n v="524.82999999999993"/>
    <n v="16"/>
    <m/>
    <x v="0"/>
    <n v="508.82999999999993"/>
    <n v="1401.2199999999998"/>
    <m/>
    <x v="0"/>
    <x v="0"/>
    <n v="0"/>
    <n v="0"/>
    <x v="0"/>
    <x v="0"/>
    <m/>
    <x v="0"/>
    <x v="0"/>
    <x v="0"/>
    <x v="0"/>
    <x v="0"/>
    <n v="0"/>
    <n v="0"/>
    <n v="0"/>
    <n v="12"/>
    <x v="1"/>
    <x v="0"/>
    <m/>
    <x v="0"/>
    <n v="514.82999999999993"/>
    <x v="0"/>
    <x v="8"/>
    <x v="0"/>
    <x v="0"/>
    <x v="0"/>
  </r>
  <r>
    <x v="1"/>
    <x v="14"/>
    <s v="2247 F"/>
    <x v="116"/>
    <s v="Usman Amin"/>
    <s v="LDN"/>
    <n v="32"/>
    <s v="6-6.5"/>
    <s v="LDN"/>
    <n v="1375"/>
    <x v="0"/>
    <n v="6"/>
    <n v="535.70000000000005"/>
    <n v="23.799999999999997"/>
    <m/>
    <x v="0"/>
    <n v="511.90000000000003"/>
    <n v="1401.2199999999998"/>
    <m/>
    <x v="0"/>
    <x v="0"/>
    <n v="0"/>
    <n v="0"/>
    <x v="0"/>
    <x v="0"/>
    <m/>
    <x v="0"/>
    <x v="0"/>
    <x v="0"/>
    <x v="0"/>
    <x v="0"/>
    <n v="0"/>
    <n v="0"/>
    <n v="0"/>
    <n v="12"/>
    <x v="1"/>
    <x v="0"/>
    <m/>
    <x v="0"/>
    <n v="517.90000000000009"/>
    <x v="0"/>
    <x v="8"/>
    <x v="0"/>
    <x v="0"/>
    <x v="0"/>
  </r>
  <r>
    <x v="0"/>
    <x v="15"/>
    <s v="4464 J"/>
    <x v="116"/>
    <s v="Usman Arif Butt Gujranwala"/>
    <s v="LDN"/>
    <n v="2.5"/>
    <n v="14"/>
    <s v="LDN"/>
    <n v="300"/>
    <x v="0"/>
    <n v="2"/>
    <n v="37.620000000000005"/>
    <n v="4.4000000000000004"/>
    <m/>
    <x v="0"/>
    <n v="33.220000000000006"/>
    <n v="306.68000000000006"/>
    <m/>
    <x v="0"/>
    <x v="0"/>
    <n v="0"/>
    <n v="0"/>
    <x v="0"/>
    <x v="0"/>
    <m/>
    <x v="0"/>
    <x v="0"/>
    <x v="0"/>
    <x v="0"/>
    <x v="0"/>
    <n v="0"/>
    <n v="0"/>
    <n v="0"/>
    <n v="12"/>
    <x v="1"/>
    <x v="0"/>
    <m/>
    <x v="0"/>
    <n v="39.220000000000006"/>
    <x v="0"/>
    <x v="8"/>
    <x v="0"/>
    <x v="0"/>
    <x v="0"/>
  </r>
  <r>
    <x v="0"/>
    <x v="15"/>
    <s v="4463 J"/>
    <x v="116"/>
    <s v="Usman Arif Butt Gujranwala"/>
    <s v="LDN"/>
    <n v="2"/>
    <n v="14"/>
    <s v="LDN"/>
    <n v="300"/>
    <x v="0"/>
    <n v="3"/>
    <n v="59.39"/>
    <n v="1.56"/>
    <m/>
    <x v="0"/>
    <n v="57.83"/>
    <n v="304.86"/>
    <m/>
    <x v="0"/>
    <x v="0"/>
    <n v="0"/>
    <n v="0"/>
    <x v="0"/>
    <x v="0"/>
    <m/>
    <x v="0"/>
    <x v="0"/>
    <x v="0"/>
    <x v="0"/>
    <x v="0"/>
    <n v="0"/>
    <n v="0"/>
    <n v="0"/>
    <n v="12"/>
    <x v="1"/>
    <x v="0"/>
    <m/>
    <x v="0"/>
    <n v="63.83"/>
    <x v="0"/>
    <x v="8"/>
    <x v="0"/>
    <x v="0"/>
    <x v="0"/>
  </r>
  <r>
    <x v="1"/>
    <x v="15"/>
    <s v="4463 J"/>
    <x v="116"/>
    <s v="Usman Arif Butt Gujranwala"/>
    <s v="LDN"/>
    <n v="2"/>
    <n v="14"/>
    <s v="LDN"/>
    <n v="300"/>
    <x v="0"/>
    <n v="5"/>
    <n v="103.57"/>
    <n v="2.6"/>
    <n v="7.8"/>
    <x v="0"/>
    <n v="100.97"/>
    <n v="304.86"/>
    <m/>
    <x v="0"/>
    <x v="0"/>
    <n v="0"/>
    <n v="0"/>
    <x v="0"/>
    <x v="0"/>
    <m/>
    <x v="0"/>
    <x v="0"/>
    <x v="0"/>
    <x v="0"/>
    <x v="0"/>
    <n v="0"/>
    <n v="0"/>
    <n v="0"/>
    <n v="12"/>
    <x v="1"/>
    <x v="0"/>
    <m/>
    <x v="0"/>
    <n v="106.97"/>
    <x v="0"/>
    <x v="8"/>
    <x v="0"/>
    <x v="0"/>
    <x v="0"/>
  </r>
  <r>
    <x v="0"/>
    <x v="0"/>
    <s v="4533 J"/>
    <x v="117"/>
    <s v="-"/>
    <m/>
    <m/>
    <m/>
    <m/>
    <m/>
    <x v="0"/>
    <n v="3"/>
    <n v="120.6"/>
    <n v="2.4000000000000004"/>
    <m/>
    <x v="0"/>
    <n v="118.19999999999999"/>
    <n v="968.06999999999994"/>
    <n v="32"/>
    <x v="0"/>
    <x v="0"/>
    <n v="32"/>
    <n v="0.53333333333333333"/>
    <x v="0"/>
    <x v="0"/>
    <m/>
    <x v="0"/>
    <x v="0"/>
    <x v="0"/>
    <x v="0"/>
    <x v="0"/>
    <n v="0"/>
    <n v="0"/>
    <n v="0.53333333333333333"/>
    <n v="11.466666666666667"/>
    <x v="1"/>
    <x v="0"/>
    <n v="2762.5"/>
    <x v="0"/>
    <n v="124.19999999999999"/>
    <x v="1"/>
    <x v="8"/>
    <x v="0"/>
    <x v="0"/>
    <x v="0"/>
  </r>
  <r>
    <x v="1"/>
    <x v="0"/>
    <s v="4533 J"/>
    <x v="117"/>
    <s v="-"/>
    <m/>
    <m/>
    <m/>
    <m/>
    <m/>
    <x v="0"/>
    <n v="4"/>
    <n v="144.55000000000001"/>
    <n v="3.2"/>
    <n v="2"/>
    <x v="0"/>
    <n v="141.35000000000002"/>
    <n v="968.06999999999994"/>
    <m/>
    <x v="0"/>
    <x v="0"/>
    <n v="0"/>
    <n v="0"/>
    <x v="0"/>
    <x v="0"/>
    <m/>
    <x v="0"/>
    <x v="0"/>
    <x v="0"/>
    <x v="0"/>
    <x v="0"/>
    <n v="0"/>
    <n v="0"/>
    <n v="0"/>
    <n v="12"/>
    <x v="1"/>
    <x v="0"/>
    <m/>
    <x v="0"/>
    <n v="147.35000000000002"/>
    <x v="0"/>
    <x v="8"/>
    <x v="0"/>
    <x v="0"/>
    <x v="0"/>
  </r>
  <r>
    <x v="0"/>
    <x v="10"/>
    <s v="2783/3"/>
    <x v="117"/>
    <s v="PT-01"/>
    <s v="LD سرخ"/>
    <n v="6"/>
    <n v="80"/>
    <s v="LD سرخ"/>
    <n v="2500"/>
    <x v="0"/>
    <n v="12"/>
    <n v="357.74"/>
    <n v="1.2000000000000002"/>
    <n v="57"/>
    <x v="0"/>
    <n v="356.54"/>
    <n v="2519.75"/>
    <m/>
    <x v="0"/>
    <x v="0"/>
    <n v="0"/>
    <n v="0"/>
    <x v="0"/>
    <x v="0"/>
    <m/>
    <x v="0"/>
    <x v="0"/>
    <x v="0"/>
    <x v="0"/>
    <x v="0"/>
    <n v="0"/>
    <n v="0"/>
    <n v="0"/>
    <n v="12"/>
    <x v="1"/>
    <x v="0"/>
    <m/>
    <x v="0"/>
    <n v="362.54"/>
    <x v="0"/>
    <x v="8"/>
    <x v="0"/>
    <x v="0"/>
    <x v="0"/>
  </r>
  <r>
    <x v="0"/>
    <x v="10"/>
    <s v="2783/4"/>
    <x v="117"/>
    <s v="PT-01"/>
    <s v="LD سرخ"/>
    <n v="8"/>
    <n v="80"/>
    <s v="LD سرخ"/>
    <n v="5000"/>
    <x v="0"/>
    <n v="2"/>
    <n v="54.370000000000005"/>
    <n v="1.6"/>
    <m/>
    <x v="0"/>
    <n v="52.77"/>
    <n v="4431.72"/>
    <m/>
    <x v="0"/>
    <x v="0"/>
    <n v="0"/>
    <n v="0"/>
    <x v="0"/>
    <x v="0"/>
    <m/>
    <x v="0"/>
    <x v="0"/>
    <x v="0"/>
    <x v="0"/>
    <x v="0"/>
    <n v="0"/>
    <n v="0"/>
    <n v="0"/>
    <n v="12"/>
    <x v="1"/>
    <x v="0"/>
    <m/>
    <x v="0"/>
    <n v="58.77"/>
    <x v="0"/>
    <x v="8"/>
    <x v="0"/>
    <x v="0"/>
    <x v="0"/>
  </r>
  <r>
    <x v="1"/>
    <x v="10"/>
    <s v="2783/4"/>
    <x v="117"/>
    <s v="PT-01"/>
    <s v="LD سرخ"/>
    <n v="8"/>
    <n v="80"/>
    <s v="LD سرخ"/>
    <n v="5000"/>
    <x v="0"/>
    <n v="6"/>
    <n v="171.74"/>
    <n v="4.8000000000000007"/>
    <m/>
    <x v="0"/>
    <n v="166.94"/>
    <n v="4431.72"/>
    <m/>
    <x v="0"/>
    <x v="0"/>
    <n v="0"/>
    <n v="0"/>
    <x v="0"/>
    <x v="0"/>
    <m/>
    <x v="0"/>
    <x v="0"/>
    <x v="0"/>
    <x v="0"/>
    <x v="0"/>
    <n v="0"/>
    <n v="0"/>
    <n v="0"/>
    <n v="12"/>
    <x v="1"/>
    <x v="0"/>
    <m/>
    <x v="0"/>
    <n v="172.94"/>
    <x v="0"/>
    <x v="8"/>
    <x v="0"/>
    <x v="0"/>
    <x v="0"/>
  </r>
  <r>
    <x v="0"/>
    <x v="11"/>
    <s v="4683 J"/>
    <x v="117"/>
    <s v="Ibraheem Filter Industry (SMC.PVT.LTD)"/>
    <s v="LDN"/>
    <n v="16"/>
    <n v="8"/>
    <s v="LDN"/>
    <n v="0"/>
    <x v="0"/>
    <n v="4"/>
    <n v="260.8"/>
    <n v="7.6"/>
    <m/>
    <x v="0"/>
    <n v="253.20000000000002"/>
    <n v="353.70000000000005"/>
    <m/>
    <x v="0"/>
    <x v="0"/>
    <n v="0"/>
    <n v="0"/>
    <x v="0"/>
    <x v="0"/>
    <m/>
    <x v="0"/>
    <x v="0"/>
    <x v="0"/>
    <x v="0"/>
    <x v="0"/>
    <n v="0"/>
    <n v="0"/>
    <n v="0"/>
    <n v="12"/>
    <x v="1"/>
    <x v="0"/>
    <m/>
    <x v="0"/>
    <n v="259.20000000000005"/>
    <x v="0"/>
    <x v="8"/>
    <x v="0"/>
    <x v="0"/>
    <x v="0"/>
  </r>
  <r>
    <x v="0"/>
    <x v="11"/>
    <s v="4666 J"/>
    <x v="117"/>
    <s v="Mehboob Plastic Gujranwala"/>
    <s v="LDN"/>
    <n v="15"/>
    <s v="7"/>
    <s v="LDN"/>
    <n v="100"/>
    <x v="0"/>
    <n v="2"/>
    <n v="108.6"/>
    <n v="3"/>
    <m/>
    <x v="0"/>
    <n v="105.6"/>
    <n v="105.6"/>
    <m/>
    <x v="0"/>
    <x v="0"/>
    <n v="0"/>
    <n v="0"/>
    <x v="0"/>
    <x v="0"/>
    <m/>
    <x v="0"/>
    <x v="0"/>
    <x v="0"/>
    <x v="0"/>
    <x v="0"/>
    <n v="0"/>
    <n v="0"/>
    <n v="0"/>
    <n v="12"/>
    <x v="1"/>
    <x v="0"/>
    <m/>
    <x v="0"/>
    <n v="111.6"/>
    <x v="0"/>
    <x v="8"/>
    <x v="0"/>
    <x v="0"/>
    <x v="0"/>
  </r>
  <r>
    <x v="1"/>
    <x v="11"/>
    <s v="2254 F"/>
    <x v="117"/>
    <s v="Usman Amin"/>
    <s v="LDN"/>
    <n v="19"/>
    <s v="8-8.5"/>
    <s v="LDN"/>
    <n v="85"/>
    <x v="0"/>
    <n v="2"/>
    <n v="94.3"/>
    <n v="4.5"/>
    <n v="6"/>
    <x v="0"/>
    <n v="89.8"/>
    <n v="178.1"/>
    <m/>
    <x v="0"/>
    <x v="0"/>
    <n v="0"/>
    <n v="0"/>
    <x v="0"/>
    <x v="0"/>
    <m/>
    <x v="0"/>
    <x v="0"/>
    <x v="0"/>
    <x v="0"/>
    <x v="0"/>
    <n v="0"/>
    <n v="0"/>
    <n v="0"/>
    <n v="12"/>
    <x v="1"/>
    <x v="0"/>
    <m/>
    <x v="0"/>
    <n v="95.8"/>
    <x v="0"/>
    <x v="8"/>
    <x v="0"/>
    <x v="0"/>
    <x v="0"/>
  </r>
  <r>
    <x v="1"/>
    <x v="11"/>
    <s v="4678 J"/>
    <x v="117"/>
    <s v="Liaqat Landa Bazar Lahore"/>
    <s v="LDN"/>
    <n v="19"/>
    <s v="9-9.5"/>
    <s v="LDN"/>
    <n v="50"/>
    <x v="0"/>
    <n v="1"/>
    <n v="53.2"/>
    <n v="2.4"/>
    <m/>
    <x v="0"/>
    <n v="50.800000000000004"/>
    <n v="50.800000000000004"/>
    <m/>
    <x v="0"/>
    <x v="0"/>
    <n v="0"/>
    <n v="0"/>
    <x v="0"/>
    <x v="0"/>
    <m/>
    <x v="0"/>
    <x v="0"/>
    <x v="0"/>
    <x v="0"/>
    <x v="0"/>
    <n v="0"/>
    <n v="0"/>
    <n v="0"/>
    <n v="12"/>
    <x v="1"/>
    <x v="0"/>
    <m/>
    <x v="0"/>
    <n v="56.800000000000004"/>
    <x v="0"/>
    <x v="8"/>
    <x v="0"/>
    <x v="0"/>
    <x v="0"/>
  </r>
  <r>
    <x v="1"/>
    <x v="11"/>
    <s v="2272 F"/>
    <x v="117"/>
    <s v="Usman Amin"/>
    <s v="LDN"/>
    <n v="20"/>
    <s v="6-6.5"/>
    <s v="LDN"/>
    <n v="270"/>
    <x v="0"/>
    <n v="3"/>
    <n v="197.60000000000002"/>
    <n v="7.1999999999999993"/>
    <m/>
    <x v="0"/>
    <n v="190.40000000000003"/>
    <n v="264.60000000000002"/>
    <m/>
    <x v="0"/>
    <x v="0"/>
    <n v="0"/>
    <n v="0"/>
    <x v="0"/>
    <x v="0"/>
    <m/>
    <x v="0"/>
    <x v="0"/>
    <x v="0"/>
    <x v="0"/>
    <x v="0"/>
    <n v="0"/>
    <n v="0"/>
    <n v="0"/>
    <n v="12"/>
    <x v="1"/>
    <x v="0"/>
    <m/>
    <x v="0"/>
    <n v="196.40000000000003"/>
    <x v="0"/>
    <x v="8"/>
    <x v="0"/>
    <x v="0"/>
    <x v="0"/>
  </r>
  <r>
    <x v="0"/>
    <x v="13"/>
    <s v="4499 J"/>
    <x v="117"/>
    <s v="Chairman Foam Pvt Ltd."/>
    <s v="LDM"/>
    <s v="20 شیٹ"/>
    <s v="7-7.5/14-15"/>
    <s v="LDM"/>
    <n v="3000"/>
    <x v="0"/>
    <n v="2"/>
    <n v="235.72"/>
    <n v="5"/>
    <m/>
    <x v="0"/>
    <n v="230.72"/>
    <n v="3009.32"/>
    <n v="5"/>
    <x v="0"/>
    <x v="0"/>
    <n v="5"/>
    <n v="8.3333333333333329E-2"/>
    <x v="0"/>
    <x v="0"/>
    <m/>
    <x v="0"/>
    <x v="0"/>
    <x v="0"/>
    <x v="0"/>
    <x v="0"/>
    <n v="0"/>
    <n v="0"/>
    <n v="8.3333333333333329E-2"/>
    <n v="11.916666666666666"/>
    <x v="1"/>
    <x v="0"/>
    <m/>
    <x v="0"/>
    <n v="236.72"/>
    <x v="0"/>
    <x v="8"/>
    <x v="0"/>
    <x v="0"/>
    <x v="0"/>
  </r>
  <r>
    <x v="0"/>
    <x v="13"/>
    <s v="4578 J"/>
    <x v="117"/>
    <s v="-"/>
    <m/>
    <m/>
    <m/>
    <m/>
    <m/>
    <x v="0"/>
    <n v="2"/>
    <n v="148.83999999999997"/>
    <n v="3.2"/>
    <m/>
    <x v="0"/>
    <n v="145.63999999999999"/>
    <n v="500.73999999999995"/>
    <m/>
    <x v="0"/>
    <x v="0"/>
    <n v="0"/>
    <n v="0"/>
    <x v="0"/>
    <x v="0"/>
    <m/>
    <x v="0"/>
    <x v="0"/>
    <x v="0"/>
    <x v="0"/>
    <x v="0"/>
    <n v="0"/>
    <n v="0"/>
    <n v="0"/>
    <n v="12"/>
    <x v="1"/>
    <x v="0"/>
    <m/>
    <x v="0"/>
    <n v="151.63999999999999"/>
    <x v="0"/>
    <x v="8"/>
    <x v="0"/>
    <x v="0"/>
    <x v="0"/>
  </r>
  <r>
    <x v="1"/>
    <x v="13"/>
    <s v="4563 J"/>
    <x v="117"/>
    <s v="-"/>
    <m/>
    <m/>
    <m/>
    <m/>
    <m/>
    <x v="0"/>
    <n v="1"/>
    <n v="53.4"/>
    <n v="1.6"/>
    <n v="7"/>
    <x v="0"/>
    <n v="51.8"/>
    <n v="154.42000000000002"/>
    <m/>
    <x v="0"/>
    <x v="0"/>
    <n v="0"/>
    <n v="0"/>
    <x v="0"/>
    <x v="0"/>
    <m/>
    <x v="0"/>
    <x v="0"/>
    <x v="0"/>
    <x v="0"/>
    <x v="0"/>
    <n v="0"/>
    <n v="0"/>
    <n v="0"/>
    <n v="12"/>
    <x v="1"/>
    <x v="0"/>
    <m/>
    <x v="0"/>
    <n v="57.8"/>
    <x v="0"/>
    <x v="8"/>
    <x v="0"/>
    <x v="0"/>
    <x v="0"/>
  </r>
  <r>
    <x v="1"/>
    <x v="13"/>
    <s v="4562 J"/>
    <x v="117"/>
    <s v="-"/>
    <m/>
    <m/>
    <m/>
    <m/>
    <m/>
    <x v="0"/>
    <n v="2"/>
    <n v="97.68"/>
    <n v="3"/>
    <m/>
    <x v="0"/>
    <n v="94.68"/>
    <n v="94.68"/>
    <n v="5"/>
    <x v="0"/>
    <x v="0"/>
    <n v="5"/>
    <n v="8.3333333333333329E-2"/>
    <x v="0"/>
    <x v="0"/>
    <m/>
    <x v="0"/>
    <x v="0"/>
    <x v="0"/>
    <x v="0"/>
    <x v="0"/>
    <n v="0"/>
    <n v="0"/>
    <n v="8.3333333333333329E-2"/>
    <n v="11.916666666666666"/>
    <x v="1"/>
    <x v="0"/>
    <m/>
    <x v="0"/>
    <n v="100.68"/>
    <x v="0"/>
    <x v="8"/>
    <x v="0"/>
    <x v="0"/>
    <x v="0"/>
  </r>
  <r>
    <x v="1"/>
    <x v="13"/>
    <s v="4578 J"/>
    <x v="117"/>
    <s v="-"/>
    <m/>
    <m/>
    <m/>
    <m/>
    <m/>
    <x v="0"/>
    <n v="4"/>
    <n v="361.7"/>
    <n v="6.6000000000000005"/>
    <m/>
    <x v="0"/>
    <n v="355.09999999999997"/>
    <n v="500.73999999999995"/>
    <n v="5"/>
    <x v="0"/>
    <x v="0"/>
    <n v="5"/>
    <n v="8.3333333333333329E-2"/>
    <x v="0"/>
    <x v="0"/>
    <m/>
    <x v="0"/>
    <x v="0"/>
    <x v="0"/>
    <x v="0"/>
    <x v="0"/>
    <n v="0"/>
    <n v="0"/>
    <n v="8.3333333333333329E-2"/>
    <n v="11.916666666666666"/>
    <x v="1"/>
    <x v="0"/>
    <m/>
    <x v="0"/>
    <n v="361.09999999999997"/>
    <x v="0"/>
    <x v="8"/>
    <x v="0"/>
    <x v="0"/>
    <x v="0"/>
  </r>
  <r>
    <x v="0"/>
    <x v="12"/>
    <s v="2799/1"/>
    <x v="117"/>
    <s v="ZEPHYR TEXTILE (PVT) LTD"/>
    <s v="LDN"/>
    <n v="23"/>
    <n v="15"/>
    <s v="LDN"/>
    <n v="1000"/>
    <x v="0"/>
    <n v="3"/>
    <n v="312.26000000000005"/>
    <n v="7.1999999999999993"/>
    <m/>
    <x v="0"/>
    <n v="305.06000000000006"/>
    <n v="535.46"/>
    <m/>
    <x v="0"/>
    <x v="0"/>
    <n v="0"/>
    <n v="0"/>
    <x v="0"/>
    <x v="0"/>
    <m/>
    <x v="0"/>
    <x v="0"/>
    <x v="0"/>
    <x v="0"/>
    <x v="0"/>
    <n v="0"/>
    <n v="0"/>
    <n v="0"/>
    <n v="12"/>
    <x v="1"/>
    <x v="0"/>
    <m/>
    <x v="0"/>
    <n v="311.06000000000006"/>
    <x v="0"/>
    <x v="8"/>
    <x v="0"/>
    <x v="0"/>
    <x v="0"/>
  </r>
  <r>
    <x v="0"/>
    <x v="12"/>
    <s v="264 R"/>
    <x v="117"/>
    <s v="ریفلیکٹ پیک"/>
    <s v="LDN"/>
    <n v="20"/>
    <s v="13-14"/>
    <s v="LDN"/>
    <n v="3000"/>
    <x v="0"/>
    <n v="3"/>
    <n v="316.5"/>
    <n v="7.3"/>
    <m/>
    <x v="0"/>
    <n v="309.2"/>
    <n v="2861.7999999999997"/>
    <m/>
    <x v="0"/>
    <x v="0"/>
    <n v="0"/>
    <n v="0"/>
    <x v="0"/>
    <x v="0"/>
    <m/>
    <x v="0"/>
    <x v="0"/>
    <x v="0"/>
    <x v="0"/>
    <x v="0"/>
    <n v="0"/>
    <n v="0"/>
    <n v="0"/>
    <n v="12"/>
    <x v="1"/>
    <x v="0"/>
    <m/>
    <x v="0"/>
    <n v="315.2"/>
    <x v="0"/>
    <x v="8"/>
    <x v="0"/>
    <x v="0"/>
    <x v="0"/>
  </r>
  <r>
    <x v="1"/>
    <x v="12"/>
    <s v="264 R"/>
    <x v="117"/>
    <s v="ریفلیکٹ پیک"/>
    <s v="LDN"/>
    <n v="20"/>
    <s v="13-14"/>
    <s v="LDN"/>
    <n v="3000"/>
    <x v="0"/>
    <n v="6"/>
    <n v="665.19999999999993"/>
    <n v="15.4"/>
    <m/>
    <x v="0"/>
    <n v="649.79999999999995"/>
    <n v="2861.7999999999997"/>
    <m/>
    <x v="0"/>
    <x v="0"/>
    <n v="0"/>
    <n v="0"/>
    <x v="0"/>
    <x v="0"/>
    <m/>
    <x v="0"/>
    <x v="0"/>
    <x v="0"/>
    <x v="0"/>
    <x v="0"/>
    <n v="0"/>
    <n v="0"/>
    <n v="0"/>
    <n v="12"/>
    <x v="1"/>
    <x v="0"/>
    <m/>
    <x v="0"/>
    <n v="655.8"/>
    <x v="0"/>
    <x v="8"/>
    <x v="0"/>
    <x v="0"/>
    <x v="0"/>
  </r>
  <r>
    <x v="0"/>
    <x v="14"/>
    <s v="2247 F"/>
    <x v="117"/>
    <s v="Usman Amin"/>
    <s v="LDN"/>
    <n v="32"/>
    <s v="6-6.5"/>
    <s v="LDN"/>
    <n v="1375"/>
    <x v="0"/>
    <n v="4"/>
    <n v="327.89"/>
    <n v="18"/>
    <m/>
    <x v="0"/>
    <n v="309.89"/>
    <n v="1401.2199999999998"/>
    <m/>
    <x v="0"/>
    <x v="0"/>
    <n v="0"/>
    <n v="0"/>
    <x v="0"/>
    <x v="0"/>
    <m/>
    <x v="0"/>
    <x v="0"/>
    <x v="0"/>
    <x v="0"/>
    <x v="0"/>
    <n v="0"/>
    <n v="0"/>
    <n v="0"/>
    <n v="12"/>
    <x v="1"/>
    <x v="0"/>
    <m/>
    <x v="0"/>
    <n v="315.89"/>
    <x v="0"/>
    <x v="8"/>
    <x v="0"/>
    <x v="0"/>
    <x v="0"/>
  </r>
  <r>
    <x v="0"/>
    <x v="14"/>
    <s v="2269 F"/>
    <x v="117"/>
    <s v="Usman Amin"/>
    <s v="LDN"/>
    <n v="30"/>
    <s v="7"/>
    <s v="LDN"/>
    <n v="250"/>
    <x v="0"/>
    <n v="2"/>
    <n v="163.56"/>
    <n v="7.8"/>
    <m/>
    <x v="0"/>
    <n v="155.76"/>
    <n v="261.15999999999997"/>
    <m/>
    <x v="0"/>
    <x v="0"/>
    <n v="0"/>
    <n v="0"/>
    <x v="0"/>
    <x v="0"/>
    <m/>
    <x v="0"/>
    <x v="0"/>
    <x v="0"/>
    <x v="0"/>
    <x v="0"/>
    <n v="0"/>
    <n v="0"/>
    <n v="0"/>
    <n v="12"/>
    <x v="1"/>
    <x v="0"/>
    <m/>
    <x v="0"/>
    <n v="161.76"/>
    <x v="0"/>
    <x v="8"/>
    <x v="0"/>
    <x v="0"/>
    <x v="0"/>
  </r>
  <r>
    <x v="1"/>
    <x v="14"/>
    <s v="2244 F"/>
    <x v="117"/>
    <s v="Usman Amin"/>
    <s v="LDN"/>
    <n v="31"/>
    <s v="8-8.5"/>
    <s v="LDN"/>
    <n v="55"/>
    <x v="0"/>
    <n v="1"/>
    <n v="72.599999999999994"/>
    <n v="3.1"/>
    <n v="18"/>
    <x v="0"/>
    <n v="69.5"/>
    <n v="69.5"/>
    <m/>
    <x v="0"/>
    <x v="0"/>
    <n v="0"/>
    <n v="0"/>
    <x v="0"/>
    <x v="0"/>
    <m/>
    <x v="0"/>
    <x v="0"/>
    <x v="0"/>
    <x v="0"/>
    <x v="0"/>
    <n v="0"/>
    <n v="0"/>
    <n v="0"/>
    <n v="12"/>
    <x v="1"/>
    <x v="0"/>
    <m/>
    <x v="0"/>
    <n v="75.5"/>
    <x v="0"/>
    <x v="8"/>
    <x v="0"/>
    <x v="0"/>
    <x v="0"/>
  </r>
  <r>
    <x v="1"/>
    <x v="14"/>
    <s v="2269 F"/>
    <x v="117"/>
    <s v="Usman Amin"/>
    <s v="LDN"/>
    <n v="30"/>
    <s v="7"/>
    <s v="LDN"/>
    <n v="250"/>
    <x v="0"/>
    <n v="1"/>
    <n v="108.4"/>
    <n v="3"/>
    <m/>
    <x v="0"/>
    <n v="105.4"/>
    <n v="261.15999999999997"/>
    <n v="5"/>
    <x v="0"/>
    <x v="0"/>
    <n v="5"/>
    <n v="8.3333333333333329E-2"/>
    <x v="0"/>
    <x v="0"/>
    <m/>
    <x v="0"/>
    <x v="0"/>
    <x v="0"/>
    <x v="0"/>
    <x v="0"/>
    <n v="0"/>
    <n v="0"/>
    <n v="8.3333333333333329E-2"/>
    <n v="11.916666666666666"/>
    <x v="1"/>
    <x v="0"/>
    <m/>
    <x v="0"/>
    <n v="111.4"/>
    <x v="0"/>
    <x v="8"/>
    <x v="0"/>
    <x v="0"/>
    <x v="0"/>
  </r>
  <r>
    <x v="1"/>
    <x v="14"/>
    <s v="2268 F"/>
    <x v="117"/>
    <s v="Usman Amin"/>
    <s v="LDN"/>
    <n v="26"/>
    <s v="7"/>
    <s v="LDN"/>
    <n v="200"/>
    <x v="0"/>
    <n v="3"/>
    <n v="221.60999999999999"/>
    <n v="11.399999999999999"/>
    <m/>
    <x v="0"/>
    <n v="210.20999999999998"/>
    <n v="210.20999999999998"/>
    <n v="4"/>
    <x v="0"/>
    <x v="0"/>
    <n v="4"/>
    <n v="6.6666666666666666E-2"/>
    <x v="0"/>
    <x v="0"/>
    <m/>
    <x v="0"/>
    <x v="0"/>
    <x v="0"/>
    <x v="0"/>
    <x v="0"/>
    <n v="0"/>
    <n v="0"/>
    <n v="6.6666666666666666E-2"/>
    <n v="11.933333333333334"/>
    <x v="1"/>
    <x v="0"/>
    <m/>
    <x v="0"/>
    <n v="216.20999999999998"/>
    <x v="0"/>
    <x v="8"/>
    <x v="0"/>
    <x v="0"/>
    <x v="0"/>
  </r>
  <r>
    <x v="1"/>
    <x v="14"/>
    <s v="2247 F"/>
    <x v="117"/>
    <s v="Usman Amin"/>
    <s v="LDN"/>
    <n v="32"/>
    <s v="6-6.5"/>
    <s v="LDN"/>
    <n v="1375"/>
    <x v="0"/>
    <n v="1"/>
    <n v="75.099999999999994"/>
    <n v="4.5"/>
    <m/>
    <x v="0"/>
    <n v="70.599999999999994"/>
    <n v="1401.2199999999998"/>
    <n v="4"/>
    <x v="0"/>
    <x v="0"/>
    <n v="4"/>
    <n v="6.6666666666666666E-2"/>
    <x v="0"/>
    <x v="0"/>
    <m/>
    <x v="0"/>
    <x v="0"/>
    <x v="0"/>
    <x v="0"/>
    <x v="0"/>
    <n v="0"/>
    <n v="0"/>
    <n v="6.6666666666666666E-2"/>
    <n v="11.933333333333334"/>
    <x v="1"/>
    <x v="0"/>
    <m/>
    <x v="0"/>
    <n v="76.599999999999994"/>
    <x v="0"/>
    <x v="8"/>
    <x v="0"/>
    <x v="0"/>
    <x v="0"/>
  </r>
  <r>
    <x v="1"/>
    <x v="14"/>
    <s v="2271 F"/>
    <x v="117"/>
    <s v="Usman Amin"/>
    <s v="LDN"/>
    <n v="24"/>
    <s v="7"/>
    <s v="LDN"/>
    <n v="90"/>
    <x v="0"/>
    <n v="1"/>
    <n v="58.5"/>
    <n v="3"/>
    <m/>
    <x v="0"/>
    <n v="55.5"/>
    <n v="55.5"/>
    <n v="5"/>
    <x v="0"/>
    <x v="0"/>
    <n v="5"/>
    <n v="8.3333333333333329E-2"/>
    <x v="0"/>
    <x v="0"/>
    <m/>
    <x v="0"/>
    <x v="0"/>
    <x v="0"/>
    <x v="0"/>
    <x v="0"/>
    <n v="0"/>
    <n v="0"/>
    <n v="8.3333333333333329E-2"/>
    <n v="11.916666666666666"/>
    <x v="1"/>
    <x v="0"/>
    <m/>
    <x v="0"/>
    <n v="61.5"/>
    <x v="0"/>
    <x v="8"/>
    <x v="0"/>
    <x v="0"/>
    <x v="0"/>
  </r>
  <r>
    <x v="0"/>
    <x v="15"/>
    <s v="4463 J"/>
    <x v="117"/>
    <s v="Usman Arif Butt Gujranwala"/>
    <s v="LDN"/>
    <n v="2"/>
    <n v="14"/>
    <s v="LDN"/>
    <n v="300"/>
    <x v="0"/>
    <n v="4"/>
    <n v="84.34"/>
    <n v="2.08"/>
    <m/>
    <x v="0"/>
    <n v="82.26"/>
    <n v="304.86"/>
    <m/>
    <x v="0"/>
    <x v="0"/>
    <n v="0"/>
    <n v="0"/>
    <x v="0"/>
    <x v="0"/>
    <m/>
    <x v="0"/>
    <x v="0"/>
    <x v="0"/>
    <x v="0"/>
    <x v="0"/>
    <n v="0"/>
    <n v="0"/>
    <n v="0"/>
    <n v="12"/>
    <x v="1"/>
    <x v="0"/>
    <m/>
    <x v="0"/>
    <n v="88.26"/>
    <x v="0"/>
    <x v="8"/>
    <x v="0"/>
    <x v="0"/>
    <x v="0"/>
  </r>
  <r>
    <x v="1"/>
    <x v="15"/>
    <s v="4463 J"/>
    <x v="117"/>
    <s v="Usman Arif Butt Gujranwala"/>
    <s v="LDN"/>
    <n v="2"/>
    <n v="14"/>
    <s v="LDN"/>
    <n v="300"/>
    <x v="0"/>
    <n v="3"/>
    <n v="65.36"/>
    <n v="1.56"/>
    <n v="5"/>
    <x v="0"/>
    <n v="63.8"/>
    <n v="304.86"/>
    <n v="5"/>
    <x v="0"/>
    <x v="0"/>
    <n v="5"/>
    <n v="8.3333333333333329E-2"/>
    <x v="0"/>
    <x v="0"/>
    <m/>
    <x v="0"/>
    <x v="0"/>
    <x v="0"/>
    <x v="0"/>
    <x v="0"/>
    <n v="0"/>
    <n v="0"/>
    <n v="8.3333333333333329E-2"/>
    <n v="11.916666666666666"/>
    <x v="1"/>
    <x v="0"/>
    <m/>
    <x v="0"/>
    <n v="69.8"/>
    <x v="0"/>
    <x v="8"/>
    <x v="0"/>
    <x v="0"/>
    <x v="0"/>
  </r>
  <r>
    <x v="1"/>
    <x v="15"/>
    <s v="4703 J"/>
    <x v="117"/>
    <s v="Usman Arif Butt Gujranwala"/>
    <s v="LDN"/>
    <n v="4"/>
    <n v="10"/>
    <s v="LDN"/>
    <n v="150"/>
    <x v="0"/>
    <n v="1"/>
    <n v="49.34"/>
    <n v="0.95"/>
    <m/>
    <x v="0"/>
    <n v="48.39"/>
    <n v="146.69"/>
    <m/>
    <x v="0"/>
    <x v="0"/>
    <n v="0"/>
    <n v="0"/>
    <x v="0"/>
    <x v="0"/>
    <m/>
    <x v="0"/>
    <x v="0"/>
    <x v="0"/>
    <x v="0"/>
    <x v="0"/>
    <n v="0"/>
    <n v="0"/>
    <n v="0"/>
    <n v="12"/>
    <x v="1"/>
    <x v="0"/>
    <m/>
    <x v="0"/>
    <n v="54.39"/>
    <x v="0"/>
    <x v="8"/>
    <x v="0"/>
    <x v="0"/>
    <x v="0"/>
  </r>
  <r>
    <x v="0"/>
    <x v="8"/>
    <s v="4533 J"/>
    <x v="118"/>
    <s v="-"/>
    <m/>
    <m/>
    <m/>
    <m/>
    <m/>
    <x v="0"/>
    <n v="2"/>
    <n v="103.30000000000001"/>
    <n v="1.8"/>
    <m/>
    <x v="0"/>
    <n v="101.50000000000001"/>
    <n v="968.06999999999994"/>
    <m/>
    <x v="0"/>
    <x v="0"/>
    <n v="0"/>
    <n v="0"/>
    <x v="0"/>
    <x v="0"/>
    <m/>
    <x v="0"/>
    <x v="0"/>
    <x v="0"/>
    <x v="0"/>
    <x v="0"/>
    <n v="0"/>
    <n v="0"/>
    <n v="0"/>
    <n v="12"/>
    <x v="1"/>
    <x v="0"/>
    <n v="2361"/>
    <x v="0"/>
    <n v="107.50000000000001"/>
    <x v="1"/>
    <x v="8"/>
    <x v="0"/>
    <x v="0"/>
    <x v="0"/>
  </r>
  <r>
    <x v="1"/>
    <x v="8"/>
    <s v="4533 J"/>
    <x v="118"/>
    <s v="-"/>
    <m/>
    <m/>
    <m/>
    <m/>
    <m/>
    <x v="0"/>
    <n v="3"/>
    <n v="109.27"/>
    <n v="2.4000000000000004"/>
    <n v="5"/>
    <x v="0"/>
    <n v="106.86999999999999"/>
    <n v="968.06999999999994"/>
    <m/>
    <x v="0"/>
    <x v="0"/>
    <n v="0"/>
    <n v="0"/>
    <x v="0"/>
    <x v="0"/>
    <m/>
    <x v="0"/>
    <x v="0"/>
    <x v="0"/>
    <x v="10"/>
    <x v="0"/>
    <n v="35"/>
    <n v="0.58333333333333337"/>
    <n v="0.58333333333333337"/>
    <n v="11.416666666666666"/>
    <x v="1"/>
    <x v="0"/>
    <m/>
    <x v="0"/>
    <n v="112.86999999999999"/>
    <x v="0"/>
    <x v="8"/>
    <x v="0"/>
    <x v="0"/>
    <x v="0"/>
  </r>
  <r>
    <x v="0"/>
    <x v="11"/>
    <s v="2272 F"/>
    <x v="118"/>
    <s v="Usman Amin"/>
    <s v="LDN"/>
    <n v="20"/>
    <s v="6-6.5"/>
    <s v="LDN"/>
    <n v="270"/>
    <x v="0"/>
    <n v="1"/>
    <n v="76.599999999999994"/>
    <n v="2.4"/>
    <m/>
    <x v="0"/>
    <n v="74.199999999999989"/>
    <n v="264.60000000000002"/>
    <m/>
    <x v="0"/>
    <x v="0"/>
    <n v="0"/>
    <n v="0"/>
    <x v="0"/>
    <x v="0"/>
    <m/>
    <x v="0"/>
    <x v="0"/>
    <x v="0"/>
    <x v="0"/>
    <x v="0"/>
    <n v="0"/>
    <n v="0"/>
    <n v="0"/>
    <n v="12"/>
    <x v="1"/>
    <x v="0"/>
    <m/>
    <x v="0"/>
    <n v="80.199999999999989"/>
    <x v="0"/>
    <x v="8"/>
    <x v="0"/>
    <x v="0"/>
    <x v="0"/>
  </r>
  <r>
    <x v="0"/>
    <x v="11"/>
    <s v="2276 F"/>
    <x v="118"/>
    <s v="Usman Amin"/>
    <s v="LDN"/>
    <n v="16"/>
    <s v="7-7.5"/>
    <s v="LDN"/>
    <n v="76"/>
    <x v="0"/>
    <n v="2"/>
    <n v="107.6"/>
    <n v="3.8"/>
    <m/>
    <x v="0"/>
    <n v="103.8"/>
    <n v="103.8"/>
    <m/>
    <x v="0"/>
    <x v="0"/>
    <n v="0"/>
    <n v="0"/>
    <x v="0"/>
    <x v="0"/>
    <m/>
    <x v="0"/>
    <x v="0"/>
    <x v="0"/>
    <x v="0"/>
    <x v="0"/>
    <n v="0"/>
    <n v="0"/>
    <n v="0"/>
    <n v="12"/>
    <x v="1"/>
    <x v="0"/>
    <m/>
    <x v="0"/>
    <n v="109.8"/>
    <x v="0"/>
    <x v="8"/>
    <x v="0"/>
    <x v="0"/>
    <x v="0"/>
  </r>
  <r>
    <x v="0"/>
    <x v="11"/>
    <s v="4690 J"/>
    <x v="118"/>
    <s v="M Faisal Gujranwala"/>
    <s v="LDN"/>
    <n v="16"/>
    <n v="14"/>
    <s v="LDN"/>
    <n v="150"/>
    <x v="0"/>
    <n v="1"/>
    <n v="72.400000000000006"/>
    <n v="1.9"/>
    <m/>
    <x v="0"/>
    <n v="70.5"/>
    <n v="133.9"/>
    <m/>
    <x v="0"/>
    <x v="0"/>
    <n v="0"/>
    <n v="0"/>
    <x v="0"/>
    <x v="0"/>
    <m/>
    <x v="0"/>
    <x v="0"/>
    <x v="0"/>
    <x v="0"/>
    <x v="0"/>
    <n v="0"/>
    <n v="0"/>
    <n v="0"/>
    <n v="12"/>
    <x v="1"/>
    <x v="0"/>
    <m/>
    <x v="0"/>
    <n v="76.5"/>
    <x v="0"/>
    <x v="8"/>
    <x v="0"/>
    <x v="0"/>
    <x v="0"/>
  </r>
  <r>
    <x v="1"/>
    <x v="11"/>
    <s v="4690 J"/>
    <x v="118"/>
    <s v="M Faisal Gujranwala"/>
    <s v="LDN"/>
    <n v="16"/>
    <n v="14"/>
    <s v="LDN"/>
    <n v="150"/>
    <x v="0"/>
    <n v="1"/>
    <n v="65.3"/>
    <n v="1.9"/>
    <m/>
    <x v="0"/>
    <n v="63.4"/>
    <n v="133.9"/>
    <m/>
    <x v="0"/>
    <x v="0"/>
    <n v="0"/>
    <n v="0"/>
    <x v="0"/>
    <x v="0"/>
    <m/>
    <x v="0"/>
    <x v="0"/>
    <x v="0"/>
    <x v="0"/>
    <x v="0"/>
    <n v="0"/>
    <n v="0"/>
    <n v="0"/>
    <n v="12"/>
    <x v="1"/>
    <x v="0"/>
    <m/>
    <x v="0"/>
    <n v="69.400000000000006"/>
    <x v="0"/>
    <x v="8"/>
    <x v="0"/>
    <x v="0"/>
    <x v="0"/>
  </r>
  <r>
    <x v="1"/>
    <x v="11"/>
    <s v="2274 F"/>
    <x v="118"/>
    <s v="Usman Amin"/>
    <s v="LDN"/>
    <n v="15"/>
    <s v="7-7.5"/>
    <s v="LDN"/>
    <n v="85"/>
    <x v="0"/>
    <n v="2"/>
    <n v="109.6"/>
    <n v="2.6"/>
    <m/>
    <x v="0"/>
    <n v="107"/>
    <n v="107"/>
    <m/>
    <x v="0"/>
    <x v="0"/>
    <n v="0"/>
    <n v="0"/>
    <x v="0"/>
    <x v="0"/>
    <m/>
    <x v="0"/>
    <x v="0"/>
    <x v="0"/>
    <x v="0"/>
    <x v="0"/>
    <n v="0"/>
    <n v="0"/>
    <n v="0"/>
    <n v="12"/>
    <x v="1"/>
    <x v="0"/>
    <m/>
    <x v="0"/>
    <n v="113"/>
    <x v="0"/>
    <x v="8"/>
    <x v="0"/>
    <x v="0"/>
    <x v="0"/>
  </r>
  <r>
    <x v="1"/>
    <x v="11"/>
    <s v="2275 F"/>
    <x v="118"/>
    <s v="Usman Amin"/>
    <s v="LDN"/>
    <n v="14"/>
    <s v="7.7.5"/>
    <s v="LDN"/>
    <n v="24"/>
    <x v="0"/>
    <n v="1"/>
    <n v="46.3"/>
    <n v="1.7"/>
    <m/>
    <x v="0"/>
    <n v="44.599999999999994"/>
    <n v="105.69999999999999"/>
    <m/>
    <x v="0"/>
    <x v="0"/>
    <n v="0"/>
    <n v="0"/>
    <x v="0"/>
    <x v="0"/>
    <m/>
    <x v="0"/>
    <x v="0"/>
    <x v="0"/>
    <x v="0"/>
    <x v="0"/>
    <n v="0"/>
    <n v="0"/>
    <n v="0"/>
    <n v="12"/>
    <x v="1"/>
    <x v="0"/>
    <m/>
    <x v="0"/>
    <n v="50.599999999999994"/>
    <x v="0"/>
    <x v="8"/>
    <x v="0"/>
    <x v="0"/>
    <x v="0"/>
  </r>
  <r>
    <x v="0"/>
    <x v="13"/>
    <s v="4563 J"/>
    <x v="118"/>
    <s v="-"/>
    <m/>
    <m/>
    <m/>
    <m/>
    <m/>
    <x v="0"/>
    <n v="2"/>
    <n v="106.62"/>
    <n v="4"/>
    <m/>
    <x v="0"/>
    <n v="102.62"/>
    <n v="154.42000000000002"/>
    <m/>
    <x v="0"/>
    <x v="0"/>
    <n v="0"/>
    <n v="0"/>
    <x v="0"/>
    <x v="0"/>
    <m/>
    <x v="0"/>
    <x v="0"/>
    <x v="0"/>
    <x v="0"/>
    <x v="4"/>
    <n v="180"/>
    <n v="3"/>
    <n v="3"/>
    <n v="9"/>
    <x v="1"/>
    <x v="0"/>
    <m/>
    <x v="0"/>
    <n v="108.62"/>
    <x v="0"/>
    <x v="8"/>
    <x v="0"/>
    <x v="0"/>
    <x v="0"/>
  </r>
  <r>
    <x v="0"/>
    <x v="13"/>
    <s v="2802/1"/>
    <x v="118"/>
    <s v="PT-02 (MURAD PLASTIC MINGORA)"/>
    <s v="LDM"/>
    <n v="9"/>
    <n v="12"/>
    <s v="LDM"/>
    <n v="100"/>
    <x v="0"/>
    <n v="4"/>
    <n v="110.86"/>
    <n v="4.5"/>
    <m/>
    <x v="0"/>
    <n v="106.36"/>
    <n v="106.36"/>
    <m/>
    <x v="0"/>
    <x v="0"/>
    <n v="0"/>
    <n v="0"/>
    <x v="0"/>
    <x v="0"/>
    <m/>
    <x v="0"/>
    <x v="0"/>
    <x v="0"/>
    <x v="0"/>
    <x v="0"/>
    <n v="0"/>
    <n v="0"/>
    <n v="0"/>
    <n v="12"/>
    <x v="1"/>
    <x v="0"/>
    <m/>
    <x v="0"/>
    <n v="112.36"/>
    <x v="0"/>
    <x v="8"/>
    <x v="0"/>
    <x v="0"/>
    <x v="0"/>
  </r>
  <r>
    <x v="1"/>
    <x v="13"/>
    <s v="2802/2"/>
    <x v="118"/>
    <s v="PT-02 (MURAD PLASTIC MINGORA)"/>
    <s v="LDM"/>
    <n v="7"/>
    <n v="12"/>
    <s v="LDM"/>
    <n v="100"/>
    <x v="0"/>
    <n v="3"/>
    <n v="104.10000000000001"/>
    <n v="2.0999999999999996"/>
    <m/>
    <x v="0"/>
    <n v="102.00000000000001"/>
    <n v="102.00000000000001"/>
    <n v="5"/>
    <x v="0"/>
    <x v="0"/>
    <n v="5"/>
    <n v="8.3333333333333329E-2"/>
    <x v="0"/>
    <x v="0"/>
    <m/>
    <x v="0"/>
    <x v="0"/>
    <x v="0"/>
    <x v="0"/>
    <x v="0"/>
    <n v="0"/>
    <n v="0"/>
    <n v="8.3333333333333329E-2"/>
    <n v="11.916666666666666"/>
    <x v="1"/>
    <x v="0"/>
    <m/>
    <x v="0"/>
    <n v="108.00000000000001"/>
    <x v="0"/>
    <x v="8"/>
    <x v="0"/>
    <x v="0"/>
    <x v="0"/>
  </r>
  <r>
    <x v="1"/>
    <x v="13"/>
    <s v="4677 J"/>
    <x v="118"/>
    <s v="DW Organic Dairy Farms Kasur"/>
    <s v="LDM"/>
    <n v="14"/>
    <s v="15-16"/>
    <s v="LDM"/>
    <n v="120"/>
    <x v="0"/>
    <n v="3"/>
    <n v="120.10000000000001"/>
    <n v="2.4000000000000004"/>
    <m/>
    <x v="0"/>
    <n v="117.7"/>
    <n v="117.7"/>
    <m/>
    <x v="0"/>
    <x v="0"/>
    <n v="0"/>
    <n v="0"/>
    <x v="0"/>
    <x v="0"/>
    <m/>
    <x v="0"/>
    <x v="0"/>
    <x v="0"/>
    <x v="0"/>
    <x v="0"/>
    <n v="0"/>
    <n v="0"/>
    <n v="0"/>
    <n v="12"/>
    <x v="1"/>
    <x v="0"/>
    <m/>
    <x v="0"/>
    <n v="123.7"/>
    <x v="0"/>
    <x v="8"/>
    <x v="0"/>
    <x v="0"/>
    <x v="0"/>
  </r>
  <r>
    <x v="0"/>
    <x v="12"/>
    <s v="264 R"/>
    <x v="118"/>
    <s v="ریفلیکٹ پیک"/>
    <s v="LDN"/>
    <n v="20"/>
    <s v="13-14"/>
    <s v="LDN"/>
    <n v="3000"/>
    <x v="0"/>
    <n v="5"/>
    <n v="585.9"/>
    <n v="12"/>
    <n v="35"/>
    <x v="0"/>
    <n v="573.9"/>
    <n v="2861.7999999999997"/>
    <m/>
    <x v="0"/>
    <x v="0"/>
    <n v="0"/>
    <n v="0"/>
    <x v="0"/>
    <x v="0"/>
    <m/>
    <x v="0"/>
    <x v="0"/>
    <x v="0"/>
    <x v="0"/>
    <x v="0"/>
    <n v="0"/>
    <n v="0"/>
    <n v="0"/>
    <n v="12"/>
    <x v="1"/>
    <x v="0"/>
    <m/>
    <x v="0"/>
    <n v="579.9"/>
    <x v="0"/>
    <x v="8"/>
    <x v="0"/>
    <x v="0"/>
    <x v="0"/>
  </r>
  <r>
    <x v="1"/>
    <x v="12"/>
    <s v="264 R"/>
    <x v="118"/>
    <s v="ریفلیکٹ پیک"/>
    <s v="LDN"/>
    <n v="20"/>
    <s v="13-14"/>
    <s v="LDN"/>
    <n v="3000"/>
    <x v="0"/>
    <n v="4"/>
    <n v="432.7"/>
    <n v="10"/>
    <n v="45"/>
    <x v="0"/>
    <n v="422.7"/>
    <n v="2861.7999999999997"/>
    <n v="5"/>
    <x v="0"/>
    <x v="0"/>
    <n v="5"/>
    <n v="8.3333333333333329E-2"/>
    <x v="0"/>
    <x v="0"/>
    <m/>
    <x v="2"/>
    <x v="0"/>
    <x v="0"/>
    <x v="0"/>
    <x v="0"/>
    <n v="5"/>
    <n v="8.3333333333333329E-2"/>
    <n v="0.16666666666666666"/>
    <n v="11.833333333333334"/>
    <x v="1"/>
    <x v="0"/>
    <m/>
    <x v="0"/>
    <n v="428.7"/>
    <x v="0"/>
    <x v="8"/>
    <x v="0"/>
    <x v="0"/>
    <x v="0"/>
  </r>
  <r>
    <x v="1"/>
    <x v="12"/>
    <s v="4691 J"/>
    <x v="118"/>
    <s v="M Faisal Gujranwala"/>
    <s v="LDN"/>
    <n v="20"/>
    <n v="14"/>
    <s v="LDN"/>
    <n v="150"/>
    <x v="0"/>
    <n v="2"/>
    <n v="155.19999999999999"/>
    <n v="5.2"/>
    <m/>
    <x v="0"/>
    <n v="150"/>
    <n v="150"/>
    <n v="5"/>
    <x v="0"/>
    <x v="0"/>
    <n v="5"/>
    <n v="8.3333333333333329E-2"/>
    <x v="0"/>
    <x v="0"/>
    <m/>
    <x v="2"/>
    <x v="0"/>
    <x v="0"/>
    <x v="0"/>
    <x v="0"/>
    <n v="5"/>
    <n v="8.3333333333333329E-2"/>
    <n v="0.16666666666666666"/>
    <n v="11.833333333333334"/>
    <x v="1"/>
    <x v="0"/>
    <m/>
    <x v="0"/>
    <n v="156"/>
    <x v="0"/>
    <x v="8"/>
    <x v="0"/>
    <x v="0"/>
    <x v="0"/>
  </r>
  <r>
    <x v="0"/>
    <x v="14"/>
    <s v="2227 F"/>
    <x v="118"/>
    <s v="Usman Amin"/>
    <s v="LDN"/>
    <n v="19"/>
    <s v="5.5-6"/>
    <s v="LDN"/>
    <n v="190"/>
    <x v="0"/>
    <n v="2"/>
    <n v="118.4"/>
    <n v="4.4000000000000004"/>
    <m/>
    <x v="0"/>
    <n v="114"/>
    <n v="207.6"/>
    <m/>
    <x v="0"/>
    <x v="0"/>
    <n v="0"/>
    <n v="0"/>
    <x v="0"/>
    <x v="0"/>
    <m/>
    <x v="0"/>
    <x v="0"/>
    <x v="0"/>
    <x v="0"/>
    <x v="0"/>
    <n v="0"/>
    <n v="0"/>
    <n v="0"/>
    <n v="12"/>
    <x v="1"/>
    <x v="0"/>
    <m/>
    <x v="0"/>
    <n v="120"/>
    <x v="0"/>
    <x v="8"/>
    <x v="0"/>
    <x v="0"/>
    <x v="0"/>
  </r>
  <r>
    <x v="0"/>
    <x v="14"/>
    <s v="2252 F"/>
    <x v="118"/>
    <s v="Usman Amin"/>
    <s v="LDN"/>
    <n v="17.5"/>
    <s v="5"/>
    <s v="LDN"/>
    <n v="35"/>
    <x v="0"/>
    <n v="1"/>
    <n v="32.700000000000003"/>
    <n v="1.7"/>
    <m/>
    <x v="0"/>
    <n v="31.000000000000004"/>
    <n v="31.000000000000004"/>
    <m/>
    <x v="0"/>
    <x v="0"/>
    <n v="0"/>
    <n v="0"/>
    <x v="0"/>
    <x v="0"/>
    <m/>
    <x v="0"/>
    <x v="0"/>
    <x v="0"/>
    <x v="0"/>
    <x v="0"/>
    <n v="0"/>
    <n v="0"/>
    <n v="0"/>
    <n v="12"/>
    <x v="1"/>
    <x v="0"/>
    <m/>
    <x v="0"/>
    <n v="37"/>
    <x v="0"/>
    <x v="8"/>
    <x v="0"/>
    <x v="0"/>
    <x v="0"/>
  </r>
  <r>
    <x v="0"/>
    <x v="14"/>
    <s v="2284 F"/>
    <x v="118"/>
    <s v="Usman Amin"/>
    <s v="LDN"/>
    <n v="17"/>
    <s v="7.5-8"/>
    <s v="LDN"/>
    <n v="1000"/>
    <x v="0"/>
    <n v="2"/>
    <n v="162.89999999999998"/>
    <n v="3.4"/>
    <m/>
    <x v="0"/>
    <n v="159.49999999999997"/>
    <n v="1118.72"/>
    <m/>
    <x v="0"/>
    <x v="0"/>
    <n v="0"/>
    <n v="0"/>
    <x v="0"/>
    <x v="0"/>
    <m/>
    <x v="0"/>
    <x v="0"/>
    <x v="0"/>
    <x v="0"/>
    <x v="0"/>
    <n v="0"/>
    <n v="0"/>
    <n v="0"/>
    <n v="12"/>
    <x v="1"/>
    <x v="0"/>
    <m/>
    <x v="0"/>
    <n v="165.49999999999997"/>
    <x v="0"/>
    <x v="8"/>
    <x v="0"/>
    <x v="0"/>
    <x v="0"/>
  </r>
  <r>
    <x v="1"/>
    <x v="14"/>
    <s v="2284 F"/>
    <x v="118"/>
    <s v="Usman Amin"/>
    <s v="LDN"/>
    <n v="17"/>
    <s v="7.5-8"/>
    <s v="LDN"/>
    <n v="1000"/>
    <x v="0"/>
    <n v="1"/>
    <n v="69.7"/>
    <n v="2.1"/>
    <m/>
    <x v="0"/>
    <n v="67.600000000000009"/>
    <n v="1118.72"/>
    <m/>
    <x v="0"/>
    <x v="0"/>
    <n v="0"/>
    <n v="0"/>
    <x v="0"/>
    <x v="0"/>
    <m/>
    <x v="0"/>
    <x v="0"/>
    <x v="0"/>
    <x v="0"/>
    <x v="0"/>
    <n v="0"/>
    <n v="0"/>
    <n v="0"/>
    <n v="12"/>
    <x v="1"/>
    <x v="0"/>
    <m/>
    <x v="0"/>
    <n v="73.600000000000009"/>
    <x v="0"/>
    <x v="8"/>
    <x v="0"/>
    <x v="0"/>
    <x v="0"/>
  </r>
  <r>
    <x v="1"/>
    <x v="14"/>
    <s v="2264 F"/>
    <x v="118"/>
    <s v="Usman Amin"/>
    <s v="LDN"/>
    <n v="21"/>
    <s v="7-7.5"/>
    <s v="LDN"/>
    <n v="600"/>
    <x v="0"/>
    <n v="6"/>
    <n v="405.5"/>
    <n v="21.4"/>
    <m/>
    <x v="0"/>
    <n v="384.1"/>
    <n v="1261.4000000000001"/>
    <m/>
    <x v="0"/>
    <x v="0"/>
    <n v="0"/>
    <n v="0"/>
    <x v="0"/>
    <x v="0"/>
    <m/>
    <x v="0"/>
    <x v="0"/>
    <x v="0"/>
    <x v="0"/>
    <x v="0"/>
    <n v="0"/>
    <n v="0"/>
    <n v="0"/>
    <n v="12"/>
    <x v="1"/>
    <x v="0"/>
    <m/>
    <x v="0"/>
    <n v="390.1"/>
    <x v="0"/>
    <x v="8"/>
    <x v="0"/>
    <x v="0"/>
    <x v="0"/>
  </r>
  <r>
    <x v="0"/>
    <x v="15"/>
    <s v="4703 J"/>
    <x v="118"/>
    <s v="Usman Arif Butt Gujranwala"/>
    <s v="LDN"/>
    <n v="4"/>
    <n v="10"/>
    <s v="LDN"/>
    <n v="150"/>
    <x v="0"/>
    <n v="2"/>
    <n v="100.3"/>
    <n v="2"/>
    <m/>
    <x v="0"/>
    <n v="98.3"/>
    <n v="146.69"/>
    <m/>
    <x v="0"/>
    <x v="0"/>
    <n v="0"/>
    <n v="0"/>
    <x v="0"/>
    <x v="0"/>
    <m/>
    <x v="0"/>
    <x v="0"/>
    <x v="0"/>
    <x v="0"/>
    <x v="0"/>
    <n v="0"/>
    <n v="0"/>
    <n v="0"/>
    <n v="12"/>
    <x v="1"/>
    <x v="0"/>
    <m/>
    <x v="0"/>
    <n v="104.3"/>
    <x v="0"/>
    <x v="8"/>
    <x v="0"/>
    <x v="0"/>
    <x v="0"/>
  </r>
  <r>
    <x v="1"/>
    <x v="15"/>
    <s v="4705 J"/>
    <x v="118"/>
    <s v="Usman Arif Butt Gujranwala"/>
    <s v="LDN"/>
    <n v="6"/>
    <n v="10"/>
    <s v="LDN"/>
    <n v="150"/>
    <x v="0"/>
    <n v="4"/>
    <n v="151.43"/>
    <n v="3.02"/>
    <n v="8"/>
    <x v="0"/>
    <n v="148.41"/>
    <n v="148.41"/>
    <m/>
    <x v="0"/>
    <x v="0"/>
    <n v="0"/>
    <n v="0"/>
    <x v="0"/>
    <x v="0"/>
    <m/>
    <x v="0"/>
    <x v="0"/>
    <x v="0"/>
    <x v="0"/>
    <x v="0"/>
    <n v="0"/>
    <n v="0"/>
    <n v="0"/>
    <n v="12"/>
    <x v="1"/>
    <x v="0"/>
    <m/>
    <x v="0"/>
    <n v="154.41"/>
    <x v="0"/>
    <x v="8"/>
    <x v="0"/>
    <x v="0"/>
    <x v="0"/>
  </r>
  <r>
    <x v="1"/>
    <x v="15"/>
    <s v="4704 J"/>
    <x v="118"/>
    <s v="Usman Arif Butt Gujranwala"/>
    <s v="LDN"/>
    <n v="5"/>
    <n v="10"/>
    <s v="LDN"/>
    <n v="150"/>
    <x v="0"/>
    <n v="1"/>
    <n v="30.46"/>
    <n v="0.6"/>
    <m/>
    <x v="0"/>
    <n v="29.86"/>
    <n v="156.91999999999999"/>
    <n v="5"/>
    <x v="0"/>
    <x v="0"/>
    <n v="5"/>
    <n v="8.3333333333333329E-2"/>
    <x v="0"/>
    <x v="0"/>
    <m/>
    <x v="0"/>
    <x v="0"/>
    <x v="0"/>
    <x v="0"/>
    <x v="0"/>
    <n v="0"/>
    <n v="0"/>
    <n v="8.3333333333333329E-2"/>
    <n v="11.916666666666666"/>
    <x v="1"/>
    <x v="0"/>
    <m/>
    <x v="0"/>
    <n v="35.86"/>
    <x v="0"/>
    <x v="8"/>
    <x v="0"/>
    <x v="0"/>
    <x v="0"/>
  </r>
  <r>
    <x v="0"/>
    <x v="8"/>
    <s v="4533 J"/>
    <x v="119"/>
    <s v="-"/>
    <m/>
    <m/>
    <m/>
    <m/>
    <m/>
    <x v="0"/>
    <n v="3"/>
    <n v="125.31"/>
    <n v="3.2"/>
    <m/>
    <x v="5"/>
    <n v="122.11"/>
    <n v="968.06999999999994"/>
    <m/>
    <x v="0"/>
    <x v="0"/>
    <n v="0"/>
    <n v="0"/>
    <x v="0"/>
    <x v="0"/>
    <m/>
    <x v="0"/>
    <x v="0"/>
    <x v="0"/>
    <x v="0"/>
    <x v="0"/>
    <n v="0"/>
    <n v="0"/>
    <n v="0"/>
    <n v="12"/>
    <x v="1"/>
    <x v="0"/>
    <n v="2543.5"/>
    <x v="0"/>
    <n v="128.11000000000001"/>
    <x v="1"/>
    <x v="8"/>
    <x v="0"/>
    <x v="0"/>
    <x v="0"/>
  </r>
  <r>
    <x v="1"/>
    <x v="8"/>
    <s v="4533 J"/>
    <x v="119"/>
    <s v="-"/>
    <m/>
    <m/>
    <m/>
    <m/>
    <m/>
    <x v="0"/>
    <n v="1"/>
    <n v="58.96"/>
    <n v="1.2"/>
    <m/>
    <x v="0"/>
    <n v="57.76"/>
    <n v="968.06999999999994"/>
    <n v="5"/>
    <x v="0"/>
    <x v="0"/>
    <n v="5"/>
    <n v="8.3333333333333329E-2"/>
    <x v="0"/>
    <x v="0"/>
    <m/>
    <x v="0"/>
    <x v="0"/>
    <x v="0"/>
    <x v="0"/>
    <x v="0"/>
    <n v="0"/>
    <n v="0"/>
    <n v="8.3333333333333329E-2"/>
    <n v="11.916666666666666"/>
    <x v="1"/>
    <x v="0"/>
    <m/>
    <x v="0"/>
    <n v="63.76"/>
    <x v="0"/>
    <x v="8"/>
    <x v="0"/>
    <x v="0"/>
    <x v="0"/>
  </r>
  <r>
    <x v="1"/>
    <x v="8"/>
    <s v="4709 J"/>
    <x v="119"/>
    <s v="Usman Arif Butt Gujranwala"/>
    <s v="LDN"/>
    <n v="6"/>
    <n v="10"/>
    <s v="LDN"/>
    <n v="150"/>
    <x v="0"/>
    <n v="1"/>
    <n v="41.06"/>
    <n v="0.8"/>
    <m/>
    <x v="0"/>
    <n v="40.260000000000005"/>
    <n v="142.42000000000002"/>
    <m/>
    <x v="0"/>
    <x v="0"/>
    <n v="0"/>
    <n v="0"/>
    <x v="0"/>
    <x v="0"/>
    <m/>
    <x v="0"/>
    <x v="0"/>
    <x v="0"/>
    <x v="0"/>
    <x v="0"/>
    <n v="0"/>
    <n v="0"/>
    <n v="0"/>
    <n v="12"/>
    <x v="1"/>
    <x v="0"/>
    <m/>
    <x v="0"/>
    <n v="46.260000000000005"/>
    <x v="0"/>
    <x v="8"/>
    <x v="0"/>
    <x v="0"/>
    <x v="0"/>
  </r>
  <r>
    <x v="0"/>
    <x v="10"/>
    <s v="4715 J"/>
    <x v="119"/>
    <s v="Usman Arif Butt Gujranwala"/>
    <s v="LDN"/>
    <n v="6"/>
    <n v="10"/>
    <s v="LDN"/>
    <n v="100"/>
    <x v="0"/>
    <n v="3"/>
    <n v="100.26"/>
    <n v="2.0999999999999996"/>
    <n v="48"/>
    <x v="0"/>
    <n v="98.160000000000011"/>
    <n v="119.26"/>
    <m/>
    <x v="0"/>
    <x v="0"/>
    <n v="0"/>
    <n v="0"/>
    <x v="0"/>
    <x v="0"/>
    <m/>
    <x v="0"/>
    <x v="0"/>
    <x v="0"/>
    <x v="0"/>
    <x v="0"/>
    <n v="0"/>
    <n v="0"/>
    <n v="0"/>
    <n v="12"/>
    <x v="1"/>
    <x v="0"/>
    <m/>
    <x v="0"/>
    <n v="104.16000000000001"/>
    <x v="0"/>
    <x v="8"/>
    <x v="0"/>
    <x v="0"/>
    <x v="0"/>
  </r>
  <r>
    <x v="1"/>
    <x v="10"/>
    <s v="4709 J"/>
    <x v="119"/>
    <s v="Usman Arif Butt Gujranwala"/>
    <s v="LDN"/>
    <n v="6"/>
    <n v="10"/>
    <s v="LDN"/>
    <n v="150"/>
    <x v="0"/>
    <n v="1"/>
    <n v="37.44"/>
    <n v="0.8"/>
    <n v="77"/>
    <x v="0"/>
    <n v="36.64"/>
    <n v="142.42000000000002"/>
    <m/>
    <x v="0"/>
    <x v="0"/>
    <n v="0"/>
    <n v="0"/>
    <x v="0"/>
    <x v="0"/>
    <n v="120"/>
    <x v="0"/>
    <x v="0"/>
    <x v="0"/>
    <x v="3"/>
    <x v="0"/>
    <n v="150"/>
    <n v="2.5"/>
    <n v="2.5"/>
    <n v="9.5"/>
    <x v="1"/>
    <x v="0"/>
    <m/>
    <x v="0"/>
    <n v="42.64"/>
    <x v="0"/>
    <x v="8"/>
    <x v="0"/>
    <x v="0"/>
    <x v="0"/>
  </r>
  <r>
    <x v="1"/>
    <x v="10"/>
    <s v="2783/4"/>
    <x v="119"/>
    <s v="PT-01"/>
    <s v="LD سرخ"/>
    <n v="8"/>
    <n v="80"/>
    <s v="LD سرخ"/>
    <n v="5000"/>
    <x v="0"/>
    <n v="5"/>
    <n v="115.46"/>
    <n v="4"/>
    <m/>
    <x v="0"/>
    <n v="111.46"/>
    <n v="4431.72"/>
    <m/>
    <x v="0"/>
    <x v="0"/>
    <n v="0"/>
    <n v="0"/>
    <x v="0"/>
    <x v="0"/>
    <m/>
    <x v="0"/>
    <x v="0"/>
    <x v="0"/>
    <x v="0"/>
    <x v="0"/>
    <n v="0"/>
    <n v="0"/>
    <n v="0"/>
    <n v="12"/>
    <x v="1"/>
    <x v="0"/>
    <m/>
    <x v="0"/>
    <n v="117.46"/>
    <x v="0"/>
    <x v="8"/>
    <x v="0"/>
    <x v="0"/>
    <x v="0"/>
  </r>
  <r>
    <x v="0"/>
    <x v="11"/>
    <s v="2275 F"/>
    <x v="119"/>
    <s v="Usman Amin"/>
    <s v="LDN"/>
    <n v="14"/>
    <s v="7.7.5"/>
    <s v="LDN"/>
    <n v="24"/>
    <x v="0"/>
    <n v="1"/>
    <n v="63"/>
    <n v="1.9"/>
    <m/>
    <x v="0"/>
    <n v="61.1"/>
    <n v="105.69999999999999"/>
    <m/>
    <x v="0"/>
    <x v="0"/>
    <n v="0"/>
    <n v="0"/>
    <x v="0"/>
    <x v="0"/>
    <m/>
    <x v="0"/>
    <x v="0"/>
    <x v="0"/>
    <x v="0"/>
    <x v="0"/>
    <n v="0"/>
    <n v="0"/>
    <n v="0"/>
    <n v="12"/>
    <x v="1"/>
    <x v="0"/>
    <m/>
    <x v="0"/>
    <n v="67.099999999999994"/>
    <x v="0"/>
    <x v="8"/>
    <x v="0"/>
    <x v="0"/>
    <x v="0"/>
  </r>
  <r>
    <x v="0"/>
    <x v="11"/>
    <s v="2273 F"/>
    <x v="119"/>
    <s v="Usman Amin"/>
    <s v="LDN"/>
    <n v="13"/>
    <s v="7-7.5"/>
    <s v="LDN"/>
    <n v="70"/>
    <x v="0"/>
    <n v="2"/>
    <n v="78.800000000000011"/>
    <n v="3.4"/>
    <m/>
    <x v="0"/>
    <n v="75.400000000000006"/>
    <n v="75.400000000000006"/>
    <m/>
    <x v="0"/>
    <x v="0"/>
    <n v="0"/>
    <n v="0"/>
    <x v="0"/>
    <x v="0"/>
    <m/>
    <x v="0"/>
    <x v="0"/>
    <x v="0"/>
    <x v="0"/>
    <x v="0"/>
    <n v="0"/>
    <n v="0"/>
    <n v="0"/>
    <n v="12"/>
    <x v="1"/>
    <x v="0"/>
    <m/>
    <x v="0"/>
    <n v="81.400000000000006"/>
    <x v="0"/>
    <x v="8"/>
    <x v="0"/>
    <x v="0"/>
    <x v="0"/>
  </r>
  <r>
    <x v="0"/>
    <x v="11"/>
    <s v="4748 J"/>
    <x v="119"/>
    <s v="M.K.B PESAHAR"/>
    <s v="LDN"/>
    <n v="20"/>
    <s v="6-6.5"/>
    <s v="LDN"/>
    <n v="200"/>
    <x v="0"/>
    <n v="4"/>
    <n v="209.7"/>
    <n v="10"/>
    <m/>
    <x v="0"/>
    <n v="199.7"/>
    <n v="199.7"/>
    <m/>
    <x v="0"/>
    <x v="0"/>
    <n v="0"/>
    <n v="0"/>
    <x v="0"/>
    <x v="0"/>
    <m/>
    <x v="0"/>
    <x v="0"/>
    <x v="0"/>
    <x v="0"/>
    <x v="0"/>
    <n v="0"/>
    <n v="0"/>
    <n v="0"/>
    <n v="12"/>
    <x v="1"/>
    <x v="0"/>
    <m/>
    <x v="0"/>
    <n v="205.7"/>
    <x v="0"/>
    <x v="8"/>
    <x v="0"/>
    <x v="0"/>
    <x v="0"/>
  </r>
  <r>
    <x v="0"/>
    <x v="11"/>
    <s v="4749 J"/>
    <x v="119"/>
    <s v="M.K.B PESAHAR"/>
    <s v="LDN"/>
    <n v="22"/>
    <s v="6-6.5"/>
    <s v="LDN"/>
    <n v="300"/>
    <x v="0"/>
    <n v="1"/>
    <n v="53.1"/>
    <n v="2.6"/>
    <m/>
    <x v="0"/>
    <n v="50.5"/>
    <n v="289.7"/>
    <m/>
    <x v="0"/>
    <x v="0"/>
    <n v="0"/>
    <n v="0"/>
    <x v="0"/>
    <x v="0"/>
    <m/>
    <x v="0"/>
    <x v="0"/>
    <x v="0"/>
    <x v="0"/>
    <x v="0"/>
    <n v="0"/>
    <n v="0"/>
    <n v="0"/>
    <n v="12"/>
    <x v="1"/>
    <x v="0"/>
    <m/>
    <x v="0"/>
    <n v="56.5"/>
    <x v="0"/>
    <x v="8"/>
    <x v="0"/>
    <x v="0"/>
    <x v="0"/>
  </r>
  <r>
    <x v="1"/>
    <x v="11"/>
    <s v="4749 J"/>
    <x v="119"/>
    <s v="M.K.B PESAHAR"/>
    <s v="LDN"/>
    <n v="22"/>
    <s v="6-6.5"/>
    <s v="LDN"/>
    <n v="300"/>
    <x v="0"/>
    <n v="4"/>
    <n v="249.6"/>
    <n v="10.4"/>
    <m/>
    <x v="0"/>
    <n v="239.2"/>
    <n v="289.7"/>
    <m/>
    <x v="0"/>
    <x v="0"/>
    <n v="0"/>
    <n v="0"/>
    <x v="0"/>
    <x v="0"/>
    <m/>
    <x v="0"/>
    <x v="0"/>
    <x v="0"/>
    <x v="0"/>
    <x v="0"/>
    <n v="0"/>
    <n v="0"/>
    <n v="0"/>
    <n v="12"/>
    <x v="1"/>
    <x v="0"/>
    <m/>
    <x v="0"/>
    <n v="245.2"/>
    <x v="0"/>
    <x v="8"/>
    <x v="0"/>
    <x v="0"/>
    <x v="0"/>
  </r>
  <r>
    <x v="1"/>
    <x v="11"/>
    <s v="4738 J"/>
    <x v="119"/>
    <s v="Chaudhry Milk Sweets and Bakers Jhangh"/>
    <s v="LDN"/>
    <n v="21"/>
    <s v="8-8.5"/>
    <s v="LDN"/>
    <n v="100"/>
    <x v="0"/>
    <n v="1"/>
    <n v="36.1"/>
    <n v="2.6"/>
    <m/>
    <x v="0"/>
    <n v="33.5"/>
    <n v="118.5"/>
    <m/>
    <x v="0"/>
    <x v="0"/>
    <n v="0"/>
    <n v="0"/>
    <x v="0"/>
    <x v="0"/>
    <m/>
    <x v="0"/>
    <x v="0"/>
    <x v="0"/>
    <x v="0"/>
    <x v="0"/>
    <n v="0"/>
    <n v="0"/>
    <n v="0"/>
    <n v="12"/>
    <x v="1"/>
    <x v="0"/>
    <m/>
    <x v="0"/>
    <n v="39.5"/>
    <x v="0"/>
    <x v="8"/>
    <x v="0"/>
    <x v="0"/>
    <x v="0"/>
  </r>
  <r>
    <x v="0"/>
    <x v="13"/>
    <s v="4701 J"/>
    <x v="119"/>
    <s v="Moazmi Plastic Sahiwal "/>
    <s v="LDM"/>
    <n v="7"/>
    <n v="18"/>
    <s v="LDM"/>
    <n v="125"/>
    <x v="0"/>
    <n v="3"/>
    <n v="141.69999999999999"/>
    <n v="2.4000000000000004"/>
    <m/>
    <x v="0"/>
    <n v="139.29999999999998"/>
    <n v="139.29999999999998"/>
    <m/>
    <x v="0"/>
    <x v="0"/>
    <n v="0"/>
    <n v="0"/>
    <x v="0"/>
    <x v="0"/>
    <m/>
    <x v="0"/>
    <x v="0"/>
    <x v="0"/>
    <x v="0"/>
    <x v="0"/>
    <n v="0"/>
    <n v="0"/>
    <n v="0"/>
    <n v="12"/>
    <x v="1"/>
    <x v="0"/>
    <m/>
    <x v="0"/>
    <n v="145.29999999999998"/>
    <x v="0"/>
    <x v="8"/>
    <x v="0"/>
    <x v="0"/>
    <x v="0"/>
  </r>
  <r>
    <x v="0"/>
    <x v="13"/>
    <s v="4702 J"/>
    <x v="119"/>
    <s v="Moazmi Plastic Sahiwal "/>
    <s v="LDM"/>
    <n v="7"/>
    <n v="18"/>
    <s v="LDM"/>
    <n v="125"/>
    <x v="0"/>
    <n v="3"/>
    <n v="111.5"/>
    <n v="2.0999999999999996"/>
    <m/>
    <x v="0"/>
    <n v="109.4"/>
    <n v="109.4"/>
    <m/>
    <x v="0"/>
    <x v="0"/>
    <n v="0"/>
    <n v="0"/>
    <x v="0"/>
    <x v="0"/>
    <m/>
    <x v="0"/>
    <x v="0"/>
    <x v="0"/>
    <x v="0"/>
    <x v="0"/>
    <n v="0"/>
    <n v="0"/>
    <n v="0"/>
    <n v="12"/>
    <x v="1"/>
    <x v="0"/>
    <m/>
    <x v="0"/>
    <n v="115.4"/>
    <x v="0"/>
    <x v="8"/>
    <x v="0"/>
    <x v="0"/>
    <x v="0"/>
  </r>
  <r>
    <x v="1"/>
    <x v="13"/>
    <s v="4780 J"/>
    <x v="119"/>
    <s v="Milk Way Milk Lahore"/>
    <s v="LDM"/>
    <n v="7"/>
    <s v="15-16"/>
    <s v="LDM"/>
    <n v="120"/>
    <x v="0"/>
    <n v="4"/>
    <n v="128.1"/>
    <n v="3.2"/>
    <m/>
    <x v="0"/>
    <n v="124.89999999999999"/>
    <n v="124.89999999999999"/>
    <m/>
    <x v="0"/>
    <x v="0"/>
    <n v="0"/>
    <n v="0"/>
    <x v="0"/>
    <x v="0"/>
    <m/>
    <x v="0"/>
    <x v="0"/>
    <x v="0"/>
    <x v="0"/>
    <x v="0"/>
    <n v="0"/>
    <n v="0"/>
    <n v="0"/>
    <n v="12"/>
    <x v="1"/>
    <x v="0"/>
    <m/>
    <x v="0"/>
    <n v="130.89999999999998"/>
    <x v="0"/>
    <x v="8"/>
    <x v="0"/>
    <x v="0"/>
    <x v="0"/>
  </r>
  <r>
    <x v="0"/>
    <x v="12"/>
    <s v="4712 J"/>
    <x v="119"/>
    <s v="Hamza Plastic Peshawar"/>
    <s v="LDN"/>
    <n v="20"/>
    <s v="8-8.5"/>
    <s v="LDN"/>
    <n v="200"/>
    <x v="0"/>
    <n v="4"/>
    <n v="207.45"/>
    <n v="9.6"/>
    <m/>
    <x v="0"/>
    <n v="197.85"/>
    <n v="197.85"/>
    <m/>
    <x v="0"/>
    <x v="0"/>
    <n v="0"/>
    <n v="0"/>
    <x v="0"/>
    <x v="0"/>
    <m/>
    <x v="0"/>
    <x v="0"/>
    <x v="0"/>
    <x v="0"/>
    <x v="0"/>
    <n v="0"/>
    <n v="0"/>
    <n v="0"/>
    <n v="12"/>
    <x v="1"/>
    <x v="0"/>
    <m/>
    <x v="0"/>
    <n v="203.85"/>
    <x v="0"/>
    <x v="8"/>
    <x v="0"/>
    <x v="0"/>
    <x v="0"/>
  </r>
  <r>
    <x v="0"/>
    <x v="12"/>
    <s v="4641 J"/>
    <x v="119"/>
    <s v="Golden Chemical Faisalbad"/>
    <s v="LDN"/>
    <s v="510 MM"/>
    <s v="15-16/30-32"/>
    <s v="LDN"/>
    <n v="600"/>
    <x v="0"/>
    <n v="4"/>
    <n v="362.3"/>
    <n v="9.6"/>
    <m/>
    <x v="0"/>
    <n v="352.7"/>
    <n v="579.20000000000005"/>
    <m/>
    <x v="0"/>
    <x v="0"/>
    <n v="0"/>
    <n v="0"/>
    <x v="0"/>
    <x v="0"/>
    <m/>
    <x v="0"/>
    <x v="0"/>
    <x v="0"/>
    <x v="0"/>
    <x v="0"/>
    <n v="0"/>
    <n v="0"/>
    <n v="0"/>
    <n v="12"/>
    <x v="1"/>
    <x v="0"/>
    <m/>
    <x v="0"/>
    <n v="358.7"/>
    <x v="0"/>
    <x v="8"/>
    <x v="0"/>
    <x v="0"/>
    <x v="0"/>
  </r>
  <r>
    <x v="1"/>
    <x v="12"/>
    <s v="4641 J"/>
    <x v="119"/>
    <s v="Golden Chemical Faisalbad"/>
    <s v="LDN"/>
    <s v="510 MM"/>
    <s v="15-16/30-32"/>
    <s v="LDN"/>
    <n v="600"/>
    <x v="0"/>
    <n v="2"/>
    <n v="231.7"/>
    <n v="5.2"/>
    <m/>
    <x v="0"/>
    <n v="226.5"/>
    <n v="579.20000000000005"/>
    <m/>
    <x v="0"/>
    <x v="0"/>
    <n v="0"/>
    <n v="0"/>
    <x v="0"/>
    <x v="0"/>
    <m/>
    <x v="0"/>
    <x v="0"/>
    <x v="0"/>
    <x v="0"/>
    <x v="0"/>
    <n v="0"/>
    <n v="0"/>
    <n v="0"/>
    <n v="12"/>
    <x v="1"/>
    <x v="0"/>
    <m/>
    <x v="0"/>
    <n v="232.5"/>
    <x v="0"/>
    <x v="8"/>
    <x v="0"/>
    <x v="0"/>
    <x v="0"/>
  </r>
  <r>
    <x v="1"/>
    <x v="12"/>
    <s v="4639 J"/>
    <x v="119"/>
    <s v="Golden Chemical Faisalbad"/>
    <s v="LDN"/>
    <s v="510 MM"/>
    <s v="15-16/30-32"/>
    <s v="LDN"/>
    <n v="300"/>
    <x v="0"/>
    <n v="3"/>
    <n v="311.3"/>
    <n v="4.8"/>
    <m/>
    <x v="0"/>
    <n v="306.5"/>
    <n v="306.5"/>
    <m/>
    <x v="0"/>
    <x v="0"/>
    <n v="0"/>
    <n v="0"/>
    <x v="0"/>
    <x v="0"/>
    <m/>
    <x v="0"/>
    <x v="0"/>
    <x v="0"/>
    <x v="0"/>
    <x v="0"/>
    <n v="0"/>
    <n v="0"/>
    <n v="0"/>
    <n v="12"/>
    <x v="1"/>
    <x v="0"/>
    <m/>
    <x v="0"/>
    <n v="312.5"/>
    <x v="0"/>
    <x v="8"/>
    <x v="0"/>
    <x v="0"/>
    <x v="0"/>
  </r>
  <r>
    <x v="1"/>
    <x v="12"/>
    <s v="4640 J"/>
    <x v="119"/>
    <s v="Golden Chemical Faisalbad"/>
    <s v="LDN"/>
    <s v="510 MM"/>
    <s v="15-16/30-32"/>
    <s v="LDN"/>
    <n v="400"/>
    <x v="0"/>
    <n v="1"/>
    <n v="97.6"/>
    <n v="0.5"/>
    <m/>
    <x v="0"/>
    <n v="97.1"/>
    <n v="501.29999999999995"/>
    <m/>
    <x v="0"/>
    <x v="0"/>
    <n v="0"/>
    <n v="0"/>
    <x v="0"/>
    <x v="0"/>
    <m/>
    <x v="0"/>
    <x v="0"/>
    <x v="0"/>
    <x v="0"/>
    <x v="0"/>
    <n v="0"/>
    <n v="0"/>
    <n v="0"/>
    <n v="12"/>
    <x v="1"/>
    <x v="0"/>
    <m/>
    <x v="0"/>
    <n v="103.1"/>
    <x v="0"/>
    <x v="8"/>
    <x v="0"/>
    <x v="0"/>
    <x v="0"/>
  </r>
  <r>
    <x v="0"/>
    <x v="14"/>
    <s v="2264 F"/>
    <x v="119"/>
    <s v="Usman Amin"/>
    <s v="LDN"/>
    <n v="21"/>
    <s v="7-7.5"/>
    <s v="LDN"/>
    <n v="600"/>
    <x v="0"/>
    <n v="4"/>
    <n v="287.2"/>
    <n v="8.4"/>
    <m/>
    <x v="0"/>
    <n v="278.8"/>
    <n v="1261.4000000000001"/>
    <m/>
    <x v="0"/>
    <x v="0"/>
    <n v="0"/>
    <n v="0"/>
    <x v="0"/>
    <x v="0"/>
    <m/>
    <x v="0"/>
    <x v="0"/>
    <x v="0"/>
    <x v="0"/>
    <x v="0"/>
    <n v="0"/>
    <n v="0"/>
    <n v="0"/>
    <n v="12"/>
    <x v="1"/>
    <x v="0"/>
    <m/>
    <x v="0"/>
    <n v="284.8"/>
    <x v="0"/>
    <x v="8"/>
    <x v="0"/>
    <x v="0"/>
    <x v="0"/>
  </r>
  <r>
    <x v="0"/>
    <x v="14"/>
    <s v="2257 F"/>
    <x v="119"/>
    <s v="Usman Amin"/>
    <s v="LDN"/>
    <n v="21"/>
    <s v="7-7.5"/>
    <s v="LDN"/>
    <n v="60"/>
    <x v="0"/>
    <n v="3"/>
    <n v="202.95"/>
    <n v="4.8"/>
    <m/>
    <x v="0"/>
    <n v="198.14999999999998"/>
    <n v="310.90999999999997"/>
    <m/>
    <x v="0"/>
    <x v="0"/>
    <n v="0"/>
    <n v="0"/>
    <x v="0"/>
    <x v="0"/>
    <m/>
    <x v="0"/>
    <x v="0"/>
    <x v="0"/>
    <x v="0"/>
    <x v="0"/>
    <n v="0"/>
    <n v="0"/>
    <n v="0"/>
    <n v="12"/>
    <x v="1"/>
    <x v="0"/>
    <m/>
    <x v="0"/>
    <n v="204.14999999999998"/>
    <x v="0"/>
    <x v="8"/>
    <x v="0"/>
    <x v="0"/>
    <x v="0"/>
  </r>
  <r>
    <x v="0"/>
    <x v="14"/>
    <s v="2288 F"/>
    <x v="119"/>
    <s v="Usman Amin"/>
    <s v="LDN"/>
    <n v="17"/>
    <s v="7.5-8"/>
    <s v="LDN"/>
    <n v="170"/>
    <x v="0"/>
    <n v="1"/>
    <n v="52.12"/>
    <n v="2.4"/>
    <m/>
    <x v="0"/>
    <n v="49.72"/>
    <n v="515.83999999999992"/>
    <m/>
    <x v="0"/>
    <x v="0"/>
    <n v="0"/>
    <n v="0"/>
    <x v="0"/>
    <x v="0"/>
    <m/>
    <x v="0"/>
    <x v="0"/>
    <x v="0"/>
    <x v="0"/>
    <x v="0"/>
    <n v="0"/>
    <n v="0"/>
    <n v="0"/>
    <n v="12"/>
    <x v="1"/>
    <x v="0"/>
    <m/>
    <x v="0"/>
    <n v="55.72"/>
    <x v="0"/>
    <x v="8"/>
    <x v="0"/>
    <x v="0"/>
    <x v="0"/>
  </r>
  <r>
    <x v="1"/>
    <x v="14"/>
    <s v="2288 F"/>
    <x v="119"/>
    <s v="Usman Amin"/>
    <s v="LDN"/>
    <n v="17"/>
    <s v="7.5-8"/>
    <s v="LDN"/>
    <n v="170"/>
    <x v="0"/>
    <n v="2"/>
    <n v="146.10000000000002"/>
    <n v="4.4000000000000004"/>
    <m/>
    <x v="0"/>
    <n v="141.70000000000002"/>
    <n v="515.83999999999992"/>
    <m/>
    <x v="0"/>
    <x v="0"/>
    <n v="0"/>
    <n v="0"/>
    <x v="0"/>
    <x v="0"/>
    <m/>
    <x v="0"/>
    <x v="0"/>
    <x v="0"/>
    <x v="0"/>
    <x v="0"/>
    <n v="0"/>
    <n v="0"/>
    <n v="0"/>
    <n v="12"/>
    <x v="1"/>
    <x v="0"/>
    <m/>
    <x v="0"/>
    <n v="147.70000000000002"/>
    <x v="0"/>
    <x v="8"/>
    <x v="0"/>
    <x v="0"/>
    <x v="0"/>
  </r>
  <r>
    <x v="1"/>
    <x v="14"/>
    <s v="2287 F"/>
    <x v="119"/>
    <s v="Usman Amin"/>
    <s v="LDN"/>
    <n v="19"/>
    <s v="12"/>
    <s v="LDN"/>
    <n v="600"/>
    <x v="0"/>
    <n v="4"/>
    <n v="359.03000000000003"/>
    <n v="9.6"/>
    <m/>
    <x v="0"/>
    <n v="349.43"/>
    <n v="759.31000000000006"/>
    <m/>
    <x v="0"/>
    <x v="0"/>
    <n v="0"/>
    <n v="0"/>
    <x v="0"/>
    <x v="0"/>
    <m/>
    <x v="0"/>
    <x v="0"/>
    <x v="0"/>
    <x v="0"/>
    <x v="0"/>
    <n v="0"/>
    <n v="0"/>
    <n v="0"/>
    <n v="12"/>
    <x v="1"/>
    <x v="0"/>
    <m/>
    <x v="0"/>
    <n v="355.43"/>
    <x v="0"/>
    <x v="8"/>
    <x v="0"/>
    <x v="0"/>
    <x v="0"/>
  </r>
  <r>
    <x v="0"/>
    <x v="8"/>
    <s v="4709 J"/>
    <x v="120"/>
    <s v="Usman Arif Butt Gujranwala"/>
    <s v="LDN"/>
    <n v="6"/>
    <n v="10"/>
    <s v="LDN"/>
    <n v="150"/>
    <x v="0"/>
    <n v="2"/>
    <n v="67.319999999999993"/>
    <n v="1.8"/>
    <n v="10"/>
    <x v="6"/>
    <n v="65.52"/>
    <n v="142.42000000000002"/>
    <n v="25"/>
    <x v="0"/>
    <x v="0"/>
    <n v="25"/>
    <n v="0.41666666666666669"/>
    <x v="0"/>
    <x v="0"/>
    <m/>
    <x v="0"/>
    <x v="0"/>
    <x v="0"/>
    <x v="3"/>
    <x v="0"/>
    <n v="30"/>
    <n v="0.5"/>
    <n v="0.91666666666666674"/>
    <n v="11.083333333333334"/>
    <x v="1"/>
    <x v="0"/>
    <n v="2336"/>
    <x v="0"/>
    <n v="71.52"/>
    <x v="1"/>
    <x v="8"/>
    <x v="0"/>
    <x v="0"/>
    <x v="0"/>
  </r>
  <r>
    <x v="0"/>
    <x v="8"/>
    <s v="4715 J"/>
    <x v="120"/>
    <s v="Usman Arif Butt Gujranwala"/>
    <s v="LDN"/>
    <n v="6"/>
    <n v="10"/>
    <s v="LDN"/>
    <n v="100"/>
    <x v="0"/>
    <n v="1"/>
    <n v="21.9"/>
    <n v="0.8"/>
    <m/>
    <x v="7"/>
    <n v="21.099999999999998"/>
    <n v="119.26"/>
    <m/>
    <x v="0"/>
    <x v="0"/>
    <n v="0"/>
    <n v="0"/>
    <x v="0"/>
    <x v="0"/>
    <m/>
    <x v="0"/>
    <x v="0"/>
    <x v="0"/>
    <x v="0"/>
    <x v="0"/>
    <n v="0"/>
    <n v="0"/>
    <n v="0"/>
    <n v="12"/>
    <x v="1"/>
    <x v="0"/>
    <m/>
    <x v="0"/>
    <n v="27.099999999999998"/>
    <x v="0"/>
    <x v="8"/>
    <x v="0"/>
    <x v="0"/>
    <x v="0"/>
  </r>
  <r>
    <x v="0"/>
    <x v="8"/>
    <s v="4706 J"/>
    <x v="120"/>
    <s v="Usman Arif Butt Gujranwala"/>
    <s v="LDN"/>
    <n v="7"/>
    <n v="10"/>
    <s v="LDN"/>
    <n v="150"/>
    <x v="0"/>
    <n v="1"/>
    <n v="18.100000000000001"/>
    <n v="0.9"/>
    <m/>
    <x v="0"/>
    <n v="17.200000000000003"/>
    <n v="162.66"/>
    <m/>
    <x v="0"/>
    <x v="0"/>
    <n v="0"/>
    <n v="0"/>
    <x v="0"/>
    <x v="0"/>
    <m/>
    <x v="0"/>
    <x v="0"/>
    <x v="0"/>
    <x v="0"/>
    <x v="0"/>
    <n v="0"/>
    <n v="0"/>
    <n v="0"/>
    <n v="12"/>
    <x v="1"/>
    <x v="0"/>
    <m/>
    <x v="0"/>
    <n v="23.200000000000003"/>
    <x v="0"/>
    <x v="8"/>
    <x v="0"/>
    <x v="0"/>
    <x v="0"/>
  </r>
  <r>
    <x v="1"/>
    <x v="8"/>
    <s v="4533 J"/>
    <x v="120"/>
    <s v="-"/>
    <m/>
    <m/>
    <m/>
    <m/>
    <m/>
    <x v="0"/>
    <n v="1"/>
    <n v="52.3"/>
    <n v="0.8"/>
    <n v="5.4"/>
    <x v="0"/>
    <n v="51.5"/>
    <n v="968.06999999999994"/>
    <m/>
    <x v="0"/>
    <x v="0"/>
    <n v="0"/>
    <n v="0"/>
    <x v="0"/>
    <x v="0"/>
    <m/>
    <x v="0"/>
    <x v="0"/>
    <x v="0"/>
    <x v="0"/>
    <x v="0"/>
    <n v="0"/>
    <n v="0"/>
    <n v="0"/>
    <n v="12"/>
    <x v="1"/>
    <x v="0"/>
    <m/>
    <x v="0"/>
    <n v="57.5"/>
    <x v="0"/>
    <x v="8"/>
    <x v="0"/>
    <x v="0"/>
    <x v="0"/>
  </r>
  <r>
    <x v="1"/>
    <x v="8"/>
    <s v="4506 J"/>
    <x v="120"/>
    <s v="-"/>
    <m/>
    <m/>
    <m/>
    <m/>
    <m/>
    <x v="0"/>
    <n v="2"/>
    <n v="107.09"/>
    <n v="2.4"/>
    <m/>
    <x v="0"/>
    <n v="104.69"/>
    <n v="489.94999999999993"/>
    <m/>
    <x v="0"/>
    <x v="0"/>
    <n v="0"/>
    <n v="0"/>
    <x v="0"/>
    <x v="0"/>
    <m/>
    <x v="0"/>
    <x v="0"/>
    <x v="0"/>
    <x v="0"/>
    <x v="0"/>
    <n v="0"/>
    <n v="0"/>
    <n v="0"/>
    <n v="12"/>
    <x v="1"/>
    <x v="0"/>
    <m/>
    <x v="0"/>
    <n v="110.69"/>
    <x v="0"/>
    <x v="8"/>
    <x v="0"/>
    <x v="0"/>
    <x v="0"/>
  </r>
  <r>
    <x v="0"/>
    <x v="10"/>
    <s v="2783/4"/>
    <x v="120"/>
    <s v="PT-01"/>
    <s v="LD سرخ"/>
    <n v="8"/>
    <n v="80"/>
    <s v="LD سرخ"/>
    <n v="5000"/>
    <x v="0"/>
    <n v="14"/>
    <n v="400.5"/>
    <n v="11.200000000000001"/>
    <m/>
    <x v="0"/>
    <n v="389.3"/>
    <n v="4431.72"/>
    <m/>
    <x v="0"/>
    <x v="0"/>
    <n v="0"/>
    <n v="0"/>
    <x v="0"/>
    <x v="0"/>
    <m/>
    <x v="0"/>
    <x v="0"/>
    <x v="0"/>
    <x v="0"/>
    <x v="0"/>
    <n v="0"/>
    <n v="0"/>
    <n v="0"/>
    <n v="12"/>
    <x v="1"/>
    <x v="0"/>
    <m/>
    <x v="0"/>
    <n v="395.3"/>
    <x v="0"/>
    <x v="8"/>
    <x v="0"/>
    <x v="0"/>
    <x v="0"/>
  </r>
  <r>
    <x v="1"/>
    <x v="10"/>
    <s v="2804/1"/>
    <x v="120"/>
    <s v="MATCO FOOD"/>
    <s v="LDN"/>
    <n v="23"/>
    <s v="70±1"/>
    <s v="LDN"/>
    <n v="4900"/>
    <x v="0"/>
    <n v="4"/>
    <n v="438.79"/>
    <n v="11.2"/>
    <n v="60"/>
    <x v="0"/>
    <n v="427.59000000000003"/>
    <n v="5092.7000000000007"/>
    <m/>
    <x v="0"/>
    <x v="0"/>
    <n v="0"/>
    <n v="0"/>
    <x v="0"/>
    <x v="0"/>
    <m/>
    <x v="0"/>
    <x v="0"/>
    <x v="0"/>
    <x v="0"/>
    <x v="0"/>
    <n v="0"/>
    <n v="0"/>
    <n v="0"/>
    <n v="12"/>
    <x v="1"/>
    <x v="0"/>
    <m/>
    <x v="0"/>
    <n v="433.59000000000003"/>
    <x v="0"/>
    <x v="8"/>
    <x v="0"/>
    <x v="0"/>
    <x v="0"/>
  </r>
  <r>
    <x v="0"/>
    <x v="13"/>
    <s v="2803/1"/>
    <x v="120"/>
    <s v="PT-02 (MUBEEN PLAS RWP)"/>
    <s v="LDM"/>
    <n v="9"/>
    <n v="18"/>
    <s v="LDM"/>
    <n v="250"/>
    <x v="0"/>
    <n v="6"/>
    <n v="247.31"/>
    <n v="6"/>
    <m/>
    <x v="0"/>
    <n v="241.31"/>
    <n v="283.41000000000003"/>
    <m/>
    <x v="0"/>
    <x v="0"/>
    <n v="0"/>
    <n v="0"/>
    <x v="0"/>
    <x v="0"/>
    <m/>
    <x v="0"/>
    <x v="0"/>
    <x v="0"/>
    <x v="0"/>
    <x v="0"/>
    <n v="0"/>
    <n v="0"/>
    <n v="0"/>
    <n v="12"/>
    <x v="1"/>
    <x v="0"/>
    <m/>
    <x v="0"/>
    <n v="247.31"/>
    <x v="0"/>
    <x v="8"/>
    <x v="0"/>
    <x v="0"/>
    <x v="0"/>
  </r>
  <r>
    <x v="1"/>
    <x v="13"/>
    <s v="2803/1"/>
    <x v="120"/>
    <s v="PT-02 (MUBEEN PLAS RWP)"/>
    <s v="LDM"/>
    <n v="9"/>
    <n v="18"/>
    <s v="LDM"/>
    <n v="250"/>
    <x v="0"/>
    <n v="1"/>
    <n v="43.2"/>
    <n v="1.1000000000000001"/>
    <m/>
    <x v="0"/>
    <n v="42.1"/>
    <n v="283.41000000000003"/>
    <n v="5"/>
    <x v="0"/>
    <x v="0"/>
    <n v="5"/>
    <n v="8.3333333333333329E-2"/>
    <x v="0"/>
    <x v="0"/>
    <m/>
    <x v="0"/>
    <x v="0"/>
    <x v="0"/>
    <x v="0"/>
    <x v="0"/>
    <n v="0"/>
    <n v="0"/>
    <n v="8.3333333333333329E-2"/>
    <n v="11.916666666666666"/>
    <x v="1"/>
    <x v="0"/>
    <m/>
    <x v="0"/>
    <n v="48.1"/>
    <x v="0"/>
    <x v="8"/>
    <x v="0"/>
    <x v="0"/>
    <x v="0"/>
  </r>
  <r>
    <x v="1"/>
    <x v="13"/>
    <s v="4604 J"/>
    <x v="120"/>
    <s v="Braggs Kids Isb"/>
    <s v="LDM"/>
    <n v="24"/>
    <s v="14-15"/>
    <s v="LDM"/>
    <n v="100"/>
    <x v="0"/>
    <n v="1"/>
    <n v="97.1"/>
    <n v="3"/>
    <m/>
    <x v="0"/>
    <n v="94.1"/>
    <n v="94.1"/>
    <n v="5"/>
    <x v="0"/>
    <x v="0"/>
    <n v="5"/>
    <n v="8.3333333333333329E-2"/>
    <x v="0"/>
    <x v="0"/>
    <m/>
    <x v="0"/>
    <x v="0"/>
    <x v="0"/>
    <x v="0"/>
    <x v="0"/>
    <n v="0"/>
    <n v="0"/>
    <n v="8.3333333333333329E-2"/>
    <n v="11.916666666666666"/>
    <x v="1"/>
    <x v="0"/>
    <m/>
    <x v="0"/>
    <n v="100.1"/>
    <x v="0"/>
    <x v="8"/>
    <x v="0"/>
    <x v="0"/>
    <x v="0"/>
  </r>
  <r>
    <x v="1"/>
    <x v="13"/>
    <s v="4814 J"/>
    <x v="120"/>
    <s v="Rewaj Garments Sialkot"/>
    <s v="LDM"/>
    <n v="18"/>
    <s v="12-12.5"/>
    <s v="LDM"/>
    <n v="100"/>
    <x v="0"/>
    <n v="2"/>
    <n v="93.5"/>
    <n v="4.4000000000000004"/>
    <m/>
    <x v="0"/>
    <n v="89.1"/>
    <n v="89.1"/>
    <n v="10"/>
    <x v="0"/>
    <x v="0"/>
    <n v="10"/>
    <n v="0.16666666666666666"/>
    <x v="0"/>
    <x v="0"/>
    <m/>
    <x v="0"/>
    <x v="0"/>
    <x v="0"/>
    <x v="0"/>
    <x v="0"/>
    <n v="0"/>
    <n v="0"/>
    <n v="0.16666666666666666"/>
    <n v="11.833333333333334"/>
    <x v="1"/>
    <x v="0"/>
    <m/>
    <x v="0"/>
    <n v="95.1"/>
    <x v="0"/>
    <x v="8"/>
    <x v="0"/>
    <x v="0"/>
    <x v="0"/>
  </r>
  <r>
    <x v="1"/>
    <x v="13"/>
    <s v="2804/1"/>
    <x v="120"/>
    <s v="MATCO FOOD"/>
    <s v="LDN"/>
    <n v="23"/>
    <s v="70±1"/>
    <s v="LDN"/>
    <n v="4900"/>
    <x v="0"/>
    <n v="1"/>
    <n v="141.80000000000001"/>
    <n v="2.8"/>
    <m/>
    <x v="0"/>
    <n v="139"/>
    <n v="5092.7000000000007"/>
    <m/>
    <x v="0"/>
    <x v="0"/>
    <n v="0"/>
    <n v="0"/>
    <x v="0"/>
    <x v="0"/>
    <m/>
    <x v="0"/>
    <x v="0"/>
    <x v="0"/>
    <x v="0"/>
    <x v="0"/>
    <n v="0"/>
    <n v="0"/>
    <n v="0"/>
    <n v="12"/>
    <x v="1"/>
    <x v="0"/>
    <m/>
    <x v="0"/>
    <n v="145"/>
    <x v="0"/>
    <x v="8"/>
    <x v="0"/>
    <x v="0"/>
    <x v="0"/>
  </r>
  <r>
    <x v="1"/>
    <x v="13"/>
    <s v="PACKING"/>
    <x v="120"/>
    <s v="-"/>
    <s v="LDN"/>
    <m/>
    <m/>
    <m/>
    <m/>
    <x v="0"/>
    <n v="1"/>
    <n v="89.1"/>
    <n v="0.8"/>
    <m/>
    <x v="0"/>
    <n v="88.3"/>
    <n v="2074.5"/>
    <m/>
    <x v="0"/>
    <x v="0"/>
    <n v="0"/>
    <n v="0"/>
    <x v="0"/>
    <x v="0"/>
    <m/>
    <x v="0"/>
    <x v="0"/>
    <x v="0"/>
    <x v="0"/>
    <x v="0"/>
    <n v="0"/>
    <n v="0"/>
    <n v="0"/>
    <n v="12"/>
    <x v="1"/>
    <x v="0"/>
    <m/>
    <x v="0"/>
    <n v="94.3"/>
    <x v="0"/>
    <x v="8"/>
    <x v="0"/>
    <x v="0"/>
    <x v="0"/>
  </r>
  <r>
    <x v="0"/>
    <x v="12"/>
    <s v="4640 J"/>
    <x v="120"/>
    <s v="Golden Chemical Faisalbad"/>
    <s v="LDN"/>
    <s v="510 MM"/>
    <s v="15-16/30-32"/>
    <s v="LDN"/>
    <n v="400"/>
    <x v="0"/>
    <n v="4"/>
    <n v="413.8"/>
    <n v="9.6"/>
    <n v="30"/>
    <x v="0"/>
    <n v="404.2"/>
    <n v="501.29999999999995"/>
    <m/>
    <x v="0"/>
    <x v="0"/>
    <n v="0"/>
    <n v="0"/>
    <x v="0"/>
    <x v="0"/>
    <m/>
    <x v="0"/>
    <x v="0"/>
    <x v="0"/>
    <x v="0"/>
    <x v="0"/>
    <n v="0"/>
    <n v="0"/>
    <n v="0"/>
    <n v="12"/>
    <x v="1"/>
    <x v="0"/>
    <m/>
    <x v="0"/>
    <n v="410.2"/>
    <x v="0"/>
    <x v="8"/>
    <x v="0"/>
    <x v="0"/>
    <x v="0"/>
  </r>
  <r>
    <x v="0"/>
    <x v="12"/>
    <s v="4638 J"/>
    <x v="120"/>
    <s v="Golden Chemical Faisalbad"/>
    <s v="LDN"/>
    <s v="510 MM"/>
    <s v="15-16/30-32"/>
    <s v="LDN"/>
    <n v="300"/>
    <x v="0"/>
    <n v="2"/>
    <n v="209.1"/>
    <n v="4.8"/>
    <m/>
    <x v="0"/>
    <n v="204.29999999999998"/>
    <n v="413"/>
    <m/>
    <x v="0"/>
    <x v="0"/>
    <n v="0"/>
    <n v="0"/>
    <x v="0"/>
    <x v="0"/>
    <m/>
    <x v="0"/>
    <x v="0"/>
    <x v="0"/>
    <x v="0"/>
    <x v="0"/>
    <n v="0"/>
    <n v="0"/>
    <n v="0"/>
    <n v="12"/>
    <x v="1"/>
    <x v="0"/>
    <m/>
    <x v="0"/>
    <n v="210.29999999999998"/>
    <x v="0"/>
    <x v="8"/>
    <x v="0"/>
    <x v="0"/>
    <x v="0"/>
  </r>
  <r>
    <x v="1"/>
    <x v="12"/>
    <s v="4637 J"/>
    <x v="120"/>
    <s v="Golden Chemical Faisalbad"/>
    <s v="LDN"/>
    <s v="510 MM"/>
    <s v="15-16/30-32"/>
    <s v="LDN"/>
    <n v="300"/>
    <x v="0"/>
    <n v="4"/>
    <n v="335.53000000000003"/>
    <n v="9.6"/>
    <m/>
    <x v="0"/>
    <n v="325.93"/>
    <n v="325.93"/>
    <m/>
    <x v="0"/>
    <x v="0"/>
    <n v="0"/>
    <n v="0"/>
    <x v="0"/>
    <x v="0"/>
    <m/>
    <x v="0"/>
    <x v="0"/>
    <x v="0"/>
    <x v="0"/>
    <x v="0"/>
    <n v="0"/>
    <n v="0"/>
    <n v="0"/>
    <n v="12"/>
    <x v="1"/>
    <x v="0"/>
    <m/>
    <x v="0"/>
    <n v="331.93"/>
    <x v="0"/>
    <x v="8"/>
    <x v="0"/>
    <x v="0"/>
    <x v="0"/>
  </r>
  <r>
    <x v="1"/>
    <x v="12"/>
    <s v="4638 J"/>
    <x v="120"/>
    <s v="Golden Chemical Faisalbad"/>
    <s v="LDN"/>
    <s v="510 MM"/>
    <s v="15-16/30-32"/>
    <s v="LDN"/>
    <n v="300"/>
    <x v="0"/>
    <n v="2"/>
    <n v="213.5"/>
    <n v="4.8"/>
    <m/>
    <x v="0"/>
    <n v="208.7"/>
    <n v="413"/>
    <m/>
    <x v="0"/>
    <x v="0"/>
    <n v="0"/>
    <n v="0"/>
    <x v="0"/>
    <x v="0"/>
    <m/>
    <x v="0"/>
    <x v="0"/>
    <x v="0"/>
    <x v="0"/>
    <x v="0"/>
    <n v="0"/>
    <n v="0"/>
    <n v="0"/>
    <n v="12"/>
    <x v="1"/>
    <x v="0"/>
    <m/>
    <x v="0"/>
    <n v="214.7"/>
    <x v="0"/>
    <x v="8"/>
    <x v="0"/>
    <x v="0"/>
    <x v="0"/>
  </r>
  <r>
    <x v="0"/>
    <x v="14"/>
    <s v="2287 F"/>
    <x v="120"/>
    <s v="Usman Amin"/>
    <s v="LDN"/>
    <n v="19"/>
    <s v="12"/>
    <s v="LDN"/>
    <n v="600"/>
    <x v="0"/>
    <n v="4"/>
    <n v="318.88000000000005"/>
    <n v="9.6"/>
    <n v="13"/>
    <x v="0"/>
    <n v="309.28000000000003"/>
    <n v="759.31000000000006"/>
    <m/>
    <x v="0"/>
    <x v="0"/>
    <n v="0"/>
    <n v="0"/>
    <x v="0"/>
    <x v="0"/>
    <m/>
    <x v="0"/>
    <x v="0"/>
    <x v="0"/>
    <x v="0"/>
    <x v="0"/>
    <n v="0"/>
    <n v="0"/>
    <n v="0"/>
    <n v="12"/>
    <x v="1"/>
    <x v="0"/>
    <m/>
    <x v="0"/>
    <n v="315.28000000000003"/>
    <x v="0"/>
    <x v="8"/>
    <x v="0"/>
    <x v="0"/>
    <x v="0"/>
  </r>
  <r>
    <x v="0"/>
    <x v="14"/>
    <s v="2285 F"/>
    <x v="120"/>
    <s v="Usman Amin"/>
    <s v="LDN"/>
    <n v="17"/>
    <s v="12"/>
    <s v="LDN"/>
    <n v="200"/>
    <x v="0"/>
    <n v="2"/>
    <n v="128.24"/>
    <n v="3.8"/>
    <m/>
    <x v="0"/>
    <n v="124.44000000000001"/>
    <n v="271.34000000000003"/>
    <m/>
    <x v="0"/>
    <x v="0"/>
    <n v="0"/>
    <n v="0"/>
    <x v="0"/>
    <x v="0"/>
    <m/>
    <x v="0"/>
    <x v="0"/>
    <x v="0"/>
    <x v="0"/>
    <x v="0"/>
    <n v="0"/>
    <n v="0"/>
    <n v="0"/>
    <n v="12"/>
    <x v="1"/>
    <x v="0"/>
    <m/>
    <x v="0"/>
    <n v="130.44"/>
    <x v="0"/>
    <x v="8"/>
    <x v="0"/>
    <x v="0"/>
    <x v="0"/>
  </r>
  <r>
    <x v="1"/>
    <x v="14"/>
    <s v="2286 F"/>
    <x v="120"/>
    <s v="Usman Amin"/>
    <s v="LDN"/>
    <n v="17.25"/>
    <s v="12"/>
    <s v="LDN"/>
    <n v="1000"/>
    <x v="0"/>
    <n v="4"/>
    <n v="350.6"/>
    <n v="7.6"/>
    <m/>
    <x v="0"/>
    <n v="343"/>
    <n v="1107.08"/>
    <n v="5"/>
    <x v="0"/>
    <x v="0"/>
    <n v="5"/>
    <n v="8.3333333333333329E-2"/>
    <x v="0"/>
    <x v="0"/>
    <m/>
    <x v="0"/>
    <x v="0"/>
    <x v="0"/>
    <x v="0"/>
    <x v="0"/>
    <n v="0"/>
    <n v="0"/>
    <n v="8.3333333333333329E-2"/>
    <n v="11.916666666666666"/>
    <x v="1"/>
    <x v="0"/>
    <m/>
    <x v="0"/>
    <n v="349"/>
    <x v="0"/>
    <x v="8"/>
    <x v="0"/>
    <x v="0"/>
    <x v="0"/>
  </r>
  <r>
    <x v="1"/>
    <x v="14"/>
    <s v="2285 F"/>
    <x v="120"/>
    <s v="Usman Amin"/>
    <s v="LDN"/>
    <n v="17"/>
    <s v="12"/>
    <s v="LDN"/>
    <n v="200"/>
    <x v="0"/>
    <n v="1"/>
    <n v="91.8"/>
    <n v="1.7"/>
    <m/>
    <x v="0"/>
    <n v="90.1"/>
    <n v="271.34000000000003"/>
    <n v="5"/>
    <x v="0"/>
    <x v="0"/>
    <n v="5"/>
    <n v="8.3333333333333329E-2"/>
    <x v="0"/>
    <x v="0"/>
    <m/>
    <x v="0"/>
    <x v="0"/>
    <x v="0"/>
    <x v="0"/>
    <x v="0"/>
    <n v="0"/>
    <n v="0"/>
    <n v="8.3333333333333329E-2"/>
    <n v="11.916666666666666"/>
    <x v="1"/>
    <x v="0"/>
    <m/>
    <x v="0"/>
    <n v="96.1"/>
    <x v="0"/>
    <x v="8"/>
    <x v="0"/>
    <x v="0"/>
    <x v="0"/>
  </r>
  <r>
    <x v="0"/>
    <x v="8"/>
    <s v="4506 J"/>
    <x v="121"/>
    <s v="-"/>
    <m/>
    <m/>
    <m/>
    <m/>
    <m/>
    <x v="0"/>
    <n v="2"/>
    <n v="138.30000000000001"/>
    <n v="0.8"/>
    <m/>
    <x v="0"/>
    <n v="137.5"/>
    <n v="489.94999999999993"/>
    <m/>
    <x v="0"/>
    <x v="0"/>
    <n v="0"/>
    <n v="0"/>
    <x v="0"/>
    <x v="0"/>
    <m/>
    <x v="0"/>
    <x v="0"/>
    <x v="0"/>
    <x v="0"/>
    <x v="0"/>
    <n v="0"/>
    <n v="0"/>
    <n v="0"/>
    <n v="12"/>
    <x v="1"/>
    <x v="0"/>
    <n v="2339"/>
    <x v="0"/>
    <n v="143.5"/>
    <x v="1"/>
    <x v="8"/>
    <x v="0"/>
    <x v="0"/>
    <x v="0"/>
  </r>
  <r>
    <x v="1"/>
    <x v="8"/>
    <s v="4506 J"/>
    <x v="121"/>
    <s v="-"/>
    <m/>
    <m/>
    <m/>
    <m/>
    <m/>
    <x v="0"/>
    <n v="2"/>
    <n v="129.76"/>
    <n v="2.4"/>
    <m/>
    <x v="0"/>
    <n v="127.35999999999999"/>
    <n v="489.94999999999993"/>
    <m/>
    <x v="0"/>
    <x v="0"/>
    <n v="0"/>
    <n v="0"/>
    <x v="0"/>
    <x v="0"/>
    <m/>
    <x v="0"/>
    <x v="0"/>
    <x v="0"/>
    <x v="0"/>
    <x v="0"/>
    <n v="0"/>
    <n v="0"/>
    <n v="0"/>
    <n v="12"/>
    <x v="1"/>
    <x v="0"/>
    <m/>
    <x v="0"/>
    <n v="133.35999999999999"/>
    <x v="0"/>
    <x v="8"/>
    <x v="0"/>
    <x v="0"/>
    <x v="0"/>
  </r>
  <r>
    <x v="0"/>
    <x v="10"/>
    <m/>
    <x v="121"/>
    <s v="-"/>
    <s v="LD YELLOW"/>
    <n v="17"/>
    <s v="15-18"/>
    <m/>
    <m/>
    <x v="0"/>
    <n v="1"/>
    <n v="92.26"/>
    <n v="1.7"/>
    <n v="159"/>
    <x v="0"/>
    <n v="90.56"/>
    <n v="0"/>
    <m/>
    <x v="0"/>
    <x v="0"/>
    <n v="0"/>
    <n v="0"/>
    <x v="0"/>
    <x v="0"/>
    <m/>
    <x v="0"/>
    <x v="0"/>
    <x v="0"/>
    <x v="0"/>
    <x v="0"/>
    <n v="0"/>
    <n v="0"/>
    <n v="0"/>
    <n v="12"/>
    <x v="1"/>
    <x v="0"/>
    <m/>
    <x v="0"/>
    <n v="96.56"/>
    <x v="0"/>
    <x v="8"/>
    <x v="0"/>
    <x v="0"/>
    <x v="0"/>
  </r>
  <r>
    <x v="0"/>
    <x v="12"/>
    <s v="4747 J"/>
    <x v="121"/>
    <s v="Service Industry Gujrat"/>
    <s v="LDM"/>
    <s v="428 MM"/>
    <s v="-"/>
    <s v="LDM"/>
    <n v="200"/>
    <x v="0"/>
    <n v="1"/>
    <n v="36.5"/>
    <n v="2.4"/>
    <m/>
    <x v="0"/>
    <n v="34.1"/>
    <n v="258.60000000000002"/>
    <n v="5"/>
    <x v="0"/>
    <x v="0"/>
    <n v="5"/>
    <n v="8.3333333333333329E-2"/>
    <x v="0"/>
    <x v="0"/>
    <m/>
    <x v="1"/>
    <x v="0"/>
    <x v="0"/>
    <x v="0"/>
    <x v="0"/>
    <n v="10"/>
    <n v="0.16666666666666666"/>
    <n v="0.25"/>
    <n v="11.75"/>
    <x v="1"/>
    <x v="0"/>
    <m/>
    <x v="0"/>
    <n v="40.1"/>
    <x v="0"/>
    <x v="8"/>
    <x v="0"/>
    <x v="0"/>
    <x v="0"/>
  </r>
  <r>
    <x v="0"/>
    <x v="10"/>
    <s v="2287 F"/>
    <x v="121"/>
    <s v="Usman Amin"/>
    <s v="LDN"/>
    <n v="19"/>
    <s v="12"/>
    <s v="LDN"/>
    <n v="600"/>
    <x v="0"/>
    <n v="1"/>
    <n v="103"/>
    <n v="2.4"/>
    <m/>
    <x v="0"/>
    <n v="100.6"/>
    <n v="759.31000000000006"/>
    <m/>
    <x v="0"/>
    <x v="0"/>
    <n v="0"/>
    <n v="0"/>
    <x v="0"/>
    <x v="0"/>
    <m/>
    <x v="0"/>
    <x v="0"/>
    <x v="0"/>
    <x v="0"/>
    <x v="0"/>
    <n v="0"/>
    <n v="0"/>
    <n v="0"/>
    <n v="12"/>
    <x v="1"/>
    <x v="0"/>
    <m/>
    <x v="0"/>
    <n v="106.6"/>
    <x v="0"/>
    <x v="8"/>
    <x v="0"/>
    <x v="0"/>
    <x v="0"/>
  </r>
  <r>
    <x v="0"/>
    <x v="10"/>
    <s v="4812 J"/>
    <x v="121"/>
    <s v="Atlas Honda LTD (SKP)"/>
    <s v="LDN"/>
    <n v="16"/>
    <s v="14-14.5"/>
    <s v="LDN"/>
    <n v="125"/>
    <x v="0"/>
    <n v="1"/>
    <n v="26.3"/>
    <n v="1.8"/>
    <m/>
    <x v="0"/>
    <n v="24.5"/>
    <n v="167.57999999999998"/>
    <m/>
    <x v="0"/>
    <x v="0"/>
    <n v="0"/>
    <n v="0"/>
    <x v="0"/>
    <x v="0"/>
    <m/>
    <x v="0"/>
    <x v="0"/>
    <x v="0"/>
    <x v="0"/>
    <x v="0"/>
    <n v="0"/>
    <n v="0"/>
    <n v="0"/>
    <n v="12"/>
    <x v="1"/>
    <x v="0"/>
    <m/>
    <x v="0"/>
    <n v="30.5"/>
    <x v="0"/>
    <x v="8"/>
    <x v="0"/>
    <x v="0"/>
    <x v="0"/>
  </r>
  <r>
    <x v="0"/>
    <x v="12"/>
    <s v="4746 J"/>
    <x v="121"/>
    <s v="Service Industry Gujrat"/>
    <s v="LDM"/>
    <s v="428 MM"/>
    <s v="-"/>
    <s v="LDM"/>
    <n v="200"/>
    <x v="0"/>
    <n v="2"/>
    <n v="91"/>
    <n v="2.1"/>
    <m/>
    <x v="0"/>
    <n v="88.9"/>
    <n v="192.10000000000002"/>
    <m/>
    <x v="0"/>
    <x v="0"/>
    <n v="0"/>
    <n v="0"/>
    <x v="0"/>
    <x v="0"/>
    <m/>
    <x v="0"/>
    <x v="0"/>
    <x v="0"/>
    <x v="0"/>
    <x v="0"/>
    <n v="0"/>
    <n v="0"/>
    <n v="0"/>
    <n v="12"/>
    <x v="1"/>
    <x v="0"/>
    <m/>
    <x v="0"/>
    <n v="94.9"/>
    <x v="0"/>
    <x v="8"/>
    <x v="0"/>
    <x v="0"/>
    <x v="0"/>
  </r>
  <r>
    <x v="1"/>
    <x v="12"/>
    <s v="4746 J"/>
    <x v="121"/>
    <s v="Service Industry Gujrat"/>
    <s v="LDM"/>
    <s v="428 MM"/>
    <s v="-"/>
    <s v="LDM"/>
    <n v="200"/>
    <x v="0"/>
    <n v="2"/>
    <n v="107.5"/>
    <n v="4.3000000000000007"/>
    <m/>
    <x v="0"/>
    <n v="103.2"/>
    <n v="192.10000000000002"/>
    <m/>
    <x v="0"/>
    <x v="0"/>
    <n v="0"/>
    <n v="0"/>
    <x v="0"/>
    <x v="0"/>
    <m/>
    <x v="0"/>
    <x v="0"/>
    <x v="0"/>
    <x v="0"/>
    <x v="0"/>
    <n v="0"/>
    <n v="0"/>
    <n v="0"/>
    <n v="12"/>
    <x v="1"/>
    <x v="0"/>
    <m/>
    <x v="0"/>
    <n v="109.2"/>
    <x v="0"/>
    <x v="8"/>
    <x v="0"/>
    <x v="0"/>
    <x v="0"/>
  </r>
  <r>
    <x v="1"/>
    <x v="12"/>
    <s v="4747 J"/>
    <x v="121"/>
    <s v="Service Industry Gujrat"/>
    <s v="LDM"/>
    <s v="428 MM"/>
    <s v="-"/>
    <s v="LDM"/>
    <n v="200"/>
    <x v="0"/>
    <n v="5"/>
    <n v="235.5"/>
    <n v="11"/>
    <m/>
    <x v="0"/>
    <n v="224.5"/>
    <n v="258.60000000000002"/>
    <m/>
    <x v="0"/>
    <x v="0"/>
    <n v="0"/>
    <n v="0"/>
    <x v="0"/>
    <x v="0"/>
    <m/>
    <x v="0"/>
    <x v="0"/>
    <x v="0"/>
    <x v="0"/>
    <x v="0"/>
    <n v="0"/>
    <n v="0"/>
    <n v="0"/>
    <n v="12"/>
    <x v="1"/>
    <x v="0"/>
    <m/>
    <x v="0"/>
    <n v="230.5"/>
    <x v="0"/>
    <x v="8"/>
    <x v="0"/>
    <x v="0"/>
    <x v="0"/>
  </r>
  <r>
    <x v="1"/>
    <x v="12"/>
    <s v="4779 J"/>
    <x v="121"/>
    <s v="Service Industry Gujrat"/>
    <s v="LDM"/>
    <s v="428 MM"/>
    <s v="-"/>
    <s v="LDM"/>
    <n v="100"/>
    <x v="0"/>
    <n v="3"/>
    <n v="157.9"/>
    <n v="6.6000000000000005"/>
    <m/>
    <x v="0"/>
    <n v="151.30000000000001"/>
    <n v="151.30000000000001"/>
    <m/>
    <x v="0"/>
    <x v="0"/>
    <n v="0"/>
    <n v="0"/>
    <x v="0"/>
    <x v="0"/>
    <m/>
    <x v="0"/>
    <x v="0"/>
    <x v="0"/>
    <x v="0"/>
    <x v="0"/>
    <n v="0"/>
    <n v="0"/>
    <n v="0"/>
    <n v="12"/>
    <x v="1"/>
    <x v="0"/>
    <m/>
    <x v="0"/>
    <n v="157.30000000000001"/>
    <x v="0"/>
    <x v="8"/>
    <x v="0"/>
    <x v="0"/>
    <x v="0"/>
  </r>
  <r>
    <x v="0"/>
    <x v="11"/>
    <s v="2804/1"/>
    <x v="121"/>
    <s v="MATCO FOOD"/>
    <s v="LDN"/>
    <n v="23"/>
    <s v="70±1"/>
    <s v="LDN"/>
    <n v="4900"/>
    <x v="0"/>
    <n v="3"/>
    <n v="446.09999999999997"/>
    <n v="8.5"/>
    <m/>
    <x v="0"/>
    <n v="437.59999999999997"/>
    <n v="5092.7000000000007"/>
    <m/>
    <x v="0"/>
    <x v="0"/>
    <n v="0"/>
    <n v="0"/>
    <x v="0"/>
    <x v="0"/>
    <m/>
    <x v="0"/>
    <x v="0"/>
    <x v="0"/>
    <x v="0"/>
    <x v="0"/>
    <n v="0"/>
    <n v="0"/>
    <n v="0"/>
    <n v="12"/>
    <x v="1"/>
    <x v="0"/>
    <m/>
    <x v="0"/>
    <n v="443.59999999999997"/>
    <x v="0"/>
    <x v="8"/>
    <x v="0"/>
    <x v="0"/>
    <x v="0"/>
  </r>
  <r>
    <x v="1"/>
    <x v="11"/>
    <s v="2804/1"/>
    <x v="121"/>
    <s v="MATCO FOOD"/>
    <s v="LDN"/>
    <n v="23"/>
    <s v="70±1"/>
    <s v="LDN"/>
    <n v="4900"/>
    <x v="0"/>
    <n v="4"/>
    <n v="487.95999999999992"/>
    <n v="11.2"/>
    <m/>
    <x v="0"/>
    <n v="476.75999999999993"/>
    <n v="5092.7000000000007"/>
    <m/>
    <x v="0"/>
    <x v="0"/>
    <n v="0"/>
    <n v="0"/>
    <x v="0"/>
    <x v="0"/>
    <m/>
    <x v="0"/>
    <x v="0"/>
    <x v="0"/>
    <x v="0"/>
    <x v="0"/>
    <n v="0"/>
    <n v="0"/>
    <n v="0"/>
    <n v="12"/>
    <x v="1"/>
    <x v="0"/>
    <m/>
    <x v="0"/>
    <n v="482.75999999999993"/>
    <x v="0"/>
    <x v="8"/>
    <x v="0"/>
    <x v="0"/>
    <x v="0"/>
  </r>
  <r>
    <x v="0"/>
    <x v="13"/>
    <s v="2804/1"/>
    <x v="121"/>
    <s v="MATCO FOOD"/>
    <s v="LDN"/>
    <n v="23"/>
    <s v="70±1"/>
    <s v="LDN"/>
    <n v="4900"/>
    <x v="0"/>
    <n v="5"/>
    <n v="671.37"/>
    <n v="14"/>
    <m/>
    <x v="0"/>
    <n v="657.37"/>
    <n v="5092.7000000000007"/>
    <m/>
    <x v="0"/>
    <x v="0"/>
    <n v="0"/>
    <n v="0"/>
    <x v="0"/>
    <x v="0"/>
    <m/>
    <x v="0"/>
    <x v="0"/>
    <x v="0"/>
    <x v="0"/>
    <x v="0"/>
    <n v="0"/>
    <n v="0"/>
    <n v="0"/>
    <n v="12"/>
    <x v="1"/>
    <x v="0"/>
    <m/>
    <x v="0"/>
    <n v="663.37"/>
    <x v="0"/>
    <x v="8"/>
    <x v="0"/>
    <x v="0"/>
    <x v="0"/>
  </r>
  <r>
    <x v="1"/>
    <x v="13"/>
    <s v="2804/1"/>
    <x v="121"/>
    <s v="MATCO FOOD"/>
    <s v="LDN"/>
    <n v="23"/>
    <s v="70±1"/>
    <s v="LDN"/>
    <n v="4900"/>
    <x v="0"/>
    <n v="5"/>
    <n v="651.18000000000006"/>
    <n v="14"/>
    <n v="86"/>
    <x v="0"/>
    <n v="637.18000000000006"/>
    <n v="5092.7000000000007"/>
    <m/>
    <x v="0"/>
    <x v="0"/>
    <n v="0"/>
    <n v="0"/>
    <x v="0"/>
    <x v="0"/>
    <m/>
    <x v="0"/>
    <x v="0"/>
    <x v="0"/>
    <x v="0"/>
    <x v="0"/>
    <n v="0"/>
    <n v="0"/>
    <n v="0"/>
    <n v="12"/>
    <x v="1"/>
    <x v="0"/>
    <m/>
    <x v="0"/>
    <n v="643.18000000000006"/>
    <x v="0"/>
    <x v="8"/>
    <x v="0"/>
    <x v="0"/>
    <x v="0"/>
  </r>
  <r>
    <x v="1"/>
    <x v="13"/>
    <s v="4753 J"/>
    <x v="121"/>
    <s v="Sheikh Sheraz Sialkot"/>
    <s v="LDN"/>
    <n v="28"/>
    <n v="10"/>
    <s v="LDN"/>
    <n v="280"/>
    <x v="0"/>
    <n v="1"/>
    <n v="47.2"/>
    <n v="3.6"/>
    <m/>
    <x v="0"/>
    <n v="43.6"/>
    <n v="304.20000000000005"/>
    <m/>
    <x v="0"/>
    <x v="0"/>
    <n v="0"/>
    <n v="0"/>
    <x v="0"/>
    <x v="0"/>
    <m/>
    <x v="0"/>
    <x v="0"/>
    <x v="0"/>
    <x v="0"/>
    <x v="0"/>
    <n v="0"/>
    <n v="0"/>
    <n v="0"/>
    <n v="12"/>
    <x v="1"/>
    <x v="0"/>
    <m/>
    <x v="0"/>
    <n v="49.6"/>
    <x v="0"/>
    <x v="8"/>
    <x v="0"/>
    <x v="0"/>
    <x v="0"/>
  </r>
  <r>
    <x v="0"/>
    <x v="14"/>
    <s v="2286 F"/>
    <x v="121"/>
    <s v="Usman Amin"/>
    <s v="LDN"/>
    <n v="17.25"/>
    <s v="12"/>
    <s v="LDN"/>
    <n v="1000"/>
    <x v="0"/>
    <n v="4"/>
    <n v="394.34000000000003"/>
    <n v="6.8"/>
    <m/>
    <x v="0"/>
    <n v="387.54"/>
    <n v="1107.08"/>
    <m/>
    <x v="0"/>
    <x v="0"/>
    <n v="0"/>
    <n v="0"/>
    <x v="0"/>
    <x v="0"/>
    <m/>
    <x v="0"/>
    <x v="0"/>
    <x v="0"/>
    <x v="0"/>
    <x v="0"/>
    <n v="0"/>
    <n v="0"/>
    <n v="0"/>
    <n v="12"/>
    <x v="1"/>
    <x v="0"/>
    <m/>
    <x v="0"/>
    <n v="393.54"/>
    <x v="0"/>
    <x v="8"/>
    <x v="0"/>
    <x v="0"/>
    <x v="0"/>
  </r>
  <r>
    <x v="1"/>
    <x v="14"/>
    <s v="2286 F"/>
    <x v="121"/>
    <s v="Usman Amin"/>
    <s v="LDN"/>
    <n v="17.25"/>
    <s v="12"/>
    <s v="LDN"/>
    <n v="1000"/>
    <x v="0"/>
    <n v="3"/>
    <n v="289"/>
    <n v="5.6999999999999993"/>
    <m/>
    <x v="0"/>
    <n v="283.3"/>
    <n v="1107.08"/>
    <m/>
    <x v="0"/>
    <x v="0"/>
    <n v="0"/>
    <n v="0"/>
    <x v="0"/>
    <x v="0"/>
    <m/>
    <x v="0"/>
    <x v="0"/>
    <x v="0"/>
    <x v="0"/>
    <x v="0"/>
    <n v="0"/>
    <n v="0"/>
    <n v="0"/>
    <n v="12"/>
    <x v="1"/>
    <x v="0"/>
    <m/>
    <x v="0"/>
    <n v="289.3"/>
    <x v="0"/>
    <x v="8"/>
    <x v="0"/>
    <x v="0"/>
    <x v="0"/>
  </r>
  <r>
    <x v="1"/>
    <x v="14"/>
    <s v="2284 F"/>
    <x v="121"/>
    <s v="Usman Amin"/>
    <s v="LDN"/>
    <n v="17"/>
    <s v="7.5-8"/>
    <s v="LDN"/>
    <n v="1000"/>
    <x v="0"/>
    <n v="1"/>
    <n v="47.4"/>
    <n v="1.7"/>
    <m/>
    <x v="0"/>
    <n v="45.699999999999996"/>
    <n v="1118.72"/>
    <m/>
    <x v="0"/>
    <x v="0"/>
    <n v="0"/>
    <n v="0"/>
    <x v="0"/>
    <x v="0"/>
    <m/>
    <x v="0"/>
    <x v="0"/>
    <x v="0"/>
    <x v="0"/>
    <x v="0"/>
    <n v="0"/>
    <n v="0"/>
    <n v="0"/>
    <n v="12"/>
    <x v="1"/>
    <x v="0"/>
    <m/>
    <x v="0"/>
    <n v="51.699999999999996"/>
    <x v="0"/>
    <x v="8"/>
    <x v="0"/>
    <x v="0"/>
    <x v="0"/>
  </r>
  <r>
    <x v="0"/>
    <x v="14"/>
    <s v="2284 F"/>
    <x v="122"/>
    <s v="Usman Amin"/>
    <s v="LDN"/>
    <n v="17"/>
    <s v="7.5-8"/>
    <s v="LDN"/>
    <n v="1000"/>
    <x v="0"/>
    <n v="2"/>
    <n v="129.76"/>
    <n v="3.4"/>
    <m/>
    <x v="0"/>
    <n v="126.35999999999999"/>
    <n v="1118.72"/>
    <m/>
    <x v="0"/>
    <x v="0"/>
    <n v="0"/>
    <n v="0"/>
    <x v="0"/>
    <x v="0"/>
    <n v="15"/>
    <x v="0"/>
    <x v="0"/>
    <x v="0"/>
    <x v="3"/>
    <x v="0"/>
    <n v="45"/>
    <n v="0.75"/>
    <n v="0.75"/>
    <n v="11.25"/>
    <x v="1"/>
    <x v="0"/>
    <n v="2155.5"/>
    <x v="0"/>
    <n v="132.35999999999999"/>
    <x v="1"/>
    <x v="8"/>
    <x v="0"/>
    <x v="0"/>
    <x v="0"/>
  </r>
  <r>
    <x v="0"/>
    <x v="14"/>
    <s v="2804/1"/>
    <x v="122"/>
    <s v="MATCO FOOD"/>
    <s v="LDN"/>
    <n v="23"/>
    <s v="70±1"/>
    <s v="LDN"/>
    <n v="4900"/>
    <x v="0"/>
    <n v="3"/>
    <n v="356.4"/>
    <n v="6.8999999999999995"/>
    <m/>
    <x v="0"/>
    <n v="349.5"/>
    <n v="5092.7000000000007"/>
    <m/>
    <x v="0"/>
    <x v="0"/>
    <n v="0"/>
    <n v="0"/>
    <x v="0"/>
    <x v="0"/>
    <m/>
    <x v="0"/>
    <x v="0"/>
    <x v="0"/>
    <x v="0"/>
    <x v="0"/>
    <n v="0"/>
    <n v="0"/>
    <n v="0"/>
    <n v="12"/>
    <x v="1"/>
    <x v="0"/>
    <m/>
    <x v="0"/>
    <n v="355.5"/>
    <x v="0"/>
    <x v="8"/>
    <x v="0"/>
    <x v="0"/>
    <x v="0"/>
  </r>
  <r>
    <x v="1"/>
    <x v="14"/>
    <s v="2804/1"/>
    <x v="122"/>
    <s v="MATCO FOOD"/>
    <s v="LDN"/>
    <n v="23"/>
    <s v="70±1"/>
    <s v="LDN"/>
    <n v="4900"/>
    <x v="0"/>
    <n v="3"/>
    <n v="355.98"/>
    <n v="8.3999999999999986"/>
    <m/>
    <x v="0"/>
    <n v="347.58000000000004"/>
    <n v="5092.7000000000007"/>
    <n v="4"/>
    <x v="0"/>
    <x v="0"/>
    <n v="4"/>
    <n v="6.6666666666666666E-2"/>
    <x v="0"/>
    <x v="0"/>
    <m/>
    <x v="0"/>
    <x v="0"/>
    <x v="0"/>
    <x v="0"/>
    <x v="0"/>
    <n v="0"/>
    <n v="0"/>
    <n v="6.6666666666666666E-2"/>
    <n v="11.933333333333334"/>
    <x v="1"/>
    <x v="0"/>
    <m/>
    <x v="0"/>
    <n v="353.58000000000004"/>
    <x v="0"/>
    <x v="8"/>
    <x v="0"/>
    <x v="0"/>
    <x v="0"/>
  </r>
  <r>
    <x v="1"/>
    <x v="14"/>
    <s v="2286 F"/>
    <x v="122"/>
    <s v="Usman Amin"/>
    <s v="LDN"/>
    <n v="17.25"/>
    <s v="12"/>
    <s v="LDN"/>
    <n v="1000"/>
    <x v="0"/>
    <n v="1"/>
    <n v="94.94"/>
    <n v="1.7"/>
    <m/>
    <x v="0"/>
    <n v="93.24"/>
    <n v="1107.08"/>
    <m/>
    <x v="0"/>
    <x v="0"/>
    <n v="0"/>
    <n v="0"/>
    <x v="0"/>
    <x v="0"/>
    <m/>
    <x v="0"/>
    <x v="0"/>
    <x v="0"/>
    <x v="0"/>
    <x v="0"/>
    <n v="0"/>
    <n v="0"/>
    <n v="0"/>
    <n v="12"/>
    <x v="1"/>
    <x v="0"/>
    <m/>
    <x v="0"/>
    <n v="99.24"/>
    <x v="0"/>
    <x v="8"/>
    <x v="0"/>
    <x v="0"/>
    <x v="0"/>
  </r>
  <r>
    <x v="0"/>
    <x v="9"/>
    <s v="4506 J"/>
    <x v="122"/>
    <s v="-"/>
    <m/>
    <m/>
    <m/>
    <m/>
    <m/>
    <x v="0"/>
    <n v="2"/>
    <n v="122.8"/>
    <n v="2.4"/>
    <n v="6.2"/>
    <x v="0"/>
    <n v="120.39999999999999"/>
    <n v="489.94999999999993"/>
    <m/>
    <x v="0"/>
    <x v="0"/>
    <n v="0"/>
    <n v="0"/>
    <x v="0"/>
    <x v="0"/>
    <m/>
    <x v="0"/>
    <x v="0"/>
    <x v="0"/>
    <x v="0"/>
    <x v="0"/>
    <n v="0"/>
    <n v="0"/>
    <n v="0"/>
    <n v="12"/>
    <x v="1"/>
    <x v="0"/>
    <m/>
    <x v="0"/>
    <n v="126.39999999999999"/>
    <x v="0"/>
    <x v="8"/>
    <x v="0"/>
    <x v="0"/>
    <x v="0"/>
  </r>
  <r>
    <x v="0"/>
    <x v="11"/>
    <s v="4804 J"/>
    <x v="122"/>
    <s v="Airy Food Gujranwala"/>
    <s v="LDN"/>
    <n v="24"/>
    <s v="-"/>
    <s v="LDN"/>
    <n v="620"/>
    <x v="0"/>
    <n v="4"/>
    <n v="400.38"/>
    <n v="11.6"/>
    <m/>
    <x v="0"/>
    <n v="388.78"/>
    <n v="619.57999999999993"/>
    <m/>
    <x v="0"/>
    <x v="0"/>
    <n v="0"/>
    <n v="0"/>
    <x v="0"/>
    <x v="0"/>
    <m/>
    <x v="0"/>
    <x v="0"/>
    <x v="0"/>
    <x v="0"/>
    <x v="0"/>
    <n v="0"/>
    <n v="0"/>
    <n v="0"/>
    <n v="12"/>
    <x v="1"/>
    <x v="0"/>
    <m/>
    <x v="0"/>
    <n v="394.78"/>
    <x v="0"/>
    <x v="8"/>
    <x v="0"/>
    <x v="0"/>
    <x v="0"/>
  </r>
  <r>
    <x v="0"/>
    <x v="11"/>
    <m/>
    <x v="122"/>
    <s v="-"/>
    <m/>
    <n v="24"/>
    <n v="100"/>
    <m/>
    <m/>
    <x v="0"/>
    <n v="1"/>
    <n v="98.24"/>
    <n v="2.9"/>
    <m/>
    <x v="0"/>
    <n v="95.339999999999989"/>
    <n v="0"/>
    <m/>
    <x v="0"/>
    <x v="0"/>
    <n v="0"/>
    <n v="0"/>
    <x v="0"/>
    <x v="0"/>
    <m/>
    <x v="0"/>
    <x v="0"/>
    <x v="0"/>
    <x v="0"/>
    <x v="0"/>
    <n v="0"/>
    <n v="0"/>
    <n v="0"/>
    <n v="12"/>
    <x v="1"/>
    <x v="0"/>
    <m/>
    <x v="0"/>
    <n v="101.33999999999999"/>
    <x v="0"/>
    <x v="8"/>
    <x v="0"/>
    <x v="0"/>
    <x v="0"/>
  </r>
  <r>
    <x v="1"/>
    <x v="11"/>
    <s v="4804 J"/>
    <x v="122"/>
    <s v="Airy Food Gujranwala"/>
    <s v="LDN"/>
    <n v="24"/>
    <s v="-"/>
    <s v="LDN"/>
    <n v="620"/>
    <x v="0"/>
    <n v="2"/>
    <n v="236.39999999999998"/>
    <n v="5.6"/>
    <m/>
    <x v="0"/>
    <n v="230.79999999999998"/>
    <n v="619.57999999999993"/>
    <n v="3"/>
    <x v="0"/>
    <x v="0"/>
    <n v="3"/>
    <n v="0.05"/>
    <x v="0"/>
    <x v="0"/>
    <m/>
    <x v="0"/>
    <x v="0"/>
    <x v="0"/>
    <x v="0"/>
    <x v="0"/>
    <n v="0"/>
    <n v="0"/>
    <n v="0.05"/>
    <n v="11.95"/>
    <x v="1"/>
    <x v="0"/>
    <m/>
    <x v="0"/>
    <n v="236.79999999999998"/>
    <x v="0"/>
    <x v="8"/>
    <x v="0"/>
    <x v="0"/>
    <x v="0"/>
  </r>
  <r>
    <x v="1"/>
    <x v="11"/>
    <s v="2804/1"/>
    <x v="122"/>
    <s v="MATCO FOOD"/>
    <s v="LDN"/>
    <n v="23"/>
    <s v="70±1"/>
    <s v="LDN"/>
    <n v="4900"/>
    <x v="0"/>
    <n v="2"/>
    <n v="262.70000000000005"/>
    <n v="4.5999999999999996"/>
    <m/>
    <x v="0"/>
    <n v="258.10000000000002"/>
    <n v="5092.7000000000007"/>
    <m/>
    <x v="0"/>
    <x v="0"/>
    <n v="0"/>
    <n v="0"/>
    <x v="0"/>
    <x v="0"/>
    <m/>
    <x v="0"/>
    <x v="0"/>
    <x v="0"/>
    <x v="0"/>
    <x v="0"/>
    <n v="0"/>
    <n v="0"/>
    <n v="0"/>
    <n v="12"/>
    <x v="1"/>
    <x v="0"/>
    <m/>
    <x v="0"/>
    <n v="264.10000000000002"/>
    <x v="0"/>
    <x v="8"/>
    <x v="0"/>
    <x v="0"/>
    <x v="0"/>
  </r>
  <r>
    <x v="0"/>
    <x v="13"/>
    <s v="4753 J"/>
    <x v="122"/>
    <s v="Sheikh Sheraz Sialkot"/>
    <s v="LDN"/>
    <n v="28"/>
    <n v="10"/>
    <s v="LDN"/>
    <n v="280"/>
    <x v="0"/>
    <n v="4"/>
    <n v="275"/>
    <n v="14.4"/>
    <n v="78"/>
    <x v="0"/>
    <n v="260.60000000000002"/>
    <n v="304.20000000000005"/>
    <n v="5"/>
    <x v="0"/>
    <x v="0"/>
    <n v="5"/>
    <n v="8.3333333333333329E-2"/>
    <x v="0"/>
    <x v="0"/>
    <m/>
    <x v="2"/>
    <x v="0"/>
    <x v="0"/>
    <x v="0"/>
    <x v="0"/>
    <n v="5"/>
    <n v="8.3333333333333329E-2"/>
    <n v="0.16666666666666666"/>
    <n v="11.833333333333334"/>
    <x v="1"/>
    <x v="0"/>
    <m/>
    <x v="0"/>
    <n v="266.60000000000002"/>
    <x v="0"/>
    <x v="8"/>
    <x v="0"/>
    <x v="0"/>
    <x v="0"/>
  </r>
  <r>
    <x v="0"/>
    <x v="13"/>
    <s v="4813 J"/>
    <x v="122"/>
    <s v="Atlas Honda LTD (SKP)"/>
    <s v="LDN"/>
    <n v="22"/>
    <s v="12.5-13"/>
    <s v="LDN"/>
    <n v="125"/>
    <x v="0"/>
    <n v="2"/>
    <n v="152.19999999999999"/>
    <n v="4.4000000000000004"/>
    <m/>
    <x v="0"/>
    <n v="147.79999999999998"/>
    <n v="147.79999999999998"/>
    <n v="5"/>
    <x v="0"/>
    <x v="0"/>
    <n v="5"/>
    <n v="8.3333333333333329E-2"/>
    <x v="0"/>
    <x v="0"/>
    <m/>
    <x v="2"/>
    <x v="0"/>
    <x v="0"/>
    <x v="0"/>
    <x v="0"/>
    <n v="5"/>
    <n v="8.3333333333333329E-2"/>
    <n v="0.16666666666666666"/>
    <n v="11.833333333333334"/>
    <x v="1"/>
    <x v="0"/>
    <m/>
    <x v="0"/>
    <n v="153.79999999999998"/>
    <x v="0"/>
    <x v="8"/>
    <x v="0"/>
    <x v="0"/>
    <x v="0"/>
  </r>
  <r>
    <x v="0"/>
    <x v="13"/>
    <s v="4738 J"/>
    <x v="122"/>
    <s v="Chaudhry Milk Sweets and Bakers Jhangh"/>
    <s v="LDN"/>
    <n v="21"/>
    <s v="8-8.5"/>
    <s v="LDN"/>
    <n v="100"/>
    <x v="0"/>
    <n v="2"/>
    <n v="68.2"/>
    <n v="2.6"/>
    <m/>
    <x v="0"/>
    <n v="65.600000000000009"/>
    <n v="118.5"/>
    <n v="5"/>
    <x v="0"/>
    <x v="0"/>
    <n v="5"/>
    <n v="8.3333333333333329E-2"/>
    <x v="0"/>
    <x v="0"/>
    <m/>
    <x v="0"/>
    <x v="0"/>
    <x v="0"/>
    <x v="0"/>
    <x v="0"/>
    <n v="0"/>
    <n v="0"/>
    <n v="8.3333333333333329E-2"/>
    <n v="11.916666666666666"/>
    <x v="1"/>
    <x v="0"/>
    <m/>
    <x v="0"/>
    <n v="71.600000000000009"/>
    <x v="0"/>
    <x v="8"/>
    <x v="0"/>
    <x v="0"/>
    <x v="0"/>
  </r>
  <r>
    <x v="0"/>
    <x v="13"/>
    <s v="4736 J"/>
    <x v="122"/>
    <s v="Chaudhry Milk Sweets and Bakers Jhangh"/>
    <s v="LDN"/>
    <n v="21"/>
    <s v="8-8.5"/>
    <s v="LDN"/>
    <n v="100"/>
    <x v="0"/>
    <n v="2"/>
    <n v="108.8"/>
    <n v="5.2"/>
    <m/>
    <x v="0"/>
    <n v="103.6"/>
    <n v="103.6"/>
    <n v="5"/>
    <x v="0"/>
    <x v="0"/>
    <n v="5"/>
    <n v="8.3333333333333329E-2"/>
    <x v="0"/>
    <x v="0"/>
    <m/>
    <x v="0"/>
    <x v="0"/>
    <x v="0"/>
    <x v="0"/>
    <x v="0"/>
    <n v="0"/>
    <n v="0"/>
    <n v="8.3333333333333329E-2"/>
    <n v="11.916666666666666"/>
    <x v="1"/>
    <x v="0"/>
    <m/>
    <x v="0"/>
    <n v="109.6"/>
    <x v="0"/>
    <x v="8"/>
    <x v="0"/>
    <x v="0"/>
    <x v="0"/>
  </r>
  <r>
    <x v="1"/>
    <x v="13"/>
    <s v="4738 J"/>
    <x v="122"/>
    <s v="Chaudhry Milk Sweets and Bakers Jhangh"/>
    <s v="LDN"/>
    <n v="21"/>
    <s v="8-8.5"/>
    <s v="LDN"/>
    <n v="100"/>
    <x v="0"/>
    <n v="1"/>
    <n v="24.5"/>
    <n v="5.0999999999999996"/>
    <n v="49"/>
    <x v="0"/>
    <n v="19.399999999999999"/>
    <n v="118.5"/>
    <n v="5"/>
    <x v="0"/>
    <x v="0"/>
    <n v="5"/>
    <n v="8.3333333333333329E-2"/>
    <x v="0"/>
    <x v="0"/>
    <m/>
    <x v="0"/>
    <x v="0"/>
    <x v="0"/>
    <x v="0"/>
    <x v="0"/>
    <n v="0"/>
    <n v="0"/>
    <n v="8.3333333333333329E-2"/>
    <n v="11.916666666666666"/>
    <x v="1"/>
    <x v="0"/>
    <m/>
    <x v="0"/>
    <n v="25.4"/>
    <x v="0"/>
    <x v="8"/>
    <x v="0"/>
    <x v="0"/>
    <x v="0"/>
  </r>
  <r>
    <x v="1"/>
    <x v="13"/>
    <s v="4737 J"/>
    <x v="122"/>
    <s v="Chaudhry Milk Sweets and Bakers Jhangh"/>
    <s v="LDN"/>
    <n v="18"/>
    <s v="8-8.5"/>
    <s v="LDN"/>
    <n v="100"/>
    <x v="0"/>
    <n v="2"/>
    <n v="97.300000000000011"/>
    <n v="4.2"/>
    <m/>
    <x v="0"/>
    <n v="93.100000000000009"/>
    <n v="93.100000000000009"/>
    <n v="5"/>
    <x v="0"/>
    <x v="0"/>
    <n v="5"/>
    <n v="8.3333333333333329E-2"/>
    <x v="0"/>
    <x v="0"/>
    <m/>
    <x v="0"/>
    <x v="0"/>
    <x v="0"/>
    <x v="0"/>
    <x v="0"/>
    <n v="0"/>
    <n v="0"/>
    <n v="8.3333333333333329E-2"/>
    <n v="11.916666666666666"/>
    <x v="1"/>
    <x v="0"/>
    <m/>
    <x v="0"/>
    <n v="99.100000000000009"/>
    <x v="0"/>
    <x v="8"/>
    <x v="0"/>
    <x v="0"/>
    <x v="0"/>
  </r>
  <r>
    <x v="1"/>
    <x v="13"/>
    <s v="4829 J"/>
    <x v="122"/>
    <s v="Ajwa Fabrics Vehari"/>
    <s v="LDN"/>
    <n v="18"/>
    <s v="7.5/8"/>
    <s v="LDN"/>
    <n v="100"/>
    <x v="0"/>
    <n v="2"/>
    <n v="96.6"/>
    <n v="4.2"/>
    <m/>
    <x v="0"/>
    <n v="92.399999999999991"/>
    <n v="92.399999999999991"/>
    <n v="5"/>
    <x v="0"/>
    <x v="0"/>
    <n v="5"/>
    <n v="8.3333333333333329E-2"/>
    <x v="0"/>
    <x v="0"/>
    <m/>
    <x v="0"/>
    <x v="0"/>
    <x v="0"/>
    <x v="0"/>
    <x v="0"/>
    <n v="0"/>
    <n v="0"/>
    <n v="8.3333333333333329E-2"/>
    <n v="11.916666666666666"/>
    <x v="1"/>
    <x v="0"/>
    <m/>
    <x v="0"/>
    <n v="98.399999999999991"/>
    <x v="0"/>
    <x v="8"/>
    <x v="0"/>
    <x v="0"/>
    <x v="0"/>
  </r>
  <r>
    <x v="1"/>
    <x v="13"/>
    <s v="4849 J"/>
    <x v="122"/>
    <s v="Waqas Wollan Mills Gujranwala"/>
    <s v="LDN"/>
    <n v="18"/>
    <s v="10-10.5"/>
    <s v="LDN"/>
    <n v="150"/>
    <x v="0"/>
    <n v="3"/>
    <n v="154.12"/>
    <n v="6.6000000000000005"/>
    <m/>
    <x v="0"/>
    <n v="147.52000000000001"/>
    <n v="147.52000000000001"/>
    <m/>
    <x v="0"/>
    <x v="0"/>
    <n v="0"/>
    <n v="0"/>
    <x v="0"/>
    <x v="0"/>
    <m/>
    <x v="0"/>
    <x v="0"/>
    <x v="0"/>
    <x v="0"/>
    <x v="0"/>
    <n v="0"/>
    <n v="0"/>
    <n v="0"/>
    <n v="12"/>
    <x v="1"/>
    <x v="0"/>
    <m/>
    <x v="0"/>
    <n v="153.52000000000001"/>
    <x v="0"/>
    <x v="8"/>
    <x v="0"/>
    <x v="0"/>
    <x v="0"/>
  </r>
  <r>
    <x v="0"/>
    <x v="12"/>
    <s v="4631 J"/>
    <x v="122"/>
    <s v="Mughal Plastic Store Layyah"/>
    <s v="LDM"/>
    <s v="12+3+3"/>
    <s v="7.5-8/15-16"/>
    <s v="LDM"/>
    <n v="125"/>
    <x v="0"/>
    <n v="5"/>
    <n v="128.77999999999997"/>
    <n v="5.6"/>
    <m/>
    <x v="0"/>
    <n v="123.17999999999998"/>
    <n v="123.17999999999998"/>
    <m/>
    <x v="0"/>
    <x v="0"/>
    <n v="0"/>
    <n v="0"/>
    <x v="0"/>
    <x v="0"/>
    <m/>
    <x v="0"/>
    <x v="0"/>
    <x v="0"/>
    <x v="3"/>
    <x v="0"/>
    <n v="30"/>
    <n v="0.5"/>
    <n v="0.5"/>
    <n v="11.5"/>
    <x v="1"/>
    <x v="0"/>
    <m/>
    <x v="0"/>
    <n v="129.17999999999998"/>
    <x v="0"/>
    <x v="8"/>
    <x v="0"/>
    <x v="0"/>
    <x v="0"/>
  </r>
  <r>
    <x v="0"/>
    <x v="12"/>
    <s v="4668 J"/>
    <x v="122"/>
    <s v="Nawab Jilani Plastic Layyah"/>
    <s v="LDM"/>
    <s v="12+3+3"/>
    <s v="10-10.5/20-21"/>
    <s v="LDM"/>
    <n v="100"/>
    <x v="0"/>
    <n v="3"/>
    <n v="102.92000000000002"/>
    <n v="3.5999999999999996"/>
    <m/>
    <x v="0"/>
    <n v="99.320000000000022"/>
    <n v="99.320000000000022"/>
    <m/>
    <x v="0"/>
    <x v="0"/>
    <n v="0"/>
    <n v="0"/>
    <x v="0"/>
    <x v="0"/>
    <m/>
    <x v="0"/>
    <x v="0"/>
    <x v="0"/>
    <x v="0"/>
    <x v="0"/>
    <n v="0"/>
    <n v="0"/>
    <n v="0"/>
    <n v="12"/>
    <x v="1"/>
    <x v="0"/>
    <m/>
    <x v="0"/>
    <n v="105.32000000000002"/>
    <x v="0"/>
    <x v="8"/>
    <x v="0"/>
    <x v="0"/>
    <x v="0"/>
  </r>
  <r>
    <x v="0"/>
    <x v="12"/>
    <s v="4802 J"/>
    <x v="122"/>
    <s v="High Class Bakers Gujrat"/>
    <s v="LDM"/>
    <s v="14+4.5+4.5"/>
    <s v="7.5-8/15-16"/>
    <s v="LDM"/>
    <n v="250"/>
    <x v="0"/>
    <n v="2"/>
    <n v="95.800000000000011"/>
    <n v="2.4"/>
    <m/>
    <x v="0"/>
    <n v="93.4"/>
    <n v="249.4"/>
    <m/>
    <x v="0"/>
    <x v="0"/>
    <n v="0"/>
    <n v="0"/>
    <x v="0"/>
    <x v="0"/>
    <m/>
    <x v="0"/>
    <x v="0"/>
    <x v="0"/>
    <x v="0"/>
    <x v="0"/>
    <n v="0"/>
    <n v="0"/>
    <n v="0"/>
    <n v="12"/>
    <x v="1"/>
    <x v="0"/>
    <m/>
    <x v="0"/>
    <n v="99.4"/>
    <x v="0"/>
    <x v="8"/>
    <x v="0"/>
    <x v="0"/>
    <x v="0"/>
  </r>
  <r>
    <x v="1"/>
    <x v="12"/>
    <s v="4802 J"/>
    <x v="122"/>
    <s v="High Class Bakers Gujrat"/>
    <s v="LDM"/>
    <s v="14+4.5+4.5"/>
    <s v="7.5-8/15-16"/>
    <s v="LDM"/>
    <n v="250"/>
    <x v="0"/>
    <n v="3"/>
    <n v="161.19999999999999"/>
    <n v="5.2"/>
    <m/>
    <x v="0"/>
    <n v="156"/>
    <n v="249.4"/>
    <n v="5"/>
    <x v="0"/>
    <x v="0"/>
    <n v="5"/>
    <n v="8.3333333333333329E-2"/>
    <x v="0"/>
    <x v="0"/>
    <m/>
    <x v="0"/>
    <x v="0"/>
    <x v="0"/>
    <x v="0"/>
    <x v="0"/>
    <n v="0"/>
    <n v="0"/>
    <n v="8.3333333333333329E-2"/>
    <n v="11.916666666666666"/>
    <x v="1"/>
    <x v="0"/>
    <m/>
    <x v="0"/>
    <n v="162"/>
    <x v="0"/>
    <x v="8"/>
    <x v="0"/>
    <x v="0"/>
    <x v="0"/>
  </r>
  <r>
    <x v="1"/>
    <x v="12"/>
    <s v="4669 J"/>
    <x v="122"/>
    <s v="Nawab Jilani Plastic Layyah"/>
    <s v="LDM"/>
    <s v="14+4+4"/>
    <s v="10-10.5/20-21"/>
    <s v="LDM"/>
    <n v="100"/>
    <x v="0"/>
    <n v="3"/>
    <n v="104.30000000000001"/>
    <n v="4.1999999999999993"/>
    <m/>
    <x v="0"/>
    <n v="100.10000000000001"/>
    <n v="100.10000000000001"/>
    <n v="5"/>
    <x v="0"/>
    <x v="0"/>
    <n v="5"/>
    <n v="8.3333333333333329E-2"/>
    <x v="0"/>
    <x v="0"/>
    <m/>
    <x v="0"/>
    <x v="0"/>
    <x v="0"/>
    <x v="0"/>
    <x v="0"/>
    <n v="0"/>
    <n v="0"/>
    <n v="8.3333333333333329E-2"/>
    <n v="11.916666666666666"/>
    <x v="1"/>
    <x v="0"/>
    <m/>
    <x v="0"/>
    <n v="106.10000000000001"/>
    <x v="0"/>
    <x v="8"/>
    <x v="0"/>
    <x v="0"/>
    <x v="0"/>
  </r>
  <r>
    <x v="1"/>
    <x v="12"/>
    <s v="4743 J"/>
    <x v="122"/>
    <s v="Service Industry Gujrat"/>
    <s v="LDM"/>
    <s v="432 MM"/>
    <s v="-"/>
    <s v="LDM"/>
    <n v="600"/>
    <x v="0"/>
    <n v="4"/>
    <n v="188"/>
    <n v="7.1999999999999993"/>
    <m/>
    <x v="0"/>
    <n v="180.8"/>
    <n v="927.56"/>
    <n v="5"/>
    <x v="0"/>
    <x v="0"/>
    <n v="5"/>
    <n v="8.3333333333333329E-2"/>
    <x v="0"/>
    <x v="0"/>
    <m/>
    <x v="0"/>
    <x v="0"/>
    <x v="0"/>
    <x v="0"/>
    <x v="0"/>
    <n v="0"/>
    <n v="0"/>
    <n v="8.3333333333333329E-2"/>
    <n v="11.916666666666666"/>
    <x v="1"/>
    <x v="0"/>
    <m/>
    <x v="0"/>
    <n v="186.8"/>
    <x v="0"/>
    <x v="8"/>
    <x v="0"/>
    <x v="0"/>
    <x v="0"/>
  </r>
  <r>
    <x v="1"/>
    <x v="12"/>
    <s v="4670 J"/>
    <x v="122"/>
    <s v="Nawab Jilani Plastic Layyah"/>
    <s v="LDM"/>
    <s v="10+2.5+2.5"/>
    <s v="10-10.5/20-21"/>
    <s v="LDM"/>
    <n v="100"/>
    <x v="0"/>
    <n v="4"/>
    <n v="122.42"/>
    <n v="4.8"/>
    <m/>
    <x v="0"/>
    <n v="117.62"/>
    <n v="117.62"/>
    <m/>
    <x v="0"/>
    <x v="0"/>
    <n v="0"/>
    <n v="0"/>
    <x v="0"/>
    <x v="0"/>
    <m/>
    <x v="0"/>
    <x v="0"/>
    <x v="0"/>
    <x v="0"/>
    <x v="0"/>
    <n v="0"/>
    <n v="0"/>
    <n v="0"/>
    <n v="12"/>
    <x v="1"/>
    <x v="0"/>
    <m/>
    <x v="0"/>
    <n v="123.62"/>
    <x v="0"/>
    <x v="8"/>
    <x v="0"/>
    <x v="0"/>
    <x v="0"/>
  </r>
  <r>
    <x v="0"/>
    <x v="8"/>
    <s v="4706 J"/>
    <x v="123"/>
    <s v="Usman Arif Butt Gujranwala"/>
    <s v="LDN"/>
    <n v="7"/>
    <n v="10"/>
    <s v="LDN"/>
    <n v="150"/>
    <x v="0"/>
    <n v="1"/>
    <n v="45.56"/>
    <n v="0.7"/>
    <n v="55"/>
    <x v="0"/>
    <n v="44.86"/>
    <n v="162.66"/>
    <m/>
    <x v="0"/>
    <x v="0"/>
    <n v="0"/>
    <n v="0"/>
    <x v="0"/>
    <x v="0"/>
    <n v="240"/>
    <x v="0"/>
    <x v="0"/>
    <x v="0"/>
    <x v="0"/>
    <x v="0"/>
    <n v="240"/>
    <n v="4"/>
    <n v="4"/>
    <n v="8"/>
    <x v="1"/>
    <x v="0"/>
    <n v="2293"/>
    <x v="0"/>
    <n v="50.86"/>
    <x v="1"/>
    <x v="9"/>
    <x v="0"/>
    <x v="0"/>
    <x v="0"/>
  </r>
  <r>
    <x v="1"/>
    <x v="8"/>
    <s v="4706 J"/>
    <x v="123"/>
    <s v="Usman Arif Butt Gujranwala"/>
    <s v="LDN"/>
    <n v="7"/>
    <n v="10"/>
    <s v="LDN"/>
    <n v="150"/>
    <x v="0"/>
    <n v="2"/>
    <n v="102.1"/>
    <n v="1.5"/>
    <m/>
    <x v="0"/>
    <n v="100.6"/>
    <n v="162.66"/>
    <m/>
    <x v="0"/>
    <x v="0"/>
    <n v="0"/>
    <n v="0"/>
    <x v="0"/>
    <x v="0"/>
    <m/>
    <x v="0"/>
    <x v="0"/>
    <x v="0"/>
    <x v="0"/>
    <x v="0"/>
    <n v="0"/>
    <n v="0"/>
    <n v="0"/>
    <n v="12"/>
    <x v="1"/>
    <x v="0"/>
    <m/>
    <x v="0"/>
    <n v="106.6"/>
    <x v="0"/>
    <x v="9"/>
    <x v="0"/>
    <x v="0"/>
    <x v="0"/>
  </r>
  <r>
    <x v="1"/>
    <x v="8"/>
    <s v="4710 J"/>
    <x v="123"/>
    <s v="Usman Arif Butt Gujranwala"/>
    <s v="LDN"/>
    <n v="7"/>
    <n v="10"/>
    <s v="LDN"/>
    <n v="150"/>
    <x v="0"/>
    <n v="1"/>
    <n v="51.7"/>
    <n v="0.7"/>
    <m/>
    <x v="0"/>
    <n v="51"/>
    <n v="152.76"/>
    <m/>
    <x v="0"/>
    <x v="0"/>
    <n v="0"/>
    <n v="0"/>
    <x v="0"/>
    <x v="0"/>
    <m/>
    <x v="0"/>
    <x v="0"/>
    <x v="0"/>
    <x v="0"/>
    <x v="0"/>
    <n v="0"/>
    <n v="0"/>
    <n v="0"/>
    <n v="12"/>
    <x v="1"/>
    <x v="0"/>
    <m/>
    <x v="0"/>
    <n v="57"/>
    <x v="0"/>
    <x v="9"/>
    <x v="0"/>
    <x v="0"/>
    <x v="0"/>
  </r>
  <r>
    <x v="0"/>
    <x v="13"/>
    <s v="2804/1"/>
    <x v="123"/>
    <s v="MATCO FOOD"/>
    <s v="LDN"/>
    <n v="23"/>
    <s v="70±1"/>
    <s v="LDN"/>
    <n v="4900"/>
    <x v="0"/>
    <n v="4"/>
    <n v="425.02"/>
    <n v="11.2"/>
    <m/>
    <x v="0"/>
    <n v="413.82"/>
    <n v="5092.7000000000007"/>
    <m/>
    <x v="0"/>
    <x v="0"/>
    <n v="0"/>
    <n v="0"/>
    <x v="0"/>
    <x v="0"/>
    <m/>
    <x v="0"/>
    <x v="0"/>
    <x v="0"/>
    <x v="0"/>
    <x v="0"/>
    <n v="0"/>
    <n v="0"/>
    <n v="0"/>
    <n v="12"/>
    <x v="1"/>
    <x v="0"/>
    <m/>
    <x v="0"/>
    <n v="419.82"/>
    <x v="0"/>
    <x v="9"/>
    <x v="0"/>
    <x v="0"/>
    <x v="0"/>
  </r>
  <r>
    <x v="1"/>
    <x v="13"/>
    <s v="2804/1"/>
    <x v="123"/>
    <s v="MATCO FOOD"/>
    <s v="LDN"/>
    <n v="23"/>
    <s v="70±1"/>
    <s v="LDN"/>
    <n v="4900"/>
    <x v="0"/>
    <n v="1"/>
    <n v="152.19999999999999"/>
    <n v="2.2999999999999998"/>
    <m/>
    <x v="0"/>
    <n v="149.89999999999998"/>
    <n v="5092.7000000000007"/>
    <m/>
    <x v="0"/>
    <x v="0"/>
    <n v="0"/>
    <n v="0"/>
    <x v="0"/>
    <x v="0"/>
    <m/>
    <x v="0"/>
    <x v="0"/>
    <x v="0"/>
    <x v="0"/>
    <x v="0"/>
    <n v="0"/>
    <n v="0"/>
    <n v="0"/>
    <n v="12"/>
    <x v="1"/>
    <x v="0"/>
    <m/>
    <x v="0"/>
    <n v="155.89999999999998"/>
    <x v="0"/>
    <x v="9"/>
    <x v="0"/>
    <x v="0"/>
    <x v="0"/>
  </r>
  <r>
    <x v="1"/>
    <x v="13"/>
    <s v="2284 F"/>
    <x v="123"/>
    <s v="Usman Amin"/>
    <s v="LDN"/>
    <n v="17"/>
    <s v="7.5-8"/>
    <s v="LDN"/>
    <n v="1000"/>
    <x v="0"/>
    <n v="2"/>
    <n v="151"/>
    <n v="4.2"/>
    <m/>
    <x v="0"/>
    <n v="146.80000000000001"/>
    <n v="1118.72"/>
    <m/>
    <x v="0"/>
    <x v="0"/>
    <n v="0"/>
    <n v="0"/>
    <x v="0"/>
    <x v="0"/>
    <m/>
    <x v="0"/>
    <x v="0"/>
    <x v="0"/>
    <x v="0"/>
    <x v="0"/>
    <n v="0"/>
    <n v="0"/>
    <n v="0"/>
    <n v="12"/>
    <x v="1"/>
    <x v="0"/>
    <m/>
    <x v="0"/>
    <n v="152.80000000000001"/>
    <x v="0"/>
    <x v="9"/>
    <x v="0"/>
    <x v="0"/>
    <x v="0"/>
  </r>
  <r>
    <x v="0"/>
    <x v="12"/>
    <s v="4735 J"/>
    <x v="123"/>
    <s v="Chaudhry Milk Sweets and Bakers Jhangh"/>
    <s v="LDN"/>
    <n v="17"/>
    <s v="8-8.5"/>
    <s v="LDN"/>
    <n v="100"/>
    <x v="0"/>
    <n v="2"/>
    <n v="88.2"/>
    <n v="4.4000000000000004"/>
    <m/>
    <x v="0"/>
    <n v="83.8"/>
    <n v="83.8"/>
    <m/>
    <x v="0"/>
    <x v="0"/>
    <n v="0"/>
    <n v="0"/>
    <x v="0"/>
    <x v="0"/>
    <m/>
    <x v="2"/>
    <x v="0"/>
    <x v="0"/>
    <x v="0"/>
    <x v="0"/>
    <n v="5"/>
    <n v="8.3333333333333329E-2"/>
    <n v="8.3333333333333329E-2"/>
    <n v="11.916666666666666"/>
    <x v="1"/>
    <x v="0"/>
    <m/>
    <x v="0"/>
    <n v="89.8"/>
    <x v="0"/>
    <x v="9"/>
    <x v="0"/>
    <x v="0"/>
    <x v="0"/>
  </r>
  <r>
    <x v="0"/>
    <x v="12"/>
    <s v="4854 J"/>
    <x v="123"/>
    <s v="Javed Enterprises Gujranwala"/>
    <s v="LDN"/>
    <n v="14"/>
    <s v="20-20.5"/>
    <s v="LDN"/>
    <n v="500"/>
    <x v="0"/>
    <n v="5"/>
    <n v="271.2"/>
    <n v="8.5"/>
    <m/>
    <x v="0"/>
    <n v="262.7"/>
    <n v="484.49999999999994"/>
    <m/>
    <x v="0"/>
    <x v="0"/>
    <n v="0"/>
    <n v="0"/>
    <x v="0"/>
    <x v="0"/>
    <m/>
    <x v="11"/>
    <x v="0"/>
    <x v="0"/>
    <x v="0"/>
    <x v="0"/>
    <n v="4"/>
    <n v="6.6666666666666666E-2"/>
    <n v="6.6666666666666666E-2"/>
    <n v="11.933333333333334"/>
    <x v="1"/>
    <x v="0"/>
    <m/>
    <x v="0"/>
    <n v="268.7"/>
    <x v="0"/>
    <x v="9"/>
    <x v="0"/>
    <x v="0"/>
    <x v="0"/>
  </r>
  <r>
    <x v="1"/>
    <x v="12"/>
    <s v="4854 J"/>
    <x v="123"/>
    <s v="Javed Enterprises Gujranwala"/>
    <s v="LDN"/>
    <n v="14"/>
    <s v="20-20.5"/>
    <s v="LDN"/>
    <n v="500"/>
    <x v="0"/>
    <n v="3"/>
    <n v="226.59999999999997"/>
    <n v="4.8000000000000007"/>
    <n v="68"/>
    <x v="0"/>
    <n v="221.79999999999995"/>
    <n v="484.49999999999994"/>
    <n v="5"/>
    <x v="0"/>
    <x v="0"/>
    <n v="5"/>
    <n v="8.3333333333333329E-2"/>
    <x v="0"/>
    <x v="0"/>
    <m/>
    <x v="0"/>
    <x v="0"/>
    <x v="0"/>
    <x v="0"/>
    <x v="0"/>
    <n v="0"/>
    <n v="0"/>
    <n v="8.3333333333333329E-2"/>
    <n v="11.916666666666666"/>
    <x v="1"/>
    <x v="0"/>
    <m/>
    <x v="0"/>
    <n v="227.79999999999995"/>
    <x v="0"/>
    <x v="9"/>
    <x v="0"/>
    <x v="0"/>
    <x v="0"/>
  </r>
  <r>
    <x v="1"/>
    <x v="12"/>
    <s v="4812 J"/>
    <x v="123"/>
    <s v="Atlas Honda LTD (SKP)"/>
    <s v="LDN"/>
    <n v="16"/>
    <s v="14-14.5"/>
    <s v="LDN"/>
    <n v="125"/>
    <x v="0"/>
    <n v="2"/>
    <n v="147.07999999999998"/>
    <n v="4"/>
    <m/>
    <x v="0"/>
    <n v="143.07999999999998"/>
    <n v="167.57999999999998"/>
    <m/>
    <x v="0"/>
    <x v="0"/>
    <n v="0"/>
    <n v="0"/>
    <x v="0"/>
    <x v="0"/>
    <m/>
    <x v="0"/>
    <x v="0"/>
    <x v="0"/>
    <x v="0"/>
    <x v="0"/>
    <n v="0"/>
    <n v="0"/>
    <n v="0"/>
    <n v="12"/>
    <x v="1"/>
    <x v="0"/>
    <m/>
    <x v="0"/>
    <n v="149.07999999999998"/>
    <x v="0"/>
    <x v="9"/>
    <x v="0"/>
    <x v="0"/>
    <x v="0"/>
  </r>
  <r>
    <x v="0"/>
    <x v="14"/>
    <s v="2249 F"/>
    <x v="123"/>
    <s v="Usman Amin"/>
    <s v="LDN"/>
    <s v="31+7+7"/>
    <s v="7-7.5/14-15"/>
    <s v="LDN"/>
    <n v="1595"/>
    <x v="0"/>
    <n v="9"/>
    <n v="673.50000000000011"/>
    <n v="22.9"/>
    <m/>
    <x v="0"/>
    <n v="650.60000000000014"/>
    <n v="1413.5"/>
    <m/>
    <x v="0"/>
    <x v="0"/>
    <n v="0"/>
    <n v="0"/>
    <x v="0"/>
    <x v="0"/>
    <m/>
    <x v="0"/>
    <x v="0"/>
    <x v="0"/>
    <x v="0"/>
    <x v="0"/>
    <n v="0"/>
    <n v="0"/>
    <n v="0"/>
    <n v="12"/>
    <x v="1"/>
    <x v="0"/>
    <m/>
    <x v="0"/>
    <n v="656.60000000000014"/>
    <x v="0"/>
    <x v="9"/>
    <x v="0"/>
    <x v="0"/>
    <x v="0"/>
  </r>
  <r>
    <x v="0"/>
    <x v="14"/>
    <s v="PACKING"/>
    <x v="123"/>
    <s v="-"/>
    <m/>
    <n v="20"/>
    <m/>
    <m/>
    <m/>
    <x v="0"/>
    <n v="1"/>
    <n v="74.400000000000006"/>
    <n v="2"/>
    <m/>
    <x v="0"/>
    <n v="72.400000000000006"/>
    <n v="2074.5"/>
    <m/>
    <x v="0"/>
    <x v="0"/>
    <n v="0"/>
    <n v="0"/>
    <x v="0"/>
    <x v="0"/>
    <m/>
    <x v="0"/>
    <x v="0"/>
    <x v="0"/>
    <x v="0"/>
    <x v="0"/>
    <n v="0"/>
    <n v="0"/>
    <n v="0"/>
    <n v="12"/>
    <x v="1"/>
    <x v="0"/>
    <m/>
    <x v="0"/>
    <n v="78.400000000000006"/>
    <x v="0"/>
    <x v="9"/>
    <x v="0"/>
    <x v="0"/>
    <x v="0"/>
  </r>
  <r>
    <x v="1"/>
    <x v="14"/>
    <s v="2249 F"/>
    <x v="123"/>
    <s v="Usman Amin"/>
    <s v="LDN"/>
    <s v="31+7+7"/>
    <s v="7-7.5/14-15"/>
    <s v="LDN"/>
    <n v="1595"/>
    <x v="0"/>
    <n v="10"/>
    <n v="804.9"/>
    <n v="42"/>
    <m/>
    <x v="0"/>
    <n v="762.9"/>
    <n v="1413.5"/>
    <n v="10"/>
    <x v="0"/>
    <x v="0"/>
    <n v="10"/>
    <n v="0.16666666666666666"/>
    <x v="0"/>
    <x v="0"/>
    <m/>
    <x v="0"/>
    <x v="0"/>
    <x v="3"/>
    <x v="0"/>
    <x v="0"/>
    <n v="10"/>
    <n v="0.16666666666666666"/>
    <n v="0.33333333333333331"/>
    <n v="11.666666666666666"/>
    <x v="1"/>
    <x v="0"/>
    <m/>
    <x v="0"/>
    <n v="768.9"/>
    <x v="0"/>
    <x v="9"/>
    <x v="0"/>
    <x v="0"/>
    <x v="0"/>
  </r>
  <r>
    <x v="1"/>
    <x v="14"/>
    <s v="2250 F"/>
    <x v="123"/>
    <s v="-"/>
    <m/>
    <m/>
    <m/>
    <m/>
    <m/>
    <x v="0"/>
    <n v="1"/>
    <n v="69"/>
    <n v="4.2"/>
    <m/>
    <x v="0"/>
    <n v="64.8"/>
    <n v="64.8"/>
    <m/>
    <x v="0"/>
    <x v="0"/>
    <n v="0"/>
    <n v="0"/>
    <x v="0"/>
    <x v="0"/>
    <m/>
    <x v="0"/>
    <x v="0"/>
    <x v="0"/>
    <x v="0"/>
    <x v="0"/>
    <n v="0"/>
    <n v="0"/>
    <n v="0"/>
    <n v="12"/>
    <x v="1"/>
    <x v="0"/>
    <m/>
    <x v="0"/>
    <n v="70.8"/>
    <x v="0"/>
    <x v="9"/>
    <x v="0"/>
    <x v="0"/>
    <x v="0"/>
  </r>
  <r>
    <x v="0"/>
    <x v="15"/>
    <s v="2285 F"/>
    <x v="123"/>
    <s v="Usman Amin"/>
    <s v="LDN"/>
    <n v="17"/>
    <s v="12"/>
    <s v="LDN"/>
    <n v="200"/>
    <x v="0"/>
    <n v="1"/>
    <n v="58.5"/>
    <n v="1.7"/>
    <m/>
    <x v="0"/>
    <n v="56.8"/>
    <n v="271.34000000000003"/>
    <n v="5"/>
    <x v="0"/>
    <x v="0"/>
    <n v="5"/>
    <n v="8.3333333333333329E-2"/>
    <x v="0"/>
    <x v="0"/>
    <m/>
    <x v="0"/>
    <x v="0"/>
    <x v="0"/>
    <x v="0"/>
    <x v="0"/>
    <n v="0"/>
    <n v="0"/>
    <n v="8.3333333333333329E-2"/>
    <n v="11.916666666666666"/>
    <x v="1"/>
    <x v="0"/>
    <m/>
    <x v="0"/>
    <n v="62.8"/>
    <x v="0"/>
    <x v="9"/>
    <x v="0"/>
    <x v="0"/>
    <x v="0"/>
  </r>
  <r>
    <x v="0"/>
    <x v="15"/>
    <s v="2284 F"/>
    <x v="123"/>
    <s v="Usman Amin"/>
    <s v="LDN"/>
    <n v="17"/>
    <s v="7.5-8"/>
    <s v="LDN"/>
    <n v="1000"/>
    <x v="0"/>
    <n v="4"/>
    <n v="289.04000000000002"/>
    <n v="5.6"/>
    <m/>
    <x v="0"/>
    <n v="283.44"/>
    <n v="1118.72"/>
    <n v="5"/>
    <x v="0"/>
    <x v="0"/>
    <n v="5"/>
    <n v="8.3333333333333329E-2"/>
    <x v="0"/>
    <x v="0"/>
    <m/>
    <x v="0"/>
    <x v="0"/>
    <x v="0"/>
    <x v="0"/>
    <x v="0"/>
    <n v="0"/>
    <n v="0"/>
    <n v="8.3333333333333329E-2"/>
    <n v="11.916666666666666"/>
    <x v="1"/>
    <x v="0"/>
    <m/>
    <x v="0"/>
    <n v="289.44"/>
    <x v="0"/>
    <x v="9"/>
    <x v="0"/>
    <x v="0"/>
    <x v="0"/>
  </r>
  <r>
    <x v="1"/>
    <x v="15"/>
    <s v="2284 F"/>
    <x v="123"/>
    <s v="Usman Amin"/>
    <s v="LDN"/>
    <n v="17"/>
    <s v="7.5-8"/>
    <s v="LDN"/>
    <n v="1000"/>
    <x v="0"/>
    <n v="1"/>
    <n v="104"/>
    <n v="1.7"/>
    <m/>
    <x v="0"/>
    <n v="102.3"/>
    <n v="1118.72"/>
    <n v="10"/>
    <x v="0"/>
    <x v="0"/>
    <n v="10"/>
    <n v="0.16666666666666666"/>
    <x v="0"/>
    <x v="0"/>
    <m/>
    <x v="0"/>
    <x v="0"/>
    <x v="0"/>
    <x v="0"/>
    <x v="0"/>
    <n v="0"/>
    <n v="0"/>
    <n v="0.16666666666666666"/>
    <n v="11.833333333333334"/>
    <x v="1"/>
    <x v="0"/>
    <m/>
    <x v="0"/>
    <n v="108.3"/>
    <x v="0"/>
    <x v="9"/>
    <x v="0"/>
    <x v="0"/>
    <x v="0"/>
  </r>
  <r>
    <x v="1"/>
    <x v="15"/>
    <s v="2293 F"/>
    <x v="123"/>
    <s v="Usman Amin"/>
    <s v="LDN"/>
    <n v="15"/>
    <s v="7-7.5"/>
    <s v="LDN"/>
    <n v="90"/>
    <x v="0"/>
    <n v="2"/>
    <n v="98.35"/>
    <n v="3"/>
    <m/>
    <x v="0"/>
    <n v="95.35"/>
    <n v="95.35"/>
    <n v="5"/>
    <x v="0"/>
    <x v="0"/>
    <n v="5"/>
    <n v="8.3333333333333329E-2"/>
    <x v="0"/>
    <x v="0"/>
    <m/>
    <x v="0"/>
    <x v="0"/>
    <x v="0"/>
    <x v="0"/>
    <x v="0"/>
    <n v="0"/>
    <n v="0"/>
    <n v="8.3333333333333329E-2"/>
    <n v="11.916666666666666"/>
    <x v="1"/>
    <x v="0"/>
    <m/>
    <x v="0"/>
    <n v="101.35"/>
    <x v="0"/>
    <x v="9"/>
    <x v="0"/>
    <x v="0"/>
    <x v="0"/>
  </r>
  <r>
    <x v="1"/>
    <x v="15"/>
    <s v="4828 J"/>
    <x v="123"/>
    <s v="Ajwa Fabrics Vehari"/>
    <s v="LDN"/>
    <n v="15"/>
    <s v="7.5/8"/>
    <s v="LDN"/>
    <n v="100"/>
    <x v="0"/>
    <n v="2"/>
    <n v="113.46000000000001"/>
    <n v="3"/>
    <m/>
    <x v="0"/>
    <n v="110.46000000000001"/>
    <n v="110.46000000000001"/>
    <m/>
    <x v="0"/>
    <x v="0"/>
    <n v="0"/>
    <n v="0"/>
    <x v="0"/>
    <x v="0"/>
    <m/>
    <x v="0"/>
    <x v="0"/>
    <x v="0"/>
    <x v="0"/>
    <x v="0"/>
    <n v="0"/>
    <n v="0"/>
    <n v="0"/>
    <n v="12"/>
    <x v="1"/>
    <x v="0"/>
    <m/>
    <x v="0"/>
    <n v="116.46000000000001"/>
    <x v="0"/>
    <x v="9"/>
    <x v="0"/>
    <x v="0"/>
    <x v="0"/>
  </r>
  <r>
    <x v="0"/>
    <x v="9"/>
    <s v="4707 J"/>
    <x v="124"/>
    <s v="Usman Arif Butt Gujranwala"/>
    <s v="LDN"/>
    <n v="4"/>
    <n v="10"/>
    <s v="LDN"/>
    <n v="150"/>
    <x v="0"/>
    <n v="1"/>
    <n v="45.74"/>
    <n v="1.8"/>
    <n v="98"/>
    <x v="0"/>
    <n v="43.940000000000005"/>
    <n v="161.84"/>
    <m/>
    <x v="0"/>
    <x v="10"/>
    <n v="120"/>
    <n v="2"/>
    <x v="0"/>
    <x v="5"/>
    <m/>
    <x v="0"/>
    <x v="0"/>
    <x v="0"/>
    <x v="0"/>
    <x v="0"/>
    <n v="60"/>
    <n v="1"/>
    <n v="3"/>
    <n v="9"/>
    <x v="1"/>
    <x v="0"/>
    <n v="2260"/>
    <x v="0"/>
    <n v="49.940000000000005"/>
    <x v="1"/>
    <x v="9"/>
    <x v="0"/>
    <x v="0"/>
    <x v="0"/>
  </r>
  <r>
    <x v="0"/>
    <x v="9"/>
    <s v="PAKING"/>
    <x v="124"/>
    <s v="-"/>
    <m/>
    <n v="20"/>
    <m/>
    <m/>
    <m/>
    <x v="0"/>
    <n v="2"/>
    <n v="56.1"/>
    <n v="1"/>
    <m/>
    <x v="0"/>
    <n v="55.1"/>
    <n v="1466.4999999999998"/>
    <m/>
    <x v="0"/>
    <x v="0"/>
    <n v="0"/>
    <n v="0"/>
    <x v="0"/>
    <x v="0"/>
    <m/>
    <x v="0"/>
    <x v="0"/>
    <x v="0"/>
    <x v="0"/>
    <x v="0"/>
    <n v="0"/>
    <n v="0"/>
    <n v="0"/>
    <n v="12"/>
    <x v="1"/>
    <x v="0"/>
    <m/>
    <x v="0"/>
    <n v="61.1"/>
    <x v="0"/>
    <x v="9"/>
    <x v="0"/>
    <x v="0"/>
    <x v="0"/>
  </r>
  <r>
    <x v="1"/>
    <x v="9"/>
    <s v="4707 J"/>
    <x v="124"/>
    <s v="Usman Arif Butt Gujranwala"/>
    <s v="LDN"/>
    <n v="4"/>
    <n v="10"/>
    <s v="LDN"/>
    <n v="150"/>
    <x v="0"/>
    <n v="4"/>
    <n v="120.69999999999999"/>
    <n v="2.8"/>
    <n v="120"/>
    <x v="0"/>
    <n v="117.89999999999999"/>
    <n v="161.84"/>
    <m/>
    <x v="0"/>
    <x v="0"/>
    <n v="0"/>
    <n v="0"/>
    <x v="0"/>
    <x v="0"/>
    <m/>
    <x v="0"/>
    <x v="0"/>
    <x v="0"/>
    <x v="0"/>
    <x v="0"/>
    <n v="0"/>
    <n v="0"/>
    <n v="0"/>
    <n v="12"/>
    <x v="1"/>
    <x v="0"/>
    <m/>
    <x v="0"/>
    <n v="123.89999999999999"/>
    <x v="0"/>
    <x v="9"/>
    <x v="0"/>
    <x v="0"/>
    <x v="0"/>
  </r>
  <r>
    <x v="0"/>
    <x v="8"/>
    <s v="4710 J"/>
    <x v="124"/>
    <s v="Usman Arif Butt Gujranwala"/>
    <s v="LDN"/>
    <n v="7"/>
    <n v="10"/>
    <s v="LDN"/>
    <n v="150"/>
    <x v="0"/>
    <n v="2"/>
    <n v="103.36"/>
    <n v="1.6"/>
    <m/>
    <x v="0"/>
    <n v="101.76"/>
    <n v="152.76"/>
    <m/>
    <x v="0"/>
    <x v="0"/>
    <n v="0"/>
    <n v="0"/>
    <x v="0"/>
    <x v="0"/>
    <m/>
    <x v="0"/>
    <x v="0"/>
    <x v="0"/>
    <x v="0"/>
    <x v="0"/>
    <n v="0"/>
    <n v="0"/>
    <n v="0"/>
    <n v="12"/>
    <x v="1"/>
    <x v="0"/>
    <m/>
    <x v="0"/>
    <n v="107.76"/>
    <x v="0"/>
    <x v="9"/>
    <x v="0"/>
    <x v="0"/>
    <x v="0"/>
  </r>
  <r>
    <x v="0"/>
    <x v="8"/>
    <s v="4704 J"/>
    <x v="124"/>
    <s v="Usman Arif Butt Gujranwala"/>
    <s v="LDN"/>
    <n v="5"/>
    <n v="10"/>
    <s v="LDN"/>
    <n v="150"/>
    <x v="0"/>
    <n v="1"/>
    <n v="61.6"/>
    <n v="1.24"/>
    <m/>
    <x v="0"/>
    <n v="60.36"/>
    <n v="156.91999999999999"/>
    <m/>
    <x v="0"/>
    <x v="0"/>
    <n v="0"/>
    <n v="0"/>
    <x v="0"/>
    <x v="0"/>
    <m/>
    <x v="0"/>
    <x v="0"/>
    <x v="0"/>
    <x v="0"/>
    <x v="0"/>
    <n v="0"/>
    <n v="0"/>
    <n v="0"/>
    <n v="12"/>
    <x v="1"/>
    <x v="0"/>
    <m/>
    <x v="0"/>
    <n v="66.36"/>
    <x v="0"/>
    <x v="9"/>
    <x v="0"/>
    <x v="0"/>
    <x v="0"/>
  </r>
  <r>
    <x v="1"/>
    <x v="8"/>
    <s v="4704 J"/>
    <x v="124"/>
    <s v="Usman Arif Butt Gujranwala"/>
    <s v="LDN"/>
    <n v="5"/>
    <n v="10"/>
    <s v="LDN"/>
    <n v="150"/>
    <x v="0"/>
    <n v="2"/>
    <n v="67.099999999999994"/>
    <n v="0.4"/>
    <m/>
    <x v="0"/>
    <n v="66.699999999999989"/>
    <n v="156.91999999999999"/>
    <n v="5"/>
    <x v="0"/>
    <x v="0"/>
    <n v="5"/>
    <n v="8.3333333333333329E-2"/>
    <x v="0"/>
    <x v="0"/>
    <m/>
    <x v="0"/>
    <x v="0"/>
    <x v="0"/>
    <x v="0"/>
    <x v="0"/>
    <n v="0"/>
    <n v="0"/>
    <n v="8.3333333333333329E-2"/>
    <n v="11.916666666666666"/>
    <x v="1"/>
    <x v="0"/>
    <m/>
    <x v="0"/>
    <n v="72.699999999999989"/>
    <x v="0"/>
    <x v="9"/>
    <x v="0"/>
    <x v="0"/>
    <x v="0"/>
  </r>
  <r>
    <x v="1"/>
    <x v="8"/>
    <s v="4708 J"/>
    <x v="124"/>
    <s v="Usman Arif Butt Gujranwala"/>
    <s v="LDN"/>
    <n v="5"/>
    <n v="10"/>
    <s v="LDN"/>
    <n v="150"/>
    <x v="0"/>
    <n v="1"/>
    <n v="44.8"/>
    <n v="0.2"/>
    <m/>
    <x v="0"/>
    <n v="44.599999999999994"/>
    <n v="157.55999999999997"/>
    <m/>
    <x v="0"/>
    <x v="0"/>
    <n v="0"/>
    <n v="0"/>
    <x v="0"/>
    <x v="0"/>
    <m/>
    <x v="0"/>
    <x v="0"/>
    <x v="0"/>
    <x v="0"/>
    <x v="0"/>
    <n v="0"/>
    <n v="0"/>
    <n v="0"/>
    <n v="12"/>
    <x v="1"/>
    <x v="0"/>
    <m/>
    <x v="0"/>
    <n v="50.599999999999994"/>
    <x v="0"/>
    <x v="9"/>
    <x v="0"/>
    <x v="0"/>
    <x v="0"/>
  </r>
  <r>
    <x v="0"/>
    <x v="13"/>
    <s v="2284 F"/>
    <x v="124"/>
    <s v="Usman Amin"/>
    <s v="LDN"/>
    <n v="17"/>
    <s v="7.5-8"/>
    <s v="LDN"/>
    <n v="1000"/>
    <x v="0"/>
    <n v="3"/>
    <n v="193.02"/>
    <n v="6"/>
    <m/>
    <x v="0"/>
    <n v="187.02"/>
    <n v="1118.72"/>
    <m/>
    <x v="0"/>
    <x v="0"/>
    <n v="0"/>
    <n v="0"/>
    <x v="0"/>
    <x v="0"/>
    <m/>
    <x v="0"/>
    <x v="0"/>
    <x v="0"/>
    <x v="0"/>
    <x v="0"/>
    <n v="0"/>
    <n v="0"/>
    <n v="0"/>
    <n v="12"/>
    <x v="1"/>
    <x v="0"/>
    <m/>
    <x v="0"/>
    <n v="193.02"/>
    <x v="0"/>
    <x v="9"/>
    <x v="0"/>
    <x v="0"/>
    <x v="0"/>
  </r>
  <r>
    <x v="0"/>
    <x v="13"/>
    <s v="2304 F"/>
    <x v="124"/>
    <s v="Usman Amin"/>
    <s v="LDN"/>
    <n v="18"/>
    <s v="6-6.5"/>
    <s v="LDN"/>
    <n v="90"/>
    <x v="0"/>
    <n v="1"/>
    <n v="44.04"/>
    <n v="2.2999999999999998"/>
    <m/>
    <x v="0"/>
    <n v="41.74"/>
    <n v="93.34"/>
    <m/>
    <x v="0"/>
    <x v="0"/>
    <n v="0"/>
    <n v="0"/>
    <x v="0"/>
    <x v="0"/>
    <m/>
    <x v="0"/>
    <x v="0"/>
    <x v="0"/>
    <x v="0"/>
    <x v="0"/>
    <n v="0"/>
    <n v="0"/>
    <n v="0"/>
    <n v="12"/>
    <x v="1"/>
    <x v="0"/>
    <m/>
    <x v="0"/>
    <n v="47.74"/>
    <x v="0"/>
    <x v="9"/>
    <x v="0"/>
    <x v="0"/>
    <x v="0"/>
  </r>
  <r>
    <x v="1"/>
    <x v="13"/>
    <s v="2304 F"/>
    <x v="124"/>
    <s v="Usman Amin"/>
    <s v="LDN"/>
    <n v="18"/>
    <s v="6-6.5"/>
    <s v="LDN"/>
    <n v="90"/>
    <x v="0"/>
    <n v="1"/>
    <n v="53.4"/>
    <n v="1.8"/>
    <m/>
    <x v="0"/>
    <n v="51.6"/>
    <n v="93.34"/>
    <n v="4"/>
    <x v="0"/>
    <x v="0"/>
    <n v="4"/>
    <n v="6.6666666666666666E-2"/>
    <x v="0"/>
    <x v="0"/>
    <m/>
    <x v="0"/>
    <x v="0"/>
    <x v="0"/>
    <x v="0"/>
    <x v="0"/>
    <n v="0"/>
    <n v="0"/>
    <n v="6.6666666666666666E-2"/>
    <n v="11.933333333333334"/>
    <x v="1"/>
    <x v="0"/>
    <m/>
    <x v="0"/>
    <n v="57.6"/>
    <x v="0"/>
    <x v="9"/>
    <x v="0"/>
    <x v="0"/>
    <x v="0"/>
  </r>
  <r>
    <x v="1"/>
    <x v="13"/>
    <s v="2305 F"/>
    <x v="124"/>
    <s v="Usman Amin"/>
    <s v="LDN"/>
    <n v="18"/>
    <s v="6-6.5"/>
    <s v="LDN"/>
    <n v="75"/>
    <x v="0"/>
    <n v="2"/>
    <n v="84.3"/>
    <n v="4.2"/>
    <m/>
    <x v="0"/>
    <n v="80.099999999999994"/>
    <n v="80.099999999999994"/>
    <m/>
    <x v="0"/>
    <x v="0"/>
    <n v="0"/>
    <n v="0"/>
    <x v="0"/>
    <x v="0"/>
    <m/>
    <x v="0"/>
    <x v="0"/>
    <x v="0"/>
    <x v="0"/>
    <x v="0"/>
    <n v="0"/>
    <n v="0"/>
    <n v="0"/>
    <n v="12"/>
    <x v="1"/>
    <x v="0"/>
    <m/>
    <x v="0"/>
    <n v="86.1"/>
    <x v="0"/>
    <x v="9"/>
    <x v="0"/>
    <x v="0"/>
    <x v="0"/>
  </r>
  <r>
    <x v="1"/>
    <x v="13"/>
    <s v="2311 F"/>
    <x v="124"/>
    <s v="Usman Amin"/>
    <s v="LDN"/>
    <n v="18"/>
    <s v="30"/>
    <s v="LDN"/>
    <n v="60"/>
    <x v="0"/>
    <n v="1"/>
    <n v="71.5"/>
    <n v="2.1"/>
    <m/>
    <x v="0"/>
    <n v="69.400000000000006"/>
    <n v="69.400000000000006"/>
    <m/>
    <x v="0"/>
    <x v="0"/>
    <n v="0"/>
    <n v="0"/>
    <x v="0"/>
    <x v="0"/>
    <m/>
    <x v="0"/>
    <x v="0"/>
    <x v="0"/>
    <x v="0"/>
    <x v="0"/>
    <n v="0"/>
    <n v="0"/>
    <n v="0"/>
    <n v="12"/>
    <x v="1"/>
    <x v="0"/>
    <m/>
    <x v="0"/>
    <n v="75.400000000000006"/>
    <x v="0"/>
    <x v="9"/>
    <x v="0"/>
    <x v="0"/>
    <x v="0"/>
  </r>
  <r>
    <x v="1"/>
    <x v="13"/>
    <s v="2296 F"/>
    <x v="124"/>
    <s v="Usman Amin"/>
    <s v="LDN"/>
    <n v="25"/>
    <s v="7.5-8"/>
    <s v="LDN"/>
    <n v="110"/>
    <x v="0"/>
    <n v="1"/>
    <n v="64.2"/>
    <n v="3.4"/>
    <m/>
    <x v="0"/>
    <n v="60.800000000000004"/>
    <n v="124.26"/>
    <m/>
    <x v="0"/>
    <x v="0"/>
    <n v="0"/>
    <n v="0"/>
    <x v="0"/>
    <x v="0"/>
    <m/>
    <x v="0"/>
    <x v="0"/>
    <x v="0"/>
    <x v="0"/>
    <x v="0"/>
    <n v="0"/>
    <n v="0"/>
    <n v="0"/>
    <n v="12"/>
    <x v="1"/>
    <x v="0"/>
    <m/>
    <x v="0"/>
    <n v="66.800000000000011"/>
    <x v="0"/>
    <x v="9"/>
    <x v="0"/>
    <x v="0"/>
    <x v="0"/>
  </r>
  <r>
    <x v="0"/>
    <x v="12"/>
    <s v="4695 J"/>
    <x v="124"/>
    <s v="Imran Printing Multan"/>
    <s v="LDM"/>
    <n v="12"/>
    <s v="6-6.5"/>
    <s v="LDM"/>
    <n v="100"/>
    <x v="0"/>
    <n v="4"/>
    <n v="113.3"/>
    <n v="4.5"/>
    <m/>
    <x v="0"/>
    <n v="108.8"/>
    <n v="108.8"/>
    <n v="5"/>
    <x v="0"/>
    <x v="0"/>
    <n v="5"/>
    <n v="8.3333333333333329E-2"/>
    <x v="0"/>
    <x v="0"/>
    <m/>
    <x v="0"/>
    <x v="0"/>
    <x v="0"/>
    <x v="13"/>
    <x v="0"/>
    <n v="45"/>
    <n v="0.75"/>
    <n v="0.83333333333333337"/>
    <n v="11.166666666666666"/>
    <x v="1"/>
    <x v="0"/>
    <m/>
    <x v="0"/>
    <n v="114.8"/>
    <x v="0"/>
    <x v="9"/>
    <x v="0"/>
    <x v="0"/>
    <x v="0"/>
  </r>
  <r>
    <x v="0"/>
    <x v="12"/>
    <s v="4762 J"/>
    <x v="124"/>
    <s v="Hadyat Khan Peshawar"/>
    <s v="LD ریڈ"/>
    <n v="9"/>
    <s v="15-16"/>
    <s v="LDM"/>
    <n v="120"/>
    <x v="0"/>
    <n v="2"/>
    <n v="71.849999999999994"/>
    <n v="2.2000000000000002"/>
    <m/>
    <x v="0"/>
    <n v="69.649999999999991"/>
    <n v="121.54999999999998"/>
    <n v="5"/>
    <x v="0"/>
    <x v="0"/>
    <n v="5"/>
    <n v="8.3333333333333329E-2"/>
    <x v="0"/>
    <x v="0"/>
    <m/>
    <x v="0"/>
    <x v="0"/>
    <x v="0"/>
    <x v="0"/>
    <x v="0"/>
    <n v="0"/>
    <n v="0"/>
    <n v="8.3333333333333329E-2"/>
    <n v="11.916666666666666"/>
    <x v="1"/>
    <x v="0"/>
    <m/>
    <x v="0"/>
    <n v="75.649999999999991"/>
    <x v="0"/>
    <x v="9"/>
    <x v="0"/>
    <x v="0"/>
    <x v="0"/>
  </r>
  <r>
    <x v="1"/>
    <x v="12"/>
    <s v="4762 J"/>
    <x v="124"/>
    <s v="Hadyat Khan Peshawar"/>
    <s v="LD ریڈ"/>
    <n v="9"/>
    <s v="15-16"/>
    <s v="LDM"/>
    <n v="120"/>
    <x v="0"/>
    <n v="2"/>
    <n v="54.099999999999994"/>
    <n v="2.2000000000000002"/>
    <m/>
    <x v="0"/>
    <n v="51.899999999999991"/>
    <n v="121.54999999999998"/>
    <n v="10"/>
    <x v="0"/>
    <x v="0"/>
    <n v="10"/>
    <n v="0.16666666666666666"/>
    <x v="0"/>
    <x v="0"/>
    <m/>
    <x v="8"/>
    <x v="0"/>
    <x v="0"/>
    <x v="0"/>
    <x v="0"/>
    <n v="25"/>
    <n v="0.41666666666666669"/>
    <n v="0.58333333333333337"/>
    <n v="11.416666666666666"/>
    <x v="1"/>
    <x v="0"/>
    <m/>
    <x v="0"/>
    <n v="57.899999999999991"/>
    <x v="0"/>
    <x v="9"/>
    <x v="0"/>
    <x v="0"/>
    <x v="0"/>
  </r>
  <r>
    <x v="1"/>
    <x v="12"/>
    <s v="4850 J"/>
    <x v="124"/>
    <s v="Waqas Wollan Mills Gujranwala"/>
    <s v="LDریڈ"/>
    <n v="11"/>
    <s v="8-8.5"/>
    <s v="LDN"/>
    <n v="200"/>
    <x v="0"/>
    <n v="4"/>
    <n v="204.2"/>
    <n v="5.2"/>
    <m/>
    <x v="0"/>
    <n v="199"/>
    <n v="199"/>
    <m/>
    <x v="0"/>
    <x v="0"/>
    <n v="0"/>
    <n v="0"/>
    <x v="0"/>
    <x v="0"/>
    <m/>
    <x v="0"/>
    <x v="0"/>
    <x v="0"/>
    <x v="0"/>
    <x v="0"/>
    <n v="0"/>
    <n v="0"/>
    <n v="0"/>
    <n v="12"/>
    <x v="1"/>
    <x v="0"/>
    <m/>
    <x v="0"/>
    <n v="205"/>
    <x v="0"/>
    <x v="9"/>
    <x v="0"/>
    <x v="0"/>
    <x v="0"/>
  </r>
  <r>
    <x v="1"/>
    <x v="12"/>
    <s v="4851 J"/>
    <x v="124"/>
    <s v="Waqas Wollan Mills Gujranwala"/>
    <s v="LDریڈ"/>
    <n v="14"/>
    <s v="8-8.5"/>
    <s v="LDN"/>
    <n v="100"/>
    <x v="0"/>
    <n v="1"/>
    <n v="59.3"/>
    <n v="1.6"/>
    <m/>
    <x v="0"/>
    <n v="57.699999999999996"/>
    <n v="113"/>
    <m/>
    <x v="0"/>
    <x v="0"/>
    <n v="0"/>
    <n v="0"/>
    <x v="0"/>
    <x v="0"/>
    <m/>
    <x v="0"/>
    <x v="0"/>
    <x v="0"/>
    <x v="0"/>
    <x v="0"/>
    <n v="0"/>
    <n v="0"/>
    <n v="0"/>
    <n v="12"/>
    <x v="1"/>
    <x v="0"/>
    <m/>
    <x v="0"/>
    <n v="63.699999999999996"/>
    <x v="0"/>
    <x v="9"/>
    <x v="0"/>
    <x v="0"/>
    <x v="0"/>
  </r>
  <r>
    <x v="0"/>
    <x v="14"/>
    <s v="2248 F"/>
    <x v="124"/>
    <s v="Usman Amin"/>
    <s v="LDN"/>
    <s v="30+5+5"/>
    <s v="7-7.5/14-15"/>
    <s v="LDN"/>
    <n v="670"/>
    <x v="0"/>
    <n v="8"/>
    <n v="588.59999999999991"/>
    <n v="3.2"/>
    <m/>
    <x v="0"/>
    <n v="585.39999999999986"/>
    <n v="585.39999999999986"/>
    <m/>
    <x v="0"/>
    <x v="0"/>
    <n v="0"/>
    <n v="0"/>
    <x v="0"/>
    <x v="0"/>
    <m/>
    <x v="0"/>
    <x v="0"/>
    <x v="0"/>
    <x v="0"/>
    <x v="0"/>
    <n v="0"/>
    <n v="0"/>
    <n v="0"/>
    <n v="12"/>
    <x v="1"/>
    <x v="0"/>
    <m/>
    <x v="0"/>
    <n v="591.39999999999986"/>
    <x v="0"/>
    <x v="9"/>
    <x v="0"/>
    <x v="0"/>
    <x v="0"/>
  </r>
  <r>
    <x v="0"/>
    <x v="14"/>
    <s v="4636 J"/>
    <x v="124"/>
    <s v="Golden Chemical Faisalbad"/>
    <s v="LDN"/>
    <s v="510 MM"/>
    <s v="15-16/30-32"/>
    <s v="LDN"/>
    <n v="300"/>
    <x v="0"/>
    <n v="1"/>
    <n v="89.2"/>
    <n v="2.4"/>
    <m/>
    <x v="0"/>
    <n v="86.8"/>
    <n v="303.3"/>
    <m/>
    <x v="0"/>
    <x v="0"/>
    <n v="0"/>
    <n v="0"/>
    <x v="0"/>
    <x v="0"/>
    <m/>
    <x v="0"/>
    <x v="0"/>
    <x v="0"/>
    <x v="0"/>
    <x v="0"/>
    <n v="0"/>
    <n v="0"/>
    <n v="0"/>
    <n v="12"/>
    <x v="1"/>
    <x v="0"/>
    <m/>
    <x v="0"/>
    <n v="92.8"/>
    <x v="0"/>
    <x v="9"/>
    <x v="0"/>
    <x v="0"/>
    <x v="0"/>
  </r>
  <r>
    <x v="1"/>
    <x v="14"/>
    <s v="4636 J"/>
    <x v="124"/>
    <s v="Golden Chemical Faisalbad"/>
    <s v="LDN"/>
    <s v="510 MM"/>
    <s v="15-16/30-32"/>
    <s v="LDN"/>
    <n v="300"/>
    <x v="0"/>
    <n v="3"/>
    <n v="223.70000000000002"/>
    <n v="7.1999999999999993"/>
    <m/>
    <x v="0"/>
    <n v="216.50000000000003"/>
    <n v="303.3"/>
    <m/>
    <x v="0"/>
    <x v="0"/>
    <n v="0"/>
    <n v="0"/>
    <x v="0"/>
    <x v="0"/>
    <m/>
    <x v="0"/>
    <x v="0"/>
    <x v="0"/>
    <x v="0"/>
    <x v="0"/>
    <n v="0"/>
    <n v="0"/>
    <n v="0"/>
    <n v="12"/>
    <x v="1"/>
    <x v="0"/>
    <m/>
    <x v="0"/>
    <n v="222.50000000000003"/>
    <x v="0"/>
    <x v="9"/>
    <x v="0"/>
    <x v="0"/>
    <x v="0"/>
  </r>
  <r>
    <x v="1"/>
    <x v="14"/>
    <s v="4768 J"/>
    <x v="124"/>
    <s v="Golden Chemical Faislbad"/>
    <s v="LDN"/>
    <s v="510 MM"/>
    <s v="15-16/30-32"/>
    <s v="LDN"/>
    <n v="300"/>
    <x v="0"/>
    <n v="4"/>
    <n v="314.99999999999994"/>
    <n v="9.6"/>
    <m/>
    <x v="0"/>
    <n v="305.39999999999992"/>
    <n v="305.39999999999992"/>
    <m/>
    <x v="0"/>
    <x v="0"/>
    <n v="0"/>
    <n v="0"/>
    <x v="0"/>
    <x v="0"/>
    <m/>
    <x v="0"/>
    <x v="0"/>
    <x v="0"/>
    <x v="0"/>
    <x v="0"/>
    <n v="0"/>
    <n v="0"/>
    <n v="0"/>
    <n v="12"/>
    <x v="1"/>
    <x v="0"/>
    <m/>
    <x v="0"/>
    <n v="311.39999999999992"/>
    <x v="0"/>
    <x v="9"/>
    <x v="0"/>
    <x v="0"/>
    <x v="0"/>
  </r>
  <r>
    <x v="0"/>
    <x v="15"/>
    <s v="4860 J"/>
    <x v="124"/>
    <s v="Sheikh Sheraz Sialkot"/>
    <s v="LDN"/>
    <n v="28"/>
    <s v="10"/>
    <s v="LDN"/>
    <n v="125"/>
    <x v="0"/>
    <n v="1"/>
    <n v="91.8"/>
    <n v="2.8"/>
    <m/>
    <x v="0"/>
    <n v="89"/>
    <n v="89"/>
    <m/>
    <x v="0"/>
    <x v="0"/>
    <n v="0"/>
    <n v="0"/>
    <x v="0"/>
    <x v="0"/>
    <m/>
    <x v="0"/>
    <x v="0"/>
    <x v="0"/>
    <x v="0"/>
    <x v="0"/>
    <n v="0"/>
    <n v="0"/>
    <n v="0"/>
    <n v="12"/>
    <x v="1"/>
    <x v="0"/>
    <m/>
    <x v="0"/>
    <n v="95"/>
    <x v="0"/>
    <x v="9"/>
    <x v="0"/>
    <x v="0"/>
    <x v="0"/>
  </r>
  <r>
    <x v="0"/>
    <x v="15"/>
    <s v="4616 J"/>
    <x v="124"/>
    <s v="Jilani Poly Stock"/>
    <s v="PP"/>
    <n v="16"/>
    <s v="5-5.5"/>
    <s v="PP"/>
    <n v="1000"/>
    <x v="0"/>
    <n v="6"/>
    <n v="428"/>
    <n v="19.200000000000003"/>
    <m/>
    <x v="0"/>
    <n v="408.8"/>
    <n v="506.87"/>
    <m/>
    <x v="0"/>
    <x v="0"/>
    <n v="0"/>
    <n v="0"/>
    <x v="0"/>
    <x v="0"/>
    <m/>
    <x v="0"/>
    <x v="0"/>
    <x v="0"/>
    <x v="0"/>
    <x v="0"/>
    <n v="0"/>
    <n v="0"/>
    <n v="0"/>
    <n v="12"/>
    <x v="1"/>
    <x v="0"/>
    <m/>
    <x v="0"/>
    <n v="414.8"/>
    <x v="0"/>
    <x v="9"/>
    <x v="0"/>
    <x v="0"/>
    <x v="0"/>
  </r>
  <r>
    <x v="1"/>
    <x v="15"/>
    <s v="4825 J"/>
    <x v="124"/>
    <s v="Amer Pak Bry Cleaners Lahore"/>
    <s v="LDN"/>
    <n v="25"/>
    <s v="4.5-5"/>
    <s v="LDN"/>
    <n v="2500"/>
    <x v="0"/>
    <n v="10"/>
    <n v="343.40999999999997"/>
    <n v="32"/>
    <m/>
    <x v="0"/>
    <n v="311.40999999999997"/>
    <n v="2486.1000000000004"/>
    <m/>
    <x v="0"/>
    <x v="0"/>
    <n v="0"/>
    <n v="0"/>
    <x v="0"/>
    <x v="0"/>
    <m/>
    <x v="0"/>
    <x v="0"/>
    <x v="0"/>
    <x v="0"/>
    <x v="0"/>
    <n v="0"/>
    <n v="0"/>
    <n v="0"/>
    <n v="12"/>
    <x v="1"/>
    <x v="0"/>
    <m/>
    <x v="0"/>
    <n v="317.40999999999997"/>
    <x v="0"/>
    <x v="9"/>
    <x v="0"/>
    <x v="0"/>
    <x v="0"/>
  </r>
  <r>
    <x v="1"/>
    <x v="15"/>
    <s v="4616 J"/>
    <x v="124"/>
    <s v="Jilani Poly Stock"/>
    <s v="PP"/>
    <n v="16"/>
    <s v="5-5.5"/>
    <s v="PP"/>
    <n v="1000"/>
    <x v="0"/>
    <n v="2"/>
    <n v="103.27"/>
    <n v="5.2"/>
    <m/>
    <x v="0"/>
    <n v="98.07"/>
    <n v="506.87"/>
    <m/>
    <x v="0"/>
    <x v="0"/>
    <n v="0"/>
    <n v="0"/>
    <x v="0"/>
    <x v="0"/>
    <m/>
    <x v="0"/>
    <x v="0"/>
    <x v="0"/>
    <x v="0"/>
    <x v="0"/>
    <n v="0"/>
    <n v="0"/>
    <n v="0"/>
    <n v="12"/>
    <x v="1"/>
    <x v="0"/>
    <m/>
    <x v="0"/>
    <n v="104.07"/>
    <x v="0"/>
    <x v="9"/>
    <x v="0"/>
    <x v="0"/>
    <x v="0"/>
  </r>
  <r>
    <x v="0"/>
    <x v="8"/>
    <s v="4708 J"/>
    <x v="125"/>
    <s v="Usman Arif Butt Gujranwala"/>
    <s v="LDN"/>
    <n v="5"/>
    <n v="10"/>
    <s v="LDN"/>
    <n v="150"/>
    <x v="0"/>
    <n v="2"/>
    <n v="115.35999999999999"/>
    <n v="2.4"/>
    <n v="10"/>
    <x v="0"/>
    <n v="112.95999999999998"/>
    <n v="157.55999999999997"/>
    <n v="6"/>
    <x v="0"/>
    <x v="0"/>
    <n v="6"/>
    <n v="0.1"/>
    <x v="0"/>
    <x v="0"/>
    <m/>
    <x v="0"/>
    <x v="0"/>
    <x v="0"/>
    <x v="0"/>
    <x v="0"/>
    <n v="0"/>
    <n v="0"/>
    <n v="0.1"/>
    <n v="11.9"/>
    <x v="1"/>
    <x v="0"/>
    <n v="2142"/>
    <x v="0"/>
    <n v="118.95999999999998"/>
    <x v="1"/>
    <x v="9"/>
    <x v="0"/>
    <x v="0"/>
    <x v="0"/>
  </r>
  <r>
    <x v="0"/>
    <x v="8"/>
    <s v="4721 J"/>
    <x v="125"/>
    <s v="Dot Focks Lhr C/O Shahid Qadri Sb"/>
    <s v="LDN"/>
    <n v="7"/>
    <s v="2.5-3/5-6"/>
    <s v="LDN"/>
    <n v="100"/>
    <x v="0"/>
    <n v="1"/>
    <n v="52.18"/>
    <n v="0.8"/>
    <m/>
    <x v="0"/>
    <n v="51.38"/>
    <n v="97.98"/>
    <m/>
    <x v="0"/>
    <x v="0"/>
    <n v="0"/>
    <n v="0"/>
    <x v="0"/>
    <x v="0"/>
    <m/>
    <x v="0"/>
    <x v="0"/>
    <x v="0"/>
    <x v="0"/>
    <x v="0"/>
    <n v="0"/>
    <n v="0"/>
    <n v="0"/>
    <n v="12"/>
    <x v="1"/>
    <x v="0"/>
    <m/>
    <x v="0"/>
    <n v="57.38"/>
    <x v="0"/>
    <x v="9"/>
    <x v="0"/>
    <x v="0"/>
    <x v="0"/>
  </r>
  <r>
    <x v="1"/>
    <x v="8"/>
    <s v="4721 J"/>
    <x v="125"/>
    <s v="Dot Focks Lhr C/O Shahid Qadri Sb"/>
    <s v="LDN"/>
    <n v="7"/>
    <s v="2.5-3/5-6"/>
    <s v="LDN"/>
    <n v="100"/>
    <x v="0"/>
    <n v="1"/>
    <n v="47.4"/>
    <n v="0.8"/>
    <m/>
    <x v="0"/>
    <n v="46.6"/>
    <n v="97.98"/>
    <m/>
    <x v="0"/>
    <x v="0"/>
    <n v="0"/>
    <n v="0"/>
    <x v="0"/>
    <x v="0"/>
    <m/>
    <x v="0"/>
    <x v="0"/>
    <x v="0"/>
    <x v="0"/>
    <x v="0"/>
    <n v="0"/>
    <n v="0"/>
    <n v="0"/>
    <n v="12"/>
    <x v="1"/>
    <x v="0"/>
    <m/>
    <x v="0"/>
    <n v="52.6"/>
    <x v="0"/>
    <x v="9"/>
    <x v="0"/>
    <x v="0"/>
    <x v="0"/>
  </r>
  <r>
    <x v="1"/>
    <x v="8"/>
    <s v="4921 J"/>
    <x v="125"/>
    <s v="Usman Arif Butt Gujranwala"/>
    <s v="LDN"/>
    <n v="5"/>
    <n v="10"/>
    <s v="LDN"/>
    <n v="500"/>
    <x v="0"/>
    <n v="2"/>
    <n v="69.599999999999994"/>
    <n v="0.8"/>
    <m/>
    <x v="0"/>
    <n v="68.8"/>
    <n v="510.41999999999996"/>
    <m/>
    <x v="0"/>
    <x v="0"/>
    <n v="0"/>
    <n v="0"/>
    <x v="0"/>
    <x v="0"/>
    <m/>
    <x v="0"/>
    <x v="0"/>
    <x v="0"/>
    <x v="0"/>
    <x v="0"/>
    <n v="0"/>
    <n v="0"/>
    <n v="0"/>
    <n v="12"/>
    <x v="1"/>
    <x v="0"/>
    <m/>
    <x v="0"/>
    <n v="74.8"/>
    <x v="0"/>
    <x v="9"/>
    <x v="0"/>
    <x v="0"/>
    <x v="0"/>
  </r>
  <r>
    <x v="0"/>
    <x v="9"/>
    <s v="4811 J"/>
    <x v="125"/>
    <s v="Atlas Honda LTD (SKP)"/>
    <s v="LDN"/>
    <n v="8"/>
    <n v="9"/>
    <s v="LDN"/>
    <n v="0"/>
    <x v="0"/>
    <n v="1"/>
    <n v="68.42"/>
    <n v="0.9"/>
    <n v="10"/>
    <x v="0"/>
    <n v="67.52"/>
    <n v="67.52"/>
    <n v="4"/>
    <x v="0"/>
    <x v="0"/>
    <n v="4"/>
    <n v="6.6666666666666666E-2"/>
    <x v="0"/>
    <x v="0"/>
    <m/>
    <x v="0"/>
    <x v="0"/>
    <x v="0"/>
    <x v="0"/>
    <x v="0"/>
    <n v="0"/>
    <n v="0"/>
    <n v="6.6666666666666666E-2"/>
    <n v="11.933333333333334"/>
    <x v="1"/>
    <x v="0"/>
    <m/>
    <x v="0"/>
    <n v="73.52"/>
    <x v="0"/>
    <x v="9"/>
    <x v="0"/>
    <x v="0"/>
    <x v="0"/>
  </r>
  <r>
    <x v="0"/>
    <x v="9"/>
    <s v="2306 F"/>
    <x v="125"/>
    <s v="Usman Amin"/>
    <s v="LDN"/>
    <n v="10"/>
    <s v="6-6.5"/>
    <s v="LDN"/>
    <n v="28"/>
    <x v="0"/>
    <n v="2"/>
    <n v="57.75"/>
    <n v="3.6"/>
    <m/>
    <x v="0"/>
    <n v="54.15"/>
    <n v="54.15"/>
    <n v="6"/>
    <x v="0"/>
    <x v="0"/>
    <n v="6"/>
    <n v="0.1"/>
    <x v="0"/>
    <x v="0"/>
    <m/>
    <x v="0"/>
    <x v="0"/>
    <x v="0"/>
    <x v="0"/>
    <x v="0"/>
    <n v="0"/>
    <n v="0"/>
    <n v="0.1"/>
    <n v="11.9"/>
    <x v="1"/>
    <x v="0"/>
    <m/>
    <x v="0"/>
    <n v="60.15"/>
    <x v="0"/>
    <x v="9"/>
    <x v="0"/>
    <x v="0"/>
    <x v="0"/>
  </r>
  <r>
    <x v="1"/>
    <x v="9"/>
    <s v="4920 J"/>
    <x v="125"/>
    <s v="Usman Arif Butt Gujranwala"/>
    <s v="LDN"/>
    <n v="4"/>
    <n v="10"/>
    <s v="LDN"/>
    <n v="500"/>
    <x v="0"/>
    <n v="2"/>
    <n v="132.6"/>
    <n v="2"/>
    <n v="4"/>
    <x v="0"/>
    <n v="130.6"/>
    <n v="505.40000000000003"/>
    <m/>
    <x v="0"/>
    <x v="0"/>
    <n v="0"/>
    <n v="0"/>
    <x v="0"/>
    <x v="0"/>
    <m/>
    <x v="0"/>
    <x v="0"/>
    <x v="0"/>
    <x v="0"/>
    <x v="0"/>
    <n v="0"/>
    <n v="0"/>
    <n v="0"/>
    <n v="12"/>
    <x v="1"/>
    <x v="0"/>
    <m/>
    <x v="0"/>
    <n v="136.6"/>
    <x v="0"/>
    <x v="9"/>
    <x v="0"/>
    <x v="0"/>
    <x v="0"/>
  </r>
  <r>
    <x v="0"/>
    <x v="13"/>
    <s v="2296 F"/>
    <x v="125"/>
    <s v="Usman Amin"/>
    <s v="LDN"/>
    <n v="25"/>
    <s v="7.5-8"/>
    <s v="LDN"/>
    <n v="110"/>
    <x v="0"/>
    <n v="1"/>
    <n v="66.86"/>
    <n v="3.4"/>
    <n v="20"/>
    <x v="0"/>
    <n v="63.46"/>
    <n v="124.26"/>
    <m/>
    <x v="0"/>
    <x v="0"/>
    <n v="0"/>
    <n v="0"/>
    <x v="0"/>
    <x v="0"/>
    <m/>
    <x v="0"/>
    <x v="0"/>
    <x v="0"/>
    <x v="0"/>
    <x v="0"/>
    <n v="0"/>
    <n v="0"/>
    <n v="0"/>
    <n v="12"/>
    <x v="1"/>
    <x v="0"/>
    <m/>
    <x v="0"/>
    <n v="69.460000000000008"/>
    <x v="0"/>
    <x v="9"/>
    <x v="0"/>
    <x v="0"/>
    <x v="0"/>
  </r>
  <r>
    <x v="0"/>
    <x v="13"/>
    <s v="2310 F"/>
    <x v="125"/>
    <s v="Usman Amin"/>
    <s v="LDN"/>
    <n v="27"/>
    <s v="5-5.5"/>
    <s v="LDN"/>
    <n v="10"/>
    <x v="0"/>
    <n v="1"/>
    <n v="64.62"/>
    <n v="3.6"/>
    <m/>
    <x v="0"/>
    <n v="61.02"/>
    <n v="61.02"/>
    <n v="5"/>
    <x v="0"/>
    <x v="0"/>
    <n v="5"/>
    <n v="8.3333333333333329E-2"/>
    <x v="0"/>
    <x v="0"/>
    <m/>
    <x v="0"/>
    <x v="0"/>
    <x v="0"/>
    <x v="0"/>
    <x v="0"/>
    <n v="0"/>
    <n v="0"/>
    <n v="8.3333333333333329E-2"/>
    <n v="11.916666666666666"/>
    <x v="1"/>
    <x v="0"/>
    <m/>
    <x v="0"/>
    <n v="67.02000000000001"/>
    <x v="0"/>
    <x v="9"/>
    <x v="0"/>
    <x v="0"/>
    <x v="0"/>
  </r>
  <r>
    <x v="0"/>
    <x v="13"/>
    <s v="2312 F"/>
    <x v="125"/>
    <s v="Usman Amin"/>
    <s v="LDN"/>
    <n v="24"/>
    <s v="5-5.5"/>
    <s v="LDN"/>
    <n v="40"/>
    <x v="0"/>
    <n v="1"/>
    <n v="74.52"/>
    <n v="2.9"/>
    <m/>
    <x v="0"/>
    <n v="71.61999999999999"/>
    <n v="71.61999999999999"/>
    <n v="5"/>
    <x v="0"/>
    <x v="0"/>
    <n v="5"/>
    <n v="8.3333333333333329E-2"/>
    <x v="0"/>
    <x v="0"/>
    <m/>
    <x v="0"/>
    <x v="0"/>
    <x v="0"/>
    <x v="0"/>
    <x v="0"/>
    <n v="0"/>
    <n v="0"/>
    <n v="8.3333333333333329E-2"/>
    <n v="11.916666666666666"/>
    <x v="1"/>
    <x v="0"/>
    <m/>
    <x v="0"/>
    <n v="77.61999999999999"/>
    <x v="0"/>
    <x v="9"/>
    <x v="0"/>
    <x v="0"/>
    <x v="0"/>
  </r>
  <r>
    <x v="0"/>
    <x v="13"/>
    <s v="2291 F"/>
    <x v="125"/>
    <s v="Usman Amin"/>
    <s v="LDN"/>
    <s v="16 SHEET"/>
    <s v="3.3.25/6.6.5"/>
    <s v="LDN"/>
    <n v="500"/>
    <x v="0"/>
    <n v="3"/>
    <n v="126.16"/>
    <n v="6.3000000000000007"/>
    <m/>
    <x v="0"/>
    <n v="119.86"/>
    <n v="563.90000000000009"/>
    <n v="5"/>
    <x v="0"/>
    <x v="0"/>
    <n v="5"/>
    <n v="8.3333333333333329E-2"/>
    <x v="0"/>
    <x v="0"/>
    <m/>
    <x v="0"/>
    <x v="0"/>
    <x v="0"/>
    <x v="0"/>
    <x v="0"/>
    <n v="0"/>
    <n v="0"/>
    <n v="8.3333333333333329E-2"/>
    <n v="11.916666666666666"/>
    <x v="1"/>
    <x v="0"/>
    <m/>
    <x v="0"/>
    <n v="125.86"/>
    <x v="0"/>
    <x v="9"/>
    <x v="0"/>
    <x v="0"/>
    <x v="0"/>
  </r>
  <r>
    <x v="1"/>
    <x v="13"/>
    <s v="2291 F"/>
    <x v="125"/>
    <s v="Usman Amin"/>
    <s v="LDN"/>
    <s v="16 SHEET"/>
    <s v="3.3.25/6.6.5"/>
    <s v="LDN"/>
    <n v="500"/>
    <x v="0"/>
    <n v="5"/>
    <n v="278.10000000000002"/>
    <n v="10.199999999999999"/>
    <n v="7"/>
    <x v="0"/>
    <n v="267.90000000000003"/>
    <n v="563.90000000000009"/>
    <m/>
    <x v="0"/>
    <x v="0"/>
    <n v="0"/>
    <n v="0"/>
    <x v="0"/>
    <x v="0"/>
    <m/>
    <x v="0"/>
    <x v="0"/>
    <x v="0"/>
    <x v="0"/>
    <x v="0"/>
    <n v="0"/>
    <n v="0"/>
    <n v="0"/>
    <n v="12"/>
    <x v="1"/>
    <x v="0"/>
    <m/>
    <x v="0"/>
    <n v="273.90000000000003"/>
    <x v="0"/>
    <x v="9"/>
    <x v="0"/>
    <x v="0"/>
    <x v="0"/>
  </r>
  <r>
    <x v="0"/>
    <x v="12"/>
    <s v="4851 J"/>
    <x v="125"/>
    <s v="Waqas Wollan Mills Gujranwala"/>
    <s v="LDریڈ"/>
    <n v="14"/>
    <s v="8-8.5"/>
    <s v="LDN"/>
    <n v="100"/>
    <x v="0"/>
    <n v="1"/>
    <n v="56.5"/>
    <n v="1.2"/>
    <n v="60"/>
    <x v="0"/>
    <n v="55.3"/>
    <n v="113"/>
    <m/>
    <x v="0"/>
    <x v="0"/>
    <n v="0"/>
    <n v="0"/>
    <x v="0"/>
    <x v="0"/>
    <m/>
    <x v="2"/>
    <x v="0"/>
    <x v="0"/>
    <x v="0"/>
    <x v="0"/>
    <n v="5"/>
    <n v="8.3333333333333329E-2"/>
    <n v="8.3333333333333329E-2"/>
    <n v="11.916666666666666"/>
    <x v="1"/>
    <x v="0"/>
    <m/>
    <x v="0"/>
    <n v="61.3"/>
    <x v="0"/>
    <x v="9"/>
    <x v="0"/>
    <x v="0"/>
    <x v="0"/>
  </r>
  <r>
    <x v="0"/>
    <x v="12"/>
    <s v="4846 J"/>
    <x v="125"/>
    <s v="Waqas Wollan Mills Gujranwala"/>
    <s v="LD اورنج"/>
    <n v="15"/>
    <s v="10-10.5"/>
    <s v="LDM"/>
    <n v="350"/>
    <x v="0"/>
    <n v="6"/>
    <n v="344.23"/>
    <n v="11.399999999999999"/>
    <m/>
    <x v="0"/>
    <n v="332.83000000000004"/>
    <n v="371.23"/>
    <m/>
    <x v="0"/>
    <x v="0"/>
    <n v="0"/>
    <n v="0"/>
    <x v="0"/>
    <x v="0"/>
    <m/>
    <x v="0"/>
    <x v="0"/>
    <x v="0"/>
    <x v="0"/>
    <x v="0"/>
    <n v="0"/>
    <n v="0"/>
    <n v="0"/>
    <n v="12"/>
    <x v="1"/>
    <x v="0"/>
    <m/>
    <x v="0"/>
    <n v="338.83000000000004"/>
    <x v="0"/>
    <x v="9"/>
    <x v="0"/>
    <x v="0"/>
    <x v="0"/>
  </r>
  <r>
    <x v="1"/>
    <x v="12"/>
    <s v="4846 J"/>
    <x v="125"/>
    <s v="Waqas Wollan Mills Gujranwala"/>
    <s v="LD اورنج"/>
    <n v="15"/>
    <s v="10-10.5"/>
    <s v="LDM"/>
    <n v="350"/>
    <x v="0"/>
    <n v="1"/>
    <n v="40.200000000000003"/>
    <n v="1.8"/>
    <n v="22"/>
    <x v="0"/>
    <n v="38.400000000000006"/>
    <n v="371.23"/>
    <n v="45"/>
    <x v="0"/>
    <x v="0"/>
    <n v="45"/>
    <n v="0.75"/>
    <x v="0"/>
    <x v="0"/>
    <m/>
    <x v="0"/>
    <x v="0"/>
    <x v="0"/>
    <x v="0"/>
    <x v="0"/>
    <n v="0"/>
    <n v="0"/>
    <n v="0.75"/>
    <n v="11.25"/>
    <x v="1"/>
    <x v="0"/>
    <m/>
    <x v="0"/>
    <n v="44.400000000000006"/>
    <x v="0"/>
    <x v="9"/>
    <x v="0"/>
    <x v="0"/>
    <x v="0"/>
  </r>
  <r>
    <x v="1"/>
    <x v="12"/>
    <s v="4845 J"/>
    <x v="125"/>
    <s v="-"/>
    <m/>
    <m/>
    <m/>
    <m/>
    <m/>
    <x v="0"/>
    <n v="2"/>
    <n v="101.5"/>
    <n v="2.8"/>
    <m/>
    <x v="0"/>
    <n v="98.7"/>
    <n v="98.7"/>
    <m/>
    <x v="0"/>
    <x v="0"/>
    <n v="0"/>
    <n v="0"/>
    <x v="0"/>
    <x v="0"/>
    <m/>
    <x v="0"/>
    <x v="0"/>
    <x v="0"/>
    <x v="0"/>
    <x v="0"/>
    <n v="0"/>
    <n v="0"/>
    <n v="0"/>
    <n v="12"/>
    <x v="1"/>
    <x v="0"/>
    <m/>
    <x v="0"/>
    <n v="104.7"/>
    <x v="0"/>
    <x v="9"/>
    <x v="0"/>
    <x v="0"/>
    <x v="0"/>
  </r>
  <r>
    <x v="1"/>
    <x v="12"/>
    <s v="4848 J"/>
    <x v="125"/>
    <s v="Waqas Wollan Mills Gujranwala"/>
    <s v="LDیلو"/>
    <n v="10"/>
    <s v="8-8.5"/>
    <s v="LDM"/>
    <n v="200"/>
    <x v="0"/>
    <n v="4"/>
    <n v="167.3"/>
    <n v="4.8"/>
    <m/>
    <x v="0"/>
    <n v="162.5"/>
    <n v="162.5"/>
    <m/>
    <x v="0"/>
    <x v="0"/>
    <n v="0"/>
    <n v="0"/>
    <x v="0"/>
    <x v="0"/>
    <m/>
    <x v="0"/>
    <x v="0"/>
    <x v="0"/>
    <x v="0"/>
    <x v="0"/>
    <n v="0"/>
    <n v="0"/>
    <n v="0"/>
    <n v="12"/>
    <x v="1"/>
    <x v="0"/>
    <m/>
    <x v="0"/>
    <n v="168.5"/>
    <x v="0"/>
    <x v="9"/>
    <x v="0"/>
    <x v="0"/>
    <x v="0"/>
  </r>
  <r>
    <x v="0"/>
    <x v="14"/>
    <s v="4792 J"/>
    <x v="125"/>
    <s v="Eman Chemical Lahore"/>
    <s v="LDN"/>
    <s v="535 MM"/>
    <s v="15-16/30-32"/>
    <s v="LDN"/>
    <n v="100"/>
    <x v="0"/>
    <n v="1"/>
    <n v="112.1"/>
    <n v="2.4"/>
    <n v="90"/>
    <x v="0"/>
    <n v="109.69999999999999"/>
    <n v="109.69999999999999"/>
    <n v="30"/>
    <x v="0"/>
    <x v="0"/>
    <n v="30"/>
    <n v="0.5"/>
    <x v="0"/>
    <x v="0"/>
    <m/>
    <x v="0"/>
    <x v="0"/>
    <x v="0"/>
    <x v="6"/>
    <x v="0"/>
    <n v="60"/>
    <n v="1"/>
    <n v="1.5"/>
    <n v="10.5"/>
    <x v="1"/>
    <x v="0"/>
    <m/>
    <x v="0"/>
    <n v="115.69999999999999"/>
    <x v="0"/>
    <x v="9"/>
    <x v="0"/>
    <x v="0"/>
    <x v="0"/>
  </r>
  <r>
    <x v="0"/>
    <x v="14"/>
    <s v="4791 J"/>
    <x v="125"/>
    <s v="Eman Chemical Lahore"/>
    <s v="LDN"/>
    <s v="535 MM"/>
    <s v="15-16/30-32"/>
    <s v="LDN"/>
    <n v="100"/>
    <x v="0"/>
    <n v="1"/>
    <n v="112.8"/>
    <n v="2.4"/>
    <m/>
    <x v="0"/>
    <n v="110.39999999999999"/>
    <n v="110.39999999999999"/>
    <m/>
    <x v="0"/>
    <x v="0"/>
    <n v="0"/>
    <n v="0"/>
    <x v="0"/>
    <x v="0"/>
    <m/>
    <x v="0"/>
    <x v="0"/>
    <x v="0"/>
    <x v="0"/>
    <x v="0"/>
    <n v="0"/>
    <n v="0"/>
    <n v="0"/>
    <n v="12"/>
    <x v="1"/>
    <x v="0"/>
    <m/>
    <x v="0"/>
    <n v="116.39999999999999"/>
    <x v="0"/>
    <x v="9"/>
    <x v="0"/>
    <x v="0"/>
    <x v="0"/>
  </r>
  <r>
    <x v="0"/>
    <x v="14"/>
    <s v="4790 J"/>
    <x v="125"/>
    <s v="Eman Chemical Lahore"/>
    <s v="LDN"/>
    <s v="535 MM"/>
    <s v="15-16/30-32"/>
    <s v="LDN"/>
    <n v="100"/>
    <x v="0"/>
    <n v="2"/>
    <n v="115.4"/>
    <n v="5.3"/>
    <m/>
    <x v="0"/>
    <n v="110.10000000000001"/>
    <n v="110.10000000000001"/>
    <m/>
    <x v="0"/>
    <x v="0"/>
    <n v="0"/>
    <n v="0"/>
    <x v="0"/>
    <x v="0"/>
    <m/>
    <x v="0"/>
    <x v="0"/>
    <x v="0"/>
    <x v="0"/>
    <x v="0"/>
    <n v="0"/>
    <n v="0"/>
    <n v="0"/>
    <n v="12"/>
    <x v="1"/>
    <x v="0"/>
    <m/>
    <x v="0"/>
    <n v="116.10000000000001"/>
    <x v="0"/>
    <x v="9"/>
    <x v="0"/>
    <x v="0"/>
    <x v="0"/>
  </r>
  <r>
    <x v="0"/>
    <x v="14"/>
    <s v="265 R"/>
    <x v="125"/>
    <s v="ریفلیکٹ پیک"/>
    <s v="LDN"/>
    <n v="23"/>
    <s v="16.5-17"/>
    <s v="LDN"/>
    <n v="2000"/>
    <x v="0"/>
    <n v="2"/>
    <n v="220.39999999999998"/>
    <n v="5.3"/>
    <m/>
    <x v="0"/>
    <n v="215.09999999999997"/>
    <n v="2006.3600000000001"/>
    <m/>
    <x v="0"/>
    <x v="0"/>
    <n v="0"/>
    <n v="0"/>
    <x v="0"/>
    <x v="0"/>
    <m/>
    <x v="0"/>
    <x v="0"/>
    <x v="0"/>
    <x v="0"/>
    <x v="0"/>
    <n v="0"/>
    <n v="0"/>
    <n v="0"/>
    <n v="12"/>
    <x v="1"/>
    <x v="0"/>
    <m/>
    <x v="0"/>
    <n v="221.09999999999997"/>
    <x v="0"/>
    <x v="9"/>
    <x v="0"/>
    <x v="0"/>
    <x v="0"/>
  </r>
  <r>
    <x v="0"/>
    <x v="14"/>
    <s v="2804/1"/>
    <x v="125"/>
    <s v="MATCO FOOD"/>
    <s v="LDN"/>
    <n v="23"/>
    <s v="70±1"/>
    <s v="LDN"/>
    <n v="4900"/>
    <x v="0"/>
    <n v="1"/>
    <n v="40.4"/>
    <n v="2.2999999999999998"/>
    <m/>
    <x v="0"/>
    <n v="38.1"/>
    <n v="5092.7000000000007"/>
    <m/>
    <x v="0"/>
    <x v="0"/>
    <n v="0"/>
    <n v="0"/>
    <x v="0"/>
    <x v="0"/>
    <n v="10"/>
    <x v="0"/>
    <x v="0"/>
    <x v="0"/>
    <x v="0"/>
    <x v="0"/>
    <n v="10"/>
    <n v="0.16666666666666666"/>
    <n v="0.16666666666666666"/>
    <n v="11.833333333333334"/>
    <x v="1"/>
    <x v="0"/>
    <m/>
    <x v="0"/>
    <n v="44.1"/>
    <x v="0"/>
    <x v="9"/>
    <x v="0"/>
    <x v="0"/>
    <x v="0"/>
  </r>
  <r>
    <x v="1"/>
    <x v="14"/>
    <s v="265 R"/>
    <x v="125"/>
    <s v="ریفلیکٹ پیک"/>
    <s v="LDN"/>
    <n v="23"/>
    <s v="16.5-17"/>
    <s v="LDN"/>
    <n v="2000"/>
    <x v="0"/>
    <n v="5"/>
    <n v="609.4"/>
    <n v="14.5"/>
    <m/>
    <x v="0"/>
    <n v="594.9"/>
    <n v="2006.3600000000001"/>
    <m/>
    <x v="0"/>
    <x v="0"/>
    <n v="0"/>
    <n v="0"/>
    <x v="0"/>
    <x v="0"/>
    <m/>
    <x v="0"/>
    <x v="0"/>
    <x v="0"/>
    <x v="0"/>
    <x v="0"/>
    <n v="0"/>
    <n v="0"/>
    <n v="0"/>
    <n v="12"/>
    <x v="1"/>
    <x v="0"/>
    <m/>
    <x v="0"/>
    <n v="600.9"/>
    <x v="0"/>
    <x v="9"/>
    <x v="0"/>
    <x v="0"/>
    <x v="0"/>
  </r>
  <r>
    <x v="0"/>
    <x v="15"/>
    <s v="4825 J"/>
    <x v="125"/>
    <s v="Amer Pak Bry Cleaners Lahore"/>
    <s v="LDN"/>
    <n v="25"/>
    <s v="4.5-5"/>
    <s v="LDN"/>
    <n v="2500"/>
    <x v="0"/>
    <n v="11"/>
    <n v="399.48"/>
    <n v="35.200000000000003"/>
    <m/>
    <x v="0"/>
    <n v="364.28000000000003"/>
    <n v="2486.1000000000004"/>
    <m/>
    <x v="0"/>
    <x v="0"/>
    <n v="0"/>
    <n v="0"/>
    <x v="0"/>
    <x v="0"/>
    <m/>
    <x v="0"/>
    <x v="0"/>
    <x v="0"/>
    <x v="0"/>
    <x v="0"/>
    <n v="0"/>
    <n v="0"/>
    <n v="0"/>
    <n v="12"/>
    <x v="1"/>
    <x v="0"/>
    <m/>
    <x v="0"/>
    <n v="370.28000000000003"/>
    <x v="0"/>
    <x v="9"/>
    <x v="0"/>
    <x v="0"/>
    <x v="0"/>
  </r>
  <r>
    <x v="1"/>
    <x v="15"/>
    <s v="4825 J"/>
    <x v="125"/>
    <s v="Amer Pak Bry Cleaners Lahore"/>
    <s v="LDN"/>
    <n v="25"/>
    <s v="4.5-5"/>
    <s v="LDN"/>
    <n v="2500"/>
    <x v="0"/>
    <n v="12"/>
    <n v="421.53"/>
    <n v="38.400000000000006"/>
    <n v="8"/>
    <x v="0"/>
    <n v="383.13"/>
    <n v="2486.1000000000004"/>
    <m/>
    <x v="0"/>
    <x v="0"/>
    <n v="0"/>
    <n v="0"/>
    <x v="0"/>
    <x v="0"/>
    <m/>
    <x v="0"/>
    <x v="0"/>
    <x v="0"/>
    <x v="0"/>
    <x v="0"/>
    <n v="0"/>
    <n v="0"/>
    <n v="0"/>
    <n v="12"/>
    <x v="1"/>
    <x v="0"/>
    <m/>
    <x v="0"/>
    <n v="389.13"/>
    <x v="0"/>
    <x v="9"/>
    <x v="0"/>
    <x v="0"/>
    <x v="0"/>
  </r>
  <r>
    <x v="0"/>
    <x v="8"/>
    <s v="4921 J"/>
    <x v="126"/>
    <s v="Usman Arif Butt Gujranwala"/>
    <s v="LDN"/>
    <n v="5"/>
    <n v="10"/>
    <s v="LDN"/>
    <n v="500"/>
    <x v="0"/>
    <n v="2"/>
    <n v="138.12"/>
    <n v="1.6"/>
    <n v="6"/>
    <x v="0"/>
    <n v="136.52000000000001"/>
    <n v="510.41999999999996"/>
    <n v="5"/>
    <x v="0"/>
    <x v="0"/>
    <n v="5"/>
    <n v="8.3333333333333329E-2"/>
    <x v="0"/>
    <x v="0"/>
    <m/>
    <x v="0"/>
    <x v="0"/>
    <x v="0"/>
    <x v="0"/>
    <x v="0"/>
    <n v="0"/>
    <n v="0"/>
    <n v="8.3333333333333329E-2"/>
    <n v="11.916666666666666"/>
    <x v="1"/>
    <x v="0"/>
    <n v="2231"/>
    <x v="0"/>
    <n v="142.52000000000001"/>
    <x v="1"/>
    <x v="9"/>
    <x v="0"/>
    <x v="0"/>
    <x v="0"/>
  </r>
  <r>
    <x v="1"/>
    <x v="8"/>
    <s v="4883 J"/>
    <x v="126"/>
    <s v="Purella Fresh Milk"/>
    <s v="LDM"/>
    <n v="7"/>
    <s v="18"/>
    <s v="LDM"/>
    <n v="120"/>
    <x v="0"/>
    <n v="2"/>
    <n v="120.5"/>
    <n v="1.6"/>
    <n v="10"/>
    <x v="0"/>
    <n v="118.9"/>
    <n v="118.9"/>
    <n v="107"/>
    <x v="0"/>
    <x v="0"/>
    <n v="107"/>
    <n v="1.7833333333333334"/>
    <x v="0"/>
    <x v="0"/>
    <m/>
    <x v="0"/>
    <x v="0"/>
    <x v="0"/>
    <x v="0"/>
    <x v="0"/>
    <n v="0"/>
    <n v="0"/>
    <n v="1.7833333333333334"/>
    <n v="10.216666666666667"/>
    <x v="1"/>
    <x v="0"/>
    <m/>
    <x v="0"/>
    <n v="124.9"/>
    <x v="0"/>
    <x v="9"/>
    <x v="0"/>
    <x v="0"/>
    <x v="0"/>
  </r>
  <r>
    <x v="1"/>
    <x v="8"/>
    <s v="6/4-4.5"/>
    <x v="126"/>
    <s v="-"/>
    <m/>
    <m/>
    <m/>
    <m/>
    <m/>
    <x v="0"/>
    <n v="1"/>
    <n v="30.4"/>
    <m/>
    <m/>
    <x v="0"/>
    <n v="30.4"/>
    <n v="30.4"/>
    <m/>
    <x v="0"/>
    <x v="0"/>
    <n v="0"/>
    <n v="0"/>
    <x v="0"/>
    <x v="0"/>
    <m/>
    <x v="0"/>
    <x v="0"/>
    <x v="0"/>
    <x v="0"/>
    <x v="0"/>
    <n v="0"/>
    <n v="0"/>
    <n v="0"/>
    <n v="12"/>
    <x v="1"/>
    <x v="0"/>
    <m/>
    <x v="0"/>
    <n v="36.4"/>
    <x v="0"/>
    <x v="9"/>
    <x v="0"/>
    <x v="0"/>
    <x v="0"/>
  </r>
  <r>
    <x v="0"/>
    <x v="9"/>
    <s v="4920 J"/>
    <x v="126"/>
    <s v="Usman Arif Butt Gujranwala"/>
    <s v="LDN"/>
    <n v="4"/>
    <n v="10"/>
    <s v="LDN"/>
    <n v="500"/>
    <x v="0"/>
    <n v="2"/>
    <n v="107.84"/>
    <n v="1.6"/>
    <m/>
    <x v="0"/>
    <n v="106.24000000000001"/>
    <n v="505.40000000000003"/>
    <m/>
    <x v="0"/>
    <x v="0"/>
    <n v="0"/>
    <n v="0"/>
    <x v="0"/>
    <x v="0"/>
    <m/>
    <x v="0"/>
    <x v="0"/>
    <x v="0"/>
    <x v="0"/>
    <x v="0"/>
    <n v="0"/>
    <n v="0"/>
    <n v="0"/>
    <n v="12"/>
    <x v="1"/>
    <x v="0"/>
    <m/>
    <x v="0"/>
    <n v="112.24000000000001"/>
    <x v="0"/>
    <x v="9"/>
    <x v="0"/>
    <x v="0"/>
    <x v="0"/>
  </r>
  <r>
    <x v="1"/>
    <x v="9"/>
    <s v="4920 J"/>
    <x v="126"/>
    <s v="Usman Arif Butt Gujranwala"/>
    <s v="LDN"/>
    <n v="4"/>
    <n v="10"/>
    <s v="LDN"/>
    <n v="500"/>
    <x v="0"/>
    <n v="2"/>
    <n v="116.1"/>
    <n v="1.6"/>
    <m/>
    <x v="0"/>
    <n v="114.5"/>
    <n v="505.40000000000003"/>
    <m/>
    <x v="0"/>
    <x v="0"/>
    <n v="0"/>
    <n v="0"/>
    <x v="0"/>
    <x v="0"/>
    <m/>
    <x v="0"/>
    <x v="0"/>
    <x v="0"/>
    <x v="0"/>
    <x v="0"/>
    <n v="0"/>
    <n v="0"/>
    <n v="0"/>
    <n v="12"/>
    <x v="1"/>
    <x v="0"/>
    <m/>
    <x v="0"/>
    <n v="120.5"/>
    <x v="0"/>
    <x v="9"/>
    <x v="0"/>
    <x v="0"/>
    <x v="0"/>
  </r>
  <r>
    <x v="0"/>
    <x v="13"/>
    <s v="2291 F"/>
    <x v="126"/>
    <s v="Usman Amin"/>
    <s v="LDN"/>
    <s v="16 SHEET"/>
    <s v="3.3.25/6.6.5"/>
    <s v="LDN"/>
    <n v="500"/>
    <x v="0"/>
    <n v="4"/>
    <n v="184.54"/>
    <n v="8.4"/>
    <n v="11"/>
    <x v="0"/>
    <n v="176.14"/>
    <n v="563.90000000000009"/>
    <n v="5"/>
    <x v="0"/>
    <x v="0"/>
    <n v="5"/>
    <n v="8.3333333333333329E-2"/>
    <x v="0"/>
    <x v="0"/>
    <m/>
    <x v="0"/>
    <x v="3"/>
    <x v="0"/>
    <x v="3"/>
    <x v="0"/>
    <n v="50"/>
    <n v="0.83333333333333337"/>
    <n v="0.91666666666666674"/>
    <n v="11.083333333333334"/>
    <x v="1"/>
    <x v="0"/>
    <m/>
    <x v="0"/>
    <n v="182.14"/>
    <x v="0"/>
    <x v="9"/>
    <x v="0"/>
    <x v="0"/>
    <x v="0"/>
  </r>
  <r>
    <x v="0"/>
    <x v="13"/>
    <s v="2804/1"/>
    <x v="126"/>
    <s v="MATCO FOOD"/>
    <s v="LDN"/>
    <n v="23"/>
    <s v="70±1"/>
    <s v="LDN"/>
    <n v="4900"/>
    <x v="0"/>
    <n v="1"/>
    <n v="97.8"/>
    <n v="2.8"/>
    <m/>
    <x v="0"/>
    <n v="95"/>
    <n v="5092.7000000000007"/>
    <m/>
    <x v="0"/>
    <x v="0"/>
    <n v="0"/>
    <n v="0"/>
    <x v="0"/>
    <x v="0"/>
    <m/>
    <x v="0"/>
    <x v="0"/>
    <x v="0"/>
    <x v="0"/>
    <x v="0"/>
    <n v="0"/>
    <n v="0"/>
    <n v="0"/>
    <n v="12"/>
    <x v="1"/>
    <x v="0"/>
    <m/>
    <x v="0"/>
    <n v="101"/>
    <x v="0"/>
    <x v="9"/>
    <x v="0"/>
    <x v="0"/>
    <x v="0"/>
  </r>
  <r>
    <x v="1"/>
    <x v="13"/>
    <s v="4940 J"/>
    <x v="126"/>
    <s v="BERGER PAINT LAHORE"/>
    <s v="LDN"/>
    <n v="20"/>
    <s v="-"/>
    <s v="LDN"/>
    <n v="2100"/>
    <x v="0"/>
    <n v="3"/>
    <n v="308.39999999999998"/>
    <n v="6.6000000000000005"/>
    <n v="22"/>
    <x v="0"/>
    <n v="301.79999999999995"/>
    <n v="2171.0600000000004"/>
    <m/>
    <x v="0"/>
    <x v="0"/>
    <n v="0"/>
    <n v="0"/>
    <x v="0"/>
    <x v="0"/>
    <m/>
    <x v="0"/>
    <x v="0"/>
    <x v="0"/>
    <x v="0"/>
    <x v="0"/>
    <n v="0"/>
    <n v="0"/>
    <n v="0"/>
    <n v="12"/>
    <x v="1"/>
    <x v="0"/>
    <m/>
    <x v="0"/>
    <n v="307.79999999999995"/>
    <x v="0"/>
    <x v="9"/>
    <x v="0"/>
    <x v="0"/>
    <x v="0"/>
  </r>
  <r>
    <x v="1"/>
    <x v="13"/>
    <s v="2804/1"/>
    <x v="126"/>
    <s v="MATCO FOOD"/>
    <s v="LDN"/>
    <n v="23"/>
    <s v="70±1"/>
    <s v="LDN"/>
    <n v="4900"/>
    <x v="0"/>
    <n v="1"/>
    <n v="40.4"/>
    <n v="2.8"/>
    <m/>
    <x v="0"/>
    <n v="37.6"/>
    <n v="5092.7000000000007"/>
    <m/>
    <x v="0"/>
    <x v="0"/>
    <n v="0"/>
    <n v="0"/>
    <x v="0"/>
    <x v="0"/>
    <m/>
    <x v="0"/>
    <x v="0"/>
    <x v="0"/>
    <x v="0"/>
    <x v="0"/>
    <n v="0"/>
    <n v="0"/>
    <n v="0"/>
    <n v="12"/>
    <x v="1"/>
    <x v="0"/>
    <m/>
    <x v="0"/>
    <n v="43.6"/>
    <x v="0"/>
    <x v="9"/>
    <x v="0"/>
    <x v="0"/>
    <x v="0"/>
  </r>
  <r>
    <x v="0"/>
    <x v="12"/>
    <s v="4847 J"/>
    <x v="126"/>
    <s v="Waqas Wollan Mills Gujranwala"/>
    <s v="LDیلو"/>
    <n v="18"/>
    <s v="10-10.5"/>
    <s v="LDM"/>
    <n v="150"/>
    <x v="0"/>
    <n v="3"/>
    <n v="163.69999999999999"/>
    <n v="5.2"/>
    <n v="60"/>
    <x v="0"/>
    <n v="158.5"/>
    <n v="158.5"/>
    <n v="20"/>
    <x v="0"/>
    <x v="0"/>
    <n v="20"/>
    <n v="0.33333333333333331"/>
    <x v="0"/>
    <x v="0"/>
    <m/>
    <x v="0"/>
    <x v="5"/>
    <x v="0"/>
    <x v="0"/>
    <x v="0"/>
    <n v="10"/>
    <n v="0.16666666666666666"/>
    <n v="0.5"/>
    <n v="11.5"/>
    <x v="1"/>
    <x v="0"/>
    <m/>
    <x v="0"/>
    <n v="164.5"/>
    <x v="0"/>
    <x v="9"/>
    <x v="0"/>
    <x v="0"/>
    <x v="0"/>
  </r>
  <r>
    <x v="0"/>
    <x v="12"/>
    <s v="4852 J"/>
    <x v="126"/>
    <s v="Waqas Wollan Mills Gujranwala"/>
    <s v="LDگرین"/>
    <n v="14"/>
    <s v="10-10.5"/>
    <s v="LDN"/>
    <n v="200"/>
    <x v="0"/>
    <n v="3"/>
    <n v="203"/>
    <n v="5.0999999999999996"/>
    <m/>
    <x v="0"/>
    <n v="197.9"/>
    <n v="197.9"/>
    <m/>
    <x v="0"/>
    <x v="0"/>
    <n v="0"/>
    <n v="0"/>
    <x v="0"/>
    <x v="0"/>
    <m/>
    <x v="0"/>
    <x v="0"/>
    <x v="0"/>
    <x v="0"/>
    <x v="0"/>
    <n v="0"/>
    <n v="0"/>
    <n v="0"/>
    <n v="12"/>
    <x v="1"/>
    <x v="0"/>
    <m/>
    <x v="0"/>
    <n v="203.9"/>
    <x v="0"/>
    <x v="9"/>
    <x v="0"/>
    <x v="0"/>
    <x v="0"/>
  </r>
  <r>
    <x v="0"/>
    <x v="12"/>
    <s v="SAMPLE"/>
    <x v="126"/>
    <s v="-"/>
    <m/>
    <m/>
    <m/>
    <m/>
    <m/>
    <x v="0"/>
    <n v="1"/>
    <n v="20"/>
    <n v="1.2"/>
    <m/>
    <x v="0"/>
    <n v="18.8"/>
    <n v="862.72"/>
    <m/>
    <x v="0"/>
    <x v="0"/>
    <n v="0"/>
    <n v="0"/>
    <x v="0"/>
    <x v="0"/>
    <m/>
    <x v="0"/>
    <x v="0"/>
    <x v="0"/>
    <x v="0"/>
    <x v="0"/>
    <n v="0"/>
    <n v="0"/>
    <n v="0"/>
    <n v="12"/>
    <x v="1"/>
    <x v="0"/>
    <m/>
    <x v="0"/>
    <n v="24.8"/>
    <x v="0"/>
    <x v="9"/>
    <x v="0"/>
    <x v="0"/>
    <x v="0"/>
  </r>
  <r>
    <x v="1"/>
    <x v="12"/>
    <s v="4842 J"/>
    <x v="126"/>
    <s v="Waqas Wollan Mills Gujranwala"/>
    <s v="LD بلو"/>
    <n v="15"/>
    <s v="10-10.5"/>
    <s v="LDM"/>
    <n v="250"/>
    <x v="0"/>
    <n v="4"/>
    <n v="259"/>
    <n v="7.6"/>
    <m/>
    <x v="0"/>
    <n v="251.4"/>
    <n v="251.4"/>
    <m/>
    <x v="0"/>
    <x v="0"/>
    <n v="0"/>
    <n v="0"/>
    <x v="0"/>
    <x v="0"/>
    <m/>
    <x v="0"/>
    <x v="0"/>
    <x v="0"/>
    <x v="0"/>
    <x v="0"/>
    <n v="0"/>
    <n v="0"/>
    <n v="0"/>
    <n v="12"/>
    <x v="1"/>
    <x v="0"/>
    <m/>
    <x v="0"/>
    <n v="257.39999999999998"/>
    <x v="0"/>
    <x v="9"/>
    <x v="0"/>
    <x v="0"/>
    <x v="0"/>
  </r>
  <r>
    <x v="1"/>
    <x v="12"/>
    <s v="4841 J"/>
    <x v="126"/>
    <s v="Waqas Wollan Mills Gujranwala"/>
    <s v="LD بلو"/>
    <n v="15"/>
    <s v="10-10.5"/>
    <s v="LDM"/>
    <n v="250"/>
    <x v="0"/>
    <n v="3"/>
    <n v="160.1"/>
    <n v="5.6999999999999993"/>
    <m/>
    <x v="0"/>
    <n v="154.4"/>
    <n v="254.9"/>
    <m/>
    <x v="0"/>
    <x v="0"/>
    <n v="0"/>
    <n v="0"/>
    <x v="0"/>
    <x v="0"/>
    <m/>
    <x v="0"/>
    <x v="0"/>
    <x v="0"/>
    <x v="0"/>
    <x v="0"/>
    <n v="0"/>
    <n v="0"/>
    <n v="0"/>
    <n v="12"/>
    <x v="1"/>
    <x v="0"/>
    <m/>
    <x v="0"/>
    <n v="160.4"/>
    <x v="0"/>
    <x v="9"/>
    <x v="0"/>
    <x v="0"/>
    <x v="0"/>
  </r>
  <r>
    <x v="0"/>
    <x v="14"/>
    <s v="265 R"/>
    <x v="126"/>
    <s v="ریفلیکٹ پیک"/>
    <s v="LDN"/>
    <n v="23"/>
    <s v="16.5-17"/>
    <s v="LDN"/>
    <n v="2000"/>
    <x v="0"/>
    <n v="5"/>
    <n v="604.36000000000013"/>
    <n v="12"/>
    <n v="6"/>
    <x v="0"/>
    <n v="592.36000000000013"/>
    <n v="2006.3600000000001"/>
    <m/>
    <x v="0"/>
    <x v="0"/>
    <n v="0"/>
    <n v="0"/>
    <x v="0"/>
    <x v="0"/>
    <m/>
    <x v="0"/>
    <x v="0"/>
    <x v="0"/>
    <x v="0"/>
    <x v="0"/>
    <n v="0"/>
    <n v="0"/>
    <n v="0"/>
    <n v="12"/>
    <x v="1"/>
    <x v="0"/>
    <m/>
    <x v="0"/>
    <n v="598.36000000000013"/>
    <x v="0"/>
    <x v="9"/>
    <x v="0"/>
    <x v="0"/>
    <x v="0"/>
  </r>
  <r>
    <x v="1"/>
    <x v="14"/>
    <s v="265 R"/>
    <x v="126"/>
    <s v="ریفلیکٹ پیک"/>
    <s v="LDN"/>
    <n v="23"/>
    <s v="16.5-17"/>
    <s v="LDN"/>
    <n v="2000"/>
    <x v="0"/>
    <n v="6"/>
    <n v="618.4"/>
    <n v="14.399999999999999"/>
    <n v="10"/>
    <x v="0"/>
    <n v="604"/>
    <n v="2006.3600000000001"/>
    <n v="2"/>
    <x v="0"/>
    <x v="0"/>
    <n v="2"/>
    <n v="3.3333333333333333E-2"/>
    <x v="0"/>
    <x v="3"/>
    <m/>
    <x v="0"/>
    <x v="0"/>
    <x v="0"/>
    <x v="0"/>
    <x v="0"/>
    <n v="15"/>
    <n v="0.25"/>
    <n v="0.28333333333333333"/>
    <n v="11.716666666666667"/>
    <x v="1"/>
    <x v="0"/>
    <m/>
    <x v="0"/>
    <n v="610"/>
    <x v="0"/>
    <x v="9"/>
    <x v="0"/>
    <x v="0"/>
    <x v="0"/>
  </r>
  <r>
    <x v="1"/>
    <x v="14"/>
    <s v="2804/1"/>
    <x v="126"/>
    <s v="MATCO FOOD"/>
    <s v="LDN"/>
    <n v="23"/>
    <s v="70±1"/>
    <s v="LDN"/>
    <n v="4900"/>
    <x v="0"/>
    <n v="1"/>
    <n v="110.8"/>
    <n v="2.4"/>
    <m/>
    <x v="0"/>
    <n v="108.39999999999999"/>
    <n v="5092.7000000000007"/>
    <m/>
    <x v="0"/>
    <x v="0"/>
    <n v="0"/>
    <n v="0"/>
    <x v="0"/>
    <x v="0"/>
    <m/>
    <x v="0"/>
    <x v="0"/>
    <x v="0"/>
    <x v="0"/>
    <x v="0"/>
    <n v="0"/>
    <n v="0"/>
    <n v="0"/>
    <n v="12"/>
    <x v="1"/>
    <x v="0"/>
    <m/>
    <x v="0"/>
    <n v="114.39999999999999"/>
    <x v="0"/>
    <x v="9"/>
    <x v="0"/>
    <x v="0"/>
    <x v="0"/>
  </r>
  <r>
    <x v="0"/>
    <x v="15"/>
    <s v="4825 J"/>
    <x v="126"/>
    <s v="Amer Pak Bry Cleaners Lahore"/>
    <s v="LDN"/>
    <n v="25"/>
    <s v="4.5-5"/>
    <s v="LDN"/>
    <n v="2500"/>
    <x v="0"/>
    <n v="13"/>
    <n v="461.19000000000005"/>
    <n v="41.6"/>
    <m/>
    <x v="0"/>
    <n v="419.59000000000003"/>
    <n v="2486.1000000000004"/>
    <m/>
    <x v="0"/>
    <x v="0"/>
    <n v="0"/>
    <n v="0"/>
    <x v="0"/>
    <x v="0"/>
    <m/>
    <x v="0"/>
    <x v="0"/>
    <x v="0"/>
    <x v="0"/>
    <x v="0"/>
    <n v="0"/>
    <n v="0"/>
    <n v="0"/>
    <n v="12"/>
    <x v="1"/>
    <x v="0"/>
    <m/>
    <x v="0"/>
    <n v="425.59000000000003"/>
    <x v="0"/>
    <x v="9"/>
    <x v="0"/>
    <x v="0"/>
    <x v="0"/>
  </r>
  <r>
    <x v="1"/>
    <x v="15"/>
    <s v="4825 J"/>
    <x v="126"/>
    <s v="Amer Pak Bry Cleaners Lahore"/>
    <s v="LDN"/>
    <n v="25"/>
    <s v="4.5-5"/>
    <s v="LDN"/>
    <n v="2500"/>
    <x v="0"/>
    <n v="12"/>
    <n v="419.8"/>
    <n v="38.400000000000006"/>
    <m/>
    <x v="0"/>
    <n v="381.4"/>
    <n v="2486.1000000000004"/>
    <m/>
    <x v="0"/>
    <x v="0"/>
    <n v="0"/>
    <n v="0"/>
    <x v="0"/>
    <x v="0"/>
    <m/>
    <x v="0"/>
    <x v="0"/>
    <x v="0"/>
    <x v="0"/>
    <x v="0"/>
    <n v="0"/>
    <n v="0"/>
    <n v="0"/>
    <n v="12"/>
    <x v="1"/>
    <x v="0"/>
    <m/>
    <x v="0"/>
    <n v="387.4"/>
    <x v="0"/>
    <x v="9"/>
    <x v="0"/>
    <x v="0"/>
    <x v="0"/>
  </r>
  <r>
    <x v="0"/>
    <x v="8"/>
    <s v="4900 J"/>
    <x v="127"/>
    <s v="Golden Baison Bite Lahore"/>
    <s v="LDN"/>
    <n v="7"/>
    <s v="13-14"/>
    <s v="LDN"/>
    <n v="100"/>
    <x v="0"/>
    <n v="2"/>
    <n v="107.06"/>
    <n v="1.8"/>
    <n v="8"/>
    <x v="0"/>
    <n v="105.26"/>
    <n v="105.26"/>
    <n v="5"/>
    <x v="0"/>
    <x v="0"/>
    <n v="5"/>
    <n v="8.3333333333333329E-2"/>
    <x v="0"/>
    <x v="0"/>
    <m/>
    <x v="0"/>
    <x v="0"/>
    <x v="0"/>
    <x v="0"/>
    <x v="0"/>
    <n v="0"/>
    <n v="0"/>
    <n v="8.3333333333333329E-2"/>
    <n v="11.916666666666666"/>
    <x v="1"/>
    <x v="0"/>
    <n v="2337"/>
    <x v="0"/>
    <n v="111.26"/>
    <x v="1"/>
    <x v="9"/>
    <x v="0"/>
    <x v="0"/>
    <x v="0"/>
  </r>
  <r>
    <x v="0"/>
    <x v="8"/>
    <s v="4869 J"/>
    <x v="127"/>
    <s v="Al Burak Deparmental Store Lahore"/>
    <s v="LDN"/>
    <n v="8"/>
    <s v="14-15"/>
    <s v="LDN"/>
    <n v="125"/>
    <x v="0"/>
    <n v="1"/>
    <n v="47.8"/>
    <n v="1"/>
    <m/>
    <x v="0"/>
    <n v="46.8"/>
    <n v="130.19999999999999"/>
    <m/>
    <x v="0"/>
    <x v="0"/>
    <n v="0"/>
    <n v="0"/>
    <x v="0"/>
    <x v="0"/>
    <m/>
    <x v="0"/>
    <x v="0"/>
    <x v="0"/>
    <x v="0"/>
    <x v="0"/>
    <n v="0"/>
    <n v="0"/>
    <n v="0"/>
    <n v="12"/>
    <x v="1"/>
    <x v="0"/>
    <m/>
    <x v="0"/>
    <n v="52.8"/>
    <x v="0"/>
    <x v="9"/>
    <x v="0"/>
    <x v="0"/>
    <x v="0"/>
  </r>
  <r>
    <x v="1"/>
    <x v="8"/>
    <s v="4869 J"/>
    <x v="127"/>
    <s v="Al Burak Deparmental Store Lahore"/>
    <s v="LDN"/>
    <n v="8"/>
    <s v="14-15"/>
    <s v="LDN"/>
    <n v="125"/>
    <x v="0"/>
    <n v="2"/>
    <n v="85.1"/>
    <n v="1.7000000000000002"/>
    <n v="1.5"/>
    <x v="0"/>
    <n v="83.399999999999991"/>
    <n v="130.19999999999999"/>
    <n v="8"/>
    <x v="0"/>
    <x v="0"/>
    <n v="8"/>
    <n v="0.13333333333333333"/>
    <x v="0"/>
    <x v="0"/>
    <m/>
    <x v="0"/>
    <x v="0"/>
    <x v="0"/>
    <x v="0"/>
    <x v="0"/>
    <n v="0"/>
    <n v="0"/>
    <n v="0.13333333333333333"/>
    <n v="11.866666666666667"/>
    <x v="1"/>
    <x v="0"/>
    <m/>
    <x v="0"/>
    <n v="89.399999999999991"/>
    <x v="0"/>
    <x v="9"/>
    <x v="0"/>
    <x v="0"/>
    <x v="0"/>
  </r>
  <r>
    <x v="1"/>
    <x v="8"/>
    <s v="4950 J"/>
    <x v="127"/>
    <s v="Jilani Poly Stock"/>
    <s v="LDN"/>
    <n v="7"/>
    <n v="10"/>
    <s v="LDN"/>
    <n v="500"/>
    <x v="0"/>
    <n v="2"/>
    <n v="90.3"/>
    <n v="1.6"/>
    <m/>
    <x v="0"/>
    <n v="88.7"/>
    <n v="491.06000000000006"/>
    <m/>
    <x v="0"/>
    <x v="0"/>
    <n v="0"/>
    <n v="0"/>
    <x v="0"/>
    <x v="0"/>
    <m/>
    <x v="0"/>
    <x v="0"/>
    <x v="0"/>
    <x v="0"/>
    <x v="0"/>
    <n v="0"/>
    <n v="0"/>
    <n v="0"/>
    <n v="12"/>
    <x v="1"/>
    <x v="0"/>
    <m/>
    <x v="0"/>
    <n v="94.7"/>
    <x v="0"/>
    <x v="9"/>
    <x v="0"/>
    <x v="0"/>
    <x v="0"/>
  </r>
  <r>
    <x v="0"/>
    <x v="9"/>
    <s v="4920 J"/>
    <x v="127"/>
    <s v="Usman Arif Butt Gujranwala"/>
    <s v="LDN"/>
    <n v="4"/>
    <n v="10"/>
    <s v="LDN"/>
    <n v="500"/>
    <x v="0"/>
    <n v="2"/>
    <n v="117.96000000000001"/>
    <n v="1.6"/>
    <m/>
    <x v="0"/>
    <n v="116.36000000000001"/>
    <n v="505.40000000000003"/>
    <m/>
    <x v="0"/>
    <x v="0"/>
    <n v="0"/>
    <n v="0"/>
    <x v="0"/>
    <x v="0"/>
    <m/>
    <x v="0"/>
    <x v="0"/>
    <x v="0"/>
    <x v="0"/>
    <x v="0"/>
    <n v="0"/>
    <n v="0"/>
    <n v="0"/>
    <n v="12"/>
    <x v="1"/>
    <x v="0"/>
    <m/>
    <x v="0"/>
    <n v="122.36000000000001"/>
    <x v="0"/>
    <x v="9"/>
    <x v="0"/>
    <x v="0"/>
    <x v="0"/>
  </r>
  <r>
    <x v="1"/>
    <x v="9"/>
    <s v="4920 J"/>
    <x v="127"/>
    <s v="Usman Arif Butt Gujranwala"/>
    <s v="LDN"/>
    <n v="4"/>
    <n v="10"/>
    <s v="LDN"/>
    <n v="500"/>
    <x v="0"/>
    <n v="2"/>
    <n v="38"/>
    <n v="0.3"/>
    <n v="1"/>
    <x v="0"/>
    <n v="37.700000000000003"/>
    <n v="505.40000000000003"/>
    <n v="3"/>
    <x v="0"/>
    <x v="0"/>
    <n v="3"/>
    <n v="0.05"/>
    <x v="0"/>
    <x v="0"/>
    <m/>
    <x v="0"/>
    <x v="0"/>
    <x v="0"/>
    <x v="0"/>
    <x v="0"/>
    <n v="0"/>
    <n v="0"/>
    <n v="0.05"/>
    <n v="11.95"/>
    <x v="1"/>
    <x v="0"/>
    <m/>
    <x v="0"/>
    <n v="43.7"/>
    <x v="0"/>
    <x v="9"/>
    <x v="0"/>
    <x v="0"/>
    <x v="0"/>
  </r>
  <r>
    <x v="1"/>
    <x v="9"/>
    <s v="4921 J"/>
    <x v="127"/>
    <s v="Usman Arif Butt Gujranwala"/>
    <s v="LDN"/>
    <n v="5"/>
    <n v="10"/>
    <s v="LDN"/>
    <n v="500"/>
    <x v="0"/>
    <n v="2"/>
    <n v="112"/>
    <n v="1.5"/>
    <m/>
    <x v="0"/>
    <n v="110.5"/>
    <n v="510.41999999999996"/>
    <m/>
    <x v="0"/>
    <x v="0"/>
    <n v="0"/>
    <n v="0"/>
    <x v="0"/>
    <x v="0"/>
    <m/>
    <x v="0"/>
    <x v="0"/>
    <x v="0"/>
    <x v="0"/>
    <x v="0"/>
    <n v="0"/>
    <n v="0"/>
    <n v="0"/>
    <n v="12"/>
    <x v="1"/>
    <x v="0"/>
    <m/>
    <x v="0"/>
    <n v="116.5"/>
    <x v="0"/>
    <x v="9"/>
    <x v="0"/>
    <x v="0"/>
    <x v="0"/>
  </r>
  <r>
    <x v="0"/>
    <x v="13"/>
    <s v="4940 J"/>
    <x v="127"/>
    <s v="BERGER PAINT LAHORE"/>
    <s v="LDN"/>
    <n v="20"/>
    <s v="-"/>
    <s v="LDN"/>
    <n v="2100"/>
    <x v="0"/>
    <n v="5"/>
    <n v="415.36"/>
    <n v="12.5"/>
    <m/>
    <x v="0"/>
    <n v="402.86"/>
    <n v="2171.0600000000004"/>
    <m/>
    <x v="0"/>
    <x v="0"/>
    <n v="0"/>
    <n v="0"/>
    <x v="0"/>
    <x v="0"/>
    <m/>
    <x v="0"/>
    <x v="0"/>
    <x v="0"/>
    <x v="0"/>
    <x v="0"/>
    <n v="0"/>
    <n v="0"/>
    <n v="0"/>
    <n v="12"/>
    <x v="1"/>
    <x v="0"/>
    <m/>
    <x v="0"/>
    <n v="408.86"/>
    <x v="0"/>
    <x v="9"/>
    <x v="0"/>
    <x v="0"/>
    <x v="0"/>
  </r>
  <r>
    <x v="1"/>
    <x v="13"/>
    <s v="4940 J"/>
    <x v="127"/>
    <s v="BERGER PAINT LAHORE"/>
    <s v="LDN"/>
    <n v="20"/>
    <s v="-"/>
    <s v="LDN"/>
    <n v="2100"/>
    <x v="0"/>
    <n v="4"/>
    <n v="372.8"/>
    <n v="10"/>
    <m/>
    <x v="0"/>
    <n v="362.8"/>
    <n v="2171.0600000000004"/>
    <n v="10"/>
    <x v="0"/>
    <x v="0"/>
    <n v="10"/>
    <n v="0.16666666666666666"/>
    <x v="0"/>
    <x v="0"/>
    <m/>
    <x v="0"/>
    <x v="0"/>
    <x v="0"/>
    <x v="0"/>
    <x v="0"/>
    <n v="0"/>
    <n v="0"/>
    <n v="0.16666666666666666"/>
    <n v="11.833333333333334"/>
    <x v="1"/>
    <x v="0"/>
    <m/>
    <x v="0"/>
    <n v="368.8"/>
    <x v="0"/>
    <x v="9"/>
    <x v="0"/>
    <x v="0"/>
    <x v="0"/>
  </r>
  <r>
    <x v="0"/>
    <x v="12"/>
    <s v="4841 J"/>
    <x v="127"/>
    <s v="Waqas Wollan Mills Gujranwala"/>
    <s v="LD بلو"/>
    <n v="15"/>
    <s v="10-10.5"/>
    <s v="LDM"/>
    <n v="250"/>
    <x v="0"/>
    <n v="2"/>
    <n v="104.3"/>
    <n v="3.8"/>
    <n v="15"/>
    <x v="0"/>
    <n v="100.5"/>
    <n v="254.9"/>
    <n v="5"/>
    <x v="0"/>
    <x v="0"/>
    <n v="5"/>
    <n v="8.3333333333333329E-2"/>
    <x v="0"/>
    <x v="0"/>
    <m/>
    <x v="12"/>
    <x v="0"/>
    <x v="0"/>
    <x v="0"/>
    <x v="0"/>
    <n v="6"/>
    <n v="0.1"/>
    <n v="0.18333333333333335"/>
    <n v="11.816666666666666"/>
    <x v="1"/>
    <x v="0"/>
    <m/>
    <x v="0"/>
    <n v="106.5"/>
    <x v="0"/>
    <x v="9"/>
    <x v="0"/>
    <x v="0"/>
    <x v="0"/>
  </r>
  <r>
    <x v="0"/>
    <x v="12"/>
    <s v="4836 J"/>
    <x v="127"/>
    <s v="Waqas Wollan Mills Gujranwala"/>
    <s v="LD بلو"/>
    <n v="16"/>
    <s v="10-10.5"/>
    <s v="LDM"/>
    <n v="200"/>
    <x v="0"/>
    <n v="4"/>
    <n v="207.55"/>
    <n v="5.65"/>
    <m/>
    <x v="0"/>
    <n v="201.9"/>
    <n v="201.9"/>
    <m/>
    <x v="0"/>
    <x v="0"/>
    <n v="0"/>
    <n v="0"/>
    <x v="0"/>
    <x v="0"/>
    <m/>
    <x v="0"/>
    <x v="0"/>
    <x v="0"/>
    <x v="0"/>
    <x v="0"/>
    <n v="0"/>
    <n v="0"/>
    <n v="0"/>
    <n v="12"/>
    <x v="1"/>
    <x v="0"/>
    <m/>
    <x v="0"/>
    <n v="207.9"/>
    <x v="0"/>
    <x v="9"/>
    <x v="0"/>
    <x v="0"/>
    <x v="0"/>
  </r>
  <r>
    <x v="0"/>
    <x v="12"/>
    <s v="4839 J"/>
    <x v="127"/>
    <s v="Waqas Wollan Mills Gujranwala"/>
    <s v="LD بلو"/>
    <n v="16"/>
    <s v="10-10.5"/>
    <s v="LDM"/>
    <n v="150"/>
    <x v="0"/>
    <n v="2"/>
    <n v="136.30000000000001"/>
    <n v="4"/>
    <m/>
    <x v="0"/>
    <n v="132.30000000000001"/>
    <n v="132.30000000000001"/>
    <m/>
    <x v="0"/>
    <x v="0"/>
    <n v="0"/>
    <n v="0"/>
    <x v="0"/>
    <x v="0"/>
    <m/>
    <x v="0"/>
    <x v="0"/>
    <x v="0"/>
    <x v="0"/>
    <x v="0"/>
    <n v="0"/>
    <n v="0"/>
    <n v="0"/>
    <n v="12"/>
    <x v="1"/>
    <x v="0"/>
    <m/>
    <x v="0"/>
    <n v="138.30000000000001"/>
    <x v="0"/>
    <x v="9"/>
    <x v="0"/>
    <x v="0"/>
    <x v="0"/>
  </r>
  <r>
    <x v="1"/>
    <x v="12"/>
    <s v="4837 J"/>
    <x v="127"/>
    <s v="Waqas Wollan Mills Gujranwala"/>
    <s v="LD بلو"/>
    <n v="16"/>
    <s v="10-10.5"/>
    <s v="LDM"/>
    <n v="400"/>
    <x v="0"/>
    <n v="7"/>
    <n v="419.8"/>
    <n v="13.299999999999999"/>
    <n v="6.7"/>
    <x v="0"/>
    <n v="406.5"/>
    <n v="406.5"/>
    <m/>
    <x v="0"/>
    <x v="0"/>
    <n v="0"/>
    <n v="0"/>
    <x v="0"/>
    <x v="0"/>
    <m/>
    <x v="2"/>
    <x v="0"/>
    <x v="0"/>
    <x v="0"/>
    <x v="0"/>
    <n v="5"/>
    <n v="8.3333333333333329E-2"/>
    <n v="8.3333333333333329E-2"/>
    <n v="11.916666666666666"/>
    <x v="1"/>
    <x v="0"/>
    <m/>
    <x v="0"/>
    <n v="412.5"/>
    <x v="0"/>
    <x v="9"/>
    <x v="0"/>
    <x v="0"/>
    <x v="0"/>
  </r>
  <r>
    <x v="0"/>
    <x v="14"/>
    <s v="2804/1"/>
    <x v="127"/>
    <s v="MATCO FOOD"/>
    <s v="LDN"/>
    <n v="23"/>
    <s v="70±1"/>
    <s v="LDN"/>
    <n v="4900"/>
    <x v="0"/>
    <n v="1"/>
    <n v="67.900000000000006"/>
    <n v="2.2999999999999998"/>
    <n v="95"/>
    <x v="0"/>
    <n v="65.600000000000009"/>
    <n v="5092.7000000000007"/>
    <n v="15"/>
    <x v="0"/>
    <x v="0"/>
    <n v="15"/>
    <n v="0.25"/>
    <x v="0"/>
    <x v="0"/>
    <m/>
    <x v="0"/>
    <x v="0"/>
    <x v="0"/>
    <x v="0"/>
    <x v="0"/>
    <n v="0"/>
    <n v="0"/>
    <n v="0.25"/>
    <n v="11.75"/>
    <x v="1"/>
    <x v="0"/>
    <m/>
    <x v="0"/>
    <n v="71.600000000000009"/>
    <x v="0"/>
    <x v="9"/>
    <x v="0"/>
    <x v="0"/>
    <x v="0"/>
  </r>
  <r>
    <x v="0"/>
    <x v="14"/>
    <s v="4739 J"/>
    <x v="127"/>
    <s v="Chaudhry Milk Sweets and Bakers Jhangh"/>
    <s v="LDN"/>
    <n v="26"/>
    <s v="8-8.5"/>
    <s v="LDN"/>
    <n v="100"/>
    <x v="0"/>
    <n v="2"/>
    <n v="112.6"/>
    <n v="6.8"/>
    <m/>
    <x v="0"/>
    <n v="105.8"/>
    <n v="105.8"/>
    <n v="10"/>
    <x v="0"/>
    <x v="0"/>
    <n v="10"/>
    <n v="0.16666666666666666"/>
    <x v="0"/>
    <x v="0"/>
    <m/>
    <x v="0"/>
    <x v="0"/>
    <x v="0"/>
    <x v="0"/>
    <x v="0"/>
    <n v="0"/>
    <n v="0"/>
    <n v="0.16666666666666666"/>
    <n v="11.833333333333334"/>
    <x v="1"/>
    <x v="0"/>
    <m/>
    <x v="0"/>
    <n v="111.8"/>
    <x v="0"/>
    <x v="9"/>
    <x v="0"/>
    <x v="0"/>
    <x v="0"/>
  </r>
  <r>
    <x v="0"/>
    <x v="14"/>
    <s v="4740 J"/>
    <x v="127"/>
    <s v="Chaudhry Milk Sweets and Bakers Jhangh"/>
    <s v="LDN"/>
    <n v="36"/>
    <s v="8-8.5"/>
    <s v="LDN"/>
    <n v="100"/>
    <x v="0"/>
    <n v="2"/>
    <n v="102.2"/>
    <n v="7.8"/>
    <m/>
    <x v="0"/>
    <n v="94.4"/>
    <n v="94.4"/>
    <n v="8"/>
    <x v="0"/>
    <x v="0"/>
    <n v="8"/>
    <n v="0.13333333333333333"/>
    <x v="0"/>
    <x v="0"/>
    <n v="30"/>
    <x v="0"/>
    <x v="0"/>
    <x v="0"/>
    <x v="0"/>
    <x v="0"/>
    <n v="30"/>
    <n v="0.5"/>
    <n v="0.6333333333333333"/>
    <n v="11.366666666666667"/>
    <x v="1"/>
    <x v="0"/>
    <m/>
    <x v="0"/>
    <n v="100.4"/>
    <x v="0"/>
    <x v="9"/>
    <x v="0"/>
    <x v="0"/>
    <x v="0"/>
  </r>
  <r>
    <x v="0"/>
    <x v="14"/>
    <s v="4789 J"/>
    <x v="127"/>
    <s v="Umer Banghish Afghistan"/>
    <s v="LD سکائی بلو"/>
    <s v="32شیٹ"/>
    <s v="5-5.5/10-11"/>
    <s v="LDM"/>
    <n v="650"/>
    <x v="0"/>
    <n v="6"/>
    <n v="471.38"/>
    <n v="24.599999999999998"/>
    <m/>
    <x v="0"/>
    <n v="446.78"/>
    <n v="644.38"/>
    <m/>
    <x v="0"/>
    <x v="0"/>
    <n v="0"/>
    <n v="0"/>
    <x v="0"/>
    <x v="0"/>
    <m/>
    <x v="0"/>
    <x v="0"/>
    <x v="0"/>
    <x v="0"/>
    <x v="0"/>
    <n v="0"/>
    <n v="0"/>
    <n v="0"/>
    <n v="12"/>
    <x v="1"/>
    <x v="0"/>
    <m/>
    <x v="0"/>
    <n v="452.78"/>
    <x v="0"/>
    <x v="9"/>
    <x v="0"/>
    <x v="0"/>
    <x v="0"/>
  </r>
  <r>
    <x v="1"/>
    <x v="14"/>
    <s v="4789 J"/>
    <x v="127"/>
    <s v="Umer Banghish Afghistan"/>
    <s v="LD سکائی بلو"/>
    <s v="32شیٹ"/>
    <s v="5-5.5/10-11"/>
    <s v="LDM"/>
    <n v="650"/>
    <x v="0"/>
    <n v="2"/>
    <n v="205.8"/>
    <n v="8.1999999999999993"/>
    <n v="103"/>
    <x v="0"/>
    <n v="197.60000000000002"/>
    <n v="644.38"/>
    <n v="23"/>
    <x v="0"/>
    <x v="0"/>
    <n v="23"/>
    <n v="0.38333333333333336"/>
    <x v="0"/>
    <x v="0"/>
    <m/>
    <x v="0"/>
    <x v="0"/>
    <x v="0"/>
    <x v="0"/>
    <x v="0"/>
    <n v="0"/>
    <n v="0"/>
    <n v="0.38333333333333336"/>
    <n v="11.616666666666667"/>
    <x v="1"/>
    <x v="0"/>
    <m/>
    <x v="0"/>
    <n v="203.60000000000002"/>
    <x v="0"/>
    <x v="9"/>
    <x v="0"/>
    <x v="0"/>
    <x v="0"/>
  </r>
  <r>
    <x v="1"/>
    <x v="14"/>
    <s v="4745 J"/>
    <x v="127"/>
    <s v="Service Industry Gujrat"/>
    <s v="LD سکائی بلو"/>
    <s v="432 MM"/>
    <s v="-"/>
    <s v="LDM"/>
    <n v="120"/>
    <x v="0"/>
    <n v="4"/>
    <n v="143"/>
    <n v="8.8000000000000007"/>
    <m/>
    <x v="0"/>
    <n v="134.19999999999999"/>
    <n v="134.19999999999999"/>
    <m/>
    <x v="0"/>
    <x v="0"/>
    <n v="0"/>
    <n v="0"/>
    <x v="0"/>
    <x v="0"/>
    <m/>
    <x v="0"/>
    <x v="0"/>
    <x v="0"/>
    <x v="0"/>
    <x v="0"/>
    <n v="0"/>
    <n v="0"/>
    <n v="0"/>
    <n v="12"/>
    <x v="1"/>
    <x v="0"/>
    <m/>
    <x v="0"/>
    <n v="140.19999999999999"/>
    <x v="0"/>
    <x v="9"/>
    <x v="0"/>
    <x v="0"/>
    <x v="0"/>
  </r>
  <r>
    <x v="1"/>
    <x v="14"/>
    <s v="4743 J"/>
    <x v="127"/>
    <s v="Service Industry Gujrat"/>
    <s v="LDM"/>
    <s v="432 MM"/>
    <s v="-"/>
    <s v="LDM"/>
    <n v="600"/>
    <x v="0"/>
    <n v="4"/>
    <n v="191.6"/>
    <n v="8.8000000000000007"/>
    <m/>
    <x v="0"/>
    <n v="182.79999999999998"/>
    <n v="927.56"/>
    <m/>
    <x v="0"/>
    <x v="0"/>
    <n v="0"/>
    <n v="0"/>
    <x v="0"/>
    <x v="0"/>
    <m/>
    <x v="0"/>
    <x v="0"/>
    <x v="0"/>
    <x v="0"/>
    <x v="0"/>
    <n v="0"/>
    <n v="0"/>
    <n v="0"/>
    <n v="12"/>
    <x v="1"/>
    <x v="0"/>
    <m/>
    <x v="0"/>
    <n v="188.79999999999998"/>
    <x v="0"/>
    <x v="9"/>
    <x v="0"/>
    <x v="0"/>
    <x v="0"/>
  </r>
  <r>
    <x v="0"/>
    <x v="15"/>
    <s v="4825 J"/>
    <x v="127"/>
    <s v="Amer Pak Bry Cleaners Lahore"/>
    <s v="LDN"/>
    <n v="25"/>
    <s v="4.5-5"/>
    <s v="LDN"/>
    <n v="2500"/>
    <x v="0"/>
    <n v="9"/>
    <n v="320.20000000000005"/>
    <n v="28.8"/>
    <n v="12"/>
    <x v="0"/>
    <n v="291.40000000000003"/>
    <n v="2486.1000000000004"/>
    <m/>
    <x v="0"/>
    <x v="0"/>
    <n v="0"/>
    <n v="0"/>
    <x v="0"/>
    <x v="0"/>
    <m/>
    <x v="0"/>
    <x v="0"/>
    <x v="0"/>
    <x v="0"/>
    <x v="0"/>
    <n v="0"/>
    <n v="0"/>
    <n v="0"/>
    <n v="12"/>
    <x v="1"/>
    <x v="0"/>
    <m/>
    <x v="0"/>
    <n v="297.40000000000003"/>
    <x v="0"/>
    <x v="9"/>
    <x v="0"/>
    <x v="0"/>
    <x v="0"/>
  </r>
  <r>
    <x v="0"/>
    <x v="15"/>
    <s v="2318 F"/>
    <x v="127"/>
    <s v="Usman Amin"/>
    <s v="LDN"/>
    <n v="24"/>
    <s v="5-5.5"/>
    <s v="LDN"/>
    <n v="40"/>
    <x v="0"/>
    <n v="2"/>
    <n v="66.099999999999994"/>
    <n v="4.8"/>
    <m/>
    <x v="0"/>
    <n v="61.3"/>
    <n v="61.3"/>
    <n v="5"/>
    <x v="0"/>
    <x v="0"/>
    <n v="5"/>
    <n v="8.3333333333333329E-2"/>
    <x v="0"/>
    <x v="0"/>
    <m/>
    <x v="0"/>
    <x v="0"/>
    <x v="0"/>
    <x v="0"/>
    <x v="0"/>
    <n v="0"/>
    <n v="0"/>
    <n v="8.3333333333333329E-2"/>
    <n v="11.916666666666666"/>
    <x v="1"/>
    <x v="0"/>
    <m/>
    <x v="0"/>
    <n v="67.3"/>
    <x v="0"/>
    <x v="9"/>
    <x v="0"/>
    <x v="0"/>
    <x v="0"/>
  </r>
  <r>
    <x v="1"/>
    <x v="15"/>
    <s v="4825 J"/>
    <x v="127"/>
    <s v="Amer Pak Bry Cleaners Lahore"/>
    <s v="LDN"/>
    <n v="25"/>
    <s v="4.5-5"/>
    <s v="LDN"/>
    <n v="2500"/>
    <x v="0"/>
    <n v="9"/>
    <n v="363.69"/>
    <n v="28.8"/>
    <m/>
    <x v="0"/>
    <n v="334.89"/>
    <n v="2486.1000000000004"/>
    <m/>
    <x v="0"/>
    <x v="0"/>
    <n v="0"/>
    <n v="0"/>
    <x v="0"/>
    <x v="0"/>
    <m/>
    <x v="0"/>
    <x v="0"/>
    <x v="0"/>
    <x v="0"/>
    <x v="0"/>
    <n v="0"/>
    <n v="0"/>
    <n v="0"/>
    <n v="12"/>
    <x v="1"/>
    <x v="0"/>
    <m/>
    <x v="0"/>
    <n v="340.89"/>
    <x v="0"/>
    <x v="9"/>
    <x v="0"/>
    <x v="0"/>
    <x v="0"/>
  </r>
  <r>
    <x v="0"/>
    <x v="8"/>
    <s v="4950 J"/>
    <x v="128"/>
    <s v="Jilani Poly Stock"/>
    <s v="LDN"/>
    <n v="7"/>
    <n v="10"/>
    <s v="LDN"/>
    <n v="500"/>
    <x v="0"/>
    <n v="3"/>
    <n v="171.36"/>
    <n v="2.4000000000000004"/>
    <m/>
    <x v="0"/>
    <n v="168.96"/>
    <n v="491.06000000000006"/>
    <m/>
    <x v="0"/>
    <x v="0"/>
    <n v="0"/>
    <n v="0"/>
    <x v="0"/>
    <x v="0"/>
    <m/>
    <x v="0"/>
    <x v="0"/>
    <x v="0"/>
    <x v="0"/>
    <x v="0"/>
    <n v="0"/>
    <n v="0"/>
    <n v="0"/>
    <n v="12"/>
    <x v="1"/>
    <x v="0"/>
    <n v="1834"/>
    <x v="0"/>
    <n v="174.96"/>
    <x v="1"/>
    <x v="9"/>
    <x v="0"/>
    <x v="0"/>
    <x v="0"/>
  </r>
  <r>
    <x v="1"/>
    <x v="8"/>
    <s v="4950 J"/>
    <x v="128"/>
    <s v="Jilani Poly Stock"/>
    <s v="LDN"/>
    <n v="7"/>
    <n v="10"/>
    <s v="LDN"/>
    <n v="500"/>
    <x v="0"/>
    <n v="3"/>
    <n v="132.19999999999999"/>
    <n v="2.4000000000000004"/>
    <m/>
    <x v="0"/>
    <n v="129.79999999999998"/>
    <n v="491.06000000000006"/>
    <m/>
    <x v="0"/>
    <x v="0"/>
    <n v="0"/>
    <n v="0"/>
    <x v="0"/>
    <x v="0"/>
    <m/>
    <x v="0"/>
    <x v="0"/>
    <x v="4"/>
    <x v="0"/>
    <x v="0"/>
    <n v="120"/>
    <n v="2"/>
    <n v="2"/>
    <n v="10"/>
    <x v="1"/>
    <x v="0"/>
    <m/>
    <x v="0"/>
    <n v="135.79999999999998"/>
    <x v="0"/>
    <x v="9"/>
    <x v="0"/>
    <x v="0"/>
    <x v="0"/>
  </r>
  <r>
    <x v="0"/>
    <x v="9"/>
    <s v="4921 J"/>
    <x v="128"/>
    <s v="Usman Arif Butt Gujranwala"/>
    <s v="LDN"/>
    <n v="5"/>
    <n v="10"/>
    <s v="LDN"/>
    <n v="500"/>
    <x v="0"/>
    <n v="4"/>
    <n v="160.5"/>
    <n v="2.8"/>
    <m/>
    <x v="0"/>
    <n v="157.69999999999999"/>
    <n v="510.41999999999996"/>
    <m/>
    <x v="0"/>
    <x v="0"/>
    <n v="0"/>
    <n v="0"/>
    <x v="0"/>
    <x v="0"/>
    <m/>
    <x v="0"/>
    <x v="0"/>
    <x v="0"/>
    <x v="0"/>
    <x v="0"/>
    <n v="0"/>
    <n v="0"/>
    <n v="0"/>
    <n v="12"/>
    <x v="1"/>
    <x v="0"/>
    <m/>
    <x v="0"/>
    <n v="163.69999999999999"/>
    <x v="0"/>
    <x v="9"/>
    <x v="0"/>
    <x v="0"/>
    <x v="0"/>
  </r>
  <r>
    <x v="1"/>
    <x v="9"/>
    <s v="4921 J"/>
    <x v="128"/>
    <s v="Usman Arif Butt Gujranwala"/>
    <s v="LDN"/>
    <n v="5"/>
    <n v="10"/>
    <s v="LDN"/>
    <n v="500"/>
    <x v="0"/>
    <n v="1"/>
    <n v="37.4"/>
    <n v="0.5"/>
    <m/>
    <x v="0"/>
    <n v="36.9"/>
    <n v="510.41999999999996"/>
    <m/>
    <x v="0"/>
    <x v="0"/>
    <n v="0"/>
    <n v="0"/>
    <x v="0"/>
    <x v="0"/>
    <m/>
    <x v="0"/>
    <x v="0"/>
    <x v="4"/>
    <x v="0"/>
    <x v="0"/>
    <n v="120"/>
    <n v="2"/>
    <n v="2"/>
    <n v="10"/>
    <x v="1"/>
    <x v="0"/>
    <m/>
    <x v="0"/>
    <n v="42.9"/>
    <x v="0"/>
    <x v="9"/>
    <x v="0"/>
    <x v="0"/>
    <x v="0"/>
  </r>
  <r>
    <x v="1"/>
    <x v="9"/>
    <s v="4949 J"/>
    <x v="128"/>
    <s v="Jilani Poly Stock"/>
    <s v="LDN"/>
    <n v="6"/>
    <n v="10"/>
    <s v="LDN"/>
    <n v="500"/>
    <x v="0"/>
    <n v="2"/>
    <n v="80"/>
    <n v="1.2"/>
    <m/>
    <x v="0"/>
    <n v="78.8"/>
    <n v="505.53"/>
    <m/>
    <x v="0"/>
    <x v="0"/>
    <n v="0"/>
    <n v="0"/>
    <x v="0"/>
    <x v="0"/>
    <m/>
    <x v="0"/>
    <x v="0"/>
    <x v="0"/>
    <x v="0"/>
    <x v="0"/>
    <n v="0"/>
    <n v="0"/>
    <n v="0"/>
    <n v="12"/>
    <x v="1"/>
    <x v="0"/>
    <m/>
    <x v="0"/>
    <n v="84.8"/>
    <x v="0"/>
    <x v="9"/>
    <x v="0"/>
    <x v="0"/>
    <x v="0"/>
  </r>
  <r>
    <x v="0"/>
    <x v="13"/>
    <s v="4940 J"/>
    <x v="128"/>
    <s v="BERGER PAINT LAHORE"/>
    <s v="LDN"/>
    <n v="20"/>
    <s v="-"/>
    <s v="LDN"/>
    <n v="2100"/>
    <x v="0"/>
    <n v="4"/>
    <n v="380.1"/>
    <n v="10"/>
    <n v="3"/>
    <x v="0"/>
    <n v="370.1"/>
    <n v="2171.0600000000004"/>
    <m/>
    <x v="0"/>
    <x v="0"/>
    <n v="0"/>
    <n v="0"/>
    <x v="0"/>
    <x v="0"/>
    <m/>
    <x v="0"/>
    <x v="0"/>
    <x v="0"/>
    <x v="0"/>
    <x v="0"/>
    <n v="0"/>
    <n v="0"/>
    <n v="0"/>
    <n v="12"/>
    <x v="1"/>
    <x v="0"/>
    <m/>
    <x v="0"/>
    <n v="376.1"/>
    <x v="0"/>
    <x v="9"/>
    <x v="0"/>
    <x v="0"/>
    <x v="0"/>
  </r>
  <r>
    <x v="1"/>
    <x v="13"/>
    <s v="4939 J"/>
    <x v="128"/>
    <s v="Khalid Printers LHR"/>
    <s v="LDN"/>
    <n v="20"/>
    <s v="7.5-8"/>
    <s v="LDN"/>
    <n v="160"/>
    <x v="0"/>
    <n v="2"/>
    <n v="156.69999999999999"/>
    <n v="4.8"/>
    <m/>
    <x v="0"/>
    <n v="151.89999999999998"/>
    <n v="320.97999999999996"/>
    <m/>
    <x v="0"/>
    <x v="0"/>
    <n v="0"/>
    <n v="0"/>
    <x v="0"/>
    <x v="0"/>
    <m/>
    <x v="0"/>
    <x v="0"/>
    <x v="4"/>
    <x v="0"/>
    <x v="0"/>
    <n v="120"/>
    <n v="2"/>
    <n v="2"/>
    <n v="10"/>
    <x v="1"/>
    <x v="0"/>
    <m/>
    <x v="0"/>
    <n v="157.89999999999998"/>
    <x v="0"/>
    <x v="9"/>
    <x v="0"/>
    <x v="0"/>
    <x v="0"/>
  </r>
  <r>
    <x v="1"/>
    <x v="13"/>
    <s v="4940 J"/>
    <x v="128"/>
    <s v="BERGER PAINT LAHORE"/>
    <s v="LDN"/>
    <n v="20"/>
    <s v="-"/>
    <s v="LDN"/>
    <n v="2100"/>
    <x v="0"/>
    <n v="2"/>
    <n v="193"/>
    <n v="5"/>
    <m/>
    <x v="0"/>
    <n v="188"/>
    <n v="2171.0600000000004"/>
    <m/>
    <x v="0"/>
    <x v="0"/>
    <n v="0"/>
    <n v="0"/>
    <x v="0"/>
    <x v="0"/>
    <m/>
    <x v="0"/>
    <x v="0"/>
    <x v="0"/>
    <x v="0"/>
    <x v="0"/>
    <n v="0"/>
    <n v="0"/>
    <n v="0"/>
    <n v="12"/>
    <x v="1"/>
    <x v="0"/>
    <m/>
    <x v="0"/>
    <n v="194"/>
    <x v="0"/>
    <x v="9"/>
    <x v="0"/>
    <x v="0"/>
    <x v="0"/>
  </r>
  <r>
    <x v="0"/>
    <x v="12"/>
    <s v="4833 J"/>
    <x v="128"/>
    <s v="Waqas Wollan Mills Gujranwala"/>
    <s v="LD بلو"/>
    <n v="16"/>
    <s v="10-10.5"/>
    <s v="LDM"/>
    <n v="100"/>
    <x v="0"/>
    <n v="2"/>
    <n v="107.6"/>
    <n v="4"/>
    <n v="9"/>
    <x v="0"/>
    <n v="103.6"/>
    <n v="103.6"/>
    <n v="4"/>
    <x v="0"/>
    <x v="0"/>
    <n v="4"/>
    <n v="6.6666666666666666E-2"/>
    <x v="0"/>
    <x v="0"/>
    <m/>
    <x v="0"/>
    <x v="0"/>
    <x v="0"/>
    <x v="0"/>
    <x v="0"/>
    <n v="0"/>
    <n v="0"/>
    <n v="6.6666666666666666E-2"/>
    <n v="11.933333333333334"/>
    <x v="1"/>
    <x v="0"/>
    <m/>
    <x v="0"/>
    <n v="109.6"/>
    <x v="0"/>
    <x v="9"/>
    <x v="0"/>
    <x v="0"/>
    <x v="0"/>
  </r>
  <r>
    <x v="0"/>
    <x v="12"/>
    <s v="4840 J"/>
    <x v="128"/>
    <s v="Waqas Wollan Mills Gujranwala"/>
    <s v="LD بلو"/>
    <n v="16"/>
    <s v="10-10.5"/>
    <s v="LDM"/>
    <n v="100"/>
    <x v="0"/>
    <n v="2"/>
    <n v="108.4"/>
    <n v="4.05"/>
    <m/>
    <x v="0"/>
    <n v="104.35000000000001"/>
    <n v="104.35000000000001"/>
    <n v="3"/>
    <x v="0"/>
    <x v="0"/>
    <n v="3"/>
    <n v="0.05"/>
    <x v="0"/>
    <x v="0"/>
    <m/>
    <x v="0"/>
    <x v="0"/>
    <x v="0"/>
    <x v="0"/>
    <x v="0"/>
    <n v="0"/>
    <n v="0"/>
    <n v="0.05"/>
    <n v="11.95"/>
    <x v="1"/>
    <x v="0"/>
    <m/>
    <x v="0"/>
    <n v="110.35000000000001"/>
    <x v="0"/>
    <x v="9"/>
    <x v="0"/>
    <x v="0"/>
    <x v="0"/>
  </r>
  <r>
    <x v="0"/>
    <x v="12"/>
    <s v="4834 J"/>
    <x v="128"/>
    <s v="Waqas Wollan Mills Gujranwala"/>
    <s v="LD بلو"/>
    <n v="16"/>
    <s v="10-10.5"/>
    <s v="LDM"/>
    <n v="100"/>
    <x v="0"/>
    <n v="2"/>
    <n v="104.30000000000001"/>
    <n v="4"/>
    <m/>
    <x v="0"/>
    <n v="100.30000000000001"/>
    <n v="100.30000000000001"/>
    <m/>
    <x v="0"/>
    <x v="0"/>
    <n v="0"/>
    <n v="0"/>
    <x v="0"/>
    <x v="0"/>
    <m/>
    <x v="0"/>
    <x v="0"/>
    <x v="0"/>
    <x v="0"/>
    <x v="0"/>
    <n v="0"/>
    <n v="0"/>
    <n v="0"/>
    <n v="12"/>
    <x v="1"/>
    <x v="0"/>
    <m/>
    <x v="0"/>
    <n v="106.30000000000001"/>
    <x v="0"/>
    <x v="9"/>
    <x v="0"/>
    <x v="0"/>
    <x v="0"/>
  </r>
  <r>
    <x v="0"/>
    <x v="12"/>
    <s v="4835 J"/>
    <x v="128"/>
    <s v="Waqas Wollan Mills Gujranwala"/>
    <s v="LD بلو"/>
    <n v="18"/>
    <s v="10-10.5"/>
    <s v="LDM"/>
    <n v="100"/>
    <x v="0"/>
    <n v="2"/>
    <n v="114"/>
    <n v="4.8"/>
    <m/>
    <x v="0"/>
    <n v="109.2"/>
    <n v="109.2"/>
    <m/>
    <x v="0"/>
    <x v="0"/>
    <n v="0"/>
    <n v="0"/>
    <x v="0"/>
    <x v="0"/>
    <m/>
    <x v="0"/>
    <x v="0"/>
    <x v="0"/>
    <x v="0"/>
    <x v="0"/>
    <n v="0"/>
    <n v="0"/>
    <n v="0"/>
    <n v="12"/>
    <x v="1"/>
    <x v="0"/>
    <m/>
    <x v="0"/>
    <n v="115.2"/>
    <x v="0"/>
    <x v="9"/>
    <x v="0"/>
    <x v="0"/>
    <x v="0"/>
  </r>
  <r>
    <x v="1"/>
    <x v="12"/>
    <s v="4831 J"/>
    <x v="128"/>
    <s v="Waqas Wollan Mills Gujranwala"/>
    <s v="LD بلو"/>
    <n v="12"/>
    <s v="8-8.5"/>
    <s v="LDM"/>
    <n v="100"/>
    <x v="0"/>
    <n v="2"/>
    <n v="100.2"/>
    <n v="2.9"/>
    <m/>
    <x v="0"/>
    <n v="97.3"/>
    <n v="97.3"/>
    <m/>
    <x v="0"/>
    <x v="0"/>
    <n v="0"/>
    <n v="0"/>
    <x v="0"/>
    <x v="0"/>
    <m/>
    <x v="0"/>
    <x v="0"/>
    <x v="4"/>
    <x v="0"/>
    <x v="0"/>
    <n v="120"/>
    <n v="2"/>
    <n v="2"/>
    <n v="10"/>
    <x v="1"/>
    <x v="0"/>
    <m/>
    <x v="0"/>
    <n v="103.3"/>
    <x v="0"/>
    <x v="9"/>
    <x v="0"/>
    <x v="0"/>
    <x v="0"/>
  </r>
  <r>
    <x v="1"/>
    <x v="12"/>
    <s v="4832 J"/>
    <x v="128"/>
    <s v="Waqas Wollan Mills Gujranwala"/>
    <s v="LD بلو"/>
    <n v="12"/>
    <s v="8-8.5"/>
    <s v="LDM"/>
    <n v="100"/>
    <x v="0"/>
    <n v="2"/>
    <n v="111.8"/>
    <n v="2.8"/>
    <m/>
    <x v="0"/>
    <n v="109"/>
    <n v="109"/>
    <m/>
    <x v="0"/>
    <x v="0"/>
    <n v="0"/>
    <n v="0"/>
    <x v="0"/>
    <x v="0"/>
    <m/>
    <x v="0"/>
    <x v="0"/>
    <x v="0"/>
    <x v="0"/>
    <x v="0"/>
    <n v="0"/>
    <n v="0"/>
    <n v="0"/>
    <n v="12"/>
    <x v="1"/>
    <x v="0"/>
    <m/>
    <x v="0"/>
    <n v="115"/>
    <x v="0"/>
    <x v="9"/>
    <x v="0"/>
    <x v="0"/>
    <x v="0"/>
  </r>
  <r>
    <x v="1"/>
    <x v="12"/>
    <s v="4838 J"/>
    <x v="128"/>
    <s v="Waqas Wollan Mills Gujranwala"/>
    <s v="LD بلو"/>
    <n v="12"/>
    <s v="10-10.5"/>
    <s v="LDM"/>
    <n v="100"/>
    <x v="0"/>
    <n v="2"/>
    <n v="101.69999999999999"/>
    <n v="2.9"/>
    <m/>
    <x v="0"/>
    <n v="98.799999999999983"/>
    <n v="98.799999999999983"/>
    <m/>
    <x v="0"/>
    <x v="0"/>
    <n v="0"/>
    <n v="0"/>
    <x v="0"/>
    <x v="0"/>
    <m/>
    <x v="0"/>
    <x v="0"/>
    <x v="0"/>
    <x v="0"/>
    <x v="0"/>
    <n v="0"/>
    <n v="0"/>
    <n v="0"/>
    <n v="12"/>
    <x v="1"/>
    <x v="0"/>
    <m/>
    <x v="0"/>
    <n v="104.79999999999998"/>
    <x v="0"/>
    <x v="9"/>
    <x v="0"/>
    <x v="0"/>
    <x v="0"/>
  </r>
  <r>
    <x v="0"/>
    <x v="14"/>
    <s v="4743 J"/>
    <x v="128"/>
    <s v="Service Industry Gujrat"/>
    <s v="LDM"/>
    <s v="432 MM"/>
    <s v="-"/>
    <s v="LDM"/>
    <n v="600"/>
    <x v="0"/>
    <n v="4"/>
    <n v="211.18"/>
    <n v="8.8000000000000007"/>
    <n v="43"/>
    <x v="0"/>
    <n v="202.38"/>
    <n v="927.56"/>
    <n v="40"/>
    <x v="0"/>
    <x v="0"/>
    <n v="40"/>
    <n v="0.66666666666666663"/>
    <x v="0"/>
    <x v="0"/>
    <m/>
    <x v="0"/>
    <x v="0"/>
    <x v="0"/>
    <x v="0"/>
    <x v="0"/>
    <n v="0"/>
    <n v="0"/>
    <n v="0.66666666666666663"/>
    <n v="11.333333333333334"/>
    <x v="1"/>
    <x v="0"/>
    <m/>
    <x v="0"/>
    <n v="208.38"/>
    <x v="0"/>
    <x v="9"/>
    <x v="0"/>
    <x v="0"/>
    <x v="0"/>
  </r>
  <r>
    <x v="0"/>
    <x v="14"/>
    <s v="4744 J"/>
    <x v="128"/>
    <s v="Service Industry Gujrat"/>
    <s v="LDM"/>
    <s v="432 MM"/>
    <s v="-"/>
    <s v="LDM"/>
    <n v="150"/>
    <x v="0"/>
    <n v="4"/>
    <n v="168.3"/>
    <n v="7.8"/>
    <m/>
    <x v="0"/>
    <n v="160.5"/>
    <n v="160.5"/>
    <m/>
    <x v="0"/>
    <x v="0"/>
    <n v="0"/>
    <n v="0"/>
    <x v="0"/>
    <x v="0"/>
    <m/>
    <x v="0"/>
    <x v="0"/>
    <x v="0"/>
    <x v="0"/>
    <x v="0"/>
    <n v="0"/>
    <n v="0"/>
    <n v="0"/>
    <n v="12"/>
    <x v="1"/>
    <x v="0"/>
    <m/>
    <x v="0"/>
    <n v="166.5"/>
    <x v="0"/>
    <x v="9"/>
    <x v="0"/>
    <x v="0"/>
    <x v="0"/>
  </r>
  <r>
    <x v="1"/>
    <x v="14"/>
    <s v="4657 J"/>
    <x v="128"/>
    <s v="Service Industry Gujrat"/>
    <s v="LD سی گرین"/>
    <s v="428 MM"/>
    <s v="-"/>
    <s v="LDM"/>
    <n v="300"/>
    <x v="0"/>
    <n v="6"/>
    <n v="310.89999999999998"/>
    <n v="13.200000000000001"/>
    <n v="63.8"/>
    <x v="0"/>
    <n v="297.7"/>
    <n v="297.7"/>
    <n v="40"/>
    <x v="0"/>
    <x v="0"/>
    <n v="40"/>
    <n v="0.66666666666666663"/>
    <x v="0"/>
    <x v="0"/>
    <m/>
    <x v="0"/>
    <x v="0"/>
    <x v="4"/>
    <x v="0"/>
    <x v="0"/>
    <n v="120"/>
    <n v="2"/>
    <n v="2.6666666666666665"/>
    <n v="9.3333333333333339"/>
    <x v="1"/>
    <x v="0"/>
    <m/>
    <x v="0"/>
    <n v="303.7"/>
    <x v="0"/>
    <x v="9"/>
    <x v="0"/>
    <x v="0"/>
    <x v="0"/>
  </r>
  <r>
    <x v="0"/>
    <x v="15"/>
    <s v="2330 F"/>
    <x v="128"/>
    <s v="Usman Amin"/>
    <s v="LDN"/>
    <n v="25"/>
    <s v="8"/>
    <s v="LDN"/>
    <n v="70"/>
    <x v="0"/>
    <n v="1"/>
    <n v="81"/>
    <n v="3"/>
    <n v="3.4"/>
    <x v="0"/>
    <n v="78"/>
    <n v="78"/>
    <m/>
    <x v="0"/>
    <x v="0"/>
    <n v="0"/>
    <n v="0"/>
    <x v="0"/>
    <x v="0"/>
    <m/>
    <x v="0"/>
    <x v="0"/>
    <x v="0"/>
    <x v="0"/>
    <x v="0"/>
    <n v="0"/>
    <n v="0"/>
    <n v="0"/>
    <n v="12"/>
    <x v="1"/>
    <x v="0"/>
    <m/>
    <x v="0"/>
    <n v="84"/>
    <x v="0"/>
    <x v="9"/>
    <x v="0"/>
    <x v="0"/>
    <x v="0"/>
  </r>
  <r>
    <x v="0"/>
    <x v="15"/>
    <s v="2320 F"/>
    <x v="128"/>
    <s v="Usman Amin"/>
    <s v="LDN"/>
    <n v="16"/>
    <s v="5-5.5"/>
    <s v="LDN"/>
    <n v="70"/>
    <x v="0"/>
    <n v="5"/>
    <n v="232.05"/>
    <n v="9.1999999999999993"/>
    <m/>
    <x v="0"/>
    <n v="222.85000000000002"/>
    <n v="253.55"/>
    <m/>
    <x v="0"/>
    <x v="0"/>
    <n v="0"/>
    <n v="0"/>
    <x v="0"/>
    <x v="0"/>
    <m/>
    <x v="0"/>
    <x v="0"/>
    <x v="0"/>
    <x v="0"/>
    <x v="0"/>
    <n v="0"/>
    <n v="0"/>
    <n v="0"/>
    <n v="12"/>
    <x v="1"/>
    <x v="0"/>
    <m/>
    <x v="0"/>
    <n v="228.85000000000002"/>
    <x v="0"/>
    <x v="9"/>
    <x v="0"/>
    <x v="0"/>
    <x v="0"/>
  </r>
  <r>
    <x v="1"/>
    <x v="15"/>
    <s v="2320 F"/>
    <x v="128"/>
    <s v="Usman Amin"/>
    <s v="LDN"/>
    <n v="16"/>
    <s v="5-5.5"/>
    <s v="LDN"/>
    <n v="70"/>
    <x v="0"/>
    <n v="1"/>
    <n v="32.6"/>
    <n v="1.9"/>
    <m/>
    <x v="0"/>
    <n v="30.700000000000003"/>
    <n v="253.55"/>
    <m/>
    <x v="0"/>
    <x v="0"/>
    <n v="0"/>
    <n v="0"/>
    <x v="0"/>
    <x v="0"/>
    <m/>
    <x v="0"/>
    <x v="0"/>
    <x v="4"/>
    <x v="0"/>
    <x v="0"/>
    <n v="120"/>
    <n v="2"/>
    <n v="2"/>
    <n v="10"/>
    <x v="1"/>
    <x v="0"/>
    <m/>
    <x v="0"/>
    <n v="36.700000000000003"/>
    <x v="0"/>
    <x v="9"/>
    <x v="0"/>
    <x v="0"/>
    <x v="0"/>
  </r>
  <r>
    <x v="1"/>
    <x v="15"/>
    <s v="2334 F"/>
    <x v="128"/>
    <s v="Usman Amin"/>
    <s v="LDN"/>
    <n v="16"/>
    <s v="7-7.5"/>
    <s v="LDN"/>
    <n v="50"/>
    <x v="0"/>
    <n v="2"/>
    <n v="102.55"/>
    <n v="3.8"/>
    <m/>
    <x v="0"/>
    <n v="98.75"/>
    <n v="98.75"/>
    <m/>
    <x v="0"/>
    <x v="0"/>
    <n v="0"/>
    <n v="0"/>
    <x v="0"/>
    <x v="0"/>
    <m/>
    <x v="0"/>
    <x v="0"/>
    <x v="0"/>
    <x v="0"/>
    <x v="0"/>
    <n v="0"/>
    <n v="0"/>
    <n v="0"/>
    <n v="12"/>
    <x v="1"/>
    <x v="0"/>
    <m/>
    <x v="0"/>
    <n v="104.75"/>
    <x v="0"/>
    <x v="9"/>
    <x v="0"/>
    <x v="0"/>
    <x v="0"/>
  </r>
  <r>
    <x v="1"/>
    <x v="15"/>
    <s v="2326 F"/>
    <x v="128"/>
    <s v="Usman Amin"/>
    <s v="LDN"/>
    <n v="16"/>
    <s v="7-7.5"/>
    <s v="LDN"/>
    <n v="100"/>
    <x v="0"/>
    <n v="2"/>
    <n v="106.9"/>
    <n v="3.8"/>
    <m/>
    <x v="0"/>
    <n v="103.10000000000001"/>
    <n v="103.10000000000001"/>
    <m/>
    <x v="0"/>
    <x v="0"/>
    <n v="0"/>
    <n v="0"/>
    <x v="0"/>
    <x v="0"/>
    <m/>
    <x v="0"/>
    <x v="0"/>
    <x v="0"/>
    <x v="0"/>
    <x v="0"/>
    <n v="0"/>
    <n v="0"/>
    <n v="0"/>
    <n v="12"/>
    <x v="1"/>
    <x v="0"/>
    <m/>
    <x v="0"/>
    <n v="109.10000000000001"/>
    <x v="0"/>
    <x v="9"/>
    <x v="0"/>
    <x v="0"/>
    <x v="0"/>
  </r>
  <r>
    <x v="1"/>
    <x v="15"/>
    <s v="2339 F"/>
    <x v="128"/>
    <s v="Usman Amin"/>
    <s v="LDN"/>
    <n v="17"/>
    <s v="5-5.5"/>
    <s v="LDN"/>
    <n v="25"/>
    <x v="0"/>
    <n v="1"/>
    <n v="34.700000000000003"/>
    <n v="2.2000000000000002"/>
    <m/>
    <x v="0"/>
    <n v="32.5"/>
    <n v="32.5"/>
    <m/>
    <x v="0"/>
    <x v="0"/>
    <n v="0"/>
    <n v="0"/>
    <x v="0"/>
    <x v="0"/>
    <m/>
    <x v="0"/>
    <x v="0"/>
    <x v="0"/>
    <x v="0"/>
    <x v="0"/>
    <n v="0"/>
    <n v="0"/>
    <n v="0"/>
    <n v="12"/>
    <x v="1"/>
    <x v="0"/>
    <m/>
    <x v="0"/>
    <n v="38.5"/>
    <x v="0"/>
    <x v="9"/>
    <x v="0"/>
    <x v="0"/>
    <x v="0"/>
  </r>
  <r>
    <x v="1"/>
    <x v="16"/>
    <m/>
    <x v="129"/>
    <s v="A+B SHIFT ALL MACHINES OFF"/>
    <m/>
    <m/>
    <m/>
    <m/>
    <m/>
    <x v="0"/>
    <m/>
    <m/>
    <m/>
    <m/>
    <x v="0"/>
    <n v="0"/>
    <n v="0"/>
    <m/>
    <x v="0"/>
    <x v="0"/>
    <n v="0"/>
    <n v="0"/>
    <x v="0"/>
    <x v="0"/>
    <m/>
    <x v="0"/>
    <x v="0"/>
    <x v="0"/>
    <x v="0"/>
    <x v="0"/>
    <n v="0"/>
    <n v="0"/>
    <n v="0"/>
    <n v="12"/>
    <x v="1"/>
    <x v="0"/>
    <n v="1934"/>
    <x v="0"/>
    <n v="6"/>
    <x v="1"/>
    <x v="9"/>
    <x v="0"/>
    <x v="0"/>
    <x v="0"/>
  </r>
  <r>
    <x v="0"/>
    <x v="8"/>
    <s v="4950 J"/>
    <x v="130"/>
    <s v="Jilani Poly Stock"/>
    <s v="LDN"/>
    <n v="7"/>
    <n v="10"/>
    <s v="LDN"/>
    <n v="500"/>
    <x v="0"/>
    <n v="2"/>
    <n v="105.2"/>
    <n v="1.6"/>
    <n v="4.5"/>
    <x v="0"/>
    <n v="103.60000000000001"/>
    <n v="491.06000000000006"/>
    <n v="2"/>
    <x v="0"/>
    <x v="2"/>
    <n v="182"/>
    <n v="3.0333333333333332"/>
    <x v="0"/>
    <x v="0"/>
    <m/>
    <x v="0"/>
    <x v="0"/>
    <x v="0"/>
    <x v="0"/>
    <x v="0"/>
    <n v="0"/>
    <n v="0"/>
    <n v="3.0333333333333332"/>
    <n v="8.9666666666666668"/>
    <x v="1"/>
    <x v="0"/>
    <m/>
    <x v="0"/>
    <n v="150"/>
    <x v="0"/>
    <x v="10"/>
    <x v="0"/>
    <x v="0"/>
    <x v="0"/>
  </r>
  <r>
    <x v="1"/>
    <x v="8"/>
    <s v="4925 J"/>
    <x v="130"/>
    <s v="Abu Baker Butt Lahore"/>
    <s v="LDN"/>
    <n v="8.5"/>
    <s v="8.5-9"/>
    <s v="LDN"/>
    <n v="2000"/>
    <x v="0"/>
    <n v="4"/>
    <n v="211.57999999999998"/>
    <n v="3.2"/>
    <m/>
    <x v="0"/>
    <n v="208.38"/>
    <n v="2075.8900000000003"/>
    <m/>
    <x v="0"/>
    <x v="0"/>
    <n v="0"/>
    <n v="0"/>
    <x v="0"/>
    <x v="0"/>
    <m/>
    <x v="0"/>
    <x v="0"/>
    <x v="0"/>
    <x v="0"/>
    <x v="0"/>
    <n v="0"/>
    <n v="0"/>
    <n v="0"/>
    <n v="12"/>
    <x v="1"/>
    <x v="0"/>
    <m/>
    <x v="0"/>
    <n v="200"/>
    <x v="0"/>
    <x v="10"/>
    <x v="0"/>
    <x v="0"/>
    <x v="0"/>
  </r>
  <r>
    <x v="0"/>
    <x v="9"/>
    <s v="4949 J"/>
    <x v="130"/>
    <s v="Jilani Poly Stock"/>
    <s v="LDN"/>
    <n v="6"/>
    <n v="10"/>
    <s v="LDN"/>
    <n v="500"/>
    <x v="0"/>
    <n v="3"/>
    <n v="132.19999999999999"/>
    <n v="2.0999999999999996"/>
    <n v="6"/>
    <x v="0"/>
    <n v="130.1"/>
    <n v="505.53"/>
    <m/>
    <x v="0"/>
    <x v="2"/>
    <n v="180"/>
    <n v="3"/>
    <x v="0"/>
    <x v="0"/>
    <m/>
    <x v="0"/>
    <x v="0"/>
    <x v="0"/>
    <x v="0"/>
    <x v="0"/>
    <n v="0"/>
    <n v="0"/>
    <n v="3"/>
    <n v="9"/>
    <x v="1"/>
    <x v="0"/>
    <m/>
    <x v="0"/>
    <n v="75.39"/>
    <x v="0"/>
    <x v="10"/>
    <x v="0"/>
    <x v="0"/>
    <x v="0"/>
  </r>
  <r>
    <x v="1"/>
    <x v="9"/>
    <s v="4949 J"/>
    <x v="130"/>
    <s v="Jilani Poly Stock"/>
    <s v="LDN"/>
    <n v="6"/>
    <n v="10"/>
    <s v="LDN"/>
    <n v="500"/>
    <x v="0"/>
    <n v="5"/>
    <n v="195.02999999999997"/>
    <n v="3"/>
    <m/>
    <x v="0"/>
    <n v="192.02999999999997"/>
    <n v="505.53"/>
    <m/>
    <x v="0"/>
    <x v="0"/>
    <n v="0"/>
    <n v="0"/>
    <x v="0"/>
    <x v="0"/>
    <m/>
    <x v="0"/>
    <x v="0"/>
    <x v="0"/>
    <x v="0"/>
    <x v="0"/>
    <n v="0"/>
    <n v="0"/>
    <n v="0"/>
    <n v="12"/>
    <x v="1"/>
    <x v="0"/>
    <m/>
    <x v="0"/>
    <n v="75.39"/>
    <x v="0"/>
    <x v="10"/>
    <x v="0"/>
    <x v="0"/>
    <x v="0"/>
  </r>
  <r>
    <x v="0"/>
    <x v="10"/>
    <s v="2807/1"/>
    <x v="130"/>
    <s v="PT-01"/>
    <s v="LD سرخ"/>
    <n v="6"/>
    <n v="80"/>
    <s v="LD سرخ"/>
    <n v="2500"/>
    <x v="0"/>
    <n v="4"/>
    <n v="118.56"/>
    <n v="2.4"/>
    <n v="10.1"/>
    <x v="0"/>
    <n v="116.16"/>
    <n v="5041.09"/>
    <m/>
    <x v="0"/>
    <x v="2"/>
    <n v="180"/>
    <n v="3"/>
    <x v="0"/>
    <x v="0"/>
    <m/>
    <x v="0"/>
    <x v="0"/>
    <x v="0"/>
    <x v="0"/>
    <x v="0"/>
    <n v="0"/>
    <n v="0"/>
    <n v="3"/>
    <n v="9"/>
    <x v="1"/>
    <x v="0"/>
    <m/>
    <x v="0"/>
    <n v="250"/>
    <x v="0"/>
    <x v="10"/>
    <x v="0"/>
    <x v="0"/>
    <x v="0"/>
  </r>
  <r>
    <x v="1"/>
    <x v="10"/>
    <s v="2807/1"/>
    <x v="130"/>
    <s v="PT-01"/>
    <s v="LD سرخ"/>
    <n v="6"/>
    <n v="80"/>
    <s v="LD سرخ"/>
    <n v="2500"/>
    <x v="0"/>
    <n v="9"/>
    <n v="281.2"/>
    <n v="8.1"/>
    <n v="10"/>
    <x v="0"/>
    <n v="273.09999999999997"/>
    <n v="5041.09"/>
    <m/>
    <x v="0"/>
    <x v="0"/>
    <n v="0"/>
    <n v="0"/>
    <x v="0"/>
    <x v="0"/>
    <m/>
    <x v="0"/>
    <x v="0"/>
    <x v="0"/>
    <x v="0"/>
    <x v="0"/>
    <n v="0"/>
    <n v="0"/>
    <n v="0"/>
    <n v="12"/>
    <x v="1"/>
    <x v="0"/>
    <m/>
    <x v="0"/>
    <n v="280"/>
    <x v="0"/>
    <x v="10"/>
    <x v="0"/>
    <x v="0"/>
    <x v="0"/>
  </r>
  <r>
    <x v="0"/>
    <x v="13"/>
    <s v="2804/1"/>
    <x v="130"/>
    <s v="MATCO FOOD"/>
    <s v="LDN"/>
    <n v="23"/>
    <s v="70±1"/>
    <s v="LDN"/>
    <n v="4900"/>
    <x v="0"/>
    <n v="3"/>
    <n v="307.60000000000002"/>
    <n v="13.799999999999999"/>
    <n v="7"/>
    <x v="0"/>
    <n v="293.8"/>
    <n v="5092.7000000000007"/>
    <n v="3"/>
    <x v="0"/>
    <x v="2"/>
    <n v="183"/>
    <n v="3.05"/>
    <x v="0"/>
    <x v="0"/>
    <m/>
    <x v="0"/>
    <x v="0"/>
    <x v="0"/>
    <x v="0"/>
    <x v="0"/>
    <n v="0"/>
    <n v="0"/>
    <n v="3.05"/>
    <n v="8.9499999999999993"/>
    <x v="1"/>
    <x v="0"/>
    <m/>
    <x v="0"/>
    <n v="350"/>
    <x v="0"/>
    <x v="10"/>
    <x v="0"/>
    <x v="0"/>
    <x v="0"/>
  </r>
  <r>
    <x v="1"/>
    <x v="13"/>
    <s v="4940 J"/>
    <x v="130"/>
    <s v="BERGER PAINT LAHORE"/>
    <s v="LDN"/>
    <n v="20"/>
    <s v="-"/>
    <s v="LDN"/>
    <n v="2100"/>
    <x v="0"/>
    <n v="6"/>
    <n v="492.70000000000005"/>
    <n v="12"/>
    <m/>
    <x v="0"/>
    <n v="480.70000000000005"/>
    <n v="2171.0600000000004"/>
    <m/>
    <x v="0"/>
    <x v="0"/>
    <n v="0"/>
    <n v="0"/>
    <x v="0"/>
    <x v="0"/>
    <m/>
    <x v="0"/>
    <x v="0"/>
    <x v="0"/>
    <x v="0"/>
    <x v="0"/>
    <n v="0"/>
    <n v="0"/>
    <n v="0"/>
    <n v="12"/>
    <x v="1"/>
    <x v="0"/>
    <m/>
    <x v="0"/>
    <n v="400"/>
    <x v="0"/>
    <x v="10"/>
    <x v="0"/>
    <x v="0"/>
    <x v="0"/>
  </r>
  <r>
    <x v="0"/>
    <x v="12"/>
    <s v="PACKING"/>
    <x v="130"/>
    <s v="-"/>
    <m/>
    <n v="30"/>
    <m/>
    <m/>
    <m/>
    <x v="0"/>
    <n v="1"/>
    <n v="108.4"/>
    <n v="0.3"/>
    <n v="25.6"/>
    <x v="0"/>
    <n v="108.10000000000001"/>
    <n v="2074.5"/>
    <n v="5"/>
    <x v="0"/>
    <x v="3"/>
    <n v="245"/>
    <n v="4.083333333333333"/>
    <x v="0"/>
    <x v="0"/>
    <m/>
    <x v="0"/>
    <x v="0"/>
    <x v="0"/>
    <x v="0"/>
    <x v="0"/>
    <n v="0"/>
    <n v="0"/>
    <n v="4.083333333333333"/>
    <n v="7.916666666666667"/>
    <x v="1"/>
    <x v="0"/>
    <m/>
    <x v="0"/>
    <n v="200"/>
    <x v="0"/>
    <x v="10"/>
    <x v="0"/>
    <x v="0"/>
    <x v="0"/>
  </r>
  <r>
    <x v="0"/>
    <x v="12"/>
    <s v="4844 J"/>
    <x v="130"/>
    <s v="Waqas Wollan Mills Gujranwala"/>
    <s v="LD بلو"/>
    <n v="14"/>
    <s v="10-10.5"/>
    <s v="LDM"/>
    <n v="100"/>
    <x v="0"/>
    <n v="1"/>
    <n v="55.6"/>
    <n v="1.4"/>
    <m/>
    <x v="0"/>
    <n v="54.2"/>
    <n v="101.1"/>
    <m/>
    <x v="0"/>
    <x v="0"/>
    <n v="0"/>
    <n v="0"/>
    <x v="0"/>
    <x v="0"/>
    <m/>
    <x v="0"/>
    <x v="0"/>
    <x v="0"/>
    <x v="0"/>
    <x v="0"/>
    <n v="0"/>
    <n v="0"/>
    <n v="0"/>
    <n v="12"/>
    <x v="1"/>
    <x v="0"/>
    <m/>
    <x v="0"/>
    <m/>
    <x v="0"/>
    <x v="10"/>
    <x v="0"/>
    <x v="0"/>
    <x v="0"/>
  </r>
  <r>
    <x v="1"/>
    <x v="12"/>
    <s v="4844 J"/>
    <x v="130"/>
    <s v="Waqas Wollan Mills Gujranwala"/>
    <s v="LD بلو"/>
    <n v="14"/>
    <s v="10-10.5"/>
    <s v="LDM"/>
    <n v="100"/>
    <x v="0"/>
    <n v="1"/>
    <n v="48.3"/>
    <n v="1.4"/>
    <n v="42.2"/>
    <x v="0"/>
    <n v="46.9"/>
    <n v="101.1"/>
    <n v="5"/>
    <x v="0"/>
    <x v="0"/>
    <n v="5"/>
    <n v="8.3333333333333329E-2"/>
    <x v="0"/>
    <x v="0"/>
    <m/>
    <x v="1"/>
    <x v="0"/>
    <x v="0"/>
    <x v="0"/>
    <x v="0"/>
    <n v="10"/>
    <n v="0.16666666666666666"/>
    <n v="0.25"/>
    <n v="11.75"/>
    <x v="1"/>
    <x v="0"/>
    <m/>
    <x v="0"/>
    <n v="230"/>
    <x v="0"/>
    <x v="10"/>
    <x v="0"/>
    <x v="0"/>
    <x v="0"/>
  </r>
  <r>
    <x v="1"/>
    <x v="12"/>
    <s v="4853 J"/>
    <x v="130"/>
    <s v="Waqas Wollan Mills Gujranwala"/>
    <s v="LD بلو"/>
    <n v="12"/>
    <s v="8-8.5"/>
    <s v="LDM"/>
    <n v="150"/>
    <x v="0"/>
    <n v="3"/>
    <n v="128.9"/>
    <n v="3.5999999999999996"/>
    <m/>
    <x v="0"/>
    <n v="125.30000000000001"/>
    <n v="125.30000000000001"/>
    <n v="5"/>
    <x v="0"/>
    <x v="0"/>
    <n v="5"/>
    <n v="8.3333333333333329E-2"/>
    <x v="0"/>
    <x v="0"/>
    <m/>
    <x v="0"/>
    <x v="0"/>
    <x v="0"/>
    <x v="0"/>
    <x v="0"/>
    <n v="0"/>
    <n v="0"/>
    <n v="8.3333333333333329E-2"/>
    <n v="11.916666666666666"/>
    <x v="1"/>
    <x v="0"/>
    <m/>
    <x v="0"/>
    <m/>
    <x v="0"/>
    <x v="10"/>
    <x v="0"/>
    <x v="0"/>
    <x v="0"/>
  </r>
  <r>
    <x v="1"/>
    <x v="12"/>
    <s v="4843 J"/>
    <x v="130"/>
    <s v="Waqas Wollan Mills Gujranwala"/>
    <s v="LD بلو"/>
    <n v="6"/>
    <s v="8-8.5"/>
    <s v="LDM"/>
    <n v="150"/>
    <x v="0"/>
    <n v="1"/>
    <n v="56.8"/>
    <n v="1.4"/>
    <m/>
    <x v="0"/>
    <n v="55.4"/>
    <n v="178.8"/>
    <m/>
    <x v="0"/>
    <x v="0"/>
    <n v="0"/>
    <n v="0"/>
    <x v="0"/>
    <x v="0"/>
    <m/>
    <x v="0"/>
    <x v="0"/>
    <x v="0"/>
    <x v="0"/>
    <x v="0"/>
    <n v="0"/>
    <n v="0"/>
    <n v="0"/>
    <n v="12"/>
    <x v="1"/>
    <x v="0"/>
    <m/>
    <x v="0"/>
    <m/>
    <x v="0"/>
    <x v="10"/>
    <x v="0"/>
    <x v="0"/>
    <x v="0"/>
  </r>
  <r>
    <x v="0"/>
    <x v="14"/>
    <s v="4787 J"/>
    <x v="130"/>
    <s v="Umer Banghish Afghistan"/>
    <s v="LDM"/>
    <s v="32شیٹ"/>
    <s v="5-5.5/10-11"/>
    <s v="LDM"/>
    <n v="650"/>
    <x v="0"/>
    <n v="4"/>
    <n v="350.59999999999997"/>
    <n v="16.399999999999999"/>
    <n v="31.1"/>
    <x v="0"/>
    <n v="334.2"/>
    <n v="820.09999999999991"/>
    <m/>
    <x v="0"/>
    <x v="3"/>
    <n v="240"/>
    <n v="4"/>
    <x v="0"/>
    <x v="0"/>
    <m/>
    <x v="0"/>
    <x v="0"/>
    <x v="5"/>
    <x v="1"/>
    <x v="0"/>
    <n v="190"/>
    <n v="3.1666666666666665"/>
    <n v="7.1666666666666661"/>
    <n v="4.8333333333333339"/>
    <x v="1"/>
    <x v="0"/>
    <m/>
    <x v="0"/>
    <n v="400"/>
    <x v="0"/>
    <x v="10"/>
    <x v="0"/>
    <x v="0"/>
    <x v="0"/>
  </r>
  <r>
    <x v="1"/>
    <x v="14"/>
    <s v="4787 J"/>
    <x v="130"/>
    <s v="Umer Banghish Afghistan"/>
    <s v="LDM"/>
    <s v="32شیٹ"/>
    <s v="5-5.5/10-11"/>
    <s v="LDM"/>
    <n v="650"/>
    <x v="0"/>
    <n v="6"/>
    <n v="510.5"/>
    <n v="24.599999999999998"/>
    <n v="90"/>
    <x v="0"/>
    <n v="485.9"/>
    <n v="820.09999999999991"/>
    <n v="20"/>
    <x v="0"/>
    <x v="7"/>
    <n v="50"/>
    <n v="0.83333333333333337"/>
    <x v="0"/>
    <x v="0"/>
    <m/>
    <x v="1"/>
    <x v="0"/>
    <x v="0"/>
    <x v="0"/>
    <x v="0"/>
    <n v="10"/>
    <n v="0.16666666666666666"/>
    <n v="1"/>
    <n v="11"/>
    <x v="1"/>
    <x v="0"/>
    <m/>
    <x v="0"/>
    <n v="730"/>
    <x v="0"/>
    <x v="10"/>
    <x v="0"/>
    <x v="0"/>
    <x v="0"/>
  </r>
  <r>
    <x v="1"/>
    <x v="14"/>
    <s v="4788 J"/>
    <x v="130"/>
    <s v="Umer Banghish Afghistan"/>
    <s v="LDM"/>
    <s v="32شیٹ"/>
    <s v="5-5.5/10-11"/>
    <s v="LDM"/>
    <n v="650"/>
    <x v="0"/>
    <n v="2"/>
    <n v="180.60000000000002"/>
    <n v="8.4"/>
    <m/>
    <x v="0"/>
    <n v="172.20000000000002"/>
    <n v="704.9"/>
    <m/>
    <x v="0"/>
    <x v="0"/>
    <n v="0"/>
    <n v="0"/>
    <x v="0"/>
    <x v="0"/>
    <m/>
    <x v="0"/>
    <x v="0"/>
    <x v="0"/>
    <x v="0"/>
    <x v="0"/>
    <n v="0"/>
    <n v="0"/>
    <n v="0"/>
    <n v="12"/>
    <x v="1"/>
    <x v="0"/>
    <m/>
    <x v="0"/>
    <m/>
    <x v="0"/>
    <x v="10"/>
    <x v="0"/>
    <x v="0"/>
    <x v="0"/>
  </r>
  <r>
    <x v="0"/>
    <x v="15"/>
    <s v="2232 F"/>
    <x v="130"/>
    <s v="Usman Amin"/>
    <s v="LDN"/>
    <n v="18"/>
    <s v="5-5.5"/>
    <s v="LDN"/>
    <n v="370"/>
    <x v="0"/>
    <n v="1"/>
    <n v="60.2"/>
    <n v="3.4"/>
    <n v="36"/>
    <x v="0"/>
    <n v="56.800000000000004"/>
    <n v="190.60000000000002"/>
    <n v="5"/>
    <x v="0"/>
    <x v="3"/>
    <n v="245"/>
    <n v="4.083333333333333"/>
    <x v="0"/>
    <x v="0"/>
    <m/>
    <x v="0"/>
    <x v="0"/>
    <x v="0"/>
    <x v="0"/>
    <x v="0"/>
    <n v="0"/>
    <n v="0"/>
    <n v="4.083333333333333"/>
    <n v="7.916666666666667"/>
    <x v="1"/>
    <x v="0"/>
    <m/>
    <x v="0"/>
    <n v="350"/>
    <x v="0"/>
    <x v="10"/>
    <x v="0"/>
    <x v="0"/>
    <x v="0"/>
  </r>
  <r>
    <x v="0"/>
    <x v="15"/>
    <s v="2340 F"/>
    <x v="130"/>
    <s v="Usman Amin"/>
    <s v="LDN"/>
    <n v="18"/>
    <s v="5-5.5"/>
    <s v="LDN"/>
    <n v="33"/>
    <x v="0"/>
    <n v="1"/>
    <n v="43.2"/>
    <n v="1.9"/>
    <m/>
    <x v="0"/>
    <n v="41.300000000000004"/>
    <n v="41.300000000000004"/>
    <n v="3"/>
    <x v="0"/>
    <x v="0"/>
    <n v="3"/>
    <n v="0.05"/>
    <x v="0"/>
    <x v="0"/>
    <m/>
    <x v="0"/>
    <x v="0"/>
    <x v="0"/>
    <x v="0"/>
    <x v="0"/>
    <n v="0"/>
    <n v="0"/>
    <n v="0.05"/>
    <n v="11.95"/>
    <x v="1"/>
    <x v="0"/>
    <m/>
    <x v="0"/>
    <m/>
    <x v="0"/>
    <x v="10"/>
    <x v="0"/>
    <x v="0"/>
    <x v="0"/>
  </r>
  <r>
    <x v="0"/>
    <x v="15"/>
    <s v="2323 F"/>
    <x v="130"/>
    <s v="Usman Amin"/>
    <s v="LDN"/>
    <n v="19"/>
    <s v="5-5.5"/>
    <s v="LDN"/>
    <n v="275"/>
    <x v="0"/>
    <n v="1"/>
    <n v="35.200000000000003"/>
    <n v="1.9"/>
    <m/>
    <x v="0"/>
    <n v="33.300000000000004"/>
    <n v="302.85000000000002"/>
    <n v="2"/>
    <x v="0"/>
    <x v="0"/>
    <n v="2"/>
    <n v="3.3333333333333333E-2"/>
    <x v="0"/>
    <x v="0"/>
    <m/>
    <x v="0"/>
    <x v="0"/>
    <x v="0"/>
    <x v="0"/>
    <x v="0"/>
    <n v="0"/>
    <n v="0"/>
    <n v="3.3333333333333333E-2"/>
    <n v="11.966666666666667"/>
    <x v="1"/>
    <x v="0"/>
    <m/>
    <x v="0"/>
    <m/>
    <x v="0"/>
    <x v="10"/>
    <x v="0"/>
    <x v="0"/>
    <x v="0"/>
  </r>
  <r>
    <x v="0"/>
    <x v="15"/>
    <s v="2804/1"/>
    <x v="130"/>
    <s v="MATCO FOOD"/>
    <s v="LDN"/>
    <n v="23"/>
    <s v="70±1"/>
    <s v="LDN"/>
    <n v="4900"/>
    <x v="0"/>
    <n v="2"/>
    <n v="164.4"/>
    <n v="4.5999999999999996"/>
    <m/>
    <x v="0"/>
    <n v="159.80000000000001"/>
    <n v="5092.7000000000007"/>
    <m/>
    <x v="0"/>
    <x v="0"/>
    <n v="0"/>
    <n v="0"/>
    <x v="0"/>
    <x v="0"/>
    <m/>
    <x v="0"/>
    <x v="0"/>
    <x v="0"/>
    <x v="0"/>
    <x v="0"/>
    <n v="0"/>
    <n v="0"/>
    <n v="0"/>
    <n v="12"/>
    <x v="1"/>
    <x v="0"/>
    <m/>
    <x v="0"/>
    <m/>
    <x v="0"/>
    <x v="10"/>
    <x v="0"/>
    <x v="0"/>
    <x v="0"/>
  </r>
  <r>
    <x v="1"/>
    <x v="15"/>
    <s v="2323 F"/>
    <x v="130"/>
    <s v="Usman Amin"/>
    <s v="LDN"/>
    <n v="19"/>
    <s v="5-5.5"/>
    <s v="LDN"/>
    <n v="275"/>
    <x v="0"/>
    <n v="6"/>
    <n v="280.95"/>
    <n v="11.399999999999999"/>
    <n v="21"/>
    <x v="0"/>
    <n v="269.55"/>
    <n v="302.85000000000002"/>
    <n v="5"/>
    <x v="0"/>
    <x v="0"/>
    <n v="5"/>
    <n v="8.3333333333333329E-2"/>
    <x v="0"/>
    <x v="0"/>
    <m/>
    <x v="0"/>
    <x v="0"/>
    <x v="0"/>
    <x v="0"/>
    <x v="0"/>
    <n v="0"/>
    <n v="0"/>
    <n v="8.3333333333333329E-2"/>
    <n v="11.916666666666666"/>
    <x v="1"/>
    <x v="0"/>
    <m/>
    <x v="0"/>
    <n v="350"/>
    <x v="0"/>
    <x v="10"/>
    <x v="0"/>
    <x v="0"/>
    <x v="0"/>
  </r>
  <r>
    <x v="1"/>
    <x v="15"/>
    <s v="2336 F"/>
    <x v="130"/>
    <s v="Usman Amin"/>
    <s v="LDN"/>
    <n v="19"/>
    <s v="7"/>
    <s v="LDN"/>
    <n v="75"/>
    <x v="0"/>
    <n v="2"/>
    <n v="81.099999999999994"/>
    <n v="4"/>
    <m/>
    <x v="0"/>
    <n v="77.099999999999994"/>
    <n v="77.099999999999994"/>
    <m/>
    <x v="0"/>
    <x v="0"/>
    <n v="0"/>
    <n v="0"/>
    <x v="0"/>
    <x v="0"/>
    <m/>
    <x v="0"/>
    <x v="0"/>
    <x v="0"/>
    <x v="0"/>
    <x v="0"/>
    <n v="0"/>
    <n v="0"/>
    <n v="0"/>
    <n v="12"/>
    <x v="1"/>
    <x v="0"/>
    <m/>
    <x v="0"/>
    <n v="86.1"/>
    <x v="0"/>
    <x v="10"/>
    <x v="0"/>
    <x v="0"/>
    <x v="0"/>
  </r>
  <r>
    <x v="0"/>
    <x v="8"/>
    <s v="4925 J"/>
    <x v="131"/>
    <s v="Abu Baker Butt Lahore"/>
    <s v="LDN"/>
    <n v="8.5"/>
    <s v="8.5-9"/>
    <s v="LDN"/>
    <n v="2000"/>
    <x v="0"/>
    <n v="3"/>
    <n v="165.7"/>
    <n v="2.7"/>
    <n v="2"/>
    <x v="0"/>
    <n v="163"/>
    <n v="2075.8900000000003"/>
    <m/>
    <x v="0"/>
    <x v="0"/>
    <n v="0"/>
    <n v="0"/>
    <x v="0"/>
    <x v="0"/>
    <m/>
    <x v="0"/>
    <x v="0"/>
    <x v="0"/>
    <x v="0"/>
    <x v="0"/>
    <n v="0"/>
    <n v="0"/>
    <n v="0"/>
    <n v="12"/>
    <x v="1"/>
    <x v="0"/>
    <m/>
    <x v="0"/>
    <n v="170.7"/>
    <x v="0"/>
    <x v="10"/>
    <x v="0"/>
    <x v="0"/>
    <x v="0"/>
  </r>
  <r>
    <x v="1"/>
    <x v="8"/>
    <s v="4925 J"/>
    <x v="131"/>
    <s v="Abu Baker Butt Lahore"/>
    <s v="LDN"/>
    <n v="8.5"/>
    <s v="8.5-9"/>
    <s v="LDN"/>
    <n v="2000"/>
    <x v="0"/>
    <n v="3"/>
    <n v="185.70000000000002"/>
    <n v="3"/>
    <m/>
    <x v="0"/>
    <n v="182.70000000000002"/>
    <n v="2075.8900000000003"/>
    <m/>
    <x v="0"/>
    <x v="0"/>
    <n v="0"/>
    <n v="0"/>
    <x v="0"/>
    <x v="0"/>
    <m/>
    <x v="0"/>
    <x v="0"/>
    <x v="0"/>
    <x v="0"/>
    <x v="0"/>
    <n v="0"/>
    <n v="0"/>
    <n v="0"/>
    <n v="12"/>
    <x v="1"/>
    <x v="0"/>
    <m/>
    <x v="0"/>
    <n v="190.70000000000002"/>
    <x v="0"/>
    <x v="10"/>
    <x v="0"/>
    <x v="0"/>
    <x v="0"/>
  </r>
  <r>
    <x v="0"/>
    <x v="9"/>
    <s v="4949 J"/>
    <x v="131"/>
    <s v="Jilani Poly Stock"/>
    <s v="LDN"/>
    <n v="6"/>
    <n v="10"/>
    <s v="LDN"/>
    <n v="500"/>
    <x v="0"/>
    <n v="2"/>
    <n v="105.9"/>
    <n v="1.2999999999999998"/>
    <n v="3"/>
    <x v="0"/>
    <n v="104.60000000000001"/>
    <n v="505.53"/>
    <n v="5"/>
    <x v="0"/>
    <x v="0"/>
    <n v="5"/>
    <n v="8.3333333333333329E-2"/>
    <x v="0"/>
    <x v="0"/>
    <m/>
    <x v="0"/>
    <x v="0"/>
    <x v="0"/>
    <x v="0"/>
    <x v="0"/>
    <n v="0"/>
    <n v="0"/>
    <n v="8.3333333333333329E-2"/>
    <n v="11.916666666666666"/>
    <x v="1"/>
    <x v="0"/>
    <m/>
    <x v="0"/>
    <n v="75.39"/>
    <x v="0"/>
    <x v="10"/>
    <x v="0"/>
    <x v="0"/>
    <x v="0"/>
  </r>
  <r>
    <x v="0"/>
    <x v="9"/>
    <s v="4923 J"/>
    <x v="131"/>
    <s v="Al Razzaq Printers Lahore"/>
    <s v="LDM"/>
    <n v="7.5"/>
    <s v="17.5-18"/>
    <s v="LDM"/>
    <n v="100"/>
    <x v="0"/>
    <n v="1"/>
    <n v="60.2"/>
    <n v="0.9"/>
    <m/>
    <x v="0"/>
    <n v="59.300000000000004"/>
    <n v="111.76"/>
    <m/>
    <x v="0"/>
    <x v="0"/>
    <n v="0"/>
    <n v="0"/>
    <x v="0"/>
    <x v="0"/>
    <m/>
    <x v="0"/>
    <x v="0"/>
    <x v="0"/>
    <x v="0"/>
    <x v="0"/>
    <n v="0"/>
    <n v="0"/>
    <n v="0"/>
    <n v="12"/>
    <x v="1"/>
    <x v="0"/>
    <m/>
    <x v="0"/>
    <n v="75.39"/>
    <x v="0"/>
    <x v="10"/>
    <x v="0"/>
    <x v="0"/>
    <x v="0"/>
  </r>
  <r>
    <x v="1"/>
    <x v="9"/>
    <s v="4923 J"/>
    <x v="131"/>
    <s v="Al Razzaq Printers Lahore"/>
    <s v="LDM"/>
    <n v="7.5"/>
    <s v="17.5-18"/>
    <s v="LDM"/>
    <n v="100"/>
    <x v="0"/>
    <n v="1"/>
    <n v="53.36"/>
    <n v="0.9"/>
    <n v="39"/>
    <x v="0"/>
    <n v="52.46"/>
    <n v="111.76"/>
    <n v="5"/>
    <x v="0"/>
    <x v="0"/>
    <n v="5"/>
    <n v="8.3333333333333329E-2"/>
    <x v="0"/>
    <x v="2"/>
    <m/>
    <x v="0"/>
    <x v="0"/>
    <x v="0"/>
    <x v="0"/>
    <x v="0"/>
    <n v="20"/>
    <n v="0.33333333333333331"/>
    <n v="0.41666666666666663"/>
    <n v="11.583333333333334"/>
    <x v="1"/>
    <x v="0"/>
    <m/>
    <x v="0"/>
    <n v="75.39"/>
    <x v="0"/>
    <x v="10"/>
    <x v="0"/>
    <x v="0"/>
    <x v="0"/>
  </r>
  <r>
    <x v="1"/>
    <x v="9"/>
    <s v="4967 J"/>
    <x v="131"/>
    <s v="Cakes and Bakes Lahore"/>
    <s v="LDN"/>
    <n v="10"/>
    <s v="10"/>
    <s v="LDN"/>
    <n v="120"/>
    <x v="0"/>
    <n v="2"/>
    <n v="83.18"/>
    <n v="2.4"/>
    <m/>
    <x v="0"/>
    <n v="80.78"/>
    <n v="119.18"/>
    <n v="180"/>
    <x v="0"/>
    <x v="0"/>
    <n v="180"/>
    <n v="3"/>
    <x v="0"/>
    <x v="0"/>
    <m/>
    <x v="0"/>
    <x v="0"/>
    <x v="0"/>
    <x v="0"/>
    <x v="0"/>
    <n v="0"/>
    <n v="0"/>
    <n v="3"/>
    <n v="9"/>
    <x v="1"/>
    <x v="0"/>
    <m/>
    <x v="0"/>
    <n v="75.39"/>
    <x v="0"/>
    <x v="10"/>
    <x v="0"/>
    <x v="0"/>
    <x v="0"/>
  </r>
  <r>
    <x v="0"/>
    <x v="10"/>
    <s v="2807/1"/>
    <x v="131"/>
    <s v="PT-01"/>
    <s v="LD سرخ"/>
    <n v="6"/>
    <n v="80"/>
    <s v="LD سرخ"/>
    <n v="2500"/>
    <x v="0"/>
    <n v="8"/>
    <n v="246.05"/>
    <n v="4.8"/>
    <n v="9.1999999999999993"/>
    <x v="0"/>
    <n v="241.25"/>
    <n v="5041.09"/>
    <m/>
    <x v="0"/>
    <x v="0"/>
    <n v="0"/>
    <n v="0"/>
    <x v="0"/>
    <x v="0"/>
    <m/>
    <x v="0"/>
    <x v="0"/>
    <x v="0"/>
    <x v="0"/>
    <x v="0"/>
    <n v="0"/>
    <n v="0"/>
    <n v="0"/>
    <n v="12"/>
    <x v="1"/>
    <x v="0"/>
    <m/>
    <x v="0"/>
    <n v="251.05"/>
    <x v="0"/>
    <x v="10"/>
    <x v="0"/>
    <x v="0"/>
    <x v="0"/>
  </r>
  <r>
    <x v="1"/>
    <x v="10"/>
    <s v="2807/1"/>
    <x v="131"/>
    <s v="PT-01"/>
    <s v="LD سرخ"/>
    <n v="6"/>
    <n v="80"/>
    <s v="LD سرخ"/>
    <n v="2500"/>
    <x v="0"/>
    <n v="8"/>
    <n v="261"/>
    <n v="4.8"/>
    <n v="8"/>
    <x v="0"/>
    <n v="256.2"/>
    <n v="5041.09"/>
    <m/>
    <x v="0"/>
    <x v="0"/>
    <n v="0"/>
    <n v="0"/>
    <x v="0"/>
    <x v="0"/>
    <m/>
    <x v="0"/>
    <x v="0"/>
    <x v="0"/>
    <x v="0"/>
    <x v="0"/>
    <n v="0"/>
    <n v="0"/>
    <n v="0"/>
    <n v="12"/>
    <x v="1"/>
    <x v="0"/>
    <m/>
    <x v="0"/>
    <n v="266"/>
    <x v="0"/>
    <x v="10"/>
    <x v="0"/>
    <x v="0"/>
    <x v="0"/>
  </r>
  <r>
    <x v="0"/>
    <x v="13"/>
    <s v="4940 J"/>
    <x v="131"/>
    <s v="BERGER PAINT LAHORE"/>
    <s v="LDN"/>
    <n v="20"/>
    <s v="-"/>
    <s v="LDN"/>
    <n v="2100"/>
    <x v="0"/>
    <n v="1"/>
    <n v="67.3"/>
    <n v="2.5"/>
    <n v="9.8000000000000007"/>
    <x v="0"/>
    <n v="64.8"/>
    <n v="2171.0600000000004"/>
    <n v="4"/>
    <x v="0"/>
    <x v="0"/>
    <n v="4"/>
    <n v="6.6666666666666666E-2"/>
    <x v="0"/>
    <x v="0"/>
    <m/>
    <x v="0"/>
    <x v="0"/>
    <x v="0"/>
    <x v="0"/>
    <x v="0"/>
    <n v="0"/>
    <n v="0"/>
    <n v="6.6666666666666666E-2"/>
    <n v="11.933333333333334"/>
    <x v="1"/>
    <x v="0"/>
    <m/>
    <x v="0"/>
    <n v="72.3"/>
    <x v="0"/>
    <x v="10"/>
    <x v="0"/>
    <x v="0"/>
    <x v="0"/>
  </r>
  <r>
    <x v="0"/>
    <x v="13"/>
    <s v="2808/1"/>
    <x v="131"/>
    <s v="MATCO FOOD"/>
    <s v="LDN"/>
    <n v="23"/>
    <s v="70±1"/>
    <s v="LDN"/>
    <n v="3500"/>
    <x v="0"/>
    <n v="2"/>
    <n v="238.1"/>
    <n v="6"/>
    <m/>
    <x v="0"/>
    <n v="232.1"/>
    <n v="3132.53"/>
    <m/>
    <x v="0"/>
    <x v="0"/>
    <n v="0"/>
    <n v="0"/>
    <x v="0"/>
    <x v="0"/>
    <m/>
    <x v="0"/>
    <x v="0"/>
    <x v="0"/>
    <x v="0"/>
    <x v="0"/>
    <n v="0"/>
    <n v="0"/>
    <n v="0"/>
    <n v="12"/>
    <x v="1"/>
    <x v="0"/>
    <m/>
    <x v="0"/>
    <n v="243.1"/>
    <x v="0"/>
    <x v="10"/>
    <x v="0"/>
    <x v="0"/>
    <x v="0"/>
  </r>
  <r>
    <x v="0"/>
    <x v="13"/>
    <s v="4953 J"/>
    <x v="131"/>
    <s v="Liaqat Bhatti Rang Mahal Lahore"/>
    <s v="LDN"/>
    <n v="23"/>
    <s v="9-9.5"/>
    <s v="LDN"/>
    <n v="50"/>
    <x v="0"/>
    <n v="1"/>
    <n v="55.9"/>
    <n v="2.5"/>
    <m/>
    <x v="0"/>
    <n v="53.4"/>
    <n v="53.4"/>
    <m/>
    <x v="0"/>
    <x v="0"/>
    <n v="0"/>
    <n v="0"/>
    <x v="0"/>
    <x v="0"/>
    <m/>
    <x v="0"/>
    <x v="0"/>
    <x v="0"/>
    <x v="0"/>
    <x v="0"/>
    <n v="0"/>
    <n v="0"/>
    <n v="0"/>
    <n v="12"/>
    <x v="1"/>
    <x v="0"/>
    <m/>
    <x v="0"/>
    <n v="60.9"/>
    <x v="0"/>
    <x v="10"/>
    <x v="0"/>
    <x v="0"/>
    <x v="0"/>
  </r>
  <r>
    <x v="0"/>
    <x v="13"/>
    <s v="4954 J"/>
    <x v="131"/>
    <s v="Liaqat Bhatti Rang Mahal Lahore"/>
    <s v="LDN"/>
    <n v="23"/>
    <s v="9-9.5"/>
    <s v="LDN"/>
    <n v="50"/>
    <x v="0"/>
    <n v="1"/>
    <n v="63.8"/>
    <n v="2.5"/>
    <m/>
    <x v="0"/>
    <n v="61.3"/>
    <n v="61.3"/>
    <m/>
    <x v="0"/>
    <x v="0"/>
    <n v="0"/>
    <n v="0"/>
    <x v="0"/>
    <x v="0"/>
    <m/>
    <x v="0"/>
    <x v="0"/>
    <x v="0"/>
    <x v="0"/>
    <x v="0"/>
    <n v="0"/>
    <n v="0"/>
    <n v="0"/>
    <n v="12"/>
    <x v="1"/>
    <x v="0"/>
    <m/>
    <x v="0"/>
    <n v="68.8"/>
    <x v="0"/>
    <x v="10"/>
    <x v="0"/>
    <x v="0"/>
    <x v="0"/>
  </r>
  <r>
    <x v="1"/>
    <x v="13"/>
    <s v="4952 J"/>
    <x v="131"/>
    <s v="Liaqat Bhatti Rang Mahal Lahore"/>
    <s v="LDN"/>
    <n v="25"/>
    <s v="9-9.5"/>
    <s v="LDN"/>
    <n v="100"/>
    <x v="0"/>
    <n v="2"/>
    <n v="123.06"/>
    <n v="6.4"/>
    <n v="9"/>
    <x v="0"/>
    <n v="116.66"/>
    <n v="116.66"/>
    <n v="5"/>
    <x v="0"/>
    <x v="0"/>
    <n v="5"/>
    <n v="8.3333333333333329E-2"/>
    <x v="0"/>
    <x v="0"/>
    <m/>
    <x v="0"/>
    <x v="0"/>
    <x v="0"/>
    <x v="0"/>
    <x v="0"/>
    <n v="0"/>
    <n v="0"/>
    <n v="8.3333333333333329E-2"/>
    <n v="11.916666666666666"/>
    <x v="1"/>
    <x v="0"/>
    <m/>
    <x v="0"/>
    <n v="128.06"/>
    <x v="0"/>
    <x v="10"/>
    <x v="0"/>
    <x v="0"/>
    <x v="0"/>
  </r>
  <r>
    <x v="1"/>
    <x v="13"/>
    <s v="4944 J"/>
    <x v="131"/>
    <s v="Mehboob Plastic Gujranwala"/>
    <s v="LDN"/>
    <n v="15.5"/>
    <s v="8"/>
    <s v="LDN"/>
    <n v="100"/>
    <x v="0"/>
    <n v="2"/>
    <n v="109.03999999999999"/>
    <n v="2.48"/>
    <m/>
    <x v="0"/>
    <n v="106.55999999999999"/>
    <n v="106.55999999999999"/>
    <n v="5"/>
    <x v="0"/>
    <x v="0"/>
    <n v="5"/>
    <n v="8.3333333333333329E-2"/>
    <x v="0"/>
    <x v="0"/>
    <m/>
    <x v="0"/>
    <x v="0"/>
    <x v="0"/>
    <x v="0"/>
    <x v="0"/>
    <n v="0"/>
    <n v="0"/>
    <n v="8.3333333333333329E-2"/>
    <n v="11.916666666666666"/>
    <x v="1"/>
    <x v="0"/>
    <m/>
    <x v="0"/>
    <n v="114.03999999999999"/>
    <x v="0"/>
    <x v="10"/>
    <x v="0"/>
    <x v="0"/>
    <x v="0"/>
  </r>
  <r>
    <x v="1"/>
    <x v="13"/>
    <s v="4943 J"/>
    <x v="131"/>
    <s v="Mehboob Plastic Gujranwala"/>
    <s v="LDN"/>
    <n v="14.5"/>
    <s v="8"/>
    <s v="LDN"/>
    <n v="200"/>
    <x v="0"/>
    <n v="2"/>
    <n v="111.19999999999999"/>
    <n v="3.2"/>
    <m/>
    <x v="0"/>
    <n v="107.99999999999999"/>
    <n v="201.79999999999998"/>
    <m/>
    <x v="0"/>
    <x v="0"/>
    <n v="0"/>
    <n v="0"/>
    <x v="0"/>
    <x v="0"/>
    <m/>
    <x v="0"/>
    <x v="0"/>
    <x v="0"/>
    <x v="0"/>
    <x v="0"/>
    <n v="0"/>
    <n v="0"/>
    <n v="0"/>
    <n v="12"/>
    <x v="1"/>
    <x v="0"/>
    <m/>
    <x v="0"/>
    <n v="116.19999999999999"/>
    <x v="0"/>
    <x v="10"/>
    <x v="0"/>
    <x v="0"/>
    <x v="0"/>
  </r>
  <r>
    <x v="0"/>
    <x v="12"/>
    <s v="4843 J"/>
    <x v="131"/>
    <s v="Waqas Wollan Mills Gujranwala"/>
    <s v="LD بلو"/>
    <n v="6"/>
    <s v="8-8.5"/>
    <s v="LDM"/>
    <n v="150"/>
    <x v="0"/>
    <n v="4"/>
    <n v="126.2"/>
    <n v="2.8"/>
    <n v="13"/>
    <x v="0"/>
    <n v="123.4"/>
    <n v="178.8"/>
    <n v="5"/>
    <x v="0"/>
    <x v="0"/>
    <n v="5"/>
    <n v="8.3333333333333329E-2"/>
    <x v="0"/>
    <x v="0"/>
    <m/>
    <x v="0"/>
    <x v="0"/>
    <x v="0"/>
    <x v="0"/>
    <x v="0"/>
    <n v="0"/>
    <n v="0"/>
    <n v="8.3333333333333329E-2"/>
    <n v="11.916666666666666"/>
    <x v="1"/>
    <x v="0"/>
    <m/>
    <x v="0"/>
    <n v="131.19999999999999"/>
    <x v="0"/>
    <x v="10"/>
    <x v="0"/>
    <x v="0"/>
    <x v="0"/>
  </r>
  <r>
    <x v="0"/>
    <x v="12"/>
    <s v="2805/1"/>
    <x v="131"/>
    <s v="PT-02 (USMAN AMEEN LAHORE)"/>
    <s v="LD BLACK"/>
    <n v="34"/>
    <n v="16"/>
    <s v="LD BLACK"/>
    <n v="1000"/>
    <x v="0"/>
    <n v="4"/>
    <n v="481.4"/>
    <n v="18"/>
    <m/>
    <x v="0"/>
    <n v="463.4"/>
    <n v="980"/>
    <n v="5"/>
    <x v="0"/>
    <x v="0"/>
    <n v="5"/>
    <n v="8.3333333333333329E-2"/>
    <x v="0"/>
    <x v="0"/>
    <m/>
    <x v="0"/>
    <x v="0"/>
    <x v="0"/>
    <x v="0"/>
    <x v="0"/>
    <n v="0"/>
    <n v="0"/>
    <n v="8.3333333333333329E-2"/>
    <n v="11.916666666666666"/>
    <x v="1"/>
    <x v="0"/>
    <m/>
    <x v="0"/>
    <n v="486.4"/>
    <x v="0"/>
    <x v="10"/>
    <x v="0"/>
    <x v="0"/>
    <x v="0"/>
  </r>
  <r>
    <x v="1"/>
    <x v="12"/>
    <s v="2805/1"/>
    <x v="131"/>
    <s v="PT-02 (USMAN AMEEN LAHORE)"/>
    <s v="LD BLACK"/>
    <n v="34"/>
    <n v="16"/>
    <s v="LD BLACK"/>
    <n v="1000"/>
    <x v="0"/>
    <n v="5"/>
    <n v="537.5"/>
    <n v="20.9"/>
    <n v="54.2"/>
    <x v="0"/>
    <n v="516.6"/>
    <n v="980"/>
    <n v="90"/>
    <x v="0"/>
    <x v="0"/>
    <n v="90"/>
    <n v="1.5"/>
    <x v="0"/>
    <x v="0"/>
    <m/>
    <x v="0"/>
    <x v="0"/>
    <x v="0"/>
    <x v="2"/>
    <x v="0"/>
    <n v="50"/>
    <n v="0.83333333333333337"/>
    <n v="2.3333333333333335"/>
    <n v="9.6666666666666661"/>
    <x v="1"/>
    <x v="0"/>
    <m/>
    <x v="0"/>
    <n v="542.5"/>
    <x v="0"/>
    <x v="10"/>
    <x v="0"/>
    <x v="0"/>
    <x v="0"/>
  </r>
  <r>
    <x v="1"/>
    <x v="12"/>
    <s v="PACKING"/>
    <x v="131"/>
    <s v="-"/>
    <m/>
    <n v="30"/>
    <n v="12"/>
    <m/>
    <m/>
    <x v="0"/>
    <n v="1"/>
    <n v="120"/>
    <n v="4.2"/>
    <m/>
    <x v="0"/>
    <n v="115.8"/>
    <n v="2074.5"/>
    <m/>
    <x v="0"/>
    <x v="0"/>
    <n v="0"/>
    <n v="0"/>
    <x v="0"/>
    <x v="0"/>
    <m/>
    <x v="0"/>
    <x v="0"/>
    <x v="0"/>
    <x v="0"/>
    <x v="0"/>
    <n v="0"/>
    <n v="0"/>
    <n v="0"/>
    <n v="12"/>
    <x v="1"/>
    <x v="0"/>
    <m/>
    <x v="0"/>
    <n v="125"/>
    <x v="0"/>
    <x v="10"/>
    <x v="0"/>
    <x v="0"/>
    <x v="0"/>
  </r>
  <r>
    <x v="0"/>
    <x v="14"/>
    <s v="4788 J"/>
    <x v="131"/>
    <s v="Umer Banghish Afghistan"/>
    <s v="LDM"/>
    <s v="32شیٹ"/>
    <s v="5-5.5/10-11"/>
    <s v="LDM"/>
    <n v="650"/>
    <x v="0"/>
    <n v="6"/>
    <n v="557.9"/>
    <n v="25.200000000000003"/>
    <n v="98.4"/>
    <x v="0"/>
    <n v="532.69999999999993"/>
    <n v="704.9"/>
    <n v="15"/>
    <x v="0"/>
    <x v="0"/>
    <n v="15"/>
    <n v="0.25"/>
    <x v="0"/>
    <x v="0"/>
    <m/>
    <x v="0"/>
    <x v="0"/>
    <x v="0"/>
    <x v="0"/>
    <x v="0"/>
    <n v="0"/>
    <n v="0"/>
    <n v="0.25"/>
    <n v="11.75"/>
    <x v="1"/>
    <x v="0"/>
    <m/>
    <x v="0"/>
    <n v="412"/>
    <x v="0"/>
    <x v="10"/>
    <x v="0"/>
    <x v="0"/>
    <x v="0"/>
  </r>
  <r>
    <x v="0"/>
    <x v="14"/>
    <s v="2290 F"/>
    <x v="131"/>
    <s v="Usman Amin"/>
    <s v="LDM"/>
    <s v="39 SHEET"/>
    <s v="7/14"/>
    <s v="LDM"/>
    <n v="125"/>
    <x v="0"/>
    <n v="2"/>
    <n v="146"/>
    <n v="9.8000000000000007"/>
    <m/>
    <x v="0"/>
    <n v="136.19999999999999"/>
    <n v="136.19999999999999"/>
    <n v="10"/>
    <x v="0"/>
    <x v="0"/>
    <n v="10"/>
    <n v="0.16666666666666666"/>
    <x v="0"/>
    <x v="0"/>
    <m/>
    <x v="0"/>
    <x v="0"/>
    <x v="0"/>
    <x v="0"/>
    <x v="0"/>
    <n v="0"/>
    <n v="0"/>
    <n v="0.16666666666666666"/>
    <n v="11.833333333333334"/>
    <x v="1"/>
    <x v="0"/>
    <m/>
    <x v="0"/>
    <n v="151"/>
    <x v="0"/>
    <x v="10"/>
    <x v="0"/>
    <x v="0"/>
    <x v="0"/>
  </r>
  <r>
    <x v="0"/>
    <x v="14"/>
    <s v="4809 J"/>
    <x v="131"/>
    <s v="Parcon Synthetic Pvt LTD Master Foam"/>
    <s v="LDM"/>
    <s v="31+6+6"/>
    <s v="10/20"/>
    <s v="LDM"/>
    <n v="300"/>
    <x v="0"/>
    <n v="6"/>
    <n v="319.88"/>
    <n v="22.799999999999997"/>
    <m/>
    <x v="0"/>
    <n v="297.08"/>
    <n v="636.17999999999995"/>
    <n v="10"/>
    <x v="0"/>
    <x v="0"/>
    <n v="10"/>
    <n v="0.16666666666666666"/>
    <x v="0"/>
    <x v="0"/>
    <m/>
    <x v="0"/>
    <x v="0"/>
    <x v="0"/>
    <x v="0"/>
    <x v="0"/>
    <n v="0"/>
    <n v="0"/>
    <n v="0.16666666666666666"/>
    <n v="11.833333333333334"/>
    <x v="1"/>
    <x v="0"/>
    <m/>
    <x v="0"/>
    <n v="324.88"/>
    <x v="0"/>
    <x v="10"/>
    <x v="0"/>
    <x v="0"/>
    <x v="0"/>
  </r>
  <r>
    <x v="1"/>
    <x v="14"/>
    <s v="4743 J"/>
    <x v="131"/>
    <s v="Service Industry Gujrat"/>
    <s v="LDM"/>
    <s v="432 MM"/>
    <s v="-"/>
    <s v="LDM"/>
    <n v="600"/>
    <x v="0"/>
    <n v="8"/>
    <n v="377.58"/>
    <n v="16"/>
    <n v="39"/>
    <x v="0"/>
    <n v="361.58"/>
    <n v="927.56"/>
    <m/>
    <x v="0"/>
    <x v="0"/>
    <n v="0"/>
    <n v="0"/>
    <x v="0"/>
    <x v="0"/>
    <m/>
    <x v="0"/>
    <x v="0"/>
    <x v="0"/>
    <x v="0"/>
    <x v="0"/>
    <n v="0"/>
    <n v="0"/>
    <n v="0"/>
    <n v="12"/>
    <x v="1"/>
    <x v="0"/>
    <m/>
    <x v="0"/>
    <n v="382.58"/>
    <x v="0"/>
    <x v="10"/>
    <x v="0"/>
    <x v="0"/>
    <x v="0"/>
  </r>
  <r>
    <x v="1"/>
    <x v="14"/>
    <s v="4906 J"/>
    <x v="131"/>
    <s v="Alam Printers Butkhela"/>
    <s v="LDM"/>
    <n v="18"/>
    <s v="14-15"/>
    <s v="LDM"/>
    <n v="100"/>
    <x v="0"/>
    <n v="2"/>
    <n v="105.2"/>
    <n v="3.6"/>
    <m/>
    <x v="0"/>
    <n v="101.60000000000001"/>
    <n v="204.60000000000002"/>
    <m/>
    <x v="0"/>
    <x v="0"/>
    <n v="0"/>
    <n v="0"/>
    <x v="0"/>
    <x v="0"/>
    <m/>
    <x v="0"/>
    <x v="0"/>
    <x v="0"/>
    <x v="0"/>
    <x v="0"/>
    <n v="0"/>
    <n v="0"/>
    <n v="0"/>
    <n v="12"/>
    <x v="1"/>
    <x v="0"/>
    <m/>
    <x v="0"/>
    <n v="110.2"/>
    <x v="0"/>
    <x v="10"/>
    <x v="0"/>
    <x v="0"/>
    <x v="0"/>
  </r>
  <r>
    <x v="0"/>
    <x v="15"/>
    <s v="2335 F"/>
    <x v="131"/>
    <s v="Usman Amin"/>
    <s v="LDN"/>
    <n v="20"/>
    <s v="7-7.5"/>
    <s v="LDN"/>
    <n v="65"/>
    <x v="0"/>
    <n v="2"/>
    <n v="114.30000000000001"/>
    <n v="4"/>
    <n v="27"/>
    <x v="0"/>
    <n v="110.30000000000001"/>
    <n v="110.30000000000001"/>
    <n v="5"/>
    <x v="0"/>
    <x v="0"/>
    <n v="5"/>
    <n v="8.3333333333333329E-2"/>
    <x v="0"/>
    <x v="0"/>
    <m/>
    <x v="0"/>
    <x v="3"/>
    <x v="0"/>
    <x v="0"/>
    <x v="0"/>
    <n v="20"/>
    <n v="0.33333333333333331"/>
    <n v="0.41666666666666663"/>
    <n v="11.583333333333334"/>
    <x v="1"/>
    <x v="0"/>
    <m/>
    <x v="0"/>
    <n v="119.30000000000001"/>
    <x v="0"/>
    <x v="10"/>
    <x v="0"/>
    <x v="0"/>
    <x v="0"/>
  </r>
  <r>
    <x v="0"/>
    <x v="15"/>
    <s v="2331 F"/>
    <x v="131"/>
    <s v="Usman Amin"/>
    <s v="LDN"/>
    <n v="21"/>
    <s v="7-7.5"/>
    <s v="LDN"/>
    <n v="27"/>
    <x v="0"/>
    <n v="2"/>
    <n v="113.4"/>
    <n v="4.2"/>
    <m/>
    <x v="0"/>
    <n v="109.2"/>
    <n v="109.2"/>
    <n v="5"/>
    <x v="0"/>
    <x v="0"/>
    <n v="5"/>
    <n v="8.3333333333333329E-2"/>
    <x v="0"/>
    <x v="0"/>
    <m/>
    <x v="0"/>
    <x v="0"/>
    <x v="0"/>
    <x v="0"/>
    <x v="0"/>
    <n v="0"/>
    <n v="0"/>
    <n v="8.3333333333333329E-2"/>
    <n v="11.916666666666666"/>
    <x v="1"/>
    <x v="0"/>
    <m/>
    <x v="0"/>
    <n v="118.4"/>
    <x v="0"/>
    <x v="10"/>
    <x v="0"/>
    <x v="0"/>
    <x v="0"/>
  </r>
  <r>
    <x v="0"/>
    <x v="15"/>
    <s v="2332 F"/>
    <x v="131"/>
    <s v="Usman Amin"/>
    <s v="LDN"/>
    <n v="29.5"/>
    <s v="8-8.5"/>
    <s v="LDN"/>
    <n v="55"/>
    <x v="0"/>
    <n v="1"/>
    <n v="67"/>
    <n v="2.9"/>
    <m/>
    <x v="0"/>
    <n v="64.099999999999994"/>
    <n v="64.099999999999994"/>
    <n v="5"/>
    <x v="0"/>
    <x v="0"/>
    <n v="5"/>
    <n v="8.3333333333333329E-2"/>
    <x v="0"/>
    <x v="0"/>
    <m/>
    <x v="0"/>
    <x v="0"/>
    <x v="0"/>
    <x v="0"/>
    <x v="0"/>
    <n v="0"/>
    <n v="0"/>
    <n v="8.3333333333333329E-2"/>
    <n v="11.916666666666666"/>
    <x v="1"/>
    <x v="0"/>
    <m/>
    <x v="0"/>
    <n v="72"/>
    <x v="0"/>
    <x v="10"/>
    <x v="0"/>
    <x v="0"/>
    <x v="0"/>
  </r>
  <r>
    <x v="0"/>
    <x v="15"/>
    <s v="4979 J"/>
    <x v="131"/>
    <s v="Ibraheem Filter Industry (SMC.PVT.LTD)"/>
    <s v="LDN"/>
    <n v="16"/>
    <n v="8"/>
    <s v="LDN"/>
    <n v="690"/>
    <x v="0"/>
    <n v="1"/>
    <n v="57"/>
    <n v="2"/>
    <m/>
    <x v="0"/>
    <n v="55"/>
    <n v="699.92"/>
    <m/>
    <x v="0"/>
    <x v="0"/>
    <n v="0"/>
    <n v="0"/>
    <x v="0"/>
    <x v="0"/>
    <m/>
    <x v="0"/>
    <x v="0"/>
    <x v="0"/>
    <x v="0"/>
    <x v="0"/>
    <n v="0"/>
    <n v="0"/>
    <n v="0"/>
    <n v="12"/>
    <x v="1"/>
    <x v="0"/>
    <m/>
    <x v="0"/>
    <n v="62"/>
    <x v="0"/>
    <x v="10"/>
    <x v="0"/>
    <x v="0"/>
    <x v="0"/>
  </r>
  <r>
    <x v="1"/>
    <x v="15"/>
    <s v="4979 J"/>
    <x v="131"/>
    <s v="Ibraheem Filter Industry (SMC.PVT.LTD)"/>
    <s v="LDN"/>
    <n v="16"/>
    <n v="8"/>
    <s v="LDN"/>
    <n v="690"/>
    <x v="0"/>
    <n v="7"/>
    <n v="337.42"/>
    <n v="13.299999999999999"/>
    <n v="13"/>
    <x v="0"/>
    <n v="324.12"/>
    <n v="699.92"/>
    <m/>
    <x v="0"/>
    <x v="0"/>
    <n v="0"/>
    <n v="0"/>
    <x v="0"/>
    <x v="0"/>
    <m/>
    <x v="0"/>
    <x v="0"/>
    <x v="0"/>
    <x v="0"/>
    <x v="0"/>
    <n v="0"/>
    <n v="0"/>
    <n v="0"/>
    <n v="12"/>
    <x v="1"/>
    <x v="0"/>
    <m/>
    <x v="0"/>
    <n v="342.42"/>
    <x v="0"/>
    <x v="10"/>
    <x v="0"/>
    <x v="0"/>
    <x v="0"/>
  </r>
  <r>
    <x v="0"/>
    <x v="8"/>
    <s v="4925 J"/>
    <x v="132"/>
    <s v="Abu Baker Butt Lahore"/>
    <s v="LDN"/>
    <n v="8.5"/>
    <s v="8.5-9"/>
    <s v="LDN"/>
    <n v="2000"/>
    <x v="0"/>
    <n v="4"/>
    <n v="204.8"/>
    <n v="3.8"/>
    <m/>
    <x v="0"/>
    <n v="201"/>
    <n v="2075.8900000000003"/>
    <m/>
    <x v="0"/>
    <x v="0"/>
    <n v="0"/>
    <n v="0"/>
    <x v="0"/>
    <x v="0"/>
    <m/>
    <x v="0"/>
    <x v="0"/>
    <x v="0"/>
    <x v="0"/>
    <x v="0"/>
    <n v="0"/>
    <n v="0"/>
    <n v="0"/>
    <n v="12"/>
    <x v="1"/>
    <x v="0"/>
    <m/>
    <x v="0"/>
    <n v="209.8"/>
    <x v="0"/>
    <x v="10"/>
    <x v="0"/>
    <x v="0"/>
    <x v="0"/>
  </r>
  <r>
    <x v="1"/>
    <x v="8"/>
    <s v="4925 J"/>
    <x v="132"/>
    <s v="Abu Baker Butt Lahore"/>
    <s v="LDN"/>
    <n v="8.5"/>
    <s v="8.5-9"/>
    <s v="LDN"/>
    <n v="2000"/>
    <x v="0"/>
    <n v="4"/>
    <n v="192.74999999999997"/>
    <n v="3.6"/>
    <n v="11.6"/>
    <x v="0"/>
    <n v="189.14999999999998"/>
    <n v="2075.8900000000003"/>
    <m/>
    <x v="0"/>
    <x v="0"/>
    <n v="0"/>
    <n v="0"/>
    <x v="0"/>
    <x v="0"/>
    <m/>
    <x v="1"/>
    <x v="0"/>
    <x v="0"/>
    <x v="3"/>
    <x v="0"/>
    <n v="40"/>
    <n v="0.66666666666666663"/>
    <n v="0.66666666666666663"/>
    <n v="11.333333333333334"/>
    <x v="1"/>
    <x v="0"/>
    <m/>
    <x v="0"/>
    <n v="197.74999999999997"/>
    <x v="0"/>
    <x v="10"/>
    <x v="0"/>
    <x v="0"/>
    <x v="0"/>
  </r>
  <r>
    <x v="0"/>
    <x v="9"/>
    <s v="4967 J"/>
    <x v="132"/>
    <s v="Cakes and Bakes Lahore"/>
    <s v="LDN"/>
    <n v="10"/>
    <s v="10"/>
    <s v="LDN"/>
    <n v="120"/>
    <x v="0"/>
    <n v="1"/>
    <n v="39.6"/>
    <n v="1.2"/>
    <n v="8"/>
    <x v="0"/>
    <n v="38.4"/>
    <n v="119.18"/>
    <n v="3"/>
    <x v="0"/>
    <x v="0"/>
    <n v="3"/>
    <n v="0.05"/>
    <x v="0"/>
    <x v="0"/>
    <m/>
    <x v="0"/>
    <x v="0"/>
    <x v="0"/>
    <x v="0"/>
    <x v="0"/>
    <n v="0"/>
    <n v="0"/>
    <n v="0.05"/>
    <n v="11.95"/>
    <x v="1"/>
    <x v="0"/>
    <m/>
    <x v="0"/>
    <n v="75.39"/>
    <x v="0"/>
    <x v="10"/>
    <x v="0"/>
    <x v="0"/>
    <x v="0"/>
  </r>
  <r>
    <x v="0"/>
    <x v="9"/>
    <s v="2328 F"/>
    <x v="132"/>
    <s v="Usman Amin"/>
    <s v="LDN"/>
    <n v="11"/>
    <s v="7.7.5"/>
    <s v="LDN"/>
    <n v="30"/>
    <x v="0"/>
    <n v="1"/>
    <n v="38.799999999999997"/>
    <n v="1.2"/>
    <m/>
    <x v="0"/>
    <n v="37.599999999999994"/>
    <n v="37.599999999999994"/>
    <n v="10"/>
    <x v="0"/>
    <x v="0"/>
    <n v="10"/>
    <n v="0.16666666666666666"/>
    <x v="0"/>
    <x v="0"/>
    <m/>
    <x v="0"/>
    <x v="0"/>
    <x v="0"/>
    <x v="0"/>
    <x v="0"/>
    <n v="0"/>
    <n v="0"/>
    <n v="0.16666666666666666"/>
    <n v="11.833333333333334"/>
    <x v="1"/>
    <x v="0"/>
    <m/>
    <x v="0"/>
    <n v="75.39"/>
    <x v="0"/>
    <x v="10"/>
    <x v="0"/>
    <x v="0"/>
    <x v="0"/>
  </r>
  <r>
    <x v="0"/>
    <x v="9"/>
    <s v="4956 J"/>
    <x v="132"/>
    <s v="Usman Arif Butt Gujranwala"/>
    <s v="LDN"/>
    <n v="2.5"/>
    <s v="14"/>
    <s v="LDN"/>
    <n v="100"/>
    <x v="0"/>
    <n v="2"/>
    <n v="45.07"/>
    <n v="1.3"/>
    <m/>
    <x v="0"/>
    <n v="43.77"/>
    <n v="93.97"/>
    <m/>
    <x v="0"/>
    <x v="0"/>
    <n v="0"/>
    <n v="0"/>
    <x v="0"/>
    <x v="0"/>
    <m/>
    <x v="0"/>
    <x v="0"/>
    <x v="0"/>
    <x v="0"/>
    <x v="0"/>
    <n v="0"/>
    <n v="0"/>
    <n v="0"/>
    <n v="12"/>
    <x v="1"/>
    <x v="0"/>
    <m/>
    <x v="0"/>
    <n v="75.39"/>
    <x v="0"/>
    <x v="10"/>
    <x v="0"/>
    <x v="0"/>
    <x v="0"/>
  </r>
  <r>
    <x v="1"/>
    <x v="9"/>
    <s v="4956 J"/>
    <x v="132"/>
    <s v="Usman Arif Butt Gujranwala"/>
    <s v="LDN"/>
    <n v="2.5"/>
    <s v="14"/>
    <s v="LDN"/>
    <n v="100"/>
    <x v="0"/>
    <n v="2"/>
    <n v="52.6"/>
    <n v="2.4"/>
    <n v="2"/>
    <x v="0"/>
    <n v="50.2"/>
    <n v="93.97"/>
    <m/>
    <x v="0"/>
    <x v="0"/>
    <n v="0"/>
    <n v="0"/>
    <x v="0"/>
    <x v="6"/>
    <m/>
    <x v="0"/>
    <x v="0"/>
    <x v="0"/>
    <x v="0"/>
    <x v="0"/>
    <n v="3"/>
    <n v="0.05"/>
    <n v="0.05"/>
    <n v="11.95"/>
    <x v="1"/>
    <x v="0"/>
    <m/>
    <x v="0"/>
    <n v="75.39"/>
    <x v="0"/>
    <x v="10"/>
    <x v="0"/>
    <x v="0"/>
    <x v="0"/>
  </r>
  <r>
    <x v="1"/>
    <x v="9"/>
    <s v="4955 J"/>
    <x v="132"/>
    <s v="Usman Arif Butt Gujranwala"/>
    <s v="LDN"/>
    <n v="2.5"/>
    <s v="14"/>
    <s v="LDN"/>
    <n v="100"/>
    <x v="0"/>
    <n v="2"/>
    <n v="24.5"/>
    <n v="1.2"/>
    <m/>
    <x v="0"/>
    <n v="23.3"/>
    <n v="99.14"/>
    <m/>
    <x v="0"/>
    <x v="0"/>
    <n v="0"/>
    <n v="0"/>
    <x v="0"/>
    <x v="0"/>
    <m/>
    <x v="0"/>
    <x v="0"/>
    <x v="0"/>
    <x v="0"/>
    <x v="0"/>
    <n v="0"/>
    <n v="0"/>
    <n v="0"/>
    <n v="12"/>
    <x v="1"/>
    <x v="0"/>
    <m/>
    <x v="0"/>
    <n v="75.39"/>
    <x v="0"/>
    <x v="10"/>
    <x v="0"/>
    <x v="0"/>
    <x v="0"/>
  </r>
  <r>
    <x v="0"/>
    <x v="10"/>
    <s v="2807/1"/>
    <x v="132"/>
    <s v="PT-01"/>
    <s v="LD سرخ"/>
    <n v="6"/>
    <n v="80"/>
    <s v="LD سرخ"/>
    <n v="2500"/>
    <x v="0"/>
    <n v="8"/>
    <n v="231.35999999999999"/>
    <m/>
    <m/>
    <x v="0"/>
    <n v="231.35999999999999"/>
    <n v="5041.09"/>
    <m/>
    <x v="0"/>
    <x v="0"/>
    <n v="0"/>
    <n v="0"/>
    <x v="0"/>
    <x v="0"/>
    <m/>
    <x v="0"/>
    <x v="0"/>
    <x v="0"/>
    <x v="0"/>
    <x v="0"/>
    <n v="0"/>
    <n v="0"/>
    <n v="0"/>
    <n v="12"/>
    <x v="1"/>
    <x v="0"/>
    <m/>
    <x v="0"/>
    <n v="236.35999999999999"/>
    <x v="0"/>
    <x v="10"/>
    <x v="0"/>
    <x v="0"/>
    <x v="0"/>
  </r>
  <r>
    <x v="1"/>
    <x v="10"/>
    <s v="2807/1"/>
    <x v="132"/>
    <s v="PT-01"/>
    <s v="LD سرخ"/>
    <n v="6"/>
    <n v="80"/>
    <s v="LD سرخ"/>
    <n v="2500"/>
    <x v="0"/>
    <n v="8"/>
    <n v="221.99999999999997"/>
    <m/>
    <n v="6"/>
    <x v="0"/>
    <n v="221.99999999999997"/>
    <n v="5041.09"/>
    <m/>
    <x v="0"/>
    <x v="0"/>
    <n v="0"/>
    <n v="0"/>
    <x v="0"/>
    <x v="0"/>
    <m/>
    <x v="0"/>
    <x v="0"/>
    <x v="0"/>
    <x v="0"/>
    <x v="0"/>
    <n v="0"/>
    <n v="0"/>
    <n v="0"/>
    <n v="12"/>
    <x v="1"/>
    <x v="0"/>
    <m/>
    <x v="0"/>
    <n v="226.99999999999997"/>
    <x v="0"/>
    <x v="10"/>
    <x v="0"/>
    <x v="0"/>
    <x v="0"/>
  </r>
  <r>
    <x v="0"/>
    <x v="13"/>
    <s v="4943 J"/>
    <x v="132"/>
    <s v="Mehboob Plastic Gujranwala"/>
    <s v="LDN"/>
    <n v="14.5"/>
    <s v="8"/>
    <s v="LDN"/>
    <n v="200"/>
    <x v="0"/>
    <n v="2"/>
    <n v="97"/>
    <n v="3.2"/>
    <n v="9.5"/>
    <x v="0"/>
    <n v="93.8"/>
    <n v="201.79999999999998"/>
    <n v="5"/>
    <x v="0"/>
    <x v="0"/>
    <n v="5"/>
    <n v="8.3333333333333329E-2"/>
    <x v="0"/>
    <x v="0"/>
    <m/>
    <x v="0"/>
    <x v="0"/>
    <x v="0"/>
    <x v="0"/>
    <x v="0"/>
    <n v="0"/>
    <n v="0"/>
    <n v="8.3333333333333329E-2"/>
    <n v="11.916666666666666"/>
    <x v="1"/>
    <x v="0"/>
    <m/>
    <x v="0"/>
    <n v="102"/>
    <x v="0"/>
    <x v="10"/>
    <x v="0"/>
    <x v="0"/>
    <x v="0"/>
  </r>
  <r>
    <x v="0"/>
    <x v="13"/>
    <s v="2329 F"/>
    <x v="132"/>
    <s v="Usman Amin"/>
    <s v="LDN"/>
    <n v="15"/>
    <s v="7.7.5"/>
    <s v="LDN"/>
    <n v="16"/>
    <x v="0"/>
    <n v="3"/>
    <n v="155.6"/>
    <n v="3.4"/>
    <m/>
    <x v="0"/>
    <n v="152.19999999999999"/>
    <n v="152.19999999999999"/>
    <m/>
    <x v="0"/>
    <x v="0"/>
    <n v="0"/>
    <n v="0"/>
    <x v="0"/>
    <x v="0"/>
    <m/>
    <x v="0"/>
    <x v="0"/>
    <x v="0"/>
    <x v="0"/>
    <x v="0"/>
    <n v="0"/>
    <n v="0"/>
    <n v="0"/>
    <n v="12"/>
    <x v="1"/>
    <x v="0"/>
    <m/>
    <x v="0"/>
    <n v="160.6"/>
    <x v="0"/>
    <x v="10"/>
    <x v="0"/>
    <x v="0"/>
    <x v="0"/>
  </r>
  <r>
    <x v="0"/>
    <x v="13"/>
    <s v="2359 F"/>
    <x v="132"/>
    <s v="Usman Amin"/>
    <s v="LDN"/>
    <n v="15"/>
    <s v="10.5"/>
    <s v="LDN"/>
    <n v="50"/>
    <x v="0"/>
    <n v="1"/>
    <n v="52.6"/>
    <n v="1.7"/>
    <m/>
    <x v="0"/>
    <n v="50.9"/>
    <n v="50.9"/>
    <m/>
    <x v="0"/>
    <x v="0"/>
    <n v="0"/>
    <n v="0"/>
    <x v="0"/>
    <x v="0"/>
    <m/>
    <x v="0"/>
    <x v="0"/>
    <x v="0"/>
    <x v="0"/>
    <x v="0"/>
    <n v="0"/>
    <n v="0"/>
    <n v="0"/>
    <n v="12"/>
    <x v="1"/>
    <x v="0"/>
    <m/>
    <x v="0"/>
    <n v="57.6"/>
    <x v="0"/>
    <x v="10"/>
    <x v="0"/>
    <x v="0"/>
    <x v="0"/>
  </r>
  <r>
    <x v="1"/>
    <x v="13"/>
    <s v="4965 J"/>
    <x v="132"/>
    <s v="Bandu Khan Lahore"/>
    <s v="LDN"/>
    <n v="16"/>
    <s v="8-8.5"/>
    <s v="LDN"/>
    <n v="400"/>
    <x v="0"/>
    <n v="5"/>
    <n v="302.87"/>
    <n v="9.5"/>
    <n v="5.5"/>
    <x v="0"/>
    <n v="293.37"/>
    <n v="401.55"/>
    <n v="3"/>
    <x v="0"/>
    <x v="0"/>
    <n v="3"/>
    <n v="0.05"/>
    <x v="0"/>
    <x v="0"/>
    <m/>
    <x v="0"/>
    <x v="0"/>
    <x v="0"/>
    <x v="0"/>
    <x v="0"/>
    <n v="0"/>
    <n v="0"/>
    <n v="0.05"/>
    <n v="11.95"/>
    <x v="1"/>
    <x v="0"/>
    <m/>
    <x v="0"/>
    <n v="307.87"/>
    <x v="0"/>
    <x v="10"/>
    <x v="0"/>
    <x v="0"/>
    <x v="0"/>
  </r>
  <r>
    <x v="0"/>
    <x v="12"/>
    <s v="2806/1"/>
    <x v="132"/>
    <s v="SITARA CHEMICAL"/>
    <s v="LDN"/>
    <n v="24"/>
    <s v="100±1"/>
    <s v="LDN"/>
    <n v="2700"/>
    <x v="0"/>
    <n v="2"/>
    <n v="258.60000000000002"/>
    <n v="7.2"/>
    <n v="20"/>
    <x v="0"/>
    <n v="251.40000000000003"/>
    <n v="2968.54"/>
    <n v="3"/>
    <x v="0"/>
    <x v="0"/>
    <n v="3"/>
    <n v="0.05"/>
    <x v="0"/>
    <x v="0"/>
    <m/>
    <x v="0"/>
    <x v="0"/>
    <x v="0"/>
    <x v="0"/>
    <x v="0"/>
    <n v="0"/>
    <n v="0"/>
    <n v="0.05"/>
    <n v="11.95"/>
    <x v="1"/>
    <x v="0"/>
    <m/>
    <x v="0"/>
    <n v="263.60000000000002"/>
    <x v="0"/>
    <x v="10"/>
    <x v="0"/>
    <x v="0"/>
    <x v="0"/>
  </r>
  <r>
    <x v="0"/>
    <x v="12"/>
    <s v="2808/1"/>
    <x v="132"/>
    <s v="MATCO FOOD"/>
    <s v="LDN"/>
    <n v="23"/>
    <s v="70±1"/>
    <s v="LDN"/>
    <n v="3500"/>
    <x v="0"/>
    <n v="4"/>
    <n v="385.58"/>
    <n v="11.2"/>
    <m/>
    <x v="0"/>
    <n v="374.38"/>
    <n v="3132.53"/>
    <m/>
    <x v="0"/>
    <x v="0"/>
    <n v="0"/>
    <n v="0"/>
    <x v="0"/>
    <x v="0"/>
    <m/>
    <x v="0"/>
    <x v="0"/>
    <x v="0"/>
    <x v="0"/>
    <x v="0"/>
    <n v="0"/>
    <n v="0"/>
    <n v="0"/>
    <n v="12"/>
    <x v="1"/>
    <x v="0"/>
    <m/>
    <x v="0"/>
    <n v="390.58"/>
    <x v="0"/>
    <x v="10"/>
    <x v="0"/>
    <x v="0"/>
    <x v="0"/>
  </r>
  <r>
    <x v="1"/>
    <x v="12"/>
    <s v="2808/1"/>
    <x v="132"/>
    <s v="MATCO FOOD"/>
    <s v="LDN"/>
    <n v="23"/>
    <s v="70±1"/>
    <s v="LDN"/>
    <n v="3500"/>
    <x v="0"/>
    <n v="5"/>
    <n v="508.54999999999995"/>
    <n v="14"/>
    <n v="25.2"/>
    <x v="0"/>
    <n v="494.54999999999995"/>
    <n v="3132.53"/>
    <n v="7"/>
    <x v="0"/>
    <x v="0"/>
    <n v="7"/>
    <n v="0.11666666666666667"/>
    <x v="0"/>
    <x v="0"/>
    <m/>
    <x v="0"/>
    <x v="0"/>
    <x v="0"/>
    <x v="0"/>
    <x v="0"/>
    <n v="0"/>
    <n v="0"/>
    <n v="0.11666666666666667"/>
    <n v="11.883333333333333"/>
    <x v="1"/>
    <x v="0"/>
    <m/>
    <x v="0"/>
    <n v="513.54999999999995"/>
    <x v="0"/>
    <x v="10"/>
    <x v="0"/>
    <x v="0"/>
    <x v="0"/>
  </r>
  <r>
    <x v="1"/>
    <x v="12"/>
    <s v="5065 J"/>
    <x v="132"/>
    <s v="Synt Chemical Lahore "/>
    <s v="LDN"/>
    <s v="525 MM"/>
    <s v="15-16/30-32"/>
    <s v="LDN"/>
    <n v="100"/>
    <x v="0"/>
    <n v="1"/>
    <n v="128.9"/>
    <n v="1.5"/>
    <m/>
    <x v="0"/>
    <n v="127.4"/>
    <n v="251.3"/>
    <n v="8"/>
    <x v="0"/>
    <x v="0"/>
    <n v="8"/>
    <n v="0.13333333333333333"/>
    <x v="0"/>
    <x v="0"/>
    <m/>
    <x v="0"/>
    <x v="0"/>
    <x v="0"/>
    <x v="0"/>
    <x v="0"/>
    <n v="0"/>
    <n v="0"/>
    <n v="0.13333333333333333"/>
    <n v="11.866666666666667"/>
    <x v="1"/>
    <x v="0"/>
    <m/>
    <x v="0"/>
    <n v="133.9"/>
    <x v="0"/>
    <x v="10"/>
    <x v="0"/>
    <x v="0"/>
    <x v="0"/>
  </r>
  <r>
    <x v="0"/>
    <x v="14"/>
    <s v="4914 J"/>
    <x v="132"/>
    <s v="Ahsan Bilal FSD"/>
    <s v="LDM"/>
    <n v="18"/>
    <s v="14-15"/>
    <s v="LDM"/>
    <n v="150"/>
    <x v="0"/>
    <n v="1"/>
    <n v="53.8"/>
    <n v="2.2000000000000002"/>
    <n v="52"/>
    <x v="0"/>
    <n v="51.599999999999994"/>
    <n v="51.599999999999994"/>
    <n v="8"/>
    <x v="0"/>
    <x v="0"/>
    <n v="8"/>
    <n v="0.13333333333333333"/>
    <x v="3"/>
    <x v="0"/>
    <m/>
    <x v="0"/>
    <x v="0"/>
    <x v="0"/>
    <x v="0"/>
    <x v="0"/>
    <n v="25"/>
    <n v="0.41666666666666669"/>
    <n v="0.55000000000000004"/>
    <n v="11.45"/>
    <x v="1"/>
    <x v="0"/>
    <m/>
    <x v="0"/>
    <n v="58.8"/>
    <x v="0"/>
    <x v="10"/>
    <x v="0"/>
    <x v="0"/>
    <x v="0"/>
  </r>
  <r>
    <x v="0"/>
    <x v="14"/>
    <s v="4906 J"/>
    <x v="132"/>
    <s v="Alam Printers Butkhela"/>
    <s v="LDM"/>
    <n v="18"/>
    <s v="14-15"/>
    <s v="LDM"/>
    <n v="100"/>
    <x v="0"/>
    <n v="2"/>
    <n v="107.4"/>
    <n v="4.4000000000000004"/>
    <m/>
    <x v="0"/>
    <n v="103"/>
    <n v="204.60000000000002"/>
    <n v="7"/>
    <x v="0"/>
    <x v="0"/>
    <n v="7"/>
    <n v="0.11666666666666667"/>
    <x v="0"/>
    <x v="0"/>
    <m/>
    <x v="0"/>
    <x v="0"/>
    <x v="0"/>
    <x v="0"/>
    <x v="0"/>
    <n v="0"/>
    <n v="0"/>
    <n v="0.11666666666666667"/>
    <n v="11.883333333333333"/>
    <x v="1"/>
    <x v="0"/>
    <m/>
    <x v="0"/>
    <n v="112.4"/>
    <x v="0"/>
    <x v="10"/>
    <x v="0"/>
    <x v="0"/>
    <x v="0"/>
  </r>
  <r>
    <x v="0"/>
    <x v="14"/>
    <s v="4907 J"/>
    <x v="132"/>
    <s v="Qasim Shoping Mall Jehlum"/>
    <s v="LDM"/>
    <n v="18"/>
    <s v="14-15"/>
    <s v="LDM"/>
    <n v="100"/>
    <x v="0"/>
    <n v="2"/>
    <n v="101.80000000000001"/>
    <n v="4.4000000000000004"/>
    <m/>
    <x v="0"/>
    <n v="97.4"/>
    <n v="97.4"/>
    <m/>
    <x v="0"/>
    <x v="0"/>
    <n v="0"/>
    <n v="0"/>
    <x v="0"/>
    <x v="0"/>
    <m/>
    <x v="0"/>
    <x v="0"/>
    <x v="0"/>
    <x v="0"/>
    <x v="0"/>
    <n v="0"/>
    <n v="0"/>
    <n v="0"/>
    <n v="12"/>
    <x v="1"/>
    <x v="0"/>
    <m/>
    <x v="0"/>
    <n v="106.80000000000001"/>
    <x v="0"/>
    <x v="10"/>
    <x v="0"/>
    <x v="0"/>
    <x v="0"/>
  </r>
  <r>
    <x v="0"/>
    <x v="14"/>
    <s v="4882 J"/>
    <x v="132"/>
    <s v="Qasim Shoping Mall Jehlum"/>
    <s v="LDM"/>
    <n v="18"/>
    <s v="15-16"/>
    <s v="LDM"/>
    <n v="125"/>
    <x v="0"/>
    <n v="2"/>
    <n v="133"/>
    <n v="4.4000000000000004"/>
    <m/>
    <x v="0"/>
    <n v="128.6"/>
    <n v="128.6"/>
    <m/>
    <x v="0"/>
    <x v="0"/>
    <n v="0"/>
    <n v="0"/>
    <x v="0"/>
    <x v="0"/>
    <m/>
    <x v="0"/>
    <x v="0"/>
    <x v="0"/>
    <x v="0"/>
    <x v="0"/>
    <n v="0"/>
    <n v="0"/>
    <n v="0"/>
    <n v="12"/>
    <x v="1"/>
    <x v="0"/>
    <m/>
    <x v="0"/>
    <n v="138"/>
    <x v="0"/>
    <x v="10"/>
    <x v="0"/>
    <x v="0"/>
    <x v="0"/>
  </r>
  <r>
    <x v="0"/>
    <x v="14"/>
    <s v="4937 J"/>
    <x v="132"/>
    <s v="Arshad Lafafa Muchant Gujar Khan"/>
    <s v="LDM"/>
    <s v="12+3+3"/>
    <s v="7.5-8/15-16"/>
    <s v="LDM"/>
    <n v="110"/>
    <x v="0"/>
    <n v="4"/>
    <n v="111.47999999999999"/>
    <n v="4"/>
    <m/>
    <x v="0"/>
    <n v="107.47999999999999"/>
    <n v="107.47999999999999"/>
    <m/>
    <x v="0"/>
    <x v="0"/>
    <n v="0"/>
    <n v="0"/>
    <x v="0"/>
    <x v="0"/>
    <m/>
    <x v="0"/>
    <x v="0"/>
    <x v="0"/>
    <x v="0"/>
    <x v="0"/>
    <n v="0"/>
    <n v="0"/>
    <n v="0"/>
    <n v="12"/>
    <x v="1"/>
    <x v="0"/>
    <m/>
    <x v="0"/>
    <n v="116.47999999999999"/>
    <x v="0"/>
    <x v="10"/>
    <x v="0"/>
    <x v="0"/>
    <x v="0"/>
  </r>
  <r>
    <x v="0"/>
    <x v="14"/>
    <s v="4885 J"/>
    <x v="132"/>
    <s v="P unjab Pinters Hafize Abad"/>
    <s v="LDM"/>
    <s v="11+3+3"/>
    <s v="7.5-8/15-16"/>
    <s v="LDM"/>
    <n v="180"/>
    <x v="0"/>
    <n v="4"/>
    <n v="110.6"/>
    <n v="5.1999999999999993"/>
    <m/>
    <x v="0"/>
    <n v="105.39999999999999"/>
    <n v="148"/>
    <m/>
    <x v="0"/>
    <x v="0"/>
    <n v="0"/>
    <n v="0"/>
    <x v="0"/>
    <x v="0"/>
    <m/>
    <x v="0"/>
    <x v="0"/>
    <x v="0"/>
    <x v="0"/>
    <x v="0"/>
    <n v="0"/>
    <n v="0"/>
    <n v="0"/>
    <n v="12"/>
    <x v="1"/>
    <x v="0"/>
    <m/>
    <x v="0"/>
    <n v="115.6"/>
    <x v="0"/>
    <x v="10"/>
    <x v="0"/>
    <x v="0"/>
    <x v="0"/>
  </r>
  <r>
    <x v="1"/>
    <x v="14"/>
    <s v="4881 J"/>
    <x v="132"/>
    <s v="Qasim Shoping Mall Jehlum"/>
    <s v="LDM"/>
    <n v="16"/>
    <s v="13-14"/>
    <s v="LDM"/>
    <n v="120"/>
    <x v="0"/>
    <n v="2"/>
    <n v="126.08000000000001"/>
    <n v="4.3000000000000007"/>
    <n v="20"/>
    <x v="0"/>
    <n v="121.78000000000002"/>
    <n v="121.78000000000002"/>
    <n v="5"/>
    <x v="0"/>
    <x v="0"/>
    <n v="5"/>
    <n v="8.3333333333333329E-2"/>
    <x v="0"/>
    <x v="0"/>
    <m/>
    <x v="5"/>
    <x v="0"/>
    <x v="0"/>
    <x v="0"/>
    <x v="0"/>
    <n v="3"/>
    <n v="0.05"/>
    <n v="0.13333333333333333"/>
    <n v="11.866666666666667"/>
    <x v="1"/>
    <x v="0"/>
    <m/>
    <x v="0"/>
    <n v="131.08000000000001"/>
    <x v="0"/>
    <x v="10"/>
    <x v="0"/>
    <x v="0"/>
    <x v="0"/>
  </r>
  <r>
    <x v="1"/>
    <x v="14"/>
    <s v="5050 J"/>
    <x v="132"/>
    <s v="The Kids Mall Lahore"/>
    <s v="LDM"/>
    <n v="16"/>
    <s v="13.5-14"/>
    <s v="LDM"/>
    <n v="300"/>
    <x v="0"/>
    <n v="6"/>
    <n v="325.71999999999997"/>
    <n v="13.200000000000001"/>
    <m/>
    <x v="0"/>
    <n v="312.52"/>
    <n v="312.52"/>
    <m/>
    <x v="0"/>
    <x v="0"/>
    <n v="0"/>
    <n v="0"/>
    <x v="0"/>
    <x v="0"/>
    <m/>
    <x v="0"/>
    <x v="0"/>
    <x v="0"/>
    <x v="0"/>
    <x v="0"/>
    <n v="0"/>
    <n v="0"/>
    <n v="0"/>
    <n v="12"/>
    <x v="1"/>
    <x v="0"/>
    <m/>
    <x v="0"/>
    <n v="330.71999999999997"/>
    <x v="0"/>
    <x v="10"/>
    <x v="0"/>
    <x v="0"/>
    <x v="0"/>
  </r>
  <r>
    <x v="1"/>
    <x v="14"/>
    <s v="5051 J"/>
    <x v="132"/>
    <s v="The Kids Mall Lahore"/>
    <s v="LDM"/>
    <n v="18.5"/>
    <s v="15-16"/>
    <s v="LDM"/>
    <n v="300"/>
    <x v="0"/>
    <n v="2"/>
    <n v="101.08"/>
    <n v="4.8"/>
    <m/>
    <x v="0"/>
    <n v="96.28"/>
    <n v="306.06"/>
    <m/>
    <x v="0"/>
    <x v="0"/>
    <n v="0"/>
    <n v="0"/>
    <x v="0"/>
    <x v="0"/>
    <m/>
    <x v="0"/>
    <x v="0"/>
    <x v="0"/>
    <x v="0"/>
    <x v="0"/>
    <n v="0"/>
    <n v="0"/>
    <n v="0"/>
    <n v="12"/>
    <x v="1"/>
    <x v="0"/>
    <m/>
    <x v="0"/>
    <n v="106.08"/>
    <x v="0"/>
    <x v="10"/>
    <x v="0"/>
    <x v="0"/>
    <x v="0"/>
  </r>
  <r>
    <x v="0"/>
    <x v="15"/>
    <s v="4979 J"/>
    <x v="132"/>
    <s v="Ibraheem Filter Industry (SMC.PVT.LTD)"/>
    <s v="LDN"/>
    <n v="16"/>
    <n v="8"/>
    <s v="LDN"/>
    <n v="690"/>
    <x v="0"/>
    <n v="4"/>
    <n v="274"/>
    <n v="7.6"/>
    <m/>
    <x v="0"/>
    <n v="266.39999999999998"/>
    <n v="699.92"/>
    <m/>
    <x v="0"/>
    <x v="0"/>
    <n v="0"/>
    <n v="0"/>
    <x v="0"/>
    <x v="0"/>
    <m/>
    <x v="0"/>
    <x v="0"/>
    <x v="0"/>
    <x v="0"/>
    <x v="0"/>
    <n v="0"/>
    <n v="0"/>
    <n v="0"/>
    <n v="12"/>
    <x v="1"/>
    <x v="0"/>
    <m/>
    <x v="0"/>
    <n v="279"/>
    <x v="0"/>
    <x v="10"/>
    <x v="0"/>
    <x v="0"/>
    <x v="0"/>
  </r>
  <r>
    <x v="1"/>
    <x v="15"/>
    <s v="4979 J"/>
    <x v="132"/>
    <s v="Ibraheem Filter Industry (SMC.PVT.LTD)"/>
    <s v="LDN"/>
    <n v="16"/>
    <n v="8"/>
    <s v="LDN"/>
    <n v="690"/>
    <x v="0"/>
    <n v="1"/>
    <n v="56.3"/>
    <n v="1.9"/>
    <n v="15.75"/>
    <x v="0"/>
    <n v="54.4"/>
    <n v="699.92"/>
    <n v="5"/>
    <x v="0"/>
    <x v="0"/>
    <n v="5"/>
    <n v="8.3333333333333329E-2"/>
    <x v="0"/>
    <x v="0"/>
    <m/>
    <x v="0"/>
    <x v="0"/>
    <x v="0"/>
    <x v="0"/>
    <x v="0"/>
    <n v="0"/>
    <n v="0"/>
    <n v="8.3333333333333329E-2"/>
    <n v="11.916666666666666"/>
    <x v="1"/>
    <x v="0"/>
    <m/>
    <x v="0"/>
    <n v="61.3"/>
    <x v="0"/>
    <x v="10"/>
    <x v="0"/>
    <x v="0"/>
    <x v="0"/>
  </r>
  <r>
    <x v="1"/>
    <x v="15"/>
    <s v="2324 F"/>
    <x v="132"/>
    <s v="Usman Amin"/>
    <s v="LDN"/>
    <n v="21"/>
    <s v="5-5.5"/>
    <s v="LDN"/>
    <n v="200"/>
    <x v="0"/>
    <n v="4"/>
    <n v="183.43"/>
    <n v="10.4"/>
    <m/>
    <x v="0"/>
    <n v="173.03"/>
    <n v="173.03"/>
    <m/>
    <x v="0"/>
    <x v="0"/>
    <n v="0"/>
    <n v="0"/>
    <x v="0"/>
    <x v="0"/>
    <m/>
    <x v="0"/>
    <x v="0"/>
    <x v="0"/>
    <x v="0"/>
    <x v="0"/>
    <n v="0"/>
    <n v="0"/>
    <n v="0"/>
    <n v="12"/>
    <x v="1"/>
    <x v="0"/>
    <m/>
    <x v="0"/>
    <n v="188.43"/>
    <x v="0"/>
    <x v="10"/>
    <x v="0"/>
    <x v="0"/>
    <x v="0"/>
  </r>
  <r>
    <x v="1"/>
    <x v="15"/>
    <s v="2345 F"/>
    <x v="132"/>
    <s v="-"/>
    <m/>
    <m/>
    <m/>
    <m/>
    <m/>
    <x v="0"/>
    <n v="1"/>
    <n v="69.900000000000006"/>
    <n v="3.15"/>
    <m/>
    <x v="0"/>
    <n v="66.75"/>
    <n v="460.70000000000005"/>
    <m/>
    <x v="0"/>
    <x v="0"/>
    <n v="0"/>
    <n v="0"/>
    <x v="0"/>
    <x v="0"/>
    <m/>
    <x v="0"/>
    <x v="0"/>
    <x v="0"/>
    <x v="0"/>
    <x v="0"/>
    <n v="0"/>
    <n v="0"/>
    <n v="0"/>
    <n v="12"/>
    <x v="1"/>
    <x v="0"/>
    <m/>
    <x v="0"/>
    <n v="74.900000000000006"/>
    <x v="0"/>
    <x v="10"/>
    <x v="0"/>
    <x v="0"/>
    <x v="0"/>
  </r>
  <r>
    <x v="0"/>
    <x v="8"/>
    <s v="4925 J"/>
    <x v="133"/>
    <s v="Abu Baker Butt Lahore"/>
    <s v="LDN"/>
    <n v="8.5"/>
    <s v="8.5-9"/>
    <s v="LDN"/>
    <n v="2000"/>
    <x v="0"/>
    <n v="3"/>
    <n v="163.30000000000001"/>
    <n v="2.9"/>
    <m/>
    <x v="0"/>
    <n v="160.4"/>
    <n v="2075.8900000000003"/>
    <m/>
    <x v="0"/>
    <x v="0"/>
    <n v="0"/>
    <n v="0"/>
    <x v="0"/>
    <x v="0"/>
    <m/>
    <x v="0"/>
    <x v="0"/>
    <x v="0"/>
    <x v="0"/>
    <x v="0"/>
    <n v="0"/>
    <n v="0"/>
    <n v="0"/>
    <n v="12"/>
    <x v="1"/>
    <x v="0"/>
    <m/>
    <x v="0"/>
    <n v="168.3"/>
    <x v="0"/>
    <x v="10"/>
    <x v="0"/>
    <x v="0"/>
    <x v="0"/>
  </r>
  <r>
    <x v="1"/>
    <x v="8"/>
    <s v="4925 J"/>
    <x v="133"/>
    <s v="Abu Baker Butt Lahore"/>
    <s v="LDN"/>
    <n v="8.5"/>
    <s v="8.5-9"/>
    <s v="LDN"/>
    <n v="2000"/>
    <x v="0"/>
    <n v="3"/>
    <n v="168.76"/>
    <n v="3.6"/>
    <m/>
    <x v="0"/>
    <n v="165.16"/>
    <n v="2075.8900000000003"/>
    <m/>
    <x v="0"/>
    <x v="0"/>
    <n v="0"/>
    <n v="0"/>
    <x v="0"/>
    <x v="0"/>
    <m/>
    <x v="0"/>
    <x v="0"/>
    <x v="0"/>
    <x v="0"/>
    <x v="0"/>
    <n v="0"/>
    <n v="0"/>
    <n v="0"/>
    <n v="12"/>
    <x v="1"/>
    <x v="0"/>
    <m/>
    <x v="0"/>
    <n v="173.76"/>
    <x v="0"/>
    <x v="10"/>
    <x v="0"/>
    <x v="0"/>
    <x v="0"/>
  </r>
  <r>
    <x v="0"/>
    <x v="9"/>
    <s v="4955 J"/>
    <x v="133"/>
    <s v="Usman Arif Butt Gujranwala"/>
    <s v="LDN"/>
    <n v="2.5"/>
    <s v="14"/>
    <s v="LDN"/>
    <n v="100"/>
    <x v="0"/>
    <n v="3"/>
    <n v="77.64"/>
    <n v="1.8"/>
    <n v="6"/>
    <x v="0"/>
    <n v="75.84"/>
    <n v="99.14"/>
    <n v="5"/>
    <x v="0"/>
    <x v="0"/>
    <n v="5"/>
    <n v="8.3333333333333329E-2"/>
    <x v="0"/>
    <x v="0"/>
    <m/>
    <x v="0"/>
    <x v="0"/>
    <x v="0"/>
    <x v="0"/>
    <x v="0"/>
    <n v="0"/>
    <n v="0"/>
    <n v="8.3333333333333329E-2"/>
    <n v="11.916666666666666"/>
    <x v="1"/>
    <x v="0"/>
    <m/>
    <x v="0"/>
    <n v="75.39"/>
    <x v="0"/>
    <x v="10"/>
    <x v="0"/>
    <x v="0"/>
    <x v="0"/>
  </r>
  <r>
    <x v="1"/>
    <x v="9"/>
    <s v="5046 J"/>
    <x v="133"/>
    <s v="Shah Jee Achar Mardan"/>
    <s v="LDN"/>
    <n v="5"/>
    <s v="12-12.5"/>
    <s v="LDN"/>
    <n v="200"/>
    <x v="0"/>
    <n v="2"/>
    <n v="110.9"/>
    <n v="1.8"/>
    <m/>
    <x v="0"/>
    <n v="109.10000000000001"/>
    <n v="203.60000000000002"/>
    <m/>
    <x v="0"/>
    <x v="0"/>
    <n v="0"/>
    <n v="0"/>
    <x v="0"/>
    <x v="0"/>
    <m/>
    <x v="0"/>
    <x v="0"/>
    <x v="0"/>
    <x v="0"/>
    <x v="0"/>
    <n v="0"/>
    <n v="0"/>
    <n v="0"/>
    <n v="12"/>
    <x v="1"/>
    <x v="0"/>
    <m/>
    <x v="0"/>
    <n v="75.39"/>
    <x v="0"/>
    <x v="10"/>
    <x v="0"/>
    <x v="0"/>
    <x v="0"/>
  </r>
  <r>
    <x v="0"/>
    <x v="10"/>
    <s v="2807/1"/>
    <x v="133"/>
    <s v="PT-01"/>
    <s v="LD سرخ"/>
    <n v="6"/>
    <n v="80"/>
    <s v="LD سرخ"/>
    <n v="2500"/>
    <x v="0"/>
    <n v="10"/>
    <n v="301.24"/>
    <m/>
    <n v="20"/>
    <x v="0"/>
    <n v="301.24"/>
    <n v="5041.09"/>
    <m/>
    <x v="0"/>
    <x v="0"/>
    <n v="0"/>
    <n v="0"/>
    <x v="0"/>
    <x v="0"/>
    <m/>
    <x v="0"/>
    <x v="0"/>
    <x v="0"/>
    <x v="14"/>
    <x v="0"/>
    <n v="75"/>
    <n v="1.25"/>
    <n v="1.25"/>
    <n v="10.75"/>
    <x v="1"/>
    <x v="0"/>
    <m/>
    <x v="0"/>
    <n v="306.24"/>
    <x v="0"/>
    <x v="10"/>
    <x v="0"/>
    <x v="0"/>
    <x v="0"/>
  </r>
  <r>
    <x v="1"/>
    <x v="10"/>
    <s v="2807/1"/>
    <x v="133"/>
    <s v="PT-01"/>
    <s v="LD سرخ"/>
    <n v="6"/>
    <n v="80"/>
    <s v="LD سرخ"/>
    <n v="2500"/>
    <x v="0"/>
    <n v="15"/>
    <n v="506.49999999999994"/>
    <m/>
    <n v="12"/>
    <x v="0"/>
    <n v="506.49999999999994"/>
    <n v="5041.09"/>
    <m/>
    <x v="0"/>
    <x v="0"/>
    <n v="0"/>
    <n v="0"/>
    <x v="0"/>
    <x v="0"/>
    <m/>
    <x v="0"/>
    <x v="0"/>
    <x v="0"/>
    <x v="0"/>
    <x v="0"/>
    <n v="0"/>
    <n v="0"/>
    <n v="0"/>
    <n v="12"/>
    <x v="1"/>
    <x v="0"/>
    <m/>
    <x v="0"/>
    <n v="511.49999999999994"/>
    <x v="0"/>
    <x v="10"/>
    <x v="0"/>
    <x v="0"/>
    <x v="0"/>
  </r>
  <r>
    <x v="0"/>
    <x v="13"/>
    <s v="4965 J"/>
    <x v="133"/>
    <s v="Bandu Khan Lahore"/>
    <s v="LDN"/>
    <n v="16"/>
    <s v="8-8.5"/>
    <s v="LDN"/>
    <n v="400"/>
    <x v="0"/>
    <n v="2"/>
    <n v="111.78"/>
    <n v="3.6"/>
    <m/>
    <x v="0"/>
    <n v="108.18"/>
    <n v="401.55"/>
    <m/>
    <x v="0"/>
    <x v="0"/>
    <n v="0"/>
    <n v="0"/>
    <x v="0"/>
    <x v="0"/>
    <m/>
    <x v="0"/>
    <x v="0"/>
    <x v="0"/>
    <x v="0"/>
    <x v="0"/>
    <n v="0"/>
    <n v="0"/>
    <n v="0"/>
    <n v="12"/>
    <x v="1"/>
    <x v="0"/>
    <m/>
    <x v="0"/>
    <n v="116.78"/>
    <x v="0"/>
    <x v="10"/>
    <x v="0"/>
    <x v="0"/>
    <x v="0"/>
  </r>
  <r>
    <x v="0"/>
    <x v="13"/>
    <s v="4932 J"/>
    <x v="133"/>
    <s v="Irfan Sab Azam Market"/>
    <s v="LDN"/>
    <n v="16"/>
    <n v="7"/>
    <s v="LDN"/>
    <n v="300"/>
    <x v="0"/>
    <n v="3"/>
    <n v="183.85000000000002"/>
    <n v="5.4"/>
    <m/>
    <x v="0"/>
    <n v="178.45000000000002"/>
    <n v="301.03000000000003"/>
    <m/>
    <x v="0"/>
    <x v="0"/>
    <n v="0"/>
    <n v="0"/>
    <x v="0"/>
    <x v="0"/>
    <m/>
    <x v="0"/>
    <x v="0"/>
    <x v="0"/>
    <x v="0"/>
    <x v="0"/>
    <n v="0"/>
    <n v="0"/>
    <n v="0"/>
    <n v="12"/>
    <x v="1"/>
    <x v="0"/>
    <m/>
    <x v="0"/>
    <n v="188.85000000000002"/>
    <x v="0"/>
    <x v="10"/>
    <x v="0"/>
    <x v="0"/>
    <x v="0"/>
  </r>
  <r>
    <x v="1"/>
    <x v="13"/>
    <s v="4932 J"/>
    <x v="133"/>
    <s v="Irfan Sab Azam Market"/>
    <s v="LDN"/>
    <n v="16"/>
    <n v="7"/>
    <s v="LDN"/>
    <n v="300"/>
    <x v="0"/>
    <n v="2"/>
    <n v="126.58000000000001"/>
    <n v="4"/>
    <n v="10"/>
    <x v="0"/>
    <n v="122.58000000000001"/>
    <n v="301.03000000000003"/>
    <n v="5"/>
    <x v="0"/>
    <x v="0"/>
    <n v="5"/>
    <n v="8.3333333333333329E-2"/>
    <x v="0"/>
    <x v="0"/>
    <m/>
    <x v="0"/>
    <x v="0"/>
    <x v="0"/>
    <x v="0"/>
    <x v="0"/>
    <n v="0"/>
    <n v="0"/>
    <n v="8.3333333333333329E-2"/>
    <n v="11.916666666666666"/>
    <x v="1"/>
    <x v="0"/>
    <m/>
    <x v="0"/>
    <n v="131.58000000000001"/>
    <x v="0"/>
    <x v="10"/>
    <x v="0"/>
    <x v="0"/>
    <x v="0"/>
  </r>
  <r>
    <x v="1"/>
    <x v="13"/>
    <s v="2367 F"/>
    <x v="133"/>
    <s v="Usman Amin"/>
    <s v="LDN"/>
    <n v="18"/>
    <s v="6-6.5"/>
    <s v="LDN"/>
    <n v="90"/>
    <x v="0"/>
    <n v="2"/>
    <n v="100.03999999999999"/>
    <n v="4.5999999999999996"/>
    <m/>
    <x v="0"/>
    <n v="95.44"/>
    <n v="95.44"/>
    <n v="5"/>
    <x v="0"/>
    <x v="0"/>
    <n v="5"/>
    <n v="8.3333333333333329E-2"/>
    <x v="0"/>
    <x v="0"/>
    <m/>
    <x v="0"/>
    <x v="0"/>
    <x v="0"/>
    <x v="0"/>
    <x v="0"/>
    <n v="0"/>
    <n v="0"/>
    <n v="8.3333333333333329E-2"/>
    <n v="11.916666666666666"/>
    <x v="1"/>
    <x v="0"/>
    <m/>
    <x v="0"/>
    <n v="105.03999999999999"/>
    <x v="0"/>
    <x v="10"/>
    <x v="0"/>
    <x v="0"/>
    <x v="0"/>
  </r>
  <r>
    <x v="1"/>
    <x v="13"/>
    <s v="4939 J"/>
    <x v="133"/>
    <s v="Khalid Printers LHR"/>
    <s v="LDN"/>
    <n v="20"/>
    <s v="7.5-8"/>
    <s v="LDN"/>
    <n v="160"/>
    <x v="0"/>
    <n v="1"/>
    <n v="66.28"/>
    <n v="2.5"/>
    <m/>
    <x v="0"/>
    <n v="63.78"/>
    <n v="320.97999999999996"/>
    <n v="5"/>
    <x v="0"/>
    <x v="0"/>
    <n v="5"/>
    <n v="8.3333333333333329E-2"/>
    <x v="0"/>
    <x v="0"/>
    <m/>
    <x v="0"/>
    <x v="0"/>
    <x v="0"/>
    <x v="0"/>
    <x v="0"/>
    <n v="0"/>
    <n v="0"/>
    <n v="8.3333333333333329E-2"/>
    <n v="11.916666666666666"/>
    <x v="1"/>
    <x v="0"/>
    <m/>
    <x v="0"/>
    <n v="71.28"/>
    <x v="0"/>
    <x v="10"/>
    <x v="0"/>
    <x v="0"/>
    <x v="0"/>
  </r>
  <r>
    <x v="1"/>
    <x v="13"/>
    <s v="2360 F"/>
    <x v="133"/>
    <s v="Usman Amin"/>
    <s v="LDN"/>
    <n v="17.5"/>
    <s v="5-5.5"/>
    <s v="LDN"/>
    <n v="58"/>
    <x v="0"/>
    <n v="1"/>
    <n v="57.28"/>
    <n v="2.2000000000000002"/>
    <m/>
    <x v="0"/>
    <n v="55.08"/>
    <n v="119.66"/>
    <m/>
    <x v="0"/>
    <x v="0"/>
    <n v="0"/>
    <n v="0"/>
    <x v="0"/>
    <x v="0"/>
    <m/>
    <x v="0"/>
    <x v="0"/>
    <x v="0"/>
    <x v="0"/>
    <x v="0"/>
    <n v="0"/>
    <n v="0"/>
    <n v="0"/>
    <n v="12"/>
    <x v="1"/>
    <x v="0"/>
    <m/>
    <x v="0"/>
    <n v="62.28"/>
    <x v="0"/>
    <x v="10"/>
    <x v="0"/>
    <x v="0"/>
    <x v="0"/>
  </r>
  <r>
    <x v="0"/>
    <x v="12"/>
    <s v="2808/1"/>
    <x v="133"/>
    <s v="MATCO FOOD"/>
    <s v="LDN"/>
    <n v="23"/>
    <s v="70±1"/>
    <s v="LDN"/>
    <n v="3500"/>
    <x v="0"/>
    <n v="4"/>
    <n v="498.6"/>
    <n v="11.2"/>
    <n v="19"/>
    <x v="0"/>
    <n v="487.40000000000003"/>
    <n v="3132.53"/>
    <m/>
    <x v="0"/>
    <x v="0"/>
    <n v="0"/>
    <n v="0"/>
    <x v="0"/>
    <x v="0"/>
    <m/>
    <x v="6"/>
    <x v="0"/>
    <x v="0"/>
    <x v="14"/>
    <x v="0"/>
    <n v="83"/>
    <n v="1.3833333333333333"/>
    <n v="1.3833333333333333"/>
    <n v="10.616666666666667"/>
    <x v="1"/>
    <x v="0"/>
    <m/>
    <x v="0"/>
    <n v="503.6"/>
    <x v="0"/>
    <x v="10"/>
    <x v="0"/>
    <x v="0"/>
    <x v="0"/>
  </r>
  <r>
    <x v="1"/>
    <x v="12"/>
    <s v="2808/1"/>
    <x v="133"/>
    <s v="MATCO FOOD"/>
    <s v="LDN"/>
    <n v="23"/>
    <s v="70±1"/>
    <s v="LDN"/>
    <n v="3500"/>
    <x v="0"/>
    <n v="6"/>
    <n v="655.69999999999993"/>
    <n v="16.8"/>
    <m/>
    <x v="0"/>
    <n v="638.9"/>
    <n v="3132.53"/>
    <m/>
    <x v="0"/>
    <x v="0"/>
    <n v="0"/>
    <n v="0"/>
    <x v="0"/>
    <x v="0"/>
    <m/>
    <x v="0"/>
    <x v="0"/>
    <x v="0"/>
    <x v="0"/>
    <x v="0"/>
    <n v="0"/>
    <n v="0"/>
    <n v="0"/>
    <n v="12"/>
    <x v="1"/>
    <x v="0"/>
    <m/>
    <x v="0"/>
    <n v="660.69999999999993"/>
    <x v="0"/>
    <x v="10"/>
    <x v="0"/>
    <x v="0"/>
    <x v="0"/>
  </r>
  <r>
    <x v="0"/>
    <x v="14"/>
    <s v="5026 J"/>
    <x v="133"/>
    <s v="RMC PACK"/>
    <s v="LD پیلا"/>
    <s v="9.5+3+3"/>
    <s v="7.5"/>
    <s v="LDM"/>
    <n v="150"/>
    <x v="0"/>
    <n v="5"/>
    <n v="133.9"/>
    <n v="4"/>
    <m/>
    <x v="0"/>
    <n v="129.9"/>
    <n v="155.30000000000001"/>
    <n v="7"/>
    <x v="0"/>
    <x v="0"/>
    <n v="7"/>
    <n v="0.11666666666666667"/>
    <x v="0"/>
    <x v="0"/>
    <m/>
    <x v="0"/>
    <x v="0"/>
    <x v="0"/>
    <x v="0"/>
    <x v="0"/>
    <n v="0"/>
    <n v="0"/>
    <n v="0.11666666666666667"/>
    <n v="11.883333333333333"/>
    <x v="1"/>
    <x v="0"/>
    <m/>
    <x v="0"/>
    <n v="138.9"/>
    <x v="0"/>
    <x v="10"/>
    <x v="0"/>
    <x v="0"/>
    <x v="0"/>
  </r>
  <r>
    <x v="0"/>
    <x v="14"/>
    <s v="5012 J"/>
    <x v="133"/>
    <s v="Moazmi Plastic Sahiwal"/>
    <s v="LDM"/>
    <s v="30&quot; شیٹ"/>
    <s v="3-3.5/6-7"/>
    <s v="LDM"/>
    <n v="120"/>
    <x v="0"/>
    <n v="4"/>
    <n v="136.74"/>
    <n v="15.6"/>
    <n v="60"/>
    <x v="0"/>
    <n v="121.14000000000001"/>
    <n v="121.14000000000001"/>
    <n v="30"/>
    <x v="0"/>
    <x v="0"/>
    <n v="30"/>
    <n v="0.5"/>
    <x v="0"/>
    <x v="0"/>
    <m/>
    <x v="0"/>
    <x v="0"/>
    <x v="0"/>
    <x v="0"/>
    <x v="0"/>
    <n v="0"/>
    <n v="0"/>
    <n v="0.5"/>
    <n v="11.5"/>
    <x v="1"/>
    <x v="0"/>
    <m/>
    <x v="0"/>
    <n v="141.74"/>
    <x v="0"/>
    <x v="10"/>
    <x v="0"/>
    <x v="0"/>
    <x v="0"/>
  </r>
  <r>
    <x v="0"/>
    <x v="14"/>
    <s v="5051 J"/>
    <x v="133"/>
    <s v="The Kids Mall Lahore"/>
    <s v="LDM"/>
    <n v="18.5"/>
    <s v="15-16"/>
    <s v="LDM"/>
    <n v="300"/>
    <x v="0"/>
    <n v="3"/>
    <n v="166.18"/>
    <n v="7.1999999999999993"/>
    <m/>
    <x v="0"/>
    <n v="158.98000000000002"/>
    <n v="306.06"/>
    <m/>
    <x v="0"/>
    <x v="0"/>
    <n v="0"/>
    <n v="0"/>
    <x v="0"/>
    <x v="0"/>
    <m/>
    <x v="0"/>
    <x v="0"/>
    <x v="0"/>
    <x v="0"/>
    <x v="0"/>
    <n v="0"/>
    <n v="0"/>
    <n v="0"/>
    <n v="12"/>
    <x v="1"/>
    <x v="0"/>
    <m/>
    <x v="0"/>
    <n v="171.18"/>
    <x v="0"/>
    <x v="10"/>
    <x v="0"/>
    <x v="0"/>
    <x v="0"/>
  </r>
  <r>
    <x v="0"/>
    <x v="14"/>
    <s v="4915 J"/>
    <x v="133"/>
    <s v="Ahsan Bilal FSD"/>
    <s v="LDM"/>
    <n v="22"/>
    <s v="17-15"/>
    <s v="LDM"/>
    <n v="150"/>
    <x v="0"/>
    <n v="1"/>
    <n v="151.19999999999999"/>
    <n v="2.8"/>
    <m/>
    <x v="0"/>
    <n v="148.39999999999998"/>
    <n v="148.39999999999998"/>
    <m/>
    <x v="0"/>
    <x v="0"/>
    <n v="0"/>
    <n v="0"/>
    <x v="0"/>
    <x v="0"/>
    <m/>
    <x v="0"/>
    <x v="0"/>
    <x v="0"/>
    <x v="0"/>
    <x v="0"/>
    <n v="0"/>
    <n v="0"/>
    <n v="0"/>
    <n v="12"/>
    <x v="1"/>
    <x v="0"/>
    <m/>
    <x v="0"/>
    <n v="156.19999999999999"/>
    <x v="0"/>
    <x v="10"/>
    <x v="0"/>
    <x v="0"/>
    <x v="0"/>
  </r>
  <r>
    <x v="1"/>
    <x v="14"/>
    <s v="5026 J"/>
    <x v="133"/>
    <s v="RMC PACK"/>
    <s v="LD پیلا"/>
    <s v="9.5+3+3"/>
    <s v="7.5"/>
    <s v="LDM"/>
    <n v="150"/>
    <x v="0"/>
    <n v="1"/>
    <n v="27"/>
    <n v="1.6"/>
    <n v="64"/>
    <x v="0"/>
    <n v="25.4"/>
    <n v="155.30000000000001"/>
    <n v="20"/>
    <x v="0"/>
    <x v="0"/>
    <n v="20"/>
    <n v="0.33333333333333331"/>
    <x v="0"/>
    <x v="0"/>
    <m/>
    <x v="0"/>
    <x v="0"/>
    <x v="0"/>
    <x v="0"/>
    <x v="0"/>
    <n v="0"/>
    <n v="0"/>
    <n v="0.33333333333333331"/>
    <n v="11.666666666666666"/>
    <x v="1"/>
    <x v="0"/>
    <m/>
    <x v="0"/>
    <n v="32"/>
    <x v="0"/>
    <x v="10"/>
    <x v="0"/>
    <x v="0"/>
    <x v="0"/>
  </r>
  <r>
    <x v="1"/>
    <x v="14"/>
    <s v="5025 J"/>
    <x v="133"/>
    <s v="RMC PACK"/>
    <s v="LD پیلا"/>
    <s v="12+3+3"/>
    <s v="7.5"/>
    <s v="LDM"/>
    <n v="100"/>
    <x v="0"/>
    <n v="4"/>
    <n v="110.22"/>
    <n v="5.2"/>
    <m/>
    <x v="0"/>
    <n v="105.02"/>
    <n v="105.02"/>
    <n v="20"/>
    <x v="0"/>
    <x v="0"/>
    <n v="20"/>
    <n v="0.33333333333333331"/>
    <x v="0"/>
    <x v="0"/>
    <m/>
    <x v="0"/>
    <x v="0"/>
    <x v="0"/>
    <x v="0"/>
    <x v="0"/>
    <n v="0"/>
    <n v="0"/>
    <n v="0.33333333333333331"/>
    <n v="11.666666666666666"/>
    <x v="1"/>
    <x v="0"/>
    <m/>
    <x v="0"/>
    <n v="115.22"/>
    <x v="0"/>
    <x v="10"/>
    <x v="0"/>
    <x v="0"/>
    <x v="0"/>
  </r>
  <r>
    <x v="1"/>
    <x v="14"/>
    <s v="5027 J"/>
    <x v="133"/>
    <s v="RMC PACK"/>
    <s v="LD کریم"/>
    <s v="12+3+3"/>
    <s v="7.5"/>
    <s v="LDM"/>
    <n v="100"/>
    <x v="0"/>
    <n v="4"/>
    <n v="104.94"/>
    <n v="4"/>
    <m/>
    <x v="0"/>
    <n v="100.94"/>
    <n v="100.94"/>
    <n v="10"/>
    <x v="0"/>
    <x v="0"/>
    <n v="10"/>
    <n v="0.16666666666666666"/>
    <x v="0"/>
    <x v="0"/>
    <m/>
    <x v="0"/>
    <x v="0"/>
    <x v="0"/>
    <x v="0"/>
    <x v="0"/>
    <n v="0"/>
    <n v="0"/>
    <n v="0.16666666666666666"/>
    <n v="11.833333333333334"/>
    <x v="1"/>
    <x v="0"/>
    <m/>
    <x v="0"/>
    <n v="109.94"/>
    <x v="0"/>
    <x v="10"/>
    <x v="0"/>
    <x v="0"/>
    <x v="0"/>
  </r>
  <r>
    <x v="1"/>
    <x v="14"/>
    <s v="5035 J"/>
    <x v="133"/>
    <s v="Mugal Plastic Layyah"/>
    <s v="LD کریم"/>
    <s v="12+3+3"/>
    <s v="7.5-8/15-16"/>
    <s v="LDM"/>
    <n v="125"/>
    <x v="0"/>
    <n v="5"/>
    <n v="126.25"/>
    <n v="5.5"/>
    <m/>
    <x v="0"/>
    <n v="120.75"/>
    <n v="120.75"/>
    <n v="8"/>
    <x v="0"/>
    <x v="0"/>
    <n v="8"/>
    <n v="0.13333333333333333"/>
    <x v="0"/>
    <x v="0"/>
    <m/>
    <x v="0"/>
    <x v="0"/>
    <x v="0"/>
    <x v="0"/>
    <x v="0"/>
    <n v="0"/>
    <n v="0"/>
    <n v="0.13333333333333333"/>
    <n v="11.866666666666667"/>
    <x v="1"/>
    <x v="0"/>
    <m/>
    <x v="0"/>
    <n v="131.25"/>
    <x v="0"/>
    <x v="10"/>
    <x v="0"/>
    <x v="0"/>
    <x v="0"/>
  </r>
  <r>
    <x v="1"/>
    <x v="14"/>
    <s v="5048 J"/>
    <x v="133"/>
    <s v="Saleem sweets Atok Hazro "/>
    <s v="LD کریم"/>
    <s v="12+3+3"/>
    <s v="7.5-8/15-16"/>
    <s v="LDM"/>
    <n v="125"/>
    <x v="0"/>
    <n v="5"/>
    <n v="129.05000000000001"/>
    <n v="7.5"/>
    <m/>
    <x v="0"/>
    <n v="121.55000000000001"/>
    <n v="121.55000000000001"/>
    <m/>
    <x v="0"/>
    <x v="0"/>
    <n v="0"/>
    <n v="0"/>
    <x v="0"/>
    <x v="0"/>
    <m/>
    <x v="0"/>
    <x v="0"/>
    <x v="0"/>
    <x v="0"/>
    <x v="0"/>
    <n v="0"/>
    <n v="0"/>
    <n v="0"/>
    <n v="12"/>
    <x v="1"/>
    <x v="0"/>
    <m/>
    <x v="0"/>
    <n v="134.05000000000001"/>
    <x v="0"/>
    <x v="10"/>
    <x v="0"/>
    <x v="0"/>
    <x v="0"/>
  </r>
  <r>
    <x v="1"/>
    <x v="14"/>
    <s v="5051 J"/>
    <x v="133"/>
    <s v="The Kids Mall Lahore"/>
    <s v="LDM"/>
    <n v="18.5"/>
    <s v="15-16"/>
    <s v="LDM"/>
    <n v="300"/>
    <x v="0"/>
    <n v="1"/>
    <n v="53.2"/>
    <n v="2.4"/>
    <m/>
    <x v="0"/>
    <n v="50.800000000000004"/>
    <n v="306.06"/>
    <m/>
    <x v="0"/>
    <x v="0"/>
    <n v="0"/>
    <n v="0"/>
    <x v="0"/>
    <x v="0"/>
    <m/>
    <x v="0"/>
    <x v="0"/>
    <x v="0"/>
    <x v="0"/>
    <x v="0"/>
    <n v="0"/>
    <n v="0"/>
    <n v="0"/>
    <n v="12"/>
    <x v="1"/>
    <x v="0"/>
    <m/>
    <x v="0"/>
    <n v="58.2"/>
    <x v="0"/>
    <x v="10"/>
    <x v="0"/>
    <x v="0"/>
    <x v="0"/>
  </r>
  <r>
    <x v="0"/>
    <x v="15"/>
    <s v="2345 F"/>
    <x v="133"/>
    <s v="-"/>
    <m/>
    <m/>
    <m/>
    <m/>
    <m/>
    <x v="0"/>
    <n v="5"/>
    <n v="409.70000000000005"/>
    <n v="15.75"/>
    <n v="21"/>
    <x v="0"/>
    <n v="393.95000000000005"/>
    <n v="460.70000000000005"/>
    <m/>
    <x v="0"/>
    <x v="0"/>
    <n v="0"/>
    <n v="0"/>
    <x v="0"/>
    <x v="0"/>
    <m/>
    <x v="5"/>
    <x v="0"/>
    <x v="0"/>
    <x v="0"/>
    <x v="0"/>
    <n v="3"/>
    <n v="0.05"/>
    <n v="0.05"/>
    <n v="11.95"/>
    <x v="1"/>
    <x v="0"/>
    <m/>
    <x v="0"/>
    <n v="414.70000000000005"/>
    <x v="0"/>
    <x v="10"/>
    <x v="0"/>
    <x v="0"/>
    <x v="0"/>
  </r>
  <r>
    <x v="0"/>
    <x v="15"/>
    <s v="2351 F"/>
    <x v="133"/>
    <s v="Usman Amin"/>
    <s v="LDN"/>
    <n v="26"/>
    <s v="8"/>
    <s v="LDN"/>
    <n v="85"/>
    <x v="0"/>
    <n v="1"/>
    <n v="104.4"/>
    <n v="3.15"/>
    <m/>
    <x v="0"/>
    <n v="101.25"/>
    <n v="101.25"/>
    <m/>
    <x v="0"/>
    <x v="0"/>
    <n v="0"/>
    <n v="0"/>
    <x v="0"/>
    <x v="0"/>
    <m/>
    <x v="4"/>
    <x v="0"/>
    <x v="0"/>
    <x v="0"/>
    <x v="0"/>
    <n v="2"/>
    <n v="3.3333333333333333E-2"/>
    <n v="3.3333333333333333E-2"/>
    <n v="11.966666666666667"/>
    <x v="1"/>
    <x v="0"/>
    <m/>
    <x v="0"/>
    <n v="109.4"/>
    <x v="0"/>
    <x v="10"/>
    <x v="0"/>
    <x v="0"/>
    <x v="0"/>
  </r>
  <r>
    <x v="1"/>
    <x v="15"/>
    <s v="2354 F"/>
    <x v="133"/>
    <s v="Usman Amin"/>
    <s v="LDN"/>
    <n v="26"/>
    <s v="7-7.5"/>
    <s v="LDN"/>
    <n v="136"/>
    <x v="0"/>
    <n v="2"/>
    <n v="136.07"/>
    <n v="5.65"/>
    <n v="17"/>
    <x v="0"/>
    <n v="130.41999999999999"/>
    <n v="130.41999999999999"/>
    <m/>
    <x v="0"/>
    <x v="0"/>
    <n v="0"/>
    <n v="0"/>
    <x v="0"/>
    <x v="0"/>
    <m/>
    <x v="5"/>
    <x v="0"/>
    <x v="0"/>
    <x v="0"/>
    <x v="0"/>
    <n v="3"/>
    <n v="0.05"/>
    <n v="0.05"/>
    <n v="11.95"/>
    <x v="1"/>
    <x v="0"/>
    <m/>
    <x v="0"/>
    <n v="141.07"/>
    <x v="0"/>
    <x v="10"/>
    <x v="0"/>
    <x v="0"/>
    <x v="0"/>
  </r>
  <r>
    <x v="1"/>
    <x v="15"/>
    <s v="2348 F"/>
    <x v="133"/>
    <s v="Usman Amin"/>
    <s v="LDN"/>
    <n v="19"/>
    <s v="7-7.5"/>
    <s v="LDN"/>
    <n v="5"/>
    <x v="0"/>
    <n v="5"/>
    <n v="441.01"/>
    <n v="17.25"/>
    <m/>
    <x v="0"/>
    <n v="423.76"/>
    <n v="423.76"/>
    <m/>
    <x v="0"/>
    <x v="0"/>
    <n v="0"/>
    <n v="0"/>
    <x v="0"/>
    <x v="0"/>
    <m/>
    <x v="0"/>
    <x v="0"/>
    <x v="0"/>
    <x v="0"/>
    <x v="0"/>
    <n v="0"/>
    <n v="0"/>
    <n v="0"/>
    <n v="12"/>
    <x v="1"/>
    <x v="0"/>
    <m/>
    <x v="0"/>
    <n v="446.01"/>
    <x v="0"/>
    <x v="10"/>
    <x v="0"/>
    <x v="0"/>
    <x v="0"/>
  </r>
  <r>
    <x v="0"/>
    <x v="8"/>
    <s v="4925 J"/>
    <x v="134"/>
    <s v="Abu Baker Butt Lahore"/>
    <s v="LDN"/>
    <n v="8.5"/>
    <s v="8.5-9"/>
    <s v="LDN"/>
    <n v="2000"/>
    <x v="0"/>
    <n v="3"/>
    <n v="184"/>
    <n v="2.6"/>
    <n v="3"/>
    <x v="0"/>
    <n v="181.4"/>
    <n v="2075.8900000000003"/>
    <m/>
    <x v="0"/>
    <x v="0"/>
    <n v="0"/>
    <n v="0"/>
    <x v="0"/>
    <x v="7"/>
    <m/>
    <x v="0"/>
    <x v="0"/>
    <x v="0"/>
    <x v="0"/>
    <x v="0"/>
    <n v="5"/>
    <n v="8.3333333333333329E-2"/>
    <n v="8.3333333333333329E-2"/>
    <n v="11.916666666666666"/>
    <x v="1"/>
    <x v="0"/>
    <m/>
    <x v="0"/>
    <n v="189"/>
    <x v="0"/>
    <x v="10"/>
    <x v="0"/>
    <x v="0"/>
    <x v="0"/>
  </r>
  <r>
    <x v="1"/>
    <x v="8"/>
    <s v="4925 J"/>
    <x v="134"/>
    <s v="Abu Baker Butt Lahore"/>
    <s v="LDN"/>
    <n v="8.5"/>
    <s v="8.5-9"/>
    <s v="LDN"/>
    <n v="2000"/>
    <x v="0"/>
    <n v="3"/>
    <n v="195.8"/>
    <n v="2.4"/>
    <m/>
    <x v="0"/>
    <n v="193.4"/>
    <n v="2075.8900000000003"/>
    <m/>
    <x v="0"/>
    <x v="0"/>
    <n v="0"/>
    <n v="0"/>
    <x v="0"/>
    <x v="0"/>
    <m/>
    <x v="0"/>
    <x v="0"/>
    <x v="0"/>
    <x v="0"/>
    <x v="0"/>
    <n v="0"/>
    <n v="0"/>
    <n v="0"/>
    <n v="12"/>
    <x v="1"/>
    <x v="0"/>
    <m/>
    <x v="0"/>
    <n v="200.8"/>
    <x v="0"/>
    <x v="10"/>
    <x v="0"/>
    <x v="0"/>
    <x v="0"/>
  </r>
  <r>
    <x v="0"/>
    <x v="9"/>
    <s v="5046 J"/>
    <x v="134"/>
    <s v="Shah Jee Achar Mardan"/>
    <s v="LDN"/>
    <n v="5"/>
    <s v="12-12.5"/>
    <s v="LDN"/>
    <n v="200"/>
    <x v="0"/>
    <n v="1"/>
    <n v="95.9"/>
    <n v="1.4"/>
    <n v="2"/>
    <x v="0"/>
    <n v="94.5"/>
    <n v="203.60000000000002"/>
    <n v="3"/>
    <x v="0"/>
    <x v="0"/>
    <n v="3"/>
    <n v="0.05"/>
    <x v="0"/>
    <x v="0"/>
    <m/>
    <x v="0"/>
    <x v="0"/>
    <x v="0"/>
    <x v="0"/>
    <x v="0"/>
    <n v="0"/>
    <n v="0"/>
    <n v="0.05"/>
    <n v="11.95"/>
    <x v="1"/>
    <x v="0"/>
    <m/>
    <x v="0"/>
    <n v="75.39"/>
    <x v="0"/>
    <x v="10"/>
    <x v="0"/>
    <x v="0"/>
    <x v="0"/>
  </r>
  <r>
    <x v="0"/>
    <x v="9"/>
    <s v="5047 J"/>
    <x v="134"/>
    <s v="Shah Jee Achar Mardan"/>
    <s v="LDN"/>
    <n v="7"/>
    <s v="10"/>
    <s v="LDN"/>
    <n v="100"/>
    <x v="0"/>
    <n v="1"/>
    <n v="41.5"/>
    <n v="0.8"/>
    <m/>
    <x v="0"/>
    <n v="40.700000000000003"/>
    <n v="93.2"/>
    <n v="2"/>
    <x v="0"/>
    <x v="0"/>
    <n v="2"/>
    <n v="3.3333333333333333E-2"/>
    <x v="0"/>
    <x v="0"/>
    <m/>
    <x v="0"/>
    <x v="0"/>
    <x v="0"/>
    <x v="0"/>
    <x v="0"/>
    <n v="0"/>
    <n v="0"/>
    <n v="3.3333333333333333E-2"/>
    <n v="11.966666666666667"/>
    <x v="1"/>
    <x v="0"/>
    <m/>
    <x v="0"/>
    <n v="75.39"/>
    <x v="0"/>
    <x v="10"/>
    <x v="0"/>
    <x v="0"/>
    <x v="0"/>
  </r>
  <r>
    <x v="1"/>
    <x v="9"/>
    <s v="5047 J"/>
    <x v="134"/>
    <s v="Shah Jee Achar Mardan"/>
    <s v="LDN"/>
    <n v="7"/>
    <s v="10"/>
    <s v="LDN"/>
    <n v="100"/>
    <x v="0"/>
    <n v="1"/>
    <n v="55.4"/>
    <n v="2.9"/>
    <n v="2"/>
    <x v="0"/>
    <n v="52.5"/>
    <n v="93.2"/>
    <m/>
    <x v="0"/>
    <x v="0"/>
    <n v="0"/>
    <n v="0"/>
    <x v="0"/>
    <x v="0"/>
    <m/>
    <x v="0"/>
    <x v="0"/>
    <x v="0"/>
    <x v="0"/>
    <x v="0"/>
    <n v="0"/>
    <n v="0"/>
    <n v="0"/>
    <n v="12"/>
    <x v="1"/>
    <x v="0"/>
    <m/>
    <x v="0"/>
    <n v="75.39"/>
    <x v="0"/>
    <x v="10"/>
    <x v="0"/>
    <x v="0"/>
    <x v="0"/>
  </r>
  <r>
    <x v="1"/>
    <x v="9"/>
    <s v="5064 J"/>
    <x v="134"/>
    <s v="Smart Cash And Carry Norkot"/>
    <s v="LDN"/>
    <n v="7"/>
    <s v="14-15"/>
    <s v="LDN"/>
    <n v="300"/>
    <x v="0"/>
    <n v="1"/>
    <n v="44.5"/>
    <n v="0.9"/>
    <m/>
    <x v="0"/>
    <n v="43.6"/>
    <n v="297.60000000000002"/>
    <m/>
    <x v="0"/>
    <x v="0"/>
    <n v="0"/>
    <n v="0"/>
    <x v="0"/>
    <x v="0"/>
    <m/>
    <x v="0"/>
    <x v="0"/>
    <x v="0"/>
    <x v="0"/>
    <x v="0"/>
    <n v="0"/>
    <n v="0"/>
    <n v="0"/>
    <n v="12"/>
    <x v="1"/>
    <x v="0"/>
    <m/>
    <x v="0"/>
    <n v="75.39"/>
    <x v="0"/>
    <x v="10"/>
    <x v="0"/>
    <x v="0"/>
    <x v="0"/>
  </r>
  <r>
    <x v="1"/>
    <x v="9"/>
    <s v="5080 J"/>
    <x v="134"/>
    <s v="RMC PACK"/>
    <s v="LDN"/>
    <n v="11"/>
    <s v="7-7.5"/>
    <s v="LDN"/>
    <n v="50"/>
    <x v="0"/>
    <n v="1"/>
    <n v="22.5"/>
    <n v="1.3"/>
    <m/>
    <x v="0"/>
    <n v="21.2"/>
    <n v="21.2"/>
    <m/>
    <x v="0"/>
    <x v="0"/>
    <n v="0"/>
    <n v="0"/>
    <x v="0"/>
    <x v="0"/>
    <m/>
    <x v="0"/>
    <x v="0"/>
    <x v="0"/>
    <x v="0"/>
    <x v="0"/>
    <n v="0"/>
    <n v="0"/>
    <n v="0"/>
    <n v="12"/>
    <x v="1"/>
    <x v="0"/>
    <m/>
    <x v="0"/>
    <n v="75.39"/>
    <x v="0"/>
    <x v="10"/>
    <x v="0"/>
    <x v="0"/>
    <x v="0"/>
  </r>
  <r>
    <x v="0"/>
    <x v="10"/>
    <s v="2807/1"/>
    <x v="134"/>
    <s v="PT-01"/>
    <s v="LD سرخ"/>
    <n v="6"/>
    <n v="80"/>
    <s v="LD سرخ"/>
    <n v="2500"/>
    <x v="0"/>
    <n v="11"/>
    <n v="405.44000000000005"/>
    <m/>
    <n v="30"/>
    <x v="0"/>
    <n v="405.44000000000005"/>
    <n v="5041.09"/>
    <m/>
    <x v="0"/>
    <x v="0"/>
    <n v="0"/>
    <n v="0"/>
    <x v="0"/>
    <x v="0"/>
    <m/>
    <x v="1"/>
    <x v="0"/>
    <x v="0"/>
    <x v="6"/>
    <x v="0"/>
    <n v="70"/>
    <n v="1.1666666666666667"/>
    <n v="1.1666666666666667"/>
    <n v="10.833333333333334"/>
    <x v="1"/>
    <x v="0"/>
    <m/>
    <x v="0"/>
    <n v="410.44000000000005"/>
    <x v="0"/>
    <x v="10"/>
    <x v="0"/>
    <x v="0"/>
    <x v="0"/>
  </r>
  <r>
    <x v="1"/>
    <x v="10"/>
    <s v="2807/1"/>
    <x v="134"/>
    <s v="PT-01"/>
    <s v="LD سرخ"/>
    <n v="6"/>
    <n v="80"/>
    <s v="LD سرخ"/>
    <n v="2500"/>
    <x v="0"/>
    <n v="5"/>
    <n v="147.89999999999998"/>
    <m/>
    <m/>
    <x v="0"/>
    <n v="147.89999999999998"/>
    <n v="5041.09"/>
    <m/>
    <x v="0"/>
    <x v="0"/>
    <n v="0"/>
    <n v="0"/>
    <x v="0"/>
    <x v="0"/>
    <m/>
    <x v="0"/>
    <x v="0"/>
    <x v="6"/>
    <x v="0"/>
    <x v="0"/>
    <n v="480"/>
    <n v="8"/>
    <n v="8"/>
    <n v="4"/>
    <x v="1"/>
    <x v="0"/>
    <m/>
    <x v="0"/>
    <n v="152.89999999999998"/>
    <x v="0"/>
    <x v="10"/>
    <x v="0"/>
    <x v="0"/>
    <x v="0"/>
  </r>
  <r>
    <x v="1"/>
    <x v="11"/>
    <s v="2783/4"/>
    <x v="134"/>
    <s v="PT-01"/>
    <s v="LD سرخ"/>
    <n v="8"/>
    <n v="80"/>
    <s v="LD سرخ"/>
    <n v="5000"/>
    <x v="0"/>
    <n v="8"/>
    <n v="189.21"/>
    <m/>
    <n v="25"/>
    <x v="0"/>
    <n v="189.21"/>
    <n v="4431.72"/>
    <m/>
    <x v="0"/>
    <x v="2"/>
    <n v="180"/>
    <n v="3"/>
    <x v="0"/>
    <x v="0"/>
    <m/>
    <x v="0"/>
    <x v="0"/>
    <x v="0"/>
    <x v="0"/>
    <x v="0"/>
    <n v="0"/>
    <n v="0"/>
    <n v="3"/>
    <n v="9"/>
    <x v="1"/>
    <x v="0"/>
    <m/>
    <x v="0"/>
    <n v="294"/>
    <x v="0"/>
    <x v="10"/>
    <x v="0"/>
    <x v="0"/>
    <x v="0"/>
  </r>
  <r>
    <x v="0"/>
    <x v="13"/>
    <s v="4939 J"/>
    <x v="134"/>
    <s v="Khalid Printers LHR"/>
    <s v="LDN"/>
    <n v="20"/>
    <s v="7.5-8"/>
    <s v="LDN"/>
    <n v="160"/>
    <x v="0"/>
    <n v="2"/>
    <n v="110.1"/>
    <n v="4.8"/>
    <n v="7"/>
    <x v="0"/>
    <n v="105.3"/>
    <n v="320.97999999999996"/>
    <n v="4"/>
    <x v="0"/>
    <x v="0"/>
    <n v="4"/>
    <n v="6.6666666666666666E-2"/>
    <x v="0"/>
    <x v="0"/>
    <m/>
    <x v="0"/>
    <x v="0"/>
    <x v="0"/>
    <x v="0"/>
    <x v="0"/>
    <n v="0"/>
    <n v="0"/>
    <n v="6.6666666666666666E-2"/>
    <n v="11.933333333333334"/>
    <x v="1"/>
    <x v="0"/>
    <m/>
    <x v="0"/>
    <n v="115.1"/>
    <x v="0"/>
    <x v="10"/>
    <x v="0"/>
    <x v="0"/>
    <x v="0"/>
  </r>
  <r>
    <x v="0"/>
    <x v="13"/>
    <s v="4968 J"/>
    <x v="134"/>
    <s v="M K B Peshawar"/>
    <s v="LDN"/>
    <n v="22"/>
    <s v="6-6.5"/>
    <s v="LDN"/>
    <n v="250"/>
    <x v="0"/>
    <n v="3"/>
    <n v="243.2"/>
    <n v="7.5"/>
    <m/>
    <x v="0"/>
    <n v="235.7"/>
    <n v="235.7"/>
    <n v="3"/>
    <x v="0"/>
    <x v="0"/>
    <n v="3"/>
    <n v="0.05"/>
    <x v="0"/>
    <x v="0"/>
    <m/>
    <x v="0"/>
    <x v="0"/>
    <x v="0"/>
    <x v="0"/>
    <x v="0"/>
    <n v="0"/>
    <n v="0"/>
    <n v="0.05"/>
    <n v="11.95"/>
    <x v="1"/>
    <x v="0"/>
    <m/>
    <x v="0"/>
    <n v="248.2"/>
    <x v="0"/>
    <x v="10"/>
    <x v="0"/>
    <x v="0"/>
    <x v="0"/>
  </r>
  <r>
    <x v="1"/>
    <x v="13"/>
    <s v="5077 J"/>
    <x v="134"/>
    <s v="AY CANS  LAHORE"/>
    <s v="LDN"/>
    <n v="24"/>
    <s v="6"/>
    <s v="LDN"/>
    <n v="200"/>
    <x v="0"/>
    <n v="3"/>
    <n v="207.66000000000003"/>
    <n v="8.6999999999999993"/>
    <n v="5.4"/>
    <x v="0"/>
    <n v="198.96000000000004"/>
    <n v="198.96000000000004"/>
    <m/>
    <x v="0"/>
    <x v="0"/>
    <n v="0"/>
    <n v="0"/>
    <x v="0"/>
    <x v="0"/>
    <m/>
    <x v="0"/>
    <x v="0"/>
    <x v="0"/>
    <x v="0"/>
    <x v="0"/>
    <n v="0"/>
    <n v="0"/>
    <n v="0"/>
    <n v="12"/>
    <x v="1"/>
    <x v="0"/>
    <m/>
    <x v="0"/>
    <n v="212.66000000000003"/>
    <x v="0"/>
    <x v="10"/>
    <x v="0"/>
    <x v="0"/>
    <x v="0"/>
  </r>
  <r>
    <x v="1"/>
    <x v="13"/>
    <s v="5043 J"/>
    <x v="134"/>
    <s v="Allied Impex Sialkot "/>
    <s v="LDN"/>
    <n v="24"/>
    <s v="10"/>
    <s v="LDN"/>
    <n v="250"/>
    <x v="0"/>
    <n v="3"/>
    <n v="196.53000000000003"/>
    <n v="8.6999999999999993"/>
    <m/>
    <x v="0"/>
    <n v="187.83000000000004"/>
    <n v="261.19000000000005"/>
    <m/>
    <x v="0"/>
    <x v="0"/>
    <n v="0"/>
    <n v="0"/>
    <x v="0"/>
    <x v="0"/>
    <m/>
    <x v="0"/>
    <x v="0"/>
    <x v="0"/>
    <x v="0"/>
    <x v="0"/>
    <n v="0"/>
    <n v="0"/>
    <n v="0"/>
    <n v="12"/>
    <x v="1"/>
    <x v="0"/>
    <m/>
    <x v="0"/>
    <n v="201.53000000000003"/>
    <x v="0"/>
    <x v="10"/>
    <x v="0"/>
    <x v="0"/>
    <x v="0"/>
  </r>
  <r>
    <x v="0"/>
    <x v="12"/>
    <s v="2808/1"/>
    <x v="134"/>
    <s v="MATCO FOOD"/>
    <s v="LDN"/>
    <n v="23"/>
    <s v="70±1"/>
    <s v="LDN"/>
    <n v="3500"/>
    <x v="0"/>
    <n v="5"/>
    <n v="575.6"/>
    <n v="14"/>
    <m/>
    <x v="0"/>
    <n v="561.6"/>
    <n v="3132.53"/>
    <m/>
    <x v="0"/>
    <x v="0"/>
    <n v="0"/>
    <n v="0"/>
    <x v="0"/>
    <x v="0"/>
    <m/>
    <x v="0"/>
    <x v="0"/>
    <x v="0"/>
    <x v="0"/>
    <x v="0"/>
    <n v="0"/>
    <n v="0"/>
    <n v="0"/>
    <n v="12"/>
    <x v="1"/>
    <x v="0"/>
    <m/>
    <x v="0"/>
    <n v="580.6"/>
    <x v="0"/>
    <x v="10"/>
    <x v="0"/>
    <x v="0"/>
    <x v="0"/>
  </r>
  <r>
    <x v="1"/>
    <x v="12"/>
    <s v="2808/1"/>
    <x v="134"/>
    <s v="MATCO FOOD"/>
    <s v="LDN"/>
    <n v="23"/>
    <s v="70±1"/>
    <s v="LDN"/>
    <n v="3500"/>
    <x v="0"/>
    <n v="1"/>
    <n v="138.1"/>
    <n v="2.8"/>
    <m/>
    <x v="0"/>
    <n v="135.29999999999998"/>
    <n v="3132.53"/>
    <n v="10"/>
    <x v="0"/>
    <x v="0"/>
    <n v="10"/>
    <n v="0.16666666666666666"/>
    <x v="0"/>
    <x v="0"/>
    <m/>
    <x v="0"/>
    <x v="0"/>
    <x v="0"/>
    <x v="0"/>
    <x v="0"/>
    <n v="0"/>
    <n v="0"/>
    <n v="0.16666666666666666"/>
    <n v="11.833333333333334"/>
    <x v="1"/>
    <x v="0"/>
    <m/>
    <x v="0"/>
    <n v="143.1"/>
    <x v="0"/>
    <x v="10"/>
    <x v="0"/>
    <x v="0"/>
    <x v="0"/>
  </r>
  <r>
    <x v="1"/>
    <x v="12"/>
    <s v="2809/1"/>
    <x v="134"/>
    <s v="MATCO FOOD"/>
    <s v="LDN"/>
    <n v="29"/>
    <s v="85±1"/>
    <s v="LDN"/>
    <n v="2975"/>
    <x v="0"/>
    <n v="5"/>
    <n v="622.1"/>
    <n v="17.399999999999999"/>
    <m/>
    <x v="0"/>
    <n v="604.70000000000005"/>
    <n v="2887.95"/>
    <m/>
    <x v="0"/>
    <x v="0"/>
    <n v="0"/>
    <n v="0"/>
    <x v="0"/>
    <x v="0"/>
    <m/>
    <x v="0"/>
    <x v="0"/>
    <x v="0"/>
    <x v="0"/>
    <x v="0"/>
    <n v="0"/>
    <n v="0"/>
    <n v="0"/>
    <n v="12"/>
    <x v="1"/>
    <x v="0"/>
    <m/>
    <x v="0"/>
    <n v="627.1"/>
    <x v="0"/>
    <x v="10"/>
    <x v="0"/>
    <x v="0"/>
    <x v="0"/>
  </r>
  <r>
    <x v="0"/>
    <x v="14"/>
    <s v="5036 J"/>
    <x v="134"/>
    <s v="Mugal Plastic Layyah"/>
    <s v="LD کریم"/>
    <n v="26"/>
    <s v="17-18"/>
    <s v="LDM"/>
    <n v="125"/>
    <x v="0"/>
    <n v="1"/>
    <n v="127.5"/>
    <n v="3.5"/>
    <n v="66"/>
    <x v="0"/>
    <n v="124"/>
    <n v="124"/>
    <n v="30"/>
    <x v="0"/>
    <x v="0"/>
    <n v="30"/>
    <n v="0.5"/>
    <x v="0"/>
    <x v="0"/>
    <n v="60"/>
    <x v="0"/>
    <x v="0"/>
    <x v="0"/>
    <x v="0"/>
    <x v="0"/>
    <n v="60"/>
    <n v="1"/>
    <n v="1.5"/>
    <n v="10.5"/>
    <x v="1"/>
    <x v="0"/>
    <m/>
    <x v="0"/>
    <n v="132.5"/>
    <x v="0"/>
    <x v="10"/>
    <x v="0"/>
    <x v="0"/>
    <x v="0"/>
  </r>
  <r>
    <x v="0"/>
    <x v="14"/>
    <s v="4994 J"/>
    <x v="134"/>
    <s v="Mehboob Printers Gujranwala"/>
    <s v="LD سکائی بلو"/>
    <s v="10+2.5+2.5"/>
    <s v="5.5-6/11-12"/>
    <s v="LDM"/>
    <n v="300"/>
    <x v="0"/>
    <n v="3"/>
    <n v="70.94"/>
    <n v="3"/>
    <m/>
    <x v="0"/>
    <n v="67.94"/>
    <n v="289.88"/>
    <n v="10"/>
    <x v="0"/>
    <x v="0"/>
    <n v="10"/>
    <n v="0.16666666666666666"/>
    <x v="0"/>
    <x v="0"/>
    <m/>
    <x v="0"/>
    <x v="0"/>
    <x v="0"/>
    <x v="0"/>
    <x v="0"/>
    <n v="0"/>
    <n v="0"/>
    <n v="0.16666666666666666"/>
    <n v="11.833333333333334"/>
    <x v="1"/>
    <x v="0"/>
    <m/>
    <x v="0"/>
    <n v="75.94"/>
    <x v="0"/>
    <x v="10"/>
    <x v="0"/>
    <x v="0"/>
    <x v="0"/>
  </r>
  <r>
    <x v="0"/>
    <x v="14"/>
    <s v="4995 J"/>
    <x v="134"/>
    <s v="Mehboob Printers Gujranwala"/>
    <s v="LD سکائی بلو"/>
    <s v="11+3+3"/>
    <s v="5.5-6/11-12"/>
    <s v="LDM"/>
    <n v="300"/>
    <x v="0"/>
    <n v="11"/>
    <n v="343.13999999999993"/>
    <n v="13.74"/>
    <m/>
    <x v="0"/>
    <n v="329.39999999999992"/>
    <n v="329.39999999999992"/>
    <m/>
    <x v="0"/>
    <x v="0"/>
    <n v="0"/>
    <n v="0"/>
    <x v="0"/>
    <x v="0"/>
    <m/>
    <x v="0"/>
    <x v="0"/>
    <x v="0"/>
    <x v="0"/>
    <x v="0"/>
    <n v="0"/>
    <n v="0"/>
    <n v="0"/>
    <n v="12"/>
    <x v="1"/>
    <x v="0"/>
    <m/>
    <x v="0"/>
    <n v="348.13999999999993"/>
    <x v="0"/>
    <x v="10"/>
    <x v="0"/>
    <x v="0"/>
    <x v="0"/>
  </r>
  <r>
    <x v="1"/>
    <x v="14"/>
    <s v="4994 J"/>
    <x v="134"/>
    <s v="Mehboob Printers Gujranwala"/>
    <s v="LD سکائی بلو"/>
    <s v="10+2.5+2.5"/>
    <s v="5.5-6/11-12"/>
    <s v="LDM"/>
    <n v="300"/>
    <x v="0"/>
    <n v="10"/>
    <n v="231.93999999999997"/>
    <n v="10"/>
    <n v="54"/>
    <x v="0"/>
    <n v="221.93999999999997"/>
    <n v="289.88"/>
    <n v="45"/>
    <x v="0"/>
    <x v="0"/>
    <n v="45"/>
    <n v="0.75"/>
    <x v="0"/>
    <x v="0"/>
    <m/>
    <x v="0"/>
    <x v="0"/>
    <x v="0"/>
    <x v="0"/>
    <x v="0"/>
    <n v="0"/>
    <n v="0"/>
    <n v="0.75"/>
    <n v="11.25"/>
    <x v="1"/>
    <x v="0"/>
    <m/>
    <x v="0"/>
    <n v="236.93999999999997"/>
    <x v="0"/>
    <x v="10"/>
    <x v="0"/>
    <x v="0"/>
    <x v="0"/>
  </r>
  <r>
    <x v="1"/>
    <x v="14"/>
    <s v="4927 J"/>
    <x v="134"/>
    <s v="Khawaja Watch Center Lahore"/>
    <s v="LD لائٹ گرے"/>
    <n v="14.5"/>
    <s v="15.5-16"/>
    <s v="LDM"/>
    <n v="100"/>
    <x v="0"/>
    <n v="2"/>
    <n v="112.4"/>
    <n v="3.3"/>
    <m/>
    <x v="0"/>
    <n v="109.10000000000001"/>
    <n v="109.10000000000001"/>
    <n v="90"/>
    <x v="0"/>
    <x v="0"/>
    <n v="90"/>
    <n v="1.5"/>
    <x v="0"/>
    <x v="0"/>
    <m/>
    <x v="0"/>
    <x v="0"/>
    <x v="0"/>
    <x v="0"/>
    <x v="0"/>
    <n v="0"/>
    <n v="0"/>
    <n v="1.5"/>
    <n v="10.5"/>
    <x v="1"/>
    <x v="0"/>
    <m/>
    <x v="0"/>
    <n v="117.4"/>
    <x v="0"/>
    <x v="10"/>
    <x v="0"/>
    <x v="0"/>
    <x v="0"/>
  </r>
  <r>
    <x v="1"/>
    <x v="14"/>
    <s v="5049 J"/>
    <x v="134"/>
    <s v="The Kids Mall Lahore"/>
    <s v="LDM"/>
    <n v="14.5"/>
    <s v="12.5-13"/>
    <s v="LDM"/>
    <n v="200"/>
    <x v="0"/>
    <n v="2"/>
    <n v="146.60000000000002"/>
    <n v="2.8"/>
    <m/>
    <x v="0"/>
    <n v="143.80000000000001"/>
    <n v="201.3"/>
    <m/>
    <x v="0"/>
    <x v="0"/>
    <n v="0"/>
    <n v="0"/>
    <x v="0"/>
    <x v="0"/>
    <m/>
    <x v="0"/>
    <x v="0"/>
    <x v="0"/>
    <x v="0"/>
    <x v="0"/>
    <n v="0"/>
    <n v="0"/>
    <n v="0"/>
    <n v="12"/>
    <x v="1"/>
    <x v="0"/>
    <m/>
    <x v="0"/>
    <n v="151.60000000000002"/>
    <x v="0"/>
    <x v="10"/>
    <x v="0"/>
    <x v="0"/>
    <x v="0"/>
  </r>
  <r>
    <x v="0"/>
    <x v="15"/>
    <s v="2352 F"/>
    <x v="134"/>
    <s v="Usman Amin"/>
    <s v="LDN"/>
    <n v="28"/>
    <s v="8"/>
    <s v="LDN"/>
    <n v="148"/>
    <x v="0"/>
    <n v="2"/>
    <n v="165.7"/>
    <n v="6.85"/>
    <n v="20"/>
    <x v="0"/>
    <n v="158.85"/>
    <n v="158.85"/>
    <m/>
    <x v="0"/>
    <x v="0"/>
    <n v="0"/>
    <n v="0"/>
    <x v="0"/>
    <x v="0"/>
    <m/>
    <x v="0"/>
    <x v="0"/>
    <x v="0"/>
    <x v="0"/>
    <x v="0"/>
    <n v="0"/>
    <n v="0"/>
    <n v="0"/>
    <n v="12"/>
    <x v="1"/>
    <x v="0"/>
    <m/>
    <x v="0"/>
    <n v="170.7"/>
    <x v="0"/>
    <x v="10"/>
    <x v="0"/>
    <x v="0"/>
    <x v="0"/>
  </r>
  <r>
    <x v="0"/>
    <x v="15"/>
    <s v="2350 F"/>
    <x v="134"/>
    <s v="Usman Amin"/>
    <s v="LDN"/>
    <n v="32"/>
    <s v="8"/>
    <s v="LDN"/>
    <n v="3"/>
    <x v="0"/>
    <n v="4"/>
    <n v="357.8"/>
    <n v="15"/>
    <m/>
    <x v="0"/>
    <n v="342.8"/>
    <n v="342.8"/>
    <m/>
    <x v="0"/>
    <x v="0"/>
    <n v="0"/>
    <n v="0"/>
    <x v="0"/>
    <x v="0"/>
    <m/>
    <x v="0"/>
    <x v="0"/>
    <x v="0"/>
    <x v="0"/>
    <x v="0"/>
    <n v="0"/>
    <n v="0"/>
    <n v="0"/>
    <n v="12"/>
    <x v="1"/>
    <x v="0"/>
    <m/>
    <x v="0"/>
    <n v="362.8"/>
    <x v="0"/>
    <x v="10"/>
    <x v="0"/>
    <x v="0"/>
    <x v="0"/>
  </r>
  <r>
    <x v="1"/>
    <x v="15"/>
    <s v="4945 J"/>
    <x v="134"/>
    <s v="-"/>
    <m/>
    <m/>
    <m/>
    <m/>
    <m/>
    <x v="0"/>
    <n v="2"/>
    <n v="114.07"/>
    <n v="6.9"/>
    <n v="21"/>
    <x v="0"/>
    <n v="107.16999999999999"/>
    <n v="107.16999999999999"/>
    <n v="5"/>
    <x v="0"/>
    <x v="0"/>
    <n v="5"/>
    <n v="8.3333333333333329E-2"/>
    <x v="0"/>
    <x v="0"/>
    <m/>
    <x v="0"/>
    <x v="0"/>
    <x v="0"/>
    <x v="0"/>
    <x v="0"/>
    <n v="0"/>
    <n v="0"/>
    <n v="8.3333333333333329E-2"/>
    <n v="11.916666666666666"/>
    <x v="1"/>
    <x v="0"/>
    <m/>
    <x v="0"/>
    <n v="119.07"/>
    <x v="0"/>
    <x v="10"/>
    <x v="0"/>
    <x v="0"/>
    <x v="0"/>
  </r>
  <r>
    <x v="1"/>
    <x v="15"/>
    <s v="2375 F"/>
    <x v="134"/>
    <s v="Usman Amin"/>
    <s v="LDN"/>
    <n v="33"/>
    <s v="8-8.5"/>
    <s v="LDN"/>
    <n v="80"/>
    <x v="0"/>
    <n v="1"/>
    <n v="89.97"/>
    <n v="4.2"/>
    <m/>
    <x v="0"/>
    <n v="85.77"/>
    <n v="85.77"/>
    <n v="5"/>
    <x v="0"/>
    <x v="0"/>
    <n v="5"/>
    <n v="8.3333333333333329E-2"/>
    <x v="0"/>
    <x v="0"/>
    <m/>
    <x v="0"/>
    <x v="0"/>
    <x v="0"/>
    <x v="0"/>
    <x v="0"/>
    <n v="0"/>
    <n v="0"/>
    <n v="8.3333333333333329E-2"/>
    <n v="11.916666666666666"/>
    <x v="1"/>
    <x v="0"/>
    <m/>
    <x v="0"/>
    <n v="94.97"/>
    <x v="0"/>
    <x v="10"/>
    <x v="0"/>
    <x v="0"/>
    <x v="0"/>
  </r>
  <r>
    <x v="1"/>
    <x v="15"/>
    <s v="2373 F"/>
    <x v="134"/>
    <s v="Usman Amin"/>
    <s v="LDN"/>
    <n v="22"/>
    <s v="7-7.5"/>
    <s v="LDN"/>
    <n v="240"/>
    <x v="0"/>
    <n v="4"/>
    <n v="260.72000000000003"/>
    <n v="10.4"/>
    <m/>
    <x v="0"/>
    <n v="250.32000000000002"/>
    <n v="250.32000000000002"/>
    <n v="8"/>
    <x v="0"/>
    <x v="0"/>
    <n v="8"/>
    <n v="0.13333333333333333"/>
    <x v="0"/>
    <x v="0"/>
    <m/>
    <x v="0"/>
    <x v="0"/>
    <x v="0"/>
    <x v="0"/>
    <x v="0"/>
    <n v="0"/>
    <n v="0"/>
    <n v="0.13333333333333333"/>
    <n v="11.866666666666667"/>
    <x v="1"/>
    <x v="0"/>
    <m/>
    <x v="0"/>
    <n v="265.72000000000003"/>
    <x v="0"/>
    <x v="10"/>
    <x v="0"/>
    <x v="0"/>
    <x v="0"/>
  </r>
  <r>
    <x v="0"/>
    <x v="8"/>
    <s v="4925 J"/>
    <x v="135"/>
    <s v="Abu Baker Butt Lahore"/>
    <s v="LDN"/>
    <n v="8.5"/>
    <s v="8.5-9"/>
    <s v="LDN"/>
    <n v="2000"/>
    <x v="0"/>
    <n v="3"/>
    <n v="188.2"/>
    <n v="2.8"/>
    <m/>
    <x v="0"/>
    <n v="185.39999999999998"/>
    <n v="2075.8900000000003"/>
    <m/>
    <x v="0"/>
    <x v="0"/>
    <n v="0"/>
    <n v="0"/>
    <x v="0"/>
    <x v="0"/>
    <m/>
    <x v="0"/>
    <x v="0"/>
    <x v="0"/>
    <x v="0"/>
    <x v="0"/>
    <n v="0"/>
    <n v="0"/>
    <n v="0"/>
    <n v="12"/>
    <x v="1"/>
    <x v="0"/>
    <m/>
    <x v="0"/>
    <n v="193.2"/>
    <x v="0"/>
    <x v="10"/>
    <x v="0"/>
    <x v="0"/>
    <x v="0"/>
  </r>
  <r>
    <x v="1"/>
    <x v="8"/>
    <s v="4925 J"/>
    <x v="135"/>
    <s v="Abu Baker Butt Lahore"/>
    <s v="LDN"/>
    <n v="8.5"/>
    <s v="8.5-9"/>
    <s v="LDN"/>
    <n v="2000"/>
    <x v="0"/>
    <n v="2"/>
    <n v="127.1"/>
    <n v="2"/>
    <m/>
    <x v="0"/>
    <n v="125.1"/>
    <n v="2075.8900000000003"/>
    <m/>
    <x v="0"/>
    <x v="0"/>
    <n v="0"/>
    <n v="0"/>
    <x v="0"/>
    <x v="0"/>
    <m/>
    <x v="0"/>
    <x v="0"/>
    <x v="0"/>
    <x v="0"/>
    <x v="0"/>
    <n v="0"/>
    <n v="0"/>
    <n v="0"/>
    <n v="12"/>
    <x v="1"/>
    <x v="0"/>
    <m/>
    <x v="0"/>
    <n v="132.1"/>
    <x v="0"/>
    <x v="10"/>
    <x v="0"/>
    <x v="0"/>
    <x v="0"/>
  </r>
  <r>
    <x v="0"/>
    <x v="9"/>
    <s v="5064 J"/>
    <x v="135"/>
    <s v="Smart Cash And Carry Norkot"/>
    <s v="LDN"/>
    <n v="7"/>
    <s v="14-15"/>
    <s v="LDN"/>
    <n v="300"/>
    <x v="0"/>
    <n v="2"/>
    <n v="89.7"/>
    <n v="1.7000000000000002"/>
    <n v="25"/>
    <x v="0"/>
    <n v="88"/>
    <n v="297.60000000000002"/>
    <n v="5"/>
    <x v="0"/>
    <x v="0"/>
    <n v="5"/>
    <n v="8.3333333333333329E-2"/>
    <x v="0"/>
    <x v="0"/>
    <m/>
    <x v="0"/>
    <x v="0"/>
    <x v="0"/>
    <x v="0"/>
    <x v="0"/>
    <n v="0"/>
    <n v="0"/>
    <n v="8.3333333333333329E-2"/>
    <n v="11.916666666666666"/>
    <x v="1"/>
    <x v="0"/>
    <m/>
    <x v="0"/>
    <n v="75.39"/>
    <x v="0"/>
    <x v="10"/>
    <x v="0"/>
    <x v="0"/>
    <x v="0"/>
  </r>
  <r>
    <x v="0"/>
    <x v="9"/>
    <s v="5081 J"/>
    <x v="135"/>
    <s v="RMC PACK"/>
    <s v="LDM"/>
    <n v="8"/>
    <s v="7-7.5"/>
    <s v="LDM"/>
    <n v="50"/>
    <x v="0"/>
    <n v="2"/>
    <n v="51.5"/>
    <n v="1.9"/>
    <m/>
    <x v="0"/>
    <n v="49.6"/>
    <n v="49.6"/>
    <m/>
    <x v="0"/>
    <x v="0"/>
    <n v="0"/>
    <n v="0"/>
    <x v="0"/>
    <x v="0"/>
    <m/>
    <x v="0"/>
    <x v="0"/>
    <x v="0"/>
    <x v="0"/>
    <x v="0"/>
    <n v="0"/>
    <n v="0"/>
    <n v="0"/>
    <n v="12"/>
    <x v="1"/>
    <x v="0"/>
    <m/>
    <x v="0"/>
    <n v="75.39"/>
    <x v="0"/>
    <x v="10"/>
    <x v="0"/>
    <x v="0"/>
    <x v="0"/>
  </r>
  <r>
    <x v="1"/>
    <x v="9"/>
    <s v="5062 J"/>
    <x v="135"/>
    <s v="Wah Nobel Private Limited"/>
    <s v="LD گولڈن یلو"/>
    <s v="100MM"/>
    <s v="29-30"/>
    <s v="LDM"/>
    <n v="1000"/>
    <x v="0"/>
    <n v="1"/>
    <n v="65.400000000000006"/>
    <n v="1"/>
    <m/>
    <x v="0"/>
    <n v="64.400000000000006"/>
    <n v="1151.8"/>
    <m/>
    <x v="0"/>
    <x v="0"/>
    <n v="0"/>
    <n v="0"/>
    <x v="0"/>
    <x v="0"/>
    <m/>
    <x v="0"/>
    <x v="0"/>
    <x v="0"/>
    <x v="0"/>
    <x v="0"/>
    <n v="0"/>
    <n v="0"/>
    <n v="0"/>
    <n v="12"/>
    <x v="1"/>
    <x v="0"/>
    <m/>
    <x v="0"/>
    <n v="75.39"/>
    <x v="0"/>
    <x v="10"/>
    <x v="0"/>
    <x v="0"/>
    <x v="0"/>
  </r>
  <r>
    <x v="0"/>
    <x v="11"/>
    <s v="2783/4"/>
    <x v="135"/>
    <s v="PT-01"/>
    <s v="LD سرخ"/>
    <n v="8"/>
    <n v="80"/>
    <s v="LD سرخ"/>
    <n v="5000"/>
    <x v="0"/>
    <n v="9"/>
    <n v="239.47"/>
    <m/>
    <m/>
    <x v="0"/>
    <n v="239.47"/>
    <n v="4431.72"/>
    <m/>
    <x v="0"/>
    <x v="0"/>
    <n v="0"/>
    <n v="0"/>
    <x v="0"/>
    <x v="0"/>
    <m/>
    <x v="0"/>
    <x v="0"/>
    <x v="0"/>
    <x v="0"/>
    <x v="0"/>
    <n v="0"/>
    <n v="0"/>
    <n v="0"/>
    <n v="12"/>
    <x v="1"/>
    <x v="0"/>
    <m/>
    <x v="0"/>
    <n v="244.47"/>
    <x v="0"/>
    <x v="10"/>
    <x v="0"/>
    <x v="0"/>
    <x v="0"/>
  </r>
  <r>
    <x v="1"/>
    <x v="11"/>
    <s v="2783/4"/>
    <x v="135"/>
    <s v="PT-01"/>
    <s v="LD سرخ"/>
    <n v="8"/>
    <n v="80"/>
    <s v="LD سرخ"/>
    <n v="5000"/>
    <x v="0"/>
    <n v="10"/>
    <n v="264.44"/>
    <m/>
    <n v="2.5"/>
    <x v="0"/>
    <n v="264.44"/>
    <n v="4431.72"/>
    <m/>
    <x v="0"/>
    <x v="0"/>
    <n v="0"/>
    <n v="0"/>
    <x v="0"/>
    <x v="0"/>
    <m/>
    <x v="0"/>
    <x v="0"/>
    <x v="0"/>
    <x v="0"/>
    <x v="0"/>
    <n v="0"/>
    <n v="0"/>
    <n v="0"/>
    <n v="12"/>
    <x v="1"/>
    <x v="0"/>
    <m/>
    <x v="0"/>
    <n v="269.44"/>
    <x v="0"/>
    <x v="10"/>
    <x v="0"/>
    <x v="0"/>
    <x v="0"/>
  </r>
  <r>
    <x v="0"/>
    <x v="13"/>
    <s v="5043 J"/>
    <x v="135"/>
    <s v="Allied Impex Sialkot "/>
    <s v="LDN"/>
    <n v="24"/>
    <s v="10"/>
    <s v="LDN"/>
    <n v="250"/>
    <x v="0"/>
    <n v="1"/>
    <n v="76.260000000000005"/>
    <n v="2.9"/>
    <m/>
    <x v="0"/>
    <n v="73.36"/>
    <n v="261.19000000000005"/>
    <m/>
    <x v="0"/>
    <x v="0"/>
    <n v="0"/>
    <n v="0"/>
    <x v="0"/>
    <x v="0"/>
    <m/>
    <x v="0"/>
    <x v="0"/>
    <x v="0"/>
    <x v="0"/>
    <x v="0"/>
    <n v="0"/>
    <n v="0"/>
    <n v="0"/>
    <n v="12"/>
    <x v="1"/>
    <x v="0"/>
    <m/>
    <x v="0"/>
    <n v="81.260000000000005"/>
    <x v="0"/>
    <x v="10"/>
    <x v="0"/>
    <x v="0"/>
    <x v="0"/>
  </r>
  <r>
    <x v="0"/>
    <x v="13"/>
    <s v="5094 J"/>
    <x v="135"/>
    <s v="Emarat Plastic Chong "/>
    <s v="LDN"/>
    <n v="16"/>
    <s v="-"/>
    <s v="LDN"/>
    <n v="100"/>
    <x v="0"/>
    <n v="2"/>
    <n v="123.2"/>
    <n v="5.3"/>
    <m/>
    <x v="0"/>
    <n v="117.9"/>
    <n v="219.2"/>
    <m/>
    <x v="0"/>
    <x v="0"/>
    <n v="0"/>
    <n v="0"/>
    <x v="0"/>
    <x v="0"/>
    <m/>
    <x v="0"/>
    <x v="0"/>
    <x v="0"/>
    <x v="0"/>
    <x v="0"/>
    <n v="0"/>
    <n v="0"/>
    <n v="0"/>
    <n v="12"/>
    <x v="1"/>
    <x v="0"/>
    <m/>
    <x v="0"/>
    <n v="128.19999999999999"/>
    <x v="0"/>
    <x v="10"/>
    <x v="0"/>
    <x v="0"/>
    <x v="0"/>
  </r>
  <r>
    <x v="0"/>
    <x v="13"/>
    <s v="2360 F"/>
    <x v="135"/>
    <s v="Usman Amin"/>
    <s v="LDN"/>
    <n v="17.5"/>
    <s v="5-5.5"/>
    <s v="LDN"/>
    <n v="58"/>
    <x v="0"/>
    <n v="2"/>
    <n v="67.98"/>
    <n v="3.4"/>
    <m/>
    <x v="0"/>
    <n v="64.58"/>
    <n v="119.66"/>
    <m/>
    <x v="0"/>
    <x v="0"/>
    <n v="0"/>
    <n v="0"/>
    <x v="0"/>
    <x v="0"/>
    <m/>
    <x v="0"/>
    <x v="0"/>
    <x v="0"/>
    <x v="0"/>
    <x v="0"/>
    <n v="0"/>
    <n v="0"/>
    <n v="0"/>
    <n v="12"/>
    <x v="1"/>
    <x v="0"/>
    <m/>
    <x v="0"/>
    <n v="72.98"/>
    <x v="0"/>
    <x v="10"/>
    <x v="0"/>
    <x v="0"/>
    <x v="0"/>
  </r>
  <r>
    <x v="0"/>
    <x v="13"/>
    <s v="5093 J"/>
    <x v="135"/>
    <s v="Emarat Plastic Chong "/>
    <s v="LDN"/>
    <n v="16"/>
    <s v="-"/>
    <s v="LDN"/>
    <n v="100"/>
    <x v="0"/>
    <n v="1"/>
    <n v="50.08"/>
    <n v="1.8"/>
    <m/>
    <x v="0"/>
    <n v="48.28"/>
    <n v="206.64"/>
    <n v="5"/>
    <x v="0"/>
    <x v="0"/>
    <n v="5"/>
    <n v="8.3333333333333329E-2"/>
    <x v="0"/>
    <x v="0"/>
    <m/>
    <x v="0"/>
    <x v="0"/>
    <x v="0"/>
    <x v="0"/>
    <x v="0"/>
    <n v="0"/>
    <n v="0"/>
    <n v="8.3333333333333329E-2"/>
    <n v="11.916666666666666"/>
    <x v="1"/>
    <x v="0"/>
    <m/>
    <x v="0"/>
    <n v="55.08"/>
    <x v="0"/>
    <x v="10"/>
    <x v="0"/>
    <x v="0"/>
    <x v="0"/>
  </r>
  <r>
    <x v="1"/>
    <x v="13"/>
    <s v="5093 J"/>
    <x v="135"/>
    <s v="Emarat Plastic Chong "/>
    <s v="LDN"/>
    <n v="16"/>
    <s v="-"/>
    <s v="LDN"/>
    <n v="100"/>
    <x v="0"/>
    <n v="1"/>
    <n v="55.8"/>
    <n v="1.8"/>
    <n v="7"/>
    <x v="0"/>
    <n v="54"/>
    <n v="206.64"/>
    <n v="5"/>
    <x v="0"/>
    <x v="0"/>
    <n v="5"/>
    <n v="8.3333333333333329E-2"/>
    <x v="0"/>
    <x v="0"/>
    <m/>
    <x v="0"/>
    <x v="0"/>
    <x v="0"/>
    <x v="0"/>
    <x v="0"/>
    <n v="0"/>
    <n v="0"/>
    <n v="8.3333333333333329E-2"/>
    <n v="11.916666666666666"/>
    <x v="1"/>
    <x v="0"/>
    <m/>
    <x v="0"/>
    <n v="60.8"/>
    <x v="0"/>
    <x v="10"/>
    <x v="0"/>
    <x v="0"/>
    <x v="0"/>
  </r>
  <r>
    <x v="1"/>
    <x v="13"/>
    <s v="2363 F"/>
    <x v="135"/>
    <s v="Usman Amin"/>
    <s v="LDN"/>
    <n v="17"/>
    <s v="8"/>
    <s v="LDN"/>
    <n v="100"/>
    <x v="0"/>
    <n v="2"/>
    <n v="106.6"/>
    <n v="4.2"/>
    <m/>
    <x v="0"/>
    <n v="102.39999999999999"/>
    <n v="102.39999999999999"/>
    <m/>
    <x v="0"/>
    <x v="0"/>
    <n v="0"/>
    <n v="0"/>
    <x v="0"/>
    <x v="0"/>
    <m/>
    <x v="0"/>
    <x v="0"/>
    <x v="0"/>
    <x v="0"/>
    <x v="0"/>
    <n v="0"/>
    <n v="0"/>
    <n v="0"/>
    <n v="12"/>
    <x v="1"/>
    <x v="0"/>
    <m/>
    <x v="0"/>
    <n v="111.6"/>
    <x v="0"/>
    <x v="10"/>
    <x v="0"/>
    <x v="0"/>
    <x v="0"/>
  </r>
  <r>
    <x v="1"/>
    <x v="13"/>
    <s v="2362 F"/>
    <x v="135"/>
    <s v="Usman Amin"/>
    <s v="LDN"/>
    <n v="16"/>
    <s v="8"/>
    <s v="LDN"/>
    <n v="200"/>
    <x v="0"/>
    <n v="3"/>
    <n v="160.68"/>
    <n v="6"/>
    <m/>
    <x v="0"/>
    <n v="154.68"/>
    <n v="218.08"/>
    <m/>
    <x v="0"/>
    <x v="0"/>
    <n v="0"/>
    <n v="0"/>
    <x v="0"/>
    <x v="0"/>
    <m/>
    <x v="0"/>
    <x v="0"/>
    <x v="0"/>
    <x v="0"/>
    <x v="0"/>
    <n v="0"/>
    <n v="0"/>
    <n v="0"/>
    <n v="12"/>
    <x v="1"/>
    <x v="0"/>
    <m/>
    <x v="0"/>
    <n v="165.68"/>
    <x v="0"/>
    <x v="10"/>
    <x v="0"/>
    <x v="0"/>
    <x v="0"/>
  </r>
  <r>
    <x v="0"/>
    <x v="12"/>
    <s v="2809/1"/>
    <x v="135"/>
    <s v="MATCO FOOD"/>
    <s v="LDN"/>
    <n v="29"/>
    <s v="85±1"/>
    <s v="LDN"/>
    <n v="2975"/>
    <x v="0"/>
    <n v="3"/>
    <n v="375.9"/>
    <n v="10.5"/>
    <m/>
    <x v="0"/>
    <n v="365.4"/>
    <n v="2887.95"/>
    <m/>
    <x v="0"/>
    <x v="0"/>
    <n v="0"/>
    <n v="0"/>
    <x v="0"/>
    <x v="0"/>
    <m/>
    <x v="0"/>
    <x v="0"/>
    <x v="0"/>
    <x v="0"/>
    <x v="0"/>
    <n v="0"/>
    <n v="0"/>
    <n v="0"/>
    <n v="12"/>
    <x v="1"/>
    <x v="0"/>
    <m/>
    <x v="0"/>
    <n v="380.9"/>
    <x v="0"/>
    <x v="10"/>
    <x v="0"/>
    <x v="0"/>
    <x v="0"/>
  </r>
  <r>
    <x v="1"/>
    <x v="12"/>
    <s v="2809/1"/>
    <x v="135"/>
    <s v="MATCO FOOD"/>
    <s v="LDN"/>
    <n v="29"/>
    <s v="85±1"/>
    <s v="LDN"/>
    <n v="2975"/>
    <x v="0"/>
    <n v="6"/>
    <n v="674"/>
    <n v="21.05"/>
    <n v="10"/>
    <x v="0"/>
    <n v="652.95000000000005"/>
    <n v="2887.95"/>
    <m/>
    <x v="0"/>
    <x v="0"/>
    <n v="0"/>
    <n v="0"/>
    <x v="0"/>
    <x v="0"/>
    <m/>
    <x v="0"/>
    <x v="0"/>
    <x v="0"/>
    <x v="0"/>
    <x v="0"/>
    <n v="0"/>
    <n v="0"/>
    <n v="0"/>
    <n v="12"/>
    <x v="1"/>
    <x v="0"/>
    <m/>
    <x v="0"/>
    <n v="679"/>
    <x v="0"/>
    <x v="10"/>
    <x v="0"/>
    <x v="0"/>
    <x v="0"/>
  </r>
  <r>
    <x v="0"/>
    <x v="14"/>
    <s v="5049 J"/>
    <x v="135"/>
    <s v="The Kids Mall Lahore"/>
    <s v="LDM"/>
    <n v="14.5"/>
    <s v="12.5-13"/>
    <s v="LDM"/>
    <n v="200"/>
    <x v="0"/>
    <n v="1"/>
    <n v="58.9"/>
    <n v="1.4"/>
    <n v="25"/>
    <x v="0"/>
    <n v="57.5"/>
    <n v="201.3"/>
    <m/>
    <x v="0"/>
    <x v="0"/>
    <n v="0"/>
    <n v="0"/>
    <x v="4"/>
    <x v="0"/>
    <m/>
    <x v="0"/>
    <x v="0"/>
    <x v="0"/>
    <x v="0"/>
    <x v="0"/>
    <n v="30"/>
    <n v="0.5"/>
    <n v="0.5"/>
    <n v="11.5"/>
    <x v="1"/>
    <x v="0"/>
    <m/>
    <x v="0"/>
    <n v="63.9"/>
    <x v="0"/>
    <x v="10"/>
    <x v="0"/>
    <x v="0"/>
    <x v="0"/>
  </r>
  <r>
    <x v="0"/>
    <x v="14"/>
    <s v="4885 J"/>
    <x v="135"/>
    <s v="P unjab Pinters Hafize Abad"/>
    <s v="LDM"/>
    <s v="11+3+3"/>
    <s v="7.5-8/15-16"/>
    <s v="LDM"/>
    <n v="180"/>
    <x v="0"/>
    <n v="1"/>
    <n v="43.7"/>
    <n v="1.1000000000000001"/>
    <m/>
    <x v="0"/>
    <n v="42.6"/>
    <n v="148"/>
    <m/>
    <x v="0"/>
    <x v="0"/>
    <n v="0"/>
    <n v="0"/>
    <x v="0"/>
    <x v="0"/>
    <m/>
    <x v="0"/>
    <x v="0"/>
    <x v="0"/>
    <x v="0"/>
    <x v="0"/>
    <n v="0"/>
    <n v="0"/>
    <n v="0"/>
    <n v="12"/>
    <x v="1"/>
    <x v="0"/>
    <m/>
    <x v="0"/>
    <n v="48.7"/>
    <x v="0"/>
    <x v="10"/>
    <x v="0"/>
    <x v="0"/>
    <x v="0"/>
  </r>
  <r>
    <x v="0"/>
    <x v="14"/>
    <s v="PACKING"/>
    <x v="135"/>
    <s v="PACKINIG"/>
    <m/>
    <n v="30"/>
    <n v="10"/>
    <m/>
    <m/>
    <x v="0"/>
    <n v="1"/>
    <n v="70"/>
    <n v="0.3"/>
    <m/>
    <x v="0"/>
    <n v="69.7"/>
    <n v="2074.5"/>
    <m/>
    <x v="0"/>
    <x v="0"/>
    <n v="0"/>
    <n v="0"/>
    <x v="0"/>
    <x v="0"/>
    <m/>
    <x v="0"/>
    <x v="0"/>
    <x v="0"/>
    <x v="0"/>
    <x v="0"/>
    <n v="0"/>
    <n v="0"/>
    <n v="0"/>
    <n v="12"/>
    <x v="1"/>
    <x v="0"/>
    <m/>
    <x v="0"/>
    <n v="75"/>
    <x v="0"/>
    <x v="10"/>
    <x v="0"/>
    <x v="0"/>
    <x v="0"/>
  </r>
  <r>
    <x v="0"/>
    <x v="14"/>
    <s v="4819 J"/>
    <x v="135"/>
    <s v="Nawab Jilani Plastic Layyah"/>
    <s v="LDM"/>
    <n v="20"/>
    <s v="15-16"/>
    <s v="LDM"/>
    <n v="100"/>
    <x v="0"/>
    <n v="2"/>
    <n v="110.30000000000001"/>
    <n v="3"/>
    <m/>
    <x v="0"/>
    <n v="107.30000000000001"/>
    <n v="107.30000000000001"/>
    <m/>
    <x v="0"/>
    <x v="0"/>
    <n v="0"/>
    <n v="0"/>
    <x v="0"/>
    <x v="0"/>
    <m/>
    <x v="0"/>
    <x v="0"/>
    <x v="0"/>
    <x v="0"/>
    <x v="0"/>
    <n v="0"/>
    <n v="0"/>
    <n v="0"/>
    <n v="12"/>
    <x v="1"/>
    <x v="0"/>
    <m/>
    <x v="0"/>
    <n v="115.30000000000001"/>
    <x v="0"/>
    <x v="10"/>
    <x v="0"/>
    <x v="0"/>
    <x v="0"/>
  </r>
  <r>
    <x v="1"/>
    <x v="14"/>
    <s v="5042 J"/>
    <x v="135"/>
    <s v="Allied Impex Sialkot "/>
    <s v="LDN"/>
    <n v="30"/>
    <s v="10"/>
    <s v="LDN"/>
    <n v="800"/>
    <x v="0"/>
    <n v="1"/>
    <n v="541.48"/>
    <n v="18.75"/>
    <n v="55"/>
    <x v="0"/>
    <n v="522.73"/>
    <n v="590.23"/>
    <n v="10"/>
    <x v="0"/>
    <x v="0"/>
    <n v="10"/>
    <n v="0.16666666666666666"/>
    <x v="5"/>
    <x v="0"/>
    <m/>
    <x v="0"/>
    <x v="0"/>
    <x v="0"/>
    <x v="0"/>
    <x v="0"/>
    <n v="20"/>
    <n v="0.33333333333333331"/>
    <n v="0.5"/>
    <n v="11.5"/>
    <x v="1"/>
    <x v="0"/>
    <m/>
    <x v="0"/>
    <n v="546.48"/>
    <x v="0"/>
    <x v="10"/>
    <x v="0"/>
    <x v="0"/>
    <x v="0"/>
  </r>
  <r>
    <x v="0"/>
    <x v="15"/>
    <s v="2374 F"/>
    <x v="135"/>
    <s v="Usman Amin"/>
    <s v="LDN"/>
    <n v="21"/>
    <s v="8-8.5"/>
    <s v="LDN"/>
    <n v="80"/>
    <x v="0"/>
    <n v="2"/>
    <n v="94.789999999999992"/>
    <n v="5.2"/>
    <n v="5"/>
    <x v="0"/>
    <n v="89.589999999999989"/>
    <n v="89.589999999999989"/>
    <m/>
    <x v="0"/>
    <x v="0"/>
    <n v="0"/>
    <n v="0"/>
    <x v="0"/>
    <x v="0"/>
    <m/>
    <x v="0"/>
    <x v="0"/>
    <x v="0"/>
    <x v="0"/>
    <x v="0"/>
    <n v="0"/>
    <n v="0"/>
    <n v="0"/>
    <n v="12"/>
    <x v="1"/>
    <x v="0"/>
    <m/>
    <x v="0"/>
    <n v="99.789999999999992"/>
    <x v="0"/>
    <x v="10"/>
    <x v="0"/>
    <x v="0"/>
    <x v="0"/>
  </r>
  <r>
    <x v="0"/>
    <x v="15"/>
    <s v="2361 F"/>
    <x v="135"/>
    <s v="Usman Amin"/>
    <s v="LDN"/>
    <n v="17"/>
    <s v="7"/>
    <s v="LDN"/>
    <n v="260"/>
    <x v="0"/>
    <n v="4"/>
    <n v="280.09999999999997"/>
    <n v="11"/>
    <m/>
    <x v="0"/>
    <n v="269.09999999999997"/>
    <n v="269.09999999999997"/>
    <m/>
    <x v="0"/>
    <x v="0"/>
    <n v="0"/>
    <n v="0"/>
    <x v="0"/>
    <x v="0"/>
    <m/>
    <x v="0"/>
    <x v="0"/>
    <x v="0"/>
    <x v="0"/>
    <x v="0"/>
    <n v="0"/>
    <n v="0"/>
    <n v="0"/>
    <n v="12"/>
    <x v="1"/>
    <x v="0"/>
    <m/>
    <x v="0"/>
    <n v="285.09999999999997"/>
    <x v="0"/>
    <x v="10"/>
    <x v="0"/>
    <x v="0"/>
    <x v="0"/>
  </r>
  <r>
    <x v="0"/>
    <x v="8"/>
    <s v="4925 J"/>
    <x v="136"/>
    <s v="Abu Baker Butt Lahore"/>
    <s v="LDN"/>
    <n v="8.5"/>
    <s v="8.5-9"/>
    <s v="LDN"/>
    <n v="2000"/>
    <x v="0"/>
    <n v="2"/>
    <n v="123.8"/>
    <n v="3"/>
    <n v="4"/>
    <x v="0"/>
    <n v="120.8"/>
    <n v="2075.8900000000003"/>
    <m/>
    <x v="0"/>
    <x v="0"/>
    <n v="0"/>
    <n v="0"/>
    <x v="0"/>
    <x v="0"/>
    <m/>
    <x v="0"/>
    <x v="0"/>
    <x v="0"/>
    <x v="0"/>
    <x v="0"/>
    <n v="0"/>
    <n v="0"/>
    <n v="0"/>
    <n v="12"/>
    <x v="1"/>
    <x v="0"/>
    <m/>
    <x v="0"/>
    <n v="128.80000000000001"/>
    <x v="0"/>
    <x v="10"/>
    <x v="0"/>
    <x v="0"/>
    <x v="0"/>
  </r>
  <r>
    <x v="0"/>
    <x v="8"/>
    <s v="5064 J"/>
    <x v="136"/>
    <s v="Smart Cash And Carry Norkot"/>
    <s v="LDN"/>
    <n v="7"/>
    <s v="14-15"/>
    <s v="LDN"/>
    <n v="300"/>
    <x v="0"/>
    <n v="1"/>
    <n v="34.200000000000003"/>
    <n v="0.9"/>
    <m/>
    <x v="0"/>
    <n v="33.300000000000004"/>
    <n v="297.60000000000002"/>
    <m/>
    <x v="0"/>
    <x v="0"/>
    <n v="0"/>
    <n v="0"/>
    <x v="0"/>
    <x v="0"/>
    <m/>
    <x v="0"/>
    <x v="0"/>
    <x v="0"/>
    <x v="0"/>
    <x v="0"/>
    <n v="0"/>
    <n v="0"/>
    <n v="0"/>
    <n v="12"/>
    <x v="1"/>
    <x v="0"/>
    <m/>
    <x v="0"/>
    <n v="39.200000000000003"/>
    <x v="0"/>
    <x v="10"/>
    <x v="0"/>
    <x v="0"/>
    <x v="0"/>
  </r>
  <r>
    <x v="1"/>
    <x v="8"/>
    <s v="5064 J"/>
    <x v="136"/>
    <s v="Smart Cash And Carry Norkot"/>
    <s v="LDN"/>
    <n v="7"/>
    <s v="14-15"/>
    <s v="LDN"/>
    <n v="300"/>
    <x v="0"/>
    <n v="1"/>
    <n v="68.2"/>
    <n v="0.8"/>
    <n v="12"/>
    <x v="0"/>
    <n v="67.400000000000006"/>
    <n v="297.60000000000002"/>
    <n v="3"/>
    <x v="0"/>
    <x v="0"/>
    <n v="3"/>
    <n v="0.05"/>
    <x v="0"/>
    <x v="0"/>
    <m/>
    <x v="6"/>
    <x v="0"/>
    <x v="0"/>
    <x v="1"/>
    <x v="0"/>
    <n v="48"/>
    <n v="0.8"/>
    <n v="0.85000000000000009"/>
    <n v="11.15"/>
    <x v="1"/>
    <x v="0"/>
    <m/>
    <x v="0"/>
    <n v="73.2"/>
    <x v="0"/>
    <x v="10"/>
    <x v="0"/>
    <x v="0"/>
    <x v="0"/>
  </r>
  <r>
    <x v="1"/>
    <x v="8"/>
    <s v="5063 J"/>
    <x v="136"/>
    <s v="Smart Cash And Carry Norkot"/>
    <s v="LDN"/>
    <n v="6"/>
    <s v="14-15"/>
    <s v="LDN"/>
    <n v="300"/>
    <x v="0"/>
    <n v="2"/>
    <n v="91.1"/>
    <n v="1.2999999999999998"/>
    <m/>
    <x v="0"/>
    <n v="89.8"/>
    <n v="244.09999999999997"/>
    <m/>
    <x v="0"/>
    <x v="0"/>
    <n v="0"/>
    <n v="0"/>
    <x v="0"/>
    <x v="0"/>
    <m/>
    <x v="0"/>
    <x v="0"/>
    <x v="0"/>
    <x v="0"/>
    <x v="0"/>
    <n v="0"/>
    <n v="0"/>
    <n v="0"/>
    <n v="12"/>
    <x v="1"/>
    <x v="0"/>
    <m/>
    <x v="0"/>
    <n v="96.1"/>
    <x v="0"/>
    <x v="10"/>
    <x v="0"/>
    <x v="0"/>
    <x v="0"/>
  </r>
  <r>
    <x v="0"/>
    <x v="9"/>
    <s v="5062 J"/>
    <x v="136"/>
    <s v="Wah Nobel Private Limited"/>
    <s v="LD گولڈن یلو"/>
    <s v="100MM"/>
    <s v="29-30"/>
    <s v="LDM"/>
    <n v="1000"/>
    <x v="0"/>
    <n v="2"/>
    <n v="114.5"/>
    <n v="2"/>
    <m/>
    <x v="0"/>
    <n v="112.5"/>
    <n v="1151.8"/>
    <m/>
    <x v="0"/>
    <x v="0"/>
    <n v="0"/>
    <n v="0"/>
    <x v="0"/>
    <x v="0"/>
    <m/>
    <x v="0"/>
    <x v="0"/>
    <x v="0"/>
    <x v="0"/>
    <x v="0"/>
    <n v="0"/>
    <n v="0"/>
    <n v="0"/>
    <n v="12"/>
    <x v="1"/>
    <x v="0"/>
    <m/>
    <x v="0"/>
    <n v="75.39"/>
    <x v="0"/>
    <x v="10"/>
    <x v="0"/>
    <x v="0"/>
    <x v="0"/>
  </r>
  <r>
    <x v="1"/>
    <x v="9"/>
    <s v="5062 J"/>
    <x v="136"/>
    <s v="Wah Nobel Private Limited"/>
    <s v="LD گولڈن یلو"/>
    <s v="100MM"/>
    <s v="29-30"/>
    <s v="LDM"/>
    <n v="1000"/>
    <x v="0"/>
    <n v="2"/>
    <n v="107.2"/>
    <n v="1.2"/>
    <m/>
    <x v="0"/>
    <n v="106"/>
    <n v="1151.8"/>
    <m/>
    <x v="0"/>
    <x v="0"/>
    <n v="0"/>
    <n v="0"/>
    <x v="0"/>
    <x v="0"/>
    <m/>
    <x v="0"/>
    <x v="0"/>
    <x v="0"/>
    <x v="0"/>
    <x v="0"/>
    <n v="0"/>
    <n v="0"/>
    <n v="0"/>
    <n v="12"/>
    <x v="1"/>
    <x v="0"/>
    <m/>
    <x v="0"/>
    <n v="75.39"/>
    <x v="0"/>
    <x v="10"/>
    <x v="0"/>
    <x v="0"/>
    <x v="0"/>
  </r>
  <r>
    <x v="1"/>
    <x v="10"/>
    <s v="2783/4"/>
    <x v="136"/>
    <s v="PT-01"/>
    <s v="LD سرخ"/>
    <n v="8"/>
    <n v="80"/>
    <s v="LD سرخ"/>
    <n v="5000"/>
    <x v="0"/>
    <n v="11"/>
    <n v="299.19"/>
    <m/>
    <n v="26"/>
    <x v="0"/>
    <n v="299.19"/>
    <n v="4431.72"/>
    <m/>
    <x v="0"/>
    <x v="8"/>
    <n v="90"/>
    <n v="1.5"/>
    <x v="0"/>
    <x v="0"/>
    <m/>
    <x v="0"/>
    <x v="0"/>
    <x v="0"/>
    <x v="0"/>
    <x v="0"/>
    <n v="0"/>
    <n v="0"/>
    <n v="1.5"/>
    <n v="10.5"/>
    <x v="1"/>
    <x v="0"/>
    <m/>
    <x v="0"/>
    <n v="304.19"/>
    <x v="0"/>
    <x v="10"/>
    <x v="0"/>
    <x v="0"/>
    <x v="0"/>
  </r>
  <r>
    <x v="0"/>
    <x v="11"/>
    <s v="2783/4"/>
    <x v="136"/>
    <s v="PT-01"/>
    <s v="LD سرخ"/>
    <n v="8"/>
    <n v="80"/>
    <s v="LD سرخ"/>
    <n v="5000"/>
    <x v="0"/>
    <n v="12"/>
    <n v="296.70000000000005"/>
    <m/>
    <n v="15"/>
    <x v="0"/>
    <n v="296.70000000000005"/>
    <n v="4431.72"/>
    <m/>
    <x v="0"/>
    <x v="0"/>
    <n v="0"/>
    <n v="0"/>
    <x v="0"/>
    <x v="0"/>
    <m/>
    <x v="0"/>
    <x v="0"/>
    <x v="0"/>
    <x v="0"/>
    <x v="0"/>
    <n v="0"/>
    <n v="0"/>
    <n v="0"/>
    <n v="12"/>
    <x v="1"/>
    <x v="0"/>
    <m/>
    <x v="0"/>
    <n v="301.70000000000005"/>
    <x v="0"/>
    <x v="10"/>
    <x v="0"/>
    <x v="0"/>
    <x v="0"/>
  </r>
  <r>
    <x v="1"/>
    <x v="11"/>
    <s v="2783/4"/>
    <x v="136"/>
    <s v="PT-01"/>
    <s v="LD سرخ"/>
    <n v="8"/>
    <n v="80"/>
    <s v="LD سرخ"/>
    <n v="5000"/>
    <x v="0"/>
    <n v="11"/>
    <n v="310.2"/>
    <m/>
    <n v="30"/>
    <x v="0"/>
    <n v="310.2"/>
    <n v="4431.72"/>
    <m/>
    <x v="0"/>
    <x v="0"/>
    <n v="0"/>
    <n v="0"/>
    <x v="0"/>
    <x v="0"/>
    <m/>
    <x v="1"/>
    <x v="0"/>
    <x v="0"/>
    <x v="1"/>
    <x v="0"/>
    <n v="50"/>
    <n v="0.83333333333333337"/>
    <n v="0.83333333333333337"/>
    <n v="11.166666666666666"/>
    <x v="1"/>
    <x v="0"/>
    <m/>
    <x v="0"/>
    <n v="315.2"/>
    <x v="0"/>
    <x v="10"/>
    <x v="0"/>
    <x v="0"/>
    <x v="0"/>
  </r>
  <r>
    <x v="0"/>
    <x v="13"/>
    <s v="2362 F"/>
    <x v="136"/>
    <s v="Usman Amin"/>
    <s v="LDN"/>
    <n v="16"/>
    <s v="8"/>
    <s v="LDN"/>
    <n v="200"/>
    <x v="0"/>
    <n v="1"/>
    <n v="63.4"/>
    <m/>
    <m/>
    <x v="0"/>
    <n v="63.4"/>
    <n v="218.08"/>
    <m/>
    <x v="0"/>
    <x v="0"/>
    <n v="0"/>
    <n v="0"/>
    <x v="0"/>
    <x v="0"/>
    <m/>
    <x v="0"/>
    <x v="0"/>
    <x v="0"/>
    <x v="0"/>
    <x v="0"/>
    <n v="0"/>
    <n v="0"/>
    <n v="0"/>
    <n v="12"/>
    <x v="1"/>
    <x v="0"/>
    <m/>
    <x v="0"/>
    <n v="68.400000000000006"/>
    <x v="0"/>
    <x v="10"/>
    <x v="0"/>
    <x v="0"/>
    <x v="0"/>
  </r>
  <r>
    <x v="0"/>
    <x v="13"/>
    <s v="2806/1"/>
    <x v="136"/>
    <s v="SITARA CHEMICAL"/>
    <s v="LDN"/>
    <n v="24"/>
    <s v="100±1"/>
    <s v="LDN"/>
    <n v="2700"/>
    <x v="0"/>
    <n v="4"/>
    <n v="434.32000000000005"/>
    <m/>
    <n v="6"/>
    <x v="0"/>
    <n v="434.32000000000005"/>
    <n v="2968.54"/>
    <n v="5"/>
    <x v="0"/>
    <x v="0"/>
    <n v="5"/>
    <n v="8.3333333333333329E-2"/>
    <x v="0"/>
    <x v="0"/>
    <m/>
    <x v="0"/>
    <x v="0"/>
    <x v="0"/>
    <x v="0"/>
    <x v="0"/>
    <n v="0"/>
    <n v="0"/>
    <n v="8.3333333333333329E-2"/>
    <n v="11.916666666666666"/>
    <x v="1"/>
    <x v="0"/>
    <m/>
    <x v="0"/>
    <n v="439.32000000000005"/>
    <x v="0"/>
    <x v="10"/>
    <x v="0"/>
    <x v="0"/>
    <x v="0"/>
  </r>
  <r>
    <x v="1"/>
    <x v="13"/>
    <s v="2806/1"/>
    <x v="136"/>
    <s v="SITARA CHEMICAL"/>
    <s v="LDN"/>
    <n v="24"/>
    <s v="100±1"/>
    <s v="LDN"/>
    <n v="2700"/>
    <x v="0"/>
    <n v="4"/>
    <n v="494.8"/>
    <m/>
    <n v="4.5"/>
    <x v="0"/>
    <n v="494.8"/>
    <n v="2968.54"/>
    <m/>
    <x v="0"/>
    <x v="0"/>
    <n v="0"/>
    <n v="0"/>
    <x v="0"/>
    <x v="0"/>
    <m/>
    <x v="0"/>
    <x v="0"/>
    <x v="0"/>
    <x v="0"/>
    <x v="0"/>
    <n v="0"/>
    <n v="0"/>
    <n v="0"/>
    <n v="12"/>
    <x v="1"/>
    <x v="0"/>
    <m/>
    <x v="0"/>
    <n v="499.8"/>
    <x v="0"/>
    <x v="10"/>
    <x v="0"/>
    <x v="0"/>
    <x v="0"/>
  </r>
  <r>
    <x v="0"/>
    <x v="12"/>
    <s v="2809/1"/>
    <x v="136"/>
    <s v="MATCO FOOD"/>
    <s v="LDN"/>
    <n v="29"/>
    <s v="85±1"/>
    <s v="LDN"/>
    <n v="2975"/>
    <x v="0"/>
    <n v="6"/>
    <n v="583.20000000000005"/>
    <n v="21"/>
    <m/>
    <x v="0"/>
    <n v="562.20000000000005"/>
    <n v="2887.95"/>
    <m/>
    <x v="0"/>
    <x v="0"/>
    <n v="0"/>
    <n v="0"/>
    <x v="0"/>
    <x v="0"/>
    <n v="150"/>
    <x v="0"/>
    <x v="0"/>
    <x v="0"/>
    <x v="0"/>
    <x v="0"/>
    <n v="150"/>
    <n v="2.5"/>
    <n v="2.5"/>
    <n v="9.5"/>
    <x v="1"/>
    <x v="0"/>
    <m/>
    <x v="0"/>
    <n v="588.20000000000005"/>
    <x v="0"/>
    <x v="10"/>
    <x v="0"/>
    <x v="0"/>
    <x v="0"/>
  </r>
  <r>
    <x v="1"/>
    <x v="12"/>
    <s v="2809/1"/>
    <x v="136"/>
    <s v="MATCO FOOD"/>
    <s v="LDN"/>
    <n v="29"/>
    <s v="85±1"/>
    <s v="LDN"/>
    <n v="2975"/>
    <x v="0"/>
    <n v="7"/>
    <n v="729.3"/>
    <n v="26.599999999999998"/>
    <n v="5.4"/>
    <x v="0"/>
    <n v="702.69999999999993"/>
    <n v="2887.95"/>
    <n v="5"/>
    <x v="0"/>
    <x v="0"/>
    <n v="5"/>
    <n v="8.3333333333333329E-2"/>
    <x v="0"/>
    <x v="0"/>
    <m/>
    <x v="0"/>
    <x v="0"/>
    <x v="0"/>
    <x v="0"/>
    <x v="0"/>
    <n v="0"/>
    <n v="0"/>
    <n v="8.3333333333333329E-2"/>
    <n v="11.916666666666666"/>
    <x v="1"/>
    <x v="0"/>
    <m/>
    <x v="0"/>
    <n v="734.3"/>
    <x v="0"/>
    <x v="10"/>
    <x v="0"/>
    <x v="0"/>
    <x v="0"/>
  </r>
  <r>
    <x v="0"/>
    <x v="14"/>
    <s v="5042 J"/>
    <x v="136"/>
    <s v="Allied Impex Sialkot "/>
    <s v="LDN"/>
    <n v="30"/>
    <s v="10"/>
    <s v="LDN"/>
    <n v="800"/>
    <x v="0"/>
    <n v="1"/>
    <n v="67.5"/>
    <m/>
    <n v="52"/>
    <x v="0"/>
    <n v="67.5"/>
    <n v="590.23"/>
    <n v="10"/>
    <x v="0"/>
    <x v="0"/>
    <n v="10"/>
    <n v="0.16666666666666666"/>
    <x v="0"/>
    <x v="0"/>
    <m/>
    <x v="0"/>
    <x v="0"/>
    <x v="0"/>
    <x v="0"/>
    <x v="0"/>
    <n v="0"/>
    <n v="0"/>
    <n v="0.16666666666666666"/>
    <n v="11.833333333333334"/>
    <x v="1"/>
    <x v="0"/>
    <m/>
    <x v="0"/>
    <n v="72.5"/>
    <x v="0"/>
    <x v="10"/>
    <x v="0"/>
    <x v="0"/>
    <x v="0"/>
  </r>
  <r>
    <x v="0"/>
    <x v="14"/>
    <s v="4054 J"/>
    <x v="136"/>
    <s v="Shafi Foam Lahore"/>
    <s v="LDM"/>
    <s v="20 شیٹ"/>
    <s v="7-7.5/14-15"/>
    <s v="LDM"/>
    <n v="200"/>
    <x v="0"/>
    <n v="4"/>
    <n v="427.5"/>
    <m/>
    <n v="10"/>
    <x v="0"/>
    <n v="427.5"/>
    <n v="639.70000000000005"/>
    <n v="15"/>
    <x v="0"/>
    <x v="0"/>
    <n v="15"/>
    <n v="0.25"/>
    <x v="0"/>
    <x v="0"/>
    <m/>
    <x v="0"/>
    <x v="0"/>
    <x v="0"/>
    <x v="0"/>
    <x v="0"/>
    <n v="0"/>
    <n v="0"/>
    <n v="0.25"/>
    <n v="11.75"/>
    <x v="1"/>
    <x v="0"/>
    <m/>
    <x v="0"/>
    <n v="432.5"/>
    <x v="0"/>
    <x v="10"/>
    <x v="0"/>
    <x v="0"/>
    <x v="0"/>
  </r>
  <r>
    <x v="0"/>
    <x v="14"/>
    <s v="2812/1"/>
    <x v="136"/>
    <s v="WAH NOBAL (PT-02)"/>
    <s v="LDN"/>
    <s v="0 MM"/>
    <s v="12-24"/>
    <s v="LDN"/>
    <n v="1000"/>
    <x v="0"/>
    <n v="4"/>
    <n v="108.09"/>
    <m/>
    <m/>
    <x v="0"/>
    <n v="108.09"/>
    <n v="1000.2"/>
    <m/>
    <x v="0"/>
    <x v="0"/>
    <n v="0"/>
    <n v="0"/>
    <x v="0"/>
    <x v="0"/>
    <m/>
    <x v="0"/>
    <x v="0"/>
    <x v="0"/>
    <x v="0"/>
    <x v="0"/>
    <n v="0"/>
    <n v="0"/>
    <n v="0"/>
    <n v="12"/>
    <x v="1"/>
    <x v="0"/>
    <m/>
    <x v="0"/>
    <n v="113.09"/>
    <x v="0"/>
    <x v="10"/>
    <x v="0"/>
    <x v="0"/>
    <x v="0"/>
  </r>
  <r>
    <x v="1"/>
    <x v="14"/>
    <s v="2812/1"/>
    <x v="136"/>
    <s v="WAH NOBAL (PT-02)"/>
    <s v="LDN"/>
    <s v="0 MM"/>
    <s v="12-24"/>
    <s v="LDN"/>
    <n v="1000"/>
    <x v="0"/>
    <n v="30"/>
    <n v="892.11"/>
    <m/>
    <n v="80.5"/>
    <x v="0"/>
    <n v="892.11"/>
    <n v="1000.2"/>
    <n v="5"/>
    <x v="0"/>
    <x v="0"/>
    <n v="5"/>
    <n v="8.3333333333333329E-2"/>
    <x v="0"/>
    <x v="0"/>
    <n v="8"/>
    <x v="0"/>
    <x v="0"/>
    <x v="0"/>
    <x v="0"/>
    <x v="0"/>
    <n v="8"/>
    <n v="0.13333333333333333"/>
    <n v="0.21666666666666667"/>
    <n v="11.783333333333333"/>
    <x v="1"/>
    <x v="0"/>
    <m/>
    <x v="0"/>
    <n v="897.11"/>
    <x v="0"/>
    <x v="10"/>
    <x v="0"/>
    <x v="0"/>
    <x v="0"/>
  </r>
  <r>
    <x v="0"/>
    <x v="8"/>
    <s v="5063 J"/>
    <x v="137"/>
    <s v="Smart Cash And Carry Norkot"/>
    <s v="LDN"/>
    <n v="6"/>
    <s v="14-15"/>
    <s v="LDN"/>
    <n v="300"/>
    <x v="0"/>
    <n v="3"/>
    <n v="156.69999999999999"/>
    <n v="2.4000000000000004"/>
    <m/>
    <x v="0"/>
    <n v="154.29999999999998"/>
    <n v="244.09999999999997"/>
    <m/>
    <x v="0"/>
    <x v="0"/>
    <n v="0"/>
    <n v="0"/>
    <x v="0"/>
    <x v="0"/>
    <m/>
    <x v="0"/>
    <x v="0"/>
    <x v="0"/>
    <x v="0"/>
    <x v="0"/>
    <n v="0"/>
    <n v="0"/>
    <n v="0"/>
    <n v="12"/>
    <x v="1"/>
    <x v="0"/>
    <m/>
    <x v="0"/>
    <n v="161.69999999999999"/>
    <x v="0"/>
    <x v="11"/>
    <x v="0"/>
    <x v="0"/>
    <x v="0"/>
  </r>
  <r>
    <x v="1"/>
    <x v="8"/>
    <s v="PACKING"/>
    <x v="137"/>
    <s v="-"/>
    <m/>
    <m/>
    <m/>
    <m/>
    <m/>
    <x v="0"/>
    <n v="1"/>
    <n v="40"/>
    <n v="0.4"/>
    <n v="3"/>
    <x v="0"/>
    <n v="39.6"/>
    <n v="2074.5"/>
    <m/>
    <x v="0"/>
    <x v="0"/>
    <n v="0"/>
    <n v="0"/>
    <x v="0"/>
    <x v="0"/>
    <m/>
    <x v="0"/>
    <x v="0"/>
    <x v="0"/>
    <x v="0"/>
    <x v="0"/>
    <n v="0"/>
    <n v="0"/>
    <n v="0"/>
    <n v="12"/>
    <x v="1"/>
    <x v="0"/>
    <m/>
    <x v="0"/>
    <n v="45"/>
    <x v="0"/>
    <x v="11"/>
    <x v="0"/>
    <x v="0"/>
    <x v="0"/>
  </r>
  <r>
    <x v="1"/>
    <x v="8"/>
    <s v="5064 J"/>
    <x v="137"/>
    <s v="Smart Cash And Carry Norkot"/>
    <s v="LDN"/>
    <n v="7"/>
    <s v="14-15"/>
    <s v="LDN"/>
    <n v="300"/>
    <x v="0"/>
    <n v="1"/>
    <n v="66"/>
    <n v="0.7"/>
    <m/>
    <x v="0"/>
    <n v="65.3"/>
    <n v="297.60000000000002"/>
    <m/>
    <x v="0"/>
    <x v="0"/>
    <n v="0"/>
    <n v="0"/>
    <x v="0"/>
    <x v="0"/>
    <m/>
    <x v="0"/>
    <x v="0"/>
    <x v="0"/>
    <x v="0"/>
    <x v="0"/>
    <n v="0"/>
    <n v="0"/>
    <n v="0"/>
    <n v="12"/>
    <x v="1"/>
    <x v="0"/>
    <m/>
    <x v="0"/>
    <n v="71"/>
    <x v="0"/>
    <x v="11"/>
    <x v="0"/>
    <x v="0"/>
    <x v="0"/>
  </r>
  <r>
    <x v="1"/>
    <x v="8"/>
    <s v="5113 J"/>
    <x v="137"/>
    <s v="Moez Traders Ghazi Road Lahore"/>
    <s v="LDN"/>
    <n v="10"/>
    <s v="9.5-10"/>
    <s v="LDN"/>
    <n v="200"/>
    <x v="0"/>
    <n v="2"/>
    <n v="85"/>
    <n v="2.5"/>
    <m/>
    <x v="0"/>
    <n v="82.5"/>
    <n v="217.05999999999997"/>
    <m/>
    <x v="0"/>
    <x v="0"/>
    <n v="0"/>
    <n v="0"/>
    <x v="0"/>
    <x v="0"/>
    <m/>
    <x v="0"/>
    <x v="0"/>
    <x v="0"/>
    <x v="0"/>
    <x v="0"/>
    <n v="0"/>
    <n v="0"/>
    <n v="0"/>
    <n v="12"/>
    <x v="1"/>
    <x v="0"/>
    <m/>
    <x v="0"/>
    <n v="90"/>
    <x v="0"/>
    <x v="11"/>
    <x v="0"/>
    <x v="0"/>
    <x v="0"/>
  </r>
  <r>
    <x v="0"/>
    <x v="9"/>
    <s v="5062 J"/>
    <x v="137"/>
    <s v="Wah Nobel Private Limited"/>
    <s v="LD گولڈن یلو"/>
    <s v="100MM"/>
    <s v="29-30"/>
    <s v="LDM"/>
    <n v="1000"/>
    <x v="0"/>
    <n v="3"/>
    <n v="173.89999999999998"/>
    <n v="3"/>
    <m/>
    <x v="0"/>
    <n v="170.89999999999998"/>
    <n v="1151.8"/>
    <m/>
    <x v="0"/>
    <x v="0"/>
    <n v="0"/>
    <n v="0"/>
    <x v="0"/>
    <x v="0"/>
    <m/>
    <x v="0"/>
    <x v="0"/>
    <x v="0"/>
    <x v="0"/>
    <x v="0"/>
    <n v="0"/>
    <n v="0"/>
    <n v="0"/>
    <n v="12"/>
    <x v="1"/>
    <x v="0"/>
    <m/>
    <x v="0"/>
    <n v="178.89999999999998"/>
    <x v="0"/>
    <x v="11"/>
    <x v="0"/>
    <x v="0"/>
    <x v="0"/>
  </r>
  <r>
    <x v="1"/>
    <x v="9"/>
    <s v="5062 J"/>
    <x v="137"/>
    <s v="Wah Nobel Private Limited"/>
    <s v="LD گولڈن یلو"/>
    <s v="100MM"/>
    <s v="29-30"/>
    <s v="LDM"/>
    <n v="1000"/>
    <x v="0"/>
    <n v="2"/>
    <n v="153.6"/>
    <n v="2.1"/>
    <m/>
    <x v="0"/>
    <n v="151.5"/>
    <n v="1151.8"/>
    <m/>
    <x v="0"/>
    <x v="0"/>
    <n v="0"/>
    <n v="0"/>
    <x v="0"/>
    <x v="0"/>
    <m/>
    <x v="0"/>
    <x v="0"/>
    <x v="0"/>
    <x v="0"/>
    <x v="0"/>
    <n v="0"/>
    <n v="0"/>
    <n v="0"/>
    <n v="12"/>
    <x v="1"/>
    <x v="0"/>
    <m/>
    <x v="0"/>
    <n v="158.6"/>
    <x v="0"/>
    <x v="11"/>
    <x v="0"/>
    <x v="0"/>
    <x v="0"/>
  </r>
  <r>
    <x v="0"/>
    <x v="10"/>
    <s v="2783/4"/>
    <x v="137"/>
    <s v="PT-01"/>
    <s v="LD سرخ"/>
    <n v="8"/>
    <n v="80"/>
    <s v="LD سرخ"/>
    <n v="5000"/>
    <x v="0"/>
    <n v="3"/>
    <n v="78.099999999999994"/>
    <m/>
    <m/>
    <x v="0"/>
    <n v="78.099999999999994"/>
    <n v="4431.72"/>
    <m/>
    <x v="0"/>
    <x v="0"/>
    <n v="0"/>
    <n v="0"/>
    <x v="0"/>
    <x v="0"/>
    <m/>
    <x v="0"/>
    <x v="0"/>
    <x v="0"/>
    <x v="0"/>
    <x v="5"/>
    <n v="120"/>
    <n v="2"/>
    <n v="2"/>
    <n v="10"/>
    <x v="1"/>
    <x v="0"/>
    <m/>
    <x v="0"/>
    <n v="83.1"/>
    <x v="0"/>
    <x v="11"/>
    <x v="0"/>
    <x v="0"/>
    <x v="0"/>
  </r>
  <r>
    <x v="0"/>
    <x v="10"/>
    <s v="2783/6"/>
    <x v="137"/>
    <s v="PT-01"/>
    <s v="LD سرخ"/>
    <n v="4"/>
    <n v="80"/>
    <s v="LD سرخ"/>
    <n v="9000"/>
    <x v="0"/>
    <n v="5"/>
    <n v="131.80000000000001"/>
    <m/>
    <m/>
    <x v="0"/>
    <n v="131.80000000000001"/>
    <n v="4266.84"/>
    <m/>
    <x v="0"/>
    <x v="0"/>
    <n v="0"/>
    <n v="0"/>
    <x v="0"/>
    <x v="0"/>
    <m/>
    <x v="0"/>
    <x v="0"/>
    <x v="0"/>
    <x v="0"/>
    <x v="0"/>
    <n v="0"/>
    <n v="0"/>
    <n v="0"/>
    <n v="12"/>
    <x v="1"/>
    <x v="0"/>
    <m/>
    <x v="0"/>
    <n v="136.80000000000001"/>
    <x v="0"/>
    <x v="11"/>
    <x v="0"/>
    <x v="0"/>
    <x v="0"/>
  </r>
  <r>
    <x v="1"/>
    <x v="10"/>
    <s v="4993 J"/>
    <x v="137"/>
    <s v="Mehboob Printers Gujranwala"/>
    <s v="LD پیلا"/>
    <n v="20"/>
    <s v="13-13.5"/>
    <s v="LDM"/>
    <n v="250"/>
    <x v="0"/>
    <n v="3"/>
    <n v="269.8"/>
    <m/>
    <n v="95"/>
    <x v="0"/>
    <n v="269.8"/>
    <n v="269.8"/>
    <n v="15"/>
    <x v="0"/>
    <x v="0"/>
    <n v="15"/>
    <n v="0.25"/>
    <x v="0"/>
    <x v="0"/>
    <m/>
    <x v="0"/>
    <x v="0"/>
    <x v="0"/>
    <x v="0"/>
    <x v="0"/>
    <n v="0"/>
    <n v="0"/>
    <n v="0.25"/>
    <n v="11.75"/>
    <x v="1"/>
    <x v="0"/>
    <m/>
    <x v="0"/>
    <n v="274.8"/>
    <x v="0"/>
    <x v="11"/>
    <x v="0"/>
    <x v="0"/>
    <x v="0"/>
  </r>
  <r>
    <x v="1"/>
    <x v="10"/>
    <s v="2783/6"/>
    <x v="137"/>
    <s v="PT-01"/>
    <s v="LD سرخ"/>
    <n v="4"/>
    <n v="80"/>
    <s v="LD سرخ"/>
    <n v="9000"/>
    <x v="0"/>
    <n v="6"/>
    <n v="135.9"/>
    <m/>
    <m/>
    <x v="0"/>
    <n v="135.9"/>
    <n v="4266.84"/>
    <n v="15"/>
    <x v="0"/>
    <x v="0"/>
    <n v="15"/>
    <n v="0.25"/>
    <x v="0"/>
    <x v="0"/>
    <m/>
    <x v="0"/>
    <x v="0"/>
    <x v="0"/>
    <x v="0"/>
    <x v="0"/>
    <n v="0"/>
    <n v="0"/>
    <n v="0.25"/>
    <n v="11.75"/>
    <x v="1"/>
    <x v="0"/>
    <m/>
    <x v="0"/>
    <n v="140.9"/>
    <x v="0"/>
    <x v="11"/>
    <x v="0"/>
    <x v="0"/>
    <x v="0"/>
  </r>
  <r>
    <x v="0"/>
    <x v="11"/>
    <s v="2783/4"/>
    <x v="137"/>
    <s v="PT-01"/>
    <s v="LD سرخ"/>
    <n v="8"/>
    <n v="80"/>
    <s v="LD سرخ"/>
    <n v="5000"/>
    <x v="0"/>
    <n v="10"/>
    <n v="157.01"/>
    <n v="35"/>
    <m/>
    <x v="0"/>
    <n v="122.00999999999999"/>
    <n v="4431.72"/>
    <n v="10"/>
    <x v="0"/>
    <x v="0"/>
    <n v="10"/>
    <n v="0.16666666666666666"/>
    <x v="0"/>
    <x v="0"/>
    <m/>
    <x v="0"/>
    <x v="0"/>
    <x v="0"/>
    <x v="10"/>
    <x v="0"/>
    <n v="35"/>
    <n v="0.58333333333333337"/>
    <n v="0.75"/>
    <n v="11.25"/>
    <x v="1"/>
    <x v="0"/>
    <m/>
    <x v="0"/>
    <n v="162.01"/>
    <x v="0"/>
    <x v="11"/>
    <x v="0"/>
    <x v="0"/>
    <x v="0"/>
  </r>
  <r>
    <x v="0"/>
    <x v="11"/>
    <s v="2807/1"/>
    <x v="137"/>
    <s v="PT-01"/>
    <s v="LD سرخ"/>
    <n v="6"/>
    <n v="80"/>
    <s v="LD سرخ"/>
    <n v="2500"/>
    <x v="0"/>
    <n v="1"/>
    <n v="38.54"/>
    <m/>
    <m/>
    <x v="0"/>
    <n v="38.54"/>
    <n v="5041.09"/>
    <m/>
    <x v="0"/>
    <x v="0"/>
    <n v="0"/>
    <n v="0"/>
    <x v="0"/>
    <x v="0"/>
    <m/>
    <x v="0"/>
    <x v="0"/>
    <x v="0"/>
    <x v="0"/>
    <x v="0"/>
    <n v="0"/>
    <n v="0"/>
    <n v="0"/>
    <n v="12"/>
    <x v="1"/>
    <x v="0"/>
    <m/>
    <x v="0"/>
    <n v="43.54"/>
    <x v="0"/>
    <x v="11"/>
    <x v="0"/>
    <x v="0"/>
    <x v="0"/>
  </r>
  <r>
    <x v="1"/>
    <x v="11"/>
    <s v="2783/4"/>
    <x v="137"/>
    <s v="PT-01"/>
    <s v="LD سرخ"/>
    <n v="8"/>
    <n v="80"/>
    <s v="LD سرخ"/>
    <n v="5000"/>
    <x v="0"/>
    <n v="3"/>
    <n v="48.980000000000004"/>
    <n v="9"/>
    <m/>
    <x v="0"/>
    <n v="39.980000000000004"/>
    <n v="4431.72"/>
    <m/>
    <x v="0"/>
    <x v="0"/>
    <n v="0"/>
    <n v="0"/>
    <x v="0"/>
    <x v="0"/>
    <m/>
    <x v="0"/>
    <x v="0"/>
    <x v="0"/>
    <x v="0"/>
    <x v="0"/>
    <n v="0"/>
    <n v="0"/>
    <n v="0"/>
    <n v="12"/>
    <x v="1"/>
    <x v="0"/>
    <m/>
    <x v="0"/>
    <n v="53.980000000000004"/>
    <x v="0"/>
    <x v="11"/>
    <x v="0"/>
    <x v="0"/>
    <x v="0"/>
  </r>
  <r>
    <x v="1"/>
    <x v="11"/>
    <s v="2807/1"/>
    <x v="137"/>
    <s v="PT-01"/>
    <s v="LD سرخ"/>
    <n v="6"/>
    <n v="80"/>
    <s v="LD سرخ"/>
    <n v="2500"/>
    <x v="0"/>
    <n v="8"/>
    <n v="253.23999999999995"/>
    <m/>
    <m/>
    <x v="0"/>
    <n v="253.23999999999995"/>
    <n v="5041.09"/>
    <m/>
    <x v="0"/>
    <x v="0"/>
    <n v="0"/>
    <n v="0"/>
    <x v="0"/>
    <x v="0"/>
    <m/>
    <x v="0"/>
    <x v="0"/>
    <x v="0"/>
    <x v="0"/>
    <x v="0"/>
    <n v="0"/>
    <n v="0"/>
    <n v="0"/>
    <n v="12"/>
    <x v="1"/>
    <x v="0"/>
    <m/>
    <x v="0"/>
    <n v="258.23999999999995"/>
    <x v="0"/>
    <x v="11"/>
    <x v="0"/>
    <x v="0"/>
    <x v="0"/>
  </r>
  <r>
    <x v="0"/>
    <x v="13"/>
    <s v="2806/1"/>
    <x v="137"/>
    <s v="SITARA CHEMICAL"/>
    <s v="LDN"/>
    <n v="24"/>
    <s v="100±1"/>
    <s v="LDN"/>
    <n v="2700"/>
    <x v="0"/>
    <n v="4"/>
    <n v="453.72"/>
    <n v="1.2"/>
    <m/>
    <x v="0"/>
    <n v="452.52000000000004"/>
    <n v="2968.54"/>
    <m/>
    <x v="0"/>
    <x v="0"/>
    <n v="0"/>
    <n v="0"/>
    <x v="0"/>
    <x v="0"/>
    <m/>
    <x v="0"/>
    <x v="0"/>
    <x v="0"/>
    <x v="0"/>
    <x v="0"/>
    <n v="0"/>
    <n v="0"/>
    <n v="0"/>
    <n v="12"/>
    <x v="1"/>
    <x v="0"/>
    <m/>
    <x v="0"/>
    <n v="458.72"/>
    <x v="0"/>
    <x v="11"/>
    <x v="0"/>
    <x v="0"/>
    <x v="0"/>
  </r>
  <r>
    <x v="1"/>
    <x v="13"/>
    <s v="2806/1"/>
    <x v="137"/>
    <s v="SITARA CHEMICAL"/>
    <s v="LDN"/>
    <n v="24"/>
    <s v="100±1"/>
    <s v="LDN"/>
    <n v="2700"/>
    <x v="0"/>
    <n v="4"/>
    <n v="473.5"/>
    <n v="1.2"/>
    <n v="3.8"/>
    <x v="0"/>
    <n v="472.3"/>
    <n v="2968.54"/>
    <m/>
    <x v="0"/>
    <x v="0"/>
    <n v="0"/>
    <n v="0"/>
    <x v="0"/>
    <x v="0"/>
    <m/>
    <x v="0"/>
    <x v="0"/>
    <x v="0"/>
    <x v="0"/>
    <x v="0"/>
    <n v="0"/>
    <n v="0"/>
    <n v="0"/>
    <n v="12"/>
    <x v="1"/>
    <x v="0"/>
    <m/>
    <x v="0"/>
    <n v="478.5"/>
    <x v="0"/>
    <x v="11"/>
    <x v="0"/>
    <x v="0"/>
    <x v="0"/>
  </r>
  <r>
    <x v="0"/>
    <x v="12"/>
    <s v="2814/1"/>
    <x v="137"/>
    <s v="MATCO FOOD"/>
    <s v="LDN"/>
    <n v="23"/>
    <s v="70±2"/>
    <s v="LDN"/>
    <n v="20"/>
    <x v="0"/>
    <n v="5"/>
    <n v="541.69999999999993"/>
    <n v="14"/>
    <n v="15"/>
    <x v="0"/>
    <n v="527.69999999999993"/>
    <n v="3691.51"/>
    <n v="7"/>
    <x v="0"/>
    <x v="0"/>
    <n v="7"/>
    <n v="0.11666666666666667"/>
    <x v="0"/>
    <x v="0"/>
    <m/>
    <x v="0"/>
    <x v="0"/>
    <x v="0"/>
    <x v="0"/>
    <x v="0"/>
    <n v="0"/>
    <n v="0"/>
    <n v="0.11666666666666667"/>
    <n v="11.883333333333333"/>
    <x v="1"/>
    <x v="0"/>
    <m/>
    <x v="0"/>
    <n v="546.69999999999993"/>
    <x v="0"/>
    <x v="11"/>
    <x v="0"/>
    <x v="0"/>
    <x v="0"/>
  </r>
  <r>
    <x v="0"/>
    <x v="12"/>
    <s v="2814/1"/>
    <x v="137"/>
    <s v="MATCO FOOD"/>
    <s v="LDN"/>
    <n v="23"/>
    <s v="70±2"/>
    <s v="LDN"/>
    <n v="20"/>
    <x v="0"/>
    <n v="2"/>
    <n v="240.1"/>
    <n v="4.5999999999999996"/>
    <m/>
    <x v="0"/>
    <n v="235.5"/>
    <n v="3691.51"/>
    <m/>
    <x v="0"/>
    <x v="0"/>
    <n v="0"/>
    <n v="0"/>
    <x v="0"/>
    <x v="0"/>
    <m/>
    <x v="0"/>
    <x v="0"/>
    <x v="0"/>
    <x v="0"/>
    <x v="0"/>
    <n v="0"/>
    <n v="0"/>
    <n v="0"/>
    <n v="12"/>
    <x v="1"/>
    <x v="0"/>
    <m/>
    <x v="0"/>
    <n v="245.1"/>
    <x v="0"/>
    <x v="11"/>
    <x v="0"/>
    <x v="0"/>
    <x v="0"/>
  </r>
  <r>
    <x v="1"/>
    <x v="12"/>
    <s v="2814/1"/>
    <x v="137"/>
    <s v="MATCO FOOD"/>
    <s v="LDN"/>
    <n v="23"/>
    <s v="70±2"/>
    <s v="LDN"/>
    <n v="20"/>
    <x v="0"/>
    <n v="6"/>
    <n v="659.5"/>
    <n v="22.799999999999997"/>
    <n v="13.8"/>
    <x v="0"/>
    <n v="636.70000000000005"/>
    <n v="3691.51"/>
    <m/>
    <x v="0"/>
    <x v="0"/>
    <n v="0"/>
    <n v="0"/>
    <x v="0"/>
    <x v="0"/>
    <m/>
    <x v="0"/>
    <x v="0"/>
    <x v="0"/>
    <x v="0"/>
    <x v="0"/>
    <n v="0"/>
    <n v="0"/>
    <n v="0"/>
    <n v="12"/>
    <x v="1"/>
    <x v="0"/>
    <m/>
    <x v="0"/>
    <n v="664.5"/>
    <x v="0"/>
    <x v="11"/>
    <x v="0"/>
    <x v="0"/>
    <x v="0"/>
  </r>
  <r>
    <x v="0"/>
    <x v="14"/>
    <s v="5065 J"/>
    <x v="137"/>
    <s v="Synt Chemical Lahore "/>
    <s v="LDN"/>
    <s v="525 MM"/>
    <s v="15-16/30-32"/>
    <s v="LDN"/>
    <n v="100"/>
    <x v="0"/>
    <n v="2"/>
    <n v="128.9"/>
    <n v="5"/>
    <n v="30"/>
    <x v="0"/>
    <n v="123.9"/>
    <n v="251.3"/>
    <n v="5"/>
    <x v="0"/>
    <x v="0"/>
    <n v="5"/>
    <n v="8.3333333333333329E-2"/>
    <x v="0"/>
    <x v="0"/>
    <m/>
    <x v="0"/>
    <x v="0"/>
    <x v="0"/>
    <x v="0"/>
    <x v="0"/>
    <n v="0"/>
    <n v="0"/>
    <n v="8.3333333333333329E-2"/>
    <n v="11.916666666666666"/>
    <x v="1"/>
    <x v="0"/>
    <m/>
    <x v="0"/>
    <n v="133.9"/>
    <x v="0"/>
    <x v="11"/>
    <x v="0"/>
    <x v="0"/>
    <x v="0"/>
  </r>
  <r>
    <x v="0"/>
    <x v="14"/>
    <s v="5078 J"/>
    <x v="137"/>
    <s v="AY CANS  LAHORE"/>
    <s v="LDN"/>
    <n v="30"/>
    <s v="6"/>
    <s v="LDN"/>
    <n v="500"/>
    <x v="0"/>
    <n v="6"/>
    <n v="524.25"/>
    <n v="22.3"/>
    <m/>
    <x v="0"/>
    <n v="501.95"/>
    <n v="501.95"/>
    <n v="5"/>
    <x v="0"/>
    <x v="0"/>
    <n v="5"/>
    <n v="8.3333333333333329E-2"/>
    <x v="0"/>
    <x v="0"/>
    <m/>
    <x v="0"/>
    <x v="0"/>
    <x v="0"/>
    <x v="0"/>
    <x v="0"/>
    <n v="0"/>
    <n v="0"/>
    <n v="8.3333333333333329E-2"/>
    <n v="11.916666666666666"/>
    <x v="1"/>
    <x v="0"/>
    <m/>
    <x v="0"/>
    <n v="529.25"/>
    <x v="0"/>
    <x v="11"/>
    <x v="0"/>
    <x v="0"/>
    <x v="0"/>
  </r>
  <r>
    <x v="0"/>
    <x v="14"/>
    <s v="5069 J"/>
    <x v="137"/>
    <s v="Usman Arif Butt Gujranwala"/>
    <s v="LDN"/>
    <n v="27"/>
    <s v="6.5-7"/>
    <s v="LDN"/>
    <n v="100"/>
    <x v="0"/>
    <n v="1"/>
    <n v="57"/>
    <n v="3.2"/>
    <m/>
    <x v="0"/>
    <n v="53.8"/>
    <n v="106.69999999999999"/>
    <n v="5"/>
    <x v="0"/>
    <x v="0"/>
    <n v="5"/>
    <n v="8.3333333333333329E-2"/>
    <x v="0"/>
    <x v="0"/>
    <m/>
    <x v="0"/>
    <x v="0"/>
    <x v="0"/>
    <x v="0"/>
    <x v="0"/>
    <n v="0"/>
    <n v="0"/>
    <n v="8.3333333333333329E-2"/>
    <n v="11.916666666666666"/>
    <x v="1"/>
    <x v="0"/>
    <m/>
    <x v="0"/>
    <n v="62"/>
    <x v="0"/>
    <x v="11"/>
    <x v="0"/>
    <x v="0"/>
    <x v="0"/>
  </r>
  <r>
    <x v="1"/>
    <x v="14"/>
    <s v="5093 J"/>
    <x v="137"/>
    <s v="Emarat Plastic Chong "/>
    <s v="LDN"/>
    <n v="16"/>
    <s v="-"/>
    <s v="LDN"/>
    <n v="100"/>
    <x v="0"/>
    <n v="2"/>
    <n v="108.36"/>
    <n v="4"/>
    <n v="10"/>
    <x v="0"/>
    <n v="104.36"/>
    <n v="206.64"/>
    <m/>
    <x v="0"/>
    <x v="0"/>
    <n v="0"/>
    <n v="0"/>
    <x v="0"/>
    <x v="0"/>
    <m/>
    <x v="0"/>
    <x v="0"/>
    <x v="0"/>
    <x v="0"/>
    <x v="0"/>
    <n v="0"/>
    <n v="0"/>
    <n v="0"/>
    <n v="12"/>
    <x v="1"/>
    <x v="0"/>
    <m/>
    <x v="0"/>
    <n v="113.36"/>
    <x v="0"/>
    <x v="11"/>
    <x v="0"/>
    <x v="0"/>
    <x v="0"/>
  </r>
  <r>
    <x v="1"/>
    <x v="14"/>
    <s v="4661 J"/>
    <x v="137"/>
    <s v="Usman Arif Butt Gujranwala"/>
    <s v="LDN"/>
    <n v="12"/>
    <s v="11-12"/>
    <s v="LDN"/>
    <n v="125"/>
    <x v="0"/>
    <n v="3"/>
    <n v="133"/>
    <n v="3.5999999999999996"/>
    <m/>
    <x v="0"/>
    <n v="129.4"/>
    <n v="129.4"/>
    <m/>
    <x v="0"/>
    <x v="0"/>
    <n v="0"/>
    <n v="0"/>
    <x v="0"/>
    <x v="0"/>
    <m/>
    <x v="0"/>
    <x v="0"/>
    <x v="0"/>
    <x v="0"/>
    <x v="0"/>
    <n v="0"/>
    <n v="0"/>
    <n v="0"/>
    <n v="12"/>
    <x v="1"/>
    <x v="0"/>
    <m/>
    <x v="0"/>
    <n v="138"/>
    <x v="0"/>
    <x v="11"/>
    <x v="0"/>
    <x v="0"/>
    <x v="0"/>
  </r>
  <r>
    <x v="1"/>
    <x v="14"/>
    <s v="5094 J"/>
    <x v="137"/>
    <s v="Emarat Plastic Chong "/>
    <s v="LDN"/>
    <n v="16"/>
    <s v="-"/>
    <s v="LDN"/>
    <n v="100"/>
    <x v="0"/>
    <n v="2"/>
    <n v="104.5"/>
    <n v="3.2"/>
    <m/>
    <x v="0"/>
    <n v="101.3"/>
    <n v="219.2"/>
    <m/>
    <x v="0"/>
    <x v="0"/>
    <n v="0"/>
    <n v="0"/>
    <x v="0"/>
    <x v="0"/>
    <m/>
    <x v="0"/>
    <x v="0"/>
    <x v="0"/>
    <x v="0"/>
    <x v="0"/>
    <n v="0"/>
    <n v="0"/>
    <n v="0"/>
    <n v="12"/>
    <x v="1"/>
    <x v="0"/>
    <m/>
    <x v="0"/>
    <n v="109.5"/>
    <x v="0"/>
    <x v="11"/>
    <x v="0"/>
    <x v="0"/>
    <x v="0"/>
  </r>
  <r>
    <x v="1"/>
    <x v="14"/>
    <s v="5115 J"/>
    <x v="137"/>
    <s v="Mobeen Plastic Rawalpindi"/>
    <s v="LDN"/>
    <n v="16"/>
    <s v="10"/>
    <s v="LDN"/>
    <n v="100"/>
    <x v="0"/>
    <n v="1"/>
    <n v="53.7"/>
    <n v="1.4"/>
    <m/>
    <x v="0"/>
    <n v="52.300000000000004"/>
    <n v="52.300000000000004"/>
    <m/>
    <x v="0"/>
    <x v="0"/>
    <n v="0"/>
    <n v="0"/>
    <x v="0"/>
    <x v="0"/>
    <m/>
    <x v="0"/>
    <x v="0"/>
    <x v="0"/>
    <x v="0"/>
    <x v="0"/>
    <n v="0"/>
    <n v="0"/>
    <n v="0"/>
    <n v="12"/>
    <x v="1"/>
    <x v="0"/>
    <m/>
    <x v="0"/>
    <n v="58.7"/>
    <x v="0"/>
    <x v="11"/>
    <x v="0"/>
    <x v="0"/>
    <x v="0"/>
  </r>
  <r>
    <x v="0"/>
    <x v="8"/>
    <s v="5113 J"/>
    <x v="138"/>
    <s v="Moez Traders Ghazi Road Lahore"/>
    <s v="LDN"/>
    <n v="10"/>
    <s v="9.5-10"/>
    <s v="LDN"/>
    <n v="200"/>
    <x v="0"/>
    <n v="3"/>
    <n v="138.45999999999998"/>
    <n v="3.9000000000000004"/>
    <n v="5"/>
    <x v="0"/>
    <n v="134.55999999999997"/>
    <n v="217.05999999999997"/>
    <m/>
    <x v="0"/>
    <x v="0"/>
    <n v="0"/>
    <n v="0"/>
    <x v="0"/>
    <x v="0"/>
    <m/>
    <x v="0"/>
    <x v="0"/>
    <x v="0"/>
    <x v="0"/>
    <x v="0"/>
    <n v="0"/>
    <n v="0"/>
    <n v="0"/>
    <n v="12"/>
    <x v="1"/>
    <x v="0"/>
    <m/>
    <x v="0"/>
    <n v="143.45999999999998"/>
    <x v="0"/>
    <x v="11"/>
    <x v="0"/>
    <x v="0"/>
    <x v="0"/>
  </r>
  <r>
    <x v="0"/>
    <x v="8"/>
    <s v="5130 J"/>
    <x v="138"/>
    <s v="Adam Jee Dura Cut Built (PVT) LTD"/>
    <s v="LDN"/>
    <n v="9"/>
    <s v="15-16"/>
    <s v="LDN"/>
    <n v="500"/>
    <x v="0"/>
    <n v="1"/>
    <n v="55.3"/>
    <n v="1"/>
    <m/>
    <x v="0"/>
    <n v="54.3"/>
    <n v="419.40000000000009"/>
    <m/>
    <x v="0"/>
    <x v="0"/>
    <n v="0"/>
    <n v="0"/>
    <x v="0"/>
    <x v="0"/>
    <m/>
    <x v="0"/>
    <x v="0"/>
    <x v="0"/>
    <x v="0"/>
    <x v="0"/>
    <n v="0"/>
    <n v="0"/>
    <n v="0"/>
    <n v="12"/>
    <x v="1"/>
    <x v="0"/>
    <m/>
    <x v="0"/>
    <n v="60.3"/>
    <x v="0"/>
    <x v="11"/>
    <x v="0"/>
    <x v="0"/>
    <x v="0"/>
  </r>
  <r>
    <x v="1"/>
    <x v="8"/>
    <s v="5130 J"/>
    <x v="138"/>
    <s v="Adam Jee Dura Cut Built (PVT) LTD"/>
    <s v="LDN"/>
    <n v="9"/>
    <s v="15-16"/>
    <s v="LDN"/>
    <n v="500"/>
    <x v="0"/>
    <n v="4"/>
    <n v="196.60000000000002"/>
    <n v="4"/>
    <n v="3"/>
    <x v="0"/>
    <n v="192.60000000000002"/>
    <n v="419.40000000000009"/>
    <m/>
    <x v="0"/>
    <x v="0"/>
    <n v="0"/>
    <n v="0"/>
    <x v="0"/>
    <x v="0"/>
    <m/>
    <x v="0"/>
    <x v="0"/>
    <x v="0"/>
    <x v="0"/>
    <x v="0"/>
    <n v="0"/>
    <n v="0"/>
    <n v="0"/>
    <n v="12"/>
    <x v="1"/>
    <x v="0"/>
    <m/>
    <x v="0"/>
    <n v="201.60000000000002"/>
    <x v="0"/>
    <x v="11"/>
    <x v="0"/>
    <x v="0"/>
    <x v="0"/>
  </r>
  <r>
    <x v="0"/>
    <x v="9"/>
    <s v="5062 J"/>
    <x v="138"/>
    <s v="Wah Nobel Private Limited"/>
    <s v="LD گولڈن یلو"/>
    <s v="100MM"/>
    <s v="29-30"/>
    <s v="LDM"/>
    <n v="1000"/>
    <x v="0"/>
    <n v="4"/>
    <n v="177.2"/>
    <n v="4.1999999999999993"/>
    <m/>
    <x v="0"/>
    <n v="173"/>
    <n v="1151.8"/>
    <m/>
    <x v="0"/>
    <x v="0"/>
    <n v="0"/>
    <n v="0"/>
    <x v="0"/>
    <x v="0"/>
    <m/>
    <x v="0"/>
    <x v="0"/>
    <x v="0"/>
    <x v="0"/>
    <x v="0"/>
    <n v="0"/>
    <n v="0"/>
    <n v="0"/>
    <n v="12"/>
    <x v="1"/>
    <x v="0"/>
    <m/>
    <x v="0"/>
    <n v="182.2"/>
    <x v="0"/>
    <x v="11"/>
    <x v="0"/>
    <x v="0"/>
    <x v="0"/>
  </r>
  <r>
    <x v="1"/>
    <x v="9"/>
    <s v="5062 J"/>
    <x v="138"/>
    <s v="Wah Nobel Private Limited"/>
    <s v="LD گولڈن یلو"/>
    <s v="100MM"/>
    <s v="29-30"/>
    <s v="LDM"/>
    <n v="1000"/>
    <x v="0"/>
    <n v="3"/>
    <n v="191.10000000000002"/>
    <n v="3"/>
    <m/>
    <x v="0"/>
    <n v="188.10000000000002"/>
    <n v="1151.8"/>
    <m/>
    <x v="0"/>
    <x v="0"/>
    <n v="0"/>
    <n v="0"/>
    <x v="0"/>
    <x v="0"/>
    <m/>
    <x v="0"/>
    <x v="0"/>
    <x v="0"/>
    <x v="0"/>
    <x v="0"/>
    <n v="0"/>
    <n v="0"/>
    <n v="0"/>
    <n v="12"/>
    <x v="1"/>
    <x v="0"/>
    <m/>
    <x v="0"/>
    <n v="196.10000000000002"/>
    <x v="0"/>
    <x v="11"/>
    <x v="0"/>
    <x v="0"/>
    <x v="0"/>
  </r>
  <r>
    <x v="0"/>
    <x v="14"/>
    <s v="5015 J"/>
    <x v="138"/>
    <s v="-"/>
    <m/>
    <m/>
    <m/>
    <m/>
    <m/>
    <x v="0"/>
    <n v="1"/>
    <n v="53.8"/>
    <n v="1.3"/>
    <n v="38"/>
    <x v="0"/>
    <n v="52.5"/>
    <n v="52.5"/>
    <n v="5"/>
    <x v="0"/>
    <x v="0"/>
    <n v="5"/>
    <n v="8.3333333333333329E-2"/>
    <x v="0"/>
    <x v="0"/>
    <m/>
    <x v="0"/>
    <x v="0"/>
    <x v="0"/>
    <x v="0"/>
    <x v="0"/>
    <n v="0"/>
    <n v="0"/>
    <n v="8.3333333333333329E-2"/>
    <n v="11.916666666666666"/>
    <x v="1"/>
    <x v="0"/>
    <m/>
    <x v="0"/>
    <n v="58.8"/>
    <x v="0"/>
    <x v="11"/>
    <x v="0"/>
    <x v="0"/>
    <x v="0"/>
  </r>
  <r>
    <x v="0"/>
    <x v="14"/>
    <s v="5135 J"/>
    <x v="138"/>
    <s v="Tip Top Dry Cleaners Pvt Ltd "/>
    <s v="LDN"/>
    <n v="16"/>
    <s v="6"/>
    <s v="LDN"/>
    <n v="100"/>
    <x v="0"/>
    <n v="3"/>
    <n v="105.9"/>
    <n v="5.6999999999999993"/>
    <m/>
    <x v="0"/>
    <n v="100.2"/>
    <n v="100.2"/>
    <m/>
    <x v="0"/>
    <x v="0"/>
    <n v="0"/>
    <n v="0"/>
    <x v="0"/>
    <x v="0"/>
    <m/>
    <x v="0"/>
    <x v="0"/>
    <x v="0"/>
    <x v="0"/>
    <x v="0"/>
    <n v="0"/>
    <n v="0"/>
    <n v="0"/>
    <n v="12"/>
    <x v="1"/>
    <x v="0"/>
    <m/>
    <x v="0"/>
    <n v="110.9"/>
    <x v="0"/>
    <x v="11"/>
    <x v="0"/>
    <x v="0"/>
    <x v="0"/>
  </r>
  <r>
    <x v="0"/>
    <x v="14"/>
    <s v="2379 F"/>
    <x v="138"/>
    <s v="Usman Amin"/>
    <s v="LDN "/>
    <n v="25"/>
    <s v="8-8.5"/>
    <s v="LDN "/>
    <n v="60"/>
    <x v="0"/>
    <n v="1"/>
    <n v="69.2"/>
    <n v="3"/>
    <m/>
    <x v="0"/>
    <n v="66.2"/>
    <n v="66.2"/>
    <m/>
    <x v="0"/>
    <x v="0"/>
    <n v="0"/>
    <n v="0"/>
    <x v="0"/>
    <x v="0"/>
    <m/>
    <x v="0"/>
    <x v="0"/>
    <x v="0"/>
    <x v="0"/>
    <x v="0"/>
    <n v="0"/>
    <n v="0"/>
    <n v="0"/>
    <n v="12"/>
    <x v="1"/>
    <x v="0"/>
    <m/>
    <x v="0"/>
    <n v="74.2"/>
    <x v="0"/>
    <x v="11"/>
    <x v="0"/>
    <x v="0"/>
    <x v="0"/>
  </r>
  <r>
    <x v="0"/>
    <x v="14"/>
    <s v="5069 J"/>
    <x v="138"/>
    <s v="Usman Arif Butt Gujranwala"/>
    <s v="LDN"/>
    <n v="27"/>
    <s v="6.5-7"/>
    <s v="LDN"/>
    <n v="100"/>
    <x v="0"/>
    <n v="1"/>
    <n v="56.1"/>
    <n v="3.2"/>
    <m/>
    <x v="0"/>
    <n v="52.9"/>
    <n v="106.69999999999999"/>
    <m/>
    <x v="0"/>
    <x v="0"/>
    <n v="0"/>
    <n v="0"/>
    <x v="0"/>
    <x v="0"/>
    <m/>
    <x v="0"/>
    <x v="0"/>
    <x v="0"/>
    <x v="0"/>
    <x v="0"/>
    <n v="0"/>
    <n v="0"/>
    <n v="0"/>
    <n v="12"/>
    <x v="1"/>
    <x v="0"/>
    <m/>
    <x v="0"/>
    <n v="61.1"/>
    <x v="0"/>
    <x v="11"/>
    <x v="0"/>
    <x v="0"/>
    <x v="0"/>
  </r>
  <r>
    <x v="0"/>
    <x v="14"/>
    <s v="5134 J"/>
    <x v="138"/>
    <s v="Tip Top Dry Cleaners Pvt Ltd "/>
    <s v="LDN"/>
    <n v="24"/>
    <s v="6"/>
    <s v="LDN"/>
    <n v="500"/>
    <x v="0"/>
    <n v="1"/>
    <n v="37.799999999999997"/>
    <n v="2.9"/>
    <m/>
    <x v="0"/>
    <n v="34.9"/>
    <n v="499.28"/>
    <m/>
    <x v="0"/>
    <x v="0"/>
    <n v="0"/>
    <n v="0"/>
    <x v="0"/>
    <x v="0"/>
    <m/>
    <x v="0"/>
    <x v="0"/>
    <x v="0"/>
    <x v="0"/>
    <x v="0"/>
    <n v="0"/>
    <n v="0"/>
    <n v="0"/>
    <n v="12"/>
    <x v="1"/>
    <x v="0"/>
    <m/>
    <x v="0"/>
    <n v="42.8"/>
    <x v="0"/>
    <x v="11"/>
    <x v="0"/>
    <x v="0"/>
    <x v="0"/>
  </r>
  <r>
    <x v="0"/>
    <x v="14"/>
    <s v="4809 J"/>
    <x v="138"/>
    <s v="Parcon Synthetic Pvt LTD Master Foam"/>
    <s v="LDM"/>
    <s v="31+6+6"/>
    <s v="10/20"/>
    <s v="LDM"/>
    <n v="300"/>
    <x v="0"/>
    <n v="4"/>
    <n v="354.29999999999995"/>
    <n v="15.2"/>
    <m/>
    <x v="0"/>
    <n v="339.09999999999997"/>
    <n v="636.17999999999995"/>
    <m/>
    <x v="0"/>
    <x v="0"/>
    <n v="0"/>
    <n v="0"/>
    <x v="0"/>
    <x v="0"/>
    <m/>
    <x v="0"/>
    <x v="0"/>
    <x v="0"/>
    <x v="0"/>
    <x v="0"/>
    <n v="0"/>
    <n v="0"/>
    <n v="0"/>
    <n v="12"/>
    <x v="1"/>
    <x v="0"/>
    <m/>
    <x v="0"/>
    <n v="359.29999999999995"/>
    <x v="0"/>
    <x v="11"/>
    <x v="0"/>
    <x v="0"/>
    <x v="0"/>
  </r>
  <r>
    <x v="1"/>
    <x v="14"/>
    <s v="5110 J"/>
    <x v="138"/>
    <s v="Alam Printers Butkhela"/>
    <s v="LDM"/>
    <n v="20"/>
    <s v="15-16"/>
    <s v="LDM"/>
    <n v="100"/>
    <x v="0"/>
    <n v="2"/>
    <n v="106"/>
    <n v="4.8"/>
    <n v="32"/>
    <x v="0"/>
    <n v="101.2"/>
    <n v="210.9"/>
    <n v="5"/>
    <x v="0"/>
    <x v="0"/>
    <n v="5"/>
    <n v="8.3333333333333329E-2"/>
    <x v="0"/>
    <x v="0"/>
    <m/>
    <x v="13"/>
    <x v="0"/>
    <x v="0"/>
    <x v="0"/>
    <x v="0"/>
    <n v="35"/>
    <n v="0.58333333333333337"/>
    <n v="0.66666666666666674"/>
    <n v="11.333333333333334"/>
    <x v="1"/>
    <x v="0"/>
    <m/>
    <x v="0"/>
    <n v="111"/>
    <x v="0"/>
    <x v="11"/>
    <x v="0"/>
    <x v="0"/>
    <x v="0"/>
  </r>
  <r>
    <x v="1"/>
    <x v="14"/>
    <s v="5119 J"/>
    <x v="138"/>
    <s v="The Kids Mall Lahore"/>
    <s v="LDM"/>
    <n v="18.5"/>
    <s v="15-16"/>
    <s v="LDM"/>
    <n v="100"/>
    <x v="0"/>
    <n v="2"/>
    <n v="108.6"/>
    <n v="3.6"/>
    <m/>
    <x v="0"/>
    <n v="105"/>
    <n v="195.34"/>
    <n v="5"/>
    <x v="0"/>
    <x v="0"/>
    <n v="5"/>
    <n v="8.3333333333333329E-2"/>
    <x v="0"/>
    <x v="0"/>
    <m/>
    <x v="0"/>
    <x v="0"/>
    <x v="0"/>
    <x v="0"/>
    <x v="0"/>
    <n v="0"/>
    <n v="0"/>
    <n v="8.3333333333333329E-2"/>
    <n v="11.916666666666666"/>
    <x v="1"/>
    <x v="0"/>
    <m/>
    <x v="0"/>
    <n v="113.6"/>
    <x v="0"/>
    <x v="11"/>
    <x v="0"/>
    <x v="0"/>
    <x v="0"/>
  </r>
  <r>
    <x v="1"/>
    <x v="14"/>
    <s v="5117 J"/>
    <x v="138"/>
    <s v="The Kids Mall Lahore"/>
    <s v="LDM"/>
    <n v="14.5"/>
    <s v="12.5-13"/>
    <s v="LDM"/>
    <n v="100"/>
    <x v="0"/>
    <n v="2"/>
    <n v="106"/>
    <n v="2.8"/>
    <m/>
    <x v="0"/>
    <n v="103.2"/>
    <n v="103.2"/>
    <n v="5"/>
    <x v="0"/>
    <x v="0"/>
    <n v="5"/>
    <n v="8.3333333333333329E-2"/>
    <x v="0"/>
    <x v="0"/>
    <m/>
    <x v="0"/>
    <x v="0"/>
    <x v="0"/>
    <x v="0"/>
    <x v="0"/>
    <n v="0"/>
    <n v="0"/>
    <n v="8.3333333333333329E-2"/>
    <n v="11.916666666666666"/>
    <x v="1"/>
    <x v="0"/>
    <m/>
    <x v="0"/>
    <n v="111"/>
    <x v="0"/>
    <x v="11"/>
    <x v="0"/>
    <x v="0"/>
    <x v="0"/>
  </r>
  <r>
    <x v="1"/>
    <x v="14"/>
    <s v="5118 J"/>
    <x v="138"/>
    <s v="The Kids Mall Lahore"/>
    <s v="LDM"/>
    <n v="16"/>
    <s v="13.5-14"/>
    <s v="LDM"/>
    <n v="100"/>
    <x v="0"/>
    <n v="2"/>
    <n v="105.9"/>
    <n v="2.8"/>
    <m/>
    <x v="0"/>
    <n v="103.10000000000001"/>
    <n v="103.10000000000001"/>
    <n v="5"/>
    <x v="0"/>
    <x v="0"/>
    <n v="5"/>
    <n v="8.3333333333333329E-2"/>
    <x v="0"/>
    <x v="0"/>
    <m/>
    <x v="0"/>
    <x v="0"/>
    <x v="0"/>
    <x v="0"/>
    <x v="0"/>
    <n v="0"/>
    <n v="0"/>
    <n v="8.3333333333333329E-2"/>
    <n v="11.916666666666666"/>
    <x v="1"/>
    <x v="0"/>
    <m/>
    <x v="0"/>
    <n v="110.9"/>
    <x v="0"/>
    <x v="11"/>
    <x v="0"/>
    <x v="0"/>
    <x v="0"/>
  </r>
  <r>
    <x v="1"/>
    <x v="14"/>
    <s v="5142 J"/>
    <x v="138"/>
    <s v="Haji Kamalwana"/>
    <s v="LDM"/>
    <n v="22"/>
    <s v="12-12.5"/>
    <s v="LDM"/>
    <n v="100"/>
    <x v="0"/>
    <n v="2"/>
    <n v="115.2"/>
    <n v="4.8000000000000007"/>
    <m/>
    <x v="0"/>
    <n v="110.4"/>
    <n v="110.4"/>
    <m/>
    <x v="0"/>
    <x v="0"/>
    <n v="0"/>
    <n v="0"/>
    <x v="0"/>
    <x v="0"/>
    <m/>
    <x v="0"/>
    <x v="0"/>
    <x v="0"/>
    <x v="0"/>
    <x v="0"/>
    <n v="0"/>
    <n v="0"/>
    <n v="0"/>
    <n v="12"/>
    <x v="1"/>
    <x v="0"/>
    <m/>
    <x v="0"/>
    <n v="120.2"/>
    <x v="0"/>
    <x v="11"/>
    <x v="0"/>
    <x v="0"/>
    <x v="0"/>
  </r>
  <r>
    <x v="0"/>
    <x v="10"/>
    <s v="2783/6"/>
    <x v="138"/>
    <s v="PT-01"/>
    <s v="LD سرخ"/>
    <n v="4"/>
    <n v="80"/>
    <s v="LD سرخ"/>
    <n v="9000"/>
    <x v="0"/>
    <n v="6"/>
    <n v="172.10000000000002"/>
    <m/>
    <m/>
    <x v="0"/>
    <n v="172.10000000000002"/>
    <n v="4266.84"/>
    <m/>
    <x v="0"/>
    <x v="0"/>
    <n v="0"/>
    <n v="0"/>
    <x v="0"/>
    <x v="0"/>
    <n v="120"/>
    <x v="0"/>
    <x v="0"/>
    <x v="0"/>
    <x v="0"/>
    <x v="0"/>
    <n v="120"/>
    <n v="2"/>
    <n v="2"/>
    <n v="10"/>
    <x v="1"/>
    <x v="0"/>
    <m/>
    <x v="0"/>
    <n v="177.10000000000002"/>
    <x v="0"/>
    <x v="11"/>
    <x v="0"/>
    <x v="0"/>
    <x v="0"/>
  </r>
  <r>
    <x v="1"/>
    <x v="10"/>
    <s v="2783/6"/>
    <x v="138"/>
    <s v="PT-01"/>
    <s v="LD سرخ"/>
    <n v="4"/>
    <n v="80"/>
    <s v="LD سرخ"/>
    <n v="9000"/>
    <x v="0"/>
    <n v="8"/>
    <n v="245.01999999999998"/>
    <m/>
    <n v="23"/>
    <x v="0"/>
    <n v="245.01999999999998"/>
    <n v="4266.84"/>
    <m/>
    <x v="2"/>
    <x v="0"/>
    <n v="150"/>
    <n v="2.5"/>
    <x v="0"/>
    <x v="0"/>
    <m/>
    <x v="0"/>
    <x v="0"/>
    <x v="0"/>
    <x v="0"/>
    <x v="0"/>
    <n v="0"/>
    <n v="0"/>
    <n v="2.5"/>
    <n v="9.5"/>
    <x v="1"/>
    <x v="0"/>
    <m/>
    <x v="0"/>
    <n v="250.01999999999998"/>
    <x v="0"/>
    <x v="11"/>
    <x v="0"/>
    <x v="0"/>
    <x v="0"/>
  </r>
  <r>
    <x v="0"/>
    <x v="13"/>
    <s v="2806/1"/>
    <x v="138"/>
    <s v="SITARA CHEMICAL"/>
    <s v="LDN"/>
    <n v="24"/>
    <s v="100±1"/>
    <s v="LDN"/>
    <n v="2700"/>
    <x v="0"/>
    <n v="3"/>
    <n v="390.40000000000003"/>
    <m/>
    <n v="7"/>
    <x v="0"/>
    <n v="390.40000000000003"/>
    <n v="2968.54"/>
    <m/>
    <x v="0"/>
    <x v="0"/>
    <n v="0"/>
    <n v="0"/>
    <x v="0"/>
    <x v="0"/>
    <m/>
    <x v="0"/>
    <x v="0"/>
    <x v="0"/>
    <x v="6"/>
    <x v="0"/>
    <n v="60"/>
    <n v="1"/>
    <n v="1"/>
    <n v="11"/>
    <x v="1"/>
    <x v="0"/>
    <m/>
    <x v="0"/>
    <n v="395.40000000000003"/>
    <x v="0"/>
    <x v="11"/>
    <x v="0"/>
    <x v="0"/>
    <x v="0"/>
  </r>
  <r>
    <x v="1"/>
    <x v="13"/>
    <s v="2806/1"/>
    <x v="138"/>
    <s v="SITARA CHEMICAL"/>
    <s v="LDN"/>
    <n v="24"/>
    <s v="100±1"/>
    <s v="LDN"/>
    <n v="2700"/>
    <x v="0"/>
    <n v="4"/>
    <n v="472.79999999999995"/>
    <m/>
    <m/>
    <x v="0"/>
    <n v="472.79999999999995"/>
    <n v="2968.54"/>
    <m/>
    <x v="0"/>
    <x v="0"/>
    <n v="0"/>
    <n v="0"/>
    <x v="0"/>
    <x v="0"/>
    <m/>
    <x v="0"/>
    <x v="0"/>
    <x v="0"/>
    <x v="0"/>
    <x v="0"/>
    <n v="0"/>
    <n v="0"/>
    <n v="0"/>
    <n v="12"/>
    <x v="1"/>
    <x v="0"/>
    <m/>
    <x v="0"/>
    <n v="477.79999999999995"/>
    <x v="0"/>
    <x v="11"/>
    <x v="0"/>
    <x v="0"/>
    <x v="0"/>
  </r>
  <r>
    <x v="0"/>
    <x v="12"/>
    <s v="2814/1"/>
    <x v="138"/>
    <s v="MATCO FOOD"/>
    <s v="LDN"/>
    <n v="23"/>
    <s v="70±2"/>
    <s v="LDN"/>
    <n v="20"/>
    <x v="0"/>
    <n v="6"/>
    <n v="609.09999999999991"/>
    <n v="16.799999999999997"/>
    <n v="11"/>
    <x v="0"/>
    <n v="592.29999999999995"/>
    <n v="3691.51"/>
    <m/>
    <x v="0"/>
    <x v="0"/>
    <n v="0"/>
    <n v="0"/>
    <x v="0"/>
    <x v="0"/>
    <m/>
    <x v="0"/>
    <x v="0"/>
    <x v="0"/>
    <x v="0"/>
    <x v="0"/>
    <n v="0"/>
    <n v="0"/>
    <n v="0"/>
    <n v="12"/>
    <x v="1"/>
    <x v="0"/>
    <m/>
    <x v="0"/>
    <n v="614.09999999999991"/>
    <x v="0"/>
    <x v="11"/>
    <x v="0"/>
    <x v="0"/>
    <x v="0"/>
  </r>
  <r>
    <x v="1"/>
    <x v="12"/>
    <s v="2814/1"/>
    <x v="138"/>
    <s v="MATCO FOOD"/>
    <s v="LDN"/>
    <n v="23"/>
    <s v="70±2"/>
    <s v="LDN"/>
    <n v="20"/>
    <x v="0"/>
    <n v="5"/>
    <n v="555.6"/>
    <n v="16"/>
    <m/>
    <x v="0"/>
    <n v="539.6"/>
    <n v="3691.51"/>
    <m/>
    <x v="0"/>
    <x v="0"/>
    <n v="0"/>
    <n v="0"/>
    <x v="0"/>
    <x v="0"/>
    <m/>
    <x v="0"/>
    <x v="0"/>
    <x v="0"/>
    <x v="0"/>
    <x v="0"/>
    <n v="0"/>
    <n v="0"/>
    <n v="0"/>
    <n v="12"/>
    <x v="1"/>
    <x v="0"/>
    <m/>
    <x v="0"/>
    <n v="560.6"/>
    <x v="0"/>
    <x v="11"/>
    <x v="0"/>
    <x v="0"/>
    <x v="0"/>
  </r>
  <r>
    <x v="0"/>
    <x v="8"/>
    <s v="5130 J"/>
    <x v="139"/>
    <s v="Adam Jee Dura Cut Built (PVT) LTD"/>
    <s v="LDN"/>
    <n v="9"/>
    <s v="15-16"/>
    <s v="LDN"/>
    <n v="500"/>
    <x v="0"/>
    <n v="3"/>
    <n v="59.2"/>
    <n v="3.3000000000000003"/>
    <n v="1"/>
    <x v="0"/>
    <n v="55.900000000000006"/>
    <n v="419.40000000000009"/>
    <m/>
    <x v="0"/>
    <x v="0"/>
    <n v="0"/>
    <n v="0"/>
    <x v="0"/>
    <x v="0"/>
    <m/>
    <x v="0"/>
    <x v="0"/>
    <x v="0"/>
    <x v="0"/>
    <x v="0"/>
    <n v="0"/>
    <n v="0"/>
    <n v="0"/>
    <n v="12"/>
    <x v="1"/>
    <x v="0"/>
    <m/>
    <x v="0"/>
    <n v="64.2"/>
    <x v="0"/>
    <x v="11"/>
    <x v="0"/>
    <x v="0"/>
    <x v="0"/>
  </r>
  <r>
    <x v="1"/>
    <x v="8"/>
    <s v="5130 J"/>
    <x v="139"/>
    <s v="Adam Jee Dura Cut Built (PVT) LTD"/>
    <s v="LDN"/>
    <n v="9"/>
    <s v="15-16"/>
    <s v="LDN"/>
    <n v="500"/>
    <x v="0"/>
    <n v="2"/>
    <n v="118.6"/>
    <n v="2"/>
    <n v="4"/>
    <x v="0"/>
    <n v="116.6"/>
    <n v="419.40000000000009"/>
    <m/>
    <x v="0"/>
    <x v="0"/>
    <n v="0"/>
    <n v="0"/>
    <x v="0"/>
    <x v="0"/>
    <m/>
    <x v="0"/>
    <x v="0"/>
    <x v="0"/>
    <x v="0"/>
    <x v="0"/>
    <n v="0"/>
    <n v="0"/>
    <n v="0"/>
    <n v="12"/>
    <x v="1"/>
    <x v="0"/>
    <m/>
    <x v="0"/>
    <n v="123.6"/>
    <x v="0"/>
    <x v="11"/>
    <x v="0"/>
    <x v="0"/>
    <x v="0"/>
  </r>
  <r>
    <x v="1"/>
    <x v="8"/>
    <s v="5162 J"/>
    <x v="139"/>
    <s v="Alam Printers Butkhela"/>
    <s v="LDN"/>
    <n v="7"/>
    <s v="13-13.5"/>
    <s v="LDN"/>
    <n v="100"/>
    <x v="0"/>
    <n v="1"/>
    <n v="57"/>
    <n v="0.8"/>
    <m/>
    <x v="0"/>
    <n v="56.2"/>
    <n v="105.6"/>
    <m/>
    <x v="0"/>
    <x v="0"/>
    <n v="0"/>
    <n v="0"/>
    <x v="0"/>
    <x v="0"/>
    <m/>
    <x v="0"/>
    <x v="0"/>
    <x v="0"/>
    <x v="0"/>
    <x v="0"/>
    <n v="0"/>
    <n v="0"/>
    <n v="0"/>
    <n v="12"/>
    <x v="1"/>
    <x v="0"/>
    <m/>
    <x v="0"/>
    <n v="62"/>
    <x v="0"/>
    <x v="11"/>
    <x v="0"/>
    <x v="0"/>
    <x v="0"/>
  </r>
  <r>
    <x v="0"/>
    <x v="9"/>
    <s v="5062 J"/>
    <x v="139"/>
    <s v="Wah Nobel Private Limited"/>
    <s v="LD گولڈن یلو"/>
    <s v="100MM"/>
    <s v="29-30"/>
    <s v="LDM"/>
    <n v="1000"/>
    <x v="0"/>
    <n v="3"/>
    <n v="135"/>
    <n v="3.5999999999999996"/>
    <m/>
    <x v="0"/>
    <n v="131.4"/>
    <n v="1151.8"/>
    <m/>
    <x v="0"/>
    <x v="0"/>
    <n v="0"/>
    <n v="0"/>
    <x v="0"/>
    <x v="0"/>
    <m/>
    <x v="0"/>
    <x v="0"/>
    <x v="0"/>
    <x v="0"/>
    <x v="0"/>
    <n v="0"/>
    <n v="0"/>
    <n v="0"/>
    <n v="12"/>
    <x v="1"/>
    <x v="0"/>
    <m/>
    <x v="0"/>
    <n v="140"/>
    <x v="0"/>
    <x v="11"/>
    <x v="0"/>
    <x v="0"/>
    <x v="0"/>
  </r>
  <r>
    <x v="1"/>
    <x v="9"/>
    <s v="5062 J"/>
    <x v="139"/>
    <s v="Wah Nobel Private Limited"/>
    <s v="LD گولڈن یلو"/>
    <s v="100MM"/>
    <s v="29-30"/>
    <s v="LDM"/>
    <n v="1000"/>
    <x v="0"/>
    <n v="1"/>
    <n v="55"/>
    <n v="1"/>
    <n v="24"/>
    <x v="0"/>
    <n v="54"/>
    <n v="1151.8"/>
    <m/>
    <x v="0"/>
    <x v="12"/>
    <n v="435"/>
    <n v="7.25"/>
    <x v="0"/>
    <x v="0"/>
    <m/>
    <x v="0"/>
    <x v="0"/>
    <x v="0"/>
    <x v="0"/>
    <x v="0"/>
    <n v="0"/>
    <n v="0"/>
    <n v="7.25"/>
    <n v="4.75"/>
    <x v="1"/>
    <x v="0"/>
    <m/>
    <x v="0"/>
    <n v="60"/>
    <x v="0"/>
    <x v="11"/>
    <x v="0"/>
    <x v="0"/>
    <x v="0"/>
  </r>
  <r>
    <x v="0"/>
    <x v="10"/>
    <s v="2783/6"/>
    <x v="139"/>
    <s v="PT-01"/>
    <s v="LD سرخ"/>
    <n v="4"/>
    <n v="80"/>
    <s v="LD سرخ"/>
    <n v="9000"/>
    <x v="0"/>
    <n v="12"/>
    <n v="313.48"/>
    <m/>
    <n v="15"/>
    <x v="0"/>
    <n v="313.48"/>
    <n v="4266.84"/>
    <n v="5"/>
    <x v="0"/>
    <x v="0"/>
    <n v="5"/>
    <n v="8.3333333333333329E-2"/>
    <x v="0"/>
    <x v="0"/>
    <m/>
    <x v="0"/>
    <x v="0"/>
    <x v="0"/>
    <x v="1"/>
    <x v="0"/>
    <n v="40"/>
    <n v="0.66666666666666663"/>
    <n v="0.75"/>
    <n v="11.25"/>
    <x v="1"/>
    <x v="0"/>
    <m/>
    <x v="0"/>
    <n v="318.48"/>
    <x v="0"/>
    <x v="11"/>
    <x v="0"/>
    <x v="0"/>
    <x v="0"/>
  </r>
  <r>
    <x v="0"/>
    <x v="10"/>
    <s v="2807/1"/>
    <x v="139"/>
    <s v="PT-01"/>
    <s v="LD سرخ"/>
    <n v="6"/>
    <n v="80"/>
    <s v="LD سرخ"/>
    <n v="2500"/>
    <x v="0"/>
    <n v="1"/>
    <n v="21.42"/>
    <m/>
    <m/>
    <x v="0"/>
    <n v="21.42"/>
    <n v="5041.09"/>
    <m/>
    <x v="0"/>
    <x v="0"/>
    <n v="0"/>
    <n v="0"/>
    <x v="0"/>
    <x v="0"/>
    <m/>
    <x v="0"/>
    <x v="0"/>
    <x v="0"/>
    <x v="0"/>
    <x v="0"/>
    <n v="0"/>
    <n v="0"/>
    <n v="0"/>
    <n v="12"/>
    <x v="1"/>
    <x v="0"/>
    <m/>
    <x v="0"/>
    <n v="26.42"/>
    <x v="0"/>
    <x v="11"/>
    <x v="0"/>
    <x v="0"/>
    <x v="0"/>
  </r>
  <r>
    <x v="1"/>
    <x v="10"/>
    <s v="2783/6"/>
    <x v="139"/>
    <s v="PT-01"/>
    <s v="LD سرخ"/>
    <n v="4"/>
    <n v="80"/>
    <s v="LD سرخ"/>
    <n v="9000"/>
    <x v="0"/>
    <n v="11"/>
    <n v="332.91999999999996"/>
    <m/>
    <n v="10.46"/>
    <x v="0"/>
    <n v="332.91999999999996"/>
    <n v="4266.84"/>
    <m/>
    <x v="0"/>
    <x v="0"/>
    <n v="0"/>
    <n v="0"/>
    <x v="0"/>
    <x v="0"/>
    <m/>
    <x v="2"/>
    <x v="0"/>
    <x v="0"/>
    <x v="0"/>
    <x v="0"/>
    <n v="5"/>
    <n v="8.3333333333333329E-2"/>
    <n v="8.3333333333333329E-2"/>
    <n v="11.916666666666666"/>
    <x v="1"/>
    <x v="0"/>
    <m/>
    <x v="0"/>
    <n v="337.91999999999996"/>
    <x v="0"/>
    <x v="11"/>
    <x v="0"/>
    <x v="0"/>
    <x v="0"/>
  </r>
  <r>
    <x v="0"/>
    <x v="13"/>
    <s v="2368 F"/>
    <x v="139"/>
    <s v="Usman Amin"/>
    <s v="LDN"/>
    <n v="18"/>
    <s v="5-5.5"/>
    <s v="LDN"/>
    <n v="200"/>
    <x v="0"/>
    <n v="7"/>
    <n v="328.72"/>
    <n v="4.8"/>
    <m/>
    <x v="0"/>
    <n v="323.92"/>
    <n v="323.92"/>
    <m/>
    <x v="0"/>
    <x v="0"/>
    <n v="0"/>
    <n v="0"/>
    <x v="0"/>
    <x v="0"/>
    <m/>
    <x v="0"/>
    <x v="0"/>
    <x v="0"/>
    <x v="0"/>
    <x v="0"/>
    <n v="0"/>
    <n v="0"/>
    <n v="0"/>
    <n v="12"/>
    <x v="1"/>
    <x v="0"/>
    <m/>
    <x v="0"/>
    <n v="333.72"/>
    <x v="0"/>
    <x v="11"/>
    <x v="0"/>
    <x v="0"/>
    <x v="0"/>
  </r>
  <r>
    <x v="1"/>
    <x v="13"/>
    <s v="2370 F"/>
    <x v="139"/>
    <s v="Usman Amin"/>
    <s v="LDN"/>
    <n v="18"/>
    <s v="5-5.5"/>
    <s v="LDN"/>
    <n v="235"/>
    <x v="0"/>
    <n v="3"/>
    <n v="105.5"/>
    <n v="12.4"/>
    <m/>
    <x v="0"/>
    <n v="93.1"/>
    <n v="226.5"/>
    <n v="5"/>
    <x v="0"/>
    <x v="0"/>
    <n v="5"/>
    <n v="8.3333333333333329E-2"/>
    <x v="0"/>
    <x v="0"/>
    <m/>
    <x v="0"/>
    <x v="0"/>
    <x v="0"/>
    <x v="0"/>
    <x v="0"/>
    <n v="0"/>
    <n v="0"/>
    <n v="8.3333333333333329E-2"/>
    <n v="11.916666666666666"/>
    <x v="1"/>
    <x v="0"/>
    <m/>
    <x v="0"/>
    <n v="110.5"/>
    <x v="0"/>
    <x v="11"/>
    <x v="0"/>
    <x v="0"/>
    <x v="0"/>
  </r>
  <r>
    <x v="1"/>
    <x v="13"/>
    <s v="5184 J"/>
    <x v="139"/>
    <s v="cash sale"/>
    <s v="LDN"/>
    <n v="28"/>
    <s v="9-10"/>
    <s v="LDN"/>
    <n v="35"/>
    <x v="0"/>
    <n v="1"/>
    <n v="44.04"/>
    <m/>
    <m/>
    <x v="0"/>
    <n v="44.04"/>
    <n v="44.04"/>
    <n v="5"/>
    <x v="0"/>
    <x v="0"/>
    <n v="5"/>
    <n v="8.3333333333333329E-2"/>
    <x v="0"/>
    <x v="0"/>
    <m/>
    <x v="0"/>
    <x v="0"/>
    <x v="0"/>
    <x v="0"/>
    <x v="0"/>
    <n v="0"/>
    <n v="0"/>
    <n v="8.3333333333333329E-2"/>
    <n v="11.916666666666666"/>
    <x v="1"/>
    <x v="0"/>
    <m/>
    <x v="0"/>
    <n v="49.04"/>
    <x v="0"/>
    <x v="11"/>
    <x v="0"/>
    <x v="0"/>
    <x v="0"/>
  </r>
  <r>
    <x v="1"/>
    <x v="13"/>
    <s v="2380 F"/>
    <x v="139"/>
    <s v="Usman Amin"/>
    <s v="LDN"/>
    <n v="30"/>
    <s v="7"/>
    <s v="LDN"/>
    <n v="110"/>
    <x v="0"/>
    <n v="2"/>
    <n v="115.4"/>
    <m/>
    <m/>
    <x v="0"/>
    <n v="115.4"/>
    <n v="155.20000000000002"/>
    <n v="5"/>
    <x v="0"/>
    <x v="0"/>
    <n v="5"/>
    <n v="8.3333333333333329E-2"/>
    <x v="0"/>
    <x v="0"/>
    <m/>
    <x v="0"/>
    <x v="0"/>
    <x v="0"/>
    <x v="0"/>
    <x v="0"/>
    <n v="0"/>
    <n v="0"/>
    <n v="8.3333333333333329E-2"/>
    <n v="11.916666666666666"/>
    <x v="1"/>
    <x v="0"/>
    <m/>
    <x v="0"/>
    <n v="120.4"/>
    <x v="0"/>
    <x v="11"/>
    <x v="0"/>
    <x v="0"/>
    <x v="0"/>
  </r>
  <r>
    <x v="1"/>
    <x v="13"/>
    <s v="2381 F"/>
    <x v="139"/>
    <s v="Usman Amin"/>
    <s v="LDN"/>
    <n v="26"/>
    <s v="7-7.5"/>
    <s v="LDN"/>
    <n v="1"/>
    <x v="0"/>
    <n v="1"/>
    <n v="74"/>
    <m/>
    <m/>
    <x v="0"/>
    <n v="74"/>
    <n v="74"/>
    <m/>
    <x v="0"/>
    <x v="0"/>
    <n v="0"/>
    <n v="0"/>
    <x v="0"/>
    <x v="0"/>
    <m/>
    <x v="0"/>
    <x v="0"/>
    <x v="0"/>
    <x v="0"/>
    <x v="0"/>
    <n v="0"/>
    <n v="0"/>
    <n v="0"/>
    <n v="12"/>
    <x v="1"/>
    <x v="0"/>
    <m/>
    <x v="0"/>
    <n v="79"/>
    <x v="0"/>
    <x v="11"/>
    <x v="0"/>
    <x v="0"/>
    <x v="0"/>
  </r>
  <r>
    <x v="0"/>
    <x v="12"/>
    <s v="2814/1"/>
    <x v="139"/>
    <s v="MATCO FOOD"/>
    <s v="LDN"/>
    <n v="23"/>
    <s v="70±2"/>
    <s v="LDN"/>
    <n v="20"/>
    <x v="0"/>
    <n v="5"/>
    <n v="531.91"/>
    <n v="11.5"/>
    <m/>
    <x v="0"/>
    <n v="520.41"/>
    <n v="3691.51"/>
    <m/>
    <x v="0"/>
    <x v="0"/>
    <n v="0"/>
    <n v="0"/>
    <x v="0"/>
    <x v="0"/>
    <m/>
    <x v="0"/>
    <x v="0"/>
    <x v="0"/>
    <x v="0"/>
    <x v="0"/>
    <n v="0"/>
    <n v="0"/>
    <n v="0"/>
    <n v="12"/>
    <x v="1"/>
    <x v="0"/>
    <m/>
    <x v="0"/>
    <n v="536.91"/>
    <x v="0"/>
    <x v="11"/>
    <x v="0"/>
    <x v="0"/>
    <x v="0"/>
  </r>
  <r>
    <x v="1"/>
    <x v="12"/>
    <s v="2814/1"/>
    <x v="139"/>
    <s v="MATCO FOOD"/>
    <s v="LDN"/>
    <n v="23"/>
    <s v="70±2"/>
    <s v="LDN"/>
    <n v="20"/>
    <x v="0"/>
    <n v="6"/>
    <n v="521.90000000000009"/>
    <n v="21.6"/>
    <n v="3"/>
    <x v="0"/>
    <n v="500.30000000000007"/>
    <n v="3691.51"/>
    <m/>
    <x v="0"/>
    <x v="0"/>
    <n v="0"/>
    <n v="0"/>
    <x v="0"/>
    <x v="0"/>
    <m/>
    <x v="0"/>
    <x v="0"/>
    <x v="0"/>
    <x v="0"/>
    <x v="0"/>
    <n v="0"/>
    <n v="0"/>
    <n v="0"/>
    <n v="12"/>
    <x v="1"/>
    <x v="0"/>
    <m/>
    <x v="0"/>
    <n v="526.90000000000009"/>
    <x v="0"/>
    <x v="11"/>
    <x v="0"/>
    <x v="0"/>
    <x v="0"/>
  </r>
  <r>
    <x v="0"/>
    <x v="14"/>
    <s v="5165 J"/>
    <x v="139"/>
    <s v="Fazal Dad Textile Rwp"/>
    <s v="LDM"/>
    <s v="10+2.5+2.5"/>
    <s v="7.5-8/15-16"/>
    <s v="LDM"/>
    <n v="125"/>
    <x v="0"/>
    <n v="6"/>
    <n v="164.99999999999997"/>
    <n v="7.1999999999999993"/>
    <n v="7"/>
    <x v="0"/>
    <n v="157.79999999999998"/>
    <n v="157.79999999999998"/>
    <n v="7"/>
    <x v="0"/>
    <x v="0"/>
    <n v="7"/>
    <n v="0.11666666666666667"/>
    <x v="0"/>
    <x v="0"/>
    <m/>
    <x v="0"/>
    <x v="0"/>
    <x v="0"/>
    <x v="0"/>
    <x v="0"/>
    <n v="0"/>
    <n v="0"/>
    <n v="0.11666666666666667"/>
    <n v="11.883333333333333"/>
    <x v="1"/>
    <x v="0"/>
    <m/>
    <x v="0"/>
    <n v="169.99999999999997"/>
    <x v="0"/>
    <x v="11"/>
    <x v="0"/>
    <x v="0"/>
    <x v="0"/>
  </r>
  <r>
    <x v="0"/>
    <x v="14"/>
    <s v="5107 J"/>
    <x v="139"/>
    <s v="Waseem Garments Sheikhpura"/>
    <s v="LDM"/>
    <s v="12+3+3"/>
    <s v="7.5-8/15-16"/>
    <s v="LDM"/>
    <n v="110"/>
    <x v="0"/>
    <n v="5"/>
    <n v="125.85999999999999"/>
    <n v="6.6999999999999993"/>
    <m/>
    <x v="0"/>
    <n v="119.15999999999998"/>
    <n v="119.15999999999998"/>
    <n v="5"/>
    <x v="0"/>
    <x v="0"/>
    <n v="5"/>
    <n v="8.3333333333333329E-2"/>
    <x v="0"/>
    <x v="0"/>
    <m/>
    <x v="0"/>
    <x v="0"/>
    <x v="0"/>
    <x v="0"/>
    <x v="0"/>
    <n v="0"/>
    <n v="0"/>
    <n v="8.3333333333333329E-2"/>
    <n v="11.916666666666666"/>
    <x v="1"/>
    <x v="0"/>
    <m/>
    <x v="0"/>
    <n v="130.85999999999999"/>
    <x v="0"/>
    <x v="11"/>
    <x v="0"/>
    <x v="0"/>
    <x v="0"/>
  </r>
  <r>
    <x v="0"/>
    <x v="14"/>
    <s v="5106 J"/>
    <x v="139"/>
    <s v="Waseem Garments Sheikhpura"/>
    <s v="LDM"/>
    <s v="10+2.5+2.5"/>
    <s v="7.5-8/15-16"/>
    <s v="LDM"/>
    <n v="110"/>
    <x v="0"/>
    <n v="4"/>
    <n v="120.34"/>
    <n v="4.5999999999999996"/>
    <m/>
    <x v="0"/>
    <n v="115.74000000000001"/>
    <n v="115.74000000000001"/>
    <m/>
    <x v="0"/>
    <x v="0"/>
    <n v="0"/>
    <n v="0"/>
    <x v="0"/>
    <x v="0"/>
    <m/>
    <x v="0"/>
    <x v="0"/>
    <x v="0"/>
    <x v="0"/>
    <x v="0"/>
    <n v="0"/>
    <n v="0"/>
    <n v="0"/>
    <n v="12"/>
    <x v="1"/>
    <x v="0"/>
    <m/>
    <x v="0"/>
    <n v="125.34"/>
    <x v="0"/>
    <x v="11"/>
    <x v="0"/>
    <x v="0"/>
    <x v="0"/>
  </r>
  <r>
    <x v="0"/>
    <x v="14"/>
    <s v="2814/1"/>
    <x v="139"/>
    <s v="MATCO FOOD"/>
    <s v="LDN"/>
    <n v="23"/>
    <s v="70±2"/>
    <s v="LDN"/>
    <n v="20"/>
    <x v="0"/>
    <n v="1"/>
    <n v="139"/>
    <m/>
    <m/>
    <x v="0"/>
    <n v="139"/>
    <n v="3691.51"/>
    <m/>
    <x v="0"/>
    <x v="0"/>
    <n v="0"/>
    <n v="0"/>
    <x v="0"/>
    <x v="0"/>
    <m/>
    <x v="0"/>
    <x v="0"/>
    <x v="0"/>
    <x v="0"/>
    <x v="0"/>
    <n v="0"/>
    <n v="0"/>
    <n v="0"/>
    <n v="12"/>
    <x v="1"/>
    <x v="0"/>
    <m/>
    <x v="0"/>
    <n v="144"/>
    <x v="0"/>
    <x v="11"/>
    <x v="0"/>
    <x v="0"/>
    <x v="0"/>
  </r>
  <r>
    <x v="1"/>
    <x v="14"/>
    <s v="5161 J"/>
    <x v="139"/>
    <s v="Shafi Foam Lahore"/>
    <s v="LDM"/>
    <s v="20 شیٹ"/>
    <s v="6-6.5/12-13"/>
    <s v="LDM"/>
    <n v="150"/>
    <x v="0"/>
    <n v="2"/>
    <n v="157.10000000000002"/>
    <n v="4.8"/>
    <n v="88"/>
    <x v="0"/>
    <n v="152.30000000000001"/>
    <n v="152.30000000000001"/>
    <n v="7"/>
    <x v="0"/>
    <x v="0"/>
    <n v="7"/>
    <n v="0.11666666666666667"/>
    <x v="0"/>
    <x v="0"/>
    <m/>
    <x v="0"/>
    <x v="0"/>
    <x v="0"/>
    <x v="0"/>
    <x v="0"/>
    <n v="0"/>
    <n v="0"/>
    <n v="0.11666666666666667"/>
    <n v="11.883333333333333"/>
    <x v="1"/>
    <x v="0"/>
    <m/>
    <x v="0"/>
    <n v="162.10000000000002"/>
    <x v="0"/>
    <x v="11"/>
    <x v="0"/>
    <x v="0"/>
    <x v="0"/>
  </r>
  <r>
    <x v="1"/>
    <x v="14"/>
    <s v="5182 J"/>
    <x v="139"/>
    <s v="Atlas Honda LTD (SKP)"/>
    <s v="LDM"/>
    <s v="16.75&quot; شیٹ"/>
    <s v="7-7.5/14-15"/>
    <s v="LDM"/>
    <n v="500"/>
    <x v="0"/>
    <n v="6"/>
    <n v="405.74"/>
    <n v="12"/>
    <n v="15"/>
    <x v="0"/>
    <n v="393.74"/>
    <n v="532.44000000000005"/>
    <m/>
    <x v="0"/>
    <x v="0"/>
    <n v="0"/>
    <n v="0"/>
    <x v="0"/>
    <x v="0"/>
    <m/>
    <x v="0"/>
    <x v="0"/>
    <x v="0"/>
    <x v="0"/>
    <x v="0"/>
    <n v="0"/>
    <n v="0"/>
    <n v="0"/>
    <n v="12"/>
    <x v="1"/>
    <x v="0"/>
    <m/>
    <x v="0"/>
    <n v="410.74"/>
    <x v="0"/>
    <x v="11"/>
    <x v="0"/>
    <x v="0"/>
    <x v="0"/>
  </r>
  <r>
    <x v="0"/>
    <x v="8"/>
    <s v="5162 J"/>
    <x v="140"/>
    <s v="Alam Printers Butkhela"/>
    <s v="LDN"/>
    <n v="7"/>
    <s v="13-13.5"/>
    <s v="LDN"/>
    <n v="100"/>
    <x v="0"/>
    <n v="1"/>
    <n v="50.3"/>
    <n v="0.9"/>
    <n v="4"/>
    <x v="0"/>
    <n v="49.4"/>
    <n v="105.6"/>
    <m/>
    <x v="0"/>
    <x v="0"/>
    <n v="0"/>
    <n v="0"/>
    <x v="0"/>
    <x v="0"/>
    <m/>
    <x v="0"/>
    <x v="0"/>
    <x v="0"/>
    <x v="0"/>
    <x v="0"/>
    <n v="0"/>
    <n v="0"/>
    <n v="0"/>
    <n v="12"/>
    <x v="1"/>
    <x v="0"/>
    <m/>
    <x v="0"/>
    <n v="55.3"/>
    <x v="0"/>
    <x v="11"/>
    <x v="0"/>
    <x v="0"/>
    <x v="0"/>
  </r>
  <r>
    <x v="0"/>
    <x v="8"/>
    <s v="5153 J"/>
    <x v="140"/>
    <s v="Usman Arif Butt Gujranwala"/>
    <s v="LDN"/>
    <n v="2.5"/>
    <s v="14"/>
    <s v="LDN"/>
    <n v="100"/>
    <x v="0"/>
    <n v="2"/>
    <n v="60.5"/>
    <n v="2.7"/>
    <m/>
    <x v="0"/>
    <n v="57.8"/>
    <n v="111.89999999999999"/>
    <m/>
    <x v="0"/>
    <x v="0"/>
    <n v="0"/>
    <n v="0"/>
    <x v="0"/>
    <x v="0"/>
    <m/>
    <x v="0"/>
    <x v="0"/>
    <x v="0"/>
    <x v="0"/>
    <x v="0"/>
    <n v="0"/>
    <n v="0"/>
    <n v="0"/>
    <n v="12"/>
    <x v="1"/>
    <x v="0"/>
    <m/>
    <x v="0"/>
    <n v="65.5"/>
    <x v="0"/>
    <x v="11"/>
    <x v="0"/>
    <x v="0"/>
    <x v="0"/>
  </r>
  <r>
    <x v="1"/>
    <x v="8"/>
    <s v="5153 J"/>
    <x v="140"/>
    <s v="Usman Arif Butt Gujranwala"/>
    <s v="LDN"/>
    <n v="2.5"/>
    <s v="14"/>
    <s v="LDN"/>
    <n v="100"/>
    <x v="0"/>
    <n v="2"/>
    <n v="55.599999999999994"/>
    <n v="1.5"/>
    <n v="5"/>
    <x v="0"/>
    <n v="54.099999999999994"/>
    <n v="111.89999999999999"/>
    <m/>
    <x v="0"/>
    <x v="0"/>
    <n v="0"/>
    <n v="0"/>
    <x v="0"/>
    <x v="0"/>
    <m/>
    <x v="0"/>
    <x v="0"/>
    <x v="0"/>
    <x v="0"/>
    <x v="0"/>
    <n v="0"/>
    <n v="0"/>
    <n v="0"/>
    <n v="12"/>
    <x v="1"/>
    <x v="0"/>
    <m/>
    <x v="0"/>
    <n v="60.599999999999994"/>
    <x v="0"/>
    <x v="11"/>
    <x v="0"/>
    <x v="0"/>
    <x v="0"/>
  </r>
  <r>
    <x v="1"/>
    <x v="8"/>
    <s v="5152 J"/>
    <x v="140"/>
    <s v="Usman Arif Butt Gujranwala"/>
    <s v="LDN"/>
    <n v="2.5"/>
    <s v="14"/>
    <s v="LDN"/>
    <n v="100"/>
    <x v="0"/>
    <n v="2"/>
    <n v="48.9"/>
    <n v="1.6"/>
    <m/>
    <x v="0"/>
    <n v="47.3"/>
    <n v="92.199999999999989"/>
    <m/>
    <x v="0"/>
    <x v="0"/>
    <n v="0"/>
    <n v="0"/>
    <x v="0"/>
    <x v="0"/>
    <m/>
    <x v="0"/>
    <x v="0"/>
    <x v="0"/>
    <x v="0"/>
    <x v="0"/>
    <n v="0"/>
    <n v="0"/>
    <n v="0"/>
    <n v="12"/>
    <x v="1"/>
    <x v="0"/>
    <m/>
    <x v="0"/>
    <n v="53.9"/>
    <x v="0"/>
    <x v="11"/>
    <x v="0"/>
    <x v="0"/>
    <x v="0"/>
  </r>
  <r>
    <x v="0"/>
    <x v="10"/>
    <s v="2783/6"/>
    <x v="140"/>
    <s v="PT-01"/>
    <s v="LD سرخ"/>
    <n v="4"/>
    <n v="80"/>
    <s v="LD سرخ"/>
    <n v="9000"/>
    <x v="0"/>
    <n v="10"/>
    <n v="288.70000000000005"/>
    <m/>
    <n v="7"/>
    <x v="0"/>
    <n v="288.70000000000005"/>
    <n v="4266.84"/>
    <m/>
    <x v="0"/>
    <x v="0"/>
    <n v="0"/>
    <n v="0"/>
    <x v="0"/>
    <x v="0"/>
    <m/>
    <x v="0"/>
    <x v="0"/>
    <x v="0"/>
    <x v="0"/>
    <x v="0"/>
    <n v="0"/>
    <n v="0"/>
    <n v="0"/>
    <n v="12"/>
    <x v="1"/>
    <x v="0"/>
    <m/>
    <x v="0"/>
    <n v="293.70000000000005"/>
    <x v="0"/>
    <x v="11"/>
    <x v="0"/>
    <x v="0"/>
    <x v="0"/>
  </r>
  <r>
    <x v="1"/>
    <x v="10"/>
    <s v="2783/6"/>
    <x v="140"/>
    <s v="PT-01"/>
    <s v="LD سرخ"/>
    <n v="4"/>
    <n v="80"/>
    <s v="LD سرخ"/>
    <n v="9000"/>
    <x v="0"/>
    <n v="10"/>
    <n v="286.04000000000002"/>
    <m/>
    <n v="6"/>
    <x v="0"/>
    <n v="286.04000000000002"/>
    <n v="4266.84"/>
    <m/>
    <x v="0"/>
    <x v="0"/>
    <n v="0"/>
    <n v="0"/>
    <x v="0"/>
    <x v="0"/>
    <m/>
    <x v="0"/>
    <x v="0"/>
    <x v="0"/>
    <x v="0"/>
    <x v="0"/>
    <n v="0"/>
    <n v="0"/>
    <n v="0"/>
    <n v="12"/>
    <x v="1"/>
    <x v="0"/>
    <m/>
    <x v="0"/>
    <n v="291.04000000000002"/>
    <x v="0"/>
    <x v="11"/>
    <x v="0"/>
    <x v="0"/>
    <x v="0"/>
  </r>
  <r>
    <x v="1"/>
    <x v="11"/>
    <s v="2815/1"/>
    <x v="140"/>
    <s v="M WASEEM DHK (PT-01)"/>
    <s v="LDM"/>
    <n v="12"/>
    <n v="70"/>
    <s v="LDM"/>
    <n v="1250"/>
    <x v="0"/>
    <n v="10"/>
    <n v="271.26"/>
    <m/>
    <n v="22"/>
    <x v="0"/>
    <n v="271.26"/>
    <n v="383.65999999999997"/>
    <m/>
    <x v="3"/>
    <x v="0"/>
    <n v="210"/>
    <n v="3.5"/>
    <x v="0"/>
    <x v="0"/>
    <m/>
    <x v="0"/>
    <x v="0"/>
    <x v="0"/>
    <x v="0"/>
    <x v="0"/>
    <n v="0"/>
    <n v="0"/>
    <n v="3.5"/>
    <n v="8.5"/>
    <x v="1"/>
    <x v="0"/>
    <m/>
    <x v="0"/>
    <n v="276.26"/>
    <x v="0"/>
    <x v="11"/>
    <x v="0"/>
    <x v="0"/>
    <x v="0"/>
  </r>
  <r>
    <x v="0"/>
    <x v="13"/>
    <s v="2815/1"/>
    <x v="140"/>
    <s v="M WASEEM DHK (PT-01)"/>
    <s v="LDM"/>
    <n v="12"/>
    <n v="70"/>
    <s v="LDM"/>
    <n v="1250"/>
    <x v="0"/>
    <n v="2"/>
    <n v="117.6"/>
    <n v="5.2"/>
    <n v="8"/>
    <x v="0"/>
    <n v="112.39999999999999"/>
    <n v="383.65999999999997"/>
    <n v="5"/>
    <x v="0"/>
    <x v="0"/>
    <n v="5"/>
    <n v="8.3333333333333329E-2"/>
    <x v="0"/>
    <x v="0"/>
    <m/>
    <x v="0"/>
    <x v="0"/>
    <x v="0"/>
    <x v="0"/>
    <x v="0"/>
    <n v="0"/>
    <n v="0"/>
    <n v="8.3333333333333329E-2"/>
    <n v="11.916666666666666"/>
    <x v="1"/>
    <x v="0"/>
    <m/>
    <x v="0"/>
    <n v="122.6"/>
    <x v="0"/>
    <x v="11"/>
    <x v="0"/>
    <x v="0"/>
    <x v="0"/>
  </r>
  <r>
    <x v="0"/>
    <x v="13"/>
    <s v="2382 F"/>
    <x v="140"/>
    <s v="Usman Amin"/>
    <s v="LDN"/>
    <n v="16"/>
    <s v="5-5.5"/>
    <s v="LDN"/>
    <n v="65"/>
    <x v="0"/>
    <n v="5"/>
    <n v="197.96000000000004"/>
    <n v="8"/>
    <m/>
    <x v="0"/>
    <n v="189.96000000000004"/>
    <n v="262.76000000000005"/>
    <n v="5"/>
    <x v="0"/>
    <x v="0"/>
    <n v="5"/>
    <n v="8.3333333333333329E-2"/>
    <x v="0"/>
    <x v="0"/>
    <m/>
    <x v="0"/>
    <x v="0"/>
    <x v="0"/>
    <x v="0"/>
    <x v="0"/>
    <n v="0"/>
    <n v="0"/>
    <n v="8.3333333333333329E-2"/>
    <n v="11.916666666666666"/>
    <x v="1"/>
    <x v="0"/>
    <m/>
    <x v="0"/>
    <n v="202.96000000000004"/>
    <x v="0"/>
    <x v="11"/>
    <x v="0"/>
    <x v="0"/>
    <x v="0"/>
  </r>
  <r>
    <x v="1"/>
    <x v="13"/>
    <s v="2382 F"/>
    <x v="140"/>
    <s v="Usman Amin"/>
    <s v="LDN"/>
    <n v="16"/>
    <s v="5-5.5"/>
    <s v="LDN"/>
    <n v="65"/>
    <x v="0"/>
    <n v="2"/>
    <n v="76.300000000000011"/>
    <n v="3.5"/>
    <n v="9"/>
    <x v="0"/>
    <n v="72.800000000000011"/>
    <n v="262.76000000000005"/>
    <m/>
    <x v="0"/>
    <x v="0"/>
    <n v="0"/>
    <n v="0"/>
    <x v="0"/>
    <x v="0"/>
    <m/>
    <x v="0"/>
    <x v="0"/>
    <x v="0"/>
    <x v="0"/>
    <x v="0"/>
    <n v="0"/>
    <n v="0"/>
    <n v="0"/>
    <n v="12"/>
    <x v="1"/>
    <x v="0"/>
    <m/>
    <x v="0"/>
    <n v="81.300000000000011"/>
    <x v="0"/>
    <x v="11"/>
    <x v="0"/>
    <x v="0"/>
    <x v="0"/>
  </r>
  <r>
    <x v="1"/>
    <x v="13"/>
    <s v="2388 F"/>
    <x v="140"/>
    <s v="Usman Amin"/>
    <s v="LDN"/>
    <n v="17"/>
    <s v="7"/>
    <s v="LDN"/>
    <n v="0"/>
    <x v="0"/>
    <n v="4"/>
    <n v="215.89999999999998"/>
    <n v="7.8"/>
    <m/>
    <x v="0"/>
    <n v="208.09999999999997"/>
    <n v="452.97999999999996"/>
    <m/>
    <x v="0"/>
    <x v="0"/>
    <n v="0"/>
    <n v="0"/>
    <x v="0"/>
    <x v="0"/>
    <m/>
    <x v="0"/>
    <x v="0"/>
    <x v="0"/>
    <x v="0"/>
    <x v="0"/>
    <n v="0"/>
    <n v="0"/>
    <n v="0"/>
    <n v="12"/>
    <x v="1"/>
    <x v="0"/>
    <m/>
    <x v="0"/>
    <n v="220.89999999999998"/>
    <x v="0"/>
    <x v="11"/>
    <x v="0"/>
    <x v="0"/>
    <x v="0"/>
  </r>
  <r>
    <x v="0"/>
    <x v="12"/>
    <s v="2808/1"/>
    <x v="140"/>
    <s v="MATCO FOOD"/>
    <s v="LDN"/>
    <n v="23"/>
    <s v="70±1"/>
    <s v="LDN"/>
    <n v="3500"/>
    <x v="0"/>
    <n v="2"/>
    <n v="208.3"/>
    <m/>
    <m/>
    <x v="0"/>
    <n v="208.3"/>
    <n v="3132.53"/>
    <m/>
    <x v="0"/>
    <x v="0"/>
    <n v="0"/>
    <n v="0"/>
    <x v="0"/>
    <x v="0"/>
    <m/>
    <x v="0"/>
    <x v="0"/>
    <x v="0"/>
    <x v="0"/>
    <x v="0"/>
    <n v="0"/>
    <n v="0"/>
    <n v="0"/>
    <n v="12"/>
    <x v="1"/>
    <x v="0"/>
    <m/>
    <x v="0"/>
    <n v="213.3"/>
    <x v="0"/>
    <x v="11"/>
    <x v="0"/>
    <x v="0"/>
    <x v="0"/>
  </r>
  <r>
    <x v="0"/>
    <x v="12"/>
    <s v="2813/3"/>
    <x v="140"/>
    <s v="PLASTIC PT-02"/>
    <s v="LDN"/>
    <n v="18"/>
    <n v="14"/>
    <s v="LDN"/>
    <n v="1000"/>
    <x v="0"/>
    <n v="5"/>
    <n v="271.20999999999998"/>
    <n v="11"/>
    <n v="7"/>
    <x v="0"/>
    <n v="260.20999999999998"/>
    <n v="1233.1500000000001"/>
    <m/>
    <x v="0"/>
    <x v="0"/>
    <n v="0"/>
    <n v="0"/>
    <x v="0"/>
    <x v="0"/>
    <m/>
    <x v="0"/>
    <x v="0"/>
    <x v="0"/>
    <x v="0"/>
    <x v="0"/>
    <n v="0"/>
    <n v="0"/>
    <n v="0"/>
    <n v="12"/>
    <x v="1"/>
    <x v="0"/>
    <m/>
    <x v="0"/>
    <n v="276.20999999999998"/>
    <x v="0"/>
    <x v="11"/>
    <x v="0"/>
    <x v="0"/>
    <x v="0"/>
  </r>
  <r>
    <x v="1"/>
    <x v="12"/>
    <s v="2813/3"/>
    <x v="140"/>
    <s v="PLASTIC PT-02"/>
    <s v="LDN"/>
    <n v="18"/>
    <n v="14"/>
    <s v="LDN"/>
    <n v="1000"/>
    <x v="0"/>
    <n v="9"/>
    <n v="493.4"/>
    <n v="21.599999999999998"/>
    <n v="9.5"/>
    <x v="0"/>
    <n v="471.79999999999995"/>
    <n v="1233.1500000000001"/>
    <n v="5"/>
    <x v="0"/>
    <x v="0"/>
    <n v="5"/>
    <n v="8.3333333333333329E-2"/>
    <x v="0"/>
    <x v="0"/>
    <m/>
    <x v="0"/>
    <x v="0"/>
    <x v="0"/>
    <x v="0"/>
    <x v="0"/>
    <n v="0"/>
    <n v="0"/>
    <n v="8.3333333333333329E-2"/>
    <n v="11.916666666666666"/>
    <x v="1"/>
    <x v="0"/>
    <m/>
    <x v="0"/>
    <n v="498.4"/>
    <x v="0"/>
    <x v="11"/>
    <x v="0"/>
    <x v="0"/>
    <x v="0"/>
  </r>
  <r>
    <x v="1"/>
    <x v="12"/>
    <s v="2813/6"/>
    <x v="140"/>
    <s v="PLASTIC PT-02"/>
    <s v="LDN"/>
    <n v="20"/>
    <n v="18"/>
    <s v="LDN"/>
    <n v="1000"/>
    <x v="0"/>
    <n v="1"/>
    <n v="39.5"/>
    <n v="2.4"/>
    <m/>
    <x v="0"/>
    <n v="37.1"/>
    <n v="1051.81"/>
    <m/>
    <x v="0"/>
    <x v="0"/>
    <n v="0"/>
    <n v="0"/>
    <x v="0"/>
    <x v="0"/>
    <m/>
    <x v="0"/>
    <x v="0"/>
    <x v="0"/>
    <x v="0"/>
    <x v="0"/>
    <n v="0"/>
    <n v="0"/>
    <n v="0"/>
    <n v="12"/>
    <x v="1"/>
    <x v="0"/>
    <m/>
    <x v="0"/>
    <n v="44.5"/>
    <x v="0"/>
    <x v="11"/>
    <x v="0"/>
    <x v="0"/>
    <x v="0"/>
  </r>
  <r>
    <x v="0"/>
    <x v="14"/>
    <s v="2370 F"/>
    <x v="140"/>
    <s v="Usman Amin"/>
    <s v="LDN"/>
    <n v="18"/>
    <s v="5-5.5"/>
    <s v="LDN"/>
    <n v="235"/>
    <x v="0"/>
    <n v="3"/>
    <n v="140"/>
    <n v="6.6000000000000005"/>
    <n v="9"/>
    <x v="0"/>
    <n v="133.4"/>
    <n v="226.5"/>
    <n v="5"/>
    <x v="0"/>
    <x v="0"/>
    <n v="5"/>
    <n v="8.3333333333333329E-2"/>
    <x v="0"/>
    <x v="0"/>
    <m/>
    <x v="0"/>
    <x v="0"/>
    <x v="0"/>
    <x v="0"/>
    <x v="0"/>
    <n v="0"/>
    <n v="0"/>
    <n v="8.3333333333333329E-2"/>
    <n v="11.916666666666666"/>
    <x v="1"/>
    <x v="0"/>
    <m/>
    <x v="0"/>
    <n v="145"/>
    <x v="0"/>
    <x v="11"/>
    <x v="0"/>
    <x v="0"/>
    <x v="0"/>
  </r>
  <r>
    <x v="0"/>
    <x v="14"/>
    <s v="5114 J"/>
    <x v="140"/>
    <s v="Goldeies Enterprices Lahore"/>
    <s v="LDN"/>
    <n v="18"/>
    <s v="9.5-10"/>
    <s v="LDN"/>
    <n v="100"/>
    <x v="0"/>
    <n v="2"/>
    <n v="106.4"/>
    <n v="4.4000000000000004"/>
    <m/>
    <x v="0"/>
    <n v="102"/>
    <n v="102"/>
    <n v="5"/>
    <x v="0"/>
    <x v="0"/>
    <n v="5"/>
    <n v="8.3333333333333329E-2"/>
    <x v="0"/>
    <x v="0"/>
    <m/>
    <x v="0"/>
    <x v="0"/>
    <x v="0"/>
    <x v="0"/>
    <x v="0"/>
    <n v="0"/>
    <n v="0"/>
    <n v="8.3333333333333329E-2"/>
    <n v="11.916666666666666"/>
    <x v="1"/>
    <x v="0"/>
    <m/>
    <x v="0"/>
    <n v="111.4"/>
    <x v="0"/>
    <x v="11"/>
    <x v="0"/>
    <x v="0"/>
    <x v="0"/>
  </r>
  <r>
    <x v="0"/>
    <x v="14"/>
    <s v="5134 J"/>
    <x v="140"/>
    <s v="Tip Top Dry Cleaners Pvt Ltd "/>
    <s v="LDN"/>
    <n v="24"/>
    <s v="6"/>
    <s v="LDN"/>
    <n v="500"/>
    <x v="0"/>
    <n v="5"/>
    <n v="266.3"/>
    <n v="14"/>
    <m/>
    <x v="0"/>
    <n v="252.3"/>
    <n v="499.28"/>
    <m/>
    <x v="0"/>
    <x v="0"/>
    <n v="0"/>
    <n v="0"/>
    <x v="0"/>
    <x v="0"/>
    <m/>
    <x v="0"/>
    <x v="0"/>
    <x v="0"/>
    <x v="0"/>
    <x v="0"/>
    <n v="0"/>
    <n v="0"/>
    <n v="0"/>
    <n v="12"/>
    <x v="1"/>
    <x v="0"/>
    <m/>
    <x v="0"/>
    <n v="271.3"/>
    <x v="0"/>
    <x v="11"/>
    <x v="0"/>
    <x v="0"/>
    <x v="0"/>
  </r>
  <r>
    <x v="1"/>
    <x v="14"/>
    <s v="5134 J"/>
    <x v="140"/>
    <s v="Tip Top Dry Cleaners Pvt Ltd "/>
    <s v="LDN"/>
    <n v="24"/>
    <s v="6"/>
    <s v="LDN"/>
    <n v="500"/>
    <x v="0"/>
    <n v="7"/>
    <n v="231.67999999999998"/>
    <n v="19.599999999999998"/>
    <n v="38.08"/>
    <x v="0"/>
    <n v="212.07999999999998"/>
    <n v="499.28"/>
    <n v="10"/>
    <x v="0"/>
    <x v="0"/>
    <n v="10"/>
    <n v="0.16666666666666666"/>
    <x v="0"/>
    <x v="0"/>
    <m/>
    <x v="0"/>
    <x v="0"/>
    <x v="0"/>
    <x v="0"/>
    <x v="0"/>
    <n v="0"/>
    <n v="0"/>
    <n v="0.16666666666666666"/>
    <n v="11.833333333333334"/>
    <x v="1"/>
    <x v="0"/>
    <m/>
    <x v="0"/>
    <n v="236.67999999999998"/>
    <x v="0"/>
    <x v="11"/>
    <x v="0"/>
    <x v="0"/>
    <x v="0"/>
  </r>
  <r>
    <x v="1"/>
    <x v="14"/>
    <s v="2816/1"/>
    <x v="140"/>
    <s v="ZEPHYR TEXTILE (PVT) LTD"/>
    <s v="LDN"/>
    <n v="40"/>
    <s v="10-11"/>
    <s v="LDN"/>
    <n v="250"/>
    <x v="0"/>
    <n v="4"/>
    <n v="275.7"/>
    <n v="19.600000000000001"/>
    <n v="16"/>
    <x v="0"/>
    <n v="256.09999999999997"/>
    <n v="256.09999999999997"/>
    <n v="15"/>
    <x v="0"/>
    <x v="0"/>
    <n v="15"/>
    <n v="0.25"/>
    <x v="0"/>
    <x v="0"/>
    <m/>
    <x v="0"/>
    <x v="0"/>
    <x v="0"/>
    <x v="0"/>
    <x v="0"/>
    <n v="0"/>
    <n v="0"/>
    <n v="0.25"/>
    <n v="11.75"/>
    <x v="1"/>
    <x v="0"/>
    <m/>
    <x v="0"/>
    <n v="280.7"/>
    <x v="0"/>
    <x v="11"/>
    <x v="0"/>
    <x v="0"/>
    <x v="0"/>
  </r>
  <r>
    <x v="1"/>
    <x v="14"/>
    <s v="5219 J"/>
    <x v="140"/>
    <s v="Jilani Poly Stock"/>
    <s v="LDN"/>
    <s v="26&quot; شیٹ"/>
    <s v="8-8.5/16-17"/>
    <s v="LDN"/>
    <n v="1000"/>
    <x v="0"/>
    <n v="3"/>
    <n v="262.10000000000002"/>
    <n v="10.8"/>
    <m/>
    <x v="0"/>
    <n v="251.3"/>
    <n v="1061.28"/>
    <m/>
    <x v="0"/>
    <x v="0"/>
    <n v="0"/>
    <n v="0"/>
    <x v="0"/>
    <x v="0"/>
    <m/>
    <x v="0"/>
    <x v="0"/>
    <x v="0"/>
    <x v="0"/>
    <x v="0"/>
    <n v="0"/>
    <n v="0"/>
    <n v="0"/>
    <n v="12"/>
    <x v="1"/>
    <x v="0"/>
    <m/>
    <x v="0"/>
    <n v="267.10000000000002"/>
    <x v="0"/>
    <x v="11"/>
    <x v="0"/>
    <x v="0"/>
    <x v="0"/>
  </r>
  <r>
    <x v="0"/>
    <x v="15"/>
    <s v="2813/3"/>
    <x v="140"/>
    <s v="PLASTIC PT-02"/>
    <s v="LDN"/>
    <n v="18"/>
    <n v="14"/>
    <s v="LDN"/>
    <n v="1000"/>
    <x v="0"/>
    <n v="4"/>
    <n v="221.94"/>
    <n v="9.2000000000000011"/>
    <n v="34"/>
    <x v="0"/>
    <n v="212.74"/>
    <n v="1233.1500000000001"/>
    <n v="240"/>
    <x v="0"/>
    <x v="0"/>
    <n v="240"/>
    <n v="4"/>
    <x v="0"/>
    <x v="0"/>
    <m/>
    <x v="0"/>
    <x v="0"/>
    <x v="0"/>
    <x v="0"/>
    <x v="0"/>
    <n v="0"/>
    <n v="0"/>
    <n v="4"/>
    <n v="8"/>
    <x v="1"/>
    <x v="0"/>
    <m/>
    <x v="0"/>
    <n v="226.94"/>
    <x v="0"/>
    <x v="11"/>
    <x v="0"/>
    <x v="0"/>
    <x v="0"/>
  </r>
  <r>
    <x v="1"/>
    <x v="15"/>
    <s v="2813/3"/>
    <x v="140"/>
    <s v="PLASTIC PT-02"/>
    <s v="LDN"/>
    <n v="18"/>
    <n v="14"/>
    <s v="LDN"/>
    <n v="1000"/>
    <x v="0"/>
    <n v="5"/>
    <n v="299.39999999999998"/>
    <n v="11"/>
    <n v="10.4"/>
    <x v="0"/>
    <n v="288.39999999999998"/>
    <n v="1233.1500000000001"/>
    <n v="5"/>
    <x v="0"/>
    <x v="0"/>
    <n v="5"/>
    <n v="8.3333333333333329E-2"/>
    <x v="0"/>
    <x v="0"/>
    <m/>
    <x v="2"/>
    <x v="0"/>
    <x v="0"/>
    <x v="0"/>
    <x v="0"/>
    <n v="5"/>
    <n v="8.3333333333333329E-2"/>
    <n v="0.16666666666666666"/>
    <n v="11.833333333333334"/>
    <x v="1"/>
    <x v="0"/>
    <m/>
    <x v="0"/>
    <n v="304.39999999999998"/>
    <x v="0"/>
    <x v="11"/>
    <x v="0"/>
    <x v="0"/>
    <x v="0"/>
  </r>
  <r>
    <x v="1"/>
    <x v="15"/>
    <s v="5199 J"/>
    <x v="140"/>
    <s v="Atlas Honda LTD (SKP)"/>
    <s v="LDN"/>
    <n v="19"/>
    <s v="8.5-9"/>
    <s v="LDN"/>
    <n v="138.14696106362771"/>
    <x v="0"/>
    <n v="2"/>
    <n v="99.1"/>
    <n v="4.5999999999999996"/>
    <m/>
    <x v="0"/>
    <n v="94.5"/>
    <n v="156.47"/>
    <m/>
    <x v="0"/>
    <x v="0"/>
    <n v="0"/>
    <n v="0"/>
    <x v="0"/>
    <x v="0"/>
    <m/>
    <x v="0"/>
    <x v="0"/>
    <x v="0"/>
    <x v="0"/>
    <x v="0"/>
    <n v="0"/>
    <n v="0"/>
    <n v="0"/>
    <n v="12"/>
    <x v="1"/>
    <x v="0"/>
    <m/>
    <x v="0"/>
    <n v="104.1"/>
    <x v="0"/>
    <x v="11"/>
    <x v="0"/>
    <x v="0"/>
    <x v="0"/>
  </r>
  <r>
    <x v="0"/>
    <x v="8"/>
    <s v="5152 J"/>
    <x v="141"/>
    <s v="Usman Arif Butt Gujranwala"/>
    <s v="LDN"/>
    <n v="2.5"/>
    <s v="14"/>
    <s v="LDN"/>
    <n v="100"/>
    <x v="0"/>
    <n v="2"/>
    <n v="47.3"/>
    <n v="2.4"/>
    <m/>
    <x v="0"/>
    <n v="44.9"/>
    <n v="92.199999999999989"/>
    <n v="5"/>
    <x v="0"/>
    <x v="0"/>
    <n v="5"/>
    <n v="8.3333333333333329E-2"/>
    <x v="0"/>
    <x v="0"/>
    <m/>
    <x v="0"/>
    <x v="0"/>
    <x v="0"/>
    <x v="0"/>
    <x v="0"/>
    <n v="0"/>
    <n v="0"/>
    <n v="8.3333333333333329E-2"/>
    <n v="11.916666666666666"/>
    <x v="1"/>
    <x v="0"/>
    <m/>
    <x v="0"/>
    <n v="52.3"/>
    <x v="0"/>
    <x v="11"/>
    <x v="0"/>
    <x v="0"/>
    <x v="0"/>
  </r>
  <r>
    <x v="0"/>
    <x v="8"/>
    <s v="5195 J"/>
    <x v="141"/>
    <s v="Atlas Honda LTD (SKP)"/>
    <s v="LDN"/>
    <n v="8"/>
    <s v="8.5-9"/>
    <s v="LDN"/>
    <n v="481.95631528964856"/>
    <x v="0"/>
    <n v="1"/>
    <n v="50.2"/>
    <n v="1"/>
    <m/>
    <x v="0"/>
    <n v="49.2"/>
    <n v="501.42"/>
    <m/>
    <x v="0"/>
    <x v="0"/>
    <n v="0"/>
    <n v="0"/>
    <x v="0"/>
    <x v="0"/>
    <m/>
    <x v="0"/>
    <x v="0"/>
    <x v="0"/>
    <x v="0"/>
    <x v="0"/>
    <n v="0"/>
    <n v="0"/>
    <n v="0"/>
    <n v="12"/>
    <x v="1"/>
    <x v="0"/>
    <m/>
    <x v="0"/>
    <n v="55.2"/>
    <x v="0"/>
    <x v="11"/>
    <x v="0"/>
    <x v="0"/>
    <x v="0"/>
  </r>
  <r>
    <x v="1"/>
    <x v="8"/>
    <s v="5195 J"/>
    <x v="141"/>
    <s v="Atlas Honda LTD (SKP)"/>
    <s v="LDN"/>
    <n v="8"/>
    <s v="8.5-9"/>
    <s v="LDN"/>
    <n v="481.95631528964856"/>
    <x v="0"/>
    <n v="3"/>
    <n v="144.69999999999999"/>
    <n v="3"/>
    <n v="9.82"/>
    <x v="0"/>
    <n v="141.69999999999999"/>
    <n v="501.42"/>
    <m/>
    <x v="0"/>
    <x v="0"/>
    <n v="0"/>
    <n v="0"/>
    <x v="0"/>
    <x v="0"/>
    <m/>
    <x v="0"/>
    <x v="0"/>
    <x v="0"/>
    <x v="0"/>
    <x v="0"/>
    <n v="0"/>
    <n v="0"/>
    <n v="0"/>
    <n v="12"/>
    <x v="1"/>
    <x v="0"/>
    <m/>
    <x v="0"/>
    <n v="149.69999999999999"/>
    <x v="0"/>
    <x v="11"/>
    <x v="0"/>
    <x v="0"/>
    <x v="0"/>
  </r>
  <r>
    <x v="0"/>
    <x v="9"/>
    <s v="5194 J"/>
    <x v="141"/>
    <s v="Atlas Honda LTD (SKP)"/>
    <s v="LDN"/>
    <n v="12"/>
    <s v="8.5-9"/>
    <s v="LDN"/>
    <n v="186.96581196581195"/>
    <x v="0"/>
    <n v="2"/>
    <n v="86.5"/>
    <n v="3"/>
    <m/>
    <x v="8"/>
    <n v="83.5"/>
    <n v="207.8"/>
    <n v="60"/>
    <x v="4"/>
    <x v="0"/>
    <n v="220"/>
    <n v="3.6666666666666665"/>
    <x v="0"/>
    <x v="0"/>
    <m/>
    <x v="0"/>
    <x v="0"/>
    <x v="0"/>
    <x v="0"/>
    <x v="0"/>
    <n v="0"/>
    <n v="0"/>
    <n v="3.6666666666666665"/>
    <n v="8.3333333333333339"/>
    <x v="1"/>
    <x v="0"/>
    <m/>
    <x v="0"/>
    <n v="91.5"/>
    <x v="0"/>
    <x v="11"/>
    <x v="0"/>
    <x v="0"/>
    <x v="0"/>
  </r>
  <r>
    <x v="1"/>
    <x v="9"/>
    <s v="5194 J"/>
    <x v="141"/>
    <s v="Atlas Honda LTD (SKP)"/>
    <s v="LDN"/>
    <n v="12"/>
    <s v="8.5-9"/>
    <s v="LDN"/>
    <n v="186.96581196581195"/>
    <x v="0"/>
    <n v="2"/>
    <n v="127.30000000000001"/>
    <n v="3"/>
    <m/>
    <x v="0"/>
    <n v="124.30000000000001"/>
    <n v="207.8"/>
    <n v="5"/>
    <x v="0"/>
    <x v="0"/>
    <n v="5"/>
    <n v="8.3333333333333329E-2"/>
    <x v="0"/>
    <x v="0"/>
    <m/>
    <x v="0"/>
    <x v="0"/>
    <x v="0"/>
    <x v="0"/>
    <x v="0"/>
    <n v="0"/>
    <n v="0"/>
    <n v="8.3333333333333329E-2"/>
    <n v="11.916666666666666"/>
    <x v="1"/>
    <x v="0"/>
    <m/>
    <x v="0"/>
    <n v="132.30000000000001"/>
    <x v="0"/>
    <x v="11"/>
    <x v="0"/>
    <x v="0"/>
    <x v="0"/>
  </r>
  <r>
    <x v="1"/>
    <x v="9"/>
    <s v="5196 J"/>
    <x v="141"/>
    <s v="Atlas Honda LTD (SKP)"/>
    <s v="LDN"/>
    <n v="9"/>
    <s v="8.5-9"/>
    <s v="LDN"/>
    <n v="486.11111111111109"/>
    <x v="0"/>
    <n v="1"/>
    <n v="52.6"/>
    <n v="1.1000000000000001"/>
    <m/>
    <x v="0"/>
    <n v="51.5"/>
    <n v="499.53"/>
    <m/>
    <x v="0"/>
    <x v="0"/>
    <n v="0"/>
    <n v="0"/>
    <x v="0"/>
    <x v="0"/>
    <m/>
    <x v="0"/>
    <x v="0"/>
    <x v="0"/>
    <x v="0"/>
    <x v="0"/>
    <n v="0"/>
    <n v="0"/>
    <n v="0"/>
    <n v="12"/>
    <x v="1"/>
    <x v="0"/>
    <m/>
    <x v="0"/>
    <n v="57.6"/>
    <x v="0"/>
    <x v="11"/>
    <x v="0"/>
    <x v="0"/>
    <x v="0"/>
  </r>
  <r>
    <x v="0"/>
    <x v="10"/>
    <s v="2783/6"/>
    <x v="141"/>
    <s v="PT-01"/>
    <s v="LD سرخ"/>
    <n v="4"/>
    <n v="80"/>
    <s v="LD سرخ"/>
    <n v="9000"/>
    <x v="0"/>
    <n v="11"/>
    <n v="332.42999999999995"/>
    <m/>
    <n v="14.5"/>
    <x v="0"/>
    <n v="332.42999999999995"/>
    <n v="4266.84"/>
    <m/>
    <x v="0"/>
    <x v="0"/>
    <n v="0"/>
    <n v="0"/>
    <x v="0"/>
    <x v="0"/>
    <m/>
    <x v="7"/>
    <x v="0"/>
    <x v="0"/>
    <x v="0"/>
    <x v="0"/>
    <n v="20"/>
    <n v="0.33333333333333331"/>
    <n v="0.33333333333333331"/>
    <n v="11.666666666666666"/>
    <x v="1"/>
    <x v="0"/>
    <m/>
    <x v="0"/>
    <n v="337.42999999999995"/>
    <x v="0"/>
    <x v="11"/>
    <x v="0"/>
    <x v="0"/>
    <x v="0"/>
  </r>
  <r>
    <x v="1"/>
    <x v="10"/>
    <s v="2783/6"/>
    <x v="141"/>
    <s v="PT-01"/>
    <s v="LD سرخ"/>
    <n v="4"/>
    <n v="80"/>
    <s v="LD سرخ"/>
    <n v="9000"/>
    <x v="0"/>
    <n v="10"/>
    <n v="311.52"/>
    <m/>
    <n v="2.5"/>
    <x v="0"/>
    <n v="311.52"/>
    <n v="4266.84"/>
    <m/>
    <x v="0"/>
    <x v="0"/>
    <n v="0"/>
    <n v="0"/>
    <x v="0"/>
    <x v="0"/>
    <m/>
    <x v="0"/>
    <x v="0"/>
    <x v="0"/>
    <x v="0"/>
    <x v="0"/>
    <n v="0"/>
    <n v="0"/>
    <n v="0"/>
    <n v="12"/>
    <x v="1"/>
    <x v="0"/>
    <m/>
    <x v="0"/>
    <n v="316.52"/>
    <x v="0"/>
    <x v="11"/>
    <x v="0"/>
    <x v="0"/>
    <x v="0"/>
  </r>
  <r>
    <x v="0"/>
    <x v="13"/>
    <s v="2388 F"/>
    <x v="141"/>
    <s v="Usman Amin"/>
    <s v="LDN"/>
    <n v="17"/>
    <s v="7"/>
    <s v="LDN"/>
    <n v="0"/>
    <x v="0"/>
    <n v="5"/>
    <n v="254.88"/>
    <n v="10"/>
    <n v="10"/>
    <x v="0"/>
    <n v="244.88"/>
    <n v="452.97999999999996"/>
    <n v="5"/>
    <x v="0"/>
    <x v="0"/>
    <n v="5"/>
    <n v="8.3333333333333329E-2"/>
    <x v="0"/>
    <x v="0"/>
    <m/>
    <x v="0"/>
    <x v="0"/>
    <x v="0"/>
    <x v="0"/>
    <x v="0"/>
    <n v="0"/>
    <n v="0"/>
    <n v="8.3333333333333329E-2"/>
    <n v="11.916666666666666"/>
    <x v="1"/>
    <x v="0"/>
    <m/>
    <x v="0"/>
    <n v="259.88"/>
    <x v="0"/>
    <x v="11"/>
    <x v="0"/>
    <x v="0"/>
    <x v="0"/>
  </r>
  <r>
    <x v="0"/>
    <x v="13"/>
    <s v="2389 F"/>
    <x v="141"/>
    <s v="Usman Amin"/>
    <s v="LDN"/>
    <n v="17"/>
    <s v="7"/>
    <s v="LDN"/>
    <n v="300"/>
    <x v="0"/>
    <n v="1"/>
    <n v="49.6"/>
    <n v="2"/>
    <m/>
    <x v="0"/>
    <n v="47.6"/>
    <n v="326.29999999999995"/>
    <m/>
    <x v="0"/>
    <x v="0"/>
    <n v="0"/>
    <n v="0"/>
    <x v="0"/>
    <x v="0"/>
    <m/>
    <x v="0"/>
    <x v="0"/>
    <x v="0"/>
    <x v="0"/>
    <x v="0"/>
    <n v="0"/>
    <n v="0"/>
    <n v="0"/>
    <n v="12"/>
    <x v="1"/>
    <x v="0"/>
    <m/>
    <x v="0"/>
    <n v="54.6"/>
    <x v="0"/>
    <x v="11"/>
    <x v="0"/>
    <x v="0"/>
    <x v="0"/>
  </r>
  <r>
    <x v="1"/>
    <x v="13"/>
    <s v="2389 F"/>
    <x v="141"/>
    <s v="Usman Amin"/>
    <s v="LDN"/>
    <n v="17"/>
    <s v="7"/>
    <s v="LDN"/>
    <n v="300"/>
    <x v="0"/>
    <n v="5"/>
    <n v="289.29999999999995"/>
    <n v="10.600000000000001"/>
    <n v="4"/>
    <x v="0"/>
    <n v="278.69999999999993"/>
    <n v="326.29999999999995"/>
    <n v="6"/>
    <x v="0"/>
    <x v="0"/>
    <n v="6"/>
    <n v="0.1"/>
    <x v="0"/>
    <x v="0"/>
    <m/>
    <x v="0"/>
    <x v="0"/>
    <x v="0"/>
    <x v="0"/>
    <x v="0"/>
    <n v="0"/>
    <n v="0"/>
    <n v="0.1"/>
    <n v="11.9"/>
    <x v="1"/>
    <x v="0"/>
    <m/>
    <x v="0"/>
    <n v="294.29999999999995"/>
    <x v="0"/>
    <x v="11"/>
    <x v="0"/>
    <x v="0"/>
    <x v="0"/>
  </r>
  <r>
    <x v="1"/>
    <x v="13"/>
    <s v="2369 F"/>
    <x v="141"/>
    <s v="Usman Amin"/>
    <s v="LDN"/>
    <n v="18"/>
    <s v="5-5.5"/>
    <s v="LDN"/>
    <n v="200"/>
    <x v="0"/>
    <n v="1"/>
    <n v="27.1"/>
    <n v="2.1"/>
    <m/>
    <x v="0"/>
    <n v="25"/>
    <n v="196.76"/>
    <m/>
    <x v="0"/>
    <x v="0"/>
    <n v="0"/>
    <n v="0"/>
    <x v="0"/>
    <x v="0"/>
    <m/>
    <x v="0"/>
    <x v="0"/>
    <x v="0"/>
    <x v="0"/>
    <x v="0"/>
    <n v="0"/>
    <n v="0"/>
    <n v="0"/>
    <n v="12"/>
    <x v="1"/>
    <x v="0"/>
    <m/>
    <x v="0"/>
    <n v="32.1"/>
    <x v="0"/>
    <x v="11"/>
    <x v="0"/>
    <x v="0"/>
    <x v="0"/>
  </r>
  <r>
    <x v="0"/>
    <x v="12"/>
    <s v="2813/6"/>
    <x v="141"/>
    <s v="PLASTIC PT-02"/>
    <s v="LDN"/>
    <n v="20"/>
    <n v="18"/>
    <s v="LDN"/>
    <n v="1000"/>
    <x v="0"/>
    <n v="8"/>
    <n v="571.75"/>
    <n v="19.3"/>
    <n v="5"/>
    <x v="0"/>
    <n v="552.45000000000005"/>
    <n v="1051.81"/>
    <m/>
    <x v="0"/>
    <x v="0"/>
    <n v="0"/>
    <n v="0"/>
    <x v="0"/>
    <x v="0"/>
    <m/>
    <x v="0"/>
    <x v="0"/>
    <x v="0"/>
    <x v="0"/>
    <x v="0"/>
    <n v="0"/>
    <n v="0"/>
    <n v="0"/>
    <n v="12"/>
    <x v="1"/>
    <x v="0"/>
    <m/>
    <x v="0"/>
    <n v="576.75"/>
    <x v="0"/>
    <x v="11"/>
    <x v="0"/>
    <x v="0"/>
    <x v="0"/>
  </r>
  <r>
    <x v="1"/>
    <x v="12"/>
    <s v="2813/6"/>
    <x v="141"/>
    <s v="PLASTIC PT-02"/>
    <s v="LDN"/>
    <n v="20"/>
    <n v="18"/>
    <s v="LDN"/>
    <n v="1000"/>
    <x v="0"/>
    <n v="7"/>
    <n v="479.75999999999988"/>
    <n v="17.5"/>
    <n v="15"/>
    <x v="0"/>
    <n v="462.25999999999988"/>
    <n v="1051.81"/>
    <n v="5"/>
    <x v="0"/>
    <x v="0"/>
    <n v="5"/>
    <n v="8.3333333333333329E-2"/>
    <x v="0"/>
    <x v="0"/>
    <m/>
    <x v="0"/>
    <x v="0"/>
    <x v="0"/>
    <x v="0"/>
    <x v="0"/>
    <n v="0"/>
    <n v="0"/>
    <n v="8.3333333333333329E-2"/>
    <n v="11.916666666666666"/>
    <x v="1"/>
    <x v="0"/>
    <m/>
    <x v="0"/>
    <n v="484.75999999999988"/>
    <x v="0"/>
    <x v="11"/>
    <x v="0"/>
    <x v="0"/>
    <x v="0"/>
  </r>
  <r>
    <x v="1"/>
    <x v="12"/>
    <s v="2813/2"/>
    <x v="141"/>
    <s v="PLASTIC PT-02"/>
    <s v="LDN"/>
    <n v="24"/>
    <n v="14"/>
    <s v="LDN"/>
    <n v="1000"/>
    <x v="0"/>
    <n v="1"/>
    <n v="76.900000000000006"/>
    <n v="2"/>
    <m/>
    <x v="0"/>
    <n v="74.900000000000006"/>
    <n v="2051.31"/>
    <m/>
    <x v="0"/>
    <x v="0"/>
    <n v="0"/>
    <n v="0"/>
    <x v="0"/>
    <x v="0"/>
    <m/>
    <x v="0"/>
    <x v="0"/>
    <x v="0"/>
    <x v="0"/>
    <x v="0"/>
    <n v="0"/>
    <n v="0"/>
    <n v="0"/>
    <n v="12"/>
    <x v="1"/>
    <x v="0"/>
    <m/>
    <x v="0"/>
    <n v="81.900000000000006"/>
    <x v="0"/>
    <x v="11"/>
    <x v="0"/>
    <x v="0"/>
    <x v="0"/>
  </r>
  <r>
    <x v="0"/>
    <x v="14"/>
    <s v="5219 J"/>
    <x v="141"/>
    <s v="Jilani Poly Stock"/>
    <s v="LDN"/>
    <s v="26&quot; شیٹ"/>
    <s v="8-8.5/16-17"/>
    <s v="LDN"/>
    <n v="1000"/>
    <x v="0"/>
    <n v="8"/>
    <n v="837.18000000000006"/>
    <n v="27.2"/>
    <m/>
    <x v="0"/>
    <n v="809.98"/>
    <n v="1061.28"/>
    <m/>
    <x v="0"/>
    <x v="0"/>
    <n v="0"/>
    <n v="0"/>
    <x v="0"/>
    <x v="0"/>
    <m/>
    <x v="0"/>
    <x v="0"/>
    <x v="0"/>
    <x v="0"/>
    <x v="0"/>
    <n v="0"/>
    <n v="0"/>
    <n v="0"/>
    <n v="12"/>
    <x v="1"/>
    <x v="0"/>
    <m/>
    <x v="0"/>
    <n v="842.18000000000006"/>
    <x v="0"/>
    <x v="11"/>
    <x v="0"/>
    <x v="0"/>
    <x v="0"/>
  </r>
  <r>
    <x v="1"/>
    <x v="14"/>
    <s v="2349 F"/>
    <x v="141"/>
    <s v="Usman Amin"/>
    <s v="LDN"/>
    <n v="28"/>
    <s v="8"/>
    <s v="LDN"/>
    <n v="430"/>
    <x v="0"/>
    <n v="2"/>
    <n v="165.2"/>
    <n v="7.6"/>
    <n v="27"/>
    <x v="0"/>
    <n v="157.6"/>
    <n v="157.6"/>
    <m/>
    <x v="0"/>
    <x v="0"/>
    <n v="0"/>
    <n v="0"/>
    <x v="0"/>
    <x v="0"/>
    <m/>
    <x v="0"/>
    <x v="0"/>
    <x v="0"/>
    <x v="0"/>
    <x v="0"/>
    <n v="0"/>
    <n v="0"/>
    <n v="0"/>
    <n v="12"/>
    <x v="1"/>
    <x v="0"/>
    <m/>
    <x v="0"/>
    <n v="170.2"/>
    <x v="0"/>
    <x v="11"/>
    <x v="0"/>
    <x v="0"/>
    <x v="0"/>
  </r>
  <r>
    <x v="1"/>
    <x v="14"/>
    <s v="5216 J"/>
    <x v="141"/>
    <s v="Moazmi Plastic Sahiwal "/>
    <s v="LDN"/>
    <s v="28&quot; شیٹ"/>
    <s v="3-3.25/6-6.5"/>
    <s v="LDN"/>
    <n v="120"/>
    <x v="0"/>
    <n v="2"/>
    <n v="127.69999999999999"/>
    <n v="7.6"/>
    <n v="58"/>
    <x v="0"/>
    <n v="120.1"/>
    <n v="120.1"/>
    <n v="10"/>
    <x v="0"/>
    <x v="0"/>
    <n v="10"/>
    <n v="0.16666666666666666"/>
    <x v="0"/>
    <x v="0"/>
    <m/>
    <x v="0"/>
    <x v="0"/>
    <x v="0"/>
    <x v="0"/>
    <x v="0"/>
    <n v="0"/>
    <n v="0"/>
    <n v="0.16666666666666666"/>
    <n v="11.833333333333334"/>
    <x v="1"/>
    <x v="0"/>
    <m/>
    <x v="0"/>
    <n v="132.69999999999999"/>
    <x v="0"/>
    <x v="11"/>
    <x v="0"/>
    <x v="0"/>
    <x v="0"/>
  </r>
  <r>
    <x v="1"/>
    <x v="14"/>
    <s v="5204 J"/>
    <x v="141"/>
    <s v="Alam bread Shahdrah"/>
    <s v="LDN"/>
    <s v="28 شیٹ"/>
    <s v="4-4.5/8-9"/>
    <s v="LDN"/>
    <n v="120"/>
    <x v="0"/>
    <n v="2"/>
    <n v="136.32"/>
    <n v="7.6"/>
    <m/>
    <x v="0"/>
    <n v="128.72"/>
    <n v="128.72"/>
    <n v="10"/>
    <x v="0"/>
    <x v="0"/>
    <n v="10"/>
    <n v="0.16666666666666666"/>
    <x v="0"/>
    <x v="0"/>
    <m/>
    <x v="0"/>
    <x v="0"/>
    <x v="0"/>
    <x v="0"/>
    <x v="0"/>
    <n v="0"/>
    <n v="0"/>
    <n v="0.16666666666666666"/>
    <n v="11.833333333333334"/>
    <x v="1"/>
    <x v="0"/>
    <m/>
    <x v="0"/>
    <n v="141.32"/>
    <x v="0"/>
    <x v="11"/>
    <x v="0"/>
    <x v="0"/>
    <x v="0"/>
  </r>
  <r>
    <x v="1"/>
    <x v="14"/>
    <s v="5126 J"/>
    <x v="141"/>
    <s v="Makki Bread Multan Bread Lahore"/>
    <s v="LDN"/>
    <s v="28&quot; شیٹ"/>
    <s v="4-4.5/8-9"/>
    <s v="LDN"/>
    <n v="125"/>
    <x v="0"/>
    <n v="2"/>
    <n v="136.69999999999999"/>
    <n v="7.6"/>
    <m/>
    <x v="0"/>
    <n v="129.1"/>
    <n v="129.1"/>
    <n v="7"/>
    <x v="0"/>
    <x v="0"/>
    <n v="7"/>
    <n v="0.11666666666666667"/>
    <x v="0"/>
    <x v="0"/>
    <m/>
    <x v="0"/>
    <x v="0"/>
    <x v="0"/>
    <x v="0"/>
    <x v="0"/>
    <n v="0"/>
    <n v="0"/>
    <n v="0.11666666666666667"/>
    <n v="11.883333333333333"/>
    <x v="1"/>
    <x v="0"/>
    <m/>
    <x v="0"/>
    <n v="141.69999999999999"/>
    <x v="0"/>
    <x v="11"/>
    <x v="0"/>
    <x v="0"/>
    <x v="0"/>
  </r>
  <r>
    <x v="1"/>
    <x v="14"/>
    <s v="5205 J"/>
    <x v="141"/>
    <s v="Alam bread Shahdrah"/>
    <s v="LDN"/>
    <s v="32 شیٹ"/>
    <s v="4-4.5/8-9"/>
    <s v="LDN"/>
    <n v="120"/>
    <x v="0"/>
    <n v="2"/>
    <n v="144.80000000000001"/>
    <n v="8"/>
    <m/>
    <x v="0"/>
    <n v="136.80000000000001"/>
    <n v="136.80000000000001"/>
    <n v="8"/>
    <x v="0"/>
    <x v="0"/>
    <n v="8"/>
    <n v="0.13333333333333333"/>
    <x v="0"/>
    <x v="0"/>
    <m/>
    <x v="0"/>
    <x v="0"/>
    <x v="0"/>
    <x v="0"/>
    <x v="0"/>
    <n v="0"/>
    <n v="0"/>
    <n v="0.13333333333333333"/>
    <n v="11.866666666666667"/>
    <x v="1"/>
    <x v="0"/>
    <m/>
    <x v="0"/>
    <n v="149.80000000000001"/>
    <x v="0"/>
    <x v="11"/>
    <x v="0"/>
    <x v="0"/>
    <x v="0"/>
  </r>
  <r>
    <x v="0"/>
    <x v="15"/>
    <s v="5199 J"/>
    <x v="141"/>
    <s v="Atlas Honda LTD (SKP)"/>
    <s v="LDN"/>
    <n v="19"/>
    <s v="8.5-9"/>
    <s v="LDN"/>
    <n v="138.14696106362771"/>
    <x v="0"/>
    <n v="1"/>
    <n v="64.17"/>
    <n v="2.2000000000000002"/>
    <m/>
    <x v="0"/>
    <n v="61.97"/>
    <n v="156.47"/>
    <n v="8"/>
    <x v="0"/>
    <x v="0"/>
    <n v="8"/>
    <n v="0.13333333333333333"/>
    <x v="0"/>
    <x v="0"/>
    <m/>
    <x v="0"/>
    <x v="0"/>
    <x v="0"/>
    <x v="0"/>
    <x v="0"/>
    <n v="0"/>
    <n v="0"/>
    <n v="0.13333333333333333"/>
    <n v="11.866666666666667"/>
    <x v="1"/>
    <x v="0"/>
    <m/>
    <x v="0"/>
    <n v="69.17"/>
    <x v="0"/>
    <x v="11"/>
    <x v="0"/>
    <x v="0"/>
    <x v="0"/>
  </r>
  <r>
    <x v="0"/>
    <x v="15"/>
    <s v="5119 J"/>
    <x v="141"/>
    <s v="The Kids Mall Lahore"/>
    <s v="LDM"/>
    <n v="18.5"/>
    <s v="15-16"/>
    <s v="LDM"/>
    <n v="100"/>
    <x v="0"/>
    <n v="2"/>
    <n v="94.34"/>
    <n v="4"/>
    <m/>
    <x v="0"/>
    <n v="90.34"/>
    <n v="195.34"/>
    <n v="5"/>
    <x v="0"/>
    <x v="0"/>
    <n v="5"/>
    <n v="8.3333333333333329E-2"/>
    <x v="0"/>
    <x v="0"/>
    <m/>
    <x v="0"/>
    <x v="0"/>
    <x v="0"/>
    <x v="0"/>
    <x v="0"/>
    <n v="0"/>
    <n v="0"/>
    <n v="8.3333333333333329E-2"/>
    <n v="11.916666666666666"/>
    <x v="1"/>
    <x v="0"/>
    <m/>
    <x v="0"/>
    <n v="99.34"/>
    <x v="0"/>
    <x v="11"/>
    <x v="0"/>
    <x v="0"/>
    <x v="0"/>
  </r>
  <r>
    <x v="0"/>
    <x v="15"/>
    <s v="5201 J"/>
    <x v="141"/>
    <s v="Atlas Honda LTD (SKP)"/>
    <s v="LDN"/>
    <n v="21"/>
    <s v="14-14.5"/>
    <s v="LDN"/>
    <n v="71.047008547008545"/>
    <x v="0"/>
    <n v="2"/>
    <n v="94.02"/>
    <n v="5.44"/>
    <m/>
    <x v="0"/>
    <n v="88.58"/>
    <n v="88.58"/>
    <m/>
    <x v="0"/>
    <x v="0"/>
    <n v="0"/>
    <n v="0"/>
    <x v="0"/>
    <x v="0"/>
    <m/>
    <x v="0"/>
    <x v="0"/>
    <x v="0"/>
    <x v="0"/>
    <x v="0"/>
    <n v="0"/>
    <n v="0"/>
    <n v="0"/>
    <n v="12"/>
    <x v="1"/>
    <x v="0"/>
    <m/>
    <x v="0"/>
    <n v="99.02"/>
    <x v="0"/>
    <x v="11"/>
    <x v="0"/>
    <x v="0"/>
    <x v="0"/>
  </r>
  <r>
    <x v="0"/>
    <x v="15"/>
    <s v="5198 J"/>
    <x v="141"/>
    <s v="Atlas Honda LTD (SKP)"/>
    <s v="LDN"/>
    <n v="22"/>
    <s v="8.5-9"/>
    <s v="LDN"/>
    <n v="297.06790123680003"/>
    <x v="0"/>
    <n v="1"/>
    <n v="55.12"/>
    <n v="2.8"/>
    <n v="10"/>
    <x v="0"/>
    <n v="52.32"/>
    <n v="258.92"/>
    <m/>
    <x v="0"/>
    <x v="0"/>
    <n v="0"/>
    <n v="0"/>
    <x v="0"/>
    <x v="0"/>
    <m/>
    <x v="0"/>
    <x v="0"/>
    <x v="0"/>
    <x v="0"/>
    <x v="0"/>
    <n v="0"/>
    <n v="0"/>
    <n v="0"/>
    <n v="12"/>
    <x v="1"/>
    <x v="0"/>
    <m/>
    <x v="0"/>
    <n v="60.12"/>
    <x v="0"/>
    <x v="11"/>
    <x v="0"/>
    <x v="0"/>
    <x v="0"/>
  </r>
  <r>
    <x v="1"/>
    <x v="15"/>
    <s v="5198 J"/>
    <x v="141"/>
    <s v="Atlas Honda LTD (SKP)"/>
    <s v="LDN"/>
    <n v="22"/>
    <s v="8.5-9"/>
    <s v="LDN"/>
    <n v="297.06790123680003"/>
    <x v="0"/>
    <n v="3"/>
    <n v="215"/>
    <n v="8.3999999999999986"/>
    <n v="15.2"/>
    <x v="0"/>
    <n v="206.6"/>
    <n v="258.92"/>
    <n v="5"/>
    <x v="0"/>
    <x v="0"/>
    <n v="5"/>
    <n v="8.3333333333333329E-2"/>
    <x v="0"/>
    <x v="0"/>
    <m/>
    <x v="0"/>
    <x v="0"/>
    <x v="0"/>
    <x v="0"/>
    <x v="0"/>
    <n v="0"/>
    <n v="0"/>
    <n v="8.3333333333333329E-2"/>
    <n v="11.916666666666666"/>
    <x v="1"/>
    <x v="0"/>
    <m/>
    <x v="0"/>
    <n v="220"/>
    <x v="0"/>
    <x v="11"/>
    <x v="0"/>
    <x v="0"/>
    <x v="0"/>
  </r>
  <r>
    <x v="1"/>
    <x v="15"/>
    <s v="5197 J"/>
    <x v="141"/>
    <s v="Atlas Honda LTD (SKP)"/>
    <s v="LDN"/>
    <n v="26"/>
    <s v="8.5-9"/>
    <s v="LDN"/>
    <n v="297.06790123680003"/>
    <x v="0"/>
    <n v="3"/>
    <n v="212.39999999999998"/>
    <n v="10.8"/>
    <m/>
    <x v="0"/>
    <n v="201.59999999999997"/>
    <n v="323.26"/>
    <m/>
    <x v="0"/>
    <x v="0"/>
    <n v="0"/>
    <n v="0"/>
    <x v="0"/>
    <x v="0"/>
    <m/>
    <x v="0"/>
    <x v="0"/>
    <x v="0"/>
    <x v="0"/>
    <x v="0"/>
    <n v="0"/>
    <n v="0"/>
    <n v="0"/>
    <n v="12"/>
    <x v="1"/>
    <x v="0"/>
    <m/>
    <x v="0"/>
    <n v="217.39999999999998"/>
    <x v="0"/>
    <x v="11"/>
    <x v="0"/>
    <x v="0"/>
    <x v="0"/>
  </r>
  <r>
    <x v="0"/>
    <x v="8"/>
    <s v="5195 J"/>
    <x v="142"/>
    <s v="Atlas Honda LTD (SKP)"/>
    <s v="LDN"/>
    <n v="8"/>
    <s v="8.5-9"/>
    <s v="LDN"/>
    <n v="481.95631528964856"/>
    <x v="0"/>
    <n v="4"/>
    <n v="179.96"/>
    <n v="4"/>
    <m/>
    <x v="0"/>
    <n v="175.96"/>
    <n v="501.42"/>
    <m/>
    <x v="0"/>
    <x v="0"/>
    <n v="0"/>
    <n v="0"/>
    <x v="0"/>
    <x v="0"/>
    <m/>
    <x v="0"/>
    <x v="0"/>
    <x v="0"/>
    <x v="0"/>
    <x v="0"/>
    <n v="0"/>
    <n v="0"/>
    <n v="0"/>
    <n v="12"/>
    <x v="1"/>
    <x v="0"/>
    <m/>
    <x v="0"/>
    <n v="184.96"/>
    <x v="0"/>
    <x v="12"/>
    <x v="1"/>
    <x v="0"/>
    <x v="0"/>
  </r>
  <r>
    <x v="1"/>
    <x v="8"/>
    <s v="5195 J"/>
    <x v="142"/>
    <s v="Atlas Honda LTD (SKP)"/>
    <s v="LDN"/>
    <n v="8"/>
    <s v="8.5-9"/>
    <s v="LDN"/>
    <n v="481.95631528964856"/>
    <x v="0"/>
    <n v="3"/>
    <n v="137.56"/>
    <n v="3"/>
    <n v="7.7"/>
    <x v="0"/>
    <n v="134.56"/>
    <n v="501.42"/>
    <m/>
    <x v="0"/>
    <x v="0"/>
    <n v="0"/>
    <n v="0"/>
    <x v="0"/>
    <x v="0"/>
    <m/>
    <x v="0"/>
    <x v="0"/>
    <x v="0"/>
    <x v="0"/>
    <x v="0"/>
    <n v="0"/>
    <n v="0"/>
    <n v="0"/>
    <n v="12"/>
    <x v="1"/>
    <x v="0"/>
    <m/>
    <x v="0"/>
    <n v="142.56"/>
    <x v="0"/>
    <x v="12"/>
    <x v="1"/>
    <x v="0"/>
    <x v="0"/>
  </r>
  <r>
    <x v="0"/>
    <x v="9"/>
    <s v="5192 J"/>
    <x v="142"/>
    <s v="Atlas Honda LTD (SKP)"/>
    <s v="LDN"/>
    <n v="9"/>
    <s v="9-9.5"/>
    <s v="LDN"/>
    <n v="128.47222222222223"/>
    <x v="0"/>
    <n v="3"/>
    <n v="113.2"/>
    <n v="3.3000000000000003"/>
    <m/>
    <x v="0"/>
    <n v="109.9"/>
    <n v="109.9"/>
    <m/>
    <x v="0"/>
    <x v="0"/>
    <n v="0"/>
    <n v="0"/>
    <x v="0"/>
    <x v="0"/>
    <m/>
    <x v="0"/>
    <x v="0"/>
    <x v="0"/>
    <x v="0"/>
    <x v="0"/>
    <n v="0"/>
    <n v="0"/>
    <n v="0"/>
    <n v="12"/>
    <x v="1"/>
    <x v="0"/>
    <m/>
    <x v="0"/>
    <n v="118.2"/>
    <x v="0"/>
    <x v="12"/>
    <x v="1"/>
    <x v="0"/>
    <x v="0"/>
  </r>
  <r>
    <x v="0"/>
    <x v="9"/>
    <s v="5196 J"/>
    <x v="142"/>
    <s v="Atlas Honda LTD (SKP)"/>
    <s v="LDN"/>
    <n v="9"/>
    <s v="8.5-9"/>
    <s v="LDN"/>
    <n v="486.11111111111109"/>
    <x v="0"/>
    <n v="1"/>
    <n v="42.2"/>
    <n v="1.1000000000000001"/>
    <m/>
    <x v="0"/>
    <n v="41.1"/>
    <n v="499.53"/>
    <m/>
    <x v="0"/>
    <x v="0"/>
    <n v="0"/>
    <n v="0"/>
    <x v="0"/>
    <x v="0"/>
    <m/>
    <x v="0"/>
    <x v="0"/>
    <x v="0"/>
    <x v="0"/>
    <x v="0"/>
    <n v="0"/>
    <n v="0"/>
    <n v="0"/>
    <n v="12"/>
    <x v="1"/>
    <x v="0"/>
    <m/>
    <x v="0"/>
    <n v="47.2"/>
    <x v="0"/>
    <x v="12"/>
    <x v="1"/>
    <x v="0"/>
    <x v="0"/>
  </r>
  <r>
    <x v="1"/>
    <x v="9"/>
    <s v="5196 J"/>
    <x v="142"/>
    <s v="Atlas Honda LTD (SKP)"/>
    <s v="LDN"/>
    <n v="9"/>
    <s v="8.5-9"/>
    <s v="LDN"/>
    <n v="486.11111111111109"/>
    <x v="0"/>
    <n v="3"/>
    <n v="134.98000000000002"/>
    <n v="3.3"/>
    <m/>
    <x v="0"/>
    <n v="131.68"/>
    <n v="499.53"/>
    <m/>
    <x v="0"/>
    <x v="0"/>
    <n v="0"/>
    <n v="0"/>
    <x v="0"/>
    <x v="0"/>
    <m/>
    <x v="0"/>
    <x v="0"/>
    <x v="0"/>
    <x v="0"/>
    <x v="0"/>
    <n v="0"/>
    <n v="0"/>
    <n v="0"/>
    <n v="12"/>
    <x v="1"/>
    <x v="0"/>
    <m/>
    <x v="0"/>
    <n v="139.98000000000002"/>
    <x v="0"/>
    <x v="12"/>
    <x v="1"/>
    <x v="0"/>
    <x v="0"/>
  </r>
  <r>
    <x v="0"/>
    <x v="10"/>
    <s v="2783/6"/>
    <x v="142"/>
    <s v="PT-01"/>
    <s v="LD سرخ"/>
    <n v="4"/>
    <n v="80"/>
    <s v="LD سرخ"/>
    <n v="9000"/>
    <x v="0"/>
    <n v="11"/>
    <n v="290"/>
    <m/>
    <m/>
    <x v="0"/>
    <n v="290"/>
    <n v="4266.84"/>
    <m/>
    <x v="0"/>
    <x v="0"/>
    <n v="0"/>
    <n v="0"/>
    <x v="0"/>
    <x v="0"/>
    <m/>
    <x v="0"/>
    <x v="0"/>
    <x v="0"/>
    <x v="0"/>
    <x v="0"/>
    <n v="0"/>
    <n v="0"/>
    <n v="0"/>
    <n v="12"/>
    <x v="1"/>
    <x v="0"/>
    <m/>
    <x v="0"/>
    <n v="295"/>
    <x v="0"/>
    <x v="12"/>
    <x v="1"/>
    <x v="0"/>
    <x v="0"/>
  </r>
  <r>
    <x v="1"/>
    <x v="10"/>
    <s v="2783/6"/>
    <x v="142"/>
    <s v="PT-01"/>
    <s v="LD سرخ"/>
    <n v="4"/>
    <n v="80"/>
    <s v="LD سرخ"/>
    <n v="9000"/>
    <x v="0"/>
    <n v="10"/>
    <n v="292.84000000000003"/>
    <m/>
    <n v="15.6"/>
    <x v="0"/>
    <n v="292.84000000000003"/>
    <n v="4266.84"/>
    <m/>
    <x v="0"/>
    <x v="0"/>
    <n v="0"/>
    <n v="0"/>
    <x v="0"/>
    <x v="0"/>
    <m/>
    <x v="0"/>
    <x v="0"/>
    <x v="0"/>
    <x v="0"/>
    <x v="0"/>
    <n v="0"/>
    <n v="0"/>
    <n v="0"/>
    <n v="12"/>
    <x v="1"/>
    <x v="0"/>
    <m/>
    <x v="0"/>
    <n v="297.84000000000003"/>
    <x v="0"/>
    <x v="12"/>
    <x v="1"/>
    <x v="0"/>
    <x v="0"/>
  </r>
  <r>
    <x v="0"/>
    <x v="11"/>
    <s v="2369 F"/>
    <x v="142"/>
    <s v="Usman Amin"/>
    <s v="LDN"/>
    <n v="18"/>
    <s v="5-5.5"/>
    <s v="LDN"/>
    <n v="200"/>
    <x v="0"/>
    <n v="5"/>
    <n v="183.26"/>
    <n v="11.5"/>
    <n v="2"/>
    <x v="0"/>
    <n v="171.76"/>
    <n v="196.76"/>
    <n v="5"/>
    <x v="0"/>
    <x v="0"/>
    <n v="5"/>
    <n v="8.3333333333333329E-2"/>
    <x v="0"/>
    <x v="0"/>
    <m/>
    <x v="0"/>
    <x v="0"/>
    <x v="0"/>
    <x v="0"/>
    <x v="0"/>
    <n v="0"/>
    <n v="0"/>
    <n v="8.3333333333333329E-2"/>
    <n v="11.916666666666666"/>
    <x v="1"/>
    <x v="0"/>
    <m/>
    <x v="0"/>
    <n v="188.26"/>
    <x v="0"/>
    <x v="12"/>
    <x v="1"/>
    <x v="0"/>
    <x v="0"/>
  </r>
  <r>
    <x v="0"/>
    <x v="11"/>
    <s v="5143 J"/>
    <x v="142"/>
    <s v="M.K.B PESAHAR"/>
    <s v="LDN"/>
    <n v="20"/>
    <s v="6-6.5"/>
    <s v="LDN"/>
    <n v="200"/>
    <x v="0"/>
    <n v="2"/>
    <n v="100.97999999999999"/>
    <n v="7.5"/>
    <m/>
    <x v="0"/>
    <n v="93.47999999999999"/>
    <n v="239.16999999999996"/>
    <m/>
    <x v="0"/>
    <x v="0"/>
    <n v="0"/>
    <n v="0"/>
    <x v="0"/>
    <x v="0"/>
    <m/>
    <x v="0"/>
    <x v="0"/>
    <x v="0"/>
    <x v="0"/>
    <x v="0"/>
    <n v="0"/>
    <n v="0"/>
    <n v="0"/>
    <n v="12"/>
    <x v="1"/>
    <x v="0"/>
    <m/>
    <x v="0"/>
    <n v="105.97999999999999"/>
    <x v="0"/>
    <x v="12"/>
    <x v="1"/>
    <x v="0"/>
    <x v="0"/>
  </r>
  <r>
    <x v="0"/>
    <x v="12"/>
    <s v="2813/2"/>
    <x v="142"/>
    <s v="PLASTIC PT-02"/>
    <s v="LDN"/>
    <n v="24"/>
    <n v="14"/>
    <s v="LDN"/>
    <n v="1000"/>
    <x v="0"/>
    <n v="4"/>
    <n v="395.5"/>
    <n v="11.2"/>
    <n v="22"/>
    <x v="0"/>
    <n v="384.3"/>
    <n v="2051.31"/>
    <n v="120"/>
    <x v="0"/>
    <x v="0"/>
    <n v="120"/>
    <n v="2"/>
    <x v="0"/>
    <x v="0"/>
    <m/>
    <x v="0"/>
    <x v="0"/>
    <x v="0"/>
    <x v="0"/>
    <x v="0"/>
    <n v="0"/>
    <n v="0"/>
    <n v="2"/>
    <n v="10"/>
    <x v="1"/>
    <x v="0"/>
    <m/>
    <x v="0"/>
    <n v="400.5"/>
    <x v="0"/>
    <x v="12"/>
    <x v="1"/>
    <x v="0"/>
    <x v="0"/>
  </r>
  <r>
    <x v="0"/>
    <x v="12"/>
    <s v="5110 J"/>
    <x v="142"/>
    <s v="Alam Printers Butkhela"/>
    <s v="LDM"/>
    <n v="20"/>
    <s v="15-16"/>
    <s v="LDM"/>
    <n v="100"/>
    <x v="0"/>
    <n v="1"/>
    <n v="54.7"/>
    <n v="2"/>
    <m/>
    <x v="0"/>
    <n v="52.7"/>
    <n v="210.9"/>
    <m/>
    <x v="0"/>
    <x v="0"/>
    <n v="0"/>
    <n v="0"/>
    <x v="0"/>
    <x v="0"/>
    <m/>
    <x v="0"/>
    <x v="0"/>
    <x v="0"/>
    <x v="0"/>
    <x v="0"/>
    <n v="0"/>
    <n v="0"/>
    <n v="0"/>
    <n v="12"/>
    <x v="1"/>
    <x v="0"/>
    <m/>
    <x v="0"/>
    <n v="59.7"/>
    <x v="0"/>
    <x v="12"/>
    <x v="1"/>
    <x v="0"/>
    <x v="0"/>
  </r>
  <r>
    <x v="1"/>
    <x v="12"/>
    <s v="5110 J"/>
    <x v="142"/>
    <s v="Alam Printers Butkhela"/>
    <s v="LDM"/>
    <n v="20"/>
    <s v="15-16"/>
    <s v="LDM"/>
    <n v="100"/>
    <x v="0"/>
    <n v="1"/>
    <n v="59.4"/>
    <n v="2.4"/>
    <n v="25"/>
    <x v="0"/>
    <n v="57"/>
    <n v="210.9"/>
    <m/>
    <x v="0"/>
    <x v="0"/>
    <n v="0"/>
    <n v="0"/>
    <x v="0"/>
    <x v="0"/>
    <m/>
    <x v="0"/>
    <x v="0"/>
    <x v="0"/>
    <x v="0"/>
    <x v="0"/>
    <n v="0"/>
    <n v="0"/>
    <n v="0"/>
    <n v="12"/>
    <x v="1"/>
    <x v="0"/>
    <m/>
    <x v="0"/>
    <n v="64.400000000000006"/>
    <x v="0"/>
    <x v="12"/>
    <x v="1"/>
    <x v="0"/>
    <x v="0"/>
  </r>
  <r>
    <x v="1"/>
    <x v="12"/>
    <s v="5202 J"/>
    <x v="142"/>
    <s v="Smart Box Lahore"/>
    <s v="LDN"/>
    <n v="19"/>
    <s v="13-14"/>
    <s v="LDN"/>
    <n v="100"/>
    <x v="0"/>
    <n v="2"/>
    <n v="107.6"/>
    <n v="4.5999999999999996"/>
    <m/>
    <x v="0"/>
    <n v="103"/>
    <n v="204.60000000000002"/>
    <m/>
    <x v="0"/>
    <x v="0"/>
    <n v="0"/>
    <n v="0"/>
    <x v="0"/>
    <x v="0"/>
    <m/>
    <x v="0"/>
    <x v="0"/>
    <x v="0"/>
    <x v="0"/>
    <x v="0"/>
    <n v="0"/>
    <n v="0"/>
    <n v="0"/>
    <n v="12"/>
    <x v="1"/>
    <x v="0"/>
    <m/>
    <x v="0"/>
    <n v="112.6"/>
    <x v="0"/>
    <x v="12"/>
    <x v="1"/>
    <x v="0"/>
    <x v="0"/>
  </r>
  <r>
    <x v="1"/>
    <x v="12"/>
    <s v="5211 J"/>
    <x v="142"/>
    <s v="Ramada Multan"/>
    <s v="LDM"/>
    <n v="18"/>
    <s v="12-13"/>
    <s v="LDM"/>
    <n v="100"/>
    <x v="0"/>
    <n v="2"/>
    <n v="102.4"/>
    <n v="3.6"/>
    <m/>
    <x v="0"/>
    <n v="98.800000000000011"/>
    <n v="98.800000000000011"/>
    <m/>
    <x v="0"/>
    <x v="0"/>
    <n v="0"/>
    <n v="0"/>
    <x v="0"/>
    <x v="0"/>
    <m/>
    <x v="0"/>
    <x v="0"/>
    <x v="0"/>
    <x v="0"/>
    <x v="0"/>
    <n v="0"/>
    <n v="0"/>
    <n v="0"/>
    <n v="12"/>
    <x v="1"/>
    <x v="0"/>
    <m/>
    <x v="0"/>
    <n v="107.4"/>
    <x v="0"/>
    <x v="12"/>
    <x v="1"/>
    <x v="0"/>
    <x v="0"/>
  </r>
  <r>
    <x v="1"/>
    <x v="12"/>
    <s v="5229 J"/>
    <x v="142"/>
    <s v="Style Stichers Lahore"/>
    <s v="LDM"/>
    <n v="17"/>
    <s v="12-12.5"/>
    <s v="LDM"/>
    <n v="100"/>
    <x v="0"/>
    <n v="2"/>
    <n v="102.3"/>
    <n v="4"/>
    <m/>
    <x v="0"/>
    <n v="98.3"/>
    <n v="98.3"/>
    <m/>
    <x v="0"/>
    <x v="0"/>
    <n v="0"/>
    <n v="0"/>
    <x v="0"/>
    <x v="0"/>
    <m/>
    <x v="0"/>
    <x v="0"/>
    <x v="0"/>
    <x v="0"/>
    <x v="0"/>
    <n v="0"/>
    <n v="0"/>
    <n v="0"/>
    <n v="12"/>
    <x v="1"/>
    <x v="0"/>
    <m/>
    <x v="0"/>
    <n v="107.3"/>
    <x v="0"/>
    <x v="12"/>
    <x v="1"/>
    <x v="0"/>
    <x v="0"/>
  </r>
  <r>
    <x v="1"/>
    <x v="12"/>
    <s v="5231 J"/>
    <x v="142"/>
    <s v="X Ship Lahore"/>
    <s v="LDM"/>
    <n v="16"/>
    <s v="12-13"/>
    <s v="LDM"/>
    <n v="100"/>
    <x v="0"/>
    <n v="2"/>
    <n v="106.53999999999999"/>
    <n v="4"/>
    <m/>
    <x v="0"/>
    <n v="102.53999999999999"/>
    <n v="102.53999999999999"/>
    <m/>
    <x v="0"/>
    <x v="0"/>
    <n v="0"/>
    <n v="0"/>
    <x v="0"/>
    <x v="0"/>
    <m/>
    <x v="0"/>
    <x v="0"/>
    <x v="0"/>
    <x v="0"/>
    <x v="0"/>
    <n v="0"/>
    <n v="0"/>
    <n v="0"/>
    <n v="12"/>
    <x v="1"/>
    <x v="0"/>
    <m/>
    <x v="0"/>
    <n v="111.53999999999999"/>
    <x v="0"/>
    <x v="12"/>
    <x v="1"/>
    <x v="0"/>
    <x v="0"/>
  </r>
  <r>
    <x v="0"/>
    <x v="14"/>
    <s v="2365 F"/>
    <x v="142"/>
    <s v="Usman Amin"/>
    <s v="LDN"/>
    <s v="16 SHEET"/>
    <s v="3-3.25/6-6.5"/>
    <s v="LDN"/>
    <n v="300"/>
    <x v="0"/>
    <n v="12"/>
    <n v="707.4"/>
    <n v="24"/>
    <n v="36"/>
    <x v="0"/>
    <n v="683.4"/>
    <n v="987.07999999999993"/>
    <m/>
    <x v="0"/>
    <x v="0"/>
    <n v="0"/>
    <n v="0"/>
    <x v="0"/>
    <x v="0"/>
    <m/>
    <x v="0"/>
    <x v="0"/>
    <x v="0"/>
    <x v="0"/>
    <x v="0"/>
    <n v="0"/>
    <n v="0"/>
    <n v="0"/>
    <n v="12"/>
    <x v="1"/>
    <x v="0"/>
    <m/>
    <x v="0"/>
    <n v="712.4"/>
    <x v="0"/>
    <x v="12"/>
    <x v="1"/>
    <x v="0"/>
    <x v="0"/>
  </r>
  <r>
    <x v="1"/>
    <x v="14"/>
    <s v="2365 F"/>
    <x v="142"/>
    <s v="Usman Amin"/>
    <s v="LDN"/>
    <s v="16 SHEET"/>
    <s v="3-3.25/6-6.5"/>
    <s v="LDN"/>
    <n v="300"/>
    <x v="0"/>
    <n v="4"/>
    <n v="312.48"/>
    <n v="8.8000000000000007"/>
    <n v="38"/>
    <x v="0"/>
    <n v="303.68"/>
    <n v="987.07999999999993"/>
    <m/>
    <x v="0"/>
    <x v="0"/>
    <n v="0"/>
    <n v="0"/>
    <x v="0"/>
    <x v="0"/>
    <m/>
    <x v="0"/>
    <x v="0"/>
    <x v="0"/>
    <x v="0"/>
    <x v="0"/>
    <n v="0"/>
    <n v="0"/>
    <n v="0"/>
    <n v="12"/>
    <x v="1"/>
    <x v="0"/>
    <m/>
    <x v="0"/>
    <n v="317.48"/>
    <x v="0"/>
    <x v="12"/>
    <x v="1"/>
    <x v="0"/>
    <x v="0"/>
  </r>
  <r>
    <x v="1"/>
    <x v="14"/>
    <s v="5265 J"/>
    <x v="142"/>
    <s v="Berger Paint Lahore"/>
    <s v="LD پیلا"/>
    <n v="18"/>
    <s v="-"/>
    <s v="LDM"/>
    <n v="2000"/>
    <x v="0"/>
    <n v="4"/>
    <n v="437.9"/>
    <n v="8.8000000000000007"/>
    <m/>
    <x v="0"/>
    <n v="429.09999999999997"/>
    <n v="2071.2399999999998"/>
    <m/>
    <x v="0"/>
    <x v="0"/>
    <n v="0"/>
    <n v="0"/>
    <x v="0"/>
    <x v="0"/>
    <m/>
    <x v="0"/>
    <x v="0"/>
    <x v="0"/>
    <x v="0"/>
    <x v="0"/>
    <n v="0"/>
    <n v="0"/>
    <n v="0"/>
    <n v="12"/>
    <x v="1"/>
    <x v="0"/>
    <m/>
    <x v="0"/>
    <n v="442.9"/>
    <x v="0"/>
    <x v="12"/>
    <x v="1"/>
    <x v="0"/>
    <x v="0"/>
  </r>
  <r>
    <x v="0"/>
    <x v="15"/>
    <s v="5212 J"/>
    <x v="142"/>
    <s v="Ramada Multan"/>
    <s v="LDN"/>
    <n v="25"/>
    <s v="7-7.5"/>
    <s v="LDN"/>
    <n v="100"/>
    <x v="0"/>
    <n v="2"/>
    <n v="131.44"/>
    <n v="6.8"/>
    <m/>
    <x v="0"/>
    <n v="124.64"/>
    <n v="124.64"/>
    <n v="5"/>
    <x v="0"/>
    <x v="0"/>
    <n v="5"/>
    <n v="8.3333333333333329E-2"/>
    <x v="0"/>
    <x v="0"/>
    <m/>
    <x v="0"/>
    <x v="0"/>
    <x v="0"/>
    <x v="0"/>
    <x v="0"/>
    <n v="0"/>
    <n v="0"/>
    <n v="8.3333333333333329E-2"/>
    <n v="11.916666666666666"/>
    <x v="1"/>
    <x v="0"/>
    <m/>
    <x v="0"/>
    <n v="136.44"/>
    <x v="0"/>
    <x v="12"/>
    <x v="1"/>
    <x v="0"/>
    <x v="0"/>
  </r>
  <r>
    <x v="0"/>
    <x v="15"/>
    <s v="5203 J"/>
    <x v="142"/>
    <s v="A S Cable Lahore"/>
    <s v="LDN"/>
    <n v="14"/>
    <s v="10-11"/>
    <s v="LDN"/>
    <n v="100"/>
    <x v="0"/>
    <n v="2"/>
    <n v="113.22"/>
    <n v="3.6"/>
    <m/>
    <x v="0"/>
    <n v="109.62"/>
    <n v="109.62"/>
    <n v="5"/>
    <x v="0"/>
    <x v="0"/>
    <n v="5"/>
    <n v="8.3333333333333329E-2"/>
    <x v="0"/>
    <x v="0"/>
    <m/>
    <x v="0"/>
    <x v="0"/>
    <x v="0"/>
    <x v="0"/>
    <x v="0"/>
    <n v="0"/>
    <n v="0"/>
    <n v="8.3333333333333329E-2"/>
    <n v="11.916666666666666"/>
    <x v="1"/>
    <x v="0"/>
    <m/>
    <x v="0"/>
    <n v="118.22"/>
    <x v="0"/>
    <x v="12"/>
    <x v="1"/>
    <x v="0"/>
    <x v="0"/>
  </r>
  <r>
    <x v="0"/>
    <x v="15"/>
    <s v="5197 J"/>
    <x v="142"/>
    <s v="Atlas Honda LTD (SKP)"/>
    <s v="LDN"/>
    <n v="26"/>
    <s v="8.5-9"/>
    <s v="LDN"/>
    <n v="297.06790123680003"/>
    <x v="0"/>
    <n v="2"/>
    <n v="128.46"/>
    <n v="6.8"/>
    <m/>
    <x v="0"/>
    <n v="121.66000000000001"/>
    <n v="323.26"/>
    <n v="5"/>
    <x v="0"/>
    <x v="0"/>
    <n v="5"/>
    <n v="8.3333333333333329E-2"/>
    <x v="0"/>
    <x v="0"/>
    <m/>
    <x v="0"/>
    <x v="0"/>
    <x v="0"/>
    <x v="0"/>
    <x v="0"/>
    <n v="0"/>
    <n v="0"/>
    <n v="8.3333333333333329E-2"/>
    <n v="11.916666666666666"/>
    <x v="1"/>
    <x v="0"/>
    <m/>
    <x v="0"/>
    <n v="133.46"/>
    <x v="0"/>
    <x v="12"/>
    <x v="1"/>
    <x v="0"/>
    <x v="0"/>
  </r>
  <r>
    <x v="0"/>
    <x v="15"/>
    <s v="2380 F"/>
    <x v="142"/>
    <s v="Usman Amin"/>
    <s v="LDN"/>
    <n v="30"/>
    <s v="7"/>
    <s v="LDN"/>
    <n v="110"/>
    <x v="0"/>
    <n v="1"/>
    <n v="43.6"/>
    <n v="3.8"/>
    <n v="15"/>
    <x v="0"/>
    <n v="39.800000000000004"/>
    <n v="155.20000000000002"/>
    <m/>
    <x v="0"/>
    <x v="0"/>
    <n v="0"/>
    <n v="0"/>
    <x v="0"/>
    <x v="0"/>
    <m/>
    <x v="0"/>
    <x v="0"/>
    <x v="0"/>
    <x v="0"/>
    <x v="0"/>
    <n v="0"/>
    <n v="0"/>
    <n v="0"/>
    <n v="12"/>
    <x v="1"/>
    <x v="0"/>
    <m/>
    <x v="0"/>
    <n v="48.6"/>
    <x v="0"/>
    <x v="12"/>
    <x v="1"/>
    <x v="0"/>
    <x v="0"/>
  </r>
  <r>
    <x v="1"/>
    <x v="15"/>
    <s v="5131 J"/>
    <x v="142"/>
    <s v="Adam Jee Dura Duct Built PVT LTD"/>
    <s v="LDN"/>
    <n v="13"/>
    <s v="15-16"/>
    <s v="LDN"/>
    <n v="500"/>
    <x v="0"/>
    <n v="6"/>
    <n v="374.8"/>
    <n v="9"/>
    <n v="1.6"/>
    <x v="0"/>
    <n v="365.8"/>
    <n v="510.40000000000003"/>
    <m/>
    <x v="0"/>
    <x v="0"/>
    <n v="0"/>
    <n v="0"/>
    <x v="0"/>
    <x v="0"/>
    <m/>
    <x v="0"/>
    <x v="0"/>
    <x v="0"/>
    <x v="0"/>
    <x v="0"/>
    <n v="0"/>
    <n v="0"/>
    <n v="0"/>
    <n v="12"/>
    <x v="1"/>
    <x v="0"/>
    <m/>
    <x v="0"/>
    <n v="379.8"/>
    <x v="0"/>
    <x v="12"/>
    <x v="1"/>
    <x v="0"/>
    <x v="0"/>
  </r>
  <r>
    <x v="0"/>
    <x v="9"/>
    <s v="5196 J"/>
    <x v="143"/>
    <s v="Atlas Honda LTD (SKP)"/>
    <s v="LDN"/>
    <n v="9"/>
    <s v="8.5-9"/>
    <s v="LDN"/>
    <n v="486.11111111111109"/>
    <x v="0"/>
    <n v="3"/>
    <n v="156.07999999999998"/>
    <n v="2.7"/>
    <m/>
    <x v="0"/>
    <n v="153.38"/>
    <n v="499.53"/>
    <m/>
    <x v="0"/>
    <x v="0"/>
    <n v="0"/>
    <n v="0"/>
    <x v="0"/>
    <x v="0"/>
    <m/>
    <x v="0"/>
    <x v="0"/>
    <x v="0"/>
    <x v="0"/>
    <x v="0"/>
    <n v="0"/>
    <n v="0"/>
    <n v="0"/>
    <n v="12"/>
    <x v="1"/>
    <x v="0"/>
    <m/>
    <x v="0"/>
    <n v="161.07999999999998"/>
    <x v="0"/>
    <x v="12"/>
    <x v="1"/>
    <x v="0"/>
    <x v="0"/>
  </r>
  <r>
    <x v="1"/>
    <x v="9"/>
    <s v="5196 J"/>
    <x v="143"/>
    <s v="Atlas Honda LTD (SKP)"/>
    <s v="LDN"/>
    <n v="9"/>
    <s v="8.5-9"/>
    <s v="LDN"/>
    <n v="486.11111111111109"/>
    <x v="0"/>
    <n v="4"/>
    <n v="125.87"/>
    <n v="4"/>
    <m/>
    <x v="0"/>
    <n v="121.87"/>
    <n v="499.53"/>
    <m/>
    <x v="0"/>
    <x v="0"/>
    <n v="0"/>
    <n v="0"/>
    <x v="0"/>
    <x v="0"/>
    <m/>
    <x v="0"/>
    <x v="0"/>
    <x v="0"/>
    <x v="0"/>
    <x v="0"/>
    <n v="0"/>
    <n v="0"/>
    <n v="0"/>
    <n v="12"/>
    <x v="1"/>
    <x v="0"/>
    <m/>
    <x v="0"/>
    <n v="130.87"/>
    <x v="0"/>
    <x v="12"/>
    <x v="1"/>
    <x v="0"/>
    <x v="0"/>
  </r>
  <r>
    <x v="1"/>
    <x v="9"/>
    <s v="5116 J"/>
    <x v="143"/>
    <s v="Mobeen Plastic Rawalpindi"/>
    <s v="LDN"/>
    <n v="11"/>
    <s v="10"/>
    <s v="LDN"/>
    <n v="100"/>
    <x v="0"/>
    <n v="1"/>
    <n v="35.700000000000003"/>
    <n v="1.3"/>
    <n v="3"/>
    <x v="0"/>
    <n v="34.400000000000006"/>
    <n v="107.28"/>
    <n v="5"/>
    <x v="0"/>
    <x v="0"/>
    <n v="5"/>
    <n v="8.3333333333333329E-2"/>
    <x v="0"/>
    <x v="0"/>
    <m/>
    <x v="0"/>
    <x v="0"/>
    <x v="0"/>
    <x v="0"/>
    <x v="0"/>
    <n v="0"/>
    <n v="0"/>
    <n v="8.3333333333333329E-2"/>
    <n v="11.916666666666666"/>
    <x v="1"/>
    <x v="0"/>
    <m/>
    <x v="0"/>
    <n v="40.700000000000003"/>
    <x v="0"/>
    <x v="12"/>
    <x v="1"/>
    <x v="0"/>
    <x v="0"/>
  </r>
  <r>
    <x v="0"/>
    <x v="10"/>
    <s v="2783/6"/>
    <x v="143"/>
    <s v="PT-01"/>
    <s v="LD سرخ"/>
    <n v="4"/>
    <n v="80"/>
    <s v="LD سرخ"/>
    <n v="9000"/>
    <x v="0"/>
    <n v="12"/>
    <n v="318.10000000000002"/>
    <m/>
    <n v="5"/>
    <x v="0"/>
    <n v="318.10000000000002"/>
    <n v="4266.84"/>
    <m/>
    <x v="0"/>
    <x v="0"/>
    <n v="0"/>
    <n v="0"/>
    <x v="0"/>
    <x v="0"/>
    <m/>
    <x v="0"/>
    <x v="0"/>
    <x v="0"/>
    <x v="0"/>
    <x v="0"/>
    <n v="0"/>
    <n v="0"/>
    <n v="0"/>
    <n v="12"/>
    <x v="1"/>
    <x v="0"/>
    <m/>
    <x v="0"/>
    <n v="323.10000000000002"/>
    <x v="0"/>
    <x v="12"/>
    <x v="1"/>
    <x v="0"/>
    <x v="0"/>
  </r>
  <r>
    <x v="1"/>
    <x v="10"/>
    <s v="2783/6"/>
    <x v="143"/>
    <s v="PT-01"/>
    <s v="LD سرخ"/>
    <n v="4"/>
    <n v="80"/>
    <s v="LD سرخ"/>
    <n v="9000"/>
    <x v="0"/>
    <n v="12"/>
    <n v="283.27000000000004"/>
    <m/>
    <n v="6.8"/>
    <x v="0"/>
    <n v="283.27000000000004"/>
    <n v="4266.84"/>
    <m/>
    <x v="0"/>
    <x v="0"/>
    <n v="0"/>
    <n v="0"/>
    <x v="0"/>
    <x v="0"/>
    <m/>
    <x v="0"/>
    <x v="0"/>
    <x v="0"/>
    <x v="0"/>
    <x v="0"/>
    <n v="0"/>
    <n v="0"/>
    <n v="0"/>
    <n v="12"/>
    <x v="1"/>
    <x v="0"/>
    <m/>
    <x v="0"/>
    <n v="288.27000000000004"/>
    <x v="0"/>
    <x v="12"/>
    <x v="1"/>
    <x v="0"/>
    <x v="0"/>
  </r>
  <r>
    <x v="0"/>
    <x v="12"/>
    <s v="5182 J"/>
    <x v="143"/>
    <s v="Atlas Honda LTD (SKP)"/>
    <s v="LDM"/>
    <s v="16.75&quot; شیٹ"/>
    <s v="7-7.5/14-15"/>
    <s v="LDM"/>
    <n v="500"/>
    <x v="0"/>
    <n v="3"/>
    <n v="144.69999999999999"/>
    <n v="6"/>
    <n v="27"/>
    <x v="0"/>
    <n v="138.69999999999999"/>
    <n v="532.44000000000005"/>
    <n v="5"/>
    <x v="0"/>
    <x v="0"/>
    <n v="5"/>
    <n v="8.3333333333333329E-2"/>
    <x v="0"/>
    <x v="0"/>
    <m/>
    <x v="0"/>
    <x v="0"/>
    <x v="0"/>
    <x v="0"/>
    <x v="0"/>
    <n v="0"/>
    <n v="0"/>
    <n v="8.3333333333333329E-2"/>
    <n v="11.916666666666666"/>
    <x v="1"/>
    <x v="0"/>
    <m/>
    <x v="0"/>
    <n v="149.69999999999999"/>
    <x v="0"/>
    <x v="12"/>
    <x v="1"/>
    <x v="0"/>
    <x v="0"/>
  </r>
  <r>
    <x v="0"/>
    <x v="12"/>
    <s v="5284 J"/>
    <x v="143"/>
    <s v="Lahore Regency Hospitality Lahore"/>
    <s v="LDM"/>
    <n v="18"/>
    <s v="9-9.5"/>
    <s v="LDM"/>
    <n v="200"/>
    <x v="0"/>
    <n v="3"/>
    <n v="207.00000000000003"/>
    <n v="4"/>
    <m/>
    <x v="0"/>
    <n v="203.00000000000003"/>
    <n v="203.00000000000003"/>
    <n v="5"/>
    <x v="0"/>
    <x v="0"/>
    <n v="5"/>
    <n v="8.3333333333333329E-2"/>
    <x v="0"/>
    <x v="0"/>
    <m/>
    <x v="0"/>
    <x v="0"/>
    <x v="0"/>
    <x v="0"/>
    <x v="0"/>
    <n v="0"/>
    <n v="0"/>
    <n v="8.3333333333333329E-2"/>
    <n v="11.916666666666666"/>
    <x v="1"/>
    <x v="0"/>
    <m/>
    <x v="0"/>
    <n v="212.00000000000003"/>
    <x v="0"/>
    <x v="12"/>
    <x v="1"/>
    <x v="0"/>
    <x v="0"/>
  </r>
  <r>
    <x v="0"/>
    <x v="12"/>
    <s v="5271 J"/>
    <x v="143"/>
    <s v="Shakir Comunitcation Bolan"/>
    <s v="LDM"/>
    <n v="14"/>
    <s v="10-10.5"/>
    <s v="LDM"/>
    <n v="100"/>
    <x v="0"/>
    <n v="2"/>
    <n v="106.8"/>
    <n v="3"/>
    <m/>
    <x v="0"/>
    <n v="103.8"/>
    <n v="209.39999999999998"/>
    <n v="5"/>
    <x v="0"/>
    <x v="0"/>
    <n v="5"/>
    <n v="8.3333333333333329E-2"/>
    <x v="0"/>
    <x v="0"/>
    <n v="30"/>
    <x v="0"/>
    <x v="0"/>
    <x v="0"/>
    <x v="0"/>
    <x v="0"/>
    <n v="30"/>
    <n v="0.5"/>
    <n v="0.58333333333333337"/>
    <n v="11.416666666666666"/>
    <x v="1"/>
    <x v="0"/>
    <m/>
    <x v="0"/>
    <n v="111.8"/>
    <x v="0"/>
    <x v="12"/>
    <x v="1"/>
    <x v="0"/>
    <x v="0"/>
  </r>
  <r>
    <x v="0"/>
    <x v="12"/>
    <s v="5230 J"/>
    <x v="143"/>
    <s v="X Ship Lahore"/>
    <s v="LDM"/>
    <n v="21"/>
    <s v="14-15"/>
    <s v="LDM"/>
    <n v="100"/>
    <x v="0"/>
    <n v="1"/>
    <n v="52"/>
    <n v="2.2999999999999998"/>
    <m/>
    <x v="0"/>
    <n v="49.7"/>
    <n v="109.7"/>
    <m/>
    <x v="0"/>
    <x v="0"/>
    <n v="0"/>
    <n v="0"/>
    <x v="0"/>
    <x v="0"/>
    <m/>
    <x v="0"/>
    <x v="0"/>
    <x v="0"/>
    <x v="0"/>
    <x v="0"/>
    <n v="0"/>
    <n v="0"/>
    <n v="0"/>
    <n v="12"/>
    <x v="1"/>
    <x v="0"/>
    <m/>
    <x v="0"/>
    <n v="57"/>
    <x v="0"/>
    <x v="12"/>
    <x v="1"/>
    <x v="0"/>
    <x v="0"/>
  </r>
  <r>
    <x v="1"/>
    <x v="12"/>
    <s v="5230 J"/>
    <x v="143"/>
    <s v="X Ship Lahore"/>
    <s v="LDM"/>
    <n v="21"/>
    <s v="14-15"/>
    <s v="LDM"/>
    <n v="100"/>
    <x v="0"/>
    <n v="1"/>
    <n v="62.3"/>
    <n v="2.2999999999999998"/>
    <n v="36"/>
    <x v="0"/>
    <n v="60"/>
    <n v="109.7"/>
    <m/>
    <x v="0"/>
    <x v="0"/>
    <n v="0"/>
    <n v="0"/>
    <x v="0"/>
    <x v="0"/>
    <m/>
    <x v="0"/>
    <x v="0"/>
    <x v="0"/>
    <x v="0"/>
    <x v="0"/>
    <n v="0"/>
    <n v="0"/>
    <n v="0"/>
    <n v="12"/>
    <x v="1"/>
    <x v="0"/>
    <m/>
    <x v="0"/>
    <n v="67.3"/>
    <x v="0"/>
    <x v="12"/>
    <x v="1"/>
    <x v="0"/>
    <x v="0"/>
  </r>
  <r>
    <x v="1"/>
    <x v="12"/>
    <s v="5280 J"/>
    <x v="143"/>
    <s v="K.D Auto Parts Lahore"/>
    <s v="LDM"/>
    <n v="22"/>
    <s v="6-6.5"/>
    <s v="LDM"/>
    <n v="200"/>
    <x v="0"/>
    <n v="5"/>
    <n v="228.6"/>
    <n v="13.100000000000001"/>
    <m/>
    <x v="0"/>
    <n v="215.5"/>
    <n v="215.5"/>
    <m/>
    <x v="0"/>
    <x v="0"/>
    <n v="0"/>
    <n v="0"/>
    <x v="0"/>
    <x v="0"/>
    <m/>
    <x v="0"/>
    <x v="0"/>
    <x v="0"/>
    <x v="0"/>
    <x v="0"/>
    <n v="0"/>
    <n v="0"/>
    <n v="0"/>
    <n v="12"/>
    <x v="1"/>
    <x v="0"/>
    <m/>
    <x v="0"/>
    <n v="233.6"/>
    <x v="0"/>
    <x v="12"/>
    <x v="1"/>
    <x v="0"/>
    <x v="0"/>
  </r>
  <r>
    <x v="1"/>
    <x v="12"/>
    <s v="2813/2"/>
    <x v="143"/>
    <s v="PLASTIC PT-02"/>
    <s v="LDN"/>
    <n v="24"/>
    <n v="14"/>
    <s v="LDN"/>
    <n v="1000"/>
    <x v="0"/>
    <n v="2"/>
    <n v="234.95"/>
    <n v="5.6"/>
    <m/>
    <x v="0"/>
    <n v="229.35"/>
    <n v="2051.31"/>
    <m/>
    <x v="0"/>
    <x v="0"/>
    <n v="0"/>
    <n v="0"/>
    <x v="0"/>
    <x v="0"/>
    <m/>
    <x v="0"/>
    <x v="0"/>
    <x v="0"/>
    <x v="0"/>
    <x v="0"/>
    <n v="0"/>
    <n v="0"/>
    <n v="0"/>
    <n v="12"/>
    <x v="1"/>
    <x v="0"/>
    <m/>
    <x v="0"/>
    <n v="239.95"/>
    <x v="0"/>
    <x v="12"/>
    <x v="1"/>
    <x v="0"/>
    <x v="0"/>
  </r>
  <r>
    <x v="0"/>
    <x v="14"/>
    <s v="5265 J"/>
    <x v="143"/>
    <s v="Berger Paint Lahore"/>
    <s v="LD پیلا"/>
    <n v="18"/>
    <s v="-"/>
    <s v="LDM"/>
    <n v="2000"/>
    <x v="0"/>
    <n v="6"/>
    <n v="751.4"/>
    <n v="12.6"/>
    <n v="10"/>
    <x v="0"/>
    <n v="738.8"/>
    <n v="2071.2399999999998"/>
    <m/>
    <x v="0"/>
    <x v="0"/>
    <n v="0"/>
    <n v="0"/>
    <x v="0"/>
    <x v="0"/>
    <m/>
    <x v="0"/>
    <x v="0"/>
    <x v="0"/>
    <x v="0"/>
    <x v="0"/>
    <n v="0"/>
    <n v="0"/>
    <n v="0"/>
    <n v="12"/>
    <x v="1"/>
    <x v="0"/>
    <m/>
    <x v="0"/>
    <n v="756.4"/>
    <x v="0"/>
    <x v="12"/>
    <x v="1"/>
    <x v="0"/>
    <x v="0"/>
  </r>
  <r>
    <x v="1"/>
    <x v="14"/>
    <s v="5265 J"/>
    <x v="143"/>
    <s v="Berger Paint Lahore"/>
    <s v="LD پیلا"/>
    <n v="18"/>
    <s v="-"/>
    <s v="LDM"/>
    <n v="2000"/>
    <x v="0"/>
    <n v="6"/>
    <n v="783.00000000000011"/>
    <n v="12.600000000000001"/>
    <m/>
    <x v="0"/>
    <n v="770.40000000000009"/>
    <n v="2071.2399999999998"/>
    <m/>
    <x v="0"/>
    <x v="0"/>
    <n v="0"/>
    <n v="0"/>
    <x v="0"/>
    <x v="0"/>
    <m/>
    <x v="0"/>
    <x v="0"/>
    <x v="0"/>
    <x v="0"/>
    <x v="0"/>
    <n v="0"/>
    <n v="0"/>
    <n v="0"/>
    <n v="12"/>
    <x v="1"/>
    <x v="0"/>
    <m/>
    <x v="0"/>
    <n v="788.00000000000011"/>
    <x v="0"/>
    <x v="12"/>
    <x v="1"/>
    <x v="0"/>
    <x v="0"/>
  </r>
  <r>
    <x v="0"/>
    <x v="15"/>
    <s v="5131 J"/>
    <x v="143"/>
    <s v="Adam Jee Dura Duct Built PVT LTD"/>
    <s v="LDN"/>
    <n v="13"/>
    <s v="15-16"/>
    <s v="LDN"/>
    <n v="500"/>
    <x v="0"/>
    <n v="2"/>
    <n v="147.60000000000002"/>
    <n v="3"/>
    <n v="3"/>
    <x v="0"/>
    <n v="144.60000000000002"/>
    <n v="510.40000000000003"/>
    <n v="4"/>
    <x v="0"/>
    <x v="0"/>
    <n v="4"/>
    <n v="6.6666666666666666E-2"/>
    <x v="0"/>
    <x v="0"/>
    <m/>
    <x v="0"/>
    <x v="0"/>
    <x v="0"/>
    <x v="0"/>
    <x v="0"/>
    <n v="0"/>
    <n v="0"/>
    <n v="6.6666666666666666E-2"/>
    <n v="11.933333333333334"/>
    <x v="1"/>
    <x v="0"/>
    <m/>
    <x v="0"/>
    <n v="152.60000000000002"/>
    <x v="0"/>
    <x v="12"/>
    <x v="1"/>
    <x v="0"/>
    <x v="0"/>
  </r>
  <r>
    <x v="0"/>
    <x v="15"/>
    <s v="5215 J"/>
    <x v="143"/>
    <s v="Super Shangai Dry Cleaners Nankana"/>
    <s v="LDN"/>
    <n v="13"/>
    <s v="4.5-5"/>
    <s v="LDN"/>
    <n v="150"/>
    <x v="0"/>
    <n v="3"/>
    <n v="104.3"/>
    <n v="5.4"/>
    <m/>
    <x v="0"/>
    <n v="98.899999999999991"/>
    <n v="98.899999999999991"/>
    <m/>
    <x v="0"/>
    <x v="0"/>
    <n v="0"/>
    <n v="0"/>
    <x v="0"/>
    <x v="0"/>
    <m/>
    <x v="0"/>
    <x v="0"/>
    <x v="0"/>
    <x v="0"/>
    <x v="0"/>
    <n v="0"/>
    <n v="0"/>
    <n v="0"/>
    <n v="12"/>
    <x v="1"/>
    <x v="0"/>
    <m/>
    <x v="0"/>
    <n v="109.3"/>
    <x v="0"/>
    <x v="12"/>
    <x v="1"/>
    <x v="0"/>
    <x v="0"/>
  </r>
  <r>
    <x v="0"/>
    <x v="15"/>
    <s v="5176 J"/>
    <x v="143"/>
    <s v="Hammad Plastic Gujranwala"/>
    <s v="LDN"/>
    <n v="14"/>
    <s v="5.5-6"/>
    <s v="LDN"/>
    <n v="150"/>
    <x v="0"/>
    <n v="1"/>
    <n v="29.4"/>
    <n v="1.8"/>
    <m/>
    <x v="0"/>
    <n v="27.599999999999998"/>
    <n v="166.77"/>
    <m/>
    <x v="0"/>
    <x v="0"/>
    <n v="0"/>
    <n v="0"/>
    <x v="0"/>
    <x v="0"/>
    <m/>
    <x v="0"/>
    <x v="0"/>
    <x v="0"/>
    <x v="0"/>
    <x v="0"/>
    <n v="0"/>
    <n v="0"/>
    <n v="0"/>
    <n v="12"/>
    <x v="1"/>
    <x v="0"/>
    <m/>
    <x v="0"/>
    <n v="34.4"/>
    <x v="0"/>
    <x v="12"/>
    <x v="1"/>
    <x v="0"/>
    <x v="0"/>
  </r>
  <r>
    <x v="1"/>
    <x v="15"/>
    <s v="5176 J"/>
    <x v="143"/>
    <s v="Hammad Plastic Gujranwala"/>
    <s v="LDN"/>
    <n v="14"/>
    <s v="5.5-6"/>
    <s v="LDN"/>
    <n v="150"/>
    <x v="0"/>
    <n v="4"/>
    <n v="145.57000000000002"/>
    <n v="6.4"/>
    <n v="5"/>
    <x v="0"/>
    <n v="139.17000000000002"/>
    <n v="166.77"/>
    <m/>
    <x v="0"/>
    <x v="0"/>
    <n v="0"/>
    <n v="0"/>
    <x v="0"/>
    <x v="0"/>
    <m/>
    <x v="0"/>
    <x v="0"/>
    <x v="0"/>
    <x v="0"/>
    <x v="0"/>
    <n v="0"/>
    <n v="0"/>
    <n v="0"/>
    <n v="12"/>
    <x v="1"/>
    <x v="0"/>
    <m/>
    <x v="0"/>
    <n v="150.57000000000002"/>
    <x v="0"/>
    <x v="12"/>
    <x v="1"/>
    <x v="0"/>
    <x v="0"/>
  </r>
  <r>
    <x v="1"/>
    <x v="15"/>
    <s v="2264 F"/>
    <x v="143"/>
    <s v="Usman Amin"/>
    <s v="LDN"/>
    <n v="21"/>
    <s v="7-7.5"/>
    <s v="LDN"/>
    <n v="600"/>
    <x v="0"/>
    <n v="3"/>
    <n v="214"/>
    <n v="8.6999999999999993"/>
    <m/>
    <x v="0"/>
    <n v="205.3"/>
    <n v="1261.4000000000001"/>
    <m/>
    <x v="0"/>
    <x v="0"/>
    <n v="0"/>
    <n v="0"/>
    <x v="0"/>
    <x v="0"/>
    <m/>
    <x v="0"/>
    <x v="0"/>
    <x v="0"/>
    <x v="0"/>
    <x v="0"/>
    <n v="0"/>
    <n v="0"/>
    <n v="0"/>
    <n v="12"/>
    <x v="1"/>
    <x v="0"/>
    <m/>
    <x v="0"/>
    <n v="219"/>
    <x v="0"/>
    <x v="12"/>
    <x v="1"/>
    <x v="0"/>
    <x v="0"/>
  </r>
  <r>
    <x v="1"/>
    <x v="9"/>
    <s v="5288 J"/>
    <x v="144"/>
    <s v="Al Burak Deparmental Store Lahore"/>
    <s v="LDN"/>
    <n v="7"/>
    <s v="14-15"/>
    <s v="LDN"/>
    <n v="125"/>
    <x v="0"/>
    <n v="1"/>
    <n v="29.9"/>
    <n v="0.9"/>
    <n v="5"/>
    <x v="0"/>
    <n v="29"/>
    <n v="126"/>
    <m/>
    <x v="5"/>
    <x v="0"/>
    <n v="180"/>
    <n v="3"/>
    <x v="0"/>
    <x v="0"/>
    <m/>
    <x v="0"/>
    <x v="0"/>
    <x v="0"/>
    <x v="0"/>
    <x v="0"/>
    <n v="0"/>
    <n v="0"/>
    <n v="3"/>
    <n v="9"/>
    <x v="1"/>
    <x v="0"/>
    <m/>
    <x v="0"/>
    <m/>
    <x v="0"/>
    <x v="12"/>
    <x v="2"/>
    <x v="0"/>
    <x v="0"/>
  </r>
  <r>
    <x v="1"/>
    <x v="9"/>
    <s v="5267 J"/>
    <x v="144"/>
    <s v="Bolan Pastry Shop Quita"/>
    <s v="LDN"/>
    <n v="11"/>
    <s v="6-6.5"/>
    <s v="LDN"/>
    <n v="200"/>
    <x v="0"/>
    <n v="3"/>
    <n v="94.1"/>
    <n v="3.9000000000000004"/>
    <m/>
    <x v="0"/>
    <n v="90.199999999999989"/>
    <n v="212.6"/>
    <m/>
    <x v="0"/>
    <x v="0"/>
    <n v="0"/>
    <n v="0"/>
    <x v="0"/>
    <x v="0"/>
    <m/>
    <x v="0"/>
    <x v="0"/>
    <x v="0"/>
    <x v="0"/>
    <x v="0"/>
    <n v="0"/>
    <n v="0"/>
    <n v="0"/>
    <n v="12"/>
    <x v="1"/>
    <x v="0"/>
    <m/>
    <x v="0"/>
    <m/>
    <x v="0"/>
    <x v="12"/>
    <x v="2"/>
    <x v="0"/>
    <x v="0"/>
  </r>
  <r>
    <x v="1"/>
    <x v="13"/>
    <s v="2819/1"/>
    <x v="144"/>
    <s v="MATCO FOOD"/>
    <s v="LDN"/>
    <s v="29 TO 29.5"/>
    <s v="85 Grm+-2"/>
    <s v="LDN"/>
    <n v="2975"/>
    <x v="0"/>
    <n v="3"/>
    <n v="324.39999999999998"/>
    <n v="11.399999999999999"/>
    <n v="10"/>
    <x v="0"/>
    <n v="313"/>
    <n v="3199.08"/>
    <m/>
    <x v="5"/>
    <x v="0"/>
    <n v="180"/>
    <n v="3"/>
    <x v="0"/>
    <x v="0"/>
    <m/>
    <x v="0"/>
    <x v="0"/>
    <x v="0"/>
    <x v="1"/>
    <x v="0"/>
    <n v="40"/>
    <n v="0.66666666666666663"/>
    <n v="3.6666666666666665"/>
    <n v="8.3333333333333339"/>
    <x v="1"/>
    <x v="0"/>
    <m/>
    <x v="0"/>
    <m/>
    <x v="0"/>
    <x v="12"/>
    <x v="2"/>
    <x v="0"/>
    <x v="0"/>
  </r>
  <r>
    <x v="1"/>
    <x v="14"/>
    <m/>
    <x v="144"/>
    <s v="-"/>
    <m/>
    <n v="26"/>
    <s v="8-8.5"/>
    <m/>
    <m/>
    <x v="0"/>
    <n v="4"/>
    <n v="435.1"/>
    <n v="12.8"/>
    <n v="70"/>
    <x v="0"/>
    <n v="422.3"/>
    <n v="0"/>
    <m/>
    <x v="5"/>
    <x v="0"/>
    <n v="180"/>
    <n v="3"/>
    <x v="6"/>
    <x v="0"/>
    <n v="60"/>
    <x v="0"/>
    <x v="0"/>
    <x v="0"/>
    <x v="0"/>
    <x v="0"/>
    <n v="120"/>
    <n v="2"/>
    <n v="5"/>
    <n v="7"/>
    <x v="1"/>
    <x v="0"/>
    <m/>
    <x v="0"/>
    <m/>
    <x v="0"/>
    <x v="12"/>
    <x v="2"/>
    <x v="0"/>
    <x v="0"/>
  </r>
  <r>
    <x v="1"/>
    <x v="15"/>
    <s v="2819/1"/>
    <x v="144"/>
    <s v="MATCO FOOD"/>
    <s v="LDN"/>
    <s v="29 TO 29.5"/>
    <s v="85 Grm+-2"/>
    <s v="LDN"/>
    <n v="2975"/>
    <x v="0"/>
    <n v="4"/>
    <n v="428.04"/>
    <n v="14"/>
    <n v="8"/>
    <x v="0"/>
    <n v="414.04"/>
    <n v="3199.08"/>
    <m/>
    <x v="5"/>
    <x v="0"/>
    <n v="180"/>
    <n v="3"/>
    <x v="0"/>
    <x v="0"/>
    <m/>
    <x v="2"/>
    <x v="0"/>
    <x v="0"/>
    <x v="0"/>
    <x v="0"/>
    <n v="5"/>
    <n v="8.3333333333333329E-2"/>
    <n v="3.0833333333333335"/>
    <n v="8.9166666666666661"/>
    <x v="1"/>
    <x v="0"/>
    <m/>
    <x v="0"/>
    <m/>
    <x v="0"/>
    <x v="12"/>
    <x v="2"/>
    <x v="0"/>
    <x v="0"/>
  </r>
  <r>
    <x v="0"/>
    <x v="9"/>
    <s v="5116 J"/>
    <x v="145"/>
    <s v="Mobeen Plastic Rawalpindi"/>
    <s v="LDN"/>
    <n v="11"/>
    <s v="10"/>
    <s v="LDN"/>
    <n v="100"/>
    <x v="0"/>
    <n v="2"/>
    <n v="75.58"/>
    <n v="2.7"/>
    <m/>
    <x v="0"/>
    <n v="72.88"/>
    <n v="107.28"/>
    <m/>
    <x v="0"/>
    <x v="0"/>
    <n v="0"/>
    <n v="0"/>
    <x v="0"/>
    <x v="0"/>
    <m/>
    <x v="0"/>
    <x v="0"/>
    <x v="0"/>
    <x v="0"/>
    <x v="0"/>
    <n v="0"/>
    <n v="0"/>
    <n v="0"/>
    <n v="12"/>
    <x v="1"/>
    <x v="0"/>
    <m/>
    <x v="0"/>
    <n v="50"/>
    <x v="0"/>
    <x v="12"/>
    <x v="2"/>
    <x v="0"/>
    <x v="0"/>
  </r>
  <r>
    <x v="0"/>
    <x v="9"/>
    <s v="5289 J"/>
    <x v="145"/>
    <s v="Al Burak Deparmental Store Lahore"/>
    <s v="LDN"/>
    <n v="9"/>
    <s v="14-15"/>
    <s v="LDN"/>
    <n v="125"/>
    <x v="0"/>
    <n v="2"/>
    <n v="92.23"/>
    <n v="2.2000000000000002"/>
    <m/>
    <x v="0"/>
    <n v="90.03"/>
    <n v="121.13"/>
    <m/>
    <x v="0"/>
    <x v="0"/>
    <n v="0"/>
    <n v="0"/>
    <x v="0"/>
    <x v="0"/>
    <m/>
    <x v="0"/>
    <x v="0"/>
    <x v="0"/>
    <x v="0"/>
    <x v="0"/>
    <n v="0"/>
    <n v="0"/>
    <n v="0"/>
    <n v="12"/>
    <x v="1"/>
    <x v="0"/>
    <m/>
    <x v="0"/>
    <n v="50"/>
    <x v="0"/>
    <x v="12"/>
    <x v="2"/>
    <x v="0"/>
    <x v="0"/>
  </r>
  <r>
    <x v="1"/>
    <x v="9"/>
    <s v="5289 J"/>
    <x v="145"/>
    <s v="Al Burak Deparmental Store Lahore"/>
    <s v="LDN"/>
    <n v="9"/>
    <s v="14-15"/>
    <s v="LDN"/>
    <n v="125"/>
    <x v="0"/>
    <n v="1"/>
    <n v="32.200000000000003"/>
    <n v="1.1000000000000001"/>
    <m/>
    <x v="0"/>
    <n v="31.1"/>
    <n v="121.13"/>
    <m/>
    <x v="0"/>
    <x v="0"/>
    <n v="0"/>
    <n v="0"/>
    <x v="0"/>
    <x v="0"/>
    <m/>
    <x v="0"/>
    <x v="0"/>
    <x v="0"/>
    <x v="0"/>
    <x v="0"/>
    <n v="0"/>
    <n v="0"/>
    <n v="0"/>
    <n v="12"/>
    <x v="1"/>
    <x v="0"/>
    <m/>
    <x v="0"/>
    <n v="37.200000000000003"/>
    <x v="0"/>
    <x v="12"/>
    <x v="2"/>
    <x v="0"/>
    <x v="0"/>
  </r>
  <r>
    <x v="1"/>
    <x v="9"/>
    <s v="5288 J"/>
    <x v="145"/>
    <s v="Al Burak Deparmental Store Lahore"/>
    <s v="LDN"/>
    <n v="7"/>
    <s v="14-15"/>
    <s v="LDN"/>
    <n v="125"/>
    <x v="0"/>
    <n v="2"/>
    <n v="99.8"/>
    <n v="2.8"/>
    <m/>
    <x v="0"/>
    <n v="97"/>
    <n v="126"/>
    <m/>
    <x v="0"/>
    <x v="0"/>
    <n v="0"/>
    <n v="0"/>
    <x v="0"/>
    <x v="0"/>
    <m/>
    <x v="0"/>
    <x v="0"/>
    <x v="0"/>
    <x v="0"/>
    <x v="0"/>
    <n v="0"/>
    <n v="0"/>
    <n v="0"/>
    <n v="12"/>
    <x v="1"/>
    <x v="0"/>
    <m/>
    <x v="0"/>
    <n v="100"/>
    <x v="0"/>
    <x v="12"/>
    <x v="2"/>
    <x v="0"/>
    <x v="0"/>
  </r>
  <r>
    <x v="0"/>
    <x v="10"/>
    <s v="2783/6"/>
    <x v="145"/>
    <s v="PT-01"/>
    <s v="LD سرخ"/>
    <n v="4"/>
    <n v="80"/>
    <s v="LD سرخ"/>
    <n v="9000"/>
    <x v="0"/>
    <n v="6"/>
    <n v="153.05000000000001"/>
    <m/>
    <m/>
    <x v="0"/>
    <n v="153.05000000000001"/>
    <n v="4266.84"/>
    <m/>
    <x v="0"/>
    <x v="0"/>
    <n v="0"/>
    <n v="0"/>
    <x v="0"/>
    <x v="0"/>
    <m/>
    <x v="0"/>
    <x v="0"/>
    <x v="0"/>
    <x v="0"/>
    <x v="0"/>
    <n v="0"/>
    <n v="0"/>
    <n v="0"/>
    <n v="12"/>
    <x v="1"/>
    <x v="0"/>
    <m/>
    <x v="0"/>
    <n v="158.05000000000001"/>
    <x v="0"/>
    <x v="12"/>
    <x v="2"/>
    <x v="0"/>
    <x v="0"/>
  </r>
  <r>
    <x v="0"/>
    <x v="10"/>
    <s v="2783/6"/>
    <x v="145"/>
    <s v="PT-01"/>
    <s v="LD سرخ"/>
    <n v="4"/>
    <n v="80"/>
    <s v="LD سرخ"/>
    <n v="9000"/>
    <x v="0"/>
    <n v="5"/>
    <n v="133.16999999999999"/>
    <m/>
    <m/>
    <x v="0"/>
    <n v="133.16999999999999"/>
    <n v="4266.84"/>
    <m/>
    <x v="0"/>
    <x v="0"/>
    <n v="0"/>
    <n v="0"/>
    <x v="0"/>
    <x v="0"/>
    <m/>
    <x v="0"/>
    <x v="0"/>
    <x v="0"/>
    <x v="0"/>
    <x v="0"/>
    <n v="0"/>
    <n v="0"/>
    <n v="0"/>
    <n v="12"/>
    <x v="1"/>
    <x v="0"/>
    <m/>
    <x v="0"/>
    <n v="138.16999999999999"/>
    <x v="0"/>
    <x v="12"/>
    <x v="2"/>
    <x v="0"/>
    <x v="0"/>
  </r>
  <r>
    <x v="1"/>
    <x v="10"/>
    <s v="2783/6"/>
    <x v="145"/>
    <s v="PT-01"/>
    <s v="LD سرخ"/>
    <n v="4"/>
    <n v="80"/>
    <s v="LD سرخ"/>
    <n v="9000"/>
    <x v="0"/>
    <n v="6"/>
    <n v="162.69999999999999"/>
    <m/>
    <m/>
    <x v="0"/>
    <n v="162.69999999999999"/>
    <n v="4266.84"/>
    <m/>
    <x v="0"/>
    <x v="0"/>
    <n v="0"/>
    <n v="0"/>
    <x v="0"/>
    <x v="0"/>
    <m/>
    <x v="0"/>
    <x v="0"/>
    <x v="0"/>
    <x v="0"/>
    <x v="0"/>
    <n v="0"/>
    <n v="0"/>
    <n v="0"/>
    <n v="12"/>
    <x v="1"/>
    <x v="0"/>
    <m/>
    <x v="0"/>
    <n v="167.7"/>
    <x v="0"/>
    <x v="12"/>
    <x v="2"/>
    <x v="0"/>
    <x v="0"/>
  </r>
  <r>
    <x v="1"/>
    <x v="10"/>
    <s v="2783/6"/>
    <x v="145"/>
    <s v="PT-01"/>
    <s v="LD سرخ"/>
    <n v="4"/>
    <n v="80"/>
    <s v="LD سرخ"/>
    <n v="9000"/>
    <x v="0"/>
    <n v="3"/>
    <n v="83.8"/>
    <m/>
    <m/>
    <x v="0"/>
    <n v="83.8"/>
    <n v="4266.84"/>
    <m/>
    <x v="0"/>
    <x v="0"/>
    <n v="0"/>
    <n v="0"/>
    <x v="0"/>
    <x v="0"/>
    <m/>
    <x v="0"/>
    <x v="0"/>
    <x v="0"/>
    <x v="0"/>
    <x v="0"/>
    <n v="0"/>
    <n v="0"/>
    <n v="0"/>
    <n v="12"/>
    <x v="1"/>
    <x v="0"/>
    <m/>
    <x v="0"/>
    <n v="88.8"/>
    <x v="0"/>
    <x v="12"/>
    <x v="2"/>
    <x v="0"/>
    <x v="0"/>
  </r>
  <r>
    <x v="0"/>
    <x v="12"/>
    <s v="2813/2"/>
    <x v="145"/>
    <s v="PLASTIC PT-02"/>
    <s v="LDN"/>
    <n v="24"/>
    <n v="14"/>
    <s v="LDN"/>
    <n v="1000"/>
    <x v="0"/>
    <n v="4"/>
    <n v="343.2"/>
    <n v="11.7"/>
    <n v="7"/>
    <x v="0"/>
    <n v="331.5"/>
    <n v="2051.31"/>
    <n v="5"/>
    <x v="0"/>
    <x v="0"/>
    <n v="5"/>
    <n v="8.3333333333333329E-2"/>
    <x v="0"/>
    <x v="0"/>
    <m/>
    <x v="0"/>
    <x v="0"/>
    <x v="0"/>
    <x v="0"/>
    <x v="0"/>
    <n v="0"/>
    <n v="0"/>
    <n v="8.3333333333333329E-2"/>
    <n v="11.916666666666666"/>
    <x v="1"/>
    <x v="0"/>
    <m/>
    <x v="0"/>
    <n v="348.2"/>
    <x v="0"/>
    <x v="12"/>
    <x v="2"/>
    <x v="0"/>
    <x v="0"/>
  </r>
  <r>
    <x v="0"/>
    <x v="12"/>
    <s v="5235 J"/>
    <x v="145"/>
    <s v="Royal Broke Lahore"/>
    <s v="LDN"/>
    <n v="24"/>
    <s v="8-8.5"/>
    <s v="LDN"/>
    <n v="160"/>
    <x v="0"/>
    <n v="2"/>
    <n v="148.4"/>
    <n v="5"/>
    <m/>
    <x v="0"/>
    <n v="143.4"/>
    <n v="143.4"/>
    <n v="5"/>
    <x v="0"/>
    <x v="0"/>
    <n v="5"/>
    <n v="8.3333333333333329E-2"/>
    <x v="0"/>
    <x v="0"/>
    <m/>
    <x v="0"/>
    <x v="0"/>
    <x v="0"/>
    <x v="0"/>
    <x v="0"/>
    <n v="0"/>
    <n v="0"/>
    <n v="8.3333333333333329E-2"/>
    <n v="11.916666666666666"/>
    <x v="1"/>
    <x v="0"/>
    <m/>
    <x v="0"/>
    <n v="153.4"/>
    <x v="0"/>
    <x v="12"/>
    <x v="2"/>
    <x v="0"/>
    <x v="0"/>
  </r>
  <r>
    <x v="0"/>
    <x v="12"/>
    <s v="5240 J"/>
    <x v="145"/>
    <s v="Super Diamond Food Kamoki"/>
    <s v="LDN"/>
    <n v="22"/>
    <s v="7.5-8"/>
    <s v="LDN"/>
    <n v="400"/>
    <x v="0"/>
    <n v="2"/>
    <n v="99.5"/>
    <n v="4.8"/>
    <m/>
    <x v="0"/>
    <n v="94.7"/>
    <n v="400.25"/>
    <n v="5"/>
    <x v="0"/>
    <x v="0"/>
    <n v="5"/>
    <n v="8.3333333333333329E-2"/>
    <x v="0"/>
    <x v="0"/>
    <m/>
    <x v="0"/>
    <x v="0"/>
    <x v="0"/>
    <x v="0"/>
    <x v="0"/>
    <n v="0"/>
    <n v="0"/>
    <n v="8.3333333333333329E-2"/>
    <n v="11.916666666666666"/>
    <x v="1"/>
    <x v="0"/>
    <m/>
    <x v="0"/>
    <n v="104.5"/>
    <x v="0"/>
    <x v="12"/>
    <x v="2"/>
    <x v="0"/>
    <x v="0"/>
  </r>
  <r>
    <x v="1"/>
    <x v="12"/>
    <s v="5240 J"/>
    <x v="145"/>
    <s v="Super Diamond Food Kamoki"/>
    <s v="LDN"/>
    <n v="22"/>
    <s v="7.5-8"/>
    <s v="LDN"/>
    <n v="400"/>
    <x v="0"/>
    <n v="2"/>
    <n v="104.15"/>
    <n v="2.4"/>
    <n v="7"/>
    <x v="0"/>
    <n v="101.75"/>
    <n v="400.25"/>
    <m/>
    <x v="0"/>
    <x v="0"/>
    <n v="0"/>
    <n v="0"/>
    <x v="0"/>
    <x v="0"/>
    <m/>
    <x v="0"/>
    <x v="0"/>
    <x v="0"/>
    <x v="0"/>
    <x v="0"/>
    <n v="0"/>
    <n v="0"/>
    <n v="0"/>
    <n v="12"/>
    <x v="1"/>
    <x v="0"/>
    <m/>
    <x v="0"/>
    <n v="109.15"/>
    <x v="0"/>
    <x v="12"/>
    <x v="2"/>
    <x v="0"/>
    <x v="0"/>
  </r>
  <r>
    <x v="1"/>
    <x v="12"/>
    <s v="2813/5"/>
    <x v="145"/>
    <s v="PLASTIC PT-02"/>
    <s v="LDN"/>
    <n v="14"/>
    <n v="14"/>
    <s v="LDN"/>
    <n v="500"/>
    <x v="0"/>
    <n v="6"/>
    <n v="258.45"/>
    <n v="10.199999999999999"/>
    <m/>
    <x v="0"/>
    <n v="248.25"/>
    <n v="248.25"/>
    <m/>
    <x v="0"/>
    <x v="0"/>
    <n v="0"/>
    <n v="0"/>
    <x v="0"/>
    <x v="0"/>
    <m/>
    <x v="0"/>
    <x v="0"/>
    <x v="0"/>
    <x v="0"/>
    <x v="0"/>
    <n v="0"/>
    <n v="0"/>
    <n v="0"/>
    <n v="12"/>
    <x v="1"/>
    <x v="0"/>
    <m/>
    <x v="0"/>
    <n v="263.45"/>
    <x v="0"/>
    <x v="12"/>
    <x v="2"/>
    <x v="0"/>
    <x v="0"/>
  </r>
  <r>
    <x v="0"/>
    <x v="14"/>
    <s v="5265 J"/>
    <x v="145"/>
    <s v="Berger Paint Lahore"/>
    <s v="LD پیلا"/>
    <n v="18"/>
    <s v="-"/>
    <s v="LDM"/>
    <n v="2000"/>
    <x v="0"/>
    <n v="1"/>
    <n v="134.74"/>
    <n v="1.8"/>
    <n v="58"/>
    <x v="0"/>
    <n v="132.94"/>
    <n v="2071.2399999999998"/>
    <n v="30"/>
    <x v="0"/>
    <x v="0"/>
    <n v="30"/>
    <n v="0.5"/>
    <x v="0"/>
    <x v="0"/>
    <m/>
    <x v="0"/>
    <x v="0"/>
    <x v="0"/>
    <x v="0"/>
    <x v="0"/>
    <n v="0"/>
    <n v="0"/>
    <n v="0.5"/>
    <n v="11.5"/>
    <x v="1"/>
    <x v="0"/>
    <m/>
    <x v="0"/>
    <n v="139.74"/>
    <x v="0"/>
    <x v="12"/>
    <x v="2"/>
    <x v="0"/>
    <x v="0"/>
  </r>
  <r>
    <x v="0"/>
    <x v="14"/>
    <s v="5108 J"/>
    <x v="145"/>
    <s v="Waseem Garments Sheikhpura"/>
    <s v="LD کریم"/>
    <s v="12+3+3"/>
    <s v="7.5-8/15-16"/>
    <s v="LDM"/>
    <n v="110"/>
    <x v="0"/>
    <n v="5"/>
    <n v="137.05999999999997"/>
    <n v="5"/>
    <m/>
    <x v="0"/>
    <n v="132.05999999999997"/>
    <n v="132.05999999999997"/>
    <m/>
    <x v="0"/>
    <x v="0"/>
    <n v="0"/>
    <n v="0"/>
    <x v="0"/>
    <x v="0"/>
    <m/>
    <x v="0"/>
    <x v="0"/>
    <x v="0"/>
    <x v="0"/>
    <x v="0"/>
    <n v="0"/>
    <n v="0"/>
    <n v="0"/>
    <n v="12"/>
    <x v="1"/>
    <x v="0"/>
    <m/>
    <x v="0"/>
    <n v="142.05999999999997"/>
    <x v="0"/>
    <x v="12"/>
    <x v="2"/>
    <x v="0"/>
    <x v="0"/>
  </r>
  <r>
    <x v="0"/>
    <x v="14"/>
    <s v="5224 J"/>
    <x v="145"/>
    <s v="Usman Arif Butt Gujranwala"/>
    <s v="LD پنک"/>
    <n v="17"/>
    <s v="10.5-11"/>
    <s v="LDM"/>
    <n v="100"/>
    <x v="0"/>
    <n v="2"/>
    <n v="101.95"/>
    <n v="2"/>
    <m/>
    <x v="0"/>
    <n v="99.95"/>
    <n v="99.95"/>
    <m/>
    <x v="0"/>
    <x v="0"/>
    <n v="0"/>
    <n v="0"/>
    <x v="0"/>
    <x v="0"/>
    <m/>
    <x v="0"/>
    <x v="0"/>
    <x v="0"/>
    <x v="0"/>
    <x v="0"/>
    <n v="0"/>
    <n v="0"/>
    <n v="0"/>
    <n v="12"/>
    <x v="1"/>
    <x v="0"/>
    <m/>
    <x v="0"/>
    <n v="106.95"/>
    <x v="0"/>
    <x v="12"/>
    <x v="2"/>
    <x v="0"/>
    <x v="0"/>
  </r>
  <r>
    <x v="0"/>
    <x v="14"/>
    <s v="SAMPLE"/>
    <x v="145"/>
    <s v="-"/>
    <m/>
    <n v="17"/>
    <n v="10"/>
    <m/>
    <m/>
    <x v="0"/>
    <n v="1"/>
    <n v="51"/>
    <n v="1.7"/>
    <m/>
    <x v="0"/>
    <n v="49.3"/>
    <n v="862.72"/>
    <m/>
    <x v="0"/>
    <x v="0"/>
    <n v="0"/>
    <n v="0"/>
    <x v="0"/>
    <x v="0"/>
    <m/>
    <x v="0"/>
    <x v="0"/>
    <x v="0"/>
    <x v="0"/>
    <x v="0"/>
    <n v="0"/>
    <n v="0"/>
    <n v="0"/>
    <n v="12"/>
    <x v="1"/>
    <x v="0"/>
    <m/>
    <x v="0"/>
    <n v="56"/>
    <x v="0"/>
    <x v="12"/>
    <x v="2"/>
    <x v="0"/>
    <x v="0"/>
  </r>
  <r>
    <x v="0"/>
    <x v="14"/>
    <s v="5281 J"/>
    <x v="145"/>
    <s v="K.D Auto Parts Lahore"/>
    <s v="LDM"/>
    <n v="26"/>
    <s v="6-6.5"/>
    <s v="LDM"/>
    <n v="100"/>
    <x v="0"/>
    <n v="2"/>
    <n v="68.150000000000006"/>
    <n v="5.2"/>
    <m/>
    <x v="0"/>
    <n v="62.95"/>
    <n v="466.12"/>
    <m/>
    <x v="0"/>
    <x v="0"/>
    <n v="0"/>
    <n v="0"/>
    <x v="0"/>
    <x v="0"/>
    <m/>
    <x v="0"/>
    <x v="0"/>
    <x v="0"/>
    <x v="0"/>
    <x v="0"/>
    <n v="0"/>
    <n v="0"/>
    <n v="0"/>
    <n v="12"/>
    <x v="1"/>
    <x v="0"/>
    <m/>
    <x v="0"/>
    <n v="73.150000000000006"/>
    <x v="0"/>
    <x v="12"/>
    <x v="2"/>
    <x v="0"/>
    <x v="0"/>
  </r>
  <r>
    <x v="1"/>
    <x v="14"/>
    <s v="5281 J"/>
    <x v="145"/>
    <s v="K.D Auto Parts Lahore"/>
    <s v="LDM"/>
    <n v="26"/>
    <s v="6-6.5"/>
    <s v="LDM"/>
    <n v="100"/>
    <x v="0"/>
    <n v="1"/>
    <n v="42.79"/>
    <n v="3.6"/>
    <n v="21"/>
    <x v="0"/>
    <n v="39.19"/>
    <n v="466.12"/>
    <m/>
    <x v="0"/>
    <x v="0"/>
    <n v="0"/>
    <n v="0"/>
    <x v="0"/>
    <x v="0"/>
    <m/>
    <x v="0"/>
    <x v="0"/>
    <x v="0"/>
    <x v="0"/>
    <x v="0"/>
    <n v="0"/>
    <n v="0"/>
    <n v="0"/>
    <n v="12"/>
    <x v="1"/>
    <x v="0"/>
    <m/>
    <x v="0"/>
    <n v="47.79"/>
    <x v="0"/>
    <x v="12"/>
    <x v="2"/>
    <x v="0"/>
    <x v="0"/>
  </r>
  <r>
    <x v="1"/>
    <x v="14"/>
    <s v="5167 J"/>
    <x v="145"/>
    <s v="Haram Noor Lace Collection Lahore"/>
    <s v="LDM"/>
    <n v="24"/>
    <s v="16-16.5"/>
    <s v="LDM"/>
    <n v="100"/>
    <x v="0"/>
    <n v="2"/>
    <n v="110.6"/>
    <n v="6"/>
    <m/>
    <x v="0"/>
    <n v="104.6"/>
    <n v="104.6"/>
    <n v="20"/>
    <x v="0"/>
    <x v="0"/>
    <n v="20"/>
    <n v="0.33333333333333331"/>
    <x v="0"/>
    <x v="0"/>
    <m/>
    <x v="0"/>
    <x v="0"/>
    <x v="0"/>
    <x v="0"/>
    <x v="0"/>
    <n v="0"/>
    <n v="0"/>
    <n v="0.33333333333333331"/>
    <n v="11.666666666666666"/>
    <x v="1"/>
    <x v="0"/>
    <m/>
    <x v="0"/>
    <n v="115.6"/>
    <x v="0"/>
    <x v="12"/>
    <x v="2"/>
    <x v="0"/>
    <x v="0"/>
  </r>
  <r>
    <x v="1"/>
    <x v="14"/>
    <s v="5291 J"/>
    <x v="145"/>
    <s v="Umar Febrics Jehlum"/>
    <s v="LDM"/>
    <s v="10+2.5+2.5"/>
    <s v="7.5-8/15-16"/>
    <s v="LDM"/>
    <n v="100"/>
    <x v="0"/>
    <n v="1"/>
    <n v="41.2"/>
    <n v="1.2"/>
    <m/>
    <x v="0"/>
    <n v="40"/>
    <n v="300.2"/>
    <m/>
    <x v="0"/>
    <x v="0"/>
    <n v="0"/>
    <n v="0"/>
    <x v="0"/>
    <x v="0"/>
    <m/>
    <x v="0"/>
    <x v="0"/>
    <x v="0"/>
    <x v="0"/>
    <x v="0"/>
    <n v="0"/>
    <n v="0"/>
    <n v="0"/>
    <n v="12"/>
    <x v="1"/>
    <x v="0"/>
    <m/>
    <x v="0"/>
    <n v="46.2"/>
    <x v="0"/>
    <x v="12"/>
    <x v="2"/>
    <x v="0"/>
    <x v="0"/>
  </r>
  <r>
    <x v="1"/>
    <x v="14"/>
    <s v="5259 J"/>
    <x v="145"/>
    <s v="Shoaib Auto RWP"/>
    <s v="LDM"/>
    <n v="23"/>
    <s v="15.5-16"/>
    <s v="LDM"/>
    <n v="100"/>
    <x v="0"/>
    <n v="2"/>
    <n v="109.66"/>
    <n v="6"/>
    <m/>
    <x v="0"/>
    <n v="103.66"/>
    <n v="103.66"/>
    <m/>
    <x v="0"/>
    <x v="0"/>
    <n v="0"/>
    <n v="0"/>
    <x v="0"/>
    <x v="0"/>
    <m/>
    <x v="0"/>
    <x v="0"/>
    <x v="0"/>
    <x v="0"/>
    <x v="0"/>
    <n v="0"/>
    <n v="0"/>
    <n v="0"/>
    <n v="12"/>
    <x v="1"/>
    <x v="0"/>
    <m/>
    <x v="0"/>
    <n v="114.66"/>
    <x v="0"/>
    <x v="12"/>
    <x v="2"/>
    <x v="0"/>
    <x v="0"/>
  </r>
  <r>
    <x v="1"/>
    <x v="14"/>
    <s v="5290 J"/>
    <x v="145"/>
    <s v="Hashim Febrics Gulberg Lahore"/>
    <s v="LDM"/>
    <s v="13+3.5+3.5"/>
    <s v="8-8.5/16-17"/>
    <s v="LDM"/>
    <n v="110"/>
    <x v="0"/>
    <n v="3"/>
    <n v="119.74000000000001"/>
    <n v="5.4"/>
    <m/>
    <x v="0"/>
    <n v="114.34"/>
    <n v="114.34"/>
    <m/>
    <x v="0"/>
    <x v="0"/>
    <n v="0"/>
    <n v="0"/>
    <x v="0"/>
    <x v="0"/>
    <m/>
    <x v="0"/>
    <x v="0"/>
    <x v="0"/>
    <x v="0"/>
    <x v="0"/>
    <n v="0"/>
    <n v="0"/>
    <n v="0"/>
    <n v="12"/>
    <x v="1"/>
    <x v="0"/>
    <m/>
    <x v="0"/>
    <n v="124.74000000000001"/>
    <x v="0"/>
    <x v="12"/>
    <x v="2"/>
    <x v="0"/>
    <x v="0"/>
  </r>
  <r>
    <x v="1"/>
    <x v="14"/>
    <s v="5232 J"/>
    <x v="145"/>
    <s v="A One Jean Lahore"/>
    <s v="LDM"/>
    <n v="16"/>
    <s v="14-14.5"/>
    <s v="LDM"/>
    <n v="200"/>
    <x v="0"/>
    <n v="3"/>
    <n v="196.7"/>
    <n v="6"/>
    <m/>
    <x v="0"/>
    <n v="190.7"/>
    <n v="190.7"/>
    <m/>
    <x v="0"/>
    <x v="0"/>
    <n v="0"/>
    <n v="0"/>
    <x v="0"/>
    <x v="0"/>
    <m/>
    <x v="0"/>
    <x v="0"/>
    <x v="0"/>
    <x v="0"/>
    <x v="0"/>
    <n v="0"/>
    <n v="0"/>
    <n v="0"/>
    <n v="12"/>
    <x v="1"/>
    <x v="0"/>
    <m/>
    <x v="0"/>
    <n v="201.7"/>
    <x v="0"/>
    <x v="12"/>
    <x v="2"/>
    <x v="0"/>
    <x v="0"/>
  </r>
  <r>
    <x v="0"/>
    <x v="15"/>
    <s v="2264 F"/>
    <x v="145"/>
    <s v="Usman Amin"/>
    <s v="LDN"/>
    <n v="21"/>
    <s v="7-7.5"/>
    <s v="LDN"/>
    <n v="600"/>
    <x v="0"/>
    <n v="8"/>
    <n v="410.8"/>
    <n v="17.600000000000001"/>
    <n v="20.2"/>
    <x v="0"/>
    <n v="393.2"/>
    <n v="1261.4000000000001"/>
    <n v="20"/>
    <x v="0"/>
    <x v="0"/>
    <n v="20"/>
    <n v="0.33333333333333331"/>
    <x v="0"/>
    <x v="0"/>
    <m/>
    <x v="0"/>
    <x v="0"/>
    <x v="0"/>
    <x v="0"/>
    <x v="0"/>
    <n v="0"/>
    <n v="0"/>
    <n v="0.33333333333333331"/>
    <n v="11.666666666666666"/>
    <x v="1"/>
    <x v="0"/>
    <m/>
    <x v="0"/>
    <n v="415.8"/>
    <x v="0"/>
    <x v="12"/>
    <x v="2"/>
    <x v="0"/>
    <x v="0"/>
  </r>
  <r>
    <x v="0"/>
    <x v="15"/>
    <s v="2257 F"/>
    <x v="145"/>
    <s v="Usman Amin"/>
    <s v="LDN"/>
    <n v="21"/>
    <s v="7-7.5"/>
    <s v="LDN"/>
    <n v="60"/>
    <x v="0"/>
    <n v="1"/>
    <n v="61.2"/>
    <n v="2.2000000000000002"/>
    <m/>
    <x v="0"/>
    <n v="59"/>
    <n v="310.90999999999997"/>
    <m/>
    <x v="0"/>
    <x v="0"/>
    <n v="0"/>
    <n v="0"/>
    <x v="0"/>
    <x v="0"/>
    <m/>
    <x v="0"/>
    <x v="0"/>
    <x v="0"/>
    <x v="0"/>
    <x v="0"/>
    <n v="0"/>
    <n v="0"/>
    <n v="0"/>
    <n v="12"/>
    <x v="1"/>
    <x v="0"/>
    <m/>
    <x v="0"/>
    <n v="66.2"/>
    <x v="0"/>
    <x v="12"/>
    <x v="2"/>
    <x v="0"/>
    <x v="0"/>
  </r>
  <r>
    <x v="1"/>
    <x v="15"/>
    <s v="2257 F"/>
    <x v="145"/>
    <s v="Usman Amin"/>
    <s v="LDN"/>
    <n v="21"/>
    <s v="7-7.5"/>
    <s v="LDN"/>
    <n v="60"/>
    <x v="0"/>
    <n v="1"/>
    <n v="55.96"/>
    <n v="2.2000000000000002"/>
    <n v="24"/>
    <x v="0"/>
    <n v="53.76"/>
    <n v="310.90999999999997"/>
    <m/>
    <x v="0"/>
    <x v="0"/>
    <n v="0"/>
    <n v="0"/>
    <x v="0"/>
    <x v="0"/>
    <m/>
    <x v="0"/>
    <x v="0"/>
    <x v="0"/>
    <x v="0"/>
    <x v="0"/>
    <n v="0"/>
    <n v="0"/>
    <n v="0"/>
    <n v="12"/>
    <x v="1"/>
    <x v="0"/>
    <m/>
    <x v="0"/>
    <n v="60.96"/>
    <x v="0"/>
    <x v="12"/>
    <x v="2"/>
    <x v="0"/>
    <x v="0"/>
  </r>
  <r>
    <x v="1"/>
    <x v="15"/>
    <s v="5221 J"/>
    <x v="145"/>
    <s v="Usman Arif Butt Gujranwala"/>
    <s v="LDN"/>
    <n v="20"/>
    <s v="7"/>
    <s v="LDN"/>
    <n v="100"/>
    <x v="0"/>
    <n v="2"/>
    <n v="81.56"/>
    <n v="5"/>
    <m/>
    <x v="0"/>
    <n v="76.56"/>
    <n v="76.56"/>
    <m/>
    <x v="0"/>
    <x v="0"/>
    <n v="0"/>
    <n v="0"/>
    <x v="0"/>
    <x v="0"/>
    <m/>
    <x v="0"/>
    <x v="0"/>
    <x v="0"/>
    <x v="0"/>
    <x v="0"/>
    <n v="0"/>
    <n v="0"/>
    <n v="0"/>
    <n v="12"/>
    <x v="1"/>
    <x v="0"/>
    <m/>
    <x v="0"/>
    <n v="86.56"/>
    <x v="0"/>
    <x v="12"/>
    <x v="2"/>
    <x v="0"/>
    <x v="0"/>
  </r>
  <r>
    <x v="1"/>
    <x v="15"/>
    <s v="5222 J"/>
    <x v="145"/>
    <s v="Usman Arif Butt Gujranwala"/>
    <s v="LDN"/>
    <n v="24"/>
    <s v="7"/>
    <s v="LDN"/>
    <n v="100"/>
    <x v="0"/>
    <n v="2"/>
    <n v="114.05000000000001"/>
    <n v="5.8"/>
    <m/>
    <x v="0"/>
    <n v="108.25000000000001"/>
    <n v="108.25000000000001"/>
    <m/>
    <x v="0"/>
    <x v="0"/>
    <n v="0"/>
    <n v="0"/>
    <x v="0"/>
    <x v="0"/>
    <m/>
    <x v="0"/>
    <x v="0"/>
    <x v="0"/>
    <x v="0"/>
    <x v="0"/>
    <n v="0"/>
    <n v="0"/>
    <n v="0"/>
    <n v="12"/>
    <x v="1"/>
    <x v="0"/>
    <m/>
    <x v="0"/>
    <n v="119.05000000000001"/>
    <x v="0"/>
    <x v="12"/>
    <x v="2"/>
    <x v="0"/>
    <x v="0"/>
  </r>
  <r>
    <x v="1"/>
    <x v="15"/>
    <s v="5223 J"/>
    <x v="145"/>
    <s v="Usman Arif Butt Gujranwala"/>
    <s v="LDN"/>
    <n v="28"/>
    <s v="14"/>
    <s v="LDN"/>
    <n v="100"/>
    <x v="0"/>
    <n v="2"/>
    <n v="57.72"/>
    <n v="6.4"/>
    <m/>
    <x v="0"/>
    <n v="51.32"/>
    <n v="51.32"/>
    <m/>
    <x v="0"/>
    <x v="0"/>
    <n v="0"/>
    <n v="0"/>
    <x v="0"/>
    <x v="0"/>
    <m/>
    <x v="0"/>
    <x v="0"/>
    <x v="0"/>
    <x v="0"/>
    <x v="0"/>
    <n v="0"/>
    <n v="0"/>
    <n v="0"/>
    <n v="12"/>
    <x v="1"/>
    <x v="0"/>
    <m/>
    <x v="0"/>
    <n v="62.72"/>
    <x v="0"/>
    <x v="12"/>
    <x v="2"/>
    <x v="0"/>
    <x v="0"/>
  </r>
  <r>
    <x v="1"/>
    <x v="15"/>
    <s v="5220 J"/>
    <x v="145"/>
    <s v="Usman Arif Butt Gujranwala"/>
    <s v="LDN"/>
    <n v="16"/>
    <s v="7"/>
    <s v="LDN"/>
    <n v="100"/>
    <x v="0"/>
    <n v="1"/>
    <n v="44.9"/>
    <n v="2.2000000000000002"/>
    <m/>
    <x v="0"/>
    <n v="42.699999999999996"/>
    <n v="93.25"/>
    <m/>
    <x v="0"/>
    <x v="0"/>
    <n v="0"/>
    <n v="0"/>
    <x v="0"/>
    <x v="0"/>
    <m/>
    <x v="0"/>
    <x v="0"/>
    <x v="0"/>
    <x v="0"/>
    <x v="0"/>
    <n v="0"/>
    <n v="0"/>
    <n v="0"/>
    <n v="12"/>
    <x v="1"/>
    <x v="0"/>
    <m/>
    <x v="0"/>
    <n v="49.9"/>
    <x v="0"/>
    <x v="12"/>
    <x v="2"/>
    <x v="0"/>
    <x v="0"/>
  </r>
  <r>
    <x v="0"/>
    <x v="9"/>
    <s v="5267 J"/>
    <x v="146"/>
    <s v="Bolan Pastry Shop Quita"/>
    <s v="LDN"/>
    <n v="11"/>
    <s v="6-6.5"/>
    <s v="LDN"/>
    <n v="200"/>
    <x v="0"/>
    <n v="3"/>
    <n v="126.30000000000001"/>
    <n v="3.9000000000000004"/>
    <n v="2"/>
    <x v="0"/>
    <n v="122.4"/>
    <n v="212.6"/>
    <m/>
    <x v="0"/>
    <x v="0"/>
    <n v="0"/>
    <n v="0"/>
    <x v="0"/>
    <x v="0"/>
    <m/>
    <x v="0"/>
    <x v="0"/>
    <x v="0"/>
    <x v="0"/>
    <x v="0"/>
    <n v="0"/>
    <n v="0"/>
    <n v="0"/>
    <n v="12"/>
    <x v="1"/>
    <x v="0"/>
    <m/>
    <x v="0"/>
    <n v="100"/>
    <x v="0"/>
    <x v="12"/>
    <x v="2"/>
    <x v="0"/>
    <x v="0"/>
  </r>
  <r>
    <x v="0"/>
    <x v="9"/>
    <s v="5268 J"/>
    <x v="146"/>
    <s v="Bolan Pastry Shop Quita"/>
    <s v="LDN"/>
    <n v="10.5"/>
    <s v="6-6.5"/>
    <s v="LDN"/>
    <n v="500"/>
    <x v="0"/>
    <n v="2"/>
    <n v="57.900000000000006"/>
    <n v="2.4"/>
    <m/>
    <x v="0"/>
    <n v="55.500000000000007"/>
    <n v="502.70000000000005"/>
    <m/>
    <x v="0"/>
    <x v="0"/>
    <n v="0"/>
    <n v="0"/>
    <x v="0"/>
    <x v="0"/>
    <m/>
    <x v="0"/>
    <x v="0"/>
    <x v="0"/>
    <x v="0"/>
    <x v="0"/>
    <n v="0"/>
    <n v="0"/>
    <n v="0"/>
    <n v="12"/>
    <x v="1"/>
    <x v="0"/>
    <m/>
    <x v="0"/>
    <n v="50"/>
    <x v="0"/>
    <x v="12"/>
    <x v="2"/>
    <x v="0"/>
    <x v="0"/>
  </r>
  <r>
    <x v="1"/>
    <x v="9"/>
    <s v="5268 J"/>
    <x v="146"/>
    <s v="Bolan Pastry Shop Quita"/>
    <s v="LDN"/>
    <n v="10.5"/>
    <s v="6-6.5"/>
    <s v="LDN"/>
    <n v="500"/>
    <x v="0"/>
    <n v="6"/>
    <n v="189.3"/>
    <n v="6.6000000000000005"/>
    <m/>
    <x v="0"/>
    <n v="182.70000000000002"/>
    <n v="502.70000000000005"/>
    <m/>
    <x v="0"/>
    <x v="0"/>
    <n v="0"/>
    <n v="0"/>
    <x v="0"/>
    <x v="0"/>
    <m/>
    <x v="0"/>
    <x v="0"/>
    <x v="0"/>
    <x v="0"/>
    <x v="0"/>
    <n v="0"/>
    <n v="0"/>
    <n v="0"/>
    <n v="12"/>
    <x v="1"/>
    <x v="0"/>
    <m/>
    <x v="0"/>
    <n v="194.3"/>
    <x v="0"/>
    <x v="12"/>
    <x v="2"/>
    <x v="0"/>
    <x v="0"/>
  </r>
  <r>
    <x v="1"/>
    <x v="10"/>
    <s v="2818/3"/>
    <x v="146"/>
    <s v="HAMESH GULL PESHAWER (PT-01)"/>
    <s v="LD RED"/>
    <n v="10"/>
    <n v="80"/>
    <s v="LD RED"/>
    <n v="600"/>
    <x v="0"/>
    <n v="17"/>
    <n v="443.49999999999994"/>
    <m/>
    <n v="10"/>
    <x v="0"/>
    <n v="443.49999999999994"/>
    <n v="521.4"/>
    <m/>
    <x v="6"/>
    <x v="0"/>
    <n v="120"/>
    <n v="2"/>
    <x v="0"/>
    <x v="0"/>
    <m/>
    <x v="0"/>
    <x v="0"/>
    <x v="0"/>
    <x v="0"/>
    <x v="0"/>
    <n v="0"/>
    <n v="0"/>
    <n v="2"/>
    <n v="10"/>
    <x v="1"/>
    <x v="0"/>
    <m/>
    <x v="0"/>
    <n v="448.49999999999994"/>
    <x v="0"/>
    <x v="12"/>
    <x v="2"/>
    <x v="0"/>
    <x v="0"/>
  </r>
  <r>
    <x v="1"/>
    <x v="11"/>
    <s v="2399 F"/>
    <x v="146"/>
    <s v="Usman Amin"/>
    <s v="LDM"/>
    <n v="14"/>
    <s v="18"/>
    <s v="LDM"/>
    <n v="400"/>
    <x v="0"/>
    <n v="3"/>
    <n v="174.45"/>
    <n v="5.0999999999999996"/>
    <n v="50"/>
    <x v="0"/>
    <n v="169.35"/>
    <n v="806.74999999999989"/>
    <n v="30"/>
    <x v="3"/>
    <x v="0"/>
    <n v="240"/>
    <n v="4"/>
    <x v="0"/>
    <x v="0"/>
    <m/>
    <x v="0"/>
    <x v="0"/>
    <x v="0"/>
    <x v="0"/>
    <x v="0"/>
    <n v="0"/>
    <n v="0"/>
    <n v="4"/>
    <n v="8"/>
    <x v="1"/>
    <x v="0"/>
    <m/>
    <x v="0"/>
    <n v="179.45"/>
    <x v="0"/>
    <x v="12"/>
    <x v="2"/>
    <x v="0"/>
    <x v="0"/>
  </r>
  <r>
    <x v="0"/>
    <x v="13"/>
    <s v="2819/1"/>
    <x v="146"/>
    <s v="MATCO FOOD"/>
    <s v="LDN"/>
    <s v="29 TO 29.5"/>
    <s v="85 Grm+-2"/>
    <s v="LDN"/>
    <n v="2975"/>
    <x v="0"/>
    <n v="4"/>
    <n v="491.7"/>
    <n v="13.6"/>
    <n v="13"/>
    <x v="0"/>
    <n v="478.09999999999997"/>
    <n v="3199.08"/>
    <m/>
    <x v="0"/>
    <x v="0"/>
    <n v="0"/>
    <n v="0"/>
    <x v="0"/>
    <x v="0"/>
    <m/>
    <x v="0"/>
    <x v="0"/>
    <x v="0"/>
    <x v="0"/>
    <x v="0"/>
    <n v="0"/>
    <n v="0"/>
    <n v="0"/>
    <n v="12"/>
    <x v="1"/>
    <x v="0"/>
    <m/>
    <x v="0"/>
    <n v="496.7"/>
    <x v="0"/>
    <x v="12"/>
    <x v="2"/>
    <x v="0"/>
    <x v="0"/>
  </r>
  <r>
    <x v="0"/>
    <x v="13"/>
    <s v="2398 F"/>
    <x v="146"/>
    <s v="Usman Amin"/>
    <s v="LDN"/>
    <n v="16.75"/>
    <s v="16"/>
    <s v="LDN"/>
    <n v="25"/>
    <x v="0"/>
    <n v="1"/>
    <n v="36.299999999999997"/>
    <n v="1.9"/>
    <m/>
    <x v="0"/>
    <n v="34.4"/>
    <n v="34.4"/>
    <m/>
    <x v="0"/>
    <x v="0"/>
    <n v="0"/>
    <n v="0"/>
    <x v="0"/>
    <x v="0"/>
    <m/>
    <x v="0"/>
    <x v="0"/>
    <x v="0"/>
    <x v="0"/>
    <x v="0"/>
    <n v="0"/>
    <n v="0"/>
    <n v="0"/>
    <n v="12"/>
    <x v="1"/>
    <x v="0"/>
    <m/>
    <x v="0"/>
    <n v="41.3"/>
    <x v="0"/>
    <x v="12"/>
    <x v="2"/>
    <x v="0"/>
    <x v="0"/>
  </r>
  <r>
    <x v="1"/>
    <x v="13"/>
    <s v="2406 F"/>
    <x v="146"/>
    <s v="Usman Amin"/>
    <s v="LDN"/>
    <n v="16.5"/>
    <s v="7"/>
    <s v="LDN"/>
    <n v="195"/>
    <x v="0"/>
    <n v="4"/>
    <n v="199.15"/>
    <n v="8"/>
    <m/>
    <x v="0"/>
    <n v="191.15"/>
    <n v="191.15"/>
    <n v="5"/>
    <x v="0"/>
    <x v="0"/>
    <n v="5"/>
    <n v="8.3333333333333329E-2"/>
    <x v="0"/>
    <x v="0"/>
    <m/>
    <x v="0"/>
    <x v="0"/>
    <x v="0"/>
    <x v="0"/>
    <x v="0"/>
    <n v="0"/>
    <n v="0"/>
    <n v="8.3333333333333329E-2"/>
    <n v="11.916666666666666"/>
    <x v="1"/>
    <x v="0"/>
    <m/>
    <x v="0"/>
    <n v="204.15"/>
    <x v="0"/>
    <x v="12"/>
    <x v="2"/>
    <x v="0"/>
    <x v="0"/>
  </r>
  <r>
    <x v="1"/>
    <x v="13"/>
    <s v="2407 F"/>
    <x v="146"/>
    <s v="Usman Amin"/>
    <s v="LDN"/>
    <n v="18"/>
    <s v="7"/>
    <s v="LDN"/>
    <n v="580"/>
    <x v="0"/>
    <n v="2"/>
    <n v="124.05000000000001"/>
    <n v="4.5999999999999996"/>
    <m/>
    <x v="0"/>
    <n v="119.45000000000002"/>
    <n v="583.15000000000009"/>
    <n v="5"/>
    <x v="0"/>
    <x v="0"/>
    <n v="5"/>
    <n v="8.3333333333333329E-2"/>
    <x v="0"/>
    <x v="0"/>
    <m/>
    <x v="0"/>
    <x v="0"/>
    <x v="0"/>
    <x v="0"/>
    <x v="0"/>
    <n v="0"/>
    <n v="0"/>
    <n v="8.3333333333333329E-2"/>
    <n v="11.916666666666666"/>
    <x v="1"/>
    <x v="0"/>
    <m/>
    <x v="0"/>
    <n v="129.05000000000001"/>
    <x v="0"/>
    <x v="12"/>
    <x v="2"/>
    <x v="0"/>
    <x v="0"/>
  </r>
  <r>
    <x v="0"/>
    <x v="14"/>
    <s v="5281 J"/>
    <x v="146"/>
    <s v="K.D Auto Parts Lahore"/>
    <s v="LDM"/>
    <n v="26"/>
    <s v="6-6.5"/>
    <s v="LDM"/>
    <n v="100"/>
    <x v="0"/>
    <n v="4"/>
    <n v="378.38"/>
    <n v="14.4"/>
    <n v="12"/>
    <x v="0"/>
    <n v="363.98"/>
    <n v="466.12"/>
    <n v="10"/>
    <x v="0"/>
    <x v="0"/>
    <n v="10"/>
    <n v="0.16666666666666666"/>
    <x v="0"/>
    <x v="0"/>
    <m/>
    <x v="1"/>
    <x v="0"/>
    <x v="0"/>
    <x v="0"/>
    <x v="0"/>
    <n v="10"/>
    <n v="0.16666666666666666"/>
    <n v="0.33333333333333331"/>
    <n v="11.666666666666666"/>
    <x v="1"/>
    <x v="0"/>
    <m/>
    <x v="0"/>
    <n v="383.38"/>
    <x v="0"/>
    <x v="12"/>
    <x v="2"/>
    <x v="0"/>
    <x v="0"/>
  </r>
  <r>
    <x v="0"/>
    <x v="14"/>
    <s v="266 R"/>
    <x v="146"/>
    <s v="ریفلیکٹ پیک"/>
    <s v="LDN"/>
    <n v="35"/>
    <s v="5-5.5"/>
    <s v="LDN"/>
    <n v="10000"/>
    <x v="0"/>
    <n v="7"/>
    <n v="362.36"/>
    <n v="28.699999999999996"/>
    <n v="40"/>
    <x v="0"/>
    <n v="333.66"/>
    <n v="9829.2000000000007"/>
    <m/>
    <x v="0"/>
    <x v="0"/>
    <n v="0"/>
    <n v="0"/>
    <x v="0"/>
    <x v="0"/>
    <m/>
    <x v="0"/>
    <x v="0"/>
    <x v="0"/>
    <x v="0"/>
    <x v="0"/>
    <n v="0"/>
    <n v="0"/>
    <n v="0"/>
    <n v="12"/>
    <x v="1"/>
    <x v="0"/>
    <m/>
    <x v="0"/>
    <n v="367.36"/>
    <x v="0"/>
    <x v="12"/>
    <x v="2"/>
    <x v="0"/>
    <x v="0"/>
  </r>
  <r>
    <x v="1"/>
    <x v="14"/>
    <s v="266 R"/>
    <x v="146"/>
    <s v="ریفلیکٹ پیک"/>
    <s v="LDN"/>
    <n v="35"/>
    <s v="5-5.5"/>
    <s v="LDN"/>
    <n v="10000"/>
    <x v="0"/>
    <n v="6"/>
    <n v="449.22"/>
    <n v="25.200000000000003"/>
    <m/>
    <x v="0"/>
    <n v="424.02000000000004"/>
    <n v="9829.2000000000007"/>
    <m/>
    <x v="0"/>
    <x v="0"/>
    <n v="0"/>
    <n v="0"/>
    <x v="0"/>
    <x v="0"/>
    <m/>
    <x v="0"/>
    <x v="0"/>
    <x v="0"/>
    <x v="0"/>
    <x v="0"/>
    <n v="0"/>
    <n v="0"/>
    <n v="0"/>
    <n v="12"/>
    <x v="1"/>
    <x v="0"/>
    <m/>
    <x v="0"/>
    <n v="454.22"/>
    <x v="0"/>
    <x v="12"/>
    <x v="2"/>
    <x v="0"/>
    <x v="0"/>
  </r>
  <r>
    <x v="1"/>
    <x v="14"/>
    <s v="266 R"/>
    <x v="146"/>
    <s v="ریفلیکٹ پیک"/>
    <s v="LDN"/>
    <n v="35"/>
    <s v="5-5.5"/>
    <s v="LDN"/>
    <n v="10000"/>
    <x v="0"/>
    <n v="6"/>
    <n v="460.99999999999994"/>
    <n v="25.200000000000003"/>
    <m/>
    <x v="0"/>
    <n v="435.79999999999995"/>
    <n v="9829.2000000000007"/>
    <m/>
    <x v="0"/>
    <x v="0"/>
    <n v="0"/>
    <n v="0"/>
    <x v="0"/>
    <x v="0"/>
    <m/>
    <x v="0"/>
    <x v="0"/>
    <x v="0"/>
    <x v="0"/>
    <x v="0"/>
    <n v="0"/>
    <n v="0"/>
    <n v="0"/>
    <n v="12"/>
    <x v="1"/>
    <x v="0"/>
    <m/>
    <x v="0"/>
    <n v="465.99999999999994"/>
    <x v="0"/>
    <x v="12"/>
    <x v="2"/>
    <x v="0"/>
    <x v="0"/>
  </r>
  <r>
    <x v="0"/>
    <x v="15"/>
    <s v="5240 J"/>
    <x v="146"/>
    <s v="Super Diamond Food Kamoki"/>
    <s v="LDN"/>
    <n v="22"/>
    <s v="7.5-8"/>
    <s v="LDN"/>
    <n v="400"/>
    <x v="0"/>
    <n v="4"/>
    <n v="213.4"/>
    <n v="9.6"/>
    <n v="5"/>
    <x v="0"/>
    <n v="203.8"/>
    <n v="400.25"/>
    <n v="4"/>
    <x v="0"/>
    <x v="0"/>
    <n v="4"/>
    <n v="6.6666666666666666E-2"/>
    <x v="0"/>
    <x v="0"/>
    <m/>
    <x v="0"/>
    <x v="0"/>
    <x v="0"/>
    <x v="0"/>
    <x v="0"/>
    <n v="0"/>
    <n v="0"/>
    <n v="6.6666666666666666E-2"/>
    <n v="11.933333333333334"/>
    <x v="1"/>
    <x v="0"/>
    <m/>
    <x v="0"/>
    <n v="218.4"/>
    <x v="0"/>
    <x v="12"/>
    <x v="2"/>
    <x v="0"/>
    <x v="0"/>
  </r>
  <r>
    <x v="0"/>
    <x v="15"/>
    <s v="2819/1"/>
    <x v="146"/>
    <s v="MATCO FOOD"/>
    <s v="LDN"/>
    <s v="29 TO 29.5"/>
    <s v="85 Grm+-2"/>
    <s v="LDN"/>
    <n v="2975"/>
    <x v="0"/>
    <n v="1"/>
    <n v="49.4"/>
    <n v="2.9"/>
    <m/>
    <x v="0"/>
    <n v="46.5"/>
    <n v="3199.08"/>
    <n v="4"/>
    <x v="0"/>
    <x v="0"/>
    <n v="4"/>
    <n v="6.6666666666666666E-2"/>
    <x v="0"/>
    <x v="0"/>
    <m/>
    <x v="0"/>
    <x v="0"/>
    <x v="0"/>
    <x v="0"/>
    <x v="0"/>
    <n v="0"/>
    <n v="0"/>
    <n v="6.6666666666666666E-2"/>
    <n v="11.933333333333334"/>
    <x v="1"/>
    <x v="0"/>
    <m/>
    <x v="0"/>
    <n v="54.4"/>
    <x v="0"/>
    <x v="12"/>
    <x v="2"/>
    <x v="0"/>
    <x v="0"/>
  </r>
  <r>
    <x v="0"/>
    <x v="15"/>
    <s v="2393 F"/>
    <x v="146"/>
    <s v="Usman Amin"/>
    <s v="LDN"/>
    <n v="20"/>
    <s v="7-7.5"/>
    <s v="LDN"/>
    <n v="65"/>
    <x v="0"/>
    <n v="1"/>
    <n v="73.8"/>
    <n v="2.4"/>
    <m/>
    <x v="0"/>
    <n v="71.399999999999991"/>
    <n v="71.399999999999991"/>
    <m/>
    <x v="0"/>
    <x v="0"/>
    <n v="0"/>
    <n v="0"/>
    <x v="0"/>
    <x v="0"/>
    <m/>
    <x v="0"/>
    <x v="0"/>
    <x v="0"/>
    <x v="0"/>
    <x v="0"/>
    <n v="0"/>
    <n v="0"/>
    <n v="0"/>
    <n v="12"/>
    <x v="1"/>
    <x v="0"/>
    <m/>
    <x v="0"/>
    <n v="78.8"/>
    <x v="0"/>
    <x v="12"/>
    <x v="2"/>
    <x v="0"/>
    <x v="0"/>
  </r>
  <r>
    <x v="0"/>
    <x v="15"/>
    <s v="5213 J"/>
    <x v="146"/>
    <s v="Ramada Multan"/>
    <s v="LDN"/>
    <n v="20"/>
    <s v="6-6.5"/>
    <s v="LDN"/>
    <n v="100"/>
    <x v="0"/>
    <n v="1"/>
    <n v="57.8"/>
    <n v="2.4"/>
    <m/>
    <x v="0"/>
    <n v="55.4"/>
    <n v="55.4"/>
    <m/>
    <x v="0"/>
    <x v="0"/>
    <n v="0"/>
    <n v="0"/>
    <x v="0"/>
    <x v="0"/>
    <m/>
    <x v="0"/>
    <x v="0"/>
    <x v="0"/>
    <x v="0"/>
    <x v="0"/>
    <n v="0"/>
    <n v="0"/>
    <n v="0"/>
    <n v="12"/>
    <x v="1"/>
    <x v="0"/>
    <m/>
    <x v="0"/>
    <n v="62.8"/>
    <x v="0"/>
    <x v="12"/>
    <x v="2"/>
    <x v="0"/>
    <x v="0"/>
  </r>
  <r>
    <x v="1"/>
    <x v="15"/>
    <s v="5143 J"/>
    <x v="146"/>
    <s v="M.K.B PESAHAR"/>
    <s v="LDN"/>
    <n v="20"/>
    <s v="6-6.5"/>
    <s v="LDN"/>
    <n v="200"/>
    <x v="0"/>
    <n v="1"/>
    <n v="51.07"/>
    <n v="2.4"/>
    <m/>
    <x v="0"/>
    <n v="48.67"/>
    <n v="239.16999999999996"/>
    <m/>
    <x v="0"/>
    <x v="0"/>
    <n v="0"/>
    <n v="0"/>
    <x v="0"/>
    <x v="0"/>
    <m/>
    <x v="0"/>
    <x v="0"/>
    <x v="0"/>
    <x v="0"/>
    <x v="0"/>
    <n v="0"/>
    <n v="0"/>
    <n v="0"/>
    <n v="12"/>
    <x v="1"/>
    <x v="0"/>
    <m/>
    <x v="0"/>
    <n v="56.07"/>
    <x v="0"/>
    <x v="12"/>
    <x v="2"/>
    <x v="0"/>
    <x v="0"/>
  </r>
  <r>
    <x v="1"/>
    <x v="15"/>
    <s v="5143 J"/>
    <x v="146"/>
    <s v="M.K.B PESAHAR"/>
    <s v="LDN"/>
    <n v="20"/>
    <s v="6-6.5"/>
    <s v="LDN"/>
    <n v="200"/>
    <x v="0"/>
    <n v="2"/>
    <n v="101.82"/>
    <n v="4.8"/>
    <m/>
    <x v="0"/>
    <n v="97.02"/>
    <n v="239.16999999999996"/>
    <m/>
    <x v="0"/>
    <x v="0"/>
    <n v="0"/>
    <n v="0"/>
    <x v="0"/>
    <x v="0"/>
    <m/>
    <x v="0"/>
    <x v="0"/>
    <x v="0"/>
    <x v="0"/>
    <x v="0"/>
    <n v="0"/>
    <n v="0"/>
    <n v="0"/>
    <n v="12"/>
    <x v="1"/>
    <x v="0"/>
    <m/>
    <x v="0"/>
    <n v="106.82"/>
    <x v="0"/>
    <x v="12"/>
    <x v="2"/>
    <x v="0"/>
    <x v="0"/>
  </r>
  <r>
    <x v="1"/>
    <x v="15"/>
    <s v="5234 J"/>
    <x v="146"/>
    <s v="Royal Broke Lahore"/>
    <s v="LDN"/>
    <n v="20"/>
    <s v="8-8.5"/>
    <s v="LDN"/>
    <n v="160"/>
    <x v="0"/>
    <n v="2"/>
    <n v="105.88"/>
    <n v="4.8"/>
    <m/>
    <x v="0"/>
    <n v="101.08"/>
    <n v="162.82"/>
    <m/>
    <x v="0"/>
    <x v="0"/>
    <n v="0"/>
    <n v="0"/>
    <x v="0"/>
    <x v="0"/>
    <m/>
    <x v="0"/>
    <x v="0"/>
    <x v="0"/>
    <x v="0"/>
    <x v="0"/>
    <n v="0"/>
    <n v="0"/>
    <n v="0"/>
    <n v="12"/>
    <x v="1"/>
    <x v="0"/>
    <m/>
    <x v="0"/>
    <n v="110.88"/>
    <x v="0"/>
    <x v="12"/>
    <x v="2"/>
    <x v="0"/>
    <x v="0"/>
  </r>
  <r>
    <x v="1"/>
    <x v="15"/>
    <s v="5346 J"/>
    <x v="146"/>
    <s v="Bannu Woollen Mills LTD"/>
    <s v="LDN"/>
    <n v="20"/>
    <s v="10-10.5"/>
    <s v="LDN"/>
    <n v="780"/>
    <x v="0"/>
    <n v="3"/>
    <n v="179.49"/>
    <n v="7.5"/>
    <m/>
    <x v="0"/>
    <n v="171.99"/>
    <n v="801.30000000000007"/>
    <m/>
    <x v="0"/>
    <x v="0"/>
    <n v="0"/>
    <n v="0"/>
    <x v="0"/>
    <x v="0"/>
    <m/>
    <x v="0"/>
    <x v="0"/>
    <x v="0"/>
    <x v="0"/>
    <x v="0"/>
    <n v="0"/>
    <n v="0"/>
    <n v="0"/>
    <n v="12"/>
    <x v="1"/>
    <x v="0"/>
    <m/>
    <x v="0"/>
    <n v="184.49"/>
    <x v="0"/>
    <x v="12"/>
    <x v="2"/>
    <x v="0"/>
    <x v="0"/>
  </r>
  <r>
    <x v="0"/>
    <x v="9"/>
    <s v="5268 j"/>
    <x v="147"/>
    <s v="Bolan Pastry Shop Quita"/>
    <s v="LDN"/>
    <n v="10.5"/>
    <s v="6-6.5"/>
    <s v="LDN"/>
    <n v="500"/>
    <x v="0"/>
    <n v="4"/>
    <n v="171.4"/>
    <n v="4.9000000000000004"/>
    <n v="2"/>
    <x v="0"/>
    <n v="166.5"/>
    <n v="502.70000000000005"/>
    <m/>
    <x v="0"/>
    <x v="0"/>
    <n v="0"/>
    <n v="0"/>
    <x v="0"/>
    <x v="0"/>
    <m/>
    <x v="0"/>
    <x v="0"/>
    <x v="0"/>
    <x v="0"/>
    <x v="0"/>
    <n v="0"/>
    <n v="0"/>
    <n v="0"/>
    <n v="12"/>
    <x v="1"/>
    <x v="0"/>
    <m/>
    <x v="0"/>
    <n v="176.4"/>
    <x v="0"/>
    <x v="12"/>
    <x v="2"/>
    <x v="0"/>
    <x v="0"/>
  </r>
  <r>
    <x v="1"/>
    <x v="9"/>
    <s v="5268 j"/>
    <x v="147"/>
    <s v="Bolan Pastry Shop Quita"/>
    <s v="LDN"/>
    <n v="10.5"/>
    <s v="6-6.5"/>
    <s v="LDN"/>
    <n v="500"/>
    <x v="0"/>
    <n v="3"/>
    <n v="101.3"/>
    <n v="3.3000000000000003"/>
    <m/>
    <x v="0"/>
    <n v="98"/>
    <n v="502.70000000000005"/>
    <m/>
    <x v="0"/>
    <x v="0"/>
    <n v="0"/>
    <n v="0"/>
    <x v="0"/>
    <x v="0"/>
    <m/>
    <x v="0"/>
    <x v="0"/>
    <x v="0"/>
    <x v="0"/>
    <x v="0"/>
    <n v="0"/>
    <n v="0"/>
    <n v="0"/>
    <n v="12"/>
    <x v="1"/>
    <x v="0"/>
    <m/>
    <x v="0"/>
    <n v="106.3"/>
    <x v="0"/>
    <x v="12"/>
    <x v="2"/>
    <x v="0"/>
    <x v="0"/>
  </r>
  <r>
    <x v="1"/>
    <x v="9"/>
    <s v="5309 j"/>
    <x v="147"/>
    <s v="G Mart Gujrat"/>
    <s v="LDN"/>
    <n v="5"/>
    <s v="10-10.5"/>
    <s v="LDN"/>
    <n v="100"/>
    <x v="0"/>
    <n v="2"/>
    <n v="57.900000000000006"/>
    <n v="1.4"/>
    <m/>
    <x v="0"/>
    <n v="56.500000000000007"/>
    <n v="112.20000000000002"/>
    <m/>
    <x v="0"/>
    <x v="0"/>
    <n v="0"/>
    <n v="0"/>
    <x v="0"/>
    <x v="0"/>
    <m/>
    <x v="0"/>
    <x v="0"/>
    <x v="0"/>
    <x v="0"/>
    <x v="0"/>
    <n v="0"/>
    <n v="0"/>
    <n v="0"/>
    <n v="12"/>
    <x v="1"/>
    <x v="0"/>
    <m/>
    <x v="0"/>
    <n v="62.900000000000006"/>
    <x v="0"/>
    <x v="12"/>
    <x v="2"/>
    <x v="0"/>
    <x v="0"/>
  </r>
  <r>
    <x v="0"/>
    <x v="10"/>
    <s v="2818/3"/>
    <x v="147"/>
    <s v="HAMESH GULL PESHAWER (PT-01)"/>
    <s v="LD RED"/>
    <n v="10"/>
    <n v="80"/>
    <s v="LD RED"/>
    <n v="600"/>
    <x v="0"/>
    <n v="3"/>
    <n v="77.900000000000006"/>
    <m/>
    <n v="8"/>
    <x v="0"/>
    <n v="77.900000000000006"/>
    <n v="521.4"/>
    <m/>
    <x v="0"/>
    <x v="0"/>
    <n v="0"/>
    <n v="0"/>
    <x v="0"/>
    <x v="0"/>
    <m/>
    <x v="0"/>
    <x v="0"/>
    <x v="0"/>
    <x v="0"/>
    <x v="0"/>
    <n v="0"/>
    <n v="0"/>
    <n v="0"/>
    <n v="12"/>
    <x v="1"/>
    <x v="0"/>
    <m/>
    <x v="0"/>
    <n v="82.9"/>
    <x v="0"/>
    <x v="12"/>
    <x v="2"/>
    <x v="0"/>
    <x v="0"/>
  </r>
  <r>
    <x v="0"/>
    <x v="10"/>
    <s v="2818/2"/>
    <x v="147"/>
    <s v="HAMESH GULL PESHAWER (PT-01)"/>
    <s v="LD RED"/>
    <n v="8"/>
    <n v="80"/>
    <s v="LD RED"/>
    <n v="600"/>
    <x v="0"/>
    <n v="14"/>
    <n v="412.10000000000008"/>
    <m/>
    <m/>
    <x v="0"/>
    <n v="412.10000000000008"/>
    <n v="793.30000000000018"/>
    <m/>
    <x v="0"/>
    <x v="0"/>
    <n v="0"/>
    <n v="0"/>
    <x v="0"/>
    <x v="0"/>
    <m/>
    <x v="0"/>
    <x v="0"/>
    <x v="0"/>
    <x v="0"/>
    <x v="0"/>
    <n v="0"/>
    <n v="0"/>
    <n v="0"/>
    <n v="12"/>
    <x v="1"/>
    <x v="0"/>
    <m/>
    <x v="0"/>
    <n v="417.10000000000008"/>
    <x v="0"/>
    <x v="12"/>
    <x v="2"/>
    <x v="0"/>
    <x v="0"/>
  </r>
  <r>
    <x v="1"/>
    <x v="10"/>
    <s v="2818/2"/>
    <x v="147"/>
    <s v="HAMESH GULL PESHAWER (PT-01)"/>
    <s v="LD RED"/>
    <n v="8"/>
    <n v="80"/>
    <s v="LD RED"/>
    <n v="600"/>
    <x v="0"/>
    <n v="5"/>
    <n v="122.5"/>
    <m/>
    <m/>
    <x v="0"/>
    <n v="122.5"/>
    <n v="793.30000000000018"/>
    <m/>
    <x v="0"/>
    <x v="0"/>
    <n v="0"/>
    <n v="0"/>
    <x v="0"/>
    <x v="0"/>
    <m/>
    <x v="0"/>
    <x v="0"/>
    <x v="0"/>
    <x v="0"/>
    <x v="0"/>
    <n v="0"/>
    <n v="0"/>
    <n v="0"/>
    <n v="12"/>
    <x v="1"/>
    <x v="0"/>
    <m/>
    <x v="0"/>
    <n v="127.5"/>
    <x v="0"/>
    <x v="12"/>
    <x v="2"/>
    <x v="0"/>
    <x v="0"/>
  </r>
  <r>
    <x v="1"/>
    <x v="10"/>
    <s v="2818/1"/>
    <x v="147"/>
    <s v="HAMESH GULL PESHAWER (PT-01)"/>
    <s v="LD RED"/>
    <n v="6"/>
    <n v="80"/>
    <s v="LD RED"/>
    <n v="600"/>
    <x v="0"/>
    <n v="7"/>
    <n v="222.79999999999998"/>
    <m/>
    <m/>
    <x v="0"/>
    <n v="222.79999999999998"/>
    <n v="660.09999999999991"/>
    <m/>
    <x v="0"/>
    <x v="0"/>
    <n v="0"/>
    <n v="0"/>
    <x v="0"/>
    <x v="0"/>
    <m/>
    <x v="0"/>
    <x v="0"/>
    <x v="0"/>
    <x v="0"/>
    <x v="0"/>
    <n v="0"/>
    <n v="0"/>
    <n v="0"/>
    <n v="12"/>
    <x v="1"/>
    <x v="0"/>
    <m/>
    <x v="0"/>
    <n v="227.79999999999998"/>
    <x v="0"/>
    <x v="12"/>
    <x v="2"/>
    <x v="0"/>
    <x v="0"/>
  </r>
  <r>
    <x v="0"/>
    <x v="11"/>
    <s v="2399 F"/>
    <x v="147"/>
    <s v="Usman Amin"/>
    <s v="LDM"/>
    <n v="14"/>
    <s v="18"/>
    <s v="LDM"/>
    <n v="400"/>
    <x v="0"/>
    <n v="4"/>
    <n v="338.29999999999995"/>
    <n v="6.8"/>
    <n v="4"/>
    <x v="0"/>
    <n v="331.49999999999994"/>
    <n v="806.74999999999989"/>
    <m/>
    <x v="0"/>
    <x v="0"/>
    <n v="0"/>
    <n v="0"/>
    <x v="0"/>
    <x v="0"/>
    <m/>
    <x v="0"/>
    <x v="0"/>
    <x v="0"/>
    <x v="0"/>
    <x v="0"/>
    <n v="0"/>
    <n v="0"/>
    <n v="0"/>
    <n v="12"/>
    <x v="1"/>
    <x v="0"/>
    <m/>
    <x v="0"/>
    <n v="343.29999999999995"/>
    <x v="0"/>
    <x v="12"/>
    <x v="2"/>
    <x v="0"/>
    <x v="0"/>
  </r>
  <r>
    <x v="1"/>
    <x v="11"/>
    <s v="2399 F"/>
    <x v="147"/>
    <s v="Usman Amin"/>
    <s v="LDM"/>
    <n v="14"/>
    <s v="18"/>
    <s v="LDM"/>
    <n v="400"/>
    <x v="0"/>
    <n v="4"/>
    <n v="312.7"/>
    <n v="6.8"/>
    <m/>
    <x v="0"/>
    <n v="305.89999999999998"/>
    <n v="806.74999999999989"/>
    <m/>
    <x v="0"/>
    <x v="0"/>
    <n v="0"/>
    <n v="0"/>
    <x v="0"/>
    <x v="0"/>
    <m/>
    <x v="0"/>
    <x v="0"/>
    <x v="0"/>
    <x v="0"/>
    <x v="0"/>
    <n v="0"/>
    <n v="0"/>
    <n v="0"/>
    <n v="12"/>
    <x v="1"/>
    <x v="0"/>
    <m/>
    <x v="0"/>
    <n v="317.7"/>
    <x v="0"/>
    <x v="12"/>
    <x v="2"/>
    <x v="0"/>
    <x v="0"/>
  </r>
  <r>
    <x v="0"/>
    <x v="13"/>
    <s v="2405 F"/>
    <x v="147"/>
    <s v="Usman Amin"/>
    <s v="LDN"/>
    <n v="18"/>
    <s v="7"/>
    <s v="LDN"/>
    <n v="95"/>
    <x v="0"/>
    <n v="2"/>
    <n v="99.300000000000011"/>
    <n v="3.8"/>
    <n v="3"/>
    <x v="0"/>
    <n v="95.500000000000014"/>
    <n v="95.500000000000014"/>
    <m/>
    <x v="0"/>
    <x v="0"/>
    <n v="0"/>
    <n v="0"/>
    <x v="0"/>
    <x v="0"/>
    <m/>
    <x v="0"/>
    <x v="0"/>
    <x v="0"/>
    <x v="0"/>
    <x v="0"/>
    <n v="0"/>
    <n v="0"/>
    <n v="0"/>
    <n v="12"/>
    <x v="1"/>
    <x v="0"/>
    <m/>
    <x v="0"/>
    <n v="104.30000000000001"/>
    <x v="0"/>
    <x v="12"/>
    <x v="2"/>
    <x v="0"/>
    <x v="0"/>
  </r>
  <r>
    <x v="0"/>
    <x v="13"/>
    <s v="2407 F"/>
    <x v="147"/>
    <s v="Usman Amin"/>
    <s v="LDN"/>
    <n v="18"/>
    <s v="7"/>
    <s v="LDN"/>
    <n v="580"/>
    <x v="0"/>
    <n v="4"/>
    <n v="244.7"/>
    <n v="8.8000000000000007"/>
    <m/>
    <x v="0"/>
    <n v="235.89999999999998"/>
    <n v="583.15000000000009"/>
    <m/>
    <x v="0"/>
    <x v="0"/>
    <n v="0"/>
    <n v="0"/>
    <x v="0"/>
    <x v="0"/>
    <m/>
    <x v="0"/>
    <x v="0"/>
    <x v="0"/>
    <x v="0"/>
    <x v="0"/>
    <n v="0"/>
    <n v="0"/>
    <n v="0"/>
    <n v="12"/>
    <x v="1"/>
    <x v="0"/>
    <m/>
    <x v="0"/>
    <n v="249.7"/>
    <x v="0"/>
    <x v="12"/>
    <x v="2"/>
    <x v="0"/>
    <x v="0"/>
  </r>
  <r>
    <x v="1"/>
    <x v="13"/>
    <s v="2407 F"/>
    <x v="147"/>
    <s v="Usman Amin"/>
    <s v="LDN"/>
    <n v="18"/>
    <s v="7"/>
    <s v="LDN"/>
    <n v="580"/>
    <x v="0"/>
    <n v="4"/>
    <n v="237.00000000000003"/>
    <n v="9.1999999999999993"/>
    <m/>
    <x v="0"/>
    <n v="227.80000000000004"/>
    <n v="583.15000000000009"/>
    <m/>
    <x v="0"/>
    <x v="0"/>
    <n v="0"/>
    <n v="0"/>
    <x v="0"/>
    <x v="0"/>
    <m/>
    <x v="0"/>
    <x v="0"/>
    <x v="0"/>
    <x v="0"/>
    <x v="0"/>
    <n v="0"/>
    <n v="0"/>
    <n v="0"/>
    <n v="12"/>
    <x v="1"/>
    <x v="0"/>
    <m/>
    <x v="0"/>
    <n v="242.00000000000003"/>
    <x v="0"/>
    <x v="12"/>
    <x v="2"/>
    <x v="0"/>
    <x v="0"/>
  </r>
  <r>
    <x v="1"/>
    <x v="13"/>
    <s v="2408 F"/>
    <x v="147"/>
    <s v="Usman Amin"/>
    <s v="LDN"/>
    <n v="18"/>
    <s v="7"/>
    <s v="LDN"/>
    <n v="580"/>
    <x v="0"/>
    <n v="1"/>
    <n v="64"/>
    <n v="2.2000000000000002"/>
    <m/>
    <x v="0"/>
    <n v="61.8"/>
    <n v="599.29999999999995"/>
    <m/>
    <x v="0"/>
    <x v="0"/>
    <n v="0"/>
    <n v="0"/>
    <x v="0"/>
    <x v="0"/>
    <m/>
    <x v="0"/>
    <x v="0"/>
    <x v="0"/>
    <x v="0"/>
    <x v="0"/>
    <n v="0"/>
    <n v="0"/>
    <n v="0"/>
    <n v="12"/>
    <x v="1"/>
    <x v="0"/>
    <m/>
    <x v="0"/>
    <n v="69"/>
    <x v="0"/>
    <x v="12"/>
    <x v="2"/>
    <x v="0"/>
    <x v="0"/>
  </r>
  <r>
    <x v="0"/>
    <x v="14"/>
    <s v="266 R"/>
    <x v="147"/>
    <s v="ریفلیکٹ پیک"/>
    <s v="LDN"/>
    <n v="35"/>
    <s v="5-5.5"/>
    <s v="LDN"/>
    <n v="10000"/>
    <x v="0"/>
    <n v="12"/>
    <n v="851.90000000000009"/>
    <n v="49.199999999999996"/>
    <n v="18"/>
    <x v="0"/>
    <n v="802.7"/>
    <n v="9829.2000000000007"/>
    <m/>
    <x v="0"/>
    <x v="0"/>
    <n v="0"/>
    <n v="0"/>
    <x v="0"/>
    <x v="0"/>
    <m/>
    <x v="0"/>
    <x v="0"/>
    <x v="0"/>
    <x v="0"/>
    <x v="0"/>
    <n v="0"/>
    <n v="0"/>
    <n v="0"/>
    <n v="12"/>
    <x v="1"/>
    <x v="0"/>
    <m/>
    <x v="0"/>
    <n v="856.90000000000009"/>
    <x v="0"/>
    <x v="12"/>
    <x v="2"/>
    <x v="0"/>
    <x v="0"/>
  </r>
  <r>
    <x v="1"/>
    <x v="14"/>
    <s v="266 R"/>
    <x v="147"/>
    <s v="ریفلیکٹ پیک"/>
    <s v="LDN"/>
    <n v="35"/>
    <s v="5-5.5"/>
    <s v="LDN"/>
    <n v="10000"/>
    <x v="0"/>
    <n v="11"/>
    <n v="815.39999999999986"/>
    <n v="46.2"/>
    <n v="36"/>
    <x v="0"/>
    <n v="769.19999999999982"/>
    <n v="9829.2000000000007"/>
    <m/>
    <x v="0"/>
    <x v="0"/>
    <n v="0"/>
    <n v="0"/>
    <x v="0"/>
    <x v="0"/>
    <m/>
    <x v="0"/>
    <x v="0"/>
    <x v="0"/>
    <x v="6"/>
    <x v="0"/>
    <n v="60"/>
    <n v="1"/>
    <n v="1"/>
    <n v="11"/>
    <x v="1"/>
    <x v="0"/>
    <m/>
    <x v="0"/>
    <n v="820.39999999999986"/>
    <x v="0"/>
    <x v="12"/>
    <x v="2"/>
    <x v="0"/>
    <x v="0"/>
  </r>
  <r>
    <x v="0"/>
    <x v="15"/>
    <s v="5346 J"/>
    <x v="147"/>
    <s v="Bannu Woollen Mills LTD"/>
    <s v="LDN"/>
    <n v="20"/>
    <s v="10-10.5"/>
    <s v="LDN"/>
    <n v="780"/>
    <x v="0"/>
    <n v="6"/>
    <n v="425.20000000000005"/>
    <n v="15"/>
    <n v="1.8"/>
    <x v="0"/>
    <n v="410.20000000000005"/>
    <n v="801.30000000000007"/>
    <m/>
    <x v="0"/>
    <x v="0"/>
    <n v="0"/>
    <n v="0"/>
    <x v="0"/>
    <x v="0"/>
    <m/>
    <x v="0"/>
    <x v="0"/>
    <x v="0"/>
    <x v="0"/>
    <x v="0"/>
    <n v="0"/>
    <n v="0"/>
    <n v="0"/>
    <n v="12"/>
    <x v="1"/>
    <x v="0"/>
    <m/>
    <x v="0"/>
    <n v="430.20000000000005"/>
    <x v="0"/>
    <x v="12"/>
    <x v="2"/>
    <x v="0"/>
    <x v="0"/>
  </r>
  <r>
    <x v="1"/>
    <x v="15"/>
    <s v="5346 J"/>
    <x v="147"/>
    <s v="Bannu Woollen Mills LTD"/>
    <s v="LDN"/>
    <n v="20"/>
    <s v="10-10.5"/>
    <s v="LDN"/>
    <n v="780"/>
    <x v="0"/>
    <n v="5"/>
    <n v="231.61"/>
    <n v="12.5"/>
    <n v="9.5"/>
    <x v="0"/>
    <n v="219.11"/>
    <n v="801.30000000000007"/>
    <n v="5"/>
    <x v="0"/>
    <x v="0"/>
    <n v="5"/>
    <n v="8.3333333333333329E-2"/>
    <x v="0"/>
    <x v="0"/>
    <m/>
    <x v="0"/>
    <x v="0"/>
    <x v="0"/>
    <x v="0"/>
    <x v="0"/>
    <n v="0"/>
    <n v="0"/>
    <n v="8.3333333333333329E-2"/>
    <n v="11.916666666666666"/>
    <x v="1"/>
    <x v="0"/>
    <m/>
    <x v="0"/>
    <n v="236.61"/>
    <x v="0"/>
    <x v="12"/>
    <x v="2"/>
    <x v="0"/>
    <x v="0"/>
  </r>
  <r>
    <x v="1"/>
    <x v="15"/>
    <s v="5234 J"/>
    <x v="147"/>
    <s v="Royal Broke Lahore"/>
    <s v="LDN"/>
    <n v="20"/>
    <s v="8-8.5"/>
    <s v="LDN"/>
    <n v="160"/>
    <x v="0"/>
    <n v="1"/>
    <n v="64.14"/>
    <n v="2.4"/>
    <m/>
    <x v="0"/>
    <n v="61.74"/>
    <n v="162.82"/>
    <m/>
    <x v="0"/>
    <x v="0"/>
    <n v="0"/>
    <n v="0"/>
    <x v="0"/>
    <x v="0"/>
    <m/>
    <x v="0"/>
    <x v="0"/>
    <x v="0"/>
    <x v="0"/>
    <x v="0"/>
    <n v="0"/>
    <n v="0"/>
    <n v="0"/>
    <n v="12"/>
    <x v="1"/>
    <x v="0"/>
    <m/>
    <x v="0"/>
    <n v="69.14"/>
    <x v="0"/>
    <x v="12"/>
    <x v="2"/>
    <x v="0"/>
    <x v="0"/>
  </r>
  <r>
    <x v="1"/>
    <x v="15"/>
    <s v="5233 J"/>
    <x v="147"/>
    <s v="Royal Broke Lahore"/>
    <s v="LDN"/>
    <n v="19"/>
    <s v="8-8.5"/>
    <s v="LDN"/>
    <n v="160"/>
    <x v="0"/>
    <n v="4"/>
    <n v="172.82"/>
    <n v="8.4"/>
    <m/>
    <x v="0"/>
    <n v="164.42"/>
    <n v="164.42"/>
    <m/>
    <x v="0"/>
    <x v="0"/>
    <n v="0"/>
    <n v="0"/>
    <x v="0"/>
    <x v="0"/>
    <m/>
    <x v="0"/>
    <x v="0"/>
    <x v="0"/>
    <x v="0"/>
    <x v="0"/>
    <n v="0"/>
    <n v="0"/>
    <n v="0"/>
    <n v="12"/>
    <x v="1"/>
    <x v="0"/>
    <m/>
    <x v="0"/>
    <n v="177.82"/>
    <x v="0"/>
    <x v="12"/>
    <x v="2"/>
    <x v="0"/>
    <x v="0"/>
  </r>
  <r>
    <x v="0"/>
    <x v="9"/>
    <s v="5309 J"/>
    <x v="148"/>
    <s v="G Mart Gujrat"/>
    <s v="LDN"/>
    <n v="5"/>
    <s v="10-10.5"/>
    <s v="LDN"/>
    <n v="100"/>
    <x v="0"/>
    <n v="2"/>
    <n v="57"/>
    <n v="1.2999999999999998"/>
    <m/>
    <x v="0"/>
    <n v="55.7"/>
    <n v="112.20000000000002"/>
    <m/>
    <x v="0"/>
    <x v="0"/>
    <n v="0"/>
    <n v="0"/>
    <x v="0"/>
    <x v="0"/>
    <m/>
    <x v="0"/>
    <x v="0"/>
    <x v="0"/>
    <x v="0"/>
    <x v="0"/>
    <n v="0"/>
    <n v="0"/>
    <n v="0"/>
    <n v="12"/>
    <x v="1"/>
    <x v="0"/>
    <m/>
    <x v="0"/>
    <n v="62"/>
    <x v="0"/>
    <x v="12"/>
    <x v="2"/>
    <x v="0"/>
    <x v="0"/>
  </r>
  <r>
    <x v="0"/>
    <x v="9"/>
    <s v="5300 J"/>
    <x v="148"/>
    <s v="Shah Jee Achar Mardan"/>
    <s v="LDN"/>
    <n v="5"/>
    <s v="12-13"/>
    <s v="LDN"/>
    <n v="100"/>
    <x v="0"/>
    <n v="2"/>
    <n v="107.2"/>
    <n v="1.6"/>
    <m/>
    <x v="0"/>
    <n v="105.60000000000001"/>
    <n v="105.60000000000001"/>
    <m/>
    <x v="0"/>
    <x v="0"/>
    <n v="0"/>
    <n v="0"/>
    <x v="0"/>
    <x v="0"/>
    <m/>
    <x v="0"/>
    <x v="0"/>
    <x v="0"/>
    <x v="0"/>
    <x v="0"/>
    <n v="0"/>
    <n v="0"/>
    <n v="0"/>
    <n v="12"/>
    <x v="1"/>
    <x v="0"/>
    <m/>
    <x v="0"/>
    <n v="112.2"/>
    <x v="0"/>
    <x v="12"/>
    <x v="2"/>
    <x v="0"/>
    <x v="0"/>
  </r>
  <r>
    <x v="1"/>
    <x v="9"/>
    <s v="5257 J"/>
    <x v="148"/>
    <s v="Mobeen Plastic Rawalpindi"/>
    <s v="LDN"/>
    <n v="5"/>
    <s v="8-8.5"/>
    <s v="LDN"/>
    <n v="125"/>
    <x v="0"/>
    <n v="4"/>
    <n v="162.6"/>
    <n v="2.8"/>
    <n v="2"/>
    <x v="0"/>
    <n v="159.79999999999998"/>
    <n v="159.79999999999998"/>
    <m/>
    <x v="0"/>
    <x v="0"/>
    <n v="0"/>
    <n v="0"/>
    <x v="0"/>
    <x v="0"/>
    <m/>
    <x v="0"/>
    <x v="0"/>
    <x v="0"/>
    <x v="0"/>
    <x v="0"/>
    <n v="0"/>
    <n v="0"/>
    <n v="0"/>
    <n v="12"/>
    <x v="1"/>
    <x v="0"/>
    <m/>
    <x v="0"/>
    <n v="167.6"/>
    <x v="0"/>
    <x v="12"/>
    <x v="2"/>
    <x v="0"/>
    <x v="0"/>
  </r>
  <r>
    <x v="0"/>
    <x v="10"/>
    <s v="2818/1"/>
    <x v="148"/>
    <s v="HAMESH GULL PESHAWER (PT-01)"/>
    <s v="LD RED"/>
    <n v="6"/>
    <n v="80"/>
    <s v="LD RED"/>
    <n v="600"/>
    <x v="0"/>
    <n v="10"/>
    <n v="322.89999999999998"/>
    <m/>
    <n v="4"/>
    <x v="0"/>
    <n v="322.89999999999998"/>
    <n v="660.09999999999991"/>
    <m/>
    <x v="0"/>
    <x v="0"/>
    <n v="0"/>
    <n v="0"/>
    <x v="0"/>
    <x v="0"/>
    <m/>
    <x v="0"/>
    <x v="0"/>
    <x v="0"/>
    <x v="0"/>
    <x v="0"/>
    <n v="0"/>
    <n v="0"/>
    <n v="0"/>
    <n v="12"/>
    <x v="1"/>
    <x v="0"/>
    <m/>
    <x v="0"/>
    <n v="327.9"/>
    <x v="0"/>
    <x v="12"/>
    <x v="2"/>
    <x v="0"/>
    <x v="0"/>
  </r>
  <r>
    <x v="1"/>
    <x v="10"/>
    <s v="2818/1"/>
    <x v="148"/>
    <s v="HAMESH GULL PESHAWER (PT-01)"/>
    <s v="LD RED"/>
    <n v="6"/>
    <n v="80"/>
    <s v="LD RED"/>
    <n v="600"/>
    <x v="0"/>
    <n v="3"/>
    <n v="114.4"/>
    <m/>
    <m/>
    <x v="0"/>
    <n v="114.4"/>
    <n v="660.09999999999991"/>
    <m/>
    <x v="0"/>
    <x v="0"/>
    <n v="0"/>
    <n v="0"/>
    <x v="0"/>
    <x v="0"/>
    <m/>
    <x v="0"/>
    <x v="0"/>
    <x v="0"/>
    <x v="0"/>
    <x v="0"/>
    <n v="0"/>
    <n v="0"/>
    <n v="0"/>
    <n v="12"/>
    <x v="1"/>
    <x v="0"/>
    <m/>
    <x v="0"/>
    <n v="119.4"/>
    <x v="0"/>
    <x v="12"/>
    <x v="2"/>
    <x v="0"/>
    <x v="0"/>
  </r>
  <r>
    <x v="1"/>
    <x v="10"/>
    <s v="2818/2"/>
    <x v="148"/>
    <s v="HAMESH GULL PESHAWER (PT-01)"/>
    <s v="LD RED"/>
    <n v="8"/>
    <n v="80"/>
    <s v="LD RED"/>
    <n v="600"/>
    <x v="0"/>
    <n v="12"/>
    <n v="258.70000000000005"/>
    <m/>
    <m/>
    <x v="0"/>
    <n v="258.70000000000005"/>
    <n v="793.30000000000018"/>
    <m/>
    <x v="0"/>
    <x v="0"/>
    <n v="0"/>
    <n v="0"/>
    <x v="0"/>
    <x v="0"/>
    <m/>
    <x v="0"/>
    <x v="0"/>
    <x v="0"/>
    <x v="0"/>
    <x v="0"/>
    <n v="0"/>
    <n v="0"/>
    <n v="0"/>
    <n v="12"/>
    <x v="1"/>
    <x v="0"/>
    <m/>
    <x v="0"/>
    <n v="263.70000000000005"/>
    <x v="0"/>
    <x v="12"/>
    <x v="2"/>
    <x v="0"/>
    <x v="0"/>
  </r>
  <r>
    <x v="0"/>
    <x v="11"/>
    <s v="5271 J"/>
    <x v="148"/>
    <s v="Shakir Comunitcation Bolan"/>
    <s v="LDM"/>
    <n v="14"/>
    <s v="10-10.5"/>
    <s v="LDM"/>
    <n v="100"/>
    <x v="0"/>
    <n v="2"/>
    <n v="109.19999999999999"/>
    <n v="3.6"/>
    <n v="11"/>
    <x v="0"/>
    <n v="105.6"/>
    <n v="209.39999999999998"/>
    <m/>
    <x v="0"/>
    <x v="0"/>
    <n v="0"/>
    <n v="0"/>
    <x v="0"/>
    <x v="0"/>
    <m/>
    <x v="0"/>
    <x v="0"/>
    <x v="0"/>
    <x v="0"/>
    <x v="0"/>
    <n v="0"/>
    <n v="0"/>
    <n v="0"/>
    <n v="12"/>
    <x v="1"/>
    <x v="0"/>
    <m/>
    <x v="0"/>
    <n v="114.19999999999999"/>
    <x v="0"/>
    <x v="12"/>
    <x v="2"/>
    <x v="0"/>
    <x v="0"/>
  </r>
  <r>
    <x v="0"/>
    <x v="11"/>
    <s v="5228 J"/>
    <x v="148"/>
    <s v="Style Stichers Lahore"/>
    <s v="LDM"/>
    <n v="19.5"/>
    <s v="12-12.5"/>
    <s v="LDM"/>
    <n v="100"/>
    <x v="0"/>
    <n v="2"/>
    <n v="109"/>
    <n v="4.5999999999999996"/>
    <m/>
    <x v="0"/>
    <n v="104.4"/>
    <n v="104.4"/>
    <m/>
    <x v="0"/>
    <x v="0"/>
    <n v="0"/>
    <n v="0"/>
    <x v="0"/>
    <x v="0"/>
    <m/>
    <x v="0"/>
    <x v="0"/>
    <x v="0"/>
    <x v="0"/>
    <x v="0"/>
    <n v="0"/>
    <n v="0"/>
    <n v="0"/>
    <n v="12"/>
    <x v="1"/>
    <x v="0"/>
    <m/>
    <x v="0"/>
    <n v="114"/>
    <x v="0"/>
    <x v="12"/>
    <x v="2"/>
    <x v="0"/>
    <x v="0"/>
  </r>
  <r>
    <x v="0"/>
    <x v="11"/>
    <s v="5291 J"/>
    <x v="148"/>
    <s v="Umar Febrics Jehlum"/>
    <s v="LDM"/>
    <s v="10+2.5+2.5"/>
    <s v="7.5-8/15-16"/>
    <s v="LDM"/>
    <n v="100"/>
    <x v="0"/>
    <n v="2"/>
    <n v="71.099999999999994"/>
    <n v="2.4"/>
    <m/>
    <x v="0"/>
    <n v="68.699999999999989"/>
    <n v="300.2"/>
    <m/>
    <x v="0"/>
    <x v="0"/>
    <n v="0"/>
    <n v="0"/>
    <x v="0"/>
    <x v="0"/>
    <m/>
    <x v="0"/>
    <x v="0"/>
    <x v="0"/>
    <x v="0"/>
    <x v="0"/>
    <n v="0"/>
    <n v="0"/>
    <n v="0"/>
    <n v="12"/>
    <x v="1"/>
    <x v="0"/>
    <m/>
    <x v="0"/>
    <n v="76.099999999999994"/>
    <x v="0"/>
    <x v="12"/>
    <x v="2"/>
    <x v="0"/>
    <x v="0"/>
  </r>
  <r>
    <x v="0"/>
    <x v="11"/>
    <s v="5291 J"/>
    <x v="148"/>
    <s v="Umar Febrics Jehlum"/>
    <s v="LDM"/>
    <s v="10+2.5+2.5"/>
    <s v="7.5-8/15-16"/>
    <s v="LDM"/>
    <n v="100"/>
    <x v="0"/>
    <n v="1"/>
    <n v="33.700000000000003"/>
    <n v="1.2"/>
    <m/>
    <x v="0"/>
    <n v="32.5"/>
    <n v="300.2"/>
    <m/>
    <x v="0"/>
    <x v="0"/>
    <n v="0"/>
    <n v="0"/>
    <x v="0"/>
    <x v="0"/>
    <m/>
    <x v="0"/>
    <x v="0"/>
    <x v="0"/>
    <x v="0"/>
    <x v="0"/>
    <n v="0"/>
    <n v="0"/>
    <n v="0"/>
    <n v="12"/>
    <x v="1"/>
    <x v="0"/>
    <m/>
    <x v="0"/>
    <n v="38.700000000000003"/>
    <x v="0"/>
    <x v="12"/>
    <x v="2"/>
    <x v="0"/>
    <x v="0"/>
  </r>
  <r>
    <x v="1"/>
    <x v="11"/>
    <s v="5291 J"/>
    <x v="148"/>
    <s v="Umar Febrics Jehlum"/>
    <s v="LDM"/>
    <s v="10+2.5+2.5"/>
    <s v="7.5-8/15-16"/>
    <s v="LDM"/>
    <n v="100"/>
    <x v="0"/>
    <n v="4"/>
    <n v="163.80000000000001"/>
    <n v="4.8"/>
    <m/>
    <x v="0"/>
    <n v="159"/>
    <n v="300.2"/>
    <m/>
    <x v="0"/>
    <x v="0"/>
    <n v="0"/>
    <n v="0"/>
    <x v="0"/>
    <x v="0"/>
    <m/>
    <x v="0"/>
    <x v="0"/>
    <x v="0"/>
    <x v="0"/>
    <x v="0"/>
    <n v="0"/>
    <n v="0"/>
    <n v="0"/>
    <n v="12"/>
    <x v="1"/>
    <x v="0"/>
    <m/>
    <x v="0"/>
    <n v="168.8"/>
    <x v="0"/>
    <x v="12"/>
    <x v="2"/>
    <x v="0"/>
    <x v="0"/>
  </r>
  <r>
    <x v="1"/>
    <x v="11"/>
    <s v="5329 J"/>
    <x v="148"/>
    <s v="Waseem Garments Sheikhpura"/>
    <s v="LDM"/>
    <s v="10+2.5+2.5"/>
    <s v="7.5-8/15-16"/>
    <s v="LDM"/>
    <n v="110"/>
    <x v="0"/>
    <n v="3"/>
    <n v="119.9"/>
    <n v="3.5999999999999996"/>
    <m/>
    <x v="0"/>
    <n v="116.30000000000001"/>
    <n v="116.30000000000001"/>
    <m/>
    <x v="0"/>
    <x v="0"/>
    <n v="0"/>
    <n v="0"/>
    <x v="0"/>
    <x v="0"/>
    <m/>
    <x v="0"/>
    <x v="0"/>
    <x v="0"/>
    <x v="0"/>
    <x v="0"/>
    <n v="0"/>
    <n v="0"/>
    <n v="0"/>
    <n v="12"/>
    <x v="1"/>
    <x v="0"/>
    <m/>
    <x v="0"/>
    <n v="124.9"/>
    <x v="0"/>
    <x v="12"/>
    <x v="2"/>
    <x v="0"/>
    <x v="0"/>
  </r>
  <r>
    <x v="1"/>
    <x v="11"/>
    <s v="5380 J"/>
    <x v="148"/>
    <s v="Mughal Plastic Store Layyah"/>
    <s v="LDM"/>
    <s v="11+2.5+2.5"/>
    <s v="7.5-8/15-16"/>
    <s v="LDM"/>
    <n v="110"/>
    <x v="0"/>
    <n v="1"/>
    <n v="54.65"/>
    <n v="1"/>
    <n v="9.1999999999999993"/>
    <x v="0"/>
    <n v="53.65"/>
    <n v="53.65"/>
    <m/>
    <x v="0"/>
    <x v="0"/>
    <n v="0"/>
    <n v="0"/>
    <x v="0"/>
    <x v="0"/>
    <m/>
    <x v="0"/>
    <x v="0"/>
    <x v="0"/>
    <x v="0"/>
    <x v="0"/>
    <n v="0"/>
    <n v="0"/>
    <n v="0"/>
    <n v="12"/>
    <x v="1"/>
    <x v="0"/>
    <m/>
    <x v="0"/>
    <n v="59.65"/>
    <x v="0"/>
    <x v="12"/>
    <x v="2"/>
    <x v="0"/>
    <x v="0"/>
  </r>
  <r>
    <x v="0"/>
    <x v="13"/>
    <s v="2408 F"/>
    <x v="148"/>
    <s v="Usman Amin"/>
    <s v="LDN"/>
    <n v="18"/>
    <s v="7"/>
    <s v="LDN"/>
    <n v="580"/>
    <x v="0"/>
    <n v="6"/>
    <n v="357.29999999999995"/>
    <n v="13.200000000000001"/>
    <n v="3"/>
    <x v="0"/>
    <n v="344.09999999999997"/>
    <n v="599.29999999999995"/>
    <m/>
    <x v="0"/>
    <x v="0"/>
    <n v="0"/>
    <n v="0"/>
    <x v="0"/>
    <x v="0"/>
    <m/>
    <x v="0"/>
    <x v="0"/>
    <x v="0"/>
    <x v="0"/>
    <x v="0"/>
    <n v="0"/>
    <n v="0"/>
    <n v="0"/>
    <n v="12"/>
    <x v="1"/>
    <x v="0"/>
    <m/>
    <x v="0"/>
    <n v="362.29999999999995"/>
    <x v="0"/>
    <x v="12"/>
    <x v="2"/>
    <x v="0"/>
    <x v="0"/>
  </r>
  <r>
    <x v="1"/>
    <x v="13"/>
    <s v="2408 F"/>
    <x v="148"/>
    <s v="Usman Amin"/>
    <s v="LDN"/>
    <n v="18"/>
    <s v="7"/>
    <s v="LDN"/>
    <n v="580"/>
    <x v="0"/>
    <n v="3"/>
    <n v="200.1"/>
    <n v="6.7"/>
    <m/>
    <x v="0"/>
    <n v="193.4"/>
    <n v="599.29999999999995"/>
    <m/>
    <x v="0"/>
    <x v="0"/>
    <n v="0"/>
    <n v="0"/>
    <x v="0"/>
    <x v="0"/>
    <m/>
    <x v="0"/>
    <x v="0"/>
    <x v="0"/>
    <x v="0"/>
    <x v="0"/>
    <n v="0"/>
    <n v="0"/>
    <n v="0"/>
    <n v="12"/>
    <x v="1"/>
    <x v="0"/>
    <m/>
    <x v="0"/>
    <n v="205.1"/>
    <x v="0"/>
    <x v="12"/>
    <x v="2"/>
    <x v="0"/>
    <x v="0"/>
  </r>
  <r>
    <x v="1"/>
    <x v="13"/>
    <s v="2423 F"/>
    <x v="148"/>
    <s v="Usman Amin"/>
    <s v="LDN"/>
    <n v="18"/>
    <s v="7"/>
    <s v="LDN"/>
    <n v="215"/>
    <x v="0"/>
    <n v="3"/>
    <n v="183.64999999999998"/>
    <n v="6.6000000000000005"/>
    <n v="4.8"/>
    <x v="0"/>
    <n v="177.04999999999998"/>
    <n v="177.04999999999998"/>
    <m/>
    <x v="0"/>
    <x v="0"/>
    <n v="0"/>
    <n v="0"/>
    <x v="0"/>
    <x v="0"/>
    <m/>
    <x v="0"/>
    <x v="0"/>
    <x v="0"/>
    <x v="0"/>
    <x v="0"/>
    <n v="0"/>
    <n v="0"/>
    <n v="0"/>
    <n v="12"/>
    <x v="1"/>
    <x v="0"/>
    <m/>
    <x v="0"/>
    <n v="188.64999999999998"/>
    <x v="0"/>
    <x v="12"/>
    <x v="2"/>
    <x v="0"/>
    <x v="0"/>
  </r>
  <r>
    <x v="0"/>
    <x v="14"/>
    <s v="266 R"/>
    <x v="148"/>
    <s v="ریفلیکٹ پیک"/>
    <s v="LDN"/>
    <n v="35"/>
    <s v="5-5.5"/>
    <s v="LDN"/>
    <n v="10000"/>
    <x v="0"/>
    <n v="11"/>
    <n v="867.96999999999991"/>
    <n v="46.2"/>
    <n v="2"/>
    <x v="0"/>
    <n v="821.76999999999987"/>
    <n v="9829.2000000000007"/>
    <m/>
    <x v="0"/>
    <x v="0"/>
    <n v="0"/>
    <n v="0"/>
    <x v="0"/>
    <x v="0"/>
    <m/>
    <x v="0"/>
    <x v="0"/>
    <x v="0"/>
    <x v="0"/>
    <x v="0"/>
    <n v="0"/>
    <n v="0"/>
    <n v="0"/>
    <n v="12"/>
    <x v="1"/>
    <x v="0"/>
    <m/>
    <x v="0"/>
    <n v="872.96999999999991"/>
    <x v="0"/>
    <x v="12"/>
    <x v="2"/>
    <x v="0"/>
    <x v="0"/>
  </r>
  <r>
    <x v="1"/>
    <x v="14"/>
    <s v="266 R"/>
    <x v="148"/>
    <s v="ریفلیکٹ پیک"/>
    <s v="LDN"/>
    <n v="35"/>
    <s v="5-5.5"/>
    <s v="LDN"/>
    <n v="10000"/>
    <x v="0"/>
    <n v="12"/>
    <n v="922.07999999999993"/>
    <n v="50.400000000000006"/>
    <n v="12"/>
    <x v="0"/>
    <n v="871.68"/>
    <n v="9829.2000000000007"/>
    <m/>
    <x v="0"/>
    <x v="0"/>
    <n v="0"/>
    <n v="0"/>
    <x v="0"/>
    <x v="0"/>
    <m/>
    <x v="6"/>
    <x v="0"/>
    <x v="0"/>
    <x v="0"/>
    <x v="0"/>
    <n v="8"/>
    <n v="0.13333333333333333"/>
    <n v="0.13333333333333333"/>
    <n v="11.866666666666667"/>
    <x v="1"/>
    <x v="0"/>
    <m/>
    <x v="0"/>
    <n v="927.07999999999993"/>
    <x v="0"/>
    <x v="12"/>
    <x v="2"/>
    <x v="0"/>
    <x v="0"/>
  </r>
  <r>
    <x v="0"/>
    <x v="15"/>
    <s v="2412 F"/>
    <x v="148"/>
    <s v="Usman Amin"/>
    <s v="LDN"/>
    <n v="23.5"/>
    <s v="7"/>
    <s v="LDN"/>
    <n v="410"/>
    <x v="0"/>
    <n v="7"/>
    <n v="430.40000000000009"/>
    <n v="20.3"/>
    <n v="9.1"/>
    <x v="0"/>
    <n v="410.10000000000008"/>
    <n v="410.10000000000008"/>
    <m/>
    <x v="0"/>
    <x v="0"/>
    <n v="0"/>
    <n v="0"/>
    <x v="0"/>
    <x v="0"/>
    <m/>
    <x v="0"/>
    <x v="0"/>
    <x v="0"/>
    <x v="0"/>
    <x v="0"/>
    <n v="0"/>
    <n v="0"/>
    <n v="0"/>
    <n v="12"/>
    <x v="1"/>
    <x v="0"/>
    <m/>
    <x v="0"/>
    <n v="435.40000000000009"/>
    <x v="0"/>
    <x v="12"/>
    <x v="2"/>
    <x v="0"/>
    <x v="0"/>
  </r>
  <r>
    <x v="1"/>
    <x v="15"/>
    <s v="2413 F"/>
    <x v="148"/>
    <s v="Usman Amin"/>
    <s v="LDN"/>
    <n v="27"/>
    <s v="7"/>
    <s v="LDN"/>
    <n v="60"/>
    <x v="0"/>
    <n v="1"/>
    <n v="74.2"/>
    <n v="2.5"/>
    <m/>
    <x v="0"/>
    <n v="71.7"/>
    <n v="71.7"/>
    <n v="5"/>
    <x v="0"/>
    <x v="0"/>
    <n v="5"/>
    <n v="8.3333333333333329E-2"/>
    <x v="0"/>
    <x v="0"/>
    <m/>
    <x v="0"/>
    <x v="0"/>
    <x v="0"/>
    <x v="0"/>
    <x v="0"/>
    <n v="0"/>
    <n v="0"/>
    <n v="8.3333333333333329E-2"/>
    <n v="11.916666666666666"/>
    <x v="1"/>
    <x v="0"/>
    <m/>
    <x v="0"/>
    <n v="79.2"/>
    <x v="0"/>
    <x v="12"/>
    <x v="2"/>
    <x v="0"/>
    <x v="0"/>
  </r>
  <r>
    <x v="1"/>
    <x v="15"/>
    <s v="2421 F"/>
    <x v="148"/>
    <s v="Usman Amin"/>
    <s v="LDN"/>
    <n v="17"/>
    <s v="7-7.5"/>
    <s v="LDN"/>
    <n v="210"/>
    <x v="0"/>
    <n v="4"/>
    <n v="207.35"/>
    <n v="8.8000000000000007"/>
    <m/>
    <x v="0"/>
    <n v="198.54999999999998"/>
    <n v="198.54999999999998"/>
    <n v="5"/>
    <x v="0"/>
    <x v="0"/>
    <n v="5"/>
    <n v="8.3333333333333329E-2"/>
    <x v="0"/>
    <x v="0"/>
    <m/>
    <x v="0"/>
    <x v="0"/>
    <x v="0"/>
    <x v="0"/>
    <x v="0"/>
    <n v="0"/>
    <n v="0"/>
    <n v="8.3333333333333329E-2"/>
    <n v="11.916666666666666"/>
    <x v="1"/>
    <x v="0"/>
    <m/>
    <x v="0"/>
    <n v="212.35"/>
    <x v="0"/>
    <x v="12"/>
    <x v="2"/>
    <x v="0"/>
    <x v="0"/>
  </r>
  <r>
    <x v="1"/>
    <x v="15"/>
    <s v="2422 F"/>
    <x v="148"/>
    <s v="Usman Amin"/>
    <s v="LDN"/>
    <n v="17.5"/>
    <s v="7-7.5"/>
    <s v="LDN"/>
    <n v="55"/>
    <x v="0"/>
    <n v="1"/>
    <n v="49.83"/>
    <n v="2.2000000000000002"/>
    <m/>
    <x v="0"/>
    <n v="47.629999999999995"/>
    <n v="47.629999999999995"/>
    <n v="5"/>
    <x v="0"/>
    <x v="0"/>
    <n v="5"/>
    <n v="8.3333333333333329E-2"/>
    <x v="0"/>
    <x v="0"/>
    <m/>
    <x v="0"/>
    <x v="0"/>
    <x v="0"/>
    <x v="0"/>
    <x v="0"/>
    <n v="0"/>
    <n v="0"/>
    <n v="8.3333333333333329E-2"/>
    <n v="11.916666666666666"/>
    <x v="1"/>
    <x v="0"/>
    <m/>
    <x v="0"/>
    <n v="54.83"/>
    <x v="0"/>
    <x v="12"/>
    <x v="2"/>
    <x v="0"/>
    <x v="0"/>
  </r>
  <r>
    <x v="1"/>
    <x v="15"/>
    <s v="5390 J"/>
    <x v="148"/>
    <s v="Ibraheem Filter Industry (SMC.PVT.LTD)"/>
    <s v="LDN"/>
    <n v="16"/>
    <n v="8"/>
    <s v="LDN"/>
    <n v="0"/>
    <x v="0"/>
    <n v="1"/>
    <n v="49.51"/>
    <n v="2"/>
    <n v="11.12"/>
    <x v="0"/>
    <n v="47.51"/>
    <n v="801.86999999999989"/>
    <m/>
    <x v="0"/>
    <x v="0"/>
    <n v="0"/>
    <n v="0"/>
    <x v="0"/>
    <x v="0"/>
    <m/>
    <x v="0"/>
    <x v="0"/>
    <x v="0"/>
    <x v="0"/>
    <x v="0"/>
    <n v="0"/>
    <n v="0"/>
    <n v="0"/>
    <n v="12"/>
    <x v="1"/>
    <x v="0"/>
    <m/>
    <x v="0"/>
    <n v="54.51"/>
    <x v="0"/>
    <x v="12"/>
    <x v="2"/>
    <x v="0"/>
    <x v="0"/>
  </r>
  <r>
    <x v="0"/>
    <x v="9"/>
    <s v="5308 J"/>
    <x v="149"/>
    <s v="G Mart Gujrat"/>
    <s v="LDN"/>
    <n v="6"/>
    <s v="10-10.5"/>
    <s v="LDN"/>
    <n v="200"/>
    <x v="0"/>
    <n v="4"/>
    <n v="165.72"/>
    <n v="3.2"/>
    <m/>
    <x v="0"/>
    <n v="162.52000000000001"/>
    <n v="202.82000000000002"/>
    <m/>
    <x v="0"/>
    <x v="0"/>
    <n v="0"/>
    <n v="0"/>
    <x v="0"/>
    <x v="0"/>
    <m/>
    <x v="0"/>
    <x v="0"/>
    <x v="0"/>
    <x v="0"/>
    <x v="0"/>
    <n v="0"/>
    <n v="0"/>
    <n v="0"/>
    <n v="12"/>
    <x v="1"/>
    <x v="0"/>
    <m/>
    <x v="0"/>
    <n v="170.72"/>
    <x v="0"/>
    <x v="12"/>
    <x v="2"/>
    <x v="0"/>
    <x v="0"/>
  </r>
  <r>
    <x v="1"/>
    <x v="9"/>
    <s v="5308 J"/>
    <x v="149"/>
    <s v="G Mart Gujrat"/>
    <s v="LDN"/>
    <n v="6"/>
    <s v="10-10.5"/>
    <s v="LDN"/>
    <n v="200"/>
    <x v="0"/>
    <n v="1"/>
    <n v="41.1"/>
    <n v="0.8"/>
    <m/>
    <x v="0"/>
    <n v="40.300000000000004"/>
    <n v="202.82000000000002"/>
    <m/>
    <x v="0"/>
    <x v="0"/>
    <n v="0"/>
    <n v="0"/>
    <x v="0"/>
    <x v="0"/>
    <m/>
    <x v="0"/>
    <x v="0"/>
    <x v="0"/>
    <x v="0"/>
    <x v="0"/>
    <n v="0"/>
    <n v="0"/>
    <n v="0"/>
    <n v="12"/>
    <x v="1"/>
    <x v="0"/>
    <m/>
    <x v="0"/>
    <n v="46.1"/>
    <x v="0"/>
    <x v="12"/>
    <x v="2"/>
    <x v="0"/>
    <x v="0"/>
  </r>
  <r>
    <x v="1"/>
    <x v="9"/>
    <s v="5307 J"/>
    <x v="149"/>
    <s v="G Mart Gujrat"/>
    <s v="LDN"/>
    <n v="7"/>
    <s v="12-13"/>
    <s v="LDN"/>
    <n v="200"/>
    <x v="0"/>
    <n v="2"/>
    <n v="100.5"/>
    <n v="1.8"/>
    <m/>
    <x v="0"/>
    <n v="98.7"/>
    <n v="157.6"/>
    <m/>
    <x v="0"/>
    <x v="0"/>
    <n v="0"/>
    <n v="0"/>
    <x v="0"/>
    <x v="0"/>
    <m/>
    <x v="0"/>
    <x v="0"/>
    <x v="0"/>
    <x v="0"/>
    <x v="0"/>
    <n v="0"/>
    <n v="0"/>
    <n v="0"/>
    <n v="12"/>
    <x v="1"/>
    <x v="0"/>
    <m/>
    <x v="0"/>
    <n v="105.5"/>
    <x v="0"/>
    <x v="12"/>
    <x v="2"/>
    <x v="0"/>
    <x v="0"/>
  </r>
  <r>
    <x v="0"/>
    <x v="10"/>
    <s v="2807/1"/>
    <x v="149"/>
    <s v="PT-01"/>
    <s v="LD سرخ"/>
    <n v="6"/>
    <n v="80"/>
    <s v="LD سرخ"/>
    <n v="2500"/>
    <x v="0"/>
    <n v="9"/>
    <n v="255.38"/>
    <m/>
    <n v="55"/>
    <x v="0"/>
    <n v="255.38"/>
    <n v="5041.09"/>
    <m/>
    <x v="0"/>
    <x v="0"/>
    <n v="0"/>
    <n v="0"/>
    <x v="0"/>
    <x v="0"/>
    <m/>
    <x v="0"/>
    <x v="0"/>
    <x v="0"/>
    <x v="0"/>
    <x v="0"/>
    <n v="0"/>
    <n v="0"/>
    <n v="0"/>
    <n v="12"/>
    <x v="1"/>
    <x v="0"/>
    <m/>
    <x v="0"/>
    <n v="260.38"/>
    <x v="0"/>
    <x v="12"/>
    <x v="2"/>
    <x v="0"/>
    <x v="0"/>
  </r>
  <r>
    <x v="0"/>
    <x v="11"/>
    <s v="5377 J"/>
    <x v="149"/>
    <s v="Mughal Plastic Store Layyah"/>
    <s v="LDM"/>
    <s v="11+2.5+2.5"/>
    <s v="7.5-8/15-16"/>
    <s v="LDM"/>
    <n v="110"/>
    <x v="0"/>
    <n v="3"/>
    <n v="133.30000000000001"/>
    <n v="3.9000000000000004"/>
    <m/>
    <x v="0"/>
    <n v="129.4"/>
    <n v="129.4"/>
    <m/>
    <x v="0"/>
    <x v="0"/>
    <n v="0"/>
    <n v="0"/>
    <x v="0"/>
    <x v="0"/>
    <m/>
    <x v="0"/>
    <x v="0"/>
    <x v="0"/>
    <x v="0"/>
    <x v="0"/>
    <n v="0"/>
    <n v="0"/>
    <n v="0"/>
    <n v="12"/>
    <x v="1"/>
    <x v="0"/>
    <m/>
    <x v="0"/>
    <n v="138.30000000000001"/>
    <x v="0"/>
    <x v="12"/>
    <x v="2"/>
    <x v="0"/>
    <x v="0"/>
  </r>
  <r>
    <x v="0"/>
    <x v="11"/>
    <s v="5379 J"/>
    <x v="149"/>
    <s v="Mughal Plastic Store Layyah"/>
    <s v="LDM"/>
    <s v="12+3+3"/>
    <s v="7.5-8/15-16"/>
    <s v="LDM"/>
    <n v="110"/>
    <x v="0"/>
    <n v="3"/>
    <n v="119"/>
    <n v="4.1999999999999993"/>
    <m/>
    <x v="0"/>
    <n v="114.8"/>
    <n v="114.8"/>
    <m/>
    <x v="0"/>
    <x v="0"/>
    <n v="0"/>
    <n v="0"/>
    <x v="0"/>
    <x v="0"/>
    <m/>
    <x v="0"/>
    <x v="0"/>
    <x v="0"/>
    <x v="0"/>
    <x v="0"/>
    <n v="0"/>
    <n v="0"/>
    <n v="0"/>
    <n v="12"/>
    <x v="1"/>
    <x v="0"/>
    <m/>
    <x v="0"/>
    <n v="124"/>
    <x v="0"/>
    <x v="12"/>
    <x v="2"/>
    <x v="0"/>
    <x v="0"/>
  </r>
  <r>
    <x v="0"/>
    <x v="11"/>
    <s v="5378 J"/>
    <x v="149"/>
    <s v="Mughal Plastic Store Layyah"/>
    <s v="LDM"/>
    <s v="12+3+3"/>
    <s v="8-8.5/16-17"/>
    <s v="LDM"/>
    <n v="110"/>
    <x v="0"/>
    <n v="2"/>
    <n v="75"/>
    <n v="3"/>
    <m/>
    <x v="0"/>
    <n v="72"/>
    <n v="117.4"/>
    <m/>
    <x v="0"/>
    <x v="0"/>
    <n v="0"/>
    <n v="0"/>
    <x v="0"/>
    <x v="0"/>
    <m/>
    <x v="0"/>
    <x v="0"/>
    <x v="0"/>
    <x v="0"/>
    <x v="0"/>
    <n v="0"/>
    <n v="0"/>
    <n v="0"/>
    <n v="12"/>
    <x v="1"/>
    <x v="0"/>
    <m/>
    <x v="0"/>
    <n v="80"/>
    <x v="0"/>
    <x v="12"/>
    <x v="2"/>
    <x v="0"/>
    <x v="0"/>
  </r>
  <r>
    <x v="1"/>
    <x v="11"/>
    <s v="5382 J"/>
    <x v="149"/>
    <s v="Mughal Plastic Store Layyah"/>
    <s v="LDM"/>
    <s v="12+3+3"/>
    <s v="8-8.5/16-17"/>
    <s v="LDM"/>
    <n v="110"/>
    <x v="0"/>
    <n v="2"/>
    <n v="110"/>
    <m/>
    <m/>
    <x v="0"/>
    <n v="110"/>
    <n v="110"/>
    <m/>
    <x v="0"/>
    <x v="0"/>
    <n v="0"/>
    <n v="0"/>
    <x v="0"/>
    <x v="0"/>
    <m/>
    <x v="0"/>
    <x v="0"/>
    <x v="0"/>
    <x v="0"/>
    <x v="0"/>
    <n v="0"/>
    <n v="0"/>
    <n v="0"/>
    <n v="12"/>
    <x v="1"/>
    <x v="0"/>
    <m/>
    <x v="0"/>
    <n v="115"/>
    <x v="0"/>
    <x v="12"/>
    <x v="2"/>
    <x v="0"/>
    <x v="0"/>
  </r>
  <r>
    <x v="1"/>
    <x v="11"/>
    <s v="5347 J"/>
    <x v="149"/>
    <s v="Nawab Jilani Plastic Layyah"/>
    <s v="LDM"/>
    <s v="12+3+3"/>
    <s v="10-10.5/20-21"/>
    <s v="LDM"/>
    <n v="110"/>
    <x v="0"/>
    <n v="2"/>
    <n v="109.44999999999999"/>
    <n v="3"/>
    <m/>
    <x v="0"/>
    <n v="106.44999999999999"/>
    <n v="106.44999999999999"/>
    <m/>
    <x v="0"/>
    <x v="0"/>
    <n v="0"/>
    <n v="0"/>
    <x v="0"/>
    <x v="0"/>
    <m/>
    <x v="0"/>
    <x v="0"/>
    <x v="0"/>
    <x v="0"/>
    <x v="0"/>
    <n v="0"/>
    <n v="0"/>
    <n v="0"/>
    <n v="12"/>
    <x v="1"/>
    <x v="0"/>
    <m/>
    <x v="0"/>
    <n v="114.44999999999999"/>
    <x v="0"/>
    <x v="12"/>
    <x v="2"/>
    <x v="0"/>
    <x v="0"/>
  </r>
  <r>
    <x v="1"/>
    <x v="11"/>
    <s v="5378 J"/>
    <x v="149"/>
    <s v="Mughal Plastic Store Layyah"/>
    <s v="LDM"/>
    <s v="12+3+3"/>
    <s v="8-8.5/16-17"/>
    <s v="LDM"/>
    <n v="110"/>
    <x v="0"/>
    <n v="1"/>
    <n v="46.9"/>
    <n v="1.5"/>
    <m/>
    <x v="0"/>
    <n v="45.4"/>
    <n v="117.4"/>
    <m/>
    <x v="0"/>
    <x v="0"/>
    <n v="0"/>
    <n v="0"/>
    <x v="0"/>
    <x v="0"/>
    <m/>
    <x v="0"/>
    <x v="0"/>
    <x v="0"/>
    <x v="0"/>
    <x v="0"/>
    <n v="0"/>
    <n v="0"/>
    <n v="0"/>
    <n v="12"/>
    <x v="1"/>
    <x v="0"/>
    <m/>
    <x v="0"/>
    <n v="51.9"/>
    <x v="0"/>
    <x v="12"/>
    <x v="2"/>
    <x v="0"/>
    <x v="0"/>
  </r>
  <r>
    <x v="1"/>
    <x v="11"/>
    <s v="5348 J"/>
    <x v="149"/>
    <s v="Nawab Jilani Plastic Layyah"/>
    <s v="LDM"/>
    <s v="12+3+3"/>
    <s v="10-10.5/20-21"/>
    <s v="LDM"/>
    <n v="110"/>
    <x v="0"/>
    <n v="1"/>
    <n v="51.3"/>
    <n v="1.5"/>
    <m/>
    <x v="0"/>
    <n v="49.8"/>
    <n v="104.1"/>
    <m/>
    <x v="0"/>
    <x v="0"/>
    <n v="0"/>
    <n v="0"/>
    <x v="0"/>
    <x v="0"/>
    <m/>
    <x v="0"/>
    <x v="0"/>
    <x v="0"/>
    <x v="0"/>
    <x v="0"/>
    <n v="0"/>
    <n v="0"/>
    <n v="0"/>
    <n v="12"/>
    <x v="1"/>
    <x v="0"/>
    <m/>
    <x v="0"/>
    <n v="56.3"/>
    <x v="0"/>
    <x v="12"/>
    <x v="2"/>
    <x v="0"/>
    <x v="0"/>
  </r>
  <r>
    <x v="0"/>
    <x v="13"/>
    <s v="2425 F"/>
    <x v="149"/>
    <s v="Usman Amin"/>
    <s v="LDN"/>
    <n v="19"/>
    <s v="5-5.5"/>
    <s v="LDN"/>
    <n v="155"/>
    <x v="0"/>
    <n v="1"/>
    <n v="67.7"/>
    <n v="2.2000000000000002"/>
    <m/>
    <x v="0"/>
    <n v="65.5"/>
    <n v="65.5"/>
    <n v="5"/>
    <x v="0"/>
    <x v="0"/>
    <n v="5"/>
    <n v="8.3333333333333329E-2"/>
    <x v="0"/>
    <x v="0"/>
    <m/>
    <x v="0"/>
    <x v="0"/>
    <x v="0"/>
    <x v="0"/>
    <x v="0"/>
    <n v="0"/>
    <n v="0"/>
    <n v="8.3333333333333329E-2"/>
    <n v="11.916666666666666"/>
    <x v="1"/>
    <x v="0"/>
    <m/>
    <x v="0"/>
    <n v="72.7"/>
    <x v="0"/>
    <x v="12"/>
    <x v="2"/>
    <x v="0"/>
    <x v="0"/>
  </r>
  <r>
    <x v="0"/>
    <x v="13"/>
    <s v="2409 F"/>
    <x v="149"/>
    <s v="Usman Amin"/>
    <s v="LDN"/>
    <n v="19"/>
    <s v="7"/>
    <s v="LDN"/>
    <n v="400"/>
    <x v="0"/>
    <n v="4"/>
    <n v="253.5"/>
    <n v="9.1999999999999993"/>
    <m/>
    <x v="0"/>
    <n v="244.3"/>
    <n v="370.55"/>
    <m/>
    <x v="0"/>
    <x v="0"/>
    <n v="0"/>
    <n v="0"/>
    <x v="0"/>
    <x v="0"/>
    <m/>
    <x v="0"/>
    <x v="0"/>
    <x v="0"/>
    <x v="0"/>
    <x v="0"/>
    <n v="0"/>
    <n v="0"/>
    <n v="0"/>
    <n v="12"/>
    <x v="1"/>
    <x v="0"/>
    <m/>
    <x v="0"/>
    <n v="258.5"/>
    <x v="0"/>
    <x v="12"/>
    <x v="2"/>
    <x v="0"/>
    <x v="0"/>
  </r>
  <r>
    <x v="1"/>
    <x v="13"/>
    <s v="2409 F"/>
    <x v="149"/>
    <s v="Usman Amin"/>
    <s v="LDN"/>
    <n v="19"/>
    <s v="7"/>
    <s v="LDN"/>
    <n v="400"/>
    <x v="0"/>
    <n v="2"/>
    <n v="130.85"/>
    <n v="4.5999999999999996"/>
    <m/>
    <x v="0"/>
    <n v="126.25"/>
    <n v="370.55"/>
    <m/>
    <x v="0"/>
    <x v="0"/>
    <n v="0"/>
    <n v="0"/>
    <x v="0"/>
    <x v="0"/>
    <m/>
    <x v="0"/>
    <x v="0"/>
    <x v="0"/>
    <x v="0"/>
    <x v="0"/>
    <n v="0"/>
    <n v="0"/>
    <n v="0"/>
    <n v="12"/>
    <x v="1"/>
    <x v="0"/>
    <m/>
    <x v="0"/>
    <n v="135.85"/>
    <x v="0"/>
    <x v="12"/>
    <x v="2"/>
    <x v="0"/>
    <x v="0"/>
  </r>
  <r>
    <x v="1"/>
    <x v="13"/>
    <s v="2410 F"/>
    <x v="149"/>
    <s v="Usman Amin"/>
    <s v="LDN"/>
    <n v="19"/>
    <s v="7"/>
    <s v="LDN"/>
    <n v="220"/>
    <x v="0"/>
    <n v="3"/>
    <n v="186.7"/>
    <n v="6.8999999999999995"/>
    <m/>
    <x v="0"/>
    <n v="179.79999999999998"/>
    <n v="242.89999999999998"/>
    <m/>
    <x v="0"/>
    <x v="0"/>
    <n v="0"/>
    <n v="0"/>
    <x v="0"/>
    <x v="0"/>
    <m/>
    <x v="0"/>
    <x v="0"/>
    <x v="0"/>
    <x v="0"/>
    <x v="0"/>
    <n v="0"/>
    <n v="0"/>
    <n v="0"/>
    <n v="12"/>
    <x v="1"/>
    <x v="0"/>
    <m/>
    <x v="0"/>
    <n v="191.7"/>
    <x v="0"/>
    <x v="12"/>
    <x v="2"/>
    <x v="0"/>
    <x v="0"/>
  </r>
  <r>
    <x v="0"/>
    <x v="14"/>
    <s v="266 R"/>
    <x v="149"/>
    <s v="ریفلیکٹ پیک"/>
    <s v="LDN"/>
    <n v="35"/>
    <s v="5-5.5"/>
    <s v="LDN"/>
    <n v="10000"/>
    <x v="0"/>
    <n v="11"/>
    <n v="846.3"/>
    <n v="46.2"/>
    <n v="15"/>
    <x v="0"/>
    <n v="800.09999999999991"/>
    <n v="9829.2000000000007"/>
    <n v="10"/>
    <x v="0"/>
    <x v="0"/>
    <n v="10"/>
    <n v="0.16666666666666666"/>
    <x v="0"/>
    <x v="0"/>
    <m/>
    <x v="0"/>
    <x v="0"/>
    <x v="0"/>
    <x v="0"/>
    <x v="0"/>
    <n v="0"/>
    <n v="0"/>
    <n v="0.16666666666666666"/>
    <n v="11.833333333333334"/>
    <x v="1"/>
    <x v="0"/>
    <m/>
    <x v="0"/>
    <n v="851.3"/>
    <x v="0"/>
    <x v="12"/>
    <x v="2"/>
    <x v="0"/>
    <x v="0"/>
  </r>
  <r>
    <x v="1"/>
    <x v="14"/>
    <s v="266 R"/>
    <x v="149"/>
    <s v="ریفلیکٹ پیک"/>
    <s v="LDN"/>
    <n v="35"/>
    <s v="5-5.5"/>
    <s v="LDN"/>
    <n v="10000"/>
    <x v="0"/>
    <n v="14"/>
    <n v="1138.97"/>
    <n v="58.800000000000004"/>
    <n v="10"/>
    <x v="0"/>
    <n v="1080.17"/>
    <n v="9829.2000000000007"/>
    <m/>
    <x v="0"/>
    <x v="0"/>
    <n v="0"/>
    <n v="0"/>
    <x v="0"/>
    <x v="0"/>
    <m/>
    <x v="0"/>
    <x v="0"/>
    <x v="0"/>
    <x v="0"/>
    <x v="0"/>
    <n v="0"/>
    <n v="0"/>
    <n v="0"/>
    <n v="12"/>
    <x v="1"/>
    <x v="0"/>
    <m/>
    <x v="0"/>
    <n v="1143.97"/>
    <x v="0"/>
    <x v="12"/>
    <x v="2"/>
    <x v="0"/>
    <x v="0"/>
  </r>
  <r>
    <x v="0"/>
    <x v="15"/>
    <s v="5390 J"/>
    <x v="149"/>
    <s v="Ibraheem Filter Industry (SMC.PVT.LTD)"/>
    <s v="LDN"/>
    <n v="16"/>
    <n v="8"/>
    <s v="LDN"/>
    <n v="0"/>
    <x v="0"/>
    <n v="5"/>
    <n v="248.4"/>
    <n v="10"/>
    <n v="5"/>
    <x v="0"/>
    <n v="238.4"/>
    <n v="801.86999999999989"/>
    <m/>
    <x v="0"/>
    <x v="0"/>
    <n v="0"/>
    <n v="0"/>
    <x v="0"/>
    <x v="0"/>
    <m/>
    <x v="2"/>
    <x v="0"/>
    <x v="0"/>
    <x v="0"/>
    <x v="0"/>
    <n v="5"/>
    <n v="8.3333333333333329E-2"/>
    <n v="8.3333333333333329E-2"/>
    <n v="11.916666666666666"/>
    <x v="1"/>
    <x v="0"/>
    <m/>
    <x v="0"/>
    <n v="253.4"/>
    <x v="0"/>
    <x v="12"/>
    <x v="2"/>
    <x v="0"/>
    <x v="0"/>
  </r>
  <r>
    <x v="1"/>
    <x v="15"/>
    <s v="5390 J"/>
    <x v="149"/>
    <s v="Ibraheem Filter Industry (SMC.PVT.LTD)"/>
    <s v="LDN"/>
    <n v="16"/>
    <n v="8"/>
    <s v="LDN"/>
    <n v="0"/>
    <x v="0"/>
    <n v="6"/>
    <n v="285.90999999999997"/>
    <n v="12"/>
    <n v="7"/>
    <x v="0"/>
    <n v="273.90999999999997"/>
    <n v="801.86999999999989"/>
    <m/>
    <x v="0"/>
    <x v="0"/>
    <n v="0"/>
    <n v="0"/>
    <x v="0"/>
    <x v="0"/>
    <m/>
    <x v="0"/>
    <x v="0"/>
    <x v="0"/>
    <x v="0"/>
    <x v="0"/>
    <n v="0"/>
    <n v="0"/>
    <n v="0"/>
    <n v="12"/>
    <x v="1"/>
    <x v="0"/>
    <m/>
    <x v="0"/>
    <n v="290.90999999999997"/>
    <x v="0"/>
    <x v="12"/>
    <x v="2"/>
    <x v="0"/>
    <x v="0"/>
  </r>
  <r>
    <x v="0"/>
    <x v="9"/>
    <s v="5307 J"/>
    <x v="150"/>
    <s v="G Mart Gujrat"/>
    <s v="LDN"/>
    <n v="7"/>
    <s v="12-13"/>
    <s v="LDN"/>
    <n v="200"/>
    <x v="0"/>
    <n v="1"/>
    <n v="59.8"/>
    <n v="0.9"/>
    <n v="2"/>
    <x v="0"/>
    <n v="58.9"/>
    <n v="157.6"/>
    <n v="4"/>
    <x v="0"/>
    <x v="0"/>
    <n v="4"/>
    <n v="6.6666666666666666E-2"/>
    <x v="0"/>
    <x v="0"/>
    <m/>
    <x v="0"/>
    <x v="0"/>
    <x v="0"/>
    <x v="0"/>
    <x v="0"/>
    <n v="0"/>
    <n v="0"/>
    <n v="6.6666666666666666E-2"/>
    <n v="11.933333333333334"/>
    <x v="1"/>
    <x v="0"/>
    <m/>
    <x v="0"/>
    <n v="64.8"/>
    <x v="0"/>
    <x v="12"/>
    <x v="2"/>
    <x v="0"/>
    <x v="0"/>
  </r>
  <r>
    <x v="0"/>
    <x v="9"/>
    <s v="2430 F"/>
    <x v="150"/>
    <s v="Usman Amin"/>
    <s v="LDN"/>
    <n v="7"/>
    <s v="7"/>
    <s v="LDN"/>
    <n v="20"/>
    <x v="0"/>
    <n v="1"/>
    <n v="47.2"/>
    <n v="0.9"/>
    <m/>
    <x v="0"/>
    <n v="46.300000000000004"/>
    <n v="46.300000000000004"/>
    <m/>
    <x v="0"/>
    <x v="0"/>
    <n v="0"/>
    <n v="0"/>
    <x v="0"/>
    <x v="0"/>
    <m/>
    <x v="0"/>
    <x v="0"/>
    <x v="0"/>
    <x v="0"/>
    <x v="0"/>
    <n v="0"/>
    <n v="0"/>
    <n v="0"/>
    <n v="12"/>
    <x v="1"/>
    <x v="0"/>
    <m/>
    <x v="0"/>
    <n v="52.2"/>
    <x v="0"/>
    <x v="12"/>
    <x v="2"/>
    <x v="0"/>
    <x v="0"/>
  </r>
  <r>
    <x v="0"/>
    <x v="9"/>
    <s v="5369 J"/>
    <x v="150"/>
    <s v="Mehboob Printers Gujranwala"/>
    <s v="LDN"/>
    <n v="8.5"/>
    <s v="6-6.5"/>
    <s v="LDN"/>
    <n v="100"/>
    <x v="0"/>
    <n v="1"/>
    <n v="47"/>
    <n v="1.1000000000000001"/>
    <m/>
    <x v="0"/>
    <n v="45.9"/>
    <n v="107.3"/>
    <m/>
    <x v="0"/>
    <x v="0"/>
    <n v="0"/>
    <n v="0"/>
    <x v="0"/>
    <x v="0"/>
    <m/>
    <x v="0"/>
    <x v="0"/>
    <x v="0"/>
    <x v="0"/>
    <x v="0"/>
    <n v="0"/>
    <n v="0"/>
    <n v="0"/>
    <n v="12"/>
    <x v="1"/>
    <x v="0"/>
    <m/>
    <x v="0"/>
    <n v="52"/>
    <x v="0"/>
    <x v="12"/>
    <x v="2"/>
    <x v="0"/>
    <x v="0"/>
  </r>
  <r>
    <x v="1"/>
    <x v="9"/>
    <s v="5369 J"/>
    <x v="150"/>
    <s v="Mehboob Printers Gujranwala"/>
    <s v="LDN"/>
    <n v="8.5"/>
    <s v="6-6.5"/>
    <s v="LDN"/>
    <n v="100"/>
    <x v="0"/>
    <n v="2"/>
    <n v="63.6"/>
    <n v="2.2000000000000002"/>
    <m/>
    <x v="0"/>
    <n v="61.4"/>
    <n v="107.3"/>
    <n v="4"/>
    <x v="0"/>
    <x v="0"/>
    <n v="4"/>
    <n v="6.6666666666666666E-2"/>
    <x v="0"/>
    <x v="0"/>
    <m/>
    <x v="0"/>
    <x v="0"/>
    <x v="0"/>
    <x v="0"/>
    <x v="0"/>
    <n v="0"/>
    <n v="0"/>
    <n v="6.6666666666666666E-2"/>
    <n v="11.933333333333334"/>
    <x v="1"/>
    <x v="0"/>
    <m/>
    <x v="0"/>
    <n v="68.599999999999994"/>
    <x v="0"/>
    <x v="12"/>
    <x v="2"/>
    <x v="0"/>
    <x v="0"/>
  </r>
  <r>
    <x v="1"/>
    <x v="9"/>
    <s v="5421 J"/>
    <x v="150"/>
    <s v="Bandu Khan Lahore"/>
    <s v="LDN"/>
    <n v="8"/>
    <s v="6-6.5"/>
    <s v="LDN"/>
    <n v="200"/>
    <x v="0"/>
    <n v="2"/>
    <n v="82.58"/>
    <n v="2"/>
    <m/>
    <x v="0"/>
    <n v="80.58"/>
    <n v="199.98"/>
    <m/>
    <x v="0"/>
    <x v="0"/>
    <n v="0"/>
    <n v="0"/>
    <x v="0"/>
    <x v="0"/>
    <m/>
    <x v="0"/>
    <x v="0"/>
    <x v="0"/>
    <x v="0"/>
    <x v="0"/>
    <n v="0"/>
    <n v="0"/>
    <n v="0"/>
    <n v="12"/>
    <x v="1"/>
    <x v="0"/>
    <m/>
    <x v="0"/>
    <n v="87.58"/>
    <x v="0"/>
    <x v="12"/>
    <x v="2"/>
    <x v="0"/>
    <x v="0"/>
  </r>
  <r>
    <x v="0"/>
    <x v="11"/>
    <s v="5348 J"/>
    <x v="150"/>
    <s v="Nawab Jilani Plastic Layyah"/>
    <s v="LDM"/>
    <s v="12+3+3"/>
    <s v="10-10.5/20-21"/>
    <s v="LDM"/>
    <n v="110"/>
    <x v="0"/>
    <n v="1"/>
    <n v="55.8"/>
    <n v="1.5"/>
    <n v="55"/>
    <x v="0"/>
    <n v="54.3"/>
    <n v="104.1"/>
    <n v="80"/>
    <x v="0"/>
    <x v="0"/>
    <n v="80"/>
    <n v="1.3333333333333333"/>
    <x v="0"/>
    <x v="0"/>
    <m/>
    <x v="0"/>
    <x v="0"/>
    <x v="0"/>
    <x v="0"/>
    <x v="0"/>
    <n v="0"/>
    <n v="0"/>
    <n v="1.3333333333333333"/>
    <n v="10.666666666666666"/>
    <x v="1"/>
    <x v="0"/>
    <m/>
    <x v="0"/>
    <n v="60.8"/>
    <x v="0"/>
    <x v="12"/>
    <x v="2"/>
    <x v="0"/>
    <x v="0"/>
  </r>
  <r>
    <x v="0"/>
    <x v="11"/>
    <s v="5381 J"/>
    <x v="150"/>
    <s v="Mughal Plastic Store Layyah"/>
    <s v="LDM"/>
    <n v="21"/>
    <s v="16-17"/>
    <s v="LDM"/>
    <n v="100"/>
    <x v="0"/>
    <n v="2"/>
    <n v="115.9"/>
    <n v="7.2"/>
    <m/>
    <x v="0"/>
    <n v="108.7"/>
    <n v="108.7"/>
    <m/>
    <x v="0"/>
    <x v="0"/>
    <n v="0"/>
    <n v="0"/>
    <x v="0"/>
    <x v="0"/>
    <m/>
    <x v="0"/>
    <x v="0"/>
    <x v="0"/>
    <x v="0"/>
    <x v="0"/>
    <n v="0"/>
    <n v="0"/>
    <n v="0"/>
    <n v="12"/>
    <x v="1"/>
    <x v="0"/>
    <m/>
    <x v="0"/>
    <n v="120.9"/>
    <x v="0"/>
    <x v="12"/>
    <x v="2"/>
    <x v="0"/>
    <x v="0"/>
  </r>
  <r>
    <x v="0"/>
    <x v="11"/>
    <s v="5330 J"/>
    <x v="150"/>
    <s v="Waseem Garments Sheikhpura"/>
    <s v="LD کریم"/>
    <s v="12+3+3"/>
    <s v="7.5-8/15-16"/>
    <s v="LDM"/>
    <n v="110"/>
    <x v="0"/>
    <n v="3"/>
    <n v="111.4"/>
    <n v="4.5"/>
    <m/>
    <x v="0"/>
    <n v="106.9"/>
    <n v="106.9"/>
    <m/>
    <x v="0"/>
    <x v="0"/>
    <n v="0"/>
    <n v="0"/>
    <x v="0"/>
    <x v="0"/>
    <m/>
    <x v="0"/>
    <x v="0"/>
    <x v="0"/>
    <x v="0"/>
    <x v="0"/>
    <n v="0"/>
    <n v="0"/>
    <n v="0"/>
    <n v="12"/>
    <x v="1"/>
    <x v="0"/>
    <m/>
    <x v="0"/>
    <n v="116.4"/>
    <x v="0"/>
    <x v="12"/>
    <x v="2"/>
    <x v="0"/>
    <x v="0"/>
  </r>
  <r>
    <x v="0"/>
    <x v="11"/>
    <s v="5350 J"/>
    <x v="150"/>
    <s v="cash sale"/>
    <s v="LDM"/>
    <n v="22"/>
    <s v="13-14"/>
    <s v="LDM"/>
    <n v="0"/>
    <x v="0"/>
    <n v="2"/>
    <n v="120.3"/>
    <n v="7.2"/>
    <m/>
    <x v="0"/>
    <n v="113.1"/>
    <n v="113.1"/>
    <m/>
    <x v="0"/>
    <x v="0"/>
    <n v="0"/>
    <n v="0"/>
    <x v="0"/>
    <x v="0"/>
    <m/>
    <x v="0"/>
    <x v="0"/>
    <x v="0"/>
    <x v="0"/>
    <x v="0"/>
    <n v="0"/>
    <n v="0"/>
    <n v="0"/>
    <n v="12"/>
    <x v="1"/>
    <x v="0"/>
    <m/>
    <x v="0"/>
    <n v="125.3"/>
    <x v="0"/>
    <x v="12"/>
    <x v="2"/>
    <x v="0"/>
    <x v="0"/>
  </r>
  <r>
    <x v="1"/>
    <x v="11"/>
    <s v="5266 J"/>
    <x v="150"/>
    <s v="Berger Paint Lahore"/>
    <s v="LDM"/>
    <n v="18"/>
    <s v="-"/>
    <s v="LDM"/>
    <n v="1000"/>
    <x v="0"/>
    <n v="6"/>
    <n v="573.03"/>
    <n v="12"/>
    <n v="4.2"/>
    <x v="0"/>
    <n v="561.03"/>
    <n v="1043.9299999999998"/>
    <m/>
    <x v="0"/>
    <x v="0"/>
    <n v="0"/>
    <n v="0"/>
    <x v="0"/>
    <x v="0"/>
    <m/>
    <x v="11"/>
    <x v="0"/>
    <x v="0"/>
    <x v="0"/>
    <x v="0"/>
    <n v="4"/>
    <n v="6.6666666666666666E-2"/>
    <n v="6.6666666666666666E-2"/>
    <n v="11.933333333333334"/>
    <x v="1"/>
    <x v="0"/>
    <m/>
    <x v="0"/>
    <n v="578.03"/>
    <x v="0"/>
    <x v="12"/>
    <x v="2"/>
    <x v="0"/>
    <x v="0"/>
  </r>
  <r>
    <x v="0"/>
    <x v="13"/>
    <s v="2411 F"/>
    <x v="150"/>
    <s v="Usman Amin"/>
    <s v="LDN"/>
    <n v="23"/>
    <s v="7"/>
    <s v="LDN"/>
    <n v="180"/>
    <x v="0"/>
    <n v="2"/>
    <n v="154.80000000000001"/>
    <n v="7.2"/>
    <n v="15"/>
    <x v="0"/>
    <n v="147.60000000000002"/>
    <n v="147.60000000000002"/>
    <n v="10"/>
    <x v="7"/>
    <x v="0"/>
    <n v="45"/>
    <n v="0.75"/>
    <x v="0"/>
    <x v="0"/>
    <n v="120"/>
    <x v="0"/>
    <x v="0"/>
    <x v="0"/>
    <x v="0"/>
    <x v="0"/>
    <n v="120"/>
    <n v="2"/>
    <n v="2.75"/>
    <n v="9.25"/>
    <x v="1"/>
    <x v="0"/>
    <m/>
    <x v="0"/>
    <n v="159.80000000000001"/>
    <x v="0"/>
    <x v="12"/>
    <x v="2"/>
    <x v="0"/>
    <x v="0"/>
  </r>
  <r>
    <x v="0"/>
    <x v="13"/>
    <s v="2410 F"/>
    <x v="150"/>
    <s v="Usman Amin"/>
    <s v="LDN"/>
    <n v="19"/>
    <s v="7"/>
    <s v="LDN"/>
    <n v="220"/>
    <x v="0"/>
    <n v="1"/>
    <n v="65.400000000000006"/>
    <n v="2.2999999999999998"/>
    <m/>
    <x v="0"/>
    <n v="63.100000000000009"/>
    <n v="242.89999999999998"/>
    <m/>
    <x v="0"/>
    <x v="0"/>
    <n v="0"/>
    <n v="0"/>
    <x v="0"/>
    <x v="0"/>
    <m/>
    <x v="0"/>
    <x v="0"/>
    <x v="0"/>
    <x v="0"/>
    <x v="0"/>
    <n v="0"/>
    <n v="0"/>
    <n v="0"/>
    <n v="12"/>
    <x v="1"/>
    <x v="0"/>
    <m/>
    <x v="0"/>
    <n v="70.400000000000006"/>
    <x v="0"/>
    <x v="12"/>
    <x v="2"/>
    <x v="0"/>
    <x v="0"/>
  </r>
  <r>
    <x v="0"/>
    <x v="13"/>
    <s v="2424 F"/>
    <x v="150"/>
    <s v="Usman Amin"/>
    <s v="LDN"/>
    <n v="25"/>
    <s v="7"/>
    <s v="LDN"/>
    <n v="230"/>
    <x v="0"/>
    <n v="1"/>
    <n v="78"/>
    <n v="3.6"/>
    <m/>
    <x v="0"/>
    <n v="74.400000000000006"/>
    <n v="226.95000000000002"/>
    <m/>
    <x v="0"/>
    <x v="0"/>
    <n v="0"/>
    <n v="0"/>
    <x v="0"/>
    <x v="0"/>
    <m/>
    <x v="0"/>
    <x v="0"/>
    <x v="0"/>
    <x v="0"/>
    <x v="0"/>
    <n v="0"/>
    <n v="0"/>
    <n v="0"/>
    <n v="12"/>
    <x v="1"/>
    <x v="0"/>
    <m/>
    <x v="0"/>
    <n v="83"/>
    <x v="0"/>
    <x v="12"/>
    <x v="2"/>
    <x v="0"/>
    <x v="0"/>
  </r>
  <r>
    <x v="1"/>
    <x v="13"/>
    <s v="2424 F"/>
    <x v="150"/>
    <s v="Usman Amin"/>
    <s v="LDN"/>
    <n v="25"/>
    <s v="7"/>
    <s v="LDN"/>
    <n v="230"/>
    <x v="0"/>
    <n v="2"/>
    <n v="159.75"/>
    <n v="7.2"/>
    <n v="12.3"/>
    <x v="0"/>
    <n v="152.55000000000001"/>
    <n v="226.95000000000002"/>
    <n v="5"/>
    <x v="0"/>
    <x v="0"/>
    <n v="5"/>
    <n v="8.3333333333333329E-2"/>
    <x v="0"/>
    <x v="0"/>
    <m/>
    <x v="0"/>
    <x v="0"/>
    <x v="0"/>
    <x v="0"/>
    <x v="0"/>
    <n v="0"/>
    <n v="0"/>
    <n v="8.3333333333333329E-2"/>
    <n v="11.916666666666666"/>
    <x v="1"/>
    <x v="0"/>
    <m/>
    <x v="0"/>
    <n v="164.75"/>
    <x v="0"/>
    <x v="12"/>
    <x v="2"/>
    <x v="0"/>
    <x v="0"/>
  </r>
  <r>
    <x v="1"/>
    <x v="13"/>
    <s v="2420 F"/>
    <x v="150"/>
    <s v="Usman Amin"/>
    <s v="LDN "/>
    <n v="25"/>
    <s v="8-8.5"/>
    <s v="LDN "/>
    <n v="50"/>
    <x v="0"/>
    <n v="1"/>
    <n v="61.6"/>
    <n v="3.6"/>
    <m/>
    <x v="0"/>
    <n v="58"/>
    <n v="58"/>
    <m/>
    <x v="0"/>
    <x v="0"/>
    <n v="0"/>
    <n v="0"/>
    <x v="0"/>
    <x v="0"/>
    <m/>
    <x v="0"/>
    <x v="0"/>
    <x v="0"/>
    <x v="0"/>
    <x v="0"/>
    <n v="0"/>
    <n v="0"/>
    <n v="0"/>
    <n v="12"/>
    <x v="1"/>
    <x v="0"/>
    <m/>
    <x v="0"/>
    <n v="66.599999999999994"/>
    <x v="0"/>
    <x v="12"/>
    <x v="2"/>
    <x v="0"/>
    <x v="0"/>
  </r>
  <r>
    <x v="1"/>
    <x v="13"/>
    <s v="5392 J"/>
    <x v="150"/>
    <s v="M K B Peshawar"/>
    <s v="LDN"/>
    <n v="22"/>
    <s v="6-6.5"/>
    <s v="LDN"/>
    <n v="300"/>
    <x v="0"/>
    <n v="3"/>
    <n v="192.41"/>
    <n v="8.6999999999999993"/>
    <m/>
    <x v="0"/>
    <n v="183.71"/>
    <n v="233.61"/>
    <m/>
    <x v="0"/>
    <x v="0"/>
    <n v="0"/>
    <n v="0"/>
    <x v="0"/>
    <x v="0"/>
    <m/>
    <x v="0"/>
    <x v="0"/>
    <x v="0"/>
    <x v="0"/>
    <x v="0"/>
    <n v="0"/>
    <n v="0"/>
    <n v="0"/>
    <n v="12"/>
    <x v="1"/>
    <x v="0"/>
    <m/>
    <x v="0"/>
    <n v="197.41"/>
    <x v="0"/>
    <x v="12"/>
    <x v="2"/>
    <x v="0"/>
    <x v="0"/>
  </r>
  <r>
    <x v="0"/>
    <x v="14"/>
    <s v="266 R"/>
    <x v="150"/>
    <s v="ریفلیکٹ پیک"/>
    <s v="LDN"/>
    <n v="35"/>
    <s v="5-5.5"/>
    <s v="LDN"/>
    <n v="10000"/>
    <x v="0"/>
    <n v="12"/>
    <n v="963.5"/>
    <n v="50.4"/>
    <n v="7"/>
    <x v="0"/>
    <n v="913.1"/>
    <n v="9829.2000000000007"/>
    <m/>
    <x v="0"/>
    <x v="0"/>
    <n v="0"/>
    <n v="0"/>
    <x v="0"/>
    <x v="0"/>
    <m/>
    <x v="2"/>
    <x v="0"/>
    <x v="0"/>
    <x v="0"/>
    <x v="0"/>
    <n v="5"/>
    <n v="8.3333333333333329E-2"/>
    <n v="8.3333333333333329E-2"/>
    <n v="11.916666666666666"/>
    <x v="1"/>
    <x v="0"/>
    <m/>
    <x v="0"/>
    <n v="968.5"/>
    <x v="0"/>
    <x v="12"/>
    <x v="2"/>
    <x v="0"/>
    <x v="0"/>
  </r>
  <r>
    <x v="1"/>
    <x v="14"/>
    <s v="266 R"/>
    <x v="150"/>
    <s v="ریفلیکٹ پیک"/>
    <s v="LDN"/>
    <n v="35"/>
    <s v="5-5.5"/>
    <s v="LDN"/>
    <n v="10000"/>
    <x v="0"/>
    <n v="12"/>
    <n v="918.5"/>
    <n v="50.4"/>
    <n v="22.5"/>
    <x v="0"/>
    <n v="868.1"/>
    <n v="9829.2000000000007"/>
    <m/>
    <x v="0"/>
    <x v="0"/>
    <n v="0"/>
    <n v="0"/>
    <x v="0"/>
    <x v="2"/>
    <m/>
    <x v="0"/>
    <x v="0"/>
    <x v="0"/>
    <x v="0"/>
    <x v="0"/>
    <n v="20"/>
    <n v="0.33333333333333331"/>
    <n v="0.33333333333333331"/>
    <n v="11.666666666666666"/>
    <x v="1"/>
    <x v="0"/>
    <m/>
    <x v="0"/>
    <n v="923.5"/>
    <x v="0"/>
    <x v="12"/>
    <x v="2"/>
    <x v="0"/>
    <x v="0"/>
  </r>
  <r>
    <x v="0"/>
    <x v="15"/>
    <s v="5390 J"/>
    <x v="150"/>
    <s v="Ibraheem Filter Industry (SMC.PVT.LTD)"/>
    <s v="LDN"/>
    <n v="16"/>
    <n v="8"/>
    <s v="LDN"/>
    <n v="0"/>
    <x v="0"/>
    <n v="5"/>
    <n v="252.04999999999998"/>
    <n v="10"/>
    <n v="4.67"/>
    <x v="0"/>
    <n v="242.04999999999998"/>
    <n v="801.86999999999989"/>
    <m/>
    <x v="0"/>
    <x v="0"/>
    <n v="0"/>
    <n v="0"/>
    <x v="0"/>
    <x v="0"/>
    <m/>
    <x v="0"/>
    <x v="0"/>
    <x v="0"/>
    <x v="0"/>
    <x v="0"/>
    <n v="0"/>
    <n v="0"/>
    <n v="0"/>
    <n v="12"/>
    <x v="1"/>
    <x v="0"/>
    <m/>
    <x v="0"/>
    <n v="257.04999999999995"/>
    <x v="0"/>
    <x v="12"/>
    <x v="2"/>
    <x v="0"/>
    <x v="0"/>
  </r>
  <r>
    <x v="0"/>
    <x v="15"/>
    <s v="5220 J"/>
    <x v="150"/>
    <s v="Usman Arif Butt Gujranwala"/>
    <s v="LDN"/>
    <n v="16"/>
    <s v="7"/>
    <s v="LDN"/>
    <n v="100"/>
    <x v="0"/>
    <n v="1"/>
    <n v="52.55"/>
    <n v="2"/>
    <m/>
    <x v="0"/>
    <n v="50.55"/>
    <n v="93.25"/>
    <m/>
    <x v="0"/>
    <x v="0"/>
    <n v="0"/>
    <n v="0"/>
    <x v="0"/>
    <x v="0"/>
    <m/>
    <x v="0"/>
    <x v="0"/>
    <x v="0"/>
    <x v="0"/>
    <x v="0"/>
    <n v="0"/>
    <n v="0"/>
    <n v="0"/>
    <n v="12"/>
    <x v="1"/>
    <x v="0"/>
    <m/>
    <x v="0"/>
    <n v="57.55"/>
    <x v="0"/>
    <x v="12"/>
    <x v="2"/>
    <x v="0"/>
    <x v="0"/>
  </r>
  <r>
    <x v="1"/>
    <x v="15"/>
    <s v="5370 J"/>
    <x v="150"/>
    <s v="Farooq Textile Lahore"/>
    <s v="LDN"/>
    <n v="14"/>
    <s v="7.5-8"/>
    <s v="LDN"/>
    <n v="100"/>
    <x v="0"/>
    <n v="2"/>
    <n v="107.1"/>
    <n v="3.5"/>
    <n v="6.5"/>
    <x v="0"/>
    <n v="103.6"/>
    <n v="103.6"/>
    <n v="5"/>
    <x v="0"/>
    <x v="0"/>
    <n v="5"/>
    <n v="8.3333333333333329E-2"/>
    <x v="0"/>
    <x v="0"/>
    <m/>
    <x v="0"/>
    <x v="0"/>
    <x v="0"/>
    <x v="0"/>
    <x v="0"/>
    <n v="0"/>
    <n v="0"/>
    <n v="8.3333333333333329E-2"/>
    <n v="11.916666666666666"/>
    <x v="1"/>
    <x v="0"/>
    <m/>
    <x v="0"/>
    <n v="112.1"/>
    <x v="0"/>
    <x v="12"/>
    <x v="2"/>
    <x v="0"/>
    <x v="0"/>
  </r>
  <r>
    <x v="1"/>
    <x v="15"/>
    <s v="5371 J"/>
    <x v="150"/>
    <s v="Farooq Textile Lahore"/>
    <s v="LDN"/>
    <n v="14"/>
    <s v="7.5-8"/>
    <s v="LDN"/>
    <n v="100"/>
    <x v="0"/>
    <n v="2"/>
    <n v="106.7"/>
    <n v="3.6"/>
    <m/>
    <x v="0"/>
    <n v="103.10000000000001"/>
    <n v="103.10000000000001"/>
    <m/>
    <x v="0"/>
    <x v="0"/>
    <n v="0"/>
    <n v="0"/>
    <x v="0"/>
    <x v="0"/>
    <m/>
    <x v="0"/>
    <x v="0"/>
    <x v="0"/>
    <x v="0"/>
    <x v="0"/>
    <n v="0"/>
    <n v="0"/>
    <n v="0"/>
    <n v="12"/>
    <x v="1"/>
    <x v="0"/>
    <m/>
    <x v="0"/>
    <n v="111.7"/>
    <x v="0"/>
    <x v="12"/>
    <x v="2"/>
    <x v="0"/>
    <x v="0"/>
  </r>
  <r>
    <x v="1"/>
    <x v="15"/>
    <s v="5374 J"/>
    <x v="150"/>
    <s v="Atlas Honda LTD (KARACHI)"/>
    <s v="LDN"/>
    <n v="16"/>
    <s v="12.5-13"/>
    <s v="LDN"/>
    <n v="0"/>
    <x v="0"/>
    <n v="2"/>
    <n v="109.11"/>
    <n v="3.8"/>
    <m/>
    <x v="0"/>
    <n v="105.31"/>
    <n v="105.31"/>
    <m/>
    <x v="0"/>
    <x v="0"/>
    <n v="0"/>
    <n v="0"/>
    <x v="0"/>
    <x v="0"/>
    <m/>
    <x v="0"/>
    <x v="0"/>
    <x v="0"/>
    <x v="0"/>
    <x v="0"/>
    <n v="0"/>
    <n v="0"/>
    <n v="0"/>
    <n v="12"/>
    <x v="1"/>
    <x v="0"/>
    <m/>
    <x v="0"/>
    <n v="114.11"/>
    <x v="0"/>
    <x v="12"/>
    <x v="2"/>
    <x v="0"/>
    <x v="0"/>
  </r>
  <r>
    <x v="0"/>
    <x v="9"/>
    <s v="5421 J"/>
    <x v="151"/>
    <s v="Bandu Khan Lahore"/>
    <s v="LDN"/>
    <n v="8"/>
    <s v="6-6.5"/>
    <s v="LDN"/>
    <n v="200"/>
    <x v="0"/>
    <n v="3"/>
    <n v="122.39999999999999"/>
    <n v="3"/>
    <m/>
    <x v="0"/>
    <n v="119.39999999999999"/>
    <n v="199.98"/>
    <m/>
    <x v="0"/>
    <x v="0"/>
    <n v="0"/>
    <n v="0"/>
    <x v="0"/>
    <x v="0"/>
    <m/>
    <x v="0"/>
    <x v="0"/>
    <x v="0"/>
    <x v="0"/>
    <x v="0"/>
    <n v="0"/>
    <n v="0"/>
    <n v="0"/>
    <n v="12"/>
    <x v="1"/>
    <x v="0"/>
    <m/>
    <x v="0"/>
    <n v="127.39999999999999"/>
    <x v="0"/>
    <x v="13"/>
    <x v="3"/>
    <x v="0"/>
    <x v="0"/>
  </r>
  <r>
    <x v="0"/>
    <x v="9"/>
    <s v="5302 J"/>
    <x v="151"/>
    <s v="Zam Zam Cap Lahore"/>
    <s v="LDN"/>
    <n v="15"/>
    <s v="4.5-5"/>
    <s v="LDN"/>
    <n v="100"/>
    <x v="0"/>
    <n v="2"/>
    <n v="64.599999999999994"/>
    <n v="3.4"/>
    <m/>
    <x v="0"/>
    <n v="61.199999999999996"/>
    <n v="97.899999999999991"/>
    <m/>
    <x v="0"/>
    <x v="0"/>
    <n v="0"/>
    <n v="0"/>
    <x v="0"/>
    <x v="0"/>
    <m/>
    <x v="0"/>
    <x v="0"/>
    <x v="0"/>
    <x v="0"/>
    <x v="0"/>
    <n v="0"/>
    <n v="0"/>
    <n v="0"/>
    <n v="12"/>
    <x v="1"/>
    <x v="0"/>
    <m/>
    <x v="0"/>
    <n v="69.599999999999994"/>
    <x v="0"/>
    <x v="13"/>
    <x v="3"/>
    <x v="0"/>
    <x v="0"/>
  </r>
  <r>
    <x v="1"/>
    <x v="9"/>
    <s v="5302 J"/>
    <x v="151"/>
    <s v="Zam Zam Cap Lahore"/>
    <s v="LDN"/>
    <n v="15"/>
    <s v="4.5-5"/>
    <s v="LDN"/>
    <n v="100"/>
    <x v="0"/>
    <n v="1"/>
    <n v="38.4"/>
    <n v="1.7"/>
    <m/>
    <x v="0"/>
    <n v="36.699999999999996"/>
    <n v="97.899999999999991"/>
    <m/>
    <x v="0"/>
    <x v="0"/>
    <n v="0"/>
    <n v="0"/>
    <x v="0"/>
    <x v="0"/>
    <m/>
    <x v="0"/>
    <x v="0"/>
    <x v="0"/>
    <x v="0"/>
    <x v="0"/>
    <n v="0"/>
    <n v="0"/>
    <n v="0"/>
    <n v="12"/>
    <x v="1"/>
    <x v="0"/>
    <m/>
    <x v="0"/>
    <n v="43.4"/>
    <x v="0"/>
    <x v="13"/>
    <x v="3"/>
    <x v="0"/>
    <x v="0"/>
  </r>
  <r>
    <x v="1"/>
    <x v="9"/>
    <s v="5405 J"/>
    <x v="151"/>
    <s v="Pizza Bank And Fast Food Kamoki"/>
    <s v="LDN"/>
    <n v="10"/>
    <s v="12-12.5"/>
    <s v="LDN"/>
    <n v="125"/>
    <x v="0"/>
    <n v="3"/>
    <n v="136.10000000000002"/>
    <n v="3.5999999999999996"/>
    <m/>
    <x v="0"/>
    <n v="132.50000000000003"/>
    <n v="132.50000000000003"/>
    <m/>
    <x v="0"/>
    <x v="0"/>
    <n v="0"/>
    <n v="0"/>
    <x v="0"/>
    <x v="0"/>
    <m/>
    <x v="0"/>
    <x v="0"/>
    <x v="0"/>
    <x v="0"/>
    <x v="0"/>
    <n v="0"/>
    <n v="0"/>
    <n v="0"/>
    <n v="12"/>
    <x v="1"/>
    <x v="0"/>
    <m/>
    <x v="0"/>
    <n v="141.10000000000002"/>
    <x v="0"/>
    <x v="13"/>
    <x v="3"/>
    <x v="0"/>
    <x v="0"/>
  </r>
  <r>
    <x v="0"/>
    <x v="11"/>
    <s v="5266 J"/>
    <x v="151"/>
    <s v="Berger Paint Lahore"/>
    <s v="LDM"/>
    <n v="18"/>
    <s v="-"/>
    <s v="LDM"/>
    <n v="1000"/>
    <x v="0"/>
    <n v="6"/>
    <n v="496.09999999999997"/>
    <n v="13.200000000000001"/>
    <n v="7.3"/>
    <x v="0"/>
    <n v="482.9"/>
    <n v="1043.9299999999998"/>
    <m/>
    <x v="0"/>
    <x v="0"/>
    <n v="0"/>
    <n v="0"/>
    <x v="0"/>
    <x v="0"/>
    <m/>
    <x v="0"/>
    <x v="0"/>
    <x v="0"/>
    <x v="0"/>
    <x v="0"/>
    <n v="0"/>
    <n v="0"/>
    <n v="0"/>
    <n v="12"/>
    <x v="1"/>
    <x v="0"/>
    <m/>
    <x v="0"/>
    <n v="501.09999999999997"/>
    <x v="0"/>
    <x v="13"/>
    <x v="3"/>
    <x v="0"/>
    <x v="0"/>
  </r>
  <r>
    <x v="0"/>
    <x v="11"/>
    <s v="5398 J"/>
    <x v="151"/>
    <s v="Sanny Fashion Lahore"/>
    <s v="LDM"/>
    <n v="15"/>
    <s v="12-13"/>
    <s v="LDM"/>
    <n v="100"/>
    <x v="0"/>
    <n v="1"/>
    <n v="44.9"/>
    <n v="1.7"/>
    <m/>
    <x v="0"/>
    <n v="43.199999999999996"/>
    <n v="113.1"/>
    <m/>
    <x v="0"/>
    <x v="0"/>
    <n v="0"/>
    <n v="0"/>
    <x v="0"/>
    <x v="0"/>
    <m/>
    <x v="0"/>
    <x v="0"/>
    <x v="0"/>
    <x v="0"/>
    <x v="0"/>
    <n v="0"/>
    <n v="0"/>
    <n v="0"/>
    <n v="12"/>
    <x v="1"/>
    <x v="0"/>
    <m/>
    <x v="0"/>
    <n v="49.9"/>
    <x v="0"/>
    <x v="13"/>
    <x v="3"/>
    <x v="0"/>
    <x v="0"/>
  </r>
  <r>
    <x v="1"/>
    <x v="11"/>
    <s v="5398 J"/>
    <x v="151"/>
    <s v="Sanny Fashion Lahore"/>
    <s v="LDM"/>
    <n v="15"/>
    <s v="12-13"/>
    <s v="LDM"/>
    <n v="100"/>
    <x v="0"/>
    <n v="1"/>
    <n v="71.599999999999994"/>
    <n v="1.7"/>
    <m/>
    <x v="0"/>
    <n v="69.899999999999991"/>
    <n v="113.1"/>
    <m/>
    <x v="0"/>
    <x v="0"/>
    <n v="0"/>
    <n v="0"/>
    <x v="0"/>
    <x v="0"/>
    <m/>
    <x v="0"/>
    <x v="0"/>
    <x v="0"/>
    <x v="0"/>
    <x v="0"/>
    <n v="0"/>
    <n v="0"/>
    <n v="0"/>
    <n v="12"/>
    <x v="1"/>
    <x v="0"/>
    <m/>
    <x v="0"/>
    <n v="76.599999999999994"/>
    <x v="0"/>
    <x v="13"/>
    <x v="3"/>
    <x v="0"/>
    <x v="0"/>
  </r>
  <r>
    <x v="1"/>
    <x v="11"/>
    <s v="5420 J"/>
    <x v="151"/>
    <s v="Moazmi Plastic Sahiwal "/>
    <s v="LDM"/>
    <n v="7"/>
    <n v="18"/>
    <s v="LDM"/>
    <n v="100"/>
    <x v="0"/>
    <n v="2"/>
    <n v="71.099999999999994"/>
    <n v="1.8"/>
    <m/>
    <x v="0"/>
    <n v="69.3"/>
    <n v="69.3"/>
    <n v="5"/>
    <x v="0"/>
    <x v="0"/>
    <n v="5"/>
    <n v="8.3333333333333329E-2"/>
    <x v="0"/>
    <x v="0"/>
    <m/>
    <x v="0"/>
    <x v="0"/>
    <x v="0"/>
    <x v="0"/>
    <x v="0"/>
    <n v="0"/>
    <n v="0"/>
    <n v="8.3333333333333329E-2"/>
    <n v="11.916666666666666"/>
    <x v="1"/>
    <x v="0"/>
    <m/>
    <x v="0"/>
    <n v="76.099999999999994"/>
    <x v="0"/>
    <x v="13"/>
    <x v="3"/>
    <x v="0"/>
    <x v="0"/>
  </r>
  <r>
    <x v="1"/>
    <x v="11"/>
    <s v="5419 J"/>
    <x v="151"/>
    <s v="Moazmi Plastic Sahiwal "/>
    <s v="LDM"/>
    <n v="7"/>
    <n v="18"/>
    <s v="LDM"/>
    <n v="100"/>
    <x v="0"/>
    <n v="2"/>
    <n v="62.599999999999994"/>
    <n v="1.8"/>
    <m/>
    <x v="0"/>
    <n v="60.8"/>
    <n v="96.699999999999989"/>
    <m/>
    <x v="0"/>
    <x v="0"/>
    <n v="0"/>
    <n v="0"/>
    <x v="0"/>
    <x v="0"/>
    <m/>
    <x v="0"/>
    <x v="0"/>
    <x v="0"/>
    <x v="0"/>
    <x v="0"/>
    <n v="0"/>
    <n v="0"/>
    <n v="0"/>
    <n v="12"/>
    <x v="1"/>
    <x v="0"/>
    <m/>
    <x v="0"/>
    <n v="67.599999999999994"/>
    <x v="0"/>
    <x v="13"/>
    <x v="3"/>
    <x v="0"/>
    <x v="0"/>
  </r>
  <r>
    <x v="0"/>
    <x v="13"/>
    <s v="5392 J"/>
    <x v="151"/>
    <s v="M K B Peshawar"/>
    <s v="LDN"/>
    <n v="22"/>
    <s v="6-6.5"/>
    <s v="LDN"/>
    <n v="300"/>
    <x v="0"/>
    <n v="1"/>
    <n v="52.7"/>
    <n v="2.8"/>
    <n v="20"/>
    <x v="0"/>
    <n v="49.900000000000006"/>
    <n v="233.61"/>
    <n v="10"/>
    <x v="0"/>
    <x v="0"/>
    <n v="10"/>
    <n v="0.16666666666666666"/>
    <x v="0"/>
    <x v="0"/>
    <m/>
    <x v="14"/>
    <x v="0"/>
    <x v="0"/>
    <x v="0"/>
    <x v="0"/>
    <n v="9"/>
    <n v="0.15"/>
    <n v="0.31666666666666665"/>
    <n v="11.683333333333334"/>
    <x v="1"/>
    <x v="0"/>
    <m/>
    <x v="0"/>
    <n v="57.7"/>
    <x v="0"/>
    <x v="13"/>
    <x v="3"/>
    <x v="0"/>
    <x v="0"/>
  </r>
  <r>
    <x v="0"/>
    <x v="13"/>
    <s v="2431 F"/>
    <x v="151"/>
    <s v="Usman Amin"/>
    <s v="LDN"/>
    <n v="17.5"/>
    <s v="5-5.5"/>
    <s v="LDN"/>
    <n v="115"/>
    <x v="0"/>
    <n v="3"/>
    <n v="122.1"/>
    <n v="6.6000000000000005"/>
    <m/>
    <x v="0"/>
    <n v="115.5"/>
    <n v="115.5"/>
    <m/>
    <x v="0"/>
    <x v="0"/>
    <n v="0"/>
    <n v="0"/>
    <x v="0"/>
    <x v="0"/>
    <m/>
    <x v="0"/>
    <x v="0"/>
    <x v="0"/>
    <x v="0"/>
    <x v="0"/>
    <n v="0"/>
    <n v="0"/>
    <n v="0"/>
    <n v="12"/>
    <x v="1"/>
    <x v="0"/>
    <m/>
    <x v="0"/>
    <n v="127.1"/>
    <x v="0"/>
    <x v="13"/>
    <x v="3"/>
    <x v="0"/>
    <x v="0"/>
  </r>
  <r>
    <x v="0"/>
    <x v="13"/>
    <s v="2414 F"/>
    <x v="151"/>
    <s v="Usman Amin"/>
    <s v="LDN"/>
    <n v="17"/>
    <s v="12"/>
    <s v="LDN"/>
    <n v="500"/>
    <x v="0"/>
    <n v="1"/>
    <n v="64.2"/>
    <n v="2.2000000000000002"/>
    <m/>
    <x v="0"/>
    <n v="62"/>
    <n v="394.9"/>
    <m/>
    <x v="0"/>
    <x v="0"/>
    <n v="0"/>
    <n v="0"/>
    <x v="0"/>
    <x v="0"/>
    <m/>
    <x v="0"/>
    <x v="0"/>
    <x v="0"/>
    <x v="0"/>
    <x v="0"/>
    <n v="0"/>
    <n v="0"/>
    <n v="0"/>
    <n v="12"/>
    <x v="1"/>
    <x v="0"/>
    <m/>
    <x v="0"/>
    <n v="69.2"/>
    <x v="0"/>
    <x v="13"/>
    <x v="3"/>
    <x v="0"/>
    <x v="0"/>
  </r>
  <r>
    <x v="1"/>
    <x v="13"/>
    <s v="2414 F"/>
    <x v="151"/>
    <s v="Usman Amin"/>
    <s v="LDN"/>
    <n v="17"/>
    <s v="12"/>
    <s v="LDN"/>
    <n v="500"/>
    <x v="0"/>
    <n v="5"/>
    <n v="325.60000000000002"/>
    <n v="10.600000000000001"/>
    <m/>
    <x v="0"/>
    <n v="315"/>
    <n v="394.9"/>
    <m/>
    <x v="0"/>
    <x v="0"/>
    <n v="0"/>
    <n v="0"/>
    <x v="0"/>
    <x v="0"/>
    <m/>
    <x v="0"/>
    <x v="0"/>
    <x v="0"/>
    <x v="0"/>
    <x v="0"/>
    <n v="0"/>
    <n v="0"/>
    <n v="0"/>
    <n v="12"/>
    <x v="1"/>
    <x v="0"/>
    <m/>
    <x v="0"/>
    <n v="330.6"/>
    <x v="0"/>
    <x v="13"/>
    <x v="3"/>
    <x v="0"/>
    <x v="0"/>
  </r>
  <r>
    <x v="0"/>
    <x v="14"/>
    <s v="266 R"/>
    <x v="151"/>
    <s v="ریفلیکٹ پیک"/>
    <s v="LDN"/>
    <n v="35"/>
    <s v="5-5.5"/>
    <s v="LDN"/>
    <n v="10000"/>
    <x v="0"/>
    <n v="11"/>
    <n v="869.23000000000013"/>
    <n v="46.2"/>
    <m/>
    <x v="0"/>
    <n v="823.03000000000009"/>
    <n v="9829.2000000000007"/>
    <m/>
    <x v="0"/>
    <x v="0"/>
    <n v="0"/>
    <n v="0"/>
    <x v="0"/>
    <x v="0"/>
    <m/>
    <x v="0"/>
    <x v="0"/>
    <x v="0"/>
    <x v="0"/>
    <x v="0"/>
    <n v="0"/>
    <n v="0"/>
    <n v="0"/>
    <n v="12"/>
    <x v="1"/>
    <x v="0"/>
    <m/>
    <x v="0"/>
    <n v="874.23000000000013"/>
    <x v="0"/>
    <x v="13"/>
    <x v="3"/>
    <x v="0"/>
    <x v="0"/>
  </r>
  <r>
    <x v="1"/>
    <x v="14"/>
    <s v="266 R"/>
    <x v="151"/>
    <s v="ریفلیکٹ پیک"/>
    <s v="LDN"/>
    <n v="35"/>
    <s v="5-5.5"/>
    <s v="LDN"/>
    <n v="10000"/>
    <x v="0"/>
    <n v="12"/>
    <n v="936.26999999999987"/>
    <n v="50.400000000000006"/>
    <m/>
    <x v="0"/>
    <n v="885.86999999999989"/>
    <n v="9829.2000000000007"/>
    <m/>
    <x v="0"/>
    <x v="0"/>
    <n v="0"/>
    <n v="0"/>
    <x v="0"/>
    <x v="0"/>
    <m/>
    <x v="0"/>
    <x v="0"/>
    <x v="0"/>
    <x v="0"/>
    <x v="0"/>
    <n v="0"/>
    <n v="0"/>
    <n v="0"/>
    <n v="12"/>
    <x v="1"/>
    <x v="0"/>
    <m/>
    <x v="0"/>
    <n v="941.26999999999987"/>
    <x v="0"/>
    <x v="13"/>
    <x v="3"/>
    <x v="0"/>
    <x v="0"/>
  </r>
  <r>
    <x v="0"/>
    <x v="15"/>
    <s v="5375 J"/>
    <x v="151"/>
    <s v="Atlas Honda LTD (KARACHI)"/>
    <s v="LDN"/>
    <n v="16"/>
    <s v="8.5-9"/>
    <s v="LDN"/>
    <n v="0"/>
    <x v="0"/>
    <n v="2"/>
    <n v="109.91"/>
    <n v="4.8"/>
    <n v="28.14"/>
    <x v="0"/>
    <n v="105.11"/>
    <n v="105.11"/>
    <m/>
    <x v="0"/>
    <x v="0"/>
    <n v="0"/>
    <n v="0"/>
    <x v="0"/>
    <x v="0"/>
    <m/>
    <x v="0"/>
    <x v="0"/>
    <x v="0"/>
    <x v="0"/>
    <x v="0"/>
    <n v="0"/>
    <n v="0"/>
    <n v="0"/>
    <n v="12"/>
    <x v="1"/>
    <x v="0"/>
    <m/>
    <x v="0"/>
    <n v="114.91"/>
    <x v="0"/>
    <x v="13"/>
    <x v="3"/>
    <x v="0"/>
    <x v="0"/>
  </r>
  <r>
    <x v="0"/>
    <x v="15"/>
    <s v="2819/1"/>
    <x v="151"/>
    <s v="MATCO FOOD"/>
    <s v="LDN"/>
    <s v="29 TO 29.5"/>
    <s v="85 Grm+-2"/>
    <s v="LDN"/>
    <n v="2975"/>
    <x v="0"/>
    <n v="2"/>
    <n v="216"/>
    <n v="7.2"/>
    <m/>
    <x v="0"/>
    <n v="208.8"/>
    <n v="3199.08"/>
    <m/>
    <x v="0"/>
    <x v="0"/>
    <n v="0"/>
    <n v="0"/>
    <x v="0"/>
    <x v="0"/>
    <m/>
    <x v="0"/>
    <x v="0"/>
    <x v="0"/>
    <x v="0"/>
    <x v="0"/>
    <n v="0"/>
    <n v="0"/>
    <n v="0"/>
    <n v="12"/>
    <x v="1"/>
    <x v="0"/>
    <m/>
    <x v="0"/>
    <n v="221"/>
    <x v="0"/>
    <x v="13"/>
    <x v="3"/>
    <x v="0"/>
    <x v="0"/>
  </r>
  <r>
    <x v="1"/>
    <x v="15"/>
    <s v="5335 J"/>
    <x v="151"/>
    <s v="Synt Chemical Lahore "/>
    <s v="LDN"/>
    <s v="525 MM"/>
    <s v="15-16/30-32"/>
    <s v="LDN"/>
    <n v="100"/>
    <x v="0"/>
    <n v="1"/>
    <n v="114.6"/>
    <n v="2.2999999999999998"/>
    <m/>
    <x v="0"/>
    <n v="112.3"/>
    <n v="112.3"/>
    <m/>
    <x v="0"/>
    <x v="0"/>
    <n v="0"/>
    <n v="0"/>
    <x v="0"/>
    <x v="0"/>
    <m/>
    <x v="0"/>
    <x v="0"/>
    <x v="0"/>
    <x v="0"/>
    <x v="0"/>
    <n v="0"/>
    <n v="0"/>
    <n v="0"/>
    <n v="12"/>
    <x v="1"/>
    <x v="0"/>
    <m/>
    <x v="0"/>
    <n v="119.6"/>
    <x v="0"/>
    <x v="13"/>
    <x v="3"/>
    <x v="0"/>
    <x v="0"/>
  </r>
  <r>
    <x v="1"/>
    <x v="15"/>
    <s v="5334 J"/>
    <x v="151"/>
    <s v="Synt Chemical Lahore "/>
    <s v="LDN"/>
    <s v="525 MM"/>
    <s v="15-16/30-32"/>
    <s v="LDN"/>
    <n v="100"/>
    <x v="0"/>
    <n v="1"/>
    <n v="117.9"/>
    <n v="2.2999999999999998"/>
    <m/>
    <x v="0"/>
    <n v="115.60000000000001"/>
    <n v="115.60000000000001"/>
    <m/>
    <x v="0"/>
    <x v="0"/>
    <n v="0"/>
    <n v="0"/>
    <x v="0"/>
    <x v="0"/>
    <m/>
    <x v="0"/>
    <x v="0"/>
    <x v="0"/>
    <x v="0"/>
    <x v="0"/>
    <n v="0"/>
    <n v="0"/>
    <n v="0"/>
    <n v="12"/>
    <x v="1"/>
    <x v="0"/>
    <m/>
    <x v="0"/>
    <n v="122.9"/>
    <x v="0"/>
    <x v="13"/>
    <x v="3"/>
    <x v="0"/>
    <x v="0"/>
  </r>
  <r>
    <x v="1"/>
    <x v="15"/>
    <s v="5337 J"/>
    <x v="151"/>
    <s v="Synt Chemical Lahore "/>
    <s v="LDN"/>
    <s v="525 MM"/>
    <s v="15-16/30-32"/>
    <s v="LDN"/>
    <n v="100"/>
    <x v="0"/>
    <n v="2"/>
    <n v="95.1"/>
    <n v="4.5999999999999996"/>
    <m/>
    <x v="0"/>
    <n v="90.5"/>
    <n v="90.5"/>
    <m/>
    <x v="0"/>
    <x v="0"/>
    <n v="0"/>
    <n v="0"/>
    <x v="0"/>
    <x v="0"/>
    <m/>
    <x v="0"/>
    <x v="0"/>
    <x v="0"/>
    <x v="0"/>
    <x v="0"/>
    <n v="0"/>
    <n v="0"/>
    <n v="0"/>
    <n v="12"/>
    <x v="1"/>
    <x v="0"/>
    <m/>
    <x v="0"/>
    <n v="100.1"/>
    <x v="0"/>
    <x v="13"/>
    <x v="3"/>
    <x v="0"/>
    <x v="0"/>
  </r>
  <r>
    <x v="1"/>
    <x v="15"/>
    <s v="5336 J"/>
    <x v="151"/>
    <s v="Synt Chemical Lahore "/>
    <s v="LDN"/>
    <s v="525 MM"/>
    <s v="15-16/30-32"/>
    <s v="LDN"/>
    <n v="100"/>
    <x v="0"/>
    <n v="1"/>
    <n v="104.3"/>
    <n v="2.2999999999999998"/>
    <m/>
    <x v="0"/>
    <n v="102"/>
    <n v="102"/>
    <m/>
    <x v="0"/>
    <x v="0"/>
    <n v="0"/>
    <n v="0"/>
    <x v="0"/>
    <x v="0"/>
    <m/>
    <x v="0"/>
    <x v="0"/>
    <x v="0"/>
    <x v="0"/>
    <x v="0"/>
    <n v="0"/>
    <n v="0"/>
    <n v="0"/>
    <n v="12"/>
    <x v="1"/>
    <x v="0"/>
    <m/>
    <x v="0"/>
    <n v="109.3"/>
    <x v="0"/>
    <x v="13"/>
    <x v="3"/>
    <x v="0"/>
    <x v="0"/>
  </r>
  <r>
    <x v="1"/>
    <x v="8"/>
    <s v="PACKING"/>
    <x v="152"/>
    <s v="-"/>
    <m/>
    <m/>
    <m/>
    <m/>
    <m/>
    <x v="0"/>
    <n v="1"/>
    <n v="38.4"/>
    <n v="1.4"/>
    <n v="50"/>
    <x v="0"/>
    <n v="37"/>
    <n v="2074.5"/>
    <m/>
    <x v="0"/>
    <x v="10"/>
    <n v="120"/>
    <n v="2"/>
    <x v="0"/>
    <x v="0"/>
    <m/>
    <x v="0"/>
    <x v="0"/>
    <x v="0"/>
    <x v="0"/>
    <x v="0"/>
    <n v="0"/>
    <n v="0"/>
    <n v="2"/>
    <n v="10"/>
    <x v="1"/>
    <x v="0"/>
    <m/>
    <x v="0"/>
    <n v="43.4"/>
    <x v="0"/>
    <x v="13"/>
    <x v="3"/>
    <x v="0"/>
    <x v="0"/>
  </r>
  <r>
    <x v="1"/>
    <x v="9"/>
    <s v="5388 J"/>
    <x v="152"/>
    <s v="Chezo cheez Lahore"/>
    <s v="LDN"/>
    <n v="11"/>
    <n v="18"/>
    <s v="LDN"/>
    <n v="100"/>
    <x v="0"/>
    <n v="2"/>
    <n v="113"/>
    <n v="2.9"/>
    <n v="20"/>
    <x v="0"/>
    <n v="110.1"/>
    <n v="110.1"/>
    <m/>
    <x v="0"/>
    <x v="10"/>
    <n v="120"/>
    <n v="2"/>
    <x v="0"/>
    <x v="0"/>
    <m/>
    <x v="0"/>
    <x v="0"/>
    <x v="0"/>
    <x v="0"/>
    <x v="0"/>
    <n v="0"/>
    <n v="0"/>
    <n v="2"/>
    <n v="10"/>
    <x v="1"/>
    <x v="0"/>
    <m/>
    <x v="0"/>
    <n v="118"/>
    <x v="0"/>
    <x v="13"/>
    <x v="3"/>
    <x v="0"/>
    <x v="0"/>
  </r>
  <r>
    <x v="1"/>
    <x v="9"/>
    <s v="5387 J"/>
    <x v="152"/>
    <s v="Chezo cheez Lahore"/>
    <s v="LDN"/>
    <n v="11"/>
    <n v="18"/>
    <s v="LDN"/>
    <n v="100"/>
    <x v="0"/>
    <n v="1"/>
    <n v="52"/>
    <n v="1.5"/>
    <m/>
    <x v="0"/>
    <n v="50.5"/>
    <n v="107.9"/>
    <m/>
    <x v="0"/>
    <x v="0"/>
    <n v="0"/>
    <n v="0"/>
    <x v="0"/>
    <x v="0"/>
    <m/>
    <x v="0"/>
    <x v="0"/>
    <x v="0"/>
    <x v="0"/>
    <x v="0"/>
    <n v="0"/>
    <n v="0"/>
    <n v="0"/>
    <n v="12"/>
    <x v="1"/>
    <x v="0"/>
    <m/>
    <x v="0"/>
    <n v="57"/>
    <x v="0"/>
    <x v="13"/>
    <x v="3"/>
    <x v="0"/>
    <x v="0"/>
  </r>
  <r>
    <x v="1"/>
    <x v="11"/>
    <s v="5419 J"/>
    <x v="152"/>
    <s v="Moazmi Plastic Sahiwal "/>
    <s v="LDM"/>
    <n v="7"/>
    <n v="18"/>
    <s v="LDM"/>
    <n v="100"/>
    <x v="0"/>
    <n v="1"/>
    <n v="36.799999999999997"/>
    <n v="0.9"/>
    <n v="115"/>
    <x v="0"/>
    <n v="35.9"/>
    <n v="96.699999999999989"/>
    <n v="15"/>
    <x v="0"/>
    <x v="10"/>
    <n v="135"/>
    <n v="2.25"/>
    <x v="0"/>
    <x v="0"/>
    <m/>
    <x v="0"/>
    <x v="0"/>
    <x v="0"/>
    <x v="0"/>
    <x v="0"/>
    <n v="0"/>
    <n v="0"/>
    <n v="2.25"/>
    <n v="9.75"/>
    <x v="1"/>
    <x v="0"/>
    <m/>
    <x v="0"/>
    <n v="41.8"/>
    <x v="0"/>
    <x v="13"/>
    <x v="3"/>
    <x v="0"/>
    <x v="0"/>
  </r>
  <r>
    <x v="1"/>
    <x v="11"/>
    <s v="5351 J"/>
    <x v="152"/>
    <s v="cash sale"/>
    <s v="LDM"/>
    <n v="19"/>
    <s v="13-14"/>
    <s v="LDM"/>
    <n v="0"/>
    <x v="0"/>
    <n v="2"/>
    <n v="108.1"/>
    <n v="4.5"/>
    <m/>
    <x v="0"/>
    <n v="103.6"/>
    <n v="103.6"/>
    <m/>
    <x v="0"/>
    <x v="0"/>
    <n v="0"/>
    <n v="0"/>
    <x v="0"/>
    <x v="0"/>
    <m/>
    <x v="0"/>
    <x v="0"/>
    <x v="0"/>
    <x v="0"/>
    <x v="0"/>
    <n v="0"/>
    <n v="0"/>
    <n v="0"/>
    <n v="12"/>
    <x v="1"/>
    <x v="0"/>
    <m/>
    <x v="0"/>
    <n v="113.1"/>
    <x v="0"/>
    <x v="13"/>
    <x v="3"/>
    <x v="0"/>
    <x v="0"/>
  </r>
  <r>
    <x v="1"/>
    <x v="11"/>
    <s v="5202 J"/>
    <x v="152"/>
    <s v="Smart Box Lahore"/>
    <s v="LDN"/>
    <n v="19"/>
    <s v="13-14"/>
    <s v="LDN"/>
    <n v="100"/>
    <x v="0"/>
    <n v="2"/>
    <n v="106.2"/>
    <n v="4.5999999999999996"/>
    <m/>
    <x v="0"/>
    <n v="101.60000000000001"/>
    <n v="204.60000000000002"/>
    <m/>
    <x v="0"/>
    <x v="0"/>
    <n v="0"/>
    <n v="0"/>
    <x v="0"/>
    <x v="0"/>
    <m/>
    <x v="0"/>
    <x v="0"/>
    <x v="0"/>
    <x v="0"/>
    <x v="0"/>
    <n v="0"/>
    <n v="0"/>
    <n v="0"/>
    <n v="12"/>
    <x v="1"/>
    <x v="0"/>
    <m/>
    <x v="0"/>
    <n v="111.2"/>
    <x v="0"/>
    <x v="13"/>
    <x v="3"/>
    <x v="0"/>
    <x v="0"/>
  </r>
  <r>
    <x v="1"/>
    <x v="13"/>
    <s v="2435 F"/>
    <x v="152"/>
    <s v="Usman Amin"/>
    <s v="LDN"/>
    <n v="17"/>
    <s v="7"/>
    <s v="LDN"/>
    <n v="0"/>
    <x v="0"/>
    <n v="5"/>
    <n v="312.89999999999998"/>
    <n v="10.5"/>
    <n v="30"/>
    <x v="0"/>
    <n v="302.39999999999998"/>
    <n v="302.39999999999998"/>
    <m/>
    <x v="0"/>
    <x v="10"/>
    <n v="120"/>
    <n v="2"/>
    <x v="0"/>
    <x v="0"/>
    <m/>
    <x v="0"/>
    <x v="0"/>
    <x v="0"/>
    <x v="0"/>
    <x v="0"/>
    <n v="0"/>
    <n v="0"/>
    <n v="2"/>
    <n v="10"/>
    <x v="1"/>
    <x v="0"/>
    <m/>
    <x v="0"/>
    <n v="317.89999999999998"/>
    <x v="0"/>
    <x v="13"/>
    <x v="3"/>
    <x v="0"/>
    <x v="0"/>
  </r>
  <r>
    <x v="1"/>
    <x v="13"/>
    <s v="2414 F"/>
    <x v="152"/>
    <s v="Usman Amin"/>
    <s v="LDN"/>
    <n v="17"/>
    <s v="12"/>
    <s v="LDN"/>
    <n v="500"/>
    <x v="0"/>
    <n v="1"/>
    <n v="20"/>
    <n v="2.1"/>
    <m/>
    <x v="0"/>
    <n v="17.899999999999999"/>
    <n v="394.9"/>
    <m/>
    <x v="0"/>
    <x v="0"/>
    <n v="0"/>
    <n v="0"/>
    <x v="0"/>
    <x v="0"/>
    <m/>
    <x v="0"/>
    <x v="0"/>
    <x v="0"/>
    <x v="0"/>
    <x v="0"/>
    <n v="0"/>
    <n v="0"/>
    <n v="0"/>
    <n v="12"/>
    <x v="1"/>
    <x v="0"/>
    <m/>
    <x v="0"/>
    <n v="25"/>
    <x v="0"/>
    <x v="13"/>
    <x v="3"/>
    <x v="0"/>
    <x v="0"/>
  </r>
  <r>
    <x v="0"/>
    <x v="14"/>
    <s v="PACKING"/>
    <x v="152"/>
    <s v="-"/>
    <m/>
    <m/>
    <m/>
    <m/>
    <m/>
    <x v="0"/>
    <n v="1"/>
    <n v="97.3"/>
    <m/>
    <n v="40"/>
    <x v="0"/>
    <n v="97.3"/>
    <n v="2074.5"/>
    <n v="90"/>
    <x v="0"/>
    <x v="0"/>
    <n v="90"/>
    <n v="1.5"/>
    <x v="0"/>
    <x v="0"/>
    <m/>
    <x v="0"/>
    <x v="0"/>
    <x v="0"/>
    <x v="0"/>
    <x v="0"/>
    <n v="0"/>
    <n v="0"/>
    <n v="1.5"/>
    <n v="10.5"/>
    <x v="1"/>
    <x v="0"/>
    <m/>
    <x v="0"/>
    <n v="102.3"/>
    <x v="0"/>
    <x v="13"/>
    <x v="3"/>
    <x v="0"/>
    <x v="0"/>
  </r>
  <r>
    <x v="0"/>
    <x v="14"/>
    <s v="268 R"/>
    <x v="152"/>
    <s v="ریفلیکٹ پیک"/>
    <s v="LDN"/>
    <n v="23"/>
    <s v="18-19"/>
    <s v="LDN"/>
    <n v="4000"/>
    <x v="0"/>
    <n v="1"/>
    <n v="77.599999999999994"/>
    <n v="3"/>
    <m/>
    <x v="0"/>
    <n v="74.599999999999994"/>
    <n v="4136.5600000000004"/>
    <m/>
    <x v="0"/>
    <x v="0"/>
    <n v="0"/>
    <n v="0"/>
    <x v="0"/>
    <x v="0"/>
    <m/>
    <x v="0"/>
    <x v="0"/>
    <x v="0"/>
    <x v="0"/>
    <x v="0"/>
    <n v="0"/>
    <n v="0"/>
    <n v="0"/>
    <n v="12"/>
    <x v="1"/>
    <x v="0"/>
    <m/>
    <x v="0"/>
    <n v="82.6"/>
    <x v="0"/>
    <x v="13"/>
    <x v="3"/>
    <x v="0"/>
    <x v="0"/>
  </r>
  <r>
    <x v="1"/>
    <x v="14"/>
    <s v="268 R"/>
    <x v="152"/>
    <s v="ریفلیکٹ پیک"/>
    <s v="LDN"/>
    <n v="23"/>
    <s v="18-19"/>
    <s v="LDN"/>
    <n v="4000"/>
    <x v="0"/>
    <n v="7"/>
    <n v="716.52"/>
    <n v="21"/>
    <m/>
    <x v="0"/>
    <n v="695.52"/>
    <n v="4136.5600000000004"/>
    <m/>
    <x v="0"/>
    <x v="0"/>
    <n v="0"/>
    <n v="0"/>
    <x v="0"/>
    <x v="0"/>
    <m/>
    <x v="0"/>
    <x v="0"/>
    <x v="0"/>
    <x v="0"/>
    <x v="0"/>
    <n v="0"/>
    <n v="0"/>
    <n v="0"/>
    <n v="12"/>
    <x v="1"/>
    <x v="0"/>
    <m/>
    <x v="0"/>
    <n v="721.52"/>
    <x v="0"/>
    <x v="13"/>
    <x v="3"/>
    <x v="0"/>
    <x v="0"/>
  </r>
  <r>
    <x v="1"/>
    <x v="15"/>
    <s v="5338 J"/>
    <x v="152"/>
    <s v="Golden Chemical FSD"/>
    <s v="LDN"/>
    <s v="525 MM"/>
    <s v="15-16/30-32"/>
    <s v="LDN"/>
    <n v="300"/>
    <x v="0"/>
    <n v="4"/>
    <n v="325.40000000000003"/>
    <n v="11.2"/>
    <n v="45"/>
    <x v="0"/>
    <n v="314.20000000000005"/>
    <n v="314.20000000000005"/>
    <n v="35"/>
    <x v="0"/>
    <x v="10"/>
    <n v="155"/>
    <n v="2.5833333333333335"/>
    <x v="0"/>
    <x v="0"/>
    <m/>
    <x v="0"/>
    <x v="0"/>
    <x v="0"/>
    <x v="0"/>
    <x v="0"/>
    <n v="0"/>
    <n v="0"/>
    <n v="2.5833333333333335"/>
    <n v="9.4166666666666661"/>
    <x v="1"/>
    <x v="0"/>
    <m/>
    <x v="0"/>
    <n v="330.40000000000003"/>
    <x v="0"/>
    <x v="13"/>
    <x v="3"/>
    <x v="0"/>
    <x v="0"/>
  </r>
  <r>
    <x v="1"/>
    <x v="15"/>
    <s v="2819/1"/>
    <x v="152"/>
    <s v="MATCO FOOD"/>
    <s v="LDN"/>
    <s v="29 TO 29.5"/>
    <s v="85 Grm+-2"/>
    <s v="LDN"/>
    <n v="2975"/>
    <x v="0"/>
    <n v="1"/>
    <n v="126.1"/>
    <n v="3.6"/>
    <m/>
    <x v="0"/>
    <n v="122.5"/>
    <n v="3199.08"/>
    <m/>
    <x v="0"/>
    <x v="0"/>
    <n v="0"/>
    <n v="0"/>
    <x v="0"/>
    <x v="0"/>
    <m/>
    <x v="0"/>
    <x v="0"/>
    <x v="0"/>
    <x v="0"/>
    <x v="0"/>
    <n v="0"/>
    <n v="0"/>
    <n v="0"/>
    <n v="12"/>
    <x v="1"/>
    <x v="0"/>
    <m/>
    <x v="0"/>
    <n v="131.1"/>
    <x v="0"/>
    <x v="13"/>
    <x v="3"/>
    <x v="0"/>
    <x v="0"/>
  </r>
  <r>
    <x v="0"/>
    <x v="8"/>
    <s v="5376 J"/>
    <x v="153"/>
    <s v="Wah Nobel Private Limited"/>
    <s v="LDN"/>
    <s v="100 MM"/>
    <s v="20-20.5"/>
    <s v="LDN"/>
    <n v="500"/>
    <x v="0"/>
    <n v="2"/>
    <n v="105.7"/>
    <n v="2"/>
    <n v="13"/>
    <x v="0"/>
    <n v="103.7"/>
    <n v="467.4"/>
    <m/>
    <x v="0"/>
    <x v="0"/>
    <n v="0"/>
    <n v="0"/>
    <x v="0"/>
    <x v="0"/>
    <m/>
    <x v="0"/>
    <x v="0"/>
    <x v="0"/>
    <x v="6"/>
    <x v="0"/>
    <n v="60"/>
    <n v="1"/>
    <n v="1"/>
    <n v="11"/>
    <x v="1"/>
    <x v="0"/>
    <m/>
    <x v="0"/>
    <n v="110.7"/>
    <x v="0"/>
    <x v="13"/>
    <x v="3"/>
    <x v="0"/>
    <x v="0"/>
  </r>
  <r>
    <x v="1"/>
    <x v="8"/>
    <s v="5376 J"/>
    <x v="153"/>
    <s v="Wah Nobel Private Limited"/>
    <s v="LDN"/>
    <s v="100 MM"/>
    <s v="20-20.5"/>
    <s v="LDN"/>
    <n v="500"/>
    <x v="0"/>
    <n v="2"/>
    <n v="150"/>
    <n v="2.5"/>
    <m/>
    <x v="0"/>
    <n v="147.5"/>
    <n v="467.4"/>
    <m/>
    <x v="0"/>
    <x v="0"/>
    <n v="0"/>
    <n v="0"/>
    <x v="0"/>
    <x v="0"/>
    <m/>
    <x v="0"/>
    <x v="0"/>
    <x v="0"/>
    <x v="0"/>
    <x v="0"/>
    <n v="0"/>
    <n v="0"/>
    <n v="0"/>
    <n v="12"/>
    <x v="1"/>
    <x v="0"/>
    <m/>
    <x v="0"/>
    <n v="155"/>
    <x v="0"/>
    <x v="13"/>
    <x v="3"/>
    <x v="0"/>
    <x v="0"/>
  </r>
  <r>
    <x v="0"/>
    <x v="9"/>
    <s v="5387 J"/>
    <x v="153"/>
    <s v="Chezo cheez Lahore"/>
    <s v="LDN"/>
    <n v="11"/>
    <n v="18"/>
    <s v="LDN"/>
    <n v="100"/>
    <x v="0"/>
    <n v="1"/>
    <n v="58.7"/>
    <n v="1.3"/>
    <n v="25"/>
    <x v="0"/>
    <n v="57.400000000000006"/>
    <n v="107.9"/>
    <n v="9"/>
    <x v="0"/>
    <x v="0"/>
    <n v="9"/>
    <n v="0.15"/>
    <x v="0"/>
    <x v="0"/>
    <m/>
    <x v="0"/>
    <x v="0"/>
    <x v="0"/>
    <x v="0"/>
    <x v="0"/>
    <n v="0"/>
    <n v="0"/>
    <n v="0.15"/>
    <n v="11.85"/>
    <x v="1"/>
    <x v="0"/>
    <m/>
    <x v="0"/>
    <n v="63.7"/>
    <x v="0"/>
    <x v="13"/>
    <x v="3"/>
    <x v="0"/>
    <x v="0"/>
  </r>
  <r>
    <x v="0"/>
    <x v="9"/>
    <s v="5404 J"/>
    <x v="153"/>
    <s v="Pizza Bank And Fast Food Kamoki"/>
    <s v="LDN"/>
    <n v="10"/>
    <s v="12-12.5"/>
    <s v="LDN"/>
    <n v="125"/>
    <x v="0"/>
    <n v="3"/>
    <n v="104.80000000000001"/>
    <n v="3.5999999999999996"/>
    <m/>
    <x v="0"/>
    <n v="101.20000000000002"/>
    <n v="101.20000000000002"/>
    <m/>
    <x v="0"/>
    <x v="0"/>
    <n v="0"/>
    <n v="0"/>
    <x v="0"/>
    <x v="0"/>
    <m/>
    <x v="0"/>
    <x v="0"/>
    <x v="0"/>
    <x v="0"/>
    <x v="0"/>
    <n v="0"/>
    <n v="0"/>
    <n v="0"/>
    <n v="12"/>
    <x v="1"/>
    <x v="0"/>
    <m/>
    <x v="0"/>
    <n v="109.80000000000001"/>
    <x v="0"/>
    <x v="13"/>
    <x v="3"/>
    <x v="0"/>
    <x v="0"/>
  </r>
  <r>
    <x v="0"/>
    <x v="9"/>
    <s v="5422 J"/>
    <x v="153"/>
    <s v="Bandu Khan Lahore"/>
    <s v="LDN"/>
    <n v="7"/>
    <s v="6-6.5"/>
    <s v="LDN"/>
    <n v="100"/>
    <x v="0"/>
    <n v="2"/>
    <n v="46.3"/>
    <n v="1.8"/>
    <m/>
    <x v="0"/>
    <n v="44.5"/>
    <n v="98.3"/>
    <m/>
    <x v="0"/>
    <x v="0"/>
    <n v="0"/>
    <n v="0"/>
    <x v="0"/>
    <x v="0"/>
    <m/>
    <x v="0"/>
    <x v="0"/>
    <x v="0"/>
    <x v="0"/>
    <x v="0"/>
    <n v="0"/>
    <n v="0"/>
    <n v="0"/>
    <n v="12"/>
    <x v="1"/>
    <x v="0"/>
    <m/>
    <x v="0"/>
    <n v="51.3"/>
    <x v="0"/>
    <x v="13"/>
    <x v="3"/>
    <x v="0"/>
    <x v="0"/>
  </r>
  <r>
    <x v="1"/>
    <x v="9"/>
    <s v="5422 J"/>
    <x v="153"/>
    <s v="Bandu Khan Lahore"/>
    <s v="LDN"/>
    <n v="7"/>
    <s v="6-6.5"/>
    <s v="LDN"/>
    <n v="100"/>
    <x v="0"/>
    <n v="2"/>
    <n v="55.5"/>
    <n v="1.7000000000000002"/>
    <n v="7"/>
    <x v="0"/>
    <n v="53.8"/>
    <n v="98.3"/>
    <m/>
    <x v="0"/>
    <x v="0"/>
    <n v="0"/>
    <n v="0"/>
    <x v="0"/>
    <x v="0"/>
    <m/>
    <x v="0"/>
    <x v="0"/>
    <x v="0"/>
    <x v="0"/>
    <x v="0"/>
    <n v="0"/>
    <n v="0"/>
    <n v="0"/>
    <n v="12"/>
    <x v="1"/>
    <x v="0"/>
    <m/>
    <x v="0"/>
    <n v="60.5"/>
    <x v="0"/>
    <x v="13"/>
    <x v="3"/>
    <x v="0"/>
    <x v="0"/>
  </r>
  <r>
    <x v="1"/>
    <x v="9"/>
    <s v="5226 J"/>
    <x v="153"/>
    <s v="-"/>
    <m/>
    <m/>
    <m/>
    <m/>
    <m/>
    <x v="0"/>
    <n v="2"/>
    <n v="130.1"/>
    <n v="3.1"/>
    <m/>
    <x v="0"/>
    <n v="127"/>
    <n v="127"/>
    <m/>
    <x v="0"/>
    <x v="0"/>
    <n v="0"/>
    <n v="0"/>
    <x v="0"/>
    <x v="0"/>
    <m/>
    <x v="0"/>
    <x v="0"/>
    <x v="0"/>
    <x v="0"/>
    <x v="0"/>
    <n v="0"/>
    <n v="0"/>
    <n v="0"/>
    <n v="12"/>
    <x v="1"/>
    <x v="0"/>
    <m/>
    <x v="0"/>
    <n v="135.1"/>
    <x v="0"/>
    <x v="13"/>
    <x v="3"/>
    <x v="0"/>
    <x v="0"/>
  </r>
  <r>
    <x v="1"/>
    <x v="10"/>
    <n v="2780"/>
    <x v="153"/>
    <s v="PT-01"/>
    <s v="LD سرخ"/>
    <n v="5"/>
    <n v="80"/>
    <s v="LD سرخ"/>
    <s v="15 گٹکے"/>
    <x v="0"/>
    <n v="15"/>
    <n v="435.23999999999995"/>
    <m/>
    <n v="34"/>
    <x v="0"/>
    <n v="435.23999999999995"/>
    <n v="808.63999999999987"/>
    <m/>
    <x v="5"/>
    <x v="0"/>
    <n v="180"/>
    <n v="3"/>
    <x v="0"/>
    <x v="0"/>
    <m/>
    <x v="0"/>
    <x v="0"/>
    <x v="0"/>
    <x v="0"/>
    <x v="0"/>
    <n v="0"/>
    <n v="0"/>
    <n v="3"/>
    <n v="9"/>
    <x v="1"/>
    <x v="0"/>
    <m/>
    <x v="0"/>
    <n v="440.23999999999995"/>
    <x v="0"/>
    <x v="13"/>
    <x v="3"/>
    <x v="0"/>
    <x v="0"/>
  </r>
  <r>
    <x v="0"/>
    <x v="11"/>
    <s v="5368 J"/>
    <x v="153"/>
    <s v="Irfan SB Azam Market LHR"/>
    <s v="LD گولڈن پیلا"/>
    <n v="19.5"/>
    <s v="14-15"/>
    <s v="LDM"/>
    <n v="1000"/>
    <x v="0"/>
    <n v="5"/>
    <n v="550.08999999999992"/>
    <n v="13"/>
    <n v="6"/>
    <x v="0"/>
    <n v="537.08999999999992"/>
    <n v="997.9899999999999"/>
    <m/>
    <x v="0"/>
    <x v="0"/>
    <n v="0"/>
    <n v="0"/>
    <x v="0"/>
    <x v="0"/>
    <m/>
    <x v="0"/>
    <x v="0"/>
    <x v="0"/>
    <x v="0"/>
    <x v="0"/>
    <n v="0"/>
    <n v="0"/>
    <n v="0"/>
    <n v="12"/>
    <x v="1"/>
    <x v="0"/>
    <m/>
    <x v="0"/>
    <n v="555.08999999999992"/>
    <x v="0"/>
    <x v="13"/>
    <x v="3"/>
    <x v="0"/>
    <x v="0"/>
  </r>
  <r>
    <x v="1"/>
    <x v="11"/>
    <s v="5368 J"/>
    <x v="153"/>
    <s v="Irfan SB Azam Market LHR"/>
    <s v="LD گولڈن پیلا"/>
    <n v="19.5"/>
    <s v="14-15"/>
    <s v="LDM"/>
    <n v="1000"/>
    <x v="0"/>
    <n v="5"/>
    <n v="472.4"/>
    <n v="11.5"/>
    <n v="38"/>
    <x v="0"/>
    <n v="460.9"/>
    <n v="997.9899999999999"/>
    <n v="40"/>
    <x v="0"/>
    <x v="0"/>
    <n v="40"/>
    <n v="0.66666666666666663"/>
    <x v="0"/>
    <x v="0"/>
    <m/>
    <x v="0"/>
    <x v="0"/>
    <x v="0"/>
    <x v="0"/>
    <x v="0"/>
    <n v="0"/>
    <n v="0"/>
    <n v="0.66666666666666663"/>
    <n v="11.333333333333334"/>
    <x v="1"/>
    <x v="0"/>
    <m/>
    <x v="0"/>
    <n v="477.4"/>
    <x v="0"/>
    <x v="13"/>
    <x v="3"/>
    <x v="0"/>
    <x v="0"/>
  </r>
  <r>
    <x v="0"/>
    <x v="13"/>
    <s v="2453 F"/>
    <x v="153"/>
    <s v="Usman Amin"/>
    <s v="LDN"/>
    <n v="26"/>
    <s v="7-7.5"/>
    <s v="LDN"/>
    <n v="90"/>
    <x v="0"/>
    <n v="2"/>
    <n v="147.5"/>
    <n v="4.4000000000000004"/>
    <n v="10"/>
    <x v="0"/>
    <n v="143.1"/>
    <n v="245.8"/>
    <m/>
    <x v="0"/>
    <x v="0"/>
    <n v="0"/>
    <n v="0"/>
    <x v="0"/>
    <x v="0"/>
    <m/>
    <x v="0"/>
    <x v="0"/>
    <x v="0"/>
    <x v="0"/>
    <x v="0"/>
    <n v="0"/>
    <n v="0"/>
    <n v="0"/>
    <n v="12"/>
    <x v="1"/>
    <x v="0"/>
    <m/>
    <x v="0"/>
    <n v="152.5"/>
    <x v="0"/>
    <x v="13"/>
    <x v="3"/>
    <x v="0"/>
    <x v="0"/>
  </r>
  <r>
    <x v="0"/>
    <x v="13"/>
    <s v="2436 F"/>
    <x v="153"/>
    <s v="Usman Amin"/>
    <s v="LDN"/>
    <n v="17"/>
    <s v="7"/>
    <s v="LDN"/>
    <n v="300"/>
    <x v="0"/>
    <n v="3"/>
    <n v="165.4"/>
    <n v="6.6000000000000005"/>
    <m/>
    <x v="0"/>
    <n v="158.80000000000001"/>
    <n v="431.55"/>
    <m/>
    <x v="0"/>
    <x v="0"/>
    <n v="0"/>
    <n v="0"/>
    <x v="0"/>
    <x v="0"/>
    <m/>
    <x v="0"/>
    <x v="0"/>
    <x v="0"/>
    <x v="0"/>
    <x v="0"/>
    <n v="0"/>
    <n v="0"/>
    <n v="0"/>
    <n v="12"/>
    <x v="1"/>
    <x v="0"/>
    <m/>
    <x v="0"/>
    <n v="170.4"/>
    <x v="0"/>
    <x v="13"/>
    <x v="3"/>
    <x v="0"/>
    <x v="0"/>
  </r>
  <r>
    <x v="0"/>
    <x v="13"/>
    <s v="5448 J"/>
    <x v="153"/>
    <s v="Atlas Honda LTD (SKP)"/>
    <s v="LDN"/>
    <n v="16"/>
    <s v="14-14.5"/>
    <s v="LDN"/>
    <n v="90"/>
    <x v="0"/>
    <n v="1"/>
    <n v="42.1"/>
    <n v="1.8"/>
    <m/>
    <x v="0"/>
    <n v="40.300000000000004"/>
    <n v="83.9"/>
    <m/>
    <x v="0"/>
    <x v="0"/>
    <n v="0"/>
    <n v="0"/>
    <x v="0"/>
    <x v="0"/>
    <m/>
    <x v="0"/>
    <x v="0"/>
    <x v="0"/>
    <x v="0"/>
    <x v="0"/>
    <n v="0"/>
    <n v="0"/>
    <n v="0"/>
    <n v="12"/>
    <x v="1"/>
    <x v="0"/>
    <m/>
    <x v="0"/>
    <n v="47.1"/>
    <x v="0"/>
    <x v="13"/>
    <x v="3"/>
    <x v="0"/>
    <x v="0"/>
  </r>
  <r>
    <x v="1"/>
    <x v="13"/>
    <s v="5448 J"/>
    <x v="153"/>
    <s v="Atlas Honda LTD (SKP)"/>
    <s v="LDN"/>
    <n v="16"/>
    <s v="14-14.5"/>
    <s v="LDN"/>
    <n v="90"/>
    <x v="0"/>
    <n v="1"/>
    <n v="45.5"/>
    <n v="1.9"/>
    <n v="18"/>
    <x v="0"/>
    <n v="43.6"/>
    <n v="83.9"/>
    <m/>
    <x v="0"/>
    <x v="0"/>
    <n v="0"/>
    <n v="0"/>
    <x v="0"/>
    <x v="0"/>
    <m/>
    <x v="0"/>
    <x v="0"/>
    <x v="0"/>
    <x v="0"/>
    <x v="0"/>
    <n v="0"/>
    <n v="0"/>
    <n v="0"/>
    <n v="12"/>
    <x v="1"/>
    <x v="0"/>
    <m/>
    <x v="0"/>
    <n v="50.5"/>
    <x v="0"/>
    <x v="13"/>
    <x v="3"/>
    <x v="0"/>
    <x v="0"/>
  </r>
  <r>
    <x v="1"/>
    <x v="13"/>
    <s v="5449 J"/>
    <x v="153"/>
    <s v="Atlas Honda LTD (SKP)"/>
    <s v="LDN"/>
    <n v="22"/>
    <s v="12.5-13"/>
    <s v="LDN"/>
    <n v="250"/>
    <x v="0"/>
    <n v="3"/>
    <n v="317.5"/>
    <n v="7.1999999999999993"/>
    <m/>
    <x v="0"/>
    <n v="310.3"/>
    <n v="501.05"/>
    <m/>
    <x v="0"/>
    <x v="0"/>
    <n v="0"/>
    <n v="0"/>
    <x v="0"/>
    <x v="0"/>
    <m/>
    <x v="0"/>
    <x v="0"/>
    <x v="0"/>
    <x v="0"/>
    <x v="0"/>
    <n v="0"/>
    <n v="0"/>
    <n v="0"/>
    <n v="12"/>
    <x v="1"/>
    <x v="0"/>
    <m/>
    <x v="0"/>
    <n v="322.5"/>
    <x v="0"/>
    <x v="13"/>
    <x v="3"/>
    <x v="0"/>
    <x v="0"/>
  </r>
  <r>
    <x v="0"/>
    <x v="14"/>
    <s v="268 R"/>
    <x v="153"/>
    <s v="ریفلیکٹ پیک"/>
    <s v="LDN"/>
    <n v="23"/>
    <s v="18-19"/>
    <s v="LDN"/>
    <n v="4000"/>
    <x v="0"/>
    <n v="4"/>
    <n v="627.36"/>
    <n v="14.6"/>
    <n v="30"/>
    <x v="0"/>
    <n v="612.76"/>
    <n v="4136.5600000000004"/>
    <m/>
    <x v="0"/>
    <x v="0"/>
    <n v="0"/>
    <n v="0"/>
    <x v="0"/>
    <x v="0"/>
    <m/>
    <x v="0"/>
    <x v="0"/>
    <x v="0"/>
    <x v="12"/>
    <x v="0"/>
    <n v="90"/>
    <n v="1.5"/>
    <n v="1.5"/>
    <n v="10.5"/>
    <x v="1"/>
    <x v="0"/>
    <m/>
    <x v="0"/>
    <n v="632.36"/>
    <x v="0"/>
    <x v="13"/>
    <x v="3"/>
    <x v="0"/>
    <x v="0"/>
  </r>
  <r>
    <x v="1"/>
    <x v="14"/>
    <s v="268 R"/>
    <x v="153"/>
    <s v="ریفلیکٹ پیک"/>
    <s v="LDN"/>
    <n v="23"/>
    <s v="18-19"/>
    <s v="LDN"/>
    <n v="4000"/>
    <x v="0"/>
    <n v="6"/>
    <n v="639.33999999999992"/>
    <n v="18"/>
    <n v="15"/>
    <x v="0"/>
    <n v="621.33999999999992"/>
    <n v="4136.5600000000004"/>
    <m/>
    <x v="0"/>
    <x v="0"/>
    <n v="0"/>
    <n v="0"/>
    <x v="0"/>
    <x v="0"/>
    <m/>
    <x v="0"/>
    <x v="0"/>
    <x v="0"/>
    <x v="0"/>
    <x v="0"/>
    <n v="0"/>
    <n v="0"/>
    <n v="0"/>
    <n v="12"/>
    <x v="1"/>
    <x v="0"/>
    <m/>
    <x v="0"/>
    <n v="644.33999999999992"/>
    <x v="0"/>
    <x v="13"/>
    <x v="3"/>
    <x v="0"/>
    <x v="0"/>
  </r>
  <r>
    <x v="0"/>
    <x v="15"/>
    <s v="2819/1"/>
    <x v="153"/>
    <s v="MATCO FOOD"/>
    <s v="LDN"/>
    <s v="29 TO 29.5"/>
    <s v="85 Grm+-2"/>
    <s v="LDN"/>
    <n v="2975"/>
    <x v="0"/>
    <n v="6"/>
    <n v="664.34"/>
    <n v="21.6"/>
    <n v="12"/>
    <x v="0"/>
    <n v="642.74"/>
    <n v="3199.08"/>
    <n v="5"/>
    <x v="0"/>
    <x v="0"/>
    <n v="5"/>
    <n v="8.3333333333333329E-2"/>
    <x v="0"/>
    <x v="0"/>
    <m/>
    <x v="2"/>
    <x v="0"/>
    <x v="0"/>
    <x v="0"/>
    <x v="0"/>
    <n v="5"/>
    <n v="8.3333333333333329E-2"/>
    <n v="0.16666666666666666"/>
    <n v="11.833333333333334"/>
    <x v="1"/>
    <x v="0"/>
    <m/>
    <x v="0"/>
    <n v="669.34"/>
    <x v="0"/>
    <x v="13"/>
    <x v="3"/>
    <x v="0"/>
    <x v="0"/>
  </r>
  <r>
    <x v="1"/>
    <x v="15"/>
    <s v="2446 F"/>
    <x v="153"/>
    <s v="Usman Amin"/>
    <s v="LDN"/>
    <n v="27"/>
    <s v="5-5.5"/>
    <s v="LDN"/>
    <n v="60"/>
    <x v="0"/>
    <n v="2"/>
    <n v="97.5"/>
    <n v="6.8"/>
    <n v="27"/>
    <x v="0"/>
    <n v="90.7"/>
    <n v="90.7"/>
    <n v="15"/>
    <x v="0"/>
    <x v="0"/>
    <n v="15"/>
    <n v="0.25"/>
    <x v="0"/>
    <x v="0"/>
    <m/>
    <x v="2"/>
    <x v="0"/>
    <x v="0"/>
    <x v="0"/>
    <x v="0"/>
    <n v="5"/>
    <n v="8.3333333333333329E-2"/>
    <n v="0.33333333333333331"/>
    <n v="11.666666666666666"/>
    <x v="1"/>
    <x v="0"/>
    <m/>
    <x v="0"/>
    <n v="102.5"/>
    <x v="0"/>
    <x v="13"/>
    <x v="3"/>
    <x v="0"/>
    <x v="0"/>
  </r>
  <r>
    <x v="1"/>
    <x v="15"/>
    <s v="2439 F"/>
    <x v="153"/>
    <s v="Usman Amin"/>
    <s v="LDN"/>
    <n v="24"/>
    <s v="8-8.5"/>
    <s v="LDN"/>
    <n v="62"/>
    <x v="0"/>
    <n v="1"/>
    <n v="68.900000000000006"/>
    <n v="3"/>
    <m/>
    <x v="0"/>
    <n v="65.900000000000006"/>
    <n v="215"/>
    <m/>
    <x v="0"/>
    <x v="0"/>
    <n v="0"/>
    <n v="0"/>
    <x v="0"/>
    <x v="0"/>
    <m/>
    <x v="0"/>
    <x v="0"/>
    <x v="0"/>
    <x v="0"/>
    <x v="0"/>
    <n v="0"/>
    <n v="0"/>
    <n v="0"/>
    <n v="12"/>
    <x v="1"/>
    <x v="0"/>
    <m/>
    <x v="0"/>
    <n v="73.900000000000006"/>
    <x v="0"/>
    <x v="13"/>
    <x v="3"/>
    <x v="0"/>
    <x v="0"/>
  </r>
  <r>
    <x v="1"/>
    <x v="15"/>
    <s v="5450 J"/>
    <x v="153"/>
    <s v="-"/>
    <m/>
    <m/>
    <m/>
    <m/>
    <m/>
    <x v="0"/>
    <n v="2"/>
    <n v="155.69999999999999"/>
    <n v="6"/>
    <m/>
    <x v="0"/>
    <n v="149.69999999999999"/>
    <n v="149.69999999999999"/>
    <m/>
    <x v="0"/>
    <x v="0"/>
    <n v="0"/>
    <n v="0"/>
    <x v="0"/>
    <x v="0"/>
    <m/>
    <x v="0"/>
    <x v="0"/>
    <x v="0"/>
    <x v="0"/>
    <x v="0"/>
    <n v="0"/>
    <n v="0"/>
    <n v="0"/>
    <n v="12"/>
    <x v="1"/>
    <x v="0"/>
    <m/>
    <x v="0"/>
    <n v="160.69999999999999"/>
    <x v="0"/>
    <x v="13"/>
    <x v="3"/>
    <x v="0"/>
    <x v="0"/>
  </r>
  <r>
    <x v="1"/>
    <x v="15"/>
    <s v="2439 F"/>
    <x v="153"/>
    <s v="Usman Amin"/>
    <s v="LDN"/>
    <n v="24"/>
    <s v="8-8.5"/>
    <s v="LDN"/>
    <n v="62"/>
    <x v="0"/>
    <n v="2"/>
    <n v="156.19999999999999"/>
    <n v="7.1"/>
    <m/>
    <x v="0"/>
    <n v="149.1"/>
    <n v="215"/>
    <m/>
    <x v="0"/>
    <x v="0"/>
    <n v="0"/>
    <n v="0"/>
    <x v="0"/>
    <x v="0"/>
    <m/>
    <x v="0"/>
    <x v="0"/>
    <x v="0"/>
    <x v="0"/>
    <x v="0"/>
    <n v="0"/>
    <n v="0"/>
    <n v="0"/>
    <n v="12"/>
    <x v="1"/>
    <x v="0"/>
    <m/>
    <x v="0"/>
    <n v="161.19999999999999"/>
    <x v="0"/>
    <x v="13"/>
    <x v="3"/>
    <x v="0"/>
    <x v="0"/>
  </r>
  <r>
    <x v="0"/>
    <x v="8"/>
    <s v="5376 J"/>
    <x v="154"/>
    <s v="Wah Nobel Private Limited"/>
    <s v="LDN"/>
    <s v="100 MM"/>
    <s v="20-20.5"/>
    <s v="LDN"/>
    <n v="500"/>
    <x v="0"/>
    <n v="2"/>
    <n v="99.6"/>
    <n v="2"/>
    <n v="2"/>
    <x v="0"/>
    <n v="97.6"/>
    <n v="467.4"/>
    <m/>
    <x v="0"/>
    <x v="0"/>
    <n v="0"/>
    <n v="0"/>
    <x v="0"/>
    <x v="0"/>
    <m/>
    <x v="0"/>
    <x v="0"/>
    <x v="0"/>
    <x v="0"/>
    <x v="0"/>
    <n v="0"/>
    <n v="0"/>
    <n v="0"/>
    <n v="12"/>
    <x v="1"/>
    <x v="0"/>
    <m/>
    <x v="0"/>
    <n v="104.6"/>
    <x v="0"/>
    <x v="13"/>
    <x v="3"/>
    <x v="0"/>
    <x v="0"/>
  </r>
  <r>
    <x v="1"/>
    <x v="8"/>
    <s v="5376 J"/>
    <x v="154"/>
    <s v="Wah Nobel Private Limited"/>
    <s v="LDN"/>
    <s v="100 MM"/>
    <s v="20-20.5"/>
    <s v="LDN"/>
    <n v="500"/>
    <x v="0"/>
    <n v="2"/>
    <n v="120.6"/>
    <n v="2"/>
    <m/>
    <x v="0"/>
    <n v="118.6"/>
    <n v="467.4"/>
    <m/>
    <x v="0"/>
    <x v="0"/>
    <n v="0"/>
    <n v="0"/>
    <x v="0"/>
    <x v="0"/>
    <m/>
    <x v="0"/>
    <x v="0"/>
    <x v="0"/>
    <x v="0"/>
    <x v="0"/>
    <n v="0"/>
    <n v="0"/>
    <n v="0"/>
    <n v="12"/>
    <x v="1"/>
    <x v="0"/>
    <m/>
    <x v="0"/>
    <n v="125.6"/>
    <x v="0"/>
    <x v="13"/>
    <x v="3"/>
    <x v="0"/>
    <x v="0"/>
  </r>
  <r>
    <x v="0"/>
    <x v="9"/>
    <s v="2449 F"/>
    <x v="154"/>
    <s v="Usman Amin"/>
    <s v="LDN"/>
    <n v="11"/>
    <s v="12"/>
    <s v="LDN"/>
    <n v="200"/>
    <x v="0"/>
    <n v="4"/>
    <n v="200.95"/>
    <n v="5.2"/>
    <n v="6"/>
    <x v="0"/>
    <n v="195.75"/>
    <n v="300.53000000000003"/>
    <m/>
    <x v="0"/>
    <x v="0"/>
    <n v="0"/>
    <n v="0"/>
    <x v="0"/>
    <x v="0"/>
    <m/>
    <x v="0"/>
    <x v="0"/>
    <x v="0"/>
    <x v="0"/>
    <x v="0"/>
    <n v="0"/>
    <n v="0"/>
    <n v="0"/>
    <n v="12"/>
    <x v="1"/>
    <x v="0"/>
    <m/>
    <x v="0"/>
    <n v="205.95"/>
    <x v="0"/>
    <x v="13"/>
    <x v="3"/>
    <x v="0"/>
    <x v="0"/>
  </r>
  <r>
    <x v="1"/>
    <x v="9"/>
    <s v="2448 F"/>
    <x v="154"/>
    <s v="Usman Amin"/>
    <s v="LDN"/>
    <n v="15"/>
    <s v="12"/>
    <s v="LDN"/>
    <n v="300"/>
    <x v="0"/>
    <n v="4"/>
    <n v="248.4"/>
    <n v="7"/>
    <n v="3"/>
    <x v="0"/>
    <n v="241.4"/>
    <n v="301.7"/>
    <m/>
    <x v="0"/>
    <x v="0"/>
    <n v="0"/>
    <n v="0"/>
    <x v="0"/>
    <x v="0"/>
    <m/>
    <x v="0"/>
    <x v="0"/>
    <x v="0"/>
    <x v="0"/>
    <x v="0"/>
    <n v="0"/>
    <n v="0"/>
    <n v="0"/>
    <n v="12"/>
    <x v="1"/>
    <x v="0"/>
    <m/>
    <x v="0"/>
    <n v="253.4"/>
    <x v="0"/>
    <x v="13"/>
    <x v="3"/>
    <x v="0"/>
    <x v="0"/>
  </r>
  <r>
    <x v="0"/>
    <x v="10"/>
    <s v="2807/1"/>
    <x v="154"/>
    <s v="PT-01"/>
    <s v="LD سرخ"/>
    <n v="6"/>
    <n v="80"/>
    <s v="LD سرخ"/>
    <n v="2500"/>
    <x v="0"/>
    <n v="12"/>
    <n v="352.68"/>
    <m/>
    <n v="23"/>
    <x v="0"/>
    <n v="352.68"/>
    <n v="5041.09"/>
    <m/>
    <x v="0"/>
    <x v="0"/>
    <n v="0"/>
    <n v="0"/>
    <x v="0"/>
    <x v="0"/>
    <m/>
    <x v="9"/>
    <x v="0"/>
    <x v="0"/>
    <x v="3"/>
    <x v="0"/>
    <n v="45"/>
    <n v="0.75"/>
    <n v="0.75"/>
    <n v="11.25"/>
    <x v="1"/>
    <x v="0"/>
    <m/>
    <x v="0"/>
    <n v="357.68"/>
    <x v="0"/>
    <x v="13"/>
    <x v="3"/>
    <x v="0"/>
    <x v="0"/>
  </r>
  <r>
    <x v="1"/>
    <x v="10"/>
    <s v="2807/1"/>
    <x v="154"/>
    <s v="PT-01"/>
    <s v="LD سرخ"/>
    <n v="6"/>
    <n v="80"/>
    <s v="LD سرخ"/>
    <n v="2500"/>
    <x v="0"/>
    <n v="13"/>
    <n v="351.07"/>
    <m/>
    <n v="15"/>
    <x v="0"/>
    <n v="351.07"/>
    <n v="5041.09"/>
    <m/>
    <x v="0"/>
    <x v="0"/>
    <n v="0"/>
    <n v="0"/>
    <x v="0"/>
    <x v="0"/>
    <m/>
    <x v="0"/>
    <x v="0"/>
    <x v="0"/>
    <x v="0"/>
    <x v="0"/>
    <n v="0"/>
    <n v="0"/>
    <n v="0"/>
    <n v="12"/>
    <x v="1"/>
    <x v="0"/>
    <m/>
    <x v="0"/>
    <n v="356.07"/>
    <x v="0"/>
    <x v="13"/>
    <x v="3"/>
    <x v="0"/>
    <x v="0"/>
  </r>
  <r>
    <x v="0"/>
    <x v="11"/>
    <s v="5389 J"/>
    <x v="154"/>
    <s v="Sead Rafiullah Lahore"/>
    <s v="LD پیلا"/>
    <n v="18"/>
    <s v="11.5-12"/>
    <s v="LDM"/>
    <n v="100"/>
    <x v="0"/>
    <n v="3"/>
    <n v="81.3"/>
    <n v="2.4000000000000004"/>
    <m/>
    <x v="0"/>
    <n v="78.899999999999991"/>
    <n v="78.899999999999991"/>
    <n v="35"/>
    <x v="0"/>
    <x v="0"/>
    <n v="35"/>
    <n v="0.58333333333333337"/>
    <x v="0"/>
    <x v="0"/>
    <m/>
    <x v="0"/>
    <x v="0"/>
    <x v="0"/>
    <x v="0"/>
    <x v="6"/>
    <n v="30"/>
    <n v="0.5"/>
    <n v="1.0833333333333335"/>
    <n v="10.916666666666666"/>
    <x v="1"/>
    <x v="0"/>
    <m/>
    <x v="0"/>
    <n v="86.3"/>
    <x v="0"/>
    <x v="13"/>
    <x v="3"/>
    <x v="0"/>
    <x v="0"/>
  </r>
  <r>
    <x v="0"/>
    <x v="11"/>
    <s v="5425 J"/>
    <x v="154"/>
    <s v="Shahzad Bag Layyah"/>
    <s v="LD پیلا"/>
    <s v="10+3+3"/>
    <s v="7.5-8/15-16"/>
    <s v="LDM"/>
    <n v="110"/>
    <x v="0"/>
    <n v="4"/>
    <n v="112.80000000000001"/>
    <n v="5.2"/>
    <m/>
    <x v="0"/>
    <n v="107.60000000000001"/>
    <n v="171.9"/>
    <m/>
    <x v="0"/>
    <x v="0"/>
    <n v="0"/>
    <n v="0"/>
    <x v="0"/>
    <x v="0"/>
    <m/>
    <x v="0"/>
    <x v="0"/>
    <x v="0"/>
    <x v="0"/>
    <x v="0"/>
    <n v="0"/>
    <n v="0"/>
    <n v="0"/>
    <n v="12"/>
    <x v="1"/>
    <x v="0"/>
    <m/>
    <x v="0"/>
    <n v="117.80000000000001"/>
    <x v="0"/>
    <x v="13"/>
    <x v="3"/>
    <x v="0"/>
    <x v="0"/>
  </r>
  <r>
    <x v="0"/>
    <x v="11"/>
    <s v="5426 J"/>
    <x v="154"/>
    <s v="Mughal Plastic Store Layyah"/>
    <s v="LD پیلا"/>
    <n v="24"/>
    <s v="16-17"/>
    <s v="LDM"/>
    <n v="110"/>
    <x v="0"/>
    <n v="1"/>
    <n v="47.3"/>
    <n v="2.8"/>
    <n v="36"/>
    <x v="0"/>
    <n v="44.5"/>
    <n v="114.2"/>
    <m/>
    <x v="0"/>
    <x v="0"/>
    <n v="0"/>
    <n v="0"/>
    <x v="0"/>
    <x v="0"/>
    <m/>
    <x v="0"/>
    <x v="0"/>
    <x v="0"/>
    <x v="0"/>
    <x v="0"/>
    <n v="0"/>
    <n v="0"/>
    <n v="0"/>
    <n v="12"/>
    <x v="1"/>
    <x v="0"/>
    <m/>
    <x v="0"/>
    <n v="52.3"/>
    <x v="0"/>
    <x v="13"/>
    <x v="3"/>
    <x v="0"/>
    <x v="0"/>
  </r>
  <r>
    <x v="1"/>
    <x v="11"/>
    <s v="5426 J"/>
    <x v="154"/>
    <s v="Mughal Plastic Store Layyah"/>
    <s v="LD پیلا"/>
    <n v="24"/>
    <s v="16-17"/>
    <s v="LDM"/>
    <n v="110"/>
    <x v="0"/>
    <n v="1"/>
    <n v="72.5"/>
    <n v="2.8"/>
    <n v="51"/>
    <x v="0"/>
    <n v="69.7"/>
    <n v="114.2"/>
    <m/>
    <x v="0"/>
    <x v="0"/>
    <n v="0"/>
    <n v="0"/>
    <x v="0"/>
    <x v="0"/>
    <m/>
    <x v="0"/>
    <x v="0"/>
    <x v="0"/>
    <x v="0"/>
    <x v="0"/>
    <n v="0"/>
    <n v="0"/>
    <n v="0"/>
    <n v="12"/>
    <x v="1"/>
    <x v="0"/>
    <m/>
    <x v="0"/>
    <n v="77.5"/>
    <x v="0"/>
    <x v="13"/>
    <x v="3"/>
    <x v="0"/>
    <x v="0"/>
  </r>
  <r>
    <x v="1"/>
    <x v="11"/>
    <s v="5407 J"/>
    <x v="154"/>
    <s v="Waqas Wollan Mills Gujranwala"/>
    <s v="LD گرین"/>
    <n v="13"/>
    <s v="8-8.5"/>
    <s v="LDN"/>
    <n v="200"/>
    <x v="0"/>
    <n v="3"/>
    <n v="218.1"/>
    <n v="5.4"/>
    <m/>
    <x v="0"/>
    <n v="212.7"/>
    <n v="212.7"/>
    <m/>
    <x v="0"/>
    <x v="0"/>
    <n v="0"/>
    <n v="0"/>
    <x v="0"/>
    <x v="0"/>
    <m/>
    <x v="0"/>
    <x v="0"/>
    <x v="0"/>
    <x v="0"/>
    <x v="0"/>
    <n v="0"/>
    <n v="0"/>
    <n v="0"/>
    <n v="12"/>
    <x v="1"/>
    <x v="0"/>
    <m/>
    <x v="0"/>
    <n v="223.1"/>
    <x v="0"/>
    <x v="13"/>
    <x v="3"/>
    <x v="0"/>
    <x v="0"/>
  </r>
  <r>
    <x v="1"/>
    <x v="11"/>
    <s v="5515 J"/>
    <x v="154"/>
    <s v="Waqas Wollan Mills Gujranwala"/>
    <s v="LD گرین"/>
    <n v="13"/>
    <s v="-"/>
    <s v="LDN"/>
    <n v="200"/>
    <x v="0"/>
    <n v="2"/>
    <n v="105.39999999999999"/>
    <n v="3.6"/>
    <m/>
    <x v="0"/>
    <n v="101.8"/>
    <n v="214.5"/>
    <m/>
    <x v="0"/>
    <x v="0"/>
    <n v="0"/>
    <n v="0"/>
    <x v="0"/>
    <x v="0"/>
    <m/>
    <x v="0"/>
    <x v="0"/>
    <x v="0"/>
    <x v="0"/>
    <x v="0"/>
    <n v="0"/>
    <n v="0"/>
    <n v="0"/>
    <n v="12"/>
    <x v="1"/>
    <x v="0"/>
    <m/>
    <x v="0"/>
    <n v="110.39999999999999"/>
    <x v="0"/>
    <x v="13"/>
    <x v="3"/>
    <x v="0"/>
    <x v="0"/>
  </r>
  <r>
    <x v="0"/>
    <x v="13"/>
    <s v="5449 J"/>
    <x v="154"/>
    <s v="Atlas Honda LTD (SKP)"/>
    <s v="LDN"/>
    <n v="22"/>
    <s v="12.5-13"/>
    <s v="LDN"/>
    <n v="250"/>
    <x v="0"/>
    <n v="2"/>
    <n v="195.55"/>
    <n v="4.8"/>
    <m/>
    <x v="0"/>
    <n v="190.75"/>
    <n v="501.05"/>
    <m/>
    <x v="0"/>
    <x v="0"/>
    <n v="0"/>
    <n v="0"/>
    <x v="0"/>
    <x v="0"/>
    <m/>
    <x v="0"/>
    <x v="0"/>
    <x v="0"/>
    <x v="0"/>
    <x v="0"/>
    <n v="0"/>
    <n v="0"/>
    <n v="0"/>
    <n v="12"/>
    <x v="1"/>
    <x v="0"/>
    <m/>
    <x v="0"/>
    <n v="200.55"/>
    <x v="0"/>
    <x v="13"/>
    <x v="3"/>
    <x v="0"/>
    <x v="0"/>
  </r>
  <r>
    <x v="0"/>
    <x v="13"/>
    <s v="5452 J"/>
    <x v="154"/>
    <s v="-"/>
    <m/>
    <m/>
    <m/>
    <m/>
    <m/>
    <x v="0"/>
    <n v="1"/>
    <n v="87.4"/>
    <n v="2.4"/>
    <n v="8"/>
    <x v="0"/>
    <n v="85"/>
    <n v="85"/>
    <m/>
    <x v="0"/>
    <x v="0"/>
    <n v="0"/>
    <n v="0"/>
    <x v="0"/>
    <x v="0"/>
    <m/>
    <x v="0"/>
    <x v="0"/>
    <x v="0"/>
    <x v="0"/>
    <x v="0"/>
    <n v="0"/>
    <n v="0"/>
    <n v="0"/>
    <n v="12"/>
    <x v="1"/>
    <x v="0"/>
    <m/>
    <x v="0"/>
    <n v="92.4"/>
    <x v="0"/>
    <x v="13"/>
    <x v="3"/>
    <x v="0"/>
    <x v="0"/>
  </r>
  <r>
    <x v="0"/>
    <x v="13"/>
    <s v="5451 J"/>
    <x v="154"/>
    <s v="-"/>
    <m/>
    <m/>
    <m/>
    <m/>
    <m/>
    <x v="0"/>
    <n v="2"/>
    <n v="167.75"/>
    <n v="2.6"/>
    <m/>
    <x v="0"/>
    <n v="165.15"/>
    <n v="317.55"/>
    <m/>
    <x v="0"/>
    <x v="0"/>
    <n v="0"/>
    <n v="0"/>
    <x v="0"/>
    <x v="0"/>
    <m/>
    <x v="0"/>
    <x v="0"/>
    <x v="0"/>
    <x v="0"/>
    <x v="0"/>
    <n v="0"/>
    <n v="0"/>
    <n v="0"/>
    <n v="12"/>
    <x v="1"/>
    <x v="0"/>
    <m/>
    <x v="0"/>
    <n v="172.75"/>
    <x v="0"/>
    <x v="13"/>
    <x v="3"/>
    <x v="0"/>
    <x v="0"/>
  </r>
  <r>
    <x v="1"/>
    <x v="13"/>
    <s v="5451 J"/>
    <x v="154"/>
    <s v="-"/>
    <m/>
    <m/>
    <m/>
    <m/>
    <m/>
    <x v="0"/>
    <n v="2"/>
    <n v="158.4"/>
    <n v="6"/>
    <n v="6"/>
    <x v="0"/>
    <n v="152.4"/>
    <n v="317.55"/>
    <n v="2"/>
    <x v="0"/>
    <x v="0"/>
    <n v="2"/>
    <n v="3.3333333333333333E-2"/>
    <x v="0"/>
    <x v="0"/>
    <m/>
    <x v="0"/>
    <x v="0"/>
    <x v="0"/>
    <x v="0"/>
    <x v="0"/>
    <n v="0"/>
    <n v="0"/>
    <n v="3.3333333333333333E-2"/>
    <n v="11.966666666666667"/>
    <x v="1"/>
    <x v="0"/>
    <m/>
    <x v="0"/>
    <n v="163.4"/>
    <x v="0"/>
    <x v="13"/>
    <x v="3"/>
    <x v="0"/>
    <x v="0"/>
  </r>
  <r>
    <x v="1"/>
    <x v="13"/>
    <s v="2453 F"/>
    <x v="154"/>
    <s v="Usman Amin"/>
    <s v="LDN"/>
    <n v="26"/>
    <s v="7-7.5"/>
    <s v="LDN"/>
    <n v="90"/>
    <x v="0"/>
    <n v="2"/>
    <n v="109.10000000000001"/>
    <n v="6.4"/>
    <m/>
    <x v="0"/>
    <n v="102.7"/>
    <n v="245.8"/>
    <m/>
    <x v="0"/>
    <x v="0"/>
    <n v="0"/>
    <n v="0"/>
    <x v="0"/>
    <x v="0"/>
    <m/>
    <x v="0"/>
    <x v="0"/>
    <x v="0"/>
    <x v="0"/>
    <x v="0"/>
    <n v="0"/>
    <n v="0"/>
    <n v="0"/>
    <n v="12"/>
    <x v="1"/>
    <x v="0"/>
    <m/>
    <x v="0"/>
    <n v="114.10000000000001"/>
    <x v="0"/>
    <x v="13"/>
    <x v="3"/>
    <x v="0"/>
    <x v="0"/>
  </r>
  <r>
    <x v="1"/>
    <x v="13"/>
    <s v="5467 J"/>
    <x v="154"/>
    <s v="G.G Snacks Lahore"/>
    <s v="LDN"/>
    <n v="20"/>
    <s v="9.5-10"/>
    <s v="LDN"/>
    <n v="250"/>
    <x v="0"/>
    <n v="3"/>
    <n v="212.79999999999998"/>
    <n v="7.5"/>
    <m/>
    <x v="0"/>
    <n v="205.29999999999998"/>
    <n v="253.7"/>
    <m/>
    <x v="0"/>
    <x v="0"/>
    <n v="0"/>
    <n v="0"/>
    <x v="0"/>
    <x v="0"/>
    <m/>
    <x v="0"/>
    <x v="0"/>
    <x v="0"/>
    <x v="0"/>
    <x v="0"/>
    <n v="0"/>
    <n v="0"/>
    <n v="0"/>
    <n v="12"/>
    <x v="1"/>
    <x v="0"/>
    <m/>
    <x v="0"/>
    <n v="217.79999999999998"/>
    <x v="0"/>
    <x v="13"/>
    <x v="3"/>
    <x v="0"/>
    <x v="0"/>
  </r>
  <r>
    <x v="0"/>
    <x v="14"/>
    <s v="268 R"/>
    <x v="154"/>
    <s v="ریفلیکٹ پیک"/>
    <s v="LDN"/>
    <n v="23"/>
    <s v="18-19"/>
    <s v="LDN"/>
    <n v="4000"/>
    <x v="0"/>
    <n v="3"/>
    <n v="349.9"/>
    <n v="9"/>
    <n v="35"/>
    <x v="0"/>
    <n v="340.9"/>
    <n v="4136.5600000000004"/>
    <m/>
    <x v="8"/>
    <x v="0"/>
    <n v="360"/>
    <n v="6"/>
    <x v="0"/>
    <x v="0"/>
    <m/>
    <x v="0"/>
    <x v="0"/>
    <x v="0"/>
    <x v="0"/>
    <x v="0"/>
    <n v="0"/>
    <n v="0"/>
    <n v="6"/>
    <n v="6"/>
    <x v="1"/>
    <x v="0"/>
    <m/>
    <x v="0"/>
    <n v="354.9"/>
    <x v="0"/>
    <x v="13"/>
    <x v="3"/>
    <x v="0"/>
    <x v="0"/>
  </r>
  <r>
    <x v="0"/>
    <x v="14"/>
    <s v="PACKING"/>
    <x v="154"/>
    <s v="-"/>
    <m/>
    <m/>
    <m/>
    <m/>
    <m/>
    <x v="0"/>
    <n v="1"/>
    <n v="85.8"/>
    <n v="3"/>
    <m/>
    <x v="0"/>
    <n v="82.8"/>
    <n v="2074.5"/>
    <m/>
    <x v="0"/>
    <x v="0"/>
    <n v="0"/>
    <n v="0"/>
    <x v="0"/>
    <x v="0"/>
    <m/>
    <x v="0"/>
    <x v="0"/>
    <x v="0"/>
    <x v="0"/>
    <x v="0"/>
    <n v="0"/>
    <n v="0"/>
    <n v="0"/>
    <n v="12"/>
    <x v="1"/>
    <x v="0"/>
    <m/>
    <x v="0"/>
    <n v="90.8"/>
    <x v="0"/>
    <x v="13"/>
    <x v="3"/>
    <x v="0"/>
    <x v="0"/>
  </r>
  <r>
    <x v="1"/>
    <x v="14"/>
    <s v="268 R"/>
    <x v="154"/>
    <s v="ریفلیکٹ پیک"/>
    <s v="LDN"/>
    <n v="23"/>
    <s v="18-19"/>
    <s v="LDN"/>
    <n v="4000"/>
    <x v="0"/>
    <n v="6"/>
    <n v="712.68"/>
    <n v="18"/>
    <m/>
    <x v="0"/>
    <n v="694.68"/>
    <n v="4136.5600000000004"/>
    <m/>
    <x v="0"/>
    <x v="0"/>
    <n v="0"/>
    <n v="0"/>
    <x v="0"/>
    <x v="0"/>
    <m/>
    <x v="0"/>
    <x v="0"/>
    <x v="0"/>
    <x v="0"/>
    <x v="0"/>
    <n v="0"/>
    <n v="0"/>
    <n v="0"/>
    <n v="12"/>
    <x v="1"/>
    <x v="0"/>
    <m/>
    <x v="0"/>
    <n v="717.68"/>
    <x v="0"/>
    <x v="13"/>
    <x v="3"/>
    <x v="0"/>
    <x v="0"/>
  </r>
  <r>
    <x v="0"/>
    <x v="15"/>
    <s v="2441 F"/>
    <x v="154"/>
    <s v="Usman Amin"/>
    <s v="LDN"/>
    <n v="28"/>
    <s v="8"/>
    <s v="LDN"/>
    <n v="160"/>
    <x v="0"/>
    <n v="2"/>
    <n v="177.3"/>
    <n v="6.8"/>
    <n v="8"/>
    <x v="0"/>
    <n v="170.5"/>
    <n v="170.5"/>
    <n v="10"/>
    <x v="0"/>
    <x v="0"/>
    <n v="10"/>
    <n v="0.16666666666666666"/>
    <x v="0"/>
    <x v="0"/>
    <m/>
    <x v="0"/>
    <x v="0"/>
    <x v="0"/>
    <x v="0"/>
    <x v="0"/>
    <n v="0"/>
    <n v="0"/>
    <n v="0.16666666666666666"/>
    <n v="11.833333333333334"/>
    <x v="1"/>
    <x v="0"/>
    <m/>
    <x v="0"/>
    <n v="182.3"/>
    <x v="0"/>
    <x v="13"/>
    <x v="3"/>
    <x v="0"/>
    <x v="0"/>
  </r>
  <r>
    <x v="0"/>
    <x v="15"/>
    <s v="2438 F"/>
    <x v="154"/>
    <s v="Usman Amin"/>
    <s v="LDN"/>
    <n v="26"/>
    <s v="7"/>
    <s v="LDN"/>
    <n v="200"/>
    <x v="0"/>
    <n v="1"/>
    <n v="48.9"/>
    <n v="3.4"/>
    <m/>
    <x v="0"/>
    <n v="45.5"/>
    <n v="45.5"/>
    <m/>
    <x v="0"/>
    <x v="0"/>
    <n v="0"/>
    <n v="0"/>
    <x v="0"/>
    <x v="0"/>
    <m/>
    <x v="0"/>
    <x v="0"/>
    <x v="0"/>
    <x v="0"/>
    <x v="0"/>
    <n v="0"/>
    <n v="0"/>
    <n v="0"/>
    <n v="12"/>
    <x v="1"/>
    <x v="0"/>
    <m/>
    <x v="0"/>
    <n v="53.9"/>
    <x v="0"/>
    <x v="13"/>
    <x v="3"/>
    <x v="0"/>
    <x v="0"/>
  </r>
  <r>
    <x v="0"/>
    <x v="15"/>
    <s v="2437 F"/>
    <x v="154"/>
    <s v="Usman Amin"/>
    <s v="LDN"/>
    <n v="30"/>
    <s v="7"/>
    <s v="LDN"/>
    <n v="150"/>
    <x v="0"/>
    <n v="3"/>
    <n v="213.2"/>
    <n v="11.399999999999999"/>
    <m/>
    <x v="0"/>
    <n v="201.79999999999998"/>
    <n v="314.29999999999995"/>
    <m/>
    <x v="0"/>
    <x v="0"/>
    <n v="0"/>
    <n v="0"/>
    <x v="0"/>
    <x v="0"/>
    <m/>
    <x v="0"/>
    <x v="0"/>
    <x v="0"/>
    <x v="0"/>
    <x v="0"/>
    <n v="0"/>
    <n v="0"/>
    <n v="0"/>
    <n v="12"/>
    <x v="1"/>
    <x v="0"/>
    <m/>
    <x v="0"/>
    <n v="218.2"/>
    <x v="0"/>
    <x v="13"/>
    <x v="3"/>
    <x v="0"/>
    <x v="0"/>
  </r>
  <r>
    <x v="1"/>
    <x v="15"/>
    <s v="2437 F"/>
    <x v="154"/>
    <s v="Usman Amin"/>
    <s v="LDN"/>
    <n v="30"/>
    <s v="7"/>
    <s v="LDN"/>
    <n v="150"/>
    <x v="0"/>
    <n v="1"/>
    <n v="116.3"/>
    <n v="3.8"/>
    <n v="7.9"/>
    <x v="0"/>
    <n v="112.5"/>
    <n v="314.29999999999995"/>
    <m/>
    <x v="0"/>
    <x v="0"/>
    <n v="0"/>
    <n v="0"/>
    <x v="0"/>
    <x v="0"/>
    <m/>
    <x v="0"/>
    <x v="0"/>
    <x v="0"/>
    <x v="0"/>
    <x v="0"/>
    <n v="0"/>
    <n v="0"/>
    <n v="0"/>
    <n v="12"/>
    <x v="1"/>
    <x v="0"/>
    <m/>
    <x v="0"/>
    <n v="121.3"/>
    <x v="0"/>
    <x v="13"/>
    <x v="3"/>
    <x v="0"/>
    <x v="0"/>
  </r>
  <r>
    <x v="1"/>
    <x v="15"/>
    <s v="2819/1"/>
    <x v="154"/>
    <s v="MATCO FOOD"/>
    <s v="LDN"/>
    <s v="29 TO 29.5"/>
    <s v="85 Grm+-2"/>
    <s v="LDN"/>
    <n v="2975"/>
    <x v="0"/>
    <n v="4"/>
    <n v="459.30000000000007"/>
    <n v="15.2"/>
    <m/>
    <x v="0"/>
    <n v="444.10000000000008"/>
    <n v="3199.08"/>
    <m/>
    <x v="0"/>
    <x v="0"/>
    <n v="0"/>
    <n v="0"/>
    <x v="0"/>
    <x v="0"/>
    <m/>
    <x v="0"/>
    <x v="0"/>
    <x v="0"/>
    <x v="0"/>
    <x v="0"/>
    <n v="0"/>
    <n v="0"/>
    <n v="0"/>
    <n v="12"/>
    <x v="1"/>
    <x v="0"/>
    <m/>
    <x v="0"/>
    <n v="464.30000000000007"/>
    <x v="0"/>
    <x v="13"/>
    <x v="3"/>
    <x v="0"/>
    <x v="0"/>
  </r>
  <r>
    <x v="0"/>
    <x v="9"/>
    <s v="2448 F"/>
    <x v="155"/>
    <s v="Usman Amin"/>
    <s v="LDN"/>
    <n v="15"/>
    <s v="12"/>
    <s v="LDN"/>
    <n v="300"/>
    <x v="0"/>
    <n v="1"/>
    <n v="61.8"/>
    <n v="1.5"/>
    <n v="3"/>
    <x v="0"/>
    <n v="60.3"/>
    <n v="301.7"/>
    <m/>
    <x v="0"/>
    <x v="0"/>
    <n v="0"/>
    <n v="0"/>
    <x v="0"/>
    <x v="0"/>
    <m/>
    <x v="0"/>
    <x v="0"/>
    <x v="0"/>
    <x v="0"/>
    <x v="0"/>
    <n v="0"/>
    <n v="0"/>
    <n v="0"/>
    <n v="12"/>
    <x v="1"/>
    <x v="0"/>
    <m/>
    <x v="0"/>
    <n v="66.8"/>
    <x v="0"/>
    <x v="13"/>
    <x v="3"/>
    <x v="0"/>
    <x v="0"/>
  </r>
  <r>
    <x v="0"/>
    <x v="9"/>
    <s v="5478 J"/>
    <x v="155"/>
    <s v="Zahid Shaker Garkh"/>
    <s v="LDN"/>
    <n v="7"/>
    <s v="14-15"/>
    <s v="LDN"/>
    <n v="150"/>
    <x v="0"/>
    <n v="3"/>
    <n v="120.96000000000001"/>
    <n v="3"/>
    <m/>
    <x v="0"/>
    <n v="117.96000000000001"/>
    <n v="149.46"/>
    <m/>
    <x v="0"/>
    <x v="0"/>
    <n v="0"/>
    <n v="0"/>
    <x v="0"/>
    <x v="0"/>
    <m/>
    <x v="0"/>
    <x v="0"/>
    <x v="0"/>
    <x v="0"/>
    <x v="0"/>
    <n v="0"/>
    <n v="0"/>
    <n v="0"/>
    <n v="12"/>
    <x v="1"/>
    <x v="0"/>
    <m/>
    <x v="0"/>
    <n v="125.96000000000001"/>
    <x v="0"/>
    <x v="13"/>
    <x v="3"/>
    <x v="0"/>
    <x v="0"/>
  </r>
  <r>
    <x v="1"/>
    <x v="9"/>
    <s v="5478 J"/>
    <x v="155"/>
    <s v="Zahid Shaker Garkh"/>
    <s v="LDN"/>
    <n v="7"/>
    <s v="14-15"/>
    <s v="LDN"/>
    <n v="150"/>
    <x v="0"/>
    <n v="1"/>
    <n v="32.700000000000003"/>
    <n v="1.2"/>
    <n v="2"/>
    <x v="0"/>
    <n v="31.500000000000004"/>
    <n v="149.46"/>
    <m/>
    <x v="0"/>
    <x v="0"/>
    <n v="0"/>
    <n v="0"/>
    <x v="0"/>
    <x v="0"/>
    <m/>
    <x v="0"/>
    <x v="0"/>
    <x v="0"/>
    <x v="0"/>
    <x v="0"/>
    <n v="0"/>
    <n v="0"/>
    <n v="0"/>
    <n v="12"/>
    <x v="1"/>
    <x v="0"/>
    <m/>
    <x v="0"/>
    <n v="37.700000000000003"/>
    <x v="0"/>
    <x v="13"/>
    <x v="3"/>
    <x v="0"/>
    <x v="0"/>
  </r>
  <r>
    <x v="1"/>
    <x v="9"/>
    <s v="5477 J"/>
    <x v="155"/>
    <s v="Zahid Shaker Garkh"/>
    <s v="LDN"/>
    <n v="6"/>
    <s v="14-15"/>
    <s v="LDN"/>
    <n v="100"/>
    <x v="0"/>
    <n v="3"/>
    <n v="150.80000000000001"/>
    <n v="1.7999999999999998"/>
    <m/>
    <x v="0"/>
    <n v="149"/>
    <n v="149"/>
    <m/>
    <x v="0"/>
    <x v="0"/>
    <n v="0"/>
    <n v="0"/>
    <x v="0"/>
    <x v="0"/>
    <m/>
    <x v="0"/>
    <x v="0"/>
    <x v="0"/>
    <x v="0"/>
    <x v="0"/>
    <n v="0"/>
    <n v="0"/>
    <n v="0"/>
    <n v="12"/>
    <x v="1"/>
    <x v="0"/>
    <m/>
    <x v="0"/>
    <n v="155.80000000000001"/>
    <x v="0"/>
    <x v="13"/>
    <x v="3"/>
    <x v="0"/>
    <x v="0"/>
  </r>
  <r>
    <x v="0"/>
    <x v="10"/>
    <s v="2807/1"/>
    <x v="155"/>
    <s v="PT-01"/>
    <s v="LD سرخ"/>
    <n v="6"/>
    <n v="80"/>
    <s v="LD سرخ"/>
    <n v="2500"/>
    <x v="0"/>
    <n v="13"/>
    <n v="346.53999999999996"/>
    <m/>
    <n v="11"/>
    <x v="0"/>
    <n v="346.53999999999996"/>
    <n v="5041.09"/>
    <m/>
    <x v="0"/>
    <x v="0"/>
    <n v="0"/>
    <n v="0"/>
    <x v="0"/>
    <x v="0"/>
    <m/>
    <x v="9"/>
    <x v="0"/>
    <x v="0"/>
    <x v="0"/>
    <x v="0"/>
    <n v="15"/>
    <n v="0.25"/>
    <n v="0.25"/>
    <n v="11.75"/>
    <x v="1"/>
    <x v="0"/>
    <m/>
    <x v="0"/>
    <n v="351.53999999999996"/>
    <x v="0"/>
    <x v="13"/>
    <x v="3"/>
    <x v="0"/>
    <x v="0"/>
  </r>
  <r>
    <x v="1"/>
    <x v="10"/>
    <s v="2807/1"/>
    <x v="155"/>
    <s v="PT-01"/>
    <s v="LD سرخ"/>
    <n v="6"/>
    <n v="80"/>
    <s v="LD سرخ"/>
    <n v="2500"/>
    <x v="0"/>
    <n v="12"/>
    <n v="353.69"/>
    <m/>
    <n v="6"/>
    <x v="0"/>
    <n v="353.69"/>
    <n v="5041.09"/>
    <m/>
    <x v="0"/>
    <x v="0"/>
    <n v="0"/>
    <n v="0"/>
    <x v="0"/>
    <x v="0"/>
    <m/>
    <x v="0"/>
    <x v="0"/>
    <x v="0"/>
    <x v="0"/>
    <x v="0"/>
    <n v="0"/>
    <n v="0"/>
    <n v="0"/>
    <n v="12"/>
    <x v="1"/>
    <x v="0"/>
    <m/>
    <x v="0"/>
    <n v="358.69"/>
    <x v="0"/>
    <x v="13"/>
    <x v="3"/>
    <x v="0"/>
    <x v="0"/>
  </r>
  <r>
    <x v="0"/>
    <x v="11"/>
    <s v="5515 J"/>
    <x v="155"/>
    <s v="Waqas Wollan Mills Gujranwala"/>
    <s v="LD گرین"/>
    <n v="13"/>
    <s v="-"/>
    <s v="LDN"/>
    <n v="200"/>
    <x v="0"/>
    <n v="2"/>
    <n v="115.7"/>
    <n v="3"/>
    <n v="24"/>
    <x v="0"/>
    <n v="112.7"/>
    <n v="214.5"/>
    <m/>
    <x v="0"/>
    <x v="0"/>
    <n v="0"/>
    <n v="0"/>
    <x v="0"/>
    <x v="0"/>
    <m/>
    <x v="0"/>
    <x v="0"/>
    <x v="0"/>
    <x v="0"/>
    <x v="0"/>
    <n v="0"/>
    <n v="0"/>
    <n v="0"/>
    <n v="12"/>
    <x v="1"/>
    <x v="0"/>
    <m/>
    <x v="0"/>
    <n v="120.7"/>
    <x v="0"/>
    <x v="13"/>
    <x v="3"/>
    <x v="0"/>
    <x v="0"/>
  </r>
  <r>
    <x v="0"/>
    <x v="11"/>
    <s v="5415 J"/>
    <x v="155"/>
    <s v="Waqas Wollan Mills Gujranwala"/>
    <s v="LD بلو"/>
    <n v="15"/>
    <s v="10-10.5"/>
    <s v="LDM"/>
    <n v="200"/>
    <x v="0"/>
    <n v="3"/>
    <n v="218.10000000000002"/>
    <m/>
    <m/>
    <x v="0"/>
    <n v="218.10000000000002"/>
    <n v="218.10000000000002"/>
    <m/>
    <x v="0"/>
    <x v="0"/>
    <n v="0"/>
    <n v="0"/>
    <x v="0"/>
    <x v="0"/>
    <m/>
    <x v="0"/>
    <x v="0"/>
    <x v="0"/>
    <x v="0"/>
    <x v="0"/>
    <n v="0"/>
    <n v="0"/>
    <n v="0"/>
    <n v="12"/>
    <x v="1"/>
    <x v="0"/>
    <m/>
    <x v="0"/>
    <n v="223.10000000000002"/>
    <x v="0"/>
    <x v="13"/>
    <x v="3"/>
    <x v="0"/>
    <x v="0"/>
  </r>
  <r>
    <x v="1"/>
    <x v="11"/>
    <s v="5414 J"/>
    <x v="155"/>
    <s v="Waqas Wollan Mills Gujranwala"/>
    <s v="LD بلو"/>
    <n v="15"/>
    <s v="10-10.5"/>
    <s v="LDM"/>
    <n v="100"/>
    <x v="0"/>
    <n v="2"/>
    <n v="103.80000000000001"/>
    <n v="3.8"/>
    <n v="6"/>
    <x v="0"/>
    <n v="100.00000000000001"/>
    <n v="100.00000000000001"/>
    <n v="3"/>
    <x v="0"/>
    <x v="0"/>
    <n v="3"/>
    <n v="0.05"/>
    <x v="0"/>
    <x v="0"/>
    <m/>
    <x v="0"/>
    <x v="0"/>
    <x v="0"/>
    <x v="0"/>
    <x v="0"/>
    <n v="0"/>
    <n v="0"/>
    <n v="0.05"/>
    <n v="11.95"/>
    <x v="1"/>
    <x v="0"/>
    <m/>
    <x v="0"/>
    <n v="108.80000000000001"/>
    <x v="0"/>
    <x v="13"/>
    <x v="3"/>
    <x v="0"/>
    <x v="0"/>
  </r>
  <r>
    <x v="1"/>
    <x v="11"/>
    <s v="5411 J"/>
    <x v="155"/>
    <s v="Waqas Wollan Mills Gujranwala"/>
    <s v="LD بلو"/>
    <n v="16"/>
    <s v="10-10.5"/>
    <s v="LDM"/>
    <n v="100"/>
    <x v="0"/>
    <n v="2"/>
    <n v="112.9"/>
    <n v="3.8"/>
    <m/>
    <x v="0"/>
    <n v="109.10000000000001"/>
    <n v="109.10000000000001"/>
    <m/>
    <x v="0"/>
    <x v="0"/>
    <n v="0"/>
    <n v="0"/>
    <x v="0"/>
    <x v="0"/>
    <m/>
    <x v="0"/>
    <x v="0"/>
    <x v="0"/>
    <x v="0"/>
    <x v="0"/>
    <n v="0"/>
    <n v="0"/>
    <n v="0"/>
    <n v="12"/>
    <x v="1"/>
    <x v="0"/>
    <m/>
    <x v="0"/>
    <n v="117.9"/>
    <x v="0"/>
    <x v="13"/>
    <x v="3"/>
    <x v="0"/>
    <x v="0"/>
  </r>
  <r>
    <x v="1"/>
    <x v="11"/>
    <s v="5412 J"/>
    <x v="155"/>
    <s v="Waqas Wollan Mills Gujranwala"/>
    <s v="LD بلو"/>
    <n v="16"/>
    <s v="10-10.5"/>
    <s v="LDM"/>
    <n v="100"/>
    <x v="0"/>
    <n v="1"/>
    <n v="49.8"/>
    <n v="1.9"/>
    <m/>
    <x v="0"/>
    <n v="47.9"/>
    <n v="108"/>
    <m/>
    <x v="0"/>
    <x v="0"/>
    <n v="0"/>
    <n v="0"/>
    <x v="0"/>
    <x v="0"/>
    <m/>
    <x v="0"/>
    <x v="0"/>
    <x v="0"/>
    <x v="0"/>
    <x v="0"/>
    <n v="0"/>
    <n v="0"/>
    <n v="0"/>
    <n v="12"/>
    <x v="1"/>
    <x v="0"/>
    <m/>
    <x v="0"/>
    <n v="54.8"/>
    <x v="0"/>
    <x v="13"/>
    <x v="3"/>
    <x v="0"/>
    <x v="0"/>
  </r>
  <r>
    <x v="1"/>
    <x v="11"/>
    <s v="5413 J"/>
    <x v="155"/>
    <s v="Waqas Wollan Mills Gujranwala"/>
    <s v="LD بلو"/>
    <n v="16"/>
    <s v="10-10.5"/>
    <s v="LDM"/>
    <n v="200"/>
    <x v="0"/>
    <n v="2"/>
    <n v="144.80000000000001"/>
    <n v="3.8"/>
    <m/>
    <x v="0"/>
    <n v="141"/>
    <n v="224.5"/>
    <m/>
    <x v="0"/>
    <x v="0"/>
    <n v="0"/>
    <n v="0"/>
    <x v="0"/>
    <x v="0"/>
    <m/>
    <x v="0"/>
    <x v="0"/>
    <x v="0"/>
    <x v="0"/>
    <x v="0"/>
    <n v="0"/>
    <n v="0"/>
    <n v="0"/>
    <n v="12"/>
    <x v="1"/>
    <x v="0"/>
    <m/>
    <x v="0"/>
    <n v="149.80000000000001"/>
    <x v="0"/>
    <x v="13"/>
    <x v="3"/>
    <x v="0"/>
    <x v="0"/>
  </r>
  <r>
    <x v="0"/>
    <x v="13"/>
    <s v="5467 J"/>
    <x v="155"/>
    <s v="G.G Snacks Lahore"/>
    <s v="LDN"/>
    <n v="20"/>
    <s v="9.5-10"/>
    <s v="LDN"/>
    <n v="250"/>
    <x v="0"/>
    <n v="1"/>
    <n v="50.9"/>
    <n v="2.5"/>
    <n v="8"/>
    <x v="0"/>
    <n v="48.4"/>
    <n v="253.7"/>
    <m/>
    <x v="0"/>
    <x v="0"/>
    <n v="0"/>
    <n v="0"/>
    <x v="0"/>
    <x v="0"/>
    <m/>
    <x v="0"/>
    <x v="0"/>
    <x v="0"/>
    <x v="0"/>
    <x v="0"/>
    <n v="0"/>
    <n v="0"/>
    <n v="0"/>
    <n v="12"/>
    <x v="1"/>
    <x v="0"/>
    <m/>
    <x v="0"/>
    <n v="55.9"/>
    <x v="0"/>
    <x v="13"/>
    <x v="3"/>
    <x v="0"/>
    <x v="0"/>
  </r>
  <r>
    <x v="0"/>
    <x v="13"/>
    <s v="2436 F"/>
    <x v="155"/>
    <s v="Usman Amin"/>
    <s v="LDN"/>
    <n v="17"/>
    <s v="7"/>
    <s v="LDN"/>
    <n v="300"/>
    <x v="0"/>
    <n v="5"/>
    <n v="282.25"/>
    <n v="9.5"/>
    <m/>
    <x v="0"/>
    <n v="272.75"/>
    <n v="431.55"/>
    <m/>
    <x v="0"/>
    <x v="0"/>
    <n v="0"/>
    <n v="0"/>
    <x v="0"/>
    <x v="0"/>
    <m/>
    <x v="0"/>
    <x v="0"/>
    <x v="0"/>
    <x v="0"/>
    <x v="0"/>
    <n v="0"/>
    <n v="0"/>
    <n v="0"/>
    <n v="12"/>
    <x v="1"/>
    <x v="0"/>
    <m/>
    <x v="0"/>
    <n v="287.25"/>
    <x v="0"/>
    <x v="13"/>
    <x v="3"/>
    <x v="0"/>
    <x v="0"/>
  </r>
  <r>
    <x v="1"/>
    <x v="13"/>
    <s v="2454 F"/>
    <x v="155"/>
    <s v="Usman Amin"/>
    <s v="LDN"/>
    <n v="17"/>
    <s v="12"/>
    <s v="LDN"/>
    <n v="500"/>
    <x v="0"/>
    <n v="6"/>
    <n v="414.00000000000006"/>
    <n v="12.2"/>
    <n v="1.2"/>
    <x v="0"/>
    <n v="401.80000000000007"/>
    <n v="1024.0000000000002"/>
    <m/>
    <x v="0"/>
    <x v="0"/>
    <n v="0"/>
    <n v="0"/>
    <x v="0"/>
    <x v="0"/>
    <m/>
    <x v="0"/>
    <x v="0"/>
    <x v="0"/>
    <x v="0"/>
    <x v="0"/>
    <n v="0"/>
    <n v="0"/>
    <n v="0"/>
    <n v="12"/>
    <x v="1"/>
    <x v="0"/>
    <m/>
    <x v="0"/>
    <n v="419.00000000000006"/>
    <x v="0"/>
    <x v="13"/>
    <x v="3"/>
    <x v="0"/>
    <x v="0"/>
  </r>
  <r>
    <x v="0"/>
    <x v="14"/>
    <s v="268 R"/>
    <x v="155"/>
    <s v="ریفلیکٹ پیک"/>
    <s v="LDN"/>
    <n v="23"/>
    <s v="18-19"/>
    <s v="LDN"/>
    <n v="4000"/>
    <x v="0"/>
    <n v="6"/>
    <n v="711.7"/>
    <n v="18"/>
    <m/>
    <x v="0"/>
    <n v="693.7"/>
    <n v="4136.5600000000004"/>
    <m/>
    <x v="0"/>
    <x v="0"/>
    <n v="0"/>
    <n v="0"/>
    <x v="0"/>
    <x v="0"/>
    <m/>
    <x v="0"/>
    <x v="0"/>
    <x v="0"/>
    <x v="0"/>
    <x v="0"/>
    <n v="0"/>
    <n v="0"/>
    <n v="0"/>
    <n v="12"/>
    <x v="1"/>
    <x v="0"/>
    <m/>
    <x v="0"/>
    <n v="716.7"/>
    <x v="0"/>
    <x v="13"/>
    <x v="3"/>
    <x v="0"/>
    <x v="0"/>
  </r>
  <r>
    <x v="1"/>
    <x v="14"/>
    <s v="268 R"/>
    <x v="155"/>
    <s v="ریفلیکٹ پیک"/>
    <s v="LDN"/>
    <n v="23"/>
    <s v="18-19"/>
    <s v="LDN"/>
    <n v="4000"/>
    <x v="0"/>
    <n v="4"/>
    <n v="415.06"/>
    <n v="12"/>
    <n v="20"/>
    <x v="0"/>
    <n v="403.06"/>
    <n v="4136.5600000000004"/>
    <n v="10"/>
    <x v="0"/>
    <x v="0"/>
    <n v="10"/>
    <n v="0.16666666666666666"/>
    <x v="0"/>
    <x v="0"/>
    <m/>
    <x v="0"/>
    <x v="0"/>
    <x v="0"/>
    <x v="0"/>
    <x v="0"/>
    <n v="0"/>
    <n v="0"/>
    <n v="0.16666666666666666"/>
    <n v="11.833333333333334"/>
    <x v="1"/>
    <x v="0"/>
    <m/>
    <x v="0"/>
    <n v="420.06"/>
    <x v="0"/>
    <x v="13"/>
    <x v="3"/>
    <x v="0"/>
    <x v="0"/>
  </r>
  <r>
    <x v="1"/>
    <x v="14"/>
    <s v="5305 J"/>
    <x v="155"/>
    <s v="High Class Bakers Gujrat"/>
    <s v="LDN"/>
    <s v="28 شیٹ"/>
    <s v="4-4.5/8-9"/>
    <s v="LDN"/>
    <n v="250"/>
    <x v="0"/>
    <n v="2"/>
    <n v="149.6"/>
    <n v="7.6"/>
    <m/>
    <x v="0"/>
    <n v="142"/>
    <n v="275.39999999999998"/>
    <m/>
    <x v="0"/>
    <x v="0"/>
    <n v="0"/>
    <n v="0"/>
    <x v="0"/>
    <x v="0"/>
    <m/>
    <x v="0"/>
    <x v="0"/>
    <x v="0"/>
    <x v="0"/>
    <x v="0"/>
    <n v="0"/>
    <n v="0"/>
    <n v="0"/>
    <n v="12"/>
    <x v="1"/>
    <x v="0"/>
    <m/>
    <x v="0"/>
    <n v="154.6"/>
    <x v="0"/>
    <x v="13"/>
    <x v="3"/>
    <x v="0"/>
    <x v="0"/>
  </r>
  <r>
    <x v="1"/>
    <x v="14"/>
    <s v="2820/1"/>
    <x v="155"/>
    <s v="SUPER AGRO PAKISTAN"/>
    <s v="LDN"/>
    <s v="29&quot;+-0.5"/>
    <s v="100 Grm+-2"/>
    <s v="LDN"/>
    <n v="1500"/>
    <x v="0"/>
    <n v="1"/>
    <n v="149.4"/>
    <n v="3.6"/>
    <m/>
    <x v="0"/>
    <n v="145.80000000000001"/>
    <n v="1679.7999999999997"/>
    <m/>
    <x v="0"/>
    <x v="0"/>
    <n v="0"/>
    <n v="0"/>
    <x v="0"/>
    <x v="0"/>
    <m/>
    <x v="0"/>
    <x v="0"/>
    <x v="0"/>
    <x v="0"/>
    <x v="0"/>
    <n v="0"/>
    <n v="0"/>
    <n v="0"/>
    <n v="12"/>
    <x v="1"/>
    <x v="0"/>
    <m/>
    <x v="0"/>
    <n v="154.4"/>
    <x v="0"/>
    <x v="13"/>
    <x v="3"/>
    <x v="0"/>
    <x v="0"/>
  </r>
  <r>
    <x v="0"/>
    <x v="15"/>
    <s v="2819/1"/>
    <x v="155"/>
    <s v="MATCO FOOD"/>
    <s v="LDN"/>
    <s v="29 TO 29.5"/>
    <s v="85 Grm+-2"/>
    <s v="LDN"/>
    <n v="2975"/>
    <x v="0"/>
    <n v="5"/>
    <n v="547.29999999999995"/>
    <n v="18"/>
    <n v="12"/>
    <x v="0"/>
    <n v="529.29999999999995"/>
    <n v="3199.08"/>
    <m/>
    <x v="0"/>
    <x v="0"/>
    <n v="0"/>
    <n v="0"/>
    <x v="0"/>
    <x v="0"/>
    <m/>
    <x v="0"/>
    <x v="0"/>
    <x v="0"/>
    <x v="0"/>
    <x v="0"/>
    <n v="0"/>
    <n v="0"/>
    <n v="0"/>
    <n v="12"/>
    <x v="1"/>
    <x v="0"/>
    <m/>
    <x v="0"/>
    <n v="552.29999999999995"/>
    <x v="0"/>
    <x v="13"/>
    <x v="3"/>
    <x v="0"/>
    <x v="0"/>
  </r>
  <r>
    <x v="1"/>
    <x v="15"/>
    <s v="2820/1"/>
    <x v="155"/>
    <s v="SUPER AGRO PAKISTAN"/>
    <s v="LDN"/>
    <s v="29&quot;+-0.5"/>
    <s v="100 Grm+-2"/>
    <s v="LDN"/>
    <n v="1500"/>
    <x v="0"/>
    <n v="5"/>
    <n v="641.29999999999995"/>
    <n v="17.5"/>
    <n v="1.7"/>
    <x v="0"/>
    <n v="623.79999999999995"/>
    <n v="1679.7999999999997"/>
    <m/>
    <x v="0"/>
    <x v="0"/>
    <n v="0"/>
    <n v="0"/>
    <x v="0"/>
    <x v="0"/>
    <m/>
    <x v="0"/>
    <x v="0"/>
    <x v="0"/>
    <x v="0"/>
    <x v="0"/>
    <n v="0"/>
    <n v="0"/>
    <n v="0"/>
    <n v="12"/>
    <x v="1"/>
    <x v="0"/>
    <m/>
    <x v="0"/>
    <n v="646.29999999999995"/>
    <x v="0"/>
    <x v="13"/>
    <x v="3"/>
    <x v="0"/>
    <x v="0"/>
  </r>
  <r>
    <x v="0"/>
    <x v="9"/>
    <s v="5480 J"/>
    <x v="156"/>
    <s v="Zahid Shaker Garkh"/>
    <s v="LDN"/>
    <n v="6"/>
    <s v="11.5-12"/>
    <s v="LDN"/>
    <n v="100"/>
    <x v="0"/>
    <n v="2"/>
    <n v="65.460000000000008"/>
    <n v="1.8"/>
    <n v="2"/>
    <x v="0"/>
    <n v="63.660000000000011"/>
    <n v="102.66000000000001"/>
    <n v="5"/>
    <x v="0"/>
    <x v="0"/>
    <n v="5"/>
    <n v="8.3333333333333329E-2"/>
    <x v="0"/>
    <x v="0"/>
    <m/>
    <x v="0"/>
    <x v="0"/>
    <x v="0"/>
    <x v="0"/>
    <x v="0"/>
    <n v="0"/>
    <n v="0"/>
    <n v="8.3333333333333329E-2"/>
    <n v="11.916666666666666"/>
    <x v="1"/>
    <x v="0"/>
    <m/>
    <x v="0"/>
    <n v="70.460000000000008"/>
    <x v="0"/>
    <x v="13"/>
    <x v="3"/>
    <x v="0"/>
    <x v="0"/>
  </r>
  <r>
    <x v="0"/>
    <x v="9"/>
    <s v="5479 J"/>
    <x v="156"/>
    <s v="Zahid Shaker Garkh"/>
    <s v="LDN"/>
    <n v="5"/>
    <s v="11.5-12"/>
    <s v="LDN"/>
    <n v="100"/>
    <x v="0"/>
    <n v="2"/>
    <n v="56.32"/>
    <n v="1.4"/>
    <m/>
    <x v="0"/>
    <n v="54.92"/>
    <n v="104.72"/>
    <m/>
    <x v="0"/>
    <x v="0"/>
    <n v="0"/>
    <n v="0"/>
    <x v="0"/>
    <x v="0"/>
    <m/>
    <x v="0"/>
    <x v="0"/>
    <x v="0"/>
    <x v="0"/>
    <x v="0"/>
    <n v="0"/>
    <n v="0"/>
    <n v="0"/>
    <n v="12"/>
    <x v="1"/>
    <x v="0"/>
    <m/>
    <x v="0"/>
    <n v="61.32"/>
    <x v="0"/>
    <x v="13"/>
    <x v="3"/>
    <x v="0"/>
    <x v="0"/>
  </r>
  <r>
    <x v="1"/>
    <x v="9"/>
    <s v="5479 J"/>
    <x v="156"/>
    <s v="Zahid Shaker Garkh"/>
    <s v="LDN"/>
    <n v="5"/>
    <s v="11.5-12"/>
    <s v="LDN"/>
    <n v="100"/>
    <x v="0"/>
    <n v="2"/>
    <n v="51.2"/>
    <n v="1.4"/>
    <n v="7"/>
    <x v="0"/>
    <n v="49.800000000000004"/>
    <n v="104.72"/>
    <m/>
    <x v="0"/>
    <x v="0"/>
    <n v="0"/>
    <n v="0"/>
    <x v="0"/>
    <x v="0"/>
    <m/>
    <x v="0"/>
    <x v="0"/>
    <x v="0"/>
    <x v="0"/>
    <x v="0"/>
    <n v="0"/>
    <n v="0"/>
    <n v="0"/>
    <n v="12"/>
    <x v="1"/>
    <x v="0"/>
    <m/>
    <x v="0"/>
    <n v="56.2"/>
    <x v="0"/>
    <x v="13"/>
    <x v="3"/>
    <x v="0"/>
    <x v="0"/>
  </r>
  <r>
    <x v="1"/>
    <x v="9"/>
    <s v="5497 J"/>
    <x v="156"/>
    <s v="Bandu Khan Lahore"/>
    <s v="LDN"/>
    <n v="11"/>
    <s v="6-6.5"/>
    <s v="LDN"/>
    <n v="400"/>
    <x v="0"/>
    <n v="3"/>
    <n v="120.74000000000001"/>
    <n v="3.3000000000000003"/>
    <m/>
    <x v="0"/>
    <n v="117.44000000000001"/>
    <n v="425.9"/>
    <m/>
    <x v="0"/>
    <x v="0"/>
    <n v="0"/>
    <n v="0"/>
    <x v="0"/>
    <x v="0"/>
    <m/>
    <x v="0"/>
    <x v="0"/>
    <x v="0"/>
    <x v="0"/>
    <x v="0"/>
    <n v="0"/>
    <n v="0"/>
    <n v="0"/>
    <n v="12"/>
    <x v="1"/>
    <x v="0"/>
    <m/>
    <x v="0"/>
    <n v="125.74000000000001"/>
    <x v="0"/>
    <x v="13"/>
    <x v="3"/>
    <x v="0"/>
    <x v="0"/>
  </r>
  <r>
    <x v="0"/>
    <x v="10"/>
    <s v="2807/1"/>
    <x v="156"/>
    <s v="PT-01"/>
    <s v="LD سرخ"/>
    <n v="6"/>
    <n v="80"/>
    <s v="LD سرخ"/>
    <n v="2500"/>
    <x v="0"/>
    <n v="13"/>
    <n v="367.37999999999994"/>
    <m/>
    <n v="15"/>
    <x v="0"/>
    <n v="367.37999999999994"/>
    <n v="5041.09"/>
    <m/>
    <x v="0"/>
    <x v="0"/>
    <n v="0"/>
    <n v="0"/>
    <x v="0"/>
    <x v="0"/>
    <m/>
    <x v="7"/>
    <x v="0"/>
    <x v="0"/>
    <x v="0"/>
    <x v="0"/>
    <n v="20"/>
    <n v="0.33333333333333331"/>
    <n v="0.33333333333333331"/>
    <n v="11.666666666666666"/>
    <x v="1"/>
    <x v="0"/>
    <m/>
    <x v="0"/>
    <n v="372.37999999999994"/>
    <x v="0"/>
    <x v="13"/>
    <x v="3"/>
    <x v="0"/>
    <x v="0"/>
  </r>
  <r>
    <x v="0"/>
    <x v="11"/>
    <s v="5413 J"/>
    <x v="156"/>
    <s v="Waqas Wollan Mills Gujranwala"/>
    <s v="LD بلو"/>
    <n v="16"/>
    <s v="10-10.5"/>
    <s v="LDM"/>
    <n v="200"/>
    <x v="0"/>
    <n v="1"/>
    <n v="85.4"/>
    <n v="1.9"/>
    <m/>
    <x v="0"/>
    <n v="83.5"/>
    <n v="224.5"/>
    <m/>
    <x v="0"/>
    <x v="0"/>
    <n v="0"/>
    <n v="0"/>
    <x v="0"/>
    <x v="0"/>
    <m/>
    <x v="0"/>
    <x v="0"/>
    <x v="0"/>
    <x v="0"/>
    <x v="0"/>
    <n v="0"/>
    <n v="0"/>
    <n v="0"/>
    <n v="12"/>
    <x v="1"/>
    <x v="0"/>
    <m/>
    <x v="0"/>
    <n v="90.4"/>
    <x v="0"/>
    <x v="13"/>
    <x v="3"/>
    <x v="0"/>
    <x v="0"/>
  </r>
  <r>
    <x v="0"/>
    <x v="11"/>
    <s v="5412 J"/>
    <x v="156"/>
    <s v="Waqas Wollan Mills Gujranwala"/>
    <s v="LD بلو"/>
    <n v="16"/>
    <s v="10-10.5"/>
    <s v="LDM"/>
    <n v="100"/>
    <x v="0"/>
    <n v="1"/>
    <n v="62"/>
    <n v="1.9"/>
    <m/>
    <x v="0"/>
    <n v="60.1"/>
    <n v="108"/>
    <m/>
    <x v="0"/>
    <x v="0"/>
    <n v="0"/>
    <n v="0"/>
    <x v="0"/>
    <x v="0"/>
    <m/>
    <x v="0"/>
    <x v="0"/>
    <x v="0"/>
    <x v="0"/>
    <x v="0"/>
    <n v="0"/>
    <n v="0"/>
    <n v="0"/>
    <n v="12"/>
    <x v="1"/>
    <x v="0"/>
    <m/>
    <x v="0"/>
    <n v="67"/>
    <x v="0"/>
    <x v="13"/>
    <x v="3"/>
    <x v="0"/>
    <x v="0"/>
  </r>
  <r>
    <x v="0"/>
    <x v="11"/>
    <s v="5408 J"/>
    <x v="156"/>
    <s v="Waqas Wollan Mills Gujranwala"/>
    <s v="LD بلو"/>
    <n v="18"/>
    <s v="10-10.5"/>
    <s v="LDM"/>
    <n v="150"/>
    <x v="0"/>
    <n v="1"/>
    <n v="97"/>
    <n v="2.2000000000000002"/>
    <m/>
    <x v="0"/>
    <n v="94.8"/>
    <n v="155.1"/>
    <m/>
    <x v="0"/>
    <x v="0"/>
    <n v="0"/>
    <n v="0"/>
    <x v="0"/>
    <x v="0"/>
    <m/>
    <x v="0"/>
    <x v="0"/>
    <x v="0"/>
    <x v="0"/>
    <x v="0"/>
    <n v="0"/>
    <n v="0"/>
    <n v="0"/>
    <n v="12"/>
    <x v="1"/>
    <x v="0"/>
    <m/>
    <x v="0"/>
    <n v="102"/>
    <x v="0"/>
    <x v="13"/>
    <x v="3"/>
    <x v="0"/>
    <x v="0"/>
  </r>
  <r>
    <x v="0"/>
    <x v="11"/>
    <s v="5409 J"/>
    <x v="156"/>
    <s v="Waqas Wollan Mills Gujranwala"/>
    <s v="LD بلو"/>
    <n v="18"/>
    <s v="10-10.5"/>
    <s v="LDM"/>
    <n v="100"/>
    <x v="0"/>
    <n v="1"/>
    <n v="107.1"/>
    <n v="2.2000000000000002"/>
    <m/>
    <x v="0"/>
    <n v="104.89999999999999"/>
    <n v="104.89999999999999"/>
    <m/>
    <x v="0"/>
    <x v="0"/>
    <n v="0"/>
    <n v="0"/>
    <x v="0"/>
    <x v="0"/>
    <m/>
    <x v="0"/>
    <x v="0"/>
    <x v="0"/>
    <x v="0"/>
    <x v="0"/>
    <n v="0"/>
    <n v="0"/>
    <n v="0"/>
    <n v="12"/>
    <x v="1"/>
    <x v="0"/>
    <m/>
    <x v="0"/>
    <n v="112.1"/>
    <x v="0"/>
    <x v="13"/>
    <x v="3"/>
    <x v="0"/>
    <x v="0"/>
  </r>
  <r>
    <x v="1"/>
    <x v="11"/>
    <s v="5410 J"/>
    <x v="156"/>
    <s v="Waqas Wollan Mills Gujranwala"/>
    <s v="LD بلو"/>
    <n v="18"/>
    <s v="10-10.5"/>
    <s v="LDM"/>
    <n v="100"/>
    <x v="0"/>
    <n v="2"/>
    <n v="107"/>
    <n v="4.4000000000000004"/>
    <m/>
    <x v="0"/>
    <n v="102.6"/>
    <n v="102.6"/>
    <m/>
    <x v="0"/>
    <x v="0"/>
    <n v="0"/>
    <n v="0"/>
    <x v="0"/>
    <x v="0"/>
    <m/>
    <x v="0"/>
    <x v="0"/>
    <x v="0"/>
    <x v="0"/>
    <x v="0"/>
    <n v="0"/>
    <n v="0"/>
    <n v="0"/>
    <n v="12"/>
    <x v="1"/>
    <x v="0"/>
    <m/>
    <x v="0"/>
    <n v="112"/>
    <x v="0"/>
    <x v="13"/>
    <x v="3"/>
    <x v="0"/>
    <x v="0"/>
  </r>
  <r>
    <x v="1"/>
    <x v="11"/>
    <s v="5408 J"/>
    <x v="156"/>
    <s v="Waqas Wollan Mills Gujranwala"/>
    <s v="LD بلو"/>
    <n v="18"/>
    <s v="10-10.5"/>
    <s v="LDM"/>
    <n v="150"/>
    <x v="0"/>
    <n v="1"/>
    <n v="62.5"/>
    <n v="2.2000000000000002"/>
    <m/>
    <x v="0"/>
    <n v="60.3"/>
    <n v="155.1"/>
    <m/>
    <x v="0"/>
    <x v="0"/>
    <n v="0"/>
    <n v="0"/>
    <x v="0"/>
    <x v="0"/>
    <m/>
    <x v="0"/>
    <x v="0"/>
    <x v="0"/>
    <x v="0"/>
    <x v="0"/>
    <n v="0"/>
    <n v="0"/>
    <n v="0"/>
    <n v="12"/>
    <x v="1"/>
    <x v="0"/>
    <m/>
    <x v="0"/>
    <n v="67.5"/>
    <x v="0"/>
    <x v="13"/>
    <x v="3"/>
    <x v="0"/>
    <x v="0"/>
  </r>
  <r>
    <x v="1"/>
    <x v="11"/>
    <s v="5514 J"/>
    <x v="156"/>
    <s v="Waqas Wollan Mills Gujranwala"/>
    <s v="LDبلو"/>
    <n v="14"/>
    <s v="-"/>
    <s v="LDM"/>
    <n v="100"/>
    <x v="0"/>
    <n v="2"/>
    <n v="104.38"/>
    <n v="2.8"/>
    <m/>
    <x v="0"/>
    <n v="101.58"/>
    <n v="101.58"/>
    <m/>
    <x v="0"/>
    <x v="0"/>
    <n v="0"/>
    <n v="0"/>
    <x v="0"/>
    <x v="0"/>
    <m/>
    <x v="0"/>
    <x v="0"/>
    <x v="0"/>
    <x v="0"/>
    <x v="0"/>
    <n v="0"/>
    <n v="0"/>
    <n v="0"/>
    <n v="12"/>
    <x v="1"/>
    <x v="0"/>
    <m/>
    <x v="0"/>
    <n v="109.38"/>
    <x v="0"/>
    <x v="13"/>
    <x v="3"/>
    <x v="0"/>
    <x v="0"/>
  </r>
  <r>
    <x v="1"/>
    <x v="11"/>
    <s v="5513 J"/>
    <x v="156"/>
    <s v="Waqas Wollan Mills Gujranwala"/>
    <s v="LDبلو"/>
    <n v="12"/>
    <s v="-"/>
    <s v="LDM"/>
    <n v="150"/>
    <x v="0"/>
    <n v="2"/>
    <n v="112.24"/>
    <n v="2.6"/>
    <n v="29"/>
    <x v="0"/>
    <n v="109.64"/>
    <n v="154.63999999999999"/>
    <m/>
    <x v="0"/>
    <x v="0"/>
    <n v="0"/>
    <n v="0"/>
    <x v="0"/>
    <x v="0"/>
    <m/>
    <x v="0"/>
    <x v="0"/>
    <x v="0"/>
    <x v="0"/>
    <x v="0"/>
    <n v="0"/>
    <n v="0"/>
    <n v="0"/>
    <n v="12"/>
    <x v="1"/>
    <x v="0"/>
    <m/>
    <x v="0"/>
    <n v="117.24"/>
    <x v="0"/>
    <x v="13"/>
    <x v="3"/>
    <x v="0"/>
    <x v="0"/>
  </r>
  <r>
    <x v="0"/>
    <x v="13"/>
    <s v="2454 F"/>
    <x v="156"/>
    <s v="Usman Amin"/>
    <s v="LDN"/>
    <n v="17"/>
    <s v="12"/>
    <s v="LDN"/>
    <n v="500"/>
    <x v="0"/>
    <n v="5"/>
    <n v="335.40000000000003"/>
    <n v="8.1999999999999993"/>
    <n v="10"/>
    <x v="0"/>
    <n v="327.20000000000005"/>
    <n v="1024.0000000000002"/>
    <m/>
    <x v="0"/>
    <x v="0"/>
    <n v="0"/>
    <n v="0"/>
    <x v="0"/>
    <x v="0"/>
    <m/>
    <x v="0"/>
    <x v="0"/>
    <x v="0"/>
    <x v="0"/>
    <x v="0"/>
    <n v="0"/>
    <n v="0"/>
    <n v="0"/>
    <n v="12"/>
    <x v="1"/>
    <x v="0"/>
    <m/>
    <x v="0"/>
    <n v="340.40000000000003"/>
    <x v="0"/>
    <x v="13"/>
    <x v="3"/>
    <x v="0"/>
    <x v="0"/>
  </r>
  <r>
    <x v="1"/>
    <x v="13"/>
    <s v="2454 F"/>
    <x v="156"/>
    <s v="Usman Amin"/>
    <s v="LDN"/>
    <n v="17"/>
    <s v="12"/>
    <s v="LDN"/>
    <n v="500"/>
    <x v="0"/>
    <n v="4"/>
    <n v="303.40000000000003"/>
    <n v="8.4"/>
    <m/>
    <x v="0"/>
    <n v="295.00000000000006"/>
    <n v="1024.0000000000002"/>
    <m/>
    <x v="0"/>
    <x v="0"/>
    <n v="0"/>
    <n v="0"/>
    <x v="0"/>
    <x v="0"/>
    <m/>
    <x v="0"/>
    <x v="0"/>
    <x v="0"/>
    <x v="0"/>
    <x v="0"/>
    <n v="0"/>
    <n v="0"/>
    <n v="0"/>
    <n v="12"/>
    <x v="1"/>
    <x v="0"/>
    <m/>
    <x v="0"/>
    <n v="308.40000000000003"/>
    <x v="0"/>
    <x v="13"/>
    <x v="3"/>
    <x v="0"/>
    <x v="0"/>
  </r>
  <r>
    <x v="1"/>
    <x v="13"/>
    <s v="5498 J"/>
    <x v="156"/>
    <s v="Bandu Khan Lahore"/>
    <s v="LDN"/>
    <n v="16"/>
    <s v="8-8.5"/>
    <s v="LDN"/>
    <n v="600"/>
    <x v="0"/>
    <n v="2"/>
    <n v="130"/>
    <n v="3.4"/>
    <n v="8"/>
    <x v="0"/>
    <n v="126.6"/>
    <n v="625.79999999999995"/>
    <m/>
    <x v="0"/>
    <x v="0"/>
    <n v="0"/>
    <n v="0"/>
    <x v="0"/>
    <x v="0"/>
    <m/>
    <x v="0"/>
    <x v="0"/>
    <x v="0"/>
    <x v="0"/>
    <x v="0"/>
    <n v="0"/>
    <n v="0"/>
    <n v="0"/>
    <n v="12"/>
    <x v="1"/>
    <x v="0"/>
    <m/>
    <x v="0"/>
    <n v="135"/>
    <x v="0"/>
    <x v="13"/>
    <x v="3"/>
    <x v="0"/>
    <x v="0"/>
  </r>
  <r>
    <x v="0"/>
    <x v="14"/>
    <s v="5305 J"/>
    <x v="156"/>
    <s v="High Class Bakers Gujrat"/>
    <s v="LDN"/>
    <s v="28 شیٹ"/>
    <s v="4-4.5/8-9"/>
    <s v="LDN"/>
    <n v="250"/>
    <x v="0"/>
    <n v="2"/>
    <n v="140.6"/>
    <n v="7.2"/>
    <n v="37"/>
    <x v="0"/>
    <n v="133.4"/>
    <n v="275.39999999999998"/>
    <n v="33"/>
    <x v="0"/>
    <x v="0"/>
    <n v="33"/>
    <n v="0.55000000000000004"/>
    <x v="0"/>
    <x v="0"/>
    <m/>
    <x v="0"/>
    <x v="0"/>
    <x v="0"/>
    <x v="0"/>
    <x v="0"/>
    <n v="0"/>
    <n v="0"/>
    <n v="0.55000000000000004"/>
    <n v="11.45"/>
    <x v="1"/>
    <x v="0"/>
    <m/>
    <x v="0"/>
    <n v="145.6"/>
    <x v="0"/>
    <x v="13"/>
    <x v="3"/>
    <x v="0"/>
    <x v="0"/>
  </r>
  <r>
    <x v="0"/>
    <x v="14"/>
    <s v="5310 J"/>
    <x v="156"/>
    <s v="Rehan Butt Anarkali Lahore"/>
    <s v="LDN"/>
    <s v="28 شیٹ"/>
    <s v="-"/>
    <s v="LDN"/>
    <n v="100"/>
    <x v="0"/>
    <n v="2"/>
    <n v="160.82"/>
    <n v="7.2"/>
    <m/>
    <x v="0"/>
    <n v="153.62"/>
    <n v="153.62"/>
    <m/>
    <x v="0"/>
    <x v="0"/>
    <n v="0"/>
    <n v="0"/>
    <x v="0"/>
    <x v="0"/>
    <m/>
    <x v="0"/>
    <x v="0"/>
    <x v="0"/>
    <x v="0"/>
    <x v="0"/>
    <n v="0"/>
    <n v="0"/>
    <n v="0"/>
    <n v="12"/>
    <x v="1"/>
    <x v="0"/>
    <m/>
    <x v="0"/>
    <n v="165.82"/>
    <x v="0"/>
    <x v="13"/>
    <x v="3"/>
    <x v="0"/>
    <x v="0"/>
  </r>
  <r>
    <x v="0"/>
    <x v="14"/>
    <s v="5306 J"/>
    <x v="156"/>
    <s v="High Class Bakers Gujrat"/>
    <s v="LDN"/>
    <s v="36 شیٹ"/>
    <s v="4-4.5/8-9"/>
    <s v="LDN"/>
    <n v="250"/>
    <x v="0"/>
    <n v="4"/>
    <n v="298.45999999999998"/>
    <n v="18.399999999999999"/>
    <m/>
    <x v="0"/>
    <n v="280.06"/>
    <n v="280.06"/>
    <m/>
    <x v="0"/>
    <x v="0"/>
    <n v="0"/>
    <n v="0"/>
    <x v="0"/>
    <x v="0"/>
    <m/>
    <x v="0"/>
    <x v="0"/>
    <x v="0"/>
    <x v="0"/>
    <x v="0"/>
    <n v="0"/>
    <n v="0"/>
    <n v="0"/>
    <n v="12"/>
    <x v="1"/>
    <x v="0"/>
    <m/>
    <x v="0"/>
    <n v="303.45999999999998"/>
    <x v="0"/>
    <x v="13"/>
    <x v="3"/>
    <x v="0"/>
    <x v="0"/>
  </r>
  <r>
    <x v="0"/>
    <x v="14"/>
    <s v="5311 J"/>
    <x v="156"/>
    <s v="Rehan Butt Anarkali Lahore"/>
    <s v="LDN"/>
    <s v="36 شیٹ"/>
    <s v="-"/>
    <s v="LDN"/>
    <n v="150"/>
    <x v="0"/>
    <n v="2"/>
    <n v="173.3"/>
    <n v="9.1999999999999993"/>
    <m/>
    <x v="0"/>
    <n v="164.10000000000002"/>
    <n v="164.10000000000002"/>
    <m/>
    <x v="0"/>
    <x v="0"/>
    <n v="0"/>
    <n v="0"/>
    <x v="0"/>
    <x v="0"/>
    <m/>
    <x v="0"/>
    <x v="0"/>
    <x v="0"/>
    <x v="0"/>
    <x v="0"/>
    <n v="0"/>
    <n v="0"/>
    <n v="0"/>
    <n v="12"/>
    <x v="1"/>
    <x v="0"/>
    <m/>
    <x v="0"/>
    <n v="178.3"/>
    <x v="0"/>
    <x v="13"/>
    <x v="3"/>
    <x v="0"/>
    <x v="0"/>
  </r>
  <r>
    <x v="1"/>
    <x v="14"/>
    <s v="5298 J"/>
    <x v="156"/>
    <s v="Head Office Lahore"/>
    <s v="LDM"/>
    <s v="40 شیٹ"/>
    <s v="5.5-6/11-12"/>
    <s v="LDM"/>
    <n v="500"/>
    <x v="0"/>
    <n v="4"/>
    <n v="514.86"/>
    <n v="18.399999999999999"/>
    <n v="58"/>
    <x v="0"/>
    <n v="496.46000000000004"/>
    <n v="997.96"/>
    <m/>
    <x v="0"/>
    <x v="0"/>
    <n v="0"/>
    <n v="0"/>
    <x v="0"/>
    <x v="0"/>
    <m/>
    <x v="0"/>
    <x v="0"/>
    <x v="0"/>
    <x v="0"/>
    <x v="0"/>
    <n v="0"/>
    <n v="0"/>
    <n v="0"/>
    <n v="12"/>
    <x v="1"/>
    <x v="0"/>
    <m/>
    <x v="0"/>
    <n v="519.86"/>
    <x v="0"/>
    <x v="13"/>
    <x v="3"/>
    <x v="0"/>
    <x v="0"/>
  </r>
  <r>
    <x v="1"/>
    <x v="14"/>
    <s v="5296 J"/>
    <x v="156"/>
    <s v="Head Office Lahore"/>
    <s v="LDM"/>
    <s v="32 شیٹ"/>
    <s v="5.5-6/11-12"/>
    <s v="LDM"/>
    <n v="500"/>
    <x v="0"/>
    <n v="4"/>
    <n v="494.24"/>
    <n v="16.8"/>
    <m/>
    <x v="0"/>
    <n v="477.44"/>
    <n v="477.44"/>
    <m/>
    <x v="0"/>
    <x v="0"/>
    <n v="0"/>
    <n v="0"/>
    <x v="0"/>
    <x v="0"/>
    <m/>
    <x v="0"/>
    <x v="0"/>
    <x v="0"/>
    <x v="0"/>
    <x v="0"/>
    <n v="0"/>
    <n v="0"/>
    <n v="0"/>
    <n v="12"/>
    <x v="1"/>
    <x v="0"/>
    <m/>
    <x v="0"/>
    <n v="499.24"/>
    <x v="0"/>
    <x v="13"/>
    <x v="3"/>
    <x v="0"/>
    <x v="0"/>
  </r>
  <r>
    <x v="1"/>
    <x v="14"/>
    <s v="5295 J"/>
    <x v="156"/>
    <s v="Head Office Lahore"/>
    <s v="LDM"/>
    <s v="32 شیٹ"/>
    <s v="5.5-6/11-12"/>
    <s v="LDM"/>
    <n v="750"/>
    <x v="0"/>
    <n v="2"/>
    <n v="280.46000000000004"/>
    <n v="8.4"/>
    <m/>
    <x v="0"/>
    <n v="272.06000000000006"/>
    <n v="732.98"/>
    <m/>
    <x v="0"/>
    <x v="0"/>
    <n v="0"/>
    <n v="0"/>
    <x v="0"/>
    <x v="0"/>
    <m/>
    <x v="0"/>
    <x v="0"/>
    <x v="0"/>
    <x v="0"/>
    <x v="0"/>
    <n v="0"/>
    <n v="0"/>
    <n v="0"/>
    <n v="12"/>
    <x v="1"/>
    <x v="0"/>
    <m/>
    <x v="0"/>
    <n v="285.46000000000004"/>
    <x v="0"/>
    <x v="13"/>
    <x v="3"/>
    <x v="0"/>
    <x v="0"/>
  </r>
  <r>
    <x v="0"/>
    <x v="15"/>
    <s v="2820/1"/>
    <x v="156"/>
    <s v="SUPER AGRO PAKISTAN"/>
    <s v="LDN"/>
    <s v="29&quot;+-0.5"/>
    <s v="100 Grm+-2"/>
    <s v="LDN"/>
    <n v="1500"/>
    <x v="0"/>
    <n v="4"/>
    <n v="494.5"/>
    <n v="14.4"/>
    <n v="5"/>
    <x v="0"/>
    <n v="480.1"/>
    <n v="1679.7999999999997"/>
    <m/>
    <x v="0"/>
    <x v="0"/>
    <n v="0"/>
    <n v="0"/>
    <x v="0"/>
    <x v="0"/>
    <m/>
    <x v="0"/>
    <x v="0"/>
    <x v="0"/>
    <x v="0"/>
    <x v="0"/>
    <n v="0"/>
    <n v="0"/>
    <n v="0"/>
    <n v="12"/>
    <x v="1"/>
    <x v="0"/>
    <m/>
    <x v="0"/>
    <n v="499.5"/>
    <x v="0"/>
    <x v="13"/>
    <x v="3"/>
    <x v="0"/>
    <x v="0"/>
  </r>
  <r>
    <x v="1"/>
    <x v="15"/>
    <s v="2820/1"/>
    <x v="156"/>
    <s v="SUPER AGRO PAKISTAN"/>
    <s v="LDN"/>
    <s v="29&quot;+-0.5"/>
    <s v="100 Grm+-2"/>
    <s v="LDN"/>
    <n v="1500"/>
    <x v="0"/>
    <n v="4"/>
    <n v="444.49999999999994"/>
    <n v="14.4"/>
    <n v="15"/>
    <x v="0"/>
    <n v="430.09999999999997"/>
    <n v="1679.7999999999997"/>
    <m/>
    <x v="0"/>
    <x v="0"/>
    <n v="0"/>
    <n v="0"/>
    <x v="0"/>
    <x v="0"/>
    <m/>
    <x v="0"/>
    <x v="0"/>
    <x v="0"/>
    <x v="0"/>
    <x v="0"/>
    <n v="0"/>
    <n v="0"/>
    <n v="0"/>
    <n v="12"/>
    <x v="1"/>
    <x v="0"/>
    <m/>
    <x v="0"/>
    <n v="449.49999999999994"/>
    <x v="0"/>
    <x v="13"/>
    <x v="3"/>
    <x v="0"/>
    <x v="0"/>
  </r>
  <r>
    <x v="1"/>
    <x v="15"/>
    <s v="5516 J"/>
    <x v="156"/>
    <s v="Atlas Honda LTD (SKP)"/>
    <s v="LDN"/>
    <n v="22"/>
    <s v="12.5-13"/>
    <s v="LDN"/>
    <n v="0"/>
    <x v="0"/>
    <n v="1"/>
    <n v="111.8"/>
    <n v="2.7"/>
    <m/>
    <x v="0"/>
    <n v="109.1"/>
    <n v="351.90000000000003"/>
    <m/>
    <x v="0"/>
    <x v="0"/>
    <n v="0"/>
    <n v="0"/>
    <x v="0"/>
    <x v="0"/>
    <m/>
    <x v="0"/>
    <x v="0"/>
    <x v="0"/>
    <x v="0"/>
    <x v="0"/>
    <n v="0"/>
    <n v="0"/>
    <n v="0"/>
    <n v="12"/>
    <x v="1"/>
    <x v="0"/>
    <m/>
    <x v="0"/>
    <n v="116.8"/>
    <x v="0"/>
    <x v="13"/>
    <x v="3"/>
    <x v="0"/>
    <x v="0"/>
  </r>
  <r>
    <x v="0"/>
    <x v="9"/>
    <s v="5497 J"/>
    <x v="157"/>
    <s v="Bandu Khan Lahore"/>
    <s v="LDN"/>
    <n v="11"/>
    <s v="6-6.5"/>
    <s v="LDN"/>
    <n v="400"/>
    <x v="0"/>
    <n v="5"/>
    <n v="209.2"/>
    <n v="6.5"/>
    <n v="5"/>
    <x v="0"/>
    <n v="202.7"/>
    <n v="425.9"/>
    <n v="10"/>
    <x v="0"/>
    <x v="0"/>
    <n v="10"/>
    <n v="0.16666666666666666"/>
    <x v="0"/>
    <x v="0"/>
    <m/>
    <x v="0"/>
    <x v="0"/>
    <x v="0"/>
    <x v="0"/>
    <x v="0"/>
    <n v="0"/>
    <n v="0"/>
    <n v="0.16666666666666666"/>
    <n v="11.833333333333334"/>
    <x v="1"/>
    <x v="0"/>
    <m/>
    <x v="0"/>
    <n v="214.2"/>
    <x v="0"/>
    <x v="13"/>
    <x v="3"/>
    <x v="0"/>
    <x v="0"/>
  </r>
  <r>
    <x v="1"/>
    <x v="9"/>
    <s v="5497 J"/>
    <x v="157"/>
    <s v="Bandu Khan Lahore"/>
    <s v="LDN"/>
    <n v="11"/>
    <s v="6-6.5"/>
    <s v="LDN"/>
    <n v="400"/>
    <x v="0"/>
    <n v="2"/>
    <n v="108.36"/>
    <n v="2.6"/>
    <n v="4.0999999999999996"/>
    <x v="0"/>
    <n v="105.76"/>
    <n v="425.9"/>
    <m/>
    <x v="0"/>
    <x v="0"/>
    <n v="0"/>
    <n v="0"/>
    <x v="0"/>
    <x v="0"/>
    <m/>
    <x v="0"/>
    <x v="0"/>
    <x v="0"/>
    <x v="0"/>
    <x v="0"/>
    <n v="0"/>
    <n v="0"/>
    <n v="0"/>
    <n v="12"/>
    <x v="1"/>
    <x v="0"/>
    <m/>
    <x v="0"/>
    <n v="113.36"/>
    <x v="0"/>
    <x v="13"/>
    <x v="3"/>
    <x v="0"/>
    <x v="0"/>
  </r>
  <r>
    <x v="1"/>
    <x v="9"/>
    <s v="5480 J"/>
    <x v="157"/>
    <s v="Zahid Shaker Garkh"/>
    <s v="LDN"/>
    <n v="6"/>
    <s v="11.5-12"/>
    <s v="LDN"/>
    <n v="100"/>
    <x v="0"/>
    <n v="1"/>
    <n v="39.9"/>
    <n v="0.9"/>
    <m/>
    <x v="0"/>
    <n v="39"/>
    <n v="102.66000000000001"/>
    <m/>
    <x v="0"/>
    <x v="0"/>
    <n v="0"/>
    <n v="0"/>
    <x v="0"/>
    <x v="0"/>
    <m/>
    <x v="0"/>
    <x v="0"/>
    <x v="0"/>
    <x v="0"/>
    <x v="0"/>
    <n v="0"/>
    <n v="0"/>
    <n v="0"/>
    <n v="12"/>
    <x v="1"/>
    <x v="0"/>
    <m/>
    <x v="0"/>
    <n v="44.9"/>
    <x v="0"/>
    <x v="13"/>
    <x v="3"/>
    <x v="0"/>
    <x v="0"/>
  </r>
  <r>
    <x v="1"/>
    <x v="9"/>
    <s v="5530 J"/>
    <x v="157"/>
    <s v="Al Burak Deparmental Store Lahore"/>
    <s v="LDN"/>
    <n v="8"/>
    <s v="14-15"/>
    <s v="LDN"/>
    <n v="120"/>
    <x v="0"/>
    <n v="1"/>
    <n v="39.880000000000003"/>
    <n v="1"/>
    <m/>
    <x v="0"/>
    <n v="38.880000000000003"/>
    <n v="120.14000000000001"/>
    <m/>
    <x v="0"/>
    <x v="0"/>
    <n v="0"/>
    <n v="0"/>
    <x v="0"/>
    <x v="0"/>
    <m/>
    <x v="0"/>
    <x v="0"/>
    <x v="0"/>
    <x v="0"/>
    <x v="0"/>
    <n v="0"/>
    <n v="0"/>
    <n v="0"/>
    <n v="12"/>
    <x v="1"/>
    <x v="0"/>
    <m/>
    <x v="0"/>
    <n v="44.88"/>
    <x v="0"/>
    <x v="13"/>
    <x v="3"/>
    <x v="0"/>
    <x v="0"/>
  </r>
  <r>
    <x v="0"/>
    <x v="11"/>
    <s v="5513 J"/>
    <x v="157"/>
    <s v="Waqas Wollan Mills Gujranwala"/>
    <s v="LDبلو"/>
    <n v="12"/>
    <s v="-"/>
    <s v="LDM"/>
    <n v="150"/>
    <x v="0"/>
    <n v="1"/>
    <n v="46.4"/>
    <n v="1.4"/>
    <n v="76"/>
    <x v="0"/>
    <n v="45"/>
    <n v="154.63999999999999"/>
    <n v="5"/>
    <x v="0"/>
    <x v="0"/>
    <n v="5"/>
    <n v="8.3333333333333329E-2"/>
    <x v="0"/>
    <x v="0"/>
    <m/>
    <x v="0"/>
    <x v="0"/>
    <x v="0"/>
    <x v="0"/>
    <x v="0"/>
    <n v="0"/>
    <n v="0"/>
    <n v="8.3333333333333329E-2"/>
    <n v="11.916666666666666"/>
    <x v="1"/>
    <x v="0"/>
    <m/>
    <x v="0"/>
    <n v="51.4"/>
    <x v="0"/>
    <x v="13"/>
    <x v="3"/>
    <x v="0"/>
    <x v="0"/>
  </r>
  <r>
    <x v="0"/>
    <x v="11"/>
    <s v="5511 J"/>
    <x v="157"/>
    <s v="Waqas Wollan Mills Gujranwala"/>
    <s v="LD اورنج"/>
    <n v="12"/>
    <s v="-"/>
    <s v="LDM"/>
    <n v="150"/>
    <x v="0"/>
    <n v="4"/>
    <n v="207.44"/>
    <n v="6"/>
    <m/>
    <x v="0"/>
    <n v="201.44"/>
    <n v="201.44"/>
    <m/>
    <x v="0"/>
    <x v="0"/>
    <n v="0"/>
    <n v="0"/>
    <x v="0"/>
    <x v="0"/>
    <m/>
    <x v="0"/>
    <x v="0"/>
    <x v="0"/>
    <x v="0"/>
    <x v="0"/>
    <n v="0"/>
    <n v="0"/>
    <n v="0"/>
    <n v="12"/>
    <x v="1"/>
    <x v="0"/>
    <m/>
    <x v="0"/>
    <n v="212.44"/>
    <x v="0"/>
    <x v="13"/>
    <x v="3"/>
    <x v="0"/>
    <x v="0"/>
  </r>
  <r>
    <x v="1"/>
    <x v="11"/>
    <s v="5512 J"/>
    <x v="157"/>
    <s v="Waqas Wollan Mills Gujranwala"/>
    <s v="LDریڈ"/>
    <n v="11"/>
    <s v="-"/>
    <s v="LDM"/>
    <n v="300"/>
    <x v="0"/>
    <n v="6"/>
    <n v="313.55999999999995"/>
    <n v="7.8000000000000007"/>
    <n v="40"/>
    <x v="0"/>
    <n v="305.75999999999993"/>
    <n v="305.75999999999993"/>
    <m/>
    <x v="0"/>
    <x v="0"/>
    <n v="0"/>
    <n v="0"/>
    <x v="0"/>
    <x v="0"/>
    <m/>
    <x v="0"/>
    <x v="0"/>
    <x v="0"/>
    <x v="0"/>
    <x v="0"/>
    <n v="0"/>
    <n v="0"/>
    <n v="0"/>
    <n v="12"/>
    <x v="1"/>
    <x v="0"/>
    <m/>
    <x v="0"/>
    <n v="318.55999999999995"/>
    <x v="0"/>
    <x v="13"/>
    <x v="3"/>
    <x v="0"/>
    <x v="0"/>
  </r>
  <r>
    <x v="0"/>
    <x v="13"/>
    <s v="5498 J"/>
    <x v="157"/>
    <s v="Bandu Khan Lahore"/>
    <s v="LDN"/>
    <n v="16"/>
    <s v="8-8.5"/>
    <s v="LDN"/>
    <n v="600"/>
    <x v="0"/>
    <n v="5"/>
    <n v="365.79999999999995"/>
    <n v="9.5"/>
    <m/>
    <x v="0"/>
    <n v="356.29999999999995"/>
    <n v="625.79999999999995"/>
    <m/>
    <x v="0"/>
    <x v="0"/>
    <n v="0"/>
    <n v="0"/>
    <x v="0"/>
    <x v="0"/>
    <m/>
    <x v="0"/>
    <x v="0"/>
    <x v="0"/>
    <x v="0"/>
    <x v="0"/>
    <n v="0"/>
    <n v="0"/>
    <n v="0"/>
    <n v="12"/>
    <x v="1"/>
    <x v="0"/>
    <m/>
    <x v="0"/>
    <n v="370.79999999999995"/>
    <x v="0"/>
    <x v="13"/>
    <x v="3"/>
    <x v="0"/>
    <x v="0"/>
  </r>
  <r>
    <x v="1"/>
    <x v="13"/>
    <s v="5498 J"/>
    <x v="157"/>
    <s v="Bandu Khan Lahore"/>
    <s v="LDN"/>
    <n v="16"/>
    <s v="8-8.5"/>
    <s v="LDN"/>
    <n v="600"/>
    <x v="0"/>
    <n v="2"/>
    <n v="146.69999999999999"/>
    <n v="3.8"/>
    <m/>
    <x v="0"/>
    <n v="142.89999999999998"/>
    <n v="625.79999999999995"/>
    <m/>
    <x v="0"/>
    <x v="0"/>
    <n v="0"/>
    <n v="0"/>
    <x v="0"/>
    <x v="0"/>
    <m/>
    <x v="0"/>
    <x v="0"/>
    <x v="0"/>
    <x v="0"/>
    <x v="0"/>
    <n v="0"/>
    <n v="0"/>
    <n v="0"/>
    <n v="12"/>
    <x v="1"/>
    <x v="0"/>
    <m/>
    <x v="0"/>
    <n v="151.69999999999999"/>
    <x v="0"/>
    <x v="13"/>
    <x v="3"/>
    <x v="0"/>
    <x v="0"/>
  </r>
  <r>
    <x v="1"/>
    <x v="13"/>
    <s v="5435 J"/>
    <x v="157"/>
    <s v="Auto Tech Lahore "/>
    <s v="LDN"/>
    <n v="16"/>
    <s v="9.5-10"/>
    <s v="LDN"/>
    <n v="400"/>
    <x v="0"/>
    <n v="3"/>
    <n v="233.5"/>
    <n v="6.2"/>
    <m/>
    <x v="0"/>
    <n v="227.3"/>
    <n v="417.70000000000005"/>
    <m/>
    <x v="0"/>
    <x v="0"/>
    <n v="0"/>
    <n v="0"/>
    <x v="0"/>
    <x v="0"/>
    <m/>
    <x v="0"/>
    <x v="0"/>
    <x v="0"/>
    <x v="0"/>
    <x v="0"/>
    <n v="0"/>
    <n v="0"/>
    <n v="0"/>
    <n v="12"/>
    <x v="1"/>
    <x v="0"/>
    <m/>
    <x v="0"/>
    <n v="238.5"/>
    <x v="0"/>
    <x v="13"/>
    <x v="3"/>
    <x v="0"/>
    <x v="0"/>
  </r>
  <r>
    <x v="0"/>
    <x v="14"/>
    <s v="5295 J"/>
    <x v="157"/>
    <s v="Head Office Lahore"/>
    <s v="LDM"/>
    <s v="32 شیٹ"/>
    <s v="5.5-6/11-12"/>
    <s v="LDM"/>
    <n v="750"/>
    <x v="0"/>
    <n v="4"/>
    <n v="477.71999999999997"/>
    <n v="16.8"/>
    <m/>
    <x v="0"/>
    <n v="460.91999999999996"/>
    <n v="732.98"/>
    <n v="15"/>
    <x v="0"/>
    <x v="0"/>
    <n v="15"/>
    <n v="0.25"/>
    <x v="0"/>
    <x v="0"/>
    <m/>
    <x v="0"/>
    <x v="0"/>
    <x v="0"/>
    <x v="0"/>
    <x v="0"/>
    <n v="0"/>
    <n v="0"/>
    <n v="0.25"/>
    <n v="11.75"/>
    <x v="1"/>
    <x v="0"/>
    <m/>
    <x v="0"/>
    <n v="482.71999999999997"/>
    <x v="0"/>
    <x v="13"/>
    <x v="3"/>
    <x v="0"/>
    <x v="0"/>
  </r>
  <r>
    <x v="0"/>
    <x v="14"/>
    <s v="5298 J"/>
    <x v="157"/>
    <s v="Head Office Lahore"/>
    <s v="LDM"/>
    <s v="40 شیٹ"/>
    <s v="5.5-6/11-12"/>
    <s v="LDM"/>
    <n v="500"/>
    <x v="0"/>
    <n v="4"/>
    <n v="521.5"/>
    <n v="20"/>
    <n v="58"/>
    <x v="0"/>
    <n v="501.5"/>
    <n v="997.96"/>
    <m/>
    <x v="0"/>
    <x v="0"/>
    <n v="0"/>
    <n v="0"/>
    <x v="0"/>
    <x v="0"/>
    <m/>
    <x v="0"/>
    <x v="0"/>
    <x v="0"/>
    <x v="0"/>
    <x v="0"/>
    <n v="0"/>
    <n v="0"/>
    <n v="0"/>
    <n v="12"/>
    <x v="1"/>
    <x v="0"/>
    <m/>
    <x v="0"/>
    <n v="526.5"/>
    <x v="0"/>
    <x v="13"/>
    <x v="3"/>
    <x v="0"/>
    <x v="0"/>
  </r>
  <r>
    <x v="1"/>
    <x v="14"/>
    <s v="5521 J"/>
    <x v="157"/>
    <s v="Out Class Woman And Kids Mall Lahore"/>
    <s v="LDM"/>
    <n v="24"/>
    <s v="14-15"/>
    <s v="LDM"/>
    <n v="150"/>
    <x v="0"/>
    <n v="2"/>
    <n v="166.16000000000003"/>
    <n v="6"/>
    <m/>
    <x v="0"/>
    <n v="160.16000000000003"/>
    <n v="160.16000000000003"/>
    <n v="20"/>
    <x v="0"/>
    <x v="0"/>
    <n v="20"/>
    <n v="0.33333333333333331"/>
    <x v="7"/>
    <x v="0"/>
    <m/>
    <x v="0"/>
    <x v="0"/>
    <x v="0"/>
    <x v="0"/>
    <x v="0"/>
    <n v="90"/>
    <n v="1.5"/>
    <n v="1.8333333333333333"/>
    <n v="10.166666666666666"/>
    <x v="1"/>
    <x v="0"/>
    <m/>
    <x v="0"/>
    <n v="171.16000000000003"/>
    <x v="0"/>
    <x v="13"/>
    <x v="3"/>
    <x v="0"/>
    <x v="0"/>
  </r>
  <r>
    <x v="1"/>
    <x v="14"/>
    <s v="5523 J"/>
    <x v="157"/>
    <s v="Khursheed Hamidi Foam Afghanstan"/>
    <s v="LDM"/>
    <s v="20 شیٹ"/>
    <s v="7-7.5/14-15"/>
    <s v="LDM"/>
    <n v="200"/>
    <x v="0"/>
    <n v="4"/>
    <n v="231.92000000000002"/>
    <n v="10.199999999999999"/>
    <n v="38"/>
    <x v="0"/>
    <n v="221.72000000000003"/>
    <n v="221.72000000000003"/>
    <m/>
    <x v="0"/>
    <x v="0"/>
    <n v="0"/>
    <n v="0"/>
    <x v="0"/>
    <x v="0"/>
    <m/>
    <x v="0"/>
    <x v="0"/>
    <x v="0"/>
    <x v="0"/>
    <x v="0"/>
    <n v="0"/>
    <n v="0"/>
    <n v="0"/>
    <n v="12"/>
    <x v="1"/>
    <x v="0"/>
    <m/>
    <x v="0"/>
    <n v="236.92000000000002"/>
    <x v="0"/>
    <x v="13"/>
    <x v="3"/>
    <x v="0"/>
    <x v="0"/>
  </r>
  <r>
    <x v="1"/>
    <x v="14"/>
    <s v="5437 J"/>
    <x v="157"/>
    <s v="Arshad Lafafa Muchant Gujar Khan"/>
    <s v="LDM"/>
    <s v="12+3+3"/>
    <s v="7.5-8/15-16"/>
    <s v="LDM"/>
    <n v="110"/>
    <x v="0"/>
    <n v="3"/>
    <n v="124.26"/>
    <n v="4.1999999999999993"/>
    <m/>
    <x v="0"/>
    <n v="120.06"/>
    <n v="120.06"/>
    <m/>
    <x v="0"/>
    <x v="0"/>
    <n v="0"/>
    <n v="0"/>
    <x v="0"/>
    <x v="0"/>
    <m/>
    <x v="0"/>
    <x v="0"/>
    <x v="0"/>
    <x v="0"/>
    <x v="0"/>
    <n v="0"/>
    <n v="0"/>
    <n v="0"/>
    <n v="12"/>
    <x v="1"/>
    <x v="0"/>
    <m/>
    <x v="0"/>
    <n v="129.26"/>
    <x v="0"/>
    <x v="13"/>
    <x v="3"/>
    <x v="0"/>
    <x v="0"/>
  </r>
  <r>
    <x v="1"/>
    <x v="14"/>
    <s v="5455 J"/>
    <x v="157"/>
    <s v="-"/>
    <m/>
    <m/>
    <m/>
    <m/>
    <m/>
    <x v="0"/>
    <n v="2"/>
    <n v="67.8"/>
    <n v="2.8"/>
    <m/>
    <x v="0"/>
    <n v="65"/>
    <n v="65"/>
    <m/>
    <x v="0"/>
    <x v="0"/>
    <n v="0"/>
    <n v="0"/>
    <x v="0"/>
    <x v="0"/>
    <m/>
    <x v="0"/>
    <x v="0"/>
    <x v="0"/>
    <x v="0"/>
    <x v="0"/>
    <n v="0"/>
    <n v="0"/>
    <n v="0"/>
    <n v="12"/>
    <x v="1"/>
    <x v="0"/>
    <m/>
    <x v="0"/>
    <n v="72.8"/>
    <x v="0"/>
    <x v="13"/>
    <x v="3"/>
    <x v="0"/>
    <x v="0"/>
  </r>
  <r>
    <x v="0"/>
    <x v="15"/>
    <m/>
    <x v="157"/>
    <s v="-"/>
    <m/>
    <m/>
    <m/>
    <m/>
    <m/>
    <x v="0"/>
    <n v="1"/>
    <n v="85.5"/>
    <n v="2.7"/>
    <n v="4.5"/>
    <x v="0"/>
    <n v="82.8"/>
    <n v="0"/>
    <m/>
    <x v="0"/>
    <x v="0"/>
    <n v="0"/>
    <n v="0"/>
    <x v="0"/>
    <x v="0"/>
    <m/>
    <x v="0"/>
    <x v="0"/>
    <x v="0"/>
    <x v="0"/>
    <x v="0"/>
    <n v="0"/>
    <n v="0"/>
    <n v="0"/>
    <n v="12"/>
    <x v="1"/>
    <x v="0"/>
    <m/>
    <x v="0"/>
    <n v="90.5"/>
    <x v="0"/>
    <x v="13"/>
    <x v="3"/>
    <x v="0"/>
    <x v="0"/>
  </r>
  <r>
    <x v="0"/>
    <x v="15"/>
    <s v="5516 J"/>
    <x v="157"/>
    <s v="Atlas Honda LTD (SKP)"/>
    <s v="LDN"/>
    <n v="22"/>
    <s v="12.5-13"/>
    <s v="LDN"/>
    <n v="0"/>
    <x v="0"/>
    <n v="3"/>
    <n v="250.90000000000003"/>
    <n v="8.1000000000000014"/>
    <m/>
    <x v="0"/>
    <n v="242.80000000000004"/>
    <n v="351.90000000000003"/>
    <m/>
    <x v="0"/>
    <x v="0"/>
    <n v="0"/>
    <n v="0"/>
    <x v="0"/>
    <x v="0"/>
    <m/>
    <x v="0"/>
    <x v="0"/>
    <x v="0"/>
    <x v="0"/>
    <x v="0"/>
    <n v="0"/>
    <n v="0"/>
    <n v="0"/>
    <n v="12"/>
    <x v="1"/>
    <x v="0"/>
    <m/>
    <x v="0"/>
    <n v="255.90000000000003"/>
    <x v="0"/>
    <x v="13"/>
    <x v="3"/>
    <x v="0"/>
    <x v="0"/>
  </r>
  <r>
    <x v="0"/>
    <x v="15"/>
    <s v="2459 F"/>
    <x v="157"/>
    <s v="Usman Amin"/>
    <s v="LDN"/>
    <n v="19"/>
    <s v="12"/>
    <s v="LDN"/>
    <n v="200"/>
    <x v="0"/>
    <n v="3"/>
    <n v="213.8"/>
    <n v="7.5"/>
    <m/>
    <x v="0"/>
    <n v="206.3"/>
    <n v="282.3"/>
    <m/>
    <x v="0"/>
    <x v="0"/>
    <n v="0"/>
    <n v="0"/>
    <x v="0"/>
    <x v="0"/>
    <m/>
    <x v="0"/>
    <x v="0"/>
    <x v="0"/>
    <x v="0"/>
    <x v="0"/>
    <n v="0"/>
    <n v="0"/>
    <n v="0"/>
    <n v="12"/>
    <x v="1"/>
    <x v="0"/>
    <m/>
    <x v="0"/>
    <n v="218.8"/>
    <x v="0"/>
    <x v="13"/>
    <x v="3"/>
    <x v="0"/>
    <x v="0"/>
  </r>
  <r>
    <x v="1"/>
    <x v="15"/>
    <s v="2459 F"/>
    <x v="157"/>
    <s v="Usman Amin"/>
    <s v="LDN"/>
    <n v="19"/>
    <s v="12"/>
    <s v="LDN"/>
    <n v="200"/>
    <x v="0"/>
    <n v="1"/>
    <n v="78.5"/>
    <n v="2.5"/>
    <n v="5"/>
    <x v="0"/>
    <n v="76"/>
    <n v="282.3"/>
    <m/>
    <x v="0"/>
    <x v="0"/>
    <n v="0"/>
    <n v="0"/>
    <x v="0"/>
    <x v="0"/>
    <m/>
    <x v="0"/>
    <x v="0"/>
    <x v="0"/>
    <x v="0"/>
    <x v="0"/>
    <n v="0"/>
    <n v="0"/>
    <n v="0"/>
    <n v="12"/>
    <x v="1"/>
    <x v="0"/>
    <m/>
    <x v="0"/>
    <n v="83.5"/>
    <x v="0"/>
    <x v="13"/>
    <x v="3"/>
    <x v="0"/>
    <x v="0"/>
  </r>
  <r>
    <x v="1"/>
    <x v="15"/>
    <s v="2457 F"/>
    <x v="157"/>
    <s v="Usman Amin"/>
    <s v="LDN"/>
    <n v="19"/>
    <s v="12"/>
    <s v="LDN"/>
    <n v="200"/>
    <x v="0"/>
    <n v="3"/>
    <n v="206"/>
    <n v="7.1999999999999993"/>
    <m/>
    <x v="0"/>
    <n v="198.8"/>
    <n v="198.8"/>
    <m/>
    <x v="0"/>
    <x v="0"/>
    <n v="0"/>
    <n v="0"/>
    <x v="0"/>
    <x v="0"/>
    <m/>
    <x v="0"/>
    <x v="0"/>
    <x v="0"/>
    <x v="0"/>
    <x v="0"/>
    <n v="0"/>
    <n v="0"/>
    <n v="0"/>
    <n v="12"/>
    <x v="1"/>
    <x v="0"/>
    <m/>
    <x v="0"/>
    <n v="211"/>
    <x v="0"/>
    <x v="13"/>
    <x v="3"/>
    <x v="0"/>
    <x v="0"/>
  </r>
  <r>
    <x v="1"/>
    <x v="15"/>
    <s v="2458 F"/>
    <x v="157"/>
    <s v="Usman Amin"/>
    <s v="LDN"/>
    <n v="15"/>
    <s v="12"/>
    <s v="LDN"/>
    <n v="200"/>
    <x v="0"/>
    <n v="1"/>
    <n v="66.900000000000006"/>
    <n v="1.8"/>
    <m/>
    <x v="0"/>
    <n v="65.100000000000009"/>
    <n v="191"/>
    <m/>
    <x v="0"/>
    <x v="0"/>
    <n v="0"/>
    <n v="0"/>
    <x v="0"/>
    <x v="0"/>
    <m/>
    <x v="0"/>
    <x v="0"/>
    <x v="0"/>
    <x v="0"/>
    <x v="0"/>
    <n v="0"/>
    <n v="0"/>
    <n v="0"/>
    <n v="12"/>
    <x v="1"/>
    <x v="0"/>
    <m/>
    <x v="0"/>
    <n v="71.900000000000006"/>
    <x v="0"/>
    <x v="13"/>
    <x v="3"/>
    <x v="0"/>
    <x v="0"/>
  </r>
  <r>
    <x v="0"/>
    <x v="9"/>
    <s v="5530 J"/>
    <x v="158"/>
    <s v="Al Burak Deparmental Store Lahore"/>
    <s v="LDN"/>
    <n v="8"/>
    <s v="14-15"/>
    <s v="LDN"/>
    <n v="120"/>
    <x v="0"/>
    <n v="2"/>
    <n v="83.26"/>
    <n v="2"/>
    <n v="3"/>
    <x v="0"/>
    <n v="81.260000000000005"/>
    <n v="120.14000000000001"/>
    <m/>
    <x v="0"/>
    <x v="0"/>
    <n v="0"/>
    <n v="0"/>
    <x v="0"/>
    <x v="0"/>
    <m/>
    <x v="0"/>
    <x v="0"/>
    <x v="0"/>
    <x v="0"/>
    <x v="0"/>
    <n v="0"/>
    <n v="0"/>
    <n v="0"/>
    <n v="12"/>
    <x v="1"/>
    <x v="0"/>
    <m/>
    <x v="0"/>
    <n v="90.26"/>
    <x v="0"/>
    <x v="14"/>
    <x v="4"/>
    <x v="0"/>
    <x v="0"/>
  </r>
  <r>
    <x v="0"/>
    <x v="9"/>
    <s v="5560 J"/>
    <x v="158"/>
    <s v="Usman Arif Butt Gujranwala"/>
    <s v="LDN"/>
    <n v="7"/>
    <n v="10"/>
    <s v="LDN"/>
    <n v="120"/>
    <x v="0"/>
    <n v="3"/>
    <n v="83.5"/>
    <n v="2.7"/>
    <m/>
    <x v="0"/>
    <n v="80.8"/>
    <n v="123.42"/>
    <m/>
    <x v="0"/>
    <x v="0"/>
    <n v="0"/>
    <n v="0"/>
    <x v="0"/>
    <x v="0"/>
    <m/>
    <x v="0"/>
    <x v="0"/>
    <x v="0"/>
    <x v="0"/>
    <x v="0"/>
    <n v="0"/>
    <n v="0"/>
    <n v="0"/>
    <n v="12"/>
    <x v="1"/>
    <x v="0"/>
    <m/>
    <x v="0"/>
    <n v="90.5"/>
    <x v="0"/>
    <x v="14"/>
    <x v="4"/>
    <x v="0"/>
    <x v="0"/>
  </r>
  <r>
    <x v="1"/>
    <x v="9"/>
    <s v="5560 J"/>
    <x v="158"/>
    <s v="Usman Arif Butt Gujranwala"/>
    <s v="LDN"/>
    <n v="7"/>
    <n v="10"/>
    <s v="LDN"/>
    <n v="120"/>
    <x v="0"/>
    <n v="2"/>
    <n v="44.620000000000005"/>
    <n v="2"/>
    <n v="1"/>
    <x v="0"/>
    <n v="42.620000000000005"/>
    <n v="123.42"/>
    <m/>
    <x v="0"/>
    <x v="0"/>
    <n v="0"/>
    <n v="0"/>
    <x v="0"/>
    <x v="0"/>
    <m/>
    <x v="0"/>
    <x v="0"/>
    <x v="0"/>
    <x v="0"/>
    <x v="0"/>
    <n v="0"/>
    <n v="0"/>
    <n v="0"/>
    <n v="12"/>
    <x v="1"/>
    <x v="0"/>
    <m/>
    <x v="0"/>
    <n v="51.620000000000005"/>
    <x v="0"/>
    <x v="14"/>
    <x v="4"/>
    <x v="0"/>
    <x v="0"/>
  </r>
  <r>
    <x v="1"/>
    <x v="9"/>
    <s v="5564 J"/>
    <x v="158"/>
    <s v="Usman Arif Butt Gujranwala"/>
    <s v="LDN"/>
    <n v="7"/>
    <n v="10"/>
    <s v="LDN"/>
    <n v="120"/>
    <x v="0"/>
    <n v="4"/>
    <n v="102.66"/>
    <n v="4"/>
    <m/>
    <x v="0"/>
    <n v="98.66"/>
    <n v="154.06"/>
    <m/>
    <x v="0"/>
    <x v="0"/>
    <n v="0"/>
    <n v="0"/>
    <x v="0"/>
    <x v="0"/>
    <m/>
    <x v="0"/>
    <x v="0"/>
    <x v="0"/>
    <x v="0"/>
    <x v="0"/>
    <n v="0"/>
    <n v="0"/>
    <n v="0"/>
    <n v="12"/>
    <x v="1"/>
    <x v="0"/>
    <m/>
    <x v="0"/>
    <n v="109.66"/>
    <x v="0"/>
    <x v="14"/>
    <x v="4"/>
    <x v="0"/>
    <x v="0"/>
  </r>
  <r>
    <x v="0"/>
    <x v="10"/>
    <s v="2783/2"/>
    <x v="158"/>
    <s v="PT-01"/>
    <s v="LD سرخ"/>
    <n v="5"/>
    <n v="80"/>
    <s v="LD سرخ"/>
    <n v="2500"/>
    <x v="0"/>
    <n v="11"/>
    <n v="326.19999999999993"/>
    <m/>
    <n v="11"/>
    <x v="0"/>
    <n v="326.19999999999993"/>
    <n v="4632.1499999999996"/>
    <m/>
    <x v="0"/>
    <x v="0"/>
    <n v="0"/>
    <n v="0"/>
    <x v="0"/>
    <x v="0"/>
    <m/>
    <x v="0"/>
    <x v="0"/>
    <x v="0"/>
    <x v="0"/>
    <x v="0"/>
    <n v="0"/>
    <n v="0"/>
    <n v="0"/>
    <n v="12"/>
    <x v="1"/>
    <x v="0"/>
    <m/>
    <x v="0"/>
    <n v="333.19999999999993"/>
    <x v="0"/>
    <x v="14"/>
    <x v="4"/>
    <x v="0"/>
    <x v="0"/>
  </r>
  <r>
    <x v="1"/>
    <x v="10"/>
    <s v="2783/2"/>
    <x v="158"/>
    <s v="PT-01"/>
    <s v="LD سرخ"/>
    <n v="5"/>
    <n v="80"/>
    <s v="LD سرخ"/>
    <n v="2500"/>
    <x v="0"/>
    <n v="12"/>
    <n v="339.36"/>
    <m/>
    <n v="11.6"/>
    <x v="0"/>
    <n v="339.36"/>
    <n v="4632.1499999999996"/>
    <m/>
    <x v="0"/>
    <x v="0"/>
    <n v="0"/>
    <n v="0"/>
    <x v="0"/>
    <x v="0"/>
    <m/>
    <x v="1"/>
    <x v="0"/>
    <x v="0"/>
    <x v="0"/>
    <x v="0"/>
    <n v="10"/>
    <n v="0.16666666666666666"/>
    <n v="0.16666666666666666"/>
    <n v="11.833333333333334"/>
    <x v="1"/>
    <x v="0"/>
    <m/>
    <x v="0"/>
    <n v="346.36"/>
    <x v="0"/>
    <x v="14"/>
    <x v="4"/>
    <x v="0"/>
    <x v="0"/>
  </r>
  <r>
    <x v="0"/>
    <x v="11"/>
    <s v="4656 J"/>
    <x v="158"/>
    <s v="Karss Paint Industry Pvt LTD"/>
    <s v="LD پیلا"/>
    <n v="17"/>
    <s v="-"/>
    <s v="LDM"/>
    <n v="580"/>
    <x v="0"/>
    <n v="4"/>
    <n v="485.5"/>
    <n v="8.8999999999999986"/>
    <m/>
    <x v="0"/>
    <n v="476.6"/>
    <n v="1201"/>
    <m/>
    <x v="0"/>
    <x v="0"/>
    <n v="0"/>
    <n v="0"/>
    <x v="0"/>
    <x v="0"/>
    <m/>
    <x v="0"/>
    <x v="0"/>
    <x v="0"/>
    <x v="0"/>
    <x v="0"/>
    <n v="0"/>
    <n v="0"/>
    <n v="0"/>
    <n v="12"/>
    <x v="1"/>
    <x v="0"/>
    <m/>
    <x v="0"/>
    <n v="492.5"/>
    <x v="0"/>
    <x v="14"/>
    <x v="4"/>
    <x v="0"/>
    <x v="0"/>
  </r>
  <r>
    <x v="1"/>
    <x v="11"/>
    <s v="4656 J"/>
    <x v="158"/>
    <s v="Karss Paint Industry Pvt LTD"/>
    <s v="LD پیلا"/>
    <n v="17"/>
    <s v="-"/>
    <s v="LDM"/>
    <n v="580"/>
    <x v="0"/>
    <n v="1"/>
    <n v="115"/>
    <n v="2.2000000000000002"/>
    <n v="70"/>
    <x v="0"/>
    <n v="112.8"/>
    <n v="1201"/>
    <n v="5"/>
    <x v="0"/>
    <x v="0"/>
    <n v="5"/>
    <n v="8.3333333333333329E-2"/>
    <x v="0"/>
    <x v="0"/>
    <m/>
    <x v="0"/>
    <x v="0"/>
    <x v="0"/>
    <x v="0"/>
    <x v="0"/>
    <n v="0"/>
    <n v="0"/>
    <n v="8.3333333333333329E-2"/>
    <n v="11.916666666666666"/>
    <x v="1"/>
    <x v="0"/>
    <m/>
    <x v="0"/>
    <n v="122"/>
    <x v="0"/>
    <x v="14"/>
    <x v="4"/>
    <x v="0"/>
    <x v="0"/>
  </r>
  <r>
    <x v="1"/>
    <x v="11"/>
    <s v="5441 J"/>
    <x v="158"/>
    <s v="Sahibzada Printers Saray Norang"/>
    <s v="LD لائٹ کریم"/>
    <n v="17.5"/>
    <s v="8-8.5"/>
    <s v="LDM"/>
    <n v="110"/>
    <x v="0"/>
    <n v="2"/>
    <n v="107.1"/>
    <n v="3.3"/>
    <m/>
    <x v="0"/>
    <n v="103.8"/>
    <n v="103.8"/>
    <n v="5"/>
    <x v="0"/>
    <x v="0"/>
    <n v="5"/>
    <n v="8.3333333333333329E-2"/>
    <x v="0"/>
    <x v="0"/>
    <m/>
    <x v="0"/>
    <x v="0"/>
    <x v="0"/>
    <x v="0"/>
    <x v="0"/>
    <n v="0"/>
    <n v="0"/>
    <n v="8.3333333333333329E-2"/>
    <n v="11.916666666666666"/>
    <x v="1"/>
    <x v="0"/>
    <m/>
    <x v="0"/>
    <n v="114.1"/>
    <x v="0"/>
    <x v="14"/>
    <x v="4"/>
    <x v="0"/>
    <x v="0"/>
  </r>
  <r>
    <x v="1"/>
    <x v="11"/>
    <s v="5440 J"/>
    <x v="158"/>
    <s v="Sahibzada Printers Saray Norang"/>
    <s v="LD لائٹ ریڈ"/>
    <n v="17.5"/>
    <s v="8-8.5"/>
    <s v="LDM"/>
    <n v="110"/>
    <x v="0"/>
    <n v="2"/>
    <n v="103.7"/>
    <n v="2.4"/>
    <m/>
    <x v="0"/>
    <n v="101.3"/>
    <n v="101.3"/>
    <n v="5"/>
    <x v="0"/>
    <x v="0"/>
    <n v="5"/>
    <n v="8.3333333333333329E-2"/>
    <x v="0"/>
    <x v="0"/>
    <m/>
    <x v="0"/>
    <x v="0"/>
    <x v="0"/>
    <x v="0"/>
    <x v="0"/>
    <n v="0"/>
    <n v="0"/>
    <n v="8.3333333333333329E-2"/>
    <n v="11.916666666666666"/>
    <x v="1"/>
    <x v="0"/>
    <m/>
    <x v="0"/>
    <n v="110.7"/>
    <x v="0"/>
    <x v="14"/>
    <x v="4"/>
    <x v="0"/>
    <x v="0"/>
  </r>
  <r>
    <x v="1"/>
    <x v="11"/>
    <s v="5438 J"/>
    <x v="158"/>
    <s v="Sahibzada Printers Saray Norang"/>
    <s v="LD لائٹ ریڈ"/>
    <s v="12+3+3"/>
    <s v="7.5-8/15-16"/>
    <s v="LDM"/>
    <n v="110"/>
    <x v="0"/>
    <n v="1"/>
    <n v="46.7"/>
    <n v="1"/>
    <m/>
    <x v="0"/>
    <n v="45.7"/>
    <n v="102.8"/>
    <m/>
    <x v="0"/>
    <x v="0"/>
    <n v="0"/>
    <n v="0"/>
    <x v="0"/>
    <x v="0"/>
    <m/>
    <x v="0"/>
    <x v="0"/>
    <x v="0"/>
    <x v="0"/>
    <x v="0"/>
    <n v="0"/>
    <n v="0"/>
    <n v="0"/>
    <n v="12"/>
    <x v="1"/>
    <x v="0"/>
    <m/>
    <x v="0"/>
    <n v="53.7"/>
    <x v="0"/>
    <x v="14"/>
    <x v="4"/>
    <x v="0"/>
    <x v="0"/>
  </r>
  <r>
    <x v="0"/>
    <x v="13"/>
    <s v="5435 J"/>
    <x v="158"/>
    <s v="Auto Tech Lahore "/>
    <s v="LDN"/>
    <n v="16"/>
    <s v="9.5-10"/>
    <s v="LDN"/>
    <n v="400"/>
    <x v="0"/>
    <n v="3"/>
    <n v="196.50000000000003"/>
    <n v="6.1"/>
    <n v="4"/>
    <x v="0"/>
    <n v="190.40000000000003"/>
    <n v="417.70000000000005"/>
    <m/>
    <x v="0"/>
    <x v="0"/>
    <n v="0"/>
    <n v="0"/>
    <x v="0"/>
    <x v="0"/>
    <m/>
    <x v="0"/>
    <x v="0"/>
    <x v="0"/>
    <x v="0"/>
    <x v="0"/>
    <n v="0"/>
    <n v="0"/>
    <n v="0"/>
    <n v="12"/>
    <x v="1"/>
    <x v="0"/>
    <m/>
    <x v="0"/>
    <n v="203.50000000000003"/>
    <x v="0"/>
    <x v="14"/>
    <x v="4"/>
    <x v="0"/>
    <x v="0"/>
  </r>
  <r>
    <x v="0"/>
    <x v="13"/>
    <s v="2455 F"/>
    <x v="158"/>
    <s v="Usman Amin"/>
    <s v="LDN"/>
    <n v="21"/>
    <s v="12"/>
    <s v="LDN"/>
    <n v="400"/>
    <x v="0"/>
    <n v="2"/>
    <n v="181.89999999999998"/>
    <n v="4.8"/>
    <m/>
    <x v="0"/>
    <n v="177.09999999999997"/>
    <n v="390.65"/>
    <m/>
    <x v="0"/>
    <x v="0"/>
    <n v="0"/>
    <n v="0"/>
    <x v="0"/>
    <x v="0"/>
    <m/>
    <x v="0"/>
    <x v="0"/>
    <x v="0"/>
    <x v="0"/>
    <x v="0"/>
    <n v="0"/>
    <n v="0"/>
    <n v="0"/>
    <n v="12"/>
    <x v="1"/>
    <x v="0"/>
    <m/>
    <x v="0"/>
    <n v="188.89999999999998"/>
    <x v="0"/>
    <x v="14"/>
    <x v="4"/>
    <x v="0"/>
    <x v="0"/>
  </r>
  <r>
    <x v="0"/>
    <x v="13"/>
    <s v="5425 J"/>
    <x v="158"/>
    <s v="Shahzad Bag Layyah"/>
    <s v="LD پیلا"/>
    <s v="10+3+3"/>
    <s v="7.5-8/15-16"/>
    <s v="LDM"/>
    <n v="110"/>
    <x v="0"/>
    <n v="2"/>
    <n v="68.099999999999994"/>
    <n v="3.8"/>
    <m/>
    <x v="0"/>
    <n v="64.3"/>
    <n v="171.9"/>
    <m/>
    <x v="0"/>
    <x v="0"/>
    <n v="0"/>
    <n v="0"/>
    <x v="0"/>
    <x v="0"/>
    <m/>
    <x v="0"/>
    <x v="0"/>
    <x v="0"/>
    <x v="0"/>
    <x v="0"/>
    <n v="0"/>
    <n v="0"/>
    <n v="0"/>
    <n v="12"/>
    <x v="1"/>
    <x v="0"/>
    <m/>
    <x v="0"/>
    <n v="75.099999999999994"/>
    <x v="0"/>
    <x v="14"/>
    <x v="4"/>
    <x v="0"/>
    <x v="0"/>
  </r>
  <r>
    <x v="1"/>
    <x v="13"/>
    <s v="2455 F"/>
    <x v="158"/>
    <s v="Usman Amin"/>
    <s v="LDN"/>
    <n v="21"/>
    <s v="12"/>
    <s v="LDN"/>
    <n v="400"/>
    <x v="0"/>
    <n v="3"/>
    <n v="220.75"/>
    <n v="7.1999999999999993"/>
    <n v="7.2"/>
    <x v="0"/>
    <n v="213.55"/>
    <n v="390.65"/>
    <m/>
    <x v="0"/>
    <x v="0"/>
    <n v="0"/>
    <n v="0"/>
    <x v="0"/>
    <x v="0"/>
    <m/>
    <x v="0"/>
    <x v="0"/>
    <x v="0"/>
    <x v="0"/>
    <x v="0"/>
    <n v="0"/>
    <n v="0"/>
    <n v="0"/>
    <n v="12"/>
    <x v="1"/>
    <x v="0"/>
    <m/>
    <x v="0"/>
    <n v="227.75"/>
    <x v="0"/>
    <x v="14"/>
    <x v="4"/>
    <x v="0"/>
    <x v="0"/>
  </r>
  <r>
    <x v="1"/>
    <x v="13"/>
    <s v="2462 F"/>
    <x v="158"/>
    <s v="Usman Amin"/>
    <s v="LDN"/>
    <n v="28"/>
    <s v="8"/>
    <s v="LDN"/>
    <n v="700"/>
    <x v="0"/>
    <n v="2"/>
    <n v="217.3"/>
    <n v="7"/>
    <m/>
    <x v="0"/>
    <n v="210.3"/>
    <n v="727.30000000000007"/>
    <m/>
    <x v="0"/>
    <x v="0"/>
    <n v="0"/>
    <n v="0"/>
    <x v="0"/>
    <x v="0"/>
    <m/>
    <x v="0"/>
    <x v="0"/>
    <x v="0"/>
    <x v="0"/>
    <x v="0"/>
    <n v="0"/>
    <n v="0"/>
    <n v="0"/>
    <n v="12"/>
    <x v="1"/>
    <x v="0"/>
    <m/>
    <x v="0"/>
    <n v="224.3"/>
    <x v="0"/>
    <x v="14"/>
    <x v="4"/>
    <x v="0"/>
    <x v="0"/>
  </r>
  <r>
    <x v="1"/>
    <x v="14"/>
    <s v="4161 J"/>
    <x v="158"/>
    <s v="Karss Paint Industry Pvt LTD"/>
    <s v="LDM"/>
    <n v="17"/>
    <s v="7.5-8"/>
    <s v="LDM"/>
    <n v="3"/>
    <x v="0"/>
    <n v="4"/>
    <n v="362.14"/>
    <n v="8"/>
    <n v="35"/>
    <x v="0"/>
    <n v="354.14"/>
    <n v="723.54"/>
    <n v="5"/>
    <x v="0"/>
    <x v="8"/>
    <n v="95"/>
    <n v="1.5833333333333333"/>
    <x v="0"/>
    <x v="0"/>
    <m/>
    <x v="0"/>
    <x v="0"/>
    <x v="0"/>
    <x v="0"/>
    <x v="0"/>
    <n v="0"/>
    <n v="0"/>
    <n v="1.5833333333333333"/>
    <n v="10.416666666666666"/>
    <x v="1"/>
    <x v="0"/>
    <m/>
    <x v="0"/>
    <n v="369.14"/>
    <x v="0"/>
    <x v="14"/>
    <x v="4"/>
    <x v="0"/>
    <x v="0"/>
  </r>
  <r>
    <x v="1"/>
    <x v="14"/>
    <s v="5527 J"/>
    <x v="158"/>
    <s v="Ijaz Sher Sawabi"/>
    <s v="LDM"/>
    <n v="15"/>
    <s v="-"/>
    <s v="LDM"/>
    <n v="1000"/>
    <x v="0"/>
    <n v="2"/>
    <n v="176.4"/>
    <n v="3.6"/>
    <m/>
    <x v="0"/>
    <n v="172.8"/>
    <n v="1018.2"/>
    <m/>
    <x v="0"/>
    <x v="0"/>
    <n v="0"/>
    <n v="0"/>
    <x v="0"/>
    <x v="0"/>
    <m/>
    <x v="0"/>
    <x v="0"/>
    <x v="0"/>
    <x v="0"/>
    <x v="0"/>
    <n v="0"/>
    <n v="0"/>
    <n v="0"/>
    <n v="12"/>
    <x v="1"/>
    <x v="0"/>
    <m/>
    <x v="0"/>
    <n v="183.4"/>
    <x v="0"/>
    <x v="14"/>
    <x v="4"/>
    <x v="0"/>
    <x v="0"/>
  </r>
  <r>
    <x v="0"/>
    <x v="15"/>
    <s v="2458 F"/>
    <x v="158"/>
    <s v="Usman Amin"/>
    <s v="LDN"/>
    <n v="15"/>
    <s v="12"/>
    <s v="LDN"/>
    <n v="200"/>
    <x v="0"/>
    <n v="2"/>
    <n v="129.5"/>
    <n v="3.6"/>
    <m/>
    <x v="0"/>
    <n v="125.9"/>
    <n v="191"/>
    <m/>
    <x v="0"/>
    <x v="0"/>
    <n v="0"/>
    <n v="0"/>
    <x v="0"/>
    <x v="0"/>
    <m/>
    <x v="0"/>
    <x v="0"/>
    <x v="0"/>
    <x v="0"/>
    <x v="0"/>
    <n v="0"/>
    <n v="0"/>
    <n v="0"/>
    <n v="12"/>
    <x v="1"/>
    <x v="0"/>
    <m/>
    <x v="0"/>
    <n v="136.5"/>
    <x v="0"/>
    <x v="14"/>
    <x v="4"/>
    <x v="0"/>
    <x v="0"/>
  </r>
  <r>
    <x v="0"/>
    <x v="15"/>
    <s v="2460 F"/>
    <x v="158"/>
    <s v="Usman Amin"/>
    <s v="LDN"/>
    <n v="15"/>
    <s v="12"/>
    <s v="LDN"/>
    <n v="150"/>
    <x v="0"/>
    <n v="3"/>
    <n v="150.69999999999999"/>
    <n v="5.4"/>
    <m/>
    <x v="0"/>
    <n v="145.29999999999998"/>
    <n v="145.29999999999998"/>
    <m/>
    <x v="0"/>
    <x v="0"/>
    <n v="0"/>
    <n v="0"/>
    <x v="0"/>
    <x v="0"/>
    <m/>
    <x v="0"/>
    <x v="0"/>
    <x v="0"/>
    <x v="0"/>
    <x v="0"/>
    <n v="0"/>
    <n v="0"/>
    <n v="0"/>
    <n v="12"/>
    <x v="1"/>
    <x v="0"/>
    <m/>
    <x v="0"/>
    <n v="157.69999999999999"/>
    <x v="0"/>
    <x v="14"/>
    <x v="4"/>
    <x v="0"/>
    <x v="0"/>
  </r>
  <r>
    <x v="1"/>
    <x v="15"/>
    <s v="5580 J"/>
    <x v="158"/>
    <s v="Javed Enterprises Gujranwala"/>
    <s v="LDN"/>
    <n v="14"/>
    <s v="20-21"/>
    <s v="LDN"/>
    <n v="500"/>
    <x v="0"/>
    <n v="5"/>
    <n v="297.5"/>
    <n v="9"/>
    <m/>
    <x v="0"/>
    <n v="288.5"/>
    <n v="493.29999999999995"/>
    <m/>
    <x v="0"/>
    <x v="0"/>
    <n v="0"/>
    <n v="0"/>
    <x v="0"/>
    <x v="0"/>
    <m/>
    <x v="0"/>
    <x v="0"/>
    <x v="0"/>
    <x v="0"/>
    <x v="0"/>
    <n v="0"/>
    <n v="0"/>
    <n v="0"/>
    <n v="12"/>
    <x v="1"/>
    <x v="0"/>
    <m/>
    <x v="0"/>
    <n v="304.5"/>
    <x v="0"/>
    <x v="14"/>
    <x v="4"/>
    <x v="0"/>
    <x v="0"/>
  </r>
  <r>
    <x v="0"/>
    <x v="9"/>
    <s v="5559 J"/>
    <x v="159"/>
    <s v="Usman Arif Butt Gujranwala"/>
    <s v="LDN"/>
    <n v="6"/>
    <n v="10"/>
    <s v="LDN"/>
    <n v="100"/>
    <x v="0"/>
    <n v="3"/>
    <n v="98.28"/>
    <n v="2.4000000000000004"/>
    <m/>
    <x v="0"/>
    <n v="95.88"/>
    <n v="95.88"/>
    <m/>
    <x v="0"/>
    <x v="0"/>
    <n v="0"/>
    <n v="0"/>
    <x v="0"/>
    <x v="0"/>
    <m/>
    <x v="0"/>
    <x v="0"/>
    <x v="0"/>
    <x v="0"/>
    <x v="0"/>
    <n v="0"/>
    <n v="0"/>
    <n v="0"/>
    <n v="12"/>
    <x v="1"/>
    <x v="0"/>
    <m/>
    <x v="0"/>
    <n v="105.28"/>
    <x v="0"/>
    <x v="14"/>
    <x v="4"/>
    <x v="0"/>
    <x v="0"/>
  </r>
  <r>
    <x v="0"/>
    <x v="9"/>
    <s v="5564 J"/>
    <x v="159"/>
    <s v="Usman Arif Butt Gujranwala"/>
    <s v="LDN"/>
    <n v="7"/>
    <n v="10"/>
    <s v="LDN"/>
    <n v="120"/>
    <x v="0"/>
    <n v="2"/>
    <n v="57.199999999999996"/>
    <n v="1.8"/>
    <m/>
    <x v="0"/>
    <n v="55.4"/>
    <n v="154.06"/>
    <m/>
    <x v="0"/>
    <x v="0"/>
    <n v="0"/>
    <n v="0"/>
    <x v="0"/>
    <x v="0"/>
    <m/>
    <x v="0"/>
    <x v="0"/>
    <x v="0"/>
    <x v="0"/>
    <x v="0"/>
    <n v="0"/>
    <n v="0"/>
    <n v="0"/>
    <n v="12"/>
    <x v="1"/>
    <x v="0"/>
    <m/>
    <x v="0"/>
    <n v="64.199999999999989"/>
    <x v="0"/>
    <x v="14"/>
    <x v="4"/>
    <x v="0"/>
    <x v="0"/>
  </r>
  <r>
    <x v="1"/>
    <x v="9"/>
    <s v="5563 J"/>
    <x v="159"/>
    <s v="Usman Arif Butt Gujranwala"/>
    <s v="LDN"/>
    <n v="6"/>
    <n v="10"/>
    <s v="LDN"/>
    <n v="120"/>
    <x v="0"/>
    <n v="4"/>
    <n v="155.85"/>
    <n v="3.2"/>
    <m/>
    <x v="0"/>
    <n v="152.65"/>
    <n v="152.65"/>
    <m/>
    <x v="0"/>
    <x v="0"/>
    <n v="0"/>
    <n v="0"/>
    <x v="0"/>
    <x v="0"/>
    <m/>
    <x v="0"/>
    <x v="0"/>
    <x v="0"/>
    <x v="0"/>
    <x v="0"/>
    <n v="0"/>
    <n v="0"/>
    <n v="0"/>
    <n v="12"/>
    <x v="1"/>
    <x v="0"/>
    <m/>
    <x v="0"/>
    <n v="162.85"/>
    <x v="0"/>
    <x v="14"/>
    <x v="4"/>
    <x v="0"/>
    <x v="0"/>
  </r>
  <r>
    <x v="0"/>
    <x v="10"/>
    <s v="2783/2"/>
    <x v="159"/>
    <s v="PT-01"/>
    <s v="LD سرخ"/>
    <n v="5"/>
    <n v="80"/>
    <s v="LD سرخ"/>
    <n v="2500"/>
    <x v="0"/>
    <n v="12"/>
    <n v="299.44000000000005"/>
    <n v="1.2"/>
    <n v="8"/>
    <x v="0"/>
    <n v="298.24000000000007"/>
    <n v="4632.1499999999996"/>
    <m/>
    <x v="0"/>
    <x v="0"/>
    <n v="0"/>
    <n v="0"/>
    <x v="0"/>
    <x v="0"/>
    <m/>
    <x v="0"/>
    <x v="0"/>
    <x v="0"/>
    <x v="0"/>
    <x v="0"/>
    <n v="0"/>
    <n v="0"/>
    <n v="0"/>
    <n v="12"/>
    <x v="1"/>
    <x v="0"/>
    <m/>
    <x v="0"/>
    <n v="306.44000000000005"/>
    <x v="0"/>
    <x v="14"/>
    <x v="4"/>
    <x v="0"/>
    <x v="0"/>
  </r>
  <r>
    <x v="1"/>
    <x v="10"/>
    <s v="2783/2"/>
    <x v="159"/>
    <s v="PT-01"/>
    <s v="LD سرخ"/>
    <n v="5"/>
    <n v="80"/>
    <s v="LD سرخ"/>
    <n v="2500"/>
    <x v="0"/>
    <n v="14"/>
    <n v="349.18999999999994"/>
    <n v="7"/>
    <n v="11"/>
    <x v="0"/>
    <n v="342.18999999999994"/>
    <n v="4632.1499999999996"/>
    <m/>
    <x v="0"/>
    <x v="0"/>
    <n v="0"/>
    <n v="0"/>
    <x v="0"/>
    <x v="0"/>
    <m/>
    <x v="0"/>
    <x v="0"/>
    <x v="0"/>
    <x v="0"/>
    <x v="0"/>
    <n v="0"/>
    <n v="0"/>
    <n v="0"/>
    <n v="12"/>
    <x v="1"/>
    <x v="0"/>
    <m/>
    <x v="0"/>
    <n v="356.18999999999994"/>
    <x v="0"/>
    <x v="14"/>
    <x v="4"/>
    <x v="0"/>
    <x v="0"/>
  </r>
  <r>
    <x v="0"/>
    <x v="11"/>
    <s v="5438 J"/>
    <x v="159"/>
    <s v="Sahibzada Printers Saray Norang"/>
    <s v="LD لائٹ ریڈ"/>
    <s v="12+3+3"/>
    <s v="7.5-8/15-16"/>
    <s v="LDM"/>
    <n v="110"/>
    <x v="0"/>
    <n v="1"/>
    <n v="58.3"/>
    <n v="1.2"/>
    <n v="3"/>
    <x v="0"/>
    <n v="57.099999999999994"/>
    <n v="102.8"/>
    <n v="5"/>
    <x v="0"/>
    <x v="0"/>
    <n v="5"/>
    <n v="8.3333333333333329E-2"/>
    <x v="0"/>
    <x v="0"/>
    <m/>
    <x v="0"/>
    <x v="0"/>
    <x v="0"/>
    <x v="0"/>
    <x v="0"/>
    <n v="0"/>
    <n v="0"/>
    <n v="8.3333333333333329E-2"/>
    <n v="11.916666666666666"/>
    <x v="1"/>
    <x v="0"/>
    <m/>
    <x v="0"/>
    <n v="65.3"/>
    <x v="0"/>
    <x v="14"/>
    <x v="4"/>
    <x v="0"/>
    <x v="0"/>
  </r>
  <r>
    <x v="0"/>
    <x v="11"/>
    <s v="5439 J"/>
    <x v="159"/>
    <s v="Sahibzada Printers Saray Norang"/>
    <s v="LD سلور گرے"/>
    <s v="12+3+3"/>
    <s v="7.5-8/15-16"/>
    <s v="LDM"/>
    <n v="110"/>
    <x v="0"/>
    <n v="3"/>
    <n v="115.1"/>
    <n v="4.1999999999999993"/>
    <n v="65"/>
    <x v="0"/>
    <n v="110.89999999999999"/>
    <n v="110.89999999999999"/>
    <n v="5"/>
    <x v="0"/>
    <x v="0"/>
    <n v="5"/>
    <n v="8.3333333333333329E-2"/>
    <x v="0"/>
    <x v="0"/>
    <m/>
    <x v="0"/>
    <x v="0"/>
    <x v="0"/>
    <x v="0"/>
    <x v="0"/>
    <n v="0"/>
    <n v="0"/>
    <n v="8.3333333333333329E-2"/>
    <n v="11.916666666666666"/>
    <x v="1"/>
    <x v="0"/>
    <m/>
    <x v="0"/>
    <n v="122.1"/>
    <x v="0"/>
    <x v="14"/>
    <x v="4"/>
    <x v="0"/>
    <x v="0"/>
  </r>
  <r>
    <x v="0"/>
    <x v="11"/>
    <s v="5427 J"/>
    <x v="159"/>
    <s v="Mughal Plastic Store Layyah"/>
    <s v="LD فیروزی"/>
    <s v="12+3+3"/>
    <s v="7.5-8/15-16"/>
    <s v="LDM"/>
    <n v="110"/>
    <x v="0"/>
    <n v="3"/>
    <n v="116.80000000000001"/>
    <n v="4.1999999999999993"/>
    <m/>
    <x v="0"/>
    <n v="112.60000000000001"/>
    <n v="112.60000000000001"/>
    <n v="5"/>
    <x v="0"/>
    <x v="0"/>
    <n v="5"/>
    <n v="8.3333333333333329E-2"/>
    <x v="0"/>
    <x v="0"/>
    <m/>
    <x v="0"/>
    <x v="0"/>
    <x v="0"/>
    <x v="0"/>
    <x v="0"/>
    <n v="0"/>
    <n v="0"/>
    <n v="8.3333333333333329E-2"/>
    <n v="11.916666666666666"/>
    <x v="1"/>
    <x v="0"/>
    <m/>
    <x v="0"/>
    <n v="123.80000000000001"/>
    <x v="0"/>
    <x v="14"/>
    <x v="4"/>
    <x v="0"/>
    <x v="0"/>
  </r>
  <r>
    <x v="0"/>
    <x v="11"/>
    <s v="5299 J"/>
    <x v="159"/>
    <s v="Head Office Lahore"/>
    <s v="LD رنگدار"/>
    <s v="32 شیٹ"/>
    <s v="5.5-6/11-12"/>
    <s v="LDM"/>
    <n v="800"/>
    <x v="0"/>
    <n v="2"/>
    <n v="119.6"/>
    <n v="4"/>
    <m/>
    <x v="0"/>
    <n v="115.6"/>
    <n v="670.95"/>
    <m/>
    <x v="0"/>
    <x v="0"/>
    <n v="0"/>
    <n v="0"/>
    <x v="0"/>
    <x v="0"/>
    <m/>
    <x v="0"/>
    <x v="0"/>
    <x v="0"/>
    <x v="0"/>
    <x v="0"/>
    <n v="0"/>
    <n v="0"/>
    <n v="0"/>
    <n v="12"/>
    <x v="1"/>
    <x v="0"/>
    <m/>
    <x v="0"/>
    <n v="126.6"/>
    <x v="0"/>
    <x v="14"/>
    <x v="4"/>
    <x v="0"/>
    <x v="0"/>
  </r>
  <r>
    <x v="1"/>
    <x v="11"/>
    <s v="5299 J"/>
    <x v="159"/>
    <s v="Head Office Lahore"/>
    <s v="LD رنگدار"/>
    <s v="32 شیٹ"/>
    <s v="5.5-6/11-12"/>
    <s v="LDM"/>
    <n v="800"/>
    <x v="0"/>
    <n v="6"/>
    <n v="429.95000000000005"/>
    <n v="14"/>
    <n v="76"/>
    <x v="0"/>
    <n v="415.95000000000005"/>
    <n v="670.95"/>
    <n v="10"/>
    <x v="0"/>
    <x v="0"/>
    <n v="10"/>
    <n v="0.16666666666666666"/>
    <x v="0"/>
    <x v="0"/>
    <m/>
    <x v="0"/>
    <x v="0"/>
    <x v="0"/>
    <x v="0"/>
    <x v="0"/>
    <n v="0"/>
    <n v="0"/>
    <n v="0.16666666666666666"/>
    <n v="11.833333333333334"/>
    <x v="1"/>
    <x v="0"/>
    <m/>
    <x v="0"/>
    <n v="436.95000000000005"/>
    <x v="0"/>
    <x v="14"/>
    <x v="4"/>
    <x v="0"/>
    <x v="0"/>
  </r>
  <r>
    <x v="0"/>
    <x v="13"/>
    <s v="2462 F"/>
    <x v="159"/>
    <s v="Usman Amin"/>
    <s v="LDN"/>
    <n v="28"/>
    <s v="8"/>
    <s v="LDN"/>
    <n v="700"/>
    <x v="0"/>
    <n v="5"/>
    <n v="458.8"/>
    <n v="17.5"/>
    <n v="10"/>
    <x v="0"/>
    <n v="441.3"/>
    <n v="727.30000000000007"/>
    <m/>
    <x v="0"/>
    <x v="0"/>
    <n v="0"/>
    <n v="0"/>
    <x v="0"/>
    <x v="0"/>
    <m/>
    <x v="0"/>
    <x v="0"/>
    <x v="0"/>
    <x v="0"/>
    <x v="0"/>
    <n v="0"/>
    <n v="0"/>
    <n v="0"/>
    <n v="12"/>
    <x v="1"/>
    <x v="0"/>
    <m/>
    <x v="0"/>
    <n v="465.8"/>
    <x v="0"/>
    <x v="14"/>
    <x v="4"/>
    <x v="0"/>
    <x v="0"/>
  </r>
  <r>
    <x v="1"/>
    <x v="13"/>
    <s v="2462 F"/>
    <x v="159"/>
    <s v="Usman Amin"/>
    <s v="LDN"/>
    <n v="28"/>
    <s v="8"/>
    <s v="LDN"/>
    <n v="700"/>
    <x v="0"/>
    <n v="1"/>
    <n v="79.2"/>
    <n v="3.5"/>
    <n v="6"/>
    <x v="0"/>
    <n v="75.7"/>
    <n v="727.30000000000007"/>
    <m/>
    <x v="0"/>
    <x v="0"/>
    <n v="0"/>
    <n v="0"/>
    <x v="0"/>
    <x v="0"/>
    <m/>
    <x v="0"/>
    <x v="0"/>
    <x v="0"/>
    <x v="0"/>
    <x v="0"/>
    <n v="0"/>
    <n v="0"/>
    <n v="0"/>
    <n v="12"/>
    <x v="1"/>
    <x v="0"/>
    <m/>
    <x v="0"/>
    <n v="86.2"/>
    <x v="0"/>
    <x v="14"/>
    <x v="4"/>
    <x v="0"/>
    <x v="0"/>
  </r>
  <r>
    <x v="1"/>
    <x v="13"/>
    <s v="2467 F"/>
    <x v="159"/>
    <s v="Usman Amin"/>
    <s v="LDN"/>
    <n v="26"/>
    <s v="8"/>
    <s v="LDN"/>
    <n v="65"/>
    <x v="0"/>
    <n v="1"/>
    <n v="68.400000000000006"/>
    <n v="3"/>
    <m/>
    <x v="0"/>
    <n v="65.400000000000006"/>
    <n v="65.400000000000006"/>
    <m/>
    <x v="0"/>
    <x v="0"/>
    <n v="0"/>
    <n v="0"/>
    <x v="0"/>
    <x v="0"/>
    <m/>
    <x v="0"/>
    <x v="0"/>
    <x v="0"/>
    <x v="0"/>
    <x v="0"/>
    <n v="0"/>
    <n v="0"/>
    <n v="0"/>
    <n v="12"/>
    <x v="1"/>
    <x v="0"/>
    <m/>
    <x v="0"/>
    <n v="75.400000000000006"/>
    <x v="0"/>
    <x v="14"/>
    <x v="4"/>
    <x v="0"/>
    <x v="0"/>
  </r>
  <r>
    <x v="1"/>
    <x v="13"/>
    <s v="2477 F"/>
    <x v="159"/>
    <s v="Usman Amin"/>
    <s v="LDN"/>
    <n v="17"/>
    <s v="7"/>
    <s v="LDN"/>
    <n v="190"/>
    <x v="0"/>
    <n v="3"/>
    <n v="152.05000000000001"/>
    <n v="6.6000000000000005"/>
    <m/>
    <x v="0"/>
    <n v="145.45000000000002"/>
    <n v="199.95000000000002"/>
    <m/>
    <x v="0"/>
    <x v="0"/>
    <n v="0"/>
    <n v="0"/>
    <x v="0"/>
    <x v="0"/>
    <m/>
    <x v="0"/>
    <x v="0"/>
    <x v="0"/>
    <x v="0"/>
    <x v="0"/>
    <n v="0"/>
    <n v="0"/>
    <n v="0"/>
    <n v="12"/>
    <x v="1"/>
    <x v="0"/>
    <m/>
    <x v="0"/>
    <n v="159.05000000000001"/>
    <x v="0"/>
    <x v="14"/>
    <x v="4"/>
    <x v="0"/>
    <x v="0"/>
  </r>
  <r>
    <x v="0"/>
    <x v="14"/>
    <s v="5527 J"/>
    <x v="159"/>
    <s v="Ijaz Sher Sawabi"/>
    <s v="LDM"/>
    <n v="15"/>
    <s v="-"/>
    <s v="LDM"/>
    <n v="1000"/>
    <x v="0"/>
    <n v="6"/>
    <n v="610.69999999999993"/>
    <n v="10.8"/>
    <n v="5"/>
    <x v="0"/>
    <n v="599.9"/>
    <n v="1018.2"/>
    <m/>
    <x v="0"/>
    <x v="0"/>
    <n v="0"/>
    <n v="0"/>
    <x v="0"/>
    <x v="0"/>
    <m/>
    <x v="0"/>
    <x v="0"/>
    <x v="0"/>
    <x v="0"/>
    <x v="0"/>
    <n v="0"/>
    <n v="0"/>
    <n v="0"/>
    <n v="12"/>
    <x v="1"/>
    <x v="0"/>
    <m/>
    <x v="0"/>
    <n v="617.69999999999993"/>
    <x v="0"/>
    <x v="14"/>
    <x v="4"/>
    <x v="0"/>
    <x v="0"/>
  </r>
  <r>
    <x v="1"/>
    <x v="14"/>
    <s v="5527 J"/>
    <x v="159"/>
    <s v="Ijaz Sher Sawabi"/>
    <s v="LDM"/>
    <n v="15"/>
    <s v="-"/>
    <s v="LDM"/>
    <n v="1000"/>
    <x v="0"/>
    <n v="3"/>
    <n v="250.89999999999998"/>
    <n v="5.4"/>
    <n v="31"/>
    <x v="0"/>
    <n v="245.49999999999997"/>
    <n v="1018.2"/>
    <n v="5"/>
    <x v="0"/>
    <x v="0"/>
    <n v="5"/>
    <n v="8.3333333333333329E-2"/>
    <x v="0"/>
    <x v="0"/>
    <m/>
    <x v="0"/>
    <x v="0"/>
    <x v="0"/>
    <x v="0"/>
    <x v="0"/>
    <n v="0"/>
    <n v="0"/>
    <n v="8.3333333333333329E-2"/>
    <n v="11.916666666666666"/>
    <x v="1"/>
    <x v="0"/>
    <m/>
    <x v="0"/>
    <n v="257.89999999999998"/>
    <x v="0"/>
    <x v="14"/>
    <x v="4"/>
    <x v="0"/>
    <x v="0"/>
  </r>
  <r>
    <x v="1"/>
    <x v="14"/>
    <s v="5553 J"/>
    <x v="159"/>
    <s v="Nest Clothing Company Mandi Bahudin"/>
    <s v="LDM"/>
    <n v="18"/>
    <s v="14-15"/>
    <s v="LDM"/>
    <n v="100"/>
    <x v="0"/>
    <n v="2"/>
    <n v="112"/>
    <n v="4.4000000000000004"/>
    <m/>
    <x v="0"/>
    <n v="107.6"/>
    <n v="107.6"/>
    <n v="10"/>
    <x v="0"/>
    <x v="0"/>
    <n v="10"/>
    <n v="0.16666666666666666"/>
    <x v="0"/>
    <x v="0"/>
    <m/>
    <x v="0"/>
    <x v="0"/>
    <x v="0"/>
    <x v="0"/>
    <x v="0"/>
    <n v="0"/>
    <n v="0"/>
    <n v="0.16666666666666666"/>
    <n v="11.833333333333334"/>
    <x v="1"/>
    <x v="0"/>
    <m/>
    <x v="0"/>
    <n v="119"/>
    <x v="0"/>
    <x v="14"/>
    <x v="4"/>
    <x v="0"/>
    <x v="0"/>
  </r>
  <r>
    <x v="1"/>
    <x v="14"/>
    <s v="5552 J"/>
    <x v="159"/>
    <s v="Nest Clothing Company Mandi Bahudin"/>
    <s v="LDM"/>
    <n v="18"/>
    <s v="13-14"/>
    <s v="LDM"/>
    <n v="100"/>
    <x v="0"/>
    <n v="2"/>
    <n v="110.7"/>
    <n v="11"/>
    <m/>
    <x v="0"/>
    <n v="99.7"/>
    <n v="99.7"/>
    <n v="10"/>
    <x v="0"/>
    <x v="0"/>
    <n v="10"/>
    <n v="0.16666666666666666"/>
    <x v="0"/>
    <x v="0"/>
    <m/>
    <x v="0"/>
    <x v="0"/>
    <x v="0"/>
    <x v="0"/>
    <x v="0"/>
    <n v="0"/>
    <n v="0"/>
    <n v="0.16666666666666666"/>
    <n v="11.833333333333334"/>
    <x v="1"/>
    <x v="0"/>
    <m/>
    <x v="0"/>
    <n v="117.7"/>
    <x v="0"/>
    <x v="14"/>
    <x v="4"/>
    <x v="0"/>
    <x v="0"/>
  </r>
  <r>
    <x v="1"/>
    <x v="14"/>
    <s v="5572 J"/>
    <x v="159"/>
    <s v="SKY Pack Shuja Rawallpindi"/>
    <s v="LDM"/>
    <s v="32+5+5"/>
    <s v="11/22"/>
    <s v="LDM"/>
    <n v="100"/>
    <x v="0"/>
    <n v="5"/>
    <n v="119.69999999999999"/>
    <n v="4.4000000000000004"/>
    <m/>
    <x v="0"/>
    <n v="115.29999999999998"/>
    <n v="115.29999999999998"/>
    <n v="10"/>
    <x v="0"/>
    <x v="0"/>
    <n v="10"/>
    <n v="0.16666666666666666"/>
    <x v="0"/>
    <x v="0"/>
    <m/>
    <x v="0"/>
    <x v="0"/>
    <x v="0"/>
    <x v="0"/>
    <x v="0"/>
    <n v="0"/>
    <n v="0"/>
    <n v="0.16666666666666666"/>
    <n v="11.833333333333334"/>
    <x v="1"/>
    <x v="0"/>
    <m/>
    <x v="0"/>
    <n v="126.69999999999999"/>
    <x v="0"/>
    <x v="14"/>
    <x v="4"/>
    <x v="0"/>
    <x v="0"/>
  </r>
  <r>
    <x v="1"/>
    <x v="14"/>
    <s v="5545 J"/>
    <x v="159"/>
    <s v="Get Smart Dry Cleaner Khushab"/>
    <s v="LDN"/>
    <n v="25"/>
    <s v="4.5-5"/>
    <s v="LDN"/>
    <n v="100"/>
    <x v="0"/>
    <n v="1"/>
    <n v="41.8"/>
    <n v="19"/>
    <m/>
    <x v="0"/>
    <n v="22.799999999999997"/>
    <n v="90.339999999999989"/>
    <m/>
    <x v="0"/>
    <x v="0"/>
    <n v="0"/>
    <n v="0"/>
    <x v="0"/>
    <x v="0"/>
    <m/>
    <x v="0"/>
    <x v="0"/>
    <x v="0"/>
    <x v="0"/>
    <x v="0"/>
    <n v="0"/>
    <n v="0"/>
    <n v="0"/>
    <n v="12"/>
    <x v="1"/>
    <x v="0"/>
    <m/>
    <x v="0"/>
    <n v="48.8"/>
    <x v="0"/>
    <x v="14"/>
    <x v="4"/>
    <x v="0"/>
    <x v="0"/>
  </r>
  <r>
    <x v="1"/>
    <x v="14"/>
    <s v="2823/1"/>
    <x v="159"/>
    <s v="C/O JAVAID SB"/>
    <s v="LDN"/>
    <n v="36"/>
    <n v="3"/>
    <s v="LDN"/>
    <n v="0"/>
    <x v="0"/>
    <n v="5"/>
    <n v="112"/>
    <n v="3"/>
    <m/>
    <x v="0"/>
    <n v="109"/>
    <n v="23186.610000000004"/>
    <m/>
    <x v="0"/>
    <x v="0"/>
    <n v="0"/>
    <n v="0"/>
    <x v="0"/>
    <x v="0"/>
    <m/>
    <x v="0"/>
    <x v="0"/>
    <x v="0"/>
    <x v="0"/>
    <x v="0"/>
    <n v="0"/>
    <n v="0"/>
    <n v="0"/>
    <n v="12"/>
    <x v="1"/>
    <x v="0"/>
    <m/>
    <x v="0"/>
    <n v="119"/>
    <x v="0"/>
    <x v="14"/>
    <x v="4"/>
    <x v="0"/>
    <x v="0"/>
  </r>
  <r>
    <x v="0"/>
    <x v="15"/>
    <s v="5580 J"/>
    <x v="159"/>
    <s v="Javed Enterprises Gujranwala"/>
    <s v="LDN"/>
    <n v="14"/>
    <s v="20-21"/>
    <s v="LDN"/>
    <n v="500"/>
    <x v="0"/>
    <n v="2"/>
    <n v="100"/>
    <n v="3.6"/>
    <m/>
    <x v="0"/>
    <n v="96.4"/>
    <n v="493.29999999999995"/>
    <m/>
    <x v="0"/>
    <x v="13"/>
    <n v="480"/>
    <n v="8"/>
    <x v="0"/>
    <x v="0"/>
    <m/>
    <x v="0"/>
    <x v="0"/>
    <x v="0"/>
    <x v="0"/>
    <x v="0"/>
    <n v="0"/>
    <n v="0"/>
    <n v="8"/>
    <n v="4"/>
    <x v="1"/>
    <x v="0"/>
    <m/>
    <x v="0"/>
    <n v="107"/>
    <x v="0"/>
    <x v="14"/>
    <x v="4"/>
    <x v="0"/>
    <x v="0"/>
  </r>
  <r>
    <x v="1"/>
    <x v="15"/>
    <s v="2823/1"/>
    <x v="159"/>
    <s v="C/O JAVAID SB"/>
    <s v="LDN"/>
    <n v="36"/>
    <n v="3"/>
    <s v="LDN"/>
    <n v="0"/>
    <x v="0"/>
    <n v="19"/>
    <n v="430.88000000000005"/>
    <n v="68.400000000000006"/>
    <n v="17"/>
    <x v="0"/>
    <n v="362.48"/>
    <n v="23186.610000000004"/>
    <m/>
    <x v="0"/>
    <x v="0"/>
    <n v="0"/>
    <n v="0"/>
    <x v="0"/>
    <x v="0"/>
    <m/>
    <x v="0"/>
    <x v="0"/>
    <x v="0"/>
    <x v="0"/>
    <x v="0"/>
    <n v="0"/>
    <n v="0"/>
    <n v="0"/>
    <n v="12"/>
    <x v="1"/>
    <x v="0"/>
    <m/>
    <x v="0"/>
    <n v="437.88000000000005"/>
    <x v="0"/>
    <x v="14"/>
    <x v="4"/>
    <x v="0"/>
    <x v="0"/>
  </r>
  <r>
    <x v="0"/>
    <x v="9"/>
    <s v="5562 J"/>
    <x v="160"/>
    <s v="Usman Arif Butt Gujranwala"/>
    <s v="LDN"/>
    <n v="5"/>
    <n v="10"/>
    <s v="LDN"/>
    <n v="120"/>
    <x v="0"/>
    <n v="4"/>
    <n v="122.92000000000002"/>
    <n v="2"/>
    <n v="3"/>
    <x v="0"/>
    <n v="120.92000000000002"/>
    <n v="120.92000000000002"/>
    <m/>
    <x v="0"/>
    <x v="0"/>
    <n v="0"/>
    <n v="0"/>
    <x v="0"/>
    <x v="0"/>
    <m/>
    <x v="0"/>
    <x v="0"/>
    <x v="0"/>
    <x v="0"/>
    <x v="0"/>
    <n v="0"/>
    <n v="0"/>
    <n v="0"/>
    <n v="12"/>
    <x v="1"/>
    <x v="0"/>
    <m/>
    <x v="0"/>
    <n v="129.92000000000002"/>
    <x v="0"/>
    <x v="14"/>
    <x v="4"/>
    <x v="0"/>
    <x v="0"/>
  </r>
  <r>
    <x v="1"/>
    <x v="9"/>
    <s v="5558 J"/>
    <x v="160"/>
    <s v="Usman Arif Butt Gujranwala"/>
    <s v="LDN"/>
    <n v="5"/>
    <n v="10"/>
    <s v="LDN"/>
    <n v="100"/>
    <x v="0"/>
    <n v="3"/>
    <n v="116.30000000000001"/>
    <n v="2.0999999999999996"/>
    <m/>
    <x v="0"/>
    <n v="114.20000000000002"/>
    <n v="114.20000000000002"/>
    <m/>
    <x v="0"/>
    <x v="1"/>
    <n v="60"/>
    <n v="1"/>
    <x v="0"/>
    <x v="0"/>
    <m/>
    <x v="0"/>
    <x v="0"/>
    <x v="0"/>
    <x v="0"/>
    <x v="0"/>
    <n v="0"/>
    <n v="0"/>
    <n v="1"/>
    <n v="11"/>
    <x v="1"/>
    <x v="0"/>
    <m/>
    <x v="0"/>
    <n v="123.30000000000001"/>
    <x v="0"/>
    <x v="14"/>
    <x v="4"/>
    <x v="0"/>
    <x v="0"/>
  </r>
  <r>
    <x v="0"/>
    <x v="10"/>
    <s v="2783/2"/>
    <x v="160"/>
    <s v="PT-01"/>
    <s v="LD سرخ"/>
    <n v="5"/>
    <n v="80"/>
    <s v="LD سرخ"/>
    <n v="2500"/>
    <x v="0"/>
    <n v="11"/>
    <n v="283.44"/>
    <m/>
    <n v="6"/>
    <x v="0"/>
    <n v="283.44"/>
    <n v="4632.1499999999996"/>
    <m/>
    <x v="0"/>
    <x v="0"/>
    <n v="0"/>
    <n v="0"/>
    <x v="0"/>
    <x v="0"/>
    <m/>
    <x v="0"/>
    <x v="0"/>
    <x v="0"/>
    <x v="0"/>
    <x v="0"/>
    <n v="0"/>
    <n v="0"/>
    <n v="0"/>
    <n v="12"/>
    <x v="1"/>
    <x v="0"/>
    <m/>
    <x v="0"/>
    <n v="290.44"/>
    <x v="0"/>
    <x v="14"/>
    <x v="4"/>
    <x v="0"/>
    <x v="0"/>
  </r>
  <r>
    <x v="1"/>
    <x v="10"/>
    <s v="2783/2"/>
    <x v="160"/>
    <s v="PT-01"/>
    <s v="LD سرخ"/>
    <n v="5"/>
    <n v="80"/>
    <s v="LD سرخ"/>
    <n v="2500"/>
    <x v="0"/>
    <n v="9"/>
    <n v="247.8"/>
    <m/>
    <n v="4"/>
    <x v="0"/>
    <n v="247.8"/>
    <n v="4632.1499999999996"/>
    <m/>
    <x v="0"/>
    <x v="1"/>
    <n v="60"/>
    <n v="1"/>
    <x v="0"/>
    <x v="0"/>
    <m/>
    <x v="0"/>
    <x v="0"/>
    <x v="0"/>
    <x v="0"/>
    <x v="0"/>
    <n v="0"/>
    <n v="0"/>
    <n v="1"/>
    <n v="11"/>
    <x v="1"/>
    <x v="0"/>
    <m/>
    <x v="0"/>
    <n v="254.8"/>
    <x v="0"/>
    <x v="14"/>
    <x v="4"/>
    <x v="0"/>
    <x v="0"/>
  </r>
  <r>
    <x v="0"/>
    <x v="11"/>
    <s v="5299 J"/>
    <x v="160"/>
    <s v="Head Office Lahore"/>
    <s v="LD رنگدار"/>
    <s v="32 شیٹ"/>
    <s v="5.5-6/11-12"/>
    <s v="LDM"/>
    <n v="800"/>
    <x v="0"/>
    <n v="2"/>
    <n v="143.4"/>
    <n v="4"/>
    <m/>
    <x v="0"/>
    <n v="139.4"/>
    <n v="670.95"/>
    <n v="3"/>
    <x v="0"/>
    <x v="0"/>
    <n v="3"/>
    <n v="0.05"/>
    <x v="0"/>
    <x v="0"/>
    <m/>
    <x v="0"/>
    <x v="0"/>
    <x v="0"/>
    <x v="0"/>
    <x v="0"/>
    <n v="0"/>
    <n v="0"/>
    <n v="0.05"/>
    <n v="11.95"/>
    <x v="1"/>
    <x v="0"/>
    <m/>
    <x v="0"/>
    <n v="150.4"/>
    <x v="0"/>
    <x v="14"/>
    <x v="4"/>
    <x v="0"/>
    <x v="0"/>
  </r>
  <r>
    <x v="0"/>
    <x v="11"/>
    <s v="5581 J"/>
    <x v="160"/>
    <s v="Javed Enterprises Gujranwala"/>
    <s v="LDپیلا"/>
    <n v="14"/>
    <s v="20-21"/>
    <s v="LDN"/>
    <n v="400"/>
    <x v="0"/>
    <n v="4"/>
    <n v="321.2"/>
    <n v="7.1000000000000005"/>
    <m/>
    <x v="0"/>
    <n v="314.09999999999997"/>
    <n v="432.79999999999995"/>
    <m/>
    <x v="0"/>
    <x v="0"/>
    <n v="0"/>
    <n v="0"/>
    <x v="0"/>
    <x v="0"/>
    <m/>
    <x v="0"/>
    <x v="0"/>
    <x v="0"/>
    <x v="0"/>
    <x v="0"/>
    <n v="0"/>
    <n v="0"/>
    <n v="0"/>
    <n v="12"/>
    <x v="1"/>
    <x v="0"/>
    <m/>
    <x v="0"/>
    <n v="328.2"/>
    <x v="0"/>
    <x v="14"/>
    <x v="4"/>
    <x v="0"/>
    <x v="0"/>
  </r>
  <r>
    <x v="1"/>
    <x v="11"/>
    <s v="5581 J"/>
    <x v="160"/>
    <s v="Javed Enterprises Gujranwala"/>
    <s v="LDپیلا"/>
    <n v="14"/>
    <s v="20-21"/>
    <s v="LDN"/>
    <n v="400"/>
    <x v="0"/>
    <n v="1"/>
    <n v="58.6"/>
    <n v="1.6"/>
    <m/>
    <x v="0"/>
    <n v="57"/>
    <n v="432.79999999999995"/>
    <m/>
    <x v="0"/>
    <x v="14"/>
    <n v="600"/>
    <n v="10"/>
    <x v="0"/>
    <x v="0"/>
    <m/>
    <x v="0"/>
    <x v="0"/>
    <x v="0"/>
    <x v="0"/>
    <x v="0"/>
    <n v="0"/>
    <n v="0"/>
    <n v="10"/>
    <n v="2"/>
    <x v="1"/>
    <x v="0"/>
    <m/>
    <x v="0"/>
    <n v="65.599999999999994"/>
    <x v="0"/>
    <x v="14"/>
    <x v="4"/>
    <x v="0"/>
    <x v="0"/>
  </r>
  <r>
    <x v="0"/>
    <x v="13"/>
    <s v="2477 F"/>
    <x v="160"/>
    <s v="Usman Amin"/>
    <s v="LDN"/>
    <n v="17"/>
    <s v="7"/>
    <s v="LDN"/>
    <n v="190"/>
    <x v="0"/>
    <n v="1"/>
    <n v="56.6"/>
    <n v="2.1"/>
    <n v="8"/>
    <x v="0"/>
    <n v="54.5"/>
    <n v="199.95000000000002"/>
    <m/>
    <x v="0"/>
    <x v="0"/>
    <n v="0"/>
    <n v="0"/>
    <x v="0"/>
    <x v="0"/>
    <m/>
    <x v="0"/>
    <x v="0"/>
    <x v="0"/>
    <x v="0"/>
    <x v="0"/>
    <n v="0"/>
    <n v="0"/>
    <n v="0"/>
    <n v="12"/>
    <x v="1"/>
    <x v="0"/>
    <m/>
    <x v="0"/>
    <n v="63.6"/>
    <x v="0"/>
    <x v="14"/>
    <x v="4"/>
    <x v="0"/>
    <x v="0"/>
  </r>
  <r>
    <x v="0"/>
    <x v="13"/>
    <s v="2475 F"/>
    <x v="160"/>
    <s v="Usman Amin"/>
    <s v="LDN"/>
    <n v="27"/>
    <s v="7"/>
    <s v="LDN"/>
    <n v="95"/>
    <x v="0"/>
    <n v="2"/>
    <n v="139.80000000000001"/>
    <n v="7.6"/>
    <m/>
    <x v="0"/>
    <n v="132.20000000000002"/>
    <n v="132.20000000000002"/>
    <m/>
    <x v="0"/>
    <x v="0"/>
    <n v="0"/>
    <n v="0"/>
    <x v="0"/>
    <x v="0"/>
    <m/>
    <x v="0"/>
    <x v="0"/>
    <x v="0"/>
    <x v="0"/>
    <x v="0"/>
    <n v="0"/>
    <n v="0"/>
    <n v="0"/>
    <n v="12"/>
    <x v="1"/>
    <x v="0"/>
    <m/>
    <x v="0"/>
    <n v="146.80000000000001"/>
    <x v="0"/>
    <x v="14"/>
    <x v="4"/>
    <x v="0"/>
    <x v="0"/>
  </r>
  <r>
    <x v="0"/>
    <x v="13"/>
    <s v="2474 F"/>
    <x v="160"/>
    <s v="Usman Amin"/>
    <s v="LDN"/>
    <n v="25.5"/>
    <s v="7"/>
    <s v="LDN"/>
    <n v="140"/>
    <x v="0"/>
    <n v="2"/>
    <n v="140.1"/>
    <n v="6"/>
    <m/>
    <x v="0"/>
    <n v="134.1"/>
    <n v="134.1"/>
    <m/>
    <x v="0"/>
    <x v="0"/>
    <n v="0"/>
    <n v="0"/>
    <x v="0"/>
    <x v="0"/>
    <m/>
    <x v="0"/>
    <x v="0"/>
    <x v="0"/>
    <x v="0"/>
    <x v="0"/>
    <n v="0"/>
    <n v="0"/>
    <n v="0"/>
    <n v="12"/>
    <x v="1"/>
    <x v="0"/>
    <m/>
    <x v="0"/>
    <n v="147.1"/>
    <x v="0"/>
    <x v="14"/>
    <x v="4"/>
    <x v="0"/>
    <x v="0"/>
  </r>
  <r>
    <x v="0"/>
    <x v="13"/>
    <s v="5556 J"/>
    <x v="160"/>
    <s v="Usman Arif Butt Gujranwala"/>
    <s v="LDN"/>
    <n v="20"/>
    <s v="6"/>
    <s v="LDN"/>
    <n v="100"/>
    <x v="0"/>
    <n v="1"/>
    <n v="36.6"/>
    <n v="2.8"/>
    <m/>
    <x v="0"/>
    <n v="33.800000000000004"/>
    <n v="98.4"/>
    <m/>
    <x v="0"/>
    <x v="0"/>
    <n v="0"/>
    <n v="0"/>
    <x v="0"/>
    <x v="0"/>
    <m/>
    <x v="0"/>
    <x v="0"/>
    <x v="0"/>
    <x v="0"/>
    <x v="0"/>
    <n v="0"/>
    <n v="0"/>
    <n v="0"/>
    <n v="12"/>
    <x v="1"/>
    <x v="0"/>
    <m/>
    <x v="0"/>
    <n v="43.6"/>
    <x v="0"/>
    <x v="14"/>
    <x v="4"/>
    <x v="0"/>
    <x v="0"/>
  </r>
  <r>
    <x v="1"/>
    <x v="13"/>
    <s v="5556 J"/>
    <x v="160"/>
    <s v="Usman Arif Butt Gujranwala"/>
    <s v="LDN"/>
    <n v="20"/>
    <s v="6"/>
    <s v="LDN"/>
    <n v="100"/>
    <x v="0"/>
    <n v="1"/>
    <n v="67"/>
    <n v="2.4"/>
    <n v="5"/>
    <x v="0"/>
    <n v="64.599999999999994"/>
    <n v="98.4"/>
    <m/>
    <x v="0"/>
    <x v="1"/>
    <n v="60"/>
    <n v="1"/>
    <x v="0"/>
    <x v="0"/>
    <m/>
    <x v="0"/>
    <x v="0"/>
    <x v="0"/>
    <x v="0"/>
    <x v="0"/>
    <n v="0"/>
    <n v="0"/>
    <n v="1"/>
    <n v="11"/>
    <x v="1"/>
    <x v="0"/>
    <m/>
    <x v="0"/>
    <n v="74"/>
    <x v="0"/>
    <x v="14"/>
    <x v="4"/>
    <x v="0"/>
    <x v="0"/>
  </r>
  <r>
    <x v="1"/>
    <x v="13"/>
    <s v="5580 J"/>
    <x v="160"/>
    <s v="Javed Enterprises Gujranwala"/>
    <s v="LDN"/>
    <n v="14"/>
    <s v="20-21"/>
    <s v="LDN"/>
    <n v="500"/>
    <x v="0"/>
    <n v="2"/>
    <n v="111.6"/>
    <n v="3.2"/>
    <m/>
    <x v="0"/>
    <n v="108.39999999999999"/>
    <n v="493.29999999999995"/>
    <m/>
    <x v="0"/>
    <x v="0"/>
    <n v="0"/>
    <n v="0"/>
    <x v="0"/>
    <x v="0"/>
    <m/>
    <x v="0"/>
    <x v="0"/>
    <x v="0"/>
    <x v="0"/>
    <x v="0"/>
    <n v="0"/>
    <n v="0"/>
    <n v="0"/>
    <n v="12"/>
    <x v="1"/>
    <x v="0"/>
    <m/>
    <x v="0"/>
    <n v="118.6"/>
    <x v="0"/>
    <x v="14"/>
    <x v="4"/>
    <x v="0"/>
    <x v="0"/>
  </r>
  <r>
    <x v="1"/>
    <x v="13"/>
    <s v="5546 J"/>
    <x v="160"/>
    <s v="Get Smart Dry Cleaner Khushab"/>
    <s v="LDN"/>
    <n v="14"/>
    <s v="4.5-5"/>
    <s v="LDN"/>
    <n v="100"/>
    <x v="0"/>
    <n v="3"/>
    <n v="97.9"/>
    <n v="4.8000000000000007"/>
    <m/>
    <x v="0"/>
    <n v="93.100000000000009"/>
    <n v="93.100000000000009"/>
    <m/>
    <x v="0"/>
    <x v="0"/>
    <n v="0"/>
    <n v="0"/>
    <x v="0"/>
    <x v="0"/>
    <m/>
    <x v="0"/>
    <x v="0"/>
    <x v="0"/>
    <x v="0"/>
    <x v="0"/>
    <n v="0"/>
    <n v="0"/>
    <n v="0"/>
    <n v="12"/>
    <x v="1"/>
    <x v="0"/>
    <m/>
    <x v="0"/>
    <n v="104.9"/>
    <x v="0"/>
    <x v="14"/>
    <x v="4"/>
    <x v="0"/>
    <x v="0"/>
  </r>
  <r>
    <x v="0"/>
    <x v="12"/>
    <s v="2823/1"/>
    <x v="160"/>
    <s v="C/O JAVAID SB"/>
    <s v="LDN"/>
    <n v="36"/>
    <n v="3"/>
    <s v="LDN"/>
    <n v="0"/>
    <x v="0"/>
    <n v="11"/>
    <n v="234.73999999999995"/>
    <m/>
    <m/>
    <x v="0"/>
    <n v="234.73999999999995"/>
    <n v="23186.610000000004"/>
    <m/>
    <x v="9"/>
    <x v="0"/>
    <n v="240"/>
    <n v="4"/>
    <x v="0"/>
    <x v="0"/>
    <m/>
    <x v="0"/>
    <x v="0"/>
    <x v="0"/>
    <x v="0"/>
    <x v="0"/>
    <n v="0"/>
    <n v="0"/>
    <n v="4"/>
    <n v="8"/>
    <x v="1"/>
    <x v="0"/>
    <m/>
    <x v="0"/>
    <n v="241.73999999999995"/>
    <x v="0"/>
    <x v="14"/>
    <x v="4"/>
    <x v="0"/>
    <x v="0"/>
  </r>
  <r>
    <x v="0"/>
    <x v="12"/>
    <s v="PACKING"/>
    <x v="160"/>
    <s v="PACKING "/>
    <m/>
    <m/>
    <m/>
    <m/>
    <m/>
    <x v="0"/>
    <n v="1"/>
    <n v="175"/>
    <m/>
    <n v="77"/>
    <x v="0"/>
    <n v="175"/>
    <n v="2074.5"/>
    <m/>
    <x v="0"/>
    <x v="0"/>
    <n v="0"/>
    <n v="0"/>
    <x v="0"/>
    <x v="0"/>
    <m/>
    <x v="0"/>
    <x v="0"/>
    <x v="0"/>
    <x v="0"/>
    <x v="0"/>
    <n v="0"/>
    <n v="0"/>
    <n v="0"/>
    <n v="12"/>
    <x v="1"/>
    <x v="0"/>
    <m/>
    <x v="0"/>
    <n v="182"/>
    <x v="0"/>
    <x v="14"/>
    <x v="4"/>
    <x v="0"/>
    <x v="0"/>
  </r>
  <r>
    <x v="1"/>
    <x v="12"/>
    <s v="2823/1"/>
    <x v="160"/>
    <s v="C/O JAVAID SB"/>
    <s v="LDN"/>
    <n v="36"/>
    <n v="3"/>
    <s v="LDN"/>
    <n v="0"/>
    <x v="0"/>
    <n v="24"/>
    <n v="511.6099999999999"/>
    <m/>
    <n v="60"/>
    <x v="0"/>
    <n v="511.6099999999999"/>
    <n v="23186.610000000004"/>
    <m/>
    <x v="0"/>
    <x v="0"/>
    <n v="0"/>
    <n v="0"/>
    <x v="0"/>
    <x v="0"/>
    <n v="30"/>
    <x v="0"/>
    <x v="0"/>
    <x v="0"/>
    <x v="0"/>
    <x v="0"/>
    <n v="30"/>
    <n v="0.5"/>
    <n v="0.5"/>
    <n v="11.5"/>
    <x v="1"/>
    <x v="0"/>
    <m/>
    <x v="0"/>
    <n v="518.6099999999999"/>
    <x v="0"/>
    <x v="14"/>
    <x v="4"/>
    <x v="0"/>
    <x v="0"/>
  </r>
  <r>
    <x v="0"/>
    <x v="14"/>
    <s v="5545 J"/>
    <x v="160"/>
    <s v="Get Smart Dry Cleaner Khushab"/>
    <s v="LDN"/>
    <n v="25"/>
    <s v="4.5-5"/>
    <s v="LDN"/>
    <n v="100"/>
    <x v="0"/>
    <n v="2"/>
    <n v="72.539999999999992"/>
    <n v="5"/>
    <n v="10"/>
    <x v="0"/>
    <n v="67.539999999999992"/>
    <n v="90.339999999999989"/>
    <m/>
    <x v="0"/>
    <x v="0"/>
    <n v="0"/>
    <n v="0"/>
    <x v="0"/>
    <x v="0"/>
    <m/>
    <x v="0"/>
    <x v="0"/>
    <x v="0"/>
    <x v="0"/>
    <x v="0"/>
    <n v="0"/>
    <n v="0"/>
    <n v="0"/>
    <n v="12"/>
    <x v="1"/>
    <x v="0"/>
    <m/>
    <x v="0"/>
    <n v="79.539999999999992"/>
    <x v="0"/>
    <x v="14"/>
    <x v="4"/>
    <x v="0"/>
    <x v="0"/>
  </r>
  <r>
    <x v="0"/>
    <x v="14"/>
    <s v="5544 J"/>
    <x v="160"/>
    <s v="Get Smart Dry Cleaner Khushab"/>
    <s v="LDN"/>
    <n v="24"/>
    <s v="4.5-5"/>
    <s v="LDN"/>
    <n v="100"/>
    <x v="0"/>
    <n v="3"/>
    <n v="102.82"/>
    <n v="7.1999999999999993"/>
    <m/>
    <x v="0"/>
    <n v="95.61999999999999"/>
    <n v="95.61999999999999"/>
    <m/>
    <x v="0"/>
    <x v="0"/>
    <n v="0"/>
    <n v="0"/>
    <x v="0"/>
    <x v="0"/>
    <m/>
    <x v="0"/>
    <x v="0"/>
    <x v="0"/>
    <x v="0"/>
    <x v="0"/>
    <n v="0"/>
    <n v="0"/>
    <n v="0"/>
    <n v="12"/>
    <x v="1"/>
    <x v="0"/>
    <m/>
    <x v="0"/>
    <n v="109.82"/>
    <x v="0"/>
    <x v="14"/>
    <x v="4"/>
    <x v="0"/>
    <x v="0"/>
  </r>
  <r>
    <x v="0"/>
    <x v="14"/>
    <s v="5525 J"/>
    <x v="160"/>
    <s v="H.A Industries Peshawar"/>
    <s v="LDN"/>
    <n v="22"/>
    <s v="-"/>
    <s v="LDN"/>
    <n v="130"/>
    <x v="0"/>
    <n v="2"/>
    <n v="138.73000000000002"/>
    <n v="5.2"/>
    <m/>
    <x v="0"/>
    <n v="133.53000000000003"/>
    <n v="133.53000000000003"/>
    <m/>
    <x v="0"/>
    <x v="0"/>
    <n v="0"/>
    <n v="0"/>
    <x v="0"/>
    <x v="0"/>
    <m/>
    <x v="0"/>
    <x v="0"/>
    <x v="0"/>
    <x v="0"/>
    <x v="0"/>
    <n v="0"/>
    <n v="0"/>
    <n v="0"/>
    <n v="12"/>
    <x v="1"/>
    <x v="0"/>
    <m/>
    <x v="0"/>
    <n v="145.73000000000002"/>
    <x v="0"/>
    <x v="14"/>
    <x v="4"/>
    <x v="0"/>
    <x v="0"/>
  </r>
  <r>
    <x v="0"/>
    <x v="14"/>
    <s v="5526 J"/>
    <x v="160"/>
    <s v="H.A Industry Peshawar"/>
    <s v="LDN"/>
    <n v="22"/>
    <s v="-"/>
    <s v="LDN"/>
    <n v="900"/>
    <x v="0"/>
    <n v="4"/>
    <n v="218.89000000000001"/>
    <n v="10.4"/>
    <m/>
    <x v="0"/>
    <n v="208.49"/>
    <n v="860.15"/>
    <m/>
    <x v="0"/>
    <x v="0"/>
    <n v="0"/>
    <n v="0"/>
    <x v="0"/>
    <x v="0"/>
    <m/>
    <x v="0"/>
    <x v="0"/>
    <x v="0"/>
    <x v="0"/>
    <x v="0"/>
    <n v="0"/>
    <n v="0"/>
    <n v="0"/>
    <n v="12"/>
    <x v="1"/>
    <x v="0"/>
    <m/>
    <x v="0"/>
    <n v="225.89000000000001"/>
    <x v="0"/>
    <x v="14"/>
    <x v="4"/>
    <x v="0"/>
    <x v="0"/>
  </r>
  <r>
    <x v="1"/>
    <x v="14"/>
    <s v="5526 J"/>
    <x v="160"/>
    <s v="H.A Industry Peshawar"/>
    <s v="LDN"/>
    <n v="22"/>
    <s v="-"/>
    <s v="LDN"/>
    <n v="900"/>
    <x v="0"/>
    <n v="9"/>
    <n v="441.7"/>
    <n v="23.400000000000002"/>
    <m/>
    <x v="0"/>
    <n v="418.3"/>
    <n v="860.15"/>
    <m/>
    <x v="0"/>
    <x v="1"/>
    <n v="60"/>
    <n v="1"/>
    <x v="0"/>
    <x v="0"/>
    <m/>
    <x v="0"/>
    <x v="0"/>
    <x v="0"/>
    <x v="0"/>
    <x v="0"/>
    <n v="0"/>
    <n v="0"/>
    <n v="1"/>
    <n v="11"/>
    <x v="1"/>
    <x v="0"/>
    <m/>
    <x v="0"/>
    <n v="448.7"/>
    <x v="0"/>
    <x v="14"/>
    <x v="4"/>
    <x v="0"/>
    <x v="0"/>
  </r>
  <r>
    <x v="0"/>
    <x v="15"/>
    <s v="2823/1"/>
    <x v="160"/>
    <s v="C/O JAVAID SB"/>
    <s v="LDN"/>
    <n v="36"/>
    <n v="3"/>
    <s v="LDN"/>
    <n v="0"/>
    <x v="0"/>
    <n v="24"/>
    <n v="521.87999999999988"/>
    <m/>
    <n v="14.2"/>
    <x v="0"/>
    <n v="521.87999999999988"/>
    <n v="23186.610000000004"/>
    <m/>
    <x v="0"/>
    <x v="0"/>
    <n v="0"/>
    <n v="0"/>
    <x v="0"/>
    <x v="0"/>
    <m/>
    <x v="0"/>
    <x v="0"/>
    <x v="0"/>
    <x v="0"/>
    <x v="0"/>
    <n v="0"/>
    <n v="0"/>
    <n v="0"/>
    <n v="12"/>
    <x v="1"/>
    <x v="0"/>
    <m/>
    <x v="0"/>
    <n v="528.87999999999988"/>
    <x v="0"/>
    <x v="14"/>
    <x v="4"/>
    <x v="0"/>
    <x v="0"/>
  </r>
  <r>
    <x v="1"/>
    <x v="15"/>
    <s v="2823/1"/>
    <x v="160"/>
    <s v="C/O JAVAID SB"/>
    <s v="LDN"/>
    <n v="36"/>
    <n v="3"/>
    <s v="LDN"/>
    <n v="0"/>
    <x v="0"/>
    <n v="25"/>
    <n v="504.24999999999983"/>
    <m/>
    <n v="7"/>
    <x v="0"/>
    <n v="504.24999999999983"/>
    <n v="23186.610000000004"/>
    <m/>
    <x v="0"/>
    <x v="0"/>
    <n v="0"/>
    <n v="0"/>
    <x v="0"/>
    <x v="0"/>
    <m/>
    <x v="0"/>
    <x v="0"/>
    <x v="0"/>
    <x v="0"/>
    <x v="0"/>
    <n v="0"/>
    <n v="0"/>
    <n v="0"/>
    <n v="12"/>
    <x v="1"/>
    <x v="0"/>
    <m/>
    <x v="0"/>
    <n v="511.24999999999983"/>
    <x v="0"/>
    <x v="14"/>
    <x v="4"/>
    <x v="0"/>
    <x v="0"/>
  </r>
  <r>
    <x v="0"/>
    <x v="12"/>
    <s v="2823/1"/>
    <x v="161"/>
    <s v="C/O JAVAID SB"/>
    <s v="LDN"/>
    <n v="36"/>
    <n v="3"/>
    <s v="LDN"/>
    <n v="0"/>
    <x v="0"/>
    <n v="34"/>
    <n v="879.46999999999969"/>
    <m/>
    <n v="19"/>
    <x v="0"/>
    <n v="879.46999999999969"/>
    <n v="23186.610000000004"/>
    <m/>
    <x v="0"/>
    <x v="0"/>
    <n v="0"/>
    <n v="0"/>
    <x v="0"/>
    <x v="0"/>
    <m/>
    <x v="0"/>
    <x v="0"/>
    <x v="0"/>
    <x v="0"/>
    <x v="0"/>
    <n v="0"/>
    <n v="0"/>
    <n v="0"/>
    <n v="12"/>
    <x v="1"/>
    <x v="0"/>
    <m/>
    <x v="0"/>
    <n v="886.46999999999969"/>
    <x v="0"/>
    <x v="14"/>
    <x v="4"/>
    <x v="0"/>
    <x v="0"/>
  </r>
  <r>
    <x v="1"/>
    <x v="12"/>
    <s v="2823/1"/>
    <x v="161"/>
    <s v="C/O JAVAID SB"/>
    <s v="LDN"/>
    <n v="36"/>
    <n v="3"/>
    <s v="LDN"/>
    <n v="0"/>
    <x v="0"/>
    <n v="37"/>
    <n v="781.28999999999974"/>
    <m/>
    <n v="55"/>
    <x v="0"/>
    <n v="781.28999999999974"/>
    <n v="23186.610000000004"/>
    <m/>
    <x v="0"/>
    <x v="0"/>
    <n v="0"/>
    <n v="0"/>
    <x v="0"/>
    <x v="0"/>
    <m/>
    <x v="7"/>
    <x v="0"/>
    <x v="0"/>
    <x v="1"/>
    <x v="0"/>
    <n v="60"/>
    <n v="1"/>
    <n v="1"/>
    <n v="11"/>
    <x v="1"/>
    <x v="0"/>
    <m/>
    <x v="0"/>
    <n v="788.28999999999974"/>
    <x v="0"/>
    <x v="14"/>
    <x v="4"/>
    <x v="0"/>
    <x v="0"/>
  </r>
  <r>
    <x v="0"/>
    <x v="15"/>
    <s v="2823/1"/>
    <x v="161"/>
    <s v="C/O JAVAID SB"/>
    <s v="LDN"/>
    <n v="36"/>
    <n v="3"/>
    <s v="LDN"/>
    <n v="0"/>
    <x v="0"/>
    <n v="27"/>
    <n v="567.13"/>
    <m/>
    <n v="10"/>
    <x v="0"/>
    <n v="567.13"/>
    <n v="23186.610000000004"/>
    <m/>
    <x v="0"/>
    <x v="0"/>
    <n v="0"/>
    <n v="0"/>
    <x v="0"/>
    <x v="0"/>
    <m/>
    <x v="0"/>
    <x v="0"/>
    <x v="0"/>
    <x v="0"/>
    <x v="0"/>
    <n v="0"/>
    <n v="0"/>
    <n v="0"/>
    <n v="12"/>
    <x v="1"/>
    <x v="0"/>
    <m/>
    <x v="0"/>
    <n v="574.13"/>
    <x v="0"/>
    <x v="14"/>
    <x v="4"/>
    <x v="0"/>
    <x v="0"/>
  </r>
  <r>
    <x v="1"/>
    <x v="15"/>
    <s v="2288 F"/>
    <x v="161"/>
    <s v="Usman Amin"/>
    <s v="LDN"/>
    <n v="17"/>
    <s v="7.5-8"/>
    <s v="LDN"/>
    <n v="170"/>
    <x v="0"/>
    <n v="5"/>
    <n v="324.41999999999996"/>
    <m/>
    <n v="15"/>
    <x v="0"/>
    <n v="324.41999999999996"/>
    <n v="515.83999999999992"/>
    <m/>
    <x v="0"/>
    <x v="0"/>
    <n v="0"/>
    <n v="0"/>
    <x v="0"/>
    <x v="0"/>
    <m/>
    <x v="0"/>
    <x v="0"/>
    <x v="0"/>
    <x v="0"/>
    <x v="0"/>
    <n v="0"/>
    <n v="0"/>
    <n v="0"/>
    <n v="12"/>
    <x v="1"/>
    <x v="0"/>
    <m/>
    <x v="0"/>
    <n v="331.41999999999996"/>
    <x v="0"/>
    <x v="14"/>
    <x v="4"/>
    <x v="0"/>
    <x v="0"/>
  </r>
  <r>
    <x v="1"/>
    <x v="15"/>
    <s v="2823/1"/>
    <x v="161"/>
    <s v="C/O JAVAID SB"/>
    <s v="LDN"/>
    <n v="36"/>
    <n v="3"/>
    <s v="LDN"/>
    <n v="0"/>
    <x v="0"/>
    <n v="13"/>
    <n v="277.99"/>
    <m/>
    <m/>
    <x v="0"/>
    <n v="277.99"/>
    <n v="23186.610000000004"/>
    <m/>
    <x v="0"/>
    <x v="0"/>
    <n v="0"/>
    <n v="0"/>
    <x v="0"/>
    <x v="0"/>
    <m/>
    <x v="0"/>
    <x v="0"/>
    <x v="0"/>
    <x v="0"/>
    <x v="0"/>
    <n v="0"/>
    <n v="0"/>
    <n v="0"/>
    <n v="12"/>
    <x v="1"/>
    <x v="0"/>
    <m/>
    <x v="0"/>
    <n v="284.99"/>
    <x v="0"/>
    <x v="14"/>
    <x v="4"/>
    <x v="0"/>
    <x v="0"/>
  </r>
  <r>
    <x v="0"/>
    <x v="12"/>
    <s v="2823/1"/>
    <x v="162"/>
    <s v="C/O JAVAID SB"/>
    <s v="LDN"/>
    <n v="36"/>
    <n v="3"/>
    <s v="LDN"/>
    <n v="0"/>
    <x v="0"/>
    <n v="20"/>
    <n v="446.74"/>
    <m/>
    <n v="22"/>
    <x v="0"/>
    <n v="446.74"/>
    <n v="23186.610000000004"/>
    <m/>
    <x v="0"/>
    <x v="0"/>
    <n v="0"/>
    <n v="0"/>
    <x v="0"/>
    <x v="0"/>
    <m/>
    <x v="0"/>
    <x v="0"/>
    <x v="0"/>
    <x v="0"/>
    <x v="0"/>
    <n v="0"/>
    <n v="0"/>
    <n v="0"/>
    <n v="12"/>
    <x v="1"/>
    <x v="0"/>
    <m/>
    <x v="0"/>
    <n v="453.74"/>
    <x v="0"/>
    <x v="14"/>
    <x v="4"/>
    <x v="0"/>
    <x v="0"/>
  </r>
  <r>
    <x v="0"/>
    <x v="12"/>
    <s v="2823/2"/>
    <x v="162"/>
    <s v="C/O JAVAID SB"/>
    <s v="LDN"/>
    <n v="42"/>
    <n v="3"/>
    <s v="LDN"/>
    <n v="0"/>
    <x v="0"/>
    <n v="17"/>
    <n v="440.07000000000005"/>
    <m/>
    <m/>
    <x v="0"/>
    <n v="440.07000000000005"/>
    <n v="30037.069999999996"/>
    <m/>
    <x v="0"/>
    <x v="0"/>
    <n v="0"/>
    <n v="0"/>
    <x v="0"/>
    <x v="0"/>
    <m/>
    <x v="0"/>
    <x v="0"/>
    <x v="0"/>
    <x v="0"/>
    <x v="0"/>
    <n v="0"/>
    <n v="0"/>
    <n v="0"/>
    <n v="12"/>
    <x v="1"/>
    <x v="0"/>
    <m/>
    <x v="0"/>
    <n v="447.07000000000005"/>
    <x v="0"/>
    <x v="14"/>
    <x v="4"/>
    <x v="0"/>
    <x v="0"/>
  </r>
  <r>
    <x v="1"/>
    <x v="12"/>
    <s v="2823/2"/>
    <x v="162"/>
    <s v="C/O JAVAID SB"/>
    <s v="LDN"/>
    <n v="42"/>
    <n v="3"/>
    <s v="LDN"/>
    <n v="0"/>
    <x v="0"/>
    <n v="37"/>
    <n v="925.07999999999981"/>
    <m/>
    <n v="76"/>
    <x v="0"/>
    <n v="925.07999999999981"/>
    <n v="30037.069999999996"/>
    <m/>
    <x v="0"/>
    <x v="0"/>
    <n v="0"/>
    <n v="0"/>
    <x v="0"/>
    <x v="0"/>
    <m/>
    <x v="10"/>
    <x v="0"/>
    <x v="0"/>
    <x v="1"/>
    <x v="0"/>
    <n v="70"/>
    <n v="1.1666666666666667"/>
    <n v="1.1666666666666667"/>
    <n v="10.833333333333334"/>
    <x v="1"/>
    <x v="0"/>
    <m/>
    <x v="0"/>
    <n v="932.07999999999981"/>
    <x v="0"/>
    <x v="14"/>
    <x v="4"/>
    <x v="0"/>
    <x v="0"/>
  </r>
  <r>
    <x v="0"/>
    <x v="14"/>
    <s v="5462 J"/>
    <x v="162"/>
    <s v="Jilani Poly Stock"/>
    <s v="LDN"/>
    <s v="26&quot; شیٹ"/>
    <s v="8-8.5/16-17"/>
    <s v="LDN"/>
    <n v="500"/>
    <x v="0"/>
    <n v="4"/>
    <n v="406.59999999999997"/>
    <n v="15.2"/>
    <n v="56"/>
    <x v="0"/>
    <n v="391.4"/>
    <n v="391.4"/>
    <n v="5"/>
    <x v="9"/>
    <x v="0"/>
    <n v="245"/>
    <n v="4.083333333333333"/>
    <x v="0"/>
    <x v="0"/>
    <m/>
    <x v="0"/>
    <x v="0"/>
    <x v="0"/>
    <x v="0"/>
    <x v="0"/>
    <n v="0"/>
    <n v="0"/>
    <n v="4.083333333333333"/>
    <n v="7.916666666666667"/>
    <x v="1"/>
    <x v="0"/>
    <m/>
    <x v="0"/>
    <n v="413.59999999999997"/>
    <x v="0"/>
    <x v="14"/>
    <x v="4"/>
    <x v="0"/>
    <x v="0"/>
  </r>
  <r>
    <x v="0"/>
    <x v="14"/>
    <s v="2489 F"/>
    <x v="162"/>
    <s v="Usman Amin"/>
    <s v="LDN"/>
    <n v="30"/>
    <s v="7"/>
    <s v="LDN"/>
    <n v="140"/>
    <x v="0"/>
    <n v="1"/>
    <n v="63.1"/>
    <n v="23.5"/>
    <m/>
    <x v="0"/>
    <n v="39.6"/>
    <n v="212.79999999999998"/>
    <m/>
    <x v="0"/>
    <x v="0"/>
    <n v="0"/>
    <n v="0"/>
    <x v="0"/>
    <x v="0"/>
    <m/>
    <x v="0"/>
    <x v="0"/>
    <x v="0"/>
    <x v="0"/>
    <x v="0"/>
    <n v="0"/>
    <n v="0"/>
    <n v="0"/>
    <n v="12"/>
    <x v="1"/>
    <x v="0"/>
    <m/>
    <x v="0"/>
    <n v="70.099999999999994"/>
    <x v="0"/>
    <x v="14"/>
    <x v="4"/>
    <x v="0"/>
    <x v="0"/>
  </r>
  <r>
    <x v="1"/>
    <x v="14"/>
    <s v="2489 F"/>
    <x v="162"/>
    <s v="Usman Amin"/>
    <s v="LDN"/>
    <n v="30"/>
    <s v="7"/>
    <s v="LDN"/>
    <n v="140"/>
    <x v="0"/>
    <n v="3"/>
    <n v="184.6"/>
    <n v="11.399999999999999"/>
    <n v="18"/>
    <x v="0"/>
    <n v="173.2"/>
    <n v="212.79999999999998"/>
    <n v="5"/>
    <x v="0"/>
    <x v="0"/>
    <n v="5"/>
    <n v="8.3333333333333329E-2"/>
    <x v="0"/>
    <x v="0"/>
    <m/>
    <x v="0"/>
    <x v="0"/>
    <x v="0"/>
    <x v="0"/>
    <x v="0"/>
    <n v="0"/>
    <n v="0"/>
    <n v="8.3333333333333329E-2"/>
    <n v="11.916666666666666"/>
    <x v="1"/>
    <x v="0"/>
    <m/>
    <x v="0"/>
    <n v="191.6"/>
    <x v="0"/>
    <x v="14"/>
    <x v="4"/>
    <x v="0"/>
    <x v="0"/>
  </r>
  <r>
    <x v="1"/>
    <x v="14"/>
    <s v="2480 F"/>
    <x v="162"/>
    <s v="Usman Amin"/>
    <s v="LDN"/>
    <n v="19"/>
    <s v="12"/>
    <s v="LDN"/>
    <n v="200"/>
    <x v="0"/>
    <n v="4"/>
    <n v="237.29999999999998"/>
    <n v="9.6"/>
    <m/>
    <x v="0"/>
    <n v="227.7"/>
    <n v="227.7"/>
    <n v="5"/>
    <x v="0"/>
    <x v="0"/>
    <n v="5"/>
    <n v="8.3333333333333329E-2"/>
    <x v="0"/>
    <x v="0"/>
    <m/>
    <x v="0"/>
    <x v="0"/>
    <x v="0"/>
    <x v="0"/>
    <x v="0"/>
    <n v="0"/>
    <n v="0"/>
    <n v="8.3333333333333329E-2"/>
    <n v="11.916666666666666"/>
    <x v="1"/>
    <x v="0"/>
    <m/>
    <x v="0"/>
    <n v="244.29999999999998"/>
    <x v="0"/>
    <x v="14"/>
    <x v="4"/>
    <x v="0"/>
    <x v="0"/>
  </r>
  <r>
    <x v="1"/>
    <x v="14"/>
    <s v="5570 J"/>
    <x v="162"/>
    <s v="Emarat Plastic Chong "/>
    <s v="LDN"/>
    <s v="18&quot; شیٹ"/>
    <n v="8"/>
    <s v="LDN"/>
    <n v="100"/>
    <x v="0"/>
    <n v="2"/>
    <n v="108.1"/>
    <n v="4.2"/>
    <m/>
    <x v="0"/>
    <n v="103.89999999999999"/>
    <n v="103.89999999999999"/>
    <n v="5"/>
    <x v="0"/>
    <x v="0"/>
    <n v="5"/>
    <n v="8.3333333333333329E-2"/>
    <x v="0"/>
    <x v="0"/>
    <m/>
    <x v="0"/>
    <x v="0"/>
    <x v="0"/>
    <x v="0"/>
    <x v="0"/>
    <n v="0"/>
    <n v="0"/>
    <n v="8.3333333333333329E-2"/>
    <n v="11.916666666666666"/>
    <x v="1"/>
    <x v="0"/>
    <m/>
    <x v="0"/>
    <n v="115.1"/>
    <x v="0"/>
    <x v="14"/>
    <x v="4"/>
    <x v="0"/>
    <x v="0"/>
  </r>
  <r>
    <x v="1"/>
    <x v="14"/>
    <s v="5569 J"/>
    <x v="162"/>
    <s v="Emarat Plastic Chong "/>
    <s v="LDN"/>
    <n v="16"/>
    <n v="8"/>
    <s v="LDN"/>
    <n v="100"/>
    <x v="0"/>
    <n v="2"/>
    <n v="120.6"/>
    <n v="3.8"/>
    <m/>
    <x v="0"/>
    <n v="116.8"/>
    <n v="116.8"/>
    <m/>
    <x v="0"/>
    <x v="0"/>
    <n v="0"/>
    <n v="0"/>
    <x v="0"/>
    <x v="0"/>
    <m/>
    <x v="0"/>
    <x v="0"/>
    <x v="0"/>
    <x v="0"/>
    <x v="0"/>
    <n v="0"/>
    <n v="0"/>
    <n v="0"/>
    <n v="12"/>
    <x v="1"/>
    <x v="0"/>
    <m/>
    <x v="0"/>
    <n v="127.6"/>
    <x v="0"/>
    <x v="14"/>
    <x v="4"/>
    <x v="0"/>
    <x v="0"/>
  </r>
  <r>
    <x v="0"/>
    <x v="15"/>
    <s v="2823/1"/>
    <x v="162"/>
    <s v="C/O JAVAID SB"/>
    <s v="LDN"/>
    <n v="36"/>
    <n v="3"/>
    <s v="LDN"/>
    <n v="0"/>
    <x v="0"/>
    <n v="27"/>
    <n v="660.88"/>
    <m/>
    <n v="17"/>
    <x v="0"/>
    <n v="660.88"/>
    <n v="23186.610000000004"/>
    <m/>
    <x v="0"/>
    <x v="0"/>
    <n v="0"/>
    <n v="0"/>
    <x v="0"/>
    <x v="0"/>
    <m/>
    <x v="0"/>
    <x v="0"/>
    <x v="0"/>
    <x v="0"/>
    <x v="0"/>
    <n v="0"/>
    <n v="0"/>
    <n v="0"/>
    <n v="12"/>
    <x v="1"/>
    <x v="0"/>
    <m/>
    <x v="0"/>
    <n v="667.88"/>
    <x v="0"/>
    <x v="14"/>
    <x v="4"/>
    <x v="0"/>
    <x v="0"/>
  </r>
  <r>
    <x v="1"/>
    <x v="15"/>
    <s v="2823/1"/>
    <x v="162"/>
    <s v="C/O JAVAID SB"/>
    <s v="LDN"/>
    <n v="36"/>
    <n v="3"/>
    <s v="LDN"/>
    <n v="0"/>
    <x v="0"/>
    <n v="23"/>
    <n v="493.53999999999996"/>
    <m/>
    <n v="95"/>
    <x v="0"/>
    <n v="493.53999999999996"/>
    <n v="23186.610000000004"/>
    <m/>
    <x v="0"/>
    <x v="0"/>
    <n v="0"/>
    <n v="0"/>
    <x v="0"/>
    <x v="8"/>
    <m/>
    <x v="0"/>
    <x v="0"/>
    <x v="0"/>
    <x v="1"/>
    <x v="0"/>
    <n v="130"/>
    <n v="2.1666666666666665"/>
    <n v="2.1666666666666665"/>
    <n v="9.8333333333333339"/>
    <x v="1"/>
    <x v="0"/>
    <m/>
    <x v="0"/>
    <n v="500.53999999999996"/>
    <x v="0"/>
    <x v="14"/>
    <x v="4"/>
    <x v="0"/>
    <x v="0"/>
  </r>
  <r>
    <x v="0"/>
    <x v="9"/>
    <s v="2821/1"/>
    <x v="163"/>
    <s v="PT-02 (M DEEN RWP)"/>
    <s v="LDM"/>
    <n v="6"/>
    <n v="18"/>
    <s v="LDM"/>
    <n v="150"/>
    <x v="0"/>
    <n v="4"/>
    <n v="158.39999999999998"/>
    <n v="2.8"/>
    <m/>
    <x v="0"/>
    <n v="155.59999999999997"/>
    <n v="155.59999999999997"/>
    <m/>
    <x v="0"/>
    <x v="0"/>
    <n v="0"/>
    <n v="0"/>
    <x v="0"/>
    <x v="0"/>
    <m/>
    <x v="0"/>
    <x v="0"/>
    <x v="0"/>
    <x v="0"/>
    <x v="0"/>
    <n v="0"/>
    <n v="0"/>
    <n v="0"/>
    <n v="12"/>
    <x v="1"/>
    <x v="0"/>
    <m/>
    <x v="0"/>
    <n v="165.39999999999998"/>
    <x v="0"/>
    <x v="14"/>
    <x v="4"/>
    <x v="0"/>
    <x v="0"/>
  </r>
  <r>
    <x v="1"/>
    <x v="9"/>
    <s v="2821/2"/>
    <x v="163"/>
    <s v="PT-02 (M DEEN RWP)"/>
    <s v="LDM"/>
    <n v="7"/>
    <n v="18"/>
    <s v="LDM"/>
    <n v="150"/>
    <x v="0"/>
    <n v="3"/>
    <n v="125.80000000000001"/>
    <n v="2.7"/>
    <m/>
    <x v="0"/>
    <n v="123.10000000000001"/>
    <n v="177.70000000000002"/>
    <m/>
    <x v="0"/>
    <x v="0"/>
    <n v="0"/>
    <n v="0"/>
    <x v="0"/>
    <x v="0"/>
    <m/>
    <x v="0"/>
    <x v="0"/>
    <x v="0"/>
    <x v="0"/>
    <x v="0"/>
    <n v="0"/>
    <n v="0"/>
    <n v="0"/>
    <n v="12"/>
    <x v="1"/>
    <x v="0"/>
    <m/>
    <x v="0"/>
    <n v="132.80000000000001"/>
    <x v="0"/>
    <x v="14"/>
    <x v="4"/>
    <x v="0"/>
    <x v="0"/>
  </r>
  <r>
    <x v="0"/>
    <x v="11"/>
    <s v="5581 J"/>
    <x v="163"/>
    <s v="Javed Enterprises Gujranwala"/>
    <s v="LDپیلا"/>
    <n v="14"/>
    <s v="20-21"/>
    <s v="LDN"/>
    <n v="400"/>
    <x v="0"/>
    <n v="1"/>
    <n v="63.5"/>
    <n v="1.8"/>
    <m/>
    <x v="0"/>
    <n v="61.7"/>
    <n v="432.79999999999995"/>
    <m/>
    <x v="0"/>
    <x v="0"/>
    <n v="0"/>
    <n v="0"/>
    <x v="0"/>
    <x v="0"/>
    <m/>
    <x v="0"/>
    <x v="0"/>
    <x v="0"/>
    <x v="0"/>
    <x v="0"/>
    <n v="0"/>
    <n v="0"/>
    <n v="0"/>
    <n v="12"/>
    <x v="1"/>
    <x v="0"/>
    <m/>
    <x v="0"/>
    <n v="70.5"/>
    <x v="0"/>
    <x v="14"/>
    <x v="4"/>
    <x v="0"/>
    <x v="0"/>
  </r>
  <r>
    <x v="1"/>
    <x v="11"/>
    <s v="5635 J"/>
    <x v="163"/>
    <s v="N Susi Brothere Pvt LTD"/>
    <s v="LD پیلا"/>
    <n v="25"/>
    <n v="11"/>
    <s v="LDM"/>
    <n v="150"/>
    <x v="0"/>
    <n v="2"/>
    <n v="174.60000000000002"/>
    <n v="6.4"/>
    <m/>
    <x v="0"/>
    <n v="168.20000000000002"/>
    <n v="168.20000000000002"/>
    <n v="25"/>
    <x v="0"/>
    <x v="0"/>
    <n v="25"/>
    <n v="0.41666666666666669"/>
    <x v="0"/>
    <x v="0"/>
    <m/>
    <x v="0"/>
    <x v="0"/>
    <x v="0"/>
    <x v="0"/>
    <x v="0"/>
    <n v="0"/>
    <n v="0"/>
    <n v="0.41666666666666669"/>
    <n v="11.583333333333334"/>
    <x v="1"/>
    <x v="0"/>
    <m/>
    <x v="0"/>
    <n v="181.60000000000002"/>
    <x v="0"/>
    <x v="14"/>
    <x v="4"/>
    <x v="0"/>
    <x v="0"/>
  </r>
  <r>
    <x v="1"/>
    <x v="11"/>
    <s v="5636 J"/>
    <x v="163"/>
    <s v="N Susi Brothere Pvt LTD"/>
    <s v="LD گرین"/>
    <n v="25"/>
    <n v="11"/>
    <s v="LDM"/>
    <n v="150"/>
    <x v="0"/>
    <n v="2"/>
    <n v="147"/>
    <n v="6.4"/>
    <m/>
    <x v="0"/>
    <n v="140.6"/>
    <n v="140.6"/>
    <n v="60"/>
    <x v="0"/>
    <x v="0"/>
    <n v="60"/>
    <n v="1"/>
    <x v="0"/>
    <x v="0"/>
    <m/>
    <x v="0"/>
    <x v="0"/>
    <x v="0"/>
    <x v="0"/>
    <x v="0"/>
    <n v="0"/>
    <n v="0"/>
    <n v="1"/>
    <n v="11"/>
    <x v="1"/>
    <x v="0"/>
    <m/>
    <x v="0"/>
    <n v="154"/>
    <x v="0"/>
    <x v="14"/>
    <x v="4"/>
    <x v="0"/>
    <x v="0"/>
  </r>
  <r>
    <x v="1"/>
    <x v="11"/>
    <s v="5541 J"/>
    <x v="163"/>
    <s v="Shoab Auto Rawalpindi"/>
    <s v="LD کریم"/>
    <s v="8+2.5+2.5"/>
    <s v="7.5-8/15-16"/>
    <s v="LDN"/>
    <n v="125"/>
    <x v="0"/>
    <n v="2"/>
    <n v="68.5"/>
    <n v="6.4"/>
    <m/>
    <x v="0"/>
    <n v="62.1"/>
    <n v="116.80000000000001"/>
    <n v="5"/>
    <x v="0"/>
    <x v="0"/>
    <n v="5"/>
    <n v="8.3333333333333329E-2"/>
    <x v="0"/>
    <x v="0"/>
    <m/>
    <x v="0"/>
    <x v="0"/>
    <x v="0"/>
    <x v="0"/>
    <x v="0"/>
    <n v="0"/>
    <n v="0"/>
    <n v="8.3333333333333329E-2"/>
    <n v="11.916666666666666"/>
    <x v="1"/>
    <x v="0"/>
    <m/>
    <x v="0"/>
    <n v="75.5"/>
    <x v="0"/>
    <x v="14"/>
    <x v="4"/>
    <x v="0"/>
    <x v="0"/>
  </r>
  <r>
    <x v="0"/>
    <x v="12"/>
    <s v="2823/1"/>
    <x v="163"/>
    <s v="C/O JAVAID SB"/>
    <s v="LDN"/>
    <n v="36"/>
    <n v="3"/>
    <s v="LDN"/>
    <n v="0"/>
    <x v="0"/>
    <n v="42"/>
    <n v="1003.8599999999999"/>
    <m/>
    <m/>
    <x v="0"/>
    <n v="1003.8599999999999"/>
    <n v="23186.610000000004"/>
    <m/>
    <x v="0"/>
    <x v="8"/>
    <n v="90"/>
    <n v="1.5"/>
    <x v="0"/>
    <x v="0"/>
    <m/>
    <x v="0"/>
    <x v="0"/>
    <x v="0"/>
    <x v="0"/>
    <x v="0"/>
    <n v="0"/>
    <n v="0"/>
    <n v="1.5"/>
    <n v="10.5"/>
    <x v="1"/>
    <x v="0"/>
    <m/>
    <x v="0"/>
    <n v="1010.8599999999999"/>
    <x v="0"/>
    <x v="14"/>
    <x v="4"/>
    <x v="0"/>
    <x v="0"/>
  </r>
  <r>
    <x v="1"/>
    <x v="12"/>
    <s v="2823/1"/>
    <x v="163"/>
    <s v="C/O JAVAID SB"/>
    <s v="LDN"/>
    <n v="36"/>
    <n v="3"/>
    <s v="LDN"/>
    <n v="0"/>
    <x v="0"/>
    <n v="39"/>
    <n v="1017.2699999999999"/>
    <m/>
    <n v="41"/>
    <x v="0"/>
    <n v="1017.2699999999999"/>
    <n v="23186.610000000004"/>
    <m/>
    <x v="0"/>
    <x v="0"/>
    <n v="0"/>
    <n v="0"/>
    <x v="0"/>
    <x v="0"/>
    <m/>
    <x v="0"/>
    <x v="0"/>
    <x v="0"/>
    <x v="0"/>
    <x v="0"/>
    <n v="0"/>
    <n v="0"/>
    <n v="0"/>
    <n v="12"/>
    <x v="1"/>
    <x v="0"/>
    <m/>
    <x v="0"/>
    <n v="1024.27"/>
    <x v="0"/>
    <x v="14"/>
    <x v="4"/>
    <x v="0"/>
    <x v="0"/>
  </r>
  <r>
    <x v="0"/>
    <x v="14"/>
    <s v="5526 J"/>
    <x v="163"/>
    <s v="H.A Industry Peshawar"/>
    <s v="LDN"/>
    <n v="22"/>
    <s v="-"/>
    <s v="LDN"/>
    <n v="900"/>
    <x v="0"/>
    <n v="5"/>
    <n v="248.96"/>
    <n v="15.600000000000001"/>
    <m/>
    <x v="0"/>
    <n v="233.36"/>
    <n v="860.15"/>
    <m/>
    <x v="0"/>
    <x v="0"/>
    <n v="0"/>
    <n v="0"/>
    <x v="0"/>
    <x v="0"/>
    <m/>
    <x v="0"/>
    <x v="0"/>
    <x v="0"/>
    <x v="0"/>
    <x v="0"/>
    <n v="0"/>
    <n v="0"/>
    <n v="0"/>
    <n v="12"/>
    <x v="1"/>
    <x v="0"/>
    <m/>
    <x v="0"/>
    <n v="255.96"/>
    <x v="0"/>
    <x v="14"/>
    <x v="4"/>
    <x v="0"/>
    <x v="0"/>
  </r>
  <r>
    <x v="0"/>
    <x v="14"/>
    <s v="2482 F"/>
    <x v="163"/>
    <s v="Usman Amin"/>
    <s v="LDN"/>
    <n v="22"/>
    <s v="7-7.5"/>
    <s v="LDN"/>
    <n v="365"/>
    <x v="0"/>
    <n v="5"/>
    <n v="285.44000000000005"/>
    <n v="11"/>
    <m/>
    <x v="0"/>
    <n v="274.44000000000005"/>
    <n v="336.26000000000005"/>
    <m/>
    <x v="0"/>
    <x v="0"/>
    <n v="0"/>
    <n v="0"/>
    <x v="0"/>
    <x v="0"/>
    <m/>
    <x v="0"/>
    <x v="0"/>
    <x v="0"/>
    <x v="0"/>
    <x v="0"/>
    <n v="0"/>
    <n v="0"/>
    <n v="0"/>
    <n v="12"/>
    <x v="1"/>
    <x v="0"/>
    <m/>
    <x v="0"/>
    <n v="292.44000000000005"/>
    <x v="0"/>
    <x v="14"/>
    <x v="4"/>
    <x v="0"/>
    <x v="0"/>
  </r>
  <r>
    <x v="1"/>
    <x v="14"/>
    <s v="2482 F"/>
    <x v="163"/>
    <s v="Usman Amin"/>
    <s v="LDN"/>
    <n v="22"/>
    <s v="7-7.5"/>
    <s v="LDN"/>
    <n v="365"/>
    <x v="0"/>
    <n v="1"/>
    <n v="64.42"/>
    <n v="2.6"/>
    <m/>
    <x v="0"/>
    <n v="61.82"/>
    <n v="336.26000000000005"/>
    <m/>
    <x v="0"/>
    <x v="0"/>
    <n v="0"/>
    <n v="0"/>
    <x v="0"/>
    <x v="0"/>
    <m/>
    <x v="0"/>
    <x v="0"/>
    <x v="0"/>
    <x v="0"/>
    <x v="0"/>
    <n v="0"/>
    <n v="0"/>
    <n v="0"/>
    <n v="12"/>
    <x v="1"/>
    <x v="0"/>
    <m/>
    <x v="0"/>
    <n v="71.42"/>
    <x v="0"/>
    <x v="14"/>
    <x v="4"/>
    <x v="0"/>
    <x v="0"/>
  </r>
  <r>
    <x v="1"/>
    <x v="14"/>
    <s v="2461 F"/>
    <x v="163"/>
    <s v="Usman Amin"/>
    <s v="LDN"/>
    <s v="31+7+7"/>
    <s v="7-7.5/14-15"/>
    <s v="LDN"/>
    <n v="400"/>
    <x v="0"/>
    <n v="7"/>
    <n v="370.97999999999996"/>
    <n v="22.8"/>
    <m/>
    <x v="0"/>
    <n v="348.17999999999995"/>
    <n v="348.17999999999995"/>
    <m/>
    <x v="0"/>
    <x v="0"/>
    <n v="0"/>
    <n v="0"/>
    <x v="0"/>
    <x v="0"/>
    <m/>
    <x v="0"/>
    <x v="0"/>
    <x v="0"/>
    <x v="0"/>
    <x v="0"/>
    <n v="0"/>
    <n v="0"/>
    <n v="0"/>
    <n v="12"/>
    <x v="1"/>
    <x v="0"/>
    <m/>
    <x v="0"/>
    <n v="377.97999999999996"/>
    <x v="0"/>
    <x v="14"/>
    <x v="4"/>
    <x v="0"/>
    <x v="0"/>
  </r>
  <r>
    <x v="1"/>
    <x v="14"/>
    <s v="2824/1"/>
    <x v="163"/>
    <s v="PT-02"/>
    <s v="LDN"/>
    <n v="24"/>
    <n v="18"/>
    <s v="LDN"/>
    <n v="1000"/>
    <x v="0"/>
    <n v="1"/>
    <n v="90.36"/>
    <n v="2.9"/>
    <m/>
    <x v="0"/>
    <n v="87.46"/>
    <n v="944.06000000000017"/>
    <m/>
    <x v="0"/>
    <x v="0"/>
    <n v="0"/>
    <n v="0"/>
    <x v="0"/>
    <x v="0"/>
    <m/>
    <x v="0"/>
    <x v="0"/>
    <x v="0"/>
    <x v="0"/>
    <x v="0"/>
    <n v="0"/>
    <n v="0"/>
    <n v="0"/>
    <n v="12"/>
    <x v="1"/>
    <x v="0"/>
    <m/>
    <x v="0"/>
    <n v="97.36"/>
    <x v="0"/>
    <x v="14"/>
    <x v="4"/>
    <x v="0"/>
    <x v="0"/>
  </r>
  <r>
    <x v="0"/>
    <x v="15"/>
    <s v="2823/1"/>
    <x v="163"/>
    <s v="C/O JAVAID SB"/>
    <s v="LDN"/>
    <n v="36"/>
    <n v="3"/>
    <s v="LDN"/>
    <n v="0"/>
    <x v="0"/>
    <n v="12"/>
    <n v="256.61"/>
    <m/>
    <m/>
    <x v="0"/>
    <n v="256.61"/>
    <n v="23186.610000000004"/>
    <m/>
    <x v="0"/>
    <x v="0"/>
    <n v="0"/>
    <n v="0"/>
    <x v="0"/>
    <x v="0"/>
    <m/>
    <x v="0"/>
    <x v="0"/>
    <x v="0"/>
    <x v="0"/>
    <x v="0"/>
    <n v="0"/>
    <n v="0"/>
    <n v="0"/>
    <n v="12"/>
    <x v="1"/>
    <x v="0"/>
    <m/>
    <x v="0"/>
    <n v="263.61"/>
    <x v="0"/>
    <x v="14"/>
    <x v="4"/>
    <x v="0"/>
    <x v="0"/>
  </r>
  <r>
    <x v="1"/>
    <x v="15"/>
    <s v="2823/1"/>
    <x v="163"/>
    <s v="C/O JAVAID SB"/>
    <s v="LDN"/>
    <n v="36"/>
    <n v="3"/>
    <s v="LDN"/>
    <n v="0"/>
    <x v="0"/>
    <n v="27"/>
    <n v="767.7299999999999"/>
    <m/>
    <m/>
    <x v="0"/>
    <n v="767.7299999999999"/>
    <n v="23186.610000000004"/>
    <m/>
    <x v="0"/>
    <x v="0"/>
    <n v="0"/>
    <n v="0"/>
    <x v="0"/>
    <x v="0"/>
    <m/>
    <x v="0"/>
    <x v="0"/>
    <x v="0"/>
    <x v="0"/>
    <x v="0"/>
    <n v="0"/>
    <n v="0"/>
    <n v="0"/>
    <n v="12"/>
    <x v="1"/>
    <x v="0"/>
    <m/>
    <x v="0"/>
    <n v="774.7299999999999"/>
    <x v="0"/>
    <x v="14"/>
    <x v="4"/>
    <x v="0"/>
    <x v="0"/>
  </r>
  <r>
    <x v="0"/>
    <x v="9"/>
    <s v="2821/2"/>
    <x v="164"/>
    <s v="PT-02 (M DEEN RWP)"/>
    <s v="LDM"/>
    <n v="7"/>
    <n v="18"/>
    <s v="LDM"/>
    <n v="150"/>
    <x v="0"/>
    <n v="2"/>
    <n v="57.4"/>
    <n v="2.8"/>
    <n v="15"/>
    <x v="0"/>
    <n v="54.6"/>
    <n v="177.70000000000002"/>
    <n v="25"/>
    <x v="0"/>
    <x v="0"/>
    <n v="25"/>
    <n v="0.41666666666666669"/>
    <x v="0"/>
    <x v="0"/>
    <m/>
    <x v="0"/>
    <x v="0"/>
    <x v="0"/>
    <x v="0"/>
    <x v="0"/>
    <n v="0"/>
    <n v="0"/>
    <n v="0.41666666666666669"/>
    <n v="11.583333333333334"/>
    <x v="1"/>
    <x v="0"/>
    <m/>
    <x v="0"/>
    <n v="64.400000000000006"/>
    <x v="0"/>
    <x v="14"/>
    <x v="4"/>
    <x v="0"/>
    <x v="0"/>
  </r>
  <r>
    <x v="0"/>
    <x v="9"/>
    <s v="5605 J"/>
    <x v="164"/>
    <s v="Al Razaq Printers Lahore"/>
    <s v="LDN"/>
    <n v="5"/>
    <s v="13-14"/>
    <s v="LDN"/>
    <n v="100"/>
    <x v="0"/>
    <n v="1"/>
    <n v="35.5"/>
    <n v="0.7"/>
    <m/>
    <x v="0"/>
    <n v="34.799999999999997"/>
    <n v="64.5"/>
    <m/>
    <x v="0"/>
    <x v="10"/>
    <n v="120"/>
    <n v="2"/>
    <x v="0"/>
    <x v="0"/>
    <m/>
    <x v="0"/>
    <x v="0"/>
    <x v="0"/>
    <x v="0"/>
    <x v="0"/>
    <n v="0"/>
    <n v="0"/>
    <n v="2"/>
    <n v="10"/>
    <x v="1"/>
    <x v="0"/>
    <m/>
    <x v="0"/>
    <n v="42.5"/>
    <x v="0"/>
    <x v="14"/>
    <x v="4"/>
    <x v="0"/>
    <x v="0"/>
  </r>
  <r>
    <x v="0"/>
    <x v="11"/>
    <s v="5541 J"/>
    <x v="164"/>
    <s v="Shoab Auto Rawalpindi"/>
    <s v="LD کریم"/>
    <s v="8+2.5+2.5"/>
    <s v="7.5-8/15-16"/>
    <s v="LDN"/>
    <n v="125"/>
    <x v="0"/>
    <n v="2"/>
    <n v="56.7"/>
    <n v="2"/>
    <n v="22"/>
    <x v="0"/>
    <n v="54.7"/>
    <n v="116.80000000000001"/>
    <n v="25"/>
    <x v="0"/>
    <x v="10"/>
    <n v="145"/>
    <n v="2.4166666666666665"/>
    <x v="0"/>
    <x v="0"/>
    <m/>
    <x v="0"/>
    <x v="0"/>
    <x v="0"/>
    <x v="0"/>
    <x v="0"/>
    <n v="0"/>
    <n v="0"/>
    <n v="2.4166666666666665"/>
    <n v="9.5833333333333339"/>
    <x v="1"/>
    <x v="0"/>
    <m/>
    <x v="0"/>
    <n v="63.7"/>
    <x v="0"/>
    <x v="14"/>
    <x v="4"/>
    <x v="0"/>
    <x v="0"/>
  </r>
  <r>
    <x v="0"/>
    <x v="11"/>
    <s v="5579 J"/>
    <x v="164"/>
    <s v="Javed Enterprises Gujranwala"/>
    <s v="LDM"/>
    <n v="14"/>
    <s v="20-21"/>
    <s v="LDM"/>
    <n v="500"/>
    <x v="0"/>
    <n v="4"/>
    <n v="347.2"/>
    <n v="6.8000000000000007"/>
    <m/>
    <x v="0"/>
    <n v="340.4"/>
    <n v="419"/>
    <m/>
    <x v="0"/>
    <x v="0"/>
    <n v="0"/>
    <n v="0"/>
    <x v="0"/>
    <x v="0"/>
    <m/>
    <x v="0"/>
    <x v="0"/>
    <x v="0"/>
    <x v="0"/>
    <x v="0"/>
    <n v="0"/>
    <n v="0"/>
    <n v="0"/>
    <n v="12"/>
    <x v="1"/>
    <x v="0"/>
    <m/>
    <x v="0"/>
    <n v="354.2"/>
    <x v="0"/>
    <x v="14"/>
    <x v="4"/>
    <x v="0"/>
    <x v="0"/>
  </r>
  <r>
    <x v="0"/>
    <x v="12"/>
    <s v="2823/1"/>
    <x v="164"/>
    <s v="C/O JAVAID SB"/>
    <s v="LDN"/>
    <n v="36"/>
    <n v="3"/>
    <s v="LDN"/>
    <n v="0"/>
    <x v="0"/>
    <n v="36"/>
    <n v="1032.01"/>
    <m/>
    <n v="50"/>
    <x v="0"/>
    <n v="1032.01"/>
    <n v="23186.610000000004"/>
    <m/>
    <x v="0"/>
    <x v="0"/>
    <n v="0"/>
    <n v="0"/>
    <x v="0"/>
    <x v="0"/>
    <m/>
    <x v="0"/>
    <x v="0"/>
    <x v="0"/>
    <x v="12"/>
    <x v="0"/>
    <n v="90"/>
    <n v="1.5"/>
    <n v="1.5"/>
    <n v="10.5"/>
    <x v="1"/>
    <x v="0"/>
    <m/>
    <x v="0"/>
    <n v="1039.01"/>
    <x v="0"/>
    <x v="14"/>
    <x v="4"/>
    <x v="0"/>
    <x v="0"/>
  </r>
  <r>
    <x v="1"/>
    <x v="12"/>
    <s v="2823/1"/>
    <x v="164"/>
    <s v="C/O JAVAID SB"/>
    <s v="LDN"/>
    <n v="36"/>
    <n v="3"/>
    <s v="LDN"/>
    <n v="0"/>
    <x v="0"/>
    <n v="43"/>
    <n v="1155.28"/>
    <m/>
    <n v="55"/>
    <x v="0"/>
    <n v="1155.28"/>
    <n v="23186.610000000004"/>
    <m/>
    <x v="0"/>
    <x v="0"/>
    <n v="0"/>
    <n v="0"/>
    <x v="0"/>
    <x v="0"/>
    <m/>
    <x v="0"/>
    <x v="0"/>
    <x v="0"/>
    <x v="0"/>
    <x v="0"/>
    <n v="0"/>
    <n v="0"/>
    <n v="0"/>
    <n v="12"/>
    <x v="1"/>
    <x v="0"/>
    <m/>
    <x v="0"/>
    <n v="1162.28"/>
    <x v="0"/>
    <x v="14"/>
    <x v="4"/>
    <x v="0"/>
    <x v="0"/>
  </r>
  <r>
    <x v="0"/>
    <x v="14"/>
    <s v="2824/1"/>
    <x v="164"/>
    <s v="PT-02"/>
    <s v="LDN"/>
    <n v="24"/>
    <n v="18"/>
    <s v="LDN"/>
    <n v="1000"/>
    <x v="0"/>
    <n v="8"/>
    <n v="741.9000000000002"/>
    <n v="24"/>
    <m/>
    <x v="0"/>
    <n v="717.9000000000002"/>
    <n v="944.06000000000017"/>
    <m/>
    <x v="0"/>
    <x v="0"/>
    <n v="0"/>
    <n v="0"/>
    <x v="0"/>
    <x v="0"/>
    <m/>
    <x v="0"/>
    <x v="0"/>
    <x v="0"/>
    <x v="0"/>
    <x v="0"/>
    <n v="0"/>
    <n v="0"/>
    <n v="0"/>
    <n v="12"/>
    <x v="1"/>
    <x v="0"/>
    <m/>
    <x v="0"/>
    <n v="748.9000000000002"/>
    <x v="0"/>
    <x v="14"/>
    <x v="4"/>
    <x v="0"/>
    <x v="0"/>
  </r>
  <r>
    <x v="1"/>
    <x v="14"/>
    <s v="2824/1"/>
    <x v="164"/>
    <s v="PT-02"/>
    <s v="LDN"/>
    <n v="24"/>
    <n v="18"/>
    <s v="LDN"/>
    <n v="1000"/>
    <x v="0"/>
    <n v="2"/>
    <n v="144.69999999999999"/>
    <n v="6"/>
    <m/>
    <x v="0"/>
    <n v="138.69999999999999"/>
    <n v="944.06000000000017"/>
    <n v="5"/>
    <x v="0"/>
    <x v="0"/>
    <n v="5"/>
    <n v="8.3333333333333329E-2"/>
    <x v="0"/>
    <x v="0"/>
    <m/>
    <x v="0"/>
    <x v="0"/>
    <x v="0"/>
    <x v="0"/>
    <x v="0"/>
    <n v="0"/>
    <n v="0"/>
    <n v="8.3333333333333329E-2"/>
    <n v="11.916666666666666"/>
    <x v="1"/>
    <x v="0"/>
    <m/>
    <x v="0"/>
    <n v="151.69999999999999"/>
    <x v="0"/>
    <x v="14"/>
    <x v="4"/>
    <x v="0"/>
    <x v="0"/>
  </r>
  <r>
    <x v="1"/>
    <x v="14"/>
    <s v="5603 J"/>
    <x v="164"/>
    <s v="Super Diamond Food Kamoki"/>
    <s v="LDN"/>
    <n v="22"/>
    <s v="7.5-8"/>
    <s v="LDN"/>
    <n v="400"/>
    <x v="0"/>
    <n v="8"/>
    <n v="408.6"/>
    <n v="20.8"/>
    <m/>
    <x v="0"/>
    <n v="387.8"/>
    <n v="387.8"/>
    <n v="5"/>
    <x v="0"/>
    <x v="0"/>
    <n v="5"/>
    <n v="8.3333333333333329E-2"/>
    <x v="0"/>
    <x v="0"/>
    <m/>
    <x v="0"/>
    <x v="0"/>
    <x v="0"/>
    <x v="0"/>
    <x v="0"/>
    <n v="0"/>
    <n v="0"/>
    <n v="8.3333333333333329E-2"/>
    <n v="11.916666666666666"/>
    <x v="1"/>
    <x v="0"/>
    <m/>
    <x v="0"/>
    <n v="415.6"/>
    <x v="0"/>
    <x v="14"/>
    <x v="4"/>
    <x v="0"/>
    <x v="0"/>
  </r>
  <r>
    <x v="1"/>
    <x v="14"/>
    <s v="2473 F"/>
    <x v="164"/>
    <s v="Usman Amin"/>
    <s v="LDN"/>
    <n v="21"/>
    <s v="5-5.5"/>
    <s v="LDN"/>
    <n v="120"/>
    <x v="0"/>
    <n v="2"/>
    <n v="112.30000000000001"/>
    <n v="5"/>
    <m/>
    <x v="0"/>
    <n v="107.30000000000001"/>
    <n v="196.3"/>
    <n v="5"/>
    <x v="0"/>
    <x v="0"/>
    <n v="5"/>
    <n v="8.3333333333333329E-2"/>
    <x v="0"/>
    <x v="0"/>
    <m/>
    <x v="0"/>
    <x v="0"/>
    <x v="0"/>
    <x v="0"/>
    <x v="0"/>
    <n v="0"/>
    <n v="0"/>
    <n v="8.3333333333333329E-2"/>
    <n v="11.916666666666666"/>
    <x v="1"/>
    <x v="0"/>
    <m/>
    <x v="0"/>
    <n v="119.30000000000001"/>
    <x v="0"/>
    <x v="14"/>
    <x v="4"/>
    <x v="0"/>
    <x v="0"/>
  </r>
  <r>
    <x v="0"/>
    <x v="15"/>
    <s v="2823/1"/>
    <x v="164"/>
    <s v="C/O JAVAID SB"/>
    <s v="LDN"/>
    <n v="36"/>
    <n v="3"/>
    <s v="LDN"/>
    <n v="0"/>
    <x v="0"/>
    <n v="23"/>
    <n v="528.83000000000004"/>
    <m/>
    <n v="12"/>
    <x v="0"/>
    <n v="528.83000000000004"/>
    <n v="23186.610000000004"/>
    <m/>
    <x v="0"/>
    <x v="0"/>
    <n v="0"/>
    <n v="0"/>
    <x v="0"/>
    <x v="0"/>
    <m/>
    <x v="0"/>
    <x v="0"/>
    <x v="0"/>
    <x v="0"/>
    <x v="0"/>
    <n v="0"/>
    <n v="0"/>
    <n v="0"/>
    <n v="12"/>
    <x v="1"/>
    <x v="0"/>
    <m/>
    <x v="0"/>
    <n v="535.83000000000004"/>
    <x v="0"/>
    <x v="14"/>
    <x v="4"/>
    <x v="0"/>
    <x v="0"/>
  </r>
  <r>
    <x v="1"/>
    <x v="15"/>
    <s v="2823/1"/>
    <x v="164"/>
    <s v="C/O JAVAID SB"/>
    <s v="LDN"/>
    <n v="36"/>
    <n v="3"/>
    <s v="LDN"/>
    <n v="0"/>
    <x v="0"/>
    <n v="15"/>
    <n v="405.02000000000004"/>
    <m/>
    <n v="30"/>
    <x v="0"/>
    <n v="405.02000000000004"/>
    <n v="23186.610000000004"/>
    <m/>
    <x v="0"/>
    <x v="0"/>
    <n v="0"/>
    <n v="0"/>
    <x v="8"/>
    <x v="0"/>
    <m/>
    <x v="0"/>
    <x v="0"/>
    <x v="0"/>
    <x v="0"/>
    <x v="0"/>
    <n v="120"/>
    <n v="2"/>
    <n v="2"/>
    <n v="10"/>
    <x v="1"/>
    <x v="0"/>
    <m/>
    <x v="0"/>
    <n v="412.02000000000004"/>
    <x v="0"/>
    <x v="14"/>
    <x v="4"/>
    <x v="0"/>
    <x v="0"/>
  </r>
  <r>
    <x v="1"/>
    <x v="9"/>
    <s v="5605 J"/>
    <x v="165"/>
    <s v="Al Razaq Printers Lahore"/>
    <s v="LDN"/>
    <n v="5"/>
    <s v="13-14"/>
    <s v="LDN"/>
    <n v="100"/>
    <x v="0"/>
    <n v="1"/>
    <n v="30.4"/>
    <n v="0.7"/>
    <n v="10"/>
    <x v="0"/>
    <n v="29.7"/>
    <n v="64.5"/>
    <m/>
    <x v="5"/>
    <x v="0"/>
    <n v="180"/>
    <n v="3"/>
    <x v="0"/>
    <x v="0"/>
    <m/>
    <x v="0"/>
    <x v="0"/>
    <x v="0"/>
    <x v="0"/>
    <x v="0"/>
    <n v="0"/>
    <n v="0"/>
    <n v="3"/>
    <n v="9"/>
    <x v="1"/>
    <x v="0"/>
    <m/>
    <x v="0"/>
    <n v="37.4"/>
    <x v="0"/>
    <x v="15"/>
    <x v="5"/>
    <x v="0"/>
    <x v="0"/>
  </r>
  <r>
    <x v="1"/>
    <x v="9"/>
    <s v="5610 J"/>
    <x v="165"/>
    <s v="Shah Jee Achar Mardan"/>
    <s v="LDN"/>
    <n v="5"/>
    <s v="12-13"/>
    <s v="LDN"/>
    <n v="100"/>
    <x v="0"/>
    <n v="2"/>
    <n v="56.239999999999995"/>
    <n v="1.4"/>
    <m/>
    <x v="0"/>
    <n v="54.839999999999996"/>
    <n v="96.52"/>
    <m/>
    <x v="0"/>
    <x v="0"/>
    <n v="0"/>
    <n v="0"/>
    <x v="0"/>
    <x v="0"/>
    <m/>
    <x v="0"/>
    <x v="0"/>
    <x v="0"/>
    <x v="0"/>
    <x v="0"/>
    <n v="0"/>
    <n v="0"/>
    <n v="0"/>
    <n v="12"/>
    <x v="1"/>
    <x v="0"/>
    <m/>
    <x v="0"/>
    <n v="63.239999999999995"/>
    <x v="0"/>
    <x v="15"/>
    <x v="5"/>
    <x v="0"/>
    <x v="0"/>
  </r>
  <r>
    <x v="1"/>
    <x v="13"/>
    <s v="2496 F"/>
    <x v="165"/>
    <s v="Usman Amin"/>
    <s v="LDN"/>
    <n v="16"/>
    <s v="8"/>
    <s v="LDN"/>
    <n v="200"/>
    <x v="0"/>
    <n v="4"/>
    <n v="211.88"/>
    <n v="6.8"/>
    <n v="15"/>
    <x v="0"/>
    <n v="205.07999999999998"/>
    <n v="205.07999999999998"/>
    <m/>
    <x v="5"/>
    <x v="0"/>
    <n v="180"/>
    <n v="3"/>
    <x v="0"/>
    <x v="0"/>
    <m/>
    <x v="0"/>
    <x v="0"/>
    <x v="0"/>
    <x v="0"/>
    <x v="0"/>
    <n v="0"/>
    <n v="0"/>
    <n v="3"/>
    <n v="9"/>
    <x v="1"/>
    <x v="0"/>
    <m/>
    <x v="0"/>
    <n v="218.88"/>
    <x v="0"/>
    <x v="15"/>
    <x v="5"/>
    <x v="0"/>
    <x v="0"/>
  </r>
  <r>
    <x v="0"/>
    <x v="12"/>
    <s v="2823/2"/>
    <x v="165"/>
    <s v="C/O JAVAID SB"/>
    <s v="LDN"/>
    <n v="42"/>
    <n v="3"/>
    <s v="LDN"/>
    <n v="0"/>
    <x v="0"/>
    <n v="42"/>
    <n v="1132.5400000000002"/>
    <m/>
    <n v="20"/>
    <x v="0"/>
    <n v="1132.5400000000002"/>
    <n v="30037.069999999996"/>
    <m/>
    <x v="0"/>
    <x v="0"/>
    <n v="0"/>
    <n v="0"/>
    <x v="0"/>
    <x v="0"/>
    <m/>
    <x v="9"/>
    <x v="0"/>
    <x v="0"/>
    <x v="0"/>
    <x v="0"/>
    <n v="15"/>
    <n v="0.25"/>
    <n v="0.25"/>
    <n v="11.75"/>
    <x v="1"/>
    <x v="0"/>
    <m/>
    <x v="0"/>
    <n v="1139.5400000000002"/>
    <x v="0"/>
    <x v="15"/>
    <x v="5"/>
    <x v="0"/>
    <x v="0"/>
  </r>
  <r>
    <x v="1"/>
    <x v="12"/>
    <s v="2823/2"/>
    <x v="165"/>
    <s v="C/O JAVAID SB"/>
    <s v="LDN"/>
    <n v="42"/>
    <n v="3"/>
    <s v="LDN"/>
    <n v="0"/>
    <x v="0"/>
    <n v="43"/>
    <n v="1107.95"/>
    <m/>
    <n v="15"/>
    <x v="0"/>
    <n v="1107.95"/>
    <n v="30037.069999999996"/>
    <m/>
    <x v="0"/>
    <x v="0"/>
    <n v="0"/>
    <n v="0"/>
    <x v="0"/>
    <x v="0"/>
    <m/>
    <x v="9"/>
    <x v="0"/>
    <x v="0"/>
    <x v="0"/>
    <x v="0"/>
    <n v="15"/>
    <n v="0.25"/>
    <n v="0.25"/>
    <n v="11.75"/>
    <x v="1"/>
    <x v="0"/>
    <m/>
    <x v="0"/>
    <n v="1114.95"/>
    <x v="0"/>
    <x v="15"/>
    <x v="5"/>
    <x v="0"/>
    <x v="0"/>
  </r>
  <r>
    <x v="0"/>
    <x v="14"/>
    <s v="2473 F"/>
    <x v="165"/>
    <s v="Usman Amin"/>
    <s v="LDN"/>
    <n v="21"/>
    <s v="5-5.5"/>
    <s v="LDN"/>
    <n v="120"/>
    <x v="0"/>
    <n v="2"/>
    <n v="94"/>
    <n v="5"/>
    <n v="80"/>
    <x v="0"/>
    <n v="89"/>
    <n v="196.3"/>
    <n v="20"/>
    <x v="0"/>
    <x v="0"/>
    <n v="20"/>
    <n v="0.33333333333333331"/>
    <x v="0"/>
    <x v="0"/>
    <m/>
    <x v="0"/>
    <x v="0"/>
    <x v="0"/>
    <x v="0"/>
    <x v="0"/>
    <n v="0"/>
    <n v="0"/>
    <n v="0.33333333333333331"/>
    <n v="11.666666666666666"/>
    <x v="1"/>
    <x v="0"/>
    <m/>
    <x v="0"/>
    <n v="101"/>
    <x v="0"/>
    <x v="15"/>
    <x v="5"/>
    <x v="0"/>
    <x v="0"/>
  </r>
  <r>
    <x v="0"/>
    <x v="14"/>
    <s v="5598 J"/>
    <x v="165"/>
    <s v="Nawab Jilani Plastic Layyah"/>
    <s v="LDM"/>
    <n v="20"/>
    <s v="14-15"/>
    <s v="LDM"/>
    <n v="100"/>
    <x v="0"/>
    <n v="2"/>
    <n v="114.80000000000001"/>
    <n v="4.8"/>
    <m/>
    <x v="0"/>
    <n v="110.00000000000001"/>
    <n v="110.00000000000001"/>
    <n v="5"/>
    <x v="0"/>
    <x v="0"/>
    <n v="5"/>
    <n v="8.3333333333333329E-2"/>
    <x v="0"/>
    <x v="0"/>
    <m/>
    <x v="0"/>
    <x v="0"/>
    <x v="0"/>
    <x v="0"/>
    <x v="0"/>
    <n v="0"/>
    <n v="0"/>
    <n v="8.3333333333333329E-2"/>
    <n v="11.916666666666666"/>
    <x v="1"/>
    <x v="0"/>
    <m/>
    <x v="0"/>
    <n v="121.80000000000001"/>
    <x v="0"/>
    <x v="15"/>
    <x v="5"/>
    <x v="0"/>
    <x v="0"/>
  </r>
  <r>
    <x v="0"/>
    <x v="14"/>
    <s v="5619 J"/>
    <x v="165"/>
    <s v="Alam Printers Butkhela"/>
    <s v="LDM"/>
    <n v="21.5"/>
    <s v="15-16"/>
    <s v="LDM"/>
    <n v="100"/>
    <x v="0"/>
    <n v="2"/>
    <n v="112.4"/>
    <n v="5"/>
    <m/>
    <x v="0"/>
    <n v="107.4"/>
    <n v="107.4"/>
    <n v="3"/>
    <x v="0"/>
    <x v="0"/>
    <n v="3"/>
    <n v="0.05"/>
    <x v="0"/>
    <x v="0"/>
    <m/>
    <x v="0"/>
    <x v="0"/>
    <x v="0"/>
    <x v="0"/>
    <x v="0"/>
    <n v="0"/>
    <n v="0"/>
    <n v="0.05"/>
    <n v="11.95"/>
    <x v="1"/>
    <x v="0"/>
    <m/>
    <x v="0"/>
    <n v="119.4"/>
    <x v="0"/>
    <x v="15"/>
    <x v="5"/>
    <x v="0"/>
    <x v="0"/>
  </r>
  <r>
    <x v="0"/>
    <x v="14"/>
    <s v="5614 J"/>
    <x v="165"/>
    <s v="Alam Printers Butkhela"/>
    <s v="LDM"/>
    <n v="18"/>
    <s v="13-14"/>
    <s v="LDM"/>
    <n v="100"/>
    <x v="0"/>
    <n v="2"/>
    <n v="113.1"/>
    <n v="4.5999999999999996"/>
    <m/>
    <x v="0"/>
    <n v="108.5"/>
    <n v="108.5"/>
    <m/>
    <x v="0"/>
    <x v="0"/>
    <n v="0"/>
    <n v="0"/>
    <x v="0"/>
    <x v="0"/>
    <m/>
    <x v="0"/>
    <x v="0"/>
    <x v="0"/>
    <x v="0"/>
    <x v="0"/>
    <n v="0"/>
    <n v="0"/>
    <n v="0"/>
    <n v="12"/>
    <x v="1"/>
    <x v="0"/>
    <m/>
    <x v="0"/>
    <n v="120.1"/>
    <x v="0"/>
    <x v="15"/>
    <x v="5"/>
    <x v="0"/>
    <x v="0"/>
  </r>
  <r>
    <x v="0"/>
    <x v="14"/>
    <s v="5613 J"/>
    <x v="165"/>
    <s v="Zam Zam Shopping Mall Lahore"/>
    <s v="LDM"/>
    <n v="17"/>
    <s v="13-14"/>
    <s v="LDM"/>
    <n v="100"/>
    <x v="0"/>
    <n v="2"/>
    <n v="122.1"/>
    <n v="4"/>
    <m/>
    <x v="0"/>
    <n v="118.1"/>
    <n v="118.1"/>
    <m/>
    <x v="0"/>
    <x v="0"/>
    <n v="0"/>
    <n v="0"/>
    <x v="0"/>
    <x v="0"/>
    <m/>
    <x v="0"/>
    <x v="0"/>
    <x v="0"/>
    <x v="0"/>
    <x v="0"/>
    <n v="0"/>
    <n v="0"/>
    <n v="0"/>
    <n v="12"/>
    <x v="1"/>
    <x v="0"/>
    <m/>
    <x v="0"/>
    <n v="129.1"/>
    <x v="0"/>
    <x v="15"/>
    <x v="5"/>
    <x v="0"/>
    <x v="0"/>
  </r>
  <r>
    <x v="1"/>
    <x v="14"/>
    <s v="2824/2"/>
    <x v="165"/>
    <s v="PT-02"/>
    <s v="LDN"/>
    <n v="20"/>
    <n v="14"/>
    <s v="LDN"/>
    <n v="1000"/>
    <x v="0"/>
    <n v="7"/>
    <n v="467.44"/>
    <n v="16.8"/>
    <n v="5"/>
    <x v="0"/>
    <n v="450.64"/>
    <n v="1376.96"/>
    <n v="35"/>
    <x v="0"/>
    <x v="0"/>
    <n v="35"/>
    <n v="0.58333333333333337"/>
    <x v="0"/>
    <x v="0"/>
    <m/>
    <x v="2"/>
    <x v="0"/>
    <x v="0"/>
    <x v="0"/>
    <x v="0"/>
    <n v="5"/>
    <n v="8.3333333333333329E-2"/>
    <n v="0.66666666666666674"/>
    <n v="11.333333333333334"/>
    <x v="1"/>
    <x v="0"/>
    <m/>
    <x v="0"/>
    <n v="474.44"/>
    <x v="0"/>
    <x v="15"/>
    <x v="5"/>
    <x v="0"/>
    <x v="0"/>
  </r>
  <r>
    <x v="0"/>
    <x v="15"/>
    <s v="2823/1"/>
    <x v="165"/>
    <s v="C/O JAVAID SB"/>
    <s v="LDN"/>
    <n v="36"/>
    <n v="3"/>
    <s v="LDN"/>
    <n v="0"/>
    <x v="0"/>
    <n v="21"/>
    <n v="497.88"/>
    <m/>
    <n v="36"/>
    <x v="0"/>
    <n v="497.88"/>
    <n v="23186.610000000004"/>
    <m/>
    <x v="0"/>
    <x v="0"/>
    <n v="0"/>
    <n v="0"/>
    <x v="0"/>
    <x v="0"/>
    <m/>
    <x v="0"/>
    <x v="0"/>
    <x v="0"/>
    <x v="10"/>
    <x v="0"/>
    <n v="35"/>
    <n v="0.58333333333333337"/>
    <n v="0.58333333333333337"/>
    <n v="11.416666666666666"/>
    <x v="1"/>
    <x v="0"/>
    <m/>
    <x v="0"/>
    <n v="504.88"/>
    <x v="0"/>
    <x v="15"/>
    <x v="5"/>
    <x v="0"/>
    <x v="0"/>
  </r>
  <r>
    <x v="1"/>
    <x v="15"/>
    <s v="2823/1"/>
    <x v="165"/>
    <s v="C/O JAVAID SB"/>
    <s v="LDN"/>
    <n v="36"/>
    <n v="3"/>
    <s v="LDN"/>
    <n v="0"/>
    <x v="0"/>
    <n v="22"/>
    <n v="523.04"/>
    <m/>
    <n v="5"/>
    <x v="0"/>
    <n v="523.04"/>
    <n v="23186.610000000004"/>
    <m/>
    <x v="0"/>
    <x v="0"/>
    <n v="0"/>
    <n v="0"/>
    <x v="0"/>
    <x v="0"/>
    <m/>
    <x v="0"/>
    <x v="0"/>
    <x v="0"/>
    <x v="0"/>
    <x v="0"/>
    <n v="0"/>
    <n v="0"/>
    <n v="0"/>
    <n v="12"/>
    <x v="1"/>
    <x v="0"/>
    <m/>
    <x v="0"/>
    <n v="530.04"/>
    <x v="0"/>
    <x v="15"/>
    <x v="5"/>
    <x v="0"/>
    <x v="0"/>
  </r>
  <r>
    <x v="0"/>
    <x v="9"/>
    <s v="5610 J"/>
    <x v="166"/>
    <s v="Shah Jee Achar Mardan"/>
    <s v="LDN"/>
    <n v="5"/>
    <s v="12-13"/>
    <s v="LDN"/>
    <n v="100"/>
    <x v="0"/>
    <n v="2"/>
    <n v="43.08"/>
    <n v="1.4"/>
    <n v="8"/>
    <x v="0"/>
    <n v="41.68"/>
    <n v="96.52"/>
    <m/>
    <x v="0"/>
    <x v="0"/>
    <n v="0"/>
    <n v="0"/>
    <x v="0"/>
    <x v="0"/>
    <m/>
    <x v="0"/>
    <x v="0"/>
    <x v="0"/>
    <x v="0"/>
    <x v="0"/>
    <n v="0"/>
    <n v="0"/>
    <n v="0"/>
    <n v="12"/>
    <x v="1"/>
    <x v="0"/>
    <m/>
    <x v="0"/>
    <n v="135"/>
    <x v="0"/>
    <x v="15"/>
    <x v="5"/>
    <x v="0"/>
    <x v="0"/>
  </r>
  <r>
    <x v="0"/>
    <x v="9"/>
    <s v="2498 F"/>
    <x v="166"/>
    <s v="Usman Amin"/>
    <s v="LDN"/>
    <n v="10"/>
    <s v="6-6.5"/>
    <s v="LDN"/>
    <n v="40"/>
    <x v="0"/>
    <n v="3"/>
    <n v="94.2"/>
    <n v="3.3000000000000003"/>
    <m/>
    <x v="0"/>
    <n v="90.9"/>
    <n v="90.9"/>
    <m/>
    <x v="0"/>
    <x v="0"/>
    <n v="0"/>
    <n v="0"/>
    <x v="0"/>
    <x v="0"/>
    <m/>
    <x v="0"/>
    <x v="0"/>
    <x v="0"/>
    <x v="0"/>
    <x v="0"/>
    <n v="0"/>
    <n v="0"/>
    <n v="0"/>
    <n v="12"/>
    <x v="1"/>
    <x v="0"/>
    <m/>
    <x v="0"/>
    <n v="200"/>
    <x v="0"/>
    <x v="15"/>
    <x v="5"/>
    <x v="0"/>
    <x v="0"/>
  </r>
  <r>
    <x v="1"/>
    <x v="9"/>
    <s v="5617 J"/>
    <x v="166"/>
    <s v="Alam Printers Butkhela"/>
    <s v="LDN"/>
    <n v="12"/>
    <s v="14-15"/>
    <s v="LDN"/>
    <n v="100"/>
    <x v="0"/>
    <n v="2"/>
    <n v="104.16"/>
    <n v="2.6"/>
    <n v="5"/>
    <x v="0"/>
    <n v="101.56"/>
    <n v="101.56"/>
    <m/>
    <x v="0"/>
    <x v="0"/>
    <n v="0"/>
    <n v="0"/>
    <x v="0"/>
    <x v="0"/>
    <m/>
    <x v="0"/>
    <x v="0"/>
    <x v="0"/>
    <x v="0"/>
    <x v="0"/>
    <n v="0"/>
    <n v="0"/>
    <n v="0"/>
    <n v="12"/>
    <x v="1"/>
    <x v="0"/>
    <m/>
    <x v="0"/>
    <m/>
    <x v="0"/>
    <x v="15"/>
    <x v="5"/>
    <x v="0"/>
    <x v="0"/>
  </r>
  <r>
    <x v="1"/>
    <x v="9"/>
    <s v="5618 J"/>
    <x v="166"/>
    <s v="Alam Printers Butkhela"/>
    <s v="LDN"/>
    <n v="8"/>
    <s v="14-15"/>
    <s v="LDN"/>
    <n v="100"/>
    <x v="0"/>
    <n v="3"/>
    <n v="98"/>
    <n v="2.4000000000000004"/>
    <m/>
    <x v="0"/>
    <n v="95.6"/>
    <n v="95.6"/>
    <m/>
    <x v="0"/>
    <x v="0"/>
    <n v="0"/>
    <n v="0"/>
    <x v="0"/>
    <x v="0"/>
    <m/>
    <x v="0"/>
    <x v="0"/>
    <x v="0"/>
    <x v="0"/>
    <x v="0"/>
    <n v="0"/>
    <n v="0"/>
    <n v="0"/>
    <n v="12"/>
    <x v="1"/>
    <x v="0"/>
    <m/>
    <x v="0"/>
    <m/>
    <x v="0"/>
    <x v="15"/>
    <x v="5"/>
    <x v="0"/>
    <x v="0"/>
  </r>
  <r>
    <x v="1"/>
    <x v="11"/>
    <s v="5579 J"/>
    <x v="166"/>
    <s v="Javed Enterprises Gujranwala"/>
    <s v="LDM"/>
    <n v="14"/>
    <s v="20-21"/>
    <s v="LDM"/>
    <n v="500"/>
    <x v="0"/>
    <n v="2"/>
    <n v="81.800000000000011"/>
    <n v="3.2"/>
    <n v="35"/>
    <x v="0"/>
    <n v="78.600000000000009"/>
    <n v="419"/>
    <m/>
    <x v="2"/>
    <x v="0"/>
    <n v="150"/>
    <n v="2.5"/>
    <x v="0"/>
    <x v="0"/>
    <m/>
    <x v="0"/>
    <x v="0"/>
    <x v="0"/>
    <x v="0"/>
    <x v="0"/>
    <n v="0"/>
    <n v="0"/>
    <n v="2.5"/>
    <n v="9.5"/>
    <x v="1"/>
    <x v="0"/>
    <m/>
    <x v="0"/>
    <n v="200"/>
    <x v="0"/>
    <x v="15"/>
    <x v="5"/>
    <x v="0"/>
    <x v="0"/>
  </r>
  <r>
    <x v="1"/>
    <x v="11"/>
    <s v="2824/3"/>
    <x v="166"/>
    <s v="PT-02"/>
    <s v="LDN"/>
    <n v="14"/>
    <n v="14"/>
    <s v="LDN"/>
    <n v="1500"/>
    <x v="0"/>
    <n v="2"/>
    <n v="104.1"/>
    <n v="3.4"/>
    <m/>
    <x v="0"/>
    <n v="100.69999999999999"/>
    <n v="1616.5"/>
    <m/>
    <x v="0"/>
    <x v="0"/>
    <n v="0"/>
    <n v="0"/>
    <x v="0"/>
    <x v="0"/>
    <m/>
    <x v="0"/>
    <x v="0"/>
    <x v="0"/>
    <x v="0"/>
    <x v="0"/>
    <n v="0"/>
    <n v="0"/>
    <n v="0"/>
    <n v="12"/>
    <x v="1"/>
    <x v="0"/>
    <m/>
    <x v="0"/>
    <m/>
    <x v="0"/>
    <x v="15"/>
    <x v="5"/>
    <x v="0"/>
    <x v="0"/>
  </r>
  <r>
    <x v="0"/>
    <x v="13"/>
    <s v="2495 F"/>
    <x v="166"/>
    <s v="Usman Amin"/>
    <s v="LDN"/>
    <n v="16"/>
    <s v="8"/>
    <s v="LDN"/>
    <n v="200"/>
    <x v="0"/>
    <n v="3"/>
    <n v="189.76000000000002"/>
    <n v="5.0999999999999996"/>
    <n v="15"/>
    <x v="0"/>
    <n v="184.66000000000003"/>
    <n v="229.76000000000002"/>
    <n v="6"/>
    <x v="0"/>
    <x v="0"/>
    <n v="6"/>
    <n v="0.1"/>
    <x v="0"/>
    <x v="0"/>
    <m/>
    <x v="0"/>
    <x v="0"/>
    <x v="0"/>
    <x v="0"/>
    <x v="0"/>
    <n v="0"/>
    <n v="0"/>
    <n v="0.1"/>
    <n v="11.9"/>
    <x v="1"/>
    <x v="0"/>
    <m/>
    <x v="0"/>
    <n v="400"/>
    <x v="0"/>
    <x v="15"/>
    <x v="5"/>
    <x v="0"/>
    <x v="0"/>
  </r>
  <r>
    <x v="0"/>
    <x v="13"/>
    <s v="2502 F"/>
    <x v="166"/>
    <s v="Usman Amin"/>
    <s v="LDN"/>
    <n v="18"/>
    <s v="8-8.5"/>
    <s v="LDN"/>
    <n v="60"/>
    <x v="0"/>
    <n v="1"/>
    <n v="76.099999999999994"/>
    <n v="2.2000000000000002"/>
    <m/>
    <x v="0"/>
    <n v="73.899999999999991"/>
    <n v="73.899999999999991"/>
    <n v="6"/>
    <x v="0"/>
    <x v="0"/>
    <n v="6"/>
    <n v="0.1"/>
    <x v="0"/>
    <x v="0"/>
    <m/>
    <x v="0"/>
    <x v="0"/>
    <x v="0"/>
    <x v="0"/>
    <x v="0"/>
    <n v="0"/>
    <n v="0"/>
    <n v="0.1"/>
    <n v="11.9"/>
    <x v="1"/>
    <x v="0"/>
    <m/>
    <x v="0"/>
    <m/>
    <x v="0"/>
    <x v="15"/>
    <x v="5"/>
    <x v="0"/>
    <x v="0"/>
  </r>
  <r>
    <x v="0"/>
    <x v="13"/>
    <s v="2479 F"/>
    <x v="166"/>
    <s v="Usman Amin"/>
    <s v="LDN"/>
    <n v="24"/>
    <s v="7"/>
    <s v="LDN"/>
    <n v="110"/>
    <x v="0"/>
    <n v="2"/>
    <n v="128.6"/>
    <n v="4"/>
    <m/>
    <x v="0"/>
    <n v="124.6"/>
    <n v="124.6"/>
    <m/>
    <x v="0"/>
    <x v="0"/>
    <n v="0"/>
    <n v="0"/>
    <x v="0"/>
    <x v="0"/>
    <m/>
    <x v="0"/>
    <x v="0"/>
    <x v="0"/>
    <x v="0"/>
    <x v="0"/>
    <n v="0"/>
    <n v="0"/>
    <n v="0"/>
    <n v="12"/>
    <x v="1"/>
    <x v="0"/>
    <m/>
    <x v="0"/>
    <m/>
    <x v="0"/>
    <x v="15"/>
    <x v="5"/>
    <x v="0"/>
    <x v="0"/>
  </r>
  <r>
    <x v="1"/>
    <x v="13"/>
    <s v="2515 F"/>
    <x v="166"/>
    <s v=" Usman Amin "/>
    <s v=" LDN "/>
    <n v="28"/>
    <s v="8"/>
    <s v=" LDN "/>
    <n v="70"/>
    <x v="0"/>
    <n v="1"/>
    <n v="76.599999999999994"/>
    <n v="4"/>
    <m/>
    <x v="0"/>
    <n v="72.599999999999994"/>
    <n v="72.599999999999994"/>
    <m/>
    <x v="0"/>
    <x v="0"/>
    <n v="0"/>
    <n v="0"/>
    <x v="0"/>
    <x v="0"/>
    <m/>
    <x v="0"/>
    <x v="0"/>
    <x v="0"/>
    <x v="0"/>
    <x v="0"/>
    <n v="0"/>
    <n v="0"/>
    <n v="0"/>
    <n v="12"/>
    <x v="1"/>
    <x v="0"/>
    <m/>
    <x v="0"/>
    <n v="440"/>
    <x v="0"/>
    <x v="15"/>
    <x v="5"/>
    <x v="0"/>
    <x v="0"/>
  </r>
  <r>
    <x v="1"/>
    <x v="13"/>
    <s v="2513 F"/>
    <x v="166"/>
    <s v="Usman Amin"/>
    <s v="LDN"/>
    <n v="19"/>
    <s v="12"/>
    <s v="LDN"/>
    <n v="500"/>
    <x v="0"/>
    <n v="5"/>
    <n v="364.1"/>
    <n v="10"/>
    <n v="6"/>
    <x v="0"/>
    <n v="354.1"/>
    <n v="508.48"/>
    <m/>
    <x v="0"/>
    <x v="0"/>
    <n v="0"/>
    <n v="0"/>
    <x v="0"/>
    <x v="0"/>
    <m/>
    <x v="0"/>
    <x v="0"/>
    <x v="0"/>
    <x v="0"/>
    <x v="0"/>
    <n v="0"/>
    <n v="0"/>
    <n v="0"/>
    <n v="12"/>
    <x v="1"/>
    <x v="0"/>
    <m/>
    <x v="0"/>
    <m/>
    <x v="0"/>
    <x v="15"/>
    <x v="5"/>
    <x v="0"/>
    <x v="0"/>
  </r>
  <r>
    <x v="0"/>
    <x v="12"/>
    <s v="2823/2"/>
    <x v="166"/>
    <s v="C/O JAVAID SB"/>
    <s v="LDN"/>
    <n v="42"/>
    <n v="3"/>
    <s v="LDN"/>
    <n v="0"/>
    <x v="0"/>
    <n v="38"/>
    <n v="946.76999999999987"/>
    <m/>
    <n v="30"/>
    <x v="0"/>
    <n v="946.76999999999987"/>
    <n v="30037.069999999996"/>
    <m/>
    <x v="0"/>
    <x v="0"/>
    <n v="0"/>
    <n v="0"/>
    <x v="0"/>
    <x v="0"/>
    <m/>
    <x v="0"/>
    <x v="0"/>
    <x v="0"/>
    <x v="12"/>
    <x v="0"/>
    <n v="90"/>
    <n v="1.5"/>
    <n v="1.5"/>
    <n v="10.5"/>
    <x v="1"/>
    <x v="0"/>
    <m/>
    <x v="0"/>
    <n v="1130"/>
    <x v="0"/>
    <x v="15"/>
    <x v="5"/>
    <x v="0"/>
    <x v="0"/>
  </r>
  <r>
    <x v="1"/>
    <x v="12"/>
    <s v="2823/2"/>
    <x v="166"/>
    <s v="C/O JAVAID SB"/>
    <s v="LDN"/>
    <n v="42"/>
    <n v="3"/>
    <s v="LDN"/>
    <n v="0"/>
    <x v="0"/>
    <n v="42"/>
    <n v="1126.28"/>
    <m/>
    <n v="20"/>
    <x v="0"/>
    <n v="1126.28"/>
    <n v="30037.069999999996"/>
    <m/>
    <x v="0"/>
    <x v="0"/>
    <n v="0"/>
    <n v="0"/>
    <x v="0"/>
    <x v="0"/>
    <m/>
    <x v="0"/>
    <x v="0"/>
    <x v="0"/>
    <x v="0"/>
    <x v="0"/>
    <n v="0"/>
    <n v="0"/>
    <n v="0"/>
    <n v="12"/>
    <x v="1"/>
    <x v="0"/>
    <m/>
    <x v="0"/>
    <n v="1130"/>
    <x v="0"/>
    <x v="15"/>
    <x v="5"/>
    <x v="0"/>
    <x v="0"/>
  </r>
  <r>
    <x v="0"/>
    <x v="14"/>
    <s v="2824/2"/>
    <x v="166"/>
    <s v="PT-02"/>
    <s v="LDN"/>
    <n v="20"/>
    <n v="14"/>
    <s v="LDN"/>
    <n v="1000"/>
    <x v="0"/>
    <n v="3"/>
    <n v="236.2"/>
    <n v="7.1999999999999993"/>
    <n v="8"/>
    <x v="0"/>
    <n v="229"/>
    <n v="1376.96"/>
    <n v="5"/>
    <x v="0"/>
    <x v="0"/>
    <n v="5"/>
    <n v="8.3333333333333329E-2"/>
    <x v="0"/>
    <x v="0"/>
    <m/>
    <x v="0"/>
    <x v="0"/>
    <x v="0"/>
    <x v="0"/>
    <x v="0"/>
    <n v="0"/>
    <n v="0"/>
    <n v="8.3333333333333329E-2"/>
    <n v="11.916666666666666"/>
    <x v="1"/>
    <x v="0"/>
    <m/>
    <x v="0"/>
    <n v="520"/>
    <x v="0"/>
    <x v="15"/>
    <x v="5"/>
    <x v="0"/>
    <x v="0"/>
  </r>
  <r>
    <x v="0"/>
    <x v="14"/>
    <s v="2491 F"/>
    <x v="166"/>
    <s v="Usman Amin"/>
    <s v="LDN"/>
    <s v="27 SHEET"/>
    <s v="3.3.5/6.7"/>
    <s v="LDN"/>
    <n v="200"/>
    <x v="0"/>
    <n v="4"/>
    <n v="224"/>
    <n v="9.1999999999999993"/>
    <m/>
    <x v="0"/>
    <n v="214.8"/>
    <n v="214.8"/>
    <m/>
    <x v="0"/>
    <x v="0"/>
    <n v="0"/>
    <n v="0"/>
    <x v="0"/>
    <x v="0"/>
    <m/>
    <x v="0"/>
    <x v="0"/>
    <x v="0"/>
    <x v="0"/>
    <x v="0"/>
    <n v="0"/>
    <n v="0"/>
    <n v="0"/>
    <n v="12"/>
    <x v="1"/>
    <x v="0"/>
    <m/>
    <x v="0"/>
    <m/>
    <x v="0"/>
    <x v="15"/>
    <x v="5"/>
    <x v="0"/>
    <x v="0"/>
  </r>
  <r>
    <x v="0"/>
    <x v="14"/>
    <s v="2492 F"/>
    <x v="166"/>
    <s v="Usman Amin"/>
    <s v="LDN"/>
    <s v="36 SHEET"/>
    <s v="3.3.5/6.7"/>
    <s v="LDN"/>
    <n v="250"/>
    <x v="0"/>
    <n v="2"/>
    <n v="143.66"/>
    <n v="68.2"/>
    <m/>
    <x v="0"/>
    <n v="75.459999999999994"/>
    <n v="223.5"/>
    <m/>
    <x v="0"/>
    <x v="0"/>
    <n v="0"/>
    <n v="0"/>
    <x v="0"/>
    <x v="0"/>
    <m/>
    <x v="0"/>
    <x v="0"/>
    <x v="0"/>
    <x v="0"/>
    <x v="0"/>
    <n v="0"/>
    <n v="0"/>
    <n v="0"/>
    <n v="12"/>
    <x v="1"/>
    <x v="0"/>
    <m/>
    <x v="0"/>
    <m/>
    <x v="0"/>
    <x v="15"/>
    <x v="5"/>
    <x v="0"/>
    <x v="0"/>
  </r>
  <r>
    <x v="1"/>
    <x v="14"/>
    <s v="2824/2"/>
    <x v="166"/>
    <s v="PT-02"/>
    <s v="LDN"/>
    <n v="20"/>
    <n v="14"/>
    <s v="LDN"/>
    <n v="1000"/>
    <x v="0"/>
    <n v="4"/>
    <n v="381.32"/>
    <n v="10"/>
    <n v="10"/>
    <x v="0"/>
    <n v="371.32"/>
    <n v="1376.96"/>
    <n v="7"/>
    <x v="0"/>
    <x v="0"/>
    <n v="7"/>
    <n v="0.11666666666666667"/>
    <x v="0"/>
    <x v="1"/>
    <m/>
    <x v="0"/>
    <x v="0"/>
    <x v="0"/>
    <x v="0"/>
    <x v="0"/>
    <n v="10"/>
    <n v="0.16666666666666666"/>
    <n v="0.28333333333333333"/>
    <n v="11.716666666666667"/>
    <x v="1"/>
    <x v="0"/>
    <m/>
    <x v="0"/>
    <n v="650"/>
    <x v="0"/>
    <x v="15"/>
    <x v="5"/>
    <x v="0"/>
    <x v="0"/>
  </r>
  <r>
    <x v="1"/>
    <x v="14"/>
    <s v="2492 F"/>
    <x v="166"/>
    <s v="Usman Amin"/>
    <s v="LDN"/>
    <s v="36 SHEET"/>
    <s v="3.3.5/6.7"/>
    <s v="LDN"/>
    <n v="250"/>
    <x v="0"/>
    <n v="2"/>
    <n v="155.24"/>
    <n v="7.2"/>
    <m/>
    <x v="0"/>
    <n v="148.04000000000002"/>
    <n v="223.5"/>
    <n v="7"/>
    <x v="0"/>
    <x v="0"/>
    <n v="7"/>
    <n v="0.11666666666666667"/>
    <x v="0"/>
    <x v="1"/>
    <m/>
    <x v="0"/>
    <x v="0"/>
    <x v="0"/>
    <x v="0"/>
    <x v="0"/>
    <n v="10"/>
    <n v="0.16666666666666666"/>
    <n v="0.28333333333333333"/>
    <n v="11.716666666666667"/>
    <x v="1"/>
    <x v="0"/>
    <m/>
    <x v="0"/>
    <m/>
    <x v="0"/>
    <x v="15"/>
    <x v="5"/>
    <x v="0"/>
    <x v="0"/>
  </r>
  <r>
    <x v="0"/>
    <x v="15"/>
    <s v="2823/1"/>
    <x v="166"/>
    <s v="C/O JAVAID SB"/>
    <s v="LDN"/>
    <n v="36"/>
    <n v="3"/>
    <s v="LDN"/>
    <n v="0"/>
    <x v="0"/>
    <n v="26"/>
    <n v="609.9"/>
    <m/>
    <n v="10"/>
    <x v="0"/>
    <n v="609.9"/>
    <n v="23186.610000000004"/>
    <m/>
    <x v="0"/>
    <x v="0"/>
    <n v="0"/>
    <n v="0"/>
    <x v="0"/>
    <x v="0"/>
    <m/>
    <x v="1"/>
    <x v="0"/>
    <x v="0"/>
    <x v="10"/>
    <x v="0"/>
    <n v="45"/>
    <n v="0.75"/>
    <n v="0.75"/>
    <n v="11.25"/>
    <x v="1"/>
    <x v="0"/>
    <m/>
    <x v="0"/>
    <n v="680"/>
    <x v="0"/>
    <x v="15"/>
    <x v="5"/>
    <x v="0"/>
    <x v="0"/>
  </r>
  <r>
    <x v="1"/>
    <x v="15"/>
    <s v="2823/1"/>
    <x v="166"/>
    <s v="C/O JAVAID SB"/>
    <s v="LDN"/>
    <n v="36"/>
    <n v="3"/>
    <s v="LDN"/>
    <n v="0"/>
    <x v="0"/>
    <n v="28"/>
    <n v="679.75999999999988"/>
    <m/>
    <n v="10"/>
    <x v="0"/>
    <n v="679.75999999999988"/>
    <n v="23186.610000000004"/>
    <m/>
    <x v="0"/>
    <x v="0"/>
    <n v="0"/>
    <n v="0"/>
    <x v="0"/>
    <x v="0"/>
    <m/>
    <x v="0"/>
    <x v="0"/>
    <x v="0"/>
    <x v="0"/>
    <x v="0"/>
    <n v="0"/>
    <n v="0"/>
    <n v="0"/>
    <n v="12"/>
    <x v="1"/>
    <x v="0"/>
    <m/>
    <x v="0"/>
    <n v="680"/>
    <x v="0"/>
    <x v="15"/>
    <x v="5"/>
    <x v="0"/>
    <x v="0"/>
  </r>
  <r>
    <x v="1"/>
    <x v="8"/>
    <s v="5775 J"/>
    <x v="167"/>
    <s v="Bundu Khan Lahore"/>
    <s v="LDN"/>
    <n v="8"/>
    <s v="6-6.5"/>
    <s v="LDN"/>
    <n v="150"/>
    <x v="0"/>
    <n v="3"/>
    <n v="118.75"/>
    <n v="3"/>
    <n v="10"/>
    <x v="0"/>
    <n v="115.75"/>
    <n v="158.44999999999999"/>
    <m/>
    <x v="2"/>
    <x v="0"/>
    <n v="150"/>
    <n v="2.5"/>
    <x v="0"/>
    <x v="0"/>
    <m/>
    <x v="0"/>
    <x v="0"/>
    <x v="0"/>
    <x v="0"/>
    <x v="0"/>
    <n v="0"/>
    <n v="0"/>
    <n v="2.5"/>
    <n v="9.5"/>
    <x v="1"/>
    <x v="0"/>
    <m/>
    <x v="0"/>
    <n v="123.75"/>
    <x v="0"/>
    <x v="15"/>
    <x v="5"/>
    <x v="0"/>
    <x v="0"/>
  </r>
  <r>
    <x v="0"/>
    <x v="9"/>
    <s v="5620 J"/>
    <x v="167"/>
    <s v="Bundu Khan Lahore"/>
    <s v="LDN"/>
    <n v="8"/>
    <s v="6-6.5"/>
    <s v="LDN"/>
    <n v="200"/>
    <x v="0"/>
    <n v="5"/>
    <n v="154.51999999999998"/>
    <n v="5.42"/>
    <m/>
    <x v="0"/>
    <n v="149.1"/>
    <n v="199.89999999999998"/>
    <m/>
    <x v="0"/>
    <x v="0"/>
    <n v="0"/>
    <n v="0"/>
    <x v="0"/>
    <x v="0"/>
    <m/>
    <x v="0"/>
    <x v="0"/>
    <x v="0"/>
    <x v="0"/>
    <x v="0"/>
    <n v="0"/>
    <n v="0"/>
    <n v="0"/>
    <n v="12"/>
    <x v="1"/>
    <x v="0"/>
    <m/>
    <x v="0"/>
    <n v="159.51999999999998"/>
    <x v="0"/>
    <x v="15"/>
    <x v="5"/>
    <x v="0"/>
    <x v="0"/>
  </r>
  <r>
    <x v="1"/>
    <x v="9"/>
    <s v="5620 J"/>
    <x v="167"/>
    <s v="Bundu Khan Lahore"/>
    <s v="LDN"/>
    <n v="8"/>
    <s v="6-6.5"/>
    <s v="LDN"/>
    <n v="200"/>
    <x v="0"/>
    <n v="2"/>
    <n v="52.8"/>
    <n v="2"/>
    <n v="4"/>
    <x v="0"/>
    <n v="50.8"/>
    <n v="199.89999999999998"/>
    <m/>
    <x v="0"/>
    <x v="0"/>
    <n v="0"/>
    <n v="0"/>
    <x v="7"/>
    <x v="0"/>
    <m/>
    <x v="0"/>
    <x v="0"/>
    <x v="0"/>
    <x v="0"/>
    <x v="0"/>
    <n v="90"/>
    <n v="1.5"/>
    <n v="1.5"/>
    <n v="10.5"/>
    <x v="1"/>
    <x v="0"/>
    <m/>
    <x v="0"/>
    <n v="57.8"/>
    <x v="0"/>
    <x v="15"/>
    <x v="5"/>
    <x v="0"/>
    <x v="0"/>
  </r>
  <r>
    <x v="1"/>
    <x v="9"/>
    <s v="5621 J"/>
    <x v="167"/>
    <s v="Bundu Khan Lahore"/>
    <s v="LDN"/>
    <n v="7"/>
    <s v="6-6.5"/>
    <s v="LDN"/>
    <n v="100"/>
    <x v="0"/>
    <n v="2"/>
    <n v="60.4"/>
    <n v="1.6"/>
    <m/>
    <x v="0"/>
    <n v="58.8"/>
    <n v="58.8"/>
    <m/>
    <x v="0"/>
    <x v="0"/>
    <n v="0"/>
    <n v="0"/>
    <x v="0"/>
    <x v="0"/>
    <m/>
    <x v="0"/>
    <x v="0"/>
    <x v="0"/>
    <x v="0"/>
    <x v="0"/>
    <n v="0"/>
    <n v="0"/>
    <n v="0"/>
    <n v="12"/>
    <x v="1"/>
    <x v="0"/>
    <m/>
    <x v="0"/>
    <n v="65.400000000000006"/>
    <x v="0"/>
    <x v="15"/>
    <x v="5"/>
    <x v="0"/>
    <x v="0"/>
  </r>
  <r>
    <x v="0"/>
    <x v="13"/>
    <s v="2513 F"/>
    <x v="167"/>
    <s v="Usman Amin"/>
    <s v="LDN"/>
    <n v="19"/>
    <s v="12"/>
    <s v="LDN"/>
    <n v="500"/>
    <x v="0"/>
    <n v="2"/>
    <n v="158.98000000000002"/>
    <n v="4.5999999999999996"/>
    <n v="8"/>
    <x v="0"/>
    <n v="154.38000000000002"/>
    <n v="508.48"/>
    <m/>
    <x v="0"/>
    <x v="0"/>
    <n v="0"/>
    <n v="0"/>
    <x v="8"/>
    <x v="0"/>
    <m/>
    <x v="0"/>
    <x v="0"/>
    <x v="0"/>
    <x v="0"/>
    <x v="0"/>
    <n v="120"/>
    <n v="2"/>
    <n v="2"/>
    <n v="10"/>
    <x v="1"/>
    <x v="0"/>
    <m/>
    <x v="0"/>
    <n v="163.98000000000002"/>
    <x v="0"/>
    <x v="15"/>
    <x v="5"/>
    <x v="0"/>
    <x v="0"/>
  </r>
  <r>
    <x v="0"/>
    <x v="13"/>
    <s v="2518 F"/>
    <x v="167"/>
    <s v=" Usman Amin "/>
    <s v=" LDN "/>
    <n v="11"/>
    <s v="12"/>
    <s v=" LDN "/>
    <n v="100"/>
    <x v="0"/>
    <n v="2"/>
    <n v="106.74"/>
    <n v="2.6"/>
    <m/>
    <x v="0"/>
    <n v="104.14"/>
    <n v="104.14"/>
    <m/>
    <x v="0"/>
    <x v="0"/>
    <n v="0"/>
    <n v="0"/>
    <x v="0"/>
    <x v="0"/>
    <m/>
    <x v="0"/>
    <x v="0"/>
    <x v="0"/>
    <x v="0"/>
    <x v="0"/>
    <n v="0"/>
    <n v="0"/>
    <n v="0"/>
    <n v="12"/>
    <x v="1"/>
    <x v="0"/>
    <m/>
    <x v="0"/>
    <n v="111.74"/>
    <x v="0"/>
    <x v="15"/>
    <x v="5"/>
    <x v="0"/>
    <x v="0"/>
  </r>
  <r>
    <x v="1"/>
    <x v="13"/>
    <s v="2493 F"/>
    <x v="167"/>
    <s v="Usman Amin"/>
    <s v="LDN"/>
    <n v="14"/>
    <s v="8"/>
    <s v="LDN"/>
    <n v="100"/>
    <x v="0"/>
    <n v="2"/>
    <n v="135.1"/>
    <n v="3.2"/>
    <n v="22"/>
    <x v="0"/>
    <n v="131.9"/>
    <n v="131.9"/>
    <n v="5"/>
    <x v="0"/>
    <x v="0"/>
    <n v="5"/>
    <n v="8.3333333333333329E-2"/>
    <x v="0"/>
    <x v="0"/>
    <m/>
    <x v="0"/>
    <x v="0"/>
    <x v="0"/>
    <x v="0"/>
    <x v="0"/>
    <n v="0"/>
    <n v="0"/>
    <n v="8.3333333333333329E-2"/>
    <n v="11.916666666666666"/>
    <x v="1"/>
    <x v="0"/>
    <m/>
    <x v="0"/>
    <n v="140.1"/>
    <x v="0"/>
    <x v="15"/>
    <x v="5"/>
    <x v="0"/>
    <x v="0"/>
  </r>
  <r>
    <x v="1"/>
    <x v="13"/>
    <s v="2519 F"/>
    <x v="167"/>
    <s v=" Usman Amin "/>
    <s v=" LDN "/>
    <n v="19"/>
    <s v="12"/>
    <s v=" LDN "/>
    <n v="500"/>
    <x v="0"/>
    <n v="2"/>
    <n v="205.4"/>
    <n v="4.2"/>
    <m/>
    <x v="0"/>
    <n v="201.20000000000002"/>
    <n v="587.1"/>
    <n v="5"/>
    <x v="0"/>
    <x v="0"/>
    <n v="5"/>
    <n v="8.3333333333333329E-2"/>
    <x v="0"/>
    <x v="0"/>
    <m/>
    <x v="0"/>
    <x v="0"/>
    <x v="0"/>
    <x v="0"/>
    <x v="0"/>
    <n v="0"/>
    <n v="0"/>
    <n v="8.3333333333333329E-2"/>
    <n v="11.916666666666666"/>
    <x v="1"/>
    <x v="0"/>
    <m/>
    <x v="0"/>
    <n v="210.4"/>
    <x v="0"/>
    <x v="15"/>
    <x v="5"/>
    <x v="0"/>
    <x v="0"/>
  </r>
  <r>
    <x v="0"/>
    <x v="11"/>
    <s v="2824/3"/>
    <x v="167"/>
    <s v="PT-02"/>
    <s v="LDN"/>
    <n v="14"/>
    <n v="14"/>
    <s v="LDN"/>
    <n v="1500"/>
    <x v="0"/>
    <n v="3"/>
    <n v="210.16000000000003"/>
    <n v="5.0999999999999996"/>
    <n v="15"/>
    <x v="0"/>
    <n v="205.06000000000003"/>
    <n v="1616.5"/>
    <m/>
    <x v="0"/>
    <x v="0"/>
    <n v="0"/>
    <n v="0"/>
    <x v="0"/>
    <x v="0"/>
    <n v="55"/>
    <x v="0"/>
    <x v="0"/>
    <x v="0"/>
    <x v="0"/>
    <x v="0"/>
    <n v="55"/>
    <n v="0.91666666666666663"/>
    <n v="0.91666666666666663"/>
    <n v="11.083333333333334"/>
    <x v="1"/>
    <x v="0"/>
    <m/>
    <x v="0"/>
    <n v="215.16000000000003"/>
    <x v="0"/>
    <x v="15"/>
    <x v="5"/>
    <x v="0"/>
    <x v="0"/>
  </r>
  <r>
    <x v="1"/>
    <x v="11"/>
    <s v="2824/3"/>
    <x v="167"/>
    <s v="PT-02"/>
    <s v="LDN"/>
    <n v="14"/>
    <n v="14"/>
    <s v="LDN"/>
    <n v="1500"/>
    <x v="0"/>
    <n v="2"/>
    <n v="137.30000000000001"/>
    <n v="3.4"/>
    <n v="5"/>
    <x v="0"/>
    <n v="133.9"/>
    <n v="1616.5"/>
    <n v="5"/>
    <x v="0"/>
    <x v="0"/>
    <n v="5"/>
    <n v="8.3333333333333329E-2"/>
    <x v="0"/>
    <x v="0"/>
    <m/>
    <x v="0"/>
    <x v="0"/>
    <x v="0"/>
    <x v="0"/>
    <x v="0"/>
    <n v="0"/>
    <n v="0"/>
    <n v="8.3333333333333329E-2"/>
    <n v="11.916666666666666"/>
    <x v="1"/>
    <x v="0"/>
    <m/>
    <x v="0"/>
    <n v="142.30000000000001"/>
    <x v="0"/>
    <x v="15"/>
    <x v="5"/>
    <x v="0"/>
    <x v="0"/>
  </r>
  <r>
    <x v="1"/>
    <x v="11"/>
    <s v="2495 F"/>
    <x v="167"/>
    <s v="Usman Amin"/>
    <s v="LDN"/>
    <n v="16"/>
    <s v="8"/>
    <s v="LDN"/>
    <n v="200"/>
    <x v="0"/>
    <n v="1"/>
    <n v="46.8"/>
    <n v="1.7"/>
    <m/>
    <x v="0"/>
    <n v="45.099999999999994"/>
    <n v="229.76000000000002"/>
    <n v="5"/>
    <x v="0"/>
    <x v="0"/>
    <n v="5"/>
    <n v="8.3333333333333329E-2"/>
    <x v="0"/>
    <x v="0"/>
    <m/>
    <x v="0"/>
    <x v="0"/>
    <x v="0"/>
    <x v="0"/>
    <x v="0"/>
    <n v="0"/>
    <n v="0"/>
    <n v="8.3333333333333329E-2"/>
    <n v="11.916666666666666"/>
    <x v="1"/>
    <x v="0"/>
    <m/>
    <x v="0"/>
    <n v="51.8"/>
    <x v="0"/>
    <x v="15"/>
    <x v="5"/>
    <x v="0"/>
    <x v="0"/>
  </r>
  <r>
    <x v="1"/>
    <x v="11"/>
    <s v="5719 J"/>
    <x v="167"/>
    <s v="Bundu Khan Lahore"/>
    <s v="LDN"/>
    <n v="16"/>
    <s v="8-8.5"/>
    <s v="LDN"/>
    <n v="600"/>
    <x v="0"/>
    <n v="2"/>
    <n v="151.6"/>
    <n v="3.7"/>
    <m/>
    <x v="0"/>
    <n v="147.9"/>
    <n v="604.72"/>
    <m/>
    <x v="0"/>
    <x v="0"/>
    <n v="0"/>
    <n v="0"/>
    <x v="0"/>
    <x v="0"/>
    <m/>
    <x v="0"/>
    <x v="0"/>
    <x v="0"/>
    <x v="0"/>
    <x v="0"/>
    <n v="0"/>
    <n v="0"/>
    <n v="0"/>
    <n v="12"/>
    <x v="1"/>
    <x v="0"/>
    <m/>
    <x v="0"/>
    <n v="156.6"/>
    <x v="0"/>
    <x v="15"/>
    <x v="5"/>
    <x v="0"/>
    <x v="0"/>
  </r>
  <r>
    <x v="0"/>
    <x v="14"/>
    <s v="2824/2"/>
    <x v="167"/>
    <s v="PT-02"/>
    <s v="LDN"/>
    <n v="20"/>
    <n v="14"/>
    <s v="LDN"/>
    <n v="1000"/>
    <x v="0"/>
    <n v="4"/>
    <n v="335.59999999999997"/>
    <n v="9.6"/>
    <m/>
    <x v="0"/>
    <n v="325.99999999999994"/>
    <n v="1376.96"/>
    <m/>
    <x v="0"/>
    <x v="0"/>
    <n v="0"/>
    <n v="0"/>
    <x v="0"/>
    <x v="0"/>
    <m/>
    <x v="0"/>
    <x v="0"/>
    <x v="0"/>
    <x v="0"/>
    <x v="0"/>
    <n v="0"/>
    <n v="0"/>
    <n v="0"/>
    <n v="12"/>
    <x v="1"/>
    <x v="0"/>
    <m/>
    <x v="0"/>
    <n v="340.59999999999997"/>
    <x v="0"/>
    <x v="15"/>
    <x v="5"/>
    <x v="0"/>
    <x v="0"/>
  </r>
  <r>
    <x v="0"/>
    <x v="14"/>
    <s v="2530 F"/>
    <x v="167"/>
    <s v="Usman Amin"/>
    <s v="LDN"/>
    <n v="30"/>
    <s v="8"/>
    <s v="LDN"/>
    <n v="165"/>
    <x v="0"/>
    <n v="2"/>
    <n v="176.9"/>
    <n v="7.2"/>
    <m/>
    <x v="0"/>
    <n v="169.70000000000002"/>
    <n v="273.60000000000002"/>
    <n v="5"/>
    <x v="0"/>
    <x v="0"/>
    <n v="5"/>
    <n v="8.3333333333333329E-2"/>
    <x v="0"/>
    <x v="0"/>
    <m/>
    <x v="0"/>
    <x v="0"/>
    <x v="0"/>
    <x v="0"/>
    <x v="0"/>
    <n v="0"/>
    <n v="0"/>
    <n v="8.3333333333333329E-2"/>
    <n v="11.916666666666666"/>
    <x v="1"/>
    <x v="0"/>
    <m/>
    <x v="0"/>
    <n v="181.9"/>
    <x v="0"/>
    <x v="15"/>
    <x v="5"/>
    <x v="0"/>
    <x v="0"/>
  </r>
  <r>
    <x v="0"/>
    <x v="14"/>
    <s v="SAMPLE"/>
    <x v="167"/>
    <s v="-"/>
    <m/>
    <m/>
    <m/>
    <m/>
    <m/>
    <x v="0"/>
    <n v="1"/>
    <n v="65"/>
    <n v="0.2"/>
    <m/>
    <x v="0"/>
    <n v="64.8"/>
    <n v="862.72"/>
    <n v="5"/>
    <x v="0"/>
    <x v="0"/>
    <n v="5"/>
    <n v="8.3333333333333329E-2"/>
    <x v="0"/>
    <x v="0"/>
    <m/>
    <x v="0"/>
    <x v="0"/>
    <x v="0"/>
    <x v="0"/>
    <x v="0"/>
    <n v="0"/>
    <n v="0"/>
    <n v="8.3333333333333329E-2"/>
    <n v="11.916666666666666"/>
    <x v="1"/>
    <x v="0"/>
    <m/>
    <x v="0"/>
    <n v="70"/>
    <x v="0"/>
    <x v="15"/>
    <x v="5"/>
    <x v="0"/>
    <x v="0"/>
  </r>
  <r>
    <x v="0"/>
    <x v="14"/>
    <s v="5702 J"/>
    <x v="167"/>
    <s v="Bukhtyar Febrics Azam Market Lahore"/>
    <s v="LDN"/>
    <n v="36"/>
    <s v="9-9.5"/>
    <s v="LDN"/>
    <n v="420"/>
    <x v="0"/>
    <n v="1"/>
    <n v="51.66"/>
    <n v="4.2"/>
    <n v="20"/>
    <x v="0"/>
    <n v="47.459999999999994"/>
    <n v="406.55999999999995"/>
    <n v="5"/>
    <x v="0"/>
    <x v="0"/>
    <n v="5"/>
    <n v="8.3333333333333329E-2"/>
    <x v="0"/>
    <x v="0"/>
    <m/>
    <x v="0"/>
    <x v="6"/>
    <x v="0"/>
    <x v="0"/>
    <x v="0"/>
    <n v="30"/>
    <n v="0.5"/>
    <n v="0.58333333333333337"/>
    <n v="11.416666666666666"/>
    <x v="1"/>
    <x v="0"/>
    <m/>
    <x v="0"/>
    <n v="56.66"/>
    <x v="0"/>
    <x v="15"/>
    <x v="5"/>
    <x v="0"/>
    <x v="0"/>
  </r>
  <r>
    <x v="1"/>
    <x v="14"/>
    <s v="5702 J"/>
    <x v="167"/>
    <s v="Bukhtyar Febrics Azam Market Lahore"/>
    <s v="LDN"/>
    <n v="36"/>
    <s v="9-9.5"/>
    <s v="LDN"/>
    <n v="420"/>
    <x v="0"/>
    <n v="3"/>
    <n v="371.7"/>
    <n v="12.600000000000001"/>
    <n v="18"/>
    <x v="0"/>
    <n v="359.09999999999997"/>
    <n v="406.55999999999995"/>
    <n v="10"/>
    <x v="0"/>
    <x v="0"/>
    <n v="10"/>
    <n v="0.16666666666666666"/>
    <x v="0"/>
    <x v="0"/>
    <m/>
    <x v="0"/>
    <x v="0"/>
    <x v="0"/>
    <x v="0"/>
    <x v="0"/>
    <n v="0"/>
    <n v="0"/>
    <n v="0.16666666666666666"/>
    <n v="11.833333333333334"/>
    <x v="1"/>
    <x v="0"/>
    <m/>
    <x v="0"/>
    <n v="376.7"/>
    <x v="0"/>
    <x v="15"/>
    <x v="5"/>
    <x v="0"/>
    <x v="0"/>
  </r>
  <r>
    <x v="1"/>
    <x v="14"/>
    <s v="2463 F"/>
    <x v="167"/>
    <s v="Usman Amin"/>
    <s v="LDN"/>
    <s v="16 SHEET"/>
    <s v="3-3.25/6-6.5"/>
    <s v="LDN"/>
    <n v="500"/>
    <x v="0"/>
    <n v="4"/>
    <n v="323.92"/>
    <n v="8"/>
    <m/>
    <x v="0"/>
    <n v="315.92"/>
    <n v="1024.06"/>
    <m/>
    <x v="0"/>
    <x v="0"/>
    <n v="0"/>
    <n v="0"/>
    <x v="0"/>
    <x v="0"/>
    <m/>
    <x v="0"/>
    <x v="0"/>
    <x v="0"/>
    <x v="0"/>
    <x v="0"/>
    <n v="0"/>
    <n v="0"/>
    <n v="0"/>
    <n v="12"/>
    <x v="1"/>
    <x v="0"/>
    <m/>
    <x v="0"/>
    <n v="328.92"/>
    <x v="0"/>
    <x v="15"/>
    <x v="5"/>
    <x v="0"/>
    <x v="0"/>
  </r>
  <r>
    <x v="0"/>
    <x v="15"/>
    <s v="2823/1"/>
    <x v="167"/>
    <s v="C/O JAVAID SB"/>
    <s v="LDN"/>
    <n v="36"/>
    <n v="3"/>
    <s v="LDN"/>
    <n v="0"/>
    <x v="0"/>
    <n v="29"/>
    <n v="607.31999999999994"/>
    <m/>
    <m/>
    <x v="0"/>
    <n v="607.31999999999994"/>
    <n v="23186.610000000004"/>
    <m/>
    <x v="0"/>
    <x v="0"/>
    <n v="0"/>
    <n v="0"/>
    <x v="0"/>
    <x v="0"/>
    <m/>
    <x v="0"/>
    <x v="0"/>
    <x v="0"/>
    <x v="0"/>
    <x v="0"/>
    <n v="0"/>
    <n v="0"/>
    <n v="0"/>
    <n v="12"/>
    <x v="1"/>
    <x v="0"/>
    <m/>
    <x v="0"/>
    <n v="612.31999999999994"/>
    <x v="0"/>
    <x v="15"/>
    <x v="5"/>
    <x v="0"/>
    <x v="0"/>
  </r>
  <r>
    <x v="1"/>
    <x v="15"/>
    <s v="2823/1"/>
    <x v="167"/>
    <s v="C/O JAVAID SB"/>
    <s v="LDN"/>
    <n v="36"/>
    <n v="3"/>
    <s v="LDN"/>
    <n v="0"/>
    <x v="0"/>
    <n v="26"/>
    <n v="597.09999999999991"/>
    <m/>
    <m/>
    <x v="0"/>
    <n v="597.09999999999991"/>
    <n v="23186.610000000004"/>
    <m/>
    <x v="0"/>
    <x v="0"/>
    <n v="0"/>
    <n v="0"/>
    <x v="0"/>
    <x v="0"/>
    <m/>
    <x v="0"/>
    <x v="0"/>
    <x v="0"/>
    <x v="0"/>
    <x v="0"/>
    <n v="0"/>
    <n v="0"/>
    <n v="0"/>
    <n v="12"/>
    <x v="1"/>
    <x v="0"/>
    <m/>
    <x v="0"/>
    <n v="602.09999999999991"/>
    <x v="0"/>
    <x v="15"/>
    <x v="5"/>
    <x v="0"/>
    <x v="0"/>
  </r>
  <r>
    <x v="0"/>
    <x v="12"/>
    <s v="2823/2"/>
    <x v="167"/>
    <s v="C/O JAVAID SB"/>
    <s v="LDN"/>
    <n v="42"/>
    <n v="3"/>
    <s v="LDN"/>
    <n v="0"/>
    <x v="0"/>
    <n v="40"/>
    <n v="1094.5999999999997"/>
    <m/>
    <m/>
    <x v="0"/>
    <n v="1094.5999999999997"/>
    <n v="30037.069999999996"/>
    <m/>
    <x v="0"/>
    <x v="0"/>
    <n v="0"/>
    <n v="0"/>
    <x v="0"/>
    <x v="0"/>
    <m/>
    <x v="0"/>
    <x v="0"/>
    <x v="0"/>
    <x v="0"/>
    <x v="0"/>
    <n v="0"/>
    <n v="0"/>
    <n v="0"/>
    <n v="12"/>
    <x v="1"/>
    <x v="0"/>
    <m/>
    <x v="0"/>
    <n v="1099.5999999999997"/>
    <x v="0"/>
    <x v="15"/>
    <x v="5"/>
    <x v="0"/>
    <x v="0"/>
  </r>
  <r>
    <x v="1"/>
    <x v="12"/>
    <s v="2823/2"/>
    <x v="167"/>
    <s v="C/O JAVAID SB"/>
    <s v="LDN"/>
    <n v="42"/>
    <n v="3"/>
    <s v="LDN"/>
    <n v="0"/>
    <x v="0"/>
    <n v="40"/>
    <n v="1066.75"/>
    <m/>
    <m/>
    <x v="0"/>
    <n v="1066.75"/>
    <n v="30037.069999999996"/>
    <m/>
    <x v="0"/>
    <x v="0"/>
    <n v="0"/>
    <n v="0"/>
    <x v="0"/>
    <x v="0"/>
    <m/>
    <x v="0"/>
    <x v="0"/>
    <x v="0"/>
    <x v="0"/>
    <x v="0"/>
    <n v="0"/>
    <n v="0"/>
    <n v="0"/>
    <n v="12"/>
    <x v="1"/>
    <x v="0"/>
    <m/>
    <x v="0"/>
    <n v="1071.75"/>
    <x v="0"/>
    <x v="15"/>
    <x v="5"/>
    <x v="0"/>
    <x v="0"/>
  </r>
  <r>
    <x v="0"/>
    <x v="8"/>
    <s v="5775 J"/>
    <x v="168"/>
    <s v="Bundu Khan Lahore"/>
    <s v="LDN"/>
    <n v="8"/>
    <s v="6-6.5"/>
    <s v="LDN"/>
    <n v="150"/>
    <x v="0"/>
    <n v="1"/>
    <n v="43.7"/>
    <n v="1"/>
    <m/>
    <x v="0"/>
    <n v="42.7"/>
    <n v="158.44999999999999"/>
    <m/>
    <x v="0"/>
    <x v="0"/>
    <n v="0"/>
    <n v="0"/>
    <x v="0"/>
    <x v="0"/>
    <m/>
    <x v="0"/>
    <x v="0"/>
    <x v="0"/>
    <x v="0"/>
    <x v="0"/>
    <n v="0"/>
    <n v="0"/>
    <n v="0"/>
    <n v="12"/>
    <x v="1"/>
    <x v="0"/>
    <m/>
    <x v="0"/>
    <n v="48.7"/>
    <x v="0"/>
    <x v="15"/>
    <x v="5"/>
    <x v="0"/>
    <x v="0"/>
  </r>
  <r>
    <x v="0"/>
    <x v="8"/>
    <s v="5778 J"/>
    <x v="168"/>
    <s v="Atlas Honda LTD (SKP)"/>
    <s v="LDN"/>
    <n v="8"/>
    <s v="8.5-9"/>
    <s v="LDN"/>
    <n v="361.46723646723643"/>
    <x v="0"/>
    <n v="3"/>
    <n v="135.26"/>
    <n v="3"/>
    <m/>
    <x v="0"/>
    <n v="132.26"/>
    <n v="307.35999999999996"/>
    <m/>
    <x v="0"/>
    <x v="0"/>
    <n v="0"/>
    <n v="0"/>
    <x v="0"/>
    <x v="0"/>
    <m/>
    <x v="0"/>
    <x v="0"/>
    <x v="0"/>
    <x v="0"/>
    <x v="0"/>
    <n v="0"/>
    <n v="0"/>
    <n v="0"/>
    <n v="12"/>
    <x v="1"/>
    <x v="0"/>
    <m/>
    <x v="0"/>
    <n v="140.26"/>
    <x v="0"/>
    <x v="15"/>
    <x v="5"/>
    <x v="0"/>
    <x v="0"/>
  </r>
  <r>
    <x v="1"/>
    <x v="8"/>
    <s v="5778 J"/>
    <x v="168"/>
    <s v="Atlas Honda LTD (SKP)"/>
    <s v="LDN"/>
    <n v="8"/>
    <s v="8.5-9"/>
    <s v="LDN"/>
    <n v="361.46723646723643"/>
    <x v="0"/>
    <n v="5"/>
    <n v="180.09999999999997"/>
    <n v="5"/>
    <m/>
    <x v="0"/>
    <n v="175.09999999999997"/>
    <n v="307.35999999999996"/>
    <m/>
    <x v="0"/>
    <x v="0"/>
    <n v="0"/>
    <n v="0"/>
    <x v="0"/>
    <x v="0"/>
    <m/>
    <x v="0"/>
    <x v="0"/>
    <x v="0"/>
    <x v="0"/>
    <x v="0"/>
    <n v="0"/>
    <n v="0"/>
    <n v="0"/>
    <n v="12"/>
    <x v="1"/>
    <x v="0"/>
    <m/>
    <x v="0"/>
    <n v="185.09999999999997"/>
    <x v="0"/>
    <x v="15"/>
    <x v="5"/>
    <x v="0"/>
    <x v="0"/>
  </r>
  <r>
    <x v="0"/>
    <x v="9"/>
    <s v="5626 J"/>
    <x v="168"/>
    <s v="Super Saraj Auto Cable Badami Bag"/>
    <s v="LDN"/>
    <n v="7.5"/>
    <s v="13-14"/>
    <s v="LDN"/>
    <n v="100"/>
    <x v="0"/>
    <n v="3"/>
    <n v="118.47999999999999"/>
    <n v="2.8"/>
    <m/>
    <x v="0"/>
    <n v="115.67999999999999"/>
    <n v="115.67999999999999"/>
    <m/>
    <x v="0"/>
    <x v="0"/>
    <n v="0"/>
    <n v="0"/>
    <x v="0"/>
    <x v="0"/>
    <m/>
    <x v="0"/>
    <x v="0"/>
    <x v="0"/>
    <x v="0"/>
    <x v="0"/>
    <n v="0"/>
    <n v="0"/>
    <n v="0"/>
    <n v="12"/>
    <x v="1"/>
    <x v="0"/>
    <m/>
    <x v="0"/>
    <n v="123.47999999999999"/>
    <x v="0"/>
    <x v="15"/>
    <x v="5"/>
    <x v="0"/>
    <x v="0"/>
  </r>
  <r>
    <x v="1"/>
    <x v="9"/>
    <s v="5798 J"/>
    <x v="168"/>
    <s v="-"/>
    <m/>
    <m/>
    <m/>
    <m/>
    <m/>
    <x v="0"/>
    <n v="1"/>
    <n v="35.5"/>
    <n v="1"/>
    <m/>
    <x v="0"/>
    <n v="34.5"/>
    <n v="34.5"/>
    <m/>
    <x v="0"/>
    <x v="0"/>
    <n v="0"/>
    <n v="0"/>
    <x v="0"/>
    <x v="0"/>
    <m/>
    <x v="0"/>
    <x v="0"/>
    <x v="0"/>
    <x v="0"/>
    <x v="0"/>
    <n v="0"/>
    <n v="0"/>
    <n v="0"/>
    <n v="12"/>
    <x v="1"/>
    <x v="0"/>
    <m/>
    <x v="0"/>
    <n v="40.5"/>
    <x v="0"/>
    <x v="15"/>
    <x v="5"/>
    <x v="0"/>
    <x v="0"/>
  </r>
  <r>
    <x v="1"/>
    <x v="9"/>
    <s v="5627 J"/>
    <x v="168"/>
    <s v="Super Saraj Auto Cable Badami Bag"/>
    <s v="LDN"/>
    <n v="11.5"/>
    <s v="13-14"/>
    <s v="LDN"/>
    <n v="100"/>
    <x v="0"/>
    <n v="2"/>
    <n v="96"/>
    <n v="2.4"/>
    <m/>
    <x v="0"/>
    <n v="93.6"/>
    <n v="140.39999999999998"/>
    <m/>
    <x v="0"/>
    <x v="0"/>
    <n v="0"/>
    <n v="0"/>
    <x v="0"/>
    <x v="0"/>
    <m/>
    <x v="0"/>
    <x v="0"/>
    <x v="0"/>
    <x v="0"/>
    <x v="0"/>
    <n v="0"/>
    <n v="0"/>
    <n v="0"/>
    <n v="12"/>
    <x v="1"/>
    <x v="0"/>
    <m/>
    <x v="0"/>
    <n v="101"/>
    <x v="0"/>
    <x v="15"/>
    <x v="5"/>
    <x v="0"/>
    <x v="0"/>
  </r>
  <r>
    <x v="0"/>
    <x v="11"/>
    <s v="5719 J"/>
    <x v="168"/>
    <s v="Bundu Khan Lahore"/>
    <s v="LDN"/>
    <n v="16"/>
    <s v="8-8.5"/>
    <s v="LDN"/>
    <n v="600"/>
    <x v="0"/>
    <n v="4"/>
    <n v="288.72000000000003"/>
    <n v="7.2"/>
    <m/>
    <x v="0"/>
    <n v="281.52000000000004"/>
    <n v="604.72"/>
    <m/>
    <x v="0"/>
    <x v="0"/>
    <n v="0"/>
    <n v="0"/>
    <x v="0"/>
    <x v="0"/>
    <m/>
    <x v="0"/>
    <x v="0"/>
    <x v="0"/>
    <x v="0"/>
    <x v="0"/>
    <n v="0"/>
    <n v="0"/>
    <n v="0"/>
    <n v="12"/>
    <x v="1"/>
    <x v="0"/>
    <m/>
    <x v="0"/>
    <n v="293.72000000000003"/>
    <x v="0"/>
    <x v="15"/>
    <x v="5"/>
    <x v="0"/>
    <x v="0"/>
  </r>
  <r>
    <x v="1"/>
    <x v="11"/>
    <s v="2535 F"/>
    <x v="168"/>
    <s v="Usman Amin"/>
    <s v="LDN"/>
    <n v="15"/>
    <s v="12"/>
    <s v="LDN"/>
    <n v="150"/>
    <x v="0"/>
    <n v="1"/>
    <n v="75.5"/>
    <n v="1.7"/>
    <m/>
    <x v="0"/>
    <n v="73.8"/>
    <n v="73.8"/>
    <m/>
    <x v="0"/>
    <x v="0"/>
    <n v="0"/>
    <n v="0"/>
    <x v="0"/>
    <x v="0"/>
    <m/>
    <x v="0"/>
    <x v="0"/>
    <x v="0"/>
    <x v="0"/>
    <x v="0"/>
    <n v="0"/>
    <n v="0"/>
    <n v="0"/>
    <n v="12"/>
    <x v="1"/>
    <x v="0"/>
    <m/>
    <x v="0"/>
    <n v="80.5"/>
    <x v="0"/>
    <x v="15"/>
    <x v="5"/>
    <x v="0"/>
    <x v="0"/>
  </r>
  <r>
    <x v="1"/>
    <x v="11"/>
    <s v="5719 J"/>
    <x v="168"/>
    <s v="Bundu Khan Lahore"/>
    <s v="LDN"/>
    <n v="16"/>
    <s v="8-8.5"/>
    <s v="LDN"/>
    <n v="600"/>
    <x v="0"/>
    <n v="3"/>
    <n v="180.7"/>
    <n v="5.4"/>
    <m/>
    <x v="0"/>
    <n v="175.29999999999998"/>
    <n v="604.72"/>
    <m/>
    <x v="0"/>
    <x v="0"/>
    <n v="0"/>
    <n v="0"/>
    <x v="0"/>
    <x v="0"/>
    <m/>
    <x v="0"/>
    <x v="0"/>
    <x v="0"/>
    <x v="0"/>
    <x v="0"/>
    <n v="0"/>
    <n v="0"/>
    <n v="0"/>
    <n v="12"/>
    <x v="1"/>
    <x v="0"/>
    <m/>
    <x v="0"/>
    <n v="185.7"/>
    <x v="0"/>
    <x v="15"/>
    <x v="5"/>
    <x v="0"/>
    <x v="0"/>
  </r>
  <r>
    <x v="1"/>
    <x v="11"/>
    <s v="5728 J"/>
    <x v="168"/>
    <s v="Sheikh Sheraz Sialkot "/>
    <s v="LDN"/>
    <n v="15"/>
    <n v="10"/>
    <s v="LDN"/>
    <n v="60"/>
    <x v="0"/>
    <n v="1"/>
    <n v="62.5"/>
    <n v="1.7"/>
    <n v="4"/>
    <x v="0"/>
    <n v="60.8"/>
    <n v="60.8"/>
    <m/>
    <x v="0"/>
    <x v="0"/>
    <n v="0"/>
    <n v="0"/>
    <x v="0"/>
    <x v="0"/>
    <m/>
    <x v="0"/>
    <x v="0"/>
    <x v="0"/>
    <x v="0"/>
    <x v="0"/>
    <n v="0"/>
    <n v="0"/>
    <n v="0"/>
    <n v="12"/>
    <x v="1"/>
    <x v="0"/>
    <m/>
    <x v="0"/>
    <n v="67.5"/>
    <x v="0"/>
    <x v="15"/>
    <x v="5"/>
    <x v="0"/>
    <x v="0"/>
  </r>
  <r>
    <x v="0"/>
    <x v="13"/>
    <s v="2519 F"/>
    <x v="168"/>
    <s v=" Usman Amin "/>
    <s v=" LDN "/>
    <n v="19"/>
    <s v="12"/>
    <s v=" LDN "/>
    <n v="500"/>
    <x v="0"/>
    <n v="5"/>
    <n v="396.9"/>
    <n v="11"/>
    <m/>
    <x v="0"/>
    <n v="385.9"/>
    <n v="587.1"/>
    <m/>
    <x v="0"/>
    <x v="0"/>
    <n v="0"/>
    <n v="0"/>
    <x v="0"/>
    <x v="0"/>
    <m/>
    <x v="0"/>
    <x v="0"/>
    <x v="0"/>
    <x v="0"/>
    <x v="0"/>
    <n v="0"/>
    <n v="0"/>
    <n v="0"/>
    <n v="12"/>
    <x v="1"/>
    <x v="0"/>
    <m/>
    <x v="0"/>
    <n v="401.9"/>
    <x v="0"/>
    <x v="15"/>
    <x v="5"/>
    <x v="0"/>
    <x v="0"/>
  </r>
  <r>
    <x v="1"/>
    <x v="13"/>
    <s v="2525 F"/>
    <x v="168"/>
    <s v=" Usman Amin "/>
    <s v=" LDN "/>
    <n v="17"/>
    <s v="7-7.5"/>
    <s v=" LDN "/>
    <n v="52"/>
    <x v="0"/>
    <n v="2"/>
    <n v="115.9"/>
    <n v="3.4"/>
    <m/>
    <x v="0"/>
    <n v="112.5"/>
    <n v="175.8"/>
    <m/>
    <x v="0"/>
    <x v="0"/>
    <n v="0"/>
    <n v="0"/>
    <x v="0"/>
    <x v="0"/>
    <m/>
    <x v="0"/>
    <x v="0"/>
    <x v="0"/>
    <x v="0"/>
    <x v="0"/>
    <n v="0"/>
    <n v="0"/>
    <n v="0"/>
    <n v="12"/>
    <x v="1"/>
    <x v="0"/>
    <m/>
    <x v="0"/>
    <n v="120.9"/>
    <x v="0"/>
    <x v="15"/>
    <x v="5"/>
    <x v="0"/>
    <x v="0"/>
  </r>
  <r>
    <x v="1"/>
    <x v="13"/>
    <s v="2534 F"/>
    <x v="168"/>
    <s v="Usman Amin"/>
    <s v="LDN"/>
    <n v="25"/>
    <s v="7"/>
    <s v="LDN"/>
    <n v="375"/>
    <x v="0"/>
    <n v="4"/>
    <n v="258.60000000000002"/>
    <n v="12"/>
    <n v="5"/>
    <x v="0"/>
    <n v="246.60000000000002"/>
    <n v="246.60000000000002"/>
    <m/>
    <x v="0"/>
    <x v="0"/>
    <n v="0"/>
    <n v="0"/>
    <x v="0"/>
    <x v="0"/>
    <m/>
    <x v="0"/>
    <x v="0"/>
    <x v="0"/>
    <x v="0"/>
    <x v="0"/>
    <n v="0"/>
    <n v="0"/>
    <n v="0"/>
    <n v="12"/>
    <x v="1"/>
    <x v="0"/>
    <m/>
    <x v="0"/>
    <n v="263.60000000000002"/>
    <x v="0"/>
    <x v="15"/>
    <x v="5"/>
    <x v="0"/>
    <x v="0"/>
  </r>
  <r>
    <x v="0"/>
    <x v="12"/>
    <s v="2823/2"/>
    <x v="168"/>
    <s v="C/O JAVAID SB"/>
    <s v="LDN"/>
    <n v="42"/>
    <n v="3"/>
    <s v="LDN"/>
    <n v="0"/>
    <x v="0"/>
    <n v="43"/>
    <n v="1112.98"/>
    <m/>
    <n v="11"/>
    <x v="0"/>
    <n v="1112.98"/>
    <n v="30037.069999999996"/>
    <m/>
    <x v="0"/>
    <x v="0"/>
    <n v="0"/>
    <n v="0"/>
    <x v="0"/>
    <x v="0"/>
    <m/>
    <x v="0"/>
    <x v="0"/>
    <x v="0"/>
    <x v="0"/>
    <x v="0"/>
    <n v="0"/>
    <n v="0"/>
    <n v="0"/>
    <n v="12"/>
    <x v="1"/>
    <x v="0"/>
    <m/>
    <x v="0"/>
    <n v="1117.98"/>
    <x v="0"/>
    <x v="15"/>
    <x v="5"/>
    <x v="0"/>
    <x v="0"/>
  </r>
  <r>
    <x v="1"/>
    <x v="12"/>
    <s v="2823/2"/>
    <x v="168"/>
    <s v="C/O JAVAID SB"/>
    <s v="LDN"/>
    <n v="42"/>
    <n v="3"/>
    <s v="LDN"/>
    <n v="0"/>
    <x v="0"/>
    <n v="42"/>
    <n v="1066.49"/>
    <m/>
    <n v="15"/>
    <x v="0"/>
    <n v="1066.49"/>
    <n v="30037.069999999996"/>
    <m/>
    <x v="0"/>
    <x v="0"/>
    <n v="0"/>
    <n v="0"/>
    <x v="0"/>
    <x v="0"/>
    <m/>
    <x v="0"/>
    <x v="0"/>
    <x v="0"/>
    <x v="0"/>
    <x v="0"/>
    <n v="0"/>
    <n v="0"/>
    <n v="0"/>
    <n v="12"/>
    <x v="1"/>
    <x v="0"/>
    <m/>
    <x v="0"/>
    <n v="1071.49"/>
    <x v="0"/>
    <x v="15"/>
    <x v="5"/>
    <x v="0"/>
    <x v="0"/>
  </r>
  <r>
    <x v="0"/>
    <x v="14"/>
    <s v="2463 F"/>
    <x v="168"/>
    <s v="Usman Amin"/>
    <s v="LDN"/>
    <s v="16 SHEET"/>
    <s v="3-3.25/6-6.5"/>
    <s v="LDN"/>
    <n v="500"/>
    <x v="0"/>
    <n v="10"/>
    <n v="728.14"/>
    <n v="20"/>
    <n v="55"/>
    <x v="0"/>
    <n v="708.14"/>
    <n v="1024.06"/>
    <n v="5"/>
    <x v="0"/>
    <x v="0"/>
    <n v="5"/>
    <n v="8.3333333333333329E-2"/>
    <x v="0"/>
    <x v="0"/>
    <m/>
    <x v="2"/>
    <x v="0"/>
    <x v="0"/>
    <x v="0"/>
    <x v="0"/>
    <n v="5"/>
    <n v="8.3333333333333329E-2"/>
    <n v="0.16666666666666666"/>
    <n v="11.833333333333334"/>
    <x v="1"/>
    <x v="0"/>
    <m/>
    <x v="0"/>
    <n v="733.14"/>
    <x v="0"/>
    <x v="15"/>
    <x v="5"/>
    <x v="0"/>
    <x v="0"/>
  </r>
  <r>
    <x v="0"/>
    <x v="14"/>
    <s v="2822/2"/>
    <x v="168"/>
    <s v="PT-02 (BREZE FRAST IND)"/>
    <s v="LDN"/>
    <n v="30"/>
    <n v="12"/>
    <s v="LDN"/>
    <n v="400"/>
    <x v="0"/>
    <n v="2"/>
    <n v="43.14"/>
    <n v="2.56"/>
    <n v="5"/>
    <x v="0"/>
    <n v="40.58"/>
    <n v="476.07000000000005"/>
    <m/>
    <x v="0"/>
    <x v="0"/>
    <n v="0"/>
    <n v="0"/>
    <x v="0"/>
    <x v="0"/>
    <m/>
    <x v="1"/>
    <x v="0"/>
    <x v="0"/>
    <x v="0"/>
    <x v="0"/>
    <n v="10"/>
    <n v="0.16666666666666666"/>
    <n v="0.16666666666666666"/>
    <n v="11.833333333333334"/>
    <x v="1"/>
    <x v="0"/>
    <m/>
    <x v="0"/>
    <n v="48.14"/>
    <x v="0"/>
    <x v="15"/>
    <x v="5"/>
    <x v="0"/>
    <x v="0"/>
  </r>
  <r>
    <x v="1"/>
    <x v="14"/>
    <s v="2822/2"/>
    <x v="168"/>
    <s v="PT-02 (BREZE FRAST IND)"/>
    <s v="LDN"/>
    <n v="30"/>
    <n v="12"/>
    <s v="LDN"/>
    <n v="400"/>
    <x v="0"/>
    <n v="6"/>
    <n v="132.21000000000004"/>
    <n v="7.68"/>
    <m/>
    <x v="0"/>
    <n v="124.53000000000003"/>
    <n v="476.07000000000005"/>
    <m/>
    <x v="0"/>
    <x v="14"/>
    <n v="600"/>
    <n v="10"/>
    <x v="0"/>
    <x v="0"/>
    <m/>
    <x v="0"/>
    <x v="0"/>
    <x v="0"/>
    <x v="0"/>
    <x v="0"/>
    <n v="0"/>
    <n v="0"/>
    <n v="10"/>
    <n v="2"/>
    <x v="1"/>
    <x v="0"/>
    <m/>
    <x v="0"/>
    <n v="137.21000000000004"/>
    <x v="0"/>
    <x v="15"/>
    <x v="5"/>
    <x v="0"/>
    <x v="0"/>
  </r>
  <r>
    <x v="0"/>
    <x v="15"/>
    <s v="2823/1"/>
    <x v="168"/>
    <s v="C/O JAVAID SB"/>
    <s v="LDN"/>
    <n v="36"/>
    <n v="3"/>
    <s v="LDN"/>
    <n v="0"/>
    <x v="0"/>
    <n v="30"/>
    <n v="684.64"/>
    <m/>
    <n v="13"/>
    <x v="0"/>
    <n v="684.64"/>
    <n v="23186.610000000004"/>
    <m/>
    <x v="0"/>
    <x v="0"/>
    <n v="0"/>
    <n v="0"/>
    <x v="0"/>
    <x v="0"/>
    <m/>
    <x v="0"/>
    <x v="0"/>
    <x v="0"/>
    <x v="0"/>
    <x v="0"/>
    <n v="0"/>
    <n v="0"/>
    <n v="0"/>
    <n v="12"/>
    <x v="1"/>
    <x v="0"/>
    <m/>
    <x v="0"/>
    <n v="689.64"/>
    <x v="0"/>
    <x v="15"/>
    <x v="5"/>
    <x v="0"/>
    <x v="0"/>
  </r>
  <r>
    <x v="1"/>
    <x v="15"/>
    <s v="2823/1"/>
    <x v="168"/>
    <s v="C/O JAVAID SB"/>
    <s v="LDN"/>
    <n v="36"/>
    <n v="3"/>
    <s v="LDN"/>
    <n v="0"/>
    <x v="0"/>
    <n v="29"/>
    <n v="669.04000000000008"/>
    <m/>
    <n v="3"/>
    <x v="0"/>
    <n v="669.04000000000008"/>
    <n v="23186.610000000004"/>
    <m/>
    <x v="0"/>
    <x v="0"/>
    <n v="0"/>
    <n v="0"/>
    <x v="0"/>
    <x v="0"/>
    <m/>
    <x v="0"/>
    <x v="0"/>
    <x v="0"/>
    <x v="0"/>
    <x v="0"/>
    <n v="0"/>
    <n v="0"/>
    <n v="0"/>
    <n v="12"/>
    <x v="1"/>
    <x v="0"/>
    <m/>
    <x v="0"/>
    <n v="674.04000000000008"/>
    <x v="0"/>
    <x v="15"/>
    <x v="5"/>
    <x v="0"/>
    <x v="0"/>
  </r>
  <r>
    <x v="0"/>
    <x v="8"/>
    <s v="5698 J"/>
    <x v="169"/>
    <s v="-"/>
    <m/>
    <m/>
    <m/>
    <m/>
    <m/>
    <x v="0"/>
    <n v="2"/>
    <n v="59.2"/>
    <n v="2"/>
    <m/>
    <x v="0"/>
    <n v="57.2"/>
    <n v="57.2"/>
    <n v="5"/>
    <x v="0"/>
    <x v="0"/>
    <n v="5"/>
    <n v="8.3333333333333329E-2"/>
    <x v="0"/>
    <x v="0"/>
    <m/>
    <x v="0"/>
    <x v="0"/>
    <x v="0"/>
    <x v="0"/>
    <x v="0"/>
    <n v="0"/>
    <n v="0"/>
    <n v="8.3333333333333329E-2"/>
    <n v="11.916666666666666"/>
    <x v="1"/>
    <x v="0"/>
    <m/>
    <x v="0"/>
    <n v="64.2"/>
    <x v="0"/>
    <x v="15"/>
    <x v="5"/>
    <x v="0"/>
    <x v="0"/>
  </r>
  <r>
    <x v="0"/>
    <x v="8"/>
    <s v="5716 J"/>
    <x v="169"/>
    <s v="Waqas Wollan Mills Gujranwala"/>
    <s v="LDN"/>
    <n v="11"/>
    <s v="8-8.5"/>
    <s v="LDN"/>
    <n v="300"/>
    <x v="0"/>
    <n v="3"/>
    <n v="159.06"/>
    <n v="3.9000000000000004"/>
    <n v="10"/>
    <x v="0"/>
    <n v="155.16"/>
    <n v="260.86"/>
    <m/>
    <x v="0"/>
    <x v="0"/>
    <n v="0"/>
    <n v="0"/>
    <x v="0"/>
    <x v="0"/>
    <m/>
    <x v="0"/>
    <x v="0"/>
    <x v="0"/>
    <x v="0"/>
    <x v="0"/>
    <n v="0"/>
    <n v="0"/>
    <n v="0"/>
    <n v="12"/>
    <x v="1"/>
    <x v="0"/>
    <m/>
    <x v="0"/>
    <n v="164.06"/>
    <x v="0"/>
    <x v="15"/>
    <x v="5"/>
    <x v="0"/>
    <x v="0"/>
  </r>
  <r>
    <x v="1"/>
    <x v="8"/>
    <s v="5716 J"/>
    <x v="169"/>
    <s v="Waqas Wollan Mills Gujranwala"/>
    <s v="LDN"/>
    <n v="11"/>
    <s v="8-8.5"/>
    <s v="LDN"/>
    <n v="300"/>
    <x v="0"/>
    <n v="2"/>
    <n v="108.3"/>
    <n v="2.6"/>
    <n v="12"/>
    <x v="0"/>
    <n v="105.7"/>
    <n v="260.86"/>
    <n v="5"/>
    <x v="0"/>
    <x v="0"/>
    <n v="5"/>
    <n v="8.3333333333333329E-2"/>
    <x v="0"/>
    <x v="0"/>
    <m/>
    <x v="2"/>
    <x v="0"/>
    <x v="0"/>
    <x v="0"/>
    <x v="0"/>
    <n v="5"/>
    <n v="8.3333333333333329E-2"/>
    <n v="0.16666666666666666"/>
    <n v="11.833333333333334"/>
    <x v="1"/>
    <x v="0"/>
    <m/>
    <x v="0"/>
    <n v="113.3"/>
    <x v="0"/>
    <x v="15"/>
    <x v="5"/>
    <x v="0"/>
    <x v="0"/>
  </r>
  <r>
    <x v="1"/>
    <x v="8"/>
    <s v="2824/3"/>
    <x v="169"/>
    <s v="PT-02"/>
    <s v="LDN"/>
    <n v="14"/>
    <n v="14"/>
    <s v="LDN"/>
    <n v="1500"/>
    <x v="0"/>
    <n v="2"/>
    <n v="106.69999999999999"/>
    <n v="2.8"/>
    <m/>
    <x v="0"/>
    <n v="103.89999999999999"/>
    <n v="1616.5"/>
    <m/>
    <x v="0"/>
    <x v="0"/>
    <n v="0"/>
    <n v="0"/>
    <x v="0"/>
    <x v="0"/>
    <m/>
    <x v="0"/>
    <x v="0"/>
    <x v="0"/>
    <x v="0"/>
    <x v="0"/>
    <n v="0"/>
    <n v="0"/>
    <n v="0"/>
    <n v="12"/>
    <x v="1"/>
    <x v="0"/>
    <m/>
    <x v="0"/>
    <n v="111.69999999999999"/>
    <x v="0"/>
    <x v="15"/>
    <x v="5"/>
    <x v="0"/>
    <x v="0"/>
  </r>
  <r>
    <x v="0"/>
    <x v="9"/>
    <s v="5627 J"/>
    <x v="169"/>
    <s v="Super Saraj Auto Cable Badami Bag"/>
    <s v="LDN"/>
    <n v="11.5"/>
    <s v="13-14"/>
    <s v="LDN"/>
    <n v="100"/>
    <x v="0"/>
    <n v="1"/>
    <n v="48"/>
    <n v="1.2"/>
    <n v="9"/>
    <x v="0"/>
    <n v="46.8"/>
    <n v="140.39999999999998"/>
    <n v="5"/>
    <x v="0"/>
    <x v="0"/>
    <n v="5"/>
    <n v="8.3333333333333329E-2"/>
    <x v="0"/>
    <x v="0"/>
    <m/>
    <x v="0"/>
    <x v="0"/>
    <x v="0"/>
    <x v="0"/>
    <x v="0"/>
    <n v="0"/>
    <n v="0"/>
    <n v="8.3333333333333329E-2"/>
    <n v="11.916666666666666"/>
    <x v="1"/>
    <x v="0"/>
    <m/>
    <x v="0"/>
    <n v="53"/>
    <x v="0"/>
    <x v="15"/>
    <x v="5"/>
    <x v="0"/>
    <x v="0"/>
  </r>
  <r>
    <x v="0"/>
    <x v="9"/>
    <s v="5606 J"/>
    <x v="169"/>
    <s v="Al Razaq Printers Lahore"/>
    <s v="LDN"/>
    <n v="13"/>
    <s v="13-14"/>
    <s v="LDN"/>
    <n v="100"/>
    <x v="0"/>
    <n v="2"/>
    <n v="95.960000000000008"/>
    <n v="3"/>
    <m/>
    <x v="0"/>
    <n v="92.960000000000008"/>
    <n v="92.960000000000008"/>
    <n v="5"/>
    <x v="0"/>
    <x v="0"/>
    <n v="5"/>
    <n v="8.3333333333333329E-2"/>
    <x v="0"/>
    <x v="0"/>
    <m/>
    <x v="0"/>
    <x v="0"/>
    <x v="0"/>
    <x v="0"/>
    <x v="0"/>
    <n v="0"/>
    <n v="0"/>
    <n v="8.3333333333333329E-2"/>
    <n v="11.916666666666666"/>
    <x v="1"/>
    <x v="0"/>
    <m/>
    <x v="0"/>
    <n v="100.96000000000001"/>
    <x v="0"/>
    <x v="15"/>
    <x v="5"/>
    <x v="0"/>
    <x v="0"/>
  </r>
  <r>
    <x v="0"/>
    <x v="9"/>
    <s v="5717 J"/>
    <x v="169"/>
    <s v="Waqas Wollan Mills Gujranwala"/>
    <s v="LDN"/>
    <n v="10"/>
    <s v="8-8.5"/>
    <s v="LDN"/>
    <n v="500"/>
    <x v="0"/>
    <n v="1"/>
    <n v="52.72"/>
    <n v="1"/>
    <m/>
    <x v="0"/>
    <n v="51.72"/>
    <n v="501.39"/>
    <m/>
    <x v="0"/>
    <x v="0"/>
    <n v="0"/>
    <n v="0"/>
    <x v="0"/>
    <x v="0"/>
    <m/>
    <x v="0"/>
    <x v="0"/>
    <x v="0"/>
    <x v="0"/>
    <x v="0"/>
    <n v="0"/>
    <n v="0"/>
    <n v="0"/>
    <n v="12"/>
    <x v="1"/>
    <x v="0"/>
    <m/>
    <x v="0"/>
    <n v="57.72"/>
    <x v="0"/>
    <x v="15"/>
    <x v="5"/>
    <x v="0"/>
    <x v="0"/>
  </r>
  <r>
    <x v="1"/>
    <x v="9"/>
    <s v="5717 J"/>
    <x v="169"/>
    <s v="Waqas Wollan Mills Gujranwala"/>
    <s v="LDN"/>
    <n v="10"/>
    <s v="8-8.5"/>
    <s v="LDN"/>
    <n v="500"/>
    <x v="0"/>
    <n v="3"/>
    <n v="174.10000000000002"/>
    <n v="3.3000000000000003"/>
    <n v="5"/>
    <x v="0"/>
    <n v="170.8"/>
    <n v="501.39"/>
    <m/>
    <x v="0"/>
    <x v="0"/>
    <n v="0"/>
    <n v="0"/>
    <x v="0"/>
    <x v="0"/>
    <m/>
    <x v="2"/>
    <x v="0"/>
    <x v="0"/>
    <x v="0"/>
    <x v="0"/>
    <n v="5"/>
    <n v="8.3333333333333329E-2"/>
    <n v="8.3333333333333329E-2"/>
    <n v="11.916666666666666"/>
    <x v="1"/>
    <x v="0"/>
    <m/>
    <x v="0"/>
    <n v="179.10000000000002"/>
    <x v="0"/>
    <x v="15"/>
    <x v="5"/>
    <x v="0"/>
    <x v="0"/>
  </r>
  <r>
    <x v="0"/>
    <x v="11"/>
    <s v="2525 F"/>
    <x v="169"/>
    <s v=" Usman Amin "/>
    <s v=" LDN "/>
    <n v="17"/>
    <s v="7-7.5"/>
    <s v=" LDN "/>
    <n v="52"/>
    <x v="0"/>
    <n v="1"/>
    <n v="65"/>
    <n v="1.7"/>
    <m/>
    <x v="0"/>
    <n v="63.3"/>
    <n v="175.8"/>
    <n v="5"/>
    <x v="0"/>
    <x v="0"/>
    <n v="5"/>
    <n v="8.3333333333333329E-2"/>
    <x v="0"/>
    <x v="0"/>
    <m/>
    <x v="0"/>
    <x v="0"/>
    <x v="0"/>
    <x v="0"/>
    <x v="0"/>
    <n v="0"/>
    <n v="0"/>
    <n v="8.3333333333333329E-2"/>
    <n v="11.916666666666666"/>
    <x v="1"/>
    <x v="0"/>
    <m/>
    <x v="0"/>
    <n v="70"/>
    <x v="0"/>
    <x v="15"/>
    <x v="5"/>
    <x v="0"/>
    <x v="0"/>
  </r>
  <r>
    <x v="0"/>
    <x v="11"/>
    <s v="5718 J"/>
    <x v="169"/>
    <s v="Atlas Honda LTD (Karachi)"/>
    <s v="LDN"/>
    <n v="14"/>
    <s v="10-10.5"/>
    <s v="LDN"/>
    <n v="85.173314339981005"/>
    <x v="0"/>
    <n v="2"/>
    <n v="84.64"/>
    <n v="3.2"/>
    <m/>
    <x v="0"/>
    <n v="81.44"/>
    <n v="81.44"/>
    <n v="5"/>
    <x v="0"/>
    <x v="0"/>
    <n v="5"/>
    <n v="8.3333333333333329E-2"/>
    <x v="0"/>
    <x v="0"/>
    <m/>
    <x v="0"/>
    <x v="0"/>
    <x v="0"/>
    <x v="0"/>
    <x v="0"/>
    <n v="0"/>
    <n v="0"/>
    <n v="8.3333333333333329E-2"/>
    <n v="11.916666666666666"/>
    <x v="1"/>
    <x v="0"/>
    <m/>
    <x v="0"/>
    <n v="89.64"/>
    <x v="0"/>
    <x v="15"/>
    <x v="5"/>
    <x v="0"/>
    <x v="0"/>
  </r>
  <r>
    <x v="0"/>
    <x v="11"/>
    <s v="5743 J"/>
    <x v="169"/>
    <s v="Shekih Asgar Ali and Sons Sargodah"/>
    <s v="LDN"/>
    <n v="18"/>
    <s v="20-21"/>
    <s v="LDN"/>
    <n v="500"/>
    <x v="0"/>
    <n v="2"/>
    <n v="135.6"/>
    <n v="3.6"/>
    <m/>
    <x v="0"/>
    <n v="132"/>
    <n v="491.28999999999996"/>
    <n v="5"/>
    <x v="0"/>
    <x v="0"/>
    <n v="5"/>
    <n v="8.3333333333333329E-2"/>
    <x v="0"/>
    <x v="0"/>
    <m/>
    <x v="0"/>
    <x v="0"/>
    <x v="0"/>
    <x v="0"/>
    <x v="0"/>
    <n v="0"/>
    <n v="0"/>
    <n v="8.3333333333333329E-2"/>
    <n v="11.916666666666666"/>
    <x v="1"/>
    <x v="0"/>
    <m/>
    <x v="0"/>
    <n v="140.6"/>
    <x v="0"/>
    <x v="15"/>
    <x v="5"/>
    <x v="0"/>
    <x v="0"/>
  </r>
  <r>
    <x v="0"/>
    <x v="11"/>
    <s v="2528 F"/>
    <x v="169"/>
    <s v=" Usman Amin "/>
    <s v=" LDN "/>
    <n v="17.25"/>
    <s v="12"/>
    <s v=" LDN "/>
    <n v="500"/>
    <x v="0"/>
    <n v="1"/>
    <n v="30.78"/>
    <n v="1.7"/>
    <n v="12"/>
    <x v="0"/>
    <n v="29.080000000000002"/>
    <n v="563.4"/>
    <m/>
    <x v="0"/>
    <x v="0"/>
    <n v="0"/>
    <n v="0"/>
    <x v="0"/>
    <x v="0"/>
    <m/>
    <x v="0"/>
    <x v="0"/>
    <x v="0"/>
    <x v="0"/>
    <x v="0"/>
    <n v="0"/>
    <n v="0"/>
    <n v="0"/>
    <n v="12"/>
    <x v="1"/>
    <x v="0"/>
    <m/>
    <x v="0"/>
    <n v="35.78"/>
    <x v="0"/>
    <x v="15"/>
    <x v="5"/>
    <x v="0"/>
    <x v="0"/>
  </r>
  <r>
    <x v="1"/>
    <x v="11"/>
    <s v="5743 J"/>
    <x v="169"/>
    <s v="Shekih Asgar Ali and Sons Sargodah"/>
    <s v="LDN"/>
    <n v="18"/>
    <s v="20-21"/>
    <s v="LDN"/>
    <n v="500"/>
    <x v="0"/>
    <n v="3"/>
    <n v="365.28999999999996"/>
    <n v="6"/>
    <n v="6"/>
    <x v="0"/>
    <n v="359.28999999999996"/>
    <n v="491.28999999999996"/>
    <m/>
    <x v="0"/>
    <x v="0"/>
    <n v="0"/>
    <n v="0"/>
    <x v="0"/>
    <x v="0"/>
    <m/>
    <x v="11"/>
    <x v="0"/>
    <x v="0"/>
    <x v="0"/>
    <x v="0"/>
    <n v="4"/>
    <n v="6.6666666666666666E-2"/>
    <n v="6.6666666666666666E-2"/>
    <n v="11.933333333333334"/>
    <x v="1"/>
    <x v="0"/>
    <m/>
    <x v="0"/>
    <n v="370.28999999999996"/>
    <x v="0"/>
    <x v="15"/>
    <x v="5"/>
    <x v="0"/>
    <x v="0"/>
  </r>
  <r>
    <x v="0"/>
    <x v="13"/>
    <s v="2532 F"/>
    <x v="169"/>
    <s v="Usman Amin"/>
    <s v="LDN"/>
    <n v="17"/>
    <s v="7-7.5"/>
    <s v="LDN"/>
    <n v="240"/>
    <x v="0"/>
    <n v="4"/>
    <n v="255.4"/>
    <n v="6.4"/>
    <n v="6"/>
    <x v="0"/>
    <n v="249"/>
    <n v="249"/>
    <n v="5"/>
    <x v="0"/>
    <x v="0"/>
    <n v="5"/>
    <n v="8.3333333333333329E-2"/>
    <x v="0"/>
    <x v="0"/>
    <m/>
    <x v="0"/>
    <x v="0"/>
    <x v="0"/>
    <x v="0"/>
    <x v="0"/>
    <n v="0"/>
    <n v="0"/>
    <n v="8.3333333333333329E-2"/>
    <n v="11.916666666666666"/>
    <x v="1"/>
    <x v="0"/>
    <m/>
    <x v="0"/>
    <n v="260.39999999999998"/>
    <x v="0"/>
    <x v="15"/>
    <x v="5"/>
    <x v="0"/>
    <x v="0"/>
  </r>
  <r>
    <x v="1"/>
    <x v="13"/>
    <s v="2526 F"/>
    <x v="169"/>
    <s v=" Usman Amin "/>
    <s v=" LDN "/>
    <n v="18.5"/>
    <s v="6-6.5"/>
    <s v=" LDN "/>
    <n v="190"/>
    <x v="0"/>
    <n v="3"/>
    <n v="204.45"/>
    <n v="5.4"/>
    <n v="7"/>
    <x v="0"/>
    <n v="199.04999999999998"/>
    <n v="199.04999999999998"/>
    <n v="5"/>
    <x v="0"/>
    <x v="0"/>
    <n v="5"/>
    <n v="8.3333333333333329E-2"/>
    <x v="0"/>
    <x v="0"/>
    <m/>
    <x v="0"/>
    <x v="0"/>
    <x v="0"/>
    <x v="0"/>
    <x v="0"/>
    <n v="0"/>
    <n v="0"/>
    <n v="8.3333333333333329E-2"/>
    <n v="11.916666666666666"/>
    <x v="1"/>
    <x v="0"/>
    <m/>
    <x v="0"/>
    <n v="209.45"/>
    <x v="0"/>
    <x v="15"/>
    <x v="5"/>
    <x v="0"/>
    <x v="0"/>
  </r>
  <r>
    <x v="1"/>
    <x v="13"/>
    <s v="5777 J"/>
    <x v="169"/>
    <s v="Atlas Honda LTD (SKP)"/>
    <s v="LDN"/>
    <n v="24"/>
    <s v="8.5-9"/>
    <s v="LDN"/>
    <n v="112.17948717948717"/>
    <x v="0"/>
    <n v="2"/>
    <n v="128.55000000000001"/>
    <n v="5"/>
    <m/>
    <x v="0"/>
    <n v="123.55000000000001"/>
    <n v="123.55000000000001"/>
    <m/>
    <x v="0"/>
    <x v="0"/>
    <n v="0"/>
    <n v="0"/>
    <x v="0"/>
    <x v="0"/>
    <m/>
    <x v="0"/>
    <x v="0"/>
    <x v="0"/>
    <x v="0"/>
    <x v="0"/>
    <n v="0"/>
    <n v="0"/>
    <n v="0"/>
    <n v="12"/>
    <x v="1"/>
    <x v="0"/>
    <m/>
    <x v="0"/>
    <n v="133.55000000000001"/>
    <x v="0"/>
    <x v="15"/>
    <x v="5"/>
    <x v="0"/>
    <x v="0"/>
  </r>
  <r>
    <x v="0"/>
    <x v="12"/>
    <s v="2823/2"/>
    <x v="169"/>
    <s v="C/O JAVAID SB"/>
    <s v="LDN"/>
    <n v="42"/>
    <n v="3"/>
    <s v="LDN"/>
    <n v="0"/>
    <x v="0"/>
    <n v="44"/>
    <n v="1109.76"/>
    <m/>
    <n v="30"/>
    <x v="0"/>
    <n v="1109.76"/>
    <n v="30037.069999999996"/>
    <m/>
    <x v="0"/>
    <x v="0"/>
    <n v="0"/>
    <n v="0"/>
    <x v="0"/>
    <x v="0"/>
    <m/>
    <x v="0"/>
    <x v="0"/>
    <x v="0"/>
    <x v="12"/>
    <x v="0"/>
    <n v="90"/>
    <n v="1.5"/>
    <n v="1.5"/>
    <n v="10.5"/>
    <x v="1"/>
    <x v="0"/>
    <m/>
    <x v="0"/>
    <n v="1114.76"/>
    <x v="0"/>
    <x v="15"/>
    <x v="5"/>
    <x v="0"/>
    <x v="0"/>
  </r>
  <r>
    <x v="1"/>
    <x v="12"/>
    <s v="2823/2"/>
    <x v="169"/>
    <s v="C/O JAVAID SB"/>
    <s v="LDN"/>
    <n v="42"/>
    <n v="3"/>
    <s v="LDN"/>
    <n v="0"/>
    <x v="0"/>
    <n v="47"/>
    <n v="1157.18"/>
    <m/>
    <m/>
    <x v="0"/>
    <n v="1157.18"/>
    <n v="30037.069999999996"/>
    <m/>
    <x v="0"/>
    <x v="0"/>
    <n v="0"/>
    <n v="0"/>
    <x v="0"/>
    <x v="0"/>
    <m/>
    <x v="0"/>
    <x v="0"/>
    <x v="0"/>
    <x v="0"/>
    <x v="0"/>
    <n v="0"/>
    <n v="0"/>
    <n v="0"/>
    <n v="12"/>
    <x v="1"/>
    <x v="0"/>
    <m/>
    <x v="0"/>
    <n v="1162.18"/>
    <x v="0"/>
    <x v="15"/>
    <x v="5"/>
    <x v="0"/>
    <x v="0"/>
  </r>
  <r>
    <x v="0"/>
    <x v="14"/>
    <s v="PACKING"/>
    <x v="169"/>
    <s v="-"/>
    <m/>
    <m/>
    <m/>
    <m/>
    <m/>
    <x v="0"/>
    <n v="1"/>
    <n v="55"/>
    <n v="1"/>
    <m/>
    <x v="0"/>
    <n v="54"/>
    <n v="2074.5"/>
    <m/>
    <x v="9"/>
    <x v="0"/>
    <n v="240"/>
    <n v="4"/>
    <x v="0"/>
    <x v="0"/>
    <m/>
    <x v="0"/>
    <x v="0"/>
    <x v="0"/>
    <x v="0"/>
    <x v="0"/>
    <n v="0"/>
    <n v="0"/>
    <n v="4"/>
    <n v="8"/>
    <x v="1"/>
    <x v="0"/>
    <m/>
    <x v="0"/>
    <n v="60"/>
    <x v="0"/>
    <x v="15"/>
    <x v="5"/>
    <x v="0"/>
    <x v="0"/>
  </r>
  <r>
    <x v="0"/>
    <x v="14"/>
    <s v="2822/2"/>
    <x v="169"/>
    <s v="PT-02 (BREZE FRAST IND)"/>
    <s v="LDN"/>
    <n v="30"/>
    <n v="12"/>
    <s v="LDN"/>
    <n v="400"/>
    <x v="0"/>
    <n v="15"/>
    <n v="330.16"/>
    <n v="19.2"/>
    <m/>
    <x v="0"/>
    <n v="310.96000000000004"/>
    <n v="476.07000000000005"/>
    <n v="5"/>
    <x v="0"/>
    <x v="0"/>
    <n v="5"/>
    <n v="8.3333333333333329E-2"/>
    <x v="0"/>
    <x v="0"/>
    <m/>
    <x v="0"/>
    <x v="0"/>
    <x v="0"/>
    <x v="0"/>
    <x v="0"/>
    <n v="0"/>
    <n v="0"/>
    <n v="8.3333333333333329E-2"/>
    <n v="11.916666666666666"/>
    <x v="1"/>
    <x v="0"/>
    <m/>
    <x v="0"/>
    <n v="335.16"/>
    <x v="0"/>
    <x v="15"/>
    <x v="5"/>
    <x v="0"/>
    <x v="0"/>
  </r>
  <r>
    <x v="0"/>
    <x v="14"/>
    <s v="2530 F"/>
    <x v="169"/>
    <s v="Usman Amin"/>
    <s v="LDN"/>
    <n v="30"/>
    <s v="8"/>
    <s v="LDN"/>
    <n v="165"/>
    <x v="0"/>
    <n v="1"/>
    <n v="107.3"/>
    <n v="3.4"/>
    <m/>
    <x v="0"/>
    <n v="103.89999999999999"/>
    <n v="273.60000000000002"/>
    <m/>
    <x v="0"/>
    <x v="0"/>
    <n v="0"/>
    <n v="0"/>
    <x v="0"/>
    <x v="0"/>
    <m/>
    <x v="0"/>
    <x v="0"/>
    <x v="0"/>
    <x v="0"/>
    <x v="0"/>
    <n v="0"/>
    <n v="0"/>
    <n v="0"/>
    <n v="12"/>
    <x v="1"/>
    <x v="0"/>
    <m/>
    <x v="0"/>
    <n v="112.3"/>
    <x v="0"/>
    <x v="15"/>
    <x v="5"/>
    <x v="0"/>
    <x v="0"/>
  </r>
  <r>
    <x v="0"/>
    <x v="14"/>
    <s v="2822/1"/>
    <x v="169"/>
    <s v="PT-02 (BREZE FRAST IND)"/>
    <s v="LDN"/>
    <n v="24"/>
    <n v="12"/>
    <s v="LDN"/>
    <n v="200"/>
    <x v="0"/>
    <n v="2"/>
    <n v="41.3"/>
    <n v="2.54"/>
    <n v="40"/>
    <x v="0"/>
    <n v="38.76"/>
    <n v="165.70999999999998"/>
    <m/>
    <x v="0"/>
    <x v="0"/>
    <n v="0"/>
    <n v="0"/>
    <x v="0"/>
    <x v="0"/>
    <m/>
    <x v="0"/>
    <x v="0"/>
    <x v="0"/>
    <x v="0"/>
    <x v="0"/>
    <n v="0"/>
    <n v="0"/>
    <n v="0"/>
    <n v="12"/>
    <x v="1"/>
    <x v="0"/>
    <m/>
    <x v="0"/>
    <n v="46.3"/>
    <x v="0"/>
    <x v="15"/>
    <x v="5"/>
    <x v="0"/>
    <x v="0"/>
  </r>
  <r>
    <x v="1"/>
    <x v="14"/>
    <s v="2822/1"/>
    <x v="169"/>
    <s v="PT-02 (BREZE FRAST IND)"/>
    <s v="LDN"/>
    <n v="24"/>
    <n v="12"/>
    <s v="LDN"/>
    <n v="200"/>
    <x v="0"/>
    <n v="6"/>
    <n v="141.35"/>
    <n v="14.399999999999999"/>
    <n v="60"/>
    <x v="0"/>
    <n v="126.94999999999999"/>
    <n v="165.70999999999998"/>
    <n v="5"/>
    <x v="0"/>
    <x v="0"/>
    <n v="5"/>
    <n v="8.3333333333333329E-2"/>
    <x v="0"/>
    <x v="0"/>
    <m/>
    <x v="0"/>
    <x v="0"/>
    <x v="0"/>
    <x v="0"/>
    <x v="0"/>
    <n v="0"/>
    <n v="0"/>
    <n v="8.3333333333333329E-2"/>
    <n v="11.916666666666666"/>
    <x v="1"/>
    <x v="0"/>
    <m/>
    <x v="0"/>
    <n v="146.35"/>
    <x v="0"/>
    <x v="15"/>
    <x v="5"/>
    <x v="0"/>
    <x v="0"/>
  </r>
  <r>
    <x v="1"/>
    <x v="14"/>
    <s v="5727 J"/>
    <x v="169"/>
    <s v="Sheikh Sheraz Sialkot "/>
    <s v="LDN"/>
    <n v="28"/>
    <n v="10"/>
    <s v="LDN"/>
    <n v="170"/>
    <x v="0"/>
    <n v="2"/>
    <n v="184.8"/>
    <n v="6.8"/>
    <m/>
    <x v="0"/>
    <n v="178"/>
    <n v="178"/>
    <n v="5"/>
    <x v="0"/>
    <x v="0"/>
    <n v="5"/>
    <n v="8.3333333333333329E-2"/>
    <x v="0"/>
    <x v="0"/>
    <m/>
    <x v="0"/>
    <x v="0"/>
    <x v="0"/>
    <x v="0"/>
    <x v="0"/>
    <n v="0"/>
    <n v="0"/>
    <n v="8.3333333333333329E-2"/>
    <n v="11.916666666666666"/>
    <x v="1"/>
    <x v="0"/>
    <m/>
    <x v="0"/>
    <n v="189.8"/>
    <x v="0"/>
    <x v="15"/>
    <x v="5"/>
    <x v="0"/>
    <x v="0"/>
  </r>
  <r>
    <x v="1"/>
    <x v="14"/>
    <s v="5729 J"/>
    <x v="169"/>
    <s v="-"/>
    <m/>
    <m/>
    <m/>
    <m/>
    <m/>
    <x v="0"/>
    <n v="1"/>
    <n v="94.7"/>
    <n v="2.6"/>
    <m/>
    <x v="0"/>
    <n v="92.100000000000009"/>
    <n v="92.100000000000009"/>
    <n v="5"/>
    <x v="0"/>
    <x v="0"/>
    <n v="5"/>
    <n v="8.3333333333333329E-2"/>
    <x v="0"/>
    <x v="0"/>
    <m/>
    <x v="0"/>
    <x v="0"/>
    <x v="0"/>
    <x v="0"/>
    <x v="0"/>
    <n v="0"/>
    <n v="0"/>
    <n v="8.3333333333333329E-2"/>
    <n v="11.916666666666666"/>
    <x v="1"/>
    <x v="0"/>
    <m/>
    <x v="0"/>
    <n v="99.7"/>
    <x v="0"/>
    <x v="15"/>
    <x v="5"/>
    <x v="0"/>
    <x v="0"/>
  </r>
  <r>
    <x v="1"/>
    <x v="14"/>
    <s v="5783 J"/>
    <x v="169"/>
    <s v="Ramada Multan"/>
    <s v="LDN"/>
    <s v="23+2+2"/>
    <s v="7-7.5/14-15"/>
    <s v="LDN"/>
    <n v="150"/>
    <x v="0"/>
    <n v="2"/>
    <n v="106.6"/>
    <n v="5"/>
    <m/>
    <x v="0"/>
    <n v="101.6"/>
    <n v="208"/>
    <n v="5"/>
    <x v="0"/>
    <x v="0"/>
    <n v="5"/>
    <n v="8.3333333333333329E-2"/>
    <x v="0"/>
    <x v="0"/>
    <m/>
    <x v="0"/>
    <x v="0"/>
    <x v="0"/>
    <x v="0"/>
    <x v="0"/>
    <n v="0"/>
    <n v="0"/>
    <n v="8.3333333333333329E-2"/>
    <n v="11.916666666666666"/>
    <x v="1"/>
    <x v="0"/>
    <m/>
    <x v="0"/>
    <n v="111.6"/>
    <x v="0"/>
    <x v="15"/>
    <x v="5"/>
    <x v="0"/>
    <x v="0"/>
  </r>
  <r>
    <x v="0"/>
    <x v="15"/>
    <s v="2823/1"/>
    <x v="169"/>
    <s v="C/O JAVAID SB"/>
    <s v="LDN"/>
    <n v="36"/>
    <n v="3"/>
    <s v="LDN"/>
    <n v="0"/>
    <x v="0"/>
    <n v="19"/>
    <n v="600.04999999999995"/>
    <m/>
    <n v="10"/>
    <x v="0"/>
    <n v="600.04999999999995"/>
    <n v="23186.610000000004"/>
    <m/>
    <x v="0"/>
    <x v="0"/>
    <n v="0"/>
    <n v="0"/>
    <x v="0"/>
    <x v="0"/>
    <m/>
    <x v="15"/>
    <x v="0"/>
    <x v="0"/>
    <x v="0"/>
    <x v="0"/>
    <n v="13"/>
    <n v="0.21666666666666667"/>
    <n v="0.21666666666666667"/>
    <n v="11.783333333333333"/>
    <x v="1"/>
    <x v="0"/>
    <m/>
    <x v="0"/>
    <n v="605.04999999999995"/>
    <x v="0"/>
    <x v="15"/>
    <x v="5"/>
    <x v="0"/>
    <x v="0"/>
  </r>
  <r>
    <x v="1"/>
    <x v="15"/>
    <s v="2823/1"/>
    <x v="169"/>
    <s v="C/O JAVAID SB"/>
    <s v="LDN"/>
    <n v="36"/>
    <n v="3"/>
    <s v="LDN"/>
    <n v="0"/>
    <x v="0"/>
    <n v="27"/>
    <n v="654.72000000000014"/>
    <m/>
    <n v="12"/>
    <x v="0"/>
    <n v="654.72000000000014"/>
    <n v="23186.610000000004"/>
    <m/>
    <x v="0"/>
    <x v="0"/>
    <n v="0"/>
    <n v="0"/>
    <x v="0"/>
    <x v="0"/>
    <m/>
    <x v="6"/>
    <x v="0"/>
    <x v="0"/>
    <x v="0"/>
    <x v="0"/>
    <n v="8"/>
    <n v="0.13333333333333333"/>
    <n v="0.13333333333333333"/>
    <n v="11.866666666666667"/>
    <x v="1"/>
    <x v="0"/>
    <m/>
    <x v="0"/>
    <n v="659.72000000000014"/>
    <x v="0"/>
    <x v="15"/>
    <x v="5"/>
    <x v="0"/>
    <x v="0"/>
  </r>
  <r>
    <x v="0"/>
    <x v="8"/>
    <s v="5717 J"/>
    <x v="170"/>
    <s v="Waqas Wollan Mills Gujranwala"/>
    <s v="LDN"/>
    <n v="10"/>
    <s v="8-8.5"/>
    <s v="LDN"/>
    <n v="500"/>
    <x v="0"/>
    <n v="3"/>
    <n v="166.25"/>
    <n v="3.3000000000000003"/>
    <m/>
    <x v="0"/>
    <n v="162.94999999999999"/>
    <n v="501.39"/>
    <m/>
    <x v="0"/>
    <x v="0"/>
    <n v="0"/>
    <n v="0"/>
    <x v="0"/>
    <x v="0"/>
    <m/>
    <x v="0"/>
    <x v="0"/>
    <x v="0"/>
    <x v="0"/>
    <x v="0"/>
    <n v="0"/>
    <n v="0"/>
    <n v="0"/>
    <n v="12"/>
    <x v="1"/>
    <x v="0"/>
    <m/>
    <x v="0"/>
    <n v="171.25"/>
    <x v="0"/>
    <x v="15"/>
    <x v="5"/>
    <x v="0"/>
    <x v="0"/>
  </r>
  <r>
    <x v="1"/>
    <x v="8"/>
    <s v="5717 J"/>
    <x v="170"/>
    <s v="Waqas Wollan Mills Gujranwala"/>
    <s v="LDN"/>
    <n v="10"/>
    <s v="8-8.5"/>
    <s v="LDN"/>
    <n v="500"/>
    <x v="0"/>
    <n v="1"/>
    <n v="55"/>
    <n v="1.1000000000000001"/>
    <m/>
    <x v="0"/>
    <n v="53.9"/>
    <n v="501.39"/>
    <m/>
    <x v="0"/>
    <x v="13"/>
    <n v="480"/>
    <n v="8"/>
    <x v="0"/>
    <x v="0"/>
    <m/>
    <x v="0"/>
    <x v="0"/>
    <x v="0"/>
    <x v="0"/>
    <x v="0"/>
    <n v="0"/>
    <n v="0"/>
    <n v="8"/>
    <n v="4"/>
    <x v="1"/>
    <x v="0"/>
    <m/>
    <x v="0"/>
    <n v="60"/>
    <x v="0"/>
    <x v="15"/>
    <x v="5"/>
    <x v="0"/>
    <x v="0"/>
  </r>
  <r>
    <x v="0"/>
    <x v="9"/>
    <s v="5717 J"/>
    <x v="170"/>
    <s v="Waqas Wollan Mills Gujranwala"/>
    <s v="LDN"/>
    <n v="10"/>
    <s v="8-8.5"/>
    <s v="LDN"/>
    <n v="500"/>
    <x v="0"/>
    <n v="1"/>
    <n v="63.12"/>
    <n v="1.1000000000000001"/>
    <m/>
    <x v="0"/>
    <n v="62.019999999999996"/>
    <n v="501.39"/>
    <m/>
    <x v="0"/>
    <x v="0"/>
    <n v="0"/>
    <n v="0"/>
    <x v="0"/>
    <x v="0"/>
    <m/>
    <x v="0"/>
    <x v="0"/>
    <x v="0"/>
    <x v="0"/>
    <x v="0"/>
    <n v="0"/>
    <n v="0"/>
    <n v="0"/>
    <n v="12"/>
    <x v="1"/>
    <x v="0"/>
    <m/>
    <x v="0"/>
    <n v="68.12"/>
    <x v="0"/>
    <x v="15"/>
    <x v="5"/>
    <x v="0"/>
    <x v="0"/>
  </r>
  <r>
    <x v="0"/>
    <x v="9"/>
    <s v="2824/3"/>
    <x v="170"/>
    <s v="PT-02"/>
    <s v="LDN"/>
    <n v="14"/>
    <n v="14"/>
    <s v="LDN"/>
    <n v="1500"/>
    <x v="0"/>
    <n v="2"/>
    <n v="95.36"/>
    <n v="3.4"/>
    <m/>
    <x v="0"/>
    <n v="91.96"/>
    <n v="1616.5"/>
    <m/>
    <x v="0"/>
    <x v="0"/>
    <n v="0"/>
    <n v="0"/>
    <x v="0"/>
    <x v="0"/>
    <m/>
    <x v="0"/>
    <x v="0"/>
    <x v="0"/>
    <x v="0"/>
    <x v="0"/>
    <n v="0"/>
    <n v="0"/>
    <n v="0"/>
    <n v="12"/>
    <x v="1"/>
    <x v="0"/>
    <m/>
    <x v="0"/>
    <n v="100.36"/>
    <x v="0"/>
    <x v="15"/>
    <x v="5"/>
    <x v="0"/>
    <x v="0"/>
  </r>
  <r>
    <x v="0"/>
    <x v="9"/>
    <s v="2536 F"/>
    <x v="170"/>
    <s v="Usman Amin"/>
    <s v="LDN"/>
    <n v="12"/>
    <s v="10-11"/>
    <s v="LDN"/>
    <n v="30"/>
    <x v="0"/>
    <n v="1"/>
    <n v="37.9"/>
    <n v="1.5"/>
    <m/>
    <x v="0"/>
    <n v="36.4"/>
    <n v="36.4"/>
    <m/>
    <x v="0"/>
    <x v="2"/>
    <n v="180"/>
    <n v="3"/>
    <x v="0"/>
    <x v="0"/>
    <m/>
    <x v="0"/>
    <x v="0"/>
    <x v="0"/>
    <x v="0"/>
    <x v="0"/>
    <n v="0"/>
    <n v="0"/>
    <n v="3"/>
    <n v="9"/>
    <x v="1"/>
    <x v="0"/>
    <m/>
    <x v="0"/>
    <n v="42.9"/>
    <x v="0"/>
    <x v="15"/>
    <x v="5"/>
    <x v="0"/>
    <x v="0"/>
  </r>
  <r>
    <x v="0"/>
    <x v="11"/>
    <s v="2528 F"/>
    <x v="170"/>
    <s v=" Usman Amin "/>
    <s v=" LDN "/>
    <n v="17.25"/>
    <s v="12"/>
    <s v=" LDN "/>
    <n v="500"/>
    <x v="0"/>
    <n v="4"/>
    <n v="276.22000000000003"/>
    <n v="6.8"/>
    <n v="25"/>
    <x v="0"/>
    <n v="269.42"/>
    <n v="563.4"/>
    <m/>
    <x v="0"/>
    <x v="0"/>
    <n v="0"/>
    <n v="0"/>
    <x v="0"/>
    <x v="0"/>
    <m/>
    <x v="0"/>
    <x v="0"/>
    <x v="0"/>
    <x v="0"/>
    <x v="0"/>
    <n v="0"/>
    <n v="0"/>
    <n v="0"/>
    <n v="12"/>
    <x v="1"/>
    <x v="0"/>
    <m/>
    <x v="0"/>
    <n v="281.22000000000003"/>
    <x v="0"/>
    <x v="15"/>
    <x v="5"/>
    <x v="0"/>
    <x v="0"/>
  </r>
  <r>
    <x v="1"/>
    <x v="11"/>
    <s v="5804 J"/>
    <x v="170"/>
    <s v="RMC PACK"/>
    <s v="LD کریم"/>
    <s v="12+3+3"/>
    <s v="7.5"/>
    <s v="LDM"/>
    <n v="100"/>
    <x v="0"/>
    <n v="4"/>
    <n v="112.1"/>
    <n v="5.6"/>
    <n v="80"/>
    <x v="0"/>
    <n v="106.5"/>
    <n v="106.5"/>
    <m/>
    <x v="0"/>
    <x v="0"/>
    <n v="0"/>
    <n v="0"/>
    <x v="0"/>
    <x v="0"/>
    <m/>
    <x v="0"/>
    <x v="0"/>
    <x v="0"/>
    <x v="0"/>
    <x v="0"/>
    <n v="0"/>
    <n v="0"/>
    <n v="0"/>
    <n v="12"/>
    <x v="1"/>
    <x v="0"/>
    <m/>
    <x v="0"/>
    <n v="117.1"/>
    <x v="0"/>
    <x v="15"/>
    <x v="5"/>
    <x v="0"/>
    <x v="0"/>
  </r>
  <r>
    <x v="1"/>
    <x v="11"/>
    <s v="5741 J"/>
    <x v="170"/>
    <s v="Bilal Printing Lahore"/>
    <s v="LD سی گرین"/>
    <n v="19"/>
    <s v="14-15"/>
    <s v="LDM"/>
    <n v="100"/>
    <x v="0"/>
    <n v="2"/>
    <n v="110.1"/>
    <n v="4.5999999999999996"/>
    <m/>
    <x v="0"/>
    <n v="105.5"/>
    <n v="105.5"/>
    <m/>
    <x v="0"/>
    <x v="0"/>
    <n v="0"/>
    <n v="0"/>
    <x v="0"/>
    <x v="0"/>
    <m/>
    <x v="0"/>
    <x v="0"/>
    <x v="0"/>
    <x v="0"/>
    <x v="0"/>
    <n v="0"/>
    <n v="0"/>
    <n v="0"/>
    <n v="12"/>
    <x v="1"/>
    <x v="0"/>
    <m/>
    <x v="0"/>
    <n v="115.1"/>
    <x v="0"/>
    <x v="15"/>
    <x v="5"/>
    <x v="0"/>
    <x v="0"/>
  </r>
  <r>
    <x v="1"/>
    <x v="11"/>
    <s v="5742 J"/>
    <x v="170"/>
    <s v="Bilal Printing Lahore"/>
    <s v="LD سی گرین"/>
    <n v="22"/>
    <s v="16-16.5"/>
    <s v="LDM"/>
    <n v="100"/>
    <x v="0"/>
    <n v="2"/>
    <n v="114.1"/>
    <n v="5"/>
    <m/>
    <x v="0"/>
    <n v="109.1"/>
    <n v="109.1"/>
    <m/>
    <x v="0"/>
    <x v="0"/>
    <n v="0"/>
    <n v="0"/>
    <x v="0"/>
    <x v="0"/>
    <m/>
    <x v="0"/>
    <x v="0"/>
    <x v="0"/>
    <x v="0"/>
    <x v="0"/>
    <n v="0"/>
    <n v="0"/>
    <n v="0"/>
    <n v="12"/>
    <x v="1"/>
    <x v="0"/>
    <m/>
    <x v="0"/>
    <n v="119.1"/>
    <x v="0"/>
    <x v="15"/>
    <x v="5"/>
    <x v="0"/>
    <x v="0"/>
  </r>
  <r>
    <x v="0"/>
    <x v="13"/>
    <s v="5776 J"/>
    <x v="170"/>
    <s v="Atlas Honda LTD (SKP)"/>
    <s v="LDN"/>
    <n v="22"/>
    <s v="12.5-13"/>
    <s v="LDN"/>
    <n v="83.244301994301992"/>
    <x v="0"/>
    <n v="1"/>
    <n v="42.7"/>
    <n v="2.2000000000000002"/>
    <m/>
    <x v="0"/>
    <n v="40.5"/>
    <n v="40.5"/>
    <m/>
    <x v="0"/>
    <x v="0"/>
    <n v="0"/>
    <n v="0"/>
    <x v="0"/>
    <x v="0"/>
    <m/>
    <x v="0"/>
    <x v="0"/>
    <x v="0"/>
    <x v="0"/>
    <x v="0"/>
    <n v="0"/>
    <n v="0"/>
    <n v="0"/>
    <n v="12"/>
    <x v="1"/>
    <x v="0"/>
    <m/>
    <x v="0"/>
    <n v="47.7"/>
    <x v="0"/>
    <x v="15"/>
    <x v="5"/>
    <x v="0"/>
    <x v="0"/>
  </r>
  <r>
    <x v="0"/>
    <x v="13"/>
    <s v="5739 J"/>
    <x v="170"/>
    <s v="H A Industry Peshawar"/>
    <s v="LDN"/>
    <n v="22"/>
    <s v="-"/>
    <s v="LDN"/>
    <n v="150"/>
    <x v="0"/>
    <n v="3"/>
    <n v="180.84"/>
    <n v="8.1000000000000014"/>
    <m/>
    <x v="0"/>
    <n v="172.74"/>
    <n v="172.74"/>
    <m/>
    <x v="0"/>
    <x v="0"/>
    <n v="0"/>
    <n v="0"/>
    <x v="0"/>
    <x v="0"/>
    <m/>
    <x v="0"/>
    <x v="0"/>
    <x v="0"/>
    <x v="0"/>
    <x v="0"/>
    <n v="0"/>
    <n v="0"/>
    <n v="0"/>
    <n v="12"/>
    <x v="1"/>
    <x v="0"/>
    <m/>
    <x v="0"/>
    <n v="185.84"/>
    <x v="0"/>
    <x v="15"/>
    <x v="5"/>
    <x v="0"/>
    <x v="0"/>
  </r>
  <r>
    <x v="0"/>
    <x v="13"/>
    <s v="2529 J"/>
    <x v="170"/>
    <s v="-"/>
    <m/>
    <m/>
    <m/>
    <m/>
    <m/>
    <x v="0"/>
    <n v="1"/>
    <n v="88.84"/>
    <n v="1.9"/>
    <n v="18"/>
    <x v="0"/>
    <n v="86.94"/>
    <n v="219.54"/>
    <m/>
    <x v="0"/>
    <x v="0"/>
    <n v="0"/>
    <n v="0"/>
    <x v="0"/>
    <x v="0"/>
    <m/>
    <x v="0"/>
    <x v="0"/>
    <x v="0"/>
    <x v="0"/>
    <x v="0"/>
    <n v="0"/>
    <n v="0"/>
    <n v="0"/>
    <n v="12"/>
    <x v="1"/>
    <x v="0"/>
    <m/>
    <x v="0"/>
    <n v="93.84"/>
    <x v="0"/>
    <x v="15"/>
    <x v="5"/>
    <x v="0"/>
    <x v="0"/>
  </r>
  <r>
    <x v="1"/>
    <x v="13"/>
    <s v="2529 J"/>
    <x v="170"/>
    <s v="-"/>
    <m/>
    <m/>
    <m/>
    <m/>
    <m/>
    <x v="0"/>
    <n v="2"/>
    <n v="134.5"/>
    <n v="1.9"/>
    <n v="7"/>
    <x v="0"/>
    <n v="132.6"/>
    <n v="219.54"/>
    <m/>
    <x v="0"/>
    <x v="0"/>
    <n v="0"/>
    <n v="0"/>
    <x v="0"/>
    <x v="0"/>
    <m/>
    <x v="0"/>
    <x v="0"/>
    <x v="0"/>
    <x v="0"/>
    <x v="0"/>
    <n v="0"/>
    <n v="0"/>
    <n v="0"/>
    <n v="12"/>
    <x v="1"/>
    <x v="0"/>
    <m/>
    <x v="0"/>
    <n v="139.5"/>
    <x v="0"/>
    <x v="15"/>
    <x v="5"/>
    <x v="0"/>
    <x v="0"/>
  </r>
  <r>
    <x v="1"/>
    <x v="13"/>
    <s v="2527 F"/>
    <x v="170"/>
    <s v=" Usman Amin "/>
    <s v="LDN"/>
    <n v="17"/>
    <s v=" 7.5-8 "/>
    <s v=" LDN "/>
    <n v="500"/>
    <x v="0"/>
    <n v="2"/>
    <n v="153.30000000000001"/>
    <n v="3.6"/>
    <m/>
    <x v="0"/>
    <n v="149.70000000000002"/>
    <n v="501.20000000000005"/>
    <m/>
    <x v="0"/>
    <x v="0"/>
    <n v="0"/>
    <n v="0"/>
    <x v="0"/>
    <x v="0"/>
    <m/>
    <x v="0"/>
    <x v="0"/>
    <x v="0"/>
    <x v="0"/>
    <x v="0"/>
    <n v="0"/>
    <n v="0"/>
    <n v="0"/>
    <n v="12"/>
    <x v="1"/>
    <x v="0"/>
    <m/>
    <x v="0"/>
    <n v="158.30000000000001"/>
    <x v="0"/>
    <x v="15"/>
    <x v="5"/>
    <x v="0"/>
    <x v="0"/>
  </r>
  <r>
    <x v="0"/>
    <x v="12"/>
    <s v="2823/2"/>
    <x v="170"/>
    <s v="C/O JAVAID SB"/>
    <s v="LDN"/>
    <n v="42"/>
    <n v="3"/>
    <s v="LDN"/>
    <n v="0"/>
    <x v="0"/>
    <n v="34"/>
    <n v="863.43"/>
    <m/>
    <m/>
    <x v="0"/>
    <n v="863.43"/>
    <n v="30037.069999999996"/>
    <m/>
    <x v="0"/>
    <x v="0"/>
    <n v="0"/>
    <n v="0"/>
    <x v="0"/>
    <x v="0"/>
    <m/>
    <x v="0"/>
    <x v="0"/>
    <x v="0"/>
    <x v="0"/>
    <x v="0"/>
    <n v="0"/>
    <n v="0"/>
    <n v="0"/>
    <n v="12"/>
    <x v="1"/>
    <x v="0"/>
    <m/>
    <x v="0"/>
    <n v="868.43"/>
    <x v="0"/>
    <x v="15"/>
    <x v="5"/>
    <x v="0"/>
    <x v="0"/>
  </r>
  <r>
    <x v="1"/>
    <x v="12"/>
    <s v="2823/2"/>
    <x v="170"/>
    <s v="C/O JAVAID SB"/>
    <s v="LDN"/>
    <n v="42"/>
    <n v="3"/>
    <s v="LDN"/>
    <n v="0"/>
    <x v="0"/>
    <n v="42"/>
    <n v="1045.94"/>
    <m/>
    <m/>
    <x v="0"/>
    <n v="1045.94"/>
    <n v="30037.069999999996"/>
    <m/>
    <x v="0"/>
    <x v="0"/>
    <n v="0"/>
    <n v="0"/>
    <x v="0"/>
    <x v="0"/>
    <m/>
    <x v="0"/>
    <x v="0"/>
    <x v="0"/>
    <x v="0"/>
    <x v="0"/>
    <n v="0"/>
    <n v="0"/>
    <n v="0"/>
    <n v="12"/>
    <x v="1"/>
    <x v="0"/>
    <m/>
    <x v="0"/>
    <n v="1050.94"/>
    <x v="0"/>
    <x v="15"/>
    <x v="5"/>
    <x v="0"/>
    <x v="0"/>
  </r>
  <r>
    <x v="0"/>
    <x v="14"/>
    <s v="5783 J"/>
    <x v="170"/>
    <s v="Ramada Multan"/>
    <s v="LDN"/>
    <s v="23+2+2"/>
    <s v="7-7.5/14-15"/>
    <s v="LDN"/>
    <n v="150"/>
    <x v="0"/>
    <n v="2"/>
    <n v="110.4"/>
    <n v="4"/>
    <n v="11"/>
    <x v="0"/>
    <n v="106.4"/>
    <n v="208"/>
    <n v="5"/>
    <x v="0"/>
    <x v="0"/>
    <n v="5"/>
    <n v="8.3333333333333329E-2"/>
    <x v="0"/>
    <x v="0"/>
    <m/>
    <x v="0"/>
    <x v="0"/>
    <x v="0"/>
    <x v="0"/>
    <x v="0"/>
    <n v="0"/>
    <n v="0"/>
    <n v="8.3333333333333329E-2"/>
    <n v="11.916666666666666"/>
    <x v="1"/>
    <x v="0"/>
    <m/>
    <x v="0"/>
    <n v="115.4"/>
    <x v="0"/>
    <x v="15"/>
    <x v="5"/>
    <x v="0"/>
    <x v="0"/>
  </r>
  <r>
    <x v="0"/>
    <x v="14"/>
    <s v="5744 J"/>
    <x v="170"/>
    <s v="Armani Dry Cleaner Mandi Bahuldin"/>
    <s v="LDN"/>
    <n v="25"/>
    <s v="4.5-5"/>
    <s v="LDN"/>
    <n v="100"/>
    <x v="0"/>
    <n v="3"/>
    <n v="126.13"/>
    <n v="10.199999999999999"/>
    <m/>
    <x v="0"/>
    <n v="115.92999999999999"/>
    <n v="115.92999999999999"/>
    <m/>
    <x v="0"/>
    <x v="0"/>
    <n v="0"/>
    <n v="0"/>
    <x v="0"/>
    <x v="0"/>
    <m/>
    <x v="0"/>
    <x v="0"/>
    <x v="0"/>
    <x v="0"/>
    <x v="0"/>
    <n v="0"/>
    <n v="0"/>
    <n v="0"/>
    <n v="12"/>
    <x v="1"/>
    <x v="0"/>
    <m/>
    <x v="0"/>
    <n v="131.13"/>
    <x v="0"/>
    <x v="15"/>
    <x v="5"/>
    <x v="0"/>
    <x v="0"/>
  </r>
  <r>
    <x v="0"/>
    <x v="14"/>
    <s v="5821 J"/>
    <x v="170"/>
    <s v="Ramada Multan"/>
    <s v="LDN"/>
    <n v="25"/>
    <s v="7-7.5"/>
    <s v="LDN"/>
    <n v="100"/>
    <x v="0"/>
    <n v="2"/>
    <n v="114.1"/>
    <n v="6.8"/>
    <m/>
    <x v="0"/>
    <n v="107.3"/>
    <n v="107.3"/>
    <m/>
    <x v="0"/>
    <x v="0"/>
    <n v="0"/>
    <n v="0"/>
    <x v="0"/>
    <x v="0"/>
    <m/>
    <x v="0"/>
    <x v="0"/>
    <x v="0"/>
    <x v="0"/>
    <x v="0"/>
    <n v="0"/>
    <n v="0"/>
    <n v="0"/>
    <n v="12"/>
    <x v="1"/>
    <x v="0"/>
    <m/>
    <x v="0"/>
    <n v="119.1"/>
    <x v="0"/>
    <x v="15"/>
    <x v="5"/>
    <x v="0"/>
    <x v="0"/>
  </r>
  <r>
    <x v="1"/>
    <x v="14"/>
    <s v="5755 J"/>
    <x v="170"/>
    <s v="Service Industry Gujrat"/>
    <s v="LDM"/>
    <s v="428 MM"/>
    <s v="-"/>
    <s v="LDM"/>
    <n v="100"/>
    <x v="0"/>
    <n v="5"/>
    <n v="254.18"/>
    <n v="10"/>
    <n v="45"/>
    <x v="0"/>
    <n v="244.18"/>
    <n v="244.18"/>
    <n v="5"/>
    <x v="0"/>
    <x v="0"/>
    <n v="5"/>
    <n v="8.3333333333333329E-2"/>
    <x v="0"/>
    <x v="0"/>
    <m/>
    <x v="0"/>
    <x v="0"/>
    <x v="0"/>
    <x v="0"/>
    <x v="0"/>
    <n v="0"/>
    <n v="0"/>
    <n v="8.3333333333333329E-2"/>
    <n v="11.916666666666666"/>
    <x v="1"/>
    <x v="0"/>
    <m/>
    <x v="0"/>
    <n v="259.18"/>
    <x v="0"/>
    <x v="15"/>
    <x v="5"/>
    <x v="0"/>
    <x v="0"/>
  </r>
  <r>
    <x v="1"/>
    <x v="14"/>
    <s v="5756 J"/>
    <x v="170"/>
    <s v="Service Industry Gujrat"/>
    <s v="LDM"/>
    <s v="428 MM"/>
    <s v="-"/>
    <s v="LDM"/>
    <n v="250"/>
    <x v="0"/>
    <n v="3"/>
    <n v="162.57"/>
    <n v="6"/>
    <m/>
    <x v="0"/>
    <n v="156.57"/>
    <n v="272.27"/>
    <m/>
    <x v="0"/>
    <x v="0"/>
    <n v="0"/>
    <n v="0"/>
    <x v="0"/>
    <x v="0"/>
    <m/>
    <x v="0"/>
    <x v="0"/>
    <x v="0"/>
    <x v="0"/>
    <x v="0"/>
    <n v="0"/>
    <n v="0"/>
    <n v="0"/>
    <n v="12"/>
    <x v="1"/>
    <x v="0"/>
    <m/>
    <x v="0"/>
    <n v="167.57"/>
    <x v="0"/>
    <x v="15"/>
    <x v="5"/>
    <x v="0"/>
    <x v="0"/>
  </r>
  <r>
    <x v="0"/>
    <x v="15"/>
    <s v="2823/1"/>
    <x v="170"/>
    <s v="C/O JAVAID SB"/>
    <s v="LDN"/>
    <n v="36"/>
    <n v="3"/>
    <s v="LDN"/>
    <n v="0"/>
    <x v="0"/>
    <n v="30"/>
    <n v="722.38"/>
    <m/>
    <m/>
    <x v="0"/>
    <n v="722.38"/>
    <n v="23186.610000000004"/>
    <m/>
    <x v="0"/>
    <x v="0"/>
    <n v="0"/>
    <n v="0"/>
    <x v="0"/>
    <x v="0"/>
    <m/>
    <x v="0"/>
    <x v="0"/>
    <x v="0"/>
    <x v="0"/>
    <x v="0"/>
    <n v="0"/>
    <n v="0"/>
    <n v="0"/>
    <n v="12"/>
    <x v="1"/>
    <x v="0"/>
    <m/>
    <x v="0"/>
    <n v="727.38"/>
    <x v="0"/>
    <x v="15"/>
    <x v="5"/>
    <x v="0"/>
    <x v="0"/>
  </r>
  <r>
    <x v="1"/>
    <x v="15"/>
    <s v="2823/1"/>
    <x v="170"/>
    <s v="C/O JAVAID SB"/>
    <s v="LDN"/>
    <n v="36"/>
    <n v="3"/>
    <s v="LDN"/>
    <n v="0"/>
    <x v="0"/>
    <n v="27"/>
    <n v="708.11999999999989"/>
    <m/>
    <m/>
    <x v="0"/>
    <n v="708.11999999999989"/>
    <n v="23186.610000000004"/>
    <m/>
    <x v="0"/>
    <x v="0"/>
    <n v="0"/>
    <n v="0"/>
    <x v="0"/>
    <x v="0"/>
    <m/>
    <x v="0"/>
    <x v="0"/>
    <x v="0"/>
    <x v="0"/>
    <x v="0"/>
    <n v="0"/>
    <n v="0"/>
    <n v="0"/>
    <n v="12"/>
    <x v="1"/>
    <x v="0"/>
    <m/>
    <x v="0"/>
    <n v="713.11999999999989"/>
    <x v="0"/>
    <x v="15"/>
    <x v="5"/>
    <x v="0"/>
    <x v="0"/>
  </r>
  <r>
    <x v="0"/>
    <x v="11"/>
    <s v="5668 J"/>
    <x v="171"/>
    <s v="Waqas Wollan Mills Gujranwala"/>
    <s v="LD بلو"/>
    <n v="18"/>
    <s v="10-10.5"/>
    <s v="LDM"/>
    <n v="250"/>
    <x v="0"/>
    <n v="3"/>
    <n v="255.60000000000002"/>
    <n v="5.4"/>
    <n v="3"/>
    <x v="0"/>
    <n v="250.20000000000002"/>
    <n v="250.20000000000002"/>
    <m/>
    <x v="0"/>
    <x v="0"/>
    <n v="0"/>
    <n v="0"/>
    <x v="0"/>
    <x v="0"/>
    <m/>
    <x v="0"/>
    <x v="0"/>
    <x v="0"/>
    <x v="0"/>
    <x v="0"/>
    <n v="0"/>
    <n v="0"/>
    <n v="0"/>
    <n v="12"/>
    <x v="1"/>
    <x v="0"/>
    <m/>
    <x v="0"/>
    <n v="260.60000000000002"/>
    <x v="0"/>
    <x v="15"/>
    <x v="5"/>
    <x v="0"/>
    <x v="0"/>
  </r>
  <r>
    <x v="0"/>
    <x v="11"/>
    <s v="5670 J"/>
    <x v="171"/>
    <s v="Waqas Wollan Mills Gujranwala"/>
    <s v="LD بلو"/>
    <n v="16"/>
    <s v="10-10.5"/>
    <s v="LDM"/>
    <n v="400"/>
    <x v="0"/>
    <n v="2"/>
    <n v="124.8"/>
    <n v="3.4"/>
    <m/>
    <x v="0"/>
    <n v="121.39999999999999"/>
    <n v="420"/>
    <m/>
    <x v="0"/>
    <x v="0"/>
    <n v="0"/>
    <n v="0"/>
    <x v="0"/>
    <x v="0"/>
    <m/>
    <x v="0"/>
    <x v="0"/>
    <x v="0"/>
    <x v="0"/>
    <x v="0"/>
    <n v="0"/>
    <n v="0"/>
    <n v="0"/>
    <n v="12"/>
    <x v="1"/>
    <x v="0"/>
    <m/>
    <x v="0"/>
    <n v="129.80000000000001"/>
    <x v="0"/>
    <x v="15"/>
    <x v="5"/>
    <x v="0"/>
    <x v="0"/>
  </r>
  <r>
    <x v="1"/>
    <x v="11"/>
    <s v="5670 J"/>
    <x v="171"/>
    <s v="Waqas Wollan Mills Gujranwala"/>
    <s v="LD بلو"/>
    <n v="16"/>
    <s v="10-10.5"/>
    <s v="LDM"/>
    <n v="400"/>
    <x v="0"/>
    <n v="3"/>
    <n v="253.20000000000002"/>
    <n v="6"/>
    <m/>
    <x v="0"/>
    <n v="247.20000000000002"/>
    <n v="420"/>
    <m/>
    <x v="0"/>
    <x v="0"/>
    <n v="0"/>
    <n v="0"/>
    <x v="0"/>
    <x v="0"/>
    <m/>
    <x v="0"/>
    <x v="0"/>
    <x v="0"/>
    <x v="0"/>
    <x v="0"/>
    <n v="0"/>
    <n v="0"/>
    <n v="0"/>
    <n v="12"/>
    <x v="1"/>
    <x v="0"/>
    <m/>
    <x v="0"/>
    <n v="258.20000000000005"/>
    <x v="0"/>
    <x v="15"/>
    <x v="5"/>
    <x v="0"/>
    <x v="0"/>
  </r>
  <r>
    <x v="1"/>
    <x v="11"/>
    <s v="5669 J"/>
    <x v="171"/>
    <s v="Waqas Wollan Mills Gujranwala"/>
    <s v="LD بلو"/>
    <n v="16"/>
    <s v="10-10.5"/>
    <s v="LDM"/>
    <n v="150"/>
    <x v="0"/>
    <n v="1"/>
    <n v="78.400000000000006"/>
    <n v="2"/>
    <m/>
    <x v="0"/>
    <n v="76.400000000000006"/>
    <n v="143.70000000000002"/>
    <m/>
    <x v="0"/>
    <x v="0"/>
    <n v="0"/>
    <n v="0"/>
    <x v="0"/>
    <x v="0"/>
    <m/>
    <x v="0"/>
    <x v="0"/>
    <x v="0"/>
    <x v="0"/>
    <x v="0"/>
    <n v="0"/>
    <n v="0"/>
    <n v="0"/>
    <n v="12"/>
    <x v="1"/>
    <x v="0"/>
    <m/>
    <x v="0"/>
    <n v="83.4"/>
    <x v="0"/>
    <x v="15"/>
    <x v="5"/>
    <x v="0"/>
    <x v="0"/>
  </r>
  <r>
    <x v="0"/>
    <x v="13"/>
    <s v="2527 F"/>
    <x v="171"/>
    <s v=" Usman Amin "/>
    <s v="LDN"/>
    <n v="17"/>
    <s v=" 7.5-8 "/>
    <s v=" LDN "/>
    <n v="500"/>
    <x v="0"/>
    <n v="5"/>
    <n v="360.5"/>
    <n v="9"/>
    <m/>
    <x v="0"/>
    <n v="351.5"/>
    <n v="501.20000000000005"/>
    <m/>
    <x v="0"/>
    <x v="0"/>
    <n v="0"/>
    <n v="0"/>
    <x v="0"/>
    <x v="0"/>
    <m/>
    <x v="0"/>
    <x v="0"/>
    <x v="0"/>
    <x v="0"/>
    <x v="0"/>
    <n v="0"/>
    <n v="0"/>
    <n v="0"/>
    <n v="12"/>
    <x v="1"/>
    <x v="0"/>
    <m/>
    <x v="0"/>
    <n v="365.5"/>
    <x v="0"/>
    <x v="15"/>
    <x v="5"/>
    <x v="0"/>
    <x v="0"/>
  </r>
  <r>
    <x v="1"/>
    <x v="13"/>
    <s v="2517 F"/>
    <x v="171"/>
    <s v=" Usman Amin "/>
    <s v=" LDN "/>
    <n v="17"/>
    <s v="12"/>
    <s v=" LDN "/>
    <n v="600"/>
    <x v="0"/>
    <n v="4"/>
    <n v="319.79999999999995"/>
    <n v="8"/>
    <m/>
    <x v="0"/>
    <n v="311.79999999999995"/>
    <n v="613.66"/>
    <m/>
    <x v="0"/>
    <x v="0"/>
    <n v="0"/>
    <n v="0"/>
    <x v="0"/>
    <x v="0"/>
    <m/>
    <x v="0"/>
    <x v="0"/>
    <x v="0"/>
    <x v="0"/>
    <x v="0"/>
    <n v="0"/>
    <n v="0"/>
    <n v="0"/>
    <n v="12"/>
    <x v="1"/>
    <x v="0"/>
    <m/>
    <x v="0"/>
    <n v="324.79999999999995"/>
    <x v="0"/>
    <x v="15"/>
    <x v="5"/>
    <x v="0"/>
    <x v="0"/>
  </r>
  <r>
    <x v="0"/>
    <x v="12"/>
    <s v="2823/2"/>
    <x v="171"/>
    <s v="C/O JAVAID SB"/>
    <s v="LDN"/>
    <n v="42"/>
    <n v="3"/>
    <s v="LDN"/>
    <n v="0"/>
    <x v="0"/>
    <n v="41"/>
    <n v="1089.8500000000004"/>
    <m/>
    <m/>
    <x v="0"/>
    <n v="1089.8500000000004"/>
    <n v="30037.069999999996"/>
    <m/>
    <x v="0"/>
    <x v="0"/>
    <n v="0"/>
    <n v="0"/>
    <x v="0"/>
    <x v="0"/>
    <m/>
    <x v="0"/>
    <x v="0"/>
    <x v="0"/>
    <x v="0"/>
    <x v="0"/>
    <n v="0"/>
    <n v="0"/>
    <n v="0"/>
    <n v="12"/>
    <x v="1"/>
    <x v="0"/>
    <m/>
    <x v="0"/>
    <n v="1094.8500000000004"/>
    <x v="0"/>
    <x v="15"/>
    <x v="5"/>
    <x v="0"/>
    <x v="0"/>
  </r>
  <r>
    <x v="1"/>
    <x v="12"/>
    <s v="2823/2"/>
    <x v="171"/>
    <s v="C/O JAVAID SB"/>
    <s v="LDN"/>
    <n v="42"/>
    <n v="3"/>
    <s v="LDN"/>
    <n v="0"/>
    <x v="0"/>
    <n v="41"/>
    <n v="1099.0299999999997"/>
    <m/>
    <n v="18"/>
    <x v="0"/>
    <n v="1099.0299999999997"/>
    <n v="30037.069999999996"/>
    <m/>
    <x v="0"/>
    <x v="0"/>
    <n v="0"/>
    <n v="0"/>
    <x v="0"/>
    <x v="0"/>
    <n v="30"/>
    <x v="0"/>
    <x v="0"/>
    <x v="0"/>
    <x v="0"/>
    <x v="0"/>
    <n v="30"/>
    <n v="0.5"/>
    <n v="0.5"/>
    <n v="11.5"/>
    <x v="1"/>
    <x v="0"/>
    <m/>
    <x v="0"/>
    <n v="1104.0299999999997"/>
    <x v="0"/>
    <x v="15"/>
    <x v="5"/>
    <x v="0"/>
    <x v="0"/>
  </r>
  <r>
    <x v="0"/>
    <x v="14"/>
    <s v="5756 J"/>
    <x v="171"/>
    <s v="Service Industry Gujrat"/>
    <s v="LDM"/>
    <s v="428 MM"/>
    <s v="-"/>
    <s v="LDM"/>
    <n v="250"/>
    <x v="0"/>
    <n v="2"/>
    <n v="119.69999999999999"/>
    <n v="4"/>
    <n v="22"/>
    <x v="0"/>
    <n v="115.69999999999999"/>
    <n v="272.27"/>
    <m/>
    <x v="0"/>
    <x v="0"/>
    <n v="0"/>
    <n v="0"/>
    <x v="0"/>
    <x v="0"/>
    <m/>
    <x v="0"/>
    <x v="0"/>
    <x v="0"/>
    <x v="0"/>
    <x v="0"/>
    <n v="0"/>
    <n v="0"/>
    <n v="0"/>
    <n v="12"/>
    <x v="1"/>
    <x v="0"/>
    <m/>
    <x v="0"/>
    <n v="124.69999999999999"/>
    <x v="0"/>
    <x v="15"/>
    <x v="5"/>
    <x v="0"/>
    <x v="0"/>
  </r>
  <r>
    <x v="0"/>
    <x v="14"/>
    <s v="5831 "/>
    <x v="171"/>
    <s v="-"/>
    <m/>
    <m/>
    <m/>
    <m/>
    <m/>
    <x v="0"/>
    <n v="2"/>
    <n v="114.4"/>
    <n v="3.6"/>
    <m/>
    <x v="0"/>
    <n v="110.80000000000001"/>
    <n v="110.80000000000001"/>
    <m/>
    <x v="0"/>
    <x v="0"/>
    <n v="0"/>
    <n v="0"/>
    <x v="0"/>
    <x v="0"/>
    <m/>
    <x v="0"/>
    <x v="0"/>
    <x v="0"/>
    <x v="0"/>
    <x v="0"/>
    <n v="0"/>
    <n v="0"/>
    <n v="0"/>
    <n v="12"/>
    <x v="1"/>
    <x v="0"/>
    <m/>
    <x v="0"/>
    <n v="119.4"/>
    <x v="0"/>
    <x v="15"/>
    <x v="5"/>
    <x v="0"/>
    <x v="0"/>
  </r>
  <r>
    <x v="0"/>
    <x v="14"/>
    <s v="5722 J"/>
    <x v="171"/>
    <s v="Afnan Printing Press ButtKhela "/>
    <s v="LDM"/>
    <n v="18"/>
    <s v="14-15"/>
    <s v="LDM"/>
    <n v="50"/>
    <x v="0"/>
    <n v="1"/>
    <n v="73.3"/>
    <n v="1.8"/>
    <m/>
    <x v="0"/>
    <n v="71.5"/>
    <n v="71.5"/>
    <m/>
    <x v="0"/>
    <x v="0"/>
    <n v="0"/>
    <n v="0"/>
    <x v="0"/>
    <x v="0"/>
    <m/>
    <x v="0"/>
    <x v="0"/>
    <x v="0"/>
    <x v="0"/>
    <x v="0"/>
    <n v="0"/>
    <n v="0"/>
    <n v="0"/>
    <n v="12"/>
    <x v="1"/>
    <x v="0"/>
    <m/>
    <x v="0"/>
    <n v="78.3"/>
    <x v="0"/>
    <x v="15"/>
    <x v="5"/>
    <x v="0"/>
    <x v="0"/>
  </r>
  <r>
    <x v="0"/>
    <x v="14"/>
    <s v="5723 J"/>
    <x v="171"/>
    <s v="Afnan Printing Press ButtKhela "/>
    <s v="LDM"/>
    <n v="18"/>
    <s v="13X14"/>
    <s v="LDM"/>
    <n v="100"/>
    <x v="0"/>
    <n v="2"/>
    <n v="110.16"/>
    <n v="4.4000000000000004"/>
    <m/>
    <x v="0"/>
    <n v="105.75999999999999"/>
    <n v="324.66000000000003"/>
    <m/>
    <x v="0"/>
    <x v="0"/>
    <n v="0"/>
    <n v="0"/>
    <x v="0"/>
    <x v="0"/>
    <m/>
    <x v="0"/>
    <x v="0"/>
    <x v="0"/>
    <x v="0"/>
    <x v="0"/>
    <n v="0"/>
    <n v="0"/>
    <n v="0"/>
    <n v="12"/>
    <x v="1"/>
    <x v="0"/>
    <m/>
    <x v="0"/>
    <n v="115.16"/>
    <x v="0"/>
    <x v="15"/>
    <x v="5"/>
    <x v="0"/>
    <x v="0"/>
  </r>
  <r>
    <x v="0"/>
    <x v="14"/>
    <s v="5856 J"/>
    <x v="171"/>
    <s v="The Kids Mall Lahore"/>
    <s v="LDM"/>
    <n v="18.5"/>
    <s v="15-16"/>
    <s v="LDM"/>
    <n v="200"/>
    <x v="0"/>
    <n v="1"/>
    <n v="107.65"/>
    <n v="1.8"/>
    <m/>
    <x v="0"/>
    <n v="105.85000000000001"/>
    <n v="209.25"/>
    <m/>
    <x v="0"/>
    <x v="0"/>
    <n v="0"/>
    <n v="0"/>
    <x v="0"/>
    <x v="0"/>
    <m/>
    <x v="0"/>
    <x v="0"/>
    <x v="0"/>
    <x v="0"/>
    <x v="0"/>
    <n v="0"/>
    <n v="0"/>
    <n v="0"/>
    <n v="12"/>
    <x v="1"/>
    <x v="0"/>
    <m/>
    <x v="0"/>
    <n v="112.65"/>
    <x v="0"/>
    <x v="15"/>
    <x v="5"/>
    <x v="0"/>
    <x v="0"/>
  </r>
  <r>
    <x v="0"/>
    <x v="14"/>
    <s v="5721 J"/>
    <x v="171"/>
    <s v="Afnan Printing Press ButtKhela "/>
    <s v="LDM"/>
    <n v="18"/>
    <s v="14-15"/>
    <s v="LDM"/>
    <n v="50"/>
    <x v="0"/>
    <n v="1"/>
    <n v="56.86"/>
    <n v="2"/>
    <m/>
    <x v="0"/>
    <n v="54.86"/>
    <n v="54.86"/>
    <m/>
    <x v="0"/>
    <x v="0"/>
    <n v="0"/>
    <n v="0"/>
    <x v="0"/>
    <x v="0"/>
    <m/>
    <x v="0"/>
    <x v="0"/>
    <x v="0"/>
    <x v="0"/>
    <x v="0"/>
    <n v="0"/>
    <n v="0"/>
    <n v="0"/>
    <n v="12"/>
    <x v="1"/>
    <x v="0"/>
    <m/>
    <x v="0"/>
    <n v="61.86"/>
    <x v="0"/>
    <x v="15"/>
    <x v="5"/>
    <x v="0"/>
    <x v="0"/>
  </r>
  <r>
    <x v="1"/>
    <x v="14"/>
    <s v="584 J"/>
    <x v="171"/>
    <s v="وقاص وولن ملز گوجرانوالہ"/>
    <s v="LD بلو"/>
    <n v="16"/>
    <s v="10-10.5"/>
    <s v="LDM"/>
    <n v="150"/>
    <x v="0"/>
    <n v="2"/>
    <n v="116.34"/>
    <n v="6"/>
    <n v="24"/>
    <x v="0"/>
    <n v="110.34"/>
    <n v="264.34000000000003"/>
    <n v="5"/>
    <x v="0"/>
    <x v="0"/>
    <n v="5"/>
    <n v="8.3333333333333329E-2"/>
    <x v="0"/>
    <x v="0"/>
    <m/>
    <x v="0"/>
    <x v="0"/>
    <x v="0"/>
    <x v="0"/>
    <x v="0"/>
    <n v="0"/>
    <n v="0"/>
    <n v="8.3333333333333329E-2"/>
    <n v="11.916666666666666"/>
    <x v="1"/>
    <x v="0"/>
    <m/>
    <x v="0"/>
    <n v="121.34"/>
    <x v="0"/>
    <x v="15"/>
    <x v="5"/>
    <x v="0"/>
    <x v="0"/>
  </r>
  <r>
    <x v="1"/>
    <x v="14"/>
    <s v="5740 J"/>
    <x v="171"/>
    <s v="Shafi Foam Lahore"/>
    <s v="LDM"/>
    <s v="20 شیٹ"/>
    <s v="6-6.5/12-13"/>
    <s v="LDM"/>
    <n v="130"/>
    <x v="0"/>
    <n v="2"/>
    <n v="151.48000000000002"/>
    <n v="4.8"/>
    <m/>
    <x v="0"/>
    <n v="146.68"/>
    <n v="146.68"/>
    <n v="5"/>
    <x v="0"/>
    <x v="0"/>
    <n v="5"/>
    <n v="8.3333333333333329E-2"/>
    <x v="0"/>
    <x v="0"/>
    <m/>
    <x v="0"/>
    <x v="0"/>
    <x v="0"/>
    <x v="0"/>
    <x v="0"/>
    <n v="0"/>
    <n v="0"/>
    <n v="8.3333333333333329E-2"/>
    <n v="11.916666666666666"/>
    <x v="1"/>
    <x v="0"/>
    <m/>
    <x v="0"/>
    <n v="156.48000000000002"/>
    <x v="0"/>
    <x v="15"/>
    <x v="5"/>
    <x v="0"/>
    <x v="0"/>
  </r>
  <r>
    <x v="1"/>
    <x v="14"/>
    <s v="5807 J"/>
    <x v="171"/>
    <s v="Nawab Jilani Plastic Layyah"/>
    <s v="LDM"/>
    <n v="20"/>
    <s v="15-16"/>
    <s v="LDM"/>
    <n v="100"/>
    <x v="0"/>
    <n v="2"/>
    <n v="111.35"/>
    <n v="4.8"/>
    <m/>
    <x v="0"/>
    <n v="106.55"/>
    <n v="106.55"/>
    <n v="10"/>
    <x v="0"/>
    <x v="0"/>
    <n v="10"/>
    <n v="0.16666666666666666"/>
    <x v="0"/>
    <x v="0"/>
    <m/>
    <x v="0"/>
    <x v="0"/>
    <x v="0"/>
    <x v="0"/>
    <x v="0"/>
    <n v="0"/>
    <n v="0"/>
    <n v="0.16666666666666666"/>
    <n v="11.833333333333334"/>
    <x v="1"/>
    <x v="0"/>
    <m/>
    <x v="0"/>
    <n v="116.35"/>
    <x v="0"/>
    <x v="15"/>
    <x v="5"/>
    <x v="0"/>
    <x v="0"/>
  </r>
  <r>
    <x v="1"/>
    <x v="14"/>
    <s v="5857 J"/>
    <x v="171"/>
    <s v="Zam Zam Shopping Mall Timbergra"/>
    <s v="LDM"/>
    <n v="19"/>
    <s v="14-15"/>
    <s v="LDM"/>
    <n v="150"/>
    <x v="0"/>
    <n v="2"/>
    <n v="161.5"/>
    <n v="4.8"/>
    <m/>
    <x v="0"/>
    <n v="156.69999999999999"/>
    <n v="156.69999999999999"/>
    <m/>
    <x v="0"/>
    <x v="0"/>
    <n v="0"/>
    <n v="0"/>
    <x v="0"/>
    <x v="0"/>
    <m/>
    <x v="0"/>
    <x v="0"/>
    <x v="0"/>
    <x v="0"/>
    <x v="0"/>
    <n v="0"/>
    <n v="0"/>
    <n v="0"/>
    <n v="12"/>
    <x v="1"/>
    <x v="0"/>
    <m/>
    <x v="0"/>
    <n v="166.5"/>
    <x v="0"/>
    <x v="15"/>
    <x v="5"/>
    <x v="0"/>
    <x v="0"/>
  </r>
  <r>
    <x v="1"/>
    <x v="14"/>
    <s v="5642 J"/>
    <x v="171"/>
    <s v="Jilani Poly Stock"/>
    <s v="LD پنک"/>
    <n v="19"/>
    <s v="13-14"/>
    <s v="LDM"/>
    <n v="100"/>
    <x v="0"/>
    <n v="2"/>
    <n v="123.9"/>
    <n v="4.8"/>
    <m/>
    <x v="0"/>
    <n v="119.10000000000001"/>
    <n v="119.10000000000001"/>
    <m/>
    <x v="0"/>
    <x v="0"/>
    <n v="0"/>
    <n v="0"/>
    <x v="0"/>
    <x v="0"/>
    <m/>
    <x v="0"/>
    <x v="0"/>
    <x v="0"/>
    <x v="0"/>
    <x v="0"/>
    <n v="0"/>
    <n v="0"/>
    <n v="0"/>
    <n v="12"/>
    <x v="1"/>
    <x v="0"/>
    <m/>
    <x v="0"/>
    <n v="128.9"/>
    <x v="0"/>
    <x v="15"/>
    <x v="5"/>
    <x v="0"/>
    <x v="0"/>
  </r>
  <r>
    <x v="1"/>
    <x v="14"/>
    <s v="5555 J"/>
    <x v="171"/>
    <s v="-"/>
    <m/>
    <m/>
    <m/>
    <m/>
    <m/>
    <x v="0"/>
    <n v="2"/>
    <n v="68.2"/>
    <n v="2"/>
    <m/>
    <x v="0"/>
    <n v="66.2"/>
    <n v="66.2"/>
    <m/>
    <x v="0"/>
    <x v="0"/>
    <n v="0"/>
    <n v="0"/>
    <x v="0"/>
    <x v="0"/>
    <m/>
    <x v="0"/>
    <x v="0"/>
    <x v="0"/>
    <x v="0"/>
    <x v="0"/>
    <n v="0"/>
    <n v="0"/>
    <n v="0"/>
    <n v="12"/>
    <x v="1"/>
    <x v="0"/>
    <m/>
    <x v="0"/>
    <n v="73.2"/>
    <x v="0"/>
    <x v="15"/>
    <x v="5"/>
    <x v="0"/>
    <x v="0"/>
  </r>
  <r>
    <x v="0"/>
    <x v="15"/>
    <s v="2823/1"/>
    <x v="171"/>
    <s v="C/O JAVAID SB"/>
    <s v="LDN"/>
    <n v="36"/>
    <n v="3"/>
    <s v="LDN"/>
    <n v="0"/>
    <x v="0"/>
    <n v="28"/>
    <n v="681.5200000000001"/>
    <m/>
    <n v="13"/>
    <x v="0"/>
    <n v="681.5200000000001"/>
    <n v="23186.610000000004"/>
    <m/>
    <x v="0"/>
    <x v="0"/>
    <n v="0"/>
    <n v="0"/>
    <x v="0"/>
    <x v="0"/>
    <m/>
    <x v="0"/>
    <x v="0"/>
    <x v="0"/>
    <x v="0"/>
    <x v="0"/>
    <n v="0"/>
    <n v="0"/>
    <n v="0"/>
    <n v="12"/>
    <x v="1"/>
    <x v="0"/>
    <m/>
    <x v="0"/>
    <n v="686.5200000000001"/>
    <x v="0"/>
    <x v="15"/>
    <x v="5"/>
    <x v="0"/>
    <x v="0"/>
  </r>
  <r>
    <x v="1"/>
    <x v="15"/>
    <s v="2823/1"/>
    <x v="171"/>
    <s v="C/O JAVAID SB"/>
    <s v="LDN"/>
    <n v="36"/>
    <n v="3"/>
    <s v="LDN"/>
    <n v="0"/>
    <x v="0"/>
    <n v="28"/>
    <n v="688.06"/>
    <m/>
    <n v="15"/>
    <x v="0"/>
    <n v="688.06"/>
    <n v="23186.610000000004"/>
    <m/>
    <x v="0"/>
    <x v="0"/>
    <n v="0"/>
    <n v="0"/>
    <x v="0"/>
    <x v="0"/>
    <m/>
    <x v="0"/>
    <x v="0"/>
    <x v="0"/>
    <x v="0"/>
    <x v="0"/>
    <n v="0"/>
    <n v="0"/>
    <n v="0"/>
    <n v="12"/>
    <x v="1"/>
    <x v="0"/>
    <m/>
    <x v="0"/>
    <n v="693.06"/>
    <x v="0"/>
    <x v="15"/>
    <x v="5"/>
    <x v="0"/>
    <x v="0"/>
  </r>
  <r>
    <x v="0"/>
    <x v="11"/>
    <s v="5669 J"/>
    <x v="172"/>
    <s v="Waqas Wollan Mills Gujranwala"/>
    <s v="LD بلو"/>
    <n v="16"/>
    <s v="10-10.5"/>
    <s v="LDM"/>
    <n v="150"/>
    <x v="0"/>
    <n v="1"/>
    <n v="68.900000000000006"/>
    <n v="1.6"/>
    <n v="6"/>
    <x v="0"/>
    <n v="67.300000000000011"/>
    <n v="143.70000000000002"/>
    <m/>
    <x v="0"/>
    <x v="0"/>
    <n v="0"/>
    <n v="0"/>
    <x v="0"/>
    <x v="0"/>
    <m/>
    <x v="0"/>
    <x v="0"/>
    <x v="0"/>
    <x v="0"/>
    <x v="0"/>
    <n v="0"/>
    <n v="0"/>
    <n v="0"/>
    <n v="12"/>
    <x v="1"/>
    <x v="0"/>
    <m/>
    <x v="0"/>
    <n v="73.900000000000006"/>
    <x v="0"/>
    <x v="16"/>
    <x v="6"/>
    <x v="0"/>
    <x v="0"/>
  </r>
  <r>
    <x v="0"/>
    <x v="11"/>
    <s v="5670 J"/>
    <x v="172"/>
    <s v="Waqas Wollan Mills Gujranwala"/>
    <s v="LD بلو"/>
    <n v="16"/>
    <s v="10-10.5"/>
    <s v="LDM"/>
    <n v="400"/>
    <x v="0"/>
    <n v="1"/>
    <n v="53.4"/>
    <n v="2"/>
    <m/>
    <x v="0"/>
    <n v="51.4"/>
    <n v="420"/>
    <m/>
    <x v="0"/>
    <x v="0"/>
    <n v="0"/>
    <n v="0"/>
    <x v="0"/>
    <x v="0"/>
    <m/>
    <x v="0"/>
    <x v="0"/>
    <x v="0"/>
    <x v="0"/>
    <x v="0"/>
    <n v="0"/>
    <n v="0"/>
    <n v="0"/>
    <n v="12"/>
    <x v="1"/>
    <x v="0"/>
    <m/>
    <x v="0"/>
    <n v="58.4"/>
    <x v="0"/>
    <x v="16"/>
    <x v="6"/>
    <x v="0"/>
    <x v="0"/>
  </r>
  <r>
    <x v="0"/>
    <x v="11"/>
    <s v="5671 J"/>
    <x v="172"/>
    <s v="Waqas Wollan Mills Gujranwala"/>
    <s v="LD بلو"/>
    <n v="15"/>
    <s v="10-10.5"/>
    <s v="LDM"/>
    <n v="300"/>
    <x v="0"/>
    <n v="3"/>
    <n v="253.64"/>
    <n v="5.6999999999999993"/>
    <m/>
    <x v="0"/>
    <n v="247.94"/>
    <n v="297.24"/>
    <m/>
    <x v="0"/>
    <x v="0"/>
    <n v="0"/>
    <n v="0"/>
    <x v="0"/>
    <x v="0"/>
    <m/>
    <x v="0"/>
    <x v="0"/>
    <x v="0"/>
    <x v="0"/>
    <x v="0"/>
    <n v="0"/>
    <n v="0"/>
    <n v="0"/>
    <n v="12"/>
    <x v="1"/>
    <x v="0"/>
    <m/>
    <x v="0"/>
    <n v="258.64"/>
    <x v="0"/>
    <x v="16"/>
    <x v="6"/>
    <x v="0"/>
    <x v="0"/>
  </r>
  <r>
    <x v="1"/>
    <x v="11"/>
    <s v="5671 J"/>
    <x v="172"/>
    <s v="Waqas Wollan Mills Gujranwala"/>
    <s v="LD بلو"/>
    <n v="15"/>
    <s v="10-10.5"/>
    <s v="LDM"/>
    <n v="300"/>
    <x v="0"/>
    <n v="1"/>
    <n v="51.2"/>
    <n v="1.9"/>
    <n v="65"/>
    <x v="0"/>
    <n v="49.300000000000004"/>
    <n v="297.24"/>
    <m/>
    <x v="0"/>
    <x v="0"/>
    <n v="0"/>
    <n v="0"/>
    <x v="0"/>
    <x v="0"/>
    <m/>
    <x v="0"/>
    <x v="0"/>
    <x v="0"/>
    <x v="0"/>
    <x v="0"/>
    <n v="0"/>
    <n v="0"/>
    <n v="0"/>
    <n v="12"/>
    <x v="1"/>
    <x v="0"/>
    <m/>
    <x v="0"/>
    <n v="56.2"/>
    <x v="0"/>
    <x v="16"/>
    <x v="6"/>
    <x v="0"/>
    <x v="0"/>
  </r>
  <r>
    <x v="1"/>
    <x v="11"/>
    <s v="5667 J"/>
    <x v="172"/>
    <s v="Waqas Wollan Mills Gujranwala"/>
    <s v="LD بلو"/>
    <n v="12"/>
    <s v="8-8.5"/>
    <s v="LDM"/>
    <n v="150"/>
    <x v="0"/>
    <n v="3"/>
    <n v="174.6"/>
    <n v="4.5"/>
    <m/>
    <x v="0"/>
    <n v="170.1"/>
    <n v="170.1"/>
    <m/>
    <x v="0"/>
    <x v="0"/>
    <n v="0"/>
    <n v="0"/>
    <x v="0"/>
    <x v="0"/>
    <m/>
    <x v="0"/>
    <x v="0"/>
    <x v="0"/>
    <x v="0"/>
    <x v="0"/>
    <n v="0"/>
    <n v="0"/>
    <n v="0"/>
    <n v="12"/>
    <x v="1"/>
    <x v="0"/>
    <m/>
    <x v="0"/>
    <n v="179.6"/>
    <x v="0"/>
    <x v="16"/>
    <x v="6"/>
    <x v="0"/>
    <x v="0"/>
  </r>
  <r>
    <x v="1"/>
    <x v="11"/>
    <s v="5812 J"/>
    <x v="172"/>
    <s v="Nawab Jilani Plastic Layyah"/>
    <s v="LDM"/>
    <s v="12+3+3"/>
    <s v="7.5-8/15-16"/>
    <s v="LDM"/>
    <n v="110"/>
    <x v="0"/>
    <n v="2"/>
    <n v="73.5"/>
    <n v="3"/>
    <m/>
    <x v="0"/>
    <n v="70.5"/>
    <n v="222.60000000000002"/>
    <m/>
    <x v="0"/>
    <x v="0"/>
    <n v="0"/>
    <n v="0"/>
    <x v="0"/>
    <x v="0"/>
    <m/>
    <x v="0"/>
    <x v="0"/>
    <x v="0"/>
    <x v="0"/>
    <x v="0"/>
    <n v="0"/>
    <n v="0"/>
    <n v="0"/>
    <n v="12"/>
    <x v="1"/>
    <x v="0"/>
    <m/>
    <x v="0"/>
    <n v="78.5"/>
    <x v="0"/>
    <x v="16"/>
    <x v="6"/>
    <x v="0"/>
    <x v="0"/>
  </r>
  <r>
    <x v="0"/>
    <x v="13"/>
    <s v="2517 F"/>
    <x v="172"/>
    <s v=" Usman Amin "/>
    <s v=" LDN "/>
    <n v="17"/>
    <s v="12"/>
    <s v=" LDN "/>
    <n v="600"/>
    <x v="0"/>
    <n v="4"/>
    <n v="309.86"/>
    <n v="8"/>
    <n v="4"/>
    <x v="0"/>
    <n v="301.86"/>
    <n v="613.66"/>
    <m/>
    <x v="0"/>
    <x v="0"/>
    <n v="0"/>
    <n v="0"/>
    <x v="0"/>
    <x v="0"/>
    <m/>
    <x v="0"/>
    <x v="0"/>
    <x v="0"/>
    <x v="0"/>
    <x v="0"/>
    <n v="0"/>
    <n v="0"/>
    <n v="0"/>
    <n v="12"/>
    <x v="1"/>
    <x v="0"/>
    <m/>
    <x v="0"/>
    <n v="314.86"/>
    <x v="0"/>
    <x v="16"/>
    <x v="6"/>
    <x v="0"/>
    <x v="0"/>
  </r>
  <r>
    <x v="1"/>
    <x v="13"/>
    <s v="2528 F"/>
    <x v="172"/>
    <s v=" Usman Amin "/>
    <s v=" LDN "/>
    <n v="17.25"/>
    <s v="12"/>
    <s v=" LDN "/>
    <n v="500"/>
    <x v="0"/>
    <n v="4"/>
    <n v="272.89999999999998"/>
    <n v="8"/>
    <m/>
    <x v="0"/>
    <n v="264.89999999999998"/>
    <n v="563.4"/>
    <m/>
    <x v="0"/>
    <x v="0"/>
    <n v="0"/>
    <n v="0"/>
    <x v="0"/>
    <x v="0"/>
    <m/>
    <x v="0"/>
    <x v="0"/>
    <x v="0"/>
    <x v="0"/>
    <x v="0"/>
    <n v="0"/>
    <n v="0"/>
    <n v="0"/>
    <n v="12"/>
    <x v="1"/>
    <x v="0"/>
    <m/>
    <x v="0"/>
    <n v="277.89999999999998"/>
    <x v="0"/>
    <x v="16"/>
    <x v="6"/>
    <x v="0"/>
    <x v="0"/>
  </r>
  <r>
    <x v="1"/>
    <x v="13"/>
    <s v="5833 J"/>
    <x v="172"/>
    <s v="M K B Peshawar"/>
    <s v="LDN"/>
    <n v="22"/>
    <s v="6-6.5"/>
    <s v="LDN"/>
    <n v="200"/>
    <x v="0"/>
    <n v="1"/>
    <n v="58.7"/>
    <n v="2.7"/>
    <n v="2"/>
    <x v="0"/>
    <n v="56"/>
    <n v="194.79999999999998"/>
    <m/>
    <x v="0"/>
    <x v="0"/>
    <n v="0"/>
    <n v="0"/>
    <x v="0"/>
    <x v="0"/>
    <m/>
    <x v="0"/>
    <x v="0"/>
    <x v="0"/>
    <x v="0"/>
    <x v="0"/>
    <n v="0"/>
    <n v="0"/>
    <n v="0"/>
    <n v="12"/>
    <x v="1"/>
    <x v="0"/>
    <m/>
    <x v="0"/>
    <n v="63.7"/>
    <x v="0"/>
    <x v="16"/>
    <x v="6"/>
    <x v="0"/>
    <x v="0"/>
  </r>
  <r>
    <x v="0"/>
    <x v="12"/>
    <s v="2823/2"/>
    <x v="172"/>
    <s v="C/O JAVAID SB"/>
    <s v="LDN"/>
    <n v="42"/>
    <n v="3"/>
    <s v="LDN"/>
    <n v="0"/>
    <x v="0"/>
    <n v="44"/>
    <n v="1131.18"/>
    <m/>
    <n v="23"/>
    <x v="0"/>
    <n v="1131.18"/>
    <n v="30037.069999999996"/>
    <m/>
    <x v="0"/>
    <x v="0"/>
    <n v="0"/>
    <n v="0"/>
    <x v="0"/>
    <x v="0"/>
    <m/>
    <x v="0"/>
    <x v="0"/>
    <x v="0"/>
    <x v="0"/>
    <x v="0"/>
    <n v="0"/>
    <n v="0"/>
    <n v="0"/>
    <n v="12"/>
    <x v="1"/>
    <x v="0"/>
    <m/>
    <x v="0"/>
    <n v="1136.18"/>
    <x v="0"/>
    <x v="16"/>
    <x v="6"/>
    <x v="0"/>
    <x v="0"/>
  </r>
  <r>
    <x v="1"/>
    <x v="12"/>
    <s v="2823/2"/>
    <x v="172"/>
    <s v="C/O JAVAID SB"/>
    <s v="LDN"/>
    <n v="42"/>
    <n v="3"/>
    <s v="LDN"/>
    <n v="0"/>
    <x v="0"/>
    <n v="44"/>
    <n v="1117.6499999999999"/>
    <m/>
    <n v="8"/>
    <x v="0"/>
    <n v="1117.6499999999999"/>
    <n v="30037.069999999996"/>
    <m/>
    <x v="0"/>
    <x v="0"/>
    <n v="0"/>
    <n v="0"/>
    <x v="0"/>
    <x v="0"/>
    <m/>
    <x v="0"/>
    <x v="0"/>
    <x v="0"/>
    <x v="0"/>
    <x v="0"/>
    <n v="0"/>
    <n v="0"/>
    <n v="0"/>
    <n v="12"/>
    <x v="1"/>
    <x v="0"/>
    <m/>
    <x v="0"/>
    <n v="1122.6499999999999"/>
    <x v="0"/>
    <x v="16"/>
    <x v="6"/>
    <x v="0"/>
    <x v="0"/>
  </r>
  <r>
    <x v="0"/>
    <x v="14"/>
    <s v="5855 J"/>
    <x v="172"/>
    <s v="The Kids Mall Lahore"/>
    <s v="LDM"/>
    <n v="16"/>
    <s v="13.5-14"/>
    <s v="LDM"/>
    <n v="200"/>
    <x v="0"/>
    <n v="2"/>
    <n v="136.89999999999998"/>
    <n v="4"/>
    <m/>
    <x v="0"/>
    <n v="132.89999999999998"/>
    <n v="132.89999999999998"/>
    <m/>
    <x v="0"/>
    <x v="15"/>
    <n v="540"/>
    <n v="9"/>
    <x v="0"/>
    <x v="0"/>
    <m/>
    <x v="0"/>
    <x v="0"/>
    <x v="0"/>
    <x v="0"/>
    <x v="0"/>
    <n v="0"/>
    <n v="0"/>
    <n v="9"/>
    <n v="3"/>
    <x v="1"/>
    <x v="0"/>
    <m/>
    <x v="0"/>
    <n v="141.89999999999998"/>
    <x v="0"/>
    <x v="16"/>
    <x v="6"/>
    <x v="0"/>
    <x v="0"/>
  </r>
  <r>
    <x v="1"/>
    <x v="14"/>
    <s v="2828/1"/>
    <x v="172"/>
    <s v="PT-02"/>
    <s v="LDN"/>
    <n v="24"/>
    <n v="10"/>
    <s v="AA"/>
    <n v="4000"/>
    <x v="0"/>
    <n v="7"/>
    <n v="516.19999999999993"/>
    <n v="21"/>
    <n v="36"/>
    <x v="0"/>
    <n v="495.19999999999993"/>
    <n v="4912.3599999999997"/>
    <n v="10"/>
    <x v="2"/>
    <x v="0"/>
    <n v="160"/>
    <n v="2.6666666666666665"/>
    <x v="0"/>
    <x v="0"/>
    <m/>
    <x v="0"/>
    <x v="0"/>
    <x v="0"/>
    <x v="3"/>
    <x v="0"/>
    <n v="30"/>
    <n v="0.5"/>
    <n v="3.1666666666666665"/>
    <n v="8.8333333333333339"/>
    <x v="1"/>
    <x v="0"/>
    <m/>
    <x v="0"/>
    <n v="521.19999999999993"/>
    <x v="0"/>
    <x v="16"/>
    <x v="6"/>
    <x v="0"/>
    <x v="0"/>
  </r>
  <r>
    <x v="0"/>
    <x v="15"/>
    <s v="2823/1"/>
    <x v="172"/>
    <s v="C/O JAVAID SB"/>
    <s v="LDN"/>
    <n v="36"/>
    <n v="3"/>
    <s v="LDN"/>
    <n v="0"/>
    <x v="0"/>
    <n v="30"/>
    <n v="699.79"/>
    <m/>
    <n v="12"/>
    <x v="0"/>
    <n v="699.79"/>
    <n v="23186.610000000004"/>
    <m/>
    <x v="0"/>
    <x v="0"/>
    <n v="0"/>
    <n v="0"/>
    <x v="0"/>
    <x v="0"/>
    <m/>
    <x v="0"/>
    <x v="0"/>
    <x v="0"/>
    <x v="0"/>
    <x v="0"/>
    <n v="0"/>
    <n v="0"/>
    <n v="0"/>
    <n v="12"/>
    <x v="1"/>
    <x v="0"/>
    <m/>
    <x v="0"/>
    <n v="704.79"/>
    <x v="0"/>
    <x v="16"/>
    <x v="6"/>
    <x v="0"/>
    <x v="0"/>
  </r>
  <r>
    <x v="1"/>
    <x v="15"/>
    <s v="2823/1"/>
    <x v="172"/>
    <s v="C/O JAVAID SB"/>
    <s v="LDN"/>
    <n v="36"/>
    <n v="3"/>
    <s v="LDN"/>
    <n v="0"/>
    <x v="0"/>
    <n v="29"/>
    <n v="687.78999999999985"/>
    <m/>
    <n v="5"/>
    <x v="0"/>
    <n v="687.78999999999985"/>
    <n v="23186.610000000004"/>
    <m/>
    <x v="0"/>
    <x v="0"/>
    <n v="0"/>
    <n v="0"/>
    <x v="0"/>
    <x v="0"/>
    <m/>
    <x v="0"/>
    <x v="0"/>
    <x v="0"/>
    <x v="0"/>
    <x v="0"/>
    <n v="0"/>
    <n v="0"/>
    <n v="0"/>
    <n v="12"/>
    <x v="1"/>
    <x v="0"/>
    <m/>
    <x v="0"/>
    <n v="692.78999999999985"/>
    <x v="0"/>
    <x v="16"/>
    <x v="6"/>
    <x v="0"/>
    <x v="0"/>
  </r>
  <r>
    <x v="0"/>
    <x v="11"/>
    <s v="5812 J"/>
    <x v="173"/>
    <s v="Nawab Jilani Plastic Layyah"/>
    <s v="LDM"/>
    <s v="12+3+3"/>
    <s v="7.5-8/15-16"/>
    <s v="LDM"/>
    <n v="110"/>
    <x v="0"/>
    <n v="1"/>
    <n v="42"/>
    <n v="1.2"/>
    <n v="65"/>
    <x v="0"/>
    <n v="40.799999999999997"/>
    <n v="222.60000000000002"/>
    <n v="80"/>
    <x v="0"/>
    <x v="0"/>
    <n v="80"/>
    <n v="1.3333333333333333"/>
    <x v="0"/>
    <x v="0"/>
    <m/>
    <x v="0"/>
    <x v="0"/>
    <x v="0"/>
    <x v="1"/>
    <x v="0"/>
    <n v="40"/>
    <n v="0.66666666666666663"/>
    <n v="2"/>
    <n v="10"/>
    <x v="1"/>
    <x v="0"/>
    <m/>
    <x v="0"/>
    <n v="47"/>
    <x v="0"/>
    <x v="16"/>
    <x v="6"/>
    <x v="0"/>
    <x v="0"/>
  </r>
  <r>
    <x v="0"/>
    <x v="11"/>
    <s v="5812 J"/>
    <x v="173"/>
    <s v="Nawab Jilani Plastic Layyah"/>
    <s v="LDM"/>
    <s v="12+3+3"/>
    <s v="7.5-8/15-16"/>
    <s v="LDM"/>
    <n v="110"/>
    <x v="0"/>
    <n v="3"/>
    <n v="114.9"/>
    <n v="3.5999999999999996"/>
    <m/>
    <x v="0"/>
    <n v="111.30000000000001"/>
    <n v="222.60000000000002"/>
    <m/>
    <x v="0"/>
    <x v="0"/>
    <n v="0"/>
    <n v="0"/>
    <x v="0"/>
    <x v="0"/>
    <m/>
    <x v="0"/>
    <x v="0"/>
    <x v="0"/>
    <x v="0"/>
    <x v="0"/>
    <n v="0"/>
    <n v="0"/>
    <n v="0"/>
    <n v="12"/>
    <x v="1"/>
    <x v="0"/>
    <m/>
    <x v="0"/>
    <n v="119.9"/>
    <x v="0"/>
    <x v="16"/>
    <x v="6"/>
    <x v="0"/>
    <x v="0"/>
  </r>
  <r>
    <x v="0"/>
    <x v="11"/>
    <s v="5856 J"/>
    <x v="173"/>
    <s v="The Kids Mall Lahore"/>
    <s v="LDM"/>
    <n v="18.5"/>
    <s v="15-16"/>
    <s v="LDM"/>
    <n v="200"/>
    <x v="0"/>
    <n v="2"/>
    <n v="107.4"/>
    <n v="4"/>
    <m/>
    <x v="0"/>
    <n v="103.4"/>
    <n v="209.25"/>
    <m/>
    <x v="0"/>
    <x v="0"/>
    <n v="0"/>
    <n v="0"/>
    <x v="0"/>
    <x v="0"/>
    <m/>
    <x v="0"/>
    <x v="0"/>
    <x v="0"/>
    <x v="0"/>
    <x v="0"/>
    <n v="0"/>
    <n v="0"/>
    <n v="0"/>
    <n v="12"/>
    <x v="1"/>
    <x v="0"/>
    <m/>
    <x v="0"/>
    <n v="112.4"/>
    <x v="0"/>
    <x v="16"/>
    <x v="6"/>
    <x v="0"/>
    <x v="0"/>
  </r>
  <r>
    <x v="1"/>
    <x v="11"/>
    <s v="5854 J"/>
    <x v="173"/>
    <s v="The Kids Mall Lahore"/>
    <s v="LDM"/>
    <n v="14.5"/>
    <s v="12.5-13"/>
    <s v="LDM"/>
    <n v="300"/>
    <x v="0"/>
    <n v="4"/>
    <n v="329.20000000000005"/>
    <n v="6.8"/>
    <n v="7"/>
    <x v="0"/>
    <n v="322.40000000000003"/>
    <n v="322.40000000000003"/>
    <m/>
    <x v="0"/>
    <x v="0"/>
    <n v="0"/>
    <n v="0"/>
    <x v="0"/>
    <x v="0"/>
    <m/>
    <x v="0"/>
    <x v="0"/>
    <x v="0"/>
    <x v="0"/>
    <x v="0"/>
    <n v="0"/>
    <n v="0"/>
    <n v="0"/>
    <n v="12"/>
    <x v="1"/>
    <x v="0"/>
    <m/>
    <x v="0"/>
    <n v="334.20000000000005"/>
    <x v="0"/>
    <x v="16"/>
    <x v="6"/>
    <x v="0"/>
    <x v="0"/>
  </r>
  <r>
    <x v="0"/>
    <x v="13"/>
    <s v="5833 J"/>
    <x v="173"/>
    <s v="M K B Peshawar"/>
    <s v="LDN"/>
    <n v="22"/>
    <s v="6-6.5"/>
    <s v="LDN"/>
    <n v="200"/>
    <x v="0"/>
    <n v="2"/>
    <n v="144.19999999999999"/>
    <n v="5.4"/>
    <n v="5"/>
    <x v="0"/>
    <n v="138.79999999999998"/>
    <n v="194.79999999999998"/>
    <m/>
    <x v="0"/>
    <x v="0"/>
    <n v="0"/>
    <n v="0"/>
    <x v="0"/>
    <x v="0"/>
    <m/>
    <x v="0"/>
    <x v="0"/>
    <x v="0"/>
    <x v="0"/>
    <x v="0"/>
    <n v="0"/>
    <n v="0"/>
    <n v="0"/>
    <n v="12"/>
    <x v="1"/>
    <x v="0"/>
    <m/>
    <x v="0"/>
    <n v="149.19999999999999"/>
    <x v="0"/>
    <x v="16"/>
    <x v="6"/>
    <x v="0"/>
    <x v="0"/>
  </r>
  <r>
    <x v="0"/>
    <x v="13"/>
    <s v="2543 F"/>
    <x v="173"/>
    <s v="Usman Amin"/>
    <s v="LDN"/>
    <n v="26"/>
    <s v="7"/>
    <s v="LDN"/>
    <n v="200"/>
    <x v="0"/>
    <n v="4"/>
    <n v="265.18"/>
    <n v="11.2"/>
    <m/>
    <x v="0"/>
    <n v="253.98000000000002"/>
    <n v="253.98000000000002"/>
    <n v="5"/>
    <x v="0"/>
    <x v="0"/>
    <n v="5"/>
    <n v="8.3333333333333329E-2"/>
    <x v="0"/>
    <x v="0"/>
    <m/>
    <x v="0"/>
    <x v="0"/>
    <x v="0"/>
    <x v="0"/>
    <x v="0"/>
    <n v="0"/>
    <n v="0"/>
    <n v="8.3333333333333329E-2"/>
    <n v="11.916666666666666"/>
    <x v="1"/>
    <x v="0"/>
    <m/>
    <x v="0"/>
    <n v="270.18"/>
    <x v="0"/>
    <x v="16"/>
    <x v="6"/>
    <x v="0"/>
    <x v="0"/>
  </r>
  <r>
    <x v="1"/>
    <x v="13"/>
    <s v="2544 F"/>
    <x v="173"/>
    <s v="Usman Amin"/>
    <s v="LDN"/>
    <n v="30"/>
    <s v="7"/>
    <s v="LDN"/>
    <n v="100"/>
    <x v="0"/>
    <n v="1"/>
    <n v="112.6"/>
    <n v="3.4"/>
    <m/>
    <x v="0"/>
    <n v="109.19999999999999"/>
    <n v="109.19999999999999"/>
    <m/>
    <x v="0"/>
    <x v="0"/>
    <n v="0"/>
    <n v="0"/>
    <x v="0"/>
    <x v="0"/>
    <m/>
    <x v="0"/>
    <x v="0"/>
    <x v="0"/>
    <x v="0"/>
    <x v="0"/>
    <n v="0"/>
    <n v="0"/>
    <n v="0"/>
    <n v="12"/>
    <x v="1"/>
    <x v="0"/>
    <m/>
    <x v="0"/>
    <n v="117.6"/>
    <x v="0"/>
    <x v="16"/>
    <x v="6"/>
    <x v="0"/>
    <x v="0"/>
  </r>
  <r>
    <x v="1"/>
    <x v="13"/>
    <s v="2556 F"/>
    <x v="173"/>
    <s v="Usman Amin"/>
    <s v="LDN"/>
    <n v="28"/>
    <s v="8"/>
    <s v="LDN"/>
    <n v="245"/>
    <x v="0"/>
    <n v="3"/>
    <n v="306.60000000000002"/>
    <n v="10.199999999999999"/>
    <m/>
    <x v="0"/>
    <n v="296.40000000000003"/>
    <n v="353.1"/>
    <m/>
    <x v="0"/>
    <x v="0"/>
    <n v="0"/>
    <n v="0"/>
    <x v="0"/>
    <x v="0"/>
    <m/>
    <x v="0"/>
    <x v="0"/>
    <x v="0"/>
    <x v="0"/>
    <x v="0"/>
    <n v="0"/>
    <n v="0"/>
    <n v="0"/>
    <n v="12"/>
    <x v="1"/>
    <x v="0"/>
    <m/>
    <x v="0"/>
    <n v="311.60000000000002"/>
    <x v="0"/>
    <x v="16"/>
    <x v="6"/>
    <x v="0"/>
    <x v="0"/>
  </r>
  <r>
    <x v="0"/>
    <x v="12"/>
    <s v="2823/2"/>
    <x v="173"/>
    <s v="C/O JAVAID SB"/>
    <s v="LDN"/>
    <n v="42"/>
    <n v="3"/>
    <s v="LDN"/>
    <n v="0"/>
    <x v="0"/>
    <n v="44"/>
    <n v="1150.4400000000003"/>
    <m/>
    <n v="18"/>
    <x v="0"/>
    <n v="1150.4400000000003"/>
    <n v="30037.069999999996"/>
    <m/>
    <x v="0"/>
    <x v="0"/>
    <n v="0"/>
    <n v="0"/>
    <x v="0"/>
    <x v="0"/>
    <m/>
    <x v="0"/>
    <x v="0"/>
    <x v="0"/>
    <x v="0"/>
    <x v="0"/>
    <n v="0"/>
    <n v="0"/>
    <n v="0"/>
    <n v="12"/>
    <x v="1"/>
    <x v="0"/>
    <m/>
    <x v="0"/>
    <n v="1155.4400000000003"/>
    <x v="0"/>
    <x v="16"/>
    <x v="6"/>
    <x v="0"/>
    <x v="0"/>
  </r>
  <r>
    <x v="1"/>
    <x v="12"/>
    <s v="2823/2"/>
    <x v="173"/>
    <s v="C/O JAVAID SB"/>
    <s v="LDN"/>
    <n v="42"/>
    <n v="3"/>
    <s v="LDN"/>
    <n v="0"/>
    <x v="0"/>
    <n v="45"/>
    <n v="1165.4600000000003"/>
    <m/>
    <n v="16"/>
    <x v="0"/>
    <n v="1165.4600000000003"/>
    <n v="30037.069999999996"/>
    <m/>
    <x v="0"/>
    <x v="0"/>
    <n v="0"/>
    <n v="0"/>
    <x v="0"/>
    <x v="0"/>
    <m/>
    <x v="0"/>
    <x v="0"/>
    <x v="0"/>
    <x v="0"/>
    <x v="0"/>
    <n v="0"/>
    <n v="0"/>
    <n v="0"/>
    <n v="12"/>
    <x v="1"/>
    <x v="0"/>
    <m/>
    <x v="0"/>
    <n v="1170.4600000000003"/>
    <x v="0"/>
    <x v="16"/>
    <x v="6"/>
    <x v="0"/>
    <x v="0"/>
  </r>
  <r>
    <x v="0"/>
    <x v="14"/>
    <s v="2828/1"/>
    <x v="173"/>
    <s v="PT-02"/>
    <s v="LDN"/>
    <n v="24"/>
    <n v="10"/>
    <s v="AA"/>
    <n v="4000"/>
    <x v="0"/>
    <n v="10"/>
    <n v="710.63000000000011"/>
    <n v="24"/>
    <m/>
    <x v="0"/>
    <n v="686.63000000000011"/>
    <n v="4912.3599999999997"/>
    <m/>
    <x v="0"/>
    <x v="0"/>
    <n v="0"/>
    <n v="0"/>
    <x v="0"/>
    <x v="0"/>
    <m/>
    <x v="0"/>
    <x v="0"/>
    <x v="0"/>
    <x v="0"/>
    <x v="0"/>
    <n v="0"/>
    <n v="0"/>
    <n v="0"/>
    <n v="12"/>
    <x v="1"/>
    <x v="0"/>
    <m/>
    <x v="0"/>
    <n v="715.63000000000011"/>
    <x v="0"/>
    <x v="16"/>
    <x v="6"/>
    <x v="0"/>
    <x v="0"/>
  </r>
  <r>
    <x v="1"/>
    <x v="14"/>
    <s v="2828/1"/>
    <x v="173"/>
    <s v="PT-02"/>
    <s v="LDN"/>
    <n v="24"/>
    <n v="10"/>
    <s v="AA"/>
    <n v="4000"/>
    <x v="0"/>
    <n v="8"/>
    <n v="766.16000000000008"/>
    <n v="27"/>
    <n v="3"/>
    <x v="0"/>
    <n v="739.16000000000008"/>
    <n v="4912.3599999999997"/>
    <m/>
    <x v="0"/>
    <x v="0"/>
    <n v="0"/>
    <n v="0"/>
    <x v="0"/>
    <x v="0"/>
    <m/>
    <x v="0"/>
    <x v="0"/>
    <x v="0"/>
    <x v="0"/>
    <x v="0"/>
    <n v="0"/>
    <n v="0"/>
    <n v="0"/>
    <n v="12"/>
    <x v="1"/>
    <x v="0"/>
    <m/>
    <x v="0"/>
    <n v="771.16000000000008"/>
    <x v="0"/>
    <x v="16"/>
    <x v="6"/>
    <x v="0"/>
    <x v="0"/>
  </r>
  <r>
    <x v="0"/>
    <x v="15"/>
    <s v="2823/1"/>
    <x v="173"/>
    <s v="C/O JAVAID SB"/>
    <s v="LDN"/>
    <n v="36"/>
    <n v="3"/>
    <s v="LDN"/>
    <n v="0"/>
    <x v="0"/>
    <n v="15"/>
    <n v="357.89"/>
    <m/>
    <m/>
    <x v="0"/>
    <n v="357.89"/>
    <n v="23186.610000000004"/>
    <m/>
    <x v="0"/>
    <x v="0"/>
    <n v="0"/>
    <n v="0"/>
    <x v="0"/>
    <x v="0"/>
    <m/>
    <x v="0"/>
    <x v="0"/>
    <x v="0"/>
    <x v="0"/>
    <x v="0"/>
    <n v="0"/>
    <n v="0"/>
    <n v="0"/>
    <n v="12"/>
    <x v="1"/>
    <x v="0"/>
    <m/>
    <x v="0"/>
    <n v="362.89"/>
    <x v="0"/>
    <x v="16"/>
    <x v="6"/>
    <x v="0"/>
    <x v="0"/>
  </r>
  <r>
    <x v="0"/>
    <x v="15"/>
    <s v="2829/1"/>
    <x v="173"/>
    <s v="MATCO FOOD"/>
    <s v="SL"/>
    <s v="29-29.5"/>
    <s v="85±2"/>
    <s v="LDN"/>
    <n v="5950"/>
    <x v="0"/>
    <n v="2"/>
    <n v="319.8"/>
    <n v="5.8"/>
    <m/>
    <x v="0"/>
    <n v="314"/>
    <n v="5008.4199999999992"/>
    <m/>
    <x v="0"/>
    <x v="0"/>
    <n v="0"/>
    <n v="0"/>
    <x v="0"/>
    <x v="0"/>
    <m/>
    <x v="0"/>
    <x v="0"/>
    <x v="0"/>
    <x v="0"/>
    <x v="0"/>
    <n v="0"/>
    <n v="0"/>
    <n v="0"/>
    <n v="12"/>
    <x v="1"/>
    <x v="0"/>
    <m/>
    <x v="0"/>
    <n v="324.8"/>
    <x v="0"/>
    <x v="16"/>
    <x v="6"/>
    <x v="0"/>
    <x v="0"/>
  </r>
  <r>
    <x v="1"/>
    <x v="15"/>
    <s v="2829/1"/>
    <x v="173"/>
    <s v="MATCO FOOD"/>
    <s v="SL"/>
    <s v="29-29.5"/>
    <s v="85±2"/>
    <s v="LDN"/>
    <n v="5950"/>
    <x v="0"/>
    <n v="6"/>
    <n v="679.62"/>
    <n v="21.6"/>
    <m/>
    <x v="0"/>
    <n v="658.02"/>
    <n v="5008.4199999999992"/>
    <m/>
    <x v="0"/>
    <x v="0"/>
    <n v="0"/>
    <n v="0"/>
    <x v="0"/>
    <x v="0"/>
    <m/>
    <x v="0"/>
    <x v="0"/>
    <x v="0"/>
    <x v="0"/>
    <x v="0"/>
    <n v="0"/>
    <n v="0"/>
    <n v="0"/>
    <n v="12"/>
    <x v="1"/>
    <x v="0"/>
    <m/>
    <x v="0"/>
    <n v="684.62"/>
    <x v="0"/>
    <x v="16"/>
    <x v="6"/>
    <x v="0"/>
    <x v="0"/>
  </r>
  <r>
    <x v="0"/>
    <x v="11"/>
    <s v="5820 J"/>
    <x v="174"/>
    <s v="Haq Arthopadic Hospital Lahore"/>
    <s v="LDM"/>
    <n v="14"/>
    <s v="10-10.5"/>
    <s v="LDM"/>
    <n v="50"/>
    <x v="0"/>
    <n v="1"/>
    <n v="61.3"/>
    <n v="1.6"/>
    <m/>
    <x v="0"/>
    <n v="59.699999999999996"/>
    <n v="59.699999999999996"/>
    <s v="`5"/>
    <x v="0"/>
    <x v="0"/>
    <n v="0"/>
    <n v="0"/>
    <x v="0"/>
    <x v="0"/>
    <m/>
    <x v="0"/>
    <x v="0"/>
    <x v="0"/>
    <x v="0"/>
    <x v="0"/>
    <n v="0"/>
    <n v="0"/>
    <n v="0"/>
    <n v="12"/>
    <x v="1"/>
    <x v="0"/>
    <m/>
    <x v="0"/>
    <n v="66.3"/>
    <x v="0"/>
    <x v="16"/>
    <x v="6"/>
    <x v="0"/>
    <x v="0"/>
  </r>
  <r>
    <x v="0"/>
    <x v="11"/>
    <s v="5891 J"/>
    <x v="174"/>
    <s v="Service Industry Gujrat"/>
    <s v="LDM"/>
    <s v="428 MM"/>
    <s v="-"/>
    <s v="LDM"/>
    <n v="150"/>
    <x v="0"/>
    <n v="3"/>
    <n v="150.19999999999999"/>
    <n v="5.4"/>
    <m/>
    <x v="0"/>
    <n v="144.79999999999998"/>
    <n v="144.79999999999998"/>
    <m/>
    <x v="0"/>
    <x v="0"/>
    <n v="0"/>
    <n v="0"/>
    <x v="0"/>
    <x v="0"/>
    <m/>
    <x v="0"/>
    <x v="0"/>
    <x v="0"/>
    <x v="0"/>
    <x v="0"/>
    <n v="0"/>
    <n v="0"/>
    <n v="0"/>
    <n v="12"/>
    <x v="1"/>
    <x v="0"/>
    <m/>
    <x v="0"/>
    <n v="155.19999999999999"/>
    <x v="0"/>
    <x v="16"/>
    <x v="6"/>
    <x v="0"/>
    <x v="0"/>
  </r>
  <r>
    <x v="0"/>
    <x v="11"/>
    <s v="2553 F"/>
    <x v="174"/>
    <s v="Usman Amin"/>
    <s v="LDM"/>
    <n v="10"/>
    <s v="18"/>
    <s v="LDM"/>
    <n v="400"/>
    <x v="0"/>
    <n v="3"/>
    <n v="149.96"/>
    <n v="3"/>
    <n v="5"/>
    <x v="0"/>
    <n v="146.96"/>
    <n v="409.66"/>
    <m/>
    <x v="0"/>
    <x v="0"/>
    <n v="0"/>
    <n v="0"/>
    <x v="0"/>
    <x v="0"/>
    <m/>
    <x v="0"/>
    <x v="0"/>
    <x v="0"/>
    <x v="0"/>
    <x v="0"/>
    <n v="0"/>
    <n v="0"/>
    <n v="0"/>
    <n v="12"/>
    <x v="1"/>
    <x v="0"/>
    <m/>
    <x v="0"/>
    <n v="154.96"/>
    <x v="0"/>
    <x v="16"/>
    <x v="6"/>
    <x v="0"/>
    <x v="0"/>
  </r>
  <r>
    <x v="1"/>
    <x v="11"/>
    <s v="5906 J"/>
    <x v="174"/>
    <s v="Acefit Timber Market LHR"/>
    <s v="LDM"/>
    <n v="18"/>
    <s v="11-11.5"/>
    <s v="LDM"/>
    <n v="200"/>
    <x v="0"/>
    <n v="3"/>
    <n v="220.40000000000003"/>
    <n v="6.3000000000000007"/>
    <n v="12"/>
    <x v="0"/>
    <n v="214.10000000000002"/>
    <n v="214.10000000000002"/>
    <m/>
    <x v="0"/>
    <x v="0"/>
    <n v="0"/>
    <n v="0"/>
    <x v="0"/>
    <x v="0"/>
    <m/>
    <x v="0"/>
    <x v="0"/>
    <x v="0"/>
    <x v="0"/>
    <x v="0"/>
    <n v="0"/>
    <n v="0"/>
    <n v="0"/>
    <n v="12"/>
    <x v="1"/>
    <x v="0"/>
    <m/>
    <x v="0"/>
    <n v="225.40000000000003"/>
    <x v="0"/>
    <x v="16"/>
    <x v="6"/>
    <x v="0"/>
    <x v="0"/>
  </r>
  <r>
    <x v="1"/>
    <x v="11"/>
    <s v="2553 F"/>
    <x v="174"/>
    <s v="Usman Amin"/>
    <s v="LDM"/>
    <n v="10"/>
    <s v="18"/>
    <s v="LDM"/>
    <n v="400"/>
    <x v="0"/>
    <n v="2"/>
    <n v="133.4"/>
    <n v="2.4"/>
    <m/>
    <x v="0"/>
    <n v="131"/>
    <n v="409.66"/>
    <m/>
    <x v="0"/>
    <x v="0"/>
    <n v="0"/>
    <n v="0"/>
    <x v="0"/>
    <x v="0"/>
    <m/>
    <x v="0"/>
    <x v="0"/>
    <x v="0"/>
    <x v="0"/>
    <x v="0"/>
    <n v="0"/>
    <n v="0"/>
    <n v="0"/>
    <n v="12"/>
    <x v="1"/>
    <x v="0"/>
    <m/>
    <x v="0"/>
    <n v="138.4"/>
    <x v="0"/>
    <x v="16"/>
    <x v="6"/>
    <x v="0"/>
    <x v="0"/>
  </r>
  <r>
    <x v="0"/>
    <x v="13"/>
    <s v="2556 F"/>
    <x v="174"/>
    <s v="Usman Amin"/>
    <s v="LDN"/>
    <n v="28"/>
    <s v="8"/>
    <s v="LDN"/>
    <n v="245"/>
    <x v="0"/>
    <n v="1"/>
    <n v="59.5"/>
    <n v="2.8"/>
    <m/>
    <x v="0"/>
    <n v="56.7"/>
    <n v="353.1"/>
    <m/>
    <x v="0"/>
    <x v="0"/>
    <n v="0"/>
    <n v="0"/>
    <x v="0"/>
    <x v="0"/>
    <m/>
    <x v="0"/>
    <x v="0"/>
    <x v="0"/>
    <x v="0"/>
    <x v="0"/>
    <n v="0"/>
    <n v="0"/>
    <n v="0"/>
    <n v="12"/>
    <x v="1"/>
    <x v="0"/>
    <m/>
    <x v="0"/>
    <n v="64.5"/>
    <x v="0"/>
    <x v="16"/>
    <x v="6"/>
    <x v="0"/>
    <x v="0"/>
  </r>
  <r>
    <x v="0"/>
    <x v="13"/>
    <s v="2537 F"/>
    <x v="174"/>
    <s v="Usman Amin"/>
    <s v="LDN"/>
    <n v="32"/>
    <s v="6-6.5"/>
    <s v="LDN"/>
    <n v="860"/>
    <x v="0"/>
    <n v="4"/>
    <n v="358.7"/>
    <n v="14"/>
    <n v="4"/>
    <x v="0"/>
    <n v="344.7"/>
    <n v="845.3"/>
    <m/>
    <x v="0"/>
    <x v="0"/>
    <n v="0"/>
    <n v="0"/>
    <x v="0"/>
    <x v="0"/>
    <m/>
    <x v="0"/>
    <x v="0"/>
    <x v="0"/>
    <x v="0"/>
    <x v="0"/>
    <n v="0"/>
    <n v="0"/>
    <n v="0"/>
    <n v="12"/>
    <x v="1"/>
    <x v="0"/>
    <m/>
    <x v="0"/>
    <n v="363.7"/>
    <x v="0"/>
    <x v="16"/>
    <x v="6"/>
    <x v="0"/>
    <x v="0"/>
  </r>
  <r>
    <x v="1"/>
    <x v="13"/>
    <s v="5883 J"/>
    <x v="174"/>
    <s v="Airy Food Gujranwala"/>
    <s v="LDN"/>
    <n v="24"/>
    <s v="-"/>
    <s v="LDN"/>
    <n v="1000"/>
    <x v="0"/>
    <n v="5"/>
    <n v="411.90000000000003"/>
    <n v="15"/>
    <n v="9"/>
    <x v="0"/>
    <n v="396.90000000000003"/>
    <n v="1229.52"/>
    <m/>
    <x v="0"/>
    <x v="0"/>
    <n v="0"/>
    <n v="0"/>
    <x v="0"/>
    <x v="0"/>
    <m/>
    <x v="0"/>
    <x v="0"/>
    <x v="0"/>
    <x v="0"/>
    <x v="0"/>
    <n v="0"/>
    <n v="0"/>
    <n v="0"/>
    <n v="12"/>
    <x v="1"/>
    <x v="0"/>
    <m/>
    <x v="0"/>
    <n v="416.90000000000003"/>
    <x v="0"/>
    <x v="16"/>
    <x v="6"/>
    <x v="0"/>
    <x v="0"/>
  </r>
  <r>
    <x v="0"/>
    <x v="12"/>
    <s v="2823/2"/>
    <x v="174"/>
    <s v="C/O JAVAID SB"/>
    <s v="LDN"/>
    <n v="42"/>
    <n v="3"/>
    <s v="LDN"/>
    <n v="0"/>
    <x v="0"/>
    <n v="45"/>
    <n v="1132.74"/>
    <m/>
    <n v="18"/>
    <x v="0"/>
    <n v="1132.74"/>
    <n v="30037.069999999996"/>
    <m/>
    <x v="0"/>
    <x v="0"/>
    <n v="0"/>
    <n v="0"/>
    <x v="0"/>
    <x v="0"/>
    <m/>
    <x v="0"/>
    <x v="0"/>
    <x v="0"/>
    <x v="0"/>
    <x v="0"/>
    <n v="0"/>
    <n v="0"/>
    <n v="0"/>
    <n v="12"/>
    <x v="1"/>
    <x v="0"/>
    <m/>
    <x v="0"/>
    <n v="1137.74"/>
    <x v="0"/>
    <x v="16"/>
    <x v="6"/>
    <x v="0"/>
    <x v="0"/>
  </r>
  <r>
    <x v="1"/>
    <x v="12"/>
    <s v="2823/2"/>
    <x v="174"/>
    <s v="C/O JAVAID SB"/>
    <s v="LDN"/>
    <n v="42"/>
    <n v="3"/>
    <s v="LDN"/>
    <n v="0"/>
    <x v="0"/>
    <n v="45"/>
    <n v="1186.1000000000001"/>
    <m/>
    <n v="21"/>
    <x v="0"/>
    <n v="1186.1000000000001"/>
    <n v="30037.069999999996"/>
    <m/>
    <x v="0"/>
    <x v="0"/>
    <n v="0"/>
    <n v="0"/>
    <x v="0"/>
    <x v="0"/>
    <m/>
    <x v="0"/>
    <x v="0"/>
    <x v="0"/>
    <x v="0"/>
    <x v="0"/>
    <n v="0"/>
    <n v="0"/>
    <n v="0"/>
    <n v="12"/>
    <x v="1"/>
    <x v="0"/>
    <m/>
    <x v="0"/>
    <n v="1191.1000000000001"/>
    <x v="0"/>
    <x v="16"/>
    <x v="6"/>
    <x v="0"/>
    <x v="0"/>
  </r>
  <r>
    <x v="0"/>
    <x v="14"/>
    <s v="2828/1"/>
    <x v="174"/>
    <s v="PT-02"/>
    <s v="LDN"/>
    <n v="24"/>
    <n v="10"/>
    <s v="AA"/>
    <n v="4000"/>
    <x v="0"/>
    <n v="8"/>
    <n v="679.21"/>
    <n v="24"/>
    <m/>
    <x v="0"/>
    <n v="655.21"/>
    <n v="4912.3599999999997"/>
    <m/>
    <x v="0"/>
    <x v="0"/>
    <n v="0"/>
    <n v="0"/>
    <x v="0"/>
    <x v="0"/>
    <m/>
    <x v="0"/>
    <x v="0"/>
    <x v="0"/>
    <x v="0"/>
    <x v="0"/>
    <n v="0"/>
    <n v="0"/>
    <n v="0"/>
    <n v="12"/>
    <x v="1"/>
    <x v="0"/>
    <m/>
    <x v="0"/>
    <n v="684.21"/>
    <x v="0"/>
    <x v="16"/>
    <x v="6"/>
    <x v="0"/>
    <x v="0"/>
  </r>
  <r>
    <x v="0"/>
    <x v="14"/>
    <s v="2538 F"/>
    <x v="174"/>
    <s v="Usman Amin"/>
    <s v="LDN"/>
    <s v="30+5+5"/>
    <s v="7-7.5/14-15"/>
    <s v="LDN"/>
    <n v="140"/>
    <x v="0"/>
    <n v="1"/>
    <n v="83.6"/>
    <n v="3"/>
    <m/>
    <x v="0"/>
    <n v="80.599999999999994"/>
    <n v="166.04"/>
    <n v="10"/>
    <x v="0"/>
    <x v="0"/>
    <n v="10"/>
    <n v="0.16666666666666666"/>
    <x v="0"/>
    <x v="0"/>
    <m/>
    <x v="0"/>
    <x v="0"/>
    <x v="0"/>
    <x v="0"/>
    <x v="0"/>
    <n v="0"/>
    <n v="0"/>
    <n v="0.16666666666666666"/>
    <n v="11.833333333333334"/>
    <x v="1"/>
    <x v="0"/>
    <m/>
    <x v="0"/>
    <n v="88.6"/>
    <x v="0"/>
    <x v="16"/>
    <x v="6"/>
    <x v="0"/>
    <x v="0"/>
  </r>
  <r>
    <x v="0"/>
    <x v="14"/>
    <s v="2538 F"/>
    <x v="174"/>
    <s v="Usman Amin"/>
    <s v="LDN"/>
    <s v="30+5+5"/>
    <s v="7-7.5/14-15"/>
    <s v="LDN"/>
    <n v="140"/>
    <x v="0"/>
    <n v="2"/>
    <n v="93.039999999999992"/>
    <n v="7.6"/>
    <n v="8"/>
    <x v="0"/>
    <n v="85.44"/>
    <n v="166.04"/>
    <m/>
    <x v="0"/>
    <x v="0"/>
    <n v="0"/>
    <n v="0"/>
    <x v="0"/>
    <x v="0"/>
    <m/>
    <x v="0"/>
    <x v="0"/>
    <x v="0"/>
    <x v="0"/>
    <x v="0"/>
    <n v="0"/>
    <n v="0"/>
    <n v="0"/>
    <n v="12"/>
    <x v="1"/>
    <x v="0"/>
    <m/>
    <x v="0"/>
    <n v="98.039999999999992"/>
    <x v="0"/>
    <x v="16"/>
    <x v="6"/>
    <x v="0"/>
    <x v="0"/>
  </r>
  <r>
    <x v="1"/>
    <x v="14"/>
    <s v="2539 F"/>
    <x v="174"/>
    <s v="Usman Amin"/>
    <s v="LDN"/>
    <s v="31+7+7"/>
    <s v="7-7.5/14-15"/>
    <s v="LDN"/>
    <n v="1142"/>
    <x v="0"/>
    <n v="11"/>
    <n v="957.72"/>
    <n v="41.8"/>
    <n v="22"/>
    <x v="0"/>
    <n v="915.92000000000007"/>
    <n v="1159.1400000000001"/>
    <n v="5"/>
    <x v="0"/>
    <x v="0"/>
    <n v="5"/>
    <n v="8.3333333333333329E-2"/>
    <x v="0"/>
    <x v="0"/>
    <m/>
    <x v="0"/>
    <x v="0"/>
    <x v="0"/>
    <x v="0"/>
    <x v="0"/>
    <n v="0"/>
    <n v="0"/>
    <n v="8.3333333333333329E-2"/>
    <n v="11.916666666666666"/>
    <x v="1"/>
    <x v="0"/>
    <m/>
    <x v="0"/>
    <n v="962.72"/>
    <x v="0"/>
    <x v="16"/>
    <x v="6"/>
    <x v="0"/>
    <x v="0"/>
  </r>
  <r>
    <x v="0"/>
    <x v="15"/>
    <s v="2829/1"/>
    <x v="174"/>
    <s v="MATCO FOOD"/>
    <s v="SL"/>
    <s v="29-29.5"/>
    <s v="85±2"/>
    <s v="LDN"/>
    <n v="5950"/>
    <x v="0"/>
    <n v="5"/>
    <n v="672.1"/>
    <n v="19"/>
    <n v="8"/>
    <x v="0"/>
    <n v="653.1"/>
    <n v="5008.4199999999992"/>
    <m/>
    <x v="0"/>
    <x v="0"/>
    <n v="0"/>
    <n v="0"/>
    <x v="0"/>
    <x v="0"/>
    <m/>
    <x v="0"/>
    <x v="0"/>
    <x v="0"/>
    <x v="0"/>
    <x v="0"/>
    <n v="0"/>
    <n v="0"/>
    <n v="0"/>
    <n v="12"/>
    <x v="1"/>
    <x v="0"/>
    <m/>
    <x v="0"/>
    <n v="677.1"/>
    <x v="0"/>
    <x v="16"/>
    <x v="6"/>
    <x v="0"/>
    <x v="0"/>
  </r>
  <r>
    <x v="1"/>
    <x v="15"/>
    <s v="5849 J"/>
    <x v="174"/>
    <s v="Mubashar Iqbal Pakistan Cloth LHR"/>
    <s v="LDN"/>
    <n v="28"/>
    <n v="6.5"/>
    <s v="LDN"/>
    <n v="75"/>
    <x v="0"/>
    <n v="1"/>
    <n v="73.78"/>
    <n v="3.5"/>
    <n v="10.82"/>
    <x v="0"/>
    <n v="70.28"/>
    <n v="70.28"/>
    <n v="5"/>
    <x v="0"/>
    <x v="0"/>
    <n v="5"/>
    <n v="8.3333333333333329E-2"/>
    <x v="0"/>
    <x v="0"/>
    <m/>
    <x v="0"/>
    <x v="0"/>
    <x v="0"/>
    <x v="0"/>
    <x v="0"/>
    <n v="0"/>
    <n v="0"/>
    <n v="8.3333333333333329E-2"/>
    <n v="11.916666666666666"/>
    <x v="1"/>
    <x v="0"/>
    <m/>
    <x v="0"/>
    <n v="78.78"/>
    <x v="0"/>
    <x v="16"/>
    <x v="6"/>
    <x v="0"/>
    <x v="0"/>
  </r>
  <r>
    <x v="1"/>
    <x v="15"/>
    <s v="5848 J"/>
    <x v="174"/>
    <s v="Mubashar Iqbal Pakistan Cloth LHR"/>
    <s v="LDN"/>
    <n v="28"/>
    <n v="6.5"/>
    <s v="LDN"/>
    <n v="25"/>
    <x v="0"/>
    <n v="1"/>
    <n v="45.96"/>
    <n v="3.5"/>
    <m/>
    <x v="0"/>
    <n v="42.46"/>
    <n v="42.46"/>
    <m/>
    <x v="0"/>
    <x v="0"/>
    <n v="0"/>
    <n v="0"/>
    <x v="0"/>
    <x v="0"/>
    <m/>
    <x v="0"/>
    <x v="0"/>
    <x v="0"/>
    <x v="0"/>
    <x v="0"/>
    <n v="0"/>
    <n v="0"/>
    <n v="0"/>
    <n v="12"/>
    <x v="1"/>
    <x v="0"/>
    <m/>
    <x v="0"/>
    <n v="50.96"/>
    <x v="0"/>
    <x v="16"/>
    <x v="6"/>
    <x v="0"/>
    <x v="0"/>
  </r>
  <r>
    <x v="1"/>
    <x v="15"/>
    <s v="2537 F"/>
    <x v="174"/>
    <s v="Usman Amin"/>
    <s v="LDN"/>
    <n v="32"/>
    <s v="6-6.5"/>
    <s v="LDN"/>
    <n v="860"/>
    <x v="0"/>
    <n v="5"/>
    <n v="431.7"/>
    <n v="17.5"/>
    <m/>
    <x v="0"/>
    <n v="414.2"/>
    <n v="845.3"/>
    <m/>
    <x v="0"/>
    <x v="0"/>
    <n v="0"/>
    <n v="0"/>
    <x v="0"/>
    <x v="0"/>
    <m/>
    <x v="0"/>
    <x v="0"/>
    <x v="0"/>
    <x v="0"/>
    <x v="0"/>
    <n v="0"/>
    <n v="0"/>
    <n v="0"/>
    <n v="12"/>
    <x v="1"/>
    <x v="0"/>
    <m/>
    <x v="0"/>
    <n v="436.7"/>
    <x v="0"/>
    <x v="16"/>
    <x v="6"/>
    <x v="0"/>
    <x v="0"/>
  </r>
  <r>
    <x v="0"/>
    <x v="11"/>
    <s v="2553 F"/>
    <x v="175"/>
    <s v="Usman Amin"/>
    <s v="LDM"/>
    <n v="10"/>
    <s v="18"/>
    <s v="LDM"/>
    <n v="400"/>
    <x v="0"/>
    <n v="3"/>
    <n v="134.69999999999999"/>
    <n v="3"/>
    <m/>
    <x v="0"/>
    <n v="131.69999999999999"/>
    <n v="409.66"/>
    <n v="5"/>
    <x v="0"/>
    <x v="0"/>
    <n v="5"/>
    <n v="8.3333333333333329E-2"/>
    <x v="0"/>
    <x v="0"/>
    <m/>
    <x v="0"/>
    <x v="0"/>
    <x v="0"/>
    <x v="0"/>
    <x v="0"/>
    <n v="0"/>
    <n v="0"/>
    <n v="8.3333333333333329E-2"/>
    <n v="11.916666666666666"/>
    <x v="1"/>
    <x v="0"/>
    <m/>
    <x v="0"/>
    <n v="139.69999999999999"/>
    <x v="0"/>
    <x v="16"/>
    <x v="6"/>
    <x v="0"/>
    <x v="0"/>
  </r>
  <r>
    <x v="0"/>
    <x v="11"/>
    <s v="5806 J"/>
    <x v="175"/>
    <s v="Nawab Jilani Plastic Layyah"/>
    <s v="LDM"/>
    <s v="10+2.5+2.5"/>
    <s v="8-8.5/16-17"/>
    <s v="LDM"/>
    <n v="110"/>
    <x v="0"/>
    <n v="2"/>
    <n v="70.16"/>
    <n v="2.2000000000000002"/>
    <m/>
    <x v="0"/>
    <n v="67.959999999999994"/>
    <n v="67.959999999999994"/>
    <n v="5"/>
    <x v="0"/>
    <x v="0"/>
    <n v="5"/>
    <n v="8.3333333333333329E-2"/>
    <x v="0"/>
    <x v="0"/>
    <m/>
    <x v="0"/>
    <x v="0"/>
    <x v="0"/>
    <x v="0"/>
    <x v="0"/>
    <n v="0"/>
    <n v="0"/>
    <n v="8.3333333333333329E-2"/>
    <n v="11.916666666666666"/>
    <x v="1"/>
    <x v="0"/>
    <m/>
    <x v="0"/>
    <n v="75.16"/>
    <x v="0"/>
    <x v="16"/>
    <x v="6"/>
    <x v="0"/>
    <x v="0"/>
  </r>
  <r>
    <x v="0"/>
    <x v="11"/>
    <s v="5910 J"/>
    <x v="175"/>
    <s v="Adeel SB Multan"/>
    <s v="LDM"/>
    <n v="20"/>
    <s v="14-15"/>
    <s v="LDM"/>
    <n v="100"/>
    <x v="0"/>
    <n v="2"/>
    <n v="99.4"/>
    <n v="4"/>
    <m/>
    <x v="0"/>
    <n v="95.4"/>
    <n v="95.4"/>
    <m/>
    <x v="0"/>
    <x v="0"/>
    <n v="0"/>
    <n v="0"/>
    <x v="0"/>
    <x v="0"/>
    <m/>
    <x v="0"/>
    <x v="0"/>
    <x v="0"/>
    <x v="0"/>
    <x v="0"/>
    <n v="0"/>
    <n v="0"/>
    <n v="0"/>
    <n v="12"/>
    <x v="1"/>
    <x v="0"/>
    <m/>
    <x v="0"/>
    <n v="104.4"/>
    <x v="0"/>
    <x v="16"/>
    <x v="6"/>
    <x v="0"/>
    <x v="0"/>
  </r>
  <r>
    <x v="0"/>
    <x v="11"/>
    <s v="5922 J"/>
    <x v="175"/>
    <s v="Yaseen Cloth House Sangla Hill"/>
    <s v="LDM"/>
    <n v="20"/>
    <s v="14-15"/>
    <s v="LDM"/>
    <n v="100"/>
    <x v="0"/>
    <n v="1"/>
    <n v="56.4"/>
    <n v="2"/>
    <n v="11"/>
    <x v="0"/>
    <n v="54.4"/>
    <n v="118.79999999999998"/>
    <m/>
    <x v="0"/>
    <x v="0"/>
    <n v="0"/>
    <n v="0"/>
    <x v="0"/>
    <x v="0"/>
    <m/>
    <x v="0"/>
    <x v="0"/>
    <x v="0"/>
    <x v="0"/>
    <x v="0"/>
    <n v="0"/>
    <n v="0"/>
    <n v="0"/>
    <n v="12"/>
    <x v="1"/>
    <x v="0"/>
    <m/>
    <x v="0"/>
    <n v="61.4"/>
    <x v="0"/>
    <x v="16"/>
    <x v="6"/>
    <x v="0"/>
    <x v="0"/>
  </r>
  <r>
    <x v="1"/>
    <x v="11"/>
    <s v="5922 J"/>
    <x v="175"/>
    <s v="Yaseen Cloth House Sangla Hill"/>
    <s v="LDM"/>
    <n v="20"/>
    <s v="14-15"/>
    <s v="LDM"/>
    <n v="100"/>
    <x v="0"/>
    <n v="1"/>
    <n v="66.8"/>
    <n v="2.4"/>
    <n v="9"/>
    <x v="0"/>
    <n v="64.399999999999991"/>
    <n v="118.79999999999998"/>
    <m/>
    <x v="0"/>
    <x v="0"/>
    <n v="0"/>
    <n v="0"/>
    <x v="0"/>
    <x v="0"/>
    <m/>
    <x v="0"/>
    <x v="0"/>
    <x v="0"/>
    <x v="0"/>
    <x v="0"/>
    <n v="0"/>
    <n v="0"/>
    <n v="0"/>
    <n v="12"/>
    <x v="1"/>
    <x v="0"/>
    <m/>
    <x v="0"/>
    <n v="71.8"/>
    <x v="0"/>
    <x v="16"/>
    <x v="6"/>
    <x v="0"/>
    <x v="0"/>
  </r>
  <r>
    <x v="1"/>
    <x v="11"/>
    <s v="5911 J"/>
    <x v="175"/>
    <s v="Adeel SB Multan"/>
    <s v="LDM"/>
    <n v="26.5"/>
    <s v="14-15"/>
    <s v="LDM"/>
    <n v="100"/>
    <x v="0"/>
    <n v="2"/>
    <n v="130.9"/>
    <n v="6.4"/>
    <m/>
    <x v="0"/>
    <n v="124.5"/>
    <n v="124.5"/>
    <n v="5"/>
    <x v="0"/>
    <x v="0"/>
    <n v="5"/>
    <n v="8.3333333333333329E-2"/>
    <x v="0"/>
    <x v="0"/>
    <m/>
    <x v="0"/>
    <x v="0"/>
    <x v="0"/>
    <x v="0"/>
    <x v="0"/>
    <n v="0"/>
    <n v="0"/>
    <n v="8.3333333333333329E-2"/>
    <n v="11.916666666666666"/>
    <x v="1"/>
    <x v="0"/>
    <m/>
    <x v="0"/>
    <n v="135.9"/>
    <x v="0"/>
    <x v="16"/>
    <x v="6"/>
    <x v="0"/>
    <x v="0"/>
  </r>
  <r>
    <x v="1"/>
    <x v="11"/>
    <s v="5672 J"/>
    <x v="175"/>
    <s v="Waqas Wollan Mills Gujranwala"/>
    <s v="LD اورنج"/>
    <n v="15"/>
    <s v="10-10.5"/>
    <s v="LDM"/>
    <n v="250"/>
    <x v="0"/>
    <n v="2"/>
    <n v="151.89999999999998"/>
    <n v="3.8"/>
    <m/>
    <x v="0"/>
    <n v="148.09999999999997"/>
    <n v="268.7"/>
    <n v="5"/>
    <x v="0"/>
    <x v="0"/>
    <n v="5"/>
    <n v="8.3333333333333329E-2"/>
    <x v="0"/>
    <x v="0"/>
    <m/>
    <x v="0"/>
    <x v="0"/>
    <x v="0"/>
    <x v="0"/>
    <x v="0"/>
    <n v="0"/>
    <n v="0"/>
    <n v="8.3333333333333329E-2"/>
    <n v="11.916666666666666"/>
    <x v="1"/>
    <x v="0"/>
    <m/>
    <x v="0"/>
    <n v="156.89999999999998"/>
    <x v="0"/>
    <x v="16"/>
    <x v="6"/>
    <x v="0"/>
    <x v="0"/>
  </r>
  <r>
    <x v="0"/>
    <x v="13"/>
    <s v="5883 J"/>
    <x v="175"/>
    <s v="Airy Food Gujranwala"/>
    <s v="LDN"/>
    <n v="24"/>
    <s v="-"/>
    <s v="LDN"/>
    <n v="1000"/>
    <x v="0"/>
    <n v="5"/>
    <n v="424.9"/>
    <n v="15"/>
    <n v="2"/>
    <x v="0"/>
    <n v="409.9"/>
    <n v="1229.52"/>
    <m/>
    <x v="0"/>
    <x v="0"/>
    <n v="0"/>
    <n v="0"/>
    <x v="0"/>
    <x v="0"/>
    <m/>
    <x v="0"/>
    <x v="0"/>
    <x v="0"/>
    <x v="0"/>
    <x v="0"/>
    <n v="0"/>
    <n v="0"/>
    <n v="0"/>
    <n v="12"/>
    <x v="1"/>
    <x v="0"/>
    <m/>
    <x v="0"/>
    <n v="429.9"/>
    <x v="0"/>
    <x v="16"/>
    <x v="6"/>
    <x v="0"/>
    <x v="0"/>
  </r>
  <r>
    <x v="1"/>
    <x v="13"/>
    <s v="5883 J"/>
    <x v="175"/>
    <s v="Airy Food Gujranwala"/>
    <s v="LDN"/>
    <n v="24"/>
    <s v="-"/>
    <s v="LDN"/>
    <n v="1000"/>
    <x v="0"/>
    <n v="4"/>
    <n v="434.71999999999997"/>
    <n v="12"/>
    <n v="4"/>
    <x v="0"/>
    <n v="422.71999999999997"/>
    <n v="1229.52"/>
    <m/>
    <x v="0"/>
    <x v="0"/>
    <n v="0"/>
    <n v="0"/>
    <x v="0"/>
    <x v="0"/>
    <m/>
    <x v="0"/>
    <x v="0"/>
    <x v="0"/>
    <x v="0"/>
    <x v="0"/>
    <n v="0"/>
    <n v="0"/>
    <n v="0"/>
    <n v="12"/>
    <x v="1"/>
    <x v="0"/>
    <m/>
    <x v="0"/>
    <n v="439.71999999999997"/>
    <x v="0"/>
    <x v="16"/>
    <x v="6"/>
    <x v="0"/>
    <x v="0"/>
  </r>
  <r>
    <x v="0"/>
    <x v="12"/>
    <s v="2823/2"/>
    <x v="175"/>
    <s v="C/O JAVAID SB"/>
    <s v="LDN"/>
    <n v="42"/>
    <n v="3"/>
    <s v="LDN"/>
    <n v="0"/>
    <x v="0"/>
    <n v="42"/>
    <n v="1127.7500000000002"/>
    <m/>
    <n v="21"/>
    <x v="0"/>
    <n v="1127.7500000000002"/>
    <n v="30037.069999999996"/>
    <m/>
    <x v="0"/>
    <x v="0"/>
    <n v="0"/>
    <n v="0"/>
    <x v="0"/>
    <x v="0"/>
    <m/>
    <x v="0"/>
    <x v="0"/>
    <x v="0"/>
    <x v="0"/>
    <x v="0"/>
    <n v="0"/>
    <n v="0"/>
    <n v="0"/>
    <n v="12"/>
    <x v="1"/>
    <x v="0"/>
    <m/>
    <x v="0"/>
    <n v="1132.7500000000002"/>
    <x v="0"/>
    <x v="16"/>
    <x v="6"/>
    <x v="0"/>
    <x v="0"/>
  </r>
  <r>
    <x v="1"/>
    <x v="12"/>
    <s v="2823/2"/>
    <x v="175"/>
    <s v="C/O JAVAID SB"/>
    <s v="LDN"/>
    <n v="42"/>
    <n v="3"/>
    <s v="LDN"/>
    <n v="0"/>
    <x v="0"/>
    <n v="43"/>
    <n v="1174.78"/>
    <m/>
    <n v="23"/>
    <x v="0"/>
    <n v="1174.78"/>
    <n v="30037.069999999996"/>
    <m/>
    <x v="0"/>
    <x v="0"/>
    <n v="0"/>
    <n v="0"/>
    <x v="0"/>
    <x v="0"/>
    <m/>
    <x v="0"/>
    <x v="0"/>
    <x v="0"/>
    <x v="0"/>
    <x v="0"/>
    <n v="0"/>
    <n v="0"/>
    <n v="0"/>
    <n v="12"/>
    <x v="1"/>
    <x v="0"/>
    <m/>
    <x v="0"/>
    <n v="1179.78"/>
    <x v="0"/>
    <x v="16"/>
    <x v="6"/>
    <x v="0"/>
    <x v="0"/>
  </r>
  <r>
    <x v="0"/>
    <x v="14"/>
    <s v="2539 F"/>
    <x v="175"/>
    <s v="Usman Amin"/>
    <s v="LDN"/>
    <s v="31+7+7"/>
    <s v="7-7.5/14-15"/>
    <s v="LDN"/>
    <n v="1142"/>
    <x v="0"/>
    <n v="3"/>
    <n v="254.62"/>
    <n v="11.399999999999999"/>
    <n v="18"/>
    <x v="0"/>
    <n v="243.22"/>
    <n v="1159.1400000000001"/>
    <n v="5"/>
    <x v="0"/>
    <x v="0"/>
    <n v="5"/>
    <n v="8.3333333333333329E-2"/>
    <x v="0"/>
    <x v="0"/>
    <m/>
    <x v="0"/>
    <x v="0"/>
    <x v="0"/>
    <x v="0"/>
    <x v="0"/>
    <n v="0"/>
    <n v="0"/>
    <n v="8.3333333333333329E-2"/>
    <n v="11.916666666666666"/>
    <x v="1"/>
    <x v="0"/>
    <m/>
    <x v="0"/>
    <n v="259.62"/>
    <x v="0"/>
    <x v="16"/>
    <x v="6"/>
    <x v="0"/>
    <x v="0"/>
  </r>
  <r>
    <x v="0"/>
    <x v="14"/>
    <s v="2828/1"/>
    <x v="175"/>
    <s v="PT-02"/>
    <s v="LDN"/>
    <n v="24"/>
    <n v="10"/>
    <s v="AA"/>
    <n v="4000"/>
    <x v="0"/>
    <n v="3"/>
    <n v="313.97000000000003"/>
    <n v="9"/>
    <m/>
    <x v="0"/>
    <n v="304.97000000000003"/>
    <n v="4912.3599999999997"/>
    <n v="5"/>
    <x v="0"/>
    <x v="0"/>
    <n v="5"/>
    <n v="8.3333333333333329E-2"/>
    <x v="0"/>
    <x v="0"/>
    <m/>
    <x v="0"/>
    <x v="0"/>
    <x v="0"/>
    <x v="0"/>
    <x v="0"/>
    <n v="0"/>
    <n v="0"/>
    <n v="8.3333333333333329E-2"/>
    <n v="11.916666666666666"/>
    <x v="1"/>
    <x v="0"/>
    <m/>
    <x v="0"/>
    <n v="318.97000000000003"/>
    <x v="0"/>
    <x v="16"/>
    <x v="6"/>
    <x v="0"/>
    <x v="0"/>
  </r>
  <r>
    <x v="0"/>
    <x v="14"/>
    <s v="5813 J"/>
    <x v="175"/>
    <s v="Synt Chemical Lahore "/>
    <s v="LDN"/>
    <s v="525 MM"/>
    <s v="15-16/30-32"/>
    <s v="LDN"/>
    <n v="125"/>
    <x v="0"/>
    <n v="2"/>
    <n v="137.82"/>
    <n v="2"/>
    <m/>
    <x v="0"/>
    <n v="135.82"/>
    <n v="135.82"/>
    <m/>
    <x v="0"/>
    <x v="0"/>
    <n v="0"/>
    <n v="0"/>
    <x v="0"/>
    <x v="0"/>
    <m/>
    <x v="0"/>
    <x v="0"/>
    <x v="0"/>
    <x v="0"/>
    <x v="0"/>
    <n v="0"/>
    <n v="0"/>
    <n v="0"/>
    <n v="12"/>
    <x v="1"/>
    <x v="0"/>
    <m/>
    <x v="0"/>
    <n v="142.82"/>
    <x v="0"/>
    <x v="16"/>
    <x v="6"/>
    <x v="0"/>
    <x v="0"/>
  </r>
  <r>
    <x v="1"/>
    <x v="14"/>
    <s v="5914 J"/>
    <x v="175"/>
    <s v="Golden Chemical Faisalbad"/>
    <s v="LDN"/>
    <s v="510 MM"/>
    <s v="15-16/30-32"/>
    <s v="LDN"/>
    <n v="300"/>
    <x v="0"/>
    <n v="4"/>
    <n v="332.4"/>
    <n v="9.6"/>
    <n v="78"/>
    <x v="0"/>
    <n v="322.79999999999995"/>
    <n v="322.79999999999995"/>
    <m/>
    <x v="0"/>
    <x v="0"/>
    <n v="0"/>
    <n v="0"/>
    <x v="0"/>
    <x v="0"/>
    <m/>
    <x v="0"/>
    <x v="0"/>
    <x v="0"/>
    <x v="0"/>
    <x v="0"/>
    <n v="0"/>
    <n v="0"/>
    <n v="0"/>
    <n v="12"/>
    <x v="1"/>
    <x v="0"/>
    <m/>
    <x v="0"/>
    <n v="337.4"/>
    <x v="0"/>
    <x v="16"/>
    <x v="6"/>
    <x v="0"/>
    <x v="0"/>
  </r>
  <r>
    <x v="1"/>
    <x v="14"/>
    <s v="5915 J"/>
    <x v="175"/>
    <s v="Golden Chemical Faisalbad"/>
    <s v="LDN"/>
    <s v="510 MM"/>
    <s v="15-16/30-32"/>
    <s v="LDN"/>
    <n v="300"/>
    <x v="0"/>
    <n v="2"/>
    <n v="186.6"/>
    <n v="4.8"/>
    <m/>
    <x v="0"/>
    <n v="181.79999999999998"/>
    <n v="300.29999999999995"/>
    <m/>
    <x v="0"/>
    <x v="0"/>
    <n v="0"/>
    <n v="0"/>
    <x v="0"/>
    <x v="0"/>
    <m/>
    <x v="0"/>
    <x v="0"/>
    <x v="0"/>
    <x v="0"/>
    <x v="0"/>
    <n v="0"/>
    <n v="0"/>
    <n v="0"/>
    <n v="12"/>
    <x v="1"/>
    <x v="0"/>
    <m/>
    <x v="0"/>
    <n v="191.6"/>
    <x v="0"/>
    <x v="16"/>
    <x v="6"/>
    <x v="0"/>
    <x v="0"/>
  </r>
  <r>
    <x v="1"/>
    <x v="14"/>
    <s v="5916 J"/>
    <x v="175"/>
    <s v="Golden Chemical Faisalbad"/>
    <s v="LDN"/>
    <s v="510 MM"/>
    <s v="15-16/30-32"/>
    <s v="LDN"/>
    <n v="700"/>
    <x v="0"/>
    <n v="2"/>
    <n v="189.1"/>
    <n v="4.8"/>
    <m/>
    <x v="0"/>
    <n v="184.29999999999998"/>
    <n v="727.8"/>
    <m/>
    <x v="0"/>
    <x v="0"/>
    <n v="0"/>
    <n v="0"/>
    <x v="0"/>
    <x v="0"/>
    <m/>
    <x v="0"/>
    <x v="0"/>
    <x v="0"/>
    <x v="0"/>
    <x v="0"/>
    <n v="0"/>
    <n v="0"/>
    <n v="0"/>
    <n v="12"/>
    <x v="1"/>
    <x v="0"/>
    <m/>
    <x v="0"/>
    <n v="194.1"/>
    <x v="0"/>
    <x v="16"/>
    <x v="6"/>
    <x v="0"/>
    <x v="0"/>
  </r>
  <r>
    <x v="0"/>
    <x v="15"/>
    <s v="2537 F"/>
    <x v="175"/>
    <s v="Usman Amin"/>
    <s v="LDN"/>
    <n v="32"/>
    <s v="6-6.5"/>
    <s v="LDN"/>
    <n v="860"/>
    <x v="0"/>
    <n v="1"/>
    <n v="90.2"/>
    <n v="3.8"/>
    <m/>
    <x v="0"/>
    <n v="86.4"/>
    <n v="845.3"/>
    <m/>
    <x v="0"/>
    <x v="0"/>
    <n v="0"/>
    <n v="0"/>
    <x v="0"/>
    <x v="0"/>
    <m/>
    <x v="0"/>
    <x v="0"/>
    <x v="0"/>
    <x v="0"/>
    <x v="0"/>
    <n v="0"/>
    <n v="0"/>
    <n v="0"/>
    <n v="12"/>
    <x v="1"/>
    <x v="0"/>
    <m/>
    <x v="0"/>
    <n v="95.2"/>
    <x v="0"/>
    <x v="16"/>
    <x v="6"/>
    <x v="0"/>
    <x v="0"/>
  </r>
  <r>
    <x v="0"/>
    <x v="15"/>
    <s v="2829/1"/>
    <x v="175"/>
    <s v="MATCO FOOD"/>
    <s v="SL"/>
    <s v="29-29.5"/>
    <s v="85±2"/>
    <s v="LDN"/>
    <n v="5950"/>
    <x v="0"/>
    <n v="4"/>
    <n v="568.9"/>
    <n v="14.4"/>
    <n v="15"/>
    <x v="0"/>
    <n v="554.5"/>
    <n v="5008.4199999999992"/>
    <m/>
    <x v="0"/>
    <x v="0"/>
    <n v="0"/>
    <n v="0"/>
    <x v="0"/>
    <x v="0"/>
    <m/>
    <x v="0"/>
    <x v="0"/>
    <x v="0"/>
    <x v="0"/>
    <x v="0"/>
    <n v="0"/>
    <n v="0"/>
    <n v="0"/>
    <n v="12"/>
    <x v="1"/>
    <x v="0"/>
    <m/>
    <x v="0"/>
    <n v="573.9"/>
    <x v="0"/>
    <x v="16"/>
    <x v="6"/>
    <x v="0"/>
    <x v="0"/>
  </r>
  <r>
    <x v="1"/>
    <x v="15"/>
    <s v="2829/1"/>
    <x v="175"/>
    <s v="MATCO FOOD"/>
    <s v="SL"/>
    <s v="29-29.5"/>
    <s v="85±2"/>
    <s v="LDN"/>
    <n v="5950"/>
    <x v="0"/>
    <n v="6"/>
    <n v="662.3"/>
    <n v="21.6"/>
    <n v="13"/>
    <x v="0"/>
    <n v="640.69999999999993"/>
    <n v="5008.4199999999992"/>
    <m/>
    <x v="0"/>
    <x v="0"/>
    <n v="0"/>
    <n v="0"/>
    <x v="0"/>
    <x v="0"/>
    <m/>
    <x v="0"/>
    <x v="0"/>
    <x v="0"/>
    <x v="0"/>
    <x v="0"/>
    <n v="0"/>
    <n v="0"/>
    <n v="0"/>
    <n v="12"/>
    <x v="1"/>
    <x v="0"/>
    <m/>
    <x v="0"/>
    <n v="667.3"/>
    <x v="0"/>
    <x v="16"/>
    <x v="6"/>
    <x v="0"/>
    <x v="0"/>
  </r>
  <r>
    <x v="1"/>
    <x v="9"/>
    <s v="2824/3"/>
    <x v="176"/>
    <s v="PT-02"/>
    <s v="LDN"/>
    <n v="14"/>
    <n v="14"/>
    <s v="LDN"/>
    <n v="1500"/>
    <x v="0"/>
    <n v="2"/>
    <n v="130.69999999999999"/>
    <n v="3.4"/>
    <n v="13"/>
    <x v="0"/>
    <n v="127.29999999999998"/>
    <n v="1616.5"/>
    <m/>
    <x v="10"/>
    <x v="0"/>
    <n v="90"/>
    <n v="1.5"/>
    <x v="0"/>
    <x v="0"/>
    <m/>
    <x v="0"/>
    <x v="0"/>
    <x v="0"/>
    <x v="0"/>
    <x v="0"/>
    <n v="0"/>
    <n v="0"/>
    <n v="1.5"/>
    <n v="10.5"/>
    <x v="1"/>
    <x v="0"/>
    <m/>
    <x v="0"/>
    <n v="135.69999999999999"/>
    <x v="0"/>
    <x v="16"/>
    <x v="6"/>
    <x v="0"/>
    <x v="0"/>
  </r>
  <r>
    <x v="0"/>
    <x v="11"/>
    <s v="5672 J"/>
    <x v="176"/>
    <s v="Waqas Wollan Mills Gujranwala"/>
    <s v="LD اورنج"/>
    <n v="15"/>
    <s v="10-10.5"/>
    <s v="LDM"/>
    <n v="250"/>
    <x v="0"/>
    <n v="2"/>
    <n v="124.4"/>
    <n v="3.8"/>
    <m/>
    <x v="0"/>
    <n v="120.60000000000001"/>
    <n v="268.7"/>
    <m/>
    <x v="0"/>
    <x v="0"/>
    <n v="0"/>
    <n v="0"/>
    <x v="0"/>
    <x v="0"/>
    <m/>
    <x v="0"/>
    <x v="0"/>
    <x v="0"/>
    <x v="0"/>
    <x v="0"/>
    <n v="0"/>
    <n v="0"/>
    <n v="0"/>
    <n v="12"/>
    <x v="1"/>
    <x v="0"/>
    <m/>
    <x v="0"/>
    <n v="129.4"/>
    <x v="0"/>
    <x v="16"/>
    <x v="6"/>
    <x v="0"/>
    <x v="0"/>
  </r>
  <r>
    <x v="0"/>
    <x v="11"/>
    <s v="5968 J"/>
    <x v="176"/>
    <s v="Sahibzada Printers Saray Norang"/>
    <s v="LD لائٹ ریڈ"/>
    <s v="10+3+3"/>
    <s v="7.5-8/14-15"/>
    <s v="LDM"/>
    <n v="110"/>
    <x v="0"/>
    <n v="3"/>
    <n v="129.5"/>
    <n v="3.5999999999999996"/>
    <m/>
    <x v="0"/>
    <n v="125.9"/>
    <n v="125.9"/>
    <n v="5"/>
    <x v="0"/>
    <x v="0"/>
    <n v="5"/>
    <n v="8.3333333333333329E-2"/>
    <x v="0"/>
    <x v="0"/>
    <m/>
    <x v="0"/>
    <x v="0"/>
    <x v="0"/>
    <x v="0"/>
    <x v="0"/>
    <n v="0"/>
    <n v="0"/>
    <n v="8.3333333333333329E-2"/>
    <n v="11.916666666666666"/>
    <x v="1"/>
    <x v="0"/>
    <m/>
    <x v="0"/>
    <n v="134.5"/>
    <x v="0"/>
    <x v="16"/>
    <x v="6"/>
    <x v="0"/>
    <x v="0"/>
  </r>
  <r>
    <x v="0"/>
    <x v="11"/>
    <s v="5969 J"/>
    <x v="176"/>
    <s v="Sahibzada Printers Saray Norang"/>
    <s v="LD لائٹ ریڈ"/>
    <s v="12+3+3"/>
    <s v="7.5-8/14-15"/>
    <s v="LDM"/>
    <n v="110"/>
    <x v="0"/>
    <n v="2"/>
    <n v="92.6"/>
    <n v="2.9"/>
    <n v="60"/>
    <x v="0"/>
    <n v="89.699999999999989"/>
    <n v="127.6"/>
    <n v="5"/>
    <x v="0"/>
    <x v="0"/>
    <n v="5"/>
    <n v="8.3333333333333329E-2"/>
    <x v="0"/>
    <x v="0"/>
    <m/>
    <x v="0"/>
    <x v="0"/>
    <x v="0"/>
    <x v="0"/>
    <x v="0"/>
    <n v="0"/>
    <n v="0"/>
    <n v="8.3333333333333329E-2"/>
    <n v="11.916666666666666"/>
    <x v="1"/>
    <x v="0"/>
    <m/>
    <x v="0"/>
    <n v="97.6"/>
    <x v="0"/>
    <x v="16"/>
    <x v="6"/>
    <x v="0"/>
    <x v="0"/>
  </r>
  <r>
    <x v="1"/>
    <x v="11"/>
    <s v="5969 J"/>
    <x v="176"/>
    <s v="Sahibzada Printers Saray Norang"/>
    <s v="LD لائٹ ریڈ"/>
    <s v="12+3+3"/>
    <s v="7.5-8/14-15"/>
    <s v="LDM"/>
    <n v="110"/>
    <x v="0"/>
    <n v="1"/>
    <n v="39.4"/>
    <n v="1.5"/>
    <n v="48"/>
    <x v="0"/>
    <n v="37.9"/>
    <n v="127.6"/>
    <n v="5"/>
    <x v="0"/>
    <x v="0"/>
    <n v="5"/>
    <n v="8.3333333333333329E-2"/>
    <x v="0"/>
    <x v="0"/>
    <m/>
    <x v="0"/>
    <x v="0"/>
    <x v="0"/>
    <x v="0"/>
    <x v="0"/>
    <n v="0"/>
    <n v="0"/>
    <n v="8.3333333333333329E-2"/>
    <n v="11.916666666666666"/>
    <x v="1"/>
    <x v="0"/>
    <m/>
    <x v="0"/>
    <n v="44.4"/>
    <x v="0"/>
    <x v="16"/>
    <x v="6"/>
    <x v="0"/>
    <x v="0"/>
  </r>
  <r>
    <x v="1"/>
    <x v="11"/>
    <s v="5815 J"/>
    <x v="176"/>
    <s v="Khawaja Watch Center Lahore"/>
    <s v="LD گولڈن پیلا"/>
    <n v="14.5"/>
    <s v="15-16"/>
    <s v="LDM"/>
    <n v="110"/>
    <x v="0"/>
    <n v="2"/>
    <n v="123.39999999999999"/>
    <n v="3.4"/>
    <m/>
    <x v="0"/>
    <n v="119.99999999999999"/>
    <n v="119.99999999999999"/>
    <n v="5"/>
    <x v="0"/>
    <x v="0"/>
    <n v="5"/>
    <n v="8.3333333333333329E-2"/>
    <x v="0"/>
    <x v="0"/>
    <m/>
    <x v="0"/>
    <x v="0"/>
    <x v="0"/>
    <x v="0"/>
    <x v="0"/>
    <n v="0"/>
    <n v="0"/>
    <n v="8.3333333333333329E-2"/>
    <n v="11.916666666666666"/>
    <x v="1"/>
    <x v="0"/>
    <m/>
    <x v="0"/>
    <n v="128.39999999999998"/>
    <x v="0"/>
    <x v="16"/>
    <x v="6"/>
    <x v="0"/>
    <x v="0"/>
  </r>
  <r>
    <x v="1"/>
    <x v="11"/>
    <s v="5475 J"/>
    <x v="176"/>
    <s v="Fancy Garments Kamoki"/>
    <s v="LD پیلا"/>
    <n v="18"/>
    <s v="11-11.5"/>
    <s v="LDM"/>
    <n v="200"/>
    <x v="0"/>
    <n v="2"/>
    <n v="168.1"/>
    <n v="4.2"/>
    <m/>
    <x v="0"/>
    <n v="163.9"/>
    <n v="163.9"/>
    <m/>
    <x v="0"/>
    <x v="0"/>
    <n v="0"/>
    <n v="0"/>
    <x v="0"/>
    <x v="0"/>
    <m/>
    <x v="0"/>
    <x v="0"/>
    <x v="0"/>
    <x v="0"/>
    <x v="0"/>
    <n v="0"/>
    <n v="0"/>
    <n v="0"/>
    <n v="12"/>
    <x v="1"/>
    <x v="0"/>
    <m/>
    <x v="0"/>
    <n v="173.1"/>
    <x v="0"/>
    <x v="16"/>
    <x v="6"/>
    <x v="0"/>
    <x v="0"/>
  </r>
  <r>
    <x v="0"/>
    <x v="13"/>
    <s v="5723 J"/>
    <x v="176"/>
    <s v="Afnan Printing Press ButtKhela "/>
    <s v="LDM"/>
    <n v="18"/>
    <s v="13X14"/>
    <s v="LDM"/>
    <n v="100"/>
    <x v="0"/>
    <n v="2"/>
    <n v="122"/>
    <n v="4.4000000000000004"/>
    <m/>
    <x v="0"/>
    <n v="117.6"/>
    <n v="324.66000000000003"/>
    <n v="5"/>
    <x v="0"/>
    <x v="0"/>
    <n v="5"/>
    <n v="8.3333333333333329E-2"/>
    <x v="0"/>
    <x v="0"/>
    <m/>
    <x v="0"/>
    <x v="0"/>
    <x v="0"/>
    <x v="0"/>
    <x v="0"/>
    <n v="0"/>
    <n v="0"/>
    <n v="8.3333333333333329E-2"/>
    <n v="11.916666666666666"/>
    <x v="1"/>
    <x v="0"/>
    <m/>
    <x v="0"/>
    <n v="127"/>
    <x v="0"/>
    <x v="16"/>
    <x v="6"/>
    <x v="0"/>
    <x v="0"/>
  </r>
  <r>
    <x v="0"/>
    <x v="13"/>
    <s v="2557 F"/>
    <x v="176"/>
    <s v="Usman Amin"/>
    <s v="LDN"/>
    <n v="19"/>
    <s v="5-5.5"/>
    <s v="LDN"/>
    <n v="220"/>
    <x v="0"/>
    <n v="5"/>
    <n v="243.4"/>
    <n v="11.5"/>
    <n v="9"/>
    <x v="0"/>
    <n v="231.9"/>
    <n v="231.9"/>
    <m/>
    <x v="0"/>
    <x v="0"/>
    <n v="0"/>
    <n v="0"/>
    <x v="0"/>
    <x v="0"/>
    <m/>
    <x v="0"/>
    <x v="0"/>
    <x v="0"/>
    <x v="0"/>
    <x v="0"/>
    <n v="0"/>
    <n v="0"/>
    <n v="0"/>
    <n v="12"/>
    <x v="1"/>
    <x v="0"/>
    <m/>
    <x v="0"/>
    <n v="248.4"/>
    <x v="0"/>
    <x v="16"/>
    <x v="6"/>
    <x v="0"/>
    <x v="0"/>
  </r>
  <r>
    <x v="1"/>
    <x v="13"/>
    <s v="5942 J"/>
    <x v="176"/>
    <s v="Special Papari Nimko Kamonki "/>
    <s v="LDN"/>
    <n v="18"/>
    <n v="8"/>
    <s v="LDN"/>
    <n v="150"/>
    <x v="0"/>
    <n v="3"/>
    <n v="177.5"/>
    <n v="6.3000000000000007"/>
    <n v="6"/>
    <x v="0"/>
    <n v="171.2"/>
    <n v="171.2"/>
    <n v="5"/>
    <x v="0"/>
    <x v="0"/>
    <n v="5"/>
    <n v="8.3333333333333329E-2"/>
    <x v="0"/>
    <x v="0"/>
    <m/>
    <x v="0"/>
    <x v="0"/>
    <x v="0"/>
    <x v="0"/>
    <x v="0"/>
    <n v="0"/>
    <n v="0"/>
    <n v="8.3333333333333329E-2"/>
    <n v="11.916666666666666"/>
    <x v="1"/>
    <x v="0"/>
    <m/>
    <x v="0"/>
    <n v="182.5"/>
    <x v="0"/>
    <x v="16"/>
    <x v="6"/>
    <x v="0"/>
    <x v="0"/>
  </r>
  <r>
    <x v="1"/>
    <x v="13"/>
    <s v="5932 J"/>
    <x v="176"/>
    <s v="Usman Arif Butt Gujranwala"/>
    <s v="LDN"/>
    <n v="20"/>
    <s v="7"/>
    <s v="LDN"/>
    <n v="100"/>
    <x v="0"/>
    <n v="2"/>
    <n v="114.9"/>
    <n v="4.8"/>
    <m/>
    <x v="0"/>
    <n v="110.10000000000001"/>
    <n v="110.10000000000001"/>
    <n v="5"/>
    <x v="0"/>
    <x v="0"/>
    <n v="5"/>
    <n v="8.3333333333333329E-2"/>
    <x v="0"/>
    <x v="0"/>
    <m/>
    <x v="0"/>
    <x v="0"/>
    <x v="0"/>
    <x v="0"/>
    <x v="0"/>
    <n v="0"/>
    <n v="0"/>
    <n v="8.3333333333333329E-2"/>
    <n v="11.916666666666666"/>
    <x v="1"/>
    <x v="0"/>
    <m/>
    <x v="0"/>
    <n v="119.9"/>
    <x v="0"/>
    <x v="16"/>
    <x v="6"/>
    <x v="0"/>
    <x v="0"/>
  </r>
  <r>
    <x v="1"/>
    <x v="13"/>
    <s v="5933 J"/>
    <x v="176"/>
    <s v="Usman Arif Butt Gujranwala"/>
    <s v="LDN"/>
    <n v="20"/>
    <s v="7"/>
    <s v="LDN"/>
    <n v="100"/>
    <x v="0"/>
    <n v="1"/>
    <n v="64.3"/>
    <n v="2.4"/>
    <m/>
    <x v="0"/>
    <n v="61.9"/>
    <n v="105.8"/>
    <m/>
    <x v="0"/>
    <x v="0"/>
    <n v="0"/>
    <n v="0"/>
    <x v="0"/>
    <x v="0"/>
    <m/>
    <x v="0"/>
    <x v="0"/>
    <x v="0"/>
    <x v="0"/>
    <x v="0"/>
    <n v="0"/>
    <n v="0"/>
    <n v="0"/>
    <n v="12"/>
    <x v="1"/>
    <x v="0"/>
    <m/>
    <x v="0"/>
    <n v="69.3"/>
    <x v="0"/>
    <x v="16"/>
    <x v="6"/>
    <x v="0"/>
    <x v="0"/>
  </r>
  <r>
    <x v="0"/>
    <x v="12"/>
    <s v="2823/2"/>
    <x v="176"/>
    <s v="C/O JAVAID SB"/>
    <s v="LDN"/>
    <n v="42"/>
    <n v="3"/>
    <s v="LDN"/>
    <n v="0"/>
    <x v="0"/>
    <n v="38"/>
    <n v="1009.7999999999998"/>
    <m/>
    <n v="24"/>
    <x v="0"/>
    <n v="1009.7999999999998"/>
    <n v="30037.069999999996"/>
    <m/>
    <x v="0"/>
    <x v="0"/>
    <n v="0"/>
    <n v="0"/>
    <x v="0"/>
    <x v="0"/>
    <m/>
    <x v="0"/>
    <x v="0"/>
    <x v="0"/>
    <x v="0"/>
    <x v="0"/>
    <n v="0"/>
    <n v="0"/>
    <n v="0"/>
    <n v="12"/>
    <x v="1"/>
    <x v="0"/>
    <m/>
    <x v="0"/>
    <n v="1014.7999999999998"/>
    <x v="0"/>
    <x v="16"/>
    <x v="6"/>
    <x v="0"/>
    <x v="0"/>
  </r>
  <r>
    <x v="1"/>
    <x v="12"/>
    <s v="2823/2"/>
    <x v="176"/>
    <s v="C/O JAVAID SB"/>
    <s v="LDN"/>
    <n v="42"/>
    <n v="3"/>
    <s v="LDN"/>
    <n v="0"/>
    <x v="0"/>
    <n v="37"/>
    <n v="984.01"/>
    <m/>
    <n v="8"/>
    <x v="0"/>
    <n v="984.01"/>
    <n v="30037.069999999996"/>
    <m/>
    <x v="0"/>
    <x v="0"/>
    <n v="0"/>
    <n v="0"/>
    <x v="0"/>
    <x v="0"/>
    <m/>
    <x v="0"/>
    <x v="0"/>
    <x v="0"/>
    <x v="0"/>
    <x v="0"/>
    <n v="0"/>
    <n v="0"/>
    <n v="0"/>
    <n v="12"/>
    <x v="1"/>
    <x v="0"/>
    <m/>
    <x v="0"/>
    <n v="989.01"/>
    <x v="0"/>
    <x v="16"/>
    <x v="6"/>
    <x v="0"/>
    <x v="0"/>
  </r>
  <r>
    <x v="0"/>
    <x v="14"/>
    <s v="5915 J"/>
    <x v="176"/>
    <s v="Golden Chemical Faisalbad"/>
    <s v="LDN"/>
    <s v="510 MM"/>
    <s v="15-16/30-32"/>
    <s v="LDN"/>
    <n v="300"/>
    <x v="0"/>
    <n v="2"/>
    <n v="123.3"/>
    <n v="4.8"/>
    <m/>
    <x v="0"/>
    <n v="118.5"/>
    <n v="300.29999999999995"/>
    <n v="5"/>
    <x v="0"/>
    <x v="0"/>
    <n v="5"/>
    <n v="8.3333333333333329E-2"/>
    <x v="0"/>
    <x v="0"/>
    <m/>
    <x v="0"/>
    <x v="0"/>
    <x v="0"/>
    <x v="0"/>
    <x v="0"/>
    <n v="0"/>
    <n v="0"/>
    <n v="8.3333333333333329E-2"/>
    <n v="11.916666666666666"/>
    <x v="1"/>
    <x v="0"/>
    <m/>
    <x v="0"/>
    <n v="128.30000000000001"/>
    <x v="0"/>
    <x v="16"/>
    <x v="6"/>
    <x v="0"/>
    <x v="0"/>
  </r>
  <r>
    <x v="0"/>
    <x v="14"/>
    <s v="5916 J"/>
    <x v="176"/>
    <s v="Golden Chemical Faisalbad"/>
    <s v="LDN"/>
    <s v="510 MM"/>
    <s v="15-16/30-32"/>
    <s v="LDN"/>
    <n v="700"/>
    <x v="0"/>
    <n v="6"/>
    <n v="546.5"/>
    <n v="3"/>
    <m/>
    <x v="0"/>
    <n v="543.5"/>
    <n v="727.8"/>
    <m/>
    <x v="0"/>
    <x v="0"/>
    <n v="0"/>
    <n v="0"/>
    <x v="0"/>
    <x v="0"/>
    <m/>
    <x v="0"/>
    <x v="0"/>
    <x v="0"/>
    <x v="0"/>
    <x v="0"/>
    <n v="0"/>
    <n v="0"/>
    <n v="0"/>
    <n v="12"/>
    <x v="1"/>
    <x v="0"/>
    <m/>
    <x v="0"/>
    <n v="551.5"/>
    <x v="0"/>
    <x v="16"/>
    <x v="6"/>
    <x v="0"/>
    <x v="0"/>
  </r>
  <r>
    <x v="0"/>
    <x v="14"/>
    <s v="5958 J"/>
    <x v="176"/>
    <s v="Paradise Dry Cleaners Chakwal"/>
    <s v="LDN"/>
    <n v="26"/>
    <s v="4.5-5"/>
    <s v="LDN"/>
    <n v="100"/>
    <x v="0"/>
    <n v="1"/>
    <n v="37.340000000000003"/>
    <n v="2.8"/>
    <n v="85"/>
    <x v="0"/>
    <n v="34.540000000000006"/>
    <n v="106.64"/>
    <m/>
    <x v="0"/>
    <x v="0"/>
    <n v="0"/>
    <n v="0"/>
    <x v="0"/>
    <x v="0"/>
    <m/>
    <x v="0"/>
    <x v="0"/>
    <x v="0"/>
    <x v="0"/>
    <x v="0"/>
    <n v="0"/>
    <n v="0"/>
    <n v="0"/>
    <n v="12"/>
    <x v="1"/>
    <x v="0"/>
    <m/>
    <x v="0"/>
    <n v="42.34"/>
    <x v="0"/>
    <x v="16"/>
    <x v="6"/>
    <x v="0"/>
    <x v="0"/>
  </r>
  <r>
    <x v="1"/>
    <x v="14"/>
    <s v="5958 J"/>
    <x v="176"/>
    <s v="Paradise Dry Cleaners Chakwal"/>
    <s v="LDN"/>
    <n v="26"/>
    <s v="4.5-5"/>
    <s v="LDN"/>
    <n v="100"/>
    <x v="0"/>
    <n v="2"/>
    <n v="78.5"/>
    <n v="6.4"/>
    <n v="60"/>
    <x v="0"/>
    <n v="72.099999999999994"/>
    <n v="106.64"/>
    <n v="5"/>
    <x v="0"/>
    <x v="0"/>
    <n v="5"/>
    <n v="8.3333333333333329E-2"/>
    <x v="0"/>
    <x v="0"/>
    <m/>
    <x v="0"/>
    <x v="0"/>
    <x v="0"/>
    <x v="0"/>
    <x v="0"/>
    <n v="0"/>
    <n v="0"/>
    <n v="8.3333333333333329E-2"/>
    <n v="11.916666666666666"/>
    <x v="1"/>
    <x v="0"/>
    <m/>
    <x v="0"/>
    <n v="83.5"/>
    <x v="0"/>
    <x v="16"/>
    <x v="6"/>
    <x v="0"/>
    <x v="0"/>
  </r>
  <r>
    <x v="1"/>
    <x v="14"/>
    <s v="5895 J"/>
    <x v="176"/>
    <s v="Super Shangai Dry Cleaners Nankana"/>
    <s v="LDN"/>
    <n v="26"/>
    <s v="4.5-5"/>
    <s v="LDN"/>
    <n v="100"/>
    <x v="0"/>
    <n v="3"/>
    <n v="109.70000000000002"/>
    <n v="9.6000000000000014"/>
    <m/>
    <x v="0"/>
    <n v="100.10000000000002"/>
    <n v="100.10000000000002"/>
    <n v="5"/>
    <x v="0"/>
    <x v="0"/>
    <n v="5"/>
    <n v="8.3333333333333329E-2"/>
    <x v="0"/>
    <x v="3"/>
    <m/>
    <x v="0"/>
    <x v="0"/>
    <x v="0"/>
    <x v="0"/>
    <x v="0"/>
    <n v="15"/>
    <n v="0.25"/>
    <n v="0.33333333333333331"/>
    <n v="11.666666666666666"/>
    <x v="1"/>
    <x v="0"/>
    <m/>
    <x v="0"/>
    <n v="114.70000000000002"/>
    <x v="0"/>
    <x v="16"/>
    <x v="6"/>
    <x v="0"/>
    <x v="0"/>
  </r>
  <r>
    <x v="1"/>
    <x v="14"/>
    <s v="2540 F"/>
    <x v="176"/>
    <s v="Usman Amin"/>
    <s v="LDN"/>
    <n v="27.5"/>
    <s v="3-3.25/6.5.7"/>
    <s v="LDN"/>
    <n v="175"/>
    <x v="0"/>
    <n v="4"/>
    <n v="202.7"/>
    <n v="9.6"/>
    <m/>
    <x v="0"/>
    <n v="193.1"/>
    <n v="193.1"/>
    <n v="5"/>
    <x v="0"/>
    <x v="0"/>
    <n v="5"/>
    <n v="8.3333333333333329E-2"/>
    <x v="0"/>
    <x v="0"/>
    <m/>
    <x v="0"/>
    <x v="0"/>
    <x v="0"/>
    <x v="0"/>
    <x v="0"/>
    <n v="0"/>
    <n v="0"/>
    <n v="8.3333333333333329E-2"/>
    <n v="11.916666666666666"/>
    <x v="1"/>
    <x v="0"/>
    <m/>
    <x v="0"/>
    <n v="207.7"/>
    <x v="0"/>
    <x v="16"/>
    <x v="6"/>
    <x v="0"/>
    <x v="0"/>
  </r>
  <r>
    <x v="1"/>
    <x v="14"/>
    <s v="254 F"/>
    <x v="176"/>
    <s v="-"/>
    <m/>
    <m/>
    <m/>
    <m/>
    <m/>
    <x v="0"/>
    <n v="2"/>
    <n v="152.4"/>
    <n v="6"/>
    <m/>
    <x v="0"/>
    <n v="146.4"/>
    <n v="146.4"/>
    <m/>
    <x v="0"/>
    <x v="0"/>
    <n v="0"/>
    <n v="0"/>
    <x v="0"/>
    <x v="0"/>
    <m/>
    <x v="0"/>
    <x v="0"/>
    <x v="0"/>
    <x v="0"/>
    <x v="0"/>
    <n v="0"/>
    <n v="0"/>
    <n v="0"/>
    <n v="12"/>
    <x v="1"/>
    <x v="0"/>
    <m/>
    <x v="0"/>
    <n v="157.4"/>
    <x v="0"/>
    <x v="16"/>
    <x v="6"/>
    <x v="0"/>
    <x v="0"/>
  </r>
  <r>
    <x v="0"/>
    <x v="15"/>
    <s v="2829/1"/>
    <x v="176"/>
    <s v="MATCO FOOD"/>
    <s v="SL"/>
    <s v="29-29.5"/>
    <s v="85±2"/>
    <s v="LDN"/>
    <n v="5950"/>
    <x v="0"/>
    <n v="5"/>
    <n v="524.59999999999991"/>
    <n v="14.5"/>
    <m/>
    <x v="0"/>
    <n v="510.09999999999991"/>
    <n v="5008.4199999999992"/>
    <m/>
    <x v="0"/>
    <x v="0"/>
    <n v="0"/>
    <n v="0"/>
    <x v="0"/>
    <x v="0"/>
    <m/>
    <x v="0"/>
    <x v="0"/>
    <x v="0"/>
    <x v="0"/>
    <x v="0"/>
    <n v="0"/>
    <n v="0"/>
    <n v="0"/>
    <n v="12"/>
    <x v="1"/>
    <x v="0"/>
    <m/>
    <x v="0"/>
    <n v="529.59999999999991"/>
    <x v="0"/>
    <x v="16"/>
    <x v="6"/>
    <x v="0"/>
    <x v="0"/>
  </r>
  <r>
    <x v="0"/>
    <x v="15"/>
    <s v="5811 J"/>
    <x v="176"/>
    <s v="Procon Engineering Pvt LTD"/>
    <s v="LDN"/>
    <n v="31.5"/>
    <n v="5"/>
    <s v="LDN"/>
    <n v="155"/>
    <x v="0"/>
    <n v="3"/>
    <n v="162.68"/>
    <n v="1.2000000000000002"/>
    <n v="16"/>
    <x v="0"/>
    <n v="161.48000000000002"/>
    <n v="161.48000000000002"/>
    <n v="5"/>
    <x v="0"/>
    <x v="0"/>
    <n v="5"/>
    <n v="8.3333333333333329E-2"/>
    <x v="0"/>
    <x v="0"/>
    <m/>
    <x v="0"/>
    <x v="0"/>
    <x v="0"/>
    <x v="0"/>
    <x v="0"/>
    <n v="0"/>
    <n v="0"/>
    <n v="8.3333333333333329E-2"/>
    <n v="11.916666666666666"/>
    <x v="1"/>
    <x v="0"/>
    <m/>
    <x v="0"/>
    <n v="167.68"/>
    <x v="0"/>
    <x v="16"/>
    <x v="6"/>
    <x v="0"/>
    <x v="0"/>
  </r>
  <r>
    <x v="1"/>
    <x v="15"/>
    <s v="5960 J"/>
    <x v="176"/>
    <s v="Anwar Aslam Cloth Azam Market Lahore"/>
    <s v="LDN"/>
    <n v="26"/>
    <s v="7-7.5"/>
    <s v="LDN"/>
    <n v="250"/>
    <x v="0"/>
    <n v="5"/>
    <n v="271.35999999999996"/>
    <n v="16"/>
    <n v="8.1199999999999992"/>
    <x v="0"/>
    <n v="255.35999999999996"/>
    <n v="255.35999999999996"/>
    <n v="5"/>
    <x v="0"/>
    <x v="0"/>
    <n v="5"/>
    <n v="8.3333333333333329E-2"/>
    <x v="0"/>
    <x v="0"/>
    <m/>
    <x v="0"/>
    <x v="0"/>
    <x v="0"/>
    <x v="0"/>
    <x v="0"/>
    <n v="0"/>
    <n v="0"/>
    <n v="8.3333333333333329E-2"/>
    <n v="11.916666666666666"/>
    <x v="1"/>
    <x v="0"/>
    <m/>
    <x v="0"/>
    <n v="276.35999999999996"/>
    <x v="0"/>
    <x v="16"/>
    <x v="6"/>
    <x v="0"/>
    <x v="0"/>
  </r>
  <r>
    <x v="1"/>
    <x v="15"/>
    <s v="5959 J"/>
    <x v="176"/>
    <s v="Anwar Aslam Cloth Azam Market Lahore"/>
    <s v="LDN"/>
    <n v="25"/>
    <s v="7-7.5"/>
    <s v="LDN"/>
    <n v="250"/>
    <x v="0"/>
    <n v="5"/>
    <n v="272.26"/>
    <n v="15.5"/>
    <m/>
    <x v="0"/>
    <n v="256.76"/>
    <n v="256.76"/>
    <n v="5"/>
    <x v="0"/>
    <x v="0"/>
    <n v="5"/>
    <n v="8.3333333333333329E-2"/>
    <x v="0"/>
    <x v="0"/>
    <m/>
    <x v="0"/>
    <x v="0"/>
    <x v="0"/>
    <x v="0"/>
    <x v="0"/>
    <n v="0"/>
    <n v="0"/>
    <n v="8.3333333333333329E-2"/>
    <n v="11.916666666666666"/>
    <x v="1"/>
    <x v="0"/>
    <m/>
    <x v="0"/>
    <n v="277.26"/>
    <x v="0"/>
    <x v="16"/>
    <x v="6"/>
    <x v="0"/>
    <x v="0"/>
  </r>
  <r>
    <x v="1"/>
    <x v="15"/>
    <s v="PACKING"/>
    <x v="176"/>
    <s v="-"/>
    <m/>
    <m/>
    <m/>
    <m/>
    <m/>
    <x v="0"/>
    <n v="1"/>
    <n v="64.8"/>
    <n v="3.4"/>
    <m/>
    <x v="0"/>
    <n v="61.4"/>
    <n v="2074.5"/>
    <m/>
    <x v="0"/>
    <x v="0"/>
    <n v="0"/>
    <n v="0"/>
    <x v="0"/>
    <x v="0"/>
    <m/>
    <x v="0"/>
    <x v="0"/>
    <x v="0"/>
    <x v="0"/>
    <x v="0"/>
    <n v="0"/>
    <n v="0"/>
    <n v="0"/>
    <n v="12"/>
    <x v="1"/>
    <x v="0"/>
    <m/>
    <x v="0"/>
    <n v="69.8"/>
    <x v="0"/>
    <x v="16"/>
    <x v="6"/>
    <x v="0"/>
    <x v="0"/>
  </r>
  <r>
    <x v="0"/>
    <x v="14"/>
    <s v="5847 J"/>
    <x v="177"/>
    <s v="Waseem Shoper House Lahore"/>
    <s v="LDN"/>
    <n v="35"/>
    <s v="9-9.5"/>
    <s v="LDN"/>
    <n v="100"/>
    <x v="0"/>
    <n v="1"/>
    <n v="111.6"/>
    <n v="4.2"/>
    <n v="85"/>
    <x v="0"/>
    <n v="107.39999999999999"/>
    <n v="107.39999999999999"/>
    <m/>
    <x v="0"/>
    <x v="0"/>
    <n v="0"/>
    <n v="0"/>
    <x v="0"/>
    <x v="0"/>
    <m/>
    <x v="0"/>
    <x v="0"/>
    <x v="0"/>
    <x v="0"/>
    <x v="0"/>
    <n v="0"/>
    <n v="0"/>
    <n v="0"/>
    <n v="12"/>
    <x v="1"/>
    <x v="0"/>
    <m/>
    <x v="0"/>
    <n v="116.6"/>
    <x v="0"/>
    <x v="16"/>
    <x v="6"/>
    <x v="0"/>
    <x v="0"/>
  </r>
  <r>
    <x v="0"/>
    <x v="14"/>
    <s v="2567 F"/>
    <x v="177"/>
    <s v="Usman Amin"/>
    <s v="LDN"/>
    <n v="34"/>
    <s v="7-7.5"/>
    <s v="LDN"/>
    <n v="75"/>
    <x v="0"/>
    <n v="1"/>
    <n v="83.28"/>
    <n v="3.4"/>
    <m/>
    <x v="0"/>
    <n v="79.88"/>
    <n v="141.38"/>
    <m/>
    <x v="0"/>
    <x v="0"/>
    <n v="0"/>
    <n v="0"/>
    <x v="0"/>
    <x v="0"/>
    <m/>
    <x v="0"/>
    <x v="0"/>
    <x v="0"/>
    <x v="0"/>
    <x v="0"/>
    <n v="0"/>
    <n v="0"/>
    <n v="0"/>
    <n v="12"/>
    <x v="1"/>
    <x v="0"/>
    <m/>
    <x v="0"/>
    <n v="88.28"/>
    <x v="0"/>
    <x v="16"/>
    <x v="6"/>
    <x v="0"/>
    <x v="0"/>
  </r>
  <r>
    <x v="0"/>
    <x v="14"/>
    <s v="6003 J"/>
    <x v="177"/>
    <s v="Berger Paint Lahore"/>
    <s v="LD پیلا"/>
    <n v="18"/>
    <s v="-"/>
    <s v="LDM"/>
    <n v="3000"/>
    <x v="0"/>
    <n v="4"/>
    <n v="387.82000000000005"/>
    <n v="8.8000000000000007"/>
    <m/>
    <x v="0"/>
    <n v="379.02000000000004"/>
    <n v="3166.47"/>
    <m/>
    <x v="0"/>
    <x v="0"/>
    <n v="0"/>
    <n v="0"/>
    <x v="0"/>
    <x v="0"/>
    <m/>
    <x v="0"/>
    <x v="0"/>
    <x v="0"/>
    <x v="0"/>
    <x v="0"/>
    <n v="0"/>
    <n v="0"/>
    <n v="0"/>
    <n v="12"/>
    <x v="1"/>
    <x v="0"/>
    <m/>
    <x v="0"/>
    <n v="392.82000000000005"/>
    <x v="0"/>
    <x v="16"/>
    <x v="6"/>
    <x v="0"/>
    <x v="0"/>
  </r>
  <r>
    <x v="1"/>
    <x v="14"/>
    <s v="6003 J"/>
    <x v="177"/>
    <s v="Berger Paint Lahore"/>
    <s v="LD پیلا"/>
    <n v="18"/>
    <s v="-"/>
    <s v="LDM"/>
    <n v="3000"/>
    <x v="0"/>
    <n v="5"/>
    <n v="771.2"/>
    <n v="11"/>
    <n v="15"/>
    <x v="0"/>
    <n v="760.2"/>
    <n v="3166.47"/>
    <m/>
    <x v="0"/>
    <x v="0"/>
    <n v="0"/>
    <n v="0"/>
    <x v="0"/>
    <x v="0"/>
    <m/>
    <x v="0"/>
    <x v="0"/>
    <x v="0"/>
    <x v="0"/>
    <x v="0"/>
    <n v="0"/>
    <n v="0"/>
    <n v="0"/>
    <n v="12"/>
    <x v="1"/>
    <x v="0"/>
    <m/>
    <x v="0"/>
    <n v="776.2"/>
    <x v="0"/>
    <x v="16"/>
    <x v="6"/>
    <x v="0"/>
    <x v="0"/>
  </r>
  <r>
    <x v="0"/>
    <x v="9"/>
    <s v="2824/3"/>
    <x v="177"/>
    <s v="PT-02"/>
    <s v="LDN"/>
    <n v="14"/>
    <n v="14"/>
    <s v="LDN"/>
    <n v="1500"/>
    <x v="0"/>
    <n v="6"/>
    <n v="400.09999999999997"/>
    <n v="12"/>
    <m/>
    <x v="0"/>
    <n v="388.09999999999997"/>
    <n v="1616.5"/>
    <m/>
    <x v="0"/>
    <x v="0"/>
    <n v="0"/>
    <n v="0"/>
    <x v="0"/>
    <x v="0"/>
    <m/>
    <x v="0"/>
    <x v="0"/>
    <x v="0"/>
    <x v="0"/>
    <x v="0"/>
    <n v="0"/>
    <n v="0"/>
    <n v="0"/>
    <n v="12"/>
    <x v="1"/>
    <x v="0"/>
    <m/>
    <x v="0"/>
    <n v="405.09999999999997"/>
    <x v="0"/>
    <x v="16"/>
    <x v="6"/>
    <x v="0"/>
    <x v="0"/>
  </r>
  <r>
    <x v="1"/>
    <x v="9"/>
    <s v="2824/3"/>
    <x v="177"/>
    <s v="PT-02"/>
    <s v="LDN"/>
    <n v="14"/>
    <n v="14"/>
    <s v="LDN"/>
    <n v="1500"/>
    <x v="0"/>
    <n v="5"/>
    <n v="338.68"/>
    <n v="8.5"/>
    <m/>
    <x v="0"/>
    <n v="330.18"/>
    <n v="1616.5"/>
    <m/>
    <x v="0"/>
    <x v="0"/>
    <n v="0"/>
    <n v="0"/>
    <x v="0"/>
    <x v="0"/>
    <m/>
    <x v="0"/>
    <x v="0"/>
    <x v="0"/>
    <x v="0"/>
    <x v="0"/>
    <n v="0"/>
    <n v="0"/>
    <n v="0"/>
    <n v="12"/>
    <x v="1"/>
    <x v="0"/>
    <m/>
    <x v="0"/>
    <n v="343.68"/>
    <x v="0"/>
    <x v="16"/>
    <x v="6"/>
    <x v="0"/>
    <x v="0"/>
  </r>
  <r>
    <x v="0"/>
    <x v="11"/>
    <s v="5841 J"/>
    <x v="177"/>
    <s v="Fancy Garments Kamoki"/>
    <s v="LD اورنج"/>
    <n v="18"/>
    <s v="14-15"/>
    <s v="LDM"/>
    <n v="100"/>
    <x v="0"/>
    <n v="2"/>
    <n v="118"/>
    <n v="4"/>
    <m/>
    <x v="0"/>
    <n v="114"/>
    <n v="114"/>
    <m/>
    <x v="0"/>
    <x v="0"/>
    <n v="0"/>
    <n v="0"/>
    <x v="0"/>
    <x v="0"/>
    <m/>
    <x v="0"/>
    <x v="0"/>
    <x v="0"/>
    <x v="0"/>
    <x v="0"/>
    <n v="0"/>
    <n v="0"/>
    <n v="0"/>
    <n v="12"/>
    <x v="1"/>
    <x v="0"/>
    <m/>
    <x v="0"/>
    <n v="123"/>
    <x v="0"/>
    <x v="16"/>
    <x v="6"/>
    <x v="0"/>
    <x v="0"/>
  </r>
  <r>
    <x v="0"/>
    <x v="11"/>
    <s v="5844 J"/>
    <x v="177"/>
    <s v="Fancy Garments Kamoki"/>
    <s v="LD سی گرین"/>
    <n v="18"/>
    <s v="13-14"/>
    <s v="LDM"/>
    <n v="200"/>
    <x v="0"/>
    <n v="2"/>
    <n v="150"/>
    <n v="4"/>
    <m/>
    <x v="0"/>
    <n v="146"/>
    <n v="255.5"/>
    <m/>
    <x v="0"/>
    <x v="0"/>
    <n v="0"/>
    <n v="0"/>
    <x v="0"/>
    <x v="0"/>
    <m/>
    <x v="0"/>
    <x v="0"/>
    <x v="0"/>
    <x v="0"/>
    <x v="0"/>
    <n v="0"/>
    <n v="0"/>
    <n v="0"/>
    <n v="12"/>
    <x v="1"/>
    <x v="0"/>
    <m/>
    <x v="0"/>
    <n v="155"/>
    <x v="0"/>
    <x v="16"/>
    <x v="6"/>
    <x v="0"/>
    <x v="0"/>
  </r>
  <r>
    <x v="0"/>
    <x v="11"/>
    <s v="5844 J"/>
    <x v="177"/>
    <s v="Fancy Garments Kamoki"/>
    <s v="LD سی گرین"/>
    <n v="18"/>
    <s v="13-14"/>
    <s v="LDM"/>
    <n v="200"/>
    <x v="0"/>
    <n v="1"/>
    <n v="44.7"/>
    <n v="1.8"/>
    <n v="40"/>
    <x v="0"/>
    <n v="42.900000000000006"/>
    <n v="255.5"/>
    <m/>
    <x v="0"/>
    <x v="0"/>
    <n v="0"/>
    <n v="0"/>
    <x v="0"/>
    <x v="0"/>
    <m/>
    <x v="0"/>
    <x v="0"/>
    <x v="0"/>
    <x v="0"/>
    <x v="0"/>
    <n v="0"/>
    <n v="0"/>
    <n v="0"/>
    <n v="12"/>
    <x v="1"/>
    <x v="0"/>
    <m/>
    <x v="0"/>
    <n v="49.7"/>
    <x v="0"/>
    <x v="16"/>
    <x v="6"/>
    <x v="0"/>
    <x v="0"/>
  </r>
  <r>
    <x v="1"/>
    <x v="11"/>
    <s v="5970 J"/>
    <x v="177"/>
    <s v="Sahibzada Printers Saray Norang"/>
    <s v="LD سی گرین"/>
    <s v="12+3+3"/>
    <s v="7.5-8/14-15"/>
    <s v="LDM"/>
    <n v="110"/>
    <x v="0"/>
    <n v="3"/>
    <n v="112.56"/>
    <n v="3.9000000000000004"/>
    <n v="60"/>
    <x v="0"/>
    <n v="108.66"/>
    <n v="108.66"/>
    <m/>
    <x v="0"/>
    <x v="0"/>
    <n v="0"/>
    <n v="0"/>
    <x v="0"/>
    <x v="0"/>
    <m/>
    <x v="0"/>
    <x v="0"/>
    <x v="0"/>
    <x v="0"/>
    <x v="0"/>
    <n v="0"/>
    <n v="0"/>
    <n v="0"/>
    <n v="12"/>
    <x v="1"/>
    <x v="0"/>
    <m/>
    <x v="0"/>
    <n v="117.56"/>
    <x v="0"/>
    <x v="16"/>
    <x v="6"/>
    <x v="0"/>
    <x v="0"/>
  </r>
  <r>
    <x v="1"/>
    <x v="11"/>
    <s v="5972 J"/>
    <x v="177"/>
    <s v="Sahibzada Printers Saray Norang"/>
    <s v="LD  گرین"/>
    <s v="12+3+3"/>
    <s v="7.5-8/14-15"/>
    <s v="LDM"/>
    <n v="110"/>
    <x v="0"/>
    <n v="3"/>
    <n v="124.80000000000001"/>
    <n v="4.5"/>
    <m/>
    <x v="0"/>
    <n v="120.30000000000001"/>
    <n v="120.30000000000001"/>
    <m/>
    <x v="0"/>
    <x v="0"/>
    <n v="0"/>
    <n v="0"/>
    <x v="0"/>
    <x v="0"/>
    <m/>
    <x v="0"/>
    <x v="0"/>
    <x v="0"/>
    <x v="0"/>
    <x v="0"/>
    <n v="0"/>
    <n v="0"/>
    <n v="0"/>
    <n v="12"/>
    <x v="1"/>
    <x v="0"/>
    <m/>
    <x v="0"/>
    <n v="129.80000000000001"/>
    <x v="0"/>
    <x v="16"/>
    <x v="6"/>
    <x v="0"/>
    <x v="0"/>
  </r>
  <r>
    <x v="1"/>
    <x v="11"/>
    <s v="5844 J"/>
    <x v="177"/>
    <s v="Fancy Garments Kamoki"/>
    <s v="LD سی گرین"/>
    <n v="18"/>
    <s v="13-14"/>
    <s v="LDM"/>
    <n v="200"/>
    <x v="0"/>
    <n v="1"/>
    <n v="68.7"/>
    <n v="2.1"/>
    <m/>
    <x v="0"/>
    <n v="66.600000000000009"/>
    <n v="255.5"/>
    <m/>
    <x v="0"/>
    <x v="0"/>
    <n v="0"/>
    <n v="0"/>
    <x v="0"/>
    <x v="0"/>
    <m/>
    <x v="0"/>
    <x v="0"/>
    <x v="0"/>
    <x v="0"/>
    <x v="0"/>
    <n v="0"/>
    <n v="0"/>
    <n v="0"/>
    <n v="12"/>
    <x v="1"/>
    <x v="0"/>
    <m/>
    <x v="0"/>
    <n v="73.7"/>
    <x v="0"/>
    <x v="16"/>
    <x v="6"/>
    <x v="0"/>
    <x v="0"/>
  </r>
  <r>
    <x v="1"/>
    <x v="11"/>
    <s v="5971 J"/>
    <x v="177"/>
    <s v="Sahibzada Printers Saray Norang"/>
    <s v="LD  گرین"/>
    <s v="10+3+3"/>
    <s v="7.5-8/14-15"/>
    <s v="LDM"/>
    <n v="110"/>
    <x v="0"/>
    <n v="1"/>
    <n v="42.9"/>
    <n v="1"/>
    <m/>
    <x v="0"/>
    <n v="41.9"/>
    <n v="114.19999999999999"/>
    <m/>
    <x v="0"/>
    <x v="0"/>
    <n v="0"/>
    <n v="0"/>
    <x v="0"/>
    <x v="0"/>
    <m/>
    <x v="0"/>
    <x v="0"/>
    <x v="0"/>
    <x v="0"/>
    <x v="0"/>
    <n v="0"/>
    <n v="0"/>
    <n v="0"/>
    <n v="12"/>
    <x v="1"/>
    <x v="0"/>
    <m/>
    <x v="0"/>
    <n v="47.9"/>
    <x v="0"/>
    <x v="16"/>
    <x v="6"/>
    <x v="0"/>
    <x v="0"/>
  </r>
  <r>
    <x v="0"/>
    <x v="13"/>
    <s v="5933 J"/>
    <x v="177"/>
    <s v="Usman Arif Butt Gujranwala"/>
    <s v="LDN"/>
    <n v="20"/>
    <s v="7"/>
    <s v="LDN"/>
    <n v="100"/>
    <x v="0"/>
    <n v="1"/>
    <n v="45.9"/>
    <n v="2"/>
    <m/>
    <x v="0"/>
    <n v="43.9"/>
    <n v="105.8"/>
    <m/>
    <x v="0"/>
    <x v="0"/>
    <n v="0"/>
    <n v="0"/>
    <x v="0"/>
    <x v="0"/>
    <m/>
    <x v="0"/>
    <x v="0"/>
    <x v="0"/>
    <x v="0"/>
    <x v="0"/>
    <n v="0"/>
    <n v="0"/>
    <n v="0"/>
    <n v="12"/>
    <x v="1"/>
    <x v="0"/>
    <m/>
    <x v="0"/>
    <n v="50.9"/>
    <x v="0"/>
    <x v="16"/>
    <x v="6"/>
    <x v="0"/>
    <x v="0"/>
  </r>
  <r>
    <x v="0"/>
    <x v="13"/>
    <s v="2564 F"/>
    <x v="177"/>
    <s v="Usman Amin"/>
    <s v="LDN"/>
    <n v="18"/>
    <s v="5-5.5"/>
    <s v="LDN"/>
    <n v="145"/>
    <x v="0"/>
    <n v="6"/>
    <n v="319.20000000000005"/>
    <n v="12"/>
    <n v="19"/>
    <x v="0"/>
    <n v="307.20000000000005"/>
    <n v="307.20000000000005"/>
    <m/>
    <x v="0"/>
    <x v="0"/>
    <n v="0"/>
    <n v="0"/>
    <x v="0"/>
    <x v="0"/>
    <m/>
    <x v="0"/>
    <x v="0"/>
    <x v="0"/>
    <x v="0"/>
    <x v="0"/>
    <n v="0"/>
    <n v="0"/>
    <n v="0"/>
    <n v="12"/>
    <x v="1"/>
    <x v="0"/>
    <m/>
    <x v="0"/>
    <n v="324.20000000000005"/>
    <x v="0"/>
    <x v="16"/>
    <x v="6"/>
    <x v="0"/>
    <x v="0"/>
  </r>
  <r>
    <x v="1"/>
    <x v="13"/>
    <s v="2558 F"/>
    <x v="177"/>
    <s v="Usman Amin"/>
    <s v="LDN"/>
    <n v="18"/>
    <s v="5-5.5"/>
    <s v="LDN"/>
    <n v="500"/>
    <x v="0"/>
    <n v="6"/>
    <n v="374"/>
    <n v="12.600000000000001"/>
    <n v="8"/>
    <x v="0"/>
    <n v="361.4"/>
    <n v="501.09999999999997"/>
    <m/>
    <x v="0"/>
    <x v="0"/>
    <n v="0"/>
    <n v="0"/>
    <x v="0"/>
    <x v="0"/>
    <m/>
    <x v="0"/>
    <x v="0"/>
    <x v="0"/>
    <x v="0"/>
    <x v="0"/>
    <n v="0"/>
    <n v="0"/>
    <n v="0"/>
    <n v="12"/>
    <x v="1"/>
    <x v="0"/>
    <m/>
    <x v="0"/>
    <n v="379"/>
    <x v="0"/>
    <x v="16"/>
    <x v="6"/>
    <x v="0"/>
    <x v="0"/>
  </r>
  <r>
    <x v="0"/>
    <x v="12"/>
    <s v="2823/2"/>
    <x v="177"/>
    <s v="C/O JAVAID SB"/>
    <s v="LDN"/>
    <n v="42"/>
    <n v="3"/>
    <s v="LDN"/>
    <n v="0"/>
    <x v="0"/>
    <n v="41"/>
    <n v="1079.8800000000001"/>
    <m/>
    <n v="45"/>
    <x v="0"/>
    <n v="1079.8800000000001"/>
    <n v="30037.069999999996"/>
    <m/>
    <x v="0"/>
    <x v="0"/>
    <n v="0"/>
    <n v="0"/>
    <x v="0"/>
    <x v="0"/>
    <m/>
    <x v="0"/>
    <x v="0"/>
    <x v="0"/>
    <x v="0"/>
    <x v="0"/>
    <n v="0"/>
    <n v="0"/>
    <n v="0"/>
    <n v="12"/>
    <x v="1"/>
    <x v="0"/>
    <m/>
    <x v="0"/>
    <n v="1084.8800000000001"/>
    <x v="0"/>
    <x v="16"/>
    <x v="6"/>
    <x v="0"/>
    <x v="0"/>
  </r>
  <r>
    <x v="1"/>
    <x v="12"/>
    <s v="2823/2"/>
    <x v="177"/>
    <s v="C/O JAVAID SB"/>
    <s v="LDN"/>
    <n v="42"/>
    <n v="3"/>
    <s v="LDN"/>
    <n v="0"/>
    <x v="0"/>
    <n v="35"/>
    <n v="919.98000000000025"/>
    <m/>
    <n v="20"/>
    <x v="0"/>
    <n v="919.98000000000025"/>
    <n v="30037.069999999996"/>
    <m/>
    <x v="0"/>
    <x v="0"/>
    <n v="0"/>
    <n v="0"/>
    <x v="0"/>
    <x v="0"/>
    <m/>
    <x v="0"/>
    <x v="0"/>
    <x v="0"/>
    <x v="0"/>
    <x v="0"/>
    <n v="0"/>
    <n v="0"/>
    <n v="0"/>
    <n v="12"/>
    <x v="1"/>
    <x v="0"/>
    <m/>
    <x v="0"/>
    <n v="924.98000000000025"/>
    <x v="0"/>
    <x v="16"/>
    <x v="6"/>
    <x v="0"/>
    <x v="0"/>
  </r>
  <r>
    <x v="0"/>
    <x v="15"/>
    <s v="2829/1"/>
    <x v="177"/>
    <s v="MATCO FOOD"/>
    <s v="SL"/>
    <s v="29-29.5"/>
    <s v="85±2"/>
    <s v="LDN"/>
    <n v="5950"/>
    <x v="0"/>
    <n v="4"/>
    <n v="455.64"/>
    <n v="21"/>
    <n v="14"/>
    <x v="0"/>
    <n v="434.64"/>
    <n v="5008.4199999999992"/>
    <n v="5"/>
    <x v="0"/>
    <x v="0"/>
    <n v="5"/>
    <n v="8.3333333333333329E-2"/>
    <x v="0"/>
    <x v="0"/>
    <m/>
    <x v="0"/>
    <x v="0"/>
    <x v="0"/>
    <x v="0"/>
    <x v="0"/>
    <n v="0"/>
    <n v="0"/>
    <n v="8.3333333333333329E-2"/>
    <n v="11.916666666666666"/>
    <x v="1"/>
    <x v="0"/>
    <m/>
    <x v="0"/>
    <n v="460.64"/>
    <x v="0"/>
    <x v="16"/>
    <x v="6"/>
    <x v="0"/>
    <x v="0"/>
  </r>
  <r>
    <x v="1"/>
    <x v="15"/>
    <s v="6000 J"/>
    <x v="177"/>
    <s v="Hamza Plastic Peshawar"/>
    <s v="LDN"/>
    <s v="13+3.5+3.5"/>
    <s v="8-8.5"/>
    <s v="LDN"/>
    <n v="400"/>
    <x v="0"/>
    <n v="7"/>
    <n v="440.67"/>
    <n v="17.5"/>
    <n v="8.9"/>
    <x v="0"/>
    <n v="423.17"/>
    <n v="423.17"/>
    <m/>
    <x v="0"/>
    <x v="0"/>
    <n v="0"/>
    <n v="0"/>
    <x v="0"/>
    <x v="0"/>
    <m/>
    <x v="0"/>
    <x v="0"/>
    <x v="0"/>
    <x v="0"/>
    <x v="0"/>
    <n v="0"/>
    <n v="0"/>
    <n v="0"/>
    <n v="12"/>
    <x v="1"/>
    <x v="0"/>
    <m/>
    <x v="0"/>
    <n v="445.67"/>
    <x v="0"/>
    <x v="16"/>
    <x v="6"/>
    <x v="0"/>
    <x v="0"/>
  </r>
  <r>
    <x v="1"/>
    <x v="15"/>
    <s v="5988 J"/>
    <x v="177"/>
    <s v="Leather Tex Tarnery LTD"/>
    <s v="LDN"/>
    <n v="18"/>
    <s v="11-11.5"/>
    <s v="LDN"/>
    <n v="300"/>
    <x v="0"/>
    <n v="1"/>
    <n v="50.23"/>
    <n v="2.2999999999999998"/>
    <m/>
    <x v="0"/>
    <n v="47.93"/>
    <n v="304.22000000000003"/>
    <m/>
    <x v="0"/>
    <x v="0"/>
    <n v="0"/>
    <n v="0"/>
    <x v="0"/>
    <x v="0"/>
    <m/>
    <x v="0"/>
    <x v="0"/>
    <x v="0"/>
    <x v="0"/>
    <x v="0"/>
    <n v="0"/>
    <n v="0"/>
    <n v="0"/>
    <n v="12"/>
    <x v="1"/>
    <x v="0"/>
    <m/>
    <x v="0"/>
    <n v="55.23"/>
    <x v="0"/>
    <x v="16"/>
    <x v="6"/>
    <x v="0"/>
    <x v="0"/>
  </r>
  <r>
    <x v="0"/>
    <x v="9"/>
    <s v="2824/3"/>
    <x v="178"/>
    <s v="PT-02"/>
    <s v="LDN"/>
    <n v="14"/>
    <n v="14"/>
    <s v="LDN"/>
    <n v="1500"/>
    <x v="0"/>
    <n v="2"/>
    <n v="138.80000000000001"/>
    <n v="3.4"/>
    <n v="3"/>
    <x v="0"/>
    <n v="135.4"/>
    <n v="1616.5"/>
    <m/>
    <x v="0"/>
    <x v="0"/>
    <n v="0"/>
    <n v="0"/>
    <x v="0"/>
    <x v="0"/>
    <m/>
    <x v="0"/>
    <x v="0"/>
    <x v="0"/>
    <x v="0"/>
    <x v="0"/>
    <n v="0"/>
    <n v="0"/>
    <n v="0"/>
    <n v="12"/>
    <x v="1"/>
    <x v="0"/>
    <m/>
    <x v="0"/>
    <n v="143.80000000000001"/>
    <x v="0"/>
    <x v="16"/>
    <x v="6"/>
    <x v="0"/>
    <x v="0"/>
  </r>
  <r>
    <x v="0"/>
    <x v="9"/>
    <s v="5898 J"/>
    <x v="178"/>
    <s v="Milkan Dairy PVT LTD"/>
    <s v="LDM"/>
    <s v="170 MM"/>
    <s v="15-16"/>
    <s v="LDM"/>
    <n v="100"/>
    <x v="0"/>
    <n v="2"/>
    <n v="71.5"/>
    <n v="1.8"/>
    <m/>
    <x v="0"/>
    <n v="69.7"/>
    <n v="113.54"/>
    <m/>
    <x v="0"/>
    <x v="0"/>
    <n v="0"/>
    <n v="0"/>
    <x v="0"/>
    <x v="0"/>
    <m/>
    <x v="0"/>
    <x v="0"/>
    <x v="0"/>
    <x v="0"/>
    <x v="0"/>
    <n v="0"/>
    <n v="0"/>
    <n v="0"/>
    <n v="12"/>
    <x v="1"/>
    <x v="0"/>
    <m/>
    <x v="0"/>
    <n v="76.5"/>
    <x v="0"/>
    <x v="16"/>
    <x v="6"/>
    <x v="0"/>
    <x v="0"/>
  </r>
  <r>
    <x v="1"/>
    <x v="9"/>
    <s v="5898 J"/>
    <x v="178"/>
    <s v="Milkan Dairy PVT LTD"/>
    <s v="LDM"/>
    <s v="170 MM"/>
    <s v="15-16"/>
    <s v="LDM"/>
    <n v="100"/>
    <x v="0"/>
    <n v="1"/>
    <n v="45.64"/>
    <n v="1.8"/>
    <n v="2"/>
    <x v="0"/>
    <n v="43.84"/>
    <n v="113.54"/>
    <n v="5"/>
    <x v="0"/>
    <x v="0"/>
    <n v="5"/>
    <n v="8.3333333333333329E-2"/>
    <x v="0"/>
    <x v="0"/>
    <m/>
    <x v="0"/>
    <x v="0"/>
    <x v="0"/>
    <x v="0"/>
    <x v="0"/>
    <n v="0"/>
    <n v="0"/>
    <n v="8.3333333333333329E-2"/>
    <n v="11.916666666666666"/>
    <x v="1"/>
    <x v="0"/>
    <m/>
    <x v="0"/>
    <n v="50.64"/>
    <x v="0"/>
    <x v="16"/>
    <x v="6"/>
    <x v="0"/>
    <x v="0"/>
  </r>
  <r>
    <x v="1"/>
    <x v="9"/>
    <s v="5997 J"/>
    <x v="178"/>
    <s v="Moazmi Plastic Sahiwal "/>
    <s v="LDM"/>
    <n v="7"/>
    <n v="18"/>
    <s v="LDM"/>
    <n v="100"/>
    <x v="0"/>
    <n v="2"/>
    <n v="110.9"/>
    <n v="1.8"/>
    <m/>
    <x v="0"/>
    <n v="109.10000000000001"/>
    <n v="109.10000000000001"/>
    <m/>
    <x v="0"/>
    <x v="0"/>
    <n v="0"/>
    <n v="0"/>
    <x v="0"/>
    <x v="0"/>
    <m/>
    <x v="0"/>
    <x v="0"/>
    <x v="0"/>
    <x v="0"/>
    <x v="0"/>
    <n v="0"/>
    <n v="0"/>
    <n v="0"/>
    <n v="12"/>
    <x v="1"/>
    <x v="0"/>
    <m/>
    <x v="0"/>
    <n v="115.9"/>
    <x v="0"/>
    <x v="16"/>
    <x v="6"/>
    <x v="0"/>
    <x v="0"/>
  </r>
  <r>
    <x v="1"/>
    <x v="9"/>
    <s v="5996 J"/>
    <x v="178"/>
    <s v="Moazmi Plastic Sahiwal "/>
    <s v="LDM"/>
    <n v="7"/>
    <n v="18"/>
    <s v="LDM"/>
    <n v="100"/>
    <x v="0"/>
    <n v="1"/>
    <n v="54.5"/>
    <n v="0.8"/>
    <m/>
    <x v="0"/>
    <n v="53.7"/>
    <n v="103.4"/>
    <m/>
    <x v="0"/>
    <x v="0"/>
    <n v="0"/>
    <n v="0"/>
    <x v="0"/>
    <x v="0"/>
    <m/>
    <x v="0"/>
    <x v="0"/>
    <x v="0"/>
    <x v="0"/>
    <x v="0"/>
    <n v="0"/>
    <n v="0"/>
    <n v="0"/>
    <n v="12"/>
    <x v="1"/>
    <x v="0"/>
    <m/>
    <x v="0"/>
    <n v="59.5"/>
    <x v="0"/>
    <x v="16"/>
    <x v="6"/>
    <x v="0"/>
    <x v="0"/>
  </r>
  <r>
    <x v="0"/>
    <x v="11"/>
    <s v="5971 J"/>
    <x v="178"/>
    <s v="Sahibzada Printers Saray Norang"/>
    <s v="LD  گرین"/>
    <s v="10+3+3"/>
    <s v="7.5-8/14-15"/>
    <s v="LDM"/>
    <n v="110"/>
    <x v="0"/>
    <n v="2"/>
    <n v="74.699999999999989"/>
    <n v="2.4"/>
    <m/>
    <x v="0"/>
    <n v="72.299999999999983"/>
    <n v="114.19999999999999"/>
    <m/>
    <x v="0"/>
    <x v="0"/>
    <n v="0"/>
    <n v="0"/>
    <x v="0"/>
    <x v="0"/>
    <m/>
    <x v="0"/>
    <x v="0"/>
    <x v="0"/>
    <x v="0"/>
    <x v="0"/>
    <n v="0"/>
    <n v="0"/>
    <n v="0"/>
    <n v="12"/>
    <x v="1"/>
    <x v="0"/>
    <m/>
    <x v="0"/>
    <n v="79.699999999999989"/>
    <x v="0"/>
    <x v="16"/>
    <x v="6"/>
    <x v="0"/>
    <x v="0"/>
  </r>
  <r>
    <x v="0"/>
    <x v="11"/>
    <s v="2573 F"/>
    <x v="178"/>
    <s v="Usman Amin"/>
    <s v="LD بلو"/>
    <s v="12+3.5+3.5"/>
    <s v="8/16"/>
    <s v="LD بلو"/>
    <n v="115"/>
    <x v="0"/>
    <n v="3"/>
    <n v="126.7"/>
    <n v="4.5"/>
    <m/>
    <x v="0"/>
    <n v="122.2"/>
    <n v="122.2"/>
    <m/>
    <x v="0"/>
    <x v="0"/>
    <n v="0"/>
    <n v="0"/>
    <x v="0"/>
    <x v="0"/>
    <m/>
    <x v="0"/>
    <x v="0"/>
    <x v="0"/>
    <x v="0"/>
    <x v="0"/>
    <n v="0"/>
    <n v="0"/>
    <n v="0"/>
    <n v="12"/>
    <x v="1"/>
    <x v="0"/>
    <m/>
    <x v="0"/>
    <n v="131.69999999999999"/>
    <x v="0"/>
    <x v="16"/>
    <x v="6"/>
    <x v="0"/>
    <x v="0"/>
  </r>
  <r>
    <x v="0"/>
    <x v="11"/>
    <s v="2572 F"/>
    <x v="178"/>
    <s v="Usman Amin"/>
    <s v="LDM"/>
    <s v="12+3.5+3.5"/>
    <s v="8/16"/>
    <s v="LDM"/>
    <n v="100"/>
    <x v="0"/>
    <n v="3"/>
    <n v="120.2"/>
    <n v="4.5"/>
    <m/>
    <x v="0"/>
    <n v="115.7"/>
    <n v="115.7"/>
    <m/>
    <x v="0"/>
    <x v="0"/>
    <n v="0"/>
    <n v="0"/>
    <x v="0"/>
    <x v="0"/>
    <m/>
    <x v="0"/>
    <x v="0"/>
    <x v="0"/>
    <x v="0"/>
    <x v="0"/>
    <n v="0"/>
    <n v="0"/>
    <n v="0"/>
    <n v="12"/>
    <x v="1"/>
    <x v="0"/>
    <m/>
    <x v="0"/>
    <n v="125.2"/>
    <x v="0"/>
    <x v="16"/>
    <x v="6"/>
    <x v="0"/>
    <x v="0"/>
  </r>
  <r>
    <x v="0"/>
    <x v="11"/>
    <s v="5987 J"/>
    <x v="178"/>
    <s v="Good Boy Shoping Mall Fortabas"/>
    <s v="LDM"/>
    <s v="12+3+3"/>
    <s v="7.5-8/15-16"/>
    <s v="LDM"/>
    <n v="125"/>
    <x v="0"/>
    <n v="1"/>
    <n v="45.2"/>
    <n v="1.5"/>
    <n v="6"/>
    <x v="0"/>
    <n v="43.7"/>
    <n v="121.28"/>
    <m/>
    <x v="0"/>
    <x v="0"/>
    <n v="0"/>
    <n v="0"/>
    <x v="0"/>
    <x v="0"/>
    <m/>
    <x v="0"/>
    <x v="0"/>
    <x v="0"/>
    <x v="0"/>
    <x v="0"/>
    <n v="0"/>
    <n v="0"/>
    <n v="0"/>
    <n v="12"/>
    <x v="1"/>
    <x v="0"/>
    <m/>
    <x v="0"/>
    <n v="50.2"/>
    <x v="0"/>
    <x v="16"/>
    <x v="6"/>
    <x v="0"/>
    <x v="0"/>
  </r>
  <r>
    <x v="1"/>
    <x v="11"/>
    <s v="5987 J"/>
    <x v="178"/>
    <s v="Good Boy Shoping Mall Fortabas"/>
    <s v="LDM"/>
    <s v="12+3+3"/>
    <s v="7.5-8/15-16"/>
    <s v="LDM"/>
    <n v="125"/>
    <x v="0"/>
    <n v="2"/>
    <n v="80.28"/>
    <n v="2.7"/>
    <n v="4"/>
    <x v="0"/>
    <n v="77.58"/>
    <n v="121.28"/>
    <n v="5"/>
    <x v="0"/>
    <x v="0"/>
    <n v="5"/>
    <n v="8.3333333333333329E-2"/>
    <x v="0"/>
    <x v="0"/>
    <m/>
    <x v="0"/>
    <x v="0"/>
    <x v="0"/>
    <x v="0"/>
    <x v="0"/>
    <n v="0"/>
    <n v="0"/>
    <n v="8.3333333333333329E-2"/>
    <n v="11.916666666666666"/>
    <x v="1"/>
    <x v="0"/>
    <m/>
    <x v="0"/>
    <n v="85.28"/>
    <x v="0"/>
    <x v="16"/>
    <x v="6"/>
    <x v="0"/>
    <x v="0"/>
  </r>
  <r>
    <x v="1"/>
    <x v="11"/>
    <s v="5998 J"/>
    <x v="178"/>
    <s v="Paizar Foot Wear Peshawar"/>
    <s v="LDM"/>
    <s v="12+3+3"/>
    <s v="9-9.8/18-19"/>
    <s v="LDM"/>
    <n v="170"/>
    <x v="0"/>
    <n v="5"/>
    <n v="179.9"/>
    <n v="6.75"/>
    <m/>
    <x v="0"/>
    <n v="173.15"/>
    <n v="173.15"/>
    <n v="5"/>
    <x v="0"/>
    <x v="0"/>
    <n v="5"/>
    <n v="8.3333333333333329E-2"/>
    <x v="0"/>
    <x v="0"/>
    <m/>
    <x v="0"/>
    <x v="0"/>
    <x v="0"/>
    <x v="0"/>
    <x v="0"/>
    <n v="0"/>
    <n v="0"/>
    <n v="8.3333333333333329E-2"/>
    <n v="11.916666666666666"/>
    <x v="1"/>
    <x v="0"/>
    <m/>
    <x v="0"/>
    <n v="184.9"/>
    <x v="0"/>
    <x v="16"/>
    <x v="6"/>
    <x v="0"/>
    <x v="0"/>
  </r>
  <r>
    <x v="1"/>
    <x v="11"/>
    <s v="5986 J"/>
    <x v="178"/>
    <s v="Good Boy Shoping Mall Fortabas"/>
    <s v="LDM"/>
    <s v="10+3+3"/>
    <s v="7.5-8/15-16"/>
    <s v="LDM"/>
    <n v="125"/>
    <x v="0"/>
    <n v="4"/>
    <n v="137.13999999999999"/>
    <n v="4"/>
    <m/>
    <x v="0"/>
    <n v="133.13999999999999"/>
    <n v="133.13999999999999"/>
    <n v="5"/>
    <x v="0"/>
    <x v="0"/>
    <n v="5"/>
    <n v="8.3333333333333329E-2"/>
    <x v="0"/>
    <x v="0"/>
    <m/>
    <x v="0"/>
    <x v="0"/>
    <x v="0"/>
    <x v="0"/>
    <x v="0"/>
    <n v="0"/>
    <n v="0"/>
    <n v="8.3333333333333329E-2"/>
    <n v="11.916666666666666"/>
    <x v="1"/>
    <x v="0"/>
    <m/>
    <x v="0"/>
    <n v="142.13999999999999"/>
    <x v="0"/>
    <x v="16"/>
    <x v="6"/>
    <x v="0"/>
    <x v="0"/>
  </r>
  <r>
    <x v="1"/>
    <x v="11"/>
    <s v="5723 J"/>
    <x v="178"/>
    <s v="Afnan Printing Press ButtKhela "/>
    <s v="LDM"/>
    <n v="18"/>
    <s v="13X14"/>
    <s v="LDM"/>
    <n v="100"/>
    <x v="0"/>
    <n v="1"/>
    <n v="48.2"/>
    <n v="2"/>
    <m/>
    <x v="0"/>
    <n v="46.2"/>
    <n v="324.66000000000003"/>
    <m/>
    <x v="0"/>
    <x v="0"/>
    <n v="0"/>
    <n v="0"/>
    <x v="0"/>
    <x v="0"/>
    <m/>
    <x v="0"/>
    <x v="0"/>
    <x v="0"/>
    <x v="0"/>
    <x v="0"/>
    <n v="0"/>
    <n v="0"/>
    <n v="0"/>
    <n v="12"/>
    <x v="1"/>
    <x v="0"/>
    <m/>
    <x v="0"/>
    <n v="53.2"/>
    <x v="0"/>
    <x v="16"/>
    <x v="6"/>
    <x v="0"/>
    <x v="0"/>
  </r>
  <r>
    <x v="0"/>
    <x v="13"/>
    <s v="2558 F"/>
    <x v="178"/>
    <s v="Usman Amin"/>
    <s v="LDN"/>
    <n v="18"/>
    <s v="5-5.5"/>
    <s v="LDN"/>
    <n v="500"/>
    <x v="0"/>
    <n v="2"/>
    <n v="143.69999999999999"/>
    <n v="4"/>
    <n v="7"/>
    <x v="0"/>
    <n v="139.69999999999999"/>
    <n v="501.09999999999997"/>
    <n v="5"/>
    <x v="0"/>
    <x v="0"/>
    <n v="5"/>
    <n v="8.3333333333333329E-2"/>
    <x v="0"/>
    <x v="0"/>
    <m/>
    <x v="0"/>
    <x v="0"/>
    <x v="0"/>
    <x v="0"/>
    <x v="0"/>
    <n v="0"/>
    <n v="0"/>
    <n v="8.3333333333333329E-2"/>
    <n v="11.916666666666666"/>
    <x v="1"/>
    <x v="0"/>
    <m/>
    <x v="0"/>
    <n v="148.69999999999999"/>
    <x v="0"/>
    <x v="16"/>
    <x v="6"/>
    <x v="0"/>
    <x v="0"/>
  </r>
  <r>
    <x v="0"/>
    <x v="13"/>
    <s v="2831/1"/>
    <x v="178"/>
    <s v="MATCO FOOD"/>
    <s v="LDN"/>
    <n v="23"/>
    <s v="70±2"/>
    <s v="SL"/>
    <n v="2800"/>
    <x v="0"/>
    <n v="2"/>
    <n v="210.1"/>
    <n v="5.8"/>
    <m/>
    <x v="0"/>
    <n v="204.29999999999998"/>
    <n v="3265.84"/>
    <m/>
    <x v="0"/>
    <x v="0"/>
    <n v="0"/>
    <n v="0"/>
    <x v="0"/>
    <x v="0"/>
    <m/>
    <x v="0"/>
    <x v="0"/>
    <x v="0"/>
    <x v="0"/>
    <x v="0"/>
    <n v="0"/>
    <n v="0"/>
    <n v="0"/>
    <n v="12"/>
    <x v="1"/>
    <x v="0"/>
    <m/>
    <x v="0"/>
    <n v="215.1"/>
    <x v="0"/>
    <x v="16"/>
    <x v="6"/>
    <x v="0"/>
    <x v="0"/>
  </r>
  <r>
    <x v="1"/>
    <x v="13"/>
    <s v="2831/1"/>
    <x v="178"/>
    <s v="MATCO FOOD"/>
    <s v="LDN"/>
    <n v="23"/>
    <s v="70±2"/>
    <s v="SL"/>
    <n v="2800"/>
    <x v="0"/>
    <n v="5"/>
    <n v="533.88"/>
    <n v="14.5"/>
    <n v="9"/>
    <x v="0"/>
    <n v="519.38"/>
    <n v="3265.84"/>
    <m/>
    <x v="0"/>
    <x v="0"/>
    <n v="0"/>
    <n v="0"/>
    <x v="0"/>
    <x v="0"/>
    <m/>
    <x v="0"/>
    <x v="0"/>
    <x v="0"/>
    <x v="0"/>
    <x v="0"/>
    <n v="0"/>
    <n v="0"/>
    <n v="0"/>
    <n v="12"/>
    <x v="1"/>
    <x v="0"/>
    <m/>
    <x v="0"/>
    <n v="538.88"/>
    <x v="0"/>
    <x v="16"/>
    <x v="6"/>
    <x v="0"/>
    <x v="0"/>
  </r>
  <r>
    <x v="0"/>
    <x v="12"/>
    <s v="2823/2"/>
    <x v="178"/>
    <s v="C/O JAVAID SB"/>
    <s v="LDN"/>
    <n v="42"/>
    <n v="3"/>
    <s v="LDN"/>
    <n v="0"/>
    <x v="0"/>
    <n v="16"/>
    <n v="472.6"/>
    <m/>
    <m/>
    <x v="0"/>
    <n v="472.6"/>
    <n v="30037.069999999996"/>
    <m/>
    <x v="0"/>
    <x v="0"/>
    <n v="0"/>
    <n v="0"/>
    <x v="0"/>
    <x v="0"/>
    <m/>
    <x v="0"/>
    <x v="0"/>
    <x v="0"/>
    <x v="0"/>
    <x v="0"/>
    <n v="0"/>
    <n v="0"/>
    <n v="0"/>
    <n v="12"/>
    <x v="1"/>
    <x v="0"/>
    <m/>
    <x v="0"/>
    <n v="477.6"/>
    <x v="0"/>
    <x v="16"/>
    <x v="6"/>
    <x v="0"/>
    <x v="0"/>
  </r>
  <r>
    <x v="0"/>
    <x v="12"/>
    <s v="2828/1"/>
    <x v="178"/>
    <s v="PT-02"/>
    <s v="LDN"/>
    <n v="24"/>
    <n v="10"/>
    <s v="AA"/>
    <n v="4000"/>
    <x v="0"/>
    <n v="2"/>
    <n v="167.35"/>
    <n v="4.0999999999999996"/>
    <n v="13"/>
    <x v="0"/>
    <n v="163.25"/>
    <n v="4912.3599999999997"/>
    <m/>
    <x v="0"/>
    <x v="0"/>
    <n v="0"/>
    <n v="0"/>
    <x v="0"/>
    <x v="0"/>
    <m/>
    <x v="0"/>
    <x v="0"/>
    <x v="0"/>
    <x v="0"/>
    <x v="0"/>
    <n v="0"/>
    <n v="0"/>
    <n v="0"/>
    <n v="12"/>
    <x v="1"/>
    <x v="0"/>
    <m/>
    <x v="0"/>
    <n v="172.35"/>
    <x v="0"/>
    <x v="16"/>
    <x v="6"/>
    <x v="0"/>
    <x v="0"/>
  </r>
  <r>
    <x v="1"/>
    <x v="12"/>
    <s v="2828/1"/>
    <x v="178"/>
    <s v="PT-02"/>
    <s v="LDN"/>
    <n v="24"/>
    <n v="10"/>
    <s v="AA"/>
    <n v="4000"/>
    <x v="0"/>
    <n v="6"/>
    <n v="614.38"/>
    <n v="18"/>
    <n v="9"/>
    <x v="0"/>
    <n v="596.38"/>
    <n v="4912.3599999999997"/>
    <m/>
    <x v="0"/>
    <x v="0"/>
    <n v="0"/>
    <n v="0"/>
    <x v="0"/>
    <x v="0"/>
    <m/>
    <x v="0"/>
    <x v="0"/>
    <x v="0"/>
    <x v="0"/>
    <x v="0"/>
    <n v="0"/>
    <n v="0"/>
    <n v="0"/>
    <n v="12"/>
    <x v="1"/>
    <x v="0"/>
    <m/>
    <x v="0"/>
    <n v="619.38"/>
    <x v="0"/>
    <x v="16"/>
    <x v="6"/>
    <x v="0"/>
    <x v="0"/>
  </r>
  <r>
    <x v="0"/>
    <x v="14"/>
    <s v="6003 J"/>
    <x v="178"/>
    <s v="Berger Paint Lahore"/>
    <s v="LD پیلا"/>
    <n v="18"/>
    <s v="-"/>
    <s v="LDM"/>
    <n v="3000"/>
    <x v="0"/>
    <n v="5"/>
    <n v="750.18"/>
    <n v="10.85"/>
    <n v="13"/>
    <x v="0"/>
    <n v="739.32999999999993"/>
    <n v="3166.47"/>
    <m/>
    <x v="0"/>
    <x v="0"/>
    <n v="0"/>
    <n v="0"/>
    <x v="0"/>
    <x v="0"/>
    <m/>
    <x v="0"/>
    <x v="0"/>
    <x v="0"/>
    <x v="0"/>
    <x v="0"/>
    <n v="0"/>
    <n v="0"/>
    <n v="0"/>
    <n v="12"/>
    <x v="1"/>
    <x v="0"/>
    <m/>
    <x v="0"/>
    <n v="755.18"/>
    <x v="0"/>
    <x v="16"/>
    <x v="6"/>
    <x v="0"/>
    <x v="0"/>
  </r>
  <r>
    <x v="1"/>
    <x v="14"/>
    <s v="6003 J"/>
    <x v="178"/>
    <s v="Berger Paint Lahore"/>
    <s v="LD پیلا"/>
    <n v="18"/>
    <s v="-"/>
    <s v="LDM"/>
    <n v="3000"/>
    <x v="0"/>
    <n v="5"/>
    <n v="776.95999999999992"/>
    <n v="11"/>
    <n v="11"/>
    <x v="0"/>
    <n v="765.95999999999992"/>
    <n v="3166.47"/>
    <m/>
    <x v="0"/>
    <x v="0"/>
    <n v="0"/>
    <n v="0"/>
    <x v="0"/>
    <x v="0"/>
    <m/>
    <x v="0"/>
    <x v="0"/>
    <x v="0"/>
    <x v="0"/>
    <x v="0"/>
    <n v="0"/>
    <n v="0"/>
    <n v="0"/>
    <n v="12"/>
    <x v="1"/>
    <x v="0"/>
    <m/>
    <x v="0"/>
    <n v="781.95999999999992"/>
    <x v="0"/>
    <x v="16"/>
    <x v="6"/>
    <x v="0"/>
    <x v="0"/>
  </r>
  <r>
    <x v="0"/>
    <x v="15"/>
    <s v="5988 J"/>
    <x v="178"/>
    <s v="Leather Tex Tarnery LTD"/>
    <s v="LDN"/>
    <n v="18"/>
    <s v="11-11.5"/>
    <s v="LDN"/>
    <n v="300"/>
    <x v="0"/>
    <n v="5"/>
    <n v="267.79000000000002"/>
    <n v="11.5"/>
    <m/>
    <x v="0"/>
    <n v="256.29000000000002"/>
    <n v="304.22000000000003"/>
    <n v="5"/>
    <x v="0"/>
    <x v="0"/>
    <n v="5"/>
    <n v="8.3333333333333329E-2"/>
    <x v="0"/>
    <x v="0"/>
    <m/>
    <x v="0"/>
    <x v="0"/>
    <x v="0"/>
    <x v="0"/>
    <x v="0"/>
    <n v="0"/>
    <n v="0"/>
    <n v="8.3333333333333329E-2"/>
    <n v="11.916666666666666"/>
    <x v="1"/>
    <x v="0"/>
    <m/>
    <x v="0"/>
    <n v="272.79000000000002"/>
    <x v="0"/>
    <x v="16"/>
    <x v="6"/>
    <x v="0"/>
    <x v="0"/>
  </r>
  <r>
    <x v="0"/>
    <x v="15"/>
    <s v="6001 J"/>
    <x v="178"/>
    <s v="Shalimar Sweets Dina "/>
    <s v="LDN"/>
    <n v="16"/>
    <s v="7-7.5"/>
    <s v="LDN"/>
    <n v="100"/>
    <x v="0"/>
    <n v="2"/>
    <n v="111.28"/>
    <n v="4"/>
    <n v="8.3000000000000007"/>
    <x v="0"/>
    <n v="107.28"/>
    <n v="107.28"/>
    <n v="5"/>
    <x v="0"/>
    <x v="0"/>
    <n v="5"/>
    <n v="8.3333333333333329E-2"/>
    <x v="0"/>
    <x v="0"/>
    <m/>
    <x v="0"/>
    <x v="0"/>
    <x v="0"/>
    <x v="0"/>
    <x v="0"/>
    <n v="0"/>
    <n v="0"/>
    <n v="8.3333333333333329E-2"/>
    <n v="11.916666666666666"/>
    <x v="1"/>
    <x v="0"/>
    <m/>
    <x v="0"/>
    <n v="116.28"/>
    <x v="0"/>
    <x v="16"/>
    <x v="6"/>
    <x v="0"/>
    <x v="0"/>
  </r>
  <r>
    <x v="1"/>
    <x v="15"/>
    <s v="6015 J"/>
    <x v="178"/>
    <s v="H A Industry Peshawar"/>
    <s v="LDN"/>
    <n v="22"/>
    <s v="-"/>
    <s v="LDN"/>
    <n v="130"/>
    <x v="0"/>
    <n v="3"/>
    <n v="131.24"/>
    <n v="8.1000000000000014"/>
    <n v="6"/>
    <x v="0"/>
    <n v="123.14000000000001"/>
    <n v="123.14000000000001"/>
    <n v="5"/>
    <x v="0"/>
    <x v="0"/>
    <n v="5"/>
    <n v="8.3333333333333329E-2"/>
    <x v="0"/>
    <x v="0"/>
    <m/>
    <x v="0"/>
    <x v="0"/>
    <x v="0"/>
    <x v="0"/>
    <x v="0"/>
    <n v="0"/>
    <n v="0"/>
    <n v="8.3333333333333329E-2"/>
    <n v="11.916666666666666"/>
    <x v="1"/>
    <x v="0"/>
    <m/>
    <x v="0"/>
    <n v="136.24"/>
    <x v="0"/>
    <x v="16"/>
    <x v="6"/>
    <x v="0"/>
    <x v="0"/>
  </r>
  <r>
    <x v="1"/>
    <x v="15"/>
    <s v="2577 F"/>
    <x v="178"/>
    <s v="Usman Amin"/>
    <s v="LDN"/>
    <n v="15"/>
    <s v="12"/>
    <s v="LDN"/>
    <n v="150"/>
    <x v="0"/>
    <n v="3"/>
    <n v="165.32"/>
    <n v="5.0999999999999996"/>
    <m/>
    <x v="0"/>
    <n v="160.22"/>
    <n v="160.22"/>
    <n v="5"/>
    <x v="0"/>
    <x v="0"/>
    <n v="5"/>
    <n v="8.3333333333333329E-2"/>
    <x v="0"/>
    <x v="0"/>
    <m/>
    <x v="0"/>
    <x v="0"/>
    <x v="0"/>
    <x v="0"/>
    <x v="0"/>
    <n v="0"/>
    <n v="0"/>
    <n v="8.3333333333333329E-2"/>
    <n v="11.916666666666666"/>
    <x v="1"/>
    <x v="0"/>
    <m/>
    <x v="0"/>
    <n v="170.32"/>
    <x v="0"/>
    <x v="16"/>
    <x v="6"/>
    <x v="0"/>
    <x v="0"/>
  </r>
  <r>
    <x v="1"/>
    <x v="15"/>
    <s v="2576 F"/>
    <x v="178"/>
    <s v="Usman Amin"/>
    <s v="LDN"/>
    <n v="19"/>
    <s v="7-7.5"/>
    <s v="LDN"/>
    <n v="32"/>
    <x v="0"/>
    <n v="2"/>
    <n v="103.14"/>
    <n v="4.8"/>
    <m/>
    <x v="0"/>
    <n v="98.34"/>
    <n v="98.34"/>
    <n v="5"/>
    <x v="0"/>
    <x v="0"/>
    <n v="5"/>
    <n v="8.3333333333333329E-2"/>
    <x v="0"/>
    <x v="0"/>
    <m/>
    <x v="0"/>
    <x v="0"/>
    <x v="0"/>
    <x v="0"/>
    <x v="0"/>
    <n v="0"/>
    <n v="0"/>
    <n v="8.3333333333333329E-2"/>
    <n v="11.916666666666666"/>
    <x v="1"/>
    <x v="0"/>
    <m/>
    <x v="0"/>
    <n v="108.14"/>
    <x v="0"/>
    <x v="16"/>
    <x v="6"/>
    <x v="0"/>
    <x v="0"/>
  </r>
  <r>
    <x v="0"/>
    <x v="9"/>
    <s v="5996 J"/>
    <x v="179"/>
    <s v="Moazmi Plastic Sahiwal "/>
    <s v="LDM"/>
    <n v="7"/>
    <n v="18"/>
    <s v="LDM"/>
    <n v="100"/>
    <x v="0"/>
    <n v="1"/>
    <n v="50.6"/>
    <n v="0.9"/>
    <n v="32"/>
    <x v="0"/>
    <n v="49.7"/>
    <n v="103.4"/>
    <m/>
    <x v="0"/>
    <x v="0"/>
    <n v="0"/>
    <n v="0"/>
    <x v="0"/>
    <x v="0"/>
    <m/>
    <x v="0"/>
    <x v="0"/>
    <x v="0"/>
    <x v="0"/>
    <x v="0"/>
    <n v="0"/>
    <n v="0"/>
    <n v="0"/>
    <n v="12"/>
    <x v="1"/>
    <x v="0"/>
    <m/>
    <x v="0"/>
    <n v="55.6"/>
    <x v="0"/>
    <x v="17"/>
    <x v="7"/>
    <x v="0"/>
    <x v="0"/>
  </r>
  <r>
    <x v="0"/>
    <x v="9"/>
    <s v="5934 J"/>
    <x v="179"/>
    <s v="Bright Gold Narowal"/>
    <s v="LDN"/>
    <n v="8"/>
    <n v="5"/>
    <s v="LDN"/>
    <n v="100"/>
    <x v="0"/>
    <n v="3"/>
    <n v="112.89999999999999"/>
    <n v="3"/>
    <m/>
    <x v="0"/>
    <n v="109.89999999999999"/>
    <n v="109.89999999999999"/>
    <n v="2"/>
    <x v="0"/>
    <x v="0"/>
    <n v="2"/>
    <n v="3.3333333333333333E-2"/>
    <x v="0"/>
    <x v="0"/>
    <m/>
    <x v="0"/>
    <x v="0"/>
    <x v="0"/>
    <x v="0"/>
    <x v="0"/>
    <n v="0"/>
    <n v="0"/>
    <n v="3.3333333333333333E-2"/>
    <n v="11.966666666666667"/>
    <x v="1"/>
    <x v="0"/>
    <m/>
    <x v="0"/>
    <n v="117.89999999999999"/>
    <x v="0"/>
    <x v="17"/>
    <x v="7"/>
    <x v="0"/>
    <x v="0"/>
  </r>
  <r>
    <x v="1"/>
    <x v="9"/>
    <s v="5918 J"/>
    <x v="179"/>
    <s v="Afford Super Market Lahore"/>
    <s v="LDN"/>
    <n v="8"/>
    <s v="14-15"/>
    <s v="LDN"/>
    <n v="125"/>
    <x v="0"/>
    <n v="3"/>
    <n v="129.6"/>
    <n v="2.4000000000000004"/>
    <n v="3"/>
    <x v="0"/>
    <n v="127.19999999999999"/>
    <n v="127.19999999999999"/>
    <n v="2"/>
    <x v="0"/>
    <x v="0"/>
    <n v="2"/>
    <n v="3.3333333333333333E-2"/>
    <x v="0"/>
    <x v="0"/>
    <m/>
    <x v="0"/>
    <x v="0"/>
    <x v="0"/>
    <x v="0"/>
    <x v="0"/>
    <n v="0"/>
    <n v="0"/>
    <n v="3.3333333333333333E-2"/>
    <n v="11.966666666666667"/>
    <x v="1"/>
    <x v="0"/>
    <m/>
    <x v="0"/>
    <n v="134.6"/>
    <x v="0"/>
    <x v="17"/>
    <x v="7"/>
    <x v="0"/>
    <x v="0"/>
  </r>
  <r>
    <x v="1"/>
    <x v="9"/>
    <s v="5947 J"/>
    <x v="179"/>
    <s v="Hafize Tanveer Zafarwal"/>
    <s v="LDN"/>
    <n v="7"/>
    <s v="14-15"/>
    <s v="LDN"/>
    <n v="125"/>
    <x v="0"/>
    <n v="2"/>
    <n v="78.300000000000011"/>
    <n v="1.4"/>
    <m/>
    <x v="0"/>
    <n v="76.900000000000006"/>
    <n v="135.10000000000002"/>
    <m/>
    <x v="0"/>
    <x v="0"/>
    <n v="0"/>
    <n v="0"/>
    <x v="0"/>
    <x v="0"/>
    <m/>
    <x v="0"/>
    <x v="0"/>
    <x v="0"/>
    <x v="0"/>
    <x v="0"/>
    <n v="0"/>
    <n v="0"/>
    <n v="0"/>
    <n v="12"/>
    <x v="1"/>
    <x v="0"/>
    <m/>
    <x v="0"/>
    <n v="83.300000000000011"/>
    <x v="0"/>
    <x v="17"/>
    <x v="7"/>
    <x v="0"/>
    <x v="0"/>
  </r>
  <r>
    <x v="0"/>
    <x v="11"/>
    <s v="5723 J"/>
    <x v="179"/>
    <s v="Afnan Printing Press ButtKhela "/>
    <s v="LDM"/>
    <n v="18"/>
    <s v="13X14"/>
    <s v="LDM"/>
    <n v="100"/>
    <x v="0"/>
    <n v="1"/>
    <n v="57.2"/>
    <n v="2.1"/>
    <n v="7"/>
    <x v="0"/>
    <n v="55.1"/>
    <n v="324.66000000000003"/>
    <m/>
    <x v="0"/>
    <x v="0"/>
    <n v="0"/>
    <n v="0"/>
    <x v="0"/>
    <x v="0"/>
    <m/>
    <x v="0"/>
    <x v="0"/>
    <x v="0"/>
    <x v="0"/>
    <x v="0"/>
    <n v="0"/>
    <n v="0"/>
    <n v="0"/>
    <n v="12"/>
    <x v="1"/>
    <x v="0"/>
    <m/>
    <x v="0"/>
    <n v="62.2"/>
    <x v="0"/>
    <x v="17"/>
    <x v="7"/>
    <x v="0"/>
    <x v="0"/>
  </r>
  <r>
    <x v="0"/>
    <x v="11"/>
    <s v="6006 J"/>
    <x v="179"/>
    <s v="Ahsan Bilal FSD"/>
    <s v="LDM"/>
    <n v="18"/>
    <s v="13-15"/>
    <s v="LDM"/>
    <n v="100"/>
    <x v="0"/>
    <n v="2"/>
    <n v="111.1"/>
    <n v="4.2"/>
    <m/>
    <x v="0"/>
    <n v="106.89999999999999"/>
    <n v="106.89999999999999"/>
    <m/>
    <x v="0"/>
    <x v="0"/>
    <n v="0"/>
    <n v="0"/>
    <x v="0"/>
    <x v="0"/>
    <m/>
    <x v="0"/>
    <x v="0"/>
    <x v="0"/>
    <x v="0"/>
    <x v="0"/>
    <n v="0"/>
    <n v="0"/>
    <n v="0"/>
    <n v="12"/>
    <x v="1"/>
    <x v="0"/>
    <m/>
    <x v="0"/>
    <n v="116.1"/>
    <x v="0"/>
    <x v="17"/>
    <x v="7"/>
    <x v="0"/>
    <x v="0"/>
  </r>
  <r>
    <x v="0"/>
    <x v="11"/>
    <s v="5995 J"/>
    <x v="179"/>
    <s v="Wazir Suiting Center Lahore"/>
    <s v="LDM"/>
    <n v="20"/>
    <s v="15-16"/>
    <s v="LDM"/>
    <n v="200"/>
    <x v="0"/>
    <n v="3"/>
    <n v="231.2"/>
    <n v="7.1999999999999993"/>
    <m/>
    <x v="0"/>
    <n v="224"/>
    <n v="696.75"/>
    <m/>
    <x v="0"/>
    <x v="0"/>
    <n v="0"/>
    <n v="0"/>
    <x v="0"/>
    <x v="0"/>
    <m/>
    <x v="0"/>
    <x v="0"/>
    <x v="0"/>
    <x v="0"/>
    <x v="0"/>
    <n v="0"/>
    <n v="0"/>
    <n v="0"/>
    <n v="12"/>
    <x v="1"/>
    <x v="0"/>
    <m/>
    <x v="0"/>
    <n v="236.2"/>
    <x v="0"/>
    <x v="17"/>
    <x v="7"/>
    <x v="0"/>
    <x v="0"/>
  </r>
  <r>
    <x v="0"/>
    <x v="11"/>
    <s v="6007 J"/>
    <x v="179"/>
    <s v="Ahsan Bilal FSD"/>
    <s v="LDM"/>
    <n v="22"/>
    <s v="14-15"/>
    <s v="LDM"/>
    <n v="100"/>
    <x v="0"/>
    <n v="1"/>
    <n v="100"/>
    <n v="2.6"/>
    <m/>
    <x v="0"/>
    <n v="97.4"/>
    <n v="97.4"/>
    <m/>
    <x v="0"/>
    <x v="0"/>
    <n v="0"/>
    <n v="0"/>
    <x v="0"/>
    <x v="0"/>
    <m/>
    <x v="0"/>
    <x v="0"/>
    <x v="0"/>
    <x v="0"/>
    <x v="0"/>
    <n v="0"/>
    <n v="0"/>
    <n v="0"/>
    <n v="12"/>
    <x v="1"/>
    <x v="0"/>
    <m/>
    <x v="0"/>
    <n v="105"/>
    <x v="0"/>
    <x v="17"/>
    <x v="7"/>
    <x v="0"/>
    <x v="0"/>
  </r>
  <r>
    <x v="0"/>
    <x v="13"/>
    <s v="2831/1"/>
    <x v="179"/>
    <s v="MATCO FOOD"/>
    <s v="LDN"/>
    <n v="23"/>
    <s v="70±2"/>
    <s v="SL"/>
    <n v="2800"/>
    <x v="0"/>
    <n v="5"/>
    <n v="507.52"/>
    <n v="14.3"/>
    <n v="2"/>
    <x v="0"/>
    <n v="493.21999999999997"/>
    <n v="3265.84"/>
    <m/>
    <x v="0"/>
    <x v="0"/>
    <n v="0"/>
    <n v="0"/>
    <x v="0"/>
    <x v="0"/>
    <m/>
    <x v="0"/>
    <x v="0"/>
    <x v="0"/>
    <x v="0"/>
    <x v="0"/>
    <n v="0"/>
    <n v="0"/>
    <n v="0"/>
    <n v="12"/>
    <x v="1"/>
    <x v="0"/>
    <m/>
    <x v="0"/>
    <n v="512.52"/>
    <x v="0"/>
    <x v="17"/>
    <x v="7"/>
    <x v="0"/>
    <x v="0"/>
  </r>
  <r>
    <x v="1"/>
    <x v="13"/>
    <s v="2831/1"/>
    <x v="179"/>
    <s v="MATCO FOOD"/>
    <s v="LDN"/>
    <n v="23"/>
    <s v="70±2"/>
    <s v="SL"/>
    <n v="2800"/>
    <x v="0"/>
    <n v="5"/>
    <n v="484.58"/>
    <n v="14"/>
    <n v="5"/>
    <x v="0"/>
    <n v="470.58"/>
    <n v="3265.84"/>
    <m/>
    <x v="0"/>
    <x v="0"/>
    <n v="0"/>
    <n v="0"/>
    <x v="0"/>
    <x v="0"/>
    <m/>
    <x v="0"/>
    <x v="0"/>
    <x v="0"/>
    <x v="0"/>
    <x v="0"/>
    <n v="0"/>
    <n v="0"/>
    <n v="0"/>
    <n v="12"/>
    <x v="1"/>
    <x v="0"/>
    <m/>
    <x v="0"/>
    <n v="489.58"/>
    <x v="0"/>
    <x v="17"/>
    <x v="7"/>
    <x v="0"/>
    <x v="0"/>
  </r>
  <r>
    <x v="0"/>
    <x v="12"/>
    <s v="2828/1"/>
    <x v="179"/>
    <s v="PT-02"/>
    <s v="LDN"/>
    <n v="24"/>
    <n v="10"/>
    <s v="AA"/>
    <n v="4000"/>
    <x v="0"/>
    <n v="7"/>
    <n v="649.94999999999993"/>
    <n v="16.8"/>
    <n v="6"/>
    <x v="0"/>
    <n v="633.15"/>
    <n v="4912.3599999999997"/>
    <m/>
    <x v="0"/>
    <x v="0"/>
    <n v="0"/>
    <n v="0"/>
    <x v="0"/>
    <x v="0"/>
    <m/>
    <x v="0"/>
    <x v="0"/>
    <x v="0"/>
    <x v="0"/>
    <x v="0"/>
    <n v="0"/>
    <n v="0"/>
    <n v="0"/>
    <n v="12"/>
    <x v="1"/>
    <x v="0"/>
    <m/>
    <x v="0"/>
    <n v="654.94999999999993"/>
    <x v="0"/>
    <x v="17"/>
    <x v="7"/>
    <x v="0"/>
    <x v="0"/>
  </r>
  <r>
    <x v="1"/>
    <x v="12"/>
    <s v="2828/1"/>
    <x v="179"/>
    <s v="PT-02"/>
    <s v="LDN"/>
    <n v="24"/>
    <n v="10"/>
    <s v="AA"/>
    <n v="4000"/>
    <x v="0"/>
    <n v="8"/>
    <n v="662.41000000000008"/>
    <n v="24"/>
    <n v="2"/>
    <x v="0"/>
    <n v="638.41000000000008"/>
    <n v="4912.3599999999997"/>
    <m/>
    <x v="0"/>
    <x v="0"/>
    <n v="0"/>
    <n v="0"/>
    <x v="0"/>
    <x v="0"/>
    <m/>
    <x v="0"/>
    <x v="0"/>
    <x v="0"/>
    <x v="0"/>
    <x v="0"/>
    <n v="0"/>
    <n v="0"/>
    <n v="0"/>
    <n v="12"/>
    <x v="1"/>
    <x v="0"/>
    <m/>
    <x v="0"/>
    <n v="667.41000000000008"/>
    <x v="0"/>
    <x v="17"/>
    <x v="7"/>
    <x v="0"/>
    <x v="0"/>
  </r>
  <r>
    <x v="0"/>
    <x v="14"/>
    <s v="6003 J"/>
    <x v="179"/>
    <s v="Berger Paint Lahore"/>
    <s v="LD پیلا"/>
    <n v="18"/>
    <s v="-"/>
    <s v="LDM"/>
    <n v="3000"/>
    <x v="0"/>
    <n v="4"/>
    <n v="530.76"/>
    <n v="8.8000000000000007"/>
    <n v="6"/>
    <x v="0"/>
    <n v="521.96"/>
    <n v="3166.47"/>
    <m/>
    <x v="0"/>
    <x v="0"/>
    <n v="0"/>
    <n v="0"/>
    <x v="0"/>
    <x v="0"/>
    <m/>
    <x v="0"/>
    <x v="0"/>
    <x v="0"/>
    <x v="0"/>
    <x v="0"/>
    <n v="0"/>
    <n v="0"/>
    <n v="0"/>
    <n v="12"/>
    <x v="1"/>
    <x v="0"/>
    <m/>
    <x v="0"/>
    <n v="535.76"/>
    <x v="0"/>
    <x v="17"/>
    <x v="7"/>
    <x v="0"/>
    <x v="0"/>
  </r>
  <r>
    <x v="0"/>
    <x v="15"/>
    <s v="2560 F"/>
    <x v="179"/>
    <s v="Usman Amin"/>
    <s v="LDN"/>
    <n v="19"/>
    <s v="5.5-6"/>
    <s v="LDN"/>
    <n v="170"/>
    <x v="0"/>
    <n v="4"/>
    <n v="184.17"/>
    <n v="9.1999999999999993"/>
    <n v="3"/>
    <x v="0"/>
    <n v="174.97"/>
    <n v="174.97"/>
    <m/>
    <x v="0"/>
    <x v="0"/>
    <n v="0"/>
    <n v="0"/>
    <x v="0"/>
    <x v="0"/>
    <m/>
    <x v="0"/>
    <x v="0"/>
    <x v="0"/>
    <x v="0"/>
    <x v="0"/>
    <n v="0"/>
    <n v="0"/>
    <n v="0"/>
    <n v="12"/>
    <x v="1"/>
    <x v="0"/>
    <m/>
    <x v="0"/>
    <n v="189.17"/>
    <x v="0"/>
    <x v="17"/>
    <x v="7"/>
    <x v="0"/>
    <x v="0"/>
  </r>
  <r>
    <x v="0"/>
    <x v="15"/>
    <s v="2570 F"/>
    <x v="179"/>
    <s v="Usman Amin"/>
    <s v="LDN"/>
    <n v="33"/>
    <s v="7-7.5"/>
    <s v="LDN"/>
    <n v="110"/>
    <x v="0"/>
    <n v="2"/>
    <n v="112"/>
    <n v="7.6"/>
    <m/>
    <x v="0"/>
    <n v="104.4"/>
    <n v="104.4"/>
    <m/>
    <x v="0"/>
    <x v="0"/>
    <n v="0"/>
    <n v="0"/>
    <x v="0"/>
    <x v="0"/>
    <m/>
    <x v="0"/>
    <x v="0"/>
    <x v="0"/>
    <x v="0"/>
    <x v="0"/>
    <n v="0"/>
    <n v="0"/>
    <n v="0"/>
    <n v="12"/>
    <x v="1"/>
    <x v="0"/>
    <m/>
    <x v="0"/>
    <n v="117"/>
    <x v="0"/>
    <x v="17"/>
    <x v="7"/>
    <x v="0"/>
    <x v="0"/>
  </r>
  <r>
    <x v="0"/>
    <x v="15"/>
    <s v="2829/1"/>
    <x v="179"/>
    <s v="MATCO FOOD"/>
    <s v="SL"/>
    <s v="29-29.5"/>
    <s v="85±2"/>
    <s v="LDN"/>
    <n v="5950"/>
    <x v="0"/>
    <n v="2"/>
    <n v="225.48000000000002"/>
    <n v="3.8"/>
    <m/>
    <x v="0"/>
    <n v="221.68"/>
    <n v="5008.4199999999992"/>
    <m/>
    <x v="0"/>
    <x v="0"/>
    <n v="0"/>
    <n v="0"/>
    <x v="0"/>
    <x v="0"/>
    <m/>
    <x v="0"/>
    <x v="0"/>
    <x v="0"/>
    <x v="0"/>
    <x v="0"/>
    <n v="0"/>
    <n v="0"/>
    <n v="0"/>
    <n v="12"/>
    <x v="1"/>
    <x v="0"/>
    <m/>
    <x v="0"/>
    <n v="230.48000000000002"/>
    <x v="0"/>
    <x v="17"/>
    <x v="7"/>
    <x v="0"/>
    <x v="0"/>
  </r>
  <r>
    <x v="1"/>
    <x v="15"/>
    <s v="2829/1"/>
    <x v="179"/>
    <s v="MATCO FOOD"/>
    <s v="SL"/>
    <s v="29-29.5"/>
    <s v="85±2"/>
    <s v="LDN"/>
    <n v="5950"/>
    <x v="0"/>
    <n v="5"/>
    <n v="565.46"/>
    <n v="19"/>
    <n v="6"/>
    <x v="0"/>
    <n v="546.46"/>
    <n v="5008.4199999999992"/>
    <m/>
    <x v="0"/>
    <x v="0"/>
    <n v="0"/>
    <n v="0"/>
    <x v="0"/>
    <x v="0"/>
    <m/>
    <x v="0"/>
    <x v="0"/>
    <x v="0"/>
    <x v="0"/>
    <x v="0"/>
    <n v="0"/>
    <n v="0"/>
    <n v="0"/>
    <n v="12"/>
    <x v="1"/>
    <x v="0"/>
    <m/>
    <x v="0"/>
    <n v="570.46"/>
    <x v="0"/>
    <x v="17"/>
    <x v="7"/>
    <x v="0"/>
    <x v="0"/>
  </r>
  <r>
    <x v="0"/>
    <x v="9"/>
    <s v="5947 J"/>
    <x v="180"/>
    <s v="Hafize Tanveer Zafarwal"/>
    <s v="LDN"/>
    <n v="7"/>
    <s v="14-15"/>
    <s v="LDN"/>
    <n v="125"/>
    <x v="0"/>
    <n v="1"/>
    <n v="59.1"/>
    <n v="0.9"/>
    <m/>
    <x v="0"/>
    <n v="58.2"/>
    <n v="135.10000000000002"/>
    <m/>
    <x v="0"/>
    <x v="0"/>
    <n v="0"/>
    <n v="0"/>
    <x v="0"/>
    <x v="0"/>
    <m/>
    <x v="0"/>
    <x v="0"/>
    <x v="0"/>
    <x v="0"/>
    <x v="0"/>
    <n v="0"/>
    <n v="0"/>
    <n v="0"/>
    <n v="12"/>
    <x v="1"/>
    <x v="0"/>
    <m/>
    <x v="0"/>
    <n v="64.099999999999994"/>
    <x v="0"/>
    <x v="17"/>
    <x v="7"/>
    <x v="0"/>
    <x v="0"/>
  </r>
  <r>
    <x v="0"/>
    <x v="9"/>
    <s v="5946 J"/>
    <x v="180"/>
    <s v="Hafize Tanveer Zafarwal"/>
    <s v="LDN"/>
    <n v="6"/>
    <s v="14-15"/>
    <s v="LDN"/>
    <n v="100"/>
    <x v="0"/>
    <n v="3"/>
    <n v="110.9"/>
    <n v="2.4000000000000004"/>
    <n v="2"/>
    <x v="0"/>
    <n v="108.5"/>
    <n v="108.5"/>
    <m/>
    <x v="0"/>
    <x v="0"/>
    <n v="0"/>
    <n v="0"/>
    <x v="0"/>
    <x v="0"/>
    <m/>
    <x v="0"/>
    <x v="0"/>
    <x v="0"/>
    <x v="0"/>
    <x v="0"/>
    <n v="0"/>
    <n v="0"/>
    <n v="0"/>
    <n v="12"/>
    <x v="1"/>
    <x v="0"/>
    <m/>
    <x v="0"/>
    <n v="115.9"/>
    <x v="0"/>
    <x v="17"/>
    <x v="7"/>
    <x v="0"/>
    <x v="0"/>
  </r>
  <r>
    <x v="1"/>
    <x v="9"/>
    <s v="5945 J"/>
    <x v="180"/>
    <s v="Hafize Tanveer Zafarwal"/>
    <s v="LDN"/>
    <n v="6"/>
    <s v="12-12.5"/>
    <s v="LDN"/>
    <n v="100"/>
    <x v="0"/>
    <n v="2"/>
    <n v="95.6"/>
    <n v="1.6"/>
    <n v="3"/>
    <x v="0"/>
    <n v="94"/>
    <n v="94"/>
    <m/>
    <x v="0"/>
    <x v="0"/>
    <n v="0"/>
    <n v="0"/>
    <x v="0"/>
    <x v="0"/>
    <m/>
    <x v="0"/>
    <x v="0"/>
    <x v="0"/>
    <x v="0"/>
    <x v="0"/>
    <n v="0"/>
    <n v="0"/>
    <n v="0"/>
    <n v="12"/>
    <x v="1"/>
    <x v="0"/>
    <m/>
    <x v="0"/>
    <n v="100.6"/>
    <x v="0"/>
    <x v="17"/>
    <x v="7"/>
    <x v="0"/>
    <x v="0"/>
  </r>
  <r>
    <x v="1"/>
    <x v="9"/>
    <s v="6042 J"/>
    <x v="180"/>
    <s v="Usman Arif Butt Gujranwala"/>
    <s v="LDN"/>
    <n v="6"/>
    <n v="10"/>
    <s v="LDN"/>
    <n v="125"/>
    <x v="0"/>
    <n v="2"/>
    <n v="79.900000000000006"/>
    <n v="1.6"/>
    <m/>
    <x v="0"/>
    <n v="78.300000000000011"/>
    <n v="122.5"/>
    <m/>
    <x v="0"/>
    <x v="0"/>
    <n v="0"/>
    <n v="0"/>
    <x v="0"/>
    <x v="0"/>
    <m/>
    <x v="0"/>
    <x v="0"/>
    <x v="0"/>
    <x v="0"/>
    <x v="0"/>
    <n v="0"/>
    <n v="0"/>
    <n v="0"/>
    <n v="12"/>
    <x v="1"/>
    <x v="0"/>
    <m/>
    <x v="0"/>
    <n v="84.9"/>
    <x v="0"/>
    <x v="17"/>
    <x v="7"/>
    <x v="0"/>
    <x v="0"/>
  </r>
  <r>
    <x v="0"/>
    <x v="13"/>
    <s v="2831/1"/>
    <x v="180"/>
    <s v="MATCO FOOD"/>
    <s v="LDN"/>
    <n v="23"/>
    <s v="70±2"/>
    <s v="SL"/>
    <n v="2800"/>
    <x v="0"/>
    <n v="4"/>
    <n v="511.30000000000007"/>
    <n v="11.2"/>
    <n v="4"/>
    <x v="0"/>
    <n v="500.10000000000008"/>
    <n v="3265.84"/>
    <m/>
    <x v="0"/>
    <x v="0"/>
    <n v="0"/>
    <n v="0"/>
    <x v="0"/>
    <x v="0"/>
    <m/>
    <x v="0"/>
    <x v="0"/>
    <x v="0"/>
    <x v="0"/>
    <x v="0"/>
    <n v="0"/>
    <n v="0"/>
    <n v="0"/>
    <n v="12"/>
    <x v="1"/>
    <x v="0"/>
    <m/>
    <x v="0"/>
    <n v="516.30000000000007"/>
    <x v="0"/>
    <x v="17"/>
    <x v="7"/>
    <x v="0"/>
    <x v="0"/>
  </r>
  <r>
    <x v="1"/>
    <x v="13"/>
    <s v="2831/1"/>
    <x v="180"/>
    <s v="MATCO FOOD"/>
    <s v="LDN"/>
    <n v="23"/>
    <s v="70±2"/>
    <s v="SL"/>
    <n v="2800"/>
    <x v="0"/>
    <n v="4"/>
    <n v="527.79999999999995"/>
    <n v="10"/>
    <n v="6"/>
    <x v="0"/>
    <n v="517.79999999999995"/>
    <n v="3265.84"/>
    <m/>
    <x v="0"/>
    <x v="0"/>
    <n v="0"/>
    <n v="0"/>
    <x v="0"/>
    <x v="0"/>
    <m/>
    <x v="0"/>
    <x v="0"/>
    <x v="0"/>
    <x v="0"/>
    <x v="0"/>
    <n v="0"/>
    <n v="0"/>
    <n v="0"/>
    <n v="12"/>
    <x v="1"/>
    <x v="0"/>
    <m/>
    <x v="0"/>
    <n v="532.79999999999995"/>
    <x v="0"/>
    <x v="17"/>
    <x v="7"/>
    <x v="0"/>
    <x v="0"/>
  </r>
  <r>
    <x v="0"/>
    <x v="12"/>
    <s v="2813/2"/>
    <x v="180"/>
    <s v="PLASTIC PT-02"/>
    <s v="LDN"/>
    <n v="24"/>
    <n v="14"/>
    <s v="LDN"/>
    <n v="1000"/>
    <x v="0"/>
    <n v="7"/>
    <n v="686.75999999999988"/>
    <n v="16.8"/>
    <n v="6"/>
    <x v="0"/>
    <n v="669.95999999999992"/>
    <n v="2051.31"/>
    <m/>
    <x v="0"/>
    <x v="0"/>
    <n v="0"/>
    <n v="0"/>
    <x v="0"/>
    <x v="0"/>
    <m/>
    <x v="0"/>
    <x v="0"/>
    <x v="0"/>
    <x v="0"/>
    <x v="0"/>
    <n v="0"/>
    <n v="0"/>
    <n v="0"/>
    <n v="12"/>
    <x v="1"/>
    <x v="0"/>
    <m/>
    <x v="0"/>
    <n v="691.75999999999988"/>
    <x v="0"/>
    <x v="17"/>
    <x v="7"/>
    <x v="0"/>
    <x v="0"/>
  </r>
  <r>
    <x v="1"/>
    <x v="12"/>
    <s v="2813/2"/>
    <x v="180"/>
    <s v="PLASTIC PT-02"/>
    <s v="LDN"/>
    <n v="24"/>
    <n v="14"/>
    <s v="LDN"/>
    <n v="1000"/>
    <x v="0"/>
    <n v="4"/>
    <n v="369.3"/>
    <n v="8"/>
    <n v="9"/>
    <x v="0"/>
    <n v="361.3"/>
    <n v="2051.31"/>
    <m/>
    <x v="0"/>
    <x v="0"/>
    <n v="0"/>
    <n v="0"/>
    <x v="0"/>
    <x v="0"/>
    <m/>
    <x v="0"/>
    <x v="0"/>
    <x v="0"/>
    <x v="0"/>
    <x v="0"/>
    <n v="0"/>
    <n v="0"/>
    <n v="0"/>
    <n v="12"/>
    <x v="1"/>
    <x v="0"/>
    <m/>
    <x v="0"/>
    <n v="374.3"/>
    <x v="0"/>
    <x v="17"/>
    <x v="7"/>
    <x v="0"/>
    <x v="0"/>
  </r>
  <r>
    <x v="1"/>
    <x v="12"/>
    <s v="2830/1"/>
    <x v="180"/>
    <s v="PT-02 (HILAL GELATIN (PVT) LTD )"/>
    <s v="LDN"/>
    <n v="24"/>
    <n v="15"/>
    <s v="LDN"/>
    <n v="2000"/>
    <x v="0"/>
    <n v="3"/>
    <n v="315.2"/>
    <n v="6"/>
    <m/>
    <x v="0"/>
    <n v="309.2"/>
    <n v="2320.87"/>
    <m/>
    <x v="0"/>
    <x v="0"/>
    <n v="0"/>
    <n v="0"/>
    <x v="0"/>
    <x v="0"/>
    <m/>
    <x v="0"/>
    <x v="0"/>
    <x v="0"/>
    <x v="0"/>
    <x v="0"/>
    <n v="0"/>
    <n v="0"/>
    <n v="0"/>
    <n v="12"/>
    <x v="1"/>
    <x v="0"/>
    <m/>
    <x v="0"/>
    <n v="320.2"/>
    <x v="0"/>
    <x v="17"/>
    <x v="7"/>
    <x v="0"/>
    <x v="0"/>
  </r>
  <r>
    <x v="0"/>
    <x v="15"/>
    <s v="2829/1"/>
    <x v="180"/>
    <s v="MATCO FOOD"/>
    <s v="SL"/>
    <s v="29-29.5"/>
    <s v="85±2"/>
    <s v="LDN"/>
    <n v="5950"/>
    <x v="0"/>
    <n v="5"/>
    <n v="493.22"/>
    <n v="18"/>
    <m/>
    <x v="0"/>
    <n v="475.22"/>
    <n v="5008.4199999999992"/>
    <n v="5"/>
    <x v="0"/>
    <x v="0"/>
    <n v="5"/>
    <n v="8.3333333333333329E-2"/>
    <x v="0"/>
    <x v="0"/>
    <m/>
    <x v="0"/>
    <x v="0"/>
    <x v="0"/>
    <x v="0"/>
    <x v="0"/>
    <n v="0"/>
    <n v="0"/>
    <n v="8.3333333333333329E-2"/>
    <n v="11.916666666666666"/>
    <x v="1"/>
    <x v="0"/>
    <m/>
    <x v="0"/>
    <n v="498.22"/>
    <x v="0"/>
    <x v="17"/>
    <x v="7"/>
    <x v="0"/>
    <x v="0"/>
  </r>
  <r>
    <x v="0"/>
    <x v="15"/>
    <s v="2580 F"/>
    <x v="180"/>
    <s v="Usman Amin"/>
    <s v="LDN"/>
    <n v="30"/>
    <s v="7-7.5"/>
    <s v="LDN"/>
    <n v="230"/>
    <x v="0"/>
    <n v="2"/>
    <n v="181.16000000000003"/>
    <n v="7.2"/>
    <n v="12"/>
    <x v="0"/>
    <n v="173.96000000000004"/>
    <n v="223.86000000000004"/>
    <m/>
    <x v="0"/>
    <x v="0"/>
    <n v="0"/>
    <n v="0"/>
    <x v="0"/>
    <x v="0"/>
    <m/>
    <x v="0"/>
    <x v="0"/>
    <x v="0"/>
    <x v="0"/>
    <x v="0"/>
    <n v="0"/>
    <n v="0"/>
    <n v="0"/>
    <n v="12"/>
    <x v="1"/>
    <x v="0"/>
    <m/>
    <x v="0"/>
    <n v="186.16000000000003"/>
    <x v="0"/>
    <x v="17"/>
    <x v="7"/>
    <x v="0"/>
    <x v="0"/>
  </r>
  <r>
    <x v="1"/>
    <x v="15"/>
    <s v="2581 F"/>
    <x v="180"/>
    <s v="Usman Amin"/>
    <s v="LDN"/>
    <n v="16.75"/>
    <s v="9.8-10"/>
    <s v="LDN"/>
    <n v="720"/>
    <x v="0"/>
    <n v="7"/>
    <n v="465.52"/>
    <n v="11.200000000000001"/>
    <n v="5"/>
    <x v="0"/>
    <n v="454.32"/>
    <n v="640.07999999999993"/>
    <m/>
    <x v="0"/>
    <x v="0"/>
    <n v="0"/>
    <n v="0"/>
    <x v="0"/>
    <x v="0"/>
    <m/>
    <x v="0"/>
    <x v="0"/>
    <x v="0"/>
    <x v="0"/>
    <x v="0"/>
    <n v="0"/>
    <n v="0"/>
    <n v="0"/>
    <n v="12"/>
    <x v="1"/>
    <x v="0"/>
    <m/>
    <x v="0"/>
    <n v="470.52"/>
    <x v="0"/>
    <x v="17"/>
    <x v="7"/>
    <x v="0"/>
    <x v="0"/>
  </r>
  <r>
    <x v="1"/>
    <x v="15"/>
    <s v="2580 F"/>
    <x v="180"/>
    <s v="Usman Amin"/>
    <s v="LDN"/>
    <n v="30"/>
    <s v="7-7.5"/>
    <s v="LDN"/>
    <n v="230"/>
    <x v="0"/>
    <n v="1"/>
    <n v="52.9"/>
    <n v="3"/>
    <m/>
    <x v="0"/>
    <n v="49.9"/>
    <n v="223.86000000000004"/>
    <m/>
    <x v="0"/>
    <x v="0"/>
    <n v="0"/>
    <n v="0"/>
    <x v="0"/>
    <x v="0"/>
    <m/>
    <x v="0"/>
    <x v="0"/>
    <x v="0"/>
    <x v="0"/>
    <x v="0"/>
    <n v="0"/>
    <n v="0"/>
    <n v="0"/>
    <n v="12"/>
    <x v="1"/>
    <x v="0"/>
    <m/>
    <x v="0"/>
    <n v="57.9"/>
    <x v="0"/>
    <x v="17"/>
    <x v="7"/>
    <x v="0"/>
    <x v="0"/>
  </r>
  <r>
    <x v="1"/>
    <x v="8"/>
    <s v="6040 J"/>
    <x v="181"/>
    <s v="Usman Arif Butt Gujranwala"/>
    <s v="LDN"/>
    <n v="4"/>
    <n v="10"/>
    <s v="LDN"/>
    <n v="125"/>
    <x v="0"/>
    <n v="3"/>
    <n v="126.4"/>
    <n v="2.4000000000000004"/>
    <n v="6"/>
    <x v="0"/>
    <n v="124"/>
    <n v="124"/>
    <m/>
    <x v="8"/>
    <x v="0"/>
    <n v="360"/>
    <n v="6"/>
    <x v="0"/>
    <x v="0"/>
    <m/>
    <x v="0"/>
    <x v="0"/>
    <x v="0"/>
    <x v="0"/>
    <x v="0"/>
    <n v="0"/>
    <n v="0"/>
    <n v="6"/>
    <n v="6"/>
    <x v="1"/>
    <x v="0"/>
    <m/>
    <x v="0"/>
    <n v="131.4"/>
    <x v="0"/>
    <x v="17"/>
    <x v="7"/>
    <x v="0"/>
    <x v="0"/>
  </r>
  <r>
    <x v="0"/>
    <x v="9"/>
    <s v="6042 J"/>
    <x v="181"/>
    <s v="Usman Arif Butt Gujranwala"/>
    <s v="LDN"/>
    <n v="6"/>
    <n v="10"/>
    <s v="LDN"/>
    <n v="125"/>
    <x v="0"/>
    <n v="2"/>
    <n v="45.8"/>
    <n v="1.6"/>
    <n v="20"/>
    <x v="0"/>
    <n v="44.199999999999996"/>
    <n v="122.5"/>
    <m/>
    <x v="0"/>
    <x v="0"/>
    <n v="0"/>
    <n v="0"/>
    <x v="0"/>
    <x v="0"/>
    <m/>
    <x v="0"/>
    <x v="0"/>
    <x v="0"/>
    <x v="0"/>
    <x v="0"/>
    <n v="0"/>
    <n v="0"/>
    <n v="0"/>
    <n v="12"/>
    <x v="1"/>
    <x v="0"/>
    <m/>
    <x v="0"/>
    <n v="50.8"/>
    <x v="0"/>
    <x v="17"/>
    <x v="7"/>
    <x v="0"/>
    <x v="0"/>
  </r>
  <r>
    <x v="0"/>
    <x v="9"/>
    <s v="6068 J"/>
    <x v="181"/>
    <s v="Jilani Poly Stock"/>
    <s v="LDN"/>
    <n v="7"/>
    <n v="10"/>
    <s v="LDN"/>
    <n v="500"/>
    <x v="0"/>
    <n v="2"/>
    <n v="97.1"/>
    <n v="1.8"/>
    <m/>
    <x v="0"/>
    <n v="95.3"/>
    <n v="129.16"/>
    <m/>
    <x v="0"/>
    <x v="0"/>
    <n v="0"/>
    <n v="0"/>
    <x v="0"/>
    <x v="0"/>
    <m/>
    <x v="0"/>
    <x v="0"/>
    <x v="0"/>
    <x v="0"/>
    <x v="0"/>
    <n v="0"/>
    <n v="0"/>
    <n v="0"/>
    <n v="12"/>
    <x v="1"/>
    <x v="0"/>
    <m/>
    <x v="0"/>
    <n v="102.1"/>
    <x v="0"/>
    <x v="17"/>
    <x v="7"/>
    <x v="0"/>
    <x v="0"/>
  </r>
  <r>
    <x v="1"/>
    <x v="9"/>
    <s v="6068 J"/>
    <x v="181"/>
    <s v="Jilani Poly Stock"/>
    <s v="LDN"/>
    <n v="7"/>
    <n v="10"/>
    <s v="LDN"/>
    <n v="500"/>
    <x v="0"/>
    <n v="1"/>
    <n v="34.56"/>
    <n v="0.7"/>
    <n v="6"/>
    <x v="0"/>
    <n v="33.86"/>
    <n v="129.16"/>
    <m/>
    <x v="0"/>
    <x v="0"/>
    <n v="0"/>
    <n v="0"/>
    <x v="0"/>
    <x v="0"/>
    <m/>
    <x v="0"/>
    <x v="0"/>
    <x v="0"/>
    <x v="0"/>
    <x v="0"/>
    <n v="0"/>
    <n v="0"/>
    <n v="0"/>
    <n v="12"/>
    <x v="1"/>
    <x v="0"/>
    <m/>
    <x v="0"/>
    <n v="39.56"/>
    <x v="0"/>
    <x v="17"/>
    <x v="7"/>
    <x v="0"/>
    <x v="0"/>
  </r>
  <r>
    <x v="1"/>
    <x v="9"/>
    <s v="14121/1"/>
    <x v="181"/>
    <s v="-"/>
    <m/>
    <m/>
    <m/>
    <m/>
    <m/>
    <x v="0"/>
    <n v="4"/>
    <n v="169.4"/>
    <n v="0.4"/>
    <m/>
    <x v="0"/>
    <n v="169"/>
    <n v="690"/>
    <m/>
    <x v="0"/>
    <x v="0"/>
    <n v="0"/>
    <n v="0"/>
    <x v="0"/>
    <x v="0"/>
    <m/>
    <x v="0"/>
    <x v="0"/>
    <x v="0"/>
    <x v="0"/>
    <x v="0"/>
    <n v="0"/>
    <n v="0"/>
    <n v="0"/>
    <n v="12"/>
    <x v="1"/>
    <x v="0"/>
    <m/>
    <x v="0"/>
    <n v="174.4"/>
    <x v="0"/>
    <x v="17"/>
    <x v="7"/>
    <x v="0"/>
    <x v="0"/>
  </r>
  <r>
    <x v="1"/>
    <x v="11"/>
    <s v="14121/1"/>
    <x v="181"/>
    <s v="-"/>
    <m/>
    <m/>
    <m/>
    <m/>
    <m/>
    <x v="0"/>
    <n v="5"/>
    <n v="299.8"/>
    <n v="0.5"/>
    <m/>
    <x v="0"/>
    <n v="299.3"/>
    <n v="690"/>
    <n v="10"/>
    <x v="11"/>
    <x v="0"/>
    <n v="350"/>
    <n v="5.833333333333333"/>
    <x v="0"/>
    <x v="0"/>
    <m/>
    <x v="0"/>
    <x v="0"/>
    <x v="0"/>
    <x v="0"/>
    <x v="0"/>
    <n v="0"/>
    <n v="0"/>
    <n v="5.833333333333333"/>
    <n v="6.166666666666667"/>
    <x v="1"/>
    <x v="0"/>
    <m/>
    <x v="0"/>
    <n v="304.8"/>
    <x v="0"/>
    <x v="17"/>
    <x v="7"/>
    <x v="0"/>
    <x v="0"/>
  </r>
  <r>
    <x v="1"/>
    <x v="11"/>
    <s v="14116/2"/>
    <x v="181"/>
    <s v="-"/>
    <m/>
    <m/>
    <m/>
    <m/>
    <m/>
    <x v="0"/>
    <n v="2"/>
    <n v="97.18"/>
    <n v="0.2"/>
    <n v="8"/>
    <x v="0"/>
    <n v="96.98"/>
    <n v="250.58000000000004"/>
    <m/>
    <x v="0"/>
    <x v="0"/>
    <n v="0"/>
    <n v="0"/>
    <x v="0"/>
    <x v="0"/>
    <m/>
    <x v="0"/>
    <x v="0"/>
    <x v="0"/>
    <x v="0"/>
    <x v="0"/>
    <n v="0"/>
    <n v="0"/>
    <n v="0"/>
    <n v="12"/>
    <x v="1"/>
    <x v="0"/>
    <m/>
    <x v="0"/>
    <n v="102.18"/>
    <x v="0"/>
    <x v="17"/>
    <x v="7"/>
    <x v="0"/>
    <x v="0"/>
  </r>
  <r>
    <x v="0"/>
    <x v="13"/>
    <s v="2831/1"/>
    <x v="181"/>
    <s v="MATCO FOOD"/>
    <s v="LDN"/>
    <n v="23"/>
    <s v="70±2"/>
    <s v="SL"/>
    <n v="2800"/>
    <x v="0"/>
    <n v="4"/>
    <n v="472.86"/>
    <n v="11.2"/>
    <n v="15"/>
    <x v="0"/>
    <n v="461.66"/>
    <n v="3265.84"/>
    <m/>
    <x v="0"/>
    <x v="0"/>
    <n v="0"/>
    <n v="0"/>
    <x v="0"/>
    <x v="0"/>
    <m/>
    <x v="0"/>
    <x v="0"/>
    <x v="0"/>
    <x v="0"/>
    <x v="0"/>
    <n v="0"/>
    <n v="0"/>
    <n v="0"/>
    <n v="12"/>
    <x v="1"/>
    <x v="0"/>
    <m/>
    <x v="0"/>
    <n v="477.86"/>
    <x v="0"/>
    <x v="17"/>
    <x v="7"/>
    <x v="0"/>
    <x v="0"/>
  </r>
  <r>
    <x v="1"/>
    <x v="13"/>
    <s v="2831/1"/>
    <x v="181"/>
    <s v="MATCO FOOD"/>
    <s v="LDN"/>
    <n v="23"/>
    <s v="70±2"/>
    <s v="SL"/>
    <n v="2800"/>
    <x v="0"/>
    <n v="1"/>
    <n v="101.6"/>
    <n v="2.8"/>
    <m/>
    <x v="0"/>
    <n v="98.8"/>
    <n v="3265.84"/>
    <n v="5"/>
    <x v="0"/>
    <x v="0"/>
    <n v="5"/>
    <n v="8.3333333333333329E-2"/>
    <x v="0"/>
    <x v="0"/>
    <m/>
    <x v="0"/>
    <x v="0"/>
    <x v="0"/>
    <x v="0"/>
    <x v="0"/>
    <n v="0"/>
    <n v="0"/>
    <n v="8.3333333333333329E-2"/>
    <n v="11.916666666666666"/>
    <x v="1"/>
    <x v="0"/>
    <m/>
    <x v="0"/>
    <n v="106.6"/>
    <x v="0"/>
    <x v="17"/>
    <x v="7"/>
    <x v="0"/>
    <x v="0"/>
  </r>
  <r>
    <x v="1"/>
    <x v="13"/>
    <s v="14116/2"/>
    <x v="181"/>
    <s v="-"/>
    <m/>
    <m/>
    <m/>
    <m/>
    <m/>
    <x v="0"/>
    <n v="3"/>
    <n v="158.70000000000002"/>
    <n v="5.0999999999999996"/>
    <m/>
    <x v="0"/>
    <n v="153.60000000000002"/>
    <n v="250.58000000000004"/>
    <n v="5"/>
    <x v="0"/>
    <x v="0"/>
    <n v="5"/>
    <n v="8.3333333333333329E-2"/>
    <x v="0"/>
    <x v="0"/>
    <m/>
    <x v="0"/>
    <x v="0"/>
    <x v="0"/>
    <x v="0"/>
    <x v="0"/>
    <n v="0"/>
    <n v="0"/>
    <n v="8.3333333333333329E-2"/>
    <n v="11.916666666666666"/>
    <x v="1"/>
    <x v="0"/>
    <m/>
    <x v="0"/>
    <n v="163.70000000000002"/>
    <x v="0"/>
    <x v="17"/>
    <x v="7"/>
    <x v="0"/>
    <x v="0"/>
  </r>
  <r>
    <x v="1"/>
    <x v="13"/>
    <s v="14121/3"/>
    <x v="181"/>
    <s v="-"/>
    <m/>
    <m/>
    <m/>
    <m/>
    <m/>
    <x v="0"/>
    <n v="1"/>
    <n v="45.6"/>
    <n v="1.6"/>
    <n v="9"/>
    <x v="0"/>
    <n v="44"/>
    <n v="164.05"/>
    <m/>
    <x v="0"/>
    <x v="0"/>
    <n v="0"/>
    <n v="0"/>
    <x v="0"/>
    <x v="0"/>
    <m/>
    <x v="0"/>
    <x v="0"/>
    <x v="0"/>
    <x v="0"/>
    <x v="0"/>
    <n v="0"/>
    <n v="0"/>
    <n v="0"/>
    <n v="12"/>
    <x v="1"/>
    <x v="0"/>
    <m/>
    <x v="0"/>
    <n v="50.6"/>
    <x v="0"/>
    <x v="17"/>
    <x v="7"/>
    <x v="0"/>
    <x v="0"/>
  </r>
  <r>
    <x v="0"/>
    <x v="12"/>
    <s v="2830/1"/>
    <x v="181"/>
    <s v="PT-02 (HILAL GELATIN (PVT) LTD )"/>
    <s v="LDN"/>
    <n v="24"/>
    <n v="15"/>
    <s v="LDN"/>
    <n v="2000"/>
    <x v="0"/>
    <n v="7"/>
    <n v="697.94999999999993"/>
    <n v="18"/>
    <n v="26"/>
    <x v="0"/>
    <n v="679.94999999999993"/>
    <n v="2320.87"/>
    <m/>
    <x v="0"/>
    <x v="0"/>
    <n v="0"/>
    <n v="0"/>
    <x v="0"/>
    <x v="0"/>
    <m/>
    <x v="0"/>
    <x v="0"/>
    <x v="0"/>
    <x v="0"/>
    <x v="0"/>
    <n v="0"/>
    <n v="0"/>
    <n v="0"/>
    <n v="12"/>
    <x v="1"/>
    <x v="0"/>
    <m/>
    <x v="0"/>
    <n v="702.94999999999993"/>
    <x v="0"/>
    <x v="17"/>
    <x v="7"/>
    <x v="0"/>
    <x v="0"/>
  </r>
  <r>
    <x v="1"/>
    <x v="12"/>
    <s v="2830/1"/>
    <x v="181"/>
    <s v="PT-02 (HILAL GELATIN (PVT) LTD )"/>
    <s v="LDN"/>
    <n v="24"/>
    <n v="15"/>
    <s v="LDN"/>
    <n v="2000"/>
    <x v="0"/>
    <n v="6"/>
    <n v="662.68"/>
    <n v="18"/>
    <m/>
    <x v="0"/>
    <n v="644.67999999999995"/>
    <n v="2320.87"/>
    <m/>
    <x v="0"/>
    <x v="0"/>
    <n v="0"/>
    <n v="0"/>
    <x v="0"/>
    <x v="0"/>
    <m/>
    <x v="0"/>
    <x v="0"/>
    <x v="0"/>
    <x v="0"/>
    <x v="0"/>
    <n v="0"/>
    <n v="0"/>
    <n v="0"/>
    <n v="12"/>
    <x v="1"/>
    <x v="0"/>
    <m/>
    <x v="0"/>
    <n v="667.68"/>
    <x v="0"/>
    <x v="17"/>
    <x v="7"/>
    <x v="0"/>
    <x v="0"/>
  </r>
  <r>
    <x v="0"/>
    <x v="15"/>
    <s v="2581 F"/>
    <x v="181"/>
    <s v="Usman Amin"/>
    <s v="LDN"/>
    <n v="16.75"/>
    <s v="9.8-10"/>
    <s v="LDN"/>
    <n v="720"/>
    <x v="0"/>
    <n v="3"/>
    <n v="191.76"/>
    <n v="6"/>
    <n v="12"/>
    <x v="0"/>
    <n v="185.76"/>
    <n v="640.07999999999993"/>
    <n v="5"/>
    <x v="0"/>
    <x v="0"/>
    <n v="5"/>
    <n v="8.3333333333333329E-2"/>
    <x v="0"/>
    <x v="0"/>
    <m/>
    <x v="0"/>
    <x v="0"/>
    <x v="0"/>
    <x v="0"/>
    <x v="0"/>
    <n v="0"/>
    <n v="0"/>
    <n v="8.3333333333333329E-2"/>
    <n v="11.916666666666666"/>
    <x v="1"/>
    <x v="0"/>
    <m/>
    <x v="0"/>
    <n v="196.76"/>
    <x v="0"/>
    <x v="17"/>
    <x v="7"/>
    <x v="0"/>
    <x v="0"/>
  </r>
  <r>
    <x v="0"/>
    <x v="15"/>
    <s v="2579 F"/>
    <x v="181"/>
    <s v="Usman Amin"/>
    <s v="LDN"/>
    <n v="17"/>
    <s v="7-7.5"/>
    <s v="LDN"/>
    <n v="205"/>
    <x v="0"/>
    <n v="4"/>
    <n v="211.44"/>
    <n v="8.8000000000000007"/>
    <m/>
    <x v="0"/>
    <n v="202.64"/>
    <n v="202.64"/>
    <m/>
    <x v="0"/>
    <x v="0"/>
    <n v="0"/>
    <n v="0"/>
    <x v="0"/>
    <x v="0"/>
    <m/>
    <x v="0"/>
    <x v="0"/>
    <x v="0"/>
    <x v="0"/>
    <x v="0"/>
    <n v="0"/>
    <n v="0"/>
    <n v="0"/>
    <n v="12"/>
    <x v="1"/>
    <x v="0"/>
    <m/>
    <x v="0"/>
    <n v="216.44"/>
    <x v="0"/>
    <x v="17"/>
    <x v="7"/>
    <x v="0"/>
    <x v="0"/>
  </r>
  <r>
    <x v="1"/>
    <x v="15"/>
    <s v="6030 F"/>
    <x v="181"/>
    <s v="-"/>
    <m/>
    <m/>
    <m/>
    <m/>
    <m/>
    <x v="0"/>
    <n v="7"/>
    <n v="374.06000000000006"/>
    <n v="15.400000000000002"/>
    <n v="7"/>
    <x v="0"/>
    <n v="358.66000000000008"/>
    <n v="358.66000000000008"/>
    <m/>
    <x v="0"/>
    <x v="0"/>
    <n v="0"/>
    <n v="0"/>
    <x v="0"/>
    <x v="0"/>
    <m/>
    <x v="0"/>
    <x v="0"/>
    <x v="0"/>
    <x v="0"/>
    <x v="0"/>
    <n v="0"/>
    <n v="0"/>
    <n v="0"/>
    <n v="12"/>
    <x v="1"/>
    <x v="0"/>
    <m/>
    <x v="0"/>
    <n v="379.06000000000006"/>
    <x v="0"/>
    <x v="17"/>
    <x v="7"/>
    <x v="0"/>
    <x v="0"/>
  </r>
  <r>
    <x v="0"/>
    <x v="8"/>
    <s v="6044 J"/>
    <x v="182"/>
    <s v="Usman Arif Butt Gujranwala"/>
    <s v="LDN"/>
    <n v="4"/>
    <n v="10"/>
    <s v="LDN"/>
    <n v="125"/>
    <x v="0"/>
    <n v="3"/>
    <n v="97.550000000000011"/>
    <n v="1.2000000000000002"/>
    <n v="2"/>
    <x v="0"/>
    <n v="96.350000000000009"/>
    <n v="130.85000000000002"/>
    <m/>
    <x v="0"/>
    <x v="0"/>
    <n v="0"/>
    <n v="0"/>
    <x v="0"/>
    <x v="0"/>
    <m/>
    <x v="0"/>
    <x v="0"/>
    <x v="0"/>
    <x v="0"/>
    <x v="0"/>
    <n v="0"/>
    <n v="0"/>
    <n v="0"/>
    <n v="12"/>
    <x v="1"/>
    <x v="0"/>
    <m/>
    <x v="0"/>
    <n v="102.55000000000001"/>
    <x v="0"/>
    <x v="17"/>
    <x v="7"/>
    <x v="0"/>
    <x v="0"/>
  </r>
  <r>
    <x v="1"/>
    <x v="8"/>
    <s v="14147/1"/>
    <x v="182"/>
    <s v="-"/>
    <m/>
    <m/>
    <m/>
    <m/>
    <m/>
    <x v="0"/>
    <n v="1"/>
    <n v="25.8"/>
    <n v="0.8"/>
    <n v="6"/>
    <x v="0"/>
    <n v="25"/>
    <n v="25"/>
    <n v="5"/>
    <x v="0"/>
    <x v="0"/>
    <n v="5"/>
    <n v="8.3333333333333329E-2"/>
    <x v="0"/>
    <x v="0"/>
    <m/>
    <x v="0"/>
    <x v="0"/>
    <x v="0"/>
    <x v="0"/>
    <x v="0"/>
    <n v="0"/>
    <n v="0"/>
    <n v="8.3333333333333329E-2"/>
    <n v="11.916666666666666"/>
    <x v="1"/>
    <x v="0"/>
    <m/>
    <x v="0"/>
    <n v="30.8"/>
    <x v="0"/>
    <x v="17"/>
    <x v="7"/>
    <x v="0"/>
    <x v="0"/>
  </r>
  <r>
    <x v="1"/>
    <x v="8"/>
    <s v="6044 J"/>
    <x v="182"/>
    <s v="Usman Arif Butt Gujranwala"/>
    <s v="LDN"/>
    <n v="4"/>
    <n v="10"/>
    <s v="LDN"/>
    <n v="125"/>
    <x v="0"/>
    <n v="1"/>
    <n v="34.9"/>
    <n v="0.4"/>
    <m/>
    <x v="0"/>
    <n v="34.5"/>
    <n v="130.85000000000002"/>
    <n v="5"/>
    <x v="0"/>
    <x v="0"/>
    <n v="5"/>
    <n v="8.3333333333333329E-2"/>
    <x v="0"/>
    <x v="0"/>
    <m/>
    <x v="0"/>
    <x v="0"/>
    <x v="0"/>
    <x v="0"/>
    <x v="0"/>
    <n v="0"/>
    <n v="0"/>
    <n v="8.3333333333333329E-2"/>
    <n v="11.916666666666666"/>
    <x v="1"/>
    <x v="0"/>
    <m/>
    <x v="0"/>
    <n v="39.9"/>
    <x v="0"/>
    <x v="17"/>
    <x v="7"/>
    <x v="0"/>
    <x v="0"/>
  </r>
  <r>
    <x v="1"/>
    <x v="8"/>
    <s v="6086 J"/>
    <x v="182"/>
    <s v="Rahi Plastic Bhawalpur"/>
    <s v="LDN"/>
    <n v="7"/>
    <s v="14-15"/>
    <s v="LDN"/>
    <n v="100"/>
    <x v="0"/>
    <n v="3"/>
    <n v="101.86000000000001"/>
    <n v="2.4000000000000004"/>
    <m/>
    <x v="0"/>
    <n v="99.460000000000008"/>
    <n v="99.460000000000008"/>
    <m/>
    <x v="0"/>
    <x v="0"/>
    <n v="0"/>
    <n v="0"/>
    <x v="0"/>
    <x v="0"/>
    <m/>
    <x v="0"/>
    <x v="0"/>
    <x v="0"/>
    <x v="0"/>
    <x v="0"/>
    <n v="0"/>
    <n v="0"/>
    <n v="0"/>
    <n v="12"/>
    <x v="1"/>
    <x v="0"/>
    <m/>
    <x v="0"/>
    <n v="106.86000000000001"/>
    <x v="0"/>
    <x v="17"/>
    <x v="7"/>
    <x v="0"/>
    <x v="0"/>
  </r>
  <r>
    <x v="0"/>
    <x v="9"/>
    <s v="14121/1"/>
    <x v="182"/>
    <s v="-"/>
    <m/>
    <m/>
    <m/>
    <m/>
    <m/>
    <x v="0"/>
    <n v="4"/>
    <n v="226.5"/>
    <n v="4.8"/>
    <n v="2"/>
    <x v="0"/>
    <n v="221.7"/>
    <n v="690"/>
    <m/>
    <x v="0"/>
    <x v="0"/>
    <n v="0"/>
    <n v="0"/>
    <x v="0"/>
    <x v="0"/>
    <m/>
    <x v="0"/>
    <x v="0"/>
    <x v="0"/>
    <x v="0"/>
    <x v="0"/>
    <n v="0"/>
    <n v="0"/>
    <n v="0"/>
    <n v="12"/>
    <x v="1"/>
    <x v="0"/>
    <m/>
    <x v="0"/>
    <n v="231.5"/>
    <x v="0"/>
    <x v="17"/>
    <x v="7"/>
    <x v="0"/>
    <x v="0"/>
  </r>
  <r>
    <x v="1"/>
    <x v="9"/>
    <s v="6102 J"/>
    <x v="182"/>
    <s v="Waqas Wollan Mills Gujranwala"/>
    <s v="LDN"/>
    <n v="11"/>
    <s v="7.5-8"/>
    <s v="LDN"/>
    <n v="300"/>
    <x v="0"/>
    <n v="4"/>
    <n v="197.4"/>
    <n v="4.8"/>
    <n v="3"/>
    <x v="0"/>
    <n v="192.6"/>
    <n v="303.60000000000002"/>
    <m/>
    <x v="0"/>
    <x v="0"/>
    <n v="0"/>
    <n v="0"/>
    <x v="0"/>
    <x v="0"/>
    <m/>
    <x v="2"/>
    <x v="0"/>
    <x v="0"/>
    <x v="0"/>
    <x v="0"/>
    <n v="5"/>
    <n v="8.3333333333333329E-2"/>
    <n v="8.3333333333333329E-2"/>
    <n v="11.916666666666666"/>
    <x v="1"/>
    <x v="0"/>
    <m/>
    <x v="0"/>
    <n v="202.4"/>
    <x v="0"/>
    <x v="17"/>
    <x v="7"/>
    <x v="0"/>
    <x v="0"/>
  </r>
  <r>
    <x v="0"/>
    <x v="11"/>
    <s v="14118/1"/>
    <x v="182"/>
    <s v="-"/>
    <m/>
    <m/>
    <m/>
    <m/>
    <m/>
    <x v="0"/>
    <n v="3"/>
    <n v="126.2"/>
    <n v="3.5999999999999996"/>
    <m/>
    <x v="0"/>
    <n v="122.60000000000001"/>
    <n v="122.60000000000001"/>
    <m/>
    <x v="0"/>
    <x v="0"/>
    <n v="0"/>
    <n v="0"/>
    <x v="0"/>
    <x v="0"/>
    <m/>
    <x v="0"/>
    <x v="0"/>
    <x v="0"/>
    <x v="0"/>
    <x v="0"/>
    <n v="0"/>
    <n v="0"/>
    <n v="0"/>
    <n v="12"/>
    <x v="1"/>
    <x v="0"/>
    <m/>
    <x v="0"/>
    <n v="131.19999999999999"/>
    <x v="0"/>
    <x v="17"/>
    <x v="7"/>
    <x v="0"/>
    <x v="0"/>
  </r>
  <r>
    <x v="0"/>
    <x v="11"/>
    <s v="6098 J"/>
    <x v="182"/>
    <s v="Waqas Wollan Mills Gujranwala"/>
    <s v="LD بلو"/>
    <n v="12"/>
    <s v="7.5-8"/>
    <s v="LDM"/>
    <n v="200"/>
    <x v="0"/>
    <n v="2"/>
    <n v="117.6"/>
    <n v="3"/>
    <n v="95"/>
    <x v="0"/>
    <n v="114.6"/>
    <n v="191.5"/>
    <m/>
    <x v="0"/>
    <x v="0"/>
    <n v="0"/>
    <n v="0"/>
    <x v="0"/>
    <x v="0"/>
    <m/>
    <x v="0"/>
    <x v="0"/>
    <x v="0"/>
    <x v="0"/>
    <x v="0"/>
    <n v="0"/>
    <n v="0"/>
    <n v="0"/>
    <n v="12"/>
    <x v="1"/>
    <x v="0"/>
    <m/>
    <x v="0"/>
    <n v="122.6"/>
    <x v="0"/>
    <x v="17"/>
    <x v="7"/>
    <x v="0"/>
    <x v="0"/>
  </r>
  <r>
    <x v="1"/>
    <x v="11"/>
    <s v="6098 J"/>
    <x v="182"/>
    <s v="Waqas Wollan Mills Gujranwala"/>
    <s v="LD بلو"/>
    <n v="12"/>
    <s v="7.5-8"/>
    <s v="LDM"/>
    <n v="200"/>
    <x v="0"/>
    <n v="2"/>
    <n v="79.900000000000006"/>
    <n v="3"/>
    <n v="45"/>
    <x v="0"/>
    <n v="76.900000000000006"/>
    <n v="191.5"/>
    <n v="5"/>
    <x v="0"/>
    <x v="0"/>
    <n v="5"/>
    <n v="8.3333333333333329E-2"/>
    <x v="0"/>
    <x v="0"/>
    <m/>
    <x v="0"/>
    <x v="0"/>
    <x v="0"/>
    <x v="0"/>
    <x v="0"/>
    <n v="0"/>
    <n v="0"/>
    <n v="8.3333333333333329E-2"/>
    <n v="11.916666666666666"/>
    <x v="1"/>
    <x v="0"/>
    <m/>
    <x v="0"/>
    <n v="84.9"/>
    <x v="0"/>
    <x v="17"/>
    <x v="7"/>
    <x v="0"/>
    <x v="0"/>
  </r>
  <r>
    <x v="1"/>
    <x v="11"/>
    <s v="6096 J"/>
    <x v="182"/>
    <s v="Waqas Wollan Mills Gujranwala"/>
    <s v="LD ریڈ"/>
    <n v="11"/>
    <s v="7.5-8"/>
    <s v="LDM"/>
    <n v="300"/>
    <x v="0"/>
    <n v="4"/>
    <n v="238.39999999999998"/>
    <n v="4.8"/>
    <m/>
    <x v="0"/>
    <n v="233.59999999999997"/>
    <n v="307.09999999999997"/>
    <n v="5"/>
    <x v="0"/>
    <x v="0"/>
    <n v="5"/>
    <n v="8.3333333333333329E-2"/>
    <x v="0"/>
    <x v="0"/>
    <m/>
    <x v="0"/>
    <x v="0"/>
    <x v="0"/>
    <x v="0"/>
    <x v="0"/>
    <n v="0"/>
    <n v="0"/>
    <n v="8.3333333333333329E-2"/>
    <n v="11.916666666666666"/>
    <x v="1"/>
    <x v="0"/>
    <m/>
    <x v="0"/>
    <n v="243.39999999999998"/>
    <x v="0"/>
    <x v="17"/>
    <x v="7"/>
    <x v="0"/>
    <x v="0"/>
  </r>
  <r>
    <x v="0"/>
    <x v="13"/>
    <s v="14121/3"/>
    <x v="182"/>
    <s v="-"/>
    <m/>
    <m/>
    <m/>
    <m/>
    <m/>
    <x v="0"/>
    <n v="2"/>
    <n v="122.85"/>
    <n v="2.8"/>
    <m/>
    <x v="0"/>
    <n v="120.05"/>
    <n v="164.05"/>
    <m/>
    <x v="0"/>
    <x v="0"/>
    <n v="0"/>
    <n v="0"/>
    <x v="0"/>
    <x v="0"/>
    <m/>
    <x v="0"/>
    <x v="0"/>
    <x v="0"/>
    <x v="0"/>
    <x v="0"/>
    <n v="0"/>
    <n v="0"/>
    <n v="0"/>
    <n v="12"/>
    <x v="1"/>
    <x v="0"/>
    <m/>
    <x v="0"/>
    <n v="127.85"/>
    <x v="0"/>
    <x v="17"/>
    <x v="7"/>
    <x v="0"/>
    <x v="0"/>
  </r>
  <r>
    <x v="0"/>
    <x v="13"/>
    <s v="6074 J"/>
    <x v="182"/>
    <s v="Atlas Honda LTD (SKP)"/>
    <s v="LDN"/>
    <n v="14"/>
    <s v="10-10.5"/>
    <s v="LDN"/>
    <n v="34.0693257359924"/>
    <x v="0"/>
    <n v="2"/>
    <n v="117"/>
    <n v="3.4"/>
    <m/>
    <x v="0"/>
    <n v="113.6"/>
    <n v="113.6"/>
    <n v="5"/>
    <x v="0"/>
    <x v="0"/>
    <n v="5"/>
    <n v="8.3333333333333329E-2"/>
    <x v="0"/>
    <x v="0"/>
    <m/>
    <x v="0"/>
    <x v="0"/>
    <x v="0"/>
    <x v="0"/>
    <x v="0"/>
    <n v="0"/>
    <n v="0"/>
    <n v="8.3333333333333329E-2"/>
    <n v="11.916666666666666"/>
    <x v="1"/>
    <x v="0"/>
    <m/>
    <x v="0"/>
    <n v="122"/>
    <x v="0"/>
    <x v="17"/>
    <x v="7"/>
    <x v="0"/>
    <x v="0"/>
  </r>
  <r>
    <x v="0"/>
    <x v="13"/>
    <s v="6075 J"/>
    <x v="182"/>
    <s v="Atlas Honda LTD (SKP)"/>
    <s v="LDN"/>
    <n v="21"/>
    <s v="14-14.5"/>
    <s v="LDN"/>
    <n v="35.523504273504273"/>
    <x v="0"/>
    <n v="1"/>
    <n v="72.95"/>
    <n v="2.7"/>
    <m/>
    <x v="0"/>
    <n v="70.25"/>
    <n v="119.75"/>
    <n v="5"/>
    <x v="0"/>
    <x v="0"/>
    <n v="5"/>
    <n v="8.3333333333333329E-2"/>
    <x v="0"/>
    <x v="0"/>
    <m/>
    <x v="0"/>
    <x v="0"/>
    <x v="0"/>
    <x v="0"/>
    <x v="0"/>
    <n v="0"/>
    <n v="0"/>
    <n v="8.3333333333333329E-2"/>
    <n v="11.916666666666666"/>
    <x v="1"/>
    <x v="0"/>
    <m/>
    <x v="0"/>
    <n v="77.95"/>
    <x v="0"/>
    <x v="17"/>
    <x v="7"/>
    <x v="0"/>
    <x v="0"/>
  </r>
  <r>
    <x v="1"/>
    <x v="13"/>
    <s v="6075 J"/>
    <x v="182"/>
    <s v="Atlas Honda LTD (SKP)"/>
    <s v="LDN"/>
    <n v="21"/>
    <s v="14-14.5"/>
    <s v="LDN"/>
    <n v="35.523504273504273"/>
    <x v="0"/>
    <n v="1"/>
    <n v="51.7"/>
    <n v="2.2000000000000002"/>
    <m/>
    <x v="0"/>
    <n v="49.5"/>
    <n v="119.75"/>
    <n v="5"/>
    <x v="0"/>
    <x v="0"/>
    <n v="5"/>
    <n v="8.3333333333333329E-2"/>
    <x v="0"/>
    <x v="0"/>
    <m/>
    <x v="0"/>
    <x v="0"/>
    <x v="0"/>
    <x v="0"/>
    <x v="0"/>
    <n v="0"/>
    <n v="0"/>
    <n v="8.3333333333333329E-2"/>
    <n v="11.916666666666666"/>
    <x v="1"/>
    <x v="0"/>
    <m/>
    <x v="0"/>
    <n v="56.7"/>
    <x v="0"/>
    <x v="17"/>
    <x v="7"/>
    <x v="0"/>
    <x v="0"/>
  </r>
  <r>
    <x v="1"/>
    <x v="13"/>
    <s v="6073 J"/>
    <x v="182"/>
    <s v="Atlas Honda LTD (SKP)"/>
    <s v="LDN"/>
    <n v="22"/>
    <s v="8.5-9"/>
    <s v="LDN"/>
    <n v="74.266975308641975"/>
    <x v="0"/>
    <n v="2"/>
    <n v="109.1"/>
    <n v="4.4000000000000004"/>
    <m/>
    <x v="0"/>
    <n v="104.69999999999999"/>
    <n v="104.69999999999999"/>
    <n v="5"/>
    <x v="0"/>
    <x v="0"/>
    <n v="5"/>
    <n v="8.3333333333333329E-2"/>
    <x v="0"/>
    <x v="0"/>
    <m/>
    <x v="0"/>
    <x v="0"/>
    <x v="0"/>
    <x v="0"/>
    <x v="0"/>
    <n v="0"/>
    <n v="0"/>
    <n v="8.3333333333333329E-2"/>
    <n v="11.916666666666666"/>
    <x v="1"/>
    <x v="0"/>
    <m/>
    <x v="0"/>
    <n v="114.1"/>
    <x v="0"/>
    <x v="17"/>
    <x v="7"/>
    <x v="0"/>
    <x v="0"/>
  </r>
  <r>
    <x v="1"/>
    <x v="13"/>
    <s v="6048 J"/>
    <x v="182"/>
    <s v="-"/>
    <m/>
    <m/>
    <m/>
    <m/>
    <m/>
    <x v="0"/>
    <n v="2"/>
    <n v="98.6"/>
    <n v="3.4"/>
    <m/>
    <x v="0"/>
    <n v="95.199999999999989"/>
    <n v="95.199999999999989"/>
    <n v="5"/>
    <x v="0"/>
    <x v="0"/>
    <n v="5"/>
    <n v="8.3333333333333329E-2"/>
    <x v="0"/>
    <x v="0"/>
    <m/>
    <x v="0"/>
    <x v="0"/>
    <x v="0"/>
    <x v="0"/>
    <x v="0"/>
    <n v="0"/>
    <n v="0"/>
    <n v="8.3333333333333329E-2"/>
    <n v="11.916666666666666"/>
    <x v="1"/>
    <x v="0"/>
    <m/>
    <x v="0"/>
    <n v="103.6"/>
    <x v="0"/>
    <x v="17"/>
    <x v="7"/>
    <x v="0"/>
    <x v="0"/>
  </r>
  <r>
    <x v="1"/>
    <x v="13"/>
    <s v="14147/2"/>
    <x v="182"/>
    <s v="-"/>
    <m/>
    <m/>
    <m/>
    <m/>
    <m/>
    <x v="0"/>
    <n v="1"/>
    <n v="53.2"/>
    <n v="1.7"/>
    <n v="9"/>
    <x v="0"/>
    <n v="51.5"/>
    <n v="621.9"/>
    <n v="5"/>
    <x v="0"/>
    <x v="0"/>
    <n v="5"/>
    <n v="8.3333333333333329E-2"/>
    <x v="0"/>
    <x v="0"/>
    <m/>
    <x v="0"/>
    <x v="0"/>
    <x v="0"/>
    <x v="0"/>
    <x v="0"/>
    <n v="0"/>
    <n v="0"/>
    <n v="8.3333333333333329E-2"/>
    <n v="11.916666666666666"/>
    <x v="1"/>
    <x v="0"/>
    <m/>
    <x v="0"/>
    <n v="58.2"/>
    <x v="0"/>
    <x v="17"/>
    <x v="7"/>
    <x v="0"/>
    <x v="0"/>
  </r>
  <r>
    <x v="0"/>
    <x v="12"/>
    <s v="2830/1"/>
    <x v="182"/>
    <s v="PT-02 (HILAL GELATIN (PVT) LTD )"/>
    <s v="LDN"/>
    <n v="24"/>
    <n v="15"/>
    <s v="LDN"/>
    <n v="2000"/>
    <x v="0"/>
    <n v="6"/>
    <n v="566.6"/>
    <n v="15"/>
    <n v="6.4"/>
    <x v="0"/>
    <n v="551.6"/>
    <n v="2320.87"/>
    <n v="6"/>
    <x v="0"/>
    <x v="0"/>
    <n v="6"/>
    <n v="0.1"/>
    <x v="0"/>
    <x v="0"/>
    <m/>
    <x v="0"/>
    <x v="0"/>
    <x v="0"/>
    <x v="0"/>
    <x v="0"/>
    <n v="0"/>
    <n v="0"/>
    <n v="0.1"/>
    <n v="11.9"/>
    <x v="1"/>
    <x v="0"/>
    <m/>
    <x v="0"/>
    <n v="571.6"/>
    <x v="0"/>
    <x v="17"/>
    <x v="7"/>
    <x v="0"/>
    <x v="0"/>
  </r>
  <r>
    <x v="1"/>
    <x v="12"/>
    <s v="2830/1"/>
    <x v="182"/>
    <s v="PT-02 (HILAL GELATIN (PVT) LTD )"/>
    <s v="LDN"/>
    <n v="24"/>
    <n v="15"/>
    <s v="LDN"/>
    <n v="2000"/>
    <x v="0"/>
    <n v="1"/>
    <n v="138.44"/>
    <n v="3"/>
    <n v="16"/>
    <x v="0"/>
    <n v="135.44"/>
    <n v="2320.87"/>
    <n v="12"/>
    <x v="0"/>
    <x v="0"/>
    <n v="12"/>
    <n v="0.2"/>
    <x v="0"/>
    <x v="0"/>
    <m/>
    <x v="0"/>
    <x v="0"/>
    <x v="0"/>
    <x v="0"/>
    <x v="0"/>
    <n v="0"/>
    <n v="0"/>
    <n v="0.2"/>
    <n v="11.8"/>
    <x v="1"/>
    <x v="0"/>
    <m/>
    <x v="0"/>
    <n v="143.44"/>
    <x v="0"/>
    <x v="17"/>
    <x v="7"/>
    <x v="0"/>
    <x v="0"/>
  </r>
  <r>
    <x v="1"/>
    <x v="12"/>
    <s v="2833/1"/>
    <x v="182"/>
    <s v="PT-02"/>
    <s v="LD BLACK"/>
    <n v="34"/>
    <n v="16"/>
    <s v="SL"/>
    <n v="1000"/>
    <x v="0"/>
    <n v="7"/>
    <n v="712.89999999999986"/>
    <n v="23.8"/>
    <m/>
    <x v="0"/>
    <n v="689.09999999999991"/>
    <n v="1058.3"/>
    <m/>
    <x v="0"/>
    <x v="16"/>
    <n v="80"/>
    <n v="1.3333333333333333"/>
    <x v="0"/>
    <x v="0"/>
    <m/>
    <x v="0"/>
    <x v="0"/>
    <x v="0"/>
    <x v="0"/>
    <x v="0"/>
    <n v="0"/>
    <n v="0"/>
    <n v="1.3333333333333333"/>
    <n v="10.666666666666666"/>
    <x v="1"/>
    <x v="0"/>
    <m/>
    <x v="0"/>
    <n v="717.89999999999986"/>
    <x v="0"/>
    <x v="17"/>
    <x v="7"/>
    <x v="0"/>
    <x v="0"/>
  </r>
  <r>
    <x v="0"/>
    <x v="15"/>
    <s v="6030 J"/>
    <x v="182"/>
    <s v="H.A Industry Peshawar"/>
    <s v="LDN"/>
    <n v="22"/>
    <s v="-"/>
    <s v="LDN"/>
    <n v="550"/>
    <x v="0"/>
    <n v="3"/>
    <n v="166.26"/>
    <n v="6.6000000000000005"/>
    <n v="15"/>
    <x v="0"/>
    <n v="159.66"/>
    <n v="159.66"/>
    <n v="5"/>
    <x v="0"/>
    <x v="0"/>
    <n v="5"/>
    <n v="8.3333333333333329E-2"/>
    <x v="0"/>
    <x v="0"/>
    <m/>
    <x v="0"/>
    <x v="0"/>
    <x v="0"/>
    <x v="0"/>
    <x v="0"/>
    <n v="0"/>
    <n v="0"/>
    <n v="8.3333333333333329E-2"/>
    <n v="11.916666666666666"/>
    <x v="1"/>
    <x v="0"/>
    <m/>
    <x v="0"/>
    <n v="171.26"/>
    <x v="0"/>
    <x v="17"/>
    <x v="7"/>
    <x v="0"/>
    <x v="0"/>
  </r>
  <r>
    <x v="0"/>
    <x v="15"/>
    <s v="2567 F"/>
    <x v="182"/>
    <s v="Usman Amin"/>
    <s v="LDN"/>
    <n v="34"/>
    <s v="7-7.5"/>
    <s v="LDN"/>
    <n v="75"/>
    <x v="0"/>
    <n v="1"/>
    <n v="65.7"/>
    <n v="4.2"/>
    <m/>
    <x v="0"/>
    <n v="61.5"/>
    <n v="141.38"/>
    <n v="5"/>
    <x v="0"/>
    <x v="0"/>
    <n v="5"/>
    <n v="8.3333333333333329E-2"/>
    <x v="0"/>
    <x v="0"/>
    <m/>
    <x v="0"/>
    <x v="0"/>
    <x v="0"/>
    <x v="0"/>
    <x v="0"/>
    <n v="0"/>
    <n v="0"/>
    <n v="8.3333333333333329E-2"/>
    <n v="11.916666666666666"/>
    <x v="1"/>
    <x v="0"/>
    <m/>
    <x v="0"/>
    <n v="70.7"/>
    <x v="0"/>
    <x v="17"/>
    <x v="7"/>
    <x v="0"/>
    <x v="0"/>
  </r>
  <r>
    <x v="0"/>
    <x v="15"/>
    <s v="14123/1"/>
    <x v="182"/>
    <s v="-"/>
    <m/>
    <m/>
    <m/>
    <m/>
    <m/>
    <x v="0"/>
    <n v="2"/>
    <n v="223.95999999999998"/>
    <n v="5.6"/>
    <m/>
    <x v="0"/>
    <n v="218.35999999999999"/>
    <n v="218.35999999999999"/>
    <n v="5"/>
    <x v="0"/>
    <x v="0"/>
    <n v="5"/>
    <n v="8.3333333333333329E-2"/>
    <x v="0"/>
    <x v="0"/>
    <m/>
    <x v="0"/>
    <x v="0"/>
    <x v="0"/>
    <x v="0"/>
    <x v="0"/>
    <n v="0"/>
    <n v="0"/>
    <n v="8.3333333333333329E-2"/>
    <n v="11.916666666666666"/>
    <x v="1"/>
    <x v="0"/>
    <m/>
    <x v="0"/>
    <n v="228.95999999999998"/>
    <x v="0"/>
    <x v="17"/>
    <x v="7"/>
    <x v="0"/>
    <x v="0"/>
  </r>
  <r>
    <x v="0"/>
    <x v="15"/>
    <s v="2591 F"/>
    <x v="182"/>
    <s v="Usman Amin"/>
    <s v="LDN"/>
    <n v="27"/>
    <s v="5-5.5"/>
    <s v="LDN"/>
    <n v="47"/>
    <x v="0"/>
    <n v="1"/>
    <n v="72.2"/>
    <n v="3.5"/>
    <m/>
    <x v="0"/>
    <n v="68.7"/>
    <n v="116.9"/>
    <n v="5"/>
    <x v="0"/>
    <x v="0"/>
    <n v="5"/>
    <n v="8.3333333333333329E-2"/>
    <x v="0"/>
    <x v="0"/>
    <m/>
    <x v="0"/>
    <x v="0"/>
    <x v="0"/>
    <x v="0"/>
    <x v="0"/>
    <n v="0"/>
    <n v="0"/>
    <n v="8.3333333333333329E-2"/>
    <n v="11.916666666666666"/>
    <x v="1"/>
    <x v="0"/>
    <m/>
    <x v="0"/>
    <n v="77.2"/>
    <x v="0"/>
    <x v="17"/>
    <x v="7"/>
    <x v="0"/>
    <x v="0"/>
  </r>
  <r>
    <x v="1"/>
    <x v="15"/>
    <s v="2591 F"/>
    <x v="182"/>
    <s v="Usman Amin"/>
    <s v="LDN"/>
    <n v="27"/>
    <s v="5-5.5"/>
    <s v="LDN"/>
    <n v="47"/>
    <x v="0"/>
    <n v="1"/>
    <n v="50.9"/>
    <n v="2.7"/>
    <m/>
    <x v="0"/>
    <n v="48.199999999999996"/>
    <n v="116.9"/>
    <m/>
    <x v="0"/>
    <x v="0"/>
    <n v="0"/>
    <n v="0"/>
    <x v="0"/>
    <x v="0"/>
    <m/>
    <x v="0"/>
    <x v="0"/>
    <x v="0"/>
    <x v="0"/>
    <x v="0"/>
    <n v="0"/>
    <n v="0"/>
    <n v="0"/>
    <n v="12"/>
    <x v="1"/>
    <x v="0"/>
    <m/>
    <x v="0"/>
    <n v="55.9"/>
    <x v="0"/>
    <x v="17"/>
    <x v="7"/>
    <x v="0"/>
    <x v="0"/>
  </r>
  <r>
    <x v="1"/>
    <x v="15"/>
    <s v="2566 F"/>
    <x v="182"/>
    <s v="Usman Amin"/>
    <s v="LDN"/>
    <n v="27"/>
    <s v="7-7.5"/>
    <s v="LDN"/>
    <n v="30"/>
    <x v="0"/>
    <n v="1"/>
    <n v="63.38"/>
    <n v="2.6"/>
    <m/>
    <x v="0"/>
    <n v="60.78"/>
    <n v="60.78"/>
    <m/>
    <x v="0"/>
    <x v="0"/>
    <n v="0"/>
    <n v="0"/>
    <x v="0"/>
    <x v="0"/>
    <m/>
    <x v="0"/>
    <x v="0"/>
    <x v="0"/>
    <x v="0"/>
    <x v="0"/>
    <n v="0"/>
    <n v="0"/>
    <n v="0"/>
    <n v="12"/>
    <x v="1"/>
    <x v="0"/>
    <m/>
    <x v="0"/>
    <n v="68.38"/>
    <x v="0"/>
    <x v="17"/>
    <x v="7"/>
    <x v="0"/>
    <x v="0"/>
  </r>
  <r>
    <x v="1"/>
    <x v="15"/>
    <s v="6072 J"/>
    <x v="182"/>
    <s v="Atlas Honda LTD (SKP)"/>
    <s v="LDN"/>
    <n v="26"/>
    <s v="8.5-9"/>
    <s v="LDN"/>
    <n v="148.53395061728395"/>
    <x v="0"/>
    <n v="2"/>
    <n v="171.07999999999998"/>
    <n v="2.6"/>
    <m/>
    <x v="0"/>
    <n v="168.48"/>
    <n v="168.48"/>
    <m/>
    <x v="0"/>
    <x v="0"/>
    <n v="0"/>
    <n v="0"/>
    <x v="0"/>
    <x v="0"/>
    <m/>
    <x v="0"/>
    <x v="0"/>
    <x v="0"/>
    <x v="0"/>
    <x v="0"/>
    <n v="0"/>
    <n v="0"/>
    <n v="0"/>
    <n v="12"/>
    <x v="1"/>
    <x v="0"/>
    <m/>
    <x v="0"/>
    <n v="176.07999999999998"/>
    <x v="0"/>
    <x v="17"/>
    <x v="7"/>
    <x v="0"/>
    <x v="0"/>
  </r>
  <r>
    <x v="1"/>
    <x v="15"/>
    <s v="2598 F"/>
    <x v="182"/>
    <s v="Usman Amin"/>
    <s v="LDN"/>
    <n v="26"/>
    <s v="12"/>
    <s v="LDN"/>
    <n v="58"/>
    <x v="0"/>
    <n v="1"/>
    <n v="67.8"/>
    <n v="2.6"/>
    <m/>
    <x v="0"/>
    <n v="65.2"/>
    <n v="65.2"/>
    <m/>
    <x v="0"/>
    <x v="0"/>
    <n v="0"/>
    <n v="0"/>
    <x v="0"/>
    <x v="0"/>
    <m/>
    <x v="0"/>
    <x v="0"/>
    <x v="0"/>
    <x v="0"/>
    <x v="0"/>
    <n v="0"/>
    <n v="0"/>
    <n v="0"/>
    <n v="12"/>
    <x v="1"/>
    <x v="0"/>
    <m/>
    <x v="0"/>
    <n v="72.8"/>
    <x v="0"/>
    <x v="17"/>
    <x v="7"/>
    <x v="0"/>
    <x v="0"/>
  </r>
  <r>
    <x v="1"/>
    <x v="15"/>
    <s v="2597 F"/>
    <x v="182"/>
    <s v="Usman Amin"/>
    <s v="LDN"/>
    <n v="25.5"/>
    <s v="7"/>
    <s v="LDN"/>
    <n v="140"/>
    <x v="0"/>
    <n v="1"/>
    <n v="90.32"/>
    <n v="2.5"/>
    <m/>
    <x v="0"/>
    <n v="87.82"/>
    <n v="133.35999999999999"/>
    <m/>
    <x v="0"/>
    <x v="0"/>
    <n v="0"/>
    <n v="0"/>
    <x v="0"/>
    <x v="0"/>
    <m/>
    <x v="0"/>
    <x v="0"/>
    <x v="0"/>
    <x v="0"/>
    <x v="0"/>
    <n v="0"/>
    <n v="0"/>
    <n v="0"/>
    <n v="12"/>
    <x v="1"/>
    <x v="0"/>
    <m/>
    <x v="0"/>
    <n v="95.32"/>
    <x v="0"/>
    <x v="17"/>
    <x v="7"/>
    <x v="0"/>
    <x v="0"/>
  </r>
  <r>
    <x v="0"/>
    <x v="8"/>
    <s v="141471"/>
    <x v="183"/>
    <s v="-"/>
    <m/>
    <m/>
    <m/>
    <m/>
    <m/>
    <x v="0"/>
    <n v="2"/>
    <n v="75.099999999999994"/>
    <n v="1.6"/>
    <m/>
    <x v="0"/>
    <n v="73.5"/>
    <n v="73.5"/>
    <m/>
    <x v="0"/>
    <x v="0"/>
    <n v="0"/>
    <n v="0"/>
    <x v="0"/>
    <x v="0"/>
    <m/>
    <x v="0"/>
    <x v="0"/>
    <x v="0"/>
    <x v="0"/>
    <x v="0"/>
    <n v="0"/>
    <n v="0"/>
    <n v="0"/>
    <n v="12"/>
    <x v="1"/>
    <x v="0"/>
    <m/>
    <x v="0"/>
    <n v="80.099999999999994"/>
    <x v="0"/>
    <x v="17"/>
    <x v="7"/>
    <x v="0"/>
    <x v="0"/>
  </r>
  <r>
    <x v="0"/>
    <x v="8"/>
    <s v="6146 J"/>
    <x v="183"/>
    <s v="Bundu Khan Lahore"/>
    <s v="LDN"/>
    <n v="8"/>
    <s v="6-6.5"/>
    <s v="LDN"/>
    <n v="200"/>
    <x v="0"/>
    <n v="2"/>
    <n v="71.05"/>
    <n v="2"/>
    <n v="8"/>
    <x v="0"/>
    <n v="69.05"/>
    <n v="208.95"/>
    <m/>
    <x v="0"/>
    <x v="0"/>
    <n v="0"/>
    <n v="0"/>
    <x v="0"/>
    <x v="0"/>
    <m/>
    <x v="0"/>
    <x v="0"/>
    <x v="0"/>
    <x v="0"/>
    <x v="0"/>
    <n v="0"/>
    <n v="0"/>
    <n v="0"/>
    <n v="12"/>
    <x v="1"/>
    <x v="0"/>
    <m/>
    <x v="0"/>
    <n v="76.05"/>
    <x v="0"/>
    <x v="17"/>
    <x v="7"/>
    <x v="0"/>
    <x v="0"/>
  </r>
  <r>
    <x v="0"/>
    <x v="8"/>
    <s v="5917 J"/>
    <x v="183"/>
    <s v="Afford Super Market Lahore"/>
    <s v="LDN"/>
    <n v="6"/>
    <s v="14-15"/>
    <s v="LDN"/>
    <n v="125"/>
    <x v="0"/>
    <n v="1"/>
    <n v="23.35"/>
    <n v="0.68"/>
    <m/>
    <x v="0"/>
    <n v="22.67"/>
    <n v="123.37"/>
    <m/>
    <x v="0"/>
    <x v="0"/>
    <n v="0"/>
    <n v="0"/>
    <x v="0"/>
    <x v="0"/>
    <m/>
    <x v="0"/>
    <x v="0"/>
    <x v="0"/>
    <x v="0"/>
    <x v="0"/>
    <n v="0"/>
    <n v="0"/>
    <n v="0"/>
    <n v="12"/>
    <x v="1"/>
    <x v="0"/>
    <m/>
    <x v="0"/>
    <n v="28.35"/>
    <x v="0"/>
    <x v="17"/>
    <x v="7"/>
    <x v="0"/>
    <x v="0"/>
  </r>
  <r>
    <x v="1"/>
    <x v="8"/>
    <s v="5917 J"/>
    <x v="183"/>
    <s v="Afford Super Market Lahore"/>
    <s v="LDN"/>
    <n v="6"/>
    <s v="14-15"/>
    <s v="LDN"/>
    <n v="125"/>
    <x v="0"/>
    <n v="4"/>
    <n v="101.5"/>
    <n v="0.8"/>
    <n v="2"/>
    <x v="0"/>
    <n v="100.7"/>
    <n v="123.37"/>
    <m/>
    <x v="0"/>
    <x v="0"/>
    <n v="0"/>
    <n v="0"/>
    <x v="0"/>
    <x v="0"/>
    <m/>
    <x v="0"/>
    <x v="0"/>
    <x v="0"/>
    <x v="0"/>
    <x v="0"/>
    <n v="0"/>
    <n v="0"/>
    <n v="0"/>
    <n v="12"/>
    <x v="1"/>
    <x v="0"/>
    <m/>
    <x v="0"/>
    <n v="106.5"/>
    <x v="0"/>
    <x v="17"/>
    <x v="7"/>
    <x v="0"/>
    <x v="0"/>
  </r>
  <r>
    <x v="1"/>
    <x v="8"/>
    <s v="5919 J"/>
    <x v="183"/>
    <s v="Afford Super Market Lahore"/>
    <s v="LDN"/>
    <n v="10"/>
    <s v="14-15"/>
    <s v="LDN"/>
    <n v="125"/>
    <x v="0"/>
    <n v="1"/>
    <n v="33.9"/>
    <n v="1.2"/>
    <m/>
    <x v="0"/>
    <n v="32.699999999999996"/>
    <n v="128.6"/>
    <m/>
    <x v="0"/>
    <x v="0"/>
    <n v="0"/>
    <n v="0"/>
    <x v="0"/>
    <x v="0"/>
    <m/>
    <x v="0"/>
    <x v="0"/>
    <x v="0"/>
    <x v="0"/>
    <x v="0"/>
    <n v="0"/>
    <n v="0"/>
    <n v="0"/>
    <n v="12"/>
    <x v="1"/>
    <x v="0"/>
    <m/>
    <x v="0"/>
    <n v="38.9"/>
    <x v="0"/>
    <x v="17"/>
    <x v="7"/>
    <x v="0"/>
    <x v="0"/>
  </r>
  <r>
    <x v="0"/>
    <x v="9"/>
    <s v="6102 J"/>
    <x v="183"/>
    <s v="Waqas Wollan Mills Gujranwala"/>
    <s v="LDN"/>
    <n v="11"/>
    <s v="7.5-8"/>
    <s v="LDN"/>
    <n v="300"/>
    <x v="0"/>
    <n v="2"/>
    <n v="113.6"/>
    <n v="2.6"/>
    <m/>
    <x v="0"/>
    <n v="111"/>
    <n v="303.60000000000002"/>
    <m/>
    <x v="0"/>
    <x v="0"/>
    <n v="0"/>
    <n v="0"/>
    <x v="0"/>
    <x v="0"/>
    <m/>
    <x v="0"/>
    <x v="0"/>
    <x v="0"/>
    <x v="0"/>
    <x v="0"/>
    <n v="0"/>
    <n v="0"/>
    <n v="0"/>
    <n v="12"/>
    <x v="1"/>
    <x v="0"/>
    <m/>
    <x v="0"/>
    <n v="118.6"/>
    <x v="0"/>
    <x v="17"/>
    <x v="7"/>
    <x v="0"/>
    <x v="0"/>
  </r>
  <r>
    <x v="0"/>
    <x v="9"/>
    <s v="6103 J"/>
    <x v="183"/>
    <s v="Waqas Wollan Mills Gujranwala"/>
    <s v="LDN"/>
    <n v="12"/>
    <s v="7.5-8"/>
    <s v="LDN"/>
    <n v="100"/>
    <x v="0"/>
    <n v="1"/>
    <n v="67.900000000000006"/>
    <n v="1.5"/>
    <m/>
    <x v="0"/>
    <n v="66.400000000000006"/>
    <n v="126.10000000000001"/>
    <m/>
    <x v="0"/>
    <x v="0"/>
    <n v="0"/>
    <n v="0"/>
    <x v="0"/>
    <x v="0"/>
    <m/>
    <x v="0"/>
    <x v="0"/>
    <x v="0"/>
    <x v="0"/>
    <x v="0"/>
    <n v="0"/>
    <n v="0"/>
    <n v="0"/>
    <n v="12"/>
    <x v="1"/>
    <x v="0"/>
    <m/>
    <x v="0"/>
    <n v="72.900000000000006"/>
    <x v="0"/>
    <x v="17"/>
    <x v="7"/>
    <x v="0"/>
    <x v="0"/>
  </r>
  <r>
    <x v="1"/>
    <x v="9"/>
    <s v="6103 J"/>
    <x v="183"/>
    <s v="Waqas Wollan Mills Gujranwala"/>
    <s v="LDN"/>
    <n v="12"/>
    <s v="7.5-8"/>
    <s v="LDN"/>
    <n v="100"/>
    <x v="0"/>
    <n v="1"/>
    <n v="61.2"/>
    <n v="1.5"/>
    <m/>
    <x v="0"/>
    <n v="59.7"/>
    <n v="126.10000000000001"/>
    <m/>
    <x v="0"/>
    <x v="0"/>
    <n v="0"/>
    <n v="0"/>
    <x v="0"/>
    <x v="0"/>
    <m/>
    <x v="0"/>
    <x v="0"/>
    <x v="0"/>
    <x v="0"/>
    <x v="0"/>
    <n v="0"/>
    <n v="0"/>
    <n v="0"/>
    <n v="12"/>
    <x v="1"/>
    <x v="0"/>
    <m/>
    <x v="0"/>
    <n v="66.2"/>
    <x v="0"/>
    <x v="17"/>
    <x v="7"/>
    <x v="0"/>
    <x v="0"/>
  </r>
  <r>
    <x v="1"/>
    <x v="9"/>
    <s v="6038 J"/>
    <x v="183"/>
    <s v="Waseem Shoper House Lahore"/>
    <s v="LDN"/>
    <n v="35"/>
    <s v="-"/>
    <s v="LDN"/>
    <n v="360"/>
    <x v="0"/>
    <n v="4"/>
    <n v="224.6"/>
    <n v="4.8"/>
    <m/>
    <x v="0"/>
    <n v="219.79999999999998"/>
    <n v="714.40000000000009"/>
    <m/>
    <x v="0"/>
    <x v="0"/>
    <n v="0"/>
    <n v="0"/>
    <x v="0"/>
    <x v="0"/>
    <m/>
    <x v="0"/>
    <x v="0"/>
    <x v="0"/>
    <x v="0"/>
    <x v="0"/>
    <n v="0"/>
    <n v="0"/>
    <n v="0"/>
    <n v="12"/>
    <x v="1"/>
    <x v="0"/>
    <m/>
    <x v="0"/>
    <n v="229.6"/>
    <x v="0"/>
    <x v="17"/>
    <x v="7"/>
    <x v="0"/>
    <x v="0"/>
  </r>
  <r>
    <x v="0"/>
    <x v="11"/>
    <s v="6096 J"/>
    <x v="183"/>
    <s v="Waqas Wollan Mills Gujranwala"/>
    <s v="LD ریڈ"/>
    <n v="11"/>
    <s v="7.5-8"/>
    <s v="LDM"/>
    <n v="300"/>
    <x v="0"/>
    <n v="2"/>
    <n v="76.099999999999994"/>
    <n v="2.6"/>
    <m/>
    <x v="0"/>
    <n v="73.5"/>
    <n v="307.09999999999997"/>
    <n v="5"/>
    <x v="0"/>
    <x v="0"/>
    <n v="5"/>
    <n v="8.3333333333333329E-2"/>
    <x v="0"/>
    <x v="0"/>
    <m/>
    <x v="0"/>
    <x v="0"/>
    <x v="0"/>
    <x v="0"/>
    <x v="0"/>
    <n v="0"/>
    <n v="0"/>
    <n v="8.3333333333333329E-2"/>
    <n v="11.916666666666666"/>
    <x v="1"/>
    <x v="0"/>
    <m/>
    <x v="0"/>
    <n v="81.099999999999994"/>
    <x v="0"/>
    <x v="17"/>
    <x v="7"/>
    <x v="0"/>
    <x v="0"/>
  </r>
  <r>
    <x v="0"/>
    <x v="11"/>
    <s v="6097 J"/>
    <x v="183"/>
    <s v="Waqas Wollan Mills Gujranwala"/>
    <s v="LD ریڈ"/>
    <n v="14"/>
    <s v="7.5-8"/>
    <s v="LDM"/>
    <n v="200"/>
    <x v="0"/>
    <n v="3"/>
    <n v="194.10000000000002"/>
    <n v="4.8000000000000007"/>
    <n v="11"/>
    <x v="0"/>
    <n v="189.3"/>
    <n v="189.3"/>
    <n v="5"/>
    <x v="0"/>
    <x v="0"/>
    <n v="5"/>
    <n v="8.3333333333333329E-2"/>
    <x v="0"/>
    <x v="0"/>
    <m/>
    <x v="0"/>
    <x v="0"/>
    <x v="0"/>
    <x v="0"/>
    <x v="0"/>
    <n v="0"/>
    <n v="0"/>
    <n v="8.3333333333333329E-2"/>
    <n v="11.916666666666666"/>
    <x v="1"/>
    <x v="0"/>
    <m/>
    <x v="0"/>
    <n v="199.10000000000002"/>
    <x v="0"/>
    <x v="17"/>
    <x v="7"/>
    <x v="0"/>
    <x v="0"/>
  </r>
  <r>
    <x v="0"/>
    <x v="11"/>
    <s v="6119 J"/>
    <x v="183"/>
    <s v="Mudassar Shabir Bimber Azad kashmir"/>
    <s v="LD ریڈ"/>
    <s v="12+3+3"/>
    <s v="7.5/15"/>
    <s v="LDM"/>
    <n v="110"/>
    <x v="0"/>
    <n v="3"/>
    <n v="118.6"/>
    <n v="4.5"/>
    <m/>
    <x v="0"/>
    <n v="114.1"/>
    <n v="114.1"/>
    <m/>
    <x v="0"/>
    <x v="0"/>
    <n v="0"/>
    <n v="0"/>
    <x v="0"/>
    <x v="0"/>
    <m/>
    <x v="0"/>
    <x v="0"/>
    <x v="0"/>
    <x v="0"/>
    <x v="0"/>
    <n v="0"/>
    <n v="0"/>
    <n v="0"/>
    <n v="12"/>
    <x v="1"/>
    <x v="0"/>
    <m/>
    <x v="0"/>
    <n v="123.6"/>
    <x v="0"/>
    <x v="17"/>
    <x v="7"/>
    <x v="0"/>
    <x v="0"/>
  </r>
  <r>
    <x v="1"/>
    <x v="11"/>
    <s v="6120 J"/>
    <x v="183"/>
    <s v="Mudassar Shabir Bimber Azad kashmir"/>
    <s v="LD ریڈ"/>
    <s v="12+3+3"/>
    <s v="7.5/15"/>
    <s v="LDM"/>
    <n v="110"/>
    <x v="0"/>
    <n v="3"/>
    <n v="118.9"/>
    <n v="4.5"/>
    <n v="40"/>
    <x v="0"/>
    <n v="114.4"/>
    <n v="114.4"/>
    <m/>
    <x v="0"/>
    <x v="0"/>
    <n v="0"/>
    <n v="0"/>
    <x v="0"/>
    <x v="0"/>
    <m/>
    <x v="0"/>
    <x v="0"/>
    <x v="0"/>
    <x v="0"/>
    <x v="0"/>
    <n v="0"/>
    <n v="0"/>
    <n v="0"/>
    <n v="12"/>
    <x v="1"/>
    <x v="0"/>
    <m/>
    <x v="0"/>
    <n v="123.9"/>
    <x v="0"/>
    <x v="17"/>
    <x v="7"/>
    <x v="0"/>
    <x v="0"/>
  </r>
  <r>
    <x v="1"/>
    <x v="11"/>
    <s v="6118 J"/>
    <x v="183"/>
    <s v="Mudassar Shabir Bimber Azad kashmir"/>
    <s v="LD ریڈ"/>
    <s v="10+3+3"/>
    <s v="7.5/15"/>
    <s v="LDM"/>
    <n v="110"/>
    <x v="0"/>
    <n v="3"/>
    <n v="109.69999999999999"/>
    <n v="3.5999999999999996"/>
    <m/>
    <x v="0"/>
    <n v="106.1"/>
    <n v="106.1"/>
    <m/>
    <x v="0"/>
    <x v="0"/>
    <n v="0"/>
    <n v="0"/>
    <x v="0"/>
    <x v="0"/>
    <m/>
    <x v="0"/>
    <x v="0"/>
    <x v="0"/>
    <x v="0"/>
    <x v="0"/>
    <n v="0"/>
    <n v="0"/>
    <n v="0"/>
    <n v="12"/>
    <x v="1"/>
    <x v="0"/>
    <m/>
    <x v="0"/>
    <n v="114.69999999999999"/>
    <x v="0"/>
    <x v="17"/>
    <x v="7"/>
    <x v="0"/>
    <x v="0"/>
  </r>
  <r>
    <x v="1"/>
    <x v="11"/>
    <s v="6100 J"/>
    <x v="183"/>
    <s v="Waqas Wollan Mills Gujranwala"/>
    <s v="LD گرین"/>
    <n v="13"/>
    <s v="7.5-8"/>
    <s v="LDM"/>
    <n v="300"/>
    <x v="0"/>
    <n v="1"/>
    <n v="62.6"/>
    <n v="1.3"/>
    <m/>
    <x v="0"/>
    <n v="61.300000000000004"/>
    <n v="294.7"/>
    <m/>
    <x v="0"/>
    <x v="0"/>
    <n v="0"/>
    <n v="0"/>
    <x v="0"/>
    <x v="0"/>
    <m/>
    <x v="0"/>
    <x v="0"/>
    <x v="0"/>
    <x v="0"/>
    <x v="0"/>
    <n v="0"/>
    <n v="0"/>
    <n v="0"/>
    <n v="12"/>
    <x v="1"/>
    <x v="0"/>
    <m/>
    <x v="0"/>
    <n v="67.599999999999994"/>
    <x v="0"/>
    <x v="17"/>
    <x v="7"/>
    <x v="0"/>
    <x v="0"/>
  </r>
  <r>
    <x v="0"/>
    <x v="13"/>
    <s v="14147/2"/>
    <x v="183"/>
    <s v="-"/>
    <m/>
    <m/>
    <m/>
    <m/>
    <m/>
    <x v="0"/>
    <n v="4"/>
    <n v="324.3"/>
    <n v="8"/>
    <n v="7"/>
    <x v="0"/>
    <n v="316.3"/>
    <n v="621.9"/>
    <m/>
    <x v="0"/>
    <x v="0"/>
    <n v="0"/>
    <n v="0"/>
    <x v="0"/>
    <x v="0"/>
    <m/>
    <x v="0"/>
    <x v="0"/>
    <x v="0"/>
    <x v="0"/>
    <x v="0"/>
    <n v="0"/>
    <n v="0"/>
    <n v="0"/>
    <n v="12"/>
    <x v="1"/>
    <x v="0"/>
    <m/>
    <x v="0"/>
    <n v="329.3"/>
    <x v="0"/>
    <x v="17"/>
    <x v="7"/>
    <x v="0"/>
    <x v="0"/>
  </r>
  <r>
    <x v="1"/>
    <x v="13"/>
    <s v="2604 F"/>
    <x v="183"/>
    <s v="Usman Amin"/>
    <s v="LDN"/>
    <n v="17"/>
    <s v="8-8.5"/>
    <s v="LDN"/>
    <n v="42"/>
    <x v="0"/>
    <n v="1"/>
    <n v="97"/>
    <n v="1.9"/>
    <m/>
    <x v="0"/>
    <n v="95.1"/>
    <n v="95.1"/>
    <m/>
    <x v="0"/>
    <x v="0"/>
    <n v="0"/>
    <n v="0"/>
    <x v="0"/>
    <x v="0"/>
    <m/>
    <x v="0"/>
    <x v="0"/>
    <x v="0"/>
    <x v="0"/>
    <x v="0"/>
    <n v="0"/>
    <n v="0"/>
    <n v="0"/>
    <n v="12"/>
    <x v="1"/>
    <x v="0"/>
    <m/>
    <x v="0"/>
    <n v="102"/>
    <x v="0"/>
    <x v="17"/>
    <x v="7"/>
    <x v="0"/>
    <x v="0"/>
  </r>
  <r>
    <x v="1"/>
    <x v="13"/>
    <s v="14147/2"/>
    <x v="183"/>
    <s v="-"/>
    <m/>
    <m/>
    <m/>
    <m/>
    <m/>
    <x v="0"/>
    <n v="4"/>
    <n v="230.9"/>
    <n v="7.6"/>
    <m/>
    <x v="0"/>
    <n v="223.3"/>
    <n v="621.9"/>
    <m/>
    <x v="0"/>
    <x v="0"/>
    <n v="0"/>
    <n v="0"/>
    <x v="0"/>
    <x v="0"/>
    <m/>
    <x v="0"/>
    <x v="0"/>
    <x v="0"/>
    <x v="0"/>
    <x v="0"/>
    <n v="0"/>
    <n v="0"/>
    <n v="0"/>
    <n v="12"/>
    <x v="1"/>
    <x v="0"/>
    <m/>
    <x v="0"/>
    <n v="235.9"/>
    <x v="0"/>
    <x v="17"/>
    <x v="7"/>
    <x v="0"/>
    <x v="0"/>
  </r>
  <r>
    <x v="1"/>
    <x v="13"/>
    <s v="14147/2"/>
    <x v="183"/>
    <s v="-"/>
    <m/>
    <m/>
    <m/>
    <m/>
    <m/>
    <x v="0"/>
    <n v="1"/>
    <n v="32.6"/>
    <n v="1.8"/>
    <n v="6"/>
    <x v="0"/>
    <n v="30.8"/>
    <n v="621.9"/>
    <m/>
    <x v="0"/>
    <x v="0"/>
    <n v="0"/>
    <n v="0"/>
    <x v="0"/>
    <x v="0"/>
    <m/>
    <x v="0"/>
    <x v="0"/>
    <x v="0"/>
    <x v="0"/>
    <x v="0"/>
    <n v="0"/>
    <n v="0"/>
    <n v="0"/>
    <n v="12"/>
    <x v="1"/>
    <x v="0"/>
    <m/>
    <x v="0"/>
    <n v="37.6"/>
    <x v="0"/>
    <x v="17"/>
    <x v="7"/>
    <x v="0"/>
    <x v="0"/>
  </r>
  <r>
    <x v="0"/>
    <x v="12"/>
    <s v="2833/1"/>
    <x v="183"/>
    <s v="PT-02"/>
    <s v="LD BLACK"/>
    <n v="34"/>
    <n v="16"/>
    <s v="SL"/>
    <n v="1000"/>
    <x v="0"/>
    <n v="3"/>
    <n v="380.6"/>
    <n v="11.399999999999999"/>
    <m/>
    <x v="0"/>
    <n v="369.20000000000005"/>
    <n v="1058.3"/>
    <n v="20"/>
    <x v="0"/>
    <x v="0"/>
    <n v="20"/>
    <n v="0.33333333333333331"/>
    <x v="0"/>
    <x v="0"/>
    <m/>
    <x v="0"/>
    <x v="0"/>
    <x v="0"/>
    <x v="0"/>
    <x v="0"/>
    <n v="0"/>
    <n v="0"/>
    <n v="0.33333333333333331"/>
    <n v="11.666666666666666"/>
    <x v="1"/>
    <x v="0"/>
    <m/>
    <x v="0"/>
    <n v="385.6"/>
    <x v="0"/>
    <x v="17"/>
    <x v="7"/>
    <x v="0"/>
    <x v="0"/>
  </r>
  <r>
    <x v="0"/>
    <x v="12"/>
    <s v="2586 F"/>
    <x v="183"/>
    <s v="Usman Amin"/>
    <s v="LD BLACK"/>
    <n v="10"/>
    <s v="8"/>
    <s v="LD BLACK"/>
    <n v="110"/>
    <x v="0"/>
    <n v="2"/>
    <n v="71"/>
    <n v="2.4"/>
    <m/>
    <x v="0"/>
    <n v="68.599999999999994"/>
    <n v="105.63999999999999"/>
    <m/>
    <x v="0"/>
    <x v="0"/>
    <n v="0"/>
    <n v="0"/>
    <x v="0"/>
    <x v="0"/>
    <m/>
    <x v="0"/>
    <x v="0"/>
    <x v="0"/>
    <x v="0"/>
    <x v="0"/>
    <n v="0"/>
    <n v="0"/>
    <n v="0"/>
    <n v="12"/>
    <x v="1"/>
    <x v="0"/>
    <m/>
    <x v="0"/>
    <n v="76"/>
    <x v="0"/>
    <x v="17"/>
    <x v="7"/>
    <x v="0"/>
    <x v="0"/>
  </r>
  <r>
    <x v="1"/>
    <x v="12"/>
    <s v="2586 F"/>
    <x v="183"/>
    <s v="Usman Amin"/>
    <s v="LD BLACK"/>
    <n v="10"/>
    <s v="8"/>
    <s v="LD BLACK"/>
    <n v="110"/>
    <x v="0"/>
    <n v="1"/>
    <n v="38.04"/>
    <n v="1"/>
    <n v="30"/>
    <x v="0"/>
    <n v="37.04"/>
    <n v="105.63999999999999"/>
    <n v="5"/>
    <x v="0"/>
    <x v="0"/>
    <n v="5"/>
    <n v="8.3333333333333329E-2"/>
    <x v="0"/>
    <x v="0"/>
    <m/>
    <x v="0"/>
    <x v="0"/>
    <x v="0"/>
    <x v="0"/>
    <x v="0"/>
    <n v="0"/>
    <n v="0"/>
    <n v="8.3333333333333329E-2"/>
    <n v="11.916666666666666"/>
    <x v="1"/>
    <x v="0"/>
    <m/>
    <x v="0"/>
    <n v="43.04"/>
    <x v="0"/>
    <x v="17"/>
    <x v="7"/>
    <x v="0"/>
    <x v="0"/>
  </r>
  <r>
    <x v="1"/>
    <x v="12"/>
    <s v="6049 J"/>
    <x v="183"/>
    <s v="Emarat Plastic Chonge"/>
    <s v="LDM"/>
    <n v="24"/>
    <n v="8"/>
    <s v="LDM"/>
    <n v="200"/>
    <x v="0"/>
    <n v="3"/>
    <n v="204.74"/>
    <n v="9"/>
    <m/>
    <x v="0"/>
    <n v="195.74"/>
    <n v="195.74"/>
    <m/>
    <x v="0"/>
    <x v="0"/>
    <n v="0"/>
    <n v="0"/>
    <x v="0"/>
    <x v="0"/>
    <m/>
    <x v="0"/>
    <x v="0"/>
    <x v="0"/>
    <x v="0"/>
    <x v="0"/>
    <n v="0"/>
    <n v="0"/>
    <n v="0"/>
    <n v="12"/>
    <x v="1"/>
    <x v="0"/>
    <m/>
    <x v="0"/>
    <n v="209.74"/>
    <x v="0"/>
    <x v="17"/>
    <x v="7"/>
    <x v="0"/>
    <x v="0"/>
  </r>
  <r>
    <x v="1"/>
    <x v="12"/>
    <m/>
    <x v="183"/>
    <s v="-"/>
    <m/>
    <n v="23"/>
    <s v="70+1"/>
    <m/>
    <m/>
    <x v="0"/>
    <n v="1"/>
    <n v="96.4"/>
    <n v="2.2999999999999998"/>
    <m/>
    <x v="0"/>
    <n v="94.100000000000009"/>
    <n v="0"/>
    <m/>
    <x v="0"/>
    <x v="0"/>
    <n v="0"/>
    <n v="0"/>
    <x v="0"/>
    <x v="0"/>
    <m/>
    <x v="0"/>
    <x v="0"/>
    <x v="0"/>
    <x v="0"/>
    <x v="0"/>
    <n v="0"/>
    <n v="0"/>
    <n v="0"/>
    <n v="12"/>
    <x v="1"/>
    <x v="0"/>
    <m/>
    <x v="0"/>
    <n v="101.4"/>
    <x v="0"/>
    <x v="17"/>
    <x v="7"/>
    <x v="0"/>
    <x v="0"/>
  </r>
  <r>
    <x v="1"/>
    <x v="12"/>
    <m/>
    <x v="183"/>
    <s v="-"/>
    <m/>
    <m/>
    <m/>
    <m/>
    <m/>
    <x v="0"/>
    <n v="3"/>
    <n v="169.14000000000001"/>
    <n v="7.1999999999999993"/>
    <m/>
    <x v="0"/>
    <n v="161.94000000000003"/>
    <n v="0"/>
    <m/>
    <x v="0"/>
    <x v="0"/>
    <n v="0"/>
    <n v="0"/>
    <x v="0"/>
    <x v="0"/>
    <m/>
    <x v="0"/>
    <x v="0"/>
    <x v="0"/>
    <x v="0"/>
    <x v="0"/>
    <n v="0"/>
    <n v="0"/>
    <n v="0"/>
    <n v="12"/>
    <x v="1"/>
    <x v="0"/>
    <m/>
    <x v="0"/>
    <n v="174.14000000000001"/>
    <x v="0"/>
    <x v="17"/>
    <x v="7"/>
    <x v="0"/>
    <x v="0"/>
  </r>
  <r>
    <x v="0"/>
    <x v="15"/>
    <s v="2597 F"/>
    <x v="183"/>
    <s v="Usman Amin"/>
    <s v="LDN"/>
    <n v="25.5"/>
    <s v="7"/>
    <s v="LDN"/>
    <n v="140"/>
    <x v="0"/>
    <n v="1"/>
    <n v="48.24"/>
    <n v="2.7"/>
    <n v="10"/>
    <x v="0"/>
    <n v="45.54"/>
    <n v="133.35999999999999"/>
    <n v="5"/>
    <x v="0"/>
    <x v="0"/>
    <n v="5"/>
    <n v="8.3333333333333329E-2"/>
    <x v="0"/>
    <x v="0"/>
    <m/>
    <x v="0"/>
    <x v="0"/>
    <x v="0"/>
    <x v="0"/>
    <x v="0"/>
    <n v="0"/>
    <n v="0"/>
    <n v="8.3333333333333329E-2"/>
    <n v="11.916666666666666"/>
    <x v="1"/>
    <x v="0"/>
    <m/>
    <x v="0"/>
    <n v="53.24"/>
    <x v="0"/>
    <x v="17"/>
    <x v="7"/>
    <x v="0"/>
    <x v="0"/>
  </r>
  <r>
    <x v="0"/>
    <x v="15"/>
    <s v="6071 J"/>
    <x v="183"/>
    <s v="Atlas Honda LTD (SKP)"/>
    <s v="LDN"/>
    <n v="12"/>
    <s v="8.5-9"/>
    <s v="LDN"/>
    <n v="74.786324786324784"/>
    <x v="0"/>
    <n v="2"/>
    <n v="110.36"/>
    <n v="5.2"/>
    <m/>
    <x v="0"/>
    <n v="105.16"/>
    <n v="105.16"/>
    <n v="5"/>
    <x v="0"/>
    <x v="0"/>
    <n v="5"/>
    <n v="8.3333333333333329E-2"/>
    <x v="0"/>
    <x v="0"/>
    <m/>
    <x v="0"/>
    <x v="0"/>
    <x v="0"/>
    <x v="0"/>
    <x v="0"/>
    <n v="0"/>
    <n v="0"/>
    <n v="8.3333333333333329E-2"/>
    <n v="11.916666666666666"/>
    <x v="1"/>
    <x v="0"/>
    <m/>
    <x v="0"/>
    <n v="115.36"/>
    <x v="0"/>
    <x v="17"/>
    <x v="7"/>
    <x v="0"/>
    <x v="0"/>
  </r>
  <r>
    <x v="0"/>
    <x v="15"/>
    <s v="2599 F"/>
    <x v="183"/>
    <s v="Usman Amin"/>
    <s v="LDN"/>
    <n v="28"/>
    <s v="12"/>
    <s v="LDN"/>
    <n v="58"/>
    <x v="0"/>
    <n v="1"/>
    <n v="71.599999999999994"/>
    <n v="3"/>
    <m/>
    <x v="0"/>
    <n v="68.599999999999994"/>
    <n v="68.599999999999994"/>
    <m/>
    <x v="0"/>
    <x v="0"/>
    <n v="0"/>
    <n v="0"/>
    <x v="0"/>
    <x v="0"/>
    <m/>
    <x v="0"/>
    <x v="0"/>
    <x v="0"/>
    <x v="0"/>
    <x v="0"/>
    <n v="0"/>
    <n v="0"/>
    <n v="0"/>
    <n v="12"/>
    <x v="1"/>
    <x v="0"/>
    <m/>
    <x v="0"/>
    <n v="76.599999999999994"/>
    <x v="0"/>
    <x v="17"/>
    <x v="7"/>
    <x v="0"/>
    <x v="0"/>
  </r>
  <r>
    <x v="0"/>
    <x v="15"/>
    <s v="6109 J"/>
    <x v="183"/>
    <s v="Aleez Classic Cloth Nashtar"/>
    <s v="LDN"/>
    <n v="18.75"/>
    <n v="5"/>
    <s v="LDN"/>
    <n v="100"/>
    <x v="0"/>
    <n v="2"/>
    <n v="101.09"/>
    <n v="3.6"/>
    <m/>
    <x v="0"/>
    <n v="97.490000000000009"/>
    <n v="97.490000000000009"/>
    <m/>
    <x v="0"/>
    <x v="0"/>
    <n v="0"/>
    <n v="0"/>
    <x v="0"/>
    <x v="0"/>
    <m/>
    <x v="0"/>
    <x v="0"/>
    <x v="0"/>
    <x v="0"/>
    <x v="0"/>
    <n v="0"/>
    <n v="0"/>
    <n v="0"/>
    <n v="12"/>
    <x v="1"/>
    <x v="0"/>
    <m/>
    <x v="0"/>
    <n v="106.09"/>
    <x v="0"/>
    <x v="17"/>
    <x v="7"/>
    <x v="0"/>
    <x v="0"/>
  </r>
  <r>
    <x v="0"/>
    <x v="15"/>
    <s v="2587 F"/>
    <x v="183"/>
    <s v="Usman Amin"/>
    <s v="LDN"/>
    <n v="19"/>
    <s v="5-5.5"/>
    <s v="LDN"/>
    <n v="110"/>
    <x v="0"/>
    <n v="2"/>
    <n v="130.4"/>
    <n v="5"/>
    <m/>
    <x v="0"/>
    <n v="125.4"/>
    <n v="465.08000000000004"/>
    <m/>
    <x v="0"/>
    <x v="0"/>
    <n v="0"/>
    <n v="0"/>
    <x v="0"/>
    <x v="0"/>
    <m/>
    <x v="0"/>
    <x v="0"/>
    <x v="0"/>
    <x v="0"/>
    <x v="0"/>
    <n v="0"/>
    <n v="0"/>
    <n v="0"/>
    <n v="12"/>
    <x v="1"/>
    <x v="0"/>
    <m/>
    <x v="0"/>
    <n v="135.4"/>
    <x v="0"/>
    <x v="17"/>
    <x v="7"/>
    <x v="0"/>
    <x v="0"/>
  </r>
  <r>
    <x v="1"/>
    <x v="15"/>
    <s v="2587 F"/>
    <x v="183"/>
    <s v="Usman Amin"/>
    <s v="LDN"/>
    <n v="19"/>
    <s v="5-5.5"/>
    <s v="LDN"/>
    <n v="110"/>
    <x v="0"/>
    <n v="6"/>
    <n v="351.08000000000004"/>
    <n v="11.399999999999999"/>
    <n v="8"/>
    <x v="0"/>
    <n v="339.68000000000006"/>
    <n v="465.08000000000004"/>
    <m/>
    <x v="0"/>
    <x v="0"/>
    <n v="0"/>
    <n v="0"/>
    <x v="0"/>
    <x v="0"/>
    <m/>
    <x v="0"/>
    <x v="0"/>
    <x v="0"/>
    <x v="0"/>
    <x v="0"/>
    <n v="0"/>
    <n v="0"/>
    <n v="0"/>
    <n v="12"/>
    <x v="1"/>
    <x v="0"/>
    <m/>
    <x v="0"/>
    <n v="356.08000000000004"/>
    <x v="0"/>
    <x v="17"/>
    <x v="7"/>
    <x v="0"/>
    <x v="0"/>
  </r>
  <r>
    <x v="1"/>
    <x v="15"/>
    <s v="2600 F"/>
    <x v="183"/>
    <s v="Usman Amin"/>
    <s v="LDN"/>
    <n v="17"/>
    <s v="5-5.5"/>
    <s v="LDN"/>
    <n v="80"/>
    <x v="0"/>
    <n v="1"/>
    <n v="55.74"/>
    <n v="1.7"/>
    <m/>
    <x v="0"/>
    <n v="54.04"/>
    <n v="212.53999999999996"/>
    <m/>
    <x v="0"/>
    <x v="0"/>
    <n v="0"/>
    <n v="0"/>
    <x v="0"/>
    <x v="0"/>
    <m/>
    <x v="0"/>
    <x v="0"/>
    <x v="0"/>
    <x v="0"/>
    <x v="0"/>
    <n v="0"/>
    <n v="0"/>
    <n v="0"/>
    <n v="12"/>
    <x v="1"/>
    <x v="0"/>
    <m/>
    <x v="0"/>
    <n v="60.74"/>
    <x v="0"/>
    <x v="17"/>
    <x v="7"/>
    <x v="0"/>
    <x v="0"/>
  </r>
  <r>
    <x v="0"/>
    <x v="8"/>
    <s v="5919 J"/>
    <x v="184"/>
    <s v="Afford Super Market Lahore"/>
    <s v="LDN"/>
    <n v="10"/>
    <s v="14-15"/>
    <s v="LDN"/>
    <n v="125"/>
    <x v="0"/>
    <n v="2"/>
    <n v="98.300000000000011"/>
    <n v="2.4"/>
    <m/>
    <x v="0"/>
    <n v="95.9"/>
    <n v="128.6"/>
    <m/>
    <x v="0"/>
    <x v="17"/>
    <n v="300"/>
    <n v="5"/>
    <x v="0"/>
    <x v="0"/>
    <m/>
    <x v="0"/>
    <x v="0"/>
    <x v="0"/>
    <x v="0"/>
    <x v="0"/>
    <n v="0"/>
    <n v="0"/>
    <n v="5"/>
    <n v="7"/>
    <x v="1"/>
    <x v="0"/>
    <m/>
    <x v="0"/>
    <n v="103.30000000000001"/>
    <x v="0"/>
    <x v="17"/>
    <x v="7"/>
    <x v="0"/>
    <x v="0"/>
  </r>
  <r>
    <x v="0"/>
    <x v="9"/>
    <s v="6038 J"/>
    <x v="184"/>
    <s v="Waseem Shoper House Lahore"/>
    <s v="LDN"/>
    <n v="35"/>
    <s v="-"/>
    <s v="LDN"/>
    <n v="360"/>
    <x v="0"/>
    <n v="2"/>
    <n v="135.80000000000001"/>
    <n v="3"/>
    <m/>
    <x v="0"/>
    <n v="132.80000000000001"/>
    <n v="714.40000000000009"/>
    <m/>
    <x v="0"/>
    <x v="0"/>
    <n v="0"/>
    <n v="0"/>
    <x v="0"/>
    <x v="0"/>
    <m/>
    <x v="0"/>
    <x v="0"/>
    <x v="0"/>
    <x v="0"/>
    <x v="0"/>
    <n v="0"/>
    <n v="0"/>
    <n v="0"/>
    <n v="12"/>
    <x v="1"/>
    <x v="0"/>
    <m/>
    <x v="0"/>
    <n v="140.80000000000001"/>
    <x v="0"/>
    <x v="17"/>
    <x v="7"/>
    <x v="0"/>
    <x v="0"/>
  </r>
  <r>
    <x v="0"/>
    <x v="9"/>
    <s v="6146 J"/>
    <x v="184"/>
    <s v="Bundu Khan Lahore"/>
    <s v="LDN"/>
    <n v="8"/>
    <s v="6-6.5"/>
    <s v="LDN"/>
    <n v="200"/>
    <x v="0"/>
    <n v="1"/>
    <n v="50.8"/>
    <n v="1"/>
    <m/>
    <x v="0"/>
    <n v="49.8"/>
    <n v="208.95"/>
    <m/>
    <x v="0"/>
    <x v="0"/>
    <n v="0"/>
    <n v="0"/>
    <x v="0"/>
    <x v="0"/>
    <m/>
    <x v="0"/>
    <x v="0"/>
    <x v="0"/>
    <x v="0"/>
    <x v="0"/>
    <n v="0"/>
    <n v="0"/>
    <n v="0"/>
    <n v="12"/>
    <x v="1"/>
    <x v="0"/>
    <m/>
    <x v="0"/>
    <n v="55.8"/>
    <x v="0"/>
    <x v="17"/>
    <x v="7"/>
    <x v="0"/>
    <x v="0"/>
  </r>
  <r>
    <x v="1"/>
    <x v="9"/>
    <s v="6146 J"/>
    <x v="184"/>
    <s v="Bundu Khan Lahore"/>
    <s v="LDN"/>
    <n v="8"/>
    <s v="6-6.5"/>
    <s v="LDN"/>
    <n v="200"/>
    <x v="0"/>
    <n v="1"/>
    <n v="40.1"/>
    <n v="1"/>
    <m/>
    <x v="0"/>
    <n v="39.1"/>
    <n v="208.95"/>
    <m/>
    <x v="0"/>
    <x v="0"/>
    <n v="0"/>
    <n v="0"/>
    <x v="0"/>
    <x v="0"/>
    <m/>
    <x v="0"/>
    <x v="0"/>
    <x v="0"/>
    <x v="0"/>
    <x v="0"/>
    <n v="0"/>
    <n v="0"/>
    <n v="0"/>
    <n v="12"/>
    <x v="1"/>
    <x v="0"/>
    <m/>
    <x v="0"/>
    <n v="45.1"/>
    <x v="0"/>
    <x v="17"/>
    <x v="7"/>
    <x v="0"/>
    <x v="0"/>
  </r>
  <r>
    <x v="1"/>
    <x v="9"/>
    <s v="6146 J"/>
    <x v="184"/>
    <s v="Bundu Khan Lahore"/>
    <s v="LDN"/>
    <n v="8"/>
    <s v="6-6.5"/>
    <s v="LDN"/>
    <n v="200"/>
    <x v="0"/>
    <n v="1"/>
    <n v="52"/>
    <n v="1"/>
    <m/>
    <x v="0"/>
    <n v="51"/>
    <n v="208.95"/>
    <m/>
    <x v="0"/>
    <x v="0"/>
    <n v="0"/>
    <n v="0"/>
    <x v="0"/>
    <x v="0"/>
    <m/>
    <x v="0"/>
    <x v="0"/>
    <x v="0"/>
    <x v="0"/>
    <x v="0"/>
    <n v="0"/>
    <n v="0"/>
    <n v="0"/>
    <n v="12"/>
    <x v="1"/>
    <x v="0"/>
    <m/>
    <x v="0"/>
    <n v="57"/>
    <x v="0"/>
    <x v="17"/>
    <x v="7"/>
    <x v="0"/>
    <x v="0"/>
  </r>
  <r>
    <x v="0"/>
    <x v="11"/>
    <s v="6100 J"/>
    <x v="184"/>
    <s v="Waqas Wollan Mills Gujranwala"/>
    <s v="LD گرین"/>
    <n v="13"/>
    <s v="7.5-8"/>
    <s v="LDM"/>
    <n v="300"/>
    <x v="0"/>
    <n v="4"/>
    <n v="239.79999999999998"/>
    <n v="6.4"/>
    <n v="90"/>
    <x v="0"/>
    <n v="233.39999999999998"/>
    <n v="294.7"/>
    <m/>
    <x v="0"/>
    <x v="0"/>
    <n v="0"/>
    <n v="0"/>
    <x v="0"/>
    <x v="0"/>
    <m/>
    <x v="0"/>
    <x v="7"/>
    <x v="0"/>
    <x v="0"/>
    <x v="0"/>
    <n v="100"/>
    <n v="1.6666666666666667"/>
    <n v="1.6666666666666667"/>
    <n v="10.333333333333334"/>
    <x v="1"/>
    <x v="0"/>
    <m/>
    <x v="0"/>
    <n v="244.79999999999998"/>
    <x v="0"/>
    <x v="17"/>
    <x v="7"/>
    <x v="0"/>
    <x v="0"/>
  </r>
  <r>
    <x v="0"/>
    <x v="11"/>
    <s v="14150/1"/>
    <x v="184"/>
    <s v="-"/>
    <m/>
    <m/>
    <m/>
    <m/>
    <m/>
    <x v="0"/>
    <n v="1"/>
    <n v="51.7"/>
    <n v="1.2"/>
    <m/>
    <x v="0"/>
    <n v="50.5"/>
    <n v="50.5"/>
    <m/>
    <x v="0"/>
    <x v="0"/>
    <n v="0"/>
    <n v="0"/>
    <x v="0"/>
    <x v="0"/>
    <m/>
    <x v="0"/>
    <x v="0"/>
    <x v="0"/>
    <x v="0"/>
    <x v="0"/>
    <n v="0"/>
    <n v="0"/>
    <n v="0"/>
    <n v="12"/>
    <x v="1"/>
    <x v="0"/>
    <m/>
    <x v="0"/>
    <n v="56.7"/>
    <x v="0"/>
    <x v="17"/>
    <x v="7"/>
    <x v="0"/>
    <x v="0"/>
  </r>
  <r>
    <x v="1"/>
    <x v="11"/>
    <s v="6053 J"/>
    <x v="184"/>
    <s v="Moazmi Plastic Sahiwal "/>
    <s v="LDM"/>
    <n v="10.5"/>
    <n v="12"/>
    <s v="LDM"/>
    <n v="125"/>
    <x v="0"/>
    <n v="2"/>
    <n v="97.5"/>
    <n v="2.4"/>
    <m/>
    <x v="0"/>
    <n v="95.1"/>
    <n v="95.1"/>
    <n v="30"/>
    <x v="0"/>
    <x v="0"/>
    <n v="30"/>
    <n v="0.5"/>
    <x v="0"/>
    <x v="0"/>
    <m/>
    <x v="0"/>
    <x v="0"/>
    <x v="0"/>
    <x v="0"/>
    <x v="0"/>
    <n v="0"/>
    <n v="0"/>
    <n v="0.5"/>
    <n v="11.5"/>
    <x v="1"/>
    <x v="0"/>
    <m/>
    <x v="0"/>
    <n v="102.5"/>
    <x v="0"/>
    <x v="17"/>
    <x v="7"/>
    <x v="0"/>
    <x v="0"/>
  </r>
  <r>
    <x v="1"/>
    <x v="11"/>
    <s v="6054 J"/>
    <x v="184"/>
    <s v="Moazmi Plastic Sahiwal "/>
    <s v="LDM"/>
    <n v="11.5"/>
    <n v="12"/>
    <s v="LDM"/>
    <n v="125"/>
    <x v="0"/>
    <n v="2"/>
    <n v="92.33"/>
    <n v="2.6"/>
    <m/>
    <x v="0"/>
    <n v="89.73"/>
    <n v="144.37"/>
    <m/>
    <x v="0"/>
    <x v="0"/>
    <n v="0"/>
    <n v="0"/>
    <x v="0"/>
    <x v="0"/>
    <m/>
    <x v="0"/>
    <x v="0"/>
    <x v="0"/>
    <x v="0"/>
    <x v="0"/>
    <n v="0"/>
    <n v="0"/>
    <n v="0"/>
    <n v="12"/>
    <x v="1"/>
    <x v="0"/>
    <m/>
    <x v="0"/>
    <n v="97.33"/>
    <x v="0"/>
    <x v="17"/>
    <x v="7"/>
    <x v="0"/>
    <x v="0"/>
  </r>
  <r>
    <x v="1"/>
    <x v="11"/>
    <s v="6123 J"/>
    <x v="184"/>
    <s v="The Kids Mall Lahore"/>
    <s v="LDM"/>
    <n v="14"/>
    <s v="13-14"/>
    <s v="LDM"/>
    <n v="100"/>
    <x v="0"/>
    <n v="2"/>
    <n v="102.93"/>
    <n v="3.2"/>
    <m/>
    <x v="0"/>
    <n v="99.73"/>
    <n v="99.73"/>
    <m/>
    <x v="0"/>
    <x v="0"/>
    <n v="0"/>
    <n v="0"/>
    <x v="0"/>
    <x v="0"/>
    <m/>
    <x v="0"/>
    <x v="0"/>
    <x v="0"/>
    <x v="0"/>
    <x v="0"/>
    <n v="0"/>
    <n v="0"/>
    <n v="0"/>
    <n v="12"/>
    <x v="1"/>
    <x v="0"/>
    <m/>
    <x v="0"/>
    <n v="107.93"/>
    <x v="0"/>
    <x v="17"/>
    <x v="7"/>
    <x v="0"/>
    <x v="0"/>
  </r>
  <r>
    <x v="0"/>
    <x v="13"/>
    <s v="2592 F"/>
    <x v="184"/>
    <s v="Usman Amin"/>
    <s v="LDN"/>
    <n v="17"/>
    <s v="7"/>
    <s v="LDN"/>
    <n v="600"/>
    <x v="0"/>
    <n v="5"/>
    <n v="370.17000000000007"/>
    <n v="10"/>
    <m/>
    <x v="0"/>
    <n v="360.17000000000007"/>
    <n v="595.41000000000008"/>
    <m/>
    <x v="0"/>
    <x v="0"/>
    <n v="0"/>
    <n v="0"/>
    <x v="0"/>
    <x v="0"/>
    <m/>
    <x v="0"/>
    <x v="0"/>
    <x v="0"/>
    <x v="0"/>
    <x v="0"/>
    <n v="0"/>
    <n v="0"/>
    <n v="0"/>
    <n v="12"/>
    <x v="1"/>
    <x v="0"/>
    <m/>
    <x v="0"/>
    <n v="375.17000000000007"/>
    <x v="0"/>
    <x v="17"/>
    <x v="7"/>
    <x v="0"/>
    <x v="0"/>
  </r>
  <r>
    <x v="1"/>
    <x v="13"/>
    <s v="2592 F"/>
    <x v="184"/>
    <s v="Usman Amin"/>
    <s v="LDN"/>
    <n v="17"/>
    <s v="7"/>
    <s v="LDN"/>
    <n v="600"/>
    <x v="0"/>
    <n v="3"/>
    <n v="241.24"/>
    <n v="6"/>
    <m/>
    <x v="0"/>
    <n v="235.24"/>
    <n v="595.41000000000008"/>
    <m/>
    <x v="0"/>
    <x v="0"/>
    <n v="0"/>
    <n v="0"/>
    <x v="0"/>
    <x v="0"/>
    <m/>
    <x v="0"/>
    <x v="0"/>
    <x v="0"/>
    <x v="0"/>
    <x v="0"/>
    <n v="0"/>
    <n v="0"/>
    <n v="0"/>
    <n v="12"/>
    <x v="1"/>
    <x v="0"/>
    <m/>
    <x v="0"/>
    <n v="246.24"/>
    <x v="0"/>
    <x v="17"/>
    <x v="7"/>
    <x v="0"/>
    <x v="0"/>
  </r>
  <r>
    <x v="1"/>
    <x v="13"/>
    <s v="2593 F"/>
    <x v="184"/>
    <s v="Usman Amin"/>
    <s v="LDN"/>
    <n v="17"/>
    <s v="7"/>
    <s v="LDN"/>
    <n v="375"/>
    <x v="0"/>
    <n v="1"/>
    <n v="68.150000000000006"/>
    <n v="1.7"/>
    <m/>
    <x v="0"/>
    <n v="66.45"/>
    <n v="358.95"/>
    <m/>
    <x v="0"/>
    <x v="0"/>
    <n v="0"/>
    <n v="0"/>
    <x v="0"/>
    <x v="0"/>
    <m/>
    <x v="0"/>
    <x v="0"/>
    <x v="0"/>
    <x v="0"/>
    <x v="0"/>
    <n v="0"/>
    <n v="0"/>
    <n v="0"/>
    <n v="12"/>
    <x v="1"/>
    <x v="0"/>
    <m/>
    <x v="0"/>
    <n v="73.150000000000006"/>
    <x v="0"/>
    <x v="17"/>
    <x v="7"/>
    <x v="0"/>
    <x v="0"/>
  </r>
  <r>
    <x v="0"/>
    <x v="12"/>
    <s v="2835/1"/>
    <x v="184"/>
    <s v="MATCO FOOD"/>
    <s v="LDN"/>
    <n v="23"/>
    <s v="70±2"/>
    <s v="SL"/>
    <n v="1750"/>
    <x v="0"/>
    <n v="6"/>
    <n v="697.09999999999991"/>
    <n v="18"/>
    <m/>
    <x v="0"/>
    <n v="679.09999999999991"/>
    <n v="1670.61"/>
    <m/>
    <x v="0"/>
    <x v="0"/>
    <n v="0"/>
    <n v="0"/>
    <x v="0"/>
    <x v="0"/>
    <m/>
    <x v="0"/>
    <x v="0"/>
    <x v="0"/>
    <x v="0"/>
    <x v="0"/>
    <n v="0"/>
    <n v="0"/>
    <n v="0"/>
    <n v="12"/>
    <x v="1"/>
    <x v="0"/>
    <m/>
    <x v="0"/>
    <n v="702.09999999999991"/>
    <x v="0"/>
    <x v="17"/>
    <x v="7"/>
    <x v="0"/>
    <x v="0"/>
  </r>
  <r>
    <x v="1"/>
    <x v="12"/>
    <s v="2835/1"/>
    <x v="184"/>
    <s v="MATCO FOOD"/>
    <s v="LDN"/>
    <n v="23"/>
    <s v="70±2"/>
    <s v="SL"/>
    <n v="1750"/>
    <x v="0"/>
    <n v="6"/>
    <n v="670.51"/>
    <n v="18"/>
    <m/>
    <x v="0"/>
    <n v="652.51"/>
    <n v="1670.61"/>
    <m/>
    <x v="0"/>
    <x v="0"/>
    <n v="0"/>
    <n v="0"/>
    <x v="0"/>
    <x v="0"/>
    <m/>
    <x v="0"/>
    <x v="0"/>
    <x v="0"/>
    <x v="0"/>
    <x v="0"/>
    <n v="0"/>
    <n v="0"/>
    <n v="0"/>
    <n v="12"/>
    <x v="1"/>
    <x v="0"/>
    <m/>
    <x v="0"/>
    <n v="675.51"/>
    <x v="0"/>
    <x v="17"/>
    <x v="7"/>
    <x v="0"/>
    <x v="0"/>
  </r>
  <r>
    <x v="0"/>
    <x v="14"/>
    <s v="6101 J"/>
    <x v="184"/>
    <s v="Waqas Wollan Mills Gujranwala"/>
    <s v="LD پیلا"/>
    <n v="10"/>
    <s v="7.5-8"/>
    <s v="LDM"/>
    <n v="100"/>
    <x v="0"/>
    <n v="1"/>
    <n v="40"/>
    <n v="1.2"/>
    <n v="34"/>
    <x v="0"/>
    <n v="38.799999999999997"/>
    <n v="100.15"/>
    <m/>
    <x v="12"/>
    <x v="0"/>
    <n v="420"/>
    <n v="7"/>
    <x v="0"/>
    <x v="0"/>
    <m/>
    <x v="0"/>
    <x v="0"/>
    <x v="0"/>
    <x v="0"/>
    <x v="0"/>
    <n v="0"/>
    <n v="0"/>
    <n v="7"/>
    <n v="5"/>
    <x v="1"/>
    <x v="0"/>
    <m/>
    <x v="0"/>
    <n v="45"/>
    <x v="0"/>
    <x v="17"/>
    <x v="7"/>
    <x v="0"/>
    <x v="0"/>
  </r>
  <r>
    <x v="1"/>
    <x v="14"/>
    <s v="6101 J"/>
    <x v="184"/>
    <s v="Waqas Wollan Mills Gujranwala"/>
    <s v="LD پیلا"/>
    <n v="10"/>
    <s v="7.5-8"/>
    <s v="LDM"/>
    <n v="100"/>
    <x v="0"/>
    <n v="2"/>
    <n v="63.75"/>
    <n v="2.4"/>
    <m/>
    <x v="0"/>
    <n v="61.35"/>
    <n v="100.15"/>
    <m/>
    <x v="0"/>
    <x v="0"/>
    <n v="0"/>
    <n v="0"/>
    <x v="0"/>
    <x v="0"/>
    <m/>
    <x v="0"/>
    <x v="0"/>
    <x v="0"/>
    <x v="0"/>
    <x v="0"/>
    <n v="0"/>
    <n v="0"/>
    <n v="0"/>
    <n v="12"/>
    <x v="1"/>
    <x v="0"/>
    <m/>
    <x v="0"/>
    <n v="68.75"/>
    <x v="0"/>
    <x v="17"/>
    <x v="7"/>
    <x v="0"/>
    <x v="0"/>
  </r>
  <r>
    <x v="1"/>
    <x v="14"/>
    <s v="6036 J"/>
    <x v="184"/>
    <s v="Usman Plastic Chiniot"/>
    <s v="LD پیلا"/>
    <n v="20"/>
    <s v="-"/>
    <s v="LDM"/>
    <n v="125"/>
    <x v="0"/>
    <n v="1"/>
    <n v="66.3"/>
    <n v="2.4"/>
    <m/>
    <x v="0"/>
    <n v="63.9"/>
    <n v="128.47999999999999"/>
    <m/>
    <x v="0"/>
    <x v="0"/>
    <n v="0"/>
    <n v="0"/>
    <x v="0"/>
    <x v="0"/>
    <m/>
    <x v="0"/>
    <x v="0"/>
    <x v="0"/>
    <x v="0"/>
    <x v="0"/>
    <n v="0"/>
    <n v="0"/>
    <n v="0"/>
    <n v="12"/>
    <x v="1"/>
    <x v="0"/>
    <m/>
    <x v="0"/>
    <n v="71.3"/>
    <x v="0"/>
    <x v="17"/>
    <x v="7"/>
    <x v="0"/>
    <x v="0"/>
  </r>
  <r>
    <x v="1"/>
    <x v="14"/>
    <s v="PACKING"/>
    <x v="184"/>
    <s v="-"/>
    <m/>
    <n v="24"/>
    <s v="14-15"/>
    <m/>
    <m/>
    <x v="0"/>
    <n v="3"/>
    <n v="119.19999999999999"/>
    <n v="6"/>
    <m/>
    <x v="0"/>
    <n v="113.19999999999999"/>
    <n v="2074.5"/>
    <m/>
    <x v="0"/>
    <x v="0"/>
    <n v="0"/>
    <n v="0"/>
    <x v="0"/>
    <x v="0"/>
    <m/>
    <x v="0"/>
    <x v="0"/>
    <x v="0"/>
    <x v="0"/>
    <x v="0"/>
    <n v="0"/>
    <n v="0"/>
    <n v="0"/>
    <n v="12"/>
    <x v="1"/>
    <x v="0"/>
    <m/>
    <x v="0"/>
    <n v="124.19999999999999"/>
    <x v="0"/>
    <x v="17"/>
    <x v="7"/>
    <x v="0"/>
    <x v="0"/>
  </r>
  <r>
    <x v="0"/>
    <x v="15"/>
    <s v="2600 F"/>
    <x v="184"/>
    <s v="Usman Amin"/>
    <s v="LDN"/>
    <n v="17"/>
    <s v="5-5.5"/>
    <s v="LDN"/>
    <n v="80"/>
    <x v="0"/>
    <n v="3"/>
    <n v="163.89999999999998"/>
    <n v="5.4"/>
    <m/>
    <x v="0"/>
    <n v="158.49999999999997"/>
    <n v="212.53999999999996"/>
    <m/>
    <x v="0"/>
    <x v="0"/>
    <n v="0"/>
    <n v="0"/>
    <x v="0"/>
    <x v="0"/>
    <m/>
    <x v="0"/>
    <x v="0"/>
    <x v="0"/>
    <x v="0"/>
    <x v="0"/>
    <n v="0"/>
    <n v="0"/>
    <n v="0"/>
    <n v="12"/>
    <x v="1"/>
    <x v="0"/>
    <m/>
    <x v="0"/>
    <n v="168.89999999999998"/>
    <x v="0"/>
    <x v="17"/>
    <x v="7"/>
    <x v="0"/>
    <x v="0"/>
  </r>
  <r>
    <x v="0"/>
    <x v="15"/>
    <s v="2589 F"/>
    <x v="184"/>
    <s v="Usman Amin"/>
    <s v="LDN"/>
    <n v="21"/>
    <s v="5-5.5"/>
    <s v="LDN"/>
    <n v="180"/>
    <x v="0"/>
    <n v="5"/>
    <n v="319.05"/>
    <n v="17.399999999999999"/>
    <m/>
    <x v="0"/>
    <n v="301.65000000000003"/>
    <n v="845.69999999999993"/>
    <m/>
    <x v="0"/>
    <x v="0"/>
    <n v="0"/>
    <n v="0"/>
    <x v="0"/>
    <x v="0"/>
    <m/>
    <x v="0"/>
    <x v="0"/>
    <x v="0"/>
    <x v="0"/>
    <x v="0"/>
    <n v="0"/>
    <n v="0"/>
    <n v="0"/>
    <n v="12"/>
    <x v="1"/>
    <x v="0"/>
    <m/>
    <x v="0"/>
    <n v="324.05"/>
    <x v="0"/>
    <x v="17"/>
    <x v="7"/>
    <x v="0"/>
    <x v="0"/>
  </r>
  <r>
    <x v="1"/>
    <x v="15"/>
    <s v="2589 F"/>
    <x v="184"/>
    <s v="Usman Amin"/>
    <s v="LDN"/>
    <n v="21"/>
    <s v="5-5.5"/>
    <s v="LDN"/>
    <n v="180"/>
    <x v="0"/>
    <n v="6"/>
    <n v="409.69"/>
    <n v="13.799999999999999"/>
    <m/>
    <x v="0"/>
    <n v="395.89"/>
    <n v="845.69999999999993"/>
    <m/>
    <x v="0"/>
    <x v="0"/>
    <n v="0"/>
    <n v="0"/>
    <x v="0"/>
    <x v="0"/>
    <m/>
    <x v="0"/>
    <x v="0"/>
    <x v="0"/>
    <x v="0"/>
    <x v="0"/>
    <n v="0"/>
    <n v="0"/>
    <n v="0"/>
    <n v="12"/>
    <x v="1"/>
    <x v="0"/>
    <m/>
    <x v="0"/>
    <n v="414.69"/>
    <x v="0"/>
    <x v="17"/>
    <x v="7"/>
    <x v="0"/>
    <x v="0"/>
  </r>
  <r>
    <x v="0"/>
    <x v="11"/>
    <s v="6125 J"/>
    <x v="185"/>
    <s v="Ramada Multan"/>
    <s v="LDM"/>
    <n v="18"/>
    <s v="12-13"/>
    <s v="LDM"/>
    <n v="100"/>
    <x v="0"/>
    <n v="2"/>
    <n v="106.5"/>
    <n v="4.4000000000000004"/>
    <n v="3"/>
    <x v="0"/>
    <n v="102.1"/>
    <n v="102.1"/>
    <n v="5"/>
    <x v="0"/>
    <x v="0"/>
    <n v="5"/>
    <n v="8.3333333333333329E-2"/>
    <x v="0"/>
    <x v="0"/>
    <m/>
    <x v="0"/>
    <x v="0"/>
    <x v="0"/>
    <x v="0"/>
    <x v="0"/>
    <n v="0"/>
    <n v="0"/>
    <n v="8.3333333333333329E-2"/>
    <n v="11.916666666666666"/>
    <x v="1"/>
    <x v="0"/>
    <m/>
    <x v="0"/>
    <n v="111.5"/>
    <x v="0"/>
    <x v="17"/>
    <x v="7"/>
    <x v="0"/>
    <x v="0"/>
  </r>
  <r>
    <x v="0"/>
    <x v="11"/>
    <s v="6064 J"/>
    <x v="185"/>
    <s v="Lasani Traders C/O Amaanulah Sab"/>
    <s v="LDM"/>
    <s v="11+3+3"/>
    <s v="8-8.5/16-17"/>
    <s v="LDM"/>
    <n v="1050"/>
    <x v="0"/>
    <n v="8"/>
    <n v="298.79999999999995"/>
    <n v="10.4"/>
    <m/>
    <x v="0"/>
    <n v="288.39999999999998"/>
    <n v="1063.5600000000002"/>
    <m/>
    <x v="0"/>
    <x v="0"/>
    <n v="0"/>
    <n v="0"/>
    <x v="0"/>
    <x v="0"/>
    <m/>
    <x v="0"/>
    <x v="0"/>
    <x v="0"/>
    <x v="0"/>
    <x v="0"/>
    <n v="0"/>
    <n v="0"/>
    <n v="0"/>
    <n v="12"/>
    <x v="1"/>
    <x v="0"/>
    <m/>
    <x v="0"/>
    <n v="303.79999999999995"/>
    <x v="0"/>
    <x v="17"/>
    <x v="7"/>
    <x v="0"/>
    <x v="0"/>
  </r>
  <r>
    <x v="1"/>
    <x v="11"/>
    <s v="6064 J"/>
    <x v="185"/>
    <s v="Lasani Traders C/O Amaanulah Sab"/>
    <s v="LDM"/>
    <s v="11+3+3"/>
    <s v="8-8.5/16-17"/>
    <s v="LDM"/>
    <n v="1050"/>
    <x v="0"/>
    <n v="9"/>
    <n v="378.03999999999996"/>
    <n v="11.700000000000001"/>
    <n v="4"/>
    <x v="0"/>
    <n v="366.34"/>
    <n v="1063.5600000000002"/>
    <m/>
    <x v="0"/>
    <x v="0"/>
    <n v="0"/>
    <n v="0"/>
    <x v="0"/>
    <x v="0"/>
    <m/>
    <x v="5"/>
    <x v="0"/>
    <x v="0"/>
    <x v="0"/>
    <x v="0"/>
    <n v="3"/>
    <n v="0.05"/>
    <n v="0.05"/>
    <n v="11.95"/>
    <x v="1"/>
    <x v="0"/>
    <m/>
    <x v="0"/>
    <n v="383.03999999999996"/>
    <x v="0"/>
    <x v="17"/>
    <x v="7"/>
    <x v="0"/>
    <x v="0"/>
  </r>
  <r>
    <x v="0"/>
    <x v="13"/>
    <s v="2593 F"/>
    <x v="185"/>
    <s v="Usman Amin"/>
    <s v="LDN"/>
    <n v="17"/>
    <s v="7"/>
    <s v="LDN"/>
    <n v="375"/>
    <x v="0"/>
    <n v="5"/>
    <n v="302.5"/>
    <n v="10"/>
    <m/>
    <x v="0"/>
    <n v="292.5"/>
    <n v="358.95"/>
    <n v="5"/>
    <x v="0"/>
    <x v="0"/>
    <n v="5"/>
    <n v="8.3333333333333329E-2"/>
    <x v="0"/>
    <x v="0"/>
    <m/>
    <x v="0"/>
    <x v="0"/>
    <x v="0"/>
    <x v="0"/>
    <x v="0"/>
    <n v="0"/>
    <n v="0"/>
    <n v="8.3333333333333329E-2"/>
    <n v="11.916666666666666"/>
    <x v="1"/>
    <x v="0"/>
    <m/>
    <x v="0"/>
    <n v="307.5"/>
    <x v="0"/>
    <x v="17"/>
    <x v="7"/>
    <x v="0"/>
    <x v="0"/>
  </r>
  <r>
    <x v="0"/>
    <x v="13"/>
    <s v="2606 F"/>
    <x v="185"/>
    <s v="Usman Amin"/>
    <s v="LDN"/>
    <s v="16 SHEET"/>
    <s v="3-3.5/6-7"/>
    <s v="LDN"/>
    <n v="500"/>
    <x v="0"/>
    <n v="2"/>
    <n v="81"/>
    <n v="3.8"/>
    <m/>
    <x v="0"/>
    <n v="77.2"/>
    <n v="501.03"/>
    <m/>
    <x v="0"/>
    <x v="0"/>
    <n v="0"/>
    <n v="0"/>
    <x v="0"/>
    <x v="0"/>
    <m/>
    <x v="0"/>
    <x v="0"/>
    <x v="0"/>
    <x v="0"/>
    <x v="0"/>
    <n v="0"/>
    <n v="0"/>
    <n v="0"/>
    <n v="12"/>
    <x v="1"/>
    <x v="0"/>
    <m/>
    <x v="0"/>
    <n v="86"/>
    <x v="0"/>
    <x v="17"/>
    <x v="7"/>
    <x v="0"/>
    <x v="0"/>
  </r>
  <r>
    <x v="1"/>
    <x v="13"/>
    <s v="2606 F"/>
    <x v="185"/>
    <s v="Usman Amin"/>
    <s v="LDN"/>
    <s v="16 SHEET"/>
    <s v="3-3.5/6-7"/>
    <s v="LDN"/>
    <n v="500"/>
    <x v="0"/>
    <n v="5"/>
    <n v="375.63"/>
    <n v="9"/>
    <m/>
    <x v="0"/>
    <n v="366.63"/>
    <n v="501.03"/>
    <m/>
    <x v="0"/>
    <x v="0"/>
    <n v="0"/>
    <n v="0"/>
    <x v="0"/>
    <x v="0"/>
    <m/>
    <x v="0"/>
    <x v="0"/>
    <x v="0"/>
    <x v="0"/>
    <x v="0"/>
    <n v="0"/>
    <n v="0"/>
    <n v="0"/>
    <n v="12"/>
    <x v="1"/>
    <x v="0"/>
    <m/>
    <x v="0"/>
    <n v="380.63"/>
    <x v="0"/>
    <x v="17"/>
    <x v="7"/>
    <x v="0"/>
    <x v="0"/>
  </r>
  <r>
    <x v="0"/>
    <x v="12"/>
    <s v="2835/1"/>
    <x v="185"/>
    <s v="MATCO FOOD"/>
    <s v="LDN"/>
    <n v="23"/>
    <s v="70±2"/>
    <s v="SL"/>
    <n v="1750"/>
    <x v="0"/>
    <n v="3"/>
    <n v="348"/>
    <n v="9"/>
    <n v="8"/>
    <x v="0"/>
    <n v="339"/>
    <n v="1670.61"/>
    <n v="8"/>
    <x v="0"/>
    <x v="0"/>
    <n v="8"/>
    <n v="0.13333333333333333"/>
    <x v="0"/>
    <x v="0"/>
    <m/>
    <x v="0"/>
    <x v="0"/>
    <x v="0"/>
    <x v="0"/>
    <x v="0"/>
    <n v="0"/>
    <n v="0"/>
    <n v="0.13333333333333333"/>
    <n v="11.866666666666667"/>
    <x v="1"/>
    <x v="0"/>
    <m/>
    <x v="0"/>
    <n v="353"/>
    <x v="0"/>
    <x v="17"/>
    <x v="7"/>
    <x v="0"/>
    <x v="0"/>
  </r>
  <r>
    <x v="0"/>
    <x v="12"/>
    <s v="2836/1"/>
    <x v="185"/>
    <s v="MATCO FOOD"/>
    <s v="LDN"/>
    <s v="28-28.5"/>
    <s v="95±1"/>
    <s v="SL"/>
    <n v="7600"/>
    <x v="0"/>
    <n v="2"/>
    <n v="257"/>
    <n v="6.4"/>
    <m/>
    <x v="0"/>
    <n v="250.6"/>
    <n v="6678.38"/>
    <m/>
    <x v="0"/>
    <x v="0"/>
    <n v="0"/>
    <n v="0"/>
    <x v="0"/>
    <x v="0"/>
    <m/>
    <x v="0"/>
    <x v="0"/>
    <x v="0"/>
    <x v="0"/>
    <x v="0"/>
    <n v="0"/>
    <n v="0"/>
    <n v="0"/>
    <n v="12"/>
    <x v="1"/>
    <x v="0"/>
    <m/>
    <x v="0"/>
    <n v="262"/>
    <x v="0"/>
    <x v="17"/>
    <x v="7"/>
    <x v="0"/>
    <x v="0"/>
  </r>
  <r>
    <x v="1"/>
    <x v="12"/>
    <s v="2836/1"/>
    <x v="185"/>
    <s v="MATCO FOOD"/>
    <s v="LDN"/>
    <s v="28-28.5"/>
    <s v="95±1"/>
    <s v="SL"/>
    <n v="7600"/>
    <x v="0"/>
    <n v="5"/>
    <n v="669.90000000000009"/>
    <n v="16"/>
    <n v="4"/>
    <x v="0"/>
    <n v="653.90000000000009"/>
    <n v="6678.38"/>
    <m/>
    <x v="0"/>
    <x v="0"/>
    <n v="0"/>
    <n v="0"/>
    <x v="0"/>
    <x v="0"/>
    <m/>
    <x v="0"/>
    <x v="0"/>
    <x v="0"/>
    <x v="0"/>
    <x v="0"/>
    <n v="0"/>
    <n v="0"/>
    <n v="0"/>
    <n v="12"/>
    <x v="1"/>
    <x v="0"/>
    <m/>
    <x v="0"/>
    <n v="674.90000000000009"/>
    <x v="0"/>
    <x v="17"/>
    <x v="7"/>
    <x v="0"/>
    <x v="0"/>
  </r>
  <r>
    <x v="0"/>
    <x v="14"/>
    <s v="6036 J"/>
    <x v="185"/>
    <s v="Usman Plastic Chiniot"/>
    <s v="LD پیلا"/>
    <n v="20"/>
    <s v="-"/>
    <s v="LDM"/>
    <n v="125"/>
    <x v="0"/>
    <n v="1"/>
    <n v="66.98"/>
    <n v="2.4"/>
    <m/>
    <x v="0"/>
    <n v="64.58"/>
    <n v="128.47999999999999"/>
    <m/>
    <x v="0"/>
    <x v="0"/>
    <n v="0"/>
    <n v="0"/>
    <x v="0"/>
    <x v="0"/>
    <n v="420"/>
    <x v="0"/>
    <x v="0"/>
    <x v="0"/>
    <x v="0"/>
    <x v="0"/>
    <n v="420"/>
    <n v="7"/>
    <n v="7"/>
    <n v="5"/>
    <x v="1"/>
    <x v="0"/>
    <m/>
    <x v="0"/>
    <n v="71.98"/>
    <x v="0"/>
    <x v="17"/>
    <x v="7"/>
    <x v="0"/>
    <x v="0"/>
  </r>
  <r>
    <x v="0"/>
    <x v="14"/>
    <s v="6037 J"/>
    <x v="185"/>
    <s v="Usman Plastic Chiniot"/>
    <s v="LD پیلا"/>
    <n v="24"/>
    <s v="-"/>
    <s v="LDM"/>
    <n v="125"/>
    <x v="0"/>
    <n v="1"/>
    <n v="136.30000000000001"/>
    <n v="3.2"/>
    <m/>
    <x v="0"/>
    <n v="133.10000000000002"/>
    <n v="133.10000000000002"/>
    <m/>
    <x v="0"/>
    <x v="0"/>
    <n v="0"/>
    <n v="0"/>
    <x v="0"/>
    <x v="0"/>
    <m/>
    <x v="0"/>
    <x v="0"/>
    <x v="0"/>
    <x v="0"/>
    <x v="0"/>
    <n v="0"/>
    <n v="0"/>
    <n v="0"/>
    <n v="12"/>
    <x v="1"/>
    <x v="0"/>
    <m/>
    <x v="0"/>
    <n v="141.30000000000001"/>
    <x v="0"/>
    <x v="17"/>
    <x v="7"/>
    <x v="0"/>
    <x v="0"/>
  </r>
  <r>
    <x v="1"/>
    <x v="14"/>
    <s v="14150"/>
    <x v="185"/>
    <s v="-"/>
    <m/>
    <m/>
    <m/>
    <m/>
    <m/>
    <x v="0"/>
    <n v="1"/>
    <n v="120.5"/>
    <n v="2.6"/>
    <m/>
    <x v="0"/>
    <n v="117.9"/>
    <n v="117.9"/>
    <m/>
    <x v="0"/>
    <x v="0"/>
    <n v="0"/>
    <n v="0"/>
    <x v="0"/>
    <x v="0"/>
    <m/>
    <x v="0"/>
    <x v="0"/>
    <x v="0"/>
    <x v="0"/>
    <x v="0"/>
    <n v="0"/>
    <n v="0"/>
    <n v="0"/>
    <n v="12"/>
    <x v="1"/>
    <x v="0"/>
    <m/>
    <x v="0"/>
    <n v="125.5"/>
    <x v="0"/>
    <x v="17"/>
    <x v="7"/>
    <x v="0"/>
    <x v="0"/>
  </r>
  <r>
    <x v="1"/>
    <x v="14"/>
    <s v="6010 J"/>
    <x v="185"/>
    <s v="Ayoub Traders Mall Road LHR"/>
    <s v="LDM"/>
    <n v="20.5"/>
    <s v="16-17"/>
    <s v="LDM"/>
    <n v="525"/>
    <x v="0"/>
    <n v="7"/>
    <n v="560"/>
    <n v="14"/>
    <m/>
    <x v="0"/>
    <n v="546"/>
    <n v="546"/>
    <n v="120"/>
    <x v="0"/>
    <x v="0"/>
    <n v="120"/>
    <n v="2"/>
    <x v="0"/>
    <x v="0"/>
    <m/>
    <x v="0"/>
    <x v="0"/>
    <x v="0"/>
    <x v="0"/>
    <x v="0"/>
    <n v="0"/>
    <n v="0"/>
    <n v="2"/>
    <n v="10"/>
    <x v="1"/>
    <x v="0"/>
    <m/>
    <x v="0"/>
    <n v="565"/>
    <x v="0"/>
    <x v="17"/>
    <x v="7"/>
    <x v="0"/>
    <x v="0"/>
  </r>
  <r>
    <x v="0"/>
    <x v="15"/>
    <s v="2589 F"/>
    <x v="185"/>
    <s v="Usman Amin"/>
    <s v="LDN"/>
    <n v="21"/>
    <s v="5-5.5"/>
    <s v="LDN"/>
    <n v="180"/>
    <x v="0"/>
    <n v="2"/>
    <n v="152.95999999999998"/>
    <n v="4.8"/>
    <n v="10"/>
    <x v="0"/>
    <n v="148.15999999999997"/>
    <n v="845.69999999999993"/>
    <m/>
    <x v="0"/>
    <x v="0"/>
    <n v="0"/>
    <n v="0"/>
    <x v="0"/>
    <x v="0"/>
    <m/>
    <x v="0"/>
    <x v="0"/>
    <x v="0"/>
    <x v="0"/>
    <x v="0"/>
    <n v="0"/>
    <n v="0"/>
    <n v="0"/>
    <n v="12"/>
    <x v="1"/>
    <x v="0"/>
    <m/>
    <x v="0"/>
    <n v="157.95999999999998"/>
    <x v="0"/>
    <x v="17"/>
    <x v="7"/>
    <x v="0"/>
    <x v="0"/>
  </r>
  <r>
    <x v="0"/>
    <x v="15"/>
    <s v="2612 F"/>
    <x v="185"/>
    <s v="Usman Amin"/>
    <s v="LDN"/>
    <n v="18"/>
    <s v="5-5.5"/>
    <s v="LDN"/>
    <n v="370"/>
    <x v="0"/>
    <n v="4"/>
    <n v="228.31"/>
    <n v="8.8000000000000007"/>
    <m/>
    <x v="0"/>
    <n v="219.51"/>
    <n v="1086.71"/>
    <m/>
    <x v="0"/>
    <x v="0"/>
    <n v="0"/>
    <n v="0"/>
    <x v="0"/>
    <x v="0"/>
    <m/>
    <x v="0"/>
    <x v="0"/>
    <x v="0"/>
    <x v="0"/>
    <x v="0"/>
    <n v="0"/>
    <n v="0"/>
    <n v="0"/>
    <n v="12"/>
    <x v="1"/>
    <x v="0"/>
    <m/>
    <x v="0"/>
    <n v="233.31"/>
    <x v="0"/>
    <x v="17"/>
    <x v="7"/>
    <x v="0"/>
    <x v="0"/>
  </r>
  <r>
    <x v="1"/>
    <x v="15"/>
    <s v="2612 F"/>
    <x v="185"/>
    <s v="Usman Amin"/>
    <s v="LDN"/>
    <n v="18"/>
    <s v="5-5.5"/>
    <s v="LDN"/>
    <n v="370"/>
    <x v="0"/>
    <n v="6"/>
    <n v="381.5"/>
    <n v="14.399999999999999"/>
    <n v="3"/>
    <x v="0"/>
    <n v="367.1"/>
    <n v="1086.71"/>
    <m/>
    <x v="0"/>
    <x v="0"/>
    <n v="0"/>
    <n v="0"/>
    <x v="0"/>
    <x v="0"/>
    <m/>
    <x v="0"/>
    <x v="0"/>
    <x v="0"/>
    <x v="0"/>
    <x v="0"/>
    <n v="0"/>
    <n v="0"/>
    <n v="0"/>
    <n v="12"/>
    <x v="1"/>
    <x v="0"/>
    <m/>
    <x v="0"/>
    <n v="386.5"/>
    <x v="0"/>
    <x v="17"/>
    <x v="7"/>
    <x v="0"/>
    <x v="0"/>
  </r>
  <r>
    <x v="0"/>
    <x v="9"/>
    <s v="2606 F"/>
    <x v="186"/>
    <s v="Usman Amin"/>
    <s v="LDN"/>
    <s v="16 SHEET"/>
    <s v="3-3.5/6-7"/>
    <s v="LDN"/>
    <n v="500"/>
    <x v="0"/>
    <n v="1"/>
    <n v="58.8"/>
    <n v="1.6"/>
    <m/>
    <x v="0"/>
    <n v="57.199999999999996"/>
    <n v="501.03"/>
    <n v="5"/>
    <x v="5"/>
    <x v="0"/>
    <n v="185"/>
    <n v="3.0833333333333335"/>
    <x v="0"/>
    <x v="0"/>
    <m/>
    <x v="0"/>
    <x v="0"/>
    <x v="0"/>
    <x v="0"/>
    <x v="0"/>
    <n v="0"/>
    <n v="0"/>
    <n v="3.0833333333333335"/>
    <n v="8.9166666666666661"/>
    <x v="1"/>
    <x v="0"/>
    <m/>
    <x v="0"/>
    <n v="63.8"/>
    <x v="0"/>
    <x v="18"/>
    <x v="8"/>
    <x v="0"/>
    <x v="0"/>
  </r>
  <r>
    <x v="0"/>
    <x v="9"/>
    <s v="2813/4"/>
    <x v="186"/>
    <s v="PLASTIC PT-02"/>
    <s v="LDN"/>
    <n v="14"/>
    <n v="14"/>
    <s v="LDN"/>
    <n v="500"/>
    <x v="0"/>
    <n v="1"/>
    <n v="47.1"/>
    <n v="1.2"/>
    <n v="15"/>
    <x v="0"/>
    <n v="45.9"/>
    <n v="91.03"/>
    <n v="5"/>
    <x v="0"/>
    <x v="0"/>
    <n v="5"/>
    <n v="8.3333333333333329E-2"/>
    <x v="0"/>
    <x v="0"/>
    <m/>
    <x v="0"/>
    <x v="0"/>
    <x v="0"/>
    <x v="0"/>
    <x v="0"/>
    <n v="0"/>
    <n v="0"/>
    <n v="8.3333333333333329E-2"/>
    <n v="11.916666666666666"/>
    <x v="1"/>
    <x v="0"/>
    <m/>
    <x v="0"/>
    <n v="52.1"/>
    <x v="0"/>
    <x v="18"/>
    <x v="8"/>
    <x v="0"/>
    <x v="0"/>
  </r>
  <r>
    <x v="1"/>
    <x v="9"/>
    <s v="2813/4"/>
    <x v="186"/>
    <s v="PLASTIC PT-02"/>
    <s v="LDN"/>
    <n v="14"/>
    <n v="14"/>
    <s v="LDN"/>
    <n v="500"/>
    <x v="0"/>
    <n v="1"/>
    <n v="46.33"/>
    <n v="1.2"/>
    <n v="2.5"/>
    <x v="0"/>
    <n v="45.129999999999995"/>
    <n v="91.03"/>
    <m/>
    <x v="0"/>
    <x v="0"/>
    <n v="0"/>
    <n v="0"/>
    <x v="0"/>
    <x v="0"/>
    <m/>
    <x v="0"/>
    <x v="0"/>
    <x v="0"/>
    <x v="0"/>
    <x v="0"/>
    <n v="0"/>
    <n v="0"/>
    <n v="0"/>
    <n v="12"/>
    <x v="1"/>
    <x v="0"/>
    <m/>
    <x v="0"/>
    <n v="51.33"/>
    <x v="0"/>
    <x v="18"/>
    <x v="8"/>
    <x v="0"/>
    <x v="0"/>
  </r>
  <r>
    <x v="1"/>
    <x v="9"/>
    <s v="2615 F"/>
    <x v="186"/>
    <s v="Usman Amin"/>
    <s v="LDN"/>
    <n v="10"/>
    <s v="6-6.5"/>
    <s v="LDN"/>
    <n v="75"/>
    <x v="0"/>
    <n v="4"/>
    <n v="139.03"/>
    <n v="4.8"/>
    <m/>
    <x v="0"/>
    <n v="134.22999999999999"/>
    <n v="134.22999999999999"/>
    <m/>
    <x v="0"/>
    <x v="0"/>
    <n v="0"/>
    <n v="0"/>
    <x v="0"/>
    <x v="0"/>
    <m/>
    <x v="0"/>
    <x v="0"/>
    <x v="0"/>
    <x v="0"/>
    <x v="0"/>
    <n v="0"/>
    <n v="0"/>
    <n v="0"/>
    <n v="12"/>
    <x v="1"/>
    <x v="0"/>
    <m/>
    <x v="0"/>
    <n v="144.03"/>
    <x v="0"/>
    <x v="18"/>
    <x v="8"/>
    <x v="0"/>
    <x v="0"/>
  </r>
  <r>
    <x v="0"/>
    <x v="11"/>
    <s v="6064 J"/>
    <x v="186"/>
    <s v="Lasani Traders C/O Amaanulah Sab"/>
    <s v="LDM"/>
    <s v="11+3+3"/>
    <s v="8-8.5/16-17"/>
    <s v="LDM"/>
    <n v="1050"/>
    <x v="0"/>
    <n v="8"/>
    <n v="373.30000000000007"/>
    <n v="10.4"/>
    <m/>
    <x v="0"/>
    <n v="362.90000000000009"/>
    <n v="1063.5600000000002"/>
    <m/>
    <x v="0"/>
    <x v="0"/>
    <n v="0"/>
    <n v="0"/>
    <x v="0"/>
    <x v="0"/>
    <m/>
    <x v="0"/>
    <x v="0"/>
    <x v="0"/>
    <x v="0"/>
    <x v="0"/>
    <n v="0"/>
    <n v="0"/>
    <n v="0"/>
    <n v="12"/>
    <x v="1"/>
    <x v="0"/>
    <m/>
    <x v="0"/>
    <n v="378.30000000000007"/>
    <x v="0"/>
    <x v="18"/>
    <x v="8"/>
    <x v="0"/>
    <x v="0"/>
  </r>
  <r>
    <x v="1"/>
    <x v="11"/>
    <s v="6064 J"/>
    <x v="186"/>
    <s v="Lasani Traders C/O Amaanulah Sab"/>
    <s v="LDM"/>
    <s v="11+3+3"/>
    <s v="8-8.5/16-17"/>
    <s v="LDM"/>
    <n v="1050"/>
    <x v="0"/>
    <n v="1"/>
    <n v="47.22"/>
    <n v="1.3"/>
    <m/>
    <x v="0"/>
    <n v="45.92"/>
    <n v="1063.5600000000002"/>
    <m/>
    <x v="0"/>
    <x v="0"/>
    <n v="0"/>
    <n v="0"/>
    <x v="0"/>
    <x v="0"/>
    <m/>
    <x v="0"/>
    <x v="0"/>
    <x v="0"/>
    <x v="0"/>
    <x v="0"/>
    <n v="0"/>
    <n v="0"/>
    <n v="0"/>
    <n v="12"/>
    <x v="1"/>
    <x v="0"/>
    <m/>
    <x v="0"/>
    <n v="52.22"/>
    <x v="0"/>
    <x v="18"/>
    <x v="8"/>
    <x v="0"/>
    <x v="0"/>
  </r>
  <r>
    <x v="1"/>
    <x v="11"/>
    <s v="6054 J"/>
    <x v="186"/>
    <s v="Moazmi Plastic Sahiwal "/>
    <s v="LDM"/>
    <n v="11.5"/>
    <n v="12"/>
    <s v="LDM"/>
    <n v="125"/>
    <x v="0"/>
    <n v="1"/>
    <n v="55.94"/>
    <n v="1.3"/>
    <m/>
    <x v="0"/>
    <n v="54.64"/>
    <n v="144.37"/>
    <m/>
    <x v="0"/>
    <x v="0"/>
    <n v="0"/>
    <n v="0"/>
    <x v="0"/>
    <x v="0"/>
    <m/>
    <x v="0"/>
    <x v="0"/>
    <x v="0"/>
    <x v="0"/>
    <x v="0"/>
    <n v="0"/>
    <n v="0"/>
    <n v="0"/>
    <n v="12"/>
    <x v="1"/>
    <x v="0"/>
    <m/>
    <x v="0"/>
    <n v="60.94"/>
    <x v="0"/>
    <x v="18"/>
    <x v="8"/>
    <x v="0"/>
    <x v="0"/>
  </r>
  <r>
    <x v="1"/>
    <x v="11"/>
    <s v="6195 J"/>
    <x v="186"/>
    <s v="RMC PACK"/>
    <s v="LDM"/>
    <s v="14+4+4"/>
    <s v="7.5-8/15-16"/>
    <s v="LDM"/>
    <n v="100"/>
    <x v="0"/>
    <n v="2"/>
    <n v="121.44999999999999"/>
    <n v="2.4"/>
    <n v="8"/>
    <x v="0"/>
    <n v="119.04999999999998"/>
    <n v="119.04999999999998"/>
    <n v="7"/>
    <x v="0"/>
    <x v="0"/>
    <n v="7"/>
    <n v="0.11666666666666667"/>
    <x v="0"/>
    <x v="0"/>
    <m/>
    <x v="0"/>
    <x v="0"/>
    <x v="0"/>
    <x v="0"/>
    <x v="0"/>
    <n v="0"/>
    <n v="0"/>
    <n v="0.11666666666666667"/>
    <n v="11.883333333333333"/>
    <x v="1"/>
    <x v="0"/>
    <m/>
    <x v="0"/>
    <n v="126.44999999999999"/>
    <x v="0"/>
    <x v="18"/>
    <x v="8"/>
    <x v="0"/>
    <x v="0"/>
  </r>
  <r>
    <x v="1"/>
    <x v="11"/>
    <s v="6162 J"/>
    <x v="186"/>
    <s v="RMC PACK"/>
    <s v="LDM"/>
    <n v="19"/>
    <s v="15-16"/>
    <s v="LDM"/>
    <n v="100"/>
    <x v="0"/>
    <n v="2"/>
    <n v="108.13"/>
    <n v="4.8"/>
    <m/>
    <x v="0"/>
    <n v="103.33"/>
    <n v="103.33"/>
    <n v="5"/>
    <x v="0"/>
    <x v="0"/>
    <n v="5"/>
    <n v="8.3333333333333329E-2"/>
    <x v="0"/>
    <x v="0"/>
    <m/>
    <x v="0"/>
    <x v="0"/>
    <x v="0"/>
    <x v="0"/>
    <x v="0"/>
    <n v="0"/>
    <n v="0"/>
    <n v="8.3333333333333329E-2"/>
    <n v="11.916666666666666"/>
    <x v="1"/>
    <x v="0"/>
    <m/>
    <x v="0"/>
    <n v="113.13"/>
    <x v="0"/>
    <x v="18"/>
    <x v="8"/>
    <x v="0"/>
    <x v="0"/>
  </r>
  <r>
    <x v="0"/>
    <x v="12"/>
    <s v="2836/1"/>
    <x v="186"/>
    <s v="MATCO FOOD"/>
    <s v="LDN"/>
    <s v="28-28.5"/>
    <s v="95±1"/>
    <s v="SL"/>
    <n v="7600"/>
    <x v="0"/>
    <n v="6"/>
    <n v="543.5"/>
    <n v="19.200000000000003"/>
    <n v="17"/>
    <x v="0"/>
    <n v="524.29999999999995"/>
    <n v="6678.38"/>
    <m/>
    <x v="0"/>
    <x v="0"/>
    <n v="0"/>
    <n v="0"/>
    <x v="0"/>
    <x v="0"/>
    <m/>
    <x v="0"/>
    <x v="0"/>
    <x v="0"/>
    <x v="0"/>
    <x v="0"/>
    <n v="0"/>
    <n v="0"/>
    <n v="0"/>
    <n v="12"/>
    <x v="1"/>
    <x v="0"/>
    <m/>
    <x v="0"/>
    <n v="548.5"/>
    <x v="0"/>
    <x v="18"/>
    <x v="8"/>
    <x v="0"/>
    <x v="0"/>
  </r>
  <r>
    <x v="1"/>
    <x v="12"/>
    <s v="2836/1"/>
    <x v="186"/>
    <s v="MATCO FOOD"/>
    <s v="LDN"/>
    <s v="28-28.5"/>
    <s v="95±1"/>
    <s v="SL"/>
    <n v="7600"/>
    <x v="0"/>
    <n v="5"/>
    <n v="666"/>
    <n v="16"/>
    <n v="15"/>
    <x v="0"/>
    <n v="650"/>
    <n v="6678.38"/>
    <m/>
    <x v="0"/>
    <x v="0"/>
    <n v="0"/>
    <n v="0"/>
    <x v="0"/>
    <x v="0"/>
    <m/>
    <x v="0"/>
    <x v="0"/>
    <x v="0"/>
    <x v="0"/>
    <x v="0"/>
    <n v="0"/>
    <n v="0"/>
    <n v="0"/>
    <n v="12"/>
    <x v="1"/>
    <x v="0"/>
    <m/>
    <x v="0"/>
    <n v="671"/>
    <x v="0"/>
    <x v="18"/>
    <x v="8"/>
    <x v="0"/>
    <x v="0"/>
  </r>
  <r>
    <x v="0"/>
    <x v="14"/>
    <s v="6140 J"/>
    <x v="186"/>
    <s v="Service Industry Gujrat"/>
    <s v="LDM"/>
    <s v="428 MM"/>
    <s v="-"/>
    <s v="LDM"/>
    <n v="100"/>
    <x v="0"/>
    <n v="4"/>
    <n v="118.41"/>
    <n v="8"/>
    <m/>
    <x v="0"/>
    <n v="110.41"/>
    <n v="110.41"/>
    <m/>
    <x v="0"/>
    <x v="0"/>
    <n v="0"/>
    <n v="0"/>
    <x v="0"/>
    <x v="0"/>
    <m/>
    <x v="0"/>
    <x v="0"/>
    <x v="0"/>
    <x v="0"/>
    <x v="0"/>
    <n v="0"/>
    <n v="0"/>
    <n v="0"/>
    <n v="12"/>
    <x v="1"/>
    <x v="0"/>
    <m/>
    <x v="0"/>
    <n v="123.41"/>
    <x v="0"/>
    <x v="18"/>
    <x v="8"/>
    <x v="0"/>
    <x v="0"/>
  </r>
  <r>
    <x v="0"/>
    <x v="14"/>
    <s v="6137 J"/>
    <x v="186"/>
    <s v="Service Industry Gujrat"/>
    <s v="LDM"/>
    <s v="428 MM"/>
    <s v="-"/>
    <s v="LDM"/>
    <n v="100"/>
    <x v="0"/>
    <n v="2"/>
    <n v="105.84"/>
    <n v="4"/>
    <m/>
    <x v="0"/>
    <n v="101.84"/>
    <n v="101.84"/>
    <m/>
    <x v="0"/>
    <x v="0"/>
    <n v="0"/>
    <n v="0"/>
    <x v="0"/>
    <x v="0"/>
    <m/>
    <x v="0"/>
    <x v="0"/>
    <x v="0"/>
    <x v="0"/>
    <x v="0"/>
    <n v="0"/>
    <n v="0"/>
    <n v="0"/>
    <n v="12"/>
    <x v="1"/>
    <x v="0"/>
    <m/>
    <x v="0"/>
    <n v="110.84"/>
    <x v="0"/>
    <x v="18"/>
    <x v="8"/>
    <x v="0"/>
    <x v="0"/>
  </r>
  <r>
    <x v="0"/>
    <x v="14"/>
    <s v="6135 J"/>
    <x v="186"/>
    <s v="Service Industry Gujrat"/>
    <s v="LDM"/>
    <s v="428 MM"/>
    <s v="-"/>
    <s v="LDM"/>
    <n v="200"/>
    <x v="0"/>
    <n v="4"/>
    <n v="213.68"/>
    <n v="8"/>
    <n v="60"/>
    <x v="0"/>
    <n v="205.68"/>
    <n v="205.68"/>
    <m/>
    <x v="0"/>
    <x v="0"/>
    <n v="0"/>
    <n v="0"/>
    <x v="0"/>
    <x v="0"/>
    <m/>
    <x v="0"/>
    <x v="0"/>
    <x v="0"/>
    <x v="0"/>
    <x v="0"/>
    <n v="0"/>
    <n v="0"/>
    <n v="0"/>
    <n v="12"/>
    <x v="1"/>
    <x v="0"/>
    <m/>
    <x v="0"/>
    <n v="218.68"/>
    <x v="0"/>
    <x v="18"/>
    <x v="8"/>
    <x v="0"/>
    <x v="0"/>
  </r>
  <r>
    <x v="1"/>
    <x v="14"/>
    <s v="6139 J"/>
    <x v="186"/>
    <s v="Service Industry Gujrat"/>
    <s v="LDM"/>
    <s v="432 MM"/>
    <s v="-"/>
    <s v="LDM"/>
    <n v="300"/>
    <x v="0"/>
    <n v="4"/>
    <n v="273.12"/>
    <n v="8"/>
    <n v="57"/>
    <x v="0"/>
    <n v="265.12"/>
    <n v="265.12"/>
    <m/>
    <x v="0"/>
    <x v="0"/>
    <n v="0"/>
    <n v="0"/>
    <x v="0"/>
    <x v="0"/>
    <m/>
    <x v="0"/>
    <x v="0"/>
    <x v="0"/>
    <x v="0"/>
    <x v="0"/>
    <n v="0"/>
    <n v="0"/>
    <n v="0"/>
    <n v="12"/>
    <x v="1"/>
    <x v="0"/>
    <m/>
    <x v="0"/>
    <n v="278.12"/>
    <x v="0"/>
    <x v="18"/>
    <x v="8"/>
    <x v="0"/>
    <x v="0"/>
  </r>
  <r>
    <x v="1"/>
    <x v="14"/>
    <s v="6138 J"/>
    <x v="186"/>
    <s v="Service Industry Gujrat"/>
    <s v="LDM"/>
    <s v="432 MM"/>
    <s v="-"/>
    <s v="LDM"/>
    <n v="600"/>
    <x v="0"/>
    <n v="4"/>
    <n v="316.89999999999998"/>
    <n v="8"/>
    <m/>
    <x v="0"/>
    <n v="308.89999999999998"/>
    <n v="602.42000000000007"/>
    <m/>
    <x v="0"/>
    <x v="0"/>
    <n v="0"/>
    <n v="0"/>
    <x v="0"/>
    <x v="0"/>
    <m/>
    <x v="0"/>
    <x v="0"/>
    <x v="0"/>
    <x v="0"/>
    <x v="0"/>
    <n v="0"/>
    <n v="0"/>
    <n v="0"/>
    <n v="12"/>
    <x v="1"/>
    <x v="0"/>
    <m/>
    <x v="0"/>
    <n v="321.89999999999998"/>
    <x v="0"/>
    <x v="18"/>
    <x v="8"/>
    <x v="0"/>
    <x v="0"/>
  </r>
  <r>
    <x v="0"/>
    <x v="15"/>
    <s v="2612 F"/>
    <x v="186"/>
    <s v="Usman Amin"/>
    <s v="LDN"/>
    <n v="18"/>
    <s v="5-5.5"/>
    <s v="LDN"/>
    <n v="370"/>
    <x v="0"/>
    <n v="5"/>
    <n v="365.79999999999995"/>
    <n v="10"/>
    <n v="5"/>
    <x v="0"/>
    <n v="355.79999999999995"/>
    <n v="1086.71"/>
    <m/>
    <x v="0"/>
    <x v="0"/>
    <n v="0"/>
    <n v="0"/>
    <x v="0"/>
    <x v="0"/>
    <m/>
    <x v="0"/>
    <x v="0"/>
    <x v="0"/>
    <x v="0"/>
    <x v="0"/>
    <n v="0"/>
    <n v="0"/>
    <n v="0"/>
    <n v="12"/>
    <x v="1"/>
    <x v="0"/>
    <m/>
    <x v="0"/>
    <n v="370.79999999999995"/>
    <x v="0"/>
    <x v="18"/>
    <x v="8"/>
    <x v="0"/>
    <x v="0"/>
  </r>
  <r>
    <x v="1"/>
    <x v="15"/>
    <s v="6172 J"/>
    <x v="186"/>
    <s v="Ibraheem Filter Industry (SMC.PVT.LTD)"/>
    <s v="LDN"/>
    <n v="16"/>
    <n v="8"/>
    <s v="LDN"/>
    <n v="797.72079772079769"/>
    <x v="0"/>
    <n v="4"/>
    <n v="238.85999999999999"/>
    <n v="6.8"/>
    <n v="3"/>
    <x v="0"/>
    <n v="232.05999999999997"/>
    <n v="798.25"/>
    <n v="5"/>
    <x v="0"/>
    <x v="0"/>
    <n v="5"/>
    <n v="8.3333333333333329E-2"/>
    <x v="0"/>
    <x v="0"/>
    <m/>
    <x v="0"/>
    <x v="0"/>
    <x v="0"/>
    <x v="0"/>
    <x v="0"/>
    <n v="0"/>
    <n v="0"/>
    <n v="8.3333333333333329E-2"/>
    <n v="11.916666666666666"/>
    <x v="1"/>
    <x v="0"/>
    <m/>
    <x v="0"/>
    <n v="243.85999999999999"/>
    <x v="0"/>
    <x v="18"/>
    <x v="8"/>
    <x v="0"/>
    <x v="0"/>
  </r>
  <r>
    <x v="1"/>
    <x v="15"/>
    <s v="2612 F"/>
    <x v="186"/>
    <s v="Usman Amin"/>
    <s v="LDN"/>
    <n v="18"/>
    <s v="5-5.5"/>
    <s v="LDN"/>
    <n v="370"/>
    <x v="0"/>
    <n v="3"/>
    <n v="150.30000000000001"/>
    <n v="6"/>
    <m/>
    <x v="0"/>
    <n v="144.30000000000001"/>
    <n v="1086.71"/>
    <m/>
    <x v="0"/>
    <x v="0"/>
    <n v="0"/>
    <n v="0"/>
    <x v="0"/>
    <x v="0"/>
    <m/>
    <x v="0"/>
    <x v="0"/>
    <x v="0"/>
    <x v="0"/>
    <x v="0"/>
    <n v="0"/>
    <n v="0"/>
    <n v="0"/>
    <n v="12"/>
    <x v="1"/>
    <x v="0"/>
    <m/>
    <x v="0"/>
    <n v="155.30000000000001"/>
    <x v="0"/>
    <x v="18"/>
    <x v="8"/>
    <x v="0"/>
    <x v="0"/>
  </r>
  <r>
    <x v="0"/>
    <x v="9"/>
    <m/>
    <x v="187"/>
    <s v="-"/>
    <m/>
    <m/>
    <m/>
    <m/>
    <m/>
    <x v="0"/>
    <n v="1"/>
    <n v="55.2"/>
    <n v="0.8"/>
    <n v="3"/>
    <x v="0"/>
    <n v="54.400000000000006"/>
    <n v="0"/>
    <n v="3"/>
    <x v="0"/>
    <x v="0"/>
    <n v="3"/>
    <n v="0.05"/>
    <x v="0"/>
    <x v="0"/>
    <m/>
    <x v="0"/>
    <x v="0"/>
    <x v="0"/>
    <x v="0"/>
    <x v="0"/>
    <n v="0"/>
    <n v="0"/>
    <n v="0.05"/>
    <n v="11.95"/>
    <x v="1"/>
    <x v="0"/>
    <m/>
    <x v="0"/>
    <n v="60.2"/>
    <x v="0"/>
    <x v="18"/>
    <x v="8"/>
    <x v="0"/>
    <x v="0"/>
  </r>
  <r>
    <x v="0"/>
    <x v="9"/>
    <m/>
    <x v="187"/>
    <s v="-"/>
    <m/>
    <m/>
    <m/>
    <m/>
    <m/>
    <x v="0"/>
    <n v="3"/>
    <n v="122.16999999999999"/>
    <n v="3.9000000000000004"/>
    <m/>
    <x v="0"/>
    <n v="118.26999999999998"/>
    <n v="0"/>
    <m/>
    <x v="0"/>
    <x v="0"/>
    <n v="0"/>
    <n v="0"/>
    <x v="0"/>
    <x v="0"/>
    <m/>
    <x v="0"/>
    <x v="0"/>
    <x v="0"/>
    <x v="0"/>
    <x v="0"/>
    <n v="0"/>
    <n v="0"/>
    <n v="0"/>
    <n v="12"/>
    <x v="1"/>
    <x v="0"/>
    <m/>
    <x v="0"/>
    <n v="127.16999999999999"/>
    <x v="0"/>
    <x v="18"/>
    <x v="8"/>
    <x v="0"/>
    <x v="0"/>
  </r>
  <r>
    <x v="1"/>
    <x v="9"/>
    <m/>
    <x v="187"/>
    <s v="-"/>
    <m/>
    <m/>
    <m/>
    <m/>
    <m/>
    <x v="0"/>
    <n v="3"/>
    <n v="171.3"/>
    <n v="4.5"/>
    <m/>
    <x v="0"/>
    <n v="166.8"/>
    <n v="0"/>
    <m/>
    <x v="0"/>
    <x v="0"/>
    <n v="0"/>
    <n v="0"/>
    <x v="0"/>
    <x v="0"/>
    <m/>
    <x v="0"/>
    <x v="0"/>
    <x v="0"/>
    <x v="0"/>
    <x v="0"/>
    <n v="0"/>
    <n v="0"/>
    <n v="0"/>
    <n v="12"/>
    <x v="1"/>
    <x v="0"/>
    <m/>
    <x v="0"/>
    <n v="176.3"/>
    <x v="0"/>
    <x v="18"/>
    <x v="8"/>
    <x v="0"/>
    <x v="0"/>
  </r>
  <r>
    <x v="1"/>
    <x v="3"/>
    <s v="6163 J"/>
    <x v="187"/>
    <s v="Ahmed Miss Print Sheikhupura"/>
    <s v="LD شیڈ کلر"/>
    <n v="16"/>
    <s v="11-12"/>
    <s v="LDM"/>
    <n v="50"/>
    <x v="0"/>
    <n v="1"/>
    <n v="43"/>
    <n v="1.9"/>
    <m/>
    <x v="0"/>
    <n v="41.1"/>
    <n v="119.22999999999999"/>
    <m/>
    <x v="13"/>
    <x v="0"/>
    <n v="30"/>
    <n v="0.5"/>
    <x v="0"/>
    <x v="0"/>
    <m/>
    <x v="0"/>
    <x v="0"/>
    <x v="0"/>
    <x v="0"/>
    <x v="0"/>
    <n v="0"/>
    <n v="0"/>
    <n v="0.5"/>
    <n v="11.5"/>
    <x v="1"/>
    <x v="0"/>
    <m/>
    <x v="0"/>
    <n v="48"/>
    <x v="0"/>
    <x v="18"/>
    <x v="8"/>
    <x v="0"/>
    <x v="0"/>
  </r>
  <r>
    <x v="1"/>
    <x v="3"/>
    <s v="6005 J"/>
    <x v="187"/>
    <s v="International Industries (LTD)"/>
    <s v="LD گرین"/>
    <s v="300 MM"/>
    <s v="48-50"/>
    <s v="LDM"/>
    <n v="6000"/>
    <x v="0"/>
    <n v="2"/>
    <n v="283.10000000000002"/>
    <n v="3"/>
    <n v="17"/>
    <x v="0"/>
    <n v="280.10000000000002"/>
    <n v="6270.65"/>
    <m/>
    <x v="0"/>
    <x v="0"/>
    <n v="0"/>
    <n v="0"/>
    <x v="0"/>
    <x v="0"/>
    <m/>
    <x v="0"/>
    <x v="0"/>
    <x v="0"/>
    <x v="0"/>
    <x v="0"/>
    <n v="0"/>
    <n v="0"/>
    <n v="0"/>
    <n v="12"/>
    <x v="1"/>
    <x v="0"/>
    <m/>
    <x v="0"/>
    <n v="288.10000000000002"/>
    <x v="0"/>
    <x v="18"/>
    <x v="8"/>
    <x v="0"/>
    <x v="0"/>
  </r>
  <r>
    <x v="0"/>
    <x v="12"/>
    <s v="2836/1"/>
    <x v="187"/>
    <s v="MATCO FOOD"/>
    <s v="LDN"/>
    <s v="28-28.5"/>
    <s v="95±1"/>
    <s v="SL"/>
    <n v="7600"/>
    <x v="0"/>
    <n v="6"/>
    <n v="807.3"/>
    <n v="19.200000000000003"/>
    <n v="13"/>
    <x v="0"/>
    <n v="788.09999999999991"/>
    <n v="6678.38"/>
    <m/>
    <x v="0"/>
    <x v="0"/>
    <n v="0"/>
    <n v="0"/>
    <x v="0"/>
    <x v="0"/>
    <m/>
    <x v="0"/>
    <x v="0"/>
    <x v="0"/>
    <x v="0"/>
    <x v="0"/>
    <n v="0"/>
    <n v="0"/>
    <n v="0"/>
    <n v="12"/>
    <x v="1"/>
    <x v="0"/>
    <m/>
    <x v="0"/>
    <n v="812.3"/>
    <x v="0"/>
    <x v="18"/>
    <x v="8"/>
    <x v="0"/>
    <x v="0"/>
  </r>
  <r>
    <x v="1"/>
    <x v="12"/>
    <s v="2836/1"/>
    <x v="187"/>
    <s v="MATCO FOOD"/>
    <s v="LDN"/>
    <s v="28-28.5"/>
    <s v="95±1"/>
    <s v="SL"/>
    <n v="7600"/>
    <x v="0"/>
    <n v="6"/>
    <n v="799.4"/>
    <n v="19.200000000000003"/>
    <n v="8"/>
    <x v="0"/>
    <n v="780.19999999999993"/>
    <n v="6678.38"/>
    <m/>
    <x v="0"/>
    <x v="0"/>
    <n v="0"/>
    <n v="0"/>
    <x v="0"/>
    <x v="0"/>
    <m/>
    <x v="0"/>
    <x v="0"/>
    <x v="0"/>
    <x v="0"/>
    <x v="0"/>
    <n v="0"/>
    <n v="0"/>
    <n v="0"/>
    <n v="12"/>
    <x v="1"/>
    <x v="0"/>
    <m/>
    <x v="0"/>
    <n v="804.4"/>
    <x v="0"/>
    <x v="18"/>
    <x v="8"/>
    <x v="0"/>
    <x v="0"/>
  </r>
  <r>
    <x v="0"/>
    <x v="14"/>
    <s v="6138 J"/>
    <x v="187"/>
    <s v="Service Industry Gujrat"/>
    <s v="LDM"/>
    <s v="432 MM"/>
    <s v="-"/>
    <s v="LDM"/>
    <n v="600"/>
    <x v="0"/>
    <n v="4"/>
    <n v="301.52000000000004"/>
    <n v="8"/>
    <n v="70"/>
    <x v="0"/>
    <n v="293.52000000000004"/>
    <n v="602.42000000000007"/>
    <n v="5"/>
    <x v="0"/>
    <x v="0"/>
    <n v="5"/>
    <n v="8.3333333333333329E-2"/>
    <x v="0"/>
    <x v="0"/>
    <m/>
    <x v="0"/>
    <x v="0"/>
    <x v="0"/>
    <x v="0"/>
    <x v="0"/>
    <n v="0"/>
    <n v="0"/>
    <n v="8.3333333333333329E-2"/>
    <n v="11.916666666666666"/>
    <x v="1"/>
    <x v="0"/>
    <m/>
    <x v="0"/>
    <n v="306.52000000000004"/>
    <x v="0"/>
    <x v="18"/>
    <x v="8"/>
    <x v="0"/>
    <x v="0"/>
  </r>
  <r>
    <x v="0"/>
    <x v="14"/>
    <s v="6085 J"/>
    <x v="187"/>
    <s v="Shafi Foam Lahore"/>
    <s v="LDM"/>
    <s v="20 شیٹ"/>
    <s v="6-6.5/12-13"/>
    <s v="LDM"/>
    <n v="150"/>
    <x v="0"/>
    <n v="2"/>
    <n v="161.62"/>
    <n v="4.8"/>
    <m/>
    <x v="0"/>
    <n v="156.82"/>
    <n v="156.82"/>
    <n v="5"/>
    <x v="0"/>
    <x v="0"/>
    <n v="5"/>
    <n v="8.3333333333333329E-2"/>
    <x v="0"/>
    <x v="0"/>
    <m/>
    <x v="0"/>
    <x v="0"/>
    <x v="0"/>
    <x v="0"/>
    <x v="0"/>
    <n v="0"/>
    <n v="0"/>
    <n v="8.3333333333333329E-2"/>
    <n v="11.916666666666666"/>
    <x v="1"/>
    <x v="0"/>
    <m/>
    <x v="0"/>
    <n v="166.62"/>
    <x v="0"/>
    <x v="18"/>
    <x v="8"/>
    <x v="0"/>
    <x v="0"/>
  </r>
  <r>
    <x v="0"/>
    <x v="14"/>
    <s v="6002 J"/>
    <x v="187"/>
    <s v="Berger Paint Lahore"/>
    <s v="LDM"/>
    <n v="18"/>
    <s v="-"/>
    <s v="LDM"/>
    <n v="1000"/>
    <x v="0"/>
    <n v="2"/>
    <n v="142.44999999999999"/>
    <n v="4.4000000000000004"/>
    <m/>
    <x v="0"/>
    <n v="138.04999999999998"/>
    <n v="1006.3499999999999"/>
    <m/>
    <x v="0"/>
    <x v="0"/>
    <n v="0"/>
    <n v="0"/>
    <x v="0"/>
    <x v="0"/>
    <m/>
    <x v="0"/>
    <x v="0"/>
    <x v="0"/>
    <x v="0"/>
    <x v="0"/>
    <n v="0"/>
    <n v="0"/>
    <n v="0"/>
    <n v="12"/>
    <x v="1"/>
    <x v="0"/>
    <m/>
    <x v="0"/>
    <n v="147.44999999999999"/>
    <x v="0"/>
    <x v="18"/>
    <x v="8"/>
    <x v="0"/>
    <x v="0"/>
  </r>
  <r>
    <x v="1"/>
    <x v="14"/>
    <s v="6002 J"/>
    <x v="187"/>
    <s v="Berger Paint Lahore"/>
    <s v="LDM"/>
    <n v="18"/>
    <s v="-"/>
    <s v="LDM"/>
    <n v="1000"/>
    <x v="0"/>
    <n v="5"/>
    <n v="625"/>
    <n v="11"/>
    <n v="10"/>
    <x v="0"/>
    <n v="614"/>
    <n v="1006.3499999999999"/>
    <m/>
    <x v="0"/>
    <x v="0"/>
    <n v="0"/>
    <n v="0"/>
    <x v="0"/>
    <x v="0"/>
    <m/>
    <x v="0"/>
    <x v="0"/>
    <x v="0"/>
    <x v="0"/>
    <x v="0"/>
    <n v="0"/>
    <n v="0"/>
    <n v="0"/>
    <n v="12"/>
    <x v="1"/>
    <x v="0"/>
    <m/>
    <x v="0"/>
    <n v="630"/>
    <x v="0"/>
    <x v="18"/>
    <x v="8"/>
    <x v="0"/>
    <x v="0"/>
  </r>
  <r>
    <x v="0"/>
    <x v="15"/>
    <s v="6172 J"/>
    <x v="187"/>
    <s v="Ibraheem Filter Industry (SMC.PVT.LTD)"/>
    <s v="LDN"/>
    <n v="16"/>
    <n v="8"/>
    <s v="LDN"/>
    <n v="797.72079772079769"/>
    <x v="0"/>
    <n v="6"/>
    <n v="408"/>
    <n v="11.399999999999999"/>
    <m/>
    <x v="0"/>
    <n v="396.6"/>
    <n v="798.25"/>
    <m/>
    <x v="0"/>
    <x v="0"/>
    <n v="0"/>
    <n v="0"/>
    <x v="0"/>
    <x v="0"/>
    <m/>
    <x v="0"/>
    <x v="0"/>
    <x v="0"/>
    <x v="0"/>
    <x v="0"/>
    <n v="0"/>
    <n v="0"/>
    <n v="0"/>
    <n v="12"/>
    <x v="1"/>
    <x v="0"/>
    <m/>
    <x v="0"/>
    <n v="413"/>
    <x v="0"/>
    <x v="18"/>
    <x v="8"/>
    <x v="0"/>
    <x v="0"/>
  </r>
  <r>
    <x v="1"/>
    <x v="15"/>
    <s v="6172 J"/>
    <x v="187"/>
    <s v="Ibraheem Filter Industry (SMC.PVT.LTD)"/>
    <s v="LDN"/>
    <n v="16"/>
    <n v="8"/>
    <s v="LDN"/>
    <n v="797.72079772079769"/>
    <x v="0"/>
    <n v="3"/>
    <n v="175.29"/>
    <n v="5.6999999999999993"/>
    <n v="4.3"/>
    <x v="0"/>
    <n v="169.59"/>
    <n v="798.25"/>
    <n v="5"/>
    <x v="0"/>
    <x v="0"/>
    <n v="5"/>
    <n v="8.3333333333333329E-2"/>
    <x v="0"/>
    <x v="0"/>
    <m/>
    <x v="0"/>
    <x v="0"/>
    <x v="0"/>
    <x v="0"/>
    <x v="0"/>
    <n v="0"/>
    <n v="0"/>
    <n v="8.3333333333333329E-2"/>
    <n v="11.916666666666666"/>
    <x v="1"/>
    <x v="0"/>
    <m/>
    <x v="0"/>
    <n v="180.29"/>
    <x v="0"/>
    <x v="18"/>
    <x v="8"/>
    <x v="1"/>
    <x v="1"/>
  </r>
  <r>
    <x v="1"/>
    <x v="15"/>
    <s v="2623 F"/>
    <x v="187"/>
    <s v="Usman Amin"/>
    <s v="LDN"/>
    <n v="15"/>
    <s v="12"/>
    <s v="LDN"/>
    <n v="200"/>
    <x v="0"/>
    <n v="4"/>
    <n v="215.26"/>
    <n v="7.2"/>
    <m/>
    <x v="0"/>
    <n v="208.06"/>
    <n v="208.06"/>
    <m/>
    <x v="0"/>
    <x v="0"/>
    <n v="0"/>
    <n v="0"/>
    <x v="0"/>
    <x v="0"/>
    <m/>
    <x v="0"/>
    <x v="0"/>
    <x v="0"/>
    <x v="0"/>
    <x v="0"/>
    <n v="0"/>
    <n v="0"/>
    <n v="0"/>
    <n v="12"/>
    <x v="1"/>
    <x v="0"/>
    <m/>
    <x v="0"/>
    <n v="220.26"/>
    <x v="0"/>
    <x v="18"/>
    <x v="8"/>
    <x v="2"/>
    <x v="1"/>
  </r>
  <r>
    <x v="1"/>
    <x v="8"/>
    <s v="6222 J"/>
    <x v="188"/>
    <s v="A.B Hole Sales Rawalkot Azad Kashmir"/>
    <s v="LDN"/>
    <n v="6"/>
    <n v="12"/>
    <s v="LDN"/>
    <n v="100"/>
    <x v="0"/>
    <n v="2"/>
    <n v="89"/>
    <n v="1.6"/>
    <n v="8"/>
    <x v="0"/>
    <n v="87.4"/>
    <n v="108.4"/>
    <m/>
    <x v="6"/>
    <x v="0"/>
    <n v="120"/>
    <n v="2"/>
    <x v="0"/>
    <x v="0"/>
    <m/>
    <x v="0"/>
    <x v="0"/>
    <x v="0"/>
    <x v="0"/>
    <x v="0"/>
    <n v="0"/>
    <n v="0"/>
    <n v="2"/>
    <n v="10"/>
    <x v="1"/>
    <x v="0"/>
    <m/>
    <x v="0"/>
    <n v="94"/>
    <x v="0"/>
    <x v="18"/>
    <x v="8"/>
    <x v="2"/>
    <x v="1"/>
  </r>
  <r>
    <x v="0"/>
    <x v="9"/>
    <s v="6263 J"/>
    <x v="188"/>
    <s v="Wah Nobel Private Limited"/>
    <s v="LD گولڈن پیلا"/>
    <s v="100MM"/>
    <s v="29-30"/>
    <s v="LDM"/>
    <n v="2000"/>
    <x v="0"/>
    <n v="4"/>
    <n v="210.51"/>
    <n v="3.2"/>
    <n v="1.7"/>
    <x v="0"/>
    <n v="207.31"/>
    <n v="1829.21"/>
    <m/>
    <x v="0"/>
    <x v="0"/>
    <n v="0"/>
    <n v="0"/>
    <x v="0"/>
    <x v="0"/>
    <m/>
    <x v="0"/>
    <x v="0"/>
    <x v="0"/>
    <x v="0"/>
    <x v="0"/>
    <n v="0"/>
    <n v="0"/>
    <n v="0"/>
    <n v="12"/>
    <x v="1"/>
    <x v="0"/>
    <m/>
    <x v="0"/>
    <n v="215.51"/>
    <x v="0"/>
    <x v="18"/>
    <x v="8"/>
    <x v="3"/>
    <x v="1"/>
  </r>
  <r>
    <x v="1"/>
    <x v="9"/>
    <s v="6263 J"/>
    <x v="188"/>
    <s v="Wah Nobel Private Limited"/>
    <s v="LD گولڈن پیلا"/>
    <s v="100MM"/>
    <s v="29-30"/>
    <s v="LDM"/>
    <n v="2000"/>
    <x v="0"/>
    <n v="4"/>
    <n v="180.40999999999997"/>
    <n v="3.2"/>
    <n v="3"/>
    <x v="0"/>
    <n v="177.20999999999998"/>
    <n v="1829.21"/>
    <m/>
    <x v="0"/>
    <x v="0"/>
    <n v="0"/>
    <n v="0"/>
    <x v="0"/>
    <x v="0"/>
    <m/>
    <x v="0"/>
    <x v="0"/>
    <x v="0"/>
    <x v="0"/>
    <x v="0"/>
    <n v="0"/>
    <n v="0"/>
    <n v="0"/>
    <n v="12"/>
    <x v="1"/>
    <x v="0"/>
    <m/>
    <x v="0"/>
    <n v="185.40999999999997"/>
    <x v="0"/>
    <x v="18"/>
    <x v="8"/>
    <x v="3"/>
    <x v="1"/>
  </r>
  <r>
    <x v="0"/>
    <x v="11"/>
    <s v="6005 J"/>
    <x v="188"/>
    <s v="International Industries (LTD)"/>
    <s v="LD گرین"/>
    <s v="300 MM"/>
    <s v="48-50"/>
    <s v="LDM"/>
    <n v="6000"/>
    <x v="0"/>
    <n v="4"/>
    <n v="521.5"/>
    <n v="7"/>
    <n v="9"/>
    <x v="0"/>
    <n v="514.5"/>
    <n v="6270.65"/>
    <m/>
    <x v="0"/>
    <x v="0"/>
    <n v="0"/>
    <n v="0"/>
    <x v="0"/>
    <x v="0"/>
    <m/>
    <x v="0"/>
    <x v="0"/>
    <x v="0"/>
    <x v="0"/>
    <x v="0"/>
    <n v="0"/>
    <n v="0"/>
    <n v="0"/>
    <n v="12"/>
    <x v="1"/>
    <x v="0"/>
    <m/>
    <x v="0"/>
    <n v="526.5"/>
    <x v="0"/>
    <x v="18"/>
    <x v="8"/>
    <x v="3"/>
    <x v="1"/>
  </r>
  <r>
    <x v="1"/>
    <x v="11"/>
    <s v="6005 J"/>
    <x v="188"/>
    <s v="International Industries (LTD)"/>
    <s v="LD گرین"/>
    <s v="300 MM"/>
    <s v="48-50"/>
    <s v="LDM"/>
    <n v="6000"/>
    <x v="0"/>
    <n v="4"/>
    <n v="566"/>
    <n v="6"/>
    <n v="10"/>
    <x v="0"/>
    <n v="560"/>
    <n v="6270.65"/>
    <m/>
    <x v="0"/>
    <x v="0"/>
    <n v="0"/>
    <n v="0"/>
    <x v="0"/>
    <x v="0"/>
    <m/>
    <x v="0"/>
    <x v="0"/>
    <x v="0"/>
    <x v="0"/>
    <x v="0"/>
    <n v="0"/>
    <n v="0"/>
    <n v="0"/>
    <n v="12"/>
    <x v="1"/>
    <x v="0"/>
    <m/>
    <x v="0"/>
    <n v="571"/>
    <x v="0"/>
    <x v="18"/>
    <x v="8"/>
    <x v="3"/>
    <x v="1"/>
  </r>
  <r>
    <x v="0"/>
    <x v="12"/>
    <s v="2836/1"/>
    <x v="188"/>
    <s v="MATCO FOOD"/>
    <s v="LDN"/>
    <s v="28-28.5"/>
    <s v="95±1"/>
    <s v="SL"/>
    <n v="7600"/>
    <x v="0"/>
    <n v="6"/>
    <n v="868"/>
    <n v="19.200000000000003"/>
    <n v="13"/>
    <x v="0"/>
    <n v="848.8"/>
    <n v="6678.38"/>
    <m/>
    <x v="0"/>
    <x v="0"/>
    <n v="0"/>
    <n v="0"/>
    <x v="0"/>
    <x v="0"/>
    <m/>
    <x v="0"/>
    <x v="0"/>
    <x v="0"/>
    <x v="0"/>
    <x v="0"/>
    <n v="0"/>
    <n v="0"/>
    <n v="0"/>
    <n v="12"/>
    <x v="1"/>
    <x v="0"/>
    <m/>
    <x v="0"/>
    <n v="873"/>
    <x v="0"/>
    <x v="18"/>
    <x v="8"/>
    <x v="3"/>
    <x v="1"/>
  </r>
  <r>
    <x v="1"/>
    <x v="12"/>
    <s v="2839/1"/>
    <x v="188"/>
    <s v="USMAN GHANI TEXTILES SHIEKHUPURA"/>
    <s v="LDN"/>
    <n v="38"/>
    <n v="10"/>
    <s v="SL"/>
    <n v="500"/>
    <x v="0"/>
    <n v="5"/>
    <n v="499.6"/>
    <n v="23.5"/>
    <n v="15"/>
    <x v="0"/>
    <n v="476.1"/>
    <n v="476.1"/>
    <m/>
    <x v="0"/>
    <x v="0"/>
    <n v="0"/>
    <n v="0"/>
    <x v="0"/>
    <x v="0"/>
    <m/>
    <x v="0"/>
    <x v="0"/>
    <x v="0"/>
    <x v="6"/>
    <x v="0"/>
    <n v="60"/>
    <n v="1"/>
    <n v="1"/>
    <n v="11"/>
    <x v="1"/>
    <x v="0"/>
    <m/>
    <x v="0"/>
    <n v="504.6"/>
    <x v="0"/>
    <x v="18"/>
    <x v="8"/>
    <x v="4"/>
    <x v="1"/>
  </r>
  <r>
    <x v="1"/>
    <x v="12"/>
    <s v="2836/1"/>
    <x v="188"/>
    <s v="MATCO FOOD"/>
    <s v="LDN"/>
    <s v="28-28.5"/>
    <s v="95±1"/>
    <s v="SL"/>
    <n v="7600"/>
    <x v="0"/>
    <n v="3"/>
    <n v="319.55"/>
    <n v="9.6000000000000014"/>
    <m/>
    <x v="0"/>
    <n v="309.95"/>
    <n v="6678.38"/>
    <m/>
    <x v="0"/>
    <x v="0"/>
    <n v="0"/>
    <n v="0"/>
    <x v="0"/>
    <x v="0"/>
    <m/>
    <x v="0"/>
    <x v="0"/>
    <x v="0"/>
    <x v="0"/>
    <x v="0"/>
    <n v="0"/>
    <n v="0"/>
    <n v="0"/>
    <n v="12"/>
    <x v="1"/>
    <x v="0"/>
    <m/>
    <x v="0"/>
    <n v="324.55"/>
    <x v="0"/>
    <x v="18"/>
    <x v="8"/>
    <x v="3"/>
    <x v="1"/>
  </r>
  <r>
    <x v="0"/>
    <x v="14"/>
    <s v="6002 J"/>
    <x v="188"/>
    <s v="Berger Paint Lahore"/>
    <s v="LDM"/>
    <n v="18"/>
    <s v="-"/>
    <s v="LDM"/>
    <n v="1000"/>
    <x v="0"/>
    <n v="3"/>
    <n v="260.89999999999998"/>
    <n v="6.6000000000000005"/>
    <n v="31"/>
    <x v="0"/>
    <n v="254.29999999999998"/>
    <n v="1006.3499999999999"/>
    <m/>
    <x v="0"/>
    <x v="0"/>
    <n v="0"/>
    <n v="0"/>
    <x v="0"/>
    <x v="0"/>
    <m/>
    <x v="0"/>
    <x v="0"/>
    <x v="0"/>
    <x v="0"/>
    <x v="0"/>
    <n v="0"/>
    <n v="0"/>
    <n v="0"/>
    <n v="12"/>
    <x v="1"/>
    <x v="0"/>
    <m/>
    <x v="0"/>
    <n v="265.89999999999998"/>
    <x v="0"/>
    <x v="18"/>
    <x v="8"/>
    <x v="3"/>
    <x v="1"/>
  </r>
  <r>
    <x v="0"/>
    <x v="14"/>
    <s v="2617 F"/>
    <x v="188"/>
    <s v="Usman Amin"/>
    <s v="LDM"/>
    <s v="39 SHEET"/>
    <s v="7/14"/>
    <s v="LDM"/>
    <n v="150"/>
    <x v="0"/>
    <n v="2"/>
    <n v="169.04"/>
    <n v="6.4"/>
    <m/>
    <x v="0"/>
    <n v="162.63999999999999"/>
    <n v="162.63999999999999"/>
    <m/>
    <x v="0"/>
    <x v="0"/>
    <n v="0"/>
    <n v="0"/>
    <x v="0"/>
    <x v="0"/>
    <m/>
    <x v="0"/>
    <x v="0"/>
    <x v="0"/>
    <x v="0"/>
    <x v="0"/>
    <n v="0"/>
    <n v="0"/>
    <n v="0"/>
    <n v="12"/>
    <x v="1"/>
    <x v="0"/>
    <m/>
    <x v="0"/>
    <n v="174.04"/>
    <x v="0"/>
    <x v="18"/>
    <x v="8"/>
    <x v="5"/>
    <x v="1"/>
  </r>
  <r>
    <x v="0"/>
    <x v="14"/>
    <s v="2621 F"/>
    <x v="188"/>
    <s v="Usman Amin"/>
    <s v="LDN"/>
    <s v="31+7+7"/>
    <s v="7-7.5/14-15"/>
    <s v="LDN"/>
    <n v="790"/>
    <x v="0"/>
    <n v="4"/>
    <n v="395.01"/>
    <n v="12.8"/>
    <m/>
    <x v="0"/>
    <n v="382.21"/>
    <n v="809.93999999999994"/>
    <m/>
    <x v="0"/>
    <x v="0"/>
    <n v="0"/>
    <n v="0"/>
    <x v="0"/>
    <x v="0"/>
    <m/>
    <x v="0"/>
    <x v="0"/>
    <x v="0"/>
    <x v="0"/>
    <x v="0"/>
    <n v="0"/>
    <n v="0"/>
    <n v="0"/>
    <n v="12"/>
    <x v="1"/>
    <x v="0"/>
    <m/>
    <x v="0"/>
    <n v="400.01"/>
    <x v="0"/>
    <x v="18"/>
    <x v="8"/>
    <x v="3"/>
    <x v="1"/>
  </r>
  <r>
    <x v="1"/>
    <x v="14"/>
    <s v="2621 F"/>
    <x v="188"/>
    <s v="Usman Amin"/>
    <s v="LDN"/>
    <s v="31+7+7"/>
    <s v="7-7.5/14-15"/>
    <s v="LDN"/>
    <n v="790"/>
    <x v="0"/>
    <n v="5"/>
    <n v="446.72999999999996"/>
    <n v="19"/>
    <m/>
    <x v="0"/>
    <n v="427.72999999999996"/>
    <n v="809.93999999999994"/>
    <n v="5"/>
    <x v="0"/>
    <x v="0"/>
    <n v="5"/>
    <n v="8.3333333333333329E-2"/>
    <x v="0"/>
    <x v="0"/>
    <m/>
    <x v="0"/>
    <x v="0"/>
    <x v="0"/>
    <x v="0"/>
    <x v="0"/>
    <n v="0"/>
    <n v="0"/>
    <n v="8.3333333333333329E-2"/>
    <n v="11.916666666666666"/>
    <x v="1"/>
    <x v="0"/>
    <m/>
    <x v="0"/>
    <n v="451.72999999999996"/>
    <x v="0"/>
    <x v="18"/>
    <x v="8"/>
    <x v="3"/>
    <x v="1"/>
  </r>
  <r>
    <x v="1"/>
    <x v="14"/>
    <s v="1927 F"/>
    <x v="188"/>
    <s v="Usman Amin"/>
    <s v="LDN"/>
    <n v="17"/>
    <s v="7-7.5"/>
    <s v="LDN"/>
    <n v="605"/>
    <x v="0"/>
    <n v="2"/>
    <n v="160.69999999999999"/>
    <n v="7.6"/>
    <m/>
    <x v="0"/>
    <n v="153.1"/>
    <n v="499.1"/>
    <n v="5"/>
    <x v="0"/>
    <x v="0"/>
    <n v="5"/>
    <n v="8.3333333333333329E-2"/>
    <x v="0"/>
    <x v="0"/>
    <m/>
    <x v="0"/>
    <x v="0"/>
    <x v="0"/>
    <x v="0"/>
    <x v="0"/>
    <n v="0"/>
    <n v="0"/>
    <n v="8.3333333333333329E-2"/>
    <n v="11.916666666666666"/>
    <x v="1"/>
    <x v="0"/>
    <m/>
    <x v="0"/>
    <n v="165.7"/>
    <x v="0"/>
    <x v="18"/>
    <x v="8"/>
    <x v="3"/>
    <x v="1"/>
  </r>
  <r>
    <x v="1"/>
    <x v="14"/>
    <s v="2840/1"/>
    <x v="188"/>
    <s v="USMAN AMEEN LAHORE"/>
    <s v="LDN"/>
    <n v="40"/>
    <n v="5"/>
    <s v="SL"/>
    <n v="200"/>
    <x v="0"/>
    <n v="3"/>
    <n v="236.9"/>
    <n v="9"/>
    <n v="58"/>
    <x v="0"/>
    <n v="227.9"/>
    <n v="227.9"/>
    <n v="5"/>
    <x v="0"/>
    <x v="0"/>
    <n v="5"/>
    <n v="8.3333333333333329E-2"/>
    <x v="0"/>
    <x v="0"/>
    <m/>
    <x v="0"/>
    <x v="0"/>
    <x v="0"/>
    <x v="0"/>
    <x v="0"/>
    <n v="0"/>
    <n v="0"/>
    <n v="8.3333333333333329E-2"/>
    <n v="11.916666666666666"/>
    <x v="1"/>
    <x v="0"/>
    <m/>
    <x v="0"/>
    <n v="241.9"/>
    <x v="0"/>
    <x v="18"/>
    <x v="8"/>
    <x v="6"/>
    <x v="1"/>
  </r>
  <r>
    <x v="1"/>
    <x v="14"/>
    <s v="6265 J"/>
    <x v="188"/>
    <s v="Procon Synthetic Pvt LTD Master Foam"/>
    <s v="LDM"/>
    <s v="31+6+6"/>
    <s v="10/20"/>
    <s v="LDM"/>
    <n v="400"/>
    <x v="0"/>
    <n v="2"/>
    <n v="166.56"/>
    <n v="5.2"/>
    <m/>
    <x v="0"/>
    <n v="161.36000000000001"/>
    <n v="401.05"/>
    <m/>
    <x v="0"/>
    <x v="0"/>
    <n v="0"/>
    <n v="0"/>
    <x v="0"/>
    <x v="0"/>
    <m/>
    <x v="0"/>
    <x v="0"/>
    <x v="0"/>
    <x v="0"/>
    <x v="0"/>
    <n v="0"/>
    <n v="0"/>
    <n v="0"/>
    <n v="12"/>
    <x v="1"/>
    <x v="0"/>
    <m/>
    <x v="0"/>
    <n v="171.56"/>
    <x v="0"/>
    <x v="18"/>
    <x v="8"/>
    <x v="7"/>
    <x v="1"/>
  </r>
  <r>
    <x v="0"/>
    <x v="15"/>
    <s v="2618 F"/>
    <x v="188"/>
    <s v="Usman Amin"/>
    <s v="LDN"/>
    <n v="15"/>
    <s v="5-5.5"/>
    <s v="LDN"/>
    <n v="110"/>
    <x v="0"/>
    <n v="2"/>
    <n v="109.3"/>
    <n v="3.8"/>
    <m/>
    <x v="0"/>
    <n v="105.5"/>
    <n v="105.5"/>
    <m/>
    <x v="0"/>
    <x v="0"/>
    <n v="0"/>
    <n v="0"/>
    <x v="0"/>
    <x v="0"/>
    <m/>
    <x v="0"/>
    <x v="0"/>
    <x v="0"/>
    <x v="0"/>
    <x v="0"/>
    <n v="0"/>
    <n v="0"/>
    <n v="0"/>
    <n v="12"/>
    <x v="1"/>
    <x v="0"/>
    <m/>
    <x v="0"/>
    <n v="114.3"/>
    <x v="0"/>
    <x v="18"/>
    <x v="8"/>
    <x v="3"/>
    <x v="1"/>
  </r>
  <r>
    <x v="0"/>
    <x v="15"/>
    <s v="2619 F"/>
    <x v="188"/>
    <s v="Usman Amin"/>
    <s v="LDN"/>
    <n v="18"/>
    <s v="5-5.5"/>
    <s v="LDN"/>
    <n v="540"/>
    <x v="0"/>
    <n v="5"/>
    <n v="289.09999999999997"/>
    <n v="10.5"/>
    <n v="5"/>
    <x v="0"/>
    <n v="278.59999999999997"/>
    <n v="551.06999999999994"/>
    <m/>
    <x v="0"/>
    <x v="0"/>
    <n v="0"/>
    <n v="0"/>
    <x v="0"/>
    <x v="0"/>
    <m/>
    <x v="0"/>
    <x v="0"/>
    <x v="0"/>
    <x v="0"/>
    <x v="0"/>
    <n v="0"/>
    <n v="0"/>
    <n v="0"/>
    <n v="12"/>
    <x v="1"/>
    <x v="0"/>
    <m/>
    <x v="0"/>
    <n v="294.09999999999997"/>
    <x v="0"/>
    <x v="18"/>
    <x v="8"/>
    <x v="3"/>
    <x v="1"/>
  </r>
  <r>
    <x v="1"/>
    <x v="15"/>
    <s v="2619 F"/>
    <x v="188"/>
    <s v="Usman Amin"/>
    <s v="LDN"/>
    <n v="18"/>
    <s v="5-5.5"/>
    <s v="LDN"/>
    <n v="540"/>
    <x v="0"/>
    <n v="5"/>
    <n v="280.47000000000003"/>
    <n v="8"/>
    <n v="6"/>
    <x v="0"/>
    <n v="272.47000000000003"/>
    <n v="551.06999999999994"/>
    <n v="5"/>
    <x v="0"/>
    <x v="0"/>
    <n v="5"/>
    <n v="8.3333333333333329E-2"/>
    <x v="0"/>
    <x v="0"/>
    <m/>
    <x v="0"/>
    <x v="0"/>
    <x v="0"/>
    <x v="0"/>
    <x v="0"/>
    <n v="0"/>
    <n v="0"/>
    <n v="8.3333333333333329E-2"/>
    <n v="11.916666666666666"/>
    <x v="1"/>
    <x v="0"/>
    <m/>
    <x v="0"/>
    <n v="285.47000000000003"/>
    <x v="0"/>
    <x v="18"/>
    <x v="8"/>
    <x v="3"/>
    <x v="1"/>
  </r>
  <r>
    <x v="1"/>
    <x v="15"/>
    <s v="2620 F"/>
    <x v="188"/>
    <s v="Usman Amin"/>
    <s v="LDN"/>
    <n v="18"/>
    <s v="5-5.5"/>
    <s v="LDN"/>
    <n v="490"/>
    <x v="0"/>
    <n v="2"/>
    <n v="109.28"/>
    <n v="3.6"/>
    <m/>
    <x v="0"/>
    <n v="105.68"/>
    <n v="511.9"/>
    <m/>
    <x v="0"/>
    <x v="0"/>
    <n v="0"/>
    <n v="0"/>
    <x v="0"/>
    <x v="0"/>
    <m/>
    <x v="0"/>
    <x v="0"/>
    <x v="0"/>
    <x v="0"/>
    <x v="0"/>
    <n v="0"/>
    <n v="0"/>
    <n v="0"/>
    <n v="12"/>
    <x v="1"/>
    <x v="0"/>
    <m/>
    <x v="0"/>
    <n v="114.28"/>
    <x v="0"/>
    <x v="18"/>
    <x v="8"/>
    <x v="3"/>
    <x v="1"/>
  </r>
  <r>
    <x v="1"/>
    <x v="15"/>
    <s v="6153 J"/>
    <x v="188"/>
    <s v="Mushtaq Cut Piece Kot Abdul Malik C/O Naseer Sab "/>
    <s v="LDN"/>
    <n v="16.5"/>
    <s v="7.5-8"/>
    <s v="LDN"/>
    <n v="40"/>
    <x v="0"/>
    <n v="1"/>
    <n v="44.15"/>
    <n v="2"/>
    <m/>
    <x v="0"/>
    <n v="42.15"/>
    <n v="42.15"/>
    <m/>
    <x v="0"/>
    <x v="0"/>
    <n v="0"/>
    <n v="0"/>
    <x v="0"/>
    <x v="0"/>
    <m/>
    <x v="0"/>
    <x v="0"/>
    <x v="0"/>
    <x v="0"/>
    <x v="0"/>
    <n v="0"/>
    <n v="0"/>
    <n v="0"/>
    <n v="12"/>
    <x v="1"/>
    <x v="0"/>
    <m/>
    <x v="0"/>
    <n v="49.15"/>
    <x v="0"/>
    <x v="18"/>
    <x v="8"/>
    <x v="3"/>
    <x v="1"/>
  </r>
  <r>
    <x v="0"/>
    <x v="8"/>
    <s v="6222 J"/>
    <x v="189"/>
    <s v="A.B Hole Sales Rawalkot Azad Kashmir"/>
    <s v="LDN"/>
    <n v="6"/>
    <n v="12"/>
    <s v="LDN"/>
    <n v="100"/>
    <x v="0"/>
    <n v="1"/>
    <n v="21.8"/>
    <n v="0.8"/>
    <m/>
    <x v="0"/>
    <n v="21"/>
    <n v="108.4"/>
    <m/>
    <x v="0"/>
    <x v="0"/>
    <n v="0"/>
    <n v="0"/>
    <x v="0"/>
    <x v="0"/>
    <m/>
    <x v="0"/>
    <x v="0"/>
    <x v="0"/>
    <x v="0"/>
    <x v="0"/>
    <n v="0"/>
    <n v="0"/>
    <n v="0"/>
    <n v="12"/>
    <x v="1"/>
    <x v="0"/>
    <m/>
    <x v="0"/>
    <n v="26.8"/>
    <x v="0"/>
    <x v="18"/>
    <x v="8"/>
    <x v="0"/>
    <x v="0"/>
  </r>
  <r>
    <x v="0"/>
    <x v="8"/>
    <s v="6221 J"/>
    <x v="189"/>
    <s v="A.B Hole Sales Rawalkot Azad Kashmir"/>
    <s v="LDN"/>
    <n v="5"/>
    <n v="12"/>
    <s v="LDN"/>
    <n v="100"/>
    <x v="0"/>
    <n v="3"/>
    <n v="113.39999999999999"/>
    <n v="2.0999999999999996"/>
    <n v="3"/>
    <x v="0"/>
    <n v="111.3"/>
    <n v="111.3"/>
    <n v="5"/>
    <x v="0"/>
    <x v="0"/>
    <n v="5"/>
    <n v="8.3333333333333329E-2"/>
    <x v="0"/>
    <x v="0"/>
    <m/>
    <x v="0"/>
    <x v="0"/>
    <x v="0"/>
    <x v="0"/>
    <x v="0"/>
    <n v="0"/>
    <n v="0"/>
    <n v="8.3333333333333329E-2"/>
    <n v="11.916666666666666"/>
    <x v="1"/>
    <x v="0"/>
    <m/>
    <x v="0"/>
    <n v="118.39999999999999"/>
    <x v="0"/>
    <x v="18"/>
    <x v="8"/>
    <x v="0"/>
    <x v="0"/>
  </r>
  <r>
    <x v="1"/>
    <x v="8"/>
    <s v="6223 J"/>
    <x v="189"/>
    <s v="Al Burak Deparmental Store Lahore"/>
    <s v="LDN"/>
    <n v="7"/>
    <s v="14-15"/>
    <s v="LDN"/>
    <n v="125"/>
    <x v="0"/>
    <n v="3"/>
    <n v="128.75"/>
    <n v="2.4000000000000004"/>
    <n v="2"/>
    <x v="0"/>
    <n v="126.35"/>
    <n v="126.35"/>
    <n v="5"/>
    <x v="0"/>
    <x v="0"/>
    <n v="5"/>
    <n v="8.3333333333333329E-2"/>
    <x v="0"/>
    <x v="0"/>
    <m/>
    <x v="0"/>
    <x v="0"/>
    <x v="0"/>
    <x v="0"/>
    <x v="0"/>
    <n v="0"/>
    <n v="0"/>
    <n v="8.3333333333333329E-2"/>
    <n v="11.916666666666666"/>
    <x v="1"/>
    <x v="0"/>
    <m/>
    <x v="0"/>
    <n v="133.75"/>
    <x v="0"/>
    <x v="18"/>
    <x v="8"/>
    <x v="0"/>
    <x v="0"/>
  </r>
  <r>
    <x v="1"/>
    <x v="8"/>
    <s v="6253 J"/>
    <x v="189"/>
    <s v="Shah Jee Achar Mardan"/>
    <s v="LDN"/>
    <n v="5"/>
    <s v="12-12.5"/>
    <s v="LDN"/>
    <n v="400"/>
    <x v="0"/>
    <n v="1"/>
    <n v="34.6"/>
    <n v="0.5"/>
    <m/>
    <x v="0"/>
    <n v="34.1"/>
    <n v="394.84999999999991"/>
    <m/>
    <x v="0"/>
    <x v="0"/>
    <n v="0"/>
    <n v="0"/>
    <x v="0"/>
    <x v="0"/>
    <m/>
    <x v="0"/>
    <x v="0"/>
    <x v="0"/>
    <x v="0"/>
    <x v="0"/>
    <n v="0"/>
    <n v="0"/>
    <n v="0"/>
    <n v="12"/>
    <x v="1"/>
    <x v="0"/>
    <m/>
    <x v="0"/>
    <n v="39.6"/>
    <x v="0"/>
    <x v="18"/>
    <x v="8"/>
    <x v="0"/>
    <x v="0"/>
  </r>
  <r>
    <x v="0"/>
    <x v="9"/>
    <s v="6263 J"/>
    <x v="189"/>
    <s v="Wah Nobel Private Limited"/>
    <s v="LD گولڈن پیلا"/>
    <s v="100MM"/>
    <s v="29-30"/>
    <s v="LDM"/>
    <n v="2000"/>
    <x v="0"/>
    <n v="4"/>
    <n v="156.4"/>
    <n v="2.4"/>
    <n v="2"/>
    <x v="0"/>
    <n v="154"/>
    <n v="1829.21"/>
    <m/>
    <x v="0"/>
    <x v="0"/>
    <n v="0"/>
    <n v="0"/>
    <x v="0"/>
    <x v="0"/>
    <m/>
    <x v="0"/>
    <x v="0"/>
    <x v="0"/>
    <x v="0"/>
    <x v="0"/>
    <n v="0"/>
    <n v="0"/>
    <n v="0"/>
    <n v="12"/>
    <x v="1"/>
    <x v="0"/>
    <m/>
    <x v="0"/>
    <n v="161.4"/>
    <x v="0"/>
    <x v="18"/>
    <x v="8"/>
    <x v="0"/>
    <x v="0"/>
  </r>
  <r>
    <x v="1"/>
    <x v="9"/>
    <s v="6263 J"/>
    <x v="189"/>
    <s v="Wah Nobel Private Limited"/>
    <s v="LD گولڈن پیلا"/>
    <s v="100MM"/>
    <s v="29-30"/>
    <s v="LDM"/>
    <n v="2000"/>
    <x v="0"/>
    <n v="3"/>
    <n v="148.80000000000001"/>
    <n v="3.5999999999999996"/>
    <m/>
    <x v="0"/>
    <n v="145.20000000000002"/>
    <n v="1829.21"/>
    <m/>
    <x v="0"/>
    <x v="0"/>
    <n v="0"/>
    <n v="0"/>
    <x v="0"/>
    <x v="0"/>
    <m/>
    <x v="0"/>
    <x v="0"/>
    <x v="0"/>
    <x v="0"/>
    <x v="0"/>
    <n v="0"/>
    <n v="0"/>
    <n v="0"/>
    <n v="12"/>
    <x v="1"/>
    <x v="0"/>
    <m/>
    <x v="0"/>
    <n v="153.80000000000001"/>
    <x v="0"/>
    <x v="18"/>
    <x v="8"/>
    <x v="0"/>
    <x v="0"/>
  </r>
  <r>
    <x v="1"/>
    <x v="10"/>
    <s v="6113 J"/>
    <x v="189"/>
    <s v="Pak Plastic Lahore"/>
    <s v="LD گرین"/>
    <n v="12"/>
    <n v="12"/>
    <s v="LDN"/>
    <n v="150"/>
    <x v="0"/>
    <n v="3"/>
    <n v="169.1"/>
    <n v="4.5"/>
    <n v="52"/>
    <x v="0"/>
    <n v="164.6"/>
    <n v="164.6"/>
    <n v="5"/>
    <x v="0"/>
    <x v="0"/>
    <n v="5"/>
    <n v="8.3333333333333329E-2"/>
    <x v="0"/>
    <x v="0"/>
    <m/>
    <x v="0"/>
    <x v="0"/>
    <x v="0"/>
    <x v="0"/>
    <x v="0"/>
    <n v="0"/>
    <n v="0"/>
    <n v="8.3333333333333329E-2"/>
    <n v="11.916666666666666"/>
    <x v="1"/>
    <x v="0"/>
    <m/>
    <x v="0"/>
    <n v="174.1"/>
    <x v="0"/>
    <x v="18"/>
    <x v="8"/>
    <x v="0"/>
    <x v="0"/>
  </r>
  <r>
    <x v="1"/>
    <x v="10"/>
    <s v="6188 J"/>
    <x v="189"/>
    <s v="Head Office Lahore"/>
    <s v="LD رنگدار"/>
    <n v="13"/>
    <n v="0"/>
    <s v="LDM"/>
    <n v="800"/>
    <x v="0"/>
    <n v="2"/>
    <n v="153.69999999999999"/>
    <n v="3.2"/>
    <m/>
    <x v="0"/>
    <n v="150.5"/>
    <n v="782.93"/>
    <m/>
    <x v="0"/>
    <x v="0"/>
    <n v="0"/>
    <n v="0"/>
    <x v="0"/>
    <x v="0"/>
    <m/>
    <x v="0"/>
    <x v="0"/>
    <x v="0"/>
    <x v="0"/>
    <x v="0"/>
    <n v="0"/>
    <n v="0"/>
    <n v="0"/>
    <n v="12"/>
    <x v="1"/>
    <x v="0"/>
    <m/>
    <x v="0"/>
    <n v="158.69999999999999"/>
    <x v="0"/>
    <x v="18"/>
    <x v="8"/>
    <x v="0"/>
    <x v="0"/>
  </r>
  <r>
    <x v="0"/>
    <x v="11"/>
    <s v="6005 J"/>
    <x v="189"/>
    <s v="International Industries (LTD)"/>
    <s v="LD گرین"/>
    <s v="300 MM"/>
    <s v="48-50"/>
    <s v="LDM"/>
    <n v="6000"/>
    <x v="0"/>
    <n v="3"/>
    <n v="556.20000000000005"/>
    <n v="4.5"/>
    <n v="10"/>
    <x v="0"/>
    <n v="551.70000000000005"/>
    <n v="6270.65"/>
    <m/>
    <x v="0"/>
    <x v="0"/>
    <n v="0"/>
    <n v="0"/>
    <x v="0"/>
    <x v="0"/>
    <m/>
    <x v="0"/>
    <x v="0"/>
    <x v="0"/>
    <x v="0"/>
    <x v="0"/>
    <n v="0"/>
    <n v="0"/>
    <n v="0"/>
    <n v="12"/>
    <x v="1"/>
    <x v="0"/>
    <m/>
    <x v="0"/>
    <n v="561.20000000000005"/>
    <x v="0"/>
    <x v="18"/>
    <x v="8"/>
    <x v="0"/>
    <x v="0"/>
  </r>
  <r>
    <x v="1"/>
    <x v="11"/>
    <s v="6005 J"/>
    <x v="189"/>
    <s v="International Industries (LTD)"/>
    <s v="LD گرین"/>
    <s v="300 MM"/>
    <s v="48-50"/>
    <s v="LDM"/>
    <n v="6000"/>
    <x v="0"/>
    <n v="3"/>
    <n v="524.54999999999995"/>
    <n v="4.1999999999999993"/>
    <n v="8"/>
    <x v="0"/>
    <n v="520.34999999999991"/>
    <n v="6270.65"/>
    <m/>
    <x v="0"/>
    <x v="0"/>
    <n v="0"/>
    <n v="0"/>
    <x v="0"/>
    <x v="0"/>
    <m/>
    <x v="0"/>
    <x v="0"/>
    <x v="0"/>
    <x v="0"/>
    <x v="0"/>
    <n v="0"/>
    <n v="0"/>
    <n v="0"/>
    <n v="12"/>
    <x v="1"/>
    <x v="0"/>
    <m/>
    <x v="0"/>
    <n v="529.54999999999995"/>
    <x v="0"/>
    <x v="18"/>
    <x v="8"/>
    <x v="0"/>
    <x v="0"/>
  </r>
  <r>
    <x v="0"/>
    <x v="14"/>
    <s v="6265 J"/>
    <x v="189"/>
    <s v="Procon Synthetic Pvt LTD Master Foam"/>
    <s v="LDM"/>
    <s v="31+6+6"/>
    <s v="10/20"/>
    <s v="LDM"/>
    <n v="400"/>
    <x v="0"/>
    <n v="3"/>
    <n v="247.49"/>
    <n v="7.8000000000000007"/>
    <m/>
    <x v="0"/>
    <n v="239.69"/>
    <n v="401.05"/>
    <n v="10"/>
    <x v="0"/>
    <x v="0"/>
    <n v="10"/>
    <n v="0.16666666666666666"/>
    <x v="0"/>
    <x v="0"/>
    <m/>
    <x v="0"/>
    <x v="0"/>
    <x v="0"/>
    <x v="0"/>
    <x v="0"/>
    <n v="0"/>
    <n v="0"/>
    <n v="0.16666666666666666"/>
    <n v="11.833333333333334"/>
    <x v="1"/>
    <x v="0"/>
    <m/>
    <x v="0"/>
    <n v="252.49"/>
    <x v="0"/>
    <x v="18"/>
    <x v="8"/>
    <x v="0"/>
    <x v="0"/>
  </r>
  <r>
    <x v="0"/>
    <x v="14"/>
    <s v="6235 J"/>
    <x v="189"/>
    <s v="Head Office Lahore"/>
    <s v="LDM"/>
    <s v="32 شیٹ"/>
    <s v="5.5-6/11-12"/>
    <s v="LDM"/>
    <n v="500"/>
    <x v="0"/>
    <n v="4"/>
    <n v="512.38"/>
    <n v="16"/>
    <m/>
    <x v="0"/>
    <n v="496.38"/>
    <n v="496.38"/>
    <n v="5"/>
    <x v="0"/>
    <x v="0"/>
    <n v="5"/>
    <n v="8.3333333333333329E-2"/>
    <x v="0"/>
    <x v="0"/>
    <m/>
    <x v="0"/>
    <x v="0"/>
    <x v="0"/>
    <x v="0"/>
    <x v="0"/>
    <n v="0"/>
    <n v="0"/>
    <n v="8.3333333333333329E-2"/>
    <n v="11.916666666666666"/>
    <x v="1"/>
    <x v="0"/>
    <m/>
    <x v="0"/>
    <n v="517.38"/>
    <x v="0"/>
    <x v="18"/>
    <x v="8"/>
    <x v="0"/>
    <x v="0"/>
  </r>
  <r>
    <x v="0"/>
    <x v="14"/>
    <s v="5995 J"/>
    <x v="189"/>
    <s v="Wazir Suiting Center Lahore"/>
    <s v="LDM"/>
    <n v="20"/>
    <s v="15-16"/>
    <s v="LDM"/>
    <n v="200"/>
    <x v="0"/>
    <n v="2"/>
    <n v="477.15"/>
    <n v="4.4000000000000004"/>
    <n v="80"/>
    <x v="0"/>
    <n v="472.75"/>
    <n v="696.75"/>
    <m/>
    <x v="0"/>
    <x v="0"/>
    <n v="0"/>
    <n v="0"/>
    <x v="0"/>
    <x v="0"/>
    <m/>
    <x v="0"/>
    <x v="0"/>
    <x v="0"/>
    <x v="0"/>
    <x v="0"/>
    <n v="0"/>
    <n v="0"/>
    <n v="0"/>
    <n v="12"/>
    <x v="1"/>
    <x v="0"/>
    <m/>
    <x v="0"/>
    <n v="482.15"/>
    <x v="0"/>
    <x v="18"/>
    <x v="8"/>
    <x v="0"/>
    <x v="0"/>
  </r>
  <r>
    <x v="1"/>
    <x v="14"/>
    <s v="6236 J"/>
    <x v="189"/>
    <s v="Head Office Lahore"/>
    <s v="LDM"/>
    <s v="36 شیٹ"/>
    <s v="5.5-6/11-12"/>
    <s v="LDM"/>
    <n v="800"/>
    <x v="0"/>
    <n v="5"/>
    <n v="723.6"/>
    <n v="22"/>
    <n v="90"/>
    <x v="0"/>
    <n v="701.6"/>
    <n v="701.6"/>
    <n v="10"/>
    <x v="0"/>
    <x v="0"/>
    <n v="10"/>
    <n v="0.16666666666666666"/>
    <x v="0"/>
    <x v="0"/>
    <m/>
    <x v="7"/>
    <x v="0"/>
    <x v="0"/>
    <x v="0"/>
    <x v="0"/>
    <n v="20"/>
    <n v="0.33333333333333331"/>
    <n v="0.5"/>
    <n v="11.5"/>
    <x v="1"/>
    <x v="0"/>
    <m/>
    <x v="0"/>
    <n v="728.6"/>
    <x v="0"/>
    <x v="18"/>
    <x v="8"/>
    <x v="0"/>
    <x v="0"/>
  </r>
  <r>
    <x v="1"/>
    <x v="14"/>
    <s v="6237 J"/>
    <x v="189"/>
    <s v="Head Office Lahore"/>
    <s v="LDM"/>
    <s v="40 شیٹ"/>
    <s v="5.5-6/11-12"/>
    <s v="LDM"/>
    <n v="800"/>
    <x v="0"/>
    <n v="4"/>
    <n v="553"/>
    <n v="20"/>
    <m/>
    <x v="0"/>
    <n v="533"/>
    <n v="842.2"/>
    <m/>
    <x v="0"/>
    <x v="0"/>
    <n v="0"/>
    <n v="0"/>
    <x v="0"/>
    <x v="0"/>
    <m/>
    <x v="0"/>
    <x v="0"/>
    <x v="0"/>
    <x v="0"/>
    <x v="0"/>
    <n v="0"/>
    <n v="0"/>
    <n v="0"/>
    <n v="12"/>
    <x v="1"/>
    <x v="0"/>
    <m/>
    <x v="0"/>
    <n v="558"/>
    <x v="0"/>
    <x v="18"/>
    <x v="8"/>
    <x v="0"/>
    <x v="0"/>
  </r>
  <r>
    <x v="0"/>
    <x v="15"/>
    <s v="2620 F"/>
    <x v="189"/>
    <s v="Usman Amin"/>
    <s v="LDN"/>
    <n v="18"/>
    <s v="5-5.5"/>
    <s v="LDN"/>
    <n v="490"/>
    <x v="0"/>
    <n v="6"/>
    <n v="415.82"/>
    <n v="9.6000000000000014"/>
    <m/>
    <x v="0"/>
    <n v="406.21999999999997"/>
    <n v="511.9"/>
    <m/>
    <x v="0"/>
    <x v="0"/>
    <n v="0"/>
    <n v="0"/>
    <x v="0"/>
    <x v="0"/>
    <m/>
    <x v="0"/>
    <x v="0"/>
    <x v="0"/>
    <x v="0"/>
    <x v="0"/>
    <n v="0"/>
    <n v="0"/>
    <n v="0"/>
    <n v="12"/>
    <x v="1"/>
    <x v="0"/>
    <m/>
    <x v="0"/>
    <n v="420.82"/>
    <x v="0"/>
    <x v="18"/>
    <x v="8"/>
    <x v="0"/>
    <x v="0"/>
  </r>
  <r>
    <x v="0"/>
    <x v="15"/>
    <s v="6267 J"/>
    <x v="189"/>
    <s v="Armani Dry Cleaner Mandi Bahuldin"/>
    <s v="LDN"/>
    <n v="25"/>
    <s v="4.5-5"/>
    <s v="LDN"/>
    <n v="100"/>
    <x v="0"/>
    <n v="1"/>
    <n v="39.47"/>
    <n v="2.5"/>
    <n v="3"/>
    <x v="0"/>
    <n v="36.97"/>
    <n v="114.78999999999999"/>
    <n v="5"/>
    <x v="0"/>
    <x v="0"/>
    <n v="5"/>
    <n v="8.3333333333333329E-2"/>
    <x v="0"/>
    <x v="0"/>
    <m/>
    <x v="0"/>
    <x v="0"/>
    <x v="0"/>
    <x v="0"/>
    <x v="0"/>
    <n v="0"/>
    <n v="0"/>
    <n v="8.3333333333333329E-2"/>
    <n v="11.916666666666666"/>
    <x v="1"/>
    <x v="0"/>
    <m/>
    <x v="0"/>
    <n v="44.47"/>
    <x v="0"/>
    <x v="18"/>
    <x v="8"/>
    <x v="0"/>
    <x v="0"/>
  </r>
  <r>
    <x v="1"/>
    <x v="15"/>
    <s v="6267 J"/>
    <x v="189"/>
    <s v="Armani Dry Cleaner Mandi Bahuldin"/>
    <s v="LDN"/>
    <n v="25"/>
    <s v="4.5-5"/>
    <s v="LDN"/>
    <n v="100"/>
    <x v="0"/>
    <n v="2"/>
    <n v="84.22"/>
    <n v="6.4"/>
    <n v="7"/>
    <x v="0"/>
    <n v="77.819999999999993"/>
    <n v="114.78999999999999"/>
    <n v="5"/>
    <x v="0"/>
    <x v="0"/>
    <n v="5"/>
    <n v="8.3333333333333329E-2"/>
    <x v="0"/>
    <x v="0"/>
    <m/>
    <x v="0"/>
    <x v="0"/>
    <x v="0"/>
    <x v="0"/>
    <x v="0"/>
    <n v="0"/>
    <n v="0"/>
    <n v="8.3333333333333329E-2"/>
    <n v="11.916666666666666"/>
    <x v="1"/>
    <x v="0"/>
    <m/>
    <x v="0"/>
    <n v="89.22"/>
    <x v="0"/>
    <x v="18"/>
    <x v="8"/>
    <x v="0"/>
    <x v="0"/>
  </r>
  <r>
    <x v="1"/>
    <x v="15"/>
    <s v="6215 J"/>
    <x v="189"/>
    <s v="Usman Arif Butt Gujranwala"/>
    <s v="LDN"/>
    <n v="27"/>
    <s v="4-4.5"/>
    <s v="LDN"/>
    <n v="150"/>
    <x v="0"/>
    <n v="3"/>
    <n v="161.32999999999998"/>
    <n v="10.199999999999999"/>
    <m/>
    <x v="0"/>
    <n v="151.13"/>
    <n v="151.13"/>
    <n v="5"/>
    <x v="0"/>
    <x v="0"/>
    <n v="5"/>
    <n v="8.3333333333333329E-2"/>
    <x v="0"/>
    <x v="0"/>
    <m/>
    <x v="0"/>
    <x v="0"/>
    <x v="0"/>
    <x v="0"/>
    <x v="0"/>
    <n v="0"/>
    <n v="0"/>
    <n v="8.3333333333333329E-2"/>
    <n v="11.916666666666666"/>
    <x v="1"/>
    <x v="0"/>
    <m/>
    <x v="0"/>
    <n v="166.32999999999998"/>
    <x v="0"/>
    <x v="18"/>
    <x v="8"/>
    <x v="0"/>
    <x v="0"/>
  </r>
  <r>
    <x v="1"/>
    <x v="15"/>
    <s v="2630 F"/>
    <x v="189"/>
    <s v="Usman Amin"/>
    <s v="LDN"/>
    <n v="27"/>
    <s v="7"/>
    <s v="LDN"/>
    <n v="40"/>
    <x v="0"/>
    <n v="2"/>
    <n v="107.75999999999999"/>
    <n v="4"/>
    <m/>
    <x v="0"/>
    <n v="103.75999999999999"/>
    <n v="103.75999999999999"/>
    <n v="5"/>
    <x v="0"/>
    <x v="0"/>
    <n v="5"/>
    <n v="8.3333333333333329E-2"/>
    <x v="0"/>
    <x v="0"/>
    <m/>
    <x v="0"/>
    <x v="0"/>
    <x v="0"/>
    <x v="0"/>
    <x v="0"/>
    <n v="0"/>
    <n v="0"/>
    <n v="8.3333333333333329E-2"/>
    <n v="11.916666666666666"/>
    <x v="1"/>
    <x v="0"/>
    <m/>
    <x v="0"/>
    <n v="112.75999999999999"/>
    <x v="0"/>
    <x v="18"/>
    <x v="8"/>
    <x v="0"/>
    <x v="0"/>
  </r>
  <r>
    <x v="1"/>
    <x v="15"/>
    <s v="2637 F"/>
    <x v="189"/>
    <s v="Usman Amin"/>
    <s v="LDN"/>
    <n v="26"/>
    <s v="7"/>
    <s v="LDN"/>
    <n v="220"/>
    <x v="0"/>
    <n v="2"/>
    <n v="138.27000000000001"/>
    <n v="4.5999999999999996"/>
    <m/>
    <x v="0"/>
    <n v="133.67000000000002"/>
    <n v="358.95"/>
    <m/>
    <x v="0"/>
    <x v="0"/>
    <n v="0"/>
    <n v="0"/>
    <x v="0"/>
    <x v="0"/>
    <m/>
    <x v="0"/>
    <x v="0"/>
    <x v="0"/>
    <x v="0"/>
    <x v="0"/>
    <n v="0"/>
    <n v="0"/>
    <n v="0"/>
    <n v="12"/>
    <x v="1"/>
    <x v="0"/>
    <m/>
    <x v="0"/>
    <n v="143.27000000000001"/>
    <x v="0"/>
    <x v="18"/>
    <x v="8"/>
    <x v="0"/>
    <x v="0"/>
  </r>
  <r>
    <x v="0"/>
    <x v="8"/>
    <s v="6253 J"/>
    <x v="190"/>
    <s v="Shah Jee Achar Mardan"/>
    <s v="LDN"/>
    <n v="5"/>
    <s v="12-12.5"/>
    <s v="LDN"/>
    <n v="400"/>
    <x v="0"/>
    <n v="4"/>
    <n v="141.6"/>
    <n v="2.4"/>
    <n v="2"/>
    <x v="0"/>
    <n v="139.19999999999999"/>
    <n v="394.84999999999991"/>
    <m/>
    <x v="0"/>
    <x v="0"/>
    <n v="0"/>
    <n v="0"/>
    <x v="0"/>
    <x v="0"/>
    <m/>
    <x v="0"/>
    <x v="0"/>
    <x v="0"/>
    <x v="0"/>
    <x v="0"/>
    <n v="0"/>
    <n v="0"/>
    <n v="0"/>
    <n v="12"/>
    <x v="1"/>
    <x v="0"/>
    <m/>
    <x v="0"/>
    <n v="146.6"/>
    <x v="0"/>
    <x v="18"/>
    <x v="8"/>
    <x v="0"/>
    <x v="0"/>
  </r>
  <r>
    <x v="1"/>
    <x v="8"/>
    <s v="6253 J"/>
    <x v="190"/>
    <s v="Shah Jee Achar Mardan"/>
    <s v="LDN"/>
    <n v="5"/>
    <s v="12-12.5"/>
    <s v="LDN"/>
    <n v="400"/>
    <x v="0"/>
    <n v="4"/>
    <n v="134.19999999999999"/>
    <n v="2.8"/>
    <m/>
    <x v="0"/>
    <n v="131.39999999999998"/>
    <n v="394.84999999999991"/>
    <m/>
    <x v="0"/>
    <x v="0"/>
    <n v="0"/>
    <n v="0"/>
    <x v="0"/>
    <x v="0"/>
    <m/>
    <x v="0"/>
    <x v="0"/>
    <x v="0"/>
    <x v="0"/>
    <x v="0"/>
    <n v="0"/>
    <n v="0"/>
    <n v="0"/>
    <n v="12"/>
    <x v="1"/>
    <x v="0"/>
    <m/>
    <x v="0"/>
    <n v="139.19999999999999"/>
    <x v="0"/>
    <x v="18"/>
    <x v="8"/>
    <x v="0"/>
    <x v="0"/>
  </r>
  <r>
    <x v="0"/>
    <x v="9"/>
    <s v="6263 J"/>
    <x v="190"/>
    <s v="Wah Nobel Private Limited"/>
    <s v="LD گولڈن پیلا"/>
    <s v="100MM"/>
    <s v="29-30"/>
    <s v="LDM"/>
    <n v="2000"/>
    <x v="0"/>
    <n v="3"/>
    <n v="189.99"/>
    <n v="2.4000000000000004"/>
    <m/>
    <x v="0"/>
    <n v="187.59"/>
    <n v="1829.21"/>
    <m/>
    <x v="0"/>
    <x v="0"/>
    <n v="0"/>
    <n v="0"/>
    <x v="0"/>
    <x v="0"/>
    <m/>
    <x v="0"/>
    <x v="0"/>
    <x v="0"/>
    <x v="0"/>
    <x v="0"/>
    <n v="0"/>
    <n v="0"/>
    <n v="0"/>
    <n v="12"/>
    <x v="1"/>
    <x v="0"/>
    <m/>
    <x v="0"/>
    <n v="194.99"/>
    <x v="0"/>
    <x v="18"/>
    <x v="8"/>
    <x v="0"/>
    <x v="0"/>
  </r>
  <r>
    <x v="1"/>
    <x v="9"/>
    <s v="6263 J"/>
    <x v="190"/>
    <s v="Wah Nobel Private Limited"/>
    <s v="LD گولڈن پیلا"/>
    <s v="100MM"/>
    <s v="29-30"/>
    <s v="LDM"/>
    <n v="2000"/>
    <x v="0"/>
    <n v="3"/>
    <n v="162.80000000000001"/>
    <n v="3.5999999999999996"/>
    <m/>
    <x v="0"/>
    <n v="159.20000000000002"/>
    <n v="1829.21"/>
    <m/>
    <x v="0"/>
    <x v="0"/>
    <n v="0"/>
    <n v="0"/>
    <x v="0"/>
    <x v="0"/>
    <m/>
    <x v="0"/>
    <x v="0"/>
    <x v="0"/>
    <x v="0"/>
    <x v="0"/>
    <n v="0"/>
    <n v="0"/>
    <n v="0"/>
    <n v="12"/>
    <x v="1"/>
    <x v="0"/>
    <m/>
    <x v="0"/>
    <n v="167.8"/>
    <x v="0"/>
    <x v="18"/>
    <x v="8"/>
    <x v="0"/>
    <x v="0"/>
  </r>
  <r>
    <x v="0"/>
    <x v="10"/>
    <s v="6163 J"/>
    <x v="190"/>
    <s v="Ahmed Miss Print Sheikhupura"/>
    <s v="LD شیڈ کلر"/>
    <n v="16"/>
    <s v="11-12"/>
    <s v="LDM"/>
    <n v="50"/>
    <x v="0"/>
    <n v="1"/>
    <n v="79.33"/>
    <n v="1.2"/>
    <m/>
    <x v="0"/>
    <n v="78.13"/>
    <n v="119.22999999999999"/>
    <n v="5"/>
    <x v="0"/>
    <x v="0"/>
    <n v="5"/>
    <n v="8.3333333333333329E-2"/>
    <x v="0"/>
    <x v="0"/>
    <m/>
    <x v="0"/>
    <x v="0"/>
    <x v="0"/>
    <x v="0"/>
    <x v="0"/>
    <n v="0"/>
    <n v="0"/>
    <n v="8.3333333333333329E-2"/>
    <n v="11.916666666666666"/>
    <x v="1"/>
    <x v="0"/>
    <m/>
    <x v="0"/>
    <n v="84.33"/>
    <x v="0"/>
    <x v="18"/>
    <x v="8"/>
    <x v="0"/>
    <x v="0"/>
  </r>
  <r>
    <x v="0"/>
    <x v="10"/>
    <s v="6189 J"/>
    <x v="190"/>
    <s v="Head Office Lahore"/>
    <s v="LD رنگدار"/>
    <n v="16"/>
    <n v="0"/>
    <s v="LDM"/>
    <n v="1500"/>
    <x v="0"/>
    <n v="5"/>
    <n v="381.8"/>
    <n v="6"/>
    <m/>
    <x v="0"/>
    <n v="375.8"/>
    <n v="1414.6599999999999"/>
    <n v="5"/>
    <x v="0"/>
    <x v="0"/>
    <n v="5"/>
    <n v="8.3333333333333329E-2"/>
    <x v="0"/>
    <x v="0"/>
    <m/>
    <x v="0"/>
    <x v="0"/>
    <x v="0"/>
    <x v="0"/>
    <x v="0"/>
    <n v="0"/>
    <n v="0"/>
    <n v="8.3333333333333329E-2"/>
    <n v="11.916666666666666"/>
    <x v="1"/>
    <x v="0"/>
    <m/>
    <x v="0"/>
    <n v="386.8"/>
    <x v="0"/>
    <x v="18"/>
    <x v="8"/>
    <x v="0"/>
    <x v="0"/>
  </r>
  <r>
    <x v="0"/>
    <x v="10"/>
    <s v="6190 J"/>
    <x v="190"/>
    <s v="Head Office Lahore"/>
    <s v="LD رنگدار"/>
    <n v="18"/>
    <n v="0"/>
    <s v="LDM"/>
    <n v="2000"/>
    <x v="0"/>
    <n v="1"/>
    <n v="101.38"/>
    <n v="2"/>
    <n v="6"/>
    <x v="0"/>
    <n v="99.38"/>
    <n v="2072.25"/>
    <m/>
    <x v="0"/>
    <x v="0"/>
    <n v="0"/>
    <n v="0"/>
    <x v="0"/>
    <x v="0"/>
    <m/>
    <x v="0"/>
    <x v="0"/>
    <x v="0"/>
    <x v="0"/>
    <x v="0"/>
    <n v="0"/>
    <n v="0"/>
    <n v="0"/>
    <n v="12"/>
    <x v="1"/>
    <x v="0"/>
    <m/>
    <x v="0"/>
    <n v="106.38"/>
    <x v="0"/>
    <x v="18"/>
    <x v="8"/>
    <x v="0"/>
    <x v="0"/>
  </r>
  <r>
    <x v="1"/>
    <x v="10"/>
    <s v="6190 J"/>
    <x v="190"/>
    <s v="Head Office Lahore"/>
    <s v="LD رنگدار"/>
    <n v="18"/>
    <n v="0"/>
    <s v="LDM"/>
    <n v="2000"/>
    <x v="0"/>
    <n v="4"/>
    <n v="401.6"/>
    <n v="8.4"/>
    <m/>
    <x v="0"/>
    <n v="393.20000000000005"/>
    <n v="2072.25"/>
    <m/>
    <x v="0"/>
    <x v="0"/>
    <n v="0"/>
    <n v="0"/>
    <x v="0"/>
    <x v="0"/>
    <m/>
    <x v="0"/>
    <x v="0"/>
    <x v="0"/>
    <x v="0"/>
    <x v="0"/>
    <n v="0"/>
    <n v="0"/>
    <n v="0"/>
    <n v="12"/>
    <x v="1"/>
    <x v="0"/>
    <m/>
    <x v="0"/>
    <n v="406.6"/>
    <x v="0"/>
    <x v="18"/>
    <x v="8"/>
    <x v="0"/>
    <x v="0"/>
  </r>
  <r>
    <x v="1"/>
    <x v="10"/>
    <s v="6190 J"/>
    <x v="190"/>
    <s v="Head Office Lahore"/>
    <s v="LD رنگدار"/>
    <n v="18"/>
    <n v="0"/>
    <s v="LDM"/>
    <n v="2000"/>
    <x v="0"/>
    <n v="1"/>
    <n v="68.099999999999994"/>
    <n v="2.1"/>
    <m/>
    <x v="0"/>
    <n v="66"/>
    <n v="2072.25"/>
    <m/>
    <x v="0"/>
    <x v="0"/>
    <n v="0"/>
    <n v="0"/>
    <x v="0"/>
    <x v="0"/>
    <m/>
    <x v="0"/>
    <x v="0"/>
    <x v="0"/>
    <x v="0"/>
    <x v="0"/>
    <n v="0"/>
    <n v="0"/>
    <n v="0"/>
    <n v="12"/>
    <x v="1"/>
    <x v="0"/>
    <m/>
    <x v="0"/>
    <n v="73.099999999999994"/>
    <x v="0"/>
    <x v="18"/>
    <x v="8"/>
    <x v="0"/>
    <x v="0"/>
  </r>
  <r>
    <x v="0"/>
    <x v="11"/>
    <s v="6005 J"/>
    <x v="190"/>
    <s v="International Industries (LTD)"/>
    <s v="LD گرین"/>
    <s v="300 MM"/>
    <s v="48-50"/>
    <s v="LDM"/>
    <n v="6000"/>
    <x v="0"/>
    <n v="3"/>
    <n v="487.6"/>
    <n v="4.5"/>
    <n v="4"/>
    <x v="0"/>
    <n v="483.1"/>
    <n v="6270.65"/>
    <m/>
    <x v="0"/>
    <x v="0"/>
    <n v="0"/>
    <n v="0"/>
    <x v="0"/>
    <x v="0"/>
    <m/>
    <x v="0"/>
    <x v="0"/>
    <x v="0"/>
    <x v="0"/>
    <x v="0"/>
    <n v="0"/>
    <n v="0"/>
    <n v="0"/>
    <n v="12"/>
    <x v="1"/>
    <x v="0"/>
    <m/>
    <x v="0"/>
    <n v="492.6"/>
    <x v="0"/>
    <x v="18"/>
    <x v="8"/>
    <x v="0"/>
    <x v="0"/>
  </r>
  <r>
    <x v="1"/>
    <x v="11"/>
    <s v="6005 J"/>
    <x v="190"/>
    <s v="International Industries (LTD)"/>
    <s v="LD گرین"/>
    <s v="300 MM"/>
    <s v="48-50"/>
    <s v="LDM"/>
    <n v="6000"/>
    <x v="0"/>
    <n v="3"/>
    <n v="510.25"/>
    <n v="4.5"/>
    <m/>
    <x v="0"/>
    <n v="505.75"/>
    <n v="6270.65"/>
    <m/>
    <x v="0"/>
    <x v="0"/>
    <n v="0"/>
    <n v="0"/>
    <x v="0"/>
    <x v="0"/>
    <m/>
    <x v="0"/>
    <x v="0"/>
    <x v="0"/>
    <x v="0"/>
    <x v="0"/>
    <n v="0"/>
    <n v="0"/>
    <n v="0"/>
    <n v="12"/>
    <x v="1"/>
    <x v="0"/>
    <m/>
    <x v="0"/>
    <n v="515.25"/>
    <x v="0"/>
    <x v="18"/>
    <x v="8"/>
    <x v="0"/>
    <x v="0"/>
  </r>
  <r>
    <x v="0"/>
    <x v="14"/>
    <s v="6237 J"/>
    <x v="190"/>
    <s v="Head Office Lahore"/>
    <s v="LDM"/>
    <s v="40 شیٹ"/>
    <s v="5.5-6/11-12"/>
    <s v="LDM"/>
    <n v="800"/>
    <x v="0"/>
    <n v="2"/>
    <n v="319.20000000000005"/>
    <n v="10"/>
    <m/>
    <x v="0"/>
    <n v="309.20000000000005"/>
    <n v="842.2"/>
    <n v="5"/>
    <x v="0"/>
    <x v="0"/>
    <n v="5"/>
    <n v="8.3333333333333329E-2"/>
    <x v="0"/>
    <x v="0"/>
    <m/>
    <x v="0"/>
    <x v="0"/>
    <x v="0"/>
    <x v="0"/>
    <x v="0"/>
    <n v="0"/>
    <n v="0"/>
    <n v="8.3333333333333329E-2"/>
    <n v="11.916666666666666"/>
    <x v="1"/>
    <x v="0"/>
    <m/>
    <x v="0"/>
    <n v="324.20000000000005"/>
    <x v="0"/>
    <x v="18"/>
    <x v="8"/>
    <x v="0"/>
    <x v="0"/>
  </r>
  <r>
    <x v="0"/>
    <x v="14"/>
    <s v="6224 J"/>
    <x v="190"/>
    <s v="Hamza Pharmacy Badami Bagh LHR"/>
    <s v="LDM"/>
    <s v="12+3+3"/>
    <s v="7.5-8/15-16"/>
    <s v="LDM"/>
    <n v="110"/>
    <x v="0"/>
    <n v="2"/>
    <n v="110.64"/>
    <n v="6"/>
    <m/>
    <x v="0"/>
    <n v="104.64"/>
    <n v="211.97000000000003"/>
    <n v="5"/>
    <x v="0"/>
    <x v="0"/>
    <n v="5"/>
    <n v="8.3333333333333329E-2"/>
    <x v="0"/>
    <x v="0"/>
    <m/>
    <x v="0"/>
    <x v="0"/>
    <x v="0"/>
    <x v="0"/>
    <x v="0"/>
    <n v="0"/>
    <n v="0"/>
    <n v="8.3333333333333329E-2"/>
    <n v="11.916666666666666"/>
    <x v="1"/>
    <x v="0"/>
    <m/>
    <x v="0"/>
    <n v="115.64"/>
    <x v="0"/>
    <x v="18"/>
    <x v="8"/>
    <x v="0"/>
    <x v="0"/>
  </r>
  <r>
    <x v="0"/>
    <x v="14"/>
    <s v="6170 J"/>
    <x v="190"/>
    <s v="Ahmed Miss Print Sheikhupura"/>
    <s v="LD شیڈ کلر"/>
    <n v="18"/>
    <s v="11-12"/>
    <s v="LDM"/>
    <n v="50"/>
    <x v="0"/>
    <n v="1"/>
    <n v="51.2"/>
    <n v="2"/>
    <m/>
    <x v="0"/>
    <n v="49.2"/>
    <n v="49.2"/>
    <n v="5"/>
    <x v="0"/>
    <x v="0"/>
    <n v="5"/>
    <n v="8.3333333333333329E-2"/>
    <x v="0"/>
    <x v="0"/>
    <m/>
    <x v="0"/>
    <x v="0"/>
    <x v="0"/>
    <x v="0"/>
    <x v="0"/>
    <n v="0"/>
    <n v="0"/>
    <n v="8.3333333333333329E-2"/>
    <n v="11.916666666666666"/>
    <x v="1"/>
    <x v="0"/>
    <m/>
    <x v="0"/>
    <n v="56.2"/>
    <x v="0"/>
    <x v="18"/>
    <x v="8"/>
    <x v="0"/>
    <x v="0"/>
  </r>
  <r>
    <x v="0"/>
    <x v="14"/>
    <s v="6166 J"/>
    <x v="190"/>
    <s v="Fancy Garments Kamoki"/>
    <s v="LD شیڈ کلر"/>
    <n v="18"/>
    <s v="11-12"/>
    <s v="LDM"/>
    <n v="50"/>
    <x v="0"/>
    <n v="1"/>
    <n v="52.7"/>
    <n v="2.2000000000000002"/>
    <m/>
    <x v="0"/>
    <n v="50.5"/>
    <n v="50.5"/>
    <n v="3"/>
    <x v="0"/>
    <x v="0"/>
    <n v="3"/>
    <n v="0.05"/>
    <x v="0"/>
    <x v="0"/>
    <m/>
    <x v="0"/>
    <x v="0"/>
    <x v="0"/>
    <x v="0"/>
    <x v="0"/>
    <n v="0"/>
    <n v="0"/>
    <n v="0.05"/>
    <n v="11.95"/>
    <x v="1"/>
    <x v="0"/>
    <m/>
    <x v="0"/>
    <n v="57.7"/>
    <x v="0"/>
    <x v="18"/>
    <x v="8"/>
    <x v="0"/>
    <x v="0"/>
  </r>
  <r>
    <x v="0"/>
    <x v="14"/>
    <s v="6224 J"/>
    <x v="190"/>
    <s v="Hamza Pharmacy Badami Bagh LHR"/>
    <s v="LDM"/>
    <s v="12+3+3"/>
    <s v="7.5-8/15-16"/>
    <s v="LDM"/>
    <n v="110"/>
    <x v="0"/>
    <n v="4"/>
    <n v="112.13000000000001"/>
    <n v="4.8"/>
    <m/>
    <x v="0"/>
    <n v="107.33000000000001"/>
    <n v="211.97000000000003"/>
    <n v="2"/>
    <x v="0"/>
    <x v="0"/>
    <n v="2"/>
    <n v="3.3333333333333333E-2"/>
    <x v="0"/>
    <x v="0"/>
    <m/>
    <x v="0"/>
    <x v="0"/>
    <x v="0"/>
    <x v="0"/>
    <x v="0"/>
    <n v="0"/>
    <n v="0"/>
    <n v="3.3333333333333333E-2"/>
    <n v="11.966666666666667"/>
    <x v="1"/>
    <x v="0"/>
    <m/>
    <x v="0"/>
    <n v="117.13000000000001"/>
    <x v="0"/>
    <x v="18"/>
    <x v="8"/>
    <x v="0"/>
    <x v="0"/>
  </r>
  <r>
    <x v="0"/>
    <x v="14"/>
    <s v="6256 J"/>
    <x v="190"/>
    <s v="H.A Industries Peshawar"/>
    <s v="LDN"/>
    <n v="22"/>
    <s v="-"/>
    <s v="LDN"/>
    <n v="125"/>
    <x v="0"/>
    <n v="1"/>
    <n v="61.7"/>
    <n v="2.2000000000000002"/>
    <n v="55"/>
    <x v="0"/>
    <n v="59.5"/>
    <n v="130.5"/>
    <m/>
    <x v="0"/>
    <x v="0"/>
    <n v="0"/>
    <n v="0"/>
    <x v="0"/>
    <x v="0"/>
    <m/>
    <x v="0"/>
    <x v="0"/>
    <x v="0"/>
    <x v="0"/>
    <x v="0"/>
    <n v="0"/>
    <n v="0"/>
    <n v="0"/>
    <n v="12"/>
    <x v="1"/>
    <x v="0"/>
    <m/>
    <x v="0"/>
    <n v="66.7"/>
    <x v="0"/>
    <x v="18"/>
    <x v="8"/>
    <x v="0"/>
    <x v="0"/>
  </r>
  <r>
    <x v="1"/>
    <x v="14"/>
    <s v="6256 J"/>
    <x v="190"/>
    <s v="H.A Industries Peshawar"/>
    <s v="LDN"/>
    <n v="22"/>
    <s v="-"/>
    <s v="LDN"/>
    <n v="125"/>
    <x v="0"/>
    <n v="1"/>
    <n v="73.8"/>
    <n v="2.8"/>
    <m/>
    <x v="0"/>
    <n v="71"/>
    <n v="130.5"/>
    <m/>
    <x v="0"/>
    <x v="0"/>
    <n v="0"/>
    <n v="0"/>
    <x v="0"/>
    <x v="0"/>
    <m/>
    <x v="0"/>
    <x v="0"/>
    <x v="0"/>
    <x v="0"/>
    <x v="0"/>
    <n v="0"/>
    <n v="0"/>
    <n v="0"/>
    <n v="12"/>
    <x v="1"/>
    <x v="0"/>
    <m/>
    <x v="0"/>
    <n v="78.8"/>
    <x v="0"/>
    <x v="18"/>
    <x v="8"/>
    <x v="0"/>
    <x v="0"/>
  </r>
  <r>
    <x v="1"/>
    <x v="14"/>
    <s v="6281 J"/>
    <x v="190"/>
    <s v="Farooq Textile Lahore"/>
    <s v="LDN"/>
    <n v="16"/>
    <s v="5-5.5"/>
    <s v="LDN"/>
    <n v="100"/>
    <x v="0"/>
    <n v="2"/>
    <n v="107.9"/>
    <n v="3.6"/>
    <m/>
    <x v="0"/>
    <n v="104.30000000000001"/>
    <n v="104.30000000000001"/>
    <n v="2"/>
    <x v="0"/>
    <x v="0"/>
    <n v="2"/>
    <n v="3.3333333333333333E-2"/>
    <x v="0"/>
    <x v="0"/>
    <m/>
    <x v="0"/>
    <x v="0"/>
    <x v="0"/>
    <x v="0"/>
    <x v="0"/>
    <n v="0"/>
    <n v="0"/>
    <n v="3.3333333333333333E-2"/>
    <n v="11.966666666666667"/>
    <x v="1"/>
    <x v="0"/>
    <m/>
    <x v="0"/>
    <n v="112.9"/>
    <x v="0"/>
    <x v="18"/>
    <x v="8"/>
    <x v="0"/>
    <x v="0"/>
  </r>
  <r>
    <x v="1"/>
    <x v="14"/>
    <m/>
    <x v="190"/>
    <s v="-"/>
    <m/>
    <n v="15"/>
    <n v="7.5"/>
    <m/>
    <m/>
    <x v="0"/>
    <n v="5"/>
    <n v="267.26"/>
    <n v="9"/>
    <m/>
    <x v="0"/>
    <n v="258.26"/>
    <n v="0"/>
    <n v="3"/>
    <x v="0"/>
    <x v="0"/>
    <n v="3"/>
    <n v="0.05"/>
    <x v="0"/>
    <x v="0"/>
    <m/>
    <x v="0"/>
    <x v="0"/>
    <x v="0"/>
    <x v="0"/>
    <x v="0"/>
    <n v="0"/>
    <n v="0"/>
    <n v="0.05"/>
    <n v="11.95"/>
    <x v="1"/>
    <x v="0"/>
    <m/>
    <x v="0"/>
    <n v="272.26"/>
    <x v="0"/>
    <x v="18"/>
    <x v="8"/>
    <x v="0"/>
    <x v="0"/>
  </r>
  <r>
    <x v="0"/>
    <x v="15"/>
    <s v="2637 F"/>
    <x v="190"/>
    <s v="Usman Amin"/>
    <s v="LDN"/>
    <n v="26"/>
    <s v="7"/>
    <s v="LDN"/>
    <n v="220"/>
    <x v="0"/>
    <n v="3"/>
    <n v="233.07999999999998"/>
    <n v="7.8000000000000007"/>
    <m/>
    <x v="0"/>
    <n v="225.27999999999997"/>
    <n v="358.95"/>
    <n v="5"/>
    <x v="0"/>
    <x v="0"/>
    <n v="5"/>
    <n v="8.3333333333333329E-2"/>
    <x v="0"/>
    <x v="0"/>
    <m/>
    <x v="0"/>
    <x v="0"/>
    <x v="0"/>
    <x v="0"/>
    <x v="0"/>
    <n v="0"/>
    <n v="0"/>
    <n v="8.3333333333333329E-2"/>
    <n v="11.916666666666666"/>
    <x v="1"/>
    <x v="0"/>
    <m/>
    <x v="0"/>
    <n v="238.07999999999998"/>
    <x v="0"/>
    <x v="18"/>
    <x v="8"/>
    <x v="0"/>
    <x v="0"/>
  </r>
  <r>
    <x v="0"/>
    <x v="15"/>
    <s v="2629 f"/>
    <x v="190"/>
    <s v="Usman Amin"/>
    <s v="LDN"/>
    <n v="22"/>
    <s v="7"/>
    <s v="LDN"/>
    <n v="45"/>
    <x v="0"/>
    <n v="1"/>
    <n v="51.99"/>
    <n v="2.2000000000000002"/>
    <m/>
    <x v="0"/>
    <n v="49.79"/>
    <n v="49.79"/>
    <n v="2"/>
    <x v="0"/>
    <x v="0"/>
    <n v="2"/>
    <n v="3.3333333333333333E-2"/>
    <x v="0"/>
    <x v="0"/>
    <m/>
    <x v="0"/>
    <x v="0"/>
    <x v="0"/>
    <x v="0"/>
    <x v="0"/>
    <n v="0"/>
    <n v="0"/>
    <n v="3.3333333333333333E-2"/>
    <n v="11.966666666666667"/>
    <x v="1"/>
    <x v="0"/>
    <m/>
    <x v="0"/>
    <n v="56.99"/>
    <x v="0"/>
    <x v="18"/>
    <x v="8"/>
    <x v="0"/>
    <x v="0"/>
  </r>
  <r>
    <x v="0"/>
    <x v="15"/>
    <s v="2639 f"/>
    <x v="190"/>
    <s v="Usman Amin"/>
    <s v="LDN"/>
    <n v="20"/>
    <s v="7-7.5"/>
    <s v="LDN"/>
    <n v="52"/>
    <x v="0"/>
    <n v="1"/>
    <n v="63.63"/>
    <n v="2"/>
    <m/>
    <x v="0"/>
    <n v="61.63"/>
    <n v="61.63"/>
    <n v="2"/>
    <x v="0"/>
    <x v="0"/>
    <n v="2"/>
    <n v="3.3333333333333333E-2"/>
    <x v="0"/>
    <x v="0"/>
    <m/>
    <x v="0"/>
    <x v="0"/>
    <x v="0"/>
    <x v="0"/>
    <x v="0"/>
    <n v="0"/>
    <n v="0"/>
    <n v="3.3333333333333333E-2"/>
    <n v="11.966666666666667"/>
    <x v="1"/>
    <x v="0"/>
    <m/>
    <x v="0"/>
    <n v="68.63"/>
    <x v="0"/>
    <x v="18"/>
    <x v="8"/>
    <x v="0"/>
    <x v="0"/>
  </r>
  <r>
    <x v="0"/>
    <x v="15"/>
    <s v="2638 f"/>
    <x v="190"/>
    <s v="Usman Amin"/>
    <s v="LDN"/>
    <n v="30"/>
    <s v="7"/>
    <s v="LDN"/>
    <n v="130"/>
    <x v="0"/>
    <n v="4"/>
    <n v="284.09000000000003"/>
    <n v="12"/>
    <n v="8"/>
    <x v="0"/>
    <n v="272.09000000000003"/>
    <n v="272.09000000000003"/>
    <n v="3"/>
    <x v="0"/>
    <x v="0"/>
    <n v="3"/>
    <n v="0.05"/>
    <x v="0"/>
    <x v="0"/>
    <m/>
    <x v="0"/>
    <x v="0"/>
    <x v="0"/>
    <x v="0"/>
    <x v="0"/>
    <n v="0"/>
    <n v="0"/>
    <n v="0.05"/>
    <n v="11.95"/>
    <x v="1"/>
    <x v="0"/>
    <m/>
    <x v="0"/>
    <n v="289.09000000000003"/>
    <x v="0"/>
    <x v="18"/>
    <x v="8"/>
    <x v="0"/>
    <x v="0"/>
  </r>
  <r>
    <x v="1"/>
    <x v="15"/>
    <s v="2449 f"/>
    <x v="190"/>
    <s v="Usman Amin"/>
    <s v="LDN"/>
    <n v="11"/>
    <s v="12"/>
    <s v="LDN"/>
    <n v="200"/>
    <x v="0"/>
    <n v="2"/>
    <n v="110.58000000000001"/>
    <n v="5.8"/>
    <n v="7.5"/>
    <x v="0"/>
    <n v="104.78000000000002"/>
    <n v="300.53000000000003"/>
    <n v="3"/>
    <x v="0"/>
    <x v="0"/>
    <n v="3"/>
    <n v="0.05"/>
    <x v="0"/>
    <x v="0"/>
    <m/>
    <x v="0"/>
    <x v="0"/>
    <x v="0"/>
    <x v="0"/>
    <x v="0"/>
    <n v="0"/>
    <n v="0"/>
    <n v="0.05"/>
    <n v="11.95"/>
    <x v="1"/>
    <x v="0"/>
    <m/>
    <x v="0"/>
    <n v="115.58000000000001"/>
    <x v="0"/>
    <x v="18"/>
    <x v="8"/>
    <x v="0"/>
    <x v="0"/>
  </r>
  <r>
    <x v="1"/>
    <x v="15"/>
    <s v="2648 f"/>
    <x v="190"/>
    <s v="Usman Amin"/>
    <s v="LDN"/>
    <n v="17"/>
    <s v="8.5-9"/>
    <s v="LDN"/>
    <n v="170"/>
    <x v="0"/>
    <n v="4"/>
    <n v="177.99"/>
    <n v="5.9"/>
    <m/>
    <x v="0"/>
    <n v="172.09"/>
    <n v="172.09"/>
    <n v="5"/>
    <x v="0"/>
    <x v="0"/>
    <n v="5"/>
    <n v="8.3333333333333329E-2"/>
    <x v="0"/>
    <x v="0"/>
    <m/>
    <x v="0"/>
    <x v="0"/>
    <x v="0"/>
    <x v="0"/>
    <x v="0"/>
    <n v="0"/>
    <n v="0"/>
    <n v="8.3333333333333329E-2"/>
    <n v="11.916666666666666"/>
    <x v="1"/>
    <x v="0"/>
    <m/>
    <x v="0"/>
    <n v="182.99"/>
    <x v="0"/>
    <x v="18"/>
    <x v="8"/>
    <x v="0"/>
    <x v="0"/>
  </r>
  <r>
    <x v="1"/>
    <x v="15"/>
    <s v="2625 f"/>
    <x v="190"/>
    <s v="Usman Amin"/>
    <s v="LDN"/>
    <n v="19"/>
    <s v="5-5.5"/>
    <s v="LDN"/>
    <n v="275"/>
    <x v="0"/>
    <n v="3"/>
    <n v="157.36000000000001"/>
    <n v="7.1999999999999993"/>
    <m/>
    <x v="0"/>
    <n v="150.16000000000003"/>
    <n v="506.07000000000005"/>
    <m/>
    <x v="0"/>
    <x v="0"/>
    <n v="0"/>
    <n v="0"/>
    <x v="0"/>
    <x v="0"/>
    <m/>
    <x v="0"/>
    <x v="0"/>
    <x v="0"/>
    <x v="0"/>
    <x v="0"/>
    <n v="0"/>
    <n v="0"/>
    <n v="0"/>
    <n v="12"/>
    <x v="1"/>
    <x v="0"/>
    <m/>
    <x v="0"/>
    <n v="162.36000000000001"/>
    <x v="0"/>
    <x v="18"/>
    <x v="8"/>
    <x v="0"/>
    <x v="0"/>
  </r>
  <r>
    <x v="0"/>
    <x v="0"/>
    <s v="6253 J"/>
    <x v="191"/>
    <s v="Shah Jee Achar Mardan"/>
    <s v="LDN"/>
    <n v="5"/>
    <s v="12-12.5"/>
    <s v="LDN"/>
    <n v="400"/>
    <x v="0"/>
    <n v="3"/>
    <n v="91.949999999999989"/>
    <n v="1.7999999999999998"/>
    <m/>
    <x v="0"/>
    <n v="90.149999999999991"/>
    <n v="394.84999999999991"/>
    <m/>
    <x v="0"/>
    <x v="0"/>
    <n v="0"/>
    <n v="0"/>
    <x v="0"/>
    <x v="0"/>
    <m/>
    <x v="0"/>
    <x v="0"/>
    <x v="0"/>
    <x v="0"/>
    <x v="0"/>
    <n v="0"/>
    <n v="0"/>
    <n v="0"/>
    <n v="12"/>
    <x v="1"/>
    <x v="0"/>
    <m/>
    <x v="0"/>
    <n v="96.949999999999989"/>
    <x v="0"/>
    <x v="18"/>
    <x v="8"/>
    <x v="0"/>
    <x v="0"/>
  </r>
  <r>
    <x v="0"/>
    <x v="0"/>
    <m/>
    <x v="191"/>
    <s v="-"/>
    <m/>
    <n v="7"/>
    <s v="6.5-7"/>
    <m/>
    <m/>
    <x v="0"/>
    <n v="1"/>
    <n v="35.18"/>
    <n v="0.8"/>
    <m/>
    <x v="0"/>
    <n v="34.380000000000003"/>
    <n v="0"/>
    <m/>
    <x v="0"/>
    <x v="0"/>
    <n v="0"/>
    <n v="0"/>
    <x v="0"/>
    <x v="0"/>
    <m/>
    <x v="0"/>
    <x v="0"/>
    <x v="0"/>
    <x v="0"/>
    <x v="0"/>
    <n v="0"/>
    <n v="0"/>
    <n v="0"/>
    <n v="12"/>
    <x v="1"/>
    <x v="0"/>
    <m/>
    <x v="0"/>
    <n v="40.18"/>
    <x v="0"/>
    <x v="18"/>
    <x v="8"/>
    <x v="0"/>
    <x v="0"/>
  </r>
  <r>
    <x v="0"/>
    <x v="9"/>
    <s v="6263 J"/>
    <x v="191"/>
    <s v="Wah Nobel Private Limited"/>
    <s v="LD گولڈن پیلا"/>
    <s v="100MM"/>
    <s v="29-30"/>
    <s v="LDM"/>
    <n v="2000"/>
    <x v="0"/>
    <n v="3"/>
    <n v="170.21"/>
    <n v="2.4000000000000004"/>
    <n v="7"/>
    <x v="0"/>
    <n v="167.81"/>
    <n v="1829.21"/>
    <m/>
    <x v="0"/>
    <x v="0"/>
    <n v="0"/>
    <n v="0"/>
    <x v="0"/>
    <x v="0"/>
    <m/>
    <x v="0"/>
    <x v="0"/>
    <x v="0"/>
    <x v="0"/>
    <x v="0"/>
    <n v="0"/>
    <n v="0"/>
    <n v="0"/>
    <n v="12"/>
    <x v="1"/>
    <x v="0"/>
    <m/>
    <x v="0"/>
    <n v="175.21"/>
    <x v="0"/>
    <x v="18"/>
    <x v="8"/>
    <x v="0"/>
    <x v="0"/>
  </r>
  <r>
    <x v="1"/>
    <x v="9"/>
    <s v="6263 J"/>
    <x v="191"/>
    <s v="Wah Nobel Private Limited"/>
    <s v="LD گولڈن پیلا"/>
    <s v="100MM"/>
    <s v="29-30"/>
    <s v="LDM"/>
    <n v="2000"/>
    <x v="0"/>
    <n v="4"/>
    <n v="195.51999999999998"/>
    <n v="3.2"/>
    <n v="6"/>
    <x v="0"/>
    <n v="192.32"/>
    <n v="1829.21"/>
    <m/>
    <x v="0"/>
    <x v="0"/>
    <n v="0"/>
    <n v="0"/>
    <x v="0"/>
    <x v="0"/>
    <m/>
    <x v="0"/>
    <x v="0"/>
    <x v="0"/>
    <x v="0"/>
    <x v="0"/>
    <n v="0"/>
    <n v="0"/>
    <n v="0"/>
    <n v="12"/>
    <x v="1"/>
    <x v="0"/>
    <m/>
    <x v="0"/>
    <n v="200.51999999999998"/>
    <x v="0"/>
    <x v="18"/>
    <x v="8"/>
    <x v="0"/>
    <x v="0"/>
  </r>
  <r>
    <x v="0"/>
    <x v="10"/>
    <s v="6190 J"/>
    <x v="191"/>
    <s v="Head Office Lahore"/>
    <s v="LD رنگدار"/>
    <n v="18"/>
    <n v="0"/>
    <s v="LDM"/>
    <n v="2000"/>
    <x v="0"/>
    <n v="4"/>
    <n v="431.8"/>
    <n v="8.4"/>
    <m/>
    <x v="0"/>
    <n v="423.40000000000003"/>
    <n v="2072.25"/>
    <m/>
    <x v="0"/>
    <x v="0"/>
    <n v="0"/>
    <n v="0"/>
    <x v="0"/>
    <x v="0"/>
    <m/>
    <x v="0"/>
    <x v="0"/>
    <x v="0"/>
    <x v="0"/>
    <x v="0"/>
    <n v="0"/>
    <n v="0"/>
    <n v="0"/>
    <n v="12"/>
    <x v="1"/>
    <x v="0"/>
    <m/>
    <x v="0"/>
    <n v="436.8"/>
    <x v="0"/>
    <x v="18"/>
    <x v="8"/>
    <x v="0"/>
    <x v="0"/>
  </r>
  <r>
    <x v="0"/>
    <x v="10"/>
    <s v="6189 J"/>
    <x v="191"/>
    <s v="Head Office Lahore"/>
    <s v="LD رنگدار"/>
    <n v="16"/>
    <n v="0"/>
    <s v="LDM"/>
    <n v="1500"/>
    <x v="0"/>
    <n v="1"/>
    <n v="80.5"/>
    <n v="1.8"/>
    <m/>
    <x v="0"/>
    <n v="78.7"/>
    <n v="1414.6599999999999"/>
    <m/>
    <x v="0"/>
    <x v="0"/>
    <n v="0"/>
    <n v="0"/>
    <x v="0"/>
    <x v="0"/>
    <m/>
    <x v="0"/>
    <x v="0"/>
    <x v="0"/>
    <x v="0"/>
    <x v="0"/>
    <n v="0"/>
    <n v="0"/>
    <n v="0"/>
    <n v="12"/>
    <x v="1"/>
    <x v="0"/>
    <m/>
    <x v="0"/>
    <n v="85.5"/>
    <x v="0"/>
    <x v="18"/>
    <x v="8"/>
    <x v="0"/>
    <x v="0"/>
  </r>
  <r>
    <x v="1"/>
    <x v="10"/>
    <s v="6189 J"/>
    <x v="191"/>
    <s v="Head Office Lahore"/>
    <s v="LD رنگدار"/>
    <n v="16"/>
    <n v="0"/>
    <s v="LDM"/>
    <n v="1500"/>
    <x v="0"/>
    <n v="3"/>
    <n v="226.4"/>
    <n v="5.4"/>
    <m/>
    <x v="0"/>
    <n v="221"/>
    <n v="1414.6599999999999"/>
    <n v="5"/>
    <x v="0"/>
    <x v="0"/>
    <n v="5"/>
    <n v="8.3333333333333329E-2"/>
    <x v="0"/>
    <x v="0"/>
    <m/>
    <x v="0"/>
    <x v="0"/>
    <x v="0"/>
    <x v="0"/>
    <x v="0"/>
    <n v="0"/>
    <n v="0"/>
    <n v="8.3333333333333329E-2"/>
    <n v="11.916666666666666"/>
    <x v="1"/>
    <x v="0"/>
    <m/>
    <x v="0"/>
    <n v="231.4"/>
    <x v="0"/>
    <x v="18"/>
    <x v="8"/>
    <x v="0"/>
    <x v="0"/>
  </r>
  <r>
    <x v="1"/>
    <x v="10"/>
    <s v="6188 J"/>
    <x v="191"/>
    <s v="Head Office Lahore"/>
    <s v="LD رنگدار"/>
    <n v="13"/>
    <n v="0"/>
    <s v="LDM"/>
    <n v="800"/>
    <x v="0"/>
    <n v="2"/>
    <n v="152.4"/>
    <n v="3"/>
    <n v="10"/>
    <x v="0"/>
    <n v="149.4"/>
    <n v="782.93"/>
    <m/>
    <x v="0"/>
    <x v="0"/>
    <n v="0"/>
    <n v="0"/>
    <x v="0"/>
    <x v="0"/>
    <m/>
    <x v="0"/>
    <x v="0"/>
    <x v="0"/>
    <x v="0"/>
    <x v="0"/>
    <n v="0"/>
    <n v="0"/>
    <n v="0"/>
    <n v="12"/>
    <x v="1"/>
    <x v="0"/>
    <m/>
    <x v="0"/>
    <n v="157.4"/>
    <x v="0"/>
    <x v="18"/>
    <x v="8"/>
    <x v="0"/>
    <x v="0"/>
  </r>
  <r>
    <x v="0"/>
    <x v="11"/>
    <s v="6005 J"/>
    <x v="191"/>
    <s v="International Industries (LTD)"/>
    <s v="LD گرین"/>
    <s v="300 MM"/>
    <s v="48-50"/>
    <s v="LDM"/>
    <n v="6000"/>
    <x v="0"/>
    <n v="3"/>
    <n v="475.20000000000005"/>
    <n v="4.5"/>
    <m/>
    <x v="0"/>
    <n v="470.70000000000005"/>
    <n v="6270.65"/>
    <m/>
    <x v="0"/>
    <x v="0"/>
    <n v="0"/>
    <n v="0"/>
    <x v="0"/>
    <x v="0"/>
    <m/>
    <x v="0"/>
    <x v="0"/>
    <x v="0"/>
    <x v="0"/>
    <x v="0"/>
    <n v="0"/>
    <n v="0"/>
    <n v="0"/>
    <n v="12"/>
    <x v="1"/>
    <x v="0"/>
    <m/>
    <x v="0"/>
    <n v="480.20000000000005"/>
    <x v="0"/>
    <x v="18"/>
    <x v="8"/>
    <x v="0"/>
    <x v="0"/>
  </r>
  <r>
    <x v="1"/>
    <x v="11"/>
    <s v="6005 J"/>
    <x v="191"/>
    <s v="International Industries (LTD)"/>
    <s v="LD گرین"/>
    <s v="300 MM"/>
    <s v="48-50"/>
    <s v="LDM"/>
    <n v="6000"/>
    <x v="0"/>
    <n v="3"/>
    <n v="468.94999999999993"/>
    <n v="4.5"/>
    <m/>
    <x v="0"/>
    <n v="464.44999999999993"/>
    <n v="6270.65"/>
    <m/>
    <x v="0"/>
    <x v="0"/>
    <n v="0"/>
    <n v="0"/>
    <x v="0"/>
    <x v="0"/>
    <m/>
    <x v="0"/>
    <x v="0"/>
    <x v="0"/>
    <x v="0"/>
    <x v="0"/>
    <n v="0"/>
    <n v="0"/>
    <n v="0"/>
    <n v="12"/>
    <x v="1"/>
    <x v="0"/>
    <m/>
    <x v="0"/>
    <n v="473.94999999999993"/>
    <x v="0"/>
    <x v="18"/>
    <x v="8"/>
    <x v="0"/>
    <x v="0"/>
  </r>
  <r>
    <x v="0"/>
    <x v="14"/>
    <s v="6313 J"/>
    <x v="191"/>
    <s v="Jilani Poly Stock"/>
    <s v="LDN"/>
    <s v="30 شیٹ"/>
    <s v="8-8.5/16-17"/>
    <s v="LDN"/>
    <n v="500"/>
    <x v="0"/>
    <n v="4"/>
    <n v="528.54999999999995"/>
    <n v="15.2"/>
    <m/>
    <x v="0"/>
    <n v="513.34999999999991"/>
    <n v="722.74999999999989"/>
    <m/>
    <x v="0"/>
    <x v="0"/>
    <n v="0"/>
    <n v="0"/>
    <x v="0"/>
    <x v="0"/>
    <m/>
    <x v="0"/>
    <x v="0"/>
    <x v="0"/>
    <x v="0"/>
    <x v="0"/>
    <n v="0"/>
    <n v="0"/>
    <n v="0"/>
    <n v="12"/>
    <x v="1"/>
    <x v="0"/>
    <m/>
    <x v="0"/>
    <n v="533.54999999999995"/>
    <x v="0"/>
    <x v="18"/>
    <x v="8"/>
    <x v="0"/>
    <x v="0"/>
  </r>
  <r>
    <x v="0"/>
    <x v="14"/>
    <s v="6177 J"/>
    <x v="191"/>
    <s v="Usman Arif Butt Gujranwala"/>
    <s v="LDN"/>
    <n v="22"/>
    <s v="9.5-10"/>
    <s v="LDN"/>
    <n v="300"/>
    <x v="0"/>
    <n v="3"/>
    <n v="221.48999999999998"/>
    <n v="7.1999999999999993"/>
    <m/>
    <x v="0"/>
    <n v="214.29"/>
    <n v="321.39"/>
    <m/>
    <x v="0"/>
    <x v="0"/>
    <n v="0"/>
    <n v="0"/>
    <x v="0"/>
    <x v="0"/>
    <m/>
    <x v="0"/>
    <x v="0"/>
    <x v="0"/>
    <x v="0"/>
    <x v="0"/>
    <n v="0"/>
    <n v="0"/>
    <n v="0"/>
    <n v="12"/>
    <x v="1"/>
    <x v="0"/>
    <m/>
    <x v="0"/>
    <n v="226.48999999999998"/>
    <x v="0"/>
    <x v="18"/>
    <x v="8"/>
    <x v="0"/>
    <x v="0"/>
  </r>
  <r>
    <x v="1"/>
    <x v="14"/>
    <s v="6177 J"/>
    <x v="191"/>
    <s v="Usman Arif Butt Gujranwala"/>
    <s v="LDN"/>
    <n v="22"/>
    <s v="9.5-10"/>
    <s v="LDN"/>
    <n v="300"/>
    <x v="0"/>
    <n v="2"/>
    <n v="112.3"/>
    <n v="5.2"/>
    <m/>
    <x v="0"/>
    <n v="107.1"/>
    <n v="321.39"/>
    <m/>
    <x v="0"/>
    <x v="0"/>
    <n v="0"/>
    <n v="0"/>
    <x v="0"/>
    <x v="0"/>
    <m/>
    <x v="0"/>
    <x v="0"/>
    <x v="0"/>
    <x v="0"/>
    <x v="0"/>
    <n v="0"/>
    <n v="0"/>
    <n v="0"/>
    <n v="12"/>
    <x v="1"/>
    <x v="0"/>
    <m/>
    <x v="0"/>
    <n v="117.3"/>
    <x v="0"/>
    <x v="18"/>
    <x v="8"/>
    <x v="0"/>
    <x v="0"/>
  </r>
  <r>
    <x v="1"/>
    <x v="14"/>
    <s v="6318 J"/>
    <x v="191"/>
    <s v="Allied Impex Sialkot"/>
    <s v="LDN"/>
    <n v="17"/>
    <s v="8-8.5"/>
    <s v="LDN"/>
    <n v="200"/>
    <x v="0"/>
    <n v="3"/>
    <n v="222.5"/>
    <n v="6.3000000000000007"/>
    <m/>
    <x v="0"/>
    <n v="216.2"/>
    <n v="216.2"/>
    <m/>
    <x v="0"/>
    <x v="0"/>
    <n v="0"/>
    <n v="0"/>
    <x v="0"/>
    <x v="0"/>
    <m/>
    <x v="0"/>
    <x v="0"/>
    <x v="0"/>
    <x v="0"/>
    <x v="0"/>
    <n v="0"/>
    <n v="0"/>
    <n v="0"/>
    <n v="12"/>
    <x v="1"/>
    <x v="0"/>
    <m/>
    <x v="0"/>
    <n v="227.5"/>
    <x v="0"/>
    <x v="18"/>
    <x v="8"/>
    <x v="0"/>
    <x v="0"/>
  </r>
  <r>
    <x v="1"/>
    <x v="14"/>
    <s v="6321 J"/>
    <x v="191"/>
    <s v="AK And HBCO Lahore"/>
    <s v="LDN"/>
    <n v="15"/>
    <s v="6-6.5"/>
    <s v="LDN"/>
    <n v="200"/>
    <x v="0"/>
    <n v="1"/>
    <n v="65.599999999999994"/>
    <n v="1.8"/>
    <m/>
    <x v="0"/>
    <n v="63.8"/>
    <n v="275.19"/>
    <m/>
    <x v="0"/>
    <x v="0"/>
    <n v="0"/>
    <n v="0"/>
    <x v="0"/>
    <x v="0"/>
    <m/>
    <x v="0"/>
    <x v="0"/>
    <x v="0"/>
    <x v="0"/>
    <x v="0"/>
    <n v="0"/>
    <n v="0"/>
    <n v="0"/>
    <n v="12"/>
    <x v="1"/>
    <x v="0"/>
    <m/>
    <x v="0"/>
    <n v="70.599999999999994"/>
    <x v="0"/>
    <x v="18"/>
    <x v="8"/>
    <x v="0"/>
    <x v="0"/>
  </r>
  <r>
    <x v="0"/>
    <x v="15"/>
    <s v="2625 F"/>
    <x v="191"/>
    <s v="Usman Amin"/>
    <s v="LDN"/>
    <n v="19"/>
    <s v="5-5.5"/>
    <s v="LDN"/>
    <n v="275"/>
    <x v="0"/>
    <n v="6"/>
    <n v="367.31"/>
    <n v="11.399999999999999"/>
    <m/>
    <x v="0"/>
    <n v="355.91"/>
    <n v="506.07000000000005"/>
    <m/>
    <x v="0"/>
    <x v="0"/>
    <n v="0"/>
    <n v="0"/>
    <x v="0"/>
    <x v="0"/>
    <m/>
    <x v="0"/>
    <x v="0"/>
    <x v="0"/>
    <x v="0"/>
    <x v="0"/>
    <n v="0"/>
    <n v="0"/>
    <n v="0"/>
    <n v="12"/>
    <x v="1"/>
    <x v="0"/>
    <m/>
    <x v="0"/>
    <n v="372.31"/>
    <x v="0"/>
    <x v="18"/>
    <x v="8"/>
    <x v="0"/>
    <x v="0"/>
  </r>
  <r>
    <x v="0"/>
    <x v="15"/>
    <s v="2647 F"/>
    <x v="191"/>
    <s v="Usman Amin"/>
    <s v="LDN"/>
    <n v="19"/>
    <s v="12"/>
    <s v="LDN"/>
    <n v="400"/>
    <x v="0"/>
    <n v="2"/>
    <n v="122.44999999999999"/>
    <n v="3.8"/>
    <m/>
    <x v="0"/>
    <n v="118.64999999999999"/>
    <n v="401.45"/>
    <m/>
    <x v="0"/>
    <x v="0"/>
    <n v="0"/>
    <n v="0"/>
    <x v="0"/>
    <x v="0"/>
    <m/>
    <x v="0"/>
    <x v="0"/>
    <x v="0"/>
    <x v="0"/>
    <x v="0"/>
    <n v="0"/>
    <n v="0"/>
    <n v="0"/>
    <n v="12"/>
    <x v="1"/>
    <x v="0"/>
    <m/>
    <x v="0"/>
    <n v="127.44999999999999"/>
    <x v="0"/>
    <x v="18"/>
    <x v="8"/>
    <x v="0"/>
    <x v="0"/>
  </r>
  <r>
    <x v="1"/>
    <x v="15"/>
    <s v="2647 F"/>
    <x v="191"/>
    <s v="Usman Amin"/>
    <s v="LDN"/>
    <n v="19"/>
    <s v="12"/>
    <s v="LDN"/>
    <n v="400"/>
    <x v="0"/>
    <n v="4"/>
    <n v="291.60000000000002"/>
    <n v="8.8000000000000007"/>
    <m/>
    <x v="0"/>
    <n v="282.8"/>
    <n v="401.45"/>
    <m/>
    <x v="0"/>
    <x v="0"/>
    <n v="0"/>
    <n v="0"/>
    <x v="0"/>
    <x v="0"/>
    <m/>
    <x v="0"/>
    <x v="0"/>
    <x v="0"/>
    <x v="0"/>
    <x v="0"/>
    <n v="0"/>
    <n v="0"/>
    <n v="0"/>
    <n v="12"/>
    <x v="1"/>
    <x v="0"/>
    <m/>
    <x v="0"/>
    <n v="296.60000000000002"/>
    <x v="0"/>
    <x v="18"/>
    <x v="8"/>
    <x v="0"/>
    <x v="0"/>
  </r>
  <r>
    <x v="0"/>
    <x v="10"/>
    <s v="6188 J"/>
    <x v="192"/>
    <s v="Head Office Lahore"/>
    <s v="LD رنگدار"/>
    <n v="13"/>
    <n v="0"/>
    <s v="LDM"/>
    <n v="800"/>
    <x v="0"/>
    <n v="1"/>
    <n v="84.41"/>
    <n v="1.4"/>
    <n v="3.2878419763665665"/>
    <x v="0"/>
    <n v="83.009999999999991"/>
    <n v="782.93"/>
    <m/>
    <x v="0"/>
    <x v="0"/>
    <n v="0"/>
    <n v="0"/>
    <x v="0"/>
    <x v="0"/>
    <m/>
    <x v="0"/>
    <x v="0"/>
    <x v="0"/>
    <x v="0"/>
    <x v="0"/>
    <n v="0"/>
    <n v="0"/>
    <n v="0"/>
    <n v="12"/>
    <x v="1"/>
    <x v="0"/>
    <m/>
    <x v="0"/>
    <n v="89.41"/>
    <x v="0"/>
    <x v="18"/>
    <x v="8"/>
    <x v="0"/>
    <x v="0"/>
  </r>
  <r>
    <x v="0"/>
    <x v="10"/>
    <s v="6188 J"/>
    <x v="192"/>
    <s v="Head Office Lahore"/>
    <s v="LD رنگدار"/>
    <n v="13"/>
    <n v="0"/>
    <s v="LDM"/>
    <n v="800"/>
    <x v="0"/>
    <n v="3"/>
    <n v="206.64"/>
    <n v="4.1999999999999993"/>
    <n v="8.0488054258546065"/>
    <x v="0"/>
    <n v="202.44"/>
    <n v="782.93"/>
    <m/>
    <x v="0"/>
    <x v="0"/>
    <n v="0"/>
    <n v="0"/>
    <x v="0"/>
    <x v="0"/>
    <m/>
    <x v="0"/>
    <x v="0"/>
    <x v="0"/>
    <x v="0"/>
    <x v="0"/>
    <n v="0"/>
    <n v="0"/>
    <n v="0"/>
    <n v="12"/>
    <x v="1"/>
    <x v="0"/>
    <m/>
    <x v="0"/>
    <n v="211.64"/>
    <x v="0"/>
    <x v="18"/>
    <x v="8"/>
    <x v="0"/>
    <x v="0"/>
  </r>
  <r>
    <x v="0"/>
    <x v="10"/>
    <s v="6189 J"/>
    <x v="192"/>
    <s v="Head Office Lahore"/>
    <s v="LD رنگدار"/>
    <n v="16"/>
    <n v="0"/>
    <s v="LDM"/>
    <n v="1500"/>
    <x v="0"/>
    <n v="2"/>
    <n v="136.78"/>
    <n v="4"/>
    <n v="5.3276984424525411"/>
    <x v="0"/>
    <n v="132.78"/>
    <n v="1414.6599999999999"/>
    <m/>
    <x v="0"/>
    <x v="0"/>
    <n v="0"/>
    <n v="0"/>
    <x v="0"/>
    <x v="0"/>
    <m/>
    <x v="0"/>
    <x v="0"/>
    <x v="0"/>
    <x v="0"/>
    <x v="0"/>
    <n v="0"/>
    <n v="0"/>
    <n v="0"/>
    <n v="12"/>
    <x v="1"/>
    <x v="0"/>
    <m/>
    <x v="0"/>
    <n v="141.78"/>
    <x v="0"/>
    <x v="18"/>
    <x v="8"/>
    <x v="0"/>
    <x v="0"/>
  </r>
  <r>
    <x v="1"/>
    <x v="10"/>
    <s v="6189 J"/>
    <x v="192"/>
    <s v="Head Office Lahore"/>
    <s v="LD رنگدار"/>
    <n v="16"/>
    <n v="0"/>
    <s v="LDM"/>
    <n v="1500"/>
    <x v="0"/>
    <n v="3"/>
    <n v="246.41"/>
    <n v="5.0999999999999996"/>
    <n v="9.5978810732909086"/>
    <x v="0"/>
    <n v="241.31"/>
    <n v="1414.6599999999999"/>
    <m/>
    <x v="0"/>
    <x v="0"/>
    <n v="0"/>
    <n v="0"/>
    <x v="0"/>
    <x v="0"/>
    <m/>
    <x v="0"/>
    <x v="0"/>
    <x v="0"/>
    <x v="0"/>
    <x v="0"/>
    <n v="0"/>
    <n v="0"/>
    <n v="0"/>
    <n v="12"/>
    <x v="1"/>
    <x v="0"/>
    <m/>
    <x v="0"/>
    <n v="251.41"/>
    <x v="0"/>
    <x v="18"/>
    <x v="8"/>
    <x v="0"/>
    <x v="0"/>
  </r>
  <r>
    <x v="1"/>
    <x v="10"/>
    <s v="6190 J"/>
    <x v="192"/>
    <s v="Head Office Lahore"/>
    <s v="LD رنگدار"/>
    <n v="18"/>
    <n v="0"/>
    <s v="LDM"/>
    <n v="2000"/>
    <x v="0"/>
    <n v="2"/>
    <n v="212.55"/>
    <n v="4"/>
    <n v="8.2790050003164755"/>
    <x v="0"/>
    <n v="208.55"/>
    <n v="2072.25"/>
    <m/>
    <x v="0"/>
    <x v="0"/>
    <n v="0"/>
    <n v="0"/>
    <x v="0"/>
    <x v="0"/>
    <m/>
    <x v="0"/>
    <x v="0"/>
    <x v="0"/>
    <x v="0"/>
    <x v="0"/>
    <n v="0"/>
    <n v="0"/>
    <n v="0"/>
    <n v="12"/>
    <x v="1"/>
    <x v="0"/>
    <m/>
    <x v="0"/>
    <n v="217.55"/>
    <x v="0"/>
    <x v="18"/>
    <x v="8"/>
    <x v="0"/>
    <x v="0"/>
  </r>
  <r>
    <x v="0"/>
    <x v="9"/>
    <s v="6263 J"/>
    <x v="192"/>
    <s v="Wah Nobel Private Limited"/>
    <s v="LD گولڈن پیلا"/>
    <s v="100MM"/>
    <s v="29-30"/>
    <s v="LDM"/>
    <n v="2000"/>
    <x v="0"/>
    <n v="3"/>
    <n v="131.03"/>
    <n v="2.4000000000000004"/>
    <n v="5.1037310053703502"/>
    <x v="0"/>
    <n v="128.63"/>
    <n v="1829.21"/>
    <m/>
    <x v="0"/>
    <x v="0"/>
    <n v="0"/>
    <n v="0"/>
    <x v="0"/>
    <x v="0"/>
    <m/>
    <x v="0"/>
    <x v="0"/>
    <x v="0"/>
    <x v="0"/>
    <x v="0"/>
    <n v="0"/>
    <n v="0"/>
    <n v="0"/>
    <n v="12"/>
    <x v="1"/>
    <x v="0"/>
    <m/>
    <x v="0"/>
    <n v="136.03"/>
    <x v="0"/>
    <x v="18"/>
    <x v="8"/>
    <x v="0"/>
    <x v="0"/>
  </r>
  <r>
    <x v="1"/>
    <x v="9"/>
    <s v="6263 J"/>
    <x v="192"/>
    <s v="Wah Nobel Private Limited"/>
    <s v="LD گولڈن پیلا"/>
    <s v="100MM"/>
    <s v="29-30"/>
    <s v="LDM"/>
    <n v="2000"/>
    <x v="0"/>
    <n v="2"/>
    <n v="147.10000000000002"/>
    <n v="1.6"/>
    <n v="5.7296713034417968"/>
    <x v="0"/>
    <n v="145.50000000000003"/>
    <n v="1829.21"/>
    <m/>
    <x v="0"/>
    <x v="0"/>
    <n v="0"/>
    <n v="0"/>
    <x v="0"/>
    <x v="0"/>
    <m/>
    <x v="0"/>
    <x v="0"/>
    <x v="0"/>
    <x v="0"/>
    <x v="0"/>
    <n v="0"/>
    <n v="0"/>
    <n v="0"/>
    <n v="12"/>
    <x v="1"/>
    <x v="0"/>
    <m/>
    <x v="0"/>
    <n v="152.10000000000002"/>
    <x v="0"/>
    <x v="18"/>
    <x v="8"/>
    <x v="0"/>
    <x v="0"/>
  </r>
  <r>
    <x v="0"/>
    <x v="11"/>
    <s v="6005 J"/>
    <x v="192"/>
    <s v="International Industries (LTD)"/>
    <s v="LD گرین"/>
    <s v="300 MM"/>
    <s v="48-50"/>
    <s v="LDM"/>
    <n v="6000"/>
    <x v="0"/>
    <n v="2"/>
    <n v="352.15"/>
    <n v="2.9"/>
    <n v="13.716544864085847"/>
    <x v="0"/>
    <n v="349.25"/>
    <n v="6270.65"/>
    <m/>
    <x v="0"/>
    <x v="0"/>
    <n v="0"/>
    <n v="0"/>
    <x v="0"/>
    <x v="0"/>
    <m/>
    <x v="0"/>
    <x v="0"/>
    <x v="0"/>
    <x v="0"/>
    <x v="0"/>
    <n v="0"/>
    <n v="0"/>
    <n v="0"/>
    <n v="12"/>
    <x v="1"/>
    <x v="0"/>
    <m/>
    <x v="0"/>
    <n v="357.15"/>
    <x v="0"/>
    <x v="18"/>
    <x v="8"/>
    <x v="0"/>
    <x v="0"/>
  </r>
  <r>
    <x v="1"/>
    <x v="11"/>
    <s v="6005 J"/>
    <x v="192"/>
    <s v="International Industries (LTD)"/>
    <s v="LD گرین"/>
    <s v="300 MM"/>
    <s v="48-50"/>
    <s v="LDM"/>
    <n v="6000"/>
    <x v="0"/>
    <n v="3"/>
    <n v="536.79999999999995"/>
    <n v="4.4000000000000004"/>
    <n v="20.908820908820907"/>
    <x v="0"/>
    <n v="532.4"/>
    <n v="6270.65"/>
    <m/>
    <x v="0"/>
    <x v="0"/>
    <n v="0"/>
    <n v="0"/>
    <x v="0"/>
    <x v="0"/>
    <m/>
    <x v="0"/>
    <x v="0"/>
    <x v="0"/>
    <x v="0"/>
    <x v="0"/>
    <n v="0"/>
    <n v="0"/>
    <n v="0"/>
    <n v="12"/>
    <x v="1"/>
    <x v="0"/>
    <m/>
    <x v="0"/>
    <n v="541.79999999999995"/>
    <x v="0"/>
    <x v="18"/>
    <x v="8"/>
    <x v="0"/>
    <x v="0"/>
  </r>
  <r>
    <x v="0"/>
    <x v="9"/>
    <s v="6263 J"/>
    <x v="193"/>
    <s v="Wah Nobel Private Limited"/>
    <s v="LD گولڈن پیلا"/>
    <s v="100MM"/>
    <s v="29-30"/>
    <s v="LDM"/>
    <n v="2000"/>
    <x v="0"/>
    <n v="3"/>
    <n v="166.84"/>
    <n v="2.4000000000000004"/>
    <m/>
    <x v="0"/>
    <n v="164.44"/>
    <n v="1829.21"/>
    <m/>
    <x v="0"/>
    <x v="0"/>
    <n v="0"/>
    <n v="0"/>
    <x v="0"/>
    <x v="0"/>
    <m/>
    <x v="0"/>
    <x v="0"/>
    <x v="0"/>
    <x v="0"/>
    <x v="0"/>
    <n v="0"/>
    <n v="0"/>
    <n v="0"/>
    <n v="12"/>
    <x v="1"/>
    <x v="0"/>
    <m/>
    <x v="0"/>
    <n v="171.84"/>
    <x v="0"/>
    <x v="19"/>
    <x v="9"/>
    <x v="0"/>
    <x v="0"/>
  </r>
  <r>
    <x v="1"/>
    <x v="9"/>
    <m/>
    <x v="193"/>
    <s v="-"/>
    <m/>
    <n v="18"/>
    <n v="46002"/>
    <m/>
    <m/>
    <x v="0"/>
    <n v="1"/>
    <n v="60"/>
    <n v="1.8"/>
    <n v="9"/>
    <x v="0"/>
    <n v="58.2"/>
    <n v="0"/>
    <m/>
    <x v="0"/>
    <x v="14"/>
    <n v="600"/>
    <n v="10"/>
    <x v="0"/>
    <x v="0"/>
    <m/>
    <x v="0"/>
    <x v="0"/>
    <x v="0"/>
    <x v="0"/>
    <x v="0"/>
    <n v="0"/>
    <n v="0"/>
    <n v="10"/>
    <n v="2"/>
    <x v="1"/>
    <x v="0"/>
    <m/>
    <x v="0"/>
    <n v="65"/>
    <x v="0"/>
    <x v="19"/>
    <x v="9"/>
    <x v="0"/>
    <x v="0"/>
  </r>
  <r>
    <x v="0"/>
    <x v="10"/>
    <s v="6190 J"/>
    <x v="193"/>
    <s v="Head Office Lahore"/>
    <s v="LD رنگدار"/>
    <n v="18"/>
    <n v="0"/>
    <s v="LDM"/>
    <n v="2000"/>
    <x v="0"/>
    <n v="4"/>
    <n v="293.83999999999997"/>
    <n v="9.1999999999999993"/>
    <m/>
    <x v="0"/>
    <n v="284.64"/>
    <n v="2072.25"/>
    <m/>
    <x v="0"/>
    <x v="0"/>
    <n v="0"/>
    <n v="0"/>
    <x v="0"/>
    <x v="0"/>
    <m/>
    <x v="0"/>
    <x v="0"/>
    <x v="0"/>
    <x v="0"/>
    <x v="0"/>
    <n v="0"/>
    <n v="0"/>
    <n v="0"/>
    <n v="12"/>
    <x v="1"/>
    <x v="0"/>
    <m/>
    <x v="0"/>
    <n v="298.83999999999997"/>
    <x v="0"/>
    <x v="19"/>
    <x v="9"/>
    <x v="0"/>
    <x v="0"/>
  </r>
  <r>
    <x v="0"/>
    <x v="10"/>
    <s v="6190 J"/>
    <x v="193"/>
    <s v="Head Office Lahore"/>
    <s v="LD رنگدار"/>
    <n v="18"/>
    <n v="0"/>
    <s v="LDM"/>
    <n v="2000"/>
    <x v="0"/>
    <n v="2"/>
    <n v="178"/>
    <n v="4.5999999999999996"/>
    <n v="5.3"/>
    <x v="0"/>
    <n v="173.4"/>
    <n v="2072.25"/>
    <m/>
    <x v="0"/>
    <x v="0"/>
    <n v="0"/>
    <n v="0"/>
    <x v="0"/>
    <x v="0"/>
    <m/>
    <x v="0"/>
    <x v="0"/>
    <x v="0"/>
    <x v="0"/>
    <x v="0"/>
    <n v="0"/>
    <n v="0"/>
    <n v="0"/>
    <n v="12"/>
    <x v="1"/>
    <x v="0"/>
    <m/>
    <x v="0"/>
    <n v="183"/>
    <x v="0"/>
    <x v="19"/>
    <x v="9"/>
    <x v="0"/>
    <x v="0"/>
  </r>
  <r>
    <x v="1"/>
    <x v="10"/>
    <s v="6190 J"/>
    <x v="193"/>
    <s v="Head Office Lahore"/>
    <s v="LD رنگدار"/>
    <n v="18"/>
    <n v="0"/>
    <s v="LDM"/>
    <n v="2000"/>
    <x v="0"/>
    <n v="2"/>
    <n v="202.68"/>
    <n v="4"/>
    <n v="7"/>
    <x v="0"/>
    <n v="198.68"/>
    <n v="2072.25"/>
    <m/>
    <x v="0"/>
    <x v="0"/>
    <n v="0"/>
    <n v="0"/>
    <x v="0"/>
    <x v="0"/>
    <m/>
    <x v="0"/>
    <x v="0"/>
    <x v="0"/>
    <x v="0"/>
    <x v="0"/>
    <n v="0"/>
    <n v="0"/>
    <n v="0"/>
    <n v="12"/>
    <x v="1"/>
    <x v="0"/>
    <m/>
    <x v="0"/>
    <n v="207.68"/>
    <x v="0"/>
    <x v="19"/>
    <x v="9"/>
    <x v="0"/>
    <x v="0"/>
  </r>
  <r>
    <x v="1"/>
    <x v="10"/>
    <s v="6190 J"/>
    <x v="193"/>
    <s v="Head Office Lahore"/>
    <s v="LD رنگدار"/>
    <n v="18"/>
    <n v="0"/>
    <s v="LDM"/>
    <n v="2000"/>
    <x v="0"/>
    <n v="2"/>
    <n v="229"/>
    <n v="4"/>
    <m/>
    <x v="0"/>
    <n v="225"/>
    <n v="2072.25"/>
    <m/>
    <x v="0"/>
    <x v="0"/>
    <n v="0"/>
    <n v="0"/>
    <x v="0"/>
    <x v="0"/>
    <m/>
    <x v="0"/>
    <x v="0"/>
    <x v="0"/>
    <x v="0"/>
    <x v="0"/>
    <n v="0"/>
    <n v="0"/>
    <n v="0"/>
    <n v="12"/>
    <x v="1"/>
    <x v="0"/>
    <m/>
    <x v="0"/>
    <n v="234"/>
    <x v="0"/>
    <x v="19"/>
    <x v="9"/>
    <x v="0"/>
    <x v="0"/>
  </r>
  <r>
    <x v="0"/>
    <x v="11"/>
    <s v="6005 J"/>
    <x v="193"/>
    <s v="International Industries (LTD)"/>
    <s v="LD گرین"/>
    <s v="300 MM"/>
    <s v="48-50"/>
    <s v="LDM"/>
    <n v="6000"/>
    <x v="0"/>
    <n v="3"/>
    <n v="415.6"/>
    <n v="4.1999999999999993"/>
    <m/>
    <x v="0"/>
    <n v="411.40000000000003"/>
    <n v="6270.65"/>
    <m/>
    <x v="0"/>
    <x v="0"/>
    <n v="0"/>
    <n v="0"/>
    <x v="0"/>
    <x v="0"/>
    <m/>
    <x v="0"/>
    <x v="0"/>
    <x v="0"/>
    <x v="12"/>
    <x v="0"/>
    <n v="90"/>
    <n v="1.5"/>
    <n v="1.5"/>
    <n v="10.5"/>
    <x v="1"/>
    <x v="0"/>
    <m/>
    <x v="0"/>
    <n v="420.6"/>
    <x v="0"/>
    <x v="19"/>
    <x v="9"/>
    <x v="0"/>
    <x v="0"/>
  </r>
  <r>
    <x v="1"/>
    <x v="11"/>
    <s v="6005 J"/>
    <x v="193"/>
    <s v="International Industries (LTD)"/>
    <s v="LD گرین"/>
    <s v="300 MM"/>
    <s v="48-50"/>
    <s v="LDM"/>
    <n v="6000"/>
    <x v="0"/>
    <n v="3"/>
    <n v="511.85"/>
    <n v="4.5"/>
    <m/>
    <x v="0"/>
    <n v="507.35"/>
    <n v="6270.65"/>
    <m/>
    <x v="0"/>
    <x v="0"/>
    <n v="0"/>
    <n v="0"/>
    <x v="0"/>
    <x v="0"/>
    <m/>
    <x v="0"/>
    <x v="0"/>
    <x v="0"/>
    <x v="0"/>
    <x v="0"/>
    <n v="0"/>
    <n v="0"/>
    <n v="0"/>
    <n v="12"/>
    <x v="1"/>
    <x v="0"/>
    <m/>
    <x v="0"/>
    <n v="516.85"/>
    <x v="0"/>
    <x v="19"/>
    <x v="9"/>
    <x v="0"/>
    <x v="0"/>
  </r>
  <r>
    <x v="1"/>
    <x v="14"/>
    <s v="6313 J"/>
    <x v="193"/>
    <s v="Jilani Poly Stock"/>
    <s v="LDN"/>
    <s v="30 شیٹ"/>
    <s v="8-8.5/16-17"/>
    <s v="LDN"/>
    <n v="500"/>
    <x v="0"/>
    <n v="2"/>
    <n v="216.6"/>
    <n v="7.2"/>
    <n v="65"/>
    <x v="0"/>
    <n v="209.4"/>
    <n v="722.74999999999989"/>
    <n v="5"/>
    <x v="0"/>
    <x v="0"/>
    <n v="5"/>
    <n v="8.3333333333333329E-2"/>
    <x v="0"/>
    <x v="0"/>
    <m/>
    <x v="0"/>
    <x v="0"/>
    <x v="0"/>
    <x v="0"/>
    <x v="0"/>
    <n v="0"/>
    <n v="0"/>
    <n v="8.3333333333333329E-2"/>
    <n v="11.916666666666666"/>
    <x v="1"/>
    <x v="0"/>
    <m/>
    <x v="0"/>
    <n v="221.6"/>
    <x v="0"/>
    <x v="19"/>
    <x v="9"/>
    <x v="0"/>
    <x v="0"/>
  </r>
  <r>
    <x v="1"/>
    <x v="14"/>
    <s v="PACKING"/>
    <x v="193"/>
    <s v="PACKING PT-01"/>
    <m/>
    <n v="26"/>
    <s v="8-8.5"/>
    <m/>
    <m/>
    <x v="0"/>
    <n v="2"/>
    <n v="91.4"/>
    <n v="6"/>
    <m/>
    <x v="0"/>
    <n v="85.4"/>
    <n v="2074.5"/>
    <n v="5"/>
    <x v="0"/>
    <x v="0"/>
    <n v="5"/>
    <n v="8.3333333333333329E-2"/>
    <x v="0"/>
    <x v="0"/>
    <m/>
    <x v="0"/>
    <x v="0"/>
    <x v="0"/>
    <x v="0"/>
    <x v="0"/>
    <n v="0"/>
    <n v="0"/>
    <n v="8.3333333333333329E-2"/>
    <n v="11.916666666666666"/>
    <x v="1"/>
    <x v="0"/>
    <m/>
    <x v="0"/>
    <n v="96.4"/>
    <x v="0"/>
    <x v="19"/>
    <x v="9"/>
    <x v="0"/>
    <x v="0"/>
  </r>
  <r>
    <x v="1"/>
    <x v="14"/>
    <s v="2655 F"/>
    <x v="193"/>
    <s v="Usman Amin"/>
    <s v="LDN"/>
    <s v="34 SHEET"/>
    <s v="3-3.25/6-6.5"/>
    <s v="LDN"/>
    <n v="300"/>
    <x v="0"/>
    <n v="4"/>
    <n v="335.79999999999995"/>
    <n v="13.6"/>
    <m/>
    <x v="0"/>
    <n v="322.19999999999993"/>
    <n v="322.19999999999993"/>
    <n v="5"/>
    <x v="0"/>
    <x v="0"/>
    <n v="5"/>
    <n v="8.3333333333333329E-2"/>
    <x v="0"/>
    <x v="0"/>
    <m/>
    <x v="0"/>
    <x v="0"/>
    <x v="0"/>
    <x v="0"/>
    <x v="0"/>
    <n v="0"/>
    <n v="0"/>
    <n v="8.3333333333333329E-2"/>
    <n v="11.916666666666666"/>
    <x v="1"/>
    <x v="0"/>
    <m/>
    <x v="0"/>
    <n v="340.79999999999995"/>
    <x v="0"/>
    <x v="19"/>
    <x v="9"/>
    <x v="0"/>
    <x v="0"/>
  </r>
  <r>
    <x v="1"/>
    <x v="14"/>
    <s v="2656 F"/>
    <x v="193"/>
    <s v="Usman Amin"/>
    <s v="LDN"/>
    <s v="36 SHEET"/>
    <s v="3-3.25/6-6.5"/>
    <s v="LDN"/>
    <n v="300"/>
    <x v="0"/>
    <n v="2"/>
    <n v="174.6"/>
    <n v="9.1999999999999993"/>
    <m/>
    <x v="0"/>
    <n v="165.4"/>
    <n v="333.70000000000005"/>
    <m/>
    <x v="0"/>
    <x v="0"/>
    <n v="0"/>
    <n v="0"/>
    <x v="0"/>
    <x v="0"/>
    <m/>
    <x v="0"/>
    <x v="0"/>
    <x v="0"/>
    <x v="0"/>
    <x v="0"/>
    <n v="0"/>
    <n v="0"/>
    <n v="0"/>
    <n v="12"/>
    <x v="1"/>
    <x v="0"/>
    <m/>
    <x v="0"/>
    <n v="179.6"/>
    <x v="0"/>
    <x v="19"/>
    <x v="9"/>
    <x v="0"/>
    <x v="2"/>
  </r>
  <r>
    <x v="0"/>
    <x v="8"/>
    <s v="2641 F"/>
    <x v="194"/>
    <s v="Usman Amin"/>
    <s v="LDN"/>
    <n v="11"/>
    <s v="12"/>
    <s v="LDN"/>
    <n v="300"/>
    <x v="0"/>
    <n v="3"/>
    <n v="175.62"/>
    <n v="3.9000000000000004"/>
    <m/>
    <x v="0"/>
    <n v="171.72"/>
    <n v="314.64999999999998"/>
    <m/>
    <x v="0"/>
    <x v="0"/>
    <n v="0"/>
    <n v="0"/>
    <x v="0"/>
    <x v="0"/>
    <m/>
    <x v="0"/>
    <x v="0"/>
    <x v="0"/>
    <x v="0"/>
    <x v="0"/>
    <n v="0"/>
    <n v="0"/>
    <n v="0"/>
    <n v="12"/>
    <x v="1"/>
    <x v="0"/>
    <m/>
    <x v="0"/>
    <n v="180.62"/>
    <x v="0"/>
    <x v="19"/>
    <x v="9"/>
    <x v="0"/>
    <x v="3"/>
  </r>
  <r>
    <x v="1"/>
    <x v="8"/>
    <s v="2641 F"/>
    <x v="194"/>
    <s v="Usman Amin"/>
    <s v="LDN"/>
    <n v="11"/>
    <s v="12"/>
    <s v="LDN"/>
    <n v="300"/>
    <x v="0"/>
    <n v="3"/>
    <n v="146.82999999999998"/>
    <n v="3.9000000000000004"/>
    <m/>
    <x v="0"/>
    <n v="142.92999999999998"/>
    <n v="314.64999999999998"/>
    <m/>
    <x v="0"/>
    <x v="0"/>
    <n v="0"/>
    <n v="0"/>
    <x v="0"/>
    <x v="0"/>
    <m/>
    <x v="0"/>
    <x v="0"/>
    <x v="0"/>
    <x v="0"/>
    <x v="0"/>
    <n v="0"/>
    <n v="0"/>
    <n v="0"/>
    <n v="12"/>
    <x v="1"/>
    <x v="0"/>
    <m/>
    <x v="0"/>
    <n v="151.82999999999998"/>
    <x v="0"/>
    <x v="19"/>
    <x v="9"/>
    <x v="0"/>
    <x v="0"/>
  </r>
  <r>
    <x v="0"/>
    <x v="10"/>
    <s v="6189 J"/>
    <x v="194"/>
    <s v="Head Office Lahore"/>
    <s v="LD رنگدار"/>
    <n v="16"/>
    <n v="0"/>
    <s v="LDM"/>
    <n v="1500"/>
    <x v="0"/>
    <n v="5"/>
    <n v="375.06999999999994"/>
    <n v="10"/>
    <n v="15"/>
    <x v="0"/>
    <n v="365.06999999999994"/>
    <n v="1414.6599999999999"/>
    <n v="5"/>
    <x v="0"/>
    <x v="0"/>
    <n v="5"/>
    <n v="8.3333333333333329E-2"/>
    <x v="0"/>
    <x v="0"/>
    <m/>
    <x v="5"/>
    <x v="0"/>
    <x v="0"/>
    <x v="0"/>
    <x v="0"/>
    <n v="3"/>
    <n v="0.05"/>
    <n v="0.13333333333333333"/>
    <n v="11.866666666666667"/>
    <x v="1"/>
    <x v="0"/>
    <m/>
    <x v="0"/>
    <n v="380.06999999999994"/>
    <x v="0"/>
    <x v="19"/>
    <x v="9"/>
    <x v="0"/>
    <x v="0"/>
  </r>
  <r>
    <x v="0"/>
    <x v="10"/>
    <s v="6188 J"/>
    <x v="194"/>
    <s v="Head Office Lahore"/>
    <s v="LD رنگدار"/>
    <n v="13"/>
    <n v="0"/>
    <s v="LDM"/>
    <n v="800"/>
    <x v="0"/>
    <n v="2"/>
    <n v="128.72999999999999"/>
    <n v="3"/>
    <m/>
    <x v="0"/>
    <n v="125.72999999999999"/>
    <n v="782.93"/>
    <m/>
    <x v="0"/>
    <x v="0"/>
    <n v="0"/>
    <n v="0"/>
    <x v="0"/>
    <x v="0"/>
    <m/>
    <x v="0"/>
    <x v="0"/>
    <x v="0"/>
    <x v="0"/>
    <x v="0"/>
    <n v="0"/>
    <n v="0"/>
    <n v="0"/>
    <n v="12"/>
    <x v="1"/>
    <x v="0"/>
    <m/>
    <x v="0"/>
    <n v="133.72999999999999"/>
    <x v="0"/>
    <x v="19"/>
    <x v="9"/>
    <x v="0"/>
    <x v="0"/>
  </r>
  <r>
    <x v="1"/>
    <x v="10"/>
    <s v="6188 J"/>
    <x v="194"/>
    <s v="Head Office Lahore"/>
    <s v="LD رنگدار"/>
    <n v="13"/>
    <n v="0"/>
    <s v="LDM"/>
    <n v="800"/>
    <x v="0"/>
    <n v="1"/>
    <n v="73.349999999999994"/>
    <n v="1.5"/>
    <m/>
    <x v="0"/>
    <n v="71.849999999999994"/>
    <n v="782.93"/>
    <m/>
    <x v="0"/>
    <x v="0"/>
    <n v="0"/>
    <n v="0"/>
    <x v="0"/>
    <x v="0"/>
    <m/>
    <x v="0"/>
    <x v="0"/>
    <x v="0"/>
    <x v="0"/>
    <x v="0"/>
    <n v="0"/>
    <n v="0"/>
    <n v="0"/>
    <n v="12"/>
    <x v="1"/>
    <x v="0"/>
    <m/>
    <x v="0"/>
    <n v="78.349999999999994"/>
    <x v="0"/>
    <x v="19"/>
    <x v="9"/>
    <x v="0"/>
    <x v="4"/>
  </r>
  <r>
    <x v="1"/>
    <x v="13"/>
    <s v="2836/1"/>
    <x v="194"/>
    <s v="MATCO FOOD"/>
    <s v="LDN"/>
    <s v="28-28.5"/>
    <s v="95±1"/>
    <s v="SL"/>
    <n v="7600"/>
    <x v="0"/>
    <n v="3"/>
    <n v="387.23"/>
    <n v="10.8"/>
    <m/>
    <x v="0"/>
    <n v="376.43"/>
    <n v="6678.38"/>
    <m/>
    <x v="6"/>
    <x v="0"/>
    <n v="120"/>
    <n v="2"/>
    <x v="0"/>
    <x v="0"/>
    <m/>
    <x v="0"/>
    <x v="0"/>
    <x v="0"/>
    <x v="0"/>
    <x v="0"/>
    <n v="0"/>
    <n v="0"/>
    <n v="2"/>
    <n v="10"/>
    <x v="1"/>
    <x v="0"/>
    <m/>
    <x v="0"/>
    <n v="392.23"/>
    <x v="0"/>
    <x v="19"/>
    <x v="9"/>
    <x v="0"/>
    <x v="0"/>
  </r>
  <r>
    <x v="0"/>
    <x v="14"/>
    <s v="2656 F"/>
    <x v="194"/>
    <s v="Usman Amin"/>
    <s v="LDN"/>
    <s v="36 SHEET"/>
    <s v="3-3.25/6-6.5"/>
    <s v="LDN"/>
    <n v="300"/>
    <x v="0"/>
    <n v="2"/>
    <n v="177.5"/>
    <n v="9.1999999999999993"/>
    <m/>
    <x v="0"/>
    <n v="168.3"/>
    <n v="333.70000000000005"/>
    <n v="5"/>
    <x v="0"/>
    <x v="0"/>
    <n v="5"/>
    <n v="8.3333333333333329E-2"/>
    <x v="0"/>
    <x v="0"/>
    <n v="30"/>
    <x v="0"/>
    <x v="0"/>
    <x v="0"/>
    <x v="0"/>
    <x v="0"/>
    <n v="30"/>
    <n v="0.5"/>
    <n v="0.58333333333333337"/>
    <n v="11.416666666666666"/>
    <x v="1"/>
    <x v="0"/>
    <m/>
    <x v="0"/>
    <n v="182.5"/>
    <x v="0"/>
    <x v="19"/>
    <x v="9"/>
    <x v="0"/>
    <x v="0"/>
  </r>
  <r>
    <x v="0"/>
    <x v="14"/>
    <s v="6255 J"/>
    <x v="194"/>
    <s v="Avari Hotel Lahore"/>
    <s v="LDN"/>
    <s v="36&quot; شیٹ"/>
    <s v="4-4.5/8-9"/>
    <s v="LDN"/>
    <n v="125"/>
    <x v="0"/>
    <n v="2"/>
    <n v="132.19999999999999"/>
    <n v="9.1999999999999993"/>
    <m/>
    <x v="0"/>
    <n v="122.99999999999999"/>
    <n v="122.99999999999999"/>
    <m/>
    <x v="0"/>
    <x v="0"/>
    <n v="0"/>
    <n v="0"/>
    <x v="0"/>
    <x v="0"/>
    <m/>
    <x v="0"/>
    <x v="0"/>
    <x v="0"/>
    <x v="0"/>
    <x v="0"/>
    <n v="0"/>
    <n v="0"/>
    <n v="0"/>
    <n v="12"/>
    <x v="1"/>
    <x v="0"/>
    <m/>
    <x v="0"/>
    <n v="137.19999999999999"/>
    <x v="0"/>
    <x v="19"/>
    <x v="9"/>
    <x v="0"/>
    <x v="0"/>
  </r>
  <r>
    <x v="0"/>
    <x v="14"/>
    <s v="6183 J"/>
    <x v="194"/>
    <s v="Ahmed Sweet And Bakers Chishtian"/>
    <s v="LDN"/>
    <s v="33&quot; شیٹ"/>
    <s v="3-3.5/6-7"/>
    <s v="LDN"/>
    <n v="200"/>
    <x v="0"/>
    <n v="5"/>
    <n v="222.89999999999998"/>
    <n v="11.2"/>
    <m/>
    <x v="0"/>
    <n v="211.7"/>
    <n v="211.7"/>
    <m/>
    <x v="0"/>
    <x v="0"/>
    <n v="0"/>
    <n v="0"/>
    <x v="0"/>
    <x v="0"/>
    <m/>
    <x v="0"/>
    <x v="0"/>
    <x v="0"/>
    <x v="0"/>
    <x v="0"/>
    <n v="0"/>
    <n v="0"/>
    <n v="0"/>
    <n v="12"/>
    <x v="1"/>
    <x v="0"/>
    <m/>
    <x v="0"/>
    <n v="227.89999999999998"/>
    <x v="0"/>
    <x v="19"/>
    <x v="9"/>
    <x v="0"/>
    <x v="0"/>
  </r>
  <r>
    <x v="0"/>
    <x v="14"/>
    <s v="2658 F"/>
    <x v="194"/>
    <s v="Usman Amin"/>
    <s v="LDN"/>
    <s v="27 SHEET"/>
    <s v="3-3.25/6-6.5"/>
    <s v="LDN"/>
    <n v="300"/>
    <x v="0"/>
    <n v="2"/>
    <n v="113.3"/>
    <n v="4.4000000000000004"/>
    <m/>
    <x v="0"/>
    <n v="108.89999999999999"/>
    <n v="303.5"/>
    <m/>
    <x v="0"/>
    <x v="0"/>
    <n v="0"/>
    <n v="0"/>
    <x v="0"/>
    <x v="0"/>
    <m/>
    <x v="0"/>
    <x v="0"/>
    <x v="0"/>
    <x v="0"/>
    <x v="0"/>
    <n v="0"/>
    <n v="0"/>
    <n v="0"/>
    <n v="12"/>
    <x v="1"/>
    <x v="0"/>
    <m/>
    <x v="0"/>
    <n v="118.3"/>
    <x v="0"/>
    <x v="19"/>
    <x v="9"/>
    <x v="0"/>
    <x v="0"/>
  </r>
  <r>
    <x v="0"/>
    <x v="14"/>
    <s v="2661 F"/>
    <x v="194"/>
    <s v="Usman Amin"/>
    <s v="LDN"/>
    <n v="32"/>
    <s v="8"/>
    <s v="LDN"/>
    <n v="60"/>
    <x v="0"/>
    <n v="1"/>
    <n v="89"/>
    <n v="3.6"/>
    <n v="65"/>
    <x v="0"/>
    <n v="85.4"/>
    <n v="85.4"/>
    <m/>
    <x v="0"/>
    <x v="0"/>
    <n v="0"/>
    <n v="0"/>
    <x v="0"/>
    <x v="0"/>
    <m/>
    <x v="0"/>
    <x v="0"/>
    <x v="0"/>
    <x v="0"/>
    <x v="0"/>
    <n v="0"/>
    <n v="0"/>
    <n v="0"/>
    <n v="12"/>
    <x v="1"/>
    <x v="0"/>
    <m/>
    <x v="0"/>
    <n v="94"/>
    <x v="0"/>
    <x v="19"/>
    <x v="9"/>
    <x v="0"/>
    <x v="0"/>
  </r>
  <r>
    <x v="1"/>
    <x v="14"/>
    <s v="2658 F"/>
    <x v="194"/>
    <s v="Usman Amin"/>
    <s v="LDN"/>
    <s v="27 SHEET"/>
    <s v="3-3.25/6-6.5"/>
    <s v="LDN"/>
    <n v="300"/>
    <x v="0"/>
    <n v="4"/>
    <n v="203.4"/>
    <n v="8.8000000000000007"/>
    <n v="70"/>
    <x v="0"/>
    <n v="194.6"/>
    <n v="303.5"/>
    <n v="10"/>
    <x v="0"/>
    <x v="0"/>
    <n v="10"/>
    <n v="0.16666666666666666"/>
    <x v="0"/>
    <x v="0"/>
    <m/>
    <x v="0"/>
    <x v="0"/>
    <x v="0"/>
    <x v="0"/>
    <x v="0"/>
    <n v="0"/>
    <n v="0"/>
    <n v="0.16666666666666666"/>
    <n v="11.833333333333334"/>
    <x v="1"/>
    <x v="0"/>
    <m/>
    <x v="0"/>
    <n v="208.4"/>
    <x v="0"/>
    <x v="19"/>
    <x v="9"/>
    <x v="0"/>
    <x v="0"/>
  </r>
  <r>
    <x v="1"/>
    <x v="14"/>
    <s v="6211 J"/>
    <x v="194"/>
    <s v="Ahmed Sweet And Bakers Chishtian"/>
    <s v="LDN"/>
    <s v="27&quot; شیٹ"/>
    <s v="3-3.5/6-7"/>
    <s v="LDN"/>
    <n v="200"/>
    <x v="0"/>
    <n v="4"/>
    <n v="219.2"/>
    <n v="8.8000000000000007"/>
    <m/>
    <x v="0"/>
    <n v="210.39999999999998"/>
    <n v="210.39999999999998"/>
    <m/>
    <x v="0"/>
    <x v="0"/>
    <n v="0"/>
    <n v="0"/>
    <x v="0"/>
    <x v="0"/>
    <m/>
    <x v="0"/>
    <x v="0"/>
    <x v="0"/>
    <x v="0"/>
    <x v="0"/>
    <n v="0"/>
    <n v="0"/>
    <n v="0"/>
    <n v="12"/>
    <x v="1"/>
    <x v="0"/>
    <m/>
    <x v="0"/>
    <n v="224.2"/>
    <x v="0"/>
    <x v="19"/>
    <x v="9"/>
    <x v="0"/>
    <x v="0"/>
  </r>
  <r>
    <x v="1"/>
    <x v="14"/>
    <s v="2657 F"/>
    <x v="194"/>
    <s v="Usman Amin"/>
    <s v="LDN"/>
    <s v="30 SHEET"/>
    <s v="3-3.25/6-6.5"/>
    <s v="LDN"/>
    <n v="300"/>
    <x v="0"/>
    <n v="6"/>
    <n v="336.20000000000005"/>
    <n v="18"/>
    <m/>
    <x v="0"/>
    <n v="318.20000000000005"/>
    <n v="318.20000000000005"/>
    <m/>
    <x v="0"/>
    <x v="0"/>
    <n v="0"/>
    <n v="0"/>
    <x v="0"/>
    <x v="0"/>
    <m/>
    <x v="0"/>
    <x v="0"/>
    <x v="0"/>
    <x v="0"/>
    <x v="0"/>
    <n v="0"/>
    <n v="0"/>
    <n v="0"/>
    <n v="12"/>
    <x v="1"/>
    <x v="0"/>
    <m/>
    <x v="0"/>
    <n v="341.20000000000005"/>
    <x v="0"/>
    <x v="19"/>
    <x v="9"/>
    <x v="0"/>
    <x v="0"/>
  </r>
  <r>
    <x v="0"/>
    <x v="15"/>
    <s v="2836/1"/>
    <x v="194"/>
    <s v="MATCO FOOD"/>
    <s v="LDN"/>
    <s v="28-28.5"/>
    <s v="95±1"/>
    <s v="SL"/>
    <n v="7600"/>
    <x v="0"/>
    <n v="4"/>
    <n v="424.46000000000004"/>
    <n v="12"/>
    <m/>
    <x v="0"/>
    <n v="412.46000000000004"/>
    <n v="6678.38"/>
    <m/>
    <x v="10"/>
    <x v="0"/>
    <n v="90"/>
    <n v="1.5"/>
    <x v="0"/>
    <x v="0"/>
    <m/>
    <x v="0"/>
    <x v="0"/>
    <x v="0"/>
    <x v="0"/>
    <x v="0"/>
    <n v="0"/>
    <n v="0"/>
    <n v="1.5"/>
    <n v="10.5"/>
    <x v="1"/>
    <x v="0"/>
    <m/>
    <x v="0"/>
    <n v="429.46000000000004"/>
    <x v="0"/>
    <x v="19"/>
    <x v="9"/>
    <x v="0"/>
    <x v="0"/>
  </r>
  <r>
    <x v="1"/>
    <x v="15"/>
    <s v="2650 F"/>
    <x v="194"/>
    <s v="Usman Amin"/>
    <s v="LDN"/>
    <n v="20"/>
    <s v="8-8.5"/>
    <s v="LDN"/>
    <n v="100"/>
    <x v="0"/>
    <n v="2"/>
    <n v="115.9"/>
    <n v="4"/>
    <m/>
    <x v="0"/>
    <n v="111.9"/>
    <n v="111.9"/>
    <n v="10"/>
    <x v="0"/>
    <x v="0"/>
    <n v="10"/>
    <n v="0.16666666666666666"/>
    <x v="0"/>
    <x v="0"/>
    <m/>
    <x v="0"/>
    <x v="0"/>
    <x v="0"/>
    <x v="0"/>
    <x v="0"/>
    <n v="0"/>
    <n v="0"/>
    <n v="0.16666666666666666"/>
    <n v="11.833333333333334"/>
    <x v="1"/>
    <x v="0"/>
    <m/>
    <x v="0"/>
    <n v="120.9"/>
    <x v="0"/>
    <x v="19"/>
    <x v="9"/>
    <x v="0"/>
    <x v="0"/>
  </r>
  <r>
    <x v="1"/>
    <x v="15"/>
    <s v="2660 F"/>
    <x v="194"/>
    <s v="Usman Amin"/>
    <s v="LDN"/>
    <n v="22"/>
    <s v="7"/>
    <s v="LDN"/>
    <n v="340"/>
    <x v="0"/>
    <n v="3"/>
    <n v="255.81"/>
    <n v="6.6000000000000005"/>
    <m/>
    <x v="0"/>
    <n v="249.21"/>
    <n v="249.21"/>
    <n v="5"/>
    <x v="0"/>
    <x v="0"/>
    <n v="5"/>
    <n v="8.3333333333333329E-2"/>
    <x v="0"/>
    <x v="0"/>
    <m/>
    <x v="0"/>
    <x v="0"/>
    <x v="0"/>
    <x v="0"/>
    <x v="0"/>
    <n v="0"/>
    <n v="0"/>
    <n v="8.3333333333333329E-2"/>
    <n v="11.916666666666666"/>
    <x v="1"/>
    <x v="0"/>
    <m/>
    <x v="0"/>
    <n v="260.81"/>
    <x v="0"/>
    <x v="19"/>
    <x v="9"/>
    <x v="0"/>
    <x v="0"/>
  </r>
  <r>
    <x v="1"/>
    <x v="15"/>
    <s v="2659 F"/>
    <x v="194"/>
    <s v="Usman Amin"/>
    <s v="LDN"/>
    <n v="25"/>
    <s v="7"/>
    <s v="LDN"/>
    <n v="155"/>
    <x v="0"/>
    <n v="2"/>
    <n v="169.35"/>
    <n v="5.6"/>
    <m/>
    <x v="0"/>
    <n v="163.75"/>
    <n v="163.75"/>
    <n v="5"/>
    <x v="0"/>
    <x v="0"/>
    <n v="5"/>
    <n v="8.3333333333333329E-2"/>
    <x v="0"/>
    <x v="0"/>
    <m/>
    <x v="0"/>
    <x v="0"/>
    <x v="0"/>
    <x v="0"/>
    <x v="0"/>
    <n v="0"/>
    <n v="0"/>
    <n v="8.3333333333333329E-2"/>
    <n v="11.916666666666666"/>
    <x v="1"/>
    <x v="0"/>
    <m/>
    <x v="0"/>
    <n v="174.35"/>
    <x v="0"/>
    <x v="19"/>
    <x v="9"/>
    <x v="0"/>
    <x v="0"/>
  </r>
  <r>
    <x v="0"/>
    <x v="11"/>
    <s v="6005 J"/>
    <x v="194"/>
    <s v="International Industries (LTD)"/>
    <s v="LD گرین"/>
    <s v="300 MM"/>
    <s v="48-50"/>
    <s v="LDM"/>
    <n v="6000"/>
    <x v="0"/>
    <n v="1"/>
    <n v="121"/>
    <n v="1.4"/>
    <m/>
    <x v="0"/>
    <n v="119.6"/>
    <n v="6270.65"/>
    <n v="5"/>
    <x v="0"/>
    <x v="0"/>
    <n v="5"/>
    <n v="8.3333333333333329E-2"/>
    <x v="0"/>
    <x v="0"/>
    <m/>
    <x v="0"/>
    <x v="0"/>
    <x v="0"/>
    <x v="0"/>
    <x v="0"/>
    <n v="0"/>
    <n v="0"/>
    <n v="8.3333333333333329E-2"/>
    <n v="11.916666666666666"/>
    <x v="1"/>
    <x v="0"/>
    <m/>
    <x v="0"/>
    <n v="126"/>
    <x v="0"/>
    <x v="19"/>
    <x v="9"/>
    <x v="0"/>
    <x v="0"/>
  </r>
  <r>
    <x v="0"/>
    <x v="11"/>
    <s v="6164 J"/>
    <x v="194"/>
    <s v="Ahmed Miss Print Sheikhupura"/>
    <s v="LD شیڈ کلر"/>
    <n v="18"/>
    <s v="11-12"/>
    <s v="LDM"/>
    <n v="50"/>
    <x v="0"/>
    <n v="1"/>
    <n v="71.290000000000006"/>
    <n v="2.2999999999999998"/>
    <n v="46.3"/>
    <x v="0"/>
    <n v="68.990000000000009"/>
    <n v="68.990000000000009"/>
    <n v="5"/>
    <x v="0"/>
    <x v="0"/>
    <n v="5"/>
    <n v="8.3333333333333329E-2"/>
    <x v="0"/>
    <x v="2"/>
    <m/>
    <x v="0"/>
    <x v="0"/>
    <x v="0"/>
    <x v="0"/>
    <x v="0"/>
    <n v="20"/>
    <n v="0.33333333333333331"/>
    <n v="0.41666666666666663"/>
    <n v="11.583333333333334"/>
    <x v="1"/>
    <x v="0"/>
    <m/>
    <x v="0"/>
    <n v="76.290000000000006"/>
    <x v="0"/>
    <x v="19"/>
    <x v="9"/>
    <x v="0"/>
    <x v="0"/>
  </r>
  <r>
    <x v="0"/>
    <x v="11"/>
    <s v="2837/1"/>
    <x v="194"/>
    <s v="RMC PACK LHR"/>
    <s v="LD CREAM"/>
    <s v="14+4+4"/>
    <s v="7.5-8/15-16"/>
    <s v="SL"/>
    <n v="100"/>
    <x v="0"/>
    <n v="2"/>
    <n v="104"/>
    <n v="2.8"/>
    <m/>
    <x v="0"/>
    <n v="101.2"/>
    <n v="101.2"/>
    <n v="10"/>
    <x v="0"/>
    <x v="0"/>
    <n v="10"/>
    <n v="0.16666666666666666"/>
    <x v="0"/>
    <x v="0"/>
    <m/>
    <x v="0"/>
    <x v="0"/>
    <x v="0"/>
    <x v="0"/>
    <x v="0"/>
    <n v="0"/>
    <n v="0"/>
    <n v="0.16666666666666666"/>
    <n v="11.833333333333334"/>
    <x v="1"/>
    <x v="0"/>
    <m/>
    <x v="0"/>
    <n v="109"/>
    <x v="0"/>
    <x v="19"/>
    <x v="9"/>
    <x v="0"/>
    <x v="0"/>
  </r>
  <r>
    <x v="0"/>
    <x v="11"/>
    <s v="6327 J"/>
    <x v="194"/>
    <s v="Mugal Plastic Layyah"/>
    <s v="LD کریم"/>
    <s v="10+3+3"/>
    <s v="7.5-8/15-16"/>
    <s v="LDM"/>
    <n v="100"/>
    <x v="0"/>
    <n v="2"/>
    <n v="106.4"/>
    <n v="3"/>
    <m/>
    <x v="0"/>
    <n v="103.4"/>
    <n v="103.4"/>
    <m/>
    <x v="0"/>
    <x v="0"/>
    <n v="0"/>
    <n v="0"/>
    <x v="0"/>
    <x v="0"/>
    <m/>
    <x v="0"/>
    <x v="0"/>
    <x v="0"/>
    <x v="0"/>
    <x v="0"/>
    <n v="0"/>
    <n v="0"/>
    <n v="0"/>
    <n v="12"/>
    <x v="1"/>
    <x v="0"/>
    <m/>
    <x v="0"/>
    <n v="111.4"/>
    <x v="0"/>
    <x v="19"/>
    <x v="9"/>
    <x v="0"/>
    <x v="0"/>
  </r>
  <r>
    <x v="1"/>
    <x v="11"/>
    <s v="6250 J"/>
    <x v="194"/>
    <s v="Alam Printers Butkhela"/>
    <s v="LD پیلا"/>
    <n v="20"/>
    <s v="15-16"/>
    <s v="LDM"/>
    <n v="100"/>
    <x v="0"/>
    <n v="2"/>
    <n v="97.6"/>
    <n v="5"/>
    <n v="37"/>
    <x v="0"/>
    <n v="92.6"/>
    <n v="92.6"/>
    <m/>
    <x v="0"/>
    <x v="0"/>
    <n v="0"/>
    <n v="0"/>
    <x v="0"/>
    <x v="0"/>
    <m/>
    <x v="0"/>
    <x v="0"/>
    <x v="0"/>
    <x v="0"/>
    <x v="0"/>
    <n v="0"/>
    <n v="0"/>
    <n v="0"/>
    <n v="12"/>
    <x v="1"/>
    <x v="0"/>
    <m/>
    <x v="0"/>
    <n v="102.6"/>
    <x v="0"/>
    <x v="19"/>
    <x v="9"/>
    <x v="0"/>
    <x v="0"/>
  </r>
  <r>
    <x v="1"/>
    <x v="11"/>
    <s v="6334 J"/>
    <x v="194"/>
    <s v="Mughal Plastic Store Layyah"/>
    <s v="LD پیلا"/>
    <n v="22"/>
    <s v="16-17"/>
    <s v="LDM"/>
    <n v="100"/>
    <x v="0"/>
    <n v="2"/>
    <n v="113.4"/>
    <n v="5.6"/>
    <m/>
    <x v="0"/>
    <n v="107.80000000000001"/>
    <n v="107.80000000000001"/>
    <m/>
    <x v="0"/>
    <x v="0"/>
    <n v="0"/>
    <n v="0"/>
    <x v="0"/>
    <x v="0"/>
    <m/>
    <x v="0"/>
    <x v="0"/>
    <x v="0"/>
    <x v="0"/>
    <x v="0"/>
    <n v="0"/>
    <n v="0"/>
    <n v="0"/>
    <n v="12"/>
    <x v="1"/>
    <x v="0"/>
    <m/>
    <x v="0"/>
    <n v="118.4"/>
    <x v="0"/>
    <x v="19"/>
    <x v="9"/>
    <x v="0"/>
    <x v="0"/>
  </r>
  <r>
    <x v="1"/>
    <x v="11"/>
    <s v="6337 J"/>
    <x v="194"/>
    <s v="Mughal Plastic Store Layyah"/>
    <s v="LD پیلا"/>
    <n v="19"/>
    <s v="15-16"/>
    <s v="LDM"/>
    <n v="100"/>
    <x v="0"/>
    <n v="3"/>
    <n v="108.5"/>
    <n v="4.5999999999999996"/>
    <m/>
    <x v="0"/>
    <n v="103.9"/>
    <n v="103.9"/>
    <m/>
    <x v="0"/>
    <x v="0"/>
    <n v="0"/>
    <n v="0"/>
    <x v="0"/>
    <x v="0"/>
    <m/>
    <x v="0"/>
    <x v="0"/>
    <x v="0"/>
    <x v="0"/>
    <x v="0"/>
    <n v="0"/>
    <n v="0"/>
    <n v="0"/>
    <n v="12"/>
    <x v="1"/>
    <x v="0"/>
    <m/>
    <x v="0"/>
    <n v="113.5"/>
    <x v="0"/>
    <x v="19"/>
    <x v="9"/>
    <x v="0"/>
    <x v="0"/>
  </r>
  <r>
    <x v="1"/>
    <x v="11"/>
    <s v="6335 J"/>
    <x v="194"/>
    <s v="Mughal Plastic Store Layyah"/>
    <s v="LD پیلا"/>
    <s v="10+3+3"/>
    <s v="7.5-8/15-16"/>
    <s v="LDM"/>
    <n v="100"/>
    <x v="0"/>
    <n v="3"/>
    <n v="108.60000000000001"/>
    <n v="3.5999999999999996"/>
    <m/>
    <x v="0"/>
    <n v="105.00000000000001"/>
    <n v="105.00000000000001"/>
    <m/>
    <x v="0"/>
    <x v="0"/>
    <n v="0"/>
    <n v="0"/>
    <x v="0"/>
    <x v="0"/>
    <m/>
    <x v="0"/>
    <x v="0"/>
    <x v="0"/>
    <x v="0"/>
    <x v="0"/>
    <n v="0"/>
    <n v="0"/>
    <n v="0"/>
    <n v="12"/>
    <x v="1"/>
    <x v="0"/>
    <m/>
    <x v="0"/>
    <n v="113.60000000000001"/>
    <x v="0"/>
    <x v="19"/>
    <x v="9"/>
    <x v="0"/>
    <x v="0"/>
  </r>
  <r>
    <x v="0"/>
    <x v="9"/>
    <s v="2842/1"/>
    <x v="195"/>
    <s v="PT-02 (HAZRAT ALI MINGORA)"/>
    <s v="LDM"/>
    <n v="9"/>
    <n v="12"/>
    <s v="SL"/>
    <n v="150"/>
    <x v="0"/>
    <n v="3"/>
    <n v="150.96"/>
    <n v="3"/>
    <m/>
    <x v="0"/>
    <n v="147.96"/>
    <n v="147.96"/>
    <n v="3"/>
    <x v="0"/>
    <x v="0"/>
    <n v="3"/>
    <n v="0.05"/>
    <x v="0"/>
    <x v="0"/>
    <m/>
    <x v="0"/>
    <x v="0"/>
    <x v="0"/>
    <x v="0"/>
    <x v="0"/>
    <n v="0"/>
    <n v="0"/>
    <n v="0.05"/>
    <n v="11.95"/>
    <x v="1"/>
    <x v="0"/>
    <m/>
    <x v="0"/>
    <n v="155.96"/>
    <x v="0"/>
    <x v="19"/>
    <x v="9"/>
    <x v="0"/>
    <x v="0"/>
  </r>
  <r>
    <x v="0"/>
    <x v="9"/>
    <s v="6351 J"/>
    <x v="195"/>
    <s v="cheezo cheez Lahore "/>
    <s v="LDN"/>
    <n v="11"/>
    <n v="18"/>
    <s v="LDN"/>
    <n v="100"/>
    <x v="0"/>
    <n v="1"/>
    <n v="58.5"/>
    <n v="1.3"/>
    <n v="22"/>
    <x v="0"/>
    <n v="57.2"/>
    <n v="121.15"/>
    <m/>
    <x v="0"/>
    <x v="0"/>
    <n v="0"/>
    <n v="0"/>
    <x v="0"/>
    <x v="0"/>
    <m/>
    <x v="0"/>
    <x v="0"/>
    <x v="0"/>
    <x v="0"/>
    <x v="0"/>
    <n v="0"/>
    <n v="0"/>
    <n v="0"/>
    <n v="12"/>
    <x v="1"/>
    <x v="0"/>
    <m/>
    <x v="0"/>
    <n v="63.5"/>
    <x v="0"/>
    <x v="19"/>
    <x v="9"/>
    <x v="0"/>
    <x v="0"/>
  </r>
  <r>
    <x v="1"/>
    <x v="9"/>
    <s v="6351 J"/>
    <x v="195"/>
    <s v="cheezo cheez Lahore "/>
    <s v="LDN"/>
    <n v="11"/>
    <n v="18"/>
    <s v="LDN"/>
    <n v="100"/>
    <x v="0"/>
    <n v="1"/>
    <n v="65.25"/>
    <n v="1.3"/>
    <m/>
    <x v="0"/>
    <n v="63.95"/>
    <n v="121.15"/>
    <n v="3"/>
    <x v="0"/>
    <x v="0"/>
    <n v="3"/>
    <n v="0.05"/>
    <x v="0"/>
    <x v="0"/>
    <m/>
    <x v="0"/>
    <x v="0"/>
    <x v="0"/>
    <x v="0"/>
    <x v="0"/>
    <n v="0"/>
    <n v="0"/>
    <n v="0.05"/>
    <n v="11.95"/>
    <x v="1"/>
    <x v="0"/>
    <m/>
    <x v="0"/>
    <n v="70.25"/>
    <x v="0"/>
    <x v="19"/>
    <x v="9"/>
    <x v="0"/>
    <x v="0"/>
  </r>
  <r>
    <x v="1"/>
    <x v="9"/>
    <s v="6352 J"/>
    <x v="195"/>
    <s v="cheezo cheez Lahore "/>
    <s v="LDN"/>
    <s v="10+2.5+2.5"/>
    <n v="18"/>
    <s v="LDN"/>
    <n v="100"/>
    <x v="0"/>
    <n v="2"/>
    <n v="109.66"/>
    <n v="2.6"/>
    <m/>
    <x v="0"/>
    <n v="107.06"/>
    <n v="107.06"/>
    <m/>
    <x v="0"/>
    <x v="0"/>
    <n v="0"/>
    <n v="0"/>
    <x v="0"/>
    <x v="0"/>
    <m/>
    <x v="0"/>
    <x v="0"/>
    <x v="0"/>
    <x v="0"/>
    <x v="0"/>
    <n v="0"/>
    <n v="0"/>
    <n v="0"/>
    <n v="12"/>
    <x v="1"/>
    <x v="0"/>
    <m/>
    <x v="0"/>
    <n v="114.66"/>
    <x v="0"/>
    <x v="19"/>
    <x v="9"/>
    <x v="0"/>
    <x v="0"/>
  </r>
  <r>
    <x v="1"/>
    <x v="9"/>
    <s v="6358 J"/>
    <x v="195"/>
    <s v="Usman Arif Butt Gujranwala"/>
    <s v="LDN"/>
    <n v="2"/>
    <s v="14"/>
    <s v="LDN"/>
    <n v="1000"/>
    <x v="0"/>
    <n v="2"/>
    <n v="39.519999999999996"/>
    <n v="4"/>
    <m/>
    <x v="0"/>
    <n v="35.519999999999996"/>
    <n v="1027.6100000000001"/>
    <m/>
    <x v="0"/>
    <x v="0"/>
    <n v="0"/>
    <n v="0"/>
    <x v="0"/>
    <x v="0"/>
    <m/>
    <x v="0"/>
    <x v="0"/>
    <x v="0"/>
    <x v="0"/>
    <x v="0"/>
    <n v="0"/>
    <n v="0"/>
    <n v="0"/>
    <n v="12"/>
    <x v="1"/>
    <x v="0"/>
    <m/>
    <x v="0"/>
    <n v="44.519999999999996"/>
    <x v="0"/>
    <x v="19"/>
    <x v="9"/>
    <x v="0"/>
    <x v="0"/>
  </r>
  <r>
    <x v="0"/>
    <x v="11"/>
    <s v="14267 J"/>
    <x v="195"/>
    <m/>
    <m/>
    <m/>
    <m/>
    <m/>
    <m/>
    <x v="0"/>
    <n v="1"/>
    <n v="53.85"/>
    <n v="2.2999999999999998"/>
    <m/>
    <x v="0"/>
    <n v="51.550000000000004"/>
    <n v="51.550000000000004"/>
    <n v="3"/>
    <x v="0"/>
    <x v="0"/>
    <n v="3"/>
    <n v="0.05"/>
    <x v="0"/>
    <x v="0"/>
    <m/>
    <x v="0"/>
    <x v="0"/>
    <x v="0"/>
    <x v="0"/>
    <x v="0"/>
    <n v="0"/>
    <n v="0"/>
    <n v="0.05"/>
    <n v="11.95"/>
    <x v="1"/>
    <x v="0"/>
    <m/>
    <x v="0"/>
    <n v="58.85"/>
    <x v="0"/>
    <x v="19"/>
    <x v="9"/>
    <x v="0"/>
    <x v="0"/>
  </r>
  <r>
    <x v="0"/>
    <x v="11"/>
    <s v="5793 J"/>
    <x v="195"/>
    <s v="Cash Sale C/O Naseer Sab Akram Mughal "/>
    <s v="LD رنگدار"/>
    <n v="22"/>
    <s v="12-13"/>
    <s v="LDM"/>
    <n v="50"/>
    <x v="0"/>
    <n v="1"/>
    <n v="79.099999999999994"/>
    <n v="2.7"/>
    <m/>
    <x v="0"/>
    <n v="76.399999999999991"/>
    <n v="76.399999999999991"/>
    <n v="3"/>
    <x v="0"/>
    <x v="0"/>
    <n v="3"/>
    <n v="0.05"/>
    <x v="0"/>
    <x v="0"/>
    <m/>
    <x v="0"/>
    <x v="0"/>
    <x v="0"/>
    <x v="0"/>
    <x v="0"/>
    <n v="0"/>
    <n v="0"/>
    <n v="0.05"/>
    <n v="11.95"/>
    <x v="1"/>
    <x v="0"/>
    <m/>
    <x v="0"/>
    <n v="84.1"/>
    <x v="0"/>
    <x v="19"/>
    <x v="9"/>
    <x v="0"/>
    <x v="0"/>
  </r>
  <r>
    <x v="0"/>
    <x v="11"/>
    <s v="6308 J"/>
    <x v="195"/>
    <s v="Fancy Garments Kamoki"/>
    <s v="LD سی گرین"/>
    <n v="16"/>
    <s v="13-14"/>
    <s v="LDM"/>
    <n v="200"/>
    <x v="0"/>
    <n v="3"/>
    <n v="225.60000000000002"/>
    <n v="6.8999999999999995"/>
    <m/>
    <x v="0"/>
    <n v="218.70000000000002"/>
    <n v="218.70000000000002"/>
    <n v="3"/>
    <x v="0"/>
    <x v="0"/>
    <n v="3"/>
    <n v="0.05"/>
    <x v="0"/>
    <x v="0"/>
    <m/>
    <x v="0"/>
    <x v="0"/>
    <x v="0"/>
    <x v="0"/>
    <x v="0"/>
    <n v="0"/>
    <n v="0"/>
    <n v="0.05"/>
    <n v="11.95"/>
    <x v="1"/>
    <x v="0"/>
    <m/>
    <x v="0"/>
    <n v="230.60000000000002"/>
    <x v="0"/>
    <x v="19"/>
    <x v="9"/>
    <x v="0"/>
    <x v="0"/>
  </r>
  <r>
    <x v="0"/>
    <x v="11"/>
    <s v="6307 J"/>
    <x v="195"/>
    <s v="Fancy Garments Kamoki"/>
    <s v="LD سی گرین"/>
    <n v="18"/>
    <s v="14-15"/>
    <s v="LDM"/>
    <n v="110"/>
    <x v="0"/>
    <n v="2"/>
    <n v="122.5"/>
    <n v="4.2"/>
    <m/>
    <x v="0"/>
    <n v="118.3"/>
    <n v="118.3"/>
    <n v="3"/>
    <x v="0"/>
    <x v="0"/>
    <n v="3"/>
    <n v="0.05"/>
    <x v="0"/>
    <x v="0"/>
    <m/>
    <x v="0"/>
    <x v="0"/>
    <x v="0"/>
    <x v="0"/>
    <x v="0"/>
    <n v="0"/>
    <n v="0"/>
    <n v="0.05"/>
    <n v="11.95"/>
    <x v="1"/>
    <x v="0"/>
    <m/>
    <x v="0"/>
    <n v="127.5"/>
    <x v="0"/>
    <x v="19"/>
    <x v="9"/>
    <x v="0"/>
    <x v="0"/>
  </r>
  <r>
    <x v="0"/>
    <x v="11"/>
    <s v="STOCK"/>
    <x v="195"/>
    <s v="STOCK"/>
    <n v="18"/>
    <s v="18-12"/>
    <m/>
    <m/>
    <m/>
    <x v="0"/>
    <n v="1"/>
    <n v="92.56"/>
    <n v="1.8"/>
    <n v="7"/>
    <x v="0"/>
    <n v="90.76"/>
    <n v="431.39"/>
    <n v="3"/>
    <x v="0"/>
    <x v="0"/>
    <n v="3"/>
    <n v="0.05"/>
    <x v="0"/>
    <x v="0"/>
    <m/>
    <x v="0"/>
    <x v="0"/>
    <x v="0"/>
    <x v="0"/>
    <x v="0"/>
    <n v="0"/>
    <n v="0"/>
    <n v="0.05"/>
    <n v="11.95"/>
    <x v="1"/>
    <x v="0"/>
    <m/>
    <x v="0"/>
    <n v="97.56"/>
    <x v="0"/>
    <x v="19"/>
    <x v="9"/>
    <x v="0"/>
    <x v="0"/>
  </r>
  <r>
    <x v="1"/>
    <x v="11"/>
    <s v="6279 J"/>
    <x v="195"/>
    <s v="Sahibzada Printers Saray Norang"/>
    <s v="LD فروزی"/>
    <n v="14"/>
    <s v="14-15"/>
    <s v="LDM"/>
    <n v="100"/>
    <x v="0"/>
    <n v="2"/>
    <n v="99.3"/>
    <n v="3.2"/>
    <n v="52"/>
    <x v="0"/>
    <n v="96.1"/>
    <n v="96.1"/>
    <n v="3"/>
    <x v="0"/>
    <x v="0"/>
    <n v="3"/>
    <n v="0.05"/>
    <x v="0"/>
    <x v="0"/>
    <m/>
    <x v="0"/>
    <x v="0"/>
    <x v="0"/>
    <x v="0"/>
    <x v="0"/>
    <n v="0"/>
    <n v="0"/>
    <n v="0.05"/>
    <n v="11.95"/>
    <x v="1"/>
    <x v="0"/>
    <m/>
    <x v="0"/>
    <n v="104.3"/>
    <x v="0"/>
    <x v="19"/>
    <x v="9"/>
    <x v="0"/>
    <x v="0"/>
  </r>
  <r>
    <x v="1"/>
    <x v="11"/>
    <s v="6280 J"/>
    <x v="195"/>
    <s v="Sahibzada Printers Saray Norang"/>
    <s v="LD سلور گرے"/>
    <s v="12+3+3"/>
    <s v="7.5-8/15-16"/>
    <s v="LDM"/>
    <n v="110"/>
    <x v="0"/>
    <n v="3"/>
    <n v="136.19999999999999"/>
    <n v="4.5"/>
    <m/>
    <x v="0"/>
    <n v="131.69999999999999"/>
    <n v="131.69999999999999"/>
    <n v="3"/>
    <x v="0"/>
    <x v="0"/>
    <n v="3"/>
    <n v="0.05"/>
    <x v="0"/>
    <x v="0"/>
    <m/>
    <x v="0"/>
    <x v="0"/>
    <x v="0"/>
    <x v="0"/>
    <x v="0"/>
    <n v="0"/>
    <n v="0"/>
    <n v="0.05"/>
    <n v="11.95"/>
    <x v="1"/>
    <x v="0"/>
    <m/>
    <x v="0"/>
    <n v="141.19999999999999"/>
    <x v="0"/>
    <x v="19"/>
    <x v="9"/>
    <x v="0"/>
    <x v="0"/>
  </r>
  <r>
    <x v="1"/>
    <x v="11"/>
    <s v="6278 J"/>
    <x v="195"/>
    <s v="Sahibzada Printers Saray Norang"/>
    <s v="LD گولڈن پیلا"/>
    <n v="6"/>
    <s v="14-15"/>
    <s v="LDM"/>
    <n v="100"/>
    <x v="0"/>
    <n v="3"/>
    <n v="102.5"/>
    <n v="2.0999999999999996"/>
    <m/>
    <x v="0"/>
    <n v="100.4"/>
    <n v="100.4"/>
    <n v="5"/>
    <x v="0"/>
    <x v="0"/>
    <n v="5"/>
    <n v="8.3333333333333329E-2"/>
    <x v="0"/>
    <x v="0"/>
    <m/>
    <x v="0"/>
    <x v="0"/>
    <x v="0"/>
    <x v="0"/>
    <x v="0"/>
    <n v="0"/>
    <n v="0"/>
    <n v="8.3333333333333329E-2"/>
    <n v="11.916666666666666"/>
    <x v="1"/>
    <x v="0"/>
    <m/>
    <x v="0"/>
    <n v="107.5"/>
    <x v="0"/>
    <x v="19"/>
    <x v="9"/>
    <x v="0"/>
    <x v="0"/>
  </r>
  <r>
    <x v="0"/>
    <x v="13"/>
    <s v="2836/1"/>
    <x v="195"/>
    <s v="MATCO FOOD"/>
    <s v="LDN"/>
    <s v="28-28.5"/>
    <s v="95±1"/>
    <s v="SL"/>
    <n v="7600"/>
    <x v="0"/>
    <n v="2"/>
    <n v="231.34"/>
    <n v="6.6"/>
    <m/>
    <x v="0"/>
    <n v="224.74"/>
    <n v="6678.38"/>
    <n v="3"/>
    <x v="0"/>
    <x v="0"/>
    <n v="3"/>
    <n v="0.05"/>
    <x v="0"/>
    <x v="0"/>
    <m/>
    <x v="0"/>
    <x v="0"/>
    <x v="0"/>
    <x v="0"/>
    <x v="0"/>
    <n v="0"/>
    <n v="0"/>
    <n v="0.05"/>
    <n v="11.95"/>
    <x v="1"/>
    <x v="0"/>
    <m/>
    <x v="0"/>
    <n v="236.34"/>
    <x v="0"/>
    <x v="19"/>
    <x v="9"/>
    <x v="0"/>
    <x v="0"/>
  </r>
  <r>
    <x v="0"/>
    <x v="13"/>
    <s v="6321 J"/>
    <x v="195"/>
    <s v="AK And HBCO Lahore"/>
    <s v="LDN"/>
    <n v="15"/>
    <s v="6-6.5"/>
    <s v="LDN"/>
    <n v="200"/>
    <x v="0"/>
    <n v="3"/>
    <n v="168.99"/>
    <n v="5.4"/>
    <m/>
    <x v="0"/>
    <n v="163.59"/>
    <n v="275.19"/>
    <m/>
    <x v="0"/>
    <x v="0"/>
    <n v="0"/>
    <n v="0"/>
    <x v="0"/>
    <x v="0"/>
    <m/>
    <x v="0"/>
    <x v="0"/>
    <x v="0"/>
    <x v="0"/>
    <x v="0"/>
    <n v="0"/>
    <n v="0"/>
    <n v="0"/>
    <n v="12"/>
    <x v="1"/>
    <x v="0"/>
    <m/>
    <x v="0"/>
    <n v="173.99"/>
    <x v="0"/>
    <x v="19"/>
    <x v="9"/>
    <x v="0"/>
    <x v="0"/>
  </r>
  <r>
    <x v="1"/>
    <x v="13"/>
    <s v="6321 J"/>
    <x v="195"/>
    <s v="AK And HBCO Lahore"/>
    <s v="LDN"/>
    <n v="15"/>
    <s v="6-6.5"/>
    <s v="LDN"/>
    <n v="200"/>
    <x v="0"/>
    <n v="1"/>
    <n v="48.9"/>
    <n v="1.1000000000000001"/>
    <m/>
    <x v="0"/>
    <n v="47.8"/>
    <n v="275.19"/>
    <n v="5"/>
    <x v="0"/>
    <x v="0"/>
    <n v="5"/>
    <n v="8.3333333333333329E-2"/>
    <x v="0"/>
    <x v="0"/>
    <m/>
    <x v="0"/>
    <x v="0"/>
    <x v="0"/>
    <x v="0"/>
    <x v="0"/>
    <n v="0"/>
    <n v="0"/>
    <n v="8.3333333333333329E-2"/>
    <n v="11.916666666666666"/>
    <x v="1"/>
    <x v="0"/>
    <m/>
    <x v="0"/>
    <n v="53.9"/>
    <x v="0"/>
    <x v="19"/>
    <x v="9"/>
    <x v="0"/>
    <x v="0"/>
  </r>
  <r>
    <x v="1"/>
    <x v="13"/>
    <s v="6330 J"/>
    <x v="195"/>
    <s v="M.K.B Peshawar"/>
    <s v="LDN"/>
    <n v="22"/>
    <s v="6-6.5"/>
    <s v="LDN"/>
    <n v="300"/>
    <x v="0"/>
    <n v="3"/>
    <n v="283.52"/>
    <n v="6.3000000000000007"/>
    <m/>
    <x v="0"/>
    <n v="277.21999999999997"/>
    <n v="277.21999999999997"/>
    <m/>
    <x v="0"/>
    <x v="0"/>
    <n v="0"/>
    <n v="0"/>
    <x v="0"/>
    <x v="0"/>
    <m/>
    <x v="0"/>
    <x v="0"/>
    <x v="0"/>
    <x v="0"/>
    <x v="0"/>
    <n v="0"/>
    <n v="0"/>
    <n v="0"/>
    <n v="12"/>
    <x v="1"/>
    <x v="0"/>
    <m/>
    <x v="0"/>
    <n v="288.52"/>
    <x v="0"/>
    <x v="19"/>
    <x v="9"/>
    <x v="0"/>
    <x v="0"/>
  </r>
  <r>
    <x v="0"/>
    <x v="14"/>
    <s v="2663 F"/>
    <x v="195"/>
    <s v="Usman Amin"/>
    <s v="LDN"/>
    <n v="28"/>
    <s v="8"/>
    <s v="LDN"/>
    <n v="60"/>
    <x v="0"/>
    <n v="1"/>
    <n v="78.400000000000006"/>
    <n v="3.4"/>
    <n v="7"/>
    <x v="0"/>
    <n v="75"/>
    <n v="75"/>
    <m/>
    <x v="0"/>
    <x v="0"/>
    <n v="0"/>
    <n v="0"/>
    <x v="0"/>
    <x v="0"/>
    <m/>
    <x v="0"/>
    <x v="0"/>
    <x v="0"/>
    <x v="0"/>
    <x v="0"/>
    <n v="0"/>
    <n v="0"/>
    <n v="0"/>
    <n v="12"/>
    <x v="1"/>
    <x v="0"/>
    <m/>
    <x v="0"/>
    <n v="83.4"/>
    <x v="0"/>
    <x v="19"/>
    <x v="9"/>
    <x v="0"/>
    <x v="0"/>
  </r>
  <r>
    <x v="0"/>
    <x v="14"/>
    <s v="269 R"/>
    <x v="195"/>
    <s v="ریفلیکٹ پیک"/>
    <s v="LDN"/>
    <n v="35"/>
    <s v="5-5.5"/>
    <s v="LDN"/>
    <n v="10000"/>
    <x v="0"/>
    <n v="9"/>
    <n v="682.7"/>
    <n v="37.800000000000004"/>
    <m/>
    <x v="0"/>
    <n v="644.90000000000009"/>
    <n v="10034.49"/>
    <m/>
    <x v="0"/>
    <x v="0"/>
    <n v="0"/>
    <n v="0"/>
    <x v="0"/>
    <x v="0"/>
    <m/>
    <x v="0"/>
    <x v="0"/>
    <x v="0"/>
    <x v="0"/>
    <x v="0"/>
    <n v="0"/>
    <n v="0"/>
    <n v="0"/>
    <n v="12"/>
    <x v="1"/>
    <x v="0"/>
    <m/>
    <x v="0"/>
    <n v="687.7"/>
    <x v="0"/>
    <x v="19"/>
    <x v="9"/>
    <x v="0"/>
    <x v="0"/>
  </r>
  <r>
    <x v="1"/>
    <x v="14"/>
    <s v="269 R"/>
    <x v="195"/>
    <s v="ریفلیکٹ پیک"/>
    <s v="LDN"/>
    <n v="35"/>
    <s v="5-5.5"/>
    <s v="LDN"/>
    <n v="10000"/>
    <x v="0"/>
    <n v="11"/>
    <n v="822.6"/>
    <n v="46.2"/>
    <n v="23"/>
    <x v="0"/>
    <n v="776.4"/>
    <n v="10034.49"/>
    <m/>
    <x v="0"/>
    <x v="0"/>
    <n v="0"/>
    <n v="0"/>
    <x v="0"/>
    <x v="0"/>
    <n v="150"/>
    <x v="0"/>
    <x v="0"/>
    <x v="0"/>
    <x v="0"/>
    <x v="0"/>
    <n v="150"/>
    <n v="2.5"/>
    <n v="2.5"/>
    <n v="9.5"/>
    <x v="1"/>
    <x v="0"/>
    <m/>
    <x v="0"/>
    <n v="827.6"/>
    <x v="0"/>
    <x v="19"/>
    <x v="9"/>
    <x v="0"/>
    <x v="0"/>
  </r>
  <r>
    <x v="0"/>
    <x v="15"/>
    <s v="2653 F"/>
    <x v="195"/>
    <s v="Usman Amin"/>
    <s v="LDN"/>
    <n v="30"/>
    <s v="8-8.5"/>
    <s v="LDN"/>
    <n v="60"/>
    <x v="0"/>
    <n v="1"/>
    <n v="55.55"/>
    <n v="3"/>
    <n v="4"/>
    <x v="0"/>
    <n v="52.55"/>
    <n v="52.55"/>
    <n v="3"/>
    <x v="0"/>
    <x v="0"/>
    <n v="3"/>
    <n v="0.05"/>
    <x v="0"/>
    <x v="0"/>
    <m/>
    <x v="0"/>
    <x v="0"/>
    <x v="0"/>
    <x v="0"/>
    <x v="0"/>
    <n v="0"/>
    <n v="0"/>
    <n v="0.05"/>
    <n v="11.95"/>
    <x v="1"/>
    <x v="0"/>
    <m/>
    <x v="0"/>
    <n v="60.55"/>
    <x v="0"/>
    <x v="19"/>
    <x v="9"/>
    <x v="0"/>
    <x v="0"/>
  </r>
  <r>
    <x v="0"/>
    <x v="15"/>
    <s v="2642 F"/>
    <x v="195"/>
    <s v="Usman Amin"/>
    <s v="LDN"/>
    <n v="19"/>
    <s v="12"/>
    <s v="LDN"/>
    <n v="400"/>
    <x v="0"/>
    <n v="6"/>
    <n v="411.75"/>
    <n v="13.2"/>
    <m/>
    <x v="0"/>
    <n v="398.55"/>
    <n v="398.55"/>
    <n v="3"/>
    <x v="0"/>
    <x v="0"/>
    <n v="3"/>
    <n v="0.05"/>
    <x v="0"/>
    <x v="0"/>
    <m/>
    <x v="0"/>
    <x v="0"/>
    <x v="0"/>
    <x v="0"/>
    <x v="0"/>
    <n v="0"/>
    <n v="0"/>
    <n v="0.05"/>
    <n v="11.95"/>
    <x v="1"/>
    <x v="0"/>
    <m/>
    <x v="0"/>
    <n v="416.75"/>
    <x v="0"/>
    <x v="19"/>
    <x v="9"/>
    <x v="0"/>
    <x v="0"/>
  </r>
  <r>
    <x v="1"/>
    <x v="15"/>
    <s v="2669 F"/>
    <x v="195"/>
    <s v="Usman Amin"/>
    <s v="LDN"/>
    <n v="16"/>
    <s v="5-5.5"/>
    <s v="LDN"/>
    <n v="160"/>
    <x v="0"/>
    <n v="7"/>
    <n v="345.19999999999993"/>
    <n v="11.9"/>
    <m/>
    <x v="0"/>
    <n v="333.29999999999995"/>
    <n v="333.29999999999995"/>
    <m/>
    <x v="0"/>
    <x v="0"/>
    <n v="0"/>
    <n v="0"/>
    <x v="0"/>
    <x v="0"/>
    <m/>
    <x v="0"/>
    <x v="0"/>
    <x v="0"/>
    <x v="0"/>
    <x v="0"/>
    <n v="0"/>
    <n v="0"/>
    <n v="0"/>
    <n v="12"/>
    <x v="1"/>
    <x v="0"/>
    <m/>
    <x v="0"/>
    <n v="350.19999999999993"/>
    <x v="0"/>
    <x v="19"/>
    <x v="9"/>
    <x v="0"/>
    <x v="0"/>
  </r>
  <r>
    <x v="0"/>
    <x v="9"/>
    <s v="6358 J"/>
    <x v="196"/>
    <s v="Usman Arif Butt Gujranwala"/>
    <s v="LDN"/>
    <n v="2"/>
    <s v="14"/>
    <s v="LDN"/>
    <n v="1000"/>
    <x v="0"/>
    <n v="5"/>
    <n v="95.9"/>
    <n v="6"/>
    <m/>
    <x v="0"/>
    <n v="89.9"/>
    <n v="1027.6100000000001"/>
    <m/>
    <x v="0"/>
    <x v="0"/>
    <n v="0"/>
    <n v="0"/>
    <x v="0"/>
    <x v="0"/>
    <m/>
    <x v="0"/>
    <x v="0"/>
    <x v="0"/>
    <x v="0"/>
    <x v="0"/>
    <n v="0"/>
    <n v="0"/>
    <n v="0"/>
    <n v="12"/>
    <x v="1"/>
    <x v="0"/>
    <m/>
    <x v="0"/>
    <n v="100.9"/>
    <x v="0"/>
    <x v="19"/>
    <x v="9"/>
    <x v="0"/>
    <x v="0"/>
  </r>
  <r>
    <x v="1"/>
    <x v="9"/>
    <s v="6358 J"/>
    <x v="196"/>
    <s v="Usman Arif Butt Gujranwala"/>
    <s v="LDN"/>
    <n v="2"/>
    <s v="14"/>
    <s v="LDN"/>
    <n v="1000"/>
    <x v="0"/>
    <n v="4"/>
    <n v="93.5"/>
    <n v="4.8"/>
    <m/>
    <x v="0"/>
    <n v="88.7"/>
    <n v="1027.6100000000001"/>
    <m/>
    <x v="0"/>
    <x v="0"/>
    <n v="0"/>
    <n v="0"/>
    <x v="0"/>
    <x v="0"/>
    <m/>
    <x v="0"/>
    <x v="0"/>
    <x v="0"/>
    <x v="0"/>
    <x v="0"/>
    <n v="0"/>
    <n v="0"/>
    <n v="0"/>
    <n v="12"/>
    <x v="1"/>
    <x v="0"/>
    <m/>
    <x v="0"/>
    <n v="98.5"/>
    <x v="0"/>
    <x v="19"/>
    <x v="9"/>
    <x v="0"/>
    <x v="0"/>
  </r>
  <r>
    <x v="0"/>
    <x v="13"/>
    <s v="STOCK"/>
    <x v="196"/>
    <s v="STOCK"/>
    <n v="22"/>
    <s v="6-6.5"/>
    <m/>
    <m/>
    <m/>
    <x v="0"/>
    <n v="2"/>
    <n v="136.4"/>
    <n v="4.4000000000000004"/>
    <m/>
    <x v="0"/>
    <n v="132"/>
    <n v="431.39"/>
    <m/>
    <x v="0"/>
    <x v="0"/>
    <n v="0"/>
    <n v="0"/>
    <x v="0"/>
    <x v="0"/>
    <m/>
    <x v="0"/>
    <x v="0"/>
    <x v="0"/>
    <x v="0"/>
    <x v="0"/>
    <n v="0"/>
    <n v="0"/>
    <n v="0"/>
    <n v="12"/>
    <x v="1"/>
    <x v="0"/>
    <m/>
    <x v="0"/>
    <n v="141.4"/>
    <x v="0"/>
    <x v="19"/>
    <x v="9"/>
    <x v="0"/>
    <x v="0"/>
  </r>
  <r>
    <x v="0"/>
    <x v="13"/>
    <s v="6210 J"/>
    <x v="196"/>
    <s v="Super Diamond Food Kamoki"/>
    <s v="LDN"/>
    <n v="22"/>
    <s v="7.5-8"/>
    <s v="LDN"/>
    <n v="400"/>
    <x v="0"/>
    <n v="3"/>
    <n v="228.8"/>
    <n v="8.1000000000000014"/>
    <n v="4"/>
    <x v="0"/>
    <n v="220.70000000000002"/>
    <n v="391.7"/>
    <m/>
    <x v="0"/>
    <x v="0"/>
    <n v="0"/>
    <n v="0"/>
    <x v="0"/>
    <x v="0"/>
    <m/>
    <x v="0"/>
    <x v="0"/>
    <x v="0"/>
    <x v="0"/>
    <x v="0"/>
    <n v="0"/>
    <n v="0"/>
    <n v="0"/>
    <n v="12"/>
    <x v="1"/>
    <x v="0"/>
    <m/>
    <x v="0"/>
    <n v="233.8"/>
    <x v="0"/>
    <x v="19"/>
    <x v="9"/>
    <x v="0"/>
    <x v="0"/>
  </r>
  <r>
    <x v="1"/>
    <x v="13"/>
    <s v="6210 J"/>
    <x v="196"/>
    <s v="Super Diamond Food Kamoki"/>
    <s v="LDN"/>
    <n v="22"/>
    <s v="7.5-8"/>
    <s v="LDN"/>
    <n v="400"/>
    <x v="0"/>
    <n v="2"/>
    <n v="175.39999999999998"/>
    <n v="4.4000000000000004"/>
    <m/>
    <x v="0"/>
    <n v="170.99999999999997"/>
    <n v="391.7"/>
    <m/>
    <x v="0"/>
    <x v="0"/>
    <n v="0"/>
    <n v="0"/>
    <x v="0"/>
    <x v="0"/>
    <m/>
    <x v="0"/>
    <x v="0"/>
    <x v="0"/>
    <x v="0"/>
    <x v="0"/>
    <n v="0"/>
    <n v="0"/>
    <n v="0"/>
    <n v="12"/>
    <x v="1"/>
    <x v="0"/>
    <m/>
    <x v="0"/>
    <n v="180.39999999999998"/>
    <x v="0"/>
    <x v="19"/>
    <x v="9"/>
    <x v="0"/>
    <x v="0"/>
  </r>
  <r>
    <x v="1"/>
    <x v="13"/>
    <s v="6331 J"/>
    <x v="196"/>
    <s v="Airy Food Gujranwala"/>
    <s v="LDN"/>
    <n v="24"/>
    <s v="-"/>
    <s v="LDN"/>
    <n v="700"/>
    <x v="0"/>
    <n v="1"/>
    <n v="91"/>
    <n v="2.5"/>
    <m/>
    <x v="0"/>
    <n v="88.5"/>
    <n v="699.93000000000006"/>
    <m/>
    <x v="0"/>
    <x v="0"/>
    <n v="0"/>
    <n v="0"/>
    <x v="0"/>
    <x v="0"/>
    <m/>
    <x v="0"/>
    <x v="0"/>
    <x v="0"/>
    <x v="0"/>
    <x v="0"/>
    <n v="0"/>
    <n v="0"/>
    <n v="0"/>
    <n v="12"/>
    <x v="1"/>
    <x v="0"/>
    <m/>
    <x v="0"/>
    <n v="96"/>
    <x v="0"/>
    <x v="19"/>
    <x v="9"/>
    <x v="0"/>
    <x v="0"/>
  </r>
  <r>
    <x v="1"/>
    <x v="13"/>
    <s v="2643 F"/>
    <x v="196"/>
    <s v="Usman Amin"/>
    <s v="LDN"/>
    <n v="17"/>
    <s v="12"/>
    <s v="LDN"/>
    <n v="500"/>
    <x v="0"/>
    <n v="1"/>
    <n v="49.13"/>
    <n v="1.7"/>
    <m/>
    <x v="0"/>
    <n v="47.43"/>
    <n v="600.44000000000005"/>
    <m/>
    <x v="0"/>
    <x v="0"/>
    <n v="0"/>
    <n v="0"/>
    <x v="0"/>
    <x v="0"/>
    <m/>
    <x v="0"/>
    <x v="0"/>
    <x v="0"/>
    <x v="0"/>
    <x v="0"/>
    <n v="0"/>
    <n v="0"/>
    <n v="0"/>
    <n v="12"/>
    <x v="1"/>
    <x v="0"/>
    <m/>
    <x v="0"/>
    <n v="54.13"/>
    <x v="0"/>
    <x v="19"/>
    <x v="9"/>
    <x v="0"/>
    <x v="0"/>
  </r>
  <r>
    <x v="0"/>
    <x v="11"/>
    <s v="STOCK"/>
    <x v="196"/>
    <s v="STOCK"/>
    <m/>
    <n v="16.5"/>
    <s v="12-12.5"/>
    <m/>
    <m/>
    <x v="0"/>
    <n v="1"/>
    <n v="103"/>
    <n v="1.9"/>
    <m/>
    <x v="0"/>
    <n v="101.1"/>
    <n v="431.39"/>
    <m/>
    <x v="0"/>
    <x v="0"/>
    <n v="0"/>
    <n v="0"/>
    <x v="0"/>
    <x v="0"/>
    <m/>
    <x v="0"/>
    <x v="0"/>
    <x v="0"/>
    <x v="0"/>
    <x v="0"/>
    <n v="0"/>
    <n v="0"/>
    <n v="0"/>
    <n v="12"/>
    <x v="1"/>
    <x v="0"/>
    <m/>
    <x v="0"/>
    <n v="108"/>
    <x v="0"/>
    <x v="19"/>
    <x v="9"/>
    <x v="0"/>
    <x v="0"/>
  </r>
  <r>
    <x v="0"/>
    <x v="11"/>
    <s v="6341 J"/>
    <x v="196"/>
    <s v="Meezan Foam Pvt LTD Sawabi"/>
    <s v="LDM"/>
    <s v="12&quot; شیٹ"/>
    <s v="7-7.5/14-15"/>
    <s v="LDM"/>
    <n v="100"/>
    <x v="0"/>
    <n v="2"/>
    <n v="119.60000000000001"/>
    <n v="3.3"/>
    <m/>
    <x v="0"/>
    <n v="116.30000000000001"/>
    <n v="116.30000000000001"/>
    <n v="5"/>
    <x v="0"/>
    <x v="0"/>
    <n v="5"/>
    <n v="8.3333333333333329E-2"/>
    <x v="0"/>
    <x v="0"/>
    <m/>
    <x v="0"/>
    <x v="0"/>
    <x v="0"/>
    <x v="0"/>
    <x v="0"/>
    <n v="0"/>
    <n v="0"/>
    <n v="8.3333333333333329E-2"/>
    <n v="11.916666666666666"/>
    <x v="1"/>
    <x v="0"/>
    <m/>
    <x v="0"/>
    <n v="124.60000000000001"/>
    <x v="0"/>
    <x v="19"/>
    <x v="9"/>
    <x v="0"/>
    <x v="0"/>
  </r>
  <r>
    <x v="0"/>
    <x v="11"/>
    <s v="6348 J"/>
    <x v="196"/>
    <s v="Good Boy Shoping Mall Fortabas"/>
    <s v="LDM"/>
    <s v="8+2.5+2.5"/>
    <s v="7.5-8/15-16"/>
    <s v="LDM"/>
    <n v="110"/>
    <x v="0"/>
    <n v="3"/>
    <n v="120"/>
    <n v="3"/>
    <n v="4"/>
    <x v="0"/>
    <n v="117"/>
    <n v="117"/>
    <m/>
    <x v="0"/>
    <x v="0"/>
    <n v="0"/>
    <n v="0"/>
    <x v="0"/>
    <x v="0"/>
    <m/>
    <x v="0"/>
    <x v="0"/>
    <x v="0"/>
    <x v="0"/>
    <x v="0"/>
    <n v="0"/>
    <n v="0"/>
    <n v="0"/>
    <n v="12"/>
    <x v="1"/>
    <x v="0"/>
    <m/>
    <x v="0"/>
    <n v="125"/>
    <x v="0"/>
    <x v="19"/>
    <x v="9"/>
    <x v="0"/>
    <x v="0"/>
  </r>
  <r>
    <x v="1"/>
    <x v="11"/>
    <s v="6356 J"/>
    <x v="196"/>
    <s v="Wazir Suiting Center Lahore"/>
    <s v="LDM"/>
    <n v="18"/>
    <s v="14-15"/>
    <s v="LDM"/>
    <n v="100"/>
    <x v="0"/>
    <n v="2"/>
    <n v="122.5"/>
    <n v="4.4000000000000004"/>
    <n v="51"/>
    <x v="0"/>
    <n v="118.1"/>
    <n v="118.1"/>
    <m/>
    <x v="0"/>
    <x v="0"/>
    <n v="0"/>
    <n v="0"/>
    <x v="0"/>
    <x v="0"/>
    <m/>
    <x v="0"/>
    <x v="0"/>
    <x v="0"/>
    <x v="0"/>
    <x v="0"/>
    <n v="0"/>
    <n v="0"/>
    <n v="0"/>
    <n v="12"/>
    <x v="1"/>
    <x v="0"/>
    <m/>
    <x v="0"/>
    <n v="127.5"/>
    <x v="0"/>
    <x v="19"/>
    <x v="9"/>
    <x v="0"/>
    <x v="0"/>
  </r>
  <r>
    <x v="1"/>
    <x v="11"/>
    <s v="271 R"/>
    <x v="196"/>
    <s v="ریفلیکٹ پیک"/>
    <s v="LDN"/>
    <n v="23"/>
    <s v="18-19"/>
    <s v="LDN"/>
    <n v="2000"/>
    <x v="0"/>
    <n v="1"/>
    <n v="181.7"/>
    <n v="2.6"/>
    <m/>
    <x v="0"/>
    <n v="179.1"/>
    <n v="1979.5800000000002"/>
    <n v="3"/>
    <x v="0"/>
    <x v="0"/>
    <n v="3"/>
    <n v="0.05"/>
    <x v="0"/>
    <x v="0"/>
    <m/>
    <x v="0"/>
    <x v="0"/>
    <x v="0"/>
    <x v="0"/>
    <x v="0"/>
    <n v="0"/>
    <n v="0"/>
    <n v="0.05"/>
    <n v="11.95"/>
    <x v="1"/>
    <x v="0"/>
    <m/>
    <x v="0"/>
    <n v="186.7"/>
    <x v="0"/>
    <x v="19"/>
    <x v="9"/>
    <x v="0"/>
    <x v="0"/>
  </r>
  <r>
    <x v="1"/>
    <x v="11"/>
    <s v="STOCK"/>
    <x v="196"/>
    <s v="STOCK"/>
    <m/>
    <n v="18"/>
    <n v="12"/>
    <m/>
    <m/>
    <x v="0"/>
    <n v="1"/>
    <n v="28.4"/>
    <n v="1.8"/>
    <n v="3"/>
    <x v="0"/>
    <n v="26.599999999999998"/>
    <n v="431.39"/>
    <m/>
    <x v="0"/>
    <x v="0"/>
    <n v="0"/>
    <n v="0"/>
    <x v="0"/>
    <x v="0"/>
    <m/>
    <x v="0"/>
    <x v="0"/>
    <x v="0"/>
    <x v="15"/>
    <x v="0"/>
    <n v="80"/>
    <n v="1.3333333333333333"/>
    <n v="1.3333333333333333"/>
    <n v="10.666666666666666"/>
    <x v="1"/>
    <x v="0"/>
    <m/>
    <x v="0"/>
    <n v="33.4"/>
    <x v="0"/>
    <x v="19"/>
    <x v="9"/>
    <x v="0"/>
    <x v="0"/>
  </r>
  <r>
    <x v="0"/>
    <x v="14"/>
    <s v="269 R"/>
    <x v="196"/>
    <s v="ریفلیکٹ پیک"/>
    <s v="LDN"/>
    <n v="35"/>
    <s v="5-5.5"/>
    <s v="LDN"/>
    <n v="10000"/>
    <x v="0"/>
    <n v="12"/>
    <n v="988.4"/>
    <n v="52.800000000000004"/>
    <m/>
    <x v="0"/>
    <n v="935.6"/>
    <n v="10034.49"/>
    <m/>
    <x v="0"/>
    <x v="0"/>
    <n v="0"/>
    <n v="0"/>
    <x v="0"/>
    <x v="0"/>
    <m/>
    <x v="0"/>
    <x v="0"/>
    <x v="0"/>
    <x v="0"/>
    <x v="0"/>
    <n v="0"/>
    <n v="0"/>
    <n v="0"/>
    <n v="12"/>
    <x v="1"/>
    <x v="0"/>
    <m/>
    <x v="0"/>
    <n v="993.4"/>
    <x v="0"/>
    <x v="19"/>
    <x v="9"/>
    <x v="0"/>
    <x v="0"/>
  </r>
  <r>
    <x v="1"/>
    <x v="14"/>
    <s v="269 R"/>
    <x v="196"/>
    <s v="ریفلیکٹ پیک"/>
    <s v="LDN"/>
    <n v="35"/>
    <s v="5-5.5"/>
    <s v="LDN"/>
    <n v="10000"/>
    <x v="0"/>
    <n v="11"/>
    <n v="880.3"/>
    <n v="48.400000000000006"/>
    <n v="15"/>
    <x v="0"/>
    <n v="831.9"/>
    <n v="10034.49"/>
    <m/>
    <x v="0"/>
    <x v="0"/>
    <n v="0"/>
    <n v="0"/>
    <x v="0"/>
    <x v="0"/>
    <m/>
    <x v="0"/>
    <x v="0"/>
    <x v="0"/>
    <x v="0"/>
    <x v="0"/>
    <n v="0"/>
    <n v="0"/>
    <n v="0"/>
    <n v="12"/>
    <x v="1"/>
    <x v="0"/>
    <m/>
    <x v="0"/>
    <n v="885.3"/>
    <x v="0"/>
    <x v="19"/>
    <x v="9"/>
    <x v="0"/>
    <x v="0"/>
  </r>
  <r>
    <x v="0"/>
    <x v="15"/>
    <s v="2665 F"/>
    <x v="196"/>
    <s v="Usman Amin"/>
    <s v="LDN"/>
    <n v="17"/>
    <s v="7-7.5"/>
    <s v="LDN"/>
    <n v="150"/>
    <x v="0"/>
    <n v="3"/>
    <n v="165.03"/>
    <n v="6.3000000000000007"/>
    <m/>
    <x v="0"/>
    <n v="158.72999999999999"/>
    <n v="158.72999999999999"/>
    <m/>
    <x v="0"/>
    <x v="0"/>
    <n v="0"/>
    <n v="0"/>
    <x v="0"/>
    <x v="0"/>
    <m/>
    <x v="0"/>
    <x v="0"/>
    <x v="0"/>
    <x v="0"/>
    <x v="0"/>
    <n v="0"/>
    <n v="0"/>
    <n v="0"/>
    <n v="12"/>
    <x v="1"/>
    <x v="0"/>
    <m/>
    <x v="0"/>
    <n v="170.03"/>
    <x v="0"/>
    <x v="19"/>
    <x v="9"/>
    <x v="0"/>
    <x v="0"/>
  </r>
  <r>
    <x v="0"/>
    <x v="15"/>
    <s v="2646 F"/>
    <x v="196"/>
    <s v="Usman Amin"/>
    <s v="LDN"/>
    <n v="17.25"/>
    <s v="12"/>
    <s v="LDN"/>
    <n v="500"/>
    <x v="0"/>
    <n v="4"/>
    <n v="237.75"/>
    <n v="8.4"/>
    <n v="4.2"/>
    <x v="0"/>
    <n v="229.35"/>
    <n v="490.1"/>
    <n v="5"/>
    <x v="0"/>
    <x v="0"/>
    <n v="5"/>
    <n v="8.3333333333333329E-2"/>
    <x v="0"/>
    <x v="0"/>
    <m/>
    <x v="0"/>
    <x v="0"/>
    <x v="0"/>
    <x v="0"/>
    <x v="0"/>
    <n v="0"/>
    <n v="0"/>
    <n v="8.3333333333333329E-2"/>
    <n v="11.916666666666666"/>
    <x v="1"/>
    <x v="0"/>
    <m/>
    <x v="0"/>
    <n v="242.75"/>
    <x v="0"/>
    <x v="19"/>
    <x v="9"/>
    <x v="0"/>
    <x v="0"/>
  </r>
  <r>
    <x v="1"/>
    <x v="15"/>
    <s v="2646 F"/>
    <x v="196"/>
    <s v="Usman Amin"/>
    <s v="LDN"/>
    <n v="17.25"/>
    <s v="12"/>
    <s v="LDN"/>
    <n v="500"/>
    <x v="0"/>
    <n v="5"/>
    <n v="269.75"/>
    <n v="9"/>
    <m/>
    <x v="0"/>
    <n v="260.75"/>
    <n v="490.1"/>
    <n v="5"/>
    <x v="0"/>
    <x v="0"/>
    <n v="5"/>
    <n v="8.3333333333333329E-2"/>
    <x v="0"/>
    <x v="0"/>
    <m/>
    <x v="0"/>
    <x v="0"/>
    <x v="0"/>
    <x v="0"/>
    <x v="0"/>
    <n v="0"/>
    <n v="0"/>
    <n v="8.3333333333333329E-2"/>
    <n v="11.916666666666666"/>
    <x v="1"/>
    <x v="0"/>
    <m/>
    <x v="0"/>
    <n v="274.75"/>
    <x v="0"/>
    <x v="19"/>
    <x v="9"/>
    <x v="0"/>
    <x v="0"/>
  </r>
  <r>
    <x v="1"/>
    <x v="15"/>
    <s v="2643 F"/>
    <x v="196"/>
    <s v="Usman Amin"/>
    <s v="LDN"/>
    <n v="17"/>
    <s v="12"/>
    <s v="LDN"/>
    <n v="500"/>
    <x v="0"/>
    <n v="2"/>
    <n v="165.41"/>
    <n v="4.4000000000000004"/>
    <n v="5"/>
    <x v="0"/>
    <n v="161.01"/>
    <n v="600.44000000000005"/>
    <m/>
    <x v="0"/>
    <x v="0"/>
    <n v="0"/>
    <n v="0"/>
    <x v="0"/>
    <x v="0"/>
    <m/>
    <x v="0"/>
    <x v="0"/>
    <x v="0"/>
    <x v="0"/>
    <x v="0"/>
    <n v="0"/>
    <n v="0"/>
    <n v="0"/>
    <n v="12"/>
    <x v="1"/>
    <x v="0"/>
    <m/>
    <x v="0"/>
    <n v="170.41"/>
    <x v="0"/>
    <x v="19"/>
    <x v="9"/>
    <x v="0"/>
    <x v="0"/>
  </r>
  <r>
    <x v="0"/>
    <x v="9"/>
    <s v="6358 J"/>
    <x v="197"/>
    <s v="Usman Arif Butt Gujranwala"/>
    <s v="LDN"/>
    <n v="2"/>
    <s v="14"/>
    <s v="LDN"/>
    <n v="1000"/>
    <x v="0"/>
    <n v="2"/>
    <n v="43.2"/>
    <n v="3.4"/>
    <m/>
    <x v="0"/>
    <n v="39.800000000000004"/>
    <n v="1027.6100000000001"/>
    <n v="5"/>
    <x v="0"/>
    <x v="0"/>
    <n v="5"/>
    <n v="8.3333333333333329E-2"/>
    <x v="0"/>
    <x v="0"/>
    <m/>
    <x v="0"/>
    <x v="0"/>
    <x v="0"/>
    <x v="0"/>
    <x v="0"/>
    <n v="0"/>
    <n v="0"/>
    <n v="8.3333333333333329E-2"/>
    <n v="11.916666666666666"/>
    <x v="1"/>
    <x v="0"/>
    <m/>
    <x v="0"/>
    <n v="48.2"/>
    <x v="0"/>
    <x v="19"/>
    <x v="9"/>
    <x v="0"/>
    <x v="0"/>
  </r>
  <r>
    <x v="0"/>
    <x v="9"/>
    <s v="6405 J"/>
    <x v="197"/>
    <s v="Atlas Honda LTD (SKP)"/>
    <s v="LDN"/>
    <n v="8"/>
    <s v="8.5-9"/>
    <s v="LDN"/>
    <n v="120.48907882241214"/>
    <x v="0"/>
    <n v="2"/>
    <n v="75.2"/>
    <n v="2"/>
    <n v="3"/>
    <x v="0"/>
    <n v="73.2"/>
    <n v="136.19999999999999"/>
    <m/>
    <x v="0"/>
    <x v="0"/>
    <n v="0"/>
    <n v="0"/>
    <x v="0"/>
    <x v="0"/>
    <m/>
    <x v="0"/>
    <x v="0"/>
    <x v="0"/>
    <x v="0"/>
    <x v="0"/>
    <n v="0"/>
    <n v="0"/>
    <n v="0"/>
    <n v="12"/>
    <x v="1"/>
    <x v="0"/>
    <m/>
    <x v="0"/>
    <n v="80.2"/>
    <x v="0"/>
    <x v="19"/>
    <x v="9"/>
    <x v="0"/>
    <x v="0"/>
  </r>
  <r>
    <x v="1"/>
    <x v="9"/>
    <s v="6405 J"/>
    <x v="197"/>
    <s v="Atlas Honda LTD (SKP)"/>
    <s v="LDN"/>
    <n v="8"/>
    <s v="8.5-9"/>
    <s v="LDN"/>
    <n v="120.48907882241214"/>
    <x v="0"/>
    <n v="2"/>
    <n v="65"/>
    <n v="2"/>
    <m/>
    <x v="0"/>
    <n v="63"/>
    <n v="136.19999999999999"/>
    <m/>
    <x v="0"/>
    <x v="0"/>
    <n v="0"/>
    <n v="0"/>
    <x v="0"/>
    <x v="0"/>
    <m/>
    <x v="0"/>
    <x v="0"/>
    <x v="0"/>
    <x v="0"/>
    <x v="0"/>
    <n v="0"/>
    <n v="0"/>
    <n v="0"/>
    <n v="12"/>
    <x v="1"/>
    <x v="0"/>
    <m/>
    <x v="0"/>
    <n v="70"/>
    <x v="0"/>
    <x v="19"/>
    <x v="9"/>
    <x v="0"/>
    <x v="0"/>
  </r>
  <r>
    <x v="1"/>
    <x v="9"/>
    <s v="6376 J"/>
    <x v="197"/>
    <s v="Shah Jee Achar Mardan"/>
    <s v="LDN"/>
    <n v="7"/>
    <s v="18"/>
    <s v="LDN"/>
    <n v="100"/>
    <x v="0"/>
    <n v="3"/>
    <n v="143.10000000000002"/>
    <n v="2.0999999999999996"/>
    <m/>
    <x v="0"/>
    <n v="141.00000000000003"/>
    <n v="141.00000000000003"/>
    <m/>
    <x v="0"/>
    <x v="0"/>
    <n v="0"/>
    <n v="0"/>
    <x v="0"/>
    <x v="0"/>
    <m/>
    <x v="0"/>
    <x v="0"/>
    <x v="0"/>
    <x v="0"/>
    <x v="0"/>
    <n v="0"/>
    <n v="0"/>
    <n v="0"/>
    <n v="12"/>
    <x v="1"/>
    <x v="0"/>
    <m/>
    <x v="0"/>
    <n v="148.10000000000002"/>
    <x v="0"/>
    <x v="19"/>
    <x v="9"/>
    <x v="0"/>
    <x v="0"/>
  </r>
  <r>
    <x v="0"/>
    <x v="11"/>
    <s v="271 R"/>
    <x v="197"/>
    <s v="ریفلیکٹ پیک"/>
    <s v="LDN"/>
    <n v="23"/>
    <s v="18-19"/>
    <s v="LDN"/>
    <n v="2000"/>
    <x v="0"/>
    <n v="2"/>
    <n v="238.2"/>
    <n v="5.2"/>
    <m/>
    <x v="0"/>
    <n v="233"/>
    <n v="1979.5800000000002"/>
    <m/>
    <x v="0"/>
    <x v="0"/>
    <n v="0"/>
    <n v="0"/>
    <x v="0"/>
    <x v="0"/>
    <n v="540"/>
    <x v="0"/>
    <x v="0"/>
    <x v="0"/>
    <x v="0"/>
    <x v="0"/>
    <n v="540"/>
    <n v="9"/>
    <n v="9"/>
    <n v="3"/>
    <x v="1"/>
    <x v="0"/>
    <m/>
    <x v="0"/>
    <n v="243.2"/>
    <x v="0"/>
    <x v="19"/>
    <x v="9"/>
    <x v="0"/>
    <x v="0"/>
  </r>
  <r>
    <x v="1"/>
    <x v="11"/>
    <s v="2813/3"/>
    <x v="197"/>
    <s v="PLASTIC PT-02"/>
    <s v="LDN"/>
    <n v="18"/>
    <n v="14"/>
    <s v="LDN"/>
    <n v="1000"/>
    <x v="0"/>
    <n v="2"/>
    <n v="121.80000000000001"/>
    <n v="4.0999999999999996"/>
    <m/>
    <x v="0"/>
    <n v="117.70000000000002"/>
    <n v="1350.8500000000001"/>
    <m/>
    <x v="0"/>
    <x v="0"/>
    <n v="0"/>
    <n v="0"/>
    <x v="0"/>
    <x v="0"/>
    <m/>
    <x v="0"/>
    <x v="0"/>
    <x v="0"/>
    <x v="0"/>
    <x v="0"/>
    <n v="0"/>
    <n v="0"/>
    <n v="0"/>
    <n v="12"/>
    <x v="1"/>
    <x v="0"/>
    <m/>
    <x v="0"/>
    <n v="126.80000000000001"/>
    <x v="0"/>
    <x v="19"/>
    <x v="9"/>
    <x v="0"/>
    <x v="0"/>
  </r>
  <r>
    <x v="1"/>
    <x v="11"/>
    <s v="270 R"/>
    <x v="197"/>
    <s v="ریفلیکٹ پیک"/>
    <s v="LDN"/>
    <n v="18"/>
    <s v="13-14"/>
    <s v="LDN"/>
    <n v="2000"/>
    <x v="0"/>
    <n v="2"/>
    <n v="183.3"/>
    <n v="4.2"/>
    <m/>
    <x v="0"/>
    <n v="179.10000000000002"/>
    <n v="2066.59"/>
    <m/>
    <x v="0"/>
    <x v="0"/>
    <n v="0"/>
    <n v="0"/>
    <x v="0"/>
    <x v="0"/>
    <m/>
    <x v="0"/>
    <x v="0"/>
    <x v="0"/>
    <x v="0"/>
    <x v="0"/>
    <n v="0"/>
    <n v="0"/>
    <n v="0"/>
    <n v="12"/>
    <x v="1"/>
    <x v="0"/>
    <m/>
    <x v="0"/>
    <n v="188.3"/>
    <x v="0"/>
    <x v="19"/>
    <x v="9"/>
    <x v="0"/>
    <x v="0"/>
  </r>
  <r>
    <x v="0"/>
    <x v="13"/>
    <s v="2643 F"/>
    <x v="197"/>
    <s v="Usman Amin"/>
    <s v="LDN"/>
    <n v="17"/>
    <s v="12"/>
    <s v="LDN"/>
    <n v="500"/>
    <x v="0"/>
    <n v="2"/>
    <n v="157.89999999999998"/>
    <n v="4.2"/>
    <n v="9"/>
    <x v="0"/>
    <n v="153.69999999999999"/>
    <n v="600.44000000000005"/>
    <n v="5"/>
    <x v="0"/>
    <x v="0"/>
    <n v="5"/>
    <n v="8.3333333333333329E-2"/>
    <x v="0"/>
    <x v="0"/>
    <m/>
    <x v="0"/>
    <x v="0"/>
    <x v="0"/>
    <x v="0"/>
    <x v="0"/>
    <n v="0"/>
    <n v="0"/>
    <n v="8.3333333333333329E-2"/>
    <n v="11.916666666666666"/>
    <x v="1"/>
    <x v="0"/>
    <m/>
    <x v="0"/>
    <n v="162.89999999999998"/>
    <x v="0"/>
    <x v="19"/>
    <x v="9"/>
    <x v="0"/>
    <x v="0"/>
  </r>
  <r>
    <x v="0"/>
    <x v="13"/>
    <s v="2677 F"/>
    <x v="197"/>
    <s v="Usman Amin"/>
    <s v="LDN"/>
    <n v="16.75"/>
    <s v="8-8.5"/>
    <s v="LDN"/>
    <n v="300"/>
    <x v="0"/>
    <n v="3"/>
    <n v="188.5"/>
    <n v="6"/>
    <m/>
    <x v="0"/>
    <n v="182.5"/>
    <n v="526.5"/>
    <n v="5"/>
    <x v="0"/>
    <x v="0"/>
    <n v="5"/>
    <n v="8.3333333333333329E-2"/>
    <x v="0"/>
    <x v="0"/>
    <m/>
    <x v="0"/>
    <x v="0"/>
    <x v="0"/>
    <x v="0"/>
    <x v="0"/>
    <n v="0"/>
    <n v="0"/>
    <n v="8.3333333333333329E-2"/>
    <n v="11.916666666666666"/>
    <x v="1"/>
    <x v="0"/>
    <m/>
    <x v="0"/>
    <n v="193.5"/>
    <x v="0"/>
    <x v="19"/>
    <x v="9"/>
    <x v="0"/>
    <x v="0"/>
  </r>
  <r>
    <x v="1"/>
    <x v="13"/>
    <s v="2677 F"/>
    <x v="197"/>
    <s v="Usman Amin"/>
    <s v="LDN"/>
    <n v="16.75"/>
    <s v="8-8.5"/>
    <s v="LDN"/>
    <n v="300"/>
    <x v="0"/>
    <n v="5"/>
    <n v="354.5"/>
    <n v="10.5"/>
    <m/>
    <x v="0"/>
    <n v="344"/>
    <n v="526.5"/>
    <m/>
    <x v="0"/>
    <x v="0"/>
    <n v="0"/>
    <n v="0"/>
    <x v="0"/>
    <x v="0"/>
    <m/>
    <x v="0"/>
    <x v="0"/>
    <x v="0"/>
    <x v="0"/>
    <x v="0"/>
    <n v="0"/>
    <n v="0"/>
    <n v="0"/>
    <n v="12"/>
    <x v="1"/>
    <x v="0"/>
    <m/>
    <x v="0"/>
    <n v="359.5"/>
    <x v="0"/>
    <x v="19"/>
    <x v="9"/>
    <x v="0"/>
    <x v="0"/>
  </r>
  <r>
    <x v="0"/>
    <x v="14"/>
    <s v="269 R"/>
    <x v="197"/>
    <s v="ریفلیکٹ پیک"/>
    <s v="LDN"/>
    <n v="35"/>
    <s v="5-5.5"/>
    <s v="LDN"/>
    <n v="10000"/>
    <x v="0"/>
    <n v="4"/>
    <n v="352.9"/>
    <n v="14.8"/>
    <m/>
    <x v="0"/>
    <n v="338.09999999999997"/>
    <n v="10034.49"/>
    <m/>
    <x v="0"/>
    <x v="0"/>
    <n v="0"/>
    <n v="0"/>
    <x v="0"/>
    <x v="0"/>
    <n v="25"/>
    <x v="0"/>
    <x v="0"/>
    <x v="0"/>
    <x v="0"/>
    <x v="0"/>
    <n v="25"/>
    <n v="0.41666666666666669"/>
    <n v="0.41666666666666669"/>
    <n v="11.583333333333334"/>
    <x v="1"/>
    <x v="0"/>
    <m/>
    <x v="0"/>
    <n v="357.9"/>
    <x v="0"/>
    <x v="19"/>
    <x v="9"/>
    <x v="0"/>
    <x v="0"/>
  </r>
  <r>
    <x v="0"/>
    <x v="14"/>
    <s v="6038 J"/>
    <x v="197"/>
    <s v="Waseem Shoper House Lahore"/>
    <s v="LDN"/>
    <n v="35"/>
    <s v="-"/>
    <s v="LDN"/>
    <n v="360"/>
    <x v="0"/>
    <n v="4"/>
    <n v="380.20000000000005"/>
    <n v="18.399999999999999"/>
    <n v="37"/>
    <x v="0"/>
    <n v="361.80000000000007"/>
    <n v="714.40000000000009"/>
    <m/>
    <x v="0"/>
    <x v="0"/>
    <n v="0"/>
    <n v="0"/>
    <x v="0"/>
    <x v="0"/>
    <m/>
    <x v="0"/>
    <x v="0"/>
    <x v="0"/>
    <x v="0"/>
    <x v="0"/>
    <n v="0"/>
    <n v="0"/>
    <n v="0"/>
    <n v="12"/>
    <x v="1"/>
    <x v="0"/>
    <m/>
    <x v="0"/>
    <n v="385.20000000000005"/>
    <x v="0"/>
    <x v="19"/>
    <x v="9"/>
    <x v="0"/>
    <x v="0"/>
  </r>
  <r>
    <x v="1"/>
    <x v="14"/>
    <s v="271 R"/>
    <x v="197"/>
    <s v="ریفلیکٹ پیک"/>
    <s v="LDN"/>
    <n v="23"/>
    <s v="18-19"/>
    <s v="LDN"/>
    <n v="2000"/>
    <x v="0"/>
    <n v="5"/>
    <n v="674.14"/>
    <n v="13"/>
    <m/>
    <x v="0"/>
    <n v="661.14"/>
    <n v="1979.5800000000002"/>
    <n v="10"/>
    <x v="0"/>
    <x v="0"/>
    <n v="10"/>
    <n v="0.16666666666666666"/>
    <x v="0"/>
    <x v="0"/>
    <m/>
    <x v="0"/>
    <x v="0"/>
    <x v="0"/>
    <x v="0"/>
    <x v="0"/>
    <n v="0"/>
    <n v="0"/>
    <n v="0.16666666666666666"/>
    <n v="11.833333333333334"/>
    <x v="1"/>
    <x v="0"/>
    <m/>
    <x v="0"/>
    <n v="679.14"/>
    <x v="0"/>
    <x v="19"/>
    <x v="9"/>
    <x v="0"/>
    <x v="0"/>
  </r>
  <r>
    <x v="0"/>
    <x v="15"/>
    <s v="6331 J"/>
    <x v="197"/>
    <s v="Airy Food Gujranwala"/>
    <s v="LDN"/>
    <n v="24"/>
    <s v="-"/>
    <s v="LDN"/>
    <n v="700"/>
    <x v="0"/>
    <n v="3"/>
    <n v="331.51"/>
    <n v="8.6999999999999993"/>
    <m/>
    <x v="0"/>
    <n v="322.81"/>
    <n v="699.93000000000006"/>
    <n v="5"/>
    <x v="0"/>
    <x v="0"/>
    <n v="5"/>
    <n v="8.3333333333333329E-2"/>
    <x v="0"/>
    <x v="0"/>
    <m/>
    <x v="0"/>
    <x v="0"/>
    <x v="0"/>
    <x v="0"/>
    <x v="0"/>
    <n v="0"/>
    <n v="0"/>
    <n v="8.3333333333333329E-2"/>
    <n v="11.916666666666666"/>
    <x v="1"/>
    <x v="0"/>
    <m/>
    <x v="0"/>
    <n v="336.51"/>
    <x v="0"/>
    <x v="19"/>
    <x v="9"/>
    <x v="0"/>
    <x v="0"/>
  </r>
  <r>
    <x v="0"/>
    <x v="15"/>
    <s v="6404 J"/>
    <x v="197"/>
    <s v="Atlas Honda LTD (SKP)"/>
    <s v="LDN"/>
    <n v="24"/>
    <s v="8.5-9"/>
    <s v="LDN"/>
    <n v="149.57264957264957"/>
    <x v="0"/>
    <n v="3"/>
    <n v="164.9"/>
    <n v="8.6999999999999993"/>
    <n v="9.5"/>
    <x v="0"/>
    <n v="156.20000000000002"/>
    <n v="156.20000000000002"/>
    <n v="5"/>
    <x v="0"/>
    <x v="0"/>
    <n v="5"/>
    <n v="8.3333333333333329E-2"/>
    <x v="0"/>
    <x v="0"/>
    <m/>
    <x v="0"/>
    <x v="0"/>
    <x v="0"/>
    <x v="0"/>
    <x v="0"/>
    <n v="0"/>
    <n v="0"/>
    <n v="8.3333333333333329E-2"/>
    <n v="11.916666666666666"/>
    <x v="1"/>
    <x v="0"/>
    <m/>
    <x v="0"/>
    <n v="169.9"/>
    <x v="0"/>
    <x v="19"/>
    <x v="9"/>
    <x v="0"/>
    <x v="0"/>
  </r>
  <r>
    <x v="1"/>
    <x v="15"/>
    <s v="6406 J"/>
    <x v="197"/>
    <s v="Atlas Honda LTD (SKP)"/>
    <s v="LDN"/>
    <n v="26"/>
    <s v="8.5-9"/>
    <s v="LDN"/>
    <n v="74.266975308641975"/>
    <x v="0"/>
    <n v="2"/>
    <n v="152.42000000000002"/>
    <n v="6"/>
    <m/>
    <x v="0"/>
    <n v="146.42000000000002"/>
    <n v="146.42000000000002"/>
    <m/>
    <x v="0"/>
    <x v="0"/>
    <n v="0"/>
    <n v="0"/>
    <x v="0"/>
    <x v="0"/>
    <m/>
    <x v="0"/>
    <x v="0"/>
    <x v="0"/>
    <x v="0"/>
    <x v="0"/>
    <n v="0"/>
    <n v="0"/>
    <n v="0"/>
    <n v="12"/>
    <x v="1"/>
    <x v="0"/>
    <m/>
    <x v="0"/>
    <n v="157.42000000000002"/>
    <x v="0"/>
    <x v="19"/>
    <x v="9"/>
    <x v="0"/>
    <x v="0"/>
  </r>
  <r>
    <x v="1"/>
    <x v="15"/>
    <s v="6271 J"/>
    <x v="197"/>
    <s v="Irfan Sab Azam Market Lahore "/>
    <s v="LDN"/>
    <n v="26"/>
    <s v="6-6.5"/>
    <s v="LDN"/>
    <n v="330"/>
    <x v="0"/>
    <n v="6"/>
    <n v="334.62"/>
    <n v="18"/>
    <m/>
    <x v="0"/>
    <n v="316.62"/>
    <n v="316.62"/>
    <m/>
    <x v="0"/>
    <x v="0"/>
    <n v="0"/>
    <n v="0"/>
    <x v="0"/>
    <x v="0"/>
    <m/>
    <x v="0"/>
    <x v="0"/>
    <x v="0"/>
    <x v="0"/>
    <x v="0"/>
    <n v="0"/>
    <n v="0"/>
    <n v="0"/>
    <n v="12"/>
    <x v="1"/>
    <x v="0"/>
    <m/>
    <x v="0"/>
    <n v="339.62"/>
    <x v="0"/>
    <x v="19"/>
    <x v="9"/>
    <x v="0"/>
    <x v="0"/>
  </r>
  <r>
    <x v="1"/>
    <x v="15"/>
    <s v="6257 J"/>
    <x v="197"/>
    <s v="Irfan Sab Azam Market Lahore "/>
    <s v="LDN"/>
    <n v="25"/>
    <s v="12"/>
    <s v="LDN"/>
    <n v="100"/>
    <x v="0"/>
    <n v="1"/>
    <n v="63"/>
    <n v="2.5"/>
    <m/>
    <x v="0"/>
    <n v="60.5"/>
    <n v="112.2"/>
    <m/>
    <x v="0"/>
    <x v="0"/>
    <n v="0"/>
    <n v="0"/>
    <x v="0"/>
    <x v="0"/>
    <m/>
    <x v="0"/>
    <x v="0"/>
    <x v="0"/>
    <x v="0"/>
    <x v="0"/>
    <n v="0"/>
    <n v="0"/>
    <n v="0"/>
    <n v="12"/>
    <x v="1"/>
    <x v="0"/>
    <m/>
    <x v="0"/>
    <n v="68"/>
    <x v="0"/>
    <x v="19"/>
    <x v="9"/>
    <x v="0"/>
    <x v="0"/>
  </r>
  <r>
    <x v="0"/>
    <x v="9"/>
    <s v="6375 J"/>
    <x v="198"/>
    <s v="Shah Jee Achar Mardan"/>
    <s v="LDN"/>
    <n v="6"/>
    <s v="18"/>
    <s v="LDN"/>
    <n v="200"/>
    <x v="0"/>
    <n v="3"/>
    <n v="141.19999999999999"/>
    <n v="2.4000000000000004"/>
    <n v="1.1110082571185249"/>
    <x v="0"/>
    <n v="138.79999999999998"/>
    <n v="167.1"/>
    <m/>
    <x v="0"/>
    <x v="0"/>
    <n v="0"/>
    <n v="0"/>
    <x v="0"/>
    <x v="0"/>
    <m/>
    <x v="0"/>
    <x v="0"/>
    <x v="0"/>
    <x v="0"/>
    <x v="0"/>
    <n v="0"/>
    <n v="0"/>
    <n v="0"/>
    <n v="12"/>
    <x v="1"/>
    <x v="0"/>
    <m/>
    <x v="0"/>
    <n v="146.19999999999999"/>
    <x v="0"/>
    <x v="19"/>
    <x v="9"/>
    <x v="0"/>
    <x v="0"/>
  </r>
  <r>
    <x v="1"/>
    <x v="9"/>
    <s v="6375 J"/>
    <x v="198"/>
    <s v="Shah Jee Achar Mardan"/>
    <s v="LDN"/>
    <n v="6"/>
    <s v="18"/>
    <s v="LDN"/>
    <n v="200"/>
    <x v="0"/>
    <n v="1"/>
    <n v="29.1"/>
    <n v="0.8"/>
    <n v="0.22896841559595663"/>
    <x v="0"/>
    <n v="28.3"/>
    <n v="167.1"/>
    <m/>
    <x v="0"/>
    <x v="0"/>
    <n v="0"/>
    <n v="0"/>
    <x v="0"/>
    <x v="0"/>
    <m/>
    <x v="0"/>
    <x v="0"/>
    <x v="0"/>
    <x v="0"/>
    <x v="0"/>
    <n v="0"/>
    <n v="0"/>
    <n v="0"/>
    <n v="12"/>
    <x v="1"/>
    <x v="0"/>
    <m/>
    <x v="0"/>
    <n v="34.1"/>
    <x v="0"/>
    <x v="19"/>
    <x v="9"/>
    <x v="0"/>
    <x v="0"/>
  </r>
  <r>
    <x v="1"/>
    <x v="9"/>
    <s v="6438 J"/>
    <x v="198"/>
    <s v="Atlas Honda LTD (SKP)"/>
    <s v="LDN"/>
    <n v="8"/>
    <s v="8.5-9"/>
    <s v="LDN"/>
    <n v="240.97815764482428"/>
    <x v="0"/>
    <n v="3"/>
    <n v="176.66"/>
    <n v="3"/>
    <n v="1.3900192542674121"/>
    <x v="0"/>
    <n v="173.66"/>
    <n v="359.57000000000005"/>
    <m/>
    <x v="0"/>
    <x v="0"/>
    <n v="0"/>
    <n v="0"/>
    <x v="0"/>
    <x v="0"/>
    <m/>
    <x v="0"/>
    <x v="0"/>
    <x v="0"/>
    <x v="0"/>
    <x v="0"/>
    <n v="0"/>
    <n v="0"/>
    <n v="0"/>
    <n v="12"/>
    <x v="1"/>
    <x v="0"/>
    <m/>
    <x v="0"/>
    <n v="181.66"/>
    <x v="0"/>
    <x v="19"/>
    <x v="9"/>
    <x v="0"/>
    <x v="0"/>
  </r>
  <r>
    <x v="0"/>
    <x v="11"/>
    <s v="270 R"/>
    <x v="198"/>
    <s v="ریفلیکٹ پیک"/>
    <s v="LDN"/>
    <n v="18"/>
    <s v="13-14"/>
    <s v="LDN"/>
    <n v="2000"/>
    <x v="0"/>
    <n v="4"/>
    <n v="421.09999999999997"/>
    <n v="8.4"/>
    <n v="3.3133539452734477"/>
    <x v="0"/>
    <n v="412.7"/>
    <n v="2066.59"/>
    <m/>
    <x v="0"/>
    <x v="0"/>
    <n v="0"/>
    <n v="0"/>
    <x v="0"/>
    <x v="0"/>
    <m/>
    <x v="0"/>
    <x v="0"/>
    <x v="0"/>
    <x v="0"/>
    <x v="0"/>
    <n v="0"/>
    <n v="0"/>
    <n v="0"/>
    <n v="12"/>
    <x v="1"/>
    <x v="0"/>
    <m/>
    <x v="0"/>
    <n v="426.09999999999997"/>
    <x v="0"/>
    <x v="19"/>
    <x v="9"/>
    <x v="0"/>
    <x v="0"/>
  </r>
  <r>
    <x v="1"/>
    <x v="11"/>
    <s v="270 R"/>
    <x v="198"/>
    <s v="ریفلیکٹ پیک"/>
    <s v="LDN"/>
    <n v="18"/>
    <s v="13-14"/>
    <s v="LDN"/>
    <n v="2000"/>
    <x v="0"/>
    <n v="4"/>
    <n v="413.14"/>
    <n v="8.4"/>
    <n v="3.2507220350279558"/>
    <x v="0"/>
    <n v="404.74"/>
    <n v="2066.59"/>
    <m/>
    <x v="0"/>
    <x v="0"/>
    <n v="0"/>
    <n v="0"/>
    <x v="0"/>
    <x v="0"/>
    <m/>
    <x v="0"/>
    <x v="0"/>
    <x v="0"/>
    <x v="0"/>
    <x v="0"/>
    <n v="0"/>
    <n v="0"/>
    <n v="0"/>
    <n v="12"/>
    <x v="1"/>
    <x v="0"/>
    <m/>
    <x v="0"/>
    <n v="418.14"/>
    <x v="0"/>
    <x v="19"/>
    <x v="9"/>
    <x v="0"/>
    <x v="0"/>
  </r>
  <r>
    <x v="0"/>
    <x v="13"/>
    <s v="2678 F"/>
    <x v="198"/>
    <s v="Usman Amin"/>
    <s v="LDN"/>
    <n v="16.75"/>
    <s v="8-8.5"/>
    <s v="LDN"/>
    <n v="560"/>
    <x v="0"/>
    <n v="5"/>
    <n v="330.73"/>
    <n v="10.5"/>
    <n v="2.6022929240567265"/>
    <x v="0"/>
    <n v="320.23"/>
    <n v="320.23"/>
    <n v="5"/>
    <x v="0"/>
    <x v="0"/>
    <n v="5"/>
    <n v="8.3333333333333329E-2"/>
    <x v="0"/>
    <x v="0"/>
    <m/>
    <x v="0"/>
    <x v="0"/>
    <x v="0"/>
    <x v="0"/>
    <x v="0"/>
    <n v="0"/>
    <n v="0"/>
    <n v="8.3333333333333329E-2"/>
    <n v="11.916666666666666"/>
    <x v="1"/>
    <x v="0"/>
    <m/>
    <x v="0"/>
    <n v="335.73"/>
    <x v="0"/>
    <x v="19"/>
    <x v="9"/>
    <x v="0"/>
    <x v="0"/>
  </r>
  <r>
    <x v="0"/>
    <x v="13"/>
    <s v="2643 F"/>
    <x v="198"/>
    <s v="Usman Amin"/>
    <s v="LDN"/>
    <n v="17"/>
    <s v="12"/>
    <s v="LDN"/>
    <n v="500"/>
    <x v="0"/>
    <n v="1"/>
    <n v="70.900000000000006"/>
    <n v="2.1"/>
    <n v="0.55786462768911771"/>
    <x v="0"/>
    <n v="68.800000000000011"/>
    <n v="600.44000000000005"/>
    <n v="5"/>
    <x v="0"/>
    <x v="0"/>
    <n v="5"/>
    <n v="8.3333333333333329E-2"/>
    <x v="0"/>
    <x v="0"/>
    <m/>
    <x v="0"/>
    <x v="0"/>
    <x v="0"/>
    <x v="0"/>
    <x v="0"/>
    <n v="0"/>
    <n v="0"/>
    <n v="8.3333333333333329E-2"/>
    <n v="11.916666666666666"/>
    <x v="1"/>
    <x v="0"/>
    <m/>
    <x v="0"/>
    <n v="75.900000000000006"/>
    <x v="0"/>
    <x v="19"/>
    <x v="9"/>
    <x v="0"/>
    <x v="0"/>
  </r>
  <r>
    <x v="1"/>
    <x v="13"/>
    <s v="2643 F"/>
    <x v="198"/>
    <s v="Usman Amin"/>
    <s v="LDN"/>
    <n v="17"/>
    <s v="12"/>
    <s v="LDN"/>
    <n v="500"/>
    <x v="0"/>
    <n v="2"/>
    <n v="173.7"/>
    <n v="4.2"/>
    <n v="1.3667289961861739"/>
    <x v="0"/>
    <n v="169.5"/>
    <n v="600.44000000000005"/>
    <m/>
    <x v="0"/>
    <x v="0"/>
    <n v="0"/>
    <n v="0"/>
    <x v="0"/>
    <x v="0"/>
    <m/>
    <x v="0"/>
    <x v="0"/>
    <x v="0"/>
    <x v="0"/>
    <x v="0"/>
    <n v="0"/>
    <n v="0"/>
    <n v="0"/>
    <n v="12"/>
    <x v="1"/>
    <x v="0"/>
    <m/>
    <x v="0"/>
    <n v="178.7"/>
    <x v="0"/>
    <x v="19"/>
    <x v="9"/>
    <x v="0"/>
    <x v="0"/>
  </r>
  <r>
    <x v="1"/>
    <x v="13"/>
    <s v="2640 F"/>
    <x v="198"/>
    <s v="Usman Amin"/>
    <s v="LDN"/>
    <n v="17"/>
    <s v="8.5-9"/>
    <s v="LDN"/>
    <n v="500"/>
    <x v="0"/>
    <n v="3"/>
    <n v="243.39999999999998"/>
    <n v="5.6999999999999993"/>
    <n v="1.9151516273558706"/>
    <x v="0"/>
    <n v="237.7"/>
    <n v="489.74"/>
    <m/>
    <x v="0"/>
    <x v="0"/>
    <n v="0"/>
    <n v="0"/>
    <x v="0"/>
    <x v="0"/>
    <m/>
    <x v="0"/>
    <x v="0"/>
    <x v="0"/>
    <x v="0"/>
    <x v="0"/>
    <n v="0"/>
    <n v="0"/>
    <n v="0"/>
    <n v="12"/>
    <x v="1"/>
    <x v="0"/>
    <m/>
    <x v="0"/>
    <n v="248.39999999999998"/>
    <x v="0"/>
    <x v="19"/>
    <x v="9"/>
    <x v="0"/>
    <x v="0"/>
  </r>
  <r>
    <x v="0"/>
    <x v="14"/>
    <s v="271 R"/>
    <x v="198"/>
    <s v="ریفلیکٹ پیک"/>
    <s v="LDN"/>
    <n v="23"/>
    <s v="18-19"/>
    <s v="LDN"/>
    <n v="2000"/>
    <x v="0"/>
    <n v="5"/>
    <n v="769.1"/>
    <n v="14"/>
    <n v="6.0515329359055068"/>
    <x v="0"/>
    <n v="755.1"/>
    <n v="1979.5800000000002"/>
    <m/>
    <x v="0"/>
    <x v="0"/>
    <n v="0"/>
    <n v="0"/>
    <x v="0"/>
    <x v="0"/>
    <m/>
    <x v="0"/>
    <x v="0"/>
    <x v="0"/>
    <x v="0"/>
    <x v="0"/>
    <n v="0"/>
    <n v="0"/>
    <n v="0"/>
    <n v="12"/>
    <x v="1"/>
    <x v="0"/>
    <m/>
    <x v="0"/>
    <n v="774.1"/>
    <x v="0"/>
    <x v="19"/>
    <x v="9"/>
    <x v="0"/>
    <x v="0"/>
  </r>
  <r>
    <x v="1"/>
    <x v="14"/>
    <s v="271 R"/>
    <x v="198"/>
    <s v="ریفلیکٹ پیک"/>
    <s v="LDN"/>
    <n v="23"/>
    <s v="18-19"/>
    <s v="LDN"/>
    <n v="2000"/>
    <x v="0"/>
    <n v="1"/>
    <n v="153.84"/>
    <n v="2.6"/>
    <n v="1.2104639537897584"/>
    <x v="0"/>
    <n v="151.24"/>
    <n v="1979.5800000000002"/>
    <m/>
    <x v="0"/>
    <x v="0"/>
    <n v="0"/>
    <n v="0"/>
    <x v="0"/>
    <x v="0"/>
    <m/>
    <x v="0"/>
    <x v="0"/>
    <x v="0"/>
    <x v="0"/>
    <x v="0"/>
    <n v="0"/>
    <n v="0"/>
    <n v="0"/>
    <n v="12"/>
    <x v="1"/>
    <x v="0"/>
    <m/>
    <x v="0"/>
    <n v="158.84"/>
    <x v="0"/>
    <x v="19"/>
    <x v="9"/>
    <x v="0"/>
    <x v="0"/>
  </r>
  <r>
    <x v="1"/>
    <x v="14"/>
    <s v="2672 F"/>
    <x v="198"/>
    <s v="Usman Amin"/>
    <s v="LDN"/>
    <n v="30"/>
    <s v="7-7.5"/>
    <s v="LDN"/>
    <n v="135"/>
    <x v="0"/>
    <n v="2"/>
    <n v="146.85"/>
    <n v="6.8"/>
    <n v="1.1554643240641316"/>
    <x v="0"/>
    <n v="140.04999999999998"/>
    <n v="140.04999999999998"/>
    <m/>
    <x v="0"/>
    <x v="0"/>
    <n v="0"/>
    <n v="0"/>
    <x v="0"/>
    <x v="0"/>
    <m/>
    <x v="0"/>
    <x v="0"/>
    <x v="0"/>
    <x v="0"/>
    <x v="0"/>
    <n v="0"/>
    <n v="0"/>
    <n v="0"/>
    <n v="12"/>
    <x v="1"/>
    <x v="0"/>
    <m/>
    <x v="0"/>
    <n v="151.85"/>
    <x v="0"/>
    <x v="19"/>
    <x v="9"/>
    <x v="0"/>
    <x v="0"/>
  </r>
  <r>
    <x v="1"/>
    <x v="14"/>
    <s v="6437 J"/>
    <x v="198"/>
    <s v="Atlas Honda LTD (SKP)"/>
    <s v="LDN"/>
    <n v="26"/>
    <s v="8.5-9"/>
    <s v="LDN"/>
    <n v="742.66975308641975"/>
    <x v="0"/>
    <n v="5"/>
    <n v="426.81"/>
    <n v="15"/>
    <n v="3.3582821120450257"/>
    <x v="0"/>
    <n v="411.81"/>
    <n v="814.24"/>
    <m/>
    <x v="0"/>
    <x v="0"/>
    <n v="0"/>
    <n v="0"/>
    <x v="0"/>
    <x v="0"/>
    <m/>
    <x v="0"/>
    <x v="0"/>
    <x v="0"/>
    <x v="0"/>
    <x v="0"/>
    <n v="0"/>
    <n v="0"/>
    <n v="0"/>
    <n v="12"/>
    <x v="1"/>
    <x v="0"/>
    <m/>
    <x v="0"/>
    <n v="431.81"/>
    <x v="0"/>
    <x v="19"/>
    <x v="9"/>
    <x v="0"/>
    <x v="0"/>
  </r>
  <r>
    <x v="0"/>
    <x v="15"/>
    <s v="6257 J"/>
    <x v="198"/>
    <s v="Irfan Sab Azam Market Lahore "/>
    <s v="LDN"/>
    <n v="25"/>
    <s v="12"/>
    <s v="LDN"/>
    <n v="100"/>
    <x v="0"/>
    <n v="1"/>
    <n v="54.7"/>
    <n v="3"/>
    <n v="0.43039767467693568"/>
    <x v="0"/>
    <n v="51.7"/>
    <n v="112.2"/>
    <m/>
    <x v="0"/>
    <x v="0"/>
    <n v="0"/>
    <n v="0"/>
    <x v="0"/>
    <x v="0"/>
    <m/>
    <x v="0"/>
    <x v="0"/>
    <x v="0"/>
    <x v="0"/>
    <x v="0"/>
    <n v="0"/>
    <n v="0"/>
    <n v="0"/>
    <n v="12"/>
    <x v="1"/>
    <x v="0"/>
    <m/>
    <x v="0"/>
    <n v="59.7"/>
    <x v="0"/>
    <x v="19"/>
    <x v="9"/>
    <x v="0"/>
    <x v="0"/>
  </r>
  <r>
    <x v="0"/>
    <x v="15"/>
    <s v="6331 J"/>
    <x v="198"/>
    <s v="Airy Food Gujranwala"/>
    <s v="LDN"/>
    <n v="24"/>
    <s v="-"/>
    <s v="LDN"/>
    <n v="700"/>
    <x v="0"/>
    <n v="3"/>
    <n v="297.32"/>
    <n v="8.6999999999999993"/>
    <n v="2.3394120042951827"/>
    <x v="0"/>
    <n v="288.62"/>
    <n v="699.93000000000006"/>
    <m/>
    <x v="0"/>
    <x v="0"/>
    <n v="0"/>
    <n v="0"/>
    <x v="0"/>
    <x v="0"/>
    <m/>
    <x v="0"/>
    <x v="0"/>
    <x v="0"/>
    <x v="0"/>
    <x v="0"/>
    <n v="0"/>
    <n v="0"/>
    <n v="0"/>
    <n v="12"/>
    <x v="1"/>
    <x v="0"/>
    <m/>
    <x v="0"/>
    <n v="302.32"/>
    <x v="0"/>
    <x v="19"/>
    <x v="9"/>
    <x v="0"/>
    <x v="0"/>
  </r>
  <r>
    <x v="0"/>
    <x v="15"/>
    <s v="6442 J"/>
    <x v="198"/>
    <s v="Atlas Honda LTD (SKP)"/>
    <s v="LDN"/>
    <n v="21"/>
    <s v="14-14.5"/>
    <s v="LDN"/>
    <n v="71.047008547008545"/>
    <x v="0"/>
    <n v="2"/>
    <n v="114.02000000000001"/>
    <n v="5.2"/>
    <n v="0.89714703595364176"/>
    <x v="0"/>
    <n v="108.82000000000001"/>
    <n v="108.82000000000001"/>
    <m/>
    <x v="0"/>
    <x v="0"/>
    <n v="0"/>
    <n v="0"/>
    <x v="0"/>
    <x v="0"/>
    <m/>
    <x v="0"/>
    <x v="0"/>
    <x v="0"/>
    <x v="0"/>
    <x v="0"/>
    <n v="0"/>
    <n v="0"/>
    <n v="0"/>
    <n v="12"/>
    <x v="1"/>
    <x v="0"/>
    <m/>
    <x v="0"/>
    <n v="119.02000000000001"/>
    <x v="0"/>
    <x v="19"/>
    <x v="9"/>
    <x v="0"/>
    <x v="0"/>
  </r>
  <r>
    <x v="1"/>
    <x v="15"/>
    <s v="6440 J"/>
    <x v="198"/>
    <s v="Atlas Honda LTD (SKP)"/>
    <s v="LDN"/>
    <n v="19"/>
    <s v="8.5-9"/>
    <s v="LDN"/>
    <n v="138.14696106362771"/>
    <x v="0"/>
    <n v="2"/>
    <n v="155.67000000000002"/>
    <n v="4"/>
    <n v="1.2248629984818753"/>
    <x v="0"/>
    <n v="151.67000000000002"/>
    <n v="151.67000000000002"/>
    <n v="5"/>
    <x v="0"/>
    <x v="0"/>
    <n v="5"/>
    <n v="8.3333333333333329E-2"/>
    <x v="0"/>
    <x v="0"/>
    <m/>
    <x v="0"/>
    <x v="0"/>
    <x v="0"/>
    <x v="0"/>
    <x v="0"/>
    <n v="0"/>
    <n v="0"/>
    <n v="8.3333333333333329E-2"/>
    <n v="11.916666666666666"/>
    <x v="1"/>
    <x v="0"/>
    <m/>
    <x v="0"/>
    <n v="160.67000000000002"/>
    <x v="0"/>
    <x v="19"/>
    <x v="9"/>
    <x v="0"/>
    <x v="0"/>
  </r>
  <r>
    <x v="1"/>
    <x v="15"/>
    <s v="2679 F"/>
    <x v="198"/>
    <s v="Usman Amin"/>
    <s v="LDN"/>
    <n v="19"/>
    <s v="7-7.5"/>
    <s v="LDN"/>
    <n v="95"/>
    <x v="0"/>
    <n v="2"/>
    <n v="99.36"/>
    <n v="3.6"/>
    <n v="0.78179731180804979"/>
    <x v="0"/>
    <n v="95.76"/>
    <n v="188.31"/>
    <n v="5"/>
    <x v="0"/>
    <x v="0"/>
    <n v="5"/>
    <n v="8.3333333333333329E-2"/>
    <x v="0"/>
    <x v="0"/>
    <m/>
    <x v="0"/>
    <x v="0"/>
    <x v="0"/>
    <x v="0"/>
    <x v="0"/>
    <n v="0"/>
    <n v="0"/>
    <n v="8.3333333333333329E-2"/>
    <n v="11.916666666666666"/>
    <x v="1"/>
    <x v="0"/>
    <m/>
    <x v="0"/>
    <n v="104.36"/>
    <x v="0"/>
    <x v="19"/>
    <x v="9"/>
    <x v="0"/>
    <x v="0"/>
  </r>
  <r>
    <x v="1"/>
    <x v="15"/>
    <s v="6434 J"/>
    <x v="198"/>
    <s v="Atlas Honda LTD (SKP)"/>
    <s v="LDN"/>
    <n v="16"/>
    <s v="14-14.5"/>
    <s v="LDN"/>
    <n v="40.598290598290596"/>
    <x v="0"/>
    <n v="2"/>
    <n v="103.52"/>
    <n v="3.2"/>
    <n v="0.81452956640870888"/>
    <x v="0"/>
    <n v="100.32"/>
    <n v="100.32"/>
    <m/>
    <x v="0"/>
    <x v="0"/>
    <n v="0"/>
    <n v="0"/>
    <x v="0"/>
    <x v="0"/>
    <m/>
    <x v="0"/>
    <x v="0"/>
    <x v="0"/>
    <x v="0"/>
    <x v="0"/>
    <n v="0"/>
    <n v="0"/>
    <n v="0"/>
    <n v="12"/>
    <x v="1"/>
    <x v="0"/>
    <m/>
    <x v="0"/>
    <n v="108.52"/>
    <x v="0"/>
    <x v="19"/>
    <x v="9"/>
    <x v="0"/>
    <x v="0"/>
  </r>
  <r>
    <x v="0"/>
    <x v="9"/>
    <s v="6438 J"/>
    <x v="199"/>
    <s v="Atlas Honda LTD (SKP)"/>
    <s v="LDN"/>
    <n v="8"/>
    <s v="8.5-9"/>
    <s v="LDN"/>
    <n v="240.97815764482428"/>
    <x v="0"/>
    <n v="4"/>
    <n v="189.11"/>
    <n v="3.2"/>
    <n v="4"/>
    <x v="0"/>
    <n v="185.91000000000003"/>
    <n v="359.57000000000005"/>
    <n v="5"/>
    <x v="0"/>
    <x v="0"/>
    <n v="5"/>
    <n v="8.3333333333333329E-2"/>
    <x v="0"/>
    <x v="0"/>
    <m/>
    <x v="0"/>
    <x v="0"/>
    <x v="0"/>
    <x v="0"/>
    <x v="0"/>
    <n v="0"/>
    <n v="0"/>
    <n v="8.3333333333333329E-2"/>
    <n v="11.916666666666666"/>
    <x v="1"/>
    <x v="0"/>
    <m/>
    <x v="0"/>
    <n v="194.11"/>
    <x v="0"/>
    <x v="19"/>
    <x v="9"/>
    <x v="0"/>
    <x v="0"/>
  </r>
  <r>
    <x v="0"/>
    <x v="9"/>
    <s v="6358 J"/>
    <x v="199"/>
    <s v="Usman Arif Butt Gujranwala"/>
    <s v="LDN"/>
    <n v="2"/>
    <s v="14"/>
    <s v="LDN"/>
    <n v="1000"/>
    <x v="0"/>
    <n v="2"/>
    <n v="38"/>
    <n v="3.4"/>
    <m/>
    <x v="0"/>
    <n v="34.6"/>
    <n v="1027.6100000000001"/>
    <m/>
    <x v="0"/>
    <x v="0"/>
    <n v="0"/>
    <n v="0"/>
    <x v="0"/>
    <x v="0"/>
    <m/>
    <x v="0"/>
    <x v="0"/>
    <x v="0"/>
    <x v="0"/>
    <x v="0"/>
    <n v="0"/>
    <n v="0"/>
    <n v="0"/>
    <n v="12"/>
    <x v="1"/>
    <x v="0"/>
    <m/>
    <x v="0"/>
    <n v="43"/>
    <x v="0"/>
    <x v="19"/>
    <x v="9"/>
    <x v="0"/>
    <x v="0"/>
  </r>
  <r>
    <x v="1"/>
    <x v="9"/>
    <s v="6358 J"/>
    <x v="199"/>
    <s v="Usman Arif Butt Gujranwala"/>
    <s v="LDN"/>
    <n v="2"/>
    <s v="14"/>
    <s v="LDN"/>
    <n v="1000"/>
    <x v="0"/>
    <n v="3"/>
    <n v="82.5"/>
    <n v="5.0999999999999996"/>
    <m/>
    <x v="0"/>
    <n v="77.400000000000006"/>
    <n v="1027.6100000000001"/>
    <m/>
    <x v="0"/>
    <x v="0"/>
    <n v="0"/>
    <n v="0"/>
    <x v="0"/>
    <x v="0"/>
    <m/>
    <x v="0"/>
    <x v="0"/>
    <x v="0"/>
    <x v="0"/>
    <x v="0"/>
    <n v="0"/>
    <n v="0"/>
    <n v="0"/>
    <n v="12"/>
    <x v="1"/>
    <x v="0"/>
    <m/>
    <x v="0"/>
    <n v="87.5"/>
    <x v="0"/>
    <x v="19"/>
    <x v="9"/>
    <x v="0"/>
    <x v="0"/>
  </r>
  <r>
    <x v="0"/>
    <x v="11"/>
    <s v="270 R"/>
    <x v="199"/>
    <s v="ریفلیکٹ پیک"/>
    <s v="LDN"/>
    <n v="18"/>
    <s v="13-14"/>
    <s v="LDN"/>
    <n v="2000"/>
    <x v="0"/>
    <n v="5"/>
    <n v="442.35"/>
    <n v="10.5"/>
    <m/>
    <x v="0"/>
    <n v="431.85"/>
    <n v="2066.59"/>
    <m/>
    <x v="0"/>
    <x v="0"/>
    <n v="0"/>
    <n v="0"/>
    <x v="0"/>
    <x v="0"/>
    <m/>
    <x v="0"/>
    <x v="0"/>
    <x v="0"/>
    <x v="0"/>
    <x v="0"/>
    <n v="0"/>
    <n v="0"/>
    <n v="0"/>
    <n v="12"/>
    <x v="1"/>
    <x v="0"/>
    <m/>
    <x v="0"/>
    <n v="447.35"/>
    <x v="0"/>
    <x v="19"/>
    <x v="9"/>
    <x v="0"/>
    <x v="0"/>
  </r>
  <r>
    <x v="1"/>
    <x v="11"/>
    <s v="270 R"/>
    <x v="199"/>
    <s v="ریفلیکٹ پیک"/>
    <s v="LDN"/>
    <n v="18"/>
    <s v="13-14"/>
    <s v="LDN"/>
    <n v="2000"/>
    <x v="0"/>
    <n v="4"/>
    <n v="463.1"/>
    <n v="8.4"/>
    <m/>
    <x v="0"/>
    <n v="454.70000000000005"/>
    <n v="2066.59"/>
    <m/>
    <x v="0"/>
    <x v="0"/>
    <n v="0"/>
    <n v="0"/>
    <x v="0"/>
    <x v="0"/>
    <m/>
    <x v="0"/>
    <x v="0"/>
    <x v="0"/>
    <x v="0"/>
    <x v="0"/>
    <n v="0"/>
    <n v="0"/>
    <n v="0"/>
    <n v="12"/>
    <x v="1"/>
    <x v="0"/>
    <m/>
    <x v="0"/>
    <n v="468.1"/>
    <x v="0"/>
    <x v="19"/>
    <x v="9"/>
    <x v="0"/>
    <x v="0"/>
  </r>
  <r>
    <x v="0"/>
    <x v="13"/>
    <s v="2640 F"/>
    <x v="199"/>
    <s v="Usman Amin"/>
    <s v="LDN"/>
    <n v="17"/>
    <s v="8.5-9"/>
    <s v="LDN"/>
    <n v="500"/>
    <x v="0"/>
    <n v="3"/>
    <n v="257.99"/>
    <n v="5.95"/>
    <m/>
    <x v="0"/>
    <n v="252.04000000000002"/>
    <n v="489.74"/>
    <m/>
    <x v="0"/>
    <x v="0"/>
    <n v="0"/>
    <n v="0"/>
    <x v="0"/>
    <x v="0"/>
    <m/>
    <x v="0"/>
    <x v="0"/>
    <x v="0"/>
    <x v="0"/>
    <x v="0"/>
    <n v="0"/>
    <n v="0"/>
    <n v="0"/>
    <n v="12"/>
    <x v="1"/>
    <x v="0"/>
    <m/>
    <x v="0"/>
    <n v="262.99"/>
    <x v="0"/>
    <x v="19"/>
    <x v="9"/>
    <x v="0"/>
    <x v="0"/>
  </r>
  <r>
    <x v="0"/>
    <x v="13"/>
    <s v="2644 F"/>
    <x v="199"/>
    <s v="Usman Amin"/>
    <s v="LDN"/>
    <n v="17"/>
    <s v="7"/>
    <s v="LDN"/>
    <n v="450"/>
    <x v="0"/>
    <n v="2"/>
    <n v="149.03"/>
    <n v="3.9"/>
    <n v="8"/>
    <x v="0"/>
    <n v="145.13"/>
    <n v="387.08"/>
    <n v="6"/>
    <x v="0"/>
    <x v="0"/>
    <n v="6"/>
    <n v="0.1"/>
    <x v="0"/>
    <x v="0"/>
    <m/>
    <x v="0"/>
    <x v="0"/>
    <x v="0"/>
    <x v="0"/>
    <x v="0"/>
    <n v="0"/>
    <n v="0"/>
    <n v="0.1"/>
    <n v="11.9"/>
    <x v="1"/>
    <x v="0"/>
    <m/>
    <x v="0"/>
    <n v="154.03"/>
    <x v="0"/>
    <x v="19"/>
    <x v="9"/>
    <x v="0"/>
    <x v="0"/>
  </r>
  <r>
    <x v="1"/>
    <x v="13"/>
    <s v="2644 F"/>
    <x v="199"/>
    <s v="Usman Amin"/>
    <s v="LDN"/>
    <n v="17"/>
    <s v="7"/>
    <s v="LDN"/>
    <n v="450"/>
    <x v="0"/>
    <n v="4"/>
    <n v="250.35"/>
    <n v="8.4"/>
    <m/>
    <x v="0"/>
    <n v="241.95"/>
    <n v="387.08"/>
    <n v="5"/>
    <x v="0"/>
    <x v="0"/>
    <n v="5"/>
    <n v="8.3333333333333329E-2"/>
    <x v="0"/>
    <x v="0"/>
    <m/>
    <x v="0"/>
    <x v="0"/>
    <x v="0"/>
    <x v="0"/>
    <x v="0"/>
    <n v="0"/>
    <n v="0"/>
    <n v="8.3333333333333329E-2"/>
    <n v="11.916666666666666"/>
    <x v="1"/>
    <x v="0"/>
    <m/>
    <x v="0"/>
    <n v="255.35"/>
    <x v="0"/>
    <x v="19"/>
    <x v="9"/>
    <x v="0"/>
    <x v="0"/>
  </r>
  <r>
    <x v="1"/>
    <x v="13"/>
    <s v="2645 F"/>
    <x v="199"/>
    <s v="Usman Amin"/>
    <s v="LDN"/>
    <n v="17"/>
    <s v="7"/>
    <s v="LDN"/>
    <n v="300"/>
    <x v="0"/>
    <n v="2"/>
    <n v="148.4"/>
    <n v="4.2"/>
    <m/>
    <x v="0"/>
    <n v="144.20000000000002"/>
    <n v="326.12"/>
    <m/>
    <x v="0"/>
    <x v="0"/>
    <n v="0"/>
    <n v="0"/>
    <x v="0"/>
    <x v="0"/>
    <m/>
    <x v="0"/>
    <x v="0"/>
    <x v="0"/>
    <x v="0"/>
    <x v="0"/>
    <n v="0"/>
    <n v="0"/>
    <n v="0"/>
    <n v="12"/>
    <x v="1"/>
    <x v="0"/>
    <m/>
    <x v="0"/>
    <n v="153.4"/>
    <x v="0"/>
    <x v="19"/>
    <x v="9"/>
    <x v="0"/>
    <x v="0"/>
  </r>
  <r>
    <x v="0"/>
    <x v="14"/>
    <s v="6437 J"/>
    <x v="199"/>
    <s v="Atlas Honda LTD (SKP)"/>
    <s v="LDN"/>
    <n v="26"/>
    <s v="8.5-9"/>
    <s v="LDN"/>
    <n v="742.66975308641975"/>
    <x v="0"/>
    <n v="5"/>
    <n v="420.43"/>
    <n v="18"/>
    <m/>
    <x v="0"/>
    <n v="402.43"/>
    <n v="814.24"/>
    <n v="3"/>
    <x v="0"/>
    <x v="0"/>
    <n v="3"/>
    <n v="0.05"/>
    <x v="0"/>
    <x v="0"/>
    <m/>
    <x v="0"/>
    <x v="0"/>
    <x v="0"/>
    <x v="0"/>
    <x v="0"/>
    <n v="0"/>
    <n v="0"/>
    <n v="0.05"/>
    <n v="11.95"/>
    <x v="1"/>
    <x v="0"/>
    <m/>
    <x v="0"/>
    <n v="425.43"/>
    <x v="0"/>
    <x v="19"/>
    <x v="9"/>
    <x v="0"/>
    <x v="0"/>
  </r>
  <r>
    <x v="0"/>
    <x v="14"/>
    <s v="6436 J"/>
    <x v="199"/>
    <s v="Atlas Honda LTD (SKP)"/>
    <s v="LDN"/>
    <n v="24"/>
    <s v="8.5-9"/>
    <s v="LDN"/>
    <n v="261.75213675213672"/>
    <x v="0"/>
    <n v="3"/>
    <n v="236.97"/>
    <n v="7.1999999999999993"/>
    <m/>
    <x v="0"/>
    <n v="229.77"/>
    <n v="307.57"/>
    <n v="2"/>
    <x v="0"/>
    <x v="0"/>
    <n v="2"/>
    <n v="3.3333333333333333E-2"/>
    <x v="0"/>
    <x v="0"/>
    <m/>
    <x v="0"/>
    <x v="0"/>
    <x v="0"/>
    <x v="0"/>
    <x v="0"/>
    <n v="0"/>
    <n v="0"/>
    <n v="3.3333333333333333E-2"/>
    <n v="11.966666666666667"/>
    <x v="1"/>
    <x v="0"/>
    <m/>
    <x v="0"/>
    <n v="241.97"/>
    <x v="0"/>
    <x v="19"/>
    <x v="9"/>
    <x v="0"/>
    <x v="0"/>
  </r>
  <r>
    <x v="0"/>
    <x v="14"/>
    <s v="STOCK"/>
    <x v="199"/>
    <s v="-"/>
    <m/>
    <m/>
    <m/>
    <m/>
    <m/>
    <x v="0"/>
    <n v="1"/>
    <n v="54.4"/>
    <n v="2"/>
    <n v="8"/>
    <x v="0"/>
    <n v="52.4"/>
    <n v="431.39"/>
    <m/>
    <x v="0"/>
    <x v="0"/>
    <n v="0"/>
    <n v="0"/>
    <x v="0"/>
    <x v="0"/>
    <m/>
    <x v="0"/>
    <x v="0"/>
    <x v="0"/>
    <x v="0"/>
    <x v="0"/>
    <n v="0"/>
    <n v="0"/>
    <n v="0"/>
    <n v="12"/>
    <x v="1"/>
    <x v="0"/>
    <m/>
    <x v="0"/>
    <n v="59.4"/>
    <x v="0"/>
    <x v="19"/>
    <x v="9"/>
    <x v="0"/>
    <x v="0"/>
  </r>
  <r>
    <x v="1"/>
    <x v="14"/>
    <s v="6436 J"/>
    <x v="199"/>
    <s v="Atlas Honda LTD (SKP)"/>
    <s v="LDN"/>
    <n v="24"/>
    <s v="8.5-9"/>
    <s v="LDN"/>
    <n v="261.75213675213672"/>
    <x v="0"/>
    <n v="1"/>
    <n v="80.8"/>
    <n v="3"/>
    <n v="40"/>
    <x v="0"/>
    <n v="77.8"/>
    <n v="307.57"/>
    <n v="5"/>
    <x v="0"/>
    <x v="0"/>
    <n v="5"/>
    <n v="8.3333333333333329E-2"/>
    <x v="0"/>
    <x v="0"/>
    <m/>
    <x v="0"/>
    <x v="0"/>
    <x v="0"/>
    <x v="0"/>
    <x v="0"/>
    <n v="0"/>
    <n v="0"/>
    <n v="8.3333333333333329E-2"/>
    <n v="11.916666666666666"/>
    <x v="1"/>
    <x v="0"/>
    <m/>
    <x v="0"/>
    <n v="85.8"/>
    <x v="0"/>
    <x v="19"/>
    <x v="9"/>
    <x v="0"/>
    <x v="0"/>
  </r>
  <r>
    <x v="1"/>
    <x v="14"/>
    <s v="6407 J"/>
    <x v="199"/>
    <s v="U.S Denim Mills Pvt LTD"/>
    <s v="LDN"/>
    <n v="24"/>
    <s v="15.5-16"/>
    <s v="LDN"/>
    <n v="100"/>
    <x v="0"/>
    <n v="2"/>
    <n v="119.7"/>
    <n v="6"/>
    <m/>
    <x v="0"/>
    <n v="113.7"/>
    <n v="113.7"/>
    <n v="5"/>
    <x v="0"/>
    <x v="0"/>
    <n v="5"/>
    <n v="8.3333333333333329E-2"/>
    <x v="0"/>
    <x v="0"/>
    <m/>
    <x v="0"/>
    <x v="0"/>
    <x v="0"/>
    <x v="0"/>
    <x v="0"/>
    <n v="0"/>
    <n v="0"/>
    <n v="8.3333333333333329E-2"/>
    <n v="11.916666666666666"/>
    <x v="1"/>
    <x v="0"/>
    <m/>
    <x v="0"/>
    <n v="124.7"/>
    <x v="0"/>
    <x v="19"/>
    <x v="9"/>
    <x v="0"/>
    <x v="0"/>
  </r>
  <r>
    <x v="1"/>
    <x v="14"/>
    <s v="6387 J"/>
    <x v="199"/>
    <s v="Ashiq Cloth House Gujrat "/>
    <s v="LDM"/>
    <n v="22"/>
    <s v="15-16"/>
    <s v="LDM"/>
    <n v="100"/>
    <x v="0"/>
    <n v="1"/>
    <n v="105"/>
    <n v="1.9"/>
    <m/>
    <x v="0"/>
    <n v="103.1"/>
    <n v="103.1"/>
    <n v="5"/>
    <x v="0"/>
    <x v="0"/>
    <n v="5"/>
    <n v="8.3333333333333329E-2"/>
    <x v="0"/>
    <x v="0"/>
    <m/>
    <x v="0"/>
    <x v="0"/>
    <x v="0"/>
    <x v="0"/>
    <x v="0"/>
    <n v="0"/>
    <n v="0"/>
    <n v="8.3333333333333329E-2"/>
    <n v="11.916666666666666"/>
    <x v="1"/>
    <x v="0"/>
    <m/>
    <x v="0"/>
    <n v="110"/>
    <x v="0"/>
    <x v="19"/>
    <x v="9"/>
    <x v="0"/>
    <x v="0"/>
  </r>
  <r>
    <x v="1"/>
    <x v="14"/>
    <s v="6428 J"/>
    <x v="199"/>
    <s v="Wazir Suitting Center Lahore"/>
    <s v="LDM"/>
    <n v="20"/>
    <s v="15-16"/>
    <s v="LDM"/>
    <n v="100"/>
    <x v="0"/>
    <n v="1"/>
    <n v="41.1"/>
    <n v="2.2000000000000002"/>
    <m/>
    <x v="0"/>
    <n v="38.9"/>
    <n v="141.63"/>
    <n v="5"/>
    <x v="0"/>
    <x v="0"/>
    <n v="5"/>
    <n v="8.3333333333333329E-2"/>
    <x v="0"/>
    <x v="0"/>
    <m/>
    <x v="0"/>
    <x v="0"/>
    <x v="0"/>
    <x v="0"/>
    <x v="0"/>
    <n v="0"/>
    <n v="0"/>
    <n v="8.3333333333333329E-2"/>
    <n v="11.916666666666666"/>
    <x v="1"/>
    <x v="0"/>
    <m/>
    <x v="0"/>
    <n v="46.1"/>
    <x v="0"/>
    <x v="19"/>
    <x v="9"/>
    <x v="0"/>
    <x v="0"/>
  </r>
  <r>
    <x v="1"/>
    <x v="14"/>
    <s v="6443 J"/>
    <x v="199"/>
    <s v="Atlas Honda LTD (SKP)"/>
    <s v="LDM"/>
    <s v="16.75&quot; شیٹ"/>
    <s v="7-7.5/14-15"/>
    <s v="LDM"/>
    <n v="400"/>
    <x v="0"/>
    <n v="6"/>
    <n v="407.15999999999997"/>
    <n v="8.3999999999999986"/>
    <m/>
    <x v="0"/>
    <n v="398.76"/>
    <n v="398.76"/>
    <m/>
    <x v="0"/>
    <x v="0"/>
    <n v="0"/>
    <n v="0"/>
    <x v="0"/>
    <x v="0"/>
    <m/>
    <x v="0"/>
    <x v="0"/>
    <x v="0"/>
    <x v="0"/>
    <x v="0"/>
    <n v="0"/>
    <n v="0"/>
    <n v="0"/>
    <n v="12"/>
    <x v="1"/>
    <x v="0"/>
    <m/>
    <x v="0"/>
    <n v="412.15999999999997"/>
    <x v="0"/>
    <x v="19"/>
    <x v="9"/>
    <x v="0"/>
    <x v="0"/>
  </r>
  <r>
    <x v="0"/>
    <x v="15"/>
    <s v="6408 J"/>
    <x v="199"/>
    <s v="U.S Denim Mills Pvt LTD"/>
    <s v="LDN"/>
    <n v="16"/>
    <s v="15.5-16"/>
    <s v="LDN"/>
    <n v="100"/>
    <x v="0"/>
    <n v="2"/>
    <n v="100.3"/>
    <n v="3.4"/>
    <m/>
    <x v="0"/>
    <n v="96.899999999999991"/>
    <n v="96.899999999999991"/>
    <n v="3"/>
    <x v="0"/>
    <x v="0"/>
    <n v="3"/>
    <n v="0.05"/>
    <x v="0"/>
    <x v="0"/>
    <m/>
    <x v="0"/>
    <x v="0"/>
    <x v="0"/>
    <x v="0"/>
    <x v="0"/>
    <n v="0"/>
    <n v="0"/>
    <n v="0.05"/>
    <n v="11.95"/>
    <x v="1"/>
    <x v="0"/>
    <m/>
    <x v="0"/>
    <n v="105.3"/>
    <x v="0"/>
    <x v="19"/>
    <x v="9"/>
    <x v="0"/>
    <x v="0"/>
  </r>
  <r>
    <x v="0"/>
    <x v="15"/>
    <s v="6441 J"/>
    <x v="199"/>
    <s v="Atlas Honda LTD (SKP)"/>
    <s v="LDN"/>
    <n v="14"/>
    <s v="10-10.5"/>
    <s v="LDN"/>
    <n v="34.0693257359924"/>
    <x v="0"/>
    <n v="2"/>
    <n v="116.6"/>
    <n v="3.4"/>
    <m/>
    <x v="0"/>
    <n v="113.19999999999999"/>
    <n v="113.19999999999999"/>
    <n v="2"/>
    <x v="0"/>
    <x v="0"/>
    <n v="2"/>
    <n v="3.3333333333333333E-2"/>
    <x v="0"/>
    <x v="0"/>
    <m/>
    <x v="0"/>
    <x v="0"/>
    <x v="0"/>
    <x v="0"/>
    <x v="0"/>
    <n v="0"/>
    <n v="0"/>
    <n v="3.3333333333333333E-2"/>
    <n v="11.966666666666667"/>
    <x v="1"/>
    <x v="0"/>
    <m/>
    <x v="0"/>
    <n v="121.6"/>
    <x v="0"/>
    <x v="19"/>
    <x v="9"/>
    <x v="0"/>
    <x v="0"/>
  </r>
  <r>
    <x v="0"/>
    <x v="15"/>
    <s v="6422 J"/>
    <x v="199"/>
    <s v="RMC PACK"/>
    <s v="LDN"/>
    <n v="16"/>
    <s v="6-6.5"/>
    <s v="LDN"/>
    <n v="200"/>
    <x v="0"/>
    <n v="5"/>
    <n v="181.63"/>
    <n v="8.5"/>
    <n v="7"/>
    <x v="0"/>
    <n v="173.13"/>
    <n v="205.20999999999998"/>
    <m/>
    <x v="0"/>
    <x v="0"/>
    <n v="0"/>
    <n v="0"/>
    <x v="0"/>
    <x v="0"/>
    <m/>
    <x v="0"/>
    <x v="0"/>
    <x v="0"/>
    <x v="0"/>
    <x v="0"/>
    <n v="0"/>
    <n v="0"/>
    <n v="0"/>
    <n v="12"/>
    <x v="1"/>
    <x v="0"/>
    <m/>
    <x v="0"/>
    <n v="186.63"/>
    <x v="0"/>
    <x v="19"/>
    <x v="9"/>
    <x v="0"/>
    <x v="0"/>
  </r>
  <r>
    <x v="1"/>
    <x v="15"/>
    <s v="6422 J"/>
    <x v="199"/>
    <s v="RMC PACK"/>
    <s v="LDN"/>
    <n v="16"/>
    <s v="6-6.5"/>
    <s v="LDN"/>
    <n v="200"/>
    <x v="0"/>
    <n v="1"/>
    <n v="34.08"/>
    <n v="2"/>
    <n v="6.5"/>
    <x v="0"/>
    <n v="32.08"/>
    <n v="205.20999999999998"/>
    <n v="5"/>
    <x v="0"/>
    <x v="0"/>
    <n v="5"/>
    <n v="8.3333333333333329E-2"/>
    <x v="0"/>
    <x v="0"/>
    <m/>
    <x v="0"/>
    <x v="0"/>
    <x v="0"/>
    <x v="0"/>
    <x v="0"/>
    <n v="0"/>
    <n v="0"/>
    <n v="8.3333333333333329E-2"/>
    <n v="11.916666666666666"/>
    <x v="1"/>
    <x v="0"/>
    <m/>
    <x v="0"/>
    <n v="39.08"/>
    <x v="0"/>
    <x v="19"/>
    <x v="9"/>
    <x v="0"/>
    <x v="0"/>
  </r>
  <r>
    <x v="1"/>
    <x v="15"/>
    <s v="6421 J"/>
    <x v="199"/>
    <s v="RMC PACK"/>
    <s v="LDN"/>
    <n v="15"/>
    <s v="5-5.5"/>
    <s v="LDN"/>
    <n v="100"/>
    <x v="0"/>
    <n v="3"/>
    <n v="108.49"/>
    <n v="5.4"/>
    <m/>
    <x v="0"/>
    <n v="103.08999999999999"/>
    <n v="103.08999999999999"/>
    <n v="5"/>
    <x v="0"/>
    <x v="0"/>
    <n v="5"/>
    <n v="8.3333333333333329E-2"/>
    <x v="0"/>
    <x v="0"/>
    <m/>
    <x v="0"/>
    <x v="0"/>
    <x v="0"/>
    <x v="0"/>
    <x v="0"/>
    <n v="0"/>
    <n v="0"/>
    <n v="8.3333333333333329E-2"/>
    <n v="11.916666666666666"/>
    <x v="1"/>
    <x v="0"/>
    <m/>
    <x v="0"/>
    <n v="113.49"/>
    <x v="0"/>
    <x v="19"/>
    <x v="9"/>
    <x v="0"/>
    <x v="0"/>
  </r>
  <r>
    <x v="1"/>
    <x v="15"/>
    <s v="6435 J"/>
    <x v="199"/>
    <s v="Atlas Honda LTD (SKP)"/>
    <s v="LDN"/>
    <n v="22"/>
    <s v="12.5-13"/>
    <s v="LDN"/>
    <n v="291.35505698005693"/>
    <x v="0"/>
    <n v="3"/>
    <n v="232.89000000000001"/>
    <n v="6.6000000000000005"/>
    <m/>
    <x v="0"/>
    <n v="226.29000000000002"/>
    <n v="308.89"/>
    <m/>
    <x v="0"/>
    <x v="0"/>
    <n v="0"/>
    <n v="0"/>
    <x v="0"/>
    <x v="0"/>
    <m/>
    <x v="0"/>
    <x v="0"/>
    <x v="0"/>
    <x v="0"/>
    <x v="0"/>
    <n v="0"/>
    <n v="0"/>
    <n v="0"/>
    <n v="12"/>
    <x v="1"/>
    <x v="0"/>
    <m/>
    <x v="0"/>
    <n v="237.89000000000001"/>
    <x v="0"/>
    <x v="19"/>
    <x v="9"/>
    <x v="0"/>
    <x v="0"/>
  </r>
  <r>
    <x v="1"/>
    <x v="8"/>
    <s v="6488 J"/>
    <x v="200"/>
    <s v="Javed Enterprises Gujranwala"/>
    <s v="LDN"/>
    <n v="10"/>
    <s v="20-21"/>
    <s v="LDN"/>
    <n v="300"/>
    <x v="0"/>
    <n v="1"/>
    <n v="63.7"/>
    <n v="1.5"/>
    <m/>
    <x v="0"/>
    <n v="62.2"/>
    <n v="62.2"/>
    <m/>
    <x v="2"/>
    <x v="0"/>
    <n v="150"/>
    <n v="2.5"/>
    <x v="0"/>
    <x v="0"/>
    <m/>
    <x v="0"/>
    <x v="0"/>
    <x v="0"/>
    <x v="0"/>
    <x v="0"/>
    <n v="0"/>
    <n v="0"/>
    <n v="2.5"/>
    <n v="9.5"/>
    <x v="1"/>
    <x v="0"/>
    <m/>
    <x v="0"/>
    <n v="68.7"/>
    <x v="0"/>
    <x v="20"/>
    <x v="9"/>
    <x v="0"/>
    <x v="0"/>
  </r>
  <r>
    <x v="1"/>
    <x v="8"/>
    <s v="STOCK"/>
    <x v="200"/>
    <s v="PT STOCK"/>
    <m/>
    <n v="14"/>
    <n v="14"/>
    <m/>
    <m/>
    <x v="0"/>
    <n v="1"/>
    <n v="30.23"/>
    <n v="1.7"/>
    <m/>
    <x v="0"/>
    <n v="28.53"/>
    <n v="431.39"/>
    <m/>
    <x v="0"/>
    <x v="0"/>
    <n v="0"/>
    <n v="0"/>
    <x v="0"/>
    <x v="0"/>
    <m/>
    <x v="0"/>
    <x v="0"/>
    <x v="0"/>
    <x v="0"/>
    <x v="0"/>
    <n v="0"/>
    <n v="0"/>
    <n v="0"/>
    <n v="12"/>
    <x v="1"/>
    <x v="0"/>
    <m/>
    <x v="0"/>
    <n v="35.230000000000004"/>
    <x v="0"/>
    <x v="20"/>
    <x v="9"/>
    <x v="0"/>
    <x v="0"/>
  </r>
  <r>
    <x v="0"/>
    <x v="9"/>
    <s v="6358 J"/>
    <x v="200"/>
    <s v="Usman Arif Butt Gujranwala"/>
    <s v="LDN"/>
    <n v="2"/>
    <s v="14"/>
    <s v="LDN"/>
    <n v="1000"/>
    <x v="0"/>
    <n v="4"/>
    <n v="93.19"/>
    <n v="5.2"/>
    <m/>
    <x v="0"/>
    <n v="87.99"/>
    <n v="1027.6100000000001"/>
    <m/>
    <x v="0"/>
    <x v="0"/>
    <n v="0"/>
    <n v="0"/>
    <x v="0"/>
    <x v="0"/>
    <m/>
    <x v="0"/>
    <x v="0"/>
    <x v="0"/>
    <x v="0"/>
    <x v="0"/>
    <n v="0"/>
    <n v="0"/>
    <n v="0"/>
    <n v="12"/>
    <x v="1"/>
    <x v="0"/>
    <m/>
    <x v="0"/>
    <n v="98.19"/>
    <x v="0"/>
    <x v="20"/>
    <x v="9"/>
    <x v="0"/>
    <x v="0"/>
  </r>
  <r>
    <x v="1"/>
    <x v="9"/>
    <s v="6358 J"/>
    <x v="200"/>
    <s v="Usman Arif Butt Gujranwala"/>
    <s v="LDN"/>
    <n v="2"/>
    <s v="14"/>
    <s v="LDN"/>
    <n v="1000"/>
    <x v="0"/>
    <n v="5"/>
    <n v="123.30000000000001"/>
    <n v="8.5"/>
    <m/>
    <x v="0"/>
    <n v="114.80000000000001"/>
    <n v="1027.6100000000001"/>
    <m/>
    <x v="0"/>
    <x v="0"/>
    <n v="0"/>
    <n v="0"/>
    <x v="0"/>
    <x v="0"/>
    <m/>
    <x v="0"/>
    <x v="0"/>
    <x v="0"/>
    <x v="0"/>
    <x v="0"/>
    <n v="0"/>
    <n v="0"/>
    <n v="0"/>
    <n v="12"/>
    <x v="1"/>
    <x v="0"/>
    <m/>
    <x v="0"/>
    <n v="128.30000000000001"/>
    <x v="0"/>
    <x v="20"/>
    <x v="9"/>
    <x v="0"/>
    <x v="0"/>
  </r>
  <r>
    <x v="0"/>
    <x v="11"/>
    <s v="270 R"/>
    <x v="200"/>
    <s v="ریفلیکٹ پیک"/>
    <s v="LDN"/>
    <n v="18"/>
    <s v="13-14"/>
    <s v="LDN"/>
    <n v="2000"/>
    <x v="0"/>
    <n v="2"/>
    <n v="189.8"/>
    <n v="6.3000000000000007"/>
    <n v="13"/>
    <x v="0"/>
    <n v="183.5"/>
    <n v="2066.59"/>
    <n v="10"/>
    <x v="0"/>
    <x v="0"/>
    <n v="10"/>
    <n v="0.16666666666666666"/>
    <x v="0"/>
    <x v="0"/>
    <m/>
    <x v="0"/>
    <x v="0"/>
    <x v="0"/>
    <x v="0"/>
    <x v="0"/>
    <n v="0"/>
    <n v="0"/>
    <n v="0.16666666666666666"/>
    <n v="11.833333333333334"/>
    <x v="1"/>
    <x v="0"/>
    <m/>
    <x v="0"/>
    <n v="194.8"/>
    <x v="0"/>
    <x v="20"/>
    <x v="9"/>
    <x v="0"/>
    <x v="0"/>
  </r>
  <r>
    <x v="0"/>
    <x v="11"/>
    <s v="2667 F"/>
    <x v="200"/>
    <s v="Usman Amin"/>
    <s v="LDN"/>
    <s v="16 SHEET"/>
    <s v="3-3.5/6-7"/>
    <s v="LDN"/>
    <n v="800"/>
    <x v="0"/>
    <n v="2"/>
    <n v="134.80000000000001"/>
    <n v="3.8"/>
    <m/>
    <x v="0"/>
    <n v="131"/>
    <n v="814.86999999999989"/>
    <m/>
    <x v="0"/>
    <x v="0"/>
    <n v="0"/>
    <n v="0"/>
    <x v="0"/>
    <x v="0"/>
    <m/>
    <x v="0"/>
    <x v="0"/>
    <x v="0"/>
    <x v="0"/>
    <x v="0"/>
    <n v="0"/>
    <n v="0"/>
    <n v="0"/>
    <n v="12"/>
    <x v="1"/>
    <x v="0"/>
    <m/>
    <x v="0"/>
    <n v="139.80000000000001"/>
    <x v="0"/>
    <x v="20"/>
    <x v="9"/>
    <x v="0"/>
    <x v="0"/>
  </r>
  <r>
    <x v="1"/>
    <x v="11"/>
    <s v="2667 F"/>
    <x v="200"/>
    <s v="Usman Amin"/>
    <s v="LDN"/>
    <s v="16 SHEET"/>
    <s v="3-3.5/6-7"/>
    <s v="LDN"/>
    <n v="800"/>
    <x v="0"/>
    <n v="5"/>
    <n v="352.66999999999996"/>
    <n v="9.5"/>
    <n v="30"/>
    <x v="0"/>
    <n v="343.16999999999996"/>
    <n v="814.86999999999989"/>
    <m/>
    <x v="0"/>
    <x v="0"/>
    <n v="0"/>
    <n v="0"/>
    <x v="0"/>
    <x v="0"/>
    <m/>
    <x v="0"/>
    <x v="0"/>
    <x v="0"/>
    <x v="0"/>
    <x v="0"/>
    <n v="0"/>
    <n v="0"/>
    <n v="0"/>
    <n v="12"/>
    <x v="1"/>
    <x v="0"/>
    <m/>
    <x v="0"/>
    <n v="357.66999999999996"/>
    <x v="0"/>
    <x v="20"/>
    <x v="9"/>
    <x v="0"/>
    <x v="0"/>
  </r>
  <r>
    <x v="0"/>
    <x v="13"/>
    <s v="2645 F"/>
    <x v="200"/>
    <s v="Usman Amin"/>
    <s v="LDN"/>
    <n v="17"/>
    <s v="7"/>
    <s v="LDN"/>
    <n v="300"/>
    <x v="0"/>
    <n v="2"/>
    <n v="185.32"/>
    <n v="3.4"/>
    <m/>
    <x v="0"/>
    <n v="181.92"/>
    <n v="326.12"/>
    <n v="7"/>
    <x v="0"/>
    <x v="0"/>
    <n v="7"/>
    <n v="0.11666666666666667"/>
    <x v="0"/>
    <x v="3"/>
    <m/>
    <x v="0"/>
    <x v="0"/>
    <x v="0"/>
    <x v="0"/>
    <x v="0"/>
    <n v="15"/>
    <n v="0.25"/>
    <n v="0.3666666666666667"/>
    <n v="11.633333333333333"/>
    <x v="1"/>
    <x v="0"/>
    <m/>
    <x v="0"/>
    <n v="190.32"/>
    <x v="0"/>
    <x v="20"/>
    <x v="9"/>
    <x v="0"/>
    <x v="0"/>
  </r>
  <r>
    <x v="0"/>
    <x v="13"/>
    <s v="2676 F"/>
    <x v="200"/>
    <s v="Usman Amin"/>
    <s v="LDN"/>
    <n v="25"/>
    <s v="7.5-8"/>
    <s v="LDN"/>
    <n v="230"/>
    <x v="0"/>
    <n v="4"/>
    <n v="292.32"/>
    <n v="10"/>
    <m/>
    <x v="0"/>
    <n v="282.32"/>
    <n v="282.32"/>
    <n v="30"/>
    <x v="0"/>
    <x v="1"/>
    <n v="90"/>
    <n v="1.5"/>
    <x v="0"/>
    <x v="0"/>
    <m/>
    <x v="0"/>
    <x v="8"/>
    <x v="0"/>
    <x v="0"/>
    <x v="0"/>
    <n v="40"/>
    <n v="0.66666666666666663"/>
    <n v="2.1666666666666665"/>
    <n v="9.8333333333333339"/>
    <x v="1"/>
    <x v="0"/>
    <m/>
    <x v="0"/>
    <n v="297.32"/>
    <x v="0"/>
    <x v="20"/>
    <x v="9"/>
    <x v="0"/>
    <x v="0"/>
  </r>
  <r>
    <x v="0"/>
    <x v="14"/>
    <s v="6367 J"/>
    <x v="200"/>
    <s v="Tota Traders Mingora Swat"/>
    <s v="LDM"/>
    <n v="18"/>
    <s v="14-15"/>
    <s v="LDM"/>
    <n v="100"/>
    <x v="0"/>
    <n v="2"/>
    <n v="106.14"/>
    <n v="4.4000000000000004"/>
    <m/>
    <x v="0"/>
    <n v="101.74"/>
    <n v="101.74"/>
    <m/>
    <x v="0"/>
    <x v="0"/>
    <n v="0"/>
    <n v="0"/>
    <x v="0"/>
    <x v="0"/>
    <m/>
    <x v="0"/>
    <x v="0"/>
    <x v="0"/>
    <x v="0"/>
    <x v="0"/>
    <n v="0"/>
    <n v="0"/>
    <n v="0"/>
    <n v="12"/>
    <x v="1"/>
    <x v="0"/>
    <m/>
    <x v="0"/>
    <n v="111.14"/>
    <x v="0"/>
    <x v="20"/>
    <x v="9"/>
    <x v="0"/>
    <x v="0"/>
  </r>
  <r>
    <x v="0"/>
    <x v="14"/>
    <s v="6366 J"/>
    <x v="200"/>
    <s v="Tota Traders Mingora Swat"/>
    <s v="LDM"/>
    <n v="15"/>
    <s v="14-15"/>
    <s v="LDM"/>
    <n v="100"/>
    <x v="0"/>
    <n v="2"/>
    <n v="106.43"/>
    <n v="2"/>
    <m/>
    <x v="0"/>
    <n v="104.43"/>
    <n v="104.43"/>
    <m/>
    <x v="0"/>
    <x v="0"/>
    <n v="0"/>
    <n v="0"/>
    <x v="0"/>
    <x v="0"/>
    <m/>
    <x v="0"/>
    <x v="0"/>
    <x v="0"/>
    <x v="0"/>
    <x v="0"/>
    <n v="0"/>
    <n v="0"/>
    <n v="0"/>
    <n v="12"/>
    <x v="1"/>
    <x v="0"/>
    <m/>
    <x v="0"/>
    <n v="111.43"/>
    <x v="0"/>
    <x v="20"/>
    <x v="9"/>
    <x v="0"/>
    <x v="0"/>
  </r>
  <r>
    <x v="0"/>
    <x v="14"/>
    <s v="6428 J"/>
    <x v="200"/>
    <s v="Wazir Suitting Center Lahore"/>
    <s v="LDM"/>
    <n v="20"/>
    <s v="15-16"/>
    <s v="LDM"/>
    <n v="100"/>
    <x v="0"/>
    <n v="2"/>
    <n v="106.72999999999999"/>
    <n v="4"/>
    <n v="44"/>
    <x v="0"/>
    <n v="102.72999999999999"/>
    <n v="141.63"/>
    <m/>
    <x v="0"/>
    <x v="0"/>
    <n v="0"/>
    <n v="0"/>
    <x v="0"/>
    <x v="0"/>
    <m/>
    <x v="0"/>
    <x v="0"/>
    <x v="0"/>
    <x v="0"/>
    <x v="0"/>
    <n v="0"/>
    <n v="0"/>
    <n v="0"/>
    <n v="12"/>
    <x v="1"/>
    <x v="0"/>
    <m/>
    <x v="0"/>
    <n v="111.72999999999999"/>
    <x v="0"/>
    <x v="20"/>
    <x v="9"/>
    <x v="0"/>
    <x v="0"/>
  </r>
  <r>
    <x v="0"/>
    <x v="14"/>
    <s v="269 R"/>
    <x v="200"/>
    <s v="ریفلیکٹ پیک"/>
    <s v="LDN"/>
    <n v="35"/>
    <s v="5-5.5"/>
    <s v="LDN"/>
    <n v="10000"/>
    <x v="0"/>
    <n v="3"/>
    <n v="234.8"/>
    <n v="13.200000000000001"/>
    <n v="4"/>
    <x v="0"/>
    <n v="221.60000000000002"/>
    <n v="10034.49"/>
    <m/>
    <x v="0"/>
    <x v="0"/>
    <n v="0"/>
    <n v="0"/>
    <x v="0"/>
    <x v="0"/>
    <m/>
    <x v="0"/>
    <x v="0"/>
    <x v="0"/>
    <x v="0"/>
    <x v="0"/>
    <n v="0"/>
    <n v="0"/>
    <n v="0"/>
    <n v="12"/>
    <x v="1"/>
    <x v="0"/>
    <m/>
    <x v="0"/>
    <n v="239.8"/>
    <x v="0"/>
    <x v="20"/>
    <x v="9"/>
    <x v="0"/>
    <x v="0"/>
  </r>
  <r>
    <x v="1"/>
    <x v="14"/>
    <s v="269 R"/>
    <x v="200"/>
    <s v="ریفلیکٹ پیک"/>
    <s v="LDN"/>
    <n v="35"/>
    <s v="5-5.5"/>
    <s v="LDN"/>
    <n v="10000"/>
    <x v="0"/>
    <n v="12"/>
    <n v="876.7"/>
    <n v="52.800000000000004"/>
    <m/>
    <x v="0"/>
    <n v="823.90000000000009"/>
    <n v="10034.49"/>
    <m/>
    <x v="0"/>
    <x v="0"/>
    <n v="0"/>
    <n v="0"/>
    <x v="0"/>
    <x v="0"/>
    <m/>
    <x v="0"/>
    <x v="0"/>
    <x v="0"/>
    <x v="0"/>
    <x v="0"/>
    <n v="0"/>
    <n v="0"/>
    <n v="0"/>
    <n v="12"/>
    <x v="1"/>
    <x v="0"/>
    <m/>
    <x v="0"/>
    <n v="881.7"/>
    <x v="0"/>
    <x v="20"/>
    <x v="9"/>
    <x v="0"/>
    <x v="0"/>
  </r>
  <r>
    <x v="0"/>
    <x v="15"/>
    <s v="6435 J"/>
    <x v="200"/>
    <s v="Atlas Honda LTD (SKP)"/>
    <s v="LDN"/>
    <n v="22"/>
    <s v="12.5-13"/>
    <s v="LDN"/>
    <n v="291.35505698005693"/>
    <x v="0"/>
    <n v="1"/>
    <n v="85.3"/>
    <n v="2.7"/>
    <m/>
    <x v="0"/>
    <n v="82.6"/>
    <n v="308.89"/>
    <n v="6"/>
    <x v="0"/>
    <x v="0"/>
    <n v="6"/>
    <n v="0.1"/>
    <x v="0"/>
    <x v="0"/>
    <m/>
    <x v="3"/>
    <x v="0"/>
    <x v="0"/>
    <x v="0"/>
    <x v="0"/>
    <n v="7"/>
    <n v="0.11666666666666667"/>
    <n v="0.21666666666666667"/>
    <n v="11.783333333333333"/>
    <x v="1"/>
    <x v="0"/>
    <m/>
    <x v="0"/>
    <n v="90.3"/>
    <x v="0"/>
    <x v="20"/>
    <x v="9"/>
    <x v="0"/>
    <x v="0"/>
  </r>
  <r>
    <x v="0"/>
    <x v="15"/>
    <s v="6439 J"/>
    <x v="200"/>
    <s v="Atlas Honda LTD (SKP)"/>
    <s v="LDN"/>
    <n v="22"/>
    <s v="8.5-9"/>
    <s v="LDN"/>
    <n v="445.60185185185185"/>
    <x v="0"/>
    <n v="4"/>
    <n v="351.34999999999997"/>
    <n v="10.4"/>
    <n v="12"/>
    <x v="0"/>
    <n v="340.95"/>
    <n v="494.65"/>
    <n v="5"/>
    <x v="0"/>
    <x v="0"/>
    <n v="5"/>
    <n v="8.3333333333333329E-2"/>
    <x v="0"/>
    <x v="0"/>
    <m/>
    <x v="0"/>
    <x v="0"/>
    <x v="0"/>
    <x v="0"/>
    <x v="0"/>
    <n v="0"/>
    <n v="0"/>
    <n v="8.3333333333333329E-2"/>
    <n v="11.916666666666666"/>
    <x v="1"/>
    <x v="0"/>
    <m/>
    <x v="0"/>
    <n v="356.34999999999997"/>
    <x v="0"/>
    <x v="20"/>
    <x v="9"/>
    <x v="0"/>
    <x v="0"/>
  </r>
  <r>
    <x v="1"/>
    <x v="15"/>
    <s v="6439 J"/>
    <x v="200"/>
    <s v="Atlas Honda LTD (SKP)"/>
    <s v="LDN"/>
    <n v="22"/>
    <s v="8.5-9"/>
    <s v="LDN"/>
    <n v="445.60185185185185"/>
    <x v="0"/>
    <n v="2"/>
    <n v="159.1"/>
    <n v="5.4"/>
    <n v="9"/>
    <x v="0"/>
    <n v="153.69999999999999"/>
    <n v="494.65"/>
    <n v="8"/>
    <x v="0"/>
    <x v="0"/>
    <n v="8"/>
    <n v="0.13333333333333333"/>
    <x v="0"/>
    <x v="0"/>
    <m/>
    <x v="0"/>
    <x v="0"/>
    <x v="0"/>
    <x v="0"/>
    <x v="0"/>
    <n v="0"/>
    <n v="0"/>
    <n v="0.13333333333333333"/>
    <n v="11.866666666666667"/>
    <x v="1"/>
    <x v="0"/>
    <m/>
    <x v="0"/>
    <n v="164.1"/>
    <x v="0"/>
    <x v="20"/>
    <x v="9"/>
    <x v="0"/>
    <x v="0"/>
  </r>
  <r>
    <x v="1"/>
    <x v="15"/>
    <s v="6379 J"/>
    <x v="200"/>
    <s v="H.A Industries Peshawar"/>
    <s v="LDN"/>
    <n v="22"/>
    <s v="-"/>
    <s v="LDN"/>
    <n v="150"/>
    <x v="0"/>
    <n v="3"/>
    <n v="167.3"/>
    <n v="8.1000000000000014"/>
    <m/>
    <x v="0"/>
    <n v="159.20000000000002"/>
    <n v="159.20000000000002"/>
    <n v="3"/>
    <x v="0"/>
    <x v="0"/>
    <n v="3"/>
    <n v="0.05"/>
    <x v="0"/>
    <x v="0"/>
    <m/>
    <x v="0"/>
    <x v="0"/>
    <x v="0"/>
    <x v="0"/>
    <x v="0"/>
    <n v="0"/>
    <n v="0"/>
    <n v="0.05"/>
    <n v="11.95"/>
    <x v="1"/>
    <x v="0"/>
    <m/>
    <x v="0"/>
    <n v="172.3"/>
    <x v="0"/>
    <x v="20"/>
    <x v="9"/>
    <x v="0"/>
    <x v="0"/>
  </r>
  <r>
    <x v="1"/>
    <x v="15"/>
    <s v="6467 J"/>
    <x v="200"/>
    <s v="Usman Arif Butt Gujranwala"/>
    <s v="LDN"/>
    <n v="26"/>
    <n v="5"/>
    <s v="LDN"/>
    <n v="100"/>
    <x v="0"/>
    <n v="2"/>
    <n v="106.86"/>
    <n v="6.4"/>
    <m/>
    <x v="0"/>
    <n v="100.46"/>
    <n v="100.46"/>
    <m/>
    <x v="0"/>
    <x v="0"/>
    <n v="0"/>
    <n v="0"/>
    <x v="0"/>
    <x v="0"/>
    <m/>
    <x v="0"/>
    <x v="0"/>
    <x v="0"/>
    <x v="0"/>
    <x v="0"/>
    <n v="0"/>
    <n v="0"/>
    <n v="0"/>
    <n v="12"/>
    <x v="1"/>
    <x v="0"/>
    <m/>
    <x v="0"/>
    <n v="111.86"/>
    <x v="0"/>
    <x v="20"/>
    <x v="9"/>
    <x v="0"/>
    <x v="0"/>
  </r>
  <r>
    <x v="0"/>
    <x v="8"/>
    <s v="14329"/>
    <x v="201"/>
    <s v="-"/>
    <m/>
    <n v="10"/>
    <s v="20-22"/>
    <m/>
    <m/>
    <x v="0"/>
    <n v="4"/>
    <n v="257.87"/>
    <n v="4"/>
    <m/>
    <x v="0"/>
    <n v="253.87"/>
    <n v="253.87"/>
    <m/>
    <x v="0"/>
    <x v="0"/>
    <n v="0"/>
    <n v="0"/>
    <x v="0"/>
    <x v="0"/>
    <m/>
    <x v="0"/>
    <x v="0"/>
    <x v="0"/>
    <x v="0"/>
    <x v="0"/>
    <n v="0"/>
    <n v="0"/>
    <n v="0"/>
    <n v="12"/>
    <x v="1"/>
    <x v="0"/>
    <m/>
    <x v="0"/>
    <n v="262.87"/>
    <x v="0"/>
    <x v="20"/>
    <x v="9"/>
    <x v="0"/>
    <x v="0"/>
  </r>
  <r>
    <x v="1"/>
    <x v="8"/>
    <s v="6477 J"/>
    <x v="201"/>
    <s v="Sabir Kiryana Store Samberyal"/>
    <s v="LDN"/>
    <n v="8"/>
    <s v="12-12.5"/>
    <s v="LDN"/>
    <n v="100"/>
    <x v="0"/>
    <n v="2"/>
    <n v="106.3"/>
    <n v="2"/>
    <n v="2"/>
    <x v="0"/>
    <n v="104.3"/>
    <n v="104.3"/>
    <m/>
    <x v="0"/>
    <x v="0"/>
    <n v="0"/>
    <n v="0"/>
    <x v="0"/>
    <x v="0"/>
    <m/>
    <x v="0"/>
    <x v="0"/>
    <x v="0"/>
    <x v="0"/>
    <x v="0"/>
    <n v="0"/>
    <n v="0"/>
    <n v="0"/>
    <n v="12"/>
    <x v="1"/>
    <x v="0"/>
    <m/>
    <x v="0"/>
    <n v="111.3"/>
    <x v="0"/>
    <x v="20"/>
    <x v="9"/>
    <x v="0"/>
    <x v="0"/>
  </r>
  <r>
    <x v="1"/>
    <x v="8"/>
    <s v="6476 J"/>
    <x v="201"/>
    <s v="Sabir Kiryana Store Samberyal"/>
    <s v="LDN"/>
    <n v="7"/>
    <s v="12-12.5"/>
    <s v="LDN"/>
    <n v="100"/>
    <x v="0"/>
    <n v="2"/>
    <n v="107.94999999999999"/>
    <n v="1.6"/>
    <m/>
    <x v="0"/>
    <n v="106.35"/>
    <n v="168.47"/>
    <m/>
    <x v="0"/>
    <x v="0"/>
    <n v="0"/>
    <n v="0"/>
    <x v="0"/>
    <x v="0"/>
    <m/>
    <x v="0"/>
    <x v="0"/>
    <x v="0"/>
    <x v="0"/>
    <x v="0"/>
    <n v="0"/>
    <n v="0"/>
    <n v="0"/>
    <n v="12"/>
    <x v="1"/>
    <x v="0"/>
    <m/>
    <x v="0"/>
    <n v="112.94999999999999"/>
    <x v="0"/>
    <x v="20"/>
    <x v="9"/>
    <x v="0"/>
    <x v="0"/>
  </r>
  <r>
    <x v="0"/>
    <x v="9"/>
    <s v="6358 J"/>
    <x v="201"/>
    <s v="Usman Arif Butt Gujranwala"/>
    <s v="LDN"/>
    <n v="2"/>
    <s v="14"/>
    <s v="LDN"/>
    <n v="1000"/>
    <x v="0"/>
    <n v="4"/>
    <n v="93.84"/>
    <n v="4.8"/>
    <m/>
    <x v="0"/>
    <n v="89.04"/>
    <n v="1027.6100000000001"/>
    <m/>
    <x v="0"/>
    <x v="0"/>
    <n v="0"/>
    <n v="0"/>
    <x v="0"/>
    <x v="0"/>
    <m/>
    <x v="0"/>
    <x v="0"/>
    <x v="0"/>
    <x v="0"/>
    <x v="0"/>
    <n v="0"/>
    <n v="0"/>
    <n v="0"/>
    <n v="12"/>
    <x v="1"/>
    <x v="0"/>
    <m/>
    <x v="0"/>
    <n v="98.84"/>
    <x v="0"/>
    <x v="20"/>
    <x v="9"/>
    <x v="0"/>
    <x v="0"/>
  </r>
  <r>
    <x v="1"/>
    <x v="9"/>
    <s v="6358 J"/>
    <x v="201"/>
    <s v="Usman Arif Butt Gujranwala"/>
    <s v="LDN"/>
    <n v="2"/>
    <s v="14"/>
    <s v="LDN"/>
    <n v="1000"/>
    <x v="0"/>
    <n v="4"/>
    <n v="100.2"/>
    <n v="6.6"/>
    <m/>
    <x v="0"/>
    <n v="93.600000000000009"/>
    <n v="1027.6100000000001"/>
    <m/>
    <x v="0"/>
    <x v="0"/>
    <n v="0"/>
    <n v="0"/>
    <x v="0"/>
    <x v="0"/>
    <m/>
    <x v="0"/>
    <x v="0"/>
    <x v="0"/>
    <x v="0"/>
    <x v="0"/>
    <n v="0"/>
    <n v="0"/>
    <n v="0"/>
    <n v="12"/>
    <x v="1"/>
    <x v="0"/>
    <m/>
    <x v="0"/>
    <n v="105.2"/>
    <x v="0"/>
    <x v="20"/>
    <x v="9"/>
    <x v="0"/>
    <x v="0"/>
  </r>
  <r>
    <x v="0"/>
    <x v="11"/>
    <s v="2667 F"/>
    <x v="201"/>
    <s v="Usman Amin"/>
    <s v="LDN"/>
    <s v="16 SHEET"/>
    <s v="3-3.5/6-7"/>
    <s v="LDN"/>
    <n v="800"/>
    <x v="0"/>
    <n v="3"/>
    <n v="256"/>
    <n v="3.3000000000000003"/>
    <m/>
    <x v="0"/>
    <n v="252.7"/>
    <n v="814.86999999999989"/>
    <m/>
    <x v="0"/>
    <x v="0"/>
    <n v="0"/>
    <n v="0"/>
    <x v="0"/>
    <x v="0"/>
    <m/>
    <x v="0"/>
    <x v="0"/>
    <x v="0"/>
    <x v="0"/>
    <x v="0"/>
    <n v="0"/>
    <n v="0"/>
    <n v="0"/>
    <n v="12"/>
    <x v="1"/>
    <x v="0"/>
    <m/>
    <x v="0"/>
    <n v="261"/>
    <x v="0"/>
    <x v="20"/>
    <x v="9"/>
    <x v="0"/>
    <x v="0"/>
  </r>
  <r>
    <x v="1"/>
    <x v="11"/>
    <s v="2682 F"/>
    <x v="201"/>
    <s v="Usman Amin"/>
    <s v="LDN"/>
    <n v="17"/>
    <s v="5-5.5"/>
    <s v="LDN"/>
    <n v="460"/>
    <x v="0"/>
    <n v="5"/>
    <n v="350.68000000000006"/>
    <n v="10"/>
    <n v="7"/>
    <x v="0"/>
    <n v="340.68000000000006"/>
    <n v="461.48000000000008"/>
    <m/>
    <x v="0"/>
    <x v="0"/>
    <n v="0"/>
    <n v="0"/>
    <x v="0"/>
    <x v="0"/>
    <m/>
    <x v="0"/>
    <x v="0"/>
    <x v="0"/>
    <x v="0"/>
    <x v="0"/>
    <n v="0"/>
    <n v="0"/>
    <n v="0"/>
    <n v="12"/>
    <x v="1"/>
    <x v="0"/>
    <m/>
    <x v="0"/>
    <n v="355.68000000000006"/>
    <x v="0"/>
    <x v="20"/>
    <x v="9"/>
    <x v="0"/>
    <x v="0"/>
  </r>
  <r>
    <x v="1"/>
    <x v="11"/>
    <s v="2667 F"/>
    <x v="201"/>
    <s v="Usman Amin"/>
    <s v="LDN"/>
    <s v="16 SHEET"/>
    <s v="3-3.5/6-7"/>
    <s v="LDN"/>
    <n v="800"/>
    <x v="0"/>
    <n v="1"/>
    <n v="89.9"/>
    <n v="1.9"/>
    <m/>
    <x v="0"/>
    <n v="88"/>
    <n v="814.86999999999989"/>
    <m/>
    <x v="0"/>
    <x v="0"/>
    <n v="0"/>
    <n v="0"/>
    <x v="0"/>
    <x v="0"/>
    <m/>
    <x v="0"/>
    <x v="0"/>
    <x v="0"/>
    <x v="0"/>
    <x v="0"/>
    <n v="0"/>
    <n v="0"/>
    <n v="0"/>
    <n v="12"/>
    <x v="1"/>
    <x v="0"/>
    <m/>
    <x v="0"/>
    <n v="94.9"/>
    <x v="0"/>
    <x v="20"/>
    <x v="9"/>
    <x v="0"/>
    <x v="0"/>
  </r>
  <r>
    <x v="0"/>
    <x v="14"/>
    <s v="269 R"/>
    <x v="201"/>
    <s v="ریفلیکٹ پیک"/>
    <s v="LDN"/>
    <n v="35"/>
    <s v="5-5.5"/>
    <s v="LDN"/>
    <n v="10000"/>
    <x v="0"/>
    <n v="7"/>
    <n v="524.96"/>
    <n v="21"/>
    <m/>
    <x v="0"/>
    <n v="503.96000000000004"/>
    <n v="10034.49"/>
    <m/>
    <x v="0"/>
    <x v="0"/>
    <n v="0"/>
    <n v="0"/>
    <x v="0"/>
    <x v="0"/>
    <m/>
    <x v="0"/>
    <x v="0"/>
    <x v="0"/>
    <x v="0"/>
    <x v="0"/>
    <n v="0"/>
    <n v="0"/>
    <n v="0"/>
    <n v="12"/>
    <x v="1"/>
    <x v="0"/>
    <m/>
    <x v="0"/>
    <n v="529.96"/>
    <x v="0"/>
    <x v="20"/>
    <x v="9"/>
    <x v="0"/>
    <x v="0"/>
  </r>
  <r>
    <x v="0"/>
    <x v="14"/>
    <s v="2687 F"/>
    <x v="201"/>
    <s v="Usman Amin"/>
    <s v="LDN"/>
    <s v="34 SHEET"/>
    <s v="3-3.25/6-6.5"/>
    <s v="LDN"/>
    <n v="300"/>
    <x v="0"/>
    <n v="2"/>
    <n v="160.28"/>
    <n v="4.8"/>
    <m/>
    <x v="0"/>
    <n v="155.47999999999999"/>
    <n v="294.38"/>
    <m/>
    <x v="0"/>
    <x v="0"/>
    <n v="0"/>
    <n v="0"/>
    <x v="0"/>
    <x v="0"/>
    <m/>
    <x v="0"/>
    <x v="0"/>
    <x v="0"/>
    <x v="0"/>
    <x v="0"/>
    <n v="0"/>
    <n v="0"/>
    <n v="0"/>
    <n v="12"/>
    <x v="1"/>
    <x v="0"/>
    <m/>
    <x v="0"/>
    <n v="165.28"/>
    <x v="0"/>
    <x v="20"/>
    <x v="9"/>
    <x v="0"/>
    <x v="0"/>
  </r>
  <r>
    <x v="1"/>
    <x v="14"/>
    <s v="2687 F"/>
    <x v="201"/>
    <s v="Usman Amin"/>
    <s v="LDN"/>
    <s v="34 SHEET"/>
    <s v="3-3.25/6-6.5"/>
    <s v="LDN"/>
    <n v="300"/>
    <x v="0"/>
    <n v="2"/>
    <n v="144.30000000000001"/>
    <n v="5.4"/>
    <n v="11.5"/>
    <x v="0"/>
    <n v="138.9"/>
    <n v="294.38"/>
    <n v="5"/>
    <x v="0"/>
    <x v="0"/>
    <n v="5"/>
    <n v="8.3333333333333329E-2"/>
    <x v="0"/>
    <x v="0"/>
    <m/>
    <x v="2"/>
    <x v="0"/>
    <x v="0"/>
    <x v="0"/>
    <x v="0"/>
    <n v="5"/>
    <n v="8.3333333333333329E-2"/>
    <n v="0.16666666666666666"/>
    <n v="11.833333333333334"/>
    <x v="1"/>
    <x v="0"/>
    <m/>
    <x v="0"/>
    <n v="149.30000000000001"/>
    <x v="0"/>
    <x v="20"/>
    <x v="9"/>
    <x v="0"/>
    <x v="0"/>
  </r>
  <r>
    <x v="1"/>
    <x v="14"/>
    <s v="269 R"/>
    <x v="201"/>
    <s v="ریفلیکٹ پیک"/>
    <s v="LDN"/>
    <n v="35"/>
    <s v="5-5.5"/>
    <s v="LDN"/>
    <n v="10000"/>
    <x v="0"/>
    <n v="9"/>
    <n v="674.10000000000014"/>
    <n v="27"/>
    <m/>
    <x v="0"/>
    <n v="647.10000000000014"/>
    <n v="10034.49"/>
    <m/>
    <x v="0"/>
    <x v="0"/>
    <n v="0"/>
    <n v="0"/>
    <x v="0"/>
    <x v="0"/>
    <m/>
    <x v="0"/>
    <x v="0"/>
    <x v="0"/>
    <x v="0"/>
    <x v="0"/>
    <n v="0"/>
    <n v="0"/>
    <n v="0"/>
    <n v="12"/>
    <x v="1"/>
    <x v="0"/>
    <m/>
    <x v="0"/>
    <n v="679.10000000000014"/>
    <x v="0"/>
    <x v="20"/>
    <x v="9"/>
    <x v="0"/>
    <x v="0"/>
  </r>
  <r>
    <x v="0"/>
    <x v="15"/>
    <s v="6468 J"/>
    <x v="201"/>
    <s v="Usman Arif Butt Gujranwala"/>
    <s v="LDN"/>
    <n v="26"/>
    <n v="14"/>
    <s v="LDN"/>
    <n v="100"/>
    <x v="0"/>
    <n v="1"/>
    <n v="116.45"/>
    <n v="3.3"/>
    <m/>
    <x v="0"/>
    <n v="113.15"/>
    <n v="113.15"/>
    <m/>
    <x v="0"/>
    <x v="0"/>
    <n v="0"/>
    <n v="0"/>
    <x v="0"/>
    <x v="0"/>
    <m/>
    <x v="0"/>
    <x v="0"/>
    <x v="0"/>
    <x v="0"/>
    <x v="0"/>
    <n v="0"/>
    <n v="0"/>
    <n v="0"/>
    <n v="12"/>
    <x v="1"/>
    <x v="0"/>
    <m/>
    <x v="0"/>
    <n v="121.45"/>
    <x v="0"/>
    <x v="20"/>
    <x v="9"/>
    <x v="0"/>
    <x v="0"/>
  </r>
  <r>
    <x v="0"/>
    <x v="15"/>
    <s v="6480 J"/>
    <x v="201"/>
    <s v="M.K.B Peshawar"/>
    <s v="LDN"/>
    <n v="20"/>
    <s v="6-6.5"/>
    <s v="LDN"/>
    <n v="250"/>
    <x v="0"/>
    <n v="5"/>
    <n v="264.08"/>
    <n v="11"/>
    <m/>
    <x v="0"/>
    <n v="253.07999999999998"/>
    <n v="498.90999999999997"/>
    <m/>
    <x v="0"/>
    <x v="0"/>
    <n v="0"/>
    <n v="0"/>
    <x v="0"/>
    <x v="0"/>
    <m/>
    <x v="0"/>
    <x v="0"/>
    <x v="0"/>
    <x v="0"/>
    <x v="0"/>
    <n v="0"/>
    <n v="0"/>
    <n v="0"/>
    <n v="12"/>
    <x v="1"/>
    <x v="0"/>
    <m/>
    <x v="0"/>
    <n v="269.08"/>
    <x v="0"/>
    <x v="20"/>
    <x v="9"/>
    <x v="0"/>
    <x v="0"/>
  </r>
  <r>
    <x v="1"/>
    <x v="15"/>
    <s v="6460 J"/>
    <x v="201"/>
    <s v="Hammad Plastic Gujranwala"/>
    <s v="LDN"/>
    <n v="14"/>
    <s v="5.5-6"/>
    <s v="LDN"/>
    <n v="150"/>
    <x v="0"/>
    <n v="3"/>
    <n v="153.55000000000001"/>
    <n v="5.4"/>
    <n v="5"/>
    <x v="0"/>
    <n v="148.15"/>
    <n v="148.15"/>
    <n v="5"/>
    <x v="0"/>
    <x v="0"/>
    <n v="5"/>
    <n v="8.3333333333333329E-2"/>
    <x v="0"/>
    <x v="0"/>
    <m/>
    <x v="0"/>
    <x v="0"/>
    <x v="0"/>
    <x v="0"/>
    <x v="0"/>
    <n v="0"/>
    <n v="0"/>
    <n v="8.3333333333333329E-2"/>
    <n v="11.916666666666666"/>
    <x v="1"/>
    <x v="0"/>
    <m/>
    <x v="0"/>
    <n v="158.55000000000001"/>
    <x v="0"/>
    <x v="20"/>
    <x v="9"/>
    <x v="0"/>
    <x v="0"/>
  </r>
  <r>
    <x v="1"/>
    <x v="15"/>
    <s v="6480 J"/>
    <x v="201"/>
    <s v="M.K.B Peshawar"/>
    <s v="LDN"/>
    <n v="20"/>
    <s v="6-6.5"/>
    <s v="LDN"/>
    <n v="250"/>
    <x v="0"/>
    <n v="4"/>
    <n v="216.42999999999998"/>
    <n v="10"/>
    <m/>
    <x v="0"/>
    <n v="206.42999999999998"/>
    <n v="498.90999999999997"/>
    <m/>
    <x v="0"/>
    <x v="0"/>
    <n v="0"/>
    <n v="0"/>
    <x v="0"/>
    <x v="0"/>
    <m/>
    <x v="0"/>
    <x v="0"/>
    <x v="0"/>
    <x v="0"/>
    <x v="0"/>
    <n v="0"/>
    <n v="0"/>
    <n v="0"/>
    <n v="12"/>
    <x v="1"/>
    <x v="0"/>
    <m/>
    <x v="0"/>
    <n v="221.42999999999998"/>
    <x v="0"/>
    <x v="20"/>
    <x v="9"/>
    <x v="0"/>
    <x v="0"/>
  </r>
  <r>
    <x v="0"/>
    <x v="8"/>
    <s v="6476 J"/>
    <x v="202"/>
    <s v="Sabir Kiryana Store Samberyal"/>
    <s v="LDN"/>
    <n v="7"/>
    <s v="12-12.5"/>
    <s v="LDN"/>
    <n v="100"/>
    <x v="0"/>
    <n v="1"/>
    <n v="62.92"/>
    <n v="0.8"/>
    <m/>
    <x v="0"/>
    <n v="62.120000000000005"/>
    <n v="168.47"/>
    <m/>
    <x v="0"/>
    <x v="0"/>
    <n v="0"/>
    <n v="0"/>
    <x v="0"/>
    <x v="0"/>
    <m/>
    <x v="0"/>
    <x v="0"/>
    <x v="0"/>
    <x v="0"/>
    <x v="0"/>
    <n v="0"/>
    <n v="0"/>
    <n v="0"/>
    <n v="12"/>
    <x v="1"/>
    <x v="0"/>
    <m/>
    <x v="0"/>
    <n v="67.92"/>
    <x v="0"/>
    <x v="20"/>
    <x v="9"/>
    <x v="0"/>
    <x v="0"/>
  </r>
  <r>
    <x v="0"/>
    <x v="8"/>
    <s v="6499 J"/>
    <x v="202"/>
    <s v="Atlas Honda LTD (SKP)"/>
    <s v="LDN"/>
    <n v="8"/>
    <s v="8.5-9"/>
    <s v="LDN"/>
    <n v="361.46723646723643"/>
    <x v="0"/>
    <n v="2"/>
    <n v="112.28999999999999"/>
    <n v="3"/>
    <n v="2"/>
    <x v="0"/>
    <n v="109.28999999999999"/>
    <n v="384.09000000000003"/>
    <m/>
    <x v="0"/>
    <x v="0"/>
    <n v="0"/>
    <n v="0"/>
    <x v="0"/>
    <x v="0"/>
    <m/>
    <x v="0"/>
    <x v="0"/>
    <x v="0"/>
    <x v="0"/>
    <x v="0"/>
    <n v="0"/>
    <n v="0"/>
    <n v="0"/>
    <n v="12"/>
    <x v="1"/>
    <x v="0"/>
    <m/>
    <x v="0"/>
    <n v="117.28999999999999"/>
    <x v="0"/>
    <x v="20"/>
    <x v="9"/>
    <x v="0"/>
    <x v="0"/>
  </r>
  <r>
    <x v="1"/>
    <x v="8"/>
    <s v="6499 J"/>
    <x v="202"/>
    <s v="Atlas Honda LTD (SKP)"/>
    <s v="LDN"/>
    <n v="8"/>
    <s v="8.5-9"/>
    <s v="LDN"/>
    <n v="361.46723646723643"/>
    <x v="0"/>
    <n v="3"/>
    <n v="168.94"/>
    <n v="3"/>
    <m/>
    <x v="0"/>
    <n v="165.94"/>
    <n v="384.09000000000003"/>
    <m/>
    <x v="0"/>
    <x v="0"/>
    <n v="0"/>
    <n v="0"/>
    <x v="0"/>
    <x v="0"/>
    <m/>
    <x v="0"/>
    <x v="0"/>
    <x v="0"/>
    <x v="0"/>
    <x v="0"/>
    <n v="0"/>
    <n v="0"/>
    <n v="0"/>
    <n v="12"/>
    <x v="1"/>
    <x v="0"/>
    <m/>
    <x v="0"/>
    <n v="173.94"/>
    <x v="0"/>
    <x v="20"/>
    <x v="9"/>
    <x v="0"/>
    <x v="0"/>
  </r>
  <r>
    <x v="0"/>
    <x v="9"/>
    <s v="6358 J"/>
    <x v="202"/>
    <s v="Usman Arif Butt Gujranwala"/>
    <s v="LDN"/>
    <n v="2"/>
    <s v="14"/>
    <s v="LDN"/>
    <n v="1000"/>
    <x v="0"/>
    <n v="3"/>
    <n v="81.2"/>
    <n v="3.7"/>
    <m/>
    <x v="0"/>
    <n v="77.5"/>
    <n v="1027.6100000000001"/>
    <m/>
    <x v="0"/>
    <x v="0"/>
    <n v="0"/>
    <n v="0"/>
    <x v="0"/>
    <x v="0"/>
    <m/>
    <x v="0"/>
    <x v="0"/>
    <x v="0"/>
    <x v="0"/>
    <x v="0"/>
    <n v="0"/>
    <n v="0"/>
    <n v="0"/>
    <n v="12"/>
    <x v="1"/>
    <x v="0"/>
    <m/>
    <x v="0"/>
    <n v="86.2"/>
    <x v="0"/>
    <x v="20"/>
    <x v="9"/>
    <x v="0"/>
    <x v="0"/>
  </r>
  <r>
    <x v="1"/>
    <x v="9"/>
    <s v="6358 J"/>
    <x v="202"/>
    <s v="Usman Arif Butt Gujranwala"/>
    <s v="LDN"/>
    <n v="2"/>
    <s v="14"/>
    <s v="LDN"/>
    <n v="1000"/>
    <x v="0"/>
    <n v="3"/>
    <n v="83"/>
    <n v="5.0999999999999996"/>
    <m/>
    <x v="0"/>
    <n v="77.900000000000006"/>
    <n v="1027.6100000000001"/>
    <m/>
    <x v="0"/>
    <x v="0"/>
    <n v="0"/>
    <n v="0"/>
    <x v="0"/>
    <x v="0"/>
    <m/>
    <x v="0"/>
    <x v="0"/>
    <x v="0"/>
    <x v="0"/>
    <x v="0"/>
    <n v="0"/>
    <n v="0"/>
    <n v="0"/>
    <n v="12"/>
    <x v="1"/>
    <x v="0"/>
    <m/>
    <x v="0"/>
    <n v="88"/>
    <x v="0"/>
    <x v="20"/>
    <x v="9"/>
    <x v="0"/>
    <x v="0"/>
  </r>
  <r>
    <x v="0"/>
    <x v="11"/>
    <s v="2682 F"/>
    <x v="202"/>
    <s v="Usman Amin"/>
    <s v="LDN"/>
    <n v="17"/>
    <s v="5-5.5"/>
    <s v="LDN"/>
    <n v="460"/>
    <x v="0"/>
    <n v="2"/>
    <n v="125"/>
    <n v="4.2"/>
    <m/>
    <x v="0"/>
    <n v="120.8"/>
    <n v="461.48000000000008"/>
    <m/>
    <x v="0"/>
    <x v="0"/>
    <n v="0"/>
    <n v="0"/>
    <x v="0"/>
    <x v="0"/>
    <m/>
    <x v="0"/>
    <x v="0"/>
    <x v="0"/>
    <x v="0"/>
    <x v="0"/>
    <n v="0"/>
    <n v="0"/>
    <n v="0"/>
    <n v="12"/>
    <x v="1"/>
    <x v="0"/>
    <m/>
    <x v="0"/>
    <n v="130"/>
    <x v="0"/>
    <x v="20"/>
    <x v="9"/>
    <x v="0"/>
    <x v="0"/>
  </r>
  <r>
    <x v="0"/>
    <x v="11"/>
    <s v="6498 J"/>
    <x v="202"/>
    <s v="Atlas Honda LTD (SKP)"/>
    <s v="LDN"/>
    <n v="12"/>
    <s v="8.5-9"/>
    <s v="LDN"/>
    <n v="112.17948717948717"/>
    <x v="0"/>
    <n v="3"/>
    <n v="165.95000000000002"/>
    <n v="4.4000000000000004"/>
    <m/>
    <x v="0"/>
    <n v="161.55000000000001"/>
    <n v="161.55000000000001"/>
    <m/>
    <x v="0"/>
    <x v="0"/>
    <n v="0"/>
    <n v="0"/>
    <x v="0"/>
    <x v="0"/>
    <m/>
    <x v="0"/>
    <x v="0"/>
    <x v="0"/>
    <x v="0"/>
    <x v="0"/>
    <n v="0"/>
    <n v="0"/>
    <n v="0"/>
    <n v="12"/>
    <x v="1"/>
    <x v="0"/>
    <m/>
    <x v="0"/>
    <n v="170.95000000000002"/>
    <x v="0"/>
    <x v="20"/>
    <x v="9"/>
    <x v="0"/>
    <x v="0"/>
  </r>
  <r>
    <x v="0"/>
    <x v="11"/>
    <s v="6384 J"/>
    <x v="202"/>
    <s v="M.G.S Sheikhupura"/>
    <s v="LD  پنک"/>
    <n v="13"/>
    <s v="12-12.5"/>
    <s v="LDM"/>
    <n v="100"/>
    <x v="0"/>
    <n v="1"/>
    <n v="39.22"/>
    <n v="1.5"/>
    <n v="28.5"/>
    <x v="0"/>
    <n v="37.72"/>
    <n v="113.72"/>
    <m/>
    <x v="0"/>
    <x v="0"/>
    <n v="0"/>
    <n v="0"/>
    <x v="0"/>
    <x v="0"/>
    <m/>
    <x v="0"/>
    <x v="0"/>
    <x v="0"/>
    <x v="0"/>
    <x v="0"/>
    <n v="0"/>
    <n v="0"/>
    <n v="0"/>
    <n v="12"/>
    <x v="1"/>
    <x v="0"/>
    <m/>
    <x v="0"/>
    <n v="44.22"/>
    <x v="0"/>
    <x v="20"/>
    <x v="9"/>
    <x v="0"/>
    <x v="0"/>
  </r>
  <r>
    <x v="1"/>
    <x v="11"/>
    <s v="6384 J"/>
    <x v="202"/>
    <s v="M.G.S Sheikhupura"/>
    <s v="LD  پنک"/>
    <n v="13"/>
    <s v="12-12.5"/>
    <s v="LDM"/>
    <n v="100"/>
    <x v="0"/>
    <n v="2"/>
    <n v="79.2"/>
    <n v="3.2"/>
    <n v="52"/>
    <x v="0"/>
    <n v="76"/>
    <n v="113.72"/>
    <n v="5"/>
    <x v="0"/>
    <x v="0"/>
    <n v="5"/>
    <n v="8.3333333333333329E-2"/>
    <x v="0"/>
    <x v="0"/>
    <m/>
    <x v="0"/>
    <x v="0"/>
    <x v="0"/>
    <x v="0"/>
    <x v="0"/>
    <n v="0"/>
    <n v="0"/>
    <n v="8.3333333333333329E-2"/>
    <n v="11.916666666666666"/>
    <x v="1"/>
    <x v="0"/>
    <m/>
    <x v="0"/>
    <n v="84.2"/>
    <x v="0"/>
    <x v="20"/>
    <x v="9"/>
    <x v="0"/>
    <x v="0"/>
  </r>
  <r>
    <x v="1"/>
    <x v="11"/>
    <s v="6336 J"/>
    <x v="202"/>
    <s v="Mughal Plastic Store Layyah"/>
    <s v="LD پنک"/>
    <s v="12+3+3"/>
    <s v="8-8.5/16-17"/>
    <s v="LDM"/>
    <n v="100"/>
    <x v="0"/>
    <n v="3"/>
    <n v="111.83"/>
    <n v="4.5"/>
    <m/>
    <x v="0"/>
    <n v="107.33"/>
    <n v="107.33"/>
    <n v="3"/>
    <x v="0"/>
    <x v="0"/>
    <n v="3"/>
    <n v="0.05"/>
    <x v="0"/>
    <x v="0"/>
    <m/>
    <x v="0"/>
    <x v="0"/>
    <x v="0"/>
    <x v="0"/>
    <x v="0"/>
    <n v="0"/>
    <n v="0"/>
    <n v="0.05"/>
    <n v="11.95"/>
    <x v="1"/>
    <x v="0"/>
    <m/>
    <x v="0"/>
    <n v="116.83"/>
    <x v="0"/>
    <x v="20"/>
    <x v="9"/>
    <x v="0"/>
    <x v="0"/>
  </r>
  <r>
    <x v="1"/>
    <x v="11"/>
    <s v="6329 J"/>
    <x v="202"/>
    <s v="Mugal Plastic Layyah"/>
    <s v="LD فیروزی"/>
    <s v="12+3+3"/>
    <s v="7.5-8/15-16"/>
    <s v="LDM"/>
    <n v="100"/>
    <x v="0"/>
    <n v="3"/>
    <n v="146.78"/>
    <n v="4.5"/>
    <m/>
    <x v="0"/>
    <n v="142.28"/>
    <n v="142.28"/>
    <n v="2"/>
    <x v="0"/>
    <x v="0"/>
    <n v="2"/>
    <n v="3.3333333333333333E-2"/>
    <x v="0"/>
    <x v="0"/>
    <m/>
    <x v="0"/>
    <x v="0"/>
    <x v="0"/>
    <x v="0"/>
    <x v="0"/>
    <n v="0"/>
    <n v="0"/>
    <n v="3.3333333333333333E-2"/>
    <n v="11.966666666666667"/>
    <x v="1"/>
    <x v="0"/>
    <m/>
    <x v="0"/>
    <n v="151.78"/>
    <x v="0"/>
    <x v="20"/>
    <x v="9"/>
    <x v="0"/>
    <x v="0"/>
  </r>
  <r>
    <x v="0"/>
    <x v="14"/>
    <s v="269 R"/>
    <x v="202"/>
    <s v="ریفلیکٹ پیک"/>
    <s v="LDN"/>
    <n v="35"/>
    <s v="5-5.5"/>
    <s v="LDN"/>
    <n v="10000"/>
    <x v="0"/>
    <n v="12"/>
    <n v="872.25"/>
    <n v="36"/>
    <n v="15"/>
    <x v="0"/>
    <n v="836.25"/>
    <n v="10034.49"/>
    <m/>
    <x v="0"/>
    <x v="0"/>
    <n v="0"/>
    <n v="0"/>
    <x v="0"/>
    <x v="0"/>
    <m/>
    <x v="0"/>
    <x v="0"/>
    <x v="0"/>
    <x v="0"/>
    <x v="0"/>
    <n v="0"/>
    <n v="0"/>
    <n v="0"/>
    <n v="12"/>
    <x v="1"/>
    <x v="0"/>
    <m/>
    <x v="0"/>
    <n v="877.25"/>
    <x v="0"/>
    <x v="20"/>
    <x v="9"/>
    <x v="0"/>
    <x v="0"/>
  </r>
  <r>
    <x v="1"/>
    <x v="14"/>
    <s v="269 R"/>
    <x v="202"/>
    <s v="ریفلیکٹ پیک"/>
    <s v="LDN"/>
    <n v="35"/>
    <s v="5-5.5"/>
    <s v="LDN"/>
    <n v="10000"/>
    <x v="0"/>
    <n v="11"/>
    <n v="897.9"/>
    <n v="33"/>
    <n v="10"/>
    <x v="0"/>
    <n v="864.9"/>
    <n v="10034.49"/>
    <m/>
    <x v="0"/>
    <x v="0"/>
    <n v="0"/>
    <n v="0"/>
    <x v="0"/>
    <x v="0"/>
    <m/>
    <x v="0"/>
    <x v="0"/>
    <x v="0"/>
    <x v="0"/>
    <x v="0"/>
    <n v="0"/>
    <n v="0"/>
    <n v="0"/>
    <n v="12"/>
    <x v="1"/>
    <x v="0"/>
    <m/>
    <x v="0"/>
    <n v="902.9"/>
    <x v="0"/>
    <x v="20"/>
    <x v="9"/>
    <x v="0"/>
    <x v="0"/>
  </r>
  <r>
    <x v="0"/>
    <x v="15"/>
    <s v="6480 J"/>
    <x v="202"/>
    <s v="M.K.B Peshawar"/>
    <s v="LDN"/>
    <n v="20"/>
    <s v="6-6.5"/>
    <s v="LDN"/>
    <n v="250"/>
    <x v="0"/>
    <n v="1"/>
    <n v="41.6"/>
    <n v="2.2000000000000002"/>
    <m/>
    <x v="0"/>
    <n v="39.4"/>
    <n v="498.90999999999997"/>
    <m/>
    <x v="0"/>
    <x v="0"/>
    <n v="0"/>
    <n v="0"/>
    <x v="0"/>
    <x v="0"/>
    <m/>
    <x v="0"/>
    <x v="0"/>
    <x v="0"/>
    <x v="0"/>
    <x v="0"/>
    <n v="0"/>
    <n v="0"/>
    <n v="0"/>
    <n v="12"/>
    <x v="1"/>
    <x v="0"/>
    <m/>
    <x v="0"/>
    <n v="46.6"/>
    <x v="0"/>
    <x v="20"/>
    <x v="9"/>
    <x v="0"/>
    <x v="0"/>
  </r>
  <r>
    <x v="0"/>
    <x v="15"/>
    <s v="2836/1"/>
    <x v="202"/>
    <s v="MATCO FOOD"/>
    <s v="LDN"/>
    <s v="28-28.5"/>
    <s v="95±1"/>
    <s v="SL"/>
    <n v="7600"/>
    <x v="0"/>
    <n v="4"/>
    <n v="485.29999999999995"/>
    <n v="13.2"/>
    <n v="7"/>
    <x v="0"/>
    <n v="472.09999999999997"/>
    <n v="6678.38"/>
    <m/>
    <x v="0"/>
    <x v="0"/>
    <n v="0"/>
    <n v="0"/>
    <x v="0"/>
    <x v="0"/>
    <m/>
    <x v="0"/>
    <x v="0"/>
    <x v="0"/>
    <x v="0"/>
    <x v="0"/>
    <n v="0"/>
    <n v="0"/>
    <n v="0"/>
    <n v="12"/>
    <x v="1"/>
    <x v="0"/>
    <m/>
    <x v="0"/>
    <n v="490.29999999999995"/>
    <x v="0"/>
    <x v="20"/>
    <x v="9"/>
    <x v="0"/>
    <x v="0"/>
  </r>
  <r>
    <x v="1"/>
    <x v="15"/>
    <s v="6500 J"/>
    <x v="202"/>
    <s v="Atlas Honda LTD (SKP)"/>
    <s v="LDN"/>
    <n v="26"/>
    <s v="8.5-9"/>
    <s v="LDN"/>
    <n v="74.266975308641975"/>
    <x v="0"/>
    <n v="2"/>
    <n v="159.72"/>
    <n v="5.4"/>
    <n v="4.5"/>
    <x v="0"/>
    <n v="154.32"/>
    <n v="154.32"/>
    <n v="5"/>
    <x v="0"/>
    <x v="0"/>
    <n v="5"/>
    <n v="8.3333333333333329E-2"/>
    <x v="0"/>
    <x v="0"/>
    <m/>
    <x v="0"/>
    <x v="0"/>
    <x v="0"/>
    <x v="0"/>
    <x v="0"/>
    <n v="0"/>
    <n v="0"/>
    <n v="8.3333333333333329E-2"/>
    <n v="11.916666666666666"/>
    <x v="1"/>
    <x v="0"/>
    <m/>
    <x v="0"/>
    <n v="164.72"/>
    <x v="0"/>
    <x v="20"/>
    <x v="9"/>
    <x v="0"/>
    <x v="0"/>
  </r>
  <r>
    <x v="1"/>
    <x v="15"/>
    <s v="6497 J"/>
    <x v="202"/>
    <s v="Atlas Honda LTD (SKP)"/>
    <s v="LDN"/>
    <n v="22"/>
    <s v="12.5-13"/>
    <s v="LDN"/>
    <n v="83.244301994301992"/>
    <x v="0"/>
    <n v="3"/>
    <n v="166.25"/>
    <n v="8.3999999999999986"/>
    <m/>
    <x v="0"/>
    <n v="157.85"/>
    <n v="157.85"/>
    <n v="5"/>
    <x v="0"/>
    <x v="0"/>
    <n v="5"/>
    <n v="8.3333333333333329E-2"/>
    <x v="0"/>
    <x v="0"/>
    <m/>
    <x v="0"/>
    <x v="0"/>
    <x v="0"/>
    <x v="0"/>
    <x v="0"/>
    <n v="0"/>
    <n v="0"/>
    <n v="8.3333333333333329E-2"/>
    <n v="11.916666666666666"/>
    <x v="1"/>
    <x v="0"/>
    <m/>
    <x v="0"/>
    <n v="171.25"/>
    <x v="0"/>
    <x v="20"/>
    <x v="9"/>
    <x v="0"/>
    <x v="0"/>
  </r>
  <r>
    <x v="1"/>
    <x v="15"/>
    <s v="6050 J"/>
    <x v="202"/>
    <s v="-"/>
    <m/>
    <m/>
    <m/>
    <m/>
    <m/>
    <x v="0"/>
    <n v="3"/>
    <n v="177.68"/>
    <n v="8.3999999999999986"/>
    <m/>
    <x v="0"/>
    <n v="169.28"/>
    <n v="169.28"/>
    <m/>
    <x v="0"/>
    <x v="0"/>
    <n v="0"/>
    <n v="0"/>
    <x v="0"/>
    <x v="0"/>
    <m/>
    <x v="0"/>
    <x v="0"/>
    <x v="0"/>
    <x v="0"/>
    <x v="0"/>
    <n v="0"/>
    <n v="0"/>
    <n v="0"/>
    <n v="12"/>
    <x v="1"/>
    <x v="0"/>
    <m/>
    <x v="0"/>
    <n v="182.68"/>
    <x v="0"/>
    <x v="20"/>
    <x v="9"/>
    <x v="0"/>
    <x v="0"/>
  </r>
  <r>
    <x v="0"/>
    <x v="8"/>
    <s v="6499 J"/>
    <x v="203"/>
    <s v="Atlas Honda LTD (SKP)"/>
    <s v="LDN"/>
    <n v="8"/>
    <s v="8.5-9"/>
    <s v="LDN"/>
    <n v="361.46723646723643"/>
    <x v="0"/>
    <n v="2"/>
    <n v="111.06"/>
    <n v="2.2000000000000002"/>
    <m/>
    <x v="0"/>
    <n v="108.86"/>
    <n v="384.09000000000003"/>
    <m/>
    <x v="0"/>
    <x v="0"/>
    <n v="0"/>
    <n v="0"/>
    <x v="0"/>
    <x v="0"/>
    <m/>
    <x v="0"/>
    <x v="0"/>
    <x v="0"/>
    <x v="0"/>
    <x v="0"/>
    <n v="0"/>
    <n v="0"/>
    <n v="0"/>
    <n v="12"/>
    <x v="1"/>
    <x v="0"/>
    <m/>
    <x v="0"/>
    <n v="116.06"/>
    <x v="0"/>
    <x v="21"/>
    <x v="10"/>
    <x v="0"/>
    <x v="0"/>
  </r>
  <r>
    <x v="0"/>
    <x v="8"/>
    <s v="6565 J"/>
    <x v="203"/>
    <s v="Jilani Poly Stock"/>
    <s v="LDN"/>
    <n v="7"/>
    <n v="10"/>
    <s v="LDN"/>
    <s v="-"/>
    <x v="0"/>
    <n v="1"/>
    <n v="54.9"/>
    <n v="0.9"/>
    <n v="2"/>
    <x v="0"/>
    <n v="54"/>
    <n v="430.42"/>
    <n v="3"/>
    <x v="0"/>
    <x v="0"/>
    <n v="3"/>
    <n v="0.05"/>
    <x v="0"/>
    <x v="0"/>
    <m/>
    <x v="0"/>
    <x v="0"/>
    <x v="0"/>
    <x v="0"/>
    <x v="0"/>
    <n v="0"/>
    <n v="0"/>
    <n v="0.05"/>
    <n v="11.95"/>
    <x v="1"/>
    <x v="0"/>
    <m/>
    <x v="0"/>
    <n v="59.9"/>
    <x v="0"/>
    <x v="21"/>
    <x v="10"/>
    <x v="0"/>
    <x v="0"/>
  </r>
  <r>
    <x v="1"/>
    <x v="8"/>
    <s v="6565 J"/>
    <x v="203"/>
    <s v="Jilani Poly Stock"/>
    <s v="LDN"/>
    <n v="7"/>
    <n v="10"/>
    <s v="LDN"/>
    <s v="-"/>
    <x v="0"/>
    <n v="4"/>
    <n v="164.47000000000003"/>
    <n v="3.6"/>
    <m/>
    <x v="0"/>
    <n v="160.87000000000003"/>
    <n v="430.42"/>
    <m/>
    <x v="0"/>
    <x v="0"/>
    <n v="0"/>
    <n v="0"/>
    <x v="0"/>
    <x v="0"/>
    <m/>
    <x v="0"/>
    <x v="0"/>
    <x v="0"/>
    <x v="0"/>
    <x v="0"/>
    <n v="0"/>
    <n v="0"/>
    <n v="0"/>
    <n v="12"/>
    <x v="1"/>
    <x v="0"/>
    <m/>
    <x v="0"/>
    <n v="169.47000000000003"/>
    <x v="0"/>
    <x v="21"/>
    <x v="10"/>
    <x v="0"/>
    <x v="0"/>
  </r>
  <r>
    <x v="0"/>
    <x v="9"/>
    <s v="6358 J"/>
    <x v="203"/>
    <s v="Usman Arif Butt Gujranwala"/>
    <s v="LDN"/>
    <n v="2"/>
    <s v="14"/>
    <s v="LDN"/>
    <n v="1000"/>
    <x v="0"/>
    <n v="3"/>
    <n v="85.66"/>
    <n v="3.8"/>
    <m/>
    <x v="0"/>
    <n v="81.86"/>
    <n v="1027.6100000000001"/>
    <m/>
    <x v="0"/>
    <x v="0"/>
    <n v="0"/>
    <n v="0"/>
    <x v="0"/>
    <x v="0"/>
    <m/>
    <x v="0"/>
    <x v="0"/>
    <x v="0"/>
    <x v="0"/>
    <x v="0"/>
    <n v="0"/>
    <n v="0"/>
    <n v="0"/>
    <n v="12"/>
    <x v="1"/>
    <x v="0"/>
    <m/>
    <x v="0"/>
    <n v="90.66"/>
    <x v="0"/>
    <x v="21"/>
    <x v="10"/>
    <x v="0"/>
    <x v="0"/>
  </r>
  <r>
    <x v="1"/>
    <x v="9"/>
    <s v="6562 J"/>
    <x v="203"/>
    <s v="Jilani Poly Stock"/>
    <s v="LDN"/>
    <n v="4"/>
    <n v="10"/>
    <s v="LDN"/>
    <s v="-"/>
    <x v="0"/>
    <n v="2"/>
    <n v="77.099999999999994"/>
    <n v="3"/>
    <m/>
    <x v="0"/>
    <n v="74.099999999999994"/>
    <n v="408.40000000000003"/>
    <n v="2"/>
    <x v="0"/>
    <x v="0"/>
    <n v="2"/>
    <n v="3.3333333333333333E-2"/>
    <x v="0"/>
    <x v="0"/>
    <m/>
    <x v="0"/>
    <x v="0"/>
    <x v="0"/>
    <x v="0"/>
    <x v="0"/>
    <n v="0"/>
    <n v="0"/>
    <n v="3.3333333333333333E-2"/>
    <n v="11.966666666666667"/>
    <x v="1"/>
    <x v="0"/>
    <m/>
    <x v="0"/>
    <n v="82.1"/>
    <x v="0"/>
    <x v="21"/>
    <x v="10"/>
    <x v="0"/>
    <x v="0"/>
  </r>
  <r>
    <x v="1"/>
    <x v="9"/>
    <s v="6358 J"/>
    <x v="203"/>
    <s v="Usman Arif Butt Gujranwala"/>
    <s v="LDN"/>
    <n v="2"/>
    <s v="14"/>
    <s v="LDN"/>
    <n v="1000"/>
    <x v="0"/>
    <n v="2"/>
    <n v="39.4"/>
    <n v="0.4"/>
    <n v="2"/>
    <x v="0"/>
    <n v="39"/>
    <n v="1027.6100000000001"/>
    <m/>
    <x v="0"/>
    <x v="0"/>
    <n v="0"/>
    <n v="0"/>
    <x v="0"/>
    <x v="0"/>
    <m/>
    <x v="0"/>
    <x v="0"/>
    <x v="0"/>
    <x v="0"/>
    <x v="0"/>
    <n v="0"/>
    <n v="0"/>
    <n v="0"/>
    <n v="12"/>
    <x v="1"/>
    <x v="0"/>
    <m/>
    <x v="0"/>
    <n v="44.4"/>
    <x v="0"/>
    <x v="21"/>
    <x v="10"/>
    <x v="0"/>
    <x v="0"/>
  </r>
  <r>
    <x v="0"/>
    <x v="11"/>
    <s v="6424 J"/>
    <x v="203"/>
    <s v="RMC PACK"/>
    <s v="LD کریم"/>
    <s v="12+3+3"/>
    <s v="7.5-8/15-16"/>
    <s v="LDM"/>
    <n v="100"/>
    <x v="0"/>
    <n v="2"/>
    <n v="73.3"/>
    <n v="2.8"/>
    <m/>
    <x v="0"/>
    <n v="70.5"/>
    <n v="70.5"/>
    <n v="3"/>
    <x v="0"/>
    <x v="0"/>
    <n v="3"/>
    <n v="0.05"/>
    <x v="0"/>
    <x v="0"/>
    <m/>
    <x v="0"/>
    <x v="0"/>
    <x v="0"/>
    <x v="0"/>
    <x v="0"/>
    <n v="0"/>
    <n v="0"/>
    <n v="0.05"/>
    <n v="11.95"/>
    <x v="1"/>
    <x v="0"/>
    <m/>
    <x v="0"/>
    <n v="78.3"/>
    <x v="0"/>
    <x v="21"/>
    <x v="10"/>
    <x v="0"/>
    <x v="0"/>
  </r>
  <r>
    <x v="0"/>
    <x v="11"/>
    <s v="6328 J"/>
    <x v="203"/>
    <s v="Mugal Plastic Layyah"/>
    <s v="LD گولڈن پیلا"/>
    <s v="8+2.5+2.5"/>
    <s v="7.5-8/15-16"/>
    <s v="LDM"/>
    <n v="100"/>
    <x v="0"/>
    <n v="3"/>
    <n v="120.10000000000001"/>
    <n v="3"/>
    <m/>
    <x v="0"/>
    <n v="117.10000000000001"/>
    <n v="117.10000000000001"/>
    <n v="5"/>
    <x v="0"/>
    <x v="0"/>
    <n v="5"/>
    <n v="8.3333333333333329E-2"/>
    <x v="0"/>
    <x v="0"/>
    <m/>
    <x v="0"/>
    <x v="0"/>
    <x v="0"/>
    <x v="0"/>
    <x v="0"/>
    <n v="0"/>
    <n v="0"/>
    <n v="8.3333333333333329E-2"/>
    <n v="11.916666666666666"/>
    <x v="1"/>
    <x v="0"/>
    <m/>
    <x v="0"/>
    <n v="125.10000000000001"/>
    <x v="0"/>
    <x v="21"/>
    <x v="10"/>
    <x v="0"/>
    <x v="0"/>
  </r>
  <r>
    <x v="0"/>
    <x v="11"/>
    <s v="1150 "/>
    <x v="203"/>
    <s v="-"/>
    <m/>
    <n v="16"/>
    <n v="46367"/>
    <m/>
    <m/>
    <x v="0"/>
    <n v="1"/>
    <n v="63.5"/>
    <n v="1.6"/>
    <m/>
    <x v="0"/>
    <n v="61.9"/>
    <n v="1931.0000000000002"/>
    <m/>
    <x v="0"/>
    <x v="0"/>
    <n v="0"/>
    <n v="0"/>
    <x v="0"/>
    <x v="0"/>
    <m/>
    <x v="0"/>
    <x v="0"/>
    <x v="0"/>
    <x v="0"/>
    <x v="0"/>
    <n v="0"/>
    <n v="0"/>
    <n v="0"/>
    <n v="12"/>
    <x v="1"/>
    <x v="0"/>
    <m/>
    <x v="0"/>
    <n v="68.5"/>
    <x v="0"/>
    <x v="21"/>
    <x v="10"/>
    <x v="0"/>
    <x v="0"/>
  </r>
  <r>
    <x v="0"/>
    <x v="11"/>
    <s v="6487 J"/>
    <x v="203"/>
    <s v="Javed Enterprises Gujranwala"/>
    <s v="LDN"/>
    <n v="10"/>
    <s v="20-21"/>
    <s v="LDN"/>
    <n v="300"/>
    <x v="0"/>
    <n v="2"/>
    <n v="119.1"/>
    <n v="2.4"/>
    <m/>
    <x v="0"/>
    <n v="116.69999999999999"/>
    <n v="292.55"/>
    <m/>
    <x v="0"/>
    <x v="0"/>
    <n v="0"/>
    <n v="0"/>
    <x v="0"/>
    <x v="0"/>
    <m/>
    <x v="0"/>
    <x v="0"/>
    <x v="0"/>
    <x v="0"/>
    <x v="0"/>
    <n v="0"/>
    <n v="0"/>
    <n v="0"/>
    <n v="12"/>
    <x v="1"/>
    <x v="0"/>
    <m/>
    <x v="0"/>
    <n v="124.1"/>
    <x v="0"/>
    <x v="21"/>
    <x v="10"/>
    <x v="0"/>
    <x v="0"/>
  </r>
  <r>
    <x v="0"/>
    <x v="11"/>
    <s v="6490 J"/>
    <x v="203"/>
    <s v="Master Mall Bhawalpur"/>
    <s v="LDM"/>
    <n v="21"/>
    <s v="20-21"/>
    <s v="LDM"/>
    <n v="100"/>
    <x v="0"/>
    <n v="1"/>
    <n v="51.4"/>
    <n v="2.6"/>
    <n v="48"/>
    <x v="0"/>
    <n v="48.8"/>
    <n v="139.22"/>
    <m/>
    <x v="0"/>
    <x v="0"/>
    <n v="0"/>
    <n v="0"/>
    <x v="0"/>
    <x v="0"/>
    <m/>
    <x v="0"/>
    <x v="0"/>
    <x v="0"/>
    <x v="0"/>
    <x v="0"/>
    <n v="0"/>
    <n v="0"/>
    <n v="0"/>
    <n v="12"/>
    <x v="1"/>
    <x v="0"/>
    <m/>
    <x v="0"/>
    <n v="56.4"/>
    <x v="0"/>
    <x v="21"/>
    <x v="10"/>
    <x v="0"/>
    <x v="0"/>
  </r>
  <r>
    <x v="1"/>
    <x v="11"/>
    <s v="6487 J"/>
    <x v="203"/>
    <s v="Javed Enterprises Gujranwala"/>
    <s v="LDN"/>
    <n v="10"/>
    <s v="20-21"/>
    <s v="LDN"/>
    <n v="300"/>
    <x v="0"/>
    <n v="3"/>
    <n v="179.45000000000002"/>
    <n v="3.5999999999999996"/>
    <n v="13"/>
    <x v="0"/>
    <n v="175.85000000000002"/>
    <n v="292.55"/>
    <m/>
    <x v="0"/>
    <x v="0"/>
    <n v="0"/>
    <n v="0"/>
    <x v="0"/>
    <x v="0"/>
    <m/>
    <x v="0"/>
    <x v="0"/>
    <x v="0"/>
    <x v="0"/>
    <x v="0"/>
    <n v="0"/>
    <n v="0"/>
    <n v="0"/>
    <n v="12"/>
    <x v="1"/>
    <x v="0"/>
    <m/>
    <x v="0"/>
    <n v="184.45000000000002"/>
    <x v="0"/>
    <x v="21"/>
    <x v="10"/>
    <x v="0"/>
    <x v="0"/>
  </r>
  <r>
    <x v="1"/>
    <x v="11"/>
    <s v="6484 J"/>
    <x v="203"/>
    <s v="Fancy Garments Kamoki"/>
    <s v="LDM"/>
    <n v="18"/>
    <s v="14-15"/>
    <s v="LDM"/>
    <n v="100"/>
    <x v="0"/>
    <n v="3"/>
    <n v="114.76"/>
    <n v="5.4"/>
    <m/>
    <x v="0"/>
    <n v="109.36"/>
    <n v="109.36"/>
    <n v="3"/>
    <x v="0"/>
    <x v="0"/>
    <n v="3"/>
    <n v="0.05"/>
    <x v="0"/>
    <x v="0"/>
    <m/>
    <x v="0"/>
    <x v="0"/>
    <x v="0"/>
    <x v="0"/>
    <x v="0"/>
    <n v="0"/>
    <n v="0"/>
    <n v="0.05"/>
    <n v="11.95"/>
    <x v="1"/>
    <x v="0"/>
    <m/>
    <x v="0"/>
    <n v="119.76"/>
    <x v="0"/>
    <x v="21"/>
    <x v="10"/>
    <x v="0"/>
    <x v="0"/>
  </r>
  <r>
    <x v="1"/>
    <x v="11"/>
    <s v="6485 J"/>
    <x v="203"/>
    <s v="Fancy Garments Kamoki"/>
    <s v="LDM"/>
    <n v="22"/>
    <s v="14-15"/>
    <s v="LDM"/>
    <n v="100"/>
    <x v="0"/>
    <n v="3"/>
    <n v="109.44999999999999"/>
    <n v="8.3999999999999986"/>
    <m/>
    <x v="0"/>
    <n v="101.04999999999998"/>
    <n v="101.04999999999998"/>
    <n v="3"/>
    <x v="0"/>
    <x v="0"/>
    <n v="3"/>
    <n v="0.05"/>
    <x v="0"/>
    <x v="0"/>
    <m/>
    <x v="0"/>
    <x v="0"/>
    <x v="0"/>
    <x v="0"/>
    <x v="0"/>
    <n v="0"/>
    <n v="0"/>
    <n v="0.05"/>
    <n v="11.95"/>
    <x v="1"/>
    <x v="0"/>
    <m/>
    <x v="0"/>
    <n v="114.44999999999999"/>
    <x v="0"/>
    <x v="21"/>
    <x v="10"/>
    <x v="0"/>
    <x v="0"/>
  </r>
  <r>
    <x v="1"/>
    <x v="11"/>
    <s v="6490 J"/>
    <x v="203"/>
    <s v="Master Mall Bhawalpur"/>
    <s v="LDM"/>
    <n v="21"/>
    <s v="20-21"/>
    <s v="LDM"/>
    <n v="100"/>
    <x v="0"/>
    <n v="1"/>
    <n v="54.92"/>
    <n v="2.6"/>
    <m/>
    <x v="0"/>
    <n v="52.32"/>
    <n v="139.22"/>
    <n v="3"/>
    <x v="0"/>
    <x v="0"/>
    <n v="3"/>
    <n v="0.05"/>
    <x v="0"/>
    <x v="0"/>
    <m/>
    <x v="0"/>
    <x v="0"/>
    <x v="0"/>
    <x v="0"/>
    <x v="0"/>
    <n v="0"/>
    <n v="0"/>
    <n v="0.05"/>
    <n v="11.95"/>
    <x v="1"/>
    <x v="0"/>
    <m/>
    <x v="0"/>
    <n v="59.92"/>
    <x v="0"/>
    <x v="21"/>
    <x v="10"/>
    <x v="0"/>
    <x v="0"/>
  </r>
  <r>
    <x v="0"/>
    <x v="14"/>
    <s v="269 R"/>
    <x v="203"/>
    <s v="ریفلیکٹ پیک"/>
    <s v="LDN"/>
    <n v="35"/>
    <s v="5-5.5"/>
    <s v="LDN"/>
    <n v="10000"/>
    <x v="0"/>
    <n v="11"/>
    <n v="826.27"/>
    <n v="38.599999999999994"/>
    <n v="3"/>
    <x v="0"/>
    <n v="787.67"/>
    <n v="10034.49"/>
    <m/>
    <x v="0"/>
    <x v="0"/>
    <n v="0"/>
    <n v="0"/>
    <x v="0"/>
    <x v="0"/>
    <m/>
    <x v="0"/>
    <x v="0"/>
    <x v="0"/>
    <x v="0"/>
    <x v="0"/>
    <n v="0"/>
    <n v="0"/>
    <n v="0"/>
    <n v="12"/>
    <x v="1"/>
    <x v="0"/>
    <m/>
    <x v="0"/>
    <n v="831.27"/>
    <x v="0"/>
    <x v="21"/>
    <x v="10"/>
    <x v="0"/>
    <x v="0"/>
  </r>
  <r>
    <x v="1"/>
    <x v="14"/>
    <s v="269 R"/>
    <x v="203"/>
    <s v="ریفلیکٹ پیک"/>
    <s v="LDN"/>
    <n v="35"/>
    <s v="5-5.5"/>
    <s v="LDN"/>
    <n v="10000"/>
    <x v="0"/>
    <n v="12"/>
    <n v="811.09999999999991"/>
    <n v="45.800000000000004"/>
    <n v="5"/>
    <x v="0"/>
    <n v="765.3"/>
    <n v="10034.49"/>
    <m/>
    <x v="0"/>
    <x v="0"/>
    <n v="0"/>
    <n v="0"/>
    <x v="0"/>
    <x v="0"/>
    <m/>
    <x v="0"/>
    <x v="0"/>
    <x v="0"/>
    <x v="0"/>
    <x v="0"/>
    <n v="0"/>
    <n v="0"/>
    <n v="0"/>
    <n v="12"/>
    <x v="1"/>
    <x v="0"/>
    <m/>
    <x v="0"/>
    <n v="816.09999999999991"/>
    <x v="0"/>
    <x v="21"/>
    <x v="10"/>
    <x v="0"/>
    <x v="0"/>
  </r>
  <r>
    <x v="0"/>
    <x v="15"/>
    <s v="6501 J"/>
    <x v="203"/>
    <s v="Atlas Honda LTD (SKP)"/>
    <s v="LDN"/>
    <n v="22"/>
    <s v="8.5-9"/>
    <s v="LDN"/>
    <n v="148.53395061728395"/>
    <x v="0"/>
    <n v="1"/>
    <n v="39.4"/>
    <n v="2.7"/>
    <m/>
    <x v="0"/>
    <n v="36.699999999999996"/>
    <n v="36.699999999999996"/>
    <n v="2"/>
    <x v="0"/>
    <x v="0"/>
    <n v="2"/>
    <n v="3.3333333333333333E-2"/>
    <x v="0"/>
    <x v="0"/>
    <m/>
    <x v="0"/>
    <x v="0"/>
    <x v="0"/>
    <x v="0"/>
    <x v="0"/>
    <n v="0"/>
    <n v="0"/>
    <n v="3.3333333333333333E-2"/>
    <n v="11.966666666666667"/>
    <x v="1"/>
    <x v="0"/>
    <m/>
    <x v="0"/>
    <n v="44.4"/>
    <x v="0"/>
    <x v="21"/>
    <x v="10"/>
    <x v="0"/>
    <x v="0"/>
  </r>
  <r>
    <x v="0"/>
    <x v="15"/>
    <s v="2692 F"/>
    <x v="203"/>
    <s v="Usman Amin"/>
    <s v="LDN"/>
    <n v="19"/>
    <s v="6-6.5"/>
    <s v="LDN"/>
    <n v="170"/>
    <x v="0"/>
    <n v="4"/>
    <n v="181.03"/>
    <n v="8"/>
    <m/>
    <x v="0"/>
    <n v="173.03"/>
    <n v="173.03"/>
    <n v="2"/>
    <x v="0"/>
    <x v="0"/>
    <n v="2"/>
    <n v="3.3333333333333333E-2"/>
    <x v="0"/>
    <x v="0"/>
    <m/>
    <x v="0"/>
    <x v="0"/>
    <x v="0"/>
    <x v="0"/>
    <x v="0"/>
    <n v="0"/>
    <n v="0"/>
    <n v="3.3333333333333333E-2"/>
    <n v="11.966666666666667"/>
    <x v="1"/>
    <x v="0"/>
    <m/>
    <x v="0"/>
    <n v="186.03"/>
    <x v="0"/>
    <x v="21"/>
    <x v="10"/>
    <x v="0"/>
    <x v="0"/>
  </r>
  <r>
    <x v="0"/>
    <x v="15"/>
    <s v="2694 F"/>
    <x v="203"/>
    <s v="Usman Amin"/>
    <s v="LDN"/>
    <n v="17"/>
    <s v="8.5-9"/>
    <s v="LDN"/>
    <n v="700"/>
    <x v="0"/>
    <n v="3"/>
    <n v="152.99"/>
    <n v="5.4"/>
    <n v="5"/>
    <x v="0"/>
    <n v="147.59"/>
    <n v="706.66"/>
    <m/>
    <x v="0"/>
    <x v="0"/>
    <n v="0"/>
    <n v="0"/>
    <x v="0"/>
    <x v="0"/>
    <m/>
    <x v="0"/>
    <x v="0"/>
    <x v="0"/>
    <x v="0"/>
    <x v="0"/>
    <n v="0"/>
    <n v="0"/>
    <n v="0"/>
    <n v="12"/>
    <x v="1"/>
    <x v="0"/>
    <m/>
    <x v="0"/>
    <n v="157.99"/>
    <x v="0"/>
    <x v="21"/>
    <x v="10"/>
    <x v="0"/>
    <x v="0"/>
  </r>
  <r>
    <x v="1"/>
    <x v="15"/>
    <s v="2694 F"/>
    <x v="203"/>
    <s v="Usman Amin"/>
    <s v="LDN"/>
    <n v="17"/>
    <s v="8.5-9"/>
    <s v="LDN"/>
    <n v="700"/>
    <x v="0"/>
    <n v="7"/>
    <n v="407.16999999999996"/>
    <n v="14.700000000000001"/>
    <n v="5"/>
    <x v="0"/>
    <n v="392.46999999999997"/>
    <n v="706.66"/>
    <m/>
    <x v="0"/>
    <x v="0"/>
    <n v="0"/>
    <n v="0"/>
    <x v="0"/>
    <x v="0"/>
    <m/>
    <x v="0"/>
    <x v="0"/>
    <x v="0"/>
    <x v="0"/>
    <x v="0"/>
    <n v="0"/>
    <n v="0"/>
    <n v="0"/>
    <n v="12"/>
    <x v="1"/>
    <x v="0"/>
    <m/>
    <x v="0"/>
    <n v="412.16999999999996"/>
    <x v="0"/>
    <x v="21"/>
    <x v="10"/>
    <x v="0"/>
    <x v="0"/>
  </r>
  <r>
    <x v="0"/>
    <x v="8"/>
    <s v="6565 J"/>
    <x v="204"/>
    <s v="Jilani Poly Stock"/>
    <s v="LDN"/>
    <n v="7"/>
    <n v="10"/>
    <s v="LDN"/>
    <s v="-"/>
    <x v="0"/>
    <n v="4"/>
    <n v="180.6"/>
    <n v="4"/>
    <m/>
    <x v="0"/>
    <n v="176.6"/>
    <n v="430.42"/>
    <m/>
    <x v="0"/>
    <x v="0"/>
    <n v="0"/>
    <n v="0"/>
    <x v="0"/>
    <x v="0"/>
    <m/>
    <x v="0"/>
    <x v="0"/>
    <x v="0"/>
    <x v="0"/>
    <x v="0"/>
    <n v="0"/>
    <n v="0"/>
    <n v="0"/>
    <n v="12"/>
    <x v="1"/>
    <x v="0"/>
    <m/>
    <x v="0"/>
    <n v="185.6"/>
    <x v="0"/>
    <x v="21"/>
    <x v="10"/>
    <x v="0"/>
    <x v="0"/>
  </r>
  <r>
    <x v="1"/>
    <x v="8"/>
    <s v="6565 J"/>
    <x v="204"/>
    <s v="Jilani Poly Stock"/>
    <s v="LDN"/>
    <n v="7"/>
    <n v="10"/>
    <s v="LDN"/>
    <s v="-"/>
    <x v="0"/>
    <n v="1"/>
    <n v="39.85"/>
    <n v="0.9"/>
    <m/>
    <x v="0"/>
    <n v="38.950000000000003"/>
    <n v="430.42"/>
    <n v="5"/>
    <x v="0"/>
    <x v="0"/>
    <n v="5"/>
    <n v="8.3333333333333329E-2"/>
    <x v="0"/>
    <x v="0"/>
    <m/>
    <x v="0"/>
    <x v="0"/>
    <x v="0"/>
    <x v="0"/>
    <x v="0"/>
    <n v="0"/>
    <n v="0"/>
    <n v="8.3333333333333329E-2"/>
    <n v="11.916666666666666"/>
    <x v="1"/>
    <x v="0"/>
    <m/>
    <x v="0"/>
    <n v="44.85"/>
    <x v="0"/>
    <x v="21"/>
    <x v="10"/>
    <x v="0"/>
    <x v="0"/>
  </r>
  <r>
    <x v="1"/>
    <x v="8"/>
    <s v="6564 J"/>
    <x v="204"/>
    <s v="Jilani Poly Stock"/>
    <s v="LDN"/>
    <n v="6"/>
    <n v="10"/>
    <s v="LDN"/>
    <s v="-"/>
    <x v="0"/>
    <n v="4"/>
    <n v="144.55000000000001"/>
    <n v="3.5"/>
    <n v="2"/>
    <x v="0"/>
    <n v="141.05000000000001"/>
    <n v="395.15999999999997"/>
    <m/>
    <x v="0"/>
    <x v="0"/>
    <n v="0"/>
    <n v="0"/>
    <x v="0"/>
    <x v="0"/>
    <m/>
    <x v="0"/>
    <x v="0"/>
    <x v="0"/>
    <x v="0"/>
    <x v="0"/>
    <n v="0"/>
    <n v="0"/>
    <n v="0"/>
    <n v="12"/>
    <x v="1"/>
    <x v="0"/>
    <m/>
    <x v="0"/>
    <n v="149.55000000000001"/>
    <x v="0"/>
    <x v="21"/>
    <x v="10"/>
    <x v="0"/>
    <x v="0"/>
  </r>
  <r>
    <x v="0"/>
    <x v="9"/>
    <s v="6562 J"/>
    <x v="204"/>
    <s v="Jilani Poly Stock"/>
    <s v="LDN"/>
    <n v="4"/>
    <n v="10"/>
    <s v="LDN"/>
    <s v="-"/>
    <x v="0"/>
    <n v="3"/>
    <n v="149.5"/>
    <n v="3.5999999999999996"/>
    <m/>
    <x v="0"/>
    <n v="145.9"/>
    <n v="408.40000000000003"/>
    <m/>
    <x v="0"/>
    <x v="0"/>
    <n v="0"/>
    <n v="0"/>
    <x v="0"/>
    <x v="0"/>
    <m/>
    <x v="0"/>
    <x v="0"/>
    <x v="0"/>
    <x v="0"/>
    <x v="0"/>
    <n v="0"/>
    <n v="0"/>
    <n v="0"/>
    <n v="12"/>
    <x v="1"/>
    <x v="0"/>
    <m/>
    <x v="0"/>
    <n v="154.5"/>
    <x v="0"/>
    <x v="21"/>
    <x v="10"/>
    <x v="0"/>
    <x v="0"/>
  </r>
  <r>
    <x v="1"/>
    <x v="9"/>
    <s v="6562 J"/>
    <x v="204"/>
    <s v="Jilani Poly Stock"/>
    <s v="LDN"/>
    <n v="4"/>
    <n v="10"/>
    <s v="LDN"/>
    <s v="-"/>
    <x v="0"/>
    <n v="6"/>
    <n v="143.10000000000002"/>
    <n v="3"/>
    <m/>
    <x v="0"/>
    <n v="140.10000000000002"/>
    <n v="408.40000000000003"/>
    <m/>
    <x v="0"/>
    <x v="0"/>
    <n v="0"/>
    <n v="0"/>
    <x v="0"/>
    <x v="0"/>
    <m/>
    <x v="0"/>
    <x v="0"/>
    <x v="0"/>
    <x v="0"/>
    <x v="0"/>
    <n v="0"/>
    <n v="0"/>
    <n v="0"/>
    <n v="12"/>
    <x v="1"/>
    <x v="0"/>
    <m/>
    <x v="0"/>
    <n v="148.10000000000002"/>
    <x v="0"/>
    <x v="21"/>
    <x v="10"/>
    <x v="0"/>
    <x v="0"/>
  </r>
  <r>
    <x v="0"/>
    <x v="11"/>
    <s v="6490 J"/>
    <x v="204"/>
    <s v="Master Mall Bhawalpur"/>
    <s v="LDM"/>
    <n v="21"/>
    <s v="20-21"/>
    <s v="LDM"/>
    <n v="100"/>
    <x v="0"/>
    <n v="1"/>
    <n v="40.9"/>
    <n v="2.8"/>
    <m/>
    <x v="0"/>
    <n v="38.1"/>
    <n v="139.22"/>
    <n v="3"/>
    <x v="0"/>
    <x v="0"/>
    <n v="3"/>
    <n v="0.05"/>
    <x v="0"/>
    <x v="0"/>
    <m/>
    <x v="0"/>
    <x v="0"/>
    <x v="0"/>
    <x v="0"/>
    <x v="0"/>
    <n v="0"/>
    <n v="0"/>
    <n v="0.05"/>
    <n v="11.95"/>
    <x v="1"/>
    <x v="0"/>
    <m/>
    <x v="0"/>
    <n v="45.9"/>
    <x v="0"/>
    <x v="21"/>
    <x v="10"/>
    <x v="0"/>
    <x v="0"/>
  </r>
  <r>
    <x v="0"/>
    <x v="11"/>
    <s v="6489 J"/>
    <x v="204"/>
    <s v="Master Mall Bhawalpur"/>
    <s v="LDM"/>
    <n v="23"/>
    <s v="14-14.5"/>
    <s v="LDM"/>
    <n v="100"/>
    <x v="0"/>
    <n v="2"/>
    <n v="104.2"/>
    <n v="5.8"/>
    <m/>
    <x v="0"/>
    <n v="98.4"/>
    <n v="98.4"/>
    <n v="3"/>
    <x v="0"/>
    <x v="0"/>
    <n v="3"/>
    <n v="0.05"/>
    <x v="0"/>
    <x v="0"/>
    <m/>
    <x v="0"/>
    <x v="0"/>
    <x v="0"/>
    <x v="0"/>
    <x v="0"/>
    <n v="0"/>
    <n v="0"/>
    <n v="0.05"/>
    <n v="11.95"/>
    <x v="1"/>
    <x v="0"/>
    <m/>
    <x v="0"/>
    <n v="109.2"/>
    <x v="0"/>
    <x v="21"/>
    <x v="10"/>
    <x v="0"/>
    <x v="0"/>
  </r>
  <r>
    <x v="0"/>
    <x v="11"/>
    <s v="6514 J"/>
    <x v="204"/>
    <s v="Alam Printers Butkhela"/>
    <s v="LD پیلا"/>
    <n v="20"/>
    <s v="15-16"/>
    <s v="LDM"/>
    <n v="100"/>
    <x v="0"/>
    <n v="2"/>
    <n v="110.6"/>
    <n v="4.6999999999999993"/>
    <m/>
    <x v="0"/>
    <n v="105.89999999999999"/>
    <n v="105.89999999999999"/>
    <n v="2"/>
    <x v="0"/>
    <x v="0"/>
    <n v="2"/>
    <n v="3.3333333333333333E-2"/>
    <x v="0"/>
    <x v="0"/>
    <m/>
    <x v="0"/>
    <x v="0"/>
    <x v="0"/>
    <x v="0"/>
    <x v="0"/>
    <n v="0"/>
    <n v="0"/>
    <n v="3.3333333333333333E-2"/>
    <n v="11.966666666666667"/>
    <x v="1"/>
    <x v="0"/>
    <m/>
    <x v="0"/>
    <n v="115.6"/>
    <x v="0"/>
    <x v="21"/>
    <x v="10"/>
    <x v="0"/>
    <x v="0"/>
  </r>
  <r>
    <x v="0"/>
    <x v="11"/>
    <s v="6539 J"/>
    <x v="204"/>
    <s v="Nawab Jilani Plastic Layyah"/>
    <s v="LDM"/>
    <n v="20"/>
    <s v="1617"/>
    <s v="LDM"/>
    <n v="100"/>
    <x v="0"/>
    <n v="2"/>
    <n v="112.7"/>
    <n v="5"/>
    <m/>
    <x v="0"/>
    <n v="107.7"/>
    <n v="107.7"/>
    <n v="1"/>
    <x v="0"/>
    <x v="0"/>
    <n v="1"/>
    <n v="1.6666666666666666E-2"/>
    <x v="0"/>
    <x v="0"/>
    <m/>
    <x v="0"/>
    <x v="0"/>
    <x v="0"/>
    <x v="0"/>
    <x v="0"/>
    <n v="0"/>
    <n v="0"/>
    <n v="1.6666666666666666E-2"/>
    <n v="11.983333333333333"/>
    <x v="1"/>
    <x v="0"/>
    <m/>
    <x v="0"/>
    <n v="117.7"/>
    <x v="0"/>
    <x v="21"/>
    <x v="10"/>
    <x v="0"/>
    <x v="0"/>
  </r>
  <r>
    <x v="0"/>
    <x v="11"/>
    <s v="6601 J"/>
    <x v="204"/>
    <s v="A.K Shopping Bag "/>
    <s v="LDM"/>
    <n v="19"/>
    <s v="11-12"/>
    <s v="LDM"/>
    <n v="100"/>
    <x v="0"/>
    <n v="2"/>
    <n v="109.7"/>
    <n v="4.5999999999999996"/>
    <m/>
    <x v="0"/>
    <n v="105.10000000000001"/>
    <n v="105.10000000000001"/>
    <n v="1"/>
    <x v="0"/>
    <x v="0"/>
    <n v="1"/>
    <n v="1.6666666666666666E-2"/>
    <x v="0"/>
    <x v="0"/>
    <m/>
    <x v="0"/>
    <x v="0"/>
    <x v="0"/>
    <x v="0"/>
    <x v="0"/>
    <n v="0"/>
    <n v="0"/>
    <n v="1.6666666666666666E-2"/>
    <n v="11.983333333333333"/>
    <x v="1"/>
    <x v="0"/>
    <m/>
    <x v="0"/>
    <n v="114.7"/>
    <x v="0"/>
    <x v="21"/>
    <x v="10"/>
    <x v="0"/>
    <x v="0"/>
  </r>
  <r>
    <x v="0"/>
    <x v="11"/>
    <s v="6600 J"/>
    <x v="204"/>
    <s v="A.K Shopping Bag "/>
    <s v="LDM"/>
    <n v="18"/>
    <s v="11-12"/>
    <s v="LDM"/>
    <n v="100"/>
    <x v="0"/>
    <n v="2"/>
    <n v="98.9"/>
    <n v="4.4000000000000004"/>
    <n v="11"/>
    <x v="0"/>
    <n v="94.5"/>
    <n v="94.5"/>
    <m/>
    <x v="0"/>
    <x v="0"/>
    <n v="0"/>
    <n v="0"/>
    <x v="0"/>
    <x v="0"/>
    <m/>
    <x v="0"/>
    <x v="0"/>
    <x v="0"/>
    <x v="0"/>
    <x v="0"/>
    <n v="0"/>
    <n v="0"/>
    <n v="0"/>
    <n v="12"/>
    <x v="1"/>
    <x v="0"/>
    <m/>
    <x v="0"/>
    <n v="103.9"/>
    <x v="0"/>
    <x v="21"/>
    <x v="10"/>
    <x v="0"/>
    <x v="0"/>
  </r>
  <r>
    <x v="1"/>
    <x v="11"/>
    <s v="6603 J"/>
    <x v="204"/>
    <s v="A.K Shopping Bag "/>
    <s v="LDM"/>
    <s v="12+3+3"/>
    <s v="7.5-8/15-16"/>
    <s v="LDM"/>
    <n v="110"/>
    <x v="0"/>
    <n v="3"/>
    <n v="123"/>
    <n v="4.5"/>
    <n v="9"/>
    <x v="0"/>
    <n v="118.5"/>
    <n v="118.5"/>
    <n v="3"/>
    <x v="0"/>
    <x v="0"/>
    <n v="3"/>
    <n v="0.05"/>
    <x v="0"/>
    <x v="0"/>
    <m/>
    <x v="0"/>
    <x v="0"/>
    <x v="0"/>
    <x v="0"/>
    <x v="0"/>
    <n v="0"/>
    <n v="0"/>
    <n v="0.05"/>
    <n v="11.95"/>
    <x v="1"/>
    <x v="0"/>
    <m/>
    <x v="0"/>
    <n v="128"/>
    <x v="0"/>
    <x v="21"/>
    <x v="10"/>
    <x v="0"/>
    <x v="0"/>
  </r>
  <r>
    <x v="1"/>
    <x v="11"/>
    <s v="6602 J"/>
    <x v="204"/>
    <s v="A.K Shopping Bag "/>
    <s v="LDM"/>
    <s v="10+2.5+2.5"/>
    <s v="7.5-8/15-16"/>
    <s v="LDM"/>
    <n v="110"/>
    <x v="0"/>
    <n v="3"/>
    <n v="109.02000000000001"/>
    <n v="5.0999999999999996"/>
    <m/>
    <x v="0"/>
    <n v="103.92000000000002"/>
    <n v="103.92000000000002"/>
    <n v="2"/>
    <x v="0"/>
    <x v="0"/>
    <n v="2"/>
    <n v="3.3333333333333333E-2"/>
    <x v="0"/>
    <x v="0"/>
    <m/>
    <x v="0"/>
    <x v="0"/>
    <x v="0"/>
    <x v="0"/>
    <x v="0"/>
    <n v="0"/>
    <n v="0"/>
    <n v="3.3333333333333333E-2"/>
    <n v="11.966666666666667"/>
    <x v="1"/>
    <x v="0"/>
    <m/>
    <x v="0"/>
    <n v="114.02000000000001"/>
    <x v="0"/>
    <x v="21"/>
    <x v="10"/>
    <x v="0"/>
    <x v="0"/>
  </r>
  <r>
    <x v="1"/>
    <x v="11"/>
    <s v="6504 J"/>
    <x v="204"/>
    <s v="High Class Bakers Gujrat"/>
    <s v="LDM"/>
    <s v="12+3.5+3.5"/>
    <s v="7.5-8/15-16"/>
    <s v="LDM"/>
    <n v="350"/>
    <x v="0"/>
    <n v="4"/>
    <n v="238"/>
    <n v="6"/>
    <m/>
    <x v="0"/>
    <n v="232"/>
    <n v="409.09999999999997"/>
    <m/>
    <x v="0"/>
    <x v="0"/>
    <n v="0"/>
    <n v="0"/>
    <x v="0"/>
    <x v="0"/>
    <m/>
    <x v="0"/>
    <x v="0"/>
    <x v="0"/>
    <x v="0"/>
    <x v="0"/>
    <n v="0"/>
    <n v="0"/>
    <n v="0"/>
    <n v="12"/>
    <x v="1"/>
    <x v="0"/>
    <m/>
    <x v="0"/>
    <n v="243"/>
    <x v="0"/>
    <x v="21"/>
    <x v="10"/>
    <x v="0"/>
    <x v="0"/>
  </r>
  <r>
    <x v="0"/>
    <x v="14"/>
    <s v="269 R"/>
    <x v="204"/>
    <s v="ریفلیکٹ پیک"/>
    <s v="LDN"/>
    <n v="35"/>
    <s v="5-5.5"/>
    <s v="LDN"/>
    <n v="10000"/>
    <x v="0"/>
    <n v="11"/>
    <n v="822.11000000000013"/>
    <n v="48.400000000000006"/>
    <n v="22"/>
    <x v="0"/>
    <n v="773.71000000000015"/>
    <n v="10034.49"/>
    <m/>
    <x v="0"/>
    <x v="0"/>
    <n v="0"/>
    <n v="0"/>
    <x v="0"/>
    <x v="0"/>
    <m/>
    <x v="8"/>
    <x v="0"/>
    <x v="0"/>
    <x v="0"/>
    <x v="0"/>
    <n v="25"/>
    <n v="0.41666666666666669"/>
    <n v="0.41666666666666669"/>
    <n v="11.583333333333334"/>
    <x v="1"/>
    <x v="0"/>
    <m/>
    <x v="0"/>
    <n v="827.11000000000013"/>
    <x v="0"/>
    <x v="21"/>
    <x v="10"/>
    <x v="0"/>
    <x v="0"/>
  </r>
  <r>
    <x v="1"/>
    <x v="14"/>
    <s v="269 R"/>
    <x v="204"/>
    <s v="ریفلیکٹ پیک"/>
    <s v="LDN"/>
    <n v="35"/>
    <s v="5-5.5"/>
    <s v="LDN"/>
    <n v="10000"/>
    <x v="0"/>
    <n v="4"/>
    <n v="298"/>
    <n v="14.8"/>
    <n v="13.5"/>
    <x v="0"/>
    <n v="283.2"/>
    <n v="10034.49"/>
    <m/>
    <x v="0"/>
    <x v="0"/>
    <n v="0"/>
    <n v="0"/>
    <x v="0"/>
    <x v="9"/>
    <m/>
    <x v="0"/>
    <x v="0"/>
    <x v="0"/>
    <x v="0"/>
    <x v="0"/>
    <n v="18"/>
    <n v="0.3"/>
    <n v="0.3"/>
    <n v="11.7"/>
    <x v="1"/>
    <x v="0"/>
    <m/>
    <x v="0"/>
    <n v="303"/>
    <x v="0"/>
    <x v="21"/>
    <x v="10"/>
    <x v="0"/>
    <x v="0"/>
  </r>
  <r>
    <x v="1"/>
    <x v="14"/>
    <s v="6478 J"/>
    <x v="204"/>
    <s v="A One Plastic Circular Road Lahore"/>
    <s v="LDN"/>
    <s v="26&quot; شیٹ"/>
    <s v="7-7.5/14-15"/>
    <s v="LDN"/>
    <n v="500"/>
    <x v="0"/>
    <n v="2"/>
    <n v="251.4"/>
    <n v="6.4"/>
    <m/>
    <x v="0"/>
    <n v="245"/>
    <n v="505.03000000000003"/>
    <m/>
    <x v="0"/>
    <x v="0"/>
    <n v="0"/>
    <n v="0"/>
    <x v="0"/>
    <x v="0"/>
    <m/>
    <x v="0"/>
    <x v="0"/>
    <x v="0"/>
    <x v="0"/>
    <x v="0"/>
    <n v="0"/>
    <n v="0"/>
    <n v="0"/>
    <n v="12"/>
    <x v="1"/>
    <x v="0"/>
    <m/>
    <x v="0"/>
    <n v="256.39999999999998"/>
    <x v="0"/>
    <x v="21"/>
    <x v="10"/>
    <x v="0"/>
    <x v="0"/>
  </r>
  <r>
    <x v="0"/>
    <x v="15"/>
    <s v="2694 F"/>
    <x v="204"/>
    <s v="Usman Amin"/>
    <s v="LDN"/>
    <n v="17"/>
    <s v="8.5-9"/>
    <s v="LDN"/>
    <n v="700"/>
    <x v="0"/>
    <n v="3"/>
    <n v="172.60000000000002"/>
    <n v="6"/>
    <m/>
    <x v="0"/>
    <n v="166.60000000000002"/>
    <n v="706.66"/>
    <m/>
    <x v="0"/>
    <x v="0"/>
    <n v="0"/>
    <n v="0"/>
    <x v="0"/>
    <x v="0"/>
    <m/>
    <x v="0"/>
    <x v="0"/>
    <x v="0"/>
    <x v="0"/>
    <x v="0"/>
    <n v="0"/>
    <n v="0"/>
    <n v="0"/>
    <n v="12"/>
    <x v="1"/>
    <x v="0"/>
    <m/>
    <x v="0"/>
    <n v="177.60000000000002"/>
    <x v="0"/>
    <x v="21"/>
    <x v="10"/>
    <x v="0"/>
    <x v="0"/>
  </r>
  <r>
    <x v="0"/>
    <x v="15"/>
    <s v="6545 J"/>
    <x v="204"/>
    <s v="Super Diamond Food Kamoki"/>
    <s v="LDN"/>
    <n v="22"/>
    <s v="7.5-8"/>
    <s v="LDN"/>
    <n v="125"/>
    <x v="0"/>
    <n v="2"/>
    <n v="130.9"/>
    <n v="5.35"/>
    <m/>
    <x v="0"/>
    <n v="125.55000000000001"/>
    <n v="125.55000000000001"/>
    <m/>
    <x v="0"/>
    <x v="0"/>
    <n v="0"/>
    <n v="0"/>
    <x v="0"/>
    <x v="0"/>
    <m/>
    <x v="0"/>
    <x v="0"/>
    <x v="0"/>
    <x v="0"/>
    <x v="0"/>
    <n v="0"/>
    <n v="0"/>
    <n v="0"/>
    <n v="12"/>
    <x v="1"/>
    <x v="0"/>
    <m/>
    <x v="0"/>
    <n v="135.9"/>
    <x v="0"/>
    <x v="21"/>
    <x v="10"/>
    <x v="0"/>
    <x v="0"/>
  </r>
  <r>
    <x v="0"/>
    <x v="15"/>
    <s v="6544 J"/>
    <x v="204"/>
    <s v="Super Diamond Food Kamoki"/>
    <s v="LDN"/>
    <n v="22"/>
    <s v="7.5-8"/>
    <s v="LDN"/>
    <n v="400"/>
    <x v="0"/>
    <n v="3"/>
    <n v="161.21"/>
    <n v="7.8000000000000007"/>
    <n v="5"/>
    <x v="0"/>
    <n v="153.41"/>
    <n v="401.32000000000005"/>
    <n v="2"/>
    <x v="0"/>
    <x v="0"/>
    <n v="2"/>
    <n v="3.3333333333333333E-2"/>
    <x v="0"/>
    <x v="0"/>
    <m/>
    <x v="0"/>
    <x v="0"/>
    <x v="0"/>
    <x v="0"/>
    <x v="0"/>
    <n v="0"/>
    <n v="0"/>
    <n v="3.3333333333333333E-2"/>
    <n v="11.966666666666667"/>
    <x v="1"/>
    <x v="0"/>
    <m/>
    <x v="0"/>
    <n v="166.21"/>
    <x v="0"/>
    <x v="21"/>
    <x v="10"/>
    <x v="0"/>
    <x v="0"/>
  </r>
  <r>
    <x v="1"/>
    <x v="15"/>
    <s v="6544 J"/>
    <x v="204"/>
    <s v="Super Diamond Food Kamoki"/>
    <s v="LDN"/>
    <n v="22"/>
    <s v="7.5-8"/>
    <s v="LDN"/>
    <n v="400"/>
    <x v="0"/>
    <n v="4"/>
    <n v="258.71000000000004"/>
    <n v="10.8"/>
    <n v="3.5"/>
    <x v="0"/>
    <n v="247.91000000000003"/>
    <n v="401.32000000000005"/>
    <n v="5"/>
    <x v="0"/>
    <x v="0"/>
    <n v="5"/>
    <n v="8.3333333333333329E-2"/>
    <x v="0"/>
    <x v="0"/>
    <m/>
    <x v="0"/>
    <x v="0"/>
    <x v="0"/>
    <x v="0"/>
    <x v="0"/>
    <n v="0"/>
    <n v="0"/>
    <n v="8.3333333333333329E-2"/>
    <n v="11.916666666666666"/>
    <x v="1"/>
    <x v="0"/>
    <m/>
    <x v="0"/>
    <n v="263.71000000000004"/>
    <x v="0"/>
    <x v="21"/>
    <x v="10"/>
    <x v="0"/>
    <x v="0"/>
  </r>
  <r>
    <x v="1"/>
    <x v="15"/>
    <s v="2844/1"/>
    <x v="204"/>
    <s v="MATCO FOOD"/>
    <s v="LDN"/>
    <s v="23-23.5"/>
    <s v="70±2"/>
    <s v="SL"/>
    <n v="2100"/>
    <x v="0"/>
    <n v="2"/>
    <n v="189.57"/>
    <n v="7"/>
    <m/>
    <x v="0"/>
    <n v="182.57"/>
    <n v="1321.3899999999999"/>
    <m/>
    <x v="0"/>
    <x v="0"/>
    <n v="0"/>
    <n v="0"/>
    <x v="0"/>
    <x v="0"/>
    <m/>
    <x v="0"/>
    <x v="0"/>
    <x v="0"/>
    <x v="0"/>
    <x v="0"/>
    <n v="0"/>
    <n v="0"/>
    <n v="0"/>
    <n v="12"/>
    <x v="1"/>
    <x v="0"/>
    <m/>
    <x v="0"/>
    <n v="194.57"/>
    <x v="0"/>
    <x v="21"/>
    <x v="10"/>
    <x v="0"/>
    <x v="0"/>
  </r>
  <r>
    <x v="0"/>
    <x v="8"/>
    <s v="6564 J"/>
    <x v="205"/>
    <s v="Jilani Poly Stock"/>
    <s v="LDN"/>
    <n v="6"/>
    <n v="10"/>
    <s v="LDN"/>
    <s v="-"/>
    <x v="0"/>
    <n v="4"/>
    <n v="154.48000000000002"/>
    <n v="2.4"/>
    <n v="2.0757526081277917"/>
    <x v="0"/>
    <n v="152.08000000000001"/>
    <n v="395.15999999999997"/>
    <m/>
    <x v="0"/>
    <x v="0"/>
    <n v="0"/>
    <n v="0"/>
    <x v="0"/>
    <x v="0"/>
    <m/>
    <x v="0"/>
    <x v="0"/>
    <x v="0"/>
    <x v="0"/>
    <x v="0"/>
    <n v="0"/>
    <n v="0"/>
    <n v="0"/>
    <n v="12"/>
    <x v="1"/>
    <x v="0"/>
    <m/>
    <x v="0"/>
    <n v="159.48000000000002"/>
    <x v="0"/>
    <x v="21"/>
    <x v="10"/>
    <x v="0"/>
    <x v="0"/>
  </r>
  <r>
    <x v="1"/>
    <x v="8"/>
    <s v="6564 J"/>
    <x v="205"/>
    <s v="Jilani Poly Stock"/>
    <s v="LDN"/>
    <n v="6"/>
    <n v="10"/>
    <s v="LDN"/>
    <s v="-"/>
    <x v="0"/>
    <n v="3"/>
    <n v="104.73"/>
    <n v="2.7"/>
    <n v="1.4072602967971493"/>
    <x v="0"/>
    <n v="102.03"/>
    <n v="395.15999999999997"/>
    <m/>
    <x v="0"/>
    <x v="2"/>
    <n v="180"/>
    <n v="3"/>
    <x v="0"/>
    <x v="0"/>
    <m/>
    <x v="0"/>
    <x v="0"/>
    <x v="0"/>
    <x v="0"/>
    <x v="0"/>
    <n v="0"/>
    <n v="0"/>
    <n v="3"/>
    <n v="9"/>
    <x v="1"/>
    <x v="0"/>
    <m/>
    <x v="0"/>
    <n v="109.73"/>
    <x v="0"/>
    <x v="21"/>
    <x v="10"/>
    <x v="0"/>
    <x v="0"/>
  </r>
  <r>
    <x v="0"/>
    <x v="9"/>
    <s v="6562 J"/>
    <x v="205"/>
    <s v="Jilani Poly Stock"/>
    <s v="LDN"/>
    <n v="4"/>
    <n v="10"/>
    <s v="LDN"/>
    <s v="-"/>
    <x v="0"/>
    <n v="1"/>
    <n v="49.6"/>
    <n v="1.3"/>
    <n v="0.66647675662311279"/>
    <x v="0"/>
    <n v="48.300000000000004"/>
    <n v="408.40000000000003"/>
    <m/>
    <x v="0"/>
    <x v="0"/>
    <n v="0"/>
    <n v="0"/>
    <x v="0"/>
    <x v="0"/>
    <m/>
    <x v="0"/>
    <x v="0"/>
    <x v="0"/>
    <x v="0"/>
    <x v="0"/>
    <n v="0"/>
    <n v="0"/>
    <n v="0"/>
    <n v="12"/>
    <x v="1"/>
    <x v="0"/>
    <m/>
    <x v="0"/>
    <n v="54.6"/>
    <x v="0"/>
    <x v="21"/>
    <x v="10"/>
    <x v="0"/>
    <x v="0"/>
  </r>
  <r>
    <x v="0"/>
    <x v="9"/>
    <s v="6563 J"/>
    <x v="205"/>
    <s v="Jilani Poly Stock"/>
    <s v="LDN"/>
    <n v="5"/>
    <n v="10"/>
    <s v="LDN"/>
    <s v="-"/>
    <x v="0"/>
    <n v="3"/>
    <n v="109.59"/>
    <n v="2.0999999999999996"/>
    <n v="1.4725642693211074"/>
    <x v="0"/>
    <n v="107.49000000000001"/>
    <n v="229.49"/>
    <m/>
    <x v="0"/>
    <x v="0"/>
    <n v="0"/>
    <n v="0"/>
    <x v="0"/>
    <x v="0"/>
    <m/>
    <x v="0"/>
    <x v="0"/>
    <x v="0"/>
    <x v="0"/>
    <x v="0"/>
    <n v="0"/>
    <n v="0"/>
    <n v="0"/>
    <n v="12"/>
    <x v="1"/>
    <x v="0"/>
    <m/>
    <x v="0"/>
    <n v="114.59"/>
    <x v="0"/>
    <x v="21"/>
    <x v="10"/>
    <x v="0"/>
    <x v="0"/>
  </r>
  <r>
    <x v="1"/>
    <x v="9"/>
    <s v="6563 J"/>
    <x v="205"/>
    <s v="Jilani Poly Stock"/>
    <s v="LDN"/>
    <n v="5"/>
    <n v="10"/>
    <s v="LDN"/>
    <s v="-"/>
    <x v="0"/>
    <n v="4"/>
    <n v="124.80000000000001"/>
    <n v="2.8"/>
    <n v="1.6769415166646064"/>
    <x v="0"/>
    <n v="122.00000000000001"/>
    <n v="229.49"/>
    <m/>
    <x v="0"/>
    <x v="2"/>
    <n v="180"/>
    <n v="3"/>
    <x v="0"/>
    <x v="0"/>
    <m/>
    <x v="0"/>
    <x v="0"/>
    <x v="0"/>
    <x v="0"/>
    <x v="0"/>
    <n v="0"/>
    <n v="0"/>
    <n v="3"/>
    <n v="9"/>
    <x v="1"/>
    <x v="0"/>
    <m/>
    <x v="0"/>
    <n v="129.80000000000001"/>
    <x v="0"/>
    <x v="21"/>
    <x v="10"/>
    <x v="0"/>
    <x v="0"/>
  </r>
  <r>
    <x v="0"/>
    <x v="11"/>
    <s v="6504 J"/>
    <x v="205"/>
    <s v="High Class Bakers Gujrat"/>
    <s v="LDM"/>
    <s v="12+3.5+3.5"/>
    <s v="7.5-8/15-16"/>
    <s v="LDM"/>
    <n v="350"/>
    <x v="0"/>
    <n v="3"/>
    <n v="151.6"/>
    <n v="4.1999999999999993"/>
    <n v="2.0370539577432236"/>
    <x v="0"/>
    <n v="147.4"/>
    <n v="409.09999999999997"/>
    <m/>
    <x v="0"/>
    <x v="0"/>
    <n v="0"/>
    <n v="0"/>
    <x v="0"/>
    <x v="0"/>
    <m/>
    <x v="0"/>
    <x v="0"/>
    <x v="0"/>
    <x v="0"/>
    <x v="0"/>
    <n v="0"/>
    <n v="0"/>
    <n v="0"/>
    <n v="12"/>
    <x v="1"/>
    <x v="0"/>
    <m/>
    <x v="0"/>
    <n v="156.6"/>
    <x v="0"/>
    <x v="21"/>
    <x v="10"/>
    <x v="0"/>
    <x v="0"/>
  </r>
  <r>
    <x v="0"/>
    <x v="11"/>
    <s v="6505 J"/>
    <x v="205"/>
    <s v="High Class Bakers Gujrat"/>
    <s v="LDM"/>
    <s v="14+4.5+4.5"/>
    <s v="7.5-8/15-16"/>
    <s v="LDM"/>
    <n v="350"/>
    <x v="0"/>
    <n v="8"/>
    <n v="390.7"/>
    <n v="14.4"/>
    <n v="5.2498481615453656"/>
    <x v="0"/>
    <n v="376.3"/>
    <n v="376.3"/>
    <m/>
    <x v="0"/>
    <x v="0"/>
    <n v="0"/>
    <n v="0"/>
    <x v="0"/>
    <x v="0"/>
    <m/>
    <x v="0"/>
    <x v="0"/>
    <x v="0"/>
    <x v="0"/>
    <x v="0"/>
    <n v="0"/>
    <n v="0"/>
    <n v="0"/>
    <n v="12"/>
    <x v="1"/>
    <x v="0"/>
    <m/>
    <x v="0"/>
    <n v="395.7"/>
    <x v="0"/>
    <x v="21"/>
    <x v="10"/>
    <x v="0"/>
    <x v="0"/>
  </r>
  <r>
    <x v="0"/>
    <x v="14"/>
    <s v="6478 J"/>
    <x v="205"/>
    <s v="A One Plastic Circular Road Lahore"/>
    <s v="LDN"/>
    <s v="26&quot; شیٹ"/>
    <s v="7-7.5/14-15"/>
    <s v="LDN"/>
    <n v="500"/>
    <x v="0"/>
    <n v="2"/>
    <n v="266.43"/>
    <n v="6.4"/>
    <n v="3.5800282715140312"/>
    <x v="0"/>
    <n v="260.03000000000003"/>
    <n v="505.03000000000003"/>
    <m/>
    <x v="0"/>
    <x v="0"/>
    <n v="0"/>
    <n v="0"/>
    <x v="0"/>
    <x v="0"/>
    <m/>
    <x v="0"/>
    <x v="0"/>
    <x v="0"/>
    <x v="0"/>
    <x v="0"/>
    <n v="0"/>
    <n v="0"/>
    <n v="0"/>
    <n v="12"/>
    <x v="1"/>
    <x v="0"/>
    <m/>
    <x v="0"/>
    <n v="271.43"/>
    <x v="0"/>
    <x v="21"/>
    <x v="10"/>
    <x v="0"/>
    <x v="0"/>
  </r>
  <r>
    <x v="0"/>
    <x v="14"/>
    <s v="6654 J"/>
    <x v="205"/>
    <s v="Baber Sher C/O Al Fatah Bakers"/>
    <s v="PP"/>
    <n v="18"/>
    <s v="5-5.5"/>
    <s v="PP"/>
    <n v="300"/>
    <x v="0"/>
    <n v="2"/>
    <n v="105.33000000000001"/>
    <n v="5.6"/>
    <n v="1.4153225156272677"/>
    <x v="0"/>
    <n v="99.730000000000018"/>
    <n v="99.730000000000018"/>
    <m/>
    <x v="0"/>
    <x v="0"/>
    <n v="0"/>
    <n v="0"/>
    <x v="0"/>
    <x v="0"/>
    <m/>
    <x v="0"/>
    <x v="0"/>
    <x v="0"/>
    <x v="0"/>
    <x v="0"/>
    <n v="0"/>
    <n v="0"/>
    <n v="0"/>
    <n v="12"/>
    <x v="1"/>
    <x v="0"/>
    <m/>
    <x v="0"/>
    <n v="110.33000000000001"/>
    <x v="0"/>
    <x v="21"/>
    <x v="10"/>
    <x v="0"/>
    <x v="0"/>
  </r>
  <r>
    <x v="0"/>
    <x v="14"/>
    <s v="2706 F"/>
    <x v="205"/>
    <s v="Usman Amin"/>
    <s v="LDN"/>
    <n v="32"/>
    <s v="7"/>
    <s v="LDN"/>
    <n v="1100"/>
    <x v="0"/>
    <n v="6"/>
    <n v="527.23"/>
    <n v="24"/>
    <n v="7.0844060563387856"/>
    <x v="0"/>
    <n v="503.23"/>
    <n v="1100.93"/>
    <m/>
    <x v="0"/>
    <x v="0"/>
    <n v="0"/>
    <n v="0"/>
    <x v="0"/>
    <x v="0"/>
    <m/>
    <x v="0"/>
    <x v="0"/>
    <x v="0"/>
    <x v="0"/>
    <x v="0"/>
    <n v="0"/>
    <n v="0"/>
    <n v="0"/>
    <n v="12"/>
    <x v="1"/>
    <x v="0"/>
    <m/>
    <x v="0"/>
    <n v="532.23"/>
    <x v="0"/>
    <x v="21"/>
    <x v="10"/>
    <x v="0"/>
    <x v="0"/>
  </r>
  <r>
    <x v="0"/>
    <x v="14"/>
    <s v="6546 J"/>
    <x v="205"/>
    <s v="Synt Chemical Lahore "/>
    <s v="LDN"/>
    <s v="525 MM"/>
    <s v="15-16/30-32"/>
    <s v="LDN"/>
    <n v="100"/>
    <x v="0"/>
    <n v="2"/>
    <n v="110.18"/>
    <n v="4.4000000000000004"/>
    <n v="1.4804921178373904"/>
    <x v="0"/>
    <n v="105.78"/>
    <n v="105.78"/>
    <m/>
    <x v="0"/>
    <x v="0"/>
    <n v="0"/>
    <n v="0"/>
    <x v="0"/>
    <x v="0"/>
    <m/>
    <x v="0"/>
    <x v="0"/>
    <x v="0"/>
    <x v="0"/>
    <x v="0"/>
    <n v="0"/>
    <n v="0"/>
    <n v="0"/>
    <n v="12"/>
    <x v="1"/>
    <x v="0"/>
    <m/>
    <x v="0"/>
    <n v="115.18"/>
    <x v="0"/>
    <x v="21"/>
    <x v="10"/>
    <x v="0"/>
    <x v="0"/>
  </r>
  <r>
    <x v="1"/>
    <x v="14"/>
    <s v="2706 F"/>
    <x v="205"/>
    <s v="Usman Amin"/>
    <s v="LDN"/>
    <n v="32"/>
    <s v="7"/>
    <s v="LDN"/>
    <n v="1100"/>
    <x v="0"/>
    <n v="8"/>
    <n v="629.70000000000005"/>
    <n v="32"/>
    <n v="8.4612986622091562"/>
    <x v="0"/>
    <n v="597.70000000000005"/>
    <n v="1100.93"/>
    <m/>
    <x v="0"/>
    <x v="2"/>
    <n v="180"/>
    <n v="3"/>
    <x v="0"/>
    <x v="0"/>
    <m/>
    <x v="0"/>
    <x v="0"/>
    <x v="0"/>
    <x v="0"/>
    <x v="0"/>
    <n v="0"/>
    <n v="0"/>
    <n v="3"/>
    <n v="9"/>
    <x v="1"/>
    <x v="0"/>
    <m/>
    <x v="0"/>
    <n v="634.70000000000005"/>
    <x v="0"/>
    <x v="21"/>
    <x v="10"/>
    <x v="0"/>
    <x v="0"/>
  </r>
  <r>
    <x v="0"/>
    <x v="15"/>
    <s v="2844/1"/>
    <x v="205"/>
    <s v="MATCO FOOD"/>
    <s v="LDN"/>
    <s v="23-23.5"/>
    <s v="70±2"/>
    <s v="SL"/>
    <n v="2100"/>
    <x v="0"/>
    <n v="5"/>
    <n v="565"/>
    <n v="13.5"/>
    <n v="7.5919227316947318"/>
    <x v="0"/>
    <n v="551.5"/>
    <n v="1321.3899999999999"/>
    <m/>
    <x v="0"/>
    <x v="0"/>
    <n v="0"/>
    <n v="0"/>
    <x v="0"/>
    <x v="0"/>
    <m/>
    <x v="0"/>
    <x v="0"/>
    <x v="0"/>
    <x v="0"/>
    <x v="0"/>
    <n v="0"/>
    <n v="0"/>
    <n v="0"/>
    <n v="12"/>
    <x v="1"/>
    <x v="0"/>
    <m/>
    <x v="0"/>
    <n v="570"/>
    <x v="0"/>
    <x v="21"/>
    <x v="10"/>
    <x v="0"/>
    <x v="0"/>
  </r>
  <r>
    <x v="1"/>
    <x v="15"/>
    <s v="2844/1"/>
    <x v="205"/>
    <s v="MATCO FOOD"/>
    <s v="LDN"/>
    <s v="23-23.5"/>
    <s v="70±2"/>
    <s v="SL"/>
    <n v="2100"/>
    <x v="0"/>
    <n v="5"/>
    <n v="431.68999999999994"/>
    <n v="17.5"/>
    <n v="5.8006320779562808"/>
    <x v="0"/>
    <n v="414.18999999999994"/>
    <n v="1321.3899999999999"/>
    <m/>
    <x v="0"/>
    <x v="2"/>
    <n v="180"/>
    <n v="3"/>
    <x v="0"/>
    <x v="0"/>
    <m/>
    <x v="0"/>
    <x v="0"/>
    <x v="0"/>
    <x v="0"/>
    <x v="0"/>
    <n v="0"/>
    <n v="0"/>
    <n v="3"/>
    <n v="9"/>
    <x v="1"/>
    <x v="0"/>
    <m/>
    <x v="0"/>
    <n v="436.68999999999994"/>
    <x v="0"/>
    <x v="21"/>
    <x v="10"/>
    <x v="0"/>
    <x v="0"/>
  </r>
  <r>
    <x v="1"/>
    <x v="16"/>
    <m/>
    <x v="206"/>
    <s v="A+B SHIFT ALL MACHINES OFF"/>
    <m/>
    <m/>
    <m/>
    <m/>
    <m/>
    <x v="0"/>
    <m/>
    <m/>
    <m/>
    <m/>
    <x v="0"/>
    <n v="0"/>
    <n v="0"/>
    <m/>
    <x v="0"/>
    <x v="0"/>
    <n v="0"/>
    <n v="0"/>
    <x v="0"/>
    <x v="0"/>
    <m/>
    <x v="0"/>
    <x v="0"/>
    <x v="0"/>
    <x v="0"/>
    <x v="0"/>
    <n v="0"/>
    <n v="0"/>
    <n v="0"/>
    <n v="12"/>
    <x v="1"/>
    <x v="0"/>
    <m/>
    <x v="0"/>
    <m/>
    <x v="0"/>
    <x v="21"/>
    <x v="0"/>
    <x v="0"/>
    <x v="0"/>
  </r>
  <r>
    <x v="0"/>
    <x v="8"/>
    <s v="2718 F"/>
    <x v="207"/>
    <s v="Usman Amin"/>
    <s v="LDN"/>
    <n v="7"/>
    <s v="7"/>
    <s v="LDN"/>
    <n v="20"/>
    <x v="0"/>
    <n v="1"/>
    <n v="37.200000000000003"/>
    <n v="0.9"/>
    <m/>
    <x v="0"/>
    <n v="36.300000000000004"/>
    <n v="36.300000000000004"/>
    <m/>
    <x v="0"/>
    <x v="0"/>
    <n v="0"/>
    <n v="0"/>
    <x v="0"/>
    <x v="0"/>
    <m/>
    <x v="0"/>
    <x v="0"/>
    <x v="0"/>
    <x v="0"/>
    <x v="0"/>
    <n v="0"/>
    <n v="0"/>
    <n v="0"/>
    <n v="12"/>
    <x v="1"/>
    <x v="0"/>
    <m/>
    <x v="0"/>
    <n v="42.2"/>
    <x v="0"/>
    <x v="21"/>
    <x v="11"/>
    <x v="0"/>
    <x v="0"/>
  </r>
  <r>
    <x v="0"/>
    <x v="8"/>
    <s v="6504 J"/>
    <x v="207"/>
    <s v="High Class Bakers Gujrat"/>
    <s v="LDM"/>
    <s v="12+3.5+3.5"/>
    <s v="7.5-8/15-16"/>
    <s v="LDM"/>
    <n v="350"/>
    <x v="0"/>
    <n v="1"/>
    <n v="30.6"/>
    <n v="0.9"/>
    <m/>
    <x v="0"/>
    <n v="29.700000000000003"/>
    <n v="409.09999999999997"/>
    <m/>
    <x v="0"/>
    <x v="0"/>
    <n v="0"/>
    <n v="0"/>
    <x v="0"/>
    <x v="0"/>
    <m/>
    <x v="0"/>
    <x v="0"/>
    <x v="0"/>
    <x v="0"/>
    <x v="0"/>
    <n v="0"/>
    <n v="0"/>
    <n v="0"/>
    <n v="12"/>
    <x v="1"/>
    <x v="0"/>
    <m/>
    <x v="0"/>
    <n v="35.6"/>
    <x v="0"/>
    <x v="21"/>
    <x v="11"/>
    <x v="0"/>
    <x v="0"/>
  </r>
  <r>
    <x v="0"/>
    <x v="8"/>
    <s v="6619 J"/>
    <x v="207"/>
    <s v="Shahid Tufail Duska"/>
    <s v="LDN"/>
    <n v="6"/>
    <s v="14-15"/>
    <s v="LDN"/>
    <n v="100"/>
    <x v="0"/>
    <n v="1"/>
    <n v="33.6"/>
    <n v="0.9"/>
    <n v="28"/>
    <x v="0"/>
    <n v="32.700000000000003"/>
    <n v="101.8"/>
    <m/>
    <x v="14"/>
    <x v="0"/>
    <n v="170"/>
    <n v="2.8333333333333335"/>
    <x v="0"/>
    <x v="0"/>
    <m/>
    <x v="0"/>
    <x v="2"/>
    <x v="0"/>
    <x v="1"/>
    <x v="0"/>
    <n v="100"/>
    <n v="1.6666666666666667"/>
    <n v="4.5"/>
    <n v="7.5"/>
    <x v="1"/>
    <x v="0"/>
    <m/>
    <x v="0"/>
    <n v="38.6"/>
    <x v="0"/>
    <x v="21"/>
    <x v="11"/>
    <x v="0"/>
    <x v="0"/>
  </r>
  <r>
    <x v="1"/>
    <x v="8"/>
    <s v="6619 J"/>
    <x v="207"/>
    <s v="Shahid Tufail Duska"/>
    <s v="LDN"/>
    <n v="6"/>
    <s v="14-15"/>
    <s v="LDN"/>
    <n v="100"/>
    <x v="0"/>
    <n v="2"/>
    <n v="70.699999999999989"/>
    <n v="1.6"/>
    <n v="6"/>
    <x v="0"/>
    <n v="69.099999999999994"/>
    <n v="101.8"/>
    <m/>
    <x v="0"/>
    <x v="0"/>
    <n v="0"/>
    <n v="0"/>
    <x v="0"/>
    <x v="0"/>
    <m/>
    <x v="0"/>
    <x v="0"/>
    <x v="0"/>
    <x v="0"/>
    <x v="0"/>
    <n v="0"/>
    <n v="0"/>
    <n v="0"/>
    <n v="12"/>
    <x v="1"/>
    <x v="0"/>
    <m/>
    <x v="0"/>
    <n v="75.699999999999989"/>
    <x v="0"/>
    <x v="21"/>
    <x v="11"/>
    <x v="0"/>
    <x v="0"/>
  </r>
  <r>
    <x v="1"/>
    <x v="8"/>
    <s v="6618 J"/>
    <x v="207"/>
    <s v="Shahid Tufail Duska"/>
    <s v="LDN"/>
    <n v="6"/>
    <s v="14-15"/>
    <s v="LDN"/>
    <n v="100"/>
    <x v="0"/>
    <n v="2"/>
    <n v="76.400000000000006"/>
    <n v="16"/>
    <m/>
    <x v="0"/>
    <n v="60.400000000000006"/>
    <n v="91.300000000000011"/>
    <m/>
    <x v="0"/>
    <x v="0"/>
    <n v="0"/>
    <n v="0"/>
    <x v="0"/>
    <x v="0"/>
    <m/>
    <x v="0"/>
    <x v="0"/>
    <x v="0"/>
    <x v="0"/>
    <x v="0"/>
    <n v="0"/>
    <n v="0"/>
    <n v="0"/>
    <n v="12"/>
    <x v="1"/>
    <x v="0"/>
    <m/>
    <x v="0"/>
    <n v="81.400000000000006"/>
    <x v="0"/>
    <x v="21"/>
    <x v="11"/>
    <x v="0"/>
    <x v="0"/>
  </r>
  <r>
    <x v="1"/>
    <x v="11"/>
    <s v="6599 J"/>
    <x v="207"/>
    <s v="DW Organic Dairy Farms Kasur"/>
    <s v="LDM"/>
    <n v="8"/>
    <s v="17-18"/>
    <s v="LDM"/>
    <n v="100"/>
    <x v="0"/>
    <n v="2"/>
    <n v="101.19999999999999"/>
    <n v="2"/>
    <m/>
    <x v="0"/>
    <n v="99.199999999999989"/>
    <n v="99.199999999999989"/>
    <n v="40"/>
    <x v="15"/>
    <x v="0"/>
    <n v="240"/>
    <n v="4"/>
    <x v="0"/>
    <x v="0"/>
    <m/>
    <x v="0"/>
    <x v="0"/>
    <x v="0"/>
    <x v="0"/>
    <x v="0"/>
    <n v="0"/>
    <n v="0"/>
    <n v="4"/>
    <n v="8"/>
    <x v="1"/>
    <x v="0"/>
    <m/>
    <x v="0"/>
    <n v="106.19999999999999"/>
    <x v="0"/>
    <x v="21"/>
    <x v="11"/>
    <x v="0"/>
    <x v="0"/>
  </r>
  <r>
    <x v="1"/>
    <x v="11"/>
    <s v="6492 J"/>
    <x v="207"/>
    <s v="Hammad Plastic Gujranwala"/>
    <s v="LDM"/>
    <n v="8"/>
    <s v="13-14"/>
    <s v="LDM"/>
    <n v="100"/>
    <x v="0"/>
    <n v="2"/>
    <n v="98.01"/>
    <n v="2"/>
    <n v="3.5"/>
    <x v="0"/>
    <n v="96.01"/>
    <n v="96.01"/>
    <m/>
    <x v="0"/>
    <x v="0"/>
    <n v="0"/>
    <n v="0"/>
    <x v="0"/>
    <x v="0"/>
    <m/>
    <x v="0"/>
    <x v="0"/>
    <x v="0"/>
    <x v="0"/>
    <x v="0"/>
    <n v="0"/>
    <n v="0"/>
    <n v="0"/>
    <n v="12"/>
    <x v="1"/>
    <x v="0"/>
    <m/>
    <x v="0"/>
    <n v="103.01"/>
    <x v="0"/>
    <x v="21"/>
    <x v="11"/>
    <x v="0"/>
    <x v="0"/>
  </r>
  <r>
    <x v="0"/>
    <x v="14"/>
    <s v="2836/1"/>
    <x v="207"/>
    <s v="MATCO FOOD"/>
    <s v="LDN"/>
    <s v="28-28.5"/>
    <s v="95±1"/>
    <s v="SL"/>
    <n v="7600"/>
    <x v="0"/>
    <n v="3"/>
    <n v="397.6"/>
    <n v="10.8"/>
    <n v="24"/>
    <x v="0"/>
    <n v="386.8"/>
    <n v="6678.38"/>
    <m/>
    <x v="15"/>
    <x v="0"/>
    <n v="200"/>
    <n v="3.3333333333333335"/>
    <x v="0"/>
    <x v="0"/>
    <m/>
    <x v="1"/>
    <x v="0"/>
    <x v="0"/>
    <x v="1"/>
    <x v="0"/>
    <n v="50"/>
    <n v="0.83333333333333337"/>
    <n v="4.166666666666667"/>
    <n v="7.833333333333333"/>
    <x v="1"/>
    <x v="0"/>
    <m/>
    <x v="0"/>
    <n v="402.6"/>
    <x v="0"/>
    <x v="21"/>
    <x v="11"/>
    <x v="0"/>
    <x v="0"/>
  </r>
  <r>
    <x v="1"/>
    <x v="14"/>
    <s v="6605 J"/>
    <x v="207"/>
    <s v=" Perfect Food Industries Lahore "/>
    <s v="LDN"/>
    <n v="28"/>
    <s v="15-16"/>
    <s v="LDN"/>
    <n v="1000"/>
    <x v="0"/>
    <n v="7"/>
    <n v="764.48"/>
    <n v="17.399999999999999"/>
    <n v="30"/>
    <x v="0"/>
    <n v="747.08"/>
    <n v="1040.28"/>
    <m/>
    <x v="0"/>
    <x v="0"/>
    <n v="0"/>
    <n v="0"/>
    <x v="0"/>
    <x v="0"/>
    <m/>
    <x v="0"/>
    <x v="0"/>
    <x v="0"/>
    <x v="0"/>
    <x v="0"/>
    <n v="0"/>
    <n v="0"/>
    <n v="0"/>
    <n v="12"/>
    <x v="1"/>
    <x v="0"/>
    <m/>
    <x v="0"/>
    <n v="769.48"/>
    <x v="0"/>
    <x v="21"/>
    <x v="11"/>
    <x v="0"/>
    <x v="0"/>
  </r>
  <r>
    <x v="0"/>
    <x v="15"/>
    <s v="2844/1"/>
    <x v="207"/>
    <s v="MATCO FOOD"/>
    <s v="LDN"/>
    <s v="23-23.5"/>
    <s v="70±2"/>
    <s v="SL"/>
    <n v="2100"/>
    <x v="0"/>
    <n v="2"/>
    <n v="180.13"/>
    <n v="7"/>
    <m/>
    <x v="0"/>
    <n v="173.13"/>
    <n v="1321.3899999999999"/>
    <m/>
    <x v="0"/>
    <x v="0"/>
    <n v="0"/>
    <n v="0"/>
    <x v="0"/>
    <x v="0"/>
    <m/>
    <x v="0"/>
    <x v="0"/>
    <x v="0"/>
    <x v="0"/>
    <x v="0"/>
    <n v="0"/>
    <n v="0"/>
    <n v="0"/>
    <n v="12"/>
    <x v="1"/>
    <x v="0"/>
    <m/>
    <x v="0"/>
    <n v="185.13"/>
    <x v="0"/>
    <x v="21"/>
    <x v="11"/>
    <x v="0"/>
    <x v="0"/>
  </r>
  <r>
    <x v="0"/>
    <x v="15"/>
    <s v="2717 F"/>
    <x v="207"/>
    <s v="Usman Amin"/>
    <s v="LDN"/>
    <n v="19"/>
    <s v="8-8.5"/>
    <s v="LDN"/>
    <n v="120"/>
    <x v="0"/>
    <n v="2"/>
    <n v="125.66"/>
    <n v="4.8"/>
    <n v="10"/>
    <x v="0"/>
    <n v="120.86"/>
    <n v="120.86"/>
    <n v="5"/>
    <x v="15"/>
    <x v="0"/>
    <n v="205"/>
    <n v="3.4166666666666665"/>
    <x v="0"/>
    <x v="0"/>
    <m/>
    <x v="0"/>
    <x v="0"/>
    <x v="0"/>
    <x v="0"/>
    <x v="0"/>
    <n v="0"/>
    <n v="0"/>
    <n v="3.4166666666666665"/>
    <n v="8.5833333333333339"/>
    <x v="1"/>
    <x v="0"/>
    <m/>
    <x v="0"/>
    <n v="130.66"/>
    <x v="0"/>
    <x v="21"/>
    <x v="11"/>
    <x v="0"/>
    <x v="0"/>
  </r>
  <r>
    <x v="1"/>
    <x v="15"/>
    <s v="2679 F"/>
    <x v="207"/>
    <s v="Usman Amin"/>
    <s v="LDN"/>
    <n v="19"/>
    <s v="7-7.5"/>
    <s v="LDN"/>
    <n v="95"/>
    <x v="0"/>
    <n v="2"/>
    <n v="96.949999999999989"/>
    <n v="4.4000000000000004"/>
    <m/>
    <x v="0"/>
    <n v="92.549999999999983"/>
    <n v="188.31"/>
    <m/>
    <x v="0"/>
    <x v="0"/>
    <n v="0"/>
    <n v="0"/>
    <x v="0"/>
    <x v="0"/>
    <m/>
    <x v="0"/>
    <x v="0"/>
    <x v="0"/>
    <x v="0"/>
    <x v="0"/>
    <n v="0"/>
    <n v="0"/>
    <n v="0"/>
    <n v="12"/>
    <x v="1"/>
    <x v="0"/>
    <m/>
    <x v="0"/>
    <n v="101.94999999999999"/>
    <x v="0"/>
    <x v="21"/>
    <x v="11"/>
    <x v="0"/>
    <x v="0"/>
  </r>
  <r>
    <x v="1"/>
    <x v="15"/>
    <s v="2709 F"/>
    <x v="207"/>
    <s v="Usman Amin"/>
    <s v="LDN"/>
    <n v="15"/>
    <s v="5-5.5"/>
    <s v="LDN"/>
    <n v="320"/>
    <x v="0"/>
    <n v="4"/>
    <n v="168.05"/>
    <n v="4.8"/>
    <m/>
    <x v="0"/>
    <n v="163.25"/>
    <n v="320.02"/>
    <m/>
    <x v="0"/>
    <x v="0"/>
    <n v="0"/>
    <n v="0"/>
    <x v="0"/>
    <x v="0"/>
    <m/>
    <x v="0"/>
    <x v="0"/>
    <x v="0"/>
    <x v="0"/>
    <x v="0"/>
    <n v="0"/>
    <n v="0"/>
    <n v="0"/>
    <n v="12"/>
    <x v="1"/>
    <x v="0"/>
    <m/>
    <x v="0"/>
    <n v="173.05"/>
    <x v="0"/>
    <x v="21"/>
    <x v="11"/>
    <x v="0"/>
    <x v="0"/>
  </r>
  <r>
    <x v="1"/>
    <x v="15"/>
    <s v="6596 J"/>
    <x v="207"/>
    <s v="Zam Zam Cap Lahore"/>
    <s v="LDN"/>
    <n v="15"/>
    <s v="4.5-5"/>
    <s v="LDN"/>
    <n v="100"/>
    <x v="0"/>
    <n v="2"/>
    <n v="66.349999999999994"/>
    <n v="3"/>
    <m/>
    <x v="0"/>
    <n v="63.349999999999994"/>
    <n v="96.75"/>
    <m/>
    <x v="0"/>
    <x v="0"/>
    <n v="0"/>
    <n v="0"/>
    <x v="0"/>
    <x v="0"/>
    <m/>
    <x v="0"/>
    <x v="0"/>
    <x v="0"/>
    <x v="0"/>
    <x v="0"/>
    <n v="0"/>
    <n v="0"/>
    <n v="0"/>
    <n v="12"/>
    <x v="1"/>
    <x v="0"/>
    <m/>
    <x v="0"/>
    <n v="71.349999999999994"/>
    <x v="0"/>
    <x v="21"/>
    <x v="11"/>
    <x v="0"/>
    <x v="0"/>
  </r>
  <r>
    <x v="0"/>
    <x v="8"/>
    <s v="6620 J"/>
    <x v="208"/>
    <s v="Shahid Tufail Duska"/>
    <s v="LDN"/>
    <n v="7"/>
    <s v="14-15"/>
    <s v="LDN"/>
    <n v="100"/>
    <x v="0"/>
    <n v="3"/>
    <n v="112.4"/>
    <n v="2.7"/>
    <m/>
    <x v="0"/>
    <n v="109.7"/>
    <n v="109.7"/>
    <m/>
    <x v="0"/>
    <x v="0"/>
    <n v="0"/>
    <n v="0"/>
    <x v="0"/>
    <x v="0"/>
    <m/>
    <x v="0"/>
    <x v="0"/>
    <x v="0"/>
    <x v="0"/>
    <x v="0"/>
    <n v="0"/>
    <n v="0"/>
    <n v="0"/>
    <n v="12"/>
    <x v="1"/>
    <x v="0"/>
    <m/>
    <x v="0"/>
    <n v="117.4"/>
    <x v="0"/>
    <x v="21"/>
    <x v="11"/>
    <x v="0"/>
    <x v="0"/>
  </r>
  <r>
    <x v="0"/>
    <x v="8"/>
    <s v="6618 J"/>
    <x v="208"/>
    <s v="Shahid Tufail Duska"/>
    <s v="LDN"/>
    <n v="6"/>
    <s v="14-15"/>
    <s v="LDN"/>
    <n v="100"/>
    <x v="0"/>
    <n v="1"/>
    <n v="31.7"/>
    <n v="0.8"/>
    <m/>
    <x v="0"/>
    <n v="30.9"/>
    <n v="91.300000000000011"/>
    <m/>
    <x v="0"/>
    <x v="0"/>
    <n v="0"/>
    <n v="0"/>
    <x v="0"/>
    <x v="0"/>
    <m/>
    <x v="0"/>
    <x v="0"/>
    <x v="0"/>
    <x v="0"/>
    <x v="0"/>
    <n v="0"/>
    <n v="0"/>
    <n v="0"/>
    <n v="12"/>
    <x v="1"/>
    <x v="0"/>
    <m/>
    <x v="0"/>
    <n v="36.700000000000003"/>
    <x v="0"/>
    <x v="21"/>
    <x v="11"/>
    <x v="0"/>
    <x v="0"/>
  </r>
  <r>
    <x v="1"/>
    <x v="8"/>
    <s v="2725 F"/>
    <x v="208"/>
    <s v="Usman Amin"/>
    <s v="LDN"/>
    <n v="11"/>
    <s v="12"/>
    <s v="LDN"/>
    <n v="300"/>
    <x v="0"/>
    <n v="3"/>
    <n v="206.7"/>
    <n v="3.5999999999999996"/>
    <n v="5"/>
    <x v="0"/>
    <n v="203.1"/>
    <n v="304.15999999999997"/>
    <m/>
    <x v="0"/>
    <x v="0"/>
    <n v="0"/>
    <n v="0"/>
    <x v="0"/>
    <x v="0"/>
    <m/>
    <x v="0"/>
    <x v="0"/>
    <x v="0"/>
    <x v="0"/>
    <x v="0"/>
    <n v="0"/>
    <n v="0"/>
    <n v="0"/>
    <n v="12"/>
    <x v="1"/>
    <x v="0"/>
    <m/>
    <x v="0"/>
    <n v="211.7"/>
    <x v="0"/>
    <x v="21"/>
    <x v="11"/>
    <x v="0"/>
    <x v="0"/>
  </r>
  <r>
    <x v="1"/>
    <x v="9"/>
    <s v="14416"/>
    <x v="208"/>
    <s v="-"/>
    <m/>
    <n v="8"/>
    <s v="14-15"/>
    <m/>
    <m/>
    <x v="0"/>
    <n v="2"/>
    <n v="101.6"/>
    <n v="1.8"/>
    <n v="5"/>
    <x v="0"/>
    <n v="99.8"/>
    <n v="99.8"/>
    <m/>
    <x v="0"/>
    <x v="0"/>
    <n v="0"/>
    <n v="0"/>
    <x v="0"/>
    <x v="0"/>
    <m/>
    <x v="0"/>
    <x v="0"/>
    <x v="0"/>
    <x v="0"/>
    <x v="0"/>
    <n v="0"/>
    <n v="0"/>
    <n v="0"/>
    <n v="12"/>
    <x v="1"/>
    <x v="0"/>
    <m/>
    <x v="0"/>
    <n v="106.6"/>
    <x v="0"/>
    <x v="21"/>
    <x v="11"/>
    <x v="0"/>
    <x v="0"/>
  </r>
  <r>
    <x v="0"/>
    <x v="11"/>
    <s v="6595 J"/>
    <x v="208"/>
    <s v="Moazmi Plastic Sahiwal "/>
    <s v="LDM"/>
    <n v="7"/>
    <n v="18"/>
    <s v="LDM"/>
    <n v="100"/>
    <x v="0"/>
    <n v="4"/>
    <n v="107.45"/>
    <n v="3.6"/>
    <m/>
    <x v="0"/>
    <n v="103.85000000000001"/>
    <n v="103.85000000000001"/>
    <n v="3"/>
    <x v="0"/>
    <x v="0"/>
    <n v="3"/>
    <n v="0.05"/>
    <x v="0"/>
    <x v="0"/>
    <m/>
    <x v="0"/>
    <x v="0"/>
    <x v="0"/>
    <x v="0"/>
    <x v="0"/>
    <n v="0"/>
    <n v="0"/>
    <n v="0.05"/>
    <n v="11.95"/>
    <x v="1"/>
    <x v="0"/>
    <m/>
    <x v="0"/>
    <n v="112.45"/>
    <x v="0"/>
    <x v="21"/>
    <x v="11"/>
    <x v="0"/>
    <x v="0"/>
  </r>
  <r>
    <x v="0"/>
    <x v="11"/>
    <s v="6493 J"/>
    <x v="208"/>
    <s v="Hammad Plastic Gujranwala"/>
    <s v="LDM"/>
    <n v="7"/>
    <s v="13-14"/>
    <s v="LDM"/>
    <n v="100"/>
    <x v="0"/>
    <n v="2"/>
    <n v="92.300000000000011"/>
    <n v="1.8"/>
    <m/>
    <x v="0"/>
    <n v="90.500000000000014"/>
    <n v="90.500000000000014"/>
    <n v="2"/>
    <x v="0"/>
    <x v="0"/>
    <n v="2"/>
    <n v="3.3333333333333333E-2"/>
    <x v="0"/>
    <x v="0"/>
    <m/>
    <x v="0"/>
    <x v="0"/>
    <x v="0"/>
    <x v="0"/>
    <x v="0"/>
    <n v="0"/>
    <n v="0"/>
    <n v="3.3333333333333333E-2"/>
    <n v="11.966666666666667"/>
    <x v="1"/>
    <x v="0"/>
    <m/>
    <x v="0"/>
    <n v="97.300000000000011"/>
    <x v="0"/>
    <x v="21"/>
    <x v="11"/>
    <x v="0"/>
    <x v="0"/>
  </r>
  <r>
    <x v="0"/>
    <x v="11"/>
    <s v="6611 J"/>
    <x v="208"/>
    <s v="Ahmed Miss Print Sheikhupura"/>
    <s v="LD لائیٹنگ مال"/>
    <n v="16"/>
    <s v="11-12"/>
    <s v="LDM"/>
    <n v="100"/>
    <x v="0"/>
    <n v="1"/>
    <n v="42"/>
    <n v="1.6"/>
    <m/>
    <x v="0"/>
    <n v="40.4"/>
    <n v="125.10999999999999"/>
    <n v="3"/>
    <x v="0"/>
    <x v="0"/>
    <n v="3"/>
    <n v="0.05"/>
    <x v="0"/>
    <x v="0"/>
    <m/>
    <x v="0"/>
    <x v="0"/>
    <x v="0"/>
    <x v="0"/>
    <x v="0"/>
    <n v="0"/>
    <n v="0"/>
    <n v="0.05"/>
    <n v="11.95"/>
    <x v="1"/>
    <x v="0"/>
    <m/>
    <x v="0"/>
    <n v="47"/>
    <x v="0"/>
    <x v="21"/>
    <x v="11"/>
    <x v="0"/>
    <x v="0"/>
  </r>
  <r>
    <x v="0"/>
    <x v="11"/>
    <s v="6552 J"/>
    <x v="208"/>
    <s v="Khwaja Watch Center Lahore"/>
    <s v="LDگولڈن یلو"/>
    <s v="29&quot; شیٹ"/>
    <s v="7.5-8/15-16"/>
    <s v="LDM"/>
    <n v="300"/>
    <x v="0"/>
    <n v="1"/>
    <n v="50.99"/>
    <n v="1.8"/>
    <n v="108.2"/>
    <x v="0"/>
    <n v="49.190000000000005"/>
    <n v="623.1"/>
    <n v="2"/>
    <x v="0"/>
    <x v="0"/>
    <n v="2"/>
    <n v="3.3333333333333333E-2"/>
    <x v="0"/>
    <x v="0"/>
    <m/>
    <x v="0"/>
    <x v="0"/>
    <x v="0"/>
    <x v="0"/>
    <x v="0"/>
    <n v="0"/>
    <n v="0"/>
    <n v="3.3333333333333333E-2"/>
    <n v="11.966666666666667"/>
    <x v="1"/>
    <x v="0"/>
    <m/>
    <x v="0"/>
    <n v="55.99"/>
    <x v="0"/>
    <x v="21"/>
    <x v="11"/>
    <x v="0"/>
    <x v="0"/>
  </r>
  <r>
    <x v="1"/>
    <x v="11"/>
    <s v="6552 J"/>
    <x v="208"/>
    <s v="Khwaja Watch Center Lahore"/>
    <s v="LDگولڈن یلو"/>
    <s v="29&quot; شیٹ"/>
    <s v="7.5-8/15-16"/>
    <s v="LDM"/>
    <n v="300"/>
    <x v="0"/>
    <n v="4"/>
    <n v="275.07"/>
    <n v="6.8"/>
    <n v="45"/>
    <x v="0"/>
    <n v="268.27"/>
    <n v="623.1"/>
    <m/>
    <x v="0"/>
    <x v="0"/>
    <n v="0"/>
    <n v="0"/>
    <x v="0"/>
    <x v="0"/>
    <m/>
    <x v="0"/>
    <x v="0"/>
    <x v="0"/>
    <x v="0"/>
    <x v="0"/>
    <n v="0"/>
    <n v="0"/>
    <n v="0"/>
    <n v="12"/>
    <x v="1"/>
    <x v="0"/>
    <m/>
    <x v="0"/>
    <n v="280.07"/>
    <x v="0"/>
    <x v="21"/>
    <x v="11"/>
    <x v="0"/>
    <x v="0"/>
  </r>
  <r>
    <x v="1"/>
    <x v="11"/>
    <s v="6581 J"/>
    <x v="208"/>
    <s v="Haji Kamal Wana"/>
    <s v="LD رنگدار"/>
    <n v="22"/>
    <s v="12-12.5"/>
    <s v="LDM"/>
    <n v="300"/>
    <x v="0"/>
    <n v="2"/>
    <n v="116.2"/>
    <n v="5.2"/>
    <m/>
    <x v="0"/>
    <n v="111"/>
    <n v="213"/>
    <m/>
    <x v="0"/>
    <x v="0"/>
    <n v="0"/>
    <n v="0"/>
    <x v="0"/>
    <x v="0"/>
    <m/>
    <x v="0"/>
    <x v="0"/>
    <x v="0"/>
    <x v="0"/>
    <x v="0"/>
    <n v="0"/>
    <n v="0"/>
    <n v="0"/>
    <n v="12"/>
    <x v="1"/>
    <x v="0"/>
    <m/>
    <x v="0"/>
    <n v="121.2"/>
    <x v="0"/>
    <x v="21"/>
    <x v="11"/>
    <x v="0"/>
    <x v="0"/>
  </r>
  <r>
    <x v="0"/>
    <x v="14"/>
    <s v="6605 J"/>
    <x v="208"/>
    <s v=" Perfect Food Industries Lahore "/>
    <s v="LDN"/>
    <n v="28"/>
    <s v="15-16"/>
    <s v="LDN"/>
    <n v="1000"/>
    <x v="0"/>
    <n v="3"/>
    <n v="304"/>
    <n v="10.8"/>
    <m/>
    <x v="0"/>
    <n v="293.2"/>
    <n v="1040.28"/>
    <n v="15"/>
    <x v="0"/>
    <x v="0"/>
    <n v="15"/>
    <n v="0.25"/>
    <x v="0"/>
    <x v="0"/>
    <m/>
    <x v="0"/>
    <x v="0"/>
    <x v="0"/>
    <x v="0"/>
    <x v="0"/>
    <n v="0"/>
    <n v="0"/>
    <n v="0.25"/>
    <n v="11.75"/>
    <x v="1"/>
    <x v="0"/>
    <m/>
    <x v="0"/>
    <n v="309"/>
    <x v="0"/>
    <x v="21"/>
    <x v="11"/>
    <x v="0"/>
    <x v="0"/>
  </r>
  <r>
    <x v="0"/>
    <x v="14"/>
    <s v="2708 F"/>
    <x v="208"/>
    <s v="Usman Amin"/>
    <s v="LDN"/>
    <s v="31+7+7"/>
    <s v="7-7.5/14-15"/>
    <s v="LDN"/>
    <n v="1100"/>
    <x v="0"/>
    <n v="8"/>
    <n v="632.4"/>
    <n v="21.4"/>
    <n v="39"/>
    <x v="0"/>
    <n v="611"/>
    <n v="1017.18"/>
    <m/>
    <x v="0"/>
    <x v="0"/>
    <n v="0"/>
    <n v="0"/>
    <x v="0"/>
    <x v="0"/>
    <m/>
    <x v="0"/>
    <x v="0"/>
    <x v="0"/>
    <x v="0"/>
    <x v="0"/>
    <n v="0"/>
    <n v="0"/>
    <n v="0"/>
    <n v="12"/>
    <x v="1"/>
    <x v="0"/>
    <m/>
    <x v="0"/>
    <n v="637.4"/>
    <x v="0"/>
    <x v="21"/>
    <x v="11"/>
    <x v="0"/>
    <x v="0"/>
  </r>
  <r>
    <x v="1"/>
    <x v="14"/>
    <s v="2708 F"/>
    <x v="208"/>
    <s v="Usman Amin"/>
    <s v="LDN"/>
    <s v="31+7+7"/>
    <s v="7-7.5/14-15"/>
    <s v="LDN"/>
    <n v="1100"/>
    <x v="0"/>
    <n v="6"/>
    <n v="421.17999999999995"/>
    <n v="15"/>
    <n v="25"/>
    <x v="0"/>
    <n v="406.17999999999995"/>
    <n v="1017.18"/>
    <m/>
    <x v="0"/>
    <x v="0"/>
    <n v="0"/>
    <n v="0"/>
    <x v="0"/>
    <x v="0"/>
    <m/>
    <x v="0"/>
    <x v="0"/>
    <x v="0"/>
    <x v="0"/>
    <x v="0"/>
    <n v="0"/>
    <n v="0"/>
    <n v="0"/>
    <n v="12"/>
    <x v="1"/>
    <x v="0"/>
    <m/>
    <x v="0"/>
    <n v="426.17999999999995"/>
    <x v="0"/>
    <x v="21"/>
    <x v="11"/>
    <x v="0"/>
    <x v="0"/>
  </r>
  <r>
    <x v="1"/>
    <x v="14"/>
    <s v="2707 F"/>
    <x v="208"/>
    <s v="Usman Amin"/>
    <s v="LDN"/>
    <s v="30+5+5"/>
    <s v="7-7.5/14-15"/>
    <s v="LDN"/>
    <n v="1100"/>
    <x v="0"/>
    <n v="4"/>
    <n v="284.55"/>
    <n v="12.8"/>
    <m/>
    <x v="0"/>
    <n v="271.75"/>
    <n v="271.75"/>
    <m/>
    <x v="0"/>
    <x v="0"/>
    <n v="0"/>
    <n v="0"/>
    <x v="0"/>
    <x v="0"/>
    <m/>
    <x v="0"/>
    <x v="0"/>
    <x v="0"/>
    <x v="0"/>
    <x v="0"/>
    <n v="0"/>
    <n v="0"/>
    <n v="0"/>
    <n v="12"/>
    <x v="1"/>
    <x v="0"/>
    <m/>
    <x v="0"/>
    <n v="289.55"/>
    <x v="0"/>
    <x v="21"/>
    <x v="11"/>
    <x v="0"/>
    <x v="0"/>
  </r>
  <r>
    <x v="1"/>
    <x v="14"/>
    <s v="2724 F"/>
    <x v="208"/>
    <s v="Usman Amin"/>
    <s v="LDN"/>
    <n v="32"/>
    <s v="6-6.5"/>
    <s v="LDN"/>
    <n v="680"/>
    <x v="0"/>
    <n v="4"/>
    <n v="319.67"/>
    <n v="15.2"/>
    <m/>
    <x v="0"/>
    <n v="304.47000000000003"/>
    <n v="688.77"/>
    <m/>
    <x v="0"/>
    <x v="0"/>
    <n v="0"/>
    <n v="0"/>
    <x v="0"/>
    <x v="0"/>
    <m/>
    <x v="0"/>
    <x v="0"/>
    <x v="0"/>
    <x v="0"/>
    <x v="0"/>
    <n v="0"/>
    <n v="0"/>
    <n v="0"/>
    <n v="12"/>
    <x v="1"/>
    <x v="0"/>
    <m/>
    <x v="0"/>
    <n v="324.67"/>
    <x v="0"/>
    <x v="21"/>
    <x v="11"/>
    <x v="0"/>
    <x v="0"/>
  </r>
  <r>
    <x v="0"/>
    <x v="15"/>
    <s v="6596 J"/>
    <x v="208"/>
    <s v="Zam Zam Cap Lahore"/>
    <s v="LDN"/>
    <n v="15"/>
    <s v="4.5-5"/>
    <s v="LDN"/>
    <n v="100"/>
    <x v="0"/>
    <n v="1"/>
    <n v="35.299999999999997"/>
    <n v="1.9"/>
    <m/>
    <x v="0"/>
    <n v="33.4"/>
    <n v="96.75"/>
    <n v="5"/>
    <x v="0"/>
    <x v="0"/>
    <n v="5"/>
    <n v="8.3333333333333329E-2"/>
    <x v="0"/>
    <x v="0"/>
    <m/>
    <x v="0"/>
    <x v="0"/>
    <x v="0"/>
    <x v="0"/>
    <x v="0"/>
    <n v="0"/>
    <n v="0"/>
    <n v="8.3333333333333329E-2"/>
    <n v="11.916666666666666"/>
    <x v="1"/>
    <x v="0"/>
    <m/>
    <x v="0"/>
    <n v="40.299999999999997"/>
    <x v="0"/>
    <x v="21"/>
    <x v="11"/>
    <x v="0"/>
    <x v="0"/>
  </r>
  <r>
    <x v="0"/>
    <x v="15"/>
    <s v="2709 F"/>
    <x v="208"/>
    <s v="Usman Amin"/>
    <s v="LDN"/>
    <n v="15"/>
    <s v="5-5.5"/>
    <s v="LDN"/>
    <n v="320"/>
    <x v="0"/>
    <n v="4"/>
    <n v="164.37"/>
    <n v="7.6"/>
    <m/>
    <x v="0"/>
    <n v="156.77000000000001"/>
    <n v="320.02"/>
    <n v="5"/>
    <x v="0"/>
    <x v="0"/>
    <n v="5"/>
    <n v="8.3333333333333329E-2"/>
    <x v="0"/>
    <x v="0"/>
    <m/>
    <x v="0"/>
    <x v="0"/>
    <x v="0"/>
    <x v="0"/>
    <x v="0"/>
    <n v="0"/>
    <n v="0"/>
    <n v="8.3333333333333329E-2"/>
    <n v="11.916666666666666"/>
    <x v="1"/>
    <x v="0"/>
    <m/>
    <x v="0"/>
    <n v="169.37"/>
    <x v="0"/>
    <x v="21"/>
    <x v="11"/>
    <x v="0"/>
    <x v="0"/>
  </r>
  <r>
    <x v="0"/>
    <x v="15"/>
    <s v="6630 J"/>
    <x v="208"/>
    <s v="Precision Polymers Pvt LTD"/>
    <s v="LDN"/>
    <n v="26"/>
    <s v="8.5-9"/>
    <s v="LDN"/>
    <n v="371.33487654320987"/>
    <x v="0"/>
    <n v="2"/>
    <n v="156.53"/>
    <n v="4.2"/>
    <n v="7"/>
    <x v="0"/>
    <n v="152.33000000000001"/>
    <n v="399.48"/>
    <m/>
    <x v="0"/>
    <x v="0"/>
    <n v="0"/>
    <n v="0"/>
    <x v="0"/>
    <x v="0"/>
    <m/>
    <x v="0"/>
    <x v="0"/>
    <x v="0"/>
    <x v="0"/>
    <x v="0"/>
    <n v="0"/>
    <n v="0"/>
    <n v="0"/>
    <n v="12"/>
    <x v="1"/>
    <x v="0"/>
    <m/>
    <x v="0"/>
    <n v="161.53"/>
    <x v="0"/>
    <x v="21"/>
    <x v="11"/>
    <x v="0"/>
    <x v="0"/>
  </r>
  <r>
    <x v="1"/>
    <x v="15"/>
    <s v="6630 J"/>
    <x v="208"/>
    <s v="Precision Polymers Pvt LTD"/>
    <s v="LDN"/>
    <n v="26"/>
    <s v="8.5-9"/>
    <s v="LDN"/>
    <n v="371.33487654320987"/>
    <x v="0"/>
    <n v="3"/>
    <n v="254.95000000000002"/>
    <n v="7.8000000000000007"/>
    <n v="8"/>
    <x v="0"/>
    <n v="247.15"/>
    <n v="399.48"/>
    <m/>
    <x v="0"/>
    <x v="0"/>
    <n v="0"/>
    <n v="0"/>
    <x v="0"/>
    <x v="0"/>
    <m/>
    <x v="0"/>
    <x v="0"/>
    <x v="0"/>
    <x v="0"/>
    <x v="0"/>
    <n v="0"/>
    <n v="0"/>
    <n v="0"/>
    <n v="12"/>
    <x v="1"/>
    <x v="0"/>
    <m/>
    <x v="0"/>
    <n v="259.95000000000005"/>
    <x v="0"/>
    <x v="21"/>
    <x v="11"/>
    <x v="0"/>
    <x v="0"/>
  </r>
  <r>
    <x v="1"/>
    <x v="15"/>
    <s v="272 R"/>
    <x v="208"/>
    <s v="REFLECTPACK"/>
    <s v="LDN"/>
    <n v="18"/>
    <n v="15"/>
    <s v="LDN"/>
    <n v="1000"/>
    <x v="0"/>
    <n v="2"/>
    <n v="238.72"/>
    <n v="4.4000000000000004"/>
    <m/>
    <x v="0"/>
    <n v="234.32"/>
    <n v="1023.1099999999999"/>
    <m/>
    <x v="0"/>
    <x v="0"/>
    <n v="0"/>
    <n v="0"/>
    <x v="0"/>
    <x v="0"/>
    <m/>
    <x v="0"/>
    <x v="0"/>
    <x v="0"/>
    <x v="0"/>
    <x v="0"/>
    <n v="0"/>
    <n v="0"/>
    <n v="0"/>
    <n v="12"/>
    <x v="1"/>
    <x v="0"/>
    <m/>
    <x v="0"/>
    <n v="243.72"/>
    <x v="0"/>
    <x v="21"/>
    <x v="11"/>
    <x v="0"/>
    <x v="0"/>
  </r>
  <r>
    <x v="0"/>
    <x v="8"/>
    <s v="2725 F"/>
    <x v="209"/>
    <s v="Usman Amin"/>
    <s v="LDN"/>
    <n v="11"/>
    <s v="12"/>
    <s v="LDN"/>
    <n v="300"/>
    <x v="0"/>
    <n v="2"/>
    <n v="103.46000000000001"/>
    <n v="2.4"/>
    <m/>
    <x v="0"/>
    <n v="101.06"/>
    <n v="304.15999999999997"/>
    <m/>
    <x v="0"/>
    <x v="0"/>
    <n v="0"/>
    <n v="0"/>
    <x v="0"/>
    <x v="0"/>
    <m/>
    <x v="0"/>
    <x v="0"/>
    <x v="0"/>
    <x v="0"/>
    <x v="0"/>
    <n v="0"/>
    <n v="0"/>
    <n v="0"/>
    <n v="12"/>
    <x v="1"/>
    <x v="0"/>
    <m/>
    <x v="0"/>
    <n v="108.46000000000001"/>
    <x v="0"/>
    <x v="21"/>
    <x v="11"/>
    <x v="0"/>
    <x v="0"/>
  </r>
  <r>
    <x v="0"/>
    <x v="8"/>
    <s v="6679 J"/>
    <x v="209"/>
    <s v="Javed Enterprises Gujranwala"/>
    <s v="LDN"/>
    <n v="10"/>
    <s v="20-21"/>
    <s v="LDN"/>
    <n v="300"/>
    <x v="0"/>
    <n v="1"/>
    <n v="68.5"/>
    <n v="1.2"/>
    <m/>
    <x v="0"/>
    <n v="67.3"/>
    <n v="248.16999999999996"/>
    <m/>
    <x v="0"/>
    <x v="0"/>
    <n v="0"/>
    <n v="0"/>
    <x v="0"/>
    <x v="0"/>
    <m/>
    <x v="0"/>
    <x v="0"/>
    <x v="0"/>
    <x v="0"/>
    <x v="0"/>
    <n v="0"/>
    <n v="0"/>
    <n v="0"/>
    <n v="12"/>
    <x v="1"/>
    <x v="0"/>
    <m/>
    <x v="0"/>
    <n v="73.5"/>
    <x v="0"/>
    <x v="21"/>
    <x v="11"/>
    <x v="0"/>
    <x v="0"/>
  </r>
  <r>
    <x v="1"/>
    <x v="8"/>
    <s v="6679 J"/>
    <x v="209"/>
    <s v="Javed Enterprises Gujranwala"/>
    <s v="LDN"/>
    <n v="10"/>
    <s v="20-21"/>
    <s v="LDN"/>
    <n v="300"/>
    <x v="0"/>
    <n v="4"/>
    <n v="185.67"/>
    <n v="4.8"/>
    <m/>
    <x v="0"/>
    <n v="180.86999999999998"/>
    <n v="248.16999999999996"/>
    <m/>
    <x v="0"/>
    <x v="0"/>
    <n v="0"/>
    <n v="0"/>
    <x v="0"/>
    <x v="0"/>
    <m/>
    <x v="0"/>
    <x v="0"/>
    <x v="0"/>
    <x v="0"/>
    <x v="0"/>
    <n v="0"/>
    <n v="0"/>
    <n v="0"/>
    <n v="12"/>
    <x v="1"/>
    <x v="0"/>
    <m/>
    <x v="0"/>
    <n v="190.67"/>
    <x v="0"/>
    <x v="21"/>
    <x v="11"/>
    <x v="0"/>
    <x v="0"/>
  </r>
  <r>
    <x v="0"/>
    <x v="9"/>
    <s v="14416/2"/>
    <x v="209"/>
    <s v="-"/>
    <m/>
    <n v="9"/>
    <n v="46156"/>
    <m/>
    <m/>
    <x v="0"/>
    <n v="2"/>
    <n v="103.5"/>
    <n v="2.2000000000000002"/>
    <m/>
    <x v="0"/>
    <n v="101.3"/>
    <n v="101.3"/>
    <m/>
    <x v="0"/>
    <x v="0"/>
    <n v="0"/>
    <n v="0"/>
    <x v="0"/>
    <x v="0"/>
    <m/>
    <x v="0"/>
    <x v="0"/>
    <x v="0"/>
    <x v="0"/>
    <x v="0"/>
    <n v="0"/>
    <n v="0"/>
    <n v="0"/>
    <n v="12"/>
    <x v="1"/>
    <x v="0"/>
    <m/>
    <x v="0"/>
    <n v="108.5"/>
    <x v="0"/>
    <x v="21"/>
    <x v="11"/>
    <x v="0"/>
    <x v="0"/>
  </r>
  <r>
    <x v="0"/>
    <x v="9"/>
    <s v="6676 J"/>
    <x v="209"/>
    <s v="Javed Enterprises Gujranwala"/>
    <s v="LDN"/>
    <n v="10"/>
    <s v="20-21"/>
    <s v="LDN"/>
    <n v="400"/>
    <x v="0"/>
    <n v="1"/>
    <n v="64.8"/>
    <n v="1.2"/>
    <m/>
    <x v="0"/>
    <n v="63.599999999999994"/>
    <n v="397.92999999999995"/>
    <m/>
    <x v="0"/>
    <x v="0"/>
    <n v="0"/>
    <n v="0"/>
    <x v="0"/>
    <x v="0"/>
    <m/>
    <x v="0"/>
    <x v="0"/>
    <x v="0"/>
    <x v="0"/>
    <x v="0"/>
    <n v="0"/>
    <n v="0"/>
    <n v="0"/>
    <n v="12"/>
    <x v="1"/>
    <x v="0"/>
    <m/>
    <x v="0"/>
    <n v="69.8"/>
    <x v="0"/>
    <x v="21"/>
    <x v="11"/>
    <x v="0"/>
    <x v="0"/>
  </r>
  <r>
    <x v="1"/>
    <x v="9"/>
    <s v="6676 J"/>
    <x v="209"/>
    <s v="Javed Enterprises Gujranwala"/>
    <s v="LDN"/>
    <n v="10"/>
    <s v="20-21"/>
    <s v="LDN"/>
    <n v="400"/>
    <x v="0"/>
    <n v="4"/>
    <n v="187.23"/>
    <n v="4.8"/>
    <m/>
    <x v="0"/>
    <n v="182.42999999999998"/>
    <n v="397.92999999999995"/>
    <m/>
    <x v="0"/>
    <x v="0"/>
    <n v="0"/>
    <n v="0"/>
    <x v="0"/>
    <x v="0"/>
    <m/>
    <x v="0"/>
    <x v="0"/>
    <x v="0"/>
    <x v="0"/>
    <x v="0"/>
    <n v="0"/>
    <n v="0"/>
    <n v="0"/>
    <n v="12"/>
    <x v="1"/>
    <x v="0"/>
    <m/>
    <x v="0"/>
    <n v="192.23"/>
    <x v="0"/>
    <x v="21"/>
    <x v="11"/>
    <x v="0"/>
    <x v="0"/>
  </r>
  <r>
    <x v="0"/>
    <x v="11"/>
    <s v="6613 J"/>
    <x v="209"/>
    <s v="Ahmed Miss Print Sheikhupura"/>
    <s v="LD لائیٹنگ مال"/>
    <n v="20"/>
    <s v="11-12"/>
    <s v="LDM"/>
    <n v="100"/>
    <x v="0"/>
    <n v="1"/>
    <n v="109.5"/>
    <n v="2"/>
    <m/>
    <x v="0"/>
    <n v="107.5"/>
    <n v="107.5"/>
    <n v="5"/>
    <x v="0"/>
    <x v="0"/>
    <n v="5"/>
    <n v="8.3333333333333329E-2"/>
    <x v="0"/>
    <x v="0"/>
    <m/>
    <x v="0"/>
    <x v="0"/>
    <x v="0"/>
    <x v="0"/>
    <x v="0"/>
    <n v="0"/>
    <n v="0"/>
    <n v="8.3333333333333329E-2"/>
    <n v="11.916666666666666"/>
    <x v="1"/>
    <x v="0"/>
    <m/>
    <x v="0"/>
    <n v="114.5"/>
    <x v="0"/>
    <x v="21"/>
    <x v="11"/>
    <x v="0"/>
    <x v="0"/>
  </r>
  <r>
    <x v="0"/>
    <x v="11"/>
    <s v="6581 J"/>
    <x v="209"/>
    <s v="Haji Kamal Wana"/>
    <s v="LD رنگدار"/>
    <n v="22"/>
    <s v="12-12.5"/>
    <s v="LDM"/>
    <n v="300"/>
    <x v="0"/>
    <n v="2"/>
    <n v="106.7"/>
    <n v="4.6999999999999993"/>
    <m/>
    <x v="0"/>
    <n v="102"/>
    <n v="213"/>
    <n v="5"/>
    <x v="0"/>
    <x v="0"/>
    <n v="5"/>
    <n v="8.3333333333333329E-2"/>
    <x v="0"/>
    <x v="0"/>
    <m/>
    <x v="0"/>
    <x v="0"/>
    <x v="0"/>
    <x v="0"/>
    <x v="0"/>
    <n v="0"/>
    <n v="0"/>
    <n v="8.3333333333333329E-2"/>
    <n v="11.916666666666666"/>
    <x v="1"/>
    <x v="0"/>
    <m/>
    <x v="0"/>
    <n v="111.7"/>
    <x v="0"/>
    <x v="21"/>
    <x v="11"/>
    <x v="0"/>
    <x v="0"/>
  </r>
  <r>
    <x v="0"/>
    <x v="11"/>
    <s v="6612 J"/>
    <x v="209"/>
    <s v="Ahmed Miss Print Sheikhupura"/>
    <s v="LD لائیٹنگ مال"/>
    <n v="18"/>
    <s v="11-12"/>
    <s v="LDM"/>
    <n v="100"/>
    <x v="0"/>
    <n v="1"/>
    <n v="34.9"/>
    <n v="2.2000000000000002"/>
    <m/>
    <x v="0"/>
    <n v="32.699999999999996"/>
    <n v="85.259999999999991"/>
    <n v="5"/>
    <x v="0"/>
    <x v="0"/>
    <n v="5"/>
    <n v="8.3333333333333329E-2"/>
    <x v="0"/>
    <x v="0"/>
    <m/>
    <x v="0"/>
    <x v="0"/>
    <x v="0"/>
    <x v="0"/>
    <x v="0"/>
    <n v="0"/>
    <n v="0"/>
    <n v="8.3333333333333329E-2"/>
    <n v="11.916666666666666"/>
    <x v="1"/>
    <x v="0"/>
    <m/>
    <x v="0"/>
    <n v="39.9"/>
    <x v="0"/>
    <x v="21"/>
    <x v="11"/>
    <x v="0"/>
    <x v="0"/>
  </r>
  <r>
    <x v="0"/>
    <x v="11"/>
    <s v="6623 J"/>
    <x v="209"/>
    <s v="Fancy Garments Kamoki"/>
    <s v="LD سی گرین"/>
    <n v="18"/>
    <s v="15-16"/>
    <s v="LDM"/>
    <n v="200"/>
    <x v="0"/>
    <n v="2"/>
    <n v="219.6"/>
    <n v="4.4000000000000004"/>
    <m/>
    <x v="0"/>
    <n v="215.2"/>
    <n v="215.2"/>
    <m/>
    <x v="0"/>
    <x v="0"/>
    <n v="0"/>
    <n v="0"/>
    <x v="0"/>
    <x v="0"/>
    <m/>
    <x v="0"/>
    <x v="0"/>
    <x v="0"/>
    <x v="0"/>
    <x v="0"/>
    <n v="0"/>
    <n v="0"/>
    <n v="0"/>
    <n v="12"/>
    <x v="1"/>
    <x v="0"/>
    <m/>
    <x v="0"/>
    <n v="224.6"/>
    <x v="0"/>
    <x v="21"/>
    <x v="11"/>
    <x v="0"/>
    <x v="0"/>
  </r>
  <r>
    <x v="0"/>
    <x v="11"/>
    <s v="6611 J"/>
    <x v="209"/>
    <s v="Ahmed Miss Print Sheikhupura"/>
    <s v="LD لائیٹنگ مال"/>
    <n v="16"/>
    <s v="11-12"/>
    <s v="LDM"/>
    <n v="100"/>
    <x v="0"/>
    <n v="1"/>
    <n v="37.450000000000003"/>
    <n v="2"/>
    <m/>
    <x v="0"/>
    <n v="35.450000000000003"/>
    <n v="125.10999999999999"/>
    <m/>
    <x v="0"/>
    <x v="0"/>
    <n v="0"/>
    <n v="0"/>
    <x v="0"/>
    <x v="0"/>
    <m/>
    <x v="0"/>
    <x v="0"/>
    <x v="0"/>
    <x v="0"/>
    <x v="0"/>
    <n v="0"/>
    <n v="0"/>
    <n v="0"/>
    <n v="12"/>
    <x v="1"/>
    <x v="0"/>
    <m/>
    <x v="0"/>
    <n v="42.45"/>
    <x v="0"/>
    <x v="21"/>
    <x v="11"/>
    <x v="0"/>
    <x v="0"/>
  </r>
  <r>
    <x v="0"/>
    <x v="11"/>
    <s v="6675 J"/>
    <x v="209"/>
    <s v="Waqas Wollan Mills Gujranwala"/>
    <s v="LD گرین"/>
    <n v="13"/>
    <s v="8-8.5"/>
    <s v="LDM"/>
    <n v="250"/>
    <x v="0"/>
    <n v="1"/>
    <n v="60.85"/>
    <n v="1.5"/>
    <n v="29.1"/>
    <x v="0"/>
    <n v="59.35"/>
    <n v="249.10999999999999"/>
    <m/>
    <x v="0"/>
    <x v="0"/>
    <n v="0"/>
    <n v="0"/>
    <x v="0"/>
    <x v="0"/>
    <m/>
    <x v="0"/>
    <x v="0"/>
    <x v="0"/>
    <x v="0"/>
    <x v="0"/>
    <n v="0"/>
    <n v="0"/>
    <n v="0"/>
    <n v="12"/>
    <x v="1"/>
    <x v="0"/>
    <m/>
    <x v="0"/>
    <n v="65.849999999999994"/>
    <x v="0"/>
    <x v="21"/>
    <x v="11"/>
    <x v="0"/>
    <x v="0"/>
  </r>
  <r>
    <x v="1"/>
    <x v="11"/>
    <s v="6675 J"/>
    <x v="209"/>
    <s v="Waqas Wollan Mills Gujranwala"/>
    <s v="LD گرین"/>
    <n v="13"/>
    <s v="8-8.5"/>
    <s v="LDM"/>
    <n v="250"/>
    <x v="0"/>
    <n v="3"/>
    <n v="194.26"/>
    <n v="4.5"/>
    <m/>
    <x v="0"/>
    <n v="189.76"/>
    <n v="249.10999999999999"/>
    <n v="5"/>
    <x v="0"/>
    <x v="0"/>
    <n v="5"/>
    <n v="8.3333333333333329E-2"/>
    <x v="0"/>
    <x v="0"/>
    <m/>
    <x v="0"/>
    <x v="0"/>
    <x v="0"/>
    <x v="0"/>
    <x v="0"/>
    <n v="0"/>
    <n v="0"/>
    <n v="8.3333333333333329E-2"/>
    <n v="11.916666666666666"/>
    <x v="1"/>
    <x v="0"/>
    <m/>
    <x v="0"/>
    <n v="199.26"/>
    <x v="0"/>
    <x v="21"/>
    <x v="11"/>
    <x v="0"/>
    <x v="0"/>
  </r>
  <r>
    <x v="1"/>
    <x v="11"/>
    <s v="6611 J"/>
    <x v="209"/>
    <s v="Ahmed Miss Print Sheikhupura"/>
    <s v="LD لائیٹنگ مال"/>
    <n v="16"/>
    <s v="11-12"/>
    <s v="LDM"/>
    <n v="100"/>
    <x v="0"/>
    <n v="1"/>
    <n v="51.26"/>
    <n v="2"/>
    <m/>
    <x v="0"/>
    <n v="49.26"/>
    <n v="125.10999999999999"/>
    <n v="5"/>
    <x v="0"/>
    <x v="0"/>
    <n v="5"/>
    <n v="8.3333333333333329E-2"/>
    <x v="0"/>
    <x v="0"/>
    <m/>
    <x v="0"/>
    <x v="0"/>
    <x v="0"/>
    <x v="0"/>
    <x v="0"/>
    <n v="0"/>
    <n v="0"/>
    <n v="8.3333333333333329E-2"/>
    <n v="11.916666666666666"/>
    <x v="1"/>
    <x v="0"/>
    <m/>
    <x v="0"/>
    <n v="56.26"/>
    <x v="0"/>
    <x v="21"/>
    <x v="11"/>
    <x v="0"/>
    <x v="0"/>
  </r>
  <r>
    <x v="1"/>
    <x v="11"/>
    <s v="6667 J"/>
    <x v="209"/>
    <s v="Waqas Wollan Mills Gujranwala"/>
    <s v="LD پیلا"/>
    <n v="16"/>
    <s v="9.5-10"/>
    <s v="LDM"/>
    <n v="100"/>
    <x v="0"/>
    <n v="2"/>
    <n v="102.67"/>
    <n v="4"/>
    <m/>
    <x v="0"/>
    <n v="98.67"/>
    <n v="98.67"/>
    <n v="5"/>
    <x v="0"/>
    <x v="0"/>
    <n v="5"/>
    <n v="8.3333333333333329E-2"/>
    <x v="0"/>
    <x v="0"/>
    <m/>
    <x v="0"/>
    <x v="0"/>
    <x v="0"/>
    <x v="0"/>
    <x v="0"/>
    <n v="0"/>
    <n v="0"/>
    <n v="8.3333333333333329E-2"/>
    <n v="11.916666666666666"/>
    <x v="1"/>
    <x v="0"/>
    <m/>
    <x v="0"/>
    <n v="107.67"/>
    <x v="0"/>
    <x v="21"/>
    <x v="11"/>
    <x v="0"/>
    <x v="0"/>
  </r>
  <r>
    <x v="1"/>
    <x v="11"/>
    <s v="6674 J"/>
    <x v="209"/>
    <s v="Waqas Wollan Mills Gujranwala"/>
    <s v="LD پیلا"/>
    <n v="10"/>
    <s v="7.5-8"/>
    <s v="LDM"/>
    <n v="250"/>
    <x v="0"/>
    <n v="1"/>
    <n v="50.08"/>
    <n v="1.2"/>
    <m/>
    <x v="0"/>
    <n v="48.879999999999995"/>
    <n v="298.48"/>
    <m/>
    <x v="0"/>
    <x v="0"/>
    <n v="0"/>
    <n v="0"/>
    <x v="0"/>
    <x v="0"/>
    <m/>
    <x v="0"/>
    <x v="0"/>
    <x v="0"/>
    <x v="0"/>
    <x v="0"/>
    <n v="0"/>
    <n v="0"/>
    <n v="0"/>
    <n v="12"/>
    <x v="1"/>
    <x v="0"/>
    <m/>
    <x v="0"/>
    <n v="55.08"/>
    <x v="0"/>
    <x v="21"/>
    <x v="11"/>
    <x v="0"/>
    <x v="0"/>
  </r>
  <r>
    <x v="0"/>
    <x v="14"/>
    <s v="2724 F"/>
    <x v="209"/>
    <s v="Usman Amin"/>
    <s v="LDN"/>
    <n v="32"/>
    <s v="6-6.5"/>
    <s v="LDN"/>
    <n v="680"/>
    <x v="0"/>
    <n v="5"/>
    <n v="398.3"/>
    <n v="14"/>
    <m/>
    <x v="0"/>
    <n v="384.3"/>
    <n v="688.77"/>
    <n v="5"/>
    <x v="0"/>
    <x v="0"/>
    <n v="5"/>
    <n v="8.3333333333333329E-2"/>
    <x v="0"/>
    <x v="4"/>
    <m/>
    <x v="0"/>
    <x v="0"/>
    <x v="0"/>
    <x v="0"/>
    <x v="0"/>
    <n v="30"/>
    <n v="0.5"/>
    <n v="0.58333333333333337"/>
    <n v="11.416666666666666"/>
    <x v="1"/>
    <x v="0"/>
    <m/>
    <x v="0"/>
    <n v="403.3"/>
    <x v="0"/>
    <x v="21"/>
    <x v="11"/>
    <x v="0"/>
    <x v="0"/>
  </r>
  <r>
    <x v="0"/>
    <x v="14"/>
    <s v="6584 J"/>
    <x v="209"/>
    <s v="Euro Mattress Gujrat"/>
    <s v="LDN"/>
    <n v="25"/>
    <s v="-"/>
    <s v="LDN"/>
    <n v="100"/>
    <x v="0"/>
    <n v="2"/>
    <n v="110.9"/>
    <n v="5.2"/>
    <m/>
    <x v="0"/>
    <n v="105.7"/>
    <n v="105.7"/>
    <m/>
    <x v="0"/>
    <x v="0"/>
    <n v="0"/>
    <n v="0"/>
    <x v="0"/>
    <x v="0"/>
    <m/>
    <x v="0"/>
    <x v="0"/>
    <x v="0"/>
    <x v="0"/>
    <x v="0"/>
    <n v="0"/>
    <n v="0"/>
    <n v="0"/>
    <n v="12"/>
    <x v="1"/>
    <x v="0"/>
    <m/>
    <x v="0"/>
    <n v="115.9"/>
    <x v="0"/>
    <x v="21"/>
    <x v="11"/>
    <x v="0"/>
    <x v="0"/>
  </r>
  <r>
    <x v="0"/>
    <x v="14"/>
    <s v="6583 J"/>
    <x v="209"/>
    <s v="Euro Mattress Gujrat"/>
    <s v="LDN"/>
    <n v="25"/>
    <s v="-"/>
    <s v="LDN"/>
    <n v="100"/>
    <x v="0"/>
    <n v="1"/>
    <n v="49.1"/>
    <n v="3.2"/>
    <n v="15"/>
    <x v="0"/>
    <n v="45.9"/>
    <n v="101.4"/>
    <m/>
    <x v="0"/>
    <x v="0"/>
    <n v="0"/>
    <n v="0"/>
    <x v="0"/>
    <x v="0"/>
    <m/>
    <x v="0"/>
    <x v="0"/>
    <x v="0"/>
    <x v="0"/>
    <x v="0"/>
    <n v="0"/>
    <n v="0"/>
    <n v="0"/>
    <n v="12"/>
    <x v="1"/>
    <x v="0"/>
    <m/>
    <x v="0"/>
    <n v="54.1"/>
    <x v="0"/>
    <x v="21"/>
    <x v="11"/>
    <x v="0"/>
    <x v="0"/>
  </r>
  <r>
    <x v="1"/>
    <x v="14"/>
    <s v="6640 J"/>
    <x v="209"/>
    <s v="Airy Food Gujranwala"/>
    <s v="LDN"/>
    <n v="24"/>
    <s v="-"/>
    <s v="LDN"/>
    <n v="1000"/>
    <x v="0"/>
    <n v="6"/>
    <n v="642.3599999999999"/>
    <n v="15.4"/>
    <m/>
    <x v="0"/>
    <n v="626.95999999999992"/>
    <n v="1037.6599999999999"/>
    <m/>
    <x v="0"/>
    <x v="0"/>
    <n v="0"/>
    <n v="0"/>
    <x v="0"/>
    <x v="0"/>
    <m/>
    <x v="0"/>
    <x v="0"/>
    <x v="0"/>
    <x v="0"/>
    <x v="0"/>
    <n v="0"/>
    <n v="0"/>
    <n v="0"/>
    <n v="12"/>
    <x v="1"/>
    <x v="0"/>
    <m/>
    <x v="0"/>
    <n v="647.3599999999999"/>
    <x v="0"/>
    <x v="21"/>
    <x v="11"/>
    <x v="0"/>
    <x v="0"/>
  </r>
  <r>
    <x v="1"/>
    <x v="14"/>
    <s v="6583 J"/>
    <x v="209"/>
    <s v="Euro Mattress Gujrat"/>
    <s v="LDN"/>
    <n v="25"/>
    <s v="-"/>
    <s v="LDN"/>
    <n v="100"/>
    <x v="0"/>
    <n v="1"/>
    <n v="58"/>
    <n v="2.5"/>
    <m/>
    <x v="0"/>
    <n v="55.5"/>
    <n v="101.4"/>
    <m/>
    <x v="0"/>
    <x v="0"/>
    <n v="0"/>
    <n v="0"/>
    <x v="0"/>
    <x v="0"/>
    <m/>
    <x v="0"/>
    <x v="0"/>
    <x v="0"/>
    <x v="0"/>
    <x v="0"/>
    <n v="0"/>
    <n v="0"/>
    <n v="0"/>
    <n v="12"/>
    <x v="1"/>
    <x v="0"/>
    <m/>
    <x v="0"/>
    <n v="63"/>
    <x v="0"/>
    <x v="21"/>
    <x v="11"/>
    <x v="0"/>
    <x v="0"/>
  </r>
  <r>
    <x v="0"/>
    <x v="15"/>
    <s v="272 R"/>
    <x v="209"/>
    <s v="REFLECTPACK"/>
    <s v="LDN"/>
    <n v="18"/>
    <n v="15"/>
    <s v="LDN"/>
    <n v="1000"/>
    <x v="0"/>
    <n v="5"/>
    <n v="482.28999999999996"/>
    <n v="11.5"/>
    <n v="9"/>
    <x v="0"/>
    <n v="470.78999999999996"/>
    <n v="1023.1099999999999"/>
    <m/>
    <x v="0"/>
    <x v="0"/>
    <n v="0"/>
    <n v="0"/>
    <x v="0"/>
    <x v="0"/>
    <m/>
    <x v="0"/>
    <x v="0"/>
    <x v="0"/>
    <x v="0"/>
    <x v="0"/>
    <n v="0"/>
    <n v="0"/>
    <n v="0"/>
    <n v="12"/>
    <x v="1"/>
    <x v="0"/>
    <m/>
    <x v="0"/>
    <n v="487.28999999999996"/>
    <x v="0"/>
    <x v="21"/>
    <x v="11"/>
    <x v="0"/>
    <x v="0"/>
  </r>
  <r>
    <x v="1"/>
    <x v="15"/>
    <s v="272 R"/>
    <x v="209"/>
    <s v="REFLECTPACK"/>
    <s v="LDN"/>
    <n v="18"/>
    <n v="15"/>
    <s v="LDN"/>
    <n v="1000"/>
    <x v="0"/>
    <n v="3"/>
    <n v="325.2"/>
    <n v="7.1999999999999993"/>
    <n v="6"/>
    <x v="0"/>
    <n v="318"/>
    <n v="1023.1099999999999"/>
    <m/>
    <x v="0"/>
    <x v="0"/>
    <n v="0"/>
    <n v="0"/>
    <x v="0"/>
    <x v="0"/>
    <m/>
    <x v="0"/>
    <x v="0"/>
    <x v="0"/>
    <x v="0"/>
    <x v="0"/>
    <n v="0"/>
    <n v="0"/>
    <n v="0"/>
    <n v="12"/>
    <x v="1"/>
    <x v="0"/>
    <m/>
    <x v="0"/>
    <n v="330.2"/>
    <x v="0"/>
    <x v="21"/>
    <x v="11"/>
    <x v="0"/>
    <x v="0"/>
  </r>
  <r>
    <x v="1"/>
    <x v="15"/>
    <s v="2728 F"/>
    <x v="209"/>
    <s v="Usman Amin"/>
    <s v="LDN"/>
    <n v="19"/>
    <s v="12"/>
    <s v="LDN"/>
    <n v="400"/>
    <x v="0"/>
    <n v="1"/>
    <n v="117.54"/>
    <n v="1.9"/>
    <m/>
    <x v="0"/>
    <n v="115.64"/>
    <n v="941.85"/>
    <m/>
    <x v="0"/>
    <x v="0"/>
    <n v="0"/>
    <n v="0"/>
    <x v="0"/>
    <x v="0"/>
    <m/>
    <x v="0"/>
    <x v="0"/>
    <x v="0"/>
    <x v="0"/>
    <x v="0"/>
    <n v="0"/>
    <n v="0"/>
    <n v="0"/>
    <n v="12"/>
    <x v="1"/>
    <x v="0"/>
    <m/>
    <x v="0"/>
    <n v="122.54"/>
    <x v="0"/>
    <x v="21"/>
    <x v="11"/>
    <x v="0"/>
    <x v="0"/>
  </r>
  <r>
    <x v="0"/>
    <x v="8"/>
    <s v="6676 J"/>
    <x v="210"/>
    <s v="Javed Enterprises Gujranwala"/>
    <s v="LDN"/>
    <n v="10"/>
    <s v="20-21"/>
    <s v="LDN"/>
    <n v="400"/>
    <x v="0"/>
    <n v="1"/>
    <n v="61.7"/>
    <n v="1.2"/>
    <m/>
    <x v="0"/>
    <n v="60.5"/>
    <n v="397.92999999999995"/>
    <m/>
    <x v="0"/>
    <x v="0"/>
    <n v="0"/>
    <n v="0"/>
    <x v="0"/>
    <x v="0"/>
    <m/>
    <x v="0"/>
    <x v="0"/>
    <x v="0"/>
    <x v="0"/>
    <x v="0"/>
    <n v="0"/>
    <n v="0"/>
    <n v="0"/>
    <n v="12"/>
    <x v="1"/>
    <x v="0"/>
    <m/>
    <x v="0"/>
    <n v="66.7"/>
    <x v="0"/>
    <x v="21"/>
    <x v="11"/>
    <x v="0"/>
    <x v="0"/>
  </r>
  <r>
    <x v="0"/>
    <x v="8"/>
    <s v="6666 J"/>
    <x v="210"/>
    <s v="Waqas Wollan Mills Gujranwala"/>
    <s v="LDN"/>
    <n v="10"/>
    <s v="8-8.5"/>
    <s v="LDN"/>
    <n v="100"/>
    <x v="0"/>
    <n v="2"/>
    <n v="107.1"/>
    <n v="2.4"/>
    <n v="3"/>
    <x v="0"/>
    <n v="104.69999999999999"/>
    <n v="104.69999999999999"/>
    <n v="2"/>
    <x v="0"/>
    <x v="0"/>
    <n v="2"/>
    <n v="3.3333333333333333E-2"/>
    <x v="0"/>
    <x v="0"/>
    <m/>
    <x v="0"/>
    <x v="0"/>
    <x v="0"/>
    <x v="0"/>
    <x v="0"/>
    <n v="0"/>
    <n v="0"/>
    <n v="3.3333333333333333E-2"/>
    <n v="11.966666666666667"/>
    <x v="1"/>
    <x v="0"/>
    <m/>
    <x v="0"/>
    <n v="112.1"/>
    <x v="0"/>
    <x v="21"/>
    <x v="11"/>
    <x v="0"/>
    <x v="0"/>
  </r>
  <r>
    <x v="1"/>
    <x v="8"/>
    <s v="6664 J"/>
    <x v="210"/>
    <s v="Waqas Wollan Mills Gujranwala"/>
    <s v="LDN"/>
    <n v="14"/>
    <s v="10-10.5"/>
    <s v="LDN"/>
    <n v="100"/>
    <x v="0"/>
    <n v="2"/>
    <n v="107.8"/>
    <n v="3.1"/>
    <m/>
    <x v="0"/>
    <n v="104.7"/>
    <n v="104.7"/>
    <m/>
    <x v="0"/>
    <x v="0"/>
    <n v="0"/>
    <n v="0"/>
    <x v="0"/>
    <x v="0"/>
    <m/>
    <x v="0"/>
    <x v="0"/>
    <x v="0"/>
    <x v="0"/>
    <x v="0"/>
    <n v="0"/>
    <n v="0"/>
    <n v="0"/>
    <n v="12"/>
    <x v="1"/>
    <x v="0"/>
    <m/>
    <x v="0"/>
    <n v="112.8"/>
    <x v="0"/>
    <x v="21"/>
    <x v="11"/>
    <x v="0"/>
    <x v="0"/>
  </r>
  <r>
    <x v="1"/>
    <x v="8"/>
    <s v="6707 J"/>
    <x v="210"/>
    <s v="Atlas Honda LTD (SKP)"/>
    <s v="LDN"/>
    <n v="8"/>
    <n v="9"/>
    <s v="LDN"/>
    <n v="170.94017094017093"/>
    <x v="0"/>
    <n v="2"/>
    <n v="96"/>
    <n v="1.9"/>
    <m/>
    <x v="0"/>
    <n v="94.1"/>
    <n v="94.1"/>
    <m/>
    <x v="0"/>
    <x v="0"/>
    <n v="0"/>
    <n v="0"/>
    <x v="0"/>
    <x v="0"/>
    <m/>
    <x v="0"/>
    <x v="0"/>
    <x v="0"/>
    <x v="0"/>
    <x v="0"/>
    <n v="0"/>
    <n v="0"/>
    <n v="0"/>
    <n v="12"/>
    <x v="1"/>
    <x v="0"/>
    <m/>
    <x v="0"/>
    <n v="101"/>
    <x v="0"/>
    <x v="21"/>
    <x v="11"/>
    <x v="0"/>
    <x v="0"/>
  </r>
  <r>
    <x v="0"/>
    <x v="9"/>
    <s v="6676 J"/>
    <x v="210"/>
    <s v="Javed Enterprises Gujranwala"/>
    <s v="LDN"/>
    <n v="10"/>
    <s v="20-21"/>
    <s v="LDN"/>
    <n v="400"/>
    <x v="0"/>
    <n v="2"/>
    <n v="93.800000000000011"/>
    <n v="2.4"/>
    <n v="4"/>
    <x v="0"/>
    <n v="91.4"/>
    <n v="397.92999999999995"/>
    <m/>
    <x v="0"/>
    <x v="0"/>
    <n v="0"/>
    <n v="0"/>
    <x v="0"/>
    <x v="0"/>
    <m/>
    <x v="0"/>
    <x v="0"/>
    <x v="0"/>
    <x v="0"/>
    <x v="0"/>
    <n v="0"/>
    <n v="0"/>
    <n v="0"/>
    <n v="12"/>
    <x v="1"/>
    <x v="0"/>
    <m/>
    <x v="0"/>
    <n v="98.800000000000011"/>
    <x v="0"/>
    <x v="21"/>
    <x v="11"/>
    <x v="0"/>
    <x v="0"/>
  </r>
  <r>
    <x v="0"/>
    <x v="9"/>
    <s v="6677 J"/>
    <x v="210"/>
    <s v="Javed Enterprises Gujranwala"/>
    <s v="LDN"/>
    <n v="14"/>
    <s v="20-21"/>
    <s v="LDN"/>
    <n v="500"/>
    <x v="0"/>
    <n v="2"/>
    <n v="132.25"/>
    <n v="3.4"/>
    <m/>
    <x v="0"/>
    <n v="128.85"/>
    <n v="344.54999999999995"/>
    <m/>
    <x v="0"/>
    <x v="0"/>
    <n v="0"/>
    <n v="0"/>
    <x v="0"/>
    <x v="0"/>
    <m/>
    <x v="0"/>
    <x v="0"/>
    <x v="0"/>
    <x v="3"/>
    <x v="0"/>
    <n v="30"/>
    <n v="0.5"/>
    <n v="0.5"/>
    <n v="11.5"/>
    <x v="1"/>
    <x v="0"/>
    <m/>
    <x v="0"/>
    <n v="137.25"/>
    <x v="0"/>
    <x v="21"/>
    <x v="11"/>
    <x v="0"/>
    <x v="0"/>
  </r>
  <r>
    <x v="1"/>
    <x v="9"/>
    <s v="6677 J"/>
    <x v="210"/>
    <s v="Javed Enterprises Gujranwala"/>
    <s v="LDN"/>
    <n v="14"/>
    <s v="20-21"/>
    <s v="LDN"/>
    <n v="500"/>
    <x v="0"/>
    <n v="3"/>
    <n v="220.5"/>
    <n v="4.8000000000000007"/>
    <m/>
    <x v="0"/>
    <n v="215.7"/>
    <n v="344.54999999999995"/>
    <m/>
    <x v="0"/>
    <x v="0"/>
    <n v="0"/>
    <n v="0"/>
    <x v="0"/>
    <x v="0"/>
    <m/>
    <x v="0"/>
    <x v="0"/>
    <x v="0"/>
    <x v="0"/>
    <x v="0"/>
    <n v="0"/>
    <n v="0"/>
    <n v="0"/>
    <n v="12"/>
    <x v="1"/>
    <x v="0"/>
    <m/>
    <x v="0"/>
    <n v="225.5"/>
    <x v="0"/>
    <x v="21"/>
    <x v="11"/>
    <x v="0"/>
    <x v="0"/>
  </r>
  <r>
    <x v="0"/>
    <x v="11"/>
    <s v="6674 J"/>
    <x v="210"/>
    <s v="Waqas Wollan Mills Gujranwala"/>
    <s v="LD پیلا"/>
    <n v="10"/>
    <s v="7.5-8"/>
    <s v="LDM"/>
    <n v="250"/>
    <x v="0"/>
    <n v="4"/>
    <n v="254.2"/>
    <n v="4.5999999999999996"/>
    <m/>
    <x v="0"/>
    <n v="249.6"/>
    <n v="298.48"/>
    <m/>
    <x v="0"/>
    <x v="0"/>
    <n v="0"/>
    <n v="0"/>
    <x v="0"/>
    <x v="0"/>
    <m/>
    <x v="0"/>
    <x v="0"/>
    <x v="0"/>
    <x v="0"/>
    <x v="0"/>
    <n v="0"/>
    <n v="0"/>
    <n v="0"/>
    <n v="12"/>
    <x v="1"/>
    <x v="0"/>
    <m/>
    <x v="0"/>
    <n v="259.2"/>
    <x v="0"/>
    <x v="21"/>
    <x v="11"/>
    <x v="0"/>
    <x v="0"/>
  </r>
  <r>
    <x v="0"/>
    <x v="11"/>
    <s v="6735 J"/>
    <x v="210"/>
    <s v="Javed Enterprises Gujranwala"/>
    <s v="LD YELLOW"/>
    <n v="10"/>
    <s v="20-21"/>
    <s v="LDM"/>
    <n v="300"/>
    <x v="0"/>
    <n v="2"/>
    <n v="194.15"/>
    <n v="1.2"/>
    <n v="4"/>
    <x v="0"/>
    <n v="192.95000000000002"/>
    <n v="317.35000000000002"/>
    <m/>
    <x v="0"/>
    <x v="0"/>
    <n v="0"/>
    <n v="0"/>
    <x v="0"/>
    <x v="0"/>
    <m/>
    <x v="0"/>
    <x v="0"/>
    <x v="0"/>
    <x v="0"/>
    <x v="0"/>
    <n v="0"/>
    <n v="0"/>
    <n v="0"/>
    <n v="12"/>
    <x v="1"/>
    <x v="0"/>
    <m/>
    <x v="0"/>
    <n v="199.15"/>
    <x v="0"/>
    <x v="21"/>
    <x v="11"/>
    <x v="0"/>
    <x v="0"/>
  </r>
  <r>
    <x v="1"/>
    <x v="11"/>
    <s v="6735 J"/>
    <x v="210"/>
    <s v="Javed Enterprises Gujranwala"/>
    <s v="LD YELLOW"/>
    <n v="10"/>
    <s v="20-21"/>
    <s v="LDM"/>
    <n v="300"/>
    <x v="0"/>
    <n v="2"/>
    <n v="126.8"/>
    <n v="2.4"/>
    <n v="28"/>
    <x v="0"/>
    <n v="124.39999999999999"/>
    <n v="317.35000000000002"/>
    <n v="4"/>
    <x v="0"/>
    <x v="0"/>
    <n v="4"/>
    <n v="6.6666666666666666E-2"/>
    <x v="0"/>
    <x v="0"/>
    <m/>
    <x v="0"/>
    <x v="0"/>
    <x v="0"/>
    <x v="0"/>
    <x v="0"/>
    <n v="0"/>
    <n v="0"/>
    <n v="6.6666666666666666E-2"/>
    <n v="11.933333333333334"/>
    <x v="1"/>
    <x v="0"/>
    <m/>
    <x v="0"/>
    <n v="131.80000000000001"/>
    <x v="0"/>
    <x v="21"/>
    <x v="11"/>
    <x v="0"/>
    <x v="0"/>
  </r>
  <r>
    <x v="1"/>
    <x v="11"/>
    <m/>
    <x v="210"/>
    <s v="THENK YOU"/>
    <m/>
    <n v="16"/>
    <s v="11-12"/>
    <m/>
    <m/>
    <x v="0"/>
    <n v="2"/>
    <n v="113.89999999999999"/>
    <n v="2.4"/>
    <m/>
    <x v="0"/>
    <n v="111.49999999999999"/>
    <n v="0"/>
    <n v="4"/>
    <x v="0"/>
    <x v="0"/>
    <n v="4"/>
    <n v="6.6666666666666666E-2"/>
    <x v="0"/>
    <x v="0"/>
    <m/>
    <x v="0"/>
    <x v="0"/>
    <x v="0"/>
    <x v="0"/>
    <x v="0"/>
    <n v="0"/>
    <n v="0"/>
    <n v="6.6666666666666666E-2"/>
    <n v="11.933333333333334"/>
    <x v="1"/>
    <x v="0"/>
    <m/>
    <x v="0"/>
    <n v="118.89999999999999"/>
    <x v="0"/>
    <x v="21"/>
    <x v="11"/>
    <x v="0"/>
    <x v="0"/>
  </r>
  <r>
    <x v="1"/>
    <x v="11"/>
    <s v="6687 J"/>
    <x v="210"/>
    <s v="Ijaz Sher Sawabi"/>
    <s v="LDM"/>
    <n v="15"/>
    <s v="-"/>
    <s v="LDM"/>
    <n v="1000"/>
    <x v="0"/>
    <n v="2"/>
    <n v="192.60000000000002"/>
    <n v="3"/>
    <m/>
    <x v="0"/>
    <n v="189.60000000000002"/>
    <n v="189.60000000000002"/>
    <m/>
    <x v="0"/>
    <x v="0"/>
    <n v="0"/>
    <n v="0"/>
    <x v="0"/>
    <x v="0"/>
    <m/>
    <x v="0"/>
    <x v="0"/>
    <x v="0"/>
    <x v="0"/>
    <x v="0"/>
    <n v="0"/>
    <n v="0"/>
    <n v="0"/>
    <n v="12"/>
    <x v="1"/>
    <x v="0"/>
    <m/>
    <x v="0"/>
    <n v="197.60000000000002"/>
    <x v="0"/>
    <x v="21"/>
    <x v="11"/>
    <x v="0"/>
    <x v="0"/>
  </r>
  <r>
    <x v="0"/>
    <x v="14"/>
    <s v="6640 J"/>
    <x v="210"/>
    <s v="Airy Food Gujranwala"/>
    <s v="LDN"/>
    <n v="24"/>
    <s v="-"/>
    <s v="LDN"/>
    <n v="1000"/>
    <x v="0"/>
    <n v="4"/>
    <n v="420.70000000000005"/>
    <n v="10"/>
    <m/>
    <x v="0"/>
    <n v="410.70000000000005"/>
    <n v="1037.6599999999999"/>
    <n v="8"/>
    <x v="0"/>
    <x v="0"/>
    <n v="8"/>
    <n v="0.13333333333333333"/>
    <x v="0"/>
    <x v="0"/>
    <m/>
    <x v="0"/>
    <x v="0"/>
    <x v="0"/>
    <x v="0"/>
    <x v="0"/>
    <n v="0"/>
    <n v="0"/>
    <n v="0.13333333333333333"/>
    <n v="11.866666666666667"/>
    <x v="1"/>
    <x v="0"/>
    <m/>
    <x v="0"/>
    <n v="425.70000000000005"/>
    <x v="0"/>
    <x v="21"/>
    <x v="11"/>
    <x v="0"/>
    <x v="0"/>
  </r>
  <r>
    <x v="0"/>
    <x v="14"/>
    <s v="6555 J"/>
    <x v="210"/>
    <s v="Ramada Multan"/>
    <s v="LDN"/>
    <s v="23+2+2"/>
    <s v="7-7.5/14-15"/>
    <s v="LDN"/>
    <n v="200"/>
    <x v="0"/>
    <n v="3"/>
    <n v="114.4"/>
    <n v="7.2"/>
    <m/>
    <x v="0"/>
    <n v="107.2"/>
    <n v="107.2"/>
    <n v="10"/>
    <x v="0"/>
    <x v="0"/>
    <n v="10"/>
    <n v="0.16666666666666666"/>
    <x v="0"/>
    <x v="0"/>
    <m/>
    <x v="0"/>
    <x v="0"/>
    <x v="0"/>
    <x v="0"/>
    <x v="0"/>
    <n v="0"/>
    <n v="0"/>
    <n v="0.16666666666666666"/>
    <n v="11.833333333333334"/>
    <x v="1"/>
    <x v="0"/>
    <m/>
    <x v="0"/>
    <n v="119.4"/>
    <x v="0"/>
    <x v="21"/>
    <x v="11"/>
    <x v="0"/>
    <x v="0"/>
  </r>
  <r>
    <x v="0"/>
    <x v="14"/>
    <s v="6552 J"/>
    <x v="210"/>
    <s v="Khwaja Watch Center Lahore"/>
    <s v="LDگولڈن یلو"/>
    <s v="29&quot; شیٹ"/>
    <s v="7.5-8/15-16"/>
    <s v="LDM"/>
    <n v="300"/>
    <x v="0"/>
    <n v="2"/>
    <n v="162.4"/>
    <n v="6.1"/>
    <n v="43"/>
    <x v="0"/>
    <n v="156.30000000000001"/>
    <n v="623.1"/>
    <m/>
    <x v="0"/>
    <x v="0"/>
    <n v="0"/>
    <n v="0"/>
    <x v="0"/>
    <x v="0"/>
    <m/>
    <x v="0"/>
    <x v="0"/>
    <x v="0"/>
    <x v="0"/>
    <x v="0"/>
    <n v="0"/>
    <n v="0"/>
    <n v="0"/>
    <n v="12"/>
    <x v="1"/>
    <x v="0"/>
    <m/>
    <x v="0"/>
    <n v="167.4"/>
    <x v="0"/>
    <x v="21"/>
    <x v="11"/>
    <x v="0"/>
    <x v="0"/>
  </r>
  <r>
    <x v="1"/>
    <x v="14"/>
    <s v="6552 J"/>
    <x v="210"/>
    <s v="Khwaja Watch Center Lahore"/>
    <s v="LDگولڈن یلو"/>
    <s v="29&quot; شیٹ"/>
    <s v="7.5-8/15-16"/>
    <s v="LDM"/>
    <n v="300"/>
    <x v="0"/>
    <n v="2"/>
    <n v="154.34"/>
    <n v="5"/>
    <n v="22"/>
    <x v="0"/>
    <n v="149.34"/>
    <n v="623.1"/>
    <m/>
    <x v="0"/>
    <x v="0"/>
    <n v="0"/>
    <n v="0"/>
    <x v="0"/>
    <x v="0"/>
    <m/>
    <x v="0"/>
    <x v="0"/>
    <x v="0"/>
    <x v="0"/>
    <x v="0"/>
    <n v="0"/>
    <n v="0"/>
    <n v="0"/>
    <n v="12"/>
    <x v="1"/>
    <x v="0"/>
    <m/>
    <x v="0"/>
    <n v="159.34"/>
    <x v="0"/>
    <x v="21"/>
    <x v="11"/>
    <x v="0"/>
    <x v="0"/>
  </r>
  <r>
    <x v="1"/>
    <x v="14"/>
    <s v="6747 J"/>
    <x v="210"/>
    <s v="Mughal Plastic Store Layyah"/>
    <s v="LD گولڈن پیلا"/>
    <n v="22"/>
    <s v="16-16.5"/>
    <s v="LDM"/>
    <n v="100"/>
    <x v="0"/>
    <n v="1"/>
    <n v="104.82"/>
    <n v="2.2000000000000002"/>
    <m/>
    <x v="0"/>
    <n v="102.61999999999999"/>
    <n v="102.61999999999999"/>
    <n v="3"/>
    <x v="0"/>
    <x v="0"/>
    <n v="3"/>
    <n v="0.05"/>
    <x v="0"/>
    <x v="0"/>
    <m/>
    <x v="0"/>
    <x v="0"/>
    <x v="0"/>
    <x v="0"/>
    <x v="0"/>
    <n v="0"/>
    <n v="0"/>
    <n v="0.05"/>
    <n v="11.95"/>
    <x v="1"/>
    <x v="0"/>
    <m/>
    <x v="0"/>
    <n v="109.82"/>
    <x v="0"/>
    <x v="21"/>
    <x v="11"/>
    <x v="0"/>
    <x v="0"/>
  </r>
  <r>
    <x v="1"/>
    <x v="14"/>
    <s v="6587 J"/>
    <x v="210"/>
    <s v="Euro Mattress Gujrat"/>
    <s v="LDM"/>
    <n v="20"/>
    <s v="-"/>
    <s v="LDM"/>
    <n v="100"/>
    <x v="0"/>
    <n v="2"/>
    <n v="104.27000000000001"/>
    <n v="5.2"/>
    <m/>
    <x v="0"/>
    <n v="99.070000000000007"/>
    <n v="99.070000000000007"/>
    <n v="2"/>
    <x v="0"/>
    <x v="0"/>
    <n v="2"/>
    <n v="3.3333333333333333E-2"/>
    <x v="0"/>
    <x v="0"/>
    <m/>
    <x v="0"/>
    <x v="0"/>
    <x v="0"/>
    <x v="0"/>
    <x v="0"/>
    <n v="0"/>
    <n v="0"/>
    <n v="3.3333333333333333E-2"/>
    <n v="11.966666666666667"/>
    <x v="1"/>
    <x v="0"/>
    <m/>
    <x v="0"/>
    <n v="109.27000000000001"/>
    <x v="0"/>
    <x v="21"/>
    <x v="11"/>
    <x v="0"/>
    <x v="0"/>
  </r>
  <r>
    <x v="1"/>
    <x v="14"/>
    <s v="6585 J"/>
    <x v="210"/>
    <s v="Euro Mattress Gujrat"/>
    <s v="LDM"/>
    <n v="20"/>
    <s v="-"/>
    <s v="LDM"/>
    <n v="100"/>
    <x v="0"/>
    <n v="2"/>
    <n v="106.53999999999999"/>
    <n v="5.2"/>
    <m/>
    <x v="0"/>
    <n v="101.33999999999999"/>
    <n v="101.33999999999999"/>
    <n v="3"/>
    <x v="0"/>
    <x v="0"/>
    <n v="3"/>
    <n v="0.05"/>
    <x v="0"/>
    <x v="0"/>
    <m/>
    <x v="0"/>
    <x v="0"/>
    <x v="0"/>
    <x v="0"/>
    <x v="0"/>
    <n v="0"/>
    <n v="0"/>
    <n v="0.05"/>
    <n v="11.95"/>
    <x v="1"/>
    <x v="0"/>
    <m/>
    <x v="0"/>
    <n v="111.53999999999999"/>
    <x v="0"/>
    <x v="21"/>
    <x v="11"/>
    <x v="0"/>
    <x v="0"/>
  </r>
  <r>
    <x v="1"/>
    <x v="14"/>
    <m/>
    <x v="210"/>
    <s v="-"/>
    <m/>
    <n v="20"/>
    <n v="41609"/>
    <m/>
    <m/>
    <x v="0"/>
    <n v="1"/>
    <n v="86.84"/>
    <n v="2.2000000000000002"/>
    <m/>
    <x v="0"/>
    <n v="84.64"/>
    <n v="0"/>
    <n v="2"/>
    <x v="0"/>
    <x v="0"/>
    <n v="2"/>
    <n v="3.3333333333333333E-2"/>
    <x v="0"/>
    <x v="0"/>
    <m/>
    <x v="0"/>
    <x v="0"/>
    <x v="0"/>
    <x v="0"/>
    <x v="0"/>
    <n v="0"/>
    <n v="0"/>
    <n v="3.3333333333333333E-2"/>
    <n v="11.966666666666667"/>
    <x v="1"/>
    <x v="0"/>
    <m/>
    <x v="0"/>
    <n v="91.84"/>
    <x v="0"/>
    <x v="21"/>
    <x v="11"/>
    <x v="0"/>
    <x v="0"/>
  </r>
  <r>
    <x v="1"/>
    <x v="14"/>
    <s v="6612 J"/>
    <x v="210"/>
    <s v="Ahmed Miss Print Sheikhupura"/>
    <s v="LD لائیٹنگ مال"/>
    <n v="18"/>
    <s v="11-12"/>
    <s v="LDM"/>
    <n v="100"/>
    <x v="0"/>
    <n v="1"/>
    <n v="54.56"/>
    <n v="2"/>
    <m/>
    <x v="0"/>
    <n v="52.56"/>
    <n v="193.06"/>
    <m/>
    <x v="0"/>
    <x v="0"/>
    <n v="0"/>
    <n v="0"/>
    <x v="0"/>
    <x v="0"/>
    <m/>
    <x v="0"/>
    <x v="0"/>
    <x v="0"/>
    <x v="0"/>
    <x v="0"/>
    <n v="0"/>
    <n v="0"/>
    <n v="0"/>
    <n v="12"/>
    <x v="1"/>
    <x v="0"/>
    <m/>
    <x v="0"/>
    <n v="59.56"/>
    <x v="0"/>
    <x v="21"/>
    <x v="11"/>
    <x v="0"/>
    <x v="0"/>
  </r>
  <r>
    <x v="1"/>
    <x v="14"/>
    <s v="6586 J"/>
    <x v="210"/>
    <s v="Euro Mattress Gujrat"/>
    <s v="LDM"/>
    <n v="20"/>
    <s v="-"/>
    <s v="LDM"/>
    <n v="100"/>
    <x v="0"/>
    <n v="2"/>
    <n v="105.89"/>
    <n v="4"/>
    <m/>
    <x v="0"/>
    <n v="101.89"/>
    <n v="101.89"/>
    <m/>
    <x v="0"/>
    <x v="0"/>
    <n v="0"/>
    <n v="0"/>
    <x v="0"/>
    <x v="0"/>
    <m/>
    <x v="0"/>
    <x v="0"/>
    <x v="0"/>
    <x v="0"/>
    <x v="0"/>
    <n v="0"/>
    <n v="0"/>
    <n v="0"/>
    <n v="12"/>
    <x v="1"/>
    <x v="0"/>
    <m/>
    <x v="0"/>
    <n v="110.89"/>
    <x v="0"/>
    <x v="21"/>
    <x v="11"/>
    <x v="0"/>
    <x v="0"/>
  </r>
  <r>
    <x v="0"/>
    <x v="15"/>
    <s v="2728 F"/>
    <x v="210"/>
    <s v="Usman Amin"/>
    <s v="LDN"/>
    <n v="19"/>
    <s v="12"/>
    <s v="LDN"/>
    <n v="400"/>
    <x v="0"/>
    <n v="7"/>
    <n v="422.77"/>
    <n v="16.8"/>
    <n v="7"/>
    <x v="0"/>
    <n v="405.96999999999997"/>
    <n v="1088.5"/>
    <m/>
    <x v="0"/>
    <x v="0"/>
    <n v="0"/>
    <n v="0"/>
    <x v="0"/>
    <x v="0"/>
    <m/>
    <x v="0"/>
    <x v="0"/>
    <x v="0"/>
    <x v="0"/>
    <x v="0"/>
    <n v="0"/>
    <n v="0"/>
    <n v="0"/>
    <n v="12"/>
    <x v="1"/>
    <x v="0"/>
    <m/>
    <x v="0"/>
    <n v="427.77"/>
    <x v="0"/>
    <x v="21"/>
    <x v="11"/>
    <x v="0"/>
    <x v="0"/>
  </r>
  <r>
    <x v="1"/>
    <x v="15"/>
    <s v="2728 F"/>
    <x v="210"/>
    <s v="Usman Amin"/>
    <s v="LDN"/>
    <n v="19"/>
    <s v="12"/>
    <s v="LDN"/>
    <n v="400"/>
    <x v="0"/>
    <n v="5"/>
    <n v="431.24"/>
    <n v="11"/>
    <m/>
    <x v="0"/>
    <n v="420.24"/>
    <n v="1088.5"/>
    <m/>
    <x v="0"/>
    <x v="0"/>
    <n v="0"/>
    <n v="0"/>
    <x v="0"/>
    <x v="0"/>
    <m/>
    <x v="0"/>
    <x v="0"/>
    <x v="0"/>
    <x v="0"/>
    <x v="0"/>
    <n v="0"/>
    <n v="0"/>
    <n v="0"/>
    <n v="12"/>
    <x v="1"/>
    <x v="0"/>
    <m/>
    <x v="0"/>
    <n v="436.24"/>
    <x v="0"/>
    <x v="21"/>
    <x v="11"/>
    <x v="0"/>
    <x v="0"/>
  </r>
  <r>
    <x v="0"/>
    <x v="8"/>
    <s v="6707 J"/>
    <x v="211"/>
    <s v="Atlas Honda LTD (SKP)"/>
    <s v="LDN"/>
    <n v="8"/>
    <n v="9"/>
    <s v="LDN"/>
    <n v="170.94017094017093"/>
    <x v="0"/>
    <n v="2"/>
    <n v="103.68"/>
    <n v="2"/>
    <m/>
    <x v="0"/>
    <n v="101.68"/>
    <n v="195.78"/>
    <m/>
    <x v="0"/>
    <x v="0"/>
    <n v="0"/>
    <n v="0"/>
    <x v="0"/>
    <x v="0"/>
    <m/>
    <x v="0"/>
    <x v="0"/>
    <x v="0"/>
    <x v="0"/>
    <x v="0"/>
    <n v="0"/>
    <n v="0"/>
    <n v="0"/>
    <n v="12"/>
    <x v="1"/>
    <x v="0"/>
    <m/>
    <x v="0"/>
    <n v="108.68"/>
    <x v="0"/>
    <x v="21"/>
    <x v="11"/>
    <x v="0"/>
    <x v="0"/>
  </r>
  <r>
    <x v="0"/>
    <x v="8"/>
    <s v="6715 J"/>
    <x v="211"/>
    <s v="Atlas Honda LTD (SKP)"/>
    <s v="LDN"/>
    <n v="8"/>
    <s v="8.5-9"/>
    <s v="LDN"/>
    <n v="361.46723646723643"/>
    <x v="0"/>
    <n v="1"/>
    <n v="52.6"/>
    <n v="1"/>
    <n v="3"/>
    <x v="0"/>
    <n v="51.6"/>
    <n v="376.56999999999994"/>
    <m/>
    <x v="0"/>
    <x v="0"/>
    <n v="0"/>
    <n v="0"/>
    <x v="0"/>
    <x v="0"/>
    <m/>
    <x v="0"/>
    <x v="0"/>
    <x v="0"/>
    <x v="0"/>
    <x v="0"/>
    <n v="0"/>
    <n v="0"/>
    <n v="0"/>
    <n v="12"/>
    <x v="1"/>
    <x v="0"/>
    <m/>
    <x v="0"/>
    <n v="57.6"/>
    <x v="0"/>
    <x v="21"/>
    <x v="11"/>
    <x v="0"/>
    <x v="0"/>
  </r>
  <r>
    <x v="1"/>
    <x v="8"/>
    <s v="6715 J"/>
    <x v="211"/>
    <s v="Atlas Honda LTD (SKP)"/>
    <s v="LDN"/>
    <n v="8"/>
    <s v="8.5-9"/>
    <s v="LDN"/>
    <n v="361.46723646723643"/>
    <x v="0"/>
    <n v="3"/>
    <n v="160.79999999999998"/>
    <n v="3"/>
    <n v="2"/>
    <x v="0"/>
    <n v="157.79999999999998"/>
    <n v="376.56999999999994"/>
    <m/>
    <x v="0"/>
    <x v="0"/>
    <n v="0"/>
    <n v="0"/>
    <x v="0"/>
    <x v="0"/>
    <m/>
    <x v="0"/>
    <x v="0"/>
    <x v="0"/>
    <x v="0"/>
    <x v="0"/>
    <n v="0"/>
    <n v="0"/>
    <n v="0"/>
    <n v="12"/>
    <x v="1"/>
    <x v="0"/>
    <m/>
    <x v="0"/>
    <n v="165.79999999999998"/>
    <x v="0"/>
    <x v="21"/>
    <x v="11"/>
    <x v="0"/>
    <x v="0"/>
  </r>
  <r>
    <x v="0"/>
    <x v="9"/>
    <s v="6677 J"/>
    <x v="211"/>
    <s v="Javed Enterprises Gujranwala"/>
    <s v="LDN"/>
    <n v="14"/>
    <s v="20-21"/>
    <s v="LDN"/>
    <n v="500"/>
    <x v="0"/>
    <n v="3"/>
    <n v="171.79999999999998"/>
    <n v="4.8000000000000007"/>
    <m/>
    <x v="0"/>
    <n v="166.99999999999997"/>
    <n v="511.54999999999995"/>
    <m/>
    <x v="0"/>
    <x v="0"/>
    <n v="0"/>
    <n v="0"/>
    <x v="0"/>
    <x v="0"/>
    <m/>
    <x v="0"/>
    <x v="0"/>
    <x v="0"/>
    <x v="0"/>
    <x v="0"/>
    <n v="0"/>
    <n v="0"/>
    <n v="0"/>
    <n v="12"/>
    <x v="1"/>
    <x v="0"/>
    <m/>
    <x v="0"/>
    <n v="176.79999999999998"/>
    <x v="0"/>
    <x v="21"/>
    <x v="11"/>
    <x v="0"/>
    <x v="0"/>
  </r>
  <r>
    <x v="0"/>
    <x v="9"/>
    <s v="6716 J"/>
    <x v="211"/>
    <s v="Atlas Honda LTD (SKP)"/>
    <s v="LDN"/>
    <n v="9"/>
    <s v="8.5-9"/>
    <s v="LDN"/>
    <n v="607.6388888888888"/>
    <x v="0"/>
    <n v="1"/>
    <n v="54.5"/>
    <n v="1.1000000000000001"/>
    <n v="4"/>
    <x v="0"/>
    <n v="53.4"/>
    <n v="626"/>
    <m/>
    <x v="0"/>
    <x v="0"/>
    <n v="0"/>
    <n v="0"/>
    <x v="0"/>
    <x v="0"/>
    <m/>
    <x v="0"/>
    <x v="0"/>
    <x v="0"/>
    <x v="0"/>
    <x v="0"/>
    <n v="0"/>
    <n v="0"/>
    <n v="0"/>
    <n v="12"/>
    <x v="1"/>
    <x v="0"/>
    <m/>
    <x v="0"/>
    <n v="59.5"/>
    <x v="0"/>
    <x v="21"/>
    <x v="11"/>
    <x v="0"/>
    <x v="0"/>
  </r>
  <r>
    <x v="1"/>
    <x v="9"/>
    <s v="6716 J"/>
    <x v="211"/>
    <s v="Atlas Honda LTD (SKP)"/>
    <s v="LDN"/>
    <n v="9"/>
    <s v="8.5-9"/>
    <s v="LDN"/>
    <n v="607.6388888888888"/>
    <x v="0"/>
    <n v="4"/>
    <n v="170.60000000000002"/>
    <n v="4.4000000000000004"/>
    <m/>
    <x v="0"/>
    <n v="166.20000000000002"/>
    <n v="626"/>
    <m/>
    <x v="0"/>
    <x v="0"/>
    <n v="0"/>
    <n v="0"/>
    <x v="0"/>
    <x v="0"/>
    <m/>
    <x v="0"/>
    <x v="0"/>
    <x v="0"/>
    <x v="0"/>
    <x v="0"/>
    <n v="0"/>
    <n v="0"/>
    <n v="0"/>
    <n v="12"/>
    <x v="1"/>
    <x v="0"/>
    <m/>
    <x v="0"/>
    <n v="175.60000000000002"/>
    <x v="0"/>
    <x v="21"/>
    <x v="11"/>
    <x v="0"/>
    <x v="0"/>
  </r>
  <r>
    <x v="0"/>
    <x v="11"/>
    <s v="6687 J"/>
    <x v="211"/>
    <s v="Ijaz Sher Sawabi"/>
    <s v="LDM"/>
    <n v="15"/>
    <s v="-"/>
    <s v="LDM"/>
    <n v="1000"/>
    <x v="0"/>
    <n v="4"/>
    <n v="487.83"/>
    <n v="7.2"/>
    <n v="9"/>
    <x v="0"/>
    <n v="480.63"/>
    <n v="1133.73"/>
    <m/>
    <x v="0"/>
    <x v="0"/>
    <n v="0"/>
    <n v="0"/>
    <x v="0"/>
    <x v="0"/>
    <m/>
    <x v="0"/>
    <x v="0"/>
    <x v="0"/>
    <x v="0"/>
    <x v="0"/>
    <n v="0"/>
    <n v="0"/>
    <n v="0"/>
    <n v="12"/>
    <x v="1"/>
    <x v="0"/>
    <m/>
    <x v="0"/>
    <n v="492.83"/>
    <x v="0"/>
    <x v="21"/>
    <x v="11"/>
    <x v="0"/>
    <x v="0"/>
  </r>
  <r>
    <x v="1"/>
    <x v="11"/>
    <s v="6687 J"/>
    <x v="211"/>
    <s v="Ijaz Sher Sawabi"/>
    <s v="LDM"/>
    <n v="15"/>
    <s v="-"/>
    <s v="LDM"/>
    <n v="1000"/>
    <x v="0"/>
    <n v="4"/>
    <n v="471.1"/>
    <n v="7.6"/>
    <n v="8"/>
    <x v="0"/>
    <n v="463.5"/>
    <n v="1133.73"/>
    <m/>
    <x v="0"/>
    <x v="0"/>
    <n v="0"/>
    <n v="0"/>
    <x v="0"/>
    <x v="0"/>
    <m/>
    <x v="0"/>
    <x v="0"/>
    <x v="0"/>
    <x v="0"/>
    <x v="0"/>
    <n v="0"/>
    <n v="0"/>
    <n v="0"/>
    <n v="12"/>
    <x v="1"/>
    <x v="0"/>
    <m/>
    <x v="0"/>
    <n v="476.1"/>
    <x v="0"/>
    <x v="21"/>
    <x v="11"/>
    <x v="0"/>
    <x v="0"/>
  </r>
  <r>
    <x v="1"/>
    <x v="11"/>
    <s v="6748 J"/>
    <x v="211"/>
    <s v="Mughal Plastic Store Layyah"/>
    <s v="LDM"/>
    <n v="18"/>
    <s v="15-16"/>
    <s v="LDM"/>
    <n v="100"/>
    <x v="0"/>
    <n v="1"/>
    <n v="55.4"/>
    <n v="2.2000000000000002"/>
    <m/>
    <x v="0"/>
    <n v="53.199999999999996"/>
    <n v="92.6"/>
    <m/>
    <x v="0"/>
    <x v="0"/>
    <n v="0"/>
    <n v="0"/>
    <x v="0"/>
    <x v="0"/>
    <m/>
    <x v="0"/>
    <x v="0"/>
    <x v="0"/>
    <x v="0"/>
    <x v="0"/>
    <n v="0"/>
    <n v="0"/>
    <n v="0"/>
    <n v="12"/>
    <x v="1"/>
    <x v="0"/>
    <m/>
    <x v="0"/>
    <n v="60.4"/>
    <x v="0"/>
    <x v="21"/>
    <x v="11"/>
    <x v="0"/>
    <x v="0"/>
  </r>
  <r>
    <x v="0"/>
    <x v="13"/>
    <s v="2839/1"/>
    <x v="211"/>
    <s v="USMAN GHANI TEXTILES SHIEKHUPURA"/>
    <s v="LDN"/>
    <n v="38"/>
    <n v="10"/>
    <s v="SL"/>
    <n v="500"/>
    <x v="0"/>
    <n v="1"/>
    <n v="136.4"/>
    <n v="3.3"/>
    <m/>
    <x v="0"/>
    <n v="133.1"/>
    <n v="609.20000000000005"/>
    <m/>
    <x v="0"/>
    <x v="0"/>
    <n v="0"/>
    <n v="0"/>
    <x v="0"/>
    <x v="0"/>
    <m/>
    <x v="0"/>
    <x v="0"/>
    <x v="0"/>
    <x v="0"/>
    <x v="0"/>
    <n v="0"/>
    <n v="0"/>
    <n v="0"/>
    <n v="12"/>
    <x v="1"/>
    <x v="0"/>
    <m/>
    <x v="0"/>
    <n v="141.4"/>
    <x v="0"/>
    <x v="21"/>
    <x v="11"/>
    <x v="0"/>
    <x v="0"/>
  </r>
  <r>
    <x v="0"/>
    <x v="13"/>
    <s v="2751 F"/>
    <x v="211"/>
    <s v="Usman Amin"/>
    <s v="LDN"/>
    <n v="15"/>
    <s v="10-10.5"/>
    <s v="LDN"/>
    <n v="115"/>
    <x v="0"/>
    <n v="2"/>
    <n v="129.26999999999998"/>
    <n v="3.4"/>
    <m/>
    <x v="0"/>
    <n v="125.86999999999998"/>
    <n v="125.86999999999998"/>
    <m/>
    <x v="0"/>
    <x v="0"/>
    <n v="0"/>
    <n v="0"/>
    <x v="0"/>
    <x v="0"/>
    <m/>
    <x v="0"/>
    <x v="0"/>
    <x v="0"/>
    <x v="0"/>
    <x v="0"/>
    <n v="0"/>
    <n v="0"/>
    <n v="0"/>
    <n v="12"/>
    <x v="1"/>
    <x v="0"/>
    <m/>
    <x v="0"/>
    <n v="134.26999999999998"/>
    <x v="0"/>
    <x v="21"/>
    <x v="11"/>
    <x v="0"/>
    <x v="0"/>
  </r>
  <r>
    <x v="0"/>
    <x v="13"/>
    <s v="2753 F"/>
    <x v="211"/>
    <s v="Usman Amin"/>
    <s v="LDN"/>
    <n v="16"/>
    <s v="5-5.25"/>
    <s v="LDN"/>
    <n v="300"/>
    <x v="0"/>
    <n v="2"/>
    <n v="92.240000000000009"/>
    <n v="5.2"/>
    <n v="6"/>
    <x v="0"/>
    <n v="87.04"/>
    <n v="297.31"/>
    <n v="5"/>
    <x v="0"/>
    <x v="0"/>
    <n v="5"/>
    <n v="8.3333333333333329E-2"/>
    <x v="0"/>
    <x v="0"/>
    <m/>
    <x v="0"/>
    <x v="0"/>
    <x v="0"/>
    <x v="0"/>
    <x v="0"/>
    <n v="0"/>
    <n v="0"/>
    <n v="8.3333333333333329E-2"/>
    <n v="11.916666666666666"/>
    <x v="1"/>
    <x v="0"/>
    <m/>
    <x v="0"/>
    <n v="97.240000000000009"/>
    <x v="0"/>
    <x v="21"/>
    <x v="11"/>
    <x v="0"/>
    <x v="0"/>
  </r>
  <r>
    <x v="1"/>
    <x v="13"/>
    <s v="2753 F"/>
    <x v="211"/>
    <s v="Usman Amin"/>
    <s v="LDN"/>
    <n v="16"/>
    <s v="5-5.25"/>
    <s v="LDN"/>
    <n v="300"/>
    <x v="0"/>
    <n v="2"/>
    <n v="77"/>
    <n v="3.8"/>
    <n v="5"/>
    <x v="0"/>
    <n v="73.2"/>
    <n v="297.31"/>
    <m/>
    <x v="0"/>
    <x v="0"/>
    <n v="0"/>
    <n v="0"/>
    <x v="0"/>
    <x v="0"/>
    <m/>
    <x v="0"/>
    <x v="0"/>
    <x v="0"/>
    <x v="0"/>
    <x v="0"/>
    <n v="0"/>
    <n v="0"/>
    <n v="0"/>
    <n v="12"/>
    <x v="1"/>
    <x v="0"/>
    <m/>
    <x v="0"/>
    <n v="82"/>
    <x v="0"/>
    <x v="21"/>
    <x v="11"/>
    <x v="0"/>
    <x v="0"/>
  </r>
  <r>
    <x v="1"/>
    <x v="13"/>
    <s v="2745 F"/>
    <x v="211"/>
    <s v="Usman Amin"/>
    <s v="LDN"/>
    <n v="17"/>
    <s v="12"/>
    <s v="LDN"/>
    <n v="450"/>
    <x v="0"/>
    <n v="3"/>
    <n v="265.70000000000005"/>
    <n v="6"/>
    <m/>
    <x v="0"/>
    <n v="259.70000000000005"/>
    <n v="441.39000000000004"/>
    <m/>
    <x v="0"/>
    <x v="0"/>
    <n v="0"/>
    <n v="0"/>
    <x v="0"/>
    <x v="0"/>
    <m/>
    <x v="0"/>
    <x v="0"/>
    <x v="0"/>
    <x v="0"/>
    <x v="0"/>
    <n v="0"/>
    <n v="0"/>
    <n v="0"/>
    <n v="12"/>
    <x v="1"/>
    <x v="0"/>
    <m/>
    <x v="0"/>
    <n v="270.70000000000005"/>
    <x v="0"/>
    <x v="21"/>
    <x v="11"/>
    <x v="0"/>
    <x v="0"/>
  </r>
  <r>
    <x v="0"/>
    <x v="14"/>
    <s v="6724 J"/>
    <x v="211"/>
    <s v="Carefour Pakistan Ltd"/>
    <s v="LDN"/>
    <s v="38&quot; شیٹ"/>
    <s v="3-3.5/6-7"/>
    <s v="LDN"/>
    <n v="250"/>
    <x v="0"/>
    <n v="2"/>
    <n v="246.5"/>
    <n v="6.2"/>
    <m/>
    <x v="0"/>
    <n v="240.3"/>
    <n v="240.3"/>
    <n v="8"/>
    <x v="0"/>
    <x v="0"/>
    <n v="8"/>
    <n v="0.13333333333333333"/>
    <x v="0"/>
    <x v="0"/>
    <m/>
    <x v="0"/>
    <x v="0"/>
    <x v="0"/>
    <x v="0"/>
    <x v="0"/>
    <n v="0"/>
    <n v="0"/>
    <n v="0.13333333333333333"/>
    <n v="11.866666666666667"/>
    <x v="1"/>
    <x v="0"/>
    <m/>
    <x v="0"/>
    <n v="251.5"/>
    <x v="0"/>
    <x v="21"/>
    <x v="11"/>
    <x v="0"/>
    <x v="0"/>
  </r>
  <r>
    <x v="0"/>
    <x v="14"/>
    <s v="6633 J"/>
    <x v="211"/>
    <s v="Irfan SB Azam Market LHR"/>
    <s v="LDN"/>
    <n v="27"/>
    <s v="8/8.5"/>
    <s v="LDN"/>
    <n v="300"/>
    <x v="0"/>
    <n v="4"/>
    <n v="329.6"/>
    <n v="14.4"/>
    <m/>
    <x v="0"/>
    <n v="315.20000000000005"/>
    <n v="315.20000000000005"/>
    <n v="5"/>
    <x v="0"/>
    <x v="0"/>
    <n v="5"/>
    <n v="8.3333333333333329E-2"/>
    <x v="0"/>
    <x v="0"/>
    <m/>
    <x v="0"/>
    <x v="0"/>
    <x v="0"/>
    <x v="0"/>
    <x v="0"/>
    <n v="0"/>
    <n v="0"/>
    <n v="8.3333333333333329E-2"/>
    <n v="11.916666666666666"/>
    <x v="1"/>
    <x v="0"/>
    <m/>
    <x v="0"/>
    <n v="334.6"/>
    <x v="0"/>
    <x v="21"/>
    <x v="11"/>
    <x v="0"/>
    <x v="0"/>
  </r>
  <r>
    <x v="0"/>
    <x v="14"/>
    <s v="6725 J"/>
    <x v="211"/>
    <s v="Carefour Pakistan Ltd"/>
    <s v="LDN"/>
    <s v="38&quot; شیٹ"/>
    <s v="3-3.5/6-7"/>
    <s v="LDN"/>
    <n v="250"/>
    <x v="0"/>
    <n v="4"/>
    <n v="293.2"/>
    <n v="12.4"/>
    <n v="70"/>
    <x v="0"/>
    <n v="280.8"/>
    <n v="280.8"/>
    <m/>
    <x v="0"/>
    <x v="0"/>
    <n v="0"/>
    <n v="0"/>
    <x v="0"/>
    <x v="0"/>
    <m/>
    <x v="0"/>
    <x v="0"/>
    <x v="0"/>
    <x v="0"/>
    <x v="0"/>
    <n v="0"/>
    <n v="0"/>
    <n v="0"/>
    <n v="12"/>
    <x v="1"/>
    <x v="0"/>
    <m/>
    <x v="0"/>
    <n v="298.2"/>
    <x v="0"/>
    <x v="21"/>
    <x v="11"/>
    <x v="0"/>
    <x v="0"/>
  </r>
  <r>
    <x v="1"/>
    <x v="14"/>
    <s v="6726 J"/>
    <x v="211"/>
    <s v="Carefour Pakistan Ltd"/>
    <s v="LDN"/>
    <s v="36&quot; شیٹ"/>
    <s v="3-3.5/6-7"/>
    <s v="LDN"/>
    <n v="100"/>
    <x v="0"/>
    <n v="2"/>
    <n v="101.99000000000001"/>
    <n v="7"/>
    <n v="57"/>
    <x v="0"/>
    <n v="94.990000000000009"/>
    <n v="253.49"/>
    <m/>
    <x v="0"/>
    <x v="0"/>
    <n v="0"/>
    <n v="0"/>
    <x v="0"/>
    <x v="0"/>
    <m/>
    <x v="0"/>
    <x v="0"/>
    <x v="0"/>
    <x v="0"/>
    <x v="0"/>
    <n v="0"/>
    <n v="0"/>
    <n v="0"/>
    <n v="12"/>
    <x v="1"/>
    <x v="0"/>
    <m/>
    <x v="0"/>
    <n v="106.99000000000001"/>
    <x v="0"/>
    <x v="21"/>
    <x v="11"/>
    <x v="0"/>
    <x v="0"/>
  </r>
  <r>
    <x v="1"/>
    <x v="14"/>
    <s v="6719 J"/>
    <x v="211"/>
    <s v="Carefour Pakistan Ltd"/>
    <s v="LDN"/>
    <s v="28&quot; شیٹ"/>
    <s v="3-3.5/6-7"/>
    <s v="LDN"/>
    <n v="250"/>
    <x v="0"/>
    <n v="4"/>
    <n v="262.03000000000003"/>
    <n v="13.6"/>
    <m/>
    <x v="0"/>
    <n v="248.43000000000004"/>
    <n v="248.43000000000004"/>
    <m/>
    <x v="0"/>
    <x v="0"/>
    <n v="0"/>
    <n v="0"/>
    <x v="0"/>
    <x v="0"/>
    <m/>
    <x v="0"/>
    <x v="0"/>
    <x v="0"/>
    <x v="0"/>
    <x v="0"/>
    <n v="0"/>
    <n v="0"/>
    <n v="0"/>
    <n v="12"/>
    <x v="1"/>
    <x v="0"/>
    <m/>
    <x v="0"/>
    <n v="267.03000000000003"/>
    <x v="0"/>
    <x v="21"/>
    <x v="11"/>
    <x v="0"/>
    <x v="0"/>
  </r>
  <r>
    <x v="1"/>
    <x v="14"/>
    <s v="6721 J"/>
    <x v="211"/>
    <s v="Carefour Pakistan Ltd"/>
    <s v="LDN"/>
    <s v="28&quot; شیٹ"/>
    <s v="3-3.5/6-7"/>
    <s v="LDN"/>
    <n v="250"/>
    <x v="0"/>
    <n v="4"/>
    <n v="273.22000000000003"/>
    <n v="13.6"/>
    <m/>
    <x v="0"/>
    <n v="259.62"/>
    <n v="259.62"/>
    <m/>
    <x v="0"/>
    <x v="0"/>
    <n v="0"/>
    <n v="0"/>
    <x v="0"/>
    <x v="0"/>
    <m/>
    <x v="0"/>
    <x v="0"/>
    <x v="0"/>
    <x v="0"/>
    <x v="0"/>
    <n v="0"/>
    <n v="0"/>
    <n v="0"/>
    <n v="12"/>
    <x v="1"/>
    <x v="0"/>
    <m/>
    <x v="0"/>
    <n v="278.22000000000003"/>
    <x v="0"/>
    <x v="21"/>
    <x v="11"/>
    <x v="0"/>
    <x v="0"/>
  </r>
  <r>
    <x v="1"/>
    <x v="14"/>
    <s v="6722 J"/>
    <x v="211"/>
    <s v="Carefour Pakistan Ltd"/>
    <s v="LDN"/>
    <s v="28&quot; شیٹ"/>
    <s v="3-3.5/6-7"/>
    <s v="LDN"/>
    <n v="250"/>
    <x v="0"/>
    <n v="4"/>
    <n v="268.92"/>
    <n v="13.6"/>
    <m/>
    <x v="0"/>
    <n v="255.32000000000002"/>
    <n v="255.32000000000002"/>
    <m/>
    <x v="0"/>
    <x v="0"/>
    <n v="0"/>
    <n v="0"/>
    <x v="0"/>
    <x v="0"/>
    <m/>
    <x v="0"/>
    <x v="0"/>
    <x v="0"/>
    <x v="0"/>
    <x v="0"/>
    <n v="0"/>
    <n v="0"/>
    <n v="0"/>
    <n v="12"/>
    <x v="1"/>
    <x v="0"/>
    <m/>
    <x v="0"/>
    <n v="273.92"/>
    <x v="0"/>
    <x v="21"/>
    <x v="11"/>
    <x v="0"/>
    <x v="0"/>
  </r>
  <r>
    <x v="0"/>
    <x v="15"/>
    <s v="2728 F"/>
    <x v="211"/>
    <s v="Usman Amin"/>
    <s v="LDN"/>
    <n v="19"/>
    <s v="12"/>
    <s v="LDN"/>
    <n v="400"/>
    <x v="0"/>
    <n v="2"/>
    <n v="151.44999999999999"/>
    <n v="4.8"/>
    <m/>
    <x v="0"/>
    <n v="146.64999999999998"/>
    <n v="1088.5"/>
    <m/>
    <x v="0"/>
    <x v="0"/>
    <n v="0"/>
    <n v="0"/>
    <x v="0"/>
    <x v="0"/>
    <m/>
    <x v="0"/>
    <x v="0"/>
    <x v="0"/>
    <x v="0"/>
    <x v="0"/>
    <n v="0"/>
    <n v="0"/>
    <n v="0"/>
    <n v="12"/>
    <x v="1"/>
    <x v="0"/>
    <m/>
    <x v="0"/>
    <n v="156.44999999999999"/>
    <x v="0"/>
    <x v="21"/>
    <x v="11"/>
    <x v="0"/>
    <x v="0"/>
  </r>
  <r>
    <x v="0"/>
    <x v="15"/>
    <s v="2727 F"/>
    <x v="211"/>
    <s v="Usman Amin"/>
    <s v="LDN"/>
    <n v="17"/>
    <s v="7-7.5"/>
    <s v="LDN"/>
    <n v="36"/>
    <x v="0"/>
    <n v="2"/>
    <n v="102.84"/>
    <n v="4.2"/>
    <m/>
    <x v="0"/>
    <n v="98.64"/>
    <n v="98.64"/>
    <m/>
    <x v="0"/>
    <x v="0"/>
    <n v="0"/>
    <n v="0"/>
    <x v="0"/>
    <x v="0"/>
    <m/>
    <x v="0"/>
    <x v="0"/>
    <x v="0"/>
    <x v="0"/>
    <x v="0"/>
    <n v="0"/>
    <n v="0"/>
    <n v="0"/>
    <n v="12"/>
    <x v="1"/>
    <x v="0"/>
    <m/>
    <x v="0"/>
    <n v="107.84"/>
    <x v="0"/>
    <x v="21"/>
    <x v="11"/>
    <x v="0"/>
    <x v="0"/>
  </r>
  <r>
    <x v="0"/>
    <x v="15"/>
    <s v="2737 F"/>
    <x v="211"/>
    <s v="Usman Amin"/>
    <s v="LDN"/>
    <n v="17"/>
    <s v="5-5.5"/>
    <s v="LDN"/>
    <n v="325"/>
    <x v="0"/>
    <n v="3"/>
    <n v="152.16"/>
    <n v="6.3000000000000007"/>
    <n v="5"/>
    <x v="0"/>
    <n v="145.85999999999999"/>
    <n v="330.01"/>
    <m/>
    <x v="0"/>
    <x v="0"/>
    <n v="0"/>
    <n v="0"/>
    <x v="0"/>
    <x v="0"/>
    <m/>
    <x v="0"/>
    <x v="0"/>
    <x v="0"/>
    <x v="0"/>
    <x v="0"/>
    <n v="0"/>
    <n v="0"/>
    <n v="0"/>
    <n v="12"/>
    <x v="1"/>
    <x v="0"/>
    <m/>
    <x v="0"/>
    <n v="157.16"/>
    <x v="0"/>
    <x v="21"/>
    <x v="11"/>
    <x v="0"/>
    <x v="0"/>
  </r>
  <r>
    <x v="1"/>
    <x v="15"/>
    <s v="2737 F"/>
    <x v="211"/>
    <s v="Usman Amin"/>
    <s v="LDN"/>
    <n v="17"/>
    <s v="5-5.5"/>
    <s v="LDN"/>
    <n v="325"/>
    <x v="0"/>
    <n v="4"/>
    <n v="192.14999999999998"/>
    <n v="8"/>
    <n v="2"/>
    <x v="0"/>
    <n v="184.14999999999998"/>
    <n v="330.01"/>
    <m/>
    <x v="0"/>
    <x v="0"/>
    <n v="0"/>
    <n v="0"/>
    <x v="0"/>
    <x v="0"/>
    <m/>
    <x v="0"/>
    <x v="0"/>
    <x v="0"/>
    <x v="0"/>
    <x v="0"/>
    <n v="0"/>
    <n v="0"/>
    <n v="0"/>
    <n v="12"/>
    <x v="1"/>
    <x v="0"/>
    <m/>
    <x v="0"/>
    <n v="197.14999999999998"/>
    <x v="0"/>
    <x v="21"/>
    <x v="11"/>
    <x v="0"/>
    <x v="0"/>
  </r>
  <r>
    <x v="1"/>
    <x v="15"/>
    <s v="2753 F"/>
    <x v="211"/>
    <s v="Usman Amin"/>
    <s v="LDN"/>
    <n v="16"/>
    <s v="5-5.25"/>
    <s v="LDN"/>
    <n v="300"/>
    <x v="0"/>
    <n v="3"/>
    <n v="143.07"/>
    <n v="6"/>
    <m/>
    <x v="0"/>
    <n v="137.07"/>
    <n v="297.31"/>
    <m/>
    <x v="0"/>
    <x v="0"/>
    <n v="0"/>
    <n v="0"/>
    <x v="0"/>
    <x v="0"/>
    <m/>
    <x v="0"/>
    <x v="0"/>
    <x v="0"/>
    <x v="0"/>
    <x v="0"/>
    <n v="0"/>
    <n v="0"/>
    <n v="0"/>
    <n v="12"/>
    <x v="1"/>
    <x v="0"/>
    <m/>
    <x v="0"/>
    <n v="148.07"/>
    <x v="0"/>
    <x v="21"/>
    <x v="11"/>
    <x v="0"/>
    <x v="0"/>
  </r>
  <r>
    <x v="1"/>
    <x v="15"/>
    <s v="2754 F"/>
    <x v="211"/>
    <s v="Usman Amin"/>
    <s v="LDN"/>
    <n v="16"/>
    <s v="5-5.25"/>
    <s v="LDN"/>
    <n v="315"/>
    <x v="0"/>
    <n v="1"/>
    <n v="51.1"/>
    <n v="2.1"/>
    <m/>
    <x v="0"/>
    <n v="49"/>
    <n v="313.51"/>
    <m/>
    <x v="0"/>
    <x v="0"/>
    <n v="0"/>
    <n v="0"/>
    <x v="0"/>
    <x v="0"/>
    <m/>
    <x v="0"/>
    <x v="0"/>
    <x v="0"/>
    <x v="0"/>
    <x v="0"/>
    <n v="0"/>
    <n v="0"/>
    <n v="0"/>
    <n v="12"/>
    <x v="1"/>
    <x v="0"/>
    <m/>
    <x v="0"/>
    <n v="56.1"/>
    <x v="0"/>
    <x v="21"/>
    <x v="11"/>
    <x v="0"/>
    <x v="0"/>
  </r>
  <r>
    <x v="0"/>
    <x v="8"/>
    <s v="6715 J"/>
    <x v="212"/>
    <s v="Atlas Honda LTD (SKP)"/>
    <s v="LDN"/>
    <n v="8"/>
    <s v="8.5-9"/>
    <s v="LDN"/>
    <n v="361.46723646723643"/>
    <x v="0"/>
    <n v="4"/>
    <n v="171.17"/>
    <n v="4"/>
    <m/>
    <x v="0"/>
    <n v="167.17"/>
    <n v="376.56999999999994"/>
    <m/>
    <x v="0"/>
    <x v="0"/>
    <n v="0"/>
    <n v="0"/>
    <x v="0"/>
    <x v="0"/>
    <m/>
    <x v="0"/>
    <x v="0"/>
    <x v="0"/>
    <x v="0"/>
    <x v="0"/>
    <n v="0"/>
    <n v="0"/>
    <n v="0"/>
    <n v="12"/>
    <x v="1"/>
    <x v="0"/>
    <m/>
    <x v="0"/>
    <n v="176.17"/>
    <x v="0"/>
    <x v="21"/>
    <x v="11"/>
    <x v="0"/>
    <x v="0"/>
  </r>
  <r>
    <x v="1"/>
    <x v="8"/>
    <s v="6759 J"/>
    <x v="212"/>
    <s v="G MART GUJRAT"/>
    <s v="LDN"/>
    <n v="8"/>
    <s v="12-13"/>
    <s v="LDN"/>
    <n v="200"/>
    <x v="0"/>
    <n v="4"/>
    <n v="200"/>
    <n v="3.7"/>
    <m/>
    <x v="0"/>
    <n v="196.3"/>
    <n v="196.3"/>
    <m/>
    <x v="0"/>
    <x v="0"/>
    <n v="0"/>
    <n v="0"/>
    <x v="0"/>
    <x v="0"/>
    <m/>
    <x v="0"/>
    <x v="0"/>
    <x v="0"/>
    <x v="0"/>
    <x v="0"/>
    <n v="0"/>
    <n v="0"/>
    <n v="0"/>
    <n v="12"/>
    <x v="1"/>
    <x v="0"/>
    <m/>
    <x v="0"/>
    <n v="205"/>
    <x v="0"/>
    <x v="21"/>
    <x v="11"/>
    <x v="0"/>
    <x v="0"/>
  </r>
  <r>
    <x v="0"/>
    <x v="9"/>
    <s v="6716 J"/>
    <x v="212"/>
    <s v="Atlas Honda LTD (SKP)"/>
    <s v="LDN"/>
    <n v="9"/>
    <s v="8.5-9"/>
    <s v="LDN"/>
    <n v="607.6388888888888"/>
    <x v="0"/>
    <n v="3"/>
    <n v="166.2"/>
    <n v="3.3000000000000003"/>
    <n v="10"/>
    <x v="0"/>
    <n v="162.89999999999998"/>
    <n v="626"/>
    <m/>
    <x v="0"/>
    <x v="0"/>
    <n v="0"/>
    <n v="0"/>
    <x v="0"/>
    <x v="0"/>
    <m/>
    <x v="0"/>
    <x v="0"/>
    <x v="0"/>
    <x v="0"/>
    <x v="0"/>
    <n v="0"/>
    <n v="0"/>
    <n v="0"/>
    <n v="12"/>
    <x v="1"/>
    <x v="0"/>
    <m/>
    <x v="0"/>
    <n v="171.2"/>
    <x v="0"/>
    <x v="21"/>
    <x v="11"/>
    <x v="0"/>
    <x v="0"/>
  </r>
  <r>
    <x v="1"/>
    <x v="9"/>
    <s v="6716 J"/>
    <x v="212"/>
    <s v="Atlas Honda LTD (SKP)"/>
    <s v="LDN"/>
    <n v="9"/>
    <s v="8.5-9"/>
    <s v="LDN"/>
    <n v="607.6388888888888"/>
    <x v="0"/>
    <n v="1"/>
    <n v="35.700000000000003"/>
    <n v="1"/>
    <n v="12"/>
    <x v="0"/>
    <n v="34.700000000000003"/>
    <n v="626"/>
    <m/>
    <x v="0"/>
    <x v="0"/>
    <n v="0"/>
    <n v="0"/>
    <x v="0"/>
    <x v="0"/>
    <m/>
    <x v="0"/>
    <x v="0"/>
    <x v="0"/>
    <x v="0"/>
    <x v="0"/>
    <n v="0"/>
    <n v="0"/>
    <n v="0"/>
    <n v="12"/>
    <x v="1"/>
    <x v="0"/>
    <m/>
    <x v="0"/>
    <n v="40.700000000000003"/>
    <x v="0"/>
    <x v="21"/>
    <x v="11"/>
    <x v="0"/>
    <x v="0"/>
  </r>
  <r>
    <x v="1"/>
    <x v="9"/>
    <s v="6760 J"/>
    <x v="212"/>
    <s v="G MART GUJRAT"/>
    <s v="LDN"/>
    <n v="9"/>
    <s v="14-15"/>
    <s v="LDN"/>
    <n v="200"/>
    <x v="0"/>
    <n v="2"/>
    <n v="110.3"/>
    <n v="2.2999999999999998"/>
    <m/>
    <x v="0"/>
    <n v="108"/>
    <n v="231.7"/>
    <m/>
    <x v="0"/>
    <x v="0"/>
    <n v="0"/>
    <n v="0"/>
    <x v="0"/>
    <x v="0"/>
    <m/>
    <x v="0"/>
    <x v="0"/>
    <x v="0"/>
    <x v="0"/>
    <x v="0"/>
    <n v="0"/>
    <n v="0"/>
    <n v="0"/>
    <n v="12"/>
    <x v="1"/>
    <x v="0"/>
    <m/>
    <x v="0"/>
    <n v="115.3"/>
    <x v="0"/>
    <x v="21"/>
    <x v="11"/>
    <x v="0"/>
    <x v="0"/>
  </r>
  <r>
    <x v="0"/>
    <x v="11"/>
    <s v="6748 J"/>
    <x v="212"/>
    <s v="Mughal Plastic Store Layyah"/>
    <s v="LDM"/>
    <n v="18"/>
    <s v="15-16"/>
    <s v="LDM"/>
    <n v="100"/>
    <x v="0"/>
    <n v="1"/>
    <n v="41.2"/>
    <n v="1.8"/>
    <m/>
    <x v="0"/>
    <n v="39.400000000000006"/>
    <n v="92.6"/>
    <m/>
    <x v="0"/>
    <x v="0"/>
    <n v="0"/>
    <n v="0"/>
    <x v="0"/>
    <x v="0"/>
    <m/>
    <x v="0"/>
    <x v="0"/>
    <x v="0"/>
    <x v="0"/>
    <x v="0"/>
    <n v="0"/>
    <n v="0"/>
    <n v="0"/>
    <n v="12"/>
    <x v="1"/>
    <x v="0"/>
    <m/>
    <x v="0"/>
    <n v="46.2"/>
    <x v="0"/>
    <x v="21"/>
    <x v="11"/>
    <x v="0"/>
    <x v="0"/>
  </r>
  <r>
    <x v="0"/>
    <x v="11"/>
    <s v="6581 J"/>
    <x v="212"/>
    <s v="Haji Kamal Wana"/>
    <s v="LD رنگدار"/>
    <n v="22"/>
    <s v="12-12.5"/>
    <s v="LDM"/>
    <n v="300"/>
    <x v="0"/>
    <n v="1"/>
    <n v="125.7"/>
    <n v="2.8"/>
    <m/>
    <x v="0"/>
    <n v="122.9"/>
    <n v="335.9"/>
    <m/>
    <x v="0"/>
    <x v="0"/>
    <n v="0"/>
    <n v="0"/>
    <x v="0"/>
    <x v="0"/>
    <m/>
    <x v="0"/>
    <x v="0"/>
    <x v="0"/>
    <x v="0"/>
    <x v="0"/>
    <n v="0"/>
    <n v="0"/>
    <n v="0"/>
    <n v="12"/>
    <x v="1"/>
    <x v="0"/>
    <m/>
    <x v="0"/>
    <n v="130.69999999999999"/>
    <x v="0"/>
    <x v="21"/>
    <x v="11"/>
    <x v="0"/>
    <x v="0"/>
  </r>
  <r>
    <x v="0"/>
    <x v="11"/>
    <s v="6675 J"/>
    <x v="212"/>
    <s v="Waqas Wollan Mills Gujranwala"/>
    <s v="LD گرین"/>
    <n v="13"/>
    <s v="8-8.5"/>
    <s v="LDM"/>
    <n v="250"/>
    <x v="0"/>
    <n v="2"/>
    <n v="98.3"/>
    <n v="3.4"/>
    <m/>
    <x v="0"/>
    <n v="94.899999999999991"/>
    <n v="344.01"/>
    <m/>
    <x v="0"/>
    <x v="0"/>
    <n v="0"/>
    <n v="0"/>
    <x v="0"/>
    <x v="0"/>
    <m/>
    <x v="0"/>
    <x v="0"/>
    <x v="0"/>
    <x v="0"/>
    <x v="0"/>
    <n v="0"/>
    <n v="0"/>
    <n v="0"/>
    <n v="12"/>
    <x v="1"/>
    <x v="0"/>
    <m/>
    <x v="0"/>
    <n v="103.3"/>
    <x v="0"/>
    <x v="21"/>
    <x v="11"/>
    <x v="0"/>
    <x v="0"/>
  </r>
  <r>
    <x v="0"/>
    <x v="11"/>
    <s v="6622 J"/>
    <x v="212"/>
    <s v="Ajwa Fabrics Vehari"/>
    <s v="LDM"/>
    <s v="11+3+3"/>
    <s v="7.5-8/15-16"/>
    <s v="LDM"/>
    <n v="140"/>
    <x v="0"/>
    <n v="4"/>
    <n v="143.6"/>
    <n v="5.2"/>
    <m/>
    <x v="0"/>
    <n v="138.4"/>
    <n v="138.4"/>
    <m/>
    <x v="0"/>
    <x v="0"/>
    <n v="0"/>
    <n v="0"/>
    <x v="0"/>
    <x v="0"/>
    <m/>
    <x v="0"/>
    <x v="0"/>
    <x v="0"/>
    <x v="0"/>
    <x v="0"/>
    <n v="0"/>
    <n v="0"/>
    <n v="0"/>
    <n v="12"/>
    <x v="1"/>
    <x v="0"/>
    <m/>
    <x v="0"/>
    <n v="148.6"/>
    <x v="0"/>
    <x v="21"/>
    <x v="11"/>
    <x v="0"/>
    <x v="0"/>
  </r>
  <r>
    <x v="0"/>
    <x v="11"/>
    <s v="6631 J"/>
    <x v="212"/>
    <s v="Khuram Cloth House Multan"/>
    <s v="LDM"/>
    <s v="13+3+3"/>
    <s v="9.5-10/19-20"/>
    <s v="LDM"/>
    <n v="125"/>
    <x v="0"/>
    <n v="1"/>
    <n v="32"/>
    <n v="1.5"/>
    <n v="15"/>
    <x v="0"/>
    <n v="30.5"/>
    <n v="115.10000000000001"/>
    <m/>
    <x v="0"/>
    <x v="0"/>
    <n v="0"/>
    <n v="0"/>
    <x v="0"/>
    <x v="0"/>
    <m/>
    <x v="0"/>
    <x v="0"/>
    <x v="0"/>
    <x v="0"/>
    <x v="0"/>
    <n v="0"/>
    <n v="0"/>
    <n v="0"/>
    <n v="12"/>
    <x v="1"/>
    <x v="0"/>
    <m/>
    <x v="0"/>
    <n v="37"/>
    <x v="0"/>
    <x v="21"/>
    <x v="11"/>
    <x v="0"/>
    <x v="0"/>
  </r>
  <r>
    <x v="1"/>
    <x v="11"/>
    <s v="6631 J"/>
    <x v="212"/>
    <s v="Khuram Cloth House Multan"/>
    <s v="LDM"/>
    <s v="13+3+3"/>
    <s v="9.5-10/19-20"/>
    <s v="LDM"/>
    <n v="125"/>
    <x v="0"/>
    <n v="2"/>
    <n v="88.2"/>
    <n v="3.6"/>
    <n v="20"/>
    <x v="0"/>
    <n v="84.600000000000009"/>
    <n v="115.10000000000001"/>
    <m/>
    <x v="0"/>
    <x v="0"/>
    <n v="0"/>
    <n v="0"/>
    <x v="0"/>
    <x v="0"/>
    <m/>
    <x v="0"/>
    <x v="0"/>
    <x v="0"/>
    <x v="0"/>
    <x v="0"/>
    <n v="0"/>
    <n v="0"/>
    <n v="0"/>
    <n v="12"/>
    <x v="1"/>
    <x v="0"/>
    <m/>
    <x v="0"/>
    <n v="93.2"/>
    <x v="0"/>
    <x v="21"/>
    <x v="11"/>
    <x v="0"/>
    <x v="0"/>
  </r>
  <r>
    <x v="1"/>
    <x v="11"/>
    <s v="6754 J"/>
    <x v="212"/>
    <s v="Javed Enterprises Gujranwala"/>
    <s v="LDM"/>
    <n v="10"/>
    <s v="20-21"/>
    <s v="LDM"/>
    <n v="300"/>
    <x v="0"/>
    <n v="3"/>
    <n v="211.5"/>
    <n v="3.5999999999999996"/>
    <m/>
    <x v="0"/>
    <n v="207.9"/>
    <n v="319.3"/>
    <m/>
    <x v="0"/>
    <x v="0"/>
    <n v="0"/>
    <n v="0"/>
    <x v="0"/>
    <x v="0"/>
    <m/>
    <x v="0"/>
    <x v="0"/>
    <x v="0"/>
    <x v="0"/>
    <x v="0"/>
    <n v="0"/>
    <n v="0"/>
    <n v="0"/>
    <n v="12"/>
    <x v="1"/>
    <x v="0"/>
    <m/>
    <x v="0"/>
    <n v="216.5"/>
    <x v="0"/>
    <x v="21"/>
    <x v="11"/>
    <x v="0"/>
    <x v="0"/>
  </r>
  <r>
    <x v="0"/>
    <x v="13"/>
    <s v="2745 F"/>
    <x v="212"/>
    <s v="Usman Amin"/>
    <s v="LDN"/>
    <n v="17"/>
    <s v="12"/>
    <s v="LDN"/>
    <n v="450"/>
    <x v="0"/>
    <n v="3"/>
    <n v="186.79"/>
    <n v="5.0999999999999996"/>
    <m/>
    <x v="0"/>
    <n v="181.69"/>
    <n v="441.39000000000004"/>
    <m/>
    <x v="0"/>
    <x v="0"/>
    <n v="0"/>
    <n v="0"/>
    <x v="0"/>
    <x v="0"/>
    <m/>
    <x v="0"/>
    <x v="0"/>
    <x v="0"/>
    <x v="0"/>
    <x v="0"/>
    <n v="0"/>
    <n v="0"/>
    <n v="0"/>
    <n v="12"/>
    <x v="1"/>
    <x v="0"/>
    <m/>
    <x v="0"/>
    <n v="191.79"/>
    <x v="0"/>
    <x v="21"/>
    <x v="11"/>
    <x v="0"/>
    <x v="0"/>
  </r>
  <r>
    <x v="0"/>
    <x v="13"/>
    <s v="2741 F"/>
    <x v="212"/>
    <s v="Usman Amin"/>
    <s v="LDN"/>
    <n v="17"/>
    <s v="12"/>
    <s v="LDN"/>
    <n v="270"/>
    <x v="0"/>
    <n v="3"/>
    <n v="162.85000000000002"/>
    <n v="6.3000000000000007"/>
    <n v="11"/>
    <x v="0"/>
    <n v="156.55000000000001"/>
    <n v="278.35000000000002"/>
    <m/>
    <x v="0"/>
    <x v="0"/>
    <n v="0"/>
    <n v="0"/>
    <x v="0"/>
    <x v="0"/>
    <m/>
    <x v="0"/>
    <x v="0"/>
    <x v="0"/>
    <x v="0"/>
    <x v="0"/>
    <n v="0"/>
    <n v="0"/>
    <n v="0"/>
    <n v="12"/>
    <x v="1"/>
    <x v="0"/>
    <m/>
    <x v="0"/>
    <n v="167.85000000000002"/>
    <x v="0"/>
    <x v="21"/>
    <x v="11"/>
    <x v="0"/>
    <x v="0"/>
  </r>
  <r>
    <x v="1"/>
    <x v="13"/>
    <s v="2741 F"/>
    <x v="212"/>
    <s v="Usman Amin"/>
    <s v="LDN"/>
    <n v="17"/>
    <s v="12"/>
    <s v="LDN"/>
    <n v="270"/>
    <x v="0"/>
    <n v="2"/>
    <n v="125.9"/>
    <n v="4.0999999999999996"/>
    <n v="9"/>
    <x v="0"/>
    <n v="121.80000000000001"/>
    <n v="278.35000000000002"/>
    <m/>
    <x v="0"/>
    <x v="0"/>
    <n v="0"/>
    <n v="0"/>
    <x v="0"/>
    <x v="0"/>
    <m/>
    <x v="0"/>
    <x v="0"/>
    <x v="0"/>
    <x v="0"/>
    <x v="0"/>
    <n v="0"/>
    <n v="0"/>
    <n v="0"/>
    <n v="12"/>
    <x v="1"/>
    <x v="0"/>
    <m/>
    <x v="0"/>
    <n v="130.9"/>
    <x v="0"/>
    <x v="21"/>
    <x v="11"/>
    <x v="0"/>
    <x v="0"/>
  </r>
  <r>
    <x v="1"/>
    <x v="13"/>
    <s v="2726 F"/>
    <x v="212"/>
    <s v="Usman Amin"/>
    <s v="LDN"/>
    <n v="17"/>
    <s v="8.5-9"/>
    <s v="LDN"/>
    <n v="500"/>
    <x v="0"/>
    <n v="4"/>
    <n v="249.3"/>
    <n v="8.8000000000000007"/>
    <m/>
    <x v="0"/>
    <n v="240.5"/>
    <n v="512.4"/>
    <m/>
    <x v="0"/>
    <x v="0"/>
    <n v="0"/>
    <n v="0"/>
    <x v="0"/>
    <x v="0"/>
    <m/>
    <x v="0"/>
    <x v="0"/>
    <x v="0"/>
    <x v="0"/>
    <x v="0"/>
    <n v="0"/>
    <n v="0"/>
    <n v="0"/>
    <n v="12"/>
    <x v="1"/>
    <x v="0"/>
    <m/>
    <x v="0"/>
    <n v="254.3"/>
    <x v="0"/>
    <x v="21"/>
    <x v="11"/>
    <x v="0"/>
    <x v="0"/>
  </r>
  <r>
    <x v="0"/>
    <x v="14"/>
    <s v="6720 J"/>
    <x v="212"/>
    <s v="Carefour Pakistan Ltd"/>
    <s v="LDN"/>
    <s v="28&quot; شیٹ"/>
    <s v="3-3.5/6-7"/>
    <s v="LDN"/>
    <n v="100"/>
    <x v="0"/>
    <n v="2"/>
    <n v="114.6"/>
    <n v="5.6"/>
    <m/>
    <x v="0"/>
    <n v="109"/>
    <n v="257.8"/>
    <m/>
    <x v="0"/>
    <x v="0"/>
    <n v="0"/>
    <n v="0"/>
    <x v="0"/>
    <x v="0"/>
    <m/>
    <x v="0"/>
    <x v="0"/>
    <x v="0"/>
    <x v="0"/>
    <x v="0"/>
    <n v="0"/>
    <n v="0"/>
    <n v="0"/>
    <n v="12"/>
    <x v="1"/>
    <x v="0"/>
    <m/>
    <x v="0"/>
    <n v="119.6"/>
    <x v="0"/>
    <x v="21"/>
    <x v="11"/>
    <x v="0"/>
    <x v="0"/>
  </r>
  <r>
    <x v="0"/>
    <x v="14"/>
    <s v="6723 J"/>
    <x v="212"/>
    <s v="Carefour Pakistan Ltd"/>
    <s v="LDN"/>
    <s v="28&quot; شیٹ"/>
    <s v="3-3.5/6-7"/>
    <s v="LDN"/>
    <n v="100"/>
    <x v="0"/>
    <n v="2"/>
    <n v="109.9"/>
    <n v="5.6"/>
    <m/>
    <x v="0"/>
    <n v="104.30000000000001"/>
    <n v="265.3"/>
    <m/>
    <x v="0"/>
    <x v="0"/>
    <n v="0"/>
    <n v="0"/>
    <x v="0"/>
    <x v="0"/>
    <m/>
    <x v="0"/>
    <x v="0"/>
    <x v="0"/>
    <x v="0"/>
    <x v="0"/>
    <n v="0"/>
    <n v="0"/>
    <n v="0"/>
    <n v="12"/>
    <x v="1"/>
    <x v="0"/>
    <m/>
    <x v="0"/>
    <n v="114.9"/>
    <x v="0"/>
    <x v="21"/>
    <x v="11"/>
    <x v="0"/>
    <x v="0"/>
  </r>
  <r>
    <x v="0"/>
    <x v="14"/>
    <s v="6713 J"/>
    <x v="212"/>
    <s v="Precision Polymers Pvt LTD"/>
    <s v="LDN"/>
    <n v="26"/>
    <s v="8.5-9"/>
    <s v="LDN"/>
    <n v="222.80092592592592"/>
    <x v="0"/>
    <n v="2"/>
    <n v="175.39999999999998"/>
    <n v="6.4"/>
    <m/>
    <x v="0"/>
    <n v="168.99999999999997"/>
    <n v="168.99999999999997"/>
    <n v="5"/>
    <x v="0"/>
    <x v="0"/>
    <n v="5"/>
    <n v="8.3333333333333329E-2"/>
    <x v="0"/>
    <x v="0"/>
    <m/>
    <x v="0"/>
    <x v="0"/>
    <x v="0"/>
    <x v="0"/>
    <x v="0"/>
    <n v="0"/>
    <n v="0"/>
    <n v="8.3333333333333329E-2"/>
    <n v="11.916666666666666"/>
    <x v="1"/>
    <x v="0"/>
    <m/>
    <x v="0"/>
    <n v="180.39999999999998"/>
    <x v="0"/>
    <x v="21"/>
    <x v="11"/>
    <x v="0"/>
    <x v="0"/>
  </r>
  <r>
    <x v="0"/>
    <x v="14"/>
    <s v="2847/1"/>
    <x v="212"/>
    <s v="PT-02 (AUTO TEK KSK)"/>
    <s v="LDN"/>
    <n v="26"/>
    <s v="9-10"/>
    <s v="SL"/>
    <n v="300"/>
    <x v="0"/>
    <n v="3"/>
    <n v="235.2"/>
    <n v="9.6000000000000014"/>
    <n v="31"/>
    <x v="0"/>
    <n v="225.6"/>
    <n v="301.14"/>
    <m/>
    <x v="0"/>
    <x v="0"/>
    <n v="0"/>
    <n v="0"/>
    <x v="0"/>
    <x v="0"/>
    <m/>
    <x v="0"/>
    <x v="0"/>
    <x v="0"/>
    <x v="0"/>
    <x v="0"/>
    <n v="0"/>
    <n v="0"/>
    <n v="0"/>
    <n v="12"/>
    <x v="1"/>
    <x v="0"/>
    <m/>
    <x v="0"/>
    <n v="240.2"/>
    <x v="0"/>
    <x v="21"/>
    <x v="11"/>
    <x v="0"/>
    <x v="0"/>
  </r>
  <r>
    <x v="1"/>
    <x v="14"/>
    <s v="2847/1"/>
    <x v="212"/>
    <s v="PT-02 (AUTO TEK KSK)"/>
    <s v="LDN"/>
    <n v="26"/>
    <s v="9-10"/>
    <s v="SL"/>
    <n v="300"/>
    <x v="0"/>
    <n v="1"/>
    <n v="78.739999999999995"/>
    <n v="3.2"/>
    <n v="40"/>
    <x v="0"/>
    <n v="75.539999999999992"/>
    <n v="301.14"/>
    <m/>
    <x v="0"/>
    <x v="0"/>
    <n v="0"/>
    <n v="0"/>
    <x v="0"/>
    <x v="0"/>
    <m/>
    <x v="0"/>
    <x v="0"/>
    <x v="0"/>
    <x v="0"/>
    <x v="0"/>
    <n v="0"/>
    <n v="0"/>
    <n v="0"/>
    <n v="12"/>
    <x v="1"/>
    <x v="0"/>
    <m/>
    <x v="0"/>
    <n v="83.74"/>
    <x v="0"/>
    <x v="21"/>
    <x v="11"/>
    <x v="0"/>
    <x v="0"/>
  </r>
  <r>
    <x v="1"/>
    <x v="14"/>
    <s v="6709 J"/>
    <x v="212"/>
    <s v="Atlas Honda LTD (SKP)"/>
    <s v="LDN"/>
    <n v="24"/>
    <s v="8.5-9"/>
    <s v="LDN"/>
    <n v="224.35897435897434"/>
    <x v="0"/>
    <n v="6"/>
    <n v="271.17999999999995"/>
    <n v="12.6"/>
    <m/>
    <x v="0"/>
    <n v="258.57999999999993"/>
    <n v="258.57999999999993"/>
    <m/>
    <x v="0"/>
    <x v="0"/>
    <n v="0"/>
    <n v="0"/>
    <x v="0"/>
    <x v="0"/>
    <m/>
    <x v="0"/>
    <x v="0"/>
    <x v="0"/>
    <x v="0"/>
    <x v="0"/>
    <n v="0"/>
    <n v="0"/>
    <n v="0"/>
    <n v="12"/>
    <x v="1"/>
    <x v="0"/>
    <m/>
    <x v="0"/>
    <n v="276.17999999999995"/>
    <x v="0"/>
    <x v="21"/>
    <x v="11"/>
    <x v="0"/>
    <x v="0"/>
  </r>
  <r>
    <x v="1"/>
    <x v="14"/>
    <s v="6711 J"/>
    <x v="212"/>
    <s v="Atlas Honda LTD (SKP)"/>
    <s v="LDN"/>
    <n v="22"/>
    <s v="12.5-13"/>
    <s v="LDN"/>
    <n v="83.244301994301992"/>
    <x v="0"/>
    <n v="2"/>
    <n v="103.66"/>
    <n v="5.6"/>
    <m/>
    <x v="0"/>
    <n v="98.06"/>
    <n v="98.06"/>
    <m/>
    <x v="0"/>
    <x v="0"/>
    <n v="0"/>
    <n v="0"/>
    <x v="0"/>
    <x v="0"/>
    <m/>
    <x v="0"/>
    <x v="0"/>
    <x v="0"/>
    <x v="0"/>
    <x v="0"/>
    <n v="0"/>
    <n v="0"/>
    <n v="0"/>
    <n v="12"/>
    <x v="1"/>
    <x v="0"/>
    <m/>
    <x v="0"/>
    <n v="108.66"/>
    <x v="0"/>
    <x v="21"/>
    <x v="11"/>
    <x v="0"/>
    <x v="0"/>
  </r>
  <r>
    <x v="1"/>
    <x v="14"/>
    <s v="6714 J"/>
    <x v="212"/>
    <s v="Atlas Honda LTD (SKP)"/>
    <s v="LDN"/>
    <n v="22"/>
    <s v="8.5-9"/>
    <s v="LDN"/>
    <n v="148.53395061728395"/>
    <x v="0"/>
    <n v="2"/>
    <n v="156.25"/>
    <n v="5"/>
    <m/>
    <x v="0"/>
    <n v="151.25"/>
    <n v="151.25"/>
    <m/>
    <x v="0"/>
    <x v="0"/>
    <n v="0"/>
    <n v="0"/>
    <x v="0"/>
    <x v="0"/>
    <m/>
    <x v="0"/>
    <x v="0"/>
    <x v="0"/>
    <x v="0"/>
    <x v="0"/>
    <n v="0"/>
    <n v="0"/>
    <n v="0"/>
    <n v="12"/>
    <x v="1"/>
    <x v="0"/>
    <m/>
    <x v="0"/>
    <n v="161.25"/>
    <x v="0"/>
    <x v="21"/>
    <x v="11"/>
    <x v="0"/>
    <x v="0"/>
  </r>
  <r>
    <x v="1"/>
    <x v="14"/>
    <s v="6592 J"/>
    <x v="212"/>
    <s v="Chaudhry Milk Sweets and Bakers Jhangh"/>
    <s v="LDN"/>
    <n v="21"/>
    <s v="8-8.5"/>
    <s v="LDN"/>
    <n v="150"/>
    <x v="0"/>
    <n v="2"/>
    <n v="163.92000000000002"/>
    <n v="5.2"/>
    <m/>
    <x v="0"/>
    <n v="158.72000000000003"/>
    <n v="158.72000000000003"/>
    <m/>
    <x v="0"/>
    <x v="0"/>
    <n v="0"/>
    <n v="0"/>
    <x v="0"/>
    <x v="0"/>
    <m/>
    <x v="0"/>
    <x v="0"/>
    <x v="0"/>
    <x v="0"/>
    <x v="0"/>
    <n v="0"/>
    <n v="0"/>
    <n v="0"/>
    <n v="12"/>
    <x v="1"/>
    <x v="0"/>
    <m/>
    <x v="0"/>
    <n v="168.92000000000002"/>
    <x v="0"/>
    <x v="21"/>
    <x v="11"/>
    <x v="0"/>
    <x v="0"/>
  </r>
  <r>
    <x v="0"/>
    <x v="15"/>
    <s v="2754 F"/>
    <x v="212"/>
    <s v="Usman Amin"/>
    <s v="LDN"/>
    <n v="16"/>
    <s v="5-5.25"/>
    <s v="LDN"/>
    <n v="315"/>
    <x v="0"/>
    <n v="6"/>
    <n v="277.11"/>
    <n v="12.600000000000001"/>
    <m/>
    <x v="0"/>
    <n v="264.51"/>
    <n v="313.51"/>
    <m/>
    <x v="0"/>
    <x v="0"/>
    <n v="0"/>
    <n v="0"/>
    <x v="0"/>
    <x v="0"/>
    <m/>
    <x v="0"/>
    <x v="0"/>
    <x v="0"/>
    <x v="0"/>
    <x v="0"/>
    <n v="0"/>
    <n v="0"/>
    <n v="0"/>
    <n v="12"/>
    <x v="1"/>
    <x v="0"/>
    <m/>
    <x v="0"/>
    <n v="282.11"/>
    <x v="0"/>
    <x v="21"/>
    <x v="11"/>
    <x v="0"/>
    <x v="0"/>
  </r>
  <r>
    <x v="0"/>
    <x v="15"/>
    <s v="2740 F"/>
    <x v="212"/>
    <s v="Usman Amin"/>
    <s v="LDN"/>
    <n v="16"/>
    <s v="7-7.5"/>
    <s v="LDN"/>
    <n v="120"/>
    <x v="0"/>
    <n v="2"/>
    <n v="120.24"/>
    <n v="4"/>
    <m/>
    <x v="0"/>
    <n v="116.24"/>
    <n v="116.24"/>
    <n v="5"/>
    <x v="0"/>
    <x v="0"/>
    <n v="5"/>
    <n v="8.3333333333333329E-2"/>
    <x v="0"/>
    <x v="0"/>
    <m/>
    <x v="0"/>
    <x v="0"/>
    <x v="0"/>
    <x v="0"/>
    <x v="0"/>
    <n v="0"/>
    <n v="0"/>
    <n v="8.3333333333333329E-2"/>
    <n v="11.916666666666666"/>
    <x v="1"/>
    <x v="0"/>
    <m/>
    <x v="0"/>
    <n v="125.24"/>
    <x v="0"/>
    <x v="21"/>
    <x v="11"/>
    <x v="0"/>
    <x v="0"/>
  </r>
  <r>
    <x v="1"/>
    <x v="15"/>
    <s v="6708 J"/>
    <x v="212"/>
    <s v="Atlas Honda LTD (SKP)"/>
    <s v="LDN"/>
    <n v="16"/>
    <n v="9"/>
    <s v="LDN"/>
    <n v="34.188034188034187"/>
    <x v="0"/>
    <n v="2"/>
    <n v="83.27000000000001"/>
    <n v="3.6"/>
    <m/>
    <x v="0"/>
    <n v="79.670000000000016"/>
    <n v="79.670000000000016"/>
    <m/>
    <x v="0"/>
    <x v="0"/>
    <n v="0"/>
    <n v="0"/>
    <x v="0"/>
    <x v="0"/>
    <m/>
    <x v="0"/>
    <x v="0"/>
    <x v="0"/>
    <x v="0"/>
    <x v="0"/>
    <n v="0"/>
    <n v="0"/>
    <n v="0"/>
    <n v="12"/>
    <x v="1"/>
    <x v="0"/>
    <m/>
    <x v="0"/>
    <n v="88.27000000000001"/>
    <x v="0"/>
    <x v="21"/>
    <x v="11"/>
    <x v="0"/>
    <x v="0"/>
  </r>
  <r>
    <x v="1"/>
    <x v="15"/>
    <s v="6710 J"/>
    <x v="212"/>
    <s v="Atlas Honda LTD (SKP)"/>
    <s v="LDN"/>
    <n v="16"/>
    <s v="14-14.5"/>
    <s v="LDN"/>
    <n v="121.7948717948718"/>
    <x v="0"/>
    <n v="2"/>
    <n v="158.69"/>
    <n v="3.6"/>
    <m/>
    <x v="0"/>
    <n v="155.09"/>
    <n v="155.09"/>
    <m/>
    <x v="0"/>
    <x v="0"/>
    <n v="0"/>
    <n v="0"/>
    <x v="0"/>
    <x v="0"/>
    <m/>
    <x v="0"/>
    <x v="0"/>
    <x v="0"/>
    <x v="0"/>
    <x v="0"/>
    <n v="0"/>
    <n v="0"/>
    <n v="0"/>
    <n v="12"/>
    <x v="1"/>
    <x v="0"/>
    <m/>
    <x v="0"/>
    <n v="163.69"/>
    <x v="0"/>
    <x v="21"/>
    <x v="11"/>
    <x v="0"/>
    <x v="0"/>
  </r>
  <r>
    <x v="1"/>
    <x v="15"/>
    <s v="2762 F"/>
    <x v="212"/>
    <s v="Usman Amin"/>
    <s v="LDN"/>
    <n v="16"/>
    <s v="8"/>
    <s v="LDN"/>
    <n v="100"/>
    <x v="0"/>
    <n v="2"/>
    <n v="104.93"/>
    <n v="3.6"/>
    <m/>
    <x v="0"/>
    <n v="101.33000000000001"/>
    <n v="101.33000000000001"/>
    <m/>
    <x v="0"/>
    <x v="0"/>
    <n v="0"/>
    <n v="0"/>
    <x v="0"/>
    <x v="0"/>
    <m/>
    <x v="0"/>
    <x v="0"/>
    <x v="0"/>
    <x v="0"/>
    <x v="0"/>
    <n v="0"/>
    <n v="0"/>
    <n v="0"/>
    <n v="12"/>
    <x v="1"/>
    <x v="0"/>
    <m/>
    <x v="0"/>
    <n v="109.93"/>
    <x v="0"/>
    <x v="21"/>
    <x v="11"/>
    <x v="0"/>
    <x v="0"/>
  </r>
  <r>
    <x v="1"/>
    <x v="15"/>
    <s v="6591 J"/>
    <x v="212"/>
    <s v="Chaudhry Milk Sweets and Bakers Jhangh"/>
    <s v="LDN"/>
    <n v="17"/>
    <s v="8-8.5"/>
    <s v="LDN"/>
    <n v="150"/>
    <x v="0"/>
    <n v="1"/>
    <n v="60.4"/>
    <n v="2"/>
    <m/>
    <x v="0"/>
    <n v="58.4"/>
    <n v="152.85"/>
    <m/>
    <x v="0"/>
    <x v="0"/>
    <n v="0"/>
    <n v="0"/>
    <x v="0"/>
    <x v="0"/>
    <m/>
    <x v="0"/>
    <x v="0"/>
    <x v="0"/>
    <x v="0"/>
    <x v="0"/>
    <n v="0"/>
    <n v="0"/>
    <n v="0"/>
    <n v="12"/>
    <x v="1"/>
    <x v="0"/>
    <m/>
    <x v="0"/>
    <n v="65.400000000000006"/>
    <x v="0"/>
    <x v="21"/>
    <x v="11"/>
    <x v="0"/>
    <x v="0"/>
  </r>
  <r>
    <x v="0"/>
    <x v="8"/>
    <s v="6716 J"/>
    <x v="213"/>
    <s v="Atlas Honda LTD (SKP)"/>
    <s v="LDN"/>
    <n v="9"/>
    <s v="8.5-9"/>
    <s v="LDN"/>
    <n v="607.6388888888888"/>
    <x v="0"/>
    <n v="2"/>
    <n v="124.6"/>
    <n v="2.1"/>
    <m/>
    <x v="0"/>
    <n v="122.5"/>
    <n v="626"/>
    <m/>
    <x v="0"/>
    <x v="0"/>
    <n v="0"/>
    <n v="0"/>
    <x v="0"/>
    <x v="0"/>
    <m/>
    <x v="0"/>
    <x v="0"/>
    <x v="0"/>
    <x v="0"/>
    <x v="0"/>
    <n v="0"/>
    <n v="0"/>
    <n v="0"/>
    <n v="12"/>
    <x v="1"/>
    <x v="0"/>
    <m/>
    <x v="0"/>
    <n v="129.6"/>
    <x v="0"/>
    <x v="21"/>
    <x v="11"/>
    <x v="0"/>
    <x v="0"/>
  </r>
  <r>
    <x v="0"/>
    <x v="8"/>
    <s v="6773 J"/>
    <x v="213"/>
    <s v="Bolan Pastry Shop Quita"/>
    <s v="LDN"/>
    <n v="9"/>
    <s v="6-6.5"/>
    <s v="LDN"/>
    <n v="100"/>
    <x v="0"/>
    <n v="1"/>
    <n v="28.4"/>
    <n v="0.9"/>
    <n v="2"/>
    <x v="0"/>
    <n v="27.5"/>
    <n v="100.60000000000001"/>
    <m/>
    <x v="0"/>
    <x v="0"/>
    <n v="0"/>
    <n v="0"/>
    <x v="0"/>
    <x v="0"/>
    <m/>
    <x v="0"/>
    <x v="0"/>
    <x v="0"/>
    <x v="0"/>
    <x v="0"/>
    <n v="0"/>
    <n v="0"/>
    <n v="0"/>
    <n v="12"/>
    <x v="1"/>
    <x v="0"/>
    <m/>
    <x v="0"/>
    <n v="33.4"/>
    <x v="0"/>
    <x v="21"/>
    <x v="11"/>
    <x v="0"/>
    <x v="0"/>
  </r>
  <r>
    <x v="1"/>
    <x v="8"/>
    <s v="6716 J"/>
    <x v="213"/>
    <s v="Atlas Honda LTD (SKP)"/>
    <s v="LDN"/>
    <n v="9"/>
    <s v="8.5-9"/>
    <s v="LDN"/>
    <n v="607.6388888888888"/>
    <x v="0"/>
    <n v="2"/>
    <n v="88.5"/>
    <n v="2.2000000000000002"/>
    <n v="3"/>
    <x v="0"/>
    <n v="86.3"/>
    <n v="626"/>
    <m/>
    <x v="0"/>
    <x v="0"/>
    <n v="0"/>
    <n v="0"/>
    <x v="0"/>
    <x v="0"/>
    <m/>
    <x v="0"/>
    <x v="0"/>
    <x v="0"/>
    <x v="0"/>
    <x v="0"/>
    <n v="0"/>
    <n v="0"/>
    <n v="0"/>
    <n v="12"/>
    <x v="1"/>
    <x v="0"/>
    <m/>
    <x v="0"/>
    <n v="93.5"/>
    <x v="0"/>
    <x v="21"/>
    <x v="11"/>
    <x v="0"/>
    <x v="0"/>
  </r>
  <r>
    <x v="1"/>
    <x v="8"/>
    <s v="6773 J"/>
    <x v="213"/>
    <s v="Bolan Pastry Shop Quita"/>
    <s v="LDN"/>
    <n v="9"/>
    <s v="6-6.5"/>
    <s v="LDN"/>
    <n v="100"/>
    <x v="0"/>
    <n v="2"/>
    <n v="75.300000000000011"/>
    <n v="2.2000000000000002"/>
    <m/>
    <x v="0"/>
    <n v="73.100000000000009"/>
    <n v="100.60000000000001"/>
    <m/>
    <x v="0"/>
    <x v="0"/>
    <n v="0"/>
    <n v="0"/>
    <x v="0"/>
    <x v="0"/>
    <m/>
    <x v="0"/>
    <x v="0"/>
    <x v="0"/>
    <x v="0"/>
    <x v="0"/>
    <n v="0"/>
    <n v="0"/>
    <n v="0"/>
    <n v="12"/>
    <x v="1"/>
    <x v="0"/>
    <m/>
    <x v="0"/>
    <n v="80.300000000000011"/>
    <x v="0"/>
    <x v="21"/>
    <x v="11"/>
    <x v="0"/>
    <x v="0"/>
  </r>
  <r>
    <x v="0"/>
    <x v="9"/>
    <s v="6760 J"/>
    <x v="213"/>
    <s v="G MART GUJRAT"/>
    <s v="LDN"/>
    <n v="9"/>
    <s v="14-15"/>
    <s v="LDN"/>
    <n v="200"/>
    <x v="0"/>
    <n v="2"/>
    <n v="125.89999999999999"/>
    <n v="2.2000000000000002"/>
    <m/>
    <x v="0"/>
    <n v="123.69999999999999"/>
    <n v="231.7"/>
    <m/>
    <x v="0"/>
    <x v="0"/>
    <n v="0"/>
    <n v="0"/>
    <x v="0"/>
    <x v="0"/>
    <m/>
    <x v="0"/>
    <x v="0"/>
    <x v="0"/>
    <x v="0"/>
    <x v="0"/>
    <n v="0"/>
    <n v="0"/>
    <n v="0"/>
    <n v="12"/>
    <x v="1"/>
    <x v="0"/>
    <m/>
    <x v="0"/>
    <n v="130.89999999999998"/>
    <x v="0"/>
    <x v="21"/>
    <x v="11"/>
    <x v="0"/>
    <x v="0"/>
  </r>
  <r>
    <x v="0"/>
    <x v="9"/>
    <s v="6758 J"/>
    <x v="213"/>
    <s v="G MART GUJRAT"/>
    <s v="LDN"/>
    <n v="7"/>
    <s v="12-13"/>
    <s v="LDN"/>
    <n v="200"/>
    <x v="0"/>
    <n v="2"/>
    <n v="83.300000000000011"/>
    <n v="1.7000000000000002"/>
    <n v="1.9"/>
    <x v="0"/>
    <n v="81.600000000000009"/>
    <n v="212.10000000000002"/>
    <m/>
    <x v="0"/>
    <x v="0"/>
    <n v="0"/>
    <n v="0"/>
    <x v="0"/>
    <x v="0"/>
    <m/>
    <x v="0"/>
    <x v="0"/>
    <x v="0"/>
    <x v="0"/>
    <x v="0"/>
    <n v="0"/>
    <n v="0"/>
    <n v="0"/>
    <n v="12"/>
    <x v="1"/>
    <x v="0"/>
    <m/>
    <x v="0"/>
    <n v="88.300000000000011"/>
    <x v="0"/>
    <x v="21"/>
    <x v="11"/>
    <x v="0"/>
    <x v="0"/>
  </r>
  <r>
    <x v="1"/>
    <x v="9"/>
    <s v="6758 J"/>
    <x v="213"/>
    <s v="G MART GUJRAT"/>
    <s v="LDN"/>
    <n v="7"/>
    <s v="12-13"/>
    <s v="LDN"/>
    <n v="200"/>
    <x v="0"/>
    <n v="3"/>
    <n v="133.19999999999999"/>
    <n v="2.7"/>
    <n v="2.2999999999999998"/>
    <x v="0"/>
    <n v="130.5"/>
    <n v="212.10000000000002"/>
    <m/>
    <x v="0"/>
    <x v="0"/>
    <n v="0"/>
    <n v="0"/>
    <x v="0"/>
    <x v="0"/>
    <m/>
    <x v="0"/>
    <x v="0"/>
    <x v="0"/>
    <x v="0"/>
    <x v="0"/>
    <n v="0"/>
    <n v="0"/>
    <n v="0"/>
    <n v="12"/>
    <x v="1"/>
    <x v="0"/>
    <m/>
    <x v="0"/>
    <n v="138.19999999999999"/>
    <x v="0"/>
    <x v="21"/>
    <x v="11"/>
    <x v="0"/>
    <x v="0"/>
  </r>
  <r>
    <x v="1"/>
    <x v="9"/>
    <m/>
    <x v="213"/>
    <s v="-"/>
    <m/>
    <n v="7"/>
    <n v="14"/>
    <m/>
    <m/>
    <x v="0"/>
    <n v="1"/>
    <n v="48.6"/>
    <n v="0.7"/>
    <m/>
    <x v="0"/>
    <n v="47.9"/>
    <n v="0"/>
    <m/>
    <x v="0"/>
    <x v="0"/>
    <n v="0"/>
    <n v="0"/>
    <x v="0"/>
    <x v="0"/>
    <m/>
    <x v="0"/>
    <x v="0"/>
    <x v="0"/>
    <x v="0"/>
    <x v="0"/>
    <n v="0"/>
    <n v="0"/>
    <n v="0"/>
    <n v="12"/>
    <x v="1"/>
    <x v="0"/>
    <m/>
    <x v="0"/>
    <n v="53.6"/>
    <x v="0"/>
    <x v="21"/>
    <x v="11"/>
    <x v="0"/>
    <x v="0"/>
  </r>
  <r>
    <x v="0"/>
    <x v="11"/>
    <s v="6754 J"/>
    <x v="213"/>
    <s v="Javed Enterprises Gujranwala"/>
    <s v="LDM"/>
    <n v="10"/>
    <s v="20-21"/>
    <s v="LDM"/>
    <n v="300"/>
    <x v="0"/>
    <n v="2"/>
    <n v="113.8"/>
    <n v="2.4"/>
    <n v="13"/>
    <x v="0"/>
    <n v="111.39999999999999"/>
    <n v="319.3"/>
    <n v="3"/>
    <x v="0"/>
    <x v="0"/>
    <n v="3"/>
    <n v="0.05"/>
    <x v="0"/>
    <x v="0"/>
    <m/>
    <x v="0"/>
    <x v="0"/>
    <x v="0"/>
    <x v="0"/>
    <x v="0"/>
    <n v="0"/>
    <n v="0"/>
    <n v="0.05"/>
    <n v="11.95"/>
    <x v="1"/>
    <x v="0"/>
    <m/>
    <x v="0"/>
    <n v="118.8"/>
    <x v="0"/>
    <x v="21"/>
    <x v="11"/>
    <x v="0"/>
    <x v="0"/>
  </r>
  <r>
    <x v="0"/>
    <x v="11"/>
    <m/>
    <x v="213"/>
    <s v="-"/>
    <m/>
    <n v="16"/>
    <s v="11-12"/>
    <m/>
    <m/>
    <x v="0"/>
    <n v="1"/>
    <n v="61.2"/>
    <n v="1.6"/>
    <m/>
    <x v="0"/>
    <n v="59.6"/>
    <n v="0"/>
    <n v="2"/>
    <x v="0"/>
    <x v="0"/>
    <n v="2"/>
    <n v="3.3333333333333333E-2"/>
    <x v="0"/>
    <x v="0"/>
    <m/>
    <x v="0"/>
    <x v="0"/>
    <x v="0"/>
    <x v="0"/>
    <x v="0"/>
    <n v="0"/>
    <n v="0"/>
    <n v="3.3333333333333333E-2"/>
    <n v="11.966666666666667"/>
    <x v="1"/>
    <x v="0"/>
    <m/>
    <x v="0"/>
    <n v="66.2"/>
    <x v="0"/>
    <x v="21"/>
    <x v="11"/>
    <x v="0"/>
    <x v="0"/>
  </r>
  <r>
    <x v="0"/>
    <x v="11"/>
    <m/>
    <x v="213"/>
    <s v="-"/>
    <m/>
    <n v="18"/>
    <s v="12-13"/>
    <m/>
    <m/>
    <x v="0"/>
    <n v="2"/>
    <n v="113.4"/>
    <n v="4"/>
    <m/>
    <x v="0"/>
    <n v="109.4"/>
    <n v="0"/>
    <n v="3"/>
    <x v="0"/>
    <x v="0"/>
    <n v="3"/>
    <n v="0.05"/>
    <x v="0"/>
    <x v="0"/>
    <m/>
    <x v="0"/>
    <x v="0"/>
    <x v="0"/>
    <x v="0"/>
    <x v="0"/>
    <n v="0"/>
    <n v="0"/>
    <n v="0.05"/>
    <n v="11.95"/>
    <x v="1"/>
    <x v="0"/>
    <m/>
    <x v="0"/>
    <n v="118.4"/>
    <x v="0"/>
    <x v="21"/>
    <x v="11"/>
    <x v="0"/>
    <x v="0"/>
  </r>
  <r>
    <x v="0"/>
    <x v="11"/>
    <s v="PACKING"/>
    <x v="213"/>
    <s v="-"/>
    <m/>
    <m/>
    <m/>
    <m/>
    <m/>
    <x v="0"/>
    <n v="1"/>
    <n v="108.4"/>
    <n v="1"/>
    <m/>
    <x v="0"/>
    <n v="107.4"/>
    <n v="2235.2999999999997"/>
    <n v="2"/>
    <x v="0"/>
    <x v="0"/>
    <n v="2"/>
    <n v="3.3333333333333333E-2"/>
    <x v="0"/>
    <x v="0"/>
    <m/>
    <x v="0"/>
    <x v="0"/>
    <x v="0"/>
    <x v="0"/>
    <x v="0"/>
    <n v="0"/>
    <n v="0"/>
    <n v="3.3333333333333333E-2"/>
    <n v="11.966666666666667"/>
    <x v="1"/>
    <x v="0"/>
    <m/>
    <x v="0"/>
    <n v="113.4"/>
    <x v="0"/>
    <x v="21"/>
    <x v="11"/>
    <x v="0"/>
    <x v="0"/>
  </r>
  <r>
    <x v="1"/>
    <x v="11"/>
    <s v="2848/1"/>
    <x v="213"/>
    <s v="ENGRO ZARKHEZ"/>
    <s v="LDN"/>
    <s v="24-24.5"/>
    <s v="60±1"/>
    <s v="AA"/>
    <n v="3720"/>
    <x v="0"/>
    <n v="5"/>
    <n v="517.54999999999995"/>
    <n v="12"/>
    <n v="3"/>
    <x v="0"/>
    <n v="505.54999999999995"/>
    <n v="3754.4"/>
    <m/>
    <x v="0"/>
    <x v="0"/>
    <n v="0"/>
    <n v="0"/>
    <x v="0"/>
    <x v="0"/>
    <m/>
    <x v="0"/>
    <x v="0"/>
    <x v="0"/>
    <x v="0"/>
    <x v="0"/>
    <n v="0"/>
    <n v="0"/>
    <n v="0"/>
    <n v="12"/>
    <x v="1"/>
    <x v="0"/>
    <m/>
    <x v="0"/>
    <n v="522.54999999999995"/>
    <x v="0"/>
    <x v="21"/>
    <x v="11"/>
    <x v="0"/>
    <x v="0"/>
  </r>
  <r>
    <x v="0"/>
    <x v="13"/>
    <s v="2726 F"/>
    <x v="213"/>
    <s v="Usman Amin"/>
    <s v="LDN"/>
    <n v="17"/>
    <s v="8.5-9"/>
    <s v="LDN"/>
    <n v="500"/>
    <x v="0"/>
    <n v="4"/>
    <n v="279.5"/>
    <n v="7.6"/>
    <m/>
    <x v="0"/>
    <n v="271.89999999999998"/>
    <n v="512.4"/>
    <m/>
    <x v="0"/>
    <x v="0"/>
    <n v="0"/>
    <n v="0"/>
    <x v="0"/>
    <x v="0"/>
    <m/>
    <x v="0"/>
    <x v="0"/>
    <x v="0"/>
    <x v="0"/>
    <x v="0"/>
    <n v="0"/>
    <n v="0"/>
    <n v="0"/>
    <n v="12"/>
    <x v="1"/>
    <x v="0"/>
    <m/>
    <x v="0"/>
    <n v="284.5"/>
    <x v="0"/>
    <x v="21"/>
    <x v="11"/>
    <x v="0"/>
    <x v="0"/>
  </r>
  <r>
    <x v="0"/>
    <x v="13"/>
    <s v="2743 F"/>
    <x v="213"/>
    <s v="Usman Amin"/>
    <s v="LDN"/>
    <n v="17"/>
    <n v="9"/>
    <s v="LDN"/>
    <n v="1000"/>
    <x v="0"/>
    <n v="1"/>
    <n v="57.6"/>
    <n v="1.7"/>
    <n v="3"/>
    <x v="0"/>
    <n v="55.9"/>
    <n v="1008.05"/>
    <m/>
    <x v="0"/>
    <x v="0"/>
    <n v="0"/>
    <n v="0"/>
    <x v="0"/>
    <x v="0"/>
    <m/>
    <x v="0"/>
    <x v="0"/>
    <x v="0"/>
    <x v="0"/>
    <x v="0"/>
    <n v="0"/>
    <n v="0"/>
    <n v="0"/>
    <n v="12"/>
    <x v="1"/>
    <x v="0"/>
    <m/>
    <x v="0"/>
    <n v="62.6"/>
    <x v="0"/>
    <x v="21"/>
    <x v="11"/>
    <x v="0"/>
    <x v="0"/>
  </r>
  <r>
    <x v="1"/>
    <x v="13"/>
    <s v="2743 F"/>
    <x v="213"/>
    <s v="Usman Amin"/>
    <s v="LDN"/>
    <n v="17"/>
    <n v="9"/>
    <s v="LDN"/>
    <n v="1000"/>
    <x v="0"/>
    <n v="5"/>
    <n v="340.65"/>
    <n v="10.5"/>
    <n v="2"/>
    <x v="0"/>
    <n v="330.15"/>
    <n v="1008.05"/>
    <m/>
    <x v="0"/>
    <x v="0"/>
    <n v="0"/>
    <n v="0"/>
    <x v="0"/>
    <x v="0"/>
    <m/>
    <x v="0"/>
    <x v="0"/>
    <x v="0"/>
    <x v="0"/>
    <x v="0"/>
    <n v="0"/>
    <n v="0"/>
    <n v="0"/>
    <n v="12"/>
    <x v="1"/>
    <x v="0"/>
    <m/>
    <x v="0"/>
    <n v="345.65"/>
    <x v="0"/>
    <x v="21"/>
    <x v="11"/>
    <x v="0"/>
    <x v="0"/>
  </r>
  <r>
    <x v="0"/>
    <x v="14"/>
    <s v="6712 J"/>
    <x v="213"/>
    <s v="Atlas Honda LTD (SKP)"/>
    <s v="LDN"/>
    <n v="21"/>
    <s v="14-14.5"/>
    <s v="LDN"/>
    <n v="71.047008547008545"/>
    <x v="0"/>
    <n v="1"/>
    <n v="109.9"/>
    <n v="2.6"/>
    <m/>
    <x v="0"/>
    <n v="107.30000000000001"/>
    <n v="107.30000000000001"/>
    <m/>
    <x v="0"/>
    <x v="0"/>
    <n v="0"/>
    <n v="0"/>
    <x v="0"/>
    <x v="0"/>
    <m/>
    <x v="0"/>
    <x v="0"/>
    <x v="0"/>
    <x v="0"/>
    <x v="0"/>
    <n v="0"/>
    <n v="0"/>
    <n v="0"/>
    <n v="12"/>
    <x v="1"/>
    <x v="0"/>
    <m/>
    <x v="0"/>
    <n v="114.9"/>
    <x v="0"/>
    <x v="21"/>
    <x v="11"/>
    <x v="0"/>
    <x v="0"/>
  </r>
  <r>
    <x v="0"/>
    <x v="14"/>
    <s v="6717 J"/>
    <x v="213"/>
    <s v="Atlas Honda LTD (SKP)"/>
    <s v="LDN"/>
    <n v="19"/>
    <s v="8.5-9"/>
    <s v="LDN"/>
    <n v="138.14696106362771"/>
    <x v="0"/>
    <n v="2"/>
    <n v="155.18"/>
    <n v="4.8"/>
    <m/>
    <x v="0"/>
    <n v="150.38"/>
    <n v="150.38"/>
    <m/>
    <x v="0"/>
    <x v="0"/>
    <n v="0"/>
    <n v="0"/>
    <x v="0"/>
    <x v="0"/>
    <m/>
    <x v="0"/>
    <x v="0"/>
    <x v="0"/>
    <x v="0"/>
    <x v="0"/>
    <n v="0"/>
    <n v="0"/>
    <n v="0"/>
    <n v="12"/>
    <x v="1"/>
    <x v="0"/>
    <m/>
    <x v="0"/>
    <n v="160.18"/>
    <x v="0"/>
    <x v="21"/>
    <x v="11"/>
    <x v="0"/>
    <x v="0"/>
  </r>
  <r>
    <x v="0"/>
    <x v="14"/>
    <s v="6801 J"/>
    <x v="213"/>
    <s v="Service Industry Gujrat"/>
    <s v="LD سی گرین"/>
    <s v="428 MM"/>
    <s v="-"/>
    <s v="LDM"/>
    <n v="200"/>
    <x v="0"/>
    <n v="6"/>
    <n v="209.64"/>
    <n v="7.1999999999999993"/>
    <m/>
    <x v="0"/>
    <n v="202.44"/>
    <n v="202.44"/>
    <m/>
    <x v="0"/>
    <x v="0"/>
    <n v="0"/>
    <n v="0"/>
    <x v="0"/>
    <x v="0"/>
    <m/>
    <x v="0"/>
    <x v="0"/>
    <x v="0"/>
    <x v="0"/>
    <x v="0"/>
    <n v="0"/>
    <n v="0"/>
    <n v="0"/>
    <n v="12"/>
    <x v="1"/>
    <x v="0"/>
    <m/>
    <x v="0"/>
    <n v="214.64"/>
    <x v="0"/>
    <x v="21"/>
    <x v="11"/>
    <x v="0"/>
    <x v="0"/>
  </r>
  <r>
    <x v="0"/>
    <x v="14"/>
    <s v="2846/1"/>
    <x v="213"/>
    <s v="PT-02 (FURO MATARESS GUJRAT)"/>
    <s v="LDN"/>
    <n v="25"/>
    <n v="10"/>
    <s v="SUPER JILANI"/>
    <n v="100"/>
    <x v="0"/>
    <n v="1"/>
    <n v="116.5"/>
    <n v="3.8"/>
    <n v="40"/>
    <x v="0"/>
    <n v="112.7"/>
    <n v="112.7"/>
    <m/>
    <x v="0"/>
    <x v="0"/>
    <n v="0"/>
    <n v="0"/>
    <x v="0"/>
    <x v="0"/>
    <m/>
    <x v="0"/>
    <x v="0"/>
    <x v="0"/>
    <x v="0"/>
    <x v="0"/>
    <n v="0"/>
    <n v="0"/>
    <n v="0"/>
    <n v="12"/>
    <x v="1"/>
    <x v="0"/>
    <m/>
    <x v="0"/>
    <n v="121.5"/>
    <x v="0"/>
    <x v="21"/>
    <x v="11"/>
    <x v="0"/>
    <x v="0"/>
  </r>
  <r>
    <x v="1"/>
    <x v="14"/>
    <m/>
    <x v="213"/>
    <s v="-"/>
    <m/>
    <n v="20"/>
    <s v="11-12"/>
    <m/>
    <m/>
    <x v="0"/>
    <n v="1"/>
    <n v="102.1"/>
    <n v="2.6"/>
    <n v="70"/>
    <x v="0"/>
    <n v="99.5"/>
    <n v="0"/>
    <m/>
    <x v="0"/>
    <x v="0"/>
    <n v="0"/>
    <n v="0"/>
    <x v="0"/>
    <x v="0"/>
    <m/>
    <x v="0"/>
    <x v="0"/>
    <x v="0"/>
    <x v="0"/>
    <x v="0"/>
    <n v="0"/>
    <n v="0"/>
    <n v="0"/>
    <n v="12"/>
    <x v="1"/>
    <x v="0"/>
    <m/>
    <x v="0"/>
    <n v="107.1"/>
    <x v="0"/>
    <x v="21"/>
    <x v="11"/>
    <x v="0"/>
    <x v="0"/>
  </r>
  <r>
    <x v="1"/>
    <x v="14"/>
    <s v="6718 J"/>
    <x v="213"/>
    <s v="Atlas Honda LTD (SKP)"/>
    <s v="LDM"/>
    <s v="16.75&quot; شیٹ"/>
    <s v="7-7.5/14-15"/>
    <s v="LDM"/>
    <n v="500"/>
    <x v="0"/>
    <n v="6"/>
    <n v="521.29999999999995"/>
    <n v="12.600000000000001"/>
    <m/>
    <x v="0"/>
    <n v="508.69999999999993"/>
    <n v="508.69999999999993"/>
    <m/>
    <x v="0"/>
    <x v="0"/>
    <n v="0"/>
    <n v="0"/>
    <x v="0"/>
    <x v="0"/>
    <m/>
    <x v="0"/>
    <x v="0"/>
    <x v="0"/>
    <x v="0"/>
    <x v="0"/>
    <n v="0"/>
    <n v="0"/>
    <n v="0"/>
    <n v="12"/>
    <x v="1"/>
    <x v="0"/>
    <m/>
    <x v="0"/>
    <n v="526.29999999999995"/>
    <x v="0"/>
    <x v="21"/>
    <x v="11"/>
    <x v="0"/>
    <x v="0"/>
  </r>
  <r>
    <x v="0"/>
    <x v="15"/>
    <s v="6591 J"/>
    <x v="213"/>
    <s v="Chaudhry Milk Sweets and Bakers Jhangh"/>
    <s v="LDN"/>
    <n v="17"/>
    <s v="8-8.5"/>
    <s v="LDN"/>
    <n v="150"/>
    <x v="0"/>
    <n v="2"/>
    <n v="98.449999999999989"/>
    <n v="4"/>
    <m/>
    <x v="0"/>
    <n v="94.449999999999989"/>
    <n v="152.85"/>
    <m/>
    <x v="0"/>
    <x v="0"/>
    <n v="0"/>
    <n v="0"/>
    <x v="0"/>
    <x v="0"/>
    <m/>
    <x v="0"/>
    <x v="0"/>
    <x v="0"/>
    <x v="0"/>
    <x v="0"/>
    <n v="0"/>
    <n v="0"/>
    <n v="0"/>
    <n v="12"/>
    <x v="1"/>
    <x v="0"/>
    <m/>
    <x v="0"/>
    <n v="103.44999999999999"/>
    <x v="0"/>
    <x v="21"/>
    <x v="11"/>
    <x v="0"/>
    <x v="0"/>
  </r>
  <r>
    <x v="0"/>
    <x v="15"/>
    <s v="2756 F"/>
    <x v="213"/>
    <s v="Usman Amin"/>
    <s v="LDN"/>
    <n v="17"/>
    <s v="8-8.5"/>
    <s v="LDN"/>
    <n v="90"/>
    <x v="0"/>
    <n v="2"/>
    <n v="101.22999999999999"/>
    <n v="4"/>
    <m/>
    <x v="0"/>
    <n v="97.22999999999999"/>
    <n v="97.22999999999999"/>
    <m/>
    <x v="0"/>
    <x v="0"/>
    <n v="0"/>
    <n v="0"/>
    <x v="0"/>
    <x v="0"/>
    <m/>
    <x v="0"/>
    <x v="0"/>
    <x v="0"/>
    <x v="0"/>
    <x v="0"/>
    <n v="0"/>
    <n v="0"/>
    <n v="0"/>
    <n v="12"/>
    <x v="1"/>
    <x v="0"/>
    <m/>
    <x v="0"/>
    <n v="106.22999999999999"/>
    <x v="0"/>
    <x v="21"/>
    <x v="11"/>
    <x v="0"/>
    <x v="0"/>
  </r>
  <r>
    <x v="0"/>
    <x v="15"/>
    <s v="2750 F"/>
    <x v="213"/>
    <s v="Usman Amin"/>
    <s v="LDN"/>
    <n v="17.25"/>
    <s v="8-8.5"/>
    <s v="LDN"/>
    <n v="1000"/>
    <x v="0"/>
    <n v="4"/>
    <n v="243.6"/>
    <n v="8"/>
    <n v="4"/>
    <x v="0"/>
    <n v="235.6"/>
    <n v="968.07"/>
    <m/>
    <x v="0"/>
    <x v="0"/>
    <n v="0"/>
    <n v="0"/>
    <x v="0"/>
    <x v="0"/>
    <m/>
    <x v="0"/>
    <x v="0"/>
    <x v="0"/>
    <x v="0"/>
    <x v="0"/>
    <n v="0"/>
    <n v="0"/>
    <n v="0"/>
    <n v="12"/>
    <x v="1"/>
    <x v="0"/>
    <m/>
    <x v="0"/>
    <n v="248.6"/>
    <x v="0"/>
    <x v="21"/>
    <x v="11"/>
    <x v="0"/>
    <x v="0"/>
  </r>
  <r>
    <x v="1"/>
    <x v="15"/>
    <s v="2750 F"/>
    <x v="213"/>
    <s v="Usman Amin"/>
    <s v="LDN"/>
    <n v="17.25"/>
    <s v="8-8.5"/>
    <s v="LDN"/>
    <n v="1000"/>
    <x v="0"/>
    <n v="7"/>
    <n v="455.63"/>
    <n v="8"/>
    <n v="5"/>
    <x v="0"/>
    <n v="447.63"/>
    <n v="968.07"/>
    <m/>
    <x v="0"/>
    <x v="0"/>
    <n v="0"/>
    <n v="0"/>
    <x v="0"/>
    <x v="0"/>
    <m/>
    <x v="0"/>
    <x v="0"/>
    <x v="0"/>
    <x v="0"/>
    <x v="0"/>
    <n v="0"/>
    <n v="0"/>
    <n v="0"/>
    <n v="12"/>
    <x v="1"/>
    <x v="0"/>
    <m/>
    <x v="0"/>
    <n v="460.63"/>
    <x v="0"/>
    <x v="21"/>
    <x v="11"/>
    <x v="0"/>
    <x v="0"/>
  </r>
  <r>
    <x v="0"/>
    <x v="8"/>
    <s v="6771 J"/>
    <x v="214"/>
    <s v="Bolan Pastry Shop Quita"/>
    <s v="LDN"/>
    <n v="9"/>
    <s v="6-6.5"/>
    <s v="LDN"/>
    <n v="100"/>
    <x v="0"/>
    <n v="3"/>
    <n v="108.4"/>
    <n v="3.5999999999999996"/>
    <m/>
    <x v="0"/>
    <n v="104.80000000000001"/>
    <n v="104.80000000000001"/>
    <m/>
    <x v="0"/>
    <x v="0"/>
    <n v="0"/>
    <n v="0"/>
    <x v="0"/>
    <x v="0"/>
    <m/>
    <x v="0"/>
    <x v="0"/>
    <x v="0"/>
    <x v="0"/>
    <x v="0"/>
    <n v="0"/>
    <n v="0"/>
    <n v="0"/>
    <n v="12"/>
    <x v="1"/>
    <x v="0"/>
    <m/>
    <x v="0"/>
    <n v="113.4"/>
    <x v="0"/>
    <x v="22"/>
    <x v="12"/>
    <x v="0"/>
    <x v="0"/>
  </r>
  <r>
    <x v="0"/>
    <x v="8"/>
    <s v="6772 J"/>
    <x v="214"/>
    <s v="Bolan Pastry Shop Quita"/>
    <s v="LDN"/>
    <n v="8"/>
    <s v="6-6.5"/>
    <s v="LDN"/>
    <n v="200"/>
    <x v="0"/>
    <n v="1"/>
    <n v="41.2"/>
    <n v="1"/>
    <n v="2"/>
    <x v="0"/>
    <n v="40.200000000000003"/>
    <n v="236.3"/>
    <m/>
    <x v="0"/>
    <x v="0"/>
    <n v="0"/>
    <n v="0"/>
    <x v="0"/>
    <x v="0"/>
    <m/>
    <x v="0"/>
    <x v="0"/>
    <x v="0"/>
    <x v="0"/>
    <x v="0"/>
    <n v="0"/>
    <n v="0"/>
    <n v="0"/>
    <n v="12"/>
    <x v="1"/>
    <x v="0"/>
    <m/>
    <x v="0"/>
    <n v="46.2"/>
    <x v="0"/>
    <x v="22"/>
    <x v="12"/>
    <x v="0"/>
    <x v="0"/>
  </r>
  <r>
    <x v="1"/>
    <x v="8"/>
    <s v="6772 J"/>
    <x v="214"/>
    <s v="Bolan Pastry Shop Quita"/>
    <s v="LDN"/>
    <n v="8"/>
    <s v="6-6.5"/>
    <s v="LDN"/>
    <n v="200"/>
    <x v="0"/>
    <n v="4"/>
    <n v="161.1"/>
    <n v="4"/>
    <m/>
    <x v="0"/>
    <n v="157.1"/>
    <n v="236.3"/>
    <m/>
    <x v="0"/>
    <x v="0"/>
    <n v="0"/>
    <n v="0"/>
    <x v="0"/>
    <x v="0"/>
    <m/>
    <x v="0"/>
    <x v="0"/>
    <x v="0"/>
    <x v="0"/>
    <x v="0"/>
    <n v="0"/>
    <n v="0"/>
    <n v="0"/>
    <n v="12"/>
    <x v="1"/>
    <x v="0"/>
    <m/>
    <x v="0"/>
    <n v="166.1"/>
    <x v="0"/>
    <x v="22"/>
    <x v="12"/>
    <x v="0"/>
    <x v="0"/>
  </r>
  <r>
    <x v="0"/>
    <x v="9"/>
    <s v="2758 F"/>
    <x v="214"/>
    <s v="Usman Amin"/>
    <s v="LDN"/>
    <n v="5"/>
    <s v="8.5-9"/>
    <s v="LDN"/>
    <n v="100"/>
    <x v="0"/>
    <n v="4"/>
    <n v="107.13"/>
    <n v="3.2"/>
    <m/>
    <x v="0"/>
    <n v="103.92999999999999"/>
    <n v="103.92999999999999"/>
    <m/>
    <x v="0"/>
    <x v="0"/>
    <n v="0"/>
    <n v="0"/>
    <x v="0"/>
    <x v="0"/>
    <m/>
    <x v="0"/>
    <x v="0"/>
    <x v="0"/>
    <x v="0"/>
    <x v="0"/>
    <n v="0"/>
    <n v="0"/>
    <n v="0"/>
    <n v="12"/>
    <x v="1"/>
    <x v="0"/>
    <m/>
    <x v="0"/>
    <n v="112.13"/>
    <x v="0"/>
    <x v="22"/>
    <x v="12"/>
    <x v="0"/>
    <x v="0"/>
  </r>
  <r>
    <x v="0"/>
    <x v="9"/>
    <s v="6804 J"/>
    <x v="214"/>
    <s v="Wah Nobel Private Limited"/>
    <s v="LD گولڈن پیلا"/>
    <s v="120MM"/>
    <s v="29-30"/>
    <s v="LDM"/>
    <n v="500"/>
    <x v="0"/>
    <n v="1"/>
    <n v="34.700000000000003"/>
    <n v="0.6"/>
    <n v="2"/>
    <x v="0"/>
    <n v="34.1"/>
    <n v="498.72"/>
    <m/>
    <x v="0"/>
    <x v="0"/>
    <n v="0"/>
    <n v="0"/>
    <x v="0"/>
    <x v="0"/>
    <m/>
    <x v="0"/>
    <x v="0"/>
    <x v="0"/>
    <x v="0"/>
    <x v="0"/>
    <n v="0"/>
    <n v="0"/>
    <n v="0"/>
    <n v="12"/>
    <x v="1"/>
    <x v="0"/>
    <m/>
    <x v="0"/>
    <n v="39.700000000000003"/>
    <x v="0"/>
    <x v="22"/>
    <x v="12"/>
    <x v="0"/>
    <x v="0"/>
  </r>
  <r>
    <x v="1"/>
    <x v="9"/>
    <s v="6804 J"/>
    <x v="214"/>
    <s v="Wah Nobel Private Limited"/>
    <s v="LD گولڈن پیلا"/>
    <s v="120MM"/>
    <s v="29-30"/>
    <s v="LDM"/>
    <n v="500"/>
    <x v="0"/>
    <n v="4"/>
    <n v="139.4"/>
    <n v="2.4"/>
    <m/>
    <x v="0"/>
    <n v="137"/>
    <n v="498.72"/>
    <m/>
    <x v="0"/>
    <x v="0"/>
    <n v="0"/>
    <n v="0"/>
    <x v="0"/>
    <x v="0"/>
    <m/>
    <x v="0"/>
    <x v="0"/>
    <x v="0"/>
    <x v="0"/>
    <x v="0"/>
    <n v="0"/>
    <n v="0"/>
    <n v="0"/>
    <n v="12"/>
    <x v="1"/>
    <x v="0"/>
    <m/>
    <x v="0"/>
    <n v="144.4"/>
    <x v="0"/>
    <x v="22"/>
    <x v="12"/>
    <x v="0"/>
    <x v="0"/>
  </r>
  <r>
    <x v="0"/>
    <x v="11"/>
    <s v="2848/1"/>
    <x v="214"/>
    <s v="ENGRO ZARKHEZ"/>
    <s v="LDN"/>
    <s v="24-24.5"/>
    <s v="60±1"/>
    <s v="AA"/>
    <n v="3720"/>
    <x v="0"/>
    <n v="2"/>
    <n v="243.2"/>
    <n v="5.6"/>
    <m/>
    <x v="0"/>
    <n v="237.6"/>
    <n v="3754.4"/>
    <m/>
    <x v="0"/>
    <x v="0"/>
    <n v="0"/>
    <n v="0"/>
    <x v="0"/>
    <x v="0"/>
    <m/>
    <x v="0"/>
    <x v="0"/>
    <x v="0"/>
    <x v="0"/>
    <x v="0"/>
    <n v="0"/>
    <n v="0"/>
    <n v="0"/>
    <n v="12"/>
    <x v="1"/>
    <x v="0"/>
    <m/>
    <x v="0"/>
    <n v="248.2"/>
    <x v="0"/>
    <x v="22"/>
    <x v="12"/>
    <x v="0"/>
    <x v="0"/>
  </r>
  <r>
    <x v="0"/>
    <x v="11"/>
    <m/>
    <x v="214"/>
    <s v="-"/>
    <m/>
    <n v="16"/>
    <s v="11-12"/>
    <m/>
    <m/>
    <x v="0"/>
    <n v="2"/>
    <n v="100"/>
    <n v="3.8"/>
    <m/>
    <x v="0"/>
    <n v="96.2"/>
    <n v="0"/>
    <m/>
    <x v="0"/>
    <x v="0"/>
    <n v="0"/>
    <n v="0"/>
    <x v="0"/>
    <x v="0"/>
    <m/>
    <x v="0"/>
    <x v="0"/>
    <x v="0"/>
    <x v="0"/>
    <x v="0"/>
    <n v="0"/>
    <n v="0"/>
    <n v="0"/>
    <n v="12"/>
    <x v="1"/>
    <x v="0"/>
    <m/>
    <x v="0"/>
    <n v="105"/>
    <x v="0"/>
    <x v="22"/>
    <x v="12"/>
    <x v="0"/>
    <x v="0"/>
  </r>
  <r>
    <x v="0"/>
    <x v="11"/>
    <s v="6685 J"/>
    <x v="214"/>
    <s v="Waqas Wollan Mills Gujranwala"/>
    <s v="LD بلو"/>
    <n v="16"/>
    <s v="10-10.5"/>
    <s v="LDM"/>
    <n v="200"/>
    <x v="0"/>
    <n v="1"/>
    <n v="63.4"/>
    <n v="1.9"/>
    <m/>
    <x v="0"/>
    <n v="61.5"/>
    <n v="189.3"/>
    <m/>
    <x v="0"/>
    <x v="0"/>
    <n v="0"/>
    <n v="0"/>
    <x v="0"/>
    <x v="0"/>
    <m/>
    <x v="0"/>
    <x v="0"/>
    <x v="0"/>
    <x v="0"/>
    <x v="0"/>
    <n v="0"/>
    <n v="0"/>
    <n v="0"/>
    <n v="12"/>
    <x v="1"/>
    <x v="0"/>
    <m/>
    <x v="0"/>
    <n v="68.400000000000006"/>
    <x v="0"/>
    <x v="22"/>
    <x v="12"/>
    <x v="0"/>
    <x v="0"/>
  </r>
  <r>
    <x v="1"/>
    <x v="11"/>
    <s v="6685 J"/>
    <x v="214"/>
    <s v="Waqas Wollan Mills Gujranwala"/>
    <s v="LD بلو"/>
    <n v="16"/>
    <s v="10-10.5"/>
    <s v="LDM"/>
    <n v="200"/>
    <x v="0"/>
    <n v="2"/>
    <n v="131.80000000000001"/>
    <n v="4"/>
    <m/>
    <x v="0"/>
    <n v="127.80000000000001"/>
    <n v="189.3"/>
    <m/>
    <x v="0"/>
    <x v="0"/>
    <n v="0"/>
    <n v="0"/>
    <x v="0"/>
    <x v="0"/>
    <m/>
    <x v="0"/>
    <x v="0"/>
    <x v="0"/>
    <x v="0"/>
    <x v="0"/>
    <n v="0"/>
    <n v="0"/>
    <n v="0"/>
    <n v="12"/>
    <x v="1"/>
    <x v="0"/>
    <m/>
    <x v="0"/>
    <n v="136.80000000000001"/>
    <x v="0"/>
    <x v="22"/>
    <x v="12"/>
    <x v="0"/>
    <x v="0"/>
  </r>
  <r>
    <x v="1"/>
    <x v="11"/>
    <s v="6683 J"/>
    <x v="214"/>
    <s v="Waqas Wollan Mills Gujranwala"/>
    <s v="LD بلو"/>
    <n v="16"/>
    <s v="10-10.5"/>
    <s v="LDM"/>
    <n v="500"/>
    <x v="0"/>
    <n v="4"/>
    <n v="284.14999999999998"/>
    <n v="7.6999999999999993"/>
    <m/>
    <x v="0"/>
    <n v="276.45"/>
    <n v="490.95"/>
    <m/>
    <x v="0"/>
    <x v="0"/>
    <n v="0"/>
    <n v="0"/>
    <x v="0"/>
    <x v="0"/>
    <m/>
    <x v="0"/>
    <x v="0"/>
    <x v="0"/>
    <x v="0"/>
    <x v="0"/>
    <n v="0"/>
    <n v="0"/>
    <n v="0"/>
    <n v="12"/>
    <x v="1"/>
    <x v="0"/>
    <m/>
    <x v="0"/>
    <n v="289.14999999999998"/>
    <x v="0"/>
    <x v="22"/>
    <x v="12"/>
    <x v="0"/>
    <x v="0"/>
  </r>
  <r>
    <x v="0"/>
    <x v="13"/>
    <s v="2743 F"/>
    <x v="214"/>
    <s v="Usman Amin"/>
    <s v="LDN"/>
    <n v="17"/>
    <n v="9"/>
    <s v="LDN"/>
    <n v="1000"/>
    <x v="0"/>
    <n v="5"/>
    <n v="361.1"/>
    <n v="10.5"/>
    <n v="6.1"/>
    <x v="0"/>
    <n v="350.6"/>
    <n v="1008.05"/>
    <m/>
    <x v="0"/>
    <x v="0"/>
    <n v="0"/>
    <n v="0"/>
    <x v="0"/>
    <x v="0"/>
    <m/>
    <x v="0"/>
    <x v="0"/>
    <x v="0"/>
    <x v="0"/>
    <x v="0"/>
    <n v="0"/>
    <n v="0"/>
    <n v="0"/>
    <n v="12"/>
    <x v="1"/>
    <x v="0"/>
    <m/>
    <x v="0"/>
    <n v="366.1"/>
    <x v="0"/>
    <x v="22"/>
    <x v="12"/>
    <x v="0"/>
    <x v="0"/>
  </r>
  <r>
    <x v="1"/>
    <x v="13"/>
    <s v="2743 F"/>
    <x v="214"/>
    <s v="Usman Amin"/>
    <s v="LDN"/>
    <n v="17"/>
    <n v="9"/>
    <s v="LDN"/>
    <n v="1000"/>
    <x v="0"/>
    <n v="5"/>
    <n v="281.39999999999998"/>
    <n v="10"/>
    <n v="6"/>
    <x v="0"/>
    <n v="271.39999999999998"/>
    <n v="1008.05"/>
    <m/>
    <x v="0"/>
    <x v="0"/>
    <n v="0"/>
    <n v="0"/>
    <x v="0"/>
    <x v="0"/>
    <m/>
    <x v="0"/>
    <x v="0"/>
    <x v="0"/>
    <x v="0"/>
    <x v="0"/>
    <n v="0"/>
    <n v="0"/>
    <n v="0"/>
    <n v="12"/>
    <x v="1"/>
    <x v="0"/>
    <m/>
    <x v="0"/>
    <n v="286.39999999999998"/>
    <x v="0"/>
    <x v="22"/>
    <x v="12"/>
    <x v="0"/>
    <x v="0"/>
  </r>
  <r>
    <x v="1"/>
    <x v="13"/>
    <s v="2742 F"/>
    <x v="214"/>
    <s v="Usman Amin"/>
    <s v="LDN"/>
    <n v="19"/>
    <s v="12"/>
    <s v="LDN"/>
    <n v="75"/>
    <x v="0"/>
    <n v="1"/>
    <n v="78.8"/>
    <n v="2.2000000000000002"/>
    <m/>
    <x v="0"/>
    <n v="76.599999999999994"/>
    <n v="76.599999999999994"/>
    <m/>
    <x v="0"/>
    <x v="0"/>
    <n v="0"/>
    <n v="0"/>
    <x v="0"/>
    <x v="0"/>
    <m/>
    <x v="0"/>
    <x v="0"/>
    <x v="0"/>
    <x v="0"/>
    <x v="0"/>
    <n v="0"/>
    <n v="0"/>
    <n v="0"/>
    <n v="12"/>
    <x v="1"/>
    <x v="0"/>
    <m/>
    <x v="0"/>
    <n v="83.8"/>
    <x v="0"/>
    <x v="22"/>
    <x v="12"/>
    <x v="0"/>
    <x v="0"/>
  </r>
  <r>
    <x v="0"/>
    <x v="14"/>
    <s v="6635 J"/>
    <x v="214"/>
    <s v="Golden Chemical Faisalbad"/>
    <s v="LDN"/>
    <s v="510 MM"/>
    <s v="15-16/30-32"/>
    <s v="LDN"/>
    <n v="700"/>
    <x v="0"/>
    <n v="6"/>
    <n v="564.80999999999995"/>
    <n v="14.399999999999999"/>
    <n v="65"/>
    <x v="0"/>
    <n v="550.41"/>
    <n v="710.31"/>
    <m/>
    <x v="0"/>
    <x v="0"/>
    <n v="0"/>
    <n v="0"/>
    <x v="0"/>
    <x v="0"/>
    <m/>
    <x v="0"/>
    <x v="0"/>
    <x v="0"/>
    <x v="0"/>
    <x v="0"/>
    <n v="0"/>
    <n v="0"/>
    <n v="0"/>
    <n v="12"/>
    <x v="1"/>
    <x v="0"/>
    <m/>
    <x v="0"/>
    <n v="569.80999999999995"/>
    <x v="0"/>
    <x v="22"/>
    <x v="12"/>
    <x v="0"/>
    <x v="0"/>
  </r>
  <r>
    <x v="1"/>
    <x v="14"/>
    <s v="6636 J"/>
    <x v="214"/>
    <s v="Golden Chemical Faisalbad"/>
    <s v="LDN"/>
    <s v="510 MM"/>
    <s v="15-16/30-32"/>
    <s v="LDN"/>
    <n v="300"/>
    <x v="0"/>
    <n v="3"/>
    <n v="304"/>
    <n v="7.8000000000000007"/>
    <n v="70"/>
    <x v="0"/>
    <n v="296.2"/>
    <n v="296.2"/>
    <m/>
    <x v="0"/>
    <x v="0"/>
    <n v="0"/>
    <n v="0"/>
    <x v="0"/>
    <x v="0"/>
    <m/>
    <x v="0"/>
    <x v="0"/>
    <x v="0"/>
    <x v="0"/>
    <x v="0"/>
    <n v="0"/>
    <n v="0"/>
    <n v="0"/>
    <n v="12"/>
    <x v="1"/>
    <x v="0"/>
    <m/>
    <x v="0"/>
    <n v="309"/>
    <x v="0"/>
    <x v="22"/>
    <x v="12"/>
    <x v="0"/>
    <x v="0"/>
  </r>
  <r>
    <x v="1"/>
    <x v="14"/>
    <s v="6635 J"/>
    <x v="214"/>
    <s v="Golden Chemical Faisalbad"/>
    <s v="LDN"/>
    <s v="510 MM"/>
    <s v="15-16/30-32"/>
    <s v="LDN"/>
    <n v="700"/>
    <x v="0"/>
    <n v="2"/>
    <n v="165.1"/>
    <n v="5.2"/>
    <m/>
    <x v="0"/>
    <n v="159.9"/>
    <n v="710.31"/>
    <m/>
    <x v="0"/>
    <x v="0"/>
    <n v="0"/>
    <n v="0"/>
    <x v="0"/>
    <x v="0"/>
    <m/>
    <x v="0"/>
    <x v="0"/>
    <x v="0"/>
    <x v="0"/>
    <x v="0"/>
    <n v="0"/>
    <n v="0"/>
    <n v="0"/>
    <n v="12"/>
    <x v="1"/>
    <x v="0"/>
    <m/>
    <x v="0"/>
    <n v="170.1"/>
    <x v="0"/>
    <x v="22"/>
    <x v="12"/>
    <x v="0"/>
    <x v="0"/>
  </r>
  <r>
    <x v="1"/>
    <x v="14"/>
    <s v="6637 J"/>
    <x v="214"/>
    <s v="Golden Chemical Faisalbad"/>
    <s v="LDN"/>
    <s v="510 MM"/>
    <s v="15-16/30-32"/>
    <s v="LDN"/>
    <n v="300"/>
    <x v="0"/>
    <n v="1"/>
    <n v="106.6"/>
    <n v="1.6"/>
    <m/>
    <x v="0"/>
    <n v="105"/>
    <n v="307.24"/>
    <m/>
    <x v="0"/>
    <x v="0"/>
    <n v="0"/>
    <n v="0"/>
    <x v="0"/>
    <x v="0"/>
    <m/>
    <x v="0"/>
    <x v="0"/>
    <x v="0"/>
    <x v="0"/>
    <x v="0"/>
    <n v="0"/>
    <n v="0"/>
    <n v="0"/>
    <n v="12"/>
    <x v="1"/>
    <x v="0"/>
    <m/>
    <x v="0"/>
    <n v="111.6"/>
    <x v="0"/>
    <x v="22"/>
    <x v="12"/>
    <x v="0"/>
    <x v="0"/>
  </r>
  <r>
    <x v="0"/>
    <x v="15"/>
    <s v="2750 F"/>
    <x v="214"/>
    <s v="Usman Amin"/>
    <s v="LDN"/>
    <n v="17.25"/>
    <s v="8-8.5"/>
    <s v="LDN"/>
    <n v="1000"/>
    <x v="0"/>
    <n v="4"/>
    <n v="293.64000000000004"/>
    <n v="8.8000000000000007"/>
    <n v="5"/>
    <x v="0"/>
    <n v="284.84000000000003"/>
    <n v="968.07"/>
    <n v="5"/>
    <x v="0"/>
    <x v="0"/>
    <n v="5"/>
    <n v="8.3333333333333329E-2"/>
    <x v="0"/>
    <x v="0"/>
    <m/>
    <x v="0"/>
    <x v="0"/>
    <x v="0"/>
    <x v="0"/>
    <x v="0"/>
    <n v="0"/>
    <n v="0"/>
    <n v="8.3333333333333329E-2"/>
    <n v="11.916666666666666"/>
    <x v="1"/>
    <x v="0"/>
    <m/>
    <x v="0"/>
    <n v="298.64000000000004"/>
    <x v="0"/>
    <x v="22"/>
    <x v="12"/>
    <x v="0"/>
    <x v="0"/>
  </r>
  <r>
    <x v="0"/>
    <x v="15"/>
    <s v="2761 F"/>
    <x v="214"/>
    <s v="Usman Amin"/>
    <s v="LDN"/>
    <n v="19"/>
    <s v="8"/>
    <s v="LDN"/>
    <n v="100"/>
    <x v="0"/>
    <n v="2"/>
    <n v="104.14"/>
    <n v="4.8"/>
    <n v="5"/>
    <x v="0"/>
    <n v="99.34"/>
    <n v="99.34"/>
    <n v="5"/>
    <x v="0"/>
    <x v="0"/>
    <n v="5"/>
    <n v="8.3333333333333329E-2"/>
    <x v="0"/>
    <x v="0"/>
    <m/>
    <x v="0"/>
    <x v="0"/>
    <x v="0"/>
    <x v="0"/>
    <x v="0"/>
    <n v="0"/>
    <n v="0"/>
    <n v="8.3333333333333329E-2"/>
    <n v="11.916666666666666"/>
    <x v="1"/>
    <x v="0"/>
    <m/>
    <x v="0"/>
    <n v="109.14"/>
    <x v="0"/>
    <x v="22"/>
    <x v="12"/>
    <x v="0"/>
    <x v="0"/>
  </r>
  <r>
    <x v="1"/>
    <x v="15"/>
    <s v="6688 J"/>
    <x v="214"/>
    <s v="M K B Peshawar"/>
    <s v="LDN"/>
    <n v="20"/>
    <s v="6-6.5"/>
    <s v="LDN"/>
    <n v="250"/>
    <x v="0"/>
    <n v="5"/>
    <n v="267.33999999999997"/>
    <n v="12.5"/>
    <m/>
    <x v="0"/>
    <n v="254.83999999999997"/>
    <n v="254.83999999999997"/>
    <m/>
    <x v="0"/>
    <x v="0"/>
    <n v="0"/>
    <n v="0"/>
    <x v="0"/>
    <x v="0"/>
    <m/>
    <x v="0"/>
    <x v="0"/>
    <x v="0"/>
    <x v="0"/>
    <x v="0"/>
    <n v="0"/>
    <n v="0"/>
    <n v="0"/>
    <n v="12"/>
    <x v="1"/>
    <x v="0"/>
    <m/>
    <x v="0"/>
    <n v="272.33999999999997"/>
    <x v="0"/>
    <x v="22"/>
    <x v="12"/>
    <x v="0"/>
    <x v="0"/>
  </r>
  <r>
    <x v="1"/>
    <x v="15"/>
    <s v="6767 J"/>
    <x v="214"/>
    <s v="A.Y CAUS LAHORE"/>
    <s v="LDN"/>
    <n v="20"/>
    <s v="5.5-6"/>
    <s v="LDN"/>
    <n v="200"/>
    <x v="0"/>
    <n v="3"/>
    <n v="150.67000000000002"/>
    <n v="7.5"/>
    <m/>
    <x v="0"/>
    <n v="143.17000000000002"/>
    <n v="207.12"/>
    <m/>
    <x v="0"/>
    <x v="0"/>
    <n v="0"/>
    <n v="0"/>
    <x v="0"/>
    <x v="0"/>
    <m/>
    <x v="0"/>
    <x v="0"/>
    <x v="0"/>
    <x v="0"/>
    <x v="0"/>
    <n v="0"/>
    <n v="0"/>
    <n v="0"/>
    <n v="12"/>
    <x v="1"/>
    <x v="0"/>
    <m/>
    <x v="0"/>
    <n v="155.67000000000002"/>
    <x v="0"/>
    <x v="22"/>
    <x v="12"/>
    <x v="0"/>
    <x v="0"/>
  </r>
  <r>
    <x v="0"/>
    <x v="8"/>
    <s v="6772 J"/>
    <x v="215"/>
    <s v="Bolan Pastry Shop Quita"/>
    <s v="LDN"/>
    <n v="8"/>
    <s v="6-6.5"/>
    <s v="LDN"/>
    <n v="200"/>
    <x v="0"/>
    <n v="1"/>
    <n v="40"/>
    <n v="1"/>
    <m/>
    <x v="0"/>
    <n v="39"/>
    <n v="236.3"/>
    <m/>
    <x v="0"/>
    <x v="0"/>
    <n v="0"/>
    <n v="0"/>
    <x v="0"/>
    <x v="0"/>
    <m/>
    <x v="0"/>
    <x v="0"/>
    <x v="0"/>
    <x v="0"/>
    <x v="0"/>
    <n v="0"/>
    <n v="0"/>
    <n v="0"/>
    <n v="12"/>
    <x v="1"/>
    <x v="0"/>
    <m/>
    <x v="0"/>
    <n v="45"/>
    <x v="0"/>
    <x v="22"/>
    <x v="12"/>
    <x v="0"/>
    <x v="0"/>
  </r>
  <r>
    <x v="0"/>
    <x v="8"/>
    <s v="6810 J"/>
    <x v="215"/>
    <s v="Al Buraq Deparmental Store Lahore"/>
    <s v="LDN"/>
    <n v="5"/>
    <s v="12-12.5"/>
    <s v="LDN"/>
    <n v="100"/>
    <x v="0"/>
    <n v="3"/>
    <n v="106.4"/>
    <n v="2.4000000000000004"/>
    <m/>
    <x v="0"/>
    <n v="104"/>
    <n v="210.50000000000003"/>
    <m/>
    <x v="0"/>
    <x v="0"/>
    <n v="0"/>
    <n v="0"/>
    <x v="0"/>
    <x v="0"/>
    <m/>
    <x v="0"/>
    <x v="0"/>
    <x v="0"/>
    <x v="0"/>
    <x v="0"/>
    <n v="0"/>
    <n v="0"/>
    <n v="0"/>
    <n v="12"/>
    <x v="1"/>
    <x v="0"/>
    <m/>
    <x v="0"/>
    <n v="111.4"/>
    <x v="0"/>
    <x v="22"/>
    <x v="12"/>
    <x v="0"/>
    <x v="0"/>
  </r>
  <r>
    <x v="0"/>
    <x v="8"/>
    <s v="6795 J"/>
    <x v="215"/>
    <s v="Purella Fresh Milk"/>
    <s v="LDM"/>
    <n v="7"/>
    <s v="18"/>
    <s v="LDM"/>
    <n v="100"/>
    <x v="0"/>
    <n v="1"/>
    <n v="41.6"/>
    <n v="0.9"/>
    <n v="2"/>
    <x v="0"/>
    <n v="40.700000000000003"/>
    <n v="107.9"/>
    <m/>
    <x v="0"/>
    <x v="0"/>
    <n v="0"/>
    <n v="0"/>
    <x v="0"/>
    <x v="0"/>
    <m/>
    <x v="0"/>
    <x v="0"/>
    <x v="0"/>
    <x v="0"/>
    <x v="0"/>
    <n v="0"/>
    <n v="0"/>
    <n v="0"/>
    <n v="12"/>
    <x v="1"/>
    <x v="0"/>
    <m/>
    <x v="0"/>
    <n v="46.6"/>
    <x v="0"/>
    <x v="22"/>
    <x v="12"/>
    <x v="0"/>
    <x v="0"/>
  </r>
  <r>
    <x v="1"/>
    <x v="8"/>
    <s v="6795 J"/>
    <x v="215"/>
    <s v="Purella Fresh Milk"/>
    <s v="LDM"/>
    <n v="7"/>
    <s v="18"/>
    <s v="LDM"/>
    <n v="100"/>
    <x v="0"/>
    <n v="2"/>
    <n v="68.900000000000006"/>
    <n v="1.7000000000000002"/>
    <n v="3"/>
    <x v="0"/>
    <n v="67.2"/>
    <n v="107.9"/>
    <n v="5"/>
    <x v="0"/>
    <x v="0"/>
    <n v="5"/>
    <n v="8.3333333333333329E-2"/>
    <x v="0"/>
    <x v="0"/>
    <m/>
    <x v="0"/>
    <x v="0"/>
    <x v="0"/>
    <x v="0"/>
    <x v="0"/>
    <n v="0"/>
    <n v="0"/>
    <n v="8.3333333333333329E-2"/>
    <n v="11.916666666666666"/>
    <x v="1"/>
    <x v="0"/>
    <m/>
    <x v="0"/>
    <n v="73.900000000000006"/>
    <x v="0"/>
    <x v="22"/>
    <x v="12"/>
    <x v="0"/>
    <x v="0"/>
  </r>
  <r>
    <x v="1"/>
    <x v="8"/>
    <s v="6764 J"/>
    <x v="215"/>
    <s v="K.B Buisness Service "/>
    <s v="LDN"/>
    <n v="12.5"/>
    <n v="18"/>
    <s v="LDN"/>
    <n v="300"/>
    <x v="0"/>
    <n v="2"/>
    <n v="108.81"/>
    <n v="2.4"/>
    <m/>
    <x v="0"/>
    <n v="106.41"/>
    <n v="188.81"/>
    <m/>
    <x v="0"/>
    <x v="0"/>
    <n v="0"/>
    <n v="0"/>
    <x v="0"/>
    <x v="0"/>
    <m/>
    <x v="0"/>
    <x v="0"/>
    <x v="0"/>
    <x v="0"/>
    <x v="0"/>
    <n v="0"/>
    <n v="0"/>
    <n v="0"/>
    <n v="12"/>
    <x v="1"/>
    <x v="0"/>
    <m/>
    <x v="0"/>
    <n v="113.81"/>
    <x v="0"/>
    <x v="22"/>
    <x v="12"/>
    <x v="0"/>
    <x v="0"/>
  </r>
  <r>
    <x v="0"/>
    <x v="9"/>
    <s v="6804 J"/>
    <x v="215"/>
    <s v="Wah Nobel Private Limited"/>
    <s v="LD گولڈن پیلا"/>
    <s v="120MM"/>
    <s v="29-30"/>
    <s v="LDM"/>
    <n v="500"/>
    <x v="0"/>
    <n v="4"/>
    <n v="158.72"/>
    <n v="2.8"/>
    <m/>
    <x v="0"/>
    <n v="155.91999999999999"/>
    <n v="498.72"/>
    <m/>
    <x v="0"/>
    <x v="0"/>
    <n v="0"/>
    <n v="0"/>
    <x v="0"/>
    <x v="0"/>
    <m/>
    <x v="0"/>
    <x v="0"/>
    <x v="0"/>
    <x v="0"/>
    <x v="0"/>
    <n v="0"/>
    <n v="0"/>
    <n v="0"/>
    <n v="12"/>
    <x v="1"/>
    <x v="0"/>
    <m/>
    <x v="0"/>
    <n v="163.72"/>
    <x v="0"/>
    <x v="22"/>
    <x v="12"/>
    <x v="0"/>
    <x v="0"/>
  </r>
  <r>
    <x v="1"/>
    <x v="9"/>
    <s v="6804 J"/>
    <x v="215"/>
    <s v="Wah Nobel Private Limited"/>
    <s v="LD گولڈن پیلا"/>
    <s v="120MM"/>
    <s v="29-30"/>
    <s v="LDM"/>
    <n v="500"/>
    <x v="0"/>
    <n v="4"/>
    <n v="142"/>
    <n v="2.4"/>
    <m/>
    <x v="0"/>
    <n v="139.6"/>
    <n v="498.72"/>
    <m/>
    <x v="0"/>
    <x v="0"/>
    <n v="0"/>
    <n v="0"/>
    <x v="0"/>
    <x v="0"/>
    <m/>
    <x v="0"/>
    <x v="0"/>
    <x v="0"/>
    <x v="0"/>
    <x v="0"/>
    <n v="0"/>
    <n v="0"/>
    <n v="0"/>
    <n v="12"/>
    <x v="1"/>
    <x v="0"/>
    <m/>
    <x v="0"/>
    <n v="147"/>
    <x v="0"/>
    <x v="22"/>
    <x v="12"/>
    <x v="0"/>
    <x v="0"/>
  </r>
  <r>
    <x v="0"/>
    <x v="11"/>
    <s v="6683 J"/>
    <x v="215"/>
    <s v="Waqas Wollan Mills Gujranwala"/>
    <s v="LD بلو"/>
    <n v="16"/>
    <s v="10-10.5"/>
    <s v="LDM"/>
    <n v="500"/>
    <x v="0"/>
    <n v="3"/>
    <n v="220.2"/>
    <n v="5.6999999999999993"/>
    <m/>
    <x v="0"/>
    <n v="214.5"/>
    <n v="490.95"/>
    <m/>
    <x v="0"/>
    <x v="0"/>
    <n v="0"/>
    <n v="0"/>
    <x v="0"/>
    <x v="0"/>
    <m/>
    <x v="0"/>
    <x v="0"/>
    <x v="0"/>
    <x v="0"/>
    <x v="0"/>
    <n v="0"/>
    <n v="0"/>
    <n v="0"/>
    <n v="12"/>
    <x v="1"/>
    <x v="0"/>
    <m/>
    <x v="0"/>
    <n v="225.2"/>
    <x v="0"/>
    <x v="22"/>
    <x v="12"/>
    <x v="0"/>
    <x v="0"/>
  </r>
  <r>
    <x v="0"/>
    <x v="11"/>
    <s v="6686 J"/>
    <x v="215"/>
    <s v="Waqas Wollan Mills Gujranwala"/>
    <s v="LD بلو"/>
    <n v="16"/>
    <s v="10-10.5"/>
    <s v="LDM"/>
    <n v="100"/>
    <x v="0"/>
    <n v="2"/>
    <n v="117.3"/>
    <n v="4.2"/>
    <n v="4"/>
    <x v="0"/>
    <n v="113.1"/>
    <n v="113.1"/>
    <m/>
    <x v="0"/>
    <x v="0"/>
    <n v="0"/>
    <n v="0"/>
    <x v="0"/>
    <x v="0"/>
    <m/>
    <x v="0"/>
    <x v="0"/>
    <x v="0"/>
    <x v="0"/>
    <x v="0"/>
    <n v="0"/>
    <n v="0"/>
    <n v="0"/>
    <n v="12"/>
    <x v="1"/>
    <x v="0"/>
    <m/>
    <x v="0"/>
    <n v="122.3"/>
    <x v="0"/>
    <x v="22"/>
    <x v="12"/>
    <x v="0"/>
    <x v="0"/>
  </r>
  <r>
    <x v="1"/>
    <x v="11"/>
    <s v="6682 J"/>
    <x v="215"/>
    <s v="Waqas Wollan Mills Gujranwala"/>
    <s v="LD بلو"/>
    <n v="16"/>
    <s v="10-10.5"/>
    <s v="LDM"/>
    <n v="100"/>
    <x v="0"/>
    <n v="2"/>
    <n v="107.97999999999999"/>
    <n v="3.2"/>
    <n v="5"/>
    <x v="0"/>
    <n v="104.77999999999999"/>
    <n v="104.77999999999999"/>
    <n v="5"/>
    <x v="0"/>
    <x v="0"/>
    <n v="5"/>
    <n v="8.3333333333333329E-2"/>
    <x v="0"/>
    <x v="0"/>
    <m/>
    <x v="0"/>
    <x v="0"/>
    <x v="0"/>
    <x v="0"/>
    <x v="0"/>
    <n v="0"/>
    <n v="0"/>
    <n v="8.3333333333333329E-2"/>
    <n v="11.916666666666666"/>
    <x v="1"/>
    <x v="0"/>
    <m/>
    <x v="0"/>
    <n v="112.97999999999999"/>
    <x v="0"/>
    <x v="22"/>
    <x v="12"/>
    <x v="0"/>
    <x v="0"/>
  </r>
  <r>
    <x v="1"/>
    <x v="11"/>
    <s v="6684 J"/>
    <x v="215"/>
    <s v="Waqas Wollan Mills Gujranwala"/>
    <s v="LD بلو"/>
    <n v="15"/>
    <s v="10-10.5"/>
    <s v="LDM"/>
    <n v="400"/>
    <x v="0"/>
    <n v="5"/>
    <n v="309.97000000000003"/>
    <n v="9.5"/>
    <m/>
    <x v="0"/>
    <n v="300.47000000000003"/>
    <n v="399.47"/>
    <m/>
    <x v="0"/>
    <x v="0"/>
    <n v="0"/>
    <n v="0"/>
    <x v="0"/>
    <x v="0"/>
    <m/>
    <x v="0"/>
    <x v="0"/>
    <x v="0"/>
    <x v="0"/>
    <x v="0"/>
    <n v="0"/>
    <n v="0"/>
    <n v="0"/>
    <n v="12"/>
    <x v="1"/>
    <x v="0"/>
    <m/>
    <x v="0"/>
    <n v="314.97000000000003"/>
    <x v="0"/>
    <x v="22"/>
    <x v="12"/>
    <x v="0"/>
    <x v="0"/>
  </r>
  <r>
    <x v="0"/>
    <x v="13"/>
    <s v="2747 F"/>
    <x v="215"/>
    <s v="Usman Amin"/>
    <s v="LDN"/>
    <n v="19"/>
    <s v="12"/>
    <s v="LDN"/>
    <n v="100"/>
    <x v="0"/>
    <n v="1"/>
    <n v="108.3"/>
    <n v="2.1"/>
    <m/>
    <x v="0"/>
    <n v="106.2"/>
    <n v="106.2"/>
    <m/>
    <x v="0"/>
    <x v="0"/>
    <n v="0"/>
    <n v="0"/>
    <x v="0"/>
    <x v="0"/>
    <m/>
    <x v="0"/>
    <x v="0"/>
    <x v="0"/>
    <x v="0"/>
    <x v="0"/>
    <n v="0"/>
    <n v="0"/>
    <n v="0"/>
    <n v="12"/>
    <x v="1"/>
    <x v="0"/>
    <m/>
    <x v="0"/>
    <n v="113.3"/>
    <x v="0"/>
    <x v="22"/>
    <x v="12"/>
    <x v="0"/>
    <x v="0"/>
  </r>
  <r>
    <x v="0"/>
    <x v="13"/>
    <s v="2765 F"/>
    <x v="215"/>
    <s v="Usman Amin"/>
    <s v="LDN"/>
    <n v="19"/>
    <s v="7"/>
    <s v="LDN"/>
    <n v="620"/>
    <x v="0"/>
    <n v="4"/>
    <n v="271.10000000000002"/>
    <n v="8.4"/>
    <n v="3"/>
    <x v="0"/>
    <n v="262.70000000000005"/>
    <n v="637.70000000000005"/>
    <m/>
    <x v="0"/>
    <x v="0"/>
    <n v="0"/>
    <n v="0"/>
    <x v="0"/>
    <x v="0"/>
    <m/>
    <x v="0"/>
    <x v="0"/>
    <x v="0"/>
    <x v="0"/>
    <x v="0"/>
    <n v="0"/>
    <n v="0"/>
    <n v="0"/>
    <n v="12"/>
    <x v="1"/>
    <x v="0"/>
    <m/>
    <x v="0"/>
    <n v="276.10000000000002"/>
    <x v="0"/>
    <x v="22"/>
    <x v="12"/>
    <x v="0"/>
    <x v="0"/>
  </r>
  <r>
    <x v="1"/>
    <x v="13"/>
    <s v="2765 F"/>
    <x v="215"/>
    <s v="Usman Amin"/>
    <s v="LDN"/>
    <n v="19"/>
    <s v="7"/>
    <s v="LDN"/>
    <n v="620"/>
    <x v="0"/>
    <n v="5"/>
    <n v="317.79999999999995"/>
    <n v="11"/>
    <n v="12"/>
    <x v="0"/>
    <n v="306.79999999999995"/>
    <n v="637.70000000000005"/>
    <m/>
    <x v="0"/>
    <x v="0"/>
    <n v="0"/>
    <n v="0"/>
    <x v="0"/>
    <x v="2"/>
    <m/>
    <x v="0"/>
    <x v="0"/>
    <x v="0"/>
    <x v="3"/>
    <x v="0"/>
    <n v="50"/>
    <n v="0.83333333333333337"/>
    <n v="0.83333333333333337"/>
    <n v="11.166666666666666"/>
    <x v="1"/>
    <x v="0"/>
    <m/>
    <x v="0"/>
    <n v="322.79999999999995"/>
    <x v="0"/>
    <x v="22"/>
    <x v="12"/>
    <x v="0"/>
    <x v="0"/>
  </r>
  <r>
    <x v="0"/>
    <x v="14"/>
    <s v="6637 J"/>
    <x v="215"/>
    <s v="Golden Chemical Faisalbad"/>
    <s v="LDN"/>
    <s v="510 MM"/>
    <s v="15-16/30-32"/>
    <s v="LDN"/>
    <n v="300"/>
    <x v="0"/>
    <n v="2"/>
    <n v="205.44"/>
    <n v="3.2"/>
    <m/>
    <x v="0"/>
    <n v="202.24"/>
    <n v="307.24"/>
    <m/>
    <x v="0"/>
    <x v="0"/>
    <n v="0"/>
    <n v="0"/>
    <x v="0"/>
    <x v="0"/>
    <m/>
    <x v="0"/>
    <x v="0"/>
    <x v="0"/>
    <x v="0"/>
    <x v="0"/>
    <n v="0"/>
    <n v="0"/>
    <n v="0"/>
    <n v="12"/>
    <x v="1"/>
    <x v="0"/>
    <m/>
    <x v="0"/>
    <n v="210.44"/>
    <x v="0"/>
    <x v="22"/>
    <x v="12"/>
    <x v="0"/>
    <x v="0"/>
  </r>
  <r>
    <x v="0"/>
    <x v="14"/>
    <s v="6638 J"/>
    <x v="215"/>
    <s v="Golden Chemical Faislbad"/>
    <s v="LDN"/>
    <s v="510 MM"/>
    <s v="15-16/30-32"/>
    <s v="LDN"/>
    <n v="300"/>
    <x v="0"/>
    <n v="3"/>
    <n v="315.89"/>
    <n v="7.1999999999999993"/>
    <m/>
    <x v="0"/>
    <n v="308.69"/>
    <n v="308.69"/>
    <m/>
    <x v="0"/>
    <x v="0"/>
    <n v="0"/>
    <n v="0"/>
    <x v="0"/>
    <x v="0"/>
    <m/>
    <x v="0"/>
    <x v="0"/>
    <x v="0"/>
    <x v="0"/>
    <x v="0"/>
    <n v="0"/>
    <n v="0"/>
    <n v="0"/>
    <n v="12"/>
    <x v="1"/>
    <x v="0"/>
    <m/>
    <x v="0"/>
    <n v="320.89"/>
    <x v="0"/>
    <x v="22"/>
    <x v="12"/>
    <x v="0"/>
    <x v="0"/>
  </r>
  <r>
    <x v="0"/>
    <x v="14"/>
    <s v="6639 J"/>
    <x v="215"/>
    <s v="Golden Chemical Faisalbad"/>
    <s v="LDN"/>
    <s v="510 MM"/>
    <s v="15-16/30-32"/>
    <s v="LDN"/>
    <n v="300"/>
    <x v="0"/>
    <n v="1"/>
    <n v="103.24"/>
    <n v="2.4"/>
    <m/>
    <x v="0"/>
    <n v="100.83999999999999"/>
    <n v="311.44"/>
    <m/>
    <x v="0"/>
    <x v="0"/>
    <n v="0"/>
    <n v="0"/>
    <x v="0"/>
    <x v="0"/>
    <m/>
    <x v="0"/>
    <x v="0"/>
    <x v="0"/>
    <x v="0"/>
    <x v="0"/>
    <n v="0"/>
    <n v="0"/>
    <n v="0"/>
    <n v="12"/>
    <x v="1"/>
    <x v="0"/>
    <m/>
    <x v="0"/>
    <n v="108.24"/>
    <x v="0"/>
    <x v="22"/>
    <x v="12"/>
    <x v="0"/>
    <x v="0"/>
  </r>
  <r>
    <x v="1"/>
    <x v="14"/>
    <s v="6639 J"/>
    <x v="215"/>
    <s v="Golden Chemical Faisalbad"/>
    <s v="LDN"/>
    <s v="510 MM"/>
    <s v="15-16/30-32"/>
    <s v="LDN"/>
    <n v="300"/>
    <x v="0"/>
    <n v="2"/>
    <n v="215.8"/>
    <n v="5.2"/>
    <n v="58"/>
    <x v="0"/>
    <n v="210.60000000000002"/>
    <n v="311.44"/>
    <m/>
    <x v="0"/>
    <x v="0"/>
    <n v="0"/>
    <n v="0"/>
    <x v="0"/>
    <x v="0"/>
    <m/>
    <x v="0"/>
    <x v="0"/>
    <x v="0"/>
    <x v="0"/>
    <x v="0"/>
    <n v="0"/>
    <n v="0"/>
    <n v="0"/>
    <n v="12"/>
    <x v="1"/>
    <x v="0"/>
    <m/>
    <x v="0"/>
    <n v="220.8"/>
    <x v="0"/>
    <x v="22"/>
    <x v="12"/>
    <x v="0"/>
    <x v="0"/>
  </r>
  <r>
    <x v="1"/>
    <x v="14"/>
    <s v="6634 J"/>
    <x v="215"/>
    <s v="Golden Chemical Faisalbad"/>
    <s v="LDN"/>
    <s v="510 MM"/>
    <s v="15-16/30-32"/>
    <s v="LDN"/>
    <n v="300"/>
    <x v="0"/>
    <n v="4"/>
    <n v="306.39999999999998"/>
    <n v="10.4"/>
    <n v="65"/>
    <x v="0"/>
    <n v="296"/>
    <n v="296"/>
    <n v="8"/>
    <x v="0"/>
    <x v="0"/>
    <n v="8"/>
    <n v="0.13333333333333333"/>
    <x v="0"/>
    <x v="1"/>
    <m/>
    <x v="0"/>
    <x v="0"/>
    <x v="0"/>
    <x v="0"/>
    <x v="0"/>
    <n v="10"/>
    <n v="0.16666666666666666"/>
    <n v="0.3"/>
    <n v="11.7"/>
    <x v="1"/>
    <x v="0"/>
    <m/>
    <x v="0"/>
    <n v="311.39999999999998"/>
    <x v="0"/>
    <x v="22"/>
    <x v="12"/>
    <x v="0"/>
    <x v="0"/>
  </r>
  <r>
    <x v="1"/>
    <x v="14"/>
    <s v="6734 J"/>
    <x v="215"/>
    <s v="Synt Chemical Lahore "/>
    <s v="LDN"/>
    <s v="525 MM"/>
    <s v="15-16/30-32"/>
    <s v="LDN"/>
    <n v="100"/>
    <x v="0"/>
    <n v="2"/>
    <n v="112.6"/>
    <n v="4.2"/>
    <m/>
    <x v="0"/>
    <n v="108.39999999999999"/>
    <n v="108.39999999999999"/>
    <m/>
    <x v="0"/>
    <x v="0"/>
    <n v="0"/>
    <n v="0"/>
    <x v="0"/>
    <x v="0"/>
    <m/>
    <x v="0"/>
    <x v="0"/>
    <x v="0"/>
    <x v="0"/>
    <x v="0"/>
    <n v="0"/>
    <n v="0"/>
    <n v="0"/>
    <n v="12"/>
    <x v="1"/>
    <x v="0"/>
    <m/>
    <x v="0"/>
    <n v="117.6"/>
    <x v="0"/>
    <x v="22"/>
    <x v="12"/>
    <x v="0"/>
    <x v="0"/>
  </r>
  <r>
    <x v="1"/>
    <x v="14"/>
    <s v="6803 J"/>
    <x v="215"/>
    <s v="Bukhtyar Febrics Azam Market Lahore"/>
    <s v="LDN"/>
    <n v="36"/>
    <s v="9-9.5"/>
    <s v="LDN"/>
    <n v="425"/>
    <x v="0"/>
    <n v="2"/>
    <n v="173.7"/>
    <n v="7"/>
    <m/>
    <x v="0"/>
    <n v="166.7"/>
    <n v="437.01"/>
    <m/>
    <x v="0"/>
    <x v="0"/>
    <n v="0"/>
    <n v="0"/>
    <x v="0"/>
    <x v="0"/>
    <m/>
    <x v="0"/>
    <x v="0"/>
    <x v="0"/>
    <x v="0"/>
    <x v="0"/>
    <n v="0"/>
    <n v="0"/>
    <n v="0"/>
    <n v="12"/>
    <x v="1"/>
    <x v="0"/>
    <m/>
    <x v="0"/>
    <n v="178.7"/>
    <x v="0"/>
    <x v="22"/>
    <x v="12"/>
    <x v="0"/>
    <x v="0"/>
  </r>
  <r>
    <x v="0"/>
    <x v="15"/>
    <s v="6767 J"/>
    <x v="215"/>
    <s v="A.Y CAUS LAHORE"/>
    <s v="LDN"/>
    <n v="20"/>
    <s v="5.5-6"/>
    <s v="LDN"/>
    <n v="200"/>
    <x v="0"/>
    <n v="1"/>
    <n v="66.45"/>
    <n v="2.5"/>
    <m/>
    <x v="0"/>
    <n v="63.95"/>
    <n v="207.12"/>
    <m/>
    <x v="0"/>
    <x v="0"/>
    <n v="0"/>
    <n v="0"/>
    <x v="0"/>
    <x v="0"/>
    <m/>
    <x v="0"/>
    <x v="0"/>
    <x v="0"/>
    <x v="0"/>
    <x v="0"/>
    <n v="0"/>
    <n v="0"/>
    <n v="0"/>
    <n v="12"/>
    <x v="1"/>
    <x v="0"/>
    <m/>
    <x v="0"/>
    <n v="71.45"/>
    <x v="0"/>
    <x v="22"/>
    <x v="12"/>
    <x v="0"/>
    <x v="0"/>
  </r>
  <r>
    <x v="0"/>
    <x v="15"/>
    <s v="6646 J"/>
    <x v="215"/>
    <s v="Shahid and Sons Fabrics Lahore"/>
    <s v="LDN"/>
    <n v="17"/>
    <s v="5-5.5"/>
    <s v="LDN"/>
    <n v="100"/>
    <x v="0"/>
    <n v="2"/>
    <n v="75"/>
    <n v="3.4"/>
    <m/>
    <x v="0"/>
    <n v="71.599999999999994"/>
    <n v="71.599999999999994"/>
    <m/>
    <x v="0"/>
    <x v="0"/>
    <n v="0"/>
    <n v="0"/>
    <x v="0"/>
    <x v="0"/>
    <m/>
    <x v="0"/>
    <x v="0"/>
    <x v="0"/>
    <x v="0"/>
    <x v="0"/>
    <n v="0"/>
    <n v="0"/>
    <n v="0"/>
    <n v="12"/>
    <x v="1"/>
    <x v="0"/>
    <m/>
    <x v="0"/>
    <n v="80"/>
    <x v="0"/>
    <x v="22"/>
    <x v="12"/>
    <x v="0"/>
    <x v="0"/>
  </r>
  <r>
    <x v="0"/>
    <x v="15"/>
    <s v="6783 J"/>
    <x v="215"/>
    <s v="Ibraheem Filter Industry (SMC.PVT.LTD)"/>
    <s v="LDN"/>
    <n v="16"/>
    <n v="8"/>
    <s v="LDN"/>
    <n v="810"/>
    <x v="0"/>
    <n v="4"/>
    <n v="263.31000000000006"/>
    <n v="8"/>
    <n v="4"/>
    <x v="0"/>
    <n v="255.31000000000006"/>
    <n v="882.30000000000018"/>
    <n v="5"/>
    <x v="0"/>
    <x v="0"/>
    <n v="5"/>
    <n v="8.3333333333333329E-2"/>
    <x v="0"/>
    <x v="0"/>
    <m/>
    <x v="0"/>
    <x v="0"/>
    <x v="0"/>
    <x v="0"/>
    <x v="0"/>
    <n v="0"/>
    <n v="0"/>
    <n v="8.3333333333333329E-2"/>
    <n v="11.916666666666666"/>
    <x v="1"/>
    <x v="0"/>
    <m/>
    <x v="0"/>
    <n v="268.31000000000006"/>
    <x v="0"/>
    <x v="22"/>
    <x v="12"/>
    <x v="0"/>
    <x v="0"/>
  </r>
  <r>
    <x v="1"/>
    <x v="15"/>
    <s v="6783 J"/>
    <x v="215"/>
    <s v="Ibraheem Filter Industry (SMC.PVT.LTD)"/>
    <s v="LDN"/>
    <n v="16"/>
    <n v="8"/>
    <s v="LDN"/>
    <n v="810"/>
    <x v="0"/>
    <n v="8"/>
    <n v="448.23000000000008"/>
    <n v="16"/>
    <n v="2"/>
    <x v="0"/>
    <n v="432.23000000000008"/>
    <n v="882.30000000000018"/>
    <m/>
    <x v="0"/>
    <x v="0"/>
    <n v="0"/>
    <n v="0"/>
    <x v="0"/>
    <x v="0"/>
    <m/>
    <x v="0"/>
    <x v="0"/>
    <x v="0"/>
    <x v="0"/>
    <x v="0"/>
    <n v="0"/>
    <n v="0"/>
    <n v="0"/>
    <n v="12"/>
    <x v="1"/>
    <x v="0"/>
    <m/>
    <x v="0"/>
    <n v="453.23000000000008"/>
    <x v="0"/>
    <x v="22"/>
    <x v="12"/>
    <x v="0"/>
    <x v="0"/>
  </r>
  <r>
    <x v="0"/>
    <x v="8"/>
    <s v="6764 J"/>
    <x v="216"/>
    <s v="K.B Buisness Service "/>
    <s v="LDN"/>
    <n v="12.5"/>
    <n v="18"/>
    <s v="LDN"/>
    <n v="300"/>
    <x v="0"/>
    <n v="1"/>
    <n v="84"/>
    <n v="1.6"/>
    <m/>
    <x v="0"/>
    <n v="82.4"/>
    <n v="188.81"/>
    <m/>
    <x v="0"/>
    <x v="0"/>
    <n v="0"/>
    <n v="0"/>
    <x v="0"/>
    <x v="0"/>
    <m/>
    <x v="0"/>
    <x v="0"/>
    <x v="0"/>
    <x v="0"/>
    <x v="0"/>
    <n v="0"/>
    <n v="0"/>
    <n v="0"/>
    <n v="12"/>
    <x v="1"/>
    <x v="0"/>
    <m/>
    <x v="0"/>
    <n v="89"/>
    <x v="0"/>
    <x v="22"/>
    <x v="12"/>
    <x v="0"/>
    <x v="0"/>
  </r>
  <r>
    <x v="0"/>
    <x v="8"/>
    <s v="6761 J"/>
    <x v="216"/>
    <s v="G MART GUJRAT"/>
    <s v="LDN"/>
    <n v="12"/>
    <s v="14-15"/>
    <s v="LDN"/>
    <n v="200"/>
    <x v="0"/>
    <n v="2"/>
    <n v="116.17"/>
    <n v="3.4"/>
    <n v="3"/>
    <x v="0"/>
    <n v="112.77"/>
    <n v="203.32"/>
    <m/>
    <x v="0"/>
    <x v="0"/>
    <n v="0"/>
    <n v="0"/>
    <x v="0"/>
    <x v="0"/>
    <m/>
    <x v="0"/>
    <x v="0"/>
    <x v="0"/>
    <x v="0"/>
    <x v="0"/>
    <n v="0"/>
    <n v="0"/>
    <n v="0"/>
    <n v="12"/>
    <x v="1"/>
    <x v="0"/>
    <m/>
    <x v="0"/>
    <n v="121.17"/>
    <x v="0"/>
    <x v="22"/>
    <x v="12"/>
    <x v="0"/>
    <x v="0"/>
  </r>
  <r>
    <x v="1"/>
    <x v="8"/>
    <s v="6761 J"/>
    <x v="216"/>
    <s v="G MART GUJRAT"/>
    <s v="LDN"/>
    <n v="12"/>
    <s v="14-15"/>
    <s v="LDN"/>
    <n v="200"/>
    <x v="0"/>
    <n v="2"/>
    <n v="93.55"/>
    <n v="3"/>
    <n v="3"/>
    <x v="0"/>
    <n v="90.55"/>
    <n v="203.32"/>
    <n v="5"/>
    <x v="0"/>
    <x v="0"/>
    <n v="5"/>
    <n v="8.3333333333333329E-2"/>
    <x v="0"/>
    <x v="0"/>
    <m/>
    <x v="0"/>
    <x v="0"/>
    <x v="0"/>
    <x v="0"/>
    <x v="0"/>
    <n v="0"/>
    <n v="0"/>
    <n v="8.3333333333333329E-2"/>
    <n v="11.916666666666666"/>
    <x v="1"/>
    <x v="0"/>
    <m/>
    <x v="0"/>
    <n v="98.55"/>
    <x v="0"/>
    <x v="22"/>
    <x v="12"/>
    <x v="0"/>
    <x v="0"/>
  </r>
  <r>
    <x v="1"/>
    <x v="8"/>
    <s v="2755 F"/>
    <x v="216"/>
    <s v="Usman Amin"/>
    <s v="LDN"/>
    <n v="13"/>
    <s v="9"/>
    <s v="LDN"/>
    <n v="200"/>
    <x v="0"/>
    <n v="2"/>
    <n v="120.15"/>
    <n v="3.2"/>
    <m/>
    <x v="0"/>
    <n v="116.95"/>
    <n v="207.65"/>
    <m/>
    <x v="0"/>
    <x v="0"/>
    <n v="0"/>
    <n v="0"/>
    <x v="0"/>
    <x v="0"/>
    <m/>
    <x v="0"/>
    <x v="0"/>
    <x v="0"/>
    <x v="0"/>
    <x v="0"/>
    <n v="0"/>
    <n v="0"/>
    <n v="0"/>
    <n v="12"/>
    <x v="1"/>
    <x v="0"/>
    <m/>
    <x v="0"/>
    <n v="125.15"/>
    <x v="0"/>
    <x v="22"/>
    <x v="12"/>
    <x v="0"/>
    <x v="0"/>
  </r>
  <r>
    <x v="1"/>
    <x v="9"/>
    <s v="2789 F"/>
    <x v="216"/>
    <s v="Usman Amin"/>
    <s v="LDM"/>
    <n v="14"/>
    <s v="18"/>
    <s v="LDM"/>
    <n v="475"/>
    <x v="0"/>
    <n v="1"/>
    <n v="75.099999999999994"/>
    <n v="1.6"/>
    <n v="48"/>
    <x v="0"/>
    <n v="73.5"/>
    <n v="483.7"/>
    <m/>
    <x v="0"/>
    <x v="0"/>
    <n v="0"/>
    <n v="0"/>
    <x v="0"/>
    <x v="0"/>
    <m/>
    <x v="0"/>
    <x v="0"/>
    <x v="0"/>
    <x v="0"/>
    <x v="0"/>
    <n v="0"/>
    <n v="0"/>
    <n v="0"/>
    <n v="12"/>
    <x v="1"/>
    <x v="0"/>
    <m/>
    <x v="0"/>
    <n v="80.099999999999994"/>
    <x v="0"/>
    <x v="22"/>
    <x v="12"/>
    <x v="0"/>
    <x v="0"/>
  </r>
  <r>
    <x v="1"/>
    <x v="9"/>
    <s v="6804 J"/>
    <x v="216"/>
    <s v="Wah Nobel Private Limited"/>
    <s v="LD گولڈن پیلا"/>
    <s v="120MM"/>
    <s v="29-30"/>
    <s v="LDM"/>
    <n v="500"/>
    <x v="0"/>
    <n v="1"/>
    <n v="33.299999999999997"/>
    <n v="1.2"/>
    <m/>
    <x v="0"/>
    <n v="32.099999999999994"/>
    <n v="498.72"/>
    <m/>
    <x v="0"/>
    <x v="0"/>
    <n v="0"/>
    <n v="0"/>
    <x v="0"/>
    <x v="0"/>
    <m/>
    <x v="0"/>
    <x v="0"/>
    <x v="0"/>
    <x v="0"/>
    <x v="0"/>
    <n v="0"/>
    <n v="0"/>
    <n v="0"/>
    <n v="12"/>
    <x v="1"/>
    <x v="0"/>
    <m/>
    <x v="0"/>
    <n v="38.299999999999997"/>
    <x v="0"/>
    <x v="22"/>
    <x v="12"/>
    <x v="0"/>
    <x v="0"/>
  </r>
  <r>
    <x v="0"/>
    <x v="11"/>
    <s v="6684 J"/>
    <x v="216"/>
    <s v="Waqas Wollan Mills Gujranwala"/>
    <s v="LD بلو"/>
    <n v="15"/>
    <s v="10-10.5"/>
    <s v="LDM"/>
    <n v="400"/>
    <x v="0"/>
    <n v="2"/>
    <n v="102.8"/>
    <n v="3.8"/>
    <m/>
    <x v="0"/>
    <n v="99"/>
    <n v="399.47"/>
    <m/>
    <x v="0"/>
    <x v="0"/>
    <n v="0"/>
    <n v="0"/>
    <x v="0"/>
    <x v="0"/>
    <m/>
    <x v="0"/>
    <x v="0"/>
    <x v="0"/>
    <x v="0"/>
    <x v="0"/>
    <n v="0"/>
    <n v="0"/>
    <n v="0"/>
    <n v="12"/>
    <x v="1"/>
    <x v="0"/>
    <m/>
    <x v="0"/>
    <n v="107.8"/>
    <x v="0"/>
    <x v="22"/>
    <x v="12"/>
    <x v="0"/>
    <x v="0"/>
  </r>
  <r>
    <x v="0"/>
    <x v="11"/>
    <s v="6669 J"/>
    <x v="216"/>
    <s v="Waqas Wollan Mills Gujranwala"/>
    <s v="LD بلو"/>
    <n v="16"/>
    <s v="9.5-10"/>
    <s v="LDM"/>
    <n v="150"/>
    <x v="0"/>
    <n v="2"/>
    <n v="153.89999999999998"/>
    <n v="4"/>
    <m/>
    <x v="0"/>
    <n v="149.89999999999998"/>
    <n v="149.89999999999998"/>
    <m/>
    <x v="0"/>
    <x v="0"/>
    <n v="0"/>
    <n v="0"/>
    <x v="0"/>
    <x v="0"/>
    <m/>
    <x v="0"/>
    <x v="0"/>
    <x v="0"/>
    <x v="0"/>
    <x v="0"/>
    <n v="0"/>
    <n v="0"/>
    <n v="0"/>
    <n v="12"/>
    <x v="1"/>
    <x v="0"/>
    <m/>
    <x v="0"/>
    <n v="158.89999999999998"/>
    <x v="0"/>
    <x v="22"/>
    <x v="12"/>
    <x v="0"/>
    <x v="0"/>
  </r>
  <r>
    <x v="0"/>
    <x v="11"/>
    <s v="6668 J"/>
    <x v="216"/>
    <s v="Waqas Wollan Mills Gujranwala"/>
    <s v="LD بلو"/>
    <n v="16"/>
    <s v="9.5-10"/>
    <s v="LDM"/>
    <n v="150"/>
    <x v="0"/>
    <n v="2"/>
    <n v="153.89999999999998"/>
    <n v="3.9"/>
    <n v="10"/>
    <x v="0"/>
    <n v="149.99999999999997"/>
    <n v="149.99999999999997"/>
    <m/>
    <x v="0"/>
    <x v="0"/>
    <n v="0"/>
    <n v="0"/>
    <x v="0"/>
    <x v="0"/>
    <m/>
    <x v="0"/>
    <x v="0"/>
    <x v="0"/>
    <x v="0"/>
    <x v="0"/>
    <n v="0"/>
    <n v="0"/>
    <n v="0"/>
    <n v="12"/>
    <x v="1"/>
    <x v="0"/>
    <m/>
    <x v="0"/>
    <n v="158.89999999999998"/>
    <x v="0"/>
    <x v="22"/>
    <x v="12"/>
    <x v="0"/>
    <x v="0"/>
  </r>
  <r>
    <x v="1"/>
    <x v="11"/>
    <s v="6670 J"/>
    <x v="216"/>
    <s v="Waqas Wollan Mills Gujranwala"/>
    <s v="LD بلو"/>
    <n v="12"/>
    <s v="8-8.5"/>
    <s v="LDM"/>
    <n v="200"/>
    <x v="0"/>
    <n v="4"/>
    <n v="203.23000000000002"/>
    <n v="6"/>
    <n v="37"/>
    <x v="0"/>
    <n v="197.23000000000002"/>
    <n v="197.23000000000002"/>
    <n v="5"/>
    <x v="0"/>
    <x v="0"/>
    <n v="5"/>
    <n v="8.3333333333333329E-2"/>
    <x v="0"/>
    <x v="0"/>
    <m/>
    <x v="0"/>
    <x v="0"/>
    <x v="0"/>
    <x v="0"/>
    <x v="0"/>
    <n v="0"/>
    <n v="0"/>
    <n v="8.3333333333333329E-2"/>
    <n v="11.916666666666666"/>
    <x v="1"/>
    <x v="0"/>
    <m/>
    <x v="0"/>
    <n v="208.23000000000002"/>
    <x v="0"/>
    <x v="22"/>
    <x v="12"/>
    <x v="0"/>
    <x v="0"/>
  </r>
  <r>
    <x v="1"/>
    <x v="11"/>
    <m/>
    <x v="216"/>
    <s v="-"/>
    <m/>
    <n v="16"/>
    <s v="11-12"/>
    <m/>
    <m/>
    <x v="0"/>
    <n v="1"/>
    <n v="71.099999999999994"/>
    <n v="2.2000000000000002"/>
    <m/>
    <x v="0"/>
    <n v="68.899999999999991"/>
    <n v="0"/>
    <n v="5"/>
    <x v="0"/>
    <x v="0"/>
    <n v="5"/>
    <n v="8.3333333333333329E-2"/>
    <x v="0"/>
    <x v="0"/>
    <m/>
    <x v="0"/>
    <x v="0"/>
    <x v="0"/>
    <x v="0"/>
    <x v="0"/>
    <n v="0"/>
    <n v="0"/>
    <n v="8.3333333333333329E-2"/>
    <n v="11.916666666666666"/>
    <x v="1"/>
    <x v="0"/>
    <m/>
    <x v="0"/>
    <n v="76.099999999999994"/>
    <x v="0"/>
    <x v="22"/>
    <x v="12"/>
    <x v="0"/>
    <x v="0"/>
  </r>
  <r>
    <x v="1"/>
    <x v="11"/>
    <s v="6672 J"/>
    <x v="216"/>
    <s v="Waqas Wollan Mills Gujranwala"/>
    <s v="LD ریڈ"/>
    <n v="14"/>
    <s v="8-8.5"/>
    <s v="LDM"/>
    <n v="150"/>
    <x v="0"/>
    <n v="1"/>
    <n v="65.7"/>
    <n v="1.4"/>
    <m/>
    <x v="0"/>
    <n v="64.3"/>
    <n v="164.5"/>
    <n v="5"/>
    <x v="0"/>
    <x v="0"/>
    <n v="5"/>
    <n v="8.3333333333333329E-2"/>
    <x v="0"/>
    <x v="0"/>
    <m/>
    <x v="0"/>
    <x v="0"/>
    <x v="0"/>
    <x v="0"/>
    <x v="0"/>
    <n v="0"/>
    <n v="0"/>
    <n v="8.3333333333333329E-2"/>
    <n v="11.916666666666666"/>
    <x v="1"/>
    <x v="0"/>
    <m/>
    <x v="0"/>
    <n v="70.7"/>
    <x v="0"/>
    <x v="22"/>
    <x v="12"/>
    <x v="0"/>
    <x v="0"/>
  </r>
  <r>
    <x v="0"/>
    <x v="13"/>
    <s v="2765 F"/>
    <x v="216"/>
    <s v="Usman Amin"/>
    <s v="LDN"/>
    <n v="19"/>
    <s v="7"/>
    <s v="LDN"/>
    <n v="620"/>
    <x v="0"/>
    <n v="1"/>
    <n v="70.3"/>
    <n v="2.1"/>
    <m/>
    <x v="0"/>
    <n v="68.2"/>
    <n v="637.70000000000005"/>
    <m/>
    <x v="0"/>
    <x v="0"/>
    <n v="0"/>
    <n v="0"/>
    <x v="0"/>
    <x v="0"/>
    <m/>
    <x v="0"/>
    <x v="0"/>
    <x v="0"/>
    <x v="0"/>
    <x v="0"/>
    <n v="0"/>
    <n v="0"/>
    <n v="0"/>
    <n v="12"/>
    <x v="1"/>
    <x v="0"/>
    <m/>
    <x v="0"/>
    <n v="75.3"/>
    <x v="0"/>
    <x v="22"/>
    <x v="12"/>
    <x v="0"/>
    <x v="0"/>
  </r>
  <r>
    <x v="0"/>
    <x v="13"/>
    <s v="2848/1"/>
    <x v="216"/>
    <s v="ENGRO ZARKHEZ"/>
    <s v="LDN"/>
    <s v="24-24.5"/>
    <s v="60±1"/>
    <s v="AA"/>
    <n v="3720"/>
    <x v="0"/>
    <n v="3"/>
    <n v="337.29999999999995"/>
    <n v="11.399999999999999"/>
    <n v="7"/>
    <x v="0"/>
    <n v="325.89999999999998"/>
    <n v="3754.4"/>
    <m/>
    <x v="0"/>
    <x v="0"/>
    <n v="0"/>
    <n v="0"/>
    <x v="0"/>
    <x v="0"/>
    <m/>
    <x v="0"/>
    <x v="0"/>
    <x v="0"/>
    <x v="0"/>
    <x v="0"/>
    <n v="0"/>
    <n v="0"/>
    <n v="0"/>
    <n v="12"/>
    <x v="1"/>
    <x v="0"/>
    <m/>
    <x v="0"/>
    <n v="342.29999999999995"/>
    <x v="0"/>
    <x v="22"/>
    <x v="12"/>
    <x v="0"/>
    <x v="0"/>
  </r>
  <r>
    <x v="1"/>
    <x v="13"/>
    <s v="2848/1"/>
    <x v="216"/>
    <s v="ENGRO ZARKHEZ"/>
    <s v="LDN"/>
    <s v="24-24.5"/>
    <s v="60±1"/>
    <s v="AA"/>
    <n v="3720"/>
    <x v="0"/>
    <n v="4"/>
    <n v="448.59999999999997"/>
    <n v="19"/>
    <n v="9"/>
    <x v="0"/>
    <n v="429.59999999999997"/>
    <n v="3754.4"/>
    <m/>
    <x v="0"/>
    <x v="0"/>
    <n v="0"/>
    <n v="0"/>
    <x v="0"/>
    <x v="0"/>
    <m/>
    <x v="0"/>
    <x v="0"/>
    <x v="0"/>
    <x v="0"/>
    <x v="0"/>
    <n v="0"/>
    <n v="0"/>
    <n v="0"/>
    <n v="12"/>
    <x v="1"/>
    <x v="0"/>
    <m/>
    <x v="0"/>
    <n v="453.59999999999997"/>
    <x v="0"/>
    <x v="22"/>
    <x v="12"/>
    <x v="0"/>
    <x v="0"/>
  </r>
  <r>
    <x v="0"/>
    <x v="14"/>
    <s v="6803 J"/>
    <x v="216"/>
    <s v="Bukhtyar Febrics Azam Market Lahore"/>
    <s v="LDN"/>
    <n v="36"/>
    <s v="9-9.5"/>
    <s v="LDN"/>
    <n v="425"/>
    <x v="0"/>
    <n v="3"/>
    <n v="283.51"/>
    <n v="13.200000000000001"/>
    <m/>
    <x v="0"/>
    <n v="270.31"/>
    <n v="437.01"/>
    <m/>
    <x v="0"/>
    <x v="0"/>
    <n v="0"/>
    <n v="0"/>
    <x v="0"/>
    <x v="0"/>
    <m/>
    <x v="0"/>
    <x v="0"/>
    <x v="0"/>
    <x v="0"/>
    <x v="0"/>
    <n v="0"/>
    <n v="0"/>
    <n v="0"/>
    <n v="12"/>
    <x v="1"/>
    <x v="0"/>
    <m/>
    <x v="0"/>
    <n v="288.51"/>
    <x v="0"/>
    <x v="22"/>
    <x v="12"/>
    <x v="0"/>
    <x v="0"/>
  </r>
  <r>
    <x v="0"/>
    <x v="14"/>
    <s v="2767 F"/>
    <x v="216"/>
    <s v="Usman Amin"/>
    <s v="LDN"/>
    <n v="30"/>
    <s v="7"/>
    <s v="LDN"/>
    <n v="130"/>
    <x v="0"/>
    <n v="2"/>
    <n v="135.16000000000003"/>
    <n v="7.6"/>
    <m/>
    <x v="0"/>
    <n v="127.56000000000003"/>
    <n v="127.56000000000003"/>
    <m/>
    <x v="0"/>
    <x v="0"/>
    <n v="0"/>
    <n v="0"/>
    <x v="0"/>
    <x v="0"/>
    <m/>
    <x v="0"/>
    <x v="0"/>
    <x v="0"/>
    <x v="0"/>
    <x v="0"/>
    <n v="0"/>
    <n v="0"/>
    <n v="0"/>
    <n v="12"/>
    <x v="1"/>
    <x v="0"/>
    <m/>
    <x v="0"/>
    <n v="140.16000000000003"/>
    <x v="0"/>
    <x v="22"/>
    <x v="12"/>
    <x v="0"/>
    <x v="0"/>
  </r>
  <r>
    <x v="0"/>
    <x v="14"/>
    <s v="2764 F"/>
    <x v="216"/>
    <s v="Usman Amin"/>
    <s v="LDN"/>
    <n v="30"/>
    <s v="7"/>
    <s v="LDN"/>
    <n v="100"/>
    <x v="0"/>
    <n v="2"/>
    <n v="113.53999999999999"/>
    <n v="7.6"/>
    <n v="20"/>
    <x v="0"/>
    <n v="105.94"/>
    <n v="105.94"/>
    <m/>
    <x v="0"/>
    <x v="0"/>
    <n v="0"/>
    <n v="0"/>
    <x v="0"/>
    <x v="0"/>
    <m/>
    <x v="0"/>
    <x v="0"/>
    <x v="0"/>
    <x v="1"/>
    <x v="0"/>
    <n v="40"/>
    <n v="0.66666666666666663"/>
    <n v="0.66666666666666663"/>
    <n v="11.333333333333334"/>
    <x v="1"/>
    <x v="0"/>
    <m/>
    <x v="0"/>
    <n v="118.53999999999999"/>
    <x v="0"/>
    <x v="22"/>
    <x v="12"/>
    <x v="0"/>
    <x v="0"/>
  </r>
  <r>
    <x v="1"/>
    <x v="14"/>
    <s v="2848/1"/>
    <x v="216"/>
    <s v="ENGRO ZARKHEZ"/>
    <s v="LDN"/>
    <s v="24-24.5"/>
    <s v="60±1"/>
    <s v="AA"/>
    <n v="3720"/>
    <x v="0"/>
    <n v="2"/>
    <n v="228.10000000000002"/>
    <n v="5.6"/>
    <n v="12"/>
    <x v="0"/>
    <n v="222.50000000000003"/>
    <n v="3754.4"/>
    <n v="2"/>
    <x v="16"/>
    <x v="0"/>
    <n v="17"/>
    <n v="0.28333333333333333"/>
    <x v="0"/>
    <x v="0"/>
    <m/>
    <x v="0"/>
    <x v="0"/>
    <x v="0"/>
    <x v="0"/>
    <x v="0"/>
    <n v="0"/>
    <n v="0"/>
    <n v="0.28333333333333333"/>
    <n v="11.716666666666667"/>
    <x v="1"/>
    <x v="0"/>
    <m/>
    <x v="0"/>
    <n v="233.10000000000002"/>
    <x v="0"/>
    <x v="22"/>
    <x v="12"/>
    <x v="0"/>
    <x v="0"/>
  </r>
  <r>
    <x v="1"/>
    <x v="14"/>
    <s v="2744 F"/>
    <x v="216"/>
    <s v="Usman Amin"/>
    <s v="LDN"/>
    <n v="28"/>
    <n v="9"/>
    <s v="LDN"/>
    <n v="60"/>
    <x v="0"/>
    <n v="1"/>
    <n v="78.8"/>
    <n v="3.4"/>
    <m/>
    <x v="0"/>
    <n v="75.399999999999991"/>
    <n v="75.399999999999991"/>
    <n v="3"/>
    <x v="0"/>
    <x v="0"/>
    <n v="3"/>
    <n v="0.05"/>
    <x v="0"/>
    <x v="0"/>
    <m/>
    <x v="0"/>
    <x v="0"/>
    <x v="0"/>
    <x v="0"/>
    <x v="0"/>
    <n v="0"/>
    <n v="0"/>
    <n v="0.05"/>
    <n v="11.95"/>
    <x v="1"/>
    <x v="0"/>
    <m/>
    <x v="0"/>
    <n v="83.8"/>
    <x v="0"/>
    <x v="22"/>
    <x v="12"/>
    <x v="0"/>
    <x v="0"/>
  </r>
  <r>
    <x v="1"/>
    <x v="14"/>
    <s v="2763 F"/>
    <x v="216"/>
    <s v="Usman Amin"/>
    <s v="LDN"/>
    <n v="26"/>
    <s v="7"/>
    <s v="LDN"/>
    <n v="125"/>
    <x v="0"/>
    <n v="3"/>
    <n v="210.5"/>
    <n v="9.6000000000000014"/>
    <m/>
    <x v="0"/>
    <n v="200.9"/>
    <n v="200.9"/>
    <n v="5"/>
    <x v="0"/>
    <x v="0"/>
    <n v="5"/>
    <n v="8.3333333333333329E-2"/>
    <x v="0"/>
    <x v="0"/>
    <m/>
    <x v="0"/>
    <x v="0"/>
    <x v="0"/>
    <x v="0"/>
    <x v="0"/>
    <n v="0"/>
    <n v="0"/>
    <n v="8.3333333333333329E-2"/>
    <n v="11.916666666666666"/>
    <x v="1"/>
    <x v="0"/>
    <m/>
    <x v="0"/>
    <n v="215.5"/>
    <x v="0"/>
    <x v="22"/>
    <x v="12"/>
    <x v="0"/>
    <x v="0"/>
  </r>
  <r>
    <x v="0"/>
    <x v="15"/>
    <s v="6783 J"/>
    <x v="216"/>
    <s v="Ibraheem Filter Industry (SMC.PVT.LTD)"/>
    <s v="LDN"/>
    <n v="16"/>
    <n v="8"/>
    <s v="LDN"/>
    <n v="810"/>
    <x v="0"/>
    <n v="4"/>
    <n v="202.76"/>
    <n v="8"/>
    <m/>
    <x v="0"/>
    <n v="194.76"/>
    <n v="882.30000000000018"/>
    <m/>
    <x v="0"/>
    <x v="0"/>
    <n v="0"/>
    <n v="0"/>
    <x v="0"/>
    <x v="0"/>
    <m/>
    <x v="0"/>
    <x v="0"/>
    <x v="0"/>
    <x v="0"/>
    <x v="0"/>
    <n v="0"/>
    <n v="0"/>
    <n v="0"/>
    <n v="12"/>
    <x v="1"/>
    <x v="0"/>
    <m/>
    <x v="0"/>
    <n v="207.76"/>
    <x v="0"/>
    <x v="22"/>
    <x v="12"/>
    <x v="0"/>
    <x v="0"/>
  </r>
  <r>
    <x v="0"/>
    <x v="15"/>
    <s v="6665 J"/>
    <x v="216"/>
    <s v="Waqas Wollan Mills Gujranwala"/>
    <s v="LDN"/>
    <n v="15"/>
    <s v="10-10.5"/>
    <s v="LDN"/>
    <n v="100"/>
    <x v="0"/>
    <n v="2"/>
    <n v="93.8"/>
    <n v="3.6"/>
    <m/>
    <x v="0"/>
    <n v="90.2"/>
    <n v="90.2"/>
    <m/>
    <x v="0"/>
    <x v="0"/>
    <n v="0"/>
    <n v="0"/>
    <x v="0"/>
    <x v="0"/>
    <m/>
    <x v="0"/>
    <x v="0"/>
    <x v="0"/>
    <x v="0"/>
    <x v="0"/>
    <n v="0"/>
    <n v="0"/>
    <n v="0"/>
    <n v="12"/>
    <x v="1"/>
    <x v="0"/>
    <m/>
    <x v="0"/>
    <n v="98.8"/>
    <x v="0"/>
    <x v="22"/>
    <x v="12"/>
    <x v="0"/>
    <x v="0"/>
  </r>
  <r>
    <x v="0"/>
    <x v="15"/>
    <s v="6680 J"/>
    <x v="216"/>
    <s v="Javed Enterprises Gujranwala"/>
    <s v="LDN"/>
    <n v="14"/>
    <s v="20-21"/>
    <s v="LDN"/>
    <n v="300"/>
    <x v="0"/>
    <n v="2"/>
    <n v="120.78"/>
    <n v="3.4"/>
    <n v="6"/>
    <x v="0"/>
    <n v="117.38"/>
    <n v="291.11"/>
    <m/>
    <x v="0"/>
    <x v="0"/>
    <n v="0"/>
    <n v="0"/>
    <x v="0"/>
    <x v="0"/>
    <m/>
    <x v="0"/>
    <x v="0"/>
    <x v="0"/>
    <x v="0"/>
    <x v="0"/>
    <n v="0"/>
    <n v="0"/>
    <n v="0"/>
    <n v="12"/>
    <x v="1"/>
    <x v="0"/>
    <m/>
    <x v="0"/>
    <n v="125.78"/>
    <x v="0"/>
    <x v="22"/>
    <x v="12"/>
    <x v="0"/>
    <x v="0"/>
  </r>
  <r>
    <x v="1"/>
    <x v="15"/>
    <s v="6680 J"/>
    <x v="216"/>
    <s v="Javed Enterprises Gujranwala"/>
    <s v="LDN"/>
    <n v="14"/>
    <s v="20-21"/>
    <s v="LDN"/>
    <n v="300"/>
    <x v="0"/>
    <n v="3"/>
    <n v="179.13"/>
    <n v="5.4"/>
    <n v="6"/>
    <x v="0"/>
    <n v="173.73"/>
    <n v="291.11"/>
    <m/>
    <x v="0"/>
    <x v="0"/>
    <n v="0"/>
    <n v="0"/>
    <x v="0"/>
    <x v="0"/>
    <m/>
    <x v="0"/>
    <x v="0"/>
    <x v="0"/>
    <x v="0"/>
    <x v="0"/>
    <n v="0"/>
    <n v="0"/>
    <n v="0"/>
    <n v="12"/>
    <x v="1"/>
    <x v="0"/>
    <m/>
    <x v="0"/>
    <n v="184.13"/>
    <x v="0"/>
    <x v="22"/>
    <x v="12"/>
    <x v="0"/>
    <x v="0"/>
  </r>
  <r>
    <x v="1"/>
    <x v="15"/>
    <s v="6681 J"/>
    <x v="216"/>
    <s v="Javed Enterprises Gujranwala"/>
    <s v="LDN"/>
    <n v="14"/>
    <s v="20-21"/>
    <s v="LDN"/>
    <n v="400"/>
    <x v="0"/>
    <n v="3"/>
    <n v="189.03"/>
    <n v="5.4"/>
    <m/>
    <x v="0"/>
    <n v="183.63"/>
    <n v="405.22"/>
    <m/>
    <x v="0"/>
    <x v="0"/>
    <n v="0"/>
    <n v="0"/>
    <x v="0"/>
    <x v="0"/>
    <m/>
    <x v="0"/>
    <x v="0"/>
    <x v="0"/>
    <x v="0"/>
    <x v="0"/>
    <n v="0"/>
    <n v="0"/>
    <n v="0"/>
    <n v="12"/>
    <x v="1"/>
    <x v="0"/>
    <m/>
    <x v="0"/>
    <n v="194.03"/>
    <x v="0"/>
    <x v="22"/>
    <x v="12"/>
    <x v="0"/>
    <x v="0"/>
  </r>
  <r>
    <x v="0"/>
    <x v="8"/>
    <s v="2755 F"/>
    <x v="217"/>
    <s v="Usman Amin"/>
    <s v="LDN"/>
    <n v="13"/>
    <s v="9"/>
    <s v="LDN"/>
    <n v="200"/>
    <x v="0"/>
    <n v="2"/>
    <n v="93.7"/>
    <n v="3"/>
    <m/>
    <x v="0"/>
    <n v="90.7"/>
    <n v="207.65"/>
    <n v="5"/>
    <x v="0"/>
    <x v="0"/>
    <n v="5"/>
    <n v="8.3333333333333329E-2"/>
    <x v="0"/>
    <x v="0"/>
    <m/>
    <x v="0"/>
    <x v="0"/>
    <x v="0"/>
    <x v="0"/>
    <x v="0"/>
    <n v="0"/>
    <n v="0"/>
    <n v="8.3333333333333329E-2"/>
    <n v="11.916666666666666"/>
    <x v="1"/>
    <x v="0"/>
    <m/>
    <x v="0"/>
    <n v="98.7"/>
    <x v="0"/>
    <x v="22"/>
    <x v="12"/>
    <x v="0"/>
    <x v="0"/>
  </r>
  <r>
    <x v="0"/>
    <x v="8"/>
    <s v="6858 J"/>
    <x v="217"/>
    <s v="Prime Aluminium Sundar "/>
    <s v="LDN"/>
    <n v="7"/>
    <n v="10"/>
    <s v="LDN"/>
    <n v="400"/>
    <x v="0"/>
    <n v="2"/>
    <n v="95.199999999999989"/>
    <n v="1.8"/>
    <n v="2"/>
    <x v="0"/>
    <n v="93.399999999999991"/>
    <n v="369.85"/>
    <m/>
    <x v="0"/>
    <x v="0"/>
    <n v="0"/>
    <n v="0"/>
    <x v="0"/>
    <x v="0"/>
    <m/>
    <x v="0"/>
    <x v="0"/>
    <x v="0"/>
    <x v="0"/>
    <x v="0"/>
    <n v="0"/>
    <n v="0"/>
    <n v="0"/>
    <n v="12"/>
    <x v="1"/>
    <x v="0"/>
    <m/>
    <x v="0"/>
    <n v="100.19999999999999"/>
    <x v="0"/>
    <x v="22"/>
    <x v="12"/>
    <x v="0"/>
    <x v="0"/>
  </r>
  <r>
    <x v="1"/>
    <x v="8"/>
    <s v="6858 J"/>
    <x v="217"/>
    <s v="Prime Aluminium Sundar "/>
    <s v="LDN"/>
    <n v="7"/>
    <n v="10"/>
    <s v="LDN"/>
    <n v="400"/>
    <x v="0"/>
    <n v="3"/>
    <n v="146"/>
    <n v="2.7"/>
    <m/>
    <x v="0"/>
    <n v="143.30000000000001"/>
    <n v="369.85"/>
    <m/>
    <x v="0"/>
    <x v="0"/>
    <n v="0"/>
    <n v="0"/>
    <x v="0"/>
    <x v="0"/>
    <m/>
    <x v="0"/>
    <x v="0"/>
    <x v="0"/>
    <x v="0"/>
    <x v="0"/>
    <n v="0"/>
    <n v="0"/>
    <n v="0"/>
    <n v="12"/>
    <x v="1"/>
    <x v="0"/>
    <m/>
    <x v="0"/>
    <n v="151"/>
    <x v="0"/>
    <x v="22"/>
    <x v="12"/>
    <x v="0"/>
    <x v="0"/>
  </r>
  <r>
    <x v="0"/>
    <x v="9"/>
    <s v="6828 J"/>
    <x v="217"/>
    <s v="Ibrar Zafar Narowal"/>
    <s v="LDN"/>
    <n v="6"/>
    <s v="12-12.5"/>
    <s v="LDN"/>
    <n v="100"/>
    <x v="0"/>
    <n v="2"/>
    <n v="91.8"/>
    <n v="1.6"/>
    <m/>
    <x v="0"/>
    <n v="90.2"/>
    <n v="90.2"/>
    <m/>
    <x v="0"/>
    <x v="0"/>
    <n v="0"/>
    <n v="0"/>
    <x v="0"/>
    <x v="0"/>
    <m/>
    <x v="0"/>
    <x v="0"/>
    <x v="0"/>
    <x v="0"/>
    <x v="0"/>
    <n v="0"/>
    <n v="0"/>
    <n v="0"/>
    <n v="12"/>
    <x v="1"/>
    <x v="0"/>
    <m/>
    <x v="0"/>
    <n v="96.8"/>
    <x v="0"/>
    <x v="22"/>
    <x v="12"/>
    <x v="0"/>
    <x v="0"/>
  </r>
  <r>
    <x v="0"/>
    <x v="9"/>
    <s v="6857 J"/>
    <x v="217"/>
    <s v="Prime Aluminium Sundar "/>
    <s v="LDN"/>
    <n v="6"/>
    <n v="10"/>
    <s v="LDN"/>
    <n v="300"/>
    <x v="0"/>
    <n v="1"/>
    <n v="48.2"/>
    <n v="0.8"/>
    <m/>
    <x v="0"/>
    <n v="47.400000000000006"/>
    <n v="329.64"/>
    <m/>
    <x v="0"/>
    <x v="0"/>
    <n v="0"/>
    <n v="0"/>
    <x v="0"/>
    <x v="0"/>
    <m/>
    <x v="0"/>
    <x v="0"/>
    <x v="0"/>
    <x v="0"/>
    <x v="0"/>
    <n v="0"/>
    <n v="0"/>
    <n v="0"/>
    <n v="12"/>
    <x v="1"/>
    <x v="0"/>
    <m/>
    <x v="0"/>
    <n v="53.2"/>
    <x v="0"/>
    <x v="22"/>
    <x v="12"/>
    <x v="0"/>
    <x v="0"/>
  </r>
  <r>
    <x v="1"/>
    <x v="9"/>
    <s v="6857 J"/>
    <x v="217"/>
    <s v="Prime Aluminium Sundar "/>
    <s v="LDN"/>
    <n v="6"/>
    <n v="10"/>
    <s v="LDN"/>
    <n v="300"/>
    <x v="0"/>
    <n v="3"/>
    <n v="133.80000000000001"/>
    <n v="2.4000000000000004"/>
    <m/>
    <x v="0"/>
    <n v="131.4"/>
    <n v="329.64"/>
    <m/>
    <x v="0"/>
    <x v="0"/>
    <n v="0"/>
    <n v="0"/>
    <x v="0"/>
    <x v="0"/>
    <m/>
    <x v="0"/>
    <x v="0"/>
    <x v="0"/>
    <x v="0"/>
    <x v="0"/>
    <n v="0"/>
    <n v="0"/>
    <n v="0"/>
    <n v="12"/>
    <x v="1"/>
    <x v="0"/>
    <m/>
    <x v="0"/>
    <n v="138.80000000000001"/>
    <x v="0"/>
    <x v="22"/>
    <x v="12"/>
    <x v="0"/>
    <x v="0"/>
  </r>
  <r>
    <x v="0"/>
    <x v="11"/>
    <s v="6672 J"/>
    <x v="217"/>
    <s v="Waqas Wollan Mills Gujranwala"/>
    <s v="LD ریڈ"/>
    <n v="14"/>
    <s v="8-8.5"/>
    <s v="LDM"/>
    <n v="150"/>
    <x v="0"/>
    <n v="1"/>
    <n v="102"/>
    <n v="1.8"/>
    <m/>
    <x v="0"/>
    <n v="100.2"/>
    <n v="164.5"/>
    <n v="3"/>
    <x v="0"/>
    <x v="18"/>
    <n v="403"/>
    <n v="6.7166666666666668"/>
    <x v="0"/>
    <x v="0"/>
    <m/>
    <x v="0"/>
    <x v="0"/>
    <x v="0"/>
    <x v="0"/>
    <x v="0"/>
    <n v="0"/>
    <n v="0"/>
    <n v="6.7166666666666668"/>
    <n v="5.2833333333333332"/>
    <x v="1"/>
    <x v="0"/>
    <m/>
    <x v="0"/>
    <n v="107"/>
    <x v="0"/>
    <x v="22"/>
    <x v="12"/>
    <x v="0"/>
    <x v="0"/>
  </r>
  <r>
    <x v="0"/>
    <x v="11"/>
    <s v="6671 J"/>
    <x v="217"/>
    <s v="Waqas Wollan Mills Gujranwala"/>
    <s v="LD ریڈ"/>
    <n v="11"/>
    <s v="8-8.5"/>
    <s v="LDM"/>
    <n v="250"/>
    <x v="0"/>
    <n v="5"/>
    <n v="258.8"/>
    <n v="6.5"/>
    <n v="33"/>
    <x v="0"/>
    <n v="252.3"/>
    <n v="252.3"/>
    <n v="2"/>
    <x v="0"/>
    <x v="0"/>
    <n v="2"/>
    <n v="3.3333333333333333E-2"/>
    <x v="0"/>
    <x v="0"/>
    <m/>
    <x v="0"/>
    <x v="0"/>
    <x v="0"/>
    <x v="0"/>
    <x v="0"/>
    <n v="0"/>
    <n v="0"/>
    <n v="3.3333333333333333E-2"/>
    <n v="11.966666666666667"/>
    <x v="1"/>
    <x v="0"/>
    <m/>
    <x v="0"/>
    <n v="263.8"/>
    <x v="0"/>
    <x v="22"/>
    <x v="12"/>
    <x v="0"/>
    <x v="0"/>
  </r>
  <r>
    <x v="1"/>
    <x v="11"/>
    <s v="6673 J"/>
    <x v="217"/>
    <s v="Waqas Wollan Mills Gujranwala"/>
    <s v="LD اورنج"/>
    <n v="10"/>
    <s v="7.5-8"/>
    <s v="LDM"/>
    <n v="100"/>
    <x v="0"/>
    <n v="2"/>
    <n v="107.80000000000001"/>
    <n v="2.5"/>
    <n v="53"/>
    <x v="0"/>
    <n v="105.30000000000001"/>
    <n v="105.30000000000001"/>
    <n v="4"/>
    <x v="0"/>
    <x v="0"/>
    <n v="4"/>
    <n v="6.6666666666666666E-2"/>
    <x v="0"/>
    <x v="0"/>
    <m/>
    <x v="0"/>
    <x v="0"/>
    <x v="0"/>
    <x v="0"/>
    <x v="0"/>
    <n v="0"/>
    <n v="0"/>
    <n v="6.6666666666666666E-2"/>
    <n v="11.933333333333334"/>
    <x v="1"/>
    <x v="0"/>
    <m/>
    <x v="0"/>
    <n v="112.80000000000001"/>
    <x v="0"/>
    <x v="22"/>
    <x v="12"/>
    <x v="0"/>
    <x v="0"/>
  </r>
  <r>
    <x v="1"/>
    <x v="11"/>
    <s v="6848 J"/>
    <x v="217"/>
    <s v="Shoab Auto Rawalpindi"/>
    <s v="LD کریم"/>
    <s v="8+2.5+2.5"/>
    <s v="7.5-8/15-16"/>
    <s v="LDN"/>
    <n v="110"/>
    <x v="0"/>
    <n v="3"/>
    <n v="103"/>
    <n v="3"/>
    <m/>
    <x v="0"/>
    <n v="100"/>
    <n v="100"/>
    <n v="3"/>
    <x v="0"/>
    <x v="0"/>
    <n v="3"/>
    <n v="0.05"/>
    <x v="0"/>
    <x v="0"/>
    <m/>
    <x v="0"/>
    <x v="0"/>
    <x v="0"/>
    <x v="0"/>
    <x v="0"/>
    <n v="0"/>
    <n v="0"/>
    <n v="0.05"/>
    <n v="11.95"/>
    <x v="1"/>
    <x v="0"/>
    <m/>
    <x v="0"/>
    <n v="108"/>
    <x v="0"/>
    <x v="22"/>
    <x v="12"/>
    <x v="0"/>
    <x v="0"/>
  </r>
  <r>
    <x v="1"/>
    <x v="11"/>
    <s v="6849 J"/>
    <x v="217"/>
    <s v="Shoab Auto Rawalpindi"/>
    <s v="LD کریم"/>
    <s v="12+3+3"/>
    <s v="7.5-8/15-16"/>
    <s v="LDN"/>
    <n v="110"/>
    <x v="0"/>
    <n v="4"/>
    <n v="130.19999999999999"/>
    <n v="6"/>
    <m/>
    <x v="0"/>
    <n v="124.19999999999999"/>
    <n v="124.19999999999999"/>
    <m/>
    <x v="0"/>
    <x v="0"/>
    <n v="0"/>
    <n v="0"/>
    <x v="0"/>
    <x v="0"/>
    <m/>
    <x v="0"/>
    <x v="0"/>
    <x v="0"/>
    <x v="0"/>
    <x v="0"/>
    <n v="0"/>
    <n v="0"/>
    <n v="0"/>
    <n v="12"/>
    <x v="1"/>
    <x v="0"/>
    <m/>
    <x v="0"/>
    <n v="135.19999999999999"/>
    <x v="0"/>
    <x v="22"/>
    <x v="12"/>
    <x v="0"/>
    <x v="0"/>
  </r>
  <r>
    <x v="0"/>
    <x v="13"/>
    <s v="2848/1"/>
    <x v="217"/>
    <s v="ENGRO ZARKHEZ"/>
    <s v="LDN"/>
    <s v="24-24.5"/>
    <s v="60±1"/>
    <s v="AA"/>
    <n v="3720"/>
    <x v="0"/>
    <n v="4"/>
    <n v="477.79999999999995"/>
    <n v="15.2"/>
    <n v="5"/>
    <x v="0"/>
    <n v="462.59999999999997"/>
    <n v="3754.4"/>
    <m/>
    <x v="0"/>
    <x v="0"/>
    <n v="0"/>
    <n v="0"/>
    <x v="0"/>
    <x v="0"/>
    <m/>
    <x v="0"/>
    <x v="0"/>
    <x v="0"/>
    <x v="0"/>
    <x v="0"/>
    <n v="0"/>
    <n v="0"/>
    <n v="0"/>
    <n v="12"/>
    <x v="1"/>
    <x v="0"/>
    <m/>
    <x v="0"/>
    <n v="482.79999999999995"/>
    <x v="0"/>
    <x v="22"/>
    <x v="12"/>
    <x v="0"/>
    <x v="0"/>
  </r>
  <r>
    <x v="1"/>
    <x v="13"/>
    <s v="2848/1"/>
    <x v="217"/>
    <s v="ENGRO ZARKHEZ"/>
    <s v="LDN"/>
    <s v="24-24.5"/>
    <s v="60±1"/>
    <s v="AA"/>
    <n v="3720"/>
    <x v="0"/>
    <n v="4"/>
    <n v="471.15"/>
    <n v="15.2"/>
    <n v="3"/>
    <x v="0"/>
    <n v="455.95"/>
    <n v="3754.4"/>
    <m/>
    <x v="0"/>
    <x v="0"/>
    <n v="0"/>
    <n v="0"/>
    <x v="0"/>
    <x v="0"/>
    <m/>
    <x v="0"/>
    <x v="0"/>
    <x v="0"/>
    <x v="0"/>
    <x v="0"/>
    <n v="0"/>
    <n v="0"/>
    <n v="0"/>
    <n v="12"/>
    <x v="1"/>
    <x v="0"/>
    <m/>
    <x v="0"/>
    <n v="476.15"/>
    <x v="0"/>
    <x v="22"/>
    <x v="12"/>
    <x v="0"/>
    <x v="0"/>
  </r>
  <r>
    <x v="0"/>
    <x v="14"/>
    <s v="2748 F"/>
    <x v="217"/>
    <s v="Usman Amin"/>
    <s v="LDN"/>
    <n v="26"/>
    <s v="12"/>
    <s v="LDN"/>
    <n v="60"/>
    <x v="0"/>
    <n v="1"/>
    <n v="70.28"/>
    <n v="3.2"/>
    <m/>
    <x v="0"/>
    <n v="67.08"/>
    <n v="67.08"/>
    <m/>
    <x v="0"/>
    <x v="0"/>
    <n v="0"/>
    <n v="0"/>
    <x v="0"/>
    <x v="0"/>
    <m/>
    <x v="0"/>
    <x v="0"/>
    <x v="0"/>
    <x v="0"/>
    <x v="0"/>
    <n v="0"/>
    <n v="0"/>
    <n v="0"/>
    <n v="12"/>
    <x v="1"/>
    <x v="0"/>
    <m/>
    <x v="0"/>
    <n v="75.28"/>
    <x v="0"/>
    <x v="22"/>
    <x v="12"/>
    <x v="0"/>
    <x v="0"/>
  </r>
  <r>
    <x v="0"/>
    <x v="14"/>
    <s v="6814 J"/>
    <x v="217"/>
    <s v="IHSAN Cotton Products Pvt. LTD"/>
    <s v="LDN"/>
    <n v="23"/>
    <n v="6"/>
    <s v="LDN"/>
    <n v="200"/>
    <x v="0"/>
    <n v="4"/>
    <n v="210.64000000000001"/>
    <n v="9.6"/>
    <m/>
    <x v="0"/>
    <n v="201.04000000000002"/>
    <n v="201.04000000000002"/>
    <m/>
    <x v="0"/>
    <x v="0"/>
    <n v="0"/>
    <n v="0"/>
    <x v="0"/>
    <x v="0"/>
    <m/>
    <x v="0"/>
    <x v="0"/>
    <x v="0"/>
    <x v="0"/>
    <x v="0"/>
    <n v="0"/>
    <n v="0"/>
    <n v="0"/>
    <n v="12"/>
    <x v="1"/>
    <x v="0"/>
    <m/>
    <x v="0"/>
    <n v="215.64000000000001"/>
    <x v="0"/>
    <x v="22"/>
    <x v="12"/>
    <x v="0"/>
    <x v="0"/>
  </r>
  <r>
    <x v="0"/>
    <x v="14"/>
    <s v="6873 J"/>
    <x v="217"/>
    <s v="Jilani Poly Stock"/>
    <s v="LDN"/>
    <s v="26&quot; شیٹ"/>
    <s v="8-8.5/16-17"/>
    <s v="LDN"/>
    <n v="500"/>
    <x v="0"/>
    <n v="2"/>
    <n v="201.75"/>
    <n v="5.8"/>
    <m/>
    <x v="0"/>
    <n v="195.95"/>
    <n v="1770.05"/>
    <n v="3"/>
    <x v="0"/>
    <x v="0"/>
    <n v="3"/>
    <n v="0.05"/>
    <x v="0"/>
    <x v="0"/>
    <m/>
    <x v="0"/>
    <x v="0"/>
    <x v="0"/>
    <x v="0"/>
    <x v="0"/>
    <n v="0"/>
    <n v="0"/>
    <n v="0.05"/>
    <n v="11.95"/>
    <x v="1"/>
    <x v="0"/>
    <m/>
    <x v="0"/>
    <n v="206.75"/>
    <x v="0"/>
    <x v="22"/>
    <x v="12"/>
    <x v="0"/>
    <x v="0"/>
  </r>
  <r>
    <x v="0"/>
    <x v="14"/>
    <s v="6813 J"/>
    <x v="217"/>
    <s v="IHSAN Cotton Products Pvt. LTD"/>
    <s v="LDN"/>
    <n v="21"/>
    <n v="6"/>
    <s v="LDN"/>
    <n v="150"/>
    <x v="0"/>
    <n v="2"/>
    <n v="159.94999999999999"/>
    <n v="4.8"/>
    <n v="9"/>
    <x v="0"/>
    <n v="155.14999999999998"/>
    <n v="155.14999999999998"/>
    <n v="2"/>
    <x v="0"/>
    <x v="0"/>
    <n v="2"/>
    <n v="3.3333333333333333E-2"/>
    <x v="0"/>
    <x v="0"/>
    <m/>
    <x v="0"/>
    <x v="0"/>
    <x v="0"/>
    <x v="0"/>
    <x v="0"/>
    <n v="0"/>
    <n v="0"/>
    <n v="3.3333333333333333E-2"/>
    <n v="11.966666666666667"/>
    <x v="1"/>
    <x v="0"/>
    <m/>
    <x v="0"/>
    <n v="164.95"/>
    <x v="0"/>
    <x v="22"/>
    <x v="12"/>
    <x v="0"/>
    <x v="0"/>
  </r>
  <r>
    <x v="1"/>
    <x v="14"/>
    <s v="6873 J"/>
    <x v="217"/>
    <s v="Jilani Poly Stock"/>
    <s v="LDN"/>
    <s v="26&quot; شیٹ"/>
    <s v="8-8.5/16-17"/>
    <s v="LDN"/>
    <n v="500"/>
    <x v="0"/>
    <n v="6"/>
    <n v="713.6"/>
    <n v="19.200000000000003"/>
    <n v="11"/>
    <x v="0"/>
    <n v="694.4"/>
    <n v="1770.05"/>
    <m/>
    <x v="0"/>
    <x v="17"/>
    <n v="300"/>
    <n v="5"/>
    <x v="0"/>
    <x v="0"/>
    <m/>
    <x v="0"/>
    <x v="0"/>
    <x v="0"/>
    <x v="0"/>
    <x v="0"/>
    <n v="0"/>
    <n v="0"/>
    <n v="5"/>
    <n v="7"/>
    <x v="1"/>
    <x v="0"/>
    <m/>
    <x v="0"/>
    <n v="718.6"/>
    <x v="0"/>
    <x v="22"/>
    <x v="12"/>
    <x v="0"/>
    <x v="0"/>
  </r>
  <r>
    <x v="0"/>
    <x v="15"/>
    <s v="6681 J"/>
    <x v="217"/>
    <s v="Javed Enterprises Gujranwala"/>
    <s v="LDN"/>
    <n v="14"/>
    <s v="20-21"/>
    <s v="LDN"/>
    <n v="400"/>
    <x v="0"/>
    <n v="4"/>
    <n v="228.79000000000002"/>
    <n v="7.2"/>
    <m/>
    <x v="0"/>
    <n v="221.59000000000003"/>
    <n v="405.22"/>
    <m/>
    <x v="0"/>
    <x v="0"/>
    <n v="0"/>
    <n v="0"/>
    <x v="0"/>
    <x v="0"/>
    <m/>
    <x v="0"/>
    <x v="0"/>
    <x v="0"/>
    <x v="0"/>
    <x v="0"/>
    <n v="0"/>
    <n v="0"/>
    <n v="0"/>
    <n v="12"/>
    <x v="1"/>
    <x v="0"/>
    <m/>
    <x v="0"/>
    <n v="233.79000000000002"/>
    <x v="0"/>
    <x v="22"/>
    <x v="12"/>
    <x v="0"/>
    <x v="0"/>
  </r>
  <r>
    <x v="0"/>
    <x v="15"/>
    <s v="6825 J"/>
    <x v="217"/>
    <s v="A.B Hole Sales Rawalkot Azad Kashmir"/>
    <s v="LDN"/>
    <n v="18"/>
    <s v="13-14"/>
    <s v="LDN"/>
    <n v="150"/>
    <x v="0"/>
    <n v="3"/>
    <n v="162.93"/>
    <n v="6.3000000000000007"/>
    <n v="5"/>
    <x v="0"/>
    <n v="156.63"/>
    <n v="156.63"/>
    <n v="2"/>
    <x v="0"/>
    <x v="0"/>
    <n v="2"/>
    <n v="3.3333333333333333E-2"/>
    <x v="0"/>
    <x v="0"/>
    <m/>
    <x v="0"/>
    <x v="0"/>
    <x v="0"/>
    <x v="0"/>
    <x v="0"/>
    <n v="0"/>
    <n v="0"/>
    <n v="3.3333333333333333E-2"/>
    <n v="11.966666666666667"/>
    <x v="1"/>
    <x v="0"/>
    <m/>
    <x v="0"/>
    <n v="167.93"/>
    <x v="0"/>
    <x v="22"/>
    <x v="12"/>
    <x v="0"/>
    <x v="0"/>
  </r>
  <r>
    <x v="1"/>
    <x v="15"/>
    <s v="2787 F"/>
    <x v="217"/>
    <s v="Usman Amin"/>
    <s v="LDN"/>
    <n v="18"/>
    <s v="7"/>
    <s v="LDN"/>
    <n v="53"/>
    <x v="0"/>
    <n v="1"/>
    <n v="76.3"/>
    <n v="2.2999999999999998"/>
    <n v="8"/>
    <x v="0"/>
    <n v="74"/>
    <n v="74"/>
    <n v="2"/>
    <x v="0"/>
    <x v="0"/>
    <n v="2"/>
    <n v="3.3333333333333333E-2"/>
    <x v="0"/>
    <x v="0"/>
    <m/>
    <x v="0"/>
    <x v="0"/>
    <x v="0"/>
    <x v="0"/>
    <x v="0"/>
    <n v="0"/>
    <n v="0"/>
    <n v="3.3333333333333333E-2"/>
    <n v="11.966666666666667"/>
    <x v="1"/>
    <x v="0"/>
    <m/>
    <x v="0"/>
    <n v="81.3"/>
    <x v="0"/>
    <x v="22"/>
    <x v="12"/>
    <x v="0"/>
    <x v="0"/>
  </r>
  <r>
    <x v="1"/>
    <x v="15"/>
    <s v="2788 F"/>
    <x v="217"/>
    <s v="Usman Amin"/>
    <s v="LDN"/>
    <n v="17"/>
    <s v="7"/>
    <s v="LDN"/>
    <n v="80"/>
    <x v="0"/>
    <n v="2"/>
    <n v="85.2"/>
    <n v="4.2"/>
    <m/>
    <x v="0"/>
    <n v="81"/>
    <n v="81"/>
    <n v="2"/>
    <x v="0"/>
    <x v="0"/>
    <n v="2"/>
    <n v="3.3333333333333333E-2"/>
    <x v="0"/>
    <x v="0"/>
    <m/>
    <x v="0"/>
    <x v="0"/>
    <x v="0"/>
    <x v="0"/>
    <x v="0"/>
    <n v="0"/>
    <n v="0"/>
    <n v="3.3333333333333333E-2"/>
    <n v="11.966666666666667"/>
    <x v="1"/>
    <x v="0"/>
    <m/>
    <x v="0"/>
    <n v="90.2"/>
    <x v="0"/>
    <x v="22"/>
    <x v="12"/>
    <x v="0"/>
    <x v="0"/>
  </r>
  <r>
    <x v="1"/>
    <x v="15"/>
    <s v="2783 F"/>
    <x v="217"/>
    <s v="Usman Amin"/>
    <s v="LDN"/>
    <n v="21"/>
    <s v="8-8.5"/>
    <s v="LDN"/>
    <n v="120"/>
    <x v="0"/>
    <n v="2"/>
    <n v="126.8"/>
    <n v="5.2"/>
    <m/>
    <x v="0"/>
    <n v="121.6"/>
    <n v="121.6"/>
    <n v="3"/>
    <x v="0"/>
    <x v="0"/>
    <n v="3"/>
    <n v="0.05"/>
    <x v="0"/>
    <x v="0"/>
    <m/>
    <x v="0"/>
    <x v="0"/>
    <x v="0"/>
    <x v="0"/>
    <x v="0"/>
    <n v="0"/>
    <n v="0"/>
    <n v="0.05"/>
    <n v="11.95"/>
    <x v="1"/>
    <x v="0"/>
    <m/>
    <x v="0"/>
    <n v="131.80000000000001"/>
    <x v="0"/>
    <x v="22"/>
    <x v="12"/>
    <x v="0"/>
    <x v="0"/>
  </r>
  <r>
    <x v="1"/>
    <x v="15"/>
    <s v="2749 F"/>
    <x v="217"/>
    <s v="Usman Amin"/>
    <s v="LDN"/>
    <n v="21"/>
    <s v="12"/>
    <s v="LDN"/>
    <n v="1000"/>
    <x v="0"/>
    <n v="3"/>
    <n v="214.05"/>
    <n v="7.8000000000000007"/>
    <m/>
    <x v="0"/>
    <n v="206.25"/>
    <n v="1049.3000000000002"/>
    <m/>
    <x v="0"/>
    <x v="0"/>
    <n v="0"/>
    <n v="0"/>
    <x v="0"/>
    <x v="0"/>
    <m/>
    <x v="0"/>
    <x v="0"/>
    <x v="0"/>
    <x v="0"/>
    <x v="0"/>
    <n v="0"/>
    <n v="0"/>
    <n v="0"/>
    <n v="12"/>
    <x v="1"/>
    <x v="0"/>
    <m/>
    <x v="0"/>
    <n v="219.05"/>
    <x v="0"/>
    <x v="22"/>
    <x v="12"/>
    <x v="0"/>
    <x v="0"/>
  </r>
  <r>
    <x v="0"/>
    <x v="8"/>
    <s v="6858 J"/>
    <x v="218"/>
    <s v="Prime Aluminium Sundar "/>
    <s v="LDN"/>
    <n v="7"/>
    <n v="10"/>
    <s v="LDN"/>
    <n v="400"/>
    <x v="0"/>
    <n v="4"/>
    <n v="137.15"/>
    <n v="4"/>
    <n v="1"/>
    <x v="0"/>
    <n v="133.15"/>
    <n v="369.85"/>
    <m/>
    <x v="0"/>
    <x v="0"/>
    <n v="0"/>
    <n v="0"/>
    <x v="0"/>
    <x v="0"/>
    <m/>
    <x v="0"/>
    <x v="0"/>
    <x v="0"/>
    <x v="0"/>
    <x v="0"/>
    <n v="0"/>
    <n v="0"/>
    <n v="0"/>
    <n v="12"/>
    <x v="1"/>
    <x v="0"/>
    <m/>
    <x v="0"/>
    <n v="142.15"/>
    <x v="0"/>
    <x v="22"/>
    <x v="12"/>
    <x v="0"/>
    <x v="0"/>
  </r>
  <r>
    <x v="1"/>
    <x v="8"/>
    <s v="2797 F"/>
    <x v="218"/>
    <s v="Usman Amin"/>
    <s v="LDN"/>
    <n v="7"/>
    <s v="6-6.5"/>
    <s v="LDN"/>
    <n v="40"/>
    <x v="0"/>
    <n v="2"/>
    <n v="72.87"/>
    <n v="1.8"/>
    <n v="2"/>
    <x v="0"/>
    <n v="71.070000000000007"/>
    <n v="71.070000000000007"/>
    <m/>
    <x v="0"/>
    <x v="0"/>
    <n v="0"/>
    <n v="0"/>
    <x v="0"/>
    <x v="0"/>
    <m/>
    <x v="0"/>
    <x v="0"/>
    <x v="0"/>
    <x v="0"/>
    <x v="0"/>
    <n v="0"/>
    <n v="0"/>
    <n v="0"/>
    <n v="12"/>
    <x v="1"/>
    <x v="0"/>
    <m/>
    <x v="0"/>
    <n v="77.87"/>
    <x v="0"/>
    <x v="22"/>
    <x v="12"/>
    <x v="0"/>
    <x v="0"/>
  </r>
  <r>
    <x v="1"/>
    <x v="8"/>
    <s v="6830 J"/>
    <x v="218"/>
    <s v="Ibrar Zafar Narowal"/>
    <s v="LDN"/>
    <n v="7"/>
    <s v="14-15"/>
    <s v="LDN"/>
    <n v="300"/>
    <x v="0"/>
    <n v="2"/>
    <n v="75.41"/>
    <n v="1.8"/>
    <m/>
    <x v="0"/>
    <n v="73.61"/>
    <n v="308.25"/>
    <m/>
    <x v="0"/>
    <x v="0"/>
    <n v="0"/>
    <n v="0"/>
    <x v="0"/>
    <x v="0"/>
    <m/>
    <x v="0"/>
    <x v="0"/>
    <x v="0"/>
    <x v="0"/>
    <x v="0"/>
    <n v="0"/>
    <n v="0"/>
    <n v="0"/>
    <n v="12"/>
    <x v="1"/>
    <x v="0"/>
    <m/>
    <x v="0"/>
    <n v="80.41"/>
    <x v="0"/>
    <x v="22"/>
    <x v="12"/>
    <x v="0"/>
    <x v="0"/>
  </r>
  <r>
    <x v="0"/>
    <x v="9"/>
    <s v="6857 J"/>
    <x v="218"/>
    <s v="Prime Aluminium Sundar "/>
    <s v="LDN"/>
    <n v="6"/>
    <n v="10"/>
    <s v="LDN"/>
    <n v="300"/>
    <x v="0"/>
    <n v="4"/>
    <n v="154.04"/>
    <n v="3.2"/>
    <m/>
    <x v="0"/>
    <n v="150.84"/>
    <n v="329.64"/>
    <m/>
    <x v="0"/>
    <x v="0"/>
    <n v="0"/>
    <n v="0"/>
    <x v="0"/>
    <x v="0"/>
    <m/>
    <x v="0"/>
    <x v="0"/>
    <x v="0"/>
    <x v="0"/>
    <x v="0"/>
    <n v="0"/>
    <n v="0"/>
    <n v="0"/>
    <n v="12"/>
    <x v="1"/>
    <x v="0"/>
    <m/>
    <x v="0"/>
    <n v="159.04"/>
    <x v="0"/>
    <x v="22"/>
    <x v="12"/>
    <x v="0"/>
    <x v="0"/>
  </r>
  <r>
    <x v="0"/>
    <x v="9"/>
    <s v="6829 J"/>
    <x v="218"/>
    <s v="Ibrar Zafar Narowal"/>
    <s v="LDN"/>
    <n v="6"/>
    <s v="14-15"/>
    <s v="LDN"/>
    <n v="300"/>
    <x v="0"/>
    <n v="1"/>
    <n v="42.95"/>
    <n v="0.8"/>
    <n v="2"/>
    <x v="0"/>
    <n v="42.150000000000006"/>
    <n v="306.05"/>
    <m/>
    <x v="0"/>
    <x v="0"/>
    <n v="0"/>
    <n v="0"/>
    <x v="0"/>
    <x v="0"/>
    <m/>
    <x v="0"/>
    <x v="0"/>
    <x v="0"/>
    <x v="0"/>
    <x v="0"/>
    <n v="0"/>
    <n v="0"/>
    <n v="0"/>
    <n v="12"/>
    <x v="1"/>
    <x v="0"/>
    <m/>
    <x v="0"/>
    <n v="47.95"/>
    <x v="0"/>
    <x v="22"/>
    <x v="12"/>
    <x v="0"/>
    <x v="0"/>
  </r>
  <r>
    <x v="1"/>
    <x v="9"/>
    <s v="6829 J"/>
    <x v="218"/>
    <s v="Ibrar Zafar Narowal"/>
    <s v="LDN"/>
    <n v="6"/>
    <s v="14-15"/>
    <s v="LDN"/>
    <n v="300"/>
    <x v="0"/>
    <n v="4"/>
    <n v="192.7"/>
    <n v="3.2"/>
    <n v="3"/>
    <x v="0"/>
    <n v="189.5"/>
    <n v="306.05"/>
    <m/>
    <x v="0"/>
    <x v="0"/>
    <n v="0"/>
    <n v="0"/>
    <x v="0"/>
    <x v="0"/>
    <m/>
    <x v="0"/>
    <x v="0"/>
    <x v="0"/>
    <x v="0"/>
    <x v="0"/>
    <n v="0"/>
    <n v="0"/>
    <n v="0"/>
    <n v="12"/>
    <x v="1"/>
    <x v="0"/>
    <m/>
    <x v="0"/>
    <n v="197.7"/>
    <x v="0"/>
    <x v="22"/>
    <x v="12"/>
    <x v="0"/>
    <x v="0"/>
  </r>
  <r>
    <x v="0"/>
    <x v="11"/>
    <s v="6850 J"/>
    <x v="218"/>
    <s v="Shoab Auto Rawalpindi"/>
    <s v="LD کریم"/>
    <s v="14+4+4"/>
    <s v="7.5-8/15-16"/>
    <s v="LDN"/>
    <n v="110"/>
    <x v="0"/>
    <n v="2"/>
    <n v="113.9"/>
    <n v="3.6"/>
    <m/>
    <x v="0"/>
    <n v="110.30000000000001"/>
    <n v="110.30000000000001"/>
    <m/>
    <x v="0"/>
    <x v="0"/>
    <n v="0"/>
    <n v="0"/>
    <x v="0"/>
    <x v="0"/>
    <m/>
    <x v="0"/>
    <x v="0"/>
    <x v="0"/>
    <x v="0"/>
    <x v="0"/>
    <n v="0"/>
    <n v="0"/>
    <n v="0"/>
    <n v="12"/>
    <x v="1"/>
    <x v="0"/>
    <m/>
    <x v="0"/>
    <n v="118.9"/>
    <x v="0"/>
    <x v="22"/>
    <x v="12"/>
    <x v="0"/>
    <x v="0"/>
  </r>
  <r>
    <x v="0"/>
    <x v="11"/>
    <s v="6612 J"/>
    <x v="218"/>
    <s v="Ahmed Miss Print Sheikhupura"/>
    <s v="LD لائیٹنگ مال"/>
    <n v="18"/>
    <s v="11-12"/>
    <s v="LDM"/>
    <n v="100"/>
    <x v="0"/>
    <n v="1"/>
    <n v="109.9"/>
    <n v="2.1"/>
    <m/>
    <x v="0"/>
    <n v="107.80000000000001"/>
    <n v="193.06"/>
    <m/>
    <x v="0"/>
    <x v="0"/>
    <n v="0"/>
    <n v="0"/>
    <x v="0"/>
    <x v="0"/>
    <m/>
    <x v="0"/>
    <x v="0"/>
    <x v="0"/>
    <x v="0"/>
    <x v="0"/>
    <n v="0"/>
    <n v="0"/>
    <n v="0"/>
    <n v="12"/>
    <x v="1"/>
    <x v="0"/>
    <m/>
    <x v="0"/>
    <n v="114.9"/>
    <x v="0"/>
    <x v="22"/>
    <x v="12"/>
    <x v="0"/>
    <x v="0"/>
  </r>
  <r>
    <x v="0"/>
    <x v="11"/>
    <s v="6606 J"/>
    <x v="218"/>
    <s v="Ashiq Cloth House"/>
    <s v="LDM"/>
    <n v="18"/>
    <s v="15-16"/>
    <s v="LDM"/>
    <n v="100"/>
    <x v="0"/>
    <n v="2"/>
    <n v="116.8"/>
    <n v="4.2"/>
    <m/>
    <x v="0"/>
    <n v="112.6"/>
    <n v="112.6"/>
    <m/>
    <x v="0"/>
    <x v="0"/>
    <n v="0"/>
    <n v="0"/>
    <x v="0"/>
    <x v="0"/>
    <m/>
    <x v="0"/>
    <x v="0"/>
    <x v="0"/>
    <x v="0"/>
    <x v="0"/>
    <n v="0"/>
    <n v="0"/>
    <n v="0"/>
    <n v="12"/>
    <x v="1"/>
    <x v="0"/>
    <m/>
    <x v="0"/>
    <n v="121.8"/>
    <x v="0"/>
    <x v="22"/>
    <x v="12"/>
    <x v="0"/>
    <x v="0"/>
  </r>
  <r>
    <x v="0"/>
    <x v="11"/>
    <s v="6607 J"/>
    <x v="218"/>
    <s v="Ashiq Cloth House"/>
    <s v="LDM"/>
    <n v="22"/>
    <s v="16-16.5"/>
    <s v="LDM"/>
    <n v="100"/>
    <x v="0"/>
    <n v="1"/>
    <n v="59.5"/>
    <n v="2.5"/>
    <n v="33"/>
    <x v="0"/>
    <n v="57"/>
    <n v="126.13"/>
    <m/>
    <x v="0"/>
    <x v="0"/>
    <n v="0"/>
    <n v="0"/>
    <x v="0"/>
    <x v="0"/>
    <m/>
    <x v="0"/>
    <x v="0"/>
    <x v="0"/>
    <x v="0"/>
    <x v="0"/>
    <n v="0"/>
    <n v="0"/>
    <n v="0"/>
    <n v="12"/>
    <x v="1"/>
    <x v="0"/>
    <m/>
    <x v="0"/>
    <n v="64.5"/>
    <x v="0"/>
    <x v="22"/>
    <x v="12"/>
    <x v="0"/>
    <x v="0"/>
  </r>
  <r>
    <x v="1"/>
    <x v="11"/>
    <s v="6607 J"/>
    <x v="218"/>
    <s v="Ashiq Cloth House"/>
    <s v="LDM"/>
    <n v="22"/>
    <s v="16-16.5"/>
    <s v="LDM"/>
    <n v="100"/>
    <x v="0"/>
    <n v="1"/>
    <n v="71.83"/>
    <n v="2.7"/>
    <n v="55"/>
    <x v="0"/>
    <n v="69.13"/>
    <n v="126.13"/>
    <n v="5"/>
    <x v="0"/>
    <x v="0"/>
    <n v="5"/>
    <n v="8.3333333333333329E-2"/>
    <x v="0"/>
    <x v="0"/>
    <m/>
    <x v="0"/>
    <x v="0"/>
    <x v="0"/>
    <x v="0"/>
    <x v="0"/>
    <n v="0"/>
    <n v="0"/>
    <n v="8.3333333333333329E-2"/>
    <n v="11.916666666666666"/>
    <x v="1"/>
    <x v="0"/>
    <m/>
    <x v="0"/>
    <n v="76.83"/>
    <x v="0"/>
    <x v="22"/>
    <x v="12"/>
    <x v="0"/>
    <x v="0"/>
  </r>
  <r>
    <x v="1"/>
    <x v="11"/>
    <s v="6824 J"/>
    <x v="218"/>
    <s v="Afnan Printing Press ButtKhela "/>
    <s v="LDM"/>
    <n v="24"/>
    <s v="14-15"/>
    <s v="LDM"/>
    <n v="100"/>
    <x v="0"/>
    <n v="2"/>
    <n v="101.74000000000001"/>
    <n v="5.6"/>
    <m/>
    <x v="0"/>
    <n v="96.140000000000015"/>
    <n v="96.140000000000015"/>
    <m/>
    <x v="0"/>
    <x v="0"/>
    <n v="0"/>
    <n v="0"/>
    <x v="0"/>
    <x v="0"/>
    <m/>
    <x v="0"/>
    <x v="0"/>
    <x v="0"/>
    <x v="0"/>
    <x v="0"/>
    <n v="0"/>
    <n v="0"/>
    <n v="0"/>
    <n v="12"/>
    <x v="1"/>
    <x v="0"/>
    <m/>
    <x v="0"/>
    <n v="106.74000000000001"/>
    <x v="0"/>
    <x v="22"/>
    <x v="12"/>
    <x v="0"/>
    <x v="0"/>
  </r>
  <r>
    <x v="1"/>
    <x v="11"/>
    <s v="6775 J"/>
    <x v="218"/>
    <s v="AL JANNAT GARMENTS SHORKOT"/>
    <s v="LDM"/>
    <s v="12+3+3"/>
    <s v="7.5-8/15-16"/>
    <s v="LDM"/>
    <n v="110"/>
    <x v="0"/>
    <n v="3"/>
    <n v="129.9"/>
    <n v="4.1999999999999993"/>
    <m/>
    <x v="0"/>
    <n v="125.7"/>
    <n v="125.7"/>
    <m/>
    <x v="0"/>
    <x v="0"/>
    <n v="0"/>
    <n v="0"/>
    <x v="0"/>
    <x v="0"/>
    <m/>
    <x v="0"/>
    <x v="0"/>
    <x v="0"/>
    <x v="0"/>
    <x v="0"/>
    <n v="0"/>
    <n v="0"/>
    <n v="0"/>
    <n v="12"/>
    <x v="1"/>
    <x v="0"/>
    <m/>
    <x v="0"/>
    <n v="134.9"/>
    <x v="0"/>
    <x v="22"/>
    <x v="12"/>
    <x v="0"/>
    <x v="0"/>
  </r>
  <r>
    <x v="1"/>
    <x v="11"/>
    <s v="6805 J"/>
    <x v="218"/>
    <s v="Wah Nobel Private Limited"/>
    <s v="LDN"/>
    <s v="435+30+30 MM"/>
    <s v="20-20.5/40-41"/>
    <s v="LDN"/>
    <n v="5000"/>
    <x v="0"/>
    <n v="1"/>
    <n v="33.94"/>
    <n v="2.2000000000000002"/>
    <m/>
    <x v="0"/>
    <n v="31.74"/>
    <n v="4996.5899999999992"/>
    <m/>
    <x v="0"/>
    <x v="0"/>
    <n v="0"/>
    <n v="0"/>
    <x v="0"/>
    <x v="0"/>
    <m/>
    <x v="0"/>
    <x v="0"/>
    <x v="0"/>
    <x v="0"/>
    <x v="0"/>
    <n v="0"/>
    <n v="0"/>
    <n v="0"/>
    <n v="12"/>
    <x v="1"/>
    <x v="0"/>
    <m/>
    <x v="0"/>
    <n v="38.94"/>
    <x v="0"/>
    <x v="22"/>
    <x v="12"/>
    <x v="0"/>
    <x v="0"/>
  </r>
  <r>
    <x v="0"/>
    <x v="13"/>
    <s v="2848/1"/>
    <x v="218"/>
    <s v="ENGRO ZARKHEZ"/>
    <s v="LDN"/>
    <s v="24-24.5"/>
    <s v="60±1"/>
    <s v="AA"/>
    <n v="3720"/>
    <x v="0"/>
    <n v="3"/>
    <n v="425.6"/>
    <n v="15.2"/>
    <n v="6"/>
    <x v="0"/>
    <n v="410.40000000000003"/>
    <n v="3754.4"/>
    <m/>
    <x v="0"/>
    <x v="0"/>
    <n v="0"/>
    <n v="0"/>
    <x v="0"/>
    <x v="0"/>
    <m/>
    <x v="0"/>
    <x v="0"/>
    <x v="0"/>
    <x v="0"/>
    <x v="0"/>
    <n v="0"/>
    <n v="0"/>
    <n v="0"/>
    <n v="12"/>
    <x v="1"/>
    <x v="0"/>
    <m/>
    <x v="0"/>
    <n v="430.6"/>
    <x v="0"/>
    <x v="22"/>
    <x v="12"/>
    <x v="0"/>
    <x v="0"/>
  </r>
  <r>
    <x v="1"/>
    <x v="13"/>
    <s v="2792 F"/>
    <x v="218"/>
    <s v="Usman Amin"/>
    <s v="LDN"/>
    <n v="24"/>
    <s v="7"/>
    <s v="LDN"/>
    <n v="90"/>
    <x v="0"/>
    <n v="1"/>
    <n v="113.2"/>
    <n v="1.2"/>
    <n v="4"/>
    <x v="0"/>
    <n v="112"/>
    <n v="112"/>
    <m/>
    <x v="0"/>
    <x v="0"/>
    <n v="0"/>
    <n v="0"/>
    <x v="0"/>
    <x v="0"/>
    <m/>
    <x v="0"/>
    <x v="0"/>
    <x v="0"/>
    <x v="0"/>
    <x v="0"/>
    <n v="0"/>
    <n v="0"/>
    <n v="0"/>
    <n v="12"/>
    <x v="1"/>
    <x v="0"/>
    <m/>
    <x v="0"/>
    <n v="118.2"/>
    <x v="0"/>
    <x v="22"/>
    <x v="12"/>
    <x v="0"/>
    <x v="0"/>
  </r>
  <r>
    <x v="1"/>
    <x v="13"/>
    <s v="2746 F"/>
    <x v="218"/>
    <s v="Usman Amin"/>
    <s v="LDN"/>
    <n v="14"/>
    <s v="12"/>
    <s v="LDN"/>
    <n v="85"/>
    <x v="0"/>
    <n v="2"/>
    <n v="80.5"/>
    <n v="3.5"/>
    <m/>
    <x v="0"/>
    <n v="77"/>
    <n v="77"/>
    <m/>
    <x v="0"/>
    <x v="0"/>
    <n v="0"/>
    <n v="0"/>
    <x v="0"/>
    <x v="0"/>
    <m/>
    <x v="0"/>
    <x v="0"/>
    <x v="0"/>
    <x v="0"/>
    <x v="0"/>
    <n v="0"/>
    <n v="0"/>
    <n v="0"/>
    <n v="12"/>
    <x v="1"/>
    <x v="0"/>
    <m/>
    <x v="0"/>
    <n v="85.5"/>
    <x v="0"/>
    <x v="22"/>
    <x v="12"/>
    <x v="0"/>
    <x v="0"/>
  </r>
  <r>
    <x v="1"/>
    <x v="13"/>
    <s v="6812 J"/>
    <x v="218"/>
    <s v="IHSAN Cotton Products Pvt. LTD"/>
    <s v="LDN"/>
    <n v="13"/>
    <n v="6"/>
    <s v="LDN"/>
    <n v="300"/>
    <x v="0"/>
    <n v="2"/>
    <n v="102.1"/>
    <n v="3"/>
    <m/>
    <x v="0"/>
    <n v="99.1"/>
    <n v="304.89999999999998"/>
    <m/>
    <x v="0"/>
    <x v="0"/>
    <n v="0"/>
    <n v="0"/>
    <x v="0"/>
    <x v="0"/>
    <m/>
    <x v="0"/>
    <x v="0"/>
    <x v="0"/>
    <x v="0"/>
    <x v="0"/>
    <n v="0"/>
    <n v="0"/>
    <n v="0"/>
    <n v="12"/>
    <x v="1"/>
    <x v="0"/>
    <m/>
    <x v="0"/>
    <n v="107.1"/>
    <x v="0"/>
    <x v="22"/>
    <x v="12"/>
    <x v="0"/>
    <x v="0"/>
  </r>
  <r>
    <x v="0"/>
    <x v="14"/>
    <s v="6873 J"/>
    <x v="218"/>
    <s v="Jilani Poly Stock"/>
    <s v="LDN"/>
    <s v="26&quot; شیٹ"/>
    <s v="8-8.5/16-17"/>
    <s v="LDN"/>
    <n v="500"/>
    <x v="0"/>
    <n v="8"/>
    <n v="905.30000000000007"/>
    <n v="25.6"/>
    <n v="14"/>
    <x v="0"/>
    <n v="879.7"/>
    <n v="1770.05"/>
    <n v="30"/>
    <x v="0"/>
    <x v="0"/>
    <n v="30"/>
    <n v="0.5"/>
    <x v="0"/>
    <x v="0"/>
    <m/>
    <x v="0"/>
    <x v="0"/>
    <x v="0"/>
    <x v="0"/>
    <x v="0"/>
    <n v="0"/>
    <n v="0"/>
    <n v="0.5"/>
    <n v="11.5"/>
    <x v="1"/>
    <x v="0"/>
    <m/>
    <x v="0"/>
    <n v="910.30000000000007"/>
    <x v="0"/>
    <x v="22"/>
    <x v="12"/>
    <x v="0"/>
    <x v="0"/>
  </r>
  <r>
    <x v="1"/>
    <x v="14"/>
    <s v="6860 J"/>
    <x v="218"/>
    <s v="Moazmi Plastic Sahiwal "/>
    <s v="LDN"/>
    <s v="28&quot; شیٹ"/>
    <s v="3-3.25/6-6.5"/>
    <s v="LDN"/>
    <n v="125"/>
    <x v="0"/>
    <n v="2"/>
    <n v="146.69999999999999"/>
    <n v="5.8"/>
    <n v="110"/>
    <x v="0"/>
    <n v="140.89999999999998"/>
    <n v="140.89999999999998"/>
    <m/>
    <x v="0"/>
    <x v="0"/>
    <n v="0"/>
    <n v="0"/>
    <x v="0"/>
    <x v="0"/>
    <m/>
    <x v="0"/>
    <x v="0"/>
    <x v="0"/>
    <x v="0"/>
    <x v="0"/>
    <n v="0"/>
    <n v="0"/>
    <n v="0"/>
    <n v="12"/>
    <x v="1"/>
    <x v="0"/>
    <m/>
    <x v="0"/>
    <n v="151.69999999999999"/>
    <x v="0"/>
    <x v="22"/>
    <x v="12"/>
    <x v="0"/>
    <x v="0"/>
  </r>
  <r>
    <x v="1"/>
    <x v="14"/>
    <s v="6723 J"/>
    <x v="218"/>
    <s v="Carefour Pakistan Ltd"/>
    <s v="LDN"/>
    <s v="28&quot; شیٹ"/>
    <s v="3-3.5/6-7"/>
    <s v="LDN"/>
    <n v="100"/>
    <x v="0"/>
    <n v="2"/>
    <n v="168.2"/>
    <n v="7.2"/>
    <m/>
    <x v="0"/>
    <n v="161"/>
    <n v="265.3"/>
    <m/>
    <x v="0"/>
    <x v="0"/>
    <n v="0"/>
    <n v="0"/>
    <x v="0"/>
    <x v="0"/>
    <m/>
    <x v="0"/>
    <x v="0"/>
    <x v="0"/>
    <x v="0"/>
    <x v="0"/>
    <n v="0"/>
    <n v="0"/>
    <n v="0"/>
    <n v="12"/>
    <x v="1"/>
    <x v="0"/>
    <m/>
    <x v="0"/>
    <n v="173.2"/>
    <x v="0"/>
    <x v="22"/>
    <x v="12"/>
    <x v="0"/>
    <x v="0"/>
  </r>
  <r>
    <x v="1"/>
    <x v="14"/>
    <s v="6726 J"/>
    <x v="218"/>
    <s v="Carefour Pakistan Ltd"/>
    <s v="LDN"/>
    <s v="36&quot; شیٹ"/>
    <s v="3-3.5/6-7"/>
    <s v="LDN"/>
    <n v="100"/>
    <x v="0"/>
    <n v="2"/>
    <n v="164.1"/>
    <n v="5.6"/>
    <m/>
    <x v="0"/>
    <n v="158.5"/>
    <n v="253.49"/>
    <m/>
    <x v="0"/>
    <x v="0"/>
    <n v="0"/>
    <n v="0"/>
    <x v="0"/>
    <x v="0"/>
    <m/>
    <x v="0"/>
    <x v="0"/>
    <x v="0"/>
    <x v="0"/>
    <x v="0"/>
    <n v="0"/>
    <n v="0"/>
    <n v="0"/>
    <n v="12"/>
    <x v="1"/>
    <x v="0"/>
    <m/>
    <x v="0"/>
    <n v="169.1"/>
    <x v="0"/>
    <x v="22"/>
    <x v="12"/>
    <x v="0"/>
    <x v="0"/>
  </r>
  <r>
    <x v="1"/>
    <x v="14"/>
    <s v="6720 J"/>
    <x v="218"/>
    <s v="Carefour Pakistan Ltd"/>
    <s v="LDN"/>
    <s v="28&quot; شیٹ"/>
    <s v="3-3.5/6-7"/>
    <s v="LDN"/>
    <n v="100"/>
    <x v="0"/>
    <n v="2"/>
    <n v="156"/>
    <n v="7.2"/>
    <m/>
    <x v="0"/>
    <n v="148.80000000000001"/>
    <n v="257.8"/>
    <m/>
    <x v="0"/>
    <x v="0"/>
    <n v="0"/>
    <n v="0"/>
    <x v="0"/>
    <x v="0"/>
    <m/>
    <x v="0"/>
    <x v="0"/>
    <x v="0"/>
    <x v="0"/>
    <x v="0"/>
    <n v="0"/>
    <n v="0"/>
    <n v="0"/>
    <n v="12"/>
    <x v="1"/>
    <x v="0"/>
    <m/>
    <x v="0"/>
    <n v="161"/>
    <x v="0"/>
    <x v="22"/>
    <x v="12"/>
    <x v="0"/>
    <x v="0"/>
  </r>
  <r>
    <x v="1"/>
    <x v="14"/>
    <s v="6763 J"/>
    <x v="218"/>
    <s v="Alam Bakers Shahdrah"/>
    <s v="LDN"/>
    <s v="32 شیٹ"/>
    <s v="4-4.5/8-9"/>
    <s v="LDN"/>
    <n v="200"/>
    <x v="0"/>
    <n v="4"/>
    <n v="217.5"/>
    <n v="10.4"/>
    <m/>
    <x v="0"/>
    <n v="207.1"/>
    <n v="207.1"/>
    <m/>
    <x v="0"/>
    <x v="0"/>
    <n v="0"/>
    <n v="0"/>
    <x v="0"/>
    <x v="0"/>
    <m/>
    <x v="0"/>
    <x v="0"/>
    <x v="0"/>
    <x v="0"/>
    <x v="0"/>
    <n v="0"/>
    <n v="0"/>
    <n v="0"/>
    <n v="12"/>
    <x v="1"/>
    <x v="0"/>
    <m/>
    <x v="0"/>
    <n v="222.5"/>
    <x v="0"/>
    <x v="22"/>
    <x v="12"/>
    <x v="0"/>
    <x v="0"/>
  </r>
  <r>
    <x v="1"/>
    <x v="14"/>
    <s v="2785 F"/>
    <x v="218"/>
    <s v="Usman Amin"/>
    <s v="LDN"/>
    <s v="16 SHEET"/>
    <s v="3-3.25/6-6.5"/>
    <s v="LDN"/>
    <n v="1000"/>
    <x v="0"/>
    <n v="2"/>
    <n v="114.2"/>
    <n v="2.6"/>
    <m/>
    <x v="0"/>
    <n v="111.60000000000001"/>
    <n v="969.75"/>
    <m/>
    <x v="0"/>
    <x v="0"/>
    <n v="0"/>
    <n v="0"/>
    <x v="0"/>
    <x v="0"/>
    <m/>
    <x v="0"/>
    <x v="0"/>
    <x v="0"/>
    <x v="0"/>
    <x v="0"/>
    <n v="0"/>
    <n v="0"/>
    <n v="0"/>
    <n v="12"/>
    <x v="1"/>
    <x v="0"/>
    <m/>
    <x v="0"/>
    <n v="119.2"/>
    <x v="0"/>
    <x v="22"/>
    <x v="12"/>
    <x v="0"/>
    <x v="0"/>
  </r>
  <r>
    <x v="0"/>
    <x v="15"/>
    <s v="2749 F"/>
    <x v="218"/>
    <s v="Usman Amin"/>
    <s v="LDN"/>
    <n v="21"/>
    <s v="12"/>
    <s v="LDN"/>
    <n v="1000"/>
    <x v="0"/>
    <n v="5"/>
    <n v="465.95000000000005"/>
    <n v="13"/>
    <n v="7"/>
    <x v="0"/>
    <n v="452.95000000000005"/>
    <n v="1049.3000000000002"/>
    <m/>
    <x v="0"/>
    <x v="0"/>
    <n v="0"/>
    <n v="0"/>
    <x v="0"/>
    <x v="0"/>
    <m/>
    <x v="0"/>
    <x v="0"/>
    <x v="0"/>
    <x v="0"/>
    <x v="0"/>
    <n v="0"/>
    <n v="0"/>
    <n v="0"/>
    <n v="12"/>
    <x v="1"/>
    <x v="0"/>
    <m/>
    <x v="0"/>
    <n v="470.95000000000005"/>
    <x v="0"/>
    <x v="22"/>
    <x v="12"/>
    <x v="0"/>
    <x v="0"/>
  </r>
  <r>
    <x v="1"/>
    <x v="15"/>
    <s v="2749 F"/>
    <x v="218"/>
    <s v="Usman Amin"/>
    <s v="LDN"/>
    <n v="21"/>
    <s v="12"/>
    <s v="LDN"/>
    <n v="1000"/>
    <x v="0"/>
    <n v="5"/>
    <n v="403.6"/>
    <n v="13.5"/>
    <n v="6"/>
    <x v="0"/>
    <n v="390.1"/>
    <n v="1049.3000000000002"/>
    <m/>
    <x v="0"/>
    <x v="0"/>
    <n v="0"/>
    <n v="0"/>
    <x v="0"/>
    <x v="0"/>
    <m/>
    <x v="0"/>
    <x v="0"/>
    <x v="0"/>
    <x v="0"/>
    <x v="0"/>
    <n v="0"/>
    <n v="0"/>
    <n v="0"/>
    <n v="12"/>
    <x v="1"/>
    <x v="0"/>
    <m/>
    <x v="0"/>
    <n v="408.6"/>
    <x v="0"/>
    <x v="22"/>
    <x v="12"/>
    <x v="0"/>
    <x v="0"/>
  </r>
  <r>
    <x v="1"/>
    <x v="15"/>
    <s v="6815 J"/>
    <x v="218"/>
    <s v="IHSAN Cotton Products Pvt. LTD"/>
    <s v="LDN"/>
    <n v="22"/>
    <n v="6"/>
    <s v="LDN"/>
    <n v="200"/>
    <x v="0"/>
    <n v="2"/>
    <n v="131.6"/>
    <n v="5.2"/>
    <m/>
    <x v="0"/>
    <n v="126.39999999999999"/>
    <n v="206.39999999999998"/>
    <m/>
    <x v="0"/>
    <x v="0"/>
    <n v="0"/>
    <n v="0"/>
    <x v="0"/>
    <x v="0"/>
    <m/>
    <x v="0"/>
    <x v="0"/>
    <x v="0"/>
    <x v="0"/>
    <x v="0"/>
    <n v="0"/>
    <n v="0"/>
    <n v="0"/>
    <n v="12"/>
    <x v="1"/>
    <x v="0"/>
    <m/>
    <x v="0"/>
    <n v="136.6"/>
    <x v="0"/>
    <x v="22"/>
    <x v="12"/>
    <x v="0"/>
    <x v="0"/>
  </r>
  <r>
    <x v="0"/>
    <x v="8"/>
    <s v="6830 J"/>
    <x v="219"/>
    <s v="Ibrar Zafar Narowal"/>
    <s v="LDN"/>
    <n v="7"/>
    <s v="14-15"/>
    <s v="LDN"/>
    <n v="300"/>
    <x v="0"/>
    <n v="3"/>
    <n v="123.4"/>
    <n v="2.8"/>
    <m/>
    <x v="0"/>
    <n v="120.60000000000001"/>
    <n v="308.25"/>
    <m/>
    <x v="0"/>
    <x v="0"/>
    <n v="0"/>
    <n v="0"/>
    <x v="0"/>
    <x v="0"/>
    <m/>
    <x v="0"/>
    <x v="0"/>
    <x v="0"/>
    <x v="0"/>
    <x v="0"/>
    <n v="0"/>
    <n v="0"/>
    <n v="0"/>
    <n v="12"/>
    <x v="1"/>
    <x v="0"/>
    <m/>
    <x v="0"/>
    <n v="128.4"/>
    <x v="0"/>
    <x v="22"/>
    <x v="12"/>
    <x v="0"/>
    <x v="0"/>
  </r>
  <r>
    <x v="1"/>
    <x v="8"/>
    <s v="6903 J"/>
    <x v="219"/>
    <s v="Alam Printers Butkhela"/>
    <s v="LDN"/>
    <n v="7"/>
    <s v="14-15"/>
    <s v="LDN"/>
    <n v="100"/>
    <x v="0"/>
    <n v="3"/>
    <n v="106.15"/>
    <n v="2.7"/>
    <m/>
    <x v="0"/>
    <n v="103.45"/>
    <n v="103.45"/>
    <m/>
    <x v="0"/>
    <x v="0"/>
    <n v="0"/>
    <n v="0"/>
    <x v="0"/>
    <x v="0"/>
    <m/>
    <x v="0"/>
    <x v="0"/>
    <x v="0"/>
    <x v="0"/>
    <x v="0"/>
    <n v="0"/>
    <n v="0"/>
    <n v="0"/>
    <n v="12"/>
    <x v="1"/>
    <x v="0"/>
    <m/>
    <x v="0"/>
    <n v="111.15"/>
    <x v="0"/>
    <x v="22"/>
    <x v="12"/>
    <x v="0"/>
    <x v="0"/>
  </r>
  <r>
    <x v="1"/>
    <x v="8"/>
    <s v="6830 J"/>
    <x v="219"/>
    <s v="Ibrar Zafar Narowal"/>
    <s v="LDN"/>
    <n v="7"/>
    <s v="14-15"/>
    <s v="LDN"/>
    <n v="300"/>
    <x v="0"/>
    <n v="1"/>
    <n v="36.04"/>
    <n v="0.9"/>
    <m/>
    <x v="0"/>
    <n v="35.14"/>
    <n v="308.25"/>
    <m/>
    <x v="0"/>
    <x v="0"/>
    <n v="0"/>
    <n v="0"/>
    <x v="0"/>
    <x v="0"/>
    <m/>
    <x v="0"/>
    <x v="0"/>
    <x v="0"/>
    <x v="0"/>
    <x v="0"/>
    <n v="0"/>
    <n v="0"/>
    <n v="0"/>
    <n v="12"/>
    <x v="1"/>
    <x v="0"/>
    <m/>
    <x v="0"/>
    <n v="41.04"/>
    <x v="0"/>
    <x v="22"/>
    <x v="12"/>
    <x v="0"/>
    <x v="0"/>
  </r>
  <r>
    <x v="0"/>
    <x v="9"/>
    <s v="6829 J"/>
    <x v="219"/>
    <s v="Ibrar Zafar Narowal"/>
    <s v="LDN"/>
    <n v="6"/>
    <s v="14-15"/>
    <s v="LDN"/>
    <n v="300"/>
    <x v="0"/>
    <n v="2"/>
    <n v="75.900000000000006"/>
    <n v="1.5"/>
    <m/>
    <x v="0"/>
    <n v="74.400000000000006"/>
    <n v="306.05"/>
    <m/>
    <x v="0"/>
    <x v="0"/>
    <n v="0"/>
    <n v="0"/>
    <x v="0"/>
    <x v="0"/>
    <m/>
    <x v="0"/>
    <x v="0"/>
    <x v="0"/>
    <x v="0"/>
    <x v="0"/>
    <n v="0"/>
    <n v="0"/>
    <n v="0"/>
    <n v="12"/>
    <x v="1"/>
    <x v="0"/>
    <m/>
    <x v="0"/>
    <n v="80.900000000000006"/>
    <x v="0"/>
    <x v="22"/>
    <x v="12"/>
    <x v="0"/>
    <x v="0"/>
  </r>
  <r>
    <x v="0"/>
    <x v="9"/>
    <s v="6810 J"/>
    <x v="219"/>
    <s v="Al Buraq Deparmental Store Lahore"/>
    <s v="LDN"/>
    <n v="5"/>
    <s v="12-12.5"/>
    <s v="LDN"/>
    <n v="100"/>
    <x v="0"/>
    <n v="2"/>
    <n v="66.800000000000011"/>
    <n v="1.7000000000000002"/>
    <m/>
    <x v="0"/>
    <n v="65.100000000000009"/>
    <n v="210.50000000000003"/>
    <m/>
    <x v="0"/>
    <x v="0"/>
    <n v="0"/>
    <n v="0"/>
    <x v="0"/>
    <x v="0"/>
    <m/>
    <x v="0"/>
    <x v="0"/>
    <x v="0"/>
    <x v="0"/>
    <x v="0"/>
    <n v="0"/>
    <n v="0"/>
    <n v="0"/>
    <n v="12"/>
    <x v="1"/>
    <x v="0"/>
    <m/>
    <x v="0"/>
    <n v="71.800000000000011"/>
    <x v="0"/>
    <x v="22"/>
    <x v="12"/>
    <x v="0"/>
    <x v="0"/>
  </r>
  <r>
    <x v="1"/>
    <x v="9"/>
    <s v="6810 J"/>
    <x v="219"/>
    <s v="Al Buraq Deparmental Store Lahore"/>
    <s v="LDN"/>
    <n v="5"/>
    <s v="12-12.5"/>
    <s v="LDN"/>
    <n v="100"/>
    <x v="0"/>
    <n v="1"/>
    <n v="42.1"/>
    <n v="0.7"/>
    <m/>
    <x v="0"/>
    <n v="41.4"/>
    <n v="210.50000000000003"/>
    <m/>
    <x v="0"/>
    <x v="0"/>
    <n v="0"/>
    <n v="0"/>
    <x v="0"/>
    <x v="0"/>
    <m/>
    <x v="0"/>
    <x v="0"/>
    <x v="0"/>
    <x v="0"/>
    <x v="0"/>
    <n v="0"/>
    <n v="0"/>
    <n v="0"/>
    <n v="12"/>
    <x v="1"/>
    <x v="0"/>
    <m/>
    <x v="0"/>
    <n v="47.1"/>
    <x v="0"/>
    <x v="22"/>
    <x v="12"/>
    <x v="0"/>
    <x v="0"/>
  </r>
  <r>
    <x v="1"/>
    <x v="9"/>
    <s v="6827 J"/>
    <x v="219"/>
    <s v="Ibrar Zafar Narowal"/>
    <s v="LDN"/>
    <n v="5"/>
    <s v="12-12.5"/>
    <s v="LDN"/>
    <n v="100"/>
    <x v="0"/>
    <n v="2"/>
    <n v="55.41"/>
    <n v="1.4"/>
    <m/>
    <x v="0"/>
    <n v="54.01"/>
    <n v="108.50999999999999"/>
    <m/>
    <x v="0"/>
    <x v="0"/>
    <n v="0"/>
    <n v="0"/>
    <x v="0"/>
    <x v="0"/>
    <m/>
    <x v="0"/>
    <x v="0"/>
    <x v="0"/>
    <x v="0"/>
    <x v="0"/>
    <n v="0"/>
    <n v="0"/>
    <n v="0"/>
    <n v="12"/>
    <x v="1"/>
    <x v="0"/>
    <m/>
    <x v="0"/>
    <n v="60.41"/>
    <x v="0"/>
    <x v="22"/>
    <x v="12"/>
    <x v="0"/>
    <x v="0"/>
  </r>
  <r>
    <x v="0"/>
    <x v="11"/>
    <s v="6805 J"/>
    <x v="219"/>
    <s v="Wah Nobel Private Limited"/>
    <s v="LDN"/>
    <s v="435+30+30 MM"/>
    <s v="20-20.5/40-41"/>
    <s v="LDN"/>
    <n v="5000"/>
    <x v="0"/>
    <n v="1"/>
    <n v="46.1"/>
    <n v="2.1"/>
    <m/>
    <x v="0"/>
    <n v="44"/>
    <n v="4996.5899999999992"/>
    <m/>
    <x v="0"/>
    <x v="0"/>
    <n v="0"/>
    <n v="0"/>
    <x v="0"/>
    <x v="0"/>
    <m/>
    <x v="0"/>
    <x v="0"/>
    <x v="0"/>
    <x v="0"/>
    <x v="0"/>
    <n v="0"/>
    <n v="0"/>
    <n v="0"/>
    <n v="12"/>
    <x v="1"/>
    <x v="0"/>
    <m/>
    <x v="0"/>
    <n v="51.1"/>
    <x v="0"/>
    <x v="22"/>
    <x v="12"/>
    <x v="0"/>
    <x v="0"/>
  </r>
  <r>
    <x v="1"/>
    <x v="11"/>
    <s v="6805 J"/>
    <x v="219"/>
    <s v="Wah Nobel Private Limited"/>
    <s v="LDN"/>
    <s v="435+30+30 MM"/>
    <s v="20-20.5/40-41"/>
    <s v="LDN"/>
    <n v="5000"/>
    <x v="0"/>
    <n v="6"/>
    <n v="279.95"/>
    <n v="13.200000000000001"/>
    <m/>
    <x v="0"/>
    <n v="266.75"/>
    <n v="4996.5899999999992"/>
    <m/>
    <x v="0"/>
    <x v="0"/>
    <n v="0"/>
    <n v="0"/>
    <x v="0"/>
    <x v="0"/>
    <m/>
    <x v="0"/>
    <x v="0"/>
    <x v="0"/>
    <x v="0"/>
    <x v="0"/>
    <n v="0"/>
    <n v="0"/>
    <n v="0"/>
    <n v="12"/>
    <x v="1"/>
    <x v="0"/>
    <m/>
    <x v="0"/>
    <n v="284.95"/>
    <x v="0"/>
    <x v="22"/>
    <x v="12"/>
    <x v="0"/>
    <x v="0"/>
  </r>
  <r>
    <x v="1"/>
    <x v="11"/>
    <s v="6805 J"/>
    <x v="219"/>
    <s v="Wah Nobel Private Limited"/>
    <s v="LDN"/>
    <s v="435+30+30 MM"/>
    <s v="20-20.5/40-41"/>
    <s v="LDN"/>
    <n v="5000"/>
    <x v="0"/>
    <n v="3"/>
    <n v="130.47"/>
    <n v="6.8999999999999995"/>
    <m/>
    <x v="0"/>
    <n v="123.57"/>
    <n v="4996.5899999999992"/>
    <m/>
    <x v="0"/>
    <x v="0"/>
    <n v="0"/>
    <n v="0"/>
    <x v="0"/>
    <x v="0"/>
    <m/>
    <x v="0"/>
    <x v="0"/>
    <x v="0"/>
    <x v="0"/>
    <x v="0"/>
    <n v="0"/>
    <n v="0"/>
    <n v="0"/>
    <n v="12"/>
    <x v="1"/>
    <x v="0"/>
    <m/>
    <x v="0"/>
    <n v="135.47"/>
    <x v="0"/>
    <x v="22"/>
    <x v="12"/>
    <x v="0"/>
    <x v="0"/>
  </r>
  <r>
    <x v="0"/>
    <x v="13"/>
    <s v="6812 J"/>
    <x v="219"/>
    <s v="IHSAN Cotton Products Pvt. LTD"/>
    <s v="LDN"/>
    <n v="13"/>
    <n v="6"/>
    <s v="LDN"/>
    <n v="300"/>
    <x v="0"/>
    <n v="4"/>
    <n v="212.2"/>
    <n v="6.4"/>
    <m/>
    <x v="0"/>
    <n v="205.79999999999998"/>
    <n v="304.89999999999998"/>
    <m/>
    <x v="0"/>
    <x v="0"/>
    <n v="0"/>
    <n v="0"/>
    <x v="0"/>
    <x v="0"/>
    <m/>
    <x v="0"/>
    <x v="0"/>
    <x v="0"/>
    <x v="0"/>
    <x v="0"/>
    <n v="0"/>
    <n v="0"/>
    <n v="0"/>
    <n v="12"/>
    <x v="1"/>
    <x v="0"/>
    <m/>
    <x v="0"/>
    <n v="217.2"/>
    <x v="0"/>
    <x v="22"/>
    <x v="12"/>
    <x v="0"/>
    <x v="0"/>
  </r>
  <r>
    <x v="1"/>
    <x v="13"/>
    <s v="6929 J"/>
    <x v="219"/>
    <s v="IHSAN Cotton Products Pvt. LTD"/>
    <s v="LDN"/>
    <n v="14"/>
    <n v="6"/>
    <s v="LDN"/>
    <n v="175"/>
    <x v="0"/>
    <n v="3"/>
    <n v="170.1"/>
    <n v="4.8000000000000007"/>
    <m/>
    <x v="0"/>
    <n v="165.29999999999998"/>
    <n v="165.29999999999998"/>
    <m/>
    <x v="0"/>
    <x v="0"/>
    <n v="0"/>
    <n v="0"/>
    <x v="0"/>
    <x v="0"/>
    <m/>
    <x v="0"/>
    <x v="0"/>
    <x v="0"/>
    <x v="0"/>
    <x v="0"/>
    <n v="0"/>
    <n v="0"/>
    <n v="0"/>
    <n v="12"/>
    <x v="1"/>
    <x v="0"/>
    <m/>
    <x v="0"/>
    <n v="175.1"/>
    <x v="0"/>
    <x v="22"/>
    <x v="12"/>
    <x v="0"/>
    <x v="0"/>
  </r>
  <r>
    <x v="0"/>
    <x v="14"/>
    <s v="6815 J"/>
    <x v="219"/>
    <s v="IHSAN Cotton Products Pvt. LTD"/>
    <s v="LDN"/>
    <n v="22"/>
    <n v="6"/>
    <s v="LDN"/>
    <n v="200"/>
    <x v="0"/>
    <n v="2"/>
    <n v="85.4"/>
    <n v="5.4"/>
    <m/>
    <x v="0"/>
    <n v="80"/>
    <n v="206.39999999999998"/>
    <m/>
    <x v="0"/>
    <x v="0"/>
    <n v="0"/>
    <n v="0"/>
    <x v="0"/>
    <x v="0"/>
    <m/>
    <x v="0"/>
    <x v="0"/>
    <x v="0"/>
    <x v="0"/>
    <x v="0"/>
    <n v="0"/>
    <n v="0"/>
    <n v="0"/>
    <n v="12"/>
    <x v="1"/>
    <x v="0"/>
    <m/>
    <x v="0"/>
    <n v="90.4"/>
    <x v="0"/>
    <x v="22"/>
    <x v="12"/>
    <x v="0"/>
    <x v="0"/>
  </r>
  <r>
    <x v="0"/>
    <x v="14"/>
    <s v="2791 F"/>
    <x v="219"/>
    <s v="Usman Amin"/>
    <s v="LDN"/>
    <n v="19"/>
    <s v="12"/>
    <s v="LDN"/>
    <n v="200"/>
    <x v="0"/>
    <n v="3"/>
    <n v="205.55"/>
    <n v="6.8999999999999995"/>
    <m/>
    <x v="0"/>
    <n v="198.65"/>
    <n v="198.65"/>
    <m/>
    <x v="0"/>
    <x v="0"/>
    <n v="0"/>
    <n v="0"/>
    <x v="0"/>
    <x v="0"/>
    <m/>
    <x v="0"/>
    <x v="0"/>
    <x v="0"/>
    <x v="0"/>
    <x v="0"/>
    <n v="0"/>
    <n v="0"/>
    <n v="0"/>
    <n v="12"/>
    <x v="1"/>
    <x v="0"/>
    <m/>
    <x v="0"/>
    <n v="210.55"/>
    <x v="0"/>
    <x v="22"/>
    <x v="12"/>
    <x v="0"/>
    <x v="0"/>
  </r>
  <r>
    <x v="0"/>
    <x v="14"/>
    <s v="2790 F"/>
    <x v="219"/>
    <s v="Usman Amin"/>
    <s v="LDN"/>
    <n v="15"/>
    <s v="12"/>
    <s v="LDN"/>
    <n v="200"/>
    <x v="0"/>
    <n v="1"/>
    <n v="80.099999999999994"/>
    <n v="1.7"/>
    <m/>
    <x v="0"/>
    <n v="78.399999999999991"/>
    <n v="199.55"/>
    <m/>
    <x v="0"/>
    <x v="0"/>
    <n v="0"/>
    <n v="0"/>
    <x v="0"/>
    <x v="0"/>
    <m/>
    <x v="0"/>
    <x v="0"/>
    <x v="0"/>
    <x v="0"/>
    <x v="0"/>
    <n v="0"/>
    <n v="0"/>
    <n v="0"/>
    <n v="12"/>
    <x v="1"/>
    <x v="0"/>
    <m/>
    <x v="0"/>
    <n v="85.1"/>
    <x v="0"/>
    <x v="22"/>
    <x v="12"/>
    <x v="0"/>
    <x v="0"/>
  </r>
  <r>
    <x v="1"/>
    <x v="14"/>
    <s v="2790 F"/>
    <x v="219"/>
    <s v="Usman Amin"/>
    <s v="LDN"/>
    <n v="15"/>
    <s v="12"/>
    <s v="LDN"/>
    <n v="200"/>
    <x v="0"/>
    <n v="2"/>
    <n v="124.75"/>
    <n v="3.6"/>
    <m/>
    <x v="0"/>
    <n v="121.15"/>
    <n v="199.55"/>
    <m/>
    <x v="0"/>
    <x v="0"/>
    <n v="0"/>
    <n v="0"/>
    <x v="0"/>
    <x v="0"/>
    <m/>
    <x v="0"/>
    <x v="0"/>
    <x v="0"/>
    <x v="0"/>
    <x v="0"/>
    <n v="0"/>
    <n v="0"/>
    <n v="0"/>
    <n v="12"/>
    <x v="1"/>
    <x v="0"/>
    <m/>
    <x v="0"/>
    <n v="129.75"/>
    <x v="0"/>
    <x v="22"/>
    <x v="12"/>
    <x v="0"/>
    <x v="0"/>
  </r>
  <r>
    <x v="1"/>
    <x v="14"/>
    <s v="2803 F"/>
    <x v="219"/>
    <s v=" Usman Amin "/>
    <s v=" LDN "/>
    <n v="17"/>
    <s v="7-7.5"/>
    <s v=" LDN "/>
    <n v="57"/>
    <x v="0"/>
    <n v="2"/>
    <n v="115.1"/>
    <n v="4.0999999999999996"/>
    <m/>
    <x v="0"/>
    <n v="111"/>
    <n v="163.4"/>
    <m/>
    <x v="0"/>
    <x v="0"/>
    <n v="0"/>
    <n v="0"/>
    <x v="0"/>
    <x v="0"/>
    <m/>
    <x v="0"/>
    <x v="0"/>
    <x v="0"/>
    <x v="0"/>
    <x v="0"/>
    <n v="0"/>
    <n v="0"/>
    <n v="0"/>
    <n v="12"/>
    <x v="1"/>
    <x v="0"/>
    <m/>
    <x v="0"/>
    <n v="120.1"/>
    <x v="0"/>
    <x v="22"/>
    <x v="12"/>
    <x v="0"/>
    <x v="0"/>
  </r>
  <r>
    <x v="0"/>
    <x v="15"/>
    <s v="2785 F"/>
    <x v="219"/>
    <s v="Usman Amin"/>
    <s v="LDN"/>
    <s v="16 SHEET"/>
    <s v="3-3.25/6-6.5"/>
    <s v="LDN"/>
    <n v="1000"/>
    <x v="0"/>
    <n v="11"/>
    <n v="872.44999999999993"/>
    <n v="14.3"/>
    <m/>
    <x v="0"/>
    <n v="858.15"/>
    <n v="969.75"/>
    <m/>
    <x v="0"/>
    <x v="0"/>
    <n v="0"/>
    <n v="0"/>
    <x v="0"/>
    <x v="0"/>
    <m/>
    <x v="0"/>
    <x v="0"/>
    <x v="0"/>
    <x v="0"/>
    <x v="0"/>
    <n v="0"/>
    <n v="0"/>
    <n v="0"/>
    <n v="12"/>
    <x v="1"/>
    <x v="0"/>
    <m/>
    <x v="0"/>
    <n v="877.44999999999993"/>
    <x v="0"/>
    <x v="22"/>
    <x v="12"/>
    <x v="0"/>
    <x v="0"/>
  </r>
  <r>
    <x v="1"/>
    <x v="15"/>
    <s v="6924 J"/>
    <x v="219"/>
    <s v="Synt Chemical Lahore "/>
    <s v="LDN"/>
    <s v="525 mm"/>
    <s v="15-16/30-32"/>
    <s v="LDN"/>
    <n v="100"/>
    <x v="0"/>
    <n v="1"/>
    <n v="111.7"/>
    <n v="2.8"/>
    <m/>
    <x v="0"/>
    <n v="108.9"/>
    <n v="108.9"/>
    <m/>
    <x v="0"/>
    <x v="0"/>
    <n v="0"/>
    <n v="0"/>
    <x v="0"/>
    <x v="0"/>
    <m/>
    <x v="0"/>
    <x v="0"/>
    <x v="0"/>
    <x v="0"/>
    <x v="0"/>
    <n v="0"/>
    <n v="0"/>
    <n v="0"/>
    <n v="12"/>
    <x v="1"/>
    <x v="0"/>
    <m/>
    <x v="0"/>
    <n v="116.7"/>
    <x v="0"/>
    <x v="22"/>
    <x v="12"/>
    <x v="0"/>
    <x v="0"/>
  </r>
  <r>
    <x v="1"/>
    <x v="15"/>
    <s v="6925 J"/>
    <x v="219"/>
    <s v="Synt Chemical Lahore "/>
    <s v="LDN"/>
    <s v="525 mm"/>
    <s v="15-16/30-32"/>
    <s v="LDN"/>
    <n v="100"/>
    <x v="0"/>
    <n v="1"/>
    <n v="113.9"/>
    <n v="2.8"/>
    <m/>
    <x v="0"/>
    <n v="111.10000000000001"/>
    <n v="111.10000000000001"/>
    <m/>
    <x v="0"/>
    <x v="0"/>
    <n v="0"/>
    <n v="0"/>
    <x v="0"/>
    <x v="0"/>
    <m/>
    <x v="0"/>
    <x v="0"/>
    <x v="0"/>
    <x v="0"/>
    <x v="0"/>
    <n v="0"/>
    <n v="0"/>
    <n v="0"/>
    <n v="12"/>
    <x v="1"/>
    <x v="0"/>
    <m/>
    <x v="0"/>
    <n v="118.9"/>
    <x v="0"/>
    <x v="22"/>
    <x v="12"/>
    <x v="0"/>
    <x v="0"/>
  </r>
  <r>
    <x v="1"/>
    <x v="15"/>
    <s v="2849/1"/>
    <x v="219"/>
    <s v="MATCO FOOD"/>
    <s v="LDN"/>
    <s v="29-29.5"/>
    <s v="85±2"/>
    <s v="SL"/>
    <n v="1275"/>
    <x v="0"/>
    <n v="2"/>
    <n v="235.2"/>
    <n v="4.4000000000000004"/>
    <m/>
    <x v="0"/>
    <n v="230.79999999999998"/>
    <n v="1290.1499999999999"/>
    <m/>
    <x v="0"/>
    <x v="0"/>
    <n v="0"/>
    <n v="0"/>
    <x v="0"/>
    <x v="0"/>
    <m/>
    <x v="0"/>
    <x v="0"/>
    <x v="0"/>
    <x v="0"/>
    <x v="0"/>
    <n v="0"/>
    <n v="0"/>
    <n v="0"/>
    <n v="12"/>
    <x v="1"/>
    <x v="0"/>
    <m/>
    <x v="0"/>
    <n v="240.2"/>
    <x v="0"/>
    <x v="22"/>
    <x v="12"/>
    <x v="0"/>
    <x v="0"/>
  </r>
  <r>
    <x v="0"/>
    <x v="8"/>
    <s v="6830 J"/>
    <x v="220"/>
    <s v="Ibrar Zafar Narowal"/>
    <s v="LDN"/>
    <n v="7"/>
    <s v="14-15"/>
    <s v="LDN"/>
    <n v="300"/>
    <x v="0"/>
    <n v="2"/>
    <n v="80.699999999999989"/>
    <n v="1.8"/>
    <n v="3.1570546675116771"/>
    <x v="0"/>
    <n v="78.899999999999991"/>
    <n v="308.25"/>
    <m/>
    <x v="0"/>
    <x v="0"/>
    <n v="0"/>
    <n v="0"/>
    <x v="0"/>
    <x v="0"/>
    <m/>
    <x v="0"/>
    <x v="0"/>
    <x v="0"/>
    <x v="0"/>
    <x v="0"/>
    <n v="0"/>
    <n v="0"/>
    <n v="0"/>
    <n v="12"/>
    <x v="1"/>
    <x v="0"/>
    <m/>
    <x v="0"/>
    <n v="85.699999999999989"/>
    <x v="0"/>
    <x v="22"/>
    <x v="12"/>
    <x v="0"/>
    <x v="0"/>
  </r>
  <r>
    <x v="0"/>
    <x v="8"/>
    <s v="6902 J"/>
    <x v="220"/>
    <s v="Alam Printers Butkhela"/>
    <s v="LDN"/>
    <n v="6"/>
    <s v="14-15"/>
    <s v="LDN"/>
    <n v="100"/>
    <x v="0"/>
    <n v="1"/>
    <n v="40.4"/>
    <n v="0.8"/>
    <n v="1.5804833775399227"/>
    <x v="0"/>
    <n v="39.6"/>
    <n v="100.65"/>
    <m/>
    <x v="0"/>
    <x v="0"/>
    <n v="0"/>
    <n v="0"/>
    <x v="0"/>
    <x v="0"/>
    <m/>
    <x v="0"/>
    <x v="0"/>
    <x v="0"/>
    <x v="0"/>
    <x v="0"/>
    <n v="0"/>
    <n v="0"/>
    <n v="0"/>
    <n v="12"/>
    <x v="1"/>
    <x v="0"/>
    <m/>
    <x v="0"/>
    <n v="45.4"/>
    <x v="0"/>
    <x v="22"/>
    <x v="12"/>
    <x v="0"/>
    <x v="0"/>
  </r>
  <r>
    <x v="1"/>
    <x v="8"/>
    <s v="6902 J"/>
    <x v="220"/>
    <s v="Alam Printers Butkhela"/>
    <s v="LDN"/>
    <n v="6"/>
    <s v="14-15"/>
    <s v="LDN"/>
    <n v="100"/>
    <x v="0"/>
    <n v="2"/>
    <n v="62.65"/>
    <n v="1.6"/>
    <n v="2.4509228614573311"/>
    <x v="0"/>
    <n v="61.05"/>
    <n v="100.65"/>
    <m/>
    <x v="0"/>
    <x v="0"/>
    <n v="0"/>
    <n v="0"/>
    <x v="0"/>
    <x v="0"/>
    <m/>
    <x v="0"/>
    <x v="0"/>
    <x v="0"/>
    <x v="0"/>
    <x v="0"/>
    <n v="0"/>
    <n v="0"/>
    <n v="0"/>
    <n v="12"/>
    <x v="1"/>
    <x v="0"/>
    <m/>
    <x v="0"/>
    <n v="67.650000000000006"/>
    <x v="0"/>
    <x v="22"/>
    <x v="12"/>
    <x v="0"/>
    <x v="0"/>
  </r>
  <r>
    <x v="1"/>
    <x v="8"/>
    <s v="6904 J"/>
    <x v="220"/>
    <s v="Alam Printers Butkhela"/>
    <s v="LDN"/>
    <n v="8"/>
    <s v="14-15"/>
    <s v="LDN"/>
    <n v="100"/>
    <x v="0"/>
    <n v="1"/>
    <n v="51.65"/>
    <n v="0.1"/>
    <n v="2.0205932289588371"/>
    <x v="0"/>
    <n v="51.55"/>
    <n v="106.58"/>
    <m/>
    <x v="0"/>
    <x v="0"/>
    <n v="0"/>
    <n v="0"/>
    <x v="0"/>
    <x v="0"/>
    <m/>
    <x v="0"/>
    <x v="0"/>
    <x v="0"/>
    <x v="0"/>
    <x v="0"/>
    <n v="0"/>
    <n v="0"/>
    <n v="0"/>
    <n v="12"/>
    <x v="1"/>
    <x v="0"/>
    <m/>
    <x v="0"/>
    <n v="56.65"/>
    <x v="0"/>
    <x v="22"/>
    <x v="12"/>
    <x v="0"/>
    <x v="0"/>
  </r>
  <r>
    <x v="0"/>
    <x v="9"/>
    <s v="6827 J"/>
    <x v="220"/>
    <s v="Ibrar Zafar Narowal"/>
    <s v="LDN"/>
    <n v="5"/>
    <s v="12-12.5"/>
    <s v="LDN"/>
    <n v="100"/>
    <x v="0"/>
    <n v="2"/>
    <n v="56.1"/>
    <n v="1.6"/>
    <n v="2.1946811257423189"/>
    <x v="0"/>
    <n v="54.5"/>
    <n v="108.50999999999999"/>
    <m/>
    <x v="0"/>
    <x v="0"/>
    <n v="0"/>
    <n v="0"/>
    <x v="0"/>
    <x v="0"/>
    <m/>
    <x v="0"/>
    <x v="0"/>
    <x v="0"/>
    <x v="0"/>
    <x v="0"/>
    <n v="0"/>
    <n v="0"/>
    <n v="0"/>
    <n v="12"/>
    <x v="1"/>
    <x v="0"/>
    <m/>
    <x v="0"/>
    <n v="61.1"/>
    <x v="0"/>
    <x v="22"/>
    <x v="12"/>
    <x v="0"/>
    <x v="0"/>
  </r>
  <r>
    <x v="0"/>
    <x v="9"/>
    <s v="6856 J"/>
    <x v="220"/>
    <s v="Prime Aluminium Sundar "/>
    <s v="LDN"/>
    <n v="5"/>
    <n v="10"/>
    <s v="LDN"/>
    <n v="300"/>
    <x v="0"/>
    <n v="1"/>
    <n v="43.7"/>
    <n v="0.8"/>
    <n v="1.7095822672894712"/>
    <x v="0"/>
    <n v="42.900000000000006"/>
    <n v="743.41999999999985"/>
    <m/>
    <x v="0"/>
    <x v="0"/>
    <n v="0"/>
    <n v="0"/>
    <x v="0"/>
    <x v="0"/>
    <m/>
    <x v="0"/>
    <x v="0"/>
    <x v="0"/>
    <x v="0"/>
    <x v="0"/>
    <n v="0"/>
    <n v="0"/>
    <n v="0"/>
    <n v="12"/>
    <x v="1"/>
    <x v="0"/>
    <m/>
    <x v="0"/>
    <n v="48.7"/>
    <x v="0"/>
    <x v="22"/>
    <x v="12"/>
    <x v="0"/>
    <x v="0"/>
  </r>
  <r>
    <x v="1"/>
    <x v="9"/>
    <s v="6856 J"/>
    <x v="220"/>
    <s v="Prime Aluminium Sundar "/>
    <s v="LDN"/>
    <n v="5"/>
    <n v="10"/>
    <s v="LDN"/>
    <n v="300"/>
    <x v="0"/>
    <n v="3"/>
    <n v="115.9"/>
    <n v="2.0999999999999996"/>
    <n v="4.5341094915068583"/>
    <x v="0"/>
    <n v="113.80000000000001"/>
    <n v="743.41999999999985"/>
    <m/>
    <x v="0"/>
    <x v="0"/>
    <n v="0"/>
    <n v="0"/>
    <x v="0"/>
    <x v="0"/>
    <m/>
    <x v="0"/>
    <x v="0"/>
    <x v="0"/>
    <x v="0"/>
    <x v="0"/>
    <n v="0"/>
    <n v="0"/>
    <n v="0"/>
    <n v="12"/>
    <x v="1"/>
    <x v="0"/>
    <m/>
    <x v="0"/>
    <n v="120.9"/>
    <x v="0"/>
    <x v="22"/>
    <x v="12"/>
    <x v="0"/>
    <x v="0"/>
  </r>
  <r>
    <x v="0"/>
    <x v="11"/>
    <s v="6805 J"/>
    <x v="220"/>
    <s v="Wah Nobel Private Limited"/>
    <s v="LDN"/>
    <s v="435+30+30 MM"/>
    <s v="20-20.5/40-41"/>
    <s v="LDN"/>
    <n v="5000"/>
    <x v="0"/>
    <n v="6"/>
    <n v="247.50000000000003"/>
    <n v="13.200000000000001"/>
    <n v="9.6824167312161133"/>
    <x v="0"/>
    <n v="234.30000000000004"/>
    <n v="4996.5899999999992"/>
    <m/>
    <x v="0"/>
    <x v="0"/>
    <n v="0"/>
    <n v="0"/>
    <x v="0"/>
    <x v="0"/>
    <m/>
    <x v="0"/>
    <x v="0"/>
    <x v="0"/>
    <x v="0"/>
    <x v="0"/>
    <n v="0"/>
    <n v="0"/>
    <n v="0"/>
    <n v="12"/>
    <x v="1"/>
    <x v="0"/>
    <m/>
    <x v="0"/>
    <n v="252.50000000000003"/>
    <x v="0"/>
    <x v="22"/>
    <x v="12"/>
    <x v="0"/>
    <x v="0"/>
  </r>
  <r>
    <x v="0"/>
    <x v="11"/>
    <s v="6805 J"/>
    <x v="220"/>
    <s v="Wah Nobel Private Limited"/>
    <s v="LDN"/>
    <s v="435+30+30 MM"/>
    <s v="20-20.5/40-41"/>
    <s v="LDN"/>
    <n v="5000"/>
    <x v="0"/>
    <n v="3"/>
    <n v="150.79"/>
    <n v="6.6000000000000005"/>
    <n v="5.899036844040717"/>
    <x v="0"/>
    <n v="144.19"/>
    <n v="4996.5899999999992"/>
    <m/>
    <x v="0"/>
    <x v="0"/>
    <n v="0"/>
    <n v="0"/>
    <x v="0"/>
    <x v="0"/>
    <m/>
    <x v="0"/>
    <x v="0"/>
    <x v="0"/>
    <x v="0"/>
    <x v="0"/>
    <n v="0"/>
    <n v="0"/>
    <n v="0"/>
    <n v="12"/>
    <x v="1"/>
    <x v="0"/>
    <m/>
    <x v="0"/>
    <n v="155.79"/>
    <x v="0"/>
    <x v="22"/>
    <x v="12"/>
    <x v="0"/>
    <x v="0"/>
  </r>
  <r>
    <x v="1"/>
    <x v="11"/>
    <s v="6805 J"/>
    <x v="220"/>
    <s v="Wah Nobel Private Limited"/>
    <s v="LDN"/>
    <s v="435+30+30 MM"/>
    <s v="20-20.5/40-41"/>
    <s v="LDN"/>
    <n v="5000"/>
    <x v="0"/>
    <n v="9"/>
    <n v="428.69999999999993"/>
    <n v="18"/>
    <n v="16.771119404736755"/>
    <x v="0"/>
    <n v="410.69999999999993"/>
    <n v="4996.5899999999992"/>
    <m/>
    <x v="0"/>
    <x v="0"/>
    <n v="0"/>
    <n v="0"/>
    <x v="0"/>
    <x v="0"/>
    <m/>
    <x v="0"/>
    <x v="0"/>
    <x v="0"/>
    <x v="0"/>
    <x v="0"/>
    <n v="0"/>
    <n v="0"/>
    <n v="0"/>
    <n v="12"/>
    <x v="1"/>
    <x v="0"/>
    <m/>
    <x v="0"/>
    <n v="433.69999999999993"/>
    <x v="0"/>
    <x v="22"/>
    <x v="12"/>
    <x v="0"/>
    <x v="0"/>
  </r>
  <r>
    <x v="0"/>
    <x v="0"/>
    <s v="6904 J"/>
    <x v="221"/>
    <s v="Alam Printers Butkhela"/>
    <s v="LDN"/>
    <n v="8"/>
    <s v="14-15"/>
    <s v="LDN"/>
    <n v="100"/>
    <x v="0"/>
    <n v="1"/>
    <n v="56.03"/>
    <n v="1"/>
    <n v="2.5197067912140154"/>
    <x v="0"/>
    <n v="55.03"/>
    <n v="106.58"/>
    <n v="5"/>
    <x v="0"/>
    <x v="0"/>
    <n v="5"/>
    <n v="8.3333333333333329E-2"/>
    <x v="0"/>
    <x v="0"/>
    <m/>
    <x v="0"/>
    <x v="0"/>
    <x v="0"/>
    <x v="0"/>
    <x v="0"/>
    <n v="0"/>
    <n v="0"/>
    <n v="8.3333333333333329E-2"/>
    <n v="11.916666666666666"/>
    <x v="1"/>
    <x v="0"/>
    <m/>
    <x v="0"/>
    <n v="61.03"/>
    <x v="0"/>
    <x v="23"/>
    <x v="13"/>
    <x v="0"/>
    <x v="0"/>
  </r>
  <r>
    <x v="0"/>
    <x v="0"/>
    <s v="6905 J"/>
    <x v="221"/>
    <s v="Alam Printers Butkhela"/>
    <s v="LDN"/>
    <n v="9"/>
    <s v="14-15"/>
    <s v="LDN"/>
    <n v="100"/>
    <x v="0"/>
    <n v="2"/>
    <n v="106.74000000000001"/>
    <n v="2"/>
    <n v="4.800169603679886"/>
    <x v="0"/>
    <n v="104.74000000000001"/>
    <n v="104.74000000000001"/>
    <m/>
    <x v="0"/>
    <x v="0"/>
    <n v="0"/>
    <n v="0"/>
    <x v="0"/>
    <x v="0"/>
    <m/>
    <x v="0"/>
    <x v="0"/>
    <x v="0"/>
    <x v="0"/>
    <x v="0"/>
    <n v="0"/>
    <n v="0"/>
    <n v="0"/>
    <n v="12"/>
    <x v="1"/>
    <x v="0"/>
    <m/>
    <x v="0"/>
    <n v="111.74000000000001"/>
    <x v="0"/>
    <x v="23"/>
    <x v="13"/>
    <x v="0"/>
    <x v="0"/>
  </r>
  <r>
    <x v="0"/>
    <x v="0"/>
    <s v="2808 F"/>
    <x v="221"/>
    <s v="Usman Amin"/>
    <s v="LDN"/>
    <n v="10"/>
    <s v="6-6.5"/>
    <s v="LDN"/>
    <n v="90"/>
    <x v="0"/>
    <n v="1"/>
    <n v="49.06"/>
    <n v="1.2"/>
    <n v="2.2062612025157882"/>
    <x v="0"/>
    <n v="47.86"/>
    <n v="100.06"/>
    <m/>
    <x v="0"/>
    <x v="0"/>
    <n v="0"/>
    <n v="0"/>
    <x v="0"/>
    <x v="0"/>
    <m/>
    <x v="0"/>
    <x v="0"/>
    <x v="0"/>
    <x v="0"/>
    <x v="0"/>
    <n v="0"/>
    <n v="0"/>
    <n v="0"/>
    <n v="12"/>
    <x v="1"/>
    <x v="0"/>
    <m/>
    <x v="0"/>
    <n v="54.06"/>
    <x v="0"/>
    <x v="23"/>
    <x v="13"/>
    <x v="0"/>
    <x v="0"/>
  </r>
  <r>
    <x v="1"/>
    <x v="0"/>
    <s v="2808 F"/>
    <x v="221"/>
    <s v="Usman Amin"/>
    <s v="LDN"/>
    <n v="10"/>
    <s v="6-6.5"/>
    <s v="LDN"/>
    <n v="90"/>
    <x v="0"/>
    <n v="1"/>
    <n v="53.4"/>
    <n v="1.2"/>
    <n v="2.4014339220208534"/>
    <x v="0"/>
    <n v="52.199999999999996"/>
    <n v="100.06"/>
    <m/>
    <x v="0"/>
    <x v="0"/>
    <n v="0"/>
    <n v="0"/>
    <x v="0"/>
    <x v="0"/>
    <m/>
    <x v="0"/>
    <x v="0"/>
    <x v="0"/>
    <x v="0"/>
    <x v="0"/>
    <n v="0"/>
    <n v="0"/>
    <n v="0"/>
    <n v="12"/>
    <x v="1"/>
    <x v="0"/>
    <m/>
    <x v="0"/>
    <n v="58.4"/>
    <x v="0"/>
    <x v="23"/>
    <x v="13"/>
    <x v="0"/>
    <x v="0"/>
  </r>
  <r>
    <x v="1"/>
    <x v="0"/>
    <s v="6958 J"/>
    <x v="221"/>
    <s v="H Dost Industry Lahore"/>
    <s v="LDN"/>
    <n v="8"/>
    <s v="18-19"/>
    <s v="LDN"/>
    <n v="425"/>
    <x v="0"/>
    <n v="2"/>
    <n v="107.8"/>
    <n v="2"/>
    <n v="4.8478385167387268"/>
    <x v="0"/>
    <n v="105.8"/>
    <n v="423.77"/>
    <m/>
    <x v="0"/>
    <x v="0"/>
    <n v="0"/>
    <n v="0"/>
    <x v="0"/>
    <x v="0"/>
    <m/>
    <x v="0"/>
    <x v="0"/>
    <x v="0"/>
    <x v="0"/>
    <x v="0"/>
    <n v="0"/>
    <n v="0"/>
    <n v="0"/>
    <n v="12"/>
    <x v="1"/>
    <x v="0"/>
    <m/>
    <x v="0"/>
    <n v="112.8"/>
    <x v="0"/>
    <x v="23"/>
    <x v="13"/>
    <x v="0"/>
    <x v="0"/>
  </r>
  <r>
    <x v="0"/>
    <x v="1"/>
    <s v="6856 J"/>
    <x v="221"/>
    <s v="Prime Aluminium Sundar "/>
    <s v="LDN"/>
    <n v="5"/>
    <n v="10"/>
    <s v="LDN"/>
    <n v="300"/>
    <x v="0"/>
    <n v="4"/>
    <n v="152.20000000000002"/>
    <n v="2.8"/>
    <n v="6.8445363844864033"/>
    <x v="0"/>
    <n v="149.4"/>
    <n v="743.41999999999985"/>
    <m/>
    <x v="0"/>
    <x v="0"/>
    <n v="0"/>
    <n v="0"/>
    <x v="0"/>
    <x v="0"/>
    <m/>
    <x v="0"/>
    <x v="0"/>
    <x v="0"/>
    <x v="0"/>
    <x v="0"/>
    <n v="0"/>
    <n v="0"/>
    <n v="0"/>
    <n v="12"/>
    <x v="1"/>
    <x v="0"/>
    <m/>
    <x v="0"/>
    <n v="157.20000000000002"/>
    <x v="0"/>
    <x v="23"/>
    <x v="13"/>
    <x v="0"/>
    <x v="0"/>
  </r>
  <r>
    <x v="1"/>
    <x v="1"/>
    <s v="6855 J"/>
    <x v="221"/>
    <s v="Prime Aluminium Sundar "/>
    <s v="LDN"/>
    <n v="4"/>
    <n v="10"/>
    <s v="LDN"/>
    <n v="300"/>
    <x v="0"/>
    <n v="5"/>
    <n v="146.9"/>
    <n v="3"/>
    <n v="6.6061918191921984"/>
    <x v="0"/>
    <n v="143.9"/>
    <n v="293.89999999999998"/>
    <m/>
    <x v="0"/>
    <x v="0"/>
    <n v="0"/>
    <n v="0"/>
    <x v="0"/>
    <x v="0"/>
    <m/>
    <x v="0"/>
    <x v="0"/>
    <x v="0"/>
    <x v="0"/>
    <x v="0"/>
    <n v="0"/>
    <n v="0"/>
    <n v="0"/>
    <n v="12"/>
    <x v="1"/>
    <x v="0"/>
    <m/>
    <x v="0"/>
    <n v="151.9"/>
    <x v="0"/>
    <x v="23"/>
    <x v="13"/>
    <x v="0"/>
    <x v="0"/>
  </r>
  <r>
    <x v="0"/>
    <x v="3"/>
    <s v="6805 J"/>
    <x v="221"/>
    <s v="Wah Nobel Private Limited"/>
    <s v="LDN"/>
    <s v="435+30+30 MM"/>
    <s v="20-20.5/40-41"/>
    <s v="LDN"/>
    <n v="5000"/>
    <x v="0"/>
    <n v="6"/>
    <n v="263.57"/>
    <n v="13.200000000000001"/>
    <n v="11.85292020275349"/>
    <x v="0"/>
    <n v="250.37"/>
    <n v="4996.5899999999992"/>
    <m/>
    <x v="0"/>
    <x v="0"/>
    <n v="0"/>
    <n v="0"/>
    <x v="0"/>
    <x v="0"/>
    <m/>
    <x v="0"/>
    <x v="0"/>
    <x v="0"/>
    <x v="0"/>
    <x v="0"/>
    <n v="0"/>
    <n v="0"/>
    <n v="0"/>
    <n v="12"/>
    <x v="1"/>
    <x v="0"/>
    <m/>
    <x v="0"/>
    <n v="268.57"/>
    <x v="0"/>
    <x v="23"/>
    <x v="13"/>
    <x v="0"/>
    <x v="0"/>
  </r>
  <r>
    <x v="0"/>
    <x v="3"/>
    <s v="6805 J"/>
    <x v="221"/>
    <s v="Wah Nobel Private Limited"/>
    <s v="LDN"/>
    <s v="435+30+30 MM"/>
    <s v="20-20.5/40-41"/>
    <s v="LDN"/>
    <n v="5000"/>
    <x v="0"/>
    <n v="3"/>
    <n v="149.65"/>
    <n v="6.6000000000000005"/>
    <n v="6.7298611691090029"/>
    <x v="0"/>
    <n v="143.05000000000001"/>
    <n v="4996.5899999999992"/>
    <m/>
    <x v="0"/>
    <x v="0"/>
    <n v="0"/>
    <n v="0"/>
    <x v="0"/>
    <x v="0"/>
    <m/>
    <x v="0"/>
    <x v="0"/>
    <x v="0"/>
    <x v="0"/>
    <x v="0"/>
    <n v="0"/>
    <n v="0"/>
    <n v="0"/>
    <n v="12"/>
    <x v="1"/>
    <x v="0"/>
    <m/>
    <x v="0"/>
    <n v="154.65"/>
    <x v="0"/>
    <x v="23"/>
    <x v="13"/>
    <x v="0"/>
    <x v="0"/>
  </r>
  <r>
    <x v="1"/>
    <x v="3"/>
    <s v="6805 J"/>
    <x v="221"/>
    <s v="Wah Nobel Private Limited"/>
    <s v="LDN"/>
    <s v="435+30+30 MM"/>
    <s v="20-20.5/40-41"/>
    <s v="LDN"/>
    <n v="5000"/>
    <x v="0"/>
    <n v="10"/>
    <n v="502.2"/>
    <n v="22"/>
    <n v="22.584271828443306"/>
    <x v="0"/>
    <n v="480.2"/>
    <n v="4996.5899999999992"/>
    <m/>
    <x v="0"/>
    <x v="0"/>
    <n v="0"/>
    <n v="0"/>
    <x v="0"/>
    <x v="0"/>
    <m/>
    <x v="0"/>
    <x v="0"/>
    <x v="0"/>
    <x v="0"/>
    <x v="0"/>
    <n v="0"/>
    <n v="0"/>
    <n v="0"/>
    <n v="12"/>
    <x v="1"/>
    <x v="0"/>
    <m/>
    <x v="0"/>
    <n v="507.2"/>
    <x v="0"/>
    <x v="23"/>
    <x v="13"/>
    <x v="0"/>
    <x v="0"/>
  </r>
  <r>
    <x v="1"/>
    <x v="5"/>
    <s v="2849/1"/>
    <x v="221"/>
    <s v="MATCO FOOD"/>
    <s v="LDN"/>
    <s v="29-29.5"/>
    <s v="85±2"/>
    <s v="SL"/>
    <n v="1275"/>
    <x v="0"/>
    <n v="6"/>
    <n v="729.85"/>
    <n v="21.6"/>
    <n v="32.82184546791985"/>
    <x v="0"/>
    <n v="708.25"/>
    <n v="1290.1499999999999"/>
    <m/>
    <x v="0"/>
    <x v="0"/>
    <n v="0"/>
    <n v="0"/>
    <x v="0"/>
    <x v="0"/>
    <m/>
    <x v="0"/>
    <x v="0"/>
    <x v="0"/>
    <x v="0"/>
    <x v="0"/>
    <n v="0"/>
    <n v="0"/>
    <n v="0"/>
    <n v="12"/>
    <x v="1"/>
    <x v="0"/>
    <m/>
    <x v="0"/>
    <n v="734.85"/>
    <x v="0"/>
    <x v="23"/>
    <x v="13"/>
    <x v="0"/>
    <x v="0"/>
  </r>
  <r>
    <x v="0"/>
    <x v="17"/>
    <s v="2849/1"/>
    <x v="221"/>
    <s v="MATCO FOOD"/>
    <s v="LDN"/>
    <s v="29-29.5"/>
    <s v="85±2"/>
    <s v="SL"/>
    <n v="1275"/>
    <x v="0"/>
    <n v="2"/>
    <n v="243.3"/>
    <n v="4.8000000000000007"/>
    <n v="10.941364667184901"/>
    <x v="0"/>
    <n v="238.5"/>
    <n v="1290.1499999999999"/>
    <m/>
    <x v="0"/>
    <x v="0"/>
    <n v="0"/>
    <n v="0"/>
    <x v="0"/>
    <x v="0"/>
    <m/>
    <x v="0"/>
    <x v="0"/>
    <x v="0"/>
    <x v="0"/>
    <x v="0"/>
    <n v="0"/>
    <n v="0"/>
    <n v="0"/>
    <n v="12"/>
    <x v="1"/>
    <x v="0"/>
    <m/>
    <x v="0"/>
    <n v="248.3"/>
    <x v="0"/>
    <x v="23"/>
    <x v="13"/>
    <x v="0"/>
    <x v="0"/>
  </r>
  <r>
    <x v="0"/>
    <x v="17"/>
    <s v="2806 F"/>
    <x v="221"/>
    <s v="Usman Amin"/>
    <s v="LDN"/>
    <n v="19"/>
    <s v="7"/>
    <s v="LDN"/>
    <n v="95"/>
    <x v="0"/>
    <n v="1"/>
    <n v="70.7"/>
    <n v="2.2000000000000002"/>
    <n v="3.1794265596792952"/>
    <x v="0"/>
    <n v="68.5"/>
    <n v="105"/>
    <m/>
    <x v="0"/>
    <x v="0"/>
    <n v="0"/>
    <n v="0"/>
    <x v="0"/>
    <x v="0"/>
    <m/>
    <x v="0"/>
    <x v="0"/>
    <x v="0"/>
    <x v="0"/>
    <x v="0"/>
    <n v="0"/>
    <n v="0"/>
    <n v="0"/>
    <n v="12"/>
    <x v="1"/>
    <x v="0"/>
    <m/>
    <x v="0"/>
    <n v="75.7"/>
    <x v="0"/>
    <x v="23"/>
    <x v="13"/>
    <x v="0"/>
    <x v="0"/>
  </r>
  <r>
    <x v="1"/>
    <x v="17"/>
    <s v="2805 F"/>
    <x v="221"/>
    <s v="Usman Amin"/>
    <s v="LDN"/>
    <n v="19"/>
    <s v="7"/>
    <s v="LDN"/>
    <n v="615"/>
    <x v="0"/>
    <n v="5"/>
    <n v="443.3"/>
    <n v="11"/>
    <n v="19.935499206588847"/>
    <x v="0"/>
    <n v="432.3"/>
    <n v="637"/>
    <m/>
    <x v="0"/>
    <x v="0"/>
    <n v="0"/>
    <n v="0"/>
    <x v="0"/>
    <x v="0"/>
    <m/>
    <x v="0"/>
    <x v="0"/>
    <x v="0"/>
    <x v="0"/>
    <x v="0"/>
    <n v="0"/>
    <n v="0"/>
    <n v="0"/>
    <n v="12"/>
    <x v="1"/>
    <x v="0"/>
    <m/>
    <x v="0"/>
    <n v="448.3"/>
    <x v="0"/>
    <x v="23"/>
    <x v="13"/>
    <x v="0"/>
    <x v="0"/>
  </r>
  <r>
    <x v="1"/>
    <x v="17"/>
    <s v="2806 F"/>
    <x v="221"/>
    <s v="Usman Amin"/>
    <s v="LDN"/>
    <n v="19"/>
    <s v="7"/>
    <s v="LDN"/>
    <n v="95"/>
    <x v="0"/>
    <n v="1"/>
    <n v="38.700000000000003"/>
    <n v="2.2000000000000002"/>
    <n v="1.7403650333746636"/>
    <x v="0"/>
    <n v="36.5"/>
    <n v="105"/>
    <m/>
    <x v="0"/>
    <x v="0"/>
    <n v="0"/>
    <n v="0"/>
    <x v="0"/>
    <x v="0"/>
    <m/>
    <x v="0"/>
    <x v="0"/>
    <x v="0"/>
    <x v="0"/>
    <x v="0"/>
    <n v="0"/>
    <n v="0"/>
    <n v="0"/>
    <n v="12"/>
    <x v="1"/>
    <x v="0"/>
    <m/>
    <x v="0"/>
    <n v="43.7"/>
    <x v="0"/>
    <x v="23"/>
    <x v="13"/>
    <x v="0"/>
    <x v="0"/>
  </r>
  <r>
    <x v="0"/>
    <x v="8"/>
    <s v="6958 J"/>
    <x v="222"/>
    <s v="H Dost Industry Lahore"/>
    <s v="LDN"/>
    <n v="8"/>
    <s v="18-19"/>
    <s v="LDN"/>
    <n v="425"/>
    <x v="0"/>
    <n v="3"/>
    <n v="159.57"/>
    <n v="3.3"/>
    <n v="6"/>
    <x v="0"/>
    <n v="156.26999999999998"/>
    <n v="423.77"/>
    <m/>
    <x v="0"/>
    <x v="0"/>
    <n v="0"/>
    <n v="0"/>
    <x v="0"/>
    <x v="0"/>
    <m/>
    <x v="0"/>
    <x v="0"/>
    <x v="0"/>
    <x v="0"/>
    <x v="0"/>
    <n v="0"/>
    <n v="0"/>
    <n v="0"/>
    <n v="12"/>
    <x v="1"/>
    <x v="0"/>
    <m/>
    <x v="0"/>
    <n v="164.57"/>
    <x v="0"/>
    <x v="23"/>
    <x v="13"/>
    <x v="0"/>
    <x v="0"/>
  </r>
  <r>
    <x v="1"/>
    <x v="8"/>
    <s v="6958 J"/>
    <x v="222"/>
    <s v="H Dost Industry Lahore"/>
    <s v="LDN"/>
    <n v="8"/>
    <s v="18-19"/>
    <s v="LDN"/>
    <n v="425"/>
    <x v="0"/>
    <n v="3"/>
    <n v="165.2"/>
    <n v="3.5"/>
    <n v="3"/>
    <x v="0"/>
    <n v="161.69999999999999"/>
    <n v="423.77"/>
    <m/>
    <x v="0"/>
    <x v="0"/>
    <n v="0"/>
    <n v="0"/>
    <x v="0"/>
    <x v="0"/>
    <m/>
    <x v="0"/>
    <x v="0"/>
    <x v="0"/>
    <x v="0"/>
    <x v="0"/>
    <n v="0"/>
    <n v="0"/>
    <n v="0"/>
    <n v="12"/>
    <x v="1"/>
    <x v="0"/>
    <m/>
    <x v="0"/>
    <n v="170.2"/>
    <x v="0"/>
    <x v="23"/>
    <x v="13"/>
    <x v="0"/>
    <x v="0"/>
  </r>
  <r>
    <x v="0"/>
    <x v="9"/>
    <s v="6855 J"/>
    <x v="222"/>
    <s v="Prime Aluminium Sundar "/>
    <s v="LDN"/>
    <n v="4"/>
    <n v="10"/>
    <s v="LDN"/>
    <n v="300"/>
    <x v="0"/>
    <n v="4"/>
    <n v="121"/>
    <n v="2.4"/>
    <m/>
    <x v="0"/>
    <n v="118.6"/>
    <n v="293.89999999999998"/>
    <m/>
    <x v="0"/>
    <x v="0"/>
    <n v="0"/>
    <n v="0"/>
    <x v="0"/>
    <x v="0"/>
    <m/>
    <x v="0"/>
    <x v="0"/>
    <x v="0"/>
    <x v="0"/>
    <x v="0"/>
    <n v="0"/>
    <n v="0"/>
    <n v="0"/>
    <n v="12"/>
    <x v="1"/>
    <x v="0"/>
    <m/>
    <x v="0"/>
    <n v="126"/>
    <x v="0"/>
    <x v="23"/>
    <x v="13"/>
    <x v="0"/>
    <x v="0"/>
  </r>
  <r>
    <x v="1"/>
    <x v="9"/>
    <s v="6855 J"/>
    <x v="222"/>
    <s v="Prime Aluminium Sundar "/>
    <s v="LDN"/>
    <n v="4"/>
    <n v="10"/>
    <s v="LDN"/>
    <n v="300"/>
    <x v="0"/>
    <n v="1"/>
    <n v="31.8"/>
    <n v="0.4"/>
    <n v="3"/>
    <x v="0"/>
    <n v="31.400000000000002"/>
    <n v="293.89999999999998"/>
    <n v="5"/>
    <x v="0"/>
    <x v="0"/>
    <n v="5"/>
    <n v="8.3333333333333329E-2"/>
    <x v="0"/>
    <x v="0"/>
    <m/>
    <x v="0"/>
    <x v="0"/>
    <x v="0"/>
    <x v="0"/>
    <x v="0"/>
    <n v="0"/>
    <n v="0"/>
    <n v="8.3333333333333329E-2"/>
    <n v="11.916666666666666"/>
    <x v="1"/>
    <x v="0"/>
    <m/>
    <x v="0"/>
    <n v="36.799999999999997"/>
    <x v="0"/>
    <x v="23"/>
    <x v="13"/>
    <x v="0"/>
    <x v="0"/>
  </r>
  <r>
    <x v="1"/>
    <x v="9"/>
    <s v="6966 J"/>
    <x v="222"/>
    <s v="M Faisal Gujranwala"/>
    <s v="LDN"/>
    <n v="7"/>
    <s v="10-10.5"/>
    <s v="LDN"/>
    <n v="150"/>
    <x v="0"/>
    <n v="3"/>
    <n v="147.9"/>
    <n v="3.5999999999999996"/>
    <m/>
    <x v="0"/>
    <n v="144.30000000000001"/>
    <n v="144.30000000000001"/>
    <m/>
    <x v="0"/>
    <x v="0"/>
    <n v="0"/>
    <n v="0"/>
    <x v="0"/>
    <x v="0"/>
    <m/>
    <x v="0"/>
    <x v="0"/>
    <x v="0"/>
    <x v="0"/>
    <x v="0"/>
    <n v="0"/>
    <n v="0"/>
    <n v="0"/>
    <n v="12"/>
    <x v="1"/>
    <x v="0"/>
    <m/>
    <x v="0"/>
    <n v="152.9"/>
    <x v="0"/>
    <x v="23"/>
    <x v="13"/>
    <x v="0"/>
    <x v="0"/>
  </r>
  <r>
    <x v="0"/>
    <x v="11"/>
    <s v="6805 J"/>
    <x v="222"/>
    <s v="Wah Nobel Private Limited"/>
    <s v="LDN"/>
    <s v="435+30+30 MM"/>
    <s v="20-20.5/40-41"/>
    <s v="LDN"/>
    <n v="5000"/>
    <x v="0"/>
    <n v="6"/>
    <n v="315.8"/>
    <n v="12.600000000000001"/>
    <m/>
    <x v="0"/>
    <n v="303.2"/>
    <n v="4996.5899999999992"/>
    <m/>
    <x v="0"/>
    <x v="0"/>
    <n v="0"/>
    <n v="0"/>
    <x v="0"/>
    <x v="0"/>
    <m/>
    <x v="0"/>
    <x v="0"/>
    <x v="0"/>
    <x v="0"/>
    <x v="0"/>
    <n v="0"/>
    <n v="0"/>
    <n v="0"/>
    <n v="12"/>
    <x v="1"/>
    <x v="0"/>
    <m/>
    <x v="0"/>
    <n v="320.8"/>
    <x v="0"/>
    <x v="23"/>
    <x v="13"/>
    <x v="0"/>
    <x v="0"/>
  </r>
  <r>
    <x v="1"/>
    <x v="11"/>
    <s v="6805 J"/>
    <x v="222"/>
    <s v="Wah Nobel Private Limited"/>
    <s v="LDN"/>
    <s v="435+30+30 MM"/>
    <s v="20-20.5/40-41"/>
    <s v="LDN"/>
    <n v="5000"/>
    <x v="0"/>
    <n v="2"/>
    <n v="84.54"/>
    <n v="4"/>
    <n v="80"/>
    <x v="0"/>
    <n v="80.540000000000006"/>
    <n v="4996.5899999999992"/>
    <n v="5"/>
    <x v="0"/>
    <x v="0"/>
    <n v="5"/>
    <n v="8.3333333333333329E-2"/>
    <x v="0"/>
    <x v="0"/>
    <m/>
    <x v="0"/>
    <x v="0"/>
    <x v="0"/>
    <x v="0"/>
    <x v="0"/>
    <n v="0"/>
    <n v="0"/>
    <n v="8.3333333333333329E-2"/>
    <n v="11.916666666666666"/>
    <x v="1"/>
    <x v="0"/>
    <m/>
    <x v="0"/>
    <n v="89.54"/>
    <x v="0"/>
    <x v="23"/>
    <x v="13"/>
    <x v="0"/>
    <x v="0"/>
  </r>
  <r>
    <x v="1"/>
    <x v="11"/>
    <s v="7022 J"/>
    <x v="222"/>
    <s v="Zubaida Assosiate Pvt LTD"/>
    <s v="LDN"/>
    <n v="14"/>
    <s v="20-21"/>
    <s v="LDN"/>
    <n v="150"/>
    <x v="0"/>
    <n v="3"/>
    <n v="170.39999999999998"/>
    <n v="5.4"/>
    <m/>
    <x v="0"/>
    <n v="164.99999999999997"/>
    <n v="488.2"/>
    <m/>
    <x v="0"/>
    <x v="0"/>
    <n v="0"/>
    <n v="0"/>
    <x v="0"/>
    <x v="0"/>
    <m/>
    <x v="0"/>
    <x v="0"/>
    <x v="0"/>
    <x v="0"/>
    <x v="0"/>
    <n v="0"/>
    <n v="0"/>
    <n v="0"/>
    <n v="12"/>
    <x v="1"/>
    <x v="0"/>
    <m/>
    <x v="0"/>
    <n v="175.39999999999998"/>
    <x v="0"/>
    <x v="23"/>
    <x v="13"/>
    <x v="0"/>
    <x v="0"/>
  </r>
  <r>
    <x v="0"/>
    <x v="14"/>
    <s v="2849/1"/>
    <x v="222"/>
    <s v="MATCO FOOD"/>
    <s v="LDN"/>
    <s v="29-29.5"/>
    <s v="85±2"/>
    <s v="SL"/>
    <n v="1275"/>
    <x v="0"/>
    <n v="1"/>
    <n v="115.8"/>
    <n v="3.2"/>
    <m/>
    <x v="0"/>
    <n v="112.6"/>
    <n v="1290.1499999999999"/>
    <n v="10"/>
    <x v="0"/>
    <x v="0"/>
    <n v="10"/>
    <n v="0.16666666666666666"/>
    <x v="0"/>
    <x v="0"/>
    <m/>
    <x v="0"/>
    <x v="0"/>
    <x v="0"/>
    <x v="0"/>
    <x v="0"/>
    <n v="0"/>
    <n v="0"/>
    <n v="0.16666666666666666"/>
    <n v="11.833333333333334"/>
    <x v="1"/>
    <x v="0"/>
    <m/>
    <x v="0"/>
    <n v="120.8"/>
    <x v="0"/>
    <x v="23"/>
    <x v="13"/>
    <x v="0"/>
    <x v="0"/>
  </r>
  <r>
    <x v="0"/>
    <x v="14"/>
    <s v="6959 J"/>
    <x v="222"/>
    <s v="H Dost Industry Lahore"/>
    <s v="LDN"/>
    <s v="36 شیٹ"/>
    <s v="4.5-5/9-10"/>
    <s v="LDN"/>
    <n v="160"/>
    <x v="0"/>
    <n v="4"/>
    <n v="204.2"/>
    <n v="14.4"/>
    <n v="40"/>
    <x v="0"/>
    <n v="189.79999999999998"/>
    <n v="189.79999999999998"/>
    <n v="15"/>
    <x v="0"/>
    <x v="0"/>
    <n v="15"/>
    <n v="0.25"/>
    <x v="0"/>
    <x v="0"/>
    <m/>
    <x v="0"/>
    <x v="0"/>
    <x v="0"/>
    <x v="0"/>
    <x v="0"/>
    <n v="0"/>
    <n v="0"/>
    <n v="0.25"/>
    <n v="11.75"/>
    <x v="1"/>
    <x v="0"/>
    <m/>
    <x v="0"/>
    <n v="209.2"/>
    <x v="0"/>
    <x v="23"/>
    <x v="13"/>
    <x v="0"/>
    <x v="0"/>
  </r>
  <r>
    <x v="0"/>
    <x v="14"/>
    <s v="2789 F"/>
    <x v="222"/>
    <s v="Usman Amin"/>
    <s v="LDM"/>
    <n v="14"/>
    <s v="18"/>
    <s v="LDM"/>
    <n v="475"/>
    <x v="0"/>
    <n v="4"/>
    <n v="293.7"/>
    <n v="6.4"/>
    <m/>
    <x v="0"/>
    <n v="287.3"/>
    <n v="483.7"/>
    <m/>
    <x v="0"/>
    <x v="0"/>
    <n v="0"/>
    <n v="0"/>
    <x v="0"/>
    <x v="0"/>
    <m/>
    <x v="0"/>
    <x v="6"/>
    <x v="0"/>
    <x v="0"/>
    <x v="0"/>
    <n v="30"/>
    <n v="0.5"/>
    <n v="0.5"/>
    <n v="11.5"/>
    <x v="1"/>
    <x v="0"/>
    <m/>
    <x v="0"/>
    <n v="298.7"/>
    <x v="0"/>
    <x v="23"/>
    <x v="13"/>
    <x v="0"/>
    <x v="0"/>
  </r>
  <r>
    <x v="1"/>
    <x v="14"/>
    <s v="2789 F"/>
    <x v="222"/>
    <s v="Usman Amin"/>
    <s v="LDM"/>
    <n v="14"/>
    <s v="18"/>
    <s v="LDM"/>
    <n v="475"/>
    <x v="0"/>
    <n v="2"/>
    <n v="126.1"/>
    <n v="3.2"/>
    <n v="46"/>
    <x v="0"/>
    <n v="122.89999999999999"/>
    <n v="483.7"/>
    <n v="6"/>
    <x v="0"/>
    <x v="0"/>
    <n v="6"/>
    <n v="0.1"/>
    <x v="0"/>
    <x v="0"/>
    <m/>
    <x v="0"/>
    <x v="0"/>
    <x v="0"/>
    <x v="0"/>
    <x v="0"/>
    <n v="0"/>
    <n v="0"/>
    <n v="0.1"/>
    <n v="11.9"/>
    <x v="1"/>
    <x v="0"/>
    <m/>
    <x v="0"/>
    <n v="131.1"/>
    <x v="0"/>
    <x v="23"/>
    <x v="13"/>
    <x v="0"/>
    <x v="0"/>
  </r>
  <r>
    <x v="1"/>
    <x v="14"/>
    <s v="6746 J"/>
    <x v="222"/>
    <s v="Ibraheem Beauty Shop Jehlum"/>
    <s v="LDM"/>
    <n v="18"/>
    <s v="15-15.5"/>
    <s v="LDM"/>
    <n v="100"/>
    <x v="0"/>
    <n v="2"/>
    <n v="105.7"/>
    <n v="4.4000000000000004"/>
    <m/>
    <x v="0"/>
    <n v="101.3"/>
    <n v="101.3"/>
    <n v="6"/>
    <x v="0"/>
    <x v="0"/>
    <n v="6"/>
    <n v="0.1"/>
    <x v="0"/>
    <x v="0"/>
    <m/>
    <x v="0"/>
    <x v="0"/>
    <x v="0"/>
    <x v="0"/>
    <x v="0"/>
    <n v="0"/>
    <n v="0"/>
    <n v="0.1"/>
    <n v="11.9"/>
    <x v="1"/>
    <x v="0"/>
    <m/>
    <x v="0"/>
    <n v="110.7"/>
    <x v="0"/>
    <x v="23"/>
    <x v="13"/>
    <x v="0"/>
    <x v="0"/>
  </r>
  <r>
    <x v="1"/>
    <x v="14"/>
    <s v="6956 J"/>
    <x v="222"/>
    <s v="Ramada Gulberg Lahore "/>
    <s v="LDM"/>
    <n v="16"/>
    <s v="12-13."/>
    <s v="LDM"/>
    <n v="200"/>
    <x v="0"/>
    <n v="3"/>
    <n v="203.60000000000002"/>
    <n v="5.2"/>
    <m/>
    <x v="0"/>
    <n v="198.40000000000003"/>
    <n v="198.40000000000003"/>
    <n v="6"/>
    <x v="0"/>
    <x v="0"/>
    <n v="6"/>
    <n v="0.1"/>
    <x v="0"/>
    <x v="0"/>
    <m/>
    <x v="0"/>
    <x v="0"/>
    <x v="0"/>
    <x v="0"/>
    <x v="0"/>
    <n v="0"/>
    <n v="0"/>
    <n v="0.1"/>
    <n v="11.9"/>
    <x v="1"/>
    <x v="0"/>
    <m/>
    <x v="0"/>
    <n v="208.60000000000002"/>
    <x v="0"/>
    <x v="23"/>
    <x v="13"/>
    <x v="0"/>
    <x v="0"/>
  </r>
  <r>
    <x v="1"/>
    <x v="14"/>
    <s v="6816 J"/>
    <x v="222"/>
    <s v="Sheikh Iqbal Cloth and Botique Center Lhr"/>
    <s v="LDM"/>
    <n v="20"/>
    <s v="15-16"/>
    <s v="LDM"/>
    <n v="100"/>
    <x v="0"/>
    <n v="1"/>
    <n v="103"/>
    <n v="2.2000000000000002"/>
    <m/>
    <x v="0"/>
    <n v="100.8"/>
    <n v="100.8"/>
    <m/>
    <x v="0"/>
    <x v="0"/>
    <n v="0"/>
    <n v="0"/>
    <x v="0"/>
    <x v="0"/>
    <m/>
    <x v="0"/>
    <x v="0"/>
    <x v="0"/>
    <x v="0"/>
    <x v="0"/>
    <n v="0"/>
    <n v="0"/>
    <n v="0"/>
    <n v="12"/>
    <x v="1"/>
    <x v="0"/>
    <m/>
    <x v="0"/>
    <n v="108"/>
    <x v="0"/>
    <x v="23"/>
    <x v="13"/>
    <x v="0"/>
    <x v="0"/>
  </r>
  <r>
    <x v="1"/>
    <x v="14"/>
    <s v="6999 J"/>
    <x v="222"/>
    <s v="Nawab Jilani Plastic Layyah"/>
    <s v="LDM"/>
    <n v="20"/>
    <s v="15-16"/>
    <s v="LDM"/>
    <n v="100"/>
    <x v="0"/>
    <n v="1"/>
    <n v="103.9"/>
    <n v="2.1"/>
    <m/>
    <x v="0"/>
    <n v="101.80000000000001"/>
    <n v="101.80000000000001"/>
    <m/>
    <x v="0"/>
    <x v="0"/>
    <n v="0"/>
    <n v="0"/>
    <x v="0"/>
    <x v="0"/>
    <m/>
    <x v="0"/>
    <x v="0"/>
    <x v="0"/>
    <x v="0"/>
    <x v="0"/>
    <n v="0"/>
    <n v="0"/>
    <n v="0"/>
    <n v="12"/>
    <x v="1"/>
    <x v="0"/>
    <m/>
    <x v="0"/>
    <n v="108.9"/>
    <x v="0"/>
    <x v="23"/>
    <x v="13"/>
    <x v="0"/>
    <x v="0"/>
  </r>
  <r>
    <x v="0"/>
    <x v="15"/>
    <s v="2805 F"/>
    <x v="222"/>
    <s v="Usman Amin"/>
    <s v="LDN"/>
    <n v="19"/>
    <s v="7"/>
    <s v="LDN"/>
    <n v="615"/>
    <x v="0"/>
    <n v="3"/>
    <n v="211.9"/>
    <n v="7.1999999999999993"/>
    <n v="20"/>
    <x v="0"/>
    <n v="204.70000000000002"/>
    <n v="637"/>
    <m/>
    <x v="0"/>
    <x v="0"/>
    <n v="0"/>
    <n v="0"/>
    <x v="0"/>
    <x v="0"/>
    <m/>
    <x v="0"/>
    <x v="0"/>
    <x v="0"/>
    <x v="0"/>
    <x v="0"/>
    <n v="0"/>
    <n v="0"/>
    <n v="0"/>
    <n v="12"/>
    <x v="1"/>
    <x v="0"/>
    <m/>
    <x v="0"/>
    <n v="216.9"/>
    <x v="0"/>
    <x v="23"/>
    <x v="13"/>
    <x v="0"/>
    <x v="0"/>
  </r>
  <r>
    <x v="0"/>
    <x v="15"/>
    <s v="2801 F"/>
    <x v="222"/>
    <s v=" Usman Amin "/>
    <s v=" LDN "/>
    <n v="16.75"/>
    <s v="8-8.5"/>
    <s v=" LDN "/>
    <n v="1000"/>
    <x v="0"/>
    <n v="4"/>
    <n v="231.5"/>
    <n v="8.8000000000000007"/>
    <m/>
    <x v="0"/>
    <n v="222.7"/>
    <n v="1202.5"/>
    <n v="5"/>
    <x v="0"/>
    <x v="0"/>
    <n v="5"/>
    <n v="8.3333333333333329E-2"/>
    <x v="0"/>
    <x v="0"/>
    <m/>
    <x v="0"/>
    <x v="2"/>
    <x v="0"/>
    <x v="0"/>
    <x v="0"/>
    <n v="60"/>
    <n v="1"/>
    <n v="1.0833333333333333"/>
    <n v="10.916666666666666"/>
    <x v="1"/>
    <x v="0"/>
    <m/>
    <x v="0"/>
    <n v="236.5"/>
    <x v="0"/>
    <x v="23"/>
    <x v="13"/>
    <x v="0"/>
    <x v="0"/>
  </r>
  <r>
    <x v="1"/>
    <x v="15"/>
    <s v="2810 F"/>
    <x v="222"/>
    <s v="Usman Amin"/>
    <s v="LDN"/>
    <n v="17"/>
    <s v="7"/>
    <s v="LDN"/>
    <n v="80"/>
    <x v="0"/>
    <n v="2"/>
    <n v="91.4"/>
    <n v="3.6"/>
    <m/>
    <x v="0"/>
    <n v="87.800000000000011"/>
    <n v="87.800000000000011"/>
    <n v="5"/>
    <x v="0"/>
    <x v="0"/>
    <n v="5"/>
    <n v="8.3333333333333329E-2"/>
    <x v="0"/>
    <x v="0"/>
    <m/>
    <x v="0"/>
    <x v="0"/>
    <x v="0"/>
    <x v="0"/>
    <x v="0"/>
    <n v="0"/>
    <n v="0"/>
    <n v="8.3333333333333329E-2"/>
    <n v="11.916666666666666"/>
    <x v="1"/>
    <x v="0"/>
    <m/>
    <x v="0"/>
    <n v="96.4"/>
    <x v="0"/>
    <x v="23"/>
    <x v="13"/>
    <x v="0"/>
    <x v="0"/>
  </r>
  <r>
    <x v="1"/>
    <x v="15"/>
    <s v="2809 F"/>
    <x v="222"/>
    <s v="Usman Amin"/>
    <s v="LDN"/>
    <n v="18"/>
    <s v="7"/>
    <s v="LDN"/>
    <n v="70"/>
    <x v="0"/>
    <n v="1"/>
    <n v="73.099999999999994"/>
    <n v="2"/>
    <n v="10"/>
    <x v="0"/>
    <n v="71.099999999999994"/>
    <n v="71.099999999999994"/>
    <n v="5"/>
    <x v="0"/>
    <x v="0"/>
    <n v="5"/>
    <n v="8.3333333333333329E-2"/>
    <x v="0"/>
    <x v="0"/>
    <m/>
    <x v="0"/>
    <x v="0"/>
    <x v="0"/>
    <x v="0"/>
    <x v="0"/>
    <n v="0"/>
    <n v="0"/>
    <n v="8.3333333333333329E-2"/>
    <n v="11.916666666666666"/>
    <x v="1"/>
    <x v="0"/>
    <m/>
    <x v="0"/>
    <n v="78.099999999999994"/>
    <x v="0"/>
    <x v="23"/>
    <x v="13"/>
    <x v="0"/>
    <x v="0"/>
  </r>
  <r>
    <x v="1"/>
    <x v="15"/>
    <s v="2817 F"/>
    <x v="222"/>
    <s v="Usman Amin"/>
    <s v="LDN"/>
    <n v="19"/>
    <s v="6-6.5"/>
    <s v="LDN"/>
    <n v="270"/>
    <x v="0"/>
    <n v="3"/>
    <n v="221.29999999999998"/>
    <n v="6.5"/>
    <m/>
    <x v="0"/>
    <n v="214.79999999999998"/>
    <n v="267.79999999999995"/>
    <m/>
    <x v="0"/>
    <x v="0"/>
    <n v="0"/>
    <n v="0"/>
    <x v="0"/>
    <x v="0"/>
    <m/>
    <x v="0"/>
    <x v="0"/>
    <x v="0"/>
    <x v="0"/>
    <x v="0"/>
    <n v="0"/>
    <n v="0"/>
    <n v="0"/>
    <n v="12"/>
    <x v="1"/>
    <x v="0"/>
    <m/>
    <x v="0"/>
    <n v="226.29999999999998"/>
    <x v="0"/>
    <x v="23"/>
    <x v="13"/>
    <x v="0"/>
    <x v="0"/>
  </r>
  <r>
    <x v="0"/>
    <x v="8"/>
    <s v="6906 J"/>
    <x v="223"/>
    <s v="Alam Printers Butkhela"/>
    <s v="LDN"/>
    <n v="11"/>
    <s v="14-15"/>
    <s v="LDN"/>
    <n v="100"/>
    <x v="0"/>
    <n v="2"/>
    <n v="112.5"/>
    <n v="2.6"/>
    <m/>
    <x v="0"/>
    <n v="109.9"/>
    <n v="109.9"/>
    <m/>
    <x v="0"/>
    <x v="0"/>
    <n v="0"/>
    <n v="0"/>
    <x v="0"/>
    <x v="0"/>
    <m/>
    <x v="0"/>
    <x v="0"/>
    <x v="0"/>
    <x v="0"/>
    <x v="0"/>
    <n v="0"/>
    <n v="0"/>
    <n v="0"/>
    <n v="12"/>
    <x v="1"/>
    <x v="0"/>
    <m/>
    <x v="0"/>
    <n v="117.5"/>
    <x v="0"/>
    <x v="23"/>
    <x v="13"/>
    <x v="0"/>
    <x v="0"/>
  </r>
  <r>
    <x v="0"/>
    <x v="8"/>
    <s v="6990 J"/>
    <x v="223"/>
    <s v="Dot Focks Lhr C/O Shahid Qadri Sb"/>
    <s v="LDN"/>
    <n v="10"/>
    <s v="5-6"/>
    <s v="LDN"/>
    <n v="50"/>
    <x v="0"/>
    <n v="2"/>
    <n v="81.5"/>
    <n v="2.5"/>
    <m/>
    <x v="0"/>
    <n v="79"/>
    <n v="79"/>
    <m/>
    <x v="0"/>
    <x v="0"/>
    <n v="0"/>
    <n v="0"/>
    <x v="0"/>
    <x v="0"/>
    <m/>
    <x v="0"/>
    <x v="0"/>
    <x v="0"/>
    <x v="0"/>
    <x v="0"/>
    <n v="0"/>
    <n v="0"/>
    <n v="0"/>
    <n v="12"/>
    <x v="1"/>
    <x v="0"/>
    <m/>
    <x v="0"/>
    <n v="86.5"/>
    <x v="0"/>
    <x v="23"/>
    <x v="13"/>
    <x v="0"/>
    <x v="0"/>
  </r>
  <r>
    <x v="1"/>
    <x v="8"/>
    <s v="7042 J"/>
    <x v="223"/>
    <s v="Daimond Tast And Health PVT LTD"/>
    <s v="LDN"/>
    <n v="8"/>
    <s v="15.5-16"/>
    <s v="LDN"/>
    <n v="125"/>
    <x v="0"/>
    <n v="2"/>
    <n v="117.1"/>
    <n v="2.2000000000000002"/>
    <n v="6"/>
    <x v="0"/>
    <n v="114.89999999999999"/>
    <n v="114.89999999999999"/>
    <m/>
    <x v="0"/>
    <x v="0"/>
    <n v="0"/>
    <n v="0"/>
    <x v="0"/>
    <x v="0"/>
    <m/>
    <x v="2"/>
    <x v="0"/>
    <x v="0"/>
    <x v="0"/>
    <x v="0"/>
    <n v="5"/>
    <n v="8.3333333333333329E-2"/>
    <n v="8.3333333333333329E-2"/>
    <n v="11.916666666666666"/>
    <x v="1"/>
    <x v="0"/>
    <m/>
    <x v="0"/>
    <n v="122.1"/>
    <x v="0"/>
    <x v="23"/>
    <x v="13"/>
    <x v="0"/>
    <x v="0"/>
  </r>
  <r>
    <x v="1"/>
    <x v="8"/>
    <s v="7025 J"/>
    <x v="223"/>
    <s v="HaseebRehman Garden LHR"/>
    <s v="LDN"/>
    <n v="5"/>
    <s v="10.5-11"/>
    <s v="LDN"/>
    <n v="100"/>
    <x v="0"/>
    <n v="2"/>
    <n v="65.3"/>
    <n v="1.6"/>
    <m/>
    <x v="0"/>
    <n v="63.699999999999996"/>
    <n v="100.9"/>
    <m/>
    <x v="0"/>
    <x v="0"/>
    <n v="0"/>
    <n v="0"/>
    <x v="0"/>
    <x v="0"/>
    <m/>
    <x v="0"/>
    <x v="0"/>
    <x v="0"/>
    <x v="0"/>
    <x v="0"/>
    <n v="0"/>
    <n v="0"/>
    <n v="0"/>
    <n v="12"/>
    <x v="1"/>
    <x v="0"/>
    <m/>
    <x v="0"/>
    <n v="70.3"/>
    <x v="0"/>
    <x v="23"/>
    <x v="13"/>
    <x v="0"/>
    <x v="0"/>
  </r>
  <r>
    <x v="0"/>
    <x v="9"/>
    <s v="6957 J"/>
    <x v="223"/>
    <s v="Salman Plastic Store AJK"/>
    <s v="LDN"/>
    <n v="7"/>
    <n v="14"/>
    <s v="LDN"/>
    <n v="100"/>
    <x v="0"/>
    <n v="2"/>
    <n v="105.3"/>
    <n v="2"/>
    <n v="5"/>
    <x v="0"/>
    <n v="103.3"/>
    <n v="103.3"/>
    <n v="5"/>
    <x v="0"/>
    <x v="0"/>
    <n v="5"/>
    <n v="8.3333333333333329E-2"/>
    <x v="0"/>
    <x v="0"/>
    <m/>
    <x v="0"/>
    <x v="0"/>
    <x v="0"/>
    <x v="0"/>
    <x v="0"/>
    <n v="0"/>
    <n v="0"/>
    <n v="8.3333333333333329E-2"/>
    <n v="11.916666666666666"/>
    <x v="1"/>
    <x v="0"/>
    <m/>
    <x v="0"/>
    <n v="110.3"/>
    <x v="0"/>
    <x v="23"/>
    <x v="13"/>
    <x v="0"/>
    <x v="0"/>
  </r>
  <r>
    <x v="0"/>
    <x v="9"/>
    <s v="7043 J"/>
    <x v="223"/>
    <s v="Wah Nobel Private Limited"/>
    <s v="LD گولڈن پیلا"/>
    <s v="140MM"/>
    <s v="29-30"/>
    <s v="LDM"/>
    <n v="1000"/>
    <x v="0"/>
    <n v="1"/>
    <n v="50.4"/>
    <n v="1"/>
    <m/>
    <x v="0"/>
    <n v="49.4"/>
    <n v="1002.7800000000001"/>
    <m/>
    <x v="0"/>
    <x v="0"/>
    <n v="0"/>
    <n v="0"/>
    <x v="0"/>
    <x v="0"/>
    <m/>
    <x v="0"/>
    <x v="0"/>
    <x v="0"/>
    <x v="0"/>
    <x v="0"/>
    <n v="0"/>
    <n v="0"/>
    <n v="0"/>
    <n v="12"/>
    <x v="1"/>
    <x v="0"/>
    <m/>
    <x v="0"/>
    <n v="55.4"/>
    <x v="0"/>
    <x v="23"/>
    <x v="13"/>
    <x v="0"/>
    <x v="0"/>
  </r>
  <r>
    <x v="1"/>
    <x v="9"/>
    <s v="7043 J"/>
    <x v="223"/>
    <s v="Wah Nobel Private Limited"/>
    <s v="LD گولڈن پیلا"/>
    <s v="140MM"/>
    <s v="29-30"/>
    <s v="LDM"/>
    <n v="1000"/>
    <x v="0"/>
    <n v="4"/>
    <n v="194.39999999999998"/>
    <n v="2.8"/>
    <n v="10"/>
    <x v="0"/>
    <n v="191.59999999999997"/>
    <n v="1002.7800000000001"/>
    <m/>
    <x v="0"/>
    <x v="0"/>
    <n v="0"/>
    <n v="0"/>
    <x v="0"/>
    <x v="0"/>
    <m/>
    <x v="0"/>
    <x v="0"/>
    <x v="0"/>
    <x v="0"/>
    <x v="0"/>
    <n v="0"/>
    <n v="0"/>
    <n v="0"/>
    <n v="12"/>
    <x v="1"/>
    <x v="0"/>
    <m/>
    <x v="0"/>
    <n v="199.39999999999998"/>
    <x v="0"/>
    <x v="23"/>
    <x v="13"/>
    <x v="0"/>
    <x v="0"/>
  </r>
  <r>
    <x v="0"/>
    <x v="11"/>
    <s v="2811 F"/>
    <x v="223"/>
    <s v="Usman Amin"/>
    <s v="LDN"/>
    <n v="15"/>
    <s v="12"/>
    <s v="LDN"/>
    <n v="250"/>
    <x v="0"/>
    <n v="4"/>
    <n v="261.89999999999998"/>
    <n v="7.6"/>
    <m/>
    <x v="0"/>
    <n v="254.29999999999998"/>
    <n v="254.29999999999998"/>
    <m/>
    <x v="0"/>
    <x v="0"/>
    <n v="0"/>
    <n v="0"/>
    <x v="0"/>
    <x v="0"/>
    <m/>
    <x v="0"/>
    <x v="0"/>
    <x v="0"/>
    <x v="0"/>
    <x v="0"/>
    <n v="0"/>
    <n v="0"/>
    <n v="0"/>
    <n v="12"/>
    <x v="1"/>
    <x v="0"/>
    <m/>
    <x v="0"/>
    <n v="266.89999999999998"/>
    <x v="0"/>
    <x v="23"/>
    <x v="13"/>
    <x v="0"/>
    <x v="0"/>
  </r>
  <r>
    <x v="0"/>
    <x v="11"/>
    <s v="6907 J"/>
    <x v="223"/>
    <s v="Allied Impex Sialkot"/>
    <s v="LDN"/>
    <n v="17"/>
    <s v="8-8.5"/>
    <s v="LDN"/>
    <n v="160"/>
    <x v="0"/>
    <n v="1"/>
    <n v="70"/>
    <n v="2.4"/>
    <n v="10"/>
    <x v="0"/>
    <n v="67.599999999999994"/>
    <n v="170.4"/>
    <n v="7"/>
    <x v="0"/>
    <x v="0"/>
    <n v="7"/>
    <n v="0.11666666666666667"/>
    <x v="0"/>
    <x v="0"/>
    <m/>
    <x v="0"/>
    <x v="0"/>
    <x v="0"/>
    <x v="0"/>
    <x v="0"/>
    <n v="0"/>
    <n v="0"/>
    <n v="0.11666666666666667"/>
    <n v="11.883333333333333"/>
    <x v="1"/>
    <x v="0"/>
    <m/>
    <x v="0"/>
    <n v="75"/>
    <x v="0"/>
    <x v="23"/>
    <x v="13"/>
    <x v="0"/>
    <x v="0"/>
  </r>
  <r>
    <x v="1"/>
    <x v="11"/>
    <s v="6907 J"/>
    <x v="223"/>
    <s v="Allied Impex Sialkot"/>
    <s v="LDN"/>
    <n v="17"/>
    <s v="8-8.5"/>
    <s v="LDN"/>
    <n v="160"/>
    <x v="0"/>
    <n v="2"/>
    <n v="106.80000000000001"/>
    <n v="4"/>
    <m/>
    <x v="0"/>
    <n v="102.80000000000001"/>
    <n v="170.4"/>
    <m/>
    <x v="0"/>
    <x v="0"/>
    <n v="0"/>
    <n v="0"/>
    <x v="0"/>
    <x v="0"/>
    <m/>
    <x v="0"/>
    <x v="0"/>
    <x v="0"/>
    <x v="0"/>
    <x v="0"/>
    <n v="0"/>
    <n v="0"/>
    <n v="0"/>
    <n v="12"/>
    <x v="1"/>
    <x v="0"/>
    <m/>
    <x v="0"/>
    <n v="111.80000000000001"/>
    <x v="0"/>
    <x v="23"/>
    <x v="13"/>
    <x v="0"/>
    <x v="0"/>
  </r>
  <r>
    <x v="1"/>
    <x v="11"/>
    <s v="2803 F"/>
    <x v="223"/>
    <s v=" Usman Amin "/>
    <s v=" LDN "/>
    <n v="17"/>
    <s v="7-7.5"/>
    <s v=" LDN "/>
    <n v="57"/>
    <x v="0"/>
    <n v="1"/>
    <n v="54.4"/>
    <n v="2"/>
    <m/>
    <x v="0"/>
    <n v="52.4"/>
    <n v="163.4"/>
    <m/>
    <x v="0"/>
    <x v="0"/>
    <n v="0"/>
    <n v="0"/>
    <x v="0"/>
    <x v="0"/>
    <m/>
    <x v="0"/>
    <x v="0"/>
    <x v="0"/>
    <x v="0"/>
    <x v="0"/>
    <n v="0"/>
    <n v="0"/>
    <n v="0"/>
    <n v="12"/>
    <x v="1"/>
    <x v="0"/>
    <m/>
    <x v="0"/>
    <n v="59.4"/>
    <x v="0"/>
    <x v="23"/>
    <x v="13"/>
    <x v="0"/>
    <x v="0"/>
  </r>
  <r>
    <x v="1"/>
    <x v="11"/>
    <s v="7022 J"/>
    <x v="223"/>
    <s v="Zubaida Assosiate Pvt LTD"/>
    <s v="LDN"/>
    <n v="14"/>
    <s v="20-21"/>
    <s v="LDN"/>
    <n v="150"/>
    <x v="0"/>
    <n v="3"/>
    <n v="202.9"/>
    <n v="4.1999999999999993"/>
    <m/>
    <x v="0"/>
    <n v="198.70000000000002"/>
    <n v="488.2"/>
    <m/>
    <x v="0"/>
    <x v="0"/>
    <n v="0"/>
    <n v="0"/>
    <x v="0"/>
    <x v="0"/>
    <m/>
    <x v="0"/>
    <x v="0"/>
    <x v="0"/>
    <x v="0"/>
    <x v="0"/>
    <n v="0"/>
    <n v="0"/>
    <n v="0"/>
    <n v="12"/>
    <x v="1"/>
    <x v="0"/>
    <m/>
    <x v="0"/>
    <n v="207.9"/>
    <x v="0"/>
    <x v="23"/>
    <x v="13"/>
    <x v="0"/>
    <x v="0"/>
  </r>
  <r>
    <x v="0"/>
    <x v="14"/>
    <s v="6955 J"/>
    <x v="223"/>
    <s v="Acefit Timber Market LHR"/>
    <s v="LDM"/>
    <n v="20"/>
    <s v="11-11.5"/>
    <s v="LDM"/>
    <n v="200"/>
    <x v="0"/>
    <n v="3"/>
    <n v="234.8"/>
    <n v="7.1999999999999993"/>
    <m/>
    <x v="0"/>
    <n v="227.60000000000002"/>
    <n v="227.60000000000002"/>
    <m/>
    <x v="0"/>
    <x v="0"/>
    <n v="0"/>
    <n v="0"/>
    <x v="0"/>
    <x v="0"/>
    <m/>
    <x v="0"/>
    <x v="0"/>
    <x v="0"/>
    <x v="0"/>
    <x v="0"/>
    <n v="0"/>
    <n v="0"/>
    <n v="0"/>
    <n v="12"/>
    <x v="1"/>
    <x v="0"/>
    <m/>
    <x v="0"/>
    <n v="239.8"/>
    <x v="0"/>
    <x v="23"/>
    <x v="13"/>
    <x v="0"/>
    <x v="0"/>
  </r>
  <r>
    <x v="0"/>
    <x v="14"/>
    <m/>
    <x v="223"/>
    <s v="THENK YOU"/>
    <m/>
    <n v="20"/>
    <s v="11-12"/>
    <m/>
    <m/>
    <x v="0"/>
    <n v="1"/>
    <n v="45.2"/>
    <n v="2"/>
    <m/>
    <x v="0"/>
    <n v="43.2"/>
    <n v="0"/>
    <m/>
    <x v="0"/>
    <x v="0"/>
    <n v="0"/>
    <n v="0"/>
    <x v="0"/>
    <x v="0"/>
    <m/>
    <x v="0"/>
    <x v="0"/>
    <x v="0"/>
    <x v="0"/>
    <x v="0"/>
    <n v="0"/>
    <n v="0"/>
    <n v="0"/>
    <n v="12"/>
    <x v="1"/>
    <x v="0"/>
    <m/>
    <x v="0"/>
    <n v="50.2"/>
    <x v="0"/>
    <x v="23"/>
    <x v="13"/>
    <x v="0"/>
    <x v="0"/>
  </r>
  <r>
    <x v="0"/>
    <x v="14"/>
    <s v="6933 J"/>
    <x v="223"/>
    <s v="Pakistan Card Clothing Pvt LTD"/>
    <s v="LDM"/>
    <n v="17.5"/>
    <s v="15-16"/>
    <s v="LDM"/>
    <n v="100"/>
    <x v="0"/>
    <n v="2"/>
    <n v="110.7"/>
    <n v="4"/>
    <m/>
    <x v="0"/>
    <n v="106.7"/>
    <n v="106.7"/>
    <m/>
    <x v="0"/>
    <x v="0"/>
    <n v="0"/>
    <n v="0"/>
    <x v="0"/>
    <x v="0"/>
    <m/>
    <x v="0"/>
    <x v="0"/>
    <x v="0"/>
    <x v="0"/>
    <x v="0"/>
    <n v="0"/>
    <n v="0"/>
    <n v="0"/>
    <n v="12"/>
    <x v="1"/>
    <x v="0"/>
    <m/>
    <x v="0"/>
    <n v="115.7"/>
    <x v="0"/>
    <x v="23"/>
    <x v="13"/>
    <x v="0"/>
    <x v="0"/>
  </r>
  <r>
    <x v="0"/>
    <x v="14"/>
    <s v="6932 J"/>
    <x v="223"/>
    <s v="Pakistan Card Clothing Pvt LTD"/>
    <s v="LDM"/>
    <s v="24+8+8"/>
    <s v="19-20"/>
    <s v="LDM"/>
    <n v="100"/>
    <x v="0"/>
    <n v="2"/>
    <n v="121.7"/>
    <n v="10.4"/>
    <n v="68"/>
    <x v="0"/>
    <n v="111.3"/>
    <n v="111.3"/>
    <m/>
    <x v="0"/>
    <x v="0"/>
    <n v="0"/>
    <n v="0"/>
    <x v="0"/>
    <x v="0"/>
    <m/>
    <x v="0"/>
    <x v="0"/>
    <x v="0"/>
    <x v="0"/>
    <x v="0"/>
    <n v="0"/>
    <n v="0"/>
    <n v="0"/>
    <n v="12"/>
    <x v="1"/>
    <x v="0"/>
    <m/>
    <x v="0"/>
    <n v="126.7"/>
    <x v="0"/>
    <x v="23"/>
    <x v="13"/>
    <x v="0"/>
    <x v="0"/>
  </r>
  <r>
    <x v="1"/>
    <x v="14"/>
    <s v="6928 J"/>
    <x v="223"/>
    <s v="IHSAN Cotton Products Pvt. LTD"/>
    <s v="LDN"/>
    <n v="40"/>
    <n v="6"/>
    <s v="LDN"/>
    <n v="500"/>
    <x v="0"/>
    <n v="8"/>
    <n v="538.65"/>
    <n v="32"/>
    <n v="30"/>
    <x v="0"/>
    <n v="506.65"/>
    <n v="506.65"/>
    <m/>
    <x v="0"/>
    <x v="0"/>
    <n v="0"/>
    <n v="0"/>
    <x v="0"/>
    <x v="0"/>
    <m/>
    <x v="0"/>
    <x v="0"/>
    <x v="0"/>
    <x v="0"/>
    <x v="0"/>
    <n v="0"/>
    <n v="0"/>
    <n v="0"/>
    <n v="12"/>
    <x v="1"/>
    <x v="0"/>
    <m/>
    <x v="0"/>
    <n v="543.65"/>
    <x v="0"/>
    <x v="23"/>
    <x v="13"/>
    <x v="0"/>
    <x v="0"/>
  </r>
  <r>
    <x v="1"/>
    <x v="14"/>
    <s v="6927 J"/>
    <x v="223"/>
    <s v="IHSAN Cotton Products Pvt. LTD"/>
    <s v="LDN"/>
    <n v="36"/>
    <n v="6"/>
    <s v="LDN"/>
    <n v="500"/>
    <x v="0"/>
    <n v="6"/>
    <n v="397.15000000000003"/>
    <n v="22.799999999999997"/>
    <m/>
    <x v="0"/>
    <n v="374.35"/>
    <n v="444.95000000000005"/>
    <m/>
    <x v="0"/>
    <x v="0"/>
    <n v="0"/>
    <n v="0"/>
    <x v="0"/>
    <x v="0"/>
    <m/>
    <x v="0"/>
    <x v="0"/>
    <x v="0"/>
    <x v="0"/>
    <x v="0"/>
    <n v="0"/>
    <n v="0"/>
    <n v="0"/>
    <n v="12"/>
    <x v="1"/>
    <x v="0"/>
    <m/>
    <x v="0"/>
    <n v="402.15000000000003"/>
    <x v="0"/>
    <x v="23"/>
    <x v="13"/>
    <x v="0"/>
    <x v="0"/>
  </r>
  <r>
    <x v="0"/>
    <x v="15"/>
    <s v="2817 F"/>
    <x v="223"/>
    <s v="Usman Amin"/>
    <s v="LDN"/>
    <n v="19"/>
    <s v="6-6.5"/>
    <s v="LDN"/>
    <n v="270"/>
    <x v="0"/>
    <n v="1"/>
    <n v="55.4"/>
    <n v="2.4"/>
    <m/>
    <x v="0"/>
    <n v="53"/>
    <n v="267.79999999999995"/>
    <m/>
    <x v="0"/>
    <x v="0"/>
    <n v="0"/>
    <n v="0"/>
    <x v="0"/>
    <x v="0"/>
    <m/>
    <x v="0"/>
    <x v="0"/>
    <x v="0"/>
    <x v="0"/>
    <x v="0"/>
    <n v="0"/>
    <n v="0"/>
    <n v="0"/>
    <n v="12"/>
    <x v="1"/>
    <x v="0"/>
    <m/>
    <x v="0"/>
    <n v="60.4"/>
    <x v="0"/>
    <x v="23"/>
    <x v="13"/>
    <x v="0"/>
    <x v="0"/>
  </r>
  <r>
    <x v="0"/>
    <x v="15"/>
    <s v="2820 F"/>
    <x v="223"/>
    <s v="Usman Amin"/>
    <s v="LDN"/>
    <n v="19"/>
    <s v="12"/>
    <s v="LDN"/>
    <n v="150"/>
    <x v="0"/>
    <n v="2"/>
    <n v="150.69999999999999"/>
    <n v="4.8"/>
    <m/>
    <x v="0"/>
    <n v="145.89999999999998"/>
    <n v="145.89999999999998"/>
    <m/>
    <x v="0"/>
    <x v="0"/>
    <n v="0"/>
    <n v="0"/>
    <x v="0"/>
    <x v="0"/>
    <m/>
    <x v="0"/>
    <x v="0"/>
    <x v="0"/>
    <x v="0"/>
    <x v="0"/>
    <n v="0"/>
    <n v="0"/>
    <n v="0"/>
    <n v="12"/>
    <x v="1"/>
    <x v="0"/>
    <m/>
    <x v="0"/>
    <n v="155.69999999999999"/>
    <x v="0"/>
    <x v="23"/>
    <x v="13"/>
    <x v="0"/>
    <x v="0"/>
  </r>
  <r>
    <x v="0"/>
    <x v="15"/>
    <s v="6931 J"/>
    <x v="223"/>
    <s v="IHSAN Cotton Products Pvt. LTD"/>
    <s v="LDN"/>
    <n v="8"/>
    <n v="6"/>
    <s v="LDN"/>
    <n v="100"/>
    <x v="0"/>
    <n v="2"/>
    <n v="111.44999999999999"/>
    <n v="4.5999999999999996"/>
    <n v="8"/>
    <x v="0"/>
    <n v="106.85"/>
    <n v="106.85"/>
    <m/>
    <x v="0"/>
    <x v="0"/>
    <n v="0"/>
    <n v="0"/>
    <x v="0"/>
    <x v="0"/>
    <m/>
    <x v="0"/>
    <x v="0"/>
    <x v="0"/>
    <x v="0"/>
    <x v="0"/>
    <n v="0"/>
    <n v="0"/>
    <n v="0"/>
    <n v="12"/>
    <x v="1"/>
    <x v="0"/>
    <m/>
    <x v="0"/>
    <n v="116.44999999999999"/>
    <x v="0"/>
    <x v="23"/>
    <x v="13"/>
    <x v="0"/>
    <x v="0"/>
  </r>
  <r>
    <x v="0"/>
    <x v="15"/>
    <s v="6930 J"/>
    <x v="223"/>
    <s v="IHSAN Cotton Products Pvt. LTD"/>
    <s v="LDN"/>
    <n v="20"/>
    <n v="6"/>
    <s v="LDN"/>
    <n v="100"/>
    <x v="0"/>
    <n v="2"/>
    <n v="113.8"/>
    <n v="5"/>
    <m/>
    <x v="0"/>
    <n v="108.8"/>
    <n v="108.8"/>
    <m/>
    <x v="0"/>
    <x v="0"/>
    <n v="0"/>
    <n v="0"/>
    <x v="0"/>
    <x v="0"/>
    <m/>
    <x v="0"/>
    <x v="0"/>
    <x v="0"/>
    <x v="0"/>
    <x v="0"/>
    <n v="0"/>
    <n v="0"/>
    <n v="0"/>
    <n v="12"/>
    <x v="1"/>
    <x v="0"/>
    <m/>
    <x v="0"/>
    <n v="118.8"/>
    <x v="0"/>
    <x v="23"/>
    <x v="13"/>
    <x v="0"/>
    <x v="0"/>
  </r>
  <r>
    <x v="1"/>
    <x v="15"/>
    <s v="2815 F"/>
    <x v="223"/>
    <s v="Usman Amin"/>
    <s v="LDN"/>
    <n v="25"/>
    <s v="7"/>
    <s v="LDN"/>
    <n v="155"/>
    <x v="0"/>
    <n v="2"/>
    <n v="105.36"/>
    <n v="5.6"/>
    <n v="10"/>
    <x v="0"/>
    <n v="99.76"/>
    <n v="99.76"/>
    <m/>
    <x v="0"/>
    <x v="0"/>
    <n v="0"/>
    <n v="0"/>
    <x v="0"/>
    <x v="0"/>
    <m/>
    <x v="0"/>
    <x v="0"/>
    <x v="0"/>
    <x v="0"/>
    <x v="0"/>
    <n v="0"/>
    <n v="0"/>
    <n v="0"/>
    <n v="12"/>
    <x v="1"/>
    <x v="0"/>
    <m/>
    <x v="0"/>
    <n v="110.36"/>
    <x v="0"/>
    <x v="23"/>
    <x v="13"/>
    <x v="0"/>
    <x v="0"/>
  </r>
  <r>
    <x v="1"/>
    <x v="15"/>
    <s v="6981 J"/>
    <x v="223"/>
    <s v="Irfan Sab Azam Market Lahore "/>
    <s v="LDN"/>
    <n v="25"/>
    <s v="12"/>
    <s v="LDN"/>
    <n v="125"/>
    <x v="0"/>
    <n v="2"/>
    <n v="130.44999999999999"/>
    <n v="5.6"/>
    <m/>
    <x v="0"/>
    <n v="124.85"/>
    <n v="124.85"/>
    <m/>
    <x v="0"/>
    <x v="0"/>
    <n v="0"/>
    <n v="0"/>
    <x v="0"/>
    <x v="0"/>
    <m/>
    <x v="0"/>
    <x v="0"/>
    <x v="0"/>
    <x v="0"/>
    <x v="0"/>
    <n v="0"/>
    <n v="0"/>
    <n v="0"/>
    <n v="12"/>
    <x v="1"/>
    <x v="0"/>
    <m/>
    <x v="0"/>
    <n v="135.44999999999999"/>
    <x v="0"/>
    <x v="23"/>
    <x v="13"/>
    <x v="0"/>
    <x v="0"/>
  </r>
  <r>
    <x v="1"/>
    <x v="15"/>
    <s v="6968 J"/>
    <x v="223"/>
    <s v="Royal Brook Lahore"/>
    <s v="LDN"/>
    <n v="24"/>
    <s v="8-8.5"/>
    <s v="LDN"/>
    <n v="200"/>
    <x v="0"/>
    <n v="2"/>
    <n v="202.7"/>
    <n v="5.4"/>
    <m/>
    <x v="0"/>
    <n v="197.29999999999998"/>
    <n v="197.29999999999998"/>
    <m/>
    <x v="0"/>
    <x v="0"/>
    <n v="0"/>
    <n v="0"/>
    <x v="0"/>
    <x v="0"/>
    <m/>
    <x v="0"/>
    <x v="0"/>
    <x v="0"/>
    <x v="0"/>
    <x v="0"/>
    <n v="0"/>
    <n v="0"/>
    <n v="0"/>
    <n v="12"/>
    <x v="1"/>
    <x v="0"/>
    <m/>
    <x v="0"/>
    <n v="207.7"/>
    <x v="0"/>
    <x v="23"/>
    <x v="13"/>
    <x v="0"/>
    <x v="0"/>
  </r>
  <r>
    <x v="0"/>
    <x v="8"/>
    <s v="7025 J"/>
    <x v="224"/>
    <s v="HaseebRehman Garden LHR"/>
    <s v="LDN"/>
    <n v="5"/>
    <s v="10.5-11"/>
    <s v="LDN"/>
    <n v="100"/>
    <x v="0"/>
    <n v="1"/>
    <n v="38"/>
    <n v="0.8"/>
    <m/>
    <x v="0"/>
    <n v="37.200000000000003"/>
    <n v="100.9"/>
    <m/>
    <x v="0"/>
    <x v="0"/>
    <n v="0"/>
    <n v="0"/>
    <x v="0"/>
    <x v="0"/>
    <m/>
    <x v="0"/>
    <x v="0"/>
    <x v="0"/>
    <x v="0"/>
    <x v="0"/>
    <n v="0"/>
    <n v="0"/>
    <n v="0"/>
    <n v="12"/>
    <x v="1"/>
    <x v="0"/>
    <m/>
    <x v="0"/>
    <n v="43"/>
    <x v="0"/>
    <x v="23"/>
    <x v="13"/>
    <x v="0"/>
    <x v="0"/>
  </r>
  <r>
    <x v="0"/>
    <x v="8"/>
    <s v="6856 J"/>
    <x v="224"/>
    <s v="Prime Aluminium Sundar "/>
    <s v="LDN"/>
    <n v="5"/>
    <n v="10"/>
    <s v="LDN"/>
    <n v="300"/>
    <x v="0"/>
    <n v="2"/>
    <n v="65.919999999999987"/>
    <n v="1.2"/>
    <m/>
    <x v="0"/>
    <n v="64.719999999999985"/>
    <n v="743.41999999999985"/>
    <m/>
    <x v="0"/>
    <x v="0"/>
    <n v="0"/>
    <n v="0"/>
    <x v="0"/>
    <x v="0"/>
    <m/>
    <x v="0"/>
    <x v="0"/>
    <x v="0"/>
    <x v="0"/>
    <x v="0"/>
    <n v="0"/>
    <n v="0"/>
    <n v="0"/>
    <n v="12"/>
    <x v="1"/>
    <x v="0"/>
    <m/>
    <x v="0"/>
    <n v="70.919999999999987"/>
    <x v="0"/>
    <x v="23"/>
    <x v="13"/>
    <x v="0"/>
    <x v="0"/>
  </r>
  <r>
    <x v="1"/>
    <x v="8"/>
    <s v="6856 J"/>
    <x v="224"/>
    <s v="Prime Aluminium Sundar "/>
    <s v="LDN"/>
    <n v="5"/>
    <n v="10"/>
    <s v="LDN"/>
    <n v="300"/>
    <x v="0"/>
    <n v="4"/>
    <n v="141.4"/>
    <n v="2.8"/>
    <n v="5"/>
    <x v="0"/>
    <n v="138.6"/>
    <n v="743.41999999999985"/>
    <m/>
    <x v="0"/>
    <x v="0"/>
    <n v="0"/>
    <n v="0"/>
    <x v="0"/>
    <x v="0"/>
    <m/>
    <x v="0"/>
    <x v="0"/>
    <x v="0"/>
    <x v="0"/>
    <x v="0"/>
    <n v="0"/>
    <n v="0"/>
    <n v="0"/>
    <n v="12"/>
    <x v="1"/>
    <x v="0"/>
    <m/>
    <x v="0"/>
    <n v="146.4"/>
    <x v="0"/>
    <x v="23"/>
    <x v="13"/>
    <x v="0"/>
    <x v="0"/>
  </r>
  <r>
    <x v="0"/>
    <x v="9"/>
    <s v="7043 J"/>
    <x v="224"/>
    <s v="Wah Nobel Private Limited"/>
    <s v="LD گولڈن پیلا"/>
    <s v="140MM"/>
    <s v="29-30"/>
    <s v="LDM"/>
    <n v="1000"/>
    <x v="0"/>
    <n v="4"/>
    <n v="199.3"/>
    <n v="3.2"/>
    <m/>
    <x v="0"/>
    <n v="196.10000000000002"/>
    <n v="1002.7800000000001"/>
    <m/>
    <x v="0"/>
    <x v="0"/>
    <n v="0"/>
    <n v="0"/>
    <x v="0"/>
    <x v="0"/>
    <m/>
    <x v="0"/>
    <x v="0"/>
    <x v="0"/>
    <x v="0"/>
    <x v="0"/>
    <n v="0"/>
    <n v="0"/>
    <n v="0"/>
    <n v="12"/>
    <x v="1"/>
    <x v="0"/>
    <m/>
    <x v="0"/>
    <n v="204.3"/>
    <x v="0"/>
    <x v="23"/>
    <x v="13"/>
    <x v="0"/>
    <x v="0"/>
  </r>
  <r>
    <x v="1"/>
    <x v="9"/>
    <s v="7043 J"/>
    <x v="224"/>
    <s v="Wah Nobel Private Limited"/>
    <s v="LD گولڈن پیلا"/>
    <s v="140MM"/>
    <s v="29-30"/>
    <s v="LDM"/>
    <n v="1000"/>
    <x v="0"/>
    <n v="4"/>
    <n v="209.2"/>
    <n v="3.2"/>
    <m/>
    <x v="0"/>
    <n v="206"/>
    <n v="1002.7800000000001"/>
    <m/>
    <x v="0"/>
    <x v="0"/>
    <n v="0"/>
    <n v="0"/>
    <x v="0"/>
    <x v="0"/>
    <m/>
    <x v="0"/>
    <x v="0"/>
    <x v="0"/>
    <x v="0"/>
    <x v="0"/>
    <n v="0"/>
    <n v="0"/>
    <n v="0"/>
    <n v="12"/>
    <x v="1"/>
    <x v="0"/>
    <m/>
    <x v="0"/>
    <n v="214.2"/>
    <x v="0"/>
    <x v="23"/>
    <x v="13"/>
    <x v="0"/>
    <x v="0"/>
  </r>
  <r>
    <x v="0"/>
    <x v="11"/>
    <s v="7022 J"/>
    <x v="224"/>
    <s v="Zubaida Assosiate Pvt LTD"/>
    <s v="LDN"/>
    <n v="14"/>
    <s v="20-21"/>
    <s v="LDN"/>
    <n v="150"/>
    <x v="0"/>
    <n v="2"/>
    <n v="128"/>
    <n v="3.5"/>
    <m/>
    <x v="0"/>
    <n v="124.5"/>
    <n v="488.2"/>
    <n v="10"/>
    <x v="0"/>
    <x v="0"/>
    <n v="10"/>
    <n v="0.16666666666666666"/>
    <x v="0"/>
    <x v="0"/>
    <m/>
    <x v="0"/>
    <x v="0"/>
    <x v="0"/>
    <x v="0"/>
    <x v="0"/>
    <n v="0"/>
    <n v="0"/>
    <n v="0.16666666666666666"/>
    <n v="11.833333333333334"/>
    <x v="1"/>
    <x v="0"/>
    <m/>
    <x v="0"/>
    <n v="133"/>
    <x v="0"/>
    <x v="23"/>
    <x v="13"/>
    <x v="0"/>
    <x v="0"/>
  </r>
  <r>
    <x v="0"/>
    <x v="11"/>
    <s v="6884 J"/>
    <x v="224"/>
    <s v="RMC PACK"/>
    <s v="LD کریم"/>
    <s v="14+4+4"/>
    <s v="7.5/15"/>
    <s v="LDM"/>
    <n v="60"/>
    <x v="0"/>
    <n v="2"/>
    <n v="61.45"/>
    <n v="3.2"/>
    <m/>
    <x v="0"/>
    <n v="58.25"/>
    <n v="58.25"/>
    <n v="10"/>
    <x v="0"/>
    <x v="0"/>
    <n v="10"/>
    <n v="0.16666666666666666"/>
    <x v="0"/>
    <x v="0"/>
    <m/>
    <x v="0"/>
    <x v="0"/>
    <x v="0"/>
    <x v="0"/>
    <x v="0"/>
    <n v="0"/>
    <n v="0"/>
    <n v="0.16666666666666666"/>
    <n v="11.833333333333334"/>
    <x v="1"/>
    <x v="0"/>
    <m/>
    <x v="0"/>
    <n v="66.45"/>
    <x v="0"/>
    <x v="23"/>
    <x v="13"/>
    <x v="0"/>
    <x v="0"/>
  </r>
  <r>
    <x v="0"/>
    <x v="11"/>
    <s v="6883 J"/>
    <x v="224"/>
    <s v="RMC PACK"/>
    <s v="LD کریم"/>
    <s v="12+3+3"/>
    <s v="7.5/15"/>
    <s v="LDM"/>
    <n v="60"/>
    <x v="0"/>
    <n v="2"/>
    <n v="72.7"/>
    <n v="3.1"/>
    <m/>
    <x v="0"/>
    <n v="69.600000000000009"/>
    <n v="69.600000000000009"/>
    <n v="17"/>
    <x v="0"/>
    <x v="0"/>
    <n v="17"/>
    <n v="0.28333333333333333"/>
    <x v="0"/>
    <x v="0"/>
    <m/>
    <x v="0"/>
    <x v="0"/>
    <x v="0"/>
    <x v="0"/>
    <x v="0"/>
    <n v="0"/>
    <n v="0"/>
    <n v="0.28333333333333333"/>
    <n v="11.716666666666667"/>
    <x v="1"/>
    <x v="0"/>
    <m/>
    <x v="0"/>
    <n v="77.7"/>
    <x v="0"/>
    <x v="23"/>
    <x v="13"/>
    <x v="0"/>
    <x v="0"/>
  </r>
  <r>
    <x v="0"/>
    <x v="11"/>
    <s v="6885 J"/>
    <x v="224"/>
    <s v="RMC PACK"/>
    <s v="LD کریم"/>
    <s v="8.5+2.5+2.5"/>
    <s v="7.5/15"/>
    <s v="LDM"/>
    <n v="60"/>
    <x v="0"/>
    <n v="1"/>
    <n v="37.200000000000003"/>
    <n v="1.2"/>
    <n v="65"/>
    <x v="0"/>
    <n v="36"/>
    <n v="76.2"/>
    <m/>
    <x v="0"/>
    <x v="0"/>
    <n v="0"/>
    <n v="0"/>
    <x v="0"/>
    <x v="0"/>
    <m/>
    <x v="0"/>
    <x v="0"/>
    <x v="0"/>
    <x v="0"/>
    <x v="0"/>
    <n v="0"/>
    <n v="0"/>
    <n v="0"/>
    <n v="12"/>
    <x v="1"/>
    <x v="0"/>
    <m/>
    <x v="0"/>
    <n v="42.2"/>
    <x v="0"/>
    <x v="23"/>
    <x v="13"/>
    <x v="0"/>
    <x v="0"/>
  </r>
  <r>
    <x v="1"/>
    <x v="11"/>
    <s v="6885 J"/>
    <x v="224"/>
    <s v="RMC PACK"/>
    <s v="LD کریم"/>
    <s v="8.5+2.5+2.5"/>
    <s v="7.5/15"/>
    <s v="LDM"/>
    <n v="60"/>
    <x v="0"/>
    <n v="1"/>
    <n v="41.2"/>
    <n v="1"/>
    <n v="20"/>
    <x v="0"/>
    <n v="40.200000000000003"/>
    <n v="76.2"/>
    <n v="15"/>
    <x v="0"/>
    <x v="0"/>
    <n v="15"/>
    <n v="0.25"/>
    <x v="0"/>
    <x v="0"/>
    <m/>
    <x v="0"/>
    <x v="0"/>
    <x v="0"/>
    <x v="0"/>
    <x v="0"/>
    <n v="0"/>
    <n v="0"/>
    <n v="0.25"/>
    <n v="11.75"/>
    <x v="1"/>
    <x v="0"/>
    <m/>
    <x v="0"/>
    <n v="46.2"/>
    <x v="0"/>
    <x v="23"/>
    <x v="13"/>
    <x v="0"/>
    <x v="0"/>
  </r>
  <r>
    <x v="1"/>
    <x v="11"/>
    <s v="6993 J"/>
    <x v="224"/>
    <s v="Mehboob Printers Gujranwala"/>
    <s v="LD سکائی بلو"/>
    <s v="10+2.5+2.5"/>
    <s v="5.5-6/11-12"/>
    <s v="LDM"/>
    <n v="550"/>
    <x v="0"/>
    <n v="5"/>
    <n v="278.8"/>
    <n v="6"/>
    <m/>
    <x v="0"/>
    <n v="272.8"/>
    <n v="543.29999999999995"/>
    <m/>
    <x v="0"/>
    <x v="0"/>
    <n v="0"/>
    <n v="0"/>
    <x v="0"/>
    <x v="0"/>
    <m/>
    <x v="0"/>
    <x v="0"/>
    <x v="0"/>
    <x v="0"/>
    <x v="0"/>
    <n v="0"/>
    <n v="0"/>
    <n v="0"/>
    <n v="12"/>
    <x v="1"/>
    <x v="0"/>
    <m/>
    <x v="0"/>
    <n v="283.8"/>
    <x v="0"/>
    <x v="23"/>
    <x v="13"/>
    <x v="0"/>
    <x v="0"/>
  </r>
  <r>
    <x v="1"/>
    <x v="11"/>
    <s v="6994 J"/>
    <x v="224"/>
    <s v="Mehboob Printers Gujranwala"/>
    <s v="LD سکائی بلو"/>
    <s v="11+3+3"/>
    <s v="5.5-6/11-12"/>
    <s v="LDM"/>
    <n v="550"/>
    <x v="0"/>
    <n v="3"/>
    <n v="190.1"/>
    <n v="4.1999999999999993"/>
    <m/>
    <x v="0"/>
    <n v="185.9"/>
    <n v="522.66999999999996"/>
    <m/>
    <x v="0"/>
    <x v="0"/>
    <n v="0"/>
    <n v="0"/>
    <x v="0"/>
    <x v="0"/>
    <m/>
    <x v="0"/>
    <x v="0"/>
    <x v="0"/>
    <x v="0"/>
    <x v="0"/>
    <n v="0"/>
    <n v="0"/>
    <n v="0"/>
    <n v="12"/>
    <x v="1"/>
    <x v="0"/>
    <m/>
    <x v="0"/>
    <n v="195.1"/>
    <x v="0"/>
    <x v="23"/>
    <x v="13"/>
    <x v="0"/>
    <x v="0"/>
  </r>
  <r>
    <x v="0"/>
    <x v="14"/>
    <s v="6927 J"/>
    <x v="224"/>
    <s v="IHSAN Cotton Products Pvt. LTD"/>
    <s v="LDN"/>
    <n v="36"/>
    <n v="6"/>
    <s v="LDN"/>
    <n v="500"/>
    <x v="0"/>
    <n v="1"/>
    <n v="74.400000000000006"/>
    <n v="3.8"/>
    <m/>
    <x v="0"/>
    <n v="70.600000000000009"/>
    <n v="444.95000000000005"/>
    <m/>
    <x v="0"/>
    <x v="0"/>
    <n v="0"/>
    <n v="0"/>
    <x v="0"/>
    <x v="0"/>
    <m/>
    <x v="0"/>
    <x v="0"/>
    <x v="0"/>
    <x v="0"/>
    <x v="0"/>
    <n v="0"/>
    <n v="0"/>
    <n v="0"/>
    <n v="12"/>
    <x v="1"/>
    <x v="0"/>
    <m/>
    <x v="0"/>
    <n v="79.400000000000006"/>
    <x v="0"/>
    <x v="23"/>
    <x v="13"/>
    <x v="0"/>
    <x v="0"/>
  </r>
  <r>
    <x v="0"/>
    <x v="14"/>
    <s v="2814 F"/>
    <x v="224"/>
    <s v="Usman Amin"/>
    <s v="LDN"/>
    <n v="34"/>
    <s v="7-7.5"/>
    <s v="LDN"/>
    <n v="170"/>
    <x v="0"/>
    <n v="3"/>
    <n v="167"/>
    <n v="10.8"/>
    <m/>
    <x v="0"/>
    <n v="156.19999999999999"/>
    <n v="156.19999999999999"/>
    <m/>
    <x v="0"/>
    <x v="0"/>
    <n v="0"/>
    <n v="0"/>
    <x v="0"/>
    <x v="0"/>
    <m/>
    <x v="0"/>
    <x v="0"/>
    <x v="0"/>
    <x v="0"/>
    <x v="0"/>
    <n v="0"/>
    <n v="0"/>
    <n v="0"/>
    <n v="12"/>
    <x v="1"/>
    <x v="0"/>
    <m/>
    <x v="0"/>
    <n v="172"/>
    <x v="0"/>
    <x v="23"/>
    <x v="13"/>
    <x v="0"/>
    <x v="0"/>
  </r>
  <r>
    <x v="0"/>
    <x v="14"/>
    <s v="7023 J"/>
    <x v="224"/>
    <s v="Punjab Rusk Lahore"/>
    <s v="LDN"/>
    <s v="32 شیٹ"/>
    <s v="4-4.5/8-9"/>
    <s v="LDN"/>
    <n v="100"/>
    <x v="0"/>
    <n v="2"/>
    <n v="110"/>
    <n v="6.8"/>
    <m/>
    <x v="0"/>
    <n v="103.2"/>
    <n v="103.2"/>
    <m/>
    <x v="0"/>
    <x v="0"/>
    <n v="0"/>
    <n v="0"/>
    <x v="0"/>
    <x v="0"/>
    <m/>
    <x v="0"/>
    <x v="0"/>
    <x v="0"/>
    <x v="0"/>
    <x v="0"/>
    <n v="0"/>
    <n v="0"/>
    <n v="0"/>
    <n v="12"/>
    <x v="1"/>
    <x v="0"/>
    <m/>
    <x v="0"/>
    <n v="115"/>
    <x v="0"/>
    <x v="23"/>
    <x v="13"/>
    <x v="0"/>
    <x v="0"/>
  </r>
  <r>
    <x v="0"/>
    <x v="14"/>
    <s v="7024 J"/>
    <x v="224"/>
    <s v="Punjab Rusk Lahore"/>
    <s v="LDN"/>
    <s v="36 شیٹ"/>
    <s v="4-4.5/8-9"/>
    <s v="LDN"/>
    <n v="100"/>
    <x v="0"/>
    <n v="3"/>
    <n v="107"/>
    <n v="10.8"/>
    <m/>
    <x v="0"/>
    <n v="96.2"/>
    <n v="96.2"/>
    <m/>
    <x v="0"/>
    <x v="0"/>
    <n v="0"/>
    <n v="0"/>
    <x v="0"/>
    <x v="0"/>
    <m/>
    <x v="0"/>
    <x v="0"/>
    <x v="0"/>
    <x v="0"/>
    <x v="0"/>
    <n v="0"/>
    <n v="0"/>
    <n v="0"/>
    <n v="12"/>
    <x v="1"/>
    <x v="0"/>
    <m/>
    <x v="0"/>
    <n v="112"/>
    <x v="0"/>
    <x v="23"/>
    <x v="13"/>
    <x v="0"/>
    <x v="0"/>
  </r>
  <r>
    <x v="0"/>
    <x v="14"/>
    <s v="6967 J"/>
    <x v="224"/>
    <s v="Royal Brook Lahore"/>
    <s v="LDN"/>
    <n v="24"/>
    <s v="8-8.5"/>
    <s v="LDN"/>
    <n v="200"/>
    <x v="0"/>
    <n v="2"/>
    <n v="138.19999999999999"/>
    <n v="5.2"/>
    <m/>
    <x v="0"/>
    <n v="133"/>
    <n v="201"/>
    <n v="7"/>
    <x v="0"/>
    <x v="0"/>
    <n v="7"/>
    <n v="0.11666666666666667"/>
    <x v="0"/>
    <x v="0"/>
    <m/>
    <x v="0"/>
    <x v="0"/>
    <x v="0"/>
    <x v="0"/>
    <x v="0"/>
    <n v="0"/>
    <n v="0"/>
    <n v="0.11666666666666667"/>
    <n v="11.883333333333333"/>
    <x v="1"/>
    <x v="0"/>
    <m/>
    <x v="0"/>
    <n v="143.19999999999999"/>
    <x v="0"/>
    <x v="23"/>
    <x v="13"/>
    <x v="0"/>
    <x v="0"/>
  </r>
  <r>
    <x v="0"/>
    <x v="14"/>
    <s v="2821 F"/>
    <x v="224"/>
    <s v="Usman Amin"/>
    <s v="LDN"/>
    <n v="19"/>
    <s v="12"/>
    <s v="LDN"/>
    <n v="200"/>
    <x v="0"/>
    <n v="1"/>
    <n v="69.7"/>
    <n v="2"/>
    <n v="42"/>
    <x v="0"/>
    <n v="67.7"/>
    <n v="199.8"/>
    <n v="8"/>
    <x v="0"/>
    <x v="0"/>
    <n v="8"/>
    <n v="0.13333333333333333"/>
    <x v="0"/>
    <x v="0"/>
    <m/>
    <x v="0"/>
    <x v="0"/>
    <x v="0"/>
    <x v="0"/>
    <x v="0"/>
    <n v="0"/>
    <n v="0"/>
    <n v="0.13333333333333333"/>
    <n v="11.866666666666667"/>
    <x v="1"/>
    <x v="0"/>
    <m/>
    <x v="0"/>
    <n v="74.7"/>
    <x v="0"/>
    <x v="23"/>
    <x v="13"/>
    <x v="0"/>
    <x v="0"/>
  </r>
  <r>
    <x v="1"/>
    <x v="14"/>
    <s v="2821 F"/>
    <x v="224"/>
    <s v="Usman Amin"/>
    <s v="LDN"/>
    <n v="19"/>
    <s v="12"/>
    <s v="LDN"/>
    <n v="200"/>
    <x v="0"/>
    <n v="2"/>
    <n v="136.1"/>
    <n v="4"/>
    <n v="30"/>
    <x v="0"/>
    <n v="132.1"/>
    <n v="199.8"/>
    <m/>
    <x v="0"/>
    <x v="0"/>
    <n v="0"/>
    <n v="0"/>
    <x v="0"/>
    <x v="0"/>
    <m/>
    <x v="0"/>
    <x v="0"/>
    <x v="0"/>
    <x v="0"/>
    <x v="0"/>
    <n v="0"/>
    <n v="0"/>
    <n v="0"/>
    <n v="12"/>
    <x v="1"/>
    <x v="0"/>
    <m/>
    <x v="0"/>
    <n v="141.1"/>
    <x v="0"/>
    <x v="23"/>
    <x v="13"/>
    <x v="0"/>
    <x v="0"/>
  </r>
  <r>
    <x v="1"/>
    <x v="14"/>
    <s v="6986 J"/>
    <x v="224"/>
    <s v="H.M.D Troders ISD"/>
    <s v="LDN"/>
    <n v="19"/>
    <s v="14.5-15"/>
    <s v="LDN"/>
    <n v="200"/>
    <x v="0"/>
    <n v="2"/>
    <n v="203.45"/>
    <n v="4.4000000000000004"/>
    <m/>
    <x v="0"/>
    <n v="199.04999999999998"/>
    <n v="199.04999999999998"/>
    <m/>
    <x v="0"/>
    <x v="0"/>
    <n v="0"/>
    <n v="0"/>
    <x v="0"/>
    <x v="0"/>
    <m/>
    <x v="0"/>
    <x v="0"/>
    <x v="0"/>
    <x v="0"/>
    <x v="0"/>
    <n v="0"/>
    <n v="0"/>
    <n v="0"/>
    <n v="12"/>
    <x v="1"/>
    <x v="0"/>
    <m/>
    <x v="0"/>
    <n v="208.45"/>
    <x v="0"/>
    <x v="23"/>
    <x v="13"/>
    <x v="0"/>
    <x v="0"/>
  </r>
  <r>
    <x v="1"/>
    <x v="14"/>
    <s v="6987 J"/>
    <x v="224"/>
    <s v="H.M.D Troders ISD"/>
    <s v="LDN"/>
    <n v="19"/>
    <s v="14.5-15"/>
    <s v="LDN"/>
    <n v="300"/>
    <x v="0"/>
    <n v="2"/>
    <n v="206.05"/>
    <n v="4.4000000000000004"/>
    <m/>
    <x v="0"/>
    <n v="201.65"/>
    <n v="308.14999999999998"/>
    <m/>
    <x v="0"/>
    <x v="0"/>
    <n v="0"/>
    <n v="0"/>
    <x v="0"/>
    <x v="0"/>
    <m/>
    <x v="0"/>
    <x v="0"/>
    <x v="0"/>
    <x v="0"/>
    <x v="0"/>
    <n v="0"/>
    <n v="0"/>
    <n v="0"/>
    <n v="12"/>
    <x v="1"/>
    <x v="0"/>
    <m/>
    <x v="0"/>
    <n v="211.05"/>
    <x v="0"/>
    <x v="23"/>
    <x v="13"/>
    <x v="0"/>
    <x v="0"/>
  </r>
  <r>
    <x v="0"/>
    <x v="15"/>
    <s v="6967 J"/>
    <x v="224"/>
    <s v="Royal Brook Lahore"/>
    <s v="LDN"/>
    <n v="24"/>
    <s v="8-8.5"/>
    <s v="LDN"/>
    <n v="200"/>
    <x v="0"/>
    <n v="1"/>
    <n v="70.900000000000006"/>
    <n v="2.9"/>
    <n v="38"/>
    <x v="0"/>
    <n v="68"/>
    <n v="201"/>
    <n v="35"/>
    <x v="0"/>
    <x v="0"/>
    <n v="35"/>
    <n v="0.58333333333333337"/>
    <x v="0"/>
    <x v="0"/>
    <m/>
    <x v="0"/>
    <x v="0"/>
    <x v="0"/>
    <x v="0"/>
    <x v="0"/>
    <n v="0"/>
    <n v="0"/>
    <n v="0.58333333333333337"/>
    <n v="11.416666666666666"/>
    <x v="1"/>
    <x v="0"/>
    <m/>
    <x v="0"/>
    <n v="75.900000000000006"/>
    <x v="0"/>
    <x v="23"/>
    <x v="13"/>
    <x v="0"/>
    <x v="0"/>
  </r>
  <r>
    <x v="0"/>
    <x v="15"/>
    <s v="6805 J"/>
    <x v="224"/>
    <s v="Wah Nobel Private Limited"/>
    <s v="LDN"/>
    <s v="435+30+30 MM"/>
    <s v="20-20.5/40-41"/>
    <s v="LDN"/>
    <n v="5000"/>
    <x v="0"/>
    <n v="6"/>
    <n v="287.18"/>
    <n v="13.200000000000001"/>
    <m/>
    <x v="0"/>
    <n v="273.98"/>
    <n v="4996.5899999999992"/>
    <m/>
    <x v="0"/>
    <x v="0"/>
    <n v="0"/>
    <n v="0"/>
    <x v="0"/>
    <x v="0"/>
    <m/>
    <x v="0"/>
    <x v="0"/>
    <x v="0"/>
    <x v="0"/>
    <x v="0"/>
    <n v="0"/>
    <n v="0"/>
    <n v="0"/>
    <n v="12"/>
    <x v="1"/>
    <x v="0"/>
    <m/>
    <x v="0"/>
    <n v="292.18"/>
    <x v="0"/>
    <x v="23"/>
    <x v="13"/>
    <x v="0"/>
    <x v="0"/>
  </r>
  <r>
    <x v="0"/>
    <x v="15"/>
    <s v="6805 J"/>
    <x v="224"/>
    <s v="Wah Nobel Private Limited"/>
    <s v="LDN"/>
    <s v="435+30+30 MM"/>
    <s v="20-20.5/40-41"/>
    <s v="LDN"/>
    <n v="5000"/>
    <x v="0"/>
    <n v="1"/>
    <n v="44.5"/>
    <n v="2.2000000000000002"/>
    <m/>
    <x v="0"/>
    <n v="42.3"/>
    <n v="4996.5899999999992"/>
    <m/>
    <x v="0"/>
    <x v="0"/>
    <n v="0"/>
    <n v="0"/>
    <x v="0"/>
    <x v="0"/>
    <m/>
    <x v="0"/>
    <x v="0"/>
    <x v="0"/>
    <x v="0"/>
    <x v="0"/>
    <n v="0"/>
    <n v="0"/>
    <n v="0"/>
    <n v="12"/>
    <x v="1"/>
    <x v="0"/>
    <m/>
    <x v="0"/>
    <n v="49.5"/>
    <x v="0"/>
    <x v="23"/>
    <x v="13"/>
    <x v="0"/>
    <x v="0"/>
  </r>
  <r>
    <x v="1"/>
    <x v="15"/>
    <s v="6805 J"/>
    <x v="224"/>
    <s v="Wah Nobel Private Limited"/>
    <s v="LDN"/>
    <s v="435+30+30 MM"/>
    <s v="20-20.5/40-41"/>
    <s v="LDN"/>
    <n v="5000"/>
    <x v="0"/>
    <n v="9"/>
    <n v="427.25"/>
    <n v="19.8"/>
    <m/>
    <x v="0"/>
    <n v="407.45"/>
    <n v="4996.5899999999992"/>
    <m/>
    <x v="0"/>
    <x v="0"/>
    <n v="0"/>
    <n v="0"/>
    <x v="0"/>
    <x v="0"/>
    <m/>
    <x v="0"/>
    <x v="0"/>
    <x v="0"/>
    <x v="0"/>
    <x v="0"/>
    <n v="0"/>
    <n v="0"/>
    <n v="0"/>
    <n v="12"/>
    <x v="1"/>
    <x v="0"/>
    <m/>
    <x v="0"/>
    <n v="432.25"/>
    <x v="0"/>
    <x v="23"/>
    <x v="13"/>
    <x v="0"/>
    <x v="0"/>
  </r>
  <r>
    <x v="0"/>
    <x v="8"/>
    <s v="6856 J"/>
    <x v="225"/>
    <s v="Prime Aluminium Sundar "/>
    <s v="LDN"/>
    <n v="5"/>
    <n v="10"/>
    <s v="LDN"/>
    <n v="300"/>
    <x v="0"/>
    <n v="3"/>
    <n v="107.1"/>
    <n v="1.7999999999999998"/>
    <n v="2.4674505602737007"/>
    <x v="0"/>
    <n v="105.3"/>
    <n v="743.41999999999985"/>
    <m/>
    <x v="0"/>
    <x v="0"/>
    <n v="0"/>
    <n v="0"/>
    <x v="0"/>
    <x v="0"/>
    <m/>
    <x v="0"/>
    <x v="0"/>
    <x v="0"/>
    <x v="0"/>
    <x v="0"/>
    <n v="0"/>
    <n v="0"/>
    <n v="0"/>
    <n v="12"/>
    <x v="1"/>
    <x v="0"/>
    <m/>
    <x v="0"/>
    <n v="112.1"/>
    <x v="0"/>
    <x v="23"/>
    <x v="13"/>
    <x v="0"/>
    <x v="0"/>
  </r>
  <r>
    <x v="1"/>
    <x v="8"/>
    <s v="6856 J"/>
    <x v="225"/>
    <s v="Prime Aluminium Sundar "/>
    <s v="LDN"/>
    <n v="5"/>
    <n v="10"/>
    <s v="LDN"/>
    <n v="300"/>
    <x v="0"/>
    <n v="4"/>
    <n v="131.1"/>
    <n v="2.4"/>
    <n v="3.0203806578140258"/>
    <x v="0"/>
    <n v="128.69999999999999"/>
    <n v="743.41999999999985"/>
    <m/>
    <x v="0"/>
    <x v="0"/>
    <n v="0"/>
    <n v="0"/>
    <x v="0"/>
    <x v="0"/>
    <m/>
    <x v="0"/>
    <x v="0"/>
    <x v="0"/>
    <x v="0"/>
    <x v="0"/>
    <n v="0"/>
    <n v="0"/>
    <n v="0"/>
    <n v="12"/>
    <x v="1"/>
    <x v="0"/>
    <m/>
    <x v="0"/>
    <n v="136.1"/>
    <x v="0"/>
    <x v="23"/>
    <x v="13"/>
    <x v="0"/>
    <x v="0"/>
  </r>
  <r>
    <x v="0"/>
    <x v="9"/>
    <s v="7043 J"/>
    <x v="225"/>
    <s v="Wah Nobel Private Limited"/>
    <s v="LD گولڈن پیلا"/>
    <s v="140MM"/>
    <s v="29-30"/>
    <s v="LDM"/>
    <n v="1000"/>
    <x v="0"/>
    <n v="3"/>
    <n v="154.23000000000002"/>
    <n v="1.9500000000000002"/>
    <n v="3.5532670393185146"/>
    <x v="0"/>
    <n v="152.28000000000003"/>
    <n v="1002.7800000000001"/>
    <m/>
    <x v="0"/>
    <x v="0"/>
    <n v="0"/>
    <n v="0"/>
    <x v="0"/>
    <x v="0"/>
    <m/>
    <x v="0"/>
    <x v="0"/>
    <x v="0"/>
    <x v="0"/>
    <x v="0"/>
    <n v="0"/>
    <n v="0"/>
    <n v="0"/>
    <n v="12"/>
    <x v="1"/>
    <x v="0"/>
    <m/>
    <x v="0"/>
    <n v="159.23000000000002"/>
    <x v="0"/>
    <x v="23"/>
    <x v="13"/>
    <x v="0"/>
    <x v="0"/>
  </r>
  <r>
    <x v="1"/>
    <x v="9"/>
    <s v="7043 J"/>
    <x v="225"/>
    <s v="Wah Nobel Private Limited"/>
    <s v="LD گولڈن پیلا"/>
    <s v="140MM"/>
    <s v="29-30"/>
    <s v="LDM"/>
    <n v="1000"/>
    <x v="0"/>
    <n v="4"/>
    <n v="210.29999999999998"/>
    <n v="2.9000000000000004"/>
    <n v="4.8450499796970981"/>
    <x v="0"/>
    <n v="207.39999999999998"/>
    <n v="1002.7800000000001"/>
    <m/>
    <x v="0"/>
    <x v="0"/>
    <n v="0"/>
    <n v="0"/>
    <x v="0"/>
    <x v="0"/>
    <m/>
    <x v="0"/>
    <x v="0"/>
    <x v="0"/>
    <x v="0"/>
    <x v="0"/>
    <n v="0"/>
    <n v="0"/>
    <n v="0"/>
    <n v="12"/>
    <x v="1"/>
    <x v="0"/>
    <m/>
    <x v="0"/>
    <n v="215.29999999999998"/>
    <x v="0"/>
    <x v="23"/>
    <x v="13"/>
    <x v="0"/>
    <x v="0"/>
  </r>
  <r>
    <x v="0"/>
    <x v="11"/>
    <s v="6994 J"/>
    <x v="225"/>
    <s v="Mehboob Printers Gujranwala"/>
    <s v="LD سکائی بلو"/>
    <s v="11+3+3"/>
    <s v="5.5-6/11-12"/>
    <s v="LDM"/>
    <n v="550"/>
    <x v="0"/>
    <n v="2"/>
    <n v="72.38"/>
    <n v="3.1100000000000003"/>
    <n v="1.6675450191653636"/>
    <x v="0"/>
    <n v="69.27"/>
    <n v="522.66999999999996"/>
    <n v="5"/>
    <x v="0"/>
    <x v="0"/>
    <n v="5"/>
    <n v="8.3333333333333329E-2"/>
    <x v="0"/>
    <x v="0"/>
    <m/>
    <x v="0"/>
    <x v="0"/>
    <x v="0"/>
    <x v="0"/>
    <x v="0"/>
    <n v="0"/>
    <n v="0"/>
    <n v="8.3333333333333329E-2"/>
    <n v="11.916666666666666"/>
    <x v="1"/>
    <x v="0"/>
    <m/>
    <x v="0"/>
    <n v="77.38"/>
    <x v="0"/>
    <x v="23"/>
    <x v="13"/>
    <x v="0"/>
    <x v="0"/>
  </r>
  <r>
    <x v="0"/>
    <x v="11"/>
    <s v="6887 J"/>
    <x v="225"/>
    <s v="Sahibzada Printers Saray Norang"/>
    <s v="LD فروزی"/>
    <n v="14"/>
    <s v="14-15"/>
    <s v="LDM"/>
    <n v="100"/>
    <x v="0"/>
    <n v="2"/>
    <n v="105.5"/>
    <n v="2.7"/>
    <n v="2.4305885537710124"/>
    <x v="0"/>
    <n v="102.8"/>
    <n v="102.8"/>
    <n v="5"/>
    <x v="0"/>
    <x v="0"/>
    <n v="5"/>
    <n v="8.3333333333333329E-2"/>
    <x v="0"/>
    <x v="0"/>
    <m/>
    <x v="0"/>
    <x v="0"/>
    <x v="0"/>
    <x v="0"/>
    <x v="0"/>
    <n v="0"/>
    <n v="0"/>
    <n v="8.3333333333333329E-2"/>
    <n v="11.916666666666666"/>
    <x v="1"/>
    <x v="0"/>
    <m/>
    <x v="0"/>
    <n v="110.5"/>
    <x v="0"/>
    <x v="23"/>
    <x v="13"/>
    <x v="0"/>
    <x v="0"/>
  </r>
  <r>
    <x v="0"/>
    <x v="11"/>
    <m/>
    <x v="225"/>
    <s v="-"/>
    <m/>
    <n v="16"/>
    <s v="11-12"/>
    <m/>
    <m/>
    <x v="0"/>
    <n v="1"/>
    <n v="72.8"/>
    <n v="1.9"/>
    <n v="1.6772212958723194"/>
    <x v="0"/>
    <n v="70.899999999999991"/>
    <n v="0"/>
    <n v="10"/>
    <x v="0"/>
    <x v="0"/>
    <n v="10"/>
    <n v="0.16666666666666666"/>
    <x v="0"/>
    <x v="0"/>
    <m/>
    <x v="0"/>
    <x v="0"/>
    <x v="0"/>
    <x v="0"/>
    <x v="0"/>
    <n v="0"/>
    <n v="0"/>
    <n v="0.16666666666666666"/>
    <n v="11.833333333333334"/>
    <x v="1"/>
    <x v="0"/>
    <m/>
    <x v="0"/>
    <n v="77.8"/>
    <x v="0"/>
    <x v="23"/>
    <x v="13"/>
    <x v="0"/>
    <x v="0"/>
  </r>
  <r>
    <x v="0"/>
    <x v="11"/>
    <s v="6888 J"/>
    <x v="225"/>
    <s v="Sahibzada Printers Saray Norang"/>
    <s v="LD سلور گرے"/>
    <s v="12+3+3"/>
    <s v="7.5-8/15-16"/>
    <s v="LDM"/>
    <n v="110"/>
    <x v="0"/>
    <n v="3"/>
    <n v="110.25"/>
    <n v="4.8000000000000007"/>
    <n v="2.5400226355758684"/>
    <x v="0"/>
    <n v="105.45"/>
    <n v="105.45"/>
    <m/>
    <x v="0"/>
    <x v="0"/>
    <n v="0"/>
    <n v="0"/>
    <x v="0"/>
    <x v="0"/>
    <m/>
    <x v="0"/>
    <x v="0"/>
    <x v="0"/>
    <x v="0"/>
    <x v="0"/>
    <n v="0"/>
    <n v="0"/>
    <n v="0"/>
    <n v="12"/>
    <x v="1"/>
    <x v="0"/>
    <m/>
    <x v="0"/>
    <n v="115.25"/>
    <x v="0"/>
    <x v="23"/>
    <x v="13"/>
    <x v="0"/>
    <x v="0"/>
  </r>
  <r>
    <x v="1"/>
    <x v="11"/>
    <s v="7105 J"/>
    <x v="225"/>
    <s v="Sahibzada Printers Saray Norang"/>
    <s v="LD ڈارک کریم"/>
    <s v="12+3+3"/>
    <s v="7.5-8/14-15"/>
    <s v="LDM"/>
    <n v="110"/>
    <x v="0"/>
    <n v="3"/>
    <n v="118.7"/>
    <n v="4.3"/>
    <n v="2.7347001074181914"/>
    <x v="0"/>
    <n v="114.4"/>
    <n v="114.4"/>
    <m/>
    <x v="0"/>
    <x v="0"/>
    <n v="0"/>
    <n v="0"/>
    <x v="0"/>
    <x v="0"/>
    <m/>
    <x v="0"/>
    <x v="0"/>
    <x v="0"/>
    <x v="0"/>
    <x v="0"/>
    <n v="0"/>
    <n v="0"/>
    <n v="0"/>
    <n v="12"/>
    <x v="1"/>
    <x v="0"/>
    <m/>
    <x v="0"/>
    <n v="123.7"/>
    <x v="0"/>
    <x v="23"/>
    <x v="13"/>
    <x v="0"/>
    <x v="0"/>
  </r>
  <r>
    <x v="1"/>
    <x v="11"/>
    <s v="7104 J"/>
    <x v="225"/>
    <s v="Sahibzada Printers Saray Norang"/>
    <s v="LD ڈارک کریم"/>
    <s v="10+3+3"/>
    <s v="7.5-8/14-15"/>
    <s v="LDM"/>
    <n v="110"/>
    <x v="0"/>
    <n v="4"/>
    <n v="114.1"/>
    <n v="4.8"/>
    <n v="2.6287218387229618"/>
    <x v="0"/>
    <n v="109.3"/>
    <n v="109.3"/>
    <n v="5"/>
    <x v="0"/>
    <x v="0"/>
    <n v="5"/>
    <n v="8.3333333333333329E-2"/>
    <x v="0"/>
    <x v="0"/>
    <m/>
    <x v="0"/>
    <x v="0"/>
    <x v="0"/>
    <x v="0"/>
    <x v="0"/>
    <n v="0"/>
    <n v="0"/>
    <n v="8.3333333333333329E-2"/>
    <n v="11.916666666666666"/>
    <x v="1"/>
    <x v="0"/>
    <m/>
    <x v="0"/>
    <n v="119.1"/>
    <x v="0"/>
    <x v="23"/>
    <x v="13"/>
    <x v="0"/>
    <x v="0"/>
  </r>
  <r>
    <x v="1"/>
    <x v="11"/>
    <s v="7103 J"/>
    <x v="225"/>
    <s v="Sahibzada Printers Saray Norang"/>
    <s v="LD سی گرین"/>
    <s v="10+3+3"/>
    <s v="7.5-8/14-15"/>
    <s v="LDM"/>
    <n v="110"/>
    <x v="0"/>
    <n v="3"/>
    <n v="118.6"/>
    <n v="3.5999999999999996"/>
    <n v="2.732396232011773"/>
    <x v="0"/>
    <n v="115"/>
    <n v="115"/>
    <n v="5"/>
    <x v="0"/>
    <x v="0"/>
    <n v="5"/>
    <n v="8.3333333333333329E-2"/>
    <x v="0"/>
    <x v="0"/>
    <m/>
    <x v="0"/>
    <x v="0"/>
    <x v="0"/>
    <x v="0"/>
    <x v="0"/>
    <n v="0"/>
    <n v="0"/>
    <n v="8.3333333333333329E-2"/>
    <n v="11.916666666666666"/>
    <x v="1"/>
    <x v="0"/>
    <m/>
    <x v="0"/>
    <n v="123.6"/>
    <x v="0"/>
    <x v="23"/>
    <x v="13"/>
    <x v="0"/>
    <x v="0"/>
  </r>
  <r>
    <x v="1"/>
    <x v="11"/>
    <s v="7106 J"/>
    <x v="225"/>
    <s v="Sahibzada Printers Saray Norang"/>
    <s v="LD سکائی بلو "/>
    <s v="12+3+3"/>
    <s v="7.5-8/14-15"/>
    <s v="LDM"/>
    <n v="110"/>
    <x v="0"/>
    <n v="3"/>
    <n v="107.2"/>
    <n v="4.1999999999999993"/>
    <n v="2.4697544356801187"/>
    <x v="0"/>
    <n v="103"/>
    <n v="103"/>
    <n v="5"/>
    <x v="0"/>
    <x v="0"/>
    <n v="5"/>
    <n v="8.3333333333333329E-2"/>
    <x v="0"/>
    <x v="0"/>
    <m/>
    <x v="0"/>
    <x v="0"/>
    <x v="0"/>
    <x v="0"/>
    <x v="0"/>
    <n v="0"/>
    <n v="0"/>
    <n v="8.3333333333333329E-2"/>
    <n v="11.916666666666666"/>
    <x v="1"/>
    <x v="0"/>
    <m/>
    <x v="0"/>
    <n v="112.2"/>
    <x v="0"/>
    <x v="23"/>
    <x v="13"/>
    <x v="0"/>
    <x v="0"/>
  </r>
  <r>
    <x v="0"/>
    <x v="14"/>
    <s v="6987 J"/>
    <x v="225"/>
    <s v="H.M.D Troders ISD"/>
    <s v="LDN"/>
    <n v="19"/>
    <s v="14.5-15"/>
    <s v="LDN"/>
    <n v="300"/>
    <x v="0"/>
    <n v="1"/>
    <n v="108.5"/>
    <n v="2"/>
    <n v="2.4997048159635531"/>
    <x v="0"/>
    <n v="106.5"/>
    <n v="308.14999999999998"/>
    <n v="5"/>
    <x v="0"/>
    <x v="0"/>
    <n v="5"/>
    <n v="8.3333333333333329E-2"/>
    <x v="0"/>
    <x v="0"/>
    <m/>
    <x v="0"/>
    <x v="0"/>
    <x v="0"/>
    <x v="0"/>
    <x v="0"/>
    <n v="0"/>
    <n v="0"/>
    <n v="8.3333333333333329E-2"/>
    <n v="11.916666666666666"/>
    <x v="1"/>
    <x v="0"/>
    <m/>
    <x v="0"/>
    <n v="113.5"/>
    <x v="0"/>
    <x v="23"/>
    <x v="13"/>
    <x v="0"/>
    <x v="0"/>
  </r>
  <r>
    <x v="0"/>
    <x v="14"/>
    <s v="6989 J"/>
    <x v="225"/>
    <s v="H.M.D Troders ISD"/>
    <s v="LDN"/>
    <n v="20"/>
    <s v="12-12.5"/>
    <s v="LDN"/>
    <n v="200"/>
    <x v="0"/>
    <n v="3"/>
    <n v="212.5"/>
    <n v="7"/>
    <n v="4.8957352386382951"/>
    <x v="0"/>
    <n v="205.5"/>
    <n v="205.5"/>
    <n v="5"/>
    <x v="0"/>
    <x v="0"/>
    <n v="5"/>
    <n v="8.3333333333333329E-2"/>
    <x v="0"/>
    <x v="0"/>
    <m/>
    <x v="0"/>
    <x v="0"/>
    <x v="0"/>
    <x v="0"/>
    <x v="0"/>
    <n v="0"/>
    <n v="0"/>
    <n v="8.3333333333333329E-2"/>
    <n v="11.916666666666666"/>
    <x v="1"/>
    <x v="0"/>
    <m/>
    <x v="0"/>
    <n v="217.5"/>
    <x v="0"/>
    <x v="23"/>
    <x v="13"/>
    <x v="0"/>
    <x v="0"/>
  </r>
  <r>
    <x v="0"/>
    <x v="14"/>
    <s v="2800 F"/>
    <x v="225"/>
    <s v=" Usman Amin "/>
    <s v=" LDN "/>
    <n v="20"/>
    <s v="7-7.5"/>
    <s v=" LDN "/>
    <n v="30"/>
    <x v="0"/>
    <n v="2"/>
    <n v="107.4"/>
    <n v="4.8"/>
    <n v="2.474362186492955"/>
    <x v="0"/>
    <n v="102.60000000000001"/>
    <n v="102.60000000000001"/>
    <m/>
    <x v="0"/>
    <x v="0"/>
    <n v="0"/>
    <n v="0"/>
    <x v="0"/>
    <x v="0"/>
    <m/>
    <x v="0"/>
    <x v="0"/>
    <x v="0"/>
    <x v="0"/>
    <x v="0"/>
    <n v="0"/>
    <n v="0"/>
    <n v="0"/>
    <n v="12"/>
    <x v="1"/>
    <x v="0"/>
    <m/>
    <x v="0"/>
    <n v="112.4"/>
    <x v="0"/>
    <x v="23"/>
    <x v="13"/>
    <x v="0"/>
    <x v="0"/>
  </r>
  <r>
    <x v="0"/>
    <x v="14"/>
    <s v="6998 J"/>
    <x v="225"/>
    <s v="Mehboob Printers Gujranwala"/>
    <s v="LDN"/>
    <n v="15.5"/>
    <n v="8"/>
    <s v="LDN"/>
    <n v="100"/>
    <x v="0"/>
    <n v="3"/>
    <n v="114.8"/>
    <n v="5.0999999999999996"/>
    <n v="2.644848966567888"/>
    <x v="0"/>
    <n v="109.7"/>
    <n v="109.7"/>
    <m/>
    <x v="0"/>
    <x v="0"/>
    <n v="0"/>
    <n v="0"/>
    <x v="0"/>
    <x v="0"/>
    <m/>
    <x v="0"/>
    <x v="0"/>
    <x v="0"/>
    <x v="0"/>
    <x v="0"/>
    <n v="0"/>
    <n v="0"/>
    <n v="0"/>
    <n v="12"/>
    <x v="1"/>
    <x v="0"/>
    <m/>
    <x v="0"/>
    <n v="119.8"/>
    <x v="0"/>
    <x v="23"/>
    <x v="13"/>
    <x v="0"/>
    <x v="0"/>
  </r>
  <r>
    <x v="0"/>
    <x v="14"/>
    <s v="6996 J"/>
    <x v="225"/>
    <s v="Mehboob Printers Gujranwala"/>
    <s v="LDN"/>
    <n v="15"/>
    <n v="8"/>
    <s v="LDN"/>
    <n v="100"/>
    <x v="0"/>
    <n v="2"/>
    <n v="105"/>
    <n v="3.4"/>
    <n v="2.4190691767389221"/>
    <x v="0"/>
    <n v="101.6"/>
    <n v="101.6"/>
    <m/>
    <x v="0"/>
    <x v="0"/>
    <n v="0"/>
    <n v="0"/>
    <x v="0"/>
    <x v="0"/>
    <m/>
    <x v="0"/>
    <x v="0"/>
    <x v="0"/>
    <x v="0"/>
    <x v="0"/>
    <n v="0"/>
    <n v="0"/>
    <n v="0"/>
    <n v="12"/>
    <x v="1"/>
    <x v="0"/>
    <m/>
    <x v="0"/>
    <n v="110"/>
    <x v="0"/>
    <x v="23"/>
    <x v="13"/>
    <x v="0"/>
    <x v="0"/>
  </r>
  <r>
    <x v="1"/>
    <x v="14"/>
    <s v="6997 J"/>
    <x v="225"/>
    <s v="Mehboob Printers Gujranwala"/>
    <s v="LDN"/>
    <n v="14.5"/>
    <n v="8"/>
    <s v="LDN"/>
    <n v="200"/>
    <x v="0"/>
    <n v="4"/>
    <n v="213.3"/>
    <n v="6.4"/>
    <n v="4.9141662418896397"/>
    <x v="0"/>
    <n v="206.9"/>
    <n v="206.9"/>
    <n v="5"/>
    <x v="0"/>
    <x v="0"/>
    <n v="5"/>
    <n v="8.3333333333333329E-2"/>
    <x v="0"/>
    <x v="0"/>
    <m/>
    <x v="0"/>
    <x v="0"/>
    <x v="0"/>
    <x v="0"/>
    <x v="0"/>
    <n v="0"/>
    <n v="0"/>
    <n v="8.3333333333333329E-2"/>
    <n v="11.916666666666666"/>
    <x v="1"/>
    <x v="0"/>
    <m/>
    <x v="0"/>
    <n v="218.3"/>
    <x v="0"/>
    <x v="23"/>
    <x v="13"/>
    <x v="0"/>
    <x v="0"/>
  </r>
  <r>
    <x v="1"/>
    <x v="14"/>
    <s v="6954 J"/>
    <x v="225"/>
    <s v="Pracon engineering Pvt LTD"/>
    <s v="LDN"/>
    <n v="21"/>
    <s v="11-11.5"/>
    <s v="LDN"/>
    <n v="300"/>
    <x v="0"/>
    <n v="4"/>
    <n v="314.35000000000002"/>
    <n v="9.6"/>
    <n v="7.2422323400750503"/>
    <x v="0"/>
    <n v="304.75"/>
    <n v="304.75"/>
    <n v="5"/>
    <x v="0"/>
    <x v="0"/>
    <n v="5"/>
    <n v="8.3333333333333329E-2"/>
    <x v="0"/>
    <x v="0"/>
    <m/>
    <x v="0"/>
    <x v="0"/>
    <x v="0"/>
    <x v="0"/>
    <x v="0"/>
    <n v="0"/>
    <n v="0"/>
    <n v="8.3333333333333329E-2"/>
    <n v="11.916666666666666"/>
    <x v="1"/>
    <x v="0"/>
    <m/>
    <x v="0"/>
    <n v="319.35000000000002"/>
    <x v="0"/>
    <x v="23"/>
    <x v="13"/>
    <x v="0"/>
    <x v="0"/>
  </r>
  <r>
    <x v="1"/>
    <x v="14"/>
    <s v="2829 F"/>
    <x v="225"/>
    <s v="Usman Amin"/>
    <s v="LDN"/>
    <n v="19"/>
    <s v="8.5-9"/>
    <s v="LDN"/>
    <n v="500"/>
    <x v="0"/>
    <n v="1"/>
    <n v="63.2"/>
    <n v="1.9"/>
    <n v="1.4560492568561894"/>
    <x v="0"/>
    <n v="61.300000000000004"/>
    <n v="585"/>
    <n v="5"/>
    <x v="0"/>
    <x v="0"/>
    <n v="5"/>
    <n v="8.3333333333333329E-2"/>
    <x v="0"/>
    <x v="0"/>
    <m/>
    <x v="0"/>
    <x v="0"/>
    <x v="0"/>
    <x v="0"/>
    <x v="0"/>
    <n v="0"/>
    <n v="0"/>
    <n v="8.3333333333333329E-2"/>
    <n v="11.916666666666666"/>
    <x v="1"/>
    <x v="0"/>
    <m/>
    <x v="0"/>
    <n v="68.2"/>
    <x v="0"/>
    <x v="23"/>
    <x v="13"/>
    <x v="0"/>
    <x v="0"/>
  </r>
  <r>
    <x v="0"/>
    <x v="15"/>
    <s v="6805 J"/>
    <x v="225"/>
    <s v="Wah Nobel Private Limited"/>
    <s v="LDN"/>
    <s v="435+30+30 MM"/>
    <s v="20-20.5/40-41"/>
    <s v="LDN"/>
    <n v="5000"/>
    <x v="0"/>
    <n v="8"/>
    <n v="407.34999999999991"/>
    <n v="17.600000000000001"/>
    <n v="9.3848364680438063"/>
    <x v="0"/>
    <n v="389.74999999999989"/>
    <n v="4996.5899999999992"/>
    <m/>
    <x v="0"/>
    <x v="0"/>
    <n v="0"/>
    <n v="0"/>
    <x v="0"/>
    <x v="0"/>
    <m/>
    <x v="0"/>
    <x v="0"/>
    <x v="0"/>
    <x v="0"/>
    <x v="0"/>
    <n v="0"/>
    <n v="0"/>
    <n v="0"/>
    <n v="12"/>
    <x v="1"/>
    <x v="0"/>
    <m/>
    <x v="0"/>
    <n v="412.34999999999991"/>
    <x v="0"/>
    <x v="23"/>
    <x v="13"/>
    <x v="0"/>
    <x v="0"/>
  </r>
  <r>
    <x v="1"/>
    <x v="15"/>
    <s v="6805 J"/>
    <x v="225"/>
    <s v="Wah Nobel Private Limited"/>
    <s v="LDN"/>
    <s v="435+30+30 MM"/>
    <s v="20-20.5/40-41"/>
    <s v="LDN"/>
    <n v="5000"/>
    <x v="0"/>
    <n v="7"/>
    <n v="403.75"/>
    <n v="12.9"/>
    <n v="9.3018969534127596"/>
    <x v="0"/>
    <n v="390.85"/>
    <n v="4996.5899999999992"/>
    <m/>
    <x v="0"/>
    <x v="0"/>
    <n v="0"/>
    <n v="0"/>
    <x v="0"/>
    <x v="0"/>
    <m/>
    <x v="0"/>
    <x v="0"/>
    <x v="0"/>
    <x v="0"/>
    <x v="0"/>
    <n v="0"/>
    <n v="0"/>
    <n v="0"/>
    <n v="12"/>
    <x v="1"/>
    <x v="0"/>
    <m/>
    <x v="0"/>
    <n v="408.75"/>
    <x v="0"/>
    <x v="23"/>
    <x v="13"/>
    <x v="0"/>
    <x v="0"/>
  </r>
  <r>
    <x v="0"/>
    <x v="8"/>
    <s v="7095 J"/>
    <x v="226"/>
    <s v="Jilani Poly Stock"/>
    <s v="LDN"/>
    <n v="5"/>
    <n v="10"/>
    <s v="LDN"/>
    <s v="-"/>
    <x v="0"/>
    <n v="2"/>
    <n v="66.2"/>
    <n v="1"/>
    <m/>
    <x v="0"/>
    <n v="65.2"/>
    <n v="65.2"/>
    <m/>
    <x v="0"/>
    <x v="0"/>
    <n v="0"/>
    <n v="0"/>
    <x v="0"/>
    <x v="0"/>
    <m/>
    <x v="0"/>
    <x v="0"/>
    <x v="0"/>
    <x v="0"/>
    <x v="0"/>
    <n v="0"/>
    <n v="0"/>
    <n v="0"/>
    <n v="12"/>
    <x v="1"/>
    <x v="0"/>
    <m/>
    <x v="0"/>
    <n v="71.2"/>
    <x v="0"/>
    <x v="23"/>
    <x v="13"/>
    <x v="0"/>
    <x v="0"/>
  </r>
  <r>
    <x v="0"/>
    <x v="8"/>
    <s v="7094 J"/>
    <x v="226"/>
    <s v="Jilani Poly Stock"/>
    <s v="LDN"/>
    <n v="4"/>
    <n v="10"/>
    <s v="LDN"/>
    <s v="-"/>
    <x v="0"/>
    <n v="2"/>
    <n v="56"/>
    <n v="0.8"/>
    <m/>
    <x v="0"/>
    <n v="55.2"/>
    <n v="348.92"/>
    <m/>
    <x v="0"/>
    <x v="0"/>
    <n v="0"/>
    <n v="0"/>
    <x v="0"/>
    <x v="0"/>
    <m/>
    <x v="0"/>
    <x v="0"/>
    <x v="0"/>
    <x v="0"/>
    <x v="0"/>
    <n v="0"/>
    <n v="0"/>
    <n v="0"/>
    <n v="12"/>
    <x v="1"/>
    <x v="0"/>
    <m/>
    <x v="0"/>
    <n v="61"/>
    <x v="0"/>
    <x v="23"/>
    <x v="13"/>
    <x v="0"/>
    <x v="0"/>
  </r>
  <r>
    <x v="0"/>
    <x v="9"/>
    <s v="2801 F"/>
    <x v="226"/>
    <s v=" Usman Amin "/>
    <s v=" LDN "/>
    <n v="16.75"/>
    <s v="8-8.5"/>
    <s v=" LDN "/>
    <n v="1000"/>
    <x v="0"/>
    <n v="4"/>
    <n v="328"/>
    <n v="6.3"/>
    <m/>
    <x v="0"/>
    <n v="321.7"/>
    <n v="1202.5"/>
    <m/>
    <x v="0"/>
    <x v="0"/>
    <n v="0"/>
    <n v="0"/>
    <x v="0"/>
    <x v="0"/>
    <m/>
    <x v="0"/>
    <x v="0"/>
    <x v="0"/>
    <x v="0"/>
    <x v="0"/>
    <n v="0"/>
    <n v="0"/>
    <n v="0"/>
    <n v="12"/>
    <x v="1"/>
    <x v="0"/>
    <m/>
    <x v="0"/>
    <n v="333"/>
    <x v="0"/>
    <x v="23"/>
    <x v="13"/>
    <x v="0"/>
    <x v="0"/>
  </r>
  <r>
    <x v="1"/>
    <x v="9"/>
    <s v="2801 F"/>
    <x v="226"/>
    <s v=" Usman Amin "/>
    <s v=" LDN "/>
    <n v="16.75"/>
    <s v="8-8.5"/>
    <s v=" LDN "/>
    <n v="1000"/>
    <x v="0"/>
    <n v="3"/>
    <n v="248.6"/>
    <n v="6.6000000000000005"/>
    <m/>
    <x v="0"/>
    <n v="242"/>
    <n v="1202.5"/>
    <m/>
    <x v="0"/>
    <x v="0"/>
    <n v="0"/>
    <n v="0"/>
    <x v="0"/>
    <x v="0"/>
    <m/>
    <x v="0"/>
    <x v="0"/>
    <x v="0"/>
    <x v="0"/>
    <x v="0"/>
    <n v="0"/>
    <n v="0"/>
    <n v="0"/>
    <n v="12"/>
    <x v="1"/>
    <x v="0"/>
    <m/>
    <x v="0"/>
    <n v="253.6"/>
    <x v="0"/>
    <x v="23"/>
    <x v="13"/>
    <x v="0"/>
    <x v="0"/>
  </r>
  <r>
    <x v="0"/>
    <x v="11"/>
    <s v="6921 J"/>
    <x v="226"/>
    <s v="Naseer Sb Chiniot"/>
    <s v="LD پیلا"/>
    <s v="10+2.5+2.5"/>
    <s v="6.5-7/13-14"/>
    <s v="LDM"/>
    <n v="110"/>
    <x v="0"/>
    <n v="4"/>
    <n v="119.32000000000001"/>
    <n v="4.8"/>
    <n v="15"/>
    <x v="0"/>
    <n v="114.52000000000001"/>
    <n v="114.52000000000001"/>
    <m/>
    <x v="0"/>
    <x v="0"/>
    <n v="0"/>
    <n v="0"/>
    <x v="0"/>
    <x v="0"/>
    <m/>
    <x v="0"/>
    <x v="0"/>
    <x v="0"/>
    <x v="0"/>
    <x v="0"/>
    <n v="0"/>
    <n v="0"/>
    <n v="0"/>
    <n v="12"/>
    <x v="1"/>
    <x v="0"/>
    <m/>
    <x v="0"/>
    <n v="124.32000000000001"/>
    <x v="0"/>
    <x v="23"/>
    <x v="13"/>
    <x v="0"/>
    <x v="0"/>
  </r>
  <r>
    <x v="0"/>
    <x v="11"/>
    <s v="6993 J"/>
    <x v="226"/>
    <s v="Mehboob Printers Gujranwala"/>
    <s v="LD سکائی بلو"/>
    <s v="10+2.5+2.5"/>
    <s v="5.5-6/11-12"/>
    <s v="LDM"/>
    <n v="550"/>
    <x v="0"/>
    <n v="7"/>
    <n v="237"/>
    <n v="8.4"/>
    <m/>
    <x v="0"/>
    <n v="228.6"/>
    <n v="543.29999999999995"/>
    <m/>
    <x v="0"/>
    <x v="0"/>
    <n v="0"/>
    <n v="0"/>
    <x v="0"/>
    <x v="0"/>
    <m/>
    <x v="0"/>
    <x v="0"/>
    <x v="0"/>
    <x v="0"/>
    <x v="0"/>
    <n v="0"/>
    <n v="0"/>
    <n v="0"/>
    <n v="12"/>
    <x v="1"/>
    <x v="0"/>
    <m/>
    <x v="0"/>
    <n v="242"/>
    <x v="0"/>
    <x v="23"/>
    <x v="13"/>
    <x v="0"/>
    <x v="0"/>
  </r>
  <r>
    <x v="1"/>
    <x v="11"/>
    <s v="6993 J"/>
    <x v="226"/>
    <s v="Mehboob Printers Gujranwala"/>
    <s v="LD سکائی بلو"/>
    <s v="10+2.5+2.5"/>
    <s v="5.5-6/11-12"/>
    <s v="LDM"/>
    <n v="550"/>
    <x v="0"/>
    <n v="2"/>
    <n v="43.2"/>
    <n v="1.3"/>
    <n v="58"/>
    <x v="0"/>
    <n v="41.900000000000006"/>
    <n v="543.29999999999995"/>
    <m/>
    <x v="0"/>
    <x v="0"/>
    <n v="0"/>
    <n v="0"/>
    <x v="0"/>
    <x v="0"/>
    <m/>
    <x v="0"/>
    <x v="0"/>
    <x v="0"/>
    <x v="0"/>
    <x v="0"/>
    <n v="0"/>
    <n v="0"/>
    <n v="0"/>
    <n v="12"/>
    <x v="1"/>
    <x v="0"/>
    <m/>
    <x v="0"/>
    <n v="48.2"/>
    <x v="0"/>
    <x v="23"/>
    <x v="13"/>
    <x v="0"/>
    <x v="0"/>
  </r>
  <r>
    <x v="1"/>
    <x v="11"/>
    <s v="6994 J"/>
    <x v="226"/>
    <s v="Mehboob Printers Gujranwala"/>
    <s v="LD سکائی بلو"/>
    <s v="11+3+3"/>
    <s v="5.5-6/11-12"/>
    <s v="LDM"/>
    <n v="550"/>
    <x v="0"/>
    <n v="7"/>
    <n v="276.59999999999997"/>
    <n v="9.1"/>
    <m/>
    <x v="0"/>
    <n v="267.49999999999994"/>
    <n v="522.66999999999996"/>
    <m/>
    <x v="0"/>
    <x v="0"/>
    <n v="0"/>
    <n v="0"/>
    <x v="0"/>
    <x v="0"/>
    <m/>
    <x v="0"/>
    <x v="0"/>
    <x v="0"/>
    <x v="0"/>
    <x v="0"/>
    <n v="0"/>
    <n v="0"/>
    <n v="0"/>
    <n v="12"/>
    <x v="1"/>
    <x v="0"/>
    <m/>
    <x v="0"/>
    <n v="281.59999999999997"/>
    <x v="0"/>
    <x v="23"/>
    <x v="13"/>
    <x v="0"/>
    <x v="0"/>
  </r>
  <r>
    <x v="1"/>
    <x v="11"/>
    <s v="6991 J"/>
    <x v="226"/>
    <s v="Mehboob Printers Gujranwala"/>
    <s v="LD پیلا"/>
    <n v="14"/>
    <s v="12.5-13"/>
    <s v="LDM"/>
    <n v="625"/>
    <x v="0"/>
    <n v="1"/>
    <n v="115.6"/>
    <n v="1.5"/>
    <m/>
    <x v="0"/>
    <n v="114.1"/>
    <n v="636"/>
    <m/>
    <x v="0"/>
    <x v="0"/>
    <n v="0"/>
    <n v="0"/>
    <x v="0"/>
    <x v="0"/>
    <m/>
    <x v="0"/>
    <x v="0"/>
    <x v="0"/>
    <x v="0"/>
    <x v="0"/>
    <n v="0"/>
    <n v="0"/>
    <n v="0"/>
    <n v="12"/>
    <x v="1"/>
    <x v="0"/>
    <m/>
    <x v="0"/>
    <n v="120.6"/>
    <x v="0"/>
    <x v="23"/>
    <x v="13"/>
    <x v="0"/>
    <x v="0"/>
  </r>
  <r>
    <x v="0"/>
    <x v="14"/>
    <s v="2829 F"/>
    <x v="226"/>
    <s v="Usman Amin"/>
    <s v="LDN"/>
    <n v="19"/>
    <s v="8.5-9"/>
    <s v="LDN"/>
    <n v="500"/>
    <x v="0"/>
    <n v="7"/>
    <n v="466.9"/>
    <n v="15.400000000000002"/>
    <n v="7"/>
    <x v="0"/>
    <n v="451.5"/>
    <n v="585"/>
    <m/>
    <x v="0"/>
    <x v="0"/>
    <n v="0"/>
    <n v="0"/>
    <x v="0"/>
    <x v="0"/>
    <m/>
    <x v="0"/>
    <x v="0"/>
    <x v="0"/>
    <x v="0"/>
    <x v="0"/>
    <n v="0"/>
    <n v="0"/>
    <n v="0"/>
    <n v="12"/>
    <x v="1"/>
    <x v="0"/>
    <m/>
    <x v="0"/>
    <n v="471.9"/>
    <x v="0"/>
    <x v="23"/>
    <x v="13"/>
    <x v="0"/>
    <x v="0"/>
  </r>
  <r>
    <x v="0"/>
    <x v="14"/>
    <s v="7073 J"/>
    <x v="226"/>
    <s v="Royal Broke Lahore"/>
    <s v="LDN"/>
    <n v="20"/>
    <s v="8-8.5"/>
    <s v="LDN"/>
    <n v="250"/>
    <x v="0"/>
    <n v="3"/>
    <n v="178.70000000000002"/>
    <n v="7.1999999999999993"/>
    <m/>
    <x v="0"/>
    <n v="171.50000000000003"/>
    <n v="171.50000000000003"/>
    <m/>
    <x v="0"/>
    <x v="0"/>
    <n v="0"/>
    <n v="0"/>
    <x v="0"/>
    <x v="0"/>
    <m/>
    <x v="0"/>
    <x v="0"/>
    <x v="0"/>
    <x v="0"/>
    <x v="0"/>
    <n v="0"/>
    <n v="0"/>
    <n v="0"/>
    <n v="12"/>
    <x v="1"/>
    <x v="0"/>
    <m/>
    <x v="0"/>
    <n v="183.70000000000002"/>
    <x v="0"/>
    <x v="23"/>
    <x v="13"/>
    <x v="0"/>
    <x v="0"/>
  </r>
  <r>
    <x v="1"/>
    <x v="14"/>
    <s v="2829 F"/>
    <x v="226"/>
    <s v="Usman Amin"/>
    <s v="LDN"/>
    <n v="19"/>
    <s v="8.5-9"/>
    <s v="LDN"/>
    <n v="500"/>
    <x v="0"/>
    <n v="1"/>
    <n v="74.599999999999994"/>
    <n v="2.4"/>
    <m/>
    <x v="0"/>
    <n v="72.199999999999989"/>
    <n v="585"/>
    <m/>
    <x v="0"/>
    <x v="0"/>
    <n v="0"/>
    <n v="0"/>
    <x v="0"/>
    <x v="0"/>
    <m/>
    <x v="0"/>
    <x v="0"/>
    <x v="0"/>
    <x v="0"/>
    <x v="0"/>
    <n v="0"/>
    <n v="0"/>
    <n v="0"/>
    <n v="12"/>
    <x v="1"/>
    <x v="0"/>
    <m/>
    <x v="0"/>
    <n v="79.599999999999994"/>
    <x v="0"/>
    <x v="23"/>
    <x v="13"/>
    <x v="0"/>
    <x v="0"/>
  </r>
  <r>
    <x v="1"/>
    <x v="14"/>
    <s v="275 R"/>
    <x v="226"/>
    <s v="REFLECTPACK"/>
    <s v="LDN"/>
    <n v="18"/>
    <s v="10-11"/>
    <s v="LDN"/>
    <n v="500"/>
    <x v="0"/>
    <n v="7"/>
    <n v="517.20000000000005"/>
    <n v="16.099999999999998"/>
    <n v="15"/>
    <x v="0"/>
    <n v="501.1"/>
    <n v="569.5"/>
    <m/>
    <x v="0"/>
    <x v="0"/>
    <n v="0"/>
    <n v="0"/>
    <x v="0"/>
    <x v="0"/>
    <m/>
    <x v="0"/>
    <x v="0"/>
    <x v="0"/>
    <x v="0"/>
    <x v="0"/>
    <n v="0"/>
    <n v="0"/>
    <n v="0"/>
    <n v="12"/>
    <x v="1"/>
    <x v="0"/>
    <m/>
    <x v="0"/>
    <n v="522.20000000000005"/>
    <x v="0"/>
    <x v="23"/>
    <x v="13"/>
    <x v="0"/>
    <x v="0"/>
  </r>
  <r>
    <x v="0"/>
    <x v="15"/>
    <s v="6805 J"/>
    <x v="226"/>
    <s v="Wah Nobel Private Limited"/>
    <s v="LDN"/>
    <s v="435+30+30 MM"/>
    <s v="20-20.5/40-41"/>
    <s v="LDN"/>
    <n v="5000"/>
    <x v="0"/>
    <n v="8"/>
    <n v="422.20000000000005"/>
    <n v="11.2"/>
    <m/>
    <x v="0"/>
    <n v="411.00000000000006"/>
    <n v="4996.5899999999992"/>
    <m/>
    <x v="0"/>
    <x v="0"/>
    <n v="0"/>
    <n v="0"/>
    <x v="0"/>
    <x v="0"/>
    <m/>
    <x v="0"/>
    <x v="0"/>
    <x v="0"/>
    <x v="0"/>
    <x v="0"/>
    <n v="0"/>
    <n v="0"/>
    <n v="0"/>
    <n v="12"/>
    <x v="1"/>
    <x v="0"/>
    <m/>
    <x v="0"/>
    <n v="427.20000000000005"/>
    <x v="0"/>
    <x v="23"/>
    <x v="13"/>
    <x v="0"/>
    <x v="0"/>
  </r>
  <r>
    <x v="1"/>
    <x v="15"/>
    <s v="6805 J"/>
    <x v="226"/>
    <s v="Wah Nobel Private Limited"/>
    <s v="LDN"/>
    <s v="435+30+30 MM"/>
    <s v="20-20.5/40-41"/>
    <s v="LDN"/>
    <n v="5000"/>
    <x v="0"/>
    <n v="8"/>
    <n v="409.95000000000005"/>
    <n v="11.2"/>
    <m/>
    <x v="0"/>
    <n v="398.75000000000006"/>
    <n v="4996.5899999999992"/>
    <m/>
    <x v="0"/>
    <x v="0"/>
    <n v="0"/>
    <n v="0"/>
    <x v="0"/>
    <x v="0"/>
    <m/>
    <x v="0"/>
    <x v="0"/>
    <x v="0"/>
    <x v="0"/>
    <x v="0"/>
    <n v="0"/>
    <n v="0"/>
    <n v="0"/>
    <n v="12"/>
    <x v="1"/>
    <x v="0"/>
    <m/>
    <x v="0"/>
    <n v="414.95000000000005"/>
    <x v="0"/>
    <x v="23"/>
    <x v="13"/>
    <x v="0"/>
    <x v="0"/>
  </r>
  <r>
    <x v="0"/>
    <x v="9"/>
    <s v="2801 f"/>
    <x v="227"/>
    <s v=" Usman Amin "/>
    <s v=" LDN "/>
    <n v="16.75"/>
    <s v="8-8.5"/>
    <s v=" LDN "/>
    <n v="1000"/>
    <x v="0"/>
    <n v="2"/>
    <n v="205.3"/>
    <n v="3.9"/>
    <n v="5"/>
    <x v="0"/>
    <n v="201.4"/>
    <n v="1202.5"/>
    <n v="5"/>
    <x v="0"/>
    <x v="0"/>
    <n v="5"/>
    <n v="8.3333333333333329E-2"/>
    <x v="0"/>
    <x v="0"/>
    <m/>
    <x v="0"/>
    <x v="0"/>
    <x v="0"/>
    <x v="0"/>
    <x v="0"/>
    <n v="0"/>
    <n v="0"/>
    <n v="8.3333333333333329E-2"/>
    <n v="11.916666666666666"/>
    <x v="1"/>
    <x v="0"/>
    <m/>
    <x v="0"/>
    <n v="210.3"/>
    <x v="0"/>
    <x v="23"/>
    <x v="13"/>
    <x v="0"/>
    <x v="0"/>
  </r>
  <r>
    <x v="0"/>
    <x v="9"/>
    <s v="7069 j"/>
    <x v="227"/>
    <s v="Chezo Cheez Lahore"/>
    <s v="LDN"/>
    <n v="11"/>
    <n v="18"/>
    <s v="LDN"/>
    <n v="150"/>
    <x v="0"/>
    <n v="1"/>
    <n v="53.8"/>
    <n v="1.5"/>
    <m/>
    <x v="0"/>
    <n v="52.3"/>
    <n v="308.75"/>
    <m/>
    <x v="0"/>
    <x v="0"/>
    <n v="0"/>
    <n v="0"/>
    <x v="0"/>
    <x v="0"/>
    <m/>
    <x v="0"/>
    <x v="0"/>
    <x v="0"/>
    <x v="0"/>
    <x v="0"/>
    <n v="0"/>
    <n v="0"/>
    <n v="0"/>
    <n v="12"/>
    <x v="1"/>
    <x v="0"/>
    <m/>
    <x v="0"/>
    <n v="58.8"/>
    <x v="0"/>
    <x v="23"/>
    <x v="13"/>
    <x v="0"/>
    <x v="0"/>
  </r>
  <r>
    <x v="1"/>
    <x v="9"/>
    <s v="7069 j"/>
    <x v="227"/>
    <s v="Chezo Cheez Lahore"/>
    <s v="LDN"/>
    <n v="11"/>
    <n v="18"/>
    <s v="LDN"/>
    <n v="150"/>
    <x v="0"/>
    <n v="2"/>
    <n v="118.25"/>
    <n v="3"/>
    <n v="3"/>
    <x v="0"/>
    <n v="115.25"/>
    <n v="308.75"/>
    <m/>
    <x v="0"/>
    <x v="0"/>
    <n v="0"/>
    <n v="0"/>
    <x v="0"/>
    <x v="0"/>
    <m/>
    <x v="0"/>
    <x v="0"/>
    <x v="0"/>
    <x v="0"/>
    <x v="0"/>
    <n v="0"/>
    <n v="0"/>
    <n v="0"/>
    <n v="12"/>
    <x v="1"/>
    <x v="0"/>
    <m/>
    <x v="0"/>
    <n v="123.25"/>
    <x v="0"/>
    <x v="23"/>
    <x v="13"/>
    <x v="0"/>
    <x v="0"/>
  </r>
  <r>
    <x v="1"/>
    <x v="9"/>
    <s v="7070 j"/>
    <x v="227"/>
    <s v="Chezo Cheez Lahore"/>
    <s v="LDN"/>
    <n v="11"/>
    <n v="18"/>
    <s v="LDN"/>
    <n v="120"/>
    <x v="0"/>
    <n v="1"/>
    <n v="71.599999999999994"/>
    <n v="1"/>
    <m/>
    <x v="0"/>
    <n v="70.599999999999994"/>
    <n v="126.8"/>
    <m/>
    <x v="0"/>
    <x v="0"/>
    <n v="0"/>
    <n v="0"/>
    <x v="0"/>
    <x v="0"/>
    <m/>
    <x v="0"/>
    <x v="0"/>
    <x v="0"/>
    <x v="0"/>
    <x v="0"/>
    <n v="0"/>
    <n v="0"/>
    <n v="0"/>
    <n v="12"/>
    <x v="1"/>
    <x v="0"/>
    <m/>
    <x v="0"/>
    <n v="76.599999999999994"/>
    <x v="0"/>
    <x v="23"/>
    <x v="13"/>
    <x v="0"/>
    <x v="0"/>
  </r>
  <r>
    <x v="0"/>
    <x v="11"/>
    <s v="6991 J"/>
    <x v="227"/>
    <s v="Mehboob Printers Gujranwala"/>
    <s v="LD پیلا"/>
    <n v="14"/>
    <s v="12.5-13"/>
    <s v="LDM"/>
    <n v="625"/>
    <x v="0"/>
    <n v="6"/>
    <n v="500"/>
    <n v="10.8"/>
    <n v="5"/>
    <x v="0"/>
    <n v="489.2"/>
    <n v="636"/>
    <n v="10"/>
    <x v="0"/>
    <x v="0"/>
    <n v="10"/>
    <n v="0.16666666666666666"/>
    <x v="0"/>
    <x v="0"/>
    <m/>
    <x v="0"/>
    <x v="0"/>
    <x v="0"/>
    <x v="0"/>
    <x v="0"/>
    <n v="0"/>
    <n v="0"/>
    <n v="0.16666666666666666"/>
    <n v="11.833333333333334"/>
    <x v="1"/>
    <x v="0"/>
    <m/>
    <x v="0"/>
    <n v="505"/>
    <x v="0"/>
    <x v="23"/>
    <x v="13"/>
    <x v="0"/>
    <x v="0"/>
  </r>
  <r>
    <x v="1"/>
    <x v="11"/>
    <s v="6991 J"/>
    <x v="227"/>
    <s v="Mehboob Printers Gujranwala"/>
    <s v="LD پیلا"/>
    <n v="14"/>
    <s v="12.5-13"/>
    <s v="LDM"/>
    <n v="625"/>
    <x v="0"/>
    <n v="1"/>
    <n v="34.5"/>
    <n v="1.8"/>
    <n v="6"/>
    <x v="0"/>
    <n v="32.700000000000003"/>
    <n v="636"/>
    <m/>
    <x v="0"/>
    <x v="0"/>
    <n v="0"/>
    <n v="0"/>
    <x v="0"/>
    <x v="0"/>
    <m/>
    <x v="0"/>
    <x v="0"/>
    <x v="0"/>
    <x v="0"/>
    <x v="0"/>
    <n v="0"/>
    <n v="0"/>
    <n v="0"/>
    <n v="12"/>
    <x v="1"/>
    <x v="0"/>
    <m/>
    <x v="0"/>
    <n v="39.5"/>
    <x v="0"/>
    <x v="23"/>
    <x v="13"/>
    <x v="0"/>
    <x v="0"/>
  </r>
  <r>
    <x v="1"/>
    <x v="11"/>
    <s v="6992 J"/>
    <x v="227"/>
    <s v="Mehboob Printers Gujranwala"/>
    <s v="LD پیلا"/>
    <n v="20"/>
    <s v="12.5-13"/>
    <s v="LDM"/>
    <n v="625"/>
    <x v="0"/>
    <n v="5"/>
    <n v="475"/>
    <n v="10.7"/>
    <m/>
    <x v="0"/>
    <n v="464.3"/>
    <n v="649.29999999999995"/>
    <m/>
    <x v="0"/>
    <x v="0"/>
    <n v="0"/>
    <n v="0"/>
    <x v="0"/>
    <x v="0"/>
    <m/>
    <x v="0"/>
    <x v="0"/>
    <x v="0"/>
    <x v="0"/>
    <x v="0"/>
    <n v="0"/>
    <n v="0"/>
    <n v="0"/>
    <n v="12"/>
    <x v="1"/>
    <x v="0"/>
    <m/>
    <x v="0"/>
    <n v="480"/>
    <x v="0"/>
    <x v="23"/>
    <x v="13"/>
    <x v="0"/>
    <x v="0"/>
  </r>
  <r>
    <x v="0"/>
    <x v="14"/>
    <s v="275 R"/>
    <x v="227"/>
    <s v="REFLECTPACK"/>
    <s v="LDN"/>
    <n v="18"/>
    <s v="10-11"/>
    <s v="LDN"/>
    <n v="500"/>
    <x v="0"/>
    <n v="1"/>
    <n v="70.7"/>
    <n v="2.2999999999999998"/>
    <n v="15"/>
    <x v="0"/>
    <n v="68.400000000000006"/>
    <n v="569.5"/>
    <n v="6"/>
    <x v="0"/>
    <x v="0"/>
    <n v="6"/>
    <n v="0.1"/>
    <x v="0"/>
    <x v="0"/>
    <m/>
    <x v="0"/>
    <x v="0"/>
    <x v="0"/>
    <x v="0"/>
    <x v="0"/>
    <n v="0"/>
    <n v="0"/>
    <n v="0.1"/>
    <n v="11.9"/>
    <x v="1"/>
    <x v="0"/>
    <m/>
    <x v="0"/>
    <n v="75.7"/>
    <x v="0"/>
    <x v="23"/>
    <x v="13"/>
    <x v="0"/>
    <x v="0"/>
  </r>
  <r>
    <x v="0"/>
    <x v="14"/>
    <s v="2838 F"/>
    <x v="227"/>
    <s v="Usman Amin"/>
    <s v="LDN"/>
    <n v="21"/>
    <s v="6-6.5"/>
    <s v="LDN"/>
    <n v="300"/>
    <x v="0"/>
    <n v="5"/>
    <n v="310.20000000000005"/>
    <n v="12.3"/>
    <m/>
    <x v="0"/>
    <n v="297.90000000000003"/>
    <n v="297.90000000000003"/>
    <m/>
    <x v="0"/>
    <x v="0"/>
    <n v="0"/>
    <n v="0"/>
    <x v="0"/>
    <x v="0"/>
    <m/>
    <x v="0"/>
    <x v="0"/>
    <x v="0"/>
    <x v="0"/>
    <x v="0"/>
    <n v="0"/>
    <n v="0"/>
    <n v="0"/>
    <n v="12"/>
    <x v="1"/>
    <x v="0"/>
    <m/>
    <x v="0"/>
    <n v="315.20000000000005"/>
    <x v="0"/>
    <x v="23"/>
    <x v="13"/>
    <x v="0"/>
    <x v="0"/>
  </r>
  <r>
    <x v="0"/>
    <x v="14"/>
    <s v="7074 J"/>
    <x v="227"/>
    <s v="Spin Fashion Cloth House Swat"/>
    <s v="LDM"/>
    <n v="18"/>
    <s v="14-15"/>
    <s v="LDM"/>
    <n v="100"/>
    <x v="0"/>
    <n v="4"/>
    <n v="217.70000000000002"/>
    <n v="4.4000000000000004"/>
    <m/>
    <x v="0"/>
    <n v="213.3"/>
    <n v="213.3"/>
    <m/>
    <x v="0"/>
    <x v="0"/>
    <n v="0"/>
    <n v="0"/>
    <x v="0"/>
    <x v="0"/>
    <m/>
    <x v="0"/>
    <x v="0"/>
    <x v="0"/>
    <x v="0"/>
    <x v="0"/>
    <n v="0"/>
    <n v="0"/>
    <n v="0"/>
    <n v="12"/>
    <x v="1"/>
    <x v="0"/>
    <m/>
    <x v="0"/>
    <n v="222.70000000000002"/>
    <x v="0"/>
    <x v="23"/>
    <x v="13"/>
    <x v="0"/>
    <x v="0"/>
  </r>
  <r>
    <x v="1"/>
    <x v="14"/>
    <s v="7054 J"/>
    <x v="227"/>
    <s v="Service Industry Gujrat"/>
    <s v="LDM"/>
    <s v="432 MM"/>
    <s v="-"/>
    <s v="LDM"/>
    <n v="300"/>
    <x v="0"/>
    <n v="6"/>
    <n v="312.36"/>
    <n v="12"/>
    <m/>
    <x v="0"/>
    <n v="300.36"/>
    <n v="300.36"/>
    <m/>
    <x v="0"/>
    <x v="0"/>
    <n v="0"/>
    <n v="0"/>
    <x v="0"/>
    <x v="0"/>
    <m/>
    <x v="0"/>
    <x v="0"/>
    <x v="0"/>
    <x v="0"/>
    <x v="0"/>
    <n v="0"/>
    <n v="0"/>
    <n v="0"/>
    <n v="12"/>
    <x v="1"/>
    <x v="0"/>
    <m/>
    <x v="0"/>
    <n v="317.36"/>
    <x v="0"/>
    <x v="23"/>
    <x v="13"/>
    <x v="0"/>
    <x v="0"/>
  </r>
  <r>
    <x v="1"/>
    <x v="14"/>
    <s v="7053 J"/>
    <x v="227"/>
    <s v="Service Industry Gujrat"/>
    <s v="LDM"/>
    <s v="432 MM"/>
    <s v="-"/>
    <s v="LDM"/>
    <n v="200"/>
    <x v="0"/>
    <n v="4"/>
    <n v="220.7"/>
    <n v="8"/>
    <n v="63"/>
    <x v="0"/>
    <n v="212.7"/>
    <n v="212.7"/>
    <m/>
    <x v="0"/>
    <x v="0"/>
    <n v="0"/>
    <n v="0"/>
    <x v="0"/>
    <x v="0"/>
    <m/>
    <x v="0"/>
    <x v="0"/>
    <x v="0"/>
    <x v="0"/>
    <x v="0"/>
    <n v="0"/>
    <n v="0"/>
    <n v="0"/>
    <n v="12"/>
    <x v="1"/>
    <x v="0"/>
    <m/>
    <x v="0"/>
    <n v="225.7"/>
    <x v="0"/>
    <x v="23"/>
    <x v="13"/>
    <x v="0"/>
    <x v="0"/>
  </r>
  <r>
    <x v="1"/>
    <x v="14"/>
    <s v="7055 J"/>
    <x v="227"/>
    <s v="Service Industry Gujrat"/>
    <s v="LDM"/>
    <s v="428 MM"/>
    <s v="-"/>
    <s v="LDM"/>
    <n v="100"/>
    <x v="0"/>
    <n v="2"/>
    <n v="107.6"/>
    <n v="4"/>
    <m/>
    <x v="0"/>
    <n v="103.6"/>
    <n v="103.6"/>
    <m/>
    <x v="0"/>
    <x v="0"/>
    <n v="0"/>
    <n v="0"/>
    <x v="0"/>
    <x v="0"/>
    <m/>
    <x v="0"/>
    <x v="0"/>
    <x v="0"/>
    <x v="0"/>
    <x v="0"/>
    <n v="0"/>
    <n v="0"/>
    <n v="0"/>
    <n v="12"/>
    <x v="1"/>
    <x v="0"/>
    <m/>
    <x v="0"/>
    <n v="112.6"/>
    <x v="0"/>
    <x v="23"/>
    <x v="13"/>
    <x v="0"/>
    <x v="0"/>
  </r>
  <r>
    <x v="0"/>
    <x v="15"/>
    <s v="6805 J"/>
    <x v="227"/>
    <s v="Wah Nobel Private Limited"/>
    <s v="LDN"/>
    <s v="435+30+30 MM"/>
    <s v="20-20.5/40-41"/>
    <s v="LDN"/>
    <n v="5000"/>
    <x v="0"/>
    <n v="4"/>
    <n v="178.7"/>
    <n v="8.8000000000000007"/>
    <n v="7"/>
    <x v="0"/>
    <n v="169.89999999999998"/>
    <n v="4996.5899999999992"/>
    <n v="5"/>
    <x v="0"/>
    <x v="0"/>
    <n v="5"/>
    <n v="8.3333333333333329E-2"/>
    <x v="0"/>
    <x v="0"/>
    <m/>
    <x v="0"/>
    <x v="0"/>
    <x v="0"/>
    <x v="0"/>
    <x v="0"/>
    <n v="0"/>
    <n v="0"/>
    <n v="8.3333333333333329E-2"/>
    <n v="11.916666666666666"/>
    <x v="1"/>
    <x v="0"/>
    <m/>
    <x v="0"/>
    <n v="183.7"/>
    <x v="0"/>
    <x v="23"/>
    <x v="13"/>
    <x v="0"/>
    <x v="0"/>
  </r>
  <r>
    <x v="0"/>
    <x v="15"/>
    <s v="2848/1"/>
    <x v="227"/>
    <s v="ENGRO ZARKHEZ"/>
    <s v="LDN"/>
    <s v="24-24.5"/>
    <s v="60±1"/>
    <s v="AA"/>
    <n v="3720"/>
    <x v="0"/>
    <n v="2"/>
    <n v="227.8"/>
    <n v="6"/>
    <m/>
    <x v="0"/>
    <n v="221.8"/>
    <n v="3754.4"/>
    <m/>
    <x v="0"/>
    <x v="0"/>
    <n v="0"/>
    <n v="0"/>
    <x v="0"/>
    <x v="0"/>
    <m/>
    <x v="0"/>
    <x v="0"/>
    <x v="0"/>
    <x v="0"/>
    <x v="0"/>
    <n v="0"/>
    <n v="0"/>
    <n v="0"/>
    <n v="12"/>
    <x v="1"/>
    <x v="0"/>
    <m/>
    <x v="0"/>
    <n v="232.8"/>
    <x v="0"/>
    <x v="23"/>
    <x v="13"/>
    <x v="0"/>
    <x v="0"/>
  </r>
  <r>
    <x v="1"/>
    <x v="15"/>
    <s v="2848/1"/>
    <x v="227"/>
    <s v="ENGRO ZARKHEZ"/>
    <s v="LDN"/>
    <s v="24-24.5"/>
    <s v="60±1"/>
    <s v="AA"/>
    <n v="3720"/>
    <x v="0"/>
    <n v="5"/>
    <n v="497.5"/>
    <n v="15"/>
    <n v="9"/>
    <x v="0"/>
    <n v="482.5"/>
    <n v="3754.4"/>
    <m/>
    <x v="0"/>
    <x v="0"/>
    <n v="0"/>
    <n v="0"/>
    <x v="0"/>
    <x v="0"/>
    <m/>
    <x v="0"/>
    <x v="0"/>
    <x v="0"/>
    <x v="0"/>
    <x v="0"/>
    <n v="0"/>
    <n v="0"/>
    <n v="0"/>
    <n v="12"/>
    <x v="1"/>
    <x v="0"/>
    <m/>
    <x v="0"/>
    <n v="502.5"/>
    <x v="0"/>
    <x v="23"/>
    <x v="13"/>
    <x v="0"/>
    <x v="0"/>
  </r>
  <r>
    <x v="0"/>
    <x v="9"/>
    <s v="7070 J"/>
    <x v="228"/>
    <s v="Chezo Cheez Lahore"/>
    <s v="LDN"/>
    <n v="11"/>
    <n v="18"/>
    <s v="LDN"/>
    <n v="120"/>
    <x v="0"/>
    <n v="1"/>
    <n v="57.5"/>
    <n v="1.3"/>
    <m/>
    <x v="0"/>
    <n v="56.2"/>
    <n v="126.8"/>
    <m/>
    <x v="0"/>
    <x v="0"/>
    <n v="0"/>
    <n v="0"/>
    <x v="0"/>
    <x v="0"/>
    <m/>
    <x v="0"/>
    <x v="0"/>
    <x v="0"/>
    <x v="0"/>
    <x v="0"/>
    <n v="0"/>
    <n v="0"/>
    <n v="0"/>
    <n v="12"/>
    <x v="1"/>
    <x v="0"/>
    <m/>
    <x v="0"/>
    <n v="62.5"/>
    <x v="0"/>
    <x v="24"/>
    <x v="14"/>
    <x v="0"/>
    <x v="0"/>
  </r>
  <r>
    <x v="0"/>
    <x v="9"/>
    <s v="7076 J"/>
    <x v="228"/>
    <s v="Bolan Pastry Shop Quita"/>
    <s v="LDN"/>
    <n v="10.5"/>
    <s v="6-6.5"/>
    <s v="LDN"/>
    <n v="300"/>
    <x v="0"/>
    <n v="3"/>
    <n v="139.80000000000001"/>
    <n v="3.5999999999999996"/>
    <m/>
    <x v="0"/>
    <n v="136.20000000000002"/>
    <n v="297.55"/>
    <m/>
    <x v="0"/>
    <x v="0"/>
    <n v="0"/>
    <n v="0"/>
    <x v="0"/>
    <x v="0"/>
    <m/>
    <x v="0"/>
    <x v="0"/>
    <x v="0"/>
    <x v="0"/>
    <x v="0"/>
    <n v="0"/>
    <n v="0"/>
    <n v="0"/>
    <n v="12"/>
    <x v="1"/>
    <x v="0"/>
    <m/>
    <x v="0"/>
    <n v="144.80000000000001"/>
    <x v="0"/>
    <x v="24"/>
    <x v="14"/>
    <x v="0"/>
    <x v="0"/>
  </r>
  <r>
    <x v="1"/>
    <x v="9"/>
    <s v="7076 J"/>
    <x v="228"/>
    <s v="Bolan Pastry Shop Quita"/>
    <s v="LDN"/>
    <n v="10.5"/>
    <s v="6-6.5"/>
    <s v="LDN"/>
    <n v="300"/>
    <x v="0"/>
    <n v="4"/>
    <n v="165.15"/>
    <n v="3.8000000000000003"/>
    <m/>
    <x v="0"/>
    <n v="161.35"/>
    <n v="297.55"/>
    <m/>
    <x v="0"/>
    <x v="0"/>
    <n v="0"/>
    <n v="0"/>
    <x v="0"/>
    <x v="0"/>
    <m/>
    <x v="0"/>
    <x v="0"/>
    <x v="0"/>
    <x v="0"/>
    <x v="0"/>
    <n v="0"/>
    <n v="0"/>
    <n v="0"/>
    <n v="12"/>
    <x v="1"/>
    <x v="0"/>
    <m/>
    <x v="0"/>
    <n v="170.15"/>
    <x v="0"/>
    <x v="24"/>
    <x v="14"/>
    <x v="0"/>
    <x v="0"/>
  </r>
  <r>
    <x v="1"/>
    <x v="9"/>
    <s v="7082 J"/>
    <x v="228"/>
    <s v="Saeed Rafiullah Lahore"/>
    <s v="LDN"/>
    <n v="7"/>
    <s v="11-11.5"/>
    <s v="LDN"/>
    <n v="100"/>
    <x v="0"/>
    <n v="1"/>
    <n v="40.85"/>
    <m/>
    <m/>
    <x v="0"/>
    <n v="40.85"/>
    <n v="109.15"/>
    <m/>
    <x v="0"/>
    <x v="0"/>
    <n v="0"/>
    <n v="0"/>
    <x v="0"/>
    <x v="0"/>
    <m/>
    <x v="0"/>
    <x v="0"/>
    <x v="0"/>
    <x v="0"/>
    <x v="0"/>
    <n v="0"/>
    <n v="0"/>
    <n v="0"/>
    <n v="12"/>
    <x v="1"/>
    <x v="0"/>
    <m/>
    <x v="0"/>
    <n v="45.85"/>
    <x v="0"/>
    <x v="24"/>
    <x v="14"/>
    <x v="0"/>
    <x v="0"/>
  </r>
  <r>
    <x v="0"/>
    <x v="11"/>
    <s v="6992 J"/>
    <x v="228"/>
    <s v="Mehboob Printers Gujranwala"/>
    <s v="LD پیلا"/>
    <n v="20"/>
    <s v="12.5-13"/>
    <s v="LDM"/>
    <n v="625"/>
    <x v="0"/>
    <n v="2"/>
    <n v="190.8"/>
    <n v="5.8"/>
    <n v="11"/>
    <x v="0"/>
    <n v="185"/>
    <n v="649.29999999999995"/>
    <m/>
    <x v="0"/>
    <x v="0"/>
    <n v="0"/>
    <n v="0"/>
    <x v="0"/>
    <x v="0"/>
    <m/>
    <x v="0"/>
    <x v="0"/>
    <x v="0"/>
    <x v="0"/>
    <x v="0"/>
    <n v="0"/>
    <n v="0"/>
    <n v="0"/>
    <n v="12"/>
    <x v="1"/>
    <x v="0"/>
    <m/>
    <x v="0"/>
    <n v="195.8"/>
    <x v="0"/>
    <x v="24"/>
    <x v="14"/>
    <x v="0"/>
    <x v="0"/>
  </r>
  <r>
    <x v="0"/>
    <x v="11"/>
    <m/>
    <x v="228"/>
    <s v="-"/>
    <m/>
    <m/>
    <m/>
    <m/>
    <m/>
    <x v="0"/>
    <n v="1"/>
    <n v="93.9"/>
    <n v="2.6"/>
    <m/>
    <x v="0"/>
    <n v="91.300000000000011"/>
    <n v="0"/>
    <m/>
    <x v="0"/>
    <x v="0"/>
    <n v="0"/>
    <n v="0"/>
    <x v="0"/>
    <x v="0"/>
    <m/>
    <x v="0"/>
    <x v="0"/>
    <x v="0"/>
    <x v="0"/>
    <x v="0"/>
    <n v="0"/>
    <n v="0"/>
    <n v="0"/>
    <n v="12"/>
    <x v="1"/>
    <x v="0"/>
    <m/>
    <x v="0"/>
    <n v="98.9"/>
    <x v="0"/>
    <x v="24"/>
    <x v="14"/>
    <x v="0"/>
    <x v="0"/>
  </r>
  <r>
    <x v="0"/>
    <x v="11"/>
    <s v="6926 J"/>
    <x v="228"/>
    <s v="International Industries (LTD)"/>
    <s v="LD گرین"/>
    <s v="300 MM"/>
    <s v="48-50"/>
    <s v="LDM"/>
    <n v="2200"/>
    <x v="0"/>
    <n v="2"/>
    <n v="309.88"/>
    <n v="1.8"/>
    <m/>
    <x v="0"/>
    <n v="308.08"/>
    <n v="2370.08"/>
    <m/>
    <x v="0"/>
    <x v="0"/>
    <n v="0"/>
    <n v="0"/>
    <x v="0"/>
    <x v="0"/>
    <m/>
    <x v="0"/>
    <x v="0"/>
    <x v="0"/>
    <x v="0"/>
    <x v="0"/>
    <n v="0"/>
    <n v="0"/>
    <n v="0"/>
    <n v="12"/>
    <x v="1"/>
    <x v="0"/>
    <m/>
    <x v="0"/>
    <n v="314.88"/>
    <x v="0"/>
    <x v="24"/>
    <x v="14"/>
    <x v="0"/>
    <x v="0"/>
  </r>
  <r>
    <x v="1"/>
    <x v="11"/>
    <s v="6926 J"/>
    <x v="228"/>
    <s v="International Industries (LTD)"/>
    <s v="LD گرین"/>
    <s v="300 MM"/>
    <s v="48-50"/>
    <s v="LDM"/>
    <n v="2200"/>
    <x v="0"/>
    <n v="3"/>
    <n v="459.45"/>
    <n v="2.7"/>
    <m/>
    <x v="0"/>
    <n v="456.75"/>
    <n v="2370.08"/>
    <m/>
    <x v="0"/>
    <x v="0"/>
    <n v="0"/>
    <n v="0"/>
    <x v="0"/>
    <x v="0"/>
    <m/>
    <x v="0"/>
    <x v="0"/>
    <x v="0"/>
    <x v="0"/>
    <x v="0"/>
    <n v="0"/>
    <n v="0"/>
    <n v="0"/>
    <n v="12"/>
    <x v="1"/>
    <x v="0"/>
    <m/>
    <x v="0"/>
    <n v="464.45"/>
    <x v="0"/>
    <x v="24"/>
    <x v="14"/>
    <x v="0"/>
    <x v="0"/>
  </r>
  <r>
    <x v="0"/>
    <x v="14"/>
    <s v="7056 J"/>
    <x v="228"/>
    <s v="Service Industry Gujrat"/>
    <s v="LDM"/>
    <s v="428 MM"/>
    <s v="-"/>
    <s v="LDM"/>
    <n v="200"/>
    <x v="0"/>
    <n v="4"/>
    <n v="213.39999999999998"/>
    <n v="9.1999999999999993"/>
    <n v="60"/>
    <x v="0"/>
    <n v="204.2"/>
    <n v="204.2"/>
    <n v="70"/>
    <x v="0"/>
    <x v="0"/>
    <n v="70"/>
    <n v="1.1666666666666667"/>
    <x v="0"/>
    <x v="0"/>
    <m/>
    <x v="0"/>
    <x v="0"/>
    <x v="0"/>
    <x v="0"/>
    <x v="0"/>
    <n v="0"/>
    <n v="0"/>
    <n v="1.1666666666666667"/>
    <n v="10.833333333333334"/>
    <x v="1"/>
    <x v="0"/>
    <m/>
    <x v="0"/>
    <n v="218.39999999999998"/>
    <x v="0"/>
    <x v="24"/>
    <x v="14"/>
    <x v="0"/>
    <x v="0"/>
  </r>
  <r>
    <x v="0"/>
    <x v="14"/>
    <m/>
    <x v="228"/>
    <s v="-"/>
    <m/>
    <m/>
    <m/>
    <m/>
    <m/>
    <x v="0"/>
    <n v="1"/>
    <n v="48.8"/>
    <n v="2.4"/>
    <m/>
    <x v="0"/>
    <n v="46.4"/>
    <n v="0"/>
    <m/>
    <x v="0"/>
    <x v="0"/>
    <n v="0"/>
    <n v="0"/>
    <x v="0"/>
    <x v="0"/>
    <m/>
    <x v="0"/>
    <x v="0"/>
    <x v="0"/>
    <x v="0"/>
    <x v="0"/>
    <n v="0"/>
    <n v="0"/>
    <n v="0"/>
    <n v="12"/>
    <x v="1"/>
    <x v="0"/>
    <m/>
    <x v="0"/>
    <n v="53.8"/>
    <x v="0"/>
    <x v="24"/>
    <x v="14"/>
    <x v="0"/>
    <x v="0"/>
  </r>
  <r>
    <x v="0"/>
    <x v="14"/>
    <s v="2836 F"/>
    <x v="228"/>
    <s v="Usman Amin"/>
    <s v="LDN"/>
    <n v="19.25"/>
    <s v="9-9.5"/>
    <s v="LDN"/>
    <n v="140"/>
    <x v="0"/>
    <n v="2"/>
    <n v="147.89999999999998"/>
    <n v="5.6999999999999993"/>
    <m/>
    <x v="0"/>
    <n v="142.19999999999999"/>
    <n v="142.19999999999999"/>
    <m/>
    <x v="0"/>
    <x v="0"/>
    <n v="0"/>
    <n v="0"/>
    <x v="0"/>
    <x v="0"/>
    <m/>
    <x v="0"/>
    <x v="0"/>
    <x v="0"/>
    <x v="0"/>
    <x v="0"/>
    <n v="0"/>
    <n v="0"/>
    <n v="0"/>
    <n v="12"/>
    <x v="1"/>
    <x v="0"/>
    <m/>
    <x v="0"/>
    <n v="152.89999999999998"/>
    <x v="0"/>
    <x v="24"/>
    <x v="14"/>
    <x v="0"/>
    <x v="0"/>
  </r>
  <r>
    <x v="0"/>
    <x v="14"/>
    <s v="2831 F"/>
    <x v="228"/>
    <s v="Usman Amin"/>
    <s v="LDN"/>
    <n v="24"/>
    <s v="8"/>
    <s v="LDN"/>
    <n v="440"/>
    <x v="0"/>
    <n v="4"/>
    <n v="269.10000000000002"/>
    <n v="11.9"/>
    <m/>
    <x v="0"/>
    <n v="257.20000000000005"/>
    <n v="454.00000000000006"/>
    <m/>
    <x v="0"/>
    <x v="0"/>
    <n v="0"/>
    <n v="0"/>
    <x v="0"/>
    <x v="0"/>
    <m/>
    <x v="0"/>
    <x v="0"/>
    <x v="0"/>
    <x v="0"/>
    <x v="0"/>
    <n v="0"/>
    <n v="0"/>
    <n v="0"/>
    <n v="12"/>
    <x v="1"/>
    <x v="0"/>
    <m/>
    <x v="0"/>
    <n v="274.10000000000002"/>
    <x v="0"/>
    <x v="24"/>
    <x v="14"/>
    <x v="0"/>
    <x v="0"/>
  </r>
  <r>
    <x v="1"/>
    <x v="14"/>
    <s v="2831 F"/>
    <x v="228"/>
    <s v="Usman Amin"/>
    <s v="LDN"/>
    <n v="24"/>
    <s v="8"/>
    <s v="LDN"/>
    <n v="440"/>
    <x v="0"/>
    <n v="3"/>
    <n v="205.60000000000002"/>
    <n v="8.8000000000000007"/>
    <n v="6"/>
    <x v="0"/>
    <n v="196.8"/>
    <n v="454.00000000000006"/>
    <m/>
    <x v="0"/>
    <x v="0"/>
    <n v="0"/>
    <n v="0"/>
    <x v="0"/>
    <x v="0"/>
    <m/>
    <x v="0"/>
    <x v="0"/>
    <x v="0"/>
    <x v="0"/>
    <x v="0"/>
    <n v="0"/>
    <n v="0"/>
    <n v="0"/>
    <n v="12"/>
    <x v="1"/>
    <x v="0"/>
    <m/>
    <x v="0"/>
    <n v="210.60000000000002"/>
    <x v="0"/>
    <x v="24"/>
    <x v="14"/>
    <x v="0"/>
    <x v="0"/>
  </r>
  <r>
    <x v="1"/>
    <x v="14"/>
    <s v="7163 J"/>
    <x v="228"/>
    <s v="Berger Point Lahore"/>
    <s v="LDN"/>
    <n v="20"/>
    <n v="0"/>
    <s v="LDN"/>
    <n v="2000"/>
    <x v="0"/>
    <n v="6"/>
    <n v="420"/>
    <n v="14.399999999999999"/>
    <m/>
    <x v="0"/>
    <n v="405.6"/>
    <n v="1991.65"/>
    <m/>
    <x v="0"/>
    <x v="0"/>
    <n v="0"/>
    <n v="0"/>
    <x v="0"/>
    <x v="0"/>
    <m/>
    <x v="0"/>
    <x v="0"/>
    <x v="0"/>
    <x v="0"/>
    <x v="0"/>
    <n v="0"/>
    <n v="0"/>
    <n v="0"/>
    <n v="12"/>
    <x v="1"/>
    <x v="0"/>
    <m/>
    <x v="0"/>
    <n v="425"/>
    <x v="0"/>
    <x v="24"/>
    <x v="14"/>
    <x v="0"/>
    <x v="0"/>
  </r>
  <r>
    <x v="0"/>
    <x v="15"/>
    <s v="2801 F"/>
    <x v="228"/>
    <s v=" Usman Amin "/>
    <s v=" LDN "/>
    <n v="16.75"/>
    <s v="8-8.5"/>
    <s v=" LDN "/>
    <n v="1000"/>
    <x v="0"/>
    <n v="5"/>
    <n v="225.70000000000002"/>
    <n v="11"/>
    <m/>
    <x v="0"/>
    <n v="214.70000000000002"/>
    <n v="1202.5"/>
    <m/>
    <x v="0"/>
    <x v="0"/>
    <n v="0"/>
    <n v="0"/>
    <x v="0"/>
    <x v="0"/>
    <m/>
    <x v="0"/>
    <x v="0"/>
    <x v="0"/>
    <x v="0"/>
    <x v="0"/>
    <n v="0"/>
    <n v="0"/>
    <n v="0"/>
    <n v="12"/>
    <x v="1"/>
    <x v="0"/>
    <m/>
    <x v="0"/>
    <n v="230.70000000000002"/>
    <x v="0"/>
    <x v="24"/>
    <x v="14"/>
    <x v="0"/>
    <x v="0"/>
  </r>
  <r>
    <x v="0"/>
    <x v="15"/>
    <s v="2828 F"/>
    <x v="228"/>
    <s v="Usman Amin"/>
    <s v="LDN"/>
    <n v="17.25"/>
    <s v="8.5-9"/>
    <s v="LDN"/>
    <n v="500"/>
    <x v="0"/>
    <n v="2"/>
    <n v="131.80000000000001"/>
    <n v="4"/>
    <m/>
    <x v="0"/>
    <n v="127.80000000000001"/>
    <n v="483.75000000000006"/>
    <m/>
    <x v="0"/>
    <x v="0"/>
    <n v="0"/>
    <n v="0"/>
    <x v="0"/>
    <x v="0"/>
    <m/>
    <x v="0"/>
    <x v="0"/>
    <x v="0"/>
    <x v="0"/>
    <x v="0"/>
    <n v="0"/>
    <n v="0"/>
    <n v="0"/>
    <n v="12"/>
    <x v="1"/>
    <x v="0"/>
    <m/>
    <x v="0"/>
    <n v="136.80000000000001"/>
    <x v="0"/>
    <x v="24"/>
    <x v="14"/>
    <x v="0"/>
    <x v="0"/>
  </r>
  <r>
    <x v="1"/>
    <x v="15"/>
    <s v="2828 F"/>
    <x v="228"/>
    <s v="Usman Amin"/>
    <s v="LDN"/>
    <n v="17.25"/>
    <s v="8.5-9"/>
    <s v="LDN"/>
    <n v="500"/>
    <x v="0"/>
    <n v="6"/>
    <n v="369.15000000000003"/>
    <n v="13.200000000000001"/>
    <m/>
    <x v="0"/>
    <n v="355.95000000000005"/>
    <n v="483.75000000000006"/>
    <m/>
    <x v="0"/>
    <x v="0"/>
    <n v="0"/>
    <n v="0"/>
    <x v="0"/>
    <x v="0"/>
    <m/>
    <x v="0"/>
    <x v="0"/>
    <x v="0"/>
    <x v="0"/>
    <x v="0"/>
    <n v="0"/>
    <n v="0"/>
    <n v="0"/>
    <n v="12"/>
    <x v="1"/>
    <x v="0"/>
    <m/>
    <x v="0"/>
    <n v="374.15000000000003"/>
    <x v="0"/>
    <x v="24"/>
    <x v="14"/>
    <x v="0"/>
    <x v="0"/>
  </r>
  <r>
    <x v="0"/>
    <x v="8"/>
    <s v="7094 J"/>
    <x v="229"/>
    <s v="Jilani Poly Stock"/>
    <s v="LDN"/>
    <n v="4"/>
    <n v="10"/>
    <s v="LDN"/>
    <s v="-"/>
    <x v="0"/>
    <n v="2"/>
    <n v="54.76"/>
    <n v="1.2999999999999998"/>
    <n v="8"/>
    <x v="0"/>
    <n v="53.46"/>
    <n v="348.92"/>
    <m/>
    <x v="17"/>
    <x v="0"/>
    <n v="300"/>
    <n v="5"/>
    <x v="0"/>
    <x v="0"/>
    <m/>
    <x v="0"/>
    <x v="0"/>
    <x v="0"/>
    <x v="0"/>
    <x v="0"/>
    <n v="0"/>
    <n v="0"/>
    <n v="5"/>
    <n v="7"/>
    <x v="1"/>
    <x v="0"/>
    <m/>
    <x v="0"/>
    <n v="59.76"/>
    <x v="0"/>
    <x v="24"/>
    <x v="14"/>
    <x v="0"/>
    <x v="0"/>
  </r>
  <r>
    <x v="1"/>
    <x v="8"/>
    <s v="7094 J"/>
    <x v="229"/>
    <s v="Jilani Poly Stock"/>
    <s v="LDN"/>
    <n v="4"/>
    <n v="10"/>
    <s v="LDN"/>
    <s v="-"/>
    <x v="0"/>
    <n v="5"/>
    <n v="104.28000000000002"/>
    <n v="2.5"/>
    <n v="1"/>
    <x v="0"/>
    <n v="101.78000000000002"/>
    <n v="348.92"/>
    <m/>
    <x v="0"/>
    <x v="0"/>
    <n v="0"/>
    <n v="0"/>
    <x v="0"/>
    <x v="0"/>
    <m/>
    <x v="0"/>
    <x v="0"/>
    <x v="0"/>
    <x v="0"/>
    <x v="0"/>
    <n v="0"/>
    <n v="0"/>
    <n v="0"/>
    <n v="12"/>
    <x v="1"/>
    <x v="0"/>
    <m/>
    <x v="0"/>
    <n v="109.28000000000002"/>
    <x v="0"/>
    <x v="24"/>
    <x v="14"/>
    <x v="0"/>
    <x v="0"/>
  </r>
  <r>
    <x v="0"/>
    <x v="9"/>
    <s v="7082 J"/>
    <x v="229"/>
    <s v="Saeed Rafiullah Lahore"/>
    <s v="LDN"/>
    <n v="7"/>
    <s v="11-11.5"/>
    <s v="LDN"/>
    <n v="100"/>
    <x v="0"/>
    <n v="2"/>
    <n v="70.3"/>
    <n v="2"/>
    <m/>
    <x v="0"/>
    <n v="68.3"/>
    <n v="109.15"/>
    <m/>
    <x v="0"/>
    <x v="0"/>
    <n v="0"/>
    <n v="0"/>
    <x v="0"/>
    <x v="0"/>
    <m/>
    <x v="0"/>
    <x v="0"/>
    <x v="0"/>
    <x v="0"/>
    <x v="0"/>
    <n v="0"/>
    <n v="0"/>
    <n v="0"/>
    <n v="12"/>
    <x v="1"/>
    <x v="0"/>
    <m/>
    <x v="0"/>
    <n v="75.3"/>
    <x v="0"/>
    <x v="24"/>
    <x v="14"/>
    <x v="0"/>
    <x v="0"/>
  </r>
  <r>
    <x v="0"/>
    <x v="9"/>
    <s v="7134 J"/>
    <x v="229"/>
    <s v="Zahid Shaker Garkh"/>
    <s v="LDN"/>
    <n v="8"/>
    <s v="14-15"/>
    <s v="LDN"/>
    <n v="400"/>
    <x v="0"/>
    <n v="1"/>
    <n v="62.6"/>
    <n v="0.8"/>
    <m/>
    <x v="0"/>
    <n v="61.800000000000004"/>
    <n v="246.25"/>
    <n v="5"/>
    <x v="0"/>
    <x v="0"/>
    <n v="5"/>
    <n v="8.3333333333333329E-2"/>
    <x v="0"/>
    <x v="0"/>
    <m/>
    <x v="0"/>
    <x v="0"/>
    <x v="0"/>
    <x v="0"/>
    <x v="0"/>
    <n v="0"/>
    <n v="0"/>
    <n v="8.3333333333333329E-2"/>
    <n v="11.916666666666666"/>
    <x v="1"/>
    <x v="0"/>
    <m/>
    <x v="0"/>
    <n v="67.599999999999994"/>
    <x v="0"/>
    <x v="24"/>
    <x v="14"/>
    <x v="0"/>
    <x v="0"/>
  </r>
  <r>
    <x v="0"/>
    <x v="9"/>
    <s v="7097 J"/>
    <x v="229"/>
    <s v="Jilani Poly Stock"/>
    <s v="LDN"/>
    <n v="7"/>
    <n v="10"/>
    <s v="LDN"/>
    <s v="-"/>
    <x v="0"/>
    <n v="1"/>
    <n v="56.1"/>
    <n v="1"/>
    <m/>
    <x v="0"/>
    <n v="55.1"/>
    <n v="397.07"/>
    <m/>
    <x v="0"/>
    <x v="0"/>
    <n v="0"/>
    <n v="0"/>
    <x v="0"/>
    <x v="0"/>
    <m/>
    <x v="0"/>
    <x v="0"/>
    <x v="0"/>
    <x v="0"/>
    <x v="0"/>
    <n v="0"/>
    <n v="0"/>
    <n v="0"/>
    <n v="12"/>
    <x v="1"/>
    <x v="0"/>
    <m/>
    <x v="0"/>
    <n v="61.1"/>
    <x v="0"/>
    <x v="24"/>
    <x v="14"/>
    <x v="0"/>
    <x v="0"/>
  </r>
  <r>
    <x v="1"/>
    <x v="9"/>
    <s v="7097 J"/>
    <x v="229"/>
    <s v="Jilani Poly Stock"/>
    <s v="LDN"/>
    <n v="7"/>
    <n v="10"/>
    <s v="LDN"/>
    <s v="-"/>
    <x v="0"/>
    <n v="6"/>
    <n v="200.07000000000002"/>
    <n v="6"/>
    <m/>
    <x v="0"/>
    <n v="194.07000000000002"/>
    <n v="397.07"/>
    <m/>
    <x v="0"/>
    <x v="0"/>
    <n v="0"/>
    <n v="0"/>
    <x v="0"/>
    <x v="0"/>
    <m/>
    <x v="0"/>
    <x v="0"/>
    <x v="0"/>
    <x v="0"/>
    <x v="0"/>
    <n v="0"/>
    <n v="0"/>
    <n v="0"/>
    <n v="12"/>
    <x v="1"/>
    <x v="0"/>
    <m/>
    <x v="0"/>
    <n v="205.07000000000002"/>
    <x v="0"/>
    <x v="24"/>
    <x v="14"/>
    <x v="0"/>
    <x v="0"/>
  </r>
  <r>
    <x v="0"/>
    <x v="11"/>
    <s v="6926 J"/>
    <x v="229"/>
    <s v="International Industries (LTD)"/>
    <s v="LD گرین"/>
    <s v="300 MM"/>
    <s v="48-50"/>
    <s v="LDM"/>
    <n v="2200"/>
    <x v="0"/>
    <n v="4"/>
    <n v="471.04999999999995"/>
    <n v="5.6"/>
    <m/>
    <x v="0"/>
    <n v="465.44999999999993"/>
    <n v="2370.08"/>
    <m/>
    <x v="0"/>
    <x v="0"/>
    <n v="0"/>
    <n v="0"/>
    <x v="0"/>
    <x v="0"/>
    <m/>
    <x v="0"/>
    <x v="0"/>
    <x v="0"/>
    <x v="0"/>
    <x v="0"/>
    <n v="0"/>
    <n v="0"/>
    <n v="0"/>
    <n v="12"/>
    <x v="1"/>
    <x v="0"/>
    <m/>
    <x v="0"/>
    <n v="476.04999999999995"/>
    <x v="0"/>
    <x v="24"/>
    <x v="14"/>
    <x v="0"/>
    <x v="0"/>
  </r>
  <r>
    <x v="1"/>
    <x v="11"/>
    <s v="6926 J"/>
    <x v="229"/>
    <s v="International Industries (LTD)"/>
    <s v="LD گرین"/>
    <s v="300 MM"/>
    <s v="48-50"/>
    <s v="LDM"/>
    <n v="2200"/>
    <x v="0"/>
    <n v="5"/>
    <n v="494.45"/>
    <n v="6"/>
    <n v="7"/>
    <x v="0"/>
    <n v="488.45"/>
    <n v="2370.08"/>
    <m/>
    <x v="0"/>
    <x v="0"/>
    <n v="0"/>
    <n v="0"/>
    <x v="0"/>
    <x v="0"/>
    <m/>
    <x v="0"/>
    <x v="0"/>
    <x v="0"/>
    <x v="0"/>
    <x v="0"/>
    <n v="0"/>
    <n v="0"/>
    <n v="0"/>
    <n v="12"/>
    <x v="1"/>
    <x v="0"/>
    <m/>
    <x v="0"/>
    <n v="499.45"/>
    <x v="0"/>
    <x v="24"/>
    <x v="14"/>
    <x v="0"/>
    <x v="0"/>
  </r>
  <r>
    <x v="0"/>
    <x v="14"/>
    <s v="7163 J"/>
    <x v="229"/>
    <s v="Berger Point Lahore"/>
    <s v="LDN"/>
    <n v="20"/>
    <n v="0"/>
    <s v="LDN"/>
    <n v="2000"/>
    <x v="0"/>
    <n v="7"/>
    <n v="612.65"/>
    <n v="16.8"/>
    <m/>
    <x v="0"/>
    <n v="595.85"/>
    <n v="1991.65"/>
    <m/>
    <x v="0"/>
    <x v="0"/>
    <n v="0"/>
    <n v="0"/>
    <x v="0"/>
    <x v="0"/>
    <m/>
    <x v="0"/>
    <x v="0"/>
    <x v="0"/>
    <x v="0"/>
    <x v="0"/>
    <n v="0"/>
    <n v="0"/>
    <n v="0"/>
    <n v="12"/>
    <x v="1"/>
    <x v="0"/>
    <m/>
    <x v="0"/>
    <n v="617.65"/>
    <x v="0"/>
    <x v="24"/>
    <x v="14"/>
    <x v="0"/>
    <x v="0"/>
  </r>
  <r>
    <x v="1"/>
    <x v="14"/>
    <s v="7163 J"/>
    <x v="229"/>
    <s v="Berger Point Lahore"/>
    <s v="LDN"/>
    <n v="20"/>
    <n v="0"/>
    <s v="LDN"/>
    <n v="2000"/>
    <x v="0"/>
    <n v="7"/>
    <n v="585.5"/>
    <n v="16.8"/>
    <n v="8"/>
    <x v="0"/>
    <n v="568.70000000000005"/>
    <n v="1991.65"/>
    <m/>
    <x v="0"/>
    <x v="0"/>
    <n v="0"/>
    <n v="0"/>
    <x v="0"/>
    <x v="0"/>
    <m/>
    <x v="0"/>
    <x v="0"/>
    <x v="0"/>
    <x v="0"/>
    <x v="0"/>
    <n v="0"/>
    <n v="0"/>
    <n v="0"/>
    <n v="12"/>
    <x v="1"/>
    <x v="0"/>
    <m/>
    <x v="0"/>
    <n v="590.5"/>
    <x v="0"/>
    <x v="24"/>
    <x v="14"/>
    <x v="0"/>
    <x v="0"/>
  </r>
  <r>
    <x v="0"/>
    <x v="15"/>
    <s v="7087 J"/>
    <x v="229"/>
    <s v="Zam Zam Cap Lahore"/>
    <s v="LDN"/>
    <n v="15"/>
    <s v="4.5-5"/>
    <s v="LDN"/>
    <n v="200"/>
    <x v="0"/>
    <n v="8"/>
    <n v="262.2"/>
    <n v="13.6"/>
    <m/>
    <x v="0"/>
    <n v="248.6"/>
    <n v="248.6"/>
    <m/>
    <x v="0"/>
    <x v="0"/>
    <n v="0"/>
    <n v="0"/>
    <x v="0"/>
    <x v="0"/>
    <m/>
    <x v="0"/>
    <x v="0"/>
    <x v="0"/>
    <x v="0"/>
    <x v="0"/>
    <n v="0"/>
    <n v="0"/>
    <n v="0"/>
    <n v="12"/>
    <x v="1"/>
    <x v="0"/>
    <m/>
    <x v="0"/>
    <n v="267.2"/>
    <x v="0"/>
    <x v="24"/>
    <x v="14"/>
    <x v="0"/>
    <x v="0"/>
  </r>
  <r>
    <x v="0"/>
    <x v="15"/>
    <s v="2851/1"/>
    <x v="229"/>
    <s v="PT-02 (ALPHA SCINTIFIC &amp; SAFTY)"/>
    <s v="LD ORANGE"/>
    <n v="24"/>
    <n v="35"/>
    <s v="LD ORANGE"/>
    <n v="100"/>
    <x v="0"/>
    <n v="2"/>
    <n v="107.15"/>
    <n v="5.5"/>
    <n v="40"/>
    <x v="0"/>
    <n v="101.65"/>
    <n v="626.79999999999995"/>
    <n v="5"/>
    <x v="0"/>
    <x v="0"/>
    <n v="5"/>
    <n v="8.3333333333333329E-2"/>
    <x v="0"/>
    <x v="0"/>
    <m/>
    <x v="0"/>
    <x v="8"/>
    <x v="0"/>
    <x v="0"/>
    <x v="0"/>
    <n v="40"/>
    <n v="0.66666666666666663"/>
    <n v="0.75"/>
    <n v="11.25"/>
    <x v="1"/>
    <x v="0"/>
    <m/>
    <x v="0"/>
    <n v="112.15"/>
    <x v="0"/>
    <x v="24"/>
    <x v="14"/>
    <x v="0"/>
    <x v="0"/>
  </r>
  <r>
    <x v="1"/>
    <x v="15"/>
    <s v="2832 F"/>
    <x v="229"/>
    <s v="Usman Amin"/>
    <s v="LDN"/>
    <n v="28"/>
    <s v="8"/>
    <s v="LDN"/>
    <n v="200"/>
    <x v="0"/>
    <n v="2"/>
    <n v="118.05000000000001"/>
    <n v="6.4"/>
    <m/>
    <x v="0"/>
    <n v="111.65"/>
    <n v="111.65"/>
    <n v="5"/>
    <x v="0"/>
    <x v="0"/>
    <n v="5"/>
    <n v="8.3333333333333329E-2"/>
    <x v="0"/>
    <x v="0"/>
    <m/>
    <x v="0"/>
    <x v="0"/>
    <x v="0"/>
    <x v="0"/>
    <x v="0"/>
    <n v="0"/>
    <n v="0"/>
    <n v="8.3333333333333329E-2"/>
    <n v="11.916666666666666"/>
    <x v="1"/>
    <x v="0"/>
    <m/>
    <x v="0"/>
    <n v="123.05000000000001"/>
    <x v="0"/>
    <x v="24"/>
    <x v="14"/>
    <x v="0"/>
    <x v="0"/>
  </r>
  <r>
    <x v="1"/>
    <x v="15"/>
    <s v="7156 J"/>
    <x v="229"/>
    <s v="Diamond Tast And Health Pvt LTD"/>
    <s v="LDN"/>
    <n v="14"/>
    <s v="15-16"/>
    <s v="LDN"/>
    <n v="1000"/>
    <x v="0"/>
    <n v="4"/>
    <n v="242.75"/>
    <n v="5.5"/>
    <m/>
    <x v="0"/>
    <n v="237.25"/>
    <n v="960.96999999999991"/>
    <n v="10"/>
    <x v="0"/>
    <x v="0"/>
    <n v="10"/>
    <n v="0.16666666666666666"/>
    <x v="0"/>
    <x v="0"/>
    <m/>
    <x v="0"/>
    <x v="0"/>
    <x v="0"/>
    <x v="0"/>
    <x v="0"/>
    <n v="0"/>
    <n v="0"/>
    <n v="0.16666666666666666"/>
    <n v="11.833333333333334"/>
    <x v="1"/>
    <x v="0"/>
    <m/>
    <x v="0"/>
    <n v="247.75"/>
    <x v="0"/>
    <x v="24"/>
    <x v="14"/>
    <x v="0"/>
    <x v="0"/>
  </r>
  <r>
    <x v="0"/>
    <x v="8"/>
    <s v="7094 J"/>
    <x v="230"/>
    <s v="Jilani Poly Stock"/>
    <s v="LDN"/>
    <n v="4"/>
    <n v="10"/>
    <s v="LDN"/>
    <s v="-"/>
    <x v="0"/>
    <n v="2"/>
    <n v="60.58"/>
    <n v="1.2"/>
    <n v="1"/>
    <x v="0"/>
    <n v="59.379999999999995"/>
    <n v="348.92"/>
    <n v="1"/>
    <x v="0"/>
    <x v="0"/>
    <n v="1"/>
    <n v="1.6666666666666666E-2"/>
    <x v="0"/>
    <x v="0"/>
    <m/>
    <x v="0"/>
    <x v="0"/>
    <x v="0"/>
    <x v="0"/>
    <x v="0"/>
    <n v="0"/>
    <n v="0"/>
    <n v="1.6666666666666666E-2"/>
    <n v="11.983333333333333"/>
    <x v="1"/>
    <x v="0"/>
    <m/>
    <x v="0"/>
    <n v="65.58"/>
    <x v="0"/>
    <x v="24"/>
    <x v="14"/>
    <x v="0"/>
    <x v="0"/>
  </r>
  <r>
    <x v="0"/>
    <x v="8"/>
    <s v="7096 J"/>
    <x v="230"/>
    <s v="Jilani Poly Stock"/>
    <s v="LDN"/>
    <n v="6"/>
    <n v="10"/>
    <s v="LDN"/>
    <s v="-"/>
    <x v="0"/>
    <n v="2"/>
    <n v="78.460000000000008"/>
    <n v="1.5"/>
    <m/>
    <x v="0"/>
    <n v="76.960000000000008"/>
    <n v="366.65"/>
    <m/>
    <x v="0"/>
    <x v="0"/>
    <n v="0"/>
    <n v="0"/>
    <x v="0"/>
    <x v="0"/>
    <m/>
    <x v="0"/>
    <x v="0"/>
    <x v="0"/>
    <x v="0"/>
    <x v="0"/>
    <n v="0"/>
    <n v="0"/>
    <n v="0"/>
    <n v="12"/>
    <x v="1"/>
    <x v="0"/>
    <m/>
    <x v="0"/>
    <n v="83.460000000000008"/>
    <x v="0"/>
    <x v="24"/>
    <x v="14"/>
    <x v="0"/>
    <x v="0"/>
  </r>
  <r>
    <x v="1"/>
    <x v="8"/>
    <s v="7096 J"/>
    <x v="230"/>
    <s v="Jilani Poly Stock"/>
    <s v="LDN"/>
    <n v="6"/>
    <n v="10"/>
    <s v="LDN"/>
    <s v="-"/>
    <x v="0"/>
    <n v="5"/>
    <n v="154.89999999999998"/>
    <n v="3.3"/>
    <m/>
    <x v="0"/>
    <n v="151.59999999999997"/>
    <n v="366.65"/>
    <m/>
    <x v="0"/>
    <x v="0"/>
    <n v="0"/>
    <n v="0"/>
    <x v="0"/>
    <x v="0"/>
    <m/>
    <x v="0"/>
    <x v="0"/>
    <x v="0"/>
    <x v="0"/>
    <x v="0"/>
    <n v="0"/>
    <n v="0"/>
    <n v="0"/>
    <n v="12"/>
    <x v="1"/>
    <x v="0"/>
    <m/>
    <x v="0"/>
    <n v="159.89999999999998"/>
    <x v="0"/>
    <x v="24"/>
    <x v="14"/>
    <x v="0"/>
    <x v="0"/>
  </r>
  <r>
    <x v="0"/>
    <x v="9"/>
    <s v="7097 J"/>
    <x v="230"/>
    <s v="Jilani Poly Stock"/>
    <s v="LDN"/>
    <n v="7"/>
    <n v="10"/>
    <s v="LDN"/>
    <s v="-"/>
    <x v="0"/>
    <n v="2"/>
    <n v="103.5"/>
    <n v="2"/>
    <m/>
    <x v="0"/>
    <n v="101.5"/>
    <n v="397.07"/>
    <n v="2"/>
    <x v="0"/>
    <x v="0"/>
    <n v="2"/>
    <n v="3.3333333333333333E-2"/>
    <x v="0"/>
    <x v="0"/>
    <m/>
    <x v="0"/>
    <x v="0"/>
    <x v="0"/>
    <x v="0"/>
    <x v="0"/>
    <n v="0"/>
    <n v="0"/>
    <n v="3.3333333333333333E-2"/>
    <n v="11.966666666666667"/>
    <x v="1"/>
    <x v="0"/>
    <m/>
    <x v="0"/>
    <n v="108.5"/>
    <x v="0"/>
    <x v="24"/>
    <x v="14"/>
    <x v="0"/>
    <x v="0"/>
  </r>
  <r>
    <x v="0"/>
    <x v="9"/>
    <s v="2845 F"/>
    <x v="230"/>
    <s v="Usman Amin"/>
    <s v="LDN"/>
    <n v="17"/>
    <s v="5-5.5"/>
    <s v="LDN"/>
    <n v="25"/>
    <x v="0"/>
    <n v="2"/>
    <n v="99.8"/>
    <n v="4"/>
    <n v="3"/>
    <x v="0"/>
    <n v="95.8"/>
    <n v="177.4"/>
    <m/>
    <x v="0"/>
    <x v="0"/>
    <n v="0"/>
    <n v="0"/>
    <x v="0"/>
    <x v="0"/>
    <m/>
    <x v="0"/>
    <x v="0"/>
    <x v="0"/>
    <x v="0"/>
    <x v="0"/>
    <n v="0"/>
    <n v="0"/>
    <n v="0"/>
    <n v="12"/>
    <x v="1"/>
    <x v="0"/>
    <m/>
    <x v="0"/>
    <n v="104.8"/>
    <x v="0"/>
    <x v="24"/>
    <x v="14"/>
    <x v="0"/>
    <x v="0"/>
  </r>
  <r>
    <x v="1"/>
    <x v="9"/>
    <s v="2845 F"/>
    <x v="230"/>
    <s v="Usman Amin"/>
    <s v="LDN"/>
    <n v="17"/>
    <s v="5-5.5"/>
    <s v="LDN"/>
    <n v="25"/>
    <x v="0"/>
    <n v="2"/>
    <n v="85.9"/>
    <n v="4.3000000000000007"/>
    <m/>
    <x v="0"/>
    <n v="81.600000000000009"/>
    <n v="177.4"/>
    <n v="1"/>
    <x v="0"/>
    <x v="0"/>
    <n v="1"/>
    <n v="1.6666666666666666E-2"/>
    <x v="0"/>
    <x v="0"/>
    <m/>
    <x v="0"/>
    <x v="0"/>
    <x v="0"/>
    <x v="0"/>
    <x v="0"/>
    <n v="0"/>
    <n v="0"/>
    <n v="1.6666666666666666E-2"/>
    <n v="11.983333333333333"/>
    <x v="1"/>
    <x v="0"/>
    <m/>
    <x v="0"/>
    <n v="90.9"/>
    <x v="0"/>
    <x v="24"/>
    <x v="14"/>
    <x v="0"/>
    <x v="0"/>
  </r>
  <r>
    <x v="1"/>
    <x v="9"/>
    <s v="2846 F"/>
    <x v="230"/>
    <s v="Usman Amin"/>
    <s v="LDN"/>
    <n v="19"/>
    <s v="5-5.5"/>
    <s v="LDN"/>
    <n v="45"/>
    <x v="0"/>
    <n v="3"/>
    <n v="155"/>
    <n v="7.5"/>
    <m/>
    <x v="0"/>
    <n v="147.5"/>
    <n v="220.8"/>
    <m/>
    <x v="0"/>
    <x v="0"/>
    <n v="0"/>
    <n v="0"/>
    <x v="0"/>
    <x v="0"/>
    <m/>
    <x v="0"/>
    <x v="0"/>
    <x v="0"/>
    <x v="0"/>
    <x v="0"/>
    <n v="0"/>
    <n v="0"/>
    <n v="0"/>
    <n v="12"/>
    <x v="1"/>
    <x v="0"/>
    <m/>
    <x v="0"/>
    <n v="160"/>
    <x v="0"/>
    <x v="24"/>
    <x v="14"/>
    <x v="0"/>
    <x v="0"/>
  </r>
  <r>
    <x v="0"/>
    <x v="11"/>
    <s v="6926 J"/>
    <x v="230"/>
    <s v="International Industries (LTD)"/>
    <s v="LD گرین"/>
    <s v="300 MM"/>
    <s v="48-50"/>
    <s v="LDM"/>
    <n v="2200"/>
    <x v="0"/>
    <n v="4"/>
    <n v="521.45000000000005"/>
    <n v="5.6"/>
    <n v="7"/>
    <x v="0"/>
    <n v="515.85"/>
    <n v="2370.08"/>
    <m/>
    <x v="0"/>
    <x v="0"/>
    <n v="0"/>
    <n v="0"/>
    <x v="0"/>
    <x v="0"/>
    <m/>
    <x v="0"/>
    <x v="0"/>
    <x v="0"/>
    <x v="0"/>
    <x v="0"/>
    <n v="0"/>
    <n v="0"/>
    <n v="0"/>
    <n v="12"/>
    <x v="1"/>
    <x v="0"/>
    <m/>
    <x v="0"/>
    <n v="526.45000000000005"/>
    <x v="0"/>
    <x v="24"/>
    <x v="14"/>
    <x v="0"/>
    <x v="0"/>
  </r>
  <r>
    <x v="1"/>
    <x v="11"/>
    <s v="6926 J"/>
    <x v="230"/>
    <s v="International Industries (LTD)"/>
    <s v="LD گرین"/>
    <s v="300 MM"/>
    <s v="48-50"/>
    <s v="LDM"/>
    <n v="2200"/>
    <x v="0"/>
    <n v="1"/>
    <n v="137.5"/>
    <n v="2"/>
    <n v="17"/>
    <x v="0"/>
    <n v="135.5"/>
    <n v="2370.08"/>
    <n v="2"/>
    <x v="0"/>
    <x v="0"/>
    <n v="2"/>
    <n v="3.3333333333333333E-2"/>
    <x v="0"/>
    <x v="0"/>
    <m/>
    <x v="0"/>
    <x v="0"/>
    <x v="0"/>
    <x v="0"/>
    <x v="0"/>
    <n v="0"/>
    <n v="0"/>
    <n v="3.3333333333333333E-2"/>
    <n v="11.966666666666667"/>
    <x v="1"/>
    <x v="0"/>
    <m/>
    <x v="0"/>
    <n v="142.5"/>
    <x v="0"/>
    <x v="24"/>
    <x v="14"/>
    <x v="0"/>
    <x v="0"/>
  </r>
  <r>
    <x v="1"/>
    <x v="11"/>
    <s v="7194 J"/>
    <x v="230"/>
    <s v="RMC PACK"/>
    <s v="LD کریم"/>
    <s v="12+3+3"/>
    <s v="7.5/15"/>
    <s v="LDM"/>
    <n v="200"/>
    <x v="0"/>
    <n v="5"/>
    <n v="208.4"/>
    <n v="4.8"/>
    <m/>
    <x v="0"/>
    <n v="203.6"/>
    <n v="203.6"/>
    <n v="3"/>
    <x v="0"/>
    <x v="0"/>
    <n v="3"/>
    <n v="0.05"/>
    <x v="0"/>
    <x v="0"/>
    <m/>
    <x v="0"/>
    <x v="0"/>
    <x v="0"/>
    <x v="0"/>
    <x v="0"/>
    <n v="0"/>
    <n v="0"/>
    <n v="0.05"/>
    <n v="11.95"/>
    <x v="1"/>
    <x v="0"/>
    <m/>
    <x v="0"/>
    <n v="213.4"/>
    <x v="0"/>
    <x v="24"/>
    <x v="14"/>
    <x v="0"/>
    <x v="0"/>
  </r>
  <r>
    <x v="1"/>
    <x v="11"/>
    <s v="7195 J"/>
    <x v="230"/>
    <s v="RMC PACK"/>
    <s v="LD کریم"/>
    <s v="14+4+4"/>
    <s v="7.5/15"/>
    <s v="LDM"/>
    <n v="100"/>
    <x v="0"/>
    <n v="1"/>
    <n v="52.9"/>
    <n v="1.7"/>
    <m/>
    <x v="0"/>
    <n v="51.199999999999996"/>
    <n v="92.94"/>
    <n v="2"/>
    <x v="0"/>
    <x v="0"/>
    <n v="2"/>
    <n v="3.3333333333333333E-2"/>
    <x v="0"/>
    <x v="0"/>
    <m/>
    <x v="0"/>
    <x v="0"/>
    <x v="0"/>
    <x v="0"/>
    <x v="0"/>
    <n v="0"/>
    <n v="0"/>
    <n v="3.3333333333333333E-2"/>
    <n v="11.966666666666667"/>
    <x v="1"/>
    <x v="0"/>
    <m/>
    <x v="0"/>
    <n v="57.9"/>
    <x v="0"/>
    <x v="24"/>
    <x v="14"/>
    <x v="0"/>
    <x v="0"/>
  </r>
  <r>
    <x v="1"/>
    <x v="11"/>
    <s v="1150 J"/>
    <x v="230"/>
    <s v="-"/>
    <m/>
    <m/>
    <m/>
    <m/>
    <m/>
    <x v="0"/>
    <n v="1"/>
    <n v="77.099999999999994"/>
    <n v="1.2"/>
    <m/>
    <x v="0"/>
    <n v="75.899999999999991"/>
    <n v="1647.44"/>
    <n v="3"/>
    <x v="0"/>
    <x v="0"/>
    <n v="3"/>
    <n v="0.05"/>
    <x v="0"/>
    <x v="0"/>
    <m/>
    <x v="0"/>
    <x v="0"/>
    <x v="0"/>
    <x v="0"/>
    <x v="0"/>
    <n v="0"/>
    <n v="0"/>
    <n v="0.05"/>
    <n v="11.95"/>
    <x v="1"/>
    <x v="0"/>
    <m/>
    <x v="0"/>
    <n v="82.1"/>
    <x v="0"/>
    <x v="24"/>
    <x v="14"/>
    <x v="0"/>
    <x v="0"/>
  </r>
  <r>
    <x v="0"/>
    <x v="14"/>
    <s v="7163 J"/>
    <x v="230"/>
    <s v="Berger Point Lahore"/>
    <s v="LDN"/>
    <n v="20"/>
    <n v="0"/>
    <s v="LDN"/>
    <n v="2000"/>
    <x v="0"/>
    <n v="5"/>
    <n v="433.5"/>
    <n v="12"/>
    <m/>
    <x v="0"/>
    <n v="421.5"/>
    <n v="1991.65"/>
    <n v="7"/>
    <x v="0"/>
    <x v="0"/>
    <n v="7"/>
    <n v="0.11666666666666667"/>
    <x v="0"/>
    <x v="0"/>
    <m/>
    <x v="0"/>
    <x v="0"/>
    <x v="0"/>
    <x v="0"/>
    <x v="0"/>
    <n v="0"/>
    <n v="0"/>
    <n v="0.11666666666666667"/>
    <n v="11.883333333333333"/>
    <x v="1"/>
    <x v="0"/>
    <m/>
    <x v="0"/>
    <n v="438.5"/>
    <x v="0"/>
    <x v="24"/>
    <x v="14"/>
    <x v="0"/>
    <x v="0"/>
  </r>
  <r>
    <x v="0"/>
    <x v="14"/>
    <s v="2853 F"/>
    <x v="230"/>
    <s v="Usman Amin"/>
    <s v="LDN"/>
    <n v="23"/>
    <s v="7-7.5"/>
    <s v="LDN"/>
    <n v="100"/>
    <x v="0"/>
    <n v="2"/>
    <n v="109.7"/>
    <n v="5.6"/>
    <m/>
    <x v="0"/>
    <n v="104.10000000000001"/>
    <n v="104.10000000000001"/>
    <n v="3"/>
    <x v="0"/>
    <x v="0"/>
    <n v="3"/>
    <n v="0.05"/>
    <x v="0"/>
    <x v="0"/>
    <m/>
    <x v="0"/>
    <x v="0"/>
    <x v="0"/>
    <x v="0"/>
    <x v="0"/>
    <n v="0"/>
    <n v="0"/>
    <n v="0.05"/>
    <n v="11.95"/>
    <x v="1"/>
    <x v="0"/>
    <m/>
    <x v="0"/>
    <n v="114.7"/>
    <x v="0"/>
    <x v="24"/>
    <x v="14"/>
    <x v="0"/>
    <x v="0"/>
  </r>
  <r>
    <x v="0"/>
    <x v="14"/>
    <s v="2852 F"/>
    <x v="230"/>
    <s v="Usman Amin"/>
    <s v="LDN"/>
    <n v="24"/>
    <s v="7-7.5"/>
    <s v="LDN"/>
    <n v="100"/>
    <x v="0"/>
    <n v="2"/>
    <n v="110"/>
    <n v="5.6"/>
    <n v="11"/>
    <x v="0"/>
    <n v="104.4"/>
    <n v="159.4"/>
    <m/>
    <x v="0"/>
    <x v="0"/>
    <n v="0"/>
    <n v="0"/>
    <x v="0"/>
    <x v="0"/>
    <m/>
    <x v="0"/>
    <x v="0"/>
    <x v="0"/>
    <x v="0"/>
    <x v="0"/>
    <n v="0"/>
    <n v="0"/>
    <n v="0"/>
    <n v="12"/>
    <x v="1"/>
    <x v="0"/>
    <m/>
    <x v="0"/>
    <n v="115"/>
    <x v="0"/>
    <x v="24"/>
    <x v="14"/>
    <x v="0"/>
    <x v="0"/>
  </r>
  <r>
    <x v="1"/>
    <x v="14"/>
    <s v="2852 F"/>
    <x v="230"/>
    <s v="Usman Amin"/>
    <s v="LDN"/>
    <n v="24"/>
    <s v="7-7.5"/>
    <s v="LDN"/>
    <n v="100"/>
    <x v="0"/>
    <n v="1"/>
    <n v="57.8"/>
    <n v="2.8"/>
    <n v="60"/>
    <x v="0"/>
    <n v="55"/>
    <n v="159.4"/>
    <m/>
    <x v="0"/>
    <x v="0"/>
    <n v="0"/>
    <n v="0"/>
    <x v="0"/>
    <x v="0"/>
    <m/>
    <x v="0"/>
    <x v="0"/>
    <x v="0"/>
    <x v="0"/>
    <x v="0"/>
    <n v="0"/>
    <n v="0"/>
    <n v="0"/>
    <n v="12"/>
    <x v="1"/>
    <x v="0"/>
    <m/>
    <x v="0"/>
    <n v="62.8"/>
    <x v="0"/>
    <x v="24"/>
    <x v="14"/>
    <x v="0"/>
    <x v="0"/>
  </r>
  <r>
    <x v="1"/>
    <x v="14"/>
    <s v="7112 J"/>
    <x v="230"/>
    <s v="Chaudhry Milk Sweets and Bakers Jhangh"/>
    <s v="LDN"/>
    <s v="36 شیٹ"/>
    <s v="4-4.5/8-8.5"/>
    <s v="LDN"/>
    <n v="200"/>
    <x v="0"/>
    <n v="4"/>
    <n v="226.9"/>
    <n v="15.4"/>
    <m/>
    <x v="0"/>
    <n v="211.5"/>
    <n v="211.5"/>
    <n v="5"/>
    <x v="0"/>
    <x v="0"/>
    <n v="5"/>
    <n v="8.3333333333333329E-2"/>
    <x v="0"/>
    <x v="0"/>
    <m/>
    <x v="0"/>
    <x v="0"/>
    <x v="0"/>
    <x v="0"/>
    <x v="0"/>
    <n v="0"/>
    <n v="0"/>
    <n v="8.3333333333333329E-2"/>
    <n v="11.916666666666666"/>
    <x v="1"/>
    <x v="0"/>
    <m/>
    <x v="0"/>
    <n v="231.9"/>
    <x v="0"/>
    <x v="24"/>
    <x v="14"/>
    <x v="0"/>
    <x v="0"/>
  </r>
  <r>
    <x v="1"/>
    <x v="14"/>
    <s v="2839 F"/>
    <x v="230"/>
    <s v="Usman Amin"/>
    <s v="LDN"/>
    <s v="36 SHEET"/>
    <s v="3-3.25/6-6.5"/>
    <s v="LDN"/>
    <n v="250"/>
    <x v="0"/>
    <n v="4"/>
    <n v="264.3"/>
    <n v="18"/>
    <m/>
    <x v="0"/>
    <n v="246.3"/>
    <n v="246.3"/>
    <n v="5"/>
    <x v="0"/>
    <x v="0"/>
    <n v="5"/>
    <n v="8.3333333333333329E-2"/>
    <x v="0"/>
    <x v="0"/>
    <m/>
    <x v="0"/>
    <x v="0"/>
    <x v="0"/>
    <x v="0"/>
    <x v="0"/>
    <n v="0"/>
    <n v="0"/>
    <n v="8.3333333333333329E-2"/>
    <n v="11.916666666666666"/>
    <x v="1"/>
    <x v="0"/>
    <m/>
    <x v="0"/>
    <n v="269.3"/>
    <x v="0"/>
    <x v="24"/>
    <x v="14"/>
    <x v="0"/>
    <x v="0"/>
  </r>
  <r>
    <x v="1"/>
    <x v="14"/>
    <s v="7119 J"/>
    <x v="230"/>
    <s v="G.M Tex Lahore"/>
    <s v="LDM"/>
    <n v="20"/>
    <s v="15-16"/>
    <s v="LDM"/>
    <n v="100"/>
    <x v="0"/>
    <n v="2"/>
    <n v="110.5"/>
    <n v="4.8"/>
    <m/>
    <x v="0"/>
    <n v="105.7"/>
    <n v="105.7"/>
    <n v="10"/>
    <x v="0"/>
    <x v="0"/>
    <n v="10"/>
    <n v="0.16666666666666666"/>
    <x v="0"/>
    <x v="0"/>
    <m/>
    <x v="0"/>
    <x v="0"/>
    <x v="0"/>
    <x v="0"/>
    <x v="0"/>
    <n v="0"/>
    <n v="0"/>
    <n v="0.16666666666666666"/>
    <n v="11.833333333333334"/>
    <x v="1"/>
    <x v="0"/>
    <m/>
    <x v="0"/>
    <n v="115.5"/>
    <x v="0"/>
    <x v="24"/>
    <x v="14"/>
    <x v="0"/>
    <x v="0"/>
  </r>
  <r>
    <x v="0"/>
    <x v="15"/>
    <s v="7156 J"/>
    <x v="230"/>
    <s v="Diamond Tast And Health Pvt LTD"/>
    <s v="LDN"/>
    <n v="14"/>
    <s v="15-16"/>
    <s v="LDN"/>
    <n v="1000"/>
    <x v="0"/>
    <n v="6"/>
    <n v="364.2"/>
    <n v="7.8000000000000007"/>
    <m/>
    <x v="0"/>
    <n v="356.4"/>
    <n v="960.96999999999991"/>
    <m/>
    <x v="0"/>
    <x v="0"/>
    <n v="0"/>
    <n v="0"/>
    <x v="0"/>
    <x v="0"/>
    <m/>
    <x v="0"/>
    <x v="0"/>
    <x v="0"/>
    <x v="0"/>
    <x v="0"/>
    <n v="0"/>
    <n v="0"/>
    <n v="0"/>
    <n v="12"/>
    <x v="1"/>
    <x v="0"/>
    <m/>
    <x v="0"/>
    <n v="369.2"/>
    <x v="0"/>
    <x v="24"/>
    <x v="14"/>
    <x v="0"/>
    <x v="0"/>
  </r>
  <r>
    <x v="0"/>
    <x v="15"/>
    <s v="7197 J"/>
    <x v="230"/>
    <s v="RMC PACK"/>
    <s v="LDN"/>
    <n v="15"/>
    <s v="6-6.5/12-13"/>
    <s v="LDN"/>
    <n v="150"/>
    <x v="0"/>
    <n v="1"/>
    <n v="39.200000000000003"/>
    <n v="1.8"/>
    <m/>
    <x v="0"/>
    <n v="37.400000000000006"/>
    <n v="147.9"/>
    <m/>
    <x v="0"/>
    <x v="0"/>
    <n v="0"/>
    <n v="0"/>
    <x v="0"/>
    <x v="0"/>
    <m/>
    <x v="0"/>
    <x v="0"/>
    <x v="0"/>
    <x v="0"/>
    <x v="0"/>
    <n v="0"/>
    <n v="0"/>
    <n v="0"/>
    <n v="12"/>
    <x v="1"/>
    <x v="0"/>
    <m/>
    <x v="0"/>
    <n v="44.2"/>
    <x v="0"/>
    <x v="24"/>
    <x v="14"/>
    <x v="0"/>
    <x v="0"/>
  </r>
  <r>
    <x v="1"/>
    <x v="15"/>
    <s v="7156 J"/>
    <x v="230"/>
    <s v="Diamond Tast And Health Pvt LTD"/>
    <s v="LDN"/>
    <n v="14"/>
    <s v="15-16"/>
    <s v="LDN"/>
    <n v="1000"/>
    <x v="0"/>
    <n v="6"/>
    <n v="376.91999999999996"/>
    <n v="9.6000000000000014"/>
    <m/>
    <x v="0"/>
    <n v="367.31999999999994"/>
    <n v="960.96999999999991"/>
    <n v="3"/>
    <x v="0"/>
    <x v="0"/>
    <n v="3"/>
    <n v="0.05"/>
    <x v="0"/>
    <x v="0"/>
    <m/>
    <x v="0"/>
    <x v="0"/>
    <x v="0"/>
    <x v="0"/>
    <x v="0"/>
    <n v="0"/>
    <n v="0"/>
    <n v="0.05"/>
    <n v="11.95"/>
    <x v="1"/>
    <x v="0"/>
    <m/>
    <x v="0"/>
    <n v="381.91999999999996"/>
    <x v="0"/>
    <x v="24"/>
    <x v="14"/>
    <x v="0"/>
    <x v="0"/>
  </r>
  <r>
    <x v="0"/>
    <x v="8"/>
    <s v="7096 J"/>
    <x v="231"/>
    <s v="Jilani Poly Stock"/>
    <s v="LDN"/>
    <n v="6"/>
    <n v="10"/>
    <s v="LDN"/>
    <s v="-"/>
    <x v="0"/>
    <n v="4"/>
    <n v="140.88999999999999"/>
    <n v="2.8"/>
    <m/>
    <x v="0"/>
    <n v="138.08999999999997"/>
    <n v="366.65"/>
    <m/>
    <x v="0"/>
    <x v="0"/>
    <n v="0"/>
    <n v="0"/>
    <x v="0"/>
    <x v="0"/>
    <m/>
    <x v="0"/>
    <x v="0"/>
    <x v="0"/>
    <x v="0"/>
    <x v="0"/>
    <n v="0"/>
    <n v="0"/>
    <n v="0"/>
    <n v="12"/>
    <x v="1"/>
    <x v="0"/>
    <m/>
    <x v="0"/>
    <n v="145.88999999999999"/>
    <x v="0"/>
    <x v="24"/>
    <x v="14"/>
    <x v="0"/>
    <x v="0"/>
  </r>
  <r>
    <x v="1"/>
    <x v="8"/>
    <s v="7097 J"/>
    <x v="231"/>
    <s v="Jilani Poly Stock"/>
    <s v="LDN"/>
    <n v="7"/>
    <n v="10"/>
    <s v="LDN"/>
    <s v="-"/>
    <x v="0"/>
    <n v="1"/>
    <n v="47.3"/>
    <n v="0.9"/>
    <m/>
    <x v="0"/>
    <n v="46.4"/>
    <n v="397.07"/>
    <n v="3"/>
    <x v="0"/>
    <x v="0"/>
    <n v="3"/>
    <n v="0.05"/>
    <x v="0"/>
    <x v="3"/>
    <m/>
    <x v="0"/>
    <x v="0"/>
    <x v="0"/>
    <x v="0"/>
    <x v="0"/>
    <n v="15"/>
    <n v="0.25"/>
    <n v="0.3"/>
    <n v="11.7"/>
    <x v="1"/>
    <x v="0"/>
    <m/>
    <x v="0"/>
    <n v="52.3"/>
    <x v="0"/>
    <x v="24"/>
    <x v="14"/>
    <x v="0"/>
    <x v="0"/>
  </r>
  <r>
    <x v="1"/>
    <x v="8"/>
    <s v="7152 J"/>
    <x v="231"/>
    <s v="Al Shaheer Foods Corporation LTD"/>
    <s v="LDN"/>
    <n v="7.5"/>
    <s v="10-10.5"/>
    <s v="LDN"/>
    <n v="200"/>
    <x v="0"/>
    <n v="2"/>
    <n v="94.9"/>
    <n v="1.7000000000000002"/>
    <m/>
    <x v="0"/>
    <n v="93.2"/>
    <n v="202"/>
    <n v="2"/>
    <x v="0"/>
    <x v="0"/>
    <n v="2"/>
    <n v="3.3333333333333333E-2"/>
    <x v="0"/>
    <x v="0"/>
    <m/>
    <x v="0"/>
    <x v="0"/>
    <x v="0"/>
    <x v="0"/>
    <x v="0"/>
    <n v="0"/>
    <n v="0"/>
    <n v="3.3333333333333333E-2"/>
    <n v="11.966666666666667"/>
    <x v="1"/>
    <x v="0"/>
    <m/>
    <x v="0"/>
    <n v="99.9"/>
    <x v="0"/>
    <x v="24"/>
    <x v="14"/>
    <x v="0"/>
    <x v="0"/>
  </r>
  <r>
    <x v="0"/>
    <x v="9"/>
    <s v="2846 F"/>
    <x v="231"/>
    <s v="Usman Amin"/>
    <s v="LDN"/>
    <n v="19"/>
    <s v="5-5.5"/>
    <s v="LDN"/>
    <n v="45"/>
    <x v="0"/>
    <n v="1"/>
    <n v="75.5"/>
    <n v="2.2000000000000002"/>
    <n v="2"/>
    <x v="0"/>
    <n v="73.3"/>
    <n v="220.8"/>
    <n v="2"/>
    <x v="0"/>
    <x v="0"/>
    <n v="2"/>
    <n v="3.3333333333333333E-2"/>
    <x v="0"/>
    <x v="0"/>
    <m/>
    <x v="0"/>
    <x v="0"/>
    <x v="0"/>
    <x v="0"/>
    <x v="0"/>
    <n v="0"/>
    <n v="0"/>
    <n v="3.3333333333333333E-2"/>
    <n v="11.966666666666667"/>
    <x v="1"/>
    <x v="0"/>
    <m/>
    <x v="0"/>
    <n v="80.5"/>
    <x v="0"/>
    <x v="24"/>
    <x v="14"/>
    <x v="0"/>
    <x v="0"/>
  </r>
  <r>
    <x v="0"/>
    <x v="9"/>
    <s v="7145 J"/>
    <x v="231"/>
    <s v="Al Buraq Deparmental Store Lahore"/>
    <s v="LDN"/>
    <n v="9"/>
    <s v="14-15"/>
    <s v="LDN"/>
    <n v="200"/>
    <x v="0"/>
    <n v="2"/>
    <n v="106.19999999999999"/>
    <n v="2"/>
    <m/>
    <x v="0"/>
    <n v="104.19999999999999"/>
    <n v="301.41999999999996"/>
    <m/>
    <x v="0"/>
    <x v="0"/>
    <n v="0"/>
    <n v="0"/>
    <x v="0"/>
    <x v="0"/>
    <m/>
    <x v="0"/>
    <x v="0"/>
    <x v="0"/>
    <x v="0"/>
    <x v="0"/>
    <n v="0"/>
    <n v="0"/>
    <n v="0"/>
    <n v="12"/>
    <x v="1"/>
    <x v="0"/>
    <m/>
    <x v="0"/>
    <n v="111.19999999999999"/>
    <x v="0"/>
    <x v="24"/>
    <x v="14"/>
    <x v="0"/>
    <x v="0"/>
  </r>
  <r>
    <x v="1"/>
    <x v="9"/>
    <s v="7134 J"/>
    <x v="231"/>
    <s v="Zahid Shaker Garkh"/>
    <s v="LDN"/>
    <n v="8"/>
    <s v="14-15"/>
    <s v="LDN"/>
    <n v="400"/>
    <x v="0"/>
    <n v="3"/>
    <n v="144.75"/>
    <n v="2.4000000000000004"/>
    <m/>
    <x v="0"/>
    <n v="142.35"/>
    <n v="246.25"/>
    <m/>
    <x v="0"/>
    <x v="0"/>
    <n v="0"/>
    <n v="0"/>
    <x v="0"/>
    <x v="0"/>
    <m/>
    <x v="0"/>
    <x v="0"/>
    <x v="0"/>
    <x v="0"/>
    <x v="0"/>
    <n v="0"/>
    <n v="0"/>
    <n v="0"/>
    <n v="12"/>
    <x v="1"/>
    <x v="0"/>
    <m/>
    <x v="0"/>
    <n v="149.75"/>
    <x v="0"/>
    <x v="24"/>
    <x v="14"/>
    <x v="0"/>
    <x v="0"/>
  </r>
  <r>
    <x v="0"/>
    <x v="11"/>
    <s v="7195 J"/>
    <x v="231"/>
    <s v="RMC PACK"/>
    <s v="LD کریم"/>
    <s v="14+4+4"/>
    <s v="7.5/15"/>
    <s v="LDM"/>
    <n v="100"/>
    <x v="0"/>
    <n v="1"/>
    <n v="43.44"/>
    <n v="1.7"/>
    <m/>
    <x v="0"/>
    <n v="41.739999999999995"/>
    <n v="92.94"/>
    <n v="3"/>
    <x v="0"/>
    <x v="0"/>
    <n v="3"/>
    <n v="0.05"/>
    <x v="0"/>
    <x v="0"/>
    <m/>
    <x v="0"/>
    <x v="0"/>
    <x v="0"/>
    <x v="0"/>
    <x v="0"/>
    <n v="0"/>
    <n v="0"/>
    <n v="0.05"/>
    <n v="11.95"/>
    <x v="1"/>
    <x v="0"/>
    <m/>
    <x v="0"/>
    <n v="48.44"/>
    <x v="0"/>
    <x v="24"/>
    <x v="14"/>
    <x v="0"/>
    <x v="0"/>
  </r>
  <r>
    <x v="0"/>
    <x v="11"/>
    <s v="7199 J"/>
    <x v="231"/>
    <s v="RMC PACK"/>
    <s v="LD کریم"/>
    <s v="10+3+3"/>
    <s v="7.5/15"/>
    <s v="LDM"/>
    <n v="100"/>
    <x v="0"/>
    <n v="3"/>
    <n v="118.72"/>
    <n v="3.5999999999999996"/>
    <n v="39"/>
    <x v="0"/>
    <n v="115.12"/>
    <n v="115.12"/>
    <n v="2"/>
    <x v="0"/>
    <x v="0"/>
    <n v="2"/>
    <n v="3.3333333333333333E-2"/>
    <x v="0"/>
    <x v="0"/>
    <m/>
    <x v="0"/>
    <x v="0"/>
    <x v="0"/>
    <x v="0"/>
    <x v="0"/>
    <n v="0"/>
    <n v="0"/>
    <n v="3.3333333333333333E-2"/>
    <n v="11.966666666666667"/>
    <x v="1"/>
    <x v="0"/>
    <m/>
    <x v="0"/>
    <n v="123.72"/>
    <x v="0"/>
    <x v="24"/>
    <x v="14"/>
    <x v="0"/>
    <x v="0"/>
  </r>
  <r>
    <x v="0"/>
    <x v="11"/>
    <s v="7196 J"/>
    <x v="231"/>
    <s v="RMC PACK"/>
    <s v="LD کریم"/>
    <s v="8.5+2.5+2.5"/>
    <s v="7.5/15"/>
    <s v="LDM"/>
    <n v="150"/>
    <x v="0"/>
    <n v="4"/>
    <n v="157.72999999999999"/>
    <n v="4"/>
    <m/>
    <x v="0"/>
    <n v="153.72999999999999"/>
    <n v="153.72999999999999"/>
    <n v="5"/>
    <x v="0"/>
    <x v="0"/>
    <n v="5"/>
    <n v="8.3333333333333329E-2"/>
    <x v="0"/>
    <x v="0"/>
    <m/>
    <x v="0"/>
    <x v="0"/>
    <x v="0"/>
    <x v="0"/>
    <x v="0"/>
    <n v="0"/>
    <n v="0"/>
    <n v="8.3333333333333329E-2"/>
    <n v="11.916666666666666"/>
    <x v="1"/>
    <x v="0"/>
    <m/>
    <x v="0"/>
    <n v="162.72999999999999"/>
    <x v="0"/>
    <x v="24"/>
    <x v="14"/>
    <x v="0"/>
    <x v="0"/>
  </r>
  <r>
    <x v="0"/>
    <x v="11"/>
    <s v="STOCK"/>
    <x v="231"/>
    <s v="-"/>
    <m/>
    <n v="15"/>
    <s v="10-10.5"/>
    <m/>
    <m/>
    <x v="0"/>
    <n v="1"/>
    <n v="39.4"/>
    <n v="1.5"/>
    <m/>
    <x v="0"/>
    <n v="37.9"/>
    <n v="2156.44"/>
    <m/>
    <x v="0"/>
    <x v="0"/>
    <n v="0"/>
    <n v="0"/>
    <x v="0"/>
    <x v="0"/>
    <m/>
    <x v="0"/>
    <x v="0"/>
    <x v="0"/>
    <x v="0"/>
    <x v="0"/>
    <n v="0"/>
    <n v="0"/>
    <n v="0"/>
    <n v="12"/>
    <x v="1"/>
    <x v="0"/>
    <m/>
    <x v="0"/>
    <n v="44.4"/>
    <x v="0"/>
    <x v="24"/>
    <x v="14"/>
    <x v="0"/>
    <x v="0"/>
  </r>
  <r>
    <x v="1"/>
    <x v="11"/>
    <s v="STOCK"/>
    <x v="231"/>
    <s v="-"/>
    <m/>
    <n v="15"/>
    <s v="10-10.5"/>
    <m/>
    <m/>
    <x v="0"/>
    <n v="5"/>
    <n v="366.05"/>
    <n v="9"/>
    <n v="5"/>
    <x v="0"/>
    <n v="357.05"/>
    <n v="2156.44"/>
    <m/>
    <x v="0"/>
    <x v="0"/>
    <n v="0"/>
    <n v="0"/>
    <x v="0"/>
    <x v="0"/>
    <m/>
    <x v="0"/>
    <x v="0"/>
    <x v="0"/>
    <x v="0"/>
    <x v="0"/>
    <n v="0"/>
    <n v="0"/>
    <n v="0"/>
    <n v="12"/>
    <x v="1"/>
    <x v="0"/>
    <m/>
    <x v="0"/>
    <n v="371.05"/>
    <x v="0"/>
    <x v="24"/>
    <x v="14"/>
    <x v="0"/>
    <x v="0"/>
  </r>
  <r>
    <x v="0"/>
    <x v="14"/>
    <s v="7147 J"/>
    <x v="231"/>
    <s v="Usman Arif Butt Gujranwala"/>
    <s v="LDM"/>
    <n v="17"/>
    <s v="10.5-11"/>
    <s v="LDM"/>
    <n v="150"/>
    <x v="0"/>
    <n v="3"/>
    <n v="155.30000000000001"/>
    <n v="6"/>
    <m/>
    <x v="0"/>
    <n v="149.30000000000001"/>
    <n v="149.30000000000001"/>
    <n v="3"/>
    <x v="0"/>
    <x v="0"/>
    <n v="3"/>
    <n v="0.05"/>
    <x v="0"/>
    <x v="0"/>
    <m/>
    <x v="0"/>
    <x v="0"/>
    <x v="0"/>
    <x v="0"/>
    <x v="0"/>
    <n v="0"/>
    <n v="0"/>
    <n v="0.05"/>
    <n v="11.95"/>
    <x v="1"/>
    <x v="0"/>
    <m/>
    <x v="0"/>
    <n v="160.30000000000001"/>
    <x v="0"/>
    <x v="24"/>
    <x v="14"/>
    <x v="0"/>
    <x v="0"/>
  </r>
  <r>
    <x v="0"/>
    <x v="14"/>
    <m/>
    <x v="231"/>
    <s v="-"/>
    <m/>
    <n v="17"/>
    <s v="11-12"/>
    <m/>
    <m/>
    <x v="0"/>
    <n v="1"/>
    <n v="57.5"/>
    <n v="2"/>
    <m/>
    <x v="0"/>
    <n v="55.5"/>
    <n v="0"/>
    <n v="2"/>
    <x v="0"/>
    <x v="0"/>
    <n v="2"/>
    <n v="3.3333333333333333E-2"/>
    <x v="0"/>
    <x v="0"/>
    <m/>
    <x v="0"/>
    <x v="0"/>
    <x v="0"/>
    <x v="0"/>
    <x v="0"/>
    <n v="0"/>
    <n v="0"/>
    <n v="3.3333333333333333E-2"/>
    <n v="11.966666666666667"/>
    <x v="1"/>
    <x v="0"/>
    <m/>
    <x v="0"/>
    <n v="62.5"/>
    <x v="0"/>
    <x v="24"/>
    <x v="14"/>
    <x v="0"/>
    <x v="0"/>
  </r>
  <r>
    <x v="0"/>
    <x v="14"/>
    <s v="7219 J"/>
    <x v="231"/>
    <s v="Smart Box Lahore"/>
    <s v="LDM"/>
    <n v="19"/>
    <s v="13-14"/>
    <s v="LDM"/>
    <n v="100"/>
    <x v="0"/>
    <n v="2"/>
    <n v="102.85"/>
    <n v="4.6999999999999993"/>
    <m/>
    <x v="0"/>
    <n v="98.149999999999991"/>
    <n v="98.149999999999991"/>
    <n v="3"/>
    <x v="0"/>
    <x v="0"/>
    <n v="3"/>
    <n v="0.05"/>
    <x v="0"/>
    <x v="0"/>
    <m/>
    <x v="0"/>
    <x v="0"/>
    <x v="0"/>
    <x v="0"/>
    <x v="0"/>
    <n v="0"/>
    <n v="0"/>
    <n v="0.05"/>
    <n v="11.95"/>
    <x v="1"/>
    <x v="0"/>
    <m/>
    <x v="0"/>
    <n v="107.85"/>
    <x v="0"/>
    <x v="24"/>
    <x v="14"/>
    <x v="0"/>
    <x v="0"/>
  </r>
  <r>
    <x v="0"/>
    <x v="14"/>
    <s v="7218 J"/>
    <x v="231"/>
    <s v="Alam Printers Butkhela"/>
    <s v="LDM"/>
    <n v="20"/>
    <s v="15-16"/>
    <s v="LDM"/>
    <n v="100"/>
    <x v="0"/>
    <n v="2"/>
    <n v="105.6"/>
    <n v="5"/>
    <m/>
    <x v="0"/>
    <n v="100.6"/>
    <n v="100.6"/>
    <n v="2"/>
    <x v="0"/>
    <x v="0"/>
    <n v="2"/>
    <n v="3.3333333333333333E-2"/>
    <x v="0"/>
    <x v="0"/>
    <m/>
    <x v="0"/>
    <x v="0"/>
    <x v="0"/>
    <x v="0"/>
    <x v="0"/>
    <n v="0"/>
    <n v="0"/>
    <n v="3.3333333333333333E-2"/>
    <n v="11.966666666666667"/>
    <x v="1"/>
    <x v="0"/>
    <m/>
    <x v="0"/>
    <n v="110.6"/>
    <x v="0"/>
    <x v="24"/>
    <x v="14"/>
    <x v="0"/>
    <x v="0"/>
  </r>
  <r>
    <x v="0"/>
    <x v="14"/>
    <s v="7229 J"/>
    <x v="231"/>
    <s v="Banaras Cloth House Gojar khan"/>
    <s v="LDM"/>
    <n v="18"/>
    <s v="14-15"/>
    <s v="LDM"/>
    <n v="100"/>
    <x v="0"/>
    <n v="2"/>
    <n v="104.5"/>
    <n v="4.5999999999999996"/>
    <m/>
    <x v="0"/>
    <n v="99.9"/>
    <n v="440.4"/>
    <n v="2"/>
    <x v="0"/>
    <x v="0"/>
    <n v="2"/>
    <n v="3.3333333333333333E-2"/>
    <x v="0"/>
    <x v="0"/>
    <m/>
    <x v="0"/>
    <x v="0"/>
    <x v="0"/>
    <x v="0"/>
    <x v="0"/>
    <n v="0"/>
    <n v="0"/>
    <n v="3.3333333333333333E-2"/>
    <n v="11.966666666666667"/>
    <x v="1"/>
    <x v="0"/>
    <m/>
    <x v="0"/>
    <n v="109.5"/>
    <x v="0"/>
    <x v="24"/>
    <x v="14"/>
    <x v="0"/>
    <x v="0"/>
  </r>
  <r>
    <x v="0"/>
    <x v="14"/>
    <s v="7215 J"/>
    <x v="231"/>
    <s v="Khawaja Watch Center Lahore"/>
    <s v="LDM"/>
    <n v="12"/>
    <s v="14-15"/>
    <s v="LDM"/>
    <n v="300"/>
    <x v="0"/>
    <n v="2"/>
    <n v="157.4"/>
    <n v="5.8"/>
    <n v="41"/>
    <x v="0"/>
    <n v="151.6"/>
    <n v="306.69999999999993"/>
    <m/>
    <x v="0"/>
    <x v="0"/>
    <n v="0"/>
    <n v="0"/>
    <x v="0"/>
    <x v="0"/>
    <m/>
    <x v="0"/>
    <x v="0"/>
    <x v="0"/>
    <x v="0"/>
    <x v="0"/>
    <n v="0"/>
    <n v="0"/>
    <n v="0"/>
    <n v="12"/>
    <x v="1"/>
    <x v="0"/>
    <m/>
    <x v="0"/>
    <n v="162.4"/>
    <x v="0"/>
    <x v="24"/>
    <x v="14"/>
    <x v="0"/>
    <x v="0"/>
  </r>
  <r>
    <x v="1"/>
    <x v="14"/>
    <s v="7215 J"/>
    <x v="231"/>
    <s v="Khawaja Watch Center Lahore"/>
    <s v="LDM"/>
    <n v="12"/>
    <s v="14-15"/>
    <s v="LDM"/>
    <n v="300"/>
    <x v="0"/>
    <n v="2"/>
    <n v="160.89999999999998"/>
    <n v="5.8"/>
    <n v="20"/>
    <x v="0"/>
    <n v="155.09999999999997"/>
    <n v="306.69999999999993"/>
    <m/>
    <x v="0"/>
    <x v="0"/>
    <n v="0"/>
    <n v="0"/>
    <x v="0"/>
    <x v="0"/>
    <m/>
    <x v="0"/>
    <x v="0"/>
    <x v="0"/>
    <x v="0"/>
    <x v="0"/>
    <n v="0"/>
    <n v="0"/>
    <n v="0"/>
    <n v="12"/>
    <x v="1"/>
    <x v="0"/>
    <m/>
    <x v="0"/>
    <n v="165.89999999999998"/>
    <x v="0"/>
    <x v="24"/>
    <x v="14"/>
    <x v="0"/>
    <x v="0"/>
  </r>
  <r>
    <x v="1"/>
    <x v="14"/>
    <s v="7214 J"/>
    <x v="231"/>
    <s v="Mughal Plastic Store Layyah"/>
    <s v="LDM"/>
    <s v="12+3+3"/>
    <s v="8-8.5/16-17"/>
    <s v="LDM"/>
    <n v="110"/>
    <x v="0"/>
    <n v="3"/>
    <n v="119.99999999999999"/>
    <n v="4.5"/>
    <m/>
    <x v="0"/>
    <n v="115.49999999999999"/>
    <n v="115.49999999999999"/>
    <n v="1"/>
    <x v="0"/>
    <x v="0"/>
    <n v="1"/>
    <n v="1.6666666666666666E-2"/>
    <x v="0"/>
    <x v="0"/>
    <m/>
    <x v="2"/>
    <x v="0"/>
    <x v="0"/>
    <x v="0"/>
    <x v="0"/>
    <n v="5"/>
    <n v="8.3333333333333329E-2"/>
    <n v="9.9999999999999992E-2"/>
    <n v="11.9"/>
    <x v="1"/>
    <x v="0"/>
    <m/>
    <x v="0"/>
    <n v="124.99999999999999"/>
    <x v="0"/>
    <x v="24"/>
    <x v="14"/>
    <x v="0"/>
    <x v="0"/>
  </r>
  <r>
    <x v="1"/>
    <x v="14"/>
    <s v="7114 J"/>
    <x v="231"/>
    <s v="New Shareefi Jewalars and Shoes Lahore"/>
    <s v="LDM"/>
    <s v="11+3+3"/>
    <s v="7.5-8/15-16"/>
    <s v="LDM"/>
    <n v="240"/>
    <x v="0"/>
    <n v="7"/>
    <n v="252.6"/>
    <n v="10.5"/>
    <m/>
    <x v="0"/>
    <n v="242.1"/>
    <n v="242.1"/>
    <n v="1"/>
    <x v="0"/>
    <x v="0"/>
    <n v="1"/>
    <n v="1.6666666666666666E-2"/>
    <x v="0"/>
    <x v="0"/>
    <m/>
    <x v="0"/>
    <x v="0"/>
    <x v="0"/>
    <x v="0"/>
    <x v="0"/>
    <n v="0"/>
    <n v="0"/>
    <n v="1.6666666666666666E-2"/>
    <n v="11.983333333333333"/>
    <x v="1"/>
    <x v="0"/>
    <m/>
    <x v="0"/>
    <n v="257.60000000000002"/>
    <x v="0"/>
    <x v="24"/>
    <x v="14"/>
    <x v="0"/>
    <x v="0"/>
  </r>
  <r>
    <x v="1"/>
    <x v="14"/>
    <s v="7213 J"/>
    <x v="231"/>
    <s v="Mughal Plastic Store Layyah"/>
    <s v="LDM"/>
    <s v="10.5+2.75+2.75"/>
    <s v="8-8.5/16-17"/>
    <s v="LDM"/>
    <n v="110"/>
    <x v="0"/>
    <n v="1"/>
    <n v="40.700000000000003"/>
    <n v="1.2"/>
    <m/>
    <x v="0"/>
    <n v="39.5"/>
    <n v="111.5"/>
    <m/>
    <x v="0"/>
    <x v="0"/>
    <n v="0"/>
    <n v="0"/>
    <x v="0"/>
    <x v="0"/>
    <m/>
    <x v="0"/>
    <x v="0"/>
    <x v="0"/>
    <x v="0"/>
    <x v="0"/>
    <n v="0"/>
    <n v="0"/>
    <n v="0"/>
    <n v="12"/>
    <x v="1"/>
    <x v="0"/>
    <m/>
    <x v="0"/>
    <n v="45.7"/>
    <x v="0"/>
    <x v="24"/>
    <x v="14"/>
    <x v="0"/>
    <x v="0"/>
  </r>
  <r>
    <x v="0"/>
    <x v="15"/>
    <s v="7197 J"/>
    <x v="231"/>
    <s v="RMC PACK"/>
    <s v="LDN"/>
    <n v="15"/>
    <s v="6-6.5/12-13"/>
    <s v="LDN"/>
    <n v="150"/>
    <x v="0"/>
    <n v="3"/>
    <n v="115.9"/>
    <n v="5.4"/>
    <m/>
    <x v="0"/>
    <n v="110.5"/>
    <n v="147.9"/>
    <m/>
    <x v="0"/>
    <x v="0"/>
    <n v="0"/>
    <n v="0"/>
    <x v="0"/>
    <x v="0"/>
    <m/>
    <x v="0"/>
    <x v="0"/>
    <x v="0"/>
    <x v="0"/>
    <x v="0"/>
    <n v="0"/>
    <n v="0"/>
    <n v="0"/>
    <n v="12"/>
    <x v="1"/>
    <x v="0"/>
    <m/>
    <x v="0"/>
    <n v="120.9"/>
    <x v="0"/>
    <x v="24"/>
    <x v="14"/>
    <x v="0"/>
    <x v="0"/>
  </r>
  <r>
    <x v="0"/>
    <x v="15"/>
    <s v="2856 F"/>
    <x v="231"/>
    <s v="Usman Amin"/>
    <s v="LDN"/>
    <n v="25"/>
    <s v="7"/>
    <s v="LDN"/>
    <n v="310"/>
    <x v="0"/>
    <n v="4"/>
    <n v="324.89999999999998"/>
    <n v="11.2"/>
    <n v="4"/>
    <x v="0"/>
    <n v="313.7"/>
    <n v="313.7"/>
    <n v="4"/>
    <x v="0"/>
    <x v="0"/>
    <n v="4"/>
    <n v="6.6666666666666666E-2"/>
    <x v="0"/>
    <x v="0"/>
    <m/>
    <x v="0"/>
    <x v="0"/>
    <x v="0"/>
    <x v="0"/>
    <x v="0"/>
    <n v="0"/>
    <n v="0"/>
    <n v="6.6666666666666666E-2"/>
    <n v="11.933333333333334"/>
    <x v="1"/>
    <x v="0"/>
    <m/>
    <x v="0"/>
    <n v="329.9"/>
    <x v="0"/>
    <x v="24"/>
    <x v="14"/>
    <x v="0"/>
    <x v="0"/>
  </r>
  <r>
    <x v="1"/>
    <x v="15"/>
    <s v="2852/1"/>
    <x v="231"/>
    <s v="SITARA CHEMICAL "/>
    <s v="LDN"/>
    <s v="24-24.5"/>
    <s v="100±1"/>
    <s v="LDN"/>
    <n v="3000"/>
    <x v="0"/>
    <n v="1"/>
    <n v="112.29"/>
    <n v="2.4"/>
    <m/>
    <x v="0"/>
    <n v="109.89"/>
    <n v="3750.24"/>
    <m/>
    <x v="0"/>
    <x v="0"/>
    <n v="0"/>
    <n v="0"/>
    <x v="0"/>
    <x v="0"/>
    <m/>
    <x v="0"/>
    <x v="0"/>
    <x v="0"/>
    <x v="0"/>
    <x v="0"/>
    <n v="0"/>
    <n v="0"/>
    <n v="0"/>
    <n v="12"/>
    <x v="1"/>
    <x v="0"/>
    <m/>
    <x v="0"/>
    <n v="117.29"/>
    <x v="0"/>
    <x v="24"/>
    <x v="14"/>
    <x v="0"/>
    <x v="0"/>
  </r>
  <r>
    <x v="1"/>
    <x v="15"/>
    <s v="2852/1"/>
    <x v="231"/>
    <s v="SITARA CHEMICAL "/>
    <s v="LDN"/>
    <s v="24-24.5"/>
    <s v="100±1"/>
    <s v="LDN"/>
    <n v="3000"/>
    <x v="0"/>
    <n v="5"/>
    <n v="498.35"/>
    <n v="14.5"/>
    <m/>
    <x v="0"/>
    <n v="483.85"/>
    <n v="3750.24"/>
    <m/>
    <x v="0"/>
    <x v="0"/>
    <n v="0"/>
    <n v="0"/>
    <x v="0"/>
    <x v="0"/>
    <m/>
    <x v="0"/>
    <x v="0"/>
    <x v="0"/>
    <x v="0"/>
    <x v="0"/>
    <n v="0"/>
    <n v="0"/>
    <n v="0"/>
    <n v="12"/>
    <x v="1"/>
    <x v="0"/>
    <m/>
    <x v="0"/>
    <n v="503.35"/>
    <x v="0"/>
    <x v="24"/>
    <x v="14"/>
    <x v="0"/>
    <x v="0"/>
  </r>
  <r>
    <x v="0"/>
    <x v="8"/>
    <s v="7152 J"/>
    <x v="232"/>
    <s v="Al Shaheer Foods Corporation LTD"/>
    <s v="LDN"/>
    <n v="7.5"/>
    <s v="10-10.5"/>
    <s v="LDN"/>
    <n v="200"/>
    <x v="0"/>
    <n v="2"/>
    <n v="110.80000000000001"/>
    <n v="2"/>
    <n v="2"/>
    <x v="0"/>
    <n v="108.80000000000001"/>
    <n v="202"/>
    <m/>
    <x v="0"/>
    <x v="0"/>
    <n v="0"/>
    <n v="0"/>
    <x v="0"/>
    <x v="0"/>
    <m/>
    <x v="0"/>
    <x v="0"/>
    <x v="0"/>
    <x v="0"/>
    <x v="0"/>
    <n v="0"/>
    <n v="0"/>
    <n v="0"/>
    <n v="12"/>
    <x v="1"/>
    <x v="0"/>
    <m/>
    <x v="0"/>
    <n v="115.80000000000001"/>
    <x v="0"/>
    <x v="24"/>
    <x v="14"/>
    <x v="0"/>
    <x v="0"/>
  </r>
  <r>
    <x v="0"/>
    <x v="8"/>
    <s v="7151 J"/>
    <x v="232"/>
    <s v="Al Shaheer Foods Corporation LTD"/>
    <s v="LDN"/>
    <n v="7.5"/>
    <s v="10-10.5"/>
    <s v="LDN"/>
    <n v="200"/>
    <x v="0"/>
    <n v="1"/>
    <n v="51.6"/>
    <n v="0.75"/>
    <m/>
    <x v="0"/>
    <n v="50.85"/>
    <n v="159.55000000000001"/>
    <m/>
    <x v="0"/>
    <x v="0"/>
    <n v="0"/>
    <n v="0"/>
    <x v="0"/>
    <x v="0"/>
    <m/>
    <x v="0"/>
    <x v="0"/>
    <x v="0"/>
    <x v="0"/>
    <x v="0"/>
    <n v="0"/>
    <n v="0"/>
    <n v="0"/>
    <n v="12"/>
    <x v="1"/>
    <x v="0"/>
    <m/>
    <x v="0"/>
    <n v="56.6"/>
    <x v="0"/>
    <x v="24"/>
    <x v="14"/>
    <x v="0"/>
    <x v="0"/>
  </r>
  <r>
    <x v="1"/>
    <x v="8"/>
    <s v="7149 J"/>
    <x v="232"/>
    <s v="Al Shaheer Foods Corporation LTD"/>
    <s v="LDN"/>
    <n v="11"/>
    <s v="10.5-11"/>
    <s v="LDN"/>
    <n v="1000"/>
    <x v="0"/>
    <n v="3"/>
    <n v="164.97"/>
    <n v="4"/>
    <m/>
    <x v="0"/>
    <n v="160.97"/>
    <n v="1013.85"/>
    <m/>
    <x v="0"/>
    <x v="0"/>
    <n v="0"/>
    <n v="0"/>
    <x v="0"/>
    <x v="0"/>
    <m/>
    <x v="0"/>
    <x v="0"/>
    <x v="0"/>
    <x v="0"/>
    <x v="0"/>
    <n v="0"/>
    <n v="0"/>
    <n v="0"/>
    <n v="12"/>
    <x v="1"/>
    <x v="0"/>
    <m/>
    <x v="0"/>
    <n v="169.97"/>
    <x v="0"/>
    <x v="24"/>
    <x v="14"/>
    <x v="0"/>
    <x v="0"/>
  </r>
  <r>
    <x v="0"/>
    <x v="9"/>
    <s v="7134 J"/>
    <x v="232"/>
    <s v="Zahid Shaker Garkh"/>
    <s v="LDN"/>
    <n v="8"/>
    <s v="14-15"/>
    <s v="LDN"/>
    <n v="400"/>
    <x v="0"/>
    <n v="1"/>
    <n v="43.1"/>
    <n v="1"/>
    <n v="4"/>
    <x v="0"/>
    <n v="42.1"/>
    <n v="246.25"/>
    <m/>
    <x v="0"/>
    <x v="0"/>
    <n v="0"/>
    <n v="0"/>
    <x v="0"/>
    <x v="0"/>
    <m/>
    <x v="0"/>
    <x v="0"/>
    <x v="0"/>
    <x v="0"/>
    <x v="0"/>
    <n v="0"/>
    <n v="0"/>
    <n v="0"/>
    <n v="12"/>
    <x v="1"/>
    <x v="0"/>
    <m/>
    <x v="0"/>
    <n v="48.1"/>
    <x v="0"/>
    <x v="24"/>
    <x v="14"/>
    <x v="0"/>
    <x v="0"/>
  </r>
  <r>
    <x v="0"/>
    <x v="9"/>
    <s v="7094 J"/>
    <x v="232"/>
    <s v="Jilani Poly Stock"/>
    <s v="LDN"/>
    <n v="4"/>
    <n v="10"/>
    <s v="LDN"/>
    <s v="-"/>
    <x v="0"/>
    <n v="3"/>
    <n v="80.300000000000011"/>
    <n v="1.2000000000000002"/>
    <m/>
    <x v="0"/>
    <n v="79.100000000000009"/>
    <n v="348.92"/>
    <m/>
    <x v="0"/>
    <x v="0"/>
    <n v="0"/>
    <n v="0"/>
    <x v="0"/>
    <x v="0"/>
    <m/>
    <x v="0"/>
    <x v="0"/>
    <x v="0"/>
    <x v="0"/>
    <x v="0"/>
    <n v="0"/>
    <n v="0"/>
    <n v="0"/>
    <n v="12"/>
    <x v="1"/>
    <x v="0"/>
    <m/>
    <x v="0"/>
    <n v="85.300000000000011"/>
    <x v="0"/>
    <x v="24"/>
    <x v="14"/>
    <x v="0"/>
    <x v="0"/>
  </r>
  <r>
    <x v="1"/>
    <x v="9"/>
    <s v="7149 J"/>
    <x v="232"/>
    <s v="Al Shaheer Foods Corporation LTD"/>
    <s v="LDN"/>
    <n v="11"/>
    <s v="10.5-11"/>
    <s v="LDN"/>
    <n v="1000"/>
    <x v="0"/>
    <n v="3"/>
    <n v="178.14999999999998"/>
    <n v="3.9000000000000004"/>
    <m/>
    <x v="0"/>
    <n v="174.24999999999997"/>
    <n v="1013.85"/>
    <m/>
    <x v="0"/>
    <x v="0"/>
    <n v="0"/>
    <n v="0"/>
    <x v="0"/>
    <x v="0"/>
    <m/>
    <x v="0"/>
    <x v="0"/>
    <x v="0"/>
    <x v="0"/>
    <x v="0"/>
    <n v="0"/>
    <n v="0"/>
    <n v="0"/>
    <n v="12"/>
    <x v="1"/>
    <x v="0"/>
    <m/>
    <x v="0"/>
    <n v="183.14999999999998"/>
    <x v="0"/>
    <x v="24"/>
    <x v="14"/>
    <x v="0"/>
    <x v="0"/>
  </r>
  <r>
    <x v="0"/>
    <x v="11"/>
    <s v="7060 J"/>
    <x v="232"/>
    <s v="Waqas Wollan Mills Gujranwala"/>
    <s v="LD بلو"/>
    <n v="15"/>
    <s v="10-10.5"/>
    <s v="LDM"/>
    <n v="550"/>
    <x v="0"/>
    <n v="2"/>
    <n v="146.39999999999998"/>
    <n v="3.6"/>
    <m/>
    <x v="0"/>
    <n v="142.79999999999998"/>
    <n v="142.79999999999998"/>
    <m/>
    <x v="0"/>
    <x v="0"/>
    <n v="0"/>
    <n v="0"/>
    <x v="0"/>
    <x v="0"/>
    <m/>
    <x v="0"/>
    <x v="0"/>
    <x v="0"/>
    <x v="0"/>
    <x v="0"/>
    <n v="0"/>
    <n v="0"/>
    <n v="0"/>
    <n v="12"/>
    <x v="1"/>
    <x v="0"/>
    <m/>
    <x v="0"/>
    <n v="151.39999999999998"/>
    <x v="0"/>
    <x v="24"/>
    <x v="14"/>
    <x v="0"/>
    <x v="0"/>
  </r>
  <r>
    <x v="0"/>
    <x v="11"/>
    <s v="7061 J"/>
    <x v="232"/>
    <s v="Waqas Wollan Mills Gujranwala"/>
    <s v="LD بلو"/>
    <n v="15"/>
    <s v="10-10.5"/>
    <s v="LDM"/>
    <n v="200"/>
    <x v="0"/>
    <n v="3"/>
    <n v="200.79999999999998"/>
    <n v="5.6999999999999993"/>
    <m/>
    <x v="0"/>
    <n v="195.1"/>
    <n v="195.1"/>
    <m/>
    <x v="0"/>
    <x v="0"/>
    <n v="0"/>
    <n v="0"/>
    <x v="0"/>
    <x v="0"/>
    <m/>
    <x v="0"/>
    <x v="0"/>
    <x v="0"/>
    <x v="0"/>
    <x v="0"/>
    <n v="0"/>
    <n v="0"/>
    <n v="0"/>
    <n v="12"/>
    <x v="1"/>
    <x v="0"/>
    <m/>
    <x v="0"/>
    <n v="205.79999999999998"/>
    <x v="0"/>
    <x v="24"/>
    <x v="14"/>
    <x v="0"/>
    <x v="0"/>
  </r>
  <r>
    <x v="1"/>
    <x v="11"/>
    <s v="7062 J"/>
    <x v="232"/>
    <s v="Waqas Wollan Mills Gujranwala"/>
    <s v="LD بلو"/>
    <n v="16"/>
    <s v="10-10.5"/>
    <s v="LDM"/>
    <n v="300"/>
    <x v="0"/>
    <n v="4"/>
    <n v="309.10000000000002"/>
    <n v="4.8"/>
    <n v="10"/>
    <x v="0"/>
    <n v="304.3"/>
    <n v="304.3"/>
    <n v="2"/>
    <x v="0"/>
    <x v="0"/>
    <n v="2"/>
    <n v="3.3333333333333333E-2"/>
    <x v="0"/>
    <x v="0"/>
    <m/>
    <x v="0"/>
    <x v="0"/>
    <x v="0"/>
    <x v="0"/>
    <x v="0"/>
    <n v="0"/>
    <n v="0"/>
    <n v="3.3333333333333333E-2"/>
    <n v="11.966666666666667"/>
    <x v="1"/>
    <x v="0"/>
    <m/>
    <x v="0"/>
    <n v="314.10000000000002"/>
    <x v="0"/>
    <x v="24"/>
    <x v="14"/>
    <x v="0"/>
    <x v="0"/>
  </r>
  <r>
    <x v="1"/>
    <x v="11"/>
    <s v="7063 J"/>
    <x v="232"/>
    <s v="Waqas Wollan Mills Gujranwala"/>
    <s v="LD بلو"/>
    <n v="16"/>
    <s v="10-10.5"/>
    <s v="LDM"/>
    <n v="250"/>
    <x v="0"/>
    <n v="1"/>
    <n v="58.05"/>
    <n v="2"/>
    <m/>
    <x v="0"/>
    <n v="56.05"/>
    <n v="302.65000000000003"/>
    <n v="3"/>
    <x v="0"/>
    <x v="0"/>
    <n v="3"/>
    <n v="0.05"/>
    <x v="0"/>
    <x v="0"/>
    <m/>
    <x v="0"/>
    <x v="0"/>
    <x v="0"/>
    <x v="0"/>
    <x v="0"/>
    <n v="0"/>
    <n v="0"/>
    <n v="0.05"/>
    <n v="11.95"/>
    <x v="1"/>
    <x v="0"/>
    <m/>
    <x v="0"/>
    <n v="63.05"/>
    <x v="0"/>
    <x v="24"/>
    <x v="14"/>
    <x v="0"/>
    <x v="0"/>
  </r>
  <r>
    <x v="0"/>
    <x v="14"/>
    <s v="7213 J"/>
    <x v="232"/>
    <s v="Mughal Plastic Store Layyah"/>
    <s v="LDM"/>
    <s v="10.5+2.75+2.75"/>
    <s v="8-8.5/16-17"/>
    <s v="LDM"/>
    <n v="110"/>
    <x v="0"/>
    <n v="2"/>
    <n v="74.400000000000006"/>
    <n v="2.4"/>
    <n v="25"/>
    <x v="0"/>
    <n v="72"/>
    <n v="111.5"/>
    <n v="30"/>
    <x v="0"/>
    <x v="0"/>
    <n v="30"/>
    <n v="0.5"/>
    <x v="0"/>
    <x v="0"/>
    <m/>
    <x v="0"/>
    <x v="0"/>
    <x v="0"/>
    <x v="0"/>
    <x v="0"/>
    <n v="0"/>
    <n v="0"/>
    <n v="0.5"/>
    <n v="11.5"/>
    <x v="1"/>
    <x v="0"/>
    <m/>
    <x v="0"/>
    <n v="79.400000000000006"/>
    <x v="0"/>
    <x v="24"/>
    <x v="14"/>
    <x v="0"/>
    <x v="0"/>
  </r>
  <r>
    <x v="0"/>
    <x v="14"/>
    <s v="1150 J"/>
    <x v="232"/>
    <s v="-"/>
    <n v="26"/>
    <s v="8-8.5"/>
    <m/>
    <m/>
    <m/>
    <x v="0"/>
    <n v="2"/>
    <n v="236.54"/>
    <n v="7.2"/>
    <m/>
    <x v="0"/>
    <n v="229.34"/>
    <n v="1647.44"/>
    <m/>
    <x v="0"/>
    <x v="0"/>
    <n v="0"/>
    <n v="0"/>
    <x v="0"/>
    <x v="0"/>
    <m/>
    <x v="0"/>
    <x v="0"/>
    <x v="0"/>
    <x v="0"/>
    <x v="0"/>
    <n v="0"/>
    <n v="0"/>
    <n v="0"/>
    <n v="12"/>
    <x v="1"/>
    <x v="0"/>
    <m/>
    <x v="0"/>
    <n v="241.54"/>
    <x v="0"/>
    <x v="24"/>
    <x v="14"/>
    <x v="0"/>
    <x v="0"/>
  </r>
  <r>
    <x v="0"/>
    <x v="14"/>
    <s v="2852/1"/>
    <x v="232"/>
    <s v="SITARA CHEMICAL "/>
    <s v="LDN"/>
    <s v="24-24.5"/>
    <s v="100±1"/>
    <s v="LDN"/>
    <n v="3000"/>
    <x v="0"/>
    <n v="3"/>
    <n v="308.14999999999998"/>
    <n v="11.399999999999999"/>
    <m/>
    <x v="0"/>
    <n v="296.75"/>
    <n v="3750.24"/>
    <m/>
    <x v="0"/>
    <x v="0"/>
    <n v="0"/>
    <n v="0"/>
    <x v="0"/>
    <x v="0"/>
    <m/>
    <x v="0"/>
    <x v="0"/>
    <x v="0"/>
    <x v="0"/>
    <x v="0"/>
    <n v="0"/>
    <n v="0"/>
    <n v="0"/>
    <n v="12"/>
    <x v="1"/>
    <x v="0"/>
    <m/>
    <x v="0"/>
    <n v="313.14999999999998"/>
    <x v="0"/>
    <x v="24"/>
    <x v="14"/>
    <x v="0"/>
    <x v="0"/>
  </r>
  <r>
    <x v="1"/>
    <x v="14"/>
    <s v="7239 J"/>
    <x v="232"/>
    <s v="Atlas Honda LTD (SKP)"/>
    <s v="LDN"/>
    <n v="24"/>
    <s v="8.5-9"/>
    <s v="LDN"/>
    <n v="186.96581196581195"/>
    <x v="0"/>
    <n v="3"/>
    <n v="210.60000000000002"/>
    <n v="8.3999999999999986"/>
    <n v="15"/>
    <x v="0"/>
    <n v="202.20000000000002"/>
    <n v="202.20000000000002"/>
    <n v="5"/>
    <x v="0"/>
    <x v="0"/>
    <n v="5"/>
    <n v="8.3333333333333329E-2"/>
    <x v="0"/>
    <x v="0"/>
    <m/>
    <x v="0"/>
    <x v="0"/>
    <x v="0"/>
    <x v="0"/>
    <x v="0"/>
    <n v="0"/>
    <n v="0"/>
    <n v="8.3333333333333329E-2"/>
    <n v="11.916666666666666"/>
    <x v="1"/>
    <x v="0"/>
    <m/>
    <x v="0"/>
    <n v="215.60000000000002"/>
    <x v="0"/>
    <x v="24"/>
    <x v="14"/>
    <x v="0"/>
    <x v="0"/>
  </r>
  <r>
    <x v="1"/>
    <x v="14"/>
    <s v="7241 J"/>
    <x v="232"/>
    <s v="Atlas Honda LTD (SKP)"/>
    <s v="LDN"/>
    <n v="22"/>
    <s v="8.5-9"/>
    <s v="LDN"/>
    <n v="44.560185185185183"/>
    <x v="0"/>
    <n v="2"/>
    <n v="163"/>
    <n v="5.2"/>
    <m/>
    <x v="0"/>
    <n v="157.80000000000001"/>
    <n v="157.80000000000001"/>
    <n v="10"/>
    <x v="0"/>
    <x v="0"/>
    <n v="10"/>
    <n v="0.16666666666666666"/>
    <x v="0"/>
    <x v="0"/>
    <m/>
    <x v="0"/>
    <x v="0"/>
    <x v="0"/>
    <x v="0"/>
    <x v="0"/>
    <n v="0"/>
    <n v="0"/>
    <n v="0.16666666666666666"/>
    <n v="11.833333333333334"/>
    <x v="1"/>
    <x v="0"/>
    <m/>
    <x v="0"/>
    <n v="168"/>
    <x v="0"/>
    <x v="24"/>
    <x v="14"/>
    <x v="0"/>
    <x v="0"/>
  </r>
  <r>
    <x v="1"/>
    <x v="14"/>
    <s v="7240 J"/>
    <x v="232"/>
    <s v="Atlas Honda LTD (SKP)"/>
    <s v="LDN"/>
    <n v="26"/>
    <s v="8.5-9"/>
    <s v="LDN"/>
    <n v="148.53395061728395"/>
    <x v="0"/>
    <n v="3"/>
    <n v="213.10000000000002"/>
    <n v="9"/>
    <m/>
    <x v="0"/>
    <n v="204.10000000000002"/>
    <n v="204.10000000000002"/>
    <n v="5"/>
    <x v="0"/>
    <x v="0"/>
    <n v="5"/>
    <n v="8.3333333333333329E-2"/>
    <x v="0"/>
    <x v="0"/>
    <m/>
    <x v="0"/>
    <x v="0"/>
    <x v="0"/>
    <x v="0"/>
    <x v="0"/>
    <n v="0"/>
    <n v="0"/>
    <n v="8.3333333333333329E-2"/>
    <n v="11.916666666666666"/>
    <x v="1"/>
    <x v="0"/>
    <m/>
    <x v="0"/>
    <n v="218.10000000000002"/>
    <x v="0"/>
    <x v="24"/>
    <x v="14"/>
    <x v="0"/>
    <x v="0"/>
  </r>
  <r>
    <x v="1"/>
    <x v="14"/>
    <s v="2852/1"/>
    <x v="232"/>
    <s v="SITARA CHEMICAL "/>
    <s v="LDN"/>
    <s v="24-24.5"/>
    <s v="100±1"/>
    <s v="LDN"/>
    <n v="3000"/>
    <x v="0"/>
    <n v="1"/>
    <n v="95.9"/>
    <n v="2.6"/>
    <m/>
    <x v="0"/>
    <n v="93.300000000000011"/>
    <n v="3750.24"/>
    <m/>
    <x v="0"/>
    <x v="0"/>
    <n v="0"/>
    <n v="0"/>
    <x v="0"/>
    <x v="0"/>
    <m/>
    <x v="0"/>
    <x v="0"/>
    <x v="0"/>
    <x v="0"/>
    <x v="0"/>
    <n v="0"/>
    <n v="0"/>
    <n v="0"/>
    <n v="12"/>
    <x v="1"/>
    <x v="0"/>
    <m/>
    <x v="0"/>
    <n v="100.9"/>
    <x v="0"/>
    <x v="24"/>
    <x v="14"/>
    <x v="0"/>
    <x v="0"/>
  </r>
  <r>
    <x v="0"/>
    <x v="15"/>
    <s v="2852/1"/>
    <x v="232"/>
    <s v="SITARA CHEMICAL "/>
    <s v="LDN"/>
    <s v="24-24.5"/>
    <s v="100±1"/>
    <s v="LDN"/>
    <n v="3000"/>
    <x v="0"/>
    <n v="5"/>
    <n v="551.1"/>
    <n v="15.900000000000002"/>
    <m/>
    <x v="0"/>
    <n v="535.20000000000005"/>
    <n v="3750.24"/>
    <m/>
    <x v="0"/>
    <x v="0"/>
    <n v="0"/>
    <n v="0"/>
    <x v="0"/>
    <x v="0"/>
    <m/>
    <x v="0"/>
    <x v="0"/>
    <x v="0"/>
    <x v="0"/>
    <x v="0"/>
    <n v="0"/>
    <n v="0"/>
    <n v="0"/>
    <n v="12"/>
    <x v="1"/>
    <x v="0"/>
    <m/>
    <x v="0"/>
    <n v="556.1"/>
    <x v="0"/>
    <x v="24"/>
    <x v="14"/>
    <x v="0"/>
    <x v="0"/>
  </r>
  <r>
    <x v="1"/>
    <x v="15"/>
    <s v="2854 F"/>
    <x v="232"/>
    <s v="Usman Amin"/>
    <s v="LDN"/>
    <n v="17.25"/>
    <s v="8.5-9"/>
    <s v="LDN"/>
    <n v="1000"/>
    <x v="0"/>
    <n v="7"/>
    <n v="465.1"/>
    <n v="15.400000000000002"/>
    <m/>
    <x v="0"/>
    <n v="449.70000000000005"/>
    <n v="998.65"/>
    <m/>
    <x v="0"/>
    <x v="0"/>
    <n v="0"/>
    <n v="0"/>
    <x v="0"/>
    <x v="0"/>
    <m/>
    <x v="0"/>
    <x v="0"/>
    <x v="0"/>
    <x v="0"/>
    <x v="0"/>
    <n v="0"/>
    <n v="0"/>
    <n v="0"/>
    <n v="12"/>
    <x v="1"/>
    <x v="0"/>
    <m/>
    <x v="0"/>
    <n v="470.1"/>
    <x v="0"/>
    <x v="24"/>
    <x v="14"/>
    <x v="0"/>
    <x v="0"/>
  </r>
  <r>
    <x v="0"/>
    <x v="8"/>
    <s v="7149 J"/>
    <x v="233"/>
    <s v="Al Shaheer Foods Corporation LTD"/>
    <s v="LDN"/>
    <n v="11"/>
    <s v="10.5-11"/>
    <s v="LDN"/>
    <n v="1000"/>
    <x v="0"/>
    <n v="3"/>
    <n v="190.42000000000002"/>
    <n v="4.5"/>
    <n v="2"/>
    <x v="0"/>
    <n v="185.92000000000002"/>
    <n v="1013.85"/>
    <m/>
    <x v="0"/>
    <x v="0"/>
    <n v="0"/>
    <n v="0"/>
    <x v="0"/>
    <x v="0"/>
    <m/>
    <x v="0"/>
    <x v="0"/>
    <x v="0"/>
    <x v="0"/>
    <x v="0"/>
    <n v="0"/>
    <n v="0"/>
    <n v="0"/>
    <n v="12"/>
    <x v="1"/>
    <x v="0"/>
    <m/>
    <x v="0"/>
    <n v="195.42000000000002"/>
    <x v="0"/>
    <x v="24"/>
    <x v="14"/>
    <x v="0"/>
    <x v="0"/>
  </r>
  <r>
    <x v="1"/>
    <x v="8"/>
    <s v="7149 J"/>
    <x v="233"/>
    <s v="Al Shaheer Foods Corporation LTD"/>
    <s v="LDN"/>
    <n v="11"/>
    <s v="10.5-11"/>
    <s v="LDN"/>
    <n v="1000"/>
    <x v="0"/>
    <n v="3"/>
    <n v="175.94"/>
    <n v="3.3000000000000003"/>
    <n v="2"/>
    <x v="0"/>
    <n v="172.64"/>
    <n v="1013.85"/>
    <m/>
    <x v="0"/>
    <x v="0"/>
    <n v="0"/>
    <n v="0"/>
    <x v="0"/>
    <x v="0"/>
    <m/>
    <x v="0"/>
    <x v="0"/>
    <x v="0"/>
    <x v="0"/>
    <x v="0"/>
    <n v="0"/>
    <n v="0"/>
    <n v="0"/>
    <n v="12"/>
    <x v="1"/>
    <x v="0"/>
    <m/>
    <x v="0"/>
    <n v="180.94"/>
    <x v="0"/>
    <x v="24"/>
    <x v="14"/>
    <x v="0"/>
    <x v="0"/>
  </r>
  <r>
    <x v="0"/>
    <x v="9"/>
    <s v="7149 J"/>
    <x v="233"/>
    <s v="Al Shaheer Foods Corporation LTD"/>
    <s v="LDN"/>
    <n v="11"/>
    <s v="10.5-11"/>
    <s v="LDN"/>
    <n v="1000"/>
    <x v="0"/>
    <n v="3"/>
    <n v="180.67000000000002"/>
    <n v="4.5"/>
    <n v="1"/>
    <x v="0"/>
    <n v="176.17000000000002"/>
    <n v="1013.85"/>
    <m/>
    <x v="0"/>
    <x v="0"/>
    <n v="0"/>
    <n v="0"/>
    <x v="0"/>
    <x v="0"/>
    <m/>
    <x v="0"/>
    <x v="0"/>
    <x v="0"/>
    <x v="0"/>
    <x v="0"/>
    <n v="0"/>
    <n v="0"/>
    <n v="0"/>
    <n v="12"/>
    <x v="1"/>
    <x v="0"/>
    <m/>
    <x v="0"/>
    <n v="185.67000000000002"/>
    <x v="0"/>
    <x v="24"/>
    <x v="14"/>
    <x v="0"/>
    <x v="0"/>
  </r>
  <r>
    <x v="1"/>
    <x v="9"/>
    <s v="7149 J"/>
    <x v="233"/>
    <s v="Al Shaheer Foods Corporation LTD"/>
    <s v="LDN"/>
    <n v="11"/>
    <s v="10.5-11"/>
    <s v="LDN"/>
    <n v="1000"/>
    <x v="0"/>
    <n v="2"/>
    <n v="146.30000000000001"/>
    <n v="2.4"/>
    <m/>
    <x v="0"/>
    <n v="143.9"/>
    <n v="1013.85"/>
    <m/>
    <x v="0"/>
    <x v="0"/>
    <n v="0"/>
    <n v="0"/>
    <x v="0"/>
    <x v="0"/>
    <m/>
    <x v="0"/>
    <x v="0"/>
    <x v="0"/>
    <x v="0"/>
    <x v="0"/>
    <n v="0"/>
    <n v="0"/>
    <n v="0"/>
    <n v="12"/>
    <x v="1"/>
    <x v="0"/>
    <m/>
    <x v="0"/>
    <n v="151.30000000000001"/>
    <x v="0"/>
    <x v="24"/>
    <x v="14"/>
    <x v="0"/>
    <x v="0"/>
  </r>
  <r>
    <x v="0"/>
    <x v="11"/>
    <s v="7063 J"/>
    <x v="233"/>
    <s v="Waqas Wollan Mills Gujranwala"/>
    <s v="LD بلو"/>
    <n v="16"/>
    <s v="10-10.5"/>
    <s v="LDM"/>
    <n v="250"/>
    <x v="0"/>
    <n v="3"/>
    <n v="252.3"/>
    <n v="5.6999999999999993"/>
    <m/>
    <x v="0"/>
    <n v="246.60000000000002"/>
    <n v="302.65000000000003"/>
    <m/>
    <x v="0"/>
    <x v="0"/>
    <n v="0"/>
    <n v="0"/>
    <x v="0"/>
    <x v="0"/>
    <m/>
    <x v="0"/>
    <x v="0"/>
    <x v="0"/>
    <x v="0"/>
    <x v="0"/>
    <n v="0"/>
    <n v="0"/>
    <n v="0"/>
    <n v="12"/>
    <x v="1"/>
    <x v="0"/>
    <m/>
    <x v="0"/>
    <n v="257.3"/>
    <x v="0"/>
    <x v="24"/>
    <x v="14"/>
    <x v="0"/>
    <x v="0"/>
  </r>
  <r>
    <x v="0"/>
    <x v="11"/>
    <s v="7058 J"/>
    <x v="233"/>
    <s v="Waqas Wollan Mills Gujranwala"/>
    <s v="LD بلو"/>
    <n v="16"/>
    <s v="10-10.5"/>
    <s v="LDM"/>
    <n v="150"/>
    <x v="0"/>
    <n v="1"/>
    <n v="101.2"/>
    <n v="1.9"/>
    <n v="7"/>
    <x v="0"/>
    <n v="99.3"/>
    <n v="99.3"/>
    <m/>
    <x v="0"/>
    <x v="0"/>
    <n v="0"/>
    <n v="0"/>
    <x v="0"/>
    <x v="0"/>
    <m/>
    <x v="0"/>
    <x v="0"/>
    <x v="0"/>
    <x v="0"/>
    <x v="0"/>
    <n v="0"/>
    <n v="0"/>
    <n v="0"/>
    <n v="12"/>
    <x v="1"/>
    <x v="0"/>
    <m/>
    <x v="0"/>
    <n v="106.2"/>
    <x v="0"/>
    <x v="24"/>
    <x v="14"/>
    <x v="0"/>
    <x v="0"/>
  </r>
  <r>
    <x v="1"/>
    <x v="11"/>
    <s v="7064 J"/>
    <x v="233"/>
    <s v="Waqas Wollan Mills Gujranwala"/>
    <s v="LD بلو"/>
    <n v="16"/>
    <s v="10-10.5"/>
    <s v="LDM"/>
    <n v="200"/>
    <x v="0"/>
    <n v="2"/>
    <n v="146.39999999999998"/>
    <n v="3.4000000000000004"/>
    <n v="8"/>
    <x v="0"/>
    <n v="142.99999999999997"/>
    <n v="287.39999999999998"/>
    <m/>
    <x v="0"/>
    <x v="0"/>
    <n v="0"/>
    <n v="0"/>
    <x v="0"/>
    <x v="0"/>
    <m/>
    <x v="0"/>
    <x v="0"/>
    <x v="0"/>
    <x v="0"/>
    <x v="0"/>
    <n v="0"/>
    <n v="0"/>
    <n v="0"/>
    <n v="12"/>
    <x v="1"/>
    <x v="0"/>
    <m/>
    <x v="0"/>
    <n v="151.39999999999998"/>
    <x v="0"/>
    <x v="24"/>
    <x v="14"/>
    <x v="0"/>
    <x v="0"/>
  </r>
  <r>
    <x v="1"/>
    <x v="11"/>
    <s v="7059 J"/>
    <x v="233"/>
    <s v="Waqas Wollan Mills Gujranwala"/>
    <s v="LD بلو"/>
    <n v="16"/>
    <s v="10-10.5"/>
    <s v="LDM"/>
    <n v="600"/>
    <x v="0"/>
    <n v="2"/>
    <n v="156.80000000000001"/>
    <n v="3.2"/>
    <m/>
    <x v="0"/>
    <n v="153.60000000000002"/>
    <n v="529.42000000000007"/>
    <m/>
    <x v="0"/>
    <x v="0"/>
    <n v="0"/>
    <n v="0"/>
    <x v="0"/>
    <x v="0"/>
    <m/>
    <x v="0"/>
    <x v="0"/>
    <x v="0"/>
    <x v="0"/>
    <x v="0"/>
    <n v="0"/>
    <n v="0"/>
    <n v="0"/>
    <n v="12"/>
    <x v="1"/>
    <x v="0"/>
    <m/>
    <x v="0"/>
    <n v="161.80000000000001"/>
    <x v="0"/>
    <x v="24"/>
    <x v="14"/>
    <x v="0"/>
    <x v="0"/>
  </r>
  <r>
    <x v="0"/>
    <x v="14"/>
    <s v="2851/1"/>
    <x v="233"/>
    <s v="PT-02 (ALPHA SCINTIFIC &amp; SAFTY)"/>
    <s v="LD ORANGE"/>
    <n v="24"/>
    <n v="35"/>
    <s v="LD ORANGE"/>
    <n v="100"/>
    <x v="0"/>
    <n v="5"/>
    <n v="543.15"/>
    <n v="18"/>
    <m/>
    <x v="0"/>
    <n v="525.15"/>
    <n v="626.79999999999995"/>
    <m/>
    <x v="0"/>
    <x v="0"/>
    <n v="0"/>
    <n v="0"/>
    <x v="0"/>
    <x v="0"/>
    <m/>
    <x v="0"/>
    <x v="0"/>
    <x v="0"/>
    <x v="0"/>
    <x v="0"/>
    <n v="0"/>
    <n v="0"/>
    <n v="0"/>
    <n v="12"/>
    <x v="1"/>
    <x v="0"/>
    <m/>
    <x v="0"/>
    <n v="548.15"/>
    <x v="0"/>
    <x v="24"/>
    <x v="14"/>
    <x v="0"/>
    <x v="0"/>
  </r>
  <r>
    <x v="0"/>
    <x v="14"/>
    <s v="2882 F"/>
    <x v="233"/>
    <s v="Usman Amin"/>
    <s v="LDN"/>
    <n v="24"/>
    <s v="6.5-7"/>
    <s v="LDN"/>
    <n v="430"/>
    <x v="0"/>
    <n v="1"/>
    <n v="77.349999999999994"/>
    <n v="2.2000000000000002"/>
    <n v="27"/>
    <x v="0"/>
    <n v="75.149999999999991"/>
    <n v="435.85"/>
    <m/>
    <x v="0"/>
    <x v="0"/>
    <n v="0"/>
    <n v="0"/>
    <x v="0"/>
    <x v="0"/>
    <m/>
    <x v="0"/>
    <x v="0"/>
    <x v="0"/>
    <x v="0"/>
    <x v="0"/>
    <n v="0"/>
    <n v="0"/>
    <n v="0"/>
    <n v="12"/>
    <x v="1"/>
    <x v="0"/>
    <m/>
    <x v="0"/>
    <n v="82.35"/>
    <x v="0"/>
    <x v="24"/>
    <x v="14"/>
    <x v="0"/>
    <x v="0"/>
  </r>
  <r>
    <x v="1"/>
    <x v="14"/>
    <s v="2882 F"/>
    <x v="233"/>
    <s v="Usman Amin"/>
    <s v="LDN"/>
    <n v="24"/>
    <s v="6.5-7"/>
    <s v="LDN"/>
    <n v="430"/>
    <x v="0"/>
    <n v="5"/>
    <n v="373.70000000000005"/>
    <n v="13"/>
    <n v="22"/>
    <x v="0"/>
    <n v="360.70000000000005"/>
    <n v="435.85"/>
    <m/>
    <x v="0"/>
    <x v="0"/>
    <n v="0"/>
    <n v="0"/>
    <x v="0"/>
    <x v="0"/>
    <m/>
    <x v="0"/>
    <x v="0"/>
    <x v="0"/>
    <x v="0"/>
    <x v="0"/>
    <n v="0"/>
    <n v="0"/>
    <n v="0"/>
    <n v="12"/>
    <x v="1"/>
    <x v="0"/>
    <m/>
    <x v="0"/>
    <n v="378.70000000000005"/>
    <x v="0"/>
    <x v="24"/>
    <x v="14"/>
    <x v="0"/>
    <x v="0"/>
  </r>
  <r>
    <x v="1"/>
    <x v="14"/>
    <s v="2873 F"/>
    <x v="233"/>
    <s v="Usman Amin"/>
    <s v="LDN"/>
    <n v="26"/>
    <s v="7-7.5"/>
    <s v="LDN"/>
    <n v="105"/>
    <x v="0"/>
    <n v="2"/>
    <n v="106.8"/>
    <n v="7"/>
    <m/>
    <x v="0"/>
    <n v="99.8"/>
    <n v="99.8"/>
    <m/>
    <x v="0"/>
    <x v="0"/>
    <n v="0"/>
    <n v="0"/>
    <x v="0"/>
    <x v="0"/>
    <m/>
    <x v="0"/>
    <x v="0"/>
    <x v="0"/>
    <x v="0"/>
    <x v="0"/>
    <n v="0"/>
    <n v="0"/>
    <n v="0"/>
    <n v="12"/>
    <x v="1"/>
    <x v="0"/>
    <m/>
    <x v="0"/>
    <n v="111.8"/>
    <x v="0"/>
    <x v="24"/>
    <x v="14"/>
    <x v="0"/>
    <x v="0"/>
  </r>
  <r>
    <x v="1"/>
    <x v="14"/>
    <s v="2880 F"/>
    <x v="233"/>
    <s v="Usman Amin"/>
    <s v="LDN"/>
    <n v="30"/>
    <s v="7"/>
    <s v="LDN"/>
    <n v="35"/>
    <x v="0"/>
    <n v="1"/>
    <n v="42.25"/>
    <n v="3.5"/>
    <m/>
    <x v="0"/>
    <n v="38.75"/>
    <n v="38.75"/>
    <m/>
    <x v="0"/>
    <x v="0"/>
    <n v="0"/>
    <n v="0"/>
    <x v="0"/>
    <x v="0"/>
    <m/>
    <x v="0"/>
    <x v="0"/>
    <x v="0"/>
    <x v="0"/>
    <x v="0"/>
    <n v="0"/>
    <n v="0"/>
    <n v="0"/>
    <n v="12"/>
    <x v="1"/>
    <x v="0"/>
    <m/>
    <x v="0"/>
    <n v="47.25"/>
    <x v="0"/>
    <x v="24"/>
    <x v="14"/>
    <x v="0"/>
    <x v="0"/>
  </r>
  <r>
    <x v="1"/>
    <x v="14"/>
    <s v="2874 F"/>
    <x v="233"/>
    <s v="Usman Amin"/>
    <s v="LDN"/>
    <n v="30"/>
    <s v="8.5-9"/>
    <s v="LDN"/>
    <n v="100"/>
    <x v="0"/>
    <n v="1"/>
    <n v="106.9"/>
    <n v="3.2"/>
    <m/>
    <x v="0"/>
    <n v="103.7"/>
    <n v="103.7"/>
    <m/>
    <x v="0"/>
    <x v="0"/>
    <n v="0"/>
    <n v="0"/>
    <x v="0"/>
    <x v="0"/>
    <m/>
    <x v="0"/>
    <x v="0"/>
    <x v="0"/>
    <x v="0"/>
    <x v="0"/>
    <n v="0"/>
    <n v="0"/>
    <n v="0"/>
    <n v="12"/>
    <x v="1"/>
    <x v="0"/>
    <m/>
    <x v="0"/>
    <n v="111.9"/>
    <x v="0"/>
    <x v="24"/>
    <x v="14"/>
    <x v="0"/>
    <x v="0"/>
  </r>
  <r>
    <x v="1"/>
    <x v="14"/>
    <s v="2864 F"/>
    <x v="233"/>
    <s v="Usman Amin"/>
    <s v="LDN"/>
    <n v="33"/>
    <s v="8-8.5"/>
    <s v="LDN"/>
    <n v="85"/>
    <x v="0"/>
    <n v="1"/>
    <n v="95"/>
    <n v="3.5"/>
    <m/>
    <x v="0"/>
    <n v="91.5"/>
    <n v="91.5"/>
    <m/>
    <x v="0"/>
    <x v="0"/>
    <n v="0"/>
    <n v="0"/>
    <x v="0"/>
    <x v="0"/>
    <m/>
    <x v="0"/>
    <x v="0"/>
    <x v="0"/>
    <x v="0"/>
    <x v="0"/>
    <n v="0"/>
    <n v="0"/>
    <n v="0"/>
    <n v="12"/>
    <x v="1"/>
    <x v="0"/>
    <m/>
    <x v="0"/>
    <n v="100"/>
    <x v="0"/>
    <x v="24"/>
    <x v="14"/>
    <x v="0"/>
    <x v="0"/>
  </r>
  <r>
    <x v="0"/>
    <x v="15"/>
    <s v="2854 F"/>
    <x v="233"/>
    <s v="Usman Amin"/>
    <s v="LDN"/>
    <n v="17.25"/>
    <s v="8.5-9"/>
    <s v="LDN"/>
    <n v="1000"/>
    <x v="0"/>
    <n v="5"/>
    <n v="342.75"/>
    <n v="9.1999999999999993"/>
    <m/>
    <x v="0"/>
    <n v="333.55"/>
    <n v="998.65"/>
    <m/>
    <x v="0"/>
    <x v="0"/>
    <n v="0"/>
    <n v="0"/>
    <x v="0"/>
    <x v="0"/>
    <m/>
    <x v="0"/>
    <x v="0"/>
    <x v="0"/>
    <x v="0"/>
    <x v="0"/>
    <n v="0"/>
    <n v="0"/>
    <n v="0"/>
    <n v="12"/>
    <x v="1"/>
    <x v="0"/>
    <m/>
    <x v="0"/>
    <n v="347.75"/>
    <x v="0"/>
    <x v="24"/>
    <x v="14"/>
    <x v="0"/>
    <x v="0"/>
  </r>
  <r>
    <x v="0"/>
    <x v="15"/>
    <s v="2861 F"/>
    <x v="233"/>
    <s v="Usman Amin"/>
    <s v="LDN"/>
    <n v="16"/>
    <s v="7-7.5"/>
    <s v="LDN"/>
    <n v="50"/>
    <x v="0"/>
    <n v="1"/>
    <n v="50.1"/>
    <n v="1.6"/>
    <m/>
    <x v="0"/>
    <n v="48.5"/>
    <n v="48.5"/>
    <m/>
    <x v="0"/>
    <x v="0"/>
    <n v="0"/>
    <n v="0"/>
    <x v="0"/>
    <x v="0"/>
    <m/>
    <x v="0"/>
    <x v="0"/>
    <x v="0"/>
    <x v="0"/>
    <x v="0"/>
    <n v="0"/>
    <n v="0"/>
    <n v="0"/>
    <n v="12"/>
    <x v="1"/>
    <x v="0"/>
    <m/>
    <x v="0"/>
    <n v="55.1"/>
    <x v="0"/>
    <x v="24"/>
    <x v="14"/>
    <x v="0"/>
    <x v="0"/>
  </r>
  <r>
    <x v="0"/>
    <x v="15"/>
    <s v="2855 F"/>
    <x v="233"/>
    <s v="Usman Amin"/>
    <s v="LDN"/>
    <n v="19"/>
    <s v="8.5-9"/>
    <s v="LDN"/>
    <n v="1000"/>
    <x v="0"/>
    <n v="1"/>
    <n v="74.7"/>
    <n v="2.2999999999999998"/>
    <n v="14"/>
    <x v="0"/>
    <n v="72.400000000000006"/>
    <n v="914.62"/>
    <m/>
    <x v="0"/>
    <x v="0"/>
    <n v="0"/>
    <n v="0"/>
    <x v="0"/>
    <x v="0"/>
    <m/>
    <x v="0"/>
    <x v="0"/>
    <x v="0"/>
    <x v="0"/>
    <x v="0"/>
    <n v="0"/>
    <n v="0"/>
    <n v="0"/>
    <n v="12"/>
    <x v="1"/>
    <x v="0"/>
    <m/>
    <x v="0"/>
    <n v="79.7"/>
    <x v="0"/>
    <x v="24"/>
    <x v="14"/>
    <x v="0"/>
    <x v="0"/>
  </r>
  <r>
    <x v="1"/>
    <x v="15"/>
    <s v="2872 F"/>
    <x v="233"/>
    <s v="Usman Amin"/>
    <s v="LDN"/>
    <n v="19"/>
    <s v="12"/>
    <s v="LDN"/>
    <n v="100"/>
    <x v="0"/>
    <n v="2"/>
    <n v="120.85"/>
    <n v="4.8"/>
    <n v="15"/>
    <x v="0"/>
    <n v="116.05"/>
    <n v="116.05"/>
    <m/>
    <x v="0"/>
    <x v="0"/>
    <n v="0"/>
    <n v="0"/>
    <x v="0"/>
    <x v="0"/>
    <m/>
    <x v="0"/>
    <x v="0"/>
    <x v="0"/>
    <x v="0"/>
    <x v="0"/>
    <n v="0"/>
    <n v="0"/>
    <n v="0"/>
    <n v="12"/>
    <x v="1"/>
    <x v="0"/>
    <m/>
    <x v="0"/>
    <n v="125.85"/>
    <x v="0"/>
    <x v="24"/>
    <x v="14"/>
    <x v="0"/>
    <x v="0"/>
  </r>
  <r>
    <x v="1"/>
    <x v="15"/>
    <s v="2854 F"/>
    <x v="233"/>
    <s v="Usman Amin"/>
    <s v="LDN"/>
    <n v="17.25"/>
    <s v="8.5-9"/>
    <s v="LDN"/>
    <n v="1000"/>
    <x v="0"/>
    <n v="4"/>
    <n v="223.2"/>
    <n v="7.8"/>
    <m/>
    <x v="0"/>
    <n v="215.39999999999998"/>
    <n v="998.65"/>
    <m/>
    <x v="0"/>
    <x v="0"/>
    <n v="0"/>
    <n v="0"/>
    <x v="0"/>
    <x v="0"/>
    <m/>
    <x v="0"/>
    <x v="0"/>
    <x v="0"/>
    <x v="0"/>
    <x v="0"/>
    <n v="0"/>
    <n v="0"/>
    <n v="0"/>
    <n v="12"/>
    <x v="1"/>
    <x v="0"/>
    <m/>
    <x v="0"/>
    <n v="228.2"/>
    <x v="0"/>
    <x v="24"/>
    <x v="14"/>
    <x v="0"/>
    <x v="0"/>
  </r>
  <r>
    <x v="1"/>
    <x v="15"/>
    <s v="2855 F"/>
    <x v="233"/>
    <s v="Usman Amin"/>
    <s v="LDN"/>
    <n v="19"/>
    <s v="8.5-9"/>
    <s v="LDN"/>
    <n v="1000"/>
    <x v="0"/>
    <n v="2"/>
    <n v="118.3"/>
    <n v="4.6999999999999993"/>
    <m/>
    <x v="0"/>
    <n v="113.6"/>
    <n v="914.62"/>
    <m/>
    <x v="0"/>
    <x v="0"/>
    <n v="0"/>
    <n v="0"/>
    <x v="0"/>
    <x v="0"/>
    <m/>
    <x v="0"/>
    <x v="0"/>
    <x v="0"/>
    <x v="0"/>
    <x v="0"/>
    <n v="0"/>
    <n v="0"/>
    <n v="0"/>
    <n v="12"/>
    <x v="1"/>
    <x v="0"/>
    <m/>
    <x v="0"/>
    <n v="123.3"/>
    <x v="0"/>
    <x v="24"/>
    <x v="14"/>
    <x v="0"/>
    <x v="0"/>
  </r>
  <r>
    <x v="0"/>
    <x v="8"/>
    <s v="7151 J"/>
    <x v="234"/>
    <s v="Al Shaheer Foods Corporation LTD"/>
    <s v="LDN"/>
    <n v="7.5"/>
    <s v="10-10.5"/>
    <s v="LDN"/>
    <n v="200"/>
    <x v="0"/>
    <n v="2"/>
    <n v="110.7"/>
    <n v="2"/>
    <m/>
    <x v="0"/>
    <n v="108.7"/>
    <n v="159.55000000000001"/>
    <m/>
    <x v="0"/>
    <x v="0"/>
    <n v="0"/>
    <n v="0"/>
    <x v="0"/>
    <x v="0"/>
    <m/>
    <x v="0"/>
    <x v="0"/>
    <x v="0"/>
    <x v="0"/>
    <x v="0"/>
    <n v="0"/>
    <n v="0"/>
    <n v="0"/>
    <n v="12"/>
    <x v="1"/>
    <x v="0"/>
    <m/>
    <x v="0"/>
    <n v="115.7"/>
    <x v="0"/>
    <x v="25"/>
    <x v="14"/>
    <x v="0"/>
    <x v="0"/>
  </r>
  <r>
    <x v="0"/>
    <x v="8"/>
    <s v="7150 J"/>
    <x v="234"/>
    <s v="Al Shaheer Foods Corporation LTD"/>
    <s v="LDN"/>
    <n v="7.5"/>
    <s v="10-10.5"/>
    <s v="LDN"/>
    <n v="200"/>
    <x v="0"/>
    <n v="2"/>
    <n v="94.37"/>
    <n v="2"/>
    <m/>
    <x v="0"/>
    <n v="92.37"/>
    <n v="194.75"/>
    <m/>
    <x v="0"/>
    <x v="0"/>
    <n v="0"/>
    <n v="0"/>
    <x v="0"/>
    <x v="0"/>
    <m/>
    <x v="0"/>
    <x v="0"/>
    <x v="0"/>
    <x v="0"/>
    <x v="0"/>
    <n v="0"/>
    <n v="0"/>
    <n v="0"/>
    <n v="12"/>
    <x v="1"/>
    <x v="0"/>
    <m/>
    <x v="0"/>
    <n v="99.37"/>
    <x v="0"/>
    <x v="25"/>
    <x v="14"/>
    <x v="0"/>
    <x v="0"/>
  </r>
  <r>
    <x v="1"/>
    <x v="8"/>
    <s v="7150 J"/>
    <x v="234"/>
    <s v="Al Shaheer Foods Corporation LTD"/>
    <s v="LDN"/>
    <n v="7.5"/>
    <s v="10-10.5"/>
    <s v="LDN"/>
    <n v="200"/>
    <x v="0"/>
    <n v="2"/>
    <n v="104.38"/>
    <n v="2"/>
    <m/>
    <x v="0"/>
    <n v="102.38"/>
    <n v="194.75"/>
    <m/>
    <x v="0"/>
    <x v="0"/>
    <n v="0"/>
    <n v="0"/>
    <x v="0"/>
    <x v="0"/>
    <m/>
    <x v="0"/>
    <x v="0"/>
    <x v="0"/>
    <x v="0"/>
    <x v="0"/>
    <n v="0"/>
    <n v="0"/>
    <n v="0"/>
    <n v="12"/>
    <x v="1"/>
    <x v="0"/>
    <m/>
    <x v="0"/>
    <n v="109.38"/>
    <x v="0"/>
    <x v="25"/>
    <x v="14"/>
    <x v="0"/>
    <x v="0"/>
  </r>
  <r>
    <x v="1"/>
    <x v="8"/>
    <s v="7242 J"/>
    <x v="234"/>
    <s v="Atlas Honda LTD (SKP)"/>
    <s v="LDN"/>
    <n v="8"/>
    <s v="8.5-9"/>
    <s v="LDN"/>
    <n v="481.95631528964856"/>
    <x v="0"/>
    <n v="3"/>
    <n v="121.22"/>
    <n v="3"/>
    <m/>
    <x v="0"/>
    <n v="118.22"/>
    <n v="527.12"/>
    <m/>
    <x v="0"/>
    <x v="0"/>
    <n v="0"/>
    <n v="0"/>
    <x v="0"/>
    <x v="0"/>
    <m/>
    <x v="0"/>
    <x v="0"/>
    <x v="0"/>
    <x v="0"/>
    <x v="0"/>
    <n v="0"/>
    <n v="0"/>
    <n v="0"/>
    <n v="12"/>
    <x v="1"/>
    <x v="0"/>
    <m/>
    <x v="0"/>
    <n v="126.22"/>
    <x v="0"/>
    <x v="25"/>
    <x v="14"/>
    <x v="0"/>
    <x v="0"/>
  </r>
  <r>
    <x v="0"/>
    <x v="9"/>
    <s v="7238 J"/>
    <x v="234"/>
    <s v="Atlas Honda LTD (SKP)"/>
    <s v="LDN"/>
    <n v="8"/>
    <n v="9"/>
    <s v="LDN"/>
    <n v="42.735042735042732"/>
    <x v="0"/>
    <n v="2"/>
    <n v="118.1"/>
    <n v="1.6"/>
    <n v="6"/>
    <x v="0"/>
    <n v="116.5"/>
    <n v="116.5"/>
    <m/>
    <x v="0"/>
    <x v="0"/>
    <n v="0"/>
    <n v="0"/>
    <x v="0"/>
    <x v="0"/>
    <n v="180"/>
    <x v="0"/>
    <x v="0"/>
    <x v="0"/>
    <x v="0"/>
    <x v="0"/>
    <n v="180"/>
    <n v="3"/>
    <n v="3"/>
    <n v="9"/>
    <x v="1"/>
    <x v="0"/>
    <m/>
    <x v="0"/>
    <n v="123.1"/>
    <x v="0"/>
    <x v="25"/>
    <x v="14"/>
    <x v="0"/>
    <x v="0"/>
  </r>
  <r>
    <x v="1"/>
    <x v="9"/>
    <s v="7242 J"/>
    <x v="234"/>
    <s v="Atlas Honda LTD (SKP)"/>
    <s v="LDN"/>
    <n v="8"/>
    <s v="8.5-9"/>
    <s v="LDN"/>
    <n v="481.95631528964856"/>
    <x v="0"/>
    <n v="1"/>
    <n v="27.2"/>
    <n v="0.8"/>
    <m/>
    <x v="0"/>
    <n v="26.4"/>
    <n v="527.12"/>
    <m/>
    <x v="0"/>
    <x v="0"/>
    <n v="0"/>
    <n v="0"/>
    <x v="0"/>
    <x v="0"/>
    <m/>
    <x v="0"/>
    <x v="0"/>
    <x v="0"/>
    <x v="0"/>
    <x v="0"/>
    <n v="0"/>
    <n v="0"/>
    <n v="0"/>
    <n v="12"/>
    <x v="1"/>
    <x v="0"/>
    <m/>
    <x v="0"/>
    <n v="32.200000000000003"/>
    <x v="0"/>
    <x v="25"/>
    <x v="14"/>
    <x v="0"/>
    <x v="0"/>
  </r>
  <r>
    <x v="1"/>
    <x v="9"/>
    <s v="7069 J"/>
    <x v="234"/>
    <s v="Chezo Cheez Lahore"/>
    <s v="LDN"/>
    <n v="11"/>
    <n v="18"/>
    <s v="LDN"/>
    <n v="150"/>
    <x v="0"/>
    <n v="3"/>
    <n v="145.1"/>
    <n v="3.9000000000000004"/>
    <m/>
    <x v="0"/>
    <n v="141.19999999999999"/>
    <n v="308.75"/>
    <m/>
    <x v="0"/>
    <x v="0"/>
    <n v="0"/>
    <n v="0"/>
    <x v="0"/>
    <x v="0"/>
    <m/>
    <x v="0"/>
    <x v="0"/>
    <x v="0"/>
    <x v="0"/>
    <x v="0"/>
    <n v="0"/>
    <n v="0"/>
    <n v="0"/>
    <n v="12"/>
    <x v="1"/>
    <x v="0"/>
    <m/>
    <x v="0"/>
    <n v="150.1"/>
    <x v="0"/>
    <x v="25"/>
    <x v="14"/>
    <x v="0"/>
    <x v="0"/>
  </r>
  <r>
    <x v="0"/>
    <x v="11"/>
    <s v="7059 J"/>
    <x v="234"/>
    <s v="Waqas Wollan Mills Gujranwala"/>
    <s v="LD بلو"/>
    <n v="16"/>
    <s v="10-10.5"/>
    <s v="LDM"/>
    <n v="600"/>
    <x v="0"/>
    <n v="3"/>
    <n v="232.01999999999998"/>
    <n v="4.8000000000000007"/>
    <m/>
    <x v="0"/>
    <n v="227.21999999999997"/>
    <n v="529.42000000000007"/>
    <m/>
    <x v="0"/>
    <x v="0"/>
    <n v="0"/>
    <n v="0"/>
    <x v="0"/>
    <x v="0"/>
    <m/>
    <x v="0"/>
    <x v="0"/>
    <x v="0"/>
    <x v="0"/>
    <x v="0"/>
    <n v="0"/>
    <n v="0"/>
    <n v="0"/>
    <n v="12"/>
    <x v="1"/>
    <x v="0"/>
    <m/>
    <x v="0"/>
    <n v="237.01999999999998"/>
    <x v="0"/>
    <x v="25"/>
    <x v="14"/>
    <x v="0"/>
    <x v="0"/>
  </r>
  <r>
    <x v="0"/>
    <x v="11"/>
    <s v="7064 J"/>
    <x v="234"/>
    <s v="Waqas Wollan Mills Gujranwala"/>
    <s v="LD بلو"/>
    <n v="16"/>
    <s v="10-10.5"/>
    <s v="LDM"/>
    <n v="200"/>
    <x v="0"/>
    <n v="2"/>
    <n v="147.60000000000002"/>
    <n v="3.2"/>
    <n v="6"/>
    <x v="0"/>
    <n v="144.40000000000003"/>
    <n v="287.39999999999998"/>
    <m/>
    <x v="0"/>
    <x v="0"/>
    <n v="0"/>
    <n v="0"/>
    <x v="0"/>
    <x v="0"/>
    <m/>
    <x v="0"/>
    <x v="0"/>
    <x v="0"/>
    <x v="0"/>
    <x v="0"/>
    <n v="0"/>
    <n v="0"/>
    <n v="0"/>
    <n v="12"/>
    <x v="1"/>
    <x v="0"/>
    <m/>
    <x v="0"/>
    <n v="152.60000000000002"/>
    <x v="0"/>
    <x v="25"/>
    <x v="14"/>
    <x v="0"/>
    <x v="0"/>
  </r>
  <r>
    <x v="1"/>
    <x v="11"/>
    <s v="7059 J"/>
    <x v="234"/>
    <s v="Waqas Wollan Mills Gujranwala"/>
    <s v="LD بلو"/>
    <n v="16"/>
    <s v="10-10.5"/>
    <s v="LDM"/>
    <n v="600"/>
    <x v="0"/>
    <n v="2"/>
    <n v="151.80000000000001"/>
    <n v="3.2"/>
    <n v="7"/>
    <x v="0"/>
    <n v="148.60000000000002"/>
    <n v="529.42000000000007"/>
    <m/>
    <x v="0"/>
    <x v="0"/>
    <n v="0"/>
    <n v="0"/>
    <x v="0"/>
    <x v="0"/>
    <m/>
    <x v="0"/>
    <x v="0"/>
    <x v="0"/>
    <x v="0"/>
    <x v="0"/>
    <n v="0"/>
    <n v="0"/>
    <n v="0"/>
    <n v="12"/>
    <x v="1"/>
    <x v="0"/>
    <m/>
    <x v="0"/>
    <n v="156.80000000000001"/>
    <x v="0"/>
    <x v="25"/>
    <x v="14"/>
    <x v="0"/>
    <x v="0"/>
  </r>
  <r>
    <x v="1"/>
    <x v="11"/>
    <s v="7065 J"/>
    <x v="234"/>
    <s v="Waqas Wollan Mills Gujranwala"/>
    <s v="LD بلو"/>
    <n v="16"/>
    <s v="10-10.5"/>
    <s v="LDM"/>
    <n v="250"/>
    <x v="0"/>
    <n v="2"/>
    <n v="161.55000000000001"/>
    <n v="3.2"/>
    <m/>
    <x v="0"/>
    <n v="158.35000000000002"/>
    <n v="289.64999999999998"/>
    <m/>
    <x v="0"/>
    <x v="0"/>
    <n v="0"/>
    <n v="0"/>
    <x v="0"/>
    <x v="0"/>
    <m/>
    <x v="0"/>
    <x v="0"/>
    <x v="0"/>
    <x v="0"/>
    <x v="0"/>
    <n v="0"/>
    <n v="0"/>
    <n v="0"/>
    <n v="12"/>
    <x v="1"/>
    <x v="0"/>
    <m/>
    <x v="0"/>
    <n v="166.55"/>
    <x v="0"/>
    <x v="25"/>
    <x v="14"/>
    <x v="0"/>
    <x v="0"/>
  </r>
  <r>
    <x v="1"/>
    <x v="11"/>
    <s v="7066 J"/>
    <x v="234"/>
    <s v="Waqas Wollan Mills Gujranwala"/>
    <s v="LD بلو"/>
    <n v="16"/>
    <s v="10-10.5"/>
    <s v="LDM"/>
    <n v="200"/>
    <x v="0"/>
    <n v="1"/>
    <n v="78.95"/>
    <n v="1.6"/>
    <m/>
    <x v="0"/>
    <n v="77.350000000000009"/>
    <n v="77.350000000000009"/>
    <m/>
    <x v="0"/>
    <x v="0"/>
    <n v="0"/>
    <n v="0"/>
    <x v="0"/>
    <x v="0"/>
    <m/>
    <x v="0"/>
    <x v="0"/>
    <x v="0"/>
    <x v="0"/>
    <x v="0"/>
    <n v="0"/>
    <n v="0"/>
    <n v="0"/>
    <n v="12"/>
    <x v="1"/>
    <x v="0"/>
    <m/>
    <x v="0"/>
    <n v="83.95"/>
    <x v="0"/>
    <x v="25"/>
    <x v="14"/>
    <x v="0"/>
    <x v="0"/>
  </r>
  <r>
    <x v="0"/>
    <x v="14"/>
    <s v="2875 F"/>
    <x v="234"/>
    <s v="Usman Amin"/>
    <s v="LDN"/>
    <n v="25"/>
    <s v="8.5-9"/>
    <s v="LDN"/>
    <n v="70"/>
    <x v="0"/>
    <n v="2"/>
    <n v="138.6"/>
    <n v="5.8"/>
    <m/>
    <x v="0"/>
    <n v="132.79999999999998"/>
    <n v="132.79999999999998"/>
    <m/>
    <x v="0"/>
    <x v="0"/>
    <n v="0"/>
    <n v="0"/>
    <x v="0"/>
    <x v="0"/>
    <m/>
    <x v="0"/>
    <x v="0"/>
    <x v="0"/>
    <x v="0"/>
    <x v="0"/>
    <n v="0"/>
    <n v="0"/>
    <n v="0"/>
    <n v="12"/>
    <x v="1"/>
    <x v="0"/>
    <m/>
    <x v="0"/>
    <n v="143.6"/>
    <x v="0"/>
    <x v="25"/>
    <x v="14"/>
    <x v="0"/>
    <x v="0"/>
  </r>
  <r>
    <x v="0"/>
    <x v="14"/>
    <s v="2863 F"/>
    <x v="234"/>
    <s v="Usman Amin"/>
    <s v="LDN"/>
    <n v="21"/>
    <s v="8-8.5"/>
    <s v="LDN"/>
    <n v="130"/>
    <x v="0"/>
    <n v="2"/>
    <n v="142.19999999999999"/>
    <n v="4.5999999999999996"/>
    <m/>
    <x v="0"/>
    <n v="137.6"/>
    <n v="137.6"/>
    <m/>
    <x v="0"/>
    <x v="0"/>
    <n v="0"/>
    <n v="0"/>
    <x v="0"/>
    <x v="0"/>
    <m/>
    <x v="0"/>
    <x v="0"/>
    <x v="0"/>
    <x v="0"/>
    <x v="0"/>
    <n v="0"/>
    <n v="0"/>
    <n v="0"/>
    <n v="12"/>
    <x v="1"/>
    <x v="0"/>
    <m/>
    <x v="0"/>
    <n v="147.19999999999999"/>
    <x v="0"/>
    <x v="25"/>
    <x v="14"/>
    <x v="0"/>
    <x v="0"/>
  </r>
  <r>
    <x v="0"/>
    <x v="14"/>
    <s v="2857 F"/>
    <x v="234"/>
    <s v="Usman Amin"/>
    <s v="LDN"/>
    <n v="19"/>
    <s v="6-6.5"/>
    <s v="LDN"/>
    <n v="225"/>
    <x v="0"/>
    <n v="4"/>
    <n v="227"/>
    <n v="9.1999999999999993"/>
    <n v="8"/>
    <x v="0"/>
    <n v="217.8"/>
    <n v="217.8"/>
    <m/>
    <x v="0"/>
    <x v="0"/>
    <n v="0"/>
    <n v="0"/>
    <x v="0"/>
    <x v="0"/>
    <m/>
    <x v="0"/>
    <x v="0"/>
    <x v="0"/>
    <x v="0"/>
    <x v="0"/>
    <n v="0"/>
    <n v="0"/>
    <n v="0"/>
    <n v="12"/>
    <x v="1"/>
    <x v="0"/>
    <m/>
    <x v="0"/>
    <n v="232"/>
    <x v="0"/>
    <x v="25"/>
    <x v="14"/>
    <x v="0"/>
    <x v="0"/>
  </r>
  <r>
    <x v="1"/>
    <x v="14"/>
    <s v="2877 F"/>
    <x v="234"/>
    <s v="Usman Amin"/>
    <s v="LDN"/>
    <n v="32"/>
    <s v="6-6.5"/>
    <s v="LDN"/>
    <n v="1500"/>
    <x v="0"/>
    <n v="11"/>
    <n v="841.41000000000008"/>
    <n v="44"/>
    <n v="12"/>
    <x v="0"/>
    <n v="797.41000000000008"/>
    <n v="1509.81"/>
    <m/>
    <x v="0"/>
    <x v="0"/>
    <n v="0"/>
    <n v="0"/>
    <x v="0"/>
    <x v="0"/>
    <m/>
    <x v="0"/>
    <x v="0"/>
    <x v="0"/>
    <x v="0"/>
    <x v="0"/>
    <n v="0"/>
    <n v="0"/>
    <n v="0"/>
    <n v="12"/>
    <x v="1"/>
    <x v="0"/>
    <m/>
    <x v="0"/>
    <n v="846.41000000000008"/>
    <x v="0"/>
    <x v="25"/>
    <x v="14"/>
    <x v="0"/>
    <x v="0"/>
  </r>
  <r>
    <x v="0"/>
    <x v="15"/>
    <s v="2855 F"/>
    <x v="234"/>
    <s v="Usman Amin"/>
    <s v="LDN"/>
    <n v="19"/>
    <s v="8.5-9"/>
    <s v="LDN"/>
    <n v="1000"/>
    <x v="0"/>
    <n v="5"/>
    <n v="327.32"/>
    <n v="14.399999999999999"/>
    <m/>
    <x v="0"/>
    <n v="312.92"/>
    <n v="914.62"/>
    <m/>
    <x v="0"/>
    <x v="0"/>
    <n v="0"/>
    <n v="0"/>
    <x v="0"/>
    <x v="0"/>
    <m/>
    <x v="0"/>
    <x v="0"/>
    <x v="0"/>
    <x v="0"/>
    <x v="0"/>
    <n v="0"/>
    <n v="0"/>
    <n v="0"/>
    <n v="12"/>
    <x v="1"/>
    <x v="0"/>
    <m/>
    <x v="0"/>
    <n v="332.32"/>
    <x v="0"/>
    <x v="25"/>
    <x v="14"/>
    <x v="0"/>
    <x v="0"/>
  </r>
  <r>
    <x v="0"/>
    <x v="15"/>
    <s v="7226 J"/>
    <x v="234"/>
    <s v="Al Habib Bakers Rawalpindi"/>
    <s v="LDN"/>
    <n v="16"/>
    <s v="6.5-7"/>
    <s v="LDN"/>
    <n v="150"/>
    <x v="0"/>
    <n v="2"/>
    <n v="120.6"/>
    <n v="3.6"/>
    <n v="5"/>
    <x v="0"/>
    <n v="117"/>
    <n v="367.25"/>
    <m/>
    <x v="0"/>
    <x v="0"/>
    <n v="0"/>
    <n v="0"/>
    <x v="0"/>
    <x v="0"/>
    <m/>
    <x v="0"/>
    <x v="0"/>
    <x v="0"/>
    <x v="0"/>
    <x v="0"/>
    <n v="0"/>
    <n v="0"/>
    <n v="0"/>
    <n v="12"/>
    <x v="1"/>
    <x v="0"/>
    <m/>
    <x v="0"/>
    <n v="125.6"/>
    <x v="0"/>
    <x v="25"/>
    <x v="14"/>
    <x v="0"/>
    <x v="0"/>
  </r>
  <r>
    <x v="1"/>
    <x v="15"/>
    <s v="7226 J"/>
    <x v="234"/>
    <s v="Al Habib Bakers Rawalpindi"/>
    <s v="LDN"/>
    <n v="16"/>
    <s v="6.5-7"/>
    <s v="LDN"/>
    <n v="150"/>
    <x v="0"/>
    <n v="2"/>
    <n v="90.45"/>
    <n v="3.5"/>
    <n v="5"/>
    <x v="0"/>
    <n v="86.95"/>
    <n v="367.25"/>
    <m/>
    <x v="0"/>
    <x v="0"/>
    <n v="0"/>
    <n v="0"/>
    <x v="0"/>
    <x v="0"/>
    <m/>
    <x v="0"/>
    <x v="0"/>
    <x v="0"/>
    <x v="0"/>
    <x v="0"/>
    <n v="0"/>
    <n v="0"/>
    <n v="0"/>
    <n v="12"/>
    <x v="1"/>
    <x v="0"/>
    <m/>
    <x v="0"/>
    <n v="95.45"/>
    <x v="0"/>
    <x v="25"/>
    <x v="14"/>
    <x v="0"/>
    <x v="0"/>
  </r>
  <r>
    <x v="1"/>
    <x v="15"/>
    <s v="2855 F"/>
    <x v="234"/>
    <s v="Usman Amin"/>
    <s v="LDN"/>
    <n v="19"/>
    <s v="8.5-9"/>
    <s v="LDN"/>
    <n v="1000"/>
    <x v="0"/>
    <n v="5"/>
    <n v="427.2"/>
    <n v="11.5"/>
    <m/>
    <x v="0"/>
    <n v="415.7"/>
    <n v="914.62"/>
    <m/>
    <x v="0"/>
    <x v="0"/>
    <n v="0"/>
    <n v="0"/>
    <x v="0"/>
    <x v="0"/>
    <m/>
    <x v="0"/>
    <x v="0"/>
    <x v="0"/>
    <x v="0"/>
    <x v="0"/>
    <n v="0"/>
    <n v="0"/>
    <n v="0"/>
    <n v="12"/>
    <x v="1"/>
    <x v="0"/>
    <m/>
    <x v="0"/>
    <n v="432.2"/>
    <x v="0"/>
    <x v="25"/>
    <x v="14"/>
    <x v="0"/>
    <x v="0"/>
  </r>
  <r>
    <x v="0"/>
    <x v="8"/>
    <s v="7242 J"/>
    <x v="235"/>
    <s v="Atlas Honda LTD (SKP)"/>
    <s v="LDN"/>
    <n v="8"/>
    <s v="8.5-9"/>
    <s v="LDN"/>
    <n v="481.95631528964856"/>
    <x v="0"/>
    <n v="3"/>
    <n v="131.30000000000001"/>
    <n v="3"/>
    <m/>
    <x v="0"/>
    <n v="128.30000000000001"/>
    <n v="527.12"/>
    <m/>
    <x v="0"/>
    <x v="0"/>
    <n v="0"/>
    <n v="0"/>
    <x v="0"/>
    <x v="0"/>
    <m/>
    <x v="0"/>
    <x v="0"/>
    <x v="0"/>
    <x v="0"/>
    <x v="0"/>
    <n v="0"/>
    <n v="0"/>
    <n v="0"/>
    <n v="12"/>
    <x v="1"/>
    <x v="0"/>
    <m/>
    <x v="0"/>
    <n v="136.30000000000001"/>
    <x v="0"/>
    <x v="25"/>
    <x v="0"/>
    <x v="0"/>
    <x v="0"/>
  </r>
  <r>
    <x v="0"/>
    <x v="8"/>
    <s v="7237 J"/>
    <x v="235"/>
    <s v="Atlas Honda LTD (Karachi)"/>
    <s v="LDN"/>
    <n v="9"/>
    <s v="9-9.5"/>
    <s v="LDN"/>
    <n v="642.36111111111109"/>
    <x v="0"/>
    <n v="1"/>
    <n v="56.9"/>
    <n v="1"/>
    <n v="3"/>
    <x v="0"/>
    <n v="55.9"/>
    <n v="908.69999999999993"/>
    <m/>
    <x v="0"/>
    <x v="0"/>
    <n v="0"/>
    <n v="0"/>
    <x v="0"/>
    <x v="0"/>
    <m/>
    <x v="0"/>
    <x v="0"/>
    <x v="0"/>
    <x v="0"/>
    <x v="0"/>
    <n v="0"/>
    <n v="0"/>
    <n v="0"/>
    <n v="12"/>
    <x v="1"/>
    <x v="0"/>
    <m/>
    <x v="0"/>
    <n v="61.9"/>
    <x v="0"/>
    <x v="25"/>
    <x v="0"/>
    <x v="0"/>
    <x v="0"/>
  </r>
  <r>
    <x v="1"/>
    <x v="8"/>
    <s v="7242 J"/>
    <x v="235"/>
    <s v="Atlas Honda LTD (SKP)"/>
    <s v="LDN"/>
    <n v="8"/>
    <s v="8.5-9"/>
    <s v="LDN"/>
    <n v="481.95631528964856"/>
    <x v="0"/>
    <n v="4"/>
    <n v="184.25"/>
    <n v="4.4000000000000004"/>
    <n v="2"/>
    <x v="0"/>
    <n v="179.85"/>
    <n v="527.12"/>
    <m/>
    <x v="0"/>
    <x v="0"/>
    <n v="0"/>
    <n v="0"/>
    <x v="0"/>
    <x v="0"/>
    <m/>
    <x v="0"/>
    <x v="0"/>
    <x v="0"/>
    <x v="0"/>
    <x v="0"/>
    <n v="0"/>
    <n v="0"/>
    <n v="0"/>
    <n v="12"/>
    <x v="1"/>
    <x v="0"/>
    <m/>
    <x v="0"/>
    <n v="189.25"/>
    <x v="0"/>
    <x v="25"/>
    <x v="0"/>
    <x v="0"/>
    <x v="0"/>
  </r>
  <r>
    <x v="0"/>
    <x v="11"/>
    <s v="7065 J"/>
    <x v="235"/>
    <s v="Waqas Wollan Mills Gujranwala"/>
    <s v="LD بلو"/>
    <n v="16"/>
    <s v="10-10.5"/>
    <s v="LDM"/>
    <n v="250"/>
    <x v="0"/>
    <n v="2"/>
    <n v="135.69999999999999"/>
    <n v="4.4000000000000004"/>
    <m/>
    <x v="0"/>
    <n v="131.29999999999998"/>
    <n v="289.64999999999998"/>
    <m/>
    <x v="0"/>
    <x v="0"/>
    <n v="0"/>
    <n v="0"/>
    <x v="0"/>
    <x v="0"/>
    <m/>
    <x v="0"/>
    <x v="0"/>
    <x v="0"/>
    <x v="0"/>
    <x v="0"/>
    <n v="0"/>
    <n v="0"/>
    <n v="0"/>
    <n v="12"/>
    <x v="1"/>
    <x v="0"/>
    <m/>
    <x v="0"/>
    <n v="140.69999999999999"/>
    <x v="0"/>
    <x v="25"/>
    <x v="0"/>
    <x v="0"/>
    <x v="0"/>
  </r>
  <r>
    <x v="0"/>
    <x v="11"/>
    <s v="7254 J"/>
    <x v="235"/>
    <s v="Mehboob Printers Gujranwala"/>
    <s v="LD پیلا"/>
    <n v="18"/>
    <s v="12.5-13"/>
    <s v="LDM"/>
    <n v="625"/>
    <x v="0"/>
    <n v="3"/>
    <n v="259.2"/>
    <n v="3"/>
    <m/>
    <x v="0"/>
    <n v="256.2"/>
    <n v="600.79999999999995"/>
    <m/>
    <x v="0"/>
    <x v="0"/>
    <n v="0"/>
    <n v="0"/>
    <x v="0"/>
    <x v="0"/>
    <m/>
    <x v="0"/>
    <x v="0"/>
    <x v="0"/>
    <x v="0"/>
    <x v="0"/>
    <n v="0"/>
    <n v="0"/>
    <n v="0"/>
    <n v="12"/>
    <x v="1"/>
    <x v="0"/>
    <m/>
    <x v="0"/>
    <n v="264.2"/>
    <x v="0"/>
    <x v="25"/>
    <x v="0"/>
    <x v="0"/>
    <x v="0"/>
  </r>
  <r>
    <x v="0"/>
    <x v="11"/>
    <s v="1150 J"/>
    <x v="235"/>
    <s v="-"/>
    <m/>
    <m/>
    <m/>
    <m/>
    <m/>
    <x v="0"/>
    <n v="1"/>
    <n v="89.9"/>
    <n v="2.2000000000000002"/>
    <n v="7"/>
    <x v="0"/>
    <n v="87.7"/>
    <n v="1647.44"/>
    <n v="3"/>
    <x v="0"/>
    <x v="0"/>
    <n v="3"/>
    <n v="0.05"/>
    <x v="0"/>
    <x v="0"/>
    <m/>
    <x v="0"/>
    <x v="0"/>
    <x v="0"/>
    <x v="0"/>
    <x v="0"/>
    <n v="0"/>
    <n v="0"/>
    <n v="0.05"/>
    <n v="11.95"/>
    <x v="1"/>
    <x v="0"/>
    <m/>
    <x v="0"/>
    <n v="94.9"/>
    <x v="0"/>
    <x v="25"/>
    <x v="0"/>
    <x v="0"/>
    <x v="0"/>
  </r>
  <r>
    <x v="1"/>
    <x v="11"/>
    <s v="7254 J"/>
    <x v="235"/>
    <s v="Mehboob Printers Gujranwala"/>
    <s v="LD پیلا"/>
    <n v="18"/>
    <s v="12.5-13"/>
    <s v="LDM"/>
    <n v="625"/>
    <x v="0"/>
    <n v="4"/>
    <n v="352.6"/>
    <n v="8"/>
    <m/>
    <x v="0"/>
    <n v="344.6"/>
    <n v="600.79999999999995"/>
    <n v="3"/>
    <x v="0"/>
    <x v="0"/>
    <n v="3"/>
    <n v="0.05"/>
    <x v="0"/>
    <x v="0"/>
    <m/>
    <x v="0"/>
    <x v="0"/>
    <x v="0"/>
    <x v="0"/>
    <x v="0"/>
    <n v="0"/>
    <n v="0"/>
    <n v="0.05"/>
    <n v="11.95"/>
    <x v="1"/>
    <x v="0"/>
    <m/>
    <x v="0"/>
    <n v="357.6"/>
    <x v="0"/>
    <x v="25"/>
    <x v="0"/>
    <x v="0"/>
    <x v="0"/>
  </r>
  <r>
    <x v="1"/>
    <x v="11"/>
    <s v="7166 J"/>
    <x v="235"/>
    <s v="Soban Cloth Nankana"/>
    <s v="LD پیلا"/>
    <s v="11+3+3"/>
    <s v="7.5-8/15-16"/>
    <s v="LDM"/>
    <n v="110"/>
    <x v="0"/>
    <n v="4"/>
    <n v="118.30000000000001"/>
    <n v="5.2"/>
    <n v="6"/>
    <x v="0"/>
    <n v="113.10000000000001"/>
    <n v="144.4"/>
    <n v="2"/>
    <x v="0"/>
    <x v="0"/>
    <n v="2"/>
    <n v="3.3333333333333333E-2"/>
    <x v="0"/>
    <x v="0"/>
    <m/>
    <x v="0"/>
    <x v="0"/>
    <x v="0"/>
    <x v="0"/>
    <x v="0"/>
    <n v="0"/>
    <n v="0"/>
    <n v="3.3333333333333333E-2"/>
    <n v="11.966666666666667"/>
    <x v="1"/>
    <x v="0"/>
    <m/>
    <x v="0"/>
    <n v="123.30000000000001"/>
    <x v="0"/>
    <x v="25"/>
    <x v="0"/>
    <x v="0"/>
    <x v="0"/>
  </r>
  <r>
    <x v="0"/>
    <x v="14"/>
    <s v="2877 F"/>
    <x v="235"/>
    <s v="Usman Amin"/>
    <s v="LDN"/>
    <n v="32"/>
    <s v="6-6.5"/>
    <s v="LDN"/>
    <n v="1500"/>
    <x v="0"/>
    <n v="9"/>
    <n v="741.39999999999986"/>
    <n v="29"/>
    <m/>
    <x v="0"/>
    <n v="712.39999999999986"/>
    <n v="1509.81"/>
    <n v="8"/>
    <x v="0"/>
    <x v="0"/>
    <n v="8"/>
    <n v="0.13333333333333333"/>
    <x v="0"/>
    <x v="0"/>
    <m/>
    <x v="7"/>
    <x v="0"/>
    <x v="0"/>
    <x v="0"/>
    <x v="0"/>
    <n v="20"/>
    <n v="0.33333333333333331"/>
    <n v="0.46666666666666667"/>
    <n v="11.533333333333333"/>
    <x v="1"/>
    <x v="0"/>
    <m/>
    <x v="0"/>
    <n v="746.39999999999986"/>
    <x v="0"/>
    <x v="25"/>
    <x v="0"/>
    <x v="0"/>
    <x v="0"/>
  </r>
  <r>
    <x v="0"/>
    <x v="14"/>
    <s v="2878 F"/>
    <x v="235"/>
    <s v="Usman Amin"/>
    <s v="LDN"/>
    <s v="30+5+5"/>
    <s v="7-7.5/14-15"/>
    <s v="LDN"/>
    <n v="250"/>
    <x v="0"/>
    <n v="2"/>
    <n v="111.30000000000001"/>
    <n v="4.8"/>
    <n v="28"/>
    <x v="0"/>
    <n v="106.50000000000001"/>
    <n v="259.55"/>
    <m/>
    <x v="0"/>
    <x v="0"/>
    <n v="0"/>
    <n v="0"/>
    <x v="0"/>
    <x v="0"/>
    <m/>
    <x v="0"/>
    <x v="0"/>
    <x v="0"/>
    <x v="0"/>
    <x v="0"/>
    <n v="0"/>
    <n v="0"/>
    <n v="0"/>
    <n v="12"/>
    <x v="1"/>
    <x v="0"/>
    <m/>
    <x v="0"/>
    <n v="116.30000000000001"/>
    <x v="0"/>
    <x v="25"/>
    <x v="0"/>
    <x v="0"/>
    <x v="0"/>
  </r>
  <r>
    <x v="1"/>
    <x v="14"/>
    <s v="2878 F"/>
    <x v="235"/>
    <s v="Usman Amin"/>
    <s v="LDN"/>
    <s v="30+5+5"/>
    <s v="7-7.5/14-15"/>
    <s v="LDN"/>
    <n v="250"/>
    <x v="0"/>
    <n v="3"/>
    <n v="164.15"/>
    <n v="11.100000000000001"/>
    <n v="9"/>
    <x v="0"/>
    <n v="153.05000000000001"/>
    <n v="259.55"/>
    <m/>
    <x v="0"/>
    <x v="0"/>
    <n v="0"/>
    <n v="0"/>
    <x v="0"/>
    <x v="0"/>
    <m/>
    <x v="0"/>
    <x v="0"/>
    <x v="0"/>
    <x v="0"/>
    <x v="0"/>
    <n v="0"/>
    <n v="0"/>
    <n v="0"/>
    <n v="12"/>
    <x v="1"/>
    <x v="0"/>
    <m/>
    <x v="0"/>
    <n v="169.15"/>
    <x v="0"/>
    <x v="25"/>
    <x v="0"/>
    <x v="0"/>
    <x v="0"/>
  </r>
  <r>
    <x v="1"/>
    <x v="14"/>
    <s v="2852/1"/>
    <x v="235"/>
    <s v="SITARA CHEMICAL "/>
    <s v="LDN"/>
    <s v="24-24.5"/>
    <s v="100±1"/>
    <s v="LDN"/>
    <n v="3000"/>
    <x v="0"/>
    <n v="5"/>
    <n v="556.05000000000007"/>
    <n v="13"/>
    <m/>
    <x v="0"/>
    <n v="543.05000000000007"/>
    <n v="3750.24"/>
    <n v="5"/>
    <x v="0"/>
    <x v="0"/>
    <n v="5"/>
    <n v="8.3333333333333329E-2"/>
    <x v="0"/>
    <x v="0"/>
    <m/>
    <x v="0"/>
    <x v="0"/>
    <x v="0"/>
    <x v="0"/>
    <x v="0"/>
    <n v="0"/>
    <n v="0"/>
    <n v="8.3333333333333329E-2"/>
    <n v="11.916666666666666"/>
    <x v="1"/>
    <x v="0"/>
    <m/>
    <x v="0"/>
    <n v="561.05000000000007"/>
    <x v="0"/>
    <x v="25"/>
    <x v="0"/>
    <x v="0"/>
    <x v="0"/>
  </r>
  <r>
    <x v="0"/>
    <x v="15"/>
    <s v="2865 F"/>
    <x v="235"/>
    <s v="Usman Amin"/>
    <s v="LDN"/>
    <n v="18"/>
    <s v="5-5.5"/>
    <s v="LDN"/>
    <n v="800"/>
    <x v="0"/>
    <n v="7"/>
    <n v="328.13"/>
    <n v="17.3"/>
    <m/>
    <x v="0"/>
    <n v="310.83"/>
    <n v="594.13"/>
    <m/>
    <x v="0"/>
    <x v="0"/>
    <n v="0"/>
    <n v="0"/>
    <x v="0"/>
    <x v="0"/>
    <m/>
    <x v="0"/>
    <x v="0"/>
    <x v="0"/>
    <x v="0"/>
    <x v="0"/>
    <n v="0"/>
    <n v="0"/>
    <n v="0"/>
    <n v="12"/>
    <x v="1"/>
    <x v="0"/>
    <m/>
    <x v="0"/>
    <n v="333.13"/>
    <x v="0"/>
    <x v="25"/>
    <x v="0"/>
    <x v="0"/>
    <x v="0"/>
  </r>
  <r>
    <x v="0"/>
    <x v="15"/>
    <m/>
    <x v="235"/>
    <s v="-"/>
    <m/>
    <m/>
    <m/>
    <m/>
    <m/>
    <x v="0"/>
    <n v="1"/>
    <n v="83.4"/>
    <n v="1.9"/>
    <n v="4"/>
    <x v="0"/>
    <n v="81.5"/>
    <n v="0"/>
    <n v="2"/>
    <x v="0"/>
    <x v="0"/>
    <n v="2"/>
    <n v="3.3333333333333333E-2"/>
    <x v="0"/>
    <x v="0"/>
    <m/>
    <x v="0"/>
    <x v="0"/>
    <x v="0"/>
    <x v="0"/>
    <x v="0"/>
    <n v="0"/>
    <n v="0"/>
    <n v="3.3333333333333333E-2"/>
    <n v="11.966666666666667"/>
    <x v="1"/>
    <x v="0"/>
    <m/>
    <x v="0"/>
    <n v="88.4"/>
    <x v="0"/>
    <x v="25"/>
    <x v="0"/>
    <x v="0"/>
    <x v="0"/>
  </r>
  <r>
    <x v="1"/>
    <x v="15"/>
    <s v="2865 F"/>
    <x v="235"/>
    <s v="Usman Amin"/>
    <s v="LDN"/>
    <n v="18"/>
    <s v="5-5.5"/>
    <s v="LDN"/>
    <n v="800"/>
    <x v="0"/>
    <n v="5"/>
    <n v="294.8"/>
    <n v="11.5"/>
    <n v="3"/>
    <x v="0"/>
    <n v="283.3"/>
    <n v="594.13"/>
    <n v="3"/>
    <x v="0"/>
    <x v="0"/>
    <n v="3"/>
    <n v="0.05"/>
    <x v="0"/>
    <x v="0"/>
    <m/>
    <x v="0"/>
    <x v="0"/>
    <x v="0"/>
    <x v="0"/>
    <x v="0"/>
    <n v="0"/>
    <n v="0"/>
    <n v="0.05"/>
    <n v="11.95"/>
    <x v="1"/>
    <x v="0"/>
    <m/>
    <x v="0"/>
    <n v="299.8"/>
    <x v="0"/>
    <x v="25"/>
    <x v="0"/>
    <x v="0"/>
    <x v="0"/>
  </r>
  <r>
    <x v="1"/>
    <x v="15"/>
    <s v="7226 J"/>
    <x v="235"/>
    <s v="Al Habib Bakers Rawalpindi"/>
    <s v="LDN"/>
    <n v="16"/>
    <s v="6.5-7"/>
    <s v="LDN"/>
    <n v="150"/>
    <x v="0"/>
    <n v="2"/>
    <n v="112.2"/>
    <n v="3.6"/>
    <m/>
    <x v="0"/>
    <n v="108.60000000000001"/>
    <n v="367.25"/>
    <m/>
    <x v="0"/>
    <x v="0"/>
    <n v="0"/>
    <n v="0"/>
    <x v="0"/>
    <x v="0"/>
    <m/>
    <x v="0"/>
    <x v="0"/>
    <x v="0"/>
    <x v="0"/>
    <x v="0"/>
    <n v="0"/>
    <n v="0"/>
    <n v="0"/>
    <n v="12"/>
    <x v="1"/>
    <x v="0"/>
    <m/>
    <x v="0"/>
    <n v="117.2"/>
    <x v="0"/>
    <x v="25"/>
    <x v="0"/>
    <x v="0"/>
    <x v="0"/>
  </r>
  <r>
    <x v="0"/>
    <x v="8"/>
    <s v="7242 J"/>
    <x v="236"/>
    <s v="Atlas Honda LTD (SKP)"/>
    <s v="LDN"/>
    <n v="8"/>
    <s v="8.5-9"/>
    <s v="LDN"/>
    <n v="481.95631528964856"/>
    <x v="0"/>
    <n v="2"/>
    <n v="76.349999999999994"/>
    <n v="2"/>
    <m/>
    <x v="0"/>
    <n v="74.349999999999994"/>
    <n v="527.12"/>
    <n v="1"/>
    <x v="0"/>
    <x v="0"/>
    <n v="1"/>
    <n v="1.6666666666666666E-2"/>
    <x v="0"/>
    <x v="0"/>
    <m/>
    <x v="0"/>
    <x v="0"/>
    <x v="0"/>
    <x v="0"/>
    <x v="0"/>
    <n v="0"/>
    <n v="0"/>
    <n v="1.6666666666666666E-2"/>
    <n v="11.983333333333333"/>
    <x v="1"/>
    <x v="0"/>
    <m/>
    <x v="0"/>
    <n v="81.349999999999994"/>
    <x v="0"/>
    <x v="25"/>
    <x v="0"/>
    <x v="0"/>
    <x v="0"/>
  </r>
  <r>
    <x v="0"/>
    <x v="8"/>
    <s v="7237 J"/>
    <x v="236"/>
    <s v="Atlas Honda LTD (Karachi)"/>
    <s v="LDN"/>
    <n v="9"/>
    <s v="9-9.5"/>
    <s v="LDN"/>
    <n v="642.36111111111109"/>
    <x v="0"/>
    <n v="2"/>
    <n v="109.2"/>
    <n v="2.2000000000000002"/>
    <m/>
    <x v="0"/>
    <n v="107"/>
    <n v="908.69999999999993"/>
    <m/>
    <x v="0"/>
    <x v="0"/>
    <n v="0"/>
    <n v="0"/>
    <x v="0"/>
    <x v="0"/>
    <m/>
    <x v="0"/>
    <x v="0"/>
    <x v="0"/>
    <x v="0"/>
    <x v="0"/>
    <n v="0"/>
    <n v="0"/>
    <n v="0"/>
    <n v="12"/>
    <x v="1"/>
    <x v="0"/>
    <m/>
    <x v="0"/>
    <n v="114.2"/>
    <x v="0"/>
    <x v="25"/>
    <x v="0"/>
    <x v="0"/>
    <x v="0"/>
  </r>
  <r>
    <x v="1"/>
    <x v="8"/>
    <s v="7237 J"/>
    <x v="236"/>
    <s v="Atlas Honda LTD (Karachi)"/>
    <s v="LDN"/>
    <n v="9"/>
    <s v="9-9.5"/>
    <s v="LDN"/>
    <n v="642.36111111111109"/>
    <x v="0"/>
    <n v="4"/>
    <n v="177.20000000000002"/>
    <n v="4.4000000000000004"/>
    <m/>
    <x v="0"/>
    <n v="172.8"/>
    <n v="908.69999999999993"/>
    <m/>
    <x v="0"/>
    <x v="0"/>
    <n v="0"/>
    <n v="0"/>
    <x v="0"/>
    <x v="0"/>
    <m/>
    <x v="0"/>
    <x v="0"/>
    <x v="0"/>
    <x v="0"/>
    <x v="0"/>
    <n v="0"/>
    <n v="0"/>
    <n v="0"/>
    <n v="12"/>
    <x v="1"/>
    <x v="0"/>
    <m/>
    <x v="0"/>
    <n v="182.20000000000002"/>
    <x v="0"/>
    <x v="25"/>
    <x v="0"/>
    <x v="0"/>
    <x v="0"/>
  </r>
  <r>
    <x v="0"/>
    <x v="9"/>
    <s v="7148 J"/>
    <x v="236"/>
    <s v="Milk Way Milk Lahore"/>
    <s v="LDM"/>
    <n v="7"/>
    <s v="15-16"/>
    <s v="LDM"/>
    <n v="100"/>
    <x v="0"/>
    <n v="3"/>
    <n v="101.6"/>
    <n v="2.4000000000000004"/>
    <n v="22"/>
    <x v="0"/>
    <n v="99.199999999999989"/>
    <n v="288.2"/>
    <m/>
    <x v="18"/>
    <x v="0"/>
    <n v="70"/>
    <n v="1.1666666666666667"/>
    <x v="0"/>
    <x v="0"/>
    <m/>
    <x v="0"/>
    <x v="0"/>
    <x v="0"/>
    <x v="0"/>
    <x v="0"/>
    <n v="0"/>
    <n v="0"/>
    <n v="1.1666666666666667"/>
    <n v="10.833333333333334"/>
    <x v="1"/>
    <x v="0"/>
    <m/>
    <x v="0"/>
    <n v="106.6"/>
    <x v="0"/>
    <x v="25"/>
    <x v="0"/>
    <x v="0"/>
    <x v="0"/>
  </r>
  <r>
    <x v="0"/>
    <x v="11"/>
    <s v="7165 J"/>
    <x v="236"/>
    <s v="Soban Cloth Nankana"/>
    <s v="LD پیلا"/>
    <s v="10+2.5+2.5"/>
    <s v="7.5-8/15-16"/>
    <s v="LDM"/>
    <n v="110"/>
    <x v="0"/>
    <n v="3"/>
    <n v="114.69999999999999"/>
    <n v="3.5999999999999996"/>
    <m/>
    <x v="0"/>
    <n v="111.1"/>
    <n v="111.1"/>
    <m/>
    <x v="0"/>
    <x v="0"/>
    <n v="0"/>
    <n v="0"/>
    <x v="0"/>
    <x v="0"/>
    <m/>
    <x v="0"/>
    <x v="0"/>
    <x v="0"/>
    <x v="0"/>
    <x v="0"/>
    <n v="0"/>
    <n v="0"/>
    <n v="0"/>
    <n v="12"/>
    <x v="1"/>
    <x v="0"/>
    <m/>
    <x v="0"/>
    <n v="119.69999999999999"/>
    <x v="0"/>
    <x v="25"/>
    <x v="0"/>
    <x v="0"/>
    <x v="0"/>
  </r>
  <r>
    <x v="0"/>
    <x v="11"/>
    <s v="7166 J"/>
    <x v="236"/>
    <s v="Soban Cloth Nankana"/>
    <s v="LD پیلا"/>
    <s v="11+3+3"/>
    <s v="7.5-8/15-16"/>
    <s v="LDM"/>
    <n v="110"/>
    <x v="0"/>
    <n v="1"/>
    <n v="32.4"/>
    <n v="1.1000000000000001"/>
    <m/>
    <x v="0"/>
    <n v="31.299999999999997"/>
    <n v="144.4"/>
    <n v="5"/>
    <x v="0"/>
    <x v="0"/>
    <n v="5"/>
    <n v="8.3333333333333329E-2"/>
    <x v="0"/>
    <x v="0"/>
    <m/>
    <x v="0"/>
    <x v="0"/>
    <x v="0"/>
    <x v="0"/>
    <x v="0"/>
    <n v="0"/>
    <n v="0"/>
    <n v="8.3333333333333329E-2"/>
    <n v="11.916666666666666"/>
    <x v="1"/>
    <x v="0"/>
    <m/>
    <x v="0"/>
    <n v="37.4"/>
    <x v="0"/>
    <x v="25"/>
    <x v="0"/>
    <x v="0"/>
    <x v="0"/>
  </r>
  <r>
    <x v="0"/>
    <x v="11"/>
    <s v="7129 J"/>
    <x v="236"/>
    <s v="Hadyat Khan Peshawar"/>
    <s v="LD ریڈ"/>
    <n v="9"/>
    <s v="15-16"/>
    <s v="LDM"/>
    <n v="100"/>
    <x v="0"/>
    <n v="2"/>
    <n v="104"/>
    <n v="1.2"/>
    <m/>
    <x v="0"/>
    <n v="102.8"/>
    <n v="102.8"/>
    <n v="5"/>
    <x v="0"/>
    <x v="0"/>
    <n v="5"/>
    <n v="8.3333333333333329E-2"/>
    <x v="0"/>
    <x v="0"/>
    <m/>
    <x v="0"/>
    <x v="0"/>
    <x v="0"/>
    <x v="0"/>
    <x v="0"/>
    <n v="0"/>
    <n v="0"/>
    <n v="8.3333333333333329E-2"/>
    <n v="11.916666666666666"/>
    <x v="1"/>
    <x v="0"/>
    <m/>
    <x v="0"/>
    <n v="109"/>
    <x v="0"/>
    <x v="25"/>
    <x v="0"/>
    <x v="0"/>
    <x v="0"/>
  </r>
  <r>
    <x v="0"/>
    <x v="11"/>
    <s v="1150 J"/>
    <x v="236"/>
    <s v="THANK YOU"/>
    <m/>
    <n v="18"/>
    <s v="12-13"/>
    <m/>
    <m/>
    <x v="0"/>
    <n v="2"/>
    <n v="177.5"/>
    <n v="3.6"/>
    <n v="9"/>
    <x v="0"/>
    <n v="173.9"/>
    <n v="1647.44"/>
    <n v="5"/>
    <x v="0"/>
    <x v="0"/>
    <n v="5"/>
    <n v="8.3333333333333329E-2"/>
    <x v="0"/>
    <x v="0"/>
    <m/>
    <x v="0"/>
    <x v="0"/>
    <x v="0"/>
    <x v="0"/>
    <x v="0"/>
    <n v="0"/>
    <n v="0"/>
    <n v="8.3333333333333329E-2"/>
    <n v="11.916666666666666"/>
    <x v="1"/>
    <x v="0"/>
    <m/>
    <x v="0"/>
    <n v="182.5"/>
    <x v="0"/>
    <x v="25"/>
    <x v="0"/>
    <x v="0"/>
    <x v="0"/>
  </r>
  <r>
    <x v="1"/>
    <x v="11"/>
    <s v="7246 J"/>
    <x v="236"/>
    <s v="Fancy Garments Kamoki"/>
    <s v="LD سی گرین"/>
    <n v="22"/>
    <s v="14-15"/>
    <s v="LDM"/>
    <n v="100"/>
    <x v="0"/>
    <n v="2"/>
    <n v="110"/>
    <n v="4.5999999999999996"/>
    <n v="18"/>
    <x v="0"/>
    <n v="105.4"/>
    <n v="105.4"/>
    <m/>
    <x v="0"/>
    <x v="0"/>
    <n v="0"/>
    <n v="0"/>
    <x v="0"/>
    <x v="0"/>
    <m/>
    <x v="0"/>
    <x v="0"/>
    <x v="0"/>
    <x v="0"/>
    <x v="0"/>
    <n v="0"/>
    <n v="0"/>
    <n v="0"/>
    <n v="12"/>
    <x v="1"/>
    <x v="0"/>
    <m/>
    <x v="0"/>
    <n v="115"/>
    <x v="0"/>
    <x v="25"/>
    <x v="0"/>
    <x v="0"/>
    <x v="0"/>
  </r>
  <r>
    <x v="1"/>
    <x v="11"/>
    <s v="1150 J"/>
    <x v="236"/>
    <s v="THANK YOU"/>
    <m/>
    <n v="20"/>
    <s v="12-13"/>
    <m/>
    <m/>
    <x v="0"/>
    <n v="2"/>
    <n v="180.10000000000002"/>
    <n v="4"/>
    <m/>
    <x v="0"/>
    <n v="176.10000000000002"/>
    <n v="1647.44"/>
    <n v="5"/>
    <x v="0"/>
    <x v="0"/>
    <n v="5"/>
    <n v="8.3333333333333329E-2"/>
    <x v="0"/>
    <x v="0"/>
    <m/>
    <x v="0"/>
    <x v="0"/>
    <x v="0"/>
    <x v="0"/>
    <x v="0"/>
    <n v="0"/>
    <n v="0"/>
    <n v="8.3333333333333329E-2"/>
    <n v="11.916666666666666"/>
    <x v="1"/>
    <x v="0"/>
    <m/>
    <x v="0"/>
    <n v="185.10000000000002"/>
    <x v="0"/>
    <x v="25"/>
    <x v="0"/>
    <x v="0"/>
    <x v="0"/>
  </r>
  <r>
    <x v="1"/>
    <x v="11"/>
    <s v="7249 J"/>
    <x v="236"/>
    <s v="Irfan Sab Azam Market Lahore "/>
    <s v="LDM"/>
    <n v="19.5"/>
    <s v="14-15"/>
    <s v="LDM"/>
    <n v="100"/>
    <x v="0"/>
    <n v="2"/>
    <n v="105.1"/>
    <n v="4.5"/>
    <m/>
    <x v="0"/>
    <n v="100.6"/>
    <n v="100.6"/>
    <n v="5"/>
    <x v="0"/>
    <x v="0"/>
    <n v="5"/>
    <n v="8.3333333333333329E-2"/>
    <x v="0"/>
    <x v="0"/>
    <m/>
    <x v="0"/>
    <x v="0"/>
    <x v="0"/>
    <x v="0"/>
    <x v="0"/>
    <n v="0"/>
    <n v="0"/>
    <n v="8.3333333333333329E-2"/>
    <n v="11.916666666666666"/>
    <x v="1"/>
    <x v="0"/>
    <m/>
    <x v="0"/>
    <n v="110.1"/>
    <x v="0"/>
    <x v="25"/>
    <x v="0"/>
    <x v="0"/>
    <x v="0"/>
  </r>
  <r>
    <x v="1"/>
    <x v="11"/>
    <s v="2870 J"/>
    <x v="236"/>
    <s v="ایمان کیمیکل لاہور"/>
    <s v="LDN"/>
    <s v="535 MM"/>
    <s v="15-16/30-32"/>
    <s v="LDN"/>
    <n v="100"/>
    <x v="0"/>
    <n v="1"/>
    <n v="44.7"/>
    <n v="1.4"/>
    <m/>
    <x v="0"/>
    <n v="43.300000000000004"/>
    <n v="147"/>
    <n v="5"/>
    <x v="0"/>
    <x v="0"/>
    <n v="5"/>
    <n v="8.3333333333333329E-2"/>
    <x v="0"/>
    <x v="0"/>
    <m/>
    <x v="0"/>
    <x v="0"/>
    <x v="0"/>
    <x v="0"/>
    <x v="0"/>
    <n v="0"/>
    <n v="0"/>
    <n v="8.3333333333333329E-2"/>
    <n v="11.916666666666666"/>
    <x v="1"/>
    <x v="0"/>
    <m/>
    <x v="0"/>
    <n v="49.7"/>
    <x v="0"/>
    <x v="25"/>
    <x v="0"/>
    <x v="0"/>
    <x v="0"/>
  </r>
  <r>
    <x v="0"/>
    <x v="14"/>
    <s v="2852/1"/>
    <x v="236"/>
    <s v="SITARA CHEMICAL "/>
    <s v="LDN"/>
    <s v="24-24.5"/>
    <s v="100±1"/>
    <s v="LDN"/>
    <n v="3000"/>
    <x v="0"/>
    <n v="6"/>
    <n v="738.80000000000007"/>
    <n v="17.600000000000001"/>
    <n v="7"/>
    <x v="0"/>
    <n v="721.2"/>
    <n v="3750.24"/>
    <m/>
    <x v="0"/>
    <x v="0"/>
    <n v="0"/>
    <n v="0"/>
    <x v="0"/>
    <x v="0"/>
    <m/>
    <x v="0"/>
    <x v="0"/>
    <x v="0"/>
    <x v="0"/>
    <x v="0"/>
    <n v="0"/>
    <n v="0"/>
    <n v="0"/>
    <n v="12"/>
    <x v="1"/>
    <x v="0"/>
    <m/>
    <x v="0"/>
    <n v="743.80000000000007"/>
    <x v="0"/>
    <x v="25"/>
    <x v="0"/>
    <x v="0"/>
    <x v="0"/>
  </r>
  <r>
    <x v="1"/>
    <x v="14"/>
    <s v="2852/1"/>
    <x v="236"/>
    <s v="SITARA CHEMICAL "/>
    <s v="LDN"/>
    <s v="24-24.5"/>
    <s v="100±1"/>
    <s v="LDN"/>
    <n v="3000"/>
    <x v="0"/>
    <n v="6"/>
    <n v="713.6"/>
    <n v="18"/>
    <m/>
    <x v="0"/>
    <n v="695.6"/>
    <n v="3750.24"/>
    <m/>
    <x v="0"/>
    <x v="0"/>
    <n v="0"/>
    <n v="0"/>
    <x v="0"/>
    <x v="0"/>
    <m/>
    <x v="0"/>
    <x v="0"/>
    <x v="0"/>
    <x v="0"/>
    <x v="0"/>
    <n v="0"/>
    <n v="0"/>
    <n v="0"/>
    <n v="12"/>
    <x v="1"/>
    <x v="0"/>
    <m/>
    <x v="0"/>
    <n v="718.6"/>
    <x v="0"/>
    <x v="25"/>
    <x v="0"/>
    <x v="0"/>
    <x v="0"/>
  </r>
  <r>
    <x v="0"/>
    <x v="15"/>
    <s v="7226 J"/>
    <x v="236"/>
    <s v="Al Habib Bakers Rawalpindi"/>
    <s v="LDN"/>
    <n v="16"/>
    <s v="6.5-7"/>
    <s v="LDN"/>
    <n v="150"/>
    <x v="0"/>
    <n v="1"/>
    <n v="56.5"/>
    <n v="1.8"/>
    <m/>
    <x v="0"/>
    <n v="54.7"/>
    <n v="367.25"/>
    <n v="3"/>
    <x v="0"/>
    <x v="0"/>
    <n v="3"/>
    <n v="0.05"/>
    <x v="0"/>
    <x v="0"/>
    <m/>
    <x v="0"/>
    <x v="0"/>
    <x v="0"/>
    <x v="0"/>
    <x v="0"/>
    <n v="0"/>
    <n v="0"/>
    <n v="0.05"/>
    <n v="11.95"/>
    <x v="1"/>
    <x v="0"/>
    <m/>
    <x v="0"/>
    <n v="61.5"/>
    <x v="0"/>
    <x v="25"/>
    <x v="0"/>
    <x v="0"/>
    <x v="0"/>
  </r>
  <r>
    <x v="0"/>
    <x v="15"/>
    <s v="2871 F"/>
    <x v="236"/>
    <s v="Usman Amin"/>
    <s v="LDN"/>
    <n v="15"/>
    <s v="12"/>
    <s v="LDN"/>
    <n v="100"/>
    <x v="0"/>
    <n v="2"/>
    <n v="112.15"/>
    <n v="3.6"/>
    <m/>
    <x v="0"/>
    <n v="108.55000000000001"/>
    <n v="108.55000000000001"/>
    <n v="2"/>
    <x v="0"/>
    <x v="0"/>
    <n v="2"/>
    <n v="3.3333333333333333E-2"/>
    <x v="0"/>
    <x v="0"/>
    <m/>
    <x v="0"/>
    <x v="0"/>
    <x v="0"/>
    <x v="0"/>
    <x v="0"/>
    <n v="0"/>
    <n v="0"/>
    <n v="3.3333333333333333E-2"/>
    <n v="11.966666666666667"/>
    <x v="1"/>
    <x v="0"/>
    <m/>
    <x v="0"/>
    <n v="117.15"/>
    <x v="0"/>
    <x v="25"/>
    <x v="0"/>
    <x v="0"/>
    <x v="0"/>
  </r>
  <r>
    <x v="0"/>
    <x v="15"/>
    <s v="2859 F"/>
    <x v="236"/>
    <s v="Usman Amin"/>
    <s v="LDN"/>
    <n v="17"/>
    <s v="12"/>
    <s v="LDN"/>
    <n v="1000"/>
    <x v="0"/>
    <n v="2"/>
    <n v="145.5"/>
    <n v="4.2"/>
    <m/>
    <x v="0"/>
    <n v="141.30000000000001"/>
    <n v="846.8"/>
    <n v="3"/>
    <x v="0"/>
    <x v="0"/>
    <n v="3"/>
    <n v="0.05"/>
    <x v="0"/>
    <x v="0"/>
    <m/>
    <x v="0"/>
    <x v="0"/>
    <x v="0"/>
    <x v="0"/>
    <x v="0"/>
    <n v="0"/>
    <n v="0"/>
    <n v="0.05"/>
    <n v="11.95"/>
    <x v="1"/>
    <x v="0"/>
    <m/>
    <x v="0"/>
    <n v="150.5"/>
    <x v="0"/>
    <x v="25"/>
    <x v="0"/>
    <x v="0"/>
    <x v="0"/>
  </r>
  <r>
    <x v="0"/>
    <x v="15"/>
    <s v="7117 J"/>
    <x v="236"/>
    <s v="Super Shangai Dry Cleaners Nankana"/>
    <s v="LDN"/>
    <n v="24"/>
    <s v="4.5-5"/>
    <s v="LDN"/>
    <n v="100"/>
    <x v="0"/>
    <n v="2"/>
    <n v="105.2"/>
    <n v="4.8"/>
    <n v="6"/>
    <x v="0"/>
    <n v="100.4"/>
    <n v="100.4"/>
    <m/>
    <x v="0"/>
    <x v="0"/>
    <n v="0"/>
    <n v="0"/>
    <x v="0"/>
    <x v="0"/>
    <m/>
    <x v="0"/>
    <x v="0"/>
    <x v="0"/>
    <x v="0"/>
    <x v="0"/>
    <n v="0"/>
    <n v="0"/>
    <n v="0"/>
    <n v="12"/>
    <x v="1"/>
    <x v="0"/>
    <m/>
    <x v="0"/>
    <n v="110.2"/>
    <x v="0"/>
    <x v="25"/>
    <x v="0"/>
    <x v="0"/>
    <x v="0"/>
  </r>
  <r>
    <x v="1"/>
    <x v="15"/>
    <s v="7116 J"/>
    <x v="236"/>
    <s v="Super Shangai Dry Cleaners Nankana"/>
    <s v="LDN"/>
    <n v="13"/>
    <s v="4.5-5"/>
    <s v="LDN"/>
    <n v="150"/>
    <x v="0"/>
    <n v="4"/>
    <n v="151.85000000000002"/>
    <n v="6.1"/>
    <n v="4"/>
    <x v="0"/>
    <n v="145.75000000000003"/>
    <n v="145.75000000000003"/>
    <n v="2"/>
    <x v="0"/>
    <x v="0"/>
    <n v="2"/>
    <n v="3.3333333333333333E-2"/>
    <x v="0"/>
    <x v="0"/>
    <m/>
    <x v="0"/>
    <x v="0"/>
    <x v="0"/>
    <x v="0"/>
    <x v="0"/>
    <n v="0"/>
    <n v="0"/>
    <n v="3.3333333333333333E-2"/>
    <n v="11.966666666666667"/>
    <x v="1"/>
    <x v="0"/>
    <m/>
    <x v="0"/>
    <n v="156.85000000000002"/>
    <x v="0"/>
    <x v="25"/>
    <x v="0"/>
    <x v="0"/>
    <x v="0"/>
  </r>
  <r>
    <x v="1"/>
    <x v="15"/>
    <s v="2888 F"/>
    <x v="236"/>
    <s v="Usman Amin"/>
    <s v="LDN"/>
    <n v="16"/>
    <s v="5-5.5"/>
    <s v="LDN"/>
    <n v="110"/>
    <x v="0"/>
    <n v="3"/>
    <n v="186.7"/>
    <n v="5.8"/>
    <m/>
    <x v="0"/>
    <n v="180.89999999999998"/>
    <n v="548.75"/>
    <m/>
    <x v="0"/>
    <x v="0"/>
    <n v="0"/>
    <n v="0"/>
    <x v="0"/>
    <x v="0"/>
    <m/>
    <x v="0"/>
    <x v="0"/>
    <x v="0"/>
    <x v="0"/>
    <x v="0"/>
    <n v="0"/>
    <n v="0"/>
    <n v="0"/>
    <n v="12"/>
    <x v="1"/>
    <x v="0"/>
    <m/>
    <x v="0"/>
    <n v="191.7"/>
    <x v="0"/>
    <x v="25"/>
    <x v="0"/>
    <x v="0"/>
    <x v="0"/>
  </r>
  <r>
    <x v="0"/>
    <x v="8"/>
    <s v="7237 J"/>
    <x v="237"/>
    <s v="Atlas Honda LTD (Karachi)"/>
    <s v="LDN"/>
    <n v="9"/>
    <s v="9-9.5"/>
    <s v="LDN"/>
    <n v="642.36111111111109"/>
    <x v="0"/>
    <n v="3"/>
    <n v="165"/>
    <n v="3.5"/>
    <n v="1.5"/>
    <x v="0"/>
    <n v="161.5"/>
    <n v="908.69999999999993"/>
    <m/>
    <x v="0"/>
    <x v="0"/>
    <n v="0"/>
    <n v="0"/>
    <x v="0"/>
    <x v="0"/>
    <m/>
    <x v="0"/>
    <x v="0"/>
    <x v="0"/>
    <x v="0"/>
    <x v="0"/>
    <n v="0"/>
    <n v="0"/>
    <n v="0"/>
    <n v="12"/>
    <x v="1"/>
    <x v="0"/>
    <m/>
    <x v="0"/>
    <n v="170"/>
    <x v="0"/>
    <x v="25"/>
    <x v="0"/>
    <x v="0"/>
    <x v="0"/>
  </r>
  <r>
    <x v="1"/>
    <x v="8"/>
    <s v="7237 J"/>
    <x v="237"/>
    <s v="Atlas Honda LTD (Karachi)"/>
    <s v="LDN"/>
    <n v="9"/>
    <s v="9-9.5"/>
    <s v="LDN"/>
    <n v="642.36111111111109"/>
    <x v="0"/>
    <n v="3"/>
    <n v="158.9"/>
    <n v="3.1"/>
    <m/>
    <x v="0"/>
    <n v="155.80000000000001"/>
    <n v="908.69999999999993"/>
    <m/>
    <x v="0"/>
    <x v="0"/>
    <n v="0"/>
    <n v="0"/>
    <x v="0"/>
    <x v="0"/>
    <m/>
    <x v="0"/>
    <x v="0"/>
    <x v="0"/>
    <x v="0"/>
    <x v="0"/>
    <n v="0"/>
    <n v="0"/>
    <n v="0"/>
    <n v="12"/>
    <x v="1"/>
    <x v="0"/>
    <m/>
    <x v="0"/>
    <n v="163.9"/>
    <x v="0"/>
    <x v="25"/>
    <x v="0"/>
    <x v="0"/>
    <x v="0"/>
  </r>
  <r>
    <x v="0"/>
    <x v="9"/>
    <s v="7281 J"/>
    <x v="237"/>
    <s v="Kashmir Plastic Store Azad Kashmir"/>
    <s v="LDN"/>
    <n v="7"/>
    <s v="12-13."/>
    <s v="LDN"/>
    <n v="100"/>
    <x v="0"/>
    <n v="3"/>
    <n v="162.80000000000001"/>
    <n v="2.7"/>
    <n v="1.5"/>
    <x v="0"/>
    <n v="160.10000000000002"/>
    <n v="160.10000000000002"/>
    <m/>
    <x v="0"/>
    <x v="0"/>
    <n v="0"/>
    <n v="0"/>
    <x v="0"/>
    <x v="0"/>
    <m/>
    <x v="0"/>
    <x v="0"/>
    <x v="0"/>
    <x v="0"/>
    <x v="0"/>
    <n v="0"/>
    <n v="0"/>
    <n v="0"/>
    <n v="12"/>
    <x v="1"/>
    <x v="0"/>
    <m/>
    <x v="0"/>
    <n v="167.8"/>
    <x v="0"/>
    <x v="25"/>
    <x v="0"/>
    <x v="0"/>
    <x v="0"/>
  </r>
  <r>
    <x v="1"/>
    <x v="9"/>
    <s v="7282 J"/>
    <x v="237"/>
    <s v="Kashmir Plastic Store Azad Kashmir"/>
    <s v="LDN"/>
    <n v="7"/>
    <s v="12-13."/>
    <s v="LDN"/>
    <n v="150"/>
    <x v="0"/>
    <n v="3"/>
    <n v="155"/>
    <n v="2.6"/>
    <m/>
    <x v="0"/>
    <n v="152.4"/>
    <n v="152.4"/>
    <m/>
    <x v="0"/>
    <x v="0"/>
    <n v="0"/>
    <n v="0"/>
    <x v="0"/>
    <x v="0"/>
    <m/>
    <x v="0"/>
    <x v="0"/>
    <x v="0"/>
    <x v="0"/>
    <x v="0"/>
    <n v="0"/>
    <n v="0"/>
    <n v="0"/>
    <n v="12"/>
    <x v="1"/>
    <x v="0"/>
    <m/>
    <x v="0"/>
    <n v="160"/>
    <x v="0"/>
    <x v="25"/>
    <x v="0"/>
    <x v="0"/>
    <x v="0"/>
  </r>
  <r>
    <x v="1"/>
    <x v="9"/>
    <s v="7288 J"/>
    <x v="237"/>
    <s v="Al Buraq Deparmental Store Lahore"/>
    <s v="LDN"/>
    <n v="7"/>
    <s v="14-15"/>
    <s v="LDN"/>
    <n v="150"/>
    <x v="0"/>
    <n v="1"/>
    <n v="27.9"/>
    <n v="0.8"/>
    <m/>
    <x v="0"/>
    <n v="27.099999999999998"/>
    <n v="63.099999999999994"/>
    <m/>
    <x v="0"/>
    <x v="0"/>
    <n v="0"/>
    <n v="0"/>
    <x v="0"/>
    <x v="0"/>
    <m/>
    <x v="0"/>
    <x v="0"/>
    <x v="0"/>
    <x v="0"/>
    <x v="0"/>
    <n v="0"/>
    <n v="0"/>
    <n v="0"/>
    <n v="12"/>
    <x v="1"/>
    <x v="0"/>
    <m/>
    <x v="0"/>
    <n v="32.9"/>
    <x v="0"/>
    <x v="25"/>
    <x v="0"/>
    <x v="0"/>
    <x v="0"/>
  </r>
  <r>
    <x v="0"/>
    <x v="11"/>
    <s v="2870 F"/>
    <x v="237"/>
    <s v="Usman Amin"/>
    <s v="LDM"/>
    <n v="12"/>
    <s v="18"/>
    <s v="LDM"/>
    <n v="350"/>
    <x v="0"/>
    <n v="5"/>
    <n v="324.3"/>
    <n v="6"/>
    <n v="9"/>
    <x v="0"/>
    <n v="318.3"/>
    <n v="318.3"/>
    <n v="5"/>
    <x v="0"/>
    <x v="0"/>
    <n v="5"/>
    <n v="8.3333333333333329E-2"/>
    <x v="0"/>
    <x v="0"/>
    <m/>
    <x v="0"/>
    <x v="0"/>
    <x v="0"/>
    <x v="0"/>
    <x v="0"/>
    <n v="0"/>
    <n v="0"/>
    <n v="8.3333333333333329E-2"/>
    <n v="11.916666666666666"/>
    <x v="1"/>
    <x v="0"/>
    <m/>
    <x v="0"/>
    <n v="329.3"/>
    <x v="0"/>
    <x v="25"/>
    <x v="0"/>
    <x v="0"/>
    <x v="0"/>
  </r>
  <r>
    <x v="1"/>
    <x v="11"/>
    <s v="7367 J"/>
    <x v="237"/>
    <s v="Nawab Jilani Plastic Layyah"/>
    <s v="LDN"/>
    <n v="20"/>
    <s v="14-15"/>
    <s v="LDN"/>
    <n v="150"/>
    <x v="0"/>
    <n v="3"/>
    <n v="165"/>
    <n v="7"/>
    <n v="6"/>
    <x v="0"/>
    <n v="158"/>
    <n v="158"/>
    <m/>
    <x v="0"/>
    <x v="0"/>
    <n v="0"/>
    <n v="0"/>
    <x v="0"/>
    <x v="0"/>
    <m/>
    <x v="0"/>
    <x v="0"/>
    <x v="0"/>
    <x v="0"/>
    <x v="0"/>
    <n v="0"/>
    <n v="0"/>
    <n v="0"/>
    <n v="12"/>
    <x v="1"/>
    <x v="0"/>
    <m/>
    <x v="0"/>
    <n v="170"/>
    <x v="0"/>
    <x v="25"/>
    <x v="0"/>
    <x v="0"/>
    <x v="0"/>
  </r>
  <r>
    <x v="1"/>
    <x v="11"/>
    <s v="7366 J"/>
    <x v="237"/>
    <s v="Nawab Jilani Plastic Layyah"/>
    <s v="LDM"/>
    <n v="20"/>
    <s v="15-16"/>
    <s v="LDM"/>
    <n v="100"/>
    <x v="0"/>
    <n v="2"/>
    <n v="107.5"/>
    <n v="4.6999999999999993"/>
    <m/>
    <x v="0"/>
    <n v="102.8"/>
    <n v="102.8"/>
    <m/>
    <x v="0"/>
    <x v="0"/>
    <n v="0"/>
    <n v="0"/>
    <x v="0"/>
    <x v="0"/>
    <m/>
    <x v="0"/>
    <x v="0"/>
    <x v="0"/>
    <x v="0"/>
    <x v="0"/>
    <n v="0"/>
    <n v="0"/>
    <n v="0"/>
    <n v="12"/>
    <x v="1"/>
    <x v="0"/>
    <m/>
    <x v="0"/>
    <n v="112.5"/>
    <x v="0"/>
    <x v="25"/>
    <x v="0"/>
    <x v="0"/>
    <x v="0"/>
  </r>
  <r>
    <x v="1"/>
    <x v="11"/>
    <s v="7368 J"/>
    <x v="237"/>
    <s v="Nawab Jilani Plastic Layyah"/>
    <s v="LDM"/>
    <n v="20"/>
    <s v="15-16"/>
    <s v="LDM"/>
    <n v="150"/>
    <x v="0"/>
    <n v="2"/>
    <n v="141"/>
    <n v="4"/>
    <m/>
    <x v="0"/>
    <n v="137"/>
    <n v="137"/>
    <m/>
    <x v="0"/>
    <x v="0"/>
    <n v="0"/>
    <n v="0"/>
    <x v="0"/>
    <x v="0"/>
    <m/>
    <x v="0"/>
    <x v="0"/>
    <x v="0"/>
    <x v="0"/>
    <x v="0"/>
    <n v="0"/>
    <n v="0"/>
    <n v="0"/>
    <n v="12"/>
    <x v="1"/>
    <x v="0"/>
    <m/>
    <x v="0"/>
    <n v="146"/>
    <x v="0"/>
    <x v="25"/>
    <x v="0"/>
    <x v="0"/>
    <x v="0"/>
  </r>
  <r>
    <x v="0"/>
    <x v="14"/>
    <s v="2852/1"/>
    <x v="237"/>
    <s v="SITARA CHEMICAL "/>
    <s v="LDN"/>
    <s v="24-24.5"/>
    <s v="100±1"/>
    <s v="LDN"/>
    <n v="3000"/>
    <x v="0"/>
    <n v="2"/>
    <n v="276.39999999999998"/>
    <n v="5"/>
    <m/>
    <x v="0"/>
    <n v="271.39999999999998"/>
    <n v="3750.24"/>
    <m/>
    <x v="0"/>
    <x v="0"/>
    <n v="0"/>
    <n v="0"/>
    <x v="0"/>
    <x v="0"/>
    <m/>
    <x v="0"/>
    <x v="0"/>
    <x v="0"/>
    <x v="0"/>
    <x v="0"/>
    <n v="0"/>
    <n v="0"/>
    <n v="0"/>
    <n v="12"/>
    <x v="1"/>
    <x v="0"/>
    <m/>
    <x v="0"/>
    <n v="281.39999999999998"/>
    <x v="0"/>
    <x v="25"/>
    <x v="0"/>
    <x v="0"/>
    <x v="0"/>
  </r>
  <r>
    <x v="0"/>
    <x v="14"/>
    <s v="2854/1"/>
    <x v="237"/>
    <s v="SITARA CHEMICAL "/>
    <s v="LDN"/>
    <s v="24-24.5"/>
    <s v="100±1"/>
    <s v="LDN"/>
    <n v="3000"/>
    <x v="0"/>
    <n v="3"/>
    <n v="421"/>
    <n v="8"/>
    <n v="8"/>
    <x v="0"/>
    <n v="413"/>
    <n v="1624.3"/>
    <m/>
    <x v="0"/>
    <x v="0"/>
    <n v="0"/>
    <n v="0"/>
    <x v="0"/>
    <x v="1"/>
    <m/>
    <x v="0"/>
    <x v="0"/>
    <x v="0"/>
    <x v="0"/>
    <x v="0"/>
    <n v="10"/>
    <n v="0.16666666666666666"/>
    <n v="0.16666666666666666"/>
    <n v="11.833333333333334"/>
    <x v="1"/>
    <x v="0"/>
    <m/>
    <x v="0"/>
    <n v="426"/>
    <x v="0"/>
    <x v="25"/>
    <x v="0"/>
    <x v="0"/>
    <x v="0"/>
  </r>
  <r>
    <x v="1"/>
    <x v="14"/>
    <s v="2854/1"/>
    <x v="237"/>
    <s v="SITARA CHEMICAL "/>
    <s v="LDN"/>
    <s v="24-24.5"/>
    <s v="100±1"/>
    <s v="LDN"/>
    <n v="3000"/>
    <x v="0"/>
    <n v="6"/>
    <n v="687.3"/>
    <n v="12"/>
    <n v="6"/>
    <x v="0"/>
    <n v="675.3"/>
    <n v="1624.3"/>
    <m/>
    <x v="0"/>
    <x v="0"/>
    <n v="0"/>
    <n v="0"/>
    <x v="0"/>
    <x v="0"/>
    <m/>
    <x v="0"/>
    <x v="0"/>
    <x v="0"/>
    <x v="0"/>
    <x v="0"/>
    <n v="0"/>
    <n v="0"/>
    <n v="0"/>
    <n v="12"/>
    <x v="1"/>
    <x v="0"/>
    <m/>
    <x v="0"/>
    <n v="692.3"/>
    <x v="0"/>
    <x v="25"/>
    <x v="0"/>
    <x v="0"/>
    <x v="0"/>
  </r>
  <r>
    <x v="0"/>
    <x v="15"/>
    <s v="2888 F"/>
    <x v="237"/>
    <s v="Usman Amin"/>
    <s v="LDN"/>
    <n v="16"/>
    <s v="5-5.5"/>
    <s v="LDN"/>
    <n v="110"/>
    <x v="0"/>
    <n v="8"/>
    <n v="298.45"/>
    <n v="12.5"/>
    <n v="2"/>
    <x v="0"/>
    <n v="285.95"/>
    <n v="548.75"/>
    <m/>
    <x v="0"/>
    <x v="0"/>
    <n v="0"/>
    <n v="0"/>
    <x v="0"/>
    <x v="0"/>
    <m/>
    <x v="0"/>
    <x v="0"/>
    <x v="0"/>
    <x v="0"/>
    <x v="0"/>
    <n v="0"/>
    <n v="0"/>
    <n v="0"/>
    <n v="12"/>
    <x v="1"/>
    <x v="0"/>
    <m/>
    <x v="0"/>
    <n v="303.45"/>
    <x v="0"/>
    <x v="25"/>
    <x v="0"/>
    <x v="0"/>
    <x v="0"/>
  </r>
  <r>
    <x v="1"/>
    <x v="15"/>
    <s v="2888 F"/>
    <x v="237"/>
    <s v="Usman Amin"/>
    <s v="LDN"/>
    <n v="16"/>
    <s v="5-5.5"/>
    <s v="LDN"/>
    <n v="110"/>
    <x v="0"/>
    <n v="2"/>
    <n v="85.5"/>
    <n v="3.6"/>
    <n v="4"/>
    <x v="0"/>
    <n v="81.900000000000006"/>
    <n v="548.75"/>
    <m/>
    <x v="0"/>
    <x v="0"/>
    <n v="0"/>
    <n v="0"/>
    <x v="0"/>
    <x v="0"/>
    <m/>
    <x v="0"/>
    <x v="0"/>
    <x v="0"/>
    <x v="0"/>
    <x v="0"/>
    <n v="0"/>
    <n v="0"/>
    <n v="0"/>
    <n v="12"/>
    <x v="1"/>
    <x v="0"/>
    <m/>
    <x v="0"/>
    <n v="90.5"/>
    <x v="0"/>
    <x v="25"/>
    <x v="0"/>
    <x v="0"/>
    <x v="0"/>
  </r>
  <r>
    <x v="1"/>
    <x v="15"/>
    <s v="2906 F"/>
    <x v="237"/>
    <s v="Usman Amin"/>
    <s v="LDN"/>
    <n v="16"/>
    <s v="8"/>
    <s v="LDN"/>
    <n v="100"/>
    <x v="0"/>
    <n v="2"/>
    <n v="128.5"/>
    <n v="3.6"/>
    <m/>
    <x v="0"/>
    <n v="124.9"/>
    <n v="124.9"/>
    <m/>
    <x v="0"/>
    <x v="0"/>
    <n v="0"/>
    <n v="0"/>
    <x v="0"/>
    <x v="0"/>
    <m/>
    <x v="0"/>
    <x v="0"/>
    <x v="0"/>
    <x v="0"/>
    <x v="0"/>
    <n v="0"/>
    <n v="0"/>
    <n v="0"/>
    <n v="12"/>
    <x v="1"/>
    <x v="0"/>
    <m/>
    <x v="0"/>
    <n v="133.5"/>
    <x v="0"/>
    <x v="25"/>
    <x v="0"/>
    <x v="0"/>
    <x v="0"/>
  </r>
  <r>
    <x v="1"/>
    <x v="15"/>
    <s v="2904 F"/>
    <x v="237"/>
    <s v="Usman Amin"/>
    <s v="LDN"/>
    <n v="14"/>
    <s v="8"/>
    <s v="LDN"/>
    <n v="25"/>
    <x v="0"/>
    <n v="1"/>
    <n v="53"/>
    <n v="1.4"/>
    <m/>
    <x v="0"/>
    <n v="51.6"/>
    <n v="51.6"/>
    <m/>
    <x v="0"/>
    <x v="0"/>
    <n v="0"/>
    <n v="0"/>
    <x v="0"/>
    <x v="0"/>
    <m/>
    <x v="0"/>
    <x v="0"/>
    <x v="0"/>
    <x v="0"/>
    <x v="0"/>
    <n v="0"/>
    <n v="0"/>
    <n v="0"/>
    <n v="12"/>
    <x v="1"/>
    <x v="0"/>
    <m/>
    <x v="0"/>
    <n v="58"/>
    <x v="0"/>
    <x v="25"/>
    <x v="0"/>
    <x v="0"/>
    <x v="0"/>
  </r>
  <r>
    <x v="1"/>
    <x v="15"/>
    <s v="2859 F"/>
    <x v="237"/>
    <s v="Usman Amin"/>
    <s v="LDN"/>
    <n v="17"/>
    <s v="12"/>
    <s v="LDN"/>
    <n v="1000"/>
    <x v="0"/>
    <n v="1"/>
    <n v="75.5"/>
    <n v="1.9"/>
    <m/>
    <x v="0"/>
    <n v="73.599999999999994"/>
    <n v="846.8"/>
    <m/>
    <x v="0"/>
    <x v="0"/>
    <n v="0"/>
    <n v="0"/>
    <x v="0"/>
    <x v="0"/>
    <m/>
    <x v="0"/>
    <x v="0"/>
    <x v="0"/>
    <x v="0"/>
    <x v="0"/>
    <n v="0"/>
    <n v="0"/>
    <n v="0"/>
    <n v="12"/>
    <x v="1"/>
    <x v="0"/>
    <m/>
    <x v="0"/>
    <n v="80.5"/>
    <x v="0"/>
    <x v="25"/>
    <x v="0"/>
    <x v="0"/>
    <x v="0"/>
  </r>
  <r>
    <x v="0"/>
    <x v="8"/>
    <s v="7237 J"/>
    <x v="238"/>
    <s v="Atlas Honda LTD (Karachi)"/>
    <s v="LDN"/>
    <n v="9"/>
    <s v="9-9.5"/>
    <s v="LDN"/>
    <n v="642.36111111111109"/>
    <x v="0"/>
    <n v="1"/>
    <n v="58.9"/>
    <n v="1"/>
    <n v="1.1897412590502523"/>
    <x v="0"/>
    <n v="57.9"/>
    <n v="908.69999999999993"/>
    <m/>
    <x v="0"/>
    <x v="0"/>
    <n v="0"/>
    <n v="0"/>
    <x v="0"/>
    <x v="0"/>
    <m/>
    <x v="0"/>
    <x v="0"/>
    <x v="0"/>
    <x v="0"/>
    <x v="0"/>
    <n v="0"/>
    <n v="0"/>
    <n v="0"/>
    <n v="12"/>
    <x v="1"/>
    <x v="0"/>
    <m/>
    <x v="0"/>
    <n v="63.9"/>
    <x v="0"/>
    <x v="25"/>
    <x v="0"/>
    <x v="0"/>
    <x v="0"/>
  </r>
  <r>
    <x v="0"/>
    <x v="8"/>
    <s v="7145 J"/>
    <x v="238"/>
    <s v="Al Buraq Deparmental Store Lahore"/>
    <s v="LDN"/>
    <n v="9"/>
    <s v="14-15"/>
    <s v="LDN"/>
    <n v="200"/>
    <x v="0"/>
    <n v="1"/>
    <n v="62.9"/>
    <n v="1"/>
    <n v="1.270538628085923"/>
    <x v="0"/>
    <n v="61.9"/>
    <n v="301.41999999999996"/>
    <m/>
    <x v="0"/>
    <x v="0"/>
    <n v="0"/>
    <n v="0"/>
    <x v="0"/>
    <x v="0"/>
    <m/>
    <x v="0"/>
    <x v="0"/>
    <x v="0"/>
    <x v="0"/>
    <x v="0"/>
    <n v="0"/>
    <n v="0"/>
    <n v="0"/>
    <n v="12"/>
    <x v="1"/>
    <x v="0"/>
    <m/>
    <x v="0"/>
    <n v="67.900000000000006"/>
    <x v="0"/>
    <x v="25"/>
    <x v="0"/>
    <x v="0"/>
    <x v="0"/>
  </r>
  <r>
    <x v="1"/>
    <x v="8"/>
    <s v="7145 J"/>
    <x v="238"/>
    <s v="Al Buraq Deparmental Store Lahore"/>
    <s v="LDN"/>
    <n v="9"/>
    <s v="14-15"/>
    <s v="LDN"/>
    <n v="200"/>
    <x v="0"/>
    <n v="3"/>
    <n v="138.32"/>
    <n v="3"/>
    <n v="2.7939730212534952"/>
    <x v="0"/>
    <n v="135.32"/>
    <n v="301.41999999999996"/>
    <m/>
    <x v="0"/>
    <x v="10"/>
    <n v="120"/>
    <n v="2"/>
    <x v="0"/>
    <x v="0"/>
    <m/>
    <x v="0"/>
    <x v="0"/>
    <x v="0"/>
    <x v="0"/>
    <x v="0"/>
    <n v="0"/>
    <n v="0"/>
    <n v="2"/>
    <n v="10"/>
    <x v="1"/>
    <x v="0"/>
    <m/>
    <x v="0"/>
    <n v="143.32"/>
    <x v="0"/>
    <x v="25"/>
    <x v="0"/>
    <x v="0"/>
    <x v="0"/>
  </r>
  <r>
    <x v="0"/>
    <x v="9"/>
    <s v="7288 J"/>
    <x v="238"/>
    <s v="Al Buraq Deparmental Store Lahore"/>
    <s v="LDN"/>
    <n v="7"/>
    <s v="14-15"/>
    <s v="LDN"/>
    <n v="150"/>
    <x v="0"/>
    <n v="1"/>
    <n v="36.9"/>
    <n v="0.9"/>
    <n v="0.74535572935406291"/>
    <x v="0"/>
    <n v="36"/>
    <n v="63.099999999999994"/>
    <m/>
    <x v="0"/>
    <x v="0"/>
    <n v="0"/>
    <n v="0"/>
    <x v="0"/>
    <x v="0"/>
    <m/>
    <x v="0"/>
    <x v="0"/>
    <x v="0"/>
    <x v="0"/>
    <x v="0"/>
    <n v="0"/>
    <n v="0"/>
    <n v="0"/>
    <n v="12"/>
    <x v="1"/>
    <x v="0"/>
    <m/>
    <x v="0"/>
    <n v="41.9"/>
    <x v="0"/>
    <x v="25"/>
    <x v="0"/>
    <x v="0"/>
    <x v="0"/>
  </r>
  <r>
    <x v="0"/>
    <x v="9"/>
    <s v="7287 J"/>
    <x v="238"/>
    <s v="Al Buraq Deparmental Store Lahore"/>
    <s v="LDN"/>
    <n v="6"/>
    <s v="14-15"/>
    <s v="LDN"/>
    <n v="100"/>
    <x v="0"/>
    <n v="2"/>
    <n v="100.4"/>
    <n v="1.6"/>
    <n v="2.0280139627953369"/>
    <x v="0"/>
    <n v="98.800000000000011"/>
    <n v="98.800000000000011"/>
    <m/>
    <x v="0"/>
    <x v="0"/>
    <n v="0"/>
    <n v="0"/>
    <x v="0"/>
    <x v="0"/>
    <m/>
    <x v="0"/>
    <x v="0"/>
    <x v="0"/>
    <x v="0"/>
    <x v="0"/>
    <n v="0"/>
    <n v="0"/>
    <n v="0"/>
    <n v="12"/>
    <x v="1"/>
    <x v="0"/>
    <m/>
    <x v="0"/>
    <n v="105.4"/>
    <x v="0"/>
    <x v="25"/>
    <x v="0"/>
    <x v="0"/>
    <x v="0"/>
  </r>
  <r>
    <x v="1"/>
    <x v="9"/>
    <s v="7390 J"/>
    <x v="238"/>
    <s v="AbuBakar Butt Lahore"/>
    <s v="LDN"/>
    <n v="8.5"/>
    <s v="8.5-9"/>
    <s v="LDN"/>
    <n v="1000"/>
    <x v="0"/>
    <n v="2"/>
    <n v="107.2"/>
    <n v="1.8"/>
    <n v="2.1653694901559768"/>
    <x v="0"/>
    <n v="105.4"/>
    <n v="1095.3499999999999"/>
    <m/>
    <x v="0"/>
    <x v="10"/>
    <n v="120"/>
    <n v="2"/>
    <x v="0"/>
    <x v="0"/>
    <m/>
    <x v="0"/>
    <x v="0"/>
    <x v="0"/>
    <x v="0"/>
    <x v="0"/>
    <n v="0"/>
    <n v="0"/>
    <n v="2"/>
    <n v="10"/>
    <x v="1"/>
    <x v="0"/>
    <m/>
    <x v="0"/>
    <n v="112.2"/>
    <x v="0"/>
    <x v="25"/>
    <x v="0"/>
    <x v="0"/>
    <x v="0"/>
  </r>
  <r>
    <x v="0"/>
    <x v="11"/>
    <s v="7251 J"/>
    <x v="238"/>
    <s v="Khalid Printer Lahore"/>
    <s v="LDM"/>
    <n v="16"/>
    <s v="14-15"/>
    <s v="LDM"/>
    <n v="125"/>
    <x v="0"/>
    <n v="2"/>
    <n v="130.5"/>
    <n v="4.8"/>
    <n v="2.6360141647887594"/>
    <x v="0"/>
    <n v="125.7"/>
    <n v="125.7"/>
    <m/>
    <x v="0"/>
    <x v="0"/>
    <n v="0"/>
    <n v="0"/>
    <x v="0"/>
    <x v="0"/>
    <m/>
    <x v="0"/>
    <x v="0"/>
    <x v="0"/>
    <x v="0"/>
    <x v="0"/>
    <n v="0"/>
    <n v="0"/>
    <n v="0"/>
    <n v="12"/>
    <x v="1"/>
    <x v="0"/>
    <m/>
    <x v="0"/>
    <n v="135.5"/>
    <x v="0"/>
    <x v="25"/>
    <x v="0"/>
    <x v="0"/>
    <x v="0"/>
  </r>
  <r>
    <x v="0"/>
    <x v="11"/>
    <s v="7322 J"/>
    <x v="238"/>
    <s v="Lahore Regency Hospitality Lahore"/>
    <s v="LDM"/>
    <n v="18"/>
    <n v="0"/>
    <s v="LDM"/>
    <n v="200"/>
    <x v="0"/>
    <n v="2"/>
    <n v="212"/>
    <n v="3.6"/>
    <n v="4.2822605588905516"/>
    <x v="0"/>
    <n v="208.4"/>
    <n v="208.4"/>
    <m/>
    <x v="0"/>
    <x v="0"/>
    <n v="0"/>
    <n v="0"/>
    <x v="0"/>
    <x v="0"/>
    <m/>
    <x v="0"/>
    <x v="0"/>
    <x v="0"/>
    <x v="0"/>
    <x v="0"/>
    <n v="0"/>
    <n v="0"/>
    <n v="0"/>
    <n v="12"/>
    <x v="1"/>
    <x v="0"/>
    <m/>
    <x v="0"/>
    <n v="217"/>
    <x v="0"/>
    <x v="25"/>
    <x v="0"/>
    <x v="0"/>
    <x v="0"/>
  </r>
  <r>
    <x v="0"/>
    <x v="11"/>
    <s v="7330 J"/>
    <x v="238"/>
    <s v="Shafi Foam Lahore"/>
    <s v="LDM"/>
    <s v="20 شیٹ"/>
    <s v="6-6.5/12-13"/>
    <s v="LDM"/>
    <n v="100"/>
    <x v="0"/>
    <n v="1"/>
    <n v="85"/>
    <n v="2"/>
    <n v="1.7169440920080041"/>
    <x v="0"/>
    <n v="83"/>
    <n v="130"/>
    <m/>
    <x v="0"/>
    <x v="0"/>
    <n v="0"/>
    <n v="0"/>
    <x v="0"/>
    <x v="0"/>
    <m/>
    <x v="0"/>
    <x v="0"/>
    <x v="0"/>
    <x v="0"/>
    <x v="0"/>
    <n v="0"/>
    <n v="0"/>
    <n v="0"/>
    <n v="12"/>
    <x v="1"/>
    <x v="0"/>
    <m/>
    <x v="0"/>
    <n v="90"/>
    <x v="0"/>
    <x v="25"/>
    <x v="0"/>
    <x v="0"/>
    <x v="0"/>
  </r>
  <r>
    <x v="1"/>
    <x v="11"/>
    <s v="7331 J"/>
    <x v="238"/>
    <s v="Shafi Foam Lahore"/>
    <s v="LDM"/>
    <s v="20 شیٹ"/>
    <s v="6-6.5/12-13"/>
    <s v="LDM"/>
    <n v="130"/>
    <x v="0"/>
    <n v="1"/>
    <n v="132.5"/>
    <n v="2.5"/>
    <n v="2.6764128493065944"/>
    <x v="0"/>
    <n v="130"/>
    <n v="130"/>
    <m/>
    <x v="0"/>
    <x v="10"/>
    <n v="120"/>
    <n v="2"/>
    <x v="0"/>
    <x v="0"/>
    <m/>
    <x v="0"/>
    <x v="0"/>
    <x v="0"/>
    <x v="0"/>
    <x v="0"/>
    <n v="0"/>
    <n v="0"/>
    <n v="2"/>
    <n v="10"/>
    <x v="1"/>
    <x v="0"/>
    <m/>
    <x v="0"/>
    <n v="137.5"/>
    <x v="0"/>
    <x v="25"/>
    <x v="0"/>
    <x v="0"/>
    <x v="0"/>
  </r>
  <r>
    <x v="1"/>
    <x v="11"/>
    <s v="7330 J"/>
    <x v="238"/>
    <s v="Shafi Foam Lahore"/>
    <s v="LDM"/>
    <s v="20 شیٹ"/>
    <s v="6-6.5/12-13"/>
    <s v="LDM"/>
    <n v="100"/>
    <x v="0"/>
    <n v="1"/>
    <n v="49.5"/>
    <n v="2.5"/>
    <n v="0.99986744181642595"/>
    <x v="0"/>
    <n v="47"/>
    <n v="130"/>
    <m/>
    <x v="0"/>
    <x v="0"/>
    <n v="0"/>
    <n v="0"/>
    <x v="0"/>
    <x v="0"/>
    <m/>
    <x v="0"/>
    <x v="0"/>
    <x v="0"/>
    <x v="0"/>
    <x v="0"/>
    <n v="0"/>
    <n v="0"/>
    <n v="0"/>
    <n v="12"/>
    <x v="1"/>
    <x v="0"/>
    <m/>
    <x v="0"/>
    <n v="54.5"/>
    <x v="0"/>
    <x v="25"/>
    <x v="0"/>
    <x v="0"/>
    <x v="0"/>
  </r>
  <r>
    <x v="1"/>
    <x v="11"/>
    <s v="7333 J"/>
    <x v="238"/>
    <s v="Umer Fabrics Jehlum"/>
    <s v="LD سی گرین"/>
    <s v="12+3+3"/>
    <s v="8-8.5/16-17"/>
    <s v="LDM"/>
    <n v="110"/>
    <x v="0"/>
    <n v="3"/>
    <n v="114.80000000000001"/>
    <n v="3.5999999999999996"/>
    <n v="2.3188844913237516"/>
    <x v="0"/>
    <n v="111.20000000000002"/>
    <n v="111.20000000000002"/>
    <m/>
    <x v="0"/>
    <x v="0"/>
    <n v="0"/>
    <n v="0"/>
    <x v="0"/>
    <x v="0"/>
    <m/>
    <x v="0"/>
    <x v="0"/>
    <x v="0"/>
    <x v="0"/>
    <x v="0"/>
    <n v="0"/>
    <n v="0"/>
    <n v="0"/>
    <n v="12"/>
    <x v="1"/>
    <x v="0"/>
    <m/>
    <x v="0"/>
    <n v="119.80000000000001"/>
    <x v="0"/>
    <x v="25"/>
    <x v="0"/>
    <x v="0"/>
    <x v="0"/>
  </r>
  <r>
    <x v="1"/>
    <x v="11"/>
    <s v="1150 J"/>
    <x v="238"/>
    <s v="THANK YOU"/>
    <m/>
    <n v="18"/>
    <s v="12-13"/>
    <m/>
    <m/>
    <x v="0"/>
    <n v="1"/>
    <n v="59"/>
    <n v="1.8"/>
    <n v="1.191761193276144"/>
    <x v="0"/>
    <n v="57.2"/>
    <n v="1647.44"/>
    <m/>
    <x v="0"/>
    <x v="0"/>
    <n v="0"/>
    <n v="0"/>
    <x v="0"/>
    <x v="0"/>
    <m/>
    <x v="0"/>
    <x v="0"/>
    <x v="0"/>
    <x v="0"/>
    <x v="0"/>
    <n v="0"/>
    <n v="0"/>
    <n v="0"/>
    <n v="12"/>
    <x v="1"/>
    <x v="0"/>
    <m/>
    <x v="0"/>
    <n v="64"/>
    <x v="0"/>
    <x v="25"/>
    <x v="0"/>
    <x v="0"/>
    <x v="0"/>
  </r>
  <r>
    <x v="0"/>
    <x v="14"/>
    <s v="2854/1"/>
    <x v="238"/>
    <s v="SITARA CHEMICAL "/>
    <s v="LDN"/>
    <s v="24-24.5"/>
    <s v="100±1"/>
    <s v="LDN"/>
    <n v="3000"/>
    <x v="0"/>
    <n v="4"/>
    <n v="545"/>
    <n v="9"/>
    <n v="11.008641531110143"/>
    <x v="0"/>
    <n v="536"/>
    <n v="1624.3"/>
    <m/>
    <x v="0"/>
    <x v="0"/>
    <n v="0"/>
    <n v="0"/>
    <x v="0"/>
    <x v="0"/>
    <m/>
    <x v="0"/>
    <x v="0"/>
    <x v="0"/>
    <x v="0"/>
    <x v="0"/>
    <n v="0"/>
    <n v="0"/>
    <n v="0"/>
    <n v="12"/>
    <x v="1"/>
    <x v="0"/>
    <m/>
    <x v="0"/>
    <n v="550"/>
    <x v="0"/>
    <x v="25"/>
    <x v="0"/>
    <x v="0"/>
    <x v="0"/>
  </r>
  <r>
    <x v="1"/>
    <x v="14"/>
    <s v="2855/1"/>
    <x v="238"/>
    <s v="MATCO FOOD"/>
    <s v="LDN"/>
    <s v="22.5-23"/>
    <s v="70±2"/>
    <s v="LDN"/>
    <n v="7700"/>
    <x v="0"/>
    <n v="4"/>
    <n v="436.4"/>
    <n v="8"/>
    <n v="8.8149929617916811"/>
    <x v="0"/>
    <n v="428.4"/>
    <n v="9255.0999999999985"/>
    <m/>
    <x v="0"/>
    <x v="10"/>
    <n v="120"/>
    <n v="2"/>
    <x v="0"/>
    <x v="0"/>
    <m/>
    <x v="0"/>
    <x v="0"/>
    <x v="0"/>
    <x v="0"/>
    <x v="0"/>
    <n v="0"/>
    <n v="0"/>
    <n v="2"/>
    <n v="10"/>
    <x v="1"/>
    <x v="0"/>
    <m/>
    <x v="0"/>
    <n v="441.4"/>
    <x v="0"/>
    <x v="25"/>
    <x v="0"/>
    <x v="0"/>
    <x v="0"/>
  </r>
  <r>
    <x v="0"/>
    <x v="15"/>
    <s v="2859 F"/>
    <x v="238"/>
    <s v="Usman Amin"/>
    <s v="LDN"/>
    <n v="17"/>
    <s v="12"/>
    <s v="LDN"/>
    <n v="1000"/>
    <x v="0"/>
    <n v="8"/>
    <n v="488"/>
    <n v="15.6"/>
    <n v="9.8572790223518343"/>
    <x v="0"/>
    <n v="472.4"/>
    <n v="846.8"/>
    <m/>
    <x v="0"/>
    <x v="0"/>
    <n v="0"/>
    <n v="0"/>
    <x v="0"/>
    <x v="0"/>
    <m/>
    <x v="0"/>
    <x v="0"/>
    <x v="0"/>
    <x v="0"/>
    <x v="0"/>
    <n v="0"/>
    <n v="0"/>
    <n v="0"/>
    <n v="12"/>
    <x v="1"/>
    <x v="0"/>
    <m/>
    <x v="0"/>
    <n v="493"/>
    <x v="0"/>
    <x v="25"/>
    <x v="0"/>
    <x v="0"/>
    <x v="0"/>
  </r>
  <r>
    <x v="1"/>
    <x v="15"/>
    <s v="2844/1"/>
    <x v="238"/>
    <s v="MATCO FOOD"/>
    <s v="LDN"/>
    <s v="23-23.5"/>
    <s v="70±2"/>
    <s v="SL"/>
    <n v="2100"/>
    <x v="0"/>
    <n v="4"/>
    <n v="411.5"/>
    <n v="12.4"/>
    <n v="8.3120293395446314"/>
    <x v="0"/>
    <n v="399.1"/>
    <n v="1720.4899999999998"/>
    <m/>
    <x v="0"/>
    <x v="10"/>
    <n v="120"/>
    <n v="2"/>
    <x v="0"/>
    <x v="0"/>
    <m/>
    <x v="0"/>
    <x v="0"/>
    <x v="0"/>
    <x v="0"/>
    <x v="0"/>
    <n v="0"/>
    <n v="0"/>
    <n v="2"/>
    <n v="10"/>
    <x v="1"/>
    <x v="0"/>
    <m/>
    <x v="0"/>
    <n v="416.5"/>
    <x v="0"/>
    <x v="25"/>
    <x v="0"/>
    <x v="0"/>
    <x v="0"/>
  </r>
  <r>
    <x v="3"/>
    <x v="16"/>
    <m/>
    <x v="239"/>
    <s v="ALL MACHINES OFF DUE TO BASANT/KASHMIRHOLIDAYS"/>
    <m/>
    <m/>
    <m/>
    <m/>
    <m/>
    <x v="0"/>
    <m/>
    <m/>
    <m/>
    <m/>
    <x v="0"/>
    <m/>
    <m/>
    <m/>
    <x v="0"/>
    <x v="0"/>
    <m/>
    <m/>
    <x v="0"/>
    <x v="0"/>
    <m/>
    <x v="0"/>
    <x v="0"/>
    <x v="0"/>
    <x v="0"/>
    <x v="0"/>
    <m/>
    <m/>
    <m/>
    <m/>
    <x v="0"/>
    <x v="0"/>
    <m/>
    <x v="0"/>
    <m/>
    <x v="0"/>
    <x v="0"/>
    <x v="0"/>
    <x v="0"/>
    <x v="0"/>
  </r>
  <r>
    <x v="0"/>
    <x v="8"/>
    <s v="7283 J"/>
    <x v="240"/>
    <s v="Kashmir Plastic Store Azad Kashmir"/>
    <s v="LDN"/>
    <n v="12"/>
    <s v="12-13."/>
    <s v="LDN"/>
    <n v="150"/>
    <x v="0"/>
    <n v="2"/>
    <n v="95"/>
    <n v="3"/>
    <n v="7"/>
    <x v="0"/>
    <n v="92"/>
    <n v="158"/>
    <m/>
    <x v="6"/>
    <x v="0"/>
    <n v="120"/>
    <n v="2"/>
    <x v="9"/>
    <x v="0"/>
    <m/>
    <x v="0"/>
    <x v="0"/>
    <x v="0"/>
    <x v="0"/>
    <x v="0"/>
    <n v="10"/>
    <n v="0.16666666666666666"/>
    <n v="2.1666666666666665"/>
    <n v="9.8333333333333339"/>
    <x v="1"/>
    <x v="0"/>
    <m/>
    <x v="0"/>
    <n v="100"/>
    <x v="0"/>
    <x v="26"/>
    <x v="0"/>
    <x v="0"/>
    <x v="0"/>
  </r>
  <r>
    <x v="1"/>
    <x v="8"/>
    <s v="7283 J"/>
    <x v="240"/>
    <s v="Kashmir Plastic Store Azad Kashmir"/>
    <s v="LDN"/>
    <n v="12"/>
    <s v="12-13."/>
    <s v="LDN"/>
    <n v="150"/>
    <x v="0"/>
    <n v="1"/>
    <n v="67.5"/>
    <n v="1.5"/>
    <m/>
    <x v="0"/>
    <n v="66"/>
    <n v="158"/>
    <n v="3"/>
    <x v="0"/>
    <x v="0"/>
    <n v="3"/>
    <n v="0.05"/>
    <x v="0"/>
    <x v="0"/>
    <m/>
    <x v="0"/>
    <x v="0"/>
    <x v="0"/>
    <x v="0"/>
    <x v="0"/>
    <n v="0"/>
    <n v="0"/>
    <n v="0.05"/>
    <n v="11.95"/>
    <x v="1"/>
    <x v="0"/>
    <m/>
    <x v="0"/>
    <n v="72.5"/>
    <x v="0"/>
    <x v="26"/>
    <x v="0"/>
    <x v="0"/>
    <x v="0"/>
  </r>
  <r>
    <x v="1"/>
    <x v="8"/>
    <s v="7387 J"/>
    <x v="240"/>
    <s v="Chezo Cheez Lahore"/>
    <s v="LDN"/>
    <n v="11"/>
    <n v="18"/>
    <s v="LDN"/>
    <n v="200"/>
    <x v="0"/>
    <n v="1"/>
    <n v="72"/>
    <n v="1.1000000000000001"/>
    <n v="3"/>
    <x v="0"/>
    <n v="70.900000000000006"/>
    <n v="139.5"/>
    <n v="2"/>
    <x v="0"/>
    <x v="0"/>
    <n v="2"/>
    <n v="3.3333333333333333E-2"/>
    <x v="0"/>
    <x v="0"/>
    <m/>
    <x v="0"/>
    <x v="0"/>
    <x v="0"/>
    <x v="0"/>
    <x v="0"/>
    <n v="0"/>
    <n v="0"/>
    <n v="3.3333333333333333E-2"/>
    <n v="11.966666666666667"/>
    <x v="1"/>
    <x v="0"/>
    <m/>
    <x v="0"/>
    <n v="77"/>
    <x v="0"/>
    <x v="26"/>
    <x v="0"/>
    <x v="0"/>
    <x v="0"/>
  </r>
  <r>
    <x v="1"/>
    <x v="13"/>
    <s v="2855/1"/>
    <x v="240"/>
    <s v="MATCO FOOD"/>
    <s v="LDN"/>
    <s v="22.5-23"/>
    <s v="70±2"/>
    <s v="LDN"/>
    <n v="7700"/>
    <x v="0"/>
    <n v="5"/>
    <n v="445.1"/>
    <n v="11"/>
    <n v="5"/>
    <x v="0"/>
    <n v="434.1"/>
    <n v="9255.0999999999985"/>
    <m/>
    <x v="0"/>
    <x v="0"/>
    <n v="0"/>
    <n v="0"/>
    <x v="0"/>
    <x v="0"/>
    <m/>
    <x v="0"/>
    <x v="0"/>
    <x v="0"/>
    <x v="0"/>
    <x v="0"/>
    <n v="0"/>
    <n v="0"/>
    <n v="0"/>
    <n v="12"/>
    <x v="1"/>
    <x v="0"/>
    <m/>
    <x v="0"/>
    <n v="450.1"/>
    <x v="0"/>
    <x v="26"/>
    <x v="0"/>
    <x v="0"/>
    <x v="0"/>
  </r>
  <r>
    <x v="0"/>
    <x v="11"/>
    <s v="1150 J"/>
    <x v="240"/>
    <s v="THANK YOU"/>
    <m/>
    <n v="18"/>
    <s v="12-13"/>
    <m/>
    <m/>
    <x v="0"/>
    <n v="1"/>
    <n v="92"/>
    <n v="1.9"/>
    <n v="19"/>
    <x v="0"/>
    <n v="90.1"/>
    <n v="1647.44"/>
    <m/>
    <x v="5"/>
    <x v="0"/>
    <n v="180"/>
    <n v="3"/>
    <x v="9"/>
    <x v="0"/>
    <m/>
    <x v="0"/>
    <x v="0"/>
    <x v="0"/>
    <x v="0"/>
    <x v="0"/>
    <n v="10"/>
    <n v="0.16666666666666666"/>
    <n v="3.1666666666666665"/>
    <n v="8.8333333333333339"/>
    <x v="1"/>
    <x v="0"/>
    <m/>
    <x v="0"/>
    <n v="97"/>
    <x v="0"/>
    <x v="26"/>
    <x v="0"/>
    <x v="0"/>
    <x v="0"/>
  </r>
  <r>
    <x v="0"/>
    <x v="11"/>
    <s v="7237 J"/>
    <x v="240"/>
    <s v="Atlas Honda LTD (Karachi)"/>
    <s v="LDN"/>
    <n v="9"/>
    <s v="9-9.5"/>
    <s v="LDN"/>
    <n v="642.36111111111109"/>
    <x v="0"/>
    <n v="3"/>
    <n v="166.5"/>
    <n v="6.3000000000000007"/>
    <m/>
    <x v="0"/>
    <n v="160.19999999999999"/>
    <n v="908.69999999999993"/>
    <m/>
    <x v="0"/>
    <x v="0"/>
    <n v="0"/>
    <n v="0"/>
    <x v="0"/>
    <x v="0"/>
    <m/>
    <x v="0"/>
    <x v="0"/>
    <x v="0"/>
    <x v="0"/>
    <x v="0"/>
    <n v="0"/>
    <n v="0"/>
    <n v="0"/>
    <n v="12"/>
    <x v="1"/>
    <x v="0"/>
    <m/>
    <x v="0"/>
    <n v="171.5"/>
    <x v="0"/>
    <x v="26"/>
    <x v="0"/>
    <x v="0"/>
    <x v="0"/>
  </r>
  <r>
    <x v="1"/>
    <x v="11"/>
    <s v="7237 J"/>
    <x v="240"/>
    <s v="Atlas Honda LTD (Karachi)"/>
    <s v="LDN"/>
    <n v="9"/>
    <s v="9-9.5"/>
    <s v="LDN"/>
    <n v="642.36111111111109"/>
    <x v="0"/>
    <n v="1"/>
    <n v="42.5"/>
    <n v="4.9000000000000004"/>
    <m/>
    <x v="0"/>
    <n v="37.6"/>
    <n v="908.69999999999993"/>
    <n v="5"/>
    <x v="0"/>
    <x v="0"/>
    <n v="5"/>
    <n v="8.3333333333333329E-2"/>
    <x v="0"/>
    <x v="0"/>
    <m/>
    <x v="0"/>
    <x v="0"/>
    <x v="0"/>
    <x v="0"/>
    <x v="0"/>
    <n v="0"/>
    <n v="0"/>
    <n v="8.3333333333333329E-2"/>
    <n v="11.916666666666666"/>
    <x v="1"/>
    <x v="0"/>
    <m/>
    <x v="0"/>
    <n v="47.5"/>
    <x v="0"/>
    <x v="26"/>
    <x v="0"/>
    <x v="0"/>
    <x v="0"/>
  </r>
  <r>
    <x v="1"/>
    <x v="11"/>
    <s v="7326 J"/>
    <x v="240"/>
    <s v="Irfan Sab Azam Market Lahore "/>
    <s v="LD گولڈن پیلا"/>
    <n v="19.5"/>
    <s v="14-15"/>
    <s v="LDM"/>
    <n v="1000"/>
    <x v="0"/>
    <n v="5"/>
    <n v="387.5"/>
    <n v="12.5"/>
    <n v="9"/>
    <x v="0"/>
    <n v="375"/>
    <n v="1005.2"/>
    <n v="5"/>
    <x v="0"/>
    <x v="0"/>
    <n v="5"/>
    <n v="8.3333333333333329E-2"/>
    <x v="0"/>
    <x v="0"/>
    <m/>
    <x v="0"/>
    <x v="0"/>
    <x v="0"/>
    <x v="0"/>
    <x v="0"/>
    <n v="0"/>
    <n v="0"/>
    <n v="8.3333333333333329E-2"/>
    <n v="11.916666666666666"/>
    <x v="1"/>
    <x v="0"/>
    <m/>
    <x v="0"/>
    <n v="392.5"/>
    <x v="0"/>
    <x v="26"/>
    <x v="0"/>
    <x v="0"/>
    <x v="0"/>
  </r>
  <r>
    <x v="1"/>
    <x v="14"/>
    <s v="PACKING"/>
    <x v="240"/>
    <s v="PACKING"/>
    <m/>
    <n v="37"/>
    <s v="10"/>
    <m/>
    <m/>
    <x v="0"/>
    <n v="1"/>
    <n v="75.599999999999994"/>
    <n v="4.5999999999999996"/>
    <m/>
    <x v="0"/>
    <n v="71"/>
    <n v="2235.2999999999997"/>
    <m/>
    <x v="2"/>
    <x v="0"/>
    <n v="150"/>
    <n v="2.5"/>
    <x v="0"/>
    <x v="0"/>
    <m/>
    <x v="0"/>
    <x v="0"/>
    <x v="0"/>
    <x v="0"/>
    <x v="0"/>
    <n v="0"/>
    <n v="0"/>
    <n v="2.5"/>
    <n v="9.5"/>
    <x v="1"/>
    <x v="0"/>
    <m/>
    <x v="0"/>
    <n v="80.599999999999994"/>
    <x v="0"/>
    <x v="26"/>
    <x v="0"/>
    <x v="0"/>
    <x v="0"/>
  </r>
  <r>
    <x v="1"/>
    <x v="14"/>
    <s v="2855/1"/>
    <x v="240"/>
    <s v="MATCO FOOD"/>
    <s v="LDN"/>
    <s v="22.5-23"/>
    <s v="70±2"/>
    <s v="LDN"/>
    <n v="7700"/>
    <x v="0"/>
    <n v="3"/>
    <n v="344.5"/>
    <n v="8"/>
    <n v="17"/>
    <x v="0"/>
    <n v="336.5"/>
    <n v="9255.0999999999985"/>
    <m/>
    <x v="0"/>
    <x v="0"/>
    <n v="0"/>
    <n v="0"/>
    <x v="0"/>
    <x v="0"/>
    <m/>
    <x v="0"/>
    <x v="0"/>
    <x v="0"/>
    <x v="0"/>
    <x v="0"/>
    <n v="0"/>
    <n v="0"/>
    <n v="0"/>
    <n v="12"/>
    <x v="1"/>
    <x v="0"/>
    <m/>
    <x v="0"/>
    <n v="349.5"/>
    <x v="0"/>
    <x v="26"/>
    <x v="0"/>
    <x v="0"/>
    <x v="0"/>
  </r>
  <r>
    <x v="0"/>
    <x v="15"/>
    <s v="2855/1"/>
    <x v="240"/>
    <s v="MATCO FOOD"/>
    <s v="LDN"/>
    <s v="22.5-23"/>
    <s v="70±2"/>
    <s v="LDN"/>
    <n v="7700"/>
    <x v="0"/>
    <n v="4"/>
    <n v="353.9"/>
    <n v="12"/>
    <n v="11"/>
    <x v="0"/>
    <n v="341.9"/>
    <n v="9255.0999999999985"/>
    <m/>
    <x v="5"/>
    <x v="0"/>
    <n v="180"/>
    <n v="3"/>
    <x v="9"/>
    <x v="0"/>
    <m/>
    <x v="0"/>
    <x v="0"/>
    <x v="0"/>
    <x v="0"/>
    <x v="0"/>
    <n v="10"/>
    <n v="0.16666666666666666"/>
    <n v="3.1666666666666665"/>
    <n v="8.8333333333333339"/>
    <x v="1"/>
    <x v="0"/>
    <m/>
    <x v="0"/>
    <n v="358.9"/>
    <x v="0"/>
    <x v="26"/>
    <x v="0"/>
    <x v="0"/>
    <x v="0"/>
  </r>
  <r>
    <x v="1"/>
    <x v="15"/>
    <s v="2855/1"/>
    <x v="240"/>
    <s v="MATCO FOOD"/>
    <s v="LDN"/>
    <s v="22.5-23"/>
    <s v="70±2"/>
    <s v="LDN"/>
    <n v="7700"/>
    <x v="0"/>
    <n v="5"/>
    <n v="552.5"/>
    <n v="14"/>
    <n v="3"/>
    <x v="0"/>
    <n v="538.5"/>
    <n v="9255.0999999999985"/>
    <m/>
    <x v="0"/>
    <x v="0"/>
    <n v="0"/>
    <n v="0"/>
    <x v="0"/>
    <x v="0"/>
    <m/>
    <x v="0"/>
    <x v="0"/>
    <x v="0"/>
    <x v="0"/>
    <x v="0"/>
    <n v="0"/>
    <n v="0"/>
    <n v="0"/>
    <n v="12"/>
    <x v="1"/>
    <x v="0"/>
    <m/>
    <x v="0"/>
    <n v="557.5"/>
    <x v="0"/>
    <x v="26"/>
    <x v="0"/>
    <x v="0"/>
    <x v="0"/>
  </r>
  <r>
    <x v="0"/>
    <x v="8"/>
    <s v="7387 J"/>
    <x v="241"/>
    <s v="Chezo Cheez Lahore"/>
    <s v="LDN"/>
    <n v="11"/>
    <n v="18"/>
    <s v="LDN"/>
    <n v="200"/>
    <x v="0"/>
    <n v="1"/>
    <n v="70"/>
    <n v="1.4"/>
    <n v="7"/>
    <x v="0"/>
    <n v="68.599999999999994"/>
    <n v="139.5"/>
    <m/>
    <x v="0"/>
    <x v="0"/>
    <n v="0"/>
    <n v="0"/>
    <x v="9"/>
    <x v="0"/>
    <m/>
    <x v="0"/>
    <x v="0"/>
    <x v="0"/>
    <x v="0"/>
    <x v="0"/>
    <n v="10"/>
    <n v="0.16666666666666666"/>
    <n v="0.16666666666666666"/>
    <n v="11.833333333333334"/>
    <x v="1"/>
    <x v="0"/>
    <m/>
    <x v="0"/>
    <n v="75"/>
    <x v="0"/>
    <x v="26"/>
    <x v="0"/>
    <x v="0"/>
    <x v="0"/>
  </r>
  <r>
    <x v="0"/>
    <x v="8"/>
    <s v="7386 J"/>
    <x v="241"/>
    <s v="Chezo Cheez Lahore"/>
    <s v="LDN"/>
    <n v="11"/>
    <n v="18"/>
    <s v="LDN"/>
    <n v="100"/>
    <x v="0"/>
    <n v="2"/>
    <n v="112"/>
    <n v="2.9"/>
    <m/>
    <x v="0"/>
    <n v="109.1"/>
    <n v="109.1"/>
    <m/>
    <x v="0"/>
    <x v="0"/>
    <n v="0"/>
    <n v="0"/>
    <x v="0"/>
    <x v="0"/>
    <m/>
    <x v="0"/>
    <x v="0"/>
    <x v="0"/>
    <x v="0"/>
    <x v="0"/>
    <n v="0"/>
    <n v="0"/>
    <n v="0"/>
    <n v="12"/>
    <x v="1"/>
    <x v="0"/>
    <m/>
    <x v="0"/>
    <n v="117"/>
    <x v="0"/>
    <x v="26"/>
    <x v="0"/>
    <x v="0"/>
    <x v="0"/>
  </r>
  <r>
    <x v="1"/>
    <x v="8"/>
    <s v="2858 F"/>
    <x v="241"/>
    <s v="Usman Amin"/>
    <s v="LDN"/>
    <n v="11"/>
    <s v="12"/>
    <s v="LDN"/>
    <n v="500"/>
    <x v="0"/>
    <n v="3"/>
    <n v="180.7"/>
    <n v="3.3000000000000003"/>
    <n v="3"/>
    <x v="0"/>
    <n v="177.39999999999998"/>
    <n v="480.89999999999992"/>
    <m/>
    <x v="0"/>
    <x v="0"/>
    <n v="0"/>
    <n v="0"/>
    <x v="0"/>
    <x v="0"/>
    <m/>
    <x v="0"/>
    <x v="0"/>
    <x v="0"/>
    <x v="0"/>
    <x v="0"/>
    <n v="0"/>
    <n v="0"/>
    <n v="0"/>
    <n v="12"/>
    <x v="1"/>
    <x v="0"/>
    <m/>
    <x v="0"/>
    <n v="185.7"/>
    <x v="0"/>
    <x v="26"/>
    <x v="0"/>
    <x v="0"/>
    <x v="0"/>
  </r>
  <r>
    <x v="0"/>
    <x v="9"/>
    <s v="7148 J"/>
    <x v="241"/>
    <s v="Milk Way Milk Lahore"/>
    <s v="LDM"/>
    <n v="7"/>
    <s v="15-16"/>
    <s v="LDM"/>
    <n v="100"/>
    <x v="0"/>
    <n v="2"/>
    <n v="107"/>
    <n v="1.8"/>
    <n v="20"/>
    <x v="0"/>
    <n v="105.2"/>
    <n v="288.2"/>
    <m/>
    <x v="6"/>
    <x v="0"/>
    <n v="120"/>
    <n v="2"/>
    <x v="9"/>
    <x v="0"/>
    <m/>
    <x v="0"/>
    <x v="0"/>
    <x v="0"/>
    <x v="0"/>
    <x v="0"/>
    <n v="10"/>
    <n v="0.16666666666666666"/>
    <n v="2.1666666666666665"/>
    <n v="9.8333333333333339"/>
    <x v="1"/>
    <x v="0"/>
    <m/>
    <x v="0"/>
    <n v="112"/>
    <x v="0"/>
    <x v="26"/>
    <x v="0"/>
    <x v="0"/>
    <x v="0"/>
  </r>
  <r>
    <x v="1"/>
    <x v="9"/>
    <s v="7148 J"/>
    <x v="241"/>
    <s v="Milk Way Milk Lahore"/>
    <s v="LDM"/>
    <n v="7"/>
    <s v="15-16"/>
    <s v="LDM"/>
    <n v="100"/>
    <x v="0"/>
    <n v="1"/>
    <n v="41.5"/>
    <n v="0.8"/>
    <n v="2"/>
    <x v="0"/>
    <n v="40.700000000000003"/>
    <n v="288.2"/>
    <m/>
    <x v="0"/>
    <x v="0"/>
    <n v="0"/>
    <n v="0"/>
    <x v="0"/>
    <x v="0"/>
    <m/>
    <x v="0"/>
    <x v="0"/>
    <x v="0"/>
    <x v="0"/>
    <x v="0"/>
    <n v="0"/>
    <n v="0"/>
    <n v="0"/>
    <n v="12"/>
    <x v="1"/>
    <x v="0"/>
    <m/>
    <x v="0"/>
    <n v="46.5"/>
    <x v="0"/>
    <x v="26"/>
    <x v="0"/>
    <x v="0"/>
    <x v="0"/>
  </r>
  <r>
    <x v="1"/>
    <x v="9"/>
    <s v="7222 J"/>
    <x v="241"/>
    <s v="Jazz Hattari Lahore"/>
    <s v="LDM"/>
    <n v="7"/>
    <s v="12-13."/>
    <s v="LDM"/>
    <n v="100"/>
    <x v="0"/>
    <n v="2"/>
    <n v="101"/>
    <n v="1.4"/>
    <m/>
    <x v="0"/>
    <n v="99.6"/>
    <n v="99.6"/>
    <m/>
    <x v="0"/>
    <x v="0"/>
    <n v="0"/>
    <n v="0"/>
    <x v="0"/>
    <x v="0"/>
    <m/>
    <x v="0"/>
    <x v="0"/>
    <x v="0"/>
    <x v="0"/>
    <x v="0"/>
    <n v="0"/>
    <n v="0"/>
    <n v="0"/>
    <n v="12"/>
    <x v="1"/>
    <x v="0"/>
    <m/>
    <x v="0"/>
    <n v="106"/>
    <x v="0"/>
    <x v="26"/>
    <x v="0"/>
    <x v="0"/>
    <x v="0"/>
  </r>
  <r>
    <x v="0"/>
    <x v="11"/>
    <s v="7326 J"/>
    <x v="241"/>
    <s v="Irfan Sab Azam Market Lahore "/>
    <s v="LD گولڈن پیلا"/>
    <n v="19.5"/>
    <s v="14-15"/>
    <s v="LDM"/>
    <n v="1000"/>
    <x v="0"/>
    <n v="6"/>
    <n v="506.5"/>
    <n v="15"/>
    <n v="17"/>
    <x v="0"/>
    <n v="491.5"/>
    <n v="1005.2"/>
    <m/>
    <x v="0"/>
    <x v="0"/>
    <n v="0"/>
    <n v="0"/>
    <x v="0"/>
    <x v="0"/>
    <m/>
    <x v="0"/>
    <x v="0"/>
    <x v="0"/>
    <x v="0"/>
    <x v="0"/>
    <n v="0"/>
    <n v="0"/>
    <n v="0"/>
    <n v="12"/>
    <x v="1"/>
    <x v="0"/>
    <m/>
    <x v="0"/>
    <n v="511.5"/>
    <x v="0"/>
    <x v="26"/>
    <x v="0"/>
    <x v="0"/>
    <x v="0"/>
  </r>
  <r>
    <x v="1"/>
    <x v="11"/>
    <s v="7326 J"/>
    <x v="241"/>
    <s v="Irfan Sab Azam Market Lahore "/>
    <s v="LD گولڈن پیلا"/>
    <n v="19.5"/>
    <s v="14-15"/>
    <s v="LDM"/>
    <n v="1000"/>
    <x v="0"/>
    <n v="2"/>
    <n v="142.5"/>
    <n v="3.8"/>
    <n v="18"/>
    <x v="0"/>
    <n v="138.69999999999999"/>
    <n v="1005.2"/>
    <n v="5"/>
    <x v="0"/>
    <x v="0"/>
    <n v="5"/>
    <n v="8.3333333333333329E-2"/>
    <x v="0"/>
    <x v="0"/>
    <m/>
    <x v="0"/>
    <x v="0"/>
    <x v="0"/>
    <x v="0"/>
    <x v="0"/>
    <n v="0"/>
    <n v="0"/>
    <n v="8.3333333333333329E-2"/>
    <n v="11.916666666666666"/>
    <x v="1"/>
    <x v="0"/>
    <m/>
    <x v="0"/>
    <n v="147.5"/>
    <x v="0"/>
    <x v="26"/>
    <x v="0"/>
    <x v="0"/>
    <x v="0"/>
  </r>
  <r>
    <x v="1"/>
    <x v="11"/>
    <m/>
    <x v="241"/>
    <s v="-"/>
    <m/>
    <m/>
    <m/>
    <m/>
    <m/>
    <x v="0"/>
    <n v="3"/>
    <n v="202"/>
    <n v="2"/>
    <m/>
    <x v="0"/>
    <n v="200"/>
    <n v="0"/>
    <n v="5"/>
    <x v="0"/>
    <x v="0"/>
    <n v="5"/>
    <n v="8.3333333333333329E-2"/>
    <x v="0"/>
    <x v="0"/>
    <m/>
    <x v="0"/>
    <x v="0"/>
    <x v="0"/>
    <x v="0"/>
    <x v="0"/>
    <n v="0"/>
    <n v="0"/>
    <n v="8.3333333333333329E-2"/>
    <n v="11.916666666666666"/>
    <x v="1"/>
    <x v="0"/>
    <m/>
    <x v="0"/>
    <n v="207"/>
    <x v="0"/>
    <x v="26"/>
    <x v="0"/>
    <x v="0"/>
    <x v="0"/>
  </r>
  <r>
    <x v="1"/>
    <x v="11"/>
    <s v="1150 J"/>
    <x v="241"/>
    <s v="THANK YOU"/>
    <m/>
    <n v="20"/>
    <m/>
    <m/>
    <m/>
    <x v="0"/>
    <n v="1"/>
    <n v="53.6"/>
    <n v="1.1000000000000001"/>
    <m/>
    <x v="0"/>
    <n v="52.5"/>
    <n v="1647.44"/>
    <m/>
    <x v="0"/>
    <x v="0"/>
    <n v="0"/>
    <n v="0"/>
    <x v="0"/>
    <x v="0"/>
    <m/>
    <x v="0"/>
    <x v="0"/>
    <x v="0"/>
    <x v="0"/>
    <x v="0"/>
    <n v="0"/>
    <n v="0"/>
    <n v="0"/>
    <n v="12"/>
    <x v="1"/>
    <x v="0"/>
    <m/>
    <x v="0"/>
    <n v="58.6"/>
    <x v="0"/>
    <x v="26"/>
    <x v="0"/>
    <x v="0"/>
    <x v="0"/>
  </r>
  <r>
    <x v="0"/>
    <x v="13"/>
    <s v="2855/1"/>
    <x v="241"/>
    <s v="MATCO FOOD"/>
    <s v="LDN"/>
    <s v="22.5-23"/>
    <s v="70±2"/>
    <s v="LDN"/>
    <n v="7700"/>
    <x v="0"/>
    <n v="1"/>
    <n v="105"/>
    <n v="2.2000000000000002"/>
    <m/>
    <x v="0"/>
    <n v="102.8"/>
    <n v="9255.0999999999985"/>
    <m/>
    <x v="0"/>
    <x v="0"/>
    <n v="0"/>
    <n v="0"/>
    <x v="0"/>
    <x v="0"/>
    <m/>
    <x v="0"/>
    <x v="0"/>
    <x v="0"/>
    <x v="0"/>
    <x v="0"/>
    <n v="0"/>
    <n v="0"/>
    <n v="0"/>
    <n v="12"/>
    <x v="1"/>
    <x v="0"/>
    <m/>
    <x v="0"/>
    <n v="110"/>
    <x v="0"/>
    <x v="26"/>
    <x v="0"/>
    <x v="0"/>
    <x v="0"/>
  </r>
  <r>
    <x v="0"/>
    <x v="13"/>
    <s v="7258 J"/>
    <x v="241"/>
    <s v="Liaqat Bhatti Rang Mahal LHR"/>
    <s v="LDN"/>
    <n v="23"/>
    <s v="9-9.5"/>
    <s v="LDN"/>
    <n v="100"/>
    <x v="0"/>
    <n v="2"/>
    <n v="110"/>
    <n v="5.6999999999999993"/>
    <m/>
    <x v="0"/>
    <n v="104.3"/>
    <n v="104.3"/>
    <m/>
    <x v="0"/>
    <x v="0"/>
    <n v="0"/>
    <n v="0"/>
    <x v="0"/>
    <x v="0"/>
    <m/>
    <x v="0"/>
    <x v="0"/>
    <x v="0"/>
    <x v="0"/>
    <x v="0"/>
    <n v="0"/>
    <n v="0"/>
    <n v="0"/>
    <n v="12"/>
    <x v="1"/>
    <x v="0"/>
    <m/>
    <x v="0"/>
    <n v="115"/>
    <x v="0"/>
    <x v="26"/>
    <x v="0"/>
    <x v="0"/>
    <x v="0"/>
  </r>
  <r>
    <x v="0"/>
    <x v="13"/>
    <s v="7260 J"/>
    <x v="241"/>
    <s v="Liaqat Bhatti Rang Mahal LHR"/>
    <s v="LDN"/>
    <n v="23"/>
    <s v="9-9.5"/>
    <s v="LDN"/>
    <n v="50"/>
    <x v="0"/>
    <n v="1"/>
    <n v="55"/>
    <n v="2.8"/>
    <m/>
    <x v="0"/>
    <n v="52.2"/>
    <n v="52.2"/>
    <n v="3"/>
    <x v="0"/>
    <x v="0"/>
    <n v="3"/>
    <n v="0.05"/>
    <x v="0"/>
    <x v="0"/>
    <m/>
    <x v="0"/>
    <x v="0"/>
    <x v="0"/>
    <x v="0"/>
    <x v="0"/>
    <n v="0"/>
    <n v="0"/>
    <n v="0.05"/>
    <n v="11.95"/>
    <x v="1"/>
    <x v="0"/>
    <m/>
    <x v="0"/>
    <n v="60"/>
    <x v="0"/>
    <x v="26"/>
    <x v="0"/>
    <x v="0"/>
    <x v="0"/>
  </r>
  <r>
    <x v="0"/>
    <x v="13"/>
    <s v="7259 J"/>
    <x v="241"/>
    <s v="Liaqat Bhatti Rang Mahal LHR"/>
    <s v="LDN"/>
    <n v="23"/>
    <s v="9-9.5"/>
    <s v="LDN"/>
    <n v="100"/>
    <x v="0"/>
    <n v="2"/>
    <n v="105"/>
    <n v="5.6"/>
    <m/>
    <x v="0"/>
    <n v="99.4"/>
    <n v="99.4"/>
    <n v="4"/>
    <x v="0"/>
    <x v="0"/>
    <n v="4"/>
    <n v="6.6666666666666666E-2"/>
    <x v="9"/>
    <x v="0"/>
    <m/>
    <x v="0"/>
    <x v="0"/>
    <x v="0"/>
    <x v="0"/>
    <x v="0"/>
    <n v="10"/>
    <n v="0.16666666666666666"/>
    <n v="0.23333333333333334"/>
    <n v="11.766666666666667"/>
    <x v="1"/>
    <x v="0"/>
    <m/>
    <x v="0"/>
    <n v="110"/>
    <x v="0"/>
    <x v="26"/>
    <x v="0"/>
    <x v="0"/>
    <x v="0"/>
  </r>
  <r>
    <x v="0"/>
    <x v="13"/>
    <s v="7261 J"/>
    <x v="241"/>
    <s v="Liaqat Bhatti Rang Mahal LHR"/>
    <s v="LDN"/>
    <n v="19"/>
    <s v="9-9.5"/>
    <s v="LDN"/>
    <n v="25"/>
    <x v="0"/>
    <n v="1"/>
    <n v="33"/>
    <n v="1.9"/>
    <n v="9"/>
    <x v="0"/>
    <n v="31.1"/>
    <n v="31.1"/>
    <m/>
    <x v="0"/>
    <x v="0"/>
    <n v="0"/>
    <n v="0"/>
    <x v="0"/>
    <x v="0"/>
    <m/>
    <x v="0"/>
    <x v="0"/>
    <x v="0"/>
    <x v="0"/>
    <x v="0"/>
    <n v="0"/>
    <n v="0"/>
    <n v="0"/>
    <n v="12"/>
    <x v="1"/>
    <x v="0"/>
    <m/>
    <x v="0"/>
    <n v="38"/>
    <x v="0"/>
    <x v="26"/>
    <x v="0"/>
    <x v="0"/>
    <x v="0"/>
  </r>
  <r>
    <x v="1"/>
    <x v="13"/>
    <s v="2919 F"/>
    <x v="241"/>
    <s v="Usman Amin"/>
    <s v="LDN"/>
    <n v="25"/>
    <s v="5-5.5"/>
    <s v="LDN"/>
    <n v="450"/>
    <x v="0"/>
    <n v="5"/>
    <n v="335.5"/>
    <n v="14"/>
    <n v="5"/>
    <x v="0"/>
    <n v="321.5"/>
    <n v="453.1"/>
    <n v="3"/>
    <x v="0"/>
    <x v="0"/>
    <n v="3"/>
    <n v="0.05"/>
    <x v="0"/>
    <x v="0"/>
    <m/>
    <x v="0"/>
    <x v="0"/>
    <x v="0"/>
    <x v="0"/>
    <x v="0"/>
    <n v="0"/>
    <n v="0"/>
    <n v="0.05"/>
    <n v="11.95"/>
    <x v="1"/>
    <x v="0"/>
    <m/>
    <x v="0"/>
    <n v="340.5"/>
    <x v="0"/>
    <x v="26"/>
    <x v="0"/>
    <x v="0"/>
    <x v="0"/>
  </r>
  <r>
    <x v="1"/>
    <x v="13"/>
    <s v="7262 J"/>
    <x v="241"/>
    <s v="Liaqat Bhatti Rang Mahal LHR"/>
    <s v="LDN"/>
    <n v="19"/>
    <s v="9-9.5"/>
    <s v="LDN"/>
    <n v="25"/>
    <x v="0"/>
    <n v="1"/>
    <n v="46.5"/>
    <n v="1.9"/>
    <m/>
    <x v="0"/>
    <n v="44.6"/>
    <n v="44.6"/>
    <m/>
    <x v="0"/>
    <x v="0"/>
    <n v="0"/>
    <n v="0"/>
    <x v="0"/>
    <x v="0"/>
    <m/>
    <x v="0"/>
    <x v="0"/>
    <x v="0"/>
    <x v="0"/>
    <x v="0"/>
    <n v="0"/>
    <n v="0"/>
    <n v="0"/>
    <n v="12"/>
    <x v="1"/>
    <x v="0"/>
    <m/>
    <x v="0"/>
    <n v="51.5"/>
    <x v="0"/>
    <x v="26"/>
    <x v="0"/>
    <x v="0"/>
    <x v="0"/>
  </r>
  <r>
    <x v="0"/>
    <x v="14"/>
    <s v="2831/1"/>
    <x v="241"/>
    <s v="MATCO FOOD"/>
    <s v="LDN"/>
    <n v="23"/>
    <s v="70±2"/>
    <s v="SL"/>
    <n v="2800"/>
    <x v="0"/>
    <n v="2"/>
    <n v="182"/>
    <n v="4"/>
    <m/>
    <x v="0"/>
    <n v="178"/>
    <n v="3443.84"/>
    <n v="10"/>
    <x v="0"/>
    <x v="0"/>
    <n v="10"/>
    <n v="0.16666666666666666"/>
    <x v="0"/>
    <x v="0"/>
    <m/>
    <x v="0"/>
    <x v="0"/>
    <x v="0"/>
    <x v="0"/>
    <x v="0"/>
    <n v="0"/>
    <n v="0"/>
    <n v="0.16666666666666666"/>
    <n v="11.833333333333334"/>
    <x v="1"/>
    <x v="0"/>
    <m/>
    <x v="0"/>
    <n v="187"/>
    <x v="0"/>
    <x v="26"/>
    <x v="0"/>
    <x v="0"/>
    <x v="0"/>
  </r>
  <r>
    <x v="0"/>
    <x v="14"/>
    <s v="2879 F"/>
    <x v="241"/>
    <s v="Usman Amin"/>
    <s v="LDN"/>
    <s v="31+7+7"/>
    <s v="7-7.5/14-15"/>
    <s v="LDN"/>
    <n v="850"/>
    <x v="0"/>
    <n v="8"/>
    <n v="621.5"/>
    <n v="30.4"/>
    <n v="40"/>
    <x v="0"/>
    <n v="591.1"/>
    <n v="1171.9000000000001"/>
    <n v="5"/>
    <x v="0"/>
    <x v="0"/>
    <n v="5"/>
    <n v="8.3333333333333329E-2"/>
    <x v="9"/>
    <x v="7"/>
    <m/>
    <x v="1"/>
    <x v="0"/>
    <x v="0"/>
    <x v="0"/>
    <x v="0"/>
    <n v="25"/>
    <n v="0.41666666666666669"/>
    <n v="0.5"/>
    <n v="11.5"/>
    <x v="1"/>
    <x v="0"/>
    <m/>
    <x v="0"/>
    <n v="626.5"/>
    <x v="0"/>
    <x v="26"/>
    <x v="0"/>
    <x v="0"/>
    <x v="0"/>
  </r>
  <r>
    <x v="1"/>
    <x v="14"/>
    <s v="2879 F"/>
    <x v="241"/>
    <s v="Usman Amin"/>
    <s v="LDN"/>
    <s v="31+7+7"/>
    <s v="7-7.5/14-15"/>
    <s v="LDN"/>
    <n v="850"/>
    <x v="0"/>
    <n v="7"/>
    <n v="599"/>
    <n v="18.2"/>
    <m/>
    <x v="0"/>
    <n v="580.79999999999995"/>
    <n v="1171.9000000000001"/>
    <m/>
    <x v="0"/>
    <x v="0"/>
    <n v="0"/>
    <n v="0"/>
    <x v="0"/>
    <x v="0"/>
    <m/>
    <x v="0"/>
    <x v="0"/>
    <x v="0"/>
    <x v="0"/>
    <x v="0"/>
    <n v="0"/>
    <n v="0"/>
    <n v="0"/>
    <n v="12"/>
    <x v="1"/>
    <x v="0"/>
    <m/>
    <x v="0"/>
    <n v="604"/>
    <x v="0"/>
    <x v="26"/>
    <x v="0"/>
    <x v="0"/>
    <x v="0"/>
  </r>
  <r>
    <x v="1"/>
    <x v="14"/>
    <s v="7403 J"/>
    <x v="241"/>
    <s v="Procon Engineering Pvt LTD "/>
    <s v="LDM"/>
    <s v="31+6+6"/>
    <s v="10/20"/>
    <s v="LDM"/>
    <n v="300"/>
    <x v="0"/>
    <n v="4"/>
    <n v="324"/>
    <n v="13.2"/>
    <n v="25"/>
    <x v="0"/>
    <n v="310.8"/>
    <n v="310.8"/>
    <n v="15"/>
    <x v="0"/>
    <x v="0"/>
    <n v="15"/>
    <n v="0.25"/>
    <x v="0"/>
    <x v="0"/>
    <m/>
    <x v="0"/>
    <x v="0"/>
    <x v="0"/>
    <x v="0"/>
    <x v="0"/>
    <n v="0"/>
    <n v="0"/>
    <n v="0.25"/>
    <n v="11.75"/>
    <x v="1"/>
    <x v="0"/>
    <m/>
    <x v="0"/>
    <n v="329"/>
    <x v="0"/>
    <x v="26"/>
    <x v="0"/>
    <x v="0"/>
    <x v="0"/>
  </r>
  <r>
    <x v="0"/>
    <x v="15"/>
    <s v="2855/1"/>
    <x v="241"/>
    <s v="MATCO FOOD"/>
    <s v="LDN"/>
    <s v="22.5-23"/>
    <s v="70±2"/>
    <s v="LDN"/>
    <n v="7700"/>
    <x v="0"/>
    <n v="1"/>
    <n v="73"/>
    <n v="3"/>
    <m/>
    <x v="0"/>
    <n v="70"/>
    <n v="9255.0999999999985"/>
    <m/>
    <x v="0"/>
    <x v="0"/>
    <n v="0"/>
    <n v="0"/>
    <x v="0"/>
    <x v="0"/>
    <m/>
    <x v="0"/>
    <x v="0"/>
    <x v="0"/>
    <x v="0"/>
    <x v="0"/>
    <n v="0"/>
    <n v="0"/>
    <n v="0"/>
    <n v="12"/>
    <x v="1"/>
    <x v="0"/>
    <m/>
    <x v="0"/>
    <n v="78"/>
    <x v="0"/>
    <x v="26"/>
    <x v="0"/>
    <x v="0"/>
    <x v="0"/>
  </r>
  <r>
    <x v="0"/>
    <x v="15"/>
    <s v="7369 J"/>
    <x v="241"/>
    <s v="Precision Polymers Pvt LTD"/>
    <s v="LDN"/>
    <n v="26"/>
    <s v="8.5-9"/>
    <s v="LDN"/>
    <n v="120.60956790123457"/>
    <x v="0"/>
    <n v="2"/>
    <n v="126"/>
    <n v="6.6"/>
    <m/>
    <x v="0"/>
    <n v="119.4"/>
    <n v="119.4"/>
    <n v="3"/>
    <x v="0"/>
    <x v="0"/>
    <n v="3"/>
    <n v="0.05"/>
    <x v="0"/>
    <x v="0"/>
    <m/>
    <x v="0"/>
    <x v="0"/>
    <x v="0"/>
    <x v="0"/>
    <x v="0"/>
    <n v="0"/>
    <n v="0"/>
    <n v="0.05"/>
    <n v="11.95"/>
    <x v="1"/>
    <x v="0"/>
    <m/>
    <x v="0"/>
    <n v="131"/>
    <x v="0"/>
    <x v="26"/>
    <x v="0"/>
    <x v="0"/>
    <x v="0"/>
  </r>
  <r>
    <x v="0"/>
    <x v="15"/>
    <s v="7355 J"/>
    <x v="241"/>
    <s v="M.K.B PESAHAR"/>
    <s v="LDN"/>
    <n v="22"/>
    <s v="6-6.5"/>
    <s v="LDN"/>
    <n v="400"/>
    <x v="0"/>
    <n v="5"/>
    <n v="300.5"/>
    <n v="11.5"/>
    <n v="10"/>
    <x v="0"/>
    <n v="289"/>
    <n v="407.8"/>
    <n v="2"/>
    <x v="0"/>
    <x v="0"/>
    <n v="2"/>
    <n v="3.3333333333333333E-2"/>
    <x v="9"/>
    <x v="0"/>
    <m/>
    <x v="0"/>
    <x v="0"/>
    <x v="0"/>
    <x v="0"/>
    <x v="0"/>
    <n v="10"/>
    <n v="0.16666666666666666"/>
    <n v="0.19999999999999998"/>
    <n v="11.8"/>
    <x v="1"/>
    <x v="0"/>
    <m/>
    <x v="0"/>
    <n v="305.5"/>
    <x v="0"/>
    <x v="26"/>
    <x v="0"/>
    <x v="0"/>
    <x v="0"/>
  </r>
  <r>
    <x v="1"/>
    <x v="15"/>
    <s v="7355 J"/>
    <x v="241"/>
    <s v="M.K.B PESAHAR"/>
    <s v="LDN"/>
    <n v="22"/>
    <s v="6-6.5"/>
    <s v="LDN"/>
    <n v="400"/>
    <x v="0"/>
    <n v="2"/>
    <n v="123"/>
    <n v="4.2"/>
    <n v="3"/>
    <x v="0"/>
    <n v="118.8"/>
    <n v="407.8"/>
    <n v="2"/>
    <x v="0"/>
    <x v="0"/>
    <n v="2"/>
    <n v="3.3333333333333333E-2"/>
    <x v="0"/>
    <x v="0"/>
    <m/>
    <x v="0"/>
    <x v="0"/>
    <x v="0"/>
    <x v="0"/>
    <x v="0"/>
    <n v="0"/>
    <n v="0"/>
    <n v="3.3333333333333333E-2"/>
    <n v="11.966666666666667"/>
    <x v="1"/>
    <x v="0"/>
    <m/>
    <x v="0"/>
    <n v="128"/>
    <x v="0"/>
    <x v="26"/>
    <x v="0"/>
    <x v="0"/>
    <x v="0"/>
  </r>
  <r>
    <x v="1"/>
    <x v="15"/>
    <s v="7357 J"/>
    <x v="241"/>
    <s v="M.K.B PESAHAR"/>
    <s v="LDN"/>
    <n v="22"/>
    <s v="6-6.5"/>
    <s v="LDN"/>
    <n v="100"/>
    <x v="0"/>
    <n v="2"/>
    <n v="104.5"/>
    <n v="3"/>
    <m/>
    <x v="0"/>
    <n v="101.5"/>
    <n v="101.5"/>
    <m/>
    <x v="0"/>
    <x v="0"/>
    <n v="0"/>
    <n v="0"/>
    <x v="0"/>
    <x v="0"/>
    <m/>
    <x v="0"/>
    <x v="0"/>
    <x v="0"/>
    <x v="0"/>
    <x v="0"/>
    <n v="0"/>
    <n v="0"/>
    <n v="0"/>
    <n v="12"/>
    <x v="1"/>
    <x v="0"/>
    <m/>
    <x v="0"/>
    <n v="109.5"/>
    <x v="0"/>
    <x v="26"/>
    <x v="0"/>
    <x v="0"/>
    <x v="0"/>
  </r>
  <r>
    <x v="1"/>
    <x v="15"/>
    <s v="7356 J"/>
    <x v="241"/>
    <s v="M.K.B PESAHAR"/>
    <s v="LDN"/>
    <n v="20"/>
    <s v="6-6.5"/>
    <s v="LDN"/>
    <n v="100"/>
    <x v="0"/>
    <n v="2"/>
    <n v="114"/>
    <n v="5"/>
    <m/>
    <x v="0"/>
    <n v="109"/>
    <n v="109"/>
    <m/>
    <x v="0"/>
    <x v="0"/>
    <n v="0"/>
    <n v="0"/>
    <x v="0"/>
    <x v="0"/>
    <m/>
    <x v="0"/>
    <x v="0"/>
    <x v="0"/>
    <x v="0"/>
    <x v="0"/>
    <n v="0"/>
    <n v="0"/>
    <n v="0"/>
    <n v="12"/>
    <x v="1"/>
    <x v="0"/>
    <m/>
    <x v="0"/>
    <n v="119"/>
    <x v="0"/>
    <x v="26"/>
    <x v="0"/>
    <x v="0"/>
    <x v="0"/>
  </r>
  <r>
    <x v="1"/>
    <x v="15"/>
    <s v="7319 J"/>
    <x v="241"/>
    <s v="Usman Arif Butt Gujranwala"/>
    <s v="LDN"/>
    <n v="20"/>
    <s v="6.5-7"/>
    <s v="LDN"/>
    <n v="200"/>
    <x v="0"/>
    <n v="2"/>
    <n v="105"/>
    <n v="5"/>
    <m/>
    <x v="0"/>
    <n v="100"/>
    <n v="202.9"/>
    <m/>
    <x v="0"/>
    <x v="0"/>
    <n v="0"/>
    <n v="0"/>
    <x v="0"/>
    <x v="0"/>
    <m/>
    <x v="0"/>
    <x v="0"/>
    <x v="0"/>
    <x v="0"/>
    <x v="0"/>
    <n v="0"/>
    <n v="0"/>
    <n v="0"/>
    <n v="12"/>
    <x v="1"/>
    <x v="0"/>
    <m/>
    <x v="0"/>
    <n v="110"/>
    <x v="0"/>
    <x v="26"/>
    <x v="0"/>
    <x v="0"/>
    <x v="0"/>
  </r>
  <r>
    <x v="0"/>
    <x v="8"/>
    <s v="2858 F"/>
    <x v="242"/>
    <s v="Usman Amin"/>
    <s v="LDN"/>
    <n v="11"/>
    <s v="12"/>
    <s v="LDN"/>
    <n v="500"/>
    <x v="0"/>
    <n v="3"/>
    <n v="197.6"/>
    <n v="4.3"/>
    <n v="3"/>
    <x v="0"/>
    <n v="193.29999999999998"/>
    <n v="480.89999999999992"/>
    <m/>
    <x v="0"/>
    <x v="0"/>
    <n v="0"/>
    <n v="0"/>
    <x v="0"/>
    <x v="0"/>
    <m/>
    <x v="0"/>
    <x v="0"/>
    <x v="0"/>
    <x v="0"/>
    <x v="0"/>
    <n v="0"/>
    <n v="0"/>
    <n v="0"/>
    <n v="12"/>
    <x v="1"/>
    <x v="0"/>
    <m/>
    <x v="0"/>
    <n v="202.6"/>
    <x v="0"/>
    <x v="26"/>
    <x v="0"/>
    <x v="0"/>
    <x v="0"/>
  </r>
  <r>
    <x v="1"/>
    <x v="8"/>
    <s v="2858 F"/>
    <x v="242"/>
    <s v="Usman Amin"/>
    <s v="LDN"/>
    <n v="11"/>
    <s v="12"/>
    <s v="LDN"/>
    <n v="500"/>
    <x v="0"/>
    <n v="2"/>
    <n v="113.1"/>
    <n v="2.9"/>
    <n v="3"/>
    <x v="0"/>
    <n v="110.19999999999999"/>
    <n v="480.89999999999992"/>
    <n v="5"/>
    <x v="0"/>
    <x v="0"/>
    <n v="5"/>
    <n v="8.3333333333333329E-2"/>
    <x v="0"/>
    <x v="0"/>
    <m/>
    <x v="0"/>
    <x v="0"/>
    <x v="0"/>
    <x v="0"/>
    <x v="0"/>
    <n v="0"/>
    <n v="0"/>
    <n v="8.3333333333333329E-2"/>
    <n v="11.916666666666666"/>
    <x v="1"/>
    <x v="0"/>
    <m/>
    <x v="0"/>
    <n v="118.1"/>
    <x v="0"/>
    <x v="26"/>
    <x v="0"/>
    <x v="0"/>
    <x v="0"/>
  </r>
  <r>
    <x v="1"/>
    <x v="8"/>
    <s v="7391 J"/>
    <x v="242"/>
    <s v="AbuBakar Butt Lahore"/>
    <s v="LDN"/>
    <n v="12"/>
    <s v="8.5-9"/>
    <s v="LDN"/>
    <n v="500"/>
    <x v="0"/>
    <n v="2"/>
    <n v="122"/>
    <n v="3"/>
    <m/>
    <x v="0"/>
    <n v="119"/>
    <n v="512.4"/>
    <m/>
    <x v="0"/>
    <x v="0"/>
    <n v="0"/>
    <n v="0"/>
    <x v="0"/>
    <x v="0"/>
    <m/>
    <x v="0"/>
    <x v="0"/>
    <x v="0"/>
    <x v="0"/>
    <x v="0"/>
    <n v="0"/>
    <n v="0"/>
    <n v="0"/>
    <n v="12"/>
    <x v="1"/>
    <x v="0"/>
    <m/>
    <x v="0"/>
    <n v="127"/>
    <x v="0"/>
    <x v="26"/>
    <x v="0"/>
    <x v="0"/>
    <x v="0"/>
  </r>
  <r>
    <x v="0"/>
    <x v="9"/>
    <s v="7223 J"/>
    <x v="242"/>
    <s v="Jazz Hattari Lahore"/>
    <s v="LDM"/>
    <n v="9"/>
    <s v="13-14"/>
    <s v="LDM"/>
    <n v="100"/>
    <x v="0"/>
    <n v="2"/>
    <n v="111.5"/>
    <n v="2.2000000000000002"/>
    <m/>
    <x v="0"/>
    <n v="109.3"/>
    <n v="109.3"/>
    <m/>
    <x v="0"/>
    <x v="0"/>
    <n v="0"/>
    <n v="0"/>
    <x v="0"/>
    <x v="0"/>
    <m/>
    <x v="0"/>
    <x v="0"/>
    <x v="0"/>
    <x v="0"/>
    <x v="0"/>
    <n v="0"/>
    <n v="0"/>
    <n v="0"/>
    <n v="12"/>
    <x v="1"/>
    <x v="0"/>
    <m/>
    <x v="0"/>
    <n v="116.5"/>
    <x v="0"/>
    <x v="26"/>
    <x v="0"/>
    <x v="0"/>
    <x v="0"/>
  </r>
  <r>
    <x v="0"/>
    <x v="9"/>
    <s v="7359 J"/>
    <x v="242"/>
    <s v="Usman Arif Butt Gujranwala"/>
    <s v="LDM"/>
    <n v="10"/>
    <s v="13-14"/>
    <s v="LDM"/>
    <n v="100"/>
    <x v="0"/>
    <n v="1"/>
    <n v="55.4"/>
    <n v="1.2"/>
    <n v="2"/>
    <x v="0"/>
    <n v="54.199999999999996"/>
    <n v="103"/>
    <n v="2"/>
    <x v="0"/>
    <x v="0"/>
    <n v="2"/>
    <n v="3.3333333333333333E-2"/>
    <x v="0"/>
    <x v="0"/>
    <m/>
    <x v="0"/>
    <x v="0"/>
    <x v="0"/>
    <x v="0"/>
    <x v="0"/>
    <n v="0"/>
    <n v="0"/>
    <n v="3.3333333333333333E-2"/>
    <n v="11.966666666666667"/>
    <x v="1"/>
    <x v="0"/>
    <m/>
    <x v="0"/>
    <n v="60.4"/>
    <x v="0"/>
    <x v="26"/>
    <x v="0"/>
    <x v="0"/>
    <x v="0"/>
  </r>
  <r>
    <x v="1"/>
    <x v="9"/>
    <s v="7359 J"/>
    <x v="242"/>
    <s v="Usman Arif Butt Gujranwala"/>
    <s v="LDM"/>
    <n v="10"/>
    <s v="13-14"/>
    <s v="LDM"/>
    <n v="100"/>
    <x v="0"/>
    <n v="1"/>
    <n v="50"/>
    <n v="1.2"/>
    <n v="22"/>
    <x v="0"/>
    <n v="48.8"/>
    <n v="103"/>
    <n v="2"/>
    <x v="0"/>
    <x v="0"/>
    <n v="2"/>
    <n v="3.3333333333333333E-2"/>
    <x v="0"/>
    <x v="0"/>
    <m/>
    <x v="0"/>
    <x v="0"/>
    <x v="0"/>
    <x v="0"/>
    <x v="0"/>
    <n v="0"/>
    <n v="0"/>
    <n v="3.3333333333333333E-2"/>
    <n v="11.966666666666667"/>
    <x v="1"/>
    <x v="0"/>
    <m/>
    <x v="0"/>
    <n v="55"/>
    <x v="0"/>
    <x v="26"/>
    <x v="0"/>
    <x v="0"/>
    <x v="0"/>
  </r>
  <r>
    <x v="1"/>
    <x v="9"/>
    <s v="7135 J"/>
    <x v="242"/>
    <s v="Usman Arif Butt Gujranwala"/>
    <s v="LDN"/>
    <n v="2.5"/>
    <n v="14"/>
    <s v="LDN"/>
    <n v="200"/>
    <x v="0"/>
    <n v="2"/>
    <n v="51.3"/>
    <n v="2.8"/>
    <m/>
    <x v="0"/>
    <n v="48.5"/>
    <n v="207.09999999999997"/>
    <m/>
    <x v="0"/>
    <x v="0"/>
    <n v="0"/>
    <n v="0"/>
    <x v="0"/>
    <x v="0"/>
    <m/>
    <x v="0"/>
    <x v="0"/>
    <x v="0"/>
    <x v="0"/>
    <x v="0"/>
    <n v="0"/>
    <n v="0"/>
    <n v="0"/>
    <n v="12"/>
    <x v="1"/>
    <x v="0"/>
    <m/>
    <x v="0"/>
    <n v="56.3"/>
    <x v="0"/>
    <x v="26"/>
    <x v="0"/>
    <x v="0"/>
    <x v="0"/>
  </r>
  <r>
    <x v="0"/>
    <x v="11"/>
    <s v="1150 J"/>
    <x v="242"/>
    <s v="THANK YOU"/>
    <m/>
    <n v="18"/>
    <s v="12-13"/>
    <m/>
    <m/>
    <x v="0"/>
    <n v="1"/>
    <n v="86.5"/>
    <n v="1.8"/>
    <m/>
    <x v="0"/>
    <n v="84.7"/>
    <n v="1647.44"/>
    <m/>
    <x v="0"/>
    <x v="0"/>
    <n v="0"/>
    <n v="0"/>
    <x v="0"/>
    <x v="0"/>
    <m/>
    <x v="0"/>
    <x v="0"/>
    <x v="0"/>
    <x v="0"/>
    <x v="0"/>
    <n v="0"/>
    <n v="0"/>
    <n v="0"/>
    <n v="12"/>
    <x v="1"/>
    <x v="0"/>
    <m/>
    <x v="0"/>
    <n v="91.5"/>
    <x v="0"/>
    <x v="26"/>
    <x v="0"/>
    <x v="0"/>
    <x v="0"/>
  </r>
  <r>
    <x v="0"/>
    <x v="11"/>
    <s v="7438 J"/>
    <x v="242"/>
    <s v="Waqas Wollan Mills Gujranwala"/>
    <s v="LD ریڈ"/>
    <n v="11"/>
    <s v="8-8.5"/>
    <s v="LDM"/>
    <n v="200"/>
    <x v="0"/>
    <n v="4"/>
    <n v="207.5"/>
    <n v="5.2"/>
    <m/>
    <x v="0"/>
    <n v="202.3"/>
    <n v="202.3"/>
    <n v="3"/>
    <x v="0"/>
    <x v="0"/>
    <n v="3"/>
    <n v="0.05"/>
    <x v="0"/>
    <x v="0"/>
    <m/>
    <x v="0"/>
    <x v="0"/>
    <x v="0"/>
    <x v="0"/>
    <x v="0"/>
    <n v="0"/>
    <n v="0"/>
    <n v="0.05"/>
    <n v="11.95"/>
    <x v="1"/>
    <x v="0"/>
    <m/>
    <x v="0"/>
    <n v="212.5"/>
    <x v="0"/>
    <x v="26"/>
    <x v="0"/>
    <x v="0"/>
    <x v="0"/>
  </r>
  <r>
    <x v="0"/>
    <x v="11"/>
    <s v="7440 J"/>
    <x v="242"/>
    <s v="Waqas Wollan Mills Gujranwala"/>
    <s v="LD ریڈ"/>
    <n v="14"/>
    <s v="8-8.5"/>
    <s v="LDM"/>
    <n v="200"/>
    <x v="0"/>
    <n v="2"/>
    <n v="131.5"/>
    <n v="3.6"/>
    <n v="7"/>
    <x v="0"/>
    <n v="127.9"/>
    <n v="200.5"/>
    <n v="2"/>
    <x v="0"/>
    <x v="0"/>
    <n v="2"/>
    <n v="3.3333333333333333E-2"/>
    <x v="0"/>
    <x v="0"/>
    <m/>
    <x v="0"/>
    <x v="0"/>
    <x v="0"/>
    <x v="0"/>
    <x v="0"/>
    <n v="0"/>
    <n v="0"/>
    <n v="3.3333333333333333E-2"/>
    <n v="11.966666666666667"/>
    <x v="1"/>
    <x v="0"/>
    <m/>
    <x v="0"/>
    <n v="136.5"/>
    <x v="0"/>
    <x v="26"/>
    <x v="0"/>
    <x v="0"/>
    <x v="0"/>
  </r>
  <r>
    <x v="1"/>
    <x v="11"/>
    <s v="7440 J"/>
    <x v="242"/>
    <s v="Waqas Wollan Mills Gujranwala"/>
    <s v="LD ریڈ"/>
    <n v="14"/>
    <s v="8-8.5"/>
    <s v="LDM"/>
    <n v="200"/>
    <x v="0"/>
    <n v="1"/>
    <n v="74"/>
    <n v="1.4"/>
    <n v="35"/>
    <x v="0"/>
    <n v="72.599999999999994"/>
    <n v="200.5"/>
    <n v="5"/>
    <x v="0"/>
    <x v="0"/>
    <n v="5"/>
    <n v="8.3333333333333329E-2"/>
    <x v="0"/>
    <x v="0"/>
    <m/>
    <x v="0"/>
    <x v="0"/>
    <x v="0"/>
    <x v="0"/>
    <x v="0"/>
    <n v="0"/>
    <n v="0"/>
    <n v="8.3333333333333329E-2"/>
    <n v="11.916666666666666"/>
    <x v="1"/>
    <x v="0"/>
    <m/>
    <x v="0"/>
    <n v="79"/>
    <x v="0"/>
    <x v="26"/>
    <x v="0"/>
    <x v="0"/>
    <x v="0"/>
  </r>
  <r>
    <x v="1"/>
    <x v="11"/>
    <s v="7437 J"/>
    <x v="242"/>
    <s v="Waqas Wollan Mills Gujranwala"/>
    <s v="LD اورنج"/>
    <n v="12"/>
    <s v="8-8.5"/>
    <s v="LDM"/>
    <n v="100"/>
    <x v="0"/>
    <n v="2"/>
    <n v="109.5"/>
    <n v="3"/>
    <m/>
    <x v="0"/>
    <n v="106.5"/>
    <n v="106.5"/>
    <n v="5"/>
    <x v="0"/>
    <x v="0"/>
    <n v="5"/>
    <n v="8.3333333333333329E-2"/>
    <x v="0"/>
    <x v="0"/>
    <m/>
    <x v="0"/>
    <x v="0"/>
    <x v="0"/>
    <x v="0"/>
    <x v="0"/>
    <n v="0"/>
    <n v="0"/>
    <n v="8.3333333333333329E-2"/>
    <n v="11.916666666666666"/>
    <x v="1"/>
    <x v="0"/>
    <m/>
    <x v="0"/>
    <n v="114.5"/>
    <x v="0"/>
    <x v="26"/>
    <x v="0"/>
    <x v="0"/>
    <x v="0"/>
  </r>
  <r>
    <x v="1"/>
    <x v="11"/>
    <s v="1150 J"/>
    <x v="242"/>
    <s v="-"/>
    <m/>
    <n v="18"/>
    <s v="11-12"/>
    <m/>
    <m/>
    <x v="0"/>
    <n v="1"/>
    <n v="94.5"/>
    <n v="1.8"/>
    <m/>
    <x v="0"/>
    <n v="92.7"/>
    <n v="1647.44"/>
    <n v="5"/>
    <x v="0"/>
    <x v="0"/>
    <n v="5"/>
    <n v="8.3333333333333329E-2"/>
    <x v="0"/>
    <x v="0"/>
    <m/>
    <x v="0"/>
    <x v="0"/>
    <x v="0"/>
    <x v="0"/>
    <x v="0"/>
    <n v="0"/>
    <n v="0"/>
    <n v="8.3333333333333329E-2"/>
    <n v="11.916666666666666"/>
    <x v="1"/>
    <x v="0"/>
    <m/>
    <x v="0"/>
    <n v="99.5"/>
    <x v="0"/>
    <x v="26"/>
    <x v="0"/>
    <x v="0"/>
    <x v="0"/>
  </r>
  <r>
    <x v="1"/>
    <x v="11"/>
    <s v="1150 J"/>
    <x v="242"/>
    <s v="-"/>
    <m/>
    <n v="16"/>
    <s v="11-12"/>
    <m/>
    <m/>
    <x v="0"/>
    <n v="1"/>
    <n v="45.5"/>
    <n v="1.6"/>
    <m/>
    <x v="0"/>
    <n v="43.9"/>
    <n v="1647.44"/>
    <n v="10"/>
    <x v="0"/>
    <x v="0"/>
    <n v="10"/>
    <n v="0.16666666666666666"/>
    <x v="0"/>
    <x v="0"/>
    <m/>
    <x v="0"/>
    <x v="0"/>
    <x v="0"/>
    <x v="0"/>
    <x v="0"/>
    <n v="0"/>
    <n v="0"/>
    <n v="0.16666666666666666"/>
    <n v="11.833333333333334"/>
    <x v="1"/>
    <x v="0"/>
    <m/>
    <x v="0"/>
    <n v="50.5"/>
    <x v="0"/>
    <x v="26"/>
    <x v="0"/>
    <x v="0"/>
    <x v="0"/>
  </r>
  <r>
    <x v="1"/>
    <x v="11"/>
    <s v="7441 J"/>
    <x v="242"/>
    <s v="Waqas Wollan Mills Gujranwala"/>
    <s v="LD گرین"/>
    <n v="13"/>
    <s v="8-8.5"/>
    <s v="LDM"/>
    <n v="200"/>
    <x v="0"/>
    <n v="1"/>
    <n v="65"/>
    <n v="1.5"/>
    <m/>
    <x v="0"/>
    <n v="63.5"/>
    <n v="208.4"/>
    <n v="10"/>
    <x v="0"/>
    <x v="0"/>
    <n v="10"/>
    <n v="0.16666666666666666"/>
    <x v="0"/>
    <x v="0"/>
    <m/>
    <x v="0"/>
    <x v="0"/>
    <x v="0"/>
    <x v="0"/>
    <x v="0"/>
    <n v="0"/>
    <n v="0"/>
    <n v="0.16666666666666666"/>
    <n v="11.833333333333334"/>
    <x v="1"/>
    <x v="0"/>
    <m/>
    <x v="0"/>
    <n v="70"/>
    <x v="0"/>
    <x v="26"/>
    <x v="0"/>
    <x v="0"/>
    <x v="0"/>
  </r>
  <r>
    <x v="0"/>
    <x v="13"/>
    <s v="2919 F"/>
    <x v="242"/>
    <s v="Usman Amin"/>
    <s v="LDN"/>
    <n v="25"/>
    <s v="5-5.5"/>
    <s v="LDN"/>
    <n v="450"/>
    <x v="0"/>
    <n v="3"/>
    <n v="140"/>
    <n v="8.3999999999999986"/>
    <n v="6"/>
    <x v="0"/>
    <n v="131.6"/>
    <n v="453.1"/>
    <n v="3"/>
    <x v="0"/>
    <x v="0"/>
    <n v="3"/>
    <n v="0.05"/>
    <x v="0"/>
    <x v="0"/>
    <m/>
    <x v="0"/>
    <x v="0"/>
    <x v="0"/>
    <x v="0"/>
    <x v="0"/>
    <n v="0"/>
    <n v="0"/>
    <n v="0.05"/>
    <n v="11.95"/>
    <x v="1"/>
    <x v="0"/>
    <m/>
    <x v="0"/>
    <n v="145"/>
    <x v="0"/>
    <x v="26"/>
    <x v="0"/>
    <x v="0"/>
    <x v="0"/>
  </r>
  <r>
    <x v="0"/>
    <x v="13"/>
    <s v="2921 F"/>
    <x v="242"/>
    <s v="Usman Amin"/>
    <s v="LDN"/>
    <n v="22"/>
    <s v="7"/>
    <s v="LDN"/>
    <n v="515"/>
    <x v="0"/>
    <n v="3"/>
    <n v="211"/>
    <n v="7.5"/>
    <m/>
    <x v="0"/>
    <n v="203.5"/>
    <n v="506.5"/>
    <m/>
    <x v="0"/>
    <x v="0"/>
    <n v="0"/>
    <n v="0"/>
    <x v="0"/>
    <x v="0"/>
    <m/>
    <x v="0"/>
    <x v="0"/>
    <x v="0"/>
    <x v="0"/>
    <x v="0"/>
    <n v="0"/>
    <n v="0"/>
    <n v="0"/>
    <n v="12"/>
    <x v="1"/>
    <x v="0"/>
    <m/>
    <x v="0"/>
    <n v="216"/>
    <x v="0"/>
    <x v="26"/>
    <x v="0"/>
    <x v="0"/>
    <x v="0"/>
  </r>
  <r>
    <x v="1"/>
    <x v="13"/>
    <s v="2921 F"/>
    <x v="242"/>
    <s v="Usman Amin"/>
    <s v="LDN"/>
    <n v="22"/>
    <s v="7"/>
    <s v="LDN"/>
    <n v="515"/>
    <x v="0"/>
    <n v="5"/>
    <n v="316"/>
    <n v="13"/>
    <n v="3"/>
    <x v="0"/>
    <n v="303"/>
    <n v="506.5"/>
    <m/>
    <x v="0"/>
    <x v="0"/>
    <n v="0"/>
    <n v="0"/>
    <x v="0"/>
    <x v="0"/>
    <m/>
    <x v="0"/>
    <x v="0"/>
    <x v="0"/>
    <x v="0"/>
    <x v="0"/>
    <n v="0"/>
    <n v="0"/>
    <n v="0"/>
    <n v="12"/>
    <x v="1"/>
    <x v="0"/>
    <m/>
    <x v="0"/>
    <n v="321"/>
    <x v="0"/>
    <x v="26"/>
    <x v="0"/>
    <x v="0"/>
    <x v="0"/>
  </r>
  <r>
    <x v="0"/>
    <x v="12"/>
    <s v="2855/1"/>
    <x v="242"/>
    <s v="MATCO FOOD"/>
    <s v="LDN"/>
    <s v="22.5-23"/>
    <s v="70±2"/>
    <s v="LDN"/>
    <n v="7700"/>
    <x v="0"/>
    <n v="3"/>
    <n v="389.9"/>
    <n v="6.8999999999999995"/>
    <m/>
    <x v="0"/>
    <n v="383"/>
    <n v="9255.0999999999985"/>
    <m/>
    <x v="9"/>
    <x v="0"/>
    <n v="240"/>
    <n v="4"/>
    <x v="0"/>
    <x v="0"/>
    <m/>
    <x v="0"/>
    <x v="0"/>
    <x v="0"/>
    <x v="0"/>
    <x v="0"/>
    <n v="0"/>
    <n v="0"/>
    <n v="4"/>
    <n v="8"/>
    <x v="1"/>
    <x v="0"/>
    <m/>
    <x v="0"/>
    <n v="394.9"/>
    <x v="0"/>
    <x v="26"/>
    <x v="0"/>
    <x v="0"/>
    <x v="0"/>
  </r>
  <r>
    <x v="1"/>
    <x v="12"/>
    <s v="2855/1"/>
    <x v="242"/>
    <s v="MATCO FOOD"/>
    <s v="LDN"/>
    <s v="22.5-23"/>
    <s v="70±2"/>
    <s v="LDN"/>
    <n v="7700"/>
    <x v="0"/>
    <n v="5"/>
    <n v="650.4"/>
    <n v="14"/>
    <m/>
    <x v="0"/>
    <n v="636.4"/>
    <n v="9255.0999999999985"/>
    <m/>
    <x v="0"/>
    <x v="0"/>
    <n v="0"/>
    <n v="0"/>
    <x v="0"/>
    <x v="0"/>
    <m/>
    <x v="0"/>
    <x v="0"/>
    <x v="0"/>
    <x v="0"/>
    <x v="0"/>
    <n v="0"/>
    <n v="0"/>
    <n v="0"/>
    <n v="12"/>
    <x v="1"/>
    <x v="0"/>
    <m/>
    <x v="0"/>
    <n v="655.4"/>
    <x v="0"/>
    <x v="26"/>
    <x v="0"/>
    <x v="0"/>
    <x v="0"/>
  </r>
  <r>
    <x v="0"/>
    <x v="14"/>
    <s v="7334 J"/>
    <x v="242"/>
    <s v="Fashion Time Royal Tex Azam Market LHR"/>
    <s v="LDM"/>
    <n v="16"/>
    <s v="16-16.5"/>
    <s v="LDM"/>
    <n v="100"/>
    <x v="0"/>
    <n v="2"/>
    <n v="107"/>
    <n v="3.2"/>
    <m/>
    <x v="0"/>
    <n v="103.8"/>
    <n v="228"/>
    <m/>
    <x v="0"/>
    <x v="0"/>
    <n v="0"/>
    <n v="0"/>
    <x v="0"/>
    <x v="0"/>
    <m/>
    <x v="0"/>
    <x v="0"/>
    <x v="0"/>
    <x v="0"/>
    <x v="0"/>
    <n v="0"/>
    <n v="0"/>
    <n v="0"/>
    <n v="12"/>
    <x v="1"/>
    <x v="0"/>
    <m/>
    <x v="0"/>
    <n v="112"/>
    <x v="0"/>
    <x v="26"/>
    <x v="0"/>
    <x v="0"/>
    <x v="0"/>
  </r>
  <r>
    <x v="0"/>
    <x v="14"/>
    <s v="7334 J"/>
    <x v="242"/>
    <s v="Fashion Time Royal Tex Azam Market LHR"/>
    <s v="LDM"/>
    <n v="16"/>
    <s v="16-16.5"/>
    <s v="LDM"/>
    <n v="100"/>
    <x v="0"/>
    <n v="4"/>
    <n v="129"/>
    <n v="4.8"/>
    <m/>
    <x v="0"/>
    <n v="124.2"/>
    <n v="228"/>
    <n v="5"/>
    <x v="0"/>
    <x v="0"/>
    <n v="5"/>
    <n v="8.3333333333333329E-2"/>
    <x v="0"/>
    <x v="0"/>
    <m/>
    <x v="0"/>
    <x v="0"/>
    <x v="0"/>
    <x v="0"/>
    <x v="0"/>
    <n v="0"/>
    <n v="0"/>
    <n v="8.3333333333333329E-2"/>
    <n v="11.916666666666666"/>
    <x v="1"/>
    <x v="0"/>
    <m/>
    <x v="0"/>
    <n v="134"/>
    <x v="0"/>
    <x v="26"/>
    <x v="0"/>
    <x v="0"/>
    <x v="0"/>
  </r>
  <r>
    <x v="0"/>
    <x v="14"/>
    <s v="7409 J"/>
    <x v="242"/>
    <s v="Irfan Sab Azam Market Lahore "/>
    <s v="LDM"/>
    <s v="12+3+3"/>
    <s v="7.5-8/15-16"/>
    <s v="LDM"/>
    <n v="125"/>
    <x v="0"/>
    <n v="4"/>
    <n v="115.5"/>
    <n v="5.6"/>
    <m/>
    <x v="0"/>
    <n v="109.9"/>
    <n v="109.9"/>
    <n v="5"/>
    <x v="0"/>
    <x v="0"/>
    <n v="5"/>
    <n v="8.3333333333333329E-2"/>
    <x v="0"/>
    <x v="0"/>
    <m/>
    <x v="0"/>
    <x v="0"/>
    <x v="0"/>
    <x v="0"/>
    <x v="0"/>
    <n v="0"/>
    <n v="0"/>
    <n v="8.3333333333333329E-2"/>
    <n v="11.916666666666666"/>
    <x v="1"/>
    <x v="0"/>
    <m/>
    <x v="0"/>
    <n v="120.5"/>
    <x v="0"/>
    <x v="26"/>
    <x v="0"/>
    <x v="0"/>
    <x v="0"/>
  </r>
  <r>
    <x v="0"/>
    <x v="14"/>
    <s v="1150 J"/>
    <x v="242"/>
    <s v="-"/>
    <m/>
    <n v="22"/>
    <s v="12-13"/>
    <m/>
    <m/>
    <x v="0"/>
    <n v="1"/>
    <n v="54.5"/>
    <n v="2.2000000000000002"/>
    <m/>
    <x v="0"/>
    <n v="52.3"/>
    <n v="1647.44"/>
    <n v="5"/>
    <x v="0"/>
    <x v="0"/>
    <n v="5"/>
    <n v="8.3333333333333329E-2"/>
    <x v="0"/>
    <x v="0"/>
    <m/>
    <x v="0"/>
    <x v="0"/>
    <x v="0"/>
    <x v="0"/>
    <x v="0"/>
    <n v="0"/>
    <n v="0"/>
    <n v="8.3333333333333329E-2"/>
    <n v="11.916666666666666"/>
    <x v="1"/>
    <x v="0"/>
    <m/>
    <x v="0"/>
    <n v="59.5"/>
    <x v="0"/>
    <x v="26"/>
    <x v="0"/>
    <x v="0"/>
    <x v="0"/>
  </r>
  <r>
    <x v="0"/>
    <x v="14"/>
    <s v="7362 J"/>
    <x v="242"/>
    <s v="Usman Arif Butt Gujranwala"/>
    <s v="LDN"/>
    <n v="32"/>
    <n v="14"/>
    <s v="LDN"/>
    <n v="100"/>
    <x v="0"/>
    <n v="1"/>
    <n v="108.5"/>
    <n v="3.8"/>
    <m/>
    <x v="0"/>
    <n v="104.7"/>
    <n v="104.7"/>
    <n v="10"/>
    <x v="0"/>
    <x v="0"/>
    <n v="10"/>
    <n v="0.16666666666666666"/>
    <x v="0"/>
    <x v="0"/>
    <m/>
    <x v="0"/>
    <x v="0"/>
    <x v="0"/>
    <x v="0"/>
    <x v="0"/>
    <n v="0"/>
    <n v="0"/>
    <n v="0.16666666666666666"/>
    <n v="11.833333333333334"/>
    <x v="1"/>
    <x v="0"/>
    <m/>
    <x v="0"/>
    <n v="113.5"/>
    <x v="0"/>
    <x v="26"/>
    <x v="0"/>
    <x v="0"/>
    <x v="0"/>
  </r>
  <r>
    <x v="0"/>
    <x v="14"/>
    <s v="7413 J"/>
    <x v="242"/>
    <s v="Iqbal Hussain And Sons LTD"/>
    <s v="LDN"/>
    <s v="36.5"/>
    <s v="7.5-8"/>
    <s v="LDN"/>
    <n v="100"/>
    <x v="0"/>
    <n v="2"/>
    <n v="109.5"/>
    <n v="6.8999999999999995"/>
    <n v="42"/>
    <x v="0"/>
    <n v="102.6"/>
    <n v="102.6"/>
    <m/>
    <x v="0"/>
    <x v="0"/>
    <n v="0"/>
    <n v="0"/>
    <x v="0"/>
    <x v="0"/>
    <m/>
    <x v="0"/>
    <x v="0"/>
    <x v="0"/>
    <x v="0"/>
    <x v="0"/>
    <n v="0"/>
    <n v="0"/>
    <n v="0"/>
    <n v="12"/>
    <x v="1"/>
    <x v="0"/>
    <m/>
    <x v="0"/>
    <n v="114.5"/>
    <x v="0"/>
    <x v="26"/>
    <x v="0"/>
    <x v="0"/>
    <x v="0"/>
  </r>
  <r>
    <x v="1"/>
    <x v="14"/>
    <s v="276 R"/>
    <x v="242"/>
    <s v="ریفلیکٹ پیک"/>
    <s v="LDN"/>
    <n v="35"/>
    <s v="5-5.5"/>
    <s v="LDN"/>
    <n v="10000"/>
    <x v="0"/>
    <n v="11"/>
    <n v="841.5"/>
    <n v="27.5"/>
    <n v="9"/>
    <x v="0"/>
    <n v="814"/>
    <n v="9958.4"/>
    <m/>
    <x v="0"/>
    <x v="0"/>
    <n v="0"/>
    <n v="0"/>
    <x v="0"/>
    <x v="0"/>
    <m/>
    <x v="0"/>
    <x v="0"/>
    <x v="0"/>
    <x v="0"/>
    <x v="0"/>
    <n v="0"/>
    <n v="0"/>
    <n v="0"/>
    <n v="12"/>
    <x v="1"/>
    <x v="0"/>
    <m/>
    <x v="0"/>
    <n v="846.5"/>
    <x v="0"/>
    <x v="26"/>
    <x v="0"/>
    <x v="0"/>
    <x v="0"/>
  </r>
  <r>
    <x v="0"/>
    <x v="15"/>
    <s v="7319 J"/>
    <x v="242"/>
    <s v="Usman Arif Butt Gujranwala"/>
    <s v="LDN"/>
    <n v="20"/>
    <s v="6.5-7"/>
    <s v="LDN"/>
    <n v="200"/>
    <x v="0"/>
    <n v="2"/>
    <n v="107.5"/>
    <n v="4.5999999999999996"/>
    <m/>
    <x v="0"/>
    <n v="102.9"/>
    <n v="202.9"/>
    <m/>
    <x v="0"/>
    <x v="0"/>
    <n v="0"/>
    <n v="0"/>
    <x v="0"/>
    <x v="0"/>
    <m/>
    <x v="0"/>
    <x v="0"/>
    <x v="0"/>
    <x v="0"/>
    <x v="0"/>
    <n v="0"/>
    <n v="0"/>
    <n v="0"/>
    <n v="12"/>
    <x v="1"/>
    <x v="0"/>
    <m/>
    <x v="0"/>
    <n v="112.5"/>
    <x v="0"/>
    <x v="26"/>
    <x v="0"/>
    <x v="0"/>
    <x v="0"/>
  </r>
  <r>
    <x v="0"/>
    <x v="15"/>
    <s v="7321 J"/>
    <x v="242"/>
    <s v="Usman Arif Butt Gujranwala"/>
    <s v="LDN"/>
    <n v="20"/>
    <s v="6"/>
    <s v="LDN"/>
    <n v="100"/>
    <x v="0"/>
    <n v="2"/>
    <n v="108"/>
    <n v="4.5999999999999996"/>
    <m/>
    <x v="0"/>
    <n v="103.4"/>
    <n v="103.4"/>
    <n v="2"/>
    <x v="0"/>
    <x v="0"/>
    <n v="2"/>
    <n v="3.3333333333333333E-2"/>
    <x v="0"/>
    <x v="0"/>
    <m/>
    <x v="0"/>
    <x v="0"/>
    <x v="0"/>
    <x v="0"/>
    <x v="0"/>
    <n v="0"/>
    <n v="0"/>
    <n v="3.3333333333333333E-2"/>
    <n v="11.966666666666667"/>
    <x v="1"/>
    <x v="0"/>
    <m/>
    <x v="0"/>
    <n v="113"/>
    <x v="0"/>
    <x v="26"/>
    <x v="0"/>
    <x v="0"/>
    <x v="0"/>
  </r>
  <r>
    <x v="0"/>
    <x v="15"/>
    <s v="7302 J"/>
    <x v="242"/>
    <s v="Nehar Kiara Harbanspura Lahore"/>
    <s v="LDN"/>
    <s v="18 ''"/>
    <s v="5.5-6/11-12"/>
    <s v="LDN"/>
    <n v="100"/>
    <x v="0"/>
    <n v="2"/>
    <n v="128"/>
    <n v="4.2"/>
    <n v="6"/>
    <x v="0"/>
    <n v="123.8"/>
    <n v="123.8"/>
    <n v="2"/>
    <x v="0"/>
    <x v="0"/>
    <n v="2"/>
    <n v="3.3333333333333333E-2"/>
    <x v="0"/>
    <x v="0"/>
    <m/>
    <x v="0"/>
    <x v="0"/>
    <x v="0"/>
    <x v="0"/>
    <x v="0"/>
    <n v="0"/>
    <n v="0"/>
    <n v="3.3333333333333333E-2"/>
    <n v="11.966666666666667"/>
    <x v="1"/>
    <x v="0"/>
    <m/>
    <x v="0"/>
    <n v="133"/>
    <x v="0"/>
    <x v="26"/>
    <x v="0"/>
    <x v="0"/>
    <x v="0"/>
  </r>
  <r>
    <x v="0"/>
    <x v="15"/>
    <s v="7365 J"/>
    <x v="242"/>
    <s v="Mian Traders Meat Kamoki"/>
    <s v="LDN"/>
    <n v="16"/>
    <s v="5-5.5/10-11"/>
    <s v="LDN"/>
    <n v="100"/>
    <x v="0"/>
    <n v="1"/>
    <n v="68"/>
    <n v="1.8"/>
    <n v="5"/>
    <x v="0"/>
    <n v="66.2"/>
    <n v="126.4"/>
    <m/>
    <x v="0"/>
    <x v="0"/>
    <n v="0"/>
    <n v="0"/>
    <x v="0"/>
    <x v="0"/>
    <m/>
    <x v="0"/>
    <x v="0"/>
    <x v="0"/>
    <x v="0"/>
    <x v="0"/>
    <n v="0"/>
    <n v="0"/>
    <n v="0"/>
    <n v="12"/>
    <x v="1"/>
    <x v="0"/>
    <m/>
    <x v="0"/>
    <n v="73"/>
    <x v="0"/>
    <x v="26"/>
    <x v="0"/>
    <x v="0"/>
    <x v="0"/>
  </r>
  <r>
    <x v="1"/>
    <x v="15"/>
    <s v="7365 J"/>
    <x v="242"/>
    <s v="Mian Traders Meat Kamoki"/>
    <s v="LDN"/>
    <n v="16"/>
    <s v="5-5.5/10-11"/>
    <s v="LDN"/>
    <n v="100"/>
    <x v="0"/>
    <n v="1"/>
    <n v="62"/>
    <n v="1.8"/>
    <m/>
    <x v="0"/>
    <n v="60.2"/>
    <n v="126.4"/>
    <n v="1"/>
    <x v="0"/>
    <x v="0"/>
    <n v="1"/>
    <n v="1.6666666666666666E-2"/>
    <x v="0"/>
    <x v="0"/>
    <m/>
    <x v="0"/>
    <x v="0"/>
    <x v="0"/>
    <x v="0"/>
    <x v="0"/>
    <n v="0"/>
    <n v="0"/>
    <n v="1.6666666666666666E-2"/>
    <n v="11.983333333333333"/>
    <x v="1"/>
    <x v="0"/>
    <m/>
    <x v="0"/>
    <n v="67"/>
    <x v="0"/>
    <x v="26"/>
    <x v="0"/>
    <x v="0"/>
    <x v="0"/>
  </r>
  <r>
    <x v="1"/>
    <x v="15"/>
    <s v="7230 J"/>
    <x v="242"/>
    <s v="Zubair Shah Lahore"/>
    <s v="LDN"/>
    <s v="14&quot; شیٹ"/>
    <s v="12-13."/>
    <s v="LDN"/>
    <n v="100"/>
    <x v="0"/>
    <n v="2"/>
    <n v="120"/>
    <n v="3.2"/>
    <m/>
    <x v="0"/>
    <n v="116.8"/>
    <n v="116.8"/>
    <n v="2"/>
    <x v="0"/>
    <x v="0"/>
    <n v="2"/>
    <n v="3.3333333333333333E-2"/>
    <x v="0"/>
    <x v="0"/>
    <m/>
    <x v="0"/>
    <x v="0"/>
    <x v="0"/>
    <x v="0"/>
    <x v="0"/>
    <n v="0"/>
    <n v="0"/>
    <n v="3.3333333333333333E-2"/>
    <n v="11.966666666666667"/>
    <x v="1"/>
    <x v="0"/>
    <m/>
    <x v="0"/>
    <n v="125"/>
    <x v="0"/>
    <x v="26"/>
    <x v="0"/>
    <x v="0"/>
    <x v="0"/>
  </r>
  <r>
    <x v="1"/>
    <x v="15"/>
    <s v="7320 J"/>
    <x v="242"/>
    <s v="Usman Arif Butt Gujranwala"/>
    <s v="LDN"/>
    <n v="16"/>
    <n v="5"/>
    <s v="LDN"/>
    <n v="200"/>
    <x v="0"/>
    <n v="3"/>
    <n v="159"/>
    <n v="6"/>
    <m/>
    <x v="0"/>
    <n v="153"/>
    <n v="203.5"/>
    <m/>
    <x v="0"/>
    <x v="0"/>
    <n v="0"/>
    <n v="0"/>
    <x v="0"/>
    <x v="0"/>
    <m/>
    <x v="0"/>
    <x v="0"/>
    <x v="0"/>
    <x v="0"/>
    <x v="0"/>
    <n v="0"/>
    <n v="0"/>
    <n v="0"/>
    <n v="12"/>
    <x v="1"/>
    <x v="0"/>
    <m/>
    <x v="0"/>
    <n v="164"/>
    <x v="0"/>
    <x v="26"/>
    <x v="0"/>
    <x v="0"/>
    <x v="0"/>
  </r>
  <r>
    <x v="0"/>
    <x v="8"/>
    <s v="7391 J"/>
    <x v="243"/>
    <s v="AbuBakar Butt Lahore"/>
    <s v="LDN"/>
    <n v="12"/>
    <s v="8.5-9"/>
    <s v="LDN"/>
    <n v="500"/>
    <x v="0"/>
    <n v="3"/>
    <n v="195.4"/>
    <n v="4.5"/>
    <m/>
    <x v="0"/>
    <n v="190.9"/>
    <n v="512.4"/>
    <m/>
    <x v="0"/>
    <x v="0"/>
    <n v="0"/>
    <n v="0"/>
    <x v="0"/>
    <x v="0"/>
    <m/>
    <x v="0"/>
    <x v="0"/>
    <x v="0"/>
    <x v="0"/>
    <x v="0"/>
    <n v="0"/>
    <n v="0"/>
    <n v="0"/>
    <n v="12"/>
    <x v="1"/>
    <x v="0"/>
    <m/>
    <x v="0"/>
    <n v="200.4"/>
    <x v="0"/>
    <x v="26"/>
    <x v="0"/>
    <x v="0"/>
    <x v="0"/>
  </r>
  <r>
    <x v="1"/>
    <x v="8"/>
    <s v="7391 J"/>
    <x v="243"/>
    <s v="AbuBakar Butt Lahore"/>
    <s v="LDN"/>
    <n v="12"/>
    <s v="8.5-9"/>
    <s v="LDN"/>
    <n v="500"/>
    <x v="0"/>
    <n v="3"/>
    <n v="207"/>
    <n v="4.5"/>
    <m/>
    <x v="0"/>
    <n v="202.5"/>
    <n v="512.4"/>
    <n v="5"/>
    <x v="0"/>
    <x v="0"/>
    <n v="5"/>
    <n v="8.3333333333333329E-2"/>
    <x v="4"/>
    <x v="0"/>
    <m/>
    <x v="0"/>
    <x v="0"/>
    <x v="0"/>
    <x v="0"/>
    <x v="0"/>
    <n v="30"/>
    <n v="0.5"/>
    <n v="0.58333333333333337"/>
    <n v="11.416666666666666"/>
    <x v="1"/>
    <x v="0"/>
    <m/>
    <x v="0"/>
    <n v="212"/>
    <x v="0"/>
    <x v="26"/>
    <x v="0"/>
    <x v="0"/>
    <x v="0"/>
  </r>
  <r>
    <x v="0"/>
    <x v="9"/>
    <s v="7135 J"/>
    <x v="243"/>
    <s v="Usman Arif Butt Gujranwala"/>
    <s v="LDN"/>
    <n v="2.5"/>
    <n v="14"/>
    <s v="LDN"/>
    <n v="200"/>
    <x v="0"/>
    <n v="3"/>
    <n v="90.199999999999989"/>
    <n v="4.4000000000000004"/>
    <m/>
    <x v="0"/>
    <n v="85.799999999999983"/>
    <n v="207.09999999999997"/>
    <m/>
    <x v="0"/>
    <x v="0"/>
    <n v="0"/>
    <n v="0"/>
    <x v="0"/>
    <x v="0"/>
    <m/>
    <x v="0"/>
    <x v="0"/>
    <x v="0"/>
    <x v="0"/>
    <x v="0"/>
    <n v="0"/>
    <n v="0"/>
    <n v="0"/>
    <n v="12"/>
    <x v="1"/>
    <x v="0"/>
    <m/>
    <x v="0"/>
    <n v="95.199999999999989"/>
    <x v="0"/>
    <x v="26"/>
    <x v="0"/>
    <x v="0"/>
    <x v="0"/>
  </r>
  <r>
    <x v="1"/>
    <x v="9"/>
    <s v="7135 J"/>
    <x v="243"/>
    <s v="Usman Arif Butt Gujranwala"/>
    <s v="LDN"/>
    <n v="2.5"/>
    <n v="14"/>
    <s v="LDN"/>
    <n v="200"/>
    <x v="0"/>
    <n v="3"/>
    <n v="77"/>
    <n v="4.1999999999999993"/>
    <m/>
    <x v="0"/>
    <n v="72.8"/>
    <n v="207.09999999999997"/>
    <m/>
    <x v="0"/>
    <x v="0"/>
    <n v="0"/>
    <n v="0"/>
    <x v="4"/>
    <x v="0"/>
    <m/>
    <x v="0"/>
    <x v="0"/>
    <x v="0"/>
    <x v="0"/>
    <x v="0"/>
    <n v="30"/>
    <n v="0.5"/>
    <n v="0.5"/>
    <n v="11.5"/>
    <x v="1"/>
    <x v="0"/>
    <m/>
    <x v="0"/>
    <n v="82"/>
    <x v="0"/>
    <x v="26"/>
    <x v="0"/>
    <x v="0"/>
    <x v="0"/>
  </r>
  <r>
    <x v="0"/>
    <x v="11"/>
    <s v="7441 J"/>
    <x v="243"/>
    <s v="Waqas Wollan Mills Gujranwala"/>
    <s v="LD گرین"/>
    <n v="13"/>
    <s v="8-8.5"/>
    <s v="LDM"/>
    <n v="200"/>
    <x v="0"/>
    <n v="2"/>
    <n v="148.5"/>
    <n v="3.6"/>
    <m/>
    <x v="0"/>
    <n v="144.9"/>
    <n v="208.4"/>
    <n v="3"/>
    <x v="0"/>
    <x v="0"/>
    <n v="3"/>
    <n v="0.05"/>
    <x v="0"/>
    <x v="0"/>
    <m/>
    <x v="0"/>
    <x v="0"/>
    <x v="0"/>
    <x v="0"/>
    <x v="0"/>
    <n v="0"/>
    <n v="0"/>
    <n v="0.05"/>
    <n v="11.95"/>
    <x v="1"/>
    <x v="0"/>
    <m/>
    <x v="0"/>
    <n v="153.5"/>
    <x v="0"/>
    <x v="26"/>
    <x v="0"/>
    <x v="0"/>
    <x v="0"/>
  </r>
  <r>
    <x v="0"/>
    <x v="11"/>
    <s v="7439 J"/>
    <x v="243"/>
    <s v="Waqas Wollan Mills Gujranwala"/>
    <s v="LD پیلا"/>
    <n v="10"/>
    <s v="8-8.5"/>
    <s v="LDM"/>
    <n v="200"/>
    <x v="0"/>
    <n v="2"/>
    <n v="137"/>
    <n v="2.6"/>
    <n v="46"/>
    <x v="0"/>
    <n v="134.4"/>
    <n v="193.4"/>
    <m/>
    <x v="0"/>
    <x v="0"/>
    <n v="0"/>
    <n v="0"/>
    <x v="0"/>
    <x v="0"/>
    <m/>
    <x v="0"/>
    <x v="0"/>
    <x v="0"/>
    <x v="0"/>
    <x v="0"/>
    <n v="0"/>
    <n v="0"/>
    <n v="0"/>
    <n v="12"/>
    <x v="1"/>
    <x v="0"/>
    <m/>
    <x v="0"/>
    <n v="142"/>
    <x v="0"/>
    <x v="26"/>
    <x v="0"/>
    <x v="0"/>
    <x v="0"/>
  </r>
  <r>
    <x v="1"/>
    <x v="11"/>
    <s v="7439 J"/>
    <x v="243"/>
    <s v="Waqas Wollan Mills Gujranwala"/>
    <s v="LD پیلا"/>
    <n v="10"/>
    <s v="8-8.5"/>
    <s v="LDM"/>
    <n v="200"/>
    <x v="0"/>
    <n v="1"/>
    <n v="60"/>
    <n v="1"/>
    <n v="55"/>
    <x v="0"/>
    <n v="59"/>
    <n v="193.4"/>
    <n v="5"/>
    <x v="0"/>
    <x v="0"/>
    <n v="5"/>
    <n v="8.3333333333333329E-2"/>
    <x v="0"/>
    <x v="0"/>
    <m/>
    <x v="0"/>
    <x v="0"/>
    <x v="0"/>
    <x v="0"/>
    <x v="0"/>
    <n v="0"/>
    <n v="0"/>
    <n v="8.3333333333333329E-2"/>
    <n v="11.916666666666666"/>
    <x v="1"/>
    <x v="0"/>
    <m/>
    <x v="0"/>
    <n v="65"/>
    <x v="0"/>
    <x v="26"/>
    <x v="0"/>
    <x v="0"/>
    <x v="0"/>
  </r>
  <r>
    <x v="1"/>
    <x v="11"/>
    <s v="7445 J"/>
    <x v="243"/>
    <s v="Umair PP  Adda Crown C/O Majistice Plastice"/>
    <s v="LDM"/>
    <n v="16"/>
    <s v="12-13."/>
    <s v="LDM"/>
    <n v="500"/>
    <x v="0"/>
    <n v="3"/>
    <n v="271.5"/>
    <n v="6.3000000000000007"/>
    <m/>
    <x v="0"/>
    <n v="265.2"/>
    <n v="585.20000000000005"/>
    <n v="10"/>
    <x v="0"/>
    <x v="0"/>
    <n v="10"/>
    <n v="0.16666666666666666"/>
    <x v="4"/>
    <x v="0"/>
    <m/>
    <x v="0"/>
    <x v="0"/>
    <x v="0"/>
    <x v="0"/>
    <x v="0"/>
    <n v="30"/>
    <n v="0.5"/>
    <n v="0.66666666666666663"/>
    <n v="11.333333333333334"/>
    <x v="1"/>
    <x v="0"/>
    <m/>
    <x v="0"/>
    <n v="276.5"/>
    <x v="0"/>
    <x v="26"/>
    <x v="0"/>
    <x v="0"/>
    <x v="0"/>
  </r>
  <r>
    <x v="0"/>
    <x v="13"/>
    <s v="2928 F"/>
    <x v="243"/>
    <s v="Usman Amin"/>
    <s v="LDN"/>
    <n v="26"/>
    <s v="8-8.5"/>
    <s v="LDN"/>
    <n v="675"/>
    <x v="0"/>
    <n v="5"/>
    <n v="482.5"/>
    <n v="11.5"/>
    <n v="8"/>
    <x v="0"/>
    <n v="471"/>
    <n v="680.7"/>
    <m/>
    <x v="0"/>
    <x v="0"/>
    <n v="0"/>
    <n v="0"/>
    <x v="0"/>
    <x v="0"/>
    <m/>
    <x v="0"/>
    <x v="0"/>
    <x v="0"/>
    <x v="0"/>
    <x v="0"/>
    <n v="0"/>
    <n v="0"/>
    <n v="0"/>
    <n v="12"/>
    <x v="1"/>
    <x v="0"/>
    <m/>
    <x v="0"/>
    <n v="487.5"/>
    <x v="0"/>
    <x v="26"/>
    <x v="0"/>
    <x v="0"/>
    <x v="0"/>
  </r>
  <r>
    <x v="1"/>
    <x v="13"/>
    <s v="2928 F"/>
    <x v="243"/>
    <s v="Usman Amin"/>
    <s v="LDN"/>
    <n v="26"/>
    <s v="8-8.5"/>
    <s v="LDN"/>
    <n v="675"/>
    <x v="0"/>
    <n v="2"/>
    <n v="214"/>
    <n v="4.3"/>
    <n v="12"/>
    <x v="0"/>
    <n v="209.7"/>
    <n v="680.7"/>
    <m/>
    <x v="0"/>
    <x v="0"/>
    <n v="0"/>
    <n v="0"/>
    <x v="0"/>
    <x v="0"/>
    <m/>
    <x v="0"/>
    <x v="0"/>
    <x v="0"/>
    <x v="0"/>
    <x v="0"/>
    <n v="0"/>
    <n v="0"/>
    <n v="0"/>
    <n v="12"/>
    <x v="1"/>
    <x v="0"/>
    <m/>
    <x v="0"/>
    <n v="219"/>
    <x v="0"/>
    <x v="26"/>
    <x v="0"/>
    <x v="0"/>
    <x v="0"/>
  </r>
  <r>
    <x v="1"/>
    <x v="13"/>
    <s v="2936 F"/>
    <x v="243"/>
    <s v="Usman Amin"/>
    <s v="LDN"/>
    <n v="28"/>
    <s v="8.5-9"/>
    <s v="LDN"/>
    <n v="60"/>
    <x v="0"/>
    <n v="1"/>
    <n v="67"/>
    <n v="2.8"/>
    <m/>
    <x v="0"/>
    <n v="64.2"/>
    <n v="64.2"/>
    <m/>
    <x v="0"/>
    <x v="0"/>
    <n v="0"/>
    <n v="0"/>
    <x v="0"/>
    <x v="0"/>
    <m/>
    <x v="0"/>
    <x v="0"/>
    <x v="0"/>
    <x v="0"/>
    <x v="0"/>
    <n v="0"/>
    <n v="0"/>
    <n v="0"/>
    <n v="12"/>
    <x v="1"/>
    <x v="0"/>
    <m/>
    <x v="0"/>
    <n v="72"/>
    <x v="0"/>
    <x v="26"/>
    <x v="0"/>
    <x v="0"/>
    <x v="0"/>
  </r>
  <r>
    <x v="1"/>
    <x v="13"/>
    <s v="2929 F"/>
    <x v="243"/>
    <s v="Usman Amin"/>
    <s v="LDN"/>
    <n v="28"/>
    <s v="8-8.5"/>
    <s v="LDN"/>
    <n v="65"/>
    <x v="0"/>
    <n v="1"/>
    <n v="72.5"/>
    <n v="2.8"/>
    <m/>
    <x v="0"/>
    <n v="69.7"/>
    <n v="69.7"/>
    <m/>
    <x v="0"/>
    <x v="0"/>
    <n v="0"/>
    <n v="0"/>
    <x v="0"/>
    <x v="0"/>
    <m/>
    <x v="0"/>
    <x v="0"/>
    <x v="0"/>
    <x v="0"/>
    <x v="0"/>
    <n v="0"/>
    <n v="0"/>
    <n v="0"/>
    <n v="12"/>
    <x v="1"/>
    <x v="0"/>
    <m/>
    <x v="0"/>
    <n v="77.5"/>
    <x v="0"/>
    <x v="26"/>
    <x v="0"/>
    <x v="0"/>
    <x v="0"/>
  </r>
  <r>
    <x v="1"/>
    <x v="13"/>
    <s v="2938 F"/>
    <x v="243"/>
    <s v="Usman Amin"/>
    <s v="LDN"/>
    <n v="28"/>
    <s v="12"/>
    <s v="LDN"/>
    <n v="75"/>
    <x v="0"/>
    <n v="1"/>
    <n v="73"/>
    <n v="2.8"/>
    <m/>
    <x v="0"/>
    <n v="70.2"/>
    <n v="70.2"/>
    <n v="2"/>
    <x v="0"/>
    <x v="0"/>
    <n v="2"/>
    <n v="3.3333333333333333E-2"/>
    <x v="4"/>
    <x v="0"/>
    <m/>
    <x v="0"/>
    <x v="0"/>
    <x v="0"/>
    <x v="0"/>
    <x v="0"/>
    <n v="30"/>
    <n v="0.5"/>
    <n v="0.53333333333333333"/>
    <n v="11.466666666666667"/>
    <x v="1"/>
    <x v="0"/>
    <m/>
    <x v="0"/>
    <n v="78"/>
    <x v="0"/>
    <x v="26"/>
    <x v="0"/>
    <x v="0"/>
    <x v="0"/>
  </r>
  <r>
    <x v="0"/>
    <x v="12"/>
    <s v="2855/1"/>
    <x v="243"/>
    <s v="MATCO FOOD"/>
    <s v="LDN"/>
    <s v="22.5-23"/>
    <s v="70±2"/>
    <s v="LDN"/>
    <n v="7700"/>
    <x v="0"/>
    <n v="5"/>
    <n v="586.29999999999995"/>
    <n v="11.5"/>
    <n v="4"/>
    <x v="0"/>
    <n v="574.79999999999995"/>
    <n v="9255.0999999999985"/>
    <m/>
    <x v="0"/>
    <x v="0"/>
    <n v="0"/>
    <n v="0"/>
    <x v="0"/>
    <x v="0"/>
    <m/>
    <x v="0"/>
    <x v="0"/>
    <x v="0"/>
    <x v="0"/>
    <x v="0"/>
    <n v="0"/>
    <n v="0"/>
    <n v="0"/>
    <n v="12"/>
    <x v="1"/>
    <x v="0"/>
    <m/>
    <x v="0"/>
    <n v="591.29999999999995"/>
    <x v="0"/>
    <x v="26"/>
    <x v="0"/>
    <x v="0"/>
    <x v="0"/>
  </r>
  <r>
    <x v="1"/>
    <x v="12"/>
    <s v="2855/1"/>
    <x v="243"/>
    <s v="MATCO FOOD"/>
    <s v="LDN"/>
    <s v="22.5-23"/>
    <s v="70±2"/>
    <s v="LDN"/>
    <n v="7700"/>
    <x v="0"/>
    <n v="6"/>
    <n v="573"/>
    <n v="13.799999999999999"/>
    <n v="9"/>
    <x v="0"/>
    <n v="559.20000000000005"/>
    <n v="9255.0999999999985"/>
    <m/>
    <x v="0"/>
    <x v="0"/>
    <n v="0"/>
    <n v="0"/>
    <x v="4"/>
    <x v="0"/>
    <m/>
    <x v="0"/>
    <x v="0"/>
    <x v="0"/>
    <x v="0"/>
    <x v="0"/>
    <n v="30"/>
    <n v="0.5"/>
    <n v="0.5"/>
    <n v="11.5"/>
    <x v="1"/>
    <x v="0"/>
    <m/>
    <x v="0"/>
    <n v="578"/>
    <x v="0"/>
    <x v="26"/>
    <x v="0"/>
    <x v="0"/>
    <x v="0"/>
  </r>
  <r>
    <x v="0"/>
    <x v="14"/>
    <s v="276 R"/>
    <x v="243"/>
    <s v="ریفلیکٹ پیک"/>
    <s v="LDN"/>
    <n v="35"/>
    <s v="5-5.5"/>
    <s v="LDN"/>
    <n v="10000"/>
    <x v="0"/>
    <n v="11"/>
    <n v="809.6"/>
    <n v="35.5"/>
    <n v="2"/>
    <x v="0"/>
    <n v="774.1"/>
    <n v="9958.4"/>
    <m/>
    <x v="0"/>
    <x v="0"/>
    <n v="0"/>
    <n v="0"/>
    <x v="0"/>
    <x v="0"/>
    <m/>
    <x v="0"/>
    <x v="0"/>
    <x v="0"/>
    <x v="0"/>
    <x v="0"/>
    <n v="0"/>
    <n v="0"/>
    <n v="0"/>
    <n v="12"/>
    <x v="1"/>
    <x v="0"/>
    <m/>
    <x v="0"/>
    <n v="814.6"/>
    <x v="0"/>
    <x v="26"/>
    <x v="0"/>
    <x v="0"/>
    <x v="0"/>
  </r>
  <r>
    <x v="1"/>
    <x v="14"/>
    <s v="276 R"/>
    <x v="243"/>
    <s v="ریفلیکٹ پیک"/>
    <s v="LDN"/>
    <n v="35"/>
    <s v="5-5.5"/>
    <s v="LDN"/>
    <n v="10000"/>
    <x v="0"/>
    <n v="10"/>
    <n v="746"/>
    <n v="25"/>
    <n v="10"/>
    <x v="0"/>
    <n v="721"/>
    <n v="9958.4"/>
    <m/>
    <x v="0"/>
    <x v="0"/>
    <n v="0"/>
    <n v="0"/>
    <x v="4"/>
    <x v="0"/>
    <m/>
    <x v="0"/>
    <x v="0"/>
    <x v="0"/>
    <x v="0"/>
    <x v="0"/>
    <n v="30"/>
    <n v="0.5"/>
    <n v="0.5"/>
    <n v="11.5"/>
    <x v="1"/>
    <x v="0"/>
    <m/>
    <x v="0"/>
    <n v="751"/>
    <x v="0"/>
    <x v="26"/>
    <x v="0"/>
    <x v="0"/>
    <x v="0"/>
  </r>
  <r>
    <x v="0"/>
    <x v="15"/>
    <s v="7320 J"/>
    <x v="243"/>
    <s v="Usman Arif Butt Gujranwala"/>
    <s v="LDN"/>
    <n v="16"/>
    <n v="5"/>
    <s v="LDN"/>
    <n v="200"/>
    <x v="0"/>
    <n v="1"/>
    <n v="52.5"/>
    <n v="2"/>
    <m/>
    <x v="0"/>
    <n v="50.5"/>
    <n v="203.5"/>
    <m/>
    <x v="0"/>
    <x v="0"/>
    <n v="0"/>
    <n v="0"/>
    <x v="0"/>
    <x v="0"/>
    <m/>
    <x v="0"/>
    <x v="0"/>
    <x v="0"/>
    <x v="0"/>
    <x v="0"/>
    <n v="0"/>
    <n v="0"/>
    <n v="0"/>
    <n v="12"/>
    <x v="1"/>
    <x v="0"/>
    <m/>
    <x v="0"/>
    <n v="57.5"/>
    <x v="0"/>
    <x v="26"/>
    <x v="0"/>
    <x v="0"/>
    <x v="0"/>
  </r>
  <r>
    <x v="0"/>
    <x v="15"/>
    <s v="7358 J"/>
    <x v="243"/>
    <s v="Pak Plastic Lahore"/>
    <s v="LDN"/>
    <n v="17"/>
    <s v="13-13.5"/>
    <s v="LDN"/>
    <n v="100"/>
    <x v="0"/>
    <n v="2"/>
    <n v="109"/>
    <n v="3.4"/>
    <m/>
    <x v="0"/>
    <n v="105.6"/>
    <n v="105.6"/>
    <n v="3"/>
    <x v="0"/>
    <x v="0"/>
    <n v="3"/>
    <n v="0.05"/>
    <x v="0"/>
    <x v="0"/>
    <m/>
    <x v="0"/>
    <x v="0"/>
    <x v="0"/>
    <x v="0"/>
    <x v="0"/>
    <n v="0"/>
    <n v="0"/>
    <n v="0.05"/>
    <n v="11.95"/>
    <x v="1"/>
    <x v="0"/>
    <m/>
    <x v="0"/>
    <n v="114"/>
    <x v="0"/>
    <x v="26"/>
    <x v="0"/>
    <x v="0"/>
    <x v="0"/>
  </r>
  <r>
    <x v="0"/>
    <x v="15"/>
    <s v="7328 J"/>
    <x v="243"/>
    <s v="Airy Food Gujranwala"/>
    <s v="LDN"/>
    <n v="24"/>
    <s v="-"/>
    <s v="LDN"/>
    <n v="800"/>
    <x v="0"/>
    <n v="3"/>
    <n v="336.5"/>
    <n v="9"/>
    <n v="6"/>
    <x v="0"/>
    <n v="327.5"/>
    <n v="796.5"/>
    <n v="2"/>
    <x v="0"/>
    <x v="0"/>
    <n v="2"/>
    <n v="3.3333333333333333E-2"/>
    <x v="0"/>
    <x v="0"/>
    <m/>
    <x v="0"/>
    <x v="0"/>
    <x v="0"/>
    <x v="0"/>
    <x v="0"/>
    <n v="0"/>
    <n v="0"/>
    <n v="3.3333333333333333E-2"/>
    <n v="11.966666666666667"/>
    <x v="1"/>
    <x v="0"/>
    <m/>
    <x v="0"/>
    <n v="341.5"/>
    <x v="0"/>
    <x v="26"/>
    <x v="0"/>
    <x v="0"/>
    <x v="0"/>
  </r>
  <r>
    <x v="1"/>
    <x v="15"/>
    <s v="7328 J"/>
    <x v="243"/>
    <s v="Airy Food Gujranwala"/>
    <s v="LDN"/>
    <n v="24"/>
    <s v="-"/>
    <s v="LDN"/>
    <n v="800"/>
    <x v="0"/>
    <n v="5"/>
    <n v="476.5"/>
    <n v="7.5"/>
    <n v="16"/>
    <x v="0"/>
    <n v="469"/>
    <n v="796.5"/>
    <m/>
    <x v="0"/>
    <x v="0"/>
    <n v="0"/>
    <n v="0"/>
    <x v="4"/>
    <x v="0"/>
    <m/>
    <x v="0"/>
    <x v="0"/>
    <x v="0"/>
    <x v="0"/>
    <x v="0"/>
    <n v="30"/>
    <n v="0.5"/>
    <n v="0.5"/>
    <n v="11.5"/>
    <x v="1"/>
    <x v="0"/>
    <m/>
    <x v="0"/>
    <n v="481.5"/>
    <x v="0"/>
    <x v="26"/>
    <x v="0"/>
    <x v="0"/>
    <x v="0"/>
  </r>
  <r>
    <x v="0"/>
    <x v="8"/>
    <s v="7390 J"/>
    <x v="244"/>
    <s v="AbuBakar Butt Lahore"/>
    <s v="LDN"/>
    <n v="8.5"/>
    <s v="8.5-9"/>
    <s v="LDN"/>
    <n v="1000"/>
    <x v="0"/>
    <n v="4"/>
    <n v="199.4"/>
    <n v="3.9"/>
    <n v="2"/>
    <x v="0"/>
    <n v="195.5"/>
    <n v="1095.3499999999999"/>
    <m/>
    <x v="0"/>
    <x v="0"/>
    <n v="0"/>
    <n v="0"/>
    <x v="0"/>
    <x v="0"/>
    <m/>
    <x v="0"/>
    <x v="0"/>
    <x v="0"/>
    <x v="0"/>
    <x v="0"/>
    <n v="0"/>
    <n v="0"/>
    <n v="0"/>
    <n v="12"/>
    <x v="1"/>
    <x v="0"/>
    <m/>
    <x v="0"/>
    <n v="204.4"/>
    <x v="0"/>
    <x v="26"/>
    <x v="0"/>
    <x v="0"/>
    <x v="0"/>
  </r>
  <r>
    <x v="1"/>
    <x v="8"/>
    <s v="7390 J"/>
    <x v="244"/>
    <s v="AbuBakar Butt Lahore"/>
    <s v="LDN"/>
    <n v="8.5"/>
    <s v="8.5-9"/>
    <s v="LDN"/>
    <n v="1000"/>
    <x v="0"/>
    <n v="4"/>
    <n v="197.05"/>
    <n v="3.4"/>
    <n v="3"/>
    <x v="0"/>
    <n v="193.65"/>
    <n v="1095.3499999999999"/>
    <m/>
    <x v="0"/>
    <x v="0"/>
    <n v="0"/>
    <n v="0"/>
    <x v="0"/>
    <x v="0"/>
    <m/>
    <x v="0"/>
    <x v="0"/>
    <x v="0"/>
    <x v="0"/>
    <x v="0"/>
    <n v="0"/>
    <n v="0"/>
    <n v="0"/>
    <n v="12"/>
    <x v="1"/>
    <x v="0"/>
    <m/>
    <x v="0"/>
    <n v="202.05"/>
    <x v="0"/>
    <x v="26"/>
    <x v="0"/>
    <x v="0"/>
    <x v="0"/>
  </r>
  <r>
    <x v="0"/>
    <x v="9"/>
    <s v="7407 J"/>
    <x v="244"/>
    <s v="Usman Arif Butt Gujranwala"/>
    <s v="LDN"/>
    <n v="2.5"/>
    <n v="14"/>
    <s v="LDN"/>
    <n v="200"/>
    <x v="0"/>
    <n v="4"/>
    <n v="106.6"/>
    <n v="6"/>
    <n v="2"/>
    <x v="0"/>
    <n v="100.6"/>
    <n v="203.8"/>
    <m/>
    <x v="0"/>
    <x v="0"/>
    <n v="0"/>
    <n v="0"/>
    <x v="0"/>
    <x v="0"/>
    <m/>
    <x v="0"/>
    <x v="0"/>
    <x v="0"/>
    <x v="0"/>
    <x v="0"/>
    <n v="0"/>
    <n v="0"/>
    <n v="0"/>
    <n v="12"/>
    <x v="1"/>
    <x v="0"/>
    <m/>
    <x v="0"/>
    <n v="111.6"/>
    <x v="0"/>
    <x v="26"/>
    <x v="0"/>
    <x v="0"/>
    <x v="0"/>
  </r>
  <r>
    <x v="1"/>
    <x v="9"/>
    <s v="7407 J"/>
    <x v="244"/>
    <s v="Usman Arif Butt Gujranwala"/>
    <s v="LDN"/>
    <n v="2.5"/>
    <n v="14"/>
    <s v="LDN"/>
    <n v="200"/>
    <x v="0"/>
    <n v="3"/>
    <n v="80.7"/>
    <n v="4.5"/>
    <n v="1.7"/>
    <x v="0"/>
    <n v="76.2"/>
    <n v="203.8"/>
    <m/>
    <x v="0"/>
    <x v="0"/>
    <n v="0"/>
    <n v="0"/>
    <x v="0"/>
    <x v="0"/>
    <m/>
    <x v="0"/>
    <x v="0"/>
    <x v="0"/>
    <x v="0"/>
    <x v="0"/>
    <n v="0"/>
    <n v="0"/>
    <n v="0"/>
    <n v="12"/>
    <x v="1"/>
    <x v="0"/>
    <m/>
    <x v="0"/>
    <n v="85.7"/>
    <x v="0"/>
    <x v="26"/>
    <x v="0"/>
    <x v="0"/>
    <x v="0"/>
  </r>
  <r>
    <x v="0"/>
    <x v="11"/>
    <s v="7445 J"/>
    <x v="244"/>
    <s v="Umair PP  Adda Crown C/O Majistice Plastice"/>
    <s v="LDM"/>
    <n v="16"/>
    <s v="12-13."/>
    <s v="LDM"/>
    <n v="500"/>
    <x v="0"/>
    <n v="2"/>
    <n v="157"/>
    <n v="4.2"/>
    <m/>
    <x v="0"/>
    <n v="152.80000000000001"/>
    <n v="585.20000000000005"/>
    <m/>
    <x v="0"/>
    <x v="0"/>
    <n v="0"/>
    <n v="0"/>
    <x v="0"/>
    <x v="0"/>
    <m/>
    <x v="0"/>
    <x v="0"/>
    <x v="0"/>
    <x v="0"/>
    <x v="0"/>
    <n v="0"/>
    <n v="0"/>
    <n v="0"/>
    <n v="12"/>
    <x v="1"/>
    <x v="0"/>
    <m/>
    <x v="0"/>
    <n v="162"/>
    <x v="0"/>
    <x v="26"/>
    <x v="0"/>
    <x v="0"/>
    <x v="0"/>
  </r>
  <r>
    <x v="0"/>
    <x v="11"/>
    <s v="7448 J"/>
    <x v="244"/>
    <s v="Umair PP  Adda Crown C/O Majistice Plastice"/>
    <s v="LDM"/>
    <n v="18"/>
    <s v="12-13."/>
    <s v="LDM"/>
    <n v="300"/>
    <x v="0"/>
    <n v="3"/>
    <n v="313.5"/>
    <n v="6.6000000000000005"/>
    <m/>
    <x v="0"/>
    <n v="306.89999999999998"/>
    <n v="306.89999999999998"/>
    <n v="3"/>
    <x v="0"/>
    <x v="0"/>
    <n v="3"/>
    <n v="0.05"/>
    <x v="0"/>
    <x v="0"/>
    <m/>
    <x v="0"/>
    <x v="0"/>
    <x v="0"/>
    <x v="0"/>
    <x v="0"/>
    <n v="0"/>
    <n v="0"/>
    <n v="0.05"/>
    <n v="11.95"/>
    <x v="1"/>
    <x v="0"/>
    <m/>
    <x v="0"/>
    <n v="318.5"/>
    <x v="0"/>
    <x v="26"/>
    <x v="0"/>
    <x v="0"/>
    <x v="0"/>
  </r>
  <r>
    <x v="0"/>
    <x v="11"/>
    <s v="7447 J"/>
    <x v="244"/>
    <s v="Umair PP  Adda Crown C/O Majistice Plastice"/>
    <s v="LDM"/>
    <n v="16"/>
    <s v="12-13."/>
    <s v="LDM"/>
    <n v="100"/>
    <x v="0"/>
    <n v="1"/>
    <n v="34"/>
    <n v="1.9"/>
    <n v="8"/>
    <x v="0"/>
    <n v="32.1"/>
    <n v="32.1"/>
    <n v="2"/>
    <x v="0"/>
    <x v="0"/>
    <n v="2"/>
    <n v="3.3333333333333333E-2"/>
    <x v="0"/>
    <x v="0"/>
    <m/>
    <x v="0"/>
    <x v="0"/>
    <x v="0"/>
    <x v="0"/>
    <x v="0"/>
    <n v="0"/>
    <n v="0"/>
    <n v="3.3333333333333333E-2"/>
    <n v="11.966666666666667"/>
    <x v="1"/>
    <x v="0"/>
    <m/>
    <x v="0"/>
    <n v="39"/>
    <x v="0"/>
    <x v="26"/>
    <x v="0"/>
    <x v="0"/>
    <x v="0"/>
  </r>
  <r>
    <x v="1"/>
    <x v="11"/>
    <s v="7445 J"/>
    <x v="244"/>
    <s v="Umair PP  Adda Crown C/O Majistice Plastice"/>
    <s v="LDM"/>
    <n v="16"/>
    <s v="12-13."/>
    <s v="LDM"/>
    <n v="500"/>
    <x v="0"/>
    <n v="2"/>
    <n v="171.5"/>
    <n v="4.3000000000000007"/>
    <n v="11"/>
    <x v="0"/>
    <n v="167.2"/>
    <n v="585.20000000000005"/>
    <n v="3"/>
    <x v="0"/>
    <x v="0"/>
    <n v="3"/>
    <n v="0.05"/>
    <x v="0"/>
    <x v="0"/>
    <m/>
    <x v="0"/>
    <x v="0"/>
    <x v="0"/>
    <x v="0"/>
    <x v="0"/>
    <n v="0"/>
    <n v="0"/>
    <n v="0.05"/>
    <n v="11.95"/>
    <x v="1"/>
    <x v="0"/>
    <m/>
    <x v="0"/>
    <n v="176.5"/>
    <x v="0"/>
    <x v="26"/>
    <x v="0"/>
    <x v="0"/>
    <x v="0"/>
  </r>
  <r>
    <x v="1"/>
    <x v="11"/>
    <s v="7446 J"/>
    <x v="244"/>
    <s v="Umair PP  Adda Crown C/O Majistice Plastice"/>
    <s v="LDM"/>
    <n v="22"/>
    <s v="12-13."/>
    <s v="LDM"/>
    <n v="500"/>
    <x v="0"/>
    <n v="4"/>
    <n v="395"/>
    <n v="11.2"/>
    <m/>
    <x v="0"/>
    <n v="383.8"/>
    <n v="510.5"/>
    <n v="2"/>
    <x v="0"/>
    <x v="0"/>
    <n v="2"/>
    <n v="3.3333333333333333E-2"/>
    <x v="0"/>
    <x v="0"/>
    <m/>
    <x v="0"/>
    <x v="0"/>
    <x v="0"/>
    <x v="0"/>
    <x v="0"/>
    <n v="0"/>
    <n v="0"/>
    <n v="3.3333333333333333E-2"/>
    <n v="11.966666666666667"/>
    <x v="1"/>
    <x v="0"/>
    <m/>
    <x v="0"/>
    <n v="400"/>
    <x v="0"/>
    <x v="26"/>
    <x v="0"/>
    <x v="0"/>
    <x v="0"/>
  </r>
  <r>
    <x v="0"/>
    <x v="13"/>
    <s v="2886 F"/>
    <x v="244"/>
    <s v="Usman Amin"/>
    <s v="LDN"/>
    <n v="30"/>
    <s v="7-7.5"/>
    <s v="LDN"/>
    <n v="48"/>
    <x v="0"/>
    <n v="1"/>
    <n v="117.5"/>
    <n v="2.5"/>
    <m/>
    <x v="0"/>
    <n v="115"/>
    <n v="115"/>
    <m/>
    <x v="0"/>
    <x v="0"/>
    <n v="0"/>
    <n v="0"/>
    <x v="0"/>
    <x v="0"/>
    <m/>
    <x v="0"/>
    <x v="0"/>
    <x v="0"/>
    <x v="0"/>
    <x v="0"/>
    <n v="0"/>
    <n v="0"/>
    <n v="0"/>
    <n v="12"/>
    <x v="1"/>
    <x v="0"/>
    <m/>
    <x v="0"/>
    <n v="122.5"/>
    <x v="0"/>
    <x v="26"/>
    <x v="0"/>
    <x v="0"/>
    <x v="0"/>
  </r>
  <r>
    <x v="0"/>
    <x v="13"/>
    <s v="2859 F"/>
    <x v="244"/>
    <s v="Usman Amin"/>
    <s v="LDN"/>
    <n v="17"/>
    <s v="12"/>
    <s v="LDN"/>
    <n v="1000"/>
    <x v="0"/>
    <n v="2"/>
    <n v="163.5"/>
    <n v="4"/>
    <m/>
    <x v="0"/>
    <n v="159.5"/>
    <n v="846.8"/>
    <n v="3"/>
    <x v="0"/>
    <x v="0"/>
    <n v="3"/>
    <n v="0.05"/>
    <x v="0"/>
    <x v="0"/>
    <m/>
    <x v="0"/>
    <x v="0"/>
    <x v="0"/>
    <x v="0"/>
    <x v="0"/>
    <n v="0"/>
    <n v="0"/>
    <n v="0.05"/>
    <n v="11.95"/>
    <x v="1"/>
    <x v="0"/>
    <m/>
    <x v="0"/>
    <n v="168.5"/>
    <x v="0"/>
    <x v="26"/>
    <x v="0"/>
    <x v="0"/>
    <x v="0"/>
  </r>
  <r>
    <x v="0"/>
    <x v="13"/>
    <s v="2939 F"/>
    <x v="244"/>
    <s v="Usman Amin"/>
    <s v="LDN"/>
    <n v="33"/>
    <s v="12"/>
    <s v="LDN"/>
    <n v="120"/>
    <x v="0"/>
    <n v="2"/>
    <n v="141.5"/>
    <n v="6.4"/>
    <n v="7"/>
    <x v="0"/>
    <n v="135.1"/>
    <n v="236.5"/>
    <n v="2"/>
    <x v="0"/>
    <x v="0"/>
    <n v="2"/>
    <n v="3.3333333333333333E-2"/>
    <x v="0"/>
    <x v="0"/>
    <m/>
    <x v="0"/>
    <x v="0"/>
    <x v="0"/>
    <x v="0"/>
    <x v="0"/>
    <n v="0"/>
    <n v="0"/>
    <n v="3.3333333333333333E-2"/>
    <n v="11.966666666666667"/>
    <x v="1"/>
    <x v="0"/>
    <m/>
    <x v="0"/>
    <n v="146.5"/>
    <x v="0"/>
    <x v="26"/>
    <x v="0"/>
    <x v="0"/>
    <x v="0"/>
  </r>
  <r>
    <x v="1"/>
    <x v="13"/>
    <s v="2939 F"/>
    <x v="244"/>
    <s v="Usman Amin"/>
    <s v="LDN"/>
    <n v="33"/>
    <s v="12"/>
    <s v="LDN"/>
    <n v="120"/>
    <x v="0"/>
    <n v="1"/>
    <n v="103.5"/>
    <n v="2.1"/>
    <n v="4"/>
    <x v="0"/>
    <n v="101.4"/>
    <n v="236.5"/>
    <m/>
    <x v="0"/>
    <x v="0"/>
    <n v="0"/>
    <n v="0"/>
    <x v="0"/>
    <x v="0"/>
    <m/>
    <x v="0"/>
    <x v="0"/>
    <x v="0"/>
    <x v="0"/>
    <x v="0"/>
    <n v="0"/>
    <n v="0"/>
    <n v="0"/>
    <n v="12"/>
    <x v="1"/>
    <x v="0"/>
    <m/>
    <x v="0"/>
    <n v="108.5"/>
    <x v="0"/>
    <x v="26"/>
    <x v="0"/>
    <x v="0"/>
    <x v="0"/>
  </r>
  <r>
    <x v="1"/>
    <x v="13"/>
    <s v="2937 F"/>
    <x v="244"/>
    <s v="Usman Amin"/>
    <s v="LDN"/>
    <n v="17"/>
    <s v="12"/>
    <s v="LDN"/>
    <n v="200"/>
    <x v="0"/>
    <n v="3"/>
    <n v="213"/>
    <n v="6.6000000000000005"/>
    <m/>
    <x v="0"/>
    <n v="206.4"/>
    <n v="206.4"/>
    <m/>
    <x v="0"/>
    <x v="0"/>
    <n v="0"/>
    <n v="0"/>
    <x v="0"/>
    <x v="0"/>
    <m/>
    <x v="0"/>
    <x v="0"/>
    <x v="0"/>
    <x v="0"/>
    <x v="0"/>
    <n v="0"/>
    <n v="0"/>
    <n v="0"/>
    <n v="12"/>
    <x v="1"/>
    <x v="0"/>
    <m/>
    <x v="0"/>
    <n v="218"/>
    <x v="0"/>
    <x v="26"/>
    <x v="0"/>
    <x v="0"/>
    <x v="0"/>
  </r>
  <r>
    <x v="1"/>
    <x v="13"/>
    <s v="2860 F"/>
    <x v="244"/>
    <s v="Usman Amin"/>
    <s v="LDN"/>
    <n v="17"/>
    <s v="8.5-9"/>
    <s v="LDN"/>
    <n v="1000"/>
    <x v="0"/>
    <n v="1"/>
    <n v="54"/>
    <n v="2.2000000000000002"/>
    <m/>
    <x v="0"/>
    <n v="51.8"/>
    <n v="1041.1000000000001"/>
    <m/>
    <x v="0"/>
    <x v="0"/>
    <n v="0"/>
    <n v="0"/>
    <x v="0"/>
    <x v="0"/>
    <m/>
    <x v="0"/>
    <x v="0"/>
    <x v="0"/>
    <x v="0"/>
    <x v="0"/>
    <n v="0"/>
    <n v="0"/>
    <n v="0"/>
    <n v="12"/>
    <x v="1"/>
    <x v="0"/>
    <m/>
    <x v="0"/>
    <n v="59"/>
    <x v="0"/>
    <x v="26"/>
    <x v="0"/>
    <x v="0"/>
    <x v="0"/>
  </r>
  <r>
    <x v="0"/>
    <x v="12"/>
    <s v="2855/1"/>
    <x v="244"/>
    <s v="MATCO FOOD"/>
    <s v="LDN"/>
    <s v="22.5-23"/>
    <s v="70±2"/>
    <s v="LDN"/>
    <n v="7700"/>
    <x v="0"/>
    <n v="5"/>
    <n v="595"/>
    <n v="14"/>
    <m/>
    <x v="0"/>
    <n v="581"/>
    <n v="9255.0999999999985"/>
    <m/>
    <x v="0"/>
    <x v="0"/>
    <n v="0"/>
    <n v="0"/>
    <x v="0"/>
    <x v="0"/>
    <m/>
    <x v="0"/>
    <x v="0"/>
    <x v="0"/>
    <x v="0"/>
    <x v="0"/>
    <n v="0"/>
    <n v="0"/>
    <n v="0"/>
    <n v="12"/>
    <x v="1"/>
    <x v="0"/>
    <m/>
    <x v="0"/>
    <n v="600"/>
    <x v="0"/>
    <x v="26"/>
    <x v="0"/>
    <x v="0"/>
    <x v="0"/>
  </r>
  <r>
    <x v="0"/>
    <x v="12"/>
    <s v="2857/1"/>
    <x v="244"/>
    <s v="ENGRO ZARKHEZ"/>
    <s v="LDN"/>
    <s v="24-24.5"/>
    <s v="60±1"/>
    <s v="AA"/>
    <n v="2400"/>
    <x v="0"/>
    <n v="1"/>
    <n v="66"/>
    <n v="2.4"/>
    <n v="10"/>
    <x v="0"/>
    <n v="63.6"/>
    <n v="4088.2"/>
    <n v="2"/>
    <x v="0"/>
    <x v="0"/>
    <n v="2"/>
    <n v="3.3333333333333333E-2"/>
    <x v="0"/>
    <x v="0"/>
    <m/>
    <x v="0"/>
    <x v="0"/>
    <x v="0"/>
    <x v="0"/>
    <x v="0"/>
    <n v="0"/>
    <n v="0"/>
    <n v="3.3333333333333333E-2"/>
    <n v="11.966666666666667"/>
    <x v="1"/>
    <x v="0"/>
    <m/>
    <x v="0"/>
    <n v="71"/>
    <x v="0"/>
    <x v="26"/>
    <x v="0"/>
    <x v="0"/>
    <x v="0"/>
  </r>
  <r>
    <x v="1"/>
    <x v="12"/>
    <s v="2857/1"/>
    <x v="244"/>
    <s v="ENGRO ZARKHEZ"/>
    <s v="LDN"/>
    <s v="24-24.5"/>
    <s v="60±1"/>
    <s v="AA"/>
    <n v="2400"/>
    <x v="0"/>
    <n v="6"/>
    <n v="641.9"/>
    <n v="15.2"/>
    <n v="13"/>
    <x v="0"/>
    <n v="626.69999999999993"/>
    <n v="4088.2"/>
    <m/>
    <x v="0"/>
    <x v="0"/>
    <n v="0"/>
    <n v="0"/>
    <x v="0"/>
    <x v="0"/>
    <m/>
    <x v="0"/>
    <x v="0"/>
    <x v="0"/>
    <x v="0"/>
    <x v="0"/>
    <n v="0"/>
    <n v="0"/>
    <n v="0"/>
    <n v="12"/>
    <x v="1"/>
    <x v="0"/>
    <m/>
    <x v="0"/>
    <n v="646.9"/>
    <x v="0"/>
    <x v="26"/>
    <x v="0"/>
    <x v="0"/>
    <x v="0"/>
  </r>
  <r>
    <x v="0"/>
    <x v="14"/>
    <s v="276 R"/>
    <x v="244"/>
    <s v="ریفلیکٹ پیک"/>
    <s v="LDN"/>
    <n v="35"/>
    <s v="5-5.5"/>
    <s v="LDN"/>
    <n v="10000"/>
    <x v="0"/>
    <n v="12"/>
    <n v="881.9"/>
    <n v="31.200000000000003"/>
    <n v="13"/>
    <x v="0"/>
    <n v="850.69999999999993"/>
    <n v="9958.4"/>
    <m/>
    <x v="0"/>
    <x v="0"/>
    <n v="0"/>
    <n v="0"/>
    <x v="0"/>
    <x v="0"/>
    <m/>
    <x v="0"/>
    <x v="0"/>
    <x v="0"/>
    <x v="0"/>
    <x v="0"/>
    <n v="0"/>
    <n v="0"/>
    <n v="0"/>
    <n v="12"/>
    <x v="1"/>
    <x v="0"/>
    <m/>
    <x v="0"/>
    <n v="886.9"/>
    <x v="0"/>
    <x v="26"/>
    <x v="0"/>
    <x v="0"/>
    <x v="0"/>
  </r>
  <r>
    <x v="1"/>
    <x v="14"/>
    <s v="276 R"/>
    <x v="244"/>
    <s v="ریفلیکٹ پیک"/>
    <s v="LDN"/>
    <n v="35"/>
    <s v="5-5.5"/>
    <s v="LDN"/>
    <n v="10000"/>
    <x v="0"/>
    <n v="11"/>
    <n v="854"/>
    <n v="42"/>
    <n v="12"/>
    <x v="0"/>
    <n v="812"/>
    <n v="9958.4"/>
    <m/>
    <x v="0"/>
    <x v="0"/>
    <n v="0"/>
    <n v="0"/>
    <x v="0"/>
    <x v="0"/>
    <m/>
    <x v="0"/>
    <x v="0"/>
    <x v="0"/>
    <x v="0"/>
    <x v="0"/>
    <n v="0"/>
    <n v="0"/>
    <n v="0"/>
    <n v="12"/>
    <x v="1"/>
    <x v="0"/>
    <m/>
    <x v="0"/>
    <n v="859"/>
    <x v="0"/>
    <x v="26"/>
    <x v="0"/>
    <x v="0"/>
    <x v="0"/>
  </r>
  <r>
    <x v="0"/>
    <x v="15"/>
    <s v="2916 F"/>
    <x v="244"/>
    <s v="Usman Amin"/>
    <s v="LDN"/>
    <n v="24"/>
    <s v="6.5-7"/>
    <s v="LDN"/>
    <n v="70"/>
    <x v="0"/>
    <n v="1"/>
    <n v="78"/>
    <n v="2.8"/>
    <m/>
    <x v="0"/>
    <n v="75.2"/>
    <n v="75.2"/>
    <m/>
    <x v="0"/>
    <x v="0"/>
    <n v="0"/>
    <n v="0"/>
    <x v="0"/>
    <x v="0"/>
    <m/>
    <x v="0"/>
    <x v="0"/>
    <x v="0"/>
    <x v="0"/>
    <x v="0"/>
    <n v="0"/>
    <n v="0"/>
    <n v="0"/>
    <n v="12"/>
    <x v="1"/>
    <x v="0"/>
    <m/>
    <x v="0"/>
    <n v="83"/>
    <x v="0"/>
    <x v="26"/>
    <x v="0"/>
    <x v="0"/>
    <x v="0"/>
  </r>
  <r>
    <x v="0"/>
    <x v="15"/>
    <s v="7229 J"/>
    <x v="244"/>
    <s v="Banaras Cloth House Gojar khan"/>
    <s v="LDM"/>
    <n v="18"/>
    <s v="14-15"/>
    <s v="LDM"/>
    <n v="100"/>
    <x v="0"/>
    <n v="4"/>
    <n v="352.5"/>
    <n v="12"/>
    <m/>
    <x v="0"/>
    <n v="340.5"/>
    <n v="440.4"/>
    <m/>
    <x v="0"/>
    <x v="0"/>
    <n v="0"/>
    <n v="0"/>
    <x v="0"/>
    <x v="0"/>
    <m/>
    <x v="0"/>
    <x v="0"/>
    <x v="0"/>
    <x v="0"/>
    <x v="0"/>
    <n v="0"/>
    <n v="0"/>
    <n v="0"/>
    <n v="12"/>
    <x v="1"/>
    <x v="0"/>
    <m/>
    <x v="0"/>
    <n v="357.5"/>
    <x v="0"/>
    <x v="26"/>
    <x v="0"/>
    <x v="0"/>
    <x v="0"/>
  </r>
  <r>
    <x v="0"/>
    <x v="15"/>
    <s v="7507 J"/>
    <x v="244"/>
    <s v="Al Harmain Garments Karim Park Lahore"/>
    <s v="LDN"/>
    <n v="25"/>
    <s v="8-8.5"/>
    <s v="LDN"/>
    <n v="100"/>
    <x v="0"/>
    <n v="1"/>
    <n v="77"/>
    <n v="3"/>
    <n v="9"/>
    <x v="0"/>
    <n v="74"/>
    <n v="97.5"/>
    <n v="3"/>
    <x v="0"/>
    <x v="0"/>
    <n v="3"/>
    <n v="0.05"/>
    <x v="0"/>
    <x v="0"/>
    <m/>
    <x v="0"/>
    <x v="0"/>
    <x v="0"/>
    <x v="0"/>
    <x v="0"/>
    <n v="0"/>
    <n v="0"/>
    <n v="0.05"/>
    <n v="11.95"/>
    <x v="1"/>
    <x v="0"/>
    <m/>
    <x v="0"/>
    <n v="82"/>
    <x v="0"/>
    <x v="26"/>
    <x v="0"/>
    <x v="0"/>
    <x v="0"/>
  </r>
  <r>
    <x v="1"/>
    <x v="15"/>
    <s v="7507 J"/>
    <x v="244"/>
    <s v="Al Harmain Garments Karim Park Lahore"/>
    <s v="LDN"/>
    <n v="25"/>
    <s v="8-8.5"/>
    <s v="LDN"/>
    <n v="100"/>
    <x v="0"/>
    <n v="1"/>
    <n v="26.5"/>
    <n v="3"/>
    <n v="4"/>
    <x v="0"/>
    <n v="23.5"/>
    <n v="97.5"/>
    <n v="4"/>
    <x v="0"/>
    <x v="0"/>
    <n v="4"/>
    <n v="6.6666666666666666E-2"/>
    <x v="0"/>
    <x v="0"/>
    <m/>
    <x v="0"/>
    <x v="0"/>
    <x v="0"/>
    <x v="0"/>
    <x v="0"/>
    <n v="0"/>
    <n v="0"/>
    <n v="6.6666666666666666E-2"/>
    <n v="11.933333333333334"/>
    <x v="1"/>
    <x v="0"/>
    <m/>
    <x v="0"/>
    <n v="31.5"/>
    <x v="0"/>
    <x v="26"/>
    <x v="0"/>
    <x v="0"/>
    <x v="0"/>
  </r>
  <r>
    <x v="1"/>
    <x v="15"/>
    <s v="7508 J"/>
    <x v="244"/>
    <s v="Al Harmain Garments Karim Park Lahore"/>
    <s v="LDN"/>
    <n v="23"/>
    <s v="8-8.5"/>
    <s v="LDN"/>
    <n v="100"/>
    <x v="0"/>
    <n v="2"/>
    <n v="100"/>
    <n v="6"/>
    <m/>
    <x v="0"/>
    <n v="94"/>
    <n v="202.1"/>
    <m/>
    <x v="0"/>
    <x v="0"/>
    <n v="0"/>
    <n v="0"/>
    <x v="0"/>
    <x v="0"/>
    <m/>
    <x v="0"/>
    <x v="0"/>
    <x v="0"/>
    <x v="0"/>
    <x v="0"/>
    <n v="0"/>
    <n v="0"/>
    <n v="0"/>
    <n v="12"/>
    <x v="1"/>
    <x v="0"/>
    <m/>
    <x v="0"/>
    <n v="105"/>
    <x v="0"/>
    <x v="26"/>
    <x v="0"/>
    <x v="0"/>
    <x v="0"/>
  </r>
  <r>
    <x v="1"/>
    <x v="15"/>
    <s v="2931 F"/>
    <x v="244"/>
    <s v="Usman Amin"/>
    <s v="LDN"/>
    <n v="18"/>
    <s v="5-5.5"/>
    <s v="LDN"/>
    <n v="210"/>
    <x v="0"/>
    <n v="6"/>
    <n v="311"/>
    <n v="13.799999999999999"/>
    <m/>
    <x v="0"/>
    <n v="297.2"/>
    <n v="1892.2"/>
    <m/>
    <x v="0"/>
    <x v="0"/>
    <n v="0"/>
    <n v="0"/>
    <x v="0"/>
    <x v="0"/>
    <m/>
    <x v="0"/>
    <x v="0"/>
    <x v="0"/>
    <x v="0"/>
    <x v="0"/>
    <n v="0"/>
    <n v="0"/>
    <n v="0"/>
    <n v="12"/>
    <x v="1"/>
    <x v="0"/>
    <m/>
    <x v="0"/>
    <n v="316"/>
    <x v="0"/>
    <x v="26"/>
    <x v="0"/>
    <x v="0"/>
    <x v="0"/>
  </r>
  <r>
    <x v="0"/>
    <x v="8"/>
    <s v="7390 J"/>
    <x v="245"/>
    <s v="AbuBakar Butt Lahore"/>
    <s v="LDN"/>
    <n v="8.5"/>
    <s v="8.5-9"/>
    <s v="LDN"/>
    <n v="1000"/>
    <x v="0"/>
    <n v="3"/>
    <n v="165.5"/>
    <n v="2.9"/>
    <n v="2.8585739947492055"/>
    <x v="0"/>
    <n v="162.6"/>
    <n v="1095.3499999999999"/>
    <m/>
    <x v="0"/>
    <x v="0"/>
    <n v="0"/>
    <n v="0"/>
    <x v="0"/>
    <x v="0"/>
    <m/>
    <x v="0"/>
    <x v="0"/>
    <x v="0"/>
    <x v="0"/>
    <x v="0"/>
    <n v="0"/>
    <n v="0"/>
    <n v="0"/>
    <n v="12"/>
    <x v="1"/>
    <x v="0"/>
    <m/>
    <x v="0"/>
    <n v="170.5"/>
    <x v="0"/>
    <x v="26"/>
    <x v="0"/>
    <x v="0"/>
    <x v="0"/>
  </r>
  <r>
    <x v="1"/>
    <x v="8"/>
    <s v="7390 J"/>
    <x v="245"/>
    <s v="AbuBakar Butt Lahore"/>
    <s v="LDN"/>
    <n v="8.5"/>
    <s v="8.5-9"/>
    <s v="LDN"/>
    <n v="1000"/>
    <x v="0"/>
    <n v="2"/>
    <n v="107.8"/>
    <n v="2"/>
    <n v="8.3487444261910344"/>
    <x v="0"/>
    <n v="105.8"/>
    <n v="1095.3499999999999"/>
    <m/>
    <x v="0"/>
    <x v="0"/>
    <n v="0"/>
    <n v="0"/>
    <x v="0"/>
    <x v="0"/>
    <m/>
    <x v="0"/>
    <x v="0"/>
    <x v="0"/>
    <x v="0"/>
    <x v="0"/>
    <n v="0"/>
    <n v="0"/>
    <n v="0"/>
    <n v="12"/>
    <x v="1"/>
    <x v="0"/>
    <m/>
    <x v="0"/>
    <n v="112.8"/>
    <x v="0"/>
    <x v="26"/>
    <x v="0"/>
    <x v="0"/>
    <x v="0"/>
  </r>
  <r>
    <x v="0"/>
    <x v="9"/>
    <s v="7407 J"/>
    <x v="245"/>
    <s v="Usman Arif Butt Gujranwala"/>
    <s v="LDN"/>
    <n v="2.5"/>
    <n v="14"/>
    <s v="LDN"/>
    <n v="200"/>
    <x v="0"/>
    <n v="1"/>
    <n v="28.5"/>
    <n v="1.5"/>
    <n v="0.49226198701119245"/>
    <x v="0"/>
    <n v="27"/>
    <n v="203.8"/>
    <m/>
    <x v="0"/>
    <x v="0"/>
    <n v="0"/>
    <n v="0"/>
    <x v="0"/>
    <x v="0"/>
    <m/>
    <x v="0"/>
    <x v="0"/>
    <x v="0"/>
    <x v="0"/>
    <x v="0"/>
    <n v="0"/>
    <n v="0"/>
    <n v="0"/>
    <n v="12"/>
    <x v="1"/>
    <x v="0"/>
    <m/>
    <x v="0"/>
    <n v="33.5"/>
    <x v="0"/>
    <x v="26"/>
    <x v="0"/>
    <x v="0"/>
    <x v="0"/>
  </r>
  <r>
    <x v="0"/>
    <x v="9"/>
    <s v="7558 J"/>
    <x v="245"/>
    <s v="Usman Ghani Textile Mills Sheikhpura"/>
    <s v="LDN"/>
    <n v="38.5"/>
    <s v="10-10.5"/>
    <s v="LDN"/>
    <n v="550"/>
    <x v="0"/>
    <n v="4"/>
    <n v="98.800000000000011"/>
    <n v="3.2"/>
    <n v="1.7065082216388008"/>
    <x v="0"/>
    <n v="95.600000000000009"/>
    <n v="95.600000000000009"/>
    <m/>
    <x v="0"/>
    <x v="0"/>
    <n v="0"/>
    <n v="0"/>
    <x v="0"/>
    <x v="0"/>
    <m/>
    <x v="0"/>
    <x v="0"/>
    <x v="0"/>
    <x v="0"/>
    <x v="0"/>
    <n v="0"/>
    <n v="0"/>
    <n v="0"/>
    <n v="12"/>
    <x v="1"/>
    <x v="0"/>
    <m/>
    <x v="0"/>
    <n v="103.80000000000001"/>
    <x v="0"/>
    <x v="26"/>
    <x v="0"/>
    <x v="0"/>
    <x v="0"/>
  </r>
  <r>
    <x v="1"/>
    <x v="9"/>
    <s v="7148 J"/>
    <x v="245"/>
    <s v="Milk Way Milk Lahore"/>
    <s v="LDM"/>
    <n v="7"/>
    <s v="15-16"/>
    <s v="LDM"/>
    <n v="100"/>
    <x v="0"/>
    <n v="1"/>
    <n v="43.9"/>
    <n v="0.8"/>
    <n v="3.3999061253226937"/>
    <x v="0"/>
    <n v="43.1"/>
    <n v="288.2"/>
    <m/>
    <x v="0"/>
    <x v="0"/>
    <n v="0"/>
    <n v="0"/>
    <x v="0"/>
    <x v="0"/>
    <m/>
    <x v="0"/>
    <x v="0"/>
    <x v="0"/>
    <x v="0"/>
    <x v="0"/>
    <n v="0"/>
    <n v="0"/>
    <n v="0"/>
    <n v="12"/>
    <x v="1"/>
    <x v="0"/>
    <m/>
    <x v="0"/>
    <n v="48.9"/>
    <x v="0"/>
    <x v="26"/>
    <x v="0"/>
    <x v="0"/>
    <x v="0"/>
  </r>
  <r>
    <x v="1"/>
    <x v="9"/>
    <s v="7677 J"/>
    <x v="245"/>
    <s v="RMC PACK"/>
    <s v="LDM"/>
    <n v="8"/>
    <n v="6.5"/>
    <s v="LDM"/>
    <n v="50"/>
    <x v="0"/>
    <n v="1"/>
    <n v="60.5"/>
    <n v="1"/>
    <n v="4.6855198310255801"/>
    <x v="0"/>
    <n v="59.5"/>
    <n v="59.5"/>
    <m/>
    <x v="0"/>
    <x v="0"/>
    <n v="0"/>
    <n v="0"/>
    <x v="0"/>
    <x v="0"/>
    <m/>
    <x v="0"/>
    <x v="0"/>
    <x v="0"/>
    <x v="0"/>
    <x v="0"/>
    <n v="0"/>
    <n v="0"/>
    <n v="0"/>
    <n v="12"/>
    <x v="1"/>
    <x v="0"/>
    <m/>
    <x v="0"/>
    <n v="65.5"/>
    <x v="0"/>
    <x v="26"/>
    <x v="0"/>
    <x v="0"/>
    <x v="0"/>
  </r>
  <r>
    <x v="0"/>
    <x v="11"/>
    <s v="7446 J"/>
    <x v="245"/>
    <s v="Umair PP  Adda Crown C/O Majistice Plastice"/>
    <s v="LDM"/>
    <n v="22"/>
    <s v="12-13."/>
    <s v="LDM"/>
    <n v="500"/>
    <x v="0"/>
    <n v="1"/>
    <n v="129.5"/>
    <n v="2.8"/>
    <n v="2.2367693795771726"/>
    <x v="0"/>
    <n v="126.7"/>
    <n v="510.5"/>
    <m/>
    <x v="0"/>
    <x v="0"/>
    <n v="0"/>
    <n v="0"/>
    <x v="0"/>
    <x v="0"/>
    <m/>
    <x v="0"/>
    <x v="0"/>
    <x v="0"/>
    <x v="0"/>
    <x v="0"/>
    <n v="0"/>
    <n v="0"/>
    <n v="0"/>
    <n v="12"/>
    <x v="1"/>
    <x v="0"/>
    <m/>
    <x v="0"/>
    <n v="134.5"/>
    <x v="0"/>
    <x v="26"/>
    <x v="0"/>
    <x v="0"/>
    <x v="0"/>
  </r>
  <r>
    <x v="0"/>
    <x v="11"/>
    <s v="7458 J"/>
    <x v="245"/>
    <s v="Sheikh Asghar Garishow Lahore"/>
    <s v="LDM"/>
    <n v="18"/>
    <s v="15-16"/>
    <s v="LDM"/>
    <n v="100"/>
    <x v="0"/>
    <n v="2"/>
    <n v="102"/>
    <n v="3.8"/>
    <n v="1.7617797429874256"/>
    <x v="0"/>
    <n v="98.2"/>
    <n v="98.2"/>
    <m/>
    <x v="0"/>
    <x v="0"/>
    <n v="0"/>
    <n v="0"/>
    <x v="0"/>
    <x v="0"/>
    <m/>
    <x v="0"/>
    <x v="0"/>
    <x v="0"/>
    <x v="0"/>
    <x v="0"/>
    <n v="0"/>
    <n v="0"/>
    <n v="0"/>
    <n v="12"/>
    <x v="1"/>
    <x v="0"/>
    <m/>
    <x v="0"/>
    <n v="107"/>
    <x v="0"/>
    <x v="26"/>
    <x v="0"/>
    <x v="0"/>
    <x v="0"/>
  </r>
  <r>
    <x v="0"/>
    <x v="11"/>
    <s v="7602 J"/>
    <x v="245"/>
    <s v="Usman Ouder Shop Sialkot"/>
    <s v="LDM"/>
    <n v="18"/>
    <s v="14-15"/>
    <s v="LDM"/>
    <n v="100"/>
    <x v="0"/>
    <n v="2"/>
    <n v="112.5"/>
    <n v="4.2"/>
    <n v="1.9431394224126017"/>
    <x v="0"/>
    <n v="108.3"/>
    <n v="108.3"/>
    <m/>
    <x v="0"/>
    <x v="0"/>
    <n v="0"/>
    <n v="0"/>
    <x v="0"/>
    <x v="0"/>
    <m/>
    <x v="0"/>
    <x v="0"/>
    <x v="0"/>
    <x v="0"/>
    <x v="0"/>
    <n v="0"/>
    <n v="0"/>
    <n v="0"/>
    <n v="12"/>
    <x v="1"/>
    <x v="0"/>
    <m/>
    <x v="0"/>
    <n v="117.5"/>
    <x v="0"/>
    <x v="26"/>
    <x v="0"/>
    <x v="0"/>
    <x v="0"/>
  </r>
  <r>
    <x v="0"/>
    <x v="11"/>
    <s v="7576 J"/>
    <x v="245"/>
    <s v="Zam Zam Shopping Mall Timbergra"/>
    <s v="LDM"/>
    <n v="19"/>
    <s v="13-14"/>
    <s v="LDM"/>
    <n v="100"/>
    <x v="0"/>
    <n v="2"/>
    <n v="105"/>
    <n v="4.4000000000000004"/>
    <n v="1.8135967942517617"/>
    <x v="0"/>
    <n v="100.6"/>
    <n v="100.6"/>
    <m/>
    <x v="0"/>
    <x v="0"/>
    <n v="0"/>
    <n v="0"/>
    <x v="0"/>
    <x v="0"/>
    <m/>
    <x v="0"/>
    <x v="0"/>
    <x v="0"/>
    <x v="0"/>
    <x v="0"/>
    <n v="0"/>
    <n v="0"/>
    <n v="0"/>
    <n v="12"/>
    <x v="1"/>
    <x v="0"/>
    <m/>
    <x v="0"/>
    <n v="110"/>
    <x v="0"/>
    <x v="26"/>
    <x v="0"/>
    <x v="0"/>
    <x v="0"/>
  </r>
  <r>
    <x v="1"/>
    <x v="11"/>
    <s v="7493 J"/>
    <x v="245"/>
    <s v="Alam Printers Butkhela"/>
    <s v="LDM"/>
    <n v="16"/>
    <s v="9-10."/>
    <s v="LDM"/>
    <n v="100"/>
    <x v="0"/>
    <n v="2"/>
    <n v="116.5"/>
    <n v="4.2"/>
    <n v="9.0225299225533906"/>
    <x v="0"/>
    <n v="112.3"/>
    <n v="112.3"/>
    <m/>
    <x v="0"/>
    <x v="0"/>
    <n v="0"/>
    <n v="0"/>
    <x v="0"/>
    <x v="0"/>
    <m/>
    <x v="0"/>
    <x v="0"/>
    <x v="0"/>
    <x v="0"/>
    <x v="0"/>
    <n v="0"/>
    <n v="0"/>
    <n v="0"/>
    <n v="12"/>
    <x v="1"/>
    <x v="0"/>
    <m/>
    <x v="0"/>
    <n v="121.5"/>
    <x v="0"/>
    <x v="26"/>
    <x v="0"/>
    <x v="0"/>
    <x v="0"/>
  </r>
  <r>
    <x v="1"/>
    <x v="11"/>
    <s v="7569 J"/>
    <x v="245"/>
    <s v="Javed Plastic Printers LHR"/>
    <s v="LDM"/>
    <n v="14"/>
    <s v="20-21"/>
    <s v="LDM"/>
    <n v="100"/>
    <x v="0"/>
    <n v="2"/>
    <n v="122"/>
    <n v="3.2"/>
    <n v="9.4484862708284432"/>
    <x v="0"/>
    <n v="118.8"/>
    <n v="118.8"/>
    <m/>
    <x v="0"/>
    <x v="0"/>
    <n v="0"/>
    <n v="0"/>
    <x v="0"/>
    <x v="0"/>
    <m/>
    <x v="0"/>
    <x v="0"/>
    <x v="0"/>
    <x v="0"/>
    <x v="0"/>
    <n v="0"/>
    <n v="0"/>
    <n v="0"/>
    <n v="12"/>
    <x v="1"/>
    <x v="0"/>
    <m/>
    <x v="0"/>
    <n v="127"/>
    <x v="0"/>
    <x v="26"/>
    <x v="0"/>
    <x v="0"/>
    <x v="0"/>
  </r>
  <r>
    <x v="1"/>
    <x v="11"/>
    <s v="2856/1"/>
    <x v="245"/>
    <s v="WAHEED FOODS WAZIR ABAD (PT-02)"/>
    <s v="LD BLACK"/>
    <n v="24"/>
    <n v="8"/>
    <s v="SL"/>
    <n v="500"/>
    <x v="0"/>
    <n v="1"/>
    <n v="108"/>
    <n v="3"/>
    <n v="8.364233747946491"/>
    <x v="0"/>
    <n v="105"/>
    <n v="486"/>
    <m/>
    <x v="0"/>
    <x v="0"/>
    <n v="0"/>
    <n v="0"/>
    <x v="0"/>
    <x v="0"/>
    <m/>
    <x v="0"/>
    <x v="0"/>
    <x v="0"/>
    <x v="0"/>
    <x v="0"/>
    <n v="0"/>
    <n v="0"/>
    <n v="0"/>
    <n v="12"/>
    <x v="1"/>
    <x v="0"/>
    <m/>
    <x v="0"/>
    <n v="113"/>
    <x v="0"/>
    <x v="26"/>
    <x v="0"/>
    <x v="0"/>
    <x v="0"/>
  </r>
  <r>
    <x v="0"/>
    <x v="13"/>
    <s v="2860 F"/>
    <x v="245"/>
    <s v="Usman Amin"/>
    <s v="LDN"/>
    <n v="17"/>
    <s v="8.5-9"/>
    <s v="LDN"/>
    <n v="1000"/>
    <x v="0"/>
    <n v="7"/>
    <n v="403"/>
    <n v="15.400000000000002"/>
    <n v="6.9607572198424759"/>
    <x v="0"/>
    <n v="387.6"/>
    <n v="1041.1000000000001"/>
    <m/>
    <x v="0"/>
    <x v="0"/>
    <n v="0"/>
    <n v="0"/>
    <x v="0"/>
    <x v="0"/>
    <m/>
    <x v="0"/>
    <x v="0"/>
    <x v="0"/>
    <x v="0"/>
    <x v="0"/>
    <n v="0"/>
    <n v="0"/>
    <n v="0"/>
    <n v="12"/>
    <x v="1"/>
    <x v="0"/>
    <m/>
    <x v="0"/>
    <n v="408"/>
    <x v="0"/>
    <x v="26"/>
    <x v="0"/>
    <x v="0"/>
    <x v="0"/>
  </r>
  <r>
    <x v="1"/>
    <x v="13"/>
    <s v="2860 F"/>
    <x v="245"/>
    <s v="Usman Amin"/>
    <s v="LDN"/>
    <n v="17"/>
    <s v="8.5-9"/>
    <s v="LDN"/>
    <n v="1000"/>
    <x v="0"/>
    <n v="4"/>
    <n v="186"/>
    <n v="8"/>
    <n v="14.405069232574512"/>
    <x v="0"/>
    <n v="178"/>
    <n v="1041.1000000000001"/>
    <m/>
    <x v="0"/>
    <x v="0"/>
    <n v="0"/>
    <n v="0"/>
    <x v="0"/>
    <x v="0"/>
    <m/>
    <x v="0"/>
    <x v="0"/>
    <x v="0"/>
    <x v="0"/>
    <x v="0"/>
    <n v="0"/>
    <n v="0"/>
    <n v="0"/>
    <n v="12"/>
    <x v="1"/>
    <x v="0"/>
    <m/>
    <x v="0"/>
    <n v="191"/>
    <x v="0"/>
    <x v="26"/>
    <x v="0"/>
    <x v="0"/>
    <x v="0"/>
  </r>
  <r>
    <x v="0"/>
    <x v="12"/>
    <s v="2857/1"/>
    <x v="245"/>
    <s v="ENGRO ZARKHEZ"/>
    <s v="LDN"/>
    <s v="24-24.5"/>
    <s v="60±1"/>
    <s v="AA"/>
    <n v="2400"/>
    <x v="0"/>
    <n v="6"/>
    <n v="575"/>
    <n v="14.399999999999999"/>
    <n v="9.931601492331076"/>
    <x v="0"/>
    <n v="560.6"/>
    <n v="4088.2"/>
    <m/>
    <x v="0"/>
    <x v="0"/>
    <n v="0"/>
    <n v="0"/>
    <x v="0"/>
    <x v="0"/>
    <m/>
    <x v="0"/>
    <x v="0"/>
    <x v="0"/>
    <x v="0"/>
    <x v="0"/>
    <n v="0"/>
    <n v="0"/>
    <n v="0"/>
    <n v="12"/>
    <x v="1"/>
    <x v="0"/>
    <m/>
    <x v="0"/>
    <n v="580"/>
    <x v="0"/>
    <x v="26"/>
    <x v="0"/>
    <x v="0"/>
    <x v="0"/>
  </r>
  <r>
    <x v="1"/>
    <x v="12"/>
    <s v="2857/1"/>
    <x v="245"/>
    <s v="ENGRO ZARKHEZ"/>
    <s v="LDN"/>
    <s v="24-24.5"/>
    <s v="60±1"/>
    <s v="AA"/>
    <n v="2400"/>
    <x v="0"/>
    <n v="2"/>
    <n v="203.5"/>
    <n v="5.6"/>
    <n v="15.760384886176952"/>
    <x v="0"/>
    <n v="197.9"/>
    <n v="4088.2"/>
    <m/>
    <x v="0"/>
    <x v="0"/>
    <n v="0"/>
    <n v="0"/>
    <x v="0"/>
    <x v="0"/>
    <m/>
    <x v="0"/>
    <x v="0"/>
    <x v="0"/>
    <x v="0"/>
    <x v="0"/>
    <n v="0"/>
    <n v="0"/>
    <n v="0"/>
    <n v="12"/>
    <x v="1"/>
    <x v="0"/>
    <m/>
    <x v="0"/>
    <n v="208.5"/>
    <x v="0"/>
    <x v="26"/>
    <x v="0"/>
    <x v="0"/>
    <x v="0"/>
  </r>
  <r>
    <x v="1"/>
    <x v="12"/>
    <s v="2855/1"/>
    <x v="245"/>
    <s v="MATCO FOOD"/>
    <s v="LDN"/>
    <s v="22.5-23"/>
    <s v="70±2"/>
    <s v="LDN"/>
    <n v="7700"/>
    <x v="0"/>
    <n v="1"/>
    <n v="126"/>
    <n v="2.8"/>
    <n v="9.7582727059375731"/>
    <x v="0"/>
    <n v="123.2"/>
    <n v="9255.0999999999985"/>
    <m/>
    <x v="0"/>
    <x v="0"/>
    <n v="0"/>
    <n v="0"/>
    <x v="6"/>
    <x v="0"/>
    <m/>
    <x v="0"/>
    <x v="0"/>
    <x v="0"/>
    <x v="6"/>
    <x v="0"/>
    <n v="120"/>
    <n v="2"/>
    <n v="2"/>
    <n v="10"/>
    <x v="1"/>
    <x v="0"/>
    <m/>
    <x v="0"/>
    <n v="131"/>
    <x v="0"/>
    <x v="26"/>
    <x v="0"/>
    <x v="0"/>
    <x v="0"/>
  </r>
  <r>
    <x v="0"/>
    <x v="14"/>
    <s v="276 R"/>
    <x v="245"/>
    <s v="ریفلیکٹ پیک"/>
    <s v="LDN"/>
    <n v="35"/>
    <s v="5-5.5"/>
    <s v="LDN"/>
    <n v="10000"/>
    <x v="0"/>
    <n v="12"/>
    <n v="849"/>
    <n v="30"/>
    <n v="14.664225507807101"/>
    <x v="0"/>
    <n v="819"/>
    <n v="9958.4"/>
    <m/>
    <x v="0"/>
    <x v="0"/>
    <n v="0"/>
    <n v="0"/>
    <x v="0"/>
    <x v="0"/>
    <m/>
    <x v="0"/>
    <x v="0"/>
    <x v="0"/>
    <x v="0"/>
    <x v="0"/>
    <n v="0"/>
    <n v="0"/>
    <n v="0"/>
    <n v="12"/>
    <x v="1"/>
    <x v="0"/>
    <m/>
    <x v="0"/>
    <n v="854"/>
    <x v="0"/>
    <x v="26"/>
    <x v="0"/>
    <x v="0"/>
    <x v="0"/>
  </r>
  <r>
    <x v="1"/>
    <x v="14"/>
    <s v="7537 J"/>
    <x v="245"/>
    <s v="Moazmi Plastic Sahiwal "/>
    <s v="LDN"/>
    <s v="36&quot; شیٹ"/>
    <s v="3-3.25/6-6.5"/>
    <s v="LDN"/>
    <n v="100"/>
    <x v="0"/>
    <n v="2"/>
    <n v="104.5"/>
    <n v="9"/>
    <n v="8.0931706172260025"/>
    <x v="0"/>
    <n v="95.5"/>
    <n v="95.5"/>
    <n v="5"/>
    <x v="0"/>
    <x v="0"/>
    <n v="5"/>
    <n v="8.3333333333333329E-2"/>
    <x v="6"/>
    <x v="0"/>
    <m/>
    <x v="0"/>
    <x v="0"/>
    <x v="0"/>
    <x v="0"/>
    <x v="0"/>
    <n v="60"/>
    <n v="1"/>
    <n v="1.0833333333333333"/>
    <n v="10.916666666666666"/>
    <x v="1"/>
    <x v="0"/>
    <m/>
    <x v="0"/>
    <n v="109.5"/>
    <x v="0"/>
    <x v="26"/>
    <x v="0"/>
    <x v="0"/>
    <x v="0"/>
  </r>
  <r>
    <x v="1"/>
    <x v="14"/>
    <s v="2909 F"/>
    <x v="245"/>
    <s v="Usman Amin"/>
    <s v="LDN"/>
    <s v="34 SHEET"/>
    <s v="3-3.25/6-6.5"/>
    <s v="LDN"/>
    <n v="350"/>
    <x v="0"/>
    <n v="6"/>
    <n v="375"/>
    <n v="22.5"/>
    <n v="29.042478291480872"/>
    <x v="0"/>
    <n v="352.5"/>
    <n v="352.5"/>
    <n v="5"/>
    <x v="0"/>
    <x v="0"/>
    <n v="5"/>
    <n v="8.3333333333333329E-2"/>
    <x v="0"/>
    <x v="0"/>
    <m/>
    <x v="0"/>
    <x v="0"/>
    <x v="0"/>
    <x v="0"/>
    <x v="0"/>
    <n v="0"/>
    <n v="0"/>
    <n v="8.3333333333333329E-2"/>
    <n v="11.916666666666666"/>
    <x v="1"/>
    <x v="0"/>
    <m/>
    <x v="0"/>
    <n v="380"/>
    <x v="0"/>
    <x v="26"/>
    <x v="0"/>
    <x v="0"/>
    <x v="0"/>
  </r>
  <r>
    <x v="1"/>
    <x v="14"/>
    <s v="7620 J"/>
    <x v="245"/>
    <s v="Usman Arif Butt Gujranwala"/>
    <s v="LDN"/>
    <n v="38"/>
    <n v="5"/>
    <s v="LDN"/>
    <n v="100"/>
    <x v="0"/>
    <n v="2"/>
    <n v="109.5"/>
    <n v="8"/>
    <n v="8.4804036611124136"/>
    <x v="0"/>
    <n v="101.5"/>
    <n v="101.5"/>
    <n v="5"/>
    <x v="0"/>
    <x v="0"/>
    <n v="5"/>
    <n v="8.3333333333333329E-2"/>
    <x v="0"/>
    <x v="0"/>
    <m/>
    <x v="0"/>
    <x v="0"/>
    <x v="0"/>
    <x v="0"/>
    <x v="0"/>
    <n v="0"/>
    <n v="0"/>
    <n v="8.3333333333333329E-2"/>
    <n v="11.916666666666666"/>
    <x v="1"/>
    <x v="0"/>
    <m/>
    <x v="0"/>
    <n v="114.5"/>
    <x v="0"/>
    <x v="26"/>
    <x v="0"/>
    <x v="0"/>
    <x v="0"/>
  </r>
  <r>
    <x v="1"/>
    <x v="14"/>
    <s v="7388 J"/>
    <x v="245"/>
    <s v="Bolan Pastry Shop Quita"/>
    <s v="LDN"/>
    <s v="30 شیٹ"/>
    <s v="4-4.5/8-9"/>
    <s v="LDN"/>
    <n v="100"/>
    <x v="0"/>
    <n v="2"/>
    <n v="111.5"/>
    <n v="5"/>
    <n v="8.6352968786669795"/>
    <x v="0"/>
    <n v="106.5"/>
    <n v="106.5"/>
    <n v="10"/>
    <x v="0"/>
    <x v="0"/>
    <n v="10"/>
    <n v="0.16666666666666666"/>
    <x v="0"/>
    <x v="0"/>
    <m/>
    <x v="0"/>
    <x v="0"/>
    <x v="0"/>
    <x v="0"/>
    <x v="0"/>
    <n v="0"/>
    <n v="0"/>
    <n v="0.16666666666666666"/>
    <n v="11.833333333333334"/>
    <x v="1"/>
    <x v="0"/>
    <m/>
    <x v="0"/>
    <n v="116.5"/>
    <x v="0"/>
    <x v="26"/>
    <x v="0"/>
    <x v="0"/>
    <x v="0"/>
  </r>
  <r>
    <x v="1"/>
    <x v="14"/>
    <s v="7364 J"/>
    <x v="245"/>
    <s v="Usman Arif Butt Gujranwala"/>
    <s v="LDN"/>
    <n v="30"/>
    <n v="5"/>
    <s v="LDN"/>
    <n v="100"/>
    <x v="0"/>
    <n v="1"/>
    <n v="59.5"/>
    <n v="2.5"/>
    <n v="4.6080732222482981"/>
    <x v="0"/>
    <n v="57"/>
    <n v="107"/>
    <m/>
    <x v="0"/>
    <x v="0"/>
    <n v="0"/>
    <n v="0"/>
    <x v="0"/>
    <x v="0"/>
    <m/>
    <x v="0"/>
    <x v="0"/>
    <x v="0"/>
    <x v="0"/>
    <x v="0"/>
    <n v="0"/>
    <n v="0"/>
    <n v="0"/>
    <n v="12"/>
    <x v="1"/>
    <x v="0"/>
    <m/>
    <x v="0"/>
    <n v="64.5"/>
    <x v="0"/>
    <x v="26"/>
    <x v="0"/>
    <x v="0"/>
    <x v="0"/>
  </r>
  <r>
    <x v="0"/>
    <x v="15"/>
    <s v="2931 F"/>
    <x v="245"/>
    <s v="Usman Amin"/>
    <s v="LDN"/>
    <n v="18"/>
    <s v="5-5.5"/>
    <s v="LDN"/>
    <n v="210"/>
    <x v="0"/>
    <n v="6"/>
    <n v="326"/>
    <n v="12.600000000000001"/>
    <n v="5.6307862373911837"/>
    <x v="0"/>
    <n v="313.39999999999998"/>
    <n v="1892.2"/>
    <m/>
    <x v="0"/>
    <x v="0"/>
    <n v="0"/>
    <n v="0"/>
    <x v="0"/>
    <x v="0"/>
    <m/>
    <x v="0"/>
    <x v="0"/>
    <x v="0"/>
    <x v="0"/>
    <x v="0"/>
    <n v="0"/>
    <n v="0"/>
    <n v="0"/>
    <n v="12"/>
    <x v="1"/>
    <x v="0"/>
    <m/>
    <x v="0"/>
    <n v="331"/>
    <x v="0"/>
    <x v="26"/>
    <x v="0"/>
    <x v="0"/>
    <x v="0"/>
  </r>
  <r>
    <x v="1"/>
    <x v="15"/>
    <s v="2931 F"/>
    <x v="245"/>
    <s v="Usman Amin"/>
    <s v="LDN"/>
    <n v="18"/>
    <s v="5-5.5"/>
    <s v="LDN"/>
    <n v="210"/>
    <x v="0"/>
    <n v="6"/>
    <n v="296.3"/>
    <n v="13.799999999999999"/>
    <n v="22.947430180708754"/>
    <x v="0"/>
    <n v="282.5"/>
    <n v="1892.2"/>
    <m/>
    <x v="0"/>
    <x v="0"/>
    <n v="0"/>
    <n v="0"/>
    <x v="0"/>
    <x v="0"/>
    <m/>
    <x v="0"/>
    <x v="0"/>
    <x v="0"/>
    <x v="0"/>
    <x v="0"/>
    <n v="0"/>
    <n v="0"/>
    <n v="0"/>
    <n v="12"/>
    <x v="1"/>
    <x v="0"/>
    <m/>
    <x v="0"/>
    <n v="301.3"/>
    <x v="0"/>
    <x v="26"/>
    <x v="0"/>
    <x v="0"/>
    <x v="0"/>
  </r>
  <r>
    <x v="0"/>
    <x v="8"/>
    <s v="7390 J"/>
    <x v="246"/>
    <s v="AbuBakar Butt Lahore"/>
    <s v="LDN"/>
    <n v="8.5"/>
    <s v="8.5-9"/>
    <s v="LDN"/>
    <n v="1000"/>
    <x v="0"/>
    <n v="3"/>
    <n v="157"/>
    <n v="3.3000000000000003"/>
    <n v="2"/>
    <x v="0"/>
    <n v="153.69999999999999"/>
    <n v="1095.3499999999999"/>
    <m/>
    <x v="0"/>
    <x v="0"/>
    <n v="0"/>
    <n v="0"/>
    <x v="0"/>
    <x v="0"/>
    <m/>
    <x v="0"/>
    <x v="0"/>
    <x v="0"/>
    <x v="0"/>
    <x v="0"/>
    <n v="0"/>
    <n v="0"/>
    <n v="0"/>
    <n v="12"/>
    <x v="1"/>
    <x v="0"/>
    <m/>
    <x v="0"/>
    <n v="162"/>
    <x v="0"/>
    <x v="26"/>
    <x v="0"/>
    <x v="0"/>
    <x v="0"/>
  </r>
  <r>
    <x v="1"/>
    <x v="8"/>
    <s v="7390 J"/>
    <x v="246"/>
    <s v="AbuBakar Butt Lahore"/>
    <s v="LDN"/>
    <n v="8.5"/>
    <s v="8.5-9"/>
    <s v="LDN"/>
    <n v="1000"/>
    <x v="0"/>
    <n v="3"/>
    <n v="182"/>
    <n v="3.3000000000000003"/>
    <n v="1"/>
    <x v="0"/>
    <n v="178.7"/>
    <n v="1095.3499999999999"/>
    <m/>
    <x v="0"/>
    <x v="0"/>
    <n v="0"/>
    <n v="0"/>
    <x v="0"/>
    <x v="0"/>
    <m/>
    <x v="0"/>
    <x v="0"/>
    <x v="0"/>
    <x v="0"/>
    <x v="0"/>
    <n v="0"/>
    <n v="0"/>
    <n v="0"/>
    <n v="12"/>
    <x v="1"/>
    <x v="0"/>
    <m/>
    <x v="0"/>
    <n v="187"/>
    <x v="0"/>
    <x v="26"/>
    <x v="0"/>
    <x v="0"/>
    <x v="0"/>
  </r>
  <r>
    <x v="0"/>
    <x v="9"/>
    <s v="2858/1"/>
    <x v="246"/>
    <s v="M DIN PINDI (PT-02)"/>
    <s v="LDM"/>
    <n v="9"/>
    <n v="18"/>
    <s v="SL"/>
    <n v="150"/>
    <x v="0"/>
    <n v="4"/>
    <n v="157.69999999999999"/>
    <n v="4.8"/>
    <n v="38"/>
    <x v="0"/>
    <n v="152.89999999999998"/>
    <n v="152.89999999999998"/>
    <m/>
    <x v="0"/>
    <x v="0"/>
    <n v="0"/>
    <n v="0"/>
    <x v="0"/>
    <x v="0"/>
    <m/>
    <x v="0"/>
    <x v="0"/>
    <x v="0"/>
    <x v="0"/>
    <x v="0"/>
    <n v="0"/>
    <n v="0"/>
    <n v="0"/>
    <n v="12"/>
    <x v="1"/>
    <x v="0"/>
    <m/>
    <x v="0"/>
    <n v="162.69999999999999"/>
    <x v="0"/>
    <x v="26"/>
    <x v="0"/>
    <x v="0"/>
    <x v="0"/>
  </r>
  <r>
    <x v="1"/>
    <x v="9"/>
    <s v="7605 J"/>
    <x v="246"/>
    <s v="Javed Enterprises Gujranwala"/>
    <s v="LDN"/>
    <n v="14"/>
    <s v="20-21"/>
    <s v="LDN"/>
    <n v="500"/>
    <x v="0"/>
    <n v="3"/>
    <n v="211.5"/>
    <n v="3.5999999999999996"/>
    <n v="2"/>
    <x v="0"/>
    <n v="207.9"/>
    <n v="978.99999999999989"/>
    <n v="4"/>
    <x v="0"/>
    <x v="0"/>
    <n v="4"/>
    <n v="6.6666666666666666E-2"/>
    <x v="0"/>
    <x v="0"/>
    <m/>
    <x v="0"/>
    <x v="0"/>
    <x v="0"/>
    <x v="0"/>
    <x v="0"/>
    <n v="0"/>
    <n v="0"/>
    <n v="6.6666666666666666E-2"/>
    <n v="11.933333333333334"/>
    <x v="1"/>
    <x v="0"/>
    <m/>
    <x v="0"/>
    <n v="216.5"/>
    <x v="0"/>
    <x v="26"/>
    <x v="0"/>
    <x v="0"/>
    <x v="0"/>
  </r>
  <r>
    <x v="0"/>
    <x v="11"/>
    <s v="2856/1"/>
    <x v="246"/>
    <s v="WAHEED FOODS WAZIR ABAD (PT-02)"/>
    <s v="LD BLACK"/>
    <n v="24"/>
    <n v="8"/>
    <s v="SL"/>
    <n v="500"/>
    <x v="0"/>
    <n v="5"/>
    <n v="392"/>
    <n v="11"/>
    <m/>
    <x v="0"/>
    <n v="381"/>
    <n v="486"/>
    <n v="3"/>
    <x v="0"/>
    <x v="0"/>
    <n v="3"/>
    <n v="0.05"/>
    <x v="0"/>
    <x v="0"/>
    <m/>
    <x v="0"/>
    <x v="0"/>
    <x v="0"/>
    <x v="0"/>
    <x v="0"/>
    <n v="0"/>
    <n v="0"/>
    <n v="0.05"/>
    <n v="11.95"/>
    <x v="1"/>
    <x v="0"/>
    <m/>
    <x v="0"/>
    <n v="397"/>
    <x v="0"/>
    <x v="26"/>
    <x v="0"/>
    <x v="0"/>
    <x v="0"/>
  </r>
  <r>
    <x v="1"/>
    <x v="11"/>
    <s v="7675 J"/>
    <x v="246"/>
    <s v="RMC PACK"/>
    <s v="LD کریم"/>
    <s v="16+5+5"/>
    <s v="7.5/15"/>
    <s v="LDM"/>
    <n v="100"/>
    <x v="0"/>
    <n v="4"/>
    <n v="162.5"/>
    <n v="7.1000000000000005"/>
    <n v="55"/>
    <x v="0"/>
    <n v="155.4"/>
    <n v="245.2"/>
    <n v="3"/>
    <x v="0"/>
    <x v="0"/>
    <n v="3"/>
    <n v="0.05"/>
    <x v="0"/>
    <x v="0"/>
    <m/>
    <x v="0"/>
    <x v="0"/>
    <x v="0"/>
    <x v="0"/>
    <x v="0"/>
    <n v="0"/>
    <n v="0"/>
    <n v="0.05"/>
    <n v="11.95"/>
    <x v="1"/>
    <x v="0"/>
    <m/>
    <x v="0"/>
    <n v="167.5"/>
    <x v="0"/>
    <x v="26"/>
    <x v="0"/>
    <x v="0"/>
    <x v="0"/>
  </r>
  <r>
    <x v="1"/>
    <x v="11"/>
    <s v="7674 J"/>
    <x v="246"/>
    <s v="RMC PACK"/>
    <s v="LD کریم"/>
    <s v="12+3+3"/>
    <s v="7.5/15"/>
    <s v="LDM"/>
    <n v="300"/>
    <x v="0"/>
    <n v="4"/>
    <n v="130"/>
    <n v="5.9"/>
    <m/>
    <x v="0"/>
    <n v="124.1"/>
    <n v="298.10000000000002"/>
    <n v="2"/>
    <x v="0"/>
    <x v="0"/>
    <n v="2"/>
    <n v="3.3333333333333333E-2"/>
    <x v="0"/>
    <x v="0"/>
    <m/>
    <x v="0"/>
    <x v="0"/>
    <x v="0"/>
    <x v="0"/>
    <x v="0"/>
    <n v="0"/>
    <n v="0"/>
    <n v="3.3333333333333333E-2"/>
    <n v="11.966666666666667"/>
    <x v="1"/>
    <x v="0"/>
    <m/>
    <x v="0"/>
    <n v="135"/>
    <x v="0"/>
    <x v="26"/>
    <x v="0"/>
    <x v="0"/>
    <x v="0"/>
  </r>
  <r>
    <x v="0"/>
    <x v="13"/>
    <s v="2922 F"/>
    <x v="246"/>
    <s v="Usman Amin"/>
    <s v="LDN"/>
    <n v="17.25"/>
    <s v="8.5-9"/>
    <s v="LDN"/>
    <n v="500"/>
    <x v="0"/>
    <n v="5"/>
    <n v="393.5"/>
    <n v="10.5"/>
    <m/>
    <x v="0"/>
    <n v="383"/>
    <n v="634.6"/>
    <m/>
    <x v="0"/>
    <x v="0"/>
    <n v="0"/>
    <n v="0"/>
    <x v="0"/>
    <x v="0"/>
    <m/>
    <x v="0"/>
    <x v="0"/>
    <x v="0"/>
    <x v="0"/>
    <x v="0"/>
    <n v="0"/>
    <n v="0"/>
    <n v="0"/>
    <n v="12"/>
    <x v="1"/>
    <x v="0"/>
    <m/>
    <x v="0"/>
    <n v="398.5"/>
    <x v="0"/>
    <x v="26"/>
    <x v="0"/>
    <x v="0"/>
    <x v="0"/>
  </r>
  <r>
    <x v="1"/>
    <x v="13"/>
    <s v="2922 F"/>
    <x v="246"/>
    <s v="Usman Amin"/>
    <s v="LDN"/>
    <n v="17.25"/>
    <s v="8.5-9"/>
    <s v="LDN"/>
    <n v="500"/>
    <x v="0"/>
    <n v="2"/>
    <n v="256"/>
    <n v="4.4000000000000004"/>
    <m/>
    <x v="0"/>
    <n v="251.6"/>
    <n v="634.6"/>
    <n v="3"/>
    <x v="0"/>
    <x v="0"/>
    <n v="3"/>
    <n v="0.05"/>
    <x v="0"/>
    <x v="0"/>
    <m/>
    <x v="0"/>
    <x v="0"/>
    <x v="0"/>
    <x v="0"/>
    <x v="0"/>
    <n v="0"/>
    <n v="0"/>
    <n v="0.05"/>
    <n v="11.95"/>
    <x v="1"/>
    <x v="0"/>
    <m/>
    <x v="0"/>
    <n v="261"/>
    <x v="0"/>
    <x v="26"/>
    <x v="0"/>
    <x v="0"/>
    <x v="0"/>
  </r>
  <r>
    <x v="1"/>
    <x v="13"/>
    <s v="7614 J"/>
    <x v="246"/>
    <s v="Atlas Honda LTD (SKP)"/>
    <s v="LDN"/>
    <n v="19"/>
    <s v="8.5-9"/>
    <s v="LDN"/>
    <n v="276.29392212725543"/>
    <x v="0"/>
    <n v="2"/>
    <n v="134.5"/>
    <n v="3"/>
    <n v="5"/>
    <x v="0"/>
    <n v="131.5"/>
    <n v="261.10000000000002"/>
    <n v="2"/>
    <x v="0"/>
    <x v="0"/>
    <n v="2"/>
    <n v="3.3333333333333333E-2"/>
    <x v="0"/>
    <x v="0"/>
    <m/>
    <x v="0"/>
    <x v="0"/>
    <x v="0"/>
    <x v="0"/>
    <x v="0"/>
    <n v="0"/>
    <n v="0"/>
    <n v="3.3333333333333333E-2"/>
    <n v="11.966666666666667"/>
    <x v="1"/>
    <x v="0"/>
    <m/>
    <x v="0"/>
    <n v="139.5"/>
    <x v="0"/>
    <x v="26"/>
    <x v="0"/>
    <x v="0"/>
    <x v="0"/>
  </r>
  <r>
    <x v="1"/>
    <x v="13"/>
    <s v="2930 F"/>
    <x v="246"/>
    <s v="Usman Amin"/>
    <s v="LDN"/>
    <n v="18"/>
    <s v="8-8.5"/>
    <s v="LDN"/>
    <n v="22"/>
    <x v="0"/>
    <n v="2"/>
    <n v="115.5"/>
    <n v="4"/>
    <m/>
    <x v="0"/>
    <n v="111.5"/>
    <n v="111.5"/>
    <m/>
    <x v="0"/>
    <x v="0"/>
    <n v="0"/>
    <n v="0"/>
    <x v="0"/>
    <x v="0"/>
    <m/>
    <x v="0"/>
    <x v="0"/>
    <x v="0"/>
    <x v="0"/>
    <x v="0"/>
    <n v="0"/>
    <n v="0"/>
    <n v="0"/>
    <n v="12"/>
    <x v="1"/>
    <x v="0"/>
    <m/>
    <x v="0"/>
    <n v="120.5"/>
    <x v="0"/>
    <x v="26"/>
    <x v="0"/>
    <x v="0"/>
    <x v="0"/>
  </r>
  <r>
    <x v="0"/>
    <x v="12"/>
    <s v="2855/1"/>
    <x v="246"/>
    <s v="MATCO FOOD"/>
    <s v="LDN"/>
    <s v="22.5-23"/>
    <s v="70±2"/>
    <s v="LDN"/>
    <n v="7700"/>
    <x v="0"/>
    <n v="6"/>
    <n v="679"/>
    <n v="17.899999999999999"/>
    <n v="5"/>
    <x v="0"/>
    <n v="661.1"/>
    <n v="9255.0999999999985"/>
    <m/>
    <x v="0"/>
    <x v="0"/>
    <n v="0"/>
    <n v="0"/>
    <x v="0"/>
    <x v="0"/>
    <m/>
    <x v="0"/>
    <x v="0"/>
    <x v="0"/>
    <x v="0"/>
    <x v="0"/>
    <n v="0"/>
    <n v="0"/>
    <n v="0"/>
    <n v="12"/>
    <x v="1"/>
    <x v="0"/>
    <m/>
    <x v="0"/>
    <n v="684"/>
    <x v="0"/>
    <x v="26"/>
    <x v="0"/>
    <x v="0"/>
    <x v="0"/>
  </r>
  <r>
    <x v="1"/>
    <x v="12"/>
    <s v="2855/1"/>
    <x v="246"/>
    <s v="MATCO FOOD"/>
    <s v="LDN"/>
    <s v="22.5-23"/>
    <s v="70±2"/>
    <s v="LDN"/>
    <n v="7700"/>
    <x v="0"/>
    <n v="6"/>
    <n v="685.9"/>
    <n v="16.799999999999997"/>
    <n v="9"/>
    <x v="0"/>
    <n v="669.1"/>
    <n v="9255.0999999999985"/>
    <m/>
    <x v="0"/>
    <x v="0"/>
    <n v="0"/>
    <n v="0"/>
    <x v="0"/>
    <x v="0"/>
    <m/>
    <x v="0"/>
    <x v="0"/>
    <x v="0"/>
    <x v="0"/>
    <x v="0"/>
    <n v="0"/>
    <n v="0"/>
    <n v="0"/>
    <n v="12"/>
    <x v="1"/>
    <x v="0"/>
    <m/>
    <x v="0"/>
    <n v="690.9"/>
    <x v="0"/>
    <x v="26"/>
    <x v="0"/>
    <x v="0"/>
    <x v="0"/>
  </r>
  <r>
    <x v="0"/>
    <x v="14"/>
    <s v="7364 J"/>
    <x v="246"/>
    <s v="Usman Arif Butt Gujranwala"/>
    <s v="LDN"/>
    <n v="30"/>
    <n v="5"/>
    <s v="LDN"/>
    <n v="100"/>
    <x v="0"/>
    <n v="1"/>
    <n v="52.5"/>
    <n v="2.5"/>
    <m/>
    <x v="0"/>
    <n v="50"/>
    <n v="107"/>
    <m/>
    <x v="0"/>
    <x v="0"/>
    <n v="0"/>
    <n v="0"/>
    <x v="0"/>
    <x v="0"/>
    <m/>
    <x v="0"/>
    <x v="0"/>
    <x v="0"/>
    <x v="0"/>
    <x v="0"/>
    <n v="0"/>
    <n v="0"/>
    <n v="0"/>
    <n v="12"/>
    <x v="1"/>
    <x v="0"/>
    <m/>
    <x v="0"/>
    <n v="57.5"/>
    <x v="0"/>
    <x v="26"/>
    <x v="0"/>
    <x v="0"/>
    <x v="0"/>
  </r>
  <r>
    <x v="0"/>
    <x v="14"/>
    <s v="7363 J"/>
    <x v="246"/>
    <s v="Usman Arif Butt Gujranwala"/>
    <s v="LDN"/>
    <n v="28"/>
    <n v="5"/>
    <s v="LDN"/>
    <n v="100"/>
    <x v="0"/>
    <n v="2"/>
    <n v="107.5"/>
    <n v="6.4"/>
    <m/>
    <x v="0"/>
    <n v="101.1"/>
    <n v="101.1"/>
    <m/>
    <x v="0"/>
    <x v="0"/>
    <n v="0"/>
    <n v="0"/>
    <x v="0"/>
    <x v="0"/>
    <m/>
    <x v="0"/>
    <x v="0"/>
    <x v="0"/>
    <x v="0"/>
    <x v="0"/>
    <n v="0"/>
    <n v="0"/>
    <n v="0"/>
    <n v="12"/>
    <x v="1"/>
    <x v="0"/>
    <m/>
    <x v="0"/>
    <n v="112.5"/>
    <x v="0"/>
    <x v="26"/>
    <x v="0"/>
    <x v="0"/>
    <x v="0"/>
  </r>
  <r>
    <x v="0"/>
    <x v="14"/>
    <s v="7361 J"/>
    <x v="246"/>
    <s v="Usman Arif Butt Gujranwala"/>
    <s v="LDN"/>
    <n v="26"/>
    <n v="14"/>
    <s v="LDN"/>
    <n v="100"/>
    <x v="0"/>
    <n v="1"/>
    <n v="97"/>
    <n v="3.2"/>
    <m/>
    <x v="0"/>
    <n v="93.8"/>
    <n v="188.8"/>
    <m/>
    <x v="0"/>
    <x v="0"/>
    <n v="0"/>
    <n v="0"/>
    <x v="0"/>
    <x v="0"/>
    <m/>
    <x v="0"/>
    <x v="0"/>
    <x v="0"/>
    <x v="0"/>
    <x v="0"/>
    <n v="0"/>
    <n v="0"/>
    <n v="0"/>
    <n v="12"/>
    <x v="1"/>
    <x v="0"/>
    <m/>
    <x v="0"/>
    <n v="102"/>
    <x v="0"/>
    <x v="26"/>
    <x v="0"/>
    <x v="0"/>
    <x v="0"/>
  </r>
  <r>
    <x v="0"/>
    <x v="14"/>
    <s v="7561 J"/>
    <x v="246"/>
    <s v="Paradise Dry Cleaners Chakwal"/>
    <s v="LDN"/>
    <n v="26"/>
    <s v="4.5-5"/>
    <s v="LDN"/>
    <n v="100"/>
    <x v="0"/>
    <n v="2"/>
    <n v="109"/>
    <n v="4"/>
    <m/>
    <x v="0"/>
    <n v="105"/>
    <n v="105"/>
    <m/>
    <x v="0"/>
    <x v="0"/>
    <n v="0"/>
    <n v="0"/>
    <x v="0"/>
    <x v="0"/>
    <m/>
    <x v="0"/>
    <x v="0"/>
    <x v="0"/>
    <x v="0"/>
    <x v="0"/>
    <n v="0"/>
    <n v="0"/>
    <n v="0"/>
    <n v="12"/>
    <x v="1"/>
    <x v="0"/>
    <m/>
    <x v="0"/>
    <n v="114"/>
    <x v="0"/>
    <x v="26"/>
    <x v="0"/>
    <x v="0"/>
    <x v="0"/>
  </r>
  <r>
    <x v="0"/>
    <x v="14"/>
    <s v="7618 J"/>
    <x v="246"/>
    <s v="Usman Arif Butt Gujranwala"/>
    <s v="LDN"/>
    <n v="26"/>
    <n v="5"/>
    <s v="LDN"/>
    <n v="100"/>
    <x v="0"/>
    <n v="3"/>
    <n v="107"/>
    <n v="6"/>
    <m/>
    <x v="0"/>
    <n v="101"/>
    <n v="101"/>
    <m/>
    <x v="0"/>
    <x v="0"/>
    <n v="0"/>
    <n v="0"/>
    <x v="0"/>
    <x v="0"/>
    <m/>
    <x v="0"/>
    <x v="0"/>
    <x v="0"/>
    <x v="0"/>
    <x v="0"/>
    <n v="0"/>
    <n v="0"/>
    <n v="0"/>
    <n v="12"/>
    <x v="1"/>
    <x v="0"/>
    <m/>
    <x v="0"/>
    <n v="112"/>
    <x v="0"/>
    <x v="26"/>
    <x v="0"/>
    <x v="0"/>
    <x v="0"/>
  </r>
  <r>
    <x v="0"/>
    <x v="14"/>
    <s v="7361 J"/>
    <x v="246"/>
    <s v="Usman Arif Butt Gujranwala"/>
    <s v="LDN"/>
    <n v="26"/>
    <n v="14"/>
    <s v="LDN"/>
    <n v="100"/>
    <x v="0"/>
    <n v="1"/>
    <n v="97"/>
    <n v="2"/>
    <m/>
    <x v="0"/>
    <n v="95"/>
    <n v="188.8"/>
    <n v="2"/>
    <x v="0"/>
    <x v="0"/>
    <n v="2"/>
    <n v="3.3333333333333333E-2"/>
    <x v="0"/>
    <x v="0"/>
    <m/>
    <x v="0"/>
    <x v="0"/>
    <x v="0"/>
    <x v="0"/>
    <x v="0"/>
    <n v="0"/>
    <n v="0"/>
    <n v="3.3333333333333333E-2"/>
    <n v="11.966666666666667"/>
    <x v="1"/>
    <x v="0"/>
    <m/>
    <x v="0"/>
    <n v="102"/>
    <x v="0"/>
    <x v="26"/>
    <x v="0"/>
    <x v="0"/>
    <x v="0"/>
  </r>
  <r>
    <x v="1"/>
    <x v="14"/>
    <s v="7613 J"/>
    <x v="246"/>
    <s v="Atlas Honda LTD (SKP)"/>
    <s v="LDN"/>
    <n v="26"/>
    <s v="8.5-9"/>
    <s v="LDN"/>
    <n v="371.33487654320987"/>
    <x v="0"/>
    <n v="5"/>
    <n v="390"/>
    <n v="18"/>
    <n v="22"/>
    <x v="0"/>
    <n v="372"/>
    <n v="372"/>
    <n v="5"/>
    <x v="0"/>
    <x v="0"/>
    <n v="5"/>
    <n v="8.3333333333333329E-2"/>
    <x v="0"/>
    <x v="0"/>
    <m/>
    <x v="0"/>
    <x v="0"/>
    <x v="0"/>
    <x v="0"/>
    <x v="0"/>
    <n v="0"/>
    <n v="0"/>
    <n v="8.3333333333333329E-2"/>
    <n v="11.916666666666666"/>
    <x v="1"/>
    <x v="0"/>
    <m/>
    <x v="0"/>
    <n v="395"/>
    <x v="0"/>
    <x v="26"/>
    <x v="0"/>
    <x v="0"/>
    <x v="0"/>
  </r>
  <r>
    <x v="1"/>
    <x v="14"/>
    <s v="2934 F"/>
    <x v="246"/>
    <s v="Usman Amin"/>
    <s v="LDN"/>
    <n v="26"/>
    <s v="12"/>
    <s v="LDN"/>
    <n v="130"/>
    <x v="0"/>
    <n v="2"/>
    <n v="139.5"/>
    <n v="7.2"/>
    <m/>
    <x v="0"/>
    <n v="132.30000000000001"/>
    <n v="132.30000000000001"/>
    <n v="5"/>
    <x v="0"/>
    <x v="0"/>
    <n v="5"/>
    <n v="8.3333333333333329E-2"/>
    <x v="0"/>
    <x v="0"/>
    <m/>
    <x v="0"/>
    <x v="0"/>
    <x v="0"/>
    <x v="0"/>
    <x v="0"/>
    <n v="0"/>
    <n v="0"/>
    <n v="8.3333333333333329E-2"/>
    <n v="11.916666666666666"/>
    <x v="1"/>
    <x v="0"/>
    <m/>
    <x v="0"/>
    <n v="144.5"/>
    <x v="0"/>
    <x v="26"/>
    <x v="0"/>
    <x v="0"/>
    <x v="0"/>
  </r>
  <r>
    <x v="1"/>
    <x v="14"/>
    <s v="2881 F"/>
    <x v="246"/>
    <s v="Usman Amin"/>
    <s v="LDN"/>
    <s v="16 SHEET"/>
    <s v="3-3.25/6-6.5"/>
    <s v="LDN"/>
    <n v="1000"/>
    <x v="0"/>
    <n v="4"/>
    <n v="198.10000000000002"/>
    <n v="6.4"/>
    <m/>
    <x v="0"/>
    <n v="191.70000000000002"/>
    <n v="1015.2"/>
    <n v="10"/>
    <x v="0"/>
    <x v="0"/>
    <n v="10"/>
    <n v="0.16666666666666666"/>
    <x v="0"/>
    <x v="0"/>
    <m/>
    <x v="0"/>
    <x v="0"/>
    <x v="0"/>
    <x v="0"/>
    <x v="0"/>
    <n v="0"/>
    <n v="0"/>
    <n v="0.16666666666666666"/>
    <n v="11.833333333333334"/>
    <x v="1"/>
    <x v="0"/>
    <m/>
    <x v="0"/>
    <n v="203.10000000000002"/>
    <x v="0"/>
    <x v="26"/>
    <x v="0"/>
    <x v="0"/>
    <x v="0"/>
  </r>
  <r>
    <x v="0"/>
    <x v="15"/>
    <s v="2931 F"/>
    <x v="246"/>
    <s v="Usman Amin"/>
    <s v="LDN"/>
    <n v="18"/>
    <s v="5-5.5"/>
    <s v="LDN"/>
    <n v="210"/>
    <x v="0"/>
    <n v="6"/>
    <n v="293"/>
    <n v="13.799999999999999"/>
    <m/>
    <x v="0"/>
    <n v="279.2"/>
    <n v="1892.2"/>
    <m/>
    <x v="0"/>
    <x v="0"/>
    <n v="0"/>
    <n v="0"/>
    <x v="0"/>
    <x v="0"/>
    <m/>
    <x v="0"/>
    <x v="0"/>
    <x v="0"/>
    <x v="0"/>
    <x v="0"/>
    <n v="0"/>
    <n v="0"/>
    <n v="0"/>
    <n v="12"/>
    <x v="1"/>
    <x v="0"/>
    <m/>
    <x v="0"/>
    <n v="298"/>
    <x v="0"/>
    <x v="26"/>
    <x v="0"/>
    <x v="0"/>
    <x v="0"/>
  </r>
  <r>
    <x v="0"/>
    <x v="15"/>
    <s v="2931 F"/>
    <x v="246"/>
    <s v="Usman Amin"/>
    <s v="LDN"/>
    <n v="18"/>
    <s v="5-5.5"/>
    <s v="LDN"/>
    <n v="210"/>
    <x v="0"/>
    <n v="1"/>
    <n v="54.5"/>
    <n v="2.2999999999999998"/>
    <n v="5"/>
    <x v="0"/>
    <n v="52.2"/>
    <n v="1892.2"/>
    <m/>
    <x v="0"/>
    <x v="0"/>
    <n v="0"/>
    <n v="0"/>
    <x v="0"/>
    <x v="0"/>
    <m/>
    <x v="0"/>
    <x v="0"/>
    <x v="0"/>
    <x v="0"/>
    <x v="0"/>
    <n v="0"/>
    <n v="0"/>
    <n v="0"/>
    <n v="12"/>
    <x v="1"/>
    <x v="0"/>
    <m/>
    <x v="0"/>
    <n v="59.5"/>
    <x v="0"/>
    <x v="26"/>
    <x v="0"/>
    <x v="0"/>
    <x v="0"/>
  </r>
  <r>
    <x v="1"/>
    <x v="15"/>
    <s v="2931 F"/>
    <x v="246"/>
    <s v="Usman Amin"/>
    <s v="LDN"/>
    <n v="18"/>
    <s v="5-5.5"/>
    <s v="LDN"/>
    <n v="210"/>
    <x v="0"/>
    <n v="6"/>
    <n v="337.5"/>
    <n v="12.600000000000001"/>
    <n v="4"/>
    <x v="0"/>
    <n v="324.89999999999998"/>
    <n v="1892.2"/>
    <m/>
    <x v="0"/>
    <x v="0"/>
    <n v="0"/>
    <n v="0"/>
    <x v="0"/>
    <x v="0"/>
    <m/>
    <x v="0"/>
    <x v="0"/>
    <x v="0"/>
    <x v="0"/>
    <x v="0"/>
    <n v="0"/>
    <n v="0"/>
    <n v="0"/>
    <n v="12"/>
    <x v="1"/>
    <x v="0"/>
    <m/>
    <x v="0"/>
    <n v="342.5"/>
    <x v="0"/>
    <x v="26"/>
    <x v="0"/>
    <x v="0"/>
    <x v="0"/>
  </r>
  <r>
    <x v="0"/>
    <x v="8"/>
    <s v="7543 J"/>
    <x v="247"/>
    <s v="Al Buraq Deparmental Store Lahore"/>
    <s v="LDN"/>
    <n v="8"/>
    <s v="14-15"/>
    <s v="LDN"/>
    <n v="100"/>
    <x v="0"/>
    <n v="1"/>
    <n v="46.8"/>
    <n v="1"/>
    <m/>
    <x v="0"/>
    <n v="45.8"/>
    <n v="45.8"/>
    <m/>
    <x v="0"/>
    <x v="0"/>
    <n v="0"/>
    <n v="0"/>
    <x v="0"/>
    <x v="0"/>
    <m/>
    <x v="0"/>
    <x v="0"/>
    <x v="0"/>
    <x v="0"/>
    <x v="0"/>
    <n v="0"/>
    <n v="0"/>
    <n v="0"/>
    <n v="12"/>
    <x v="1"/>
    <x v="0"/>
    <m/>
    <x v="0"/>
    <n v="51.8"/>
    <x v="0"/>
    <x v="27"/>
    <x v="0"/>
    <x v="0"/>
    <x v="0"/>
  </r>
  <r>
    <x v="0"/>
    <x v="8"/>
    <s v="STOCK"/>
    <x v="247"/>
    <s v="STOCK"/>
    <s v="LDN"/>
    <n v="8"/>
    <s v="14-15"/>
    <m/>
    <m/>
    <x v="0"/>
    <n v="2"/>
    <n v="91.6"/>
    <n v="1.6"/>
    <m/>
    <x v="0"/>
    <n v="90"/>
    <n v="2156.44"/>
    <n v="5"/>
    <x v="0"/>
    <x v="0"/>
    <n v="5"/>
    <n v="8.3333333333333329E-2"/>
    <x v="0"/>
    <x v="0"/>
    <m/>
    <x v="0"/>
    <x v="0"/>
    <x v="0"/>
    <x v="0"/>
    <x v="0"/>
    <n v="0"/>
    <n v="0"/>
    <n v="8.3333333333333329E-2"/>
    <n v="11.916666666666666"/>
    <x v="1"/>
    <x v="0"/>
    <m/>
    <x v="0"/>
    <n v="96.6"/>
    <x v="0"/>
    <x v="27"/>
    <x v="0"/>
    <x v="0"/>
    <x v="0"/>
  </r>
  <r>
    <x v="1"/>
    <x v="8"/>
    <s v="STOCK"/>
    <x v="247"/>
    <s v="STOCK"/>
    <s v="LDN"/>
    <n v="6"/>
    <s v="14-15"/>
    <m/>
    <m/>
    <x v="0"/>
    <n v="1"/>
    <n v="41.4"/>
    <n v="0.9"/>
    <m/>
    <x v="0"/>
    <n v="40.5"/>
    <n v="2156.44"/>
    <m/>
    <x v="0"/>
    <x v="0"/>
    <n v="0"/>
    <n v="0"/>
    <x v="0"/>
    <x v="0"/>
    <m/>
    <x v="0"/>
    <x v="0"/>
    <x v="0"/>
    <x v="0"/>
    <x v="0"/>
    <n v="0"/>
    <n v="0"/>
    <n v="0"/>
    <n v="12"/>
    <x v="1"/>
    <x v="0"/>
    <m/>
    <x v="0"/>
    <n v="46.4"/>
    <x v="0"/>
    <x v="27"/>
    <x v="0"/>
    <x v="0"/>
    <x v="0"/>
  </r>
  <r>
    <x v="1"/>
    <x v="8"/>
    <s v="STOCK"/>
    <x v="247"/>
    <s v="STOCK"/>
    <s v="LDN"/>
    <n v="6"/>
    <s v="14-15"/>
    <m/>
    <m/>
    <x v="0"/>
    <n v="1"/>
    <n v="40.5"/>
    <n v="0.9"/>
    <n v="4"/>
    <x v="0"/>
    <n v="39.6"/>
    <n v="2156.44"/>
    <m/>
    <x v="0"/>
    <x v="0"/>
    <n v="0"/>
    <n v="0"/>
    <x v="0"/>
    <x v="0"/>
    <m/>
    <x v="0"/>
    <x v="0"/>
    <x v="0"/>
    <x v="0"/>
    <x v="0"/>
    <n v="0"/>
    <n v="0"/>
    <n v="0"/>
    <n v="12"/>
    <x v="1"/>
    <x v="0"/>
    <m/>
    <x v="0"/>
    <n v="45.5"/>
    <x v="0"/>
    <x v="27"/>
    <x v="0"/>
    <x v="0"/>
    <x v="0"/>
  </r>
  <r>
    <x v="1"/>
    <x v="8"/>
    <s v="2918 F"/>
    <x v="247"/>
    <s v="Usman Amin"/>
    <s v="LDN"/>
    <n v="5.5"/>
    <s v="6-6.5"/>
    <s v="LDN"/>
    <n v="325"/>
    <x v="0"/>
    <n v="2"/>
    <n v="64.099999999999994"/>
    <n v="1.6"/>
    <m/>
    <x v="0"/>
    <n v="62.499999999999993"/>
    <n v="350.54999999999995"/>
    <m/>
    <x v="0"/>
    <x v="0"/>
    <n v="0"/>
    <n v="0"/>
    <x v="0"/>
    <x v="0"/>
    <m/>
    <x v="0"/>
    <x v="0"/>
    <x v="0"/>
    <x v="0"/>
    <x v="0"/>
    <n v="0"/>
    <n v="0"/>
    <n v="0"/>
    <n v="12"/>
    <x v="1"/>
    <x v="0"/>
    <m/>
    <x v="0"/>
    <n v="69.099999999999994"/>
    <x v="0"/>
    <x v="27"/>
    <x v="0"/>
    <x v="0"/>
    <x v="0"/>
  </r>
  <r>
    <x v="0"/>
    <x v="9"/>
    <s v="7605 J"/>
    <x v="247"/>
    <s v="Javed Enterprises Gujranwala"/>
    <s v="LDN"/>
    <n v="14"/>
    <s v="20-21"/>
    <s v="LDN"/>
    <n v="500"/>
    <x v="0"/>
    <n v="3"/>
    <n v="182"/>
    <n v="3.5999999999999996"/>
    <m/>
    <x v="0"/>
    <n v="178.4"/>
    <n v="978.99999999999989"/>
    <m/>
    <x v="0"/>
    <x v="0"/>
    <n v="0"/>
    <n v="0"/>
    <x v="0"/>
    <x v="0"/>
    <m/>
    <x v="0"/>
    <x v="0"/>
    <x v="0"/>
    <x v="0"/>
    <x v="0"/>
    <n v="0"/>
    <n v="0"/>
    <n v="0"/>
    <n v="12"/>
    <x v="1"/>
    <x v="0"/>
    <m/>
    <x v="0"/>
    <n v="187"/>
    <x v="0"/>
    <x v="27"/>
    <x v="0"/>
    <x v="0"/>
    <x v="0"/>
  </r>
  <r>
    <x v="1"/>
    <x v="9"/>
    <s v="7605 J"/>
    <x v="247"/>
    <s v="Javed Enterprises Gujranwala"/>
    <s v="LDN"/>
    <n v="14"/>
    <s v="20-21"/>
    <s v="LDN"/>
    <n v="500"/>
    <x v="0"/>
    <n v="2"/>
    <n v="115.5"/>
    <n v="2.4"/>
    <m/>
    <x v="0"/>
    <n v="113.1"/>
    <n v="978.99999999999989"/>
    <n v="5"/>
    <x v="0"/>
    <x v="0"/>
    <n v="5"/>
    <n v="8.3333333333333329E-2"/>
    <x v="0"/>
    <x v="0"/>
    <m/>
    <x v="0"/>
    <x v="0"/>
    <x v="0"/>
    <x v="0"/>
    <x v="0"/>
    <n v="0"/>
    <n v="0"/>
    <n v="8.3333333333333329E-2"/>
    <n v="11.916666666666666"/>
    <x v="1"/>
    <x v="0"/>
    <m/>
    <x v="0"/>
    <n v="120.5"/>
    <x v="0"/>
    <x v="27"/>
    <x v="0"/>
    <x v="0"/>
    <x v="0"/>
  </r>
  <r>
    <x v="1"/>
    <x v="9"/>
    <s v="2945 F"/>
    <x v="247"/>
    <s v="Usman Amin"/>
    <s v="LDN"/>
    <n v="10"/>
    <s v="6-6.5"/>
    <s v="LDN"/>
    <n v="70"/>
    <x v="0"/>
    <n v="2"/>
    <n v="74.7"/>
    <n v="2.6"/>
    <n v="5"/>
    <x v="0"/>
    <n v="72.100000000000009"/>
    <n v="130.5"/>
    <m/>
    <x v="0"/>
    <x v="0"/>
    <n v="0"/>
    <n v="0"/>
    <x v="0"/>
    <x v="0"/>
    <m/>
    <x v="0"/>
    <x v="0"/>
    <x v="0"/>
    <x v="0"/>
    <x v="0"/>
    <n v="0"/>
    <n v="0"/>
    <n v="0"/>
    <n v="12"/>
    <x v="1"/>
    <x v="0"/>
    <m/>
    <x v="0"/>
    <n v="79.7"/>
    <x v="0"/>
    <x v="27"/>
    <x v="0"/>
    <x v="0"/>
    <x v="0"/>
  </r>
  <r>
    <x v="0"/>
    <x v="11"/>
    <s v="7674 J"/>
    <x v="247"/>
    <s v="RMC PACK"/>
    <s v="LD کریم"/>
    <s v="12+3+3"/>
    <s v="7.5/15"/>
    <s v="LDM"/>
    <n v="300"/>
    <x v="0"/>
    <n v="5"/>
    <n v="181.5"/>
    <n v="7.5"/>
    <n v="20"/>
    <x v="0"/>
    <n v="174"/>
    <n v="298.10000000000002"/>
    <n v="20"/>
    <x v="0"/>
    <x v="0"/>
    <n v="20"/>
    <n v="0.33333333333333331"/>
    <x v="0"/>
    <x v="0"/>
    <m/>
    <x v="0"/>
    <x v="0"/>
    <x v="0"/>
    <x v="0"/>
    <x v="0"/>
    <n v="0"/>
    <n v="0"/>
    <n v="0.33333333333333331"/>
    <n v="11.666666666666666"/>
    <x v="1"/>
    <x v="0"/>
    <m/>
    <x v="0"/>
    <n v="186.5"/>
    <x v="0"/>
    <x v="27"/>
    <x v="0"/>
    <x v="0"/>
    <x v="0"/>
  </r>
  <r>
    <x v="0"/>
    <x v="11"/>
    <s v="7676 J"/>
    <x v="247"/>
    <s v="RMC PACK"/>
    <s v="LD کریم"/>
    <s v="10+3+3"/>
    <s v="7.5/15"/>
    <s v="LDM"/>
    <n v="100"/>
    <x v="0"/>
    <n v="2"/>
    <n v="79.599999999999994"/>
    <n v="2.4"/>
    <m/>
    <x v="0"/>
    <n v="77.199999999999989"/>
    <n v="77.199999999999989"/>
    <m/>
    <x v="0"/>
    <x v="0"/>
    <n v="0"/>
    <n v="0"/>
    <x v="0"/>
    <x v="0"/>
    <m/>
    <x v="0"/>
    <x v="0"/>
    <x v="0"/>
    <x v="0"/>
    <x v="0"/>
    <n v="0"/>
    <n v="0"/>
    <n v="0"/>
    <n v="12"/>
    <x v="1"/>
    <x v="0"/>
    <m/>
    <x v="0"/>
    <n v="84.6"/>
    <x v="0"/>
    <x v="27"/>
    <x v="0"/>
    <x v="0"/>
    <x v="0"/>
  </r>
  <r>
    <x v="0"/>
    <x v="11"/>
    <s v="7675 J"/>
    <x v="247"/>
    <s v="RMC PACK"/>
    <s v="LD کریم"/>
    <s v="16+5+5"/>
    <s v="7.5/15"/>
    <s v="LDM"/>
    <n v="100"/>
    <x v="0"/>
    <n v="2"/>
    <n v="94"/>
    <n v="4.2"/>
    <m/>
    <x v="0"/>
    <n v="89.8"/>
    <n v="245.2"/>
    <m/>
    <x v="0"/>
    <x v="0"/>
    <n v="0"/>
    <n v="0"/>
    <x v="0"/>
    <x v="0"/>
    <m/>
    <x v="0"/>
    <x v="0"/>
    <x v="0"/>
    <x v="0"/>
    <x v="0"/>
    <n v="0"/>
    <n v="0"/>
    <n v="0"/>
    <n v="12"/>
    <x v="1"/>
    <x v="0"/>
    <m/>
    <x v="0"/>
    <n v="99"/>
    <x v="0"/>
    <x v="27"/>
    <x v="0"/>
    <x v="0"/>
    <x v="0"/>
  </r>
  <r>
    <x v="0"/>
    <x v="11"/>
    <s v="7509 J"/>
    <x v="247"/>
    <s v="Easy Printers Urdu Bazar LHR"/>
    <s v="LD کریم"/>
    <n v="18"/>
    <s v="13-14."/>
    <s v="LDM"/>
    <n v="100"/>
    <x v="0"/>
    <n v="1"/>
    <n v="50.5"/>
    <n v="2.5"/>
    <m/>
    <x v="0"/>
    <n v="48"/>
    <n v="100.1"/>
    <m/>
    <x v="0"/>
    <x v="0"/>
    <n v="0"/>
    <n v="0"/>
    <x v="0"/>
    <x v="0"/>
    <m/>
    <x v="0"/>
    <x v="0"/>
    <x v="0"/>
    <x v="0"/>
    <x v="0"/>
    <n v="0"/>
    <n v="0"/>
    <n v="0"/>
    <n v="12"/>
    <x v="1"/>
    <x v="0"/>
    <m/>
    <x v="0"/>
    <n v="55.5"/>
    <x v="0"/>
    <x v="27"/>
    <x v="0"/>
    <x v="0"/>
    <x v="0"/>
  </r>
  <r>
    <x v="1"/>
    <x v="11"/>
    <s v="7509 J"/>
    <x v="247"/>
    <s v="Easy Printers Urdu Bazar LHR"/>
    <s v="LD کریم"/>
    <n v="18"/>
    <s v="13-14."/>
    <s v="LDM"/>
    <n v="100"/>
    <x v="0"/>
    <n v="1"/>
    <n v="54"/>
    <n v="1.9"/>
    <n v="20"/>
    <x v="0"/>
    <n v="52.1"/>
    <n v="100.1"/>
    <n v="60"/>
    <x v="0"/>
    <x v="0"/>
    <n v="60"/>
    <n v="1"/>
    <x v="0"/>
    <x v="0"/>
    <m/>
    <x v="0"/>
    <x v="0"/>
    <x v="0"/>
    <x v="0"/>
    <x v="0"/>
    <n v="0"/>
    <n v="0"/>
    <n v="1"/>
    <n v="11"/>
    <x v="1"/>
    <x v="0"/>
    <m/>
    <x v="0"/>
    <n v="59"/>
    <x v="0"/>
    <x v="27"/>
    <x v="0"/>
    <x v="0"/>
    <x v="0"/>
  </r>
  <r>
    <x v="1"/>
    <x v="11"/>
    <s v="7649 J"/>
    <x v="247"/>
    <s v="Faiz Printing Gujrat"/>
    <s v="LD کریم"/>
    <s v="12+3+3"/>
    <s v="7.5-8/15-16"/>
    <s v="LDM "/>
    <n v="110"/>
    <x v="0"/>
    <n v="3"/>
    <n v="112"/>
    <n v="4.5"/>
    <m/>
    <x v="0"/>
    <n v="107.5"/>
    <n v="107.5"/>
    <m/>
    <x v="0"/>
    <x v="0"/>
    <n v="0"/>
    <n v="0"/>
    <x v="0"/>
    <x v="0"/>
    <m/>
    <x v="0"/>
    <x v="0"/>
    <x v="0"/>
    <x v="0"/>
    <x v="0"/>
    <n v="0"/>
    <n v="0"/>
    <n v="0"/>
    <n v="12"/>
    <x v="1"/>
    <x v="0"/>
    <m/>
    <x v="0"/>
    <n v="117"/>
    <x v="0"/>
    <x v="27"/>
    <x v="0"/>
    <x v="0"/>
    <x v="0"/>
  </r>
  <r>
    <x v="1"/>
    <x v="11"/>
    <s v="7648 J"/>
    <x v="247"/>
    <s v="Faiz Printing Gujrat"/>
    <s v="LD کریم"/>
    <s v="10+2.5+2.5"/>
    <s v="7.5-8/15-16"/>
    <s v="LDM "/>
    <n v="110"/>
    <x v="0"/>
    <n v="3"/>
    <n v="118.5"/>
    <n v="3.5999999999999996"/>
    <m/>
    <x v="0"/>
    <n v="114.9"/>
    <n v="114.9"/>
    <m/>
    <x v="0"/>
    <x v="0"/>
    <n v="0"/>
    <n v="0"/>
    <x v="0"/>
    <x v="0"/>
    <m/>
    <x v="0"/>
    <x v="0"/>
    <x v="0"/>
    <x v="0"/>
    <x v="0"/>
    <n v="0"/>
    <n v="0"/>
    <n v="0"/>
    <n v="12"/>
    <x v="1"/>
    <x v="0"/>
    <m/>
    <x v="0"/>
    <n v="123.5"/>
    <x v="0"/>
    <x v="27"/>
    <x v="0"/>
    <x v="0"/>
    <x v="0"/>
  </r>
  <r>
    <x v="1"/>
    <x v="11"/>
    <s v="STOCK"/>
    <x v="247"/>
    <s v="STOCK"/>
    <s v="LDN"/>
    <n v="18"/>
    <s v="12"/>
    <m/>
    <m/>
    <x v="0"/>
    <n v="1"/>
    <n v="42.5"/>
    <m/>
    <m/>
    <x v="0"/>
    <n v="42.5"/>
    <n v="2156.44"/>
    <m/>
    <x v="0"/>
    <x v="0"/>
    <n v="0"/>
    <n v="0"/>
    <x v="0"/>
    <x v="0"/>
    <m/>
    <x v="0"/>
    <x v="0"/>
    <x v="0"/>
    <x v="0"/>
    <x v="0"/>
    <n v="0"/>
    <n v="0"/>
    <n v="0"/>
    <n v="12"/>
    <x v="1"/>
    <x v="0"/>
    <m/>
    <x v="0"/>
    <n v="47.5"/>
    <x v="0"/>
    <x v="27"/>
    <x v="0"/>
    <x v="0"/>
    <x v="0"/>
  </r>
  <r>
    <x v="0"/>
    <x v="13"/>
    <s v="7614 J"/>
    <x v="247"/>
    <s v="Atlas Honda LTD (SKP)"/>
    <s v="LDN"/>
    <n v="19"/>
    <s v="8.5-9"/>
    <s v="LDN"/>
    <n v="276.29392212725543"/>
    <x v="0"/>
    <n v="2"/>
    <n v="133.5"/>
    <n v="3.9000000000000004"/>
    <m/>
    <x v="0"/>
    <n v="129.6"/>
    <n v="261.10000000000002"/>
    <n v="10"/>
    <x v="0"/>
    <x v="0"/>
    <n v="10"/>
    <n v="0.16666666666666666"/>
    <x v="0"/>
    <x v="0"/>
    <m/>
    <x v="0"/>
    <x v="0"/>
    <x v="0"/>
    <x v="0"/>
    <x v="0"/>
    <n v="0"/>
    <n v="0"/>
    <n v="0.16666666666666666"/>
    <n v="11.833333333333334"/>
    <x v="1"/>
    <x v="0"/>
    <m/>
    <x v="0"/>
    <n v="138.5"/>
    <x v="0"/>
    <x v="27"/>
    <x v="0"/>
    <x v="0"/>
    <x v="0"/>
  </r>
  <r>
    <x v="0"/>
    <x v="13"/>
    <s v="2927 F"/>
    <x v="247"/>
    <s v="Usman Amin"/>
    <s v="LDN"/>
    <n v="16"/>
    <s v="7-7.5"/>
    <s v="LDN"/>
    <n v="38"/>
    <x v="0"/>
    <n v="2"/>
    <n v="104.5"/>
    <n v="4.4000000000000004"/>
    <m/>
    <x v="0"/>
    <n v="100.1"/>
    <n v="100.1"/>
    <m/>
    <x v="0"/>
    <x v="0"/>
    <n v="0"/>
    <n v="0"/>
    <x v="0"/>
    <x v="0"/>
    <m/>
    <x v="0"/>
    <x v="0"/>
    <x v="0"/>
    <x v="0"/>
    <x v="0"/>
    <n v="0"/>
    <n v="0"/>
    <n v="0"/>
    <n v="12"/>
    <x v="1"/>
    <x v="0"/>
    <m/>
    <x v="0"/>
    <n v="109.5"/>
    <x v="0"/>
    <x v="27"/>
    <x v="0"/>
    <x v="0"/>
    <x v="0"/>
  </r>
  <r>
    <x v="0"/>
    <x v="13"/>
    <m/>
    <x v="247"/>
    <s v="-"/>
    <m/>
    <m/>
    <m/>
    <m/>
    <m/>
    <x v="0"/>
    <n v="2"/>
    <n v="101.5"/>
    <m/>
    <m/>
    <x v="0"/>
    <n v="101.5"/>
    <n v="0"/>
    <m/>
    <x v="0"/>
    <x v="0"/>
    <n v="0"/>
    <n v="0"/>
    <x v="0"/>
    <x v="0"/>
    <m/>
    <x v="0"/>
    <x v="0"/>
    <x v="0"/>
    <x v="0"/>
    <x v="0"/>
    <n v="0"/>
    <n v="0"/>
    <n v="0"/>
    <n v="12"/>
    <x v="1"/>
    <x v="0"/>
    <m/>
    <x v="0"/>
    <n v="106.5"/>
    <x v="0"/>
    <x v="27"/>
    <x v="0"/>
    <x v="0"/>
    <x v="0"/>
  </r>
  <r>
    <x v="1"/>
    <x v="13"/>
    <s v="2943 F"/>
    <x v="247"/>
    <s v="Usman Amin"/>
    <s v="LDN"/>
    <n v="15"/>
    <s v="5-5.5"/>
    <s v="LDN"/>
    <n v="60"/>
    <x v="0"/>
    <n v="2"/>
    <n v="113.5"/>
    <n v="2.4"/>
    <m/>
    <x v="0"/>
    <n v="111.1"/>
    <n v="111.1"/>
    <n v="5"/>
    <x v="0"/>
    <x v="0"/>
    <n v="5"/>
    <n v="8.3333333333333329E-2"/>
    <x v="0"/>
    <x v="0"/>
    <m/>
    <x v="0"/>
    <x v="0"/>
    <x v="0"/>
    <x v="0"/>
    <x v="0"/>
    <n v="0"/>
    <n v="0"/>
    <n v="8.3333333333333329E-2"/>
    <n v="11.916666666666666"/>
    <x v="1"/>
    <x v="0"/>
    <m/>
    <x v="0"/>
    <n v="118.5"/>
    <x v="0"/>
    <x v="27"/>
    <x v="0"/>
    <x v="0"/>
    <x v="0"/>
  </r>
  <r>
    <x v="1"/>
    <x v="13"/>
    <s v="2951 F"/>
    <x v="247"/>
    <s v="Usman Amin"/>
    <s v="LDN"/>
    <n v="17"/>
    <s v="7"/>
    <s v="LDN"/>
    <n v="280"/>
    <x v="0"/>
    <n v="3"/>
    <n v="198.5"/>
    <n v="7.5"/>
    <n v="8"/>
    <x v="0"/>
    <n v="191"/>
    <n v="301.2"/>
    <m/>
    <x v="0"/>
    <x v="0"/>
    <n v="0"/>
    <n v="0"/>
    <x v="0"/>
    <x v="0"/>
    <m/>
    <x v="0"/>
    <x v="0"/>
    <x v="0"/>
    <x v="0"/>
    <x v="0"/>
    <n v="0"/>
    <n v="0"/>
    <n v="0"/>
    <n v="12"/>
    <x v="1"/>
    <x v="0"/>
    <m/>
    <x v="0"/>
    <n v="203.5"/>
    <x v="0"/>
    <x v="27"/>
    <x v="0"/>
    <x v="0"/>
    <x v="0"/>
  </r>
  <r>
    <x v="0"/>
    <x v="12"/>
    <s v="2855/1"/>
    <x v="247"/>
    <s v="MATCO FOOD"/>
    <s v="LDN"/>
    <s v="22.5-23"/>
    <s v="70±2"/>
    <s v="LDN"/>
    <n v="7700"/>
    <x v="0"/>
    <n v="6"/>
    <n v="544"/>
    <n v="18"/>
    <m/>
    <x v="0"/>
    <n v="526"/>
    <n v="9255.0999999999985"/>
    <m/>
    <x v="0"/>
    <x v="19"/>
    <n v="420"/>
    <n v="7"/>
    <x v="0"/>
    <x v="0"/>
    <m/>
    <x v="0"/>
    <x v="0"/>
    <x v="0"/>
    <x v="0"/>
    <x v="0"/>
    <n v="0"/>
    <n v="0"/>
    <n v="7"/>
    <n v="5"/>
    <x v="1"/>
    <x v="0"/>
    <m/>
    <x v="0"/>
    <n v="549"/>
    <x v="0"/>
    <x v="27"/>
    <x v="0"/>
    <x v="0"/>
    <x v="0"/>
  </r>
  <r>
    <x v="1"/>
    <x v="12"/>
    <s v="2855/1"/>
    <x v="247"/>
    <s v="MATCO FOOD"/>
    <s v="LDN"/>
    <s v="22.5-23"/>
    <s v="70±2"/>
    <s v="LDN"/>
    <n v="7700"/>
    <x v="0"/>
    <n v="3"/>
    <n v="305.8"/>
    <n v="9"/>
    <m/>
    <x v="0"/>
    <n v="296.8"/>
    <n v="9255.0999999999985"/>
    <m/>
    <x v="9"/>
    <x v="0"/>
    <n v="240"/>
    <n v="4"/>
    <x v="0"/>
    <x v="0"/>
    <m/>
    <x v="0"/>
    <x v="0"/>
    <x v="0"/>
    <x v="0"/>
    <x v="0"/>
    <n v="0"/>
    <n v="0"/>
    <n v="4"/>
    <n v="8"/>
    <x v="1"/>
    <x v="0"/>
    <m/>
    <x v="0"/>
    <n v="310.8"/>
    <x v="0"/>
    <x v="27"/>
    <x v="0"/>
    <x v="0"/>
    <x v="0"/>
  </r>
  <r>
    <x v="0"/>
    <x v="14"/>
    <s v="2881 F"/>
    <x v="247"/>
    <s v="Usman Amin"/>
    <s v="LDN"/>
    <s v="16 SHEET"/>
    <s v="3-3.25/6-6.5"/>
    <s v="LDN"/>
    <n v="1000"/>
    <x v="0"/>
    <n v="8"/>
    <n v="428.5"/>
    <n v="15.4"/>
    <m/>
    <x v="0"/>
    <n v="413.1"/>
    <n v="1015.2"/>
    <m/>
    <x v="0"/>
    <x v="19"/>
    <n v="420"/>
    <n v="7"/>
    <x v="0"/>
    <x v="0"/>
    <m/>
    <x v="0"/>
    <x v="0"/>
    <x v="0"/>
    <x v="0"/>
    <x v="0"/>
    <n v="0"/>
    <n v="0"/>
    <n v="7"/>
    <n v="5"/>
    <x v="1"/>
    <x v="0"/>
    <m/>
    <x v="0"/>
    <n v="433.5"/>
    <x v="0"/>
    <x v="27"/>
    <x v="0"/>
    <x v="0"/>
    <x v="0"/>
  </r>
  <r>
    <x v="0"/>
    <x v="15"/>
    <s v="2931 F"/>
    <x v="247"/>
    <s v="Usman Amin"/>
    <s v="LDN"/>
    <n v="18"/>
    <s v="5-5.5"/>
    <s v="LDN"/>
    <n v="210"/>
    <x v="0"/>
    <n v="5"/>
    <n v="259.5"/>
    <n v="11.5"/>
    <m/>
    <x v="0"/>
    <n v="248"/>
    <n v="1892.2"/>
    <m/>
    <x v="0"/>
    <x v="0"/>
    <n v="0"/>
    <n v="0"/>
    <x v="0"/>
    <x v="0"/>
    <m/>
    <x v="0"/>
    <x v="0"/>
    <x v="0"/>
    <x v="0"/>
    <x v="0"/>
    <n v="0"/>
    <n v="0"/>
    <n v="0"/>
    <n v="12"/>
    <x v="1"/>
    <x v="0"/>
    <m/>
    <x v="0"/>
    <n v="264.5"/>
    <x v="0"/>
    <x v="27"/>
    <x v="0"/>
    <x v="0"/>
    <x v="0"/>
  </r>
  <r>
    <x v="1"/>
    <x v="15"/>
    <s v="2931 F"/>
    <x v="247"/>
    <s v="Usman Amin"/>
    <s v="LDN"/>
    <n v="18"/>
    <s v="5-5.5"/>
    <s v="LDN"/>
    <n v="210"/>
    <x v="0"/>
    <n v="2"/>
    <n v="99"/>
    <n v="4.2"/>
    <m/>
    <x v="0"/>
    <n v="94.8"/>
    <n v="1892.2"/>
    <m/>
    <x v="0"/>
    <x v="0"/>
    <n v="0"/>
    <n v="0"/>
    <x v="0"/>
    <x v="0"/>
    <m/>
    <x v="0"/>
    <x v="0"/>
    <x v="0"/>
    <x v="0"/>
    <x v="0"/>
    <n v="0"/>
    <n v="0"/>
    <n v="0"/>
    <n v="12"/>
    <x v="1"/>
    <x v="0"/>
    <m/>
    <x v="0"/>
    <n v="104"/>
    <x v="0"/>
    <x v="27"/>
    <x v="0"/>
    <x v="0"/>
    <x v="0"/>
  </r>
  <r>
    <x v="1"/>
    <x v="15"/>
    <s v="7619 J"/>
    <x v="247"/>
    <s v="Usman Arif Butt Gujranwala"/>
    <s v="LDN"/>
    <n v="18"/>
    <n v="5"/>
    <s v="LDN"/>
    <n v="100"/>
    <x v="0"/>
    <n v="3"/>
    <n v="104.5"/>
    <n v="6.3000000000000007"/>
    <m/>
    <x v="0"/>
    <n v="98.2"/>
    <n v="98.2"/>
    <m/>
    <x v="0"/>
    <x v="0"/>
    <n v="0"/>
    <n v="0"/>
    <x v="0"/>
    <x v="0"/>
    <m/>
    <x v="0"/>
    <x v="0"/>
    <x v="0"/>
    <x v="0"/>
    <x v="0"/>
    <n v="0"/>
    <n v="0"/>
    <n v="0"/>
    <n v="12"/>
    <x v="1"/>
    <x v="0"/>
    <m/>
    <x v="0"/>
    <n v="109.5"/>
    <x v="0"/>
    <x v="27"/>
    <x v="0"/>
    <x v="0"/>
    <x v="0"/>
  </r>
  <r>
    <x v="1"/>
    <x v="15"/>
    <s v="7566 J"/>
    <x v="247"/>
    <s v="H.A Industry Peshawar"/>
    <s v="LDN"/>
    <n v="22"/>
    <s v="-"/>
    <s v="LDN"/>
    <n v="190"/>
    <x v="0"/>
    <n v="4"/>
    <n v="202.5"/>
    <n v="10.4"/>
    <n v="7"/>
    <x v="0"/>
    <n v="192.1"/>
    <n v="192.1"/>
    <m/>
    <x v="0"/>
    <x v="0"/>
    <n v="0"/>
    <n v="0"/>
    <x v="0"/>
    <x v="0"/>
    <m/>
    <x v="0"/>
    <x v="0"/>
    <x v="0"/>
    <x v="0"/>
    <x v="0"/>
    <n v="0"/>
    <n v="0"/>
    <n v="0"/>
    <n v="12"/>
    <x v="1"/>
    <x v="0"/>
    <m/>
    <x v="0"/>
    <n v="207.5"/>
    <x v="0"/>
    <x v="27"/>
    <x v="0"/>
    <x v="0"/>
    <x v="0"/>
  </r>
  <r>
    <x v="0"/>
    <x v="8"/>
    <s v="2918 F"/>
    <x v="248"/>
    <s v="Usman Amin"/>
    <s v="LDN"/>
    <n v="5.5"/>
    <s v="6-6.5"/>
    <s v="LDN"/>
    <n v="325"/>
    <x v="0"/>
    <n v="2"/>
    <n v="108.1"/>
    <n v="2.7"/>
    <m/>
    <x v="0"/>
    <n v="105.39999999999999"/>
    <n v="350.54999999999995"/>
    <m/>
    <x v="0"/>
    <x v="0"/>
    <n v="0"/>
    <n v="0"/>
    <x v="0"/>
    <x v="0"/>
    <m/>
    <x v="0"/>
    <x v="0"/>
    <x v="0"/>
    <x v="0"/>
    <x v="0"/>
    <n v="0"/>
    <n v="0"/>
    <n v="0"/>
    <n v="12"/>
    <x v="1"/>
    <x v="0"/>
    <m/>
    <x v="0"/>
    <n v="113.1"/>
    <x v="0"/>
    <x v="27"/>
    <x v="0"/>
    <x v="0"/>
    <x v="0"/>
  </r>
  <r>
    <x v="1"/>
    <x v="8"/>
    <s v="2918 F"/>
    <x v="248"/>
    <s v="Usman Amin"/>
    <s v="LDN"/>
    <n v="5.5"/>
    <s v="6-6.5"/>
    <s v="LDN"/>
    <n v="325"/>
    <x v="0"/>
    <n v="2"/>
    <n v="38.4"/>
    <n v="1.4"/>
    <m/>
    <x v="0"/>
    <n v="37"/>
    <n v="350.54999999999995"/>
    <n v="5"/>
    <x v="0"/>
    <x v="0"/>
    <n v="5"/>
    <n v="8.3333333333333329E-2"/>
    <x v="0"/>
    <x v="0"/>
    <m/>
    <x v="0"/>
    <x v="0"/>
    <x v="0"/>
    <x v="0"/>
    <x v="0"/>
    <n v="0"/>
    <n v="0"/>
    <n v="8.3333333333333329E-2"/>
    <n v="11.916666666666666"/>
    <x v="1"/>
    <x v="0"/>
    <m/>
    <x v="0"/>
    <n v="43.4"/>
    <x v="0"/>
    <x v="27"/>
    <x v="0"/>
    <x v="0"/>
    <x v="0"/>
  </r>
  <r>
    <x v="1"/>
    <x v="8"/>
    <s v="7605 J"/>
    <x v="248"/>
    <s v="Javed Enterprises Gujranwala"/>
    <s v="LDN"/>
    <n v="14"/>
    <s v="20-21"/>
    <s v="LDN"/>
    <n v="500"/>
    <x v="0"/>
    <n v="3"/>
    <n v="164.3"/>
    <n v="5.4"/>
    <m/>
    <x v="0"/>
    <n v="158.9"/>
    <n v="978.99999999999989"/>
    <m/>
    <x v="0"/>
    <x v="0"/>
    <n v="0"/>
    <n v="0"/>
    <x v="0"/>
    <x v="0"/>
    <m/>
    <x v="0"/>
    <x v="0"/>
    <x v="0"/>
    <x v="0"/>
    <x v="0"/>
    <n v="0"/>
    <n v="0"/>
    <n v="0"/>
    <n v="12"/>
    <x v="1"/>
    <x v="0"/>
    <m/>
    <x v="0"/>
    <n v="169.3"/>
    <x v="0"/>
    <x v="27"/>
    <x v="0"/>
    <x v="0"/>
    <x v="0"/>
  </r>
  <r>
    <x v="0"/>
    <x v="9"/>
    <s v="2945 F"/>
    <x v="248"/>
    <s v="Usman Amin"/>
    <s v="LDN"/>
    <n v="10"/>
    <s v="6-6.5"/>
    <s v="LDN"/>
    <n v="70"/>
    <x v="0"/>
    <n v="2"/>
    <n v="60.8"/>
    <n v="2.4"/>
    <m/>
    <x v="0"/>
    <n v="58.4"/>
    <n v="130.5"/>
    <m/>
    <x v="0"/>
    <x v="0"/>
    <n v="0"/>
    <n v="0"/>
    <x v="0"/>
    <x v="0"/>
    <m/>
    <x v="0"/>
    <x v="0"/>
    <x v="0"/>
    <x v="0"/>
    <x v="0"/>
    <n v="0"/>
    <n v="0"/>
    <n v="0"/>
    <n v="12"/>
    <x v="1"/>
    <x v="0"/>
    <m/>
    <x v="0"/>
    <n v="65.8"/>
    <x v="0"/>
    <x v="27"/>
    <x v="0"/>
    <x v="0"/>
    <x v="0"/>
  </r>
  <r>
    <x v="0"/>
    <x v="9"/>
    <s v="1150 J"/>
    <x v="248"/>
    <s v="-"/>
    <m/>
    <n v="14"/>
    <s v="20"/>
    <m/>
    <m/>
    <x v="0"/>
    <n v="1"/>
    <n v="38.200000000000003"/>
    <n v="1.4"/>
    <n v="10"/>
    <x v="0"/>
    <n v="36.800000000000004"/>
    <n v="1647.44"/>
    <n v="5"/>
    <x v="0"/>
    <x v="0"/>
    <n v="5"/>
    <n v="8.3333333333333329E-2"/>
    <x v="0"/>
    <x v="0"/>
    <m/>
    <x v="0"/>
    <x v="0"/>
    <x v="0"/>
    <x v="0"/>
    <x v="0"/>
    <n v="0"/>
    <n v="0"/>
    <n v="8.3333333333333329E-2"/>
    <n v="11.916666666666666"/>
    <x v="1"/>
    <x v="0"/>
    <m/>
    <x v="0"/>
    <n v="43.2"/>
    <x v="0"/>
    <x v="27"/>
    <x v="0"/>
    <x v="0"/>
    <x v="0"/>
  </r>
  <r>
    <x v="1"/>
    <x v="9"/>
    <s v="7605 J"/>
    <x v="248"/>
    <s v="Javed Enterprises Gujranwala"/>
    <s v="LDN"/>
    <n v="14"/>
    <s v="20-21"/>
    <s v="LDN"/>
    <n v="500"/>
    <x v="0"/>
    <n v="4"/>
    <n v="233.2"/>
    <n v="7.3000000000000007"/>
    <m/>
    <x v="0"/>
    <n v="225.89999999999998"/>
    <n v="978.99999999999989"/>
    <m/>
    <x v="0"/>
    <x v="0"/>
    <n v="0"/>
    <n v="0"/>
    <x v="0"/>
    <x v="0"/>
    <m/>
    <x v="0"/>
    <x v="0"/>
    <x v="0"/>
    <x v="0"/>
    <x v="0"/>
    <n v="0"/>
    <n v="0"/>
    <n v="0"/>
    <n v="12"/>
    <x v="1"/>
    <x v="0"/>
    <m/>
    <x v="0"/>
    <n v="238.2"/>
    <x v="0"/>
    <x v="27"/>
    <x v="0"/>
    <x v="0"/>
    <x v="0"/>
  </r>
  <r>
    <x v="0"/>
    <x v="11"/>
    <s v="7603 J"/>
    <x v="248"/>
    <s v="Javed Enterprises Gujranwala"/>
    <s v="LD پیلا"/>
    <n v="14"/>
    <s v="20-21"/>
    <s v="LDM"/>
    <n v="500"/>
    <x v="0"/>
    <n v="2"/>
    <n v="122"/>
    <n v="2"/>
    <m/>
    <x v="0"/>
    <n v="120"/>
    <n v="647.40000000000009"/>
    <m/>
    <x v="0"/>
    <x v="0"/>
    <n v="0"/>
    <n v="0"/>
    <x v="0"/>
    <x v="0"/>
    <m/>
    <x v="0"/>
    <x v="0"/>
    <x v="0"/>
    <x v="0"/>
    <x v="0"/>
    <n v="0"/>
    <n v="0"/>
    <n v="0"/>
    <n v="12"/>
    <x v="1"/>
    <x v="0"/>
    <m/>
    <x v="0"/>
    <n v="127"/>
    <x v="0"/>
    <x v="27"/>
    <x v="0"/>
    <x v="0"/>
    <x v="0"/>
  </r>
  <r>
    <x v="0"/>
    <x v="11"/>
    <s v="7603 J"/>
    <x v="248"/>
    <s v="Javed Enterprises Gujranwala"/>
    <s v="LD پیلا"/>
    <n v="14"/>
    <s v="20-21"/>
    <s v="LDM"/>
    <n v="500"/>
    <x v="0"/>
    <n v="3"/>
    <n v="259.7"/>
    <n v="5.0999999999999996"/>
    <n v="5.3"/>
    <x v="0"/>
    <n v="254.6"/>
    <n v="647.40000000000009"/>
    <n v="5"/>
    <x v="0"/>
    <x v="0"/>
    <n v="5"/>
    <n v="8.3333333333333329E-2"/>
    <x v="0"/>
    <x v="0"/>
    <m/>
    <x v="0"/>
    <x v="0"/>
    <x v="0"/>
    <x v="0"/>
    <x v="0"/>
    <n v="0"/>
    <n v="0"/>
    <n v="8.3333333333333329E-2"/>
    <n v="11.916666666666666"/>
    <x v="1"/>
    <x v="0"/>
    <m/>
    <x v="0"/>
    <n v="264.7"/>
    <x v="0"/>
    <x v="27"/>
    <x v="0"/>
    <x v="0"/>
    <x v="0"/>
  </r>
  <r>
    <x v="1"/>
    <x v="11"/>
    <s v="7603 J"/>
    <x v="248"/>
    <s v="Javed Enterprises Gujranwala"/>
    <s v="LD پیلا"/>
    <n v="14"/>
    <s v="20-21"/>
    <s v="LDM"/>
    <n v="500"/>
    <x v="0"/>
    <n v="4"/>
    <n v="280"/>
    <n v="7.2"/>
    <n v="30"/>
    <x v="0"/>
    <n v="272.8"/>
    <n v="647.40000000000009"/>
    <n v="60"/>
    <x v="0"/>
    <x v="0"/>
    <n v="60"/>
    <n v="1"/>
    <x v="0"/>
    <x v="0"/>
    <m/>
    <x v="0"/>
    <x v="0"/>
    <x v="0"/>
    <x v="0"/>
    <x v="0"/>
    <n v="0"/>
    <n v="0"/>
    <n v="1"/>
    <n v="11"/>
    <x v="1"/>
    <x v="0"/>
    <m/>
    <x v="0"/>
    <n v="285"/>
    <x v="0"/>
    <x v="27"/>
    <x v="0"/>
    <x v="0"/>
    <x v="0"/>
  </r>
  <r>
    <x v="1"/>
    <x v="11"/>
    <s v="7604 J"/>
    <x v="248"/>
    <s v="Javed Enterprises Gujranwala"/>
    <s v="LDM"/>
    <n v="14"/>
    <s v="20-21"/>
    <s v="LDM"/>
    <n v="500"/>
    <x v="0"/>
    <n v="1"/>
    <n v="76"/>
    <n v="1.4"/>
    <m/>
    <x v="0"/>
    <n v="74.599999999999994"/>
    <n v="524.6"/>
    <m/>
    <x v="0"/>
    <x v="0"/>
    <n v="0"/>
    <n v="0"/>
    <x v="0"/>
    <x v="0"/>
    <m/>
    <x v="0"/>
    <x v="0"/>
    <x v="0"/>
    <x v="0"/>
    <x v="0"/>
    <n v="0"/>
    <n v="0"/>
    <n v="0"/>
    <n v="12"/>
    <x v="1"/>
    <x v="0"/>
    <m/>
    <x v="0"/>
    <n v="81"/>
    <x v="0"/>
    <x v="27"/>
    <x v="0"/>
    <x v="0"/>
    <x v="0"/>
  </r>
  <r>
    <x v="0"/>
    <x v="13"/>
    <s v="2951 F"/>
    <x v="248"/>
    <s v="Usman Amin"/>
    <s v="LDN"/>
    <n v="17"/>
    <s v="7"/>
    <s v="LDN"/>
    <n v="280"/>
    <x v="0"/>
    <n v="2"/>
    <n v="113"/>
    <n v="2.8"/>
    <m/>
    <x v="0"/>
    <n v="110.2"/>
    <n v="301.2"/>
    <m/>
    <x v="0"/>
    <x v="0"/>
    <n v="0"/>
    <n v="0"/>
    <x v="0"/>
    <x v="0"/>
    <m/>
    <x v="0"/>
    <x v="0"/>
    <x v="0"/>
    <x v="0"/>
    <x v="0"/>
    <n v="0"/>
    <n v="0"/>
    <n v="0"/>
    <n v="12"/>
    <x v="1"/>
    <x v="0"/>
    <m/>
    <x v="0"/>
    <n v="118"/>
    <x v="0"/>
    <x v="27"/>
    <x v="0"/>
    <x v="0"/>
    <x v="0"/>
  </r>
  <r>
    <x v="0"/>
    <x v="13"/>
    <s v="7657 J"/>
    <x v="248"/>
    <s v="Usman Arif Butt Gujranwala"/>
    <s v="LDN"/>
    <n v="18"/>
    <n v="9"/>
    <s v="LDN"/>
    <n v="90"/>
    <x v="0"/>
    <n v="2"/>
    <n v="95.5"/>
    <n v="4.4000000000000004"/>
    <m/>
    <x v="0"/>
    <n v="91.1"/>
    <n v="91.1"/>
    <m/>
    <x v="0"/>
    <x v="0"/>
    <n v="0"/>
    <n v="0"/>
    <x v="0"/>
    <x v="0"/>
    <m/>
    <x v="0"/>
    <x v="0"/>
    <x v="0"/>
    <x v="0"/>
    <x v="0"/>
    <n v="0"/>
    <n v="0"/>
    <n v="0"/>
    <n v="12"/>
    <x v="1"/>
    <x v="0"/>
    <m/>
    <x v="0"/>
    <n v="100.5"/>
    <x v="0"/>
    <x v="27"/>
    <x v="0"/>
    <x v="0"/>
    <x v="0"/>
  </r>
  <r>
    <x v="0"/>
    <x v="13"/>
    <s v="7658 J"/>
    <x v="248"/>
    <s v="Usman Arif Butt Gujranwala"/>
    <s v="LDN"/>
    <n v="18"/>
    <n v="9"/>
    <s v="LDN"/>
    <n v="50"/>
    <x v="0"/>
    <n v="1"/>
    <n v="60.5"/>
    <n v="2.1"/>
    <m/>
    <x v="0"/>
    <n v="58.4"/>
    <n v="58.4"/>
    <m/>
    <x v="0"/>
    <x v="0"/>
    <n v="0"/>
    <n v="0"/>
    <x v="0"/>
    <x v="0"/>
    <m/>
    <x v="0"/>
    <x v="0"/>
    <x v="0"/>
    <x v="0"/>
    <x v="0"/>
    <n v="0"/>
    <n v="0"/>
    <n v="0"/>
    <n v="12"/>
    <x v="1"/>
    <x v="0"/>
    <m/>
    <x v="0"/>
    <n v="65.5"/>
    <x v="0"/>
    <x v="27"/>
    <x v="0"/>
    <x v="0"/>
    <x v="0"/>
  </r>
  <r>
    <x v="0"/>
    <x v="13"/>
    <s v="7508 J"/>
    <x v="248"/>
    <s v="Al Harmain Garments Karim Park Lahore"/>
    <s v="LDN"/>
    <n v="23"/>
    <s v="8-8.5"/>
    <s v="LDN"/>
    <n v="100"/>
    <x v="0"/>
    <n v="2"/>
    <n v="113"/>
    <n v="4.9000000000000004"/>
    <n v="10"/>
    <x v="0"/>
    <n v="108.1"/>
    <n v="202.1"/>
    <m/>
    <x v="0"/>
    <x v="0"/>
    <n v="0"/>
    <n v="0"/>
    <x v="0"/>
    <x v="0"/>
    <m/>
    <x v="0"/>
    <x v="0"/>
    <x v="0"/>
    <x v="0"/>
    <x v="0"/>
    <n v="0"/>
    <n v="0"/>
    <n v="0"/>
    <n v="12"/>
    <x v="1"/>
    <x v="0"/>
    <m/>
    <x v="0"/>
    <n v="118"/>
    <x v="0"/>
    <x v="27"/>
    <x v="0"/>
    <x v="0"/>
    <x v="0"/>
  </r>
  <r>
    <x v="1"/>
    <x v="13"/>
    <s v="2933 F"/>
    <x v="248"/>
    <s v="Usman Amin"/>
    <s v="LDN"/>
    <n v="21"/>
    <s v="6-6.5"/>
    <s v="LDN"/>
    <n v="300"/>
    <x v="0"/>
    <n v="4"/>
    <n v="313.5"/>
    <n v="10.4"/>
    <n v="8"/>
    <x v="0"/>
    <n v="303.10000000000002"/>
    <n v="303.10000000000002"/>
    <m/>
    <x v="0"/>
    <x v="0"/>
    <n v="0"/>
    <n v="0"/>
    <x v="0"/>
    <x v="0"/>
    <m/>
    <x v="0"/>
    <x v="0"/>
    <x v="0"/>
    <x v="0"/>
    <x v="0"/>
    <n v="0"/>
    <n v="0"/>
    <n v="0"/>
    <n v="12"/>
    <x v="1"/>
    <x v="0"/>
    <m/>
    <x v="0"/>
    <n v="318.5"/>
    <x v="0"/>
    <x v="27"/>
    <x v="0"/>
    <x v="0"/>
    <x v="0"/>
  </r>
  <r>
    <x v="1"/>
    <x v="13"/>
    <s v="2952 F"/>
    <x v="248"/>
    <s v="Usman Amin"/>
    <s v="LDN"/>
    <n v="24"/>
    <s v="6.5-7"/>
    <s v="LDN"/>
    <n v="200"/>
    <x v="0"/>
    <n v="1"/>
    <n v="54.5"/>
    <n v="1.95"/>
    <m/>
    <x v="0"/>
    <n v="52.55"/>
    <n v="124.75"/>
    <m/>
    <x v="0"/>
    <x v="0"/>
    <n v="0"/>
    <n v="0"/>
    <x v="0"/>
    <x v="0"/>
    <m/>
    <x v="0"/>
    <x v="0"/>
    <x v="0"/>
    <x v="0"/>
    <x v="0"/>
    <n v="0"/>
    <n v="0"/>
    <n v="0"/>
    <n v="12"/>
    <x v="1"/>
    <x v="0"/>
    <m/>
    <x v="0"/>
    <n v="59.5"/>
    <x v="0"/>
    <x v="27"/>
    <x v="0"/>
    <x v="0"/>
    <x v="0"/>
  </r>
  <r>
    <x v="0"/>
    <x v="12"/>
    <s v="2855/1"/>
    <x v="248"/>
    <s v="MATCO FOOD"/>
    <s v="LDN"/>
    <s v="22.5-23"/>
    <s v="70±2"/>
    <s v="LDN"/>
    <n v="7700"/>
    <x v="0"/>
    <n v="6"/>
    <n v="682"/>
    <n v="18"/>
    <m/>
    <x v="0"/>
    <n v="664"/>
    <n v="9255.0999999999985"/>
    <m/>
    <x v="0"/>
    <x v="0"/>
    <n v="0"/>
    <n v="0"/>
    <x v="0"/>
    <x v="0"/>
    <m/>
    <x v="0"/>
    <x v="0"/>
    <x v="0"/>
    <x v="0"/>
    <x v="0"/>
    <n v="0"/>
    <n v="0"/>
    <n v="0"/>
    <n v="12"/>
    <x v="1"/>
    <x v="0"/>
    <m/>
    <x v="0"/>
    <n v="687"/>
    <x v="0"/>
    <x v="27"/>
    <x v="0"/>
    <x v="0"/>
    <x v="0"/>
  </r>
  <r>
    <x v="0"/>
    <x v="12"/>
    <s v="2954 F"/>
    <x v="248"/>
    <s v="Usman Amin"/>
    <s v="LDN"/>
    <n v="25"/>
    <s v="5-5.5"/>
    <s v="LDN"/>
    <n v="325"/>
    <x v="0"/>
    <n v="1"/>
    <n v="61.5"/>
    <n v="3.4"/>
    <n v="10"/>
    <x v="0"/>
    <n v="58.1"/>
    <n v="331.1"/>
    <m/>
    <x v="0"/>
    <x v="0"/>
    <n v="0"/>
    <n v="0"/>
    <x v="0"/>
    <x v="0"/>
    <m/>
    <x v="0"/>
    <x v="0"/>
    <x v="0"/>
    <x v="0"/>
    <x v="0"/>
    <n v="0"/>
    <n v="0"/>
    <n v="0"/>
    <n v="12"/>
    <x v="1"/>
    <x v="0"/>
    <m/>
    <x v="0"/>
    <n v="66.5"/>
    <x v="0"/>
    <x v="27"/>
    <x v="0"/>
    <x v="0"/>
    <x v="0"/>
  </r>
  <r>
    <x v="1"/>
    <x v="12"/>
    <s v="2954 F"/>
    <x v="248"/>
    <s v="Usman Amin"/>
    <s v="LDN"/>
    <n v="25"/>
    <s v="5-5.5"/>
    <s v="LDN"/>
    <n v="325"/>
    <x v="0"/>
    <n v="5"/>
    <n v="290"/>
    <n v="17"/>
    <n v="12"/>
    <x v="0"/>
    <n v="273"/>
    <n v="331.1"/>
    <m/>
    <x v="0"/>
    <x v="0"/>
    <n v="0"/>
    <n v="0"/>
    <x v="0"/>
    <x v="0"/>
    <m/>
    <x v="0"/>
    <x v="0"/>
    <x v="0"/>
    <x v="0"/>
    <x v="0"/>
    <n v="0"/>
    <n v="0"/>
    <n v="0"/>
    <n v="12"/>
    <x v="1"/>
    <x v="0"/>
    <m/>
    <x v="0"/>
    <n v="295"/>
    <x v="0"/>
    <x v="27"/>
    <x v="0"/>
    <x v="0"/>
    <x v="0"/>
  </r>
  <r>
    <x v="1"/>
    <x v="12"/>
    <s v="2853/1"/>
    <x v="248"/>
    <s v="MATCO FOOD"/>
    <s v="LDN"/>
    <s v="28-28.5"/>
    <s v="85±1"/>
    <s v="LDN"/>
    <n v="1275"/>
    <x v="0"/>
    <n v="3"/>
    <n v="338.5"/>
    <n v="6"/>
    <m/>
    <x v="0"/>
    <n v="332.5"/>
    <n v="1301.5"/>
    <m/>
    <x v="0"/>
    <x v="0"/>
    <n v="0"/>
    <n v="0"/>
    <x v="0"/>
    <x v="0"/>
    <m/>
    <x v="0"/>
    <x v="0"/>
    <x v="0"/>
    <x v="0"/>
    <x v="0"/>
    <n v="0"/>
    <n v="0"/>
    <n v="0"/>
    <n v="12"/>
    <x v="1"/>
    <x v="0"/>
    <m/>
    <x v="0"/>
    <n v="343.5"/>
    <x v="0"/>
    <x v="27"/>
    <x v="0"/>
    <x v="0"/>
    <x v="0"/>
  </r>
  <r>
    <x v="0"/>
    <x v="14"/>
    <s v="2853/1"/>
    <x v="248"/>
    <s v="MATCO FOOD"/>
    <s v="LDN"/>
    <s v="28-28.5"/>
    <s v="85±1"/>
    <s v="LDN"/>
    <n v="1275"/>
    <x v="0"/>
    <n v="3"/>
    <n v="436.5"/>
    <n v="6"/>
    <m/>
    <x v="0"/>
    <n v="430.5"/>
    <n v="1301.5"/>
    <m/>
    <x v="0"/>
    <x v="0"/>
    <n v="0"/>
    <n v="0"/>
    <x v="0"/>
    <x v="0"/>
    <m/>
    <x v="0"/>
    <x v="0"/>
    <x v="0"/>
    <x v="0"/>
    <x v="0"/>
    <n v="0"/>
    <n v="0"/>
    <n v="0"/>
    <n v="12"/>
    <x v="1"/>
    <x v="0"/>
    <m/>
    <x v="0"/>
    <n v="441.5"/>
    <x v="0"/>
    <x v="27"/>
    <x v="0"/>
    <x v="0"/>
    <x v="0"/>
  </r>
  <r>
    <x v="0"/>
    <x v="14"/>
    <s v="2881 F"/>
    <x v="248"/>
    <s v="Usman Amin"/>
    <s v="LDN"/>
    <s v="16 SHEET"/>
    <s v="3-3.25/6-6.5"/>
    <s v="LDN"/>
    <n v="1000"/>
    <x v="0"/>
    <n v="2"/>
    <n v="62.5"/>
    <n v="3.3"/>
    <n v="35"/>
    <x v="0"/>
    <n v="59.2"/>
    <n v="1015.2"/>
    <n v="5"/>
    <x v="0"/>
    <x v="0"/>
    <n v="5"/>
    <n v="8.3333333333333329E-2"/>
    <x v="0"/>
    <x v="0"/>
    <n v="90"/>
    <x v="0"/>
    <x v="0"/>
    <x v="0"/>
    <x v="0"/>
    <x v="0"/>
    <n v="90"/>
    <n v="1.5"/>
    <n v="1.5833333333333333"/>
    <n v="10.416666666666666"/>
    <x v="1"/>
    <x v="0"/>
    <m/>
    <x v="0"/>
    <n v="67.5"/>
    <x v="0"/>
    <x v="27"/>
    <x v="0"/>
    <x v="0"/>
    <x v="0"/>
  </r>
  <r>
    <x v="1"/>
    <x v="14"/>
    <s v="2881 F"/>
    <x v="248"/>
    <s v="Usman Amin"/>
    <s v="LDN"/>
    <s v="16 SHEET"/>
    <s v="3-3.25/6-6.5"/>
    <s v="LDN"/>
    <n v="1000"/>
    <x v="0"/>
    <n v="6"/>
    <n v="362"/>
    <n v="10.8"/>
    <n v="74"/>
    <x v="0"/>
    <n v="351.2"/>
    <n v="1015.2"/>
    <n v="30"/>
    <x v="0"/>
    <x v="0"/>
    <n v="30"/>
    <n v="0.5"/>
    <x v="0"/>
    <x v="0"/>
    <m/>
    <x v="0"/>
    <x v="0"/>
    <x v="0"/>
    <x v="0"/>
    <x v="0"/>
    <n v="0"/>
    <n v="0"/>
    <n v="0.5"/>
    <n v="11.5"/>
    <x v="1"/>
    <x v="0"/>
    <m/>
    <x v="0"/>
    <n v="367"/>
    <x v="0"/>
    <x v="27"/>
    <x v="0"/>
    <x v="0"/>
    <x v="0"/>
  </r>
  <r>
    <x v="1"/>
    <x v="14"/>
    <s v="7616 J"/>
    <x v="248"/>
    <s v="Atlas Honda LTD (SKP)"/>
    <s v="LDM"/>
    <s v="16.75&quot; شیٹ"/>
    <s v="7-7.5/14-15"/>
    <s v="LDM"/>
    <n v="500"/>
    <x v="0"/>
    <n v="4"/>
    <n v="414.5"/>
    <n v="8"/>
    <m/>
    <x v="0"/>
    <n v="406.5"/>
    <n v="507.5"/>
    <m/>
    <x v="0"/>
    <x v="0"/>
    <n v="0"/>
    <n v="0"/>
    <x v="0"/>
    <x v="0"/>
    <m/>
    <x v="0"/>
    <x v="0"/>
    <x v="0"/>
    <x v="0"/>
    <x v="0"/>
    <n v="0"/>
    <n v="0"/>
    <n v="0"/>
    <n v="12"/>
    <x v="1"/>
    <x v="0"/>
    <m/>
    <x v="0"/>
    <n v="419.5"/>
    <x v="0"/>
    <x v="27"/>
    <x v="0"/>
    <x v="0"/>
    <x v="0"/>
  </r>
  <r>
    <x v="0"/>
    <x v="15"/>
    <s v="7567 J"/>
    <x v="248"/>
    <s v="H.A Industry Peshawar"/>
    <s v="LDN"/>
    <n v="22"/>
    <s v="-"/>
    <s v="LDN"/>
    <n v="1050"/>
    <x v="0"/>
    <n v="6"/>
    <n v="450.5"/>
    <n v="15.600000000000001"/>
    <n v="7"/>
    <x v="0"/>
    <n v="434.9"/>
    <n v="1153.4000000000001"/>
    <m/>
    <x v="0"/>
    <x v="0"/>
    <n v="0"/>
    <n v="0"/>
    <x v="0"/>
    <x v="0"/>
    <m/>
    <x v="0"/>
    <x v="0"/>
    <x v="0"/>
    <x v="0"/>
    <x v="0"/>
    <n v="0"/>
    <n v="0"/>
    <n v="0"/>
    <n v="12"/>
    <x v="1"/>
    <x v="0"/>
    <m/>
    <x v="0"/>
    <n v="455.5"/>
    <x v="0"/>
    <x v="27"/>
    <x v="0"/>
    <x v="0"/>
    <x v="0"/>
  </r>
  <r>
    <x v="1"/>
    <x v="15"/>
    <s v="7567 J"/>
    <x v="248"/>
    <s v="H.A Industry Peshawar"/>
    <s v="LDN"/>
    <n v="22"/>
    <s v="-"/>
    <s v="LDN"/>
    <n v="1050"/>
    <x v="0"/>
    <n v="6"/>
    <n v="450"/>
    <n v="15.7"/>
    <n v="10"/>
    <x v="0"/>
    <n v="434.3"/>
    <n v="1153.4000000000001"/>
    <m/>
    <x v="0"/>
    <x v="0"/>
    <n v="0"/>
    <n v="0"/>
    <x v="0"/>
    <x v="0"/>
    <m/>
    <x v="0"/>
    <x v="0"/>
    <x v="0"/>
    <x v="0"/>
    <x v="0"/>
    <n v="0"/>
    <n v="0"/>
    <n v="0"/>
    <n v="12"/>
    <x v="1"/>
    <x v="0"/>
    <m/>
    <x v="0"/>
    <n v="455"/>
    <x v="0"/>
    <x v="27"/>
    <x v="0"/>
    <x v="0"/>
    <x v="0"/>
  </r>
  <r>
    <x v="0"/>
    <x v="8"/>
    <s v="7605 J"/>
    <x v="249"/>
    <s v="Javed Enterprises Gujranwala"/>
    <s v="LDN"/>
    <n v="14"/>
    <s v="20-21"/>
    <s v="LDN"/>
    <n v="500"/>
    <x v="0"/>
    <n v="1"/>
    <n v="50.6"/>
    <n v="1.7"/>
    <m/>
    <x v="0"/>
    <n v="48.9"/>
    <n v="978.99999999999989"/>
    <n v="2"/>
    <x v="0"/>
    <x v="0"/>
    <n v="2"/>
    <n v="3.3333333333333333E-2"/>
    <x v="10"/>
    <x v="0"/>
    <m/>
    <x v="0"/>
    <x v="0"/>
    <x v="0"/>
    <x v="0"/>
    <x v="0"/>
    <n v="45"/>
    <n v="0.75"/>
    <n v="0.78333333333333333"/>
    <n v="11.216666666666667"/>
    <x v="1"/>
    <x v="0"/>
    <m/>
    <x v="0"/>
    <n v="55.6"/>
    <x v="0"/>
    <x v="27"/>
    <x v="0"/>
    <x v="0"/>
    <x v="0"/>
  </r>
  <r>
    <x v="0"/>
    <x v="8"/>
    <s v="2918 F"/>
    <x v="249"/>
    <s v="Usman Amin"/>
    <s v="LDN"/>
    <n v="5.5"/>
    <s v="6-6.5"/>
    <s v="LDN"/>
    <n v="325"/>
    <x v="0"/>
    <n v="2"/>
    <n v="87.85"/>
    <n v="2.0999999999999996"/>
    <n v="7"/>
    <x v="0"/>
    <n v="85.75"/>
    <n v="350.54999999999995"/>
    <n v="3"/>
    <x v="0"/>
    <x v="0"/>
    <n v="3"/>
    <n v="0.05"/>
    <x v="0"/>
    <x v="0"/>
    <m/>
    <x v="0"/>
    <x v="0"/>
    <x v="0"/>
    <x v="0"/>
    <x v="0"/>
    <n v="0"/>
    <n v="0"/>
    <n v="0.05"/>
    <n v="11.95"/>
    <x v="1"/>
    <x v="0"/>
    <m/>
    <x v="0"/>
    <n v="92.85"/>
    <x v="0"/>
    <x v="27"/>
    <x v="0"/>
    <x v="0"/>
    <x v="0"/>
  </r>
  <r>
    <x v="1"/>
    <x v="8"/>
    <s v="2918 F"/>
    <x v="249"/>
    <s v="Usman Amin"/>
    <s v="LDN"/>
    <n v="5.5"/>
    <s v="6-6.5"/>
    <s v="LDN"/>
    <n v="325"/>
    <x v="0"/>
    <n v="2"/>
    <n v="61.3"/>
    <n v="1.4"/>
    <n v="8"/>
    <x v="0"/>
    <n v="59.9"/>
    <n v="350.54999999999995"/>
    <n v="10"/>
    <x v="0"/>
    <x v="0"/>
    <n v="10"/>
    <n v="0.16666666666666666"/>
    <x v="0"/>
    <x v="0"/>
    <m/>
    <x v="0"/>
    <x v="0"/>
    <x v="0"/>
    <x v="0"/>
    <x v="0"/>
    <n v="0"/>
    <n v="0"/>
    <n v="0.16666666666666666"/>
    <n v="11.833333333333334"/>
    <x v="1"/>
    <x v="0"/>
    <m/>
    <x v="0"/>
    <n v="66.3"/>
    <x v="0"/>
    <x v="27"/>
    <x v="0"/>
    <x v="0"/>
    <x v="0"/>
  </r>
  <r>
    <x v="1"/>
    <x v="8"/>
    <m/>
    <x v="249"/>
    <s v="-"/>
    <m/>
    <n v="6.5"/>
    <s v="14-14.5"/>
    <m/>
    <m/>
    <x v="0"/>
    <n v="2"/>
    <n v="52.3"/>
    <n v="1.6"/>
    <m/>
    <x v="0"/>
    <n v="50.699999999999996"/>
    <n v="0"/>
    <m/>
    <x v="0"/>
    <x v="0"/>
    <n v="0"/>
    <n v="0"/>
    <x v="0"/>
    <x v="0"/>
    <m/>
    <x v="0"/>
    <x v="0"/>
    <x v="0"/>
    <x v="0"/>
    <x v="0"/>
    <n v="0"/>
    <n v="0"/>
    <n v="0"/>
    <n v="12"/>
    <x v="1"/>
    <x v="0"/>
    <m/>
    <x v="0"/>
    <n v="57.3"/>
    <x v="0"/>
    <x v="27"/>
    <x v="0"/>
    <x v="0"/>
    <x v="0"/>
  </r>
  <r>
    <x v="0"/>
    <x v="9"/>
    <s v="7605 J"/>
    <x v="249"/>
    <s v="Javed Enterprises Gujranwala"/>
    <s v="LDN"/>
    <n v="14"/>
    <s v="20-21"/>
    <s v="LDN"/>
    <n v="500"/>
    <x v="0"/>
    <n v="1"/>
    <n v="47.5"/>
    <n v="1.6"/>
    <m/>
    <x v="0"/>
    <n v="45.9"/>
    <n v="978.99999999999989"/>
    <n v="4"/>
    <x v="0"/>
    <x v="0"/>
    <n v="4"/>
    <n v="6.6666666666666666E-2"/>
    <x v="0"/>
    <x v="0"/>
    <m/>
    <x v="0"/>
    <x v="0"/>
    <x v="0"/>
    <x v="0"/>
    <x v="0"/>
    <n v="0"/>
    <n v="0"/>
    <n v="6.6666666666666666E-2"/>
    <n v="11.933333333333334"/>
    <x v="1"/>
    <x v="0"/>
    <m/>
    <x v="0"/>
    <n v="52.5"/>
    <x v="0"/>
    <x v="27"/>
    <x v="0"/>
    <x v="0"/>
    <x v="0"/>
  </r>
  <r>
    <x v="0"/>
    <x v="9"/>
    <s v="7544 J"/>
    <x v="249"/>
    <s v="Al Buraq Deparmental Store Lahore"/>
    <s v="LDN"/>
    <n v="12"/>
    <s v="14-15"/>
    <s v="LDN"/>
    <n v="150"/>
    <x v="0"/>
    <n v="2"/>
    <n v="94.5"/>
    <n v="3"/>
    <n v="5"/>
    <x v="0"/>
    <n v="91.5"/>
    <n v="144.5"/>
    <n v="4"/>
    <x v="0"/>
    <x v="0"/>
    <n v="4"/>
    <n v="6.6666666666666666E-2"/>
    <x v="10"/>
    <x v="0"/>
    <m/>
    <x v="0"/>
    <x v="0"/>
    <x v="0"/>
    <x v="0"/>
    <x v="0"/>
    <n v="45"/>
    <n v="0.75"/>
    <n v="0.81666666666666665"/>
    <n v="11.183333333333334"/>
    <x v="1"/>
    <x v="0"/>
    <m/>
    <x v="0"/>
    <n v="99.5"/>
    <x v="0"/>
    <x v="27"/>
    <x v="0"/>
    <x v="0"/>
    <x v="0"/>
  </r>
  <r>
    <x v="1"/>
    <x v="9"/>
    <s v="7544 J"/>
    <x v="249"/>
    <s v="Al Buraq Deparmental Store Lahore"/>
    <s v="LDN"/>
    <n v="12"/>
    <s v="14-15"/>
    <s v="LDN"/>
    <n v="150"/>
    <x v="0"/>
    <n v="1"/>
    <n v="54.5"/>
    <n v="1.5"/>
    <n v="3"/>
    <x v="0"/>
    <n v="53"/>
    <n v="144.5"/>
    <m/>
    <x v="0"/>
    <x v="0"/>
    <n v="0"/>
    <n v="0"/>
    <x v="0"/>
    <x v="0"/>
    <m/>
    <x v="0"/>
    <x v="0"/>
    <x v="0"/>
    <x v="0"/>
    <x v="0"/>
    <n v="0"/>
    <n v="0"/>
    <n v="0"/>
    <n v="12"/>
    <x v="1"/>
    <x v="0"/>
    <m/>
    <x v="0"/>
    <n v="59.5"/>
    <x v="0"/>
    <x v="27"/>
    <x v="0"/>
    <x v="0"/>
    <x v="0"/>
  </r>
  <r>
    <x v="1"/>
    <x v="9"/>
    <s v="7492 J"/>
    <x v="249"/>
    <s v="Afford Super Market Layyah"/>
    <s v="LDN"/>
    <n v="10"/>
    <s v="14-15"/>
    <s v="LDN"/>
    <n v="100"/>
    <x v="0"/>
    <n v="2"/>
    <n v="102.4"/>
    <n v="2.7"/>
    <m/>
    <x v="0"/>
    <n v="99.7"/>
    <n v="99.7"/>
    <m/>
    <x v="0"/>
    <x v="0"/>
    <n v="0"/>
    <n v="0"/>
    <x v="0"/>
    <x v="0"/>
    <m/>
    <x v="0"/>
    <x v="0"/>
    <x v="0"/>
    <x v="0"/>
    <x v="0"/>
    <n v="0"/>
    <n v="0"/>
    <n v="0"/>
    <n v="12"/>
    <x v="1"/>
    <x v="0"/>
    <m/>
    <x v="0"/>
    <n v="107.4"/>
    <x v="0"/>
    <x v="27"/>
    <x v="0"/>
    <x v="0"/>
    <x v="0"/>
  </r>
  <r>
    <x v="1"/>
    <x v="9"/>
    <s v="7491 J"/>
    <x v="249"/>
    <s v="Afford Super Market Layyah"/>
    <s v="LDN"/>
    <n v="8"/>
    <s v="14-15"/>
    <s v="LDN"/>
    <n v="100"/>
    <x v="0"/>
    <n v="1"/>
    <n v="27.55"/>
    <n v="1"/>
    <m/>
    <x v="0"/>
    <n v="26.55"/>
    <n v="103.55"/>
    <m/>
    <x v="0"/>
    <x v="0"/>
    <n v="0"/>
    <n v="0"/>
    <x v="0"/>
    <x v="0"/>
    <m/>
    <x v="0"/>
    <x v="0"/>
    <x v="0"/>
    <x v="0"/>
    <x v="0"/>
    <n v="0"/>
    <n v="0"/>
    <n v="0"/>
    <n v="12"/>
    <x v="1"/>
    <x v="0"/>
    <m/>
    <x v="0"/>
    <n v="32.549999999999997"/>
    <x v="0"/>
    <x v="27"/>
    <x v="0"/>
    <x v="0"/>
    <x v="0"/>
  </r>
  <r>
    <x v="0"/>
    <x v="11"/>
    <s v="7604 J"/>
    <x v="249"/>
    <s v="Javed Enterprises Gujranwala"/>
    <s v="LDM"/>
    <n v="14"/>
    <s v="20-21"/>
    <s v="LDM"/>
    <n v="500"/>
    <x v="0"/>
    <n v="5"/>
    <n v="458.5"/>
    <n v="8.5"/>
    <n v="9"/>
    <x v="0"/>
    <n v="450"/>
    <n v="524.6"/>
    <n v="3"/>
    <x v="0"/>
    <x v="0"/>
    <n v="3"/>
    <n v="0.05"/>
    <x v="11"/>
    <x v="0"/>
    <m/>
    <x v="0"/>
    <x v="0"/>
    <x v="0"/>
    <x v="0"/>
    <x v="0"/>
    <n v="40"/>
    <n v="0.66666666666666663"/>
    <n v="0.71666666666666667"/>
    <n v="11.283333333333333"/>
    <x v="1"/>
    <x v="0"/>
    <m/>
    <x v="0"/>
    <n v="463.5"/>
    <x v="0"/>
    <x v="27"/>
    <x v="0"/>
    <x v="0"/>
    <x v="0"/>
  </r>
  <r>
    <x v="1"/>
    <x v="11"/>
    <s v="7643 J"/>
    <x v="249"/>
    <s v="Alam Printers Butkhela"/>
    <s v="LDM"/>
    <n v="18"/>
    <s v="14-15"/>
    <s v="LDM"/>
    <n v="100"/>
    <x v="0"/>
    <n v="2"/>
    <n v="105"/>
    <n v="4.3000000000000007"/>
    <n v="10"/>
    <x v="0"/>
    <n v="100.7"/>
    <n v="100.7"/>
    <n v="5"/>
    <x v="0"/>
    <x v="0"/>
    <n v="5"/>
    <n v="8.3333333333333329E-2"/>
    <x v="0"/>
    <x v="0"/>
    <m/>
    <x v="0"/>
    <x v="0"/>
    <x v="0"/>
    <x v="0"/>
    <x v="0"/>
    <n v="0"/>
    <n v="0"/>
    <n v="8.3333333333333329E-2"/>
    <n v="11.916666666666666"/>
    <x v="1"/>
    <x v="0"/>
    <m/>
    <x v="0"/>
    <n v="110"/>
    <x v="0"/>
    <x v="27"/>
    <x v="0"/>
    <x v="0"/>
    <x v="0"/>
  </r>
  <r>
    <x v="1"/>
    <x v="11"/>
    <s v="7580 J"/>
    <x v="249"/>
    <s v="The Kids Mall Lahore"/>
    <s v="LDM"/>
    <n v="18.5"/>
    <s v="15-16"/>
    <s v="LDM"/>
    <n v="500"/>
    <x v="0"/>
    <n v="4"/>
    <n v="414.5"/>
    <n v="8.4"/>
    <m/>
    <x v="0"/>
    <n v="406.1"/>
    <n v="511"/>
    <m/>
    <x v="0"/>
    <x v="0"/>
    <n v="0"/>
    <n v="0"/>
    <x v="0"/>
    <x v="0"/>
    <m/>
    <x v="0"/>
    <x v="0"/>
    <x v="0"/>
    <x v="0"/>
    <x v="0"/>
    <n v="0"/>
    <n v="0"/>
    <n v="0"/>
    <n v="12"/>
    <x v="1"/>
    <x v="0"/>
    <m/>
    <x v="0"/>
    <n v="419.5"/>
    <x v="0"/>
    <x v="27"/>
    <x v="0"/>
    <x v="0"/>
    <x v="0"/>
  </r>
  <r>
    <x v="0"/>
    <x v="13"/>
    <s v="2952 F"/>
    <x v="249"/>
    <s v="Usman Amin"/>
    <s v="LDN"/>
    <n v="24"/>
    <s v="6.5-7"/>
    <s v="LDN"/>
    <n v="200"/>
    <x v="0"/>
    <n v="2"/>
    <n v="77"/>
    <n v="4.8"/>
    <m/>
    <x v="0"/>
    <n v="72.2"/>
    <n v="124.75"/>
    <m/>
    <x v="0"/>
    <x v="0"/>
    <n v="0"/>
    <n v="0"/>
    <x v="0"/>
    <x v="0"/>
    <m/>
    <x v="0"/>
    <x v="0"/>
    <x v="0"/>
    <x v="0"/>
    <x v="0"/>
    <n v="0"/>
    <n v="0"/>
    <n v="0"/>
    <n v="12"/>
    <x v="1"/>
    <x v="0"/>
    <m/>
    <x v="0"/>
    <n v="82"/>
    <x v="0"/>
    <x v="27"/>
    <x v="0"/>
    <x v="0"/>
    <x v="0"/>
  </r>
  <r>
    <x v="0"/>
    <x v="13"/>
    <s v="2953 F"/>
    <x v="249"/>
    <s v="Usman Amin"/>
    <s v="LDN"/>
    <n v="26"/>
    <s v="7-7.5"/>
    <s v="LDN"/>
    <n v="37"/>
    <x v="0"/>
    <n v="2"/>
    <n v="76"/>
    <n v="3"/>
    <n v="13"/>
    <x v="0"/>
    <n v="73"/>
    <n v="73"/>
    <m/>
    <x v="0"/>
    <x v="0"/>
    <n v="0"/>
    <n v="0"/>
    <x v="11"/>
    <x v="0"/>
    <m/>
    <x v="0"/>
    <x v="0"/>
    <x v="0"/>
    <x v="0"/>
    <x v="0"/>
    <n v="40"/>
    <n v="0.66666666666666663"/>
    <n v="0.66666666666666663"/>
    <n v="11.333333333333334"/>
    <x v="1"/>
    <x v="0"/>
    <m/>
    <x v="0"/>
    <n v="81"/>
    <x v="0"/>
    <x v="27"/>
    <x v="0"/>
    <x v="0"/>
    <x v="0"/>
  </r>
  <r>
    <x v="0"/>
    <x v="13"/>
    <s v="2860 F"/>
    <x v="249"/>
    <s v="Usman Amin"/>
    <s v="LDN"/>
    <n v="17"/>
    <s v="8.5-9"/>
    <s v="LDN"/>
    <n v="1000"/>
    <x v="0"/>
    <n v="2"/>
    <n v="125"/>
    <n v="2.8"/>
    <m/>
    <x v="0"/>
    <n v="122.2"/>
    <n v="1041.1000000000001"/>
    <m/>
    <x v="0"/>
    <x v="0"/>
    <n v="0"/>
    <n v="0"/>
    <x v="0"/>
    <x v="0"/>
    <m/>
    <x v="0"/>
    <x v="0"/>
    <x v="0"/>
    <x v="0"/>
    <x v="0"/>
    <n v="0"/>
    <n v="0"/>
    <n v="0"/>
    <n v="12"/>
    <x v="1"/>
    <x v="0"/>
    <m/>
    <x v="0"/>
    <n v="130"/>
    <x v="0"/>
    <x v="27"/>
    <x v="0"/>
    <x v="0"/>
    <x v="0"/>
  </r>
  <r>
    <x v="1"/>
    <x v="13"/>
    <s v="2860 F"/>
    <x v="249"/>
    <s v="Usman Amin"/>
    <s v="LDN"/>
    <n v="17"/>
    <s v="8.5-9"/>
    <s v="LDN"/>
    <n v="1000"/>
    <x v="0"/>
    <n v="5"/>
    <n v="312"/>
    <n v="10.5"/>
    <m/>
    <x v="0"/>
    <n v="301.5"/>
    <n v="1041.1000000000001"/>
    <m/>
    <x v="0"/>
    <x v="0"/>
    <n v="0"/>
    <n v="0"/>
    <x v="0"/>
    <x v="0"/>
    <m/>
    <x v="0"/>
    <x v="0"/>
    <x v="0"/>
    <x v="0"/>
    <x v="0"/>
    <n v="0"/>
    <n v="0"/>
    <n v="0"/>
    <n v="12"/>
    <x v="1"/>
    <x v="0"/>
    <m/>
    <x v="0"/>
    <n v="317"/>
    <x v="0"/>
    <x v="27"/>
    <x v="0"/>
    <x v="0"/>
    <x v="0"/>
  </r>
  <r>
    <x v="0"/>
    <x v="12"/>
    <s v="2853/1"/>
    <x v="249"/>
    <s v="MATCO FOOD"/>
    <s v="LDN"/>
    <s v="28-28.5"/>
    <s v="85±1"/>
    <s v="LDN"/>
    <n v="1275"/>
    <x v="0"/>
    <n v="5"/>
    <n v="548.5"/>
    <n v="10"/>
    <m/>
    <x v="0"/>
    <n v="538.5"/>
    <n v="1301.5"/>
    <m/>
    <x v="0"/>
    <x v="0"/>
    <n v="0"/>
    <n v="0"/>
    <x v="0"/>
    <x v="0"/>
    <m/>
    <x v="0"/>
    <x v="0"/>
    <x v="0"/>
    <x v="0"/>
    <x v="0"/>
    <n v="0"/>
    <n v="0"/>
    <n v="0"/>
    <n v="12"/>
    <x v="1"/>
    <x v="0"/>
    <m/>
    <x v="0"/>
    <n v="553.5"/>
    <x v="0"/>
    <x v="27"/>
    <x v="0"/>
    <x v="0"/>
    <x v="0"/>
  </r>
  <r>
    <x v="0"/>
    <x v="12"/>
    <s v="2969 F"/>
    <x v="249"/>
    <s v="Usman Amin"/>
    <s v="LDN"/>
    <n v="35"/>
    <s v="5.5-6"/>
    <s v="LDN"/>
    <n v="115"/>
    <x v="0"/>
    <n v="3"/>
    <n v="200"/>
    <n v="12"/>
    <n v="15"/>
    <x v="0"/>
    <n v="188"/>
    <n v="231.6"/>
    <m/>
    <x v="0"/>
    <x v="0"/>
    <n v="0"/>
    <n v="0"/>
    <x v="12"/>
    <x v="0"/>
    <m/>
    <x v="0"/>
    <x v="0"/>
    <x v="0"/>
    <x v="0"/>
    <x v="0"/>
    <n v="50"/>
    <n v="0.83333333333333337"/>
    <n v="0.83333333333333337"/>
    <n v="11.166666666666666"/>
    <x v="1"/>
    <x v="0"/>
    <m/>
    <x v="0"/>
    <n v="205"/>
    <x v="0"/>
    <x v="27"/>
    <x v="0"/>
    <x v="0"/>
    <x v="0"/>
  </r>
  <r>
    <x v="1"/>
    <x v="12"/>
    <s v="2969 F"/>
    <x v="249"/>
    <s v="Usman Amin"/>
    <s v="LDN"/>
    <n v="35"/>
    <s v="5.5-6"/>
    <s v="LDN"/>
    <n v="115"/>
    <x v="0"/>
    <n v="1"/>
    <n v="47.5"/>
    <n v="3.9"/>
    <n v="7"/>
    <x v="0"/>
    <n v="43.6"/>
    <n v="231.6"/>
    <m/>
    <x v="0"/>
    <x v="0"/>
    <n v="0"/>
    <n v="0"/>
    <x v="0"/>
    <x v="0"/>
    <m/>
    <x v="0"/>
    <x v="0"/>
    <x v="0"/>
    <x v="0"/>
    <x v="0"/>
    <n v="0"/>
    <n v="0"/>
    <n v="0"/>
    <n v="12"/>
    <x v="1"/>
    <x v="0"/>
    <m/>
    <x v="0"/>
    <n v="52.5"/>
    <x v="0"/>
    <x v="27"/>
    <x v="0"/>
    <x v="0"/>
    <x v="0"/>
  </r>
  <r>
    <x v="1"/>
    <x v="12"/>
    <s v="2857/1"/>
    <x v="249"/>
    <s v="ENGRO ZARKHEZ"/>
    <s v="LDN"/>
    <s v="24-24.5"/>
    <s v="60±1"/>
    <s v="AA"/>
    <n v="2400"/>
    <x v="0"/>
    <n v="5"/>
    <n v="515.5"/>
    <n v="14"/>
    <m/>
    <x v="0"/>
    <n v="501.5"/>
    <n v="4088.2"/>
    <m/>
    <x v="0"/>
    <x v="0"/>
    <n v="0"/>
    <n v="0"/>
    <x v="0"/>
    <x v="0"/>
    <m/>
    <x v="0"/>
    <x v="0"/>
    <x v="0"/>
    <x v="0"/>
    <x v="0"/>
    <n v="0"/>
    <n v="0"/>
    <n v="0"/>
    <n v="12"/>
    <x v="1"/>
    <x v="0"/>
    <m/>
    <x v="0"/>
    <n v="520.5"/>
    <x v="0"/>
    <x v="27"/>
    <x v="0"/>
    <x v="0"/>
    <x v="0"/>
  </r>
  <r>
    <x v="0"/>
    <x v="14"/>
    <s v="7616 J"/>
    <x v="249"/>
    <s v="Atlas Honda LTD (SKP)"/>
    <s v="LDM"/>
    <s v="16.75&quot; شیٹ"/>
    <s v="7-7.5/14-15"/>
    <s v="LDM"/>
    <n v="500"/>
    <x v="0"/>
    <n v="1"/>
    <n v="103"/>
    <n v="2"/>
    <m/>
    <x v="0"/>
    <n v="101"/>
    <n v="507.5"/>
    <m/>
    <x v="0"/>
    <x v="0"/>
    <n v="0"/>
    <n v="0"/>
    <x v="0"/>
    <x v="0"/>
    <m/>
    <x v="0"/>
    <x v="0"/>
    <x v="0"/>
    <x v="0"/>
    <x v="0"/>
    <n v="0"/>
    <n v="0"/>
    <n v="0"/>
    <n v="12"/>
    <x v="1"/>
    <x v="0"/>
    <m/>
    <x v="0"/>
    <n v="108"/>
    <x v="0"/>
    <x v="27"/>
    <x v="0"/>
    <x v="0"/>
    <x v="0"/>
  </r>
  <r>
    <x v="0"/>
    <x v="14"/>
    <s v="7610 J"/>
    <x v="249"/>
    <s v="Service Industry Gujrat"/>
    <s v="LDM"/>
    <s v="428 MM"/>
    <s v="-"/>
    <s v="LDM"/>
    <n v="300"/>
    <x v="0"/>
    <n v="5"/>
    <n v="345.5"/>
    <n v="11"/>
    <n v="45"/>
    <x v="0"/>
    <n v="334.5"/>
    <n v="334.5"/>
    <n v="7"/>
    <x v="0"/>
    <x v="0"/>
    <n v="7"/>
    <n v="0.11666666666666667"/>
    <x v="11"/>
    <x v="0"/>
    <m/>
    <x v="0"/>
    <x v="0"/>
    <x v="0"/>
    <x v="0"/>
    <x v="0"/>
    <n v="40"/>
    <n v="0.66666666666666663"/>
    <n v="0.78333333333333333"/>
    <n v="11.216666666666667"/>
    <x v="1"/>
    <x v="0"/>
    <m/>
    <x v="0"/>
    <n v="350.5"/>
    <x v="0"/>
    <x v="27"/>
    <x v="0"/>
    <x v="0"/>
    <x v="0"/>
  </r>
  <r>
    <x v="1"/>
    <x v="14"/>
    <s v="7612 J"/>
    <x v="249"/>
    <s v="Service Industry Gujrat"/>
    <s v="LDM"/>
    <s v="428 MM"/>
    <s v="-"/>
    <s v="LDM"/>
    <n v="500"/>
    <x v="0"/>
    <n v="10"/>
    <n v="555.5"/>
    <n v="22"/>
    <n v="7"/>
    <x v="0"/>
    <n v="533.5"/>
    <n v="533.5"/>
    <m/>
    <x v="0"/>
    <x v="0"/>
    <n v="0"/>
    <n v="0"/>
    <x v="0"/>
    <x v="0"/>
    <m/>
    <x v="8"/>
    <x v="0"/>
    <x v="0"/>
    <x v="0"/>
    <x v="0"/>
    <n v="25"/>
    <n v="0.41666666666666669"/>
    <n v="0.41666666666666669"/>
    <n v="11.583333333333334"/>
    <x v="1"/>
    <x v="0"/>
    <m/>
    <x v="0"/>
    <n v="560.5"/>
    <x v="0"/>
    <x v="27"/>
    <x v="0"/>
    <x v="0"/>
    <x v="0"/>
  </r>
  <r>
    <x v="1"/>
    <x v="14"/>
    <s v="7611 J"/>
    <x v="249"/>
    <s v="Service Industry Gujrat"/>
    <s v="LDM"/>
    <s v="428 MM"/>
    <s v="-"/>
    <s v="LDM"/>
    <n v="280"/>
    <x v="0"/>
    <n v="1"/>
    <n v="60.5"/>
    <n v="2.2000000000000002"/>
    <m/>
    <x v="0"/>
    <n v="58.3"/>
    <n v="308.2"/>
    <m/>
    <x v="0"/>
    <x v="0"/>
    <n v="0"/>
    <n v="0"/>
    <x v="0"/>
    <x v="0"/>
    <m/>
    <x v="0"/>
    <x v="0"/>
    <x v="0"/>
    <x v="0"/>
    <x v="0"/>
    <n v="0"/>
    <n v="0"/>
    <n v="0"/>
    <n v="12"/>
    <x v="1"/>
    <x v="0"/>
    <m/>
    <x v="0"/>
    <n v="65.5"/>
    <x v="0"/>
    <x v="27"/>
    <x v="0"/>
    <x v="0"/>
    <x v="0"/>
  </r>
  <r>
    <x v="0"/>
    <x v="15"/>
    <s v="7567 J"/>
    <x v="249"/>
    <s v="H.A Industry Peshawar"/>
    <s v="LDN"/>
    <n v="22"/>
    <s v="-"/>
    <s v="LDN"/>
    <n v="1050"/>
    <x v="0"/>
    <n v="4"/>
    <n v="295"/>
    <n v="10.8"/>
    <n v="10"/>
    <x v="0"/>
    <n v="284.2"/>
    <n v="1153.4000000000001"/>
    <m/>
    <x v="0"/>
    <x v="0"/>
    <n v="0"/>
    <n v="0"/>
    <x v="6"/>
    <x v="0"/>
    <m/>
    <x v="0"/>
    <x v="0"/>
    <x v="0"/>
    <x v="0"/>
    <x v="0"/>
    <n v="60"/>
    <n v="1"/>
    <n v="1"/>
    <n v="11"/>
    <x v="1"/>
    <x v="0"/>
    <m/>
    <x v="0"/>
    <n v="300"/>
    <x v="0"/>
    <x v="27"/>
    <x v="0"/>
    <x v="0"/>
    <x v="0"/>
  </r>
  <r>
    <x v="1"/>
    <x v="15"/>
    <s v="2961 F"/>
    <x v="249"/>
    <s v="Usman Amin"/>
    <s v="LDN"/>
    <n v="19"/>
    <s v="8.5-9"/>
    <s v="LDN"/>
    <n v="1000"/>
    <x v="0"/>
    <n v="5"/>
    <n v="401"/>
    <n v="11"/>
    <m/>
    <x v="0"/>
    <n v="390"/>
    <n v="1000.4"/>
    <m/>
    <x v="0"/>
    <x v="0"/>
    <n v="0"/>
    <n v="0"/>
    <x v="0"/>
    <x v="0"/>
    <m/>
    <x v="0"/>
    <x v="0"/>
    <x v="0"/>
    <x v="0"/>
    <x v="0"/>
    <n v="0"/>
    <n v="0"/>
    <n v="0"/>
    <n v="12"/>
    <x v="1"/>
    <x v="0"/>
    <m/>
    <x v="0"/>
    <n v="406"/>
    <x v="0"/>
    <x v="27"/>
    <x v="0"/>
    <x v="0"/>
    <x v="0"/>
  </r>
  <r>
    <x v="0"/>
    <x v="8"/>
    <m/>
    <x v="250"/>
    <s v="-"/>
    <m/>
    <n v="5"/>
    <s v="4-4.5"/>
    <m/>
    <m/>
    <x v="0"/>
    <n v="2"/>
    <n v="25.3"/>
    <n v="1.4"/>
    <n v="1"/>
    <x v="0"/>
    <n v="23.900000000000002"/>
    <n v="0"/>
    <m/>
    <x v="0"/>
    <x v="0"/>
    <n v="0"/>
    <n v="0"/>
    <x v="0"/>
    <x v="0"/>
    <m/>
    <x v="0"/>
    <x v="0"/>
    <x v="0"/>
    <x v="0"/>
    <x v="0"/>
    <n v="0"/>
    <n v="0"/>
    <n v="0"/>
    <n v="12"/>
    <x v="1"/>
    <x v="0"/>
    <m/>
    <x v="0"/>
    <n v="30.3"/>
    <x v="0"/>
    <x v="27"/>
    <x v="0"/>
    <x v="0"/>
    <x v="0"/>
  </r>
  <r>
    <x v="0"/>
    <x v="8"/>
    <m/>
    <x v="250"/>
    <s v="-"/>
    <m/>
    <n v="7"/>
    <s v="10"/>
    <m/>
    <m/>
    <x v="0"/>
    <n v="2"/>
    <n v="70.5"/>
    <n v="1.9"/>
    <m/>
    <x v="0"/>
    <n v="68.599999999999994"/>
    <n v="0"/>
    <m/>
    <x v="0"/>
    <x v="0"/>
    <n v="0"/>
    <n v="0"/>
    <x v="0"/>
    <x v="0"/>
    <m/>
    <x v="0"/>
    <x v="0"/>
    <x v="0"/>
    <x v="0"/>
    <x v="0"/>
    <n v="0"/>
    <n v="0"/>
    <n v="0"/>
    <n v="12"/>
    <x v="1"/>
    <x v="0"/>
    <m/>
    <x v="0"/>
    <n v="75.5"/>
    <x v="0"/>
    <x v="27"/>
    <x v="0"/>
    <x v="0"/>
    <x v="0"/>
  </r>
  <r>
    <x v="1"/>
    <x v="8"/>
    <m/>
    <x v="250"/>
    <s v="-"/>
    <m/>
    <n v="7"/>
    <s v="10"/>
    <m/>
    <m/>
    <x v="0"/>
    <n v="2"/>
    <n v="85.7"/>
    <n v="1.6"/>
    <n v="1"/>
    <x v="0"/>
    <n v="84.100000000000009"/>
    <n v="0"/>
    <m/>
    <x v="0"/>
    <x v="0"/>
    <n v="0"/>
    <n v="0"/>
    <x v="0"/>
    <x v="0"/>
    <m/>
    <x v="0"/>
    <x v="0"/>
    <x v="0"/>
    <x v="0"/>
    <x v="0"/>
    <n v="0"/>
    <n v="0"/>
    <n v="0"/>
    <n v="12"/>
    <x v="1"/>
    <x v="0"/>
    <m/>
    <x v="0"/>
    <n v="90.7"/>
    <x v="0"/>
    <x v="27"/>
    <x v="0"/>
    <x v="0"/>
    <x v="0"/>
  </r>
  <r>
    <x v="0"/>
    <x v="9"/>
    <s v="7491 J"/>
    <x v="250"/>
    <s v="Afford Super Market Layyah"/>
    <s v="LDN"/>
    <n v="8"/>
    <s v="14-15"/>
    <s v="LDN"/>
    <n v="100"/>
    <x v="0"/>
    <n v="2"/>
    <n v="79"/>
    <n v="2"/>
    <m/>
    <x v="0"/>
    <n v="77"/>
    <n v="103.55"/>
    <n v="3"/>
    <x v="0"/>
    <x v="0"/>
    <n v="3"/>
    <n v="0.05"/>
    <x v="0"/>
    <x v="0"/>
    <m/>
    <x v="0"/>
    <x v="0"/>
    <x v="0"/>
    <x v="0"/>
    <x v="0"/>
    <n v="0"/>
    <n v="0"/>
    <n v="0.05"/>
    <n v="11.95"/>
    <x v="1"/>
    <x v="0"/>
    <m/>
    <x v="0"/>
    <n v="84"/>
    <x v="0"/>
    <x v="27"/>
    <x v="0"/>
    <x v="0"/>
    <x v="0"/>
  </r>
  <r>
    <x v="0"/>
    <x v="9"/>
    <s v="7490 J"/>
    <x v="250"/>
    <s v="Afford Super Market Layyah"/>
    <s v="LDN"/>
    <n v="6"/>
    <s v="14-15"/>
    <s v="LDN"/>
    <n v="200"/>
    <x v="0"/>
    <n v="2"/>
    <n v="66.5"/>
    <n v="1.6"/>
    <n v="1"/>
    <x v="0"/>
    <n v="64.900000000000006"/>
    <n v="206.50000000000003"/>
    <n v="2"/>
    <x v="0"/>
    <x v="0"/>
    <n v="2"/>
    <n v="3.3333333333333333E-2"/>
    <x v="0"/>
    <x v="0"/>
    <m/>
    <x v="0"/>
    <x v="0"/>
    <x v="0"/>
    <x v="0"/>
    <x v="0"/>
    <n v="0"/>
    <n v="0"/>
    <n v="3.3333333333333333E-2"/>
    <n v="11.966666666666667"/>
    <x v="1"/>
    <x v="0"/>
    <m/>
    <x v="0"/>
    <n v="71.5"/>
    <x v="0"/>
    <x v="27"/>
    <x v="0"/>
    <x v="0"/>
    <x v="0"/>
  </r>
  <r>
    <x v="1"/>
    <x v="9"/>
    <s v="7490 J"/>
    <x v="250"/>
    <s v="Afford Super Market Layyah"/>
    <s v="LDN"/>
    <n v="6"/>
    <s v="14-15"/>
    <s v="LDN"/>
    <n v="200"/>
    <x v="0"/>
    <n v="3"/>
    <n v="143.80000000000001"/>
    <n v="2.2000000000000002"/>
    <n v="2"/>
    <x v="0"/>
    <n v="141.60000000000002"/>
    <n v="206.50000000000003"/>
    <n v="4"/>
    <x v="0"/>
    <x v="0"/>
    <n v="4"/>
    <n v="6.6666666666666666E-2"/>
    <x v="0"/>
    <x v="0"/>
    <m/>
    <x v="0"/>
    <x v="0"/>
    <x v="0"/>
    <x v="0"/>
    <x v="0"/>
    <n v="0"/>
    <n v="0"/>
    <n v="6.6666666666666666E-2"/>
    <n v="11.933333333333334"/>
    <x v="1"/>
    <x v="0"/>
    <m/>
    <x v="0"/>
    <n v="148.80000000000001"/>
    <x v="0"/>
    <x v="27"/>
    <x v="0"/>
    <x v="0"/>
    <x v="0"/>
  </r>
  <r>
    <x v="0"/>
    <x v="11"/>
    <s v="7580 J"/>
    <x v="250"/>
    <s v="The Kids Mall Lahore"/>
    <s v="LDM"/>
    <n v="18.5"/>
    <s v="15-16"/>
    <s v="LDM"/>
    <n v="500"/>
    <x v="0"/>
    <n v="2"/>
    <n v="108.5"/>
    <n v="3.6"/>
    <m/>
    <x v="0"/>
    <n v="104.9"/>
    <n v="511"/>
    <n v="2"/>
    <x v="0"/>
    <x v="0"/>
    <n v="2"/>
    <n v="3.3333333333333333E-2"/>
    <x v="0"/>
    <x v="0"/>
    <m/>
    <x v="0"/>
    <x v="0"/>
    <x v="0"/>
    <x v="0"/>
    <x v="0"/>
    <n v="0"/>
    <n v="0"/>
    <n v="3.3333333333333333E-2"/>
    <n v="11.966666666666667"/>
    <x v="1"/>
    <x v="0"/>
    <m/>
    <x v="0"/>
    <n v="113.5"/>
    <x v="0"/>
    <x v="27"/>
    <x v="0"/>
    <x v="0"/>
    <x v="0"/>
  </r>
  <r>
    <x v="0"/>
    <x v="11"/>
    <s v="7535 J"/>
    <x v="250"/>
    <s v="Ijaz Sher Sawabi"/>
    <s v="LDM"/>
    <n v="15"/>
    <s v="-"/>
    <s v="LDM"/>
    <n v="1000"/>
    <x v="0"/>
    <n v="1"/>
    <n v="114"/>
    <n v="2.1"/>
    <m/>
    <x v="0"/>
    <n v="111.9"/>
    <n v="1033.55"/>
    <n v="2"/>
    <x v="0"/>
    <x v="0"/>
    <n v="2"/>
    <n v="3.3333333333333333E-2"/>
    <x v="0"/>
    <x v="0"/>
    <m/>
    <x v="0"/>
    <x v="0"/>
    <x v="0"/>
    <x v="0"/>
    <x v="0"/>
    <n v="0"/>
    <n v="0"/>
    <n v="3.3333333333333333E-2"/>
    <n v="11.966666666666667"/>
    <x v="1"/>
    <x v="0"/>
    <m/>
    <x v="0"/>
    <n v="119"/>
    <x v="0"/>
    <x v="27"/>
    <x v="0"/>
    <x v="0"/>
    <x v="0"/>
  </r>
  <r>
    <x v="0"/>
    <x v="11"/>
    <s v="7579 J"/>
    <x v="250"/>
    <s v="The Kids Mall Lahore"/>
    <s v="LDM"/>
    <n v="16"/>
    <s v="13.5-14"/>
    <s v="LDM"/>
    <n v="500"/>
    <x v="0"/>
    <n v="2"/>
    <n v="183"/>
    <n v="4.2"/>
    <n v="10"/>
    <x v="0"/>
    <n v="178.8"/>
    <n v="504.40000000000003"/>
    <n v="3"/>
    <x v="0"/>
    <x v="0"/>
    <n v="3"/>
    <n v="0.05"/>
    <x v="0"/>
    <x v="0"/>
    <m/>
    <x v="0"/>
    <x v="0"/>
    <x v="0"/>
    <x v="0"/>
    <x v="0"/>
    <n v="0"/>
    <n v="0"/>
    <n v="0.05"/>
    <n v="11.95"/>
    <x v="1"/>
    <x v="0"/>
    <m/>
    <x v="0"/>
    <n v="188"/>
    <x v="0"/>
    <x v="27"/>
    <x v="0"/>
    <x v="0"/>
    <x v="0"/>
  </r>
  <r>
    <x v="1"/>
    <x v="11"/>
    <s v="7579 J"/>
    <x v="250"/>
    <s v="The Kids Mall Lahore"/>
    <s v="LDM"/>
    <n v="16"/>
    <s v="13.5-14"/>
    <s v="LDM"/>
    <n v="500"/>
    <x v="0"/>
    <n v="5"/>
    <n v="335.5"/>
    <n v="9.9"/>
    <n v="4"/>
    <x v="0"/>
    <n v="325.60000000000002"/>
    <n v="504.40000000000003"/>
    <m/>
    <x v="0"/>
    <x v="0"/>
    <n v="0"/>
    <n v="0"/>
    <x v="0"/>
    <x v="0"/>
    <m/>
    <x v="0"/>
    <x v="0"/>
    <x v="0"/>
    <x v="0"/>
    <x v="0"/>
    <n v="0"/>
    <n v="0"/>
    <n v="0"/>
    <n v="12"/>
    <x v="1"/>
    <x v="0"/>
    <m/>
    <x v="0"/>
    <n v="340.5"/>
    <x v="0"/>
    <x v="27"/>
    <x v="0"/>
    <x v="0"/>
    <x v="0"/>
  </r>
  <r>
    <x v="1"/>
    <x v="11"/>
    <s v="7535 J"/>
    <x v="250"/>
    <s v="Ijaz Sher Sawabi"/>
    <s v="LDM"/>
    <n v="15"/>
    <s v="-"/>
    <s v="LDM"/>
    <n v="1000"/>
    <x v="0"/>
    <n v="1"/>
    <n v="88.5"/>
    <n v="1.9"/>
    <m/>
    <x v="0"/>
    <n v="86.6"/>
    <n v="1033.55"/>
    <n v="5"/>
    <x v="0"/>
    <x v="0"/>
    <n v="5"/>
    <n v="8.3333333333333329E-2"/>
    <x v="0"/>
    <x v="0"/>
    <m/>
    <x v="0"/>
    <x v="0"/>
    <x v="0"/>
    <x v="0"/>
    <x v="0"/>
    <n v="0"/>
    <n v="0"/>
    <n v="8.3333333333333329E-2"/>
    <n v="11.916666666666666"/>
    <x v="1"/>
    <x v="0"/>
    <m/>
    <x v="0"/>
    <n v="93.5"/>
    <x v="0"/>
    <x v="27"/>
    <x v="0"/>
    <x v="0"/>
    <x v="0"/>
  </r>
  <r>
    <x v="0"/>
    <x v="13"/>
    <s v="2957 F"/>
    <x v="250"/>
    <s v="Usman Amin"/>
    <s v="LDN"/>
    <n v="17"/>
    <s v="7"/>
    <s v="LDN"/>
    <n v="450"/>
    <x v="0"/>
    <n v="5"/>
    <n v="332"/>
    <n v="10.5"/>
    <n v="10"/>
    <x v="0"/>
    <n v="321.5"/>
    <n v="378.6"/>
    <m/>
    <x v="0"/>
    <x v="0"/>
    <n v="0"/>
    <n v="0"/>
    <x v="0"/>
    <x v="0"/>
    <m/>
    <x v="6"/>
    <x v="0"/>
    <x v="0"/>
    <x v="0"/>
    <x v="0"/>
    <n v="8"/>
    <n v="0.13333333333333333"/>
    <n v="0.13333333333333333"/>
    <n v="11.866666666666667"/>
    <x v="1"/>
    <x v="0"/>
    <m/>
    <x v="0"/>
    <n v="337"/>
    <x v="0"/>
    <x v="27"/>
    <x v="0"/>
    <x v="0"/>
    <x v="0"/>
  </r>
  <r>
    <x v="1"/>
    <x v="13"/>
    <s v="2957 F"/>
    <x v="250"/>
    <s v="Usman Amin"/>
    <s v="LDN"/>
    <n v="17"/>
    <s v="7"/>
    <s v="LDN"/>
    <n v="450"/>
    <x v="0"/>
    <n v="1"/>
    <n v="59.5"/>
    <n v="2.4"/>
    <n v="12"/>
    <x v="0"/>
    <n v="57.1"/>
    <n v="378.6"/>
    <n v="5"/>
    <x v="0"/>
    <x v="0"/>
    <n v="5"/>
    <n v="8.3333333333333329E-2"/>
    <x v="0"/>
    <x v="0"/>
    <m/>
    <x v="0"/>
    <x v="0"/>
    <x v="0"/>
    <x v="0"/>
    <x v="0"/>
    <n v="0"/>
    <n v="0"/>
    <n v="8.3333333333333329E-2"/>
    <n v="11.916666666666666"/>
    <x v="1"/>
    <x v="0"/>
    <m/>
    <x v="0"/>
    <n v="64.5"/>
    <x v="0"/>
    <x v="27"/>
    <x v="0"/>
    <x v="0"/>
    <x v="0"/>
  </r>
  <r>
    <x v="1"/>
    <x v="13"/>
    <s v="2917 F"/>
    <x v="250"/>
    <s v="Usman Amin"/>
    <s v="LDN"/>
    <n v="18"/>
    <s v="7"/>
    <s v="LDN"/>
    <n v="265"/>
    <x v="0"/>
    <n v="1"/>
    <n v="67"/>
    <n v="1.43"/>
    <m/>
    <x v="0"/>
    <n v="65.569999999999993"/>
    <n v="269.47000000000003"/>
    <n v="5"/>
    <x v="0"/>
    <x v="0"/>
    <n v="5"/>
    <n v="8.3333333333333329E-2"/>
    <x v="0"/>
    <x v="0"/>
    <m/>
    <x v="0"/>
    <x v="0"/>
    <x v="0"/>
    <x v="0"/>
    <x v="0"/>
    <n v="0"/>
    <n v="0"/>
    <n v="8.3333333333333329E-2"/>
    <n v="11.916666666666666"/>
    <x v="1"/>
    <x v="0"/>
    <m/>
    <x v="0"/>
    <n v="72"/>
    <x v="0"/>
    <x v="27"/>
    <x v="0"/>
    <x v="0"/>
    <x v="0"/>
  </r>
  <r>
    <x v="1"/>
    <x v="13"/>
    <s v="2958 F"/>
    <x v="250"/>
    <s v="Usman Amin"/>
    <s v="LDN"/>
    <n v="17"/>
    <s v="7"/>
    <s v="LDN"/>
    <n v="200"/>
    <x v="0"/>
    <n v="4"/>
    <n v="220"/>
    <n v="6.3999999999999995"/>
    <m/>
    <x v="0"/>
    <n v="213.6"/>
    <n v="213.6"/>
    <m/>
    <x v="0"/>
    <x v="0"/>
    <n v="0"/>
    <n v="0"/>
    <x v="0"/>
    <x v="0"/>
    <m/>
    <x v="0"/>
    <x v="0"/>
    <x v="0"/>
    <x v="0"/>
    <x v="0"/>
    <n v="0"/>
    <n v="0"/>
    <n v="0"/>
    <n v="12"/>
    <x v="1"/>
    <x v="0"/>
    <m/>
    <x v="0"/>
    <n v="225"/>
    <x v="0"/>
    <x v="27"/>
    <x v="0"/>
    <x v="0"/>
    <x v="0"/>
  </r>
  <r>
    <x v="0"/>
    <x v="12"/>
    <s v="2857/1"/>
    <x v="250"/>
    <s v="ENGRO ZARKHEZ"/>
    <s v="LDN"/>
    <s v="24-24.5"/>
    <s v="60±1"/>
    <s v="AA"/>
    <n v="2400"/>
    <x v="0"/>
    <n v="5"/>
    <n v="621.5"/>
    <n v="14.9"/>
    <n v="5"/>
    <x v="0"/>
    <n v="606.6"/>
    <n v="4088.2"/>
    <m/>
    <x v="0"/>
    <x v="0"/>
    <n v="0"/>
    <n v="0"/>
    <x v="0"/>
    <x v="0"/>
    <m/>
    <x v="2"/>
    <x v="0"/>
    <x v="0"/>
    <x v="0"/>
    <x v="0"/>
    <n v="5"/>
    <n v="8.3333333333333329E-2"/>
    <n v="8.3333333333333329E-2"/>
    <n v="11.916666666666666"/>
    <x v="1"/>
    <x v="0"/>
    <m/>
    <x v="0"/>
    <n v="626.5"/>
    <x v="0"/>
    <x v="27"/>
    <x v="0"/>
    <x v="0"/>
    <x v="0"/>
  </r>
  <r>
    <x v="1"/>
    <x v="12"/>
    <s v="2857/1"/>
    <x v="250"/>
    <s v="ENGRO ZARKHEZ"/>
    <s v="LDN"/>
    <s v="24-24.5"/>
    <s v="60±1"/>
    <s v="AA"/>
    <n v="2400"/>
    <x v="0"/>
    <n v="6"/>
    <n v="714.5"/>
    <n v="14.399999999999999"/>
    <m/>
    <x v="0"/>
    <n v="700.1"/>
    <n v="4088.2"/>
    <m/>
    <x v="0"/>
    <x v="0"/>
    <n v="0"/>
    <n v="0"/>
    <x v="0"/>
    <x v="0"/>
    <m/>
    <x v="0"/>
    <x v="0"/>
    <x v="0"/>
    <x v="0"/>
    <x v="0"/>
    <n v="0"/>
    <n v="0"/>
    <n v="0"/>
    <n v="12"/>
    <x v="1"/>
    <x v="0"/>
    <m/>
    <x v="0"/>
    <n v="719.5"/>
    <x v="0"/>
    <x v="27"/>
    <x v="0"/>
    <x v="0"/>
    <x v="0"/>
  </r>
  <r>
    <x v="0"/>
    <x v="14"/>
    <s v="7611 J"/>
    <x v="250"/>
    <s v="Service Industry Gujrat"/>
    <s v="LDM"/>
    <s v="428 MM"/>
    <s v="-"/>
    <s v="LDM"/>
    <n v="280"/>
    <x v="0"/>
    <n v="5"/>
    <n v="261.5"/>
    <n v="11.600000000000001"/>
    <m/>
    <x v="0"/>
    <n v="249.9"/>
    <n v="308.2"/>
    <m/>
    <x v="0"/>
    <x v="0"/>
    <n v="0"/>
    <n v="0"/>
    <x v="0"/>
    <x v="0"/>
    <m/>
    <x v="0"/>
    <x v="0"/>
    <x v="0"/>
    <x v="0"/>
    <x v="0"/>
    <n v="0"/>
    <n v="0"/>
    <n v="0"/>
    <n v="12"/>
    <x v="1"/>
    <x v="0"/>
    <m/>
    <x v="0"/>
    <n v="266.5"/>
    <x v="0"/>
    <x v="27"/>
    <x v="0"/>
    <x v="0"/>
    <x v="0"/>
  </r>
  <r>
    <x v="0"/>
    <x v="14"/>
    <s v="7608 J"/>
    <x v="250"/>
    <s v="Service Industry Gujrat"/>
    <s v="LDM"/>
    <s v="428 MM"/>
    <s v="-"/>
    <s v="LDM"/>
    <n v="125"/>
    <x v="0"/>
    <n v="2"/>
    <n v="144"/>
    <n v="5"/>
    <m/>
    <x v="0"/>
    <n v="139"/>
    <n v="139"/>
    <m/>
    <x v="0"/>
    <x v="0"/>
    <n v="0"/>
    <n v="0"/>
    <x v="13"/>
    <x v="0"/>
    <m/>
    <x v="0"/>
    <x v="0"/>
    <x v="0"/>
    <x v="0"/>
    <x v="0"/>
    <n v="200"/>
    <n v="3.3333333333333335"/>
    <n v="3.3333333333333335"/>
    <n v="8.6666666666666661"/>
    <x v="1"/>
    <x v="0"/>
    <m/>
    <x v="0"/>
    <n v="149"/>
    <x v="0"/>
    <x v="27"/>
    <x v="0"/>
    <x v="0"/>
    <x v="0"/>
  </r>
  <r>
    <x v="0"/>
    <x v="14"/>
    <s v="7609 J"/>
    <x v="250"/>
    <s v="Service Industry Gujrat"/>
    <s v="LDM"/>
    <s v="428 MM"/>
    <s v="-"/>
    <s v="LDM"/>
    <n v="100"/>
    <x v="0"/>
    <n v="1"/>
    <n v="58"/>
    <n v="1.8"/>
    <n v="12"/>
    <x v="0"/>
    <n v="56.2"/>
    <n v="56.2"/>
    <m/>
    <x v="0"/>
    <x v="0"/>
    <n v="0"/>
    <n v="0"/>
    <x v="0"/>
    <x v="0"/>
    <m/>
    <x v="0"/>
    <x v="0"/>
    <x v="0"/>
    <x v="0"/>
    <x v="0"/>
    <n v="0"/>
    <n v="0"/>
    <n v="0"/>
    <n v="12"/>
    <x v="1"/>
    <x v="0"/>
    <m/>
    <x v="0"/>
    <n v="63"/>
    <x v="0"/>
    <x v="27"/>
    <x v="0"/>
    <x v="0"/>
    <x v="0"/>
  </r>
  <r>
    <x v="1"/>
    <x v="14"/>
    <s v="7547 J"/>
    <x v="250"/>
    <s v="K.D Auto Parts Lahore"/>
    <s v="LDM"/>
    <n v="22"/>
    <s v="6-6.5"/>
    <s v="LDM"/>
    <n v="200"/>
    <x v="0"/>
    <n v="4"/>
    <n v="202.5"/>
    <n v="8"/>
    <n v="15"/>
    <x v="0"/>
    <n v="194.5"/>
    <n v="194.5"/>
    <m/>
    <x v="0"/>
    <x v="0"/>
    <n v="0"/>
    <n v="0"/>
    <x v="11"/>
    <x v="0"/>
    <m/>
    <x v="0"/>
    <x v="0"/>
    <x v="0"/>
    <x v="0"/>
    <x v="0"/>
    <n v="40"/>
    <n v="0.66666666666666663"/>
    <n v="0.66666666666666663"/>
    <n v="11.333333333333334"/>
    <x v="1"/>
    <x v="0"/>
    <m/>
    <x v="0"/>
    <n v="207.5"/>
    <x v="0"/>
    <x v="27"/>
    <x v="0"/>
    <x v="0"/>
    <x v="0"/>
  </r>
  <r>
    <x v="1"/>
    <x v="14"/>
    <s v="7548 J"/>
    <x v="250"/>
    <s v="K.D Auto Parts Lahore"/>
    <s v="LDM"/>
    <n v="26"/>
    <s v="6-6.5"/>
    <s v="LDM"/>
    <n v="100"/>
    <x v="0"/>
    <n v="3"/>
    <n v="109"/>
    <n v="10.5"/>
    <m/>
    <x v="0"/>
    <n v="98.5"/>
    <n v="98.5"/>
    <m/>
    <x v="0"/>
    <x v="0"/>
    <n v="0"/>
    <n v="0"/>
    <x v="0"/>
    <x v="0"/>
    <m/>
    <x v="0"/>
    <x v="0"/>
    <x v="0"/>
    <x v="0"/>
    <x v="0"/>
    <n v="0"/>
    <n v="0"/>
    <n v="0"/>
    <n v="12"/>
    <x v="1"/>
    <x v="0"/>
    <m/>
    <x v="0"/>
    <n v="114"/>
    <x v="0"/>
    <x v="27"/>
    <x v="0"/>
    <x v="0"/>
    <x v="0"/>
  </r>
  <r>
    <x v="1"/>
    <x v="14"/>
    <s v="7601 J"/>
    <x v="250"/>
    <s v="G.M Communication Hall Road LHR"/>
    <s v="LDM"/>
    <n v="14"/>
    <s v="10-10.5"/>
    <s v="LDM"/>
    <n v="100"/>
    <x v="0"/>
    <n v="2"/>
    <n v="105"/>
    <n v="3.2"/>
    <m/>
    <x v="0"/>
    <n v="101.8"/>
    <n v="101.8"/>
    <m/>
    <x v="0"/>
    <x v="0"/>
    <n v="0"/>
    <n v="0"/>
    <x v="0"/>
    <x v="0"/>
    <m/>
    <x v="0"/>
    <x v="0"/>
    <x v="0"/>
    <x v="0"/>
    <x v="0"/>
    <n v="0"/>
    <n v="0"/>
    <n v="0"/>
    <n v="12"/>
    <x v="1"/>
    <x v="0"/>
    <m/>
    <x v="0"/>
    <n v="110"/>
    <x v="0"/>
    <x v="27"/>
    <x v="0"/>
    <x v="0"/>
    <x v="0"/>
  </r>
  <r>
    <x v="1"/>
    <x v="14"/>
    <s v="7642 J"/>
    <x v="250"/>
    <s v="Alam Printers Butkhela"/>
    <s v="LDM"/>
    <n v="15"/>
    <s v="13-14"/>
    <s v="LDM"/>
    <n v="100"/>
    <x v="0"/>
    <n v="2"/>
    <n v="106.1"/>
    <n v="2.7"/>
    <m/>
    <x v="0"/>
    <n v="103.39999999999999"/>
    <n v="103.39999999999999"/>
    <m/>
    <x v="0"/>
    <x v="0"/>
    <n v="0"/>
    <n v="0"/>
    <x v="0"/>
    <x v="0"/>
    <m/>
    <x v="0"/>
    <x v="0"/>
    <x v="0"/>
    <x v="0"/>
    <x v="0"/>
    <n v="0"/>
    <n v="0"/>
    <n v="0"/>
    <n v="12"/>
    <x v="1"/>
    <x v="0"/>
    <m/>
    <x v="0"/>
    <n v="111.1"/>
    <x v="0"/>
    <x v="27"/>
    <x v="0"/>
    <x v="0"/>
    <x v="0"/>
  </r>
  <r>
    <x v="1"/>
    <x v="14"/>
    <s v="7552 J"/>
    <x v="250"/>
    <s v="Mughal Plastic Store Layyah"/>
    <s v="LDM"/>
    <s v="12+3+3"/>
    <n v="0"/>
    <s v="LDM"/>
    <n v="110"/>
    <x v="0"/>
    <n v="1"/>
    <n v="30"/>
    <n v="1.7"/>
    <m/>
    <x v="0"/>
    <n v="28.3"/>
    <n v="109.9"/>
    <m/>
    <x v="0"/>
    <x v="0"/>
    <n v="0"/>
    <n v="0"/>
    <x v="0"/>
    <x v="0"/>
    <m/>
    <x v="0"/>
    <x v="0"/>
    <x v="0"/>
    <x v="0"/>
    <x v="0"/>
    <n v="0"/>
    <n v="0"/>
    <n v="0"/>
    <n v="12"/>
    <x v="1"/>
    <x v="0"/>
    <m/>
    <x v="0"/>
    <n v="35"/>
    <x v="0"/>
    <x v="27"/>
    <x v="0"/>
    <x v="0"/>
    <x v="0"/>
  </r>
  <r>
    <x v="0"/>
    <x v="15"/>
    <s v="2961 F"/>
    <x v="250"/>
    <s v="Usman Amin"/>
    <s v="LDN"/>
    <n v="19"/>
    <s v="8.5-9"/>
    <s v="LDN"/>
    <n v="1000"/>
    <x v="0"/>
    <n v="4"/>
    <n v="300"/>
    <n v="8.6000000000000014"/>
    <m/>
    <x v="0"/>
    <n v="291.39999999999998"/>
    <n v="1000.4"/>
    <m/>
    <x v="0"/>
    <x v="0"/>
    <n v="0"/>
    <n v="0"/>
    <x v="0"/>
    <x v="0"/>
    <m/>
    <x v="0"/>
    <x v="0"/>
    <x v="0"/>
    <x v="0"/>
    <x v="0"/>
    <n v="0"/>
    <n v="0"/>
    <n v="0"/>
    <n v="12"/>
    <x v="1"/>
    <x v="0"/>
    <m/>
    <x v="0"/>
    <n v="305"/>
    <x v="0"/>
    <x v="27"/>
    <x v="0"/>
    <x v="0"/>
    <x v="0"/>
  </r>
  <r>
    <x v="0"/>
    <x v="15"/>
    <s v="2960 F"/>
    <x v="250"/>
    <s v="Usman Amin"/>
    <s v="LDN"/>
    <n v="17.25"/>
    <s v="8.5-9"/>
    <s v="LDN"/>
    <n v="1000"/>
    <x v="0"/>
    <n v="3"/>
    <n v="194"/>
    <n v="6.6000000000000005"/>
    <n v="5"/>
    <x v="0"/>
    <n v="187.4"/>
    <n v="1006.3999999999999"/>
    <n v="5"/>
    <x v="0"/>
    <x v="0"/>
    <n v="5"/>
    <n v="8.3333333333333329E-2"/>
    <x v="0"/>
    <x v="0"/>
    <m/>
    <x v="0"/>
    <x v="0"/>
    <x v="0"/>
    <x v="0"/>
    <x v="0"/>
    <n v="0"/>
    <n v="0"/>
    <n v="8.3333333333333329E-2"/>
    <n v="11.916666666666666"/>
    <x v="1"/>
    <x v="0"/>
    <m/>
    <x v="0"/>
    <n v="199"/>
    <x v="0"/>
    <x v="27"/>
    <x v="0"/>
    <x v="0"/>
    <x v="0"/>
  </r>
  <r>
    <x v="1"/>
    <x v="15"/>
    <s v="2960 F"/>
    <x v="250"/>
    <s v="Usman Amin"/>
    <s v="LDN"/>
    <n v="17.25"/>
    <s v="8.5-9"/>
    <s v="LDN"/>
    <n v="1000"/>
    <x v="0"/>
    <n v="6"/>
    <n v="407.5"/>
    <n v="12.500000000000002"/>
    <m/>
    <x v="0"/>
    <n v="395"/>
    <n v="1006.3999999999999"/>
    <m/>
    <x v="0"/>
    <x v="0"/>
    <n v="0"/>
    <n v="0"/>
    <x v="0"/>
    <x v="0"/>
    <m/>
    <x v="0"/>
    <x v="0"/>
    <x v="0"/>
    <x v="0"/>
    <x v="0"/>
    <n v="0"/>
    <n v="0"/>
    <n v="0"/>
    <n v="12"/>
    <x v="1"/>
    <x v="0"/>
    <m/>
    <x v="0"/>
    <n v="412.5"/>
    <x v="0"/>
    <x v="27"/>
    <x v="0"/>
    <x v="0"/>
    <x v="0"/>
  </r>
  <r>
    <x v="0"/>
    <x v="8"/>
    <s v="7746 J"/>
    <x v="251"/>
    <s v="Usman Arif Butt Gujranwala"/>
    <s v="LDN"/>
    <n v="7"/>
    <n v="10"/>
    <s v="LDN"/>
    <n v="100"/>
    <x v="0"/>
    <n v="1"/>
    <n v="43.3"/>
    <n v="0.9"/>
    <m/>
    <x v="0"/>
    <n v="42.4"/>
    <n v="42.4"/>
    <m/>
    <x v="0"/>
    <x v="0"/>
    <n v="0"/>
    <n v="0"/>
    <x v="0"/>
    <x v="0"/>
    <m/>
    <x v="0"/>
    <x v="0"/>
    <x v="0"/>
    <x v="0"/>
    <x v="0"/>
    <n v="0"/>
    <n v="0"/>
    <n v="0"/>
    <n v="12"/>
    <x v="1"/>
    <x v="0"/>
    <m/>
    <x v="0"/>
    <n v="48.3"/>
    <x v="0"/>
    <x v="27"/>
    <x v="0"/>
    <x v="0"/>
    <x v="0"/>
  </r>
  <r>
    <x v="0"/>
    <x v="8"/>
    <s v="7750 J"/>
    <x v="251"/>
    <s v="Usman Arif Butt Gujranwala"/>
    <s v="LDN"/>
    <n v="7"/>
    <n v="10"/>
    <s v="LDN"/>
    <n v="300"/>
    <x v="0"/>
    <n v="2"/>
    <n v="90"/>
    <n v="2"/>
    <m/>
    <x v="0"/>
    <n v="88"/>
    <n v="213.7"/>
    <m/>
    <x v="0"/>
    <x v="0"/>
    <n v="0"/>
    <n v="0"/>
    <x v="0"/>
    <x v="0"/>
    <m/>
    <x v="0"/>
    <x v="0"/>
    <x v="0"/>
    <x v="0"/>
    <x v="0"/>
    <n v="0"/>
    <n v="0"/>
    <n v="0"/>
    <n v="12"/>
    <x v="1"/>
    <x v="0"/>
    <m/>
    <x v="0"/>
    <n v="95"/>
    <x v="0"/>
    <x v="27"/>
    <x v="0"/>
    <x v="0"/>
    <x v="0"/>
  </r>
  <r>
    <x v="0"/>
    <x v="8"/>
    <s v="7749 J"/>
    <x v="251"/>
    <s v="Usman Arif Butt Gujranwala"/>
    <s v="LDN"/>
    <n v="6"/>
    <n v="10"/>
    <s v="LDN"/>
    <n v="100"/>
    <x v="0"/>
    <n v="1"/>
    <n v="40.299999999999997"/>
    <n v="0.6"/>
    <n v="2"/>
    <x v="0"/>
    <n v="39.699999999999996"/>
    <n v="146.29999999999998"/>
    <m/>
    <x v="0"/>
    <x v="0"/>
    <n v="0"/>
    <n v="0"/>
    <x v="0"/>
    <x v="0"/>
    <m/>
    <x v="0"/>
    <x v="0"/>
    <x v="0"/>
    <x v="0"/>
    <x v="0"/>
    <n v="0"/>
    <n v="0"/>
    <n v="0"/>
    <n v="12"/>
    <x v="1"/>
    <x v="0"/>
    <m/>
    <x v="0"/>
    <n v="45.3"/>
    <x v="0"/>
    <x v="27"/>
    <x v="0"/>
    <x v="0"/>
    <x v="0"/>
  </r>
  <r>
    <x v="1"/>
    <x v="8"/>
    <s v="7750 J"/>
    <x v="251"/>
    <s v="Usman Arif Butt Gujranwala"/>
    <s v="LDN"/>
    <n v="7"/>
    <n v="10"/>
    <s v="LDN"/>
    <n v="300"/>
    <x v="0"/>
    <n v="3"/>
    <n v="128.69999999999999"/>
    <n v="3"/>
    <n v="2"/>
    <x v="0"/>
    <n v="125.69999999999999"/>
    <n v="213.7"/>
    <m/>
    <x v="0"/>
    <x v="0"/>
    <n v="0"/>
    <n v="0"/>
    <x v="0"/>
    <x v="0"/>
    <m/>
    <x v="0"/>
    <x v="0"/>
    <x v="0"/>
    <x v="0"/>
    <x v="0"/>
    <n v="0"/>
    <n v="0"/>
    <n v="0"/>
    <n v="12"/>
    <x v="1"/>
    <x v="0"/>
    <m/>
    <x v="0"/>
    <n v="133.69999999999999"/>
    <x v="0"/>
    <x v="27"/>
    <x v="0"/>
    <x v="0"/>
    <x v="0"/>
  </r>
  <r>
    <x v="1"/>
    <x v="8"/>
    <s v="7754 J"/>
    <x v="251"/>
    <s v="Usman Arif Butt Gujranwala"/>
    <s v="LDN"/>
    <n v="7"/>
    <n v="10"/>
    <s v="LDN"/>
    <n v="150"/>
    <x v="0"/>
    <n v="1"/>
    <n v="44.15"/>
    <n v="0.8"/>
    <m/>
    <x v="0"/>
    <n v="43.35"/>
    <n v="138.75"/>
    <m/>
    <x v="0"/>
    <x v="0"/>
    <n v="0"/>
    <n v="0"/>
    <x v="0"/>
    <x v="0"/>
    <m/>
    <x v="0"/>
    <x v="0"/>
    <x v="0"/>
    <x v="0"/>
    <x v="0"/>
    <n v="0"/>
    <n v="0"/>
    <n v="0"/>
    <n v="12"/>
    <x v="1"/>
    <x v="0"/>
    <m/>
    <x v="0"/>
    <n v="49.15"/>
    <x v="0"/>
    <x v="27"/>
    <x v="0"/>
    <x v="0"/>
    <x v="0"/>
  </r>
  <r>
    <x v="0"/>
    <x v="9"/>
    <s v="7659 J"/>
    <x v="251"/>
    <s v="Usman Arif Butt Gujranwala"/>
    <s v="LDN"/>
    <n v="2.5"/>
    <n v="14"/>
    <s v="LDN"/>
    <n v="100"/>
    <x v="0"/>
    <n v="5"/>
    <n v="86.3"/>
    <n v="5"/>
    <n v="1"/>
    <x v="0"/>
    <n v="81.3"/>
    <n v="115.35"/>
    <n v="2"/>
    <x v="0"/>
    <x v="0"/>
    <n v="2"/>
    <n v="3.3333333333333333E-2"/>
    <x v="0"/>
    <x v="0"/>
    <m/>
    <x v="0"/>
    <x v="0"/>
    <x v="0"/>
    <x v="0"/>
    <x v="0"/>
    <n v="0"/>
    <n v="0"/>
    <n v="3.3333333333333333E-2"/>
    <n v="11.966666666666667"/>
    <x v="1"/>
    <x v="0"/>
    <m/>
    <x v="0"/>
    <n v="91.3"/>
    <x v="0"/>
    <x v="27"/>
    <x v="0"/>
    <x v="0"/>
    <x v="0"/>
  </r>
  <r>
    <x v="1"/>
    <x v="9"/>
    <s v="7659 J"/>
    <x v="251"/>
    <s v="Usman Arif Butt Gujranwala"/>
    <s v="LDN"/>
    <n v="2.5"/>
    <n v="14"/>
    <s v="LDN"/>
    <n v="100"/>
    <x v="0"/>
    <n v="2"/>
    <n v="36.049999999999997"/>
    <n v="2"/>
    <n v="2"/>
    <x v="0"/>
    <n v="34.049999999999997"/>
    <n v="115.35"/>
    <m/>
    <x v="0"/>
    <x v="0"/>
    <n v="0"/>
    <n v="0"/>
    <x v="0"/>
    <x v="0"/>
    <m/>
    <x v="0"/>
    <x v="0"/>
    <x v="0"/>
    <x v="0"/>
    <x v="0"/>
    <n v="0"/>
    <n v="0"/>
    <n v="0"/>
    <n v="12"/>
    <x v="1"/>
    <x v="0"/>
    <m/>
    <x v="0"/>
    <n v="41.05"/>
    <x v="0"/>
    <x v="27"/>
    <x v="0"/>
    <x v="0"/>
    <x v="0"/>
  </r>
  <r>
    <x v="1"/>
    <x v="9"/>
    <s v="7744 J"/>
    <x v="251"/>
    <s v="Usman Arif Butt Gujranwala"/>
    <s v="LDN"/>
    <n v="6"/>
    <n v="10"/>
    <s v="LDN"/>
    <n v="100"/>
    <x v="0"/>
    <n v="2"/>
    <n v="61.5"/>
    <n v="2.4000000000000004"/>
    <m/>
    <x v="0"/>
    <n v="59.1"/>
    <n v="59.1"/>
    <m/>
    <x v="0"/>
    <x v="0"/>
    <n v="0"/>
    <n v="0"/>
    <x v="0"/>
    <x v="0"/>
    <m/>
    <x v="0"/>
    <x v="0"/>
    <x v="0"/>
    <x v="0"/>
    <x v="0"/>
    <n v="0"/>
    <n v="0"/>
    <n v="0"/>
    <n v="12"/>
    <x v="1"/>
    <x v="0"/>
    <m/>
    <x v="0"/>
    <n v="66.5"/>
    <x v="0"/>
    <x v="27"/>
    <x v="0"/>
    <x v="0"/>
    <x v="0"/>
  </r>
  <r>
    <x v="0"/>
    <x v="11"/>
    <s v="7535 J"/>
    <x v="251"/>
    <s v="Ijaz Sher Sawabi"/>
    <s v="LDM"/>
    <n v="15"/>
    <s v="-"/>
    <s v="LDM"/>
    <n v="1000"/>
    <x v="0"/>
    <n v="5"/>
    <n v="443.5"/>
    <n v="10.5"/>
    <n v="8"/>
    <x v="0"/>
    <n v="433"/>
    <n v="1033.55"/>
    <m/>
    <x v="0"/>
    <x v="0"/>
    <n v="0"/>
    <n v="0"/>
    <x v="0"/>
    <x v="0"/>
    <m/>
    <x v="0"/>
    <x v="0"/>
    <x v="0"/>
    <x v="0"/>
    <x v="0"/>
    <n v="0"/>
    <n v="0"/>
    <n v="0"/>
    <n v="12"/>
    <x v="1"/>
    <x v="0"/>
    <m/>
    <x v="0"/>
    <n v="448.5"/>
    <x v="0"/>
    <x v="27"/>
    <x v="0"/>
    <x v="0"/>
    <x v="0"/>
  </r>
  <r>
    <x v="1"/>
    <x v="11"/>
    <s v="7535 J"/>
    <x v="251"/>
    <s v="Ijaz Sher Sawabi"/>
    <s v="LDM"/>
    <n v="15"/>
    <s v="-"/>
    <s v="LDM"/>
    <n v="1000"/>
    <x v="0"/>
    <n v="6"/>
    <n v="414.65"/>
    <n v="12.600000000000001"/>
    <n v="7"/>
    <x v="0"/>
    <n v="402.04999999999995"/>
    <n v="1033.55"/>
    <m/>
    <x v="0"/>
    <x v="0"/>
    <n v="0"/>
    <n v="0"/>
    <x v="0"/>
    <x v="0"/>
    <m/>
    <x v="0"/>
    <x v="0"/>
    <x v="0"/>
    <x v="0"/>
    <x v="0"/>
    <n v="0"/>
    <n v="0"/>
    <n v="0"/>
    <n v="12"/>
    <x v="1"/>
    <x v="0"/>
    <m/>
    <x v="0"/>
    <n v="419.65"/>
    <x v="0"/>
    <x v="27"/>
    <x v="0"/>
    <x v="0"/>
    <x v="0"/>
  </r>
  <r>
    <x v="0"/>
    <x v="13"/>
    <s v="2917 F"/>
    <x v="251"/>
    <s v="Usman Amin"/>
    <s v="LDN"/>
    <n v="18"/>
    <s v="7"/>
    <s v="LDN"/>
    <n v="265"/>
    <x v="0"/>
    <n v="3"/>
    <n v="210.5"/>
    <n v="6.6000000000000005"/>
    <m/>
    <x v="0"/>
    <n v="203.9"/>
    <n v="269.47000000000003"/>
    <m/>
    <x v="0"/>
    <x v="0"/>
    <n v="0"/>
    <n v="0"/>
    <x v="0"/>
    <x v="0"/>
    <m/>
    <x v="0"/>
    <x v="0"/>
    <x v="0"/>
    <x v="0"/>
    <x v="0"/>
    <n v="0"/>
    <n v="0"/>
    <n v="0"/>
    <n v="12"/>
    <x v="1"/>
    <x v="0"/>
    <m/>
    <x v="0"/>
    <n v="215.5"/>
    <x v="0"/>
    <x v="27"/>
    <x v="0"/>
    <x v="0"/>
    <x v="0"/>
  </r>
  <r>
    <x v="0"/>
    <x v="13"/>
    <s v="2959 F"/>
    <x v="251"/>
    <s v="Usman Amin"/>
    <s v="LDN"/>
    <n v="26"/>
    <n v="7"/>
    <s v="LDN"/>
    <n v="95"/>
    <x v="0"/>
    <n v="2"/>
    <n v="123"/>
    <n v="5.2"/>
    <m/>
    <x v="0"/>
    <n v="117.8"/>
    <n v="117.8"/>
    <n v="2"/>
    <x v="0"/>
    <x v="0"/>
    <n v="2"/>
    <n v="3.3333333333333333E-2"/>
    <x v="0"/>
    <x v="0"/>
    <m/>
    <x v="0"/>
    <x v="0"/>
    <x v="0"/>
    <x v="0"/>
    <x v="0"/>
    <n v="0"/>
    <n v="0"/>
    <n v="3.3333333333333333E-2"/>
    <n v="11.966666666666667"/>
    <x v="1"/>
    <x v="0"/>
    <m/>
    <x v="0"/>
    <n v="128"/>
    <x v="0"/>
    <x v="27"/>
    <x v="0"/>
    <x v="0"/>
    <x v="0"/>
  </r>
  <r>
    <x v="0"/>
    <x v="13"/>
    <s v="2984 F"/>
    <x v="251"/>
    <s v="Usman Amin"/>
    <s v="LDN"/>
    <n v="24"/>
    <s v="8-8.5"/>
    <s v="LDN"/>
    <n v="1800"/>
    <x v="0"/>
    <n v="1"/>
    <n v="92"/>
    <n v="2.4"/>
    <n v="7"/>
    <x v="0"/>
    <n v="89.6"/>
    <n v="1860"/>
    <n v="2"/>
    <x v="0"/>
    <x v="0"/>
    <n v="2"/>
    <n v="3.3333333333333333E-2"/>
    <x v="0"/>
    <x v="0"/>
    <m/>
    <x v="0"/>
    <x v="0"/>
    <x v="0"/>
    <x v="0"/>
    <x v="0"/>
    <n v="0"/>
    <n v="0"/>
    <n v="3.3333333333333333E-2"/>
    <n v="11.966666666666667"/>
    <x v="1"/>
    <x v="0"/>
    <m/>
    <x v="0"/>
    <n v="97"/>
    <x v="0"/>
    <x v="27"/>
    <x v="0"/>
    <x v="0"/>
    <x v="0"/>
  </r>
  <r>
    <x v="1"/>
    <x v="13"/>
    <s v="2992 F"/>
    <x v="251"/>
    <s v="Usman Amin"/>
    <s v="LDN"/>
    <n v="25"/>
    <s v="7"/>
    <s v="LDN"/>
    <n v="225"/>
    <x v="0"/>
    <n v="2"/>
    <n v="150"/>
    <n v="4.4000000000000004"/>
    <n v="8"/>
    <x v="0"/>
    <n v="145.6"/>
    <n v="241.6"/>
    <n v="2"/>
    <x v="0"/>
    <x v="0"/>
    <n v="2"/>
    <n v="3.3333333333333333E-2"/>
    <x v="0"/>
    <x v="0"/>
    <m/>
    <x v="0"/>
    <x v="0"/>
    <x v="0"/>
    <x v="0"/>
    <x v="0"/>
    <n v="0"/>
    <n v="0"/>
    <n v="3.3333333333333333E-2"/>
    <n v="11.966666666666667"/>
    <x v="1"/>
    <x v="0"/>
    <m/>
    <x v="0"/>
    <n v="155"/>
    <x v="0"/>
    <x v="27"/>
    <x v="0"/>
    <x v="0"/>
    <x v="0"/>
  </r>
  <r>
    <x v="1"/>
    <x v="13"/>
    <s v="2984 F"/>
    <x v="251"/>
    <s v="Usman Amin"/>
    <s v="LDN"/>
    <n v="24"/>
    <s v="8-8.5"/>
    <s v="LDN"/>
    <n v="1800"/>
    <x v="0"/>
    <n v="3"/>
    <n v="300"/>
    <n v="8.6999999999999993"/>
    <m/>
    <x v="0"/>
    <n v="291.3"/>
    <n v="1860"/>
    <m/>
    <x v="0"/>
    <x v="0"/>
    <n v="0"/>
    <n v="0"/>
    <x v="0"/>
    <x v="0"/>
    <m/>
    <x v="0"/>
    <x v="0"/>
    <x v="0"/>
    <x v="0"/>
    <x v="0"/>
    <n v="0"/>
    <n v="0"/>
    <n v="0"/>
    <n v="12"/>
    <x v="1"/>
    <x v="0"/>
    <m/>
    <x v="0"/>
    <n v="305"/>
    <x v="0"/>
    <x v="27"/>
    <x v="0"/>
    <x v="0"/>
    <x v="0"/>
  </r>
  <r>
    <x v="0"/>
    <x v="12"/>
    <s v="2857/1"/>
    <x v="251"/>
    <s v="ENGRO ZARKHEZ"/>
    <s v="LDN"/>
    <s v="24-24.5"/>
    <s v="60±1"/>
    <s v="AA"/>
    <n v="2400"/>
    <x v="0"/>
    <n v="5"/>
    <n v="632.5"/>
    <n v="1.5"/>
    <n v="9"/>
    <x v="0"/>
    <n v="631"/>
    <n v="4088.2"/>
    <m/>
    <x v="0"/>
    <x v="0"/>
    <n v="0"/>
    <n v="0"/>
    <x v="0"/>
    <x v="0"/>
    <m/>
    <x v="0"/>
    <x v="0"/>
    <x v="0"/>
    <x v="0"/>
    <x v="0"/>
    <n v="0"/>
    <n v="0"/>
    <n v="0"/>
    <n v="12"/>
    <x v="1"/>
    <x v="0"/>
    <m/>
    <x v="0"/>
    <n v="637.5"/>
    <x v="0"/>
    <x v="27"/>
    <x v="0"/>
    <x v="0"/>
    <x v="0"/>
  </r>
  <r>
    <x v="1"/>
    <x v="12"/>
    <s v="2857/1"/>
    <x v="251"/>
    <s v="ENGRO ZARKHEZ"/>
    <s v="LDN"/>
    <s v="24-24.5"/>
    <s v="60±1"/>
    <s v="AA"/>
    <n v="2400"/>
    <x v="0"/>
    <n v="2"/>
    <n v="205"/>
    <n v="4.8"/>
    <n v="14"/>
    <x v="0"/>
    <n v="200.2"/>
    <n v="4088.2"/>
    <m/>
    <x v="0"/>
    <x v="0"/>
    <n v="0"/>
    <n v="0"/>
    <x v="0"/>
    <x v="0"/>
    <m/>
    <x v="0"/>
    <x v="0"/>
    <x v="0"/>
    <x v="0"/>
    <x v="0"/>
    <n v="0"/>
    <n v="0"/>
    <n v="0"/>
    <n v="12"/>
    <x v="1"/>
    <x v="0"/>
    <m/>
    <x v="0"/>
    <n v="210"/>
    <x v="0"/>
    <x v="27"/>
    <x v="0"/>
    <x v="0"/>
    <x v="0"/>
  </r>
  <r>
    <x v="1"/>
    <x v="12"/>
    <s v="2855/1"/>
    <x v="251"/>
    <s v="MATCO FOOD"/>
    <s v="LDN"/>
    <s v="22.5-23"/>
    <s v="70±2"/>
    <s v="LDN"/>
    <n v="7700"/>
    <x v="0"/>
    <n v="1"/>
    <n v="147.5"/>
    <n v="2.2999999999999998"/>
    <m/>
    <x v="0"/>
    <n v="145.19999999999999"/>
    <n v="9255.0999999999985"/>
    <m/>
    <x v="0"/>
    <x v="0"/>
    <n v="0"/>
    <n v="0"/>
    <x v="0"/>
    <x v="0"/>
    <m/>
    <x v="0"/>
    <x v="0"/>
    <x v="0"/>
    <x v="0"/>
    <x v="0"/>
    <n v="0"/>
    <n v="0"/>
    <n v="0"/>
    <n v="12"/>
    <x v="1"/>
    <x v="0"/>
    <m/>
    <x v="0"/>
    <n v="152.5"/>
    <x v="0"/>
    <x v="27"/>
    <x v="0"/>
    <x v="0"/>
    <x v="0"/>
  </r>
  <r>
    <x v="1"/>
    <x v="12"/>
    <s v="277 R"/>
    <x v="251"/>
    <s v="ریفلیکٹ پیک"/>
    <s v="LDN"/>
    <n v="23"/>
    <s v="18-19"/>
    <s v="LDN"/>
    <n v="3000"/>
    <x v="0"/>
    <n v="3"/>
    <n v="302.5"/>
    <n v="0.89999999999999991"/>
    <m/>
    <x v="0"/>
    <n v="301.60000000000002"/>
    <n v="2682.6"/>
    <m/>
    <x v="0"/>
    <x v="0"/>
    <n v="0"/>
    <n v="0"/>
    <x v="0"/>
    <x v="0"/>
    <m/>
    <x v="0"/>
    <x v="0"/>
    <x v="0"/>
    <x v="0"/>
    <x v="0"/>
    <n v="0"/>
    <n v="0"/>
    <n v="0"/>
    <n v="12"/>
    <x v="1"/>
    <x v="0"/>
    <m/>
    <x v="0"/>
    <n v="307.5"/>
    <x v="0"/>
    <x v="27"/>
    <x v="0"/>
    <x v="0"/>
    <x v="0"/>
  </r>
  <r>
    <x v="0"/>
    <x v="15"/>
    <s v="2960 F"/>
    <x v="251"/>
    <s v="Usman Amin"/>
    <s v="LDN"/>
    <n v="17.25"/>
    <s v="8.5-9"/>
    <s v="LDN"/>
    <n v="1000"/>
    <x v="0"/>
    <n v="4"/>
    <n v="297.5"/>
    <n v="8.8000000000000007"/>
    <m/>
    <x v="0"/>
    <n v="288.7"/>
    <n v="1006.3999999999999"/>
    <n v="3"/>
    <x v="0"/>
    <x v="0"/>
    <n v="3"/>
    <n v="0.05"/>
    <x v="0"/>
    <x v="0"/>
    <m/>
    <x v="0"/>
    <x v="0"/>
    <x v="0"/>
    <x v="0"/>
    <x v="0"/>
    <n v="0"/>
    <n v="0"/>
    <n v="0.05"/>
    <n v="11.95"/>
    <x v="1"/>
    <x v="0"/>
    <m/>
    <x v="0"/>
    <n v="302.5"/>
    <x v="0"/>
    <x v="27"/>
    <x v="0"/>
    <x v="0"/>
    <x v="0"/>
  </r>
  <r>
    <x v="0"/>
    <x v="15"/>
    <s v="7552 J"/>
    <x v="251"/>
    <s v="Mughal Plastic Store Layyah"/>
    <s v="LDM"/>
    <s v="12+3+3"/>
    <n v="0"/>
    <s v="LDM"/>
    <n v="110"/>
    <x v="0"/>
    <n v="2"/>
    <n v="84.2"/>
    <n v="2.6"/>
    <n v="5"/>
    <x v="0"/>
    <n v="81.600000000000009"/>
    <n v="109.9"/>
    <n v="2"/>
    <x v="0"/>
    <x v="0"/>
    <n v="2"/>
    <n v="3.3333333333333333E-2"/>
    <x v="0"/>
    <x v="0"/>
    <m/>
    <x v="0"/>
    <x v="0"/>
    <x v="0"/>
    <x v="0"/>
    <x v="0"/>
    <n v="0"/>
    <n v="0"/>
    <n v="3.3333333333333333E-2"/>
    <n v="11.966666666666667"/>
    <x v="1"/>
    <x v="0"/>
    <m/>
    <x v="0"/>
    <n v="89.2"/>
    <x v="0"/>
    <x v="27"/>
    <x v="0"/>
    <x v="0"/>
    <x v="0"/>
  </r>
  <r>
    <x v="1"/>
    <x v="15"/>
    <s v="2960 F"/>
    <x v="251"/>
    <s v="Usman Amin"/>
    <s v="LDN"/>
    <n v="17.25"/>
    <s v="8.5-9"/>
    <s v="LDN"/>
    <n v="1000"/>
    <x v="0"/>
    <n v="2"/>
    <n v="139.5"/>
    <n v="4.2"/>
    <n v="7"/>
    <x v="0"/>
    <n v="135.30000000000001"/>
    <n v="1006.3999999999999"/>
    <m/>
    <x v="0"/>
    <x v="0"/>
    <n v="0"/>
    <n v="0"/>
    <x v="0"/>
    <x v="0"/>
    <m/>
    <x v="0"/>
    <x v="0"/>
    <x v="0"/>
    <x v="0"/>
    <x v="0"/>
    <n v="0"/>
    <n v="0"/>
    <n v="0"/>
    <n v="12"/>
    <x v="1"/>
    <x v="0"/>
    <m/>
    <x v="0"/>
    <n v="144.5"/>
    <x v="0"/>
    <x v="27"/>
    <x v="0"/>
    <x v="0"/>
    <x v="0"/>
  </r>
  <r>
    <x v="1"/>
    <x v="15"/>
    <s v="7622 J"/>
    <x v="251"/>
    <s v="B.M Packages Anarkali LHR"/>
    <s v="LDN"/>
    <n v="12"/>
    <s v="4.5-5/9-10"/>
    <s v="LDN"/>
    <n v="100"/>
    <x v="0"/>
    <n v="2"/>
    <n v="133"/>
    <n v="4.0999999999999996"/>
    <m/>
    <x v="0"/>
    <n v="128.9"/>
    <n v="128.9"/>
    <m/>
    <x v="0"/>
    <x v="0"/>
    <n v="0"/>
    <n v="0"/>
    <x v="0"/>
    <x v="0"/>
    <m/>
    <x v="0"/>
    <x v="0"/>
    <x v="0"/>
    <x v="0"/>
    <x v="0"/>
    <n v="0"/>
    <n v="0"/>
    <n v="0"/>
    <n v="12"/>
    <x v="1"/>
    <x v="0"/>
    <m/>
    <x v="0"/>
    <n v="138"/>
    <x v="0"/>
    <x v="27"/>
    <x v="0"/>
    <x v="0"/>
    <x v="0"/>
  </r>
  <r>
    <x v="1"/>
    <x v="15"/>
    <s v="2961 F"/>
    <x v="251"/>
    <s v="Usman Amin"/>
    <s v="LDN"/>
    <n v="19"/>
    <s v="8.5-9"/>
    <s v="LDN"/>
    <n v="1000"/>
    <x v="0"/>
    <n v="2"/>
    <n v="159"/>
    <n v="4.5999999999999996"/>
    <m/>
    <x v="0"/>
    <n v="154.4"/>
    <n v="1000.4"/>
    <m/>
    <x v="0"/>
    <x v="0"/>
    <n v="0"/>
    <n v="0"/>
    <x v="0"/>
    <x v="0"/>
    <m/>
    <x v="0"/>
    <x v="0"/>
    <x v="0"/>
    <x v="0"/>
    <x v="0"/>
    <n v="0"/>
    <n v="0"/>
    <n v="0"/>
    <n v="12"/>
    <x v="1"/>
    <x v="0"/>
    <m/>
    <x v="0"/>
    <n v="164"/>
    <x v="0"/>
    <x v="27"/>
    <x v="0"/>
    <x v="0"/>
    <x v="0"/>
  </r>
  <r>
    <x v="0"/>
    <x v="8"/>
    <s v="7754 J"/>
    <x v="252"/>
    <s v="Usman Arif Butt Gujranwala"/>
    <s v="LDN"/>
    <n v="7"/>
    <n v="10"/>
    <s v="LDN"/>
    <n v="150"/>
    <x v="0"/>
    <n v="2"/>
    <n v="97"/>
    <n v="1.6"/>
    <m/>
    <x v="0"/>
    <n v="95.4"/>
    <n v="138.75"/>
    <m/>
    <x v="0"/>
    <x v="0"/>
    <n v="0"/>
    <n v="0"/>
    <x v="0"/>
    <x v="0"/>
    <m/>
    <x v="0"/>
    <x v="0"/>
    <x v="0"/>
    <x v="0"/>
    <x v="0"/>
    <n v="0"/>
    <n v="0"/>
    <n v="0"/>
    <n v="12"/>
    <x v="1"/>
    <x v="0"/>
    <m/>
    <x v="0"/>
    <n v="102"/>
    <x v="0"/>
    <x v="27"/>
    <x v="0"/>
    <x v="0"/>
    <x v="0"/>
  </r>
  <r>
    <x v="0"/>
    <x v="8"/>
    <s v="7758 J"/>
    <x v="252"/>
    <s v="Usman Arif Butt Gujranwala"/>
    <s v="LDN"/>
    <n v="7"/>
    <n v="10"/>
    <s v="LDN"/>
    <n v="150"/>
    <x v="0"/>
    <n v="1"/>
    <n v="46.8"/>
    <n v="0.7"/>
    <m/>
    <x v="0"/>
    <n v="46.099999999999994"/>
    <n v="204.10000000000002"/>
    <m/>
    <x v="0"/>
    <x v="0"/>
    <n v="0"/>
    <n v="0"/>
    <x v="0"/>
    <x v="0"/>
    <m/>
    <x v="0"/>
    <x v="0"/>
    <x v="0"/>
    <x v="0"/>
    <x v="0"/>
    <n v="0"/>
    <n v="0"/>
    <n v="0"/>
    <n v="12"/>
    <x v="1"/>
    <x v="0"/>
    <m/>
    <x v="0"/>
    <n v="51.8"/>
    <x v="0"/>
    <x v="27"/>
    <x v="0"/>
    <x v="0"/>
    <x v="0"/>
  </r>
  <r>
    <x v="1"/>
    <x v="8"/>
    <s v="7758 J"/>
    <x v="252"/>
    <s v="Usman Arif Butt Gujranwala"/>
    <s v="LDN"/>
    <n v="7"/>
    <n v="10"/>
    <s v="LDN"/>
    <n v="150"/>
    <x v="0"/>
    <n v="2"/>
    <n v="105.8"/>
    <n v="1.6"/>
    <m/>
    <x v="0"/>
    <n v="104.2"/>
    <n v="204.10000000000002"/>
    <m/>
    <x v="0"/>
    <x v="0"/>
    <n v="0"/>
    <n v="0"/>
    <x v="0"/>
    <x v="0"/>
    <m/>
    <x v="0"/>
    <x v="0"/>
    <x v="0"/>
    <x v="0"/>
    <x v="0"/>
    <n v="0"/>
    <n v="0"/>
    <n v="0"/>
    <n v="12"/>
    <x v="1"/>
    <x v="0"/>
    <m/>
    <x v="0"/>
    <n v="110.8"/>
    <x v="0"/>
    <x v="27"/>
    <x v="0"/>
    <x v="0"/>
    <x v="0"/>
  </r>
  <r>
    <x v="1"/>
    <x v="8"/>
    <s v="7745 J"/>
    <x v="252"/>
    <s v="Usman Arif Butt Gujranwala"/>
    <s v="LDN"/>
    <n v="5"/>
    <n v="10"/>
    <s v="LDN"/>
    <n v="100"/>
    <x v="0"/>
    <n v="2"/>
    <n v="65.099999999999994"/>
    <n v="1.5"/>
    <n v="3"/>
    <x v="0"/>
    <n v="63.599999999999994"/>
    <n v="99.3"/>
    <m/>
    <x v="0"/>
    <x v="0"/>
    <n v="0"/>
    <n v="0"/>
    <x v="0"/>
    <x v="0"/>
    <m/>
    <x v="0"/>
    <x v="0"/>
    <x v="0"/>
    <x v="0"/>
    <x v="0"/>
    <n v="0"/>
    <n v="0"/>
    <n v="0"/>
    <n v="12"/>
    <x v="1"/>
    <x v="0"/>
    <m/>
    <x v="0"/>
    <n v="70.099999999999994"/>
    <x v="0"/>
    <x v="27"/>
    <x v="0"/>
    <x v="0"/>
    <x v="0"/>
  </r>
  <r>
    <x v="0"/>
    <x v="9"/>
    <s v="7749 J"/>
    <x v="252"/>
    <s v="Usman Arif Butt Gujranwala"/>
    <s v="LDN"/>
    <n v="6"/>
    <n v="10"/>
    <s v="LDN"/>
    <n v="100"/>
    <x v="0"/>
    <n v="2"/>
    <n v="80.5"/>
    <n v="1.6"/>
    <m/>
    <x v="0"/>
    <n v="78.900000000000006"/>
    <n v="146.29999999999998"/>
    <m/>
    <x v="0"/>
    <x v="0"/>
    <n v="0"/>
    <n v="0"/>
    <x v="0"/>
    <x v="0"/>
    <m/>
    <x v="0"/>
    <x v="0"/>
    <x v="0"/>
    <x v="0"/>
    <x v="0"/>
    <n v="0"/>
    <n v="0"/>
    <n v="0"/>
    <n v="12"/>
    <x v="1"/>
    <x v="0"/>
    <m/>
    <x v="0"/>
    <n v="85.5"/>
    <x v="0"/>
    <x v="27"/>
    <x v="0"/>
    <x v="0"/>
    <x v="0"/>
  </r>
  <r>
    <x v="0"/>
    <x v="9"/>
    <s v="7753 J"/>
    <x v="252"/>
    <s v="Usman Arif Butt Gujranwala"/>
    <s v="LDN"/>
    <n v="6"/>
    <n v="10"/>
    <s v="LDN"/>
    <n v="100"/>
    <x v="0"/>
    <n v="1"/>
    <n v="41.9"/>
    <n v="0.6"/>
    <m/>
    <x v="0"/>
    <n v="41.3"/>
    <n v="112.8"/>
    <m/>
    <x v="0"/>
    <x v="0"/>
    <n v="0"/>
    <n v="0"/>
    <x v="0"/>
    <x v="0"/>
    <m/>
    <x v="0"/>
    <x v="0"/>
    <x v="0"/>
    <x v="0"/>
    <x v="0"/>
    <n v="0"/>
    <n v="0"/>
    <n v="0"/>
    <n v="12"/>
    <x v="1"/>
    <x v="0"/>
    <m/>
    <x v="0"/>
    <n v="46.9"/>
    <x v="0"/>
    <x v="27"/>
    <x v="0"/>
    <x v="0"/>
    <x v="0"/>
  </r>
  <r>
    <x v="1"/>
    <x v="9"/>
    <s v="7753 J"/>
    <x v="252"/>
    <s v="Usman Arif Butt Gujranwala"/>
    <s v="LDN"/>
    <n v="6"/>
    <n v="10"/>
    <s v="LDN"/>
    <n v="100"/>
    <x v="0"/>
    <n v="2"/>
    <n v="73.099999999999994"/>
    <n v="1.6"/>
    <m/>
    <x v="0"/>
    <n v="71.5"/>
    <n v="112.8"/>
    <m/>
    <x v="0"/>
    <x v="0"/>
    <n v="0"/>
    <n v="0"/>
    <x v="0"/>
    <x v="0"/>
    <m/>
    <x v="0"/>
    <x v="0"/>
    <x v="0"/>
    <x v="0"/>
    <x v="0"/>
    <n v="0"/>
    <n v="0"/>
    <n v="0"/>
    <n v="12"/>
    <x v="1"/>
    <x v="0"/>
    <m/>
    <x v="0"/>
    <n v="78.099999999999994"/>
    <x v="0"/>
    <x v="27"/>
    <x v="0"/>
    <x v="0"/>
    <x v="0"/>
  </r>
  <r>
    <x v="1"/>
    <x v="9"/>
    <s v="7749 J"/>
    <x v="252"/>
    <s v="Usman Arif Butt Gujranwala"/>
    <s v="LDN"/>
    <n v="6"/>
    <n v="10"/>
    <s v="LDN"/>
    <n v="100"/>
    <x v="0"/>
    <n v="1"/>
    <n v="28.5"/>
    <n v="0.8"/>
    <n v="2"/>
    <x v="0"/>
    <n v="27.7"/>
    <n v="146.29999999999998"/>
    <m/>
    <x v="0"/>
    <x v="0"/>
    <n v="0"/>
    <n v="0"/>
    <x v="0"/>
    <x v="0"/>
    <m/>
    <x v="0"/>
    <x v="0"/>
    <x v="0"/>
    <x v="0"/>
    <x v="0"/>
    <n v="0"/>
    <n v="0"/>
    <n v="0"/>
    <n v="12"/>
    <x v="1"/>
    <x v="0"/>
    <m/>
    <x v="0"/>
    <n v="33.5"/>
    <x v="0"/>
    <x v="27"/>
    <x v="0"/>
    <x v="0"/>
    <x v="0"/>
  </r>
  <r>
    <x v="1"/>
    <x v="9"/>
    <s v="7757 J"/>
    <x v="252"/>
    <s v="Usman Arif Butt Gujranwala"/>
    <s v="LDN"/>
    <n v="6"/>
    <n v="10"/>
    <s v="LDN"/>
    <n v="100"/>
    <x v="0"/>
    <n v="1"/>
    <n v="53.5"/>
    <n v="0.6"/>
    <m/>
    <x v="0"/>
    <n v="52.9"/>
    <n v="100.4"/>
    <m/>
    <x v="0"/>
    <x v="0"/>
    <n v="0"/>
    <n v="0"/>
    <x v="0"/>
    <x v="0"/>
    <m/>
    <x v="0"/>
    <x v="0"/>
    <x v="0"/>
    <x v="0"/>
    <x v="0"/>
    <n v="0"/>
    <n v="0"/>
    <n v="0"/>
    <n v="12"/>
    <x v="1"/>
    <x v="0"/>
    <m/>
    <x v="0"/>
    <n v="58.5"/>
    <x v="0"/>
    <x v="27"/>
    <x v="0"/>
    <x v="0"/>
    <x v="0"/>
  </r>
  <r>
    <x v="0"/>
    <x v="11"/>
    <s v="7578 J"/>
    <x v="252"/>
    <s v="The Kids Mall Lahore"/>
    <s v="LDM"/>
    <n v="14.5"/>
    <s v="12.5-13"/>
    <s v="LDM"/>
    <n v="500"/>
    <x v="0"/>
    <n v="5"/>
    <n v="401.2"/>
    <n v="8.5"/>
    <n v="5"/>
    <x v="0"/>
    <n v="392.7"/>
    <n v="505.3"/>
    <m/>
    <x v="0"/>
    <x v="0"/>
    <n v="0"/>
    <n v="0"/>
    <x v="0"/>
    <x v="0"/>
    <m/>
    <x v="2"/>
    <x v="0"/>
    <x v="0"/>
    <x v="0"/>
    <x v="0"/>
    <n v="5"/>
    <n v="8.3333333333333329E-2"/>
    <n v="8.3333333333333329E-2"/>
    <n v="11.916666666666666"/>
    <x v="1"/>
    <x v="0"/>
    <m/>
    <x v="0"/>
    <n v="406.2"/>
    <x v="0"/>
    <x v="27"/>
    <x v="0"/>
    <x v="0"/>
    <x v="0"/>
  </r>
  <r>
    <x v="1"/>
    <x v="11"/>
    <s v="7578 J"/>
    <x v="252"/>
    <s v="The Kids Mall Lahore"/>
    <s v="LDM"/>
    <n v="14.5"/>
    <s v="12.5-13"/>
    <s v="LDM"/>
    <n v="500"/>
    <x v="0"/>
    <n v="2"/>
    <n v="116.2"/>
    <n v="3.6"/>
    <n v="6"/>
    <x v="0"/>
    <n v="112.60000000000001"/>
    <n v="505.3"/>
    <m/>
    <x v="0"/>
    <x v="0"/>
    <n v="0"/>
    <n v="0"/>
    <x v="0"/>
    <x v="0"/>
    <m/>
    <x v="0"/>
    <x v="0"/>
    <x v="0"/>
    <x v="0"/>
    <x v="0"/>
    <n v="0"/>
    <n v="0"/>
    <n v="0"/>
    <n v="12"/>
    <x v="1"/>
    <x v="0"/>
    <m/>
    <x v="0"/>
    <n v="121.2"/>
    <x v="0"/>
    <x v="27"/>
    <x v="0"/>
    <x v="0"/>
    <x v="0"/>
  </r>
  <r>
    <x v="1"/>
    <x v="11"/>
    <s v="7607 J"/>
    <x v="252"/>
    <s v="Nimir Chemicoats Limited Kharian Wala"/>
    <s v="LDM"/>
    <n v="14"/>
    <s v="25-26"/>
    <s v="LDM"/>
    <n v="1000"/>
    <x v="0"/>
    <n v="3"/>
    <n v="260.5"/>
    <n v="5.34"/>
    <m/>
    <x v="0"/>
    <n v="255.16"/>
    <n v="1007.1600000000001"/>
    <n v="5"/>
    <x v="0"/>
    <x v="0"/>
    <n v="5"/>
    <n v="8.3333333333333329E-2"/>
    <x v="0"/>
    <x v="0"/>
    <m/>
    <x v="0"/>
    <x v="0"/>
    <x v="0"/>
    <x v="0"/>
    <x v="0"/>
    <n v="0"/>
    <n v="0"/>
    <n v="8.3333333333333329E-2"/>
    <n v="11.916666666666666"/>
    <x v="1"/>
    <x v="0"/>
    <m/>
    <x v="0"/>
    <n v="265.5"/>
    <x v="0"/>
    <x v="27"/>
    <x v="0"/>
    <x v="0"/>
    <x v="0"/>
  </r>
  <r>
    <x v="0"/>
    <x v="13"/>
    <s v="2984 F"/>
    <x v="252"/>
    <s v="Usman Amin"/>
    <s v="LDN"/>
    <n v="24"/>
    <s v="8-8.5"/>
    <s v="LDN"/>
    <n v="1800"/>
    <x v="0"/>
    <n v="6"/>
    <n v="546.70000000000005"/>
    <n v="17.399999999999999"/>
    <m/>
    <x v="0"/>
    <n v="529.30000000000007"/>
    <n v="1860"/>
    <m/>
    <x v="0"/>
    <x v="0"/>
    <n v="0"/>
    <n v="0"/>
    <x v="0"/>
    <x v="0"/>
    <m/>
    <x v="0"/>
    <x v="0"/>
    <x v="0"/>
    <x v="0"/>
    <x v="0"/>
    <n v="0"/>
    <n v="0"/>
    <n v="0"/>
    <n v="12"/>
    <x v="1"/>
    <x v="0"/>
    <m/>
    <x v="0"/>
    <n v="551.70000000000005"/>
    <x v="0"/>
    <x v="27"/>
    <x v="0"/>
    <x v="0"/>
    <x v="0"/>
  </r>
  <r>
    <x v="0"/>
    <x v="13"/>
    <s v="2992 F"/>
    <x v="252"/>
    <s v="Usman Amin"/>
    <s v="LDN"/>
    <n v="25"/>
    <s v="7"/>
    <s v="LDN"/>
    <n v="225"/>
    <x v="0"/>
    <n v="1"/>
    <n v="99"/>
    <n v="3"/>
    <n v="9"/>
    <x v="0"/>
    <n v="96"/>
    <n v="241.6"/>
    <n v="5"/>
    <x v="0"/>
    <x v="0"/>
    <n v="5"/>
    <n v="8.3333333333333329E-2"/>
    <x v="0"/>
    <x v="0"/>
    <m/>
    <x v="2"/>
    <x v="0"/>
    <x v="0"/>
    <x v="0"/>
    <x v="0"/>
    <n v="5"/>
    <n v="8.3333333333333329E-2"/>
    <n v="0.16666666666666666"/>
    <n v="11.833333333333334"/>
    <x v="1"/>
    <x v="0"/>
    <m/>
    <x v="0"/>
    <n v="104"/>
    <x v="0"/>
    <x v="27"/>
    <x v="0"/>
    <x v="0"/>
    <x v="0"/>
  </r>
  <r>
    <x v="1"/>
    <x v="13"/>
    <s v="2984 F"/>
    <x v="252"/>
    <s v="Usman Amin"/>
    <s v="LDN"/>
    <n v="24"/>
    <s v="8-8.5"/>
    <s v="LDN"/>
    <n v="1800"/>
    <x v="0"/>
    <n v="5"/>
    <n v="455"/>
    <n v="16.5"/>
    <n v="9"/>
    <x v="0"/>
    <n v="438.5"/>
    <n v="1860"/>
    <m/>
    <x v="0"/>
    <x v="0"/>
    <n v="0"/>
    <n v="0"/>
    <x v="0"/>
    <x v="0"/>
    <m/>
    <x v="0"/>
    <x v="0"/>
    <x v="0"/>
    <x v="0"/>
    <x v="0"/>
    <n v="0"/>
    <n v="0"/>
    <n v="0"/>
    <n v="12"/>
    <x v="1"/>
    <x v="0"/>
    <m/>
    <x v="0"/>
    <n v="460"/>
    <x v="0"/>
    <x v="27"/>
    <x v="0"/>
    <x v="0"/>
    <x v="0"/>
  </r>
  <r>
    <x v="0"/>
    <x v="14"/>
    <s v="2855/1"/>
    <x v="252"/>
    <s v="MATCO FOOD"/>
    <s v="LDN"/>
    <s v="22.5-23"/>
    <s v="70±2"/>
    <s v="LDN"/>
    <n v="7700"/>
    <x v="0"/>
    <n v="1"/>
    <n v="149"/>
    <n v="3"/>
    <n v="30"/>
    <x v="0"/>
    <n v="146"/>
    <n v="9255.0999999999985"/>
    <m/>
    <x v="0"/>
    <x v="0"/>
    <n v="0"/>
    <n v="0"/>
    <x v="0"/>
    <x v="0"/>
    <n v="180"/>
    <x v="0"/>
    <x v="0"/>
    <x v="0"/>
    <x v="6"/>
    <x v="0"/>
    <n v="240"/>
    <n v="4"/>
    <n v="4"/>
    <n v="8"/>
    <x v="1"/>
    <x v="0"/>
    <m/>
    <x v="0"/>
    <n v="154"/>
    <x v="0"/>
    <x v="27"/>
    <x v="0"/>
    <x v="0"/>
    <x v="0"/>
  </r>
  <r>
    <x v="0"/>
    <x v="14"/>
    <s v="277 R"/>
    <x v="252"/>
    <s v="ریفلیکٹ پیک"/>
    <s v="LDN"/>
    <n v="23"/>
    <s v="18-19"/>
    <s v="LDN"/>
    <n v="3000"/>
    <x v="0"/>
    <n v="3"/>
    <n v="279.5"/>
    <n v="6"/>
    <m/>
    <x v="0"/>
    <n v="273.5"/>
    <n v="2682.6"/>
    <m/>
    <x v="0"/>
    <x v="0"/>
    <n v="0"/>
    <n v="0"/>
    <x v="0"/>
    <x v="0"/>
    <m/>
    <x v="0"/>
    <x v="0"/>
    <x v="0"/>
    <x v="0"/>
    <x v="0"/>
    <n v="0"/>
    <n v="0"/>
    <n v="0"/>
    <n v="12"/>
    <x v="1"/>
    <x v="0"/>
    <m/>
    <x v="0"/>
    <n v="284.5"/>
    <x v="0"/>
    <x v="27"/>
    <x v="0"/>
    <x v="0"/>
    <x v="0"/>
  </r>
  <r>
    <x v="1"/>
    <x v="14"/>
    <s v="277 R"/>
    <x v="252"/>
    <s v="ریفلیکٹ پیک"/>
    <s v="LDN"/>
    <n v="23"/>
    <s v="18-19"/>
    <s v="LDN"/>
    <n v="3000"/>
    <x v="0"/>
    <n v="6"/>
    <n v="686.5"/>
    <n v="12.1"/>
    <n v="28"/>
    <x v="0"/>
    <n v="674.4"/>
    <n v="2682.6"/>
    <m/>
    <x v="0"/>
    <x v="0"/>
    <n v="0"/>
    <n v="0"/>
    <x v="0"/>
    <x v="0"/>
    <m/>
    <x v="0"/>
    <x v="0"/>
    <x v="0"/>
    <x v="0"/>
    <x v="0"/>
    <n v="0"/>
    <n v="0"/>
    <n v="0"/>
    <n v="12"/>
    <x v="1"/>
    <x v="0"/>
    <m/>
    <x v="0"/>
    <n v="691.5"/>
    <x v="0"/>
    <x v="27"/>
    <x v="0"/>
    <x v="0"/>
    <x v="0"/>
  </r>
  <r>
    <x v="0"/>
    <x v="15"/>
    <s v="2961 F"/>
    <x v="252"/>
    <s v="Usman Amin"/>
    <s v="LDN"/>
    <n v="19"/>
    <s v="8.5-9"/>
    <s v="LDN"/>
    <n v="1000"/>
    <x v="0"/>
    <n v="3"/>
    <n v="171.5"/>
    <n v="6.8999999999999995"/>
    <m/>
    <x v="0"/>
    <n v="164.6"/>
    <n v="1000.4"/>
    <m/>
    <x v="0"/>
    <x v="0"/>
    <n v="0"/>
    <n v="0"/>
    <x v="0"/>
    <x v="0"/>
    <m/>
    <x v="0"/>
    <x v="0"/>
    <x v="0"/>
    <x v="0"/>
    <x v="0"/>
    <n v="0"/>
    <n v="0"/>
    <n v="0"/>
    <n v="12"/>
    <x v="1"/>
    <x v="0"/>
    <m/>
    <x v="0"/>
    <n v="176.5"/>
    <x v="0"/>
    <x v="27"/>
    <x v="0"/>
    <x v="0"/>
    <x v="0"/>
  </r>
  <r>
    <x v="0"/>
    <x v="15"/>
    <s v="2983 F"/>
    <x v="252"/>
    <s v="Usman Amin"/>
    <s v="LDN"/>
    <n v="19"/>
    <s v="5-5.5"/>
    <s v="LDN"/>
    <n v="55"/>
    <x v="0"/>
    <n v="4"/>
    <n v="221.5"/>
    <n v="6"/>
    <m/>
    <x v="0"/>
    <n v="215.5"/>
    <n v="215.5"/>
    <n v="10"/>
    <x v="0"/>
    <x v="0"/>
    <n v="10"/>
    <n v="0.16666666666666666"/>
    <x v="0"/>
    <x v="0"/>
    <m/>
    <x v="0"/>
    <x v="0"/>
    <x v="0"/>
    <x v="0"/>
    <x v="0"/>
    <n v="0"/>
    <n v="0"/>
    <n v="0.16666666666666666"/>
    <n v="11.833333333333334"/>
    <x v="1"/>
    <x v="0"/>
    <m/>
    <x v="0"/>
    <n v="226.5"/>
    <x v="0"/>
    <x v="27"/>
    <x v="0"/>
    <x v="0"/>
    <x v="0"/>
  </r>
  <r>
    <x v="0"/>
    <x v="15"/>
    <s v="2982 F"/>
    <x v="252"/>
    <s v="Usman Amin"/>
    <s v="LDN"/>
    <n v="21"/>
    <s v="7-7.5"/>
    <s v="LDN"/>
    <n v="500"/>
    <x v="0"/>
    <n v="1"/>
    <n v="63.5"/>
    <n v="2.6"/>
    <n v="10"/>
    <x v="0"/>
    <n v="60.9"/>
    <n v="459.09999999999997"/>
    <n v="10"/>
    <x v="0"/>
    <x v="0"/>
    <n v="10"/>
    <n v="0.16666666666666666"/>
    <x v="0"/>
    <x v="0"/>
    <m/>
    <x v="0"/>
    <x v="0"/>
    <x v="0"/>
    <x v="0"/>
    <x v="0"/>
    <n v="0"/>
    <n v="0"/>
    <n v="0.16666666666666666"/>
    <n v="11.833333333333334"/>
    <x v="1"/>
    <x v="0"/>
    <m/>
    <x v="0"/>
    <n v="68.5"/>
    <x v="0"/>
    <x v="27"/>
    <x v="0"/>
    <x v="0"/>
    <x v="0"/>
  </r>
  <r>
    <x v="1"/>
    <x v="15"/>
    <s v="2982 F"/>
    <x v="252"/>
    <s v="Usman Amin"/>
    <s v="LDN"/>
    <n v="21"/>
    <s v="7-7.5"/>
    <s v="LDN"/>
    <n v="500"/>
    <x v="0"/>
    <n v="6"/>
    <n v="412"/>
    <n v="13.799999999999999"/>
    <n v="8"/>
    <x v="0"/>
    <n v="398.2"/>
    <n v="459.09999999999997"/>
    <m/>
    <x v="0"/>
    <x v="0"/>
    <n v="0"/>
    <n v="0"/>
    <x v="0"/>
    <x v="0"/>
    <m/>
    <x v="0"/>
    <x v="0"/>
    <x v="0"/>
    <x v="0"/>
    <x v="0"/>
    <n v="0"/>
    <n v="0"/>
    <n v="0"/>
    <n v="12"/>
    <x v="1"/>
    <x v="0"/>
    <m/>
    <x v="0"/>
    <n v="417"/>
    <x v="0"/>
    <x v="27"/>
    <x v="0"/>
    <x v="0"/>
    <x v="0"/>
  </r>
  <r>
    <x v="0"/>
    <x v="8"/>
    <s v="7745 J"/>
    <x v="253"/>
    <s v="Usman Arif Butt Gujranwala"/>
    <s v="LDN"/>
    <n v="5"/>
    <n v="10"/>
    <s v="LDN"/>
    <n v="100"/>
    <x v="0"/>
    <n v="1"/>
    <n v="36.200000000000003"/>
    <n v="0.5"/>
    <m/>
    <x v="0"/>
    <n v="35.700000000000003"/>
    <n v="99.3"/>
    <m/>
    <x v="0"/>
    <x v="0"/>
    <n v="0"/>
    <n v="0"/>
    <x v="0"/>
    <x v="0"/>
    <m/>
    <x v="0"/>
    <x v="0"/>
    <x v="0"/>
    <x v="0"/>
    <x v="0"/>
    <n v="0"/>
    <n v="0"/>
    <n v="0"/>
    <n v="12"/>
    <x v="1"/>
    <x v="0"/>
    <m/>
    <x v="0"/>
    <n v="41.2"/>
    <x v="0"/>
    <x v="27"/>
    <x v="0"/>
    <x v="0"/>
    <x v="0"/>
  </r>
  <r>
    <x v="0"/>
    <x v="8"/>
    <s v="7748 J"/>
    <x v="253"/>
    <s v="Usman Arif Butt Gujranwala"/>
    <s v="LDN"/>
    <n v="5"/>
    <n v="10"/>
    <s v="LDN"/>
    <n v="200"/>
    <x v="0"/>
    <n v="3"/>
    <n v="107.2"/>
    <n v="2.0999999999999996"/>
    <m/>
    <x v="0"/>
    <n v="105.10000000000001"/>
    <n v="200"/>
    <m/>
    <x v="0"/>
    <x v="0"/>
    <n v="0"/>
    <n v="0"/>
    <x v="0"/>
    <x v="0"/>
    <m/>
    <x v="0"/>
    <x v="0"/>
    <x v="0"/>
    <x v="0"/>
    <x v="0"/>
    <n v="0"/>
    <n v="0"/>
    <n v="0"/>
    <n v="12"/>
    <x v="1"/>
    <x v="0"/>
    <m/>
    <x v="0"/>
    <n v="112.2"/>
    <x v="0"/>
    <x v="27"/>
    <x v="0"/>
    <x v="0"/>
    <x v="0"/>
  </r>
  <r>
    <x v="1"/>
    <x v="8"/>
    <s v="7748 J"/>
    <x v="253"/>
    <s v="Usman Arif Butt Gujranwala"/>
    <s v="LDN"/>
    <n v="5"/>
    <n v="10"/>
    <s v="LDN"/>
    <n v="200"/>
    <x v="0"/>
    <n v="3"/>
    <n v="97"/>
    <n v="2.0999999999999996"/>
    <m/>
    <x v="0"/>
    <n v="94.9"/>
    <n v="200"/>
    <m/>
    <x v="0"/>
    <x v="0"/>
    <n v="0"/>
    <n v="0"/>
    <x v="0"/>
    <x v="0"/>
    <m/>
    <x v="0"/>
    <x v="0"/>
    <x v="0"/>
    <x v="0"/>
    <x v="0"/>
    <n v="0"/>
    <n v="0"/>
    <n v="0"/>
    <n v="12"/>
    <x v="1"/>
    <x v="0"/>
    <m/>
    <x v="0"/>
    <n v="102"/>
    <x v="0"/>
    <x v="27"/>
    <x v="0"/>
    <x v="0"/>
    <x v="0"/>
  </r>
  <r>
    <x v="1"/>
    <x v="8"/>
    <s v="7752 J"/>
    <x v="253"/>
    <s v="Usman Arif Butt Gujranwala"/>
    <s v="LDN"/>
    <n v="5"/>
    <n v="10"/>
    <s v="LDN"/>
    <n v="120"/>
    <x v="0"/>
    <n v="2"/>
    <n v="56.95"/>
    <n v="1.4"/>
    <n v="2"/>
    <x v="0"/>
    <n v="55.550000000000004"/>
    <n v="156.65"/>
    <m/>
    <x v="0"/>
    <x v="0"/>
    <n v="0"/>
    <n v="0"/>
    <x v="0"/>
    <x v="0"/>
    <m/>
    <x v="0"/>
    <x v="0"/>
    <x v="0"/>
    <x v="0"/>
    <x v="0"/>
    <n v="0"/>
    <n v="0"/>
    <n v="0"/>
    <n v="12"/>
    <x v="1"/>
    <x v="0"/>
    <m/>
    <x v="0"/>
    <n v="61.95"/>
    <x v="0"/>
    <x v="27"/>
    <x v="0"/>
    <x v="0"/>
    <x v="0"/>
  </r>
  <r>
    <x v="0"/>
    <x v="9"/>
    <s v="7757 J"/>
    <x v="253"/>
    <s v="Usman Arif Butt Gujranwala"/>
    <s v="LDN"/>
    <n v="6"/>
    <n v="10"/>
    <s v="LDN"/>
    <n v="100"/>
    <x v="0"/>
    <n v="1"/>
    <n v="48.2"/>
    <n v="0.7"/>
    <m/>
    <x v="0"/>
    <n v="47.5"/>
    <n v="100.4"/>
    <m/>
    <x v="0"/>
    <x v="0"/>
    <n v="0"/>
    <n v="0"/>
    <x v="0"/>
    <x v="0"/>
    <m/>
    <x v="0"/>
    <x v="0"/>
    <x v="0"/>
    <x v="0"/>
    <x v="0"/>
    <n v="0"/>
    <n v="0"/>
    <n v="0"/>
    <n v="12"/>
    <x v="1"/>
    <x v="0"/>
    <m/>
    <x v="0"/>
    <n v="53.2"/>
    <x v="0"/>
    <x v="27"/>
    <x v="0"/>
    <x v="0"/>
    <x v="0"/>
  </r>
  <r>
    <x v="0"/>
    <x v="9"/>
    <s v="2860/1"/>
    <x v="253"/>
    <s v="MUBEEN PLASTIC RWP"/>
    <s v="LDM"/>
    <n v="6"/>
    <n v="18"/>
    <s v="SL"/>
    <n v="250"/>
    <x v="0"/>
    <n v="3"/>
    <n v="101.9"/>
    <n v="2.0999999999999996"/>
    <m/>
    <x v="0"/>
    <n v="99.800000000000011"/>
    <n v="253.5"/>
    <m/>
    <x v="0"/>
    <x v="0"/>
    <n v="0"/>
    <n v="0"/>
    <x v="0"/>
    <x v="0"/>
    <m/>
    <x v="0"/>
    <x v="0"/>
    <x v="0"/>
    <x v="0"/>
    <x v="0"/>
    <n v="0"/>
    <n v="0"/>
    <n v="0"/>
    <n v="12"/>
    <x v="1"/>
    <x v="0"/>
    <m/>
    <x v="0"/>
    <n v="106.9"/>
    <x v="0"/>
    <x v="27"/>
    <x v="0"/>
    <x v="0"/>
    <x v="0"/>
  </r>
  <r>
    <x v="1"/>
    <x v="9"/>
    <s v="2860/1"/>
    <x v="253"/>
    <s v="MUBEEN PLASTIC RWP"/>
    <s v="LDM"/>
    <n v="6"/>
    <n v="18"/>
    <s v="SL"/>
    <n v="250"/>
    <x v="0"/>
    <n v="4"/>
    <n v="156.5"/>
    <n v="2.8"/>
    <m/>
    <x v="0"/>
    <n v="153.69999999999999"/>
    <n v="253.5"/>
    <n v="2"/>
    <x v="0"/>
    <x v="0"/>
    <n v="2"/>
    <n v="3.3333333333333333E-2"/>
    <x v="0"/>
    <x v="0"/>
    <m/>
    <x v="0"/>
    <x v="0"/>
    <x v="0"/>
    <x v="0"/>
    <x v="0"/>
    <n v="0"/>
    <n v="0"/>
    <n v="3.3333333333333333E-2"/>
    <n v="11.966666666666667"/>
    <x v="1"/>
    <x v="0"/>
    <m/>
    <x v="0"/>
    <n v="161.5"/>
    <x v="0"/>
    <x v="27"/>
    <x v="0"/>
    <x v="0"/>
    <x v="0"/>
  </r>
  <r>
    <x v="1"/>
    <x v="9"/>
    <s v="2859/1"/>
    <x v="253"/>
    <s v="EMARAT PLASTIC CHONG (PT-02)"/>
    <s v="LDM"/>
    <n v="7.5"/>
    <n v="10"/>
    <s v="AA"/>
    <n v="100"/>
    <x v="0"/>
    <n v="1"/>
    <n v="36.6"/>
    <n v="0.8"/>
    <n v="3"/>
    <x v="0"/>
    <n v="35.800000000000004"/>
    <n v="96.9"/>
    <m/>
    <x v="0"/>
    <x v="0"/>
    <n v="0"/>
    <n v="0"/>
    <x v="0"/>
    <x v="0"/>
    <m/>
    <x v="0"/>
    <x v="0"/>
    <x v="0"/>
    <x v="0"/>
    <x v="0"/>
    <n v="0"/>
    <n v="0"/>
    <n v="0"/>
    <n v="12"/>
    <x v="1"/>
    <x v="0"/>
    <m/>
    <x v="0"/>
    <n v="41.6"/>
    <x v="0"/>
    <x v="27"/>
    <x v="0"/>
    <x v="0"/>
    <x v="0"/>
  </r>
  <r>
    <x v="0"/>
    <x v="11"/>
    <s v="7607 J"/>
    <x v="253"/>
    <s v="Nimir Chemicoats Limited Kharian Wala"/>
    <s v="LDM"/>
    <n v="14"/>
    <s v="25-26"/>
    <s v="LDM"/>
    <n v="1000"/>
    <x v="0"/>
    <n v="4"/>
    <n v="340"/>
    <n v="7.2"/>
    <n v="6"/>
    <x v="0"/>
    <n v="332.8"/>
    <n v="1007.1600000000001"/>
    <m/>
    <x v="0"/>
    <x v="0"/>
    <n v="0"/>
    <n v="0"/>
    <x v="0"/>
    <x v="0"/>
    <m/>
    <x v="0"/>
    <x v="0"/>
    <x v="0"/>
    <x v="0"/>
    <x v="0"/>
    <n v="0"/>
    <n v="0"/>
    <n v="0"/>
    <n v="12"/>
    <x v="1"/>
    <x v="0"/>
    <m/>
    <x v="0"/>
    <n v="345"/>
    <x v="0"/>
    <x v="27"/>
    <x v="0"/>
    <x v="0"/>
    <x v="0"/>
  </r>
  <r>
    <x v="1"/>
    <x v="11"/>
    <s v="7607 J"/>
    <x v="253"/>
    <s v="Nimir Chemicoats Limited Kharian Wala"/>
    <s v="LDM"/>
    <n v="14"/>
    <s v="25-26"/>
    <s v="LDM"/>
    <n v="1000"/>
    <x v="0"/>
    <n v="4"/>
    <n v="426"/>
    <n v="6.8"/>
    <n v="7"/>
    <x v="0"/>
    <n v="419.2"/>
    <n v="1007.1600000000001"/>
    <n v="5"/>
    <x v="0"/>
    <x v="0"/>
    <n v="5"/>
    <n v="8.3333333333333329E-2"/>
    <x v="0"/>
    <x v="0"/>
    <m/>
    <x v="1"/>
    <x v="0"/>
    <x v="0"/>
    <x v="0"/>
    <x v="0"/>
    <n v="10"/>
    <n v="0.16666666666666666"/>
    <n v="0.25"/>
    <n v="11.75"/>
    <x v="1"/>
    <x v="0"/>
    <m/>
    <x v="0"/>
    <n v="431"/>
    <x v="0"/>
    <x v="27"/>
    <x v="0"/>
    <x v="0"/>
    <x v="0"/>
  </r>
  <r>
    <x v="0"/>
    <x v="13"/>
    <s v="2984 F"/>
    <x v="253"/>
    <s v="Usman Amin"/>
    <s v="LDN"/>
    <n v="24"/>
    <s v="8-8.5"/>
    <s v="LDN"/>
    <n v="1800"/>
    <x v="0"/>
    <n v="6"/>
    <n v="523"/>
    <n v="11.7"/>
    <n v="13"/>
    <x v="0"/>
    <n v="511.3"/>
    <n v="1860"/>
    <m/>
    <x v="0"/>
    <x v="0"/>
    <n v="0"/>
    <n v="0"/>
    <x v="0"/>
    <x v="0"/>
    <m/>
    <x v="0"/>
    <x v="0"/>
    <x v="0"/>
    <x v="0"/>
    <x v="0"/>
    <n v="0"/>
    <n v="0"/>
    <n v="0"/>
    <n v="12"/>
    <x v="1"/>
    <x v="0"/>
    <m/>
    <x v="0"/>
    <n v="528"/>
    <x v="0"/>
    <x v="27"/>
    <x v="0"/>
    <x v="0"/>
    <x v="0"/>
  </r>
  <r>
    <x v="1"/>
    <x v="13"/>
    <s v="2973 F"/>
    <x v="253"/>
    <s v="Usman Amin"/>
    <s v="LDN"/>
    <n v="26"/>
    <s v="7"/>
    <s v="LDN"/>
    <n v="160"/>
    <x v="0"/>
    <n v="2"/>
    <n v="162"/>
    <n v="6.6"/>
    <n v="14"/>
    <x v="0"/>
    <n v="155.4"/>
    <n v="155.4"/>
    <n v="3"/>
    <x v="0"/>
    <x v="0"/>
    <n v="3"/>
    <n v="0.05"/>
    <x v="0"/>
    <x v="0"/>
    <m/>
    <x v="0"/>
    <x v="0"/>
    <x v="0"/>
    <x v="0"/>
    <x v="0"/>
    <n v="0"/>
    <n v="0"/>
    <n v="0.05"/>
    <n v="11.95"/>
    <x v="1"/>
    <x v="0"/>
    <m/>
    <x v="0"/>
    <n v="167"/>
    <x v="0"/>
    <x v="27"/>
    <x v="0"/>
    <x v="0"/>
    <x v="0"/>
  </r>
  <r>
    <x v="1"/>
    <x v="13"/>
    <s v="2965 F"/>
    <x v="253"/>
    <s v="Usman Amin"/>
    <s v="LDN"/>
    <n v="26"/>
    <s v="12"/>
    <s v="LDN"/>
    <n v="100"/>
    <x v="0"/>
    <n v="2"/>
    <n v="101"/>
    <n v="6.6"/>
    <m/>
    <x v="0"/>
    <n v="94.4"/>
    <n v="94.4"/>
    <n v="2"/>
    <x v="0"/>
    <x v="0"/>
    <n v="2"/>
    <n v="3.3333333333333333E-2"/>
    <x v="0"/>
    <x v="0"/>
    <m/>
    <x v="0"/>
    <x v="0"/>
    <x v="0"/>
    <x v="0"/>
    <x v="0"/>
    <n v="0"/>
    <n v="0"/>
    <n v="3.3333333333333333E-2"/>
    <n v="11.966666666666667"/>
    <x v="1"/>
    <x v="0"/>
    <m/>
    <x v="0"/>
    <n v="106"/>
    <x v="0"/>
    <x v="27"/>
    <x v="0"/>
    <x v="0"/>
    <x v="0"/>
  </r>
  <r>
    <x v="1"/>
    <x v="13"/>
    <s v="2966 F"/>
    <x v="253"/>
    <s v="Usman Amin"/>
    <s v="LDN"/>
    <n v="28"/>
    <s v="12"/>
    <s v="LDN"/>
    <n v="110"/>
    <x v="0"/>
    <n v="1"/>
    <n v="120"/>
    <n v="3.5"/>
    <m/>
    <x v="0"/>
    <n v="116.5"/>
    <n v="116.5"/>
    <n v="5"/>
    <x v="0"/>
    <x v="0"/>
    <n v="5"/>
    <n v="8.3333333333333329E-2"/>
    <x v="0"/>
    <x v="0"/>
    <m/>
    <x v="0"/>
    <x v="0"/>
    <x v="0"/>
    <x v="0"/>
    <x v="0"/>
    <n v="0"/>
    <n v="0"/>
    <n v="8.3333333333333329E-2"/>
    <n v="11.916666666666666"/>
    <x v="1"/>
    <x v="0"/>
    <m/>
    <x v="0"/>
    <n v="125"/>
    <x v="0"/>
    <x v="27"/>
    <x v="0"/>
    <x v="0"/>
    <x v="0"/>
  </r>
  <r>
    <x v="1"/>
    <x v="13"/>
    <s v="2972 F"/>
    <x v="253"/>
    <s v="Usman Amin"/>
    <s v="LDN"/>
    <n v="30"/>
    <s v="7"/>
    <s v="LDN"/>
    <n v="130"/>
    <x v="0"/>
    <n v="2"/>
    <n v="151.5"/>
    <n v="7"/>
    <m/>
    <x v="0"/>
    <n v="144.5"/>
    <n v="144.5"/>
    <m/>
    <x v="0"/>
    <x v="0"/>
    <n v="0"/>
    <n v="0"/>
    <x v="0"/>
    <x v="0"/>
    <m/>
    <x v="0"/>
    <x v="0"/>
    <x v="0"/>
    <x v="0"/>
    <x v="0"/>
    <n v="0"/>
    <n v="0"/>
    <n v="0"/>
    <n v="12"/>
    <x v="1"/>
    <x v="0"/>
    <m/>
    <x v="0"/>
    <n v="156.5"/>
    <x v="0"/>
    <x v="27"/>
    <x v="0"/>
    <x v="0"/>
    <x v="0"/>
  </r>
  <r>
    <x v="0"/>
    <x v="12"/>
    <s v="277 R"/>
    <x v="253"/>
    <s v="ریفلیکٹ پیک"/>
    <s v="LDN"/>
    <n v="23"/>
    <s v="18-19"/>
    <s v="LDN"/>
    <n v="3000"/>
    <x v="0"/>
    <n v="5"/>
    <n v="424"/>
    <n v="15"/>
    <m/>
    <x v="0"/>
    <n v="409"/>
    <n v="2682.6"/>
    <m/>
    <x v="0"/>
    <x v="0"/>
    <n v="0"/>
    <n v="0"/>
    <x v="0"/>
    <x v="0"/>
    <m/>
    <x v="0"/>
    <x v="0"/>
    <x v="0"/>
    <x v="0"/>
    <x v="0"/>
    <n v="0"/>
    <n v="0"/>
    <n v="0"/>
    <n v="12"/>
    <x v="1"/>
    <x v="0"/>
    <m/>
    <x v="0"/>
    <n v="429"/>
    <x v="0"/>
    <x v="27"/>
    <x v="0"/>
    <x v="0"/>
    <x v="0"/>
  </r>
  <r>
    <x v="0"/>
    <x v="12"/>
    <s v="2855/1"/>
    <x v="253"/>
    <s v="MATCO FOOD"/>
    <s v="LDN"/>
    <s v="22.5-23"/>
    <s v="70±2"/>
    <s v="LDN"/>
    <n v="7700"/>
    <x v="0"/>
    <n v="1"/>
    <n v="110"/>
    <n v="3"/>
    <n v="15"/>
    <x v="0"/>
    <n v="107"/>
    <n v="9255.0999999999985"/>
    <m/>
    <x v="0"/>
    <x v="0"/>
    <n v="0"/>
    <n v="0"/>
    <x v="0"/>
    <x v="0"/>
    <m/>
    <x v="0"/>
    <x v="0"/>
    <x v="0"/>
    <x v="0"/>
    <x v="0"/>
    <n v="0"/>
    <n v="0"/>
    <n v="0"/>
    <n v="12"/>
    <x v="1"/>
    <x v="0"/>
    <m/>
    <x v="0"/>
    <n v="115"/>
    <x v="0"/>
    <x v="27"/>
    <x v="0"/>
    <x v="0"/>
    <x v="0"/>
  </r>
  <r>
    <x v="1"/>
    <x v="12"/>
    <s v="277 R"/>
    <x v="253"/>
    <s v="ریفلیکٹ پیک"/>
    <s v="LDN"/>
    <n v="23"/>
    <s v="18-19"/>
    <s v="LDN"/>
    <n v="3000"/>
    <x v="0"/>
    <n v="6"/>
    <n v="643"/>
    <n v="18.399999999999999"/>
    <n v="15"/>
    <x v="0"/>
    <n v="624.6"/>
    <n v="2682.6"/>
    <m/>
    <x v="0"/>
    <x v="0"/>
    <n v="0"/>
    <n v="0"/>
    <x v="0"/>
    <x v="0"/>
    <m/>
    <x v="0"/>
    <x v="0"/>
    <x v="0"/>
    <x v="0"/>
    <x v="0"/>
    <n v="0"/>
    <n v="0"/>
    <n v="0"/>
    <n v="12"/>
    <x v="1"/>
    <x v="0"/>
    <m/>
    <x v="0"/>
    <n v="648"/>
    <x v="0"/>
    <x v="27"/>
    <x v="0"/>
    <x v="0"/>
    <x v="0"/>
  </r>
  <r>
    <x v="0"/>
    <x v="15"/>
    <s v="7804 J"/>
    <x v="253"/>
    <s v="Ibraheem Filter Industry (SMC.PVT.LTD)"/>
    <s v="LDN"/>
    <n v="16"/>
    <n v="8"/>
    <s v="LDN"/>
    <n v="700"/>
    <x v="0"/>
    <n v="6"/>
    <n v="444"/>
    <n v="11.8"/>
    <n v="12"/>
    <x v="0"/>
    <n v="432.2"/>
    <n v="695.7"/>
    <m/>
    <x v="0"/>
    <x v="0"/>
    <n v="0"/>
    <n v="0"/>
    <x v="0"/>
    <x v="0"/>
    <m/>
    <x v="0"/>
    <x v="0"/>
    <x v="0"/>
    <x v="0"/>
    <x v="0"/>
    <n v="0"/>
    <n v="0"/>
    <n v="0"/>
    <n v="12"/>
    <x v="1"/>
    <x v="0"/>
    <m/>
    <x v="0"/>
    <n v="449"/>
    <x v="0"/>
    <x v="27"/>
    <x v="0"/>
    <x v="0"/>
    <x v="0"/>
  </r>
  <r>
    <x v="1"/>
    <x v="15"/>
    <s v="7804 J"/>
    <x v="253"/>
    <s v="Ibraheem Filter Industry (SMC.PVT.LTD)"/>
    <s v="LDN"/>
    <n v="16"/>
    <n v="8"/>
    <s v="LDN"/>
    <n v="700"/>
    <x v="0"/>
    <n v="5"/>
    <n v="273.5"/>
    <n v="10"/>
    <n v="12"/>
    <x v="0"/>
    <n v="263.5"/>
    <n v="695.7"/>
    <m/>
    <x v="0"/>
    <x v="0"/>
    <n v="0"/>
    <n v="0"/>
    <x v="0"/>
    <x v="0"/>
    <m/>
    <x v="0"/>
    <x v="0"/>
    <x v="0"/>
    <x v="0"/>
    <x v="0"/>
    <n v="0"/>
    <n v="0"/>
    <n v="0"/>
    <n v="12"/>
    <x v="1"/>
    <x v="0"/>
    <m/>
    <x v="0"/>
    <n v="278.5"/>
    <x v="0"/>
    <x v="27"/>
    <x v="0"/>
    <x v="0"/>
    <x v="0"/>
  </r>
  <r>
    <x v="1"/>
    <x v="15"/>
    <s v="7782 J"/>
    <x v="253"/>
    <s v="H.M.D Troders ISD"/>
    <s v="LDN"/>
    <n v="19"/>
    <s v="14.5-15"/>
    <s v="LDN"/>
    <n v="100"/>
    <x v="0"/>
    <n v="2"/>
    <n v="103"/>
    <n v="4.4000000000000004"/>
    <m/>
    <x v="0"/>
    <n v="98.6"/>
    <n v="98.6"/>
    <m/>
    <x v="0"/>
    <x v="0"/>
    <n v="0"/>
    <n v="0"/>
    <x v="0"/>
    <x v="0"/>
    <m/>
    <x v="0"/>
    <x v="0"/>
    <x v="0"/>
    <x v="0"/>
    <x v="0"/>
    <n v="0"/>
    <n v="0"/>
    <n v="0"/>
    <n v="12"/>
    <x v="1"/>
    <x v="0"/>
    <m/>
    <x v="0"/>
    <n v="108"/>
    <x v="0"/>
    <x v="27"/>
    <x v="0"/>
    <x v="0"/>
    <x v="0"/>
  </r>
  <r>
    <x v="1"/>
    <x v="15"/>
    <s v="7783 J"/>
    <x v="253"/>
    <s v="H.M.D Troders ISD"/>
    <s v="LDN"/>
    <n v="19"/>
    <s v="14.5-15"/>
    <s v="LDN"/>
    <n v="100"/>
    <x v="0"/>
    <n v="2"/>
    <n v="110"/>
    <n v="3"/>
    <m/>
    <x v="0"/>
    <n v="107"/>
    <n v="107"/>
    <n v="5"/>
    <x v="0"/>
    <x v="0"/>
    <n v="5"/>
    <n v="8.3333333333333329E-2"/>
    <x v="0"/>
    <x v="0"/>
    <m/>
    <x v="0"/>
    <x v="0"/>
    <x v="0"/>
    <x v="0"/>
    <x v="0"/>
    <n v="0"/>
    <n v="0"/>
    <n v="8.3333333333333329E-2"/>
    <n v="11.916666666666666"/>
    <x v="1"/>
    <x v="0"/>
    <m/>
    <x v="0"/>
    <n v="115"/>
    <x v="0"/>
    <x v="27"/>
    <x v="0"/>
    <x v="0"/>
    <x v="0"/>
  </r>
  <r>
    <x v="0"/>
    <x v="8"/>
    <s v="7752 J"/>
    <x v="254"/>
    <s v="Usman Arif Butt Gujranwala"/>
    <s v="LDN"/>
    <n v="5"/>
    <n v="10"/>
    <s v="LDN"/>
    <n v="120"/>
    <x v="0"/>
    <n v="2"/>
    <n v="71.400000000000006"/>
    <n v="1.4"/>
    <m/>
    <x v="0"/>
    <n v="70"/>
    <n v="156.65"/>
    <m/>
    <x v="0"/>
    <x v="0"/>
    <n v="0"/>
    <n v="0"/>
    <x v="0"/>
    <x v="0"/>
    <m/>
    <x v="0"/>
    <x v="0"/>
    <x v="0"/>
    <x v="0"/>
    <x v="0"/>
    <n v="0"/>
    <n v="0"/>
    <n v="0"/>
    <n v="12"/>
    <x v="1"/>
    <x v="0"/>
    <m/>
    <x v="0"/>
    <n v="76.400000000000006"/>
    <x v="0"/>
    <x v="28"/>
    <x v="0"/>
    <x v="0"/>
    <x v="0"/>
  </r>
  <r>
    <x v="0"/>
    <x v="8"/>
    <s v="7756 J"/>
    <x v="254"/>
    <s v="Usman Arif Butt Gujranwala"/>
    <s v="LDN"/>
    <n v="5"/>
    <n v="10"/>
    <s v="LDN"/>
    <n v="120"/>
    <x v="0"/>
    <n v="2"/>
    <n v="72.2"/>
    <n v="1.4"/>
    <n v="2"/>
    <x v="0"/>
    <n v="70.8"/>
    <n v="144.30000000000001"/>
    <m/>
    <x v="0"/>
    <x v="0"/>
    <n v="0"/>
    <n v="0"/>
    <x v="0"/>
    <x v="0"/>
    <m/>
    <x v="0"/>
    <x v="0"/>
    <x v="0"/>
    <x v="0"/>
    <x v="0"/>
    <n v="0"/>
    <n v="0"/>
    <n v="0"/>
    <n v="12"/>
    <x v="1"/>
    <x v="0"/>
    <m/>
    <x v="0"/>
    <n v="77.2"/>
    <x v="0"/>
    <x v="28"/>
    <x v="0"/>
    <x v="0"/>
    <x v="0"/>
  </r>
  <r>
    <x v="1"/>
    <x v="8"/>
    <s v="7756 J"/>
    <x v="254"/>
    <s v="Usman Arif Butt Gujranwala"/>
    <s v="LDN"/>
    <n v="5"/>
    <n v="10"/>
    <s v="LDN"/>
    <n v="120"/>
    <x v="0"/>
    <n v="3"/>
    <n v="74.900000000000006"/>
    <n v="1.4"/>
    <n v="2"/>
    <x v="0"/>
    <n v="73.5"/>
    <n v="144.30000000000001"/>
    <m/>
    <x v="0"/>
    <x v="0"/>
    <n v="0"/>
    <n v="0"/>
    <x v="0"/>
    <x v="0"/>
    <m/>
    <x v="0"/>
    <x v="0"/>
    <x v="0"/>
    <x v="0"/>
    <x v="0"/>
    <n v="0"/>
    <n v="0"/>
    <n v="0"/>
    <n v="12"/>
    <x v="1"/>
    <x v="0"/>
    <m/>
    <x v="0"/>
    <n v="79.900000000000006"/>
    <x v="0"/>
    <x v="28"/>
    <x v="0"/>
    <x v="0"/>
    <x v="0"/>
  </r>
  <r>
    <x v="1"/>
    <x v="8"/>
    <s v="7865 J"/>
    <x v="254"/>
    <s v="Usman Arif Butt Gujranwala"/>
    <s v="LDN"/>
    <n v="5"/>
    <n v="10"/>
    <s v="LDN"/>
    <n v="200"/>
    <x v="0"/>
    <n v="2"/>
    <n v="67.900000000000006"/>
    <n v="1.4"/>
    <m/>
    <x v="0"/>
    <n v="66.5"/>
    <n v="210.9"/>
    <m/>
    <x v="0"/>
    <x v="0"/>
    <n v="0"/>
    <n v="0"/>
    <x v="0"/>
    <x v="0"/>
    <m/>
    <x v="0"/>
    <x v="0"/>
    <x v="0"/>
    <x v="0"/>
    <x v="0"/>
    <n v="0"/>
    <n v="0"/>
    <n v="0"/>
    <n v="12"/>
    <x v="1"/>
    <x v="0"/>
    <m/>
    <x v="0"/>
    <n v="72.900000000000006"/>
    <x v="0"/>
    <x v="28"/>
    <x v="0"/>
    <x v="0"/>
    <x v="0"/>
  </r>
  <r>
    <x v="0"/>
    <x v="9"/>
    <s v="2859/1"/>
    <x v="254"/>
    <s v="EMARAT PLASTIC CHONG (PT-02)"/>
    <s v="LDM"/>
    <n v="7.5"/>
    <n v="10"/>
    <s v="AA"/>
    <n v="100"/>
    <x v="0"/>
    <n v="2"/>
    <n v="62.900000000000006"/>
    <n v="1.8"/>
    <m/>
    <x v="0"/>
    <n v="61.100000000000009"/>
    <n v="96.9"/>
    <m/>
    <x v="0"/>
    <x v="0"/>
    <n v="0"/>
    <n v="0"/>
    <x v="0"/>
    <x v="0"/>
    <m/>
    <x v="0"/>
    <x v="0"/>
    <x v="0"/>
    <x v="0"/>
    <x v="0"/>
    <n v="0"/>
    <n v="0"/>
    <n v="0"/>
    <n v="12"/>
    <x v="1"/>
    <x v="0"/>
    <m/>
    <x v="0"/>
    <n v="67.900000000000006"/>
    <x v="0"/>
    <x v="28"/>
    <x v="0"/>
    <x v="0"/>
    <x v="0"/>
  </r>
  <r>
    <x v="0"/>
    <x v="9"/>
    <s v="7844 J"/>
    <x v="254"/>
    <s v="Atlas Honda LTD (Karachi)"/>
    <s v="LDN"/>
    <n v="9"/>
    <s v="9-9.5"/>
    <s v="LDN"/>
    <n v="642.36111111111109"/>
    <x v="0"/>
    <n v="1"/>
    <n v="61.6"/>
    <n v="0.9"/>
    <m/>
    <x v="0"/>
    <n v="60.7"/>
    <n v="648.9"/>
    <m/>
    <x v="0"/>
    <x v="0"/>
    <n v="0"/>
    <n v="0"/>
    <x v="0"/>
    <x v="0"/>
    <m/>
    <x v="0"/>
    <x v="0"/>
    <x v="0"/>
    <x v="0"/>
    <x v="0"/>
    <n v="0"/>
    <n v="0"/>
    <n v="0"/>
    <n v="12"/>
    <x v="1"/>
    <x v="0"/>
    <m/>
    <x v="0"/>
    <n v="66.599999999999994"/>
    <x v="0"/>
    <x v="28"/>
    <x v="0"/>
    <x v="0"/>
    <x v="0"/>
  </r>
  <r>
    <x v="0"/>
    <x v="9"/>
    <s v="7870 J"/>
    <x v="254"/>
    <s v="Bolan Pastry Shop Quita"/>
    <s v="LDN"/>
    <n v="9"/>
    <s v="6-6.5"/>
    <s v="LDN"/>
    <n v="100"/>
    <x v="0"/>
    <n v="1"/>
    <n v="21"/>
    <n v="1"/>
    <n v="28"/>
    <x v="0"/>
    <n v="20"/>
    <n v="107.9"/>
    <n v="5"/>
    <x v="0"/>
    <x v="0"/>
    <n v="5"/>
    <n v="8.3333333333333329E-2"/>
    <x v="0"/>
    <x v="0"/>
    <m/>
    <x v="0"/>
    <x v="0"/>
    <x v="0"/>
    <x v="0"/>
    <x v="0"/>
    <n v="0"/>
    <n v="0"/>
    <n v="8.3333333333333329E-2"/>
    <n v="11.916666666666666"/>
    <x v="1"/>
    <x v="0"/>
    <m/>
    <x v="0"/>
    <n v="26"/>
    <x v="0"/>
    <x v="28"/>
    <x v="0"/>
    <x v="0"/>
    <x v="0"/>
  </r>
  <r>
    <x v="1"/>
    <x v="9"/>
    <s v="7870 J"/>
    <x v="254"/>
    <s v="Bolan Pastry Shop Quita"/>
    <s v="LDN"/>
    <n v="9"/>
    <s v="6-6.5"/>
    <s v="LDN"/>
    <n v="100"/>
    <x v="0"/>
    <n v="3"/>
    <n v="91.5"/>
    <n v="3.5999999999999996"/>
    <n v="3"/>
    <x v="0"/>
    <n v="87.9"/>
    <n v="107.9"/>
    <m/>
    <x v="0"/>
    <x v="0"/>
    <n v="0"/>
    <n v="0"/>
    <x v="0"/>
    <x v="0"/>
    <m/>
    <x v="0"/>
    <x v="0"/>
    <x v="0"/>
    <x v="0"/>
    <x v="0"/>
    <n v="0"/>
    <n v="0"/>
    <n v="0"/>
    <n v="12"/>
    <x v="1"/>
    <x v="0"/>
    <m/>
    <x v="0"/>
    <n v="96.5"/>
    <x v="0"/>
    <x v="28"/>
    <x v="0"/>
    <x v="0"/>
    <x v="0"/>
  </r>
  <r>
    <x v="1"/>
    <x v="9"/>
    <s v="7844 J"/>
    <x v="254"/>
    <s v="Atlas Honda LTD (Karachi)"/>
    <s v="LDN"/>
    <n v="9"/>
    <s v="9-9.5"/>
    <s v="LDN"/>
    <n v="642.36111111111109"/>
    <x v="0"/>
    <n v="1"/>
    <n v="49"/>
    <n v="1.2"/>
    <m/>
    <x v="0"/>
    <n v="47.8"/>
    <n v="648.9"/>
    <m/>
    <x v="0"/>
    <x v="0"/>
    <n v="0"/>
    <n v="0"/>
    <x v="0"/>
    <x v="0"/>
    <m/>
    <x v="0"/>
    <x v="0"/>
    <x v="0"/>
    <x v="0"/>
    <x v="0"/>
    <n v="0"/>
    <n v="0"/>
    <n v="0"/>
    <n v="12"/>
    <x v="1"/>
    <x v="0"/>
    <m/>
    <x v="0"/>
    <n v="54"/>
    <x v="0"/>
    <x v="28"/>
    <x v="0"/>
    <x v="0"/>
    <x v="0"/>
  </r>
  <r>
    <x v="0"/>
    <x v="11"/>
    <s v="7848 J"/>
    <x v="254"/>
    <s v="RMC PACK"/>
    <s v="LDM"/>
    <s v="6.5+2+2"/>
    <s v="7.5/15"/>
    <s v="LDM"/>
    <n v="60"/>
    <x v="0"/>
    <n v="2"/>
    <n v="73.5"/>
    <n v="1.6"/>
    <m/>
    <x v="0"/>
    <n v="71.900000000000006"/>
    <n v="71.900000000000006"/>
    <m/>
    <x v="0"/>
    <x v="0"/>
    <n v="0"/>
    <n v="0"/>
    <x v="0"/>
    <x v="0"/>
    <m/>
    <x v="0"/>
    <x v="0"/>
    <x v="0"/>
    <x v="0"/>
    <x v="0"/>
    <n v="0"/>
    <n v="0"/>
    <n v="0"/>
    <n v="12"/>
    <x v="1"/>
    <x v="0"/>
    <m/>
    <x v="0"/>
    <n v="78.5"/>
    <x v="0"/>
    <x v="28"/>
    <x v="0"/>
    <x v="0"/>
    <x v="0"/>
  </r>
  <r>
    <x v="0"/>
    <x v="11"/>
    <s v="7843 J"/>
    <x v="254"/>
    <s v="Nawab Jilani Plastic Layyah"/>
    <s v="LDM"/>
    <s v="12+3+3"/>
    <s v="8-8.5/16-17"/>
    <s v="LDM"/>
    <n v="110"/>
    <x v="0"/>
    <n v="3"/>
    <n v="122"/>
    <n v="4.5"/>
    <m/>
    <x v="0"/>
    <n v="117.5"/>
    <n v="117.5"/>
    <m/>
    <x v="0"/>
    <x v="0"/>
    <n v="0"/>
    <n v="0"/>
    <x v="0"/>
    <x v="0"/>
    <m/>
    <x v="0"/>
    <x v="0"/>
    <x v="0"/>
    <x v="0"/>
    <x v="0"/>
    <n v="0"/>
    <n v="0"/>
    <n v="0"/>
    <n v="12"/>
    <x v="1"/>
    <x v="0"/>
    <m/>
    <x v="0"/>
    <n v="127"/>
    <x v="0"/>
    <x v="28"/>
    <x v="0"/>
    <x v="0"/>
    <x v="0"/>
  </r>
  <r>
    <x v="0"/>
    <x v="11"/>
    <s v="7847 J"/>
    <x v="254"/>
    <s v="RMC PACK"/>
    <s v="LDM"/>
    <s v="14+4+4"/>
    <s v="7.5/15"/>
    <s v="LDM"/>
    <n v="150"/>
    <x v="0"/>
    <n v="4"/>
    <n v="166"/>
    <n v="7.2"/>
    <m/>
    <x v="0"/>
    <n v="158.80000000000001"/>
    <n v="158.80000000000001"/>
    <n v="3"/>
    <x v="0"/>
    <x v="0"/>
    <n v="3"/>
    <n v="0.05"/>
    <x v="0"/>
    <x v="0"/>
    <m/>
    <x v="0"/>
    <x v="0"/>
    <x v="0"/>
    <x v="0"/>
    <x v="0"/>
    <n v="0"/>
    <n v="0"/>
    <n v="0.05"/>
    <n v="11.95"/>
    <x v="1"/>
    <x v="0"/>
    <m/>
    <x v="0"/>
    <n v="171"/>
    <x v="0"/>
    <x v="28"/>
    <x v="0"/>
    <x v="0"/>
    <x v="0"/>
  </r>
  <r>
    <x v="0"/>
    <x v="11"/>
    <s v="7825 J"/>
    <x v="254"/>
    <s v="Nawab Jilani Plastic Layyah"/>
    <s v="LDM"/>
    <s v="12+3+3"/>
    <s v="8-8.5/16-17"/>
    <s v="LDM"/>
    <n v="170"/>
    <x v="0"/>
    <n v="1"/>
    <n v="45.5"/>
    <n v="1.5"/>
    <n v="6"/>
    <x v="0"/>
    <n v="44"/>
    <n v="162.5"/>
    <n v="2"/>
    <x v="0"/>
    <x v="0"/>
    <n v="2"/>
    <n v="3.3333333333333333E-2"/>
    <x v="0"/>
    <x v="0"/>
    <m/>
    <x v="0"/>
    <x v="0"/>
    <x v="0"/>
    <x v="0"/>
    <x v="0"/>
    <n v="0"/>
    <n v="0"/>
    <n v="3.3333333333333333E-2"/>
    <n v="11.966666666666667"/>
    <x v="1"/>
    <x v="0"/>
    <m/>
    <x v="0"/>
    <n v="50.5"/>
    <x v="0"/>
    <x v="28"/>
    <x v="0"/>
    <x v="0"/>
    <x v="0"/>
  </r>
  <r>
    <x v="1"/>
    <x v="11"/>
    <s v="7825 J"/>
    <x v="254"/>
    <s v="Nawab Jilani Plastic Layyah"/>
    <s v="LDM"/>
    <s v="12+3+3"/>
    <s v="8-8.5/16-17"/>
    <s v="LDM"/>
    <n v="170"/>
    <x v="0"/>
    <n v="4"/>
    <n v="124.5"/>
    <n v="6"/>
    <n v="7"/>
    <x v="0"/>
    <n v="118.5"/>
    <n v="162.5"/>
    <n v="3"/>
    <x v="0"/>
    <x v="0"/>
    <n v="3"/>
    <n v="0.05"/>
    <x v="0"/>
    <x v="0"/>
    <m/>
    <x v="0"/>
    <x v="0"/>
    <x v="0"/>
    <x v="0"/>
    <x v="0"/>
    <n v="0"/>
    <n v="0"/>
    <n v="0.05"/>
    <n v="11.95"/>
    <x v="1"/>
    <x v="0"/>
    <m/>
    <x v="0"/>
    <n v="129.5"/>
    <x v="0"/>
    <x v="28"/>
    <x v="0"/>
    <x v="0"/>
    <x v="0"/>
  </r>
  <r>
    <x v="1"/>
    <x v="11"/>
    <s v="7769 J"/>
    <x v="254"/>
    <s v="ASK Framers Lahore"/>
    <s v="LDM"/>
    <n v="14.5"/>
    <s v="9-9.5"/>
    <s v="LDM"/>
    <n v="100"/>
    <x v="0"/>
    <n v="2"/>
    <n v="109.5"/>
    <n v="3.2"/>
    <m/>
    <x v="0"/>
    <n v="106.3"/>
    <n v="106.3"/>
    <n v="2"/>
    <x v="0"/>
    <x v="0"/>
    <n v="2"/>
    <n v="3.3333333333333333E-2"/>
    <x v="0"/>
    <x v="0"/>
    <m/>
    <x v="0"/>
    <x v="0"/>
    <x v="0"/>
    <x v="0"/>
    <x v="0"/>
    <n v="0"/>
    <n v="0"/>
    <n v="3.3333333333333333E-2"/>
    <n v="11.966666666666667"/>
    <x v="1"/>
    <x v="0"/>
    <m/>
    <x v="0"/>
    <n v="114.5"/>
    <x v="0"/>
    <x v="28"/>
    <x v="0"/>
    <x v="0"/>
    <x v="0"/>
  </r>
  <r>
    <x v="1"/>
    <x v="11"/>
    <s v="7770 J"/>
    <x v="254"/>
    <s v="ASK Framers Lahore"/>
    <s v="LDM"/>
    <n v="14.5"/>
    <s v="9-9.5"/>
    <s v="LDM"/>
    <n v="30"/>
    <x v="0"/>
    <n v="1"/>
    <n v="32.15"/>
    <n v="1.7"/>
    <m/>
    <x v="0"/>
    <n v="30.45"/>
    <n v="30.45"/>
    <n v="3"/>
    <x v="0"/>
    <x v="0"/>
    <n v="3"/>
    <n v="0.05"/>
    <x v="0"/>
    <x v="0"/>
    <m/>
    <x v="2"/>
    <x v="0"/>
    <x v="0"/>
    <x v="0"/>
    <x v="0"/>
    <n v="5"/>
    <n v="8.3333333333333329E-2"/>
    <n v="0.13333333333333333"/>
    <n v="11.866666666666667"/>
    <x v="1"/>
    <x v="0"/>
    <m/>
    <x v="0"/>
    <n v="37.15"/>
    <x v="0"/>
    <x v="28"/>
    <x v="0"/>
    <x v="0"/>
    <x v="0"/>
  </r>
  <r>
    <x v="1"/>
    <x v="11"/>
    <s v="7801 J"/>
    <x v="254"/>
    <s v="Khawaja Watch Center Lahore"/>
    <s v="LDM"/>
    <n v="13.5"/>
    <s v="15-16"/>
    <s v="LDM"/>
    <n v="100"/>
    <x v="0"/>
    <n v="2"/>
    <n v="105.69999999999999"/>
    <n v="3.4"/>
    <m/>
    <x v="0"/>
    <n v="102.29999999999998"/>
    <n v="102.29999999999998"/>
    <n v="2"/>
    <x v="0"/>
    <x v="0"/>
    <n v="2"/>
    <n v="3.3333333333333333E-2"/>
    <x v="0"/>
    <x v="0"/>
    <m/>
    <x v="2"/>
    <x v="0"/>
    <x v="0"/>
    <x v="0"/>
    <x v="0"/>
    <n v="5"/>
    <n v="8.3333333333333329E-2"/>
    <n v="0.11666666666666667"/>
    <n v="11.883333333333333"/>
    <x v="1"/>
    <x v="0"/>
    <m/>
    <x v="0"/>
    <n v="110.69999999999999"/>
    <x v="0"/>
    <x v="28"/>
    <x v="0"/>
    <x v="0"/>
    <x v="0"/>
  </r>
  <r>
    <x v="0"/>
    <x v="13"/>
    <s v="2968 F"/>
    <x v="254"/>
    <s v="Usman Amin"/>
    <s v="LDN"/>
    <n v="19"/>
    <s v="12"/>
    <s v="LDN"/>
    <n v="60"/>
    <x v="0"/>
    <n v="1"/>
    <n v="67"/>
    <n v="2.5"/>
    <m/>
    <x v="0"/>
    <n v="64.5"/>
    <n v="64.5"/>
    <m/>
    <x v="0"/>
    <x v="0"/>
    <n v="0"/>
    <n v="0"/>
    <x v="0"/>
    <x v="0"/>
    <m/>
    <x v="0"/>
    <x v="0"/>
    <x v="0"/>
    <x v="0"/>
    <x v="0"/>
    <n v="0"/>
    <n v="0"/>
    <n v="0"/>
    <n v="12"/>
    <x v="1"/>
    <x v="0"/>
    <m/>
    <x v="0"/>
    <n v="72"/>
    <x v="0"/>
    <x v="28"/>
    <x v="0"/>
    <x v="0"/>
    <x v="0"/>
  </r>
  <r>
    <x v="0"/>
    <x v="13"/>
    <s v="2971 F"/>
    <x v="254"/>
    <s v="Usman Amin"/>
    <s v="LDN"/>
    <n v="19"/>
    <s v="6-6.5"/>
    <s v="LDN"/>
    <n v="225"/>
    <x v="0"/>
    <n v="4"/>
    <n v="265"/>
    <n v="7.2"/>
    <n v="3"/>
    <x v="0"/>
    <n v="257.8"/>
    <n v="257.8"/>
    <m/>
    <x v="0"/>
    <x v="0"/>
    <n v="0"/>
    <n v="0"/>
    <x v="0"/>
    <x v="0"/>
    <m/>
    <x v="0"/>
    <x v="0"/>
    <x v="0"/>
    <x v="0"/>
    <x v="0"/>
    <n v="0"/>
    <n v="0"/>
    <n v="0"/>
    <n v="12"/>
    <x v="1"/>
    <x v="0"/>
    <m/>
    <x v="0"/>
    <n v="270"/>
    <x v="0"/>
    <x v="28"/>
    <x v="0"/>
    <x v="0"/>
    <x v="0"/>
  </r>
  <r>
    <x v="1"/>
    <x v="13"/>
    <s v="2964 F"/>
    <x v="254"/>
    <s v="Usman Amin"/>
    <s v="LDN"/>
    <n v="17"/>
    <s v="12"/>
    <s v="LDN"/>
    <n v="500"/>
    <x v="0"/>
    <n v="4"/>
    <n v="321.60000000000002"/>
    <n v="8.4"/>
    <n v="4"/>
    <x v="0"/>
    <n v="313.20000000000005"/>
    <n v="501.00000000000006"/>
    <n v="2"/>
    <x v="0"/>
    <x v="0"/>
    <n v="2"/>
    <n v="3.3333333333333333E-2"/>
    <x v="0"/>
    <x v="0"/>
    <m/>
    <x v="0"/>
    <x v="0"/>
    <x v="0"/>
    <x v="0"/>
    <x v="0"/>
    <n v="0"/>
    <n v="0"/>
    <n v="3.3333333333333333E-2"/>
    <n v="11.966666666666667"/>
    <x v="1"/>
    <x v="0"/>
    <m/>
    <x v="0"/>
    <n v="326.60000000000002"/>
    <x v="0"/>
    <x v="28"/>
    <x v="0"/>
    <x v="0"/>
    <x v="0"/>
  </r>
  <r>
    <x v="0"/>
    <x v="12"/>
    <s v="277 R"/>
    <x v="254"/>
    <s v="ریفلیکٹ پیک"/>
    <s v="LDN"/>
    <n v="23"/>
    <s v="18-19"/>
    <s v="LDN"/>
    <n v="3000"/>
    <x v="0"/>
    <n v="2"/>
    <n v="209"/>
    <n v="6"/>
    <n v="9"/>
    <x v="0"/>
    <n v="203"/>
    <n v="2682.6"/>
    <m/>
    <x v="0"/>
    <x v="0"/>
    <n v="0"/>
    <n v="0"/>
    <x v="0"/>
    <x v="0"/>
    <m/>
    <x v="0"/>
    <x v="0"/>
    <x v="0"/>
    <x v="0"/>
    <x v="0"/>
    <n v="0"/>
    <n v="0"/>
    <n v="0"/>
    <n v="12"/>
    <x v="1"/>
    <x v="0"/>
    <m/>
    <x v="0"/>
    <n v="214"/>
    <x v="0"/>
    <x v="28"/>
    <x v="0"/>
    <x v="0"/>
    <x v="0"/>
  </r>
  <r>
    <x v="0"/>
    <x v="12"/>
    <s v="2855/1"/>
    <x v="254"/>
    <s v="MATCO FOOD"/>
    <s v="LDN"/>
    <s v="22.5-23"/>
    <s v="70±2"/>
    <s v="LDN"/>
    <n v="7700"/>
    <x v="0"/>
    <n v="3"/>
    <n v="314.8"/>
    <n v="6"/>
    <m/>
    <x v="0"/>
    <n v="308.8"/>
    <n v="9255.0999999999985"/>
    <m/>
    <x v="0"/>
    <x v="0"/>
    <n v="0"/>
    <n v="0"/>
    <x v="0"/>
    <x v="0"/>
    <m/>
    <x v="0"/>
    <x v="0"/>
    <x v="0"/>
    <x v="0"/>
    <x v="0"/>
    <n v="0"/>
    <n v="0"/>
    <n v="0"/>
    <n v="12"/>
    <x v="1"/>
    <x v="0"/>
    <m/>
    <x v="0"/>
    <n v="319.8"/>
    <x v="0"/>
    <x v="28"/>
    <x v="0"/>
    <x v="0"/>
    <x v="0"/>
  </r>
  <r>
    <x v="1"/>
    <x v="14"/>
    <s v="2855/1"/>
    <x v="254"/>
    <s v="MATCO FOOD"/>
    <s v="LDN"/>
    <s v="22.5-23"/>
    <s v="70±2"/>
    <s v="LDN"/>
    <n v="7700"/>
    <x v="0"/>
    <n v="2"/>
    <n v="175"/>
    <n v="5"/>
    <m/>
    <x v="0"/>
    <n v="170"/>
    <n v="9255.0999999999985"/>
    <m/>
    <x v="6"/>
    <x v="0"/>
    <n v="120"/>
    <n v="2"/>
    <x v="0"/>
    <x v="0"/>
    <m/>
    <x v="0"/>
    <x v="0"/>
    <x v="0"/>
    <x v="0"/>
    <x v="0"/>
    <n v="0"/>
    <n v="0"/>
    <n v="2"/>
    <n v="10"/>
    <x v="1"/>
    <x v="0"/>
    <m/>
    <x v="0"/>
    <n v="180"/>
    <x v="0"/>
    <x v="28"/>
    <x v="0"/>
    <x v="0"/>
    <x v="0"/>
  </r>
  <r>
    <x v="1"/>
    <x v="14"/>
    <s v="2962 F"/>
    <x v="254"/>
    <s v="Usman Amin"/>
    <s v="LDN"/>
    <s v="14+6+6"/>
    <s v="8-8.5/16.17"/>
    <s v="LDN"/>
    <n v="50"/>
    <x v="0"/>
    <n v="2"/>
    <n v="56.5"/>
    <n v="3.6"/>
    <m/>
    <x v="0"/>
    <n v="52.9"/>
    <n v="52.9"/>
    <n v="7"/>
    <x v="0"/>
    <x v="0"/>
    <n v="7"/>
    <n v="0.11666666666666667"/>
    <x v="0"/>
    <x v="0"/>
    <m/>
    <x v="0"/>
    <x v="0"/>
    <x v="0"/>
    <x v="0"/>
    <x v="0"/>
    <n v="0"/>
    <n v="0"/>
    <n v="0.11666666666666667"/>
    <n v="11.883333333333333"/>
    <x v="1"/>
    <x v="0"/>
    <m/>
    <x v="0"/>
    <n v="61.5"/>
    <x v="0"/>
    <x v="28"/>
    <x v="0"/>
    <x v="0"/>
    <x v="0"/>
  </r>
  <r>
    <x v="1"/>
    <x v="14"/>
    <s v="7831 J"/>
    <x v="254"/>
    <s v="AY Cans Lahore"/>
    <s v="LDN"/>
    <n v="30"/>
    <s v="6"/>
    <s v="LDN"/>
    <n v="500"/>
    <x v="0"/>
    <n v="4"/>
    <n v="255.5"/>
    <n v="10"/>
    <n v="29"/>
    <x v="0"/>
    <n v="245.5"/>
    <n v="501.5"/>
    <m/>
    <x v="0"/>
    <x v="0"/>
    <n v="0"/>
    <n v="0"/>
    <x v="0"/>
    <x v="0"/>
    <m/>
    <x v="0"/>
    <x v="0"/>
    <x v="0"/>
    <x v="0"/>
    <x v="0"/>
    <n v="0"/>
    <n v="0"/>
    <n v="0"/>
    <n v="12"/>
    <x v="1"/>
    <x v="0"/>
    <m/>
    <x v="0"/>
    <n v="260.5"/>
    <x v="0"/>
    <x v="28"/>
    <x v="0"/>
    <x v="0"/>
    <x v="0"/>
  </r>
  <r>
    <x v="0"/>
    <x v="15"/>
    <s v="2964 F"/>
    <x v="254"/>
    <s v="Usman Amin"/>
    <s v="LDN"/>
    <n v="17"/>
    <s v="12"/>
    <s v="LDN"/>
    <n v="500"/>
    <x v="0"/>
    <n v="2"/>
    <n v="143.5"/>
    <n v="4"/>
    <m/>
    <x v="0"/>
    <n v="139.5"/>
    <n v="501.00000000000006"/>
    <m/>
    <x v="0"/>
    <x v="0"/>
    <n v="0"/>
    <n v="0"/>
    <x v="0"/>
    <x v="0"/>
    <m/>
    <x v="0"/>
    <x v="0"/>
    <x v="0"/>
    <x v="0"/>
    <x v="0"/>
    <n v="0"/>
    <n v="0"/>
    <n v="0"/>
    <n v="12"/>
    <x v="1"/>
    <x v="0"/>
    <m/>
    <x v="0"/>
    <n v="148.5"/>
    <x v="0"/>
    <x v="28"/>
    <x v="0"/>
    <x v="0"/>
    <x v="0"/>
  </r>
  <r>
    <x v="0"/>
    <x v="15"/>
    <s v="7761 J"/>
    <x v="254"/>
    <s v="Adam Jee Dura Duct Built PVT LTD"/>
    <s v="LDN"/>
    <n v="13"/>
    <s v="15-16"/>
    <s v="LDN"/>
    <n v="400"/>
    <x v="0"/>
    <n v="4"/>
    <n v="282"/>
    <n v="6.4"/>
    <n v="6"/>
    <x v="0"/>
    <n v="275.60000000000002"/>
    <n v="399.90000000000003"/>
    <m/>
    <x v="0"/>
    <x v="0"/>
    <n v="0"/>
    <n v="0"/>
    <x v="0"/>
    <x v="0"/>
    <m/>
    <x v="0"/>
    <x v="0"/>
    <x v="0"/>
    <x v="0"/>
    <x v="0"/>
    <n v="0"/>
    <n v="0"/>
    <n v="0"/>
    <n v="12"/>
    <x v="1"/>
    <x v="0"/>
    <m/>
    <x v="0"/>
    <n v="287"/>
    <x v="0"/>
    <x v="28"/>
    <x v="0"/>
    <x v="0"/>
    <x v="0"/>
  </r>
  <r>
    <x v="1"/>
    <x v="15"/>
    <s v="7761 J"/>
    <x v="254"/>
    <s v="Adam Jee Dura Duct Built PVT LTD"/>
    <s v="LDN"/>
    <n v="13"/>
    <s v="15-16"/>
    <s v="LDN"/>
    <n v="400"/>
    <x v="0"/>
    <n v="2"/>
    <n v="127.5"/>
    <n v="3.2"/>
    <n v="7"/>
    <x v="0"/>
    <n v="124.3"/>
    <n v="399.90000000000003"/>
    <n v="2"/>
    <x v="0"/>
    <x v="0"/>
    <n v="2"/>
    <n v="3.3333333333333333E-2"/>
    <x v="0"/>
    <x v="0"/>
    <m/>
    <x v="0"/>
    <x v="0"/>
    <x v="0"/>
    <x v="0"/>
    <x v="0"/>
    <n v="0"/>
    <n v="0"/>
    <n v="3.3333333333333333E-2"/>
    <n v="11.966666666666667"/>
    <x v="1"/>
    <x v="0"/>
    <m/>
    <x v="0"/>
    <n v="132.5"/>
    <x v="0"/>
    <x v="28"/>
    <x v="0"/>
    <x v="0"/>
    <x v="0"/>
  </r>
  <r>
    <x v="1"/>
    <x v="15"/>
    <s v="7721 J"/>
    <x v="254"/>
    <s v="Super Diamond Food Kamoki"/>
    <s v="LDN"/>
    <n v="22"/>
    <s v="7.5-8"/>
    <s v="LDN"/>
    <n v="300"/>
    <x v="0"/>
    <n v="5"/>
    <n v="303.2"/>
    <n v="13.5"/>
    <m/>
    <x v="0"/>
    <n v="289.7"/>
    <n v="289.7"/>
    <n v="3"/>
    <x v="0"/>
    <x v="0"/>
    <n v="3"/>
    <n v="0.05"/>
    <x v="0"/>
    <x v="0"/>
    <m/>
    <x v="0"/>
    <x v="0"/>
    <x v="0"/>
    <x v="0"/>
    <x v="0"/>
    <n v="0"/>
    <n v="0"/>
    <n v="0.05"/>
    <n v="11.95"/>
    <x v="1"/>
    <x v="0"/>
    <m/>
    <x v="0"/>
    <n v="308.2"/>
    <x v="0"/>
    <x v="28"/>
    <x v="0"/>
    <x v="0"/>
    <x v="0"/>
  </r>
  <r>
    <x v="0"/>
    <x v="8"/>
    <s v="7865 J"/>
    <x v="255"/>
    <s v="Usman Arif Butt Gujranwala"/>
    <s v="LDN"/>
    <n v="5"/>
    <n v="10"/>
    <s v="LDN"/>
    <n v="200"/>
    <x v="0"/>
    <n v="5"/>
    <n v="148"/>
    <n v="3.6"/>
    <m/>
    <x v="0"/>
    <n v="144.4"/>
    <n v="210.9"/>
    <m/>
    <x v="0"/>
    <x v="0"/>
    <n v="0"/>
    <n v="0"/>
    <x v="0"/>
    <x v="0"/>
    <m/>
    <x v="0"/>
    <x v="0"/>
    <x v="0"/>
    <x v="0"/>
    <x v="0"/>
    <n v="0"/>
    <n v="0"/>
    <n v="0"/>
    <n v="12"/>
    <x v="1"/>
    <x v="0"/>
    <m/>
    <x v="0"/>
    <n v="153"/>
    <x v="0"/>
    <x v="28"/>
    <x v="0"/>
    <x v="0"/>
    <x v="0"/>
  </r>
  <r>
    <x v="1"/>
    <x v="8"/>
    <s v="7864 J"/>
    <x v="255"/>
    <s v="Usman Arif Butt Gujranwala"/>
    <s v="LDN"/>
    <n v="4"/>
    <n v="10"/>
    <s v="LDN"/>
    <n v="200"/>
    <x v="0"/>
    <n v="3"/>
    <n v="134.6"/>
    <n v="3"/>
    <m/>
    <x v="0"/>
    <n v="131.6"/>
    <n v="236.1"/>
    <m/>
    <x v="0"/>
    <x v="0"/>
    <n v="0"/>
    <n v="0"/>
    <x v="0"/>
    <x v="0"/>
    <m/>
    <x v="0"/>
    <x v="0"/>
    <x v="0"/>
    <x v="0"/>
    <x v="0"/>
    <n v="0"/>
    <n v="0"/>
    <n v="0"/>
    <n v="12"/>
    <x v="1"/>
    <x v="0"/>
    <m/>
    <x v="0"/>
    <n v="139.6"/>
    <x v="0"/>
    <x v="28"/>
    <x v="0"/>
    <x v="0"/>
    <x v="0"/>
  </r>
  <r>
    <x v="0"/>
    <x v="9"/>
    <s v="7844 J"/>
    <x v="255"/>
    <s v="Atlas Honda LTD (Karachi)"/>
    <s v="LDN"/>
    <n v="9"/>
    <s v="9-9.5"/>
    <s v="LDN"/>
    <n v="642.36111111111109"/>
    <x v="0"/>
    <n v="4"/>
    <n v="159"/>
    <n v="4.8"/>
    <n v="2"/>
    <x v="0"/>
    <n v="154.19999999999999"/>
    <n v="648.9"/>
    <m/>
    <x v="0"/>
    <x v="0"/>
    <n v="0"/>
    <n v="0"/>
    <x v="0"/>
    <x v="0"/>
    <m/>
    <x v="0"/>
    <x v="0"/>
    <x v="0"/>
    <x v="0"/>
    <x v="0"/>
    <n v="0"/>
    <n v="0"/>
    <n v="0"/>
    <n v="12"/>
    <x v="1"/>
    <x v="0"/>
    <m/>
    <x v="0"/>
    <n v="164"/>
    <x v="0"/>
    <x v="28"/>
    <x v="0"/>
    <x v="0"/>
    <x v="0"/>
  </r>
  <r>
    <x v="1"/>
    <x v="9"/>
    <s v="7844 J"/>
    <x v="255"/>
    <s v="Atlas Honda LTD (Karachi)"/>
    <s v="LDN"/>
    <n v="9"/>
    <s v="9-9.5"/>
    <s v="LDN"/>
    <n v="642.36111111111109"/>
    <x v="0"/>
    <n v="3"/>
    <n v="147.5"/>
    <n v="3.5999999999999996"/>
    <n v="1"/>
    <x v="0"/>
    <n v="143.9"/>
    <n v="648.9"/>
    <m/>
    <x v="0"/>
    <x v="0"/>
    <n v="0"/>
    <n v="0"/>
    <x v="0"/>
    <x v="0"/>
    <m/>
    <x v="0"/>
    <x v="0"/>
    <x v="0"/>
    <x v="0"/>
    <x v="0"/>
    <n v="0"/>
    <n v="0"/>
    <n v="0"/>
    <n v="12"/>
    <x v="1"/>
    <x v="0"/>
    <m/>
    <x v="0"/>
    <n v="152.5"/>
    <x v="0"/>
    <x v="28"/>
    <x v="0"/>
    <x v="0"/>
    <x v="0"/>
  </r>
  <r>
    <x v="0"/>
    <x v="11"/>
    <s v="7786 J"/>
    <x v="255"/>
    <s v="Moazmi Plastic Sahiwal "/>
    <s v="LDM"/>
    <n v="11.5"/>
    <n v="12"/>
    <s v="LDM"/>
    <n v="150"/>
    <x v="0"/>
    <n v="3"/>
    <n v="170.5"/>
    <n v="4"/>
    <m/>
    <x v="0"/>
    <n v="166.5"/>
    <n v="166.5"/>
    <m/>
    <x v="0"/>
    <x v="0"/>
    <n v="0"/>
    <n v="0"/>
    <x v="0"/>
    <x v="0"/>
    <m/>
    <x v="0"/>
    <x v="0"/>
    <x v="0"/>
    <x v="0"/>
    <x v="0"/>
    <n v="0"/>
    <n v="0"/>
    <n v="0"/>
    <n v="12"/>
    <x v="1"/>
    <x v="0"/>
    <m/>
    <x v="0"/>
    <n v="175.5"/>
    <x v="0"/>
    <x v="28"/>
    <x v="0"/>
    <x v="0"/>
    <x v="0"/>
  </r>
  <r>
    <x v="0"/>
    <x v="11"/>
    <s v="7785 J"/>
    <x v="255"/>
    <s v="Moazmi Plastic Sahiwal "/>
    <s v="LDM"/>
    <n v="10.5"/>
    <n v="12"/>
    <s v="LDM"/>
    <n v="150"/>
    <x v="0"/>
    <n v="3"/>
    <n v="164.5"/>
    <n v="3.5999999999999996"/>
    <n v="4"/>
    <x v="0"/>
    <n v="160.9"/>
    <n v="160.9"/>
    <m/>
    <x v="0"/>
    <x v="0"/>
    <n v="0"/>
    <n v="0"/>
    <x v="0"/>
    <x v="0"/>
    <m/>
    <x v="0"/>
    <x v="0"/>
    <x v="0"/>
    <x v="0"/>
    <x v="0"/>
    <n v="0"/>
    <n v="0"/>
    <n v="0"/>
    <n v="12"/>
    <x v="1"/>
    <x v="0"/>
    <m/>
    <x v="0"/>
    <n v="169.5"/>
    <x v="0"/>
    <x v="28"/>
    <x v="0"/>
    <x v="0"/>
    <x v="0"/>
  </r>
  <r>
    <x v="1"/>
    <x v="11"/>
    <s v="7752 J"/>
    <x v="255"/>
    <s v="Usman Arif Butt Gujranwala"/>
    <s v="LDN"/>
    <n v="5"/>
    <n v="10"/>
    <s v="LDN"/>
    <n v="120"/>
    <x v="0"/>
    <n v="1"/>
    <n v="32.299999999999997"/>
    <n v="1.2"/>
    <n v="35"/>
    <x v="0"/>
    <n v="31.099999999999998"/>
    <n v="156.65"/>
    <n v="3"/>
    <x v="0"/>
    <x v="0"/>
    <n v="3"/>
    <n v="0.05"/>
    <x v="0"/>
    <x v="0"/>
    <m/>
    <x v="0"/>
    <x v="0"/>
    <x v="0"/>
    <x v="0"/>
    <x v="0"/>
    <n v="0"/>
    <n v="0"/>
    <n v="0.05"/>
    <n v="11.95"/>
    <x v="1"/>
    <x v="0"/>
    <m/>
    <x v="0"/>
    <n v="37.299999999999997"/>
    <x v="0"/>
    <x v="28"/>
    <x v="0"/>
    <x v="0"/>
    <x v="0"/>
  </r>
  <r>
    <x v="1"/>
    <x v="11"/>
    <s v="7771 J"/>
    <x v="255"/>
    <s v="ASK Framers Lahore"/>
    <s v="LDM"/>
    <n v="10.5"/>
    <s v="9-9.5"/>
    <s v="LDM"/>
    <n v="100"/>
    <x v="0"/>
    <n v="2"/>
    <n v="93.8"/>
    <n v="2.4"/>
    <m/>
    <x v="0"/>
    <n v="91.399999999999991"/>
    <n v="91.399999999999991"/>
    <n v="2"/>
    <x v="0"/>
    <x v="0"/>
    <n v="2"/>
    <n v="3.3333333333333333E-2"/>
    <x v="0"/>
    <x v="0"/>
    <m/>
    <x v="0"/>
    <x v="0"/>
    <x v="0"/>
    <x v="0"/>
    <x v="0"/>
    <n v="0"/>
    <n v="0"/>
    <n v="3.3333333333333333E-2"/>
    <n v="11.966666666666667"/>
    <x v="1"/>
    <x v="0"/>
    <m/>
    <x v="0"/>
    <n v="98.8"/>
    <x v="0"/>
    <x v="28"/>
    <x v="0"/>
    <x v="0"/>
    <x v="0"/>
  </r>
  <r>
    <x v="1"/>
    <x v="11"/>
    <s v="STOCK"/>
    <x v="255"/>
    <s v="-"/>
    <m/>
    <s v="12+3+3"/>
    <s v="7.5-8/15-16"/>
    <m/>
    <m/>
    <x v="0"/>
    <n v="3"/>
    <n v="108.9"/>
    <n v="4.5"/>
    <m/>
    <x v="0"/>
    <n v="104.4"/>
    <n v="2156.44"/>
    <n v="5"/>
    <x v="0"/>
    <x v="0"/>
    <n v="5"/>
    <n v="8.3333333333333329E-2"/>
    <x v="0"/>
    <x v="0"/>
    <m/>
    <x v="0"/>
    <x v="0"/>
    <x v="0"/>
    <x v="0"/>
    <x v="0"/>
    <n v="0"/>
    <n v="0"/>
    <n v="8.3333333333333329E-2"/>
    <n v="11.916666666666666"/>
    <x v="1"/>
    <x v="0"/>
    <m/>
    <x v="0"/>
    <n v="113.9"/>
    <x v="0"/>
    <x v="28"/>
    <x v="0"/>
    <x v="0"/>
    <x v="0"/>
  </r>
  <r>
    <x v="1"/>
    <x v="11"/>
    <s v="7701 J"/>
    <x v="255"/>
    <s v="Sahibzada Printers Saray Norang"/>
    <s v="LD پیرٹ گرین "/>
    <s v="10+3+3"/>
    <s v="7.5-8/15-16"/>
    <s v="LDM"/>
    <n v="110"/>
    <x v="0"/>
    <n v="2"/>
    <n v="83.2"/>
    <n v="2.4"/>
    <m/>
    <x v="0"/>
    <n v="80.8"/>
    <n v="119.89999999999999"/>
    <m/>
    <x v="0"/>
    <x v="0"/>
    <n v="0"/>
    <n v="0"/>
    <x v="0"/>
    <x v="0"/>
    <m/>
    <x v="0"/>
    <x v="0"/>
    <x v="0"/>
    <x v="0"/>
    <x v="0"/>
    <n v="0"/>
    <n v="0"/>
    <n v="0"/>
    <n v="12"/>
    <x v="1"/>
    <x v="0"/>
    <m/>
    <x v="0"/>
    <n v="88.2"/>
    <x v="0"/>
    <x v="28"/>
    <x v="0"/>
    <x v="0"/>
    <x v="0"/>
  </r>
  <r>
    <x v="0"/>
    <x v="13"/>
    <s v="2964 F"/>
    <x v="255"/>
    <s v="Usman Amin"/>
    <s v="LDN"/>
    <n v="17"/>
    <s v="12"/>
    <s v="LDN"/>
    <n v="500"/>
    <x v="0"/>
    <n v="1"/>
    <n v="50.5"/>
    <n v="2.2000000000000002"/>
    <m/>
    <x v="0"/>
    <n v="48.3"/>
    <n v="501.00000000000006"/>
    <m/>
    <x v="0"/>
    <x v="0"/>
    <n v="0"/>
    <n v="0"/>
    <x v="0"/>
    <x v="0"/>
    <m/>
    <x v="0"/>
    <x v="0"/>
    <x v="0"/>
    <x v="0"/>
    <x v="0"/>
    <n v="0"/>
    <n v="0"/>
    <n v="0"/>
    <n v="12"/>
    <x v="1"/>
    <x v="0"/>
    <m/>
    <x v="0"/>
    <n v="55.5"/>
    <x v="0"/>
    <x v="28"/>
    <x v="0"/>
    <x v="0"/>
    <x v="0"/>
  </r>
  <r>
    <x v="0"/>
    <x v="13"/>
    <s v="2967 F"/>
    <x v="255"/>
    <s v="Usman Amin"/>
    <s v="LDN"/>
    <n v="14"/>
    <s v="12"/>
    <s v="LDN"/>
    <n v="60"/>
    <x v="0"/>
    <n v="1"/>
    <n v="63"/>
    <n v="1.4"/>
    <m/>
    <x v="0"/>
    <n v="61.6"/>
    <n v="61.6"/>
    <n v="2"/>
    <x v="0"/>
    <x v="0"/>
    <n v="2"/>
    <n v="3.3333333333333333E-2"/>
    <x v="0"/>
    <x v="0"/>
    <m/>
    <x v="0"/>
    <x v="0"/>
    <x v="0"/>
    <x v="0"/>
    <x v="0"/>
    <n v="0"/>
    <n v="0"/>
    <n v="3.3333333333333333E-2"/>
    <n v="11.966666666666667"/>
    <x v="1"/>
    <x v="0"/>
    <m/>
    <x v="0"/>
    <n v="68"/>
    <x v="0"/>
    <x v="28"/>
    <x v="0"/>
    <x v="0"/>
    <x v="0"/>
  </r>
  <r>
    <x v="0"/>
    <x v="13"/>
    <m/>
    <x v="255"/>
    <s v="-"/>
    <m/>
    <m/>
    <m/>
    <m/>
    <m/>
    <x v="0"/>
    <n v="3"/>
    <n v="270.5"/>
    <n v="9.3000000000000007"/>
    <n v="7"/>
    <x v="0"/>
    <n v="261.2"/>
    <n v="0"/>
    <n v="2"/>
    <x v="0"/>
    <x v="0"/>
    <n v="2"/>
    <n v="3.3333333333333333E-2"/>
    <x v="0"/>
    <x v="0"/>
    <m/>
    <x v="0"/>
    <x v="0"/>
    <x v="0"/>
    <x v="0"/>
    <x v="0"/>
    <n v="0"/>
    <n v="0"/>
    <n v="3.3333333333333333E-2"/>
    <n v="11.966666666666667"/>
    <x v="1"/>
    <x v="0"/>
    <m/>
    <x v="0"/>
    <n v="275.5"/>
    <x v="0"/>
    <x v="28"/>
    <x v="0"/>
    <x v="0"/>
    <x v="0"/>
  </r>
  <r>
    <x v="1"/>
    <x v="13"/>
    <s v="277 R"/>
    <x v="255"/>
    <s v="ریفلیکٹ پیک"/>
    <s v="LDN"/>
    <n v="23"/>
    <s v="18-19"/>
    <s v="LDN"/>
    <n v="3000"/>
    <x v="0"/>
    <n v="2"/>
    <n v="202.5"/>
    <n v="6"/>
    <n v="3"/>
    <x v="0"/>
    <n v="196.5"/>
    <n v="2682.6"/>
    <n v="3"/>
    <x v="0"/>
    <x v="0"/>
    <n v="3"/>
    <n v="0.05"/>
    <x v="0"/>
    <x v="0"/>
    <m/>
    <x v="0"/>
    <x v="0"/>
    <x v="0"/>
    <x v="0"/>
    <x v="0"/>
    <n v="0"/>
    <n v="0"/>
    <n v="0.05"/>
    <n v="11.95"/>
    <x v="1"/>
    <x v="0"/>
    <m/>
    <x v="0"/>
    <n v="207.5"/>
    <x v="0"/>
    <x v="28"/>
    <x v="0"/>
    <x v="0"/>
    <x v="0"/>
  </r>
  <r>
    <x v="1"/>
    <x v="13"/>
    <s v="2979 F"/>
    <x v="255"/>
    <s v="Usman Amin"/>
    <s v="LDN"/>
    <n v="25"/>
    <s v="7-7.5"/>
    <s v="LDN"/>
    <n v="26"/>
    <x v="0"/>
    <n v="2"/>
    <n v="112"/>
    <n v="6.4"/>
    <m/>
    <x v="0"/>
    <n v="105.6"/>
    <n v="105.6"/>
    <n v="2"/>
    <x v="0"/>
    <x v="0"/>
    <n v="2"/>
    <n v="3.3333333333333333E-2"/>
    <x v="0"/>
    <x v="0"/>
    <m/>
    <x v="0"/>
    <x v="0"/>
    <x v="0"/>
    <x v="0"/>
    <x v="0"/>
    <n v="0"/>
    <n v="0"/>
    <n v="3.3333333333333333E-2"/>
    <n v="11.966666666666667"/>
    <x v="1"/>
    <x v="0"/>
    <m/>
    <x v="0"/>
    <n v="117"/>
    <x v="0"/>
    <x v="28"/>
    <x v="0"/>
    <x v="0"/>
    <x v="0"/>
  </r>
  <r>
    <x v="1"/>
    <x v="13"/>
    <s v="7862 J"/>
    <x v="255"/>
    <s v="Armani Dry Cleaner Mandi Bahuldin"/>
    <s v="LDN"/>
    <n v="25"/>
    <s v="4.5-5"/>
    <s v="LDN"/>
    <n v="100"/>
    <x v="0"/>
    <n v="3"/>
    <n v="110"/>
    <n v="9.6000000000000014"/>
    <m/>
    <x v="0"/>
    <n v="100.4"/>
    <n v="203.8"/>
    <m/>
    <x v="0"/>
    <x v="0"/>
    <n v="0"/>
    <n v="0"/>
    <x v="0"/>
    <x v="0"/>
    <m/>
    <x v="0"/>
    <x v="0"/>
    <x v="0"/>
    <x v="0"/>
    <x v="0"/>
    <n v="0"/>
    <n v="0"/>
    <n v="0"/>
    <n v="12"/>
    <x v="1"/>
    <x v="0"/>
    <m/>
    <x v="0"/>
    <n v="115"/>
    <x v="0"/>
    <x v="28"/>
    <x v="0"/>
    <x v="0"/>
    <x v="0"/>
  </r>
  <r>
    <x v="0"/>
    <x v="14"/>
    <s v="7831 J"/>
    <x v="255"/>
    <s v="AY Cans Lahore"/>
    <s v="LDN"/>
    <n v="30"/>
    <s v="6"/>
    <s v="LDN"/>
    <n v="500"/>
    <x v="0"/>
    <n v="6"/>
    <n v="271"/>
    <n v="15"/>
    <m/>
    <x v="0"/>
    <n v="256"/>
    <n v="501.5"/>
    <m/>
    <x v="0"/>
    <x v="0"/>
    <n v="0"/>
    <n v="0"/>
    <x v="0"/>
    <x v="0"/>
    <m/>
    <x v="0"/>
    <x v="0"/>
    <x v="0"/>
    <x v="0"/>
    <x v="0"/>
    <n v="0"/>
    <n v="0"/>
    <n v="0"/>
    <n v="12"/>
    <x v="1"/>
    <x v="0"/>
    <m/>
    <x v="0"/>
    <n v="276"/>
    <x v="0"/>
    <x v="28"/>
    <x v="0"/>
    <x v="0"/>
    <x v="0"/>
  </r>
  <r>
    <x v="0"/>
    <x v="14"/>
    <s v="2993 F"/>
    <x v="255"/>
    <s v="Usman Amin"/>
    <s v="LDN"/>
    <n v="30"/>
    <s v="8-8.5"/>
    <s v="LDN"/>
    <n v="150"/>
    <x v="0"/>
    <n v="2"/>
    <n v="152.5"/>
    <n v="8"/>
    <m/>
    <x v="0"/>
    <n v="144.5"/>
    <n v="144.5"/>
    <n v="3"/>
    <x v="0"/>
    <x v="0"/>
    <n v="3"/>
    <n v="0.05"/>
    <x v="0"/>
    <x v="0"/>
    <m/>
    <x v="0"/>
    <x v="0"/>
    <x v="0"/>
    <x v="0"/>
    <x v="0"/>
    <n v="0"/>
    <n v="0"/>
    <n v="0.05"/>
    <n v="11.95"/>
    <x v="1"/>
    <x v="0"/>
    <m/>
    <x v="0"/>
    <n v="157.5"/>
    <x v="0"/>
    <x v="28"/>
    <x v="0"/>
    <x v="0"/>
    <x v="0"/>
  </r>
  <r>
    <x v="0"/>
    <x v="14"/>
    <s v="7762 J"/>
    <x v="255"/>
    <s v="Irtza Sb Shah Alam Lahore"/>
    <s v="LDN"/>
    <n v="13.5"/>
    <s v="5-10."/>
    <s v="LDN"/>
    <n v="100"/>
    <x v="0"/>
    <n v="2"/>
    <n v="124"/>
    <n v="7"/>
    <m/>
    <x v="0"/>
    <n v="117"/>
    <n v="117"/>
    <n v="2"/>
    <x v="0"/>
    <x v="0"/>
    <n v="2"/>
    <n v="3.3333333333333333E-2"/>
    <x v="0"/>
    <x v="0"/>
    <m/>
    <x v="0"/>
    <x v="0"/>
    <x v="0"/>
    <x v="0"/>
    <x v="0"/>
    <n v="0"/>
    <n v="0"/>
    <n v="3.3333333333333333E-2"/>
    <n v="11.966666666666667"/>
    <x v="1"/>
    <x v="0"/>
    <m/>
    <x v="0"/>
    <n v="129"/>
    <x v="0"/>
    <x v="28"/>
    <x v="0"/>
    <x v="0"/>
    <x v="0"/>
  </r>
  <r>
    <x v="0"/>
    <x v="14"/>
    <s v="7763 J"/>
    <x v="255"/>
    <s v="Irtza Sb Shah Alam Lahore"/>
    <s v="LDN"/>
    <n v="13.5"/>
    <s v="5-10."/>
    <s v="LDN"/>
    <n v="100"/>
    <x v="0"/>
    <n v="1"/>
    <n v="62.5"/>
    <n v="3.5"/>
    <n v="9"/>
    <x v="0"/>
    <n v="59"/>
    <n v="116"/>
    <n v="5"/>
    <x v="0"/>
    <x v="0"/>
    <n v="5"/>
    <n v="8.3333333333333329E-2"/>
    <x v="0"/>
    <x v="0"/>
    <m/>
    <x v="0"/>
    <x v="0"/>
    <x v="0"/>
    <x v="0"/>
    <x v="0"/>
    <n v="0"/>
    <n v="0"/>
    <n v="8.3333333333333329E-2"/>
    <n v="11.916666666666666"/>
    <x v="1"/>
    <x v="0"/>
    <m/>
    <x v="0"/>
    <n v="67.5"/>
    <x v="0"/>
    <x v="28"/>
    <x v="0"/>
    <x v="0"/>
    <x v="0"/>
  </r>
  <r>
    <x v="1"/>
    <x v="14"/>
    <s v="7763 J"/>
    <x v="255"/>
    <s v="Irtza Sb Shah Alam Lahore"/>
    <s v="LDN"/>
    <n v="13.5"/>
    <s v="5-10."/>
    <s v="LDN"/>
    <n v="100"/>
    <x v="0"/>
    <n v="1"/>
    <n v="60.5"/>
    <n v="3.5"/>
    <n v="27"/>
    <x v="0"/>
    <n v="57"/>
    <n v="116"/>
    <n v="5"/>
    <x v="0"/>
    <x v="0"/>
    <n v="5"/>
    <n v="8.3333333333333329E-2"/>
    <x v="0"/>
    <x v="0"/>
    <n v="90"/>
    <x v="0"/>
    <x v="0"/>
    <x v="0"/>
    <x v="0"/>
    <x v="0"/>
    <n v="90"/>
    <n v="1.5"/>
    <n v="1.5833333333333333"/>
    <n v="10.416666666666666"/>
    <x v="1"/>
    <x v="0"/>
    <m/>
    <x v="0"/>
    <n v="65.5"/>
    <x v="0"/>
    <x v="28"/>
    <x v="0"/>
    <x v="0"/>
    <x v="0"/>
  </r>
  <r>
    <x v="1"/>
    <x v="14"/>
    <s v="7759 J"/>
    <x v="255"/>
    <s v="Umer Sab Lahore"/>
    <s v="LDN"/>
    <n v="24"/>
    <s v="3.5-4/7-8"/>
    <s v="LDN"/>
    <n v="100"/>
    <x v="0"/>
    <n v="3"/>
    <n v="128"/>
    <n v="6"/>
    <m/>
    <x v="0"/>
    <n v="122"/>
    <n v="122"/>
    <n v="5"/>
    <x v="0"/>
    <x v="0"/>
    <n v="5"/>
    <n v="8.3333333333333329E-2"/>
    <x v="0"/>
    <x v="0"/>
    <m/>
    <x v="0"/>
    <x v="0"/>
    <x v="0"/>
    <x v="0"/>
    <x v="0"/>
    <n v="0"/>
    <n v="0"/>
    <n v="8.3333333333333329E-2"/>
    <n v="11.916666666666666"/>
    <x v="1"/>
    <x v="0"/>
    <m/>
    <x v="0"/>
    <n v="133"/>
    <x v="0"/>
    <x v="28"/>
    <x v="0"/>
    <x v="0"/>
    <x v="0"/>
  </r>
  <r>
    <x v="1"/>
    <x v="14"/>
    <s v="2981 F"/>
    <x v="255"/>
    <s v="Usman Amin"/>
    <s v="LDN"/>
    <n v="28"/>
    <s v="7-7.5"/>
    <s v="LDN"/>
    <n v="22"/>
    <x v="0"/>
    <n v="1"/>
    <n v="62.5"/>
    <n v="3.5"/>
    <m/>
    <x v="0"/>
    <n v="59"/>
    <n v="59"/>
    <n v="5"/>
    <x v="0"/>
    <x v="0"/>
    <n v="5"/>
    <n v="8.3333333333333329E-2"/>
    <x v="0"/>
    <x v="0"/>
    <m/>
    <x v="0"/>
    <x v="0"/>
    <x v="0"/>
    <x v="0"/>
    <x v="0"/>
    <n v="0"/>
    <n v="0"/>
    <n v="8.3333333333333329E-2"/>
    <n v="11.916666666666666"/>
    <x v="1"/>
    <x v="0"/>
    <m/>
    <x v="0"/>
    <n v="67.5"/>
    <x v="0"/>
    <x v="28"/>
    <x v="0"/>
    <x v="0"/>
    <x v="0"/>
  </r>
  <r>
    <x v="1"/>
    <x v="14"/>
    <s v="7716 J"/>
    <x v="255"/>
    <s v="Umer Sab Lahore"/>
    <s v="LDN"/>
    <n v="24"/>
    <s v="5-5.5/10-11"/>
    <s v="LDN"/>
    <n v="100"/>
    <x v="0"/>
    <n v="2"/>
    <n v="122.5"/>
    <n v="4"/>
    <m/>
    <x v="0"/>
    <n v="118.5"/>
    <n v="118.5"/>
    <m/>
    <x v="0"/>
    <x v="0"/>
    <n v="0"/>
    <n v="0"/>
    <x v="0"/>
    <x v="0"/>
    <m/>
    <x v="0"/>
    <x v="0"/>
    <x v="0"/>
    <x v="0"/>
    <x v="0"/>
    <n v="0"/>
    <n v="0"/>
    <n v="0"/>
    <n v="12"/>
    <x v="1"/>
    <x v="0"/>
    <m/>
    <x v="0"/>
    <n v="127.5"/>
    <x v="0"/>
    <x v="28"/>
    <x v="0"/>
    <x v="0"/>
    <x v="0"/>
  </r>
  <r>
    <x v="1"/>
    <x v="14"/>
    <s v="7717 J"/>
    <x v="255"/>
    <s v="M. Imran Pakistan Market Lahore"/>
    <s v="LDN"/>
    <s v="34 شیٹ"/>
    <s v="4-4.5/8-9"/>
    <s v="LDN"/>
    <n v="150"/>
    <x v="0"/>
    <n v="2"/>
    <n v="172.5"/>
    <n v="8.6999999999999993"/>
    <m/>
    <x v="0"/>
    <n v="163.80000000000001"/>
    <n v="163.80000000000001"/>
    <m/>
    <x v="0"/>
    <x v="0"/>
    <n v="0"/>
    <n v="0"/>
    <x v="0"/>
    <x v="0"/>
    <m/>
    <x v="0"/>
    <x v="0"/>
    <x v="0"/>
    <x v="0"/>
    <x v="0"/>
    <n v="0"/>
    <n v="0"/>
    <n v="0"/>
    <n v="12"/>
    <x v="1"/>
    <x v="0"/>
    <m/>
    <x v="0"/>
    <n v="177.5"/>
    <x v="0"/>
    <x v="28"/>
    <x v="0"/>
    <x v="0"/>
    <x v="0"/>
  </r>
  <r>
    <x v="0"/>
    <x v="15"/>
    <s v="7872 J"/>
    <x v="255"/>
    <s v="Bolan Pastry Shop Quita"/>
    <s v="LDN"/>
    <n v="18"/>
    <s v="6-6.5"/>
    <s v="LDN"/>
    <n v="100"/>
    <x v="0"/>
    <n v="3"/>
    <n v="105.5"/>
    <n v="6.3000000000000007"/>
    <m/>
    <x v="0"/>
    <n v="99.2"/>
    <n v="99.2"/>
    <m/>
    <x v="0"/>
    <x v="0"/>
    <n v="0"/>
    <n v="0"/>
    <x v="0"/>
    <x v="0"/>
    <m/>
    <x v="0"/>
    <x v="0"/>
    <x v="0"/>
    <x v="0"/>
    <x v="0"/>
    <n v="0"/>
    <n v="0"/>
    <n v="0"/>
    <n v="12"/>
    <x v="1"/>
    <x v="0"/>
    <m/>
    <x v="0"/>
    <n v="110.5"/>
    <x v="0"/>
    <x v="28"/>
    <x v="0"/>
    <x v="0"/>
    <x v="0"/>
  </r>
  <r>
    <x v="0"/>
    <x v="15"/>
    <s v="7826 J"/>
    <x v="255"/>
    <s v="Jilani Poly Stock"/>
    <s v="LDN"/>
    <s v="26&quot;شیٹ"/>
    <s v="8-8.5/16-17"/>
    <s v="LDN"/>
    <n v="500"/>
    <x v="0"/>
    <n v="4"/>
    <n v="261.5"/>
    <n v="12.8"/>
    <n v="19"/>
    <x v="0"/>
    <n v="248.7"/>
    <n v="526.20000000000005"/>
    <m/>
    <x v="0"/>
    <x v="0"/>
    <n v="0"/>
    <n v="0"/>
    <x v="0"/>
    <x v="0"/>
    <m/>
    <x v="0"/>
    <x v="0"/>
    <x v="0"/>
    <x v="0"/>
    <x v="0"/>
    <n v="0"/>
    <n v="0"/>
    <n v="0"/>
    <n v="12"/>
    <x v="1"/>
    <x v="0"/>
    <m/>
    <x v="0"/>
    <n v="266.5"/>
    <x v="0"/>
    <x v="28"/>
    <x v="0"/>
    <x v="0"/>
    <x v="0"/>
  </r>
  <r>
    <x v="1"/>
    <x v="15"/>
    <s v="7826 J"/>
    <x v="255"/>
    <s v="Jilani Poly Stock"/>
    <s v="LDN"/>
    <s v="26&quot;شیٹ"/>
    <s v="8-8.5/16-17"/>
    <s v="LDN"/>
    <n v="500"/>
    <x v="0"/>
    <n v="4"/>
    <n v="289.5"/>
    <n v="12"/>
    <n v="37"/>
    <x v="0"/>
    <n v="277.5"/>
    <n v="526.20000000000005"/>
    <n v="10"/>
    <x v="0"/>
    <x v="0"/>
    <n v="10"/>
    <n v="0.16666666666666666"/>
    <x v="0"/>
    <x v="0"/>
    <m/>
    <x v="0"/>
    <x v="0"/>
    <x v="0"/>
    <x v="0"/>
    <x v="0"/>
    <n v="0"/>
    <n v="0"/>
    <n v="0.16666666666666666"/>
    <n v="11.833333333333334"/>
    <x v="1"/>
    <x v="0"/>
    <m/>
    <x v="0"/>
    <n v="294.5"/>
    <x v="0"/>
    <x v="28"/>
    <x v="0"/>
    <x v="0"/>
    <x v="0"/>
  </r>
  <r>
    <x v="1"/>
    <x v="15"/>
    <s v="7807 J"/>
    <x v="255"/>
    <s v="Golden Chemical Faisalbad"/>
    <s v="LDN"/>
    <s v="510 MM"/>
    <s v="15-16/30-32"/>
    <s v="LDN"/>
    <n v="400"/>
    <x v="0"/>
    <n v="4"/>
    <n v="229.5"/>
    <n v="10"/>
    <m/>
    <x v="0"/>
    <n v="219.5"/>
    <n v="400.6"/>
    <m/>
    <x v="0"/>
    <x v="0"/>
    <n v="0"/>
    <n v="0"/>
    <x v="0"/>
    <x v="0"/>
    <m/>
    <x v="0"/>
    <x v="0"/>
    <x v="0"/>
    <x v="0"/>
    <x v="0"/>
    <n v="0"/>
    <n v="0"/>
    <n v="0"/>
    <n v="12"/>
    <x v="1"/>
    <x v="0"/>
    <m/>
    <x v="0"/>
    <n v="234.5"/>
    <x v="0"/>
    <x v="28"/>
    <x v="0"/>
    <x v="0"/>
    <x v="0"/>
  </r>
  <r>
    <x v="0"/>
    <x v="8"/>
    <s v="7864 J"/>
    <x v="256"/>
    <s v="Usman Arif Butt Gujranwala"/>
    <s v="LDN"/>
    <n v="4"/>
    <n v="10"/>
    <s v="LDN"/>
    <n v="200"/>
    <x v="0"/>
    <n v="4"/>
    <n v="106.4"/>
    <n v="1.9"/>
    <n v="2"/>
    <x v="0"/>
    <n v="104.5"/>
    <n v="236.1"/>
    <m/>
    <x v="0"/>
    <x v="0"/>
    <n v="0"/>
    <n v="0"/>
    <x v="0"/>
    <x v="0"/>
    <m/>
    <x v="0"/>
    <x v="0"/>
    <x v="0"/>
    <x v="0"/>
    <x v="0"/>
    <n v="0"/>
    <n v="0"/>
    <n v="0"/>
    <n v="12"/>
    <x v="1"/>
    <x v="0"/>
    <m/>
    <x v="0"/>
    <n v="111.4"/>
    <x v="0"/>
    <x v="28"/>
    <x v="0"/>
    <x v="0"/>
    <x v="0"/>
  </r>
  <r>
    <x v="1"/>
    <x v="8"/>
    <s v="7743 J"/>
    <x v="256"/>
    <s v="Usman Arif Butt Gujranwala"/>
    <s v="LDN"/>
    <n v="4"/>
    <n v="10"/>
    <s v="LDN"/>
    <n v="100"/>
    <x v="0"/>
    <n v="2"/>
    <n v="108"/>
    <n v="2"/>
    <n v="1"/>
    <x v="0"/>
    <n v="106"/>
    <n v="106"/>
    <m/>
    <x v="0"/>
    <x v="0"/>
    <n v="0"/>
    <n v="0"/>
    <x v="0"/>
    <x v="0"/>
    <m/>
    <x v="0"/>
    <x v="0"/>
    <x v="0"/>
    <x v="0"/>
    <x v="0"/>
    <n v="0"/>
    <n v="0"/>
    <n v="0"/>
    <n v="12"/>
    <x v="1"/>
    <x v="0"/>
    <m/>
    <x v="0"/>
    <n v="113"/>
    <x v="0"/>
    <x v="28"/>
    <x v="0"/>
    <x v="0"/>
    <x v="0"/>
  </r>
  <r>
    <x v="0"/>
    <x v="9"/>
    <s v="7844 J"/>
    <x v="256"/>
    <s v="Atlas Honda LTD (Karachi)"/>
    <s v="LDN"/>
    <n v="9"/>
    <s v="9-9.5"/>
    <s v="LDN"/>
    <n v="642.36111111111109"/>
    <x v="0"/>
    <n v="4"/>
    <n v="183"/>
    <n v="4.8"/>
    <n v="2"/>
    <x v="0"/>
    <n v="178.2"/>
    <n v="648.9"/>
    <m/>
    <x v="0"/>
    <x v="0"/>
    <n v="0"/>
    <n v="0"/>
    <x v="0"/>
    <x v="0"/>
    <m/>
    <x v="0"/>
    <x v="0"/>
    <x v="0"/>
    <x v="0"/>
    <x v="0"/>
    <n v="0"/>
    <n v="0"/>
    <n v="0"/>
    <n v="12"/>
    <x v="1"/>
    <x v="0"/>
    <m/>
    <x v="0"/>
    <n v="188"/>
    <x v="0"/>
    <x v="28"/>
    <x v="0"/>
    <x v="0"/>
    <x v="0"/>
  </r>
  <r>
    <x v="1"/>
    <x v="9"/>
    <s v="7844 J"/>
    <x v="256"/>
    <s v="Atlas Honda LTD (Karachi)"/>
    <s v="LDN"/>
    <n v="9"/>
    <s v="9-9.5"/>
    <s v="LDN"/>
    <n v="642.36111111111109"/>
    <x v="0"/>
    <n v="2"/>
    <n v="66.5"/>
    <n v="2.4"/>
    <n v="2"/>
    <x v="0"/>
    <n v="64.099999999999994"/>
    <n v="648.9"/>
    <m/>
    <x v="0"/>
    <x v="0"/>
    <n v="0"/>
    <n v="0"/>
    <x v="0"/>
    <x v="0"/>
    <m/>
    <x v="0"/>
    <x v="0"/>
    <x v="0"/>
    <x v="0"/>
    <x v="0"/>
    <n v="0"/>
    <n v="0"/>
    <n v="0"/>
    <n v="12"/>
    <x v="1"/>
    <x v="0"/>
    <m/>
    <x v="0"/>
    <n v="71.5"/>
    <x v="0"/>
    <x v="28"/>
    <x v="0"/>
    <x v="0"/>
    <x v="0"/>
  </r>
  <r>
    <x v="1"/>
    <x v="9"/>
    <s v="7760 J"/>
    <x v="256"/>
    <s v="Adam Jee Dura Duct Built PVT LTD"/>
    <s v="LDN"/>
    <n v="9"/>
    <s v="15-16"/>
    <s v="LDN"/>
    <n v="500"/>
    <x v="0"/>
    <n v="1"/>
    <n v="61.5"/>
    <n v="1.2"/>
    <m/>
    <x v="0"/>
    <n v="60.3"/>
    <n v="504.80000000000007"/>
    <m/>
    <x v="0"/>
    <x v="0"/>
    <n v="0"/>
    <n v="0"/>
    <x v="0"/>
    <x v="0"/>
    <m/>
    <x v="0"/>
    <x v="0"/>
    <x v="0"/>
    <x v="0"/>
    <x v="0"/>
    <n v="0"/>
    <n v="0"/>
    <n v="0"/>
    <n v="12"/>
    <x v="1"/>
    <x v="0"/>
    <m/>
    <x v="0"/>
    <n v="66.5"/>
    <x v="0"/>
    <x v="28"/>
    <x v="0"/>
    <x v="0"/>
    <x v="0"/>
  </r>
  <r>
    <x v="0"/>
    <x v="11"/>
    <s v="7701 J"/>
    <x v="256"/>
    <s v="Sahibzada Printers Saray Norang"/>
    <s v="LD پیرٹ گرین "/>
    <s v="10+3+3"/>
    <s v="7.5-8/15-16"/>
    <s v="LDM"/>
    <n v="110"/>
    <x v="0"/>
    <n v="1"/>
    <n v="40.299999999999997"/>
    <n v="1.2"/>
    <m/>
    <x v="0"/>
    <n v="39.099999999999994"/>
    <n v="119.89999999999999"/>
    <n v="3"/>
    <x v="0"/>
    <x v="0"/>
    <n v="3"/>
    <n v="0.05"/>
    <x v="0"/>
    <x v="0"/>
    <m/>
    <x v="0"/>
    <x v="0"/>
    <x v="0"/>
    <x v="0"/>
    <x v="0"/>
    <n v="0"/>
    <n v="0"/>
    <n v="0.05"/>
    <n v="11.95"/>
    <x v="1"/>
    <x v="0"/>
    <m/>
    <x v="0"/>
    <n v="45.3"/>
    <x v="0"/>
    <x v="28"/>
    <x v="0"/>
    <x v="0"/>
    <x v="0"/>
  </r>
  <r>
    <x v="0"/>
    <x v="11"/>
    <s v="7699 J"/>
    <x v="256"/>
    <s v="Sahibzada Printers Saray Norang"/>
    <s v="LD سکائی بلو "/>
    <s v="12+3+3"/>
    <s v="7.5-8/15-16"/>
    <s v="LDM"/>
    <n v="110"/>
    <x v="0"/>
    <n v="3"/>
    <n v="117.3"/>
    <n v="4.4000000000000004"/>
    <m/>
    <x v="0"/>
    <n v="112.89999999999999"/>
    <n v="112.89999999999999"/>
    <n v="2"/>
    <x v="0"/>
    <x v="0"/>
    <n v="2"/>
    <n v="3.3333333333333333E-2"/>
    <x v="0"/>
    <x v="0"/>
    <m/>
    <x v="0"/>
    <x v="0"/>
    <x v="0"/>
    <x v="0"/>
    <x v="0"/>
    <n v="0"/>
    <n v="0"/>
    <n v="3.3333333333333333E-2"/>
    <n v="11.966666666666667"/>
    <x v="1"/>
    <x v="0"/>
    <m/>
    <x v="0"/>
    <n v="122.3"/>
    <x v="0"/>
    <x v="28"/>
    <x v="0"/>
    <x v="0"/>
    <x v="0"/>
  </r>
  <r>
    <x v="0"/>
    <x v="11"/>
    <s v="7700 J"/>
    <x v="256"/>
    <s v="Sahibzada Printers Saray Norang"/>
    <s v="LD کریم "/>
    <s v="12+3+3"/>
    <s v="7.5-8/15-16"/>
    <s v="LDM"/>
    <n v="110"/>
    <x v="0"/>
    <n v="3"/>
    <n v="124.3"/>
    <n v="4.5"/>
    <n v="55"/>
    <x v="0"/>
    <n v="119.8"/>
    <n v="119.8"/>
    <n v="5"/>
    <x v="0"/>
    <x v="0"/>
    <n v="5"/>
    <n v="8.3333333333333329E-2"/>
    <x v="0"/>
    <x v="0"/>
    <m/>
    <x v="0"/>
    <x v="0"/>
    <x v="0"/>
    <x v="0"/>
    <x v="0"/>
    <n v="0"/>
    <n v="0"/>
    <n v="8.3333333333333329E-2"/>
    <n v="11.916666666666666"/>
    <x v="1"/>
    <x v="0"/>
    <m/>
    <x v="0"/>
    <n v="129.30000000000001"/>
    <x v="0"/>
    <x v="28"/>
    <x v="0"/>
    <x v="0"/>
    <x v="0"/>
  </r>
  <r>
    <x v="0"/>
    <x v="11"/>
    <s v="7824 J"/>
    <x v="256"/>
    <s v="Nawab Jilani Plastic Layyah"/>
    <s v="LD کریم"/>
    <n v="20"/>
    <s v="15-16"/>
    <s v="LDM"/>
    <n v="150"/>
    <x v="0"/>
    <n v="2"/>
    <n v="123"/>
    <n v="6.5"/>
    <m/>
    <x v="0"/>
    <n v="116.5"/>
    <n v="163.69999999999999"/>
    <n v="5"/>
    <x v="0"/>
    <x v="0"/>
    <n v="5"/>
    <n v="8.3333333333333329E-2"/>
    <x v="0"/>
    <x v="0"/>
    <m/>
    <x v="2"/>
    <x v="0"/>
    <x v="0"/>
    <x v="0"/>
    <x v="0"/>
    <n v="5"/>
    <n v="8.3333333333333329E-2"/>
    <n v="0.16666666666666666"/>
    <n v="11.833333333333334"/>
    <x v="1"/>
    <x v="0"/>
    <m/>
    <x v="0"/>
    <n v="128"/>
    <x v="0"/>
    <x v="28"/>
    <x v="0"/>
    <x v="0"/>
    <x v="0"/>
  </r>
  <r>
    <x v="1"/>
    <x v="11"/>
    <s v="7824 J"/>
    <x v="256"/>
    <s v="Nawab Jilani Plastic Layyah"/>
    <s v="LD کریم"/>
    <n v="20"/>
    <s v="15-16"/>
    <s v="LDM"/>
    <n v="150"/>
    <x v="0"/>
    <n v="1"/>
    <n v="50"/>
    <n v="2.8"/>
    <n v="30"/>
    <x v="0"/>
    <n v="47.2"/>
    <n v="163.69999999999999"/>
    <n v="5"/>
    <x v="0"/>
    <x v="0"/>
    <n v="5"/>
    <n v="8.3333333333333329E-2"/>
    <x v="0"/>
    <x v="0"/>
    <m/>
    <x v="0"/>
    <x v="0"/>
    <x v="0"/>
    <x v="0"/>
    <x v="0"/>
    <n v="0"/>
    <n v="0"/>
    <n v="8.3333333333333329E-2"/>
    <n v="11.916666666666666"/>
    <x v="1"/>
    <x v="0"/>
    <m/>
    <x v="0"/>
    <n v="55"/>
    <x v="0"/>
    <x v="28"/>
    <x v="0"/>
    <x v="0"/>
    <x v="0"/>
  </r>
  <r>
    <x v="1"/>
    <x v="11"/>
    <s v="7832 J"/>
    <x v="256"/>
    <s v="Fancy Garments Kamoki"/>
    <s v="LD ڈارک کریم"/>
    <s v="14+4+4"/>
    <s v="6-6.5/12-13"/>
    <s v="LDM"/>
    <n v="110"/>
    <x v="0"/>
    <n v="3"/>
    <n v="167.79999999999998"/>
    <n v="5.0999999999999996"/>
    <m/>
    <x v="0"/>
    <n v="162.69999999999999"/>
    <n v="162.69999999999999"/>
    <n v="5"/>
    <x v="0"/>
    <x v="0"/>
    <n v="5"/>
    <n v="8.3333333333333329E-2"/>
    <x v="0"/>
    <x v="0"/>
    <m/>
    <x v="0"/>
    <x v="0"/>
    <x v="0"/>
    <x v="0"/>
    <x v="0"/>
    <n v="0"/>
    <n v="0"/>
    <n v="8.3333333333333329E-2"/>
    <n v="11.916666666666666"/>
    <x v="1"/>
    <x v="0"/>
    <m/>
    <x v="0"/>
    <n v="172.79999999999998"/>
    <x v="0"/>
    <x v="28"/>
    <x v="0"/>
    <x v="0"/>
    <x v="0"/>
  </r>
  <r>
    <x v="1"/>
    <x v="11"/>
    <s v="2861/1"/>
    <x v="256"/>
    <s v="USMAN AMEEN LAHORE (PT-02)"/>
    <s v="LD BLACK"/>
    <n v="10"/>
    <n v="10"/>
    <s v="SL"/>
    <n v="200"/>
    <x v="0"/>
    <n v="4"/>
    <n v="154.9"/>
    <n v="3.3"/>
    <m/>
    <x v="0"/>
    <n v="151.6"/>
    <n v="218.5"/>
    <m/>
    <x v="0"/>
    <x v="0"/>
    <n v="0"/>
    <n v="0"/>
    <x v="0"/>
    <x v="0"/>
    <m/>
    <x v="0"/>
    <x v="0"/>
    <x v="0"/>
    <x v="0"/>
    <x v="0"/>
    <n v="0"/>
    <n v="0"/>
    <n v="0"/>
    <n v="12"/>
    <x v="1"/>
    <x v="0"/>
    <m/>
    <x v="0"/>
    <n v="159.9"/>
    <x v="0"/>
    <x v="28"/>
    <x v="0"/>
    <x v="0"/>
    <x v="0"/>
  </r>
  <r>
    <x v="1"/>
    <x v="13"/>
    <s v="2996 F"/>
    <x v="256"/>
    <s v="Usman Amin"/>
    <s v="LDN"/>
    <n v="17"/>
    <s v="7"/>
    <s v="LDN"/>
    <n v="500"/>
    <x v="0"/>
    <n v="4"/>
    <n v="249.5"/>
    <n v="8"/>
    <n v="9"/>
    <x v="0"/>
    <n v="241.5"/>
    <n v="511.5"/>
    <m/>
    <x v="6"/>
    <x v="0"/>
    <n v="120"/>
    <n v="2"/>
    <x v="0"/>
    <x v="0"/>
    <m/>
    <x v="0"/>
    <x v="0"/>
    <x v="0"/>
    <x v="0"/>
    <x v="0"/>
    <n v="0"/>
    <n v="0"/>
    <n v="2"/>
    <n v="10"/>
    <x v="1"/>
    <x v="0"/>
    <m/>
    <x v="0"/>
    <n v="254.5"/>
    <x v="0"/>
    <x v="28"/>
    <x v="0"/>
    <x v="0"/>
    <x v="0"/>
  </r>
  <r>
    <x v="0"/>
    <x v="14"/>
    <s v="7703 J"/>
    <x v="256"/>
    <s v="Rehan Butt Anarkali Lahore"/>
    <s v="LDN"/>
    <s v="36 شیٹ"/>
    <s v="-"/>
    <s v="LDN"/>
    <n v="150"/>
    <x v="0"/>
    <n v="2"/>
    <n v="178"/>
    <n v="8.3999999999999986"/>
    <m/>
    <x v="0"/>
    <n v="169.6"/>
    <n v="169.6"/>
    <m/>
    <x v="0"/>
    <x v="0"/>
    <n v="0"/>
    <n v="0"/>
    <x v="0"/>
    <x v="0"/>
    <m/>
    <x v="0"/>
    <x v="0"/>
    <x v="0"/>
    <x v="0"/>
    <x v="0"/>
    <n v="0"/>
    <n v="0"/>
    <n v="0"/>
    <n v="12"/>
    <x v="1"/>
    <x v="0"/>
    <m/>
    <x v="0"/>
    <n v="183"/>
    <x v="0"/>
    <x v="28"/>
    <x v="0"/>
    <x v="0"/>
    <x v="0"/>
  </r>
  <r>
    <x v="0"/>
    <x v="14"/>
    <s v="7702 J"/>
    <x v="256"/>
    <s v="Rehan Butt Anarkali Lahore"/>
    <s v="LDN"/>
    <s v="40 شیٹ"/>
    <s v="-"/>
    <s v="LDN"/>
    <n v="100"/>
    <x v="0"/>
    <n v="1"/>
    <n v="119.5"/>
    <n v="4"/>
    <m/>
    <x v="0"/>
    <n v="115.5"/>
    <n v="238"/>
    <n v="30"/>
    <x v="0"/>
    <x v="0"/>
    <n v="30"/>
    <n v="0.5"/>
    <x v="0"/>
    <x v="0"/>
    <m/>
    <x v="0"/>
    <x v="0"/>
    <x v="0"/>
    <x v="0"/>
    <x v="0"/>
    <n v="0"/>
    <n v="0"/>
    <n v="0.5"/>
    <n v="11.5"/>
    <x v="1"/>
    <x v="0"/>
    <m/>
    <x v="0"/>
    <n v="124.5"/>
    <x v="0"/>
    <x v="28"/>
    <x v="0"/>
    <x v="0"/>
    <x v="0"/>
  </r>
  <r>
    <x v="0"/>
    <x v="14"/>
    <s v="7719 J"/>
    <x v="256"/>
    <s v="Raza Ladies Garments LHR"/>
    <s v="LDM"/>
    <n v="20"/>
    <s v="14-15"/>
    <s v="LDM"/>
    <n v="100"/>
    <x v="0"/>
    <n v="1"/>
    <n v="119.5"/>
    <n v="3.5"/>
    <m/>
    <x v="0"/>
    <n v="116"/>
    <n v="186.1"/>
    <m/>
    <x v="0"/>
    <x v="0"/>
    <n v="0"/>
    <n v="0"/>
    <x v="0"/>
    <x v="0"/>
    <m/>
    <x v="0"/>
    <x v="0"/>
    <x v="0"/>
    <x v="0"/>
    <x v="0"/>
    <n v="0"/>
    <n v="0"/>
    <n v="0"/>
    <n v="12"/>
    <x v="1"/>
    <x v="0"/>
    <m/>
    <x v="0"/>
    <n v="124.5"/>
    <x v="0"/>
    <x v="28"/>
    <x v="0"/>
    <x v="0"/>
    <x v="0"/>
  </r>
  <r>
    <x v="0"/>
    <x v="14"/>
    <s v="7776 J"/>
    <x v="256"/>
    <s v="BIN Sheikh Garments Mall Lahore"/>
    <s v="LDM"/>
    <n v="20"/>
    <s v="14-15"/>
    <s v="LDM"/>
    <n v="100"/>
    <x v="0"/>
    <n v="1"/>
    <n v="105.5"/>
    <n v="2.5"/>
    <n v="20"/>
    <x v="0"/>
    <n v="103"/>
    <n v="201"/>
    <m/>
    <x v="0"/>
    <x v="0"/>
    <n v="0"/>
    <n v="0"/>
    <x v="0"/>
    <x v="0"/>
    <m/>
    <x v="0"/>
    <x v="0"/>
    <x v="0"/>
    <x v="0"/>
    <x v="0"/>
    <n v="0"/>
    <n v="0"/>
    <n v="0"/>
    <n v="12"/>
    <x v="1"/>
    <x v="0"/>
    <m/>
    <x v="0"/>
    <n v="110.5"/>
    <x v="0"/>
    <x v="28"/>
    <x v="0"/>
    <x v="0"/>
    <x v="0"/>
  </r>
  <r>
    <x v="1"/>
    <x v="14"/>
    <s v="7815 J"/>
    <x v="256"/>
    <s v="Acefit Timber Market LHR"/>
    <s v="LDM"/>
    <n v="20"/>
    <s v="11-11.5"/>
    <s v="LDM"/>
    <n v="200"/>
    <x v="0"/>
    <n v="2"/>
    <n v="128.5"/>
    <n v="5"/>
    <n v="45"/>
    <x v="0"/>
    <n v="123.5"/>
    <n v="123.5"/>
    <m/>
    <x v="0"/>
    <x v="0"/>
    <n v="0"/>
    <n v="0"/>
    <x v="0"/>
    <x v="0"/>
    <n v="120"/>
    <x v="0"/>
    <x v="0"/>
    <x v="0"/>
    <x v="0"/>
    <x v="0"/>
    <n v="120"/>
    <n v="2"/>
    <n v="2"/>
    <n v="10"/>
    <x v="1"/>
    <x v="0"/>
    <m/>
    <x v="0"/>
    <n v="133.5"/>
    <x v="0"/>
    <x v="28"/>
    <x v="0"/>
    <x v="0"/>
    <x v="0"/>
  </r>
  <r>
    <x v="1"/>
    <x v="14"/>
    <s v="7814 J"/>
    <x v="256"/>
    <s v="Out Class Woman And Kids Mall Lahore"/>
    <s v="LDM"/>
    <n v="24"/>
    <s v="14-15"/>
    <s v="LDM"/>
    <n v="100"/>
    <x v="0"/>
    <n v="2"/>
    <n v="106.5"/>
    <n v="6"/>
    <m/>
    <x v="0"/>
    <n v="100.5"/>
    <n v="100.5"/>
    <m/>
    <x v="0"/>
    <x v="0"/>
    <n v="0"/>
    <n v="0"/>
    <x v="0"/>
    <x v="0"/>
    <n v="70"/>
    <x v="0"/>
    <x v="0"/>
    <x v="0"/>
    <x v="0"/>
    <x v="0"/>
    <n v="70"/>
    <n v="1.1666666666666667"/>
    <n v="1.1666666666666667"/>
    <n v="10.833333333333334"/>
    <x v="1"/>
    <x v="0"/>
    <m/>
    <x v="0"/>
    <n v="111.5"/>
    <x v="0"/>
    <x v="28"/>
    <x v="0"/>
    <x v="0"/>
    <x v="0"/>
  </r>
  <r>
    <x v="1"/>
    <x v="14"/>
    <s v="7775 J"/>
    <x v="256"/>
    <s v="BIN Sheikh Garments Mall Lahore"/>
    <s v="LDM"/>
    <n v="17"/>
    <s v="12-13."/>
    <s v="LDM"/>
    <n v="100"/>
    <x v="0"/>
    <n v="2"/>
    <n v="108"/>
    <n v="4"/>
    <m/>
    <x v="0"/>
    <n v="104"/>
    <n v="104"/>
    <n v="5"/>
    <x v="0"/>
    <x v="0"/>
    <n v="5"/>
    <n v="8.3333333333333329E-2"/>
    <x v="0"/>
    <x v="0"/>
    <m/>
    <x v="0"/>
    <x v="0"/>
    <x v="0"/>
    <x v="0"/>
    <x v="0"/>
    <n v="0"/>
    <n v="0"/>
    <n v="8.3333333333333329E-2"/>
    <n v="11.916666666666666"/>
    <x v="1"/>
    <x v="0"/>
    <m/>
    <x v="0"/>
    <n v="113"/>
    <x v="0"/>
    <x v="28"/>
    <x v="0"/>
    <x v="0"/>
    <x v="0"/>
  </r>
  <r>
    <x v="1"/>
    <x v="14"/>
    <s v="7777 J"/>
    <x v="256"/>
    <s v="BIN Sheikh Garments Mall Lahore"/>
    <s v="LDM"/>
    <n v="24"/>
    <s v="14-15"/>
    <s v="LDM"/>
    <n v="100"/>
    <x v="0"/>
    <n v="2"/>
    <n v="109"/>
    <n v="6"/>
    <m/>
    <x v="0"/>
    <n v="103"/>
    <n v="103"/>
    <m/>
    <x v="0"/>
    <x v="0"/>
    <n v="0"/>
    <n v="0"/>
    <x v="0"/>
    <x v="0"/>
    <m/>
    <x v="0"/>
    <x v="0"/>
    <x v="0"/>
    <x v="0"/>
    <x v="0"/>
    <n v="0"/>
    <n v="0"/>
    <n v="0"/>
    <n v="12"/>
    <x v="1"/>
    <x v="0"/>
    <m/>
    <x v="0"/>
    <n v="114"/>
    <x v="0"/>
    <x v="28"/>
    <x v="0"/>
    <x v="0"/>
    <x v="0"/>
  </r>
  <r>
    <x v="1"/>
    <x v="14"/>
    <s v="7714 J"/>
    <x v="256"/>
    <s v="M- Haseeb Javed"/>
    <s v="LDM"/>
    <n v="9"/>
    <s v="10-10.5"/>
    <s v="LDM"/>
    <n v="100"/>
    <x v="0"/>
    <n v="2"/>
    <n v="116.5"/>
    <n v="4.4000000000000004"/>
    <m/>
    <x v="0"/>
    <n v="112.1"/>
    <n v="112.1"/>
    <m/>
    <x v="0"/>
    <x v="0"/>
    <n v="0"/>
    <n v="0"/>
    <x v="0"/>
    <x v="0"/>
    <m/>
    <x v="0"/>
    <x v="0"/>
    <x v="0"/>
    <x v="0"/>
    <x v="0"/>
    <n v="0"/>
    <n v="0"/>
    <n v="0"/>
    <n v="12"/>
    <x v="1"/>
    <x v="0"/>
    <m/>
    <x v="0"/>
    <n v="121.5"/>
    <x v="0"/>
    <x v="28"/>
    <x v="0"/>
    <x v="0"/>
    <x v="0"/>
  </r>
  <r>
    <x v="0"/>
    <x v="15"/>
    <s v="7807 J"/>
    <x v="256"/>
    <s v="Golden Chemical Faisalbad"/>
    <s v="LDN"/>
    <s v="510 MM"/>
    <s v="15-16/30-32"/>
    <s v="LDN"/>
    <n v="400"/>
    <x v="0"/>
    <n v="3"/>
    <n v="188"/>
    <n v="6.8999999999999995"/>
    <m/>
    <x v="0"/>
    <n v="181.1"/>
    <n v="400.6"/>
    <m/>
    <x v="0"/>
    <x v="0"/>
    <n v="0"/>
    <n v="0"/>
    <x v="0"/>
    <x v="0"/>
    <m/>
    <x v="0"/>
    <x v="0"/>
    <x v="0"/>
    <x v="0"/>
    <x v="0"/>
    <n v="0"/>
    <n v="0"/>
    <n v="0"/>
    <n v="12"/>
    <x v="1"/>
    <x v="0"/>
    <m/>
    <x v="0"/>
    <n v="193"/>
    <x v="0"/>
    <x v="28"/>
    <x v="0"/>
    <x v="0"/>
    <x v="0"/>
  </r>
  <r>
    <x v="0"/>
    <x v="15"/>
    <s v="7806 J"/>
    <x v="256"/>
    <s v="Golden Chemical Faisalbad"/>
    <s v="LDN"/>
    <s v="510 MM"/>
    <s v="15-16/30-32"/>
    <s v="LDN"/>
    <n v="800"/>
    <x v="0"/>
    <n v="3"/>
    <n v="209.5"/>
    <n v="6.8"/>
    <n v="40"/>
    <x v="0"/>
    <n v="202.7"/>
    <n v="749.5"/>
    <m/>
    <x v="0"/>
    <x v="0"/>
    <n v="0"/>
    <n v="0"/>
    <x v="0"/>
    <x v="0"/>
    <m/>
    <x v="0"/>
    <x v="0"/>
    <x v="0"/>
    <x v="0"/>
    <x v="0"/>
    <n v="0"/>
    <n v="0"/>
    <n v="0"/>
    <n v="12"/>
    <x v="1"/>
    <x v="0"/>
    <m/>
    <x v="0"/>
    <n v="214.5"/>
    <x v="0"/>
    <x v="28"/>
    <x v="0"/>
    <x v="0"/>
    <x v="0"/>
  </r>
  <r>
    <x v="1"/>
    <x v="15"/>
    <s v="7806 J"/>
    <x v="256"/>
    <s v="Golden Chemical Faisalbad"/>
    <s v="LDN"/>
    <s v="510 MM"/>
    <s v="15-16/30-32"/>
    <s v="LDN"/>
    <n v="800"/>
    <x v="0"/>
    <n v="6"/>
    <n v="319"/>
    <n v="15"/>
    <n v="38"/>
    <x v="0"/>
    <n v="304"/>
    <n v="749.5"/>
    <m/>
    <x v="0"/>
    <x v="0"/>
    <n v="0"/>
    <n v="0"/>
    <x v="0"/>
    <x v="0"/>
    <n v="120"/>
    <x v="0"/>
    <x v="0"/>
    <x v="0"/>
    <x v="0"/>
    <x v="0"/>
    <n v="120"/>
    <n v="2"/>
    <n v="2"/>
    <n v="10"/>
    <x v="1"/>
    <x v="0"/>
    <m/>
    <x v="0"/>
    <n v="324"/>
    <x v="0"/>
    <x v="28"/>
    <x v="0"/>
    <x v="0"/>
    <x v="0"/>
  </r>
  <r>
    <x v="0"/>
    <x v="8"/>
    <s v="7747 J"/>
    <x v="257"/>
    <s v="Usman Arif Butt Gujranwala"/>
    <s v="LDN"/>
    <n v="4"/>
    <n v="10"/>
    <s v="LDN"/>
    <n v="200"/>
    <x v="0"/>
    <n v="4"/>
    <n v="111.15"/>
    <n v="2.2000000000000002"/>
    <n v="1"/>
    <x v="0"/>
    <n v="108.95"/>
    <n v="208.95"/>
    <m/>
    <x v="0"/>
    <x v="0"/>
    <n v="0"/>
    <n v="0"/>
    <x v="0"/>
    <x v="0"/>
    <m/>
    <x v="0"/>
    <x v="0"/>
    <x v="0"/>
    <x v="0"/>
    <x v="0"/>
    <n v="0"/>
    <n v="0"/>
    <n v="0"/>
    <n v="12"/>
    <x v="1"/>
    <x v="0"/>
    <m/>
    <x v="0"/>
    <n v="116.15"/>
    <x v="0"/>
    <x v="28"/>
    <x v="0"/>
    <x v="0"/>
    <x v="0"/>
  </r>
  <r>
    <x v="1"/>
    <x v="8"/>
    <s v="7747 J"/>
    <x v="257"/>
    <s v="Usman Arif Butt Gujranwala"/>
    <s v="LDN"/>
    <n v="4"/>
    <n v="10"/>
    <s v="LDN"/>
    <n v="200"/>
    <x v="0"/>
    <n v="5"/>
    <n v="103"/>
    <n v="3"/>
    <n v="2"/>
    <x v="0"/>
    <n v="100"/>
    <n v="208.95"/>
    <m/>
    <x v="0"/>
    <x v="0"/>
    <n v="0"/>
    <n v="0"/>
    <x v="0"/>
    <x v="0"/>
    <m/>
    <x v="0"/>
    <x v="0"/>
    <x v="0"/>
    <x v="0"/>
    <x v="0"/>
    <n v="0"/>
    <n v="0"/>
    <n v="0"/>
    <n v="12"/>
    <x v="1"/>
    <x v="0"/>
    <m/>
    <x v="0"/>
    <n v="108"/>
    <x v="0"/>
    <x v="28"/>
    <x v="0"/>
    <x v="0"/>
    <x v="0"/>
  </r>
  <r>
    <x v="0"/>
    <x v="9"/>
    <s v="7760 J"/>
    <x v="257"/>
    <s v="Adam Jee Dura Duct Built PVT LTD"/>
    <s v="LDN"/>
    <n v="9"/>
    <s v="15-16"/>
    <s v="LDN"/>
    <n v="500"/>
    <x v="0"/>
    <n v="3"/>
    <n v="167.2"/>
    <n v="3.7"/>
    <n v="1"/>
    <x v="0"/>
    <n v="163.5"/>
    <n v="504.80000000000007"/>
    <m/>
    <x v="0"/>
    <x v="0"/>
    <n v="0"/>
    <n v="0"/>
    <x v="0"/>
    <x v="0"/>
    <m/>
    <x v="0"/>
    <x v="0"/>
    <x v="0"/>
    <x v="0"/>
    <x v="0"/>
    <n v="0"/>
    <n v="0"/>
    <n v="0"/>
    <n v="12"/>
    <x v="1"/>
    <x v="0"/>
    <m/>
    <x v="0"/>
    <n v="172.2"/>
    <x v="0"/>
    <x v="28"/>
    <x v="0"/>
    <x v="0"/>
    <x v="0"/>
  </r>
  <r>
    <x v="1"/>
    <x v="9"/>
    <s v="7760 J"/>
    <x v="257"/>
    <s v="Adam Jee Dura Duct Built PVT LTD"/>
    <s v="LDN"/>
    <n v="9"/>
    <s v="15-16"/>
    <s v="LDN"/>
    <n v="500"/>
    <x v="0"/>
    <n v="3"/>
    <n v="177.5"/>
    <n v="3.5999999999999996"/>
    <n v="2"/>
    <x v="0"/>
    <n v="173.9"/>
    <n v="504.80000000000007"/>
    <m/>
    <x v="0"/>
    <x v="0"/>
    <n v="0"/>
    <n v="0"/>
    <x v="0"/>
    <x v="0"/>
    <m/>
    <x v="0"/>
    <x v="0"/>
    <x v="0"/>
    <x v="0"/>
    <x v="0"/>
    <n v="0"/>
    <n v="0"/>
    <n v="0"/>
    <n v="12"/>
    <x v="1"/>
    <x v="0"/>
    <m/>
    <x v="0"/>
    <n v="182.5"/>
    <x v="0"/>
    <x v="28"/>
    <x v="0"/>
    <x v="0"/>
    <x v="0"/>
  </r>
  <r>
    <x v="0"/>
    <x v="11"/>
    <s v="2861/1"/>
    <x v="257"/>
    <s v="USMAN AMEEN LAHORE (PT-02)"/>
    <s v="LD BLACK"/>
    <n v="10"/>
    <n v="10"/>
    <s v="SL"/>
    <n v="200"/>
    <x v="0"/>
    <n v="2"/>
    <n v="68.900000000000006"/>
    <n v="2"/>
    <m/>
    <x v="0"/>
    <n v="66.900000000000006"/>
    <n v="218.5"/>
    <m/>
    <x v="0"/>
    <x v="0"/>
    <n v="0"/>
    <n v="0"/>
    <x v="0"/>
    <x v="0"/>
    <m/>
    <x v="0"/>
    <x v="0"/>
    <x v="0"/>
    <x v="0"/>
    <x v="0"/>
    <n v="0"/>
    <n v="0"/>
    <n v="0"/>
    <n v="12"/>
    <x v="1"/>
    <x v="0"/>
    <m/>
    <x v="0"/>
    <n v="73.900000000000006"/>
    <x v="0"/>
    <x v="28"/>
    <x v="0"/>
    <x v="0"/>
    <x v="0"/>
  </r>
  <r>
    <x v="0"/>
    <x v="11"/>
    <s v="1150 J"/>
    <x v="257"/>
    <s v="THANK YOU"/>
    <m/>
    <n v="20"/>
    <s v="12-13"/>
    <m/>
    <m/>
    <x v="0"/>
    <n v="2"/>
    <n v="188"/>
    <n v="5"/>
    <m/>
    <x v="0"/>
    <n v="183"/>
    <n v="1647.44"/>
    <m/>
    <x v="0"/>
    <x v="0"/>
    <n v="0"/>
    <n v="0"/>
    <x v="0"/>
    <x v="0"/>
    <m/>
    <x v="0"/>
    <x v="0"/>
    <x v="0"/>
    <x v="0"/>
    <x v="0"/>
    <n v="0"/>
    <n v="0"/>
    <n v="0"/>
    <n v="12"/>
    <x v="1"/>
    <x v="0"/>
    <m/>
    <x v="0"/>
    <n v="193"/>
    <x v="0"/>
    <x v="28"/>
    <x v="0"/>
    <x v="0"/>
    <x v="0"/>
  </r>
  <r>
    <x v="0"/>
    <x v="11"/>
    <s v="7706 J"/>
    <x v="257"/>
    <s v="Alam Printers Butkhela"/>
    <s v="LD پیلا"/>
    <n v="20"/>
    <s v="15-16"/>
    <s v="LDM"/>
    <n v="150"/>
    <x v="0"/>
    <n v="2"/>
    <n v="155"/>
    <n v="5.0999999999999996"/>
    <n v="32"/>
    <x v="0"/>
    <n v="149.9"/>
    <n v="149.9"/>
    <m/>
    <x v="0"/>
    <x v="0"/>
    <n v="0"/>
    <n v="0"/>
    <x v="0"/>
    <x v="0"/>
    <m/>
    <x v="0"/>
    <x v="0"/>
    <x v="0"/>
    <x v="0"/>
    <x v="0"/>
    <n v="0"/>
    <n v="0"/>
    <n v="0"/>
    <n v="12"/>
    <x v="1"/>
    <x v="0"/>
    <m/>
    <x v="0"/>
    <n v="160"/>
    <x v="0"/>
    <x v="28"/>
    <x v="0"/>
    <x v="0"/>
    <x v="0"/>
  </r>
  <r>
    <x v="1"/>
    <x v="11"/>
    <s v="7911 J"/>
    <x v="257"/>
    <s v="Alam Printers Butkhela"/>
    <s v="LD پیلا"/>
    <n v="21"/>
    <s v="15-16"/>
    <s v="LDM"/>
    <n v="300"/>
    <x v="0"/>
    <n v="4"/>
    <n v="311"/>
    <n v="10.4"/>
    <n v="62"/>
    <x v="0"/>
    <n v="300.60000000000002"/>
    <n v="300.60000000000002"/>
    <m/>
    <x v="0"/>
    <x v="0"/>
    <n v="0"/>
    <n v="0"/>
    <x v="0"/>
    <x v="0"/>
    <m/>
    <x v="0"/>
    <x v="0"/>
    <x v="0"/>
    <x v="0"/>
    <x v="0"/>
    <n v="0"/>
    <n v="0"/>
    <n v="0"/>
    <n v="12"/>
    <x v="1"/>
    <x v="0"/>
    <m/>
    <x v="0"/>
    <n v="316"/>
    <x v="0"/>
    <x v="28"/>
    <x v="0"/>
    <x v="0"/>
    <x v="0"/>
  </r>
  <r>
    <x v="1"/>
    <x v="11"/>
    <s v="7722 J"/>
    <x v="257"/>
    <s v="Mughal Plastic Store Layyah"/>
    <s v="LD گرے"/>
    <s v="12+3+3"/>
    <s v="8-8.5/16-17"/>
    <s v="LDM"/>
    <n v="110"/>
    <x v="0"/>
    <n v="3"/>
    <n v="113"/>
    <n v="4.5"/>
    <m/>
    <x v="0"/>
    <n v="108.5"/>
    <n v="108.5"/>
    <m/>
    <x v="0"/>
    <x v="0"/>
    <n v="0"/>
    <n v="0"/>
    <x v="0"/>
    <x v="0"/>
    <m/>
    <x v="0"/>
    <x v="0"/>
    <x v="0"/>
    <x v="0"/>
    <x v="0"/>
    <n v="0"/>
    <n v="0"/>
    <n v="0"/>
    <n v="12"/>
    <x v="1"/>
    <x v="0"/>
    <m/>
    <x v="0"/>
    <n v="118"/>
    <x v="0"/>
    <x v="28"/>
    <x v="0"/>
    <x v="0"/>
    <x v="0"/>
  </r>
  <r>
    <x v="0"/>
    <x v="13"/>
    <s v="2996 F"/>
    <x v="257"/>
    <s v="Usman Amin"/>
    <s v="LDN"/>
    <n v="17"/>
    <s v="7"/>
    <s v="LDN"/>
    <n v="500"/>
    <x v="0"/>
    <n v="5"/>
    <n v="280"/>
    <n v="10"/>
    <m/>
    <x v="0"/>
    <n v="270"/>
    <n v="511.5"/>
    <m/>
    <x v="0"/>
    <x v="0"/>
    <n v="0"/>
    <n v="0"/>
    <x v="0"/>
    <x v="0"/>
    <m/>
    <x v="0"/>
    <x v="0"/>
    <x v="0"/>
    <x v="0"/>
    <x v="0"/>
    <n v="0"/>
    <n v="0"/>
    <n v="0"/>
    <n v="12"/>
    <x v="1"/>
    <x v="0"/>
    <m/>
    <x v="0"/>
    <n v="285"/>
    <x v="0"/>
    <x v="28"/>
    <x v="0"/>
    <x v="0"/>
    <x v="0"/>
  </r>
  <r>
    <x v="0"/>
    <x v="13"/>
    <s v="3010 F"/>
    <x v="257"/>
    <s v="Usman Amin"/>
    <s v="LDN"/>
    <n v="17"/>
    <s v="8-8.5"/>
    <s v="LDN"/>
    <n v="90"/>
    <x v="0"/>
    <n v="1"/>
    <n v="56"/>
    <n v="2.92"/>
    <m/>
    <x v="0"/>
    <n v="53.08"/>
    <n v="418.67999999999995"/>
    <m/>
    <x v="0"/>
    <x v="0"/>
    <n v="0"/>
    <n v="0"/>
    <x v="0"/>
    <x v="0"/>
    <m/>
    <x v="0"/>
    <x v="0"/>
    <x v="0"/>
    <x v="0"/>
    <x v="0"/>
    <n v="0"/>
    <n v="0"/>
    <n v="0"/>
    <n v="12"/>
    <x v="1"/>
    <x v="0"/>
    <m/>
    <x v="0"/>
    <n v="61"/>
    <x v="0"/>
    <x v="28"/>
    <x v="0"/>
    <x v="0"/>
    <x v="0"/>
  </r>
  <r>
    <x v="1"/>
    <x v="13"/>
    <s v="3010 F"/>
    <x v="257"/>
    <s v="Usman Amin"/>
    <s v="LDN"/>
    <n v="17"/>
    <s v="8-8.5"/>
    <s v="LDN"/>
    <n v="90"/>
    <x v="0"/>
    <n v="3"/>
    <n v="166"/>
    <n v="6"/>
    <m/>
    <x v="0"/>
    <n v="160"/>
    <n v="418.67999999999995"/>
    <m/>
    <x v="0"/>
    <x v="0"/>
    <n v="0"/>
    <n v="0"/>
    <x v="0"/>
    <x v="0"/>
    <m/>
    <x v="0"/>
    <x v="0"/>
    <x v="0"/>
    <x v="0"/>
    <x v="0"/>
    <n v="0"/>
    <n v="0"/>
    <n v="0"/>
    <n v="12"/>
    <x v="1"/>
    <x v="0"/>
    <m/>
    <x v="0"/>
    <n v="171"/>
    <x v="0"/>
    <x v="28"/>
    <x v="0"/>
    <x v="0"/>
    <x v="0"/>
  </r>
  <r>
    <x v="1"/>
    <x v="13"/>
    <s v="2997 F"/>
    <x v="257"/>
    <s v="Usman Amin"/>
    <s v="LDN"/>
    <n v="17"/>
    <s v="7"/>
    <s v="LDN"/>
    <n v="300"/>
    <x v="0"/>
    <n v="3"/>
    <n v="180"/>
    <n v="6"/>
    <m/>
    <x v="0"/>
    <n v="174"/>
    <n v="237"/>
    <m/>
    <x v="0"/>
    <x v="0"/>
    <n v="0"/>
    <n v="0"/>
    <x v="0"/>
    <x v="0"/>
    <m/>
    <x v="0"/>
    <x v="0"/>
    <x v="0"/>
    <x v="0"/>
    <x v="0"/>
    <n v="0"/>
    <n v="0"/>
    <n v="0"/>
    <n v="12"/>
    <x v="1"/>
    <x v="0"/>
    <m/>
    <x v="0"/>
    <n v="185"/>
    <x v="0"/>
    <x v="28"/>
    <x v="0"/>
    <x v="0"/>
    <x v="0"/>
  </r>
  <r>
    <x v="0"/>
    <x v="14"/>
    <s v="7829 J"/>
    <x v="257"/>
    <s v="Ramada Gulberg Lahore "/>
    <s v="LDM"/>
    <n v="16"/>
    <s v="12-13."/>
    <s v="LDM"/>
    <n v="100"/>
    <x v="0"/>
    <n v="2"/>
    <n v="101.5"/>
    <n v="3.2"/>
    <m/>
    <x v="0"/>
    <n v="98.3"/>
    <n v="98.3"/>
    <n v="2"/>
    <x v="0"/>
    <x v="0"/>
    <n v="2"/>
    <n v="3.3333333333333333E-2"/>
    <x v="0"/>
    <x v="0"/>
    <m/>
    <x v="0"/>
    <x v="0"/>
    <x v="0"/>
    <x v="0"/>
    <x v="0"/>
    <n v="0"/>
    <n v="0"/>
    <n v="3.3333333333333333E-2"/>
    <n v="11.966666666666667"/>
    <x v="1"/>
    <x v="0"/>
    <m/>
    <x v="0"/>
    <n v="106.5"/>
    <x v="0"/>
    <x v="28"/>
    <x v="0"/>
    <x v="0"/>
    <x v="0"/>
  </r>
  <r>
    <x v="0"/>
    <x v="14"/>
    <s v="7912 J"/>
    <x v="257"/>
    <s v="Ahsan Bilal FSD"/>
    <s v="LDM"/>
    <n v="16"/>
    <s v="12-13."/>
    <s v="LDM"/>
    <n v="100"/>
    <x v="0"/>
    <n v="2"/>
    <n v="102"/>
    <n v="4"/>
    <m/>
    <x v="0"/>
    <n v="98"/>
    <n v="98"/>
    <n v="3"/>
    <x v="0"/>
    <x v="0"/>
    <n v="3"/>
    <n v="0.05"/>
    <x v="0"/>
    <x v="0"/>
    <m/>
    <x v="0"/>
    <x v="0"/>
    <x v="0"/>
    <x v="0"/>
    <x v="0"/>
    <n v="0"/>
    <n v="0"/>
    <n v="0.05"/>
    <n v="11.95"/>
    <x v="1"/>
    <x v="0"/>
    <m/>
    <x v="0"/>
    <n v="107"/>
    <x v="0"/>
    <x v="28"/>
    <x v="0"/>
    <x v="0"/>
    <x v="0"/>
  </r>
  <r>
    <x v="0"/>
    <x v="14"/>
    <s v="7776 J"/>
    <x v="257"/>
    <s v="BIN Sheikh Garments Mall Lahore"/>
    <s v="LDM"/>
    <n v="20"/>
    <s v="14-15"/>
    <s v="LDM"/>
    <n v="100"/>
    <x v="0"/>
    <n v="2"/>
    <n v="102"/>
    <n v="4"/>
    <m/>
    <x v="0"/>
    <n v="98"/>
    <n v="201"/>
    <n v="5"/>
    <x v="0"/>
    <x v="0"/>
    <n v="5"/>
    <n v="8.3333333333333329E-2"/>
    <x v="0"/>
    <x v="0"/>
    <m/>
    <x v="0"/>
    <x v="0"/>
    <x v="0"/>
    <x v="0"/>
    <x v="0"/>
    <n v="0"/>
    <n v="0"/>
    <n v="8.3333333333333329E-2"/>
    <n v="11.916666666666666"/>
    <x v="1"/>
    <x v="0"/>
    <m/>
    <x v="0"/>
    <n v="107"/>
    <x v="0"/>
    <x v="28"/>
    <x v="0"/>
    <x v="0"/>
    <x v="0"/>
  </r>
  <r>
    <x v="0"/>
    <x v="14"/>
    <s v="7713 J"/>
    <x v="257"/>
    <s v="M- Haseeb Javed"/>
    <s v="LDM"/>
    <n v="7"/>
    <s v="8-8.5"/>
    <s v="LDM"/>
    <n v="100"/>
    <x v="0"/>
    <n v="2"/>
    <n v="101"/>
    <n v="3"/>
    <m/>
    <x v="0"/>
    <n v="98"/>
    <n v="98"/>
    <n v="5"/>
    <x v="0"/>
    <x v="0"/>
    <n v="5"/>
    <n v="8.3333333333333329E-2"/>
    <x v="0"/>
    <x v="0"/>
    <m/>
    <x v="0"/>
    <x v="0"/>
    <x v="0"/>
    <x v="0"/>
    <x v="0"/>
    <n v="0"/>
    <n v="0"/>
    <n v="8.3333333333333329E-2"/>
    <n v="11.916666666666666"/>
    <x v="1"/>
    <x v="0"/>
    <m/>
    <x v="0"/>
    <n v="106"/>
    <x v="0"/>
    <x v="28"/>
    <x v="0"/>
    <x v="0"/>
    <x v="0"/>
  </r>
  <r>
    <x v="0"/>
    <x v="14"/>
    <s v="7914 J"/>
    <x v="257"/>
    <s v="Ahsan Bilal FSD"/>
    <s v="LDM"/>
    <n v="22"/>
    <s v="14-15"/>
    <s v="LDM"/>
    <n v="200"/>
    <x v="0"/>
    <n v="3"/>
    <n v="204"/>
    <n v="8.3999999999999986"/>
    <n v="16"/>
    <x v="0"/>
    <n v="195.6"/>
    <n v="195.6"/>
    <m/>
    <x v="0"/>
    <x v="0"/>
    <n v="0"/>
    <n v="0"/>
    <x v="0"/>
    <x v="0"/>
    <m/>
    <x v="0"/>
    <x v="0"/>
    <x v="0"/>
    <x v="0"/>
    <x v="0"/>
    <n v="0"/>
    <n v="0"/>
    <n v="0"/>
    <n v="12"/>
    <x v="1"/>
    <x v="0"/>
    <m/>
    <x v="0"/>
    <n v="209"/>
    <x v="0"/>
    <x v="28"/>
    <x v="0"/>
    <x v="0"/>
    <x v="0"/>
  </r>
  <r>
    <x v="1"/>
    <x v="14"/>
    <s v="7740 J"/>
    <x v="257"/>
    <s v="Umair PP  Adda Crown C/O Majistice Plastice"/>
    <s v="LDM"/>
    <n v="22"/>
    <s v="13-14"/>
    <s v="LDM"/>
    <n v="200"/>
    <x v="0"/>
    <n v="3"/>
    <n v="204.5"/>
    <n v="6.9"/>
    <n v="65"/>
    <x v="0"/>
    <n v="197.6"/>
    <n v="197.6"/>
    <n v="30"/>
    <x v="0"/>
    <x v="0"/>
    <n v="30"/>
    <n v="0.5"/>
    <x v="0"/>
    <x v="0"/>
    <n v="140"/>
    <x v="0"/>
    <x v="0"/>
    <x v="0"/>
    <x v="0"/>
    <x v="0"/>
    <n v="140"/>
    <n v="2.3333333333333335"/>
    <n v="2.8333333333333335"/>
    <n v="9.1666666666666661"/>
    <x v="1"/>
    <x v="0"/>
    <m/>
    <x v="0"/>
    <n v="209.5"/>
    <x v="0"/>
    <x v="28"/>
    <x v="0"/>
    <x v="0"/>
    <x v="0"/>
  </r>
  <r>
    <x v="1"/>
    <x v="14"/>
    <s v="3012 F"/>
    <x v="257"/>
    <s v="Usman Amin"/>
    <s v="LDM"/>
    <s v="40 SHEET"/>
    <s v="14/15"/>
    <s v="LDM"/>
    <n v="200"/>
    <x v="0"/>
    <n v="2"/>
    <n v="221"/>
    <n v="6"/>
    <m/>
    <x v="0"/>
    <n v="215"/>
    <n v="215"/>
    <n v="10"/>
    <x v="0"/>
    <x v="0"/>
    <n v="10"/>
    <n v="0.16666666666666666"/>
    <x v="0"/>
    <x v="0"/>
    <m/>
    <x v="0"/>
    <x v="0"/>
    <x v="0"/>
    <x v="0"/>
    <x v="0"/>
    <n v="0"/>
    <n v="0"/>
    <n v="0.16666666666666666"/>
    <n v="11.833333333333334"/>
    <x v="1"/>
    <x v="0"/>
    <m/>
    <x v="0"/>
    <n v="226"/>
    <x v="0"/>
    <x v="28"/>
    <x v="0"/>
    <x v="0"/>
    <x v="0"/>
  </r>
  <r>
    <x v="1"/>
    <x v="14"/>
    <s v="3013 F"/>
    <x v="257"/>
    <s v="Usman Amin"/>
    <s v="LDM"/>
    <s v="40 SHEET"/>
    <s v="14/15"/>
    <s v="LDM"/>
    <n v="100"/>
    <x v="0"/>
    <n v="1"/>
    <n v="126"/>
    <n v="3"/>
    <m/>
    <x v="0"/>
    <n v="123"/>
    <n v="123"/>
    <m/>
    <x v="0"/>
    <x v="0"/>
    <n v="0"/>
    <n v="0"/>
    <x v="0"/>
    <x v="0"/>
    <m/>
    <x v="0"/>
    <x v="0"/>
    <x v="0"/>
    <x v="0"/>
    <x v="0"/>
    <n v="0"/>
    <n v="0"/>
    <n v="0"/>
    <n v="12"/>
    <x v="1"/>
    <x v="0"/>
    <m/>
    <x v="0"/>
    <n v="131"/>
    <x v="0"/>
    <x v="28"/>
    <x v="0"/>
    <x v="0"/>
    <x v="0"/>
  </r>
  <r>
    <x v="1"/>
    <x v="14"/>
    <s v="276 R"/>
    <x v="257"/>
    <s v="ریفلیکٹ پیک"/>
    <s v="LDN"/>
    <n v="35"/>
    <s v="5-5.5"/>
    <s v="LDN"/>
    <n v="10000"/>
    <x v="0"/>
    <n v="1"/>
    <n v="60.5"/>
    <n v="3"/>
    <m/>
    <x v="0"/>
    <n v="57.5"/>
    <n v="9958.4"/>
    <m/>
    <x v="0"/>
    <x v="0"/>
    <n v="0"/>
    <n v="0"/>
    <x v="0"/>
    <x v="0"/>
    <m/>
    <x v="0"/>
    <x v="0"/>
    <x v="0"/>
    <x v="0"/>
    <x v="0"/>
    <n v="0"/>
    <n v="0"/>
    <n v="0"/>
    <n v="12"/>
    <x v="1"/>
    <x v="0"/>
    <m/>
    <x v="0"/>
    <n v="65.5"/>
    <x v="0"/>
    <x v="28"/>
    <x v="0"/>
    <x v="0"/>
    <x v="0"/>
  </r>
  <r>
    <x v="0"/>
    <x v="15"/>
    <s v="7806 J"/>
    <x v="257"/>
    <s v="Golden Chemical Faisalbad"/>
    <s v="LDN"/>
    <s v="510 MM"/>
    <s v="15-16/30-32"/>
    <s v="LDN"/>
    <n v="800"/>
    <x v="0"/>
    <n v="4"/>
    <n v="252"/>
    <n v="9.1999999999999993"/>
    <m/>
    <x v="0"/>
    <n v="242.8"/>
    <n v="749.5"/>
    <m/>
    <x v="0"/>
    <x v="0"/>
    <n v="0"/>
    <n v="0"/>
    <x v="0"/>
    <x v="0"/>
    <m/>
    <x v="0"/>
    <x v="0"/>
    <x v="0"/>
    <x v="0"/>
    <x v="0"/>
    <n v="0"/>
    <n v="0"/>
    <n v="0"/>
    <n v="12"/>
    <x v="1"/>
    <x v="0"/>
    <m/>
    <x v="0"/>
    <n v="257"/>
    <x v="0"/>
    <x v="28"/>
    <x v="0"/>
    <x v="0"/>
    <x v="0"/>
  </r>
  <r>
    <x v="0"/>
    <x v="15"/>
    <s v="7810 J"/>
    <x v="257"/>
    <s v="Golden Chemical Faisalbad"/>
    <s v="LDN"/>
    <s v="510 MM"/>
    <s v="15-16/30-32"/>
    <s v="LDN"/>
    <n v="300"/>
    <x v="0"/>
    <n v="2"/>
    <n v="108"/>
    <n v="4.5999999999999996"/>
    <n v="32"/>
    <x v="0"/>
    <n v="103.4"/>
    <n v="280.89999999999998"/>
    <m/>
    <x v="0"/>
    <x v="0"/>
    <n v="0"/>
    <n v="0"/>
    <x v="0"/>
    <x v="0"/>
    <m/>
    <x v="0"/>
    <x v="0"/>
    <x v="0"/>
    <x v="0"/>
    <x v="0"/>
    <n v="0"/>
    <n v="0"/>
    <n v="0"/>
    <n v="12"/>
    <x v="1"/>
    <x v="0"/>
    <m/>
    <x v="0"/>
    <n v="113"/>
    <x v="0"/>
    <x v="28"/>
    <x v="0"/>
    <x v="0"/>
    <x v="0"/>
  </r>
  <r>
    <x v="1"/>
    <x v="15"/>
    <s v="7810 J"/>
    <x v="257"/>
    <s v="Golden Chemical Faisalbad"/>
    <s v="LDN"/>
    <s v="510 MM"/>
    <s v="15-16/30-32"/>
    <s v="LDN"/>
    <n v="300"/>
    <x v="0"/>
    <n v="3"/>
    <n v="185"/>
    <n v="7.5"/>
    <n v="32"/>
    <x v="0"/>
    <n v="177.5"/>
    <n v="280.89999999999998"/>
    <m/>
    <x v="0"/>
    <x v="0"/>
    <n v="0"/>
    <n v="0"/>
    <x v="0"/>
    <x v="0"/>
    <m/>
    <x v="0"/>
    <x v="0"/>
    <x v="0"/>
    <x v="0"/>
    <x v="0"/>
    <n v="0"/>
    <n v="0"/>
    <n v="0"/>
    <n v="12"/>
    <x v="1"/>
    <x v="0"/>
    <m/>
    <x v="0"/>
    <n v="190"/>
    <x v="0"/>
    <x v="28"/>
    <x v="0"/>
    <x v="0"/>
    <x v="0"/>
  </r>
  <r>
    <x v="1"/>
    <x v="15"/>
    <s v="7812 J"/>
    <x v="257"/>
    <s v="Golden Chemical Faisalbad"/>
    <s v="LDN"/>
    <s v="510 MM"/>
    <s v="15-16/30-32"/>
    <s v="LDN"/>
    <n v="400"/>
    <x v="0"/>
    <n v="3"/>
    <n v="165"/>
    <n v="7.5"/>
    <m/>
    <x v="0"/>
    <n v="157.5"/>
    <n v="454.4"/>
    <m/>
    <x v="0"/>
    <x v="0"/>
    <n v="0"/>
    <n v="0"/>
    <x v="0"/>
    <x v="0"/>
    <m/>
    <x v="0"/>
    <x v="0"/>
    <x v="0"/>
    <x v="0"/>
    <x v="0"/>
    <n v="0"/>
    <n v="0"/>
    <n v="0"/>
    <n v="12"/>
    <x v="1"/>
    <x v="0"/>
    <m/>
    <x v="0"/>
    <n v="170"/>
    <x v="0"/>
    <x v="28"/>
    <x v="0"/>
    <x v="0"/>
    <x v="0"/>
  </r>
  <r>
    <x v="0"/>
    <x v="8"/>
    <s v="7755 J"/>
    <x v="258"/>
    <s v="Usman Arif Butt Gujranwala"/>
    <s v="LDN"/>
    <n v="4"/>
    <n v="10"/>
    <s v="LDN"/>
    <n v="120"/>
    <x v="0"/>
    <n v="4"/>
    <n v="114.5"/>
    <n v="2.4"/>
    <n v="1"/>
    <x v="0"/>
    <n v="112.1"/>
    <n v="112.1"/>
    <m/>
    <x v="0"/>
    <x v="0"/>
    <n v="0"/>
    <n v="0"/>
    <x v="0"/>
    <x v="0"/>
    <m/>
    <x v="0"/>
    <x v="0"/>
    <x v="0"/>
    <x v="0"/>
    <x v="0"/>
    <n v="0"/>
    <n v="0"/>
    <n v="0"/>
    <n v="12"/>
    <x v="1"/>
    <x v="0"/>
    <m/>
    <x v="0"/>
    <n v="119.5"/>
    <x v="0"/>
    <x v="28"/>
    <x v="0"/>
    <x v="0"/>
    <x v="0"/>
  </r>
  <r>
    <x v="1"/>
    <x v="8"/>
    <s v="7751 J"/>
    <x v="258"/>
    <s v="Usman Arif Butt Gujranwala"/>
    <s v="LDN"/>
    <n v="4"/>
    <n v="10"/>
    <s v="LDN"/>
    <n v="120"/>
    <x v="0"/>
    <n v="4"/>
    <n v="107.55"/>
    <n v="2.5"/>
    <n v="1"/>
    <x v="0"/>
    <n v="105.05"/>
    <n v="105.05"/>
    <m/>
    <x v="0"/>
    <x v="0"/>
    <n v="0"/>
    <n v="0"/>
    <x v="0"/>
    <x v="0"/>
    <m/>
    <x v="0"/>
    <x v="0"/>
    <x v="0"/>
    <x v="0"/>
    <x v="0"/>
    <n v="0"/>
    <n v="0"/>
    <n v="0"/>
    <n v="12"/>
    <x v="1"/>
    <x v="0"/>
    <m/>
    <x v="0"/>
    <n v="112.55"/>
    <x v="0"/>
    <x v="28"/>
    <x v="0"/>
    <x v="0"/>
    <x v="0"/>
  </r>
  <r>
    <x v="0"/>
    <x v="9"/>
    <s v="7760 J"/>
    <x v="258"/>
    <s v="Adam Jee Dura Duct Built PVT LTD"/>
    <s v="LDN"/>
    <n v="9"/>
    <s v="15-16"/>
    <s v="LDN"/>
    <n v="500"/>
    <x v="0"/>
    <n v="3"/>
    <n v="111"/>
    <n v="3.9000000000000004"/>
    <m/>
    <x v="0"/>
    <n v="107.1"/>
    <n v="504.80000000000007"/>
    <m/>
    <x v="0"/>
    <x v="0"/>
    <n v="0"/>
    <n v="0"/>
    <x v="0"/>
    <x v="0"/>
    <m/>
    <x v="0"/>
    <x v="0"/>
    <x v="0"/>
    <x v="0"/>
    <x v="0"/>
    <n v="0"/>
    <n v="0"/>
    <n v="0"/>
    <n v="12"/>
    <x v="1"/>
    <x v="0"/>
    <m/>
    <x v="0"/>
    <n v="116"/>
    <x v="0"/>
    <x v="28"/>
    <x v="0"/>
    <x v="0"/>
    <x v="0"/>
  </r>
  <r>
    <x v="0"/>
    <x v="9"/>
    <s v="7880 J"/>
    <x v="258"/>
    <s v="Al Buraq Deparmental Store Lahore"/>
    <s v="LDN"/>
    <n v="9"/>
    <s v="14-15"/>
    <s v="LDN"/>
    <n v="150"/>
    <x v="0"/>
    <n v="1"/>
    <n v="41.5"/>
    <n v="1.1000000000000001"/>
    <n v="2"/>
    <x v="0"/>
    <n v="40.4"/>
    <n v="40.4"/>
    <m/>
    <x v="0"/>
    <x v="0"/>
    <n v="0"/>
    <n v="0"/>
    <x v="0"/>
    <x v="0"/>
    <m/>
    <x v="0"/>
    <x v="0"/>
    <x v="0"/>
    <x v="0"/>
    <x v="0"/>
    <n v="0"/>
    <n v="0"/>
    <n v="0"/>
    <n v="12"/>
    <x v="1"/>
    <x v="0"/>
    <m/>
    <x v="0"/>
    <n v="46.5"/>
    <x v="0"/>
    <x v="28"/>
    <x v="0"/>
    <x v="0"/>
    <x v="0"/>
  </r>
  <r>
    <x v="1"/>
    <x v="9"/>
    <s v="7850 J"/>
    <x v="258"/>
    <s v="Ahmed Miss Print Sheikhupura"/>
    <s v="LDرنگدار"/>
    <n v="18"/>
    <s v="12-13."/>
    <s v="LDM"/>
    <n v="100"/>
    <x v="0"/>
    <n v="2"/>
    <n v="106"/>
    <n v="2.4"/>
    <n v="2"/>
    <x v="0"/>
    <n v="103.6"/>
    <n v="103.6"/>
    <m/>
    <x v="0"/>
    <x v="0"/>
    <n v="0"/>
    <n v="0"/>
    <x v="0"/>
    <x v="0"/>
    <m/>
    <x v="0"/>
    <x v="0"/>
    <x v="0"/>
    <x v="0"/>
    <x v="0"/>
    <n v="0"/>
    <n v="0"/>
    <n v="0"/>
    <n v="12"/>
    <x v="1"/>
    <x v="0"/>
    <m/>
    <x v="0"/>
    <n v="111"/>
    <x v="0"/>
    <x v="28"/>
    <x v="0"/>
    <x v="0"/>
    <x v="0"/>
  </r>
  <r>
    <x v="1"/>
    <x v="9"/>
    <s v="7919 J"/>
    <x v="258"/>
    <s v="Alam Printers Butkhela"/>
    <s v="LDN"/>
    <n v="9"/>
    <s v="14-15"/>
    <s v="LDN"/>
    <n v="100"/>
    <x v="0"/>
    <n v="1"/>
    <n v="47"/>
    <n v="1.2"/>
    <m/>
    <x v="0"/>
    <n v="45.8"/>
    <n v="100.3"/>
    <m/>
    <x v="0"/>
    <x v="0"/>
    <n v="0"/>
    <n v="0"/>
    <x v="0"/>
    <x v="0"/>
    <m/>
    <x v="0"/>
    <x v="0"/>
    <x v="0"/>
    <x v="0"/>
    <x v="0"/>
    <n v="0"/>
    <n v="0"/>
    <n v="0"/>
    <n v="12"/>
    <x v="1"/>
    <x v="0"/>
    <m/>
    <x v="0"/>
    <n v="52"/>
    <x v="0"/>
    <x v="28"/>
    <x v="0"/>
    <x v="0"/>
    <x v="0"/>
  </r>
  <r>
    <x v="0"/>
    <x v="11"/>
    <s v="7875 J"/>
    <x v="258"/>
    <s v="Waqas Wollan Mills Gujranwala"/>
    <s v="LD ریڈ"/>
    <n v="11"/>
    <n v="8"/>
    <s v="LDM"/>
    <n v="150"/>
    <x v="0"/>
    <n v="3"/>
    <n v="158"/>
    <n v="3.9000000000000004"/>
    <m/>
    <x v="0"/>
    <n v="154.1"/>
    <n v="154.1"/>
    <m/>
    <x v="0"/>
    <x v="0"/>
    <n v="0"/>
    <n v="0"/>
    <x v="0"/>
    <x v="0"/>
    <m/>
    <x v="0"/>
    <x v="0"/>
    <x v="0"/>
    <x v="0"/>
    <x v="0"/>
    <n v="0"/>
    <n v="0"/>
    <n v="0"/>
    <n v="12"/>
    <x v="1"/>
    <x v="0"/>
    <m/>
    <x v="0"/>
    <n v="163"/>
    <x v="0"/>
    <x v="28"/>
    <x v="0"/>
    <x v="0"/>
    <x v="0"/>
  </r>
  <r>
    <x v="0"/>
    <x v="11"/>
    <s v="7876 J"/>
    <x v="258"/>
    <s v="Waqas Wollan Mills Gujranwala"/>
    <s v="LD بلو"/>
    <n v="12"/>
    <n v="8"/>
    <s v="LDM"/>
    <n v="150"/>
    <x v="0"/>
    <n v="2"/>
    <n v="139"/>
    <n v="2.6"/>
    <n v="45"/>
    <x v="0"/>
    <n v="136.4"/>
    <n v="201.60000000000002"/>
    <m/>
    <x v="0"/>
    <x v="0"/>
    <n v="0"/>
    <n v="0"/>
    <x v="0"/>
    <x v="0"/>
    <m/>
    <x v="0"/>
    <x v="0"/>
    <x v="0"/>
    <x v="0"/>
    <x v="0"/>
    <n v="0"/>
    <n v="0"/>
    <n v="0"/>
    <n v="12"/>
    <x v="1"/>
    <x v="0"/>
    <m/>
    <x v="0"/>
    <n v="144"/>
    <x v="0"/>
    <x v="28"/>
    <x v="0"/>
    <x v="0"/>
    <x v="0"/>
  </r>
  <r>
    <x v="1"/>
    <x v="11"/>
    <s v="7876 J"/>
    <x v="258"/>
    <s v="Waqas Wollan Mills Gujranwala"/>
    <s v="LD بلو"/>
    <n v="12"/>
    <n v="8"/>
    <s v="LDM"/>
    <n v="150"/>
    <x v="0"/>
    <n v="1"/>
    <n v="66.5"/>
    <n v="1.3"/>
    <n v="42"/>
    <x v="0"/>
    <n v="65.2"/>
    <n v="201.60000000000002"/>
    <m/>
    <x v="0"/>
    <x v="0"/>
    <n v="0"/>
    <n v="0"/>
    <x v="0"/>
    <x v="0"/>
    <m/>
    <x v="0"/>
    <x v="0"/>
    <x v="0"/>
    <x v="0"/>
    <x v="0"/>
    <n v="0"/>
    <n v="0"/>
    <n v="0"/>
    <n v="12"/>
    <x v="1"/>
    <x v="0"/>
    <m/>
    <x v="0"/>
    <n v="71.5"/>
    <x v="0"/>
    <x v="28"/>
    <x v="0"/>
    <x v="0"/>
    <x v="0"/>
  </r>
  <r>
    <x v="1"/>
    <x v="11"/>
    <s v="7877 J"/>
    <x v="258"/>
    <s v="Waqas Wollan Mills Gujranwala"/>
    <s v="LD بلو"/>
    <n v="14"/>
    <n v="8"/>
    <s v="LDM"/>
    <n v="100"/>
    <x v="0"/>
    <n v="2"/>
    <n v="103.5"/>
    <n v="3.2"/>
    <m/>
    <x v="0"/>
    <n v="100.3"/>
    <n v="100.3"/>
    <m/>
    <x v="0"/>
    <x v="0"/>
    <n v="0"/>
    <n v="0"/>
    <x v="0"/>
    <x v="0"/>
    <m/>
    <x v="0"/>
    <x v="0"/>
    <x v="0"/>
    <x v="0"/>
    <x v="0"/>
    <n v="0"/>
    <n v="0"/>
    <n v="0"/>
    <n v="12"/>
    <x v="1"/>
    <x v="0"/>
    <m/>
    <x v="0"/>
    <n v="108.5"/>
    <x v="0"/>
    <x v="28"/>
    <x v="0"/>
    <x v="0"/>
    <x v="0"/>
  </r>
  <r>
    <x v="1"/>
    <x v="11"/>
    <s v="7879 J"/>
    <x v="258"/>
    <s v="Waqas Wollan Mills Gujranwala"/>
    <s v="LD گرین"/>
    <n v="13"/>
    <n v="8"/>
    <s v="LDM"/>
    <n v="200"/>
    <x v="0"/>
    <n v="3"/>
    <n v="168.5"/>
    <n v="4.9000000000000004"/>
    <m/>
    <x v="0"/>
    <n v="163.6"/>
    <n v="356.8"/>
    <m/>
    <x v="0"/>
    <x v="0"/>
    <n v="0"/>
    <n v="0"/>
    <x v="0"/>
    <x v="0"/>
    <m/>
    <x v="0"/>
    <x v="0"/>
    <x v="0"/>
    <x v="0"/>
    <x v="0"/>
    <n v="0"/>
    <n v="0"/>
    <n v="0"/>
    <n v="12"/>
    <x v="1"/>
    <x v="0"/>
    <m/>
    <x v="0"/>
    <n v="173.5"/>
    <x v="0"/>
    <x v="28"/>
    <x v="0"/>
    <x v="0"/>
    <x v="0"/>
  </r>
  <r>
    <x v="0"/>
    <x v="13"/>
    <s v="2997 F"/>
    <x v="258"/>
    <s v="Usman Amin"/>
    <s v="LDN"/>
    <n v="17"/>
    <s v="7"/>
    <s v="LDN"/>
    <n v="300"/>
    <x v="0"/>
    <n v="1"/>
    <n v="65"/>
    <n v="2"/>
    <m/>
    <x v="0"/>
    <n v="63"/>
    <n v="237"/>
    <m/>
    <x v="0"/>
    <x v="0"/>
    <n v="0"/>
    <n v="0"/>
    <x v="0"/>
    <x v="0"/>
    <m/>
    <x v="0"/>
    <x v="0"/>
    <x v="0"/>
    <x v="0"/>
    <x v="0"/>
    <n v="0"/>
    <n v="0"/>
    <n v="0"/>
    <n v="12"/>
    <x v="1"/>
    <x v="0"/>
    <m/>
    <x v="0"/>
    <n v="70"/>
    <x v="0"/>
    <x v="28"/>
    <x v="0"/>
    <x v="0"/>
    <x v="0"/>
  </r>
  <r>
    <x v="0"/>
    <x v="13"/>
    <s v="3015 F"/>
    <x v="258"/>
    <s v="Usman Amin"/>
    <s v="LDN"/>
    <n v="17"/>
    <s v="8.5-9"/>
    <s v="LDN"/>
    <n v="1000"/>
    <x v="0"/>
    <n v="5"/>
    <n v="325"/>
    <n v="10.5"/>
    <n v="3"/>
    <x v="0"/>
    <n v="314.5"/>
    <n v="675"/>
    <m/>
    <x v="0"/>
    <x v="0"/>
    <n v="0"/>
    <n v="0"/>
    <x v="0"/>
    <x v="0"/>
    <m/>
    <x v="0"/>
    <x v="0"/>
    <x v="0"/>
    <x v="0"/>
    <x v="0"/>
    <n v="0"/>
    <n v="0"/>
    <n v="0"/>
    <n v="12"/>
    <x v="1"/>
    <x v="0"/>
    <m/>
    <x v="0"/>
    <n v="330"/>
    <x v="0"/>
    <x v="28"/>
    <x v="0"/>
    <x v="0"/>
    <x v="0"/>
  </r>
  <r>
    <x v="1"/>
    <x v="13"/>
    <s v="3015 F"/>
    <x v="258"/>
    <s v="Usman Amin"/>
    <s v="LDN"/>
    <n v="17"/>
    <s v="8.5-9"/>
    <s v="LDN"/>
    <n v="1000"/>
    <x v="0"/>
    <n v="5"/>
    <n v="370.5"/>
    <n v="10"/>
    <n v="4"/>
    <x v="0"/>
    <n v="360.5"/>
    <n v="675"/>
    <m/>
    <x v="0"/>
    <x v="0"/>
    <n v="0"/>
    <n v="0"/>
    <x v="0"/>
    <x v="0"/>
    <m/>
    <x v="0"/>
    <x v="0"/>
    <x v="0"/>
    <x v="0"/>
    <x v="0"/>
    <n v="0"/>
    <n v="0"/>
    <n v="0"/>
    <n v="12"/>
    <x v="1"/>
    <x v="0"/>
    <m/>
    <x v="0"/>
    <n v="375.5"/>
    <x v="0"/>
    <x v="28"/>
    <x v="0"/>
    <x v="0"/>
    <x v="0"/>
  </r>
  <r>
    <x v="0"/>
    <x v="14"/>
    <s v="276 R"/>
    <x v="258"/>
    <s v="ریفلیکٹ پیک"/>
    <s v="LDN"/>
    <n v="35"/>
    <s v="5-5.5"/>
    <s v="LDN"/>
    <n v="10000"/>
    <x v="0"/>
    <n v="12"/>
    <n v="907.5"/>
    <n v="41.4"/>
    <n v="7"/>
    <x v="0"/>
    <n v="866.1"/>
    <n v="9958.4"/>
    <m/>
    <x v="0"/>
    <x v="0"/>
    <n v="0"/>
    <n v="0"/>
    <x v="0"/>
    <x v="0"/>
    <m/>
    <x v="0"/>
    <x v="0"/>
    <x v="0"/>
    <x v="0"/>
    <x v="0"/>
    <n v="0"/>
    <n v="0"/>
    <n v="0"/>
    <n v="12"/>
    <x v="1"/>
    <x v="0"/>
    <m/>
    <x v="0"/>
    <n v="912.5"/>
    <x v="0"/>
    <x v="28"/>
    <x v="0"/>
    <x v="0"/>
    <x v="0"/>
  </r>
  <r>
    <x v="1"/>
    <x v="14"/>
    <s v="276 R"/>
    <x v="258"/>
    <s v="ریفلیکٹ پیک"/>
    <s v="LDN"/>
    <n v="35"/>
    <s v="5-5.5"/>
    <s v="LDN"/>
    <n v="10000"/>
    <x v="0"/>
    <n v="11"/>
    <n v="810"/>
    <n v="42"/>
    <n v="6"/>
    <x v="0"/>
    <n v="768"/>
    <n v="9958.4"/>
    <m/>
    <x v="0"/>
    <x v="0"/>
    <n v="0"/>
    <n v="0"/>
    <x v="0"/>
    <x v="0"/>
    <m/>
    <x v="0"/>
    <x v="0"/>
    <x v="0"/>
    <x v="0"/>
    <x v="0"/>
    <n v="0"/>
    <n v="0"/>
    <n v="0"/>
    <n v="12"/>
    <x v="1"/>
    <x v="0"/>
    <m/>
    <x v="0"/>
    <n v="815"/>
    <x v="0"/>
    <x v="28"/>
    <x v="0"/>
    <x v="0"/>
    <x v="0"/>
  </r>
  <r>
    <x v="0"/>
    <x v="15"/>
    <s v="7812 J"/>
    <x v="258"/>
    <s v="Golden Chemical Faisalbad"/>
    <s v="LDN"/>
    <s v="510 MM"/>
    <s v="15-16/30-32"/>
    <s v="LDN"/>
    <n v="400"/>
    <x v="0"/>
    <n v="6"/>
    <n v="310"/>
    <n v="13.1"/>
    <n v="55"/>
    <x v="0"/>
    <n v="296.89999999999998"/>
    <n v="454.4"/>
    <m/>
    <x v="0"/>
    <x v="0"/>
    <n v="0"/>
    <n v="0"/>
    <x v="0"/>
    <x v="0"/>
    <n v="60"/>
    <x v="0"/>
    <x v="0"/>
    <x v="0"/>
    <x v="0"/>
    <x v="0"/>
    <n v="60"/>
    <n v="1"/>
    <n v="1"/>
    <n v="11"/>
    <x v="1"/>
    <x v="0"/>
    <m/>
    <x v="0"/>
    <n v="315"/>
    <x v="0"/>
    <x v="28"/>
    <x v="0"/>
    <x v="0"/>
    <x v="0"/>
  </r>
  <r>
    <x v="1"/>
    <x v="15"/>
    <s v="7809 J"/>
    <x v="258"/>
    <s v="Golden Chemical Faisalbad"/>
    <s v="LDN"/>
    <s v="510 MM"/>
    <s v="15-16/30-32"/>
    <s v="LDN"/>
    <n v="300"/>
    <x v="0"/>
    <n v="5"/>
    <n v="312"/>
    <n v="12.5"/>
    <n v="39"/>
    <x v="0"/>
    <n v="299.5"/>
    <n v="299.5"/>
    <m/>
    <x v="0"/>
    <x v="0"/>
    <n v="0"/>
    <n v="0"/>
    <x v="0"/>
    <x v="0"/>
    <m/>
    <x v="0"/>
    <x v="0"/>
    <x v="0"/>
    <x v="0"/>
    <x v="0"/>
    <n v="0"/>
    <n v="0"/>
    <n v="0"/>
    <n v="12"/>
    <x v="1"/>
    <x v="0"/>
    <m/>
    <x v="0"/>
    <n v="317"/>
    <x v="0"/>
    <x v="28"/>
    <x v="0"/>
    <x v="0"/>
    <x v="0"/>
  </r>
  <r>
    <x v="1"/>
    <x v="15"/>
    <s v="7808 J"/>
    <x v="258"/>
    <s v="Golden Chemical Faisalbad"/>
    <s v="LDN"/>
    <s v="510 MM"/>
    <s v="15-16/30-32"/>
    <s v="LDN"/>
    <n v="300"/>
    <x v="0"/>
    <n v="1"/>
    <n v="65"/>
    <n v="2.5"/>
    <m/>
    <x v="0"/>
    <n v="62.5"/>
    <n v="337.8"/>
    <m/>
    <x v="0"/>
    <x v="0"/>
    <n v="0"/>
    <n v="0"/>
    <x v="0"/>
    <x v="0"/>
    <m/>
    <x v="0"/>
    <x v="0"/>
    <x v="0"/>
    <x v="0"/>
    <x v="0"/>
    <n v="0"/>
    <n v="0"/>
    <n v="0"/>
    <n v="12"/>
    <x v="1"/>
    <x v="0"/>
    <m/>
    <x v="0"/>
    <n v="70"/>
    <x v="0"/>
    <x v="28"/>
    <x v="0"/>
    <x v="0"/>
    <x v="0"/>
  </r>
  <r>
    <x v="0"/>
    <x v="8"/>
    <s v="7866 J"/>
    <x v="259"/>
    <s v="Usman Arif Butt Gujranwala"/>
    <s v="LDN"/>
    <n v="6"/>
    <n v="10"/>
    <s v="LDN"/>
    <n v="200"/>
    <x v="0"/>
    <n v="3"/>
    <n v="123.1"/>
    <n v="2.2000000000000002"/>
    <m/>
    <x v="0"/>
    <n v="120.89999999999999"/>
    <n v="205.39999999999998"/>
    <m/>
    <x v="0"/>
    <x v="0"/>
    <n v="0"/>
    <n v="0"/>
    <x v="0"/>
    <x v="0"/>
    <m/>
    <x v="0"/>
    <x v="0"/>
    <x v="0"/>
    <x v="0"/>
    <x v="0"/>
    <n v="0"/>
    <n v="0"/>
    <n v="0"/>
    <n v="12"/>
    <x v="1"/>
    <x v="0"/>
    <m/>
    <x v="0"/>
    <n v="128.1"/>
    <x v="0"/>
    <x v="28"/>
    <x v="0"/>
    <x v="0"/>
    <x v="0"/>
  </r>
  <r>
    <x v="1"/>
    <x v="8"/>
    <s v="7866 J"/>
    <x v="259"/>
    <s v="Usman Arif Butt Gujranwala"/>
    <s v="LDN"/>
    <n v="6"/>
    <n v="10"/>
    <s v="LDN"/>
    <n v="200"/>
    <x v="0"/>
    <n v="2"/>
    <n v="86"/>
    <n v="1.5"/>
    <m/>
    <x v="0"/>
    <n v="84.5"/>
    <n v="205.39999999999998"/>
    <m/>
    <x v="0"/>
    <x v="0"/>
    <n v="0"/>
    <n v="0"/>
    <x v="0"/>
    <x v="0"/>
    <m/>
    <x v="0"/>
    <x v="0"/>
    <x v="0"/>
    <x v="0"/>
    <x v="0"/>
    <n v="0"/>
    <n v="0"/>
    <n v="0"/>
    <n v="12"/>
    <x v="1"/>
    <x v="0"/>
    <m/>
    <x v="0"/>
    <n v="91"/>
    <x v="0"/>
    <x v="28"/>
    <x v="0"/>
    <x v="0"/>
    <x v="0"/>
  </r>
  <r>
    <x v="1"/>
    <x v="8"/>
    <s v="7867 J"/>
    <x v="259"/>
    <s v="Usman Arif Butt Gujranwala"/>
    <s v="LDN"/>
    <n v="7"/>
    <n v="10"/>
    <s v="LDN"/>
    <n v="200"/>
    <x v="0"/>
    <n v="2"/>
    <n v="80.5"/>
    <n v="1"/>
    <m/>
    <x v="0"/>
    <n v="79.5"/>
    <n v="201.1"/>
    <m/>
    <x v="0"/>
    <x v="0"/>
    <n v="0"/>
    <n v="0"/>
    <x v="0"/>
    <x v="0"/>
    <m/>
    <x v="0"/>
    <x v="0"/>
    <x v="0"/>
    <x v="0"/>
    <x v="0"/>
    <n v="0"/>
    <n v="0"/>
    <n v="0"/>
    <n v="12"/>
    <x v="1"/>
    <x v="0"/>
    <m/>
    <x v="0"/>
    <n v="85.5"/>
    <x v="0"/>
    <x v="28"/>
    <x v="0"/>
    <x v="0"/>
    <x v="0"/>
  </r>
  <r>
    <x v="0"/>
    <x v="9"/>
    <s v="7919 J"/>
    <x v="259"/>
    <s v="Alam Printers Butkhela"/>
    <s v="LDN"/>
    <n v="9"/>
    <s v="14-15"/>
    <s v="LDN"/>
    <n v="100"/>
    <x v="0"/>
    <n v="1"/>
    <n v="55.5"/>
    <n v="1"/>
    <m/>
    <x v="0"/>
    <n v="54.5"/>
    <n v="100.3"/>
    <m/>
    <x v="0"/>
    <x v="0"/>
    <n v="0"/>
    <n v="0"/>
    <x v="0"/>
    <x v="0"/>
    <m/>
    <x v="0"/>
    <x v="0"/>
    <x v="0"/>
    <x v="0"/>
    <x v="0"/>
    <n v="0"/>
    <n v="0"/>
    <n v="0"/>
    <n v="12"/>
    <x v="1"/>
    <x v="0"/>
    <m/>
    <x v="0"/>
    <n v="60.5"/>
    <x v="0"/>
    <x v="28"/>
    <x v="0"/>
    <x v="0"/>
    <x v="0"/>
  </r>
  <r>
    <x v="0"/>
    <x v="9"/>
    <s v="7861 J"/>
    <x v="259"/>
    <s v="Armani Dry Cleaner Mandi Bahuldin"/>
    <s v="LDN"/>
    <n v="15"/>
    <s v="4.5-5"/>
    <s v="LDN"/>
    <n v="300"/>
    <x v="0"/>
    <n v="3"/>
    <n v="94.5"/>
    <n v="5.7"/>
    <m/>
    <x v="0"/>
    <n v="88.8"/>
    <n v="300.60000000000002"/>
    <m/>
    <x v="0"/>
    <x v="0"/>
    <n v="0"/>
    <n v="0"/>
    <x v="0"/>
    <x v="0"/>
    <m/>
    <x v="0"/>
    <x v="0"/>
    <x v="0"/>
    <x v="0"/>
    <x v="0"/>
    <n v="0"/>
    <n v="0"/>
    <n v="0"/>
    <n v="12"/>
    <x v="1"/>
    <x v="0"/>
    <m/>
    <x v="0"/>
    <n v="99.5"/>
    <x v="0"/>
    <x v="28"/>
    <x v="0"/>
    <x v="0"/>
    <x v="0"/>
  </r>
  <r>
    <x v="1"/>
    <x v="9"/>
    <s v="7861 J"/>
    <x v="259"/>
    <s v="Armani Dry Cleaner Mandi Bahuldin"/>
    <s v="LDN"/>
    <n v="15"/>
    <s v="4.5-5"/>
    <s v="LDN"/>
    <n v="300"/>
    <x v="0"/>
    <n v="6"/>
    <n v="222"/>
    <n v="10.199999999999999"/>
    <m/>
    <x v="0"/>
    <n v="211.8"/>
    <n v="300.60000000000002"/>
    <m/>
    <x v="0"/>
    <x v="0"/>
    <n v="0"/>
    <n v="0"/>
    <x v="0"/>
    <x v="0"/>
    <m/>
    <x v="0"/>
    <x v="0"/>
    <x v="0"/>
    <x v="0"/>
    <x v="0"/>
    <n v="0"/>
    <n v="0"/>
    <n v="0"/>
    <n v="12"/>
    <x v="1"/>
    <x v="0"/>
    <m/>
    <x v="0"/>
    <n v="227"/>
    <x v="0"/>
    <x v="28"/>
    <x v="0"/>
    <x v="0"/>
    <x v="0"/>
  </r>
  <r>
    <x v="0"/>
    <x v="11"/>
    <s v="7879 J"/>
    <x v="259"/>
    <s v="Waqas Wollan Mills Gujranwala"/>
    <s v="LD گرین"/>
    <n v="13"/>
    <n v="8"/>
    <s v="LDM"/>
    <n v="200"/>
    <x v="0"/>
    <n v="1"/>
    <n v="60"/>
    <n v="1.3"/>
    <n v="40"/>
    <x v="0"/>
    <n v="58.7"/>
    <n v="356.8"/>
    <m/>
    <x v="0"/>
    <x v="0"/>
    <n v="0"/>
    <n v="0"/>
    <x v="0"/>
    <x v="0"/>
    <m/>
    <x v="0"/>
    <x v="0"/>
    <x v="0"/>
    <x v="0"/>
    <x v="0"/>
    <n v="0"/>
    <n v="0"/>
    <n v="0"/>
    <n v="12"/>
    <x v="1"/>
    <x v="0"/>
    <m/>
    <x v="0"/>
    <n v="65"/>
    <x v="0"/>
    <x v="28"/>
    <x v="0"/>
    <x v="0"/>
    <x v="0"/>
  </r>
  <r>
    <x v="0"/>
    <x v="11"/>
    <s v="7874 J"/>
    <x v="259"/>
    <s v="Waqas Wollan Mills Gujranwala"/>
    <s v="LD اورنج"/>
    <n v="12"/>
    <n v="8"/>
    <s v="LDM"/>
    <n v="100"/>
    <x v="0"/>
    <n v="3"/>
    <n v="117"/>
    <n v="4.1999999999999993"/>
    <m/>
    <x v="0"/>
    <n v="112.8"/>
    <n v="112.8"/>
    <m/>
    <x v="0"/>
    <x v="0"/>
    <n v="0"/>
    <n v="0"/>
    <x v="0"/>
    <x v="0"/>
    <m/>
    <x v="0"/>
    <x v="0"/>
    <x v="0"/>
    <x v="0"/>
    <x v="0"/>
    <n v="0"/>
    <n v="0"/>
    <n v="0"/>
    <n v="12"/>
    <x v="1"/>
    <x v="0"/>
    <m/>
    <x v="0"/>
    <n v="122"/>
    <x v="0"/>
    <x v="28"/>
    <x v="0"/>
    <x v="0"/>
    <x v="0"/>
  </r>
  <r>
    <x v="1"/>
    <x v="11"/>
    <s v="7878 J"/>
    <x v="259"/>
    <s v="Waqas Wollan Mills Gujranwala"/>
    <s v="LD پیلا"/>
    <n v="10"/>
    <n v="8"/>
    <s v="LDM"/>
    <n v="150"/>
    <x v="0"/>
    <n v="3"/>
    <n v="148.5"/>
    <n v="3.3000000000000003"/>
    <n v="35"/>
    <x v="0"/>
    <n v="145.19999999999999"/>
    <n v="145.19999999999999"/>
    <m/>
    <x v="0"/>
    <x v="0"/>
    <n v="0"/>
    <n v="0"/>
    <x v="0"/>
    <x v="0"/>
    <m/>
    <x v="0"/>
    <x v="0"/>
    <x v="0"/>
    <x v="0"/>
    <x v="0"/>
    <n v="0"/>
    <n v="0"/>
    <n v="0"/>
    <n v="12"/>
    <x v="1"/>
    <x v="0"/>
    <m/>
    <x v="0"/>
    <n v="153.5"/>
    <x v="0"/>
    <x v="28"/>
    <x v="0"/>
    <x v="0"/>
    <x v="0"/>
  </r>
  <r>
    <x v="1"/>
    <x v="11"/>
    <s v="7890 J"/>
    <x v="259"/>
    <s v="Afnan Printing Press ButtKhela "/>
    <s v="LDM"/>
    <n v="18"/>
    <s v="14-15"/>
    <s v="LDM"/>
    <n v="200"/>
    <x v="0"/>
    <n v="1"/>
    <n v="84"/>
    <n v="2.5"/>
    <m/>
    <x v="0"/>
    <n v="81.5"/>
    <n v="350.29999999999995"/>
    <m/>
    <x v="0"/>
    <x v="0"/>
    <n v="0"/>
    <n v="0"/>
    <x v="0"/>
    <x v="0"/>
    <m/>
    <x v="0"/>
    <x v="0"/>
    <x v="0"/>
    <x v="0"/>
    <x v="0"/>
    <n v="0"/>
    <n v="0"/>
    <n v="0"/>
    <n v="12"/>
    <x v="1"/>
    <x v="0"/>
    <m/>
    <x v="0"/>
    <n v="89"/>
    <x v="0"/>
    <x v="28"/>
    <x v="0"/>
    <x v="0"/>
    <x v="0"/>
  </r>
  <r>
    <x v="0"/>
    <x v="13"/>
    <s v="3010 F"/>
    <x v="259"/>
    <s v="Usman Amin"/>
    <s v="LDN"/>
    <n v="17"/>
    <s v="8-8.5"/>
    <s v="LDN"/>
    <n v="90"/>
    <x v="0"/>
    <n v="3"/>
    <n v="212.5"/>
    <n v="6.9"/>
    <m/>
    <x v="0"/>
    <n v="205.6"/>
    <n v="418.67999999999995"/>
    <m/>
    <x v="0"/>
    <x v="0"/>
    <n v="0"/>
    <n v="0"/>
    <x v="0"/>
    <x v="0"/>
    <m/>
    <x v="0"/>
    <x v="0"/>
    <x v="0"/>
    <x v="0"/>
    <x v="0"/>
    <n v="0"/>
    <n v="0"/>
    <n v="0"/>
    <n v="12"/>
    <x v="1"/>
    <x v="0"/>
    <m/>
    <x v="0"/>
    <n v="217.5"/>
    <x v="0"/>
    <x v="28"/>
    <x v="0"/>
    <x v="0"/>
    <x v="0"/>
  </r>
  <r>
    <x v="0"/>
    <x v="13"/>
    <s v="3003 F"/>
    <x v="259"/>
    <s v="Usman Amin"/>
    <s v="LDN"/>
    <n v="25"/>
    <s v="7"/>
    <s v="LDN"/>
    <n v="300"/>
    <x v="0"/>
    <n v="1"/>
    <n v="90"/>
    <n v="3.7"/>
    <m/>
    <x v="0"/>
    <n v="86.3"/>
    <n v="304.7"/>
    <m/>
    <x v="0"/>
    <x v="0"/>
    <n v="0"/>
    <n v="0"/>
    <x v="0"/>
    <x v="0"/>
    <m/>
    <x v="0"/>
    <x v="0"/>
    <x v="0"/>
    <x v="0"/>
    <x v="0"/>
    <n v="0"/>
    <n v="0"/>
    <n v="0"/>
    <n v="12"/>
    <x v="1"/>
    <x v="0"/>
    <m/>
    <x v="0"/>
    <n v="95"/>
    <x v="0"/>
    <x v="28"/>
    <x v="0"/>
    <x v="0"/>
    <x v="0"/>
  </r>
  <r>
    <x v="1"/>
    <x v="13"/>
    <s v="3003 F"/>
    <x v="259"/>
    <s v="Usman Amin"/>
    <s v="LDN"/>
    <n v="25"/>
    <s v="7"/>
    <s v="LDN"/>
    <n v="300"/>
    <x v="0"/>
    <n v="3"/>
    <n v="228"/>
    <n v="9.6000000000000014"/>
    <n v="10"/>
    <x v="0"/>
    <n v="218.4"/>
    <n v="304.7"/>
    <m/>
    <x v="0"/>
    <x v="0"/>
    <n v="0"/>
    <n v="0"/>
    <x v="0"/>
    <x v="0"/>
    <m/>
    <x v="0"/>
    <x v="0"/>
    <x v="0"/>
    <x v="0"/>
    <x v="0"/>
    <n v="0"/>
    <n v="0"/>
    <n v="0"/>
    <n v="12"/>
    <x v="1"/>
    <x v="0"/>
    <m/>
    <x v="0"/>
    <n v="233"/>
    <x v="0"/>
    <x v="28"/>
    <x v="0"/>
    <x v="0"/>
    <x v="0"/>
  </r>
  <r>
    <x v="1"/>
    <x v="13"/>
    <s v="3005 F"/>
    <x v="259"/>
    <s v="Usman Amin"/>
    <s v="LDN"/>
    <n v="26"/>
    <s v="7"/>
    <s v="LDN"/>
    <n v="200"/>
    <x v="0"/>
    <n v="2"/>
    <n v="198.5"/>
    <n v="6.9"/>
    <m/>
    <x v="0"/>
    <n v="191.6"/>
    <n v="191.6"/>
    <m/>
    <x v="0"/>
    <x v="0"/>
    <n v="0"/>
    <n v="0"/>
    <x v="0"/>
    <x v="0"/>
    <m/>
    <x v="0"/>
    <x v="0"/>
    <x v="0"/>
    <x v="0"/>
    <x v="0"/>
    <n v="0"/>
    <n v="0"/>
    <n v="0"/>
    <n v="12"/>
    <x v="1"/>
    <x v="0"/>
    <m/>
    <x v="0"/>
    <n v="203.5"/>
    <x v="0"/>
    <x v="28"/>
    <x v="0"/>
    <x v="0"/>
    <x v="0"/>
  </r>
  <r>
    <x v="1"/>
    <x v="13"/>
    <s v="3006 F"/>
    <x v="259"/>
    <s v="Usman Amin"/>
    <s v="LDN"/>
    <n v="30"/>
    <s v="7"/>
    <s v="LDN"/>
    <n v="150"/>
    <x v="0"/>
    <n v="2"/>
    <n v="165.4"/>
    <n v="8.4"/>
    <m/>
    <x v="0"/>
    <n v="157"/>
    <n v="157"/>
    <m/>
    <x v="0"/>
    <x v="0"/>
    <n v="0"/>
    <n v="0"/>
    <x v="0"/>
    <x v="0"/>
    <m/>
    <x v="0"/>
    <x v="0"/>
    <x v="0"/>
    <x v="0"/>
    <x v="0"/>
    <n v="0"/>
    <n v="0"/>
    <n v="0"/>
    <n v="12"/>
    <x v="1"/>
    <x v="0"/>
    <m/>
    <x v="0"/>
    <n v="170.4"/>
    <x v="0"/>
    <x v="28"/>
    <x v="0"/>
    <x v="0"/>
    <x v="0"/>
  </r>
  <r>
    <x v="0"/>
    <x v="14"/>
    <s v="276 R"/>
    <x v="259"/>
    <s v="ریفلیکٹ پیک"/>
    <s v="LDN"/>
    <n v="35"/>
    <s v="5-5.5"/>
    <s v="LDN"/>
    <n v="10000"/>
    <x v="0"/>
    <n v="11"/>
    <n v="813"/>
    <n v="33"/>
    <m/>
    <x v="0"/>
    <n v="780"/>
    <n v="9958.4"/>
    <m/>
    <x v="0"/>
    <x v="0"/>
    <n v="0"/>
    <n v="0"/>
    <x v="0"/>
    <x v="0"/>
    <m/>
    <x v="0"/>
    <x v="0"/>
    <x v="0"/>
    <x v="0"/>
    <x v="0"/>
    <n v="0"/>
    <n v="0"/>
    <n v="0"/>
    <n v="12"/>
    <x v="1"/>
    <x v="0"/>
    <m/>
    <x v="0"/>
    <n v="818"/>
    <x v="0"/>
    <x v="28"/>
    <x v="0"/>
    <x v="0"/>
    <x v="0"/>
  </r>
  <r>
    <x v="1"/>
    <x v="14"/>
    <s v="276 R"/>
    <x v="259"/>
    <s v="ریفلیکٹ پیک"/>
    <s v="LDN"/>
    <n v="35"/>
    <s v="5-5.5"/>
    <s v="LDN"/>
    <n v="10000"/>
    <x v="0"/>
    <n v="12"/>
    <n v="892.5"/>
    <n v="46.5"/>
    <n v="20"/>
    <x v="0"/>
    <n v="846"/>
    <n v="9958.4"/>
    <m/>
    <x v="0"/>
    <x v="0"/>
    <n v="0"/>
    <n v="0"/>
    <x v="0"/>
    <x v="0"/>
    <m/>
    <x v="0"/>
    <x v="0"/>
    <x v="0"/>
    <x v="0"/>
    <x v="0"/>
    <n v="0"/>
    <n v="0"/>
    <n v="0"/>
    <n v="12"/>
    <x v="1"/>
    <x v="0"/>
    <m/>
    <x v="0"/>
    <n v="897.5"/>
    <x v="0"/>
    <x v="28"/>
    <x v="0"/>
    <x v="0"/>
    <x v="0"/>
  </r>
  <r>
    <x v="0"/>
    <x v="15"/>
    <s v="7808 J"/>
    <x v="259"/>
    <s v="Golden Chemical Faisalbad"/>
    <s v="LDN"/>
    <s v="510 MM"/>
    <s v="15-16/30-32"/>
    <s v="LDN"/>
    <n v="300"/>
    <x v="0"/>
    <n v="4"/>
    <n v="284.5"/>
    <n v="9.1999999999999993"/>
    <m/>
    <x v="0"/>
    <n v="275.3"/>
    <n v="337.8"/>
    <m/>
    <x v="0"/>
    <x v="0"/>
    <n v="0"/>
    <n v="0"/>
    <x v="0"/>
    <x v="0"/>
    <m/>
    <x v="0"/>
    <x v="0"/>
    <x v="0"/>
    <x v="0"/>
    <x v="0"/>
    <n v="0"/>
    <n v="0"/>
    <n v="0"/>
    <n v="12"/>
    <x v="1"/>
    <x v="0"/>
    <m/>
    <x v="0"/>
    <n v="289.5"/>
    <x v="0"/>
    <x v="28"/>
    <x v="0"/>
    <x v="0"/>
    <x v="0"/>
  </r>
  <r>
    <x v="0"/>
    <x v="15"/>
    <s v="7805 J"/>
    <x v="259"/>
    <s v="Golden Chemical Faisalbad"/>
    <s v="LDN"/>
    <s v="510 MM"/>
    <s v="15-16/30-32"/>
    <s v="LDN"/>
    <n v="300"/>
    <x v="0"/>
    <n v="4"/>
    <n v="244"/>
    <n v="9.1999999999999993"/>
    <m/>
    <x v="0"/>
    <n v="234.8"/>
    <n v="297.3"/>
    <m/>
    <x v="0"/>
    <x v="0"/>
    <n v="0"/>
    <n v="0"/>
    <x v="0"/>
    <x v="0"/>
    <m/>
    <x v="0"/>
    <x v="0"/>
    <x v="0"/>
    <x v="0"/>
    <x v="0"/>
    <n v="0"/>
    <n v="0"/>
    <n v="0"/>
    <n v="12"/>
    <x v="1"/>
    <x v="0"/>
    <m/>
    <x v="0"/>
    <n v="249"/>
    <x v="0"/>
    <x v="28"/>
    <x v="0"/>
    <x v="0"/>
    <x v="0"/>
  </r>
  <r>
    <x v="1"/>
    <x v="15"/>
    <s v="7805 J"/>
    <x v="259"/>
    <s v="Golden Chemical Faisalbad"/>
    <s v="LDN"/>
    <s v="510 MM"/>
    <s v="15-16/30-32"/>
    <s v="LDN"/>
    <n v="300"/>
    <x v="0"/>
    <n v="1"/>
    <n v="65"/>
    <n v="2.5"/>
    <n v="10"/>
    <x v="0"/>
    <n v="62.5"/>
    <n v="297.3"/>
    <m/>
    <x v="0"/>
    <x v="0"/>
    <n v="0"/>
    <n v="0"/>
    <x v="0"/>
    <x v="0"/>
    <m/>
    <x v="0"/>
    <x v="0"/>
    <x v="0"/>
    <x v="0"/>
    <x v="0"/>
    <n v="0"/>
    <n v="0"/>
    <n v="0"/>
    <n v="12"/>
    <x v="1"/>
    <x v="0"/>
    <m/>
    <x v="0"/>
    <n v="70"/>
    <x v="0"/>
    <x v="28"/>
    <x v="0"/>
    <x v="0"/>
    <x v="0"/>
  </r>
  <r>
    <x v="1"/>
    <x v="15"/>
    <s v="7811 J"/>
    <x v="259"/>
    <s v="Golden Chemical Faisalbad"/>
    <s v="LDN"/>
    <s v="510 MM"/>
    <s v="15-16/30-32"/>
    <s v="LDN"/>
    <n v="300"/>
    <x v="0"/>
    <n v="5"/>
    <n v="322"/>
    <n v="12.5"/>
    <m/>
    <x v="0"/>
    <n v="309.5"/>
    <n v="309.5"/>
    <n v="5"/>
    <x v="0"/>
    <x v="0"/>
    <n v="5"/>
    <n v="8.3333333333333329E-2"/>
    <x v="0"/>
    <x v="0"/>
    <m/>
    <x v="0"/>
    <x v="0"/>
    <x v="0"/>
    <x v="0"/>
    <x v="0"/>
    <n v="0"/>
    <n v="0"/>
    <n v="8.3333333333333329E-2"/>
    <n v="11.916666666666666"/>
    <x v="1"/>
    <x v="0"/>
    <m/>
    <x v="0"/>
    <n v="327"/>
    <x v="0"/>
    <x v="28"/>
    <x v="0"/>
    <x v="0"/>
    <x v="0"/>
  </r>
  <r>
    <x v="1"/>
    <x v="15"/>
    <s v="7944 J"/>
    <x v="259"/>
    <s v="Atlas Honda LTD (SKP)"/>
    <s v="LDN"/>
    <n v="21"/>
    <s v="14-14.5"/>
    <s v="LDN"/>
    <n v="71.047008547008545"/>
    <x v="0"/>
    <n v="2"/>
    <n v="108.5"/>
    <n v="5.2"/>
    <m/>
    <x v="0"/>
    <n v="103.3"/>
    <n v="103.3"/>
    <m/>
    <x v="0"/>
    <x v="0"/>
    <n v="0"/>
    <n v="0"/>
    <x v="0"/>
    <x v="0"/>
    <m/>
    <x v="0"/>
    <x v="0"/>
    <x v="0"/>
    <x v="0"/>
    <x v="0"/>
    <n v="0"/>
    <n v="0"/>
    <n v="0"/>
    <n v="12"/>
    <x v="1"/>
    <x v="0"/>
    <m/>
    <x v="0"/>
    <n v="113.5"/>
    <x v="0"/>
    <x v="28"/>
    <x v="0"/>
    <x v="0"/>
    <x v="0"/>
  </r>
  <r>
    <x v="0"/>
    <x v="8"/>
    <s v="7867 J"/>
    <x v="260"/>
    <s v="Usman Arif Butt Gujranwala"/>
    <s v="LDN"/>
    <n v="7"/>
    <n v="10"/>
    <s v="LDN"/>
    <n v="200"/>
    <x v="0"/>
    <n v="3"/>
    <n v="124.6"/>
    <n v="3"/>
    <m/>
    <x v="0"/>
    <n v="121.6"/>
    <n v="201.1"/>
    <m/>
    <x v="0"/>
    <x v="0"/>
    <n v="0"/>
    <n v="0"/>
    <x v="0"/>
    <x v="0"/>
    <m/>
    <x v="0"/>
    <x v="0"/>
    <x v="0"/>
    <x v="0"/>
    <x v="0"/>
    <n v="0"/>
    <n v="0"/>
    <n v="0"/>
    <n v="12"/>
    <x v="1"/>
    <x v="0"/>
    <m/>
    <x v="0"/>
    <n v="129.6"/>
    <x v="0"/>
    <x v="29"/>
    <x v="0"/>
    <x v="0"/>
    <x v="0"/>
  </r>
  <r>
    <x v="0"/>
    <x v="8"/>
    <s v="7939 J"/>
    <x v="260"/>
    <s v="Atlas Honda LTD (SKP)"/>
    <s v="LDN"/>
    <n v="8"/>
    <s v="8.5-9"/>
    <s v="LDN"/>
    <n v="240.97815764482428"/>
    <x v="0"/>
    <n v="1"/>
    <n v="51.9"/>
    <n v="1"/>
    <n v="5"/>
    <x v="0"/>
    <n v="50.9"/>
    <n v="240.75"/>
    <m/>
    <x v="0"/>
    <x v="0"/>
    <n v="0"/>
    <n v="0"/>
    <x v="0"/>
    <x v="0"/>
    <m/>
    <x v="0"/>
    <x v="0"/>
    <x v="0"/>
    <x v="0"/>
    <x v="0"/>
    <n v="0"/>
    <n v="0"/>
    <n v="0"/>
    <n v="12"/>
    <x v="1"/>
    <x v="0"/>
    <m/>
    <x v="0"/>
    <n v="56.9"/>
    <x v="0"/>
    <x v="29"/>
    <x v="0"/>
    <x v="0"/>
    <x v="0"/>
  </r>
  <r>
    <x v="1"/>
    <x v="8"/>
    <s v="7939 J"/>
    <x v="260"/>
    <s v="Atlas Honda LTD (SKP)"/>
    <s v="LDN"/>
    <n v="8"/>
    <s v="8.5-9"/>
    <s v="LDN"/>
    <n v="240.97815764482428"/>
    <x v="0"/>
    <n v="3"/>
    <n v="139.35"/>
    <n v="3"/>
    <n v="3"/>
    <x v="0"/>
    <n v="136.35"/>
    <n v="240.75"/>
    <m/>
    <x v="0"/>
    <x v="0"/>
    <n v="0"/>
    <n v="0"/>
    <x v="0"/>
    <x v="0"/>
    <m/>
    <x v="0"/>
    <x v="0"/>
    <x v="0"/>
    <x v="0"/>
    <x v="0"/>
    <n v="0"/>
    <n v="0"/>
    <n v="0"/>
    <n v="12"/>
    <x v="1"/>
    <x v="0"/>
    <m/>
    <x v="0"/>
    <n v="144.35"/>
    <x v="0"/>
    <x v="29"/>
    <x v="0"/>
    <x v="0"/>
    <x v="0"/>
  </r>
  <r>
    <x v="0"/>
    <x v="9"/>
    <s v="7934 J"/>
    <x v="260"/>
    <s v="Al Shaheer Foods Corporation LTD"/>
    <s v="LDN"/>
    <n v="11"/>
    <s v="10.5-11"/>
    <s v="LDN"/>
    <n v="200"/>
    <x v="0"/>
    <n v="3"/>
    <n v="161.5"/>
    <n v="3.9000000000000004"/>
    <m/>
    <x v="0"/>
    <n v="157.6"/>
    <n v="209.1"/>
    <m/>
    <x v="0"/>
    <x v="0"/>
    <n v="0"/>
    <n v="0"/>
    <x v="0"/>
    <x v="0"/>
    <m/>
    <x v="0"/>
    <x v="0"/>
    <x v="0"/>
    <x v="0"/>
    <x v="0"/>
    <n v="0"/>
    <n v="0"/>
    <n v="0"/>
    <n v="12"/>
    <x v="1"/>
    <x v="0"/>
    <m/>
    <x v="0"/>
    <n v="166.5"/>
    <x v="0"/>
    <x v="29"/>
    <x v="0"/>
    <x v="0"/>
    <x v="0"/>
  </r>
  <r>
    <x v="1"/>
    <x v="9"/>
    <s v="7934 J"/>
    <x v="260"/>
    <s v="Al Shaheer Foods Corporation LTD"/>
    <s v="LDN"/>
    <n v="11"/>
    <s v="10.5-11"/>
    <s v="LDN"/>
    <n v="200"/>
    <x v="0"/>
    <n v="1"/>
    <n v="52.5"/>
    <n v="1"/>
    <m/>
    <x v="0"/>
    <n v="51.5"/>
    <n v="209.1"/>
    <m/>
    <x v="0"/>
    <x v="0"/>
    <n v="0"/>
    <n v="0"/>
    <x v="0"/>
    <x v="0"/>
    <m/>
    <x v="0"/>
    <x v="0"/>
    <x v="0"/>
    <x v="0"/>
    <x v="0"/>
    <n v="0"/>
    <n v="0"/>
    <n v="0"/>
    <n v="12"/>
    <x v="1"/>
    <x v="0"/>
    <m/>
    <x v="0"/>
    <n v="57.5"/>
    <x v="0"/>
    <x v="29"/>
    <x v="0"/>
    <x v="0"/>
    <x v="0"/>
  </r>
  <r>
    <x v="1"/>
    <x v="9"/>
    <s v="7932 J"/>
    <x v="260"/>
    <s v="Al Shaheer Foods Corporation LTD"/>
    <s v="LDN"/>
    <n v="11"/>
    <s v="13-13.5"/>
    <s v="LDN"/>
    <n v="200"/>
    <x v="0"/>
    <n v="2"/>
    <n v="108.5"/>
    <n v="2"/>
    <m/>
    <x v="0"/>
    <n v="106.5"/>
    <n v="214.1"/>
    <m/>
    <x v="0"/>
    <x v="0"/>
    <n v="0"/>
    <n v="0"/>
    <x v="0"/>
    <x v="0"/>
    <m/>
    <x v="0"/>
    <x v="0"/>
    <x v="0"/>
    <x v="0"/>
    <x v="0"/>
    <n v="0"/>
    <n v="0"/>
    <n v="0"/>
    <n v="12"/>
    <x v="1"/>
    <x v="0"/>
    <m/>
    <x v="0"/>
    <n v="113.5"/>
    <x v="0"/>
    <x v="29"/>
    <x v="0"/>
    <x v="0"/>
    <x v="0"/>
  </r>
  <r>
    <x v="0"/>
    <x v="11"/>
    <s v="7890 J"/>
    <x v="260"/>
    <s v="Afnan Printing Press ButtKhela "/>
    <s v="LDM"/>
    <n v="18"/>
    <s v="14-15"/>
    <s v="LDM"/>
    <n v="200"/>
    <x v="0"/>
    <n v="2"/>
    <n v="137.69999999999999"/>
    <n v="5.4"/>
    <m/>
    <x v="0"/>
    <n v="132.29999999999998"/>
    <n v="350.29999999999995"/>
    <n v="3"/>
    <x v="0"/>
    <x v="0"/>
    <n v="3"/>
    <n v="0.05"/>
    <x v="0"/>
    <x v="0"/>
    <m/>
    <x v="5"/>
    <x v="0"/>
    <x v="0"/>
    <x v="0"/>
    <x v="0"/>
    <n v="3"/>
    <n v="0.05"/>
    <n v="0.1"/>
    <n v="11.9"/>
    <x v="1"/>
    <x v="0"/>
    <m/>
    <x v="0"/>
    <n v="142.69999999999999"/>
    <x v="0"/>
    <x v="29"/>
    <x v="0"/>
    <x v="0"/>
    <x v="0"/>
  </r>
  <r>
    <x v="0"/>
    <x v="11"/>
    <s v="7718 J"/>
    <x v="260"/>
    <s v="Irfan Sab Azam Market Lahore "/>
    <s v="LDM"/>
    <n v="19.5"/>
    <s v="14-15"/>
    <s v="LDM"/>
    <n v="100"/>
    <x v="0"/>
    <n v="2"/>
    <n v="104.5"/>
    <n v="4.9000000000000004"/>
    <m/>
    <x v="0"/>
    <n v="99.6"/>
    <n v="99.6"/>
    <n v="2"/>
    <x v="0"/>
    <x v="0"/>
    <n v="2"/>
    <n v="3.3333333333333333E-2"/>
    <x v="0"/>
    <x v="0"/>
    <m/>
    <x v="4"/>
    <x v="0"/>
    <x v="0"/>
    <x v="0"/>
    <x v="0"/>
    <n v="2"/>
    <n v="3.3333333333333333E-2"/>
    <n v="6.6666666666666666E-2"/>
    <n v="11.933333333333334"/>
    <x v="1"/>
    <x v="0"/>
    <m/>
    <x v="0"/>
    <n v="109.5"/>
    <x v="0"/>
    <x v="29"/>
    <x v="0"/>
    <x v="0"/>
    <x v="0"/>
  </r>
  <r>
    <x v="0"/>
    <x v="11"/>
    <s v="7961 J"/>
    <x v="260"/>
    <s v="Karss Paint Industry Pvt LTD"/>
    <s v="LDM"/>
    <n v="17"/>
    <s v="-"/>
    <s v="LDM"/>
    <n v="0"/>
    <x v="0"/>
    <n v="1"/>
    <n v="26.5"/>
    <n v="2.1"/>
    <m/>
    <x v="0"/>
    <n v="24.4"/>
    <n v="249.60000000000002"/>
    <n v="3"/>
    <x v="0"/>
    <x v="0"/>
    <n v="3"/>
    <n v="0.05"/>
    <x v="0"/>
    <x v="0"/>
    <m/>
    <x v="5"/>
    <x v="0"/>
    <x v="0"/>
    <x v="0"/>
    <x v="0"/>
    <n v="3"/>
    <n v="0.05"/>
    <n v="0.1"/>
    <n v="11.9"/>
    <x v="1"/>
    <x v="0"/>
    <m/>
    <x v="0"/>
    <n v="31.5"/>
    <x v="0"/>
    <x v="29"/>
    <x v="0"/>
    <x v="0"/>
    <x v="0"/>
  </r>
  <r>
    <x v="0"/>
    <x v="11"/>
    <s v="7945 J"/>
    <x v="260"/>
    <s v="Atlas Honda LTD (SKP)"/>
    <s v="LDM"/>
    <s v="16.75&quot; شیٹ"/>
    <s v="7-7.5/14-15"/>
    <s v="LDM"/>
    <n v="500"/>
    <x v="0"/>
    <n v="2"/>
    <n v="126.5"/>
    <n v="4.4000000000000004"/>
    <n v="25"/>
    <x v="0"/>
    <n v="122.1"/>
    <n v="392.29999999999995"/>
    <n v="2"/>
    <x v="0"/>
    <x v="0"/>
    <n v="2"/>
    <n v="3.3333333333333333E-2"/>
    <x v="0"/>
    <x v="0"/>
    <m/>
    <x v="0"/>
    <x v="0"/>
    <x v="0"/>
    <x v="0"/>
    <x v="0"/>
    <n v="0"/>
    <n v="0"/>
    <n v="3.3333333333333333E-2"/>
    <n v="11.966666666666667"/>
    <x v="1"/>
    <x v="0"/>
    <m/>
    <x v="0"/>
    <n v="131.5"/>
    <x v="0"/>
    <x v="29"/>
    <x v="0"/>
    <x v="0"/>
    <x v="0"/>
  </r>
  <r>
    <x v="1"/>
    <x v="11"/>
    <s v="7945 J"/>
    <x v="260"/>
    <s v="Atlas Honda LTD (SKP)"/>
    <s v="LDM"/>
    <s v="16.75&quot; شیٹ"/>
    <s v="7-7.5/14-15"/>
    <s v="LDM"/>
    <n v="500"/>
    <x v="0"/>
    <n v="3"/>
    <n v="276.5"/>
    <n v="6.3"/>
    <m/>
    <x v="0"/>
    <n v="270.2"/>
    <n v="392.29999999999995"/>
    <m/>
    <x v="0"/>
    <x v="0"/>
    <n v="0"/>
    <n v="0"/>
    <x v="0"/>
    <x v="0"/>
    <m/>
    <x v="0"/>
    <x v="0"/>
    <x v="0"/>
    <x v="0"/>
    <x v="0"/>
    <n v="0"/>
    <n v="0"/>
    <n v="0"/>
    <n v="12"/>
    <x v="1"/>
    <x v="0"/>
    <m/>
    <x v="0"/>
    <n v="281.5"/>
    <x v="0"/>
    <x v="29"/>
    <x v="0"/>
    <x v="0"/>
    <x v="0"/>
  </r>
  <r>
    <x v="1"/>
    <x v="11"/>
    <s v="7890 J"/>
    <x v="260"/>
    <s v="Afnan Printing Press ButtKhela "/>
    <s v="LDM"/>
    <n v="18"/>
    <s v="14-15"/>
    <s v="LDM"/>
    <n v="200"/>
    <x v="0"/>
    <n v="2"/>
    <n v="139.5"/>
    <n v="3"/>
    <m/>
    <x v="0"/>
    <n v="136.5"/>
    <n v="350.29999999999995"/>
    <m/>
    <x v="0"/>
    <x v="0"/>
    <n v="0"/>
    <n v="0"/>
    <x v="0"/>
    <x v="0"/>
    <m/>
    <x v="0"/>
    <x v="0"/>
    <x v="0"/>
    <x v="0"/>
    <x v="0"/>
    <n v="0"/>
    <n v="0"/>
    <n v="0"/>
    <n v="12"/>
    <x v="1"/>
    <x v="0"/>
    <m/>
    <x v="0"/>
    <n v="144.5"/>
    <x v="0"/>
    <x v="29"/>
    <x v="0"/>
    <x v="0"/>
    <x v="0"/>
  </r>
  <r>
    <x v="1"/>
    <x v="11"/>
    <s v="7951 J"/>
    <x v="260"/>
    <s v="Nazir Febrics Islamabad"/>
    <s v="LDM"/>
    <n v="18"/>
    <s v="14-15"/>
    <s v="LDM"/>
    <n v="100"/>
    <x v="0"/>
    <n v="1"/>
    <n v="67"/>
    <n v="2.2000000000000002"/>
    <m/>
    <x v="0"/>
    <n v="64.8"/>
    <n v="114.8"/>
    <m/>
    <x v="0"/>
    <x v="0"/>
    <n v="0"/>
    <n v="0"/>
    <x v="0"/>
    <x v="0"/>
    <m/>
    <x v="0"/>
    <x v="0"/>
    <x v="0"/>
    <x v="0"/>
    <x v="0"/>
    <n v="0"/>
    <n v="0"/>
    <n v="0"/>
    <n v="12"/>
    <x v="1"/>
    <x v="0"/>
    <m/>
    <x v="0"/>
    <n v="72"/>
    <x v="0"/>
    <x v="29"/>
    <x v="0"/>
    <x v="0"/>
    <x v="0"/>
  </r>
  <r>
    <x v="0"/>
    <x v="13"/>
    <s v="3024 F"/>
    <x v="260"/>
    <s v="Usman Amin"/>
    <s v="LDN"/>
    <n v="30"/>
    <s v="8-8.5"/>
    <s v="LDN"/>
    <n v="270"/>
    <x v="0"/>
    <n v="3"/>
    <n v="265"/>
    <n v="12.600000000000001"/>
    <n v="8"/>
    <x v="0"/>
    <n v="252.4"/>
    <n v="252.4"/>
    <m/>
    <x v="0"/>
    <x v="0"/>
    <n v="0"/>
    <n v="0"/>
    <x v="0"/>
    <x v="0"/>
    <m/>
    <x v="0"/>
    <x v="0"/>
    <x v="0"/>
    <x v="0"/>
    <x v="0"/>
    <n v="0"/>
    <n v="0"/>
    <n v="0"/>
    <n v="12"/>
    <x v="1"/>
    <x v="0"/>
    <m/>
    <x v="0"/>
    <n v="270"/>
    <x v="0"/>
    <x v="29"/>
    <x v="0"/>
    <x v="0"/>
    <x v="0"/>
  </r>
  <r>
    <x v="0"/>
    <x v="13"/>
    <s v="3023 F"/>
    <x v="260"/>
    <s v="Usman Amin"/>
    <s v="LDN"/>
    <n v="17"/>
    <s v="12"/>
    <s v="LDN"/>
    <n v="700"/>
    <x v="0"/>
    <n v="1"/>
    <n v="86.5"/>
    <n v="2"/>
    <m/>
    <x v="0"/>
    <n v="84.5"/>
    <n v="710.5"/>
    <m/>
    <x v="0"/>
    <x v="0"/>
    <n v="0"/>
    <n v="0"/>
    <x v="0"/>
    <x v="0"/>
    <m/>
    <x v="0"/>
    <x v="0"/>
    <x v="0"/>
    <x v="0"/>
    <x v="0"/>
    <n v="0"/>
    <n v="0"/>
    <n v="0"/>
    <n v="12"/>
    <x v="1"/>
    <x v="0"/>
    <m/>
    <x v="0"/>
    <n v="91.5"/>
    <x v="0"/>
    <x v="29"/>
    <x v="0"/>
    <x v="0"/>
    <x v="0"/>
  </r>
  <r>
    <x v="1"/>
    <x v="13"/>
    <s v="3023 F"/>
    <x v="260"/>
    <s v="Usman Amin"/>
    <s v="LDN"/>
    <n v="17"/>
    <s v="12"/>
    <s v="LDN"/>
    <n v="700"/>
    <x v="0"/>
    <n v="5"/>
    <n v="360.5"/>
    <n v="9"/>
    <m/>
    <x v="0"/>
    <n v="351.5"/>
    <n v="710.5"/>
    <m/>
    <x v="0"/>
    <x v="0"/>
    <n v="0"/>
    <n v="0"/>
    <x v="0"/>
    <x v="0"/>
    <m/>
    <x v="0"/>
    <x v="0"/>
    <x v="0"/>
    <x v="0"/>
    <x v="0"/>
    <n v="0"/>
    <n v="0"/>
    <n v="0"/>
    <n v="12"/>
    <x v="1"/>
    <x v="0"/>
    <m/>
    <x v="0"/>
    <n v="365.5"/>
    <x v="0"/>
    <x v="29"/>
    <x v="0"/>
    <x v="0"/>
    <x v="0"/>
  </r>
  <r>
    <x v="0"/>
    <x v="14"/>
    <s v="276 R"/>
    <x v="260"/>
    <s v="ریفلیکٹ پیک"/>
    <s v="LDN"/>
    <n v="35"/>
    <s v="5-5.5"/>
    <s v="LDN"/>
    <n v="10000"/>
    <x v="0"/>
    <n v="13"/>
    <n v="888.5"/>
    <n v="58.5"/>
    <n v="8"/>
    <x v="0"/>
    <n v="830"/>
    <n v="9958.4"/>
    <m/>
    <x v="0"/>
    <x v="0"/>
    <n v="0"/>
    <n v="0"/>
    <x v="0"/>
    <x v="3"/>
    <m/>
    <x v="14"/>
    <x v="0"/>
    <x v="0"/>
    <x v="0"/>
    <x v="0"/>
    <n v="24"/>
    <n v="0.4"/>
    <n v="0.4"/>
    <n v="11.6"/>
    <x v="1"/>
    <x v="0"/>
    <m/>
    <x v="0"/>
    <n v="893.5"/>
    <x v="0"/>
    <x v="29"/>
    <x v="0"/>
    <x v="0"/>
    <x v="0"/>
  </r>
  <r>
    <x v="1"/>
    <x v="14"/>
    <s v="276 R"/>
    <x v="260"/>
    <s v="ریفلیکٹ پیک"/>
    <s v="LDN"/>
    <n v="35"/>
    <s v="5-5.5"/>
    <s v="LDN"/>
    <n v="10000"/>
    <x v="0"/>
    <n v="13"/>
    <n v="925"/>
    <n v="58.5"/>
    <n v="10"/>
    <x v="0"/>
    <n v="866.5"/>
    <n v="9958.4"/>
    <m/>
    <x v="0"/>
    <x v="0"/>
    <n v="0"/>
    <n v="0"/>
    <x v="0"/>
    <x v="0"/>
    <m/>
    <x v="0"/>
    <x v="0"/>
    <x v="0"/>
    <x v="0"/>
    <x v="0"/>
    <n v="0"/>
    <n v="0"/>
    <n v="0"/>
    <n v="12"/>
    <x v="1"/>
    <x v="0"/>
    <m/>
    <x v="0"/>
    <n v="930"/>
    <x v="0"/>
    <x v="29"/>
    <x v="0"/>
    <x v="0"/>
    <x v="0"/>
  </r>
  <r>
    <x v="0"/>
    <x v="15"/>
    <s v="7936 J"/>
    <x v="260"/>
    <s v="Atlas Honda LTD (SKP)"/>
    <s v="LDN"/>
    <n v="24"/>
    <s v="8.5-9"/>
    <s v="LDN"/>
    <n v="299.14529914529913"/>
    <x v="0"/>
    <n v="4"/>
    <n v="288.5"/>
    <n v="6"/>
    <m/>
    <x v="0"/>
    <n v="282.5"/>
    <n v="282.5"/>
    <n v="5"/>
    <x v="0"/>
    <x v="0"/>
    <n v="5"/>
    <n v="8.3333333333333329E-2"/>
    <x v="0"/>
    <x v="0"/>
    <m/>
    <x v="0"/>
    <x v="0"/>
    <x v="0"/>
    <x v="0"/>
    <x v="0"/>
    <n v="0"/>
    <n v="0"/>
    <n v="8.3333333333333329E-2"/>
    <n v="11.916666666666666"/>
    <x v="1"/>
    <x v="0"/>
    <m/>
    <x v="0"/>
    <n v="293.5"/>
    <x v="0"/>
    <x v="29"/>
    <x v="0"/>
    <x v="0"/>
    <x v="0"/>
  </r>
  <r>
    <x v="0"/>
    <x v="15"/>
    <s v="7937 J"/>
    <x v="260"/>
    <s v="Atlas Honda LTD (SKP)"/>
    <s v="LDN"/>
    <n v="26"/>
    <s v="8.5-9"/>
    <s v="LDN"/>
    <n v="222.80092592592592"/>
    <x v="0"/>
    <n v="2"/>
    <n v="138.5"/>
    <n v="6"/>
    <n v="8"/>
    <x v="0"/>
    <n v="132.5"/>
    <n v="251"/>
    <n v="10"/>
    <x v="0"/>
    <x v="0"/>
    <n v="10"/>
    <n v="0.16666666666666666"/>
    <x v="0"/>
    <x v="0"/>
    <m/>
    <x v="0"/>
    <x v="0"/>
    <x v="0"/>
    <x v="0"/>
    <x v="0"/>
    <n v="0"/>
    <n v="0"/>
    <n v="0.16666666666666666"/>
    <n v="11.833333333333334"/>
    <x v="1"/>
    <x v="0"/>
    <m/>
    <x v="0"/>
    <n v="143.5"/>
    <x v="0"/>
    <x v="29"/>
    <x v="0"/>
    <x v="0"/>
    <x v="0"/>
  </r>
  <r>
    <x v="1"/>
    <x v="15"/>
    <s v="7937 J"/>
    <x v="260"/>
    <s v="Atlas Honda LTD (SKP)"/>
    <s v="LDN"/>
    <n v="26"/>
    <s v="8.5-9"/>
    <s v="LDN"/>
    <n v="222.80092592592592"/>
    <x v="0"/>
    <n v="2"/>
    <n v="124.5"/>
    <n v="6"/>
    <n v="10"/>
    <x v="0"/>
    <n v="118.5"/>
    <n v="251"/>
    <m/>
    <x v="0"/>
    <x v="0"/>
    <n v="0"/>
    <n v="0"/>
    <x v="0"/>
    <x v="0"/>
    <m/>
    <x v="0"/>
    <x v="0"/>
    <x v="0"/>
    <x v="0"/>
    <x v="0"/>
    <n v="0"/>
    <n v="0"/>
    <n v="0"/>
    <n v="12"/>
    <x v="1"/>
    <x v="0"/>
    <m/>
    <x v="0"/>
    <n v="129.5"/>
    <x v="0"/>
    <x v="29"/>
    <x v="0"/>
    <x v="0"/>
    <x v="0"/>
  </r>
  <r>
    <x v="1"/>
    <x v="15"/>
    <s v="7938 J"/>
    <x v="260"/>
    <s v="Atlas Honda LTD (SKP)"/>
    <s v="LDN"/>
    <n v="22"/>
    <s v="8.5-9"/>
    <s v="LDN"/>
    <n v="148.53395061728395"/>
    <x v="0"/>
    <n v="3"/>
    <n v="182"/>
    <n v="7.8"/>
    <m/>
    <x v="0"/>
    <n v="174.2"/>
    <n v="174.2"/>
    <m/>
    <x v="0"/>
    <x v="0"/>
    <n v="0"/>
    <n v="0"/>
    <x v="0"/>
    <x v="0"/>
    <m/>
    <x v="0"/>
    <x v="0"/>
    <x v="0"/>
    <x v="0"/>
    <x v="0"/>
    <n v="0"/>
    <n v="0"/>
    <n v="0"/>
    <n v="12"/>
    <x v="1"/>
    <x v="0"/>
    <m/>
    <x v="0"/>
    <n v="187"/>
    <x v="0"/>
    <x v="29"/>
    <x v="0"/>
    <x v="0"/>
    <x v="0"/>
  </r>
  <r>
    <x v="1"/>
    <x v="15"/>
    <s v="7941 J"/>
    <x v="260"/>
    <s v="Atlas Honda LTD (SKP)"/>
    <s v="LDN"/>
    <n v="22"/>
    <s v="12.5-13"/>
    <s v="LDN"/>
    <n v="83.244301994301992"/>
    <x v="0"/>
    <n v="2"/>
    <n v="119"/>
    <n v="5.6"/>
    <m/>
    <x v="0"/>
    <n v="113.4"/>
    <n v="113.4"/>
    <m/>
    <x v="0"/>
    <x v="0"/>
    <n v="0"/>
    <n v="0"/>
    <x v="0"/>
    <x v="0"/>
    <m/>
    <x v="0"/>
    <x v="0"/>
    <x v="0"/>
    <x v="0"/>
    <x v="0"/>
    <n v="0"/>
    <n v="0"/>
    <n v="0"/>
    <n v="12"/>
    <x v="1"/>
    <x v="0"/>
    <m/>
    <x v="0"/>
    <n v="124"/>
    <x v="0"/>
    <x v="29"/>
    <x v="0"/>
    <x v="0"/>
    <x v="0"/>
  </r>
  <r>
    <x v="0"/>
    <x v="8"/>
    <s v="7939 J"/>
    <x v="261"/>
    <s v="Atlas Honda LTD (SKP)"/>
    <s v="LDN"/>
    <n v="8"/>
    <s v="8.5-9"/>
    <s v="LDN"/>
    <n v="240.97815764482428"/>
    <x v="0"/>
    <n v="1"/>
    <n v="54.5"/>
    <n v="1"/>
    <m/>
    <x v="0"/>
    <n v="53.5"/>
    <n v="240.75"/>
    <m/>
    <x v="0"/>
    <x v="0"/>
    <n v="0"/>
    <n v="0"/>
    <x v="0"/>
    <x v="0"/>
    <m/>
    <x v="0"/>
    <x v="0"/>
    <x v="0"/>
    <x v="0"/>
    <x v="0"/>
    <n v="0"/>
    <n v="0"/>
    <n v="0"/>
    <n v="12"/>
    <x v="1"/>
    <x v="0"/>
    <m/>
    <x v="0"/>
    <n v="59.5"/>
    <x v="0"/>
    <x v="29"/>
    <x v="0"/>
    <x v="0"/>
    <x v="0"/>
  </r>
  <r>
    <x v="0"/>
    <x v="8"/>
    <s v="7871 J"/>
    <x v="261"/>
    <s v="Bolan Pastry Shop Quita"/>
    <s v="LDN"/>
    <n v="8"/>
    <s v="6-6.5"/>
    <s v="LDN"/>
    <n v="200"/>
    <x v="0"/>
    <n v="3"/>
    <n v="142.4"/>
    <n v="3"/>
    <n v="2"/>
    <x v="0"/>
    <n v="139.4"/>
    <n v="206.3"/>
    <m/>
    <x v="0"/>
    <x v="0"/>
    <n v="0"/>
    <n v="0"/>
    <x v="0"/>
    <x v="0"/>
    <m/>
    <x v="0"/>
    <x v="0"/>
    <x v="0"/>
    <x v="0"/>
    <x v="0"/>
    <n v="0"/>
    <n v="0"/>
    <n v="0"/>
    <n v="12"/>
    <x v="1"/>
    <x v="0"/>
    <m/>
    <x v="0"/>
    <n v="147.4"/>
    <x v="0"/>
    <x v="29"/>
    <x v="0"/>
    <x v="0"/>
    <x v="0"/>
  </r>
  <r>
    <x v="1"/>
    <x v="8"/>
    <s v="7871 J"/>
    <x v="261"/>
    <s v="Bolan Pastry Shop Quita"/>
    <s v="LDN"/>
    <n v="8"/>
    <s v="6-6.5"/>
    <s v="LDN"/>
    <n v="200"/>
    <x v="0"/>
    <n v="2"/>
    <n v="68.900000000000006"/>
    <n v="2"/>
    <m/>
    <x v="0"/>
    <n v="66.900000000000006"/>
    <n v="206.3"/>
    <m/>
    <x v="0"/>
    <x v="0"/>
    <n v="0"/>
    <n v="0"/>
    <x v="0"/>
    <x v="0"/>
    <m/>
    <x v="0"/>
    <x v="0"/>
    <x v="0"/>
    <x v="0"/>
    <x v="0"/>
    <n v="0"/>
    <n v="0"/>
    <n v="0"/>
    <n v="12"/>
    <x v="1"/>
    <x v="0"/>
    <m/>
    <x v="0"/>
    <n v="73.900000000000006"/>
    <x v="0"/>
    <x v="29"/>
    <x v="0"/>
    <x v="0"/>
    <x v="0"/>
  </r>
  <r>
    <x v="1"/>
    <x v="8"/>
    <s v="7933 J"/>
    <x v="261"/>
    <s v="Al Shaheer Foods Corporation LTD"/>
    <s v="LDN"/>
    <n v="7.5"/>
    <s v="10.5-11"/>
    <s v="LDN"/>
    <n v="200"/>
    <x v="0"/>
    <n v="2"/>
    <n v="91"/>
    <n v="2.2000000000000002"/>
    <m/>
    <x v="0"/>
    <n v="88.8"/>
    <n v="235.60000000000002"/>
    <m/>
    <x v="0"/>
    <x v="0"/>
    <n v="0"/>
    <n v="0"/>
    <x v="0"/>
    <x v="0"/>
    <m/>
    <x v="0"/>
    <x v="0"/>
    <x v="0"/>
    <x v="0"/>
    <x v="0"/>
    <n v="0"/>
    <n v="0"/>
    <n v="0"/>
    <n v="12"/>
    <x v="1"/>
    <x v="0"/>
    <m/>
    <x v="0"/>
    <n v="96"/>
    <x v="0"/>
    <x v="29"/>
    <x v="0"/>
    <x v="0"/>
    <x v="0"/>
  </r>
  <r>
    <x v="0"/>
    <x v="9"/>
    <s v="7932 J"/>
    <x v="261"/>
    <s v="Al Shaheer Foods Corporation LTD"/>
    <s v="LDN"/>
    <n v="11"/>
    <s v="13-13.5"/>
    <s v="LDN"/>
    <n v="200"/>
    <x v="0"/>
    <n v="2"/>
    <n v="110"/>
    <n v="2.4"/>
    <m/>
    <x v="0"/>
    <n v="107.6"/>
    <n v="214.1"/>
    <m/>
    <x v="0"/>
    <x v="0"/>
    <n v="0"/>
    <n v="0"/>
    <x v="0"/>
    <x v="0"/>
    <m/>
    <x v="0"/>
    <x v="0"/>
    <x v="0"/>
    <x v="0"/>
    <x v="0"/>
    <n v="0"/>
    <n v="0"/>
    <n v="0"/>
    <n v="12"/>
    <x v="1"/>
    <x v="0"/>
    <m/>
    <x v="0"/>
    <n v="115"/>
    <x v="0"/>
    <x v="29"/>
    <x v="0"/>
    <x v="0"/>
    <x v="0"/>
  </r>
  <r>
    <x v="0"/>
    <x v="9"/>
    <s v="7930 J"/>
    <x v="261"/>
    <s v="Al Shaheer Foods Corporation LTD"/>
    <s v="LDN"/>
    <n v="16"/>
    <s v="10-10.5"/>
    <s v="LDN"/>
    <n v="200"/>
    <x v="0"/>
    <n v="1"/>
    <n v="44.5"/>
    <n v="1.9"/>
    <n v="3"/>
    <x v="0"/>
    <n v="42.6"/>
    <n v="196.79999999999998"/>
    <m/>
    <x v="0"/>
    <x v="0"/>
    <n v="0"/>
    <n v="0"/>
    <x v="0"/>
    <x v="0"/>
    <m/>
    <x v="0"/>
    <x v="0"/>
    <x v="0"/>
    <x v="0"/>
    <x v="0"/>
    <n v="0"/>
    <n v="0"/>
    <n v="0"/>
    <n v="12"/>
    <x v="1"/>
    <x v="0"/>
    <m/>
    <x v="0"/>
    <n v="49.5"/>
    <x v="0"/>
    <x v="29"/>
    <x v="0"/>
    <x v="0"/>
    <x v="0"/>
  </r>
  <r>
    <x v="1"/>
    <x v="9"/>
    <s v="7930 J"/>
    <x v="261"/>
    <s v="Al Shaheer Foods Corporation LTD"/>
    <s v="LDN"/>
    <n v="16"/>
    <s v="10-10.5"/>
    <s v="LDN"/>
    <n v="200"/>
    <x v="0"/>
    <n v="3"/>
    <n v="160.1"/>
    <n v="5.9"/>
    <m/>
    <x v="0"/>
    <n v="154.19999999999999"/>
    <n v="196.79999999999998"/>
    <m/>
    <x v="0"/>
    <x v="0"/>
    <n v="0"/>
    <n v="0"/>
    <x v="0"/>
    <x v="0"/>
    <m/>
    <x v="0"/>
    <x v="0"/>
    <x v="0"/>
    <x v="0"/>
    <x v="0"/>
    <n v="0"/>
    <n v="0"/>
    <n v="0"/>
    <n v="12"/>
    <x v="1"/>
    <x v="0"/>
    <m/>
    <x v="0"/>
    <n v="165.1"/>
    <x v="0"/>
    <x v="29"/>
    <x v="0"/>
    <x v="0"/>
    <x v="0"/>
  </r>
  <r>
    <x v="1"/>
    <x v="9"/>
    <s v="7931 J"/>
    <x v="261"/>
    <s v="Al Shaheer Foods Corporation LTD"/>
    <s v="LDN"/>
    <n v="16"/>
    <s v="10-10.5"/>
    <s v="LDN"/>
    <n v="200"/>
    <x v="0"/>
    <n v="1"/>
    <n v="69.5"/>
    <n v="2"/>
    <m/>
    <x v="0"/>
    <n v="67.5"/>
    <n v="197.5"/>
    <m/>
    <x v="0"/>
    <x v="0"/>
    <n v="0"/>
    <n v="0"/>
    <x v="0"/>
    <x v="0"/>
    <m/>
    <x v="0"/>
    <x v="0"/>
    <x v="0"/>
    <x v="0"/>
    <x v="0"/>
    <n v="0"/>
    <n v="0"/>
    <n v="0"/>
    <n v="12"/>
    <x v="1"/>
    <x v="0"/>
    <m/>
    <x v="0"/>
    <n v="74.5"/>
    <x v="0"/>
    <x v="29"/>
    <x v="0"/>
    <x v="0"/>
    <x v="0"/>
  </r>
  <r>
    <x v="0"/>
    <x v="10"/>
    <s v="7781 J"/>
    <x v="261"/>
    <s v="Wah Nobel Private Limited"/>
    <s v="LD گولڈن پیلا"/>
    <s v="100MM"/>
    <s v="29-30"/>
    <s v="LDM"/>
    <n v="2000"/>
    <x v="0"/>
    <n v="5"/>
    <n v="246.5"/>
    <n v="4"/>
    <n v="40"/>
    <x v="0"/>
    <n v="242.5"/>
    <n v="1966.0500000000002"/>
    <m/>
    <x v="10"/>
    <x v="0"/>
    <n v="90"/>
    <n v="1.5"/>
    <x v="0"/>
    <x v="0"/>
    <m/>
    <x v="0"/>
    <x v="0"/>
    <x v="0"/>
    <x v="0"/>
    <x v="0"/>
    <n v="0"/>
    <n v="0"/>
    <n v="1.5"/>
    <n v="10.5"/>
    <x v="1"/>
    <x v="0"/>
    <m/>
    <x v="0"/>
    <n v="251.5"/>
    <x v="0"/>
    <x v="29"/>
    <x v="0"/>
    <x v="0"/>
    <x v="0"/>
  </r>
  <r>
    <x v="1"/>
    <x v="10"/>
    <s v="7781 J"/>
    <x v="261"/>
    <s v="Wah Nobel Private Limited"/>
    <s v="LD گولڈن پیلا"/>
    <s v="100MM"/>
    <s v="29-30"/>
    <s v="LDM"/>
    <n v="2000"/>
    <x v="0"/>
    <n v="5"/>
    <n v="155.6"/>
    <n v="2.5"/>
    <n v="3"/>
    <x v="0"/>
    <n v="153.1"/>
    <n v="1966.0500000000002"/>
    <m/>
    <x v="0"/>
    <x v="0"/>
    <n v="0"/>
    <n v="0"/>
    <x v="0"/>
    <x v="0"/>
    <m/>
    <x v="0"/>
    <x v="0"/>
    <x v="0"/>
    <x v="0"/>
    <x v="0"/>
    <n v="0"/>
    <n v="0"/>
    <n v="0"/>
    <n v="12"/>
    <x v="1"/>
    <x v="0"/>
    <m/>
    <x v="0"/>
    <n v="160.6"/>
    <x v="0"/>
    <x v="29"/>
    <x v="0"/>
    <x v="0"/>
    <x v="0"/>
  </r>
  <r>
    <x v="0"/>
    <x v="11"/>
    <s v="7951 J"/>
    <x v="261"/>
    <s v="Nazir Febrics Islamabad"/>
    <s v="LDM"/>
    <n v="18"/>
    <s v="14-15"/>
    <s v="LDM"/>
    <n v="100"/>
    <x v="0"/>
    <n v="1"/>
    <n v="52"/>
    <n v="2"/>
    <m/>
    <x v="0"/>
    <n v="50"/>
    <n v="114.8"/>
    <m/>
    <x v="0"/>
    <x v="0"/>
    <n v="0"/>
    <n v="0"/>
    <x v="0"/>
    <x v="0"/>
    <m/>
    <x v="0"/>
    <x v="0"/>
    <x v="0"/>
    <x v="0"/>
    <x v="0"/>
    <n v="0"/>
    <n v="0"/>
    <n v="0"/>
    <n v="12"/>
    <x v="1"/>
    <x v="0"/>
    <m/>
    <x v="0"/>
    <n v="57"/>
    <x v="0"/>
    <x v="29"/>
    <x v="0"/>
    <x v="0"/>
    <x v="0"/>
  </r>
  <r>
    <x v="0"/>
    <x v="11"/>
    <s v="7913 J"/>
    <x v="261"/>
    <s v="Ahsan Bilal FSD"/>
    <s v="LDM"/>
    <n v="18"/>
    <s v="13-14"/>
    <s v="LDM"/>
    <n v="200"/>
    <x v="0"/>
    <n v="2"/>
    <n v="122.5"/>
    <n v="4.4000000000000004"/>
    <m/>
    <x v="0"/>
    <n v="118.1"/>
    <n v="118.1"/>
    <m/>
    <x v="0"/>
    <x v="0"/>
    <n v="0"/>
    <n v="0"/>
    <x v="0"/>
    <x v="0"/>
    <m/>
    <x v="0"/>
    <x v="0"/>
    <x v="0"/>
    <x v="0"/>
    <x v="0"/>
    <n v="0"/>
    <n v="0"/>
    <n v="0"/>
    <n v="12"/>
    <x v="1"/>
    <x v="0"/>
    <m/>
    <x v="0"/>
    <n v="127.5"/>
    <x v="0"/>
    <x v="29"/>
    <x v="0"/>
    <x v="0"/>
    <x v="0"/>
  </r>
  <r>
    <x v="0"/>
    <x v="11"/>
    <s v="8003 J"/>
    <x v="261"/>
    <s v="Rewaj Garments Sialkot"/>
    <s v="LDM"/>
    <n v="16"/>
    <s v="12-12.5"/>
    <s v="LDM"/>
    <n v="100"/>
    <x v="0"/>
    <n v="2"/>
    <n v="109.5"/>
    <n v="3.8"/>
    <m/>
    <x v="0"/>
    <n v="105.7"/>
    <n v="105.7"/>
    <m/>
    <x v="0"/>
    <x v="0"/>
    <n v="0"/>
    <n v="0"/>
    <x v="0"/>
    <x v="0"/>
    <m/>
    <x v="0"/>
    <x v="0"/>
    <x v="0"/>
    <x v="0"/>
    <x v="0"/>
    <n v="0"/>
    <n v="0"/>
    <n v="0"/>
    <n v="12"/>
    <x v="1"/>
    <x v="0"/>
    <m/>
    <x v="0"/>
    <n v="114.5"/>
    <x v="0"/>
    <x v="29"/>
    <x v="0"/>
    <x v="0"/>
    <x v="0"/>
  </r>
  <r>
    <x v="0"/>
    <x v="11"/>
    <s v="7758 J"/>
    <x v="261"/>
    <s v="Usman Arif Butt Gujranwala"/>
    <s v="LDN"/>
    <n v="7"/>
    <n v="10"/>
    <s v="LDN"/>
    <n v="150"/>
    <x v="0"/>
    <n v="1"/>
    <n v="55"/>
    <n v="1.2"/>
    <m/>
    <x v="0"/>
    <n v="53.8"/>
    <n v="204.10000000000002"/>
    <m/>
    <x v="0"/>
    <x v="0"/>
    <n v="0"/>
    <n v="0"/>
    <x v="0"/>
    <x v="0"/>
    <m/>
    <x v="0"/>
    <x v="0"/>
    <x v="0"/>
    <x v="0"/>
    <x v="0"/>
    <n v="0"/>
    <n v="0"/>
    <n v="0"/>
    <n v="12"/>
    <x v="1"/>
    <x v="0"/>
    <m/>
    <x v="0"/>
    <n v="60"/>
    <x v="0"/>
    <x v="29"/>
    <x v="0"/>
    <x v="0"/>
    <x v="0"/>
  </r>
  <r>
    <x v="0"/>
    <x v="11"/>
    <s v="8018 J"/>
    <x v="261"/>
    <s v="Nawab Jilani Plastic Layyah"/>
    <s v="LDM"/>
    <s v="10+2.5+2.5"/>
    <s v="8-8.5/16-17"/>
    <s v="LDM"/>
    <n v="110"/>
    <x v="0"/>
    <n v="1"/>
    <n v="50"/>
    <n v="1"/>
    <n v="48"/>
    <x v="0"/>
    <n v="49"/>
    <n v="113.85"/>
    <m/>
    <x v="0"/>
    <x v="0"/>
    <n v="0"/>
    <n v="0"/>
    <x v="0"/>
    <x v="0"/>
    <m/>
    <x v="0"/>
    <x v="0"/>
    <x v="0"/>
    <x v="0"/>
    <x v="0"/>
    <n v="0"/>
    <n v="0"/>
    <n v="0"/>
    <n v="12"/>
    <x v="1"/>
    <x v="0"/>
    <m/>
    <x v="0"/>
    <n v="55"/>
    <x v="0"/>
    <x v="29"/>
    <x v="0"/>
    <x v="0"/>
    <x v="0"/>
  </r>
  <r>
    <x v="1"/>
    <x v="11"/>
    <s v="8018 J"/>
    <x v="261"/>
    <s v="Nawab Jilani Plastic Layyah"/>
    <s v="LDM"/>
    <s v="10+2.5+2.5"/>
    <s v="8-8.5/16-17"/>
    <s v="LDM"/>
    <n v="110"/>
    <x v="0"/>
    <n v="2"/>
    <n v="67.25"/>
    <n v="2.4"/>
    <n v="25"/>
    <x v="0"/>
    <n v="64.849999999999994"/>
    <n v="113.85"/>
    <m/>
    <x v="0"/>
    <x v="0"/>
    <n v="0"/>
    <n v="0"/>
    <x v="0"/>
    <x v="0"/>
    <m/>
    <x v="0"/>
    <x v="2"/>
    <x v="0"/>
    <x v="0"/>
    <x v="0"/>
    <n v="60"/>
    <n v="1"/>
    <n v="1"/>
    <n v="11"/>
    <x v="1"/>
    <x v="0"/>
    <m/>
    <x v="0"/>
    <n v="72.25"/>
    <x v="0"/>
    <x v="29"/>
    <x v="0"/>
    <x v="0"/>
    <x v="0"/>
  </r>
  <r>
    <x v="1"/>
    <x v="11"/>
    <s v="7989 J"/>
    <x v="261"/>
    <s v="Raja Shoes Lahore"/>
    <s v="LDM"/>
    <s v="9+2.5+2.5"/>
    <s v="4.75-5.25/9.5-10.5"/>
    <s v="LDM"/>
    <n v="1100"/>
    <x v="0"/>
    <n v="8"/>
    <n v="310.3"/>
    <n v="9.6"/>
    <m/>
    <x v="0"/>
    <n v="300.7"/>
    <n v="1132.0999999999999"/>
    <m/>
    <x v="0"/>
    <x v="0"/>
    <n v="0"/>
    <n v="0"/>
    <x v="0"/>
    <x v="0"/>
    <m/>
    <x v="0"/>
    <x v="0"/>
    <x v="0"/>
    <x v="0"/>
    <x v="0"/>
    <n v="0"/>
    <n v="0"/>
    <n v="0"/>
    <n v="12"/>
    <x v="1"/>
    <x v="0"/>
    <m/>
    <x v="0"/>
    <n v="315.3"/>
    <x v="0"/>
    <x v="29"/>
    <x v="0"/>
    <x v="0"/>
    <x v="0"/>
  </r>
  <r>
    <x v="0"/>
    <x v="13"/>
    <s v="3023 F"/>
    <x v="261"/>
    <s v="Usman Amin"/>
    <s v="LDN"/>
    <n v="17"/>
    <s v="12"/>
    <s v="LDN"/>
    <n v="700"/>
    <x v="0"/>
    <n v="4"/>
    <n v="282.5"/>
    <n v="8"/>
    <m/>
    <x v="0"/>
    <n v="274.5"/>
    <n v="710.5"/>
    <m/>
    <x v="0"/>
    <x v="0"/>
    <n v="0"/>
    <n v="0"/>
    <x v="0"/>
    <x v="0"/>
    <m/>
    <x v="0"/>
    <x v="0"/>
    <x v="0"/>
    <x v="0"/>
    <x v="0"/>
    <n v="0"/>
    <n v="0"/>
    <n v="0"/>
    <n v="12"/>
    <x v="1"/>
    <x v="0"/>
    <m/>
    <x v="0"/>
    <n v="287.5"/>
    <x v="0"/>
    <x v="29"/>
    <x v="0"/>
    <x v="0"/>
    <x v="0"/>
  </r>
  <r>
    <x v="0"/>
    <x v="13"/>
    <s v="3017 F"/>
    <x v="261"/>
    <s v="Usman Amin"/>
    <s v="LDN"/>
    <n v="18"/>
    <s v="7"/>
    <s v="LDN"/>
    <n v="270"/>
    <x v="0"/>
    <n v="1"/>
    <n v="63.5"/>
    <n v="2.1"/>
    <n v="7"/>
    <x v="0"/>
    <n v="61.4"/>
    <n v="298.59999999999997"/>
    <m/>
    <x v="0"/>
    <x v="0"/>
    <n v="0"/>
    <n v="0"/>
    <x v="0"/>
    <x v="0"/>
    <m/>
    <x v="0"/>
    <x v="0"/>
    <x v="0"/>
    <x v="0"/>
    <x v="0"/>
    <n v="0"/>
    <n v="0"/>
    <n v="0"/>
    <n v="12"/>
    <x v="1"/>
    <x v="0"/>
    <m/>
    <x v="0"/>
    <n v="68.5"/>
    <x v="0"/>
    <x v="29"/>
    <x v="0"/>
    <x v="0"/>
    <x v="0"/>
  </r>
  <r>
    <x v="1"/>
    <x v="13"/>
    <s v="3017 F"/>
    <x v="261"/>
    <s v="Usman Amin"/>
    <s v="LDN"/>
    <n v="18"/>
    <s v="7"/>
    <s v="LDN"/>
    <n v="270"/>
    <x v="0"/>
    <n v="5"/>
    <n v="248.7"/>
    <n v="11.5"/>
    <n v="4"/>
    <x v="0"/>
    <n v="237.2"/>
    <n v="298.59999999999997"/>
    <m/>
    <x v="0"/>
    <x v="0"/>
    <n v="0"/>
    <n v="0"/>
    <x v="0"/>
    <x v="0"/>
    <m/>
    <x v="0"/>
    <x v="0"/>
    <x v="0"/>
    <x v="0"/>
    <x v="0"/>
    <n v="0"/>
    <n v="0"/>
    <n v="0"/>
    <n v="12"/>
    <x v="1"/>
    <x v="0"/>
    <m/>
    <x v="0"/>
    <n v="253.7"/>
    <x v="0"/>
    <x v="29"/>
    <x v="0"/>
    <x v="0"/>
    <x v="0"/>
  </r>
  <r>
    <x v="1"/>
    <x v="13"/>
    <s v="3018 F"/>
    <x v="261"/>
    <s v="Usman Amin"/>
    <s v="LDN"/>
    <n v="20"/>
    <s v="14"/>
    <s v="LDN"/>
    <n v="160"/>
    <x v="0"/>
    <n v="1"/>
    <n v="78.5"/>
    <n v="2.4"/>
    <m/>
    <x v="0"/>
    <n v="76.099999999999994"/>
    <n v="155.69999999999999"/>
    <m/>
    <x v="0"/>
    <x v="0"/>
    <n v="0"/>
    <n v="0"/>
    <x v="0"/>
    <x v="0"/>
    <m/>
    <x v="0"/>
    <x v="0"/>
    <x v="0"/>
    <x v="0"/>
    <x v="0"/>
    <n v="0"/>
    <n v="0"/>
    <n v="0"/>
    <n v="12"/>
    <x v="1"/>
    <x v="0"/>
    <m/>
    <x v="0"/>
    <n v="83.5"/>
    <x v="0"/>
    <x v="29"/>
    <x v="0"/>
    <x v="0"/>
    <x v="0"/>
  </r>
  <r>
    <x v="0"/>
    <x v="14"/>
    <s v="276 R"/>
    <x v="261"/>
    <s v="ریفلیکٹ پیک"/>
    <s v="LDN"/>
    <n v="35"/>
    <s v="5-5.5"/>
    <s v="LDN"/>
    <n v="10000"/>
    <x v="0"/>
    <n v="2"/>
    <n v="162.5"/>
    <n v="9"/>
    <m/>
    <x v="0"/>
    <n v="153.5"/>
    <n v="9958.4"/>
    <m/>
    <x v="0"/>
    <x v="0"/>
    <n v="0"/>
    <n v="0"/>
    <x v="0"/>
    <x v="0"/>
    <m/>
    <x v="0"/>
    <x v="0"/>
    <x v="0"/>
    <x v="0"/>
    <x v="0"/>
    <n v="0"/>
    <n v="0"/>
    <n v="0"/>
    <n v="12"/>
    <x v="1"/>
    <x v="0"/>
    <m/>
    <x v="0"/>
    <n v="167.5"/>
    <x v="0"/>
    <x v="29"/>
    <x v="0"/>
    <x v="0"/>
    <x v="0"/>
  </r>
  <r>
    <x v="0"/>
    <x v="14"/>
    <s v="281 R"/>
    <x v="261"/>
    <s v="ریفلیکٹ پیک"/>
    <s v="LDN"/>
    <n v="35"/>
    <s v="5.5-6"/>
    <s v="LDN"/>
    <n v="1000"/>
    <x v="0"/>
    <n v="10"/>
    <n v="739.5"/>
    <n v="45"/>
    <m/>
    <x v="0"/>
    <n v="694.5"/>
    <n v="987.5"/>
    <m/>
    <x v="0"/>
    <x v="0"/>
    <n v="0"/>
    <n v="0"/>
    <x v="0"/>
    <x v="0"/>
    <m/>
    <x v="0"/>
    <x v="0"/>
    <x v="0"/>
    <x v="0"/>
    <x v="0"/>
    <n v="0"/>
    <n v="0"/>
    <n v="0"/>
    <n v="12"/>
    <x v="1"/>
    <x v="0"/>
    <m/>
    <x v="0"/>
    <n v="744.5"/>
    <x v="0"/>
    <x v="29"/>
    <x v="0"/>
    <x v="0"/>
    <x v="0"/>
  </r>
  <r>
    <x v="1"/>
    <x v="14"/>
    <s v="281 R"/>
    <x v="261"/>
    <s v="ریفلیکٹ پیک"/>
    <s v="LDN"/>
    <n v="35"/>
    <s v="5.5-6"/>
    <s v="LDN"/>
    <n v="1000"/>
    <x v="0"/>
    <n v="4"/>
    <n v="311"/>
    <n v="18"/>
    <n v="8"/>
    <x v="0"/>
    <n v="293"/>
    <n v="987.5"/>
    <m/>
    <x v="0"/>
    <x v="0"/>
    <n v="0"/>
    <n v="0"/>
    <x v="0"/>
    <x v="0"/>
    <m/>
    <x v="0"/>
    <x v="0"/>
    <x v="0"/>
    <x v="0"/>
    <x v="0"/>
    <n v="0"/>
    <n v="0"/>
    <n v="0"/>
    <n v="12"/>
    <x v="1"/>
    <x v="0"/>
    <m/>
    <x v="0"/>
    <n v="316"/>
    <x v="0"/>
    <x v="29"/>
    <x v="0"/>
    <x v="0"/>
    <x v="0"/>
  </r>
  <r>
    <x v="1"/>
    <x v="14"/>
    <s v="2862/1"/>
    <x v="261"/>
    <s v="PT-02"/>
    <s v="LD BLACK"/>
    <n v="34"/>
    <n v="16"/>
    <s v="SL"/>
    <n v="2000"/>
    <x v="0"/>
    <n v="8"/>
    <n v="812"/>
    <n v="27.5"/>
    <m/>
    <x v="0"/>
    <n v="784.5"/>
    <n v="1930"/>
    <m/>
    <x v="0"/>
    <x v="0"/>
    <n v="0"/>
    <n v="0"/>
    <x v="0"/>
    <x v="0"/>
    <m/>
    <x v="0"/>
    <x v="0"/>
    <x v="0"/>
    <x v="0"/>
    <x v="0"/>
    <n v="0"/>
    <n v="0"/>
    <n v="0"/>
    <n v="12"/>
    <x v="1"/>
    <x v="0"/>
    <m/>
    <x v="0"/>
    <n v="817"/>
    <x v="0"/>
    <x v="29"/>
    <x v="0"/>
    <x v="0"/>
    <x v="0"/>
  </r>
  <r>
    <x v="0"/>
    <x v="15"/>
    <s v="7940 J"/>
    <x v="261"/>
    <s v="Atlas Honda LTD (SKP)"/>
    <s v="LDN"/>
    <n v="19"/>
    <s v="8.5-9"/>
    <s v="LDN"/>
    <n v="138.14696106362771"/>
    <x v="0"/>
    <n v="2"/>
    <n v="152"/>
    <n v="4.8"/>
    <m/>
    <x v="0"/>
    <n v="147.19999999999999"/>
    <n v="147.19999999999999"/>
    <m/>
    <x v="0"/>
    <x v="0"/>
    <n v="0"/>
    <n v="0"/>
    <x v="0"/>
    <x v="0"/>
    <m/>
    <x v="0"/>
    <x v="0"/>
    <x v="0"/>
    <x v="0"/>
    <x v="0"/>
    <n v="0"/>
    <n v="0"/>
    <n v="0"/>
    <n v="12"/>
    <x v="1"/>
    <x v="0"/>
    <m/>
    <x v="0"/>
    <n v="157"/>
    <x v="0"/>
    <x v="29"/>
    <x v="0"/>
    <x v="0"/>
    <x v="0"/>
  </r>
  <r>
    <x v="0"/>
    <x v="15"/>
    <s v="7942 J"/>
    <x v="261"/>
    <s v="Atlas Honda LTD (SKP)"/>
    <s v="LDN"/>
    <n v="16"/>
    <s v="12.5-13"/>
    <s v="LDN"/>
    <n v="60.541310541310537"/>
    <x v="0"/>
    <n v="2"/>
    <n v="100"/>
    <n v="4"/>
    <n v="8"/>
    <x v="0"/>
    <n v="96"/>
    <n v="96"/>
    <m/>
    <x v="0"/>
    <x v="0"/>
    <n v="0"/>
    <n v="0"/>
    <x v="0"/>
    <x v="0"/>
    <m/>
    <x v="0"/>
    <x v="0"/>
    <x v="0"/>
    <x v="0"/>
    <x v="0"/>
    <n v="0"/>
    <n v="0"/>
    <n v="0"/>
    <n v="12"/>
    <x v="1"/>
    <x v="0"/>
    <m/>
    <x v="0"/>
    <n v="105"/>
    <x v="0"/>
    <x v="29"/>
    <x v="0"/>
    <x v="0"/>
    <x v="0"/>
  </r>
  <r>
    <x v="0"/>
    <x v="15"/>
    <s v="3041 F"/>
    <x v="261"/>
    <s v="Usman Amin"/>
    <s v="LDN"/>
    <n v="16"/>
    <s v="8"/>
    <s v="LDN"/>
    <n v="200"/>
    <x v="0"/>
    <n v="3"/>
    <n v="144"/>
    <n v="6"/>
    <m/>
    <x v="0"/>
    <n v="138"/>
    <n v="199"/>
    <m/>
    <x v="0"/>
    <x v="0"/>
    <n v="0"/>
    <n v="0"/>
    <x v="0"/>
    <x v="0"/>
    <m/>
    <x v="0"/>
    <x v="0"/>
    <x v="0"/>
    <x v="0"/>
    <x v="0"/>
    <n v="0"/>
    <n v="0"/>
    <n v="0"/>
    <n v="12"/>
    <x v="1"/>
    <x v="0"/>
    <m/>
    <x v="0"/>
    <n v="149"/>
    <x v="0"/>
    <x v="29"/>
    <x v="0"/>
    <x v="0"/>
    <x v="0"/>
  </r>
  <r>
    <x v="1"/>
    <x v="15"/>
    <s v="3041 F"/>
    <x v="261"/>
    <s v="Usman Amin"/>
    <s v="LDN"/>
    <n v="16"/>
    <s v="8"/>
    <s v="LDN"/>
    <n v="200"/>
    <x v="0"/>
    <n v="1"/>
    <n v="63"/>
    <n v="2"/>
    <n v="6"/>
    <x v="0"/>
    <n v="61"/>
    <n v="199"/>
    <n v="7"/>
    <x v="0"/>
    <x v="0"/>
    <n v="7"/>
    <n v="0.11666666666666667"/>
    <x v="0"/>
    <x v="0"/>
    <m/>
    <x v="0"/>
    <x v="0"/>
    <x v="0"/>
    <x v="0"/>
    <x v="0"/>
    <n v="0"/>
    <n v="0"/>
    <n v="0.11666666666666667"/>
    <n v="11.883333333333333"/>
    <x v="1"/>
    <x v="0"/>
    <m/>
    <x v="0"/>
    <n v="68"/>
    <x v="0"/>
    <x v="29"/>
    <x v="0"/>
    <x v="0"/>
    <x v="0"/>
  </r>
  <r>
    <x v="1"/>
    <x v="15"/>
    <s v="3043 F"/>
    <x v="261"/>
    <s v="Usman Amin"/>
    <s v="LDN"/>
    <n v="16"/>
    <s v="5-5.5"/>
    <s v="LDN"/>
    <n v="200"/>
    <x v="0"/>
    <n v="5"/>
    <n v="245"/>
    <n v="10.199999999999999"/>
    <m/>
    <x v="0"/>
    <n v="234.8"/>
    <n v="301.8"/>
    <n v="5"/>
    <x v="0"/>
    <x v="0"/>
    <n v="5"/>
    <n v="8.3333333333333329E-2"/>
    <x v="0"/>
    <x v="0"/>
    <m/>
    <x v="0"/>
    <x v="0"/>
    <x v="0"/>
    <x v="0"/>
    <x v="0"/>
    <n v="0"/>
    <n v="0"/>
    <n v="8.3333333333333329E-2"/>
    <n v="11.916666666666666"/>
    <x v="1"/>
    <x v="0"/>
    <m/>
    <x v="0"/>
    <n v="250"/>
    <x v="0"/>
    <x v="29"/>
    <x v="0"/>
    <x v="0"/>
    <x v="0"/>
  </r>
  <r>
    <x v="0"/>
    <x v="8"/>
    <s v="7933 J"/>
    <x v="262"/>
    <s v="Al Shaheer Foods Corporation LTD"/>
    <s v="LDN"/>
    <n v="7.5"/>
    <s v="10.5-11"/>
    <s v="LDN"/>
    <n v="200"/>
    <x v="0"/>
    <n v="3"/>
    <n v="149.80000000000001"/>
    <n v="3"/>
    <m/>
    <x v="0"/>
    <n v="146.80000000000001"/>
    <n v="235.60000000000002"/>
    <m/>
    <x v="0"/>
    <x v="0"/>
    <n v="0"/>
    <n v="0"/>
    <x v="0"/>
    <x v="0"/>
    <m/>
    <x v="0"/>
    <x v="0"/>
    <x v="0"/>
    <x v="0"/>
    <x v="0"/>
    <n v="0"/>
    <n v="0"/>
    <n v="0"/>
    <n v="12"/>
    <x v="1"/>
    <x v="0"/>
    <m/>
    <x v="0"/>
    <n v="154.80000000000001"/>
    <x v="0"/>
    <x v="29"/>
    <x v="0"/>
    <x v="0"/>
    <x v="0"/>
  </r>
  <r>
    <x v="1"/>
    <x v="8"/>
    <s v="7918 J"/>
    <x v="262"/>
    <s v="Alam Printers Butkhela"/>
    <s v="LDN"/>
    <n v="7"/>
    <s v="14-15"/>
    <s v="LDN"/>
    <n v="100"/>
    <x v="0"/>
    <n v="2"/>
    <n v="100"/>
    <n v="2.1"/>
    <n v="2"/>
    <x v="0"/>
    <n v="97.9"/>
    <n v="97.9"/>
    <m/>
    <x v="0"/>
    <x v="0"/>
    <n v="0"/>
    <n v="0"/>
    <x v="0"/>
    <x v="0"/>
    <m/>
    <x v="0"/>
    <x v="0"/>
    <x v="0"/>
    <x v="0"/>
    <x v="0"/>
    <n v="0"/>
    <n v="0"/>
    <n v="0"/>
    <n v="12"/>
    <x v="1"/>
    <x v="0"/>
    <m/>
    <x v="0"/>
    <n v="105"/>
    <x v="0"/>
    <x v="29"/>
    <x v="0"/>
    <x v="0"/>
    <x v="0"/>
  </r>
  <r>
    <x v="1"/>
    <x v="8"/>
    <s v="7949 J"/>
    <x v="262"/>
    <s v="Shah Jee Achar Mardan"/>
    <s v="LDN"/>
    <n v="7"/>
    <s v="18"/>
    <s v="LDN"/>
    <n v="100"/>
    <x v="0"/>
    <n v="2"/>
    <n v="100"/>
    <n v="1.9"/>
    <m/>
    <x v="0"/>
    <n v="98.1"/>
    <n v="98.1"/>
    <m/>
    <x v="0"/>
    <x v="0"/>
    <n v="0"/>
    <n v="0"/>
    <x v="0"/>
    <x v="0"/>
    <m/>
    <x v="0"/>
    <x v="0"/>
    <x v="0"/>
    <x v="0"/>
    <x v="0"/>
    <n v="0"/>
    <n v="0"/>
    <n v="0"/>
    <n v="12"/>
    <x v="1"/>
    <x v="0"/>
    <m/>
    <x v="0"/>
    <n v="105"/>
    <x v="0"/>
    <x v="29"/>
    <x v="0"/>
    <x v="0"/>
    <x v="0"/>
  </r>
  <r>
    <x v="0"/>
    <x v="9"/>
    <s v="7931 J"/>
    <x v="262"/>
    <s v="Al Shaheer Foods Corporation LTD"/>
    <s v="LDN"/>
    <n v="16"/>
    <s v="10-10.5"/>
    <s v="LDN"/>
    <n v="200"/>
    <x v="0"/>
    <n v="3"/>
    <n v="136"/>
    <n v="6"/>
    <m/>
    <x v="0"/>
    <n v="130"/>
    <n v="197.5"/>
    <m/>
    <x v="0"/>
    <x v="0"/>
    <n v="0"/>
    <n v="0"/>
    <x v="0"/>
    <x v="0"/>
    <m/>
    <x v="0"/>
    <x v="0"/>
    <x v="0"/>
    <x v="0"/>
    <x v="0"/>
    <n v="0"/>
    <n v="0"/>
    <n v="0"/>
    <n v="12"/>
    <x v="1"/>
    <x v="0"/>
    <m/>
    <x v="0"/>
    <n v="141"/>
    <x v="0"/>
    <x v="29"/>
    <x v="0"/>
    <x v="0"/>
    <x v="0"/>
  </r>
  <r>
    <x v="0"/>
    <x v="9"/>
    <s v="7881 J"/>
    <x v="262"/>
    <s v="Irtza Sb Shah Alam Lahore"/>
    <s v="LDN"/>
    <s v="24 شیٹ"/>
    <s v="3-3.5/6-7"/>
    <s v="LDN"/>
    <n v="100"/>
    <x v="0"/>
    <n v="1"/>
    <n v="45"/>
    <n v="1.6"/>
    <n v="2"/>
    <x v="0"/>
    <n v="43.4"/>
    <n v="117.4"/>
    <m/>
    <x v="0"/>
    <x v="0"/>
    <n v="0"/>
    <n v="0"/>
    <x v="0"/>
    <x v="0"/>
    <m/>
    <x v="0"/>
    <x v="0"/>
    <x v="0"/>
    <x v="0"/>
    <x v="0"/>
    <n v="0"/>
    <n v="0"/>
    <n v="0"/>
    <n v="12"/>
    <x v="1"/>
    <x v="0"/>
    <m/>
    <x v="0"/>
    <n v="50"/>
    <x v="0"/>
    <x v="29"/>
    <x v="0"/>
    <x v="0"/>
    <x v="0"/>
  </r>
  <r>
    <x v="1"/>
    <x v="9"/>
    <s v="7881 J"/>
    <x v="262"/>
    <s v="Irtza Sb Shah Alam Lahore"/>
    <s v="LDN"/>
    <s v="24 شیٹ"/>
    <s v="3-3.5/6-7"/>
    <s v="LDN"/>
    <n v="100"/>
    <x v="0"/>
    <n v="2"/>
    <n v="77.400000000000006"/>
    <n v="3.4000000000000004"/>
    <m/>
    <x v="0"/>
    <n v="74"/>
    <n v="117.4"/>
    <m/>
    <x v="0"/>
    <x v="0"/>
    <n v="0"/>
    <n v="0"/>
    <x v="0"/>
    <x v="0"/>
    <m/>
    <x v="0"/>
    <x v="0"/>
    <x v="0"/>
    <x v="0"/>
    <x v="0"/>
    <n v="0"/>
    <n v="0"/>
    <n v="0"/>
    <n v="12"/>
    <x v="1"/>
    <x v="0"/>
    <m/>
    <x v="0"/>
    <n v="82.4"/>
    <x v="0"/>
    <x v="29"/>
    <x v="0"/>
    <x v="0"/>
    <x v="0"/>
  </r>
  <r>
    <x v="1"/>
    <x v="9"/>
    <s v="8043 J"/>
    <x v="262"/>
    <s v="Usman Arif Butt Gujranwala"/>
    <s v="LDN"/>
    <n v="5"/>
    <n v="10"/>
    <s v="LDN"/>
    <n v="130"/>
    <x v="0"/>
    <n v="2"/>
    <n v="83.9"/>
    <n v="1.5"/>
    <m/>
    <x v="0"/>
    <n v="82.4"/>
    <n v="127.4"/>
    <m/>
    <x v="0"/>
    <x v="0"/>
    <n v="0"/>
    <n v="0"/>
    <x v="0"/>
    <x v="0"/>
    <m/>
    <x v="0"/>
    <x v="0"/>
    <x v="0"/>
    <x v="0"/>
    <x v="0"/>
    <n v="0"/>
    <n v="0"/>
    <n v="0"/>
    <n v="12"/>
    <x v="1"/>
    <x v="0"/>
    <m/>
    <x v="0"/>
    <n v="88.9"/>
    <x v="0"/>
    <x v="29"/>
    <x v="0"/>
    <x v="0"/>
    <x v="0"/>
  </r>
  <r>
    <x v="0"/>
    <x v="10"/>
    <s v="7781 J"/>
    <x v="262"/>
    <s v="Wah Nobel Private Limited"/>
    <s v="LD گولڈن پیلا"/>
    <s v="100MM"/>
    <s v="29-30"/>
    <s v="LDM"/>
    <n v="2000"/>
    <x v="0"/>
    <n v="6"/>
    <n v="183.3"/>
    <n v="3.1"/>
    <m/>
    <x v="0"/>
    <n v="180.20000000000002"/>
    <n v="1966.0500000000002"/>
    <m/>
    <x v="0"/>
    <x v="0"/>
    <n v="0"/>
    <n v="0"/>
    <x v="0"/>
    <x v="0"/>
    <m/>
    <x v="0"/>
    <x v="0"/>
    <x v="0"/>
    <x v="0"/>
    <x v="0"/>
    <n v="0"/>
    <n v="0"/>
    <n v="0"/>
    <n v="12"/>
    <x v="1"/>
    <x v="0"/>
    <m/>
    <x v="0"/>
    <n v="188.3"/>
    <x v="0"/>
    <x v="29"/>
    <x v="0"/>
    <x v="0"/>
    <x v="0"/>
  </r>
  <r>
    <x v="1"/>
    <x v="10"/>
    <s v="7781 J"/>
    <x v="262"/>
    <s v="Wah Nobel Private Limited"/>
    <s v="LD گولڈن پیلا"/>
    <s v="100MM"/>
    <s v="29-30"/>
    <s v="LDM"/>
    <n v="2000"/>
    <x v="0"/>
    <n v="7"/>
    <n v="211.2"/>
    <n v="4.7999999999999989"/>
    <n v="3"/>
    <x v="0"/>
    <n v="206.39999999999998"/>
    <n v="1966.0500000000002"/>
    <m/>
    <x v="0"/>
    <x v="0"/>
    <n v="0"/>
    <n v="0"/>
    <x v="0"/>
    <x v="0"/>
    <m/>
    <x v="0"/>
    <x v="0"/>
    <x v="0"/>
    <x v="0"/>
    <x v="0"/>
    <n v="0"/>
    <n v="0"/>
    <n v="0"/>
    <n v="12"/>
    <x v="1"/>
    <x v="0"/>
    <m/>
    <x v="0"/>
    <n v="216.2"/>
    <x v="0"/>
    <x v="29"/>
    <x v="0"/>
    <x v="0"/>
    <x v="0"/>
  </r>
  <r>
    <x v="0"/>
    <x v="11"/>
    <s v="7989 J"/>
    <x v="262"/>
    <s v="Raja Shoes Lahore"/>
    <s v="LDM"/>
    <s v="9+2.5+2.5"/>
    <s v="4.75-5.25/9.5-10.5"/>
    <s v="LDM"/>
    <n v="1100"/>
    <x v="0"/>
    <n v="5"/>
    <n v="181"/>
    <n v="4.5"/>
    <n v="16"/>
    <x v="0"/>
    <n v="176.5"/>
    <n v="1132.0999999999999"/>
    <m/>
    <x v="0"/>
    <x v="0"/>
    <n v="0"/>
    <n v="0"/>
    <x v="0"/>
    <x v="0"/>
    <n v="420"/>
    <x v="0"/>
    <x v="0"/>
    <x v="0"/>
    <x v="0"/>
    <x v="0"/>
    <n v="420"/>
    <n v="7"/>
    <n v="7"/>
    <n v="5"/>
    <x v="1"/>
    <x v="0"/>
    <m/>
    <x v="0"/>
    <n v="186"/>
    <x v="0"/>
    <x v="29"/>
    <x v="0"/>
    <x v="0"/>
    <x v="0"/>
  </r>
  <r>
    <x v="1"/>
    <x v="11"/>
    <s v="7989 J"/>
    <x v="262"/>
    <s v="Raja Shoes Lahore"/>
    <s v="LDM"/>
    <s v="9+2.5+2.5"/>
    <s v="4.75-5.25/9.5-10.5"/>
    <s v="LDM"/>
    <n v="1100"/>
    <x v="0"/>
    <n v="11"/>
    <n v="395.5"/>
    <n v="10.9"/>
    <n v="7"/>
    <x v="0"/>
    <n v="384.6"/>
    <n v="1132.0999999999999"/>
    <m/>
    <x v="0"/>
    <x v="0"/>
    <n v="0"/>
    <n v="0"/>
    <x v="0"/>
    <x v="0"/>
    <m/>
    <x v="0"/>
    <x v="0"/>
    <x v="0"/>
    <x v="0"/>
    <x v="0"/>
    <n v="0"/>
    <n v="0"/>
    <n v="0"/>
    <n v="12"/>
    <x v="1"/>
    <x v="0"/>
    <m/>
    <x v="0"/>
    <n v="400.5"/>
    <x v="0"/>
    <x v="29"/>
    <x v="0"/>
    <x v="0"/>
    <x v="0"/>
  </r>
  <r>
    <x v="0"/>
    <x v="13"/>
    <s v="3018 F"/>
    <x v="262"/>
    <s v="Usman Amin"/>
    <s v="LDN"/>
    <n v="20"/>
    <s v="14"/>
    <s v="LDN"/>
    <n v="160"/>
    <x v="0"/>
    <n v="1"/>
    <n v="82"/>
    <n v="2.4"/>
    <m/>
    <x v="0"/>
    <n v="79.599999999999994"/>
    <n v="155.69999999999999"/>
    <m/>
    <x v="0"/>
    <x v="0"/>
    <n v="0"/>
    <n v="0"/>
    <x v="0"/>
    <x v="0"/>
    <m/>
    <x v="0"/>
    <x v="0"/>
    <x v="0"/>
    <x v="0"/>
    <x v="0"/>
    <n v="0"/>
    <n v="0"/>
    <n v="0"/>
    <n v="12"/>
    <x v="1"/>
    <x v="0"/>
    <m/>
    <x v="0"/>
    <n v="87"/>
    <x v="0"/>
    <x v="29"/>
    <x v="0"/>
    <x v="0"/>
    <x v="0"/>
  </r>
  <r>
    <x v="0"/>
    <x v="13"/>
    <s v="3014 F"/>
    <x v="262"/>
    <s v="Usman Amin"/>
    <s v="LDN"/>
    <n v="17.25"/>
    <s v="8.5-9"/>
    <s v="LDN"/>
    <n v="1000"/>
    <x v="0"/>
    <n v="2"/>
    <n v="87"/>
    <n v="3.4"/>
    <m/>
    <x v="0"/>
    <n v="83.6"/>
    <n v="1021.0999999999999"/>
    <m/>
    <x v="0"/>
    <x v="0"/>
    <n v="0"/>
    <n v="0"/>
    <x v="0"/>
    <x v="0"/>
    <m/>
    <x v="0"/>
    <x v="0"/>
    <x v="0"/>
    <x v="0"/>
    <x v="0"/>
    <n v="0"/>
    <n v="0"/>
    <n v="0"/>
    <n v="12"/>
    <x v="1"/>
    <x v="0"/>
    <m/>
    <x v="0"/>
    <n v="92"/>
    <x v="0"/>
    <x v="29"/>
    <x v="0"/>
    <x v="0"/>
    <x v="0"/>
  </r>
  <r>
    <x v="0"/>
    <x v="13"/>
    <s v="3019 F"/>
    <x v="262"/>
    <s v="Usman Amin"/>
    <s v="LDN"/>
    <n v="20"/>
    <s v="14"/>
    <s v="LDN"/>
    <n v="75"/>
    <x v="0"/>
    <n v="1"/>
    <n v="78.5"/>
    <n v="2.5"/>
    <m/>
    <x v="0"/>
    <n v="76"/>
    <n v="76"/>
    <m/>
    <x v="0"/>
    <x v="0"/>
    <n v="0"/>
    <n v="0"/>
    <x v="0"/>
    <x v="0"/>
    <m/>
    <x v="0"/>
    <x v="0"/>
    <x v="0"/>
    <x v="0"/>
    <x v="0"/>
    <n v="0"/>
    <n v="0"/>
    <n v="0"/>
    <n v="12"/>
    <x v="1"/>
    <x v="0"/>
    <m/>
    <x v="0"/>
    <n v="83.5"/>
    <x v="0"/>
    <x v="29"/>
    <x v="0"/>
    <x v="0"/>
    <x v="0"/>
  </r>
  <r>
    <x v="0"/>
    <x v="13"/>
    <s v="3032 F"/>
    <x v="262"/>
    <s v="Usman Amin"/>
    <s v="LDN"/>
    <n v="17"/>
    <s v="8.5-9"/>
    <s v="LDN"/>
    <n v="1000"/>
    <x v="0"/>
    <n v="1"/>
    <n v="79"/>
    <n v="1.7"/>
    <n v="12"/>
    <x v="0"/>
    <n v="77.3"/>
    <n v="985"/>
    <m/>
    <x v="0"/>
    <x v="0"/>
    <n v="0"/>
    <n v="0"/>
    <x v="0"/>
    <x v="0"/>
    <m/>
    <x v="0"/>
    <x v="0"/>
    <x v="0"/>
    <x v="0"/>
    <x v="0"/>
    <n v="0"/>
    <n v="0"/>
    <n v="0"/>
    <n v="12"/>
    <x v="1"/>
    <x v="0"/>
    <m/>
    <x v="0"/>
    <n v="84"/>
    <x v="0"/>
    <x v="29"/>
    <x v="0"/>
    <x v="0"/>
    <x v="0"/>
  </r>
  <r>
    <x v="1"/>
    <x v="13"/>
    <s v="3032 F"/>
    <x v="262"/>
    <s v="Usman Amin"/>
    <s v="LDN"/>
    <n v="17"/>
    <s v="8.5-9"/>
    <s v="LDN"/>
    <n v="1000"/>
    <x v="0"/>
    <n v="4"/>
    <n v="331.5"/>
    <n v="9.1999999999999993"/>
    <n v="4"/>
    <x v="0"/>
    <n v="322.3"/>
    <n v="985"/>
    <m/>
    <x v="0"/>
    <x v="0"/>
    <n v="0"/>
    <n v="0"/>
    <x v="0"/>
    <x v="0"/>
    <m/>
    <x v="0"/>
    <x v="0"/>
    <x v="0"/>
    <x v="0"/>
    <x v="0"/>
    <n v="0"/>
    <n v="0"/>
    <n v="0"/>
    <n v="12"/>
    <x v="1"/>
    <x v="0"/>
    <m/>
    <x v="0"/>
    <n v="336.5"/>
    <x v="0"/>
    <x v="29"/>
    <x v="0"/>
    <x v="0"/>
    <x v="0"/>
  </r>
  <r>
    <x v="0"/>
    <x v="14"/>
    <s v="2862/1"/>
    <x v="262"/>
    <s v="PT-02"/>
    <s v="LD BLACK"/>
    <n v="34"/>
    <n v="16"/>
    <s v="SL"/>
    <n v="2000"/>
    <x v="0"/>
    <n v="7"/>
    <n v="828"/>
    <n v="24.6"/>
    <n v="12"/>
    <x v="0"/>
    <n v="803.4"/>
    <n v="1930"/>
    <m/>
    <x v="0"/>
    <x v="0"/>
    <n v="0"/>
    <n v="0"/>
    <x v="0"/>
    <x v="0"/>
    <m/>
    <x v="0"/>
    <x v="0"/>
    <x v="0"/>
    <x v="0"/>
    <x v="0"/>
    <n v="0"/>
    <n v="0"/>
    <n v="0"/>
    <n v="12"/>
    <x v="1"/>
    <x v="0"/>
    <m/>
    <x v="0"/>
    <n v="833"/>
    <x v="0"/>
    <x v="29"/>
    <x v="0"/>
    <x v="0"/>
    <x v="0"/>
  </r>
  <r>
    <x v="1"/>
    <x v="14"/>
    <s v="2862/1"/>
    <x v="262"/>
    <s v="PT-02"/>
    <s v="LD BLACK"/>
    <n v="34"/>
    <n v="16"/>
    <s v="SL"/>
    <n v="2000"/>
    <x v="0"/>
    <n v="3"/>
    <n v="350.5"/>
    <n v="8.3999999999999986"/>
    <n v="90"/>
    <x v="0"/>
    <n v="342.1"/>
    <n v="1930"/>
    <m/>
    <x v="0"/>
    <x v="0"/>
    <n v="0"/>
    <n v="0"/>
    <x v="0"/>
    <x v="0"/>
    <m/>
    <x v="0"/>
    <x v="0"/>
    <x v="0"/>
    <x v="0"/>
    <x v="0"/>
    <n v="0"/>
    <n v="0"/>
    <n v="0"/>
    <n v="12"/>
    <x v="1"/>
    <x v="0"/>
    <m/>
    <x v="0"/>
    <n v="355.5"/>
    <x v="0"/>
    <x v="29"/>
    <x v="0"/>
    <x v="0"/>
    <x v="0"/>
  </r>
  <r>
    <x v="1"/>
    <x v="14"/>
    <s v="7961 J"/>
    <x v="262"/>
    <s v="Karss Paint Industry Pvt LTD"/>
    <s v="LDM"/>
    <n v="17"/>
    <s v="-"/>
    <s v="LDM"/>
    <n v="0"/>
    <x v="0"/>
    <n v="1"/>
    <n v="112.5"/>
    <n v="2.1"/>
    <m/>
    <x v="0"/>
    <n v="110.4"/>
    <n v="249.60000000000002"/>
    <m/>
    <x v="0"/>
    <x v="0"/>
    <n v="0"/>
    <n v="0"/>
    <x v="0"/>
    <x v="0"/>
    <m/>
    <x v="0"/>
    <x v="0"/>
    <x v="0"/>
    <x v="0"/>
    <x v="0"/>
    <n v="0"/>
    <n v="0"/>
    <n v="0"/>
    <n v="12"/>
    <x v="1"/>
    <x v="0"/>
    <m/>
    <x v="0"/>
    <n v="117.5"/>
    <x v="0"/>
    <x v="29"/>
    <x v="0"/>
    <x v="0"/>
    <x v="0"/>
  </r>
  <r>
    <x v="1"/>
    <x v="14"/>
    <s v="1150 J"/>
    <x v="262"/>
    <s v="THANK YOU"/>
    <m/>
    <n v="20"/>
    <s v="12-13"/>
    <m/>
    <m/>
    <x v="0"/>
    <n v="2"/>
    <n v="156"/>
    <n v="4.4000000000000004"/>
    <m/>
    <x v="0"/>
    <n v="151.6"/>
    <n v="1647.44"/>
    <n v="90"/>
    <x v="0"/>
    <x v="0"/>
    <n v="90"/>
    <n v="1.5"/>
    <x v="0"/>
    <x v="0"/>
    <m/>
    <x v="0"/>
    <x v="0"/>
    <x v="0"/>
    <x v="12"/>
    <x v="0"/>
    <n v="90"/>
    <n v="1.5"/>
    <n v="3"/>
    <n v="9"/>
    <x v="1"/>
    <x v="0"/>
    <m/>
    <x v="0"/>
    <n v="161"/>
    <x v="0"/>
    <x v="29"/>
    <x v="0"/>
    <x v="0"/>
    <x v="0"/>
  </r>
  <r>
    <x v="0"/>
    <x v="15"/>
    <s v="3043 F"/>
    <x v="262"/>
    <s v="Usman Amin"/>
    <s v="LDN"/>
    <n v="16"/>
    <s v="5-5.5"/>
    <s v="LDN"/>
    <n v="200"/>
    <x v="0"/>
    <n v="1"/>
    <n v="69"/>
    <n v="2"/>
    <m/>
    <x v="0"/>
    <n v="67"/>
    <n v="301.8"/>
    <m/>
    <x v="0"/>
    <x v="0"/>
    <n v="0"/>
    <n v="0"/>
    <x v="0"/>
    <x v="0"/>
    <m/>
    <x v="0"/>
    <x v="0"/>
    <x v="0"/>
    <x v="0"/>
    <x v="0"/>
    <n v="0"/>
    <n v="0"/>
    <n v="0"/>
    <n v="12"/>
    <x v="1"/>
    <x v="0"/>
    <m/>
    <x v="0"/>
    <n v="74"/>
    <x v="0"/>
    <x v="29"/>
    <x v="0"/>
    <x v="0"/>
    <x v="0"/>
  </r>
  <r>
    <x v="0"/>
    <x v="15"/>
    <s v="3042 F"/>
    <x v="262"/>
    <s v="Usman Amin"/>
    <s v="LDN"/>
    <n v="17"/>
    <s v="8"/>
    <s v="LDN"/>
    <n v="150"/>
    <x v="0"/>
    <n v="3"/>
    <n v="154.5"/>
    <n v="6.3000000000000007"/>
    <m/>
    <x v="0"/>
    <n v="148.19999999999999"/>
    <n v="148.19999999999999"/>
    <n v="5"/>
    <x v="0"/>
    <x v="0"/>
    <n v="5"/>
    <n v="8.3333333333333329E-2"/>
    <x v="0"/>
    <x v="0"/>
    <m/>
    <x v="0"/>
    <x v="0"/>
    <x v="0"/>
    <x v="0"/>
    <x v="0"/>
    <n v="0"/>
    <n v="0"/>
    <n v="8.3333333333333329E-2"/>
    <n v="11.916666666666666"/>
    <x v="1"/>
    <x v="0"/>
    <m/>
    <x v="0"/>
    <n v="159.5"/>
    <x v="0"/>
    <x v="29"/>
    <x v="0"/>
    <x v="0"/>
    <x v="0"/>
  </r>
  <r>
    <x v="0"/>
    <x v="15"/>
    <s v="3014 F"/>
    <x v="262"/>
    <s v="Usman Amin"/>
    <s v="LDN"/>
    <n v="17.25"/>
    <s v="8.5-9"/>
    <s v="LDN"/>
    <n v="1000"/>
    <x v="0"/>
    <n v="2"/>
    <n v="114"/>
    <n v="4.2"/>
    <m/>
    <x v="0"/>
    <n v="109.8"/>
    <n v="1021.0999999999999"/>
    <n v="5"/>
    <x v="0"/>
    <x v="0"/>
    <n v="5"/>
    <n v="8.3333333333333329E-2"/>
    <x v="0"/>
    <x v="0"/>
    <m/>
    <x v="0"/>
    <x v="0"/>
    <x v="0"/>
    <x v="0"/>
    <x v="0"/>
    <n v="0"/>
    <n v="0"/>
    <n v="8.3333333333333329E-2"/>
    <n v="11.916666666666666"/>
    <x v="1"/>
    <x v="0"/>
    <m/>
    <x v="0"/>
    <n v="119"/>
    <x v="0"/>
    <x v="29"/>
    <x v="0"/>
    <x v="0"/>
    <x v="0"/>
  </r>
  <r>
    <x v="1"/>
    <x v="15"/>
    <s v="3014 F"/>
    <x v="262"/>
    <s v="Usman Amin"/>
    <s v="LDN"/>
    <n v="17.25"/>
    <s v="8.5-9"/>
    <s v="LDN"/>
    <n v="1000"/>
    <x v="0"/>
    <n v="6"/>
    <n v="399"/>
    <n v="12.600000000000001"/>
    <n v="2"/>
    <x v="0"/>
    <n v="386.4"/>
    <n v="1021.0999999999999"/>
    <m/>
    <x v="0"/>
    <x v="0"/>
    <n v="0"/>
    <n v="0"/>
    <x v="0"/>
    <x v="0"/>
    <m/>
    <x v="0"/>
    <x v="0"/>
    <x v="0"/>
    <x v="0"/>
    <x v="0"/>
    <n v="0"/>
    <n v="0"/>
    <n v="0"/>
    <n v="12"/>
    <x v="1"/>
    <x v="0"/>
    <m/>
    <x v="0"/>
    <n v="404"/>
    <x v="0"/>
    <x v="29"/>
    <x v="0"/>
    <x v="0"/>
    <x v="0"/>
  </r>
  <r>
    <x v="0"/>
    <x v="8"/>
    <s v="8045 J"/>
    <x v="263"/>
    <s v="Usman Arif Butt Gujranwala"/>
    <s v="LDN"/>
    <n v="7"/>
    <n v="10"/>
    <s v="LDN"/>
    <n v="150"/>
    <x v="0"/>
    <n v="1"/>
    <n v="44.8"/>
    <n v="0.9"/>
    <m/>
    <x v="0"/>
    <n v="43.9"/>
    <n v="146.1"/>
    <m/>
    <x v="0"/>
    <x v="0"/>
    <n v="0"/>
    <n v="0"/>
    <x v="0"/>
    <x v="0"/>
    <m/>
    <x v="0"/>
    <x v="0"/>
    <x v="0"/>
    <x v="0"/>
    <x v="0"/>
    <n v="0"/>
    <n v="0"/>
    <n v="0"/>
    <n v="12"/>
    <x v="1"/>
    <x v="0"/>
    <m/>
    <x v="0"/>
    <n v="49.8"/>
    <x v="0"/>
    <x v="29"/>
    <x v="0"/>
    <x v="0"/>
    <x v="0"/>
  </r>
  <r>
    <x v="0"/>
    <x v="8"/>
    <s v="8070 J"/>
    <x v="263"/>
    <s v="Al Shaheer Foods Corporation LTD"/>
    <s v="LDN"/>
    <n v="8"/>
    <s v="10-10.5"/>
    <s v="LDN"/>
    <n v="150"/>
    <x v="0"/>
    <n v="2"/>
    <n v="114.9"/>
    <n v="2"/>
    <m/>
    <x v="0"/>
    <n v="112.9"/>
    <n v="156.69999999999999"/>
    <m/>
    <x v="0"/>
    <x v="0"/>
    <n v="0"/>
    <n v="0"/>
    <x v="0"/>
    <x v="0"/>
    <m/>
    <x v="0"/>
    <x v="0"/>
    <x v="0"/>
    <x v="0"/>
    <x v="0"/>
    <n v="0"/>
    <n v="0"/>
    <n v="0"/>
    <n v="12"/>
    <x v="1"/>
    <x v="0"/>
    <m/>
    <x v="0"/>
    <n v="119.9"/>
    <x v="0"/>
    <x v="29"/>
    <x v="0"/>
    <x v="0"/>
    <x v="0"/>
  </r>
  <r>
    <x v="1"/>
    <x v="8"/>
    <s v="8070 J"/>
    <x v="263"/>
    <s v="Al Shaheer Foods Corporation LTD"/>
    <s v="LDN"/>
    <n v="8"/>
    <s v="10-10.5"/>
    <s v="LDN"/>
    <n v="150"/>
    <x v="0"/>
    <n v="1"/>
    <n v="45"/>
    <n v="1.2"/>
    <m/>
    <x v="0"/>
    <n v="43.8"/>
    <n v="156.69999999999999"/>
    <m/>
    <x v="0"/>
    <x v="0"/>
    <n v="0"/>
    <n v="0"/>
    <x v="0"/>
    <x v="0"/>
    <m/>
    <x v="0"/>
    <x v="0"/>
    <x v="0"/>
    <x v="0"/>
    <x v="0"/>
    <n v="0"/>
    <n v="0"/>
    <n v="0"/>
    <n v="12"/>
    <x v="1"/>
    <x v="0"/>
    <m/>
    <x v="0"/>
    <n v="50"/>
    <x v="0"/>
    <x v="29"/>
    <x v="0"/>
    <x v="0"/>
    <x v="0"/>
  </r>
  <r>
    <x v="1"/>
    <x v="8"/>
    <s v="8045 J"/>
    <x v="263"/>
    <s v="Usman Arif Butt Gujranwala"/>
    <s v="LDN"/>
    <n v="7"/>
    <n v="10"/>
    <s v="LDN"/>
    <n v="150"/>
    <x v="0"/>
    <n v="2"/>
    <n v="104"/>
    <n v="1.8"/>
    <m/>
    <x v="0"/>
    <n v="102.2"/>
    <n v="146.1"/>
    <m/>
    <x v="0"/>
    <x v="0"/>
    <n v="0"/>
    <n v="0"/>
    <x v="0"/>
    <x v="0"/>
    <m/>
    <x v="0"/>
    <x v="0"/>
    <x v="0"/>
    <x v="0"/>
    <x v="0"/>
    <n v="0"/>
    <n v="0"/>
    <n v="0"/>
    <n v="12"/>
    <x v="1"/>
    <x v="0"/>
    <m/>
    <x v="0"/>
    <n v="109"/>
    <x v="0"/>
    <x v="29"/>
    <x v="0"/>
    <x v="0"/>
    <x v="0"/>
  </r>
  <r>
    <x v="0"/>
    <x v="11"/>
    <s v="7989 J"/>
    <x v="263"/>
    <s v="Raja Shoes Lahore"/>
    <s v="LDM"/>
    <s v="9+2.5+2.5"/>
    <s v="4.75-5.25/9.5-10.5"/>
    <s v="LDM"/>
    <n v="1100"/>
    <x v="0"/>
    <n v="8"/>
    <n v="279"/>
    <n v="8.6999999999999993"/>
    <m/>
    <x v="0"/>
    <n v="270.3"/>
    <n v="1132.0999999999999"/>
    <m/>
    <x v="0"/>
    <x v="0"/>
    <n v="0"/>
    <n v="0"/>
    <x v="0"/>
    <x v="0"/>
    <m/>
    <x v="0"/>
    <x v="0"/>
    <x v="0"/>
    <x v="0"/>
    <x v="0"/>
    <n v="0"/>
    <n v="0"/>
    <n v="0"/>
    <n v="12"/>
    <x v="1"/>
    <x v="0"/>
    <m/>
    <x v="0"/>
    <n v="284"/>
    <x v="0"/>
    <x v="29"/>
    <x v="0"/>
    <x v="0"/>
    <x v="0"/>
  </r>
  <r>
    <x v="0"/>
    <x v="11"/>
    <s v="7990 J"/>
    <x v="263"/>
    <s v="Raja Shoes Lahore"/>
    <s v="LDM"/>
    <s v="8+2+2"/>
    <s v="4.75-5.25/9.5-10.5"/>
    <s v="LDM"/>
    <n v="880"/>
    <x v="0"/>
    <n v="2"/>
    <n v="73"/>
    <n v="2"/>
    <n v="2"/>
    <x v="0"/>
    <n v="71"/>
    <n v="854.6"/>
    <m/>
    <x v="0"/>
    <x v="0"/>
    <n v="0"/>
    <n v="0"/>
    <x v="0"/>
    <x v="0"/>
    <m/>
    <x v="0"/>
    <x v="0"/>
    <x v="0"/>
    <x v="0"/>
    <x v="0"/>
    <n v="0"/>
    <n v="0"/>
    <n v="0"/>
    <n v="12"/>
    <x v="1"/>
    <x v="0"/>
    <m/>
    <x v="0"/>
    <n v="78"/>
    <x v="0"/>
    <x v="29"/>
    <x v="0"/>
    <x v="0"/>
    <x v="0"/>
  </r>
  <r>
    <x v="1"/>
    <x v="11"/>
    <s v="7990 J"/>
    <x v="263"/>
    <s v="Raja Shoes Lahore"/>
    <s v="LDM"/>
    <s v="8+2+2"/>
    <s v="4.75-5.25/9.5-10.5"/>
    <s v="LDM"/>
    <n v="880"/>
    <x v="0"/>
    <n v="10"/>
    <n v="406"/>
    <n v="9.6"/>
    <n v="2"/>
    <x v="0"/>
    <n v="396.4"/>
    <n v="854.6"/>
    <n v="5"/>
    <x v="0"/>
    <x v="0"/>
    <n v="5"/>
    <n v="8.3333333333333329E-2"/>
    <x v="0"/>
    <x v="0"/>
    <m/>
    <x v="0"/>
    <x v="0"/>
    <x v="0"/>
    <x v="0"/>
    <x v="0"/>
    <n v="0"/>
    <n v="0"/>
    <n v="8.3333333333333329E-2"/>
    <n v="11.916666666666666"/>
    <x v="1"/>
    <x v="0"/>
    <m/>
    <x v="0"/>
    <n v="411"/>
    <x v="0"/>
    <x v="29"/>
    <x v="0"/>
    <x v="0"/>
    <x v="0"/>
  </r>
  <r>
    <x v="0"/>
    <x v="9"/>
    <s v="8047 J"/>
    <x v="263"/>
    <s v="Usman Arif Butt Gujranwala"/>
    <s v="LDN"/>
    <n v="5"/>
    <n v="10"/>
    <s v="LDN"/>
    <n v="100"/>
    <x v="0"/>
    <n v="3"/>
    <n v="103.9"/>
    <n v="2.0999999999999996"/>
    <m/>
    <x v="0"/>
    <n v="101.80000000000001"/>
    <n v="101.80000000000001"/>
    <m/>
    <x v="0"/>
    <x v="0"/>
    <n v="0"/>
    <n v="0"/>
    <x v="0"/>
    <x v="0"/>
    <m/>
    <x v="0"/>
    <x v="0"/>
    <x v="0"/>
    <x v="0"/>
    <x v="0"/>
    <n v="0"/>
    <n v="0"/>
    <n v="0"/>
    <n v="12"/>
    <x v="1"/>
    <x v="0"/>
    <m/>
    <x v="0"/>
    <n v="108.9"/>
    <x v="0"/>
    <x v="29"/>
    <x v="0"/>
    <x v="0"/>
    <x v="0"/>
  </r>
  <r>
    <x v="0"/>
    <x v="9"/>
    <s v="8043 J"/>
    <x v="263"/>
    <s v="Usman Arif Butt Gujranwala"/>
    <s v="LDN"/>
    <n v="5"/>
    <n v="10"/>
    <s v="LDN"/>
    <n v="130"/>
    <x v="0"/>
    <n v="1"/>
    <n v="45.7"/>
    <n v="0.7"/>
    <m/>
    <x v="0"/>
    <n v="45"/>
    <n v="127.4"/>
    <m/>
    <x v="0"/>
    <x v="0"/>
    <n v="0"/>
    <n v="0"/>
    <x v="0"/>
    <x v="0"/>
    <m/>
    <x v="0"/>
    <x v="0"/>
    <x v="0"/>
    <x v="0"/>
    <x v="0"/>
    <n v="0"/>
    <n v="0"/>
    <n v="0"/>
    <n v="12"/>
    <x v="1"/>
    <x v="0"/>
    <m/>
    <x v="0"/>
    <n v="50.7"/>
    <x v="0"/>
    <x v="29"/>
    <x v="0"/>
    <x v="0"/>
    <x v="0"/>
  </r>
  <r>
    <x v="1"/>
    <x v="9"/>
    <s v="8051 J"/>
    <x v="263"/>
    <s v="Usman Arif Butt Gujranwala"/>
    <s v="LDN"/>
    <n v="5"/>
    <n v="10"/>
    <s v="LDN"/>
    <n v="120"/>
    <x v="0"/>
    <n v="4"/>
    <n v="122.5"/>
    <n v="3.0000000000000004"/>
    <m/>
    <x v="0"/>
    <n v="119.5"/>
    <n v="119.5"/>
    <m/>
    <x v="0"/>
    <x v="0"/>
    <n v="0"/>
    <n v="0"/>
    <x v="0"/>
    <x v="0"/>
    <m/>
    <x v="0"/>
    <x v="0"/>
    <x v="0"/>
    <x v="0"/>
    <x v="0"/>
    <n v="0"/>
    <n v="0"/>
    <n v="0"/>
    <n v="12"/>
    <x v="1"/>
    <x v="0"/>
    <m/>
    <x v="0"/>
    <n v="127.5"/>
    <x v="0"/>
    <x v="29"/>
    <x v="0"/>
    <x v="0"/>
    <x v="0"/>
  </r>
  <r>
    <x v="0"/>
    <x v="10"/>
    <s v="7781 J"/>
    <x v="263"/>
    <s v="Wah Nobel Private Limited"/>
    <s v="LD گولڈن پیلا"/>
    <s v="100MM"/>
    <s v="29-30"/>
    <s v="LDM"/>
    <n v="2000"/>
    <x v="0"/>
    <n v="6"/>
    <n v="184"/>
    <n v="3.2"/>
    <m/>
    <x v="0"/>
    <n v="180.8"/>
    <n v="1966.0500000000002"/>
    <m/>
    <x v="0"/>
    <x v="0"/>
    <n v="0"/>
    <n v="0"/>
    <x v="0"/>
    <x v="0"/>
    <m/>
    <x v="0"/>
    <x v="0"/>
    <x v="0"/>
    <x v="0"/>
    <x v="0"/>
    <n v="0"/>
    <n v="0"/>
    <n v="0"/>
    <n v="12"/>
    <x v="1"/>
    <x v="0"/>
    <m/>
    <x v="0"/>
    <n v="189"/>
    <x v="0"/>
    <x v="29"/>
    <x v="0"/>
    <x v="0"/>
    <x v="0"/>
  </r>
  <r>
    <x v="1"/>
    <x v="10"/>
    <s v="7781 J"/>
    <x v="263"/>
    <s v="Wah Nobel Private Limited"/>
    <s v="LD گولڈن پیلا"/>
    <s v="100MM"/>
    <s v="29-30"/>
    <s v="LDM"/>
    <n v="2000"/>
    <x v="0"/>
    <n v="7"/>
    <n v="187"/>
    <n v="4"/>
    <m/>
    <x v="0"/>
    <n v="183"/>
    <n v="1966.0500000000002"/>
    <m/>
    <x v="0"/>
    <x v="0"/>
    <n v="0"/>
    <n v="0"/>
    <x v="0"/>
    <x v="0"/>
    <m/>
    <x v="0"/>
    <x v="0"/>
    <x v="0"/>
    <x v="0"/>
    <x v="0"/>
    <n v="0"/>
    <n v="0"/>
    <n v="0"/>
    <n v="12"/>
    <x v="1"/>
    <x v="0"/>
    <m/>
    <x v="0"/>
    <n v="192"/>
    <x v="0"/>
    <x v="29"/>
    <x v="0"/>
    <x v="0"/>
    <x v="0"/>
  </r>
  <r>
    <x v="0"/>
    <x v="13"/>
    <s v="3032 F"/>
    <x v="263"/>
    <s v="Usman Amin"/>
    <s v="LDN"/>
    <n v="17"/>
    <s v="8.5-9"/>
    <s v="LDN"/>
    <n v="1000"/>
    <x v="0"/>
    <n v="3"/>
    <n v="235"/>
    <n v="6.6000000000000005"/>
    <m/>
    <x v="0"/>
    <n v="228.4"/>
    <n v="985"/>
    <m/>
    <x v="0"/>
    <x v="0"/>
    <n v="0"/>
    <n v="0"/>
    <x v="0"/>
    <x v="0"/>
    <m/>
    <x v="0"/>
    <x v="0"/>
    <x v="0"/>
    <x v="0"/>
    <x v="0"/>
    <n v="0"/>
    <n v="0"/>
    <n v="0"/>
    <n v="12"/>
    <x v="1"/>
    <x v="0"/>
    <m/>
    <x v="0"/>
    <n v="240"/>
    <x v="0"/>
    <x v="29"/>
    <x v="0"/>
    <x v="0"/>
    <x v="0"/>
  </r>
  <r>
    <x v="1"/>
    <x v="13"/>
    <s v="3032 F"/>
    <x v="263"/>
    <s v="Usman Amin"/>
    <s v="LDN"/>
    <n v="17"/>
    <s v="8.5-9"/>
    <s v="LDN"/>
    <n v="1000"/>
    <x v="0"/>
    <n v="5"/>
    <n v="305.5"/>
    <n v="10.200000000000001"/>
    <m/>
    <x v="0"/>
    <n v="295.3"/>
    <n v="985"/>
    <m/>
    <x v="0"/>
    <x v="0"/>
    <n v="0"/>
    <n v="0"/>
    <x v="0"/>
    <x v="0"/>
    <m/>
    <x v="0"/>
    <x v="0"/>
    <x v="0"/>
    <x v="0"/>
    <x v="0"/>
    <n v="0"/>
    <n v="0"/>
    <n v="0"/>
    <n v="12"/>
    <x v="1"/>
    <x v="0"/>
    <m/>
    <x v="0"/>
    <n v="310.5"/>
    <x v="0"/>
    <x v="29"/>
    <x v="0"/>
    <x v="0"/>
    <x v="0"/>
  </r>
  <r>
    <x v="1"/>
    <x v="13"/>
    <s v="7952 J"/>
    <x v="263"/>
    <s v="Allied Impex Sialkot"/>
    <s v="LDN"/>
    <n v="17"/>
    <n v="0"/>
    <s v="LDN"/>
    <n v="100"/>
    <x v="0"/>
    <n v="1"/>
    <n v="64.5"/>
    <n v="1.8"/>
    <m/>
    <x v="0"/>
    <n v="62.7"/>
    <n v="116.9"/>
    <m/>
    <x v="0"/>
    <x v="0"/>
    <n v="0"/>
    <n v="0"/>
    <x v="0"/>
    <x v="0"/>
    <m/>
    <x v="0"/>
    <x v="0"/>
    <x v="0"/>
    <x v="0"/>
    <x v="0"/>
    <n v="0"/>
    <n v="0"/>
    <n v="0"/>
    <n v="12"/>
    <x v="1"/>
    <x v="0"/>
    <m/>
    <x v="0"/>
    <n v="69.5"/>
    <x v="0"/>
    <x v="29"/>
    <x v="0"/>
    <x v="0"/>
    <x v="0"/>
  </r>
  <r>
    <x v="1"/>
    <x v="12"/>
    <s v="2855/1"/>
    <x v="263"/>
    <s v="MATCO FOOD"/>
    <s v="LDN"/>
    <s v="22.5-23"/>
    <s v="70±2"/>
    <s v="LDN"/>
    <n v="7700"/>
    <x v="0"/>
    <n v="4"/>
    <n v="462.5"/>
    <n v="11.2"/>
    <n v="80"/>
    <x v="0"/>
    <n v="451.3"/>
    <n v="9255.0999999999985"/>
    <m/>
    <x v="6"/>
    <x v="0"/>
    <n v="120"/>
    <n v="2"/>
    <x v="0"/>
    <x v="0"/>
    <m/>
    <x v="0"/>
    <x v="0"/>
    <x v="0"/>
    <x v="0"/>
    <x v="0"/>
    <n v="0"/>
    <n v="0"/>
    <n v="2"/>
    <n v="10"/>
    <x v="1"/>
    <x v="0"/>
    <m/>
    <x v="0"/>
    <n v="467.5"/>
    <x v="0"/>
    <x v="29"/>
    <x v="0"/>
    <x v="0"/>
    <x v="0"/>
  </r>
  <r>
    <x v="0"/>
    <x v="14"/>
    <s v="7961 J"/>
    <x v="263"/>
    <s v="Karss Paint Industry Pvt LTD"/>
    <s v="LDM"/>
    <n v="17"/>
    <s v="-"/>
    <s v="LDM"/>
    <n v="0"/>
    <x v="0"/>
    <n v="1"/>
    <n v="117"/>
    <n v="2.2000000000000002"/>
    <m/>
    <x v="0"/>
    <n v="114.8"/>
    <n v="249.60000000000002"/>
    <m/>
    <x v="0"/>
    <x v="0"/>
    <n v="0"/>
    <n v="0"/>
    <x v="0"/>
    <x v="0"/>
    <m/>
    <x v="0"/>
    <x v="0"/>
    <x v="0"/>
    <x v="0"/>
    <x v="0"/>
    <n v="0"/>
    <n v="0"/>
    <n v="0"/>
    <n v="12"/>
    <x v="1"/>
    <x v="0"/>
    <m/>
    <x v="0"/>
    <n v="122"/>
    <x v="0"/>
    <x v="29"/>
    <x v="0"/>
    <x v="0"/>
    <x v="0"/>
  </r>
  <r>
    <x v="0"/>
    <x v="14"/>
    <s v="7996 J"/>
    <x v="263"/>
    <s v="Berger Point Lahore"/>
    <s v="LDM"/>
    <n v="18"/>
    <s v="-"/>
    <s v="LDM"/>
    <n v="1000"/>
    <x v="0"/>
    <n v="5"/>
    <n v="571.5"/>
    <n v="8.9"/>
    <m/>
    <x v="0"/>
    <n v="562.6"/>
    <n v="1013.1"/>
    <m/>
    <x v="0"/>
    <x v="0"/>
    <n v="0"/>
    <n v="0"/>
    <x v="0"/>
    <x v="0"/>
    <m/>
    <x v="0"/>
    <x v="0"/>
    <x v="0"/>
    <x v="0"/>
    <x v="0"/>
    <n v="0"/>
    <n v="0"/>
    <n v="0"/>
    <n v="12"/>
    <x v="1"/>
    <x v="0"/>
    <m/>
    <x v="0"/>
    <n v="576.5"/>
    <x v="0"/>
    <x v="29"/>
    <x v="0"/>
    <x v="0"/>
    <x v="0"/>
  </r>
  <r>
    <x v="1"/>
    <x v="14"/>
    <s v="7996 J"/>
    <x v="263"/>
    <s v="Berger Point Lahore"/>
    <s v="LDM"/>
    <n v="18"/>
    <s v="-"/>
    <s v="LDM"/>
    <n v="1000"/>
    <x v="0"/>
    <n v="4"/>
    <n v="459.3"/>
    <n v="8.8000000000000007"/>
    <m/>
    <x v="0"/>
    <n v="450.5"/>
    <n v="1013.1"/>
    <m/>
    <x v="0"/>
    <x v="0"/>
    <n v="0"/>
    <n v="0"/>
    <x v="0"/>
    <x v="0"/>
    <m/>
    <x v="0"/>
    <x v="0"/>
    <x v="0"/>
    <x v="0"/>
    <x v="0"/>
    <n v="0"/>
    <n v="0"/>
    <n v="0"/>
    <n v="12"/>
    <x v="1"/>
    <x v="0"/>
    <m/>
    <x v="0"/>
    <n v="464.3"/>
    <x v="0"/>
    <x v="29"/>
    <x v="0"/>
    <x v="0"/>
    <x v="0"/>
  </r>
  <r>
    <x v="1"/>
    <x v="14"/>
    <s v="7960 J"/>
    <x v="263"/>
    <s v="Karss Paint Industry Pvt LTD"/>
    <s v="LD پیلا"/>
    <n v="17"/>
    <s v="-"/>
    <s v="LDM"/>
    <n v="0"/>
    <x v="0"/>
    <n v="1"/>
    <n v="160.19999999999999"/>
    <n v="2.2000000000000002"/>
    <n v="5"/>
    <x v="0"/>
    <n v="158"/>
    <n v="1175.8"/>
    <m/>
    <x v="0"/>
    <x v="0"/>
    <n v="0"/>
    <n v="0"/>
    <x v="0"/>
    <x v="0"/>
    <m/>
    <x v="0"/>
    <x v="0"/>
    <x v="0"/>
    <x v="0"/>
    <x v="0"/>
    <n v="0"/>
    <n v="0"/>
    <n v="0"/>
    <n v="12"/>
    <x v="1"/>
    <x v="0"/>
    <m/>
    <x v="0"/>
    <n v="165.2"/>
    <x v="0"/>
    <x v="29"/>
    <x v="0"/>
    <x v="0"/>
    <x v="0"/>
  </r>
  <r>
    <x v="0"/>
    <x v="15"/>
    <s v="3014 F"/>
    <x v="263"/>
    <s v="Usman Amin"/>
    <s v="LDN"/>
    <n v="17.25"/>
    <s v="8.5-9"/>
    <s v="LDN"/>
    <n v="1000"/>
    <x v="0"/>
    <n v="6"/>
    <n v="392.5"/>
    <n v="12.600000000000001"/>
    <m/>
    <x v="0"/>
    <n v="379.9"/>
    <n v="1021.0999999999999"/>
    <m/>
    <x v="0"/>
    <x v="0"/>
    <n v="0"/>
    <n v="0"/>
    <x v="0"/>
    <x v="0"/>
    <m/>
    <x v="0"/>
    <x v="0"/>
    <x v="0"/>
    <x v="0"/>
    <x v="0"/>
    <n v="0"/>
    <n v="0"/>
    <n v="0"/>
    <n v="12"/>
    <x v="1"/>
    <x v="0"/>
    <m/>
    <x v="0"/>
    <n v="397.5"/>
    <x v="0"/>
    <x v="29"/>
    <x v="0"/>
    <x v="0"/>
    <x v="0"/>
  </r>
  <r>
    <x v="1"/>
    <x v="15"/>
    <s v="3014 F"/>
    <x v="263"/>
    <s v="Usman Amin"/>
    <s v="LDN"/>
    <n v="17.25"/>
    <s v="8.5-9"/>
    <s v="LDN"/>
    <n v="1000"/>
    <x v="0"/>
    <n v="1"/>
    <n v="63.5"/>
    <n v="2.1"/>
    <m/>
    <x v="0"/>
    <n v="61.4"/>
    <n v="1021.0999999999999"/>
    <m/>
    <x v="0"/>
    <x v="0"/>
    <n v="0"/>
    <n v="0"/>
    <x v="0"/>
    <x v="0"/>
    <m/>
    <x v="0"/>
    <x v="0"/>
    <x v="0"/>
    <x v="0"/>
    <x v="0"/>
    <n v="0"/>
    <n v="0"/>
    <n v="0"/>
    <n v="12"/>
    <x v="1"/>
    <x v="0"/>
    <m/>
    <x v="0"/>
    <n v="68.5"/>
    <x v="0"/>
    <x v="29"/>
    <x v="0"/>
    <x v="0"/>
    <x v="0"/>
  </r>
  <r>
    <x v="1"/>
    <x v="15"/>
    <s v="3020 F"/>
    <x v="263"/>
    <s v="Usman Amin"/>
    <s v="LDN"/>
    <n v="19"/>
    <s v="14"/>
    <s v="LDN"/>
    <n v="60"/>
    <x v="0"/>
    <n v="1"/>
    <n v="65"/>
    <n v="2.2999999999999998"/>
    <m/>
    <x v="0"/>
    <n v="62.7"/>
    <n v="62.7"/>
    <m/>
    <x v="0"/>
    <x v="0"/>
    <n v="0"/>
    <n v="0"/>
    <x v="0"/>
    <x v="0"/>
    <m/>
    <x v="0"/>
    <x v="0"/>
    <x v="0"/>
    <x v="0"/>
    <x v="0"/>
    <n v="0"/>
    <n v="0"/>
    <n v="0"/>
    <n v="12"/>
    <x v="1"/>
    <x v="0"/>
    <m/>
    <x v="0"/>
    <n v="70"/>
    <x v="0"/>
    <x v="29"/>
    <x v="0"/>
    <x v="0"/>
    <x v="0"/>
  </r>
  <r>
    <x v="1"/>
    <x v="15"/>
    <s v="7882 J"/>
    <x v="263"/>
    <s v="Zubair Shah Lahore"/>
    <s v="LDN"/>
    <s v="16 شیٹ"/>
    <s v="6-6.5/12-13"/>
    <s v="LDN"/>
    <n v="100"/>
    <x v="0"/>
    <n v="2"/>
    <n v="105"/>
    <n v="3.6"/>
    <n v="10"/>
    <x v="0"/>
    <n v="101.4"/>
    <n v="101.4"/>
    <n v="10"/>
    <x v="0"/>
    <x v="0"/>
    <n v="10"/>
    <n v="0.16666666666666666"/>
    <x v="0"/>
    <x v="0"/>
    <m/>
    <x v="0"/>
    <x v="0"/>
    <x v="0"/>
    <x v="0"/>
    <x v="0"/>
    <n v="0"/>
    <n v="0"/>
    <n v="0.16666666666666666"/>
    <n v="11.833333333333334"/>
    <x v="1"/>
    <x v="0"/>
    <m/>
    <x v="0"/>
    <n v="110"/>
    <x v="0"/>
    <x v="29"/>
    <x v="0"/>
    <x v="0"/>
    <x v="0"/>
  </r>
  <r>
    <x v="1"/>
    <x v="15"/>
    <s v="3007 F"/>
    <x v="263"/>
    <s v="Usman Amin"/>
    <s v="LDN"/>
    <s v="16 SHEET"/>
    <s v="3-3.25/6-6.5"/>
    <s v="LDN"/>
    <n v="1000"/>
    <x v="0"/>
    <n v="3"/>
    <n v="200"/>
    <n v="5.4"/>
    <m/>
    <x v="0"/>
    <n v="194.6"/>
    <n v="2027.9"/>
    <m/>
    <x v="0"/>
    <x v="0"/>
    <n v="0"/>
    <n v="0"/>
    <x v="0"/>
    <x v="0"/>
    <m/>
    <x v="0"/>
    <x v="0"/>
    <x v="0"/>
    <x v="0"/>
    <x v="0"/>
    <n v="0"/>
    <n v="0"/>
    <n v="0"/>
    <n v="12"/>
    <x v="1"/>
    <x v="0"/>
    <m/>
    <x v="0"/>
    <n v="205"/>
    <x v="0"/>
    <x v="29"/>
    <x v="0"/>
    <x v="0"/>
    <x v="0"/>
  </r>
  <r>
    <x v="0"/>
    <x v="8"/>
    <s v="8049 J"/>
    <x v="264"/>
    <s v="Usman Arif Butt Gujranwala"/>
    <s v="LDN"/>
    <n v="7"/>
    <n v="10"/>
    <s v="LDN"/>
    <n v="100"/>
    <x v="0"/>
    <n v="2"/>
    <n v="99.7"/>
    <n v="1.4"/>
    <m/>
    <x v="0"/>
    <n v="98.3"/>
    <n v="98.3"/>
    <m/>
    <x v="0"/>
    <x v="0"/>
    <n v="0"/>
    <n v="0"/>
    <x v="0"/>
    <x v="0"/>
    <m/>
    <x v="0"/>
    <x v="0"/>
    <x v="0"/>
    <x v="0"/>
    <x v="0"/>
    <n v="0"/>
    <n v="0"/>
    <n v="0"/>
    <n v="12"/>
    <x v="1"/>
    <x v="0"/>
    <m/>
    <x v="0"/>
    <n v="104.7"/>
    <x v="0"/>
    <x v="29"/>
    <x v="0"/>
    <x v="0"/>
    <x v="0"/>
  </r>
  <r>
    <x v="0"/>
    <x v="8"/>
    <s v="8053 J"/>
    <x v="264"/>
    <s v="Usman Arif Butt Gujranwala"/>
    <s v="LDN"/>
    <n v="7"/>
    <n v="10"/>
    <s v="LDN"/>
    <n v="120"/>
    <x v="0"/>
    <n v="1"/>
    <n v="52.85"/>
    <n v="0.7"/>
    <m/>
    <x v="0"/>
    <n v="52.15"/>
    <n v="120.44999999999999"/>
    <m/>
    <x v="0"/>
    <x v="0"/>
    <n v="0"/>
    <n v="0"/>
    <x v="0"/>
    <x v="0"/>
    <m/>
    <x v="0"/>
    <x v="0"/>
    <x v="0"/>
    <x v="0"/>
    <x v="0"/>
    <n v="0"/>
    <n v="0"/>
    <n v="0"/>
    <n v="12"/>
    <x v="1"/>
    <x v="0"/>
    <m/>
    <x v="0"/>
    <n v="57.85"/>
    <x v="0"/>
    <x v="29"/>
    <x v="0"/>
    <x v="0"/>
    <x v="0"/>
  </r>
  <r>
    <x v="1"/>
    <x v="8"/>
    <s v="8053 J"/>
    <x v="264"/>
    <s v="Usman Arif Butt Gujranwala"/>
    <s v="LDN"/>
    <n v="7"/>
    <n v="10"/>
    <s v="LDN"/>
    <n v="120"/>
    <x v="0"/>
    <n v="2"/>
    <n v="70"/>
    <n v="1.7000000000000002"/>
    <n v="2"/>
    <x v="0"/>
    <n v="68.3"/>
    <n v="120.44999999999999"/>
    <m/>
    <x v="0"/>
    <x v="0"/>
    <n v="0"/>
    <n v="0"/>
    <x v="0"/>
    <x v="0"/>
    <m/>
    <x v="0"/>
    <x v="0"/>
    <x v="0"/>
    <x v="0"/>
    <x v="0"/>
    <n v="0"/>
    <n v="0"/>
    <n v="0"/>
    <n v="12"/>
    <x v="1"/>
    <x v="0"/>
    <m/>
    <x v="0"/>
    <n v="75"/>
    <x v="0"/>
    <x v="29"/>
    <x v="0"/>
    <x v="0"/>
    <x v="0"/>
  </r>
  <r>
    <x v="1"/>
    <x v="8"/>
    <s v="8042 J"/>
    <x v="264"/>
    <s v="Usman Arif Butt Gujranwala"/>
    <s v="LDN"/>
    <n v="4"/>
    <n v="10"/>
    <s v="LDN"/>
    <n v="130"/>
    <x v="0"/>
    <n v="3"/>
    <n v="74"/>
    <n v="1.5"/>
    <m/>
    <x v="0"/>
    <n v="72.5"/>
    <n v="129.19999999999999"/>
    <m/>
    <x v="0"/>
    <x v="0"/>
    <n v="0"/>
    <n v="0"/>
    <x v="0"/>
    <x v="0"/>
    <m/>
    <x v="0"/>
    <x v="0"/>
    <x v="0"/>
    <x v="0"/>
    <x v="0"/>
    <n v="0"/>
    <n v="0"/>
    <n v="0"/>
    <n v="12"/>
    <x v="1"/>
    <x v="0"/>
    <m/>
    <x v="0"/>
    <n v="79"/>
    <x v="0"/>
    <x v="29"/>
    <x v="0"/>
    <x v="0"/>
    <x v="0"/>
  </r>
  <r>
    <x v="0"/>
    <x v="9"/>
    <s v="8052 J"/>
    <x v="264"/>
    <s v="Usman Arif Butt Gujranwala"/>
    <s v="LDN"/>
    <n v="6"/>
    <n v="10"/>
    <s v="LDN"/>
    <n v="120"/>
    <x v="0"/>
    <n v="3"/>
    <n v="136.4"/>
    <n v="2.4000000000000004"/>
    <m/>
    <x v="0"/>
    <n v="134"/>
    <n v="134"/>
    <m/>
    <x v="0"/>
    <x v="0"/>
    <n v="0"/>
    <n v="0"/>
    <x v="0"/>
    <x v="0"/>
    <m/>
    <x v="0"/>
    <x v="0"/>
    <x v="0"/>
    <x v="0"/>
    <x v="0"/>
    <n v="0"/>
    <n v="0"/>
    <n v="0"/>
    <n v="12"/>
    <x v="1"/>
    <x v="0"/>
    <m/>
    <x v="0"/>
    <n v="141.4"/>
    <x v="0"/>
    <x v="29"/>
    <x v="0"/>
    <x v="0"/>
    <x v="0"/>
  </r>
  <r>
    <x v="0"/>
    <x v="9"/>
    <s v="8048 J"/>
    <x v="264"/>
    <s v="Usman Arif Butt Gujranwala"/>
    <s v="LDN"/>
    <n v="6"/>
    <n v="10"/>
    <s v="LDN"/>
    <n v="100"/>
    <x v="0"/>
    <n v="1"/>
    <n v="48.5"/>
    <n v="0.8"/>
    <m/>
    <x v="0"/>
    <n v="47.7"/>
    <n v="101.30000000000001"/>
    <m/>
    <x v="0"/>
    <x v="0"/>
    <n v="0"/>
    <n v="0"/>
    <x v="0"/>
    <x v="0"/>
    <m/>
    <x v="0"/>
    <x v="0"/>
    <x v="0"/>
    <x v="0"/>
    <x v="0"/>
    <n v="0"/>
    <n v="0"/>
    <n v="0"/>
    <n v="12"/>
    <x v="1"/>
    <x v="0"/>
    <m/>
    <x v="0"/>
    <n v="53.5"/>
    <x v="0"/>
    <x v="29"/>
    <x v="0"/>
    <x v="0"/>
    <x v="0"/>
  </r>
  <r>
    <x v="1"/>
    <x v="9"/>
    <s v="8048 J"/>
    <x v="264"/>
    <s v="Usman Arif Butt Gujranwala"/>
    <s v="LDN"/>
    <n v="6"/>
    <n v="10"/>
    <s v="LDN"/>
    <n v="100"/>
    <x v="0"/>
    <n v="1"/>
    <n v="54.5"/>
    <n v="0.9"/>
    <m/>
    <x v="0"/>
    <n v="53.6"/>
    <n v="101.30000000000001"/>
    <m/>
    <x v="0"/>
    <x v="0"/>
    <n v="0"/>
    <n v="0"/>
    <x v="0"/>
    <x v="0"/>
    <m/>
    <x v="0"/>
    <x v="0"/>
    <x v="0"/>
    <x v="0"/>
    <x v="0"/>
    <n v="0"/>
    <n v="0"/>
    <n v="0"/>
    <n v="12"/>
    <x v="1"/>
    <x v="0"/>
    <m/>
    <x v="0"/>
    <n v="59.5"/>
    <x v="0"/>
    <x v="29"/>
    <x v="0"/>
    <x v="0"/>
    <x v="0"/>
  </r>
  <r>
    <x v="1"/>
    <x v="9"/>
    <s v="8044 J"/>
    <x v="264"/>
    <s v="Usman Arif Butt Gujranwala"/>
    <s v="LDN"/>
    <n v="6"/>
    <n v="10"/>
    <s v="LDN"/>
    <n v="100"/>
    <x v="0"/>
    <n v="2"/>
    <n v="73.900000000000006"/>
    <n v="1.2"/>
    <m/>
    <x v="0"/>
    <n v="72.7"/>
    <n v="105.60000000000001"/>
    <m/>
    <x v="0"/>
    <x v="0"/>
    <n v="0"/>
    <n v="0"/>
    <x v="0"/>
    <x v="0"/>
    <m/>
    <x v="0"/>
    <x v="0"/>
    <x v="0"/>
    <x v="0"/>
    <x v="0"/>
    <n v="0"/>
    <n v="0"/>
    <n v="0"/>
    <n v="12"/>
    <x v="1"/>
    <x v="0"/>
    <m/>
    <x v="0"/>
    <n v="78.900000000000006"/>
    <x v="0"/>
    <x v="29"/>
    <x v="0"/>
    <x v="0"/>
    <x v="0"/>
  </r>
  <r>
    <x v="0"/>
    <x v="10"/>
    <s v="7781 J"/>
    <x v="264"/>
    <s v="Wah Nobel Private Limited"/>
    <s v="LD گولڈن پیلا"/>
    <s v="100MM"/>
    <s v="29-30"/>
    <s v="LDM"/>
    <n v="2000"/>
    <x v="0"/>
    <n v="5"/>
    <n v="161.89999999999998"/>
    <n v="2.5"/>
    <m/>
    <x v="0"/>
    <n v="159.39999999999998"/>
    <n v="1966.0500000000002"/>
    <m/>
    <x v="0"/>
    <x v="0"/>
    <n v="0"/>
    <n v="0"/>
    <x v="0"/>
    <x v="0"/>
    <m/>
    <x v="0"/>
    <x v="0"/>
    <x v="0"/>
    <x v="0"/>
    <x v="0"/>
    <n v="0"/>
    <n v="0"/>
    <n v="0"/>
    <n v="12"/>
    <x v="1"/>
    <x v="0"/>
    <m/>
    <x v="0"/>
    <n v="166.89999999999998"/>
    <x v="0"/>
    <x v="29"/>
    <x v="0"/>
    <x v="0"/>
    <x v="0"/>
  </r>
  <r>
    <x v="1"/>
    <x v="10"/>
    <s v="7781 J"/>
    <x v="264"/>
    <s v="Wah Nobel Private Limited"/>
    <s v="LD گولڈن پیلا"/>
    <s v="100MM"/>
    <s v="29-30"/>
    <s v="LDM"/>
    <n v="2000"/>
    <x v="0"/>
    <n v="5"/>
    <n v="177.8"/>
    <n v="2.1"/>
    <n v="2"/>
    <x v="0"/>
    <n v="175.70000000000002"/>
    <n v="1966.0500000000002"/>
    <m/>
    <x v="0"/>
    <x v="0"/>
    <n v="0"/>
    <n v="0"/>
    <x v="0"/>
    <x v="0"/>
    <m/>
    <x v="0"/>
    <x v="0"/>
    <x v="0"/>
    <x v="0"/>
    <x v="0"/>
    <n v="0"/>
    <n v="0"/>
    <n v="0"/>
    <n v="12"/>
    <x v="1"/>
    <x v="0"/>
    <m/>
    <x v="0"/>
    <n v="182.8"/>
    <x v="0"/>
    <x v="29"/>
    <x v="0"/>
    <x v="0"/>
    <x v="0"/>
  </r>
  <r>
    <x v="0"/>
    <x v="13"/>
    <s v="7952 J"/>
    <x v="264"/>
    <s v="Allied Impex Sialkot"/>
    <s v="LDN"/>
    <n v="17"/>
    <n v="0"/>
    <s v="LDN"/>
    <n v="100"/>
    <x v="0"/>
    <n v="1"/>
    <n v="56"/>
    <n v="1.8"/>
    <m/>
    <x v="0"/>
    <n v="54.2"/>
    <n v="116.9"/>
    <m/>
    <x v="0"/>
    <x v="0"/>
    <n v="0"/>
    <n v="0"/>
    <x v="0"/>
    <x v="0"/>
    <m/>
    <x v="0"/>
    <x v="0"/>
    <x v="0"/>
    <x v="0"/>
    <x v="0"/>
    <n v="0"/>
    <n v="0"/>
    <n v="0"/>
    <n v="12"/>
    <x v="1"/>
    <x v="0"/>
    <m/>
    <x v="0"/>
    <n v="61"/>
    <x v="0"/>
    <x v="29"/>
    <x v="0"/>
    <x v="0"/>
    <x v="0"/>
  </r>
  <r>
    <x v="0"/>
    <x v="13"/>
    <s v="3032 F"/>
    <x v="264"/>
    <s v="Usman Amin"/>
    <s v="LDN"/>
    <n v="17"/>
    <s v="8.5-9"/>
    <s v="LDN"/>
    <n v="1000"/>
    <x v="0"/>
    <n v="1"/>
    <n v="64"/>
    <n v="2.2999999999999998"/>
    <n v="8"/>
    <x v="0"/>
    <n v="61.7"/>
    <n v="985"/>
    <m/>
    <x v="0"/>
    <x v="0"/>
    <n v="0"/>
    <n v="0"/>
    <x v="0"/>
    <x v="0"/>
    <m/>
    <x v="0"/>
    <x v="0"/>
    <x v="0"/>
    <x v="0"/>
    <x v="0"/>
    <n v="0"/>
    <n v="0"/>
    <n v="0"/>
    <n v="12"/>
    <x v="1"/>
    <x v="0"/>
    <m/>
    <x v="0"/>
    <n v="69"/>
    <x v="0"/>
    <x v="29"/>
    <x v="0"/>
    <x v="0"/>
    <x v="0"/>
  </r>
  <r>
    <x v="0"/>
    <x v="13"/>
    <s v="3036 F"/>
    <x v="264"/>
    <s v="Usman Amin"/>
    <s v="LDN"/>
    <n v="17"/>
    <s v="12"/>
    <s v="LDN"/>
    <n v="1000"/>
    <x v="0"/>
    <n v="2"/>
    <n v="182.5"/>
    <n v="4"/>
    <m/>
    <x v="0"/>
    <n v="178.5"/>
    <n v="1011.84"/>
    <m/>
    <x v="0"/>
    <x v="0"/>
    <n v="0"/>
    <n v="0"/>
    <x v="0"/>
    <x v="0"/>
    <m/>
    <x v="0"/>
    <x v="0"/>
    <x v="0"/>
    <x v="0"/>
    <x v="0"/>
    <n v="0"/>
    <n v="0"/>
    <n v="0"/>
    <n v="12"/>
    <x v="1"/>
    <x v="0"/>
    <m/>
    <x v="0"/>
    <n v="187.5"/>
    <x v="0"/>
    <x v="29"/>
    <x v="0"/>
    <x v="0"/>
    <x v="0"/>
  </r>
  <r>
    <x v="1"/>
    <x v="13"/>
    <s v="3036 F"/>
    <x v="264"/>
    <s v="Usman Amin"/>
    <s v="LDN"/>
    <n v="17"/>
    <s v="12"/>
    <s v="LDN"/>
    <n v="1000"/>
    <x v="0"/>
    <n v="5"/>
    <n v="383.5"/>
    <n v="9.379999999999999"/>
    <m/>
    <x v="0"/>
    <n v="374.12"/>
    <n v="1011.84"/>
    <m/>
    <x v="0"/>
    <x v="0"/>
    <n v="0"/>
    <n v="0"/>
    <x v="0"/>
    <x v="0"/>
    <m/>
    <x v="0"/>
    <x v="0"/>
    <x v="0"/>
    <x v="0"/>
    <x v="0"/>
    <n v="0"/>
    <n v="0"/>
    <n v="0"/>
    <n v="12"/>
    <x v="1"/>
    <x v="0"/>
    <m/>
    <x v="0"/>
    <n v="388.5"/>
    <x v="0"/>
    <x v="29"/>
    <x v="0"/>
    <x v="0"/>
    <x v="0"/>
  </r>
  <r>
    <x v="0"/>
    <x v="12"/>
    <s v="278 R"/>
    <x v="264"/>
    <s v="ریفلیکٹ پیک"/>
    <s v="LDN"/>
    <n v="18"/>
    <s v="13-14"/>
    <s v="LDN"/>
    <n v="2000"/>
    <x v="0"/>
    <n v="4"/>
    <n v="326"/>
    <n v="9.1999999999999993"/>
    <n v="10"/>
    <x v="0"/>
    <n v="316.8"/>
    <n v="2009.1"/>
    <m/>
    <x v="0"/>
    <x v="0"/>
    <n v="0"/>
    <n v="0"/>
    <x v="0"/>
    <x v="0"/>
    <m/>
    <x v="9"/>
    <x v="0"/>
    <x v="0"/>
    <x v="0"/>
    <x v="0"/>
    <n v="15"/>
    <n v="0.25"/>
    <n v="0.25"/>
    <n v="11.75"/>
    <x v="1"/>
    <x v="0"/>
    <m/>
    <x v="0"/>
    <n v="331"/>
    <x v="0"/>
    <x v="29"/>
    <x v="0"/>
    <x v="0"/>
    <x v="0"/>
  </r>
  <r>
    <x v="1"/>
    <x v="12"/>
    <s v="278 R"/>
    <x v="264"/>
    <s v="ریفلیکٹ پیک"/>
    <s v="LDN"/>
    <n v="18"/>
    <s v="13-14"/>
    <s v="LDN"/>
    <n v="2000"/>
    <x v="0"/>
    <n v="6"/>
    <n v="466.5"/>
    <n v="13.799999999999999"/>
    <n v="13"/>
    <x v="0"/>
    <n v="452.7"/>
    <n v="2009.1"/>
    <m/>
    <x v="0"/>
    <x v="0"/>
    <n v="0"/>
    <n v="0"/>
    <x v="0"/>
    <x v="0"/>
    <m/>
    <x v="0"/>
    <x v="0"/>
    <x v="0"/>
    <x v="0"/>
    <x v="0"/>
    <n v="0"/>
    <n v="0"/>
    <n v="0"/>
    <n v="12"/>
    <x v="1"/>
    <x v="0"/>
    <m/>
    <x v="0"/>
    <n v="471.5"/>
    <x v="0"/>
    <x v="29"/>
    <x v="0"/>
    <x v="0"/>
    <x v="0"/>
  </r>
  <r>
    <x v="0"/>
    <x v="11"/>
    <s v="7990 J"/>
    <x v="264"/>
    <s v="Raja Shoes Lahore"/>
    <s v="LDM"/>
    <s v="8+2+2"/>
    <s v="4.75-5.25/9.5-10.5"/>
    <s v="LDM"/>
    <n v="880"/>
    <x v="0"/>
    <n v="6"/>
    <n v="270.5"/>
    <n v="6"/>
    <m/>
    <x v="0"/>
    <n v="264.5"/>
    <n v="854.6"/>
    <m/>
    <x v="0"/>
    <x v="0"/>
    <n v="0"/>
    <n v="0"/>
    <x v="0"/>
    <x v="0"/>
    <m/>
    <x v="1"/>
    <x v="0"/>
    <x v="0"/>
    <x v="0"/>
    <x v="0"/>
    <n v="10"/>
    <n v="0.16666666666666666"/>
    <n v="0.16666666666666666"/>
    <n v="11.833333333333334"/>
    <x v="1"/>
    <x v="0"/>
    <m/>
    <x v="0"/>
    <n v="275.5"/>
    <x v="0"/>
    <x v="29"/>
    <x v="0"/>
    <x v="0"/>
    <x v="0"/>
  </r>
  <r>
    <x v="1"/>
    <x v="11"/>
    <s v="7990 J"/>
    <x v="264"/>
    <s v="Raja Shoes Lahore"/>
    <s v="LDM"/>
    <s v="8+2+2"/>
    <s v="4.75-5.25/9.5-10.5"/>
    <s v="LDM"/>
    <n v="880"/>
    <x v="0"/>
    <n v="4"/>
    <n v="127.5"/>
    <n v="4.8"/>
    <n v="13"/>
    <x v="0"/>
    <n v="122.7"/>
    <n v="854.6"/>
    <n v="7"/>
    <x v="0"/>
    <x v="0"/>
    <n v="7"/>
    <n v="0.11666666666666667"/>
    <x v="0"/>
    <x v="0"/>
    <m/>
    <x v="0"/>
    <x v="0"/>
    <x v="0"/>
    <x v="0"/>
    <x v="0"/>
    <n v="0"/>
    <n v="0"/>
    <n v="0.11666666666666667"/>
    <n v="11.883333333333333"/>
    <x v="1"/>
    <x v="0"/>
    <m/>
    <x v="0"/>
    <n v="132.5"/>
    <x v="0"/>
    <x v="29"/>
    <x v="0"/>
    <x v="0"/>
    <x v="0"/>
  </r>
  <r>
    <x v="1"/>
    <x v="11"/>
    <s v="8061 J"/>
    <x v="264"/>
    <s v="Mughal Plastic Store Layyah"/>
    <s v="LDM"/>
    <s v="12+3+3"/>
    <s v="8-8.5/16-17"/>
    <s v="LDM"/>
    <n v="110"/>
    <x v="0"/>
    <n v="3"/>
    <n v="116"/>
    <n v="4.2"/>
    <m/>
    <x v="0"/>
    <n v="111.8"/>
    <n v="111.8"/>
    <n v="8"/>
    <x v="0"/>
    <x v="0"/>
    <n v="8"/>
    <n v="0.13333333333333333"/>
    <x v="0"/>
    <x v="0"/>
    <m/>
    <x v="0"/>
    <x v="0"/>
    <x v="0"/>
    <x v="0"/>
    <x v="0"/>
    <n v="0"/>
    <n v="0"/>
    <n v="0.13333333333333333"/>
    <n v="11.866666666666667"/>
    <x v="1"/>
    <x v="0"/>
    <m/>
    <x v="0"/>
    <n v="121"/>
    <x v="0"/>
    <x v="29"/>
    <x v="0"/>
    <x v="0"/>
    <x v="0"/>
  </r>
  <r>
    <x v="1"/>
    <x v="11"/>
    <s v="8073 J"/>
    <x v="264"/>
    <s v="Ramada Gulberg Lahore "/>
    <s v="LDM"/>
    <n v="16"/>
    <s v="12-13."/>
    <s v="LDM"/>
    <n v="200"/>
    <x v="0"/>
    <n v="2"/>
    <n v="138.5"/>
    <n v="3.2"/>
    <m/>
    <x v="0"/>
    <n v="135.30000000000001"/>
    <n v="232.3"/>
    <m/>
    <x v="0"/>
    <x v="0"/>
    <n v="0"/>
    <n v="0"/>
    <x v="0"/>
    <x v="0"/>
    <m/>
    <x v="0"/>
    <x v="0"/>
    <x v="0"/>
    <x v="0"/>
    <x v="0"/>
    <n v="0"/>
    <n v="0"/>
    <n v="0"/>
    <n v="12"/>
    <x v="1"/>
    <x v="0"/>
    <m/>
    <x v="0"/>
    <n v="143.5"/>
    <x v="0"/>
    <x v="29"/>
    <x v="0"/>
    <x v="0"/>
    <x v="0"/>
  </r>
  <r>
    <x v="0"/>
    <x v="14"/>
    <s v="7960 J"/>
    <x v="264"/>
    <s v="Karss Paint Industry Pvt LTD"/>
    <s v="LD پیلا"/>
    <n v="17"/>
    <s v="-"/>
    <s v="LDM"/>
    <n v="0"/>
    <x v="0"/>
    <n v="5"/>
    <n v="728"/>
    <n v="9.6000000000000014"/>
    <m/>
    <x v="0"/>
    <n v="718.4"/>
    <n v="1175.8"/>
    <m/>
    <x v="0"/>
    <x v="0"/>
    <n v="0"/>
    <n v="0"/>
    <x v="0"/>
    <x v="0"/>
    <m/>
    <x v="0"/>
    <x v="0"/>
    <x v="0"/>
    <x v="0"/>
    <x v="0"/>
    <n v="0"/>
    <n v="0"/>
    <n v="0"/>
    <n v="12"/>
    <x v="1"/>
    <x v="0"/>
    <m/>
    <x v="0"/>
    <n v="733"/>
    <x v="0"/>
    <x v="29"/>
    <x v="0"/>
    <x v="0"/>
    <x v="0"/>
  </r>
  <r>
    <x v="1"/>
    <x v="14"/>
    <s v="7960 J"/>
    <x v="264"/>
    <s v="Karss Paint Industry Pvt LTD"/>
    <s v="LD پیلا"/>
    <n v="17"/>
    <s v="-"/>
    <s v="LDM"/>
    <n v="0"/>
    <x v="0"/>
    <n v="3"/>
    <n v="306"/>
    <n v="6.6000000000000005"/>
    <m/>
    <x v="0"/>
    <n v="299.39999999999998"/>
    <n v="1175.8"/>
    <m/>
    <x v="0"/>
    <x v="0"/>
    <n v="0"/>
    <n v="0"/>
    <x v="0"/>
    <x v="0"/>
    <m/>
    <x v="0"/>
    <x v="0"/>
    <x v="0"/>
    <x v="0"/>
    <x v="0"/>
    <n v="0"/>
    <n v="0"/>
    <n v="0"/>
    <n v="12"/>
    <x v="1"/>
    <x v="0"/>
    <m/>
    <x v="0"/>
    <n v="311"/>
    <x v="0"/>
    <x v="29"/>
    <x v="0"/>
    <x v="0"/>
    <x v="0"/>
  </r>
  <r>
    <x v="1"/>
    <x v="14"/>
    <s v="7991 J"/>
    <x v="264"/>
    <s v="Berger Point Lahore"/>
    <s v="LD پیلا"/>
    <n v="18"/>
    <s v="-"/>
    <s v="LDM"/>
    <n v="2000"/>
    <x v="0"/>
    <n v="3"/>
    <n v="385.5"/>
    <n v="6.6000000000000005"/>
    <n v="8"/>
    <x v="0"/>
    <n v="378.9"/>
    <n v="2085.8000000000002"/>
    <m/>
    <x v="0"/>
    <x v="0"/>
    <n v="0"/>
    <n v="0"/>
    <x v="0"/>
    <x v="0"/>
    <m/>
    <x v="0"/>
    <x v="0"/>
    <x v="0"/>
    <x v="0"/>
    <x v="0"/>
    <n v="0"/>
    <n v="0"/>
    <n v="0"/>
    <n v="12"/>
    <x v="1"/>
    <x v="0"/>
    <m/>
    <x v="0"/>
    <n v="390.5"/>
    <x v="0"/>
    <x v="29"/>
    <x v="0"/>
    <x v="0"/>
    <x v="0"/>
  </r>
  <r>
    <x v="0"/>
    <x v="15"/>
    <s v="3007 F"/>
    <x v="264"/>
    <s v="Usman Amin"/>
    <s v="LDN"/>
    <s v="16 SHEET"/>
    <s v="3-3.25/6-6.5"/>
    <s v="LDN"/>
    <n v="1000"/>
    <x v="0"/>
    <n v="10"/>
    <n v="539.5"/>
    <n v="20"/>
    <n v="60"/>
    <x v="0"/>
    <n v="519.5"/>
    <n v="2027.9"/>
    <n v="5"/>
    <x v="0"/>
    <x v="0"/>
    <n v="5"/>
    <n v="8.3333333333333329E-2"/>
    <x v="0"/>
    <x v="0"/>
    <m/>
    <x v="0"/>
    <x v="0"/>
    <x v="0"/>
    <x v="0"/>
    <x v="0"/>
    <n v="0"/>
    <n v="0"/>
    <n v="8.3333333333333329E-2"/>
    <n v="11.916666666666666"/>
    <x v="1"/>
    <x v="0"/>
    <m/>
    <x v="0"/>
    <n v="544.5"/>
    <x v="0"/>
    <x v="29"/>
    <x v="0"/>
    <x v="0"/>
    <x v="0"/>
  </r>
  <r>
    <x v="1"/>
    <x v="15"/>
    <s v="3007 F"/>
    <x v="264"/>
    <s v="Usman Amin"/>
    <s v="LDN"/>
    <s v="16 SHEET"/>
    <s v="3-3.25/6-6.5"/>
    <s v="LDN"/>
    <n v="1000"/>
    <x v="0"/>
    <n v="6"/>
    <n v="305"/>
    <n v="11.8"/>
    <n v="25"/>
    <x v="0"/>
    <n v="293.2"/>
    <n v="2027.9"/>
    <m/>
    <x v="0"/>
    <x v="0"/>
    <n v="0"/>
    <n v="0"/>
    <x v="0"/>
    <x v="0"/>
    <m/>
    <x v="0"/>
    <x v="0"/>
    <x v="0"/>
    <x v="0"/>
    <x v="0"/>
    <n v="0"/>
    <n v="0"/>
    <n v="0"/>
    <n v="12"/>
    <x v="1"/>
    <x v="0"/>
    <m/>
    <x v="0"/>
    <n v="310"/>
    <x v="0"/>
    <x v="29"/>
    <x v="0"/>
    <x v="0"/>
    <x v="0"/>
  </r>
  <r>
    <x v="1"/>
    <x v="15"/>
    <s v="3022 F"/>
    <x v="264"/>
    <s v="Usman Amin"/>
    <s v="LDN"/>
    <n v="23"/>
    <s v="14"/>
    <s v="LDN"/>
    <n v="60"/>
    <x v="0"/>
    <n v="1"/>
    <n v="71"/>
    <n v="2.7"/>
    <m/>
    <x v="0"/>
    <n v="68.3"/>
    <n v="68.3"/>
    <m/>
    <x v="0"/>
    <x v="0"/>
    <n v="0"/>
    <n v="0"/>
    <x v="0"/>
    <x v="0"/>
    <m/>
    <x v="0"/>
    <x v="0"/>
    <x v="0"/>
    <x v="0"/>
    <x v="0"/>
    <n v="0"/>
    <n v="0"/>
    <n v="0"/>
    <n v="12"/>
    <x v="1"/>
    <x v="0"/>
    <m/>
    <x v="0"/>
    <n v="76"/>
    <x v="0"/>
    <x v="29"/>
    <x v="0"/>
    <x v="0"/>
    <x v="0"/>
  </r>
  <r>
    <x v="1"/>
    <x v="15"/>
    <s v="3031 F"/>
    <x v="264"/>
    <s v="Usman Amin"/>
    <s v="LDN"/>
    <n v="21"/>
    <s v="7.7.5"/>
    <s v="LDN"/>
    <n v="48"/>
    <x v="0"/>
    <n v="2"/>
    <n v="115"/>
    <n v="4.5999999999999996"/>
    <m/>
    <x v="0"/>
    <n v="110.4"/>
    <n v="110.4"/>
    <m/>
    <x v="0"/>
    <x v="0"/>
    <n v="0"/>
    <n v="0"/>
    <x v="0"/>
    <x v="0"/>
    <m/>
    <x v="0"/>
    <x v="0"/>
    <x v="0"/>
    <x v="0"/>
    <x v="0"/>
    <n v="0"/>
    <n v="0"/>
    <n v="0"/>
    <n v="12"/>
    <x v="1"/>
    <x v="0"/>
    <m/>
    <x v="0"/>
    <n v="120"/>
    <x v="0"/>
    <x v="29"/>
    <x v="0"/>
    <x v="0"/>
    <x v="0"/>
  </r>
  <r>
    <x v="1"/>
    <x v="15"/>
    <s v="3021 F"/>
    <x v="264"/>
    <s v="Usman Amin"/>
    <s v="LDN"/>
    <n v="20"/>
    <s v="14"/>
    <s v="LDN"/>
    <n v="60"/>
    <x v="0"/>
    <n v="1"/>
    <n v="79"/>
    <n v="2.2999999999999998"/>
    <m/>
    <x v="0"/>
    <n v="76.7"/>
    <n v="76.7"/>
    <m/>
    <x v="0"/>
    <x v="0"/>
    <n v="0"/>
    <n v="0"/>
    <x v="0"/>
    <x v="0"/>
    <m/>
    <x v="0"/>
    <x v="0"/>
    <x v="0"/>
    <x v="0"/>
    <x v="0"/>
    <n v="0"/>
    <n v="0"/>
    <n v="0"/>
    <n v="12"/>
    <x v="1"/>
    <x v="0"/>
    <m/>
    <x v="0"/>
    <n v="84"/>
    <x v="0"/>
    <x v="29"/>
    <x v="0"/>
    <x v="0"/>
    <x v="0"/>
  </r>
  <r>
    <x v="0"/>
    <x v="8"/>
    <s v="8042 J"/>
    <x v="265"/>
    <s v="Usman Arif Butt Gujranwala"/>
    <s v="LDN"/>
    <n v="4"/>
    <n v="10"/>
    <s v="LDN"/>
    <n v="130"/>
    <x v="0"/>
    <n v="2"/>
    <n v="59.7"/>
    <n v="3"/>
    <m/>
    <x v="0"/>
    <n v="56.7"/>
    <n v="129.19999999999999"/>
    <m/>
    <x v="0"/>
    <x v="0"/>
    <n v="0"/>
    <n v="0"/>
    <x v="0"/>
    <x v="0"/>
    <m/>
    <x v="0"/>
    <x v="0"/>
    <x v="0"/>
    <x v="0"/>
    <x v="0"/>
    <n v="0"/>
    <n v="0"/>
    <n v="0"/>
    <n v="12"/>
    <x v="1"/>
    <x v="0"/>
    <m/>
    <x v="0"/>
    <n v="64.7"/>
    <x v="0"/>
    <x v="29"/>
    <x v="0"/>
    <x v="0"/>
    <x v="0"/>
  </r>
  <r>
    <x v="0"/>
    <x v="8"/>
    <s v="8046 J"/>
    <x v="265"/>
    <s v="Usman Arif Butt Gujranwala"/>
    <s v="LDN"/>
    <n v="4"/>
    <n v="10"/>
    <s v="LDN"/>
    <n v="100"/>
    <x v="0"/>
    <n v="2"/>
    <n v="56.05"/>
    <n v="0.8"/>
    <n v="8"/>
    <x v="0"/>
    <n v="55.25"/>
    <n v="104.25"/>
    <m/>
    <x v="0"/>
    <x v="0"/>
    <n v="0"/>
    <n v="0"/>
    <x v="0"/>
    <x v="0"/>
    <m/>
    <x v="0"/>
    <x v="0"/>
    <x v="0"/>
    <x v="0"/>
    <x v="0"/>
    <n v="0"/>
    <n v="0"/>
    <n v="0"/>
    <n v="12"/>
    <x v="1"/>
    <x v="0"/>
    <m/>
    <x v="0"/>
    <n v="61.05"/>
    <x v="0"/>
    <x v="29"/>
    <x v="0"/>
    <x v="0"/>
    <x v="0"/>
  </r>
  <r>
    <x v="1"/>
    <x v="8"/>
    <s v="8046 J"/>
    <x v="265"/>
    <s v="Usman Arif Butt Gujranwala"/>
    <s v="LDN"/>
    <n v="4"/>
    <n v="10"/>
    <s v="LDN"/>
    <n v="100"/>
    <x v="0"/>
    <n v="2"/>
    <n v="50"/>
    <n v="1"/>
    <n v="4"/>
    <x v="0"/>
    <n v="49"/>
    <n v="104.25"/>
    <n v="5"/>
    <x v="0"/>
    <x v="0"/>
    <n v="5"/>
    <n v="8.3333333333333329E-2"/>
    <x v="0"/>
    <x v="1"/>
    <m/>
    <x v="0"/>
    <x v="0"/>
    <x v="0"/>
    <x v="0"/>
    <x v="0"/>
    <n v="10"/>
    <n v="0.16666666666666666"/>
    <n v="0.25"/>
    <n v="11.75"/>
    <x v="1"/>
    <x v="0"/>
    <m/>
    <x v="0"/>
    <n v="55"/>
    <x v="0"/>
    <x v="29"/>
    <x v="0"/>
    <x v="0"/>
    <x v="0"/>
  </r>
  <r>
    <x v="1"/>
    <x v="8"/>
    <s v="8050 J"/>
    <x v="265"/>
    <s v="Usman Arif Butt Gujranwala"/>
    <s v="LDN"/>
    <n v="4"/>
    <n v="10"/>
    <s v="LDN"/>
    <n v="120"/>
    <x v="0"/>
    <n v="2"/>
    <n v="47.5"/>
    <n v="1.2"/>
    <m/>
    <x v="0"/>
    <n v="46.3"/>
    <n v="198.79999999999998"/>
    <m/>
    <x v="0"/>
    <x v="0"/>
    <n v="0"/>
    <n v="0"/>
    <x v="0"/>
    <x v="0"/>
    <m/>
    <x v="0"/>
    <x v="0"/>
    <x v="0"/>
    <x v="0"/>
    <x v="0"/>
    <n v="0"/>
    <n v="0"/>
    <n v="0"/>
    <n v="12"/>
    <x v="1"/>
    <x v="0"/>
    <m/>
    <x v="0"/>
    <n v="52.5"/>
    <x v="0"/>
    <x v="29"/>
    <x v="0"/>
    <x v="0"/>
    <x v="0"/>
  </r>
  <r>
    <x v="0"/>
    <x v="9"/>
    <s v="8044 J"/>
    <x v="265"/>
    <s v="Usman Arif Butt Gujranwala"/>
    <s v="LDN"/>
    <n v="6"/>
    <n v="10"/>
    <s v="LDN"/>
    <n v="100"/>
    <x v="0"/>
    <n v="1"/>
    <n v="33.700000000000003"/>
    <n v="0.8"/>
    <m/>
    <x v="0"/>
    <n v="32.900000000000006"/>
    <n v="105.60000000000001"/>
    <m/>
    <x v="0"/>
    <x v="0"/>
    <n v="0"/>
    <n v="0"/>
    <x v="0"/>
    <x v="0"/>
    <m/>
    <x v="0"/>
    <x v="0"/>
    <x v="0"/>
    <x v="0"/>
    <x v="0"/>
    <n v="0"/>
    <n v="0"/>
    <n v="0"/>
    <n v="12"/>
    <x v="1"/>
    <x v="0"/>
    <m/>
    <x v="0"/>
    <n v="38.700000000000003"/>
    <x v="0"/>
    <x v="29"/>
    <x v="0"/>
    <x v="0"/>
    <x v="0"/>
  </r>
  <r>
    <x v="0"/>
    <x v="9"/>
    <s v="8140 J"/>
    <x v="265"/>
    <s v="Alam Printers Butkhela"/>
    <s v="LDN"/>
    <n v="7"/>
    <s v="14-15"/>
    <s v="LDN"/>
    <n v="100"/>
    <x v="0"/>
    <n v="2"/>
    <n v="108"/>
    <n v="1.8"/>
    <n v="5"/>
    <x v="0"/>
    <n v="106.2"/>
    <n v="106.2"/>
    <m/>
    <x v="0"/>
    <x v="0"/>
    <n v="0"/>
    <n v="0"/>
    <x v="0"/>
    <x v="0"/>
    <m/>
    <x v="0"/>
    <x v="0"/>
    <x v="0"/>
    <x v="0"/>
    <x v="0"/>
    <n v="0"/>
    <n v="0"/>
    <n v="0"/>
    <n v="12"/>
    <x v="1"/>
    <x v="0"/>
    <m/>
    <x v="0"/>
    <n v="113"/>
    <x v="0"/>
    <x v="29"/>
    <x v="0"/>
    <x v="0"/>
    <x v="0"/>
  </r>
  <r>
    <x v="1"/>
    <x v="9"/>
    <s v="8141 J"/>
    <x v="265"/>
    <s v="Alam Printers Butkhela"/>
    <s v="LDN"/>
    <n v="9"/>
    <s v="14-15"/>
    <s v="LDN"/>
    <n v="100"/>
    <x v="0"/>
    <n v="2"/>
    <n v="105"/>
    <n v="1.9"/>
    <n v="2"/>
    <x v="0"/>
    <n v="103.1"/>
    <n v="103.1"/>
    <m/>
    <x v="0"/>
    <x v="0"/>
    <n v="0"/>
    <n v="0"/>
    <x v="0"/>
    <x v="0"/>
    <m/>
    <x v="0"/>
    <x v="0"/>
    <x v="0"/>
    <x v="0"/>
    <x v="0"/>
    <n v="0"/>
    <n v="0"/>
    <n v="0"/>
    <n v="12"/>
    <x v="1"/>
    <x v="0"/>
    <m/>
    <x v="0"/>
    <n v="110"/>
    <x v="0"/>
    <x v="29"/>
    <x v="0"/>
    <x v="0"/>
    <x v="0"/>
  </r>
  <r>
    <x v="1"/>
    <x v="9"/>
    <m/>
    <x v="265"/>
    <s v="-"/>
    <m/>
    <n v="6.5"/>
    <s v="25-26"/>
    <m/>
    <m/>
    <x v="0"/>
    <n v="1"/>
    <n v="25"/>
    <n v="0.8"/>
    <m/>
    <x v="0"/>
    <n v="24.2"/>
    <n v="0"/>
    <m/>
    <x v="0"/>
    <x v="0"/>
    <n v="0"/>
    <n v="0"/>
    <x v="0"/>
    <x v="0"/>
    <m/>
    <x v="0"/>
    <x v="0"/>
    <x v="0"/>
    <x v="0"/>
    <x v="0"/>
    <n v="0"/>
    <n v="0"/>
    <n v="0"/>
    <n v="12"/>
    <x v="1"/>
    <x v="0"/>
    <m/>
    <x v="0"/>
    <n v="30"/>
    <x v="0"/>
    <x v="29"/>
    <x v="0"/>
    <x v="0"/>
    <x v="0"/>
  </r>
  <r>
    <x v="0"/>
    <x v="10"/>
    <s v="7781 J"/>
    <x v="265"/>
    <s v="Wah Nobel Private Limited"/>
    <s v="LD گولڈن پیلا"/>
    <s v="100MM"/>
    <s v="29-30"/>
    <s v="LDM"/>
    <n v="2000"/>
    <x v="0"/>
    <n v="5"/>
    <n v="152"/>
    <n v="2.5"/>
    <m/>
    <x v="0"/>
    <n v="149.5"/>
    <n v="1966.0500000000002"/>
    <m/>
    <x v="0"/>
    <x v="0"/>
    <n v="0"/>
    <n v="0"/>
    <x v="0"/>
    <x v="0"/>
    <m/>
    <x v="0"/>
    <x v="0"/>
    <x v="0"/>
    <x v="0"/>
    <x v="0"/>
    <n v="0"/>
    <n v="0"/>
    <n v="0"/>
    <n v="12"/>
    <x v="1"/>
    <x v="0"/>
    <m/>
    <x v="0"/>
    <n v="157"/>
    <x v="0"/>
    <x v="29"/>
    <x v="0"/>
    <x v="0"/>
    <x v="0"/>
  </r>
  <r>
    <x v="1"/>
    <x v="10"/>
    <s v="7781 J"/>
    <x v="265"/>
    <s v="Wah Nobel Private Limited"/>
    <s v="LD گولڈن پیلا"/>
    <s v="100MM"/>
    <s v="29-30"/>
    <s v="LDM"/>
    <n v="2000"/>
    <x v="0"/>
    <n v="4"/>
    <n v="141.80000000000001"/>
    <n v="2.1"/>
    <m/>
    <x v="0"/>
    <n v="139.70000000000002"/>
    <n v="1966.0500000000002"/>
    <m/>
    <x v="0"/>
    <x v="0"/>
    <n v="0"/>
    <n v="0"/>
    <x v="0"/>
    <x v="0"/>
    <m/>
    <x v="0"/>
    <x v="0"/>
    <x v="0"/>
    <x v="0"/>
    <x v="0"/>
    <n v="0"/>
    <n v="0"/>
    <n v="0"/>
    <n v="12"/>
    <x v="1"/>
    <x v="0"/>
    <m/>
    <x v="0"/>
    <n v="146.80000000000001"/>
    <x v="0"/>
    <x v="29"/>
    <x v="0"/>
    <x v="0"/>
    <x v="0"/>
  </r>
  <r>
    <x v="0"/>
    <x v="11"/>
    <s v="8073 J"/>
    <x v="265"/>
    <s v="Ramada Gulberg Lahore "/>
    <s v="LDM"/>
    <n v="16"/>
    <s v="12-13."/>
    <s v="LDM"/>
    <n v="200"/>
    <x v="0"/>
    <n v="1"/>
    <n v="99"/>
    <n v="2"/>
    <m/>
    <x v="0"/>
    <n v="97"/>
    <n v="232.3"/>
    <m/>
    <x v="0"/>
    <x v="0"/>
    <n v="0"/>
    <n v="0"/>
    <x v="0"/>
    <x v="0"/>
    <m/>
    <x v="0"/>
    <x v="0"/>
    <x v="0"/>
    <x v="0"/>
    <x v="0"/>
    <n v="0"/>
    <n v="0"/>
    <n v="0"/>
    <n v="12"/>
    <x v="1"/>
    <x v="0"/>
    <m/>
    <x v="0"/>
    <n v="104"/>
    <x v="0"/>
    <x v="29"/>
    <x v="0"/>
    <x v="0"/>
    <x v="0"/>
  </r>
  <r>
    <x v="0"/>
    <x v="11"/>
    <s v="8041 J"/>
    <x v="265"/>
    <s v="Fancy Garments Kamoki"/>
    <s v="LDM"/>
    <n v="19"/>
    <s v="14-15"/>
    <s v="LDM"/>
    <n v="100"/>
    <x v="0"/>
    <n v="2"/>
    <n v="120"/>
    <n v="5.2"/>
    <m/>
    <x v="0"/>
    <n v="114.8"/>
    <n v="114.8"/>
    <m/>
    <x v="0"/>
    <x v="0"/>
    <n v="0"/>
    <n v="0"/>
    <x v="0"/>
    <x v="0"/>
    <m/>
    <x v="0"/>
    <x v="0"/>
    <x v="0"/>
    <x v="0"/>
    <x v="0"/>
    <n v="0"/>
    <n v="0"/>
    <n v="0"/>
    <n v="12"/>
    <x v="1"/>
    <x v="0"/>
    <m/>
    <x v="0"/>
    <n v="125"/>
    <x v="0"/>
    <x v="29"/>
    <x v="0"/>
    <x v="0"/>
    <x v="0"/>
  </r>
  <r>
    <x v="0"/>
    <x v="11"/>
    <s v="2804/1"/>
    <x v="265"/>
    <s v="MATCO FOOD"/>
    <s v="LDN"/>
    <n v="23"/>
    <s v="70±1"/>
    <s v="LDN"/>
    <n v="4900"/>
    <x v="0"/>
    <n v="3"/>
    <n v="220.5"/>
    <n v="7.2"/>
    <m/>
    <x v="0"/>
    <n v="213.3"/>
    <n v="5306.0000000000009"/>
    <m/>
    <x v="0"/>
    <x v="0"/>
    <n v="0"/>
    <n v="0"/>
    <x v="0"/>
    <x v="0"/>
    <m/>
    <x v="0"/>
    <x v="0"/>
    <x v="0"/>
    <x v="6"/>
    <x v="0"/>
    <n v="60"/>
    <n v="1"/>
    <n v="1"/>
    <n v="11"/>
    <x v="1"/>
    <x v="0"/>
    <m/>
    <x v="0"/>
    <n v="225.5"/>
    <x v="0"/>
    <x v="29"/>
    <x v="0"/>
    <x v="0"/>
    <x v="0"/>
  </r>
  <r>
    <x v="0"/>
    <x v="11"/>
    <s v="8064 J"/>
    <x v="265"/>
    <s v="Service Industry Gujrat"/>
    <s v="LDM"/>
    <s v="428 MM"/>
    <s v="-"/>
    <s v="LDM"/>
    <n v="300"/>
    <x v="0"/>
    <n v="1"/>
    <n v="59.5"/>
    <n v="2.1"/>
    <n v="43"/>
    <x v="0"/>
    <n v="57.4"/>
    <n v="306.7"/>
    <m/>
    <x v="0"/>
    <x v="0"/>
    <n v="0"/>
    <n v="0"/>
    <x v="0"/>
    <x v="0"/>
    <m/>
    <x v="0"/>
    <x v="0"/>
    <x v="0"/>
    <x v="0"/>
    <x v="0"/>
    <n v="0"/>
    <n v="0"/>
    <n v="0"/>
    <n v="12"/>
    <x v="1"/>
    <x v="0"/>
    <m/>
    <x v="0"/>
    <n v="64.5"/>
    <x v="0"/>
    <x v="29"/>
    <x v="0"/>
    <x v="0"/>
    <x v="0"/>
  </r>
  <r>
    <x v="1"/>
    <x v="11"/>
    <s v="8064 J"/>
    <x v="265"/>
    <s v="Service Industry Gujrat"/>
    <s v="LDM"/>
    <s v="428 MM"/>
    <s v="-"/>
    <s v="LDM"/>
    <n v="300"/>
    <x v="0"/>
    <n v="5"/>
    <n v="260"/>
    <n v="10.7"/>
    <n v="12"/>
    <x v="9"/>
    <n v="249.3"/>
    <n v="306.7"/>
    <m/>
    <x v="0"/>
    <x v="0"/>
    <n v="0"/>
    <n v="0"/>
    <x v="0"/>
    <x v="0"/>
    <m/>
    <x v="0"/>
    <x v="0"/>
    <x v="0"/>
    <x v="0"/>
    <x v="0"/>
    <n v="0"/>
    <n v="0"/>
    <n v="0"/>
    <n v="12"/>
    <x v="1"/>
    <x v="0"/>
    <m/>
    <x v="0"/>
    <n v="265"/>
    <x v="0"/>
    <x v="29"/>
    <x v="0"/>
    <x v="0"/>
    <x v="0"/>
  </r>
  <r>
    <x v="1"/>
    <x v="11"/>
    <s v="8065 J"/>
    <x v="265"/>
    <s v="Service Industry Gujrat"/>
    <s v="LDM"/>
    <s v="428 MM"/>
    <s v="-"/>
    <s v="LDM"/>
    <n v="200"/>
    <x v="0"/>
    <n v="2"/>
    <n v="126"/>
    <n v="4.4000000000000004"/>
    <n v="10"/>
    <x v="0"/>
    <n v="121.6"/>
    <n v="263.89999999999998"/>
    <m/>
    <x v="0"/>
    <x v="0"/>
    <n v="0"/>
    <n v="0"/>
    <x v="0"/>
    <x v="0"/>
    <m/>
    <x v="0"/>
    <x v="0"/>
    <x v="0"/>
    <x v="0"/>
    <x v="0"/>
    <n v="0"/>
    <n v="0"/>
    <n v="0"/>
    <n v="12"/>
    <x v="1"/>
    <x v="0"/>
    <m/>
    <x v="0"/>
    <n v="131"/>
    <x v="0"/>
    <x v="29"/>
    <x v="0"/>
    <x v="0"/>
    <x v="0"/>
  </r>
  <r>
    <x v="0"/>
    <x v="13"/>
    <s v="3036 F"/>
    <x v="265"/>
    <s v="Usman Amin"/>
    <s v="LDN"/>
    <n v="17"/>
    <s v="12"/>
    <s v="LDN"/>
    <n v="1000"/>
    <x v="0"/>
    <n v="4"/>
    <n v="300.5"/>
    <n v="6.5"/>
    <n v="12"/>
    <x v="0"/>
    <n v="294"/>
    <n v="1011.84"/>
    <m/>
    <x v="0"/>
    <x v="0"/>
    <n v="0"/>
    <n v="0"/>
    <x v="0"/>
    <x v="0"/>
    <m/>
    <x v="0"/>
    <x v="0"/>
    <x v="0"/>
    <x v="0"/>
    <x v="0"/>
    <n v="0"/>
    <n v="0"/>
    <n v="0"/>
    <n v="12"/>
    <x v="1"/>
    <x v="0"/>
    <m/>
    <x v="0"/>
    <n v="305.5"/>
    <x v="0"/>
    <x v="29"/>
    <x v="0"/>
    <x v="0"/>
    <x v="0"/>
  </r>
  <r>
    <x v="1"/>
    <x v="13"/>
    <s v="3036 F"/>
    <x v="265"/>
    <s v="Usman Amin"/>
    <s v="LDN"/>
    <n v="17"/>
    <s v="12"/>
    <s v="LDN"/>
    <n v="1000"/>
    <x v="0"/>
    <n v="3"/>
    <n v="171"/>
    <n v="5.78"/>
    <n v="6"/>
    <x v="0"/>
    <n v="165.22"/>
    <n v="1011.84"/>
    <n v="6"/>
    <x v="0"/>
    <x v="0"/>
    <n v="6"/>
    <n v="0.1"/>
    <x v="0"/>
    <x v="0"/>
    <m/>
    <x v="0"/>
    <x v="0"/>
    <x v="0"/>
    <x v="0"/>
    <x v="0"/>
    <n v="0"/>
    <n v="0"/>
    <n v="0.1"/>
    <n v="11.9"/>
    <x v="1"/>
    <x v="0"/>
    <m/>
    <x v="0"/>
    <n v="176"/>
    <x v="0"/>
    <x v="29"/>
    <x v="0"/>
    <x v="0"/>
    <x v="0"/>
  </r>
  <r>
    <x v="1"/>
    <x v="13"/>
    <s v="3048 F"/>
    <x v="265"/>
    <s v="Usman Amin"/>
    <s v="LDN"/>
    <n v="17"/>
    <s v="7"/>
    <s v="LDN"/>
    <n v="600"/>
    <x v="0"/>
    <n v="3"/>
    <n v="177"/>
    <n v="4.5"/>
    <m/>
    <x v="0"/>
    <n v="172.5"/>
    <n v="721.40000000000009"/>
    <m/>
    <x v="0"/>
    <x v="0"/>
    <n v="0"/>
    <n v="0"/>
    <x v="0"/>
    <x v="0"/>
    <m/>
    <x v="0"/>
    <x v="0"/>
    <x v="0"/>
    <x v="0"/>
    <x v="0"/>
    <n v="0"/>
    <n v="0"/>
    <n v="0"/>
    <n v="12"/>
    <x v="1"/>
    <x v="0"/>
    <m/>
    <x v="0"/>
    <n v="182"/>
    <x v="0"/>
    <x v="29"/>
    <x v="0"/>
    <x v="0"/>
    <x v="0"/>
  </r>
  <r>
    <x v="0"/>
    <x v="12"/>
    <s v="278 R"/>
    <x v="265"/>
    <s v="ریفلیکٹ پیک"/>
    <s v="LDN"/>
    <n v="18"/>
    <s v="13-14"/>
    <s v="LDN"/>
    <n v="2000"/>
    <x v="0"/>
    <n v="5"/>
    <n v="458"/>
    <n v="9.9"/>
    <n v="6"/>
    <x v="0"/>
    <n v="448.1"/>
    <n v="2009.1"/>
    <m/>
    <x v="0"/>
    <x v="0"/>
    <n v="0"/>
    <n v="0"/>
    <x v="0"/>
    <x v="0"/>
    <n v="60"/>
    <x v="0"/>
    <x v="0"/>
    <x v="0"/>
    <x v="0"/>
    <x v="0"/>
    <n v="60"/>
    <n v="1"/>
    <n v="1"/>
    <n v="11"/>
    <x v="1"/>
    <x v="0"/>
    <m/>
    <x v="0"/>
    <n v="463"/>
    <x v="0"/>
    <x v="29"/>
    <x v="0"/>
    <x v="0"/>
    <x v="0"/>
  </r>
  <r>
    <x v="1"/>
    <x v="12"/>
    <s v="278 R"/>
    <x v="265"/>
    <s v="ریفلیکٹ پیک"/>
    <s v="LDN"/>
    <n v="18"/>
    <s v="13-14"/>
    <s v="LDN"/>
    <n v="2000"/>
    <x v="0"/>
    <n v="5"/>
    <n v="559"/>
    <n v="3"/>
    <m/>
    <x v="0"/>
    <n v="556"/>
    <n v="2009.1"/>
    <m/>
    <x v="0"/>
    <x v="0"/>
    <n v="0"/>
    <n v="0"/>
    <x v="0"/>
    <x v="0"/>
    <m/>
    <x v="0"/>
    <x v="0"/>
    <x v="0"/>
    <x v="0"/>
    <x v="0"/>
    <n v="0"/>
    <n v="0"/>
    <n v="0"/>
    <n v="12"/>
    <x v="1"/>
    <x v="0"/>
    <m/>
    <x v="0"/>
    <n v="564"/>
    <x v="0"/>
    <x v="29"/>
    <x v="0"/>
    <x v="0"/>
    <x v="0"/>
  </r>
  <r>
    <x v="0"/>
    <x v="14"/>
    <s v="7991 J"/>
    <x v="265"/>
    <s v="Berger Point Lahore"/>
    <s v="LD پیلا"/>
    <n v="18"/>
    <s v="-"/>
    <s v="LDM"/>
    <n v="2000"/>
    <x v="0"/>
    <n v="4"/>
    <n v="624"/>
    <n v="8.1000000000000014"/>
    <n v="12"/>
    <x v="0"/>
    <n v="615.9"/>
    <n v="2085.8000000000002"/>
    <m/>
    <x v="0"/>
    <x v="0"/>
    <n v="0"/>
    <n v="0"/>
    <x v="0"/>
    <x v="0"/>
    <m/>
    <x v="0"/>
    <x v="0"/>
    <x v="0"/>
    <x v="0"/>
    <x v="0"/>
    <n v="0"/>
    <n v="0"/>
    <n v="0"/>
    <n v="12"/>
    <x v="1"/>
    <x v="0"/>
    <m/>
    <x v="0"/>
    <n v="629"/>
    <x v="0"/>
    <x v="29"/>
    <x v="0"/>
    <x v="0"/>
    <x v="0"/>
  </r>
  <r>
    <x v="1"/>
    <x v="14"/>
    <s v="7991 J"/>
    <x v="265"/>
    <s v="Berger Point Lahore"/>
    <s v="LD پیلا"/>
    <n v="18"/>
    <s v="-"/>
    <s v="LDM"/>
    <n v="2000"/>
    <x v="0"/>
    <n v="4"/>
    <n v="643.5"/>
    <n v="8.8000000000000007"/>
    <m/>
    <x v="0"/>
    <n v="634.70000000000005"/>
    <n v="2085.8000000000002"/>
    <m/>
    <x v="0"/>
    <x v="0"/>
    <n v="0"/>
    <n v="0"/>
    <x v="0"/>
    <x v="0"/>
    <m/>
    <x v="0"/>
    <x v="0"/>
    <x v="0"/>
    <x v="0"/>
    <x v="0"/>
    <n v="0"/>
    <n v="0"/>
    <n v="0"/>
    <n v="12"/>
    <x v="1"/>
    <x v="0"/>
    <m/>
    <x v="0"/>
    <n v="648.5"/>
    <x v="0"/>
    <x v="29"/>
    <x v="0"/>
    <x v="0"/>
    <x v="0"/>
  </r>
  <r>
    <x v="0"/>
    <x v="15"/>
    <s v="3065 F"/>
    <x v="265"/>
    <s v="Usman Amin"/>
    <s v=" LDN "/>
    <n v="18"/>
    <s v="5.5-6"/>
    <s v=" LDN "/>
    <n v="130"/>
    <x v="0"/>
    <n v="2"/>
    <n v="113.5"/>
    <n v="4.5999999999999996"/>
    <m/>
    <x v="0"/>
    <n v="108.9"/>
    <n v="108.9"/>
    <m/>
    <x v="0"/>
    <x v="0"/>
    <n v="0"/>
    <n v="0"/>
    <x v="0"/>
    <x v="0"/>
    <m/>
    <x v="0"/>
    <x v="0"/>
    <x v="0"/>
    <x v="0"/>
    <x v="0"/>
    <n v="0"/>
    <n v="0"/>
    <n v="0"/>
    <n v="12"/>
    <x v="1"/>
    <x v="0"/>
    <m/>
    <x v="0"/>
    <n v="118.5"/>
    <x v="0"/>
    <x v="29"/>
    <x v="0"/>
    <x v="0"/>
    <x v="0"/>
  </r>
  <r>
    <x v="0"/>
    <x v="15"/>
    <s v="3061 F"/>
    <x v="265"/>
    <s v="Usman Amin"/>
    <s v="LDN"/>
    <n v="24"/>
    <s v="6.5-7"/>
    <s v="LDN"/>
    <n v="200"/>
    <x v="0"/>
    <n v="3"/>
    <n v="157.5"/>
    <n v="8.6999999999999993"/>
    <n v="15"/>
    <x v="0"/>
    <n v="148.80000000000001"/>
    <n v="148.80000000000001"/>
    <n v="7"/>
    <x v="0"/>
    <x v="0"/>
    <n v="7"/>
    <n v="0.11666666666666667"/>
    <x v="0"/>
    <x v="0"/>
    <m/>
    <x v="0"/>
    <x v="0"/>
    <x v="0"/>
    <x v="0"/>
    <x v="0"/>
    <n v="0"/>
    <n v="0"/>
    <n v="0.11666666666666667"/>
    <n v="11.883333333333333"/>
    <x v="1"/>
    <x v="0"/>
    <m/>
    <x v="0"/>
    <n v="162.5"/>
    <x v="0"/>
    <x v="29"/>
    <x v="0"/>
    <x v="0"/>
    <x v="0"/>
  </r>
  <r>
    <x v="1"/>
    <x v="15"/>
    <s v="2865/1"/>
    <x v="265"/>
    <s v="MATCO FOOD"/>
    <s v="LDN"/>
    <s v="22.5-23"/>
    <s v="70±2"/>
    <s v="LDN"/>
    <n v="4200"/>
    <x v="0"/>
    <n v="4"/>
    <n v="491"/>
    <n v="10"/>
    <m/>
    <x v="0"/>
    <n v="481"/>
    <n v="1459.58"/>
    <m/>
    <x v="0"/>
    <x v="0"/>
    <n v="0"/>
    <n v="0"/>
    <x v="0"/>
    <x v="0"/>
    <m/>
    <x v="0"/>
    <x v="0"/>
    <x v="0"/>
    <x v="0"/>
    <x v="0"/>
    <n v="0"/>
    <n v="0"/>
    <n v="0"/>
    <n v="12"/>
    <x v="1"/>
    <x v="0"/>
    <m/>
    <x v="0"/>
    <n v="496"/>
    <x v="0"/>
    <x v="29"/>
    <x v="0"/>
    <x v="0"/>
    <x v="0"/>
  </r>
  <r>
    <x v="0"/>
    <x v="8"/>
    <s v="8050 J"/>
    <x v="266"/>
    <s v="Usman Arif Butt Gujranwala"/>
    <s v="LDN"/>
    <n v="4"/>
    <n v="10"/>
    <s v="LDN"/>
    <n v="120"/>
    <x v="0"/>
    <n v="3"/>
    <n v="84.9"/>
    <n v="1.5"/>
    <m/>
    <x v="0"/>
    <n v="83.4"/>
    <n v="198.79999999999998"/>
    <m/>
    <x v="0"/>
    <x v="0"/>
    <n v="0"/>
    <n v="0"/>
    <x v="0"/>
    <x v="0"/>
    <m/>
    <x v="0"/>
    <x v="0"/>
    <x v="0"/>
    <x v="0"/>
    <x v="0"/>
    <n v="0"/>
    <n v="0"/>
    <n v="0"/>
    <n v="12"/>
    <x v="1"/>
    <x v="0"/>
    <m/>
    <x v="0"/>
    <n v="89.9"/>
    <x v="0"/>
    <x v="29"/>
    <x v="0"/>
    <x v="0"/>
    <x v="0"/>
  </r>
  <r>
    <x v="1"/>
    <x v="8"/>
    <s v="8175 J"/>
    <x v="266"/>
    <s v="Al Shaheer Foods Corporation LTD"/>
    <s v="LDN"/>
    <n v="11"/>
    <s v="10.5-11"/>
    <s v="LDN"/>
    <n v="150"/>
    <x v="0"/>
    <n v="3"/>
    <n v="165.55"/>
    <n v="3.3000000000000003"/>
    <m/>
    <x v="0"/>
    <n v="162.25"/>
    <n v="162.25"/>
    <m/>
    <x v="0"/>
    <x v="0"/>
    <n v="0"/>
    <n v="0"/>
    <x v="0"/>
    <x v="0"/>
    <m/>
    <x v="0"/>
    <x v="0"/>
    <x v="0"/>
    <x v="0"/>
    <x v="0"/>
    <n v="0"/>
    <n v="0"/>
    <n v="0"/>
    <n v="12"/>
    <x v="1"/>
    <x v="0"/>
    <m/>
    <x v="0"/>
    <n v="170.55"/>
    <x v="0"/>
    <x v="29"/>
    <x v="0"/>
    <x v="0"/>
    <x v="0"/>
  </r>
  <r>
    <x v="1"/>
    <x v="8"/>
    <s v="8176 J"/>
    <x v="266"/>
    <s v="Al Shaheer Foods Corporation LTD"/>
    <s v="LDN"/>
    <n v="11"/>
    <s v="10.5-11"/>
    <s v="LDN"/>
    <n v="150"/>
    <x v="0"/>
    <n v="1"/>
    <n v="75.2"/>
    <n v="1.1000000000000001"/>
    <m/>
    <x v="0"/>
    <n v="74.100000000000009"/>
    <n v="74.100000000000009"/>
    <m/>
    <x v="0"/>
    <x v="0"/>
    <n v="0"/>
    <n v="0"/>
    <x v="0"/>
    <x v="0"/>
    <m/>
    <x v="0"/>
    <x v="0"/>
    <x v="0"/>
    <x v="0"/>
    <x v="0"/>
    <n v="0"/>
    <n v="0"/>
    <n v="0"/>
    <n v="12"/>
    <x v="1"/>
    <x v="0"/>
    <m/>
    <x v="0"/>
    <n v="80.2"/>
    <x v="0"/>
    <x v="29"/>
    <x v="0"/>
    <x v="0"/>
    <x v="0"/>
  </r>
  <r>
    <x v="0"/>
    <x v="9"/>
    <s v="280 R"/>
    <x v="266"/>
    <s v="ریفلیکٹ پیک"/>
    <s v="LDN"/>
    <n v="15"/>
    <s v="12.5-13"/>
    <s v="LDN"/>
    <n v="1000"/>
    <x v="0"/>
    <n v="5"/>
    <n v="319"/>
    <n v="8.5"/>
    <m/>
    <x v="0"/>
    <n v="310.5"/>
    <n v="1016.2"/>
    <m/>
    <x v="0"/>
    <x v="0"/>
    <n v="0"/>
    <n v="0"/>
    <x v="0"/>
    <x v="0"/>
    <m/>
    <x v="0"/>
    <x v="0"/>
    <x v="0"/>
    <x v="0"/>
    <x v="0"/>
    <n v="0"/>
    <n v="0"/>
    <n v="0"/>
    <n v="12"/>
    <x v="1"/>
    <x v="0"/>
    <m/>
    <x v="0"/>
    <n v="324"/>
    <x v="0"/>
    <x v="29"/>
    <x v="0"/>
    <x v="0"/>
    <x v="0"/>
  </r>
  <r>
    <x v="1"/>
    <x v="9"/>
    <s v="280 R"/>
    <x v="266"/>
    <s v="ریفلیکٹ پیک"/>
    <s v="LDN"/>
    <n v="15"/>
    <s v="12.5-13"/>
    <s v="LDN"/>
    <n v="1000"/>
    <x v="0"/>
    <n v="2"/>
    <n v="163.15"/>
    <n v="3"/>
    <m/>
    <x v="0"/>
    <n v="160.15"/>
    <n v="1016.2"/>
    <m/>
    <x v="0"/>
    <x v="0"/>
    <n v="0"/>
    <n v="0"/>
    <x v="0"/>
    <x v="0"/>
    <m/>
    <x v="0"/>
    <x v="0"/>
    <x v="0"/>
    <x v="0"/>
    <x v="0"/>
    <n v="0"/>
    <n v="0"/>
    <n v="0"/>
    <n v="12"/>
    <x v="1"/>
    <x v="0"/>
    <m/>
    <x v="0"/>
    <n v="168.15"/>
    <x v="0"/>
    <x v="29"/>
    <x v="0"/>
    <x v="0"/>
    <x v="0"/>
  </r>
  <r>
    <x v="0"/>
    <x v="10"/>
    <s v="7781 J"/>
    <x v="266"/>
    <s v="Wah Nobel Private Limited"/>
    <s v="LD گولڈن پیلا"/>
    <s v="100MM"/>
    <s v="29-30"/>
    <s v="LDM"/>
    <n v="2000"/>
    <x v="0"/>
    <n v="4"/>
    <n v="131.19999999999999"/>
    <n v="2"/>
    <m/>
    <x v="0"/>
    <n v="129.19999999999999"/>
    <n v="1966.0500000000002"/>
    <m/>
    <x v="0"/>
    <x v="0"/>
    <n v="0"/>
    <n v="0"/>
    <x v="0"/>
    <x v="0"/>
    <m/>
    <x v="0"/>
    <x v="0"/>
    <x v="0"/>
    <x v="0"/>
    <x v="0"/>
    <n v="0"/>
    <n v="0"/>
    <n v="0"/>
    <n v="12"/>
    <x v="1"/>
    <x v="0"/>
    <m/>
    <x v="0"/>
    <n v="136.19999999999999"/>
    <x v="0"/>
    <x v="29"/>
    <x v="0"/>
    <x v="0"/>
    <x v="0"/>
  </r>
  <r>
    <x v="1"/>
    <x v="10"/>
    <s v="7781 J"/>
    <x v="266"/>
    <s v="Wah Nobel Private Limited"/>
    <s v="LD گولڈن پیلا"/>
    <s v="100MM"/>
    <s v="29-30"/>
    <s v="LDM"/>
    <n v="2000"/>
    <x v="0"/>
    <n v="2"/>
    <n v="67.55"/>
    <n v="1"/>
    <m/>
    <x v="0"/>
    <n v="66.55"/>
    <n v="1966.0500000000002"/>
    <m/>
    <x v="0"/>
    <x v="0"/>
    <n v="0"/>
    <n v="0"/>
    <x v="0"/>
    <x v="0"/>
    <m/>
    <x v="0"/>
    <x v="0"/>
    <x v="0"/>
    <x v="0"/>
    <x v="0"/>
    <n v="0"/>
    <n v="0"/>
    <n v="0"/>
    <n v="12"/>
    <x v="1"/>
    <x v="0"/>
    <m/>
    <x v="0"/>
    <n v="72.55"/>
    <x v="0"/>
    <x v="29"/>
    <x v="0"/>
    <x v="0"/>
    <x v="0"/>
  </r>
  <r>
    <x v="0"/>
    <x v="11"/>
    <s v="8065 J"/>
    <x v="266"/>
    <s v="Service Industry Gujrat"/>
    <s v="LDM"/>
    <s v="428 MM"/>
    <s v="-"/>
    <s v="LDM"/>
    <n v="200"/>
    <x v="0"/>
    <n v="1"/>
    <n v="75.5"/>
    <n v="2.1"/>
    <m/>
    <x v="0"/>
    <n v="73.400000000000006"/>
    <n v="263.89999999999998"/>
    <m/>
    <x v="0"/>
    <x v="0"/>
    <n v="0"/>
    <n v="0"/>
    <x v="0"/>
    <x v="0"/>
    <m/>
    <x v="0"/>
    <x v="0"/>
    <x v="0"/>
    <x v="0"/>
    <x v="0"/>
    <n v="0"/>
    <n v="0"/>
    <n v="0"/>
    <n v="12"/>
    <x v="1"/>
    <x v="0"/>
    <m/>
    <x v="0"/>
    <n v="80.5"/>
    <x v="0"/>
    <x v="29"/>
    <x v="0"/>
    <x v="0"/>
    <x v="0"/>
  </r>
  <r>
    <x v="0"/>
    <x v="11"/>
    <s v="8066 J"/>
    <x v="266"/>
    <s v="Service Industry Gujrat"/>
    <s v="LDM"/>
    <s v="428 MM"/>
    <s v="-"/>
    <s v="LDM"/>
    <n v="300"/>
    <x v="0"/>
    <n v="1"/>
    <n v="70.5"/>
    <n v="2.2000000000000002"/>
    <m/>
    <x v="0"/>
    <n v="68.3"/>
    <n v="340.85"/>
    <m/>
    <x v="0"/>
    <x v="0"/>
    <n v="0"/>
    <n v="0"/>
    <x v="0"/>
    <x v="0"/>
    <m/>
    <x v="0"/>
    <x v="0"/>
    <x v="0"/>
    <x v="0"/>
    <x v="0"/>
    <n v="0"/>
    <n v="0"/>
    <n v="0"/>
    <n v="12"/>
    <x v="1"/>
    <x v="0"/>
    <m/>
    <x v="0"/>
    <n v="75.5"/>
    <x v="0"/>
    <x v="29"/>
    <x v="0"/>
    <x v="0"/>
    <x v="0"/>
  </r>
  <r>
    <x v="0"/>
    <x v="11"/>
    <s v="8203 J"/>
    <x v="266"/>
    <s v="Jilani Poly Stock"/>
    <s v="LDM"/>
    <n v="19"/>
    <n v="12"/>
    <s v="LDM"/>
    <n v="60"/>
    <x v="0"/>
    <n v="1"/>
    <n v="58.5"/>
    <n v="1.9"/>
    <m/>
    <x v="0"/>
    <n v="56.6"/>
    <n v="56.6"/>
    <m/>
    <x v="0"/>
    <x v="0"/>
    <n v="0"/>
    <n v="0"/>
    <x v="0"/>
    <x v="0"/>
    <m/>
    <x v="0"/>
    <x v="0"/>
    <x v="0"/>
    <x v="0"/>
    <x v="0"/>
    <n v="0"/>
    <n v="0"/>
    <n v="0"/>
    <n v="12"/>
    <x v="1"/>
    <x v="0"/>
    <m/>
    <x v="0"/>
    <n v="63.5"/>
    <x v="0"/>
    <x v="29"/>
    <x v="0"/>
    <x v="0"/>
    <x v="0"/>
  </r>
  <r>
    <x v="1"/>
    <x v="11"/>
    <s v="8065 J"/>
    <x v="266"/>
    <s v="Service Industry Gujrat"/>
    <s v="LDM"/>
    <s v="428 MM"/>
    <s v="-"/>
    <s v="LDM"/>
    <n v="200"/>
    <x v="0"/>
    <n v="1"/>
    <n v="71"/>
    <n v="2.1"/>
    <m/>
    <x v="0"/>
    <n v="68.900000000000006"/>
    <n v="263.89999999999998"/>
    <m/>
    <x v="0"/>
    <x v="0"/>
    <n v="0"/>
    <n v="0"/>
    <x v="0"/>
    <x v="0"/>
    <m/>
    <x v="0"/>
    <x v="0"/>
    <x v="0"/>
    <x v="0"/>
    <x v="0"/>
    <n v="0"/>
    <n v="0"/>
    <n v="0"/>
    <n v="12"/>
    <x v="1"/>
    <x v="0"/>
    <m/>
    <x v="0"/>
    <n v="76"/>
    <x v="0"/>
    <x v="29"/>
    <x v="0"/>
    <x v="0"/>
    <x v="0"/>
  </r>
  <r>
    <x v="1"/>
    <x v="11"/>
    <s v="8066 J"/>
    <x v="266"/>
    <s v="Service Industry Gujrat"/>
    <s v="LDM"/>
    <s v="428 MM"/>
    <s v="-"/>
    <s v="LDM"/>
    <n v="300"/>
    <x v="0"/>
    <n v="4"/>
    <n v="281.35000000000002"/>
    <n v="8.8000000000000007"/>
    <m/>
    <x v="0"/>
    <n v="272.55"/>
    <n v="340.85"/>
    <m/>
    <x v="0"/>
    <x v="0"/>
    <n v="0"/>
    <n v="0"/>
    <x v="0"/>
    <x v="0"/>
    <m/>
    <x v="0"/>
    <x v="0"/>
    <x v="0"/>
    <x v="0"/>
    <x v="0"/>
    <n v="0"/>
    <n v="0"/>
    <n v="0"/>
    <n v="12"/>
    <x v="1"/>
    <x v="0"/>
    <m/>
    <x v="0"/>
    <n v="286.35000000000002"/>
    <x v="0"/>
    <x v="29"/>
    <x v="0"/>
    <x v="0"/>
    <x v="0"/>
  </r>
  <r>
    <x v="0"/>
    <x v="13"/>
    <s v="3048 F"/>
    <x v="266"/>
    <s v="Usman Amin"/>
    <s v="LDN"/>
    <n v="17"/>
    <s v="7"/>
    <s v="LDN"/>
    <n v="600"/>
    <x v="0"/>
    <n v="1"/>
    <n v="77"/>
    <n v="1.5"/>
    <m/>
    <x v="0"/>
    <n v="75.5"/>
    <n v="721.40000000000009"/>
    <m/>
    <x v="0"/>
    <x v="0"/>
    <n v="0"/>
    <n v="0"/>
    <x v="0"/>
    <x v="0"/>
    <m/>
    <x v="0"/>
    <x v="0"/>
    <x v="0"/>
    <x v="0"/>
    <x v="0"/>
    <n v="0"/>
    <n v="0"/>
    <n v="0"/>
    <n v="12"/>
    <x v="1"/>
    <x v="0"/>
    <m/>
    <x v="0"/>
    <n v="82"/>
    <x v="0"/>
    <x v="29"/>
    <x v="0"/>
    <x v="0"/>
    <x v="0"/>
  </r>
  <r>
    <x v="0"/>
    <x v="13"/>
    <s v="3069 F"/>
    <x v="266"/>
    <s v="Usman Amin"/>
    <s v="LDN"/>
    <n v="17"/>
    <s v="12"/>
    <s v="LDN"/>
    <n v="600"/>
    <x v="0"/>
    <n v="3"/>
    <n v="231"/>
    <n v="4.5"/>
    <m/>
    <x v="0"/>
    <n v="226.5"/>
    <n v="870.1"/>
    <m/>
    <x v="0"/>
    <x v="0"/>
    <n v="0"/>
    <n v="0"/>
    <x v="0"/>
    <x v="0"/>
    <m/>
    <x v="0"/>
    <x v="0"/>
    <x v="0"/>
    <x v="0"/>
    <x v="0"/>
    <n v="0"/>
    <n v="0"/>
    <n v="0"/>
    <n v="12"/>
    <x v="1"/>
    <x v="0"/>
    <m/>
    <x v="0"/>
    <n v="236"/>
    <x v="0"/>
    <x v="29"/>
    <x v="0"/>
    <x v="0"/>
    <x v="0"/>
  </r>
  <r>
    <x v="1"/>
    <x v="13"/>
    <s v="3069 F"/>
    <x v="266"/>
    <s v="Usman Amin"/>
    <s v="LDN"/>
    <n v="17"/>
    <s v="12"/>
    <s v="LDN"/>
    <n v="600"/>
    <x v="0"/>
    <n v="5"/>
    <n v="401.5"/>
    <n v="7.5"/>
    <m/>
    <x v="0"/>
    <n v="394"/>
    <n v="870.1"/>
    <m/>
    <x v="0"/>
    <x v="0"/>
    <n v="0"/>
    <n v="0"/>
    <x v="0"/>
    <x v="0"/>
    <m/>
    <x v="0"/>
    <x v="0"/>
    <x v="0"/>
    <x v="0"/>
    <x v="0"/>
    <n v="0"/>
    <n v="0"/>
    <n v="0"/>
    <n v="12"/>
    <x v="1"/>
    <x v="0"/>
    <m/>
    <x v="0"/>
    <n v="406.5"/>
    <x v="0"/>
    <x v="29"/>
    <x v="0"/>
    <x v="0"/>
    <x v="0"/>
  </r>
  <r>
    <x v="0"/>
    <x v="12"/>
    <s v="278 R"/>
    <x v="266"/>
    <s v="ریفلیکٹ پیک"/>
    <s v="LDN"/>
    <n v="18"/>
    <s v="13-14"/>
    <s v="LDN"/>
    <n v="2000"/>
    <x v="0"/>
    <n v="3"/>
    <n v="240"/>
    <n v="4.5"/>
    <m/>
    <x v="0"/>
    <n v="235.5"/>
    <n v="2009.1"/>
    <m/>
    <x v="0"/>
    <x v="0"/>
    <n v="0"/>
    <n v="0"/>
    <x v="0"/>
    <x v="0"/>
    <m/>
    <x v="0"/>
    <x v="0"/>
    <x v="0"/>
    <x v="0"/>
    <x v="0"/>
    <n v="0"/>
    <n v="0"/>
    <n v="0"/>
    <n v="12"/>
    <x v="1"/>
    <x v="0"/>
    <m/>
    <x v="0"/>
    <n v="245"/>
    <x v="0"/>
    <x v="29"/>
    <x v="0"/>
    <x v="0"/>
    <x v="0"/>
  </r>
  <r>
    <x v="0"/>
    <x v="12"/>
    <s v="279 R"/>
    <x v="266"/>
    <s v="ریفلیکٹ پیک"/>
    <s v="LDN"/>
    <n v="20"/>
    <s v="13-14"/>
    <s v="LDN"/>
    <n v="2000"/>
    <x v="0"/>
    <n v="3"/>
    <n v="303"/>
    <n v="8.5"/>
    <m/>
    <x v="0"/>
    <n v="294.5"/>
    <n v="2144.6"/>
    <m/>
    <x v="0"/>
    <x v="0"/>
    <n v="0"/>
    <n v="0"/>
    <x v="0"/>
    <x v="0"/>
    <m/>
    <x v="0"/>
    <x v="0"/>
    <x v="0"/>
    <x v="0"/>
    <x v="0"/>
    <n v="0"/>
    <n v="0"/>
    <n v="0"/>
    <n v="12"/>
    <x v="1"/>
    <x v="0"/>
    <m/>
    <x v="0"/>
    <n v="308"/>
    <x v="0"/>
    <x v="29"/>
    <x v="0"/>
    <x v="0"/>
    <x v="0"/>
  </r>
  <r>
    <x v="1"/>
    <x v="12"/>
    <s v="279 R"/>
    <x v="266"/>
    <s v="ریفلیکٹ پیک"/>
    <s v="LDN"/>
    <n v="20"/>
    <s v="13-14"/>
    <s v="LDN"/>
    <n v="2000"/>
    <x v="0"/>
    <n v="4"/>
    <n v="443.5"/>
    <n v="9.9"/>
    <m/>
    <x v="0"/>
    <n v="433.6"/>
    <n v="2144.6"/>
    <m/>
    <x v="0"/>
    <x v="0"/>
    <n v="0"/>
    <n v="0"/>
    <x v="0"/>
    <x v="0"/>
    <m/>
    <x v="0"/>
    <x v="0"/>
    <x v="0"/>
    <x v="0"/>
    <x v="0"/>
    <n v="0"/>
    <n v="0"/>
    <n v="0"/>
    <n v="12"/>
    <x v="1"/>
    <x v="0"/>
    <m/>
    <x v="0"/>
    <n v="448.5"/>
    <x v="0"/>
    <x v="29"/>
    <x v="0"/>
    <x v="0"/>
    <x v="0"/>
  </r>
  <r>
    <x v="0"/>
    <x v="14"/>
    <s v="7991 J"/>
    <x v="266"/>
    <s v="Berger Point Lahore"/>
    <s v="LD پیلا"/>
    <n v="18"/>
    <s v="-"/>
    <s v="LDM"/>
    <n v="2000"/>
    <x v="0"/>
    <n v="4"/>
    <n v="463"/>
    <n v="6.7"/>
    <m/>
    <x v="0"/>
    <n v="456.3"/>
    <n v="2085.8000000000002"/>
    <n v="30"/>
    <x v="0"/>
    <x v="0"/>
    <n v="30"/>
    <n v="0.5"/>
    <x v="0"/>
    <x v="0"/>
    <m/>
    <x v="0"/>
    <x v="0"/>
    <x v="0"/>
    <x v="0"/>
    <x v="0"/>
    <n v="0"/>
    <n v="0"/>
    <n v="0.5"/>
    <n v="11.5"/>
    <x v="1"/>
    <x v="0"/>
    <m/>
    <x v="0"/>
    <n v="468"/>
    <x v="0"/>
    <x v="29"/>
    <x v="0"/>
    <x v="0"/>
    <x v="0"/>
  </r>
  <r>
    <x v="0"/>
    <x v="14"/>
    <s v="8026 J"/>
    <x v="266"/>
    <s v="Khawaja Watch Center Lahore"/>
    <s v="LD کریم"/>
    <n v="20"/>
    <s v="20-20.5"/>
    <s v="LDM"/>
    <n v="100"/>
    <x v="0"/>
    <n v="2"/>
    <n v="109"/>
    <n v="3"/>
    <m/>
    <x v="0"/>
    <n v="106"/>
    <n v="106"/>
    <n v="6"/>
    <x v="0"/>
    <x v="0"/>
    <n v="6"/>
    <n v="0.1"/>
    <x v="0"/>
    <x v="0"/>
    <m/>
    <x v="0"/>
    <x v="0"/>
    <x v="0"/>
    <x v="0"/>
    <x v="0"/>
    <n v="0"/>
    <n v="0"/>
    <n v="0.1"/>
    <n v="11.9"/>
    <x v="1"/>
    <x v="0"/>
    <m/>
    <x v="0"/>
    <n v="114"/>
    <x v="0"/>
    <x v="29"/>
    <x v="0"/>
    <x v="0"/>
    <x v="0"/>
  </r>
  <r>
    <x v="0"/>
    <x v="14"/>
    <s v="8027 J"/>
    <x v="266"/>
    <s v="Khawaja Watch Center Lahore"/>
    <s v="LD کریم"/>
    <n v="23"/>
    <s v="20-20.5"/>
    <s v="LDM"/>
    <n v="100"/>
    <x v="0"/>
    <n v="2"/>
    <n v="118.1"/>
    <n v="6"/>
    <n v="85"/>
    <x v="0"/>
    <n v="112.1"/>
    <n v="112.1"/>
    <n v="40"/>
    <x v="0"/>
    <x v="0"/>
    <n v="40"/>
    <n v="0.66666666666666663"/>
    <x v="0"/>
    <x v="0"/>
    <m/>
    <x v="0"/>
    <x v="0"/>
    <x v="0"/>
    <x v="0"/>
    <x v="0"/>
    <n v="0"/>
    <n v="0"/>
    <n v="0.66666666666666663"/>
    <n v="11.333333333333334"/>
    <x v="1"/>
    <x v="0"/>
    <m/>
    <x v="0"/>
    <n v="123.1"/>
    <x v="0"/>
    <x v="29"/>
    <x v="0"/>
    <x v="0"/>
    <x v="0"/>
  </r>
  <r>
    <x v="1"/>
    <x v="14"/>
    <s v="8149 J"/>
    <x v="266"/>
    <s v="Sahibzada Printers Saray Norang"/>
    <s v="LD ڈارک کریم"/>
    <s v="10+3+3"/>
    <s v="7.5-8/15-16"/>
    <s v="LDM"/>
    <n v="110"/>
    <x v="0"/>
    <n v="3"/>
    <n v="107.5"/>
    <n v="3.5999999999999996"/>
    <n v="107"/>
    <x v="0"/>
    <n v="103.9"/>
    <n v="103.9"/>
    <n v="120"/>
    <x v="0"/>
    <x v="0"/>
    <n v="120"/>
    <n v="2"/>
    <x v="0"/>
    <x v="0"/>
    <m/>
    <x v="0"/>
    <x v="0"/>
    <x v="0"/>
    <x v="0"/>
    <x v="0"/>
    <n v="0"/>
    <n v="0"/>
    <n v="2"/>
    <n v="10"/>
    <x v="1"/>
    <x v="0"/>
    <m/>
    <x v="0"/>
    <n v="112.5"/>
    <x v="0"/>
    <x v="29"/>
    <x v="0"/>
    <x v="0"/>
    <x v="0"/>
  </r>
  <r>
    <x v="1"/>
    <x v="14"/>
    <s v="8146 J"/>
    <x v="266"/>
    <s v="Sahibzada Printers Saray Norang"/>
    <s v="LD پیرٹ گرین "/>
    <s v="12+3+3"/>
    <s v="7.5-8/15-16"/>
    <s v="LDM"/>
    <n v="110"/>
    <x v="0"/>
    <n v="3"/>
    <n v="118"/>
    <n v="4.1999999999999993"/>
    <m/>
    <x v="0"/>
    <n v="113.8"/>
    <n v="113.8"/>
    <m/>
    <x v="0"/>
    <x v="0"/>
    <n v="0"/>
    <n v="0"/>
    <x v="0"/>
    <x v="0"/>
    <m/>
    <x v="0"/>
    <x v="0"/>
    <x v="0"/>
    <x v="0"/>
    <x v="0"/>
    <n v="0"/>
    <n v="0"/>
    <n v="0"/>
    <n v="12"/>
    <x v="1"/>
    <x v="0"/>
    <m/>
    <x v="0"/>
    <n v="123"/>
    <x v="0"/>
    <x v="29"/>
    <x v="0"/>
    <x v="0"/>
    <x v="0"/>
  </r>
  <r>
    <x v="1"/>
    <x v="14"/>
    <s v="8147 J"/>
    <x v="266"/>
    <s v="Sahibzada Printers Saray Norang"/>
    <s v="LD  ریڈ"/>
    <s v="12+3+3"/>
    <s v="7.5-8/15-16"/>
    <s v="LDM"/>
    <n v="110"/>
    <x v="0"/>
    <n v="3"/>
    <n v="113"/>
    <n v="3.4"/>
    <m/>
    <x v="0"/>
    <n v="109.6"/>
    <n v="109.6"/>
    <m/>
    <x v="0"/>
    <x v="0"/>
    <n v="0"/>
    <n v="0"/>
    <x v="0"/>
    <x v="0"/>
    <m/>
    <x v="0"/>
    <x v="0"/>
    <x v="0"/>
    <x v="0"/>
    <x v="0"/>
    <n v="0"/>
    <n v="0"/>
    <n v="0"/>
    <n v="12"/>
    <x v="1"/>
    <x v="0"/>
    <m/>
    <x v="0"/>
    <n v="118"/>
    <x v="0"/>
    <x v="29"/>
    <x v="0"/>
    <x v="0"/>
    <x v="0"/>
  </r>
  <r>
    <x v="1"/>
    <x v="14"/>
    <s v="8148 J"/>
    <x v="266"/>
    <s v="Sahibzada Printers Saray Norang"/>
    <s v="LD ڈارک سی گرین"/>
    <s v="12+3+3"/>
    <s v="7.5-8/15-16"/>
    <s v="LDM"/>
    <n v="110"/>
    <x v="0"/>
    <n v="3"/>
    <n v="110.5"/>
    <n v="4.1999999999999993"/>
    <m/>
    <x v="0"/>
    <n v="106.3"/>
    <n v="106.3"/>
    <m/>
    <x v="0"/>
    <x v="0"/>
    <n v="0"/>
    <n v="0"/>
    <x v="0"/>
    <x v="0"/>
    <m/>
    <x v="0"/>
    <x v="0"/>
    <x v="0"/>
    <x v="0"/>
    <x v="0"/>
    <n v="0"/>
    <n v="0"/>
    <n v="0"/>
    <n v="12"/>
    <x v="1"/>
    <x v="0"/>
    <m/>
    <x v="0"/>
    <n v="115.5"/>
    <x v="0"/>
    <x v="29"/>
    <x v="0"/>
    <x v="0"/>
    <x v="0"/>
  </r>
  <r>
    <x v="1"/>
    <x v="14"/>
    <s v="8059 J"/>
    <x v="266"/>
    <s v="Waqas Wollan Mills Gujranwala"/>
    <s v="LD پیلا"/>
    <n v="16"/>
    <s v="10-10.5"/>
    <s v="LDM"/>
    <n v="100"/>
    <x v="0"/>
    <n v="2"/>
    <n v="53"/>
    <n v="3"/>
    <m/>
    <x v="0"/>
    <n v="50"/>
    <n v="98.6"/>
    <m/>
    <x v="0"/>
    <x v="0"/>
    <n v="0"/>
    <n v="0"/>
    <x v="0"/>
    <x v="0"/>
    <m/>
    <x v="0"/>
    <x v="0"/>
    <x v="0"/>
    <x v="0"/>
    <x v="0"/>
    <n v="0"/>
    <n v="0"/>
    <n v="0"/>
    <n v="12"/>
    <x v="1"/>
    <x v="0"/>
    <m/>
    <x v="0"/>
    <n v="58"/>
    <x v="0"/>
    <x v="29"/>
    <x v="0"/>
    <x v="0"/>
    <x v="0"/>
  </r>
  <r>
    <x v="0"/>
    <x v="15"/>
    <s v="2865/1"/>
    <x v="266"/>
    <s v="MATCO FOOD"/>
    <s v="LDN"/>
    <s v="22.5-23"/>
    <s v="70±2"/>
    <s v="LDN"/>
    <n v="4200"/>
    <x v="0"/>
    <n v="5"/>
    <n v="537.5"/>
    <n v="13.5"/>
    <m/>
    <x v="0"/>
    <n v="524"/>
    <n v="1459.58"/>
    <m/>
    <x v="0"/>
    <x v="0"/>
    <n v="0"/>
    <n v="0"/>
    <x v="0"/>
    <x v="0"/>
    <m/>
    <x v="0"/>
    <x v="0"/>
    <x v="0"/>
    <x v="0"/>
    <x v="0"/>
    <n v="0"/>
    <n v="0"/>
    <n v="0"/>
    <n v="12"/>
    <x v="1"/>
    <x v="0"/>
    <m/>
    <x v="0"/>
    <n v="542.5"/>
    <x v="0"/>
    <x v="29"/>
    <x v="0"/>
    <x v="0"/>
    <x v="0"/>
  </r>
  <r>
    <x v="1"/>
    <x v="15"/>
    <s v="3091 F"/>
    <x v="266"/>
    <s v="Usman Amin"/>
    <s v="LDN"/>
    <n v="18.5"/>
    <s v="8"/>
    <s v="LDN"/>
    <n v="250"/>
    <x v="0"/>
    <n v="6"/>
    <n v="360.5"/>
    <n v="12.600000000000001"/>
    <m/>
    <x v="0"/>
    <n v="347.9"/>
    <n v="347.9"/>
    <m/>
    <x v="0"/>
    <x v="0"/>
    <n v="0"/>
    <n v="0"/>
    <x v="0"/>
    <x v="0"/>
    <m/>
    <x v="0"/>
    <x v="0"/>
    <x v="0"/>
    <x v="0"/>
    <x v="0"/>
    <n v="0"/>
    <n v="0"/>
    <n v="0"/>
    <n v="12"/>
    <x v="1"/>
    <x v="0"/>
    <m/>
    <x v="0"/>
    <n v="365.5"/>
    <x v="0"/>
    <x v="29"/>
    <x v="0"/>
    <x v="0"/>
    <x v="0"/>
  </r>
  <r>
    <x v="0"/>
    <x v="8"/>
    <s v="8218 J"/>
    <x v="267"/>
    <s v="Jilani Poly Stock"/>
    <s v="LDN"/>
    <n v="7"/>
    <n v="10"/>
    <s v="LDN"/>
    <s v="-"/>
    <x v="0"/>
    <n v="3"/>
    <n v="120.7"/>
    <n v="2.4000000000000004"/>
    <n v="2"/>
    <x v="0"/>
    <n v="118.3"/>
    <n v="715.5"/>
    <m/>
    <x v="0"/>
    <x v="0"/>
    <n v="0"/>
    <n v="0"/>
    <x v="0"/>
    <x v="0"/>
    <m/>
    <x v="0"/>
    <x v="0"/>
    <x v="0"/>
    <x v="0"/>
    <x v="0"/>
    <n v="0"/>
    <n v="0"/>
    <n v="0"/>
    <n v="12"/>
    <x v="1"/>
    <x v="0"/>
    <m/>
    <x v="0"/>
    <n v="125.7"/>
    <x v="0"/>
    <x v="29"/>
    <x v="0"/>
    <x v="0"/>
    <x v="0"/>
  </r>
  <r>
    <x v="1"/>
    <x v="8"/>
    <s v="8218 J"/>
    <x v="267"/>
    <s v="Jilani Poly Stock"/>
    <s v="LDN"/>
    <n v="7"/>
    <n v="10"/>
    <s v="LDN"/>
    <s v="-"/>
    <x v="0"/>
    <n v="3"/>
    <n v="130.6"/>
    <n v="2.6"/>
    <n v="1"/>
    <x v="0"/>
    <n v="128"/>
    <n v="715.5"/>
    <m/>
    <x v="0"/>
    <x v="0"/>
    <n v="0"/>
    <n v="0"/>
    <x v="0"/>
    <x v="0"/>
    <m/>
    <x v="0"/>
    <x v="0"/>
    <x v="0"/>
    <x v="0"/>
    <x v="0"/>
    <n v="0"/>
    <n v="0"/>
    <n v="0"/>
    <n v="12"/>
    <x v="1"/>
    <x v="0"/>
    <m/>
    <x v="0"/>
    <n v="135.6"/>
    <x v="0"/>
    <x v="29"/>
    <x v="0"/>
    <x v="0"/>
    <x v="0"/>
  </r>
  <r>
    <x v="0"/>
    <x v="9"/>
    <s v="280 R"/>
    <x v="267"/>
    <s v="ریفلیکٹ پیک"/>
    <s v="LDN"/>
    <n v="15"/>
    <s v="12.5-13"/>
    <s v="LDN"/>
    <n v="1000"/>
    <x v="0"/>
    <n v="3"/>
    <n v="196.45"/>
    <n v="5.0999999999999996"/>
    <n v="2"/>
    <x v="0"/>
    <n v="191.35"/>
    <n v="1016.2"/>
    <m/>
    <x v="0"/>
    <x v="0"/>
    <n v="0"/>
    <n v="0"/>
    <x v="0"/>
    <x v="0"/>
    <m/>
    <x v="0"/>
    <x v="0"/>
    <x v="0"/>
    <x v="0"/>
    <x v="0"/>
    <n v="0"/>
    <n v="0"/>
    <n v="0"/>
    <n v="12"/>
    <x v="1"/>
    <x v="0"/>
    <m/>
    <x v="0"/>
    <n v="201.45"/>
    <x v="0"/>
    <x v="29"/>
    <x v="0"/>
    <x v="0"/>
    <x v="0"/>
  </r>
  <r>
    <x v="1"/>
    <x v="9"/>
    <s v="280 R"/>
    <x v="267"/>
    <s v="ریفلیکٹ پیک"/>
    <s v="LDN"/>
    <n v="15"/>
    <s v="12.5-13"/>
    <s v="LDN"/>
    <n v="1000"/>
    <x v="0"/>
    <n v="3"/>
    <n v="211"/>
    <n v="5.0999999999999996"/>
    <m/>
    <x v="0"/>
    <n v="205.9"/>
    <n v="1016.2"/>
    <m/>
    <x v="0"/>
    <x v="0"/>
    <n v="0"/>
    <n v="0"/>
    <x v="0"/>
    <x v="0"/>
    <m/>
    <x v="0"/>
    <x v="0"/>
    <x v="0"/>
    <x v="0"/>
    <x v="0"/>
    <n v="0"/>
    <n v="0"/>
    <n v="0"/>
    <n v="12"/>
    <x v="1"/>
    <x v="0"/>
    <m/>
    <x v="0"/>
    <n v="216"/>
    <x v="0"/>
    <x v="29"/>
    <x v="0"/>
    <x v="0"/>
    <x v="0"/>
  </r>
  <r>
    <x v="0"/>
    <x v="13"/>
    <s v="3048 F"/>
    <x v="267"/>
    <s v="Usman Amin"/>
    <s v="LDN"/>
    <n v="17"/>
    <s v="7"/>
    <s v="LDN"/>
    <n v="600"/>
    <x v="0"/>
    <n v="5"/>
    <n v="386.5"/>
    <n v="7.3"/>
    <n v="5"/>
    <x v="0"/>
    <n v="379.2"/>
    <n v="721.40000000000009"/>
    <m/>
    <x v="0"/>
    <x v="0"/>
    <n v="0"/>
    <n v="0"/>
    <x v="0"/>
    <x v="0"/>
    <m/>
    <x v="0"/>
    <x v="0"/>
    <x v="0"/>
    <x v="0"/>
    <x v="0"/>
    <n v="0"/>
    <n v="0"/>
    <n v="0"/>
    <n v="12"/>
    <x v="1"/>
    <x v="0"/>
    <m/>
    <x v="0"/>
    <n v="391.5"/>
    <x v="0"/>
    <x v="29"/>
    <x v="0"/>
    <x v="0"/>
    <x v="0"/>
  </r>
  <r>
    <x v="1"/>
    <x v="13"/>
    <s v="8025 J"/>
    <x v="267"/>
    <s v="H.A Industry Peshawar"/>
    <s v="LDN"/>
    <n v="22"/>
    <s v="-"/>
    <s v="LDN"/>
    <n v="1000"/>
    <x v="0"/>
    <n v="4"/>
    <n v="280.5"/>
    <n v="8"/>
    <n v="4"/>
    <x v="0"/>
    <n v="272.5"/>
    <n v="1057.5"/>
    <m/>
    <x v="0"/>
    <x v="0"/>
    <n v="0"/>
    <n v="0"/>
    <x v="0"/>
    <x v="0"/>
    <m/>
    <x v="0"/>
    <x v="0"/>
    <x v="0"/>
    <x v="0"/>
    <x v="0"/>
    <n v="0"/>
    <n v="0"/>
    <n v="0"/>
    <n v="12"/>
    <x v="1"/>
    <x v="0"/>
    <m/>
    <x v="0"/>
    <n v="285.5"/>
    <x v="0"/>
    <x v="29"/>
    <x v="0"/>
    <x v="0"/>
    <x v="0"/>
  </r>
  <r>
    <x v="1"/>
    <x v="13"/>
    <s v="3048 F"/>
    <x v="267"/>
    <s v="Usman Amin"/>
    <s v="LDN"/>
    <n v="17"/>
    <s v="7"/>
    <s v="LDN"/>
    <n v="600"/>
    <x v="0"/>
    <n v="1"/>
    <n v="95.9"/>
    <n v="1.7"/>
    <m/>
    <x v="0"/>
    <n v="94.2"/>
    <n v="721.40000000000009"/>
    <m/>
    <x v="0"/>
    <x v="0"/>
    <n v="0"/>
    <n v="0"/>
    <x v="0"/>
    <x v="0"/>
    <m/>
    <x v="0"/>
    <x v="0"/>
    <x v="0"/>
    <x v="0"/>
    <x v="0"/>
    <n v="0"/>
    <n v="0"/>
    <n v="0"/>
    <n v="12"/>
    <x v="1"/>
    <x v="0"/>
    <m/>
    <x v="0"/>
    <n v="100.9"/>
    <x v="0"/>
    <x v="29"/>
    <x v="0"/>
    <x v="0"/>
    <x v="0"/>
  </r>
  <r>
    <x v="0"/>
    <x v="11"/>
    <s v="8135 J"/>
    <x v="267"/>
    <s v="Service Industry Gujrat"/>
    <s v="LDM"/>
    <s v="428 MM"/>
    <s v="-"/>
    <s v="LDM"/>
    <n v="400"/>
    <x v="0"/>
    <n v="4"/>
    <n v="262.60000000000002"/>
    <n v="10"/>
    <m/>
    <x v="0"/>
    <n v="252.60000000000002"/>
    <n v="252.60000000000002"/>
    <m/>
    <x v="0"/>
    <x v="0"/>
    <n v="0"/>
    <n v="0"/>
    <x v="0"/>
    <x v="0"/>
    <m/>
    <x v="0"/>
    <x v="0"/>
    <x v="0"/>
    <x v="0"/>
    <x v="0"/>
    <n v="0"/>
    <n v="0"/>
    <n v="0"/>
    <n v="12"/>
    <x v="1"/>
    <x v="0"/>
    <m/>
    <x v="0"/>
    <n v="267.60000000000002"/>
    <x v="0"/>
    <x v="29"/>
    <x v="0"/>
    <x v="0"/>
    <x v="0"/>
  </r>
  <r>
    <x v="0"/>
    <x v="11"/>
    <s v="8134 J"/>
    <x v="267"/>
    <s v="Service Industry Gujrat"/>
    <s v="LDM"/>
    <s v="428 MM"/>
    <s v="-"/>
    <s v="LDM"/>
    <n v="400"/>
    <x v="0"/>
    <n v="1"/>
    <n v="86"/>
    <n v="2.2000000000000002"/>
    <n v="5"/>
    <x v="0"/>
    <n v="83.8"/>
    <n v="283.2"/>
    <m/>
    <x v="0"/>
    <x v="0"/>
    <n v="0"/>
    <n v="0"/>
    <x v="0"/>
    <x v="0"/>
    <m/>
    <x v="0"/>
    <x v="0"/>
    <x v="0"/>
    <x v="0"/>
    <x v="0"/>
    <n v="0"/>
    <n v="0"/>
    <n v="0"/>
    <n v="12"/>
    <x v="1"/>
    <x v="0"/>
    <m/>
    <x v="0"/>
    <n v="91"/>
    <x v="0"/>
    <x v="29"/>
    <x v="0"/>
    <x v="0"/>
    <x v="0"/>
  </r>
  <r>
    <x v="1"/>
    <x v="11"/>
    <s v="8134 J"/>
    <x v="267"/>
    <s v="Service Industry Gujrat"/>
    <s v="LDM"/>
    <s v="428 MM"/>
    <s v="-"/>
    <s v="LDM"/>
    <n v="400"/>
    <x v="0"/>
    <n v="3"/>
    <n v="206"/>
    <n v="6.6000000000000005"/>
    <n v="25"/>
    <x v="0"/>
    <n v="199.4"/>
    <n v="283.2"/>
    <n v="5"/>
    <x v="0"/>
    <x v="0"/>
    <n v="5"/>
    <n v="8.3333333333333329E-2"/>
    <x v="0"/>
    <x v="0"/>
    <m/>
    <x v="0"/>
    <x v="0"/>
    <x v="0"/>
    <x v="1"/>
    <x v="0"/>
    <n v="40"/>
    <n v="0.66666666666666663"/>
    <n v="0.75"/>
    <n v="11.25"/>
    <x v="1"/>
    <x v="0"/>
    <m/>
    <x v="0"/>
    <n v="211"/>
    <x v="0"/>
    <x v="29"/>
    <x v="0"/>
    <x v="0"/>
    <x v="0"/>
  </r>
  <r>
    <x v="1"/>
    <x v="11"/>
    <s v="1150 J"/>
    <x v="267"/>
    <s v="THANK YOU"/>
    <m/>
    <n v="18"/>
    <s v="11-12"/>
    <m/>
    <m/>
    <x v="0"/>
    <n v="1"/>
    <n v="61.5"/>
    <n v="1.8"/>
    <m/>
    <x v="0"/>
    <n v="59.7"/>
    <n v="1647.44"/>
    <m/>
    <x v="0"/>
    <x v="0"/>
    <n v="0"/>
    <n v="0"/>
    <x v="0"/>
    <x v="0"/>
    <m/>
    <x v="0"/>
    <x v="0"/>
    <x v="0"/>
    <x v="0"/>
    <x v="0"/>
    <n v="0"/>
    <n v="0"/>
    <n v="0"/>
    <n v="12"/>
    <x v="1"/>
    <x v="0"/>
    <m/>
    <x v="0"/>
    <n v="66.5"/>
    <x v="0"/>
    <x v="29"/>
    <x v="0"/>
    <x v="0"/>
    <x v="0"/>
  </r>
  <r>
    <x v="1"/>
    <x v="11"/>
    <s v="8120 J"/>
    <x v="267"/>
    <s v="A.K Shopping Bag Multan"/>
    <s v="LDM"/>
    <n v="18"/>
    <s v="11-12"/>
    <s v="LDM"/>
    <n v="100"/>
    <x v="0"/>
    <n v="1"/>
    <n v="88.5"/>
    <n v="2.2000000000000002"/>
    <m/>
    <x v="0"/>
    <n v="86.3"/>
    <n v="164.9"/>
    <m/>
    <x v="0"/>
    <x v="0"/>
    <n v="0"/>
    <n v="0"/>
    <x v="0"/>
    <x v="0"/>
    <m/>
    <x v="0"/>
    <x v="0"/>
    <x v="0"/>
    <x v="0"/>
    <x v="0"/>
    <n v="0"/>
    <n v="0"/>
    <n v="0"/>
    <n v="12"/>
    <x v="1"/>
    <x v="0"/>
    <m/>
    <x v="0"/>
    <n v="93.5"/>
    <x v="0"/>
    <x v="29"/>
    <x v="0"/>
    <x v="0"/>
    <x v="0"/>
  </r>
  <r>
    <x v="0"/>
    <x v="12"/>
    <s v="279 R"/>
    <x v="267"/>
    <s v="ریفلیکٹ پیک"/>
    <s v="LDN"/>
    <n v="20"/>
    <s v="13-14"/>
    <s v="LDN"/>
    <n v="2000"/>
    <x v="0"/>
    <n v="5"/>
    <n v="632.5"/>
    <n v="12.5"/>
    <m/>
    <x v="0"/>
    <n v="620"/>
    <n v="2144.6"/>
    <m/>
    <x v="0"/>
    <x v="0"/>
    <n v="0"/>
    <n v="0"/>
    <x v="0"/>
    <x v="0"/>
    <m/>
    <x v="0"/>
    <x v="0"/>
    <x v="0"/>
    <x v="0"/>
    <x v="0"/>
    <n v="0"/>
    <n v="0"/>
    <n v="0"/>
    <n v="12"/>
    <x v="1"/>
    <x v="0"/>
    <m/>
    <x v="0"/>
    <n v="637.5"/>
    <x v="0"/>
    <x v="29"/>
    <x v="0"/>
    <x v="0"/>
    <x v="0"/>
  </r>
  <r>
    <x v="1"/>
    <x v="12"/>
    <s v="279 R"/>
    <x v="267"/>
    <s v="ریفلیکٹ پیک"/>
    <s v="LDN"/>
    <n v="20"/>
    <s v="13-14"/>
    <s v="LDN"/>
    <n v="2000"/>
    <x v="0"/>
    <n v="5"/>
    <n v="592"/>
    <n v="12.5"/>
    <m/>
    <x v="0"/>
    <n v="579.5"/>
    <n v="2144.6"/>
    <m/>
    <x v="0"/>
    <x v="0"/>
    <n v="0"/>
    <n v="0"/>
    <x v="0"/>
    <x v="0"/>
    <m/>
    <x v="0"/>
    <x v="0"/>
    <x v="0"/>
    <x v="0"/>
    <x v="0"/>
    <n v="0"/>
    <n v="0"/>
    <n v="0"/>
    <n v="12"/>
    <x v="1"/>
    <x v="0"/>
    <m/>
    <x v="0"/>
    <n v="597"/>
    <x v="0"/>
    <x v="29"/>
    <x v="0"/>
    <x v="0"/>
    <x v="0"/>
  </r>
  <r>
    <x v="0"/>
    <x v="14"/>
    <s v="8059 J"/>
    <x v="267"/>
    <s v="Waqas Wollan Mills Gujranwala"/>
    <s v="LD پیلا"/>
    <n v="16"/>
    <s v="10-10.5"/>
    <s v="LDM"/>
    <n v="100"/>
    <x v="0"/>
    <n v="1"/>
    <n v="50"/>
    <n v="1.4"/>
    <m/>
    <x v="0"/>
    <n v="48.6"/>
    <n v="98.6"/>
    <m/>
    <x v="0"/>
    <x v="0"/>
    <n v="0"/>
    <n v="0"/>
    <x v="0"/>
    <x v="0"/>
    <m/>
    <x v="0"/>
    <x v="0"/>
    <x v="0"/>
    <x v="0"/>
    <x v="0"/>
    <n v="0"/>
    <n v="0"/>
    <n v="0"/>
    <n v="12"/>
    <x v="1"/>
    <x v="0"/>
    <m/>
    <x v="0"/>
    <n v="55"/>
    <x v="0"/>
    <x v="29"/>
    <x v="0"/>
    <x v="0"/>
    <x v="0"/>
  </r>
  <r>
    <x v="0"/>
    <x v="14"/>
    <s v="7719 J"/>
    <x v="267"/>
    <s v="Raza Ladies Garments LHR"/>
    <s v="LDM"/>
    <n v="20"/>
    <s v="14-15"/>
    <s v="LDM"/>
    <n v="100"/>
    <x v="0"/>
    <n v="1"/>
    <n v="72.5"/>
    <n v="2.4"/>
    <m/>
    <x v="0"/>
    <n v="70.099999999999994"/>
    <n v="186.1"/>
    <m/>
    <x v="0"/>
    <x v="0"/>
    <n v="0"/>
    <n v="0"/>
    <x v="0"/>
    <x v="0"/>
    <m/>
    <x v="0"/>
    <x v="0"/>
    <x v="0"/>
    <x v="0"/>
    <x v="0"/>
    <n v="0"/>
    <n v="0"/>
    <n v="0"/>
    <n v="12"/>
    <x v="1"/>
    <x v="0"/>
    <m/>
    <x v="0"/>
    <n v="77.5"/>
    <x v="0"/>
    <x v="29"/>
    <x v="0"/>
    <x v="0"/>
    <x v="0"/>
  </r>
  <r>
    <x v="0"/>
    <x v="14"/>
    <m/>
    <x v="267"/>
    <s v="-"/>
    <m/>
    <m/>
    <m/>
    <m/>
    <m/>
    <x v="0"/>
    <n v="4"/>
    <n v="483.20000000000005"/>
    <n v="11.2"/>
    <n v="120"/>
    <x v="0"/>
    <n v="472.00000000000006"/>
    <n v="0"/>
    <m/>
    <x v="0"/>
    <x v="0"/>
    <n v="0"/>
    <n v="0"/>
    <x v="0"/>
    <x v="0"/>
    <m/>
    <x v="0"/>
    <x v="0"/>
    <x v="0"/>
    <x v="0"/>
    <x v="0"/>
    <n v="0"/>
    <n v="0"/>
    <n v="0"/>
    <n v="12"/>
    <x v="1"/>
    <x v="0"/>
    <m/>
    <x v="0"/>
    <n v="488.20000000000005"/>
    <x v="0"/>
    <x v="29"/>
    <x v="0"/>
    <x v="0"/>
    <x v="0"/>
  </r>
  <r>
    <x v="1"/>
    <x v="14"/>
    <s v="2866/1"/>
    <x v="267"/>
    <s v="MATCO FOOD"/>
    <s v="LDN"/>
    <s v="28-28.5"/>
    <s v="85±2"/>
    <s v="LDN"/>
    <n v="935"/>
    <x v="0"/>
    <n v="2"/>
    <n v="228.5"/>
    <n v="7"/>
    <n v="29"/>
    <x v="0"/>
    <n v="221.5"/>
    <n v="579.9"/>
    <n v="10"/>
    <x v="0"/>
    <x v="0"/>
    <n v="10"/>
    <n v="0.16666666666666666"/>
    <x v="0"/>
    <x v="0"/>
    <m/>
    <x v="0"/>
    <x v="0"/>
    <x v="0"/>
    <x v="2"/>
    <x v="0"/>
    <n v="50"/>
    <n v="0.83333333333333337"/>
    <n v="1"/>
    <n v="11"/>
    <x v="1"/>
    <x v="0"/>
    <m/>
    <x v="0"/>
    <n v="233.5"/>
    <x v="0"/>
    <x v="29"/>
    <x v="0"/>
    <x v="0"/>
    <x v="0"/>
  </r>
  <r>
    <x v="1"/>
    <x v="14"/>
    <s v="7947 J"/>
    <x v="267"/>
    <s v="Alam Baker Shahdrah"/>
    <s v="LDN"/>
    <s v="28 شیٹ"/>
    <s v="4-4.5/8-9"/>
    <s v="LDN"/>
    <n v="100"/>
    <x v="0"/>
    <n v="2"/>
    <n v="113"/>
    <n v="4"/>
    <m/>
    <x v="0"/>
    <n v="109"/>
    <n v="109"/>
    <n v="5"/>
    <x v="0"/>
    <x v="0"/>
    <n v="5"/>
    <n v="8.3333333333333329E-2"/>
    <x v="0"/>
    <x v="0"/>
    <m/>
    <x v="0"/>
    <x v="0"/>
    <x v="0"/>
    <x v="0"/>
    <x v="0"/>
    <n v="0"/>
    <n v="0"/>
    <n v="8.3333333333333329E-2"/>
    <n v="11.916666666666666"/>
    <x v="1"/>
    <x v="0"/>
    <m/>
    <x v="0"/>
    <n v="118"/>
    <x v="0"/>
    <x v="29"/>
    <x v="0"/>
    <x v="0"/>
    <x v="0"/>
  </r>
  <r>
    <x v="1"/>
    <x v="14"/>
    <s v="8107 J"/>
    <x v="267"/>
    <s v="High Class Bakers Gujrat"/>
    <s v="LDN"/>
    <s v="28 شیٹ"/>
    <s v="4-4.5/8-9"/>
    <s v="LDN"/>
    <n v="150"/>
    <x v="0"/>
    <n v="2"/>
    <n v="166"/>
    <n v="5"/>
    <m/>
    <x v="0"/>
    <n v="161"/>
    <n v="161"/>
    <m/>
    <x v="0"/>
    <x v="0"/>
    <n v="0"/>
    <n v="0"/>
    <x v="0"/>
    <x v="0"/>
    <m/>
    <x v="0"/>
    <x v="0"/>
    <x v="0"/>
    <x v="0"/>
    <x v="0"/>
    <n v="0"/>
    <n v="0"/>
    <n v="0"/>
    <n v="12"/>
    <x v="1"/>
    <x v="0"/>
    <m/>
    <x v="0"/>
    <n v="171"/>
    <x v="0"/>
    <x v="29"/>
    <x v="0"/>
    <x v="0"/>
    <x v="0"/>
  </r>
  <r>
    <x v="1"/>
    <x v="14"/>
    <s v="7897 J"/>
    <x v="267"/>
    <s v="Rehan Butt Anarkali Lahore"/>
    <s v="LDN"/>
    <s v="28 شیٹ"/>
    <s v="-"/>
    <s v="LDN"/>
    <n v="100"/>
    <x v="0"/>
    <n v="2"/>
    <n v="117"/>
    <n v="8"/>
    <m/>
    <x v="0"/>
    <n v="109"/>
    <n v="109"/>
    <m/>
    <x v="0"/>
    <x v="0"/>
    <n v="0"/>
    <n v="0"/>
    <x v="0"/>
    <x v="0"/>
    <m/>
    <x v="0"/>
    <x v="0"/>
    <x v="0"/>
    <x v="0"/>
    <x v="0"/>
    <n v="0"/>
    <n v="0"/>
    <n v="0"/>
    <n v="12"/>
    <x v="1"/>
    <x v="0"/>
    <m/>
    <x v="0"/>
    <n v="122"/>
    <x v="0"/>
    <x v="29"/>
    <x v="0"/>
    <x v="0"/>
    <x v="0"/>
  </r>
  <r>
    <x v="0"/>
    <x v="15"/>
    <s v="3092 F"/>
    <x v="267"/>
    <s v="Usman Amin"/>
    <s v="LDN"/>
    <n v="14.5"/>
    <s v="8"/>
    <s v="LDN"/>
    <n v="150"/>
    <x v="0"/>
    <n v="2"/>
    <n v="89.5"/>
    <n v="3.4"/>
    <m/>
    <x v="0"/>
    <n v="86.1"/>
    <n v="86.1"/>
    <m/>
    <x v="0"/>
    <x v="0"/>
    <n v="0"/>
    <n v="0"/>
    <x v="0"/>
    <x v="0"/>
    <m/>
    <x v="0"/>
    <x v="0"/>
    <x v="0"/>
    <x v="0"/>
    <x v="0"/>
    <n v="0"/>
    <n v="0"/>
    <n v="0"/>
    <n v="12"/>
    <x v="1"/>
    <x v="0"/>
    <m/>
    <x v="0"/>
    <n v="94.5"/>
    <x v="0"/>
    <x v="29"/>
    <x v="0"/>
    <x v="0"/>
    <x v="0"/>
  </r>
  <r>
    <x v="0"/>
    <x v="15"/>
    <s v="3069 F"/>
    <x v="267"/>
    <s v="Usman Amin"/>
    <s v="LDN"/>
    <n v="17"/>
    <s v="12"/>
    <s v="LDN"/>
    <n v="600"/>
    <x v="0"/>
    <n v="4"/>
    <n v="257.5"/>
    <n v="7.9"/>
    <n v="3"/>
    <x v="0"/>
    <n v="249.6"/>
    <n v="870.1"/>
    <m/>
    <x v="0"/>
    <x v="0"/>
    <n v="0"/>
    <n v="0"/>
    <x v="0"/>
    <x v="0"/>
    <m/>
    <x v="0"/>
    <x v="0"/>
    <x v="0"/>
    <x v="0"/>
    <x v="0"/>
    <n v="0"/>
    <n v="0"/>
    <n v="0"/>
    <n v="12"/>
    <x v="1"/>
    <x v="0"/>
    <m/>
    <x v="0"/>
    <n v="262.5"/>
    <x v="0"/>
    <x v="29"/>
    <x v="0"/>
    <x v="0"/>
    <x v="0"/>
  </r>
  <r>
    <x v="1"/>
    <x v="15"/>
    <s v="3033 F"/>
    <x v="267"/>
    <s v="Usman Amin"/>
    <s v="LDN"/>
    <n v="17.25"/>
    <s v="8.5-9"/>
    <s v="LDN"/>
    <n v="1000"/>
    <x v="0"/>
    <n v="6"/>
    <n v="381.4"/>
    <n v="13.200000000000001"/>
    <n v="4"/>
    <x v="0"/>
    <n v="368.2"/>
    <n v="1686.3"/>
    <m/>
    <x v="0"/>
    <x v="0"/>
    <n v="0"/>
    <n v="0"/>
    <x v="0"/>
    <x v="0"/>
    <m/>
    <x v="0"/>
    <x v="0"/>
    <x v="0"/>
    <x v="0"/>
    <x v="0"/>
    <n v="0"/>
    <n v="0"/>
    <n v="0"/>
    <n v="12"/>
    <x v="1"/>
    <x v="0"/>
    <m/>
    <x v="0"/>
    <n v="386.4"/>
    <x v="0"/>
    <x v="29"/>
    <x v="0"/>
    <x v="0"/>
    <x v="0"/>
  </r>
  <r>
    <x v="0"/>
    <x v="8"/>
    <s v="8218 J"/>
    <x v="268"/>
    <s v="Jilani Poly Stock"/>
    <s v="LDN"/>
    <n v="7"/>
    <n v="10"/>
    <s v="LDN"/>
    <s v="-"/>
    <x v="0"/>
    <n v="3"/>
    <n v="131.5"/>
    <n v="2.5"/>
    <n v="2"/>
    <x v="0"/>
    <n v="129"/>
    <n v="715.5"/>
    <m/>
    <x v="0"/>
    <x v="0"/>
    <n v="0"/>
    <n v="0"/>
    <x v="0"/>
    <x v="0"/>
    <m/>
    <x v="0"/>
    <x v="0"/>
    <x v="0"/>
    <x v="0"/>
    <x v="0"/>
    <n v="0"/>
    <n v="0"/>
    <n v="0"/>
    <n v="12"/>
    <x v="1"/>
    <x v="0"/>
    <m/>
    <x v="0"/>
    <n v="136.5"/>
    <x v="0"/>
    <x v="30"/>
    <x v="0"/>
    <x v="0"/>
    <x v="0"/>
  </r>
  <r>
    <x v="1"/>
    <x v="8"/>
    <s v="8218 J"/>
    <x v="268"/>
    <s v="Jilani Poly Stock"/>
    <s v="LDN"/>
    <n v="7"/>
    <n v="10"/>
    <s v="LDN"/>
    <s v="-"/>
    <x v="0"/>
    <n v="3"/>
    <n v="147.9"/>
    <n v="2.7"/>
    <n v="2"/>
    <x v="0"/>
    <n v="145.20000000000002"/>
    <n v="715.5"/>
    <m/>
    <x v="0"/>
    <x v="0"/>
    <n v="0"/>
    <n v="0"/>
    <x v="0"/>
    <x v="0"/>
    <m/>
    <x v="0"/>
    <x v="0"/>
    <x v="0"/>
    <x v="0"/>
    <x v="0"/>
    <n v="0"/>
    <n v="0"/>
    <n v="0"/>
    <n v="12"/>
    <x v="1"/>
    <x v="0"/>
    <m/>
    <x v="0"/>
    <n v="152.9"/>
    <x v="0"/>
    <x v="30"/>
    <x v="0"/>
    <x v="0"/>
    <x v="0"/>
  </r>
  <r>
    <x v="0"/>
    <x v="9"/>
    <s v="280 R"/>
    <x v="268"/>
    <s v="ریفلیکٹ پیک"/>
    <s v="LDN"/>
    <n v="15"/>
    <s v="12.5-13"/>
    <s v="LDN"/>
    <n v="1000"/>
    <x v="0"/>
    <n v="2"/>
    <n v="152"/>
    <n v="3.7"/>
    <m/>
    <x v="0"/>
    <n v="148.30000000000001"/>
    <n v="1016.2"/>
    <n v="2"/>
    <x v="0"/>
    <x v="0"/>
    <n v="2"/>
    <n v="3.3333333333333333E-2"/>
    <x v="0"/>
    <x v="0"/>
    <m/>
    <x v="0"/>
    <x v="0"/>
    <x v="0"/>
    <x v="0"/>
    <x v="0"/>
    <n v="0"/>
    <n v="0"/>
    <n v="3.3333333333333333E-2"/>
    <n v="11.966666666666667"/>
    <x v="1"/>
    <x v="0"/>
    <m/>
    <x v="0"/>
    <n v="157"/>
    <x v="0"/>
    <x v="30"/>
    <x v="0"/>
    <x v="0"/>
    <x v="0"/>
  </r>
  <r>
    <x v="0"/>
    <x v="9"/>
    <s v="8174 J"/>
    <x v="268"/>
    <s v="Al Shaheer Foods Corporation LTD"/>
    <s v="LDN"/>
    <n v="16"/>
    <s v="10.5-11"/>
    <s v="LDN"/>
    <n v="250"/>
    <x v="0"/>
    <n v="1"/>
    <n v="56.5"/>
    <n v="2"/>
    <n v="1"/>
    <x v="0"/>
    <n v="54.5"/>
    <n v="263.10000000000002"/>
    <m/>
    <x v="0"/>
    <x v="0"/>
    <n v="0"/>
    <n v="0"/>
    <x v="0"/>
    <x v="0"/>
    <m/>
    <x v="0"/>
    <x v="0"/>
    <x v="0"/>
    <x v="0"/>
    <x v="0"/>
    <n v="0"/>
    <n v="0"/>
    <n v="0"/>
    <n v="12"/>
    <x v="1"/>
    <x v="0"/>
    <m/>
    <x v="0"/>
    <n v="61.5"/>
    <x v="0"/>
    <x v="30"/>
    <x v="0"/>
    <x v="0"/>
    <x v="0"/>
  </r>
  <r>
    <x v="1"/>
    <x v="9"/>
    <s v="8174 J"/>
    <x v="268"/>
    <s v="Al Shaheer Foods Corporation LTD"/>
    <s v="LDN"/>
    <n v="16"/>
    <s v="10.5-11"/>
    <s v="LDN"/>
    <n v="250"/>
    <x v="0"/>
    <n v="4"/>
    <n v="216.2"/>
    <n v="7.6"/>
    <n v="3"/>
    <x v="0"/>
    <n v="208.6"/>
    <n v="263.10000000000002"/>
    <m/>
    <x v="0"/>
    <x v="0"/>
    <n v="0"/>
    <n v="0"/>
    <x v="0"/>
    <x v="0"/>
    <m/>
    <x v="0"/>
    <x v="0"/>
    <x v="0"/>
    <x v="0"/>
    <x v="0"/>
    <n v="0"/>
    <n v="0"/>
    <n v="0"/>
    <n v="12"/>
    <x v="1"/>
    <x v="0"/>
    <m/>
    <x v="0"/>
    <n v="221.2"/>
    <x v="0"/>
    <x v="30"/>
    <x v="0"/>
    <x v="0"/>
    <x v="0"/>
  </r>
  <r>
    <x v="0"/>
    <x v="11"/>
    <s v="8120 J"/>
    <x v="268"/>
    <s v="A.K Shopping Bag Multan"/>
    <s v="LDM"/>
    <n v="18"/>
    <s v="11-12"/>
    <s v="LDM"/>
    <n v="100"/>
    <x v="0"/>
    <n v="1"/>
    <n v="80.400000000000006"/>
    <n v="1.8"/>
    <m/>
    <x v="0"/>
    <n v="78.600000000000009"/>
    <n v="164.9"/>
    <m/>
    <x v="0"/>
    <x v="0"/>
    <n v="0"/>
    <n v="0"/>
    <x v="0"/>
    <x v="0"/>
    <m/>
    <x v="0"/>
    <x v="0"/>
    <x v="0"/>
    <x v="0"/>
    <x v="0"/>
    <n v="0"/>
    <n v="0"/>
    <n v="0"/>
    <n v="12"/>
    <x v="1"/>
    <x v="0"/>
    <m/>
    <x v="0"/>
    <n v="85.4"/>
    <x v="0"/>
    <x v="30"/>
    <x v="0"/>
    <x v="0"/>
    <x v="0"/>
  </r>
  <r>
    <x v="0"/>
    <x v="11"/>
    <s v="8099 J"/>
    <x v="268"/>
    <s v="Nest Clothing Company Mandi Bahudin"/>
    <s v="LDM"/>
    <n v="16"/>
    <s v="13-14"/>
    <s v="LDM"/>
    <n v="100"/>
    <x v="0"/>
    <n v="2"/>
    <n v="113"/>
    <n v="2.6"/>
    <m/>
    <x v="0"/>
    <n v="110.4"/>
    <n v="110.4"/>
    <m/>
    <x v="0"/>
    <x v="0"/>
    <n v="0"/>
    <n v="0"/>
    <x v="0"/>
    <x v="0"/>
    <m/>
    <x v="0"/>
    <x v="0"/>
    <x v="0"/>
    <x v="0"/>
    <x v="0"/>
    <n v="0"/>
    <n v="0"/>
    <n v="0"/>
    <n v="12"/>
    <x v="1"/>
    <x v="0"/>
    <m/>
    <x v="0"/>
    <n v="118"/>
    <x v="0"/>
    <x v="30"/>
    <x v="0"/>
    <x v="0"/>
    <x v="0"/>
  </r>
  <r>
    <x v="0"/>
    <x v="11"/>
    <s v="8121 J"/>
    <x v="268"/>
    <s v="A.K Shopping Bag Multan"/>
    <s v="LDM"/>
    <n v="19"/>
    <s v="11-12"/>
    <s v="LDM"/>
    <n v="100"/>
    <x v="0"/>
    <n v="2"/>
    <n v="117"/>
    <n v="4.2"/>
    <m/>
    <x v="0"/>
    <n v="112.8"/>
    <n v="112.8"/>
    <m/>
    <x v="0"/>
    <x v="0"/>
    <n v="0"/>
    <n v="0"/>
    <x v="0"/>
    <x v="0"/>
    <m/>
    <x v="0"/>
    <x v="0"/>
    <x v="0"/>
    <x v="0"/>
    <x v="0"/>
    <n v="0"/>
    <n v="0"/>
    <n v="0"/>
    <n v="12"/>
    <x v="1"/>
    <x v="0"/>
    <m/>
    <x v="0"/>
    <n v="122"/>
    <x v="0"/>
    <x v="30"/>
    <x v="0"/>
    <x v="0"/>
    <x v="0"/>
  </r>
  <r>
    <x v="0"/>
    <x v="11"/>
    <s v="8136 J"/>
    <x v="268"/>
    <s v="Alam Printers Butkhela"/>
    <s v="LDM"/>
    <n v="15"/>
    <s v="12-13."/>
    <s v="LDM"/>
    <n v="100"/>
    <x v="0"/>
    <n v="2"/>
    <n v="108"/>
    <n v="2.4"/>
    <n v="8"/>
    <x v="0"/>
    <n v="105.6"/>
    <n v="105.6"/>
    <m/>
    <x v="0"/>
    <x v="0"/>
    <n v="0"/>
    <n v="0"/>
    <x v="0"/>
    <x v="0"/>
    <m/>
    <x v="0"/>
    <x v="0"/>
    <x v="0"/>
    <x v="0"/>
    <x v="0"/>
    <n v="0"/>
    <n v="0"/>
    <n v="0"/>
    <n v="12"/>
    <x v="1"/>
    <x v="0"/>
    <m/>
    <x v="0"/>
    <n v="113"/>
    <x v="0"/>
    <x v="30"/>
    <x v="0"/>
    <x v="0"/>
    <x v="0"/>
  </r>
  <r>
    <x v="1"/>
    <x v="11"/>
    <s v="8104 J"/>
    <x v="268"/>
    <s v="Lucky Cloth House Layya"/>
    <s v="LDM"/>
    <s v="12+3+3"/>
    <s v="7.5-8/15-16"/>
    <s v="LDM"/>
    <n v="110"/>
    <x v="0"/>
    <n v="2"/>
    <n v="103"/>
    <n v="3"/>
    <n v="38"/>
    <x v="0"/>
    <n v="100"/>
    <n v="100"/>
    <m/>
    <x v="0"/>
    <x v="0"/>
    <n v="0"/>
    <n v="0"/>
    <x v="0"/>
    <x v="0"/>
    <m/>
    <x v="0"/>
    <x v="0"/>
    <x v="0"/>
    <x v="0"/>
    <x v="0"/>
    <n v="0"/>
    <n v="0"/>
    <n v="0"/>
    <n v="12"/>
    <x v="1"/>
    <x v="0"/>
    <m/>
    <x v="0"/>
    <n v="108"/>
    <x v="0"/>
    <x v="30"/>
    <x v="0"/>
    <x v="0"/>
    <x v="0"/>
  </r>
  <r>
    <x v="1"/>
    <x v="11"/>
    <s v="8058 J"/>
    <x v="268"/>
    <s v="Waqas Wollan Mills Gujranwala"/>
    <s v="LD اورنج"/>
    <n v="15"/>
    <s v="10-10.5"/>
    <s v="LDM"/>
    <n v="500"/>
    <x v="0"/>
    <n v="4"/>
    <n v="269"/>
    <n v="5.2"/>
    <m/>
    <x v="0"/>
    <n v="263.8"/>
    <n v="505.1"/>
    <m/>
    <x v="0"/>
    <x v="0"/>
    <n v="0"/>
    <n v="0"/>
    <x v="0"/>
    <x v="0"/>
    <m/>
    <x v="0"/>
    <x v="0"/>
    <x v="0"/>
    <x v="0"/>
    <x v="0"/>
    <n v="0"/>
    <n v="0"/>
    <n v="0"/>
    <n v="12"/>
    <x v="1"/>
    <x v="0"/>
    <m/>
    <x v="0"/>
    <n v="274"/>
    <x v="0"/>
    <x v="30"/>
    <x v="0"/>
    <x v="0"/>
    <x v="0"/>
  </r>
  <r>
    <x v="0"/>
    <x v="13"/>
    <s v="8025 J"/>
    <x v="268"/>
    <s v="H.A Industry Peshawar"/>
    <s v="LDN"/>
    <n v="22"/>
    <s v="-"/>
    <s v="LDN"/>
    <n v="1000"/>
    <x v="0"/>
    <n v="6"/>
    <n v="404"/>
    <n v="16.200000000000003"/>
    <n v="5"/>
    <x v="0"/>
    <n v="387.8"/>
    <n v="1057.5"/>
    <m/>
    <x v="0"/>
    <x v="0"/>
    <n v="0"/>
    <n v="0"/>
    <x v="0"/>
    <x v="0"/>
    <m/>
    <x v="0"/>
    <x v="0"/>
    <x v="0"/>
    <x v="0"/>
    <x v="0"/>
    <n v="0"/>
    <n v="0"/>
    <n v="0"/>
    <n v="12"/>
    <x v="1"/>
    <x v="0"/>
    <m/>
    <x v="0"/>
    <n v="409"/>
    <x v="0"/>
    <x v="30"/>
    <x v="0"/>
    <x v="0"/>
    <x v="0"/>
  </r>
  <r>
    <x v="1"/>
    <x v="13"/>
    <s v="8025 J"/>
    <x v="268"/>
    <s v="H.A Industry Peshawar"/>
    <s v="LDN"/>
    <n v="22"/>
    <s v="-"/>
    <s v="LDN"/>
    <n v="1000"/>
    <x v="0"/>
    <n v="6"/>
    <n v="411"/>
    <n v="13.799999999999999"/>
    <n v="5"/>
    <x v="0"/>
    <n v="397.2"/>
    <n v="1057.5"/>
    <m/>
    <x v="0"/>
    <x v="0"/>
    <n v="0"/>
    <n v="0"/>
    <x v="0"/>
    <x v="0"/>
    <m/>
    <x v="0"/>
    <x v="0"/>
    <x v="0"/>
    <x v="0"/>
    <x v="0"/>
    <n v="0"/>
    <n v="0"/>
    <n v="0"/>
    <n v="12"/>
    <x v="1"/>
    <x v="0"/>
    <m/>
    <x v="0"/>
    <n v="416"/>
    <x v="0"/>
    <x v="30"/>
    <x v="0"/>
    <x v="0"/>
    <x v="0"/>
  </r>
  <r>
    <x v="0"/>
    <x v="12"/>
    <s v="279 R"/>
    <x v="268"/>
    <s v="ریفلیکٹ پیک"/>
    <s v="LDN"/>
    <n v="20"/>
    <s v="13-14"/>
    <s v="LDN"/>
    <n v="2000"/>
    <x v="0"/>
    <n v="2"/>
    <n v="224.3"/>
    <n v="7.3"/>
    <m/>
    <x v="0"/>
    <n v="217"/>
    <n v="2144.6"/>
    <m/>
    <x v="0"/>
    <x v="0"/>
    <n v="0"/>
    <n v="0"/>
    <x v="0"/>
    <x v="0"/>
    <m/>
    <x v="0"/>
    <x v="0"/>
    <x v="0"/>
    <x v="0"/>
    <x v="0"/>
    <n v="0"/>
    <n v="0"/>
    <n v="0"/>
    <n v="12"/>
    <x v="1"/>
    <x v="0"/>
    <m/>
    <x v="0"/>
    <n v="229.3"/>
    <x v="0"/>
    <x v="30"/>
    <x v="0"/>
    <x v="0"/>
    <x v="0"/>
  </r>
  <r>
    <x v="0"/>
    <x v="12"/>
    <s v="8179 J"/>
    <x v="268"/>
    <s v="Atlas Honda LTD (SKP)"/>
    <s v="LDN"/>
    <n v="22"/>
    <s v="8.5-9"/>
    <s v="LDN"/>
    <n v="149"/>
    <x v="0"/>
    <n v="2"/>
    <n v="163.5"/>
    <n v="5.6"/>
    <m/>
    <x v="0"/>
    <n v="157.9"/>
    <n v="157.9"/>
    <m/>
    <x v="0"/>
    <x v="0"/>
    <n v="0"/>
    <n v="0"/>
    <x v="0"/>
    <x v="0"/>
    <m/>
    <x v="0"/>
    <x v="0"/>
    <x v="0"/>
    <x v="0"/>
    <x v="0"/>
    <n v="0"/>
    <n v="0"/>
    <n v="0"/>
    <n v="12"/>
    <x v="1"/>
    <x v="0"/>
    <m/>
    <x v="0"/>
    <n v="168.5"/>
    <x v="0"/>
    <x v="30"/>
    <x v="0"/>
    <x v="0"/>
    <x v="0"/>
  </r>
  <r>
    <x v="0"/>
    <x v="12"/>
    <s v="8178 J"/>
    <x v="268"/>
    <s v="Atlas Honda LTD (SKP)"/>
    <s v="LDN"/>
    <n v="22"/>
    <s v="12.5-13"/>
    <s v="LDN"/>
    <n v="249.73290598290595"/>
    <x v="0"/>
    <n v="2"/>
    <n v="164"/>
    <n v="5.4"/>
    <n v="10"/>
    <x v="0"/>
    <n v="158.6"/>
    <n v="287.39999999999998"/>
    <n v="5"/>
    <x v="0"/>
    <x v="0"/>
    <n v="5"/>
    <n v="8.3333333333333329E-2"/>
    <x v="0"/>
    <x v="0"/>
    <m/>
    <x v="0"/>
    <x v="0"/>
    <x v="0"/>
    <x v="0"/>
    <x v="0"/>
    <n v="0"/>
    <n v="0"/>
    <n v="8.3333333333333329E-2"/>
    <n v="11.916666666666666"/>
    <x v="1"/>
    <x v="0"/>
    <m/>
    <x v="0"/>
    <n v="169"/>
    <x v="0"/>
    <x v="30"/>
    <x v="0"/>
    <x v="0"/>
    <x v="0"/>
  </r>
  <r>
    <x v="1"/>
    <x v="12"/>
    <s v="8178 J"/>
    <x v="268"/>
    <s v="Atlas Honda LTD (SKP)"/>
    <s v="LDN"/>
    <n v="22"/>
    <s v="12.5-13"/>
    <s v="LDN"/>
    <n v="249.73290598290595"/>
    <x v="0"/>
    <n v="1"/>
    <n v="131.5"/>
    <n v="2.7"/>
    <n v="6"/>
    <x v="0"/>
    <n v="128.80000000000001"/>
    <n v="287.39999999999998"/>
    <n v="2"/>
    <x v="0"/>
    <x v="0"/>
    <n v="2"/>
    <n v="3.3333333333333333E-2"/>
    <x v="0"/>
    <x v="0"/>
    <m/>
    <x v="0"/>
    <x v="0"/>
    <x v="0"/>
    <x v="0"/>
    <x v="0"/>
    <n v="0"/>
    <n v="0"/>
    <n v="3.3333333333333333E-2"/>
    <n v="11.966666666666667"/>
    <x v="1"/>
    <x v="0"/>
    <m/>
    <x v="0"/>
    <n v="136.5"/>
    <x v="0"/>
    <x v="30"/>
    <x v="0"/>
    <x v="0"/>
    <x v="0"/>
  </r>
  <r>
    <x v="1"/>
    <x v="12"/>
    <s v="7978 J"/>
    <x v="268"/>
    <s v="Airy Food Gujranwala"/>
    <s v="LDN"/>
    <n v="24"/>
    <s v="-"/>
    <s v="LDN"/>
    <n v="600"/>
    <x v="0"/>
    <n v="4"/>
    <n v="483.6"/>
    <n v="9.5"/>
    <m/>
    <x v="0"/>
    <n v="474.1"/>
    <n v="474.1"/>
    <m/>
    <x v="0"/>
    <x v="0"/>
    <n v="0"/>
    <n v="0"/>
    <x v="0"/>
    <x v="0"/>
    <m/>
    <x v="0"/>
    <x v="0"/>
    <x v="0"/>
    <x v="0"/>
    <x v="0"/>
    <n v="0"/>
    <n v="0"/>
    <n v="0"/>
    <n v="12"/>
    <x v="1"/>
    <x v="0"/>
    <m/>
    <x v="0"/>
    <n v="488.6"/>
    <x v="0"/>
    <x v="30"/>
    <x v="0"/>
    <x v="0"/>
    <x v="0"/>
  </r>
  <r>
    <x v="1"/>
    <x v="14"/>
    <s v="2866/1"/>
    <x v="268"/>
    <s v="MATCO FOOD"/>
    <s v="LDN"/>
    <s v="28-28.5"/>
    <s v="85±2"/>
    <s v="LDN"/>
    <n v="935"/>
    <x v="0"/>
    <n v="5"/>
    <n v="377.5"/>
    <n v="19.100000000000001"/>
    <m/>
    <x v="0"/>
    <n v="358.4"/>
    <n v="579.9"/>
    <m/>
    <x v="0"/>
    <x v="0"/>
    <n v="0"/>
    <n v="0"/>
    <x v="0"/>
    <x v="0"/>
    <m/>
    <x v="0"/>
    <x v="0"/>
    <x v="0"/>
    <x v="0"/>
    <x v="0"/>
    <n v="0"/>
    <n v="0"/>
    <n v="0"/>
    <n v="12"/>
    <x v="1"/>
    <x v="0"/>
    <m/>
    <x v="0"/>
    <n v="382.5"/>
    <x v="0"/>
    <x v="30"/>
    <x v="0"/>
    <x v="0"/>
    <x v="0"/>
  </r>
  <r>
    <x v="1"/>
    <x v="14"/>
    <s v="2863/1"/>
    <x v="268"/>
    <s v="ECO PACK LTD"/>
    <s v="LDN"/>
    <n v="32.5"/>
    <s v="5-5.5"/>
    <s v="SL"/>
    <n v="200"/>
    <x v="0"/>
    <n v="3"/>
    <n v="167.5"/>
    <n v="13.5"/>
    <n v="48"/>
    <x v="0"/>
    <n v="154"/>
    <n v="210.18"/>
    <m/>
    <x v="6"/>
    <x v="0"/>
    <n v="120"/>
    <n v="2"/>
    <x v="0"/>
    <x v="0"/>
    <m/>
    <x v="0"/>
    <x v="0"/>
    <x v="0"/>
    <x v="0"/>
    <x v="0"/>
    <n v="0"/>
    <n v="0"/>
    <n v="2"/>
    <n v="10"/>
    <x v="1"/>
    <x v="0"/>
    <m/>
    <x v="0"/>
    <n v="172.5"/>
    <x v="0"/>
    <x v="30"/>
    <x v="0"/>
    <x v="0"/>
    <x v="0"/>
  </r>
  <r>
    <x v="0"/>
    <x v="15"/>
    <s v="3033 F"/>
    <x v="268"/>
    <s v="Usman Amin"/>
    <s v="LDN"/>
    <n v="17.25"/>
    <s v="8.5-9"/>
    <s v="LDN"/>
    <n v="1000"/>
    <x v="0"/>
    <n v="5"/>
    <n v="395"/>
    <n v="10.700000000000001"/>
    <m/>
    <x v="0"/>
    <n v="384.3"/>
    <n v="1686.3"/>
    <m/>
    <x v="0"/>
    <x v="0"/>
    <n v="0"/>
    <n v="0"/>
    <x v="0"/>
    <x v="0"/>
    <m/>
    <x v="0"/>
    <x v="0"/>
    <x v="0"/>
    <x v="0"/>
    <x v="0"/>
    <n v="0"/>
    <n v="0"/>
    <n v="0"/>
    <n v="12"/>
    <x v="1"/>
    <x v="0"/>
    <m/>
    <x v="0"/>
    <n v="400"/>
    <x v="0"/>
    <x v="30"/>
    <x v="0"/>
    <x v="0"/>
    <x v="0"/>
  </r>
  <r>
    <x v="1"/>
    <x v="15"/>
    <s v="3033 F"/>
    <x v="268"/>
    <s v="Usman Amin"/>
    <s v="LDN"/>
    <n v="17.25"/>
    <s v="8.5-9"/>
    <s v="LDN"/>
    <n v="1000"/>
    <x v="0"/>
    <n v="6"/>
    <n v="358.3"/>
    <n v="16.200000000000003"/>
    <m/>
    <x v="0"/>
    <n v="342.1"/>
    <n v="1686.3"/>
    <m/>
    <x v="0"/>
    <x v="0"/>
    <n v="0"/>
    <n v="0"/>
    <x v="0"/>
    <x v="0"/>
    <m/>
    <x v="0"/>
    <x v="0"/>
    <x v="0"/>
    <x v="0"/>
    <x v="0"/>
    <n v="0"/>
    <n v="0"/>
    <n v="0"/>
    <n v="12"/>
    <x v="1"/>
    <x v="0"/>
    <m/>
    <x v="0"/>
    <n v="363.3"/>
    <x v="0"/>
    <x v="30"/>
    <x v="0"/>
    <x v="0"/>
    <x v="0"/>
  </r>
  <r>
    <x v="0"/>
    <x v="8"/>
    <s v="8218 J"/>
    <x v="269"/>
    <s v="Jilani Poly Stock"/>
    <s v="LDN"/>
    <n v="7"/>
    <n v="10"/>
    <s v="LDN"/>
    <s v="-"/>
    <x v="0"/>
    <n v="1"/>
    <n v="46"/>
    <n v="0.9"/>
    <m/>
    <x v="0"/>
    <n v="45.1"/>
    <n v="715.5"/>
    <m/>
    <x v="0"/>
    <x v="0"/>
    <n v="0"/>
    <n v="0"/>
    <x v="0"/>
    <x v="0"/>
    <m/>
    <x v="0"/>
    <x v="0"/>
    <x v="0"/>
    <x v="0"/>
    <x v="0"/>
    <n v="0"/>
    <n v="0"/>
    <n v="0"/>
    <n v="12"/>
    <x v="1"/>
    <x v="0"/>
    <m/>
    <x v="0"/>
    <n v="51"/>
    <x v="0"/>
    <x v="30"/>
    <x v="0"/>
    <x v="0"/>
    <x v="0"/>
  </r>
  <r>
    <x v="0"/>
    <x v="8"/>
    <s v="8127 J"/>
    <x v="269"/>
    <s v="Purella Fresh Milk"/>
    <s v="LDM"/>
    <n v="7"/>
    <s v="18"/>
    <s v="LDM"/>
    <n v="100"/>
    <x v="0"/>
    <n v="2"/>
    <n v="105.5"/>
    <n v="1.6"/>
    <n v="28"/>
    <x v="0"/>
    <n v="103.9"/>
    <n v="103.9"/>
    <n v="1"/>
    <x v="0"/>
    <x v="0"/>
    <n v="1"/>
    <n v="1.6666666666666666E-2"/>
    <x v="0"/>
    <x v="0"/>
    <m/>
    <x v="0"/>
    <x v="0"/>
    <x v="0"/>
    <x v="0"/>
    <x v="0"/>
    <n v="0"/>
    <n v="0"/>
    <n v="1.6666666666666666E-2"/>
    <n v="11.983333333333333"/>
    <x v="1"/>
    <x v="0"/>
    <m/>
    <x v="0"/>
    <n v="110.5"/>
    <x v="0"/>
    <x v="30"/>
    <x v="0"/>
    <x v="0"/>
    <x v="0"/>
  </r>
  <r>
    <x v="1"/>
    <x v="8"/>
    <s v="8123 J"/>
    <x v="269"/>
    <s v="A.K Shopping Bag Multan"/>
    <s v="LDM"/>
    <s v="12+3+3"/>
    <s v="7.5-8/15-16"/>
    <s v="LDM"/>
    <n v="330"/>
    <x v="0"/>
    <n v="4"/>
    <n v="146.4"/>
    <n v="3.2"/>
    <m/>
    <x v="0"/>
    <n v="143.20000000000002"/>
    <n v="475.70000000000005"/>
    <m/>
    <x v="0"/>
    <x v="0"/>
    <n v="0"/>
    <n v="0"/>
    <x v="0"/>
    <x v="0"/>
    <m/>
    <x v="0"/>
    <x v="0"/>
    <x v="0"/>
    <x v="0"/>
    <x v="0"/>
    <n v="0"/>
    <n v="0"/>
    <n v="0"/>
    <n v="12"/>
    <x v="1"/>
    <x v="0"/>
    <m/>
    <x v="0"/>
    <n v="151.4"/>
    <x v="0"/>
    <x v="30"/>
    <x v="0"/>
    <x v="0"/>
    <x v="0"/>
  </r>
  <r>
    <x v="0"/>
    <x v="9"/>
    <s v="8071 J"/>
    <x v="269"/>
    <s v="Al Shaheer Foods Corporation LTD"/>
    <s v="LDN"/>
    <n v="16"/>
    <s v="10-10.5"/>
    <s v="LDN"/>
    <n v="200"/>
    <x v="0"/>
    <n v="3"/>
    <n v="201"/>
    <n v="6"/>
    <n v="2"/>
    <x v="0"/>
    <n v="195"/>
    <n v="195"/>
    <m/>
    <x v="0"/>
    <x v="0"/>
    <n v="0"/>
    <n v="0"/>
    <x v="0"/>
    <x v="0"/>
    <m/>
    <x v="0"/>
    <x v="0"/>
    <x v="0"/>
    <x v="0"/>
    <x v="0"/>
    <n v="0"/>
    <n v="0"/>
    <n v="0"/>
    <n v="12"/>
    <x v="1"/>
    <x v="0"/>
    <m/>
    <x v="0"/>
    <n v="206"/>
    <x v="0"/>
    <x v="30"/>
    <x v="0"/>
    <x v="0"/>
    <x v="0"/>
  </r>
  <r>
    <x v="1"/>
    <x v="9"/>
    <s v="8196 J"/>
    <x v="269"/>
    <s v="Ibraheem Filter Industry (SMC.PVT.LTD)"/>
    <s v="LDN"/>
    <n v="16"/>
    <n v="8"/>
    <s v="LDN"/>
    <n v="1595.4415954415954"/>
    <x v="0"/>
    <n v="4"/>
    <n v="207.4"/>
    <n v="7.6"/>
    <m/>
    <x v="0"/>
    <n v="199.8"/>
    <n v="1726.2"/>
    <m/>
    <x v="0"/>
    <x v="0"/>
    <n v="0"/>
    <n v="0"/>
    <x v="0"/>
    <x v="0"/>
    <m/>
    <x v="0"/>
    <x v="0"/>
    <x v="0"/>
    <x v="0"/>
    <x v="0"/>
    <n v="0"/>
    <n v="0"/>
    <n v="0"/>
    <n v="12"/>
    <x v="1"/>
    <x v="0"/>
    <m/>
    <x v="0"/>
    <n v="212.4"/>
    <x v="0"/>
    <x v="30"/>
    <x v="0"/>
    <x v="0"/>
    <x v="0"/>
  </r>
  <r>
    <x v="0"/>
    <x v="11"/>
    <s v="8058 J"/>
    <x v="269"/>
    <s v="Waqas Wollan Mills Gujranwala"/>
    <s v="LD اورنج"/>
    <n v="15"/>
    <s v="10-10.5"/>
    <s v="LDM"/>
    <n v="500"/>
    <x v="0"/>
    <n v="4"/>
    <n v="248.5"/>
    <n v="7.2"/>
    <n v="38"/>
    <x v="0"/>
    <n v="241.3"/>
    <n v="505.1"/>
    <m/>
    <x v="0"/>
    <x v="0"/>
    <n v="0"/>
    <n v="0"/>
    <x v="0"/>
    <x v="0"/>
    <m/>
    <x v="0"/>
    <x v="0"/>
    <x v="0"/>
    <x v="0"/>
    <x v="0"/>
    <n v="0"/>
    <n v="0"/>
    <n v="0"/>
    <n v="12"/>
    <x v="1"/>
    <x v="0"/>
    <m/>
    <x v="0"/>
    <n v="253.5"/>
    <x v="0"/>
    <x v="30"/>
    <x v="0"/>
    <x v="0"/>
    <x v="0"/>
  </r>
  <r>
    <x v="0"/>
    <x v="11"/>
    <s v="8057 J"/>
    <x v="269"/>
    <s v="Waqas Wollan Mills Gujranwala"/>
    <s v="LD بلو"/>
    <n v="15"/>
    <s v="10-10.5"/>
    <s v="LDM"/>
    <n v="200"/>
    <x v="0"/>
    <n v="2"/>
    <n v="121.5"/>
    <n v="3.7"/>
    <m/>
    <x v="0"/>
    <n v="117.8"/>
    <n v="552"/>
    <n v="3"/>
    <x v="0"/>
    <x v="0"/>
    <n v="3"/>
    <n v="0.05"/>
    <x v="0"/>
    <x v="0"/>
    <m/>
    <x v="0"/>
    <x v="0"/>
    <x v="0"/>
    <x v="0"/>
    <x v="0"/>
    <n v="0"/>
    <n v="0"/>
    <n v="0.05"/>
    <n v="11.95"/>
    <x v="1"/>
    <x v="0"/>
    <m/>
    <x v="0"/>
    <n v="126.5"/>
    <x v="0"/>
    <x v="30"/>
    <x v="0"/>
    <x v="0"/>
    <x v="0"/>
  </r>
  <r>
    <x v="1"/>
    <x v="11"/>
    <s v="8057 J"/>
    <x v="269"/>
    <s v="Waqas Wollan Mills Gujranwala"/>
    <s v="LD بلو"/>
    <n v="15"/>
    <s v="10-10.5"/>
    <s v="LDM"/>
    <n v="200"/>
    <x v="0"/>
    <n v="5"/>
    <n v="371.9"/>
    <n v="9.2999999999999989"/>
    <n v="3"/>
    <x v="0"/>
    <n v="362.59999999999997"/>
    <n v="552"/>
    <m/>
    <x v="0"/>
    <x v="0"/>
    <n v="0"/>
    <n v="0"/>
    <x v="0"/>
    <x v="0"/>
    <m/>
    <x v="0"/>
    <x v="0"/>
    <x v="0"/>
    <x v="0"/>
    <x v="0"/>
    <n v="0"/>
    <n v="0"/>
    <n v="0"/>
    <n v="12"/>
    <x v="1"/>
    <x v="0"/>
    <m/>
    <x v="0"/>
    <n v="376.9"/>
    <x v="0"/>
    <x v="30"/>
    <x v="0"/>
    <x v="0"/>
    <x v="0"/>
  </r>
  <r>
    <x v="0"/>
    <x v="13"/>
    <s v="3080 F"/>
    <x v="269"/>
    <s v="Usman Amin"/>
    <s v="LDN"/>
    <n v="21"/>
    <s v="7-7.5"/>
    <s v="LDN"/>
    <n v="700"/>
    <x v="0"/>
    <n v="5"/>
    <n v="391.5"/>
    <n v="16.200000000000003"/>
    <n v="6"/>
    <x v="0"/>
    <n v="375.3"/>
    <n v="723.7"/>
    <m/>
    <x v="0"/>
    <x v="0"/>
    <n v="0"/>
    <n v="0"/>
    <x v="0"/>
    <x v="0"/>
    <m/>
    <x v="0"/>
    <x v="0"/>
    <x v="0"/>
    <x v="0"/>
    <x v="0"/>
    <n v="0"/>
    <n v="0"/>
    <n v="0"/>
    <n v="12"/>
    <x v="1"/>
    <x v="0"/>
    <m/>
    <x v="0"/>
    <n v="396.5"/>
    <x v="0"/>
    <x v="30"/>
    <x v="0"/>
    <x v="0"/>
    <x v="0"/>
  </r>
  <r>
    <x v="1"/>
    <x v="13"/>
    <s v="3080 F"/>
    <x v="269"/>
    <s v="Usman Amin"/>
    <s v="LDN"/>
    <n v="21"/>
    <s v="7-7.5"/>
    <s v="LDN"/>
    <n v="700"/>
    <x v="0"/>
    <n v="5"/>
    <n v="361.9"/>
    <n v="13.5"/>
    <n v="2"/>
    <x v="0"/>
    <n v="348.4"/>
    <n v="723.7"/>
    <m/>
    <x v="0"/>
    <x v="0"/>
    <n v="0"/>
    <n v="0"/>
    <x v="0"/>
    <x v="0"/>
    <m/>
    <x v="0"/>
    <x v="0"/>
    <x v="0"/>
    <x v="0"/>
    <x v="0"/>
    <n v="0"/>
    <n v="0"/>
    <n v="0"/>
    <n v="12"/>
    <x v="1"/>
    <x v="0"/>
    <m/>
    <x v="0"/>
    <n v="366.9"/>
    <x v="0"/>
    <x v="30"/>
    <x v="0"/>
    <x v="0"/>
    <x v="0"/>
  </r>
  <r>
    <x v="0"/>
    <x v="12"/>
    <s v="7879 J"/>
    <x v="269"/>
    <s v="Waqas Wollan Mills Gujranwala"/>
    <s v="LD گرین"/>
    <n v="13"/>
    <n v="8"/>
    <s v="LDM"/>
    <n v="200"/>
    <x v="0"/>
    <n v="1"/>
    <n v="137"/>
    <n v="2.5"/>
    <m/>
    <x v="0"/>
    <n v="134.5"/>
    <n v="356.8"/>
    <m/>
    <x v="0"/>
    <x v="0"/>
    <n v="0"/>
    <n v="0"/>
    <x v="0"/>
    <x v="0"/>
    <m/>
    <x v="0"/>
    <x v="0"/>
    <x v="0"/>
    <x v="0"/>
    <x v="0"/>
    <n v="0"/>
    <n v="0"/>
    <n v="0"/>
    <n v="12"/>
    <x v="1"/>
    <x v="0"/>
    <m/>
    <x v="0"/>
    <n v="142"/>
    <x v="0"/>
    <x v="30"/>
    <x v="0"/>
    <x v="0"/>
    <x v="0"/>
  </r>
  <r>
    <x v="0"/>
    <x v="12"/>
    <s v="8035 J"/>
    <x v="269"/>
    <s v="M.K.B PESAHAR"/>
    <s v="LDN"/>
    <n v="22"/>
    <s v="6-6.5"/>
    <s v="LDN"/>
    <n v="125"/>
    <x v="0"/>
    <n v="2"/>
    <n v="138.5"/>
    <n v="5"/>
    <m/>
    <x v="0"/>
    <n v="133.5"/>
    <n v="133.5"/>
    <m/>
    <x v="0"/>
    <x v="0"/>
    <n v="0"/>
    <n v="0"/>
    <x v="0"/>
    <x v="0"/>
    <m/>
    <x v="0"/>
    <x v="0"/>
    <x v="0"/>
    <x v="0"/>
    <x v="0"/>
    <n v="0"/>
    <n v="0"/>
    <n v="0"/>
    <n v="12"/>
    <x v="1"/>
    <x v="0"/>
    <m/>
    <x v="0"/>
    <n v="143.5"/>
    <x v="0"/>
    <x v="30"/>
    <x v="0"/>
    <x v="0"/>
    <x v="0"/>
  </r>
  <r>
    <x v="0"/>
    <x v="12"/>
    <s v="8034 J"/>
    <x v="269"/>
    <s v="M.K.B PESAHAR"/>
    <s v="LDN"/>
    <n v="20"/>
    <s v="6-6.5"/>
    <s v="LDN"/>
    <n v="125"/>
    <x v="0"/>
    <n v="2"/>
    <n v="139"/>
    <n v="3.1"/>
    <m/>
    <x v="0"/>
    <n v="135.9"/>
    <n v="135.9"/>
    <m/>
    <x v="0"/>
    <x v="0"/>
    <n v="0"/>
    <n v="0"/>
    <x v="0"/>
    <x v="0"/>
    <m/>
    <x v="0"/>
    <x v="0"/>
    <x v="0"/>
    <x v="0"/>
    <x v="0"/>
    <n v="0"/>
    <n v="0"/>
    <n v="0"/>
    <n v="12"/>
    <x v="1"/>
    <x v="0"/>
    <m/>
    <x v="0"/>
    <n v="144"/>
    <x v="0"/>
    <x v="30"/>
    <x v="0"/>
    <x v="0"/>
    <x v="0"/>
  </r>
  <r>
    <x v="0"/>
    <x v="12"/>
    <m/>
    <x v="269"/>
    <s v="-"/>
    <m/>
    <n v="20"/>
    <s v="13-14"/>
    <m/>
    <m/>
    <x v="0"/>
    <n v="1"/>
    <n v="128"/>
    <n v="2.6"/>
    <n v="8"/>
    <x v="0"/>
    <n v="125.4"/>
    <n v="0"/>
    <m/>
    <x v="0"/>
    <x v="0"/>
    <n v="0"/>
    <n v="0"/>
    <x v="0"/>
    <x v="0"/>
    <m/>
    <x v="0"/>
    <x v="0"/>
    <x v="0"/>
    <x v="0"/>
    <x v="0"/>
    <n v="0"/>
    <n v="0"/>
    <n v="0"/>
    <n v="12"/>
    <x v="1"/>
    <x v="0"/>
    <m/>
    <x v="0"/>
    <n v="133"/>
    <x v="0"/>
    <x v="30"/>
    <x v="0"/>
    <x v="0"/>
    <x v="0"/>
  </r>
  <r>
    <x v="1"/>
    <x v="12"/>
    <m/>
    <x v="269"/>
    <s v="-"/>
    <m/>
    <n v="18"/>
    <s v="13-14"/>
    <m/>
    <m/>
    <x v="0"/>
    <n v="4"/>
    <n v="345"/>
    <n v="10"/>
    <n v="7"/>
    <x v="0"/>
    <n v="335"/>
    <n v="0"/>
    <m/>
    <x v="0"/>
    <x v="0"/>
    <n v="0"/>
    <n v="0"/>
    <x v="0"/>
    <x v="0"/>
    <m/>
    <x v="0"/>
    <x v="0"/>
    <x v="0"/>
    <x v="0"/>
    <x v="0"/>
    <n v="0"/>
    <n v="0"/>
    <n v="0"/>
    <n v="12"/>
    <x v="1"/>
    <x v="0"/>
    <m/>
    <x v="0"/>
    <n v="350"/>
    <x v="0"/>
    <x v="30"/>
    <x v="0"/>
    <x v="0"/>
    <x v="0"/>
  </r>
  <r>
    <x v="1"/>
    <x v="12"/>
    <s v="7997 J"/>
    <x v="269"/>
    <s v="Berger Point Lahore"/>
    <s v="LDN"/>
    <n v="20"/>
    <n v="0"/>
    <s v="LDN"/>
    <n v="1000"/>
    <x v="0"/>
    <n v="2"/>
    <n v="187.9"/>
    <n v="2.5"/>
    <m/>
    <x v="0"/>
    <n v="185.4"/>
    <n v="1081.3"/>
    <m/>
    <x v="0"/>
    <x v="0"/>
    <n v="0"/>
    <n v="0"/>
    <x v="0"/>
    <x v="0"/>
    <m/>
    <x v="0"/>
    <x v="0"/>
    <x v="0"/>
    <x v="0"/>
    <x v="0"/>
    <n v="0"/>
    <n v="0"/>
    <n v="0"/>
    <n v="12"/>
    <x v="1"/>
    <x v="0"/>
    <m/>
    <x v="0"/>
    <n v="192.9"/>
    <x v="0"/>
    <x v="30"/>
    <x v="0"/>
    <x v="0"/>
    <x v="0"/>
  </r>
  <r>
    <x v="0"/>
    <x v="14"/>
    <s v="2863/1"/>
    <x v="269"/>
    <s v="ECO PACK LTD"/>
    <s v="LDN"/>
    <n v="32.5"/>
    <s v="5-5.5"/>
    <s v="SL"/>
    <n v="200"/>
    <x v="0"/>
    <n v="1"/>
    <n v="56.5"/>
    <n v="0.32"/>
    <m/>
    <x v="0"/>
    <n v="56.18"/>
    <n v="210.18"/>
    <m/>
    <x v="0"/>
    <x v="0"/>
    <n v="0"/>
    <n v="0"/>
    <x v="0"/>
    <x v="0"/>
    <m/>
    <x v="0"/>
    <x v="0"/>
    <x v="0"/>
    <x v="0"/>
    <x v="0"/>
    <n v="0"/>
    <n v="0"/>
    <n v="0"/>
    <n v="12"/>
    <x v="1"/>
    <x v="0"/>
    <m/>
    <x v="0"/>
    <n v="61.5"/>
    <x v="0"/>
    <x v="30"/>
    <x v="0"/>
    <x v="0"/>
    <x v="0"/>
  </r>
  <r>
    <x v="0"/>
    <x v="14"/>
    <s v="7946 J"/>
    <x v="269"/>
    <s v="Alam Baker Shahdrah"/>
    <s v="LDN"/>
    <s v="32 شیٹ"/>
    <s v="4-4.5/8-9"/>
    <s v="LDN"/>
    <n v="200"/>
    <x v="0"/>
    <n v="2"/>
    <n v="160.35"/>
    <n v="0.64"/>
    <m/>
    <x v="0"/>
    <n v="159.71"/>
    <n v="159.71"/>
    <m/>
    <x v="0"/>
    <x v="0"/>
    <n v="0"/>
    <n v="0"/>
    <x v="0"/>
    <x v="0"/>
    <m/>
    <x v="0"/>
    <x v="0"/>
    <x v="0"/>
    <x v="0"/>
    <x v="0"/>
    <n v="0"/>
    <n v="0"/>
    <n v="0"/>
    <n v="12"/>
    <x v="1"/>
    <x v="0"/>
    <m/>
    <x v="0"/>
    <n v="165.35"/>
    <x v="0"/>
    <x v="30"/>
    <x v="0"/>
    <x v="0"/>
    <x v="0"/>
  </r>
  <r>
    <x v="0"/>
    <x v="14"/>
    <s v="8074 J"/>
    <x v="269"/>
    <s v="Nadeem Bed Sheet Okara"/>
    <s v="LDN"/>
    <n v="36"/>
    <s v="8-8.5"/>
    <s v="LDN"/>
    <n v="100"/>
    <x v="0"/>
    <n v="1"/>
    <n v="98"/>
    <n v="3.6"/>
    <m/>
    <x v="0"/>
    <n v="94.4"/>
    <n v="94.4"/>
    <n v="3"/>
    <x v="0"/>
    <x v="0"/>
    <n v="3"/>
    <n v="0.05"/>
    <x v="0"/>
    <x v="0"/>
    <m/>
    <x v="0"/>
    <x v="0"/>
    <x v="0"/>
    <x v="0"/>
    <x v="0"/>
    <n v="0"/>
    <n v="0"/>
    <n v="0.05"/>
    <n v="11.95"/>
    <x v="1"/>
    <x v="0"/>
    <m/>
    <x v="0"/>
    <n v="103"/>
    <x v="0"/>
    <x v="30"/>
    <x v="0"/>
    <x v="0"/>
    <x v="0"/>
  </r>
  <r>
    <x v="0"/>
    <x v="14"/>
    <s v="8108 J"/>
    <x v="269"/>
    <s v="High Class Bakers Gujrat"/>
    <s v="LDN"/>
    <s v="36 شیٹ"/>
    <s v="4-4.5/8-9"/>
    <s v="LDN"/>
    <n v="200"/>
    <x v="0"/>
    <n v="1"/>
    <n v="92"/>
    <n v="3.6"/>
    <n v="35"/>
    <x v="0"/>
    <n v="88.4"/>
    <n v="221.20000000000002"/>
    <n v="2"/>
    <x v="17"/>
    <x v="0"/>
    <n v="302"/>
    <n v="5.0333333333333332"/>
    <x v="0"/>
    <x v="0"/>
    <m/>
    <x v="0"/>
    <x v="0"/>
    <x v="0"/>
    <x v="0"/>
    <x v="0"/>
    <n v="0"/>
    <n v="0"/>
    <n v="5.0333333333333332"/>
    <n v="6.9666666666666668"/>
    <x v="1"/>
    <x v="0"/>
    <m/>
    <x v="0"/>
    <n v="97"/>
    <x v="0"/>
    <x v="30"/>
    <x v="0"/>
    <x v="0"/>
    <x v="0"/>
  </r>
  <r>
    <x v="1"/>
    <x v="14"/>
    <s v="8108 J"/>
    <x v="269"/>
    <s v="High Class Bakers Gujrat"/>
    <s v="LDN"/>
    <s v="36 شیٹ"/>
    <s v="4-4.5/8-9"/>
    <s v="LDN"/>
    <n v="200"/>
    <x v="0"/>
    <n v="2"/>
    <n v="140"/>
    <n v="7.2"/>
    <n v="14"/>
    <x v="0"/>
    <n v="132.80000000000001"/>
    <n v="221.20000000000002"/>
    <n v="4"/>
    <x v="0"/>
    <x v="0"/>
    <n v="4"/>
    <n v="6.6666666666666666E-2"/>
    <x v="0"/>
    <x v="0"/>
    <m/>
    <x v="0"/>
    <x v="0"/>
    <x v="0"/>
    <x v="0"/>
    <x v="0"/>
    <n v="0"/>
    <n v="0"/>
    <n v="6.6666666666666666E-2"/>
    <n v="11.933333333333334"/>
    <x v="1"/>
    <x v="0"/>
    <m/>
    <x v="0"/>
    <n v="145"/>
    <x v="0"/>
    <x v="30"/>
    <x v="0"/>
    <x v="0"/>
    <x v="0"/>
  </r>
  <r>
    <x v="1"/>
    <x v="14"/>
    <s v="7846 J"/>
    <x v="269"/>
    <s v="-"/>
    <m/>
    <m/>
    <m/>
    <m/>
    <m/>
    <x v="0"/>
    <n v="1"/>
    <n v="105.5"/>
    <n v="2"/>
    <m/>
    <x v="0"/>
    <n v="103.5"/>
    <n v="103.5"/>
    <m/>
    <x v="0"/>
    <x v="0"/>
    <n v="0"/>
    <n v="0"/>
    <x v="0"/>
    <x v="0"/>
    <m/>
    <x v="0"/>
    <x v="0"/>
    <x v="0"/>
    <x v="0"/>
    <x v="0"/>
    <n v="0"/>
    <n v="0"/>
    <n v="0"/>
    <n v="12"/>
    <x v="1"/>
    <x v="0"/>
    <m/>
    <x v="0"/>
    <n v="110.5"/>
    <x v="0"/>
    <x v="30"/>
    <x v="0"/>
    <x v="0"/>
    <x v="0"/>
  </r>
  <r>
    <x v="1"/>
    <x v="14"/>
    <s v="3082 F"/>
    <x v="269"/>
    <s v="Usman Amin"/>
    <s v="LDN"/>
    <s v="36 SHEET"/>
    <s v="3-3.25/6-6.5"/>
    <s v="LDN"/>
    <n v="400"/>
    <x v="0"/>
    <n v="5"/>
    <n v="448"/>
    <n v="18"/>
    <m/>
    <x v="0"/>
    <n v="430"/>
    <n v="430"/>
    <m/>
    <x v="0"/>
    <x v="0"/>
    <n v="0"/>
    <n v="0"/>
    <x v="0"/>
    <x v="0"/>
    <m/>
    <x v="0"/>
    <x v="0"/>
    <x v="0"/>
    <x v="0"/>
    <x v="0"/>
    <n v="0"/>
    <n v="0"/>
    <n v="0"/>
    <n v="12"/>
    <x v="1"/>
    <x v="0"/>
    <m/>
    <x v="0"/>
    <n v="453"/>
    <x v="0"/>
    <x v="30"/>
    <x v="0"/>
    <x v="0"/>
    <x v="0"/>
  </r>
  <r>
    <x v="1"/>
    <x v="14"/>
    <s v="3084 F"/>
    <x v="269"/>
    <s v="Usman Amin"/>
    <s v="LDN"/>
    <s v="34 SHEET"/>
    <s v="3-3.25/6-6.5"/>
    <s v="LDN"/>
    <n v="350"/>
    <x v="0"/>
    <n v="1"/>
    <n v="91.5"/>
    <n v="3.4"/>
    <m/>
    <x v="0"/>
    <n v="88.1"/>
    <n v="88.1"/>
    <m/>
    <x v="0"/>
    <x v="0"/>
    <n v="0"/>
    <n v="0"/>
    <x v="0"/>
    <x v="0"/>
    <m/>
    <x v="0"/>
    <x v="0"/>
    <x v="0"/>
    <x v="0"/>
    <x v="0"/>
    <n v="0"/>
    <n v="0"/>
    <n v="0"/>
    <n v="12"/>
    <x v="1"/>
    <x v="0"/>
    <m/>
    <x v="0"/>
    <n v="96.5"/>
    <x v="0"/>
    <x v="30"/>
    <x v="0"/>
    <x v="0"/>
    <x v="0"/>
  </r>
  <r>
    <x v="0"/>
    <x v="15"/>
    <s v="3033 F"/>
    <x v="269"/>
    <s v="Usman Amin"/>
    <s v="LDN"/>
    <n v="17.25"/>
    <s v="8.5-9"/>
    <s v="LDN"/>
    <n v="1000"/>
    <x v="0"/>
    <n v="3"/>
    <n v="167"/>
    <n v="5.0999999999999996"/>
    <m/>
    <x v="0"/>
    <n v="161.9"/>
    <n v="1686.3"/>
    <m/>
    <x v="0"/>
    <x v="0"/>
    <n v="0"/>
    <n v="0"/>
    <x v="0"/>
    <x v="0"/>
    <m/>
    <x v="0"/>
    <x v="0"/>
    <x v="0"/>
    <x v="0"/>
    <x v="0"/>
    <n v="0"/>
    <n v="0"/>
    <n v="0"/>
    <n v="12"/>
    <x v="1"/>
    <x v="0"/>
    <m/>
    <x v="0"/>
    <n v="172"/>
    <x v="0"/>
    <x v="30"/>
    <x v="0"/>
    <x v="0"/>
    <x v="0"/>
  </r>
  <r>
    <x v="0"/>
    <x v="15"/>
    <s v="3067 F"/>
    <x v="269"/>
    <s v="Usman Amin"/>
    <s v="LDN"/>
    <n v="26"/>
    <s v="7-7.5"/>
    <s v="LDN"/>
    <n v="60"/>
    <x v="0"/>
    <n v="1"/>
    <n v="66"/>
    <n v="2.6"/>
    <m/>
    <x v="0"/>
    <n v="63.4"/>
    <n v="63.4"/>
    <n v="3"/>
    <x v="0"/>
    <x v="0"/>
    <n v="3"/>
    <n v="0.05"/>
    <x v="0"/>
    <x v="0"/>
    <m/>
    <x v="0"/>
    <x v="0"/>
    <x v="0"/>
    <x v="0"/>
    <x v="0"/>
    <n v="0"/>
    <n v="0"/>
    <n v="0.05"/>
    <n v="11.95"/>
    <x v="1"/>
    <x v="0"/>
    <m/>
    <x v="0"/>
    <n v="71"/>
    <x v="0"/>
    <x v="30"/>
    <x v="0"/>
    <x v="0"/>
    <x v="0"/>
  </r>
  <r>
    <x v="0"/>
    <x v="15"/>
    <s v="3085 F"/>
    <x v="269"/>
    <s v="Usman Amin"/>
    <s v="LDN"/>
    <n v="28"/>
    <s v="8-8.5"/>
    <s v="LDN"/>
    <n v="400"/>
    <x v="0"/>
    <n v="3"/>
    <n v="272"/>
    <n v="8.3999999999999986"/>
    <n v="6"/>
    <x v="0"/>
    <n v="263.60000000000002"/>
    <n v="393.80000000000007"/>
    <n v="2"/>
    <x v="0"/>
    <x v="0"/>
    <n v="2"/>
    <n v="3.3333333333333333E-2"/>
    <x v="0"/>
    <x v="0"/>
    <m/>
    <x v="0"/>
    <x v="0"/>
    <x v="0"/>
    <x v="0"/>
    <x v="0"/>
    <n v="0"/>
    <n v="0"/>
    <n v="3.3333333333333333E-2"/>
    <n v="11.966666666666667"/>
    <x v="1"/>
    <x v="0"/>
    <m/>
    <x v="0"/>
    <n v="277"/>
    <x v="0"/>
    <x v="30"/>
    <x v="0"/>
    <x v="0"/>
    <x v="0"/>
  </r>
  <r>
    <x v="1"/>
    <x v="15"/>
    <s v="3085 F"/>
    <x v="269"/>
    <s v="Usman Amin"/>
    <s v="LDN"/>
    <n v="28"/>
    <s v="8-8.5"/>
    <s v="LDN"/>
    <n v="400"/>
    <x v="0"/>
    <n v="2"/>
    <n v="135.80000000000001"/>
    <n v="5.6"/>
    <n v="9"/>
    <x v="0"/>
    <n v="130.20000000000002"/>
    <n v="393.80000000000007"/>
    <n v="2"/>
    <x v="0"/>
    <x v="0"/>
    <n v="2"/>
    <n v="3.3333333333333333E-2"/>
    <x v="0"/>
    <x v="0"/>
    <m/>
    <x v="0"/>
    <x v="0"/>
    <x v="0"/>
    <x v="0"/>
    <x v="0"/>
    <n v="0"/>
    <n v="0"/>
    <n v="3.3333333333333333E-2"/>
    <n v="11.966666666666667"/>
    <x v="1"/>
    <x v="0"/>
    <m/>
    <x v="0"/>
    <n v="140.80000000000001"/>
    <x v="0"/>
    <x v="30"/>
    <x v="0"/>
    <x v="0"/>
    <x v="0"/>
  </r>
  <r>
    <x v="1"/>
    <x v="15"/>
    <s v="3086 F"/>
    <x v="269"/>
    <s v="Usman Amin"/>
    <s v="LDN"/>
    <n v="32"/>
    <s v="8-8.5"/>
    <s v="LDN"/>
    <n v="275"/>
    <x v="0"/>
    <n v="4"/>
    <n v="287"/>
    <n v="12.8"/>
    <m/>
    <x v="0"/>
    <n v="274.2"/>
    <n v="274.2"/>
    <n v="2"/>
    <x v="0"/>
    <x v="0"/>
    <n v="2"/>
    <n v="3.3333333333333333E-2"/>
    <x v="0"/>
    <x v="0"/>
    <m/>
    <x v="0"/>
    <x v="0"/>
    <x v="0"/>
    <x v="0"/>
    <x v="0"/>
    <n v="0"/>
    <n v="0"/>
    <n v="3.3333333333333333E-2"/>
    <n v="11.966666666666667"/>
    <x v="1"/>
    <x v="0"/>
    <m/>
    <x v="0"/>
    <n v="292"/>
    <x v="0"/>
    <x v="30"/>
    <x v="0"/>
    <x v="0"/>
    <x v="0"/>
  </r>
  <r>
    <x v="1"/>
    <x v="15"/>
    <s v="8088 J"/>
    <x v="269"/>
    <s v="Special Papari Nimko Kamonki "/>
    <s v="LDN"/>
    <n v="32"/>
    <n v="8"/>
    <s v="LDN"/>
    <n v="100"/>
    <x v="0"/>
    <n v="1"/>
    <n v="116"/>
    <n v="3.2"/>
    <m/>
    <x v="0"/>
    <n v="112.8"/>
    <n v="112.8"/>
    <m/>
    <x v="0"/>
    <x v="0"/>
    <n v="0"/>
    <n v="0"/>
    <x v="0"/>
    <x v="0"/>
    <m/>
    <x v="0"/>
    <x v="0"/>
    <x v="0"/>
    <x v="0"/>
    <x v="0"/>
    <n v="0"/>
    <n v="0"/>
    <n v="0"/>
    <n v="12"/>
    <x v="1"/>
    <x v="0"/>
    <m/>
    <x v="0"/>
    <n v="121"/>
    <x v="0"/>
    <x v="30"/>
    <x v="0"/>
    <x v="0"/>
    <x v="0"/>
  </r>
  <r>
    <x v="1"/>
    <x v="15"/>
    <s v="8155 J"/>
    <x v="269"/>
    <s v="Subhan Traders Out Fall Road Lahore"/>
    <s v="LDN"/>
    <n v="31"/>
    <s v="11.5-12"/>
    <s v="LDN"/>
    <n v="25"/>
    <x v="0"/>
    <n v="1"/>
    <n v="42.5"/>
    <n v="3.1"/>
    <m/>
    <x v="0"/>
    <n v="39.4"/>
    <n v="39.4"/>
    <m/>
    <x v="0"/>
    <x v="0"/>
    <n v="0"/>
    <n v="0"/>
    <x v="0"/>
    <x v="0"/>
    <m/>
    <x v="0"/>
    <x v="0"/>
    <x v="0"/>
    <x v="0"/>
    <x v="0"/>
    <n v="0"/>
    <n v="0"/>
    <n v="0"/>
    <n v="12"/>
    <x v="1"/>
    <x v="0"/>
    <m/>
    <x v="0"/>
    <n v="47.5"/>
    <x v="0"/>
    <x v="30"/>
    <x v="0"/>
    <x v="0"/>
    <x v="0"/>
  </r>
  <r>
    <x v="0"/>
    <x v="8"/>
    <s v="8217 J"/>
    <x v="270"/>
    <s v="Jilani Poly Stock"/>
    <s v="LDN"/>
    <n v="6"/>
    <n v="10"/>
    <s v="LDN"/>
    <s v="-"/>
    <x v="0"/>
    <n v="3"/>
    <n v="117"/>
    <n v="2.0999999999999996"/>
    <n v="2"/>
    <x v="0"/>
    <n v="114.9"/>
    <n v="508.90000000000009"/>
    <m/>
    <x v="0"/>
    <x v="0"/>
    <n v="0"/>
    <n v="0"/>
    <x v="0"/>
    <x v="0"/>
    <m/>
    <x v="0"/>
    <x v="0"/>
    <x v="0"/>
    <x v="0"/>
    <x v="0"/>
    <n v="0"/>
    <n v="0"/>
    <n v="0"/>
    <n v="12"/>
    <x v="1"/>
    <x v="0"/>
    <m/>
    <x v="0"/>
    <n v="122"/>
    <x v="0"/>
    <x v="30"/>
    <x v="0"/>
    <x v="0"/>
    <x v="0"/>
  </r>
  <r>
    <x v="1"/>
    <x v="8"/>
    <s v="8217 J"/>
    <x v="270"/>
    <s v="Jilani Poly Stock"/>
    <s v="LDN"/>
    <n v="6"/>
    <n v="10"/>
    <s v="LDN"/>
    <s v="-"/>
    <x v="0"/>
    <n v="3"/>
    <n v="125.2"/>
    <n v="1.5"/>
    <n v="1"/>
    <x v="0"/>
    <n v="123.7"/>
    <n v="508.90000000000009"/>
    <m/>
    <x v="0"/>
    <x v="0"/>
    <n v="0"/>
    <n v="0"/>
    <x v="0"/>
    <x v="0"/>
    <m/>
    <x v="0"/>
    <x v="0"/>
    <x v="0"/>
    <x v="0"/>
    <x v="0"/>
    <n v="0"/>
    <n v="0"/>
    <n v="0"/>
    <n v="12"/>
    <x v="1"/>
    <x v="0"/>
    <m/>
    <x v="0"/>
    <n v="130.19999999999999"/>
    <x v="0"/>
    <x v="30"/>
    <x v="0"/>
    <x v="0"/>
    <x v="0"/>
  </r>
  <r>
    <x v="0"/>
    <x v="9"/>
    <s v="8196 J"/>
    <x v="270"/>
    <s v="Ibraheem Filter Industry (SMC.PVT.LTD)"/>
    <s v="LDN"/>
    <n v="16"/>
    <n v="8"/>
    <s v="LDN"/>
    <n v="1595.4415954415954"/>
    <x v="0"/>
    <n v="3"/>
    <n v="197.5"/>
    <n v="5.9"/>
    <n v="4"/>
    <x v="0"/>
    <n v="191.6"/>
    <n v="1726.2"/>
    <m/>
    <x v="0"/>
    <x v="0"/>
    <n v="0"/>
    <n v="0"/>
    <x v="0"/>
    <x v="0"/>
    <m/>
    <x v="0"/>
    <x v="0"/>
    <x v="0"/>
    <x v="0"/>
    <x v="0"/>
    <n v="0"/>
    <n v="0"/>
    <n v="0"/>
    <n v="12"/>
    <x v="1"/>
    <x v="0"/>
    <m/>
    <x v="0"/>
    <n v="202.5"/>
    <x v="0"/>
    <x v="30"/>
    <x v="0"/>
    <x v="0"/>
    <x v="0"/>
  </r>
  <r>
    <x v="1"/>
    <x v="9"/>
    <s v="8196 J"/>
    <x v="270"/>
    <s v="Ibraheem Filter Industry (SMC.PVT.LTD)"/>
    <s v="LDN"/>
    <n v="16"/>
    <n v="8"/>
    <s v="LDN"/>
    <n v="1595.4415954415954"/>
    <x v="0"/>
    <n v="3"/>
    <n v="201.5"/>
    <n v="5.6999999999999993"/>
    <n v="3"/>
    <x v="0"/>
    <n v="195.8"/>
    <n v="1726.2"/>
    <m/>
    <x v="0"/>
    <x v="0"/>
    <n v="0"/>
    <n v="0"/>
    <x v="0"/>
    <x v="0"/>
    <m/>
    <x v="0"/>
    <x v="0"/>
    <x v="0"/>
    <x v="0"/>
    <x v="0"/>
    <n v="0"/>
    <n v="0"/>
    <n v="0"/>
    <n v="12"/>
    <x v="1"/>
    <x v="0"/>
    <m/>
    <x v="0"/>
    <n v="206.5"/>
    <x v="0"/>
    <x v="30"/>
    <x v="0"/>
    <x v="0"/>
    <x v="0"/>
  </r>
  <r>
    <x v="0"/>
    <x v="11"/>
    <s v="8057 J"/>
    <x v="270"/>
    <s v="Waqas Wollan Mills Gujranwala"/>
    <s v="LD بلو"/>
    <n v="15"/>
    <s v="10-10.5"/>
    <s v="LDM"/>
    <n v="200"/>
    <x v="0"/>
    <n v="1"/>
    <n v="73.5"/>
    <n v="1.9"/>
    <m/>
    <x v="0"/>
    <n v="71.599999999999994"/>
    <n v="552"/>
    <m/>
    <x v="0"/>
    <x v="0"/>
    <n v="0"/>
    <n v="0"/>
    <x v="0"/>
    <x v="0"/>
    <m/>
    <x v="0"/>
    <x v="0"/>
    <x v="0"/>
    <x v="0"/>
    <x v="0"/>
    <n v="0"/>
    <n v="0"/>
    <n v="0"/>
    <n v="12"/>
    <x v="1"/>
    <x v="0"/>
    <m/>
    <x v="0"/>
    <n v="78.5"/>
    <x v="0"/>
    <x v="30"/>
    <x v="0"/>
    <x v="0"/>
    <x v="0"/>
  </r>
  <r>
    <x v="0"/>
    <x v="11"/>
    <s v="8056 J"/>
    <x v="270"/>
    <s v="Waqas Wollan Mills Gujranwala"/>
    <s v="LD بلو"/>
    <n v="16"/>
    <s v="10-10.5"/>
    <s v="LDM"/>
    <n v="100"/>
    <x v="0"/>
    <n v="4"/>
    <n v="306.5"/>
    <n v="7.6"/>
    <n v="8"/>
    <x v="0"/>
    <n v="298.89999999999998"/>
    <n v="506.9"/>
    <n v="2"/>
    <x v="0"/>
    <x v="0"/>
    <n v="2"/>
    <n v="3.3333333333333333E-2"/>
    <x v="0"/>
    <x v="0"/>
    <m/>
    <x v="0"/>
    <x v="0"/>
    <x v="0"/>
    <x v="0"/>
    <x v="0"/>
    <n v="0"/>
    <n v="0"/>
    <n v="3.3333333333333333E-2"/>
    <n v="11.966666666666667"/>
    <x v="1"/>
    <x v="0"/>
    <m/>
    <x v="0"/>
    <n v="311.5"/>
    <x v="0"/>
    <x v="30"/>
    <x v="0"/>
    <x v="0"/>
    <x v="0"/>
  </r>
  <r>
    <x v="1"/>
    <x v="11"/>
    <s v="8056 J"/>
    <x v="270"/>
    <s v="Waqas Wollan Mills Gujranwala"/>
    <s v="LD بلو"/>
    <n v="16"/>
    <s v="10-10.5"/>
    <s v="LDM"/>
    <n v="100"/>
    <x v="0"/>
    <n v="3"/>
    <n v="214"/>
    <n v="6"/>
    <n v="5"/>
    <x v="0"/>
    <n v="208"/>
    <n v="506.9"/>
    <m/>
    <x v="0"/>
    <x v="0"/>
    <n v="0"/>
    <n v="0"/>
    <x v="0"/>
    <x v="0"/>
    <m/>
    <x v="0"/>
    <x v="0"/>
    <x v="0"/>
    <x v="0"/>
    <x v="0"/>
    <n v="0"/>
    <n v="0"/>
    <n v="0"/>
    <n v="12"/>
    <x v="1"/>
    <x v="0"/>
    <m/>
    <x v="0"/>
    <n v="219"/>
    <x v="0"/>
    <x v="30"/>
    <x v="0"/>
    <x v="0"/>
    <x v="0"/>
  </r>
  <r>
    <x v="1"/>
    <x v="11"/>
    <s v="8055 J"/>
    <x v="270"/>
    <s v="Waqas Wollan Mills Gujranwala"/>
    <s v="LD بلو"/>
    <n v="16"/>
    <s v="10-10.5"/>
    <s v="LDM"/>
    <n v="500"/>
    <x v="0"/>
    <n v="2"/>
    <n v="144"/>
    <n v="4"/>
    <m/>
    <x v="0"/>
    <n v="140"/>
    <n v="499.1"/>
    <m/>
    <x v="0"/>
    <x v="0"/>
    <n v="0"/>
    <n v="0"/>
    <x v="0"/>
    <x v="0"/>
    <m/>
    <x v="0"/>
    <x v="0"/>
    <x v="0"/>
    <x v="0"/>
    <x v="0"/>
    <n v="0"/>
    <n v="0"/>
    <n v="0"/>
    <n v="12"/>
    <x v="1"/>
    <x v="0"/>
    <m/>
    <x v="0"/>
    <n v="149"/>
    <x v="0"/>
    <x v="30"/>
    <x v="0"/>
    <x v="0"/>
    <x v="0"/>
  </r>
  <r>
    <x v="0"/>
    <x v="13"/>
    <s v="3095 F"/>
    <x v="270"/>
    <s v="Usman Amin"/>
    <s v="LDN"/>
    <n v="18"/>
    <s v="7-7.5"/>
    <s v="LDN"/>
    <n v="35"/>
    <x v="0"/>
    <n v="2"/>
    <n v="142"/>
    <n v="4.5"/>
    <m/>
    <x v="0"/>
    <n v="137.5"/>
    <n v="137.5"/>
    <m/>
    <x v="0"/>
    <x v="0"/>
    <n v="0"/>
    <n v="0"/>
    <x v="0"/>
    <x v="0"/>
    <m/>
    <x v="0"/>
    <x v="0"/>
    <x v="0"/>
    <x v="0"/>
    <x v="0"/>
    <n v="0"/>
    <n v="0"/>
    <n v="0"/>
    <n v="12"/>
    <x v="1"/>
    <x v="0"/>
    <m/>
    <x v="0"/>
    <n v="147"/>
    <x v="0"/>
    <x v="30"/>
    <x v="0"/>
    <x v="0"/>
    <x v="0"/>
  </r>
  <r>
    <x v="0"/>
    <x v="13"/>
    <s v="3093 F"/>
    <x v="270"/>
    <s v="Usman Amin"/>
    <s v="LDN"/>
    <n v="19"/>
    <s v="12"/>
    <s v="LDN"/>
    <n v="200"/>
    <x v="0"/>
    <n v="2"/>
    <n v="132"/>
    <n v="4.68"/>
    <m/>
    <x v="0"/>
    <n v="127.32"/>
    <n v="213.42"/>
    <n v="2"/>
    <x v="0"/>
    <x v="0"/>
    <n v="2"/>
    <n v="3.3333333333333333E-2"/>
    <x v="0"/>
    <x v="0"/>
    <m/>
    <x v="0"/>
    <x v="0"/>
    <x v="0"/>
    <x v="0"/>
    <x v="0"/>
    <n v="0"/>
    <n v="0"/>
    <n v="3.3333333333333333E-2"/>
    <n v="11.966666666666667"/>
    <x v="1"/>
    <x v="0"/>
    <m/>
    <x v="0"/>
    <n v="137"/>
    <x v="0"/>
    <x v="30"/>
    <x v="0"/>
    <x v="0"/>
    <x v="0"/>
  </r>
  <r>
    <x v="0"/>
    <x v="13"/>
    <s v="3066 F"/>
    <x v="270"/>
    <s v="Usman Amin"/>
    <s v="LDN"/>
    <n v="18"/>
    <s v="5.5-6"/>
    <s v="LDN"/>
    <n v="90"/>
    <x v="0"/>
    <n v="2"/>
    <n v="108"/>
    <n v="4.5"/>
    <n v="5"/>
    <x v="0"/>
    <n v="103.5"/>
    <n v="103.5"/>
    <n v="2"/>
    <x v="0"/>
    <x v="0"/>
    <n v="2"/>
    <n v="3.3333333333333333E-2"/>
    <x v="0"/>
    <x v="0"/>
    <m/>
    <x v="0"/>
    <x v="0"/>
    <x v="0"/>
    <x v="0"/>
    <x v="0"/>
    <n v="0"/>
    <n v="0"/>
    <n v="3.3333333333333333E-2"/>
    <n v="11.966666666666667"/>
    <x v="1"/>
    <x v="0"/>
    <m/>
    <x v="0"/>
    <n v="113"/>
    <x v="0"/>
    <x v="30"/>
    <x v="0"/>
    <x v="0"/>
    <x v="0"/>
  </r>
  <r>
    <x v="1"/>
    <x v="13"/>
    <s v="3093 F"/>
    <x v="270"/>
    <s v="Usman Amin"/>
    <s v="LDN"/>
    <n v="19"/>
    <s v="12"/>
    <s v="LDN"/>
    <n v="200"/>
    <x v="0"/>
    <n v="2"/>
    <n v="90.5"/>
    <n v="4.4000000000000004"/>
    <n v="6"/>
    <x v="0"/>
    <n v="86.1"/>
    <n v="213.42"/>
    <m/>
    <x v="0"/>
    <x v="0"/>
    <n v="0"/>
    <n v="0"/>
    <x v="0"/>
    <x v="0"/>
    <m/>
    <x v="0"/>
    <x v="0"/>
    <x v="0"/>
    <x v="0"/>
    <x v="0"/>
    <n v="0"/>
    <n v="0"/>
    <n v="0"/>
    <n v="12"/>
    <x v="1"/>
    <x v="0"/>
    <m/>
    <x v="0"/>
    <n v="95.5"/>
    <x v="0"/>
    <x v="30"/>
    <x v="0"/>
    <x v="0"/>
    <x v="0"/>
  </r>
  <r>
    <x v="1"/>
    <x v="13"/>
    <s v="3068 F"/>
    <x v="270"/>
    <s v="Usman Amin"/>
    <s v="LDN"/>
    <n v="13"/>
    <s v="7-7.5"/>
    <s v="LDN"/>
    <n v="80"/>
    <x v="0"/>
    <n v="1"/>
    <n v="69.5"/>
    <n v="1.5"/>
    <m/>
    <x v="0"/>
    <n v="68"/>
    <n v="68"/>
    <m/>
    <x v="0"/>
    <x v="0"/>
    <n v="0"/>
    <n v="0"/>
    <x v="0"/>
    <x v="0"/>
    <m/>
    <x v="0"/>
    <x v="0"/>
    <x v="0"/>
    <x v="0"/>
    <x v="0"/>
    <n v="0"/>
    <n v="0"/>
    <n v="0"/>
    <n v="12"/>
    <x v="1"/>
    <x v="0"/>
    <m/>
    <x v="0"/>
    <n v="74.5"/>
    <x v="0"/>
    <x v="30"/>
    <x v="0"/>
    <x v="0"/>
    <x v="0"/>
  </r>
  <r>
    <x v="1"/>
    <x v="13"/>
    <s v="3033 F"/>
    <x v="270"/>
    <s v="Usman Amin"/>
    <s v="LDN"/>
    <n v="17.25"/>
    <s v="8.5-9"/>
    <s v="LDN"/>
    <n v="1000"/>
    <x v="0"/>
    <n v="2"/>
    <n v="149.30000000000001"/>
    <n v="4"/>
    <m/>
    <x v="0"/>
    <n v="145.30000000000001"/>
    <n v="1686.3"/>
    <m/>
    <x v="0"/>
    <x v="0"/>
    <n v="0"/>
    <n v="0"/>
    <x v="0"/>
    <x v="0"/>
    <m/>
    <x v="0"/>
    <x v="0"/>
    <x v="0"/>
    <x v="0"/>
    <x v="0"/>
    <n v="0"/>
    <n v="0"/>
    <n v="0"/>
    <n v="12"/>
    <x v="1"/>
    <x v="0"/>
    <m/>
    <x v="0"/>
    <n v="154.30000000000001"/>
    <x v="0"/>
    <x v="30"/>
    <x v="0"/>
    <x v="0"/>
    <x v="0"/>
  </r>
  <r>
    <x v="0"/>
    <x v="14"/>
    <s v="3084 J"/>
    <x v="270"/>
    <s v="Service Industry Gujrat"/>
    <s v="LDM"/>
    <s v="432 MM"/>
    <s v="-"/>
    <s v="LDM"/>
    <n v="100"/>
    <x v="0"/>
    <n v="3"/>
    <n v="269"/>
    <n v="13.5"/>
    <m/>
    <x v="0"/>
    <n v="255.5"/>
    <n v="358.7"/>
    <m/>
    <x v="0"/>
    <x v="0"/>
    <n v="0"/>
    <n v="0"/>
    <x v="0"/>
    <x v="0"/>
    <m/>
    <x v="0"/>
    <x v="0"/>
    <x v="0"/>
    <x v="0"/>
    <x v="0"/>
    <n v="0"/>
    <n v="0"/>
    <n v="0"/>
    <n v="12"/>
    <x v="1"/>
    <x v="0"/>
    <m/>
    <x v="0"/>
    <n v="274"/>
    <x v="0"/>
    <x v="30"/>
    <x v="0"/>
    <x v="0"/>
    <x v="0"/>
  </r>
  <r>
    <x v="0"/>
    <x v="14"/>
    <s v="8197 J"/>
    <x v="270"/>
    <s v="G.M Tex Lahore"/>
    <s v="LDM"/>
    <n v="18"/>
    <s v="15-16"/>
    <s v="LDM"/>
    <n v="100"/>
    <x v="0"/>
    <n v="2"/>
    <n v="149.5"/>
    <n v="9.6"/>
    <m/>
    <x v="0"/>
    <n v="139.9"/>
    <n v="250.9"/>
    <n v="3"/>
    <x v="0"/>
    <x v="0"/>
    <n v="3"/>
    <n v="0.05"/>
    <x v="0"/>
    <x v="0"/>
    <m/>
    <x v="0"/>
    <x v="0"/>
    <x v="0"/>
    <x v="0"/>
    <x v="0"/>
    <n v="0"/>
    <n v="0"/>
    <n v="0.05"/>
    <n v="11.95"/>
    <x v="1"/>
    <x v="0"/>
    <m/>
    <x v="0"/>
    <n v="154.5"/>
    <x v="0"/>
    <x v="30"/>
    <x v="0"/>
    <x v="0"/>
    <x v="0"/>
  </r>
  <r>
    <x v="0"/>
    <x v="14"/>
    <s v="8233 J"/>
    <x v="270"/>
    <s v="Usman Packges Rwp"/>
    <s v="LDM"/>
    <n v="24"/>
    <s v="13.5-14"/>
    <s v="LDM"/>
    <n v="100"/>
    <x v="0"/>
    <n v="2"/>
    <n v="104"/>
    <n v="3"/>
    <m/>
    <x v="0"/>
    <n v="101"/>
    <n v="492.3"/>
    <n v="2"/>
    <x v="0"/>
    <x v="0"/>
    <n v="2"/>
    <n v="3.3333333333333333E-2"/>
    <x v="0"/>
    <x v="0"/>
    <m/>
    <x v="0"/>
    <x v="0"/>
    <x v="0"/>
    <x v="0"/>
    <x v="0"/>
    <n v="0"/>
    <n v="0"/>
    <n v="3.3333333333333333E-2"/>
    <n v="11.966666666666667"/>
    <x v="1"/>
    <x v="0"/>
    <m/>
    <x v="0"/>
    <n v="109"/>
    <x v="0"/>
    <x v="30"/>
    <x v="0"/>
    <x v="0"/>
    <x v="0"/>
  </r>
  <r>
    <x v="0"/>
    <x v="14"/>
    <s v="8232 J"/>
    <x v="270"/>
    <s v="Usman Packges Rwp"/>
    <s v="LDM"/>
    <n v="20"/>
    <s v="13.5-14"/>
    <s v="LDM"/>
    <n v="100"/>
    <x v="0"/>
    <n v="2"/>
    <n v="106.5"/>
    <n v="4.4000000000000004"/>
    <m/>
    <x v="0"/>
    <n v="102.1"/>
    <n v="167.2"/>
    <n v="3"/>
    <x v="0"/>
    <x v="0"/>
    <n v="3"/>
    <n v="0.05"/>
    <x v="0"/>
    <x v="0"/>
    <m/>
    <x v="0"/>
    <x v="0"/>
    <x v="0"/>
    <x v="0"/>
    <x v="0"/>
    <n v="0"/>
    <n v="0"/>
    <n v="0.05"/>
    <n v="11.95"/>
    <x v="1"/>
    <x v="0"/>
    <m/>
    <x v="0"/>
    <n v="111.5"/>
    <x v="0"/>
    <x v="30"/>
    <x v="0"/>
    <x v="0"/>
    <x v="0"/>
  </r>
  <r>
    <x v="0"/>
    <x v="14"/>
    <s v="8091 J"/>
    <x v="270"/>
    <s v="Ashiq Cloth House Gujrat "/>
    <s v="LDM"/>
    <n v="20"/>
    <s v="16-17"/>
    <s v="LDM"/>
    <n v="100"/>
    <x v="0"/>
    <n v="1"/>
    <n v="68"/>
    <n v="2"/>
    <m/>
    <x v="0"/>
    <n v="66"/>
    <n v="66"/>
    <n v="2"/>
    <x v="0"/>
    <x v="0"/>
    <n v="2"/>
    <n v="3.3333333333333333E-2"/>
    <x v="0"/>
    <x v="0"/>
    <m/>
    <x v="0"/>
    <x v="0"/>
    <x v="0"/>
    <x v="0"/>
    <x v="0"/>
    <n v="0"/>
    <n v="0"/>
    <n v="3.3333333333333333E-2"/>
    <n v="11.966666666666667"/>
    <x v="1"/>
    <x v="0"/>
    <m/>
    <x v="0"/>
    <n v="73"/>
    <x v="0"/>
    <x v="30"/>
    <x v="0"/>
    <x v="0"/>
    <x v="0"/>
  </r>
  <r>
    <x v="0"/>
    <x v="14"/>
    <s v="7997 J"/>
    <x v="270"/>
    <s v="Berger Point Lahore"/>
    <s v="LDN"/>
    <n v="20"/>
    <n v="0"/>
    <s v="LDN"/>
    <n v="1000"/>
    <x v="0"/>
    <n v="1"/>
    <n v="147"/>
    <n v="2"/>
    <n v="25"/>
    <x v="0"/>
    <n v="145"/>
    <n v="1081.3"/>
    <m/>
    <x v="0"/>
    <x v="0"/>
    <n v="0"/>
    <n v="0"/>
    <x v="0"/>
    <x v="0"/>
    <m/>
    <x v="0"/>
    <x v="0"/>
    <x v="0"/>
    <x v="0"/>
    <x v="0"/>
    <n v="0"/>
    <n v="0"/>
    <n v="0"/>
    <n v="12"/>
    <x v="1"/>
    <x v="0"/>
    <m/>
    <x v="0"/>
    <n v="152"/>
    <x v="0"/>
    <x v="30"/>
    <x v="0"/>
    <x v="0"/>
    <x v="0"/>
  </r>
  <r>
    <x v="1"/>
    <x v="14"/>
    <s v="8145 J"/>
    <x v="270"/>
    <s v="Ibraheem Beauty Shop Jehlum"/>
    <s v="LDM"/>
    <n v="12"/>
    <s v="12-12.5"/>
    <s v="LDM"/>
    <n v="200"/>
    <x v="0"/>
    <n v="4"/>
    <n v="205"/>
    <n v="4"/>
    <n v="8"/>
    <x v="0"/>
    <n v="201"/>
    <n v="201"/>
    <m/>
    <x v="0"/>
    <x v="0"/>
    <n v="0"/>
    <n v="0"/>
    <x v="0"/>
    <x v="0"/>
    <m/>
    <x v="0"/>
    <x v="0"/>
    <x v="0"/>
    <x v="0"/>
    <x v="0"/>
    <n v="0"/>
    <n v="0"/>
    <n v="0"/>
    <n v="12"/>
    <x v="1"/>
    <x v="0"/>
    <m/>
    <x v="0"/>
    <n v="210"/>
    <x v="0"/>
    <x v="30"/>
    <x v="0"/>
    <x v="0"/>
    <x v="0"/>
  </r>
  <r>
    <x v="1"/>
    <x v="14"/>
    <s v="8123 J"/>
    <x v="270"/>
    <s v="A.K Shopping Bag Multan"/>
    <s v="LDM"/>
    <s v="12+3+3"/>
    <s v="7.5-8/15-16"/>
    <s v="LDM"/>
    <n v="330"/>
    <x v="0"/>
    <n v="7"/>
    <n v="274.5"/>
    <n v="7"/>
    <m/>
    <x v="0"/>
    <n v="267.5"/>
    <n v="475.70000000000005"/>
    <m/>
    <x v="0"/>
    <x v="0"/>
    <n v="0"/>
    <n v="0"/>
    <x v="0"/>
    <x v="0"/>
    <m/>
    <x v="0"/>
    <x v="0"/>
    <x v="0"/>
    <x v="0"/>
    <x v="0"/>
    <n v="0"/>
    <n v="0"/>
    <n v="0"/>
    <n v="12"/>
    <x v="1"/>
    <x v="0"/>
    <m/>
    <x v="0"/>
    <n v="279.5"/>
    <x v="0"/>
    <x v="30"/>
    <x v="0"/>
    <x v="0"/>
    <x v="0"/>
  </r>
  <r>
    <x v="1"/>
    <x v="14"/>
    <s v="8189 J"/>
    <x v="270"/>
    <s v="Saif Bhai Cloth And Genral Store C/O Saeed Sb (JE)"/>
    <s v="LDM"/>
    <s v="12+3+3"/>
    <s v="7.5-8/15-16"/>
    <s v="LDM"/>
    <n v="110"/>
    <x v="0"/>
    <n v="3"/>
    <n v="73.5"/>
    <n v="3"/>
    <m/>
    <x v="0"/>
    <n v="70.5"/>
    <n v="70.5"/>
    <m/>
    <x v="0"/>
    <x v="0"/>
    <n v="0"/>
    <n v="0"/>
    <x v="0"/>
    <x v="0"/>
    <m/>
    <x v="0"/>
    <x v="0"/>
    <x v="0"/>
    <x v="0"/>
    <x v="0"/>
    <n v="0"/>
    <n v="0"/>
    <n v="0"/>
    <n v="12"/>
    <x v="1"/>
    <x v="0"/>
    <m/>
    <x v="0"/>
    <n v="78.5"/>
    <x v="0"/>
    <x v="30"/>
    <x v="0"/>
    <x v="0"/>
    <x v="0"/>
  </r>
  <r>
    <x v="0"/>
    <x v="15"/>
    <s v="8153 J"/>
    <x v="270"/>
    <s v="Subhan Traders Out Fall Road Lahore"/>
    <s v="LDN"/>
    <n v="25"/>
    <s v="11.5-12"/>
    <s v="LDN"/>
    <n v="25"/>
    <x v="0"/>
    <n v="1"/>
    <n v="38"/>
    <n v="2.8"/>
    <m/>
    <x v="0"/>
    <n v="35.200000000000003"/>
    <n v="35.200000000000003"/>
    <m/>
    <x v="0"/>
    <x v="0"/>
    <n v="0"/>
    <n v="0"/>
    <x v="0"/>
    <x v="0"/>
    <m/>
    <x v="0"/>
    <x v="0"/>
    <x v="0"/>
    <x v="0"/>
    <x v="0"/>
    <n v="0"/>
    <n v="0"/>
    <n v="0"/>
    <n v="12"/>
    <x v="1"/>
    <x v="0"/>
    <m/>
    <x v="0"/>
    <n v="43"/>
    <x v="0"/>
    <x v="30"/>
    <x v="0"/>
    <x v="0"/>
    <x v="0"/>
  </r>
  <r>
    <x v="0"/>
    <x v="15"/>
    <s v="8154 J"/>
    <x v="270"/>
    <s v="Subhan Traders Out Fall Road Lahore"/>
    <s v="LDN"/>
    <n v="23"/>
    <s v="11.5-12"/>
    <s v="LDN"/>
    <n v="25"/>
    <x v="0"/>
    <n v="1"/>
    <n v="36"/>
    <n v="2.6"/>
    <m/>
    <x v="0"/>
    <n v="33.4"/>
    <n v="33.4"/>
    <n v="2"/>
    <x v="0"/>
    <x v="0"/>
    <n v="2"/>
    <n v="3.3333333333333333E-2"/>
    <x v="0"/>
    <x v="0"/>
    <m/>
    <x v="0"/>
    <x v="0"/>
    <x v="0"/>
    <x v="0"/>
    <x v="0"/>
    <n v="0"/>
    <n v="0"/>
    <n v="3.3333333333333333E-2"/>
    <n v="11.966666666666667"/>
    <x v="1"/>
    <x v="0"/>
    <m/>
    <x v="0"/>
    <n v="41"/>
    <x v="0"/>
    <x v="30"/>
    <x v="0"/>
    <x v="0"/>
    <x v="0"/>
  </r>
  <r>
    <x v="0"/>
    <x v="15"/>
    <s v="3081 F"/>
    <x v="270"/>
    <s v="Usman Amin"/>
    <s v="LDN"/>
    <s v="27 SHEET"/>
    <s v="3-3.25/6-6.5"/>
    <s v="LDN"/>
    <n v="500"/>
    <x v="0"/>
    <n v="5"/>
    <n v="344.5"/>
    <n v="14.8"/>
    <n v="6"/>
    <x v="0"/>
    <n v="329.7"/>
    <n v="497.7"/>
    <n v="1"/>
    <x v="0"/>
    <x v="0"/>
    <n v="1"/>
    <n v="1.6666666666666666E-2"/>
    <x v="0"/>
    <x v="0"/>
    <m/>
    <x v="0"/>
    <x v="0"/>
    <x v="0"/>
    <x v="0"/>
    <x v="0"/>
    <n v="0"/>
    <n v="0"/>
    <n v="1.6666666666666666E-2"/>
    <n v="11.983333333333333"/>
    <x v="1"/>
    <x v="0"/>
    <m/>
    <x v="0"/>
    <n v="349.5"/>
    <x v="0"/>
    <x v="30"/>
    <x v="0"/>
    <x v="0"/>
    <x v="0"/>
  </r>
  <r>
    <x v="1"/>
    <x v="15"/>
    <s v="3081 F"/>
    <x v="270"/>
    <s v="Usman Amin"/>
    <s v="LDN"/>
    <s v="27 SHEET"/>
    <s v="3-3.25/6-6.5"/>
    <s v="LDN"/>
    <n v="500"/>
    <x v="0"/>
    <n v="3"/>
    <n v="174"/>
    <n v="6"/>
    <n v="9"/>
    <x v="0"/>
    <n v="168"/>
    <n v="497.7"/>
    <m/>
    <x v="0"/>
    <x v="0"/>
    <n v="0"/>
    <n v="0"/>
    <x v="0"/>
    <x v="0"/>
    <m/>
    <x v="0"/>
    <x v="0"/>
    <x v="0"/>
    <x v="0"/>
    <x v="0"/>
    <n v="0"/>
    <n v="0"/>
    <n v="0"/>
    <n v="12"/>
    <x v="1"/>
    <x v="0"/>
    <m/>
    <x v="0"/>
    <n v="179"/>
    <x v="0"/>
    <x v="30"/>
    <x v="0"/>
    <x v="0"/>
    <x v="0"/>
  </r>
  <r>
    <x v="1"/>
    <x v="15"/>
    <s v="3083 F"/>
    <x v="270"/>
    <s v="Usman Amin"/>
    <s v="LDN"/>
    <s v="27 SHEET"/>
    <s v="3-3.25/6-6.5"/>
    <s v="LDN"/>
    <n v="300"/>
    <x v="0"/>
    <n v="5"/>
    <n v="279.62"/>
    <n v="13.5"/>
    <m/>
    <x v="0"/>
    <n v="266.12"/>
    <n v="320.42"/>
    <m/>
    <x v="0"/>
    <x v="0"/>
    <n v="0"/>
    <n v="0"/>
    <x v="0"/>
    <x v="0"/>
    <m/>
    <x v="0"/>
    <x v="0"/>
    <x v="0"/>
    <x v="0"/>
    <x v="0"/>
    <n v="0"/>
    <n v="0"/>
    <n v="0"/>
    <n v="12"/>
    <x v="1"/>
    <x v="0"/>
    <m/>
    <x v="0"/>
    <n v="284.62"/>
    <x v="0"/>
    <x v="30"/>
    <x v="0"/>
    <x v="0"/>
    <x v="0"/>
  </r>
  <r>
    <x v="0"/>
    <x v="8"/>
    <s v="8217 J"/>
    <x v="271"/>
    <s v="Jilani Poly Stock"/>
    <s v="LDN"/>
    <n v="6"/>
    <n v="10"/>
    <s v="LDN"/>
    <s v="-"/>
    <x v="0"/>
    <n v="3"/>
    <n v="128.30000000000001"/>
    <n v="1.6"/>
    <n v="1"/>
    <x v="0"/>
    <n v="126.70000000000002"/>
    <n v="508.90000000000009"/>
    <m/>
    <x v="0"/>
    <x v="0"/>
    <n v="0"/>
    <n v="0"/>
    <x v="0"/>
    <x v="0"/>
    <m/>
    <x v="0"/>
    <x v="0"/>
    <x v="0"/>
    <x v="0"/>
    <x v="0"/>
    <n v="0"/>
    <n v="0"/>
    <n v="0"/>
    <n v="12"/>
    <x v="1"/>
    <x v="0"/>
    <m/>
    <x v="0"/>
    <n v="133.30000000000001"/>
    <x v="0"/>
    <x v="30"/>
    <x v="0"/>
    <x v="0"/>
    <x v="0"/>
  </r>
  <r>
    <x v="1"/>
    <x v="8"/>
    <s v="8217 J"/>
    <x v="271"/>
    <s v="Jilani Poly Stock"/>
    <s v="LDN"/>
    <n v="6"/>
    <n v="10"/>
    <s v="LDN"/>
    <s v="-"/>
    <x v="0"/>
    <n v="3"/>
    <n v="118.5"/>
    <n v="2.4000000000000004"/>
    <n v="1"/>
    <x v="0"/>
    <n v="116.1"/>
    <n v="508.90000000000009"/>
    <m/>
    <x v="0"/>
    <x v="0"/>
    <n v="0"/>
    <n v="0"/>
    <x v="0"/>
    <x v="0"/>
    <m/>
    <x v="0"/>
    <x v="0"/>
    <x v="0"/>
    <x v="0"/>
    <x v="0"/>
    <n v="0"/>
    <n v="0"/>
    <n v="0"/>
    <n v="12"/>
    <x v="1"/>
    <x v="0"/>
    <m/>
    <x v="0"/>
    <n v="123.5"/>
    <x v="0"/>
    <x v="30"/>
    <x v="0"/>
    <x v="0"/>
    <x v="0"/>
  </r>
  <r>
    <x v="0"/>
    <x v="9"/>
    <s v="8196 J"/>
    <x v="271"/>
    <s v="Ibraheem Filter Industry (SMC.PVT.LTD)"/>
    <s v="LDN"/>
    <n v="16"/>
    <n v="8"/>
    <s v="LDN"/>
    <n v="1595.4415954415954"/>
    <x v="0"/>
    <n v="3"/>
    <n v="232"/>
    <n v="5.8"/>
    <n v="3"/>
    <x v="0"/>
    <n v="226.2"/>
    <n v="1726.2"/>
    <m/>
    <x v="0"/>
    <x v="0"/>
    <n v="0"/>
    <n v="0"/>
    <x v="0"/>
    <x v="0"/>
    <m/>
    <x v="0"/>
    <x v="0"/>
    <x v="0"/>
    <x v="0"/>
    <x v="0"/>
    <n v="0"/>
    <n v="0"/>
    <n v="0"/>
    <n v="12"/>
    <x v="1"/>
    <x v="0"/>
    <m/>
    <x v="0"/>
    <n v="237"/>
    <x v="0"/>
    <x v="30"/>
    <x v="0"/>
    <x v="0"/>
    <x v="0"/>
  </r>
  <r>
    <x v="1"/>
    <x v="9"/>
    <s v="8196 J"/>
    <x v="271"/>
    <s v="Ibraheem Filter Industry (SMC.PVT.LTD)"/>
    <s v="LDN"/>
    <n v="16"/>
    <n v="8"/>
    <s v="LDN"/>
    <n v="1595.4415954415954"/>
    <x v="0"/>
    <n v="3"/>
    <n v="215.5"/>
    <n v="6"/>
    <n v="4"/>
    <x v="0"/>
    <n v="209.5"/>
    <n v="1726.2"/>
    <m/>
    <x v="0"/>
    <x v="0"/>
    <n v="0"/>
    <n v="0"/>
    <x v="0"/>
    <x v="0"/>
    <m/>
    <x v="0"/>
    <x v="0"/>
    <x v="0"/>
    <x v="0"/>
    <x v="0"/>
    <n v="0"/>
    <n v="0"/>
    <n v="0"/>
    <n v="12"/>
    <x v="1"/>
    <x v="0"/>
    <m/>
    <x v="0"/>
    <n v="220.5"/>
    <x v="0"/>
    <x v="30"/>
    <x v="0"/>
    <x v="0"/>
    <x v="0"/>
  </r>
  <r>
    <x v="0"/>
    <x v="11"/>
    <s v="8055 J"/>
    <x v="271"/>
    <s v="Waqas Wollan Mills Gujranwala"/>
    <s v="LD بلو"/>
    <n v="16"/>
    <s v="10-10.5"/>
    <s v="LDM"/>
    <n v="500"/>
    <x v="0"/>
    <n v="4"/>
    <n v="366.5"/>
    <n v="7.3999999999999995"/>
    <n v="5"/>
    <x v="0"/>
    <n v="359.1"/>
    <n v="499.1"/>
    <m/>
    <x v="0"/>
    <x v="0"/>
    <n v="0"/>
    <n v="0"/>
    <x v="0"/>
    <x v="0"/>
    <m/>
    <x v="0"/>
    <x v="0"/>
    <x v="0"/>
    <x v="0"/>
    <x v="0"/>
    <n v="0"/>
    <n v="0"/>
    <n v="0"/>
    <n v="12"/>
    <x v="1"/>
    <x v="0"/>
    <m/>
    <x v="0"/>
    <n v="371.5"/>
    <x v="0"/>
    <x v="30"/>
    <x v="0"/>
    <x v="0"/>
    <x v="0"/>
  </r>
  <r>
    <x v="1"/>
    <x v="11"/>
    <s v="8054 J"/>
    <x v="271"/>
    <s v="Waqas Wollan Mills Gujranwala"/>
    <s v="LD بلو"/>
    <n v="12"/>
    <s v="8-8.5"/>
    <s v="LDM"/>
    <n v="100"/>
    <x v="0"/>
    <n v="2"/>
    <n v="113"/>
    <n v="3"/>
    <n v="5"/>
    <x v="0"/>
    <n v="110"/>
    <n v="110"/>
    <n v="5"/>
    <x v="0"/>
    <x v="0"/>
    <n v="5"/>
    <n v="8.3333333333333329E-2"/>
    <x v="0"/>
    <x v="0"/>
    <m/>
    <x v="2"/>
    <x v="0"/>
    <x v="0"/>
    <x v="0"/>
    <x v="0"/>
    <n v="5"/>
    <n v="8.3333333333333329E-2"/>
    <n v="0.16666666666666666"/>
    <n v="11.833333333333334"/>
    <x v="1"/>
    <x v="0"/>
    <m/>
    <x v="0"/>
    <n v="118"/>
    <x v="0"/>
    <x v="30"/>
    <x v="0"/>
    <x v="0"/>
    <x v="0"/>
  </r>
  <r>
    <x v="1"/>
    <x v="11"/>
    <s v="8247 J"/>
    <x v="271"/>
    <s v="Waqas Wollan Mills Gujranwala"/>
    <s v="LD بلو"/>
    <n v="15"/>
    <s v="10-10.5"/>
    <s v="LDM"/>
    <n v="500"/>
    <x v="0"/>
    <n v="3"/>
    <n v="241"/>
    <n v="5.6"/>
    <m/>
    <x v="0"/>
    <n v="235.4"/>
    <n v="523.29999999999995"/>
    <m/>
    <x v="0"/>
    <x v="0"/>
    <n v="0"/>
    <n v="0"/>
    <x v="0"/>
    <x v="0"/>
    <m/>
    <x v="0"/>
    <x v="0"/>
    <x v="0"/>
    <x v="0"/>
    <x v="0"/>
    <n v="0"/>
    <n v="0"/>
    <n v="0"/>
    <n v="12"/>
    <x v="1"/>
    <x v="0"/>
    <m/>
    <x v="0"/>
    <n v="246"/>
    <x v="0"/>
    <x v="30"/>
    <x v="0"/>
    <x v="0"/>
    <x v="0"/>
  </r>
  <r>
    <x v="0"/>
    <x v="13"/>
    <s v="3033 F"/>
    <x v="271"/>
    <s v="Usman Amin"/>
    <s v="LDN"/>
    <n v="17.25"/>
    <s v="8.5-9"/>
    <s v="LDN"/>
    <n v="1000"/>
    <x v="0"/>
    <n v="4"/>
    <n v="293"/>
    <n v="8.5"/>
    <m/>
    <x v="0"/>
    <n v="284.5"/>
    <n v="1686.3"/>
    <m/>
    <x v="0"/>
    <x v="0"/>
    <n v="0"/>
    <n v="0"/>
    <x v="0"/>
    <x v="0"/>
    <m/>
    <x v="0"/>
    <x v="0"/>
    <x v="0"/>
    <x v="0"/>
    <x v="0"/>
    <n v="0"/>
    <n v="0"/>
    <n v="0"/>
    <n v="12"/>
    <x v="1"/>
    <x v="0"/>
    <m/>
    <x v="0"/>
    <n v="298"/>
    <x v="0"/>
    <x v="30"/>
    <x v="0"/>
    <x v="0"/>
    <x v="0"/>
  </r>
  <r>
    <x v="0"/>
    <x v="13"/>
    <s v="3100 F"/>
    <x v="271"/>
    <s v="Usman Amin"/>
    <s v=" LDN "/>
    <n v="17"/>
    <s v="7-7.5"/>
    <s v=" LDN "/>
    <n v="130"/>
    <x v="0"/>
    <n v="1"/>
    <n v="57.5"/>
    <n v="2.2000000000000002"/>
    <n v="6"/>
    <x v="0"/>
    <n v="55.3"/>
    <n v="126.1"/>
    <m/>
    <x v="0"/>
    <x v="0"/>
    <n v="0"/>
    <n v="0"/>
    <x v="0"/>
    <x v="0"/>
    <m/>
    <x v="0"/>
    <x v="0"/>
    <x v="0"/>
    <x v="0"/>
    <x v="0"/>
    <n v="0"/>
    <n v="0"/>
    <n v="0"/>
    <n v="12"/>
    <x v="1"/>
    <x v="0"/>
    <m/>
    <x v="0"/>
    <n v="62.5"/>
    <x v="0"/>
    <x v="30"/>
    <x v="0"/>
    <x v="0"/>
    <x v="0"/>
  </r>
  <r>
    <x v="1"/>
    <x v="13"/>
    <s v="3100 F"/>
    <x v="271"/>
    <s v="Usman Amin"/>
    <s v=" LDN "/>
    <n v="17"/>
    <s v="7-7.5"/>
    <s v=" LDN "/>
    <n v="130"/>
    <x v="0"/>
    <n v="1"/>
    <n v="73"/>
    <n v="2.2000000000000002"/>
    <n v="5"/>
    <x v="0"/>
    <n v="70.8"/>
    <n v="126.1"/>
    <m/>
    <x v="0"/>
    <x v="0"/>
    <n v="0"/>
    <n v="0"/>
    <x v="0"/>
    <x v="0"/>
    <m/>
    <x v="0"/>
    <x v="0"/>
    <x v="0"/>
    <x v="0"/>
    <x v="0"/>
    <n v="0"/>
    <n v="0"/>
    <n v="0"/>
    <n v="12"/>
    <x v="1"/>
    <x v="0"/>
    <m/>
    <x v="0"/>
    <n v="78"/>
    <x v="0"/>
    <x v="30"/>
    <x v="0"/>
    <x v="0"/>
    <x v="0"/>
  </r>
  <r>
    <x v="1"/>
    <x v="13"/>
    <s v="8198 J"/>
    <x v="271"/>
    <s v="Auto Tech Lahore "/>
    <s v="LDN"/>
    <n v="20"/>
    <s v="9.5-10"/>
    <s v="LDN"/>
    <n v="250"/>
    <x v="0"/>
    <n v="2"/>
    <n v="140"/>
    <n v="4.4000000000000004"/>
    <m/>
    <x v="0"/>
    <n v="135.6"/>
    <n v="276.7"/>
    <m/>
    <x v="0"/>
    <x v="0"/>
    <n v="0"/>
    <n v="0"/>
    <x v="0"/>
    <x v="0"/>
    <m/>
    <x v="0"/>
    <x v="0"/>
    <x v="0"/>
    <x v="0"/>
    <x v="0"/>
    <n v="0"/>
    <n v="0"/>
    <n v="0"/>
    <n v="12"/>
    <x v="1"/>
    <x v="0"/>
    <m/>
    <x v="0"/>
    <n v="145"/>
    <x v="0"/>
    <x v="30"/>
    <x v="0"/>
    <x v="0"/>
    <x v="0"/>
  </r>
  <r>
    <x v="1"/>
    <x v="13"/>
    <s v="8089 J"/>
    <x v="271"/>
    <s v="Special Papari Nimko Kamonki "/>
    <s v="LDN"/>
    <n v="18"/>
    <n v="8"/>
    <s v="LDN"/>
    <n v="150"/>
    <x v="0"/>
    <n v="3"/>
    <n v="151.5"/>
    <n v="6.6000000000000005"/>
    <m/>
    <x v="0"/>
    <n v="144.9"/>
    <n v="144.9"/>
    <m/>
    <x v="0"/>
    <x v="0"/>
    <n v="0"/>
    <n v="0"/>
    <x v="0"/>
    <x v="0"/>
    <m/>
    <x v="0"/>
    <x v="0"/>
    <x v="0"/>
    <x v="0"/>
    <x v="0"/>
    <n v="0"/>
    <n v="0"/>
    <n v="0"/>
    <n v="12"/>
    <x v="1"/>
    <x v="0"/>
    <m/>
    <x v="0"/>
    <n v="156.5"/>
    <x v="0"/>
    <x v="30"/>
    <x v="0"/>
    <x v="0"/>
    <x v="0"/>
  </r>
  <r>
    <x v="1"/>
    <x v="12"/>
    <s v="2867/1"/>
    <x v="271"/>
    <s v="OLYMPIA CHEM (CARBONATE)"/>
    <s v="LDN"/>
    <s v="21-21.5"/>
    <s v="30±2"/>
    <s v="LDN"/>
    <n v="1200"/>
    <x v="0"/>
    <n v="4"/>
    <n v="319.5"/>
    <n v="7.8"/>
    <n v="25"/>
    <x v="0"/>
    <n v="311.7"/>
    <n v="1064.22"/>
    <m/>
    <x v="5"/>
    <x v="0"/>
    <n v="180"/>
    <n v="3"/>
    <x v="0"/>
    <x v="0"/>
    <m/>
    <x v="0"/>
    <x v="0"/>
    <x v="0"/>
    <x v="0"/>
    <x v="0"/>
    <n v="0"/>
    <n v="0"/>
    <n v="3"/>
    <n v="9"/>
    <x v="1"/>
    <x v="0"/>
    <m/>
    <x v="0"/>
    <n v="324.5"/>
    <x v="0"/>
    <x v="30"/>
    <x v="0"/>
    <x v="0"/>
    <x v="0"/>
  </r>
  <r>
    <x v="0"/>
    <x v="14"/>
    <s v="8123 J"/>
    <x v="271"/>
    <s v="A.K Shopping Bag Multan"/>
    <s v="LDM"/>
    <s v="12+3+3"/>
    <s v="7.5-8/15-16"/>
    <s v="LDM"/>
    <n v="330"/>
    <x v="0"/>
    <n v="2"/>
    <n v="67"/>
    <n v="2"/>
    <m/>
    <x v="0"/>
    <n v="65"/>
    <n v="475.70000000000005"/>
    <n v="3"/>
    <x v="0"/>
    <x v="0"/>
    <n v="3"/>
    <n v="0.05"/>
    <x v="0"/>
    <x v="0"/>
    <m/>
    <x v="0"/>
    <x v="0"/>
    <x v="0"/>
    <x v="0"/>
    <x v="0"/>
    <n v="0"/>
    <n v="0"/>
    <n v="0.05"/>
    <n v="11.95"/>
    <x v="1"/>
    <x v="0"/>
    <m/>
    <x v="0"/>
    <n v="72"/>
    <x v="0"/>
    <x v="30"/>
    <x v="0"/>
    <x v="0"/>
    <x v="0"/>
  </r>
  <r>
    <x v="0"/>
    <x v="14"/>
    <s v="8124 J"/>
    <x v="271"/>
    <s v="A.K Shopping Bag Multan"/>
    <s v="LDM"/>
    <s v="13+3.5+3.5"/>
    <s v="7.5-8/15-16"/>
    <s v="LDM"/>
    <n v="110"/>
    <x v="0"/>
    <n v="3"/>
    <n v="114.5"/>
    <n v="3.5999999999999996"/>
    <m/>
    <x v="0"/>
    <n v="110.9"/>
    <n v="110.9"/>
    <n v="2"/>
    <x v="0"/>
    <x v="0"/>
    <n v="2"/>
    <n v="3.3333333333333333E-2"/>
    <x v="0"/>
    <x v="0"/>
    <m/>
    <x v="0"/>
    <x v="0"/>
    <x v="0"/>
    <x v="0"/>
    <x v="0"/>
    <n v="0"/>
    <n v="0"/>
    <n v="3.3333333333333333E-2"/>
    <n v="11.966666666666667"/>
    <x v="1"/>
    <x v="0"/>
    <m/>
    <x v="0"/>
    <n v="119.5"/>
    <x v="0"/>
    <x v="30"/>
    <x v="0"/>
    <x v="0"/>
    <x v="0"/>
  </r>
  <r>
    <x v="0"/>
    <x v="14"/>
    <s v="8105 J"/>
    <x v="271"/>
    <s v="High Class Bakers Gujrat"/>
    <s v="LDM"/>
    <s v="12+3.5+3.5"/>
    <s v="7.5-8/15-16"/>
    <s v="LDM"/>
    <n v="225"/>
    <x v="0"/>
    <n v="6"/>
    <n v="230.54"/>
    <n v="6.6"/>
    <m/>
    <x v="0"/>
    <n v="223.94"/>
    <n v="223.94"/>
    <n v="3"/>
    <x v="0"/>
    <x v="0"/>
    <n v="3"/>
    <n v="0.05"/>
    <x v="0"/>
    <x v="0"/>
    <m/>
    <x v="0"/>
    <x v="0"/>
    <x v="0"/>
    <x v="0"/>
    <x v="0"/>
    <n v="0"/>
    <n v="0"/>
    <n v="0.05"/>
    <n v="11.95"/>
    <x v="1"/>
    <x v="0"/>
    <m/>
    <x v="0"/>
    <n v="235.54"/>
    <x v="0"/>
    <x v="30"/>
    <x v="0"/>
    <x v="0"/>
    <x v="0"/>
  </r>
  <r>
    <x v="0"/>
    <x v="14"/>
    <s v="8106 J"/>
    <x v="271"/>
    <s v="High Class Bakers Gujrat"/>
    <s v="LDM"/>
    <s v="14+4.5+4.5"/>
    <s v="7.5-8/15-16"/>
    <s v="LDM"/>
    <n v="280"/>
    <x v="0"/>
    <n v="4"/>
    <n v="179.5"/>
    <n v="4.8"/>
    <n v="16"/>
    <x v="0"/>
    <n v="174.7"/>
    <n v="281.29999999999995"/>
    <n v="2"/>
    <x v="0"/>
    <x v="0"/>
    <n v="2"/>
    <n v="3.3333333333333333E-2"/>
    <x v="0"/>
    <x v="0"/>
    <m/>
    <x v="0"/>
    <x v="0"/>
    <x v="0"/>
    <x v="0"/>
    <x v="0"/>
    <n v="0"/>
    <n v="0"/>
    <n v="3.3333333333333333E-2"/>
    <n v="11.966666666666667"/>
    <x v="1"/>
    <x v="0"/>
    <m/>
    <x v="0"/>
    <n v="184.5"/>
    <x v="0"/>
    <x v="30"/>
    <x v="0"/>
    <x v="0"/>
    <x v="0"/>
  </r>
  <r>
    <x v="1"/>
    <x v="14"/>
    <s v="8106 J"/>
    <x v="271"/>
    <s v="High Class Bakers Gujrat"/>
    <s v="LDM"/>
    <s v="14+4.5+4.5"/>
    <s v="7.5-8/15-16"/>
    <s v="LDM"/>
    <n v="280"/>
    <x v="0"/>
    <n v="2"/>
    <n v="109"/>
    <n v="2.4"/>
    <n v="12"/>
    <x v="0"/>
    <n v="106.6"/>
    <n v="281.29999999999995"/>
    <n v="4"/>
    <x v="0"/>
    <x v="0"/>
    <n v="4"/>
    <n v="6.6666666666666666E-2"/>
    <x v="0"/>
    <x v="0"/>
    <m/>
    <x v="0"/>
    <x v="0"/>
    <x v="0"/>
    <x v="0"/>
    <x v="0"/>
    <n v="0"/>
    <n v="0"/>
    <n v="6.6666666666666666E-2"/>
    <n v="11.933333333333334"/>
    <x v="1"/>
    <x v="0"/>
    <m/>
    <x v="0"/>
    <n v="114"/>
    <x v="0"/>
    <x v="30"/>
    <x v="0"/>
    <x v="0"/>
    <x v="0"/>
  </r>
  <r>
    <x v="1"/>
    <x v="14"/>
    <s v="8122 J"/>
    <x v="271"/>
    <s v="A.K Shopping Bag Multan"/>
    <s v="LDM"/>
    <s v="10+2.5+2.5"/>
    <s v="7.5-8/15-16"/>
    <s v="LDM"/>
    <n v="220"/>
    <x v="0"/>
    <n v="5"/>
    <n v="170.8"/>
    <n v="5"/>
    <m/>
    <x v="0"/>
    <n v="165.8"/>
    <n v="165.8"/>
    <n v="3"/>
    <x v="0"/>
    <x v="0"/>
    <n v="3"/>
    <n v="0.05"/>
    <x v="0"/>
    <x v="0"/>
    <m/>
    <x v="0"/>
    <x v="0"/>
    <x v="0"/>
    <x v="0"/>
    <x v="0"/>
    <n v="0"/>
    <n v="0"/>
    <n v="0.05"/>
    <n v="11.95"/>
    <x v="1"/>
    <x v="0"/>
    <m/>
    <x v="0"/>
    <n v="175.8"/>
    <x v="0"/>
    <x v="30"/>
    <x v="0"/>
    <x v="0"/>
    <x v="0"/>
  </r>
  <r>
    <x v="1"/>
    <x v="14"/>
    <m/>
    <x v="271"/>
    <s v="-"/>
    <m/>
    <m/>
    <m/>
    <m/>
    <m/>
    <x v="0"/>
    <n v="3"/>
    <n v="126.5"/>
    <n v="6.6000000000000005"/>
    <m/>
    <x v="0"/>
    <n v="119.9"/>
    <n v="0"/>
    <m/>
    <x v="0"/>
    <x v="0"/>
    <n v="0"/>
    <n v="0"/>
    <x v="0"/>
    <x v="0"/>
    <m/>
    <x v="0"/>
    <x v="0"/>
    <x v="0"/>
    <x v="0"/>
    <x v="0"/>
    <n v="0"/>
    <n v="0"/>
    <n v="0"/>
    <n v="12"/>
    <x v="1"/>
    <x v="0"/>
    <m/>
    <x v="0"/>
    <n v="131.5"/>
    <x v="0"/>
    <x v="30"/>
    <x v="0"/>
    <x v="0"/>
    <x v="0"/>
  </r>
  <r>
    <x v="1"/>
    <x v="14"/>
    <s v="8180 J"/>
    <x v="271"/>
    <s v="Super Master Plastic Moulded LTD"/>
    <s v="LDN"/>
    <n v="24"/>
    <n v="0"/>
    <s v="LDN"/>
    <n v="100"/>
    <x v="0"/>
    <n v="2"/>
    <n v="104.3"/>
    <n v="4.5"/>
    <m/>
    <x v="0"/>
    <n v="99.8"/>
    <n v="99.8"/>
    <m/>
    <x v="0"/>
    <x v="0"/>
    <n v="0"/>
    <n v="0"/>
    <x v="0"/>
    <x v="0"/>
    <m/>
    <x v="0"/>
    <x v="0"/>
    <x v="0"/>
    <x v="0"/>
    <x v="0"/>
    <n v="0"/>
    <n v="0"/>
    <n v="0"/>
    <n v="12"/>
    <x v="1"/>
    <x v="0"/>
    <m/>
    <x v="0"/>
    <n v="109.3"/>
    <x v="0"/>
    <x v="30"/>
    <x v="0"/>
    <x v="0"/>
    <x v="0"/>
  </r>
  <r>
    <x v="0"/>
    <x v="15"/>
    <s v="3083 F"/>
    <x v="271"/>
    <s v="Usman Amin"/>
    <s v="LDN"/>
    <s v="27 SHEET"/>
    <s v="3-3.25/6-6.5"/>
    <s v="LDN"/>
    <n v="300"/>
    <x v="0"/>
    <n v="1"/>
    <n v="57"/>
    <n v="2.7"/>
    <m/>
    <x v="0"/>
    <n v="54.3"/>
    <n v="320.42"/>
    <m/>
    <x v="0"/>
    <x v="0"/>
    <n v="0"/>
    <n v="0"/>
    <x v="0"/>
    <x v="0"/>
    <m/>
    <x v="0"/>
    <x v="0"/>
    <x v="0"/>
    <x v="0"/>
    <x v="0"/>
    <n v="0"/>
    <n v="0"/>
    <n v="0"/>
    <n v="12"/>
    <x v="1"/>
    <x v="0"/>
    <m/>
    <x v="0"/>
    <n v="62"/>
    <x v="0"/>
    <x v="30"/>
    <x v="0"/>
    <x v="0"/>
    <x v="0"/>
  </r>
  <r>
    <x v="0"/>
    <x v="15"/>
    <s v="7997 J"/>
    <x v="271"/>
    <s v="Berger Point Lahore"/>
    <s v="LDN"/>
    <n v="20"/>
    <n v="0"/>
    <s v="LDN"/>
    <n v="1000"/>
    <x v="0"/>
    <n v="3"/>
    <n v="355.5"/>
    <n v="7.9"/>
    <n v="6"/>
    <x v="0"/>
    <n v="347.6"/>
    <n v="1081.3"/>
    <m/>
    <x v="0"/>
    <x v="0"/>
    <n v="0"/>
    <n v="0"/>
    <x v="0"/>
    <x v="0"/>
    <m/>
    <x v="0"/>
    <x v="0"/>
    <x v="0"/>
    <x v="0"/>
    <x v="0"/>
    <n v="0"/>
    <n v="0"/>
    <n v="0"/>
    <n v="12"/>
    <x v="1"/>
    <x v="0"/>
    <m/>
    <x v="0"/>
    <n v="360.5"/>
    <x v="0"/>
    <x v="30"/>
    <x v="0"/>
    <x v="0"/>
    <x v="0"/>
  </r>
  <r>
    <x v="1"/>
    <x v="15"/>
    <s v="7997 J"/>
    <x v="271"/>
    <s v="Berger Point Lahore"/>
    <s v="LDN"/>
    <n v="20"/>
    <n v="0"/>
    <s v="LDN"/>
    <n v="1000"/>
    <x v="0"/>
    <n v="6"/>
    <n v="418.3"/>
    <n v="15"/>
    <n v="5"/>
    <x v="0"/>
    <n v="403.3"/>
    <n v="1081.3"/>
    <m/>
    <x v="0"/>
    <x v="0"/>
    <n v="0"/>
    <n v="0"/>
    <x v="0"/>
    <x v="0"/>
    <m/>
    <x v="0"/>
    <x v="0"/>
    <x v="0"/>
    <x v="0"/>
    <x v="0"/>
    <n v="0"/>
    <n v="0"/>
    <n v="0"/>
    <n v="12"/>
    <x v="1"/>
    <x v="0"/>
    <m/>
    <x v="0"/>
    <n v="423.3"/>
    <x v="0"/>
    <x v="30"/>
    <x v="0"/>
    <x v="0"/>
    <x v="0"/>
  </r>
  <r>
    <x v="0"/>
    <x v="8"/>
    <s v="8217 J"/>
    <x v="272"/>
    <s v="Jilani Poly Stock"/>
    <s v="LDN"/>
    <n v="6"/>
    <n v="10"/>
    <s v="LDN"/>
    <s v="-"/>
    <x v="0"/>
    <n v="1"/>
    <n v="28.1"/>
    <n v="0.6"/>
    <n v="2"/>
    <x v="0"/>
    <n v="27.5"/>
    <n v="508.90000000000009"/>
    <m/>
    <x v="0"/>
    <x v="0"/>
    <n v="0"/>
    <n v="0"/>
    <x v="0"/>
    <x v="0"/>
    <m/>
    <x v="0"/>
    <x v="0"/>
    <x v="0"/>
    <x v="0"/>
    <x v="0"/>
    <n v="0"/>
    <n v="0"/>
    <n v="0"/>
    <n v="12"/>
    <x v="1"/>
    <x v="0"/>
    <m/>
    <x v="0"/>
    <n v="33.1"/>
    <x v="0"/>
    <x v="30"/>
    <x v="0"/>
    <x v="0"/>
    <x v="0"/>
  </r>
  <r>
    <x v="0"/>
    <x v="8"/>
    <s v="8216 J"/>
    <x v="272"/>
    <s v="Jilani Poly Stock"/>
    <s v="LDN"/>
    <n v="5"/>
    <n v="10"/>
    <s v="LDN"/>
    <s v="-"/>
    <x v="0"/>
    <n v="1"/>
    <n v="22"/>
    <n v="0.5"/>
    <m/>
    <x v="0"/>
    <n v="21.5"/>
    <n v="480.1"/>
    <m/>
    <x v="0"/>
    <x v="0"/>
    <n v="0"/>
    <n v="0"/>
    <x v="0"/>
    <x v="0"/>
    <m/>
    <x v="0"/>
    <x v="0"/>
    <x v="0"/>
    <x v="0"/>
    <x v="0"/>
    <n v="0"/>
    <n v="0"/>
    <n v="0"/>
    <n v="12"/>
    <x v="1"/>
    <x v="0"/>
    <m/>
    <x v="0"/>
    <n v="27"/>
    <x v="0"/>
    <x v="30"/>
    <x v="0"/>
    <x v="0"/>
    <x v="0"/>
  </r>
  <r>
    <x v="0"/>
    <x v="8"/>
    <s v="8224 J"/>
    <x v="272"/>
    <s v="National Rabar Coropration Lahore"/>
    <s v="LDN"/>
    <n v="4"/>
    <s v="8-8.5"/>
    <s v="LDN"/>
    <n v="100"/>
    <x v="0"/>
    <n v="1"/>
    <n v="27.5"/>
    <n v="0.7"/>
    <m/>
    <x v="0"/>
    <n v="26.8"/>
    <n v="126.4"/>
    <n v="2"/>
    <x v="0"/>
    <x v="0"/>
    <n v="2"/>
    <n v="3.3333333333333333E-2"/>
    <x v="0"/>
    <x v="0"/>
    <m/>
    <x v="0"/>
    <x v="0"/>
    <x v="0"/>
    <x v="0"/>
    <x v="0"/>
    <n v="0"/>
    <n v="0"/>
    <n v="3.3333333333333333E-2"/>
    <n v="11.966666666666667"/>
    <x v="1"/>
    <x v="0"/>
    <m/>
    <x v="0"/>
    <n v="32.5"/>
    <x v="0"/>
    <x v="30"/>
    <x v="0"/>
    <x v="0"/>
    <x v="0"/>
  </r>
  <r>
    <x v="0"/>
    <x v="8"/>
    <s v="8215 J"/>
    <x v="272"/>
    <s v="Jilani Poly Stock"/>
    <s v="LDN"/>
    <n v="4"/>
    <n v="10"/>
    <s v="LDN"/>
    <s v="-"/>
    <x v="0"/>
    <n v="1"/>
    <n v="23.8"/>
    <n v="0.5"/>
    <m/>
    <x v="0"/>
    <n v="23.3"/>
    <n v="376.85"/>
    <n v="2"/>
    <x v="0"/>
    <x v="0"/>
    <n v="2"/>
    <n v="3.3333333333333333E-2"/>
    <x v="0"/>
    <x v="0"/>
    <m/>
    <x v="0"/>
    <x v="0"/>
    <x v="0"/>
    <x v="0"/>
    <x v="0"/>
    <n v="0"/>
    <n v="0"/>
    <n v="3.3333333333333333E-2"/>
    <n v="11.966666666666667"/>
    <x v="1"/>
    <x v="0"/>
    <m/>
    <x v="0"/>
    <n v="28.8"/>
    <x v="0"/>
    <x v="30"/>
    <x v="0"/>
    <x v="0"/>
    <x v="0"/>
  </r>
  <r>
    <x v="1"/>
    <x v="8"/>
    <s v="8224 J"/>
    <x v="272"/>
    <s v="National Rabar Coropration Lahore"/>
    <s v="LDN"/>
    <n v="4"/>
    <s v="8-8.5"/>
    <s v="LDN"/>
    <n v="100"/>
    <x v="0"/>
    <n v="4"/>
    <n v="102.4"/>
    <n v="2.8"/>
    <n v="1"/>
    <x v="0"/>
    <n v="99.600000000000009"/>
    <n v="126.4"/>
    <m/>
    <x v="0"/>
    <x v="0"/>
    <n v="0"/>
    <n v="0"/>
    <x v="0"/>
    <x v="0"/>
    <m/>
    <x v="0"/>
    <x v="0"/>
    <x v="0"/>
    <x v="0"/>
    <x v="0"/>
    <n v="0"/>
    <n v="0"/>
    <n v="0"/>
    <n v="12"/>
    <x v="1"/>
    <x v="0"/>
    <m/>
    <x v="0"/>
    <n v="107.4"/>
    <x v="0"/>
    <x v="30"/>
    <x v="0"/>
    <x v="0"/>
    <x v="0"/>
  </r>
  <r>
    <x v="0"/>
    <x v="9"/>
    <s v="8196 J"/>
    <x v="272"/>
    <s v="Ibraheem Filter Industry (SMC.PVT.LTD)"/>
    <s v="LDN"/>
    <n v="16"/>
    <n v="8"/>
    <s v="LDN"/>
    <n v="1595.4415954415954"/>
    <x v="0"/>
    <n v="3"/>
    <n v="226.5"/>
    <n v="5.9"/>
    <n v="4"/>
    <x v="0"/>
    <n v="220.6"/>
    <n v="1726.2"/>
    <m/>
    <x v="0"/>
    <x v="0"/>
    <n v="0"/>
    <n v="0"/>
    <x v="0"/>
    <x v="0"/>
    <m/>
    <x v="0"/>
    <x v="0"/>
    <x v="0"/>
    <x v="0"/>
    <x v="0"/>
    <n v="0"/>
    <n v="0"/>
    <n v="0"/>
    <n v="12"/>
    <x v="1"/>
    <x v="0"/>
    <m/>
    <x v="0"/>
    <n v="231.5"/>
    <x v="0"/>
    <x v="30"/>
    <x v="0"/>
    <x v="0"/>
    <x v="0"/>
  </r>
  <r>
    <x v="1"/>
    <x v="9"/>
    <s v="8196 J"/>
    <x v="272"/>
    <s v="Ibraheem Filter Industry (SMC.PVT.LTD)"/>
    <s v="LDN"/>
    <n v="16"/>
    <n v="8"/>
    <s v="LDN"/>
    <n v="1595.4415954415954"/>
    <x v="0"/>
    <n v="4"/>
    <n v="221"/>
    <n v="7.1"/>
    <n v="5"/>
    <x v="0"/>
    <n v="213.9"/>
    <n v="1726.2"/>
    <m/>
    <x v="0"/>
    <x v="0"/>
    <n v="0"/>
    <n v="0"/>
    <x v="0"/>
    <x v="0"/>
    <m/>
    <x v="0"/>
    <x v="0"/>
    <x v="0"/>
    <x v="0"/>
    <x v="0"/>
    <n v="0"/>
    <n v="0"/>
    <n v="0"/>
    <n v="12"/>
    <x v="1"/>
    <x v="0"/>
    <m/>
    <x v="0"/>
    <n v="226"/>
    <x v="0"/>
    <x v="30"/>
    <x v="0"/>
    <x v="0"/>
    <x v="0"/>
  </r>
  <r>
    <x v="0"/>
    <x v="11"/>
    <s v="8247 J"/>
    <x v="272"/>
    <s v="Waqas Wollan Mills Gujranwala"/>
    <s v="LD بلو"/>
    <n v="15"/>
    <s v="10-10.5"/>
    <s v="LDM"/>
    <n v="500"/>
    <x v="0"/>
    <n v="4"/>
    <n v="295.5"/>
    <n v="7.6"/>
    <m/>
    <x v="0"/>
    <n v="287.89999999999998"/>
    <n v="523.29999999999995"/>
    <m/>
    <x v="0"/>
    <x v="0"/>
    <n v="0"/>
    <n v="0"/>
    <x v="0"/>
    <x v="0"/>
    <m/>
    <x v="0"/>
    <x v="0"/>
    <x v="0"/>
    <x v="0"/>
    <x v="0"/>
    <n v="0"/>
    <n v="0"/>
    <n v="0"/>
    <n v="12"/>
    <x v="1"/>
    <x v="0"/>
    <m/>
    <x v="0"/>
    <n v="300.5"/>
    <x v="0"/>
    <x v="30"/>
    <x v="0"/>
    <x v="0"/>
    <x v="0"/>
  </r>
  <r>
    <x v="0"/>
    <x v="11"/>
    <s v="8248 J"/>
    <x v="272"/>
    <s v="Waqas Wollan Mills Gujranwala"/>
    <s v="LD بلو"/>
    <n v="15"/>
    <s v="10-10.5"/>
    <s v="LDM"/>
    <n v="100"/>
    <x v="0"/>
    <n v="1"/>
    <n v="57"/>
    <n v="3.8"/>
    <n v="7"/>
    <x v="0"/>
    <n v="53.2"/>
    <n v="53.2"/>
    <n v="2"/>
    <x v="0"/>
    <x v="0"/>
    <n v="2"/>
    <n v="3.3333333333333333E-2"/>
    <x v="0"/>
    <x v="0"/>
    <m/>
    <x v="0"/>
    <x v="0"/>
    <x v="0"/>
    <x v="0"/>
    <x v="0"/>
    <n v="0"/>
    <n v="0"/>
    <n v="3.3333333333333333E-2"/>
    <n v="11.966666666666667"/>
    <x v="1"/>
    <x v="0"/>
    <m/>
    <x v="0"/>
    <n v="62"/>
    <x v="0"/>
    <x v="30"/>
    <x v="0"/>
    <x v="0"/>
    <x v="0"/>
  </r>
  <r>
    <x v="1"/>
    <x v="11"/>
    <s v="8244 J"/>
    <x v="272"/>
    <s v="Waqas Wollan Mills Gujranwala"/>
    <s v="LD بلو"/>
    <n v="18"/>
    <s v="10-10.5"/>
    <s v="LDM"/>
    <n v="100"/>
    <x v="0"/>
    <n v="2"/>
    <n v="106"/>
    <n v="4.5999999999999996"/>
    <n v="8"/>
    <x v="0"/>
    <n v="101.4"/>
    <n v="101.4"/>
    <m/>
    <x v="0"/>
    <x v="0"/>
    <n v="0"/>
    <n v="0"/>
    <x v="0"/>
    <x v="0"/>
    <m/>
    <x v="0"/>
    <x v="0"/>
    <x v="0"/>
    <x v="0"/>
    <x v="0"/>
    <n v="0"/>
    <n v="0"/>
    <n v="0"/>
    <n v="12"/>
    <x v="1"/>
    <x v="0"/>
    <m/>
    <x v="0"/>
    <n v="111"/>
    <x v="0"/>
    <x v="30"/>
    <x v="0"/>
    <x v="0"/>
    <x v="0"/>
  </r>
  <r>
    <x v="1"/>
    <x v="11"/>
    <s v="8243 J"/>
    <x v="272"/>
    <s v="Waqas Wollan Mills Gujranwala"/>
    <s v="LD بلو"/>
    <n v="18"/>
    <s v="10-10.5"/>
    <s v="LDM"/>
    <n v="100"/>
    <x v="0"/>
    <n v="2"/>
    <n v="110"/>
    <n v="3.5999999999999996"/>
    <m/>
    <x v="0"/>
    <n v="106.4"/>
    <n v="106.4"/>
    <m/>
    <x v="0"/>
    <x v="0"/>
    <n v="0"/>
    <n v="0"/>
    <x v="0"/>
    <x v="0"/>
    <m/>
    <x v="0"/>
    <x v="0"/>
    <x v="0"/>
    <x v="0"/>
    <x v="0"/>
    <n v="0"/>
    <n v="0"/>
    <n v="0"/>
    <n v="12"/>
    <x v="1"/>
    <x v="0"/>
    <m/>
    <x v="0"/>
    <n v="115"/>
    <x v="0"/>
    <x v="30"/>
    <x v="0"/>
    <x v="0"/>
    <x v="0"/>
  </r>
  <r>
    <x v="1"/>
    <x v="11"/>
    <s v="8245 J"/>
    <x v="272"/>
    <s v="Waqas Wollan Mills Gujranwala"/>
    <s v="LD بلو"/>
    <n v="16"/>
    <s v="10-10.5"/>
    <s v="LDM"/>
    <n v="300"/>
    <x v="0"/>
    <n v="3"/>
    <n v="171.5"/>
    <n v="4.8000000000000007"/>
    <m/>
    <x v="0"/>
    <n v="166.7"/>
    <n v="385"/>
    <m/>
    <x v="0"/>
    <x v="0"/>
    <n v="0"/>
    <n v="0"/>
    <x v="0"/>
    <x v="0"/>
    <m/>
    <x v="0"/>
    <x v="0"/>
    <x v="0"/>
    <x v="0"/>
    <x v="0"/>
    <n v="0"/>
    <n v="0"/>
    <n v="0"/>
    <n v="12"/>
    <x v="1"/>
    <x v="0"/>
    <m/>
    <x v="0"/>
    <n v="176.5"/>
    <x v="0"/>
    <x v="30"/>
    <x v="0"/>
    <x v="0"/>
    <x v="0"/>
  </r>
  <r>
    <x v="0"/>
    <x v="13"/>
    <s v="8198 J"/>
    <x v="272"/>
    <s v="Auto Tech Lahore "/>
    <s v="LDN"/>
    <n v="20"/>
    <s v="9.5-10"/>
    <s v="LDN"/>
    <n v="250"/>
    <x v="0"/>
    <n v="2"/>
    <n v="145.5"/>
    <n v="4.4000000000000004"/>
    <m/>
    <x v="0"/>
    <n v="141.1"/>
    <n v="276.7"/>
    <n v="3"/>
    <x v="0"/>
    <x v="0"/>
    <n v="3"/>
    <n v="0.05"/>
    <x v="0"/>
    <x v="0"/>
    <m/>
    <x v="0"/>
    <x v="0"/>
    <x v="0"/>
    <x v="0"/>
    <x v="0"/>
    <n v="0"/>
    <n v="0"/>
    <n v="0.05"/>
    <n v="11.95"/>
    <x v="1"/>
    <x v="0"/>
    <m/>
    <x v="0"/>
    <n v="150.5"/>
    <x v="0"/>
    <x v="30"/>
    <x v="0"/>
    <x v="0"/>
    <x v="0"/>
  </r>
  <r>
    <x v="0"/>
    <x v="13"/>
    <s v="2867/1"/>
    <x v="272"/>
    <s v="OLYMPIA CHEM (CARBONATE)"/>
    <s v="LDN"/>
    <s v="21-21.5"/>
    <s v="30±2"/>
    <s v="LDN"/>
    <n v="1200"/>
    <x v="0"/>
    <n v="2"/>
    <n v="139.5"/>
    <n v="3.28"/>
    <m/>
    <x v="0"/>
    <n v="136.22"/>
    <n v="1064.22"/>
    <n v="2"/>
    <x v="0"/>
    <x v="0"/>
    <n v="2"/>
    <n v="3.3333333333333333E-2"/>
    <x v="0"/>
    <x v="0"/>
    <m/>
    <x v="0"/>
    <x v="0"/>
    <x v="0"/>
    <x v="0"/>
    <x v="0"/>
    <n v="0"/>
    <n v="0"/>
    <n v="3.3333333333333333E-2"/>
    <n v="11.966666666666667"/>
    <x v="1"/>
    <x v="0"/>
    <m/>
    <x v="0"/>
    <n v="144.5"/>
    <x v="0"/>
    <x v="30"/>
    <x v="0"/>
    <x v="0"/>
    <x v="0"/>
  </r>
  <r>
    <x v="0"/>
    <x v="13"/>
    <s v="3107 F"/>
    <x v="272"/>
    <s v="Usman Amin"/>
    <s v="LDN"/>
    <n v="14.5"/>
    <s v="15"/>
    <s v="LDN"/>
    <n v="250"/>
    <x v="0"/>
    <n v="1"/>
    <n v="57"/>
    <n v="1.7"/>
    <n v="5"/>
    <x v="0"/>
    <n v="55.3"/>
    <n v="184.2"/>
    <n v="5"/>
    <x v="0"/>
    <x v="0"/>
    <n v="5"/>
    <n v="8.3333333333333329E-2"/>
    <x v="0"/>
    <x v="0"/>
    <m/>
    <x v="0"/>
    <x v="0"/>
    <x v="0"/>
    <x v="0"/>
    <x v="0"/>
    <n v="0"/>
    <n v="0"/>
    <n v="8.3333333333333329E-2"/>
    <n v="11.916666666666666"/>
    <x v="1"/>
    <x v="0"/>
    <m/>
    <x v="0"/>
    <n v="62"/>
    <x v="0"/>
    <x v="30"/>
    <x v="0"/>
    <x v="0"/>
    <x v="0"/>
  </r>
  <r>
    <x v="1"/>
    <x v="13"/>
    <s v="3107 F"/>
    <x v="272"/>
    <s v="Usman Amin"/>
    <s v="LDN"/>
    <n v="14.5"/>
    <s v="15"/>
    <s v="LDN"/>
    <n v="250"/>
    <x v="0"/>
    <n v="3"/>
    <n v="134"/>
    <n v="5.0999999999999996"/>
    <n v="5"/>
    <x v="0"/>
    <n v="128.9"/>
    <n v="184.2"/>
    <n v="2"/>
    <x v="0"/>
    <x v="0"/>
    <n v="2"/>
    <n v="3.3333333333333333E-2"/>
    <x v="0"/>
    <x v="0"/>
    <m/>
    <x v="0"/>
    <x v="0"/>
    <x v="0"/>
    <x v="0"/>
    <x v="0"/>
    <n v="0"/>
    <n v="0"/>
    <n v="3.3333333333333333E-2"/>
    <n v="11.966666666666667"/>
    <x v="1"/>
    <x v="0"/>
    <m/>
    <x v="0"/>
    <n v="139"/>
    <x v="0"/>
    <x v="30"/>
    <x v="0"/>
    <x v="0"/>
    <x v="0"/>
  </r>
  <r>
    <x v="1"/>
    <x v="13"/>
    <s v="8220 J"/>
    <x v="272"/>
    <s v="Javed Enterprises Gujranwala"/>
    <s v="LDN"/>
    <n v="14"/>
    <s v="20-20.5"/>
    <s v="LDN"/>
    <n v="300"/>
    <x v="0"/>
    <n v="3"/>
    <n v="164"/>
    <n v="5.0999999999999996"/>
    <m/>
    <x v="0"/>
    <n v="158.9"/>
    <n v="338.3"/>
    <m/>
    <x v="0"/>
    <x v="0"/>
    <n v="0"/>
    <n v="0"/>
    <x v="0"/>
    <x v="0"/>
    <m/>
    <x v="0"/>
    <x v="0"/>
    <x v="0"/>
    <x v="0"/>
    <x v="0"/>
    <n v="0"/>
    <n v="0"/>
    <n v="0"/>
    <n v="12"/>
    <x v="1"/>
    <x v="0"/>
    <m/>
    <x v="0"/>
    <n v="169"/>
    <x v="0"/>
    <x v="30"/>
    <x v="0"/>
    <x v="0"/>
    <x v="0"/>
  </r>
  <r>
    <x v="0"/>
    <x v="12"/>
    <s v="2867/1"/>
    <x v="272"/>
    <s v="OLYMPIA CHEM (CARBONATE)"/>
    <s v="LDN"/>
    <s v="21-21.5"/>
    <s v="30±2"/>
    <s v="LDN"/>
    <n v="1200"/>
    <x v="0"/>
    <n v="5"/>
    <n v="397.5"/>
    <n v="11.5"/>
    <m/>
    <x v="0"/>
    <n v="386"/>
    <n v="1064.22"/>
    <n v="2"/>
    <x v="0"/>
    <x v="0"/>
    <n v="2"/>
    <n v="3.3333333333333333E-2"/>
    <x v="0"/>
    <x v="0"/>
    <m/>
    <x v="0"/>
    <x v="0"/>
    <x v="0"/>
    <x v="0"/>
    <x v="0"/>
    <n v="0"/>
    <n v="0"/>
    <n v="3.3333333333333333E-2"/>
    <n v="11.966666666666667"/>
    <x v="1"/>
    <x v="0"/>
    <m/>
    <x v="0"/>
    <n v="402.5"/>
    <x v="0"/>
    <x v="30"/>
    <x v="0"/>
    <x v="0"/>
    <x v="0"/>
  </r>
  <r>
    <x v="0"/>
    <x v="12"/>
    <s v="3103 F"/>
    <x v="272"/>
    <s v="Usman Amin"/>
    <s v="LDN"/>
    <n v="25"/>
    <s v="5-5.5"/>
    <s v="LDN"/>
    <n v="400"/>
    <x v="0"/>
    <n v="4"/>
    <n v="183.5"/>
    <n v="2"/>
    <n v="10"/>
    <x v="0"/>
    <n v="181.5"/>
    <n v="281.7"/>
    <n v="3"/>
    <x v="0"/>
    <x v="0"/>
    <n v="3"/>
    <n v="0.05"/>
    <x v="0"/>
    <x v="0"/>
    <m/>
    <x v="0"/>
    <x v="0"/>
    <x v="0"/>
    <x v="0"/>
    <x v="0"/>
    <n v="0"/>
    <n v="0"/>
    <n v="0.05"/>
    <n v="11.95"/>
    <x v="1"/>
    <x v="0"/>
    <m/>
    <x v="0"/>
    <n v="188.5"/>
    <x v="0"/>
    <x v="30"/>
    <x v="0"/>
    <x v="0"/>
    <x v="0"/>
  </r>
  <r>
    <x v="1"/>
    <x v="12"/>
    <s v="2867/1"/>
    <x v="272"/>
    <s v="OLYMPIA CHEM (CARBONATE)"/>
    <s v="LDN"/>
    <s v="21-21.5"/>
    <s v="30±2"/>
    <s v="LDN"/>
    <n v="1200"/>
    <x v="0"/>
    <n v="4"/>
    <n v="239.5"/>
    <n v="9.1999999999999993"/>
    <n v="25"/>
    <x v="0"/>
    <n v="230.3"/>
    <n v="1064.22"/>
    <m/>
    <x v="0"/>
    <x v="0"/>
    <n v="0"/>
    <n v="0"/>
    <x v="0"/>
    <x v="0"/>
    <m/>
    <x v="0"/>
    <x v="0"/>
    <x v="0"/>
    <x v="1"/>
    <x v="0"/>
    <n v="40"/>
    <n v="0.66666666666666663"/>
    <n v="0.66666666666666663"/>
    <n v="11.333333333333334"/>
    <x v="1"/>
    <x v="0"/>
    <m/>
    <x v="0"/>
    <n v="244.5"/>
    <x v="0"/>
    <x v="30"/>
    <x v="0"/>
    <x v="0"/>
    <x v="0"/>
  </r>
  <r>
    <x v="1"/>
    <x v="12"/>
    <s v="2865/1"/>
    <x v="272"/>
    <s v="MATCO FOOD"/>
    <s v="LDN"/>
    <s v="22.5-23"/>
    <s v="70±2"/>
    <s v="LDN"/>
    <n v="4200"/>
    <x v="0"/>
    <n v="2"/>
    <n v="218"/>
    <n v="5.4"/>
    <m/>
    <x v="0"/>
    <n v="212.6"/>
    <n v="1459.58"/>
    <m/>
    <x v="0"/>
    <x v="0"/>
    <n v="0"/>
    <n v="0"/>
    <x v="0"/>
    <x v="0"/>
    <m/>
    <x v="0"/>
    <x v="0"/>
    <x v="0"/>
    <x v="0"/>
    <x v="0"/>
    <n v="0"/>
    <n v="0"/>
    <n v="0"/>
    <n v="12"/>
    <x v="1"/>
    <x v="0"/>
    <m/>
    <x v="0"/>
    <n v="223"/>
    <x v="0"/>
    <x v="30"/>
    <x v="0"/>
    <x v="0"/>
    <x v="0"/>
  </r>
  <r>
    <x v="0"/>
    <x v="14"/>
    <s v="8182 J"/>
    <x v="272"/>
    <s v="Super Master Plastic Moulded LTD"/>
    <s v="LDN"/>
    <n v="28"/>
    <n v="0"/>
    <s v="LDN"/>
    <n v="100"/>
    <x v="0"/>
    <n v="2"/>
    <n v="107.6"/>
    <n v="7.6"/>
    <m/>
    <x v="0"/>
    <n v="100"/>
    <n v="100"/>
    <n v="3"/>
    <x v="0"/>
    <x v="0"/>
    <n v="3"/>
    <n v="0.05"/>
    <x v="0"/>
    <x v="0"/>
    <m/>
    <x v="0"/>
    <x v="0"/>
    <x v="0"/>
    <x v="0"/>
    <x v="0"/>
    <n v="0"/>
    <n v="0"/>
    <n v="0.05"/>
    <n v="11.95"/>
    <x v="1"/>
    <x v="0"/>
    <m/>
    <x v="0"/>
    <n v="112.6"/>
    <x v="0"/>
    <x v="30"/>
    <x v="0"/>
    <x v="0"/>
    <x v="0"/>
  </r>
  <r>
    <x v="0"/>
    <x v="14"/>
    <s v="3050 F"/>
    <x v="272"/>
    <s v="Usman Amin"/>
    <s v="LDN"/>
    <n v="26"/>
    <s v="7"/>
    <s v="LDN"/>
    <n v="300"/>
    <x v="0"/>
    <n v="4"/>
    <n v="314.5"/>
    <n v="13.2"/>
    <m/>
    <x v="0"/>
    <n v="301.3"/>
    <n v="301.3"/>
    <n v="2"/>
    <x v="0"/>
    <x v="0"/>
    <n v="2"/>
    <n v="3.3333333333333333E-2"/>
    <x v="0"/>
    <x v="0"/>
    <m/>
    <x v="0"/>
    <x v="0"/>
    <x v="0"/>
    <x v="0"/>
    <x v="0"/>
    <n v="0"/>
    <n v="0"/>
    <n v="3.3333333333333333E-2"/>
    <n v="11.966666666666667"/>
    <x v="1"/>
    <x v="0"/>
    <m/>
    <x v="0"/>
    <n v="319.5"/>
    <x v="0"/>
    <x v="30"/>
    <x v="0"/>
    <x v="0"/>
    <x v="0"/>
  </r>
  <r>
    <x v="0"/>
    <x v="14"/>
    <s v="3101 F"/>
    <x v="272"/>
    <s v="Usman Amin"/>
    <s v="LDN"/>
    <n v="30"/>
    <s v="7-7.5"/>
    <s v="LDN"/>
    <n v="190"/>
    <x v="0"/>
    <n v="2"/>
    <n v="158"/>
    <n v="6.8"/>
    <m/>
    <x v="0"/>
    <n v="151.19999999999999"/>
    <n v="151.19999999999999"/>
    <n v="3"/>
    <x v="0"/>
    <x v="0"/>
    <n v="3"/>
    <n v="0.05"/>
    <x v="0"/>
    <x v="0"/>
    <m/>
    <x v="0"/>
    <x v="0"/>
    <x v="0"/>
    <x v="0"/>
    <x v="0"/>
    <n v="0"/>
    <n v="0"/>
    <n v="0.05"/>
    <n v="11.95"/>
    <x v="1"/>
    <x v="0"/>
    <m/>
    <x v="0"/>
    <n v="163"/>
    <x v="0"/>
    <x v="30"/>
    <x v="0"/>
    <x v="0"/>
    <x v="0"/>
  </r>
  <r>
    <x v="0"/>
    <x v="14"/>
    <s v="3051 F"/>
    <x v="272"/>
    <s v="Usman Amin"/>
    <s v="LDN"/>
    <n v="30"/>
    <s v="7"/>
    <s v="LDN"/>
    <n v="200"/>
    <x v="0"/>
    <n v="1"/>
    <n v="71.5"/>
    <n v="4.2"/>
    <n v="18"/>
    <x v="0"/>
    <n v="67.3"/>
    <n v="194.5"/>
    <m/>
    <x v="0"/>
    <x v="0"/>
    <n v="0"/>
    <n v="0"/>
    <x v="0"/>
    <x v="0"/>
    <m/>
    <x v="0"/>
    <x v="0"/>
    <x v="0"/>
    <x v="0"/>
    <x v="0"/>
    <n v="0"/>
    <n v="0"/>
    <n v="0"/>
    <n v="12"/>
    <x v="1"/>
    <x v="0"/>
    <m/>
    <x v="0"/>
    <n v="76.5"/>
    <x v="0"/>
    <x v="30"/>
    <x v="0"/>
    <x v="0"/>
    <x v="0"/>
  </r>
  <r>
    <x v="1"/>
    <x v="14"/>
    <s v="3051 F"/>
    <x v="272"/>
    <s v="Usman Amin"/>
    <s v="LDN"/>
    <n v="30"/>
    <s v="7"/>
    <s v="LDN"/>
    <n v="200"/>
    <x v="0"/>
    <n v="2"/>
    <n v="135.5"/>
    <n v="8.3000000000000007"/>
    <n v="20"/>
    <x v="0"/>
    <n v="127.2"/>
    <n v="194.5"/>
    <n v="5"/>
    <x v="0"/>
    <x v="0"/>
    <n v="5"/>
    <n v="8.3333333333333329E-2"/>
    <x v="0"/>
    <x v="0"/>
    <m/>
    <x v="0"/>
    <x v="0"/>
    <x v="0"/>
    <x v="0"/>
    <x v="0"/>
    <n v="0"/>
    <n v="0"/>
    <n v="8.3333333333333329E-2"/>
    <n v="11.916666666666666"/>
    <x v="1"/>
    <x v="0"/>
    <m/>
    <x v="0"/>
    <n v="140.5"/>
    <x v="0"/>
    <x v="30"/>
    <x v="0"/>
    <x v="0"/>
    <x v="0"/>
  </r>
  <r>
    <x v="1"/>
    <x v="14"/>
    <s v="8183 J"/>
    <x v="272"/>
    <s v="Super Master Plastic Moulded LTD"/>
    <s v="LDN"/>
    <n v="37"/>
    <n v="0"/>
    <s v="LDN"/>
    <n v="125"/>
    <x v="0"/>
    <n v="2"/>
    <n v="138"/>
    <n v="10"/>
    <m/>
    <x v="0"/>
    <n v="128"/>
    <n v="248.1"/>
    <n v="5"/>
    <x v="0"/>
    <x v="0"/>
    <n v="5"/>
    <n v="8.3333333333333329E-2"/>
    <x v="0"/>
    <x v="0"/>
    <m/>
    <x v="0"/>
    <x v="0"/>
    <x v="0"/>
    <x v="0"/>
    <x v="0"/>
    <n v="0"/>
    <n v="0"/>
    <n v="8.3333333333333329E-2"/>
    <n v="11.916666666666666"/>
    <x v="1"/>
    <x v="0"/>
    <m/>
    <x v="0"/>
    <n v="143"/>
    <x v="0"/>
    <x v="30"/>
    <x v="0"/>
    <x v="0"/>
    <x v="0"/>
  </r>
  <r>
    <x v="1"/>
    <x v="14"/>
    <s v="2870/1"/>
    <x v="272"/>
    <s v="USMAN AMEEN LAHORE (PT-02)"/>
    <s v="LDN"/>
    <s v="24+8+8"/>
    <n v="5"/>
    <s v="SL"/>
    <n v="700"/>
    <x v="0"/>
    <n v="1"/>
    <n v="80"/>
    <n v="1.5"/>
    <m/>
    <x v="0"/>
    <n v="78.5"/>
    <n v="634.9"/>
    <n v="5"/>
    <x v="0"/>
    <x v="0"/>
    <n v="5"/>
    <n v="8.3333333333333329E-2"/>
    <x v="0"/>
    <x v="0"/>
    <m/>
    <x v="0"/>
    <x v="0"/>
    <x v="0"/>
    <x v="0"/>
    <x v="0"/>
    <n v="0"/>
    <n v="0"/>
    <n v="8.3333333333333329E-2"/>
    <n v="11.916666666666666"/>
    <x v="1"/>
    <x v="0"/>
    <m/>
    <x v="0"/>
    <n v="85"/>
    <x v="0"/>
    <x v="30"/>
    <x v="0"/>
    <x v="0"/>
    <x v="0"/>
  </r>
  <r>
    <x v="1"/>
    <x v="14"/>
    <s v="8181 J"/>
    <x v="272"/>
    <s v="Super Master Plastic Moulded LTD"/>
    <s v="LDN"/>
    <n v="36"/>
    <n v="0"/>
    <s v="LDN"/>
    <n v="100"/>
    <x v="0"/>
    <n v="1"/>
    <n v="110"/>
    <n v="5"/>
    <m/>
    <x v="0"/>
    <n v="105"/>
    <n v="105"/>
    <n v="5"/>
    <x v="0"/>
    <x v="0"/>
    <n v="5"/>
    <n v="8.3333333333333329E-2"/>
    <x v="0"/>
    <x v="0"/>
    <m/>
    <x v="0"/>
    <x v="0"/>
    <x v="0"/>
    <x v="0"/>
    <x v="0"/>
    <n v="0"/>
    <n v="0"/>
    <n v="8.3333333333333329E-2"/>
    <n v="11.916666666666666"/>
    <x v="1"/>
    <x v="0"/>
    <m/>
    <x v="0"/>
    <n v="115"/>
    <x v="0"/>
    <x v="30"/>
    <x v="0"/>
    <x v="0"/>
    <x v="0"/>
  </r>
  <r>
    <x v="1"/>
    <x v="14"/>
    <s v="8287 J"/>
    <x v="272"/>
    <s v="Chaudhry Milk Sweets and Bakers Jhangh"/>
    <s v="LDN"/>
    <s v="36 شیٹ"/>
    <s v="4-4.5/8-8.5"/>
    <s v="LDN"/>
    <n v="200"/>
    <x v="0"/>
    <n v="3"/>
    <n v="237"/>
    <n v="9"/>
    <m/>
    <x v="0"/>
    <n v="228"/>
    <n v="228"/>
    <m/>
    <x v="0"/>
    <x v="0"/>
    <n v="0"/>
    <n v="0"/>
    <x v="0"/>
    <x v="0"/>
    <m/>
    <x v="0"/>
    <x v="0"/>
    <x v="0"/>
    <x v="0"/>
    <x v="0"/>
    <n v="0"/>
    <n v="0"/>
    <n v="0"/>
    <n v="12"/>
    <x v="1"/>
    <x v="0"/>
    <m/>
    <x v="0"/>
    <n v="242"/>
    <x v="0"/>
    <x v="30"/>
    <x v="0"/>
    <x v="0"/>
    <x v="0"/>
  </r>
  <r>
    <x v="0"/>
    <x v="15"/>
    <s v="8240 J"/>
    <x v="272"/>
    <s v="Synt Chemical Lahore "/>
    <s v="LDN"/>
    <s v="525 MM"/>
    <s v="15-16/30-32"/>
    <s v="LDN"/>
    <n v="100"/>
    <x v="0"/>
    <n v="2"/>
    <n v="109"/>
    <n v="4.5999999999999996"/>
    <m/>
    <x v="0"/>
    <n v="104.4"/>
    <n v="104.4"/>
    <m/>
    <x v="0"/>
    <x v="0"/>
    <n v="0"/>
    <n v="0"/>
    <x v="0"/>
    <x v="0"/>
    <m/>
    <x v="0"/>
    <x v="0"/>
    <x v="0"/>
    <x v="0"/>
    <x v="0"/>
    <n v="0"/>
    <n v="0"/>
    <n v="0"/>
    <n v="12"/>
    <x v="1"/>
    <x v="0"/>
    <m/>
    <x v="0"/>
    <n v="114"/>
    <x v="0"/>
    <x v="30"/>
    <x v="0"/>
    <x v="0"/>
    <x v="0"/>
  </r>
  <r>
    <x v="0"/>
    <x v="15"/>
    <s v="8172 J"/>
    <x v="272"/>
    <s v="Synt Chemical Lahore "/>
    <s v="LDN"/>
    <s v="525 MM"/>
    <s v="15-16/30-32"/>
    <s v="LDN"/>
    <n v="100"/>
    <x v="0"/>
    <n v="2"/>
    <n v="108.5"/>
    <n v="4.5999999999999996"/>
    <m/>
    <x v="0"/>
    <n v="103.9"/>
    <n v="103.9"/>
    <m/>
    <x v="0"/>
    <x v="0"/>
    <n v="0"/>
    <n v="0"/>
    <x v="0"/>
    <x v="0"/>
    <m/>
    <x v="0"/>
    <x v="0"/>
    <x v="0"/>
    <x v="0"/>
    <x v="0"/>
    <n v="0"/>
    <n v="0"/>
    <n v="0"/>
    <n v="12"/>
    <x v="1"/>
    <x v="0"/>
    <m/>
    <x v="0"/>
    <n v="113.5"/>
    <x v="0"/>
    <x v="30"/>
    <x v="0"/>
    <x v="0"/>
    <x v="0"/>
  </r>
  <r>
    <x v="0"/>
    <x v="15"/>
    <s v="8225 J"/>
    <x v="272"/>
    <s v="Synt Chemical Lahore "/>
    <s v="LDN"/>
    <s v="525 MM"/>
    <s v="15-16/30-32"/>
    <s v="LDN"/>
    <n v="100"/>
    <x v="0"/>
    <n v="2"/>
    <n v="105"/>
    <n v="3.6"/>
    <m/>
    <x v="0"/>
    <n v="101.4"/>
    <n v="101.4"/>
    <m/>
    <x v="0"/>
    <x v="0"/>
    <n v="0"/>
    <n v="0"/>
    <x v="0"/>
    <x v="0"/>
    <m/>
    <x v="0"/>
    <x v="0"/>
    <x v="0"/>
    <x v="0"/>
    <x v="0"/>
    <n v="0"/>
    <n v="0"/>
    <n v="0"/>
    <n v="12"/>
    <x v="1"/>
    <x v="0"/>
    <m/>
    <x v="0"/>
    <n v="110"/>
    <x v="0"/>
    <x v="30"/>
    <x v="0"/>
    <x v="0"/>
    <x v="0"/>
  </r>
  <r>
    <x v="0"/>
    <x v="15"/>
    <s v="8241 J"/>
    <x v="272"/>
    <s v="Synt Chemical Lahore "/>
    <s v="LDN"/>
    <s v="525 MM"/>
    <s v="15-16/30-32"/>
    <s v="LDN"/>
    <n v="100"/>
    <x v="0"/>
    <n v="2"/>
    <n v="98"/>
    <n v="3.6"/>
    <n v="57"/>
    <x v="0"/>
    <n v="94.4"/>
    <n v="94.4"/>
    <m/>
    <x v="0"/>
    <x v="0"/>
    <n v="0"/>
    <n v="0"/>
    <x v="0"/>
    <x v="0"/>
    <m/>
    <x v="0"/>
    <x v="0"/>
    <x v="0"/>
    <x v="0"/>
    <x v="0"/>
    <n v="0"/>
    <n v="0"/>
    <n v="0"/>
    <n v="12"/>
    <x v="1"/>
    <x v="0"/>
    <m/>
    <x v="0"/>
    <n v="103"/>
    <x v="0"/>
    <x v="30"/>
    <x v="0"/>
    <x v="0"/>
    <x v="0"/>
  </r>
  <r>
    <x v="0"/>
    <x v="15"/>
    <s v="8259 J"/>
    <x v="272"/>
    <s v="-"/>
    <m/>
    <m/>
    <m/>
    <m/>
    <m/>
    <x v="0"/>
    <n v="2"/>
    <n v="100.5"/>
    <n v="3.6"/>
    <m/>
    <x v="0"/>
    <n v="96.9"/>
    <n v="96.9"/>
    <n v="3"/>
    <x v="0"/>
    <x v="0"/>
    <n v="3"/>
    <n v="0.05"/>
    <x v="0"/>
    <x v="0"/>
    <m/>
    <x v="0"/>
    <x v="0"/>
    <x v="0"/>
    <x v="0"/>
    <x v="0"/>
    <n v="0"/>
    <n v="0"/>
    <n v="0.05"/>
    <n v="11.95"/>
    <x v="1"/>
    <x v="0"/>
    <m/>
    <x v="0"/>
    <n v="105.5"/>
    <x v="0"/>
    <x v="30"/>
    <x v="0"/>
    <x v="0"/>
    <x v="0"/>
  </r>
  <r>
    <x v="1"/>
    <x v="15"/>
    <s v="8235 J"/>
    <x v="272"/>
    <s v="Super Shangai Dry Cleaners Nankana"/>
    <s v="LDN"/>
    <n v="26"/>
    <s v="4.5-5"/>
    <s v="LDN"/>
    <n v="100"/>
    <x v="0"/>
    <n v="2"/>
    <n v="99.5"/>
    <n v="3"/>
    <n v="45"/>
    <x v="0"/>
    <n v="96.5"/>
    <n v="96.5"/>
    <m/>
    <x v="0"/>
    <x v="0"/>
    <n v="0"/>
    <n v="0"/>
    <x v="0"/>
    <x v="0"/>
    <m/>
    <x v="0"/>
    <x v="0"/>
    <x v="0"/>
    <x v="0"/>
    <x v="0"/>
    <n v="0"/>
    <n v="0"/>
    <n v="0"/>
    <n v="12"/>
    <x v="1"/>
    <x v="0"/>
    <m/>
    <x v="0"/>
    <n v="104.5"/>
    <x v="0"/>
    <x v="30"/>
    <x v="0"/>
    <x v="0"/>
    <x v="0"/>
  </r>
  <r>
    <x v="1"/>
    <x v="15"/>
    <s v="3007 F"/>
    <x v="272"/>
    <s v="Usman Amin"/>
    <s v="LDN"/>
    <s v="16 SHEET"/>
    <s v="3-3.25/6-6.5"/>
    <s v="LDN"/>
    <n v="1000"/>
    <x v="0"/>
    <n v="6"/>
    <n v="342.5"/>
    <n v="10.4"/>
    <m/>
    <x v="0"/>
    <n v="332.1"/>
    <n v="2027.9"/>
    <m/>
    <x v="0"/>
    <x v="0"/>
    <n v="0"/>
    <n v="0"/>
    <x v="0"/>
    <x v="0"/>
    <m/>
    <x v="0"/>
    <x v="0"/>
    <x v="0"/>
    <x v="0"/>
    <x v="0"/>
    <n v="0"/>
    <n v="0"/>
    <n v="0"/>
    <n v="12"/>
    <x v="1"/>
    <x v="0"/>
    <m/>
    <x v="0"/>
    <n v="347.5"/>
    <x v="0"/>
    <x v="30"/>
    <x v="0"/>
    <x v="0"/>
    <x v="0"/>
  </r>
  <r>
    <x v="0"/>
    <x v="8"/>
    <s v="8215 J"/>
    <x v="273"/>
    <s v="Jilani Poly Stock"/>
    <s v="LDN"/>
    <n v="4"/>
    <n v="10"/>
    <s v="LDN"/>
    <s v="-"/>
    <x v="0"/>
    <n v="5"/>
    <n v="134.69999999999999"/>
    <n v="2.4"/>
    <m/>
    <x v="0"/>
    <n v="132.29999999999998"/>
    <n v="376.85"/>
    <m/>
    <x v="0"/>
    <x v="0"/>
    <n v="0"/>
    <n v="0"/>
    <x v="0"/>
    <x v="0"/>
    <m/>
    <x v="0"/>
    <x v="0"/>
    <x v="0"/>
    <x v="0"/>
    <x v="0"/>
    <n v="0"/>
    <n v="0"/>
    <n v="0"/>
    <n v="12"/>
    <x v="1"/>
    <x v="0"/>
    <m/>
    <x v="0"/>
    <n v="139.69999999999999"/>
    <x v="0"/>
    <x v="30"/>
    <x v="0"/>
    <x v="0"/>
    <x v="0"/>
  </r>
  <r>
    <x v="1"/>
    <x v="8"/>
    <s v="8215 J"/>
    <x v="273"/>
    <s v="Jilani Poly Stock"/>
    <s v="LDN"/>
    <n v="4"/>
    <n v="10"/>
    <s v="LDN"/>
    <s v="-"/>
    <x v="0"/>
    <n v="4"/>
    <n v="109.25"/>
    <n v="2"/>
    <m/>
    <x v="0"/>
    <n v="107.25"/>
    <n v="376.85"/>
    <m/>
    <x v="0"/>
    <x v="0"/>
    <n v="0"/>
    <n v="0"/>
    <x v="0"/>
    <x v="0"/>
    <m/>
    <x v="0"/>
    <x v="0"/>
    <x v="0"/>
    <x v="0"/>
    <x v="0"/>
    <n v="0"/>
    <n v="0"/>
    <n v="0"/>
    <n v="12"/>
    <x v="1"/>
    <x v="0"/>
    <m/>
    <x v="0"/>
    <n v="114.25"/>
    <x v="0"/>
    <x v="30"/>
    <x v="0"/>
    <x v="0"/>
    <x v="0"/>
  </r>
  <r>
    <x v="0"/>
    <x v="9"/>
    <s v="8196 J"/>
    <x v="273"/>
    <s v="Ibraheem Filter Industry (SMC.PVT.LTD)"/>
    <s v="LDN"/>
    <n v="16"/>
    <n v="8"/>
    <s v="LDN"/>
    <n v="1595.4415954415954"/>
    <x v="0"/>
    <n v="3"/>
    <n v="218.6"/>
    <n v="5.9"/>
    <m/>
    <x v="0"/>
    <n v="212.7"/>
    <n v="1726.2"/>
    <m/>
    <x v="0"/>
    <x v="0"/>
    <n v="0"/>
    <n v="0"/>
    <x v="0"/>
    <x v="0"/>
    <m/>
    <x v="0"/>
    <x v="0"/>
    <x v="0"/>
    <x v="0"/>
    <x v="0"/>
    <n v="0"/>
    <n v="0"/>
    <n v="0"/>
    <n v="12"/>
    <x v="1"/>
    <x v="0"/>
    <m/>
    <x v="0"/>
    <n v="223.6"/>
    <x v="0"/>
    <x v="30"/>
    <x v="0"/>
    <x v="0"/>
    <x v="0"/>
  </r>
  <r>
    <x v="1"/>
    <x v="9"/>
    <s v="8196 J"/>
    <x v="273"/>
    <s v="Ibraheem Filter Industry (SMC.PVT.LTD)"/>
    <s v="LDN"/>
    <n v="16"/>
    <n v="8"/>
    <s v="LDN"/>
    <n v="1595.4415954415954"/>
    <x v="0"/>
    <n v="1"/>
    <n v="58"/>
    <n v="1.9"/>
    <m/>
    <x v="0"/>
    <n v="56.1"/>
    <n v="1726.2"/>
    <m/>
    <x v="0"/>
    <x v="0"/>
    <n v="0"/>
    <n v="0"/>
    <x v="0"/>
    <x v="0"/>
    <m/>
    <x v="0"/>
    <x v="0"/>
    <x v="0"/>
    <x v="0"/>
    <x v="0"/>
    <n v="0"/>
    <n v="0"/>
    <n v="0"/>
    <n v="12"/>
    <x v="1"/>
    <x v="0"/>
    <m/>
    <x v="0"/>
    <n v="63"/>
    <x v="0"/>
    <x v="30"/>
    <x v="0"/>
    <x v="0"/>
    <x v="0"/>
  </r>
  <r>
    <x v="1"/>
    <x v="9"/>
    <s v="8260 J"/>
    <x v="273"/>
    <s v="RMC PACK"/>
    <s v="LDN"/>
    <n v="16"/>
    <s v="6-6.5"/>
    <s v="LDN"/>
    <n v="100"/>
    <x v="0"/>
    <n v="3"/>
    <n v="118.5"/>
    <n v="5.6999999999999993"/>
    <m/>
    <x v="0"/>
    <n v="112.8"/>
    <n v="112.8"/>
    <m/>
    <x v="0"/>
    <x v="0"/>
    <n v="0"/>
    <n v="0"/>
    <x v="0"/>
    <x v="0"/>
    <m/>
    <x v="0"/>
    <x v="0"/>
    <x v="0"/>
    <x v="0"/>
    <x v="0"/>
    <n v="0"/>
    <n v="0"/>
    <n v="0"/>
    <n v="12"/>
    <x v="1"/>
    <x v="0"/>
    <m/>
    <x v="0"/>
    <n v="123.5"/>
    <x v="0"/>
    <x v="30"/>
    <x v="0"/>
    <x v="0"/>
    <x v="0"/>
  </r>
  <r>
    <x v="1"/>
    <x v="9"/>
    <s v="3105 F"/>
    <x v="273"/>
    <s v="Usman Amin"/>
    <s v="LDN"/>
    <n v="15"/>
    <s v="12"/>
    <s v="LDN"/>
    <n v="150"/>
    <x v="0"/>
    <n v="1"/>
    <n v="56.5"/>
    <n v="1.5"/>
    <m/>
    <x v="0"/>
    <n v="55"/>
    <n v="159.69999999999999"/>
    <m/>
    <x v="0"/>
    <x v="0"/>
    <n v="0"/>
    <n v="0"/>
    <x v="0"/>
    <x v="0"/>
    <m/>
    <x v="0"/>
    <x v="0"/>
    <x v="0"/>
    <x v="0"/>
    <x v="0"/>
    <n v="0"/>
    <n v="0"/>
    <n v="0"/>
    <n v="12"/>
    <x v="1"/>
    <x v="0"/>
    <m/>
    <x v="0"/>
    <n v="61.5"/>
    <x v="0"/>
    <x v="30"/>
    <x v="0"/>
    <x v="0"/>
    <x v="0"/>
  </r>
  <r>
    <x v="0"/>
    <x v="11"/>
    <s v="8245 J"/>
    <x v="273"/>
    <s v="Waqas Wollan Mills Gujranwala"/>
    <s v="LD بلو"/>
    <n v="16"/>
    <s v="10-10.5"/>
    <s v="LDM"/>
    <n v="300"/>
    <x v="0"/>
    <n v="3"/>
    <n v="224"/>
    <n v="5.6999999999999993"/>
    <m/>
    <x v="0"/>
    <n v="218.3"/>
    <n v="385"/>
    <m/>
    <x v="0"/>
    <x v="0"/>
    <n v="0"/>
    <n v="0"/>
    <x v="0"/>
    <x v="0"/>
    <m/>
    <x v="0"/>
    <x v="0"/>
    <x v="0"/>
    <x v="0"/>
    <x v="0"/>
    <n v="0"/>
    <n v="0"/>
    <n v="0"/>
    <n v="12"/>
    <x v="1"/>
    <x v="0"/>
    <m/>
    <x v="0"/>
    <n v="229"/>
    <x v="0"/>
    <x v="30"/>
    <x v="0"/>
    <x v="0"/>
    <x v="0"/>
  </r>
  <r>
    <x v="0"/>
    <x v="11"/>
    <s v="8246 J"/>
    <x v="273"/>
    <s v="Waqas Wollan Mills Gujranwala"/>
    <s v="LD بلو"/>
    <n v="16"/>
    <s v="10-10.5"/>
    <s v="LDM"/>
    <n v="200"/>
    <x v="0"/>
    <n v="2"/>
    <n v="156"/>
    <n v="3.8"/>
    <m/>
    <x v="0"/>
    <n v="152.19999999999999"/>
    <n v="207.7"/>
    <m/>
    <x v="0"/>
    <x v="0"/>
    <n v="0"/>
    <n v="0"/>
    <x v="0"/>
    <x v="0"/>
    <m/>
    <x v="0"/>
    <x v="0"/>
    <x v="0"/>
    <x v="0"/>
    <x v="0"/>
    <n v="0"/>
    <n v="0"/>
    <n v="0"/>
    <n v="12"/>
    <x v="1"/>
    <x v="0"/>
    <m/>
    <x v="0"/>
    <n v="161"/>
    <x v="0"/>
    <x v="30"/>
    <x v="0"/>
    <x v="0"/>
    <x v="0"/>
  </r>
  <r>
    <x v="1"/>
    <x v="11"/>
    <s v="8242 J"/>
    <x v="273"/>
    <s v="Waqas Wollan Mills Gujranwala"/>
    <s v="LD بلو"/>
    <n v="16"/>
    <s v="10-10.5"/>
    <s v="LDM"/>
    <n v="500"/>
    <x v="0"/>
    <n v="6"/>
    <n v="492"/>
    <n v="12"/>
    <n v="2"/>
    <x v="0"/>
    <n v="480"/>
    <n v="503.5"/>
    <m/>
    <x v="0"/>
    <x v="0"/>
    <n v="0"/>
    <n v="0"/>
    <x v="0"/>
    <x v="0"/>
    <m/>
    <x v="0"/>
    <x v="0"/>
    <x v="0"/>
    <x v="0"/>
    <x v="0"/>
    <n v="0"/>
    <n v="0"/>
    <n v="0"/>
    <n v="12"/>
    <x v="1"/>
    <x v="0"/>
    <m/>
    <x v="0"/>
    <n v="497"/>
    <x v="0"/>
    <x v="30"/>
    <x v="0"/>
    <x v="0"/>
    <x v="0"/>
  </r>
  <r>
    <x v="0"/>
    <x v="13"/>
    <s v="8220 J"/>
    <x v="273"/>
    <s v="Javed Enterprises Gujranwala"/>
    <s v="LDN"/>
    <n v="14"/>
    <s v="20-20.5"/>
    <s v="LDN"/>
    <n v="300"/>
    <x v="0"/>
    <n v="3"/>
    <n v="184.5"/>
    <n v="5.0999999999999996"/>
    <m/>
    <x v="0"/>
    <n v="179.4"/>
    <n v="338.3"/>
    <m/>
    <x v="0"/>
    <x v="0"/>
    <n v="0"/>
    <n v="0"/>
    <x v="0"/>
    <x v="0"/>
    <m/>
    <x v="0"/>
    <x v="0"/>
    <x v="0"/>
    <x v="0"/>
    <x v="0"/>
    <n v="0"/>
    <n v="0"/>
    <n v="0"/>
    <n v="12"/>
    <x v="1"/>
    <x v="0"/>
    <m/>
    <x v="0"/>
    <n v="189.5"/>
    <x v="0"/>
    <x v="30"/>
    <x v="0"/>
    <x v="0"/>
    <x v="0"/>
  </r>
  <r>
    <x v="0"/>
    <x v="13"/>
    <s v="8219 J"/>
    <x v="273"/>
    <s v="Javed Enterprises Gujranwala"/>
    <s v="LDN"/>
    <n v="14"/>
    <s v="20-20.5"/>
    <s v="LDN"/>
    <n v="500"/>
    <x v="0"/>
    <n v="1"/>
    <n v="66.5"/>
    <n v="1.7"/>
    <n v="10"/>
    <x v="0"/>
    <n v="64.8"/>
    <n v="500.70000000000005"/>
    <m/>
    <x v="0"/>
    <x v="0"/>
    <n v="0"/>
    <n v="0"/>
    <x v="0"/>
    <x v="0"/>
    <m/>
    <x v="0"/>
    <x v="0"/>
    <x v="0"/>
    <x v="0"/>
    <x v="0"/>
    <n v="0"/>
    <n v="0"/>
    <n v="0"/>
    <n v="12"/>
    <x v="1"/>
    <x v="0"/>
    <m/>
    <x v="0"/>
    <n v="71.5"/>
    <x v="0"/>
    <x v="30"/>
    <x v="0"/>
    <x v="0"/>
    <x v="0"/>
  </r>
  <r>
    <x v="1"/>
    <x v="13"/>
    <s v="8219 J"/>
    <x v="273"/>
    <s v="Javed Enterprises Gujranwala"/>
    <s v="LDN"/>
    <n v="14"/>
    <s v="20-20.5"/>
    <s v="LDN"/>
    <n v="500"/>
    <x v="0"/>
    <n v="5"/>
    <n v="310"/>
    <n v="8.5"/>
    <m/>
    <x v="0"/>
    <n v="301.5"/>
    <n v="500.70000000000005"/>
    <m/>
    <x v="0"/>
    <x v="0"/>
    <n v="0"/>
    <n v="0"/>
    <x v="0"/>
    <x v="0"/>
    <m/>
    <x v="0"/>
    <x v="0"/>
    <x v="0"/>
    <x v="0"/>
    <x v="0"/>
    <n v="0"/>
    <n v="0"/>
    <n v="0"/>
    <n v="12"/>
    <x v="1"/>
    <x v="0"/>
    <m/>
    <x v="0"/>
    <n v="315"/>
    <x v="0"/>
    <x v="30"/>
    <x v="0"/>
    <x v="0"/>
    <x v="0"/>
  </r>
  <r>
    <x v="0"/>
    <x v="12"/>
    <s v="2865/1"/>
    <x v="273"/>
    <s v="MATCO FOOD"/>
    <s v="LDN"/>
    <s v="22.5-23"/>
    <s v="70±2"/>
    <s v="LDN"/>
    <n v="4200"/>
    <x v="0"/>
    <n v="2"/>
    <n v="246.38"/>
    <n v="4.4000000000000004"/>
    <m/>
    <x v="0"/>
    <n v="241.98"/>
    <n v="1459.58"/>
    <m/>
    <x v="0"/>
    <x v="0"/>
    <n v="0"/>
    <n v="0"/>
    <x v="0"/>
    <x v="0"/>
    <m/>
    <x v="0"/>
    <x v="0"/>
    <x v="0"/>
    <x v="0"/>
    <x v="0"/>
    <n v="0"/>
    <n v="0"/>
    <n v="0"/>
    <n v="12"/>
    <x v="1"/>
    <x v="0"/>
    <m/>
    <x v="0"/>
    <n v="251.38"/>
    <x v="0"/>
    <x v="30"/>
    <x v="0"/>
    <x v="0"/>
    <x v="0"/>
  </r>
  <r>
    <x v="0"/>
    <x v="12"/>
    <s v="2868/1"/>
    <x v="273"/>
    <s v="AGRI TRADE (SOP) LAMINATION"/>
    <s v="LDN"/>
    <s v="24-24.5"/>
    <s v="60±3"/>
    <s v="AA"/>
    <n v="13620"/>
    <x v="0"/>
    <n v="3"/>
    <n v="346.5"/>
    <n v="7.1999999999999993"/>
    <m/>
    <x v="0"/>
    <n v="339.3"/>
    <n v="14026.099999999999"/>
    <m/>
    <x v="0"/>
    <x v="0"/>
    <n v="0"/>
    <n v="0"/>
    <x v="0"/>
    <x v="0"/>
    <m/>
    <x v="0"/>
    <x v="0"/>
    <x v="0"/>
    <x v="0"/>
    <x v="0"/>
    <n v="0"/>
    <n v="0"/>
    <n v="0"/>
    <n v="12"/>
    <x v="1"/>
    <x v="0"/>
    <m/>
    <x v="0"/>
    <n v="351.5"/>
    <x v="0"/>
    <x v="30"/>
    <x v="0"/>
    <x v="0"/>
    <x v="0"/>
  </r>
  <r>
    <x v="1"/>
    <x v="12"/>
    <s v="2868/1"/>
    <x v="273"/>
    <s v="AGRI TRADE (SOP) LAMINATION"/>
    <s v="LDN"/>
    <s v="24-24.5"/>
    <s v="60±3"/>
    <s v="AA"/>
    <n v="13620"/>
    <x v="0"/>
    <n v="6"/>
    <n v="707"/>
    <n v="18"/>
    <m/>
    <x v="0"/>
    <n v="689"/>
    <n v="14026.099999999999"/>
    <m/>
    <x v="0"/>
    <x v="0"/>
    <n v="0"/>
    <n v="0"/>
    <x v="0"/>
    <x v="0"/>
    <m/>
    <x v="0"/>
    <x v="0"/>
    <x v="0"/>
    <x v="0"/>
    <x v="0"/>
    <n v="0"/>
    <n v="0"/>
    <n v="0"/>
    <n v="12"/>
    <x v="1"/>
    <x v="0"/>
    <m/>
    <x v="0"/>
    <n v="712"/>
    <x v="0"/>
    <x v="30"/>
    <x v="0"/>
    <x v="0"/>
    <x v="0"/>
  </r>
  <r>
    <x v="0"/>
    <x v="14"/>
    <s v="2870/1"/>
    <x v="273"/>
    <s v="USMAN AMEEN LAHORE (PT-02)"/>
    <s v="LDN"/>
    <s v="24+8+8"/>
    <n v="5"/>
    <s v="SL"/>
    <n v="700"/>
    <x v="0"/>
    <n v="9"/>
    <n v="578.79999999999995"/>
    <n v="22.4"/>
    <m/>
    <x v="0"/>
    <n v="556.4"/>
    <n v="634.9"/>
    <m/>
    <x v="0"/>
    <x v="0"/>
    <n v="0"/>
    <n v="0"/>
    <x v="0"/>
    <x v="0"/>
    <m/>
    <x v="0"/>
    <x v="0"/>
    <x v="0"/>
    <x v="0"/>
    <x v="0"/>
    <n v="0"/>
    <n v="0"/>
    <n v="0"/>
    <n v="12"/>
    <x v="1"/>
    <x v="0"/>
    <m/>
    <x v="0"/>
    <n v="583.79999999999995"/>
    <x v="0"/>
    <x v="30"/>
    <x v="0"/>
    <x v="0"/>
    <x v="0"/>
  </r>
  <r>
    <x v="0"/>
    <x v="14"/>
    <s v="2869/1"/>
    <x v="273"/>
    <s v="USMAN AMEEN LAHORE (PT-02)"/>
    <s v="LDN"/>
    <s v="24+7.75+7.75"/>
    <n v="5"/>
    <s v="SL"/>
    <n v="200"/>
    <x v="0"/>
    <n v="4"/>
    <n v="202"/>
    <n v="12"/>
    <n v="40"/>
    <x v="0"/>
    <n v="190"/>
    <n v="190"/>
    <m/>
    <x v="0"/>
    <x v="0"/>
    <n v="0"/>
    <n v="0"/>
    <x v="0"/>
    <x v="0"/>
    <m/>
    <x v="0"/>
    <x v="0"/>
    <x v="0"/>
    <x v="0"/>
    <x v="0"/>
    <n v="0"/>
    <n v="0"/>
    <n v="0"/>
    <n v="12"/>
    <x v="1"/>
    <x v="0"/>
    <m/>
    <x v="0"/>
    <n v="207"/>
    <x v="0"/>
    <x v="30"/>
    <x v="0"/>
    <x v="0"/>
    <x v="0"/>
  </r>
  <r>
    <x v="1"/>
    <x v="14"/>
    <s v="3116 F"/>
    <x v="273"/>
    <s v="Usman Amin"/>
    <s v="LDN"/>
    <s v="30+5+5"/>
    <s v="7-7.5/14-15"/>
    <s v="LDN"/>
    <n v="700"/>
    <x v="0"/>
    <n v="10"/>
    <n v="754"/>
    <n v="40"/>
    <n v="50"/>
    <x v="0"/>
    <n v="714"/>
    <n v="714"/>
    <n v="10"/>
    <x v="0"/>
    <x v="0"/>
    <n v="10"/>
    <n v="0.16666666666666666"/>
    <x v="0"/>
    <x v="0"/>
    <m/>
    <x v="13"/>
    <x v="0"/>
    <x v="0"/>
    <x v="0"/>
    <x v="0"/>
    <n v="35"/>
    <n v="0.58333333333333337"/>
    <n v="0.75"/>
    <n v="11.25"/>
    <x v="1"/>
    <x v="0"/>
    <m/>
    <x v="0"/>
    <n v="759"/>
    <x v="0"/>
    <x v="30"/>
    <x v="0"/>
    <x v="0"/>
    <x v="0"/>
  </r>
  <r>
    <x v="1"/>
    <x v="14"/>
    <s v="3117 F"/>
    <x v="273"/>
    <s v="Usman Amin"/>
    <s v="LDN"/>
    <s v="31+7+7"/>
    <s v="7-7.5/14-15"/>
    <s v="LDN"/>
    <n v="1300"/>
    <x v="0"/>
    <n v="4"/>
    <n v="317"/>
    <n v="16"/>
    <m/>
    <x v="0"/>
    <n v="301"/>
    <n v="1335"/>
    <m/>
    <x v="0"/>
    <x v="0"/>
    <n v="0"/>
    <n v="0"/>
    <x v="0"/>
    <x v="0"/>
    <m/>
    <x v="0"/>
    <x v="0"/>
    <x v="0"/>
    <x v="0"/>
    <x v="0"/>
    <n v="0"/>
    <n v="0"/>
    <n v="0"/>
    <n v="12"/>
    <x v="1"/>
    <x v="0"/>
    <m/>
    <x v="0"/>
    <n v="322"/>
    <x v="0"/>
    <x v="30"/>
    <x v="0"/>
    <x v="0"/>
    <x v="0"/>
  </r>
  <r>
    <x v="0"/>
    <x v="15"/>
    <s v="3007 F"/>
    <x v="273"/>
    <s v="Usman Amin"/>
    <s v="LDN"/>
    <s v="16 SHEET"/>
    <s v="3-3.25/6-6.5"/>
    <s v="LDN"/>
    <n v="1000"/>
    <x v="0"/>
    <n v="10"/>
    <n v="562"/>
    <n v="18"/>
    <n v="12"/>
    <x v="0"/>
    <n v="544"/>
    <n v="2027.9"/>
    <m/>
    <x v="0"/>
    <x v="0"/>
    <n v="0"/>
    <n v="0"/>
    <x v="0"/>
    <x v="0"/>
    <m/>
    <x v="0"/>
    <x v="0"/>
    <x v="0"/>
    <x v="0"/>
    <x v="0"/>
    <n v="0"/>
    <n v="0"/>
    <n v="0"/>
    <n v="12"/>
    <x v="1"/>
    <x v="0"/>
    <m/>
    <x v="0"/>
    <n v="567"/>
    <x v="0"/>
    <x v="30"/>
    <x v="0"/>
    <x v="0"/>
    <x v="0"/>
  </r>
  <r>
    <x v="1"/>
    <x v="15"/>
    <s v="3007 F"/>
    <x v="273"/>
    <s v="Usman Amin"/>
    <s v="LDN"/>
    <s v="16 SHEET"/>
    <s v="3-3.25/6-6.5"/>
    <s v="LDN"/>
    <n v="1000"/>
    <x v="0"/>
    <n v="4"/>
    <n v="152.5"/>
    <n v="8"/>
    <n v="5"/>
    <x v="0"/>
    <n v="144.5"/>
    <n v="2027.9"/>
    <n v="10"/>
    <x v="0"/>
    <x v="0"/>
    <n v="10"/>
    <n v="0.16666666666666666"/>
    <x v="0"/>
    <x v="0"/>
    <m/>
    <x v="0"/>
    <x v="0"/>
    <x v="0"/>
    <x v="0"/>
    <x v="0"/>
    <n v="0"/>
    <n v="0"/>
    <n v="0.16666666666666666"/>
    <n v="11.833333333333334"/>
    <x v="1"/>
    <x v="0"/>
    <m/>
    <x v="0"/>
    <n v="157.5"/>
    <x v="0"/>
    <x v="30"/>
    <x v="0"/>
    <x v="0"/>
    <x v="0"/>
  </r>
  <r>
    <x v="1"/>
    <x v="15"/>
    <s v="3118 F"/>
    <x v="273"/>
    <s v="Usman Amin"/>
    <s v="LDN"/>
    <n v="17"/>
    <s v="5-5.5"/>
    <s v="LDN"/>
    <n v="400"/>
    <x v="0"/>
    <n v="5"/>
    <n v="274.5"/>
    <n v="10.5"/>
    <m/>
    <x v="0"/>
    <n v="264"/>
    <n v="413.2"/>
    <m/>
    <x v="0"/>
    <x v="0"/>
    <n v="0"/>
    <n v="0"/>
    <x v="0"/>
    <x v="0"/>
    <m/>
    <x v="0"/>
    <x v="0"/>
    <x v="0"/>
    <x v="0"/>
    <x v="0"/>
    <n v="0"/>
    <n v="0"/>
    <n v="0"/>
    <n v="12"/>
    <x v="1"/>
    <x v="0"/>
    <m/>
    <x v="0"/>
    <n v="279.5"/>
    <x v="0"/>
    <x v="30"/>
    <x v="0"/>
    <x v="0"/>
    <x v="0"/>
  </r>
  <r>
    <x v="0"/>
    <x v="8"/>
    <s v="8215 J"/>
    <x v="274"/>
    <s v="Jilani Poly Stock"/>
    <s v="LDN"/>
    <n v="4"/>
    <n v="10"/>
    <s v="LDN"/>
    <s v="-"/>
    <x v="0"/>
    <n v="4"/>
    <n v="116"/>
    <n v="2"/>
    <m/>
    <x v="0"/>
    <n v="114"/>
    <n v="376.85"/>
    <m/>
    <x v="0"/>
    <x v="0"/>
    <n v="0"/>
    <n v="0"/>
    <x v="0"/>
    <x v="0"/>
    <m/>
    <x v="0"/>
    <x v="0"/>
    <x v="0"/>
    <x v="0"/>
    <x v="0"/>
    <n v="0"/>
    <n v="0"/>
    <n v="0"/>
    <n v="12"/>
    <x v="1"/>
    <x v="0"/>
    <m/>
    <x v="0"/>
    <n v="121"/>
    <x v="0"/>
    <x v="30"/>
    <x v="0"/>
    <x v="0"/>
    <x v="0"/>
  </r>
  <r>
    <x v="0"/>
    <x v="8"/>
    <s v="8290 J"/>
    <x v="274"/>
    <s v="K.B Buisness Service "/>
    <s v="LDN"/>
    <n v="12"/>
    <n v="18"/>
    <s v="LDN"/>
    <n v="250"/>
    <x v="0"/>
    <n v="1"/>
    <n v="46.5"/>
    <n v="1.5"/>
    <m/>
    <x v="0"/>
    <n v="45"/>
    <n v="299.90000000000003"/>
    <m/>
    <x v="0"/>
    <x v="0"/>
    <n v="0"/>
    <n v="0"/>
    <x v="0"/>
    <x v="0"/>
    <m/>
    <x v="0"/>
    <x v="0"/>
    <x v="0"/>
    <x v="0"/>
    <x v="0"/>
    <n v="0"/>
    <n v="0"/>
    <n v="0"/>
    <n v="12"/>
    <x v="1"/>
    <x v="0"/>
    <m/>
    <x v="0"/>
    <n v="51.5"/>
    <x v="0"/>
    <x v="30"/>
    <x v="0"/>
    <x v="0"/>
    <x v="0"/>
  </r>
  <r>
    <x v="1"/>
    <x v="8"/>
    <s v="8290 J"/>
    <x v="274"/>
    <s v="K.B Buisness Service "/>
    <s v="LDN"/>
    <n v="12"/>
    <n v="18"/>
    <s v="LDN"/>
    <n v="250"/>
    <x v="0"/>
    <n v="4"/>
    <n v="236.5"/>
    <n v="5.6999999999999993"/>
    <m/>
    <x v="0"/>
    <n v="230.8"/>
    <n v="299.90000000000003"/>
    <m/>
    <x v="0"/>
    <x v="0"/>
    <n v="0"/>
    <n v="0"/>
    <x v="0"/>
    <x v="0"/>
    <m/>
    <x v="0"/>
    <x v="0"/>
    <x v="0"/>
    <x v="0"/>
    <x v="0"/>
    <n v="0"/>
    <n v="0"/>
    <n v="0"/>
    <n v="12"/>
    <x v="1"/>
    <x v="0"/>
    <m/>
    <x v="0"/>
    <n v="241.5"/>
    <x v="0"/>
    <x v="30"/>
    <x v="0"/>
    <x v="0"/>
    <x v="0"/>
  </r>
  <r>
    <x v="0"/>
    <x v="9"/>
    <s v="3105 F"/>
    <x v="274"/>
    <s v="Usman Amin"/>
    <s v="LDN"/>
    <n v="15"/>
    <s v="12"/>
    <s v="LDN"/>
    <n v="150"/>
    <x v="0"/>
    <n v="1"/>
    <n v="46.9"/>
    <n v="1.9"/>
    <m/>
    <x v="0"/>
    <n v="45"/>
    <n v="159.69999999999999"/>
    <m/>
    <x v="0"/>
    <x v="14"/>
    <n v="600"/>
    <n v="10"/>
    <x v="0"/>
    <x v="0"/>
    <m/>
    <x v="0"/>
    <x v="0"/>
    <x v="0"/>
    <x v="0"/>
    <x v="0"/>
    <n v="0"/>
    <n v="0"/>
    <n v="10"/>
    <n v="2"/>
    <x v="1"/>
    <x v="0"/>
    <m/>
    <x v="0"/>
    <n v="51.9"/>
    <x v="0"/>
    <x v="30"/>
    <x v="0"/>
    <x v="0"/>
    <x v="0"/>
  </r>
  <r>
    <x v="0"/>
    <x v="11"/>
    <s v="8242 J"/>
    <x v="274"/>
    <s v="Waqas Wollan Mills Gujranwala"/>
    <s v="LD بلو"/>
    <n v="16"/>
    <s v="10-10.5"/>
    <s v="LDM"/>
    <n v="500"/>
    <x v="0"/>
    <n v="1"/>
    <n v="25.5"/>
    <n v="2"/>
    <m/>
    <x v="0"/>
    <n v="23.5"/>
    <n v="503.5"/>
    <m/>
    <x v="0"/>
    <x v="0"/>
    <n v="0"/>
    <n v="0"/>
    <x v="0"/>
    <x v="0"/>
    <m/>
    <x v="0"/>
    <x v="0"/>
    <x v="0"/>
    <x v="0"/>
    <x v="0"/>
    <n v="0"/>
    <n v="0"/>
    <n v="0"/>
    <n v="12"/>
    <x v="1"/>
    <x v="0"/>
    <m/>
    <x v="0"/>
    <n v="30.5"/>
    <x v="0"/>
    <x v="30"/>
    <x v="0"/>
    <x v="0"/>
    <x v="0"/>
  </r>
  <r>
    <x v="0"/>
    <x v="11"/>
    <s v="8246 J"/>
    <x v="274"/>
    <s v="Waqas Wollan Mills Gujranwala"/>
    <s v="LD بلو"/>
    <n v="16"/>
    <s v="10-10.5"/>
    <s v="LDM"/>
    <n v="200"/>
    <x v="0"/>
    <n v="1"/>
    <n v="57.5"/>
    <n v="2"/>
    <m/>
    <x v="0"/>
    <n v="55.5"/>
    <n v="207.7"/>
    <m/>
    <x v="0"/>
    <x v="0"/>
    <n v="0"/>
    <n v="0"/>
    <x v="0"/>
    <x v="0"/>
    <m/>
    <x v="0"/>
    <x v="0"/>
    <x v="0"/>
    <x v="0"/>
    <x v="0"/>
    <n v="0"/>
    <n v="0"/>
    <n v="0"/>
    <n v="12"/>
    <x v="1"/>
    <x v="0"/>
    <m/>
    <x v="0"/>
    <n v="62.5"/>
    <x v="0"/>
    <x v="30"/>
    <x v="0"/>
    <x v="0"/>
    <x v="0"/>
  </r>
  <r>
    <x v="0"/>
    <x v="11"/>
    <s v="8250 J"/>
    <x v="274"/>
    <s v="Waqas Wollan Mills Gujranwala"/>
    <s v="LD بلو"/>
    <n v="16"/>
    <s v="10-10.5"/>
    <s v="LDM"/>
    <n v="300"/>
    <x v="0"/>
    <n v="3"/>
    <n v="260.5"/>
    <n v="6"/>
    <n v="12"/>
    <x v="0"/>
    <n v="254.5"/>
    <n v="254.5"/>
    <m/>
    <x v="0"/>
    <x v="0"/>
    <n v="0"/>
    <n v="0"/>
    <x v="0"/>
    <x v="0"/>
    <m/>
    <x v="0"/>
    <x v="0"/>
    <x v="0"/>
    <x v="0"/>
    <x v="0"/>
    <n v="0"/>
    <n v="0"/>
    <n v="0"/>
    <n v="12"/>
    <x v="1"/>
    <x v="0"/>
    <m/>
    <x v="0"/>
    <n v="265.5"/>
    <x v="0"/>
    <x v="30"/>
    <x v="0"/>
    <x v="0"/>
    <x v="0"/>
  </r>
  <r>
    <x v="1"/>
    <x v="11"/>
    <s v="8050 J"/>
    <x v="274"/>
    <s v="Usman Arif Butt Gujranwala"/>
    <s v="LDN"/>
    <n v="4"/>
    <n v="10"/>
    <s v="LDN"/>
    <n v="120"/>
    <x v="0"/>
    <n v="1"/>
    <n v="71"/>
    <n v="1.9"/>
    <n v="18"/>
    <x v="0"/>
    <n v="69.099999999999994"/>
    <n v="198.79999999999998"/>
    <m/>
    <x v="0"/>
    <x v="0"/>
    <n v="0"/>
    <n v="0"/>
    <x v="0"/>
    <x v="0"/>
    <m/>
    <x v="0"/>
    <x v="0"/>
    <x v="0"/>
    <x v="0"/>
    <x v="0"/>
    <n v="0"/>
    <n v="0"/>
    <n v="0"/>
    <n v="12"/>
    <x v="1"/>
    <x v="0"/>
    <m/>
    <x v="0"/>
    <n v="76"/>
    <x v="0"/>
    <x v="30"/>
    <x v="0"/>
    <x v="0"/>
    <x v="0"/>
  </r>
  <r>
    <x v="1"/>
    <x v="11"/>
    <s v="8249 J"/>
    <x v="274"/>
    <s v="Waqas Wollan Mills Gujranwala"/>
    <s v="LD اورنج"/>
    <n v="15"/>
    <s v="10-10.5"/>
    <s v="LDM"/>
    <n v="400"/>
    <x v="0"/>
    <n v="3"/>
    <n v="248.5"/>
    <n v="5.6"/>
    <m/>
    <x v="0"/>
    <n v="242.9"/>
    <n v="311.3"/>
    <m/>
    <x v="0"/>
    <x v="0"/>
    <n v="0"/>
    <n v="0"/>
    <x v="0"/>
    <x v="0"/>
    <m/>
    <x v="0"/>
    <x v="0"/>
    <x v="0"/>
    <x v="0"/>
    <x v="0"/>
    <n v="0"/>
    <n v="0"/>
    <n v="0"/>
    <n v="12"/>
    <x v="1"/>
    <x v="0"/>
    <m/>
    <x v="0"/>
    <n v="253.5"/>
    <x v="0"/>
    <x v="30"/>
    <x v="0"/>
    <x v="0"/>
    <x v="0"/>
  </r>
  <r>
    <x v="0"/>
    <x v="13"/>
    <s v="8219 J"/>
    <x v="274"/>
    <s v="Javed Enterprises Gujranwala"/>
    <s v="LDN"/>
    <n v="14"/>
    <s v="20-20.5"/>
    <s v="LDN"/>
    <n v="500"/>
    <x v="0"/>
    <n v="3"/>
    <n v="139.5"/>
    <n v="5.0999999999999996"/>
    <m/>
    <x v="0"/>
    <n v="134.4"/>
    <n v="500.70000000000005"/>
    <m/>
    <x v="0"/>
    <x v="0"/>
    <n v="0"/>
    <n v="0"/>
    <x v="0"/>
    <x v="0"/>
    <m/>
    <x v="0"/>
    <x v="0"/>
    <x v="0"/>
    <x v="0"/>
    <x v="0"/>
    <n v="0"/>
    <n v="0"/>
    <n v="0"/>
    <n v="12"/>
    <x v="1"/>
    <x v="0"/>
    <m/>
    <x v="0"/>
    <n v="144.5"/>
    <x v="0"/>
    <x v="30"/>
    <x v="0"/>
    <x v="0"/>
    <x v="0"/>
  </r>
  <r>
    <x v="0"/>
    <x v="13"/>
    <s v="3110 F"/>
    <x v="274"/>
    <s v="Usman Amin"/>
    <s v="LDN"/>
    <n v="15"/>
    <s v="5-5.5"/>
    <s v="LDN"/>
    <n v="200"/>
    <x v="0"/>
    <n v="2"/>
    <n v="74.5"/>
    <n v="3.4"/>
    <n v="8"/>
    <x v="0"/>
    <n v="71.099999999999994"/>
    <n v="254.15"/>
    <m/>
    <x v="0"/>
    <x v="0"/>
    <n v="0"/>
    <n v="0"/>
    <x v="0"/>
    <x v="0"/>
    <m/>
    <x v="0"/>
    <x v="0"/>
    <x v="0"/>
    <x v="0"/>
    <x v="0"/>
    <n v="0"/>
    <n v="0"/>
    <n v="0"/>
    <n v="12"/>
    <x v="1"/>
    <x v="0"/>
    <m/>
    <x v="0"/>
    <n v="79.5"/>
    <x v="0"/>
    <x v="30"/>
    <x v="0"/>
    <x v="0"/>
    <x v="0"/>
  </r>
  <r>
    <x v="1"/>
    <x v="13"/>
    <s v="3110 F"/>
    <x v="274"/>
    <s v="Usman Amin"/>
    <s v="LDN"/>
    <n v="15"/>
    <s v="5-5.5"/>
    <s v="LDN"/>
    <n v="200"/>
    <x v="0"/>
    <n v="5"/>
    <n v="192.5"/>
    <n v="9.4499999999999993"/>
    <n v="7"/>
    <x v="0"/>
    <n v="183.05"/>
    <n v="254.15"/>
    <m/>
    <x v="0"/>
    <x v="0"/>
    <n v="0"/>
    <n v="0"/>
    <x v="0"/>
    <x v="0"/>
    <m/>
    <x v="0"/>
    <x v="0"/>
    <x v="0"/>
    <x v="0"/>
    <x v="0"/>
    <n v="0"/>
    <n v="0"/>
    <n v="0"/>
    <n v="12"/>
    <x v="1"/>
    <x v="0"/>
    <m/>
    <x v="0"/>
    <n v="197.5"/>
    <x v="0"/>
    <x v="30"/>
    <x v="0"/>
    <x v="0"/>
    <x v="0"/>
  </r>
  <r>
    <x v="1"/>
    <x v="13"/>
    <s v="3114 F"/>
    <x v="274"/>
    <s v="Usman Amin"/>
    <s v="LDN"/>
    <n v="15"/>
    <s v="5-5.5"/>
    <s v="LDN"/>
    <n v="25"/>
    <x v="0"/>
    <n v="2"/>
    <n v="65"/>
    <n v="2.8"/>
    <m/>
    <x v="0"/>
    <n v="62.2"/>
    <n v="62.2"/>
    <m/>
    <x v="0"/>
    <x v="0"/>
    <n v="0"/>
    <n v="0"/>
    <x v="0"/>
    <x v="0"/>
    <m/>
    <x v="0"/>
    <x v="0"/>
    <x v="0"/>
    <x v="0"/>
    <x v="0"/>
    <n v="0"/>
    <n v="0"/>
    <n v="0"/>
    <n v="12"/>
    <x v="1"/>
    <x v="0"/>
    <m/>
    <x v="0"/>
    <n v="70"/>
    <x v="0"/>
    <x v="30"/>
    <x v="0"/>
    <x v="0"/>
    <x v="0"/>
  </r>
  <r>
    <x v="0"/>
    <x v="12"/>
    <s v="2868/1"/>
    <x v="274"/>
    <s v="AGRI TRADE (SOP) LAMINATION"/>
    <s v="LDN"/>
    <s v="24-24.5"/>
    <s v="60±3"/>
    <s v="AA"/>
    <n v="13620"/>
    <x v="0"/>
    <n v="5"/>
    <n v="581.5"/>
    <n v="15"/>
    <n v="4"/>
    <x v="0"/>
    <n v="566.5"/>
    <n v="14026.099999999999"/>
    <m/>
    <x v="0"/>
    <x v="0"/>
    <n v="0"/>
    <n v="0"/>
    <x v="0"/>
    <x v="0"/>
    <m/>
    <x v="0"/>
    <x v="0"/>
    <x v="0"/>
    <x v="0"/>
    <x v="0"/>
    <n v="0"/>
    <n v="0"/>
    <n v="0"/>
    <n v="12"/>
    <x v="1"/>
    <x v="0"/>
    <m/>
    <x v="0"/>
    <n v="586.5"/>
    <x v="0"/>
    <x v="30"/>
    <x v="0"/>
    <x v="0"/>
    <x v="0"/>
  </r>
  <r>
    <x v="1"/>
    <x v="12"/>
    <s v="2868/1"/>
    <x v="274"/>
    <s v="AGRI TRADE (SOP) LAMINATION"/>
    <s v="LDN"/>
    <s v="24-24.5"/>
    <s v="60±3"/>
    <s v="AA"/>
    <n v="13620"/>
    <x v="0"/>
    <n v="4"/>
    <n v="457.5"/>
    <n v="12"/>
    <n v="10"/>
    <x v="0"/>
    <n v="445.5"/>
    <n v="14026.099999999999"/>
    <m/>
    <x v="0"/>
    <x v="0"/>
    <n v="0"/>
    <n v="0"/>
    <x v="0"/>
    <x v="0"/>
    <m/>
    <x v="0"/>
    <x v="0"/>
    <x v="0"/>
    <x v="0"/>
    <x v="0"/>
    <n v="0"/>
    <n v="0"/>
    <n v="0"/>
    <n v="12"/>
    <x v="1"/>
    <x v="0"/>
    <m/>
    <x v="0"/>
    <n v="462.5"/>
    <x v="0"/>
    <x v="30"/>
    <x v="0"/>
    <x v="0"/>
    <x v="0"/>
  </r>
  <r>
    <x v="0"/>
    <x v="14"/>
    <s v="3117 F"/>
    <x v="274"/>
    <s v="Usman Amin"/>
    <s v="LDN"/>
    <s v="31+7+7"/>
    <s v="7-7.5/14-15"/>
    <s v="LDN"/>
    <n v="1300"/>
    <x v="0"/>
    <n v="12"/>
    <n v="983.1"/>
    <n v="48"/>
    <n v="18"/>
    <x v="0"/>
    <n v="935.1"/>
    <n v="1335"/>
    <m/>
    <x v="0"/>
    <x v="0"/>
    <n v="0"/>
    <n v="0"/>
    <x v="0"/>
    <x v="0"/>
    <m/>
    <x v="7"/>
    <x v="0"/>
    <x v="0"/>
    <x v="0"/>
    <x v="0"/>
    <n v="20"/>
    <n v="0.33333333333333331"/>
    <n v="0.33333333333333331"/>
    <n v="11.666666666666666"/>
    <x v="1"/>
    <x v="0"/>
    <m/>
    <x v="0"/>
    <n v="988.1"/>
    <x v="0"/>
    <x v="30"/>
    <x v="0"/>
    <x v="0"/>
    <x v="0"/>
  </r>
  <r>
    <x v="1"/>
    <x v="14"/>
    <s v="3117 F"/>
    <x v="274"/>
    <s v="Usman Amin"/>
    <s v="LDN"/>
    <s v="31+7+7"/>
    <s v="7-7.5/14-15"/>
    <s v="LDN"/>
    <n v="1300"/>
    <x v="0"/>
    <n v="1"/>
    <n v="102"/>
    <n v="3.1"/>
    <n v="12"/>
    <x v="0"/>
    <n v="98.9"/>
    <n v="1335"/>
    <m/>
    <x v="0"/>
    <x v="0"/>
    <n v="0"/>
    <n v="0"/>
    <x v="0"/>
    <x v="0"/>
    <m/>
    <x v="0"/>
    <x v="0"/>
    <x v="0"/>
    <x v="0"/>
    <x v="0"/>
    <n v="0"/>
    <n v="0"/>
    <n v="0"/>
    <n v="12"/>
    <x v="1"/>
    <x v="0"/>
    <m/>
    <x v="0"/>
    <n v="107"/>
    <x v="0"/>
    <x v="30"/>
    <x v="0"/>
    <x v="0"/>
    <x v="0"/>
  </r>
  <r>
    <x v="1"/>
    <x v="14"/>
    <s v="8270 J"/>
    <x v="274"/>
    <s v="Usman Arif Butt Gujranwala"/>
    <s v="LDN"/>
    <n v="26"/>
    <n v="5"/>
    <s v="LDN"/>
    <n v="100"/>
    <x v="0"/>
    <n v="3"/>
    <n v="107"/>
    <n v="7"/>
    <m/>
    <x v="0"/>
    <n v="100"/>
    <n v="100"/>
    <m/>
    <x v="0"/>
    <x v="0"/>
    <n v="0"/>
    <n v="0"/>
    <x v="0"/>
    <x v="0"/>
    <m/>
    <x v="0"/>
    <x v="0"/>
    <x v="0"/>
    <x v="0"/>
    <x v="0"/>
    <n v="0"/>
    <n v="0"/>
    <n v="0"/>
    <n v="12"/>
    <x v="1"/>
    <x v="0"/>
    <m/>
    <x v="0"/>
    <n v="112"/>
    <x v="0"/>
    <x v="30"/>
    <x v="0"/>
    <x v="0"/>
    <x v="0"/>
  </r>
  <r>
    <x v="1"/>
    <x v="14"/>
    <s v="2872/1"/>
    <x v="274"/>
    <s v="MATCO FOOD"/>
    <s v="LDN"/>
    <s v="28-28.5"/>
    <s v="85±2"/>
    <s v="SL"/>
    <n v="2805"/>
    <x v="0"/>
    <n v="4"/>
    <n v="473"/>
    <n v="15.2"/>
    <m/>
    <x v="0"/>
    <n v="457.8"/>
    <n v="785.90000000000009"/>
    <m/>
    <x v="0"/>
    <x v="0"/>
    <n v="0"/>
    <n v="0"/>
    <x v="0"/>
    <x v="0"/>
    <m/>
    <x v="0"/>
    <x v="0"/>
    <x v="0"/>
    <x v="0"/>
    <x v="0"/>
    <n v="0"/>
    <n v="0"/>
    <n v="0"/>
    <n v="12"/>
    <x v="1"/>
    <x v="0"/>
    <m/>
    <x v="0"/>
    <n v="478"/>
    <x v="0"/>
    <x v="30"/>
    <x v="0"/>
    <x v="0"/>
    <x v="0"/>
  </r>
  <r>
    <x v="0"/>
    <x v="15"/>
    <s v="3118 F"/>
    <x v="274"/>
    <s v="Usman Amin"/>
    <s v="LDN"/>
    <n v="17"/>
    <s v="5-5.5"/>
    <s v="LDN"/>
    <n v="400"/>
    <x v="0"/>
    <n v="3"/>
    <n v="155.5"/>
    <n v="6.3000000000000007"/>
    <m/>
    <x v="0"/>
    <n v="149.19999999999999"/>
    <n v="413.2"/>
    <m/>
    <x v="0"/>
    <x v="0"/>
    <n v="0"/>
    <n v="0"/>
    <x v="0"/>
    <x v="0"/>
    <m/>
    <x v="0"/>
    <x v="0"/>
    <x v="0"/>
    <x v="0"/>
    <x v="0"/>
    <n v="0"/>
    <n v="0"/>
    <n v="0"/>
    <n v="12"/>
    <x v="1"/>
    <x v="0"/>
    <m/>
    <x v="0"/>
    <n v="160.5"/>
    <x v="0"/>
    <x v="30"/>
    <x v="0"/>
    <x v="0"/>
    <x v="0"/>
  </r>
  <r>
    <x v="0"/>
    <x v="15"/>
    <s v="3113 F"/>
    <x v="274"/>
    <s v="Usman Amin"/>
    <s v="LDN"/>
    <n v="16"/>
    <s v="5.5.5"/>
    <s v="LDN"/>
    <n v="130"/>
    <x v="0"/>
    <n v="2"/>
    <n v="141"/>
    <n v="4"/>
    <m/>
    <x v="0"/>
    <n v="137"/>
    <n v="137"/>
    <m/>
    <x v="0"/>
    <x v="0"/>
    <n v="0"/>
    <n v="0"/>
    <x v="0"/>
    <x v="0"/>
    <m/>
    <x v="0"/>
    <x v="0"/>
    <x v="0"/>
    <x v="0"/>
    <x v="0"/>
    <n v="0"/>
    <n v="0"/>
    <n v="0"/>
    <n v="12"/>
    <x v="1"/>
    <x v="0"/>
    <m/>
    <x v="0"/>
    <n v="146"/>
    <x v="0"/>
    <x v="30"/>
    <x v="0"/>
    <x v="0"/>
    <x v="0"/>
  </r>
  <r>
    <x v="0"/>
    <x v="15"/>
    <s v="8286 J"/>
    <x v="274"/>
    <s v="Chaudhry Milk Sweets and Bakers Jhangh"/>
    <s v="LDN"/>
    <n v="21"/>
    <s v="8-8.5"/>
    <s v="LDN"/>
    <n v="200"/>
    <x v="0"/>
    <n v="1"/>
    <n v="51.5"/>
    <n v="2.6"/>
    <n v="8"/>
    <x v="0"/>
    <n v="48.9"/>
    <n v="499.7"/>
    <m/>
    <x v="0"/>
    <x v="0"/>
    <n v="0"/>
    <n v="0"/>
    <x v="0"/>
    <x v="0"/>
    <m/>
    <x v="0"/>
    <x v="0"/>
    <x v="0"/>
    <x v="0"/>
    <x v="0"/>
    <n v="0"/>
    <n v="0"/>
    <n v="0"/>
    <n v="12"/>
    <x v="1"/>
    <x v="0"/>
    <m/>
    <x v="0"/>
    <n v="56.5"/>
    <x v="0"/>
    <x v="30"/>
    <x v="0"/>
    <x v="0"/>
    <x v="0"/>
  </r>
  <r>
    <x v="1"/>
    <x v="15"/>
    <s v="8286 J"/>
    <x v="274"/>
    <s v="Chaudhry Milk Sweets and Bakers Jhangh"/>
    <s v="LDN"/>
    <n v="21"/>
    <s v="8-8.5"/>
    <s v="LDN"/>
    <n v="200"/>
    <x v="0"/>
    <n v="5"/>
    <n v="302.5"/>
    <n v="11.5"/>
    <n v="7"/>
    <x v="0"/>
    <n v="291"/>
    <n v="499.7"/>
    <m/>
    <x v="0"/>
    <x v="0"/>
    <n v="0"/>
    <n v="0"/>
    <x v="0"/>
    <x v="0"/>
    <m/>
    <x v="0"/>
    <x v="0"/>
    <x v="0"/>
    <x v="0"/>
    <x v="0"/>
    <n v="0"/>
    <n v="0"/>
    <n v="0"/>
    <n v="12"/>
    <x v="1"/>
    <x v="0"/>
    <m/>
    <x v="0"/>
    <n v="307.5"/>
    <x v="0"/>
    <x v="30"/>
    <x v="0"/>
    <x v="0"/>
    <x v="0"/>
  </r>
  <r>
    <x v="1"/>
    <x v="15"/>
    <s v="2871/1"/>
    <x v="274"/>
    <s v="MATCO FOOD"/>
    <s v="LDN"/>
    <s v="22.5-23"/>
    <s v="70±2"/>
    <s v="SL"/>
    <n v="700"/>
    <x v="0"/>
    <n v="1"/>
    <n v="141"/>
    <n v="2.7"/>
    <m/>
    <x v="0"/>
    <n v="138.30000000000001"/>
    <n v="138.30000000000001"/>
    <m/>
    <x v="0"/>
    <x v="0"/>
    <n v="0"/>
    <n v="0"/>
    <x v="0"/>
    <x v="0"/>
    <m/>
    <x v="0"/>
    <x v="0"/>
    <x v="0"/>
    <x v="0"/>
    <x v="0"/>
    <n v="0"/>
    <n v="0"/>
    <n v="0"/>
    <n v="12"/>
    <x v="1"/>
    <x v="0"/>
    <m/>
    <x v="0"/>
    <n v="146"/>
    <x v="0"/>
    <x v="30"/>
    <x v="0"/>
    <x v="0"/>
    <x v="0"/>
  </r>
  <r>
    <x v="1"/>
    <x v="15"/>
    <s v="2868/1"/>
    <x v="274"/>
    <s v="AGRI TRADE (SOP) LAMINATION"/>
    <s v="LDN"/>
    <s v="24-24.5"/>
    <s v="60±3"/>
    <s v="AA"/>
    <n v="13620"/>
    <x v="0"/>
    <n v="1"/>
    <n v="90"/>
    <n v="2.8"/>
    <m/>
    <x v="0"/>
    <n v="87.2"/>
    <n v="14026.099999999999"/>
    <m/>
    <x v="0"/>
    <x v="0"/>
    <n v="0"/>
    <n v="0"/>
    <x v="0"/>
    <x v="0"/>
    <m/>
    <x v="0"/>
    <x v="0"/>
    <x v="0"/>
    <x v="0"/>
    <x v="0"/>
    <n v="0"/>
    <n v="0"/>
    <n v="0"/>
    <n v="12"/>
    <x v="1"/>
    <x v="0"/>
    <m/>
    <x v="0"/>
    <n v="95"/>
    <x v="0"/>
    <x v="30"/>
    <x v="0"/>
    <x v="0"/>
    <x v="0"/>
  </r>
  <r>
    <x v="0"/>
    <x v="8"/>
    <s v="8290 J"/>
    <x v="275"/>
    <s v="K.B Buisness Service "/>
    <s v="LDN"/>
    <n v="12"/>
    <n v="18"/>
    <s v="LDN"/>
    <n v="250"/>
    <x v="0"/>
    <n v="1"/>
    <n v="25.5"/>
    <n v="1.4"/>
    <m/>
    <x v="0"/>
    <n v="24.1"/>
    <n v="299.90000000000003"/>
    <m/>
    <x v="0"/>
    <x v="0"/>
    <n v="0"/>
    <n v="0"/>
    <x v="0"/>
    <x v="0"/>
    <m/>
    <x v="0"/>
    <x v="0"/>
    <x v="0"/>
    <x v="0"/>
    <x v="0"/>
    <n v="0"/>
    <n v="0"/>
    <n v="0"/>
    <n v="12"/>
    <x v="1"/>
    <x v="0"/>
    <m/>
    <x v="0"/>
    <n v="30.5"/>
    <x v="0"/>
    <x v="31"/>
    <x v="0"/>
    <x v="0"/>
    <x v="0"/>
  </r>
  <r>
    <x v="0"/>
    <x v="8"/>
    <s v="8218 J"/>
    <x v="275"/>
    <s v="Jilani Poly Stock"/>
    <s v="LDN"/>
    <n v="7"/>
    <n v="10"/>
    <s v="LDN"/>
    <s v="-"/>
    <x v="0"/>
    <n v="4"/>
    <n v="112.00000000000001"/>
    <n v="2"/>
    <m/>
    <x v="0"/>
    <n v="110.00000000000001"/>
    <n v="715.5"/>
    <m/>
    <x v="0"/>
    <x v="0"/>
    <n v="0"/>
    <n v="0"/>
    <x v="0"/>
    <x v="0"/>
    <m/>
    <x v="0"/>
    <x v="0"/>
    <x v="0"/>
    <x v="0"/>
    <x v="0"/>
    <n v="0"/>
    <n v="0"/>
    <n v="0"/>
    <n v="12"/>
    <x v="1"/>
    <x v="0"/>
    <m/>
    <x v="0"/>
    <n v="117.00000000000001"/>
    <x v="0"/>
    <x v="31"/>
    <x v="0"/>
    <x v="0"/>
    <x v="0"/>
  </r>
  <r>
    <x v="1"/>
    <x v="8"/>
    <s v="8218 J"/>
    <x v="275"/>
    <s v="Jilani Poly Stock"/>
    <s v="LDN"/>
    <n v="7"/>
    <n v="10"/>
    <s v="LDN"/>
    <s v="-"/>
    <x v="0"/>
    <n v="2"/>
    <n v="40.900000000000006"/>
    <n v="1"/>
    <m/>
    <x v="0"/>
    <n v="39.900000000000006"/>
    <n v="715.5"/>
    <m/>
    <x v="0"/>
    <x v="0"/>
    <n v="0"/>
    <n v="0"/>
    <x v="0"/>
    <x v="0"/>
    <m/>
    <x v="0"/>
    <x v="0"/>
    <x v="0"/>
    <x v="0"/>
    <x v="0"/>
    <n v="0"/>
    <n v="0"/>
    <n v="0"/>
    <n v="12"/>
    <x v="1"/>
    <x v="0"/>
    <m/>
    <x v="0"/>
    <n v="45.900000000000006"/>
    <x v="0"/>
    <x v="31"/>
    <x v="0"/>
    <x v="0"/>
    <x v="0"/>
  </r>
  <r>
    <x v="0"/>
    <x v="11"/>
    <s v="8249 J"/>
    <x v="275"/>
    <s v="Waqas Wollan Mills Gujranwala"/>
    <s v="LD اورنج"/>
    <n v="15"/>
    <s v="10-10.5"/>
    <s v="LDM"/>
    <n v="400"/>
    <x v="0"/>
    <n v="1"/>
    <n v="70"/>
    <n v="1.6"/>
    <m/>
    <x v="0"/>
    <n v="68.400000000000006"/>
    <n v="311.3"/>
    <m/>
    <x v="0"/>
    <x v="0"/>
    <n v="0"/>
    <n v="0"/>
    <x v="0"/>
    <x v="0"/>
    <m/>
    <x v="0"/>
    <x v="0"/>
    <x v="0"/>
    <x v="0"/>
    <x v="0"/>
    <n v="0"/>
    <n v="0"/>
    <n v="0"/>
    <n v="12"/>
    <x v="1"/>
    <x v="0"/>
    <m/>
    <x v="0"/>
    <n v="75"/>
    <x v="0"/>
    <x v="31"/>
    <x v="0"/>
    <x v="0"/>
    <x v="0"/>
  </r>
  <r>
    <x v="0"/>
    <x v="11"/>
    <s v="8221 J"/>
    <x v="275"/>
    <s v="Javed Enterprises Gujranwala"/>
    <s v="LD پیلا"/>
    <n v="10"/>
    <s v="20-20.5"/>
    <s v="LDM"/>
    <n v="200"/>
    <x v="0"/>
    <n v="2"/>
    <n v="104.5"/>
    <n v="2.7"/>
    <m/>
    <x v="0"/>
    <n v="101.8"/>
    <n v="101.8"/>
    <m/>
    <x v="0"/>
    <x v="0"/>
    <n v="0"/>
    <n v="0"/>
    <x v="0"/>
    <x v="0"/>
    <m/>
    <x v="0"/>
    <x v="0"/>
    <x v="0"/>
    <x v="0"/>
    <x v="0"/>
    <n v="0"/>
    <n v="0"/>
    <n v="0"/>
    <n v="12"/>
    <x v="1"/>
    <x v="0"/>
    <m/>
    <x v="0"/>
    <n v="109.5"/>
    <x v="0"/>
    <x v="31"/>
    <x v="0"/>
    <x v="0"/>
    <x v="0"/>
  </r>
  <r>
    <x v="0"/>
    <x v="11"/>
    <s v="8262 J"/>
    <x v="275"/>
    <s v="RMC PACK"/>
    <s v="LD کریم"/>
    <s v="14+4+4"/>
    <s v="6-6.5"/>
    <s v="LDM"/>
    <n v="100"/>
    <x v="0"/>
    <n v="1"/>
    <n v="45.5"/>
    <n v="1.7"/>
    <m/>
    <x v="0"/>
    <n v="43.8"/>
    <n v="97.5"/>
    <m/>
    <x v="0"/>
    <x v="0"/>
    <n v="0"/>
    <n v="0"/>
    <x v="0"/>
    <x v="0"/>
    <m/>
    <x v="0"/>
    <x v="0"/>
    <x v="0"/>
    <x v="0"/>
    <x v="0"/>
    <n v="0"/>
    <n v="0"/>
    <n v="0"/>
    <n v="12"/>
    <x v="1"/>
    <x v="0"/>
    <m/>
    <x v="0"/>
    <n v="50.5"/>
    <x v="0"/>
    <x v="31"/>
    <x v="0"/>
    <x v="0"/>
    <x v="0"/>
  </r>
  <r>
    <x v="1"/>
    <x v="11"/>
    <s v="8262 J"/>
    <x v="275"/>
    <s v="RMC PACK"/>
    <s v="LD کریم"/>
    <s v="14+4+4"/>
    <s v="6-6.5"/>
    <s v="LDM"/>
    <n v="100"/>
    <x v="0"/>
    <n v="1"/>
    <n v="55.5"/>
    <n v="1.8"/>
    <m/>
    <x v="0"/>
    <n v="53.7"/>
    <n v="97.5"/>
    <m/>
    <x v="0"/>
    <x v="0"/>
    <n v="0"/>
    <n v="0"/>
    <x v="0"/>
    <x v="0"/>
    <m/>
    <x v="0"/>
    <x v="0"/>
    <x v="0"/>
    <x v="0"/>
    <x v="0"/>
    <n v="0"/>
    <n v="0"/>
    <n v="0"/>
    <n v="12"/>
    <x v="1"/>
    <x v="0"/>
    <m/>
    <x v="0"/>
    <n v="60.5"/>
    <x v="0"/>
    <x v="31"/>
    <x v="0"/>
    <x v="0"/>
    <x v="0"/>
  </r>
  <r>
    <x v="1"/>
    <x v="11"/>
    <s v="8238 J"/>
    <x v="275"/>
    <s v="Pak Plastic Lahore"/>
    <s v="LD گرین"/>
    <n v="15"/>
    <n v="12"/>
    <s v="LDM"/>
    <n v="50"/>
    <x v="0"/>
    <n v="2"/>
    <n v="62.400000000000006"/>
    <n v="3.6"/>
    <m/>
    <x v="0"/>
    <n v="58.800000000000004"/>
    <n v="58.800000000000004"/>
    <m/>
    <x v="0"/>
    <x v="0"/>
    <n v="0"/>
    <n v="0"/>
    <x v="0"/>
    <x v="0"/>
    <m/>
    <x v="0"/>
    <x v="0"/>
    <x v="0"/>
    <x v="0"/>
    <x v="0"/>
    <n v="0"/>
    <n v="0"/>
    <n v="0"/>
    <n v="12"/>
    <x v="1"/>
    <x v="0"/>
    <m/>
    <x v="0"/>
    <n v="67.400000000000006"/>
    <x v="0"/>
    <x v="31"/>
    <x v="0"/>
    <x v="0"/>
    <x v="0"/>
  </r>
  <r>
    <x v="1"/>
    <x v="11"/>
    <s v="8237 J"/>
    <x v="275"/>
    <s v="Pak Plastic Lahore"/>
    <s v="LD گرین"/>
    <n v="12"/>
    <n v="12"/>
    <s v="LDM"/>
    <n v="200"/>
    <x v="0"/>
    <n v="6"/>
    <n v="201.9"/>
    <n v="9"/>
    <m/>
    <x v="0"/>
    <n v="192.9"/>
    <n v="192.9"/>
    <m/>
    <x v="0"/>
    <x v="0"/>
    <n v="0"/>
    <n v="0"/>
    <x v="0"/>
    <x v="0"/>
    <m/>
    <x v="0"/>
    <x v="0"/>
    <x v="0"/>
    <x v="0"/>
    <x v="0"/>
    <n v="0"/>
    <n v="0"/>
    <n v="0"/>
    <n v="12"/>
    <x v="1"/>
    <x v="0"/>
    <m/>
    <x v="0"/>
    <n v="206.9"/>
    <x v="0"/>
    <x v="31"/>
    <x v="0"/>
    <x v="0"/>
    <x v="0"/>
  </r>
  <r>
    <x v="0"/>
    <x v="13"/>
    <s v="8234 J"/>
    <x v="275"/>
    <s v="Super Shangai Dry Cleaners Nankana"/>
    <s v="LDN"/>
    <n v="13"/>
    <s v="4.5-5"/>
    <s v="LDN"/>
    <n v="100"/>
    <x v="0"/>
    <n v="2"/>
    <n v="110"/>
    <n v="3.2"/>
    <m/>
    <x v="0"/>
    <n v="106.8"/>
    <n v="106.8"/>
    <m/>
    <x v="0"/>
    <x v="0"/>
    <n v="0"/>
    <n v="0"/>
    <x v="0"/>
    <x v="0"/>
    <m/>
    <x v="0"/>
    <x v="0"/>
    <x v="0"/>
    <x v="0"/>
    <x v="0"/>
    <n v="0"/>
    <n v="0"/>
    <n v="0"/>
    <n v="12"/>
    <x v="1"/>
    <x v="0"/>
    <m/>
    <x v="0"/>
    <n v="115"/>
    <x v="0"/>
    <x v="31"/>
    <x v="0"/>
    <x v="0"/>
    <x v="0"/>
  </r>
  <r>
    <x v="0"/>
    <x v="13"/>
    <s v="3108 F"/>
    <x v="275"/>
    <s v="Usman Amin"/>
    <s v="LDN"/>
    <n v="18"/>
    <s v="5-5.5"/>
    <s v="LDN"/>
    <n v="305"/>
    <x v="0"/>
    <n v="2"/>
    <n v="140.5"/>
    <n v="3.6"/>
    <m/>
    <x v="0"/>
    <n v="136.9"/>
    <n v="522.70000000000005"/>
    <m/>
    <x v="0"/>
    <x v="0"/>
    <n v="0"/>
    <n v="0"/>
    <x v="0"/>
    <x v="0"/>
    <m/>
    <x v="0"/>
    <x v="0"/>
    <x v="0"/>
    <x v="0"/>
    <x v="0"/>
    <n v="0"/>
    <n v="0"/>
    <n v="0"/>
    <n v="12"/>
    <x v="1"/>
    <x v="0"/>
    <m/>
    <x v="0"/>
    <n v="145.5"/>
    <x v="0"/>
    <x v="31"/>
    <x v="0"/>
    <x v="0"/>
    <x v="0"/>
  </r>
  <r>
    <x v="1"/>
    <x v="13"/>
    <s v="3108 F"/>
    <x v="275"/>
    <s v="Usman Amin"/>
    <s v="LDN"/>
    <n v="18"/>
    <s v="5-5.5"/>
    <s v="LDN"/>
    <n v="305"/>
    <x v="0"/>
    <n v="7"/>
    <n v="400.5"/>
    <n v="14.700000000000001"/>
    <m/>
    <x v="0"/>
    <n v="385.8"/>
    <n v="522.70000000000005"/>
    <m/>
    <x v="0"/>
    <x v="0"/>
    <n v="0"/>
    <n v="0"/>
    <x v="0"/>
    <x v="0"/>
    <m/>
    <x v="0"/>
    <x v="0"/>
    <x v="0"/>
    <x v="0"/>
    <x v="0"/>
    <n v="0"/>
    <n v="0"/>
    <n v="0"/>
    <n v="12"/>
    <x v="1"/>
    <x v="0"/>
    <m/>
    <x v="0"/>
    <n v="405.5"/>
    <x v="0"/>
    <x v="31"/>
    <x v="0"/>
    <x v="0"/>
    <x v="0"/>
  </r>
  <r>
    <x v="0"/>
    <x v="12"/>
    <s v="2868/1"/>
    <x v="275"/>
    <s v="AGRI TRADE (SOP) LAMINATION"/>
    <s v="LDN"/>
    <s v="24-24.5"/>
    <s v="60±3"/>
    <s v="AA"/>
    <n v="13620"/>
    <x v="0"/>
    <n v="6"/>
    <n v="544.1"/>
    <n v="18"/>
    <m/>
    <x v="0"/>
    <n v="526.1"/>
    <n v="14026.099999999999"/>
    <m/>
    <x v="0"/>
    <x v="0"/>
    <n v="0"/>
    <n v="0"/>
    <x v="0"/>
    <x v="0"/>
    <m/>
    <x v="0"/>
    <x v="0"/>
    <x v="0"/>
    <x v="0"/>
    <x v="0"/>
    <n v="0"/>
    <n v="0"/>
    <n v="0"/>
    <n v="12"/>
    <x v="1"/>
    <x v="0"/>
    <m/>
    <x v="0"/>
    <n v="549.1"/>
    <x v="0"/>
    <x v="31"/>
    <x v="0"/>
    <x v="0"/>
    <x v="0"/>
  </r>
  <r>
    <x v="1"/>
    <x v="12"/>
    <s v="2868/1"/>
    <x v="275"/>
    <s v="AGRI TRADE (SOP) LAMINATION"/>
    <s v="LDN"/>
    <s v="24-24.5"/>
    <s v="60±3"/>
    <s v="AA"/>
    <n v="13620"/>
    <x v="0"/>
    <n v="4"/>
    <n v="561"/>
    <n v="11.6"/>
    <m/>
    <x v="0"/>
    <n v="549.4"/>
    <n v="14026.099999999999"/>
    <m/>
    <x v="0"/>
    <x v="0"/>
    <n v="0"/>
    <n v="0"/>
    <x v="0"/>
    <x v="0"/>
    <m/>
    <x v="0"/>
    <x v="0"/>
    <x v="0"/>
    <x v="0"/>
    <x v="0"/>
    <n v="0"/>
    <n v="0"/>
    <n v="0"/>
    <n v="12"/>
    <x v="1"/>
    <x v="0"/>
    <m/>
    <x v="0"/>
    <n v="566"/>
    <x v="0"/>
    <x v="31"/>
    <x v="0"/>
    <x v="0"/>
    <x v="0"/>
  </r>
  <r>
    <x v="0"/>
    <x v="14"/>
    <s v="2868/1"/>
    <x v="275"/>
    <s v="AGRI TRADE (SOP) LAMINATION"/>
    <s v="LDN"/>
    <s v="24-24.5"/>
    <s v="60±3"/>
    <s v="AA"/>
    <n v="13620"/>
    <x v="0"/>
    <n v="3"/>
    <n v="271.3"/>
    <n v="7"/>
    <m/>
    <x v="0"/>
    <n v="264.3"/>
    <n v="14026.099999999999"/>
    <m/>
    <x v="0"/>
    <x v="0"/>
    <n v="0"/>
    <n v="0"/>
    <x v="0"/>
    <x v="7"/>
    <m/>
    <x v="0"/>
    <x v="0"/>
    <x v="0"/>
    <x v="0"/>
    <x v="0"/>
    <n v="5"/>
    <n v="8.3333333333333329E-2"/>
    <n v="8.3333333333333329E-2"/>
    <n v="11.916666666666666"/>
    <x v="1"/>
    <x v="0"/>
    <m/>
    <x v="0"/>
    <n v="276.3"/>
    <x v="0"/>
    <x v="31"/>
    <x v="0"/>
    <x v="0"/>
    <x v="0"/>
  </r>
  <r>
    <x v="0"/>
    <x v="14"/>
    <s v="3115 F"/>
    <x v="275"/>
    <s v="Usman Amin"/>
    <s v="LDN"/>
    <n v="32"/>
    <s v="6-6.5"/>
    <s v="LDN"/>
    <n v="550"/>
    <x v="0"/>
    <n v="4"/>
    <n v="339"/>
    <n v="16"/>
    <m/>
    <x v="0"/>
    <n v="323"/>
    <n v="532.5"/>
    <m/>
    <x v="0"/>
    <x v="0"/>
    <n v="0"/>
    <n v="0"/>
    <x v="0"/>
    <x v="0"/>
    <m/>
    <x v="0"/>
    <x v="0"/>
    <x v="0"/>
    <x v="11"/>
    <x v="0"/>
    <n v="70"/>
    <n v="1.1666666666666667"/>
    <n v="1.1666666666666667"/>
    <n v="10.833333333333334"/>
    <x v="1"/>
    <x v="0"/>
    <m/>
    <x v="0"/>
    <n v="344"/>
    <x v="0"/>
    <x v="31"/>
    <x v="0"/>
    <x v="0"/>
    <x v="0"/>
  </r>
  <r>
    <x v="1"/>
    <x v="14"/>
    <s v="3115 F"/>
    <x v="275"/>
    <s v="Usman Amin"/>
    <s v="LDN"/>
    <n v="32"/>
    <s v="6-6.5"/>
    <s v="LDN"/>
    <n v="550"/>
    <x v="0"/>
    <n v="3"/>
    <n v="221.5"/>
    <n v="12"/>
    <m/>
    <x v="0"/>
    <n v="209.5"/>
    <n v="532.5"/>
    <m/>
    <x v="0"/>
    <x v="0"/>
    <n v="0"/>
    <n v="0"/>
    <x v="0"/>
    <x v="0"/>
    <m/>
    <x v="0"/>
    <x v="0"/>
    <x v="0"/>
    <x v="0"/>
    <x v="0"/>
    <n v="0"/>
    <n v="0"/>
    <n v="0"/>
    <n v="12"/>
    <x v="1"/>
    <x v="0"/>
    <m/>
    <x v="0"/>
    <n v="226.5"/>
    <x v="0"/>
    <x v="31"/>
    <x v="0"/>
    <x v="0"/>
    <x v="0"/>
  </r>
  <r>
    <x v="1"/>
    <x v="14"/>
    <s v="7702 J"/>
    <x v="275"/>
    <s v="Rehan Butt Anarkali Lahore"/>
    <s v="LDN"/>
    <s v="40 شیٹ"/>
    <s v="-"/>
    <s v="LDN"/>
    <n v="100"/>
    <x v="0"/>
    <n v="1"/>
    <n v="128"/>
    <n v="5.5"/>
    <m/>
    <x v="0"/>
    <n v="122.5"/>
    <n v="238"/>
    <m/>
    <x v="0"/>
    <x v="0"/>
    <n v="0"/>
    <n v="0"/>
    <x v="0"/>
    <x v="0"/>
    <m/>
    <x v="0"/>
    <x v="0"/>
    <x v="0"/>
    <x v="0"/>
    <x v="0"/>
    <n v="0"/>
    <n v="0"/>
    <n v="0"/>
    <n v="12"/>
    <x v="1"/>
    <x v="0"/>
    <m/>
    <x v="0"/>
    <n v="133"/>
    <x v="0"/>
    <x v="31"/>
    <x v="0"/>
    <x v="0"/>
    <x v="0"/>
  </r>
  <r>
    <x v="1"/>
    <x v="14"/>
    <s v="8288 J"/>
    <x v="275"/>
    <s v="Jadran Fabrics Pakistan Market LHR"/>
    <s v="LDN"/>
    <n v="36"/>
    <s v="10-10.5"/>
    <s v="LDN"/>
    <n v="250"/>
    <x v="0"/>
    <n v="3"/>
    <n v="258"/>
    <n v="9"/>
    <m/>
    <x v="0"/>
    <n v="249"/>
    <n v="249"/>
    <m/>
    <x v="0"/>
    <x v="0"/>
    <n v="0"/>
    <n v="0"/>
    <x v="0"/>
    <x v="0"/>
    <m/>
    <x v="0"/>
    <x v="0"/>
    <x v="0"/>
    <x v="0"/>
    <x v="0"/>
    <n v="0"/>
    <n v="0"/>
    <n v="0"/>
    <n v="12"/>
    <x v="1"/>
    <x v="0"/>
    <m/>
    <x v="0"/>
    <n v="263"/>
    <x v="0"/>
    <x v="31"/>
    <x v="0"/>
    <x v="0"/>
    <x v="0"/>
  </r>
  <r>
    <x v="1"/>
    <x v="14"/>
    <s v="2868/1"/>
    <x v="275"/>
    <s v="AGRI TRADE (SOP) LAMINATION"/>
    <s v="LDN"/>
    <s v="24-24.5"/>
    <s v="60±3"/>
    <s v="AA"/>
    <n v="13620"/>
    <x v="0"/>
    <n v="1"/>
    <n v="131"/>
    <n v="3"/>
    <m/>
    <x v="0"/>
    <n v="128"/>
    <n v="14026.099999999999"/>
    <m/>
    <x v="0"/>
    <x v="0"/>
    <n v="0"/>
    <n v="0"/>
    <x v="0"/>
    <x v="0"/>
    <m/>
    <x v="0"/>
    <x v="0"/>
    <x v="0"/>
    <x v="0"/>
    <x v="0"/>
    <n v="0"/>
    <n v="0"/>
    <n v="0"/>
    <n v="12"/>
    <x v="1"/>
    <x v="0"/>
    <m/>
    <x v="0"/>
    <n v="136"/>
    <x v="0"/>
    <x v="31"/>
    <x v="0"/>
    <x v="0"/>
    <x v="0"/>
  </r>
  <r>
    <x v="0"/>
    <x v="15"/>
    <s v="2868/1"/>
    <x v="275"/>
    <s v="AGRI TRADE (SOP) LAMINATION"/>
    <s v="LDN"/>
    <s v="24-24.5"/>
    <s v="60±3"/>
    <s v="AA"/>
    <n v="13620"/>
    <x v="0"/>
    <n v="2"/>
    <n v="169"/>
    <n v="5.8"/>
    <m/>
    <x v="0"/>
    <n v="163.19999999999999"/>
    <n v="14026.099999999999"/>
    <m/>
    <x v="0"/>
    <x v="0"/>
    <n v="0"/>
    <n v="0"/>
    <x v="0"/>
    <x v="0"/>
    <m/>
    <x v="0"/>
    <x v="0"/>
    <x v="0"/>
    <x v="0"/>
    <x v="0"/>
    <n v="0"/>
    <n v="0"/>
    <n v="0"/>
    <n v="12"/>
    <x v="1"/>
    <x v="0"/>
    <m/>
    <x v="0"/>
    <n v="174"/>
    <x v="0"/>
    <x v="31"/>
    <x v="0"/>
    <x v="0"/>
    <x v="0"/>
  </r>
  <r>
    <x v="0"/>
    <x v="15"/>
    <s v="3104 F"/>
    <x v="275"/>
    <s v="Usman Amin"/>
    <s v=" LDN "/>
    <n v="16.75"/>
    <s v="8"/>
    <s v=" LDN "/>
    <n v="650"/>
    <x v="0"/>
    <n v="3"/>
    <n v="207.5"/>
    <n v="6"/>
    <m/>
    <x v="0"/>
    <n v="201.5"/>
    <n v="643.9"/>
    <m/>
    <x v="0"/>
    <x v="0"/>
    <n v="0"/>
    <n v="0"/>
    <x v="0"/>
    <x v="0"/>
    <m/>
    <x v="0"/>
    <x v="0"/>
    <x v="0"/>
    <x v="0"/>
    <x v="0"/>
    <n v="0"/>
    <n v="0"/>
    <n v="0"/>
    <n v="12"/>
    <x v="1"/>
    <x v="0"/>
    <m/>
    <x v="0"/>
    <n v="212.5"/>
    <x v="0"/>
    <x v="31"/>
    <x v="0"/>
    <x v="0"/>
    <x v="0"/>
  </r>
  <r>
    <x v="1"/>
    <x v="15"/>
    <s v="3104 F"/>
    <x v="275"/>
    <s v="Usman Amin"/>
    <s v=" LDN "/>
    <n v="16.75"/>
    <s v="8"/>
    <s v=" LDN "/>
    <n v="650"/>
    <x v="0"/>
    <n v="6"/>
    <n v="455"/>
    <n v="12.600000000000001"/>
    <m/>
    <x v="0"/>
    <n v="442.4"/>
    <n v="643.9"/>
    <m/>
    <x v="0"/>
    <x v="0"/>
    <n v="0"/>
    <n v="0"/>
    <x v="0"/>
    <x v="0"/>
    <m/>
    <x v="0"/>
    <x v="0"/>
    <x v="0"/>
    <x v="0"/>
    <x v="0"/>
    <n v="0"/>
    <n v="0"/>
    <n v="0"/>
    <n v="12"/>
    <x v="1"/>
    <x v="0"/>
    <m/>
    <x v="0"/>
    <n v="460"/>
    <x v="0"/>
    <x v="31"/>
    <x v="0"/>
    <x v="0"/>
    <x v="0"/>
  </r>
  <r>
    <x v="1"/>
    <x v="12"/>
    <s v="2868/1"/>
    <x v="276"/>
    <s v="AGRI TRADE (SOP) LAMINATION"/>
    <s v="LDN"/>
    <s v="24-24.5"/>
    <s v="60±3"/>
    <s v="AA"/>
    <n v="13620"/>
    <x v="0"/>
    <n v="3"/>
    <n v="372.5"/>
    <n v="9"/>
    <m/>
    <x v="0"/>
    <n v="363.5"/>
    <n v="14026.099999999999"/>
    <m/>
    <x v="6"/>
    <x v="0"/>
    <n v="120"/>
    <n v="2"/>
    <x v="0"/>
    <x v="0"/>
    <m/>
    <x v="0"/>
    <x v="0"/>
    <x v="0"/>
    <x v="0"/>
    <x v="0"/>
    <n v="0"/>
    <n v="0"/>
    <n v="2"/>
    <n v="10"/>
    <x v="1"/>
    <x v="0"/>
    <m/>
    <x v="0"/>
    <n v="377.5"/>
    <x v="0"/>
    <x v="31"/>
    <x v="0"/>
    <x v="0"/>
    <x v="0"/>
  </r>
  <r>
    <x v="0"/>
    <x v="14"/>
    <s v="2868/1"/>
    <x v="276"/>
    <s v="AGRI TRADE (SOP) LAMINATION"/>
    <s v="LDN"/>
    <s v="24-24.5"/>
    <s v="60±3"/>
    <s v="AA"/>
    <n v="13620"/>
    <x v="0"/>
    <n v="3"/>
    <n v="370"/>
    <n v="9"/>
    <m/>
    <x v="0"/>
    <n v="361"/>
    <n v="14026.099999999999"/>
    <m/>
    <x v="0"/>
    <x v="3"/>
    <n v="240"/>
    <n v="4"/>
    <x v="0"/>
    <x v="0"/>
    <m/>
    <x v="0"/>
    <x v="0"/>
    <x v="0"/>
    <x v="0"/>
    <x v="0"/>
    <n v="0"/>
    <n v="0"/>
    <n v="4"/>
    <n v="8"/>
    <x v="1"/>
    <x v="0"/>
    <m/>
    <x v="0"/>
    <n v="375"/>
    <x v="0"/>
    <x v="31"/>
    <x v="0"/>
    <x v="0"/>
    <x v="0"/>
  </r>
  <r>
    <x v="0"/>
    <x v="15"/>
    <s v="3070 F"/>
    <x v="276"/>
    <s v="Usman Amin"/>
    <s v="LDN"/>
    <n v="17.25"/>
    <s v="8-8.5"/>
    <s v="LDN"/>
    <n v="1500"/>
    <x v="0"/>
    <n v="3"/>
    <n v="188.5"/>
    <n v="5.0999999999999996"/>
    <m/>
    <x v="0"/>
    <n v="183.4"/>
    <n v="2091.1"/>
    <m/>
    <x v="0"/>
    <x v="0"/>
    <n v="0"/>
    <n v="0"/>
    <x v="0"/>
    <x v="0"/>
    <m/>
    <x v="0"/>
    <x v="0"/>
    <x v="0"/>
    <x v="0"/>
    <x v="0"/>
    <n v="0"/>
    <n v="0"/>
    <n v="0"/>
    <n v="12"/>
    <x v="1"/>
    <x v="0"/>
    <m/>
    <x v="0"/>
    <n v="193.5"/>
    <x v="0"/>
    <x v="31"/>
    <x v="0"/>
    <x v="0"/>
    <x v="0"/>
  </r>
  <r>
    <x v="0"/>
    <x v="15"/>
    <s v="3105 F"/>
    <x v="276"/>
    <s v="Usman Amin"/>
    <s v="LDN"/>
    <n v="15"/>
    <s v="12"/>
    <s v="LDN"/>
    <n v="150"/>
    <x v="0"/>
    <n v="1"/>
    <n v="61.5"/>
    <n v="1.8"/>
    <m/>
    <x v="0"/>
    <n v="59.7"/>
    <n v="159.69999999999999"/>
    <m/>
    <x v="0"/>
    <x v="0"/>
    <n v="0"/>
    <n v="0"/>
    <x v="0"/>
    <x v="0"/>
    <m/>
    <x v="0"/>
    <x v="0"/>
    <x v="0"/>
    <x v="0"/>
    <x v="0"/>
    <n v="0"/>
    <n v="0"/>
    <n v="0"/>
    <n v="12"/>
    <x v="1"/>
    <x v="0"/>
    <m/>
    <x v="0"/>
    <n v="66.5"/>
    <x v="0"/>
    <x v="31"/>
    <x v="0"/>
    <x v="0"/>
    <x v="0"/>
  </r>
  <r>
    <x v="0"/>
    <x v="15"/>
    <s v="7862 J"/>
    <x v="276"/>
    <s v="Armani Dry Cleaner Mandi Bahuldin"/>
    <s v="LDN"/>
    <n v="25"/>
    <s v="4.5-5"/>
    <s v="LDN"/>
    <n v="100"/>
    <x v="0"/>
    <n v="3"/>
    <n v="113"/>
    <n v="9.6000000000000014"/>
    <m/>
    <x v="0"/>
    <n v="103.4"/>
    <n v="203.8"/>
    <m/>
    <x v="0"/>
    <x v="0"/>
    <n v="0"/>
    <n v="0"/>
    <x v="0"/>
    <x v="0"/>
    <m/>
    <x v="0"/>
    <x v="0"/>
    <x v="0"/>
    <x v="0"/>
    <x v="0"/>
    <n v="0"/>
    <n v="0"/>
    <n v="0"/>
    <n v="12"/>
    <x v="1"/>
    <x v="0"/>
    <m/>
    <x v="0"/>
    <n v="118"/>
    <x v="0"/>
    <x v="31"/>
    <x v="0"/>
    <x v="0"/>
    <x v="0"/>
  </r>
  <r>
    <x v="0"/>
    <x v="15"/>
    <s v="3121 J"/>
    <x v="276"/>
    <s v="-"/>
    <m/>
    <m/>
    <m/>
    <m/>
    <m/>
    <x v="0"/>
    <n v="1"/>
    <n v="99.5"/>
    <n v="2.5"/>
    <m/>
    <x v="0"/>
    <n v="97"/>
    <n v="147.1"/>
    <m/>
    <x v="0"/>
    <x v="0"/>
    <n v="0"/>
    <n v="0"/>
    <x v="0"/>
    <x v="0"/>
    <m/>
    <x v="0"/>
    <x v="0"/>
    <x v="0"/>
    <x v="0"/>
    <x v="0"/>
    <n v="0"/>
    <n v="0"/>
    <n v="0"/>
    <n v="12"/>
    <x v="1"/>
    <x v="0"/>
    <m/>
    <x v="0"/>
    <n v="104.5"/>
    <x v="0"/>
    <x v="31"/>
    <x v="0"/>
    <x v="0"/>
    <x v="0"/>
  </r>
  <r>
    <x v="1"/>
    <x v="15"/>
    <s v="3121 J"/>
    <x v="276"/>
    <s v="-"/>
    <m/>
    <m/>
    <m/>
    <m/>
    <m/>
    <x v="0"/>
    <n v="1"/>
    <n v="53"/>
    <n v="2.9"/>
    <m/>
    <x v="0"/>
    <n v="50.1"/>
    <n v="147.1"/>
    <m/>
    <x v="0"/>
    <x v="0"/>
    <n v="0"/>
    <n v="0"/>
    <x v="0"/>
    <x v="0"/>
    <m/>
    <x v="0"/>
    <x v="0"/>
    <x v="0"/>
    <x v="0"/>
    <x v="0"/>
    <n v="0"/>
    <n v="0"/>
    <n v="0"/>
    <n v="12"/>
    <x v="1"/>
    <x v="0"/>
    <m/>
    <x v="0"/>
    <n v="58"/>
    <x v="0"/>
    <x v="31"/>
    <x v="0"/>
    <x v="0"/>
    <x v="0"/>
  </r>
  <r>
    <x v="1"/>
    <x v="15"/>
    <s v="3070 F"/>
    <x v="276"/>
    <s v="Usman Amin"/>
    <s v="LDN"/>
    <n v="17.25"/>
    <s v="8-8.5"/>
    <s v="LDN"/>
    <n v="1500"/>
    <x v="0"/>
    <n v="5"/>
    <n v="390.5"/>
    <n v="9.6"/>
    <m/>
    <x v="0"/>
    <n v="380.9"/>
    <n v="2091.1"/>
    <m/>
    <x v="0"/>
    <x v="0"/>
    <n v="0"/>
    <n v="0"/>
    <x v="0"/>
    <x v="0"/>
    <m/>
    <x v="0"/>
    <x v="0"/>
    <x v="0"/>
    <x v="0"/>
    <x v="0"/>
    <n v="0"/>
    <n v="0"/>
    <n v="0"/>
    <n v="12"/>
    <x v="1"/>
    <x v="0"/>
    <m/>
    <x v="0"/>
    <n v="395.5"/>
    <x v="0"/>
    <x v="31"/>
    <x v="0"/>
    <x v="0"/>
    <x v="0"/>
  </r>
  <r>
    <x v="0"/>
    <x v="8"/>
    <s v="STOCK"/>
    <x v="277"/>
    <s v="-"/>
    <m/>
    <n v="16"/>
    <s v="14-15"/>
    <m/>
    <m/>
    <x v="0"/>
    <n v="3"/>
    <n v="222"/>
    <n v="4.8000000000000007"/>
    <m/>
    <x v="0"/>
    <n v="217.2"/>
    <n v="2156.44"/>
    <m/>
    <x v="0"/>
    <x v="0"/>
    <n v="0"/>
    <n v="0"/>
    <x v="0"/>
    <x v="0"/>
    <m/>
    <x v="0"/>
    <x v="0"/>
    <x v="0"/>
    <x v="0"/>
    <x v="0"/>
    <n v="0"/>
    <n v="0"/>
    <n v="0"/>
    <n v="12"/>
    <x v="1"/>
    <x v="0"/>
    <m/>
    <x v="0"/>
    <n v="227"/>
    <x v="0"/>
    <x v="31"/>
    <x v="0"/>
    <x v="0"/>
    <x v="0"/>
  </r>
  <r>
    <x v="0"/>
    <x v="8"/>
    <s v="STOCK"/>
    <x v="277"/>
    <s v="-"/>
    <m/>
    <n v="22"/>
    <s v="12.5-13"/>
    <m/>
    <m/>
    <x v="0"/>
    <n v="2"/>
    <n v="166"/>
    <n v="4.4000000000000004"/>
    <m/>
    <x v="0"/>
    <n v="161.6"/>
    <n v="2156.44"/>
    <m/>
    <x v="0"/>
    <x v="0"/>
    <n v="0"/>
    <n v="0"/>
    <x v="0"/>
    <x v="0"/>
    <m/>
    <x v="0"/>
    <x v="0"/>
    <x v="0"/>
    <x v="0"/>
    <x v="0"/>
    <n v="0"/>
    <n v="0"/>
    <n v="0"/>
    <n v="12"/>
    <x v="1"/>
    <x v="0"/>
    <m/>
    <x v="0"/>
    <n v="171"/>
    <x v="0"/>
    <x v="31"/>
    <x v="0"/>
    <x v="0"/>
    <x v="0"/>
  </r>
  <r>
    <x v="1"/>
    <x v="8"/>
    <s v="STOCK"/>
    <x v="277"/>
    <s v="-"/>
    <m/>
    <n v="22"/>
    <s v="12.5-13"/>
    <m/>
    <m/>
    <x v="0"/>
    <n v="2"/>
    <n v="167"/>
    <n v="4.4000000000000004"/>
    <m/>
    <x v="0"/>
    <n v="162.6"/>
    <n v="2156.44"/>
    <m/>
    <x v="0"/>
    <x v="0"/>
    <n v="0"/>
    <n v="0"/>
    <x v="0"/>
    <x v="0"/>
    <m/>
    <x v="0"/>
    <x v="0"/>
    <x v="0"/>
    <x v="0"/>
    <x v="0"/>
    <n v="0"/>
    <n v="0"/>
    <n v="0"/>
    <n v="12"/>
    <x v="1"/>
    <x v="0"/>
    <m/>
    <x v="0"/>
    <n v="172"/>
    <x v="0"/>
    <x v="31"/>
    <x v="0"/>
    <x v="0"/>
    <x v="0"/>
  </r>
  <r>
    <x v="1"/>
    <x v="8"/>
    <s v="2868/1"/>
    <x v="277"/>
    <s v="AGRI TRADE (SOP) LAMINATION"/>
    <s v="LDN"/>
    <s v="24-24.5"/>
    <s v="60±3"/>
    <s v="AA"/>
    <n v="13620"/>
    <x v="0"/>
    <n v="1"/>
    <n v="123"/>
    <n v="2.4"/>
    <m/>
    <x v="0"/>
    <n v="120.6"/>
    <n v="14026.099999999999"/>
    <m/>
    <x v="0"/>
    <x v="0"/>
    <n v="0"/>
    <n v="0"/>
    <x v="0"/>
    <x v="0"/>
    <m/>
    <x v="0"/>
    <x v="0"/>
    <x v="0"/>
    <x v="0"/>
    <x v="0"/>
    <n v="0"/>
    <n v="0"/>
    <n v="0"/>
    <n v="12"/>
    <x v="1"/>
    <x v="0"/>
    <m/>
    <x v="0"/>
    <n v="128"/>
    <x v="0"/>
    <x v="31"/>
    <x v="0"/>
    <x v="0"/>
    <x v="0"/>
  </r>
  <r>
    <x v="0"/>
    <x v="14"/>
    <s v="2868/1"/>
    <x v="277"/>
    <s v="AGRI TRADE (SOP) LAMINATION"/>
    <s v="LDN"/>
    <s v="24-24.5"/>
    <s v="60±3"/>
    <s v="AA"/>
    <n v="13620"/>
    <x v="0"/>
    <n v="1"/>
    <n v="102.5"/>
    <n v="3"/>
    <m/>
    <x v="0"/>
    <n v="99.5"/>
    <n v="14026.099999999999"/>
    <m/>
    <x v="0"/>
    <x v="0"/>
    <n v="0"/>
    <n v="0"/>
    <x v="0"/>
    <x v="0"/>
    <m/>
    <x v="0"/>
    <x v="0"/>
    <x v="0"/>
    <x v="0"/>
    <x v="0"/>
    <n v="0"/>
    <n v="0"/>
    <n v="0"/>
    <n v="12"/>
    <x v="1"/>
    <x v="0"/>
    <m/>
    <x v="0"/>
    <n v="107.5"/>
    <x v="0"/>
    <x v="31"/>
    <x v="0"/>
    <x v="0"/>
    <x v="0"/>
  </r>
  <r>
    <x v="0"/>
    <x v="14"/>
    <s v="3070 F"/>
    <x v="277"/>
    <s v="Usman Amin"/>
    <s v="LDN"/>
    <n v="17.25"/>
    <s v="8-8.5"/>
    <s v="LDN"/>
    <n v="1500"/>
    <x v="0"/>
    <n v="3"/>
    <n v="221"/>
    <n v="6.6000000000000005"/>
    <m/>
    <x v="0"/>
    <n v="214.4"/>
    <n v="2091.1"/>
    <m/>
    <x v="0"/>
    <x v="0"/>
    <n v="0"/>
    <n v="0"/>
    <x v="0"/>
    <x v="0"/>
    <m/>
    <x v="0"/>
    <x v="0"/>
    <x v="0"/>
    <x v="0"/>
    <x v="0"/>
    <n v="0"/>
    <n v="0"/>
    <n v="0"/>
    <n v="12"/>
    <x v="1"/>
    <x v="0"/>
    <m/>
    <x v="0"/>
    <n v="226"/>
    <x v="0"/>
    <x v="31"/>
    <x v="0"/>
    <x v="0"/>
    <x v="0"/>
  </r>
  <r>
    <x v="1"/>
    <x v="14"/>
    <s v="3070 F"/>
    <x v="277"/>
    <s v="Usman Amin"/>
    <s v="LDN"/>
    <n v="17.25"/>
    <s v="8-8.5"/>
    <s v="LDN"/>
    <n v="1500"/>
    <x v="0"/>
    <n v="2"/>
    <n v="175.5"/>
    <n v="4"/>
    <m/>
    <x v="0"/>
    <n v="171.5"/>
    <n v="2091.1"/>
    <m/>
    <x v="0"/>
    <x v="0"/>
    <n v="0"/>
    <n v="0"/>
    <x v="0"/>
    <x v="0"/>
    <m/>
    <x v="0"/>
    <x v="0"/>
    <x v="0"/>
    <x v="0"/>
    <x v="0"/>
    <n v="0"/>
    <n v="0"/>
    <n v="0"/>
    <n v="12"/>
    <x v="1"/>
    <x v="0"/>
    <m/>
    <x v="0"/>
    <n v="180.5"/>
    <x v="0"/>
    <x v="31"/>
    <x v="0"/>
    <x v="0"/>
    <x v="0"/>
  </r>
  <r>
    <x v="3"/>
    <x v="16"/>
    <m/>
    <x v="278"/>
    <s v="ALL MACHINES OFF DUE TO EID UL FITER HOLIDAYS"/>
    <m/>
    <m/>
    <m/>
    <m/>
    <m/>
    <x v="0"/>
    <m/>
    <m/>
    <m/>
    <m/>
    <x v="0"/>
    <n v="0"/>
    <n v="0"/>
    <m/>
    <x v="0"/>
    <x v="0"/>
    <n v="0"/>
    <n v="0"/>
    <x v="0"/>
    <x v="0"/>
    <m/>
    <x v="0"/>
    <x v="0"/>
    <x v="0"/>
    <x v="0"/>
    <x v="0"/>
    <n v="0"/>
    <n v="0"/>
    <n v="0"/>
    <n v="12"/>
    <x v="1"/>
    <x v="0"/>
    <m/>
    <x v="0"/>
    <m/>
    <x v="0"/>
    <x v="0"/>
    <x v="0"/>
    <x v="0"/>
    <x v="0"/>
  </r>
  <r>
    <x v="0"/>
    <x v="8"/>
    <s v="8326 J"/>
    <x v="279"/>
    <s v="Atlas Honda LTD (SKP)"/>
    <s v="LDN"/>
    <n v="9"/>
    <s v="8.5-9"/>
    <s v="LDN"/>
    <n v="1215.2777777777776"/>
    <x v="0"/>
    <n v="1"/>
    <n v="46"/>
    <n v="1.1000000000000001"/>
    <m/>
    <x v="0"/>
    <n v="44.9"/>
    <n v="1145.7"/>
    <m/>
    <x v="5"/>
    <x v="0"/>
    <n v="180"/>
    <n v="3"/>
    <x v="0"/>
    <x v="0"/>
    <m/>
    <x v="0"/>
    <x v="0"/>
    <x v="0"/>
    <x v="0"/>
    <x v="0"/>
    <n v="0"/>
    <n v="0"/>
    <n v="3"/>
    <n v="9"/>
    <x v="1"/>
    <x v="0"/>
    <m/>
    <x v="0"/>
    <n v="51"/>
    <x v="0"/>
    <x v="0"/>
    <x v="15"/>
    <x v="0"/>
    <x v="0"/>
  </r>
  <r>
    <x v="1"/>
    <x v="8"/>
    <s v="8326 J"/>
    <x v="279"/>
    <s v="Atlas Honda LTD (SKP)"/>
    <s v="LDN"/>
    <n v="9"/>
    <s v="8.5-9"/>
    <s v="LDN"/>
    <n v="1215.2777777777776"/>
    <x v="0"/>
    <n v="4"/>
    <n v="195"/>
    <n v="4.4000000000000004"/>
    <m/>
    <x v="0"/>
    <n v="190.6"/>
    <n v="1145.7"/>
    <m/>
    <x v="0"/>
    <x v="0"/>
    <n v="0"/>
    <n v="0"/>
    <x v="0"/>
    <x v="0"/>
    <m/>
    <x v="0"/>
    <x v="0"/>
    <x v="0"/>
    <x v="0"/>
    <x v="0"/>
    <n v="0"/>
    <n v="0"/>
    <n v="0"/>
    <n v="12"/>
    <x v="1"/>
    <x v="0"/>
    <m/>
    <x v="0"/>
    <n v="200"/>
    <x v="0"/>
    <x v="0"/>
    <x v="15"/>
    <x v="0"/>
    <x v="0"/>
  </r>
  <r>
    <x v="1"/>
    <x v="11"/>
    <s v="8273 J"/>
    <x v="279"/>
    <s v="International Industries (LTD)"/>
    <s v="LD گرین"/>
    <s v="300 MM"/>
    <s v="48-50"/>
    <s v="LDM"/>
    <n v="1500"/>
    <x v="0"/>
    <n v="1"/>
    <n v="173.5"/>
    <n v="1.6"/>
    <n v="100"/>
    <x v="0"/>
    <n v="171.9"/>
    <n v="1501.5"/>
    <m/>
    <x v="0"/>
    <x v="0"/>
    <n v="0"/>
    <n v="0"/>
    <x v="0"/>
    <x v="0"/>
    <m/>
    <x v="0"/>
    <x v="0"/>
    <x v="0"/>
    <x v="0"/>
    <x v="0"/>
    <n v="0"/>
    <n v="0"/>
    <n v="0"/>
    <n v="12"/>
    <x v="1"/>
    <x v="0"/>
    <m/>
    <x v="0"/>
    <n v="178.5"/>
    <x v="0"/>
    <x v="0"/>
    <x v="15"/>
    <x v="0"/>
    <x v="0"/>
  </r>
  <r>
    <x v="1"/>
    <x v="12"/>
    <s v="2875/1"/>
    <x v="279"/>
    <s v="SITARA CHECMICAL"/>
    <s v="LDN"/>
    <s v="24-24.5"/>
    <s v="100±1"/>
    <s v="SL"/>
    <n v="5000"/>
    <x v="0"/>
    <n v="1"/>
    <n v="123"/>
    <n v="2.4"/>
    <n v="75"/>
    <x v="0"/>
    <n v="120.6"/>
    <n v="5072.5"/>
    <m/>
    <x v="5"/>
    <x v="0"/>
    <n v="180"/>
    <n v="3"/>
    <x v="0"/>
    <x v="0"/>
    <m/>
    <x v="0"/>
    <x v="0"/>
    <x v="0"/>
    <x v="0"/>
    <x v="0"/>
    <n v="0"/>
    <n v="0"/>
    <n v="3"/>
    <n v="9"/>
    <x v="1"/>
    <x v="0"/>
    <m/>
    <x v="0"/>
    <n v="128"/>
    <x v="0"/>
    <x v="0"/>
    <x v="15"/>
    <x v="0"/>
    <x v="0"/>
  </r>
  <r>
    <x v="1"/>
    <x v="12"/>
    <s v="2874/1"/>
    <x v="279"/>
    <s v="OLYMPIA CHEM (CARBONATE)"/>
    <s v="LDN"/>
    <s v="21-21.5"/>
    <s v="30±2"/>
    <s v="SL"/>
    <n v="1200"/>
    <x v="0"/>
    <n v="2"/>
    <n v="221.5"/>
    <n v="4.2"/>
    <m/>
    <x v="0"/>
    <n v="217.3"/>
    <n v="1618.1"/>
    <m/>
    <x v="0"/>
    <x v="0"/>
    <n v="0"/>
    <n v="0"/>
    <x v="0"/>
    <x v="0"/>
    <m/>
    <x v="0"/>
    <x v="0"/>
    <x v="0"/>
    <x v="0"/>
    <x v="0"/>
    <n v="0"/>
    <n v="0"/>
    <n v="0"/>
    <n v="12"/>
    <x v="1"/>
    <x v="0"/>
    <m/>
    <x v="0"/>
    <n v="226.5"/>
    <x v="0"/>
    <x v="0"/>
    <x v="15"/>
    <x v="0"/>
    <x v="0"/>
  </r>
  <r>
    <x v="1"/>
    <x v="14"/>
    <s v="2868/1"/>
    <x v="279"/>
    <s v="AGRI TRADE (SOP) LAMINATION"/>
    <s v="LDN"/>
    <s v="24-24.5"/>
    <s v="60±3"/>
    <s v="AA"/>
    <n v="13620"/>
    <x v="0"/>
    <n v="2"/>
    <n v="212.5"/>
    <n v="4.8"/>
    <n v="75"/>
    <x v="0"/>
    <n v="207.7"/>
    <n v="14026.099999999999"/>
    <m/>
    <x v="5"/>
    <x v="0"/>
    <n v="180"/>
    <n v="3"/>
    <x v="0"/>
    <x v="0"/>
    <m/>
    <x v="0"/>
    <x v="0"/>
    <x v="0"/>
    <x v="0"/>
    <x v="0"/>
    <n v="0"/>
    <n v="0"/>
    <n v="3"/>
    <n v="9"/>
    <x v="1"/>
    <x v="0"/>
    <m/>
    <x v="0"/>
    <n v="217.5"/>
    <x v="0"/>
    <x v="0"/>
    <x v="15"/>
    <x v="0"/>
    <x v="0"/>
  </r>
  <r>
    <x v="0"/>
    <x v="15"/>
    <s v="3070 F"/>
    <x v="279"/>
    <s v="Usman Amin"/>
    <s v="LDN"/>
    <n v="17.25"/>
    <s v="8-8.5"/>
    <s v="LDN"/>
    <n v="1500"/>
    <x v="0"/>
    <n v="2"/>
    <n v="122.4"/>
    <n v="4.4000000000000004"/>
    <n v="50"/>
    <x v="0"/>
    <n v="118"/>
    <n v="2091.1"/>
    <m/>
    <x v="5"/>
    <x v="0"/>
    <n v="180"/>
    <n v="3"/>
    <x v="0"/>
    <x v="0"/>
    <m/>
    <x v="0"/>
    <x v="0"/>
    <x v="0"/>
    <x v="0"/>
    <x v="0"/>
    <n v="0"/>
    <n v="0"/>
    <n v="3"/>
    <n v="9"/>
    <x v="1"/>
    <x v="0"/>
    <m/>
    <x v="0"/>
    <n v="127.4"/>
    <x v="0"/>
    <x v="0"/>
    <x v="15"/>
    <x v="0"/>
    <x v="0"/>
  </r>
  <r>
    <x v="1"/>
    <x v="15"/>
    <s v="3070 F"/>
    <x v="279"/>
    <s v="Usman Amin"/>
    <s v="LDN"/>
    <n v="17.25"/>
    <s v="8-8.5"/>
    <s v="LDN"/>
    <n v="1500"/>
    <x v="0"/>
    <n v="6"/>
    <n v="437"/>
    <n v="12.600000000000001"/>
    <m/>
    <x v="0"/>
    <n v="424.4"/>
    <n v="2091.1"/>
    <m/>
    <x v="0"/>
    <x v="0"/>
    <n v="0"/>
    <n v="0"/>
    <x v="0"/>
    <x v="0"/>
    <m/>
    <x v="0"/>
    <x v="0"/>
    <x v="0"/>
    <x v="0"/>
    <x v="0"/>
    <n v="0"/>
    <n v="0"/>
    <n v="0"/>
    <n v="12"/>
    <x v="1"/>
    <x v="0"/>
    <m/>
    <x v="0"/>
    <n v="442"/>
    <x v="0"/>
    <x v="0"/>
    <x v="15"/>
    <x v="0"/>
    <x v="0"/>
  </r>
  <r>
    <x v="0"/>
    <x v="8"/>
    <s v="8326 J"/>
    <x v="280"/>
    <s v="Atlas Honda LTD (SKP)"/>
    <s v="LDN"/>
    <n v="9"/>
    <s v="8.5-9"/>
    <s v="LDN"/>
    <n v="1215.2777777777776"/>
    <x v="0"/>
    <n v="3"/>
    <n v="179.5"/>
    <n v="3.5999999999999996"/>
    <m/>
    <x v="0"/>
    <n v="175.9"/>
    <n v="1145.7"/>
    <m/>
    <x v="0"/>
    <x v="0"/>
    <n v="0"/>
    <n v="0"/>
    <x v="0"/>
    <x v="0"/>
    <m/>
    <x v="0"/>
    <x v="0"/>
    <x v="0"/>
    <x v="0"/>
    <x v="0"/>
    <n v="0"/>
    <n v="0"/>
    <n v="0"/>
    <n v="12"/>
    <x v="1"/>
    <x v="0"/>
    <m/>
    <x v="0"/>
    <n v="184.5"/>
    <x v="0"/>
    <x v="0"/>
    <x v="15"/>
    <x v="0"/>
    <x v="0"/>
  </r>
  <r>
    <x v="1"/>
    <x v="8"/>
    <s v="8326 J"/>
    <x v="280"/>
    <s v="Atlas Honda LTD (SKP)"/>
    <s v="LDN"/>
    <n v="9"/>
    <s v="8.5-9"/>
    <s v="LDN"/>
    <n v="1215.2777777777776"/>
    <x v="0"/>
    <n v="3"/>
    <n v="183.5"/>
    <n v="3.5999999999999996"/>
    <m/>
    <x v="0"/>
    <n v="179.9"/>
    <n v="1145.7"/>
    <m/>
    <x v="0"/>
    <x v="0"/>
    <n v="0"/>
    <n v="0"/>
    <x v="0"/>
    <x v="0"/>
    <m/>
    <x v="0"/>
    <x v="0"/>
    <x v="0"/>
    <x v="0"/>
    <x v="0"/>
    <n v="0"/>
    <n v="0"/>
    <n v="0"/>
    <n v="12"/>
    <x v="1"/>
    <x v="0"/>
    <m/>
    <x v="0"/>
    <n v="188.5"/>
    <x v="0"/>
    <x v="0"/>
    <x v="15"/>
    <x v="0"/>
    <x v="0"/>
  </r>
  <r>
    <x v="0"/>
    <x v="11"/>
    <s v="8273 J"/>
    <x v="280"/>
    <s v="International Industries (LTD)"/>
    <s v="LD گرین"/>
    <s v="300 MM"/>
    <s v="48-50"/>
    <s v="LDM"/>
    <n v="1500"/>
    <x v="0"/>
    <n v="4"/>
    <n v="525.5"/>
    <n v="5.9"/>
    <n v="30"/>
    <x v="0"/>
    <n v="519.6"/>
    <n v="1501.5"/>
    <m/>
    <x v="0"/>
    <x v="0"/>
    <n v="0"/>
    <n v="0"/>
    <x v="0"/>
    <x v="0"/>
    <m/>
    <x v="2"/>
    <x v="0"/>
    <x v="0"/>
    <x v="0"/>
    <x v="0"/>
    <n v="5"/>
    <n v="8.3333333333333329E-2"/>
    <n v="8.3333333333333329E-2"/>
    <n v="11.916666666666666"/>
    <x v="1"/>
    <x v="0"/>
    <m/>
    <x v="0"/>
    <n v="530.5"/>
    <x v="0"/>
    <x v="0"/>
    <x v="15"/>
    <x v="0"/>
    <x v="0"/>
  </r>
  <r>
    <x v="1"/>
    <x v="11"/>
    <s v="8273 J"/>
    <x v="280"/>
    <s v="International Industries (LTD)"/>
    <s v="LD گرین"/>
    <s v="300 MM"/>
    <s v="48-50"/>
    <s v="LDM"/>
    <n v="1500"/>
    <x v="0"/>
    <n v="4"/>
    <n v="466"/>
    <n v="6"/>
    <n v="10"/>
    <x v="0"/>
    <n v="460"/>
    <n v="1501.5"/>
    <m/>
    <x v="0"/>
    <x v="0"/>
    <n v="0"/>
    <n v="0"/>
    <x v="0"/>
    <x v="0"/>
    <m/>
    <x v="5"/>
    <x v="0"/>
    <x v="0"/>
    <x v="0"/>
    <x v="0"/>
    <n v="3"/>
    <n v="0.05"/>
    <n v="0.05"/>
    <n v="11.95"/>
    <x v="1"/>
    <x v="0"/>
    <m/>
    <x v="0"/>
    <n v="471"/>
    <x v="0"/>
    <x v="0"/>
    <x v="15"/>
    <x v="0"/>
    <x v="0"/>
  </r>
  <r>
    <x v="1"/>
    <x v="13"/>
    <s v="2868/1"/>
    <x v="280"/>
    <s v="AGRI TRADE (SOP) LAMINATION"/>
    <s v="LDN"/>
    <s v="24-24.5"/>
    <s v="60±3"/>
    <s v="AA"/>
    <n v="13620"/>
    <x v="0"/>
    <n v="1"/>
    <n v="56"/>
    <n v="3"/>
    <n v="15"/>
    <x v="0"/>
    <n v="53"/>
    <n v="14026.099999999999"/>
    <m/>
    <x v="12"/>
    <x v="0"/>
    <n v="420"/>
    <n v="7"/>
    <x v="0"/>
    <x v="0"/>
    <m/>
    <x v="0"/>
    <x v="0"/>
    <x v="0"/>
    <x v="0"/>
    <x v="0"/>
    <n v="0"/>
    <n v="0"/>
    <n v="7"/>
    <n v="5"/>
    <x v="1"/>
    <x v="0"/>
    <m/>
    <x v="0"/>
    <n v="61"/>
    <x v="0"/>
    <x v="0"/>
    <x v="15"/>
    <x v="0"/>
    <x v="0"/>
  </r>
  <r>
    <x v="0"/>
    <x v="12"/>
    <s v="2874/1"/>
    <x v="280"/>
    <s v="OLYMPIA CHEM (CARBONATE)"/>
    <s v="LDN"/>
    <s v="21-21.5"/>
    <s v="30±2"/>
    <s v="SL"/>
    <n v="1200"/>
    <x v="0"/>
    <n v="5"/>
    <n v="479"/>
    <n v="10.5"/>
    <n v="15"/>
    <x v="0"/>
    <n v="468.5"/>
    <n v="1618.1"/>
    <m/>
    <x v="0"/>
    <x v="0"/>
    <n v="0"/>
    <n v="0"/>
    <x v="0"/>
    <x v="0"/>
    <m/>
    <x v="2"/>
    <x v="0"/>
    <x v="0"/>
    <x v="0"/>
    <x v="0"/>
    <n v="5"/>
    <n v="8.3333333333333329E-2"/>
    <n v="8.3333333333333329E-2"/>
    <n v="11.916666666666666"/>
    <x v="1"/>
    <x v="0"/>
    <m/>
    <x v="0"/>
    <n v="484"/>
    <x v="0"/>
    <x v="0"/>
    <x v="15"/>
    <x v="0"/>
    <x v="0"/>
  </r>
  <r>
    <x v="1"/>
    <x v="12"/>
    <s v="2874/1"/>
    <x v="280"/>
    <s v="OLYMPIA CHEM (CARBONATE)"/>
    <s v="LDN"/>
    <s v="21-21.5"/>
    <s v="30±2"/>
    <s v="SL"/>
    <n v="1200"/>
    <x v="0"/>
    <n v="4"/>
    <n v="426"/>
    <n v="11.6"/>
    <n v="20"/>
    <x v="0"/>
    <n v="414.4"/>
    <n v="1618.1"/>
    <m/>
    <x v="0"/>
    <x v="0"/>
    <n v="0"/>
    <n v="0"/>
    <x v="0"/>
    <x v="0"/>
    <m/>
    <x v="0"/>
    <x v="0"/>
    <x v="0"/>
    <x v="0"/>
    <x v="0"/>
    <n v="0"/>
    <n v="0"/>
    <n v="0"/>
    <n v="12"/>
    <x v="1"/>
    <x v="0"/>
    <m/>
    <x v="0"/>
    <n v="431"/>
    <x v="0"/>
    <x v="0"/>
    <x v="15"/>
    <x v="0"/>
    <x v="0"/>
  </r>
  <r>
    <x v="0"/>
    <x v="14"/>
    <s v="2868/1"/>
    <x v="280"/>
    <s v="AGRI TRADE (SOP) LAMINATION"/>
    <s v="LDN"/>
    <s v="24-24.5"/>
    <s v="60±3"/>
    <s v="AA"/>
    <n v="13620"/>
    <x v="0"/>
    <n v="4"/>
    <n v="292"/>
    <n v="11.6"/>
    <m/>
    <x v="0"/>
    <n v="280.39999999999998"/>
    <n v="14026.099999999999"/>
    <m/>
    <x v="0"/>
    <x v="0"/>
    <n v="0"/>
    <n v="0"/>
    <x v="0"/>
    <x v="0"/>
    <m/>
    <x v="9"/>
    <x v="0"/>
    <x v="0"/>
    <x v="0"/>
    <x v="0"/>
    <n v="15"/>
    <n v="0.25"/>
    <n v="0.25"/>
    <n v="11.75"/>
    <x v="1"/>
    <x v="0"/>
    <m/>
    <x v="0"/>
    <n v="297"/>
    <x v="0"/>
    <x v="0"/>
    <x v="15"/>
    <x v="0"/>
    <x v="0"/>
  </r>
  <r>
    <x v="0"/>
    <x v="14"/>
    <s v="8183 J"/>
    <x v="280"/>
    <s v="Super Master Plastic Moulded LTD"/>
    <s v="LDN"/>
    <n v="37"/>
    <n v="0"/>
    <s v="LDN"/>
    <n v="125"/>
    <x v="0"/>
    <n v="3"/>
    <n v="128.5"/>
    <n v="8.3999999999999986"/>
    <m/>
    <x v="0"/>
    <n v="120.1"/>
    <n v="248.1"/>
    <m/>
    <x v="0"/>
    <x v="0"/>
    <n v="0"/>
    <n v="0"/>
    <x v="0"/>
    <x v="0"/>
    <m/>
    <x v="7"/>
    <x v="0"/>
    <x v="0"/>
    <x v="0"/>
    <x v="0"/>
    <n v="20"/>
    <n v="0.33333333333333331"/>
    <n v="0.33333333333333331"/>
    <n v="11.666666666666666"/>
    <x v="1"/>
    <x v="0"/>
    <m/>
    <x v="0"/>
    <n v="133.5"/>
    <x v="0"/>
    <x v="0"/>
    <x v="15"/>
    <x v="0"/>
    <x v="0"/>
  </r>
  <r>
    <x v="0"/>
    <x v="14"/>
    <s v="8317 J"/>
    <x v="280"/>
    <s v="Service Industry Gujrat"/>
    <s v="LDM"/>
    <s v="428 MM"/>
    <s v="-"/>
    <s v="LDM"/>
    <n v="700"/>
    <x v="0"/>
    <n v="1"/>
    <n v="62"/>
    <n v="2.2999999999999998"/>
    <n v="40"/>
    <x v="0"/>
    <n v="59.7"/>
    <n v="705.8"/>
    <m/>
    <x v="0"/>
    <x v="0"/>
    <n v="0"/>
    <n v="0"/>
    <x v="0"/>
    <x v="0"/>
    <m/>
    <x v="0"/>
    <x v="0"/>
    <x v="0"/>
    <x v="0"/>
    <x v="0"/>
    <n v="0"/>
    <n v="0"/>
    <n v="0"/>
    <n v="12"/>
    <x v="1"/>
    <x v="0"/>
    <m/>
    <x v="0"/>
    <n v="67"/>
    <x v="0"/>
    <x v="0"/>
    <x v="15"/>
    <x v="0"/>
    <x v="0"/>
  </r>
  <r>
    <x v="1"/>
    <x v="14"/>
    <s v="8317 J"/>
    <x v="280"/>
    <s v="Service Industry Gujrat"/>
    <s v="LDM"/>
    <s v="428 MM"/>
    <s v="-"/>
    <s v="LDM"/>
    <n v="700"/>
    <x v="0"/>
    <n v="8"/>
    <n v="431.5"/>
    <n v="14.6"/>
    <n v="60"/>
    <x v="0"/>
    <n v="416.9"/>
    <n v="705.8"/>
    <m/>
    <x v="0"/>
    <x v="0"/>
    <n v="0"/>
    <n v="0"/>
    <x v="14"/>
    <x v="0"/>
    <m/>
    <x v="2"/>
    <x v="0"/>
    <x v="0"/>
    <x v="12"/>
    <x v="0"/>
    <n v="130"/>
    <n v="2.1666666666666665"/>
    <n v="2.1666666666666665"/>
    <n v="9.8333333333333339"/>
    <x v="1"/>
    <x v="0"/>
    <m/>
    <x v="0"/>
    <n v="436.5"/>
    <x v="0"/>
    <x v="0"/>
    <x v="15"/>
    <x v="0"/>
    <x v="0"/>
  </r>
  <r>
    <x v="0"/>
    <x v="15"/>
    <s v="3070 F"/>
    <x v="280"/>
    <s v="Usman Amin"/>
    <s v="LDN"/>
    <n v="17.25"/>
    <s v="8-8.5"/>
    <s v="LDN"/>
    <n v="1500"/>
    <x v="0"/>
    <n v="6"/>
    <n v="412"/>
    <n v="13.200000000000001"/>
    <n v="5"/>
    <x v="0"/>
    <n v="398.8"/>
    <n v="2091.1"/>
    <m/>
    <x v="0"/>
    <x v="0"/>
    <n v="0"/>
    <n v="0"/>
    <x v="0"/>
    <x v="0"/>
    <m/>
    <x v="0"/>
    <x v="0"/>
    <x v="0"/>
    <x v="0"/>
    <x v="0"/>
    <n v="0"/>
    <n v="0"/>
    <n v="0"/>
    <n v="12"/>
    <x v="1"/>
    <x v="0"/>
    <m/>
    <x v="0"/>
    <n v="417"/>
    <x v="0"/>
    <x v="0"/>
    <x v="15"/>
    <x v="0"/>
    <x v="0"/>
  </r>
  <r>
    <x v="1"/>
    <x v="15"/>
    <s v="3070 F"/>
    <x v="280"/>
    <s v="Usman Amin"/>
    <s v="LDN"/>
    <n v="17.25"/>
    <s v="8-8.5"/>
    <s v="LDN"/>
    <n v="1500"/>
    <x v="0"/>
    <n v="3"/>
    <n v="206"/>
    <n v="6.3000000000000007"/>
    <n v="4"/>
    <x v="0"/>
    <n v="199.7"/>
    <n v="2091.1"/>
    <m/>
    <x v="0"/>
    <x v="0"/>
    <n v="0"/>
    <n v="0"/>
    <x v="0"/>
    <x v="0"/>
    <m/>
    <x v="0"/>
    <x v="0"/>
    <x v="0"/>
    <x v="0"/>
    <x v="0"/>
    <n v="0"/>
    <n v="0"/>
    <n v="0"/>
    <n v="12"/>
    <x v="1"/>
    <x v="0"/>
    <m/>
    <x v="0"/>
    <n v="211"/>
    <x v="0"/>
    <x v="0"/>
    <x v="15"/>
    <x v="0"/>
    <x v="0"/>
  </r>
  <r>
    <x v="1"/>
    <x v="15"/>
    <s v="3049 F"/>
    <x v="280"/>
    <s v="Usman Amin"/>
    <s v="LDN"/>
    <n v="17"/>
    <s v="7"/>
    <s v="LDN"/>
    <n v="300"/>
    <x v="0"/>
    <n v="2"/>
    <n v="162"/>
    <n v="4.2"/>
    <m/>
    <x v="0"/>
    <n v="157.80000000000001"/>
    <n v="293.20000000000005"/>
    <m/>
    <x v="0"/>
    <x v="0"/>
    <n v="0"/>
    <n v="0"/>
    <x v="0"/>
    <x v="0"/>
    <m/>
    <x v="0"/>
    <x v="0"/>
    <x v="0"/>
    <x v="0"/>
    <x v="0"/>
    <n v="0"/>
    <n v="0"/>
    <n v="0"/>
    <n v="12"/>
    <x v="1"/>
    <x v="0"/>
    <m/>
    <x v="0"/>
    <n v="167"/>
    <x v="0"/>
    <x v="0"/>
    <x v="15"/>
    <x v="0"/>
    <x v="0"/>
  </r>
  <r>
    <x v="0"/>
    <x v="8"/>
    <s v="8326 J"/>
    <x v="281"/>
    <s v="Atlas Honda LTD (SKP)"/>
    <s v="LDN"/>
    <n v="9"/>
    <s v="8.5-9"/>
    <s v="LDN"/>
    <n v="1215.2777777777776"/>
    <x v="0"/>
    <n v="3"/>
    <n v="164.5"/>
    <n v="3.3000000000000003"/>
    <n v="4"/>
    <x v="0"/>
    <n v="161.19999999999999"/>
    <n v="1145.7"/>
    <m/>
    <x v="0"/>
    <x v="0"/>
    <n v="0"/>
    <n v="0"/>
    <x v="0"/>
    <x v="0"/>
    <m/>
    <x v="0"/>
    <x v="0"/>
    <x v="0"/>
    <x v="0"/>
    <x v="0"/>
    <n v="0"/>
    <n v="0"/>
    <n v="0"/>
    <n v="12"/>
    <x v="1"/>
    <x v="0"/>
    <m/>
    <x v="0"/>
    <n v="169.5"/>
    <x v="0"/>
    <x v="32"/>
    <x v="15"/>
    <x v="0"/>
    <x v="0"/>
  </r>
  <r>
    <x v="1"/>
    <x v="8"/>
    <s v="8326 J"/>
    <x v="281"/>
    <s v="Atlas Honda LTD (SKP)"/>
    <s v="LDN"/>
    <n v="9"/>
    <s v="8.5-9"/>
    <s v="LDN"/>
    <n v="1215.2777777777776"/>
    <x v="0"/>
    <n v="3"/>
    <n v="155"/>
    <n v="3.3000000000000003"/>
    <n v="2"/>
    <x v="0"/>
    <n v="151.69999999999999"/>
    <n v="1145.7"/>
    <m/>
    <x v="0"/>
    <x v="0"/>
    <n v="0"/>
    <n v="0"/>
    <x v="0"/>
    <x v="0"/>
    <m/>
    <x v="0"/>
    <x v="0"/>
    <x v="0"/>
    <x v="0"/>
    <x v="0"/>
    <n v="0"/>
    <n v="0"/>
    <n v="0"/>
    <n v="12"/>
    <x v="1"/>
    <x v="0"/>
    <m/>
    <x v="0"/>
    <n v="160"/>
    <x v="0"/>
    <x v="32"/>
    <x v="15"/>
    <x v="0"/>
    <x v="0"/>
  </r>
  <r>
    <x v="1"/>
    <x v="9"/>
    <s v="8333 J"/>
    <x v="281"/>
    <s v="Al Shaheer Foods Corporation LTD"/>
    <s v="LDN"/>
    <n v="11"/>
    <s v="10.5-11"/>
    <s v="LDN"/>
    <n v="1000"/>
    <x v="0"/>
    <n v="3"/>
    <n v="197.5"/>
    <n v="4.0999999999999996"/>
    <m/>
    <x v="0"/>
    <n v="193.4"/>
    <n v="647.1"/>
    <m/>
    <x v="6"/>
    <x v="0"/>
    <n v="120"/>
    <n v="2"/>
    <x v="0"/>
    <x v="0"/>
    <m/>
    <x v="0"/>
    <x v="0"/>
    <x v="0"/>
    <x v="0"/>
    <x v="0"/>
    <n v="0"/>
    <n v="0"/>
    <n v="2"/>
    <n v="10"/>
    <x v="1"/>
    <x v="0"/>
    <m/>
    <x v="0"/>
    <n v="202.5"/>
    <x v="0"/>
    <x v="32"/>
    <x v="15"/>
    <x v="0"/>
    <x v="0"/>
  </r>
  <r>
    <x v="0"/>
    <x v="11"/>
    <s v="8273 J"/>
    <x v="281"/>
    <s v="International Industries (LTD)"/>
    <s v="LD گرین"/>
    <s v="300 MM"/>
    <s v="48-50"/>
    <s v="LDM"/>
    <n v="1500"/>
    <x v="0"/>
    <n v="3"/>
    <n v="354.5"/>
    <n v="4.5"/>
    <n v="100"/>
    <x v="0"/>
    <n v="350"/>
    <n v="1501.5"/>
    <n v="10"/>
    <x v="0"/>
    <x v="0"/>
    <n v="10"/>
    <n v="0.16666666666666666"/>
    <x v="0"/>
    <x v="0"/>
    <m/>
    <x v="0"/>
    <x v="0"/>
    <x v="0"/>
    <x v="0"/>
    <x v="0"/>
    <n v="0"/>
    <n v="0"/>
    <n v="0.16666666666666666"/>
    <n v="11.833333333333334"/>
    <x v="1"/>
    <x v="0"/>
    <m/>
    <x v="0"/>
    <n v="359.5"/>
    <x v="0"/>
    <x v="32"/>
    <x v="15"/>
    <x v="0"/>
    <x v="0"/>
  </r>
  <r>
    <x v="0"/>
    <x v="11"/>
    <s v="8274 J"/>
    <x v="281"/>
    <s v="International Industries (LTD)"/>
    <s v="LD پیلا"/>
    <s v="300 MM"/>
    <s v="48-50"/>
    <s v="LDM"/>
    <n v="500"/>
    <x v="0"/>
    <n v="1"/>
    <n v="85.5"/>
    <n v="1.5"/>
    <m/>
    <x v="0"/>
    <n v="84"/>
    <n v="520"/>
    <m/>
    <x v="0"/>
    <x v="0"/>
    <n v="0"/>
    <n v="0"/>
    <x v="0"/>
    <x v="0"/>
    <m/>
    <x v="0"/>
    <x v="0"/>
    <x v="0"/>
    <x v="0"/>
    <x v="0"/>
    <n v="0"/>
    <n v="0"/>
    <n v="0"/>
    <n v="12"/>
    <x v="1"/>
    <x v="0"/>
    <m/>
    <x v="0"/>
    <n v="90.5"/>
    <x v="0"/>
    <x v="32"/>
    <x v="15"/>
    <x v="0"/>
    <x v="0"/>
  </r>
  <r>
    <x v="1"/>
    <x v="11"/>
    <s v="8274 J"/>
    <x v="281"/>
    <s v="International Industries (LTD)"/>
    <s v="LD پیلا"/>
    <s v="300 MM"/>
    <s v="48-50"/>
    <s v="LDM"/>
    <n v="500"/>
    <x v="0"/>
    <n v="5"/>
    <n v="443.5"/>
    <n v="7.5"/>
    <m/>
    <x v="0"/>
    <n v="436"/>
    <n v="520"/>
    <m/>
    <x v="0"/>
    <x v="0"/>
    <n v="0"/>
    <n v="0"/>
    <x v="0"/>
    <x v="0"/>
    <m/>
    <x v="0"/>
    <x v="0"/>
    <x v="0"/>
    <x v="0"/>
    <x v="0"/>
    <n v="0"/>
    <n v="0"/>
    <n v="0"/>
    <n v="12"/>
    <x v="1"/>
    <x v="0"/>
    <m/>
    <x v="0"/>
    <n v="448.5"/>
    <x v="0"/>
    <x v="32"/>
    <x v="15"/>
    <x v="0"/>
    <x v="0"/>
  </r>
  <r>
    <x v="0"/>
    <x v="13"/>
    <s v="3119 F"/>
    <x v="281"/>
    <s v="Usman Amin"/>
    <s v="LDN"/>
    <n v="18"/>
    <s v="5-5.5"/>
    <s v="LDN"/>
    <n v="440"/>
    <x v="0"/>
    <n v="5"/>
    <n v="289"/>
    <n v="10.5"/>
    <n v="3"/>
    <x v="0"/>
    <n v="278.5"/>
    <n v="575.9"/>
    <m/>
    <x v="0"/>
    <x v="0"/>
    <n v="0"/>
    <n v="0"/>
    <x v="0"/>
    <x v="0"/>
    <m/>
    <x v="0"/>
    <x v="0"/>
    <x v="0"/>
    <x v="0"/>
    <x v="0"/>
    <n v="0"/>
    <n v="0"/>
    <n v="0"/>
    <n v="12"/>
    <x v="1"/>
    <x v="0"/>
    <m/>
    <x v="0"/>
    <n v="294"/>
    <x v="0"/>
    <x v="32"/>
    <x v="15"/>
    <x v="0"/>
    <x v="0"/>
  </r>
  <r>
    <x v="1"/>
    <x v="13"/>
    <s v="3119 F"/>
    <x v="281"/>
    <s v="Usman Amin"/>
    <s v="LDN"/>
    <n v="18"/>
    <s v="5-5.5"/>
    <s v="LDN"/>
    <n v="440"/>
    <x v="0"/>
    <n v="4"/>
    <n v="304.39999999999998"/>
    <n v="7"/>
    <n v="2"/>
    <x v="0"/>
    <n v="297.39999999999998"/>
    <n v="575.9"/>
    <m/>
    <x v="0"/>
    <x v="0"/>
    <n v="0"/>
    <n v="0"/>
    <x v="0"/>
    <x v="0"/>
    <m/>
    <x v="0"/>
    <x v="0"/>
    <x v="0"/>
    <x v="0"/>
    <x v="0"/>
    <n v="0"/>
    <n v="0"/>
    <n v="0"/>
    <n v="12"/>
    <x v="1"/>
    <x v="0"/>
    <m/>
    <x v="0"/>
    <n v="309.39999999999998"/>
    <x v="0"/>
    <x v="32"/>
    <x v="15"/>
    <x v="0"/>
    <x v="0"/>
  </r>
  <r>
    <x v="0"/>
    <x v="12"/>
    <s v="2874/1"/>
    <x v="281"/>
    <s v="OLYMPIA CHEM (CARBONATE)"/>
    <s v="LDN"/>
    <s v="21-21.5"/>
    <s v="30±2"/>
    <s v="SL"/>
    <n v="1200"/>
    <x v="0"/>
    <n v="2"/>
    <n v="168"/>
    <n v="5.2"/>
    <m/>
    <x v="0"/>
    <n v="162.80000000000001"/>
    <n v="1618.1"/>
    <m/>
    <x v="0"/>
    <x v="0"/>
    <n v="0"/>
    <n v="0"/>
    <x v="0"/>
    <x v="0"/>
    <m/>
    <x v="0"/>
    <x v="0"/>
    <x v="0"/>
    <x v="0"/>
    <x v="0"/>
    <n v="0"/>
    <n v="0"/>
    <n v="0"/>
    <n v="12"/>
    <x v="1"/>
    <x v="0"/>
    <m/>
    <x v="0"/>
    <n v="173"/>
    <x v="0"/>
    <x v="32"/>
    <x v="15"/>
    <x v="0"/>
    <x v="0"/>
  </r>
  <r>
    <x v="0"/>
    <x v="12"/>
    <s v="2868/1"/>
    <x v="281"/>
    <s v="AGRI TRADE (SOP) LAMINATION"/>
    <s v="LDN"/>
    <s v="24-24.5"/>
    <s v="60±3"/>
    <s v="AA"/>
    <n v="13620"/>
    <x v="0"/>
    <n v="4"/>
    <n v="421.5"/>
    <n v="11.6"/>
    <n v="4"/>
    <x v="0"/>
    <n v="409.9"/>
    <n v="14026.099999999999"/>
    <m/>
    <x v="0"/>
    <x v="0"/>
    <n v="0"/>
    <n v="0"/>
    <x v="0"/>
    <x v="0"/>
    <m/>
    <x v="0"/>
    <x v="0"/>
    <x v="0"/>
    <x v="0"/>
    <x v="0"/>
    <n v="0"/>
    <n v="0"/>
    <n v="0"/>
    <n v="12"/>
    <x v="1"/>
    <x v="0"/>
    <m/>
    <x v="0"/>
    <n v="426.5"/>
    <x v="0"/>
    <x v="32"/>
    <x v="15"/>
    <x v="0"/>
    <x v="0"/>
  </r>
  <r>
    <x v="1"/>
    <x v="12"/>
    <s v="2868/1"/>
    <x v="281"/>
    <s v="AGRI TRADE (SOP) LAMINATION"/>
    <s v="LDN"/>
    <s v="24-24.5"/>
    <s v="60±3"/>
    <s v="AA"/>
    <n v="13620"/>
    <x v="0"/>
    <n v="4"/>
    <n v="557"/>
    <n v="11.7"/>
    <n v="2"/>
    <x v="0"/>
    <n v="545.29999999999995"/>
    <n v="14026.099999999999"/>
    <m/>
    <x v="0"/>
    <x v="0"/>
    <n v="0"/>
    <n v="0"/>
    <x v="0"/>
    <x v="0"/>
    <m/>
    <x v="0"/>
    <x v="0"/>
    <x v="0"/>
    <x v="0"/>
    <x v="0"/>
    <n v="0"/>
    <n v="0"/>
    <n v="0"/>
    <n v="12"/>
    <x v="1"/>
    <x v="0"/>
    <m/>
    <x v="0"/>
    <n v="562"/>
    <x v="0"/>
    <x v="32"/>
    <x v="15"/>
    <x v="0"/>
    <x v="0"/>
  </r>
  <r>
    <x v="0"/>
    <x v="14"/>
    <s v="8317 J"/>
    <x v="281"/>
    <s v="Service Industry Gujrat"/>
    <s v="LDM"/>
    <s v="428 MM"/>
    <s v="-"/>
    <s v="LDM"/>
    <n v="700"/>
    <x v="0"/>
    <n v="4"/>
    <n v="237"/>
    <n v="7.8000000000000007"/>
    <m/>
    <x v="0"/>
    <n v="229.2"/>
    <n v="705.8"/>
    <m/>
    <x v="0"/>
    <x v="0"/>
    <n v="0"/>
    <n v="0"/>
    <x v="0"/>
    <x v="0"/>
    <m/>
    <x v="0"/>
    <x v="0"/>
    <x v="0"/>
    <x v="0"/>
    <x v="0"/>
    <n v="0"/>
    <n v="0"/>
    <n v="0"/>
    <n v="12"/>
    <x v="1"/>
    <x v="0"/>
    <m/>
    <x v="0"/>
    <n v="242"/>
    <x v="0"/>
    <x v="32"/>
    <x v="15"/>
    <x v="0"/>
    <x v="0"/>
  </r>
  <r>
    <x v="0"/>
    <x v="14"/>
    <s v="8314 J"/>
    <x v="281"/>
    <s v="Service Industry Gujrat"/>
    <s v="LDM"/>
    <s v="428 MM"/>
    <s v="-"/>
    <s v="LDM"/>
    <n v="250"/>
    <x v="0"/>
    <n v="2"/>
    <n v="111.5"/>
    <n v="4.4000000000000004"/>
    <n v="6"/>
    <x v="0"/>
    <n v="107.1"/>
    <n v="178.2"/>
    <m/>
    <x v="0"/>
    <x v="0"/>
    <n v="0"/>
    <n v="0"/>
    <x v="0"/>
    <x v="0"/>
    <n v="300"/>
    <x v="7"/>
    <x v="0"/>
    <x v="0"/>
    <x v="0"/>
    <x v="0"/>
    <n v="320"/>
    <n v="5.333333333333333"/>
    <n v="5.333333333333333"/>
    <n v="6.666666666666667"/>
    <x v="1"/>
    <x v="0"/>
    <m/>
    <x v="0"/>
    <n v="116.5"/>
    <x v="0"/>
    <x v="32"/>
    <x v="15"/>
    <x v="0"/>
    <x v="0"/>
  </r>
  <r>
    <x v="1"/>
    <x v="14"/>
    <s v="8316 J"/>
    <x v="281"/>
    <s v="Service Industry Gujrat"/>
    <s v="LDM"/>
    <s v="428 MM"/>
    <s v="-"/>
    <s v="LDM"/>
    <n v="200"/>
    <x v="0"/>
    <n v="4"/>
    <n v="219"/>
    <n v="8.8000000000000007"/>
    <n v="28"/>
    <x v="0"/>
    <n v="210.2"/>
    <n v="210.2"/>
    <m/>
    <x v="9"/>
    <x v="0"/>
    <n v="240"/>
    <n v="4"/>
    <x v="0"/>
    <x v="0"/>
    <m/>
    <x v="0"/>
    <x v="0"/>
    <x v="0"/>
    <x v="0"/>
    <x v="0"/>
    <n v="0"/>
    <n v="0"/>
    <n v="4"/>
    <n v="8"/>
    <x v="1"/>
    <x v="0"/>
    <m/>
    <x v="0"/>
    <n v="224"/>
    <x v="0"/>
    <x v="32"/>
    <x v="15"/>
    <x v="0"/>
    <x v="0"/>
  </r>
  <r>
    <x v="1"/>
    <x v="14"/>
    <s v="8314 J"/>
    <x v="281"/>
    <s v="Service Industry Gujrat"/>
    <s v="LDM"/>
    <s v="428 MM"/>
    <s v="-"/>
    <s v="LDM"/>
    <n v="250"/>
    <x v="0"/>
    <n v="2"/>
    <n v="75.5"/>
    <n v="4.4000000000000004"/>
    <m/>
    <x v="0"/>
    <n v="71.099999999999994"/>
    <n v="178.2"/>
    <m/>
    <x v="0"/>
    <x v="0"/>
    <n v="0"/>
    <n v="0"/>
    <x v="0"/>
    <x v="0"/>
    <m/>
    <x v="0"/>
    <x v="0"/>
    <x v="0"/>
    <x v="0"/>
    <x v="0"/>
    <n v="0"/>
    <n v="0"/>
    <n v="0"/>
    <n v="12"/>
    <x v="1"/>
    <x v="0"/>
    <m/>
    <x v="0"/>
    <n v="80.5"/>
    <x v="0"/>
    <x v="32"/>
    <x v="15"/>
    <x v="0"/>
    <x v="0"/>
  </r>
  <r>
    <x v="0"/>
    <x v="15"/>
    <s v="3049 F"/>
    <x v="281"/>
    <s v="Usman Amin"/>
    <s v="LDN"/>
    <n v="17"/>
    <s v="7"/>
    <s v="LDN"/>
    <n v="300"/>
    <x v="0"/>
    <n v="3"/>
    <n v="142"/>
    <n v="6.6000000000000005"/>
    <m/>
    <x v="0"/>
    <n v="135.4"/>
    <n v="293.20000000000005"/>
    <m/>
    <x v="0"/>
    <x v="0"/>
    <n v="0"/>
    <n v="0"/>
    <x v="0"/>
    <x v="0"/>
    <m/>
    <x v="0"/>
    <x v="0"/>
    <x v="0"/>
    <x v="0"/>
    <x v="0"/>
    <n v="0"/>
    <n v="0"/>
    <n v="0"/>
    <n v="12"/>
    <x v="1"/>
    <x v="0"/>
    <m/>
    <x v="0"/>
    <n v="147"/>
    <x v="0"/>
    <x v="32"/>
    <x v="15"/>
    <x v="0"/>
    <x v="0"/>
  </r>
  <r>
    <x v="0"/>
    <x v="15"/>
    <s v="2876/1"/>
    <x v="281"/>
    <s v="BREEZE FRAST IND (PVT) LTD"/>
    <s v="LDN"/>
    <n v="24"/>
    <n v="12"/>
    <s v="SL"/>
    <n v="120"/>
    <x v="0"/>
    <n v="6"/>
    <n v="115"/>
    <n v="8.3999999999999986"/>
    <m/>
    <x v="0"/>
    <n v="106.6"/>
    <n v="153.1"/>
    <m/>
    <x v="0"/>
    <x v="0"/>
    <n v="0"/>
    <n v="0"/>
    <x v="0"/>
    <x v="0"/>
    <m/>
    <x v="0"/>
    <x v="0"/>
    <x v="0"/>
    <x v="0"/>
    <x v="0"/>
    <n v="0"/>
    <n v="0"/>
    <n v="0"/>
    <n v="12"/>
    <x v="1"/>
    <x v="0"/>
    <m/>
    <x v="0"/>
    <n v="120"/>
    <x v="0"/>
    <x v="32"/>
    <x v="15"/>
    <x v="0"/>
    <x v="0"/>
  </r>
  <r>
    <x v="0"/>
    <x v="15"/>
    <s v="STOCK"/>
    <x v="281"/>
    <s v="-"/>
    <m/>
    <n v="22"/>
    <s v="12.5-13"/>
    <m/>
    <m/>
    <x v="0"/>
    <n v="3"/>
    <n v="155.5"/>
    <n v="9"/>
    <n v="13"/>
    <x v="0"/>
    <n v="146.5"/>
    <n v="2156.44"/>
    <m/>
    <x v="0"/>
    <x v="0"/>
    <n v="0"/>
    <n v="0"/>
    <x v="0"/>
    <x v="0"/>
    <m/>
    <x v="0"/>
    <x v="0"/>
    <x v="0"/>
    <x v="0"/>
    <x v="0"/>
    <n v="0"/>
    <n v="0"/>
    <n v="0"/>
    <n v="12"/>
    <x v="1"/>
    <x v="0"/>
    <m/>
    <x v="0"/>
    <n v="160.5"/>
    <x v="0"/>
    <x v="32"/>
    <x v="15"/>
    <x v="0"/>
    <x v="0"/>
  </r>
  <r>
    <x v="1"/>
    <x v="15"/>
    <s v="2876/1"/>
    <x v="281"/>
    <s v="BREEZE FRAST IND (PVT) LTD"/>
    <s v="LDN"/>
    <n v="24"/>
    <n v="12"/>
    <s v="SL"/>
    <n v="120"/>
    <x v="0"/>
    <n v="2"/>
    <n v="49.5"/>
    <n v="3"/>
    <n v="25"/>
    <x v="0"/>
    <n v="46.5"/>
    <n v="153.1"/>
    <m/>
    <x v="0"/>
    <x v="0"/>
    <n v="0"/>
    <n v="0"/>
    <x v="0"/>
    <x v="0"/>
    <m/>
    <x v="0"/>
    <x v="0"/>
    <x v="0"/>
    <x v="0"/>
    <x v="0"/>
    <n v="0"/>
    <n v="0"/>
    <n v="0"/>
    <n v="12"/>
    <x v="1"/>
    <x v="0"/>
    <m/>
    <x v="0"/>
    <n v="54.5"/>
    <x v="0"/>
    <x v="32"/>
    <x v="15"/>
    <x v="0"/>
    <x v="0"/>
  </r>
  <r>
    <x v="1"/>
    <x v="15"/>
    <s v="2876/2"/>
    <x v="281"/>
    <s v="BREEZE FRAST IND (PVT) LTD"/>
    <s v="LDN"/>
    <n v="30"/>
    <n v="12"/>
    <s v="SL"/>
    <n v="480"/>
    <x v="0"/>
    <n v="24"/>
    <n v="496.5"/>
    <n v="36"/>
    <m/>
    <x v="0"/>
    <n v="460.5"/>
    <n v="460.5"/>
    <m/>
    <x v="0"/>
    <x v="0"/>
    <n v="0"/>
    <n v="0"/>
    <x v="0"/>
    <x v="0"/>
    <m/>
    <x v="0"/>
    <x v="0"/>
    <x v="0"/>
    <x v="0"/>
    <x v="0"/>
    <n v="0"/>
    <n v="0"/>
    <n v="0"/>
    <n v="12"/>
    <x v="1"/>
    <x v="0"/>
    <m/>
    <x v="0"/>
    <n v="501.5"/>
    <x v="0"/>
    <x v="32"/>
    <x v="15"/>
    <x v="0"/>
    <x v="0"/>
  </r>
  <r>
    <x v="0"/>
    <x v="8"/>
    <s v="8326 J"/>
    <x v="282"/>
    <s v="Atlas Honda LTD (SKP)"/>
    <s v="LDN"/>
    <n v="9"/>
    <s v="8.5-9"/>
    <s v="LDN"/>
    <n v="1215.2777777777776"/>
    <x v="0"/>
    <n v="4"/>
    <n v="172.5"/>
    <n v="4.8"/>
    <n v="2"/>
    <x v="0"/>
    <n v="167.7"/>
    <n v="1145.7"/>
    <m/>
    <x v="0"/>
    <x v="0"/>
    <n v="0"/>
    <n v="0"/>
    <x v="0"/>
    <x v="0"/>
    <m/>
    <x v="0"/>
    <x v="0"/>
    <x v="0"/>
    <x v="0"/>
    <x v="0"/>
    <n v="0"/>
    <n v="0"/>
    <n v="0"/>
    <n v="12"/>
    <x v="1"/>
    <x v="0"/>
    <m/>
    <x v="0"/>
    <n v="177.5"/>
    <x v="0"/>
    <x v="32"/>
    <x v="15"/>
    <x v="0"/>
    <x v="0"/>
  </r>
  <r>
    <x v="1"/>
    <x v="8"/>
    <s v="8326 J"/>
    <x v="282"/>
    <s v="Atlas Honda LTD (SKP)"/>
    <s v="LDN"/>
    <n v="9"/>
    <s v="8.5-9"/>
    <s v="LDN"/>
    <n v="1215.2777777777776"/>
    <x v="0"/>
    <n v="2"/>
    <n v="76.5"/>
    <n v="2.7"/>
    <n v="2"/>
    <x v="0"/>
    <n v="73.8"/>
    <n v="1145.7"/>
    <m/>
    <x v="0"/>
    <x v="0"/>
    <n v="0"/>
    <n v="0"/>
    <x v="0"/>
    <x v="0"/>
    <m/>
    <x v="0"/>
    <x v="0"/>
    <x v="0"/>
    <x v="0"/>
    <x v="0"/>
    <n v="0"/>
    <n v="0"/>
    <n v="0"/>
    <n v="12"/>
    <x v="1"/>
    <x v="0"/>
    <m/>
    <x v="0"/>
    <n v="81.5"/>
    <x v="0"/>
    <x v="32"/>
    <x v="15"/>
    <x v="0"/>
    <x v="0"/>
  </r>
  <r>
    <x v="1"/>
    <x v="8"/>
    <s v="8332 J"/>
    <x v="282"/>
    <s v="Al Shaheer Foods Corporation LTD"/>
    <s v="LDN"/>
    <n v="7.5"/>
    <s v="10.5-11"/>
    <s v="LDN"/>
    <n v="500"/>
    <x v="0"/>
    <n v="2"/>
    <n v="98.5"/>
    <n v="2"/>
    <m/>
    <x v="0"/>
    <n v="96.5"/>
    <n v="481"/>
    <m/>
    <x v="0"/>
    <x v="0"/>
    <n v="0"/>
    <n v="0"/>
    <x v="0"/>
    <x v="0"/>
    <m/>
    <x v="0"/>
    <x v="0"/>
    <x v="0"/>
    <x v="0"/>
    <x v="0"/>
    <n v="0"/>
    <n v="0"/>
    <n v="0"/>
    <n v="12"/>
    <x v="1"/>
    <x v="0"/>
    <m/>
    <x v="0"/>
    <n v="103.5"/>
    <x v="0"/>
    <x v="32"/>
    <x v="15"/>
    <x v="0"/>
    <x v="0"/>
  </r>
  <r>
    <x v="0"/>
    <x v="9"/>
    <s v="8333 J"/>
    <x v="282"/>
    <s v="Al Shaheer Foods Corporation LTD"/>
    <s v="LDN"/>
    <n v="11"/>
    <s v="10.5-11"/>
    <s v="LDN"/>
    <n v="1000"/>
    <x v="0"/>
    <n v="3"/>
    <n v="158"/>
    <n v="3.5999999999999996"/>
    <n v="2"/>
    <x v="0"/>
    <n v="154.4"/>
    <n v="647.1"/>
    <m/>
    <x v="0"/>
    <x v="0"/>
    <n v="0"/>
    <n v="0"/>
    <x v="0"/>
    <x v="0"/>
    <m/>
    <x v="0"/>
    <x v="0"/>
    <x v="0"/>
    <x v="0"/>
    <x v="0"/>
    <n v="0"/>
    <n v="0"/>
    <n v="0"/>
    <n v="12"/>
    <x v="1"/>
    <x v="0"/>
    <m/>
    <x v="0"/>
    <n v="163"/>
    <x v="0"/>
    <x v="32"/>
    <x v="15"/>
    <x v="0"/>
    <x v="0"/>
  </r>
  <r>
    <x v="1"/>
    <x v="9"/>
    <s v="8333 J"/>
    <x v="282"/>
    <s v="Al Shaheer Foods Corporation LTD"/>
    <s v="LDN"/>
    <n v="11"/>
    <s v="10.5-11"/>
    <s v="LDN"/>
    <n v="1000"/>
    <x v="0"/>
    <n v="2"/>
    <n v="150.5"/>
    <n v="2.8"/>
    <n v="2"/>
    <x v="0"/>
    <n v="147.69999999999999"/>
    <n v="647.1"/>
    <m/>
    <x v="0"/>
    <x v="0"/>
    <n v="0"/>
    <n v="0"/>
    <x v="0"/>
    <x v="0"/>
    <m/>
    <x v="0"/>
    <x v="0"/>
    <x v="0"/>
    <x v="0"/>
    <x v="0"/>
    <n v="0"/>
    <n v="0"/>
    <n v="0"/>
    <n v="12"/>
    <x v="1"/>
    <x v="0"/>
    <m/>
    <x v="0"/>
    <n v="155.5"/>
    <x v="0"/>
    <x v="32"/>
    <x v="15"/>
    <x v="0"/>
    <x v="0"/>
  </r>
  <r>
    <x v="0"/>
    <x v="11"/>
    <s v="8401 J"/>
    <x v="282"/>
    <s v="Javed Enterprises Gujranwala"/>
    <s v="LD پیلا"/>
    <n v="14"/>
    <s v="20-20.5"/>
    <s v="LDM"/>
    <n v="500"/>
    <x v="0"/>
    <n v="3"/>
    <n v="270"/>
    <n v="5.0999999999999996"/>
    <n v="25"/>
    <x v="0"/>
    <n v="264.89999999999998"/>
    <n v="521.79999999999995"/>
    <m/>
    <x v="0"/>
    <x v="0"/>
    <n v="0"/>
    <n v="0"/>
    <x v="0"/>
    <x v="0"/>
    <m/>
    <x v="0"/>
    <x v="0"/>
    <x v="1"/>
    <x v="0"/>
    <x v="0"/>
    <n v="240"/>
    <n v="4"/>
    <n v="4"/>
    <n v="8"/>
    <x v="1"/>
    <x v="0"/>
    <m/>
    <x v="0"/>
    <n v="275"/>
    <x v="0"/>
    <x v="32"/>
    <x v="15"/>
    <x v="0"/>
    <x v="0"/>
  </r>
  <r>
    <x v="1"/>
    <x v="11"/>
    <s v="8401 J"/>
    <x v="282"/>
    <s v="Javed Enterprises Gujranwala"/>
    <s v="LD پیلا"/>
    <n v="14"/>
    <s v="20-20.5"/>
    <s v="LDM"/>
    <n v="500"/>
    <x v="0"/>
    <n v="3"/>
    <n v="262"/>
    <n v="5.0999999999999996"/>
    <n v="9"/>
    <x v="0"/>
    <n v="256.89999999999998"/>
    <n v="521.79999999999995"/>
    <m/>
    <x v="0"/>
    <x v="0"/>
    <n v="0"/>
    <n v="0"/>
    <x v="0"/>
    <x v="0"/>
    <m/>
    <x v="0"/>
    <x v="0"/>
    <x v="0"/>
    <x v="0"/>
    <x v="0"/>
    <n v="0"/>
    <n v="0"/>
    <n v="0"/>
    <n v="12"/>
    <x v="1"/>
    <x v="0"/>
    <m/>
    <x v="0"/>
    <n v="267"/>
    <x v="0"/>
    <x v="32"/>
    <x v="15"/>
    <x v="0"/>
    <x v="0"/>
  </r>
  <r>
    <x v="1"/>
    <x v="11"/>
    <s v="8430 J"/>
    <x v="282"/>
    <s v="Subhan Cloth House Nankana"/>
    <s v="LD پیلا"/>
    <s v="11+3+3"/>
    <s v="7.5-8/15-16"/>
    <s v="LDM"/>
    <n v="125"/>
    <x v="0"/>
    <n v="1"/>
    <n v="30"/>
    <n v="1.3"/>
    <m/>
    <x v="0"/>
    <n v="28.7"/>
    <n v="110.2"/>
    <m/>
    <x v="0"/>
    <x v="0"/>
    <n v="0"/>
    <n v="0"/>
    <x v="0"/>
    <x v="0"/>
    <m/>
    <x v="0"/>
    <x v="0"/>
    <x v="0"/>
    <x v="0"/>
    <x v="0"/>
    <n v="0"/>
    <n v="0"/>
    <n v="0"/>
    <n v="12"/>
    <x v="1"/>
    <x v="0"/>
    <m/>
    <x v="0"/>
    <n v="35"/>
    <x v="0"/>
    <x v="32"/>
    <x v="15"/>
    <x v="0"/>
    <x v="0"/>
  </r>
  <r>
    <x v="1"/>
    <x v="11"/>
    <s v="8429 J"/>
    <x v="282"/>
    <s v="Subhan Cloth House Nankana"/>
    <s v="LD پیلا"/>
    <s v="10+2.5+2.5"/>
    <s v="7.5-8/15-16"/>
    <s v="LDM"/>
    <n v="125"/>
    <x v="0"/>
    <n v="4"/>
    <n v="147"/>
    <n v="3.28"/>
    <m/>
    <x v="0"/>
    <n v="143.72"/>
    <n v="143.72"/>
    <m/>
    <x v="0"/>
    <x v="0"/>
    <n v="0"/>
    <n v="0"/>
    <x v="0"/>
    <x v="0"/>
    <m/>
    <x v="0"/>
    <x v="0"/>
    <x v="0"/>
    <x v="0"/>
    <x v="0"/>
    <n v="0"/>
    <n v="0"/>
    <n v="0"/>
    <n v="12"/>
    <x v="1"/>
    <x v="0"/>
    <m/>
    <x v="0"/>
    <n v="152"/>
    <x v="0"/>
    <x v="32"/>
    <x v="15"/>
    <x v="0"/>
    <x v="0"/>
  </r>
  <r>
    <x v="0"/>
    <x v="13"/>
    <s v="3040 F"/>
    <x v="282"/>
    <s v="Usman Amin"/>
    <s v="LDN"/>
    <n v="18"/>
    <s v="5-5.5"/>
    <s v="LDN"/>
    <n v="500"/>
    <x v="0"/>
    <n v="4"/>
    <n v="280.5"/>
    <n v="7.8000000000000007"/>
    <n v="5"/>
    <x v="0"/>
    <n v="272.7"/>
    <n v="545.41"/>
    <m/>
    <x v="0"/>
    <x v="0"/>
    <n v="0"/>
    <n v="0"/>
    <x v="0"/>
    <x v="0"/>
    <m/>
    <x v="0"/>
    <x v="0"/>
    <x v="0"/>
    <x v="0"/>
    <x v="0"/>
    <n v="0"/>
    <n v="0"/>
    <n v="0"/>
    <n v="12"/>
    <x v="1"/>
    <x v="0"/>
    <m/>
    <x v="0"/>
    <n v="285.5"/>
    <x v="0"/>
    <x v="32"/>
    <x v="15"/>
    <x v="0"/>
    <x v="0"/>
  </r>
  <r>
    <x v="1"/>
    <x v="13"/>
    <s v="3040 F"/>
    <x v="282"/>
    <s v="Usman Amin"/>
    <s v="LDN"/>
    <n v="18"/>
    <s v="5-5.5"/>
    <s v="LDN"/>
    <n v="500"/>
    <x v="0"/>
    <n v="4"/>
    <n v="279.89999999999998"/>
    <n v="7.1899999999999995"/>
    <n v="5"/>
    <x v="0"/>
    <n v="272.70999999999998"/>
    <n v="545.41"/>
    <m/>
    <x v="0"/>
    <x v="0"/>
    <n v="0"/>
    <n v="0"/>
    <x v="0"/>
    <x v="0"/>
    <m/>
    <x v="0"/>
    <x v="0"/>
    <x v="0"/>
    <x v="0"/>
    <x v="0"/>
    <n v="0"/>
    <n v="0"/>
    <n v="0"/>
    <n v="12"/>
    <x v="1"/>
    <x v="0"/>
    <m/>
    <x v="0"/>
    <n v="284.89999999999998"/>
    <x v="0"/>
    <x v="32"/>
    <x v="15"/>
    <x v="0"/>
    <x v="0"/>
  </r>
  <r>
    <x v="0"/>
    <x v="12"/>
    <s v="2868/1"/>
    <x v="282"/>
    <s v="AGRI TRADE (SOP) LAMINATION"/>
    <s v="LDN"/>
    <s v="24-24.5"/>
    <s v="60±3"/>
    <s v="AA"/>
    <n v="13620"/>
    <x v="0"/>
    <n v="6"/>
    <n v="626"/>
    <n v="17.399999999999999"/>
    <n v="11"/>
    <x v="0"/>
    <n v="608.6"/>
    <n v="14026.099999999999"/>
    <m/>
    <x v="0"/>
    <x v="0"/>
    <n v="0"/>
    <n v="0"/>
    <x v="0"/>
    <x v="0"/>
    <m/>
    <x v="0"/>
    <x v="0"/>
    <x v="0"/>
    <x v="0"/>
    <x v="0"/>
    <n v="0"/>
    <n v="0"/>
    <n v="0"/>
    <n v="12"/>
    <x v="1"/>
    <x v="0"/>
    <m/>
    <x v="0"/>
    <n v="631"/>
    <x v="0"/>
    <x v="32"/>
    <x v="15"/>
    <x v="0"/>
    <x v="0"/>
  </r>
  <r>
    <x v="1"/>
    <x v="12"/>
    <s v="2868/1"/>
    <x v="282"/>
    <s v="AGRI TRADE (SOP) LAMINATION"/>
    <s v="LDN"/>
    <s v="24-24.5"/>
    <s v="60±3"/>
    <s v="AA"/>
    <n v="13620"/>
    <x v="0"/>
    <n v="4"/>
    <n v="603.5"/>
    <n v="11.6"/>
    <n v="9"/>
    <x v="0"/>
    <n v="591.9"/>
    <n v="14026.099999999999"/>
    <m/>
    <x v="0"/>
    <x v="0"/>
    <n v="0"/>
    <n v="0"/>
    <x v="0"/>
    <x v="0"/>
    <m/>
    <x v="0"/>
    <x v="0"/>
    <x v="0"/>
    <x v="0"/>
    <x v="0"/>
    <n v="0"/>
    <n v="0"/>
    <n v="0"/>
    <n v="12"/>
    <x v="1"/>
    <x v="0"/>
    <m/>
    <x v="0"/>
    <n v="608.5"/>
    <x v="0"/>
    <x v="32"/>
    <x v="15"/>
    <x v="0"/>
    <x v="0"/>
  </r>
  <r>
    <x v="0"/>
    <x v="14"/>
    <s v="8315 J"/>
    <x v="282"/>
    <s v="Service Industry Gujrat"/>
    <s v="LDM"/>
    <s v="428 MM"/>
    <s v="-"/>
    <s v="LDM"/>
    <n v="100"/>
    <x v="0"/>
    <n v="2"/>
    <n v="101.5"/>
    <n v="3.6"/>
    <m/>
    <x v="0"/>
    <n v="97.9"/>
    <n v="97.9"/>
    <m/>
    <x v="0"/>
    <x v="0"/>
    <n v="0"/>
    <n v="0"/>
    <x v="0"/>
    <x v="0"/>
    <m/>
    <x v="0"/>
    <x v="0"/>
    <x v="0"/>
    <x v="0"/>
    <x v="0"/>
    <n v="0"/>
    <n v="0"/>
    <n v="0"/>
    <n v="12"/>
    <x v="1"/>
    <x v="0"/>
    <m/>
    <x v="0"/>
    <n v="106.5"/>
    <x v="0"/>
    <x v="32"/>
    <x v="15"/>
    <x v="0"/>
    <x v="0"/>
  </r>
  <r>
    <x v="0"/>
    <x v="14"/>
    <s v="8339 J"/>
    <x v="282"/>
    <s v="Acefit Timber Market LHR"/>
    <s v="LDM"/>
    <n v="20"/>
    <s v="11-11.5"/>
    <s v="LDM"/>
    <n v="225"/>
    <x v="0"/>
    <n v="4"/>
    <n v="250.5"/>
    <n v="10"/>
    <n v="31"/>
    <x v="0"/>
    <n v="240.5"/>
    <n v="240.5"/>
    <m/>
    <x v="0"/>
    <x v="0"/>
    <n v="0"/>
    <n v="0"/>
    <x v="0"/>
    <x v="0"/>
    <m/>
    <x v="0"/>
    <x v="0"/>
    <x v="1"/>
    <x v="0"/>
    <x v="0"/>
    <n v="240"/>
    <n v="4"/>
    <n v="4"/>
    <n v="8"/>
    <x v="1"/>
    <x v="0"/>
    <m/>
    <x v="0"/>
    <n v="255.5"/>
    <x v="0"/>
    <x v="32"/>
    <x v="15"/>
    <x v="0"/>
    <x v="0"/>
  </r>
  <r>
    <x v="1"/>
    <x v="14"/>
    <s v="8335 J"/>
    <x v="282"/>
    <s v="Nawab Jilani Plastic Layyah"/>
    <s v="LDM"/>
    <n v="20"/>
    <s v="15-16"/>
    <s v="LDM"/>
    <n v="100"/>
    <x v="0"/>
    <n v="2"/>
    <n v="109.5"/>
    <n v="4.4000000000000004"/>
    <n v="68"/>
    <x v="0"/>
    <n v="105.1"/>
    <n v="105.1"/>
    <m/>
    <x v="0"/>
    <x v="0"/>
    <n v="0"/>
    <n v="0"/>
    <x v="0"/>
    <x v="0"/>
    <m/>
    <x v="0"/>
    <x v="0"/>
    <x v="0"/>
    <x v="0"/>
    <x v="0"/>
    <n v="0"/>
    <n v="0"/>
    <n v="0"/>
    <n v="12"/>
    <x v="1"/>
    <x v="0"/>
    <m/>
    <x v="0"/>
    <n v="114.5"/>
    <x v="0"/>
    <x v="32"/>
    <x v="15"/>
    <x v="0"/>
    <x v="0"/>
  </r>
  <r>
    <x v="1"/>
    <x v="14"/>
    <s v="8336 J"/>
    <x v="282"/>
    <s v="Nawab Jilani Plastic Layyah"/>
    <s v="LDM"/>
    <s v="12+3+3"/>
    <s v="8-8.5/16-17"/>
    <s v="LDM"/>
    <n v="125"/>
    <x v="0"/>
    <n v="3"/>
    <n v="98.5"/>
    <n v="3.1"/>
    <m/>
    <x v="0"/>
    <n v="95.4"/>
    <n v="95.4"/>
    <m/>
    <x v="0"/>
    <x v="0"/>
    <n v="0"/>
    <n v="0"/>
    <x v="0"/>
    <x v="0"/>
    <m/>
    <x v="0"/>
    <x v="0"/>
    <x v="0"/>
    <x v="0"/>
    <x v="0"/>
    <n v="0"/>
    <n v="0"/>
    <n v="0"/>
    <n v="12"/>
    <x v="1"/>
    <x v="0"/>
    <m/>
    <x v="0"/>
    <n v="103.5"/>
    <x v="0"/>
    <x v="32"/>
    <x v="15"/>
    <x v="0"/>
    <x v="0"/>
  </r>
  <r>
    <x v="1"/>
    <x v="14"/>
    <s v="8337 J"/>
    <x v="282"/>
    <s v="Nawab Jilani Plastic Layyah"/>
    <s v="LDM"/>
    <s v="12+3+3"/>
    <s v="8-8.5/16-17"/>
    <s v="LDM"/>
    <n v="125"/>
    <x v="0"/>
    <n v="2"/>
    <n v="22"/>
    <n v="1.2"/>
    <m/>
    <x v="0"/>
    <n v="20.8"/>
    <n v="161.80000000000001"/>
    <m/>
    <x v="0"/>
    <x v="0"/>
    <n v="0"/>
    <n v="0"/>
    <x v="0"/>
    <x v="0"/>
    <m/>
    <x v="0"/>
    <x v="0"/>
    <x v="0"/>
    <x v="0"/>
    <x v="0"/>
    <n v="0"/>
    <n v="0"/>
    <n v="0"/>
    <n v="12"/>
    <x v="1"/>
    <x v="0"/>
    <m/>
    <x v="0"/>
    <n v="27"/>
    <x v="0"/>
    <x v="32"/>
    <x v="15"/>
    <x v="0"/>
    <x v="0"/>
  </r>
  <r>
    <x v="1"/>
    <x v="14"/>
    <s v="PACKING ROLL"/>
    <x v="282"/>
    <s v="PACKING ROLL"/>
    <m/>
    <m/>
    <m/>
    <m/>
    <m/>
    <x v="0"/>
    <n v="2"/>
    <n v="105.6"/>
    <m/>
    <m/>
    <x v="0"/>
    <n v="105.6"/>
    <n v="105.6"/>
    <m/>
    <x v="0"/>
    <x v="0"/>
    <n v="0"/>
    <n v="0"/>
    <x v="0"/>
    <x v="0"/>
    <m/>
    <x v="0"/>
    <x v="0"/>
    <x v="0"/>
    <x v="0"/>
    <x v="0"/>
    <n v="0"/>
    <n v="0"/>
    <n v="0"/>
    <n v="12"/>
    <x v="1"/>
    <x v="0"/>
    <m/>
    <x v="0"/>
    <n v="110.6"/>
    <x v="0"/>
    <x v="32"/>
    <x v="15"/>
    <x v="0"/>
    <x v="0"/>
  </r>
  <r>
    <x v="0"/>
    <x v="15"/>
    <s v="3124 F"/>
    <x v="282"/>
    <s v="Usman Amin"/>
    <s v="LDN"/>
    <n v="26"/>
    <s v="7-7.5"/>
    <s v="LDN"/>
    <n v="130"/>
    <x v="0"/>
    <n v="2"/>
    <n v="125.5"/>
    <n v="6.4"/>
    <n v="9"/>
    <x v="0"/>
    <n v="119.1"/>
    <n v="119.1"/>
    <m/>
    <x v="0"/>
    <x v="0"/>
    <n v="0"/>
    <n v="0"/>
    <x v="0"/>
    <x v="0"/>
    <m/>
    <x v="0"/>
    <x v="0"/>
    <x v="0"/>
    <x v="0"/>
    <x v="0"/>
    <n v="0"/>
    <n v="0"/>
    <n v="0"/>
    <n v="12"/>
    <x v="1"/>
    <x v="0"/>
    <m/>
    <x v="0"/>
    <n v="130.5"/>
    <x v="0"/>
    <x v="32"/>
    <x v="15"/>
    <x v="0"/>
    <x v="0"/>
  </r>
  <r>
    <x v="0"/>
    <x v="15"/>
    <s v="8298 J"/>
    <x v="282"/>
    <s v="Usman Arif Butt Gujranwala"/>
    <s v="LDN"/>
    <n v="27"/>
    <s v="4-4.5"/>
    <s v="LDN"/>
    <n v="250"/>
    <x v="0"/>
    <n v="5"/>
    <n v="267"/>
    <n v="16.5"/>
    <m/>
    <x v="0"/>
    <n v="250.5"/>
    <n v="412.2"/>
    <m/>
    <x v="0"/>
    <x v="0"/>
    <n v="0"/>
    <n v="0"/>
    <x v="0"/>
    <x v="0"/>
    <m/>
    <x v="0"/>
    <x v="0"/>
    <x v="0"/>
    <x v="0"/>
    <x v="0"/>
    <n v="0"/>
    <n v="0"/>
    <n v="0"/>
    <n v="12"/>
    <x v="1"/>
    <x v="0"/>
    <m/>
    <x v="0"/>
    <n v="272"/>
    <x v="0"/>
    <x v="32"/>
    <x v="15"/>
    <x v="0"/>
    <x v="0"/>
  </r>
  <r>
    <x v="0"/>
    <x v="15"/>
    <m/>
    <x v="282"/>
    <s v="-"/>
    <m/>
    <n v="24"/>
    <m/>
    <m/>
    <m/>
    <x v="0"/>
    <n v="2"/>
    <n v="103.5"/>
    <n v="5.8"/>
    <m/>
    <x v="0"/>
    <n v="97.7"/>
    <n v="0"/>
    <m/>
    <x v="0"/>
    <x v="0"/>
    <n v="0"/>
    <n v="0"/>
    <x v="0"/>
    <x v="0"/>
    <m/>
    <x v="0"/>
    <x v="0"/>
    <x v="0"/>
    <x v="0"/>
    <x v="0"/>
    <n v="0"/>
    <n v="0"/>
    <n v="0"/>
    <n v="12"/>
    <x v="1"/>
    <x v="0"/>
    <m/>
    <x v="0"/>
    <n v="108.5"/>
    <x v="0"/>
    <x v="32"/>
    <x v="15"/>
    <x v="0"/>
    <x v="0"/>
  </r>
  <r>
    <x v="1"/>
    <x v="15"/>
    <s v="3140 F"/>
    <x v="282"/>
    <s v="Usman Amin"/>
    <s v="LDN"/>
    <n v="24"/>
    <s v="8-8.5"/>
    <s v="LDN"/>
    <n v="215"/>
    <x v="0"/>
    <n v="4"/>
    <n v="233.5"/>
    <n v="8.1999999999999993"/>
    <n v="7"/>
    <x v="0"/>
    <n v="225.3"/>
    <n v="225.3"/>
    <m/>
    <x v="0"/>
    <x v="0"/>
    <n v="0"/>
    <n v="0"/>
    <x v="0"/>
    <x v="0"/>
    <m/>
    <x v="0"/>
    <x v="0"/>
    <x v="0"/>
    <x v="0"/>
    <x v="0"/>
    <n v="0"/>
    <n v="0"/>
    <n v="0"/>
    <n v="12"/>
    <x v="1"/>
    <x v="0"/>
    <m/>
    <x v="0"/>
    <n v="238.5"/>
    <x v="0"/>
    <x v="32"/>
    <x v="15"/>
    <x v="0"/>
    <x v="0"/>
  </r>
  <r>
    <x v="1"/>
    <x v="15"/>
    <s v="8286 J"/>
    <x v="282"/>
    <s v="Chaudhry Milk Sweets and Bakers Jhangh"/>
    <s v="LDN"/>
    <n v="21"/>
    <s v="8-8.5"/>
    <s v="LDN"/>
    <n v="200"/>
    <x v="0"/>
    <n v="2"/>
    <n v="165"/>
    <n v="5.2"/>
    <m/>
    <x v="0"/>
    <n v="159.80000000000001"/>
    <n v="499.7"/>
    <m/>
    <x v="0"/>
    <x v="0"/>
    <n v="0"/>
    <n v="0"/>
    <x v="0"/>
    <x v="0"/>
    <m/>
    <x v="0"/>
    <x v="0"/>
    <x v="0"/>
    <x v="0"/>
    <x v="0"/>
    <n v="0"/>
    <n v="0"/>
    <n v="0"/>
    <n v="12"/>
    <x v="1"/>
    <x v="0"/>
    <m/>
    <x v="0"/>
    <n v="170"/>
    <x v="0"/>
    <x v="32"/>
    <x v="15"/>
    <x v="0"/>
    <x v="0"/>
  </r>
  <r>
    <x v="0"/>
    <x v="8"/>
    <s v="8332 J"/>
    <x v="283"/>
    <s v="Al Shaheer Foods Corporation LTD"/>
    <s v="LDN"/>
    <n v="7.5"/>
    <s v="10.5-11"/>
    <s v="LDN"/>
    <n v="500"/>
    <x v="0"/>
    <n v="3"/>
    <n v="144.5"/>
    <n v="2.7"/>
    <n v="1"/>
    <x v="0"/>
    <n v="141.80000000000001"/>
    <n v="481"/>
    <m/>
    <x v="0"/>
    <x v="0"/>
    <n v="0"/>
    <n v="0"/>
    <x v="0"/>
    <x v="0"/>
    <m/>
    <x v="0"/>
    <x v="0"/>
    <x v="0"/>
    <x v="0"/>
    <x v="0"/>
    <n v="0"/>
    <n v="0"/>
    <n v="0"/>
    <n v="12"/>
    <x v="1"/>
    <x v="0"/>
    <m/>
    <x v="0"/>
    <n v="149.5"/>
    <x v="0"/>
    <x v="32"/>
    <x v="15"/>
    <x v="0"/>
    <x v="0"/>
  </r>
  <r>
    <x v="1"/>
    <x v="8"/>
    <s v="8332 J"/>
    <x v="283"/>
    <s v="Al Shaheer Foods Corporation LTD"/>
    <s v="LDN"/>
    <n v="7.5"/>
    <s v="10.5-11"/>
    <s v="LDN"/>
    <n v="500"/>
    <x v="0"/>
    <n v="3"/>
    <n v="143.5"/>
    <n v="3"/>
    <n v="2"/>
    <x v="0"/>
    <n v="140.5"/>
    <n v="481"/>
    <m/>
    <x v="0"/>
    <x v="0"/>
    <n v="0"/>
    <n v="0"/>
    <x v="0"/>
    <x v="0"/>
    <m/>
    <x v="0"/>
    <x v="0"/>
    <x v="0"/>
    <x v="0"/>
    <x v="0"/>
    <n v="0"/>
    <n v="0"/>
    <n v="0"/>
    <n v="12"/>
    <x v="1"/>
    <x v="0"/>
    <m/>
    <x v="0"/>
    <n v="148.5"/>
    <x v="0"/>
    <x v="32"/>
    <x v="15"/>
    <x v="0"/>
    <x v="0"/>
  </r>
  <r>
    <x v="0"/>
    <x v="9"/>
    <s v="8233 J"/>
    <x v="283"/>
    <s v="Usman Packges Rwp"/>
    <s v="LDM"/>
    <n v="24"/>
    <s v="13.5-14"/>
    <s v="LDM"/>
    <n v="100"/>
    <x v="1"/>
    <n v="3"/>
    <n v="196.9"/>
    <n v="3.5999999999999996"/>
    <n v="3"/>
    <x v="0"/>
    <n v="193.3"/>
    <n v="492.3"/>
    <m/>
    <x v="0"/>
    <x v="0"/>
    <n v="0"/>
    <n v="0"/>
    <x v="0"/>
    <x v="0"/>
    <m/>
    <x v="0"/>
    <x v="0"/>
    <x v="0"/>
    <x v="0"/>
    <x v="0"/>
    <n v="0"/>
    <n v="0"/>
    <n v="0"/>
    <n v="12"/>
    <x v="1"/>
    <x v="0"/>
    <m/>
    <x v="0"/>
    <n v="201.9"/>
    <x v="0"/>
    <x v="32"/>
    <x v="15"/>
    <x v="0"/>
    <x v="0"/>
  </r>
  <r>
    <x v="1"/>
    <x v="9"/>
    <s v="8233 J"/>
    <x v="283"/>
    <s v="Usman Packges Rwp"/>
    <s v="LDM"/>
    <n v="24"/>
    <s v="13.5-14"/>
    <s v="LDM"/>
    <n v="100"/>
    <x v="1"/>
    <n v="3"/>
    <n v="201.6"/>
    <n v="3.5999999999999996"/>
    <n v="3"/>
    <x v="0"/>
    <n v="198"/>
    <n v="492.3"/>
    <m/>
    <x v="0"/>
    <x v="0"/>
    <n v="0"/>
    <n v="0"/>
    <x v="0"/>
    <x v="0"/>
    <m/>
    <x v="0"/>
    <x v="0"/>
    <x v="0"/>
    <x v="0"/>
    <x v="0"/>
    <n v="0"/>
    <n v="0"/>
    <n v="0"/>
    <n v="12"/>
    <x v="1"/>
    <x v="0"/>
    <m/>
    <x v="0"/>
    <n v="206.6"/>
    <x v="0"/>
    <x v="32"/>
    <x v="15"/>
    <x v="0"/>
    <x v="0"/>
  </r>
  <r>
    <x v="0"/>
    <x v="11"/>
    <s v="8430 J"/>
    <x v="283"/>
    <s v="Subhan Cloth House Nankana"/>
    <s v="LD پیلا"/>
    <s v="11+3+3"/>
    <s v="7.5-8/15-16"/>
    <s v="LDM"/>
    <n v="125"/>
    <x v="1"/>
    <n v="2"/>
    <n v="84.5"/>
    <n v="3"/>
    <m/>
    <x v="0"/>
    <n v="81.5"/>
    <n v="110.2"/>
    <n v="3"/>
    <x v="0"/>
    <x v="0"/>
    <n v="3"/>
    <n v="0.05"/>
    <x v="0"/>
    <x v="0"/>
    <m/>
    <x v="0"/>
    <x v="0"/>
    <x v="0"/>
    <x v="0"/>
    <x v="0"/>
    <n v="0"/>
    <n v="0"/>
    <n v="0.05"/>
    <n v="11.95"/>
    <x v="1"/>
    <x v="0"/>
    <m/>
    <x v="0"/>
    <n v="89.5"/>
    <x v="0"/>
    <x v="32"/>
    <x v="15"/>
    <x v="0"/>
    <x v="0"/>
  </r>
  <r>
    <x v="0"/>
    <x v="11"/>
    <s v="8384 J"/>
    <x v="283"/>
    <s v="Shoab Auto Rawalpindi"/>
    <s v="LD کریم"/>
    <s v="12+3+3"/>
    <s v="7.5-8/15-16"/>
    <s v="LDM"/>
    <n v="125"/>
    <x v="1"/>
    <n v="3"/>
    <n v="133"/>
    <n v="4.5"/>
    <m/>
    <x v="0"/>
    <n v="128.5"/>
    <n v="128.5"/>
    <n v="2"/>
    <x v="0"/>
    <x v="0"/>
    <n v="2"/>
    <n v="3.3333333333333333E-2"/>
    <x v="0"/>
    <x v="0"/>
    <m/>
    <x v="1"/>
    <x v="0"/>
    <x v="0"/>
    <x v="0"/>
    <x v="0"/>
    <n v="10"/>
    <n v="0.16666666666666666"/>
    <n v="0.19999999999999998"/>
    <n v="11.8"/>
    <x v="1"/>
    <x v="0"/>
    <m/>
    <x v="0"/>
    <n v="138"/>
    <x v="0"/>
    <x v="32"/>
    <x v="15"/>
    <x v="0"/>
    <x v="0"/>
  </r>
  <r>
    <x v="0"/>
    <x v="11"/>
    <s v="8383 J"/>
    <x v="283"/>
    <s v="Shoab Auto Rawalpindi"/>
    <s v="LD کریم"/>
    <s v="8+2.5+2.5"/>
    <s v="7.5-8/15-16"/>
    <s v="LDM"/>
    <n v="125"/>
    <x v="1"/>
    <n v="2"/>
    <n v="97"/>
    <n v="2"/>
    <n v="56"/>
    <x v="0"/>
    <n v="95"/>
    <n v="132"/>
    <n v="5"/>
    <x v="0"/>
    <x v="0"/>
    <n v="5"/>
    <n v="8.3333333333333329E-2"/>
    <x v="0"/>
    <x v="0"/>
    <m/>
    <x v="0"/>
    <x v="0"/>
    <x v="0"/>
    <x v="0"/>
    <x v="0"/>
    <n v="0"/>
    <n v="0"/>
    <n v="8.3333333333333329E-2"/>
    <n v="11.916666666666666"/>
    <x v="1"/>
    <x v="0"/>
    <m/>
    <x v="0"/>
    <n v="102"/>
    <x v="0"/>
    <x v="32"/>
    <x v="15"/>
    <x v="0"/>
    <x v="0"/>
  </r>
  <r>
    <x v="1"/>
    <x v="11"/>
    <s v="8423 J"/>
    <x v="283"/>
    <s v="Javed Enterprises Gujranwala"/>
    <s v="LD گرے"/>
    <n v="14"/>
    <s v="20-21"/>
    <s v="LDM"/>
    <n v="200"/>
    <x v="1"/>
    <n v="4"/>
    <n v="216.5"/>
    <n v="5.6"/>
    <n v="28"/>
    <x v="0"/>
    <n v="210.9"/>
    <n v="210.9"/>
    <n v="3"/>
    <x v="0"/>
    <x v="0"/>
    <n v="3"/>
    <n v="0.05"/>
    <x v="0"/>
    <x v="0"/>
    <m/>
    <x v="0"/>
    <x v="0"/>
    <x v="0"/>
    <x v="0"/>
    <x v="0"/>
    <n v="0"/>
    <n v="0"/>
    <n v="0.05"/>
    <n v="11.95"/>
    <x v="1"/>
    <x v="0"/>
    <m/>
    <x v="0"/>
    <n v="221.5"/>
    <x v="0"/>
    <x v="32"/>
    <x v="15"/>
    <x v="0"/>
    <x v="0"/>
  </r>
  <r>
    <x v="1"/>
    <x v="11"/>
    <s v="8383 J"/>
    <x v="283"/>
    <s v="Shoab Auto Rawalpindi"/>
    <s v="LD کریم"/>
    <s v="8+2.5+2.5"/>
    <s v="7.5-8/15-16"/>
    <s v="LDM"/>
    <n v="125"/>
    <x v="1"/>
    <n v="1"/>
    <n v="38"/>
    <n v="1"/>
    <m/>
    <x v="0"/>
    <n v="37"/>
    <n v="132"/>
    <n v="2"/>
    <x v="0"/>
    <x v="0"/>
    <n v="2"/>
    <n v="3.3333333333333333E-2"/>
    <x v="0"/>
    <x v="0"/>
    <m/>
    <x v="0"/>
    <x v="0"/>
    <x v="0"/>
    <x v="0"/>
    <x v="0"/>
    <n v="0"/>
    <n v="0"/>
    <n v="3.3333333333333333E-2"/>
    <n v="11.966666666666667"/>
    <x v="1"/>
    <x v="0"/>
    <m/>
    <x v="0"/>
    <n v="43"/>
    <x v="0"/>
    <x v="32"/>
    <x v="15"/>
    <x v="0"/>
    <x v="0"/>
  </r>
  <r>
    <x v="1"/>
    <x v="11"/>
    <s v="THANK YOU"/>
    <x v="283"/>
    <s v="THANK YOU"/>
    <m/>
    <n v="18"/>
    <s v="12-13"/>
    <m/>
    <n v="1200"/>
    <x v="1"/>
    <n v="1"/>
    <n v="42"/>
    <n v="1.8"/>
    <m/>
    <x v="0"/>
    <n v="40.200000000000003"/>
    <n v="172.10000000000002"/>
    <m/>
    <x v="0"/>
    <x v="0"/>
    <n v="0"/>
    <n v="0"/>
    <x v="0"/>
    <x v="0"/>
    <m/>
    <x v="0"/>
    <x v="0"/>
    <x v="0"/>
    <x v="0"/>
    <x v="0"/>
    <n v="0"/>
    <n v="0"/>
    <n v="0"/>
    <n v="12"/>
    <x v="1"/>
    <x v="0"/>
    <m/>
    <x v="0"/>
    <n v="47"/>
    <x v="0"/>
    <x v="32"/>
    <x v="15"/>
    <x v="0"/>
    <x v="0"/>
  </r>
  <r>
    <x v="0"/>
    <x v="13"/>
    <s v="3038 F"/>
    <x v="283"/>
    <s v="Usman Amin"/>
    <s v="LDN"/>
    <n v="18"/>
    <s v="5-5.5"/>
    <s v="LDN"/>
    <n v="500"/>
    <x v="1"/>
    <n v="4"/>
    <n v="300"/>
    <n v="7.1999999999999993"/>
    <m/>
    <x v="0"/>
    <n v="292.8"/>
    <n v="1269.4000000000001"/>
    <m/>
    <x v="0"/>
    <x v="0"/>
    <n v="0"/>
    <n v="0"/>
    <x v="0"/>
    <x v="0"/>
    <m/>
    <x v="0"/>
    <x v="0"/>
    <x v="0"/>
    <x v="0"/>
    <x v="0"/>
    <n v="0"/>
    <n v="0"/>
    <n v="0"/>
    <n v="12"/>
    <x v="1"/>
    <x v="0"/>
    <m/>
    <x v="0"/>
    <n v="305"/>
    <x v="0"/>
    <x v="32"/>
    <x v="15"/>
    <x v="0"/>
    <x v="0"/>
  </r>
  <r>
    <x v="1"/>
    <x v="13"/>
    <s v="3038 F"/>
    <x v="283"/>
    <s v="Usman Amin"/>
    <s v="LDN"/>
    <n v="18"/>
    <s v="5-5.5"/>
    <s v="LDN"/>
    <n v="500"/>
    <x v="1"/>
    <n v="4"/>
    <n v="307.39999999999998"/>
    <n v="7.2"/>
    <m/>
    <x v="0"/>
    <n v="300.2"/>
    <n v="1269.4000000000001"/>
    <m/>
    <x v="0"/>
    <x v="0"/>
    <n v="0"/>
    <n v="0"/>
    <x v="0"/>
    <x v="0"/>
    <m/>
    <x v="0"/>
    <x v="0"/>
    <x v="0"/>
    <x v="0"/>
    <x v="0"/>
    <n v="0"/>
    <n v="0"/>
    <n v="0"/>
    <n v="12"/>
    <x v="1"/>
    <x v="0"/>
    <m/>
    <x v="0"/>
    <n v="312.39999999999998"/>
    <x v="0"/>
    <x v="32"/>
    <x v="15"/>
    <x v="0"/>
    <x v="0"/>
  </r>
  <r>
    <x v="0"/>
    <x v="12"/>
    <s v="8352 J"/>
    <x v="283"/>
    <s v="Allied Impex Sialkot"/>
    <s v="LDN"/>
    <n v="24"/>
    <n v="10"/>
    <s v="LDN"/>
    <n v="125"/>
    <x v="1"/>
    <n v="2"/>
    <n v="144"/>
    <n v="4.8"/>
    <m/>
    <x v="0"/>
    <n v="139.19999999999999"/>
    <n v="139.19999999999999"/>
    <m/>
    <x v="0"/>
    <x v="0"/>
    <n v="0"/>
    <n v="0"/>
    <x v="0"/>
    <x v="0"/>
    <m/>
    <x v="0"/>
    <x v="0"/>
    <x v="0"/>
    <x v="0"/>
    <x v="0"/>
    <n v="0"/>
    <n v="0"/>
    <n v="0"/>
    <n v="12"/>
    <x v="1"/>
    <x v="0"/>
    <m/>
    <x v="0"/>
    <n v="149"/>
    <x v="0"/>
    <x v="32"/>
    <x v="15"/>
    <x v="0"/>
    <x v="0"/>
  </r>
  <r>
    <x v="0"/>
    <x v="12"/>
    <s v="2868/1"/>
    <x v="283"/>
    <s v="AGRI TRADE (SOP) LAMINATION"/>
    <s v="LDN"/>
    <s v="24-24.5"/>
    <s v="60±3"/>
    <s v="AA"/>
    <n v="13620"/>
    <x v="1"/>
    <n v="3"/>
    <n v="419"/>
    <n v="8.6999999999999993"/>
    <n v="11"/>
    <x v="0"/>
    <n v="410.3"/>
    <n v="14026.099999999999"/>
    <m/>
    <x v="0"/>
    <x v="0"/>
    <n v="0"/>
    <n v="0"/>
    <x v="0"/>
    <x v="0"/>
    <m/>
    <x v="0"/>
    <x v="0"/>
    <x v="0"/>
    <x v="0"/>
    <x v="0"/>
    <n v="0"/>
    <n v="0"/>
    <n v="0"/>
    <n v="12"/>
    <x v="1"/>
    <x v="0"/>
    <m/>
    <x v="0"/>
    <n v="424"/>
    <x v="0"/>
    <x v="32"/>
    <x v="15"/>
    <x v="0"/>
    <x v="0"/>
  </r>
  <r>
    <x v="1"/>
    <x v="12"/>
    <s v="2868/1"/>
    <x v="283"/>
    <s v="AGRI TRADE (SOP) LAMINATION"/>
    <s v="LDN"/>
    <s v="24-24.5"/>
    <s v="60±3"/>
    <s v="AA"/>
    <n v="13620"/>
    <x v="1"/>
    <n v="4"/>
    <n v="562.5"/>
    <n v="11.6"/>
    <n v="7"/>
    <x v="0"/>
    <n v="550.9"/>
    <n v="14026.099999999999"/>
    <m/>
    <x v="0"/>
    <x v="0"/>
    <n v="0"/>
    <n v="0"/>
    <x v="0"/>
    <x v="0"/>
    <m/>
    <x v="0"/>
    <x v="0"/>
    <x v="0"/>
    <x v="0"/>
    <x v="0"/>
    <n v="0"/>
    <n v="0"/>
    <n v="0"/>
    <n v="12"/>
    <x v="1"/>
    <x v="0"/>
    <m/>
    <x v="0"/>
    <n v="567.5"/>
    <x v="0"/>
    <x v="32"/>
    <x v="15"/>
    <x v="0"/>
    <x v="0"/>
  </r>
  <r>
    <x v="0"/>
    <x v="14"/>
    <s v="2872/1"/>
    <x v="283"/>
    <s v="MATCO FOOD"/>
    <s v="LDN"/>
    <s v="28-28.5"/>
    <s v="85±2"/>
    <s v="SL"/>
    <n v="2805"/>
    <x v="1"/>
    <n v="3"/>
    <n v="338.5"/>
    <n v="10.399999999999999"/>
    <m/>
    <x v="0"/>
    <n v="328.1"/>
    <n v="785.90000000000009"/>
    <m/>
    <x v="0"/>
    <x v="0"/>
    <n v="0"/>
    <n v="0"/>
    <x v="0"/>
    <x v="0"/>
    <m/>
    <x v="0"/>
    <x v="0"/>
    <x v="0"/>
    <x v="0"/>
    <x v="0"/>
    <n v="0"/>
    <n v="0"/>
    <n v="0"/>
    <n v="12"/>
    <x v="1"/>
    <x v="0"/>
    <m/>
    <x v="0"/>
    <n v="343.5"/>
    <x v="0"/>
    <x v="32"/>
    <x v="15"/>
    <x v="0"/>
    <x v="0"/>
  </r>
  <r>
    <x v="0"/>
    <x v="14"/>
    <s v="8276 J"/>
    <x v="283"/>
    <s v="Emarat Plastic Chong "/>
    <s v="HDN"/>
    <n v="12"/>
    <n v="7"/>
    <s v="HDN"/>
    <n v="700"/>
    <x v="1"/>
    <n v="1"/>
    <n v="93"/>
    <n v="2.5"/>
    <m/>
    <x v="0"/>
    <n v="90.5"/>
    <n v="90.5"/>
    <n v="5"/>
    <x v="0"/>
    <x v="0"/>
    <n v="5"/>
    <n v="8.3333333333333329E-2"/>
    <x v="0"/>
    <x v="0"/>
    <m/>
    <x v="0"/>
    <x v="0"/>
    <x v="0"/>
    <x v="12"/>
    <x v="0"/>
    <n v="90"/>
    <n v="1.5"/>
    <n v="1.5833333333333333"/>
    <n v="10.416666666666666"/>
    <x v="1"/>
    <x v="0"/>
    <m/>
    <x v="0"/>
    <n v="98"/>
    <x v="0"/>
    <x v="32"/>
    <x v="15"/>
    <x v="0"/>
    <x v="0"/>
  </r>
  <r>
    <x v="0"/>
    <x v="14"/>
    <s v="8377 J"/>
    <x v="283"/>
    <s v="Eman Chemical Lahore"/>
    <s v="LDN"/>
    <s v="535 MM"/>
    <s v="15-16/30-32"/>
    <s v="LDN"/>
    <n v="100"/>
    <x v="1"/>
    <n v="1"/>
    <n v="96.5"/>
    <n v="2.5"/>
    <n v="35"/>
    <x v="0"/>
    <n v="94"/>
    <n v="94"/>
    <n v="5"/>
    <x v="0"/>
    <x v="0"/>
    <n v="5"/>
    <n v="8.3333333333333329E-2"/>
    <x v="0"/>
    <x v="0"/>
    <m/>
    <x v="0"/>
    <x v="0"/>
    <x v="0"/>
    <x v="0"/>
    <x v="0"/>
    <n v="0"/>
    <n v="0"/>
    <n v="8.3333333333333329E-2"/>
    <n v="11.916666666666666"/>
    <x v="1"/>
    <x v="0"/>
    <m/>
    <x v="0"/>
    <n v="101.5"/>
    <x v="0"/>
    <x v="32"/>
    <x v="15"/>
    <x v="0"/>
    <x v="0"/>
  </r>
  <r>
    <x v="1"/>
    <x v="14"/>
    <s v="8268 J"/>
    <x v="283"/>
    <s v="Golden Chemical Faisalbad"/>
    <s v="LDN"/>
    <s v="510 MM"/>
    <s v="15-16/30-32"/>
    <s v="LDN"/>
    <n v="500"/>
    <x v="1"/>
    <n v="4"/>
    <n v="500.5"/>
    <n v="8.8000000000000007"/>
    <n v="35"/>
    <x v="0"/>
    <n v="491.7"/>
    <n v="491.7"/>
    <m/>
    <x v="0"/>
    <x v="0"/>
    <n v="0"/>
    <n v="0"/>
    <x v="0"/>
    <x v="0"/>
    <m/>
    <x v="0"/>
    <x v="0"/>
    <x v="0"/>
    <x v="0"/>
    <x v="0"/>
    <n v="0"/>
    <n v="0"/>
    <n v="0"/>
    <n v="12"/>
    <x v="1"/>
    <x v="0"/>
    <m/>
    <x v="0"/>
    <n v="505.5"/>
    <x v="0"/>
    <x v="32"/>
    <x v="15"/>
    <x v="0"/>
    <x v="0"/>
  </r>
  <r>
    <x v="0"/>
    <x v="15"/>
    <s v="3112 F"/>
    <x v="283"/>
    <s v="Usman Amin"/>
    <s v="LDN"/>
    <n v="19"/>
    <s v="12"/>
    <s v="LDN"/>
    <n v="100"/>
    <x v="1"/>
    <n v="2"/>
    <n v="112"/>
    <n v="4.8"/>
    <m/>
    <x v="0"/>
    <n v="107.2"/>
    <n v="107.2"/>
    <m/>
    <x v="0"/>
    <x v="0"/>
    <n v="0"/>
    <n v="0"/>
    <x v="0"/>
    <x v="0"/>
    <m/>
    <x v="0"/>
    <x v="0"/>
    <x v="0"/>
    <x v="0"/>
    <x v="0"/>
    <n v="0"/>
    <n v="0"/>
    <n v="0"/>
    <n v="12"/>
    <x v="1"/>
    <x v="0"/>
    <m/>
    <x v="0"/>
    <n v="117"/>
    <x v="0"/>
    <x v="32"/>
    <x v="15"/>
    <x v="0"/>
    <x v="0"/>
  </r>
  <r>
    <x v="0"/>
    <x v="15"/>
    <s v="3136 F"/>
    <x v="283"/>
    <s v="Usman Amin"/>
    <s v="LDN"/>
    <n v="17"/>
    <s v="7-7.5"/>
    <s v="LDN"/>
    <n v="54"/>
    <x v="1"/>
    <n v="3"/>
    <n v="176.5"/>
    <n v="6.3000000000000007"/>
    <m/>
    <x v="0"/>
    <n v="170.2"/>
    <n v="170.2"/>
    <m/>
    <x v="0"/>
    <x v="0"/>
    <n v="0"/>
    <n v="0"/>
    <x v="0"/>
    <x v="0"/>
    <m/>
    <x v="0"/>
    <x v="0"/>
    <x v="0"/>
    <x v="0"/>
    <x v="0"/>
    <n v="0"/>
    <n v="0"/>
    <n v="0"/>
    <n v="12"/>
    <x v="1"/>
    <x v="0"/>
    <m/>
    <x v="0"/>
    <n v="181.5"/>
    <x v="0"/>
    <x v="32"/>
    <x v="15"/>
    <x v="0"/>
    <x v="0"/>
  </r>
  <r>
    <x v="0"/>
    <x v="15"/>
    <s v="3137 F"/>
    <x v="283"/>
    <s v="Usman Amin"/>
    <s v=" LDN "/>
    <n v="20"/>
    <s v="7-7.5"/>
    <s v=" LDN "/>
    <n v="32"/>
    <x v="1"/>
    <n v="2"/>
    <n v="104"/>
    <n v="5"/>
    <m/>
    <x v="0"/>
    <n v="99"/>
    <n v="99"/>
    <m/>
    <x v="0"/>
    <x v="0"/>
    <n v="0"/>
    <n v="0"/>
    <x v="0"/>
    <x v="0"/>
    <m/>
    <x v="0"/>
    <x v="0"/>
    <x v="0"/>
    <x v="0"/>
    <x v="0"/>
    <n v="0"/>
    <n v="0"/>
    <n v="0"/>
    <n v="12"/>
    <x v="1"/>
    <x v="0"/>
    <m/>
    <x v="0"/>
    <n v="109"/>
    <x v="0"/>
    <x v="32"/>
    <x v="15"/>
    <x v="0"/>
    <x v="0"/>
  </r>
  <r>
    <x v="0"/>
    <x v="15"/>
    <s v="3139 F"/>
    <x v="283"/>
    <s v="Usman Amin"/>
    <s v="LDN"/>
    <n v="18"/>
    <s v="7-7.5"/>
    <s v="LDN"/>
    <n v="35"/>
    <x v="1"/>
    <n v="2"/>
    <n v="112.5"/>
    <n v="3.8"/>
    <m/>
    <x v="0"/>
    <n v="108.7"/>
    <n v="108.7"/>
    <m/>
    <x v="0"/>
    <x v="0"/>
    <n v="0"/>
    <n v="0"/>
    <x v="0"/>
    <x v="0"/>
    <m/>
    <x v="0"/>
    <x v="0"/>
    <x v="0"/>
    <x v="0"/>
    <x v="0"/>
    <n v="0"/>
    <n v="0"/>
    <n v="0"/>
    <n v="12"/>
    <x v="1"/>
    <x v="0"/>
    <m/>
    <x v="0"/>
    <n v="117.5"/>
    <x v="0"/>
    <x v="32"/>
    <x v="15"/>
    <x v="0"/>
    <x v="0"/>
  </r>
  <r>
    <x v="0"/>
    <x v="15"/>
    <s v="3125 F"/>
    <x v="283"/>
    <s v="Usman Amin"/>
    <s v="LDN"/>
    <n v="19"/>
    <s v="7-7.5"/>
    <s v="LDN"/>
    <n v="35"/>
    <x v="1"/>
    <n v="1"/>
    <n v="50.5"/>
    <n v="2.4"/>
    <n v="9"/>
    <x v="0"/>
    <n v="48.1"/>
    <n v="112.80000000000001"/>
    <m/>
    <x v="0"/>
    <x v="0"/>
    <n v="0"/>
    <n v="0"/>
    <x v="0"/>
    <x v="0"/>
    <m/>
    <x v="0"/>
    <x v="0"/>
    <x v="0"/>
    <x v="0"/>
    <x v="0"/>
    <n v="0"/>
    <n v="0"/>
    <n v="0"/>
    <n v="12"/>
    <x v="1"/>
    <x v="0"/>
    <m/>
    <x v="0"/>
    <n v="55.5"/>
    <x v="0"/>
    <x v="32"/>
    <x v="15"/>
    <x v="0"/>
    <x v="0"/>
  </r>
  <r>
    <x v="1"/>
    <x v="15"/>
    <s v="3125 F"/>
    <x v="283"/>
    <s v="Usman Amin"/>
    <s v="LDN"/>
    <n v="19"/>
    <s v="7-7.5"/>
    <s v="LDN"/>
    <n v="35"/>
    <x v="1"/>
    <n v="1"/>
    <n v="67"/>
    <n v="2.2999999999999998"/>
    <n v="5"/>
    <x v="0"/>
    <n v="64.7"/>
    <n v="112.80000000000001"/>
    <n v="3"/>
    <x v="0"/>
    <x v="0"/>
    <n v="3"/>
    <n v="0.05"/>
    <x v="0"/>
    <x v="0"/>
    <m/>
    <x v="0"/>
    <x v="0"/>
    <x v="0"/>
    <x v="0"/>
    <x v="0"/>
    <n v="0"/>
    <n v="0"/>
    <n v="0.05"/>
    <n v="11.95"/>
    <x v="1"/>
    <x v="0"/>
    <m/>
    <x v="0"/>
    <n v="72"/>
    <x v="0"/>
    <x v="32"/>
    <x v="15"/>
    <x v="0"/>
    <x v="0"/>
  </r>
  <r>
    <x v="1"/>
    <x v="15"/>
    <s v="3145 F"/>
    <x v="283"/>
    <s v="Usman Amin"/>
    <s v="LDN"/>
    <n v="15"/>
    <s v="12"/>
    <s v="LDN"/>
    <n v="200"/>
    <x v="1"/>
    <n v="3"/>
    <n v="210"/>
    <n v="5.2"/>
    <m/>
    <x v="0"/>
    <n v="204.8"/>
    <n v="204.8"/>
    <n v="2"/>
    <x v="0"/>
    <x v="0"/>
    <n v="2"/>
    <n v="3.3333333333333333E-2"/>
    <x v="0"/>
    <x v="0"/>
    <m/>
    <x v="0"/>
    <x v="0"/>
    <x v="0"/>
    <x v="0"/>
    <x v="0"/>
    <n v="0"/>
    <n v="0"/>
    <n v="3.3333333333333333E-2"/>
    <n v="11.966666666666667"/>
    <x v="1"/>
    <x v="0"/>
    <m/>
    <x v="0"/>
    <n v="215"/>
    <x v="0"/>
    <x v="32"/>
    <x v="15"/>
    <x v="0"/>
    <x v="0"/>
  </r>
  <r>
    <x v="1"/>
    <x v="15"/>
    <s v="3138 F"/>
    <x v="283"/>
    <s v="Usman Amin"/>
    <s v="LDN"/>
    <n v="13"/>
    <s v="7-7.5"/>
    <s v="LDN"/>
    <n v="125"/>
    <x v="1"/>
    <n v="1"/>
    <n v="35"/>
    <n v="1.6"/>
    <m/>
    <x v="0"/>
    <n v="33.4"/>
    <n v="137.69999999999999"/>
    <m/>
    <x v="0"/>
    <x v="0"/>
    <n v="0"/>
    <n v="0"/>
    <x v="0"/>
    <x v="0"/>
    <m/>
    <x v="0"/>
    <x v="0"/>
    <x v="0"/>
    <x v="0"/>
    <x v="0"/>
    <n v="0"/>
    <n v="0"/>
    <n v="0"/>
    <n v="12"/>
    <x v="1"/>
    <x v="0"/>
    <m/>
    <x v="0"/>
    <n v="40"/>
    <x v="0"/>
    <x v="32"/>
    <x v="15"/>
    <x v="0"/>
    <x v="0"/>
  </r>
  <r>
    <x v="0"/>
    <x v="8"/>
    <s v="8332 J"/>
    <x v="284"/>
    <s v="Al Shaheer Foods Corporation LTD"/>
    <s v="LDN"/>
    <n v="7.5"/>
    <s v="10.5-11"/>
    <s v="LDN"/>
    <n v="500"/>
    <x v="1"/>
    <n v="2"/>
    <n v="104"/>
    <n v="1.8"/>
    <n v="5.5676410605030595"/>
    <x v="0"/>
    <n v="102.2"/>
    <n v="481"/>
    <m/>
    <x v="0"/>
    <x v="0"/>
    <n v="0"/>
    <n v="0"/>
    <x v="0"/>
    <x v="0"/>
    <m/>
    <x v="0"/>
    <x v="0"/>
    <x v="0"/>
    <x v="0"/>
    <x v="0"/>
    <n v="0"/>
    <n v="0"/>
    <n v="0"/>
    <n v="12"/>
    <x v="1"/>
    <x v="0"/>
    <m/>
    <x v="0"/>
    <n v="109"/>
    <x v="0"/>
    <x v="32"/>
    <x v="15"/>
    <x v="0"/>
    <x v="0"/>
  </r>
  <r>
    <x v="1"/>
    <x v="8"/>
    <s v="8338 J"/>
    <x v="284"/>
    <s v="A and J Dairies Lahore"/>
    <s v="LDM"/>
    <n v="7"/>
    <s v="17-18"/>
    <s v="LDM"/>
    <n v="100"/>
    <x v="1"/>
    <n v="3"/>
    <n v="108.5"/>
    <n v="3.5999999999999996"/>
    <n v="2.0440676577794163"/>
    <x v="0"/>
    <n v="104.9"/>
    <n v="104.9"/>
    <m/>
    <x v="0"/>
    <x v="0"/>
    <n v="0"/>
    <n v="0"/>
    <x v="0"/>
    <x v="0"/>
    <m/>
    <x v="0"/>
    <x v="0"/>
    <x v="0"/>
    <x v="0"/>
    <x v="0"/>
    <n v="0"/>
    <n v="0"/>
    <n v="0"/>
    <n v="12"/>
    <x v="1"/>
    <x v="0"/>
    <m/>
    <x v="0"/>
    <n v="113.5"/>
    <x v="0"/>
    <x v="32"/>
    <x v="15"/>
    <x v="0"/>
    <x v="0"/>
  </r>
  <r>
    <x v="0"/>
    <x v="9"/>
    <s v="8333 J"/>
    <x v="284"/>
    <s v="Al Shaheer Foods Corporation LTD"/>
    <s v="LDN"/>
    <n v="11"/>
    <s v="10.5-11"/>
    <s v="LDN"/>
    <n v="1000"/>
    <x v="1"/>
    <n v="2"/>
    <n v="154"/>
    <n v="2.4"/>
    <n v="8.2443915703602997"/>
    <x v="0"/>
    <n v="151.6"/>
    <n v="647.1"/>
    <m/>
    <x v="0"/>
    <x v="0"/>
    <n v="0"/>
    <n v="0"/>
    <x v="0"/>
    <x v="0"/>
    <m/>
    <x v="0"/>
    <x v="0"/>
    <x v="0"/>
    <x v="0"/>
    <x v="0"/>
    <n v="0"/>
    <n v="0"/>
    <n v="0"/>
    <n v="12"/>
    <x v="1"/>
    <x v="0"/>
    <m/>
    <x v="0"/>
    <n v="159"/>
    <x v="0"/>
    <x v="32"/>
    <x v="15"/>
    <x v="0"/>
    <x v="0"/>
  </r>
  <r>
    <x v="0"/>
    <x v="9"/>
    <s v="8359 J"/>
    <x v="284"/>
    <s v="Chezo Cheez Lahore"/>
    <s v="LDN"/>
    <n v="11"/>
    <n v="18"/>
    <s v="LDN"/>
    <n v="100"/>
    <x v="1"/>
    <n v="1"/>
    <n v="46"/>
    <n v="1.2"/>
    <n v="2.462610469068661"/>
    <x v="0"/>
    <n v="44.8"/>
    <n v="92.9"/>
    <m/>
    <x v="0"/>
    <x v="0"/>
    <n v="0"/>
    <n v="0"/>
    <x v="0"/>
    <x v="0"/>
    <m/>
    <x v="0"/>
    <x v="0"/>
    <x v="0"/>
    <x v="0"/>
    <x v="0"/>
    <n v="0"/>
    <n v="0"/>
    <n v="0"/>
    <n v="12"/>
    <x v="1"/>
    <x v="0"/>
    <m/>
    <x v="0"/>
    <n v="51"/>
    <x v="0"/>
    <x v="32"/>
    <x v="15"/>
    <x v="0"/>
    <x v="0"/>
  </r>
  <r>
    <x v="1"/>
    <x v="9"/>
    <s v="8359 J"/>
    <x v="284"/>
    <s v="Chezo Cheez Lahore"/>
    <s v="LDN"/>
    <n v="11"/>
    <n v="18"/>
    <s v="LDN"/>
    <n v="100"/>
    <x v="1"/>
    <n v="1"/>
    <n v="49.5"/>
    <n v="1.4"/>
    <n v="0.93254699594544799"/>
    <x v="0"/>
    <n v="48.1"/>
    <n v="92.9"/>
    <m/>
    <x v="0"/>
    <x v="0"/>
    <n v="0"/>
    <n v="0"/>
    <x v="0"/>
    <x v="0"/>
    <m/>
    <x v="0"/>
    <x v="0"/>
    <x v="0"/>
    <x v="0"/>
    <x v="0"/>
    <n v="0"/>
    <n v="0"/>
    <n v="0"/>
    <n v="12"/>
    <x v="1"/>
    <x v="0"/>
    <m/>
    <x v="0"/>
    <n v="54.5"/>
    <x v="0"/>
    <x v="32"/>
    <x v="15"/>
    <x v="0"/>
    <x v="0"/>
  </r>
  <r>
    <x v="1"/>
    <x v="9"/>
    <s v="8357 J"/>
    <x v="284"/>
    <s v="Chezo Cheez Lahore"/>
    <s v="LDN"/>
    <n v="11"/>
    <n v="18"/>
    <s v="LDN"/>
    <n v="200"/>
    <x v="1"/>
    <n v="2"/>
    <n v="117"/>
    <n v="2.8"/>
    <n v="2.2042019904165135"/>
    <x v="0"/>
    <n v="114.2"/>
    <n v="199.3"/>
    <m/>
    <x v="0"/>
    <x v="0"/>
    <n v="0"/>
    <n v="0"/>
    <x v="0"/>
    <x v="0"/>
    <m/>
    <x v="0"/>
    <x v="0"/>
    <x v="0"/>
    <x v="0"/>
    <x v="0"/>
    <n v="0"/>
    <n v="0"/>
    <n v="0"/>
    <n v="12"/>
    <x v="1"/>
    <x v="0"/>
    <m/>
    <x v="0"/>
    <n v="122"/>
    <x v="0"/>
    <x v="32"/>
    <x v="15"/>
    <x v="0"/>
    <x v="0"/>
  </r>
  <r>
    <x v="0"/>
    <x v="13"/>
    <s v="STOCK"/>
    <x v="284"/>
    <s v="-"/>
    <m/>
    <n v="18"/>
    <s v="11-12"/>
    <m/>
    <m/>
    <x v="1"/>
    <n v="2"/>
    <n v="137"/>
    <n v="3.7"/>
    <n v="7.3342963970088375"/>
    <x v="0"/>
    <n v="133.30000000000001"/>
    <n v="2156.44"/>
    <m/>
    <x v="0"/>
    <x v="0"/>
    <n v="0"/>
    <n v="0"/>
    <x v="0"/>
    <x v="0"/>
    <m/>
    <x v="0"/>
    <x v="0"/>
    <x v="0"/>
    <x v="0"/>
    <x v="0"/>
    <n v="0"/>
    <n v="0"/>
    <n v="0"/>
    <n v="12"/>
    <x v="1"/>
    <x v="0"/>
    <m/>
    <x v="0"/>
    <n v="142"/>
    <x v="0"/>
    <x v="32"/>
    <x v="15"/>
    <x v="0"/>
    <x v="0"/>
  </r>
  <r>
    <x v="0"/>
    <x v="13"/>
    <s v="8171 J"/>
    <x v="284"/>
    <s v="Alam Printers Butkhela"/>
    <s v="LD ڈارک مہرون"/>
    <n v="20"/>
    <s v="15-16"/>
    <s v="LDM"/>
    <n v="500"/>
    <x v="1"/>
    <n v="1"/>
    <n v="89"/>
    <n v="2"/>
    <n v="4.7646159075458874"/>
    <x v="0"/>
    <n v="87"/>
    <n v="609"/>
    <m/>
    <x v="0"/>
    <x v="0"/>
    <n v="0"/>
    <n v="0"/>
    <x v="0"/>
    <x v="0"/>
    <m/>
    <x v="0"/>
    <x v="0"/>
    <x v="0"/>
    <x v="0"/>
    <x v="0"/>
    <n v="0"/>
    <n v="0"/>
    <n v="0"/>
    <n v="12"/>
    <x v="1"/>
    <x v="0"/>
    <m/>
    <x v="0"/>
    <n v="94"/>
    <x v="0"/>
    <x v="32"/>
    <x v="15"/>
    <x v="0"/>
    <x v="0"/>
  </r>
  <r>
    <x v="1"/>
    <x v="13"/>
    <s v="8171 J"/>
    <x v="284"/>
    <s v="Alam Printers Butkhela"/>
    <s v="LD ڈارک مہرون"/>
    <n v="20"/>
    <s v="15-16"/>
    <s v="LDM"/>
    <n v="500"/>
    <x v="1"/>
    <n v="5"/>
    <n v="434.5"/>
    <n v="10"/>
    <n v="8.1856902977433759"/>
    <x v="0"/>
    <n v="424.5"/>
    <n v="609"/>
    <m/>
    <x v="0"/>
    <x v="0"/>
    <n v="0"/>
    <n v="0"/>
    <x v="0"/>
    <x v="0"/>
    <m/>
    <x v="0"/>
    <x v="0"/>
    <x v="0"/>
    <x v="0"/>
    <x v="0"/>
    <n v="0"/>
    <n v="0"/>
    <n v="0"/>
    <n v="12"/>
    <x v="1"/>
    <x v="0"/>
    <m/>
    <x v="0"/>
    <n v="439.5"/>
    <x v="0"/>
    <x v="32"/>
    <x v="15"/>
    <x v="0"/>
    <x v="0"/>
  </r>
  <r>
    <x v="0"/>
    <x v="11"/>
    <s v="3038 F"/>
    <x v="284"/>
    <s v="Usman Amin"/>
    <s v="LDN"/>
    <n v="18"/>
    <s v="5-5.5"/>
    <s v="LDN"/>
    <n v="500"/>
    <x v="1"/>
    <n v="4"/>
    <n v="329"/>
    <n v="6.8"/>
    <n v="17.613018354860639"/>
    <x v="0"/>
    <n v="322.2"/>
    <n v="1269.4000000000001"/>
    <m/>
    <x v="0"/>
    <x v="0"/>
    <n v="0"/>
    <n v="0"/>
    <x v="0"/>
    <x v="0"/>
    <m/>
    <x v="0"/>
    <x v="9"/>
    <x v="0"/>
    <x v="0"/>
    <x v="0"/>
    <n v="240"/>
    <n v="4"/>
    <n v="4"/>
    <n v="8"/>
    <x v="1"/>
    <x v="0"/>
    <m/>
    <x v="0"/>
    <n v="334"/>
    <x v="0"/>
    <x v="32"/>
    <x v="15"/>
    <x v="0"/>
    <x v="0"/>
  </r>
  <r>
    <x v="1"/>
    <x v="11"/>
    <s v="3038 F"/>
    <x v="284"/>
    <s v="Usman Amin"/>
    <s v="LDN"/>
    <n v="18"/>
    <s v="5-5.5"/>
    <s v="LDN"/>
    <n v="500"/>
    <x v="1"/>
    <n v="3"/>
    <n v="243"/>
    <n v="5.5"/>
    <n v="4.5779579800958352"/>
    <x v="0"/>
    <n v="237.5"/>
    <n v="1269.4000000000001"/>
    <m/>
    <x v="0"/>
    <x v="0"/>
    <n v="0"/>
    <n v="0"/>
    <x v="0"/>
    <x v="0"/>
    <m/>
    <x v="0"/>
    <x v="0"/>
    <x v="0"/>
    <x v="0"/>
    <x v="0"/>
    <n v="0"/>
    <n v="0"/>
    <n v="0"/>
    <n v="12"/>
    <x v="1"/>
    <x v="0"/>
    <m/>
    <x v="0"/>
    <n v="248"/>
    <x v="0"/>
    <x v="32"/>
    <x v="15"/>
    <x v="0"/>
    <x v="0"/>
  </r>
  <r>
    <x v="0"/>
    <x v="12"/>
    <s v="2868/1"/>
    <x v="284"/>
    <s v="AGRI TRADE (SOP) LAMINATION"/>
    <s v="LDN"/>
    <s v="24-24.5"/>
    <s v="60±3"/>
    <s v="AA"/>
    <n v="13620"/>
    <x v="1"/>
    <n v="4"/>
    <n v="533.5"/>
    <n v="11.6"/>
    <n v="28.56092794017675"/>
    <x v="0"/>
    <n v="521.9"/>
    <n v="14026.099999999999"/>
    <m/>
    <x v="0"/>
    <x v="0"/>
    <n v="0"/>
    <n v="0"/>
    <x v="0"/>
    <x v="0"/>
    <m/>
    <x v="0"/>
    <x v="0"/>
    <x v="0"/>
    <x v="0"/>
    <x v="0"/>
    <n v="0"/>
    <n v="0"/>
    <n v="0"/>
    <n v="12"/>
    <x v="1"/>
    <x v="0"/>
    <m/>
    <x v="0"/>
    <n v="538.5"/>
    <x v="0"/>
    <x v="32"/>
    <x v="15"/>
    <x v="0"/>
    <x v="0"/>
  </r>
  <r>
    <x v="1"/>
    <x v="12"/>
    <s v="2868/1"/>
    <x v="284"/>
    <s v="AGRI TRADE (SOP) LAMINATION"/>
    <s v="LDN"/>
    <s v="24-24.5"/>
    <s v="60±3"/>
    <s v="AA"/>
    <n v="13620"/>
    <x v="1"/>
    <n v="3"/>
    <n v="467.7"/>
    <n v="8.6999999999999993"/>
    <n v="8.8111561616906258"/>
    <x v="0"/>
    <n v="459"/>
    <n v="14026.099999999999"/>
    <m/>
    <x v="0"/>
    <x v="0"/>
    <n v="0"/>
    <n v="0"/>
    <x v="0"/>
    <x v="0"/>
    <m/>
    <x v="0"/>
    <x v="0"/>
    <x v="0"/>
    <x v="0"/>
    <x v="0"/>
    <n v="0"/>
    <n v="0"/>
    <n v="0"/>
    <n v="12"/>
    <x v="1"/>
    <x v="0"/>
    <m/>
    <x v="0"/>
    <n v="472.7"/>
    <x v="0"/>
    <x v="32"/>
    <x v="15"/>
    <x v="0"/>
    <x v="0"/>
  </r>
  <r>
    <x v="0"/>
    <x v="14"/>
    <s v="8269 J"/>
    <x v="284"/>
    <s v="Golden Chemical Faisalbad"/>
    <s v="LDN"/>
    <s v="510 MM"/>
    <s v="15-16/30-32"/>
    <s v="LDN"/>
    <n v="1000"/>
    <x v="1"/>
    <n v="4"/>
    <n v="375.5"/>
    <n v="10"/>
    <n v="20.102396329027872"/>
    <x v="0"/>
    <n v="365.5"/>
    <n v="1014.7"/>
    <m/>
    <x v="0"/>
    <x v="0"/>
    <n v="0"/>
    <n v="0"/>
    <x v="0"/>
    <x v="0"/>
    <m/>
    <x v="0"/>
    <x v="0"/>
    <x v="0"/>
    <x v="0"/>
    <x v="0"/>
    <n v="0"/>
    <n v="0"/>
    <n v="0"/>
    <n v="12"/>
    <x v="1"/>
    <x v="0"/>
    <m/>
    <x v="0"/>
    <n v="380.5"/>
    <x v="0"/>
    <x v="32"/>
    <x v="15"/>
    <x v="0"/>
    <x v="0"/>
  </r>
  <r>
    <x v="0"/>
    <x v="14"/>
    <s v="2877/1"/>
    <x v="284"/>
    <s v="AKHTAR M CHAMAN (PT-02)"/>
    <s v="LDN"/>
    <s v="7+3+3"/>
    <s v="120 گرام"/>
    <s v="SL"/>
    <n v="625"/>
    <x v="1"/>
    <n v="5"/>
    <n v="188.6"/>
    <n v="5"/>
    <n v="10.096702923181509"/>
    <x v="0"/>
    <n v="183.6"/>
    <n v="693.1"/>
    <m/>
    <x v="0"/>
    <x v="0"/>
    <n v="0"/>
    <n v="0"/>
    <x v="0"/>
    <x v="0"/>
    <m/>
    <x v="0"/>
    <x v="0"/>
    <x v="0"/>
    <x v="0"/>
    <x v="0"/>
    <n v="0"/>
    <n v="0"/>
    <n v="0"/>
    <n v="12"/>
    <x v="1"/>
    <x v="0"/>
    <m/>
    <x v="0"/>
    <n v="193.6"/>
    <x v="0"/>
    <x v="32"/>
    <x v="15"/>
    <x v="0"/>
    <x v="0"/>
  </r>
  <r>
    <x v="1"/>
    <x v="14"/>
    <s v="2877/1"/>
    <x v="284"/>
    <s v="AKHTAR M CHAMAN (PT-02)"/>
    <s v="LDN"/>
    <s v="7+3+3"/>
    <s v="120 گرام"/>
    <s v="SL"/>
    <n v="625"/>
    <x v="1"/>
    <n v="12"/>
    <n v="361"/>
    <n v="12"/>
    <n v="6.8009993037637724"/>
    <x v="0"/>
    <n v="349"/>
    <n v="693.1"/>
    <m/>
    <x v="0"/>
    <x v="0"/>
    <n v="0"/>
    <n v="0"/>
    <x v="0"/>
    <x v="0"/>
    <m/>
    <x v="0"/>
    <x v="0"/>
    <x v="0"/>
    <x v="0"/>
    <x v="0"/>
    <n v="0"/>
    <n v="0"/>
    <n v="0"/>
    <n v="12"/>
    <x v="1"/>
    <x v="0"/>
    <m/>
    <x v="0"/>
    <n v="366"/>
    <x v="0"/>
    <x v="32"/>
    <x v="15"/>
    <x v="0"/>
    <x v="0"/>
  </r>
  <r>
    <x v="1"/>
    <x v="14"/>
    <s v="2877/1"/>
    <x v="284"/>
    <s v="AKHTAR M CHAMAN (PT-02)"/>
    <s v="LDN"/>
    <s v="7+3+3"/>
    <s v="120 گرام"/>
    <s v="SL"/>
    <n v="625"/>
    <x v="1"/>
    <n v="5"/>
    <n v="165.5"/>
    <n v="5"/>
    <n v="3.1179096531105381"/>
    <x v="0"/>
    <n v="160.5"/>
    <n v="693.1"/>
    <m/>
    <x v="0"/>
    <x v="0"/>
    <n v="0"/>
    <n v="0"/>
    <x v="0"/>
    <x v="0"/>
    <m/>
    <x v="0"/>
    <x v="0"/>
    <x v="0"/>
    <x v="0"/>
    <x v="0"/>
    <n v="0"/>
    <n v="0"/>
    <n v="0"/>
    <n v="12"/>
    <x v="1"/>
    <x v="0"/>
    <m/>
    <x v="0"/>
    <n v="170.5"/>
    <x v="0"/>
    <x v="32"/>
    <x v="15"/>
    <x v="0"/>
    <x v="0"/>
  </r>
  <r>
    <x v="0"/>
    <x v="15"/>
    <s v="3138 F"/>
    <x v="284"/>
    <s v="Usman Amin"/>
    <s v="LDN"/>
    <n v="13"/>
    <s v="7-7.5"/>
    <s v="LDN"/>
    <n v="125"/>
    <x v="1"/>
    <n v="2"/>
    <n v="107.5"/>
    <n v="3.2"/>
    <n v="5.7550135961930664"/>
    <x v="0"/>
    <n v="104.3"/>
    <n v="137.69999999999999"/>
    <m/>
    <x v="0"/>
    <x v="0"/>
    <n v="0"/>
    <n v="0"/>
    <x v="0"/>
    <x v="0"/>
    <m/>
    <x v="0"/>
    <x v="0"/>
    <x v="0"/>
    <x v="0"/>
    <x v="0"/>
    <n v="0"/>
    <n v="0"/>
    <n v="0"/>
    <n v="12"/>
    <x v="1"/>
    <x v="0"/>
    <m/>
    <x v="0"/>
    <n v="112.5"/>
    <x v="0"/>
    <x v="32"/>
    <x v="15"/>
    <x v="0"/>
    <x v="0"/>
  </r>
  <r>
    <x v="0"/>
    <x v="15"/>
    <s v="8298 J"/>
    <x v="284"/>
    <s v="Usman Arif Butt Gujranwala"/>
    <s v="LDN"/>
    <n v="27"/>
    <s v="4-4.5"/>
    <s v="LDN"/>
    <n v="250"/>
    <x v="1"/>
    <n v="4"/>
    <n v="172.5"/>
    <n v="10.8"/>
    <n v="9.2347892590074778"/>
    <x v="0"/>
    <n v="161.69999999999999"/>
    <n v="412.2"/>
    <m/>
    <x v="0"/>
    <x v="0"/>
    <n v="0"/>
    <n v="0"/>
    <x v="0"/>
    <x v="0"/>
    <m/>
    <x v="0"/>
    <x v="0"/>
    <x v="0"/>
    <x v="0"/>
    <x v="0"/>
    <n v="0"/>
    <n v="0"/>
    <n v="0"/>
    <n v="12"/>
    <x v="1"/>
    <x v="0"/>
    <m/>
    <x v="0"/>
    <n v="177.5"/>
    <x v="0"/>
    <x v="32"/>
    <x v="15"/>
    <x v="0"/>
    <x v="0"/>
  </r>
  <r>
    <x v="0"/>
    <x v="15"/>
    <s v="8385 J"/>
    <x v="284"/>
    <s v="Mehboob Printers Gujranwala"/>
    <s v="LDN"/>
    <n v="22"/>
    <s v="8.5-9"/>
    <s v="LDN"/>
    <n v="100"/>
    <x v="1"/>
    <n v="2"/>
    <n v="117"/>
    <n v="4.4000000000000004"/>
    <n v="6.2635961930659416"/>
    <x v="0"/>
    <n v="112.6"/>
    <n v="112.6"/>
    <m/>
    <x v="0"/>
    <x v="0"/>
    <n v="0"/>
    <n v="0"/>
    <x v="0"/>
    <x v="0"/>
    <m/>
    <x v="0"/>
    <x v="0"/>
    <x v="0"/>
    <x v="0"/>
    <x v="0"/>
    <n v="0"/>
    <n v="0"/>
    <n v="0"/>
    <n v="12"/>
    <x v="1"/>
    <x v="0"/>
    <m/>
    <x v="0"/>
    <n v="122"/>
    <x v="0"/>
    <x v="32"/>
    <x v="15"/>
    <x v="0"/>
    <x v="0"/>
  </r>
  <r>
    <x v="1"/>
    <x v="15"/>
    <s v="8404 J"/>
    <x v="284"/>
    <s v="Atlas Honda LTD (SKP)"/>
    <s v="LDN"/>
    <n v="22"/>
    <s v="12.5-13"/>
    <s v="LDN"/>
    <n v="24.973290598290596"/>
    <x v="1"/>
    <n v="3"/>
    <n v="204.5"/>
    <n v="7.7"/>
    <n v="3.8526436499160424"/>
    <x v="0"/>
    <n v="196.8"/>
    <n v="196.8"/>
    <m/>
    <x v="0"/>
    <x v="0"/>
    <n v="0"/>
    <n v="0"/>
    <x v="0"/>
    <x v="0"/>
    <m/>
    <x v="0"/>
    <x v="0"/>
    <x v="0"/>
    <x v="0"/>
    <x v="0"/>
    <n v="0"/>
    <n v="0"/>
    <n v="0"/>
    <n v="12"/>
    <x v="1"/>
    <x v="0"/>
    <m/>
    <x v="0"/>
    <n v="209.5"/>
    <x v="0"/>
    <x v="32"/>
    <x v="15"/>
    <x v="0"/>
    <x v="0"/>
  </r>
  <r>
    <x v="1"/>
    <x v="15"/>
    <s v="8405 J"/>
    <x v="284"/>
    <s v="Atlas Honda LTD (SKP)"/>
    <s v="LDN"/>
    <n v="22"/>
    <s v="12.5-13"/>
    <s v="LDN"/>
    <n v="437.03258547008551"/>
    <x v="1"/>
    <n v="2"/>
    <n v="120.5"/>
    <n v="5.2"/>
    <n v="2.2701396567964944"/>
    <x v="0"/>
    <n v="115.3"/>
    <n v="115.3"/>
    <m/>
    <x v="0"/>
    <x v="0"/>
    <n v="0"/>
    <n v="0"/>
    <x v="0"/>
    <x v="0"/>
    <m/>
    <x v="0"/>
    <x v="0"/>
    <x v="0"/>
    <x v="0"/>
    <x v="0"/>
    <n v="0"/>
    <n v="0"/>
    <n v="0"/>
    <n v="12"/>
    <x v="1"/>
    <x v="0"/>
    <m/>
    <x v="0"/>
    <n v="125.5"/>
    <x v="0"/>
    <x v="32"/>
    <x v="15"/>
    <x v="0"/>
    <x v="0"/>
  </r>
  <r>
    <x v="1"/>
    <x v="15"/>
    <s v="8353 J"/>
    <x v="284"/>
    <s v="Allied Impex Sialkot"/>
    <s v="LDN"/>
    <n v="30"/>
    <n v="10"/>
    <s v="LDN"/>
    <n v="300"/>
    <x v="1"/>
    <n v="2"/>
    <n v="170"/>
    <n v="6.6"/>
    <n v="3.2026866527419426"/>
    <x v="0"/>
    <n v="163.4"/>
    <n v="303.89999999999998"/>
    <m/>
    <x v="0"/>
    <x v="0"/>
    <n v="0"/>
    <n v="0"/>
    <x v="0"/>
    <x v="0"/>
    <m/>
    <x v="0"/>
    <x v="0"/>
    <x v="0"/>
    <x v="0"/>
    <x v="0"/>
    <n v="0"/>
    <n v="0"/>
    <n v="0"/>
    <n v="12"/>
    <x v="1"/>
    <x v="0"/>
    <m/>
    <x v="0"/>
    <n v="175"/>
    <x v="0"/>
    <x v="32"/>
    <x v="15"/>
    <x v="0"/>
    <x v="0"/>
  </r>
  <r>
    <x v="0"/>
    <x v="8"/>
    <s v="8418 J"/>
    <x v="285"/>
    <s v="Javed Enterprises Gujranwala"/>
    <s v="LDN"/>
    <n v="10"/>
    <s v="20-20.5"/>
    <s v="LDN"/>
    <n v="300"/>
    <x v="1"/>
    <n v="4"/>
    <n v="237.5"/>
    <n v="5.4"/>
    <n v="3.9583333333333335"/>
    <x v="0"/>
    <n v="232.1"/>
    <n v="291.8"/>
    <m/>
    <x v="0"/>
    <x v="0"/>
    <n v="0"/>
    <n v="0"/>
    <x v="0"/>
    <x v="0"/>
    <m/>
    <x v="0"/>
    <x v="0"/>
    <x v="0"/>
    <x v="0"/>
    <x v="0"/>
    <n v="0"/>
    <n v="0"/>
    <n v="0"/>
    <n v="12"/>
    <x v="1"/>
    <x v="0"/>
    <m/>
    <x v="0"/>
    <n v="242.5"/>
    <x v="0"/>
    <x v="32"/>
    <x v="15"/>
    <x v="0"/>
    <x v="0"/>
  </r>
  <r>
    <x v="1"/>
    <x v="8"/>
    <s v="8418 J"/>
    <x v="285"/>
    <s v="Javed Enterprises Gujranwala"/>
    <s v="LDN"/>
    <n v="10"/>
    <s v="20-20.5"/>
    <s v="LDN"/>
    <n v="300"/>
    <x v="1"/>
    <n v="1"/>
    <n v="61"/>
    <n v="1.3"/>
    <n v="1.4927460234224785"/>
    <x v="0"/>
    <n v="59.7"/>
    <n v="291.8"/>
    <m/>
    <x v="0"/>
    <x v="0"/>
    <n v="0"/>
    <n v="0"/>
    <x v="0"/>
    <x v="0"/>
    <m/>
    <x v="0"/>
    <x v="0"/>
    <x v="0"/>
    <x v="0"/>
    <x v="0"/>
    <n v="0"/>
    <n v="0"/>
    <n v="0"/>
    <n v="12"/>
    <x v="1"/>
    <x v="0"/>
    <m/>
    <x v="0"/>
    <n v="66"/>
    <x v="0"/>
    <x v="32"/>
    <x v="15"/>
    <x v="0"/>
    <x v="0"/>
  </r>
  <r>
    <x v="1"/>
    <x v="8"/>
    <s v="8422 J"/>
    <x v="285"/>
    <s v="Javed Enterprises Gujranwala"/>
    <s v="LDN"/>
    <n v="10"/>
    <s v="20-21"/>
    <s v="LDN"/>
    <n v="300"/>
    <x v="1"/>
    <n v="2"/>
    <n v="124.5"/>
    <n v="2.4"/>
    <n v="3.0466701625589931"/>
    <x v="0"/>
    <n v="122.1"/>
    <n v="468.79999999999995"/>
    <m/>
    <x v="0"/>
    <x v="0"/>
    <n v="0"/>
    <n v="0"/>
    <x v="0"/>
    <x v="0"/>
    <m/>
    <x v="0"/>
    <x v="0"/>
    <x v="0"/>
    <x v="0"/>
    <x v="0"/>
    <n v="0"/>
    <n v="0"/>
    <n v="0"/>
    <n v="12"/>
    <x v="1"/>
    <x v="0"/>
    <m/>
    <x v="0"/>
    <n v="129.5"/>
    <x v="0"/>
    <x v="32"/>
    <x v="15"/>
    <x v="0"/>
    <x v="0"/>
  </r>
  <r>
    <x v="0"/>
    <x v="9"/>
    <s v="8357 J"/>
    <x v="285"/>
    <s v="Chezo Cheez Lahore"/>
    <s v="LDN"/>
    <n v="11"/>
    <n v="18"/>
    <s v="LDN"/>
    <n v="200"/>
    <x v="1"/>
    <n v="1"/>
    <n v="86.5"/>
    <n v="1.4"/>
    <n v="1.4416666666666667"/>
    <x v="0"/>
    <n v="85.1"/>
    <n v="199.3"/>
    <m/>
    <x v="0"/>
    <x v="0"/>
    <n v="0"/>
    <n v="0"/>
    <x v="0"/>
    <x v="0"/>
    <m/>
    <x v="0"/>
    <x v="0"/>
    <x v="0"/>
    <x v="0"/>
    <x v="0"/>
    <n v="0"/>
    <n v="0"/>
    <n v="0"/>
    <n v="12"/>
    <x v="1"/>
    <x v="0"/>
    <m/>
    <x v="0"/>
    <n v="91.5"/>
    <x v="0"/>
    <x v="32"/>
    <x v="15"/>
    <x v="0"/>
    <x v="0"/>
  </r>
  <r>
    <x v="0"/>
    <x v="9"/>
    <s v="8358 J"/>
    <x v="285"/>
    <s v="Chezo Cheez Lahore"/>
    <s v="LDN"/>
    <n v="11"/>
    <n v="18"/>
    <s v="LDN"/>
    <n v="100"/>
    <x v="1"/>
    <n v="2"/>
    <n v="102.1"/>
    <n v="2.8"/>
    <n v="1.7016666666666664"/>
    <x v="0"/>
    <n v="99.3"/>
    <n v="159.5"/>
    <m/>
    <x v="0"/>
    <x v="0"/>
    <n v="0"/>
    <n v="0"/>
    <x v="0"/>
    <x v="0"/>
    <m/>
    <x v="0"/>
    <x v="0"/>
    <x v="0"/>
    <x v="0"/>
    <x v="0"/>
    <n v="0"/>
    <n v="0"/>
    <n v="0"/>
    <n v="12"/>
    <x v="1"/>
    <x v="0"/>
    <m/>
    <x v="0"/>
    <n v="107.1"/>
    <x v="0"/>
    <x v="32"/>
    <x v="15"/>
    <x v="0"/>
    <x v="0"/>
  </r>
  <r>
    <x v="1"/>
    <x v="9"/>
    <s v="8358 J"/>
    <x v="285"/>
    <s v="Chezo Cheez Lahore"/>
    <s v="LDN"/>
    <n v="11"/>
    <n v="18"/>
    <s v="LDN"/>
    <n v="100"/>
    <x v="1"/>
    <n v="1"/>
    <n v="61.5"/>
    <n v="1.3"/>
    <n v="1.5049816465652857"/>
    <x v="0"/>
    <n v="60.2"/>
    <n v="159.5"/>
    <m/>
    <x v="0"/>
    <x v="0"/>
    <n v="0"/>
    <n v="0"/>
    <x v="0"/>
    <x v="0"/>
    <m/>
    <x v="0"/>
    <x v="0"/>
    <x v="0"/>
    <x v="0"/>
    <x v="0"/>
    <n v="0"/>
    <n v="0"/>
    <n v="0"/>
    <n v="12"/>
    <x v="1"/>
    <x v="0"/>
    <m/>
    <x v="0"/>
    <n v="66.5"/>
    <x v="0"/>
    <x v="32"/>
    <x v="15"/>
    <x v="0"/>
    <x v="0"/>
  </r>
  <r>
    <x v="1"/>
    <x v="9"/>
    <s v="8427 J"/>
    <x v="285"/>
    <s v="Chezo Cheez Lahore"/>
    <s v="LDN"/>
    <n v="11"/>
    <n v="18"/>
    <s v="LDN"/>
    <n v="100"/>
    <x v="1"/>
    <n v="2"/>
    <n v="102.5"/>
    <n v="2.6"/>
    <n v="2.5083027442754764"/>
    <x v="0"/>
    <n v="99.9"/>
    <n v="99.9"/>
    <m/>
    <x v="0"/>
    <x v="0"/>
    <n v="0"/>
    <n v="0"/>
    <x v="0"/>
    <x v="0"/>
    <m/>
    <x v="0"/>
    <x v="0"/>
    <x v="0"/>
    <x v="0"/>
    <x v="0"/>
    <n v="0"/>
    <n v="0"/>
    <n v="0"/>
    <n v="12"/>
    <x v="1"/>
    <x v="0"/>
    <m/>
    <x v="0"/>
    <n v="107.5"/>
    <x v="0"/>
    <x v="32"/>
    <x v="15"/>
    <x v="0"/>
    <x v="0"/>
  </r>
  <r>
    <x v="0"/>
    <x v="11"/>
    <s v="THANK YOU"/>
    <x v="285"/>
    <s v="-"/>
    <m/>
    <n v="18"/>
    <s v="12-13"/>
    <m/>
    <m/>
    <x v="1"/>
    <n v="2"/>
    <n v="137.5"/>
    <n v="5.6"/>
    <n v="2.2916666666666665"/>
    <x v="0"/>
    <n v="131.9"/>
    <n v="172.10000000000002"/>
    <m/>
    <x v="0"/>
    <x v="0"/>
    <n v="0"/>
    <n v="0"/>
    <x v="0"/>
    <x v="0"/>
    <m/>
    <x v="0"/>
    <x v="0"/>
    <x v="0"/>
    <x v="0"/>
    <x v="0"/>
    <n v="0"/>
    <n v="0"/>
    <n v="0"/>
    <n v="12"/>
    <x v="1"/>
    <x v="0"/>
    <m/>
    <x v="0"/>
    <n v="142.5"/>
    <x v="0"/>
    <x v="32"/>
    <x v="15"/>
    <x v="0"/>
    <x v="0"/>
  </r>
  <r>
    <x v="0"/>
    <x v="11"/>
    <s v="8337 J"/>
    <x v="285"/>
    <s v="Nawab Jilani Plastic Layyah"/>
    <s v="LDM"/>
    <s v="12+3+3"/>
    <s v="8-8.5/16-17"/>
    <s v="LDM"/>
    <n v="125"/>
    <x v="1"/>
    <n v="3"/>
    <n v="145.5"/>
    <n v="4.5"/>
    <n v="2.4249999999999998"/>
    <x v="0"/>
    <n v="141"/>
    <n v="161.80000000000001"/>
    <m/>
    <x v="0"/>
    <x v="0"/>
    <n v="0"/>
    <n v="0"/>
    <x v="0"/>
    <x v="0"/>
    <m/>
    <x v="0"/>
    <x v="0"/>
    <x v="0"/>
    <x v="0"/>
    <x v="0"/>
    <n v="0"/>
    <n v="0"/>
    <n v="0"/>
    <n v="12"/>
    <x v="1"/>
    <x v="0"/>
    <m/>
    <x v="0"/>
    <n v="150.5"/>
    <x v="0"/>
    <x v="32"/>
    <x v="15"/>
    <x v="0"/>
    <x v="0"/>
  </r>
  <r>
    <x v="0"/>
    <x v="11"/>
    <s v="8171 J"/>
    <x v="285"/>
    <s v="Alam Printers Butkhela"/>
    <s v="LD ڈارک مہرون"/>
    <n v="20"/>
    <s v="15-16"/>
    <s v="LDM"/>
    <n v="500"/>
    <x v="1"/>
    <n v="1"/>
    <n v="99.5"/>
    <n v="2"/>
    <n v="1.6583333333333332"/>
    <x v="0"/>
    <n v="97.5"/>
    <n v="609"/>
    <m/>
    <x v="0"/>
    <x v="0"/>
    <n v="0"/>
    <n v="0"/>
    <x v="0"/>
    <x v="0"/>
    <m/>
    <x v="0"/>
    <x v="0"/>
    <x v="0"/>
    <x v="0"/>
    <x v="0"/>
    <n v="0"/>
    <n v="0"/>
    <n v="0"/>
    <n v="12"/>
    <x v="1"/>
    <x v="0"/>
    <m/>
    <x v="0"/>
    <n v="104.5"/>
    <x v="0"/>
    <x v="32"/>
    <x v="15"/>
    <x v="0"/>
    <x v="0"/>
  </r>
  <r>
    <x v="1"/>
    <x v="11"/>
    <s v="8343 J"/>
    <x v="285"/>
    <s v="Raja Shoes Lahore"/>
    <s v="LDM"/>
    <s v="9+2.5+2.5"/>
    <s v="4.75-5.25/9.5-10.5"/>
    <s v="LDM"/>
    <n v="1400"/>
    <x v="1"/>
    <n v="6"/>
    <n v="320.5"/>
    <n v="6"/>
    <n v="7.8430344345394163"/>
    <x v="0"/>
    <n v="314.5"/>
    <n v="1371.02"/>
    <m/>
    <x v="0"/>
    <x v="0"/>
    <n v="0"/>
    <n v="0"/>
    <x v="0"/>
    <x v="0"/>
    <m/>
    <x v="0"/>
    <x v="0"/>
    <x v="0"/>
    <x v="0"/>
    <x v="0"/>
    <n v="0"/>
    <n v="0"/>
    <n v="0"/>
    <n v="12"/>
    <x v="1"/>
    <x v="0"/>
    <m/>
    <x v="0"/>
    <n v="325.5"/>
    <x v="0"/>
    <x v="32"/>
    <x v="15"/>
    <x v="0"/>
    <x v="0"/>
  </r>
  <r>
    <x v="0"/>
    <x v="13"/>
    <s v="3038 F"/>
    <x v="285"/>
    <s v="Usman Amin"/>
    <s v="LDN"/>
    <n v="18"/>
    <s v="5-5.5"/>
    <s v="LDN"/>
    <n v="500"/>
    <x v="1"/>
    <n v="2"/>
    <n v="121"/>
    <n v="4.3"/>
    <n v="2.0166666666666666"/>
    <x v="0"/>
    <n v="116.7"/>
    <n v="1269.4000000000001"/>
    <m/>
    <x v="0"/>
    <x v="0"/>
    <n v="0"/>
    <n v="0"/>
    <x v="0"/>
    <x v="0"/>
    <m/>
    <x v="0"/>
    <x v="0"/>
    <x v="0"/>
    <x v="0"/>
    <x v="0"/>
    <n v="0"/>
    <n v="0"/>
    <n v="0"/>
    <n v="12"/>
    <x v="1"/>
    <x v="0"/>
    <m/>
    <x v="0"/>
    <n v="126"/>
    <x v="0"/>
    <x v="32"/>
    <x v="15"/>
    <x v="0"/>
    <x v="0"/>
  </r>
  <r>
    <x v="0"/>
    <x v="13"/>
    <s v="3039 F"/>
    <x v="285"/>
    <s v="Usman Amin"/>
    <s v="LDN"/>
    <n v="18"/>
    <s v="5-5.5"/>
    <s v="LDN"/>
    <n v="500"/>
    <x v="1"/>
    <n v="2"/>
    <n v="154"/>
    <n v="5.2"/>
    <n v="2.5666666666666664"/>
    <x v="0"/>
    <n v="148.80000000000001"/>
    <n v="517.79999999999995"/>
    <m/>
    <x v="0"/>
    <x v="0"/>
    <n v="0"/>
    <n v="0"/>
    <x v="0"/>
    <x v="0"/>
    <m/>
    <x v="0"/>
    <x v="0"/>
    <x v="0"/>
    <x v="0"/>
    <x v="0"/>
    <n v="0"/>
    <n v="0"/>
    <n v="0"/>
    <n v="12"/>
    <x v="1"/>
    <x v="0"/>
    <m/>
    <x v="0"/>
    <n v="159"/>
    <x v="0"/>
    <x v="32"/>
    <x v="15"/>
    <x v="0"/>
    <x v="0"/>
  </r>
  <r>
    <x v="1"/>
    <x v="13"/>
    <s v="3039 F"/>
    <x v="285"/>
    <s v="Usman Amin"/>
    <s v="LDN"/>
    <n v="18"/>
    <s v="5-5.5"/>
    <s v="LDN"/>
    <n v="500"/>
    <x v="1"/>
    <n v="4"/>
    <n v="299.5"/>
    <n v="8.7999999999999989"/>
    <n v="7.3291382625415133"/>
    <x v="0"/>
    <n v="290.7"/>
    <n v="517.79999999999995"/>
    <m/>
    <x v="0"/>
    <x v="0"/>
    <n v="0"/>
    <n v="0"/>
    <x v="0"/>
    <x v="0"/>
    <m/>
    <x v="0"/>
    <x v="0"/>
    <x v="0"/>
    <x v="0"/>
    <x v="0"/>
    <n v="0"/>
    <n v="0"/>
    <n v="0"/>
    <n v="12"/>
    <x v="1"/>
    <x v="0"/>
    <m/>
    <x v="0"/>
    <n v="304.5"/>
    <x v="0"/>
    <x v="32"/>
    <x v="15"/>
    <x v="0"/>
    <x v="0"/>
  </r>
  <r>
    <x v="0"/>
    <x v="12"/>
    <s v="2868/1"/>
    <x v="285"/>
    <s v="AGRI TRADE (SOP) LAMINATION"/>
    <s v="LDN"/>
    <s v="24-24.5"/>
    <s v="60±3"/>
    <s v="AA"/>
    <n v="13620"/>
    <x v="1"/>
    <n v="5"/>
    <n v="623"/>
    <n v="11.6"/>
    <n v="10.383333333333333"/>
    <x v="0"/>
    <n v="611.4"/>
    <n v="14026.099999999999"/>
    <m/>
    <x v="0"/>
    <x v="0"/>
    <n v="0"/>
    <n v="0"/>
    <x v="0"/>
    <x v="0"/>
    <m/>
    <x v="0"/>
    <x v="0"/>
    <x v="0"/>
    <x v="0"/>
    <x v="0"/>
    <n v="0"/>
    <n v="0"/>
    <n v="0"/>
    <n v="12"/>
    <x v="1"/>
    <x v="0"/>
    <m/>
    <x v="0"/>
    <n v="628"/>
    <x v="0"/>
    <x v="32"/>
    <x v="15"/>
    <x v="0"/>
    <x v="0"/>
  </r>
  <r>
    <x v="1"/>
    <x v="12"/>
    <s v="2868/1"/>
    <x v="285"/>
    <s v="AGRI TRADE (SOP) LAMINATION"/>
    <s v="LDN"/>
    <s v="24-24.5"/>
    <s v="60±3"/>
    <s v="AA"/>
    <n v="13620"/>
    <x v="1"/>
    <n v="5"/>
    <n v="623.5"/>
    <n v="14.5"/>
    <n v="15.25782205908058"/>
    <x v="0"/>
    <n v="609"/>
    <n v="14026.099999999999"/>
    <m/>
    <x v="0"/>
    <x v="0"/>
    <n v="0"/>
    <n v="0"/>
    <x v="0"/>
    <x v="0"/>
    <m/>
    <x v="0"/>
    <x v="0"/>
    <x v="0"/>
    <x v="0"/>
    <x v="0"/>
    <n v="0"/>
    <n v="0"/>
    <n v="0"/>
    <n v="12"/>
    <x v="1"/>
    <x v="0"/>
    <m/>
    <x v="0"/>
    <n v="628.5"/>
    <x v="0"/>
    <x v="32"/>
    <x v="15"/>
    <x v="0"/>
    <x v="0"/>
  </r>
  <r>
    <x v="0"/>
    <x v="14"/>
    <s v="2877/2"/>
    <x v="285"/>
    <s v="AKHTAR M CHAMAN (PT-02)"/>
    <s v="LDN"/>
    <s v="7+3+3"/>
    <s v="100-105 گرام"/>
    <s v="SL"/>
    <n v="250"/>
    <x v="1"/>
    <n v="6"/>
    <n v="197.7"/>
    <n v="6"/>
    <n v="3.2949999999999999"/>
    <x v="0"/>
    <n v="191.7"/>
    <n v="191.7"/>
    <m/>
    <x v="0"/>
    <x v="0"/>
    <n v="0"/>
    <n v="0"/>
    <x v="0"/>
    <x v="0"/>
    <m/>
    <x v="0"/>
    <x v="0"/>
    <x v="0"/>
    <x v="0"/>
    <x v="0"/>
    <n v="0"/>
    <n v="0"/>
    <n v="0"/>
    <n v="12"/>
    <x v="1"/>
    <x v="0"/>
    <m/>
    <x v="0"/>
    <n v="202.7"/>
    <x v="0"/>
    <x v="32"/>
    <x v="15"/>
    <x v="0"/>
    <x v="0"/>
  </r>
  <r>
    <x v="0"/>
    <x v="14"/>
    <s v="8269 J"/>
    <x v="285"/>
    <s v="Golden Chemical Faisalbad"/>
    <s v="LDN"/>
    <s v="510 MM"/>
    <s v="15-16/30-32"/>
    <s v="LDN"/>
    <n v="1000"/>
    <x v="1"/>
    <n v="2"/>
    <n v="239.5"/>
    <n v="4.8"/>
    <n v="3.9916666666666667"/>
    <x v="0"/>
    <n v="234.7"/>
    <n v="1014.7"/>
    <m/>
    <x v="0"/>
    <x v="0"/>
    <n v="0"/>
    <n v="0"/>
    <x v="0"/>
    <x v="0"/>
    <m/>
    <x v="0"/>
    <x v="0"/>
    <x v="0"/>
    <x v="0"/>
    <x v="0"/>
    <n v="0"/>
    <n v="0"/>
    <n v="0"/>
    <n v="12"/>
    <x v="1"/>
    <x v="0"/>
    <m/>
    <x v="0"/>
    <n v="244.5"/>
    <x v="0"/>
    <x v="32"/>
    <x v="15"/>
    <x v="0"/>
    <x v="0"/>
  </r>
  <r>
    <x v="1"/>
    <x v="14"/>
    <s v="8269 J"/>
    <x v="285"/>
    <s v="Golden Chemical Faisalbad"/>
    <s v="LDN"/>
    <s v="510 MM"/>
    <s v="15-16/30-32"/>
    <s v="LDN"/>
    <n v="1000"/>
    <x v="1"/>
    <n v="4"/>
    <n v="424.5"/>
    <n v="10"/>
    <n v="10.388044048243314"/>
    <x v="0"/>
    <n v="414.5"/>
    <n v="1014.7"/>
    <m/>
    <x v="0"/>
    <x v="0"/>
    <n v="0"/>
    <n v="0"/>
    <x v="0"/>
    <x v="0"/>
    <m/>
    <x v="0"/>
    <x v="0"/>
    <x v="0"/>
    <x v="0"/>
    <x v="0"/>
    <n v="0"/>
    <n v="0"/>
    <n v="0"/>
    <n v="12"/>
    <x v="1"/>
    <x v="0"/>
    <m/>
    <x v="0"/>
    <n v="429.5"/>
    <x v="0"/>
    <x v="32"/>
    <x v="15"/>
    <x v="0"/>
    <x v="0"/>
  </r>
  <r>
    <x v="1"/>
    <x v="14"/>
    <s v="2878/1"/>
    <x v="285"/>
    <s v="HEALTH CAPSUL (PT-02)"/>
    <s v="LDN"/>
    <s v="610MM+180MM+180MM"/>
    <s v="16-32"/>
    <s v="SL"/>
    <n v="4000"/>
    <x v="1"/>
    <n v="4"/>
    <n v="413"/>
    <n v="6"/>
    <n v="10.106624715958748"/>
    <x v="0"/>
    <n v="407"/>
    <n v="4022.9"/>
    <m/>
    <x v="0"/>
    <x v="0"/>
    <n v="0"/>
    <n v="0"/>
    <x v="0"/>
    <x v="0"/>
    <m/>
    <x v="0"/>
    <x v="0"/>
    <x v="0"/>
    <x v="0"/>
    <x v="0"/>
    <n v="0"/>
    <n v="0"/>
    <n v="0"/>
    <n v="12"/>
    <x v="1"/>
    <x v="0"/>
    <m/>
    <x v="0"/>
    <n v="418"/>
    <x v="0"/>
    <x v="32"/>
    <x v="15"/>
    <x v="0"/>
    <x v="0"/>
  </r>
  <r>
    <x v="0"/>
    <x v="15"/>
    <s v="8351 J"/>
    <x v="285"/>
    <s v="Allied Impex Sialkot"/>
    <s v="LDN"/>
    <n v="30"/>
    <n v="10"/>
    <s v="LDN"/>
    <n v="400"/>
    <x v="1"/>
    <n v="4"/>
    <n v="409.5"/>
    <n v="13.399999999999999"/>
    <n v="6.8250000000000002"/>
    <x v="0"/>
    <n v="396.1"/>
    <n v="396.1"/>
    <m/>
    <x v="0"/>
    <x v="0"/>
    <n v="0"/>
    <n v="0"/>
    <x v="0"/>
    <x v="0"/>
    <m/>
    <x v="0"/>
    <x v="0"/>
    <x v="0"/>
    <x v="0"/>
    <x v="0"/>
    <n v="0"/>
    <n v="0"/>
    <n v="0"/>
    <n v="12"/>
    <x v="1"/>
    <x v="0"/>
    <m/>
    <x v="0"/>
    <n v="414.5"/>
    <x v="0"/>
    <x v="32"/>
    <x v="15"/>
    <x v="0"/>
    <x v="0"/>
  </r>
  <r>
    <x v="0"/>
    <x v="15"/>
    <s v="8353 J"/>
    <x v="285"/>
    <s v="Allied Impex Sialkot"/>
    <s v="LDN"/>
    <n v="30"/>
    <n v="10"/>
    <s v="LDN"/>
    <n v="300"/>
    <x v="1"/>
    <n v="2"/>
    <n v="147"/>
    <n v="6.5"/>
    <n v="2.4500000000000002"/>
    <x v="0"/>
    <n v="140.5"/>
    <n v="303.89999999999998"/>
    <m/>
    <x v="0"/>
    <x v="0"/>
    <n v="0"/>
    <n v="0"/>
    <x v="0"/>
    <x v="0"/>
    <m/>
    <x v="0"/>
    <x v="0"/>
    <x v="0"/>
    <x v="0"/>
    <x v="0"/>
    <n v="0"/>
    <n v="0"/>
    <n v="0"/>
    <n v="12"/>
    <x v="1"/>
    <x v="0"/>
    <m/>
    <x v="0"/>
    <n v="152"/>
    <x v="0"/>
    <x v="32"/>
    <x v="15"/>
    <x v="0"/>
    <x v="0"/>
  </r>
  <r>
    <x v="1"/>
    <x v="15"/>
    <s v="3103 F"/>
    <x v="285"/>
    <s v="Usman Amin"/>
    <s v="LDN"/>
    <n v="25"/>
    <s v="5-5.5"/>
    <s v="LDN"/>
    <n v="400"/>
    <x v="1"/>
    <n v="2"/>
    <n v="106"/>
    <n v="5.8"/>
    <n v="2.5939521062751267"/>
    <x v="0"/>
    <n v="100.2"/>
    <n v="281.7"/>
    <m/>
    <x v="0"/>
    <x v="0"/>
    <n v="0"/>
    <n v="0"/>
    <x v="0"/>
    <x v="0"/>
    <m/>
    <x v="0"/>
    <x v="0"/>
    <x v="0"/>
    <x v="0"/>
    <x v="0"/>
    <n v="0"/>
    <n v="0"/>
    <n v="0"/>
    <n v="12"/>
    <x v="1"/>
    <x v="0"/>
    <m/>
    <x v="0"/>
    <n v="111"/>
    <x v="0"/>
    <x v="32"/>
    <x v="15"/>
    <x v="0"/>
    <x v="0"/>
  </r>
  <r>
    <x v="1"/>
    <x v="15"/>
    <s v="3142 F"/>
    <x v="285"/>
    <s v="Usman Amin"/>
    <s v="LDN"/>
    <n v="23"/>
    <s v="7"/>
    <s v="LDN"/>
    <n v="75"/>
    <x v="1"/>
    <n v="1"/>
    <n v="86"/>
    <n v="2.2999999999999998"/>
    <n v="2.1045271805628385"/>
    <x v="0"/>
    <n v="83.7"/>
    <n v="83.7"/>
    <m/>
    <x v="0"/>
    <x v="0"/>
    <n v="0"/>
    <n v="0"/>
    <x v="0"/>
    <x v="0"/>
    <m/>
    <x v="0"/>
    <x v="0"/>
    <x v="0"/>
    <x v="0"/>
    <x v="0"/>
    <n v="0"/>
    <n v="0"/>
    <n v="0"/>
    <n v="12"/>
    <x v="1"/>
    <x v="0"/>
    <m/>
    <x v="0"/>
    <n v="91"/>
    <x v="0"/>
    <x v="32"/>
    <x v="15"/>
    <x v="0"/>
    <x v="0"/>
  </r>
  <r>
    <x v="1"/>
    <x v="15"/>
    <s v="3141 F"/>
    <x v="285"/>
    <s v="Usman Amin"/>
    <s v="LDN"/>
    <n v="19"/>
    <s v="7"/>
    <s v="LDN"/>
    <n v="480"/>
    <x v="1"/>
    <n v="2"/>
    <n v="121"/>
    <n v="4.8"/>
    <n v="2.9610208005593428"/>
    <x v="0"/>
    <n v="116.2"/>
    <n v="495.9"/>
    <m/>
    <x v="0"/>
    <x v="0"/>
    <n v="0"/>
    <n v="0"/>
    <x v="0"/>
    <x v="0"/>
    <m/>
    <x v="0"/>
    <x v="0"/>
    <x v="0"/>
    <x v="0"/>
    <x v="0"/>
    <n v="0"/>
    <n v="0"/>
    <n v="0"/>
    <n v="12"/>
    <x v="1"/>
    <x v="0"/>
    <m/>
    <x v="0"/>
    <n v="126"/>
    <x v="0"/>
    <x v="32"/>
    <x v="15"/>
    <x v="0"/>
    <x v="0"/>
  </r>
  <r>
    <x v="1"/>
    <x v="15"/>
    <s v="3151 F"/>
    <x v="285"/>
    <s v="Usman Amin"/>
    <s v="LDN"/>
    <n v="19"/>
    <s v="14"/>
    <s v="LDN"/>
    <n v="110"/>
    <x v="1"/>
    <n v="2"/>
    <n v="117"/>
    <n v="4.8"/>
    <n v="2.8631358154168849"/>
    <x v="0"/>
    <n v="112.2"/>
    <n v="112.2"/>
    <m/>
    <x v="0"/>
    <x v="0"/>
    <n v="0"/>
    <n v="0"/>
    <x v="0"/>
    <x v="0"/>
    <m/>
    <x v="0"/>
    <x v="0"/>
    <x v="0"/>
    <x v="0"/>
    <x v="0"/>
    <n v="0"/>
    <n v="0"/>
    <n v="0"/>
    <n v="12"/>
    <x v="1"/>
    <x v="0"/>
    <m/>
    <x v="0"/>
    <n v="122"/>
    <x v="0"/>
    <x v="32"/>
    <x v="15"/>
    <x v="0"/>
    <x v="0"/>
  </r>
  <r>
    <x v="0"/>
    <x v="8"/>
    <s v="8422 J"/>
    <x v="286"/>
    <s v="Javed Enterprises Gujranwala"/>
    <s v="LDN"/>
    <n v="10"/>
    <s v="20-21"/>
    <s v="LDN"/>
    <n v="300"/>
    <x v="1"/>
    <n v="3"/>
    <n v="183"/>
    <n v="4.3"/>
    <n v="2"/>
    <x v="0"/>
    <n v="178.7"/>
    <n v="468.79999999999995"/>
    <n v="2"/>
    <x v="0"/>
    <x v="0"/>
    <n v="2"/>
    <n v="3.3333333333333333E-2"/>
    <x v="0"/>
    <x v="0"/>
    <m/>
    <x v="0"/>
    <x v="0"/>
    <x v="0"/>
    <x v="0"/>
    <x v="0"/>
    <n v="0"/>
    <n v="0"/>
    <n v="3.3333333333333333E-2"/>
    <n v="11.966666666666667"/>
    <x v="1"/>
    <x v="0"/>
    <m/>
    <x v="0"/>
    <n v="188"/>
    <x v="0"/>
    <x v="33"/>
    <x v="16"/>
    <x v="0"/>
    <x v="0"/>
  </r>
  <r>
    <x v="1"/>
    <x v="8"/>
    <s v="8422 J"/>
    <x v="286"/>
    <s v="Javed Enterprises Gujranwala"/>
    <s v="LDN"/>
    <n v="10"/>
    <s v="20-21"/>
    <s v="LDN"/>
    <n v="300"/>
    <x v="1"/>
    <n v="3"/>
    <n v="172.5"/>
    <n v="4.5"/>
    <n v="2"/>
    <x v="0"/>
    <n v="168"/>
    <n v="468.79999999999995"/>
    <m/>
    <x v="0"/>
    <x v="0"/>
    <n v="0"/>
    <n v="0"/>
    <x v="0"/>
    <x v="0"/>
    <m/>
    <x v="0"/>
    <x v="0"/>
    <x v="0"/>
    <x v="0"/>
    <x v="0"/>
    <n v="0"/>
    <n v="0"/>
    <n v="0"/>
    <n v="12"/>
    <x v="1"/>
    <x v="0"/>
    <m/>
    <x v="0"/>
    <n v="177.5"/>
    <x v="0"/>
    <x v="33"/>
    <x v="16"/>
    <x v="0"/>
    <x v="0"/>
  </r>
  <r>
    <x v="0"/>
    <x v="9"/>
    <s v="8417 J"/>
    <x v="286"/>
    <s v="Javed Enterprises Gujranwala"/>
    <s v="LDN"/>
    <n v="14"/>
    <s v="20-20.5"/>
    <s v="LDN"/>
    <n v="500"/>
    <x v="1"/>
    <n v="3"/>
    <n v="230.5"/>
    <n v="4.9000000000000004"/>
    <n v="1"/>
    <x v="0"/>
    <n v="225.6"/>
    <n v="489.19999999999993"/>
    <m/>
    <x v="0"/>
    <x v="0"/>
    <n v="0"/>
    <n v="0"/>
    <x v="0"/>
    <x v="0"/>
    <m/>
    <x v="0"/>
    <x v="0"/>
    <x v="0"/>
    <x v="0"/>
    <x v="0"/>
    <n v="0"/>
    <n v="0"/>
    <n v="0"/>
    <n v="12"/>
    <x v="1"/>
    <x v="0"/>
    <m/>
    <x v="0"/>
    <n v="235.5"/>
    <x v="0"/>
    <x v="33"/>
    <x v="16"/>
    <x v="0"/>
    <x v="0"/>
  </r>
  <r>
    <x v="1"/>
    <x v="9"/>
    <s v="8417 J"/>
    <x v="286"/>
    <s v="Javed Enterprises Gujranwala"/>
    <s v="LDN"/>
    <n v="14"/>
    <s v="20-20.5"/>
    <s v="LDN"/>
    <n v="500"/>
    <x v="1"/>
    <n v="3"/>
    <n v="224.5"/>
    <n v="4.8000000000000007"/>
    <n v="1"/>
    <x v="0"/>
    <n v="219.7"/>
    <n v="489.19999999999993"/>
    <m/>
    <x v="0"/>
    <x v="0"/>
    <n v="0"/>
    <n v="0"/>
    <x v="0"/>
    <x v="0"/>
    <m/>
    <x v="0"/>
    <x v="0"/>
    <x v="0"/>
    <x v="0"/>
    <x v="0"/>
    <n v="0"/>
    <n v="0"/>
    <n v="0"/>
    <n v="12"/>
    <x v="1"/>
    <x v="0"/>
    <m/>
    <x v="0"/>
    <n v="229.5"/>
    <x v="0"/>
    <x v="33"/>
    <x v="16"/>
    <x v="0"/>
    <x v="0"/>
  </r>
  <r>
    <x v="0"/>
    <x v="11"/>
    <s v="8343 J"/>
    <x v="286"/>
    <s v="Raja Shoes Lahore"/>
    <s v="LDM"/>
    <s v="9+2.5+2.5"/>
    <s v="4.75-5.25/9.5-10.5"/>
    <s v="LDM"/>
    <n v="1400"/>
    <x v="1"/>
    <n v="8"/>
    <n v="299.5"/>
    <n v="8"/>
    <n v="11"/>
    <x v="0"/>
    <n v="291.5"/>
    <n v="1371.02"/>
    <m/>
    <x v="0"/>
    <x v="0"/>
    <n v="0"/>
    <n v="0"/>
    <x v="0"/>
    <x v="0"/>
    <m/>
    <x v="0"/>
    <x v="0"/>
    <x v="0"/>
    <x v="0"/>
    <x v="0"/>
    <n v="0"/>
    <n v="0"/>
    <n v="0"/>
    <n v="12"/>
    <x v="1"/>
    <x v="0"/>
    <m/>
    <x v="0"/>
    <n v="304.5"/>
    <x v="0"/>
    <x v="33"/>
    <x v="16"/>
    <x v="0"/>
    <x v="0"/>
  </r>
  <r>
    <x v="1"/>
    <x v="11"/>
    <s v="8400 J"/>
    <x v="286"/>
    <s v="Javed Enterprises Gujranwala"/>
    <s v="LDM"/>
    <n v="14"/>
    <s v="20-21"/>
    <s v="LDM"/>
    <n v="500"/>
    <x v="1"/>
    <n v="3"/>
    <n v="250"/>
    <n v="4.1999999999999993"/>
    <n v="19"/>
    <x v="0"/>
    <n v="245.8"/>
    <n v="517.20000000000005"/>
    <n v="5"/>
    <x v="0"/>
    <x v="0"/>
    <n v="5"/>
    <n v="8.3333333333333329E-2"/>
    <x v="0"/>
    <x v="0"/>
    <m/>
    <x v="2"/>
    <x v="0"/>
    <x v="0"/>
    <x v="3"/>
    <x v="0"/>
    <n v="35"/>
    <n v="0.58333333333333337"/>
    <n v="0.66666666666666674"/>
    <n v="11.333333333333334"/>
    <x v="1"/>
    <x v="0"/>
    <m/>
    <x v="0"/>
    <n v="255"/>
    <x v="0"/>
    <x v="33"/>
    <x v="16"/>
    <x v="0"/>
    <x v="0"/>
  </r>
  <r>
    <x v="0"/>
    <x v="13"/>
    <s v="3039 F"/>
    <x v="286"/>
    <s v="Usman Amin"/>
    <s v="LDN"/>
    <n v="18"/>
    <s v="5-5.5"/>
    <s v="LDN"/>
    <n v="500"/>
    <x v="1"/>
    <n v="1"/>
    <n v="80"/>
    <n v="1.7"/>
    <m/>
    <x v="0"/>
    <n v="78.3"/>
    <n v="517.79999999999995"/>
    <m/>
    <x v="0"/>
    <x v="0"/>
    <n v="0"/>
    <n v="0"/>
    <x v="0"/>
    <x v="0"/>
    <m/>
    <x v="0"/>
    <x v="0"/>
    <x v="0"/>
    <x v="0"/>
    <x v="0"/>
    <n v="0"/>
    <n v="0"/>
    <n v="0"/>
    <n v="12"/>
    <x v="1"/>
    <x v="0"/>
    <m/>
    <x v="0"/>
    <n v="85"/>
    <x v="0"/>
    <x v="33"/>
    <x v="16"/>
    <x v="0"/>
    <x v="0"/>
  </r>
  <r>
    <x v="0"/>
    <x v="13"/>
    <s v="3076 F"/>
    <x v="286"/>
    <s v="Usman Amin"/>
    <s v="LDN"/>
    <n v="18"/>
    <s v="5-5.5"/>
    <s v="LDN"/>
    <n v="500"/>
    <x v="1"/>
    <n v="3"/>
    <n v="177"/>
    <n v="5.6"/>
    <n v="3"/>
    <x v="0"/>
    <n v="171.4"/>
    <n v="317.89999999999998"/>
    <n v="2"/>
    <x v="0"/>
    <x v="0"/>
    <n v="2"/>
    <n v="3.3333333333333333E-2"/>
    <x v="0"/>
    <x v="0"/>
    <m/>
    <x v="0"/>
    <x v="0"/>
    <x v="0"/>
    <x v="0"/>
    <x v="0"/>
    <n v="0"/>
    <n v="0"/>
    <n v="3.3333333333333333E-2"/>
    <n v="11.966666666666667"/>
    <x v="1"/>
    <x v="0"/>
    <m/>
    <x v="0"/>
    <n v="182"/>
    <x v="0"/>
    <x v="33"/>
    <x v="16"/>
    <x v="0"/>
    <x v="0"/>
  </r>
  <r>
    <x v="1"/>
    <x v="13"/>
    <s v="3076 F"/>
    <x v="286"/>
    <s v="Usman Amin"/>
    <s v="LDN"/>
    <n v="18"/>
    <s v="5-5.5"/>
    <s v="LDN"/>
    <n v="500"/>
    <x v="1"/>
    <n v="3"/>
    <n v="152"/>
    <n v="5.5"/>
    <m/>
    <x v="0"/>
    <n v="146.5"/>
    <n v="317.89999999999998"/>
    <m/>
    <x v="0"/>
    <x v="0"/>
    <n v="0"/>
    <n v="0"/>
    <x v="0"/>
    <x v="0"/>
    <m/>
    <x v="0"/>
    <x v="0"/>
    <x v="0"/>
    <x v="0"/>
    <x v="0"/>
    <n v="0"/>
    <n v="0"/>
    <n v="0"/>
    <n v="12"/>
    <x v="1"/>
    <x v="0"/>
    <m/>
    <x v="0"/>
    <n v="157"/>
    <x v="0"/>
    <x v="33"/>
    <x v="16"/>
    <x v="0"/>
    <x v="0"/>
  </r>
  <r>
    <x v="1"/>
    <x v="13"/>
    <s v="3156 F"/>
    <x v="286"/>
    <s v="Usman Amin"/>
    <s v="LDN"/>
    <n v="15"/>
    <s v="5.5.5"/>
    <s v="LDN"/>
    <n v="160"/>
    <x v="1"/>
    <n v="2"/>
    <n v="101"/>
    <n v="3.9"/>
    <m/>
    <x v="0"/>
    <n v="97.1"/>
    <n v="169.3"/>
    <m/>
    <x v="0"/>
    <x v="0"/>
    <n v="0"/>
    <n v="0"/>
    <x v="0"/>
    <x v="0"/>
    <m/>
    <x v="0"/>
    <x v="0"/>
    <x v="0"/>
    <x v="0"/>
    <x v="0"/>
    <n v="0"/>
    <n v="0"/>
    <n v="0"/>
    <n v="12"/>
    <x v="1"/>
    <x v="0"/>
    <m/>
    <x v="0"/>
    <n v="106"/>
    <x v="0"/>
    <x v="33"/>
    <x v="16"/>
    <x v="0"/>
    <x v="0"/>
  </r>
  <r>
    <x v="0"/>
    <x v="12"/>
    <s v="2868/1"/>
    <x v="286"/>
    <s v="AGRI TRADE (SOP) LAMINATION"/>
    <s v="LDN"/>
    <s v="24-24.5"/>
    <s v="60±3"/>
    <s v="AA"/>
    <n v="13620"/>
    <x v="1"/>
    <n v="4"/>
    <n v="571"/>
    <n v="11.6"/>
    <n v="9"/>
    <x v="0"/>
    <n v="559.4"/>
    <n v="14026.099999999999"/>
    <m/>
    <x v="0"/>
    <x v="0"/>
    <n v="0"/>
    <n v="0"/>
    <x v="0"/>
    <x v="0"/>
    <m/>
    <x v="0"/>
    <x v="0"/>
    <x v="0"/>
    <x v="0"/>
    <x v="0"/>
    <n v="0"/>
    <n v="0"/>
    <n v="0"/>
    <n v="12"/>
    <x v="1"/>
    <x v="0"/>
    <m/>
    <x v="0"/>
    <n v="576"/>
    <x v="0"/>
    <x v="33"/>
    <x v="16"/>
    <x v="0"/>
    <x v="0"/>
  </r>
  <r>
    <x v="1"/>
    <x v="12"/>
    <s v="2868/1"/>
    <x v="286"/>
    <s v="AGRI TRADE (SOP) LAMINATION"/>
    <s v="LDN"/>
    <s v="24-24.5"/>
    <s v="60±3"/>
    <s v="AA"/>
    <n v="13620"/>
    <x v="1"/>
    <n v="4"/>
    <n v="496"/>
    <n v="11.6"/>
    <n v="7"/>
    <x v="0"/>
    <n v="484.4"/>
    <n v="14026.099999999999"/>
    <m/>
    <x v="0"/>
    <x v="0"/>
    <n v="0"/>
    <n v="0"/>
    <x v="0"/>
    <x v="0"/>
    <m/>
    <x v="0"/>
    <x v="0"/>
    <x v="0"/>
    <x v="0"/>
    <x v="0"/>
    <n v="0"/>
    <n v="0"/>
    <n v="0"/>
    <n v="12"/>
    <x v="1"/>
    <x v="0"/>
    <m/>
    <x v="0"/>
    <n v="501"/>
    <x v="0"/>
    <x v="33"/>
    <x v="16"/>
    <x v="0"/>
    <x v="0"/>
  </r>
  <r>
    <x v="0"/>
    <x v="14"/>
    <s v="2878/1"/>
    <x v="286"/>
    <s v="HEALTH CAPSUL (PT-02)"/>
    <s v="LDN"/>
    <s v="610MM+180MM+180MM"/>
    <s v="16-32"/>
    <s v="SL"/>
    <n v="4000"/>
    <x v="1"/>
    <n v="7"/>
    <n v="842.5"/>
    <n v="10.5"/>
    <n v="13"/>
    <x v="0"/>
    <n v="832"/>
    <n v="4022.9"/>
    <m/>
    <x v="0"/>
    <x v="0"/>
    <n v="0"/>
    <n v="0"/>
    <x v="0"/>
    <x v="0"/>
    <n v="10"/>
    <x v="0"/>
    <x v="0"/>
    <x v="0"/>
    <x v="0"/>
    <x v="0"/>
    <n v="10"/>
    <n v="0.16666666666666666"/>
    <n v="0.16666666666666666"/>
    <n v="11.833333333333334"/>
    <x v="1"/>
    <x v="0"/>
    <m/>
    <x v="0"/>
    <n v="847.5"/>
    <x v="0"/>
    <x v="33"/>
    <x v="16"/>
    <x v="0"/>
    <x v="0"/>
  </r>
  <r>
    <x v="1"/>
    <x v="14"/>
    <s v="2878/1"/>
    <x v="286"/>
    <s v="HEALTH CAPSUL (PT-02)"/>
    <s v="LDN"/>
    <s v="610MM+180MM+180MM"/>
    <s v="16-32"/>
    <s v="SL"/>
    <n v="4000"/>
    <x v="1"/>
    <n v="8"/>
    <n v="910"/>
    <n v="24"/>
    <n v="18"/>
    <x v="0"/>
    <n v="886"/>
    <n v="4022.9"/>
    <m/>
    <x v="0"/>
    <x v="0"/>
    <n v="0"/>
    <n v="0"/>
    <x v="0"/>
    <x v="0"/>
    <n v="60"/>
    <x v="0"/>
    <x v="0"/>
    <x v="0"/>
    <x v="0"/>
    <x v="0"/>
    <n v="60"/>
    <n v="1"/>
    <n v="1"/>
    <n v="11"/>
    <x v="1"/>
    <x v="0"/>
    <m/>
    <x v="0"/>
    <n v="915"/>
    <x v="0"/>
    <x v="33"/>
    <x v="16"/>
    <x v="0"/>
    <x v="0"/>
  </r>
  <r>
    <x v="0"/>
    <x v="15"/>
    <s v="3141 F"/>
    <x v="286"/>
    <s v="Usman Amin"/>
    <s v="LDN"/>
    <n v="19"/>
    <s v="7"/>
    <s v="LDN"/>
    <n v="480"/>
    <x v="1"/>
    <n v="6"/>
    <n v="393.5"/>
    <n v="13.799999999999999"/>
    <m/>
    <x v="0"/>
    <n v="379.7"/>
    <n v="495.9"/>
    <n v="3"/>
    <x v="0"/>
    <x v="0"/>
    <n v="3"/>
    <n v="0.05"/>
    <x v="0"/>
    <x v="0"/>
    <m/>
    <x v="0"/>
    <x v="0"/>
    <x v="0"/>
    <x v="0"/>
    <x v="0"/>
    <n v="0"/>
    <n v="0"/>
    <n v="0.05"/>
    <n v="11.95"/>
    <x v="1"/>
    <x v="0"/>
    <m/>
    <x v="0"/>
    <n v="398.5"/>
    <x v="0"/>
    <x v="33"/>
    <x v="16"/>
    <x v="0"/>
    <x v="0"/>
  </r>
  <r>
    <x v="0"/>
    <x v="15"/>
    <s v="3143 F"/>
    <x v="286"/>
    <s v="Usman Amin"/>
    <s v="LDN"/>
    <n v="18"/>
    <s v="7"/>
    <s v="LDN"/>
    <n v="70"/>
    <x v="1"/>
    <n v="1"/>
    <n v="73"/>
    <n v="2"/>
    <n v="5"/>
    <x v="0"/>
    <n v="71"/>
    <n v="71"/>
    <n v="2"/>
    <x v="0"/>
    <x v="0"/>
    <n v="2"/>
    <n v="3.3333333333333333E-2"/>
    <x v="0"/>
    <x v="0"/>
    <m/>
    <x v="0"/>
    <x v="0"/>
    <x v="0"/>
    <x v="0"/>
    <x v="0"/>
    <n v="0"/>
    <n v="0"/>
    <n v="3.3333333333333333E-2"/>
    <n v="11.966666666666667"/>
    <x v="1"/>
    <x v="0"/>
    <m/>
    <x v="0"/>
    <n v="78"/>
    <x v="0"/>
    <x v="33"/>
    <x v="16"/>
    <x v="0"/>
    <x v="0"/>
  </r>
  <r>
    <x v="1"/>
    <x v="15"/>
    <s v="3144 F"/>
    <x v="286"/>
    <s v="Usman Amin"/>
    <s v="LDN"/>
    <n v="17"/>
    <s v="7"/>
    <s v="LDN"/>
    <n v="65"/>
    <x v="1"/>
    <n v="1"/>
    <n v="61"/>
    <n v="2"/>
    <n v="9"/>
    <x v="0"/>
    <n v="59"/>
    <n v="59"/>
    <n v="1"/>
    <x v="0"/>
    <x v="0"/>
    <n v="1"/>
    <n v="1.6666666666666666E-2"/>
    <x v="0"/>
    <x v="0"/>
    <m/>
    <x v="0"/>
    <x v="0"/>
    <x v="0"/>
    <x v="0"/>
    <x v="0"/>
    <n v="0"/>
    <n v="0"/>
    <n v="1.6666666666666666E-2"/>
    <n v="11.983333333333333"/>
    <x v="1"/>
    <x v="0"/>
    <m/>
    <x v="0"/>
    <n v="66"/>
    <x v="0"/>
    <x v="33"/>
    <x v="16"/>
    <x v="0"/>
    <x v="0"/>
  </r>
  <r>
    <x v="1"/>
    <x v="15"/>
    <s v="3152 F"/>
    <x v="286"/>
    <s v="Usman Amin"/>
    <s v="LDN"/>
    <n v="15"/>
    <s v="12"/>
    <s v="LDN"/>
    <n v="100"/>
    <x v="1"/>
    <n v="2"/>
    <n v="126"/>
    <n v="2.4"/>
    <m/>
    <x v="0"/>
    <n v="123.6"/>
    <n v="123.6"/>
    <n v="3"/>
    <x v="0"/>
    <x v="0"/>
    <n v="3"/>
    <n v="0.05"/>
    <x v="0"/>
    <x v="0"/>
    <m/>
    <x v="0"/>
    <x v="0"/>
    <x v="0"/>
    <x v="0"/>
    <x v="0"/>
    <n v="0"/>
    <n v="0"/>
    <n v="0.05"/>
    <n v="11.95"/>
    <x v="1"/>
    <x v="0"/>
    <m/>
    <x v="0"/>
    <n v="131"/>
    <x v="0"/>
    <x v="33"/>
    <x v="16"/>
    <x v="0"/>
    <x v="0"/>
  </r>
  <r>
    <x v="1"/>
    <x v="15"/>
    <s v="3154 F"/>
    <x v="286"/>
    <s v="Usman Amin"/>
    <s v="LDN"/>
    <n v="24"/>
    <s v="7.5-8"/>
    <s v="LDN"/>
    <n v="75"/>
    <x v="1"/>
    <n v="2"/>
    <n v="160"/>
    <n v="5.8"/>
    <m/>
    <x v="0"/>
    <n v="154.19999999999999"/>
    <n v="154.19999999999999"/>
    <n v="1"/>
    <x v="0"/>
    <x v="0"/>
    <n v="1"/>
    <n v="1.6666666666666666E-2"/>
    <x v="0"/>
    <x v="0"/>
    <m/>
    <x v="0"/>
    <x v="0"/>
    <x v="0"/>
    <x v="0"/>
    <x v="0"/>
    <n v="0"/>
    <n v="0"/>
    <n v="1.6666666666666666E-2"/>
    <n v="11.983333333333333"/>
    <x v="1"/>
    <x v="0"/>
    <m/>
    <x v="0"/>
    <n v="165"/>
    <x v="0"/>
    <x v="33"/>
    <x v="16"/>
    <x v="0"/>
    <x v="0"/>
  </r>
  <r>
    <x v="1"/>
    <x v="15"/>
    <s v="8443 J"/>
    <x v="286"/>
    <s v="-"/>
    <m/>
    <m/>
    <m/>
    <m/>
    <m/>
    <x v="1"/>
    <n v="1"/>
    <n v="47.5"/>
    <n v="2"/>
    <m/>
    <x v="0"/>
    <n v="45.5"/>
    <n v="45.5"/>
    <n v="2"/>
    <x v="0"/>
    <x v="0"/>
    <n v="2"/>
    <n v="3.3333333333333333E-2"/>
    <x v="0"/>
    <x v="0"/>
    <m/>
    <x v="0"/>
    <x v="0"/>
    <x v="0"/>
    <x v="0"/>
    <x v="0"/>
    <n v="0"/>
    <n v="0"/>
    <n v="3.3333333333333333E-2"/>
    <n v="11.966666666666667"/>
    <x v="1"/>
    <x v="0"/>
    <m/>
    <x v="0"/>
    <n v="52.5"/>
    <x v="0"/>
    <x v="33"/>
    <x v="16"/>
    <x v="0"/>
    <x v="0"/>
  </r>
  <r>
    <x v="0"/>
    <x v="9"/>
    <s v="8417 J"/>
    <x v="287"/>
    <s v="Javed Enterprises Gujranwala"/>
    <s v="LDN"/>
    <n v="14"/>
    <s v="20-20.5"/>
    <s v="LDN"/>
    <n v="500"/>
    <x v="1"/>
    <n v="1"/>
    <n v="45.5"/>
    <n v="1.6"/>
    <m/>
    <x v="0"/>
    <n v="43.9"/>
    <n v="489.19999999999993"/>
    <m/>
    <x v="0"/>
    <x v="0"/>
    <n v="0"/>
    <n v="0"/>
    <x v="0"/>
    <x v="0"/>
    <m/>
    <x v="0"/>
    <x v="0"/>
    <x v="0"/>
    <x v="0"/>
    <x v="0"/>
    <n v="0"/>
    <n v="0"/>
    <n v="0"/>
    <n v="12"/>
    <x v="1"/>
    <x v="0"/>
    <m/>
    <x v="0"/>
    <n v="50.5"/>
    <x v="0"/>
    <x v="33"/>
    <x v="16"/>
    <x v="0"/>
    <x v="0"/>
  </r>
  <r>
    <x v="0"/>
    <x v="9"/>
    <s v="8414 J"/>
    <x v="287"/>
    <s v="Wah Nobel Private Limited"/>
    <s v="LDN"/>
    <s v="120 MM"/>
    <s v="22-22.5"/>
    <s v="LDN"/>
    <n v="1000"/>
    <x v="1"/>
    <n v="4"/>
    <n v="131.5"/>
    <n v="3"/>
    <n v="2"/>
    <x v="0"/>
    <n v="128.5"/>
    <n v="2082.1"/>
    <n v="3"/>
    <x v="0"/>
    <x v="0"/>
    <n v="3"/>
    <n v="0.05"/>
    <x v="0"/>
    <x v="0"/>
    <m/>
    <x v="0"/>
    <x v="0"/>
    <x v="0"/>
    <x v="0"/>
    <x v="0"/>
    <n v="0"/>
    <n v="0"/>
    <n v="0.05"/>
    <n v="11.95"/>
    <x v="1"/>
    <x v="0"/>
    <m/>
    <x v="0"/>
    <n v="136.5"/>
    <x v="0"/>
    <x v="33"/>
    <x v="16"/>
    <x v="0"/>
    <x v="0"/>
  </r>
  <r>
    <x v="1"/>
    <x v="9"/>
    <s v="8414 J"/>
    <x v="287"/>
    <s v="Wah Nobel Private Limited"/>
    <s v="LDN"/>
    <s v="120 MM"/>
    <s v="22-22.5"/>
    <s v="LDN"/>
    <n v="1000"/>
    <x v="1"/>
    <n v="4"/>
    <n v="155.5"/>
    <n v="2.4"/>
    <m/>
    <x v="0"/>
    <n v="153.1"/>
    <n v="2082.1"/>
    <m/>
    <x v="0"/>
    <x v="0"/>
    <n v="0"/>
    <n v="0"/>
    <x v="0"/>
    <x v="0"/>
    <m/>
    <x v="0"/>
    <x v="0"/>
    <x v="0"/>
    <x v="0"/>
    <x v="0"/>
    <n v="0"/>
    <n v="0"/>
    <n v="0"/>
    <n v="12"/>
    <x v="1"/>
    <x v="0"/>
    <m/>
    <x v="0"/>
    <n v="160.5"/>
    <x v="0"/>
    <x v="33"/>
    <x v="16"/>
    <x v="0"/>
    <x v="0"/>
  </r>
  <r>
    <x v="1"/>
    <x v="10"/>
    <s v="8112 J"/>
    <x v="287"/>
    <s v="Head Office Lahore"/>
    <s v="LD رنگدار"/>
    <n v="13"/>
    <s v="12.5-13"/>
    <s v="LDM"/>
    <n v="1000"/>
    <x v="1"/>
    <n v="3"/>
    <n v="258.5"/>
    <n v="4.5"/>
    <n v="5"/>
    <x v="0"/>
    <n v="254"/>
    <n v="1053.5999999999999"/>
    <n v="2"/>
    <x v="0"/>
    <x v="0"/>
    <n v="2"/>
    <n v="3.3333333333333333E-2"/>
    <x v="0"/>
    <x v="0"/>
    <m/>
    <x v="0"/>
    <x v="0"/>
    <x v="0"/>
    <x v="0"/>
    <x v="0"/>
    <n v="0"/>
    <n v="0"/>
    <n v="3.3333333333333333E-2"/>
    <n v="11.966666666666667"/>
    <x v="1"/>
    <x v="0"/>
    <m/>
    <x v="0"/>
    <n v="263.5"/>
    <x v="0"/>
    <x v="33"/>
    <x v="16"/>
    <x v="0"/>
    <x v="0"/>
  </r>
  <r>
    <x v="1"/>
    <x v="10"/>
    <s v="8113 J"/>
    <x v="287"/>
    <s v="Head Office Lahore"/>
    <s v="LD رنگدار"/>
    <n v="16"/>
    <s v="12.5-13"/>
    <s v="LDM"/>
    <n v="1000"/>
    <x v="1"/>
    <n v="2"/>
    <n v="173.5"/>
    <n v="3.8"/>
    <m/>
    <x v="0"/>
    <n v="169.7"/>
    <n v="821.59999999999991"/>
    <m/>
    <x v="0"/>
    <x v="0"/>
    <n v="0"/>
    <n v="0"/>
    <x v="0"/>
    <x v="0"/>
    <m/>
    <x v="0"/>
    <x v="0"/>
    <x v="0"/>
    <x v="0"/>
    <x v="0"/>
    <n v="0"/>
    <n v="0"/>
    <n v="0"/>
    <n v="12"/>
    <x v="1"/>
    <x v="0"/>
    <m/>
    <x v="0"/>
    <n v="178.5"/>
    <x v="0"/>
    <x v="33"/>
    <x v="16"/>
    <x v="0"/>
    <x v="0"/>
  </r>
  <r>
    <x v="0"/>
    <x v="11"/>
    <s v="8400 J"/>
    <x v="287"/>
    <s v="Javed Enterprises Gujranwala"/>
    <s v="LDM"/>
    <n v="14"/>
    <s v="20-21"/>
    <s v="LDM"/>
    <n v="500"/>
    <x v="1"/>
    <n v="4"/>
    <n v="278.5"/>
    <n v="7.1"/>
    <m/>
    <x v="0"/>
    <n v="271.39999999999998"/>
    <n v="517.20000000000005"/>
    <m/>
    <x v="0"/>
    <x v="0"/>
    <n v="0"/>
    <n v="0"/>
    <x v="0"/>
    <x v="0"/>
    <m/>
    <x v="0"/>
    <x v="0"/>
    <x v="0"/>
    <x v="0"/>
    <x v="0"/>
    <n v="0"/>
    <n v="0"/>
    <n v="0"/>
    <n v="12"/>
    <x v="1"/>
    <x v="0"/>
    <m/>
    <x v="0"/>
    <n v="283.5"/>
    <x v="0"/>
    <x v="33"/>
    <x v="16"/>
    <x v="0"/>
    <x v="0"/>
  </r>
  <r>
    <x v="0"/>
    <x v="11"/>
    <s v="8419 J"/>
    <x v="287"/>
    <s v="Javed Enterprises Gujranwala"/>
    <s v="LDM"/>
    <n v="14"/>
    <s v="20-21"/>
    <s v="LDM"/>
    <n v="200"/>
    <x v="1"/>
    <n v="2"/>
    <n v="168"/>
    <n v="3.6"/>
    <n v="5"/>
    <x v="0"/>
    <n v="164.4"/>
    <n v="213.10000000000002"/>
    <m/>
    <x v="0"/>
    <x v="0"/>
    <n v="0"/>
    <n v="0"/>
    <x v="0"/>
    <x v="0"/>
    <m/>
    <x v="0"/>
    <x v="0"/>
    <x v="0"/>
    <x v="0"/>
    <x v="0"/>
    <n v="0"/>
    <n v="0"/>
    <n v="0"/>
    <n v="12"/>
    <x v="1"/>
    <x v="0"/>
    <m/>
    <x v="0"/>
    <n v="173"/>
    <x v="0"/>
    <x v="33"/>
    <x v="16"/>
    <x v="0"/>
    <x v="0"/>
  </r>
  <r>
    <x v="1"/>
    <x v="11"/>
    <s v="8419 J"/>
    <x v="287"/>
    <s v="Javed Enterprises Gujranwala"/>
    <s v="LDM"/>
    <n v="14"/>
    <s v="20-21"/>
    <s v="LDM"/>
    <n v="200"/>
    <x v="1"/>
    <n v="1"/>
    <n v="50"/>
    <n v="1.3"/>
    <m/>
    <x v="0"/>
    <n v="48.7"/>
    <n v="213.10000000000002"/>
    <m/>
    <x v="0"/>
    <x v="0"/>
    <n v="0"/>
    <n v="0"/>
    <x v="0"/>
    <x v="0"/>
    <m/>
    <x v="0"/>
    <x v="0"/>
    <x v="0"/>
    <x v="0"/>
    <x v="0"/>
    <n v="0"/>
    <n v="0"/>
    <n v="0"/>
    <n v="12"/>
    <x v="1"/>
    <x v="0"/>
    <m/>
    <x v="0"/>
    <n v="55"/>
    <x v="0"/>
    <x v="33"/>
    <x v="16"/>
    <x v="0"/>
    <x v="0"/>
  </r>
  <r>
    <x v="1"/>
    <x v="11"/>
    <s v="8420 J"/>
    <x v="287"/>
    <s v="Javed Enterprises Gujranwala"/>
    <s v="LDM"/>
    <n v="14"/>
    <s v="20-20.5"/>
    <s v="LDM"/>
    <n v="200"/>
    <x v="1"/>
    <n v="3"/>
    <n v="219"/>
    <n v="5.0999999999999996"/>
    <m/>
    <x v="0"/>
    <n v="213.9"/>
    <n v="213.9"/>
    <m/>
    <x v="0"/>
    <x v="0"/>
    <n v="0"/>
    <n v="0"/>
    <x v="0"/>
    <x v="0"/>
    <m/>
    <x v="0"/>
    <x v="0"/>
    <x v="0"/>
    <x v="0"/>
    <x v="0"/>
    <n v="0"/>
    <n v="0"/>
    <n v="0"/>
    <n v="12"/>
    <x v="1"/>
    <x v="0"/>
    <m/>
    <x v="0"/>
    <n v="224"/>
    <x v="0"/>
    <x v="33"/>
    <x v="16"/>
    <x v="0"/>
    <x v="0"/>
  </r>
  <r>
    <x v="1"/>
    <x v="11"/>
    <s v="8421 J"/>
    <x v="287"/>
    <s v="Javed Enterprises Gujranwala"/>
    <s v="LDM"/>
    <n v="14"/>
    <s v="20-21"/>
    <s v="LDM"/>
    <n v="300"/>
    <x v="1"/>
    <n v="2"/>
    <n v="160.5"/>
    <n v="2.8"/>
    <m/>
    <x v="0"/>
    <n v="157.69999999999999"/>
    <n v="304.79999999999995"/>
    <m/>
    <x v="0"/>
    <x v="0"/>
    <n v="0"/>
    <n v="0"/>
    <x v="0"/>
    <x v="0"/>
    <m/>
    <x v="0"/>
    <x v="0"/>
    <x v="0"/>
    <x v="0"/>
    <x v="0"/>
    <n v="0"/>
    <n v="0"/>
    <n v="0"/>
    <n v="12"/>
    <x v="1"/>
    <x v="0"/>
    <m/>
    <x v="0"/>
    <n v="165.5"/>
    <x v="0"/>
    <x v="33"/>
    <x v="16"/>
    <x v="0"/>
    <x v="0"/>
  </r>
  <r>
    <x v="0"/>
    <x v="13"/>
    <s v="3156 F"/>
    <x v="287"/>
    <s v="Usman Amin"/>
    <s v="LDN"/>
    <n v="15"/>
    <s v="5.5.5"/>
    <s v="LDN"/>
    <n v="160"/>
    <x v="1"/>
    <n v="1"/>
    <n v="74"/>
    <n v="1.8"/>
    <n v="2"/>
    <x v="0"/>
    <n v="72.2"/>
    <n v="169.3"/>
    <m/>
    <x v="0"/>
    <x v="0"/>
    <n v="0"/>
    <n v="0"/>
    <x v="0"/>
    <x v="0"/>
    <m/>
    <x v="0"/>
    <x v="0"/>
    <x v="0"/>
    <x v="0"/>
    <x v="0"/>
    <n v="0"/>
    <n v="0"/>
    <n v="0"/>
    <n v="12"/>
    <x v="1"/>
    <x v="0"/>
    <m/>
    <x v="0"/>
    <n v="79"/>
    <x v="0"/>
    <x v="33"/>
    <x v="16"/>
    <x v="0"/>
    <x v="0"/>
  </r>
  <r>
    <x v="0"/>
    <x v="13"/>
    <s v="8386 J"/>
    <x v="287"/>
    <s v="Mehboob Printers Gujranwala"/>
    <s v="LDN"/>
    <n v="15.5"/>
    <s v="8.5-9"/>
    <s v="LDN"/>
    <n v="200"/>
    <x v="1"/>
    <n v="4"/>
    <n v="244"/>
    <n v="7.2"/>
    <m/>
    <x v="0"/>
    <n v="236.8"/>
    <n v="236.8"/>
    <m/>
    <x v="0"/>
    <x v="0"/>
    <n v="0"/>
    <n v="0"/>
    <x v="0"/>
    <x v="0"/>
    <m/>
    <x v="0"/>
    <x v="0"/>
    <x v="0"/>
    <x v="0"/>
    <x v="0"/>
    <n v="0"/>
    <n v="0"/>
    <n v="0"/>
    <n v="12"/>
    <x v="1"/>
    <x v="0"/>
    <m/>
    <x v="0"/>
    <n v="249"/>
    <x v="0"/>
    <x v="33"/>
    <x v="16"/>
    <x v="0"/>
    <x v="0"/>
  </r>
  <r>
    <x v="1"/>
    <x v="13"/>
    <s v="3155 F"/>
    <x v="287"/>
    <s v="Usman Amin"/>
    <s v="LDN"/>
    <n v="16"/>
    <s v="5-5.5"/>
    <s v="LDN"/>
    <n v="195"/>
    <x v="1"/>
    <n v="4"/>
    <n v="216.5"/>
    <n v="8"/>
    <m/>
    <x v="0"/>
    <n v="208.5"/>
    <n v="208.5"/>
    <m/>
    <x v="0"/>
    <x v="0"/>
    <n v="0"/>
    <n v="0"/>
    <x v="0"/>
    <x v="0"/>
    <m/>
    <x v="0"/>
    <x v="0"/>
    <x v="0"/>
    <x v="0"/>
    <x v="0"/>
    <n v="0"/>
    <n v="0"/>
    <n v="0"/>
    <n v="12"/>
    <x v="1"/>
    <x v="0"/>
    <m/>
    <x v="0"/>
    <n v="221.5"/>
    <x v="0"/>
    <x v="33"/>
    <x v="16"/>
    <x v="0"/>
    <x v="0"/>
  </r>
  <r>
    <x v="1"/>
    <x v="13"/>
    <s v="3158 F"/>
    <x v="287"/>
    <s v="Usman Amin"/>
    <s v="LDN"/>
    <n v="17"/>
    <s v="8-8.5"/>
    <s v="LDN"/>
    <n v="100"/>
    <x v="1"/>
    <n v="1"/>
    <n v="61"/>
    <n v="1.7"/>
    <m/>
    <x v="0"/>
    <n v="59.3"/>
    <n v="120.6"/>
    <m/>
    <x v="0"/>
    <x v="0"/>
    <n v="0"/>
    <n v="0"/>
    <x v="0"/>
    <x v="0"/>
    <m/>
    <x v="0"/>
    <x v="0"/>
    <x v="0"/>
    <x v="0"/>
    <x v="0"/>
    <n v="0"/>
    <n v="0"/>
    <n v="0"/>
    <n v="12"/>
    <x v="1"/>
    <x v="0"/>
    <m/>
    <x v="0"/>
    <n v="66"/>
    <x v="0"/>
    <x v="33"/>
    <x v="16"/>
    <x v="0"/>
    <x v="0"/>
  </r>
  <r>
    <x v="0"/>
    <x v="12"/>
    <s v="2868/1"/>
    <x v="287"/>
    <s v="AGRI TRADE (SOP) LAMINATION"/>
    <s v="LDN"/>
    <s v="24-24.5"/>
    <s v="60±3"/>
    <s v="AA"/>
    <n v="13620"/>
    <x v="1"/>
    <n v="4"/>
    <n v="611.5"/>
    <n v="11.6"/>
    <n v="4"/>
    <x v="0"/>
    <n v="599.9"/>
    <n v="14026.099999999999"/>
    <m/>
    <x v="0"/>
    <x v="0"/>
    <n v="0"/>
    <n v="0"/>
    <x v="0"/>
    <x v="0"/>
    <m/>
    <x v="0"/>
    <x v="0"/>
    <x v="0"/>
    <x v="0"/>
    <x v="0"/>
    <n v="0"/>
    <n v="0"/>
    <n v="0"/>
    <n v="12"/>
    <x v="1"/>
    <x v="0"/>
    <m/>
    <x v="0"/>
    <n v="616.5"/>
    <x v="0"/>
    <x v="33"/>
    <x v="16"/>
    <x v="0"/>
    <x v="0"/>
  </r>
  <r>
    <x v="1"/>
    <x v="12"/>
    <s v="2868/1"/>
    <x v="287"/>
    <s v="AGRI TRADE (SOP) LAMINATION"/>
    <s v="LDN"/>
    <s v="24-24.5"/>
    <s v="60±3"/>
    <s v="AA"/>
    <n v="13620"/>
    <x v="1"/>
    <n v="4"/>
    <n v="524.5"/>
    <n v="11.6"/>
    <n v="7"/>
    <x v="0"/>
    <n v="512.9"/>
    <n v="14026.099999999999"/>
    <m/>
    <x v="0"/>
    <x v="0"/>
    <n v="0"/>
    <n v="0"/>
    <x v="0"/>
    <x v="0"/>
    <m/>
    <x v="0"/>
    <x v="0"/>
    <x v="0"/>
    <x v="0"/>
    <x v="0"/>
    <n v="0"/>
    <n v="0"/>
    <n v="0"/>
    <n v="12"/>
    <x v="1"/>
    <x v="0"/>
    <m/>
    <x v="0"/>
    <n v="529.5"/>
    <x v="0"/>
    <x v="33"/>
    <x v="16"/>
    <x v="0"/>
    <x v="0"/>
  </r>
  <r>
    <x v="0"/>
    <x v="14"/>
    <s v="2878/1"/>
    <x v="287"/>
    <s v="HEALTH CAPSUL (PT-02)"/>
    <s v="LDN"/>
    <s v="610MM+180MM+180MM"/>
    <s v="16-32"/>
    <s v="SL"/>
    <n v="4000"/>
    <x v="1"/>
    <n v="7"/>
    <n v="826.5"/>
    <n v="21"/>
    <n v="29"/>
    <x v="0"/>
    <n v="805.5"/>
    <n v="4022.9"/>
    <n v="10"/>
    <x v="0"/>
    <x v="0"/>
    <n v="10"/>
    <n v="0.16666666666666666"/>
    <x v="0"/>
    <x v="0"/>
    <m/>
    <x v="0"/>
    <x v="0"/>
    <x v="0"/>
    <x v="0"/>
    <x v="0"/>
    <n v="0"/>
    <n v="0"/>
    <n v="0.16666666666666666"/>
    <n v="11.833333333333334"/>
    <x v="1"/>
    <x v="0"/>
    <m/>
    <x v="0"/>
    <n v="831.5"/>
    <x v="0"/>
    <x v="33"/>
    <x v="16"/>
    <x v="0"/>
    <x v="0"/>
  </r>
  <r>
    <x v="1"/>
    <x v="14"/>
    <s v="8482 J"/>
    <x v="287"/>
    <s v="Service Industry Gujrat"/>
    <s v="LDM"/>
    <s v="428 MM"/>
    <s v="4-4.25/8-8.5"/>
    <s v="LDM"/>
    <n v="100"/>
    <x v="1"/>
    <n v="2"/>
    <n v="111"/>
    <n v="3.5"/>
    <n v="63"/>
    <x v="0"/>
    <n v="107.5"/>
    <n v="217"/>
    <n v="7"/>
    <x v="0"/>
    <x v="0"/>
    <n v="7"/>
    <n v="0.11666666666666667"/>
    <x v="0"/>
    <x v="0"/>
    <m/>
    <x v="0"/>
    <x v="0"/>
    <x v="0"/>
    <x v="0"/>
    <x v="0"/>
    <n v="0"/>
    <n v="0"/>
    <n v="0.11666666666666667"/>
    <n v="11.883333333333333"/>
    <x v="1"/>
    <x v="0"/>
    <m/>
    <x v="0"/>
    <n v="116"/>
    <x v="0"/>
    <x v="33"/>
    <x v="16"/>
    <x v="0"/>
    <x v="0"/>
  </r>
  <r>
    <x v="1"/>
    <x v="14"/>
    <s v="8455 J"/>
    <x v="287"/>
    <s v="V.I.P Mall Chichawatni"/>
    <s v="LDM"/>
    <n v="19.5"/>
    <s v="12.5-13"/>
    <s v="LDM"/>
    <n v="100"/>
    <x v="1"/>
    <n v="2"/>
    <n v="104.5"/>
    <n v="4"/>
    <m/>
    <x v="0"/>
    <n v="100.5"/>
    <n v="100.5"/>
    <n v="7"/>
    <x v="0"/>
    <x v="0"/>
    <n v="7"/>
    <n v="0.11666666666666667"/>
    <x v="0"/>
    <x v="0"/>
    <m/>
    <x v="0"/>
    <x v="0"/>
    <x v="0"/>
    <x v="0"/>
    <x v="0"/>
    <n v="0"/>
    <n v="0"/>
    <n v="0.11666666666666667"/>
    <n v="11.883333333333333"/>
    <x v="1"/>
    <x v="0"/>
    <m/>
    <x v="0"/>
    <n v="109.5"/>
    <x v="0"/>
    <x v="33"/>
    <x v="16"/>
    <x v="0"/>
    <x v="0"/>
  </r>
  <r>
    <x v="1"/>
    <x v="14"/>
    <s v="282 R"/>
    <x v="287"/>
    <s v="ریفلیکٹ پیک"/>
    <s v="LDN"/>
    <n v="23"/>
    <s v="18-19"/>
    <s v="LDN"/>
    <n v="7000"/>
    <x v="1"/>
    <n v="1"/>
    <n v="123"/>
    <n v="3"/>
    <m/>
    <x v="0"/>
    <n v="120"/>
    <n v="6988.9000000000015"/>
    <n v="30"/>
    <x v="0"/>
    <x v="0"/>
    <n v="30"/>
    <n v="0.5"/>
    <x v="0"/>
    <x v="0"/>
    <m/>
    <x v="0"/>
    <x v="0"/>
    <x v="0"/>
    <x v="0"/>
    <x v="0"/>
    <n v="0"/>
    <n v="0"/>
    <n v="0.5"/>
    <n v="11.5"/>
    <x v="1"/>
    <x v="0"/>
    <m/>
    <x v="0"/>
    <n v="128"/>
    <x v="0"/>
    <x v="33"/>
    <x v="16"/>
    <x v="0"/>
    <x v="0"/>
  </r>
  <r>
    <x v="1"/>
    <x v="14"/>
    <s v="8197 J"/>
    <x v="287"/>
    <s v="G.M Tex Lahore"/>
    <s v="LDM"/>
    <n v="18"/>
    <s v="15-16"/>
    <s v="LDM"/>
    <n v="100"/>
    <x v="1"/>
    <n v="1"/>
    <n v="113.5"/>
    <n v="2.5"/>
    <m/>
    <x v="0"/>
    <n v="111"/>
    <n v="250.9"/>
    <m/>
    <x v="0"/>
    <x v="0"/>
    <n v="0"/>
    <n v="0"/>
    <x v="0"/>
    <x v="0"/>
    <m/>
    <x v="0"/>
    <x v="0"/>
    <x v="0"/>
    <x v="0"/>
    <x v="0"/>
    <n v="0"/>
    <n v="0"/>
    <n v="0"/>
    <n v="12"/>
    <x v="1"/>
    <x v="0"/>
    <m/>
    <x v="0"/>
    <n v="118.5"/>
    <x v="0"/>
    <x v="33"/>
    <x v="16"/>
    <x v="0"/>
    <x v="0"/>
  </r>
  <r>
    <x v="1"/>
    <x v="14"/>
    <s v="2873/1"/>
    <x v="287"/>
    <s v="MATCO FOOD"/>
    <s v="LDN"/>
    <s v="22.5-23"/>
    <s v="70±2"/>
    <s v="SL"/>
    <n v="3150"/>
    <x v="1"/>
    <n v="1"/>
    <n v="140"/>
    <n v="3"/>
    <m/>
    <x v="0"/>
    <n v="137"/>
    <n v="2435.6999999999998"/>
    <m/>
    <x v="0"/>
    <x v="0"/>
    <n v="0"/>
    <n v="0"/>
    <x v="0"/>
    <x v="0"/>
    <m/>
    <x v="0"/>
    <x v="0"/>
    <x v="0"/>
    <x v="0"/>
    <x v="0"/>
    <n v="0"/>
    <n v="0"/>
    <n v="0"/>
    <n v="12"/>
    <x v="1"/>
    <x v="0"/>
    <m/>
    <x v="0"/>
    <n v="145"/>
    <x v="0"/>
    <x v="33"/>
    <x v="16"/>
    <x v="0"/>
    <x v="0"/>
  </r>
  <r>
    <x v="0"/>
    <x v="15"/>
    <s v="8431 J"/>
    <x v="287"/>
    <s v="Auto Tech Lahore "/>
    <s v="LDN"/>
    <n v="16"/>
    <s v="9.5-10"/>
    <s v="LDN"/>
    <n v="280"/>
    <x v="1"/>
    <n v="4"/>
    <n v="248"/>
    <n v="8.1"/>
    <m/>
    <x v="0"/>
    <n v="239.9"/>
    <n v="239.9"/>
    <m/>
    <x v="0"/>
    <x v="0"/>
    <n v="0"/>
    <n v="0"/>
    <x v="0"/>
    <x v="0"/>
    <m/>
    <x v="0"/>
    <x v="0"/>
    <x v="0"/>
    <x v="0"/>
    <x v="0"/>
    <n v="0"/>
    <n v="0"/>
    <n v="0"/>
    <n v="12"/>
    <x v="1"/>
    <x v="0"/>
    <m/>
    <x v="0"/>
    <n v="253"/>
    <x v="0"/>
    <x v="33"/>
    <x v="16"/>
    <x v="0"/>
    <x v="0"/>
  </r>
  <r>
    <x v="0"/>
    <x v="15"/>
    <s v="3159 F"/>
    <x v="287"/>
    <s v="Usman Amin"/>
    <s v="LDN"/>
    <n v="24"/>
    <s v="8-8.5"/>
    <s v="LDN"/>
    <n v="625"/>
    <x v="1"/>
    <n v="2"/>
    <n v="166"/>
    <n v="6"/>
    <n v="6"/>
    <x v="0"/>
    <n v="160"/>
    <n v="539.5"/>
    <n v="5"/>
    <x v="0"/>
    <x v="0"/>
    <n v="5"/>
    <n v="8.3333333333333329E-2"/>
    <x v="0"/>
    <x v="0"/>
    <m/>
    <x v="0"/>
    <x v="0"/>
    <x v="0"/>
    <x v="0"/>
    <x v="0"/>
    <n v="0"/>
    <n v="0"/>
    <n v="8.3333333333333329E-2"/>
    <n v="11.916666666666666"/>
    <x v="1"/>
    <x v="0"/>
    <m/>
    <x v="0"/>
    <n v="171"/>
    <x v="0"/>
    <x v="33"/>
    <x v="16"/>
    <x v="0"/>
    <x v="0"/>
  </r>
  <r>
    <x v="1"/>
    <x v="15"/>
    <s v="3159 F"/>
    <x v="287"/>
    <s v="Usman Amin"/>
    <s v="LDN"/>
    <n v="24"/>
    <s v="8-8.5"/>
    <s v="LDN"/>
    <n v="625"/>
    <x v="1"/>
    <n v="5"/>
    <n v="394.5"/>
    <n v="15"/>
    <n v="5"/>
    <x v="0"/>
    <n v="379.5"/>
    <n v="539.5"/>
    <m/>
    <x v="0"/>
    <x v="0"/>
    <n v="0"/>
    <n v="0"/>
    <x v="0"/>
    <x v="0"/>
    <m/>
    <x v="0"/>
    <x v="0"/>
    <x v="0"/>
    <x v="0"/>
    <x v="0"/>
    <n v="0"/>
    <n v="0"/>
    <n v="0"/>
    <n v="12"/>
    <x v="1"/>
    <x v="0"/>
    <m/>
    <x v="0"/>
    <n v="399.5"/>
    <x v="0"/>
    <x v="33"/>
    <x v="16"/>
    <x v="0"/>
    <x v="0"/>
  </r>
  <r>
    <x v="1"/>
    <x v="15"/>
    <s v="8362 J"/>
    <x v="287"/>
    <s v="H.A Industry Peshawar"/>
    <s v="LDN"/>
    <n v="22"/>
    <n v="0"/>
    <s v="LDN"/>
    <n v="100"/>
    <x v="1"/>
    <n v="1"/>
    <n v="59.5"/>
    <n v="2.2000000000000002"/>
    <m/>
    <x v="0"/>
    <n v="57.3"/>
    <n v="106.4"/>
    <m/>
    <x v="0"/>
    <x v="0"/>
    <n v="0"/>
    <n v="0"/>
    <x v="0"/>
    <x v="0"/>
    <m/>
    <x v="0"/>
    <x v="0"/>
    <x v="0"/>
    <x v="0"/>
    <x v="0"/>
    <n v="0"/>
    <n v="0"/>
    <n v="0"/>
    <n v="12"/>
    <x v="1"/>
    <x v="0"/>
    <m/>
    <x v="0"/>
    <n v="64.5"/>
    <x v="0"/>
    <x v="33"/>
    <x v="16"/>
    <x v="0"/>
    <x v="0"/>
  </r>
  <r>
    <x v="0"/>
    <x v="9"/>
    <s v="8414 J"/>
    <x v="288"/>
    <s v="Wah Nobel Private Limited"/>
    <s v="LDN"/>
    <s v="120 MM"/>
    <s v="22-22.5"/>
    <s v="LDN"/>
    <n v="1000"/>
    <x v="1"/>
    <n v="4"/>
    <n v="144.5"/>
    <n v="2.8"/>
    <m/>
    <x v="0"/>
    <n v="141.69999999999999"/>
    <n v="2082.1"/>
    <m/>
    <x v="0"/>
    <x v="0"/>
    <n v="0"/>
    <n v="0"/>
    <x v="0"/>
    <x v="0"/>
    <m/>
    <x v="0"/>
    <x v="0"/>
    <x v="0"/>
    <x v="0"/>
    <x v="0"/>
    <n v="0"/>
    <n v="0"/>
    <n v="0"/>
    <n v="12"/>
    <x v="1"/>
    <x v="0"/>
    <m/>
    <x v="0"/>
    <n v="149.5"/>
    <x v="0"/>
    <x v="33"/>
    <x v="16"/>
    <x v="0"/>
    <x v="0"/>
  </r>
  <r>
    <x v="1"/>
    <x v="9"/>
    <s v="8414 J"/>
    <x v="288"/>
    <s v="Wah Nobel Private Limited"/>
    <s v="LDN"/>
    <s v="120 MM"/>
    <s v="22-22.5"/>
    <s v="LDN"/>
    <n v="1000"/>
    <x v="1"/>
    <n v="3"/>
    <n v="120"/>
    <n v="2.0999999999999996"/>
    <n v="2"/>
    <x v="0"/>
    <n v="117.9"/>
    <n v="2082.1"/>
    <m/>
    <x v="0"/>
    <x v="0"/>
    <n v="0"/>
    <n v="0"/>
    <x v="0"/>
    <x v="0"/>
    <m/>
    <x v="0"/>
    <x v="0"/>
    <x v="0"/>
    <x v="0"/>
    <x v="0"/>
    <n v="0"/>
    <n v="0"/>
    <n v="0"/>
    <n v="12"/>
    <x v="1"/>
    <x v="0"/>
    <m/>
    <x v="0"/>
    <n v="125"/>
    <x v="0"/>
    <x v="33"/>
    <x v="16"/>
    <x v="0"/>
    <x v="0"/>
  </r>
  <r>
    <x v="0"/>
    <x v="10"/>
    <s v="8113 J"/>
    <x v="288"/>
    <s v="Head Office Lahore"/>
    <s v="LD رنگدار"/>
    <n v="16"/>
    <s v="12.5-13"/>
    <s v="LDM"/>
    <n v="1000"/>
    <x v="1"/>
    <n v="1"/>
    <n v="103"/>
    <n v="1.9"/>
    <m/>
    <x v="0"/>
    <n v="101.1"/>
    <n v="821.59999999999991"/>
    <n v="2"/>
    <x v="0"/>
    <x v="0"/>
    <n v="2"/>
    <n v="3.3333333333333333E-2"/>
    <x v="0"/>
    <x v="0"/>
    <m/>
    <x v="0"/>
    <x v="0"/>
    <x v="0"/>
    <x v="0"/>
    <x v="0"/>
    <n v="0"/>
    <n v="0"/>
    <n v="3.3333333333333333E-2"/>
    <n v="11.966666666666667"/>
    <x v="1"/>
    <x v="0"/>
    <m/>
    <x v="0"/>
    <n v="108"/>
    <x v="0"/>
    <x v="33"/>
    <x v="16"/>
    <x v="0"/>
    <x v="0"/>
  </r>
  <r>
    <x v="0"/>
    <x v="10"/>
    <s v="8114 J"/>
    <x v="288"/>
    <s v="Head Office Lahore"/>
    <s v="LD رنگدار"/>
    <n v="18"/>
    <s v="12.5-13"/>
    <s v="LDM"/>
    <n v="1300"/>
    <x v="1"/>
    <n v="3"/>
    <n v="330"/>
    <n v="6"/>
    <n v="5"/>
    <x v="0"/>
    <n v="324"/>
    <n v="1586.3"/>
    <n v="2"/>
    <x v="0"/>
    <x v="0"/>
    <n v="2"/>
    <n v="3.3333333333333333E-2"/>
    <x v="0"/>
    <x v="0"/>
    <m/>
    <x v="0"/>
    <x v="0"/>
    <x v="0"/>
    <x v="0"/>
    <x v="0"/>
    <n v="0"/>
    <n v="0"/>
    <n v="3.3333333333333333E-2"/>
    <n v="11.966666666666667"/>
    <x v="1"/>
    <x v="0"/>
    <m/>
    <x v="0"/>
    <n v="335"/>
    <x v="0"/>
    <x v="33"/>
    <x v="16"/>
    <x v="0"/>
    <x v="0"/>
  </r>
  <r>
    <x v="1"/>
    <x v="10"/>
    <s v="8115 J"/>
    <x v="288"/>
    <s v="Head Office Lahore"/>
    <s v="LD رنگدار"/>
    <n v="21"/>
    <s v="12.5-13"/>
    <s v="LDM"/>
    <n v="1300"/>
    <x v="1"/>
    <n v="3"/>
    <n v="353"/>
    <n v="7.1999999999999993"/>
    <n v="7"/>
    <x v="0"/>
    <n v="345.8"/>
    <n v="1298.7"/>
    <m/>
    <x v="0"/>
    <x v="0"/>
    <n v="0"/>
    <n v="0"/>
    <x v="0"/>
    <x v="0"/>
    <m/>
    <x v="0"/>
    <x v="0"/>
    <x v="0"/>
    <x v="0"/>
    <x v="0"/>
    <n v="0"/>
    <n v="0"/>
    <n v="0"/>
    <n v="12"/>
    <x v="1"/>
    <x v="0"/>
    <m/>
    <x v="0"/>
    <n v="358"/>
    <x v="0"/>
    <x v="33"/>
    <x v="16"/>
    <x v="0"/>
    <x v="0"/>
  </r>
  <r>
    <x v="1"/>
    <x v="10"/>
    <s v="8115 J"/>
    <x v="288"/>
    <s v="Head Office Lahore"/>
    <s v="LD رنگدار"/>
    <n v="21"/>
    <s v="12.5-13"/>
    <s v="LDM"/>
    <n v="1300"/>
    <x v="1"/>
    <n v="2"/>
    <n v="165"/>
    <n v="4.8"/>
    <m/>
    <x v="0"/>
    <n v="160.19999999999999"/>
    <n v="1298.7"/>
    <m/>
    <x v="0"/>
    <x v="0"/>
    <n v="0"/>
    <n v="0"/>
    <x v="0"/>
    <x v="0"/>
    <m/>
    <x v="0"/>
    <x v="0"/>
    <x v="0"/>
    <x v="0"/>
    <x v="0"/>
    <n v="0"/>
    <n v="0"/>
    <n v="0"/>
    <n v="12"/>
    <x v="1"/>
    <x v="0"/>
    <m/>
    <x v="0"/>
    <n v="170"/>
    <x v="0"/>
    <x v="33"/>
    <x v="16"/>
    <x v="0"/>
    <x v="0"/>
  </r>
  <r>
    <x v="0"/>
    <x v="11"/>
    <s v="8421 J"/>
    <x v="288"/>
    <s v="Javed Enterprises Gujranwala"/>
    <s v="LDM"/>
    <n v="14"/>
    <s v="20-21"/>
    <s v="LDM"/>
    <n v="300"/>
    <x v="1"/>
    <n v="2"/>
    <n v="150.5"/>
    <n v="3.4"/>
    <m/>
    <x v="0"/>
    <n v="147.1"/>
    <n v="304.79999999999995"/>
    <m/>
    <x v="0"/>
    <x v="0"/>
    <n v="0"/>
    <n v="0"/>
    <x v="0"/>
    <x v="0"/>
    <m/>
    <x v="0"/>
    <x v="0"/>
    <x v="0"/>
    <x v="0"/>
    <x v="0"/>
    <n v="0"/>
    <n v="0"/>
    <n v="0"/>
    <n v="12"/>
    <x v="1"/>
    <x v="0"/>
    <m/>
    <x v="0"/>
    <n v="155.5"/>
    <x v="0"/>
    <x v="33"/>
    <x v="16"/>
    <x v="0"/>
    <x v="0"/>
  </r>
  <r>
    <x v="0"/>
    <x v="11"/>
    <s v="8343 J"/>
    <x v="288"/>
    <s v="Raja Shoes Lahore"/>
    <s v="LDM"/>
    <s v="9+2.5+2.5"/>
    <s v="4.75-5.25/9.5-10.5"/>
    <s v="LDM"/>
    <n v="1400"/>
    <x v="1"/>
    <n v="6"/>
    <n v="231.52"/>
    <n v="6"/>
    <n v="3"/>
    <x v="0"/>
    <n v="225.52"/>
    <n v="1371.02"/>
    <n v="2"/>
    <x v="0"/>
    <x v="0"/>
    <n v="2"/>
    <n v="3.3333333333333333E-2"/>
    <x v="0"/>
    <x v="0"/>
    <m/>
    <x v="0"/>
    <x v="0"/>
    <x v="0"/>
    <x v="0"/>
    <x v="0"/>
    <n v="0"/>
    <n v="0"/>
    <n v="3.3333333333333333E-2"/>
    <n v="11.966666666666667"/>
    <x v="1"/>
    <x v="0"/>
    <m/>
    <x v="0"/>
    <n v="236.52"/>
    <x v="0"/>
    <x v="33"/>
    <x v="16"/>
    <x v="0"/>
    <x v="0"/>
  </r>
  <r>
    <x v="1"/>
    <x v="11"/>
    <s v="8343 J"/>
    <x v="288"/>
    <s v="Raja Shoes Lahore"/>
    <s v="LDM"/>
    <s v="9+2.5+2.5"/>
    <s v="4.75-5.25/9.5-10.5"/>
    <s v="LDM"/>
    <n v="1400"/>
    <x v="1"/>
    <n v="7"/>
    <n v="327.5"/>
    <n v="7"/>
    <n v="15"/>
    <x v="0"/>
    <n v="320.5"/>
    <n v="1371.02"/>
    <m/>
    <x v="0"/>
    <x v="0"/>
    <n v="0"/>
    <n v="0"/>
    <x v="0"/>
    <x v="0"/>
    <m/>
    <x v="0"/>
    <x v="0"/>
    <x v="0"/>
    <x v="0"/>
    <x v="0"/>
    <n v="0"/>
    <n v="0"/>
    <n v="0"/>
    <n v="12"/>
    <x v="1"/>
    <x v="0"/>
    <m/>
    <x v="0"/>
    <n v="332.5"/>
    <x v="0"/>
    <x v="33"/>
    <x v="16"/>
    <x v="0"/>
    <x v="0"/>
  </r>
  <r>
    <x v="0"/>
    <x v="13"/>
    <s v="3158 F"/>
    <x v="288"/>
    <s v="Usman Amin"/>
    <s v="LDN"/>
    <n v="17"/>
    <s v="8-8.5"/>
    <s v="LDN"/>
    <n v="100"/>
    <x v="1"/>
    <n v="1"/>
    <n v="63"/>
    <n v="1.7"/>
    <m/>
    <x v="0"/>
    <n v="61.3"/>
    <n v="120.6"/>
    <m/>
    <x v="0"/>
    <x v="0"/>
    <n v="0"/>
    <n v="0"/>
    <x v="0"/>
    <x v="0"/>
    <m/>
    <x v="0"/>
    <x v="0"/>
    <x v="0"/>
    <x v="0"/>
    <x v="0"/>
    <n v="0"/>
    <n v="0"/>
    <n v="0"/>
    <n v="12"/>
    <x v="1"/>
    <x v="0"/>
    <m/>
    <x v="0"/>
    <n v="68"/>
    <x v="0"/>
    <x v="33"/>
    <x v="16"/>
    <x v="0"/>
    <x v="0"/>
  </r>
  <r>
    <x v="0"/>
    <x v="13"/>
    <s v="3157 F"/>
    <x v="288"/>
    <s v="Usman Amin"/>
    <s v="LDN"/>
    <n v="21"/>
    <s v="7.7.5"/>
    <s v="LDN"/>
    <n v="190"/>
    <x v="1"/>
    <n v="3"/>
    <n v="216.5"/>
    <n v="7.5"/>
    <m/>
    <x v="0"/>
    <n v="209"/>
    <n v="209"/>
    <n v="2"/>
    <x v="0"/>
    <x v="0"/>
    <n v="2"/>
    <n v="3.3333333333333333E-2"/>
    <x v="0"/>
    <x v="0"/>
    <m/>
    <x v="0"/>
    <x v="0"/>
    <x v="0"/>
    <x v="0"/>
    <x v="0"/>
    <n v="0"/>
    <n v="0"/>
    <n v="3.3333333333333333E-2"/>
    <n v="11.966666666666667"/>
    <x v="1"/>
    <x v="0"/>
    <m/>
    <x v="0"/>
    <n v="221.5"/>
    <x v="0"/>
    <x v="33"/>
    <x v="16"/>
    <x v="0"/>
    <x v="0"/>
  </r>
  <r>
    <x v="0"/>
    <x v="13"/>
    <s v="3164 F"/>
    <x v="288"/>
    <s v="Usman Amin"/>
    <s v="LDN"/>
    <n v="21"/>
    <s v="5-5.5"/>
    <s v="LDN"/>
    <n v="195"/>
    <x v="1"/>
    <n v="1"/>
    <n v="60.5"/>
    <n v="2.6"/>
    <n v="4"/>
    <x v="0"/>
    <n v="57.9"/>
    <n v="338.59999999999997"/>
    <m/>
    <x v="0"/>
    <x v="0"/>
    <n v="0"/>
    <n v="0"/>
    <x v="0"/>
    <x v="0"/>
    <m/>
    <x v="0"/>
    <x v="0"/>
    <x v="0"/>
    <x v="0"/>
    <x v="0"/>
    <n v="0"/>
    <n v="0"/>
    <n v="0"/>
    <n v="12"/>
    <x v="1"/>
    <x v="0"/>
    <m/>
    <x v="0"/>
    <n v="65.5"/>
    <x v="0"/>
    <x v="33"/>
    <x v="16"/>
    <x v="0"/>
    <x v="0"/>
  </r>
  <r>
    <x v="1"/>
    <x v="13"/>
    <s v="3164 F"/>
    <x v="288"/>
    <s v="Usman Amin"/>
    <s v="LDN"/>
    <n v="21"/>
    <s v="5-5.5"/>
    <s v="LDN"/>
    <n v="195"/>
    <x v="1"/>
    <n v="4"/>
    <n v="291"/>
    <n v="10.3"/>
    <n v="10"/>
    <x v="0"/>
    <n v="280.7"/>
    <n v="338.59999999999997"/>
    <m/>
    <x v="0"/>
    <x v="0"/>
    <n v="0"/>
    <n v="0"/>
    <x v="0"/>
    <x v="0"/>
    <m/>
    <x v="0"/>
    <x v="0"/>
    <x v="0"/>
    <x v="0"/>
    <x v="0"/>
    <n v="0"/>
    <n v="0"/>
    <n v="0"/>
    <n v="12"/>
    <x v="1"/>
    <x v="0"/>
    <m/>
    <x v="0"/>
    <n v="296"/>
    <x v="0"/>
    <x v="33"/>
    <x v="16"/>
    <x v="0"/>
    <x v="0"/>
  </r>
  <r>
    <x v="0"/>
    <x v="12"/>
    <s v="2868/1"/>
    <x v="288"/>
    <s v="AGRI TRADE (SOP) LAMINATION"/>
    <s v="LDN"/>
    <s v="24-24.5"/>
    <s v="60±3"/>
    <s v="AA"/>
    <n v="13620"/>
    <x v="1"/>
    <n v="2"/>
    <n v="192.5"/>
    <n v="5.8"/>
    <m/>
    <x v="0"/>
    <n v="186.7"/>
    <n v="14026.099999999999"/>
    <m/>
    <x v="0"/>
    <x v="0"/>
    <n v="0"/>
    <n v="0"/>
    <x v="0"/>
    <x v="0"/>
    <m/>
    <x v="0"/>
    <x v="0"/>
    <x v="0"/>
    <x v="0"/>
    <x v="0"/>
    <n v="0"/>
    <n v="0"/>
    <n v="0"/>
    <n v="12"/>
    <x v="1"/>
    <x v="0"/>
    <m/>
    <x v="0"/>
    <n v="197.5"/>
    <x v="0"/>
    <x v="33"/>
    <x v="16"/>
    <x v="0"/>
    <x v="0"/>
  </r>
  <r>
    <x v="0"/>
    <x v="12"/>
    <s v="2874/1"/>
    <x v="288"/>
    <s v="OLYMPIA CHEM (CARBONATE)"/>
    <s v="LDN"/>
    <s v="21-21.5"/>
    <s v="30±2"/>
    <s v="SL"/>
    <n v="1200"/>
    <x v="1"/>
    <n v="3"/>
    <n v="261"/>
    <n v="7.8000000000000007"/>
    <n v="4"/>
    <x v="0"/>
    <n v="253.2"/>
    <n v="1618.1"/>
    <n v="2"/>
    <x v="0"/>
    <x v="0"/>
    <n v="2"/>
    <n v="3.3333333333333333E-2"/>
    <x v="0"/>
    <x v="0"/>
    <m/>
    <x v="0"/>
    <x v="0"/>
    <x v="0"/>
    <x v="0"/>
    <x v="0"/>
    <n v="0"/>
    <n v="0"/>
    <n v="3.3333333333333333E-2"/>
    <n v="11.966666666666667"/>
    <x v="1"/>
    <x v="0"/>
    <m/>
    <x v="0"/>
    <n v="266"/>
    <x v="0"/>
    <x v="33"/>
    <x v="16"/>
    <x v="0"/>
    <x v="0"/>
  </r>
  <r>
    <x v="1"/>
    <x v="12"/>
    <s v="2874/1"/>
    <x v="288"/>
    <s v="OLYMPIA CHEM (CARBONATE)"/>
    <s v="LDN"/>
    <s v="21-21.5"/>
    <s v="30±2"/>
    <s v="SL"/>
    <n v="1200"/>
    <x v="1"/>
    <n v="1"/>
    <n v="104.5"/>
    <n v="2.6"/>
    <n v="12"/>
    <x v="0"/>
    <n v="101.9"/>
    <n v="1618.1"/>
    <n v="2"/>
    <x v="0"/>
    <x v="0"/>
    <n v="2"/>
    <n v="3.3333333333333333E-2"/>
    <x v="0"/>
    <x v="0"/>
    <m/>
    <x v="0"/>
    <x v="0"/>
    <x v="0"/>
    <x v="0"/>
    <x v="0"/>
    <n v="0"/>
    <n v="0"/>
    <n v="3.3333333333333333E-2"/>
    <n v="11.966666666666667"/>
    <x v="1"/>
    <x v="0"/>
    <m/>
    <x v="0"/>
    <n v="109.5"/>
    <x v="0"/>
    <x v="33"/>
    <x v="16"/>
    <x v="0"/>
    <x v="0"/>
  </r>
  <r>
    <x v="1"/>
    <x v="12"/>
    <s v="282 R"/>
    <x v="288"/>
    <s v="ریفلیکٹ پیک"/>
    <s v="LDN"/>
    <n v="23"/>
    <s v="18-19"/>
    <s v="LDN"/>
    <n v="7000"/>
    <x v="1"/>
    <n v="2"/>
    <n v="206.5"/>
    <n v="4"/>
    <m/>
    <x v="0"/>
    <n v="202.5"/>
    <n v="6988.9000000000015"/>
    <n v="1"/>
    <x v="0"/>
    <x v="0"/>
    <n v="1"/>
    <n v="1.6666666666666666E-2"/>
    <x v="0"/>
    <x v="0"/>
    <m/>
    <x v="0"/>
    <x v="0"/>
    <x v="0"/>
    <x v="0"/>
    <x v="0"/>
    <n v="0"/>
    <n v="0"/>
    <n v="1.6666666666666666E-2"/>
    <n v="11.983333333333333"/>
    <x v="1"/>
    <x v="0"/>
    <m/>
    <x v="0"/>
    <n v="211.5"/>
    <x v="0"/>
    <x v="33"/>
    <x v="16"/>
    <x v="0"/>
    <x v="0"/>
  </r>
  <r>
    <x v="1"/>
    <x v="12"/>
    <s v="2875/1"/>
    <x v="288"/>
    <s v="SITARA CHECMICAL"/>
    <s v="LDN"/>
    <s v="24-24.5"/>
    <s v="100±1"/>
    <s v="SL"/>
    <n v="5000"/>
    <x v="1"/>
    <n v="2"/>
    <n v="240.5"/>
    <n v="4"/>
    <m/>
    <x v="0"/>
    <n v="236.5"/>
    <n v="5072.5"/>
    <m/>
    <x v="0"/>
    <x v="0"/>
    <n v="0"/>
    <n v="0"/>
    <x v="0"/>
    <x v="0"/>
    <m/>
    <x v="0"/>
    <x v="0"/>
    <x v="0"/>
    <x v="0"/>
    <x v="0"/>
    <n v="0"/>
    <n v="0"/>
    <n v="0"/>
    <n v="12"/>
    <x v="1"/>
    <x v="0"/>
    <m/>
    <x v="0"/>
    <n v="245.5"/>
    <x v="0"/>
    <x v="33"/>
    <x v="16"/>
    <x v="0"/>
    <x v="0"/>
  </r>
  <r>
    <x v="0"/>
    <x v="14"/>
    <s v="282 R"/>
    <x v="288"/>
    <s v="ریفلیکٹ پیک"/>
    <s v="LDN"/>
    <n v="23"/>
    <s v="18-19"/>
    <s v="LDN"/>
    <n v="7000"/>
    <x v="1"/>
    <n v="6"/>
    <n v="697"/>
    <n v="18"/>
    <n v="9"/>
    <x v="0"/>
    <n v="679"/>
    <n v="6988.9000000000015"/>
    <m/>
    <x v="0"/>
    <x v="0"/>
    <n v="0"/>
    <n v="0"/>
    <x v="0"/>
    <x v="0"/>
    <m/>
    <x v="0"/>
    <x v="0"/>
    <x v="0"/>
    <x v="0"/>
    <x v="0"/>
    <n v="0"/>
    <n v="0"/>
    <n v="0"/>
    <n v="12"/>
    <x v="1"/>
    <x v="0"/>
    <m/>
    <x v="0"/>
    <n v="702"/>
    <x v="0"/>
    <x v="33"/>
    <x v="16"/>
    <x v="0"/>
    <x v="0"/>
  </r>
  <r>
    <x v="1"/>
    <x v="14"/>
    <s v="282 R"/>
    <x v="288"/>
    <s v="ریفلیکٹ پیک"/>
    <s v="LDN"/>
    <n v="23"/>
    <s v="18-19"/>
    <s v="LDN"/>
    <n v="7000"/>
    <x v="1"/>
    <n v="3"/>
    <n v="366"/>
    <n v="5.5"/>
    <n v="20"/>
    <x v="0"/>
    <n v="360.5"/>
    <n v="6988.9000000000015"/>
    <n v="3"/>
    <x v="0"/>
    <x v="0"/>
    <n v="3"/>
    <n v="0.05"/>
    <x v="0"/>
    <x v="0"/>
    <m/>
    <x v="0"/>
    <x v="0"/>
    <x v="0"/>
    <x v="0"/>
    <x v="0"/>
    <n v="0"/>
    <n v="0"/>
    <n v="0.05"/>
    <n v="11.95"/>
    <x v="1"/>
    <x v="0"/>
    <m/>
    <x v="0"/>
    <n v="371"/>
    <x v="0"/>
    <x v="33"/>
    <x v="16"/>
    <x v="0"/>
    <x v="0"/>
  </r>
  <r>
    <x v="1"/>
    <x v="14"/>
    <s v="2875/1"/>
    <x v="288"/>
    <s v="SITARA CHECMICAL"/>
    <s v="LDN"/>
    <s v="24-24.5"/>
    <s v="100±1"/>
    <s v="SL"/>
    <n v="5000"/>
    <x v="1"/>
    <n v="3"/>
    <n v="355.5"/>
    <n v="7"/>
    <m/>
    <x v="0"/>
    <n v="348.5"/>
    <n v="5072.5"/>
    <m/>
    <x v="0"/>
    <x v="0"/>
    <n v="0"/>
    <n v="0"/>
    <x v="0"/>
    <x v="0"/>
    <m/>
    <x v="0"/>
    <x v="0"/>
    <x v="0"/>
    <x v="0"/>
    <x v="0"/>
    <n v="0"/>
    <n v="0"/>
    <n v="0"/>
    <n v="12"/>
    <x v="1"/>
    <x v="0"/>
    <m/>
    <x v="0"/>
    <n v="360.5"/>
    <x v="0"/>
    <x v="33"/>
    <x v="16"/>
    <x v="0"/>
    <x v="0"/>
  </r>
  <r>
    <x v="0"/>
    <x v="15"/>
    <s v="8362 J"/>
    <x v="288"/>
    <s v="H.A Industry Peshawar"/>
    <s v="LDN"/>
    <n v="22"/>
    <n v="0"/>
    <s v="LDN"/>
    <n v="100"/>
    <x v="1"/>
    <n v="1"/>
    <n v="52"/>
    <n v="2.9"/>
    <m/>
    <x v="0"/>
    <n v="49.1"/>
    <n v="106.4"/>
    <m/>
    <x v="0"/>
    <x v="0"/>
    <n v="0"/>
    <n v="0"/>
    <x v="0"/>
    <x v="0"/>
    <m/>
    <x v="0"/>
    <x v="0"/>
    <x v="0"/>
    <x v="0"/>
    <x v="0"/>
    <n v="0"/>
    <n v="0"/>
    <n v="0"/>
    <n v="12"/>
    <x v="1"/>
    <x v="0"/>
    <m/>
    <x v="0"/>
    <n v="57"/>
    <x v="0"/>
    <x v="33"/>
    <x v="16"/>
    <x v="0"/>
    <x v="0"/>
  </r>
  <r>
    <x v="0"/>
    <x v="15"/>
    <s v="8354 J"/>
    <x v="288"/>
    <s v="Hammad Plastic Gujranwala"/>
    <s v="LDN"/>
    <n v="14"/>
    <s v="5.5-6"/>
    <s v="LDN"/>
    <n v="100"/>
    <x v="1"/>
    <n v="3"/>
    <n v="102"/>
    <n v="5.3"/>
    <m/>
    <x v="0"/>
    <n v="96.7"/>
    <n v="96.7"/>
    <m/>
    <x v="0"/>
    <x v="0"/>
    <n v="0"/>
    <n v="0"/>
    <x v="0"/>
    <x v="0"/>
    <m/>
    <x v="0"/>
    <x v="0"/>
    <x v="0"/>
    <x v="0"/>
    <x v="0"/>
    <n v="0"/>
    <n v="0"/>
    <n v="0"/>
    <n v="12"/>
    <x v="1"/>
    <x v="0"/>
    <m/>
    <x v="0"/>
    <n v="107"/>
    <x v="0"/>
    <x v="33"/>
    <x v="16"/>
    <x v="0"/>
    <x v="0"/>
  </r>
  <r>
    <x v="0"/>
    <x v="15"/>
    <s v="8525 J"/>
    <x v="288"/>
    <s v="Airy Food Gujranwala"/>
    <s v="LDN"/>
    <n v="24"/>
    <s v="-"/>
    <s v="LDN"/>
    <n v="500"/>
    <x v="1"/>
    <n v="2"/>
    <n v="230"/>
    <n v="5.6999999999999993"/>
    <n v="8"/>
    <x v="0"/>
    <n v="224.3"/>
    <n v="514.6"/>
    <n v="3"/>
    <x v="0"/>
    <x v="0"/>
    <n v="3"/>
    <n v="0.05"/>
    <x v="0"/>
    <x v="7"/>
    <m/>
    <x v="0"/>
    <x v="0"/>
    <x v="0"/>
    <x v="0"/>
    <x v="0"/>
    <n v="5"/>
    <n v="8.3333333333333329E-2"/>
    <n v="0.13333333333333333"/>
    <n v="11.866666666666667"/>
    <x v="1"/>
    <x v="0"/>
    <m/>
    <x v="0"/>
    <n v="235"/>
    <x v="0"/>
    <x v="33"/>
    <x v="16"/>
    <x v="0"/>
    <x v="0"/>
  </r>
  <r>
    <x v="1"/>
    <x v="15"/>
    <s v="8525 J"/>
    <x v="288"/>
    <s v="Airy Food Gujranwala"/>
    <s v="LDN"/>
    <n v="24"/>
    <s v="-"/>
    <s v="LDN"/>
    <n v="500"/>
    <x v="1"/>
    <n v="3"/>
    <n v="299"/>
    <n v="8.6999999999999993"/>
    <n v="10"/>
    <x v="0"/>
    <n v="290.3"/>
    <n v="514.6"/>
    <m/>
    <x v="0"/>
    <x v="0"/>
    <n v="0"/>
    <n v="0"/>
    <x v="0"/>
    <x v="0"/>
    <m/>
    <x v="0"/>
    <x v="0"/>
    <x v="0"/>
    <x v="0"/>
    <x v="0"/>
    <n v="0"/>
    <n v="0"/>
    <n v="0"/>
    <n v="12"/>
    <x v="1"/>
    <x v="0"/>
    <m/>
    <x v="0"/>
    <n v="304"/>
    <x v="0"/>
    <x v="33"/>
    <x v="16"/>
    <x v="0"/>
    <x v="0"/>
  </r>
  <r>
    <x v="1"/>
    <x v="15"/>
    <s v="8523 J"/>
    <x v="288"/>
    <s v="Super Diamond Food Kamoki"/>
    <s v="LDN"/>
    <n v="22"/>
    <s v="7.5-8"/>
    <s v="LDN"/>
    <n v="250"/>
    <x v="1"/>
    <n v="2"/>
    <n v="143"/>
    <n v="5.4"/>
    <m/>
    <x v="0"/>
    <n v="137.6"/>
    <n v="247.8"/>
    <m/>
    <x v="0"/>
    <x v="0"/>
    <n v="0"/>
    <n v="0"/>
    <x v="0"/>
    <x v="0"/>
    <m/>
    <x v="0"/>
    <x v="0"/>
    <x v="0"/>
    <x v="0"/>
    <x v="0"/>
    <n v="0"/>
    <n v="0"/>
    <n v="0"/>
    <n v="12"/>
    <x v="1"/>
    <x v="0"/>
    <m/>
    <x v="0"/>
    <n v="148"/>
    <x v="0"/>
    <x v="33"/>
    <x v="16"/>
    <x v="0"/>
    <x v="0"/>
  </r>
  <r>
    <x v="0"/>
    <x v="0"/>
    <s v="8414 J"/>
    <x v="289"/>
    <s v="Wah Nobel Private Limited"/>
    <s v="LDN"/>
    <s v="120 MM"/>
    <s v="22-22.5"/>
    <s v="LDN"/>
    <n v="1000"/>
    <x v="1"/>
    <n v="4"/>
    <n v="150"/>
    <n v="2.8"/>
    <n v="2"/>
    <x v="0"/>
    <n v="147.19999999999999"/>
    <n v="2082.1"/>
    <m/>
    <x v="0"/>
    <x v="0"/>
    <n v="0"/>
    <n v="0"/>
    <x v="0"/>
    <x v="0"/>
    <m/>
    <x v="0"/>
    <x v="0"/>
    <x v="0"/>
    <x v="0"/>
    <x v="0"/>
    <n v="0"/>
    <n v="0"/>
    <n v="0"/>
    <n v="12"/>
    <x v="1"/>
    <x v="0"/>
    <m/>
    <x v="0"/>
    <n v="155"/>
    <x v="0"/>
    <x v="33"/>
    <x v="16"/>
    <x v="0"/>
    <x v="0"/>
  </r>
  <r>
    <x v="1"/>
    <x v="0"/>
    <s v="8414 J"/>
    <x v="289"/>
    <s v="Wah Nobel Private Limited"/>
    <s v="LDN"/>
    <s v="120 MM"/>
    <s v="22-22.5"/>
    <s v="LDN"/>
    <n v="1000"/>
    <x v="1"/>
    <n v="3"/>
    <n v="119.5"/>
    <n v="2.0999999999999996"/>
    <m/>
    <x v="0"/>
    <n v="117.4"/>
    <n v="2082.1"/>
    <m/>
    <x v="0"/>
    <x v="0"/>
    <n v="0"/>
    <n v="0"/>
    <x v="0"/>
    <x v="0"/>
    <m/>
    <x v="0"/>
    <x v="0"/>
    <x v="0"/>
    <x v="0"/>
    <x v="0"/>
    <n v="0"/>
    <n v="0"/>
    <n v="0"/>
    <n v="12"/>
    <x v="1"/>
    <x v="0"/>
    <m/>
    <x v="0"/>
    <n v="124.5"/>
    <x v="0"/>
    <x v="33"/>
    <x v="16"/>
    <x v="0"/>
    <x v="0"/>
  </r>
  <r>
    <x v="0"/>
    <x v="2"/>
    <s v="8115 J"/>
    <x v="289"/>
    <s v="Head Office Lahore"/>
    <s v="LD رنگدار"/>
    <n v="21"/>
    <s v="12.5-13"/>
    <s v="LDM"/>
    <n v="1300"/>
    <x v="1"/>
    <n v="2"/>
    <n v="197.5"/>
    <n v="4.8"/>
    <n v="7"/>
    <x v="0"/>
    <n v="192.7"/>
    <n v="1298.7"/>
    <n v="4"/>
    <x v="0"/>
    <x v="0"/>
    <n v="4"/>
    <n v="6.6666666666666666E-2"/>
    <x v="0"/>
    <x v="0"/>
    <m/>
    <x v="0"/>
    <x v="0"/>
    <x v="0"/>
    <x v="0"/>
    <x v="0"/>
    <n v="0"/>
    <n v="0"/>
    <n v="6.6666666666666666E-2"/>
    <n v="11.933333333333334"/>
    <x v="1"/>
    <x v="0"/>
    <m/>
    <x v="0"/>
    <n v="202.5"/>
    <x v="0"/>
    <x v="33"/>
    <x v="16"/>
    <x v="0"/>
    <x v="0"/>
  </r>
  <r>
    <x v="0"/>
    <x v="2"/>
    <s v="8114 J"/>
    <x v="289"/>
    <s v="Head Office Lahore"/>
    <s v="LD رنگدار"/>
    <n v="18"/>
    <s v="12.5-13"/>
    <s v="LDM"/>
    <n v="1300"/>
    <x v="1"/>
    <n v="3"/>
    <n v="320.5"/>
    <n v="7.1999999999999993"/>
    <m/>
    <x v="0"/>
    <n v="313.3"/>
    <n v="1586.3"/>
    <m/>
    <x v="0"/>
    <x v="0"/>
    <n v="0"/>
    <n v="0"/>
    <x v="0"/>
    <x v="0"/>
    <m/>
    <x v="0"/>
    <x v="0"/>
    <x v="0"/>
    <x v="0"/>
    <x v="0"/>
    <n v="0"/>
    <n v="0"/>
    <n v="0"/>
    <n v="12"/>
    <x v="1"/>
    <x v="0"/>
    <m/>
    <x v="0"/>
    <n v="325.5"/>
    <x v="0"/>
    <x v="33"/>
    <x v="16"/>
    <x v="0"/>
    <x v="0"/>
  </r>
  <r>
    <x v="1"/>
    <x v="2"/>
    <s v="8114 J"/>
    <x v="289"/>
    <s v="Head Office Lahore"/>
    <s v="LD رنگدار"/>
    <n v="18"/>
    <s v="12.5-13"/>
    <s v="LDM"/>
    <n v="1300"/>
    <x v="1"/>
    <n v="3"/>
    <n v="251.5"/>
    <n v="5.6999999999999993"/>
    <n v="9"/>
    <x v="0"/>
    <n v="245.8"/>
    <n v="1586.3"/>
    <m/>
    <x v="0"/>
    <x v="0"/>
    <n v="0"/>
    <n v="0"/>
    <x v="0"/>
    <x v="0"/>
    <m/>
    <x v="0"/>
    <x v="0"/>
    <x v="0"/>
    <x v="0"/>
    <x v="0"/>
    <n v="0"/>
    <n v="0"/>
    <n v="0"/>
    <n v="12"/>
    <x v="1"/>
    <x v="0"/>
    <m/>
    <x v="0"/>
    <n v="256.5"/>
    <x v="0"/>
    <x v="33"/>
    <x v="16"/>
    <x v="0"/>
    <x v="0"/>
  </r>
  <r>
    <x v="1"/>
    <x v="2"/>
    <s v="8112 J"/>
    <x v="289"/>
    <s v="Head Office Lahore"/>
    <s v="LD رنگدار"/>
    <n v="13"/>
    <s v="12.5-13"/>
    <s v="LDM"/>
    <n v="1000"/>
    <x v="1"/>
    <n v="2"/>
    <n v="157"/>
    <n v="3"/>
    <m/>
    <x v="0"/>
    <n v="154"/>
    <n v="1053.5999999999999"/>
    <m/>
    <x v="0"/>
    <x v="0"/>
    <n v="0"/>
    <n v="0"/>
    <x v="0"/>
    <x v="0"/>
    <m/>
    <x v="0"/>
    <x v="0"/>
    <x v="0"/>
    <x v="0"/>
    <x v="0"/>
    <n v="0"/>
    <n v="0"/>
    <n v="0"/>
    <n v="12"/>
    <x v="1"/>
    <x v="0"/>
    <m/>
    <x v="0"/>
    <n v="162"/>
    <x v="0"/>
    <x v="33"/>
    <x v="16"/>
    <x v="0"/>
    <x v="0"/>
  </r>
  <r>
    <x v="0"/>
    <x v="3"/>
    <s v="8343 J"/>
    <x v="289"/>
    <s v="Raja Shoes Lahore"/>
    <s v="LDM"/>
    <s v="9+2.5+2.5"/>
    <s v="4.75-5.25/9.5-10.5"/>
    <s v="LDM"/>
    <n v="1400"/>
    <x v="1"/>
    <n v="8"/>
    <n v="227"/>
    <n v="8"/>
    <m/>
    <x v="0"/>
    <n v="219"/>
    <n v="1371.02"/>
    <m/>
    <x v="0"/>
    <x v="0"/>
    <n v="0"/>
    <n v="0"/>
    <x v="0"/>
    <x v="0"/>
    <m/>
    <x v="0"/>
    <x v="0"/>
    <x v="0"/>
    <x v="3"/>
    <x v="0"/>
    <n v="30"/>
    <n v="0.5"/>
    <n v="0.5"/>
    <n v="11.5"/>
    <x v="1"/>
    <x v="0"/>
    <m/>
    <x v="0"/>
    <n v="232"/>
    <x v="0"/>
    <x v="33"/>
    <x v="16"/>
    <x v="0"/>
    <x v="0"/>
  </r>
  <r>
    <x v="0"/>
    <x v="3"/>
    <s v="8484 J"/>
    <x v="289"/>
    <s v="Ahmed Miss Print Sheikhupura"/>
    <s v="LDرنگدار"/>
    <n v="18"/>
    <s v="13-14"/>
    <s v="LDM"/>
    <n v="300"/>
    <x v="1"/>
    <n v="1"/>
    <n v="44"/>
    <n v="2"/>
    <n v="32"/>
    <x v="0"/>
    <n v="42"/>
    <n v="269"/>
    <m/>
    <x v="0"/>
    <x v="0"/>
    <n v="0"/>
    <n v="0"/>
    <x v="0"/>
    <x v="0"/>
    <m/>
    <x v="0"/>
    <x v="0"/>
    <x v="0"/>
    <x v="0"/>
    <x v="0"/>
    <n v="0"/>
    <n v="0"/>
    <n v="0"/>
    <n v="12"/>
    <x v="1"/>
    <x v="0"/>
    <m/>
    <x v="0"/>
    <n v="49"/>
    <x v="0"/>
    <x v="33"/>
    <x v="16"/>
    <x v="0"/>
    <x v="0"/>
  </r>
  <r>
    <x v="0"/>
    <x v="6"/>
    <s v="3163 F"/>
    <x v="289"/>
    <s v="Usman Amin"/>
    <s v="LDN"/>
    <n v="19"/>
    <s v="5-5.5"/>
    <s v="LDN"/>
    <n v="125"/>
    <x v="1"/>
    <n v="5"/>
    <n v="367"/>
    <n v="7.5"/>
    <n v="4"/>
    <x v="0"/>
    <n v="359.5"/>
    <n v="359.5"/>
    <m/>
    <x v="0"/>
    <x v="0"/>
    <n v="0"/>
    <n v="0"/>
    <x v="0"/>
    <x v="0"/>
    <m/>
    <x v="0"/>
    <x v="0"/>
    <x v="0"/>
    <x v="0"/>
    <x v="0"/>
    <n v="0"/>
    <n v="0"/>
    <n v="0"/>
    <n v="12"/>
    <x v="1"/>
    <x v="0"/>
    <m/>
    <x v="0"/>
    <n v="372"/>
    <x v="0"/>
    <x v="33"/>
    <x v="16"/>
    <x v="0"/>
    <x v="0"/>
  </r>
  <r>
    <x v="1"/>
    <x v="6"/>
    <s v="8511 J"/>
    <x v="289"/>
    <s v="Super Shangai Dry Cleaners Nankana"/>
    <s v="LDN"/>
    <n v="13"/>
    <s v="4.5-5"/>
    <s v="LDN"/>
    <n v="100"/>
    <x v="1"/>
    <n v="2"/>
    <n v="116"/>
    <n v="3.2"/>
    <n v="5"/>
    <x v="0"/>
    <n v="112.8"/>
    <n v="112.8"/>
    <n v="2"/>
    <x v="0"/>
    <x v="0"/>
    <n v="2"/>
    <n v="3.3333333333333333E-2"/>
    <x v="0"/>
    <x v="0"/>
    <m/>
    <x v="0"/>
    <x v="0"/>
    <x v="0"/>
    <x v="0"/>
    <x v="0"/>
    <n v="0"/>
    <n v="0"/>
    <n v="3.3333333333333333E-2"/>
    <n v="11.966666666666667"/>
    <x v="1"/>
    <x v="0"/>
    <m/>
    <x v="0"/>
    <n v="121"/>
    <x v="0"/>
    <x v="33"/>
    <x v="16"/>
    <x v="0"/>
    <x v="0"/>
  </r>
  <r>
    <x v="1"/>
    <x v="6"/>
    <s v="8460 J"/>
    <x v="289"/>
    <s v="Ibraheem Filter Industry (SMC.PVT.LTD)"/>
    <s v="LDN"/>
    <n v="16"/>
    <n v="8"/>
    <s v="LDN"/>
    <n v="455.84045584045583"/>
    <x v="1"/>
    <n v="3"/>
    <n v="175.5"/>
    <n v="6"/>
    <m/>
    <x v="0"/>
    <n v="169.5"/>
    <n v="484.4"/>
    <m/>
    <x v="0"/>
    <x v="0"/>
    <n v="0"/>
    <n v="0"/>
    <x v="0"/>
    <x v="0"/>
    <m/>
    <x v="0"/>
    <x v="0"/>
    <x v="0"/>
    <x v="0"/>
    <x v="0"/>
    <n v="0"/>
    <n v="0"/>
    <n v="0"/>
    <n v="12"/>
    <x v="1"/>
    <x v="0"/>
    <m/>
    <x v="0"/>
    <n v="180.5"/>
    <x v="0"/>
    <x v="33"/>
    <x v="16"/>
    <x v="0"/>
    <x v="0"/>
  </r>
  <r>
    <x v="0"/>
    <x v="4"/>
    <s v="282 R"/>
    <x v="289"/>
    <s v="ریفلیکٹ پیک"/>
    <s v="LDN"/>
    <n v="23"/>
    <s v="18-19"/>
    <s v="LDN"/>
    <n v="7000"/>
    <x v="1"/>
    <n v="4"/>
    <n v="510.5"/>
    <n v="6"/>
    <n v="6"/>
    <x v="0"/>
    <n v="504.5"/>
    <n v="6988.9000000000015"/>
    <m/>
    <x v="0"/>
    <x v="0"/>
    <n v="0"/>
    <n v="0"/>
    <x v="0"/>
    <x v="0"/>
    <m/>
    <x v="0"/>
    <x v="0"/>
    <x v="0"/>
    <x v="0"/>
    <x v="0"/>
    <n v="0"/>
    <n v="0"/>
    <n v="0"/>
    <n v="12"/>
    <x v="1"/>
    <x v="0"/>
    <m/>
    <x v="0"/>
    <n v="515.5"/>
    <x v="0"/>
    <x v="33"/>
    <x v="16"/>
    <x v="0"/>
    <x v="0"/>
  </r>
  <r>
    <x v="1"/>
    <x v="4"/>
    <s v="282 R"/>
    <x v="289"/>
    <s v="ریفلیکٹ پیک"/>
    <s v="LDN"/>
    <n v="23"/>
    <s v="18-19"/>
    <s v="LDN"/>
    <n v="7000"/>
    <x v="1"/>
    <n v="5"/>
    <n v="567"/>
    <n v="7.5"/>
    <n v="10"/>
    <x v="0"/>
    <n v="559.5"/>
    <n v="6988.9000000000015"/>
    <m/>
    <x v="0"/>
    <x v="0"/>
    <n v="0"/>
    <n v="0"/>
    <x v="0"/>
    <x v="0"/>
    <m/>
    <x v="0"/>
    <x v="0"/>
    <x v="0"/>
    <x v="0"/>
    <x v="0"/>
    <n v="0"/>
    <n v="0"/>
    <n v="0"/>
    <n v="12"/>
    <x v="1"/>
    <x v="0"/>
    <m/>
    <x v="0"/>
    <n v="572"/>
    <x v="0"/>
    <x v="33"/>
    <x v="16"/>
    <x v="0"/>
    <x v="0"/>
  </r>
  <r>
    <x v="0"/>
    <x v="5"/>
    <s v="2875/1"/>
    <x v="289"/>
    <s v="SITARA CHECMICAL"/>
    <s v="LDN"/>
    <s v="24-24.5"/>
    <s v="100±1"/>
    <s v="SL"/>
    <n v="5000"/>
    <x v="1"/>
    <n v="5"/>
    <n v="676"/>
    <n v="10"/>
    <n v="8"/>
    <x v="0"/>
    <n v="666"/>
    <n v="5072.5"/>
    <m/>
    <x v="0"/>
    <x v="0"/>
    <n v="0"/>
    <n v="0"/>
    <x v="0"/>
    <x v="0"/>
    <m/>
    <x v="0"/>
    <x v="0"/>
    <x v="0"/>
    <x v="0"/>
    <x v="0"/>
    <n v="0"/>
    <n v="0"/>
    <n v="0"/>
    <n v="12"/>
    <x v="1"/>
    <x v="0"/>
    <m/>
    <x v="0"/>
    <n v="681"/>
    <x v="0"/>
    <x v="33"/>
    <x v="16"/>
    <x v="0"/>
    <x v="0"/>
  </r>
  <r>
    <x v="1"/>
    <x v="5"/>
    <s v="2875/1"/>
    <x v="289"/>
    <s v="SITARA CHECMICAL"/>
    <s v="LDN"/>
    <s v="24-24.5"/>
    <s v="100±1"/>
    <s v="SL"/>
    <n v="5000"/>
    <x v="1"/>
    <n v="3"/>
    <n v="296.5"/>
    <n v="8"/>
    <n v="30"/>
    <x v="0"/>
    <n v="288.5"/>
    <n v="5072.5"/>
    <n v="5"/>
    <x v="0"/>
    <x v="0"/>
    <n v="5"/>
    <n v="8.3333333333333329E-2"/>
    <x v="0"/>
    <x v="0"/>
    <m/>
    <x v="0"/>
    <x v="0"/>
    <x v="0"/>
    <x v="0"/>
    <x v="0"/>
    <n v="0"/>
    <n v="0"/>
    <n v="8.3333333333333329E-2"/>
    <n v="11.916666666666666"/>
    <x v="1"/>
    <x v="0"/>
    <m/>
    <x v="0"/>
    <n v="301.5"/>
    <x v="0"/>
    <x v="33"/>
    <x v="16"/>
    <x v="0"/>
    <x v="0"/>
  </r>
  <r>
    <x v="1"/>
    <x v="5"/>
    <s v="8457 J"/>
    <x v="289"/>
    <s v="V.I.P Mall Chichawatni"/>
    <s v="LDM"/>
    <n v="16"/>
    <s v="11-12"/>
    <s v="LDM"/>
    <n v="100"/>
    <x v="1"/>
    <n v="2"/>
    <n v="107.5"/>
    <n v="4"/>
    <m/>
    <x v="0"/>
    <n v="103.5"/>
    <n v="103.5"/>
    <m/>
    <x v="0"/>
    <x v="0"/>
    <n v="0"/>
    <n v="0"/>
    <x v="0"/>
    <x v="0"/>
    <m/>
    <x v="0"/>
    <x v="0"/>
    <x v="0"/>
    <x v="0"/>
    <x v="0"/>
    <n v="0"/>
    <n v="0"/>
    <n v="0"/>
    <n v="12"/>
    <x v="1"/>
    <x v="0"/>
    <m/>
    <x v="0"/>
    <n v="112.5"/>
    <x v="0"/>
    <x v="33"/>
    <x v="16"/>
    <x v="0"/>
    <x v="0"/>
  </r>
  <r>
    <x v="1"/>
    <x v="5"/>
    <s v="8513 J"/>
    <x v="289"/>
    <s v="Atlas Honda LTD (SKP)"/>
    <s v="LDM"/>
    <s v="16.75&quot; شیٹ"/>
    <s v="7-7.5/14-15"/>
    <s v="LDM"/>
    <n v="300"/>
    <x v="1"/>
    <n v="2"/>
    <n v="209"/>
    <n v="3.5"/>
    <m/>
    <x v="0"/>
    <n v="205.5"/>
    <n v="325"/>
    <m/>
    <x v="0"/>
    <x v="0"/>
    <n v="0"/>
    <n v="0"/>
    <x v="0"/>
    <x v="0"/>
    <m/>
    <x v="0"/>
    <x v="0"/>
    <x v="0"/>
    <x v="0"/>
    <x v="0"/>
    <n v="0"/>
    <n v="0"/>
    <n v="0"/>
    <n v="12"/>
    <x v="1"/>
    <x v="0"/>
    <m/>
    <x v="0"/>
    <n v="214"/>
    <x v="0"/>
    <x v="33"/>
    <x v="16"/>
    <x v="0"/>
    <x v="0"/>
  </r>
  <r>
    <x v="0"/>
    <x v="17"/>
    <s v="8523 J"/>
    <x v="289"/>
    <s v="Super Diamond Food Kamoki"/>
    <s v="LDN"/>
    <n v="22"/>
    <s v="7.5-8"/>
    <s v="LDN"/>
    <n v="250"/>
    <x v="1"/>
    <n v="2"/>
    <n v="116"/>
    <n v="5.8"/>
    <n v="5"/>
    <x v="0"/>
    <n v="110.2"/>
    <n v="247.8"/>
    <n v="12"/>
    <x v="0"/>
    <x v="0"/>
    <n v="12"/>
    <n v="0.2"/>
    <x v="0"/>
    <x v="0"/>
    <m/>
    <x v="0"/>
    <x v="0"/>
    <x v="0"/>
    <x v="0"/>
    <x v="0"/>
    <n v="0"/>
    <n v="0"/>
    <n v="0.2"/>
    <n v="11.8"/>
    <x v="1"/>
    <x v="0"/>
    <m/>
    <x v="0"/>
    <n v="121"/>
    <x v="0"/>
    <x v="33"/>
    <x v="16"/>
    <x v="0"/>
    <x v="0"/>
  </r>
  <r>
    <x v="0"/>
    <x v="17"/>
    <s v="8524 J"/>
    <x v="289"/>
    <s v="Super Diamond Food Kamoki"/>
    <s v="LDN"/>
    <n v="22"/>
    <s v="7.5-8"/>
    <s v="LDN"/>
    <n v="100"/>
    <x v="1"/>
    <n v="2"/>
    <n v="107.5"/>
    <n v="5.8"/>
    <m/>
    <x v="0"/>
    <n v="101.7"/>
    <n v="101.7"/>
    <m/>
    <x v="0"/>
    <x v="0"/>
    <n v="0"/>
    <n v="0"/>
    <x v="0"/>
    <x v="0"/>
    <m/>
    <x v="0"/>
    <x v="0"/>
    <x v="0"/>
    <x v="0"/>
    <x v="0"/>
    <n v="0"/>
    <n v="0"/>
    <n v="0"/>
    <n v="12"/>
    <x v="1"/>
    <x v="0"/>
    <m/>
    <x v="0"/>
    <n v="112.5"/>
    <x v="0"/>
    <x v="33"/>
    <x v="16"/>
    <x v="0"/>
    <x v="0"/>
  </r>
  <r>
    <x v="0"/>
    <x v="17"/>
    <s v="3165 F"/>
    <x v="289"/>
    <s v="Usman Amin"/>
    <s v="LDN"/>
    <n v="27"/>
    <s v="5-5.5"/>
    <s v="LDN"/>
    <n v="50"/>
    <x v="1"/>
    <n v="2"/>
    <n v="160"/>
    <n v="6.4"/>
    <m/>
    <x v="0"/>
    <n v="153.6"/>
    <n v="153.6"/>
    <m/>
    <x v="0"/>
    <x v="0"/>
    <n v="0"/>
    <n v="0"/>
    <x v="0"/>
    <x v="0"/>
    <m/>
    <x v="0"/>
    <x v="0"/>
    <x v="0"/>
    <x v="0"/>
    <x v="0"/>
    <n v="0"/>
    <n v="0"/>
    <n v="0"/>
    <n v="12"/>
    <x v="1"/>
    <x v="0"/>
    <m/>
    <x v="0"/>
    <n v="165"/>
    <x v="0"/>
    <x v="33"/>
    <x v="16"/>
    <x v="0"/>
    <x v="0"/>
  </r>
  <r>
    <x v="0"/>
    <x v="17"/>
    <s v="3166 F"/>
    <x v="289"/>
    <s v="Usman Amin"/>
    <s v="LDN"/>
    <n v="26"/>
    <s v="7-7.5"/>
    <s v="LDN"/>
    <n v="40"/>
    <x v="1"/>
    <n v="2"/>
    <n v="106"/>
    <n v="6"/>
    <m/>
    <x v="0"/>
    <n v="100"/>
    <n v="195"/>
    <m/>
    <x v="0"/>
    <x v="0"/>
    <n v="0"/>
    <n v="0"/>
    <x v="0"/>
    <x v="0"/>
    <m/>
    <x v="0"/>
    <x v="0"/>
    <x v="0"/>
    <x v="0"/>
    <x v="0"/>
    <n v="0"/>
    <n v="0"/>
    <n v="0"/>
    <n v="12"/>
    <x v="1"/>
    <x v="0"/>
    <m/>
    <x v="0"/>
    <n v="111"/>
    <x v="0"/>
    <x v="33"/>
    <x v="16"/>
    <x v="0"/>
    <x v="0"/>
  </r>
  <r>
    <x v="1"/>
    <x v="17"/>
    <s v="3166 F"/>
    <x v="289"/>
    <s v="Usman Amin"/>
    <s v="LDN"/>
    <n v="26"/>
    <s v="7-7.5"/>
    <s v="LDN"/>
    <n v="40"/>
    <x v="1"/>
    <n v="2"/>
    <n v="101"/>
    <n v="6"/>
    <n v="8"/>
    <x v="0"/>
    <n v="95"/>
    <n v="195"/>
    <m/>
    <x v="0"/>
    <x v="0"/>
    <n v="0"/>
    <n v="0"/>
    <x v="0"/>
    <x v="0"/>
    <m/>
    <x v="0"/>
    <x v="0"/>
    <x v="0"/>
    <x v="0"/>
    <x v="0"/>
    <n v="0"/>
    <n v="0"/>
    <n v="0"/>
    <n v="12"/>
    <x v="1"/>
    <x v="0"/>
    <m/>
    <x v="0"/>
    <n v="106"/>
    <x v="0"/>
    <x v="33"/>
    <x v="16"/>
    <x v="0"/>
    <x v="0"/>
  </r>
  <r>
    <x v="1"/>
    <x v="17"/>
    <s v="3168 F"/>
    <x v="289"/>
    <s v="Usman Amin"/>
    <s v="LDN"/>
    <n v="24"/>
    <s v="8-8.5"/>
    <s v="LDN"/>
    <n v="185"/>
    <x v="1"/>
    <n v="3"/>
    <n v="198.5"/>
    <n v="8.6999999999999993"/>
    <m/>
    <x v="0"/>
    <n v="189.8"/>
    <n v="189.8"/>
    <m/>
    <x v="0"/>
    <x v="0"/>
    <n v="0"/>
    <n v="0"/>
    <x v="0"/>
    <x v="0"/>
    <m/>
    <x v="0"/>
    <x v="0"/>
    <x v="0"/>
    <x v="0"/>
    <x v="0"/>
    <n v="0"/>
    <n v="0"/>
    <n v="0"/>
    <n v="12"/>
    <x v="1"/>
    <x v="0"/>
    <m/>
    <x v="0"/>
    <n v="203.5"/>
    <x v="0"/>
    <x v="33"/>
    <x v="16"/>
    <x v="0"/>
    <x v="0"/>
  </r>
  <r>
    <x v="1"/>
    <x v="17"/>
    <s v="3162 F"/>
    <x v="289"/>
    <s v="Usman Amin"/>
    <s v="LDN"/>
    <n v="17"/>
    <s v="6.5-7"/>
    <s v="LDN"/>
    <n v="400"/>
    <x v="1"/>
    <n v="1"/>
    <n v="101"/>
    <n v="4.2"/>
    <m/>
    <x v="0"/>
    <n v="96.8"/>
    <n v="393.7"/>
    <m/>
    <x v="0"/>
    <x v="0"/>
    <n v="0"/>
    <n v="0"/>
    <x v="0"/>
    <x v="0"/>
    <m/>
    <x v="0"/>
    <x v="0"/>
    <x v="0"/>
    <x v="0"/>
    <x v="0"/>
    <n v="0"/>
    <n v="0"/>
    <n v="0"/>
    <n v="12"/>
    <x v="1"/>
    <x v="0"/>
    <m/>
    <x v="0"/>
    <n v="106"/>
    <x v="0"/>
    <x v="33"/>
    <x v="16"/>
    <x v="0"/>
    <x v="0"/>
  </r>
  <r>
    <x v="0"/>
    <x v="9"/>
    <s v="8414 J"/>
    <x v="290"/>
    <s v="Wah Nobel Private Limited"/>
    <s v="LDN"/>
    <s v="120 MM"/>
    <s v="22-22.5"/>
    <s v="LDN"/>
    <n v="1000"/>
    <x v="1"/>
    <n v="3"/>
    <n v="123.5"/>
    <n v="2.2000000000000002"/>
    <n v="2"/>
    <x v="0"/>
    <n v="121.3"/>
    <n v="2082.1"/>
    <m/>
    <x v="0"/>
    <x v="0"/>
    <n v="0"/>
    <n v="0"/>
    <x v="0"/>
    <x v="0"/>
    <m/>
    <x v="0"/>
    <x v="0"/>
    <x v="0"/>
    <x v="0"/>
    <x v="0"/>
    <n v="0"/>
    <n v="0"/>
    <n v="0"/>
    <n v="12"/>
    <x v="1"/>
    <x v="0"/>
    <m/>
    <x v="0"/>
    <n v="128.5"/>
    <x v="0"/>
    <x v="33"/>
    <x v="16"/>
    <x v="0"/>
    <x v="0"/>
  </r>
  <r>
    <x v="1"/>
    <x v="9"/>
    <s v="8414 J"/>
    <x v="290"/>
    <s v="Wah Nobel Private Limited"/>
    <s v="LDN"/>
    <s v="120 MM"/>
    <s v="22-22.5"/>
    <s v="LDN"/>
    <n v="1000"/>
    <x v="1"/>
    <n v="3"/>
    <n v="115.7"/>
    <n v="2.0999999999999996"/>
    <n v="2"/>
    <x v="0"/>
    <n v="113.60000000000001"/>
    <n v="2082.1"/>
    <m/>
    <x v="0"/>
    <x v="0"/>
    <n v="0"/>
    <n v="0"/>
    <x v="0"/>
    <x v="0"/>
    <m/>
    <x v="0"/>
    <x v="0"/>
    <x v="0"/>
    <x v="0"/>
    <x v="0"/>
    <n v="0"/>
    <n v="0"/>
    <n v="0"/>
    <n v="12"/>
    <x v="1"/>
    <x v="0"/>
    <m/>
    <x v="0"/>
    <n v="120.7"/>
    <x v="0"/>
    <x v="33"/>
    <x v="16"/>
    <x v="0"/>
    <x v="0"/>
  </r>
  <r>
    <x v="0"/>
    <x v="10"/>
    <s v="8112 J"/>
    <x v="290"/>
    <s v="Head Office Lahore"/>
    <s v="LD رنگدار"/>
    <n v="13"/>
    <s v="12.5-13"/>
    <s v="LDM"/>
    <n v="1000"/>
    <x v="1"/>
    <n v="3"/>
    <n v="316"/>
    <n v="4.8"/>
    <n v="3"/>
    <x v="0"/>
    <n v="311.2"/>
    <n v="1053.5999999999999"/>
    <m/>
    <x v="0"/>
    <x v="0"/>
    <n v="0"/>
    <n v="0"/>
    <x v="0"/>
    <x v="0"/>
    <m/>
    <x v="0"/>
    <x v="0"/>
    <x v="0"/>
    <x v="0"/>
    <x v="0"/>
    <n v="0"/>
    <n v="0"/>
    <n v="0"/>
    <n v="12"/>
    <x v="1"/>
    <x v="0"/>
    <m/>
    <x v="0"/>
    <n v="321"/>
    <x v="0"/>
    <x v="33"/>
    <x v="16"/>
    <x v="0"/>
    <x v="0"/>
  </r>
  <r>
    <x v="1"/>
    <x v="10"/>
    <s v="8112 J"/>
    <x v="290"/>
    <s v="Head Office Lahore"/>
    <s v="LD رنگدار"/>
    <n v="13"/>
    <s v="12.5-13"/>
    <s v="LDM"/>
    <n v="1000"/>
    <x v="1"/>
    <n v="1"/>
    <n v="57.5"/>
    <n v="1.5"/>
    <n v="8"/>
    <x v="0"/>
    <n v="56"/>
    <n v="1053.5999999999999"/>
    <n v="5"/>
    <x v="0"/>
    <x v="0"/>
    <n v="5"/>
    <n v="8.3333333333333329E-2"/>
    <x v="0"/>
    <x v="0"/>
    <m/>
    <x v="0"/>
    <x v="0"/>
    <x v="0"/>
    <x v="0"/>
    <x v="0"/>
    <n v="0"/>
    <n v="0"/>
    <n v="8.3333333333333329E-2"/>
    <n v="11.916666666666666"/>
    <x v="1"/>
    <x v="0"/>
    <m/>
    <x v="0"/>
    <n v="62.5"/>
    <x v="0"/>
    <x v="33"/>
    <x v="16"/>
    <x v="0"/>
    <x v="0"/>
  </r>
  <r>
    <x v="1"/>
    <x v="10"/>
    <s v="8113 J"/>
    <x v="290"/>
    <s v="Head Office Lahore"/>
    <s v="LD رنگدار"/>
    <n v="16"/>
    <s v="12.5-13"/>
    <s v="LDM"/>
    <n v="1000"/>
    <x v="1"/>
    <n v="3"/>
    <n v="264"/>
    <n v="5.6999999999999993"/>
    <m/>
    <x v="0"/>
    <n v="258.3"/>
    <n v="821.59999999999991"/>
    <m/>
    <x v="0"/>
    <x v="0"/>
    <n v="0"/>
    <n v="0"/>
    <x v="0"/>
    <x v="0"/>
    <m/>
    <x v="0"/>
    <x v="0"/>
    <x v="0"/>
    <x v="0"/>
    <x v="0"/>
    <n v="0"/>
    <n v="0"/>
    <n v="0"/>
    <n v="12"/>
    <x v="1"/>
    <x v="0"/>
    <m/>
    <x v="0"/>
    <n v="269"/>
    <x v="0"/>
    <x v="33"/>
    <x v="16"/>
    <x v="0"/>
    <x v="0"/>
  </r>
  <r>
    <x v="1"/>
    <x v="10"/>
    <s v="8114 J"/>
    <x v="290"/>
    <s v="Head Office Lahore"/>
    <s v="LD رنگدار"/>
    <n v="18"/>
    <s v="12.5-13"/>
    <s v="LDM"/>
    <n v="1300"/>
    <x v="1"/>
    <n v="1"/>
    <n v="76"/>
    <n v="2.1"/>
    <m/>
    <x v="0"/>
    <n v="73.900000000000006"/>
    <n v="1586.3"/>
    <m/>
    <x v="0"/>
    <x v="0"/>
    <n v="0"/>
    <n v="0"/>
    <x v="0"/>
    <x v="0"/>
    <m/>
    <x v="0"/>
    <x v="0"/>
    <x v="0"/>
    <x v="0"/>
    <x v="0"/>
    <n v="0"/>
    <n v="0"/>
    <n v="0"/>
    <n v="12"/>
    <x v="1"/>
    <x v="0"/>
    <m/>
    <x v="0"/>
    <n v="81"/>
    <x v="0"/>
    <x v="33"/>
    <x v="16"/>
    <x v="0"/>
    <x v="0"/>
  </r>
  <r>
    <x v="0"/>
    <x v="13"/>
    <s v="8460 J"/>
    <x v="290"/>
    <s v="Ibraheem Filter Industry (SMC.PVT.LTD)"/>
    <s v="LDN"/>
    <n v="16"/>
    <n v="8"/>
    <s v="LDN"/>
    <n v="455.84045584045583"/>
    <x v="1"/>
    <n v="5"/>
    <n v="323"/>
    <n v="8.1"/>
    <m/>
    <x v="0"/>
    <n v="314.89999999999998"/>
    <n v="484.4"/>
    <m/>
    <x v="0"/>
    <x v="0"/>
    <n v="0"/>
    <n v="0"/>
    <x v="0"/>
    <x v="0"/>
    <m/>
    <x v="0"/>
    <x v="0"/>
    <x v="0"/>
    <x v="0"/>
    <x v="0"/>
    <n v="0"/>
    <n v="0"/>
    <n v="0"/>
    <n v="12"/>
    <x v="1"/>
    <x v="0"/>
    <m/>
    <x v="0"/>
    <n v="328"/>
    <x v="0"/>
    <x v="33"/>
    <x v="16"/>
    <x v="0"/>
    <x v="0"/>
  </r>
  <r>
    <x v="1"/>
    <x v="13"/>
    <s v="8557 J"/>
    <x v="290"/>
    <s v="Atlas Honda LTD (SKP)"/>
    <s v="LDN"/>
    <n v="22"/>
    <s v="8.5-9"/>
    <s v="LDN"/>
    <n v="445.60185185185185"/>
    <x v="1"/>
    <n v="3"/>
    <n v="240.5"/>
    <n v="9"/>
    <n v="7"/>
    <x v="0"/>
    <n v="231.5"/>
    <n v="471.70000000000005"/>
    <n v="2"/>
    <x v="0"/>
    <x v="0"/>
    <n v="2"/>
    <n v="3.3333333333333333E-2"/>
    <x v="0"/>
    <x v="0"/>
    <n v="30"/>
    <x v="0"/>
    <x v="0"/>
    <x v="0"/>
    <x v="0"/>
    <x v="0"/>
    <n v="30"/>
    <n v="0.5"/>
    <n v="0.53333333333333333"/>
    <n v="11.466666666666667"/>
    <x v="1"/>
    <x v="0"/>
    <m/>
    <x v="0"/>
    <n v="245.5"/>
    <x v="0"/>
    <x v="33"/>
    <x v="16"/>
    <x v="0"/>
    <x v="0"/>
  </r>
  <r>
    <x v="1"/>
    <x v="13"/>
    <s v="3161 F"/>
    <x v="290"/>
    <s v="Usman Amin"/>
    <s v="LDN"/>
    <n v="17"/>
    <s v="6.5-7"/>
    <s v="LDN"/>
    <n v="600"/>
    <x v="1"/>
    <n v="1"/>
    <n v="62"/>
    <n v="2"/>
    <m/>
    <x v="0"/>
    <n v="60"/>
    <n v="613.54"/>
    <m/>
    <x v="0"/>
    <x v="0"/>
    <n v="0"/>
    <n v="0"/>
    <x v="0"/>
    <x v="0"/>
    <m/>
    <x v="0"/>
    <x v="0"/>
    <x v="0"/>
    <x v="0"/>
    <x v="0"/>
    <n v="0"/>
    <n v="0"/>
    <n v="0"/>
    <n v="12"/>
    <x v="1"/>
    <x v="0"/>
    <m/>
    <x v="0"/>
    <n v="67"/>
    <x v="0"/>
    <x v="33"/>
    <x v="16"/>
    <x v="0"/>
    <x v="0"/>
  </r>
  <r>
    <x v="0"/>
    <x v="12"/>
    <s v="282 R"/>
    <x v="290"/>
    <s v="ریفلیکٹ پیک"/>
    <s v="LDN"/>
    <n v="23"/>
    <s v="18-19"/>
    <s v="LDN"/>
    <n v="7000"/>
    <x v="1"/>
    <n v="4"/>
    <n v="529.5"/>
    <n v="8"/>
    <m/>
    <x v="0"/>
    <n v="521.5"/>
    <n v="6988.9000000000015"/>
    <m/>
    <x v="0"/>
    <x v="0"/>
    <n v="0"/>
    <n v="0"/>
    <x v="0"/>
    <x v="0"/>
    <m/>
    <x v="0"/>
    <x v="0"/>
    <x v="0"/>
    <x v="0"/>
    <x v="0"/>
    <n v="0"/>
    <n v="0"/>
    <n v="0"/>
    <n v="12"/>
    <x v="1"/>
    <x v="0"/>
    <m/>
    <x v="0"/>
    <n v="534.5"/>
    <x v="0"/>
    <x v="33"/>
    <x v="16"/>
    <x v="0"/>
    <x v="0"/>
  </r>
  <r>
    <x v="1"/>
    <x v="12"/>
    <s v="282 R"/>
    <x v="290"/>
    <s v="ریفلیکٹ پیک"/>
    <s v="LDN"/>
    <n v="23"/>
    <s v="18-19"/>
    <s v="LDN"/>
    <n v="7000"/>
    <x v="1"/>
    <n v="4"/>
    <n v="556.4"/>
    <n v="12.5"/>
    <n v="9"/>
    <x v="0"/>
    <n v="543.9"/>
    <n v="6988.9000000000015"/>
    <m/>
    <x v="0"/>
    <x v="0"/>
    <n v="0"/>
    <n v="0"/>
    <x v="0"/>
    <x v="0"/>
    <m/>
    <x v="0"/>
    <x v="0"/>
    <x v="0"/>
    <x v="0"/>
    <x v="0"/>
    <n v="0"/>
    <n v="0"/>
    <n v="0"/>
    <n v="12"/>
    <x v="1"/>
    <x v="0"/>
    <m/>
    <x v="0"/>
    <n v="561.4"/>
    <x v="0"/>
    <x v="33"/>
    <x v="16"/>
    <x v="0"/>
    <x v="0"/>
  </r>
  <r>
    <x v="0"/>
    <x v="14"/>
    <s v="8513 J"/>
    <x v="290"/>
    <s v="Atlas Honda LTD (SKP)"/>
    <s v="LDM"/>
    <s v="16.75&quot; شیٹ"/>
    <s v="7-7.5/14-15"/>
    <s v="LDM"/>
    <n v="300"/>
    <x v="1"/>
    <n v="1"/>
    <n v="121.5"/>
    <n v="2"/>
    <n v="65"/>
    <x v="0"/>
    <n v="119.5"/>
    <n v="325"/>
    <n v="10"/>
    <x v="0"/>
    <x v="0"/>
    <n v="10"/>
    <n v="0.16666666666666666"/>
    <x v="0"/>
    <x v="0"/>
    <m/>
    <x v="0"/>
    <x v="0"/>
    <x v="0"/>
    <x v="0"/>
    <x v="0"/>
    <n v="0"/>
    <n v="0"/>
    <n v="0.16666666666666666"/>
    <n v="11.833333333333334"/>
    <x v="1"/>
    <x v="0"/>
    <m/>
    <x v="0"/>
    <n v="126.5"/>
    <x v="0"/>
    <x v="33"/>
    <x v="16"/>
    <x v="0"/>
    <x v="0"/>
  </r>
  <r>
    <x v="0"/>
    <x v="14"/>
    <s v="8508 J"/>
    <x v="290"/>
    <s v="Shafi Foam Lahore"/>
    <s v="LDM"/>
    <s v="20 شیٹ"/>
    <s v="5.5-6/11-12"/>
    <s v="LDM"/>
    <n v="200"/>
    <x v="1"/>
    <n v="2"/>
    <n v="204.5"/>
    <n v="4.8"/>
    <m/>
    <x v="0"/>
    <n v="199.7"/>
    <n v="199.7"/>
    <m/>
    <x v="0"/>
    <x v="0"/>
    <n v="0"/>
    <n v="0"/>
    <x v="0"/>
    <x v="0"/>
    <m/>
    <x v="0"/>
    <x v="0"/>
    <x v="0"/>
    <x v="0"/>
    <x v="0"/>
    <n v="0"/>
    <n v="0"/>
    <n v="0"/>
    <n v="12"/>
    <x v="1"/>
    <x v="0"/>
    <m/>
    <x v="0"/>
    <n v="209.5"/>
    <x v="0"/>
    <x v="33"/>
    <x v="16"/>
    <x v="0"/>
    <x v="0"/>
  </r>
  <r>
    <x v="0"/>
    <x v="14"/>
    <s v="8482 J"/>
    <x v="290"/>
    <s v="Service Industry Gujrat"/>
    <s v="LDM"/>
    <s v="428 MM"/>
    <s v="4-4.25/8-8.5"/>
    <s v="LDM"/>
    <n v="100"/>
    <x v="1"/>
    <n v="2"/>
    <n v="113.5"/>
    <n v="4"/>
    <m/>
    <x v="0"/>
    <n v="109.5"/>
    <n v="217"/>
    <m/>
    <x v="0"/>
    <x v="0"/>
    <n v="0"/>
    <n v="0"/>
    <x v="0"/>
    <x v="0"/>
    <m/>
    <x v="0"/>
    <x v="0"/>
    <x v="0"/>
    <x v="0"/>
    <x v="0"/>
    <n v="0"/>
    <n v="0"/>
    <n v="0"/>
    <n v="12"/>
    <x v="1"/>
    <x v="0"/>
    <m/>
    <x v="0"/>
    <n v="118.5"/>
    <x v="0"/>
    <x v="33"/>
    <x v="16"/>
    <x v="0"/>
    <x v="0"/>
  </r>
  <r>
    <x v="0"/>
    <x v="14"/>
    <s v="2875/1"/>
    <x v="290"/>
    <s v="SITARA CHECMICAL"/>
    <s v="LDN"/>
    <s v="24-24.5"/>
    <s v="100±1"/>
    <s v="SL"/>
    <n v="5000"/>
    <x v="1"/>
    <n v="1"/>
    <n v="147"/>
    <n v="2"/>
    <m/>
    <x v="0"/>
    <n v="145"/>
    <n v="5072.5"/>
    <m/>
    <x v="0"/>
    <x v="0"/>
    <n v="0"/>
    <n v="0"/>
    <x v="0"/>
    <x v="0"/>
    <m/>
    <x v="0"/>
    <x v="0"/>
    <x v="0"/>
    <x v="0"/>
    <x v="0"/>
    <n v="0"/>
    <n v="0"/>
    <n v="0"/>
    <n v="12"/>
    <x v="1"/>
    <x v="0"/>
    <m/>
    <x v="0"/>
    <n v="152"/>
    <x v="0"/>
    <x v="33"/>
    <x v="16"/>
    <x v="0"/>
    <x v="0"/>
  </r>
  <r>
    <x v="1"/>
    <x v="14"/>
    <s v="2875/1"/>
    <x v="290"/>
    <s v="SITARA CHECMICAL"/>
    <s v="LDN"/>
    <s v="24-24.5"/>
    <s v="100±1"/>
    <s v="SL"/>
    <n v="5000"/>
    <x v="1"/>
    <n v="5"/>
    <n v="655.5"/>
    <n v="15"/>
    <n v="18"/>
    <x v="0"/>
    <n v="640.5"/>
    <n v="5072.5"/>
    <m/>
    <x v="0"/>
    <x v="0"/>
    <n v="0"/>
    <n v="0"/>
    <x v="0"/>
    <x v="0"/>
    <m/>
    <x v="0"/>
    <x v="0"/>
    <x v="0"/>
    <x v="0"/>
    <x v="0"/>
    <n v="0"/>
    <n v="0"/>
    <n v="0"/>
    <n v="12"/>
    <x v="1"/>
    <x v="0"/>
    <m/>
    <x v="0"/>
    <n v="660.5"/>
    <x v="0"/>
    <x v="33"/>
    <x v="16"/>
    <x v="0"/>
    <x v="0"/>
  </r>
  <r>
    <x v="1"/>
    <x v="14"/>
    <s v="8556 J"/>
    <x v="290"/>
    <s v="Atlas Honda LTD (SKP)"/>
    <s v="LDN"/>
    <n v="26"/>
    <s v="8.5-9"/>
    <s v="LDN"/>
    <n v="74.266975308641975"/>
    <x v="1"/>
    <n v="1"/>
    <n v="53"/>
    <n v="2"/>
    <m/>
    <x v="0"/>
    <n v="51"/>
    <n v="204.5"/>
    <m/>
    <x v="0"/>
    <x v="0"/>
    <n v="0"/>
    <n v="0"/>
    <x v="0"/>
    <x v="0"/>
    <m/>
    <x v="0"/>
    <x v="0"/>
    <x v="0"/>
    <x v="0"/>
    <x v="0"/>
    <n v="0"/>
    <n v="0"/>
    <n v="0"/>
    <n v="12"/>
    <x v="1"/>
    <x v="0"/>
    <m/>
    <x v="0"/>
    <n v="58"/>
    <x v="0"/>
    <x v="33"/>
    <x v="16"/>
    <x v="0"/>
    <x v="0"/>
  </r>
  <r>
    <x v="0"/>
    <x v="15"/>
    <s v="3162 F"/>
    <x v="290"/>
    <s v="Usman Amin"/>
    <s v="LDN"/>
    <n v="17"/>
    <s v="6.5-7"/>
    <s v="LDN"/>
    <n v="400"/>
    <x v="1"/>
    <n v="5"/>
    <n v="307"/>
    <n v="10.1"/>
    <n v="2"/>
    <x v="0"/>
    <n v="296.89999999999998"/>
    <n v="393.7"/>
    <m/>
    <x v="0"/>
    <x v="0"/>
    <n v="0"/>
    <n v="0"/>
    <x v="0"/>
    <x v="0"/>
    <m/>
    <x v="0"/>
    <x v="0"/>
    <x v="0"/>
    <x v="0"/>
    <x v="0"/>
    <n v="0"/>
    <n v="0"/>
    <n v="0"/>
    <n v="12"/>
    <x v="1"/>
    <x v="0"/>
    <m/>
    <x v="0"/>
    <n v="312"/>
    <x v="0"/>
    <x v="33"/>
    <x v="16"/>
    <x v="0"/>
    <x v="0"/>
  </r>
  <r>
    <x v="0"/>
    <x v="15"/>
    <s v="3161 F"/>
    <x v="290"/>
    <s v="Usman Amin"/>
    <s v="LDN"/>
    <n v="17"/>
    <s v="6.5-7"/>
    <s v="LDN"/>
    <n v="600"/>
    <x v="1"/>
    <n v="1"/>
    <n v="58.5"/>
    <n v="1.8"/>
    <m/>
    <x v="0"/>
    <n v="56.7"/>
    <n v="613.54"/>
    <m/>
    <x v="0"/>
    <x v="0"/>
    <n v="0"/>
    <n v="0"/>
    <x v="0"/>
    <x v="0"/>
    <m/>
    <x v="0"/>
    <x v="0"/>
    <x v="0"/>
    <x v="0"/>
    <x v="0"/>
    <n v="0"/>
    <n v="0"/>
    <n v="0"/>
    <n v="12"/>
    <x v="1"/>
    <x v="0"/>
    <m/>
    <x v="0"/>
    <n v="63.5"/>
    <x v="0"/>
    <x v="33"/>
    <x v="16"/>
    <x v="0"/>
    <x v="0"/>
  </r>
  <r>
    <x v="1"/>
    <x v="15"/>
    <s v="3161 F"/>
    <x v="290"/>
    <s v="Usman Amin"/>
    <s v="LDN"/>
    <n v="17"/>
    <s v="6.5-7"/>
    <s v="LDN"/>
    <n v="600"/>
    <x v="1"/>
    <n v="5"/>
    <n v="270.53999999999996"/>
    <n v="10.199999999999999"/>
    <n v="5"/>
    <x v="0"/>
    <n v="260.33999999999997"/>
    <n v="613.54"/>
    <n v="2"/>
    <x v="0"/>
    <x v="0"/>
    <n v="2"/>
    <n v="3.3333333333333333E-2"/>
    <x v="0"/>
    <x v="0"/>
    <m/>
    <x v="0"/>
    <x v="0"/>
    <x v="0"/>
    <x v="0"/>
    <x v="0"/>
    <n v="0"/>
    <n v="0"/>
    <n v="3.3333333333333333E-2"/>
    <n v="11.966666666666667"/>
    <x v="1"/>
    <x v="0"/>
    <m/>
    <x v="0"/>
    <n v="275.53999999999996"/>
    <x v="0"/>
    <x v="33"/>
    <x v="16"/>
    <x v="0"/>
    <x v="0"/>
  </r>
  <r>
    <x v="1"/>
    <x v="15"/>
    <s v="8557 J"/>
    <x v="290"/>
    <s v="Atlas Honda LTD (SKP)"/>
    <s v="LDN"/>
    <n v="22"/>
    <s v="8.5-9"/>
    <s v="LDN"/>
    <n v="445.60185185185185"/>
    <x v="1"/>
    <n v="1"/>
    <n v="60"/>
    <n v="2.2000000000000002"/>
    <m/>
    <x v="0"/>
    <n v="57.8"/>
    <n v="471.70000000000005"/>
    <m/>
    <x v="0"/>
    <x v="0"/>
    <n v="0"/>
    <n v="0"/>
    <x v="0"/>
    <x v="0"/>
    <m/>
    <x v="0"/>
    <x v="0"/>
    <x v="0"/>
    <x v="0"/>
    <x v="0"/>
    <n v="0"/>
    <n v="0"/>
    <n v="0"/>
    <n v="12"/>
    <x v="1"/>
    <x v="0"/>
    <m/>
    <x v="0"/>
    <n v="65"/>
    <x v="0"/>
    <x v="33"/>
    <x v="16"/>
    <x v="0"/>
    <x v="0"/>
  </r>
  <r>
    <x v="0"/>
    <x v="8"/>
    <s v="8532 J"/>
    <x v="291"/>
    <s v="Al Shaheer Foods Corporation LTD"/>
    <s v="LDN"/>
    <n v="7.5"/>
    <s v="10.5-11"/>
    <s v="LDN"/>
    <n v="150"/>
    <x v="1"/>
    <n v="1"/>
    <n v="50"/>
    <n v="0.7"/>
    <n v="18"/>
    <x v="0"/>
    <n v="49.3"/>
    <n v="137.19999999999999"/>
    <m/>
    <x v="0"/>
    <x v="0"/>
    <n v="0"/>
    <n v="0"/>
    <x v="0"/>
    <x v="0"/>
    <m/>
    <x v="0"/>
    <x v="0"/>
    <x v="0"/>
    <x v="0"/>
    <x v="0"/>
    <n v="0"/>
    <n v="0"/>
    <n v="0"/>
    <n v="12"/>
    <x v="1"/>
    <x v="0"/>
    <m/>
    <x v="0"/>
    <n v="55"/>
    <x v="0"/>
    <x v="33"/>
    <x v="16"/>
    <x v="0"/>
    <x v="0"/>
  </r>
  <r>
    <x v="0"/>
    <x v="9"/>
    <s v="8532 J"/>
    <x v="291"/>
    <s v="Al Shaheer Foods Corporation LTD"/>
    <s v="LDN"/>
    <n v="7.5"/>
    <s v="10.5-11"/>
    <s v="LDN"/>
    <n v="150"/>
    <x v="1"/>
    <n v="2"/>
    <n v="90"/>
    <n v="2.1"/>
    <n v="5"/>
    <x v="0"/>
    <n v="87.9"/>
    <n v="137.19999999999999"/>
    <m/>
    <x v="0"/>
    <x v="0"/>
    <n v="0"/>
    <n v="0"/>
    <x v="0"/>
    <x v="0"/>
    <m/>
    <x v="0"/>
    <x v="0"/>
    <x v="0"/>
    <x v="0"/>
    <x v="0"/>
    <n v="0"/>
    <n v="0"/>
    <n v="0"/>
    <n v="12"/>
    <x v="1"/>
    <x v="0"/>
    <m/>
    <x v="0"/>
    <n v="95"/>
    <x v="0"/>
    <x v="33"/>
    <x v="16"/>
    <x v="0"/>
    <x v="0"/>
  </r>
  <r>
    <x v="0"/>
    <x v="9"/>
    <s v="8216 J"/>
    <x v="291"/>
    <s v="Jilani Poly Stock"/>
    <s v="LDN"/>
    <n v="5"/>
    <n v="10"/>
    <s v="LDN"/>
    <s v="-"/>
    <x v="1"/>
    <n v="1"/>
    <n v="33"/>
    <n v="0.6"/>
    <m/>
    <x v="0"/>
    <n v="32.4"/>
    <n v="480.1"/>
    <m/>
    <x v="0"/>
    <x v="0"/>
    <n v="0"/>
    <n v="0"/>
    <x v="0"/>
    <x v="0"/>
    <m/>
    <x v="0"/>
    <x v="0"/>
    <x v="0"/>
    <x v="0"/>
    <x v="0"/>
    <n v="0"/>
    <n v="0"/>
    <n v="0"/>
    <n v="12"/>
    <x v="1"/>
    <x v="0"/>
    <m/>
    <x v="0"/>
    <n v="38"/>
    <x v="0"/>
    <x v="33"/>
    <x v="16"/>
    <x v="0"/>
    <x v="0"/>
  </r>
  <r>
    <x v="1"/>
    <x v="9"/>
    <s v="8216 J"/>
    <x v="291"/>
    <s v="Jilani Poly Stock"/>
    <s v="LDN"/>
    <n v="5"/>
    <n v="10"/>
    <s v="LDN"/>
    <s v="-"/>
    <x v="1"/>
    <n v="4"/>
    <n v="135.19999999999999"/>
    <n v="2.8"/>
    <n v="5"/>
    <x v="0"/>
    <n v="132.39999999999998"/>
    <n v="480.1"/>
    <m/>
    <x v="0"/>
    <x v="0"/>
    <n v="0"/>
    <n v="0"/>
    <x v="0"/>
    <x v="0"/>
    <m/>
    <x v="0"/>
    <x v="0"/>
    <x v="0"/>
    <x v="0"/>
    <x v="0"/>
    <n v="0"/>
    <n v="0"/>
    <n v="0"/>
    <n v="12"/>
    <x v="1"/>
    <x v="0"/>
    <m/>
    <x v="0"/>
    <n v="140.19999999999999"/>
    <x v="0"/>
    <x v="33"/>
    <x v="16"/>
    <x v="0"/>
    <x v="0"/>
  </r>
  <r>
    <x v="0"/>
    <x v="10"/>
    <s v="8114 J"/>
    <x v="291"/>
    <s v="Head Office Lahore"/>
    <s v="LD رنگدار"/>
    <n v="18"/>
    <s v="12.5-13"/>
    <s v="LDM"/>
    <n v="1300"/>
    <x v="1"/>
    <n v="3"/>
    <n v="273"/>
    <n v="6.2"/>
    <n v="30"/>
    <x v="0"/>
    <n v="266.8"/>
    <n v="1586.3"/>
    <m/>
    <x v="0"/>
    <x v="0"/>
    <n v="0"/>
    <n v="0"/>
    <x v="0"/>
    <x v="0"/>
    <m/>
    <x v="0"/>
    <x v="0"/>
    <x v="0"/>
    <x v="0"/>
    <x v="0"/>
    <n v="0"/>
    <n v="0"/>
    <n v="0"/>
    <n v="12"/>
    <x v="1"/>
    <x v="0"/>
    <m/>
    <x v="0"/>
    <n v="278"/>
    <x v="0"/>
    <x v="33"/>
    <x v="16"/>
    <x v="0"/>
    <x v="0"/>
  </r>
  <r>
    <x v="0"/>
    <x v="10"/>
    <s v="8115 J"/>
    <x v="291"/>
    <s v="Head Office Lahore"/>
    <s v="LD رنگدار"/>
    <n v="21"/>
    <s v="12.5-13"/>
    <s v="LDM"/>
    <n v="1300"/>
    <x v="1"/>
    <n v="1"/>
    <n v="35"/>
    <n v="2.4"/>
    <m/>
    <x v="0"/>
    <n v="32.6"/>
    <n v="1298.7"/>
    <m/>
    <x v="0"/>
    <x v="0"/>
    <n v="0"/>
    <n v="0"/>
    <x v="0"/>
    <x v="0"/>
    <m/>
    <x v="0"/>
    <x v="0"/>
    <x v="0"/>
    <x v="0"/>
    <x v="0"/>
    <n v="0"/>
    <n v="0"/>
    <n v="0"/>
    <n v="12"/>
    <x v="1"/>
    <x v="0"/>
    <m/>
    <x v="0"/>
    <n v="40"/>
    <x v="0"/>
    <x v="33"/>
    <x v="16"/>
    <x v="0"/>
    <x v="0"/>
  </r>
  <r>
    <x v="0"/>
    <x v="13"/>
    <s v="3161 F"/>
    <x v="291"/>
    <s v="Usman Amin"/>
    <s v="LDN"/>
    <n v="17"/>
    <s v="6.5-7"/>
    <s v="LDN"/>
    <n v="600"/>
    <x v="1"/>
    <n v="4"/>
    <n v="244.5"/>
    <n v="8"/>
    <n v="9"/>
    <x v="0"/>
    <n v="236.5"/>
    <n v="613.54"/>
    <m/>
    <x v="0"/>
    <x v="0"/>
    <n v="0"/>
    <n v="0"/>
    <x v="0"/>
    <x v="0"/>
    <m/>
    <x v="0"/>
    <x v="0"/>
    <x v="0"/>
    <x v="0"/>
    <x v="0"/>
    <n v="0"/>
    <n v="0"/>
    <n v="0"/>
    <n v="12"/>
    <x v="1"/>
    <x v="0"/>
    <m/>
    <x v="0"/>
    <n v="249.5"/>
    <x v="0"/>
    <x v="33"/>
    <x v="16"/>
    <x v="0"/>
    <x v="0"/>
  </r>
  <r>
    <x v="1"/>
    <x v="13"/>
    <s v="3179 F"/>
    <x v="291"/>
    <s v="Usman Amin"/>
    <s v="LDN"/>
    <n v="16"/>
    <s v="8-8.5"/>
    <s v="LDN"/>
    <n v="60"/>
    <x v="1"/>
    <n v="1"/>
    <n v="76"/>
    <n v="1.3"/>
    <n v="12"/>
    <x v="0"/>
    <n v="74.7"/>
    <n v="74.7"/>
    <m/>
    <x v="0"/>
    <x v="0"/>
    <n v="0"/>
    <n v="0"/>
    <x v="0"/>
    <x v="0"/>
    <m/>
    <x v="0"/>
    <x v="0"/>
    <x v="0"/>
    <x v="0"/>
    <x v="0"/>
    <n v="0"/>
    <n v="0"/>
    <n v="0"/>
    <n v="12"/>
    <x v="1"/>
    <x v="0"/>
    <m/>
    <x v="0"/>
    <n v="81"/>
    <x v="0"/>
    <x v="33"/>
    <x v="16"/>
    <x v="0"/>
    <x v="0"/>
  </r>
  <r>
    <x v="1"/>
    <x v="13"/>
    <s v="3182 F"/>
    <x v="291"/>
    <s v="Usman Amin"/>
    <s v="LDN"/>
    <n v="19.25"/>
    <s v="9-9.5"/>
    <s v="LDN"/>
    <n v="65"/>
    <x v="1"/>
    <n v="1"/>
    <n v="69"/>
    <m/>
    <m/>
    <x v="0"/>
    <n v="69"/>
    <n v="69"/>
    <m/>
    <x v="0"/>
    <x v="0"/>
    <n v="0"/>
    <n v="0"/>
    <x v="0"/>
    <x v="0"/>
    <m/>
    <x v="0"/>
    <x v="0"/>
    <x v="0"/>
    <x v="0"/>
    <x v="0"/>
    <n v="0"/>
    <n v="0"/>
    <n v="0"/>
    <n v="12"/>
    <x v="1"/>
    <x v="0"/>
    <m/>
    <x v="0"/>
    <n v="74"/>
    <x v="0"/>
    <x v="33"/>
    <x v="16"/>
    <x v="0"/>
    <x v="0"/>
  </r>
  <r>
    <x v="1"/>
    <x v="13"/>
    <s v="3180 F"/>
    <x v="291"/>
    <s v="Usman Amin"/>
    <s v="LDN"/>
    <n v="21"/>
    <s v="8-8.5"/>
    <s v="LDN"/>
    <n v="110"/>
    <x v="1"/>
    <n v="1"/>
    <n v="108"/>
    <n v="1.3"/>
    <m/>
    <x v="0"/>
    <n v="106.7"/>
    <n v="106.7"/>
    <m/>
    <x v="0"/>
    <x v="0"/>
    <n v="0"/>
    <n v="0"/>
    <x v="0"/>
    <x v="0"/>
    <m/>
    <x v="0"/>
    <x v="0"/>
    <x v="0"/>
    <x v="0"/>
    <x v="0"/>
    <n v="0"/>
    <n v="0"/>
    <n v="0"/>
    <n v="12"/>
    <x v="1"/>
    <x v="0"/>
    <m/>
    <x v="0"/>
    <n v="113"/>
    <x v="0"/>
    <x v="33"/>
    <x v="16"/>
    <x v="0"/>
    <x v="0"/>
  </r>
  <r>
    <x v="1"/>
    <x v="13"/>
    <s v="3178 F"/>
    <x v="291"/>
    <s v="Usman Amin"/>
    <s v="LDN"/>
    <n v="21"/>
    <s v="8-8.5"/>
    <s v="LDN"/>
    <n v="60"/>
    <x v="1"/>
    <n v="1"/>
    <n v="68"/>
    <n v="2.2999999999999998"/>
    <m/>
    <x v="0"/>
    <n v="65.7"/>
    <n v="65.7"/>
    <m/>
    <x v="0"/>
    <x v="0"/>
    <n v="0"/>
    <n v="0"/>
    <x v="0"/>
    <x v="0"/>
    <m/>
    <x v="0"/>
    <x v="0"/>
    <x v="0"/>
    <x v="0"/>
    <x v="0"/>
    <n v="0"/>
    <n v="0"/>
    <n v="0"/>
    <n v="12"/>
    <x v="1"/>
    <x v="0"/>
    <m/>
    <x v="0"/>
    <n v="73"/>
    <x v="0"/>
    <x v="33"/>
    <x v="16"/>
    <x v="0"/>
    <x v="0"/>
  </r>
  <r>
    <x v="0"/>
    <x v="12"/>
    <s v="282 R"/>
    <x v="291"/>
    <s v="ریفلیکٹ پیک"/>
    <s v="LDN"/>
    <n v="23"/>
    <s v="18-19"/>
    <s v="LDN"/>
    <n v="7000"/>
    <x v="1"/>
    <n v="4"/>
    <n v="547"/>
    <n v="11.6"/>
    <n v="12"/>
    <x v="0"/>
    <n v="535.4"/>
    <n v="6988.9000000000015"/>
    <m/>
    <x v="0"/>
    <x v="0"/>
    <n v="0"/>
    <n v="0"/>
    <x v="0"/>
    <x v="0"/>
    <m/>
    <x v="0"/>
    <x v="0"/>
    <x v="0"/>
    <x v="0"/>
    <x v="0"/>
    <n v="0"/>
    <n v="0"/>
    <n v="0"/>
    <n v="12"/>
    <x v="1"/>
    <x v="0"/>
    <m/>
    <x v="0"/>
    <n v="552"/>
    <x v="0"/>
    <x v="33"/>
    <x v="16"/>
    <x v="0"/>
    <x v="0"/>
  </r>
  <r>
    <x v="1"/>
    <x v="12"/>
    <s v="282 R"/>
    <x v="291"/>
    <s v="ریفلیکٹ پیک"/>
    <s v="LDN"/>
    <n v="23"/>
    <s v="18-19"/>
    <s v="LDN"/>
    <n v="7000"/>
    <x v="1"/>
    <n v="3"/>
    <n v="454.3"/>
    <n v="8.6999999999999993"/>
    <n v="9"/>
    <x v="0"/>
    <n v="445.6"/>
    <n v="6988.9000000000015"/>
    <m/>
    <x v="0"/>
    <x v="0"/>
    <n v="0"/>
    <n v="0"/>
    <x v="0"/>
    <x v="0"/>
    <m/>
    <x v="0"/>
    <x v="0"/>
    <x v="0"/>
    <x v="0"/>
    <x v="0"/>
    <n v="0"/>
    <n v="0"/>
    <n v="0"/>
    <n v="12"/>
    <x v="1"/>
    <x v="0"/>
    <m/>
    <x v="0"/>
    <n v="459.3"/>
    <x v="0"/>
    <x v="33"/>
    <x v="16"/>
    <x v="0"/>
    <x v="0"/>
  </r>
  <r>
    <x v="0"/>
    <x v="14"/>
    <s v="8556 J"/>
    <x v="291"/>
    <s v="Atlas Honda LTD (SKP)"/>
    <s v="LDN"/>
    <n v="26"/>
    <s v="8.5-9"/>
    <s v="LDN"/>
    <n v="74.266975308641975"/>
    <x v="1"/>
    <n v="3"/>
    <n v="159.5"/>
    <n v="6"/>
    <n v="66"/>
    <x v="0"/>
    <n v="153.5"/>
    <n v="204.5"/>
    <m/>
    <x v="0"/>
    <x v="0"/>
    <n v="0"/>
    <n v="0"/>
    <x v="0"/>
    <x v="0"/>
    <m/>
    <x v="0"/>
    <x v="0"/>
    <x v="0"/>
    <x v="0"/>
    <x v="0"/>
    <n v="0"/>
    <n v="0"/>
    <n v="0"/>
    <n v="12"/>
    <x v="1"/>
    <x v="0"/>
    <m/>
    <x v="0"/>
    <n v="164.5"/>
    <x v="0"/>
    <x v="33"/>
    <x v="16"/>
    <x v="0"/>
    <x v="0"/>
  </r>
  <r>
    <x v="0"/>
    <x v="14"/>
    <s v="8555 J"/>
    <x v="291"/>
    <s v="Atlas Honda LTD (SKP)"/>
    <s v="LDN"/>
    <n v="24"/>
    <s v="8.5-9"/>
    <s v="LDN"/>
    <n v="37.393162393162392"/>
    <x v="1"/>
    <n v="1"/>
    <n v="76"/>
    <n v="2"/>
    <m/>
    <x v="0"/>
    <n v="74"/>
    <n v="214"/>
    <m/>
    <x v="0"/>
    <x v="0"/>
    <n v="0"/>
    <n v="0"/>
    <x v="0"/>
    <x v="0"/>
    <m/>
    <x v="0"/>
    <x v="0"/>
    <x v="0"/>
    <x v="0"/>
    <x v="0"/>
    <n v="0"/>
    <n v="0"/>
    <n v="0"/>
    <n v="12"/>
    <x v="1"/>
    <x v="0"/>
    <m/>
    <x v="0"/>
    <n v="81"/>
    <x v="0"/>
    <x v="33"/>
    <x v="16"/>
    <x v="0"/>
    <x v="0"/>
  </r>
  <r>
    <x v="0"/>
    <x v="14"/>
    <s v="8484 J"/>
    <x v="291"/>
    <s v="Ahmed Miss Print Sheikhupura"/>
    <s v="LDرنگدار"/>
    <n v="18"/>
    <s v="13-14"/>
    <s v="LDM"/>
    <n v="300"/>
    <x v="1"/>
    <n v="2"/>
    <n v="231"/>
    <n v="4"/>
    <m/>
    <x v="0"/>
    <n v="227"/>
    <n v="269"/>
    <m/>
    <x v="0"/>
    <x v="0"/>
    <n v="0"/>
    <n v="0"/>
    <x v="0"/>
    <x v="0"/>
    <m/>
    <x v="0"/>
    <x v="0"/>
    <x v="0"/>
    <x v="0"/>
    <x v="0"/>
    <n v="0"/>
    <n v="0"/>
    <n v="0"/>
    <n v="12"/>
    <x v="1"/>
    <x v="0"/>
    <m/>
    <x v="0"/>
    <n v="236"/>
    <x v="0"/>
    <x v="33"/>
    <x v="16"/>
    <x v="0"/>
    <x v="0"/>
  </r>
  <r>
    <x v="1"/>
    <x v="14"/>
    <s v="3174 F"/>
    <x v="291"/>
    <s v="Usman Amin"/>
    <s v="LDN"/>
    <s v="27 SHEET"/>
    <s v="3-3.25/6-6.5"/>
    <s v="LDN"/>
    <n v="300"/>
    <x v="1"/>
    <n v="4"/>
    <n v="309.5"/>
    <n v="8"/>
    <n v="59"/>
    <x v="0"/>
    <n v="301.5"/>
    <n v="301.5"/>
    <m/>
    <x v="0"/>
    <x v="0"/>
    <n v="0"/>
    <n v="0"/>
    <x v="0"/>
    <x v="0"/>
    <m/>
    <x v="0"/>
    <x v="0"/>
    <x v="0"/>
    <x v="0"/>
    <x v="0"/>
    <n v="0"/>
    <n v="0"/>
    <n v="0"/>
    <n v="12"/>
    <x v="1"/>
    <x v="0"/>
    <m/>
    <x v="0"/>
    <n v="314.5"/>
    <x v="0"/>
    <x v="33"/>
    <x v="16"/>
    <x v="0"/>
    <x v="0"/>
  </r>
  <r>
    <x v="1"/>
    <x v="14"/>
    <s v="3176 F"/>
    <x v="291"/>
    <s v="Usman Amin"/>
    <s v="LDN"/>
    <s v="34 SHEET"/>
    <s v="3-3.25/6-6.5"/>
    <s v="LDN"/>
    <n v="350"/>
    <x v="1"/>
    <n v="4"/>
    <n v="193.19"/>
    <n v="12"/>
    <m/>
    <x v="0"/>
    <n v="181.19"/>
    <n v="291.69"/>
    <m/>
    <x v="0"/>
    <x v="0"/>
    <n v="0"/>
    <n v="0"/>
    <x v="0"/>
    <x v="0"/>
    <m/>
    <x v="0"/>
    <x v="0"/>
    <x v="0"/>
    <x v="0"/>
    <x v="0"/>
    <n v="0"/>
    <n v="0"/>
    <n v="0"/>
    <n v="12"/>
    <x v="1"/>
    <x v="0"/>
    <m/>
    <x v="0"/>
    <n v="198.19"/>
    <x v="0"/>
    <x v="33"/>
    <x v="16"/>
    <x v="0"/>
    <x v="0"/>
  </r>
  <r>
    <x v="1"/>
    <x v="14"/>
    <s v="3175 F"/>
    <x v="291"/>
    <s v="Usman Amin"/>
    <s v="LDN"/>
    <s v="30 SHEET"/>
    <s v="3-3.25/6-6.5"/>
    <s v="LDN"/>
    <n v="250"/>
    <x v="1"/>
    <n v="4"/>
    <n v="284"/>
    <n v="10"/>
    <m/>
    <x v="0"/>
    <n v="274"/>
    <n v="274"/>
    <m/>
    <x v="0"/>
    <x v="0"/>
    <n v="0"/>
    <n v="0"/>
    <x v="0"/>
    <x v="0"/>
    <m/>
    <x v="0"/>
    <x v="0"/>
    <x v="0"/>
    <x v="0"/>
    <x v="0"/>
    <n v="0"/>
    <n v="0"/>
    <n v="0"/>
    <n v="12"/>
    <x v="1"/>
    <x v="0"/>
    <m/>
    <x v="0"/>
    <n v="289"/>
    <x v="0"/>
    <x v="33"/>
    <x v="16"/>
    <x v="0"/>
    <x v="0"/>
  </r>
  <r>
    <x v="0"/>
    <x v="15"/>
    <s v="8557 J"/>
    <x v="291"/>
    <s v="Atlas Honda LTD (SKP)"/>
    <s v="LDN"/>
    <n v="22"/>
    <s v="8.5-9"/>
    <s v="LDN"/>
    <n v="445.60185185185185"/>
    <x v="1"/>
    <n v="3"/>
    <n v="191"/>
    <n v="8.6"/>
    <n v="10"/>
    <x v="0"/>
    <n v="182.4"/>
    <n v="471.70000000000005"/>
    <m/>
    <x v="0"/>
    <x v="0"/>
    <n v="0"/>
    <n v="0"/>
    <x v="0"/>
    <x v="0"/>
    <m/>
    <x v="0"/>
    <x v="0"/>
    <x v="0"/>
    <x v="0"/>
    <x v="0"/>
    <n v="0"/>
    <n v="0"/>
    <n v="0"/>
    <n v="12"/>
    <x v="1"/>
    <x v="0"/>
    <m/>
    <x v="0"/>
    <n v="196"/>
    <x v="0"/>
    <x v="33"/>
    <x v="16"/>
    <x v="0"/>
    <x v="0"/>
  </r>
  <r>
    <x v="0"/>
    <x v="15"/>
    <s v="8546 J"/>
    <x v="291"/>
    <s v="Atlas Honda LTD (SKP)"/>
    <s v="LDN"/>
    <n v="22"/>
    <s v="14-14.5"/>
    <s v="LDN"/>
    <n v="60.474537037037031"/>
    <x v="1"/>
    <n v="3"/>
    <n v="216"/>
    <n v="8.5"/>
    <m/>
    <x v="0"/>
    <n v="207.5"/>
    <n v="207.5"/>
    <m/>
    <x v="0"/>
    <x v="0"/>
    <n v="0"/>
    <n v="0"/>
    <x v="0"/>
    <x v="0"/>
    <m/>
    <x v="0"/>
    <x v="0"/>
    <x v="0"/>
    <x v="0"/>
    <x v="0"/>
    <n v="0"/>
    <n v="0"/>
    <n v="0"/>
    <n v="12"/>
    <x v="1"/>
    <x v="0"/>
    <m/>
    <x v="0"/>
    <n v="221"/>
    <x v="0"/>
    <x v="33"/>
    <x v="16"/>
    <x v="0"/>
    <x v="0"/>
  </r>
  <r>
    <x v="0"/>
    <x v="15"/>
    <s v="8555 J"/>
    <x v="291"/>
    <s v="Atlas Honda LTD (SKP)"/>
    <s v="LDN"/>
    <n v="24"/>
    <s v="8.5-9"/>
    <s v="LDN"/>
    <n v="37.393162393162392"/>
    <x v="1"/>
    <n v="1"/>
    <n v="74"/>
    <n v="3"/>
    <m/>
    <x v="0"/>
    <n v="71"/>
    <n v="214"/>
    <m/>
    <x v="0"/>
    <x v="0"/>
    <n v="0"/>
    <n v="0"/>
    <x v="0"/>
    <x v="0"/>
    <m/>
    <x v="0"/>
    <x v="0"/>
    <x v="0"/>
    <x v="0"/>
    <x v="0"/>
    <n v="0"/>
    <n v="0"/>
    <n v="0"/>
    <n v="12"/>
    <x v="1"/>
    <x v="0"/>
    <m/>
    <x v="0"/>
    <n v="79"/>
    <x v="0"/>
    <x v="33"/>
    <x v="16"/>
    <x v="0"/>
    <x v="0"/>
  </r>
  <r>
    <x v="1"/>
    <x v="15"/>
    <s v="8555 J"/>
    <x v="291"/>
    <s v="Atlas Honda LTD (SKP)"/>
    <s v="LDN"/>
    <n v="24"/>
    <s v="8.5-9"/>
    <s v="LDN"/>
    <n v="37.393162393162392"/>
    <x v="1"/>
    <n v="1"/>
    <n v="72"/>
    <n v="3"/>
    <n v="9"/>
    <x v="0"/>
    <n v="69"/>
    <n v="214"/>
    <m/>
    <x v="0"/>
    <x v="0"/>
    <n v="0"/>
    <n v="0"/>
    <x v="0"/>
    <x v="0"/>
    <m/>
    <x v="0"/>
    <x v="0"/>
    <x v="0"/>
    <x v="0"/>
    <x v="0"/>
    <n v="0"/>
    <n v="0"/>
    <n v="0"/>
    <n v="12"/>
    <x v="1"/>
    <x v="0"/>
    <m/>
    <x v="0"/>
    <n v="77"/>
    <x v="0"/>
    <x v="33"/>
    <x v="16"/>
    <x v="0"/>
    <x v="0"/>
  </r>
  <r>
    <x v="1"/>
    <x v="15"/>
    <s v="3181 F"/>
    <x v="291"/>
    <s v="Usman Amin"/>
    <s v="LDN"/>
    <n v="24"/>
    <s v="6-6.5"/>
    <s v="LDN"/>
    <n v="148"/>
    <x v="1"/>
    <n v="2"/>
    <n v="149"/>
    <n v="6"/>
    <m/>
    <x v="0"/>
    <n v="143"/>
    <n v="143"/>
    <m/>
    <x v="0"/>
    <x v="0"/>
    <n v="0"/>
    <n v="0"/>
    <x v="0"/>
    <x v="0"/>
    <m/>
    <x v="0"/>
    <x v="0"/>
    <x v="0"/>
    <x v="0"/>
    <x v="0"/>
    <n v="0"/>
    <n v="0"/>
    <n v="0"/>
    <n v="12"/>
    <x v="1"/>
    <x v="0"/>
    <m/>
    <x v="0"/>
    <n v="154"/>
    <x v="0"/>
    <x v="33"/>
    <x v="16"/>
    <x v="0"/>
    <x v="0"/>
  </r>
  <r>
    <x v="1"/>
    <x v="15"/>
    <s v="8545 J"/>
    <x v="291"/>
    <s v="Atlas Honda LTD (SKP)"/>
    <s v="LDN"/>
    <n v="22"/>
    <s v="12.5-13"/>
    <s v="LDN"/>
    <n v="58.271011396011403"/>
    <x v="1"/>
    <n v="3"/>
    <n v="219.5"/>
    <n v="8.3000000000000007"/>
    <m/>
    <x v="0"/>
    <n v="211.2"/>
    <n v="211.2"/>
    <m/>
    <x v="0"/>
    <x v="0"/>
    <n v="0"/>
    <n v="0"/>
    <x v="0"/>
    <x v="0"/>
    <m/>
    <x v="0"/>
    <x v="0"/>
    <x v="0"/>
    <x v="0"/>
    <x v="0"/>
    <n v="0"/>
    <n v="0"/>
    <n v="0"/>
    <n v="12"/>
    <x v="1"/>
    <x v="0"/>
    <m/>
    <x v="0"/>
    <n v="224.5"/>
    <x v="0"/>
    <x v="33"/>
    <x v="16"/>
    <x v="0"/>
    <x v="0"/>
  </r>
  <r>
    <x v="0"/>
    <x v="8"/>
    <s v="8533 J"/>
    <x v="292"/>
    <s v="Al Shaheer Foods Corporation LTD"/>
    <s v="LDN"/>
    <n v="7.5"/>
    <s v="10.5-11"/>
    <s v="LDN"/>
    <n v="400"/>
    <x v="1"/>
    <n v="3"/>
    <n v="146.5"/>
    <n v="2.7"/>
    <n v="2"/>
    <x v="0"/>
    <n v="143.80000000000001"/>
    <n v="394.6"/>
    <m/>
    <x v="0"/>
    <x v="0"/>
    <n v="0"/>
    <n v="0"/>
    <x v="0"/>
    <x v="0"/>
    <m/>
    <x v="0"/>
    <x v="0"/>
    <x v="0"/>
    <x v="0"/>
    <x v="0"/>
    <n v="0"/>
    <n v="0"/>
    <n v="0"/>
    <n v="12"/>
    <x v="1"/>
    <x v="0"/>
    <m/>
    <x v="0"/>
    <n v="151.5"/>
    <x v="0"/>
    <x v="33"/>
    <x v="16"/>
    <x v="0"/>
    <x v="0"/>
  </r>
  <r>
    <x v="1"/>
    <x v="8"/>
    <s v="8533 J"/>
    <x v="292"/>
    <s v="Al Shaheer Foods Corporation LTD"/>
    <s v="LDN"/>
    <n v="7.5"/>
    <s v="10.5-11"/>
    <s v="LDN"/>
    <n v="400"/>
    <x v="1"/>
    <n v="3"/>
    <n v="159.5"/>
    <n v="2.7"/>
    <n v="2"/>
    <x v="0"/>
    <n v="156.80000000000001"/>
    <n v="394.6"/>
    <m/>
    <x v="0"/>
    <x v="0"/>
    <n v="0"/>
    <n v="0"/>
    <x v="0"/>
    <x v="0"/>
    <m/>
    <x v="0"/>
    <x v="0"/>
    <x v="0"/>
    <x v="0"/>
    <x v="0"/>
    <n v="0"/>
    <n v="0"/>
    <n v="0"/>
    <n v="12"/>
    <x v="1"/>
    <x v="0"/>
    <m/>
    <x v="0"/>
    <n v="164.5"/>
    <x v="0"/>
    <x v="33"/>
    <x v="16"/>
    <x v="0"/>
    <x v="0"/>
  </r>
  <r>
    <x v="0"/>
    <x v="9"/>
    <s v="8216 J"/>
    <x v="292"/>
    <s v="Jilani Poly Stock"/>
    <s v="LDN"/>
    <n v="5"/>
    <n v="10"/>
    <s v="LDN"/>
    <s v="-"/>
    <x v="1"/>
    <n v="4"/>
    <n v="153.5"/>
    <n v="2.8"/>
    <n v="3"/>
    <x v="0"/>
    <n v="150.69999999999999"/>
    <n v="480.1"/>
    <m/>
    <x v="0"/>
    <x v="0"/>
    <n v="0"/>
    <n v="0"/>
    <x v="0"/>
    <x v="0"/>
    <m/>
    <x v="0"/>
    <x v="0"/>
    <x v="0"/>
    <x v="0"/>
    <x v="0"/>
    <n v="0"/>
    <n v="0"/>
    <n v="0"/>
    <n v="12"/>
    <x v="1"/>
    <x v="0"/>
    <m/>
    <x v="0"/>
    <n v="158.5"/>
    <x v="0"/>
    <x v="33"/>
    <x v="16"/>
    <x v="0"/>
    <x v="0"/>
  </r>
  <r>
    <x v="1"/>
    <x v="9"/>
    <s v="8216 J"/>
    <x v="292"/>
    <s v="Jilani Poly Stock"/>
    <s v="LDN"/>
    <n v="5"/>
    <n v="10"/>
    <s v="LDN"/>
    <s v="-"/>
    <x v="1"/>
    <n v="4"/>
    <n v="145.9"/>
    <n v="2.8"/>
    <n v="3"/>
    <x v="0"/>
    <n v="143.1"/>
    <n v="480.1"/>
    <m/>
    <x v="0"/>
    <x v="0"/>
    <n v="0"/>
    <n v="0"/>
    <x v="0"/>
    <x v="0"/>
    <m/>
    <x v="0"/>
    <x v="0"/>
    <x v="0"/>
    <x v="0"/>
    <x v="0"/>
    <n v="0"/>
    <n v="0"/>
    <n v="0"/>
    <n v="12"/>
    <x v="1"/>
    <x v="0"/>
    <m/>
    <x v="0"/>
    <n v="150.9"/>
    <x v="0"/>
    <x v="33"/>
    <x v="16"/>
    <x v="0"/>
    <x v="0"/>
  </r>
  <r>
    <x v="0"/>
    <x v="13"/>
    <s v="2868/1"/>
    <x v="292"/>
    <s v="AGRI TRADE (SOP) LAMINATION"/>
    <s v="LDN"/>
    <s v="24-24.5"/>
    <s v="60±3"/>
    <s v="AA"/>
    <n v="13620"/>
    <x v="1"/>
    <n v="4"/>
    <n v="460.5"/>
    <n v="11.6"/>
    <m/>
    <x v="0"/>
    <n v="448.9"/>
    <n v="14026.099999999999"/>
    <m/>
    <x v="0"/>
    <x v="0"/>
    <n v="0"/>
    <n v="0"/>
    <x v="0"/>
    <x v="0"/>
    <m/>
    <x v="0"/>
    <x v="0"/>
    <x v="0"/>
    <x v="0"/>
    <x v="0"/>
    <n v="0"/>
    <n v="0"/>
    <n v="0"/>
    <n v="12"/>
    <x v="1"/>
    <x v="0"/>
    <m/>
    <x v="0"/>
    <n v="465.5"/>
    <x v="0"/>
    <x v="33"/>
    <x v="16"/>
    <x v="0"/>
    <x v="0"/>
  </r>
  <r>
    <x v="1"/>
    <x v="13"/>
    <s v="2868/1"/>
    <x v="292"/>
    <s v="AGRI TRADE (SOP) LAMINATION"/>
    <s v="LDN"/>
    <s v="24-24.5"/>
    <s v="60±3"/>
    <s v="AA"/>
    <n v="13620"/>
    <x v="1"/>
    <n v="4"/>
    <n v="365.4"/>
    <n v="11.6"/>
    <m/>
    <x v="0"/>
    <n v="353.79999999999995"/>
    <n v="14026.099999999999"/>
    <m/>
    <x v="0"/>
    <x v="0"/>
    <n v="0"/>
    <n v="0"/>
    <x v="0"/>
    <x v="0"/>
    <m/>
    <x v="0"/>
    <x v="0"/>
    <x v="0"/>
    <x v="0"/>
    <x v="0"/>
    <n v="0"/>
    <n v="0"/>
    <n v="0"/>
    <n v="12"/>
    <x v="1"/>
    <x v="0"/>
    <m/>
    <x v="0"/>
    <n v="370.4"/>
    <x v="0"/>
    <x v="33"/>
    <x v="16"/>
    <x v="0"/>
    <x v="0"/>
  </r>
  <r>
    <x v="0"/>
    <x v="12"/>
    <s v="282 R"/>
    <x v="292"/>
    <s v="ریفلیکٹ پیک"/>
    <s v="LDN"/>
    <n v="23"/>
    <s v="18-19"/>
    <s v="LDN"/>
    <n v="7000"/>
    <x v="1"/>
    <n v="4"/>
    <n v="518"/>
    <n v="11.2"/>
    <n v="8"/>
    <x v="0"/>
    <n v="506.8"/>
    <n v="6988.9000000000015"/>
    <m/>
    <x v="0"/>
    <x v="0"/>
    <n v="0"/>
    <n v="0"/>
    <x v="0"/>
    <x v="0"/>
    <m/>
    <x v="0"/>
    <x v="0"/>
    <x v="0"/>
    <x v="0"/>
    <x v="0"/>
    <n v="0"/>
    <n v="0"/>
    <n v="0"/>
    <n v="12"/>
    <x v="1"/>
    <x v="0"/>
    <m/>
    <x v="0"/>
    <n v="523"/>
    <x v="0"/>
    <x v="33"/>
    <x v="16"/>
    <x v="0"/>
    <x v="0"/>
  </r>
  <r>
    <x v="1"/>
    <x v="12"/>
    <s v="282 R"/>
    <x v="292"/>
    <s v="ریفلیکٹ پیک"/>
    <s v="LDN"/>
    <n v="23"/>
    <s v="18-19"/>
    <s v="LDN"/>
    <n v="7000"/>
    <x v="1"/>
    <n v="4"/>
    <n v="570"/>
    <n v="11.2"/>
    <n v="6"/>
    <x v="0"/>
    <n v="558.79999999999995"/>
    <n v="6988.9000000000015"/>
    <m/>
    <x v="0"/>
    <x v="0"/>
    <n v="0"/>
    <n v="0"/>
    <x v="0"/>
    <x v="0"/>
    <m/>
    <x v="0"/>
    <x v="0"/>
    <x v="0"/>
    <x v="0"/>
    <x v="0"/>
    <n v="0"/>
    <n v="0"/>
    <n v="0"/>
    <n v="12"/>
    <x v="1"/>
    <x v="0"/>
    <m/>
    <x v="0"/>
    <n v="575"/>
    <x v="0"/>
    <x v="33"/>
    <x v="16"/>
    <x v="0"/>
    <x v="0"/>
  </r>
  <r>
    <x v="0"/>
    <x v="14"/>
    <s v="3176 F"/>
    <x v="292"/>
    <s v="Usman Amin"/>
    <s v="LDN"/>
    <s v="34 SHEET"/>
    <s v="3-3.25/6-6.5"/>
    <s v="LDN"/>
    <n v="350"/>
    <x v="1"/>
    <n v="2"/>
    <n v="116.5"/>
    <n v="6"/>
    <n v="60"/>
    <x v="0"/>
    <n v="110.5"/>
    <n v="291.69"/>
    <m/>
    <x v="0"/>
    <x v="0"/>
    <n v="0"/>
    <n v="0"/>
    <x v="0"/>
    <x v="0"/>
    <m/>
    <x v="0"/>
    <x v="0"/>
    <x v="0"/>
    <x v="0"/>
    <x v="0"/>
    <n v="0"/>
    <n v="0"/>
    <n v="0"/>
    <n v="12"/>
    <x v="1"/>
    <x v="0"/>
    <m/>
    <x v="0"/>
    <n v="121.5"/>
    <x v="0"/>
    <x v="33"/>
    <x v="16"/>
    <x v="0"/>
    <x v="0"/>
  </r>
  <r>
    <x v="0"/>
    <x v="14"/>
    <s v="3177 F"/>
    <x v="292"/>
    <s v="Usman Amin"/>
    <s v="LDN"/>
    <s v="36 SHEET"/>
    <s v="3-3.25/6-6.5"/>
    <s v="LDN"/>
    <n v="300"/>
    <x v="1"/>
    <n v="4"/>
    <n v="347"/>
    <n v="12"/>
    <m/>
    <x v="0"/>
    <n v="335"/>
    <n v="335"/>
    <m/>
    <x v="0"/>
    <x v="0"/>
    <n v="0"/>
    <n v="0"/>
    <x v="0"/>
    <x v="0"/>
    <m/>
    <x v="0"/>
    <x v="0"/>
    <x v="0"/>
    <x v="0"/>
    <x v="0"/>
    <n v="0"/>
    <n v="0"/>
    <n v="0"/>
    <n v="12"/>
    <x v="1"/>
    <x v="0"/>
    <m/>
    <x v="0"/>
    <n v="352"/>
    <x v="0"/>
    <x v="33"/>
    <x v="16"/>
    <x v="0"/>
    <x v="0"/>
  </r>
  <r>
    <x v="0"/>
    <x v="14"/>
    <s v="2878/1"/>
    <x v="292"/>
    <s v="HEALTH CAPSUL (PT-02)"/>
    <s v="LDN"/>
    <s v="610MM+180MM+180MM"/>
    <s v="16-32"/>
    <s v="SL"/>
    <n v="4000"/>
    <x v="1"/>
    <n v="4"/>
    <n v="429"/>
    <n v="11.6"/>
    <m/>
    <x v="0"/>
    <n v="417.4"/>
    <n v="4022.9"/>
    <n v="15"/>
    <x v="0"/>
    <x v="0"/>
    <n v="15"/>
    <n v="0.25"/>
    <x v="0"/>
    <x v="0"/>
    <m/>
    <x v="0"/>
    <x v="0"/>
    <x v="0"/>
    <x v="0"/>
    <x v="0"/>
    <n v="0"/>
    <n v="0"/>
    <n v="0.25"/>
    <n v="11.75"/>
    <x v="1"/>
    <x v="0"/>
    <m/>
    <x v="0"/>
    <n v="434"/>
    <x v="0"/>
    <x v="33"/>
    <x v="16"/>
    <x v="0"/>
    <x v="0"/>
  </r>
  <r>
    <x v="1"/>
    <x v="14"/>
    <s v="2878/1"/>
    <x v="292"/>
    <s v="HEALTH CAPSUL (PT-02)"/>
    <s v="LDN"/>
    <s v="610MM+180MM+180MM"/>
    <s v="16-32"/>
    <s v="SL"/>
    <n v="4000"/>
    <x v="1"/>
    <n v="6"/>
    <n v="687"/>
    <n v="12"/>
    <n v="13"/>
    <x v="0"/>
    <n v="675"/>
    <n v="4022.9"/>
    <n v="12"/>
    <x v="0"/>
    <x v="0"/>
    <n v="12"/>
    <n v="0.2"/>
    <x v="0"/>
    <x v="0"/>
    <m/>
    <x v="0"/>
    <x v="0"/>
    <x v="0"/>
    <x v="0"/>
    <x v="0"/>
    <n v="0"/>
    <n v="0"/>
    <n v="0.2"/>
    <n v="11.8"/>
    <x v="1"/>
    <x v="0"/>
    <m/>
    <x v="0"/>
    <n v="692"/>
    <x v="0"/>
    <x v="33"/>
    <x v="16"/>
    <x v="0"/>
    <x v="0"/>
  </r>
  <r>
    <x v="1"/>
    <x v="14"/>
    <s v="2875/1"/>
    <x v="292"/>
    <s v="SITARA CHECMICAL"/>
    <s v="LDN"/>
    <s v="24-24.5"/>
    <s v="100±1"/>
    <s v="SL"/>
    <n v="5000"/>
    <x v="1"/>
    <n v="1"/>
    <n v="55"/>
    <n v="3"/>
    <m/>
    <x v="0"/>
    <n v="52"/>
    <n v="5072.5"/>
    <m/>
    <x v="0"/>
    <x v="0"/>
    <n v="0"/>
    <n v="0"/>
    <x v="0"/>
    <x v="0"/>
    <m/>
    <x v="0"/>
    <x v="0"/>
    <x v="0"/>
    <x v="0"/>
    <x v="0"/>
    <n v="0"/>
    <n v="0"/>
    <n v="0"/>
    <n v="12"/>
    <x v="1"/>
    <x v="0"/>
    <m/>
    <x v="0"/>
    <n v="60"/>
    <x v="0"/>
    <x v="33"/>
    <x v="16"/>
    <x v="0"/>
    <x v="0"/>
  </r>
  <r>
    <x v="0"/>
    <x v="15"/>
    <s v="8542 J"/>
    <x v="292"/>
    <s v="Atlas Honda LTD (SKP)"/>
    <s v="LDN"/>
    <n v="22"/>
    <s v="14-14.5"/>
    <s v="LDN"/>
    <n v="297.72079772079769"/>
    <x v="1"/>
    <n v="4"/>
    <n v="330"/>
    <n v="10.8"/>
    <n v="6"/>
    <x v="0"/>
    <n v="319.2"/>
    <n v="319.2"/>
    <m/>
    <x v="0"/>
    <x v="0"/>
    <n v="0"/>
    <n v="0"/>
    <x v="0"/>
    <x v="0"/>
    <m/>
    <x v="0"/>
    <x v="0"/>
    <x v="0"/>
    <x v="0"/>
    <x v="0"/>
    <n v="0"/>
    <n v="0"/>
    <n v="0"/>
    <n v="12"/>
    <x v="1"/>
    <x v="0"/>
    <m/>
    <x v="0"/>
    <n v="335"/>
    <x v="0"/>
    <x v="33"/>
    <x v="16"/>
    <x v="0"/>
    <x v="0"/>
  </r>
  <r>
    <x v="0"/>
    <x v="15"/>
    <s v="8543 J"/>
    <x v="292"/>
    <s v="Atlas Honda LTD (SKP)"/>
    <s v="LDN"/>
    <n v="13"/>
    <s v="13.5-14"/>
    <s v="LDN"/>
    <n v="1697.5308641975309"/>
    <x v="1"/>
    <n v="2"/>
    <n v="117"/>
    <n v="3.2"/>
    <m/>
    <x v="0"/>
    <n v="113.8"/>
    <n v="1696.6000000000001"/>
    <n v="2"/>
    <x v="0"/>
    <x v="0"/>
    <n v="2"/>
    <n v="3.3333333333333333E-2"/>
    <x v="0"/>
    <x v="0"/>
    <m/>
    <x v="0"/>
    <x v="0"/>
    <x v="0"/>
    <x v="0"/>
    <x v="0"/>
    <n v="0"/>
    <n v="0"/>
    <n v="3.3333333333333333E-2"/>
    <n v="11.966666666666667"/>
    <x v="1"/>
    <x v="0"/>
    <m/>
    <x v="0"/>
    <n v="122"/>
    <x v="0"/>
    <x v="33"/>
    <x v="16"/>
    <x v="0"/>
    <x v="0"/>
  </r>
  <r>
    <x v="1"/>
    <x v="15"/>
    <s v="8543 J"/>
    <x v="292"/>
    <s v="Atlas Honda LTD (SKP)"/>
    <s v="LDN"/>
    <n v="13"/>
    <s v="13.5-14"/>
    <s v="LDN"/>
    <n v="1697.5308641975309"/>
    <x v="1"/>
    <n v="4"/>
    <n v="281"/>
    <n v="6.8"/>
    <n v="2"/>
    <x v="0"/>
    <n v="274.2"/>
    <n v="1696.6000000000001"/>
    <m/>
    <x v="0"/>
    <x v="0"/>
    <n v="0"/>
    <n v="0"/>
    <x v="0"/>
    <x v="0"/>
    <m/>
    <x v="0"/>
    <x v="0"/>
    <x v="0"/>
    <x v="0"/>
    <x v="0"/>
    <n v="0"/>
    <n v="0"/>
    <n v="0"/>
    <n v="12"/>
    <x v="1"/>
    <x v="0"/>
    <m/>
    <x v="0"/>
    <n v="286"/>
    <x v="0"/>
    <x v="33"/>
    <x v="16"/>
    <x v="0"/>
    <x v="0"/>
  </r>
  <r>
    <x v="0"/>
    <x v="9"/>
    <s v="8232 J"/>
    <x v="293"/>
    <s v="Usman Packges Rwp"/>
    <s v="LDM"/>
    <n v="20"/>
    <s v="13.5-14"/>
    <s v="LDM"/>
    <n v="100"/>
    <x v="1"/>
    <n v="2"/>
    <n v="66.5"/>
    <n v="1.4"/>
    <n v="8"/>
    <x v="0"/>
    <n v="65.099999999999994"/>
    <n v="167.2"/>
    <n v="10"/>
    <x v="0"/>
    <x v="0"/>
    <n v="10"/>
    <n v="0.16666666666666666"/>
    <x v="0"/>
    <x v="0"/>
    <m/>
    <x v="0"/>
    <x v="0"/>
    <x v="0"/>
    <x v="0"/>
    <x v="0"/>
    <n v="0"/>
    <n v="0"/>
    <n v="0.16666666666666666"/>
    <n v="11.833333333333334"/>
    <x v="1"/>
    <x v="0"/>
    <m/>
    <x v="0"/>
    <n v="71.5"/>
    <x v="0"/>
    <x v="34"/>
    <x v="17"/>
    <x v="0"/>
    <x v="0"/>
  </r>
  <r>
    <x v="0"/>
    <x v="9"/>
    <s v="8534 J"/>
    <x v="293"/>
    <s v="Al Shaheer Foods Corporation LTD"/>
    <s v="LDN"/>
    <n v="11"/>
    <s v="10.5-11"/>
    <s v="LDN"/>
    <n v="400"/>
    <x v="1"/>
    <n v="1"/>
    <n v="64.5"/>
    <n v="1.1000000000000001"/>
    <m/>
    <x v="0"/>
    <n v="63.4"/>
    <n v="277.70000000000005"/>
    <m/>
    <x v="0"/>
    <x v="0"/>
    <n v="0"/>
    <n v="0"/>
    <x v="0"/>
    <x v="0"/>
    <m/>
    <x v="0"/>
    <x v="0"/>
    <x v="0"/>
    <x v="0"/>
    <x v="0"/>
    <n v="0"/>
    <n v="0"/>
    <n v="0"/>
    <n v="12"/>
    <x v="1"/>
    <x v="0"/>
    <m/>
    <x v="0"/>
    <n v="69.5"/>
    <x v="0"/>
    <x v="34"/>
    <x v="17"/>
    <x v="0"/>
    <x v="0"/>
  </r>
  <r>
    <x v="1"/>
    <x v="9"/>
    <s v="8414 J"/>
    <x v="293"/>
    <s v="Wah Nobel Private Limited"/>
    <s v="LDN"/>
    <s v="120 MM"/>
    <s v="22-22.5"/>
    <s v="LDN"/>
    <n v="1000"/>
    <x v="1"/>
    <n v="3"/>
    <n v="118.5"/>
    <n v="1.2000000000000002"/>
    <n v="6"/>
    <x v="0"/>
    <n v="117.3"/>
    <n v="2082.1"/>
    <m/>
    <x v="0"/>
    <x v="0"/>
    <n v="0"/>
    <n v="0"/>
    <x v="0"/>
    <x v="0"/>
    <m/>
    <x v="0"/>
    <x v="0"/>
    <x v="0"/>
    <x v="0"/>
    <x v="0"/>
    <n v="0"/>
    <n v="0"/>
    <n v="0"/>
    <n v="12"/>
    <x v="1"/>
    <x v="0"/>
    <m/>
    <x v="0"/>
    <n v="123.5"/>
    <x v="0"/>
    <x v="34"/>
    <x v="17"/>
    <x v="0"/>
    <x v="0"/>
  </r>
  <r>
    <x v="0"/>
    <x v="10"/>
    <s v="8115 J"/>
    <x v="293"/>
    <s v="Head Office Lahore"/>
    <s v="LD رنگدار"/>
    <n v="21"/>
    <s v="12.5-13"/>
    <s v="LDM"/>
    <n v="1300"/>
    <x v="1"/>
    <n v="2"/>
    <n v="225.5"/>
    <n v="4.9000000000000004"/>
    <n v="29"/>
    <x v="0"/>
    <n v="220.6"/>
    <n v="1298.7"/>
    <m/>
    <x v="0"/>
    <x v="0"/>
    <n v="0"/>
    <n v="0"/>
    <x v="0"/>
    <x v="0"/>
    <m/>
    <x v="0"/>
    <x v="0"/>
    <x v="0"/>
    <x v="3"/>
    <x v="0"/>
    <n v="30"/>
    <n v="0.5"/>
    <n v="0.5"/>
    <n v="11.5"/>
    <x v="1"/>
    <x v="0"/>
    <m/>
    <x v="0"/>
    <n v="230.5"/>
    <x v="0"/>
    <x v="34"/>
    <x v="17"/>
    <x v="0"/>
    <x v="0"/>
  </r>
  <r>
    <x v="1"/>
    <x v="10"/>
    <s v="8115 J"/>
    <x v="293"/>
    <s v="Head Office Lahore"/>
    <s v="LD رنگدار"/>
    <n v="21"/>
    <s v="12.5-13"/>
    <s v="LDM"/>
    <n v="1300"/>
    <x v="1"/>
    <n v="3"/>
    <n v="354"/>
    <n v="7.1999999999999993"/>
    <m/>
    <x v="0"/>
    <n v="346.8"/>
    <n v="1298.7"/>
    <m/>
    <x v="0"/>
    <x v="0"/>
    <n v="0"/>
    <n v="0"/>
    <x v="0"/>
    <x v="0"/>
    <m/>
    <x v="0"/>
    <x v="0"/>
    <x v="0"/>
    <x v="0"/>
    <x v="0"/>
    <n v="0"/>
    <n v="0"/>
    <n v="0"/>
    <n v="12"/>
    <x v="1"/>
    <x v="0"/>
    <m/>
    <x v="0"/>
    <n v="359"/>
    <x v="0"/>
    <x v="34"/>
    <x v="17"/>
    <x v="0"/>
    <x v="0"/>
  </r>
  <r>
    <x v="1"/>
    <x v="10"/>
    <s v="8114 J"/>
    <x v="293"/>
    <s v="Head Office Lahore"/>
    <s v="LD رنگدار"/>
    <n v="18"/>
    <s v="12.5-13"/>
    <s v="LDM"/>
    <n v="1300"/>
    <x v="1"/>
    <n v="1"/>
    <n v="113.5"/>
    <n v="1.9"/>
    <m/>
    <x v="0"/>
    <n v="111.6"/>
    <n v="1586.3"/>
    <m/>
    <x v="0"/>
    <x v="0"/>
    <n v="0"/>
    <n v="0"/>
    <x v="0"/>
    <x v="0"/>
    <m/>
    <x v="0"/>
    <x v="0"/>
    <x v="0"/>
    <x v="0"/>
    <x v="0"/>
    <n v="0"/>
    <n v="0"/>
    <n v="0"/>
    <n v="12"/>
    <x v="1"/>
    <x v="0"/>
    <m/>
    <x v="0"/>
    <n v="118.5"/>
    <x v="0"/>
    <x v="34"/>
    <x v="17"/>
    <x v="0"/>
    <x v="0"/>
  </r>
  <r>
    <x v="0"/>
    <x v="13"/>
    <s v="2868/1"/>
    <x v="293"/>
    <s v="AGRI TRADE (SOP) LAMINATION"/>
    <s v="LDN"/>
    <s v="24-24.5"/>
    <s v="60±3"/>
    <s v="AA"/>
    <n v="13620"/>
    <x v="1"/>
    <n v="3"/>
    <n v="324.89999999999998"/>
    <n v="7.1999999999999993"/>
    <n v="12"/>
    <x v="0"/>
    <n v="317.7"/>
    <n v="14026.099999999999"/>
    <m/>
    <x v="0"/>
    <x v="0"/>
    <n v="0"/>
    <n v="0"/>
    <x v="0"/>
    <x v="0"/>
    <n v="65"/>
    <x v="0"/>
    <x v="0"/>
    <x v="0"/>
    <x v="0"/>
    <x v="0"/>
    <n v="65"/>
    <n v="1.0833333333333333"/>
    <n v="1.0833333333333333"/>
    <n v="10.916666666666666"/>
    <x v="1"/>
    <x v="0"/>
    <m/>
    <x v="0"/>
    <n v="329.9"/>
    <x v="0"/>
    <x v="34"/>
    <x v="17"/>
    <x v="0"/>
    <x v="0"/>
  </r>
  <r>
    <x v="0"/>
    <x v="13"/>
    <s v="3173 F"/>
    <x v="293"/>
    <s v="Usman Amin"/>
    <s v="LDN"/>
    <n v="18"/>
    <s v="5.5-6"/>
    <s v="LDN"/>
    <n v="85"/>
    <x v="1"/>
    <n v="2"/>
    <n v="89.5"/>
    <n v="3.6"/>
    <m/>
    <x v="0"/>
    <n v="85.9"/>
    <n v="85.9"/>
    <m/>
    <x v="0"/>
    <x v="0"/>
    <n v="0"/>
    <n v="0"/>
    <x v="0"/>
    <x v="0"/>
    <m/>
    <x v="0"/>
    <x v="0"/>
    <x v="0"/>
    <x v="0"/>
    <x v="0"/>
    <n v="0"/>
    <n v="0"/>
    <n v="0"/>
    <n v="12"/>
    <x v="1"/>
    <x v="0"/>
    <m/>
    <x v="0"/>
    <n v="94.5"/>
    <x v="0"/>
    <x v="34"/>
    <x v="17"/>
    <x v="0"/>
    <x v="0"/>
  </r>
  <r>
    <x v="1"/>
    <x v="13"/>
    <s v="2873/1"/>
    <x v="293"/>
    <s v="MATCO FOOD"/>
    <s v="LDN"/>
    <s v="22.5-23"/>
    <s v="70±2"/>
    <s v="SL"/>
    <n v="3150"/>
    <x v="1"/>
    <n v="3"/>
    <n v="390"/>
    <n v="9"/>
    <n v="5"/>
    <x v="0"/>
    <n v="381"/>
    <n v="2435.6999999999998"/>
    <m/>
    <x v="0"/>
    <x v="0"/>
    <n v="0"/>
    <n v="0"/>
    <x v="0"/>
    <x v="0"/>
    <m/>
    <x v="0"/>
    <x v="0"/>
    <x v="0"/>
    <x v="0"/>
    <x v="0"/>
    <n v="0"/>
    <n v="0"/>
    <n v="0"/>
    <n v="12"/>
    <x v="1"/>
    <x v="0"/>
    <m/>
    <x v="0"/>
    <n v="395"/>
    <x v="0"/>
    <x v="34"/>
    <x v="17"/>
    <x v="0"/>
    <x v="0"/>
  </r>
  <r>
    <x v="0"/>
    <x v="12"/>
    <s v="282 R"/>
    <x v="293"/>
    <s v="ریفلیکٹ پیک"/>
    <s v="LDN"/>
    <n v="23"/>
    <s v="18-19"/>
    <s v="LDN"/>
    <n v="7000"/>
    <x v="1"/>
    <n v="5"/>
    <n v="538.5"/>
    <n v="14"/>
    <n v="3"/>
    <x v="0"/>
    <n v="524.5"/>
    <n v="6988.9000000000015"/>
    <m/>
    <x v="0"/>
    <x v="0"/>
    <n v="0"/>
    <n v="0"/>
    <x v="0"/>
    <x v="0"/>
    <m/>
    <x v="0"/>
    <x v="0"/>
    <x v="0"/>
    <x v="0"/>
    <x v="0"/>
    <n v="0"/>
    <n v="0"/>
    <n v="0"/>
    <n v="12"/>
    <x v="1"/>
    <x v="0"/>
    <m/>
    <x v="0"/>
    <n v="543.5"/>
    <x v="0"/>
    <x v="34"/>
    <x v="17"/>
    <x v="0"/>
    <x v="0"/>
  </r>
  <r>
    <x v="1"/>
    <x v="12"/>
    <s v="282 R"/>
    <x v="293"/>
    <s v="ریفلیکٹ پیک"/>
    <s v="LDN"/>
    <n v="23"/>
    <s v="18-19"/>
    <s v="LDN"/>
    <n v="7000"/>
    <x v="1"/>
    <n v="4"/>
    <n v="530"/>
    <n v="11.2"/>
    <n v="9"/>
    <x v="0"/>
    <n v="518.79999999999995"/>
    <n v="6988.9000000000015"/>
    <m/>
    <x v="0"/>
    <x v="0"/>
    <n v="0"/>
    <n v="0"/>
    <x v="0"/>
    <x v="0"/>
    <m/>
    <x v="0"/>
    <x v="0"/>
    <x v="0"/>
    <x v="0"/>
    <x v="0"/>
    <n v="0"/>
    <n v="0"/>
    <n v="0"/>
    <n v="12"/>
    <x v="1"/>
    <x v="0"/>
    <m/>
    <x v="0"/>
    <n v="535"/>
    <x v="0"/>
    <x v="34"/>
    <x v="17"/>
    <x v="0"/>
    <x v="0"/>
  </r>
  <r>
    <x v="0"/>
    <x v="14"/>
    <s v="2875/1"/>
    <x v="293"/>
    <s v="SITARA CHECMICAL"/>
    <s v="LDN"/>
    <s v="24-24.5"/>
    <s v="100±1"/>
    <s v="SL"/>
    <n v="5000"/>
    <x v="1"/>
    <n v="5"/>
    <n v="584.5"/>
    <n v="14.8"/>
    <n v="8"/>
    <x v="0"/>
    <n v="569.70000000000005"/>
    <n v="5072.5"/>
    <n v="10"/>
    <x v="0"/>
    <x v="0"/>
    <n v="10"/>
    <n v="0.16666666666666666"/>
    <x v="0"/>
    <x v="0"/>
    <m/>
    <x v="0"/>
    <x v="0"/>
    <x v="0"/>
    <x v="0"/>
    <x v="0"/>
    <n v="0"/>
    <n v="0"/>
    <n v="0.16666666666666666"/>
    <n v="11.833333333333334"/>
    <x v="1"/>
    <x v="0"/>
    <m/>
    <x v="0"/>
    <n v="589.5"/>
    <x v="0"/>
    <x v="34"/>
    <x v="17"/>
    <x v="0"/>
    <x v="0"/>
  </r>
  <r>
    <x v="1"/>
    <x v="14"/>
    <s v="3188 F"/>
    <x v="293"/>
    <s v="Usman Amin"/>
    <s v="LDN"/>
    <s v="27 SHEET"/>
    <s v="3-3.25/6-6.5"/>
    <s v="LDN"/>
    <n v="250"/>
    <x v="1"/>
    <n v="4"/>
    <n v="260.5"/>
    <n v="14"/>
    <n v="63"/>
    <x v="0"/>
    <n v="246.5"/>
    <n v="246.5"/>
    <m/>
    <x v="0"/>
    <x v="0"/>
    <n v="0"/>
    <n v="0"/>
    <x v="0"/>
    <x v="0"/>
    <m/>
    <x v="0"/>
    <x v="0"/>
    <x v="0"/>
    <x v="0"/>
    <x v="0"/>
    <n v="0"/>
    <n v="0"/>
    <n v="0"/>
    <n v="12"/>
    <x v="1"/>
    <x v="0"/>
    <m/>
    <x v="0"/>
    <n v="265.5"/>
    <x v="0"/>
    <x v="34"/>
    <x v="17"/>
    <x v="0"/>
    <x v="0"/>
  </r>
  <r>
    <x v="1"/>
    <x v="14"/>
    <s v="3191 F"/>
    <x v="293"/>
    <s v="Usman Amin"/>
    <s v="LDN"/>
    <s v="27 SHEET"/>
    <s v="3-3.25/6-6.5"/>
    <s v="LDN"/>
    <n v="250"/>
    <x v="1"/>
    <n v="4"/>
    <n v="265"/>
    <n v="9"/>
    <m/>
    <x v="0"/>
    <n v="256"/>
    <n v="256"/>
    <m/>
    <x v="0"/>
    <x v="0"/>
    <n v="0"/>
    <n v="0"/>
    <x v="0"/>
    <x v="0"/>
    <m/>
    <x v="0"/>
    <x v="0"/>
    <x v="0"/>
    <x v="0"/>
    <x v="0"/>
    <n v="0"/>
    <n v="0"/>
    <n v="0"/>
    <n v="12"/>
    <x v="1"/>
    <x v="0"/>
    <m/>
    <x v="0"/>
    <n v="270"/>
    <x v="0"/>
    <x v="34"/>
    <x v="17"/>
    <x v="0"/>
    <x v="0"/>
  </r>
  <r>
    <x v="1"/>
    <x v="14"/>
    <s v="3192 F"/>
    <x v="293"/>
    <s v="Usman Amin"/>
    <s v="LDN"/>
    <s v="27 SHEET"/>
    <s v="3-3.25/6-6.5"/>
    <s v="LDN"/>
    <n v="250"/>
    <x v="1"/>
    <n v="2"/>
    <n v="74"/>
    <n v="5"/>
    <m/>
    <x v="0"/>
    <n v="69"/>
    <n v="275"/>
    <m/>
    <x v="0"/>
    <x v="0"/>
    <n v="0"/>
    <n v="0"/>
    <x v="0"/>
    <x v="0"/>
    <m/>
    <x v="0"/>
    <x v="0"/>
    <x v="0"/>
    <x v="0"/>
    <x v="0"/>
    <n v="0"/>
    <n v="0"/>
    <n v="0"/>
    <n v="12"/>
    <x v="1"/>
    <x v="0"/>
    <m/>
    <x v="0"/>
    <n v="79"/>
    <x v="0"/>
    <x v="34"/>
    <x v="17"/>
    <x v="0"/>
    <x v="0"/>
  </r>
  <r>
    <x v="0"/>
    <x v="15"/>
    <s v="8543 J"/>
    <x v="293"/>
    <s v="Atlas Honda LTD (SKP)"/>
    <s v="LDN"/>
    <n v="13"/>
    <s v="13.5-14"/>
    <s v="LDN"/>
    <n v="1697.5308641975309"/>
    <x v="1"/>
    <n v="5"/>
    <n v="311.5"/>
    <n v="8"/>
    <m/>
    <x v="0"/>
    <n v="303.5"/>
    <n v="1696.6000000000001"/>
    <m/>
    <x v="0"/>
    <x v="0"/>
    <n v="0"/>
    <n v="0"/>
    <x v="0"/>
    <x v="0"/>
    <m/>
    <x v="0"/>
    <x v="0"/>
    <x v="0"/>
    <x v="0"/>
    <x v="0"/>
    <n v="0"/>
    <n v="0"/>
    <n v="0"/>
    <n v="12"/>
    <x v="1"/>
    <x v="0"/>
    <m/>
    <x v="0"/>
    <n v="316.5"/>
    <x v="0"/>
    <x v="34"/>
    <x v="17"/>
    <x v="0"/>
    <x v="0"/>
  </r>
  <r>
    <x v="1"/>
    <x v="15"/>
    <s v="8543 J"/>
    <x v="293"/>
    <s v="Atlas Honda LTD (SKP)"/>
    <s v="LDN"/>
    <n v="13"/>
    <s v="13.5-14"/>
    <s v="LDN"/>
    <n v="1697.5308641975309"/>
    <x v="1"/>
    <n v="4"/>
    <n v="289"/>
    <n v="6.8"/>
    <m/>
    <x v="0"/>
    <n v="282.2"/>
    <n v="1696.6000000000001"/>
    <m/>
    <x v="0"/>
    <x v="0"/>
    <n v="0"/>
    <n v="0"/>
    <x v="0"/>
    <x v="0"/>
    <m/>
    <x v="0"/>
    <x v="0"/>
    <x v="0"/>
    <x v="0"/>
    <x v="0"/>
    <n v="0"/>
    <n v="0"/>
    <n v="0"/>
    <n v="12"/>
    <x v="1"/>
    <x v="0"/>
    <m/>
    <x v="0"/>
    <n v="294"/>
    <x v="0"/>
    <x v="34"/>
    <x v="17"/>
    <x v="0"/>
    <x v="0"/>
  </r>
  <r>
    <x v="0"/>
    <x v="9"/>
    <s v="8414 J"/>
    <x v="294"/>
    <s v="Wah Nobel Private Limited"/>
    <s v="LDN"/>
    <s v="120 MM"/>
    <s v="22-22.5"/>
    <s v="LDN"/>
    <n v="1000"/>
    <x v="1"/>
    <n v="4"/>
    <n v="183"/>
    <n v="1.6"/>
    <n v="2"/>
    <x v="0"/>
    <n v="181.4"/>
    <n v="2082.1"/>
    <m/>
    <x v="0"/>
    <x v="0"/>
    <n v="0"/>
    <n v="0"/>
    <x v="0"/>
    <x v="0"/>
    <m/>
    <x v="0"/>
    <x v="0"/>
    <x v="0"/>
    <x v="0"/>
    <x v="0"/>
    <n v="0"/>
    <n v="0"/>
    <n v="0"/>
    <n v="12"/>
    <x v="1"/>
    <x v="0"/>
    <m/>
    <x v="0"/>
    <n v="188"/>
    <x v="0"/>
    <x v="34"/>
    <x v="17"/>
    <x v="0"/>
    <x v="0"/>
  </r>
  <r>
    <x v="1"/>
    <x v="9"/>
    <s v="8414 J"/>
    <x v="294"/>
    <s v="Wah Nobel Private Limited"/>
    <s v="LDN"/>
    <s v="120 MM"/>
    <s v="22-22.5"/>
    <s v="LDN"/>
    <n v="1000"/>
    <x v="1"/>
    <n v="4"/>
    <n v="154"/>
    <n v="1.6"/>
    <n v="2"/>
    <x v="0"/>
    <n v="152.4"/>
    <n v="2082.1"/>
    <m/>
    <x v="0"/>
    <x v="0"/>
    <n v="0"/>
    <n v="0"/>
    <x v="0"/>
    <x v="0"/>
    <m/>
    <x v="0"/>
    <x v="0"/>
    <x v="0"/>
    <x v="0"/>
    <x v="0"/>
    <n v="0"/>
    <n v="0"/>
    <n v="0"/>
    <n v="12"/>
    <x v="1"/>
    <x v="0"/>
    <m/>
    <x v="0"/>
    <n v="159"/>
    <x v="0"/>
    <x v="34"/>
    <x v="17"/>
    <x v="0"/>
    <x v="0"/>
  </r>
  <r>
    <x v="0"/>
    <x v="10"/>
    <s v="8114 j"/>
    <x v="294"/>
    <s v="Head Office Lahore"/>
    <s v="LD رنگدار"/>
    <n v="18"/>
    <s v="12.5-13"/>
    <s v="LDM"/>
    <n v="1300"/>
    <x v="1"/>
    <n v="3"/>
    <n v="257"/>
    <n v="6.1"/>
    <n v="7"/>
    <x v="0"/>
    <n v="250.9"/>
    <n v="1586.3"/>
    <m/>
    <x v="0"/>
    <x v="0"/>
    <n v="0"/>
    <n v="0"/>
    <x v="0"/>
    <x v="0"/>
    <m/>
    <x v="0"/>
    <x v="0"/>
    <x v="0"/>
    <x v="0"/>
    <x v="0"/>
    <n v="0"/>
    <n v="0"/>
    <n v="0"/>
    <n v="12"/>
    <x v="1"/>
    <x v="0"/>
    <m/>
    <x v="0"/>
    <n v="262"/>
    <x v="0"/>
    <x v="34"/>
    <x v="17"/>
    <x v="0"/>
    <x v="0"/>
  </r>
  <r>
    <x v="0"/>
    <x v="10"/>
    <s v="8113 J"/>
    <x v="294"/>
    <s v="Head Office Lahore"/>
    <s v="LD رنگدار"/>
    <n v="16"/>
    <s v="12.5-13"/>
    <s v="LDM"/>
    <n v="1000"/>
    <x v="1"/>
    <n v="2"/>
    <n v="171.5"/>
    <n v="4"/>
    <m/>
    <x v="0"/>
    <n v="167.5"/>
    <n v="821.59999999999991"/>
    <m/>
    <x v="0"/>
    <x v="0"/>
    <n v="0"/>
    <n v="0"/>
    <x v="0"/>
    <x v="0"/>
    <m/>
    <x v="0"/>
    <x v="0"/>
    <x v="0"/>
    <x v="0"/>
    <x v="0"/>
    <n v="0"/>
    <n v="0"/>
    <n v="0"/>
    <n v="12"/>
    <x v="1"/>
    <x v="0"/>
    <m/>
    <x v="0"/>
    <n v="176.5"/>
    <x v="0"/>
    <x v="34"/>
    <x v="17"/>
    <x v="0"/>
    <x v="0"/>
  </r>
  <r>
    <x v="1"/>
    <x v="10"/>
    <s v="8113 J"/>
    <x v="294"/>
    <s v="Head Office Lahore"/>
    <s v="LD رنگدار"/>
    <n v="16"/>
    <s v="12.5-13"/>
    <s v="LDM"/>
    <n v="1000"/>
    <x v="1"/>
    <n v="1"/>
    <n v="127"/>
    <n v="2"/>
    <n v="6"/>
    <x v="0"/>
    <n v="125"/>
    <n v="821.59999999999991"/>
    <m/>
    <x v="0"/>
    <x v="0"/>
    <n v="0"/>
    <n v="0"/>
    <x v="0"/>
    <x v="0"/>
    <m/>
    <x v="0"/>
    <x v="0"/>
    <x v="0"/>
    <x v="0"/>
    <x v="0"/>
    <n v="0"/>
    <n v="0"/>
    <n v="0"/>
    <n v="12"/>
    <x v="1"/>
    <x v="0"/>
    <m/>
    <x v="0"/>
    <n v="132"/>
    <x v="0"/>
    <x v="34"/>
    <x v="17"/>
    <x v="0"/>
    <x v="0"/>
  </r>
  <r>
    <x v="1"/>
    <x v="10"/>
    <s v="8112 J"/>
    <x v="294"/>
    <s v="Head Office Lahore"/>
    <s v="LD رنگدار"/>
    <n v="13"/>
    <s v="12.5-13"/>
    <s v="LDM"/>
    <n v="1000"/>
    <x v="1"/>
    <n v="3"/>
    <n v="282.89999999999998"/>
    <n v="4.5"/>
    <m/>
    <x v="0"/>
    <n v="278.39999999999998"/>
    <n v="1053.5999999999999"/>
    <m/>
    <x v="0"/>
    <x v="0"/>
    <n v="0"/>
    <n v="0"/>
    <x v="0"/>
    <x v="0"/>
    <m/>
    <x v="0"/>
    <x v="0"/>
    <x v="0"/>
    <x v="0"/>
    <x v="0"/>
    <n v="0"/>
    <n v="0"/>
    <n v="0"/>
    <n v="12"/>
    <x v="1"/>
    <x v="0"/>
    <m/>
    <x v="0"/>
    <n v="287.89999999999998"/>
    <x v="0"/>
    <x v="34"/>
    <x v="17"/>
    <x v="0"/>
    <x v="0"/>
  </r>
  <r>
    <x v="0"/>
    <x v="13"/>
    <s v="2880/1"/>
    <x v="294"/>
    <s v="MATCO FOOD"/>
    <s v="LDN"/>
    <s v="22.5-23"/>
    <s v="70±2 گرام"/>
    <s v="SL"/>
    <n v="4900"/>
    <x v="1"/>
    <n v="4"/>
    <n v="495.5"/>
    <n v="12"/>
    <n v="7"/>
    <x v="0"/>
    <n v="483.5"/>
    <n v="5977.05"/>
    <m/>
    <x v="0"/>
    <x v="0"/>
    <n v="0"/>
    <n v="0"/>
    <x v="0"/>
    <x v="0"/>
    <m/>
    <x v="0"/>
    <x v="0"/>
    <x v="0"/>
    <x v="0"/>
    <x v="0"/>
    <n v="0"/>
    <n v="0"/>
    <n v="0"/>
    <n v="12"/>
    <x v="1"/>
    <x v="0"/>
    <m/>
    <x v="0"/>
    <n v="500.5"/>
    <x v="0"/>
    <x v="34"/>
    <x v="17"/>
    <x v="0"/>
    <x v="0"/>
  </r>
  <r>
    <x v="1"/>
    <x v="13"/>
    <s v="2880/1"/>
    <x v="294"/>
    <s v="MATCO FOOD"/>
    <s v="LDN"/>
    <s v="22.5-23"/>
    <s v="70±2 گرام"/>
    <s v="SL"/>
    <n v="4900"/>
    <x v="1"/>
    <n v="4"/>
    <n v="456.4"/>
    <n v="12"/>
    <n v="7"/>
    <x v="0"/>
    <n v="444.4"/>
    <n v="5977.05"/>
    <m/>
    <x v="0"/>
    <x v="0"/>
    <n v="0"/>
    <n v="0"/>
    <x v="0"/>
    <x v="0"/>
    <m/>
    <x v="0"/>
    <x v="0"/>
    <x v="0"/>
    <x v="0"/>
    <x v="0"/>
    <n v="0"/>
    <n v="0"/>
    <n v="0"/>
    <n v="12"/>
    <x v="1"/>
    <x v="0"/>
    <m/>
    <x v="0"/>
    <n v="461.4"/>
    <x v="0"/>
    <x v="34"/>
    <x v="17"/>
    <x v="0"/>
    <x v="0"/>
  </r>
  <r>
    <x v="0"/>
    <x v="12"/>
    <s v="282 R"/>
    <x v="294"/>
    <s v="ریفلیکٹ پیک"/>
    <s v="LDN"/>
    <n v="23"/>
    <s v="18-19"/>
    <s v="LDN"/>
    <n v="7000"/>
    <x v="1"/>
    <n v="3"/>
    <n v="416"/>
    <n v="8.3999999999999986"/>
    <n v="8"/>
    <x v="0"/>
    <n v="407.6"/>
    <n v="6988.9000000000015"/>
    <m/>
    <x v="0"/>
    <x v="0"/>
    <n v="0"/>
    <n v="0"/>
    <x v="0"/>
    <x v="0"/>
    <m/>
    <x v="0"/>
    <x v="0"/>
    <x v="0"/>
    <x v="0"/>
    <x v="0"/>
    <n v="0"/>
    <n v="0"/>
    <n v="0"/>
    <n v="12"/>
    <x v="1"/>
    <x v="0"/>
    <m/>
    <x v="0"/>
    <n v="421"/>
    <x v="0"/>
    <x v="34"/>
    <x v="17"/>
    <x v="0"/>
    <x v="0"/>
  </r>
  <r>
    <x v="0"/>
    <x v="12"/>
    <s v="2880/1"/>
    <x v="294"/>
    <s v="MATCO FOOD"/>
    <s v="LDN"/>
    <s v="22.5-23"/>
    <s v="70±2 گرام"/>
    <s v="SL"/>
    <n v="4900"/>
    <x v="1"/>
    <n v="1"/>
    <n v="128"/>
    <n v="2.8"/>
    <m/>
    <x v="0"/>
    <n v="125.2"/>
    <n v="5977.05"/>
    <m/>
    <x v="0"/>
    <x v="0"/>
    <n v="0"/>
    <n v="0"/>
    <x v="0"/>
    <x v="0"/>
    <m/>
    <x v="0"/>
    <x v="0"/>
    <x v="0"/>
    <x v="0"/>
    <x v="0"/>
    <n v="0"/>
    <n v="0"/>
    <n v="0"/>
    <n v="12"/>
    <x v="1"/>
    <x v="0"/>
    <m/>
    <x v="0"/>
    <n v="133"/>
    <x v="0"/>
    <x v="34"/>
    <x v="17"/>
    <x v="0"/>
    <x v="0"/>
  </r>
  <r>
    <x v="1"/>
    <x v="12"/>
    <s v="2880/1"/>
    <x v="294"/>
    <s v="MATCO FOOD"/>
    <s v="LDN"/>
    <s v="22.5-23"/>
    <s v="70±2 گرام"/>
    <s v="SL"/>
    <n v="4900"/>
    <x v="1"/>
    <n v="4"/>
    <n v="511.5"/>
    <n v="11.2"/>
    <n v="9"/>
    <x v="0"/>
    <n v="500.3"/>
    <n v="5977.05"/>
    <m/>
    <x v="0"/>
    <x v="0"/>
    <n v="0"/>
    <n v="0"/>
    <x v="0"/>
    <x v="0"/>
    <m/>
    <x v="0"/>
    <x v="0"/>
    <x v="0"/>
    <x v="0"/>
    <x v="0"/>
    <n v="0"/>
    <n v="0"/>
    <n v="0"/>
    <n v="12"/>
    <x v="1"/>
    <x v="0"/>
    <m/>
    <x v="0"/>
    <n v="516.5"/>
    <x v="0"/>
    <x v="34"/>
    <x v="17"/>
    <x v="0"/>
    <x v="0"/>
  </r>
  <r>
    <x v="0"/>
    <x v="14"/>
    <s v="3192 F"/>
    <x v="294"/>
    <s v="Usman Amin"/>
    <s v="LDN"/>
    <s v="27 SHEET"/>
    <s v="3-3.25/6-6.5"/>
    <s v="LDN"/>
    <n v="250"/>
    <x v="1"/>
    <n v="4"/>
    <n v="215.5"/>
    <n v="9.5"/>
    <n v="67"/>
    <x v="0"/>
    <n v="206"/>
    <n v="275"/>
    <n v="12"/>
    <x v="0"/>
    <x v="0"/>
    <n v="12"/>
    <n v="0.2"/>
    <x v="0"/>
    <x v="0"/>
    <m/>
    <x v="0"/>
    <x v="0"/>
    <x v="0"/>
    <x v="0"/>
    <x v="0"/>
    <n v="0"/>
    <n v="0"/>
    <n v="0.2"/>
    <n v="11.8"/>
    <x v="1"/>
    <x v="0"/>
    <m/>
    <x v="0"/>
    <n v="220.5"/>
    <x v="0"/>
    <x v="34"/>
    <x v="17"/>
    <x v="0"/>
    <x v="0"/>
  </r>
  <r>
    <x v="0"/>
    <x v="14"/>
    <s v="3193 F"/>
    <x v="294"/>
    <s v="Usman Amin"/>
    <s v="LDN"/>
    <s v="27 SHEET"/>
    <s v="3-3.25/6-6.5"/>
    <s v="LDN"/>
    <n v="250"/>
    <x v="1"/>
    <n v="4"/>
    <n v="267"/>
    <n v="8"/>
    <m/>
    <x v="0"/>
    <n v="259"/>
    <n v="259"/>
    <m/>
    <x v="0"/>
    <x v="0"/>
    <n v="0"/>
    <n v="0"/>
    <x v="0"/>
    <x v="0"/>
    <m/>
    <x v="0"/>
    <x v="0"/>
    <x v="0"/>
    <x v="0"/>
    <x v="0"/>
    <n v="0"/>
    <n v="0"/>
    <n v="0"/>
    <n v="12"/>
    <x v="1"/>
    <x v="0"/>
    <m/>
    <x v="0"/>
    <n v="272"/>
    <x v="0"/>
    <x v="34"/>
    <x v="17"/>
    <x v="0"/>
    <x v="0"/>
  </r>
  <r>
    <x v="0"/>
    <x v="14"/>
    <s v="8529 J"/>
    <x v="294"/>
    <s v="Usman Ghani nTextile Sheikhopura"/>
    <s v="LDN"/>
    <n v="36.5"/>
    <s v="13-14"/>
    <s v="LDN"/>
    <n v="210"/>
    <x v="1"/>
    <n v="2"/>
    <n v="229.5"/>
    <n v="6"/>
    <m/>
    <x v="0"/>
    <n v="223.5"/>
    <n v="223.5"/>
    <m/>
    <x v="0"/>
    <x v="0"/>
    <n v="0"/>
    <n v="0"/>
    <x v="0"/>
    <x v="0"/>
    <m/>
    <x v="0"/>
    <x v="0"/>
    <x v="0"/>
    <x v="0"/>
    <x v="0"/>
    <n v="0"/>
    <n v="0"/>
    <n v="0"/>
    <n v="12"/>
    <x v="1"/>
    <x v="0"/>
    <m/>
    <x v="0"/>
    <n v="234.5"/>
    <x v="0"/>
    <x v="34"/>
    <x v="17"/>
    <x v="0"/>
    <x v="0"/>
  </r>
  <r>
    <x v="1"/>
    <x v="14"/>
    <s v="3189 F"/>
    <x v="294"/>
    <s v="Usman Amin"/>
    <s v="LDN"/>
    <s v="36 SHEET"/>
    <s v="3-3.25/6-6.5"/>
    <s v="LDN"/>
    <n v="300"/>
    <x v="1"/>
    <n v="4"/>
    <n v="290.5"/>
    <n v="16"/>
    <n v="65"/>
    <x v="0"/>
    <n v="274.5"/>
    <n v="274.5"/>
    <m/>
    <x v="0"/>
    <x v="0"/>
    <n v="0"/>
    <n v="0"/>
    <x v="0"/>
    <x v="0"/>
    <m/>
    <x v="0"/>
    <x v="0"/>
    <x v="0"/>
    <x v="0"/>
    <x v="0"/>
    <n v="0"/>
    <n v="0"/>
    <n v="0"/>
    <n v="12"/>
    <x v="1"/>
    <x v="0"/>
    <m/>
    <x v="0"/>
    <n v="295.5"/>
    <x v="0"/>
    <x v="34"/>
    <x v="17"/>
    <x v="0"/>
    <x v="0"/>
  </r>
  <r>
    <x v="1"/>
    <x v="14"/>
    <s v="8592 J"/>
    <x v="294"/>
    <s v="H Dost Industry Lahore"/>
    <s v="LDN"/>
    <s v="36 شیٹ"/>
    <s v="4.5-5/9-10"/>
    <s v="LDN"/>
    <n v="400"/>
    <x v="1"/>
    <n v="8"/>
    <n v="442"/>
    <n v="24"/>
    <m/>
    <x v="0"/>
    <n v="418"/>
    <n v="418"/>
    <m/>
    <x v="0"/>
    <x v="0"/>
    <n v="0"/>
    <n v="0"/>
    <x v="0"/>
    <x v="0"/>
    <m/>
    <x v="0"/>
    <x v="0"/>
    <x v="0"/>
    <x v="0"/>
    <x v="0"/>
    <n v="0"/>
    <n v="0"/>
    <n v="0"/>
    <n v="12"/>
    <x v="1"/>
    <x v="0"/>
    <m/>
    <x v="0"/>
    <n v="447"/>
    <x v="0"/>
    <x v="34"/>
    <x v="17"/>
    <x v="0"/>
    <x v="0"/>
  </r>
  <r>
    <x v="1"/>
    <x v="14"/>
    <s v="3194 F"/>
    <x v="294"/>
    <s v="Usman Amin"/>
    <s v="LDN"/>
    <s v="36SHEET"/>
    <s v="3-3.25/6-6.5"/>
    <s v="LDN"/>
    <n v="200"/>
    <x v="1"/>
    <n v="2"/>
    <n v="196.5"/>
    <n v="9"/>
    <m/>
    <x v="0"/>
    <n v="187.5"/>
    <n v="187.5"/>
    <m/>
    <x v="0"/>
    <x v="0"/>
    <n v="0"/>
    <n v="0"/>
    <x v="0"/>
    <x v="0"/>
    <m/>
    <x v="0"/>
    <x v="0"/>
    <x v="0"/>
    <x v="0"/>
    <x v="0"/>
    <n v="0"/>
    <n v="0"/>
    <n v="0"/>
    <n v="12"/>
    <x v="1"/>
    <x v="0"/>
    <m/>
    <x v="0"/>
    <n v="201.5"/>
    <x v="0"/>
    <x v="34"/>
    <x v="17"/>
    <x v="0"/>
    <x v="0"/>
  </r>
  <r>
    <x v="0"/>
    <x v="15"/>
    <s v="8543 J"/>
    <x v="294"/>
    <s v="Atlas Honda LTD (SKP)"/>
    <s v="LDN"/>
    <n v="13"/>
    <s v="13.5-14"/>
    <s v="LDN"/>
    <n v="1697.5308641975309"/>
    <x v="1"/>
    <n v="2"/>
    <n v="116.5"/>
    <n v="3.2"/>
    <n v="3"/>
    <x v="0"/>
    <n v="113.3"/>
    <n v="1696.6000000000001"/>
    <m/>
    <x v="0"/>
    <x v="0"/>
    <n v="0"/>
    <n v="0"/>
    <x v="0"/>
    <x v="0"/>
    <m/>
    <x v="0"/>
    <x v="0"/>
    <x v="0"/>
    <x v="0"/>
    <x v="0"/>
    <n v="0"/>
    <n v="0"/>
    <n v="0"/>
    <n v="12"/>
    <x v="1"/>
    <x v="0"/>
    <m/>
    <x v="0"/>
    <n v="121.5"/>
    <x v="0"/>
    <x v="34"/>
    <x v="17"/>
    <x v="0"/>
    <x v="0"/>
  </r>
  <r>
    <x v="0"/>
    <x v="15"/>
    <s v="8578 J"/>
    <x v="294"/>
    <s v="Atlas Honda LTD (SKP)"/>
    <s v="LDN"/>
    <n v="13"/>
    <s v="12.5-13"/>
    <s v="LDN"/>
    <n v="541.08796296296293"/>
    <x v="1"/>
    <n v="4"/>
    <n v="213.5"/>
    <n v="6.4"/>
    <m/>
    <x v="0"/>
    <n v="207.1"/>
    <n v="541.29999999999995"/>
    <m/>
    <x v="0"/>
    <x v="0"/>
    <n v="0"/>
    <n v="0"/>
    <x v="0"/>
    <x v="0"/>
    <m/>
    <x v="0"/>
    <x v="0"/>
    <x v="0"/>
    <x v="0"/>
    <x v="0"/>
    <n v="0"/>
    <n v="0"/>
    <n v="0"/>
    <n v="12"/>
    <x v="1"/>
    <x v="0"/>
    <m/>
    <x v="0"/>
    <n v="218.5"/>
    <x v="0"/>
    <x v="34"/>
    <x v="17"/>
    <x v="0"/>
    <x v="0"/>
  </r>
  <r>
    <x v="1"/>
    <x v="15"/>
    <s v="8543 J"/>
    <x v="294"/>
    <s v="Atlas Honda LTD (SKP)"/>
    <s v="LDN"/>
    <n v="13"/>
    <s v="13.5-14"/>
    <s v="LDN"/>
    <n v="1697.5308641975309"/>
    <x v="1"/>
    <n v="1"/>
    <n v="70"/>
    <n v="1.7"/>
    <m/>
    <x v="0"/>
    <n v="68.3"/>
    <n v="1696.6000000000001"/>
    <m/>
    <x v="0"/>
    <x v="0"/>
    <n v="0"/>
    <n v="0"/>
    <x v="0"/>
    <x v="0"/>
    <m/>
    <x v="0"/>
    <x v="0"/>
    <x v="0"/>
    <x v="0"/>
    <x v="0"/>
    <n v="0"/>
    <n v="0"/>
    <n v="0"/>
    <n v="12"/>
    <x v="1"/>
    <x v="0"/>
    <m/>
    <x v="0"/>
    <n v="75"/>
    <x v="0"/>
    <x v="34"/>
    <x v="17"/>
    <x v="0"/>
    <x v="0"/>
  </r>
  <r>
    <x v="1"/>
    <x v="15"/>
    <s v="8578 J"/>
    <x v="294"/>
    <s v="Atlas Honda LTD (SKP)"/>
    <s v="LDN"/>
    <n v="13"/>
    <s v="12.5-13"/>
    <s v="LDN"/>
    <n v="541.08796296296293"/>
    <x v="1"/>
    <n v="4"/>
    <n v="246"/>
    <n v="6.6"/>
    <n v="4"/>
    <x v="0"/>
    <n v="239.4"/>
    <n v="541.29999999999995"/>
    <m/>
    <x v="0"/>
    <x v="0"/>
    <n v="0"/>
    <n v="0"/>
    <x v="0"/>
    <x v="0"/>
    <m/>
    <x v="0"/>
    <x v="0"/>
    <x v="0"/>
    <x v="0"/>
    <x v="0"/>
    <n v="0"/>
    <n v="0"/>
    <n v="0"/>
    <n v="12"/>
    <x v="1"/>
    <x v="0"/>
    <m/>
    <x v="0"/>
    <n v="251"/>
    <x v="0"/>
    <x v="34"/>
    <x v="17"/>
    <x v="0"/>
    <x v="0"/>
  </r>
  <r>
    <x v="0"/>
    <x v="8"/>
    <s v="8533 J"/>
    <x v="295"/>
    <s v="Al Shaheer Foods Corporation LTD"/>
    <s v="LDN"/>
    <n v="7.5"/>
    <s v="10.5-11"/>
    <s v="LDN"/>
    <n v="400"/>
    <x v="1"/>
    <n v="2"/>
    <n v="97.8"/>
    <n v="3.8"/>
    <n v="9"/>
    <x v="0"/>
    <n v="94"/>
    <n v="394.6"/>
    <m/>
    <x v="0"/>
    <x v="3"/>
    <n v="240"/>
    <n v="4"/>
    <x v="0"/>
    <x v="0"/>
    <m/>
    <x v="0"/>
    <x v="0"/>
    <x v="0"/>
    <x v="0"/>
    <x v="0"/>
    <n v="0"/>
    <n v="0"/>
    <n v="4"/>
    <n v="8"/>
    <x v="1"/>
    <x v="0"/>
    <m/>
    <x v="0"/>
    <n v="102.8"/>
    <x v="0"/>
    <x v="34"/>
    <x v="17"/>
    <x v="0"/>
    <x v="0"/>
  </r>
  <r>
    <x v="1"/>
    <x v="8"/>
    <s v="8553 J"/>
    <x v="295"/>
    <s v="Atlas Honda LTD (SKP)"/>
    <s v="LDN"/>
    <n v="8"/>
    <n v="9"/>
    <s v="LDN"/>
    <n v="68.376068376068375"/>
    <x v="1"/>
    <n v="2"/>
    <n v="108.5"/>
    <n v="2"/>
    <m/>
    <x v="0"/>
    <n v="106.5"/>
    <n v="106.5"/>
    <m/>
    <x v="0"/>
    <x v="0"/>
    <n v="0"/>
    <n v="0"/>
    <x v="0"/>
    <x v="0"/>
    <m/>
    <x v="0"/>
    <x v="0"/>
    <x v="0"/>
    <x v="0"/>
    <x v="0"/>
    <n v="0"/>
    <n v="0"/>
    <n v="0"/>
    <n v="12"/>
    <x v="1"/>
    <x v="0"/>
    <m/>
    <x v="0"/>
    <n v="113.5"/>
    <x v="0"/>
    <x v="34"/>
    <x v="17"/>
    <x v="0"/>
    <x v="0"/>
  </r>
  <r>
    <x v="1"/>
    <x v="8"/>
    <s v="8544 J"/>
    <x v="295"/>
    <s v="Atlas Honda LTD (SKP)"/>
    <s v="LDN"/>
    <n v="8"/>
    <s v="8.5-9"/>
    <s v="LDN"/>
    <n v="72.293447293447286"/>
    <x v="1"/>
    <n v="1"/>
    <n v="55"/>
    <n v="1"/>
    <n v="1"/>
    <x v="0"/>
    <n v="54"/>
    <n v="200.5"/>
    <m/>
    <x v="0"/>
    <x v="0"/>
    <n v="0"/>
    <n v="0"/>
    <x v="0"/>
    <x v="0"/>
    <m/>
    <x v="0"/>
    <x v="0"/>
    <x v="0"/>
    <x v="0"/>
    <x v="0"/>
    <n v="0"/>
    <n v="0"/>
    <n v="0"/>
    <n v="12"/>
    <x v="1"/>
    <x v="0"/>
    <m/>
    <x v="0"/>
    <n v="60"/>
    <x v="0"/>
    <x v="34"/>
    <x v="17"/>
    <x v="0"/>
    <x v="0"/>
  </r>
  <r>
    <x v="0"/>
    <x v="9"/>
    <s v="8414 J"/>
    <x v="295"/>
    <s v="Wah Nobel Private Limited"/>
    <s v="LDN"/>
    <s v="120 MM"/>
    <s v="22-22.5"/>
    <s v="LDN"/>
    <n v="1000"/>
    <x v="1"/>
    <n v="2"/>
    <n v="87"/>
    <n v="4"/>
    <n v="4"/>
    <x v="0"/>
    <n v="83"/>
    <n v="2082.1"/>
    <m/>
    <x v="0"/>
    <x v="0"/>
    <n v="0"/>
    <n v="0"/>
    <x v="0"/>
    <x v="0"/>
    <n v="180"/>
    <x v="0"/>
    <x v="0"/>
    <x v="0"/>
    <x v="0"/>
    <x v="0"/>
    <n v="180"/>
    <n v="3"/>
    <n v="3"/>
    <n v="9"/>
    <x v="1"/>
    <x v="0"/>
    <m/>
    <x v="0"/>
    <n v="92"/>
    <x v="0"/>
    <x v="34"/>
    <x v="17"/>
    <x v="0"/>
    <x v="0"/>
  </r>
  <r>
    <x v="1"/>
    <x v="9"/>
    <s v="8414 J"/>
    <x v="295"/>
    <s v="Wah Nobel Private Limited"/>
    <s v="LDN"/>
    <s v="120 MM"/>
    <s v="22-22.5"/>
    <s v="LDN"/>
    <n v="1000"/>
    <x v="1"/>
    <n v="3"/>
    <n v="148.80000000000001"/>
    <n v="6"/>
    <m/>
    <x v="0"/>
    <n v="142.80000000000001"/>
    <n v="2082.1"/>
    <m/>
    <x v="0"/>
    <x v="0"/>
    <n v="0"/>
    <n v="0"/>
    <x v="0"/>
    <x v="0"/>
    <m/>
    <x v="0"/>
    <x v="0"/>
    <x v="0"/>
    <x v="0"/>
    <x v="0"/>
    <n v="0"/>
    <n v="0"/>
    <n v="0"/>
    <n v="12"/>
    <x v="1"/>
    <x v="0"/>
    <m/>
    <x v="0"/>
    <n v="153.80000000000001"/>
    <x v="0"/>
    <x v="34"/>
    <x v="17"/>
    <x v="0"/>
    <x v="0"/>
  </r>
  <r>
    <x v="0"/>
    <x v="13"/>
    <s v="2880/1"/>
    <x v="295"/>
    <s v="MATCO FOOD"/>
    <s v="LDN"/>
    <s v="22.5-23"/>
    <s v="70±2 گرام"/>
    <s v="SL"/>
    <n v="4900"/>
    <x v="1"/>
    <n v="1"/>
    <n v="149"/>
    <n v="2.2000000000000002"/>
    <m/>
    <x v="0"/>
    <n v="146.80000000000001"/>
    <n v="5977.05"/>
    <m/>
    <x v="0"/>
    <x v="0"/>
    <n v="0"/>
    <n v="0"/>
    <x v="0"/>
    <x v="0"/>
    <m/>
    <x v="0"/>
    <x v="0"/>
    <x v="0"/>
    <x v="0"/>
    <x v="0"/>
    <n v="0"/>
    <n v="0"/>
    <n v="0"/>
    <n v="12"/>
    <x v="1"/>
    <x v="0"/>
    <m/>
    <x v="0"/>
    <n v="154"/>
    <x v="0"/>
    <x v="34"/>
    <x v="17"/>
    <x v="0"/>
    <x v="0"/>
  </r>
  <r>
    <x v="0"/>
    <x v="13"/>
    <s v="3184 F"/>
    <x v="295"/>
    <s v="Usman Amin"/>
    <s v="LDN"/>
    <n v="26"/>
    <s v="8-8.5"/>
    <s v="LDN"/>
    <n v="735"/>
    <x v="1"/>
    <n v="2"/>
    <n v="228"/>
    <n v="6.3"/>
    <n v="6"/>
    <x v="0"/>
    <n v="221.7"/>
    <n v="753.3"/>
    <m/>
    <x v="0"/>
    <x v="0"/>
    <n v="0"/>
    <n v="0"/>
    <x v="0"/>
    <x v="0"/>
    <m/>
    <x v="0"/>
    <x v="0"/>
    <x v="0"/>
    <x v="0"/>
    <x v="0"/>
    <n v="0"/>
    <n v="0"/>
    <n v="0"/>
    <n v="12"/>
    <x v="1"/>
    <x v="0"/>
    <m/>
    <x v="0"/>
    <n v="233"/>
    <x v="0"/>
    <x v="34"/>
    <x v="17"/>
    <x v="0"/>
    <x v="0"/>
  </r>
  <r>
    <x v="1"/>
    <x v="13"/>
    <s v="3184 F"/>
    <x v="295"/>
    <s v="Usman Amin"/>
    <s v="LDN"/>
    <n v="26"/>
    <s v="8-8.5"/>
    <s v="LDN"/>
    <n v="735"/>
    <x v="1"/>
    <n v="5"/>
    <n v="485.1"/>
    <n v="12.5"/>
    <n v="4"/>
    <x v="0"/>
    <n v="472.6"/>
    <n v="753.3"/>
    <m/>
    <x v="0"/>
    <x v="0"/>
    <n v="0"/>
    <n v="0"/>
    <x v="0"/>
    <x v="0"/>
    <m/>
    <x v="0"/>
    <x v="0"/>
    <x v="0"/>
    <x v="0"/>
    <x v="0"/>
    <n v="0"/>
    <n v="0"/>
    <n v="0"/>
    <n v="12"/>
    <x v="1"/>
    <x v="0"/>
    <m/>
    <x v="0"/>
    <n v="490.1"/>
    <x v="0"/>
    <x v="34"/>
    <x v="17"/>
    <x v="0"/>
    <x v="0"/>
  </r>
  <r>
    <x v="0"/>
    <x v="12"/>
    <s v="2880/1"/>
    <x v="295"/>
    <s v="MATCO FOOD"/>
    <s v="LDN"/>
    <s v="22.5-23"/>
    <s v="70±2 گرام"/>
    <s v="SL"/>
    <n v="4900"/>
    <x v="1"/>
    <n v="4"/>
    <n v="480.25"/>
    <n v="6"/>
    <n v="7"/>
    <x v="0"/>
    <n v="474.25"/>
    <n v="5977.05"/>
    <m/>
    <x v="0"/>
    <x v="0"/>
    <n v="0"/>
    <n v="0"/>
    <x v="0"/>
    <x v="0"/>
    <m/>
    <x v="0"/>
    <x v="0"/>
    <x v="0"/>
    <x v="0"/>
    <x v="0"/>
    <n v="0"/>
    <n v="0"/>
    <n v="0"/>
    <n v="12"/>
    <x v="1"/>
    <x v="0"/>
    <m/>
    <x v="0"/>
    <n v="485.25"/>
    <x v="0"/>
    <x v="34"/>
    <x v="17"/>
    <x v="0"/>
    <x v="0"/>
  </r>
  <r>
    <x v="1"/>
    <x v="12"/>
    <s v="2880/1"/>
    <x v="295"/>
    <s v="MATCO FOOD"/>
    <s v="LDN"/>
    <s v="22.5-23"/>
    <s v="70±2 گرام"/>
    <s v="SL"/>
    <n v="4900"/>
    <x v="1"/>
    <n v="4"/>
    <n v="527"/>
    <n v="8.8000000000000007"/>
    <n v="5"/>
    <x v="0"/>
    <n v="518.20000000000005"/>
    <n v="5977.05"/>
    <m/>
    <x v="0"/>
    <x v="0"/>
    <n v="0"/>
    <n v="0"/>
    <x v="0"/>
    <x v="0"/>
    <m/>
    <x v="0"/>
    <x v="0"/>
    <x v="0"/>
    <x v="0"/>
    <x v="0"/>
    <n v="0"/>
    <n v="0"/>
    <n v="0"/>
    <n v="12"/>
    <x v="1"/>
    <x v="0"/>
    <m/>
    <x v="0"/>
    <n v="532"/>
    <x v="0"/>
    <x v="34"/>
    <x v="17"/>
    <x v="0"/>
    <x v="0"/>
  </r>
  <r>
    <x v="0"/>
    <x v="14"/>
    <s v="3190 F"/>
    <x v="295"/>
    <s v="Usman Amin"/>
    <s v="LDN"/>
    <s v="38 SHEET"/>
    <s v="3-3.25/6-6.5"/>
    <s v="LDN"/>
    <n v="700"/>
    <x v="1"/>
    <n v="8"/>
    <n v="739.5"/>
    <n v="28"/>
    <n v="48"/>
    <x v="0"/>
    <n v="711.5"/>
    <n v="711.5"/>
    <m/>
    <x v="0"/>
    <x v="0"/>
    <n v="0"/>
    <n v="0"/>
    <x v="0"/>
    <x v="0"/>
    <m/>
    <x v="0"/>
    <x v="0"/>
    <x v="0"/>
    <x v="0"/>
    <x v="0"/>
    <n v="0"/>
    <n v="0"/>
    <n v="0"/>
    <n v="12"/>
    <x v="1"/>
    <x v="0"/>
    <m/>
    <x v="0"/>
    <n v="744.5"/>
    <x v="0"/>
    <x v="34"/>
    <x v="17"/>
    <x v="0"/>
    <x v="0"/>
  </r>
  <r>
    <x v="1"/>
    <x v="14"/>
    <s v="3195 F"/>
    <x v="295"/>
    <s v="Usman Amin"/>
    <s v="LDN"/>
    <s v="34 SHEET"/>
    <s v="3-3.25/6-6.5"/>
    <s v="LDN"/>
    <n v="400"/>
    <x v="1"/>
    <n v="6"/>
    <n v="409.5"/>
    <n v="18"/>
    <n v="41"/>
    <x v="0"/>
    <n v="391.5"/>
    <n v="391.5"/>
    <n v="5"/>
    <x v="0"/>
    <x v="0"/>
    <n v="5"/>
    <n v="8.3333333333333329E-2"/>
    <x v="0"/>
    <x v="0"/>
    <m/>
    <x v="0"/>
    <x v="0"/>
    <x v="0"/>
    <x v="0"/>
    <x v="0"/>
    <n v="0"/>
    <n v="0"/>
    <n v="8.3333333333333329E-2"/>
    <n v="11.916666666666666"/>
    <x v="1"/>
    <x v="0"/>
    <m/>
    <x v="0"/>
    <n v="414.5"/>
    <x v="0"/>
    <x v="34"/>
    <x v="17"/>
    <x v="0"/>
    <x v="0"/>
  </r>
  <r>
    <x v="1"/>
    <x v="14"/>
    <s v="8629 J"/>
    <x v="295"/>
    <s v="Precision Polymers Pvt LTD"/>
    <s v="LDN"/>
    <n v="26"/>
    <s v="8.5-9"/>
    <s v="LDN"/>
    <n v="217.11207561728395"/>
    <x v="1"/>
    <n v="3"/>
    <n v="226.5"/>
    <n v="7.5"/>
    <m/>
    <x v="0"/>
    <n v="219"/>
    <n v="219"/>
    <n v="5"/>
    <x v="0"/>
    <x v="0"/>
    <n v="5"/>
    <n v="8.3333333333333329E-2"/>
    <x v="0"/>
    <x v="0"/>
    <m/>
    <x v="0"/>
    <x v="0"/>
    <x v="0"/>
    <x v="0"/>
    <x v="0"/>
    <n v="0"/>
    <n v="0"/>
    <n v="8.3333333333333329E-2"/>
    <n v="11.916666666666666"/>
    <x v="1"/>
    <x v="0"/>
    <m/>
    <x v="0"/>
    <n v="231.5"/>
    <x v="0"/>
    <x v="34"/>
    <x v="17"/>
    <x v="0"/>
    <x v="0"/>
  </r>
  <r>
    <x v="1"/>
    <x v="14"/>
    <s v="3196 J"/>
    <x v="295"/>
    <s v="برجر پینٹ لاہور"/>
    <s v="LDM"/>
    <n v="18"/>
    <s v="-"/>
    <s v="LDM"/>
    <n v="600"/>
    <x v="1"/>
    <n v="2"/>
    <n v="153.5"/>
    <n v="4"/>
    <m/>
    <x v="0"/>
    <n v="149.5"/>
    <n v="771.3"/>
    <m/>
    <x v="0"/>
    <x v="0"/>
    <n v="0"/>
    <n v="0"/>
    <x v="0"/>
    <x v="0"/>
    <m/>
    <x v="0"/>
    <x v="0"/>
    <x v="0"/>
    <x v="0"/>
    <x v="0"/>
    <n v="0"/>
    <n v="0"/>
    <n v="0"/>
    <n v="12"/>
    <x v="1"/>
    <x v="0"/>
    <m/>
    <x v="0"/>
    <n v="158.5"/>
    <x v="0"/>
    <x v="34"/>
    <x v="17"/>
    <x v="0"/>
    <x v="0"/>
  </r>
  <r>
    <x v="0"/>
    <x v="15"/>
    <s v="8578 J"/>
    <x v="295"/>
    <s v="Atlas Honda LTD (SKP)"/>
    <s v="LDN"/>
    <n v="13"/>
    <s v="12.5-13"/>
    <s v="LDN"/>
    <n v="541.08796296296293"/>
    <x v="1"/>
    <n v="2"/>
    <n v="98"/>
    <n v="3.2"/>
    <m/>
    <x v="0"/>
    <n v="94.8"/>
    <n v="541.29999999999995"/>
    <m/>
    <x v="0"/>
    <x v="0"/>
    <n v="0"/>
    <n v="0"/>
    <x v="0"/>
    <x v="0"/>
    <m/>
    <x v="0"/>
    <x v="0"/>
    <x v="0"/>
    <x v="0"/>
    <x v="0"/>
    <n v="0"/>
    <n v="0"/>
    <n v="0"/>
    <n v="12"/>
    <x v="1"/>
    <x v="0"/>
    <m/>
    <x v="0"/>
    <n v="103"/>
    <x v="0"/>
    <x v="34"/>
    <x v="17"/>
    <x v="0"/>
    <x v="0"/>
  </r>
  <r>
    <x v="0"/>
    <x v="15"/>
    <s v="8543 J"/>
    <x v="295"/>
    <s v="Atlas Honda LTD (SKP)"/>
    <s v="LDN"/>
    <n v="13"/>
    <s v="13.5-14"/>
    <s v="LDN"/>
    <n v="1697.5308641975309"/>
    <x v="1"/>
    <n v="3"/>
    <n v="177"/>
    <n v="4.8000000000000007"/>
    <n v="2"/>
    <x v="0"/>
    <n v="172.2"/>
    <n v="1696.6000000000001"/>
    <n v="2"/>
    <x v="0"/>
    <x v="0"/>
    <n v="2"/>
    <n v="3.3333333333333333E-2"/>
    <x v="0"/>
    <x v="0"/>
    <m/>
    <x v="0"/>
    <x v="0"/>
    <x v="0"/>
    <x v="0"/>
    <x v="0"/>
    <n v="0"/>
    <n v="0"/>
    <n v="3.3333333333333333E-2"/>
    <n v="11.966666666666667"/>
    <x v="1"/>
    <x v="0"/>
    <m/>
    <x v="0"/>
    <n v="182"/>
    <x v="0"/>
    <x v="34"/>
    <x v="17"/>
    <x v="0"/>
    <x v="0"/>
  </r>
  <r>
    <x v="1"/>
    <x v="15"/>
    <s v="8543 J"/>
    <x v="295"/>
    <s v="Atlas Honda LTD (SKP)"/>
    <s v="LDN"/>
    <n v="13"/>
    <s v="13.5-14"/>
    <s v="LDN"/>
    <n v="1697.5308641975309"/>
    <x v="1"/>
    <n v="3"/>
    <n v="196.5"/>
    <n v="5.0999999999999996"/>
    <n v="4"/>
    <x v="0"/>
    <n v="191.4"/>
    <n v="1696.6000000000001"/>
    <m/>
    <x v="0"/>
    <x v="0"/>
    <n v="0"/>
    <n v="0"/>
    <x v="0"/>
    <x v="0"/>
    <m/>
    <x v="0"/>
    <x v="0"/>
    <x v="0"/>
    <x v="0"/>
    <x v="0"/>
    <n v="0"/>
    <n v="0"/>
    <n v="0"/>
    <n v="12"/>
    <x v="1"/>
    <x v="0"/>
    <m/>
    <x v="0"/>
    <n v="201.5"/>
    <x v="0"/>
    <x v="34"/>
    <x v="17"/>
    <x v="0"/>
    <x v="0"/>
  </r>
  <r>
    <x v="1"/>
    <x v="15"/>
    <s v="8554 J"/>
    <x v="295"/>
    <s v="Atlas Honda LTD (SKP)"/>
    <s v="LDN"/>
    <n v="16"/>
    <n v="9"/>
    <s v="LDN"/>
    <n v="34.188034188034187"/>
    <x v="1"/>
    <n v="2"/>
    <n v="102.5"/>
    <n v="3.6"/>
    <m/>
    <x v="0"/>
    <n v="98.9"/>
    <n v="98.9"/>
    <m/>
    <x v="0"/>
    <x v="0"/>
    <n v="0"/>
    <n v="0"/>
    <x v="0"/>
    <x v="0"/>
    <m/>
    <x v="0"/>
    <x v="0"/>
    <x v="0"/>
    <x v="0"/>
    <x v="0"/>
    <n v="0"/>
    <n v="0"/>
    <n v="0"/>
    <n v="12"/>
    <x v="1"/>
    <x v="0"/>
    <m/>
    <x v="0"/>
    <n v="107.5"/>
    <x v="0"/>
    <x v="34"/>
    <x v="17"/>
    <x v="0"/>
    <x v="0"/>
  </r>
  <r>
    <x v="0"/>
    <x v="8"/>
    <s v="8544 J"/>
    <x v="296"/>
    <s v="Atlas Honda LTD (SKP)"/>
    <s v="LDN"/>
    <n v="8"/>
    <s v="8.5-9"/>
    <s v="LDN"/>
    <n v="72.293447293447286"/>
    <x v="1"/>
    <n v="3"/>
    <n v="149.5"/>
    <n v="3"/>
    <n v="2"/>
    <x v="0"/>
    <n v="146.5"/>
    <n v="200.5"/>
    <m/>
    <x v="0"/>
    <x v="0"/>
    <n v="0"/>
    <n v="0"/>
    <x v="0"/>
    <x v="0"/>
    <m/>
    <x v="0"/>
    <x v="0"/>
    <x v="0"/>
    <x v="0"/>
    <x v="0"/>
    <n v="0"/>
    <n v="0"/>
    <n v="0"/>
    <n v="12"/>
    <x v="1"/>
    <x v="0"/>
    <m/>
    <x v="0"/>
    <n v="154.5"/>
    <x v="0"/>
    <x v="34"/>
    <x v="17"/>
    <x v="0"/>
    <x v="0"/>
  </r>
  <r>
    <x v="1"/>
    <x v="8"/>
    <s v="8541 J"/>
    <x v="296"/>
    <s v="Atlas Honda LTD (SKP)"/>
    <s v="LDN"/>
    <n v="9"/>
    <s v="9-9.5"/>
    <s v="LDN"/>
    <n v="64.236111111111114"/>
    <x v="1"/>
    <n v="3"/>
    <n v="169.5"/>
    <n v="3"/>
    <n v="1"/>
    <x v="0"/>
    <n v="166.5"/>
    <n v="203"/>
    <m/>
    <x v="0"/>
    <x v="0"/>
    <n v="0"/>
    <n v="0"/>
    <x v="0"/>
    <x v="0"/>
    <m/>
    <x v="0"/>
    <x v="0"/>
    <x v="0"/>
    <x v="0"/>
    <x v="0"/>
    <n v="0"/>
    <n v="0"/>
    <n v="0"/>
    <n v="12"/>
    <x v="1"/>
    <x v="0"/>
    <m/>
    <x v="0"/>
    <n v="174.5"/>
    <x v="0"/>
    <x v="34"/>
    <x v="17"/>
    <x v="0"/>
    <x v="0"/>
  </r>
  <r>
    <x v="0"/>
    <x v="9"/>
    <s v="8414 J"/>
    <x v="296"/>
    <s v="Wah Nobel Private Limited"/>
    <s v="LDN"/>
    <s v="120 MM"/>
    <s v="22-22.5"/>
    <s v="LDN"/>
    <n v="1000"/>
    <x v="1"/>
    <n v="4"/>
    <n v="182.2"/>
    <n v="2.8"/>
    <m/>
    <x v="0"/>
    <n v="179.39999999999998"/>
    <n v="2082.1"/>
    <m/>
    <x v="0"/>
    <x v="0"/>
    <n v="0"/>
    <n v="0"/>
    <x v="0"/>
    <x v="0"/>
    <m/>
    <x v="0"/>
    <x v="0"/>
    <x v="0"/>
    <x v="0"/>
    <x v="0"/>
    <n v="0"/>
    <n v="0"/>
    <n v="0"/>
    <n v="12"/>
    <x v="1"/>
    <x v="0"/>
    <m/>
    <x v="0"/>
    <n v="187.2"/>
    <x v="0"/>
    <x v="34"/>
    <x v="17"/>
    <x v="0"/>
    <x v="0"/>
  </r>
  <r>
    <x v="1"/>
    <x v="9"/>
    <s v="8414 J"/>
    <x v="296"/>
    <s v="Wah Nobel Private Limited"/>
    <s v="LDN"/>
    <s v="120 MM"/>
    <s v="22-22.5"/>
    <s v="LDN"/>
    <n v="1000"/>
    <x v="1"/>
    <n v="4"/>
    <n v="164"/>
    <n v="2.8"/>
    <m/>
    <x v="0"/>
    <n v="161.19999999999999"/>
    <n v="2082.1"/>
    <m/>
    <x v="0"/>
    <x v="0"/>
    <n v="0"/>
    <n v="0"/>
    <x v="0"/>
    <x v="0"/>
    <m/>
    <x v="0"/>
    <x v="0"/>
    <x v="0"/>
    <x v="0"/>
    <x v="0"/>
    <n v="0"/>
    <n v="0"/>
    <n v="0"/>
    <n v="12"/>
    <x v="1"/>
    <x v="0"/>
    <m/>
    <x v="0"/>
    <n v="169"/>
    <x v="0"/>
    <x v="34"/>
    <x v="17"/>
    <x v="0"/>
    <x v="0"/>
  </r>
  <r>
    <x v="0"/>
    <x v="11"/>
    <s v="STOCK"/>
    <x v="296"/>
    <s v="-"/>
    <m/>
    <n v="18"/>
    <s v="10-11"/>
    <m/>
    <m/>
    <x v="1"/>
    <n v="1"/>
    <n v="79.5"/>
    <n v="1.8"/>
    <m/>
    <x v="0"/>
    <n v="77.7"/>
    <n v="2156.44"/>
    <m/>
    <x v="9"/>
    <x v="0"/>
    <n v="240"/>
    <n v="4"/>
    <x v="0"/>
    <x v="0"/>
    <m/>
    <x v="0"/>
    <x v="0"/>
    <x v="0"/>
    <x v="0"/>
    <x v="0"/>
    <n v="0"/>
    <n v="0"/>
    <n v="4"/>
    <n v="8"/>
    <x v="1"/>
    <x v="0"/>
    <m/>
    <x v="0"/>
    <n v="84.5"/>
    <x v="0"/>
    <x v="34"/>
    <x v="17"/>
    <x v="0"/>
    <x v="0"/>
  </r>
  <r>
    <x v="0"/>
    <x v="11"/>
    <s v="8344 J"/>
    <x v="296"/>
    <s v="Raja Shoes Lahore"/>
    <s v="LDM"/>
    <s v="8+2+2"/>
    <s v="4.75-5.25/9.5-10.5"/>
    <s v="LDM"/>
    <n v="1150"/>
    <x v="1"/>
    <n v="1"/>
    <n v="35.5"/>
    <n v="1"/>
    <n v="31"/>
    <x v="0"/>
    <n v="34.5"/>
    <n v="1172.5"/>
    <m/>
    <x v="0"/>
    <x v="0"/>
    <n v="0"/>
    <n v="0"/>
    <x v="0"/>
    <x v="0"/>
    <m/>
    <x v="0"/>
    <x v="0"/>
    <x v="0"/>
    <x v="0"/>
    <x v="0"/>
    <n v="0"/>
    <n v="0"/>
    <n v="0"/>
    <n v="12"/>
    <x v="1"/>
    <x v="0"/>
    <m/>
    <x v="0"/>
    <n v="40.5"/>
    <x v="0"/>
    <x v="34"/>
    <x v="17"/>
    <x v="0"/>
    <x v="0"/>
  </r>
  <r>
    <x v="1"/>
    <x v="11"/>
    <s v="8344 J"/>
    <x v="296"/>
    <s v="Raja Shoes Lahore"/>
    <s v="LDM"/>
    <s v="8+2+2"/>
    <s v="4.75-5.25/9.5-10.5"/>
    <s v="LDM"/>
    <n v="1150"/>
    <x v="1"/>
    <n v="6"/>
    <n v="214"/>
    <n v="6"/>
    <n v="5"/>
    <x v="0"/>
    <n v="208"/>
    <n v="1172.5"/>
    <m/>
    <x v="0"/>
    <x v="0"/>
    <n v="0"/>
    <n v="0"/>
    <x v="0"/>
    <x v="0"/>
    <m/>
    <x v="0"/>
    <x v="0"/>
    <x v="0"/>
    <x v="0"/>
    <x v="0"/>
    <n v="0"/>
    <n v="0"/>
    <n v="0"/>
    <n v="12"/>
    <x v="1"/>
    <x v="0"/>
    <m/>
    <x v="0"/>
    <n v="219"/>
    <x v="0"/>
    <x v="34"/>
    <x v="17"/>
    <x v="0"/>
    <x v="0"/>
  </r>
  <r>
    <x v="0"/>
    <x v="13"/>
    <s v="3184 F"/>
    <x v="296"/>
    <s v="Usman Amin"/>
    <s v="LDN"/>
    <n v="26"/>
    <s v="8-8.5"/>
    <s v="LDN"/>
    <n v="735"/>
    <x v="1"/>
    <n v="1"/>
    <n v="61.5"/>
    <n v="2.5"/>
    <m/>
    <x v="0"/>
    <n v="59"/>
    <n v="753.3"/>
    <m/>
    <x v="0"/>
    <x v="0"/>
    <n v="0"/>
    <n v="0"/>
    <x v="0"/>
    <x v="0"/>
    <m/>
    <x v="0"/>
    <x v="0"/>
    <x v="0"/>
    <x v="0"/>
    <x v="0"/>
    <n v="0"/>
    <n v="0"/>
    <n v="0"/>
    <n v="12"/>
    <x v="1"/>
    <x v="0"/>
    <m/>
    <x v="0"/>
    <n v="66.5"/>
    <x v="0"/>
    <x v="34"/>
    <x v="17"/>
    <x v="0"/>
    <x v="0"/>
  </r>
  <r>
    <x v="0"/>
    <x v="13"/>
    <s v="3199 F"/>
    <x v="296"/>
    <s v="Usman Amin"/>
    <s v="LDN"/>
    <n v="24"/>
    <s v="8-8.5"/>
    <s v="LDN"/>
    <n v="165"/>
    <x v="1"/>
    <n v="2"/>
    <n v="146"/>
    <n v="5.5"/>
    <m/>
    <x v="0"/>
    <n v="140.5"/>
    <n v="140.5"/>
    <n v="3"/>
    <x v="0"/>
    <x v="0"/>
    <n v="3"/>
    <n v="0.05"/>
    <x v="0"/>
    <x v="0"/>
    <m/>
    <x v="0"/>
    <x v="0"/>
    <x v="0"/>
    <x v="0"/>
    <x v="0"/>
    <n v="0"/>
    <n v="0"/>
    <n v="0.05"/>
    <n v="11.95"/>
    <x v="1"/>
    <x v="0"/>
    <m/>
    <x v="0"/>
    <n v="151"/>
    <x v="0"/>
    <x v="34"/>
    <x v="17"/>
    <x v="0"/>
    <x v="0"/>
  </r>
  <r>
    <x v="0"/>
    <x v="13"/>
    <s v="3170 F"/>
    <x v="296"/>
    <s v="Usman Amin"/>
    <s v="LDN"/>
    <n v="21"/>
    <s v="5-5.5"/>
    <s v="LDN"/>
    <n v="500"/>
    <x v="1"/>
    <n v="3"/>
    <n v="177.5"/>
    <n v="6.3000000000000007"/>
    <n v="6"/>
    <x v="0"/>
    <n v="171.2"/>
    <n v="535.6"/>
    <n v="2"/>
    <x v="0"/>
    <x v="0"/>
    <n v="2"/>
    <n v="3.3333333333333333E-2"/>
    <x v="0"/>
    <x v="0"/>
    <m/>
    <x v="0"/>
    <x v="0"/>
    <x v="0"/>
    <x v="0"/>
    <x v="0"/>
    <n v="0"/>
    <n v="0"/>
    <n v="3.3333333333333333E-2"/>
    <n v="11.966666666666667"/>
    <x v="1"/>
    <x v="0"/>
    <m/>
    <x v="0"/>
    <n v="182.5"/>
    <x v="0"/>
    <x v="34"/>
    <x v="17"/>
    <x v="0"/>
    <x v="0"/>
  </r>
  <r>
    <x v="1"/>
    <x v="13"/>
    <s v="3170 F"/>
    <x v="296"/>
    <s v="Usman Amin"/>
    <s v="LDN"/>
    <n v="21"/>
    <s v="5-5.5"/>
    <s v="LDN"/>
    <n v="500"/>
    <x v="1"/>
    <n v="5"/>
    <n v="330"/>
    <n v="12.5"/>
    <m/>
    <x v="0"/>
    <n v="317.5"/>
    <n v="535.6"/>
    <m/>
    <x v="0"/>
    <x v="0"/>
    <n v="0"/>
    <n v="0"/>
    <x v="0"/>
    <x v="0"/>
    <m/>
    <x v="0"/>
    <x v="0"/>
    <x v="0"/>
    <x v="0"/>
    <x v="0"/>
    <n v="0"/>
    <n v="0"/>
    <n v="0"/>
    <n v="12"/>
    <x v="1"/>
    <x v="0"/>
    <m/>
    <x v="0"/>
    <n v="335"/>
    <x v="0"/>
    <x v="34"/>
    <x v="17"/>
    <x v="0"/>
    <x v="0"/>
  </r>
  <r>
    <x v="0"/>
    <x v="12"/>
    <s v="2880/1"/>
    <x v="296"/>
    <s v="MATCO FOOD"/>
    <s v="LDN"/>
    <s v="22.5-23"/>
    <s v="70±2 گرام"/>
    <s v="SL"/>
    <n v="4900"/>
    <x v="1"/>
    <n v="4"/>
    <n v="502"/>
    <n v="11.2"/>
    <n v="7"/>
    <x v="0"/>
    <n v="490.8"/>
    <n v="5977.05"/>
    <m/>
    <x v="0"/>
    <x v="0"/>
    <n v="0"/>
    <n v="0"/>
    <x v="0"/>
    <x v="0"/>
    <m/>
    <x v="0"/>
    <x v="0"/>
    <x v="0"/>
    <x v="0"/>
    <x v="0"/>
    <n v="0"/>
    <n v="0"/>
    <n v="0"/>
    <n v="12"/>
    <x v="1"/>
    <x v="0"/>
    <m/>
    <x v="0"/>
    <n v="507"/>
    <x v="0"/>
    <x v="34"/>
    <x v="17"/>
    <x v="0"/>
    <x v="0"/>
  </r>
  <r>
    <x v="1"/>
    <x v="12"/>
    <s v="2880/1"/>
    <x v="296"/>
    <s v="MATCO FOOD"/>
    <s v="LDN"/>
    <s v="22.5-23"/>
    <s v="70±2 گرام"/>
    <s v="SL"/>
    <n v="4900"/>
    <x v="1"/>
    <n v="4"/>
    <n v="514.5"/>
    <n v="11.2"/>
    <n v="9"/>
    <x v="0"/>
    <n v="503.3"/>
    <n v="5977.05"/>
    <m/>
    <x v="0"/>
    <x v="0"/>
    <n v="0"/>
    <n v="0"/>
    <x v="0"/>
    <x v="0"/>
    <m/>
    <x v="0"/>
    <x v="0"/>
    <x v="0"/>
    <x v="0"/>
    <x v="0"/>
    <n v="0"/>
    <n v="0"/>
    <n v="0"/>
    <n v="12"/>
    <x v="1"/>
    <x v="0"/>
    <m/>
    <x v="0"/>
    <n v="519.5"/>
    <x v="0"/>
    <x v="34"/>
    <x v="17"/>
    <x v="0"/>
    <x v="0"/>
  </r>
  <r>
    <x v="0"/>
    <x v="14"/>
    <s v="3196 F"/>
    <x v="296"/>
    <s v="Usman Amin"/>
    <s v="LDN"/>
    <n v="21"/>
    <s v="7-7.5"/>
    <s v="LDN"/>
    <n v="300"/>
    <x v="1"/>
    <n v="2"/>
    <n v="158"/>
    <n v="5"/>
    <m/>
    <x v="0"/>
    <n v="153"/>
    <n v="153"/>
    <n v="1"/>
    <x v="0"/>
    <x v="0"/>
    <n v="1"/>
    <n v="1.6666666666666666E-2"/>
    <x v="0"/>
    <x v="0"/>
    <m/>
    <x v="0"/>
    <x v="0"/>
    <x v="0"/>
    <x v="0"/>
    <x v="0"/>
    <n v="0"/>
    <n v="0"/>
    <n v="1.6666666666666666E-2"/>
    <n v="11.983333333333333"/>
    <x v="1"/>
    <x v="0"/>
    <m/>
    <x v="0"/>
    <n v="163"/>
    <x v="0"/>
    <x v="34"/>
    <x v="17"/>
    <x v="0"/>
    <x v="0"/>
  </r>
  <r>
    <x v="0"/>
    <x v="14"/>
    <s v="2882/1"/>
    <x v="296"/>
    <s v="PT-02"/>
    <s v="LDN"/>
    <n v="24"/>
    <n v="70"/>
    <s v="SL"/>
    <n v="125"/>
    <x v="1"/>
    <n v="4"/>
    <n v="138.5"/>
    <n v="10.8"/>
    <m/>
    <x v="0"/>
    <n v="127.7"/>
    <n v="127.7"/>
    <n v="1"/>
    <x v="0"/>
    <x v="0"/>
    <n v="1"/>
    <n v="1.6666666666666666E-2"/>
    <x v="0"/>
    <x v="0"/>
    <m/>
    <x v="0"/>
    <x v="0"/>
    <x v="0"/>
    <x v="0"/>
    <x v="0"/>
    <n v="0"/>
    <n v="0"/>
    <n v="1.6666666666666666E-2"/>
    <n v="11.983333333333333"/>
    <x v="1"/>
    <x v="0"/>
    <m/>
    <x v="0"/>
    <n v="143.5"/>
    <x v="0"/>
    <x v="34"/>
    <x v="17"/>
    <x v="0"/>
    <x v="0"/>
  </r>
  <r>
    <x v="0"/>
    <x v="14"/>
    <s v="SAMPLE"/>
    <x v="296"/>
    <s v="REFLECT PACK SAMPLE C/O NADEEM SB"/>
    <m/>
    <n v="32.5"/>
    <s v="48 GRAM"/>
    <m/>
    <m/>
    <x v="1"/>
    <n v="1"/>
    <n v="25"/>
    <n v="1"/>
    <m/>
    <x v="0"/>
    <n v="24"/>
    <n v="314.40000000000003"/>
    <m/>
    <x v="0"/>
    <x v="0"/>
    <n v="0"/>
    <n v="0"/>
    <x v="0"/>
    <x v="0"/>
    <m/>
    <x v="0"/>
    <x v="5"/>
    <x v="0"/>
    <x v="0"/>
    <x v="0"/>
    <n v="10"/>
    <n v="0.16666666666666666"/>
    <n v="0.16666666666666666"/>
    <n v="11.833333333333334"/>
    <x v="1"/>
    <x v="0"/>
    <m/>
    <x v="0"/>
    <n v="30"/>
    <x v="0"/>
    <x v="34"/>
    <x v="17"/>
    <x v="0"/>
    <x v="0"/>
  </r>
  <r>
    <x v="0"/>
    <x v="14"/>
    <s v="8491 J"/>
    <x v="296"/>
    <s v="Waqas Wollan Mills Gujranwala"/>
    <s v="LD بلو"/>
    <n v="16"/>
    <s v="10-10.5"/>
    <s v="LDM"/>
    <n v="150"/>
    <x v="1"/>
    <n v="3"/>
    <n v="201"/>
    <n v="5.5"/>
    <n v="68"/>
    <x v="0"/>
    <n v="195.5"/>
    <n v="349"/>
    <n v="1"/>
    <x v="0"/>
    <x v="0"/>
    <n v="1"/>
    <n v="1.6666666666666666E-2"/>
    <x v="0"/>
    <x v="2"/>
    <m/>
    <x v="0"/>
    <x v="0"/>
    <x v="0"/>
    <x v="0"/>
    <x v="0"/>
    <n v="20"/>
    <n v="0.33333333333333331"/>
    <n v="0.35"/>
    <n v="11.65"/>
    <x v="1"/>
    <x v="0"/>
    <m/>
    <x v="0"/>
    <n v="206"/>
    <x v="0"/>
    <x v="34"/>
    <x v="17"/>
    <x v="0"/>
    <x v="0"/>
  </r>
  <r>
    <x v="1"/>
    <x v="14"/>
    <s v="8491 J"/>
    <x v="296"/>
    <s v="Waqas Wollan Mills Gujranwala"/>
    <s v="LD بلو"/>
    <n v="16"/>
    <s v="10-10.5"/>
    <s v="LDM"/>
    <n v="150"/>
    <x v="1"/>
    <n v="2"/>
    <n v="157.5"/>
    <n v="4"/>
    <n v="9"/>
    <x v="0"/>
    <n v="153.5"/>
    <n v="349"/>
    <m/>
    <x v="0"/>
    <x v="0"/>
    <n v="0"/>
    <n v="0"/>
    <x v="0"/>
    <x v="0"/>
    <m/>
    <x v="0"/>
    <x v="0"/>
    <x v="0"/>
    <x v="0"/>
    <x v="0"/>
    <n v="0"/>
    <n v="0"/>
    <n v="0"/>
    <n v="12"/>
    <x v="1"/>
    <x v="0"/>
    <m/>
    <x v="0"/>
    <n v="162.5"/>
    <x v="0"/>
    <x v="34"/>
    <x v="17"/>
    <x v="0"/>
    <x v="0"/>
  </r>
  <r>
    <x v="1"/>
    <x v="14"/>
    <s v="8493 J"/>
    <x v="296"/>
    <s v="Waqas Wollan Mills Gujranwala"/>
    <s v="LD بلو"/>
    <n v="16"/>
    <s v="10-10.5"/>
    <s v="LDM"/>
    <n v="400"/>
    <x v="1"/>
    <n v="6"/>
    <n v="416.3"/>
    <n v="12"/>
    <m/>
    <x v="0"/>
    <n v="404.3"/>
    <n v="404.3"/>
    <m/>
    <x v="0"/>
    <x v="0"/>
    <n v="0"/>
    <n v="0"/>
    <x v="0"/>
    <x v="0"/>
    <m/>
    <x v="0"/>
    <x v="0"/>
    <x v="0"/>
    <x v="0"/>
    <x v="0"/>
    <n v="0"/>
    <n v="0"/>
    <n v="0"/>
    <n v="12"/>
    <x v="1"/>
    <x v="0"/>
    <m/>
    <x v="0"/>
    <n v="421.3"/>
    <x v="0"/>
    <x v="34"/>
    <x v="17"/>
    <x v="0"/>
    <x v="0"/>
  </r>
  <r>
    <x v="0"/>
    <x v="15"/>
    <s v="8543 J"/>
    <x v="296"/>
    <s v="Atlas Honda LTD (SKP)"/>
    <s v="LDN"/>
    <n v="13"/>
    <s v="13.5-14"/>
    <s v="LDN"/>
    <n v="1697.5308641975309"/>
    <x v="1"/>
    <n v="3"/>
    <n v="182.5"/>
    <n v="4.8000000000000007"/>
    <m/>
    <x v="0"/>
    <n v="177.7"/>
    <n v="1696.6000000000001"/>
    <m/>
    <x v="0"/>
    <x v="0"/>
    <n v="0"/>
    <n v="0"/>
    <x v="0"/>
    <x v="0"/>
    <m/>
    <x v="0"/>
    <x v="0"/>
    <x v="0"/>
    <x v="0"/>
    <x v="0"/>
    <n v="0"/>
    <n v="0"/>
    <n v="0"/>
    <n v="12"/>
    <x v="1"/>
    <x v="0"/>
    <m/>
    <x v="0"/>
    <n v="187.5"/>
    <x v="0"/>
    <x v="34"/>
    <x v="17"/>
    <x v="0"/>
    <x v="0"/>
  </r>
  <r>
    <x v="0"/>
    <x v="15"/>
    <s v="8620 J"/>
    <x v="296"/>
    <s v="Humsafar Shoes Industry LTD"/>
    <s v="LDN"/>
    <n v="13.5"/>
    <s v="10-10.5"/>
    <s v="LDN"/>
    <n v="125"/>
    <x v="1"/>
    <n v="1"/>
    <n v="59"/>
    <n v="1.7"/>
    <m/>
    <x v="0"/>
    <n v="57.3"/>
    <n v="124.5"/>
    <n v="2"/>
    <x v="0"/>
    <x v="0"/>
    <n v="2"/>
    <n v="3.3333333333333333E-2"/>
    <x v="0"/>
    <x v="0"/>
    <m/>
    <x v="0"/>
    <x v="0"/>
    <x v="0"/>
    <x v="0"/>
    <x v="0"/>
    <n v="0"/>
    <n v="0"/>
    <n v="3.3333333333333333E-2"/>
    <n v="11.966666666666667"/>
    <x v="1"/>
    <x v="0"/>
    <m/>
    <x v="0"/>
    <n v="64"/>
    <x v="0"/>
    <x v="34"/>
    <x v="17"/>
    <x v="0"/>
    <x v="0"/>
  </r>
  <r>
    <x v="1"/>
    <x v="15"/>
    <s v="8620 J"/>
    <x v="296"/>
    <s v="Humsafar Shoes Industry LTD"/>
    <s v="LDN"/>
    <n v="13.5"/>
    <s v="10-10.5"/>
    <s v="LDN"/>
    <n v="125"/>
    <x v="1"/>
    <n v="1"/>
    <n v="69"/>
    <n v="1.8"/>
    <m/>
    <x v="0"/>
    <n v="67.2"/>
    <n v="124.5"/>
    <n v="3"/>
    <x v="0"/>
    <x v="0"/>
    <n v="3"/>
    <n v="0.05"/>
    <x v="0"/>
    <x v="0"/>
    <m/>
    <x v="0"/>
    <x v="0"/>
    <x v="0"/>
    <x v="0"/>
    <x v="0"/>
    <n v="0"/>
    <n v="0"/>
    <n v="0.05"/>
    <n v="11.95"/>
    <x v="1"/>
    <x v="0"/>
    <m/>
    <x v="0"/>
    <n v="74"/>
    <x v="0"/>
    <x v="34"/>
    <x v="17"/>
    <x v="0"/>
    <x v="0"/>
  </r>
  <r>
    <x v="1"/>
    <x v="15"/>
    <s v="8621 J"/>
    <x v="296"/>
    <s v="Humsafar Shoes Industry LTD"/>
    <s v="LDN"/>
    <n v="15.5"/>
    <s v="10-10.5"/>
    <s v="LDN"/>
    <n v="125"/>
    <x v="1"/>
    <n v="2"/>
    <n v="132.5"/>
    <n v="3.6"/>
    <m/>
    <x v="0"/>
    <n v="128.9"/>
    <n v="128.9"/>
    <n v="2"/>
    <x v="0"/>
    <x v="0"/>
    <n v="2"/>
    <n v="3.3333333333333333E-2"/>
    <x v="0"/>
    <x v="0"/>
    <m/>
    <x v="0"/>
    <x v="0"/>
    <x v="0"/>
    <x v="0"/>
    <x v="0"/>
    <n v="0"/>
    <n v="0"/>
    <n v="3.3333333333333333E-2"/>
    <n v="11.966666666666667"/>
    <x v="1"/>
    <x v="0"/>
    <m/>
    <x v="0"/>
    <n v="137.5"/>
    <x v="0"/>
    <x v="34"/>
    <x v="17"/>
    <x v="0"/>
    <x v="0"/>
  </r>
  <r>
    <x v="1"/>
    <x v="15"/>
    <s v="8660 J"/>
    <x v="296"/>
    <s v="Jilani Poly Stock"/>
    <s v="LDN"/>
    <s v="26&quot; شیٹ"/>
    <s v="8-8.5/16-17"/>
    <s v="LDN"/>
    <n v="1000"/>
    <x v="1"/>
    <n v="2"/>
    <n v="173"/>
    <n v="6.4"/>
    <m/>
    <x v="0"/>
    <n v="166.6"/>
    <n v="1014.6000000000001"/>
    <m/>
    <x v="0"/>
    <x v="0"/>
    <n v="0"/>
    <n v="0"/>
    <x v="0"/>
    <x v="0"/>
    <m/>
    <x v="0"/>
    <x v="0"/>
    <x v="0"/>
    <x v="0"/>
    <x v="0"/>
    <n v="0"/>
    <n v="0"/>
    <n v="0"/>
    <n v="12"/>
    <x v="1"/>
    <x v="0"/>
    <m/>
    <x v="0"/>
    <n v="178"/>
    <x v="0"/>
    <x v="34"/>
    <x v="17"/>
    <x v="0"/>
    <x v="0"/>
  </r>
  <r>
    <x v="0"/>
    <x v="8"/>
    <s v="8534 J"/>
    <x v="297"/>
    <s v="Al Shaheer Foods Corporation LTD"/>
    <s v="LDN"/>
    <n v="11"/>
    <s v="10.5-11"/>
    <s v="LDN"/>
    <n v="400"/>
    <x v="1"/>
    <n v="2"/>
    <n v="111"/>
    <n v="2.6"/>
    <m/>
    <x v="0"/>
    <n v="108.4"/>
    <n v="277.70000000000005"/>
    <m/>
    <x v="0"/>
    <x v="0"/>
    <n v="0"/>
    <n v="0"/>
    <x v="0"/>
    <x v="0"/>
    <m/>
    <x v="0"/>
    <x v="0"/>
    <x v="0"/>
    <x v="0"/>
    <x v="0"/>
    <n v="0"/>
    <n v="0"/>
    <n v="0"/>
    <n v="12"/>
    <x v="1"/>
    <x v="0"/>
    <m/>
    <x v="0"/>
    <n v="116"/>
    <x v="0"/>
    <x v="34"/>
    <x v="17"/>
    <x v="0"/>
    <x v="0"/>
  </r>
  <r>
    <x v="0"/>
    <x v="8"/>
    <s v="8541 J"/>
    <x v="297"/>
    <s v="Atlas Honda LTD (SKP)"/>
    <s v="LDN"/>
    <n v="9"/>
    <s v="9-9.5"/>
    <s v="LDN"/>
    <n v="64.236111111111114"/>
    <x v="1"/>
    <n v="1"/>
    <n v="37.5"/>
    <n v="1"/>
    <n v="4"/>
    <x v="0"/>
    <n v="36.5"/>
    <n v="203"/>
    <n v="3"/>
    <x v="0"/>
    <x v="0"/>
    <n v="3"/>
    <n v="0.05"/>
    <x v="0"/>
    <x v="0"/>
    <m/>
    <x v="0"/>
    <x v="0"/>
    <x v="0"/>
    <x v="0"/>
    <x v="0"/>
    <n v="0"/>
    <n v="0"/>
    <n v="0.05"/>
    <n v="11.95"/>
    <x v="1"/>
    <x v="0"/>
    <m/>
    <x v="0"/>
    <n v="42.5"/>
    <x v="0"/>
    <x v="34"/>
    <x v="17"/>
    <x v="0"/>
    <x v="0"/>
  </r>
  <r>
    <x v="1"/>
    <x v="8"/>
    <s v="8534 J"/>
    <x v="297"/>
    <s v="Al Shaheer Foods Corporation LTD"/>
    <s v="LDN"/>
    <n v="11"/>
    <s v="10.5-11"/>
    <s v="LDN"/>
    <n v="400"/>
    <x v="1"/>
    <n v="2"/>
    <n v="108.5"/>
    <n v="2.6"/>
    <m/>
    <x v="0"/>
    <n v="105.9"/>
    <n v="277.70000000000005"/>
    <m/>
    <x v="0"/>
    <x v="0"/>
    <n v="0"/>
    <n v="0"/>
    <x v="0"/>
    <x v="0"/>
    <m/>
    <x v="0"/>
    <x v="0"/>
    <x v="0"/>
    <x v="0"/>
    <x v="0"/>
    <n v="0"/>
    <n v="0"/>
    <n v="0"/>
    <n v="12"/>
    <x v="1"/>
    <x v="0"/>
    <m/>
    <x v="0"/>
    <n v="113.5"/>
    <x v="0"/>
    <x v="34"/>
    <x v="17"/>
    <x v="0"/>
    <x v="0"/>
  </r>
  <r>
    <x v="0"/>
    <x v="9"/>
    <s v="8414 J"/>
    <x v="297"/>
    <s v="Wah Nobel Private Limited"/>
    <s v="LDN"/>
    <s v="120 MM"/>
    <s v="22-22.5"/>
    <s v="LDN"/>
    <n v="1000"/>
    <x v="1"/>
    <n v="1"/>
    <n v="24.6"/>
    <n v="0.7"/>
    <m/>
    <x v="0"/>
    <n v="23.900000000000002"/>
    <n v="2082.1"/>
    <m/>
    <x v="0"/>
    <x v="0"/>
    <n v="0"/>
    <n v="0"/>
    <x v="0"/>
    <x v="0"/>
    <m/>
    <x v="0"/>
    <x v="0"/>
    <x v="0"/>
    <x v="0"/>
    <x v="0"/>
    <n v="0"/>
    <n v="0"/>
    <n v="0"/>
    <n v="12"/>
    <x v="1"/>
    <x v="0"/>
    <m/>
    <x v="0"/>
    <n v="29.6"/>
    <x v="0"/>
    <x v="34"/>
    <x v="17"/>
    <x v="0"/>
    <x v="0"/>
  </r>
  <r>
    <x v="0"/>
    <x v="9"/>
    <s v="8509 J"/>
    <x v="297"/>
    <s v="DW Organic Dairy Farms Kasur"/>
    <s v="LDM"/>
    <n v="7"/>
    <s v="15-16"/>
    <s v="LDM"/>
    <n v="100"/>
    <x v="1"/>
    <n v="1"/>
    <n v="55"/>
    <n v="0.9"/>
    <n v="40"/>
    <x v="0"/>
    <n v="54.1"/>
    <n v="152.6"/>
    <m/>
    <x v="0"/>
    <x v="0"/>
    <n v="0"/>
    <n v="0"/>
    <x v="0"/>
    <x v="0"/>
    <m/>
    <x v="0"/>
    <x v="0"/>
    <x v="0"/>
    <x v="3"/>
    <x v="0"/>
    <n v="30"/>
    <n v="0.5"/>
    <n v="0.5"/>
    <n v="11.5"/>
    <x v="1"/>
    <x v="0"/>
    <m/>
    <x v="0"/>
    <n v="60"/>
    <x v="0"/>
    <x v="34"/>
    <x v="17"/>
    <x v="0"/>
    <x v="0"/>
  </r>
  <r>
    <x v="1"/>
    <x v="9"/>
    <s v="8509 J"/>
    <x v="297"/>
    <s v="DW Organic Dairy Farms Kasur"/>
    <s v="LDM"/>
    <n v="7"/>
    <s v="15-16"/>
    <s v="LDM"/>
    <n v="100"/>
    <x v="1"/>
    <n v="2"/>
    <n v="101.5"/>
    <n v="3"/>
    <m/>
    <x v="0"/>
    <n v="98.5"/>
    <n v="152.6"/>
    <m/>
    <x v="0"/>
    <x v="0"/>
    <n v="0"/>
    <n v="0"/>
    <x v="0"/>
    <x v="0"/>
    <m/>
    <x v="0"/>
    <x v="0"/>
    <x v="0"/>
    <x v="0"/>
    <x v="0"/>
    <n v="0"/>
    <n v="0"/>
    <n v="0"/>
    <n v="12"/>
    <x v="1"/>
    <x v="0"/>
    <m/>
    <x v="0"/>
    <n v="106.5"/>
    <x v="0"/>
    <x v="34"/>
    <x v="17"/>
    <x v="0"/>
    <x v="0"/>
  </r>
  <r>
    <x v="0"/>
    <x v="11"/>
    <s v="8344 J"/>
    <x v="297"/>
    <s v="Raja Shoes Lahore"/>
    <s v="LDM"/>
    <s v="8+2+2"/>
    <s v="4.75-5.25/9.5-10.5"/>
    <s v="LDM"/>
    <n v="1150"/>
    <x v="1"/>
    <n v="9"/>
    <n v="370"/>
    <n v="9"/>
    <n v="6"/>
    <x v="0"/>
    <n v="361"/>
    <n v="1172.5"/>
    <m/>
    <x v="0"/>
    <x v="0"/>
    <n v="0"/>
    <n v="0"/>
    <x v="0"/>
    <x v="0"/>
    <m/>
    <x v="0"/>
    <x v="0"/>
    <x v="0"/>
    <x v="0"/>
    <x v="0"/>
    <n v="0"/>
    <n v="0"/>
    <n v="0"/>
    <n v="12"/>
    <x v="1"/>
    <x v="0"/>
    <m/>
    <x v="0"/>
    <n v="375"/>
    <x v="0"/>
    <x v="34"/>
    <x v="17"/>
    <x v="0"/>
    <x v="0"/>
  </r>
  <r>
    <x v="1"/>
    <x v="11"/>
    <s v="8344 J"/>
    <x v="297"/>
    <s v="Raja Shoes Lahore"/>
    <s v="LDM"/>
    <s v="8+2+2"/>
    <s v="4.75-5.25/9.5-10.5"/>
    <s v="LDM"/>
    <n v="1150"/>
    <x v="1"/>
    <n v="9"/>
    <n v="363.5"/>
    <n v="9"/>
    <n v="5"/>
    <x v="0"/>
    <n v="354.5"/>
    <n v="1172.5"/>
    <m/>
    <x v="0"/>
    <x v="0"/>
    <n v="0"/>
    <n v="0"/>
    <x v="0"/>
    <x v="0"/>
    <m/>
    <x v="0"/>
    <x v="0"/>
    <x v="0"/>
    <x v="0"/>
    <x v="0"/>
    <n v="0"/>
    <n v="0"/>
    <n v="0"/>
    <n v="12"/>
    <x v="1"/>
    <x v="0"/>
    <m/>
    <x v="0"/>
    <n v="368.5"/>
    <x v="0"/>
    <x v="34"/>
    <x v="17"/>
    <x v="0"/>
    <x v="0"/>
  </r>
  <r>
    <x v="0"/>
    <x v="13"/>
    <s v="3197 F"/>
    <x v="297"/>
    <s v="Usman Amin"/>
    <s v="LDN"/>
    <n v="21"/>
    <s v="7-7.5"/>
    <s v="LDN"/>
    <n v="200"/>
    <x v="1"/>
    <n v="3"/>
    <n v="200"/>
    <n v="8.4"/>
    <m/>
    <x v="0"/>
    <n v="191.6"/>
    <n v="191.6"/>
    <m/>
    <x v="0"/>
    <x v="0"/>
    <n v="0"/>
    <n v="0"/>
    <x v="0"/>
    <x v="0"/>
    <m/>
    <x v="0"/>
    <x v="0"/>
    <x v="0"/>
    <x v="0"/>
    <x v="0"/>
    <n v="0"/>
    <n v="0"/>
    <n v="0"/>
    <n v="12"/>
    <x v="1"/>
    <x v="0"/>
    <m/>
    <x v="0"/>
    <n v="205"/>
    <x v="0"/>
    <x v="34"/>
    <x v="17"/>
    <x v="0"/>
    <x v="0"/>
  </r>
  <r>
    <x v="0"/>
    <x v="13"/>
    <s v="3170 F"/>
    <x v="297"/>
    <s v="Usman Amin"/>
    <s v="LDN"/>
    <n v="21"/>
    <s v="5-5.5"/>
    <s v="LDN"/>
    <n v="500"/>
    <x v="1"/>
    <n v="1"/>
    <n v="49"/>
    <n v="2.1"/>
    <m/>
    <x v="0"/>
    <n v="46.9"/>
    <n v="535.6"/>
    <n v="3"/>
    <x v="0"/>
    <x v="0"/>
    <n v="3"/>
    <n v="0.05"/>
    <x v="0"/>
    <x v="0"/>
    <m/>
    <x v="0"/>
    <x v="0"/>
    <x v="0"/>
    <x v="0"/>
    <x v="0"/>
    <n v="0"/>
    <n v="0"/>
    <n v="0.05"/>
    <n v="11.95"/>
    <x v="1"/>
    <x v="0"/>
    <m/>
    <x v="0"/>
    <n v="54"/>
    <x v="0"/>
    <x v="34"/>
    <x v="17"/>
    <x v="0"/>
    <x v="0"/>
  </r>
  <r>
    <x v="0"/>
    <x v="13"/>
    <s v="3232 F"/>
    <x v="297"/>
    <s v="Usman Amin"/>
    <s v="LDN"/>
    <n v="15"/>
    <s v="7-7.5"/>
    <s v="LDN"/>
    <n v="138"/>
    <x v="1"/>
    <n v="1"/>
    <n v="66.5"/>
    <n v="1.9"/>
    <n v="5"/>
    <x v="0"/>
    <n v="64.599999999999994"/>
    <n v="110.1"/>
    <n v="2"/>
    <x v="0"/>
    <x v="0"/>
    <n v="2"/>
    <n v="3.3333333333333333E-2"/>
    <x v="0"/>
    <x v="0"/>
    <m/>
    <x v="0"/>
    <x v="0"/>
    <x v="0"/>
    <x v="0"/>
    <x v="0"/>
    <n v="0"/>
    <n v="0"/>
    <n v="3.3333333333333333E-2"/>
    <n v="11.966666666666667"/>
    <x v="1"/>
    <x v="0"/>
    <m/>
    <x v="0"/>
    <n v="71.5"/>
    <x v="0"/>
    <x v="34"/>
    <x v="17"/>
    <x v="0"/>
    <x v="0"/>
  </r>
  <r>
    <x v="1"/>
    <x v="13"/>
    <s v="3232 F"/>
    <x v="297"/>
    <s v="Usman Amin"/>
    <s v="LDN"/>
    <n v="15"/>
    <s v="7-7.5"/>
    <s v="LDN"/>
    <n v="138"/>
    <x v="1"/>
    <n v="1"/>
    <n v="47"/>
    <n v="1.5"/>
    <n v="4"/>
    <x v="0"/>
    <n v="45.5"/>
    <n v="110.1"/>
    <n v="1"/>
    <x v="0"/>
    <x v="0"/>
    <n v="1"/>
    <n v="1.6666666666666666E-2"/>
    <x v="0"/>
    <x v="0"/>
    <m/>
    <x v="0"/>
    <x v="0"/>
    <x v="0"/>
    <x v="0"/>
    <x v="0"/>
    <n v="0"/>
    <n v="0"/>
    <n v="1.6666666666666666E-2"/>
    <n v="11.983333333333333"/>
    <x v="1"/>
    <x v="0"/>
    <m/>
    <x v="0"/>
    <n v="52"/>
    <x v="0"/>
    <x v="34"/>
    <x v="17"/>
    <x v="0"/>
    <x v="0"/>
  </r>
  <r>
    <x v="1"/>
    <x v="13"/>
    <s v="3229 F"/>
    <x v="297"/>
    <s v="Usman Amin"/>
    <s v="LDN"/>
    <n v="15"/>
    <s v="12"/>
    <s v="LDN"/>
    <n v="200"/>
    <x v="1"/>
    <n v="1"/>
    <n v="68.5"/>
    <n v="1.7"/>
    <m/>
    <x v="0"/>
    <n v="66.8"/>
    <n v="195.3"/>
    <n v="2"/>
    <x v="0"/>
    <x v="0"/>
    <n v="2"/>
    <n v="3.3333333333333333E-2"/>
    <x v="0"/>
    <x v="0"/>
    <m/>
    <x v="0"/>
    <x v="0"/>
    <x v="0"/>
    <x v="0"/>
    <x v="0"/>
    <n v="0"/>
    <n v="0"/>
    <n v="3.3333333333333333E-2"/>
    <n v="11.966666666666667"/>
    <x v="1"/>
    <x v="0"/>
    <m/>
    <x v="0"/>
    <n v="73.5"/>
    <x v="0"/>
    <x v="34"/>
    <x v="17"/>
    <x v="0"/>
    <x v="0"/>
  </r>
  <r>
    <x v="1"/>
    <x v="13"/>
    <s v="3230 F"/>
    <x v="297"/>
    <s v="Usman Amin"/>
    <s v="LDN"/>
    <n v="15"/>
    <s v="12"/>
    <s v="LDN"/>
    <n v="100"/>
    <x v="1"/>
    <n v="2"/>
    <n v="111.5"/>
    <n v="3.48"/>
    <m/>
    <x v="0"/>
    <n v="108.02"/>
    <n v="108.02"/>
    <m/>
    <x v="0"/>
    <x v="0"/>
    <n v="0"/>
    <n v="0"/>
    <x v="0"/>
    <x v="0"/>
    <m/>
    <x v="0"/>
    <x v="0"/>
    <x v="0"/>
    <x v="0"/>
    <x v="0"/>
    <n v="0"/>
    <n v="0"/>
    <n v="0"/>
    <n v="12"/>
    <x v="1"/>
    <x v="0"/>
    <m/>
    <x v="0"/>
    <n v="116.5"/>
    <x v="0"/>
    <x v="34"/>
    <x v="17"/>
    <x v="0"/>
    <x v="0"/>
  </r>
  <r>
    <x v="0"/>
    <x v="12"/>
    <s v="2880/1"/>
    <x v="297"/>
    <s v="MATCO FOOD"/>
    <s v="LDN"/>
    <s v="22.5-23"/>
    <s v="70±2 گرام"/>
    <s v="SL"/>
    <n v="4900"/>
    <x v="1"/>
    <n v="4"/>
    <n v="530"/>
    <n v="8.8000000000000007"/>
    <n v="6"/>
    <x v="0"/>
    <n v="521.20000000000005"/>
    <n v="5977.05"/>
    <m/>
    <x v="0"/>
    <x v="0"/>
    <n v="0"/>
    <n v="0"/>
    <x v="0"/>
    <x v="0"/>
    <m/>
    <x v="0"/>
    <x v="0"/>
    <x v="0"/>
    <x v="0"/>
    <x v="0"/>
    <n v="0"/>
    <n v="0"/>
    <n v="0"/>
    <n v="12"/>
    <x v="1"/>
    <x v="0"/>
    <m/>
    <x v="0"/>
    <n v="535"/>
    <x v="0"/>
    <x v="34"/>
    <x v="17"/>
    <x v="0"/>
    <x v="0"/>
  </r>
  <r>
    <x v="1"/>
    <x v="12"/>
    <s v="2880/1"/>
    <x v="297"/>
    <s v="MATCO FOOD"/>
    <s v="LDN"/>
    <s v="22.5-23"/>
    <s v="70±2 گرام"/>
    <s v="SL"/>
    <n v="4900"/>
    <x v="1"/>
    <n v="5"/>
    <n v="532"/>
    <n v="14"/>
    <n v="11"/>
    <x v="0"/>
    <n v="518"/>
    <n v="5977.05"/>
    <m/>
    <x v="0"/>
    <x v="0"/>
    <n v="0"/>
    <n v="0"/>
    <x v="0"/>
    <x v="0"/>
    <m/>
    <x v="0"/>
    <x v="0"/>
    <x v="0"/>
    <x v="0"/>
    <x v="0"/>
    <n v="0"/>
    <n v="0"/>
    <n v="0"/>
    <n v="12"/>
    <x v="1"/>
    <x v="0"/>
    <m/>
    <x v="0"/>
    <n v="537"/>
    <x v="0"/>
    <x v="34"/>
    <x v="17"/>
    <x v="0"/>
    <x v="0"/>
  </r>
  <r>
    <x v="0"/>
    <x v="14"/>
    <s v="8496 J"/>
    <x v="297"/>
    <s v="Waqas Wollan Mills Gujranwala"/>
    <s v="LD بلو"/>
    <n v="16"/>
    <s v="10-10.5"/>
    <s v="LDM"/>
    <n v="100"/>
    <x v="1"/>
    <n v="2"/>
    <n v="109"/>
    <n v="4"/>
    <m/>
    <x v="0"/>
    <n v="105"/>
    <n v="105"/>
    <m/>
    <x v="0"/>
    <x v="0"/>
    <n v="0"/>
    <n v="0"/>
    <x v="0"/>
    <x v="0"/>
    <m/>
    <x v="0"/>
    <x v="0"/>
    <x v="0"/>
    <x v="0"/>
    <x v="0"/>
    <n v="0"/>
    <n v="0"/>
    <n v="0"/>
    <n v="12"/>
    <x v="1"/>
    <x v="0"/>
    <m/>
    <x v="0"/>
    <n v="114"/>
    <x v="0"/>
    <x v="34"/>
    <x v="17"/>
    <x v="0"/>
    <x v="0"/>
  </r>
  <r>
    <x v="0"/>
    <x v="14"/>
    <s v="8497 J"/>
    <x v="297"/>
    <s v="Waqas Wollan Mills Gujranwala"/>
    <s v="LD بلو"/>
    <n v="16"/>
    <s v="10-10.5"/>
    <s v="LDM"/>
    <n v="100"/>
    <x v="1"/>
    <n v="2"/>
    <n v="114.5"/>
    <n v="3.5"/>
    <m/>
    <x v="0"/>
    <n v="111"/>
    <n v="111"/>
    <m/>
    <x v="0"/>
    <x v="0"/>
    <n v="0"/>
    <n v="0"/>
    <x v="0"/>
    <x v="0"/>
    <m/>
    <x v="0"/>
    <x v="0"/>
    <x v="0"/>
    <x v="0"/>
    <x v="0"/>
    <n v="0"/>
    <n v="0"/>
    <n v="0"/>
    <n v="12"/>
    <x v="1"/>
    <x v="0"/>
    <m/>
    <x v="0"/>
    <n v="119.5"/>
    <x v="0"/>
    <x v="34"/>
    <x v="17"/>
    <x v="0"/>
    <x v="0"/>
  </r>
  <r>
    <x v="0"/>
    <x v="14"/>
    <s v="8494 J"/>
    <x v="297"/>
    <s v="Waqas Wollan Mills Gujranwala"/>
    <s v="LD بلو"/>
    <n v="15"/>
    <s v="10-10.5"/>
    <s v="LDM"/>
    <n v="150"/>
    <x v="1"/>
    <n v="2"/>
    <n v="160.5"/>
    <n v="3"/>
    <m/>
    <x v="0"/>
    <n v="157.5"/>
    <n v="157.5"/>
    <n v="1"/>
    <x v="0"/>
    <x v="0"/>
    <n v="1"/>
    <n v="1.6666666666666666E-2"/>
    <x v="0"/>
    <x v="0"/>
    <m/>
    <x v="0"/>
    <x v="0"/>
    <x v="0"/>
    <x v="0"/>
    <x v="0"/>
    <n v="0"/>
    <n v="0"/>
    <n v="1.6666666666666666E-2"/>
    <n v="11.983333333333333"/>
    <x v="1"/>
    <x v="0"/>
    <m/>
    <x v="0"/>
    <n v="165.5"/>
    <x v="0"/>
    <x v="34"/>
    <x v="17"/>
    <x v="0"/>
    <x v="0"/>
  </r>
  <r>
    <x v="0"/>
    <x v="14"/>
    <s v="8495 J"/>
    <x v="297"/>
    <s v="Waqas Wollan Mills Gujranwala"/>
    <s v="LD بلو"/>
    <n v="15"/>
    <s v="10-10.5"/>
    <s v="LDM"/>
    <n v="400"/>
    <x v="1"/>
    <n v="3"/>
    <n v="194.8"/>
    <n v="5"/>
    <n v="3"/>
    <x v="0"/>
    <n v="189.8"/>
    <n v="376.3"/>
    <n v="1"/>
    <x v="0"/>
    <x v="0"/>
    <n v="1"/>
    <n v="1.6666666666666666E-2"/>
    <x v="0"/>
    <x v="0"/>
    <m/>
    <x v="0"/>
    <x v="0"/>
    <x v="0"/>
    <x v="0"/>
    <x v="0"/>
    <n v="0"/>
    <n v="0"/>
    <n v="1.6666666666666666E-2"/>
    <n v="11.983333333333333"/>
    <x v="1"/>
    <x v="0"/>
    <m/>
    <x v="0"/>
    <n v="199.8"/>
    <x v="0"/>
    <x v="34"/>
    <x v="17"/>
    <x v="0"/>
    <x v="0"/>
  </r>
  <r>
    <x v="1"/>
    <x v="14"/>
    <s v="8495 J"/>
    <x v="297"/>
    <s v="Waqas Wollan Mills Gujranwala"/>
    <s v="LD بلو"/>
    <n v="15"/>
    <s v="10-10.5"/>
    <s v="LDM"/>
    <n v="400"/>
    <x v="1"/>
    <n v="3"/>
    <n v="192.5"/>
    <n v="6"/>
    <n v="30"/>
    <x v="0"/>
    <n v="186.5"/>
    <n v="376.3"/>
    <n v="1"/>
    <x v="0"/>
    <x v="0"/>
    <n v="1"/>
    <n v="1.6666666666666666E-2"/>
    <x v="0"/>
    <x v="0"/>
    <m/>
    <x v="0"/>
    <x v="0"/>
    <x v="0"/>
    <x v="0"/>
    <x v="0"/>
    <n v="0"/>
    <n v="0"/>
    <n v="1.6666666666666666E-2"/>
    <n v="11.983333333333333"/>
    <x v="1"/>
    <x v="0"/>
    <m/>
    <x v="0"/>
    <n v="197.5"/>
    <x v="0"/>
    <x v="34"/>
    <x v="17"/>
    <x v="0"/>
    <x v="0"/>
  </r>
  <r>
    <x v="1"/>
    <x v="14"/>
    <s v="8485 J"/>
    <x v="297"/>
    <s v="Ahmed Miss Print Sheikhupura"/>
    <s v="LDرنگدار"/>
    <n v="18"/>
    <s v="13-14"/>
    <s v="LDM"/>
    <n v="900"/>
    <x v="1"/>
    <n v="5"/>
    <n v="294.5"/>
    <n v="10"/>
    <m/>
    <x v="0"/>
    <n v="284.5"/>
    <n v="1105.5999999999999"/>
    <n v="1"/>
    <x v="0"/>
    <x v="0"/>
    <n v="1"/>
    <n v="1.6666666666666666E-2"/>
    <x v="0"/>
    <x v="0"/>
    <m/>
    <x v="0"/>
    <x v="0"/>
    <x v="0"/>
    <x v="0"/>
    <x v="0"/>
    <n v="0"/>
    <n v="0"/>
    <n v="1.6666666666666666E-2"/>
    <n v="11.983333333333333"/>
    <x v="1"/>
    <x v="0"/>
    <m/>
    <x v="0"/>
    <n v="299.5"/>
    <x v="0"/>
    <x v="34"/>
    <x v="17"/>
    <x v="0"/>
    <x v="0"/>
  </r>
  <r>
    <x v="1"/>
    <x v="14"/>
    <s v="8499 J"/>
    <x v="297"/>
    <s v="Waqas Wollan Mills Gujranwala"/>
    <s v="LD اورنج"/>
    <n v="15"/>
    <s v="8-8.5"/>
    <s v="LDM"/>
    <n v="300"/>
    <x v="1"/>
    <n v="1"/>
    <n v="68"/>
    <n v="1.5"/>
    <m/>
    <x v="0"/>
    <n v="66.5"/>
    <n v="66.5"/>
    <m/>
    <x v="0"/>
    <x v="0"/>
    <n v="0"/>
    <n v="0"/>
    <x v="0"/>
    <x v="0"/>
    <m/>
    <x v="0"/>
    <x v="0"/>
    <x v="0"/>
    <x v="0"/>
    <x v="0"/>
    <n v="0"/>
    <n v="0"/>
    <n v="0"/>
    <n v="12"/>
    <x v="1"/>
    <x v="0"/>
    <m/>
    <x v="0"/>
    <n v="73"/>
    <x v="0"/>
    <x v="34"/>
    <x v="17"/>
    <x v="0"/>
    <x v="0"/>
  </r>
  <r>
    <x v="0"/>
    <x v="15"/>
    <s v="8660 J"/>
    <x v="297"/>
    <s v="Jilani Poly Stock"/>
    <s v="LDN"/>
    <s v="26&quot; شیٹ"/>
    <s v="8-8.5/16-17"/>
    <s v="LDN"/>
    <n v="1000"/>
    <x v="1"/>
    <n v="8"/>
    <n v="612.5"/>
    <n v="24.8"/>
    <n v="30"/>
    <x v="0"/>
    <n v="587.70000000000005"/>
    <n v="1014.6000000000001"/>
    <m/>
    <x v="0"/>
    <x v="0"/>
    <n v="0"/>
    <n v="0"/>
    <x v="0"/>
    <x v="0"/>
    <m/>
    <x v="0"/>
    <x v="0"/>
    <x v="0"/>
    <x v="0"/>
    <x v="0"/>
    <n v="0"/>
    <n v="0"/>
    <n v="0"/>
    <n v="12"/>
    <x v="1"/>
    <x v="0"/>
    <m/>
    <x v="0"/>
    <n v="617.5"/>
    <x v="0"/>
    <x v="34"/>
    <x v="17"/>
    <x v="0"/>
    <x v="0"/>
  </r>
  <r>
    <x v="1"/>
    <x v="15"/>
    <s v="8660 J"/>
    <x v="297"/>
    <s v="Jilani Poly Stock"/>
    <s v="LDN"/>
    <s v="26&quot; شیٹ"/>
    <s v="8-8.5/16-17"/>
    <s v="LDN"/>
    <n v="1000"/>
    <x v="1"/>
    <n v="4"/>
    <n v="272.5"/>
    <n v="12.2"/>
    <n v="20"/>
    <x v="0"/>
    <n v="260.3"/>
    <n v="1014.6000000000001"/>
    <n v="2"/>
    <x v="0"/>
    <x v="0"/>
    <n v="2"/>
    <n v="3.3333333333333333E-2"/>
    <x v="0"/>
    <x v="0"/>
    <m/>
    <x v="0"/>
    <x v="0"/>
    <x v="0"/>
    <x v="0"/>
    <x v="0"/>
    <n v="0"/>
    <n v="0"/>
    <n v="3.3333333333333333E-2"/>
    <n v="11.966666666666667"/>
    <x v="1"/>
    <x v="0"/>
    <m/>
    <x v="0"/>
    <n v="277.5"/>
    <x v="0"/>
    <x v="34"/>
    <x v="17"/>
    <x v="0"/>
    <x v="0"/>
  </r>
  <r>
    <x v="1"/>
    <x v="15"/>
    <s v="3227 F"/>
    <x v="297"/>
    <s v="Usman Amin"/>
    <s v="LDN"/>
    <n v="28"/>
    <s v="8-8.5"/>
    <s v="LDN"/>
    <n v="600"/>
    <x v="1"/>
    <n v="3"/>
    <n v="244"/>
    <n v="9.6000000000000014"/>
    <m/>
    <x v="0"/>
    <n v="234.4"/>
    <n v="552.1"/>
    <m/>
    <x v="0"/>
    <x v="0"/>
    <n v="0"/>
    <n v="0"/>
    <x v="0"/>
    <x v="0"/>
    <m/>
    <x v="0"/>
    <x v="0"/>
    <x v="0"/>
    <x v="0"/>
    <x v="0"/>
    <n v="0"/>
    <n v="0"/>
    <n v="0"/>
    <n v="12"/>
    <x v="1"/>
    <x v="0"/>
    <m/>
    <x v="0"/>
    <n v="249"/>
    <x v="0"/>
    <x v="34"/>
    <x v="17"/>
    <x v="0"/>
    <x v="0"/>
  </r>
  <r>
    <x v="0"/>
    <x v="8"/>
    <s v="8834 J"/>
    <x v="298"/>
    <s v="-"/>
    <m/>
    <m/>
    <m/>
    <m/>
    <m/>
    <x v="1"/>
    <n v="2"/>
    <n v="130"/>
    <n v="2.6"/>
    <m/>
    <x v="0"/>
    <n v="127.4"/>
    <n v="127.4"/>
    <m/>
    <x v="0"/>
    <x v="0"/>
    <n v="0"/>
    <n v="0"/>
    <x v="0"/>
    <x v="0"/>
    <m/>
    <x v="0"/>
    <x v="0"/>
    <x v="0"/>
    <x v="0"/>
    <x v="0"/>
    <n v="0"/>
    <n v="0"/>
    <n v="0"/>
    <n v="12"/>
    <x v="1"/>
    <x v="0"/>
    <m/>
    <x v="0"/>
    <n v="135"/>
    <x v="0"/>
    <x v="34"/>
    <x v="17"/>
    <x v="0"/>
    <x v="0"/>
  </r>
  <r>
    <x v="0"/>
    <x v="8"/>
    <s v="8498 J"/>
    <x v="298"/>
    <s v="Waqas Wollan Mills Gujranwala"/>
    <s v="LDN"/>
    <n v="10"/>
    <s v="7.5-8"/>
    <s v="LDN"/>
    <n v="300"/>
    <x v="1"/>
    <n v="1"/>
    <n v="58.5"/>
    <n v="1.2"/>
    <m/>
    <x v="0"/>
    <n v="57.3"/>
    <n v="303.29999999999995"/>
    <m/>
    <x v="0"/>
    <x v="0"/>
    <n v="0"/>
    <n v="0"/>
    <x v="0"/>
    <x v="0"/>
    <m/>
    <x v="0"/>
    <x v="0"/>
    <x v="0"/>
    <x v="0"/>
    <x v="0"/>
    <n v="0"/>
    <n v="0"/>
    <n v="0"/>
    <n v="12"/>
    <x v="1"/>
    <x v="0"/>
    <m/>
    <x v="0"/>
    <n v="63.5"/>
    <x v="0"/>
    <x v="34"/>
    <x v="17"/>
    <x v="0"/>
    <x v="0"/>
  </r>
  <r>
    <x v="1"/>
    <x v="8"/>
    <s v="8498 J"/>
    <x v="298"/>
    <s v="Waqas Wollan Mills Gujranwala"/>
    <s v="LDN"/>
    <n v="10"/>
    <s v="7.5-8"/>
    <s v="LDN"/>
    <n v="300"/>
    <x v="1"/>
    <n v="2"/>
    <n v="98"/>
    <n v="2.4"/>
    <m/>
    <x v="0"/>
    <n v="95.6"/>
    <n v="303.29999999999995"/>
    <m/>
    <x v="0"/>
    <x v="0"/>
    <n v="0"/>
    <n v="0"/>
    <x v="0"/>
    <x v="0"/>
    <m/>
    <x v="0"/>
    <x v="0"/>
    <x v="0"/>
    <x v="0"/>
    <x v="0"/>
    <n v="0"/>
    <n v="0"/>
    <n v="0"/>
    <n v="12"/>
    <x v="1"/>
    <x v="0"/>
    <m/>
    <x v="0"/>
    <n v="103"/>
    <x v="0"/>
    <x v="34"/>
    <x v="17"/>
    <x v="0"/>
    <x v="0"/>
  </r>
  <r>
    <x v="0"/>
    <x v="9"/>
    <s v="8510 J"/>
    <x v="298"/>
    <s v="DW Organic Dairy Farms Kasur"/>
    <s v="LDM"/>
    <n v="8"/>
    <s v="17-18"/>
    <s v="LDM"/>
    <n v="100"/>
    <x v="1"/>
    <n v="2"/>
    <n v="111"/>
    <n v="2"/>
    <n v="32"/>
    <x v="0"/>
    <n v="109"/>
    <n v="109"/>
    <n v="10"/>
    <x v="0"/>
    <x v="0"/>
    <n v="10"/>
    <n v="0.16666666666666666"/>
    <x v="0"/>
    <x v="0"/>
    <m/>
    <x v="0"/>
    <x v="0"/>
    <x v="0"/>
    <x v="0"/>
    <x v="0"/>
    <n v="0"/>
    <n v="0"/>
    <n v="0.16666666666666666"/>
    <n v="11.833333333333334"/>
    <x v="1"/>
    <x v="0"/>
    <m/>
    <x v="0"/>
    <n v="116"/>
    <x v="0"/>
    <x v="34"/>
    <x v="17"/>
    <x v="0"/>
    <x v="0"/>
  </r>
  <r>
    <x v="1"/>
    <x v="9"/>
    <s v="8615 J"/>
    <x v="298"/>
    <s v="Jilani Poly Stock"/>
    <s v="LDN"/>
    <n v="7"/>
    <n v="10"/>
    <s v="LDN"/>
    <n v="0"/>
    <x v="1"/>
    <n v="3"/>
    <n v="121.5"/>
    <n v="1.7999999999999998"/>
    <m/>
    <x v="0"/>
    <n v="119.7"/>
    <n v="611.30000000000007"/>
    <m/>
    <x v="0"/>
    <x v="0"/>
    <n v="0"/>
    <n v="0"/>
    <x v="0"/>
    <x v="0"/>
    <m/>
    <x v="0"/>
    <x v="0"/>
    <x v="0"/>
    <x v="0"/>
    <x v="0"/>
    <n v="0"/>
    <n v="0"/>
    <n v="0"/>
    <n v="12"/>
    <x v="1"/>
    <x v="0"/>
    <m/>
    <x v="0"/>
    <n v="126.5"/>
    <x v="0"/>
    <x v="34"/>
    <x v="17"/>
    <x v="0"/>
    <x v="0"/>
  </r>
  <r>
    <x v="0"/>
    <x v="11"/>
    <s v="8344 J"/>
    <x v="298"/>
    <s v="Raja Shoes Lahore"/>
    <s v="LDM"/>
    <s v="8+2+2"/>
    <s v="4.75-5.25/9.5-10.5"/>
    <s v="LDM"/>
    <n v="1150"/>
    <x v="1"/>
    <n v="5"/>
    <n v="218.5"/>
    <n v="4"/>
    <m/>
    <x v="0"/>
    <n v="214.5"/>
    <n v="1172.5"/>
    <m/>
    <x v="0"/>
    <x v="0"/>
    <n v="0"/>
    <n v="0"/>
    <x v="0"/>
    <x v="0"/>
    <m/>
    <x v="0"/>
    <x v="0"/>
    <x v="0"/>
    <x v="0"/>
    <x v="0"/>
    <n v="0"/>
    <n v="0"/>
    <n v="0"/>
    <n v="12"/>
    <x v="1"/>
    <x v="0"/>
    <m/>
    <x v="0"/>
    <n v="223.5"/>
    <x v="0"/>
    <x v="34"/>
    <x v="17"/>
    <x v="0"/>
    <x v="0"/>
  </r>
  <r>
    <x v="0"/>
    <x v="11"/>
    <s v="8522 J"/>
    <x v="298"/>
    <s v="Umer Fabrics Jehlum"/>
    <s v="LD پنک"/>
    <s v="12+3+3"/>
    <s v="7.5-8ْ/15-16"/>
    <s v="LDM"/>
    <n v="110"/>
    <x v="1"/>
    <n v="2"/>
    <n v="112"/>
    <n v="3"/>
    <m/>
    <x v="0"/>
    <n v="109"/>
    <n v="109"/>
    <m/>
    <x v="0"/>
    <x v="0"/>
    <n v="0"/>
    <n v="0"/>
    <x v="0"/>
    <x v="0"/>
    <m/>
    <x v="0"/>
    <x v="0"/>
    <x v="0"/>
    <x v="0"/>
    <x v="0"/>
    <n v="0"/>
    <n v="0"/>
    <n v="0"/>
    <n v="12"/>
    <x v="1"/>
    <x v="0"/>
    <m/>
    <x v="0"/>
    <n v="117"/>
    <x v="0"/>
    <x v="34"/>
    <x v="17"/>
    <x v="0"/>
    <x v="0"/>
  </r>
  <r>
    <x v="0"/>
    <x v="11"/>
    <s v="STOCK"/>
    <x v="298"/>
    <s v="STOCK"/>
    <m/>
    <n v="18"/>
    <s v="10-11"/>
    <m/>
    <m/>
    <x v="1"/>
    <n v="1"/>
    <n v="59"/>
    <n v="1.8"/>
    <m/>
    <x v="0"/>
    <n v="57.2"/>
    <n v="2156.44"/>
    <m/>
    <x v="0"/>
    <x v="0"/>
    <n v="0"/>
    <n v="0"/>
    <x v="0"/>
    <x v="0"/>
    <m/>
    <x v="2"/>
    <x v="0"/>
    <x v="0"/>
    <x v="0"/>
    <x v="0"/>
    <n v="5"/>
    <n v="8.3333333333333329E-2"/>
    <n v="8.3333333333333329E-2"/>
    <n v="11.916666666666666"/>
    <x v="1"/>
    <x v="0"/>
    <m/>
    <x v="0"/>
    <n v="64"/>
    <x v="0"/>
    <x v="34"/>
    <x v="17"/>
    <x v="0"/>
    <x v="0"/>
  </r>
  <r>
    <x v="1"/>
    <x v="11"/>
    <s v="8651 J"/>
    <x v="298"/>
    <s v="Waqas Wollan Mills Gujranwala"/>
    <s v="LD پیلا"/>
    <n v="11"/>
    <s v="8-8.5"/>
    <s v="LDM"/>
    <n v="200"/>
    <x v="1"/>
    <n v="4"/>
    <n v="224"/>
    <n v="4.4000000000000004"/>
    <n v="80"/>
    <x v="0"/>
    <n v="219.6"/>
    <n v="219.6"/>
    <n v="5"/>
    <x v="0"/>
    <x v="0"/>
    <n v="5"/>
    <n v="8.3333333333333329E-2"/>
    <x v="0"/>
    <x v="0"/>
    <m/>
    <x v="0"/>
    <x v="0"/>
    <x v="0"/>
    <x v="0"/>
    <x v="0"/>
    <n v="0"/>
    <n v="0"/>
    <n v="8.3333333333333329E-2"/>
    <n v="11.916666666666666"/>
    <x v="1"/>
    <x v="0"/>
    <m/>
    <x v="0"/>
    <n v="229"/>
    <x v="0"/>
    <x v="34"/>
    <x v="17"/>
    <x v="0"/>
    <x v="0"/>
  </r>
  <r>
    <x v="1"/>
    <x v="11"/>
    <s v="8646 J"/>
    <x v="298"/>
    <s v="Waqas Wollan Mills Gujranwala"/>
    <s v="LD ریڈ"/>
    <n v="11"/>
    <s v="8-8.5"/>
    <s v="LDM"/>
    <n v="200"/>
    <x v="1"/>
    <n v="1"/>
    <n v="58.5"/>
    <n v="1.1000000000000001"/>
    <m/>
    <x v="0"/>
    <n v="57.4"/>
    <n v="325.79999999999995"/>
    <n v="5"/>
    <x v="0"/>
    <x v="0"/>
    <n v="5"/>
    <n v="8.3333333333333329E-2"/>
    <x v="0"/>
    <x v="0"/>
    <m/>
    <x v="0"/>
    <x v="0"/>
    <x v="0"/>
    <x v="0"/>
    <x v="0"/>
    <n v="0"/>
    <n v="0"/>
    <n v="8.3333333333333329E-2"/>
    <n v="11.916666666666666"/>
    <x v="1"/>
    <x v="0"/>
    <m/>
    <x v="0"/>
    <n v="63.5"/>
    <x v="0"/>
    <x v="34"/>
    <x v="17"/>
    <x v="0"/>
    <x v="0"/>
  </r>
  <r>
    <x v="0"/>
    <x v="13"/>
    <s v="3229 F"/>
    <x v="298"/>
    <s v="Usman Amin"/>
    <s v="LDN"/>
    <n v="15"/>
    <s v="12"/>
    <s v="LDN"/>
    <n v="200"/>
    <x v="1"/>
    <n v="2"/>
    <n v="131.5"/>
    <n v="3"/>
    <m/>
    <x v="0"/>
    <n v="128.5"/>
    <n v="195.3"/>
    <m/>
    <x v="0"/>
    <x v="0"/>
    <n v="0"/>
    <n v="0"/>
    <x v="0"/>
    <x v="0"/>
    <m/>
    <x v="0"/>
    <x v="0"/>
    <x v="0"/>
    <x v="0"/>
    <x v="0"/>
    <n v="0"/>
    <n v="0"/>
    <n v="0"/>
    <n v="12"/>
    <x v="1"/>
    <x v="0"/>
    <m/>
    <x v="0"/>
    <n v="136.5"/>
    <x v="0"/>
    <x v="34"/>
    <x v="17"/>
    <x v="0"/>
    <x v="0"/>
  </r>
  <r>
    <x v="0"/>
    <x v="13"/>
    <s v="3226 F"/>
    <x v="298"/>
    <s v="Usman Amin"/>
    <s v="LDN"/>
    <n v="19"/>
    <s v="5-5.5"/>
    <s v="LDN"/>
    <n v="175"/>
    <x v="1"/>
    <n v="2"/>
    <n v="133"/>
    <n v="3.8"/>
    <m/>
    <x v="0"/>
    <n v="129.19999999999999"/>
    <n v="178.1"/>
    <n v="2"/>
    <x v="0"/>
    <x v="0"/>
    <n v="2"/>
    <n v="3.3333333333333333E-2"/>
    <x v="0"/>
    <x v="0"/>
    <m/>
    <x v="0"/>
    <x v="0"/>
    <x v="0"/>
    <x v="0"/>
    <x v="0"/>
    <n v="0"/>
    <n v="0"/>
    <n v="3.3333333333333333E-2"/>
    <n v="11.966666666666667"/>
    <x v="1"/>
    <x v="0"/>
    <m/>
    <x v="0"/>
    <n v="138"/>
    <x v="0"/>
    <x v="34"/>
    <x v="17"/>
    <x v="0"/>
    <x v="0"/>
  </r>
  <r>
    <x v="1"/>
    <x v="13"/>
    <s v="3226 F"/>
    <x v="298"/>
    <s v="Usman Amin"/>
    <s v="LDN"/>
    <n v="19"/>
    <s v="5-5.5"/>
    <s v="LDN"/>
    <n v="175"/>
    <x v="1"/>
    <n v="1"/>
    <n v="51.5"/>
    <n v="2.6"/>
    <m/>
    <x v="0"/>
    <n v="48.9"/>
    <n v="178.1"/>
    <n v="2"/>
    <x v="0"/>
    <x v="0"/>
    <n v="2"/>
    <n v="3.3333333333333333E-2"/>
    <x v="0"/>
    <x v="0"/>
    <m/>
    <x v="0"/>
    <x v="0"/>
    <x v="0"/>
    <x v="0"/>
    <x v="0"/>
    <n v="0"/>
    <n v="0"/>
    <n v="3.3333333333333333E-2"/>
    <n v="11.966666666666667"/>
    <x v="1"/>
    <x v="0"/>
    <m/>
    <x v="0"/>
    <n v="56.5"/>
    <x v="0"/>
    <x v="34"/>
    <x v="17"/>
    <x v="0"/>
    <x v="0"/>
  </r>
  <r>
    <x v="1"/>
    <x v="13"/>
    <s v="3224 F"/>
    <x v="298"/>
    <s v="Usman Amin"/>
    <s v="LDN"/>
    <n v="18"/>
    <s v="5-5.5"/>
    <s v="LDN"/>
    <n v="650"/>
    <x v="1"/>
    <n v="4"/>
    <n v="187"/>
    <n v="8"/>
    <m/>
    <x v="0"/>
    <n v="179"/>
    <n v="1384.8"/>
    <m/>
    <x v="0"/>
    <x v="0"/>
    <n v="0"/>
    <n v="0"/>
    <x v="0"/>
    <x v="0"/>
    <m/>
    <x v="0"/>
    <x v="0"/>
    <x v="0"/>
    <x v="0"/>
    <x v="0"/>
    <n v="0"/>
    <n v="0"/>
    <n v="0"/>
    <n v="12"/>
    <x v="1"/>
    <x v="0"/>
    <m/>
    <x v="0"/>
    <n v="192"/>
    <x v="0"/>
    <x v="34"/>
    <x v="17"/>
    <x v="0"/>
    <x v="0"/>
  </r>
  <r>
    <x v="0"/>
    <x v="12"/>
    <s v="2880/1"/>
    <x v="298"/>
    <s v="MATCO FOOD"/>
    <s v="LDN"/>
    <s v="22.5-23"/>
    <s v="70±2 گرام"/>
    <s v="SL"/>
    <n v="4900"/>
    <x v="1"/>
    <n v="4"/>
    <n v="530.1"/>
    <n v="8.8000000000000007"/>
    <m/>
    <x v="0"/>
    <n v="521.30000000000007"/>
    <n v="5977.05"/>
    <m/>
    <x v="0"/>
    <x v="0"/>
    <n v="0"/>
    <n v="0"/>
    <x v="0"/>
    <x v="0"/>
    <m/>
    <x v="0"/>
    <x v="0"/>
    <x v="0"/>
    <x v="0"/>
    <x v="0"/>
    <n v="0"/>
    <n v="0"/>
    <n v="0"/>
    <n v="12"/>
    <x v="1"/>
    <x v="0"/>
    <m/>
    <x v="0"/>
    <n v="535.1"/>
    <x v="0"/>
    <x v="34"/>
    <x v="17"/>
    <x v="0"/>
    <x v="0"/>
  </r>
  <r>
    <x v="1"/>
    <x v="12"/>
    <s v="2880/1"/>
    <x v="298"/>
    <s v="MATCO FOOD"/>
    <s v="LDN"/>
    <s v="22.5-23"/>
    <s v="70±2 گرام"/>
    <s v="SL"/>
    <n v="4900"/>
    <x v="1"/>
    <n v="4"/>
    <n v="517.5"/>
    <n v="8.8000000000000007"/>
    <m/>
    <x v="0"/>
    <n v="508.7"/>
    <n v="5977.05"/>
    <m/>
    <x v="0"/>
    <x v="0"/>
    <n v="0"/>
    <n v="0"/>
    <x v="0"/>
    <x v="0"/>
    <m/>
    <x v="0"/>
    <x v="0"/>
    <x v="0"/>
    <x v="0"/>
    <x v="0"/>
    <n v="0"/>
    <n v="0"/>
    <n v="0"/>
    <n v="12"/>
    <x v="1"/>
    <x v="0"/>
    <m/>
    <x v="0"/>
    <n v="522.5"/>
    <x v="0"/>
    <x v="34"/>
    <x v="17"/>
    <x v="0"/>
    <x v="0"/>
  </r>
  <r>
    <x v="0"/>
    <x v="14"/>
    <s v="8485 J"/>
    <x v="298"/>
    <s v="Ahmed Miss Print Sheikhupura"/>
    <s v="LDرنگدار"/>
    <n v="18"/>
    <s v="13-14"/>
    <s v="LDM"/>
    <n v="900"/>
    <x v="1"/>
    <n v="3"/>
    <n v="228"/>
    <n v="6"/>
    <m/>
    <x v="0"/>
    <n v="222"/>
    <n v="1105.5999999999999"/>
    <m/>
    <x v="0"/>
    <x v="0"/>
    <n v="0"/>
    <n v="0"/>
    <x v="0"/>
    <x v="0"/>
    <m/>
    <x v="0"/>
    <x v="0"/>
    <x v="0"/>
    <x v="0"/>
    <x v="0"/>
    <n v="0"/>
    <n v="0"/>
    <n v="0"/>
    <n v="12"/>
    <x v="1"/>
    <x v="0"/>
    <m/>
    <x v="0"/>
    <n v="233"/>
    <x v="0"/>
    <x v="34"/>
    <x v="17"/>
    <x v="0"/>
    <x v="0"/>
  </r>
  <r>
    <x v="0"/>
    <x v="14"/>
    <s v="8531 J"/>
    <x v="298"/>
    <s v="Fancy Garments Kamoki"/>
    <s v="LD سی گرین"/>
    <n v="18"/>
    <s v="13-14"/>
    <s v="LDM"/>
    <n v="200"/>
    <x v="1"/>
    <n v="3"/>
    <n v="210"/>
    <n v="5.9"/>
    <m/>
    <x v="0"/>
    <n v="204.1"/>
    <n v="204.1"/>
    <m/>
    <x v="0"/>
    <x v="0"/>
    <n v="0"/>
    <n v="0"/>
    <x v="0"/>
    <x v="0"/>
    <m/>
    <x v="0"/>
    <x v="0"/>
    <x v="0"/>
    <x v="0"/>
    <x v="0"/>
    <n v="0"/>
    <n v="0"/>
    <n v="0"/>
    <n v="12"/>
    <x v="1"/>
    <x v="0"/>
    <m/>
    <x v="0"/>
    <n v="215"/>
    <x v="0"/>
    <x v="34"/>
    <x v="17"/>
    <x v="0"/>
    <x v="0"/>
  </r>
  <r>
    <x v="0"/>
    <x v="14"/>
    <s v="8530 J"/>
    <x v="298"/>
    <s v="Fancy Garments Kamoki"/>
    <s v="LD سی گرین"/>
    <n v="16"/>
    <s v="13-14"/>
    <s v="LDM"/>
    <n v="100"/>
    <x v="1"/>
    <n v="2"/>
    <n v="110"/>
    <n v="3.7"/>
    <m/>
    <x v="0"/>
    <n v="106.3"/>
    <n v="106.3"/>
    <m/>
    <x v="0"/>
    <x v="0"/>
    <n v="0"/>
    <n v="0"/>
    <x v="0"/>
    <x v="0"/>
    <m/>
    <x v="0"/>
    <x v="0"/>
    <x v="0"/>
    <x v="0"/>
    <x v="0"/>
    <n v="0"/>
    <n v="0"/>
    <n v="0"/>
    <n v="12"/>
    <x v="1"/>
    <x v="0"/>
    <m/>
    <x v="0"/>
    <n v="115"/>
    <x v="0"/>
    <x v="34"/>
    <x v="17"/>
    <x v="0"/>
    <x v="0"/>
  </r>
  <r>
    <x v="0"/>
    <x v="14"/>
    <s v="8616 J"/>
    <x v="298"/>
    <s v="Irfan Sab Azam Market Lahore "/>
    <s v="LD گولڈن پیلا"/>
    <n v="19.5"/>
    <s v="14-15"/>
    <s v="LDM"/>
    <n v="600"/>
    <x v="1"/>
    <n v="1"/>
    <n v="109"/>
    <n v="2.2000000000000002"/>
    <m/>
    <x v="0"/>
    <n v="106.8"/>
    <n v="585.79999999999995"/>
    <m/>
    <x v="0"/>
    <x v="0"/>
    <n v="0"/>
    <n v="0"/>
    <x v="0"/>
    <x v="0"/>
    <m/>
    <x v="0"/>
    <x v="0"/>
    <x v="0"/>
    <x v="0"/>
    <x v="0"/>
    <n v="0"/>
    <n v="0"/>
    <n v="0"/>
    <n v="12"/>
    <x v="1"/>
    <x v="0"/>
    <m/>
    <x v="0"/>
    <n v="114"/>
    <x v="0"/>
    <x v="34"/>
    <x v="17"/>
    <x v="0"/>
    <x v="0"/>
  </r>
  <r>
    <x v="1"/>
    <x v="14"/>
    <s v="8616 J"/>
    <x v="298"/>
    <s v="Irfan Sab Azam Market Lahore "/>
    <s v="LD گولڈن پیلا"/>
    <n v="19.5"/>
    <s v="14-15"/>
    <s v="LDM"/>
    <n v="600"/>
    <x v="1"/>
    <n v="5"/>
    <n v="489"/>
    <n v="10"/>
    <m/>
    <x v="0"/>
    <n v="479"/>
    <n v="585.79999999999995"/>
    <m/>
    <x v="0"/>
    <x v="0"/>
    <n v="0"/>
    <n v="0"/>
    <x v="0"/>
    <x v="0"/>
    <m/>
    <x v="0"/>
    <x v="0"/>
    <x v="0"/>
    <x v="0"/>
    <x v="0"/>
    <n v="0"/>
    <n v="0"/>
    <n v="0"/>
    <n v="12"/>
    <x v="1"/>
    <x v="0"/>
    <m/>
    <x v="0"/>
    <n v="494"/>
    <x v="0"/>
    <x v="34"/>
    <x v="17"/>
    <x v="0"/>
    <x v="0"/>
  </r>
  <r>
    <x v="0"/>
    <x v="15"/>
    <s v="3227 F"/>
    <x v="298"/>
    <s v="Usman Amin"/>
    <s v="LDN"/>
    <n v="28"/>
    <s v="8-8.5"/>
    <s v="LDN"/>
    <n v="600"/>
    <x v="1"/>
    <n v="4"/>
    <n v="330.5"/>
    <n v="12.8"/>
    <m/>
    <x v="0"/>
    <n v="317.7"/>
    <n v="552.1"/>
    <n v="5"/>
    <x v="0"/>
    <x v="0"/>
    <n v="5"/>
    <n v="8.3333333333333329E-2"/>
    <x v="0"/>
    <x v="0"/>
    <m/>
    <x v="0"/>
    <x v="0"/>
    <x v="0"/>
    <x v="0"/>
    <x v="0"/>
    <n v="0"/>
    <n v="0"/>
    <n v="8.3333333333333329E-2"/>
    <n v="11.916666666666666"/>
    <x v="1"/>
    <x v="0"/>
    <m/>
    <x v="0"/>
    <n v="335.5"/>
    <x v="0"/>
    <x v="34"/>
    <x v="17"/>
    <x v="0"/>
    <x v="0"/>
  </r>
  <r>
    <x v="0"/>
    <x v="15"/>
    <s v="3236 F"/>
    <x v="298"/>
    <s v="Usman Amin"/>
    <s v="LDN"/>
    <n v="31"/>
    <s v="7-7.5"/>
    <s v="LDN"/>
    <n v="115"/>
    <x v="1"/>
    <n v="2"/>
    <n v="124"/>
    <n v="7"/>
    <n v="8"/>
    <x v="0"/>
    <n v="117"/>
    <n v="117"/>
    <n v="10"/>
    <x v="0"/>
    <x v="0"/>
    <n v="10"/>
    <n v="0.16666666666666666"/>
    <x v="0"/>
    <x v="0"/>
    <m/>
    <x v="0"/>
    <x v="0"/>
    <x v="0"/>
    <x v="0"/>
    <x v="0"/>
    <n v="0"/>
    <n v="0"/>
    <n v="0.16666666666666666"/>
    <n v="11.833333333333334"/>
    <x v="1"/>
    <x v="0"/>
    <m/>
    <x v="0"/>
    <n v="129"/>
    <x v="0"/>
    <x v="34"/>
    <x v="17"/>
    <x v="0"/>
    <x v="0"/>
  </r>
  <r>
    <x v="1"/>
    <x v="15"/>
    <s v="8643 J"/>
    <x v="298"/>
    <s v="Usman Arif Butt Gujranwala"/>
    <s v="LDN"/>
    <n v="20"/>
    <s v="14"/>
    <s v="LDN"/>
    <n v="100"/>
    <x v="1"/>
    <n v="1"/>
    <n v="97.5"/>
    <n v="3.7"/>
    <n v="20"/>
    <x v="0"/>
    <n v="93.8"/>
    <n v="93.8"/>
    <n v="5"/>
    <x v="0"/>
    <x v="0"/>
    <n v="5"/>
    <n v="8.3333333333333329E-2"/>
    <x v="0"/>
    <x v="0"/>
    <m/>
    <x v="0"/>
    <x v="0"/>
    <x v="0"/>
    <x v="0"/>
    <x v="0"/>
    <n v="0"/>
    <n v="0"/>
    <n v="8.3333333333333329E-2"/>
    <n v="11.916666666666666"/>
    <x v="1"/>
    <x v="0"/>
    <m/>
    <x v="0"/>
    <n v="102.5"/>
    <x v="0"/>
    <x v="34"/>
    <x v="17"/>
    <x v="0"/>
    <x v="0"/>
  </r>
  <r>
    <x v="1"/>
    <x v="15"/>
    <s v="8642 J"/>
    <x v="298"/>
    <s v="Usman Arif Butt Gujranwala"/>
    <s v="LDN"/>
    <n v="26"/>
    <s v="14"/>
    <s v="LDN"/>
    <n v="100"/>
    <x v="1"/>
    <n v="1"/>
    <n v="97.5"/>
    <n v="3"/>
    <m/>
    <x v="0"/>
    <n v="94.5"/>
    <n v="94.5"/>
    <m/>
    <x v="0"/>
    <x v="0"/>
    <n v="0"/>
    <n v="0"/>
    <x v="0"/>
    <x v="0"/>
    <m/>
    <x v="0"/>
    <x v="0"/>
    <x v="0"/>
    <x v="0"/>
    <x v="0"/>
    <n v="0"/>
    <n v="0"/>
    <n v="0"/>
    <n v="12"/>
    <x v="1"/>
    <x v="0"/>
    <m/>
    <x v="0"/>
    <n v="102.5"/>
    <x v="0"/>
    <x v="34"/>
    <x v="17"/>
    <x v="0"/>
    <x v="0"/>
  </r>
  <r>
    <x v="1"/>
    <x v="15"/>
    <s v="3237 F"/>
    <x v="298"/>
    <s v="Usman Amin"/>
    <s v="LDN"/>
    <n v="22"/>
    <s v="7-7.5"/>
    <s v="LDN"/>
    <n v="160"/>
    <x v="1"/>
    <n v="3"/>
    <n v="163"/>
    <n v="8.1000000000000014"/>
    <m/>
    <x v="0"/>
    <n v="154.9"/>
    <n v="154.9"/>
    <m/>
    <x v="0"/>
    <x v="0"/>
    <n v="0"/>
    <n v="0"/>
    <x v="0"/>
    <x v="0"/>
    <m/>
    <x v="0"/>
    <x v="0"/>
    <x v="0"/>
    <x v="0"/>
    <x v="0"/>
    <n v="0"/>
    <n v="0"/>
    <n v="0"/>
    <n v="12"/>
    <x v="1"/>
    <x v="0"/>
    <m/>
    <x v="0"/>
    <n v="168"/>
    <x v="0"/>
    <x v="34"/>
    <x v="17"/>
    <x v="0"/>
    <x v="0"/>
  </r>
  <r>
    <x v="1"/>
    <x v="15"/>
    <s v="8640 J"/>
    <x v="298"/>
    <s v="Usman Arif Butt Gujranwala"/>
    <s v="LDN"/>
    <n v="20"/>
    <s v="14"/>
    <s v="LDN"/>
    <n v="100"/>
    <x v="1"/>
    <n v="2"/>
    <n v="108"/>
    <n v="4.5999999999999996"/>
    <m/>
    <x v="0"/>
    <n v="103.4"/>
    <n v="103.4"/>
    <m/>
    <x v="0"/>
    <x v="0"/>
    <n v="0"/>
    <n v="0"/>
    <x v="0"/>
    <x v="0"/>
    <m/>
    <x v="0"/>
    <x v="0"/>
    <x v="0"/>
    <x v="0"/>
    <x v="0"/>
    <n v="0"/>
    <n v="0"/>
    <n v="0"/>
    <n v="12"/>
    <x v="1"/>
    <x v="0"/>
    <m/>
    <x v="0"/>
    <n v="113"/>
    <x v="0"/>
    <x v="34"/>
    <x v="17"/>
    <x v="0"/>
    <x v="0"/>
  </r>
  <r>
    <x v="0"/>
    <x v="9"/>
    <s v="8615 J"/>
    <x v="299"/>
    <s v="Jilani Poly Stock"/>
    <s v="LDN"/>
    <n v="7"/>
    <n v="10"/>
    <s v="LDN"/>
    <n v="0"/>
    <x v="1"/>
    <n v="3"/>
    <n v="126"/>
    <n v="1.7999999999999998"/>
    <m/>
    <x v="0"/>
    <n v="124.2"/>
    <n v="611.30000000000007"/>
    <m/>
    <x v="0"/>
    <x v="0"/>
    <n v="0"/>
    <n v="0"/>
    <x v="0"/>
    <x v="0"/>
    <m/>
    <x v="0"/>
    <x v="0"/>
    <x v="0"/>
    <x v="0"/>
    <x v="0"/>
    <n v="0"/>
    <n v="0"/>
    <n v="0"/>
    <n v="12"/>
    <x v="1"/>
    <x v="0"/>
    <m/>
    <x v="0"/>
    <n v="131"/>
    <x v="0"/>
    <x v="34"/>
    <x v="17"/>
    <x v="0"/>
    <x v="0"/>
  </r>
  <r>
    <x v="1"/>
    <x v="9"/>
    <s v="8615 J"/>
    <x v="299"/>
    <s v="Jilani Poly Stock"/>
    <s v="LDN"/>
    <n v="7"/>
    <n v="10"/>
    <s v="LDN"/>
    <n v="0"/>
    <x v="1"/>
    <n v="2"/>
    <n v="120"/>
    <n v="1.8"/>
    <m/>
    <x v="0"/>
    <n v="118.2"/>
    <n v="611.30000000000007"/>
    <m/>
    <x v="0"/>
    <x v="0"/>
    <n v="0"/>
    <n v="0"/>
    <x v="0"/>
    <x v="0"/>
    <m/>
    <x v="0"/>
    <x v="0"/>
    <x v="0"/>
    <x v="0"/>
    <x v="0"/>
    <n v="0"/>
    <n v="0"/>
    <n v="0"/>
    <n v="12"/>
    <x v="1"/>
    <x v="0"/>
    <m/>
    <x v="0"/>
    <n v="125"/>
    <x v="0"/>
    <x v="34"/>
    <x v="17"/>
    <x v="0"/>
    <x v="0"/>
  </r>
  <r>
    <x v="0"/>
    <x v="11"/>
    <s v="8646 J"/>
    <x v="299"/>
    <s v="Waqas Wollan Mills Gujranwala"/>
    <s v="LD ریڈ"/>
    <n v="11"/>
    <s v="8-8.5"/>
    <s v="LDM"/>
    <n v="200"/>
    <x v="1"/>
    <n v="3"/>
    <n v="273"/>
    <n v="4.5999999999999996"/>
    <m/>
    <x v="0"/>
    <n v="268.39999999999998"/>
    <n v="325.79999999999995"/>
    <m/>
    <x v="0"/>
    <x v="0"/>
    <n v="0"/>
    <n v="0"/>
    <x v="0"/>
    <x v="0"/>
    <m/>
    <x v="0"/>
    <x v="0"/>
    <x v="0"/>
    <x v="0"/>
    <x v="0"/>
    <n v="0"/>
    <n v="0"/>
    <n v="0"/>
    <n v="12"/>
    <x v="1"/>
    <x v="0"/>
    <m/>
    <x v="0"/>
    <n v="278"/>
    <x v="0"/>
    <x v="34"/>
    <x v="17"/>
    <x v="0"/>
    <x v="0"/>
  </r>
  <r>
    <x v="0"/>
    <x v="11"/>
    <s v="8647 J"/>
    <x v="299"/>
    <s v="Waqas Wollan Mills Gujranwala"/>
    <s v="LD ریڈ"/>
    <n v="14"/>
    <s v="8-8.5"/>
    <s v="LDM"/>
    <n v="150"/>
    <x v="1"/>
    <m/>
    <n v="109"/>
    <n v="3.4"/>
    <n v="4"/>
    <x v="0"/>
    <n v="105.6"/>
    <n v="105.6"/>
    <m/>
    <x v="0"/>
    <x v="0"/>
    <n v="0"/>
    <n v="0"/>
    <x v="0"/>
    <x v="0"/>
    <m/>
    <x v="0"/>
    <x v="0"/>
    <x v="0"/>
    <x v="0"/>
    <x v="0"/>
    <n v="0"/>
    <n v="0"/>
    <n v="0"/>
    <n v="12"/>
    <x v="1"/>
    <x v="0"/>
    <m/>
    <x v="0"/>
    <n v="114"/>
    <x v="0"/>
    <x v="34"/>
    <x v="17"/>
    <x v="0"/>
    <x v="0"/>
  </r>
  <r>
    <x v="1"/>
    <x v="11"/>
    <s v="8650 J"/>
    <x v="299"/>
    <s v="Waqas Wollan Mills Gujranwala"/>
    <s v="LD اورنج"/>
    <n v="11"/>
    <s v="8-8.5"/>
    <s v="LDM"/>
    <n v="200"/>
    <x v="1"/>
    <n v="3"/>
    <n v="192"/>
    <n v="2.8"/>
    <n v="5"/>
    <x v="0"/>
    <n v="189.2"/>
    <n v="189.2"/>
    <n v="3"/>
    <x v="0"/>
    <x v="0"/>
    <n v="3"/>
    <n v="0.05"/>
    <x v="0"/>
    <x v="0"/>
    <m/>
    <x v="0"/>
    <x v="0"/>
    <x v="0"/>
    <x v="0"/>
    <x v="0"/>
    <n v="0"/>
    <n v="0"/>
    <n v="0.05"/>
    <n v="11.95"/>
    <x v="1"/>
    <x v="0"/>
    <m/>
    <x v="0"/>
    <n v="197"/>
    <x v="0"/>
    <x v="34"/>
    <x v="17"/>
    <x v="0"/>
    <x v="0"/>
  </r>
  <r>
    <x v="1"/>
    <x v="11"/>
    <s v="8652 J"/>
    <x v="299"/>
    <s v="Waqas Wollan Mills Gujranwala"/>
    <s v="LD گرین"/>
    <n v="13"/>
    <s v="8-8.5"/>
    <s v="LDM"/>
    <n v="300"/>
    <x v="1"/>
    <n v="1"/>
    <n v="94"/>
    <n v="1.5"/>
    <m/>
    <x v="0"/>
    <n v="92.5"/>
    <n v="301.5"/>
    <n v="2"/>
    <x v="0"/>
    <x v="0"/>
    <n v="2"/>
    <n v="3.3333333333333333E-2"/>
    <x v="0"/>
    <x v="0"/>
    <m/>
    <x v="0"/>
    <x v="0"/>
    <x v="0"/>
    <x v="0"/>
    <x v="0"/>
    <n v="0"/>
    <n v="0"/>
    <n v="3.3333333333333333E-2"/>
    <n v="11.966666666666667"/>
    <x v="1"/>
    <x v="0"/>
    <m/>
    <x v="0"/>
    <n v="99"/>
    <x v="0"/>
    <x v="34"/>
    <x v="17"/>
    <x v="0"/>
    <x v="0"/>
  </r>
  <r>
    <x v="1"/>
    <x v="11"/>
    <m/>
    <x v="299"/>
    <s v="STOCK"/>
    <m/>
    <n v="18"/>
    <s v="12-13"/>
    <m/>
    <m/>
    <x v="1"/>
    <n v="1"/>
    <n v="55.5"/>
    <n v="1.8"/>
    <m/>
    <x v="0"/>
    <n v="53.7"/>
    <n v="0"/>
    <n v="5"/>
    <x v="0"/>
    <x v="0"/>
    <n v="5"/>
    <n v="8.3333333333333329E-2"/>
    <x v="0"/>
    <x v="0"/>
    <m/>
    <x v="0"/>
    <x v="0"/>
    <x v="0"/>
    <x v="0"/>
    <x v="0"/>
    <n v="0"/>
    <n v="0"/>
    <n v="8.3333333333333329E-2"/>
    <n v="11.916666666666666"/>
    <x v="1"/>
    <x v="0"/>
    <m/>
    <x v="0"/>
    <n v="60.5"/>
    <x v="0"/>
    <x v="34"/>
    <x v="17"/>
    <x v="0"/>
    <x v="0"/>
  </r>
  <r>
    <x v="0"/>
    <x v="12"/>
    <s v="2880/1"/>
    <x v="299"/>
    <s v="MATCO FOOD"/>
    <s v="LDN"/>
    <s v="22.5-23"/>
    <s v="70±2 گرام"/>
    <s v="SL"/>
    <n v="4900"/>
    <x v="1"/>
    <n v="2"/>
    <n v="225.5"/>
    <n v="4.4000000000000004"/>
    <m/>
    <x v="0"/>
    <n v="221.1"/>
    <n v="5977.05"/>
    <m/>
    <x v="0"/>
    <x v="0"/>
    <n v="0"/>
    <n v="0"/>
    <x v="0"/>
    <x v="0"/>
    <m/>
    <x v="0"/>
    <x v="0"/>
    <x v="0"/>
    <x v="0"/>
    <x v="0"/>
    <n v="0"/>
    <n v="0"/>
    <n v="0"/>
    <n v="12"/>
    <x v="1"/>
    <x v="0"/>
    <m/>
    <x v="0"/>
    <n v="230.5"/>
    <x v="0"/>
    <x v="34"/>
    <x v="17"/>
    <x v="0"/>
    <x v="0"/>
  </r>
  <r>
    <x v="0"/>
    <x v="12"/>
    <s v="2875/1"/>
    <x v="299"/>
    <s v="SITARA CHECMICAL"/>
    <s v="LDN"/>
    <s v="24-24.5"/>
    <s v="100±1"/>
    <s v="SL"/>
    <n v="5000"/>
    <x v="1"/>
    <n v="2"/>
    <n v="268.5"/>
    <n v="4.8"/>
    <m/>
    <x v="0"/>
    <n v="263.7"/>
    <n v="5072.5"/>
    <m/>
    <x v="0"/>
    <x v="0"/>
    <n v="0"/>
    <n v="0"/>
    <x v="0"/>
    <x v="0"/>
    <m/>
    <x v="0"/>
    <x v="0"/>
    <x v="0"/>
    <x v="0"/>
    <x v="0"/>
    <n v="0"/>
    <n v="0"/>
    <n v="0"/>
    <n v="12"/>
    <x v="1"/>
    <x v="0"/>
    <m/>
    <x v="0"/>
    <n v="273.5"/>
    <x v="0"/>
    <x v="34"/>
    <x v="17"/>
    <x v="0"/>
    <x v="0"/>
  </r>
  <r>
    <x v="1"/>
    <x v="12"/>
    <s v="2875/1"/>
    <x v="299"/>
    <s v="SITARA CHECMICAL"/>
    <s v="LDN"/>
    <s v="24-24.5"/>
    <s v="100±1"/>
    <s v="SL"/>
    <n v="5000"/>
    <x v="1"/>
    <n v="4"/>
    <n v="530"/>
    <n v="8"/>
    <m/>
    <x v="0"/>
    <n v="522"/>
    <n v="5072.5"/>
    <m/>
    <x v="0"/>
    <x v="0"/>
    <n v="0"/>
    <n v="0"/>
    <x v="0"/>
    <x v="0"/>
    <m/>
    <x v="0"/>
    <x v="0"/>
    <x v="0"/>
    <x v="0"/>
    <x v="0"/>
    <n v="0"/>
    <n v="0"/>
    <n v="0"/>
    <n v="12"/>
    <x v="1"/>
    <x v="0"/>
    <m/>
    <x v="0"/>
    <n v="535"/>
    <x v="0"/>
    <x v="34"/>
    <x v="17"/>
    <x v="0"/>
    <x v="0"/>
  </r>
  <r>
    <x v="0"/>
    <x v="15"/>
    <s v="3224 F"/>
    <x v="299"/>
    <s v="Usman Amin"/>
    <s v="LDN"/>
    <n v="18"/>
    <s v="5-5.5"/>
    <s v="LDN"/>
    <n v="650"/>
    <x v="1"/>
    <n v="6"/>
    <n v="324"/>
    <n v="11.799999999999999"/>
    <m/>
    <x v="0"/>
    <n v="312.2"/>
    <n v="1384.8"/>
    <m/>
    <x v="0"/>
    <x v="0"/>
    <n v="0"/>
    <n v="0"/>
    <x v="0"/>
    <x v="0"/>
    <m/>
    <x v="0"/>
    <x v="0"/>
    <x v="0"/>
    <x v="0"/>
    <x v="0"/>
    <n v="0"/>
    <n v="0"/>
    <n v="0"/>
    <n v="12"/>
    <x v="1"/>
    <x v="0"/>
    <m/>
    <x v="0"/>
    <n v="329"/>
    <x v="0"/>
    <x v="34"/>
    <x v="17"/>
    <x v="0"/>
    <x v="0"/>
  </r>
  <r>
    <x v="1"/>
    <x v="15"/>
    <s v="8675 J"/>
    <x v="299"/>
    <s v="RMC PACK"/>
    <s v="LDN"/>
    <n v="18"/>
    <s v="6.5"/>
    <s v="LDN"/>
    <n v="100"/>
    <x v="1"/>
    <n v="3"/>
    <n v="113"/>
    <n v="6.8999999999999995"/>
    <m/>
    <x v="0"/>
    <n v="106.1"/>
    <n v="106.1"/>
    <m/>
    <x v="0"/>
    <x v="0"/>
    <n v="0"/>
    <n v="0"/>
    <x v="0"/>
    <x v="0"/>
    <m/>
    <x v="0"/>
    <x v="0"/>
    <x v="0"/>
    <x v="0"/>
    <x v="0"/>
    <n v="0"/>
    <n v="0"/>
    <n v="0"/>
    <n v="12"/>
    <x v="1"/>
    <x v="0"/>
    <m/>
    <x v="0"/>
    <n v="118"/>
    <x v="0"/>
    <x v="34"/>
    <x v="17"/>
    <x v="0"/>
    <x v="0"/>
  </r>
  <r>
    <x v="1"/>
    <x v="15"/>
    <s v="3224 F"/>
    <x v="299"/>
    <s v="Usman Amin"/>
    <s v="LDN"/>
    <n v="18"/>
    <s v="5-5.5"/>
    <s v="LDN"/>
    <n v="650"/>
    <x v="1"/>
    <n v="5"/>
    <n v="256.5"/>
    <n v="11.5"/>
    <m/>
    <x v="0"/>
    <n v="245"/>
    <n v="1384.8"/>
    <m/>
    <x v="0"/>
    <x v="0"/>
    <n v="0"/>
    <n v="0"/>
    <x v="0"/>
    <x v="0"/>
    <m/>
    <x v="0"/>
    <x v="0"/>
    <x v="0"/>
    <x v="0"/>
    <x v="0"/>
    <n v="0"/>
    <n v="0"/>
    <n v="0"/>
    <n v="12"/>
    <x v="1"/>
    <x v="0"/>
    <m/>
    <x v="0"/>
    <n v="261.5"/>
    <x v="0"/>
    <x v="34"/>
    <x v="17"/>
    <x v="0"/>
    <x v="0"/>
  </r>
  <r>
    <x v="0"/>
    <x v="8"/>
    <s v="8615 J"/>
    <x v="300"/>
    <s v="Jilani Poly Stock"/>
    <s v="LDN"/>
    <n v="7"/>
    <n v="10"/>
    <s v="LDN"/>
    <n v="0"/>
    <x v="1"/>
    <n v="3"/>
    <n v="122"/>
    <n v="2.7"/>
    <m/>
    <x v="0"/>
    <n v="119.3"/>
    <n v="611.30000000000007"/>
    <m/>
    <x v="0"/>
    <x v="0"/>
    <n v="0"/>
    <n v="0"/>
    <x v="0"/>
    <x v="0"/>
    <m/>
    <x v="0"/>
    <x v="0"/>
    <x v="0"/>
    <x v="0"/>
    <x v="0"/>
    <n v="0"/>
    <n v="0"/>
    <n v="0"/>
    <n v="12"/>
    <x v="1"/>
    <x v="0"/>
    <m/>
    <x v="0"/>
    <n v="127"/>
    <x v="0"/>
    <x v="35"/>
    <x v="18"/>
    <x v="0"/>
    <x v="0"/>
  </r>
  <r>
    <x v="0"/>
    <x v="8"/>
    <s v="8539 J"/>
    <x v="300"/>
    <s v="Javed Enterprises Gujranwala"/>
    <s v="LDN"/>
    <n v="10"/>
    <s v="20-21"/>
    <s v="LDN"/>
    <n v="100"/>
    <x v="1"/>
    <n v="1"/>
    <n v="47.5"/>
    <n v="1.2"/>
    <n v="1"/>
    <x v="0"/>
    <n v="46.3"/>
    <n v="114"/>
    <n v="3"/>
    <x v="0"/>
    <x v="0"/>
    <n v="3"/>
    <n v="0.05"/>
    <x v="0"/>
    <x v="0"/>
    <m/>
    <x v="0"/>
    <x v="0"/>
    <x v="0"/>
    <x v="0"/>
    <x v="0"/>
    <n v="0"/>
    <n v="0"/>
    <n v="0.05"/>
    <n v="11.95"/>
    <x v="1"/>
    <x v="0"/>
    <m/>
    <x v="0"/>
    <n v="52.5"/>
    <x v="0"/>
    <x v="35"/>
    <x v="18"/>
    <x v="0"/>
    <x v="0"/>
  </r>
  <r>
    <x v="1"/>
    <x v="8"/>
    <s v="8539 J"/>
    <x v="300"/>
    <s v="Javed Enterprises Gujranwala"/>
    <s v="LDN"/>
    <n v="10"/>
    <s v="20-21"/>
    <s v="LDN"/>
    <n v="100"/>
    <x v="1"/>
    <n v="1"/>
    <n v="68.5"/>
    <n v="0.8"/>
    <n v="1.5"/>
    <x v="0"/>
    <n v="67.7"/>
    <n v="114"/>
    <n v="3"/>
    <x v="0"/>
    <x v="0"/>
    <n v="3"/>
    <n v="0.05"/>
    <x v="0"/>
    <x v="0"/>
    <m/>
    <x v="0"/>
    <x v="0"/>
    <x v="0"/>
    <x v="0"/>
    <x v="0"/>
    <n v="0"/>
    <n v="0"/>
    <n v="0.05"/>
    <n v="11.95"/>
    <x v="1"/>
    <x v="0"/>
    <m/>
    <x v="0"/>
    <n v="73.5"/>
    <x v="0"/>
    <x v="35"/>
    <x v="18"/>
    <x v="0"/>
    <x v="0"/>
  </r>
  <r>
    <x v="1"/>
    <x v="8"/>
    <s v="8498 J"/>
    <x v="300"/>
    <s v="Waqas Wollan Mills Gujranwala"/>
    <s v="LDN"/>
    <n v="10"/>
    <s v="7.5-8"/>
    <s v="LDN"/>
    <n v="300"/>
    <x v="1"/>
    <n v="2"/>
    <n v="92"/>
    <n v="2.4"/>
    <m/>
    <x v="0"/>
    <n v="89.6"/>
    <n v="303.29999999999995"/>
    <m/>
    <x v="0"/>
    <x v="0"/>
    <n v="0"/>
    <n v="0"/>
    <x v="0"/>
    <x v="0"/>
    <m/>
    <x v="0"/>
    <x v="0"/>
    <x v="0"/>
    <x v="0"/>
    <x v="0"/>
    <n v="0"/>
    <n v="0"/>
    <n v="0"/>
    <n v="12"/>
    <x v="1"/>
    <x v="0"/>
    <m/>
    <x v="0"/>
    <n v="97"/>
    <x v="0"/>
    <x v="35"/>
    <x v="18"/>
    <x v="0"/>
    <x v="0"/>
  </r>
  <r>
    <x v="0"/>
    <x v="11"/>
    <s v="8652 J"/>
    <x v="300"/>
    <s v="Waqas Wollan Mills Gujranwala"/>
    <s v="LD گرین"/>
    <n v="13"/>
    <s v="8-8.5"/>
    <s v="LDM"/>
    <n v="300"/>
    <x v="1"/>
    <n v="3"/>
    <n v="213.5"/>
    <n v="4.5"/>
    <m/>
    <x v="0"/>
    <n v="209"/>
    <n v="301.5"/>
    <n v="10"/>
    <x v="0"/>
    <x v="0"/>
    <n v="10"/>
    <n v="0.16666666666666666"/>
    <x v="0"/>
    <x v="0"/>
    <m/>
    <x v="0"/>
    <x v="0"/>
    <x v="0"/>
    <x v="0"/>
    <x v="0"/>
    <n v="0"/>
    <n v="0"/>
    <n v="0.16666666666666666"/>
    <n v="11.833333333333334"/>
    <x v="1"/>
    <x v="0"/>
    <m/>
    <x v="0"/>
    <n v="218.5"/>
    <x v="0"/>
    <x v="35"/>
    <x v="18"/>
    <x v="0"/>
    <x v="0"/>
  </r>
  <r>
    <x v="0"/>
    <x v="11"/>
    <s v="8648 J"/>
    <x v="300"/>
    <s v="Waqas Wollan Mills Gujranwala"/>
    <s v="LD بلو"/>
    <n v="12"/>
    <s v="8-8.5"/>
    <s v="LDM"/>
    <n v="150"/>
    <x v="1"/>
    <n v="3"/>
    <n v="171.5"/>
    <n v="3.9"/>
    <n v="13"/>
    <x v="0"/>
    <n v="167.6"/>
    <n v="167.6"/>
    <n v="45"/>
    <x v="0"/>
    <x v="0"/>
    <n v="45"/>
    <n v="0.75"/>
    <x v="0"/>
    <x v="0"/>
    <m/>
    <x v="0"/>
    <x v="0"/>
    <x v="0"/>
    <x v="0"/>
    <x v="0"/>
    <n v="0"/>
    <n v="0"/>
    <n v="0.75"/>
    <n v="11.25"/>
    <x v="1"/>
    <x v="0"/>
    <m/>
    <x v="0"/>
    <n v="176.5"/>
    <x v="0"/>
    <x v="35"/>
    <x v="18"/>
    <x v="0"/>
    <x v="0"/>
  </r>
  <r>
    <x v="1"/>
    <x v="11"/>
    <s v="8649 J"/>
    <x v="300"/>
    <s v="Waqas Wollan Mills Gujranwala"/>
    <s v="LD بلو"/>
    <n v="14"/>
    <s v="8-8.5"/>
    <s v="LDM"/>
    <n v="100"/>
    <x v="1"/>
    <n v="2"/>
    <n v="111"/>
    <n v="3.2"/>
    <n v="25"/>
    <x v="0"/>
    <n v="107.8"/>
    <n v="107.8"/>
    <n v="6"/>
    <x v="0"/>
    <x v="0"/>
    <n v="6"/>
    <n v="0.1"/>
    <x v="0"/>
    <x v="0"/>
    <m/>
    <x v="0"/>
    <x v="0"/>
    <x v="0"/>
    <x v="0"/>
    <x v="0"/>
    <n v="0"/>
    <n v="0"/>
    <n v="0.1"/>
    <n v="11.9"/>
    <x v="1"/>
    <x v="0"/>
    <m/>
    <x v="0"/>
    <n v="116"/>
    <x v="0"/>
    <x v="35"/>
    <x v="18"/>
    <x v="0"/>
    <x v="0"/>
  </r>
  <r>
    <x v="1"/>
    <x v="11"/>
    <s v="8485 J"/>
    <x v="300"/>
    <s v="Ahmed Miss Print Sheikhupura"/>
    <s v="LDرنگدار"/>
    <n v="18"/>
    <s v="13-14"/>
    <s v="LDM"/>
    <n v="900"/>
    <x v="1"/>
    <n v="1"/>
    <n v="98.5"/>
    <n v="2"/>
    <m/>
    <x v="0"/>
    <n v="96.5"/>
    <n v="1105.5999999999999"/>
    <n v="6"/>
    <x v="0"/>
    <x v="0"/>
    <n v="6"/>
    <n v="0.1"/>
    <x v="0"/>
    <x v="0"/>
    <m/>
    <x v="0"/>
    <x v="0"/>
    <x v="0"/>
    <x v="0"/>
    <x v="0"/>
    <n v="0"/>
    <n v="0"/>
    <n v="0.1"/>
    <n v="11.9"/>
    <x v="1"/>
    <x v="0"/>
    <m/>
    <x v="0"/>
    <n v="103.5"/>
    <x v="0"/>
    <x v="35"/>
    <x v="18"/>
    <x v="0"/>
    <x v="0"/>
  </r>
  <r>
    <x v="1"/>
    <x v="11"/>
    <s v="8673 J"/>
    <x v="300"/>
    <s v="RMC PACK"/>
    <s v="LD کریم"/>
    <s v="10+3+3"/>
    <s v="7.5-15"/>
    <s v="LDM"/>
    <n v="200"/>
    <x v="1"/>
    <n v="5"/>
    <n v="180.89999999999998"/>
    <n v="6"/>
    <m/>
    <x v="0"/>
    <n v="174.89999999999998"/>
    <n v="202.7"/>
    <n v="30"/>
    <x v="0"/>
    <x v="0"/>
    <n v="30"/>
    <n v="0.5"/>
    <x v="0"/>
    <x v="0"/>
    <m/>
    <x v="0"/>
    <x v="0"/>
    <x v="0"/>
    <x v="0"/>
    <x v="0"/>
    <n v="0"/>
    <n v="0"/>
    <n v="0.5"/>
    <n v="11.5"/>
    <x v="1"/>
    <x v="0"/>
    <m/>
    <x v="0"/>
    <n v="185.89999999999998"/>
    <x v="0"/>
    <x v="35"/>
    <x v="18"/>
    <x v="0"/>
    <x v="0"/>
  </r>
  <r>
    <x v="0"/>
    <x v="12"/>
    <s v="2875/1"/>
    <x v="300"/>
    <s v="SITARA CHECMICAL"/>
    <s v="LDN"/>
    <s v="24-24.5"/>
    <s v="100±1"/>
    <s v="SL"/>
    <n v="5000"/>
    <x v="1"/>
    <n v="4"/>
    <n v="565"/>
    <n v="11"/>
    <m/>
    <x v="0"/>
    <n v="554"/>
    <n v="5072.5"/>
    <m/>
    <x v="0"/>
    <x v="0"/>
    <n v="0"/>
    <n v="0"/>
    <x v="0"/>
    <x v="0"/>
    <m/>
    <x v="0"/>
    <x v="0"/>
    <x v="0"/>
    <x v="0"/>
    <x v="0"/>
    <n v="0"/>
    <n v="0"/>
    <n v="0"/>
    <n v="12"/>
    <x v="1"/>
    <x v="0"/>
    <m/>
    <x v="0"/>
    <n v="570"/>
    <x v="0"/>
    <x v="35"/>
    <x v="18"/>
    <x v="0"/>
    <x v="0"/>
  </r>
  <r>
    <x v="1"/>
    <x v="12"/>
    <s v="2875/1"/>
    <x v="300"/>
    <s v="SITARA CHECMICAL"/>
    <s v="LDN"/>
    <s v="24-24.5"/>
    <s v="100±1"/>
    <s v="SL"/>
    <n v="5000"/>
    <x v="1"/>
    <n v="4"/>
    <n v="547.5"/>
    <n v="9.6"/>
    <m/>
    <x v="0"/>
    <n v="537.9"/>
    <n v="5072.5"/>
    <m/>
    <x v="0"/>
    <x v="0"/>
    <n v="0"/>
    <n v="0"/>
    <x v="0"/>
    <x v="0"/>
    <m/>
    <x v="0"/>
    <x v="0"/>
    <x v="0"/>
    <x v="0"/>
    <x v="0"/>
    <n v="0"/>
    <n v="0"/>
    <n v="0"/>
    <n v="12"/>
    <x v="1"/>
    <x v="0"/>
    <m/>
    <x v="0"/>
    <n v="552.5"/>
    <x v="0"/>
    <x v="35"/>
    <x v="18"/>
    <x v="0"/>
    <x v="0"/>
  </r>
  <r>
    <x v="0"/>
    <x v="15"/>
    <s v="3224 F"/>
    <x v="300"/>
    <s v="Usman Amin"/>
    <s v="LDN"/>
    <n v="18"/>
    <s v="5-5.5"/>
    <s v="LDN"/>
    <n v="650"/>
    <x v="1"/>
    <n v="6"/>
    <n v="354.5"/>
    <n v="11.1"/>
    <m/>
    <x v="0"/>
    <n v="343.4"/>
    <n v="1384.8"/>
    <m/>
    <x v="0"/>
    <x v="0"/>
    <n v="0"/>
    <n v="0"/>
    <x v="0"/>
    <x v="0"/>
    <m/>
    <x v="0"/>
    <x v="0"/>
    <x v="0"/>
    <x v="0"/>
    <x v="0"/>
    <n v="0"/>
    <n v="0"/>
    <n v="0"/>
    <n v="12"/>
    <x v="1"/>
    <x v="0"/>
    <m/>
    <x v="0"/>
    <n v="359.5"/>
    <x v="0"/>
    <x v="35"/>
    <x v="18"/>
    <x v="0"/>
    <x v="0"/>
  </r>
  <r>
    <x v="1"/>
    <x v="15"/>
    <s v="3224 F"/>
    <x v="300"/>
    <s v="Usman Amin"/>
    <s v="LDN"/>
    <n v="18"/>
    <s v="5-5.5"/>
    <s v="LDN"/>
    <n v="650"/>
    <x v="1"/>
    <n v="6"/>
    <n v="315"/>
    <n v="9.8000000000000007"/>
    <n v="2.5"/>
    <x v="0"/>
    <n v="305.2"/>
    <n v="1384.8"/>
    <n v="4"/>
    <x v="0"/>
    <x v="0"/>
    <n v="4"/>
    <n v="6.6666666666666666E-2"/>
    <x v="0"/>
    <x v="0"/>
    <m/>
    <x v="0"/>
    <x v="0"/>
    <x v="0"/>
    <x v="0"/>
    <x v="0"/>
    <n v="0"/>
    <n v="0"/>
    <n v="6.6666666666666666E-2"/>
    <n v="11.933333333333334"/>
    <x v="1"/>
    <x v="0"/>
    <m/>
    <x v="0"/>
    <n v="320"/>
    <x v="0"/>
    <x v="35"/>
    <x v="18"/>
    <x v="0"/>
    <x v="0"/>
  </r>
  <r>
    <x v="1"/>
    <x v="15"/>
    <s v="3074 F"/>
    <x v="300"/>
    <s v="Usman Amin"/>
    <s v="LDN"/>
    <n v="18"/>
    <s v="5-5.5"/>
    <s v="LDN"/>
    <n v="500"/>
    <x v="1"/>
    <n v="1"/>
    <n v="47"/>
    <n v="1.5"/>
    <m/>
    <x v="0"/>
    <n v="45.5"/>
    <n v="474.8"/>
    <m/>
    <x v="0"/>
    <x v="0"/>
    <n v="0"/>
    <n v="0"/>
    <x v="0"/>
    <x v="0"/>
    <m/>
    <x v="0"/>
    <x v="0"/>
    <x v="0"/>
    <x v="0"/>
    <x v="0"/>
    <n v="0"/>
    <n v="0"/>
    <n v="0"/>
    <n v="12"/>
    <x v="1"/>
    <x v="0"/>
    <m/>
    <x v="0"/>
    <n v="52"/>
    <x v="0"/>
    <x v="35"/>
    <x v="18"/>
    <x v="0"/>
    <x v="0"/>
  </r>
  <r>
    <x v="0"/>
    <x v="9"/>
    <s v="8498 J"/>
    <x v="301"/>
    <s v="Waqas Wollan Mills Gujranwala"/>
    <s v="LDN"/>
    <n v="10"/>
    <s v="7.5-8"/>
    <s v="LDN"/>
    <n v="300"/>
    <x v="1"/>
    <n v="1"/>
    <n v="62"/>
    <n v="1.2"/>
    <m/>
    <x v="0"/>
    <n v="60.8"/>
    <n v="303.29999999999995"/>
    <m/>
    <x v="0"/>
    <x v="0"/>
    <n v="0"/>
    <n v="0"/>
    <x v="0"/>
    <x v="0"/>
    <m/>
    <x v="0"/>
    <x v="0"/>
    <x v="0"/>
    <x v="0"/>
    <x v="0"/>
    <n v="0"/>
    <n v="0"/>
    <n v="0"/>
    <n v="12"/>
    <x v="1"/>
    <x v="0"/>
    <m/>
    <x v="0"/>
    <n v="67"/>
    <x v="0"/>
    <x v="35"/>
    <x v="18"/>
    <x v="0"/>
    <x v="0"/>
  </r>
  <r>
    <x v="0"/>
    <x v="9"/>
    <s v="8614 J"/>
    <x v="301"/>
    <s v="Jilani Poly Stock"/>
    <s v="LDN"/>
    <n v="6"/>
    <n v="10"/>
    <s v="LDN"/>
    <n v="0"/>
    <x v="1"/>
    <n v="2"/>
    <n v="68"/>
    <n v="1.2"/>
    <n v="2"/>
    <x v="0"/>
    <n v="66.8"/>
    <n v="580.20000000000005"/>
    <n v="5"/>
    <x v="0"/>
    <x v="0"/>
    <n v="5"/>
    <n v="8.3333333333333329E-2"/>
    <x v="0"/>
    <x v="0"/>
    <m/>
    <x v="0"/>
    <x v="0"/>
    <x v="0"/>
    <x v="0"/>
    <x v="0"/>
    <n v="0"/>
    <n v="0"/>
    <n v="8.3333333333333329E-2"/>
    <n v="11.916666666666666"/>
    <x v="1"/>
    <x v="0"/>
    <m/>
    <x v="0"/>
    <n v="73"/>
    <x v="0"/>
    <x v="35"/>
    <x v="18"/>
    <x v="0"/>
    <x v="0"/>
  </r>
  <r>
    <x v="1"/>
    <x v="9"/>
    <s v="8614 J"/>
    <x v="301"/>
    <s v="Jilani Poly Stock"/>
    <s v="LDN"/>
    <n v="6"/>
    <n v="10"/>
    <s v="LDN"/>
    <n v="0"/>
    <x v="1"/>
    <n v="3"/>
    <n v="152.5"/>
    <n v="2.4000000000000004"/>
    <m/>
    <x v="0"/>
    <n v="150.1"/>
    <n v="580.20000000000005"/>
    <m/>
    <x v="0"/>
    <x v="0"/>
    <n v="0"/>
    <n v="0"/>
    <x v="0"/>
    <x v="0"/>
    <m/>
    <x v="0"/>
    <x v="0"/>
    <x v="0"/>
    <x v="0"/>
    <x v="0"/>
    <n v="0"/>
    <n v="0"/>
    <n v="0"/>
    <n v="12"/>
    <x v="1"/>
    <x v="0"/>
    <m/>
    <x v="0"/>
    <n v="157.5"/>
    <x v="0"/>
    <x v="35"/>
    <x v="18"/>
    <x v="0"/>
    <x v="0"/>
  </r>
  <r>
    <x v="0"/>
    <x v="11"/>
    <s v="8673 J"/>
    <x v="301"/>
    <s v="RMC PACK"/>
    <s v="LD کریم"/>
    <s v="10+3+3"/>
    <s v="7.5-15"/>
    <s v="LDM"/>
    <n v="200"/>
    <x v="1"/>
    <n v="1"/>
    <n v="29"/>
    <n v="1.2"/>
    <m/>
    <x v="0"/>
    <n v="27.8"/>
    <n v="202.7"/>
    <m/>
    <x v="0"/>
    <x v="0"/>
    <n v="0"/>
    <n v="0"/>
    <x v="0"/>
    <x v="0"/>
    <m/>
    <x v="0"/>
    <x v="0"/>
    <x v="0"/>
    <x v="0"/>
    <x v="0"/>
    <n v="0"/>
    <n v="0"/>
    <n v="0"/>
    <n v="12"/>
    <x v="1"/>
    <x v="0"/>
    <m/>
    <x v="0"/>
    <n v="34"/>
    <x v="0"/>
    <x v="35"/>
    <x v="18"/>
    <x v="0"/>
    <x v="0"/>
  </r>
  <r>
    <x v="0"/>
    <x v="11"/>
    <m/>
    <x v="301"/>
    <s v="SAMPLE"/>
    <m/>
    <m/>
    <m/>
    <m/>
    <m/>
    <x v="1"/>
    <n v="1"/>
    <n v="6.5"/>
    <n v="0.9"/>
    <n v="36"/>
    <x v="0"/>
    <n v="5.6"/>
    <n v="0"/>
    <m/>
    <x v="0"/>
    <x v="0"/>
    <n v="0"/>
    <n v="0"/>
    <x v="0"/>
    <x v="0"/>
    <m/>
    <x v="0"/>
    <x v="8"/>
    <x v="0"/>
    <x v="0"/>
    <x v="6"/>
    <n v="70"/>
    <n v="1.1666666666666667"/>
    <n v="1.1666666666666667"/>
    <n v="10.833333333333334"/>
    <x v="1"/>
    <x v="0"/>
    <m/>
    <x v="0"/>
    <n v="11.5"/>
    <x v="0"/>
    <x v="35"/>
    <x v="18"/>
    <x v="0"/>
    <x v="0"/>
  </r>
  <r>
    <x v="0"/>
    <x v="11"/>
    <s v="8672 J"/>
    <x v="301"/>
    <s v="RMC PACK"/>
    <s v="LD کریم"/>
    <s v="8.5+2.5+2.5"/>
    <s v="7.5-15"/>
    <s v="LDM"/>
    <n v="200"/>
    <x v="1"/>
    <n v="6"/>
    <n v="213"/>
    <n v="4.95"/>
    <m/>
    <x v="0"/>
    <n v="208.05"/>
    <n v="208.05"/>
    <m/>
    <x v="0"/>
    <x v="0"/>
    <n v="0"/>
    <n v="0"/>
    <x v="0"/>
    <x v="0"/>
    <m/>
    <x v="0"/>
    <x v="0"/>
    <x v="0"/>
    <x v="0"/>
    <x v="0"/>
    <n v="0"/>
    <n v="0"/>
    <n v="0"/>
    <n v="12"/>
    <x v="1"/>
    <x v="0"/>
    <m/>
    <x v="0"/>
    <n v="218"/>
    <x v="0"/>
    <x v="35"/>
    <x v="18"/>
    <x v="0"/>
    <x v="0"/>
  </r>
  <r>
    <x v="0"/>
    <x v="12"/>
    <s v="2875/1"/>
    <x v="301"/>
    <s v="SITARA CHECMICAL"/>
    <s v="LDN"/>
    <s v="24-24.5"/>
    <s v="100±1"/>
    <s v="SL"/>
    <n v="5000"/>
    <x v="1"/>
    <n v="1"/>
    <n v="130"/>
    <n v="2.4"/>
    <m/>
    <x v="0"/>
    <n v="127.6"/>
    <n v="5072.5"/>
    <m/>
    <x v="0"/>
    <x v="0"/>
    <n v="0"/>
    <n v="0"/>
    <x v="0"/>
    <x v="0"/>
    <m/>
    <x v="0"/>
    <x v="0"/>
    <x v="0"/>
    <x v="0"/>
    <x v="0"/>
    <n v="0"/>
    <n v="0"/>
    <n v="0"/>
    <n v="12"/>
    <x v="1"/>
    <x v="0"/>
    <m/>
    <x v="0"/>
    <n v="135"/>
    <x v="0"/>
    <x v="35"/>
    <x v="18"/>
    <x v="0"/>
    <x v="0"/>
  </r>
  <r>
    <x v="0"/>
    <x v="12"/>
    <s v="2873/1"/>
    <x v="301"/>
    <s v="MATCO FOOD"/>
    <s v="LDN"/>
    <s v="22.5-23"/>
    <s v="70±2"/>
    <s v="SL"/>
    <n v="3150"/>
    <x v="1"/>
    <n v="1"/>
    <n v="121"/>
    <n v="2.9"/>
    <m/>
    <x v="0"/>
    <n v="118.1"/>
    <n v="2435.6999999999998"/>
    <m/>
    <x v="0"/>
    <x v="0"/>
    <n v="0"/>
    <n v="0"/>
    <x v="0"/>
    <x v="0"/>
    <m/>
    <x v="0"/>
    <x v="0"/>
    <x v="0"/>
    <x v="0"/>
    <x v="0"/>
    <n v="0"/>
    <n v="0"/>
    <n v="0"/>
    <n v="12"/>
    <x v="1"/>
    <x v="0"/>
    <m/>
    <x v="0"/>
    <n v="126"/>
    <x v="0"/>
    <x v="35"/>
    <x v="18"/>
    <x v="0"/>
    <x v="0"/>
  </r>
  <r>
    <x v="0"/>
    <x v="12"/>
    <s v="8641 J"/>
    <x v="301"/>
    <s v="Usman Arif Butt Gujranwala"/>
    <s v="LDN"/>
    <n v="24"/>
    <s v="14"/>
    <s v="LDN"/>
    <n v="100"/>
    <x v="1"/>
    <n v="1"/>
    <n v="104"/>
    <n v="2.4"/>
    <m/>
    <x v="0"/>
    <n v="101.6"/>
    <n v="101.6"/>
    <m/>
    <x v="0"/>
    <x v="0"/>
    <n v="0"/>
    <n v="0"/>
    <x v="0"/>
    <x v="0"/>
    <m/>
    <x v="0"/>
    <x v="0"/>
    <x v="0"/>
    <x v="0"/>
    <x v="0"/>
    <n v="0"/>
    <n v="0"/>
    <n v="0"/>
    <n v="12"/>
    <x v="1"/>
    <x v="0"/>
    <m/>
    <x v="0"/>
    <n v="109"/>
    <x v="0"/>
    <x v="35"/>
    <x v="18"/>
    <x v="0"/>
    <x v="0"/>
  </r>
  <r>
    <x v="0"/>
    <x v="12"/>
    <s v="3228 F"/>
    <x v="301"/>
    <s v="Usman Amin"/>
    <s v="LDN"/>
    <s v="14+6+6"/>
    <s v="8-8.8/16.17"/>
    <s v="LDN"/>
    <n v="80"/>
    <x v="1"/>
    <n v="1"/>
    <n v="39.5"/>
    <n v="1.9"/>
    <m/>
    <x v="0"/>
    <n v="37.6"/>
    <n v="37.6"/>
    <m/>
    <x v="0"/>
    <x v="0"/>
    <n v="0"/>
    <n v="0"/>
    <x v="0"/>
    <x v="0"/>
    <m/>
    <x v="0"/>
    <x v="0"/>
    <x v="0"/>
    <x v="0"/>
    <x v="0"/>
    <n v="0"/>
    <n v="0"/>
    <n v="0"/>
    <n v="12"/>
    <x v="1"/>
    <x v="0"/>
    <m/>
    <x v="0"/>
    <n v="44.5"/>
    <x v="0"/>
    <x v="35"/>
    <x v="18"/>
    <x v="0"/>
    <x v="0"/>
  </r>
  <r>
    <x v="0"/>
    <x v="12"/>
    <s v="8710 J"/>
    <x v="301"/>
    <s v="Dimond Tast and Health Pvt Ltd"/>
    <s v="LDN"/>
    <n v="20"/>
    <s v="15"/>
    <s v="LDN"/>
    <n v="1000"/>
    <x v="1"/>
    <n v="1"/>
    <n v="94.5"/>
    <n v="2"/>
    <n v="36"/>
    <x v="0"/>
    <n v="92.5"/>
    <n v="1012.4999999999999"/>
    <m/>
    <x v="0"/>
    <x v="0"/>
    <n v="0"/>
    <n v="0"/>
    <x v="0"/>
    <x v="0"/>
    <n v="60"/>
    <x v="0"/>
    <x v="0"/>
    <x v="0"/>
    <x v="3"/>
    <x v="0"/>
    <n v="90"/>
    <n v="1.5"/>
    <n v="1.5"/>
    <n v="10.5"/>
    <x v="1"/>
    <x v="0"/>
    <m/>
    <x v="0"/>
    <n v="99.5"/>
    <x v="0"/>
    <x v="35"/>
    <x v="18"/>
    <x v="0"/>
    <x v="0"/>
  </r>
  <r>
    <x v="1"/>
    <x v="12"/>
    <s v="8710 J"/>
    <x v="301"/>
    <s v="Dimond Tast and Health Pvt Ltd"/>
    <s v="LDN"/>
    <n v="20"/>
    <s v="15"/>
    <s v="LDN"/>
    <n v="1000"/>
    <x v="1"/>
    <n v="5"/>
    <n v="540.09999999999991"/>
    <n v="10"/>
    <m/>
    <x v="0"/>
    <n v="530.09999999999991"/>
    <n v="1012.4999999999999"/>
    <m/>
    <x v="0"/>
    <x v="0"/>
    <n v="0"/>
    <n v="0"/>
    <x v="0"/>
    <x v="0"/>
    <m/>
    <x v="0"/>
    <x v="0"/>
    <x v="0"/>
    <x v="0"/>
    <x v="0"/>
    <n v="0"/>
    <n v="0"/>
    <n v="0"/>
    <n v="12"/>
    <x v="1"/>
    <x v="0"/>
    <m/>
    <x v="0"/>
    <n v="545.09999999999991"/>
    <x v="0"/>
    <x v="35"/>
    <x v="18"/>
    <x v="0"/>
    <x v="0"/>
  </r>
  <r>
    <x v="0"/>
    <x v="15"/>
    <s v="3074 F"/>
    <x v="301"/>
    <s v="Usman Amin"/>
    <s v="LDN"/>
    <n v="18"/>
    <s v="5-5.5"/>
    <s v="LDN"/>
    <n v="500"/>
    <x v="1"/>
    <n v="7"/>
    <n v="375"/>
    <n v="12.7"/>
    <n v="4"/>
    <x v="0"/>
    <n v="362.3"/>
    <n v="474.8"/>
    <n v="5"/>
    <x v="0"/>
    <x v="0"/>
    <n v="5"/>
    <n v="8.3333333333333329E-2"/>
    <x v="0"/>
    <x v="0"/>
    <m/>
    <x v="0"/>
    <x v="0"/>
    <x v="0"/>
    <x v="0"/>
    <x v="0"/>
    <n v="0"/>
    <n v="0"/>
    <n v="8.3333333333333329E-2"/>
    <n v="11.916666666666666"/>
    <x v="1"/>
    <x v="0"/>
    <m/>
    <x v="0"/>
    <n v="380"/>
    <x v="0"/>
    <x v="35"/>
    <x v="18"/>
    <x v="0"/>
    <x v="0"/>
  </r>
  <r>
    <x v="1"/>
    <x v="15"/>
    <s v="3074 F"/>
    <x v="301"/>
    <s v="Usman Amin"/>
    <s v="LDN"/>
    <n v="18"/>
    <s v="5-5.5"/>
    <s v="LDN"/>
    <n v="500"/>
    <x v="1"/>
    <n v="2"/>
    <n v="70"/>
    <n v="3"/>
    <n v="41"/>
    <x v="0"/>
    <n v="67"/>
    <n v="474.8"/>
    <m/>
    <x v="0"/>
    <x v="0"/>
    <n v="0"/>
    <n v="0"/>
    <x v="0"/>
    <x v="0"/>
    <m/>
    <x v="0"/>
    <x v="0"/>
    <x v="0"/>
    <x v="0"/>
    <x v="0"/>
    <n v="0"/>
    <n v="0"/>
    <n v="0"/>
    <n v="12"/>
    <x v="1"/>
    <x v="0"/>
    <m/>
    <x v="0"/>
    <n v="75"/>
    <x v="0"/>
    <x v="35"/>
    <x v="18"/>
    <x v="0"/>
    <x v="0"/>
  </r>
  <r>
    <x v="1"/>
    <x v="15"/>
    <s v="3231 F"/>
    <x v="301"/>
    <s v="Usman Amin"/>
    <s v="LDN"/>
    <s v="16 SHEET"/>
    <s v="3-3.25/6-6.5"/>
    <s v="LDN"/>
    <n v="400"/>
    <x v="1"/>
    <n v="4"/>
    <n v="271.5"/>
    <n v="4.4000000000000004"/>
    <m/>
    <x v="0"/>
    <n v="267.10000000000002"/>
    <n v="426"/>
    <m/>
    <x v="0"/>
    <x v="0"/>
    <n v="0"/>
    <n v="0"/>
    <x v="0"/>
    <x v="0"/>
    <m/>
    <x v="0"/>
    <x v="0"/>
    <x v="0"/>
    <x v="0"/>
    <x v="0"/>
    <n v="0"/>
    <n v="0"/>
    <n v="0"/>
    <n v="12"/>
    <x v="1"/>
    <x v="0"/>
    <m/>
    <x v="0"/>
    <n v="276.5"/>
    <x v="0"/>
    <x v="35"/>
    <x v="18"/>
    <x v="0"/>
    <x v="0"/>
  </r>
  <r>
    <x v="0"/>
    <x v="9"/>
    <s v="8614 J"/>
    <x v="302"/>
    <s v="Jilani Poly Stock"/>
    <s v="LDN"/>
    <n v="6"/>
    <n v="10"/>
    <s v="LDN"/>
    <n v="0"/>
    <x v="1"/>
    <n v="3"/>
    <n v="131.5"/>
    <n v="1.7999999999999998"/>
    <m/>
    <x v="0"/>
    <n v="129.69999999999999"/>
    <n v="580.20000000000005"/>
    <m/>
    <x v="0"/>
    <x v="0"/>
    <n v="0"/>
    <n v="0"/>
    <x v="0"/>
    <x v="0"/>
    <m/>
    <x v="0"/>
    <x v="0"/>
    <x v="0"/>
    <x v="0"/>
    <x v="0"/>
    <n v="0"/>
    <n v="0"/>
    <n v="0"/>
    <n v="12"/>
    <x v="1"/>
    <x v="0"/>
    <m/>
    <x v="0"/>
    <n v="136.5"/>
    <x v="0"/>
    <x v="35"/>
    <x v="18"/>
    <x v="0"/>
    <x v="0"/>
  </r>
  <r>
    <x v="1"/>
    <x v="9"/>
    <s v="8614 J"/>
    <x v="302"/>
    <s v="Jilani Poly Stock"/>
    <s v="LDN"/>
    <n v="6"/>
    <n v="10"/>
    <s v="LDN"/>
    <n v="0"/>
    <x v="1"/>
    <n v="2"/>
    <n v="52.4"/>
    <n v="1.6"/>
    <m/>
    <x v="0"/>
    <n v="50.8"/>
    <n v="580.20000000000005"/>
    <m/>
    <x v="0"/>
    <x v="0"/>
    <n v="0"/>
    <n v="0"/>
    <x v="0"/>
    <x v="0"/>
    <m/>
    <x v="0"/>
    <x v="0"/>
    <x v="0"/>
    <x v="0"/>
    <x v="0"/>
    <n v="0"/>
    <n v="0"/>
    <n v="0"/>
    <n v="12"/>
    <x v="1"/>
    <x v="0"/>
    <m/>
    <x v="0"/>
    <n v="57.4"/>
    <x v="0"/>
    <x v="35"/>
    <x v="18"/>
    <x v="0"/>
    <x v="0"/>
  </r>
  <r>
    <x v="1"/>
    <x v="9"/>
    <s v="8517 J"/>
    <x v="302"/>
    <s v="Niswar Center Butkhela"/>
    <s v="LDN"/>
    <n v="9"/>
    <s v="6.5-7"/>
    <s v="LDN"/>
    <n v="100"/>
    <x v="1"/>
    <n v="2"/>
    <n v="104"/>
    <n v="2.2000000000000002"/>
    <n v="4"/>
    <x v="0"/>
    <n v="101.8"/>
    <n v="101.8"/>
    <m/>
    <x v="0"/>
    <x v="0"/>
    <n v="0"/>
    <n v="0"/>
    <x v="0"/>
    <x v="0"/>
    <m/>
    <x v="0"/>
    <x v="0"/>
    <x v="0"/>
    <x v="0"/>
    <x v="0"/>
    <n v="0"/>
    <n v="0"/>
    <n v="0"/>
    <n v="12"/>
    <x v="1"/>
    <x v="0"/>
    <m/>
    <x v="0"/>
    <n v="109"/>
    <x v="0"/>
    <x v="35"/>
    <x v="18"/>
    <x v="0"/>
    <x v="0"/>
  </r>
  <r>
    <x v="1"/>
    <x v="11"/>
    <s v="8485 J"/>
    <x v="302"/>
    <s v="Ahmed Miss Print Sheikhupura"/>
    <s v="LDرنگدار"/>
    <n v="18"/>
    <s v="13-14"/>
    <s v="LDM"/>
    <n v="900"/>
    <x v="1"/>
    <n v="3"/>
    <n v="168"/>
    <n v="4.5"/>
    <n v="20"/>
    <x v="0"/>
    <n v="163.5"/>
    <n v="1105.5999999999999"/>
    <m/>
    <x v="9"/>
    <x v="0"/>
    <n v="240"/>
    <n v="4"/>
    <x v="0"/>
    <x v="0"/>
    <m/>
    <x v="0"/>
    <x v="0"/>
    <x v="0"/>
    <x v="0"/>
    <x v="0"/>
    <n v="0"/>
    <n v="0"/>
    <n v="4"/>
    <n v="8"/>
    <x v="1"/>
    <x v="0"/>
    <m/>
    <x v="0"/>
    <n v="173"/>
    <x v="0"/>
    <x v="35"/>
    <x v="18"/>
    <x v="0"/>
    <x v="0"/>
  </r>
  <r>
    <x v="0"/>
    <x v="12"/>
    <s v="8710 J"/>
    <x v="302"/>
    <s v="Dimond Tast and Health Pvt Ltd"/>
    <s v="LDN"/>
    <n v="20"/>
    <s v="15"/>
    <s v="LDN"/>
    <n v="1000"/>
    <x v="1"/>
    <n v="4"/>
    <n v="399.5"/>
    <n v="9.6"/>
    <m/>
    <x v="0"/>
    <n v="389.9"/>
    <n v="1012.4999999999999"/>
    <n v="5"/>
    <x v="0"/>
    <x v="0"/>
    <n v="5"/>
    <n v="8.3333333333333329E-2"/>
    <x v="0"/>
    <x v="0"/>
    <m/>
    <x v="0"/>
    <x v="6"/>
    <x v="0"/>
    <x v="0"/>
    <x v="0"/>
    <n v="30"/>
    <n v="0.5"/>
    <n v="0.58333333333333337"/>
    <n v="11.416666666666666"/>
    <x v="1"/>
    <x v="0"/>
    <m/>
    <x v="0"/>
    <n v="404.5"/>
    <x v="0"/>
    <x v="35"/>
    <x v="18"/>
    <x v="0"/>
    <x v="0"/>
  </r>
  <r>
    <x v="0"/>
    <x v="12"/>
    <s v="3234 F"/>
    <x v="302"/>
    <s v="Usman Amin"/>
    <s v="LDN"/>
    <n v="16.75"/>
    <s v="7-7.5"/>
    <s v="LDN"/>
    <n v="920"/>
    <x v="1"/>
    <n v="2"/>
    <n v="77"/>
    <n v="4"/>
    <n v="40"/>
    <x v="0"/>
    <n v="73"/>
    <n v="244.6"/>
    <n v="5"/>
    <x v="0"/>
    <x v="0"/>
    <n v="5"/>
    <n v="8.3333333333333329E-2"/>
    <x v="0"/>
    <x v="0"/>
    <m/>
    <x v="0"/>
    <x v="0"/>
    <x v="0"/>
    <x v="0"/>
    <x v="0"/>
    <n v="0"/>
    <n v="0"/>
    <n v="8.3333333333333329E-2"/>
    <n v="11.916666666666666"/>
    <x v="1"/>
    <x v="0"/>
    <m/>
    <x v="0"/>
    <n v="82"/>
    <x v="0"/>
    <x v="35"/>
    <x v="18"/>
    <x v="0"/>
    <x v="0"/>
  </r>
  <r>
    <x v="1"/>
    <x v="12"/>
    <s v="3234 F"/>
    <x v="302"/>
    <s v="Usman Amin"/>
    <s v="LDN"/>
    <n v="16.75"/>
    <s v="7-7.5"/>
    <s v="LDN"/>
    <n v="920"/>
    <x v="1"/>
    <n v="5"/>
    <n v="180.6"/>
    <n v="9"/>
    <n v="10"/>
    <x v="0"/>
    <n v="171.6"/>
    <n v="244.6"/>
    <n v="5"/>
    <x v="0"/>
    <x v="0"/>
    <n v="5"/>
    <n v="8.3333333333333329E-2"/>
    <x v="0"/>
    <x v="0"/>
    <m/>
    <x v="0"/>
    <x v="0"/>
    <x v="0"/>
    <x v="0"/>
    <x v="0"/>
    <n v="0"/>
    <n v="0"/>
    <n v="8.3333333333333329E-2"/>
    <n v="11.916666666666666"/>
    <x v="1"/>
    <x v="0"/>
    <m/>
    <x v="0"/>
    <n v="185.6"/>
    <x v="0"/>
    <x v="35"/>
    <x v="18"/>
    <x v="0"/>
    <x v="0"/>
  </r>
  <r>
    <x v="1"/>
    <x v="12"/>
    <s v="3242 F"/>
    <x v="302"/>
    <s v="Usman Amin"/>
    <s v="LDN"/>
    <n v="16"/>
    <s v="8"/>
    <s v="LDN"/>
    <n v="320"/>
    <x v="1"/>
    <n v="1"/>
    <n v="68"/>
    <n v="1.9"/>
    <m/>
    <x v="0"/>
    <n v="66.099999999999994"/>
    <n v="341.3"/>
    <m/>
    <x v="0"/>
    <x v="0"/>
    <n v="0"/>
    <n v="0"/>
    <x v="0"/>
    <x v="0"/>
    <m/>
    <x v="0"/>
    <x v="0"/>
    <x v="0"/>
    <x v="0"/>
    <x v="0"/>
    <n v="0"/>
    <n v="0"/>
    <n v="0"/>
    <n v="12"/>
    <x v="1"/>
    <x v="0"/>
    <m/>
    <x v="0"/>
    <n v="73"/>
    <x v="0"/>
    <x v="35"/>
    <x v="18"/>
    <x v="0"/>
    <x v="0"/>
  </r>
  <r>
    <x v="1"/>
    <x v="12"/>
    <s v="3251 F"/>
    <x v="302"/>
    <s v="Usman Amin"/>
    <s v="LDN"/>
    <n v="15"/>
    <s v="5-5.5"/>
    <s v="LDN"/>
    <n v="180"/>
    <x v="1"/>
    <n v="5"/>
    <n v="194"/>
    <n v="8.5"/>
    <m/>
    <x v="0"/>
    <n v="185.5"/>
    <n v="185.5"/>
    <m/>
    <x v="0"/>
    <x v="0"/>
    <n v="0"/>
    <n v="0"/>
    <x v="0"/>
    <x v="0"/>
    <m/>
    <x v="0"/>
    <x v="0"/>
    <x v="0"/>
    <x v="0"/>
    <x v="0"/>
    <n v="0"/>
    <n v="0"/>
    <n v="0"/>
    <n v="12"/>
    <x v="1"/>
    <x v="0"/>
    <m/>
    <x v="0"/>
    <n v="199"/>
    <x v="0"/>
    <x v="35"/>
    <x v="18"/>
    <x v="0"/>
    <x v="0"/>
  </r>
  <r>
    <x v="0"/>
    <x v="15"/>
    <s v="3231 F"/>
    <x v="302"/>
    <s v="Usman Amin"/>
    <s v="LDN"/>
    <s v="16 SHEET"/>
    <s v="3-3.25/6-6.5"/>
    <s v="LDN"/>
    <n v="400"/>
    <x v="1"/>
    <n v="3"/>
    <n v="164"/>
    <n v="5.0999999999999996"/>
    <m/>
    <x v="0"/>
    <n v="158.9"/>
    <n v="426"/>
    <m/>
    <x v="0"/>
    <x v="0"/>
    <n v="0"/>
    <n v="0"/>
    <x v="0"/>
    <x v="0"/>
    <m/>
    <x v="0"/>
    <x v="0"/>
    <x v="0"/>
    <x v="0"/>
    <x v="0"/>
    <n v="0"/>
    <n v="0"/>
    <n v="0"/>
    <n v="12"/>
    <x v="1"/>
    <x v="0"/>
    <m/>
    <x v="0"/>
    <n v="169"/>
    <x v="0"/>
    <x v="35"/>
    <x v="18"/>
    <x v="0"/>
    <x v="0"/>
  </r>
  <r>
    <x v="0"/>
    <x v="15"/>
    <s v="8711 J"/>
    <x v="302"/>
    <s v="Dewan Food Lahore"/>
    <s v="LDN"/>
    <n v="15"/>
    <s v="10-11"/>
    <s v="LDN"/>
    <n v="100"/>
    <x v="1"/>
    <n v="2"/>
    <n v="108"/>
    <n v="3.4"/>
    <n v="10"/>
    <x v="0"/>
    <n v="104.6"/>
    <n v="104.6"/>
    <m/>
    <x v="0"/>
    <x v="0"/>
    <n v="0"/>
    <n v="0"/>
    <x v="0"/>
    <x v="0"/>
    <m/>
    <x v="0"/>
    <x v="0"/>
    <x v="0"/>
    <x v="0"/>
    <x v="0"/>
    <n v="0"/>
    <n v="0"/>
    <n v="0"/>
    <n v="12"/>
    <x v="1"/>
    <x v="0"/>
    <m/>
    <x v="0"/>
    <n v="113"/>
    <x v="0"/>
    <x v="35"/>
    <x v="18"/>
    <x v="0"/>
    <x v="0"/>
  </r>
  <r>
    <x v="1"/>
    <x v="15"/>
    <s v="2884/1"/>
    <x v="302"/>
    <s v="C/O IMRAN KHAN"/>
    <s v="LDN"/>
    <n v="28"/>
    <s v="16-17"/>
    <s v="SL"/>
    <n v="500"/>
    <x v="1"/>
    <n v="7"/>
    <n v="607"/>
    <n v="22.400000000000002"/>
    <n v="30"/>
    <x v="0"/>
    <n v="584.6"/>
    <n v="584.6"/>
    <m/>
    <x v="0"/>
    <x v="0"/>
    <n v="0"/>
    <n v="0"/>
    <x v="0"/>
    <x v="0"/>
    <m/>
    <x v="0"/>
    <x v="0"/>
    <x v="0"/>
    <x v="0"/>
    <x v="0"/>
    <n v="0"/>
    <n v="0"/>
    <n v="0"/>
    <n v="12"/>
    <x v="1"/>
    <x v="0"/>
    <m/>
    <x v="0"/>
    <n v="612"/>
    <x v="0"/>
    <x v="35"/>
    <x v="18"/>
    <x v="0"/>
    <x v="0"/>
  </r>
  <r>
    <x v="1"/>
    <x v="15"/>
    <s v="3246 F"/>
    <x v="302"/>
    <s v="Usman Amin"/>
    <s v="LDN"/>
    <n v="18"/>
    <s v="8"/>
    <s v="LDN"/>
    <n v="50"/>
    <x v="1"/>
    <n v="1"/>
    <n v="50"/>
    <n v="2.2999999999999998"/>
    <m/>
    <x v="0"/>
    <n v="47.7"/>
    <n v="103.6"/>
    <m/>
    <x v="0"/>
    <x v="0"/>
    <n v="0"/>
    <n v="0"/>
    <x v="0"/>
    <x v="0"/>
    <m/>
    <x v="0"/>
    <x v="0"/>
    <x v="0"/>
    <x v="0"/>
    <x v="0"/>
    <n v="0"/>
    <n v="0"/>
    <n v="0"/>
    <n v="12"/>
    <x v="1"/>
    <x v="0"/>
    <m/>
    <x v="0"/>
    <n v="55"/>
    <x v="0"/>
    <x v="35"/>
    <x v="18"/>
    <x v="0"/>
    <x v="0"/>
  </r>
  <r>
    <x v="0"/>
    <x v="9"/>
    <s v="8709 J"/>
    <x v="303"/>
    <s v="Adam Jee Dura Duct Built PVT LTD"/>
    <s v="LDN"/>
    <n v="13"/>
    <s v="15-16"/>
    <s v="LDN"/>
    <n v="200"/>
    <x v="1"/>
    <n v="4"/>
    <n v="207"/>
    <n v="5.2"/>
    <m/>
    <x v="0"/>
    <n v="201.8"/>
    <n v="201.8"/>
    <m/>
    <x v="0"/>
    <x v="0"/>
    <n v="0"/>
    <n v="0"/>
    <x v="0"/>
    <x v="0"/>
    <m/>
    <x v="0"/>
    <x v="0"/>
    <x v="0"/>
    <x v="0"/>
    <x v="0"/>
    <n v="0"/>
    <n v="0"/>
    <n v="0"/>
    <n v="12"/>
    <x v="1"/>
    <x v="0"/>
    <m/>
    <x v="0"/>
    <n v="212"/>
    <x v="0"/>
    <x v="35"/>
    <x v="18"/>
    <x v="0"/>
    <x v="0"/>
  </r>
  <r>
    <x v="1"/>
    <x v="9"/>
    <s v="8634 J"/>
    <x v="303"/>
    <s v="Shah Jee Achar Mardan"/>
    <s v="LDN"/>
    <n v="6"/>
    <s v="18"/>
    <s v="LDN"/>
    <n v="100"/>
    <x v="1"/>
    <n v="3"/>
    <n v="122"/>
    <n v="2.8"/>
    <n v="3"/>
    <x v="0"/>
    <n v="119.2"/>
    <n v="119.2"/>
    <n v="3"/>
    <x v="0"/>
    <x v="0"/>
    <n v="3"/>
    <n v="0.05"/>
    <x v="0"/>
    <x v="0"/>
    <m/>
    <x v="0"/>
    <x v="0"/>
    <x v="0"/>
    <x v="0"/>
    <x v="0"/>
    <n v="0"/>
    <n v="0"/>
    <n v="0.05"/>
    <n v="11.95"/>
    <x v="1"/>
    <x v="0"/>
    <m/>
    <x v="0"/>
    <n v="127"/>
    <x v="0"/>
    <x v="35"/>
    <x v="18"/>
    <x v="0"/>
    <x v="0"/>
  </r>
  <r>
    <x v="0"/>
    <x v="11"/>
    <s v="8736 J"/>
    <x v="303"/>
    <s v="Ahmed Miss Print Sheikhupura"/>
    <s v="LDرنگدار"/>
    <n v="15"/>
    <s v="14-15"/>
    <s v="LDM"/>
    <n v="300"/>
    <x v="1"/>
    <n v="3"/>
    <n v="133"/>
    <n v="4.5"/>
    <m/>
    <x v="0"/>
    <n v="128.5"/>
    <n v="251.8"/>
    <n v="10"/>
    <x v="0"/>
    <x v="0"/>
    <n v="10"/>
    <n v="0.16666666666666666"/>
    <x v="0"/>
    <x v="0"/>
    <m/>
    <x v="0"/>
    <x v="0"/>
    <x v="0"/>
    <x v="0"/>
    <x v="0"/>
    <n v="0"/>
    <n v="0"/>
    <n v="0.16666666666666666"/>
    <n v="11.833333333333334"/>
    <x v="1"/>
    <x v="0"/>
    <m/>
    <x v="0"/>
    <n v="138"/>
    <x v="0"/>
    <x v="35"/>
    <x v="18"/>
    <x v="0"/>
    <x v="0"/>
  </r>
  <r>
    <x v="0"/>
    <x v="11"/>
    <s v="8674 J"/>
    <x v="303"/>
    <s v="RMC PACK"/>
    <s v="LDM"/>
    <n v="14"/>
    <s v="7.5-15"/>
    <s v="LDM"/>
    <n v="50"/>
    <x v="1"/>
    <n v="1"/>
    <n v="30.5"/>
    <n v="1.4"/>
    <m/>
    <x v="0"/>
    <n v="29.1"/>
    <n v="29.1"/>
    <n v="10"/>
    <x v="0"/>
    <x v="0"/>
    <n v="10"/>
    <n v="0.16666666666666666"/>
    <x v="0"/>
    <x v="0"/>
    <m/>
    <x v="0"/>
    <x v="0"/>
    <x v="0"/>
    <x v="0"/>
    <x v="0"/>
    <n v="0"/>
    <n v="0"/>
    <n v="0.16666666666666666"/>
    <n v="11.833333333333334"/>
    <x v="1"/>
    <x v="0"/>
    <m/>
    <x v="0"/>
    <n v="35.5"/>
    <x v="0"/>
    <x v="35"/>
    <x v="18"/>
    <x v="0"/>
    <x v="0"/>
  </r>
  <r>
    <x v="0"/>
    <x v="11"/>
    <m/>
    <x v="303"/>
    <s v="-"/>
    <s v="LDM"/>
    <n v="15"/>
    <s v="7.5"/>
    <m/>
    <m/>
    <x v="1"/>
    <n v="1"/>
    <n v="36.5"/>
    <n v="1.5"/>
    <m/>
    <x v="0"/>
    <n v="35"/>
    <n v="0"/>
    <n v="10"/>
    <x v="0"/>
    <x v="0"/>
    <n v="10"/>
    <n v="0.16666666666666666"/>
    <x v="0"/>
    <x v="0"/>
    <m/>
    <x v="0"/>
    <x v="0"/>
    <x v="0"/>
    <x v="0"/>
    <x v="0"/>
    <n v="0"/>
    <n v="0"/>
    <n v="0.16666666666666666"/>
    <n v="11.833333333333334"/>
    <x v="1"/>
    <x v="0"/>
    <m/>
    <x v="0"/>
    <n v="41.5"/>
    <x v="0"/>
    <x v="35"/>
    <x v="18"/>
    <x v="0"/>
    <x v="0"/>
  </r>
  <r>
    <x v="0"/>
    <x v="11"/>
    <m/>
    <x v="303"/>
    <s v="-"/>
    <s v="LDM"/>
    <n v="13"/>
    <s v="7.5"/>
    <m/>
    <m/>
    <x v="1"/>
    <n v="2"/>
    <n v="64"/>
    <n v="2.6"/>
    <m/>
    <x v="0"/>
    <n v="61.4"/>
    <n v="0"/>
    <n v="15"/>
    <x v="0"/>
    <x v="0"/>
    <n v="15"/>
    <n v="0.25"/>
    <x v="0"/>
    <x v="0"/>
    <m/>
    <x v="0"/>
    <x v="0"/>
    <x v="0"/>
    <x v="0"/>
    <x v="0"/>
    <n v="0"/>
    <n v="0"/>
    <n v="0.25"/>
    <n v="11.75"/>
    <x v="1"/>
    <x v="0"/>
    <m/>
    <x v="0"/>
    <n v="69"/>
    <x v="0"/>
    <x v="35"/>
    <x v="18"/>
    <x v="0"/>
    <x v="0"/>
  </r>
  <r>
    <x v="0"/>
    <x v="11"/>
    <s v="2883/1"/>
    <x v="303"/>
    <s v="HAJI ISMAIL PLASTIC VEHARI(PT-02)"/>
    <s v="LDM"/>
    <n v="7"/>
    <n v="10"/>
    <s v="SL"/>
    <n v="100"/>
    <x v="1"/>
    <n v="1"/>
    <n v="25.5"/>
    <n v="0.9"/>
    <n v="10"/>
    <x v="0"/>
    <n v="24.6"/>
    <n v="104.4"/>
    <m/>
    <x v="0"/>
    <x v="0"/>
    <n v="0"/>
    <n v="0"/>
    <x v="0"/>
    <x v="0"/>
    <m/>
    <x v="0"/>
    <x v="0"/>
    <x v="0"/>
    <x v="0"/>
    <x v="0"/>
    <n v="0"/>
    <n v="0"/>
    <n v="0"/>
    <n v="12"/>
    <x v="1"/>
    <x v="0"/>
    <m/>
    <x v="0"/>
    <n v="30.5"/>
    <x v="0"/>
    <x v="35"/>
    <x v="18"/>
    <x v="0"/>
    <x v="0"/>
  </r>
  <r>
    <x v="1"/>
    <x v="11"/>
    <s v="2883/1"/>
    <x v="303"/>
    <s v="HAJI ISMAIL PLASTIC VEHARI(PT-02)"/>
    <s v="LDM"/>
    <n v="7"/>
    <n v="10"/>
    <s v="SL"/>
    <n v="100"/>
    <x v="1"/>
    <n v="3"/>
    <n v="82.5"/>
    <n v="2.7"/>
    <n v="16"/>
    <x v="0"/>
    <n v="79.8"/>
    <n v="104.4"/>
    <n v="10"/>
    <x v="0"/>
    <x v="0"/>
    <n v="10"/>
    <n v="0.16666666666666666"/>
    <x v="0"/>
    <x v="0"/>
    <m/>
    <x v="0"/>
    <x v="0"/>
    <x v="0"/>
    <x v="0"/>
    <x v="0"/>
    <n v="0"/>
    <n v="0"/>
    <n v="0.16666666666666666"/>
    <n v="11.833333333333334"/>
    <x v="1"/>
    <x v="0"/>
    <m/>
    <x v="0"/>
    <n v="87.5"/>
    <x v="0"/>
    <x v="35"/>
    <x v="18"/>
    <x v="0"/>
    <x v="0"/>
  </r>
  <r>
    <x v="1"/>
    <x v="11"/>
    <s v="8655 J"/>
    <x v="303"/>
    <s v="Tota Traders Mingora Swat"/>
    <s v="LDM"/>
    <n v="15"/>
    <s v="13-14"/>
    <s v="LDM"/>
    <n v="100"/>
    <x v="1"/>
    <n v="2"/>
    <n v="97"/>
    <n v="3.4"/>
    <m/>
    <x v="0"/>
    <n v="93.6"/>
    <n v="93.6"/>
    <n v="10"/>
    <x v="0"/>
    <x v="0"/>
    <n v="10"/>
    <n v="0.16666666666666666"/>
    <x v="0"/>
    <x v="0"/>
    <m/>
    <x v="0"/>
    <x v="0"/>
    <x v="0"/>
    <x v="0"/>
    <x v="0"/>
    <n v="0"/>
    <n v="0"/>
    <n v="0.16666666666666666"/>
    <n v="11.833333333333334"/>
    <x v="1"/>
    <x v="0"/>
    <m/>
    <x v="0"/>
    <n v="102"/>
    <x v="0"/>
    <x v="35"/>
    <x v="18"/>
    <x v="0"/>
    <x v="0"/>
  </r>
  <r>
    <x v="1"/>
    <x v="11"/>
    <s v="8656 J"/>
    <x v="303"/>
    <s v="Tota Traders Mingora Swat"/>
    <s v="LDM"/>
    <n v="18"/>
    <s v="14-15"/>
    <s v="LDM"/>
    <n v="100"/>
    <x v="1"/>
    <n v="2"/>
    <n v="119"/>
    <n v="4.2"/>
    <m/>
    <x v="0"/>
    <n v="114.8"/>
    <n v="114.8"/>
    <n v="15"/>
    <x v="0"/>
    <x v="0"/>
    <n v="15"/>
    <n v="0.25"/>
    <x v="0"/>
    <x v="0"/>
    <m/>
    <x v="0"/>
    <x v="0"/>
    <x v="0"/>
    <x v="0"/>
    <x v="0"/>
    <n v="0"/>
    <n v="0"/>
    <n v="0.25"/>
    <n v="11.75"/>
    <x v="1"/>
    <x v="0"/>
    <m/>
    <x v="0"/>
    <n v="124"/>
    <x v="0"/>
    <x v="35"/>
    <x v="18"/>
    <x v="0"/>
    <x v="0"/>
  </r>
  <r>
    <x v="1"/>
    <x v="11"/>
    <s v="8657 J"/>
    <x v="303"/>
    <s v="Tota Traders Mingora Swat"/>
    <s v="LDM"/>
    <n v="20"/>
    <s v="15-16"/>
    <s v="LDM"/>
    <n v="100"/>
    <x v="1"/>
    <n v="1"/>
    <n v="107"/>
    <n v="2.4"/>
    <m/>
    <x v="0"/>
    <n v="104.6"/>
    <n v="104.6"/>
    <m/>
    <x v="0"/>
    <x v="0"/>
    <n v="0"/>
    <n v="0"/>
    <x v="0"/>
    <x v="0"/>
    <m/>
    <x v="0"/>
    <x v="0"/>
    <x v="0"/>
    <x v="0"/>
    <x v="0"/>
    <n v="0"/>
    <n v="0"/>
    <n v="0"/>
    <n v="12"/>
    <x v="1"/>
    <x v="0"/>
    <m/>
    <x v="0"/>
    <n v="112"/>
    <x v="0"/>
    <x v="35"/>
    <x v="18"/>
    <x v="0"/>
    <x v="0"/>
  </r>
  <r>
    <x v="0"/>
    <x v="12"/>
    <s v="3242 F"/>
    <x v="303"/>
    <s v="Usman Amin"/>
    <s v="LDN"/>
    <n v="16"/>
    <s v="8"/>
    <s v="LDN"/>
    <n v="320"/>
    <x v="1"/>
    <n v="2"/>
    <n v="103"/>
    <n v="6.1"/>
    <m/>
    <x v="0"/>
    <n v="96.9"/>
    <n v="341.3"/>
    <m/>
    <x v="0"/>
    <x v="0"/>
    <n v="0"/>
    <n v="0"/>
    <x v="0"/>
    <x v="0"/>
    <m/>
    <x v="0"/>
    <x v="0"/>
    <x v="0"/>
    <x v="0"/>
    <x v="0"/>
    <n v="0"/>
    <n v="0"/>
    <n v="0"/>
    <n v="12"/>
    <x v="1"/>
    <x v="0"/>
    <m/>
    <x v="0"/>
    <n v="108"/>
    <x v="0"/>
    <x v="35"/>
    <x v="18"/>
    <x v="0"/>
    <x v="0"/>
  </r>
  <r>
    <x v="0"/>
    <x v="12"/>
    <s v="3250 F"/>
    <x v="303"/>
    <s v="Usman Amin"/>
    <s v="LDN"/>
    <n v="13"/>
    <s v="5-5.5"/>
    <s v="LDN"/>
    <n v="90"/>
    <x v="1"/>
    <n v="3"/>
    <n v="101.5"/>
    <n v="5.4"/>
    <m/>
    <x v="0"/>
    <n v="96.1"/>
    <n v="96.1"/>
    <m/>
    <x v="0"/>
    <x v="0"/>
    <n v="0"/>
    <n v="0"/>
    <x v="0"/>
    <x v="0"/>
    <m/>
    <x v="0"/>
    <x v="0"/>
    <x v="0"/>
    <x v="0"/>
    <x v="0"/>
    <n v="0"/>
    <n v="0"/>
    <n v="0"/>
    <n v="12"/>
    <x v="1"/>
    <x v="0"/>
    <m/>
    <x v="0"/>
    <n v="106.5"/>
    <x v="0"/>
    <x v="35"/>
    <x v="18"/>
    <x v="0"/>
    <x v="0"/>
  </r>
  <r>
    <x v="0"/>
    <x v="12"/>
    <s v="8729 J"/>
    <x v="303"/>
    <s v="Mehboob Printers Gujranwala"/>
    <s v="LDN"/>
    <n v="14.5"/>
    <n v="8"/>
    <s v="LDN"/>
    <n v="100"/>
    <x v="1"/>
    <n v="2"/>
    <n v="104"/>
    <n v="2.8"/>
    <n v="30"/>
    <x v="0"/>
    <n v="101.2"/>
    <n v="101.2"/>
    <m/>
    <x v="0"/>
    <x v="0"/>
    <n v="0"/>
    <n v="0"/>
    <x v="0"/>
    <x v="0"/>
    <m/>
    <x v="0"/>
    <x v="0"/>
    <x v="0"/>
    <x v="0"/>
    <x v="0"/>
    <n v="0"/>
    <n v="0"/>
    <n v="0"/>
    <n v="12"/>
    <x v="1"/>
    <x v="0"/>
    <m/>
    <x v="0"/>
    <n v="109"/>
    <x v="0"/>
    <x v="35"/>
    <x v="18"/>
    <x v="0"/>
    <x v="0"/>
  </r>
  <r>
    <x v="1"/>
    <x v="12"/>
    <s v="2885/1"/>
    <x v="303"/>
    <s v="ZEPHYR TEXTILE (PVT) LTD (PT-02)"/>
    <s v="LDN"/>
    <n v="23"/>
    <s v="15-16"/>
    <s v="SUPER JILANI"/>
    <n v="700"/>
    <x v="1"/>
    <n v="6"/>
    <n v="656"/>
    <n v="10"/>
    <n v="25"/>
    <x v="0"/>
    <n v="646"/>
    <n v="757"/>
    <m/>
    <x v="0"/>
    <x v="0"/>
    <n v="0"/>
    <n v="0"/>
    <x v="0"/>
    <x v="0"/>
    <m/>
    <x v="9"/>
    <x v="0"/>
    <x v="0"/>
    <x v="1"/>
    <x v="0"/>
    <n v="55"/>
    <n v="0.91666666666666663"/>
    <n v="0.91666666666666663"/>
    <n v="11.083333333333334"/>
    <x v="1"/>
    <x v="0"/>
    <m/>
    <x v="0"/>
    <n v="661"/>
    <x v="0"/>
    <x v="35"/>
    <x v="18"/>
    <x v="0"/>
    <x v="0"/>
  </r>
  <r>
    <x v="0"/>
    <x v="15"/>
    <s v="3246 F"/>
    <x v="303"/>
    <s v="Usman Amin"/>
    <s v="LDN"/>
    <n v="18"/>
    <s v="8"/>
    <s v="LDN"/>
    <n v="50"/>
    <x v="1"/>
    <n v="1"/>
    <n v="58"/>
    <n v="2.1"/>
    <m/>
    <x v="0"/>
    <n v="55.9"/>
    <n v="103.6"/>
    <m/>
    <x v="0"/>
    <x v="0"/>
    <n v="0"/>
    <n v="0"/>
    <x v="0"/>
    <x v="0"/>
    <m/>
    <x v="0"/>
    <x v="0"/>
    <x v="0"/>
    <x v="0"/>
    <x v="0"/>
    <n v="0"/>
    <n v="0"/>
    <n v="0"/>
    <n v="12"/>
    <x v="1"/>
    <x v="0"/>
    <m/>
    <x v="0"/>
    <n v="63"/>
    <x v="0"/>
    <x v="35"/>
    <x v="18"/>
    <x v="0"/>
    <x v="0"/>
  </r>
  <r>
    <x v="0"/>
    <x v="15"/>
    <s v="3244 F"/>
    <x v="303"/>
    <s v="Usman Amin"/>
    <s v="LDN"/>
    <n v="17"/>
    <s v="8"/>
    <s v="LDN"/>
    <n v="200"/>
    <x v="1"/>
    <n v="1"/>
    <n v="55"/>
    <n v="1.8"/>
    <m/>
    <x v="0"/>
    <n v="53.2"/>
    <n v="141.69999999999999"/>
    <m/>
    <x v="0"/>
    <x v="0"/>
    <n v="0"/>
    <n v="0"/>
    <x v="0"/>
    <x v="0"/>
    <m/>
    <x v="0"/>
    <x v="0"/>
    <x v="0"/>
    <x v="0"/>
    <x v="0"/>
    <n v="0"/>
    <n v="0"/>
    <n v="0"/>
    <n v="12"/>
    <x v="1"/>
    <x v="0"/>
    <m/>
    <x v="0"/>
    <n v="60"/>
    <x v="0"/>
    <x v="35"/>
    <x v="18"/>
    <x v="0"/>
    <x v="0"/>
  </r>
  <r>
    <x v="0"/>
    <x v="15"/>
    <s v="8726 J"/>
    <x v="303"/>
    <s v="Wah Nobel Private Limited"/>
    <s v="LDN"/>
    <s v="435+30+30 MM"/>
    <s v="20-21/40-42"/>
    <s v="LDN"/>
    <n v="5000"/>
    <x v="1"/>
    <n v="5"/>
    <n v="173"/>
    <n v="8.6999999999999993"/>
    <m/>
    <x v="0"/>
    <n v="164.3"/>
    <n v="747.4"/>
    <m/>
    <x v="0"/>
    <x v="0"/>
    <n v="0"/>
    <n v="0"/>
    <x v="0"/>
    <x v="0"/>
    <m/>
    <x v="0"/>
    <x v="0"/>
    <x v="0"/>
    <x v="0"/>
    <x v="0"/>
    <n v="0"/>
    <n v="0"/>
    <n v="0"/>
    <n v="12"/>
    <x v="1"/>
    <x v="0"/>
    <m/>
    <x v="0"/>
    <n v="178"/>
    <x v="0"/>
    <x v="35"/>
    <x v="18"/>
    <x v="0"/>
    <x v="0"/>
  </r>
  <r>
    <x v="1"/>
    <x v="15"/>
    <s v="8726 J"/>
    <x v="303"/>
    <s v="Wah Nobel Private Limited"/>
    <s v="LDN"/>
    <s v="435+30+30 MM"/>
    <s v="20-21/40-42"/>
    <s v="LDN"/>
    <n v="5000"/>
    <x v="1"/>
    <n v="12"/>
    <n v="474.29999999999995"/>
    <n v="18.2"/>
    <m/>
    <x v="0"/>
    <n v="456.09999999999997"/>
    <n v="747.4"/>
    <m/>
    <x v="0"/>
    <x v="0"/>
    <n v="0"/>
    <n v="0"/>
    <x v="0"/>
    <x v="0"/>
    <m/>
    <x v="0"/>
    <x v="0"/>
    <x v="0"/>
    <x v="0"/>
    <x v="0"/>
    <n v="0"/>
    <n v="0"/>
    <n v="0"/>
    <n v="12"/>
    <x v="1"/>
    <x v="0"/>
    <m/>
    <x v="0"/>
    <n v="479.29999999999995"/>
    <x v="0"/>
    <x v="35"/>
    <x v="18"/>
    <x v="0"/>
    <x v="0"/>
  </r>
  <r>
    <x v="1"/>
    <x v="8"/>
    <s v="8717 J"/>
    <x v="304"/>
    <s v="Golden Green Vally Behria Town Lahore"/>
    <s v="LDN"/>
    <n v="6"/>
    <s v="14-14.5"/>
    <s v="LDN"/>
    <n v="300"/>
    <x v="1"/>
    <n v="2"/>
    <n v="74.5"/>
    <n v="2"/>
    <m/>
    <x v="0"/>
    <n v="72.5"/>
    <n v="357.7"/>
    <m/>
    <x v="0"/>
    <x v="0"/>
    <n v="0"/>
    <n v="0"/>
    <x v="0"/>
    <x v="0"/>
    <m/>
    <x v="0"/>
    <x v="0"/>
    <x v="0"/>
    <x v="0"/>
    <x v="0"/>
    <n v="0"/>
    <n v="0"/>
    <n v="0"/>
    <n v="12"/>
    <x v="1"/>
    <x v="0"/>
    <m/>
    <x v="0"/>
    <n v="79.5"/>
    <x v="0"/>
    <x v="35"/>
    <x v="18"/>
    <x v="0"/>
    <x v="0"/>
  </r>
  <r>
    <x v="0"/>
    <x v="9"/>
    <s v="8613 J"/>
    <x v="304"/>
    <s v="Jilani Poly Stock"/>
    <s v="LDN"/>
    <n v="5"/>
    <n v="10"/>
    <s v="LDN"/>
    <n v="0"/>
    <x v="1"/>
    <n v="3"/>
    <n v="125"/>
    <n v="0.60000000000000009"/>
    <m/>
    <x v="0"/>
    <n v="124.4"/>
    <n v="616.70000000000005"/>
    <m/>
    <x v="0"/>
    <x v="0"/>
    <n v="0"/>
    <n v="0"/>
    <x v="0"/>
    <x v="0"/>
    <m/>
    <x v="0"/>
    <x v="0"/>
    <x v="0"/>
    <x v="0"/>
    <x v="0"/>
    <n v="0"/>
    <n v="0"/>
    <n v="0"/>
    <n v="12"/>
    <x v="1"/>
    <x v="0"/>
    <m/>
    <x v="0"/>
    <n v="130"/>
    <x v="0"/>
    <x v="35"/>
    <x v="18"/>
    <x v="0"/>
    <x v="0"/>
  </r>
  <r>
    <x v="1"/>
    <x v="9"/>
    <s v="8613 J"/>
    <x v="304"/>
    <s v="Jilani Poly Stock"/>
    <s v="LDN"/>
    <n v="5"/>
    <n v="10"/>
    <s v="LDN"/>
    <n v="0"/>
    <x v="1"/>
    <n v="4"/>
    <n v="139.5"/>
    <n v="2.4000000000000004"/>
    <m/>
    <x v="0"/>
    <n v="137.1"/>
    <n v="616.70000000000005"/>
    <m/>
    <x v="0"/>
    <x v="0"/>
    <n v="0"/>
    <n v="0"/>
    <x v="0"/>
    <x v="0"/>
    <m/>
    <x v="0"/>
    <x v="0"/>
    <x v="0"/>
    <x v="0"/>
    <x v="0"/>
    <n v="0"/>
    <n v="0"/>
    <n v="0"/>
    <n v="12"/>
    <x v="1"/>
    <x v="0"/>
    <m/>
    <x v="0"/>
    <n v="144.5"/>
    <x v="0"/>
    <x v="35"/>
    <x v="18"/>
    <x v="0"/>
    <x v="0"/>
  </r>
  <r>
    <x v="0"/>
    <x v="11"/>
    <s v="8749 J"/>
    <x v="304"/>
    <s v="Paizar Foot Wear Peshawar"/>
    <s v="LDM"/>
    <s v="12+3+3"/>
    <s v="9-9.5/18-19"/>
    <s v="LDM"/>
    <n v="180"/>
    <x v="1"/>
    <n v="5"/>
    <n v="194"/>
    <n v="7"/>
    <m/>
    <x v="0"/>
    <n v="187"/>
    <n v="187"/>
    <n v="3"/>
    <x v="0"/>
    <x v="0"/>
    <n v="3"/>
    <n v="0.05"/>
    <x v="0"/>
    <x v="0"/>
    <m/>
    <x v="0"/>
    <x v="0"/>
    <x v="0"/>
    <x v="0"/>
    <x v="0"/>
    <n v="0"/>
    <n v="0"/>
    <n v="0.05"/>
    <n v="11.95"/>
    <x v="1"/>
    <x v="0"/>
    <m/>
    <x v="0"/>
    <n v="199"/>
    <x v="0"/>
    <x v="35"/>
    <x v="18"/>
    <x v="0"/>
    <x v="0"/>
  </r>
  <r>
    <x v="0"/>
    <x v="11"/>
    <s v="8743 J"/>
    <x v="304"/>
    <s v="Meezan Foam Pvt LTD Sawabi"/>
    <s v="LDM"/>
    <s v="12&quot; شیٹ"/>
    <s v="7-7.5/14-15"/>
    <s v="LDM"/>
    <n v="100"/>
    <x v="1"/>
    <n v="1"/>
    <n v="122"/>
    <n v="1.8"/>
    <m/>
    <x v="0"/>
    <n v="120.2"/>
    <n v="120.2"/>
    <n v="2"/>
    <x v="0"/>
    <x v="0"/>
    <n v="2"/>
    <n v="3.3333333333333333E-2"/>
    <x v="0"/>
    <x v="0"/>
    <m/>
    <x v="0"/>
    <x v="0"/>
    <x v="0"/>
    <x v="0"/>
    <x v="0"/>
    <n v="0"/>
    <n v="0"/>
    <n v="3.3333333333333333E-2"/>
    <n v="11.966666666666667"/>
    <x v="1"/>
    <x v="0"/>
    <m/>
    <x v="0"/>
    <n v="127"/>
    <x v="0"/>
    <x v="35"/>
    <x v="18"/>
    <x v="0"/>
    <x v="0"/>
  </r>
  <r>
    <x v="0"/>
    <x v="11"/>
    <s v="8736 J"/>
    <x v="304"/>
    <s v="Ahmed Miss Print Sheikhupura"/>
    <s v="LDرنگدار"/>
    <n v="15"/>
    <s v="14-15"/>
    <s v="LDM"/>
    <n v="300"/>
    <x v="1"/>
    <n v="1"/>
    <n v="57"/>
    <n v="1.7"/>
    <n v="15"/>
    <x v="0"/>
    <n v="55.3"/>
    <n v="251.8"/>
    <m/>
    <x v="0"/>
    <x v="0"/>
    <n v="0"/>
    <n v="0"/>
    <x v="0"/>
    <x v="0"/>
    <m/>
    <x v="0"/>
    <x v="0"/>
    <x v="0"/>
    <x v="0"/>
    <x v="0"/>
    <n v="0"/>
    <n v="0"/>
    <n v="0"/>
    <n v="12"/>
    <x v="1"/>
    <x v="0"/>
    <m/>
    <x v="0"/>
    <n v="62"/>
    <x v="0"/>
    <x v="35"/>
    <x v="18"/>
    <x v="0"/>
    <x v="0"/>
  </r>
  <r>
    <x v="1"/>
    <x v="11"/>
    <s v="8725 J"/>
    <x v="304"/>
    <s v="Wah Nobel Private Limited"/>
    <s v="LD گولڈن پیلا"/>
    <s v="285MM"/>
    <s v="46-47"/>
    <s v="LDM"/>
    <n v="1000"/>
    <x v="1"/>
    <n v="4"/>
    <n v="317.5"/>
    <n v="6.3"/>
    <n v="6"/>
    <x v="0"/>
    <n v="311.2"/>
    <n v="988.5"/>
    <m/>
    <x v="0"/>
    <x v="0"/>
    <n v="0"/>
    <n v="0"/>
    <x v="0"/>
    <x v="0"/>
    <m/>
    <x v="0"/>
    <x v="0"/>
    <x v="0"/>
    <x v="0"/>
    <x v="0"/>
    <n v="0"/>
    <n v="0"/>
    <n v="0"/>
    <n v="12"/>
    <x v="1"/>
    <x v="0"/>
    <m/>
    <x v="0"/>
    <n v="322.5"/>
    <x v="0"/>
    <x v="35"/>
    <x v="18"/>
    <x v="0"/>
    <x v="0"/>
  </r>
  <r>
    <x v="1"/>
    <x v="13"/>
    <s v="3256 F"/>
    <x v="304"/>
    <s v="Usman Amin"/>
    <s v="LDN"/>
    <n v="17"/>
    <s v="12"/>
    <s v="LDN"/>
    <n v="200"/>
    <x v="1"/>
    <n v="2"/>
    <n v="129"/>
    <n v="4"/>
    <n v="6"/>
    <x v="0"/>
    <n v="125"/>
    <n v="195.9"/>
    <m/>
    <x v="9"/>
    <x v="0"/>
    <n v="240"/>
    <n v="4"/>
    <x v="0"/>
    <x v="0"/>
    <m/>
    <x v="0"/>
    <x v="0"/>
    <x v="0"/>
    <x v="0"/>
    <x v="0"/>
    <n v="0"/>
    <n v="0"/>
    <n v="4"/>
    <n v="8"/>
    <x v="1"/>
    <x v="0"/>
    <m/>
    <x v="0"/>
    <n v="134"/>
    <x v="0"/>
    <x v="35"/>
    <x v="18"/>
    <x v="0"/>
    <x v="0"/>
  </r>
  <r>
    <x v="0"/>
    <x v="12"/>
    <s v="2885/1"/>
    <x v="304"/>
    <s v="ZEPHYR TEXTILE (PVT) LTD (PT-02)"/>
    <s v="LDN"/>
    <n v="23"/>
    <s v="15-16"/>
    <s v="SUPER JILANI"/>
    <n v="700"/>
    <x v="1"/>
    <n v="1"/>
    <n v="112.5"/>
    <n v="1.5"/>
    <m/>
    <x v="0"/>
    <n v="111"/>
    <n v="757"/>
    <m/>
    <x v="0"/>
    <x v="0"/>
    <n v="0"/>
    <n v="0"/>
    <x v="0"/>
    <x v="0"/>
    <m/>
    <x v="0"/>
    <x v="0"/>
    <x v="0"/>
    <x v="0"/>
    <x v="0"/>
    <n v="0"/>
    <n v="0"/>
    <n v="0"/>
    <n v="12"/>
    <x v="1"/>
    <x v="0"/>
    <m/>
    <x v="0"/>
    <n v="117.5"/>
    <x v="0"/>
    <x v="35"/>
    <x v="18"/>
    <x v="0"/>
    <x v="0"/>
  </r>
  <r>
    <x v="0"/>
    <x v="12"/>
    <s v="2885/2"/>
    <x v="304"/>
    <s v="ZEPHYR TEXTILE (PVT) LTD (PT-02)"/>
    <s v="LDN"/>
    <n v="23"/>
    <s v="15-16"/>
    <s v="SUPER JILANI"/>
    <n v="700"/>
    <x v="1"/>
    <n v="4"/>
    <n v="488"/>
    <n v="8"/>
    <m/>
    <x v="0"/>
    <n v="480"/>
    <n v="744.5"/>
    <m/>
    <x v="0"/>
    <x v="0"/>
    <n v="0"/>
    <n v="0"/>
    <x v="0"/>
    <x v="0"/>
    <m/>
    <x v="0"/>
    <x v="0"/>
    <x v="0"/>
    <x v="0"/>
    <x v="0"/>
    <n v="0"/>
    <n v="0"/>
    <n v="0"/>
    <n v="12"/>
    <x v="1"/>
    <x v="0"/>
    <m/>
    <x v="0"/>
    <n v="493"/>
    <x v="0"/>
    <x v="35"/>
    <x v="18"/>
    <x v="0"/>
    <x v="0"/>
  </r>
  <r>
    <x v="1"/>
    <x v="12"/>
    <s v="2885/2"/>
    <x v="304"/>
    <s v="ZEPHYR TEXTILE (PVT) LTD (PT-02)"/>
    <s v="LDN"/>
    <n v="23"/>
    <s v="15-16"/>
    <s v="SUPER JILANI"/>
    <n v="700"/>
    <x v="1"/>
    <n v="2"/>
    <n v="269"/>
    <n v="4.5"/>
    <n v="35"/>
    <x v="0"/>
    <n v="264.5"/>
    <n v="744.5"/>
    <n v="6"/>
    <x v="0"/>
    <x v="0"/>
    <n v="6"/>
    <n v="0.1"/>
    <x v="0"/>
    <x v="0"/>
    <m/>
    <x v="0"/>
    <x v="0"/>
    <x v="0"/>
    <x v="0"/>
    <x v="0"/>
    <n v="0"/>
    <n v="0"/>
    <n v="0.1"/>
    <n v="11.9"/>
    <x v="1"/>
    <x v="0"/>
    <m/>
    <x v="0"/>
    <n v="274"/>
    <x v="0"/>
    <x v="35"/>
    <x v="18"/>
    <x v="0"/>
    <x v="0"/>
  </r>
  <r>
    <x v="1"/>
    <x v="12"/>
    <s v="8678 J"/>
    <x v="304"/>
    <s v="Khawaja Watch Center Lahore"/>
    <s v="LD گولڈن پیلا"/>
    <s v="29 شیٹ"/>
    <s v="7.5-8/15-16"/>
    <s v="LDM"/>
    <n v="300"/>
    <x v="1"/>
    <n v="3"/>
    <n v="372.5"/>
    <n v="6.5"/>
    <m/>
    <x v="0"/>
    <n v="366"/>
    <n v="366"/>
    <m/>
    <x v="0"/>
    <x v="0"/>
    <n v="0"/>
    <n v="0"/>
    <x v="0"/>
    <x v="0"/>
    <m/>
    <x v="0"/>
    <x v="0"/>
    <x v="0"/>
    <x v="0"/>
    <x v="0"/>
    <n v="0"/>
    <n v="0"/>
    <n v="0"/>
    <n v="12"/>
    <x v="1"/>
    <x v="0"/>
    <m/>
    <x v="0"/>
    <n v="377.5"/>
    <x v="0"/>
    <x v="35"/>
    <x v="18"/>
    <x v="0"/>
    <x v="0"/>
  </r>
  <r>
    <x v="1"/>
    <x v="12"/>
    <s v="8485 J"/>
    <x v="304"/>
    <s v="Ahmed Miss Print Sheikhupura"/>
    <s v="LDرنگدار"/>
    <n v="18"/>
    <s v="13-14"/>
    <s v="LDM"/>
    <n v="900"/>
    <x v="1"/>
    <n v="1"/>
    <n v="94"/>
    <n v="2"/>
    <m/>
    <x v="0"/>
    <n v="92"/>
    <n v="1105.5999999999999"/>
    <m/>
    <x v="0"/>
    <x v="0"/>
    <n v="0"/>
    <n v="0"/>
    <x v="0"/>
    <x v="0"/>
    <m/>
    <x v="0"/>
    <x v="0"/>
    <x v="0"/>
    <x v="0"/>
    <x v="0"/>
    <n v="0"/>
    <n v="0"/>
    <n v="0"/>
    <n v="12"/>
    <x v="1"/>
    <x v="0"/>
    <m/>
    <x v="0"/>
    <n v="99"/>
    <x v="0"/>
    <x v="35"/>
    <x v="18"/>
    <x v="0"/>
    <x v="0"/>
  </r>
  <r>
    <x v="0"/>
    <x v="15"/>
    <s v="8726 J"/>
    <x v="304"/>
    <s v="Wah Nobel Private Limited"/>
    <s v="LDN"/>
    <s v="435+30+30 MM"/>
    <s v="20-21/40-42"/>
    <s v="LDN"/>
    <n v="5000"/>
    <x v="1"/>
    <n v="4"/>
    <n v="133.5"/>
    <n v="6.5"/>
    <m/>
    <x v="0"/>
    <n v="127"/>
    <n v="747.4"/>
    <m/>
    <x v="0"/>
    <x v="0"/>
    <n v="0"/>
    <n v="0"/>
    <x v="0"/>
    <x v="0"/>
    <m/>
    <x v="0"/>
    <x v="0"/>
    <x v="0"/>
    <x v="0"/>
    <x v="0"/>
    <n v="0"/>
    <n v="0"/>
    <n v="0"/>
    <n v="12"/>
    <x v="1"/>
    <x v="0"/>
    <m/>
    <x v="0"/>
    <n v="138.5"/>
    <x v="0"/>
    <x v="35"/>
    <x v="18"/>
    <x v="0"/>
    <x v="0"/>
  </r>
  <r>
    <x v="0"/>
    <x v="15"/>
    <s v="3242 F"/>
    <x v="304"/>
    <s v="Usman Amin"/>
    <s v="LDN"/>
    <n v="16"/>
    <s v="8"/>
    <s v="LDN"/>
    <n v="320"/>
    <x v="1"/>
    <n v="3"/>
    <n v="184"/>
    <n v="5.6999999999999993"/>
    <m/>
    <x v="0"/>
    <n v="178.3"/>
    <n v="341.3"/>
    <m/>
    <x v="0"/>
    <x v="0"/>
    <n v="0"/>
    <n v="0"/>
    <x v="0"/>
    <x v="0"/>
    <m/>
    <x v="0"/>
    <x v="0"/>
    <x v="0"/>
    <x v="0"/>
    <x v="0"/>
    <n v="0"/>
    <n v="0"/>
    <n v="0"/>
    <n v="12"/>
    <x v="1"/>
    <x v="0"/>
    <m/>
    <x v="0"/>
    <n v="189"/>
    <x v="0"/>
    <x v="35"/>
    <x v="18"/>
    <x v="0"/>
    <x v="0"/>
  </r>
  <r>
    <x v="1"/>
    <x v="15"/>
    <s v="3244 F"/>
    <x v="304"/>
    <s v="Usman Amin"/>
    <s v="LDN"/>
    <n v="17"/>
    <s v="8"/>
    <s v="LDN"/>
    <n v="200"/>
    <x v="1"/>
    <n v="2"/>
    <n v="92.5"/>
    <n v="4"/>
    <m/>
    <x v="0"/>
    <n v="88.5"/>
    <n v="141.69999999999999"/>
    <m/>
    <x v="0"/>
    <x v="0"/>
    <n v="0"/>
    <n v="0"/>
    <x v="0"/>
    <x v="0"/>
    <n v="540"/>
    <x v="0"/>
    <x v="0"/>
    <x v="0"/>
    <x v="0"/>
    <x v="0"/>
    <n v="540"/>
    <n v="9"/>
    <n v="9"/>
    <n v="3"/>
    <x v="1"/>
    <x v="0"/>
    <m/>
    <x v="0"/>
    <n v="97.5"/>
    <x v="0"/>
    <x v="35"/>
    <x v="18"/>
    <x v="0"/>
    <x v="0"/>
  </r>
  <r>
    <x v="0"/>
    <x v="8"/>
    <s v="8717 J"/>
    <x v="305"/>
    <s v="Golden Green Vally Behria Town Lahore"/>
    <s v="LDN"/>
    <n v="6"/>
    <s v="14-14.5"/>
    <s v="LDN"/>
    <n v="300"/>
    <x v="1"/>
    <n v="4"/>
    <n v="167"/>
    <n v="2.4"/>
    <m/>
    <x v="0"/>
    <n v="164.6"/>
    <n v="357.7"/>
    <m/>
    <x v="0"/>
    <x v="0"/>
    <n v="0"/>
    <n v="0"/>
    <x v="0"/>
    <x v="0"/>
    <m/>
    <x v="0"/>
    <x v="0"/>
    <x v="0"/>
    <x v="0"/>
    <x v="0"/>
    <n v="0"/>
    <n v="0"/>
    <n v="0"/>
    <n v="12"/>
    <x v="1"/>
    <x v="0"/>
    <m/>
    <x v="0"/>
    <n v="172"/>
    <x v="0"/>
    <x v="35"/>
    <x v="18"/>
    <x v="0"/>
    <x v="0"/>
  </r>
  <r>
    <x v="1"/>
    <x v="8"/>
    <s v="8717 J"/>
    <x v="305"/>
    <s v="Golden Green Vally Behria Town Lahore"/>
    <s v="LDN"/>
    <n v="6"/>
    <s v="14-14.5"/>
    <s v="LDN"/>
    <n v="300"/>
    <x v="1"/>
    <n v="3"/>
    <n v="123"/>
    <n v="2.4000000000000004"/>
    <n v="3"/>
    <x v="0"/>
    <n v="120.6"/>
    <n v="357.7"/>
    <m/>
    <x v="0"/>
    <x v="0"/>
    <n v="0"/>
    <n v="0"/>
    <x v="0"/>
    <x v="0"/>
    <m/>
    <x v="0"/>
    <x v="0"/>
    <x v="0"/>
    <x v="0"/>
    <x v="0"/>
    <n v="0"/>
    <n v="0"/>
    <n v="0"/>
    <n v="12"/>
    <x v="1"/>
    <x v="0"/>
    <m/>
    <x v="0"/>
    <n v="128"/>
    <x v="0"/>
    <x v="35"/>
    <x v="18"/>
    <x v="0"/>
    <x v="0"/>
  </r>
  <r>
    <x v="0"/>
    <x v="9"/>
    <s v="8613 J"/>
    <x v="305"/>
    <s v="Jilani Poly Stock"/>
    <s v="LDN"/>
    <n v="5"/>
    <n v="10"/>
    <s v="LDN"/>
    <n v="0"/>
    <x v="1"/>
    <n v="3"/>
    <n v="121"/>
    <n v="1.4"/>
    <m/>
    <x v="0"/>
    <n v="119.6"/>
    <n v="616.70000000000005"/>
    <m/>
    <x v="0"/>
    <x v="0"/>
    <n v="0"/>
    <n v="0"/>
    <x v="0"/>
    <x v="0"/>
    <m/>
    <x v="0"/>
    <x v="0"/>
    <x v="0"/>
    <x v="0"/>
    <x v="0"/>
    <n v="0"/>
    <n v="0"/>
    <n v="0"/>
    <n v="12"/>
    <x v="1"/>
    <x v="0"/>
    <m/>
    <x v="0"/>
    <n v="126"/>
    <x v="0"/>
    <x v="35"/>
    <x v="18"/>
    <x v="0"/>
    <x v="0"/>
  </r>
  <r>
    <x v="1"/>
    <x v="9"/>
    <s v="8613 J"/>
    <x v="305"/>
    <s v="Jilani Poly Stock"/>
    <s v="LDN"/>
    <n v="5"/>
    <n v="10"/>
    <s v="LDN"/>
    <n v="0"/>
    <x v="1"/>
    <n v="2"/>
    <n v="88"/>
    <n v="1.7"/>
    <n v="5"/>
    <x v="0"/>
    <n v="86.3"/>
    <n v="616.70000000000005"/>
    <m/>
    <x v="0"/>
    <x v="0"/>
    <n v="0"/>
    <n v="0"/>
    <x v="0"/>
    <x v="0"/>
    <m/>
    <x v="0"/>
    <x v="0"/>
    <x v="0"/>
    <x v="0"/>
    <x v="0"/>
    <n v="0"/>
    <n v="0"/>
    <n v="0"/>
    <n v="12"/>
    <x v="1"/>
    <x v="0"/>
    <m/>
    <x v="0"/>
    <n v="93"/>
    <x v="0"/>
    <x v="35"/>
    <x v="18"/>
    <x v="0"/>
    <x v="0"/>
  </r>
  <r>
    <x v="0"/>
    <x v="11"/>
    <s v="8725 J"/>
    <x v="305"/>
    <s v="Wah Nobel Private Limited"/>
    <s v="LD گولڈن پیلا"/>
    <s v="285MM"/>
    <s v="46-47"/>
    <s v="LDM"/>
    <n v="1000"/>
    <x v="1"/>
    <n v="6"/>
    <n v="420"/>
    <n v="8.5"/>
    <m/>
    <x v="0"/>
    <n v="411.5"/>
    <n v="988.5"/>
    <m/>
    <x v="0"/>
    <x v="0"/>
    <n v="0"/>
    <n v="0"/>
    <x v="0"/>
    <x v="0"/>
    <m/>
    <x v="0"/>
    <x v="0"/>
    <x v="0"/>
    <x v="0"/>
    <x v="0"/>
    <n v="0"/>
    <n v="0"/>
    <n v="0"/>
    <n v="12"/>
    <x v="1"/>
    <x v="0"/>
    <m/>
    <x v="0"/>
    <n v="425"/>
    <x v="0"/>
    <x v="35"/>
    <x v="18"/>
    <x v="0"/>
    <x v="0"/>
  </r>
  <r>
    <x v="1"/>
    <x v="11"/>
    <s v="8725 J"/>
    <x v="305"/>
    <s v="Wah Nobel Private Limited"/>
    <s v="LD گولڈن پیلا"/>
    <s v="285MM"/>
    <s v="46-47"/>
    <s v="LDM"/>
    <n v="1000"/>
    <x v="1"/>
    <n v="4"/>
    <n v="270.5"/>
    <n v="4.7"/>
    <n v="5"/>
    <x v="0"/>
    <n v="265.8"/>
    <n v="988.5"/>
    <m/>
    <x v="0"/>
    <x v="0"/>
    <n v="0"/>
    <n v="0"/>
    <x v="0"/>
    <x v="0"/>
    <m/>
    <x v="0"/>
    <x v="0"/>
    <x v="0"/>
    <x v="0"/>
    <x v="0"/>
    <n v="0"/>
    <n v="0"/>
    <n v="0"/>
    <n v="12"/>
    <x v="1"/>
    <x v="0"/>
    <m/>
    <x v="0"/>
    <n v="275.5"/>
    <x v="0"/>
    <x v="35"/>
    <x v="18"/>
    <x v="0"/>
    <x v="0"/>
  </r>
  <r>
    <x v="0"/>
    <x v="13"/>
    <s v="3256 F"/>
    <x v="305"/>
    <s v="Usman Amin"/>
    <s v="LDN"/>
    <n v="17"/>
    <s v="12"/>
    <s v="LDN"/>
    <n v="200"/>
    <x v="1"/>
    <n v="1"/>
    <n v="73"/>
    <n v="2.1"/>
    <m/>
    <x v="0"/>
    <n v="70.900000000000006"/>
    <n v="195.9"/>
    <m/>
    <x v="0"/>
    <x v="0"/>
    <n v="0"/>
    <n v="0"/>
    <x v="0"/>
    <x v="0"/>
    <m/>
    <x v="0"/>
    <x v="0"/>
    <x v="0"/>
    <x v="0"/>
    <x v="0"/>
    <n v="0"/>
    <n v="0"/>
    <n v="0"/>
    <n v="12"/>
    <x v="1"/>
    <x v="0"/>
    <m/>
    <x v="0"/>
    <n v="78"/>
    <x v="0"/>
    <x v="35"/>
    <x v="18"/>
    <x v="0"/>
    <x v="0"/>
  </r>
  <r>
    <x v="0"/>
    <x v="13"/>
    <s v="3257 F"/>
    <x v="305"/>
    <s v="Usman Amin"/>
    <s v="LDN"/>
    <n v="14"/>
    <s v="12"/>
    <s v="LDN"/>
    <n v="100"/>
    <x v="1"/>
    <n v="1"/>
    <n v="55"/>
    <n v="1.7"/>
    <m/>
    <x v="0"/>
    <n v="53.3"/>
    <n v="53.3"/>
    <m/>
    <x v="0"/>
    <x v="0"/>
    <n v="0"/>
    <n v="0"/>
    <x v="0"/>
    <x v="0"/>
    <m/>
    <x v="0"/>
    <x v="0"/>
    <x v="0"/>
    <x v="0"/>
    <x v="0"/>
    <n v="0"/>
    <n v="0"/>
    <n v="0"/>
    <n v="12"/>
    <x v="1"/>
    <x v="0"/>
    <m/>
    <x v="0"/>
    <n v="60"/>
    <x v="0"/>
    <x v="35"/>
    <x v="18"/>
    <x v="0"/>
    <x v="0"/>
  </r>
  <r>
    <x v="1"/>
    <x v="13"/>
    <s v="3245 F"/>
    <x v="305"/>
    <s v="Usman Amin"/>
    <s v="LDN"/>
    <n v="14"/>
    <s v="8"/>
    <s v="LDN"/>
    <n v="50"/>
    <x v="1"/>
    <n v="2"/>
    <n v="80"/>
    <n v="3"/>
    <m/>
    <x v="0"/>
    <n v="77"/>
    <n v="77"/>
    <m/>
    <x v="0"/>
    <x v="0"/>
    <n v="0"/>
    <n v="0"/>
    <x v="0"/>
    <x v="0"/>
    <m/>
    <x v="0"/>
    <x v="0"/>
    <x v="0"/>
    <x v="0"/>
    <x v="0"/>
    <n v="0"/>
    <n v="0"/>
    <n v="0"/>
    <n v="12"/>
    <x v="1"/>
    <x v="0"/>
    <m/>
    <x v="0"/>
    <n v="85"/>
    <x v="0"/>
    <x v="35"/>
    <x v="18"/>
    <x v="0"/>
    <x v="0"/>
  </r>
  <r>
    <x v="1"/>
    <x v="13"/>
    <s v="3278 F"/>
    <x v="305"/>
    <s v="Usman Amin"/>
    <s v="LDN"/>
    <n v="19"/>
    <s v="5-5.5"/>
    <s v="LDN"/>
    <n v="450"/>
    <x v="1"/>
    <n v="2"/>
    <n v="130"/>
    <n v="3.5"/>
    <n v="10"/>
    <x v="0"/>
    <n v="126.5"/>
    <n v="360.6"/>
    <m/>
    <x v="0"/>
    <x v="0"/>
    <n v="0"/>
    <n v="0"/>
    <x v="0"/>
    <x v="0"/>
    <m/>
    <x v="0"/>
    <x v="0"/>
    <x v="0"/>
    <x v="0"/>
    <x v="0"/>
    <n v="0"/>
    <n v="0"/>
    <n v="0"/>
    <n v="12"/>
    <x v="1"/>
    <x v="0"/>
    <m/>
    <x v="0"/>
    <n v="135"/>
    <x v="0"/>
    <x v="35"/>
    <x v="18"/>
    <x v="0"/>
    <x v="0"/>
  </r>
  <r>
    <x v="0"/>
    <x v="12"/>
    <s v="8485 J"/>
    <x v="305"/>
    <s v="Ahmed Miss Print Sheikhupura"/>
    <s v="LDرنگدار"/>
    <n v="18"/>
    <s v="13-14"/>
    <s v="LDM"/>
    <n v="900"/>
    <x v="1"/>
    <n v="1"/>
    <n v="86"/>
    <n v="1.8"/>
    <m/>
    <x v="0"/>
    <n v="84.2"/>
    <n v="1105.5999999999999"/>
    <m/>
    <x v="0"/>
    <x v="0"/>
    <n v="0"/>
    <n v="0"/>
    <x v="0"/>
    <x v="0"/>
    <m/>
    <x v="0"/>
    <x v="0"/>
    <x v="0"/>
    <x v="0"/>
    <x v="0"/>
    <n v="0"/>
    <n v="0"/>
    <n v="0"/>
    <n v="12"/>
    <x v="1"/>
    <x v="0"/>
    <m/>
    <x v="0"/>
    <n v="91"/>
    <x v="0"/>
    <x v="35"/>
    <x v="18"/>
    <x v="0"/>
    <x v="0"/>
  </r>
  <r>
    <x v="0"/>
    <x v="12"/>
    <s v="2873/1"/>
    <x v="305"/>
    <s v="MATCO FOOD"/>
    <s v="LDN"/>
    <s v="22.5-23"/>
    <s v="70±2"/>
    <s v="SL"/>
    <n v="3150"/>
    <x v="1"/>
    <n v="4"/>
    <n v="526"/>
    <n v="8"/>
    <m/>
    <x v="0"/>
    <n v="518"/>
    <n v="2435.6999999999998"/>
    <m/>
    <x v="0"/>
    <x v="0"/>
    <n v="0"/>
    <n v="0"/>
    <x v="0"/>
    <x v="0"/>
    <m/>
    <x v="0"/>
    <x v="0"/>
    <x v="0"/>
    <x v="0"/>
    <x v="0"/>
    <n v="0"/>
    <n v="0"/>
    <n v="0"/>
    <n v="12"/>
    <x v="1"/>
    <x v="0"/>
    <m/>
    <x v="0"/>
    <n v="531"/>
    <x v="0"/>
    <x v="35"/>
    <x v="18"/>
    <x v="0"/>
    <x v="0"/>
  </r>
  <r>
    <x v="1"/>
    <x v="12"/>
    <s v="2873/1"/>
    <x v="305"/>
    <s v="MATCO FOOD"/>
    <s v="LDN"/>
    <s v="22.5-23"/>
    <s v="70±2"/>
    <s v="SL"/>
    <n v="3150"/>
    <x v="1"/>
    <n v="5"/>
    <n v="617.5"/>
    <n v="7.5"/>
    <n v="4"/>
    <x v="0"/>
    <n v="610"/>
    <n v="2435.6999999999998"/>
    <m/>
    <x v="0"/>
    <x v="0"/>
    <n v="0"/>
    <n v="0"/>
    <x v="0"/>
    <x v="0"/>
    <m/>
    <x v="0"/>
    <x v="0"/>
    <x v="0"/>
    <x v="0"/>
    <x v="0"/>
    <n v="0"/>
    <n v="0"/>
    <n v="0"/>
    <n v="12"/>
    <x v="1"/>
    <x v="0"/>
    <m/>
    <x v="0"/>
    <n v="622.5"/>
    <x v="0"/>
    <x v="35"/>
    <x v="18"/>
    <x v="0"/>
    <x v="0"/>
  </r>
  <r>
    <x v="0"/>
    <x v="8"/>
    <s v="8718 J"/>
    <x v="306"/>
    <s v="Golden Green Vally Behria Town Lahore"/>
    <s v="LDN"/>
    <n v="7"/>
    <s v="14-14.5"/>
    <s v="LDN"/>
    <n v="200"/>
    <x v="1"/>
    <n v="3"/>
    <n v="151.5"/>
    <n v="2.7"/>
    <m/>
    <x v="0"/>
    <n v="148.80000000000001"/>
    <n v="198.4"/>
    <m/>
    <x v="0"/>
    <x v="0"/>
    <n v="0"/>
    <n v="0"/>
    <x v="0"/>
    <x v="0"/>
    <m/>
    <x v="0"/>
    <x v="0"/>
    <x v="0"/>
    <x v="0"/>
    <x v="0"/>
    <n v="0"/>
    <n v="0"/>
    <n v="0"/>
    <n v="12"/>
    <x v="1"/>
    <x v="0"/>
    <m/>
    <x v="0"/>
    <n v="156.5"/>
    <x v="0"/>
    <x v="35"/>
    <x v="18"/>
    <x v="0"/>
    <x v="0"/>
  </r>
  <r>
    <x v="1"/>
    <x v="8"/>
    <s v="8718 J"/>
    <x v="306"/>
    <s v="Golden Green Vally Behria Town Lahore"/>
    <s v="LDN"/>
    <n v="7"/>
    <s v="14-14.5"/>
    <s v="LDN"/>
    <n v="200"/>
    <x v="1"/>
    <n v="1"/>
    <n v="50.5"/>
    <n v="0.9"/>
    <m/>
    <x v="0"/>
    <n v="49.6"/>
    <n v="198.4"/>
    <n v="5"/>
    <x v="0"/>
    <x v="0"/>
    <n v="5"/>
    <n v="8.3333333333333329E-2"/>
    <x v="0"/>
    <x v="0"/>
    <m/>
    <x v="0"/>
    <x v="0"/>
    <x v="0"/>
    <x v="0"/>
    <x v="0"/>
    <n v="0"/>
    <n v="0"/>
    <n v="8.3333333333333329E-2"/>
    <n v="11.916666666666666"/>
    <x v="1"/>
    <x v="0"/>
    <m/>
    <x v="0"/>
    <n v="55.5"/>
    <x v="0"/>
    <x v="35"/>
    <x v="18"/>
    <x v="0"/>
    <x v="0"/>
  </r>
  <r>
    <x v="1"/>
    <x v="8"/>
    <s v="8761 J"/>
    <x v="306"/>
    <s v="Al Buraq Deparmental Store Lahore"/>
    <s v="LDN"/>
    <n v="9"/>
    <s v="14-15"/>
    <s v="LDN"/>
    <n v="200"/>
    <x v="1"/>
    <n v="1"/>
    <n v="43"/>
    <n v="1"/>
    <m/>
    <x v="0"/>
    <n v="42"/>
    <n v="201.4"/>
    <m/>
    <x v="0"/>
    <x v="0"/>
    <n v="0"/>
    <n v="0"/>
    <x v="0"/>
    <x v="0"/>
    <m/>
    <x v="0"/>
    <x v="0"/>
    <x v="0"/>
    <x v="0"/>
    <x v="0"/>
    <n v="0"/>
    <n v="0"/>
    <n v="0"/>
    <n v="12"/>
    <x v="1"/>
    <x v="0"/>
    <m/>
    <x v="0"/>
    <n v="48"/>
    <x v="0"/>
    <x v="35"/>
    <x v="18"/>
    <x v="0"/>
    <x v="0"/>
  </r>
  <r>
    <x v="1"/>
    <x v="8"/>
    <s v="8760 J"/>
    <x v="306"/>
    <s v="Al Buraq Deparmental Store Lahore"/>
    <s v="LDN"/>
    <n v="7"/>
    <s v="14-15"/>
    <s v="LDN"/>
    <n v="100"/>
    <x v="1"/>
    <n v="2"/>
    <n v="101.5"/>
    <n v="1.4"/>
    <n v="4"/>
    <x v="0"/>
    <n v="100.1"/>
    <n v="100.1"/>
    <m/>
    <x v="0"/>
    <x v="0"/>
    <n v="0"/>
    <n v="0"/>
    <x v="0"/>
    <x v="0"/>
    <m/>
    <x v="0"/>
    <x v="0"/>
    <x v="0"/>
    <x v="0"/>
    <x v="0"/>
    <n v="0"/>
    <n v="0"/>
    <n v="0"/>
    <n v="12"/>
    <x v="1"/>
    <x v="0"/>
    <m/>
    <x v="0"/>
    <n v="106.5"/>
    <x v="0"/>
    <x v="35"/>
    <x v="18"/>
    <x v="0"/>
    <x v="0"/>
  </r>
  <r>
    <x v="0"/>
    <x v="9"/>
    <s v="8613 J"/>
    <x v="306"/>
    <s v="Jilani Poly Stock"/>
    <s v="LDN"/>
    <n v="5"/>
    <n v="10"/>
    <s v="LDN"/>
    <n v="0"/>
    <x v="1"/>
    <n v="1"/>
    <n v="45.5"/>
    <n v="0.5"/>
    <m/>
    <x v="0"/>
    <n v="45"/>
    <n v="616.70000000000005"/>
    <m/>
    <x v="0"/>
    <x v="0"/>
    <n v="0"/>
    <n v="0"/>
    <x v="0"/>
    <x v="0"/>
    <m/>
    <x v="0"/>
    <x v="0"/>
    <x v="0"/>
    <x v="0"/>
    <x v="0"/>
    <n v="0"/>
    <n v="0"/>
    <n v="0"/>
    <n v="12"/>
    <x v="1"/>
    <x v="0"/>
    <m/>
    <x v="0"/>
    <n v="50.5"/>
    <x v="0"/>
    <x v="35"/>
    <x v="18"/>
    <x v="0"/>
    <x v="0"/>
  </r>
  <r>
    <x v="0"/>
    <x v="9"/>
    <s v="8741 J"/>
    <x v="306"/>
    <s v="H.A Industry Peshawar"/>
    <s v="LDN"/>
    <n v="8"/>
    <s v="-"/>
    <s v="LDN"/>
    <n v="100"/>
    <x v="1"/>
    <n v="2"/>
    <n v="67"/>
    <n v="2"/>
    <n v="6"/>
    <x v="0"/>
    <n v="65"/>
    <n v="212.5"/>
    <n v="3"/>
    <x v="0"/>
    <x v="0"/>
    <n v="3"/>
    <n v="0.05"/>
    <x v="0"/>
    <x v="0"/>
    <m/>
    <x v="0"/>
    <x v="0"/>
    <x v="0"/>
    <x v="0"/>
    <x v="0"/>
    <n v="0"/>
    <n v="0"/>
    <n v="0.05"/>
    <n v="11.95"/>
    <x v="1"/>
    <x v="0"/>
    <m/>
    <x v="0"/>
    <n v="72"/>
    <x v="0"/>
    <x v="35"/>
    <x v="18"/>
    <x v="0"/>
    <x v="0"/>
  </r>
  <r>
    <x v="1"/>
    <x v="9"/>
    <s v="8741 J"/>
    <x v="306"/>
    <s v="H.A Industry Peshawar"/>
    <s v="LDN"/>
    <n v="8"/>
    <s v="-"/>
    <s v="LDN"/>
    <n v="100"/>
    <x v="1"/>
    <n v="2"/>
    <n v="43"/>
    <n v="2"/>
    <n v="5"/>
    <x v="0"/>
    <n v="41"/>
    <n v="212.5"/>
    <m/>
    <x v="0"/>
    <x v="0"/>
    <n v="0"/>
    <n v="0"/>
    <x v="0"/>
    <x v="0"/>
    <m/>
    <x v="0"/>
    <x v="0"/>
    <x v="0"/>
    <x v="0"/>
    <x v="0"/>
    <n v="0"/>
    <n v="0"/>
    <n v="0"/>
    <n v="12"/>
    <x v="1"/>
    <x v="0"/>
    <m/>
    <x v="0"/>
    <n v="48"/>
    <x v="0"/>
    <x v="35"/>
    <x v="18"/>
    <x v="0"/>
    <x v="0"/>
  </r>
  <r>
    <x v="1"/>
    <x v="9"/>
    <s v="8704 J"/>
    <x v="306"/>
    <s v="Bolan Pastry Shop Quita"/>
    <s v="LDN"/>
    <n v="8"/>
    <s v="6-6.5"/>
    <s v="LDN"/>
    <n v="200"/>
    <x v="1"/>
    <n v="2"/>
    <n v="80.5"/>
    <n v="1.6"/>
    <m/>
    <x v="0"/>
    <n v="78.900000000000006"/>
    <n v="217.9"/>
    <m/>
    <x v="0"/>
    <x v="0"/>
    <n v="0"/>
    <n v="0"/>
    <x v="0"/>
    <x v="0"/>
    <m/>
    <x v="0"/>
    <x v="0"/>
    <x v="0"/>
    <x v="0"/>
    <x v="0"/>
    <n v="0"/>
    <n v="0"/>
    <n v="0"/>
    <n v="12"/>
    <x v="1"/>
    <x v="0"/>
    <m/>
    <x v="0"/>
    <n v="85.5"/>
    <x v="0"/>
    <x v="35"/>
    <x v="18"/>
    <x v="0"/>
    <x v="0"/>
  </r>
  <r>
    <x v="0"/>
    <x v="11"/>
    <s v="8759 J"/>
    <x v="306"/>
    <s v="Hadyat Khan Peshawar"/>
    <s v="LD ریڈ"/>
    <n v="9"/>
    <s v="15-16"/>
    <s v="LDM"/>
    <n v="100"/>
    <x v="1"/>
    <n v="2"/>
    <n v="110.5"/>
    <n v="1.8"/>
    <m/>
    <x v="0"/>
    <n v="108.7"/>
    <n v="108.7"/>
    <n v="3"/>
    <x v="0"/>
    <x v="0"/>
    <n v="3"/>
    <n v="0.05"/>
    <x v="0"/>
    <x v="0"/>
    <m/>
    <x v="0"/>
    <x v="0"/>
    <x v="0"/>
    <x v="0"/>
    <x v="0"/>
    <n v="0"/>
    <n v="0"/>
    <n v="0.05"/>
    <n v="11.95"/>
    <x v="1"/>
    <x v="0"/>
    <m/>
    <x v="0"/>
    <n v="115.5"/>
    <x v="0"/>
    <x v="35"/>
    <x v="18"/>
    <x v="0"/>
    <x v="0"/>
  </r>
  <r>
    <x v="0"/>
    <x v="11"/>
    <s v="8758 J"/>
    <x v="306"/>
    <s v="Hadyat Khan Peshawar"/>
    <s v="LD ریڈ"/>
    <n v="7"/>
    <s v="15-16"/>
    <s v="LDM"/>
    <n v="100"/>
    <x v="1"/>
    <n v="3"/>
    <n v="111.5"/>
    <n v="2.7"/>
    <n v="8"/>
    <x v="0"/>
    <n v="108.8"/>
    <n v="108.8"/>
    <n v="2"/>
    <x v="0"/>
    <x v="0"/>
    <n v="2"/>
    <n v="3.3333333333333333E-2"/>
    <x v="0"/>
    <x v="0"/>
    <m/>
    <x v="0"/>
    <x v="0"/>
    <x v="0"/>
    <x v="0"/>
    <x v="0"/>
    <n v="0"/>
    <n v="0"/>
    <n v="3.3333333333333333E-2"/>
    <n v="11.966666666666667"/>
    <x v="1"/>
    <x v="0"/>
    <m/>
    <x v="0"/>
    <n v="116.5"/>
    <x v="0"/>
    <x v="35"/>
    <x v="18"/>
    <x v="0"/>
    <x v="0"/>
  </r>
  <r>
    <x v="0"/>
    <x v="11"/>
    <s v="8736 J"/>
    <x v="306"/>
    <s v="Ahmed Miss Print Sheikhupura"/>
    <s v="LDرنگدار"/>
    <n v="15"/>
    <s v="14-15"/>
    <s v="LDM"/>
    <n v="300"/>
    <x v="1"/>
    <n v="1"/>
    <n v="69.5"/>
    <n v="1.5"/>
    <m/>
    <x v="0"/>
    <n v="68"/>
    <n v="251.8"/>
    <n v="5"/>
    <x v="0"/>
    <x v="0"/>
    <n v="5"/>
    <n v="8.3333333333333329E-2"/>
    <x v="0"/>
    <x v="0"/>
    <m/>
    <x v="0"/>
    <x v="0"/>
    <x v="0"/>
    <x v="0"/>
    <x v="0"/>
    <n v="0"/>
    <n v="0"/>
    <n v="8.3333333333333329E-2"/>
    <n v="11.916666666666666"/>
    <x v="1"/>
    <x v="0"/>
    <m/>
    <x v="0"/>
    <n v="74.5"/>
    <x v="0"/>
    <x v="35"/>
    <x v="18"/>
    <x v="0"/>
    <x v="0"/>
  </r>
  <r>
    <x v="0"/>
    <x v="13"/>
    <s v="3278 F"/>
    <x v="306"/>
    <s v="Usman Amin"/>
    <s v="LDN"/>
    <n v="19"/>
    <s v="5-5.5"/>
    <s v="LDN"/>
    <n v="450"/>
    <x v="1"/>
    <n v="4"/>
    <n v="243"/>
    <n v="8.8999999999999986"/>
    <m/>
    <x v="0"/>
    <n v="234.1"/>
    <n v="360.6"/>
    <m/>
    <x v="0"/>
    <x v="0"/>
    <n v="0"/>
    <n v="0"/>
    <x v="0"/>
    <x v="0"/>
    <m/>
    <x v="0"/>
    <x v="0"/>
    <x v="0"/>
    <x v="0"/>
    <x v="0"/>
    <n v="0"/>
    <n v="0"/>
    <n v="0"/>
    <n v="12"/>
    <x v="1"/>
    <x v="0"/>
    <m/>
    <x v="0"/>
    <n v="248"/>
    <x v="0"/>
    <x v="35"/>
    <x v="18"/>
    <x v="0"/>
    <x v="0"/>
  </r>
  <r>
    <x v="0"/>
    <x v="13"/>
    <s v="3282 F"/>
    <x v="306"/>
    <s v="Usman Amin"/>
    <s v="LDN"/>
    <n v="17"/>
    <s v="5-5.5"/>
    <s v="LDN"/>
    <n v="215"/>
    <x v="1"/>
    <n v="1"/>
    <n v="35.5"/>
    <n v="2"/>
    <n v="9"/>
    <x v="0"/>
    <n v="33.5"/>
    <n v="106.9"/>
    <n v="2"/>
    <x v="0"/>
    <x v="0"/>
    <n v="2"/>
    <n v="3.3333333333333333E-2"/>
    <x v="0"/>
    <x v="0"/>
    <m/>
    <x v="0"/>
    <x v="0"/>
    <x v="0"/>
    <x v="0"/>
    <x v="0"/>
    <n v="0"/>
    <n v="0"/>
    <n v="3.3333333333333333E-2"/>
    <n v="11.966666666666667"/>
    <x v="1"/>
    <x v="0"/>
    <m/>
    <x v="0"/>
    <n v="40.5"/>
    <x v="0"/>
    <x v="35"/>
    <x v="18"/>
    <x v="0"/>
    <x v="0"/>
  </r>
  <r>
    <x v="1"/>
    <x v="13"/>
    <s v="3282 F"/>
    <x v="306"/>
    <s v="Usman Amin"/>
    <s v="LDN"/>
    <n v="17"/>
    <s v="5-5.5"/>
    <s v="LDN"/>
    <n v="215"/>
    <x v="1"/>
    <n v="2"/>
    <n v="77"/>
    <n v="3.6"/>
    <n v="8"/>
    <x v="0"/>
    <n v="73.400000000000006"/>
    <n v="106.9"/>
    <n v="3"/>
    <x v="0"/>
    <x v="0"/>
    <n v="3"/>
    <n v="0.05"/>
    <x v="0"/>
    <x v="0"/>
    <m/>
    <x v="0"/>
    <x v="0"/>
    <x v="0"/>
    <x v="0"/>
    <x v="0"/>
    <n v="0"/>
    <n v="0"/>
    <n v="0.05"/>
    <n v="11.95"/>
    <x v="1"/>
    <x v="0"/>
    <m/>
    <x v="0"/>
    <n v="82"/>
    <x v="0"/>
    <x v="35"/>
    <x v="18"/>
    <x v="0"/>
    <x v="0"/>
  </r>
  <r>
    <x v="1"/>
    <x v="13"/>
    <s v="3255 F"/>
    <x v="306"/>
    <s v="Usman Amin"/>
    <s v="LDN"/>
    <n v="19"/>
    <s v="6"/>
    <s v="LDN"/>
    <n v="88"/>
    <x v="1"/>
    <n v="2"/>
    <n v="97"/>
    <n v="4.2"/>
    <m/>
    <x v="0"/>
    <n v="92.8"/>
    <n v="92.8"/>
    <m/>
    <x v="0"/>
    <x v="0"/>
    <n v="0"/>
    <n v="0"/>
    <x v="0"/>
    <x v="0"/>
    <m/>
    <x v="0"/>
    <x v="0"/>
    <x v="0"/>
    <x v="0"/>
    <x v="0"/>
    <n v="0"/>
    <n v="0"/>
    <n v="0"/>
    <n v="12"/>
    <x v="1"/>
    <x v="0"/>
    <m/>
    <x v="0"/>
    <n v="102"/>
    <x v="0"/>
    <x v="35"/>
    <x v="18"/>
    <x v="0"/>
    <x v="0"/>
  </r>
  <r>
    <x v="1"/>
    <x v="13"/>
    <s v="3258 F"/>
    <x v="306"/>
    <s v="Usman Amin"/>
    <s v="LDN"/>
    <n v="19"/>
    <s v="12"/>
    <s v="LDN"/>
    <n v="200"/>
    <x v="1"/>
    <n v="2"/>
    <n v="102.5"/>
    <n v="3.8"/>
    <m/>
    <x v="0"/>
    <n v="98.7"/>
    <n v="203.9"/>
    <m/>
    <x v="0"/>
    <x v="0"/>
    <n v="0"/>
    <n v="0"/>
    <x v="0"/>
    <x v="0"/>
    <m/>
    <x v="0"/>
    <x v="0"/>
    <x v="0"/>
    <x v="0"/>
    <x v="0"/>
    <n v="0"/>
    <n v="0"/>
    <n v="0"/>
    <n v="12"/>
    <x v="1"/>
    <x v="0"/>
    <m/>
    <x v="0"/>
    <n v="107.5"/>
    <x v="0"/>
    <x v="35"/>
    <x v="18"/>
    <x v="0"/>
    <x v="0"/>
  </r>
  <r>
    <x v="0"/>
    <x v="12"/>
    <s v="2873/1"/>
    <x v="306"/>
    <s v="MATCO FOOD"/>
    <s v="LDN"/>
    <s v="22.5-23"/>
    <s v="70±2"/>
    <s v="SL"/>
    <n v="3150"/>
    <x v="1"/>
    <n v="3"/>
    <n v="344"/>
    <n v="5.8"/>
    <m/>
    <x v="0"/>
    <n v="338.2"/>
    <n v="2435.6999999999998"/>
    <n v="5"/>
    <x v="0"/>
    <x v="0"/>
    <n v="5"/>
    <n v="8.3333333333333329E-2"/>
    <x v="0"/>
    <x v="0"/>
    <m/>
    <x v="0"/>
    <x v="0"/>
    <x v="0"/>
    <x v="0"/>
    <x v="0"/>
    <n v="0"/>
    <n v="0"/>
    <n v="8.3333333333333329E-2"/>
    <n v="11.916666666666666"/>
    <x v="1"/>
    <x v="0"/>
    <m/>
    <x v="0"/>
    <n v="349"/>
    <x v="0"/>
    <x v="35"/>
    <x v="18"/>
    <x v="0"/>
    <x v="0"/>
  </r>
  <r>
    <x v="0"/>
    <x v="12"/>
    <s v="8707 J"/>
    <x v="306"/>
    <s v="M.K.B Peshawar"/>
    <s v="LDN"/>
    <n v="20"/>
    <s v="6-6.5"/>
    <s v="LDN"/>
    <n v="200"/>
    <x v="1"/>
    <n v="3"/>
    <n v="157"/>
    <n v="6.5"/>
    <n v="10"/>
    <x v="0"/>
    <n v="150.5"/>
    <n v="200.5"/>
    <m/>
    <x v="0"/>
    <x v="0"/>
    <n v="0"/>
    <n v="0"/>
    <x v="0"/>
    <x v="0"/>
    <m/>
    <x v="0"/>
    <x v="0"/>
    <x v="0"/>
    <x v="0"/>
    <x v="0"/>
    <n v="0"/>
    <n v="0"/>
    <n v="0"/>
    <n v="12"/>
    <x v="1"/>
    <x v="0"/>
    <m/>
    <x v="0"/>
    <n v="162"/>
    <x v="0"/>
    <x v="35"/>
    <x v="18"/>
    <x v="0"/>
    <x v="0"/>
  </r>
  <r>
    <x v="1"/>
    <x v="12"/>
    <s v="8707 J"/>
    <x v="306"/>
    <s v="M.K.B Peshawar"/>
    <s v="LDN"/>
    <n v="20"/>
    <s v="6-6.5"/>
    <s v="LDN"/>
    <n v="200"/>
    <x v="1"/>
    <n v="1"/>
    <n v="51.5"/>
    <n v="1.5"/>
    <n v="8"/>
    <x v="0"/>
    <n v="50"/>
    <n v="200.5"/>
    <n v="3"/>
    <x v="0"/>
    <x v="0"/>
    <n v="3"/>
    <n v="0.05"/>
    <x v="0"/>
    <x v="0"/>
    <m/>
    <x v="0"/>
    <x v="0"/>
    <x v="0"/>
    <x v="0"/>
    <x v="0"/>
    <n v="0"/>
    <n v="0"/>
    <n v="0.05"/>
    <n v="11.95"/>
    <x v="1"/>
    <x v="0"/>
    <m/>
    <x v="0"/>
    <n v="56.5"/>
    <x v="0"/>
    <x v="35"/>
    <x v="18"/>
    <x v="0"/>
    <x v="0"/>
  </r>
  <r>
    <x v="1"/>
    <x v="12"/>
    <s v="8708 J"/>
    <x v="306"/>
    <s v="M.K.B Peshawar"/>
    <s v="LDN"/>
    <n v="22"/>
    <s v="6-6.5"/>
    <s v="LDN"/>
    <n v="200"/>
    <x v="1"/>
    <n v="4"/>
    <n v="205.5"/>
    <n v="8"/>
    <m/>
    <x v="0"/>
    <n v="197.5"/>
    <n v="197.5"/>
    <n v="2"/>
    <x v="0"/>
    <x v="0"/>
    <n v="2"/>
    <n v="3.3333333333333333E-2"/>
    <x v="0"/>
    <x v="0"/>
    <m/>
    <x v="0"/>
    <x v="0"/>
    <x v="0"/>
    <x v="0"/>
    <x v="0"/>
    <n v="0"/>
    <n v="0"/>
    <n v="3.3333333333333333E-2"/>
    <n v="11.966666666666667"/>
    <x v="1"/>
    <x v="0"/>
    <m/>
    <x v="0"/>
    <n v="210.5"/>
    <x v="0"/>
    <x v="35"/>
    <x v="18"/>
    <x v="0"/>
    <x v="0"/>
  </r>
  <r>
    <x v="1"/>
    <x v="12"/>
    <s v="3279 F"/>
    <x v="306"/>
    <s v="Usman Amin"/>
    <s v="LDN"/>
    <n v="21"/>
    <s v="5-5.5"/>
    <s v="LDN"/>
    <n v="385"/>
    <x v="1"/>
    <n v="2"/>
    <n v="114"/>
    <n v="3"/>
    <m/>
    <x v="0"/>
    <n v="111"/>
    <n v="111"/>
    <n v="5"/>
    <x v="0"/>
    <x v="0"/>
    <n v="5"/>
    <n v="8.3333333333333329E-2"/>
    <x v="0"/>
    <x v="0"/>
    <m/>
    <x v="0"/>
    <x v="0"/>
    <x v="0"/>
    <x v="0"/>
    <x v="0"/>
    <n v="0"/>
    <n v="0"/>
    <n v="8.3333333333333329E-2"/>
    <n v="11.916666666666666"/>
    <x v="1"/>
    <x v="0"/>
    <m/>
    <x v="0"/>
    <n v="119"/>
    <x v="0"/>
    <x v="35"/>
    <x v="18"/>
    <x v="0"/>
    <x v="0"/>
  </r>
  <r>
    <x v="0"/>
    <x v="8"/>
    <s v="8761 J"/>
    <x v="307"/>
    <s v="Al Buraq Deparmental Store Lahore"/>
    <s v="LDN"/>
    <n v="9"/>
    <s v="14-15"/>
    <s v="LDN"/>
    <n v="200"/>
    <x v="1"/>
    <n v="2"/>
    <n v="92.5"/>
    <n v="2.1"/>
    <m/>
    <x v="0"/>
    <n v="90.4"/>
    <n v="201.4"/>
    <m/>
    <x v="0"/>
    <x v="0"/>
    <n v="0"/>
    <n v="0"/>
    <x v="0"/>
    <x v="0"/>
    <m/>
    <x v="0"/>
    <x v="0"/>
    <x v="0"/>
    <x v="0"/>
    <x v="0"/>
    <n v="0"/>
    <n v="0"/>
    <n v="0"/>
    <n v="12"/>
    <x v="1"/>
    <x v="0"/>
    <m/>
    <x v="0"/>
    <n v="97.5"/>
    <x v="0"/>
    <x v="36"/>
    <x v="18"/>
    <x v="0"/>
    <x v="0"/>
  </r>
  <r>
    <x v="0"/>
    <x v="8"/>
    <s v="STOCK"/>
    <x v="307"/>
    <s v="STOCK"/>
    <s v="LDN"/>
    <n v="9"/>
    <s v="14"/>
    <m/>
    <m/>
    <x v="1"/>
    <n v="1"/>
    <n v="58"/>
    <n v="1"/>
    <m/>
    <x v="0"/>
    <n v="57"/>
    <n v="2156.44"/>
    <m/>
    <x v="0"/>
    <x v="0"/>
    <n v="0"/>
    <n v="0"/>
    <x v="0"/>
    <x v="0"/>
    <m/>
    <x v="0"/>
    <x v="0"/>
    <x v="0"/>
    <x v="0"/>
    <x v="0"/>
    <n v="0"/>
    <n v="0"/>
    <n v="0"/>
    <n v="12"/>
    <x v="1"/>
    <x v="0"/>
    <m/>
    <x v="0"/>
    <n v="63"/>
    <x v="0"/>
    <x v="36"/>
    <x v="18"/>
    <x v="0"/>
    <x v="0"/>
  </r>
  <r>
    <x v="1"/>
    <x v="8"/>
    <s v="8761 J"/>
    <x v="307"/>
    <s v="Al Buraq Deparmental Store Lahore"/>
    <s v="LDN"/>
    <n v="9"/>
    <s v="14-15"/>
    <s v="LDN"/>
    <n v="200"/>
    <x v="1"/>
    <n v="2"/>
    <n v="71"/>
    <n v="2"/>
    <m/>
    <x v="0"/>
    <n v="69"/>
    <n v="201.4"/>
    <m/>
    <x v="0"/>
    <x v="0"/>
    <n v="0"/>
    <n v="0"/>
    <x v="0"/>
    <x v="0"/>
    <m/>
    <x v="0"/>
    <x v="0"/>
    <x v="0"/>
    <x v="0"/>
    <x v="0"/>
    <n v="0"/>
    <n v="0"/>
    <n v="0"/>
    <n v="12"/>
    <x v="1"/>
    <x v="0"/>
    <m/>
    <x v="0"/>
    <n v="76"/>
    <x v="0"/>
    <x v="36"/>
    <x v="18"/>
    <x v="0"/>
    <x v="0"/>
  </r>
  <r>
    <x v="1"/>
    <x v="8"/>
    <s v="8702 J"/>
    <x v="307"/>
    <s v="Bolan Pastry Shop Quita"/>
    <s v="LDN"/>
    <n v="10.5"/>
    <s v="6-6.5"/>
    <s v="LDN"/>
    <n v="200"/>
    <x v="1"/>
    <n v="2"/>
    <n v="61"/>
    <n v="2"/>
    <n v="2"/>
    <x v="0"/>
    <n v="59"/>
    <n v="212.5"/>
    <n v="2"/>
    <x v="0"/>
    <x v="0"/>
    <n v="2"/>
    <n v="3.3333333333333333E-2"/>
    <x v="0"/>
    <x v="0"/>
    <m/>
    <x v="0"/>
    <x v="0"/>
    <x v="0"/>
    <x v="0"/>
    <x v="0"/>
    <n v="0"/>
    <n v="0"/>
    <n v="3.3333333333333333E-2"/>
    <n v="11.966666666666667"/>
    <x v="1"/>
    <x v="0"/>
    <m/>
    <x v="0"/>
    <n v="66"/>
    <x v="0"/>
    <x v="36"/>
    <x v="18"/>
    <x v="0"/>
    <x v="0"/>
  </r>
  <r>
    <x v="0"/>
    <x v="9"/>
    <s v="8704 J"/>
    <x v="307"/>
    <s v="Bolan Pastry Shop Quita"/>
    <s v="LDN"/>
    <n v="8"/>
    <s v="6-6.5"/>
    <s v="LDN"/>
    <n v="200"/>
    <x v="1"/>
    <n v="4"/>
    <n v="143"/>
    <n v="4"/>
    <n v="4"/>
    <x v="0"/>
    <n v="139"/>
    <n v="217.9"/>
    <m/>
    <x v="0"/>
    <x v="0"/>
    <n v="0"/>
    <n v="0"/>
    <x v="0"/>
    <x v="0"/>
    <m/>
    <x v="0"/>
    <x v="0"/>
    <x v="0"/>
    <x v="0"/>
    <x v="0"/>
    <n v="0"/>
    <n v="0"/>
    <n v="0"/>
    <n v="12"/>
    <x v="1"/>
    <x v="0"/>
    <m/>
    <x v="0"/>
    <n v="148"/>
    <x v="0"/>
    <x v="36"/>
    <x v="18"/>
    <x v="0"/>
    <x v="0"/>
  </r>
  <r>
    <x v="1"/>
    <x v="9"/>
    <s v="8742 J"/>
    <x v="307"/>
    <s v="Bolan Pastry Shop Quita"/>
    <s v="LDN"/>
    <n v="9"/>
    <s v="6-6.5"/>
    <s v="LDN"/>
    <n v="100"/>
    <x v="1"/>
    <n v="3"/>
    <n v="101"/>
    <n v="3"/>
    <n v="5"/>
    <x v="0"/>
    <n v="98"/>
    <n v="98"/>
    <n v="3"/>
    <x v="0"/>
    <x v="0"/>
    <n v="3"/>
    <n v="0.05"/>
    <x v="0"/>
    <x v="0"/>
    <m/>
    <x v="0"/>
    <x v="0"/>
    <x v="0"/>
    <x v="0"/>
    <x v="0"/>
    <n v="0"/>
    <n v="0"/>
    <n v="0.05"/>
    <n v="11.95"/>
    <x v="1"/>
    <x v="0"/>
    <m/>
    <x v="0"/>
    <n v="106"/>
    <x v="0"/>
    <x v="36"/>
    <x v="18"/>
    <x v="0"/>
    <x v="0"/>
  </r>
  <r>
    <x v="1"/>
    <x v="9"/>
    <s v="8703 J"/>
    <x v="307"/>
    <s v="Bolan Pastry Shop Quita"/>
    <s v="LDN"/>
    <n v="9"/>
    <s v="6-6.5"/>
    <s v="LDN"/>
    <n v="100"/>
    <x v="1"/>
    <n v="1"/>
    <n v="29.5"/>
    <n v="1"/>
    <m/>
    <x v="0"/>
    <n v="28.5"/>
    <n v="142.19999999999999"/>
    <m/>
    <x v="0"/>
    <x v="0"/>
    <n v="0"/>
    <n v="0"/>
    <x v="0"/>
    <x v="0"/>
    <m/>
    <x v="0"/>
    <x v="0"/>
    <x v="0"/>
    <x v="0"/>
    <x v="0"/>
    <n v="0"/>
    <n v="0"/>
    <n v="0"/>
    <n v="12"/>
    <x v="1"/>
    <x v="0"/>
    <m/>
    <x v="0"/>
    <n v="34.5"/>
    <x v="0"/>
    <x v="36"/>
    <x v="18"/>
    <x v="0"/>
    <x v="0"/>
  </r>
  <r>
    <x v="0"/>
    <x v="10"/>
    <m/>
    <x v="307"/>
    <s v="GUTKA"/>
    <m/>
    <n v="12"/>
    <s v="80"/>
    <m/>
    <m/>
    <x v="1"/>
    <n v="9"/>
    <n v="273.3"/>
    <n v="10.799999999999999"/>
    <n v="52"/>
    <x v="0"/>
    <n v="262.5"/>
    <n v="0"/>
    <m/>
    <x v="14"/>
    <x v="0"/>
    <n v="170"/>
    <n v="2.8333333333333335"/>
    <x v="0"/>
    <x v="0"/>
    <m/>
    <x v="16"/>
    <x v="0"/>
    <x v="0"/>
    <x v="0"/>
    <x v="0"/>
    <n v="21"/>
    <n v="0.35"/>
    <n v="3.1833333333333336"/>
    <n v="8.8166666666666664"/>
    <x v="1"/>
    <x v="0"/>
    <m/>
    <x v="0"/>
    <n v="278.3"/>
    <x v="0"/>
    <x v="36"/>
    <x v="18"/>
    <x v="0"/>
    <x v="0"/>
  </r>
  <r>
    <x v="1"/>
    <x v="10"/>
    <m/>
    <x v="307"/>
    <s v="GUTKA"/>
    <m/>
    <n v="12"/>
    <s v="80"/>
    <m/>
    <m/>
    <x v="1"/>
    <n v="12"/>
    <n v="276.12"/>
    <n v="14.399999999999999"/>
    <n v="48"/>
    <x v="0"/>
    <n v="261.72000000000003"/>
    <n v="0"/>
    <m/>
    <x v="0"/>
    <x v="0"/>
    <n v="0"/>
    <n v="0"/>
    <x v="0"/>
    <x v="0"/>
    <m/>
    <x v="9"/>
    <x v="0"/>
    <x v="0"/>
    <x v="0"/>
    <x v="0"/>
    <n v="15"/>
    <n v="0.25"/>
    <n v="0.25"/>
    <n v="11.75"/>
    <x v="1"/>
    <x v="0"/>
    <m/>
    <x v="0"/>
    <n v="281.12"/>
    <x v="0"/>
    <x v="36"/>
    <x v="18"/>
    <x v="0"/>
    <x v="0"/>
  </r>
  <r>
    <x v="0"/>
    <x v="13"/>
    <s v="3258 F"/>
    <x v="307"/>
    <s v="Usman Amin"/>
    <s v="LDN"/>
    <n v="19"/>
    <s v="12"/>
    <s v="LDN"/>
    <n v="200"/>
    <x v="1"/>
    <n v="2"/>
    <n v="110"/>
    <n v="4.8"/>
    <n v="10"/>
    <x v="0"/>
    <n v="105.2"/>
    <n v="203.9"/>
    <m/>
    <x v="0"/>
    <x v="0"/>
    <n v="0"/>
    <n v="0"/>
    <x v="0"/>
    <x v="0"/>
    <m/>
    <x v="0"/>
    <x v="0"/>
    <x v="0"/>
    <x v="0"/>
    <x v="0"/>
    <n v="0"/>
    <n v="0"/>
    <n v="0"/>
    <n v="12"/>
    <x v="1"/>
    <x v="0"/>
    <m/>
    <x v="0"/>
    <n v="115"/>
    <x v="0"/>
    <x v="36"/>
    <x v="18"/>
    <x v="0"/>
    <x v="0"/>
  </r>
  <r>
    <x v="0"/>
    <x v="13"/>
    <s v="3275 F"/>
    <x v="307"/>
    <s v="Usman Amin"/>
    <s v="LDN"/>
    <n v="15"/>
    <s v="7-7.5"/>
    <s v="LDN"/>
    <n v="150"/>
    <x v="1"/>
    <n v="3"/>
    <n v="155"/>
    <n v="5.4"/>
    <m/>
    <x v="0"/>
    <n v="149.6"/>
    <n v="149.6"/>
    <m/>
    <x v="0"/>
    <x v="0"/>
    <n v="0"/>
    <n v="0"/>
    <x v="0"/>
    <x v="0"/>
    <m/>
    <x v="0"/>
    <x v="0"/>
    <x v="0"/>
    <x v="0"/>
    <x v="0"/>
    <n v="0"/>
    <n v="0"/>
    <n v="0"/>
    <n v="12"/>
    <x v="1"/>
    <x v="0"/>
    <m/>
    <x v="0"/>
    <n v="160"/>
    <x v="0"/>
    <x v="36"/>
    <x v="18"/>
    <x v="0"/>
    <x v="0"/>
  </r>
  <r>
    <x v="0"/>
    <x v="13"/>
    <s v="3265 F"/>
    <x v="307"/>
    <s v="Usman Amin"/>
    <s v="LDN"/>
    <n v="14"/>
    <s v="12"/>
    <s v="LDN"/>
    <n v="80"/>
    <x v="1"/>
    <n v="1"/>
    <n v="35.5"/>
    <n v="1.6"/>
    <m/>
    <x v="0"/>
    <n v="33.9"/>
    <n v="78.099999999999994"/>
    <m/>
    <x v="0"/>
    <x v="0"/>
    <n v="0"/>
    <n v="0"/>
    <x v="0"/>
    <x v="0"/>
    <m/>
    <x v="0"/>
    <x v="0"/>
    <x v="0"/>
    <x v="0"/>
    <x v="0"/>
    <n v="0"/>
    <n v="0"/>
    <n v="0"/>
    <n v="12"/>
    <x v="1"/>
    <x v="0"/>
    <m/>
    <x v="0"/>
    <n v="40.5"/>
    <x v="0"/>
    <x v="36"/>
    <x v="18"/>
    <x v="0"/>
    <x v="0"/>
  </r>
  <r>
    <x v="1"/>
    <x v="13"/>
    <s v="3265 F"/>
    <x v="307"/>
    <s v="Usman Amin"/>
    <s v="LDN"/>
    <n v="14"/>
    <s v="12"/>
    <s v="LDN"/>
    <n v="80"/>
    <x v="1"/>
    <n v="1"/>
    <n v="46"/>
    <n v="1.8"/>
    <m/>
    <x v="0"/>
    <n v="44.2"/>
    <n v="78.099999999999994"/>
    <m/>
    <x v="0"/>
    <x v="0"/>
    <n v="0"/>
    <n v="0"/>
    <x v="0"/>
    <x v="0"/>
    <m/>
    <x v="0"/>
    <x v="0"/>
    <x v="0"/>
    <x v="0"/>
    <x v="0"/>
    <n v="0"/>
    <n v="0"/>
    <n v="0"/>
    <n v="12"/>
    <x v="1"/>
    <x v="0"/>
    <m/>
    <x v="0"/>
    <n v="51"/>
    <x v="0"/>
    <x v="36"/>
    <x v="18"/>
    <x v="0"/>
    <x v="0"/>
  </r>
  <r>
    <x v="1"/>
    <x v="13"/>
    <s v="3261 F"/>
    <x v="307"/>
    <s v="Usman Amin"/>
    <s v="LDN"/>
    <n v="17"/>
    <s v="12"/>
    <s v="LDN"/>
    <n v="160"/>
    <x v="1"/>
    <n v="3"/>
    <n v="167.5"/>
    <n v="5.6999999999999993"/>
    <m/>
    <x v="0"/>
    <n v="161.80000000000001"/>
    <n v="161.80000000000001"/>
    <m/>
    <x v="0"/>
    <x v="0"/>
    <n v="0"/>
    <n v="0"/>
    <x v="0"/>
    <x v="0"/>
    <m/>
    <x v="0"/>
    <x v="0"/>
    <x v="0"/>
    <x v="0"/>
    <x v="0"/>
    <n v="0"/>
    <n v="0"/>
    <n v="0"/>
    <n v="12"/>
    <x v="1"/>
    <x v="0"/>
    <m/>
    <x v="0"/>
    <n v="172.5"/>
    <x v="0"/>
    <x v="36"/>
    <x v="18"/>
    <x v="0"/>
    <x v="0"/>
  </r>
  <r>
    <x v="1"/>
    <x v="13"/>
    <s v="3266 F"/>
    <x v="307"/>
    <s v="Usman Amin"/>
    <s v="LDN"/>
    <n v="17"/>
    <s v="12"/>
    <s v="LDN"/>
    <n v="170"/>
    <x v="1"/>
    <n v="1"/>
    <n v="73"/>
    <n v="1.7"/>
    <n v="12"/>
    <x v="0"/>
    <n v="71.3"/>
    <n v="179.89999999999998"/>
    <m/>
    <x v="0"/>
    <x v="0"/>
    <n v="0"/>
    <n v="0"/>
    <x v="0"/>
    <x v="0"/>
    <m/>
    <x v="0"/>
    <x v="0"/>
    <x v="0"/>
    <x v="0"/>
    <x v="0"/>
    <n v="0"/>
    <n v="0"/>
    <n v="0"/>
    <n v="12"/>
    <x v="1"/>
    <x v="0"/>
    <m/>
    <x v="0"/>
    <n v="78"/>
    <x v="0"/>
    <x v="36"/>
    <x v="18"/>
    <x v="0"/>
    <x v="0"/>
  </r>
  <r>
    <x v="0"/>
    <x v="12"/>
    <s v="8803 J"/>
    <x v="307"/>
    <s v="Usman Arif Butt Gujranwala"/>
    <s v="LDN"/>
    <n v="18"/>
    <s v="7-7.5"/>
    <s v="LDN"/>
    <n v="200"/>
    <x v="1"/>
    <n v="4"/>
    <n v="215"/>
    <n v="7.5"/>
    <m/>
    <x v="0"/>
    <n v="207.5"/>
    <n v="207.5"/>
    <m/>
    <x v="0"/>
    <x v="0"/>
    <n v="0"/>
    <n v="0"/>
    <x v="0"/>
    <x v="0"/>
    <m/>
    <x v="0"/>
    <x v="0"/>
    <x v="0"/>
    <x v="0"/>
    <x v="0"/>
    <n v="0"/>
    <n v="0"/>
    <n v="0"/>
    <n v="12"/>
    <x v="1"/>
    <x v="0"/>
    <m/>
    <x v="0"/>
    <n v="220"/>
    <x v="0"/>
    <x v="36"/>
    <x v="18"/>
    <x v="0"/>
    <x v="0"/>
  </r>
  <r>
    <x v="0"/>
    <x v="12"/>
    <s v="3273 F"/>
    <x v="307"/>
    <s v="Usman Amin"/>
    <s v="LDN"/>
    <n v="25"/>
    <s v="6.5-7"/>
    <s v="LDN"/>
    <n v="160"/>
    <x v="1"/>
    <n v="3"/>
    <n v="228.5"/>
    <n v="5.5"/>
    <n v="7"/>
    <x v="0"/>
    <n v="223"/>
    <n v="223"/>
    <m/>
    <x v="0"/>
    <x v="0"/>
    <n v="0"/>
    <n v="0"/>
    <x v="0"/>
    <x v="0"/>
    <m/>
    <x v="0"/>
    <x v="0"/>
    <x v="0"/>
    <x v="0"/>
    <x v="0"/>
    <n v="0"/>
    <n v="0"/>
    <n v="0"/>
    <n v="12"/>
    <x v="1"/>
    <x v="0"/>
    <m/>
    <x v="0"/>
    <n v="233.5"/>
    <x v="0"/>
    <x v="36"/>
    <x v="18"/>
    <x v="0"/>
    <x v="0"/>
  </r>
  <r>
    <x v="1"/>
    <x v="12"/>
    <s v="3276 F"/>
    <x v="307"/>
    <s v="Usman Amin"/>
    <s v="LDN"/>
    <s v="16 SHEET"/>
    <s v="3-3.25/6-6.5"/>
    <s v="LDN"/>
    <n v="700"/>
    <x v="1"/>
    <n v="4"/>
    <n v="291.5"/>
    <n v="8"/>
    <n v="49"/>
    <x v="0"/>
    <n v="283.5"/>
    <n v="1263.4000000000001"/>
    <m/>
    <x v="0"/>
    <x v="0"/>
    <n v="0"/>
    <n v="0"/>
    <x v="0"/>
    <x v="0"/>
    <m/>
    <x v="0"/>
    <x v="0"/>
    <x v="0"/>
    <x v="0"/>
    <x v="0"/>
    <n v="0"/>
    <n v="0"/>
    <n v="0"/>
    <n v="12"/>
    <x v="1"/>
    <x v="0"/>
    <m/>
    <x v="0"/>
    <n v="296.5"/>
    <x v="0"/>
    <x v="36"/>
    <x v="18"/>
    <x v="0"/>
    <x v="0"/>
  </r>
  <r>
    <x v="0"/>
    <x v="8"/>
    <s v="8702 J"/>
    <x v="308"/>
    <s v="Bolan Pastry Shop Quita"/>
    <s v="LDN"/>
    <n v="10.5"/>
    <s v="6-6.5"/>
    <s v="LDN"/>
    <n v="200"/>
    <x v="1"/>
    <n v="3"/>
    <n v="103.5"/>
    <n v="3.5999999999999996"/>
    <m/>
    <x v="0"/>
    <n v="99.9"/>
    <n v="212.5"/>
    <m/>
    <x v="0"/>
    <x v="0"/>
    <n v="0"/>
    <n v="0"/>
    <x v="0"/>
    <x v="0"/>
    <m/>
    <x v="0"/>
    <x v="0"/>
    <x v="0"/>
    <x v="0"/>
    <x v="0"/>
    <n v="0"/>
    <n v="0"/>
    <n v="0"/>
    <n v="12"/>
    <x v="1"/>
    <x v="0"/>
    <m/>
    <x v="0"/>
    <n v="108.5"/>
    <x v="0"/>
    <x v="36"/>
    <x v="18"/>
    <x v="0"/>
    <x v="0"/>
  </r>
  <r>
    <x v="1"/>
    <x v="8"/>
    <s v="8702 J"/>
    <x v="308"/>
    <s v="Bolan Pastry Shop Quita"/>
    <s v="LDN"/>
    <n v="10.5"/>
    <s v="6-6.5"/>
    <s v="LDN"/>
    <n v="200"/>
    <x v="1"/>
    <n v="2"/>
    <n v="56"/>
    <n v="2.4"/>
    <m/>
    <x v="0"/>
    <n v="53.6"/>
    <n v="212.5"/>
    <m/>
    <x v="0"/>
    <x v="0"/>
    <n v="0"/>
    <n v="0"/>
    <x v="0"/>
    <x v="0"/>
    <m/>
    <x v="0"/>
    <x v="0"/>
    <x v="0"/>
    <x v="0"/>
    <x v="0"/>
    <n v="0"/>
    <n v="0"/>
    <n v="0"/>
    <n v="12"/>
    <x v="1"/>
    <x v="0"/>
    <m/>
    <x v="0"/>
    <n v="61"/>
    <x v="0"/>
    <x v="36"/>
    <x v="18"/>
    <x v="0"/>
    <x v="0"/>
  </r>
  <r>
    <x v="1"/>
    <x v="8"/>
    <s v="8705 J"/>
    <x v="308"/>
    <s v="Bolan Pastry Shop Quita"/>
    <s v="LDN"/>
    <n v="11"/>
    <s v="6-6.5"/>
    <s v="LDN"/>
    <n v="100"/>
    <x v="1"/>
    <n v="2"/>
    <n v="60"/>
    <n v="2.4"/>
    <n v="12"/>
    <x v="0"/>
    <n v="57.6"/>
    <n v="97.7"/>
    <m/>
    <x v="0"/>
    <x v="0"/>
    <n v="0"/>
    <n v="0"/>
    <x v="0"/>
    <x v="0"/>
    <m/>
    <x v="0"/>
    <x v="0"/>
    <x v="0"/>
    <x v="0"/>
    <x v="0"/>
    <n v="0"/>
    <n v="0"/>
    <n v="0"/>
    <n v="12"/>
    <x v="1"/>
    <x v="0"/>
    <m/>
    <x v="0"/>
    <n v="65"/>
    <x v="0"/>
    <x v="36"/>
    <x v="18"/>
    <x v="0"/>
    <x v="0"/>
  </r>
  <r>
    <x v="0"/>
    <x v="9"/>
    <s v="8703 J"/>
    <x v="308"/>
    <s v="Bolan Pastry Shop Quita"/>
    <s v="LDN"/>
    <n v="9"/>
    <s v="6-6.5"/>
    <s v="LDN"/>
    <n v="100"/>
    <x v="1"/>
    <n v="2"/>
    <n v="90.5"/>
    <n v="2.2999999999999998"/>
    <m/>
    <x v="0"/>
    <n v="88.2"/>
    <n v="142.19999999999999"/>
    <m/>
    <x v="0"/>
    <x v="0"/>
    <n v="0"/>
    <n v="0"/>
    <x v="0"/>
    <x v="0"/>
    <m/>
    <x v="0"/>
    <x v="0"/>
    <x v="0"/>
    <x v="0"/>
    <x v="0"/>
    <n v="0"/>
    <n v="0"/>
    <n v="0"/>
    <n v="12"/>
    <x v="1"/>
    <x v="0"/>
    <m/>
    <x v="0"/>
    <n v="95.5"/>
    <x v="0"/>
    <x v="36"/>
    <x v="18"/>
    <x v="0"/>
    <x v="0"/>
  </r>
  <r>
    <x v="0"/>
    <x v="9"/>
    <s v="8882 J"/>
    <x v="308"/>
    <s v="Atlas Honda LTD (SKP)"/>
    <s v="LDN"/>
    <n v="8"/>
    <s v="8.5-9"/>
    <s v="LDN"/>
    <n v="240.97815764482428"/>
    <x v="1"/>
    <n v="1"/>
    <n v="34.5"/>
    <n v="1.2"/>
    <n v="10"/>
    <x v="0"/>
    <n v="33.299999999999997"/>
    <n v="288.2"/>
    <n v="5"/>
    <x v="0"/>
    <x v="0"/>
    <n v="5"/>
    <n v="8.3333333333333329E-2"/>
    <x v="0"/>
    <x v="0"/>
    <m/>
    <x v="0"/>
    <x v="0"/>
    <x v="0"/>
    <x v="0"/>
    <x v="0"/>
    <n v="0"/>
    <n v="0"/>
    <n v="8.3333333333333329E-2"/>
    <n v="11.916666666666666"/>
    <x v="1"/>
    <x v="0"/>
    <m/>
    <x v="0"/>
    <n v="39.5"/>
    <x v="0"/>
    <x v="36"/>
    <x v="18"/>
    <x v="0"/>
    <x v="0"/>
  </r>
  <r>
    <x v="1"/>
    <x v="9"/>
    <s v="8882 J"/>
    <x v="308"/>
    <s v="Atlas Honda LTD (SKP)"/>
    <s v="LDN"/>
    <n v="8"/>
    <s v="8.5-9"/>
    <s v="LDN"/>
    <n v="240.97815764482428"/>
    <x v="1"/>
    <n v="4"/>
    <n v="145"/>
    <n v="4.8"/>
    <m/>
    <x v="0"/>
    <n v="140.19999999999999"/>
    <n v="288.2"/>
    <m/>
    <x v="0"/>
    <x v="0"/>
    <n v="0"/>
    <n v="0"/>
    <x v="0"/>
    <x v="0"/>
    <m/>
    <x v="0"/>
    <x v="0"/>
    <x v="0"/>
    <x v="0"/>
    <x v="0"/>
    <n v="0"/>
    <n v="0"/>
    <n v="0"/>
    <n v="12"/>
    <x v="1"/>
    <x v="0"/>
    <m/>
    <x v="0"/>
    <n v="150"/>
    <x v="0"/>
    <x v="36"/>
    <x v="18"/>
    <x v="0"/>
    <x v="0"/>
  </r>
  <r>
    <x v="0"/>
    <x v="11"/>
    <s v="8485 J"/>
    <x v="308"/>
    <s v="Ahmed Miss Print Sheikhupura"/>
    <s v="LDرنگدار"/>
    <n v="18"/>
    <s v="13-14"/>
    <s v="LDM"/>
    <n v="900"/>
    <x v="1"/>
    <n v="2"/>
    <n v="92"/>
    <n v="3.4"/>
    <m/>
    <x v="0"/>
    <n v="88.6"/>
    <n v="1105.5999999999999"/>
    <m/>
    <x v="5"/>
    <x v="0"/>
    <n v="180"/>
    <n v="3"/>
    <x v="0"/>
    <x v="0"/>
    <m/>
    <x v="0"/>
    <x v="8"/>
    <x v="0"/>
    <x v="0"/>
    <x v="0"/>
    <n v="40"/>
    <n v="0.66666666666666663"/>
    <n v="3.6666666666666665"/>
    <n v="8.3333333333333339"/>
    <x v="1"/>
    <x v="0"/>
    <m/>
    <x v="0"/>
    <n v="97"/>
    <x v="0"/>
    <x v="36"/>
    <x v="18"/>
    <x v="0"/>
    <x v="0"/>
  </r>
  <r>
    <x v="0"/>
    <x v="11"/>
    <s v="8744 J"/>
    <x v="308"/>
    <s v="Zephyr Textile Limited"/>
    <s v="LD سکائی بلو"/>
    <n v="18"/>
    <s v="22-23"/>
    <s v="LDM"/>
    <n v="200"/>
    <x v="1"/>
    <n v="3"/>
    <n v="173"/>
    <n v="4.9000000000000004"/>
    <n v="25"/>
    <x v="0"/>
    <n v="168.1"/>
    <n v="216.3"/>
    <m/>
    <x v="0"/>
    <x v="0"/>
    <n v="0"/>
    <n v="0"/>
    <x v="0"/>
    <x v="0"/>
    <m/>
    <x v="0"/>
    <x v="0"/>
    <x v="0"/>
    <x v="0"/>
    <x v="0"/>
    <n v="0"/>
    <n v="0"/>
    <n v="0"/>
    <n v="12"/>
    <x v="1"/>
    <x v="0"/>
    <m/>
    <x v="0"/>
    <n v="178"/>
    <x v="0"/>
    <x v="36"/>
    <x v="18"/>
    <x v="0"/>
    <x v="0"/>
  </r>
  <r>
    <x v="1"/>
    <x v="11"/>
    <s v="8744 J"/>
    <x v="308"/>
    <s v="Zephyr Textile Limited"/>
    <s v="LD سکائی بلو"/>
    <n v="18"/>
    <s v="22-23"/>
    <s v="LDM"/>
    <n v="200"/>
    <x v="1"/>
    <n v="1"/>
    <n v="50"/>
    <n v="1.8"/>
    <n v="10"/>
    <x v="0"/>
    <n v="48.2"/>
    <n v="216.3"/>
    <n v="20"/>
    <x v="0"/>
    <x v="0"/>
    <n v="20"/>
    <n v="0.33333333333333331"/>
    <x v="0"/>
    <x v="0"/>
    <m/>
    <x v="0"/>
    <x v="0"/>
    <x v="0"/>
    <x v="0"/>
    <x v="0"/>
    <n v="0"/>
    <n v="0"/>
    <n v="0.33333333333333331"/>
    <n v="11.666666666666666"/>
    <x v="1"/>
    <x v="0"/>
    <m/>
    <x v="0"/>
    <n v="55"/>
    <x v="0"/>
    <x v="36"/>
    <x v="18"/>
    <x v="0"/>
    <x v="0"/>
  </r>
  <r>
    <x v="1"/>
    <x v="11"/>
    <s v="8485 J"/>
    <x v="308"/>
    <s v="Ahmed Miss Print Sheikhupura"/>
    <s v="LDرنگدار"/>
    <n v="18"/>
    <s v="13-14"/>
    <s v="LDM"/>
    <n v="900"/>
    <x v="1"/>
    <n v="2"/>
    <n v="78"/>
    <n v="3.7"/>
    <m/>
    <x v="0"/>
    <n v="74.3"/>
    <n v="1105.5999999999999"/>
    <n v="20"/>
    <x v="0"/>
    <x v="0"/>
    <n v="20"/>
    <n v="0.33333333333333331"/>
    <x v="0"/>
    <x v="0"/>
    <m/>
    <x v="0"/>
    <x v="0"/>
    <x v="0"/>
    <x v="0"/>
    <x v="0"/>
    <n v="0"/>
    <n v="0"/>
    <n v="0.33333333333333331"/>
    <n v="11.666666666666666"/>
    <x v="1"/>
    <x v="0"/>
    <m/>
    <x v="0"/>
    <n v="83"/>
    <x v="0"/>
    <x v="36"/>
    <x v="18"/>
    <x v="0"/>
    <x v="0"/>
  </r>
  <r>
    <x v="1"/>
    <x v="11"/>
    <s v="8856 J"/>
    <x v="308"/>
    <s v="Service Industry Gujrat"/>
    <s v="LD سی گرین"/>
    <s v="428 MM"/>
    <s v="4-4.5/8-8.5"/>
    <s v="LDM"/>
    <n v="150"/>
    <x v="1"/>
    <n v="4"/>
    <n v="174"/>
    <n v="8"/>
    <m/>
    <x v="0"/>
    <n v="166"/>
    <n v="166"/>
    <m/>
    <x v="0"/>
    <x v="0"/>
    <n v="0"/>
    <n v="0"/>
    <x v="0"/>
    <x v="0"/>
    <m/>
    <x v="0"/>
    <x v="0"/>
    <x v="0"/>
    <x v="0"/>
    <x v="0"/>
    <n v="0"/>
    <n v="0"/>
    <n v="0"/>
    <n v="12"/>
    <x v="1"/>
    <x v="0"/>
    <m/>
    <x v="0"/>
    <n v="179"/>
    <x v="0"/>
    <x v="36"/>
    <x v="18"/>
    <x v="0"/>
    <x v="0"/>
  </r>
  <r>
    <x v="1"/>
    <x v="11"/>
    <s v="8855 J"/>
    <x v="308"/>
    <s v="Service Industry Gujrat"/>
    <s v="LDM"/>
    <s v="432 MM"/>
    <s v="4-4.5/8-8.5"/>
    <s v="LDM"/>
    <n v="150"/>
    <x v="1"/>
    <n v="3"/>
    <n v="151"/>
    <n v="6.1"/>
    <m/>
    <x v="0"/>
    <n v="144.9"/>
    <n v="181.7"/>
    <m/>
    <x v="0"/>
    <x v="0"/>
    <n v="0"/>
    <n v="0"/>
    <x v="0"/>
    <x v="0"/>
    <m/>
    <x v="0"/>
    <x v="0"/>
    <x v="0"/>
    <x v="0"/>
    <x v="0"/>
    <n v="0"/>
    <n v="0"/>
    <n v="0"/>
    <n v="12"/>
    <x v="1"/>
    <x v="0"/>
    <m/>
    <x v="0"/>
    <n v="156"/>
    <x v="0"/>
    <x v="36"/>
    <x v="18"/>
    <x v="0"/>
    <x v="0"/>
  </r>
  <r>
    <x v="0"/>
    <x v="13"/>
    <s v="3266 F"/>
    <x v="308"/>
    <s v="Usman Amin"/>
    <s v="LDN"/>
    <n v="17"/>
    <s v="12"/>
    <s v="LDN"/>
    <n v="170"/>
    <x v="1"/>
    <n v="2"/>
    <n v="113"/>
    <n v="4.4000000000000004"/>
    <m/>
    <x v="0"/>
    <n v="108.6"/>
    <n v="179.89999999999998"/>
    <n v="10"/>
    <x v="0"/>
    <x v="0"/>
    <n v="10"/>
    <n v="0.16666666666666666"/>
    <x v="0"/>
    <x v="0"/>
    <m/>
    <x v="0"/>
    <x v="0"/>
    <x v="0"/>
    <x v="0"/>
    <x v="0"/>
    <n v="0"/>
    <n v="0"/>
    <n v="0.16666666666666666"/>
    <n v="11.833333333333334"/>
    <x v="1"/>
    <x v="0"/>
    <m/>
    <x v="0"/>
    <n v="118"/>
    <x v="0"/>
    <x v="36"/>
    <x v="18"/>
    <x v="0"/>
    <x v="0"/>
  </r>
  <r>
    <x v="0"/>
    <x v="13"/>
    <s v="3262 F"/>
    <x v="308"/>
    <s v="Usman Amin"/>
    <s v="LDN"/>
    <n v="19"/>
    <s v="12"/>
    <s v="LDN"/>
    <n v="100"/>
    <x v="1"/>
    <n v="2"/>
    <n v="115.5"/>
    <n v="4.2"/>
    <m/>
    <x v="0"/>
    <n v="111.3"/>
    <n v="111.3"/>
    <n v="10"/>
    <x v="0"/>
    <x v="0"/>
    <n v="10"/>
    <n v="0.16666666666666666"/>
    <x v="0"/>
    <x v="0"/>
    <m/>
    <x v="0"/>
    <x v="0"/>
    <x v="0"/>
    <x v="0"/>
    <x v="0"/>
    <n v="0"/>
    <n v="0"/>
    <n v="0.16666666666666666"/>
    <n v="11.833333333333334"/>
    <x v="1"/>
    <x v="0"/>
    <m/>
    <x v="0"/>
    <n v="120.5"/>
    <x v="0"/>
    <x v="36"/>
    <x v="18"/>
    <x v="0"/>
    <x v="0"/>
  </r>
  <r>
    <x v="0"/>
    <x v="13"/>
    <s v="3267 F"/>
    <x v="308"/>
    <s v="Usman Amin"/>
    <s v="LDN"/>
    <n v="19"/>
    <s v="12"/>
    <s v="LDN"/>
    <n v="90"/>
    <x v="1"/>
    <n v="2"/>
    <n v="86.5"/>
    <n v="3.8"/>
    <n v="8"/>
    <x v="0"/>
    <n v="82.7"/>
    <n v="82.7"/>
    <m/>
    <x v="0"/>
    <x v="0"/>
    <n v="0"/>
    <n v="0"/>
    <x v="0"/>
    <x v="0"/>
    <m/>
    <x v="0"/>
    <x v="0"/>
    <x v="0"/>
    <x v="0"/>
    <x v="0"/>
    <n v="0"/>
    <n v="0"/>
    <n v="0"/>
    <n v="12"/>
    <x v="1"/>
    <x v="0"/>
    <m/>
    <x v="0"/>
    <n v="91.5"/>
    <x v="0"/>
    <x v="36"/>
    <x v="18"/>
    <x v="0"/>
    <x v="0"/>
  </r>
  <r>
    <x v="1"/>
    <x v="13"/>
    <s v="3263 F"/>
    <x v="308"/>
    <s v="Usman Amin"/>
    <s v="LDN"/>
    <n v="26"/>
    <s v="8.5-9"/>
    <s v="LDN"/>
    <n v="130"/>
    <x v="1"/>
    <n v="2"/>
    <n v="134.5"/>
    <n v="5.2"/>
    <n v="23"/>
    <x v="0"/>
    <n v="129.30000000000001"/>
    <n v="129.30000000000001"/>
    <n v="3"/>
    <x v="0"/>
    <x v="0"/>
    <n v="3"/>
    <n v="0.05"/>
    <x v="0"/>
    <x v="0"/>
    <m/>
    <x v="0"/>
    <x v="0"/>
    <x v="0"/>
    <x v="0"/>
    <x v="0"/>
    <n v="0"/>
    <n v="0"/>
    <n v="0.05"/>
    <n v="11.95"/>
    <x v="1"/>
    <x v="0"/>
    <m/>
    <x v="0"/>
    <n v="139.5"/>
    <x v="0"/>
    <x v="36"/>
    <x v="18"/>
    <x v="0"/>
    <x v="0"/>
  </r>
  <r>
    <x v="1"/>
    <x v="13"/>
    <s v="3268 F"/>
    <x v="308"/>
    <s v="Usman Amin"/>
    <s v="LDN"/>
    <n v="26"/>
    <s v="12"/>
    <s v="LDN"/>
    <n v="100"/>
    <x v="1"/>
    <n v="2"/>
    <n v="111.5"/>
    <n v="5.8"/>
    <m/>
    <x v="0"/>
    <n v="105.7"/>
    <n v="105.7"/>
    <n v="4"/>
    <x v="0"/>
    <x v="0"/>
    <n v="4"/>
    <n v="6.6666666666666666E-2"/>
    <x v="0"/>
    <x v="0"/>
    <m/>
    <x v="0"/>
    <x v="0"/>
    <x v="0"/>
    <x v="0"/>
    <x v="0"/>
    <n v="0"/>
    <n v="0"/>
    <n v="6.6666666666666666E-2"/>
    <n v="11.933333333333334"/>
    <x v="1"/>
    <x v="0"/>
    <m/>
    <x v="0"/>
    <n v="116.5"/>
    <x v="0"/>
    <x v="36"/>
    <x v="18"/>
    <x v="0"/>
    <x v="0"/>
  </r>
  <r>
    <x v="1"/>
    <x v="13"/>
    <s v="3269 F"/>
    <x v="308"/>
    <s v="Usman Amin"/>
    <s v="LDN"/>
    <n v="28"/>
    <s v="12"/>
    <s v="LDN"/>
    <n v="80"/>
    <x v="1"/>
    <n v="2"/>
    <n v="99"/>
    <n v="6"/>
    <m/>
    <x v="0"/>
    <n v="93"/>
    <n v="93"/>
    <n v="5"/>
    <x v="0"/>
    <x v="0"/>
    <n v="5"/>
    <n v="8.3333333333333329E-2"/>
    <x v="0"/>
    <x v="0"/>
    <m/>
    <x v="11"/>
    <x v="0"/>
    <x v="0"/>
    <x v="0"/>
    <x v="0"/>
    <n v="4"/>
    <n v="6.6666666666666666E-2"/>
    <n v="0.15"/>
    <n v="11.85"/>
    <x v="1"/>
    <x v="0"/>
    <m/>
    <x v="0"/>
    <n v="104"/>
    <x v="0"/>
    <x v="36"/>
    <x v="18"/>
    <x v="0"/>
    <x v="0"/>
  </r>
  <r>
    <x v="0"/>
    <x v="12"/>
    <s v="3276 F"/>
    <x v="308"/>
    <s v="Usman Amin"/>
    <s v="LDN"/>
    <s v="16 SHEET"/>
    <s v="3-3.25/6-6.5"/>
    <s v="LDN"/>
    <n v="700"/>
    <x v="1"/>
    <n v="3"/>
    <n v="173"/>
    <n v="5"/>
    <m/>
    <x v="0"/>
    <n v="168"/>
    <n v="1263.4000000000001"/>
    <n v="5"/>
    <x v="0"/>
    <x v="0"/>
    <n v="5"/>
    <n v="8.3333333333333329E-2"/>
    <x v="0"/>
    <x v="0"/>
    <m/>
    <x v="0"/>
    <x v="0"/>
    <x v="0"/>
    <x v="0"/>
    <x v="0"/>
    <n v="0"/>
    <n v="0"/>
    <n v="8.3333333333333329E-2"/>
    <n v="11.916666666666666"/>
    <x v="1"/>
    <x v="0"/>
    <m/>
    <x v="0"/>
    <n v="178"/>
    <x v="0"/>
    <x v="36"/>
    <x v="18"/>
    <x v="0"/>
    <x v="0"/>
  </r>
  <r>
    <x v="0"/>
    <x v="12"/>
    <s v="8880 J"/>
    <x v="308"/>
    <s v="Atlas Honda LTD (SKP)"/>
    <s v="LDN"/>
    <n v="16"/>
    <s v="12.5-13"/>
    <s v="LDN"/>
    <n v="30.270655270655269"/>
    <x v="1"/>
    <n v="3"/>
    <n v="165"/>
    <n v="5"/>
    <m/>
    <x v="0"/>
    <n v="160"/>
    <n v="160"/>
    <m/>
    <x v="0"/>
    <x v="0"/>
    <n v="0"/>
    <n v="0"/>
    <x v="0"/>
    <x v="0"/>
    <m/>
    <x v="0"/>
    <x v="0"/>
    <x v="0"/>
    <x v="0"/>
    <x v="0"/>
    <n v="0"/>
    <n v="0"/>
    <n v="0"/>
    <n v="12"/>
    <x v="1"/>
    <x v="0"/>
    <m/>
    <x v="0"/>
    <n v="170"/>
    <x v="0"/>
    <x v="36"/>
    <x v="18"/>
    <x v="0"/>
    <x v="0"/>
  </r>
  <r>
    <x v="0"/>
    <x v="12"/>
    <s v="8879 J"/>
    <x v="308"/>
    <s v="Atlas Honda LTD (SKP)"/>
    <s v="LDN"/>
    <n v="22"/>
    <s v="14-14.5"/>
    <s v="LDN"/>
    <n v="120.94907407407406"/>
    <x v="1"/>
    <n v="1"/>
    <n v="65.5"/>
    <n v="1.5"/>
    <n v="19"/>
    <x v="0"/>
    <n v="64"/>
    <n v="138.5"/>
    <m/>
    <x v="0"/>
    <x v="0"/>
    <n v="0"/>
    <n v="0"/>
    <x v="0"/>
    <x v="0"/>
    <m/>
    <x v="0"/>
    <x v="0"/>
    <x v="0"/>
    <x v="0"/>
    <x v="0"/>
    <n v="0"/>
    <n v="0"/>
    <n v="0"/>
    <n v="12"/>
    <x v="1"/>
    <x v="0"/>
    <m/>
    <x v="0"/>
    <n v="70.5"/>
    <x v="0"/>
    <x v="36"/>
    <x v="18"/>
    <x v="0"/>
    <x v="0"/>
  </r>
  <r>
    <x v="1"/>
    <x v="12"/>
    <s v="8879 J"/>
    <x v="308"/>
    <s v="Atlas Honda LTD (SKP)"/>
    <s v="LDN"/>
    <n v="22"/>
    <s v="14-14.5"/>
    <s v="LDN"/>
    <n v="120.94907407407406"/>
    <x v="1"/>
    <n v="1"/>
    <n v="76"/>
    <n v="1.5"/>
    <n v="22"/>
    <x v="0"/>
    <n v="74.5"/>
    <n v="138.5"/>
    <m/>
    <x v="0"/>
    <x v="0"/>
    <n v="0"/>
    <n v="0"/>
    <x v="0"/>
    <x v="0"/>
    <m/>
    <x v="0"/>
    <x v="0"/>
    <x v="0"/>
    <x v="0"/>
    <x v="0"/>
    <n v="0"/>
    <n v="0"/>
    <n v="0"/>
    <n v="12"/>
    <x v="1"/>
    <x v="0"/>
    <m/>
    <x v="0"/>
    <n v="81"/>
    <x v="0"/>
    <x v="36"/>
    <x v="18"/>
    <x v="0"/>
    <x v="0"/>
  </r>
  <r>
    <x v="1"/>
    <x v="12"/>
    <s v="8793 J"/>
    <x v="308"/>
    <s v="Atlas Honda LTD (SKP)"/>
    <s v="LDN"/>
    <n v="22"/>
    <s v="8.5-9"/>
    <s v="LDN"/>
    <n v="51.986882716049379"/>
    <x v="1"/>
    <n v="2"/>
    <n v="100"/>
    <n v="3"/>
    <m/>
    <x v="0"/>
    <n v="97"/>
    <n v="97"/>
    <n v="4"/>
    <x v="0"/>
    <x v="0"/>
    <n v="4"/>
    <n v="6.6666666666666666E-2"/>
    <x v="0"/>
    <x v="0"/>
    <m/>
    <x v="0"/>
    <x v="0"/>
    <x v="0"/>
    <x v="0"/>
    <x v="0"/>
    <n v="0"/>
    <n v="0"/>
    <n v="6.6666666666666666E-2"/>
    <n v="11.933333333333334"/>
    <x v="1"/>
    <x v="0"/>
    <m/>
    <x v="0"/>
    <n v="105"/>
    <x v="0"/>
    <x v="36"/>
    <x v="18"/>
    <x v="0"/>
    <x v="0"/>
  </r>
  <r>
    <x v="1"/>
    <x v="12"/>
    <s v="8883 J"/>
    <x v="308"/>
    <s v="Atlas Honda LTD (SKP)"/>
    <s v="LDN"/>
    <n v="21"/>
    <s v="14-14.5"/>
    <s v="LDN"/>
    <n v="35.523504273504273"/>
    <x v="1"/>
    <n v="2"/>
    <n v="110"/>
    <n v="3"/>
    <m/>
    <x v="0"/>
    <n v="107"/>
    <n v="107"/>
    <n v="4"/>
    <x v="0"/>
    <x v="0"/>
    <n v="4"/>
    <n v="6.6666666666666666E-2"/>
    <x v="0"/>
    <x v="0"/>
    <m/>
    <x v="0"/>
    <x v="0"/>
    <x v="0"/>
    <x v="0"/>
    <x v="0"/>
    <n v="0"/>
    <n v="0"/>
    <n v="6.6666666666666666E-2"/>
    <n v="11.933333333333334"/>
    <x v="1"/>
    <x v="0"/>
    <m/>
    <x v="0"/>
    <n v="115"/>
    <x v="0"/>
    <x v="36"/>
    <x v="18"/>
    <x v="0"/>
    <x v="0"/>
  </r>
  <r>
    <x v="1"/>
    <x v="12"/>
    <s v="8854 J"/>
    <x v="308"/>
    <s v="AY Cans Lahore"/>
    <s v="LDN"/>
    <n v="24"/>
    <s v="6"/>
    <s v="LDN"/>
    <n v="100"/>
    <x v="1"/>
    <n v="1"/>
    <n v="56"/>
    <n v="2"/>
    <m/>
    <x v="0"/>
    <n v="54"/>
    <n v="54"/>
    <n v="2"/>
    <x v="0"/>
    <x v="0"/>
    <n v="2"/>
    <n v="3.3333333333333333E-2"/>
    <x v="0"/>
    <x v="0"/>
    <m/>
    <x v="0"/>
    <x v="0"/>
    <x v="0"/>
    <x v="0"/>
    <x v="0"/>
    <n v="0"/>
    <n v="0"/>
    <n v="3.3333333333333333E-2"/>
    <n v="11.966666666666667"/>
    <x v="1"/>
    <x v="0"/>
    <m/>
    <x v="0"/>
    <n v="61"/>
    <x v="0"/>
    <x v="36"/>
    <x v="18"/>
    <x v="0"/>
    <x v="0"/>
  </r>
  <r>
    <x v="1"/>
    <x v="12"/>
    <s v="3259 F"/>
    <x v="308"/>
    <s v="Usman Amin"/>
    <s v="LDN"/>
    <n v="29"/>
    <s v="12"/>
    <s v="LDN"/>
    <n v="100"/>
    <x v="1"/>
    <n v="2"/>
    <n v="102"/>
    <n v="3"/>
    <m/>
    <x v="0"/>
    <n v="99"/>
    <n v="99"/>
    <m/>
    <x v="0"/>
    <x v="0"/>
    <n v="0"/>
    <n v="0"/>
    <x v="0"/>
    <x v="0"/>
    <m/>
    <x v="0"/>
    <x v="0"/>
    <x v="0"/>
    <x v="0"/>
    <x v="0"/>
    <n v="0"/>
    <n v="0"/>
    <n v="0"/>
    <n v="12"/>
    <x v="1"/>
    <x v="0"/>
    <m/>
    <x v="0"/>
    <n v="107"/>
    <x v="0"/>
    <x v="36"/>
    <x v="18"/>
    <x v="0"/>
    <x v="0"/>
  </r>
  <r>
    <x v="0"/>
    <x v="8"/>
    <s v="8705 J"/>
    <x v="309"/>
    <s v="Bolan Pastry Shop Quita"/>
    <s v="LDN"/>
    <n v="11"/>
    <s v="6-6.5"/>
    <s v="LDN"/>
    <n v="100"/>
    <x v="1"/>
    <n v="2"/>
    <n v="42.5"/>
    <n v="2.4"/>
    <m/>
    <x v="0"/>
    <n v="40.1"/>
    <n v="97.7"/>
    <m/>
    <x v="0"/>
    <x v="0"/>
    <n v="0"/>
    <n v="0"/>
    <x v="0"/>
    <x v="0"/>
    <m/>
    <x v="0"/>
    <x v="0"/>
    <x v="0"/>
    <x v="0"/>
    <x v="0"/>
    <n v="0"/>
    <n v="0"/>
    <n v="0"/>
    <n v="12"/>
    <x v="1"/>
    <x v="0"/>
    <m/>
    <x v="0"/>
    <n v="47.5"/>
    <x v="0"/>
    <x v="36"/>
    <x v="18"/>
    <x v="0"/>
    <x v="0"/>
  </r>
  <r>
    <x v="0"/>
    <x v="8"/>
    <s v="8741 J"/>
    <x v="309"/>
    <s v="H.A Industry Peshawar"/>
    <s v="LDN"/>
    <n v="8"/>
    <s v="-"/>
    <s v="LDN"/>
    <n v="100"/>
    <x v="1"/>
    <n v="3"/>
    <n v="77"/>
    <n v="3"/>
    <n v="15"/>
    <x v="0"/>
    <n v="74"/>
    <n v="212.5"/>
    <n v="2"/>
    <x v="0"/>
    <x v="0"/>
    <n v="2"/>
    <n v="3.3333333333333333E-2"/>
    <x v="0"/>
    <x v="0"/>
    <m/>
    <x v="0"/>
    <x v="0"/>
    <x v="0"/>
    <x v="0"/>
    <x v="0"/>
    <n v="0"/>
    <n v="0"/>
    <n v="3.3333333333333333E-2"/>
    <n v="11.966666666666667"/>
    <x v="1"/>
    <x v="0"/>
    <m/>
    <x v="0"/>
    <n v="82"/>
    <x v="0"/>
    <x v="36"/>
    <x v="18"/>
    <x v="0"/>
    <x v="0"/>
  </r>
  <r>
    <x v="1"/>
    <x v="8"/>
    <s v="8703 J"/>
    <x v="309"/>
    <s v="Bolan Pastry Shop Quita"/>
    <s v="LDN"/>
    <n v="9"/>
    <s v="6-6.5"/>
    <s v="LDN"/>
    <n v="100"/>
    <x v="1"/>
    <n v="1"/>
    <n v="26.5"/>
    <n v="1"/>
    <n v="5"/>
    <x v="0"/>
    <n v="25.5"/>
    <n v="142.19999999999999"/>
    <n v="5"/>
    <x v="0"/>
    <x v="0"/>
    <n v="5"/>
    <n v="8.3333333333333329E-2"/>
    <x v="0"/>
    <x v="0"/>
    <m/>
    <x v="0"/>
    <x v="0"/>
    <x v="0"/>
    <x v="0"/>
    <x v="0"/>
    <n v="0"/>
    <n v="0"/>
    <n v="8.3333333333333329E-2"/>
    <n v="11.916666666666666"/>
    <x v="1"/>
    <x v="0"/>
    <m/>
    <x v="0"/>
    <n v="31.5"/>
    <x v="0"/>
    <x v="36"/>
    <x v="18"/>
    <x v="0"/>
    <x v="0"/>
  </r>
  <r>
    <x v="1"/>
    <x v="8"/>
    <s v="8615 J"/>
    <x v="309"/>
    <s v="Jilani Poly Stock"/>
    <s v="LDN"/>
    <n v="7"/>
    <n v="10"/>
    <s v="LDN"/>
    <n v="0"/>
    <x v="1"/>
    <n v="3"/>
    <n v="93"/>
    <n v="2.7"/>
    <m/>
    <x v="0"/>
    <n v="90.3"/>
    <n v="611.30000000000007"/>
    <m/>
    <x v="0"/>
    <x v="0"/>
    <n v="0"/>
    <n v="0"/>
    <x v="0"/>
    <x v="0"/>
    <m/>
    <x v="0"/>
    <x v="0"/>
    <x v="0"/>
    <x v="0"/>
    <x v="0"/>
    <n v="0"/>
    <n v="0"/>
    <n v="0"/>
    <n v="12"/>
    <x v="1"/>
    <x v="0"/>
    <m/>
    <x v="0"/>
    <n v="98"/>
    <x v="0"/>
    <x v="36"/>
    <x v="18"/>
    <x v="0"/>
    <x v="0"/>
  </r>
  <r>
    <x v="0"/>
    <x v="9"/>
    <s v="8882 J"/>
    <x v="309"/>
    <s v="Atlas Honda LTD (SKP)"/>
    <s v="LDN"/>
    <n v="8"/>
    <s v="8.5-9"/>
    <s v="LDN"/>
    <n v="240.97815764482428"/>
    <x v="1"/>
    <n v="3"/>
    <n v="117.7"/>
    <n v="3"/>
    <n v="1.5"/>
    <x v="0"/>
    <n v="114.7"/>
    <n v="288.2"/>
    <n v="5"/>
    <x v="0"/>
    <x v="0"/>
    <n v="5"/>
    <n v="8.3333333333333329E-2"/>
    <x v="0"/>
    <x v="0"/>
    <m/>
    <x v="0"/>
    <x v="0"/>
    <x v="0"/>
    <x v="0"/>
    <x v="0"/>
    <n v="0"/>
    <n v="0"/>
    <n v="8.3333333333333329E-2"/>
    <n v="11.916666666666666"/>
    <x v="1"/>
    <x v="0"/>
    <m/>
    <x v="0"/>
    <n v="122.7"/>
    <x v="0"/>
    <x v="36"/>
    <x v="18"/>
    <x v="0"/>
    <x v="0"/>
  </r>
  <r>
    <x v="1"/>
    <x v="9"/>
    <s v="8614 J"/>
    <x v="309"/>
    <s v="Jilani Poly Stock"/>
    <s v="LDN"/>
    <n v="6"/>
    <n v="10"/>
    <s v="LDN"/>
    <n v="0"/>
    <x v="1"/>
    <n v="4"/>
    <n v="143.5"/>
    <n v="2.4"/>
    <m/>
    <x v="0"/>
    <n v="141.1"/>
    <n v="580.20000000000005"/>
    <m/>
    <x v="0"/>
    <x v="0"/>
    <n v="0"/>
    <n v="0"/>
    <x v="0"/>
    <x v="0"/>
    <m/>
    <x v="0"/>
    <x v="0"/>
    <x v="0"/>
    <x v="0"/>
    <x v="0"/>
    <n v="0"/>
    <n v="0"/>
    <n v="0"/>
    <n v="12"/>
    <x v="1"/>
    <x v="0"/>
    <m/>
    <x v="0"/>
    <n v="148.5"/>
    <x v="0"/>
    <x v="36"/>
    <x v="18"/>
    <x v="0"/>
    <x v="0"/>
  </r>
  <r>
    <x v="0"/>
    <x v="11"/>
    <s v="8855 J"/>
    <x v="309"/>
    <s v="Service Industry Gujrat"/>
    <s v="LDM"/>
    <s v="432 MM"/>
    <s v="4-4.5/8-8.5"/>
    <s v="LDM"/>
    <n v="150"/>
    <x v="1"/>
    <n v="1"/>
    <n v="38.5"/>
    <n v="1.7"/>
    <m/>
    <x v="0"/>
    <n v="36.799999999999997"/>
    <n v="181.7"/>
    <m/>
    <x v="0"/>
    <x v="0"/>
    <n v="0"/>
    <n v="0"/>
    <x v="0"/>
    <x v="0"/>
    <m/>
    <x v="0"/>
    <x v="0"/>
    <x v="0"/>
    <x v="0"/>
    <x v="0"/>
    <n v="0"/>
    <n v="0"/>
    <n v="0"/>
    <n v="12"/>
    <x v="1"/>
    <x v="0"/>
    <m/>
    <x v="0"/>
    <n v="43.5"/>
    <x v="0"/>
    <x v="36"/>
    <x v="18"/>
    <x v="0"/>
    <x v="0"/>
  </r>
  <r>
    <x v="0"/>
    <x v="11"/>
    <s v="8868 J"/>
    <x v="309"/>
    <s v="Choice Garments And Shoes Sheikupura"/>
    <s v="LDM"/>
    <n v="16"/>
    <s v="12-12.5"/>
    <s v="LDM"/>
    <n v="100"/>
    <x v="1"/>
    <n v="2"/>
    <n v="100.5"/>
    <n v="3.2"/>
    <m/>
    <x v="0"/>
    <n v="97.3"/>
    <n v="97.3"/>
    <m/>
    <x v="0"/>
    <x v="0"/>
    <n v="0"/>
    <n v="0"/>
    <x v="0"/>
    <x v="0"/>
    <m/>
    <x v="0"/>
    <x v="0"/>
    <x v="0"/>
    <x v="0"/>
    <x v="0"/>
    <n v="0"/>
    <n v="0"/>
    <n v="0"/>
    <n v="12"/>
    <x v="1"/>
    <x v="0"/>
    <m/>
    <x v="0"/>
    <n v="105.5"/>
    <x v="0"/>
    <x v="36"/>
    <x v="18"/>
    <x v="0"/>
    <x v="0"/>
  </r>
  <r>
    <x v="0"/>
    <x v="11"/>
    <s v="8864 J"/>
    <x v="309"/>
    <s v="Hammad Plastic Gujranwala"/>
    <s v="LDM"/>
    <n v="14"/>
    <s v="18"/>
    <s v="LDM"/>
    <n v="100"/>
    <x v="1"/>
    <n v="2"/>
    <n v="107"/>
    <n v="2.6"/>
    <m/>
    <x v="0"/>
    <n v="104.4"/>
    <n v="104.4"/>
    <n v="5"/>
    <x v="0"/>
    <x v="0"/>
    <n v="5"/>
    <n v="8.3333333333333329E-2"/>
    <x v="0"/>
    <x v="0"/>
    <m/>
    <x v="0"/>
    <x v="0"/>
    <x v="0"/>
    <x v="0"/>
    <x v="0"/>
    <n v="0"/>
    <n v="0"/>
    <n v="8.3333333333333329E-2"/>
    <n v="11.916666666666666"/>
    <x v="1"/>
    <x v="0"/>
    <m/>
    <x v="0"/>
    <n v="112"/>
    <x v="0"/>
    <x v="36"/>
    <x v="18"/>
    <x v="0"/>
    <x v="0"/>
  </r>
  <r>
    <x v="0"/>
    <x v="11"/>
    <s v="3284 F"/>
    <x v="309"/>
    <s v="Usman Amin"/>
    <s v="LDM"/>
    <n v="14"/>
    <s v="18"/>
    <s v="LDM"/>
    <n v="500"/>
    <x v="1"/>
    <n v="1"/>
    <n v="100.5"/>
    <n v="1.7"/>
    <m/>
    <x v="0"/>
    <n v="98.8"/>
    <n v="504.1"/>
    <n v="2"/>
    <x v="0"/>
    <x v="0"/>
    <n v="2"/>
    <n v="3.3333333333333333E-2"/>
    <x v="0"/>
    <x v="0"/>
    <m/>
    <x v="0"/>
    <x v="0"/>
    <x v="0"/>
    <x v="0"/>
    <x v="0"/>
    <n v="0"/>
    <n v="0"/>
    <n v="3.3333333333333333E-2"/>
    <n v="11.966666666666667"/>
    <x v="1"/>
    <x v="0"/>
    <m/>
    <x v="0"/>
    <n v="105.5"/>
    <x v="0"/>
    <x v="36"/>
    <x v="18"/>
    <x v="0"/>
    <x v="0"/>
  </r>
  <r>
    <x v="1"/>
    <x v="11"/>
    <s v="3284 F"/>
    <x v="309"/>
    <s v="Usman Amin"/>
    <s v="LDM"/>
    <n v="14"/>
    <s v="18"/>
    <s v="LDM"/>
    <n v="500"/>
    <x v="1"/>
    <n v="5"/>
    <n v="414"/>
    <n v="8.7000000000000011"/>
    <n v="3"/>
    <x v="0"/>
    <n v="405.3"/>
    <n v="504.1"/>
    <m/>
    <x v="0"/>
    <x v="0"/>
    <n v="0"/>
    <n v="0"/>
    <x v="0"/>
    <x v="0"/>
    <m/>
    <x v="0"/>
    <x v="0"/>
    <x v="0"/>
    <x v="0"/>
    <x v="0"/>
    <n v="0"/>
    <n v="0"/>
    <n v="0"/>
    <n v="12"/>
    <x v="1"/>
    <x v="0"/>
    <m/>
    <x v="0"/>
    <n v="419"/>
    <x v="0"/>
    <x v="36"/>
    <x v="18"/>
    <x v="0"/>
    <x v="0"/>
  </r>
  <r>
    <x v="1"/>
    <x v="11"/>
    <s v="8899 J"/>
    <x v="309"/>
    <s v="Madin Collar Anarkali LHR"/>
    <s v="LDM"/>
    <n v="15"/>
    <s v="11-12"/>
    <s v="LDM"/>
    <n v="100"/>
    <x v="1"/>
    <n v="1"/>
    <n v="47.5"/>
    <n v="1.8"/>
    <m/>
    <x v="0"/>
    <n v="45.7"/>
    <n v="156.30000000000001"/>
    <m/>
    <x v="0"/>
    <x v="0"/>
    <n v="0"/>
    <n v="0"/>
    <x v="0"/>
    <x v="0"/>
    <m/>
    <x v="0"/>
    <x v="0"/>
    <x v="0"/>
    <x v="0"/>
    <x v="0"/>
    <n v="0"/>
    <n v="0"/>
    <n v="0"/>
    <n v="12"/>
    <x v="1"/>
    <x v="0"/>
    <m/>
    <x v="0"/>
    <n v="52.5"/>
    <x v="0"/>
    <x v="36"/>
    <x v="18"/>
    <x v="0"/>
    <x v="0"/>
  </r>
  <r>
    <x v="0"/>
    <x v="13"/>
    <s v="3264 F"/>
    <x v="309"/>
    <s v="Usman Amin"/>
    <s v="LDN"/>
    <n v="28"/>
    <s v="8.5-9"/>
    <s v="LDN"/>
    <n v="200"/>
    <x v="1"/>
    <n v="3"/>
    <n v="213"/>
    <n v="7.5"/>
    <m/>
    <x v="0"/>
    <n v="205.5"/>
    <n v="205.5"/>
    <m/>
    <x v="0"/>
    <x v="0"/>
    <n v="0"/>
    <n v="0"/>
    <x v="0"/>
    <x v="0"/>
    <m/>
    <x v="0"/>
    <x v="0"/>
    <x v="0"/>
    <x v="0"/>
    <x v="0"/>
    <n v="0"/>
    <n v="0"/>
    <n v="0"/>
    <n v="12"/>
    <x v="1"/>
    <x v="0"/>
    <m/>
    <x v="0"/>
    <n v="218"/>
    <x v="0"/>
    <x v="36"/>
    <x v="18"/>
    <x v="0"/>
    <x v="0"/>
  </r>
  <r>
    <x v="0"/>
    <x v="13"/>
    <s v="3285 F"/>
    <x v="309"/>
    <s v="Usman Amin"/>
    <s v="LDN"/>
    <n v="34"/>
    <s v="8-8.5"/>
    <s v="LDN"/>
    <n v="725"/>
    <x v="1"/>
    <n v="2"/>
    <n v="211"/>
    <n v="5.6"/>
    <n v="8"/>
    <x v="0"/>
    <n v="205.4"/>
    <n v="697.1"/>
    <n v="10"/>
    <x v="0"/>
    <x v="0"/>
    <n v="10"/>
    <n v="0.16666666666666666"/>
    <x v="0"/>
    <x v="0"/>
    <m/>
    <x v="0"/>
    <x v="0"/>
    <x v="0"/>
    <x v="0"/>
    <x v="0"/>
    <n v="0"/>
    <n v="0"/>
    <n v="0.16666666666666666"/>
    <n v="11.833333333333334"/>
    <x v="1"/>
    <x v="0"/>
    <m/>
    <x v="0"/>
    <n v="216"/>
    <x v="0"/>
    <x v="36"/>
    <x v="18"/>
    <x v="0"/>
    <x v="0"/>
  </r>
  <r>
    <x v="1"/>
    <x v="13"/>
    <s v="3285 F"/>
    <x v="309"/>
    <s v="Usman Amin"/>
    <s v="LDN"/>
    <n v="34"/>
    <s v="8-8.5"/>
    <s v="LDN"/>
    <n v="725"/>
    <x v="1"/>
    <n v="5"/>
    <n v="508"/>
    <n v="16.3"/>
    <n v="9"/>
    <x v="0"/>
    <n v="491.7"/>
    <n v="697.1"/>
    <n v="4"/>
    <x v="0"/>
    <x v="0"/>
    <n v="4"/>
    <n v="6.6666666666666666E-2"/>
    <x v="0"/>
    <x v="0"/>
    <m/>
    <x v="5"/>
    <x v="0"/>
    <x v="0"/>
    <x v="0"/>
    <x v="0"/>
    <n v="3"/>
    <n v="0.05"/>
    <n v="0.11666666666666667"/>
    <n v="11.883333333333333"/>
    <x v="1"/>
    <x v="0"/>
    <m/>
    <x v="0"/>
    <n v="513"/>
    <x v="0"/>
    <x v="36"/>
    <x v="18"/>
    <x v="0"/>
    <x v="0"/>
  </r>
  <r>
    <x v="1"/>
    <x v="13"/>
    <s v="3289 F"/>
    <x v="309"/>
    <s v="Usman Amin"/>
    <s v="LDN"/>
    <n v="26"/>
    <s v="6"/>
    <s v="LDN"/>
    <n v="434"/>
    <x v="1"/>
    <n v="1"/>
    <n v="68"/>
    <n v="2.8"/>
    <m/>
    <x v="0"/>
    <n v="65.2"/>
    <n v="201.60000000000002"/>
    <m/>
    <x v="0"/>
    <x v="0"/>
    <n v="0"/>
    <n v="0"/>
    <x v="0"/>
    <x v="0"/>
    <m/>
    <x v="0"/>
    <x v="0"/>
    <x v="0"/>
    <x v="0"/>
    <x v="0"/>
    <n v="0"/>
    <n v="0"/>
    <n v="0"/>
    <n v="12"/>
    <x v="1"/>
    <x v="0"/>
    <m/>
    <x v="0"/>
    <n v="73"/>
    <x v="0"/>
    <x v="36"/>
    <x v="18"/>
    <x v="0"/>
    <x v="0"/>
  </r>
  <r>
    <x v="0"/>
    <x v="12"/>
    <s v="2873/1"/>
    <x v="309"/>
    <s v="MATCO FOOD"/>
    <s v="LDN"/>
    <s v="22.5-23"/>
    <s v="70±2"/>
    <s v="SL"/>
    <n v="3150"/>
    <x v="1"/>
    <n v="3"/>
    <n v="341"/>
    <n v="7.6"/>
    <m/>
    <x v="0"/>
    <n v="333.4"/>
    <n v="2435.6999999999998"/>
    <m/>
    <x v="0"/>
    <x v="0"/>
    <n v="0"/>
    <n v="0"/>
    <x v="0"/>
    <x v="0"/>
    <m/>
    <x v="0"/>
    <x v="0"/>
    <x v="0"/>
    <x v="0"/>
    <x v="0"/>
    <n v="0"/>
    <n v="0"/>
    <n v="0"/>
    <n v="12"/>
    <x v="1"/>
    <x v="0"/>
    <m/>
    <x v="0"/>
    <n v="346"/>
    <x v="0"/>
    <x v="36"/>
    <x v="18"/>
    <x v="0"/>
    <x v="0"/>
  </r>
  <r>
    <x v="0"/>
    <x v="12"/>
    <s v="8737 J"/>
    <x v="309"/>
    <s v="Eman Chemical Lahore"/>
    <s v="LDN"/>
    <s v="535 MM"/>
    <s v="15-16/30-32"/>
    <s v="LDN"/>
    <n v="100"/>
    <x v="1"/>
    <n v="1"/>
    <n v="135"/>
    <n v="1.5"/>
    <m/>
    <x v="0"/>
    <n v="133.5"/>
    <n v="133.5"/>
    <m/>
    <x v="0"/>
    <x v="0"/>
    <n v="0"/>
    <n v="0"/>
    <x v="0"/>
    <x v="0"/>
    <m/>
    <x v="0"/>
    <x v="0"/>
    <x v="0"/>
    <x v="0"/>
    <x v="0"/>
    <n v="0"/>
    <n v="0"/>
    <n v="0"/>
    <n v="12"/>
    <x v="1"/>
    <x v="0"/>
    <m/>
    <x v="0"/>
    <n v="140"/>
    <x v="0"/>
    <x v="36"/>
    <x v="18"/>
    <x v="0"/>
    <x v="0"/>
  </r>
  <r>
    <x v="0"/>
    <x v="12"/>
    <s v="8738 J"/>
    <x v="309"/>
    <s v="Eman Chemical Lahore"/>
    <s v="LDN"/>
    <s v="535 MM"/>
    <s v="15-16/30-32"/>
    <s v="LDN"/>
    <n v="100"/>
    <x v="1"/>
    <n v="1"/>
    <n v="70.5"/>
    <n v="3"/>
    <n v="28"/>
    <x v="0"/>
    <n v="67.5"/>
    <n v="67.5"/>
    <n v="5"/>
    <x v="0"/>
    <x v="0"/>
    <n v="5"/>
    <n v="8.3333333333333329E-2"/>
    <x v="0"/>
    <x v="0"/>
    <m/>
    <x v="0"/>
    <x v="0"/>
    <x v="0"/>
    <x v="0"/>
    <x v="0"/>
    <n v="0"/>
    <n v="0"/>
    <n v="8.3333333333333329E-2"/>
    <n v="11.916666666666666"/>
    <x v="1"/>
    <x v="0"/>
    <m/>
    <x v="0"/>
    <n v="75.5"/>
    <x v="0"/>
    <x v="36"/>
    <x v="18"/>
    <x v="0"/>
    <x v="0"/>
  </r>
  <r>
    <x v="1"/>
    <x v="12"/>
    <s v="8739 J"/>
    <x v="309"/>
    <s v="Eman Chemical Lahore"/>
    <s v="LDN"/>
    <s v="535 MM"/>
    <s v="15-16/30-32"/>
    <s v="LDN"/>
    <n v="100"/>
    <x v="1"/>
    <n v="1"/>
    <n v="103"/>
    <n v="1.5"/>
    <n v="38"/>
    <x v="0"/>
    <n v="101.5"/>
    <n v="101.5"/>
    <n v="7"/>
    <x v="0"/>
    <x v="0"/>
    <n v="7"/>
    <n v="0.11666666666666667"/>
    <x v="0"/>
    <x v="0"/>
    <m/>
    <x v="0"/>
    <x v="0"/>
    <x v="0"/>
    <x v="0"/>
    <x v="0"/>
    <n v="0"/>
    <n v="0"/>
    <n v="0.11666666666666667"/>
    <n v="11.883333333333333"/>
    <x v="1"/>
    <x v="0"/>
    <m/>
    <x v="0"/>
    <n v="108"/>
    <x v="0"/>
    <x v="36"/>
    <x v="18"/>
    <x v="0"/>
    <x v="0"/>
  </r>
  <r>
    <x v="1"/>
    <x v="12"/>
    <s v="8740 J"/>
    <x v="309"/>
    <s v="Eman Chemical Lahore"/>
    <s v="LDN"/>
    <s v="535 MM"/>
    <s v="15-16/30-32"/>
    <s v="LDN"/>
    <n v="100"/>
    <x v="1"/>
    <n v="1"/>
    <n v="106"/>
    <n v="2.5"/>
    <m/>
    <x v="0"/>
    <n v="103.5"/>
    <n v="103.5"/>
    <n v="8"/>
    <x v="0"/>
    <x v="0"/>
    <n v="8"/>
    <n v="0.13333333333333333"/>
    <x v="0"/>
    <x v="0"/>
    <m/>
    <x v="0"/>
    <x v="0"/>
    <x v="0"/>
    <x v="0"/>
    <x v="0"/>
    <n v="0"/>
    <n v="0"/>
    <n v="0.13333333333333333"/>
    <n v="11.866666666666667"/>
    <x v="1"/>
    <x v="0"/>
    <m/>
    <x v="0"/>
    <n v="111"/>
    <x v="0"/>
    <x v="36"/>
    <x v="18"/>
    <x v="0"/>
    <x v="0"/>
  </r>
  <r>
    <x v="1"/>
    <x v="12"/>
    <s v="8900 J"/>
    <x v="309"/>
    <s v="Ramada Multan"/>
    <s v="LDN"/>
    <n v="25"/>
    <s v="7-7.5"/>
    <s v="LDN"/>
    <n v="100"/>
    <x v="1"/>
    <n v="2"/>
    <n v="105.5"/>
    <n v="4"/>
    <m/>
    <x v="0"/>
    <n v="101.5"/>
    <n v="101.5"/>
    <m/>
    <x v="0"/>
    <x v="0"/>
    <n v="0"/>
    <n v="0"/>
    <x v="0"/>
    <x v="0"/>
    <m/>
    <x v="0"/>
    <x v="0"/>
    <x v="0"/>
    <x v="0"/>
    <x v="0"/>
    <n v="0"/>
    <n v="0"/>
    <n v="0"/>
    <n v="12"/>
    <x v="1"/>
    <x v="0"/>
    <m/>
    <x v="0"/>
    <n v="110.5"/>
    <x v="0"/>
    <x v="36"/>
    <x v="18"/>
    <x v="0"/>
    <x v="0"/>
  </r>
  <r>
    <x v="1"/>
    <x v="12"/>
    <s v="3276 F"/>
    <x v="309"/>
    <s v="Usman Amin"/>
    <s v="LDN"/>
    <s v="16 SHEET"/>
    <s v="3-3.25/6-6.5"/>
    <s v="LDN"/>
    <n v="700"/>
    <x v="1"/>
    <n v="2"/>
    <n v="133"/>
    <n v="4"/>
    <m/>
    <x v="0"/>
    <n v="129"/>
    <n v="1263.4000000000001"/>
    <m/>
    <x v="0"/>
    <x v="0"/>
    <n v="0"/>
    <n v="0"/>
    <x v="0"/>
    <x v="0"/>
    <m/>
    <x v="0"/>
    <x v="0"/>
    <x v="0"/>
    <x v="0"/>
    <x v="0"/>
    <n v="0"/>
    <n v="0"/>
    <n v="0"/>
    <n v="12"/>
    <x v="1"/>
    <x v="0"/>
    <m/>
    <x v="0"/>
    <n v="138"/>
    <x v="0"/>
    <x v="36"/>
    <x v="18"/>
    <x v="0"/>
    <x v="0"/>
  </r>
  <r>
    <x v="0"/>
    <x v="8"/>
    <s v="8615 J"/>
    <x v="310"/>
    <s v="Jilani Poly Stock"/>
    <s v="LDN"/>
    <n v="7"/>
    <n v="10"/>
    <s v="LDN"/>
    <n v="0"/>
    <x v="1"/>
    <n v="1"/>
    <n v="40.5"/>
    <n v="0.9"/>
    <m/>
    <x v="0"/>
    <n v="39.6"/>
    <n v="611.30000000000007"/>
    <m/>
    <x v="0"/>
    <x v="0"/>
    <n v="0"/>
    <n v="0"/>
    <x v="0"/>
    <x v="0"/>
    <m/>
    <x v="0"/>
    <x v="0"/>
    <x v="0"/>
    <x v="0"/>
    <x v="0"/>
    <n v="0"/>
    <n v="0"/>
    <n v="0"/>
    <n v="12"/>
    <x v="1"/>
    <x v="0"/>
    <m/>
    <x v="0"/>
    <n v="45.5"/>
    <x v="0"/>
    <x v="36"/>
    <x v="18"/>
    <x v="0"/>
    <x v="0"/>
  </r>
  <r>
    <x v="0"/>
    <x v="8"/>
    <s v="8741 J"/>
    <x v="310"/>
    <s v="H.A Industry Peshawar"/>
    <s v="LDN"/>
    <n v="8"/>
    <s v="-"/>
    <s v="LDN"/>
    <n v="100"/>
    <x v="1"/>
    <n v="1"/>
    <n v="33.5"/>
    <n v="1"/>
    <m/>
    <x v="0"/>
    <n v="32.5"/>
    <n v="212.5"/>
    <m/>
    <x v="0"/>
    <x v="0"/>
    <n v="0"/>
    <n v="0"/>
    <x v="0"/>
    <x v="0"/>
    <m/>
    <x v="0"/>
    <x v="0"/>
    <x v="0"/>
    <x v="0"/>
    <x v="0"/>
    <n v="0"/>
    <n v="0"/>
    <n v="0"/>
    <n v="12"/>
    <x v="1"/>
    <x v="0"/>
    <m/>
    <x v="0"/>
    <n v="38.5"/>
    <x v="0"/>
    <x v="36"/>
    <x v="18"/>
    <x v="0"/>
    <x v="0"/>
  </r>
  <r>
    <x v="0"/>
    <x v="8"/>
    <s v="8613 J"/>
    <x v="310"/>
    <s v="Jilani Poly Stock"/>
    <s v="LDN"/>
    <n v="5"/>
    <n v="10"/>
    <s v="LDN"/>
    <n v="0"/>
    <x v="1"/>
    <n v="2"/>
    <n v="75.5"/>
    <n v="5"/>
    <n v="5"/>
    <x v="0"/>
    <n v="70.5"/>
    <n v="616.70000000000005"/>
    <n v="5"/>
    <x v="0"/>
    <x v="0"/>
    <n v="5"/>
    <n v="8.3333333333333329E-2"/>
    <x v="0"/>
    <x v="0"/>
    <m/>
    <x v="0"/>
    <x v="0"/>
    <x v="0"/>
    <x v="0"/>
    <x v="0"/>
    <n v="0"/>
    <n v="0"/>
    <n v="8.3333333333333329E-2"/>
    <n v="11.916666666666666"/>
    <x v="1"/>
    <x v="0"/>
    <m/>
    <x v="0"/>
    <n v="80.5"/>
    <x v="0"/>
    <x v="36"/>
    <x v="18"/>
    <x v="0"/>
    <x v="0"/>
  </r>
  <r>
    <x v="1"/>
    <x v="8"/>
    <s v="8613 J"/>
    <x v="310"/>
    <s v="Jilani Poly Stock"/>
    <s v="LDN"/>
    <n v="5"/>
    <n v="10"/>
    <s v="LDN"/>
    <n v="0"/>
    <x v="1"/>
    <n v="1"/>
    <n v="34.5"/>
    <n v="0.7"/>
    <m/>
    <x v="0"/>
    <n v="33.799999999999997"/>
    <n v="616.70000000000005"/>
    <m/>
    <x v="0"/>
    <x v="0"/>
    <n v="0"/>
    <n v="0"/>
    <x v="0"/>
    <x v="0"/>
    <m/>
    <x v="0"/>
    <x v="0"/>
    <x v="0"/>
    <x v="0"/>
    <x v="0"/>
    <n v="0"/>
    <n v="0"/>
    <n v="0"/>
    <n v="12"/>
    <x v="1"/>
    <x v="0"/>
    <m/>
    <x v="0"/>
    <n v="39.5"/>
    <x v="0"/>
    <x v="36"/>
    <x v="18"/>
    <x v="0"/>
    <x v="0"/>
  </r>
  <r>
    <x v="0"/>
    <x v="9"/>
    <s v="8614 J"/>
    <x v="310"/>
    <s v="Jilani Poly Stock"/>
    <s v="LDN"/>
    <n v="6"/>
    <n v="10"/>
    <s v="LDN"/>
    <n v="0"/>
    <x v="1"/>
    <n v="1"/>
    <n v="42.5"/>
    <n v="0.8"/>
    <m/>
    <x v="0"/>
    <n v="41.7"/>
    <n v="580.20000000000005"/>
    <n v="10"/>
    <x v="0"/>
    <x v="0"/>
    <n v="10"/>
    <n v="0.16666666666666666"/>
    <x v="0"/>
    <x v="0"/>
    <m/>
    <x v="0"/>
    <x v="0"/>
    <x v="0"/>
    <x v="0"/>
    <x v="0"/>
    <n v="0"/>
    <n v="0"/>
    <n v="0.16666666666666666"/>
    <n v="11.833333333333334"/>
    <x v="1"/>
    <x v="0"/>
    <m/>
    <x v="0"/>
    <n v="47.5"/>
    <x v="0"/>
    <x v="36"/>
    <x v="18"/>
    <x v="0"/>
    <x v="0"/>
  </r>
  <r>
    <x v="0"/>
    <x v="9"/>
    <s v="8865 J"/>
    <x v="310"/>
    <s v="Hammad Plastic Gujranwala"/>
    <s v="LDN"/>
    <n v="14"/>
    <s v="8"/>
    <s v="LDN"/>
    <n v="100"/>
    <x v="1"/>
    <n v="2"/>
    <n v="113.5"/>
    <n v="3.2"/>
    <n v="6"/>
    <x v="0"/>
    <n v="110.3"/>
    <n v="110.3"/>
    <n v="5"/>
    <x v="0"/>
    <x v="0"/>
    <n v="5"/>
    <n v="8.3333333333333329E-2"/>
    <x v="0"/>
    <x v="0"/>
    <m/>
    <x v="0"/>
    <x v="0"/>
    <x v="0"/>
    <x v="0"/>
    <x v="0"/>
    <n v="0"/>
    <n v="0"/>
    <n v="8.3333333333333329E-2"/>
    <n v="11.916666666666666"/>
    <x v="1"/>
    <x v="0"/>
    <m/>
    <x v="0"/>
    <n v="118.5"/>
    <x v="0"/>
    <x v="36"/>
    <x v="18"/>
    <x v="0"/>
    <x v="0"/>
  </r>
  <r>
    <x v="1"/>
    <x v="9"/>
    <s v="8612 J"/>
    <x v="310"/>
    <s v="Jilani Poly Stock"/>
    <s v="LDN"/>
    <n v="4"/>
    <n v="10"/>
    <s v="LDN"/>
    <n v="0"/>
    <x v="1"/>
    <n v="3"/>
    <n v="92.5"/>
    <n v="1.2000000000000002"/>
    <m/>
    <x v="0"/>
    <n v="91.3"/>
    <n v="91.3"/>
    <m/>
    <x v="0"/>
    <x v="0"/>
    <n v="0"/>
    <n v="0"/>
    <x v="0"/>
    <x v="0"/>
    <m/>
    <x v="0"/>
    <x v="0"/>
    <x v="0"/>
    <x v="0"/>
    <x v="0"/>
    <n v="0"/>
    <n v="0"/>
    <n v="0"/>
    <n v="12"/>
    <x v="1"/>
    <x v="0"/>
    <m/>
    <x v="0"/>
    <n v="97.5"/>
    <x v="0"/>
    <x v="36"/>
    <x v="18"/>
    <x v="0"/>
    <x v="0"/>
  </r>
  <r>
    <x v="0"/>
    <x v="11"/>
    <s v="8899 J"/>
    <x v="310"/>
    <s v="Madin Collar Anarkali LHR"/>
    <s v="LDM"/>
    <n v="15"/>
    <s v="11-12"/>
    <s v="LDM"/>
    <n v="100"/>
    <x v="1"/>
    <n v="3"/>
    <n v="114.5"/>
    <n v="3.9000000000000004"/>
    <m/>
    <x v="0"/>
    <n v="110.6"/>
    <n v="156.30000000000001"/>
    <m/>
    <x v="0"/>
    <x v="0"/>
    <n v="0"/>
    <n v="0"/>
    <x v="0"/>
    <x v="0"/>
    <m/>
    <x v="0"/>
    <x v="0"/>
    <x v="0"/>
    <x v="0"/>
    <x v="0"/>
    <n v="0"/>
    <n v="0"/>
    <n v="0"/>
    <n v="12"/>
    <x v="1"/>
    <x v="0"/>
    <m/>
    <x v="0"/>
    <n v="119.5"/>
    <x v="0"/>
    <x v="36"/>
    <x v="18"/>
    <x v="0"/>
    <x v="0"/>
  </r>
  <r>
    <x v="0"/>
    <x v="11"/>
    <s v="8902 J"/>
    <x v="310"/>
    <s v="Ramada Multan"/>
    <s v="LDM"/>
    <n v="18"/>
    <s v="12-13"/>
    <s v="LDM"/>
    <n v="100"/>
    <x v="1"/>
    <n v="2"/>
    <n v="100.5"/>
    <n v="3.6"/>
    <m/>
    <x v="0"/>
    <n v="96.9"/>
    <n v="96.9"/>
    <m/>
    <x v="0"/>
    <x v="0"/>
    <n v="0"/>
    <n v="0"/>
    <x v="0"/>
    <x v="0"/>
    <m/>
    <x v="0"/>
    <x v="0"/>
    <x v="0"/>
    <x v="0"/>
    <x v="0"/>
    <n v="0"/>
    <n v="0"/>
    <n v="0"/>
    <n v="12"/>
    <x v="1"/>
    <x v="0"/>
    <m/>
    <x v="0"/>
    <n v="105.5"/>
    <x v="0"/>
    <x v="36"/>
    <x v="18"/>
    <x v="0"/>
    <x v="0"/>
  </r>
  <r>
    <x v="0"/>
    <x v="11"/>
    <s v="8914 J"/>
    <x v="310"/>
    <s v="Ijaz Sher Sawabi"/>
    <s v="LDM"/>
    <n v="15"/>
    <s v="-"/>
    <s v="LDM"/>
    <n v="1000"/>
    <x v="1"/>
    <n v="2"/>
    <n v="168.5"/>
    <n v="2.7"/>
    <n v="22"/>
    <x v="0"/>
    <n v="165.8"/>
    <n v="520.6"/>
    <n v="10"/>
    <x v="0"/>
    <x v="0"/>
    <n v="10"/>
    <n v="0.16666666666666666"/>
    <x v="0"/>
    <x v="0"/>
    <m/>
    <x v="0"/>
    <x v="0"/>
    <x v="0"/>
    <x v="0"/>
    <x v="0"/>
    <n v="0"/>
    <n v="0"/>
    <n v="0.16666666666666666"/>
    <n v="11.833333333333334"/>
    <x v="1"/>
    <x v="0"/>
    <m/>
    <x v="0"/>
    <n v="173.5"/>
    <x v="0"/>
    <x v="36"/>
    <x v="18"/>
    <x v="0"/>
    <x v="0"/>
  </r>
  <r>
    <x v="1"/>
    <x v="11"/>
    <s v="8914 J"/>
    <x v="310"/>
    <s v="Ijaz Sher Sawabi"/>
    <s v="LDM"/>
    <n v="15"/>
    <s v="-"/>
    <s v="LDM"/>
    <n v="1000"/>
    <x v="1"/>
    <n v="4"/>
    <n v="360"/>
    <n v="5.2"/>
    <m/>
    <x v="0"/>
    <n v="354.8"/>
    <n v="520.6"/>
    <m/>
    <x v="0"/>
    <x v="0"/>
    <n v="0"/>
    <n v="0"/>
    <x v="0"/>
    <x v="0"/>
    <m/>
    <x v="0"/>
    <x v="0"/>
    <x v="0"/>
    <x v="0"/>
    <x v="0"/>
    <n v="0"/>
    <n v="0"/>
    <n v="0"/>
    <n v="12"/>
    <x v="1"/>
    <x v="0"/>
    <m/>
    <x v="0"/>
    <n v="365"/>
    <x v="0"/>
    <x v="36"/>
    <x v="18"/>
    <x v="0"/>
    <x v="0"/>
  </r>
  <r>
    <x v="0"/>
    <x v="13"/>
    <s v="3289 F"/>
    <x v="310"/>
    <s v="Usman Amin"/>
    <s v="LDN"/>
    <n v="26"/>
    <s v="6"/>
    <s v="LDN"/>
    <n v="434"/>
    <x v="1"/>
    <n v="2"/>
    <n v="142"/>
    <n v="5.6"/>
    <m/>
    <x v="0"/>
    <n v="136.4"/>
    <n v="201.60000000000002"/>
    <m/>
    <x v="0"/>
    <x v="0"/>
    <n v="0"/>
    <n v="0"/>
    <x v="0"/>
    <x v="0"/>
    <m/>
    <x v="0"/>
    <x v="0"/>
    <x v="0"/>
    <x v="0"/>
    <x v="0"/>
    <n v="0"/>
    <n v="0"/>
    <n v="0"/>
    <n v="12"/>
    <x v="1"/>
    <x v="0"/>
    <m/>
    <x v="0"/>
    <n v="147"/>
    <x v="0"/>
    <x v="36"/>
    <x v="18"/>
    <x v="0"/>
    <x v="0"/>
  </r>
  <r>
    <x v="0"/>
    <x v="13"/>
    <s v="3287 F"/>
    <x v="310"/>
    <s v="Usman Amin"/>
    <s v="LDN"/>
    <n v="24"/>
    <s v="8-8.5"/>
    <s v="LDN"/>
    <n v="55"/>
    <x v="1"/>
    <n v="1"/>
    <n v="66"/>
    <n v="2.4"/>
    <m/>
    <x v="0"/>
    <n v="63.6"/>
    <n v="63.6"/>
    <m/>
    <x v="0"/>
    <x v="0"/>
    <n v="0"/>
    <n v="0"/>
    <x v="0"/>
    <x v="0"/>
    <m/>
    <x v="0"/>
    <x v="0"/>
    <x v="0"/>
    <x v="0"/>
    <x v="0"/>
    <n v="0"/>
    <n v="0"/>
    <n v="0"/>
    <n v="12"/>
    <x v="1"/>
    <x v="0"/>
    <m/>
    <x v="0"/>
    <n v="71"/>
    <x v="0"/>
    <x v="36"/>
    <x v="18"/>
    <x v="0"/>
    <x v="0"/>
  </r>
  <r>
    <x v="0"/>
    <x v="13"/>
    <s v="8869 J"/>
    <x v="310"/>
    <s v="Carrefour Pakistan Ltd"/>
    <s v="LDN"/>
    <s v="36&quot; شیٹ"/>
    <s v="3-3.5/6-7"/>
    <s v="LDN"/>
    <n v="200"/>
    <x v="1"/>
    <n v="2"/>
    <n v="236.5"/>
    <n v="3.1"/>
    <n v="22"/>
    <x v="0"/>
    <n v="233.4"/>
    <n v="233.4"/>
    <m/>
    <x v="0"/>
    <x v="0"/>
    <n v="0"/>
    <n v="0"/>
    <x v="0"/>
    <x v="0"/>
    <m/>
    <x v="0"/>
    <x v="0"/>
    <x v="0"/>
    <x v="0"/>
    <x v="0"/>
    <n v="0"/>
    <n v="0"/>
    <n v="0"/>
    <n v="12"/>
    <x v="1"/>
    <x v="0"/>
    <m/>
    <x v="0"/>
    <n v="241.5"/>
    <x v="0"/>
    <x v="36"/>
    <x v="18"/>
    <x v="0"/>
    <x v="0"/>
  </r>
  <r>
    <x v="1"/>
    <x v="13"/>
    <m/>
    <x v="310"/>
    <s v="-"/>
    <m/>
    <n v="34"/>
    <s v="8-8.5"/>
    <m/>
    <m/>
    <x v="1"/>
    <n v="1"/>
    <n v="52"/>
    <n v="3.87"/>
    <n v="8"/>
    <x v="0"/>
    <n v="48.13"/>
    <n v="0"/>
    <n v="5"/>
    <x v="0"/>
    <x v="0"/>
    <n v="5"/>
    <n v="8.3333333333333329E-2"/>
    <x v="0"/>
    <x v="0"/>
    <m/>
    <x v="0"/>
    <x v="0"/>
    <x v="0"/>
    <x v="0"/>
    <x v="0"/>
    <n v="0"/>
    <n v="0"/>
    <n v="8.3333333333333329E-2"/>
    <n v="11.916666666666666"/>
    <x v="1"/>
    <x v="0"/>
    <m/>
    <x v="0"/>
    <n v="57"/>
    <x v="0"/>
    <x v="36"/>
    <x v="18"/>
    <x v="0"/>
    <x v="0"/>
  </r>
  <r>
    <x v="1"/>
    <x v="13"/>
    <s v="3270 F"/>
    <x v="310"/>
    <s v="Usman Amin"/>
    <s v="LDN"/>
    <n v="33"/>
    <s v="12"/>
    <s v="LDN"/>
    <n v="80"/>
    <x v="1"/>
    <n v="1"/>
    <n v="85"/>
    <n v="3.7"/>
    <m/>
    <x v="0"/>
    <n v="81.3"/>
    <n v="81.3"/>
    <m/>
    <x v="0"/>
    <x v="0"/>
    <n v="0"/>
    <n v="0"/>
    <x v="0"/>
    <x v="0"/>
    <m/>
    <x v="0"/>
    <x v="0"/>
    <x v="0"/>
    <x v="0"/>
    <x v="0"/>
    <n v="0"/>
    <n v="0"/>
    <n v="0"/>
    <n v="12"/>
    <x v="1"/>
    <x v="0"/>
    <m/>
    <x v="0"/>
    <n v="90"/>
    <x v="0"/>
    <x v="36"/>
    <x v="18"/>
    <x v="0"/>
    <x v="0"/>
  </r>
  <r>
    <x v="1"/>
    <x v="13"/>
    <s v="3260 F"/>
    <x v="310"/>
    <s v="Usman Amin"/>
    <s v="LDN"/>
    <n v="33"/>
    <s v="12"/>
    <s v="LDN"/>
    <n v="100"/>
    <x v="1"/>
    <n v="1"/>
    <n v="100.5"/>
    <n v="3.2"/>
    <m/>
    <x v="0"/>
    <n v="97.3"/>
    <n v="97.3"/>
    <m/>
    <x v="0"/>
    <x v="0"/>
    <n v="0"/>
    <n v="0"/>
    <x v="0"/>
    <x v="0"/>
    <m/>
    <x v="0"/>
    <x v="0"/>
    <x v="0"/>
    <x v="0"/>
    <x v="0"/>
    <n v="0"/>
    <n v="0"/>
    <n v="0"/>
    <n v="12"/>
    <x v="1"/>
    <x v="0"/>
    <m/>
    <x v="0"/>
    <n v="105.5"/>
    <x v="0"/>
    <x v="36"/>
    <x v="18"/>
    <x v="0"/>
    <x v="0"/>
  </r>
  <r>
    <x v="1"/>
    <x v="13"/>
    <s v="3281 F"/>
    <x v="310"/>
    <s v="Usman Amin"/>
    <s v="LDN"/>
    <n v="18"/>
    <s v="5-5.5"/>
    <s v="LDN"/>
    <n v="810"/>
    <x v="1"/>
    <n v="2"/>
    <n v="93"/>
    <n v="3.9000000000000004"/>
    <m/>
    <x v="0"/>
    <n v="89.1"/>
    <n v="89.1"/>
    <m/>
    <x v="0"/>
    <x v="0"/>
    <n v="0"/>
    <n v="0"/>
    <x v="0"/>
    <x v="0"/>
    <m/>
    <x v="0"/>
    <x v="0"/>
    <x v="0"/>
    <x v="0"/>
    <x v="0"/>
    <n v="0"/>
    <n v="0"/>
    <n v="0"/>
    <n v="12"/>
    <x v="1"/>
    <x v="0"/>
    <m/>
    <x v="0"/>
    <n v="98"/>
    <x v="0"/>
    <x v="36"/>
    <x v="18"/>
    <x v="0"/>
    <x v="0"/>
  </r>
  <r>
    <x v="0"/>
    <x v="12"/>
    <s v="3276 F"/>
    <x v="310"/>
    <s v="Usman Amin"/>
    <s v="LDN"/>
    <s v="16 SHEET"/>
    <s v="3-3.25/6-6.5"/>
    <s v="LDN"/>
    <n v="700"/>
    <x v="1"/>
    <n v="5"/>
    <n v="375"/>
    <n v="8.5"/>
    <n v="65"/>
    <x v="0"/>
    <n v="366.5"/>
    <n v="1263.4000000000001"/>
    <m/>
    <x v="0"/>
    <x v="0"/>
    <n v="0"/>
    <n v="0"/>
    <x v="0"/>
    <x v="0"/>
    <m/>
    <x v="0"/>
    <x v="0"/>
    <x v="0"/>
    <x v="0"/>
    <x v="0"/>
    <n v="0"/>
    <n v="0"/>
    <n v="0"/>
    <n v="12"/>
    <x v="1"/>
    <x v="0"/>
    <m/>
    <x v="0"/>
    <n v="380"/>
    <x v="0"/>
    <x v="36"/>
    <x v="18"/>
    <x v="0"/>
    <x v="0"/>
  </r>
  <r>
    <x v="1"/>
    <x v="12"/>
    <s v="3276 F"/>
    <x v="310"/>
    <s v="Usman Amin"/>
    <s v="LDN"/>
    <s v="16 SHEET"/>
    <s v="3-3.25/6-6.5"/>
    <s v="LDN"/>
    <n v="700"/>
    <x v="1"/>
    <n v="4"/>
    <n v="324"/>
    <n v="7.6"/>
    <m/>
    <x v="0"/>
    <n v="316.39999999999998"/>
    <n v="1263.4000000000001"/>
    <m/>
    <x v="0"/>
    <x v="0"/>
    <n v="0"/>
    <n v="0"/>
    <x v="0"/>
    <x v="0"/>
    <m/>
    <x v="0"/>
    <x v="0"/>
    <x v="0"/>
    <x v="0"/>
    <x v="0"/>
    <n v="0"/>
    <n v="0"/>
    <n v="0"/>
    <n v="12"/>
    <x v="1"/>
    <x v="0"/>
    <m/>
    <x v="0"/>
    <n v="329"/>
    <x v="0"/>
    <x v="36"/>
    <x v="18"/>
    <x v="0"/>
    <x v="0"/>
  </r>
  <r>
    <x v="0"/>
    <x v="10"/>
    <m/>
    <x v="310"/>
    <s v="-"/>
    <m/>
    <n v="12"/>
    <s v="80"/>
    <m/>
    <m/>
    <x v="1"/>
    <n v="2"/>
    <n v="38.75"/>
    <n v="2.4"/>
    <m/>
    <x v="0"/>
    <n v="36.35"/>
    <n v="0"/>
    <m/>
    <x v="0"/>
    <x v="0"/>
    <n v="0"/>
    <n v="0"/>
    <x v="0"/>
    <x v="0"/>
    <m/>
    <x v="0"/>
    <x v="0"/>
    <x v="0"/>
    <x v="0"/>
    <x v="0"/>
    <n v="0"/>
    <n v="0"/>
    <n v="0"/>
    <n v="12"/>
    <x v="1"/>
    <x v="0"/>
    <m/>
    <x v="0"/>
    <n v="43.75"/>
    <x v="0"/>
    <x v="36"/>
    <x v="18"/>
    <x v="0"/>
    <x v="0"/>
  </r>
  <r>
    <x v="3"/>
    <x v="16"/>
    <m/>
    <x v="311"/>
    <s v="-"/>
    <m/>
    <m/>
    <m/>
    <m/>
    <m/>
    <x v="1"/>
    <m/>
    <m/>
    <m/>
    <m/>
    <x v="0"/>
    <n v="0"/>
    <n v="0"/>
    <m/>
    <x v="0"/>
    <x v="0"/>
    <n v="0"/>
    <n v="0"/>
    <x v="0"/>
    <x v="0"/>
    <m/>
    <x v="0"/>
    <x v="0"/>
    <x v="0"/>
    <x v="0"/>
    <x v="0"/>
    <n v="0"/>
    <n v="0"/>
    <n v="0"/>
    <n v="12"/>
    <x v="1"/>
    <x v="0"/>
    <m/>
    <x v="0"/>
    <m/>
    <x v="0"/>
    <x v="0"/>
    <x v="0"/>
    <x v="0"/>
    <x v="0"/>
  </r>
  <r>
    <x v="3"/>
    <x v="16"/>
    <m/>
    <x v="311"/>
    <s v="-"/>
    <m/>
    <m/>
    <m/>
    <m/>
    <m/>
    <x v="1"/>
    <m/>
    <m/>
    <m/>
    <m/>
    <x v="0"/>
    <n v="0"/>
    <n v="0"/>
    <m/>
    <x v="0"/>
    <x v="0"/>
    <n v="0"/>
    <n v="0"/>
    <x v="0"/>
    <x v="0"/>
    <m/>
    <x v="0"/>
    <x v="0"/>
    <x v="0"/>
    <x v="0"/>
    <x v="0"/>
    <n v="0"/>
    <n v="0"/>
    <n v="0"/>
    <n v="12"/>
    <x v="1"/>
    <x v="0"/>
    <m/>
    <x v="0"/>
    <m/>
    <x v="0"/>
    <x v="0"/>
    <x v="0"/>
    <x v="0"/>
    <x v="0"/>
  </r>
  <r>
    <x v="3"/>
    <x v="16"/>
    <m/>
    <x v="311"/>
    <s v="-"/>
    <m/>
    <m/>
    <m/>
    <m/>
    <m/>
    <x v="1"/>
    <m/>
    <m/>
    <m/>
    <m/>
    <x v="0"/>
    <n v="0"/>
    <n v="0"/>
    <m/>
    <x v="0"/>
    <x v="0"/>
    <n v="0"/>
    <n v="0"/>
    <x v="0"/>
    <x v="0"/>
    <m/>
    <x v="0"/>
    <x v="0"/>
    <x v="0"/>
    <x v="0"/>
    <x v="0"/>
    <n v="0"/>
    <n v="0"/>
    <n v="0"/>
    <n v="12"/>
    <x v="1"/>
    <x v="0"/>
    <m/>
    <x v="0"/>
    <m/>
    <x v="0"/>
    <x v="0"/>
    <x v="0"/>
    <x v="0"/>
    <x v="0"/>
  </r>
  <r>
    <x v="3"/>
    <x v="16"/>
    <m/>
    <x v="311"/>
    <m/>
    <m/>
    <m/>
    <m/>
    <m/>
    <m/>
    <x v="1"/>
    <m/>
    <m/>
    <m/>
    <m/>
    <x v="0"/>
    <m/>
    <m/>
    <m/>
    <x v="0"/>
    <x v="0"/>
    <m/>
    <m/>
    <x v="0"/>
    <x v="0"/>
    <m/>
    <x v="0"/>
    <x v="0"/>
    <x v="0"/>
    <x v="0"/>
    <x v="0"/>
    <m/>
    <m/>
    <m/>
    <m/>
    <x v="0"/>
    <x v="0"/>
    <m/>
    <x v="0"/>
    <m/>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E21091-9A60-4E8B-9CBC-4C8624697656}" name="PivotTable4" cacheId="59" applyNumberFormats="0" applyBorderFormats="0" applyFontFormats="0" applyPatternFormats="0" applyAlignmentFormats="0" applyWidthHeightFormats="1" dataCaption="Values" updatedVersion="7" minRefreshableVersion="3" showDrill="0" showDataTips="0" rowGrandTotals="0" colGrandTotals="0" itemPrintTitles="1" createdVersion="7" indent="0" compact="0" compactData="0" gridDropZones="1" multipleFieldFilters="0" customListSort="0">
  <location ref="A3:AF349" firstHeaderRow="1" firstDataRow="2" firstDataCol="3"/>
  <pivotFields count="45">
    <pivotField axis="axisRow" compact="0" outline="0" showAll="0" defaultSubtotal="0">
      <items count="4">
        <item x="2"/>
        <item x="0"/>
        <item x="1"/>
        <item x="3"/>
      </items>
      <extLst>
        <ext xmlns:x14="http://schemas.microsoft.com/office/spreadsheetml/2009/9/main" uri="{2946ED86-A175-432a-8AC1-64E0C546D7DE}">
          <x14:pivotField fillDownLabels="1"/>
        </ext>
      </extLst>
    </pivotField>
    <pivotField axis="axisRow" compact="0" outline="0" showAll="0" defaultSubtotal="0">
      <items count="18">
        <item x="0"/>
        <item x="1"/>
        <item x="2"/>
        <item x="3"/>
        <item x="6"/>
        <item x="4"/>
        <item x="5"/>
        <item x="7"/>
        <item x="8"/>
        <item x="9"/>
        <item x="10"/>
        <item x="11"/>
        <item x="13"/>
        <item x="12"/>
        <item x="14"/>
        <item x="15"/>
        <item x="16"/>
        <item x="1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1">
        <item x="87"/>
        <item m="1" x="381"/>
        <item m="1" x="312"/>
        <item m="1" x="382"/>
        <item m="1" x="313"/>
        <item m="1" x="383"/>
        <item m="1" x="314"/>
        <item m="1" x="385"/>
        <item m="1" x="316"/>
        <item m="1" x="387"/>
        <item m="1" x="318"/>
        <item m="1" x="390"/>
        <item m="1" x="321"/>
        <item m="1" x="393"/>
        <item m="1" x="324"/>
        <item m="1" x="396"/>
        <item m="1" x="327"/>
        <item m="1" x="399"/>
        <item m="1" x="330"/>
        <item m="1" x="334"/>
        <item m="1" x="406"/>
        <item m="1" x="339"/>
        <item m="1" x="411"/>
        <item m="1" x="344"/>
        <item m="1" x="416"/>
        <item m="1" x="421"/>
        <item m="1" x="353"/>
        <item m="1" x="426"/>
        <item m="1" x="358"/>
        <item m="1" x="431"/>
        <item m="1" x="384"/>
        <item m="1" x="315"/>
        <item m="1" x="386"/>
        <item m="1" x="317"/>
        <item m="1" x="388"/>
        <item m="1" x="319"/>
        <item m="1" x="391"/>
        <item m="1" x="322"/>
        <item m="1" x="394"/>
        <item m="1" x="325"/>
        <item m="1" x="397"/>
        <item m="1" x="328"/>
        <item m="1" x="400"/>
        <item m="1" x="331"/>
        <item m="1" x="402"/>
        <item m="1" x="335"/>
        <item m="1" x="407"/>
        <item m="1" x="340"/>
        <item m="1" x="412"/>
        <item m="1" x="345"/>
        <item m="1" x="417"/>
        <item m="1" x="349"/>
        <item m="1" x="422"/>
        <item m="1" x="354"/>
        <item m="1" x="427"/>
        <item m="1" x="359"/>
        <item m="1" x="432"/>
        <item m="1" x="363"/>
        <item m="1" x="389"/>
        <item m="1" x="320"/>
        <item m="1" x="392"/>
        <item m="1" x="323"/>
        <item m="1" x="395"/>
        <item m="1" x="326"/>
        <item m="1" x="398"/>
        <item m="1" x="329"/>
        <item m="1" x="332"/>
        <item m="1" x="403"/>
        <item m="1" x="336"/>
        <item m="1" x="408"/>
        <item m="1" x="341"/>
        <item m="1" x="413"/>
        <item m="1" x="346"/>
        <item m="1" x="418"/>
        <item m="1" x="350"/>
        <item m="1" x="423"/>
        <item m="1" x="355"/>
        <item m="1" x="428"/>
        <item m="1" x="360"/>
        <item m="1" x="433"/>
        <item m="1" x="364"/>
        <item m="1" x="436"/>
        <item m="1" x="367"/>
        <item m="1" x="439"/>
        <item m="1" x="370"/>
        <item m="1" x="442"/>
        <item m="1" x="404"/>
        <item m="1" x="337"/>
        <item m="1" x="409"/>
        <item m="1" x="342"/>
        <item m="1" x="414"/>
        <item m="1" x="347"/>
        <item m="1" x="419"/>
        <item m="1" x="351"/>
        <item m="1" x="424"/>
        <item m="1" x="356"/>
        <item m="1" x="429"/>
        <item m="1" x="361"/>
        <item m="1" x="434"/>
        <item m="1" x="365"/>
        <item m="1" x="437"/>
        <item m="1" x="368"/>
        <item m="1" x="440"/>
        <item m="1" x="371"/>
        <item m="1" x="443"/>
        <item m="1" x="373"/>
        <item m="1" x="375"/>
        <item m="1" x="446"/>
        <item m="1" x="377"/>
        <item m="1" x="401"/>
        <item m="1" x="333"/>
        <item m="1" x="405"/>
        <item m="1" x="338"/>
        <item m="1" x="410"/>
        <item m="1" x="343"/>
        <item m="1" x="415"/>
        <item m="1" x="348"/>
        <item m="1" x="420"/>
        <item m="1" x="352"/>
        <item m="1" x="425"/>
        <item m="1" x="357"/>
        <item m="1" x="430"/>
        <item m="1" x="362"/>
        <item m="1" x="435"/>
        <item m="1" x="366"/>
        <item m="1" x="438"/>
        <item m="1" x="369"/>
        <item m="1" x="441"/>
        <item m="1" x="372"/>
        <item m="1" x="444"/>
        <item m="1" x="374"/>
        <item m="1" x="445"/>
        <item m="1" x="376"/>
        <item m="1" x="447"/>
        <item m="1" x="378"/>
        <item m="1" x="448"/>
        <item m="1" x="379"/>
        <item m="1" x="449"/>
        <item m="1" x="380"/>
        <item m="1" x="4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311"/>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39">
        <item h="1" m="1" x="38"/>
        <item h="1" x="25"/>
        <item h="1" x="26"/>
        <item h="1" x="27"/>
        <item h="1" x="28"/>
        <item h="1" x="29"/>
        <item h="1" x="30"/>
        <item h="1" x="31"/>
        <item x="32"/>
        <item x="33"/>
        <item x="34"/>
        <item x="35"/>
        <item x="36"/>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m="1" x="37"/>
        <item h="1"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3"/>
    <field x="0"/>
    <field x="1"/>
  </rowFields>
  <rowItems count="345">
    <i>
      <x v="421"/>
      <x v="1"/>
      <x v="8"/>
    </i>
    <i r="2">
      <x v="11"/>
    </i>
    <i r="2">
      <x v="12"/>
    </i>
    <i r="2">
      <x v="13"/>
    </i>
    <i r="2">
      <x v="14"/>
    </i>
    <i r="2">
      <x v="15"/>
    </i>
    <i r="1">
      <x v="2"/>
      <x v="8"/>
    </i>
    <i r="2">
      <x v="9"/>
    </i>
    <i r="2">
      <x v="11"/>
    </i>
    <i r="2">
      <x v="12"/>
    </i>
    <i r="2">
      <x v="13"/>
    </i>
    <i r="2">
      <x v="14"/>
    </i>
    <i r="2">
      <x v="15"/>
    </i>
    <i>
      <x v="422"/>
      <x v="1"/>
      <x v="8"/>
    </i>
    <i r="2">
      <x v="9"/>
    </i>
    <i r="2">
      <x v="11"/>
    </i>
    <i r="2">
      <x v="12"/>
    </i>
    <i r="2">
      <x v="13"/>
    </i>
    <i r="2">
      <x v="14"/>
    </i>
    <i r="2">
      <x v="15"/>
    </i>
    <i r="1">
      <x v="2"/>
      <x v="8"/>
    </i>
    <i r="2">
      <x v="9"/>
    </i>
    <i r="2">
      <x v="11"/>
    </i>
    <i r="2">
      <x v="12"/>
    </i>
    <i r="2">
      <x v="13"/>
    </i>
    <i r="2">
      <x v="14"/>
    </i>
    <i r="2">
      <x v="15"/>
    </i>
    <i>
      <x v="423"/>
      <x v="1"/>
      <x v="8"/>
    </i>
    <i r="2">
      <x v="9"/>
    </i>
    <i r="2">
      <x v="11"/>
    </i>
    <i r="2">
      <x v="12"/>
    </i>
    <i r="2">
      <x v="13"/>
    </i>
    <i r="2">
      <x v="14"/>
    </i>
    <i r="2">
      <x v="15"/>
    </i>
    <i r="1">
      <x v="2"/>
      <x v="8"/>
    </i>
    <i r="2">
      <x v="9"/>
    </i>
    <i r="2">
      <x v="11"/>
    </i>
    <i r="2">
      <x v="12"/>
    </i>
    <i r="2">
      <x v="13"/>
    </i>
    <i r="2">
      <x v="14"/>
    </i>
    <i r="2">
      <x v="15"/>
    </i>
    <i>
      <x v="424"/>
      <x v="1"/>
      <x v="8"/>
    </i>
    <i r="2">
      <x v="9"/>
    </i>
    <i r="2">
      <x v="11"/>
    </i>
    <i r="2">
      <x v="12"/>
    </i>
    <i r="2">
      <x v="13"/>
    </i>
    <i r="2">
      <x v="14"/>
    </i>
    <i r="2">
      <x v="15"/>
    </i>
    <i r="1">
      <x v="2"/>
      <x v="8"/>
    </i>
    <i r="2">
      <x v="9"/>
    </i>
    <i r="2">
      <x v="11"/>
    </i>
    <i r="2">
      <x v="12"/>
    </i>
    <i r="2">
      <x v="13"/>
    </i>
    <i r="2">
      <x v="14"/>
    </i>
    <i r="2">
      <x v="15"/>
    </i>
    <i>
      <x v="425"/>
      <x v="1"/>
      <x v="8"/>
    </i>
    <i r="2">
      <x v="9"/>
    </i>
    <i r="2">
      <x v="11"/>
    </i>
    <i r="2">
      <x v="12"/>
    </i>
    <i r="2">
      <x v="13"/>
    </i>
    <i r="2">
      <x v="14"/>
    </i>
    <i r="2">
      <x v="15"/>
    </i>
    <i r="1">
      <x v="2"/>
      <x v="8"/>
    </i>
    <i r="2">
      <x v="9"/>
    </i>
    <i r="2">
      <x v="11"/>
    </i>
    <i r="2">
      <x v="12"/>
    </i>
    <i r="2">
      <x v="13"/>
    </i>
    <i r="2">
      <x v="14"/>
    </i>
    <i r="2">
      <x v="15"/>
    </i>
    <i>
      <x v="426"/>
      <x v="1"/>
      <x v="8"/>
    </i>
    <i r="2">
      <x v="9"/>
    </i>
    <i r="2">
      <x v="11"/>
    </i>
    <i r="2">
      <x v="12"/>
    </i>
    <i r="2">
      <x v="13"/>
    </i>
    <i r="2">
      <x v="14"/>
    </i>
    <i r="2">
      <x v="15"/>
    </i>
    <i r="1">
      <x v="2"/>
      <x v="8"/>
    </i>
    <i r="2">
      <x v="9"/>
    </i>
    <i r="2">
      <x v="11"/>
    </i>
    <i r="2">
      <x v="12"/>
    </i>
    <i r="2">
      <x v="13"/>
    </i>
    <i r="2">
      <x v="14"/>
    </i>
    <i r="2">
      <x v="15"/>
    </i>
    <i>
      <x v="427"/>
      <x v="1"/>
      <x v="9"/>
    </i>
    <i r="2">
      <x v="11"/>
    </i>
    <i r="2">
      <x v="12"/>
    </i>
    <i r="2">
      <x v="13"/>
    </i>
    <i r="2">
      <x v="14"/>
    </i>
    <i r="2">
      <x v="15"/>
    </i>
    <i r="1">
      <x v="2"/>
      <x v="9"/>
    </i>
    <i r="2">
      <x v="10"/>
    </i>
    <i r="2">
      <x v="11"/>
    </i>
    <i r="2">
      <x v="12"/>
    </i>
    <i r="2">
      <x v="13"/>
    </i>
    <i r="2">
      <x v="14"/>
    </i>
    <i r="2">
      <x v="15"/>
    </i>
    <i>
      <x v="428"/>
      <x v="1"/>
      <x v="9"/>
    </i>
    <i r="2">
      <x v="10"/>
    </i>
    <i r="2">
      <x v="11"/>
    </i>
    <i r="2">
      <x v="12"/>
    </i>
    <i r="2">
      <x v="13"/>
    </i>
    <i r="2">
      <x v="14"/>
    </i>
    <i r="2">
      <x v="15"/>
    </i>
    <i r="1">
      <x v="2"/>
      <x v="9"/>
    </i>
    <i r="2">
      <x v="10"/>
    </i>
    <i r="2">
      <x v="11"/>
    </i>
    <i r="2">
      <x v="12"/>
    </i>
    <i r="2">
      <x v="13"/>
    </i>
    <i r="2">
      <x v="14"/>
    </i>
    <i r="2">
      <x v="15"/>
    </i>
    <i>
      <x v="429"/>
      <x v="1"/>
      <x/>
    </i>
    <i r="2">
      <x v="2"/>
    </i>
    <i r="2">
      <x v="3"/>
    </i>
    <i r="2">
      <x v="4"/>
    </i>
    <i r="2">
      <x v="5"/>
    </i>
    <i r="2">
      <x v="6"/>
    </i>
    <i r="2">
      <x v="17"/>
    </i>
    <i r="1">
      <x v="2"/>
      <x/>
    </i>
    <i r="2">
      <x v="2"/>
    </i>
    <i r="2">
      <x v="4"/>
    </i>
    <i r="2">
      <x v="5"/>
    </i>
    <i r="2">
      <x v="6"/>
    </i>
    <i r="2">
      <x v="17"/>
    </i>
    <i>
      <x v="430"/>
      <x v="1"/>
      <x v="9"/>
    </i>
    <i r="2">
      <x v="10"/>
    </i>
    <i r="2">
      <x v="12"/>
    </i>
    <i r="2">
      <x v="13"/>
    </i>
    <i r="2">
      <x v="14"/>
    </i>
    <i r="2">
      <x v="15"/>
    </i>
    <i r="1">
      <x v="2"/>
      <x v="9"/>
    </i>
    <i r="2">
      <x v="10"/>
    </i>
    <i r="2">
      <x v="12"/>
    </i>
    <i r="2">
      <x v="13"/>
    </i>
    <i r="2">
      <x v="14"/>
    </i>
    <i r="2">
      <x v="15"/>
    </i>
    <i>
      <x v="431"/>
      <x v="1"/>
      <x v="8"/>
    </i>
    <i r="2">
      <x v="9"/>
    </i>
    <i r="2">
      <x v="10"/>
    </i>
    <i r="2">
      <x v="12"/>
    </i>
    <i r="2">
      <x v="13"/>
    </i>
    <i r="2">
      <x v="14"/>
    </i>
    <i r="2">
      <x v="15"/>
    </i>
    <i r="1">
      <x v="2"/>
      <x v="9"/>
    </i>
    <i r="2">
      <x v="12"/>
    </i>
    <i r="2">
      <x v="13"/>
    </i>
    <i r="2">
      <x v="14"/>
    </i>
    <i r="2">
      <x v="15"/>
    </i>
    <i>
      <x v="432"/>
      <x v="1"/>
      <x v="8"/>
    </i>
    <i r="2">
      <x v="9"/>
    </i>
    <i r="2">
      <x v="12"/>
    </i>
    <i r="2">
      <x v="13"/>
    </i>
    <i r="2">
      <x v="14"/>
    </i>
    <i r="2">
      <x v="15"/>
    </i>
    <i r="1">
      <x v="2"/>
      <x v="8"/>
    </i>
    <i r="2">
      <x v="9"/>
    </i>
    <i r="2">
      <x v="12"/>
    </i>
    <i r="2">
      <x v="13"/>
    </i>
    <i r="2">
      <x v="14"/>
    </i>
    <i r="2">
      <x v="15"/>
    </i>
    <i>
      <x v="433"/>
      <x v="1"/>
      <x v="9"/>
    </i>
    <i r="2">
      <x v="10"/>
    </i>
    <i r="2">
      <x v="12"/>
    </i>
    <i r="2">
      <x v="13"/>
    </i>
    <i r="2">
      <x v="14"/>
    </i>
    <i r="2">
      <x v="15"/>
    </i>
    <i r="1">
      <x v="2"/>
      <x v="9"/>
    </i>
    <i r="2">
      <x v="10"/>
    </i>
    <i r="2">
      <x v="12"/>
    </i>
    <i r="2">
      <x v="13"/>
    </i>
    <i r="2">
      <x v="14"/>
    </i>
    <i r="2">
      <x v="15"/>
    </i>
    <i>
      <x v="434"/>
      <x v="1"/>
      <x v="9"/>
    </i>
    <i r="2">
      <x v="10"/>
    </i>
    <i r="2">
      <x v="12"/>
    </i>
    <i r="2">
      <x v="13"/>
    </i>
    <i r="2">
      <x v="14"/>
    </i>
    <i r="2">
      <x v="15"/>
    </i>
    <i r="1">
      <x v="2"/>
      <x v="9"/>
    </i>
    <i r="2">
      <x v="10"/>
    </i>
    <i r="2">
      <x v="12"/>
    </i>
    <i r="2">
      <x v="13"/>
    </i>
    <i r="2">
      <x v="14"/>
    </i>
    <i r="2">
      <x v="15"/>
    </i>
    <i>
      <x v="435"/>
      <x v="1"/>
      <x v="8"/>
    </i>
    <i r="2">
      <x v="9"/>
    </i>
    <i r="2">
      <x v="12"/>
    </i>
    <i r="2">
      <x v="13"/>
    </i>
    <i r="2">
      <x v="14"/>
    </i>
    <i r="2">
      <x v="15"/>
    </i>
    <i r="1">
      <x v="2"/>
      <x v="8"/>
    </i>
    <i r="2">
      <x v="9"/>
    </i>
    <i r="2">
      <x v="12"/>
    </i>
    <i r="2">
      <x v="13"/>
    </i>
    <i r="2">
      <x v="14"/>
    </i>
    <i r="2">
      <x v="15"/>
    </i>
    <i>
      <x v="436"/>
      <x v="1"/>
      <x v="8"/>
    </i>
    <i r="2">
      <x v="9"/>
    </i>
    <i r="2">
      <x v="11"/>
    </i>
    <i r="2">
      <x v="12"/>
    </i>
    <i r="2">
      <x v="13"/>
    </i>
    <i r="2">
      <x v="14"/>
    </i>
    <i r="2">
      <x v="15"/>
    </i>
    <i r="1">
      <x v="2"/>
      <x v="8"/>
    </i>
    <i r="2">
      <x v="9"/>
    </i>
    <i r="2">
      <x v="11"/>
    </i>
    <i r="2">
      <x v="12"/>
    </i>
    <i r="2">
      <x v="13"/>
    </i>
    <i r="2">
      <x v="14"/>
    </i>
    <i r="2">
      <x v="15"/>
    </i>
    <i>
      <x v="437"/>
      <x v="1"/>
      <x v="8"/>
    </i>
    <i r="2">
      <x v="9"/>
    </i>
    <i r="2">
      <x v="11"/>
    </i>
    <i r="2">
      <x v="12"/>
    </i>
    <i r="2">
      <x v="13"/>
    </i>
    <i r="2">
      <x v="14"/>
    </i>
    <i r="2">
      <x v="15"/>
    </i>
    <i r="1">
      <x v="2"/>
      <x v="8"/>
    </i>
    <i r="2">
      <x v="9"/>
    </i>
    <i r="2">
      <x v="11"/>
    </i>
    <i r="2">
      <x v="12"/>
    </i>
    <i r="2">
      <x v="13"/>
    </i>
    <i r="2">
      <x v="14"/>
    </i>
    <i r="2">
      <x v="15"/>
    </i>
    <i>
      <x v="438"/>
      <x v="1"/>
      <x v="8"/>
    </i>
    <i r="2">
      <x v="9"/>
    </i>
    <i r="2">
      <x v="11"/>
    </i>
    <i r="2">
      <x v="12"/>
    </i>
    <i r="2">
      <x v="13"/>
    </i>
    <i r="2">
      <x v="14"/>
    </i>
    <i r="2">
      <x v="15"/>
    </i>
    <i r="1">
      <x v="2"/>
      <x v="8"/>
    </i>
    <i r="2">
      <x v="9"/>
    </i>
    <i r="2">
      <x v="11"/>
    </i>
    <i r="2">
      <x v="12"/>
    </i>
    <i r="2">
      <x v="13"/>
    </i>
    <i r="2">
      <x v="14"/>
    </i>
    <i r="2">
      <x v="15"/>
    </i>
    <i>
      <x v="439"/>
      <x v="1"/>
      <x v="9"/>
    </i>
    <i r="2">
      <x v="11"/>
    </i>
    <i r="2">
      <x v="13"/>
    </i>
    <i r="2">
      <x v="15"/>
    </i>
    <i r="1">
      <x v="2"/>
      <x v="9"/>
    </i>
    <i r="2">
      <x v="11"/>
    </i>
    <i r="2">
      <x v="13"/>
    </i>
    <i r="2">
      <x v="15"/>
    </i>
    <i>
      <x v="440"/>
      <x v="1"/>
      <x v="8"/>
    </i>
    <i r="2">
      <x v="11"/>
    </i>
    <i r="2">
      <x v="13"/>
    </i>
    <i r="2">
      <x v="15"/>
    </i>
    <i r="1">
      <x v="2"/>
      <x v="8"/>
    </i>
    <i r="2">
      <x v="11"/>
    </i>
    <i r="2">
      <x v="13"/>
    </i>
    <i r="2">
      <x v="15"/>
    </i>
    <i>
      <x v="441"/>
      <x v="1"/>
      <x v="9"/>
    </i>
    <i r="2">
      <x v="11"/>
    </i>
    <i r="2">
      <x v="13"/>
    </i>
    <i r="2">
      <x v="15"/>
    </i>
    <i r="1">
      <x v="2"/>
      <x v="9"/>
    </i>
    <i r="2">
      <x v="13"/>
    </i>
    <i r="2">
      <x v="15"/>
    </i>
    <i>
      <x v="442"/>
      <x v="1"/>
      <x v="9"/>
    </i>
    <i r="2">
      <x v="13"/>
    </i>
    <i r="2">
      <x v="15"/>
    </i>
    <i r="1">
      <x v="2"/>
      <x v="9"/>
    </i>
    <i r="2">
      <x v="11"/>
    </i>
    <i r="2">
      <x v="13"/>
    </i>
    <i r="2">
      <x v="15"/>
    </i>
    <i>
      <x v="443"/>
      <x v="1"/>
      <x v="9"/>
    </i>
    <i r="2">
      <x v="11"/>
    </i>
    <i r="2">
      <x v="13"/>
    </i>
    <i r="2">
      <x v="15"/>
    </i>
    <i r="1">
      <x v="2"/>
      <x v="9"/>
    </i>
    <i r="2">
      <x v="11"/>
    </i>
    <i r="2">
      <x v="13"/>
    </i>
    <i r="2">
      <x v="15"/>
    </i>
    <i>
      <x v="444"/>
      <x v="1"/>
      <x v="9"/>
    </i>
    <i r="2">
      <x v="11"/>
    </i>
    <i r="2">
      <x v="13"/>
    </i>
    <i r="2">
      <x v="15"/>
    </i>
    <i r="1">
      <x v="2"/>
      <x v="8"/>
    </i>
    <i r="2">
      <x v="9"/>
    </i>
    <i r="2">
      <x v="11"/>
    </i>
    <i r="2">
      <x v="12"/>
    </i>
    <i r="2">
      <x v="13"/>
    </i>
    <i r="2">
      <x v="15"/>
    </i>
    <i>
      <x v="445"/>
      <x v="1"/>
      <x v="8"/>
    </i>
    <i r="2">
      <x v="9"/>
    </i>
    <i r="2">
      <x v="11"/>
    </i>
    <i r="2">
      <x v="12"/>
    </i>
    <i r="2">
      <x v="13"/>
    </i>
    <i r="1">
      <x v="2"/>
      <x v="8"/>
    </i>
    <i r="2">
      <x v="9"/>
    </i>
    <i r="2">
      <x v="11"/>
    </i>
    <i r="2">
      <x v="12"/>
    </i>
    <i r="2">
      <x v="13"/>
    </i>
    <i>
      <x v="446"/>
      <x v="1"/>
      <x v="8"/>
    </i>
    <i r="2">
      <x v="9"/>
    </i>
    <i r="2">
      <x v="11"/>
    </i>
    <i r="2">
      <x v="12"/>
    </i>
    <i r="2">
      <x v="13"/>
    </i>
    <i r="1">
      <x v="2"/>
      <x v="8"/>
    </i>
    <i r="2">
      <x v="9"/>
    </i>
    <i r="2">
      <x v="12"/>
    </i>
    <i r="2">
      <x v="13"/>
    </i>
    <i>
      <x v="447"/>
      <x v="1"/>
      <x v="8"/>
    </i>
    <i r="2">
      <x v="9"/>
    </i>
    <i r="2">
      <x v="10"/>
    </i>
    <i r="2">
      <x v="12"/>
    </i>
    <i r="2">
      <x v="13"/>
    </i>
    <i r="1">
      <x v="2"/>
      <x v="8"/>
    </i>
    <i r="2">
      <x v="9"/>
    </i>
    <i r="2">
      <x v="10"/>
    </i>
    <i r="2">
      <x v="12"/>
    </i>
    <i r="2">
      <x v="13"/>
    </i>
    <i>
      <x v="448"/>
      <x v="1"/>
      <x v="8"/>
    </i>
    <i r="2">
      <x v="9"/>
    </i>
    <i r="2">
      <x v="11"/>
    </i>
    <i r="2">
      <x v="12"/>
    </i>
    <i r="2">
      <x v="13"/>
    </i>
    <i r="1">
      <x v="2"/>
      <x v="8"/>
    </i>
    <i r="2">
      <x v="9"/>
    </i>
    <i r="2">
      <x v="11"/>
    </i>
    <i r="2">
      <x v="12"/>
    </i>
    <i r="2">
      <x v="13"/>
    </i>
    <i>
      <x v="449"/>
      <x v="1"/>
      <x v="8"/>
    </i>
    <i r="2">
      <x v="9"/>
    </i>
    <i r="2">
      <x v="11"/>
    </i>
    <i r="2">
      <x v="12"/>
    </i>
    <i r="2">
      <x v="13"/>
    </i>
    <i r="1">
      <x v="2"/>
      <x v="8"/>
    </i>
    <i r="2">
      <x v="9"/>
    </i>
    <i r="2">
      <x v="11"/>
    </i>
    <i r="2">
      <x v="12"/>
    </i>
    <i r="2">
      <x v="13"/>
    </i>
    <i>
      <x v="450"/>
      <x v="1"/>
      <x v="8"/>
    </i>
    <i r="2">
      <x v="9"/>
    </i>
    <i r="2">
      <x v="10"/>
    </i>
    <i r="2">
      <x v="11"/>
    </i>
    <i r="2">
      <x v="12"/>
    </i>
    <i r="2">
      <x v="13"/>
    </i>
    <i r="1">
      <x v="2"/>
      <x v="8"/>
    </i>
    <i r="2">
      <x v="9"/>
    </i>
    <i r="2">
      <x v="11"/>
    </i>
    <i r="2">
      <x v="12"/>
    </i>
    <i r="2">
      <x v="13"/>
    </i>
  </rowItems>
  <colFields count="1">
    <field x="-2"/>
  </colFields>
  <colItems count="29">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colItems>
  <dataFields count="29">
    <dataField name="Sum of NET WEIGHT" fld="16" baseField="0" baseItem="0"/>
    <dataField name="Sum of PRD WATSE" fld="14" baseField="0" baseItem="1"/>
    <dataField name="Sum of کوالٹی CHANGE" fld="18" baseField="0" baseItem="0"/>
    <dataField name="Sum of ھیٹنگ" fld="19" baseField="0" baseItem="0"/>
    <dataField name="Sum of MACHINE ON" fld="20" baseField="0" baseItem="0"/>
    <dataField name="Sum of TOTAL MIN" fld="21" baseField="0" baseItem="0"/>
    <dataField name="Count of ACTION PLAN" fld="44" subtotal="count" baseField="0" baseItem="0"/>
    <dataField name="Sum of P.S   HOURS" fld="22" baseField="0" baseItem="0" numFmtId="2"/>
    <dataField name="Sum of الیکٹریکل" fld="23" baseField="0" baseItem="0"/>
    <dataField name="Count of ACTION" fld="43" subtotal="count" baseField="0" baseItem="0"/>
    <dataField name="Count of REMARKS" fld="42" subtotal="count" baseField="0" baseItem="0"/>
    <dataField name="Sum of KWH/KG" fld="37" baseField="1" baseItem="13"/>
    <dataField name="Sum of ڈایی صاف " fld="24" baseField="0" baseItem="0"/>
    <dataField name="Sum of مکینیکل" fld="25" baseField="0" baseItem="0"/>
    <dataField name="Sum of سائز کم " fld="26" baseField="0" baseItem="0"/>
    <dataField name="Sum of  سیمپل چیک" fld="27" baseField="0" baseItem="0"/>
    <dataField name="Sum of OTHER" fld="28" baseField="0" baseItem="0"/>
    <dataField name="Sum of  جالی تبدیل" fld="29" baseField="0" baseItem="0"/>
    <dataField name="Sum of TREET" fld="30" baseField="0" baseItem="0"/>
    <dataField name="Sum of TOTAL MIN2" fld="31" baseField="0" baseItem="0"/>
    <dataField name="Sum of U.P.S HOURS" fld="32" baseField="0" baseItem="0" numFmtId="2"/>
    <dataField name="Sum of T.S HOURS" fld="33" baseField="0" baseItem="0" numFmtId="2"/>
    <dataField name="Sum of RUNNING" fld="34" baseField="0" baseItem="0" numFmtId="2"/>
    <dataField name="Min of TOTAL HOURS" fld="35" subtotal="min" baseField="0" baseItem="1"/>
    <dataField name="Sum of WASTAGE/KGs" fld="36" baseField="0" baseItem="0"/>
    <dataField name="Sum of TARGET" fld="39" baseField="0" baseItem="0"/>
    <dataField name="Min of RECIPE" fld="40" subtotal="min" baseField="1" baseItem="8"/>
    <dataField name="Sum of TOTAL PRODUCTION" fld="38" baseField="0" baseItem="0"/>
    <dataField name="Min of WEEK NO." fld="41" subtotal="min" baseField="0" baseItem="2"/>
  </dataFields>
  <formats count="50">
    <format dxfId="93">
      <pivotArea outline="0" fieldPosition="0">
        <references count="1">
          <reference field="4294967294" count="3" selected="0">
            <x v="20"/>
            <x v="21"/>
            <x v="22"/>
          </reference>
        </references>
      </pivotArea>
    </format>
    <format dxfId="92">
      <pivotArea type="all" dataOnly="0" outline="0" fieldPosition="0"/>
    </format>
    <format dxfId="91">
      <pivotArea outline="0" collapsedLevelsAreSubtotals="1" fieldPosition="0"/>
    </format>
    <format dxfId="90">
      <pivotArea type="origin" dataOnly="0" labelOnly="1" outline="0" fieldPosition="0"/>
    </format>
    <format dxfId="89">
      <pivotArea field="-2" type="button" dataOnly="0" labelOnly="1" outline="0" axis="axisCol" fieldPosition="0"/>
    </format>
    <format dxfId="88">
      <pivotArea type="topRight" dataOnly="0" labelOnly="1" outline="0" fieldPosition="0"/>
    </format>
    <format dxfId="87">
      <pivotArea field="3" type="button" dataOnly="0" labelOnly="1" outline="0" axis="axisRow" fieldPosition="0"/>
    </format>
    <format dxfId="86">
      <pivotArea field="0" type="button" dataOnly="0" labelOnly="1" outline="0" axis="axisRow" fieldPosition="1"/>
    </format>
    <format dxfId="85">
      <pivotArea field="1" type="button" dataOnly="0" labelOnly="1" outline="0" axis="axisRow" fieldPosition="2"/>
    </format>
    <format dxfId="84">
      <pivotArea dataOnly="0" labelOnly="1" outline="0" fieldPosition="0">
        <references count="1">
          <reference field="3" count="13">
            <x v="248"/>
            <x v="249"/>
            <x v="250"/>
            <x v="251"/>
            <x v="252"/>
            <x v="253"/>
            <x v="254"/>
            <x v="256"/>
            <x v="257"/>
            <x v="258"/>
            <x v="259"/>
            <x v="260"/>
            <x v="261"/>
          </reference>
        </references>
      </pivotArea>
    </format>
    <format dxfId="83">
      <pivotArea dataOnly="0" labelOnly="1" outline="0" fieldPosition="0">
        <references count="2">
          <reference field="0" count="2">
            <x v="1"/>
            <x v="2"/>
          </reference>
          <reference field="3" count="1" selected="0">
            <x v="248"/>
          </reference>
        </references>
      </pivotArea>
    </format>
    <format dxfId="82">
      <pivotArea dataOnly="0" labelOnly="1" outline="0" fieldPosition="0">
        <references count="2">
          <reference field="0" count="2">
            <x v="1"/>
            <x v="2"/>
          </reference>
          <reference field="3" count="1" selected="0">
            <x v="249"/>
          </reference>
        </references>
      </pivotArea>
    </format>
    <format dxfId="81">
      <pivotArea dataOnly="0" labelOnly="1" outline="0" fieldPosition="0">
        <references count="2">
          <reference field="0" count="2">
            <x v="1"/>
            <x v="2"/>
          </reference>
          <reference field="3" count="1" selected="0">
            <x v="250"/>
          </reference>
        </references>
      </pivotArea>
    </format>
    <format dxfId="80">
      <pivotArea dataOnly="0" labelOnly="1" outline="0" fieldPosition="0">
        <references count="2">
          <reference field="0" count="2">
            <x v="1"/>
            <x v="2"/>
          </reference>
          <reference field="3" count="1" selected="0">
            <x v="251"/>
          </reference>
        </references>
      </pivotArea>
    </format>
    <format dxfId="79">
      <pivotArea dataOnly="0" labelOnly="1" outline="0" fieldPosition="0">
        <references count="2">
          <reference field="0" count="2">
            <x v="1"/>
            <x v="2"/>
          </reference>
          <reference field="3" count="1" selected="0">
            <x v="252"/>
          </reference>
        </references>
      </pivotArea>
    </format>
    <format dxfId="78">
      <pivotArea dataOnly="0" labelOnly="1" outline="0" fieldPosition="0">
        <references count="2">
          <reference field="0" count="2">
            <x v="1"/>
            <x v="2"/>
          </reference>
          <reference field="3" count="1" selected="0">
            <x v="253"/>
          </reference>
        </references>
      </pivotArea>
    </format>
    <format dxfId="77">
      <pivotArea dataOnly="0" labelOnly="1" outline="0" fieldPosition="0">
        <references count="2">
          <reference field="0" count="2">
            <x v="1"/>
            <x v="2"/>
          </reference>
          <reference field="3" count="1" selected="0">
            <x v="254"/>
          </reference>
        </references>
      </pivotArea>
    </format>
    <format dxfId="76">
      <pivotArea dataOnly="0" labelOnly="1" outline="0" fieldPosition="0">
        <references count="2">
          <reference field="0" count="2">
            <x v="1"/>
            <x v="2"/>
          </reference>
          <reference field="3" count="1" selected="0">
            <x v="256"/>
          </reference>
        </references>
      </pivotArea>
    </format>
    <format dxfId="75">
      <pivotArea dataOnly="0" labelOnly="1" outline="0" fieldPosition="0">
        <references count="2">
          <reference field="0" count="2">
            <x v="1"/>
            <x v="2"/>
          </reference>
          <reference field="3" count="1" selected="0">
            <x v="257"/>
          </reference>
        </references>
      </pivotArea>
    </format>
    <format dxfId="74">
      <pivotArea dataOnly="0" labelOnly="1" outline="0" fieldPosition="0">
        <references count="2">
          <reference field="0" count="2">
            <x v="1"/>
            <x v="2"/>
          </reference>
          <reference field="3" count="1" selected="0">
            <x v="258"/>
          </reference>
        </references>
      </pivotArea>
    </format>
    <format dxfId="73">
      <pivotArea dataOnly="0" labelOnly="1" outline="0" fieldPosition="0">
        <references count="2">
          <reference field="0" count="2">
            <x v="1"/>
            <x v="2"/>
          </reference>
          <reference field="3" count="1" selected="0">
            <x v="259"/>
          </reference>
        </references>
      </pivotArea>
    </format>
    <format dxfId="72">
      <pivotArea dataOnly="0" labelOnly="1" outline="0" fieldPosition="0">
        <references count="2">
          <reference field="0" count="2">
            <x v="1"/>
            <x v="2"/>
          </reference>
          <reference field="3" count="1" selected="0">
            <x v="260"/>
          </reference>
        </references>
      </pivotArea>
    </format>
    <format dxfId="71">
      <pivotArea dataOnly="0" labelOnly="1" outline="0" fieldPosition="0">
        <references count="2">
          <reference field="0" count="2">
            <x v="1"/>
            <x v="2"/>
          </reference>
          <reference field="3" count="1" selected="0">
            <x v="261"/>
          </reference>
        </references>
      </pivotArea>
    </format>
    <format dxfId="70">
      <pivotArea dataOnly="0" labelOnly="1" outline="0" fieldPosition="0">
        <references count="3">
          <reference field="0" count="1" selected="0">
            <x v="1"/>
          </reference>
          <reference field="1" count="6">
            <x v="8"/>
            <x v="9"/>
            <x v="10"/>
            <x v="11"/>
            <x v="13"/>
            <x v="14"/>
          </reference>
          <reference field="3" count="1" selected="0">
            <x v="248"/>
          </reference>
        </references>
      </pivotArea>
    </format>
    <format dxfId="69">
      <pivotArea dataOnly="0" labelOnly="1" outline="0" fieldPosition="0">
        <references count="3">
          <reference field="0" count="1" selected="0">
            <x v="2"/>
          </reference>
          <reference field="1" count="5">
            <x v="8"/>
            <x v="9"/>
            <x v="11"/>
            <x v="13"/>
            <x v="14"/>
          </reference>
          <reference field="3" count="1" selected="0">
            <x v="248"/>
          </reference>
        </references>
      </pivotArea>
    </format>
    <format dxfId="68">
      <pivotArea dataOnly="0" labelOnly="1" outline="0" fieldPosition="0">
        <references count="3">
          <reference field="0" count="1" selected="0">
            <x v="1"/>
          </reference>
          <reference field="1" count="4">
            <x v="8"/>
            <x v="9"/>
            <x v="13"/>
            <x v="14"/>
          </reference>
          <reference field="3" count="1" selected="0">
            <x v="249"/>
          </reference>
        </references>
      </pivotArea>
    </format>
    <format dxfId="67">
      <pivotArea dataOnly="0" labelOnly="1" outline="0" fieldPosition="0">
        <references count="3">
          <reference field="0" count="1" selected="0">
            <x v="2"/>
          </reference>
          <reference field="1" count="5">
            <x v="8"/>
            <x v="9"/>
            <x v="10"/>
            <x v="13"/>
            <x v="14"/>
          </reference>
          <reference field="3" count="1" selected="0">
            <x v="249"/>
          </reference>
        </references>
      </pivotArea>
    </format>
    <format dxfId="66">
      <pivotArea dataOnly="0" labelOnly="1" outline="0" fieldPosition="0">
        <references count="3">
          <reference field="0" count="1" selected="0">
            <x v="1"/>
          </reference>
          <reference field="1" count="5">
            <x v="8"/>
            <x v="9"/>
            <x v="10"/>
            <x v="13"/>
            <x v="14"/>
          </reference>
          <reference field="3" count="1" selected="0">
            <x v="250"/>
          </reference>
        </references>
      </pivotArea>
    </format>
    <format dxfId="65">
      <pivotArea dataOnly="0" labelOnly="1" outline="0" fieldPosition="0">
        <references count="3">
          <reference field="0" count="1" selected="0">
            <x v="2"/>
          </reference>
          <reference field="1" count="7">
            <x v="8"/>
            <x v="9"/>
            <x v="10"/>
            <x v="11"/>
            <x v="12"/>
            <x v="13"/>
            <x v="14"/>
          </reference>
          <reference field="3" count="1" selected="0">
            <x v="250"/>
          </reference>
        </references>
      </pivotArea>
    </format>
    <format dxfId="64">
      <pivotArea dataOnly="0" labelOnly="1" outline="0" fieldPosition="0">
        <references count="3">
          <reference field="0" count="1" selected="0">
            <x v="1"/>
          </reference>
          <reference field="1" count="6">
            <x v="8"/>
            <x v="9"/>
            <x v="11"/>
            <x v="12"/>
            <x v="13"/>
            <x v="14"/>
          </reference>
          <reference field="3" count="1" selected="0">
            <x v="251"/>
          </reference>
        </references>
      </pivotArea>
    </format>
    <format dxfId="63">
      <pivotArea dataOnly="0" labelOnly="1" outline="0" fieldPosition="0">
        <references count="3">
          <reference field="0" count="1" selected="0">
            <x v="2"/>
          </reference>
          <reference field="1" count="6">
            <x v="8"/>
            <x v="9"/>
            <x v="11"/>
            <x v="12"/>
            <x v="13"/>
            <x v="14"/>
          </reference>
          <reference field="3" count="1" selected="0">
            <x v="251"/>
          </reference>
        </references>
      </pivotArea>
    </format>
    <format dxfId="62">
      <pivotArea dataOnly="0" labelOnly="1" outline="0" fieldPosition="0">
        <references count="3">
          <reference field="0" count="1" selected="0">
            <x v="1"/>
          </reference>
          <reference field="1" count="6">
            <x v="8"/>
            <x v="9"/>
            <x v="11"/>
            <x v="12"/>
            <x v="13"/>
            <x v="14"/>
          </reference>
          <reference field="3" count="1" selected="0">
            <x v="252"/>
          </reference>
        </references>
      </pivotArea>
    </format>
    <format dxfId="61">
      <pivotArea dataOnly="0" labelOnly="1" outline="0" fieldPosition="0">
        <references count="3">
          <reference field="0" count="1" selected="0">
            <x v="2"/>
          </reference>
          <reference field="1" count="7">
            <x v="8"/>
            <x v="9"/>
            <x v="10"/>
            <x v="11"/>
            <x v="12"/>
            <x v="13"/>
            <x v="14"/>
          </reference>
          <reference field="3" count="1" selected="0">
            <x v="252"/>
          </reference>
        </references>
      </pivotArea>
    </format>
    <format dxfId="60">
      <pivotArea dataOnly="0" labelOnly="1" outline="0" fieldPosition="0">
        <references count="3">
          <reference field="0" count="1" selected="0">
            <x v="1"/>
          </reference>
          <reference field="1" count="7">
            <x v="8"/>
            <x v="9"/>
            <x v="10"/>
            <x v="11"/>
            <x v="12"/>
            <x v="13"/>
            <x v="14"/>
          </reference>
          <reference field="3" count="1" selected="0">
            <x v="253"/>
          </reference>
        </references>
      </pivotArea>
    </format>
    <format dxfId="59">
      <pivotArea dataOnly="0" labelOnly="1" outline="0" fieldPosition="0">
        <references count="3">
          <reference field="0" count="1" selected="0">
            <x v="2"/>
          </reference>
          <reference field="1" count="7">
            <x v="8"/>
            <x v="9"/>
            <x v="10"/>
            <x v="11"/>
            <x v="12"/>
            <x v="13"/>
            <x v="14"/>
          </reference>
          <reference field="3" count="1" selected="0">
            <x v="253"/>
          </reference>
        </references>
      </pivotArea>
    </format>
    <format dxfId="58">
      <pivotArea dataOnly="0" labelOnly="1" outline="0" fieldPosition="0">
        <references count="3">
          <reference field="0" count="1" selected="0">
            <x v="1"/>
          </reference>
          <reference field="1" count="7">
            <x v="8"/>
            <x v="9"/>
            <x v="10"/>
            <x v="11"/>
            <x v="12"/>
            <x v="13"/>
            <x v="14"/>
          </reference>
          <reference field="3" count="1" selected="0">
            <x v="254"/>
          </reference>
        </references>
      </pivotArea>
    </format>
    <format dxfId="57">
      <pivotArea dataOnly="0" labelOnly="1" outline="0" fieldPosition="0">
        <references count="3">
          <reference field="0" count="1" selected="0">
            <x v="2"/>
          </reference>
          <reference field="1" count="8">
            <x v="8"/>
            <x v="9"/>
            <x v="10"/>
            <x v="11"/>
            <x v="12"/>
            <x v="13"/>
            <x v="14"/>
            <x v="15"/>
          </reference>
          <reference field="3" count="1" selected="0">
            <x v="254"/>
          </reference>
        </references>
      </pivotArea>
    </format>
    <format dxfId="56">
      <pivotArea dataOnly="0" labelOnly="1" outline="0" fieldPosition="0">
        <references count="3">
          <reference field="0" count="1" selected="0">
            <x v="1"/>
          </reference>
          <reference field="1" count="7">
            <x v="8"/>
            <x v="9"/>
            <x v="11"/>
            <x v="12"/>
            <x v="13"/>
            <x v="14"/>
            <x v="15"/>
          </reference>
          <reference field="3" count="1" selected="0">
            <x v="256"/>
          </reference>
        </references>
      </pivotArea>
    </format>
    <format dxfId="55">
      <pivotArea dataOnly="0" labelOnly="1" outline="0" fieldPosition="0">
        <references count="3">
          <reference field="0" count="1" selected="0">
            <x v="2"/>
          </reference>
          <reference field="1" count="7">
            <x v="8"/>
            <x v="9"/>
            <x v="11"/>
            <x v="12"/>
            <x v="13"/>
            <x v="14"/>
            <x v="15"/>
          </reference>
          <reference field="3" count="1" selected="0">
            <x v="256"/>
          </reference>
        </references>
      </pivotArea>
    </format>
    <format dxfId="54">
      <pivotArea dataOnly="0" labelOnly="1" outline="0" fieldPosition="0">
        <references count="3">
          <reference field="0" count="1" selected="0">
            <x v="1"/>
          </reference>
          <reference field="1" count="7">
            <x v="0"/>
            <x v="10"/>
            <x v="11"/>
            <x v="12"/>
            <x v="13"/>
            <x v="14"/>
            <x v="15"/>
          </reference>
          <reference field="3" count="1" selected="0">
            <x v="257"/>
          </reference>
        </references>
      </pivotArea>
    </format>
    <format dxfId="53">
      <pivotArea dataOnly="0" labelOnly="1" outline="0" fieldPosition="0">
        <references count="3">
          <reference field="0" count="1" selected="0">
            <x v="2"/>
          </reference>
          <reference field="1" count="7">
            <x v="0"/>
            <x v="10"/>
            <x v="11"/>
            <x v="12"/>
            <x v="13"/>
            <x v="14"/>
            <x v="15"/>
          </reference>
          <reference field="3" count="1" selected="0">
            <x v="257"/>
          </reference>
        </references>
      </pivotArea>
    </format>
    <format dxfId="52">
      <pivotArea dataOnly="0" labelOnly="1" outline="0" fieldPosition="0">
        <references count="3">
          <reference field="0" count="1" selected="0">
            <x v="1"/>
          </reference>
          <reference field="1" count="6">
            <x v="8"/>
            <x v="11"/>
            <x v="12"/>
            <x v="13"/>
            <x v="14"/>
            <x v="15"/>
          </reference>
          <reference field="3" count="1" selected="0">
            <x v="258"/>
          </reference>
        </references>
      </pivotArea>
    </format>
    <format dxfId="51">
      <pivotArea dataOnly="0" labelOnly="1" outline="0" fieldPosition="0">
        <references count="3">
          <reference field="0" count="1" selected="0">
            <x v="2"/>
          </reference>
          <reference field="1" count="6">
            <x v="8"/>
            <x v="11"/>
            <x v="12"/>
            <x v="13"/>
            <x v="14"/>
            <x v="15"/>
          </reference>
          <reference field="3" count="1" selected="0">
            <x v="258"/>
          </reference>
        </references>
      </pivotArea>
    </format>
    <format dxfId="50">
      <pivotArea dataOnly="0" labelOnly="1" outline="0" fieldPosition="0">
        <references count="3">
          <reference field="0" count="1" selected="0">
            <x v="1"/>
          </reference>
          <reference field="1" count="6">
            <x v="8"/>
            <x v="10"/>
            <x v="11"/>
            <x v="12"/>
            <x v="13"/>
            <x v="14"/>
          </reference>
          <reference field="3" count="1" selected="0">
            <x v="259"/>
          </reference>
        </references>
      </pivotArea>
    </format>
    <format dxfId="49">
      <pivotArea dataOnly="0" labelOnly="1" outline="0" fieldPosition="0">
        <references count="3">
          <reference field="0" count="1" selected="0">
            <x v="2"/>
          </reference>
          <reference field="1" count="6">
            <x v="8"/>
            <x v="10"/>
            <x v="11"/>
            <x v="12"/>
            <x v="13"/>
            <x v="14"/>
          </reference>
          <reference field="3" count="1" selected="0">
            <x v="259"/>
          </reference>
        </references>
      </pivotArea>
    </format>
    <format dxfId="48">
      <pivotArea dataOnly="0" labelOnly="1" outline="0" fieldPosition="0">
        <references count="3">
          <reference field="0" count="1" selected="0">
            <x v="1"/>
          </reference>
          <reference field="1" count="5">
            <x v="8"/>
            <x v="10"/>
            <x v="12"/>
            <x v="13"/>
            <x v="14"/>
          </reference>
          <reference field="3" count="1" selected="0">
            <x v="260"/>
          </reference>
        </references>
      </pivotArea>
    </format>
    <format dxfId="47">
      <pivotArea dataOnly="0" labelOnly="1" outline="0" fieldPosition="0">
        <references count="3">
          <reference field="0" count="1" selected="0">
            <x v="2"/>
          </reference>
          <reference field="1" count="5">
            <x v="8"/>
            <x v="10"/>
            <x v="12"/>
            <x v="13"/>
            <x v="14"/>
          </reference>
          <reference field="3" count="1" selected="0">
            <x v="260"/>
          </reference>
        </references>
      </pivotArea>
    </format>
    <format dxfId="46">
      <pivotArea dataOnly="0" labelOnly="1" outline="0" fieldPosition="0">
        <references count="3">
          <reference field="0" count="1" selected="0">
            <x v="1"/>
          </reference>
          <reference field="1" count="5">
            <x v="8"/>
            <x v="10"/>
            <x v="11"/>
            <x v="12"/>
            <x v="14"/>
          </reference>
          <reference field="3" count="1" selected="0">
            <x v="261"/>
          </reference>
        </references>
      </pivotArea>
    </format>
    <format dxfId="45">
      <pivotArea dataOnly="0" labelOnly="1" outline="0" fieldPosition="0">
        <references count="3">
          <reference field="0" count="1" selected="0">
            <x v="2"/>
          </reference>
          <reference field="1" count="5">
            <x v="8"/>
            <x v="10"/>
            <x v="11"/>
            <x v="12"/>
            <x v="14"/>
          </reference>
          <reference field="3" count="1" selected="0">
            <x v="261"/>
          </reference>
        </references>
      </pivotArea>
    </format>
    <format dxfId="44">
      <pivotArea dataOnly="0" labelOnly="1" outline="0" fieldPosition="0">
        <references count="1">
          <reference field="4294967294" count="29">
            <x v="0"/>
            <x v="1"/>
            <x v="2"/>
            <x v="3"/>
            <x v="4"/>
            <x v="5"/>
            <x v="6"/>
            <x v="7"/>
            <x v="8"/>
            <x v="9"/>
            <x v="10"/>
            <x v="11"/>
            <x v="12"/>
            <x v="13"/>
            <x v="14"/>
            <x v="15"/>
            <x v="16"/>
            <x v="17"/>
            <x v="18"/>
            <x v="19"/>
            <x v="20"/>
            <x v="21"/>
            <x v="22"/>
            <x v="23"/>
            <x v="24"/>
            <x v="25"/>
            <x v="26"/>
            <x v="27"/>
            <x v="28"/>
          </reference>
        </references>
      </pivotArea>
    </format>
  </formats>
  <pivotTableStyleInfo name="PivotStyleDark1" showRowHeaders="1" showColHeaders="0" showRowStripes="0"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NO." xr10:uid="{E940ECBB-8F61-4AD5-84D9-FEAB2B386FCE}" sourceName="WEEK NO.">
  <pivotTables>
    <pivotTable tabId="10" name="PivotTable4"/>
  </pivotTables>
  <data>
    <tabular pivotCacheId="2112669771">
      <items count="39">
        <i x="25"/>
        <i x="26"/>
        <i x="27"/>
        <i x="28"/>
        <i x="29"/>
        <i x="30"/>
        <i x="31"/>
        <i x="32" s="1"/>
        <i x="33" s="1"/>
        <i x="34" s="1"/>
        <i x="35" s="1"/>
        <i x="36" s="1"/>
        <i x="1"/>
        <i x="2"/>
        <i x="3"/>
        <i x="4"/>
        <i x="5"/>
        <i x="6"/>
        <i x="7"/>
        <i x="8"/>
        <i x="9"/>
        <i x="10"/>
        <i x="11"/>
        <i x="12"/>
        <i x="13"/>
        <i x="14"/>
        <i x="15"/>
        <i x="16"/>
        <i x="17"/>
        <i x="18"/>
        <i x="19"/>
        <i x="20"/>
        <i x="21"/>
        <i x="22"/>
        <i x="23"/>
        <i x="24"/>
        <i x="0"/>
        <i x="38" nd="1"/>
        <i x="3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NO." xr10:uid="{9B7FE370-C158-4DCC-864E-54FF15A72578}" cache="Slicer_WEEK_NO." caption="WEEK NO." startItem="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6A18-6A93-4714-93D8-4CC33CC9ADAF}">
  <dimension ref="A1:AF1926"/>
  <sheetViews>
    <sheetView topLeftCell="A2" workbookViewId="0">
      <pane xSplit="1" ySplit="1" topLeftCell="C1911" activePane="bottomRight" state="frozen"/>
      <selection activeCell="A2" sqref="A2"/>
      <selection pane="topRight" activeCell="B2" sqref="B2"/>
      <selection pane="bottomLeft" activeCell="A3" sqref="A3"/>
      <selection pane="bottomRight" activeCell="C1921" sqref="C1921"/>
    </sheetView>
  </sheetViews>
  <sheetFormatPr defaultRowHeight="13.5" customHeight="1" x14ac:dyDescent="0.6"/>
  <cols>
    <col min="1" max="2" width="11.42578125" style="20" customWidth="1"/>
    <col min="3" max="3" width="11" customWidth="1"/>
    <col min="4" max="4" width="12.85546875" customWidth="1"/>
    <col min="5" max="5" width="16.5703125" customWidth="1"/>
    <col min="6" max="8" width="14" customWidth="1"/>
    <col min="9" max="9" width="10.85546875" customWidth="1"/>
    <col min="10" max="10" width="12" customWidth="1"/>
    <col min="11" max="11" width="12.5703125" customWidth="1"/>
    <col min="12" max="12" width="10.7109375" customWidth="1"/>
    <col min="13" max="13" width="13.140625" customWidth="1"/>
    <col min="14" max="16" width="14.42578125" customWidth="1"/>
    <col min="17" max="18" width="13.140625" customWidth="1"/>
    <col min="19" max="19" width="15.42578125" customWidth="1"/>
    <col min="20" max="20" width="17" customWidth="1"/>
    <col min="21" max="21" width="14.85546875" customWidth="1"/>
    <col min="22" max="22" width="14.42578125" customWidth="1"/>
    <col min="23" max="23" width="15.85546875" customWidth="1"/>
    <col min="24" max="24" width="14.42578125" customWidth="1"/>
    <col min="25" max="25" width="12.42578125" customWidth="1"/>
    <col min="26" max="26" width="19.28515625" customWidth="1"/>
    <col min="27" max="27" width="13.28515625" customWidth="1"/>
    <col min="28" max="28" width="12" style="19" customWidth="1"/>
    <col min="29" max="29" width="14.5703125" style="19" customWidth="1"/>
    <col min="30" max="30" width="80.42578125" style="9" bestFit="1" customWidth="1"/>
    <col min="31" max="31" width="60.85546875" style="9" bestFit="1" customWidth="1"/>
    <col min="32" max="32" width="29.42578125" style="9" bestFit="1" customWidth="1"/>
  </cols>
  <sheetData>
    <row r="1" spans="1:32" ht="13.5" customHeight="1" x14ac:dyDescent="0.25">
      <c r="A1" s="3"/>
      <c r="B1" s="3"/>
      <c r="C1" s="1"/>
      <c r="D1" s="1"/>
      <c r="E1" s="1"/>
      <c r="F1" s="1"/>
      <c r="G1" s="1"/>
      <c r="H1" s="1"/>
      <c r="I1" s="1"/>
      <c r="J1" s="1"/>
      <c r="K1" s="1"/>
      <c r="L1" s="2" t="s">
        <v>0</v>
      </c>
      <c r="M1" s="2"/>
      <c r="N1" s="1"/>
      <c r="O1" s="1"/>
      <c r="P1" s="1"/>
      <c r="Q1" s="1"/>
      <c r="R1" s="1"/>
      <c r="S1" s="1"/>
      <c r="T1" s="1"/>
      <c r="U1" s="1"/>
      <c r="V1" s="1"/>
      <c r="W1" s="1"/>
      <c r="X1" s="1"/>
      <c r="Y1" s="1"/>
      <c r="Z1" s="1"/>
      <c r="AA1" s="1"/>
      <c r="AB1" s="1"/>
      <c r="AC1" s="1"/>
      <c r="AD1" s="8"/>
      <c r="AE1" s="24"/>
      <c r="AF1" s="8"/>
    </row>
    <row r="2" spans="1:32" ht="24" x14ac:dyDescent="0.25">
      <c r="A2" s="5" t="s">
        <v>1</v>
      </c>
      <c r="B2" s="5" t="s">
        <v>40</v>
      </c>
      <c r="C2" s="6" t="s">
        <v>2</v>
      </c>
      <c r="D2" s="22" t="s">
        <v>44</v>
      </c>
      <c r="E2" s="7" t="s">
        <v>45</v>
      </c>
      <c r="F2" s="7" t="s">
        <v>35</v>
      </c>
      <c r="G2" s="7"/>
      <c r="H2" s="7"/>
      <c r="I2" s="6" t="s">
        <v>3</v>
      </c>
      <c r="J2" s="6" t="s">
        <v>4</v>
      </c>
      <c r="K2" s="7" t="s">
        <v>5</v>
      </c>
      <c r="L2" s="7" t="s">
        <v>42</v>
      </c>
      <c r="M2" s="7" t="s">
        <v>6</v>
      </c>
      <c r="N2" s="7" t="s">
        <v>36</v>
      </c>
      <c r="O2" s="7" t="s">
        <v>41</v>
      </c>
      <c r="P2" s="7" t="s">
        <v>37</v>
      </c>
      <c r="Q2" s="7" t="s">
        <v>43</v>
      </c>
      <c r="R2" s="7"/>
      <c r="S2" s="6" t="s">
        <v>3</v>
      </c>
      <c r="T2" s="6" t="s">
        <v>7</v>
      </c>
      <c r="U2" s="6" t="s">
        <v>8</v>
      </c>
      <c r="V2" s="6" t="s">
        <v>9</v>
      </c>
      <c r="W2" s="6" t="s">
        <v>10</v>
      </c>
      <c r="X2" s="6" t="s">
        <v>19</v>
      </c>
      <c r="Y2" s="6" t="s">
        <v>11</v>
      </c>
      <c r="Z2" s="6" t="s">
        <v>13</v>
      </c>
      <c r="AA2" s="6" t="s">
        <v>14</v>
      </c>
      <c r="AB2" s="6" t="s">
        <v>15</v>
      </c>
      <c r="AC2" s="6" t="s">
        <v>34</v>
      </c>
      <c r="AD2" s="7" t="s">
        <v>16</v>
      </c>
      <c r="AE2" s="25" t="s">
        <v>17</v>
      </c>
      <c r="AF2" s="7" t="s">
        <v>18</v>
      </c>
    </row>
    <row r="3" spans="1:32" ht="13.5" customHeight="1" x14ac:dyDescent="0.25">
      <c r="A3" s="14">
        <v>45658</v>
      </c>
      <c r="B3" s="14" t="s">
        <v>46</v>
      </c>
      <c r="C3" s="15">
        <v>1</v>
      </c>
      <c r="D3" s="16"/>
      <c r="E3" s="16"/>
      <c r="F3" s="17"/>
      <c r="G3" s="21"/>
      <c r="H3" s="21"/>
      <c r="I3" s="4">
        <v>0</v>
      </c>
      <c r="J3" s="4">
        <v>0</v>
      </c>
      <c r="K3" s="4"/>
      <c r="L3" s="16"/>
      <c r="M3" s="4"/>
      <c r="N3" s="4"/>
      <c r="O3" s="4"/>
      <c r="P3" s="4"/>
      <c r="Q3" s="4">
        <v>65</v>
      </c>
      <c r="R3" s="4"/>
      <c r="S3" s="4">
        <v>65</v>
      </c>
      <c r="T3" s="4">
        <v>1.0833333333333333</v>
      </c>
      <c r="U3" s="4">
        <v>1.0833333333333333</v>
      </c>
      <c r="V3" s="4">
        <v>10.916666666666666</v>
      </c>
      <c r="W3" s="4">
        <v>12</v>
      </c>
      <c r="X3" s="4">
        <v>0</v>
      </c>
      <c r="Y3" s="4"/>
      <c r="Z3" s="4">
        <v>130.10000000000002</v>
      </c>
      <c r="AA3" s="4">
        <v>150</v>
      </c>
      <c r="AB3" s="18"/>
      <c r="AC3" s="18">
        <v>1</v>
      </c>
      <c r="AD3" s="28"/>
      <c r="AE3" s="26"/>
      <c r="AF3" s="28"/>
    </row>
    <row r="4" spans="1:32" ht="13.5" customHeight="1" x14ac:dyDescent="0.25">
      <c r="A4" s="14">
        <v>45658</v>
      </c>
      <c r="B4" s="14" t="s">
        <v>47</v>
      </c>
      <c r="C4" s="15">
        <v>1</v>
      </c>
      <c r="D4" s="16"/>
      <c r="E4" s="16"/>
      <c r="F4" s="17"/>
      <c r="G4" s="21"/>
      <c r="H4" s="21"/>
      <c r="I4" s="4">
        <v>0</v>
      </c>
      <c r="J4" s="4">
        <v>0</v>
      </c>
      <c r="K4" s="4"/>
      <c r="L4" s="16"/>
      <c r="M4" s="4"/>
      <c r="N4" s="4"/>
      <c r="O4" s="4"/>
      <c r="P4" s="4"/>
      <c r="Q4" s="4"/>
      <c r="R4" s="4"/>
      <c r="S4" s="4">
        <v>0</v>
      </c>
      <c r="T4" s="4">
        <v>0</v>
      </c>
      <c r="U4" s="4">
        <v>0</v>
      </c>
      <c r="V4" s="4">
        <v>12</v>
      </c>
      <c r="W4" s="4">
        <v>12</v>
      </c>
      <c r="X4" s="4">
        <v>4</v>
      </c>
      <c r="Y4" s="4"/>
      <c r="Z4" s="4">
        <v>148.30000000000001</v>
      </c>
      <c r="AA4" s="4">
        <v>150</v>
      </c>
      <c r="AB4" s="18"/>
      <c r="AC4" s="18">
        <v>1</v>
      </c>
      <c r="AD4" s="28"/>
      <c r="AE4" s="26"/>
      <c r="AF4" s="28"/>
    </row>
    <row r="5" spans="1:32" ht="13.5" customHeight="1" x14ac:dyDescent="0.25">
      <c r="A5" s="14">
        <v>45658</v>
      </c>
      <c r="B5" s="14" t="s">
        <v>46</v>
      </c>
      <c r="C5" s="15">
        <v>3</v>
      </c>
      <c r="D5" s="16">
        <v>7</v>
      </c>
      <c r="E5" s="16"/>
      <c r="F5" s="17"/>
      <c r="G5" s="21"/>
      <c r="H5" s="21"/>
      <c r="I5" s="4">
        <v>7</v>
      </c>
      <c r="J5" s="4">
        <v>0.11666666666666667</v>
      </c>
      <c r="K5" s="4"/>
      <c r="L5" s="16"/>
      <c r="M5" s="4"/>
      <c r="N5" s="4"/>
      <c r="O5" s="4"/>
      <c r="P5" s="4"/>
      <c r="Q5" s="4"/>
      <c r="R5" s="4"/>
      <c r="S5" s="4">
        <v>0</v>
      </c>
      <c r="T5" s="4">
        <v>0</v>
      </c>
      <c r="U5" s="4">
        <v>0.11666666666666667</v>
      </c>
      <c r="V5" s="4">
        <v>11.883333333333333</v>
      </c>
      <c r="W5" s="4">
        <v>12</v>
      </c>
      <c r="X5" s="4">
        <v>44</v>
      </c>
      <c r="Y5" s="4"/>
      <c r="Z5" s="4">
        <v>474.4</v>
      </c>
      <c r="AA5" s="4">
        <v>450</v>
      </c>
      <c r="AB5" s="18"/>
      <c r="AC5" s="18">
        <v>1</v>
      </c>
      <c r="AD5" s="28"/>
      <c r="AE5" s="26"/>
      <c r="AF5" s="28"/>
    </row>
    <row r="6" spans="1:32" ht="13.5" customHeight="1" x14ac:dyDescent="0.25">
      <c r="A6" s="14">
        <v>45658</v>
      </c>
      <c r="B6" s="14" t="s">
        <v>47</v>
      </c>
      <c r="C6" s="15">
        <v>3</v>
      </c>
      <c r="D6" s="16"/>
      <c r="E6" s="16"/>
      <c r="F6" s="17"/>
      <c r="G6" s="21"/>
      <c r="H6" s="21"/>
      <c r="I6" s="4">
        <v>0</v>
      </c>
      <c r="J6" s="4">
        <v>0</v>
      </c>
      <c r="K6" s="4"/>
      <c r="L6" s="16"/>
      <c r="M6" s="4"/>
      <c r="N6" s="4"/>
      <c r="O6" s="4"/>
      <c r="P6" s="4"/>
      <c r="Q6" s="4"/>
      <c r="R6" s="4"/>
      <c r="S6" s="4">
        <v>0</v>
      </c>
      <c r="T6" s="4">
        <v>0</v>
      </c>
      <c r="U6" s="4">
        <v>0</v>
      </c>
      <c r="V6" s="4">
        <v>12</v>
      </c>
      <c r="W6" s="4">
        <v>12</v>
      </c>
      <c r="X6" s="4">
        <v>9</v>
      </c>
      <c r="Y6" s="4"/>
      <c r="Z6" s="4">
        <v>327.7</v>
      </c>
      <c r="AA6" s="4">
        <v>350</v>
      </c>
      <c r="AB6" s="18">
        <v>372</v>
      </c>
      <c r="AC6" s="18">
        <v>1</v>
      </c>
      <c r="AD6" s="28"/>
      <c r="AE6" s="26"/>
      <c r="AF6" s="28"/>
    </row>
    <row r="7" spans="1:32" ht="13.5" customHeight="1" x14ac:dyDescent="0.25">
      <c r="A7" s="14">
        <v>45658</v>
      </c>
      <c r="B7" s="14" t="s">
        <v>46</v>
      </c>
      <c r="C7" s="15">
        <v>5</v>
      </c>
      <c r="D7" s="16">
        <v>10</v>
      </c>
      <c r="E7" s="16"/>
      <c r="F7" s="17"/>
      <c r="G7" s="21"/>
      <c r="H7" s="21"/>
      <c r="I7" s="4">
        <v>10</v>
      </c>
      <c r="J7" s="4">
        <v>0.16666666666666666</v>
      </c>
      <c r="K7" s="4"/>
      <c r="L7" s="16"/>
      <c r="M7" s="4"/>
      <c r="N7" s="4">
        <v>10</v>
      </c>
      <c r="O7" s="4"/>
      <c r="P7" s="4"/>
      <c r="Q7" s="4"/>
      <c r="R7" s="4"/>
      <c r="S7" s="4">
        <v>10</v>
      </c>
      <c r="T7" s="4">
        <v>0.16666666666666666</v>
      </c>
      <c r="U7" s="4">
        <v>0.33333333333333331</v>
      </c>
      <c r="V7" s="4">
        <v>11.666666666666666</v>
      </c>
      <c r="W7" s="4">
        <v>12</v>
      </c>
      <c r="X7" s="4">
        <v>0</v>
      </c>
      <c r="Y7" s="4">
        <v>1832</v>
      </c>
      <c r="Z7" s="4">
        <v>471.4</v>
      </c>
      <c r="AA7" s="4">
        <v>450</v>
      </c>
      <c r="AB7" s="18"/>
      <c r="AC7" s="18">
        <v>1</v>
      </c>
      <c r="AD7" s="28"/>
      <c r="AE7" s="26"/>
      <c r="AF7" s="28"/>
    </row>
    <row r="8" spans="1:32" ht="13.5" customHeight="1" x14ac:dyDescent="0.25">
      <c r="A8" s="14">
        <v>45658</v>
      </c>
      <c r="B8" s="14" t="s">
        <v>47</v>
      </c>
      <c r="C8" s="15">
        <v>5</v>
      </c>
      <c r="D8" s="16">
        <v>10</v>
      </c>
      <c r="E8" s="16"/>
      <c r="F8" s="17"/>
      <c r="G8" s="21"/>
      <c r="H8" s="21"/>
      <c r="I8" s="4">
        <v>10</v>
      </c>
      <c r="J8" s="4">
        <v>0.16666666666666666</v>
      </c>
      <c r="K8" s="4"/>
      <c r="L8" s="16"/>
      <c r="M8" s="4"/>
      <c r="N8" s="4"/>
      <c r="O8" s="4"/>
      <c r="P8" s="4"/>
      <c r="Q8" s="4"/>
      <c r="R8" s="4"/>
      <c r="S8" s="4">
        <v>0</v>
      </c>
      <c r="T8" s="4">
        <v>0</v>
      </c>
      <c r="U8" s="4">
        <v>0.16666666666666666</v>
      </c>
      <c r="V8" s="4">
        <v>11.833333333333334</v>
      </c>
      <c r="W8" s="4">
        <v>12</v>
      </c>
      <c r="X8" s="4">
        <v>15.6</v>
      </c>
      <c r="Y8" s="4"/>
      <c r="Z8" s="4">
        <v>480.4</v>
      </c>
      <c r="AA8" s="4">
        <v>450</v>
      </c>
      <c r="AB8" s="18"/>
      <c r="AC8" s="18">
        <v>1</v>
      </c>
      <c r="AD8" s="28"/>
      <c r="AE8" s="26"/>
      <c r="AF8" s="28"/>
    </row>
    <row r="9" spans="1:32" ht="13.5" customHeight="1" x14ac:dyDescent="0.25">
      <c r="A9" s="14">
        <v>45658</v>
      </c>
      <c r="B9" s="14" t="s">
        <v>46</v>
      </c>
      <c r="C9" s="15">
        <v>7</v>
      </c>
      <c r="D9" s="16"/>
      <c r="E9" s="16"/>
      <c r="F9" s="17"/>
      <c r="G9" s="21"/>
      <c r="H9" s="21"/>
      <c r="I9" s="4">
        <v>0</v>
      </c>
      <c r="J9" s="4">
        <v>0</v>
      </c>
      <c r="K9" s="4"/>
      <c r="L9" s="16"/>
      <c r="M9" s="4"/>
      <c r="N9" s="4">
        <v>20</v>
      </c>
      <c r="O9" s="4"/>
      <c r="P9" s="4"/>
      <c r="Q9" s="4"/>
      <c r="R9" s="4"/>
      <c r="S9" s="4">
        <v>20</v>
      </c>
      <c r="T9" s="4">
        <v>0.33333333333333331</v>
      </c>
      <c r="U9" s="4">
        <v>0.33333333333333331</v>
      </c>
      <c r="V9" s="4">
        <v>11.666666666666666</v>
      </c>
      <c r="W9" s="4">
        <v>12</v>
      </c>
      <c r="X9" s="4">
        <v>0</v>
      </c>
      <c r="Y9" s="4"/>
      <c r="Z9" s="4">
        <v>587.20000000000005</v>
      </c>
      <c r="AA9" s="4">
        <v>600</v>
      </c>
      <c r="AB9" s="18"/>
      <c r="AC9" s="18">
        <v>1</v>
      </c>
      <c r="AD9" s="28"/>
      <c r="AE9" s="26"/>
      <c r="AF9" s="28"/>
    </row>
    <row r="10" spans="1:32" ht="13.5" customHeight="1" x14ac:dyDescent="0.25">
      <c r="A10" s="14">
        <v>45658</v>
      </c>
      <c r="B10" s="14" t="s">
        <v>47</v>
      </c>
      <c r="C10" s="15">
        <v>7</v>
      </c>
      <c r="D10" s="16">
        <v>2</v>
      </c>
      <c r="E10" s="16"/>
      <c r="F10" s="17"/>
      <c r="G10" s="21"/>
      <c r="H10" s="21"/>
      <c r="I10" s="4">
        <v>2</v>
      </c>
      <c r="J10" s="4">
        <v>3.3333333333333333E-2</v>
      </c>
      <c r="K10" s="4"/>
      <c r="L10" s="16"/>
      <c r="M10" s="4"/>
      <c r="N10" s="4"/>
      <c r="O10" s="4"/>
      <c r="P10" s="4"/>
      <c r="Q10" s="4"/>
      <c r="R10" s="4"/>
      <c r="S10" s="4">
        <v>0</v>
      </c>
      <c r="T10" s="4">
        <v>0</v>
      </c>
      <c r="U10" s="4">
        <v>3.3333333333333333E-2</v>
      </c>
      <c r="V10" s="4">
        <v>11.966666666666667</v>
      </c>
      <c r="W10" s="4">
        <v>12</v>
      </c>
      <c r="X10" s="4">
        <v>7.2</v>
      </c>
      <c r="Y10" s="4"/>
      <c r="Z10" s="4">
        <v>407.53999999999996</v>
      </c>
      <c r="AA10" s="4">
        <v>400</v>
      </c>
      <c r="AB10" s="18"/>
      <c r="AC10" s="18">
        <v>1</v>
      </c>
      <c r="AD10" s="28"/>
      <c r="AE10" s="26"/>
      <c r="AF10" s="28"/>
    </row>
    <row r="11" spans="1:32" ht="13.5" customHeight="1" x14ac:dyDescent="0.25">
      <c r="A11" s="14">
        <v>45659</v>
      </c>
      <c r="B11" s="14" t="s">
        <v>46</v>
      </c>
      <c r="C11" s="15">
        <v>1</v>
      </c>
      <c r="D11" s="16">
        <v>5</v>
      </c>
      <c r="E11" s="16"/>
      <c r="F11" s="17"/>
      <c r="G11" s="21"/>
      <c r="H11" s="21"/>
      <c r="I11" s="4">
        <v>5</v>
      </c>
      <c r="J11" s="4">
        <v>8.3333333333333329E-2</v>
      </c>
      <c r="K11" s="4"/>
      <c r="L11" s="16"/>
      <c r="M11" s="4"/>
      <c r="N11" s="4"/>
      <c r="O11" s="4"/>
      <c r="P11" s="4"/>
      <c r="Q11" s="4"/>
      <c r="R11" s="4"/>
      <c r="S11" s="4">
        <v>0</v>
      </c>
      <c r="T11" s="4">
        <v>0</v>
      </c>
      <c r="U11" s="4">
        <v>8.3333333333333329E-2</v>
      </c>
      <c r="V11" s="4">
        <v>11.916666666666666</v>
      </c>
      <c r="W11" s="4">
        <v>12</v>
      </c>
      <c r="X11" s="4">
        <v>20</v>
      </c>
      <c r="Y11" s="4"/>
      <c r="Z11" s="4">
        <v>186.56</v>
      </c>
      <c r="AA11" s="4">
        <v>200</v>
      </c>
      <c r="AB11" s="18"/>
      <c r="AC11" s="18">
        <v>1</v>
      </c>
      <c r="AD11" s="28"/>
      <c r="AE11" s="26"/>
      <c r="AF11" s="28"/>
    </row>
    <row r="12" spans="1:32" ht="13.5" customHeight="1" x14ac:dyDescent="0.25">
      <c r="A12" s="14">
        <v>45659</v>
      </c>
      <c r="B12" s="14" t="s">
        <v>47</v>
      </c>
      <c r="C12" s="15">
        <v>1</v>
      </c>
      <c r="D12" s="16"/>
      <c r="E12" s="16"/>
      <c r="F12" s="17"/>
      <c r="G12" s="21"/>
      <c r="H12" s="21"/>
      <c r="I12" s="4">
        <v>0</v>
      </c>
      <c r="J12" s="4">
        <v>0</v>
      </c>
      <c r="K12" s="4"/>
      <c r="L12" s="16"/>
      <c r="M12" s="4"/>
      <c r="N12" s="4"/>
      <c r="O12" s="4"/>
      <c r="P12" s="4"/>
      <c r="Q12" s="4"/>
      <c r="R12" s="4"/>
      <c r="S12" s="4">
        <v>0</v>
      </c>
      <c r="T12" s="4">
        <v>0</v>
      </c>
      <c r="U12" s="4">
        <v>0</v>
      </c>
      <c r="V12" s="4">
        <v>12</v>
      </c>
      <c r="W12" s="4">
        <v>12</v>
      </c>
      <c r="X12" s="4">
        <v>2</v>
      </c>
      <c r="Y12" s="4"/>
      <c r="Z12" s="4">
        <v>162.00000000000003</v>
      </c>
      <c r="AA12" s="4">
        <v>150</v>
      </c>
      <c r="AB12" s="18"/>
      <c r="AC12" s="18">
        <v>1</v>
      </c>
      <c r="AD12" s="28"/>
      <c r="AE12" s="26"/>
      <c r="AF12" s="28"/>
    </row>
    <row r="13" spans="1:32" ht="13.5" customHeight="1" x14ac:dyDescent="0.25">
      <c r="A13" s="14">
        <v>45659</v>
      </c>
      <c r="B13" s="14" t="s">
        <v>46</v>
      </c>
      <c r="C13" s="15">
        <v>3</v>
      </c>
      <c r="D13" s="16"/>
      <c r="E13" s="16"/>
      <c r="F13" s="17"/>
      <c r="G13" s="21"/>
      <c r="H13" s="21"/>
      <c r="I13" s="4">
        <v>0</v>
      </c>
      <c r="J13" s="4">
        <v>0</v>
      </c>
      <c r="K13" s="4"/>
      <c r="L13" s="16"/>
      <c r="M13" s="4"/>
      <c r="N13" s="4"/>
      <c r="O13" s="4"/>
      <c r="P13" s="4"/>
      <c r="Q13" s="4"/>
      <c r="R13" s="4"/>
      <c r="S13" s="4">
        <v>0</v>
      </c>
      <c r="T13" s="4">
        <v>0</v>
      </c>
      <c r="U13" s="4">
        <v>0</v>
      </c>
      <c r="V13" s="4">
        <v>12</v>
      </c>
      <c r="W13" s="4">
        <v>12</v>
      </c>
      <c r="X13" s="4">
        <v>0</v>
      </c>
      <c r="Y13" s="4"/>
      <c r="Z13" s="4">
        <v>360.2</v>
      </c>
      <c r="AA13" s="4">
        <v>350</v>
      </c>
      <c r="AB13" s="18">
        <v>372</v>
      </c>
      <c r="AC13" s="18">
        <v>1</v>
      </c>
      <c r="AD13" s="28"/>
      <c r="AE13" s="26"/>
      <c r="AF13" s="28"/>
    </row>
    <row r="14" spans="1:32" ht="13.5" customHeight="1" x14ac:dyDescent="0.25">
      <c r="A14" s="14">
        <v>45659</v>
      </c>
      <c r="B14" s="14" t="s">
        <v>47</v>
      </c>
      <c r="C14" s="15">
        <v>3</v>
      </c>
      <c r="D14" s="16"/>
      <c r="E14" s="16"/>
      <c r="F14" s="17"/>
      <c r="G14" s="21"/>
      <c r="H14" s="21"/>
      <c r="I14" s="4">
        <v>0</v>
      </c>
      <c r="J14" s="4">
        <v>0</v>
      </c>
      <c r="K14" s="4"/>
      <c r="L14" s="16"/>
      <c r="M14" s="4"/>
      <c r="N14" s="4"/>
      <c r="O14" s="4"/>
      <c r="P14" s="4"/>
      <c r="Q14" s="4"/>
      <c r="R14" s="4"/>
      <c r="S14" s="4">
        <v>0</v>
      </c>
      <c r="T14" s="4">
        <v>0</v>
      </c>
      <c r="U14" s="4">
        <v>0</v>
      </c>
      <c r="V14" s="4">
        <v>12</v>
      </c>
      <c r="W14" s="4">
        <v>12</v>
      </c>
      <c r="X14" s="4">
        <v>0</v>
      </c>
      <c r="Y14" s="4"/>
      <c r="Z14" s="4">
        <v>383</v>
      </c>
      <c r="AA14" s="4">
        <v>400</v>
      </c>
      <c r="AB14" s="18"/>
      <c r="AC14" s="18">
        <v>1</v>
      </c>
      <c r="AD14" s="28"/>
      <c r="AE14" s="26"/>
      <c r="AF14" s="28"/>
    </row>
    <row r="15" spans="1:32" ht="13.5" customHeight="1" x14ac:dyDescent="0.25">
      <c r="A15" s="14">
        <v>45659</v>
      </c>
      <c r="B15" s="14" t="s">
        <v>46</v>
      </c>
      <c r="C15" s="15">
        <v>5</v>
      </c>
      <c r="D15" s="16"/>
      <c r="E15" s="16"/>
      <c r="F15" s="17"/>
      <c r="G15" s="21"/>
      <c r="H15" s="21"/>
      <c r="I15" s="4">
        <v>0</v>
      </c>
      <c r="J15" s="4">
        <v>0</v>
      </c>
      <c r="K15" s="4"/>
      <c r="L15" s="16"/>
      <c r="M15" s="4"/>
      <c r="N15" s="4"/>
      <c r="O15" s="4"/>
      <c r="P15" s="4"/>
      <c r="Q15" s="4"/>
      <c r="R15" s="4"/>
      <c r="S15" s="4">
        <v>0</v>
      </c>
      <c r="T15" s="4">
        <v>0</v>
      </c>
      <c r="U15" s="4">
        <v>0</v>
      </c>
      <c r="V15" s="4">
        <v>12</v>
      </c>
      <c r="W15" s="4">
        <v>12</v>
      </c>
      <c r="X15" s="4">
        <v>0</v>
      </c>
      <c r="Y15" s="4"/>
      <c r="Z15" s="4">
        <v>495.6</v>
      </c>
      <c r="AA15" s="4">
        <v>500</v>
      </c>
      <c r="AB15" s="18"/>
      <c r="AC15" s="18">
        <v>1</v>
      </c>
      <c r="AD15" s="28"/>
      <c r="AE15" s="26"/>
      <c r="AF15" s="28"/>
    </row>
    <row r="16" spans="1:32" ht="13.5" customHeight="1" x14ac:dyDescent="0.25">
      <c r="A16" s="14">
        <v>45659</v>
      </c>
      <c r="B16" s="14" t="s">
        <v>47</v>
      </c>
      <c r="C16" s="15">
        <v>5</v>
      </c>
      <c r="D16" s="16"/>
      <c r="E16" s="16"/>
      <c r="F16" s="17"/>
      <c r="G16" s="21"/>
      <c r="H16" s="21"/>
      <c r="I16" s="4">
        <v>0</v>
      </c>
      <c r="J16" s="4">
        <v>0</v>
      </c>
      <c r="K16" s="4"/>
      <c r="L16" s="16"/>
      <c r="M16" s="4"/>
      <c r="N16" s="4"/>
      <c r="O16" s="4"/>
      <c r="P16" s="4"/>
      <c r="Q16" s="4"/>
      <c r="R16" s="4"/>
      <c r="S16" s="4">
        <v>0</v>
      </c>
      <c r="T16" s="4">
        <v>0</v>
      </c>
      <c r="U16" s="4">
        <v>0</v>
      </c>
      <c r="V16" s="4">
        <v>12</v>
      </c>
      <c r="W16" s="4">
        <v>12</v>
      </c>
      <c r="X16" s="4">
        <v>0</v>
      </c>
      <c r="Y16" s="4">
        <v>1886</v>
      </c>
      <c r="Z16" s="4">
        <v>84.8</v>
      </c>
      <c r="AA16" s="4">
        <v>100</v>
      </c>
      <c r="AB16" s="18"/>
      <c r="AC16" s="18">
        <v>1</v>
      </c>
      <c r="AD16" s="28"/>
      <c r="AE16" s="26"/>
      <c r="AF16" s="28"/>
    </row>
    <row r="17" spans="1:32" ht="13.5" customHeight="1" x14ac:dyDescent="0.25">
      <c r="A17" s="14">
        <v>45659</v>
      </c>
      <c r="B17" s="14" t="s">
        <v>47</v>
      </c>
      <c r="C17" s="15">
        <v>6</v>
      </c>
      <c r="D17" s="16"/>
      <c r="E17" s="16"/>
      <c r="F17" s="17">
        <v>180</v>
      </c>
      <c r="G17" s="21"/>
      <c r="H17" s="21"/>
      <c r="I17" s="4">
        <v>180</v>
      </c>
      <c r="J17" s="4">
        <v>3</v>
      </c>
      <c r="K17" s="4"/>
      <c r="L17" s="16"/>
      <c r="M17" s="4"/>
      <c r="N17" s="4"/>
      <c r="O17" s="4"/>
      <c r="P17" s="4"/>
      <c r="Q17" s="4"/>
      <c r="R17" s="4"/>
      <c r="S17" s="4">
        <v>0</v>
      </c>
      <c r="T17" s="4">
        <v>0</v>
      </c>
      <c r="U17" s="4">
        <v>3</v>
      </c>
      <c r="V17" s="4">
        <v>9</v>
      </c>
      <c r="W17" s="4">
        <v>12</v>
      </c>
      <c r="X17" s="4">
        <v>36.200000000000003</v>
      </c>
      <c r="Y17" s="4"/>
      <c r="Z17" s="4">
        <v>451.26</v>
      </c>
      <c r="AA17" s="4">
        <v>450</v>
      </c>
      <c r="AB17" s="18"/>
      <c r="AC17" s="18">
        <v>1</v>
      </c>
      <c r="AD17" s="28"/>
      <c r="AE17" s="26"/>
      <c r="AF17" s="28"/>
    </row>
    <row r="18" spans="1:32" ht="13.5" customHeight="1" x14ac:dyDescent="0.25">
      <c r="A18" s="14">
        <v>45659</v>
      </c>
      <c r="B18" s="14" t="s">
        <v>46</v>
      </c>
      <c r="C18" s="15">
        <v>7</v>
      </c>
      <c r="D18" s="16"/>
      <c r="E18" s="16"/>
      <c r="F18" s="17"/>
      <c r="G18" s="21"/>
      <c r="H18" s="21"/>
      <c r="I18" s="4">
        <v>0</v>
      </c>
      <c r="J18" s="4">
        <v>0</v>
      </c>
      <c r="K18" s="4"/>
      <c r="L18" s="16"/>
      <c r="M18" s="4"/>
      <c r="N18" s="4"/>
      <c r="O18" s="4"/>
      <c r="P18" s="4"/>
      <c r="Q18" s="4"/>
      <c r="R18" s="4"/>
      <c r="S18" s="4">
        <v>0</v>
      </c>
      <c r="T18" s="4">
        <v>0</v>
      </c>
      <c r="U18" s="4">
        <v>0</v>
      </c>
      <c r="V18" s="4">
        <v>12</v>
      </c>
      <c r="W18" s="4">
        <v>12</v>
      </c>
      <c r="X18" s="4">
        <v>0</v>
      </c>
      <c r="Y18" s="4"/>
      <c r="Z18" s="4">
        <v>401.38</v>
      </c>
      <c r="AA18" s="4">
        <v>400</v>
      </c>
      <c r="AB18" s="18"/>
      <c r="AC18" s="18">
        <v>1</v>
      </c>
      <c r="AD18" s="28"/>
      <c r="AE18" s="26"/>
      <c r="AF18" s="28"/>
    </row>
    <row r="19" spans="1:32" ht="13.5" customHeight="1" x14ac:dyDescent="0.25">
      <c r="A19" s="14">
        <v>45659</v>
      </c>
      <c r="B19" s="14" t="s">
        <v>47</v>
      </c>
      <c r="C19" s="15">
        <v>7</v>
      </c>
      <c r="D19" s="16"/>
      <c r="E19" s="16"/>
      <c r="F19" s="17"/>
      <c r="G19" s="21"/>
      <c r="H19" s="21"/>
      <c r="I19" s="4">
        <v>0</v>
      </c>
      <c r="J19" s="4">
        <v>0</v>
      </c>
      <c r="K19" s="4"/>
      <c r="L19" s="16"/>
      <c r="M19" s="4"/>
      <c r="N19" s="4"/>
      <c r="O19" s="4"/>
      <c r="P19" s="4"/>
      <c r="Q19" s="4"/>
      <c r="R19" s="4"/>
      <c r="S19" s="4">
        <v>0</v>
      </c>
      <c r="T19" s="4">
        <v>0</v>
      </c>
      <c r="U19" s="4">
        <v>0</v>
      </c>
      <c r="V19" s="4">
        <v>12</v>
      </c>
      <c r="W19" s="4">
        <v>12</v>
      </c>
      <c r="X19" s="4">
        <v>13.9</v>
      </c>
      <c r="Y19" s="4"/>
      <c r="Z19" s="4">
        <v>412.58000000000004</v>
      </c>
      <c r="AA19" s="4">
        <v>400</v>
      </c>
      <c r="AB19" s="18"/>
      <c r="AC19" s="18">
        <v>1</v>
      </c>
      <c r="AD19" s="28"/>
      <c r="AE19" s="26"/>
      <c r="AF19" s="28"/>
    </row>
    <row r="20" spans="1:32" ht="13.5" customHeight="1" x14ac:dyDescent="0.25">
      <c r="A20" s="14">
        <v>45660</v>
      </c>
      <c r="B20" s="14" t="s">
        <v>46</v>
      </c>
      <c r="C20" s="15">
        <v>1</v>
      </c>
      <c r="D20" s="16"/>
      <c r="E20" s="16"/>
      <c r="F20" s="17"/>
      <c r="G20" s="21"/>
      <c r="H20" s="21"/>
      <c r="I20" s="4">
        <v>0</v>
      </c>
      <c r="J20" s="4">
        <v>0</v>
      </c>
      <c r="K20" s="4"/>
      <c r="L20" s="16"/>
      <c r="M20" s="4"/>
      <c r="N20" s="4"/>
      <c r="O20" s="4"/>
      <c r="P20" s="4"/>
      <c r="Q20" s="4"/>
      <c r="R20" s="4"/>
      <c r="S20" s="4">
        <v>0</v>
      </c>
      <c r="T20" s="4">
        <v>0</v>
      </c>
      <c r="U20" s="4">
        <v>0</v>
      </c>
      <c r="V20" s="4">
        <v>12</v>
      </c>
      <c r="W20" s="4">
        <v>12</v>
      </c>
      <c r="X20" s="4">
        <v>0</v>
      </c>
      <c r="Y20" s="4"/>
      <c r="Z20" s="4">
        <v>157.80000000000001</v>
      </c>
      <c r="AA20" s="4">
        <v>150</v>
      </c>
      <c r="AB20" s="18"/>
      <c r="AC20" s="18">
        <v>1</v>
      </c>
      <c r="AD20" s="28"/>
      <c r="AE20" s="26"/>
      <c r="AF20" s="28"/>
    </row>
    <row r="21" spans="1:32" ht="13.5" customHeight="1" x14ac:dyDescent="0.25">
      <c r="A21" s="14">
        <v>45660</v>
      </c>
      <c r="B21" s="14" t="s">
        <v>47</v>
      </c>
      <c r="C21" s="15">
        <v>1</v>
      </c>
      <c r="D21" s="16"/>
      <c r="E21" s="16"/>
      <c r="F21" s="17"/>
      <c r="G21" s="21"/>
      <c r="H21" s="21"/>
      <c r="I21" s="4">
        <v>0</v>
      </c>
      <c r="J21" s="4">
        <v>0</v>
      </c>
      <c r="K21" s="4"/>
      <c r="L21" s="16"/>
      <c r="M21" s="4"/>
      <c r="N21" s="4"/>
      <c r="O21" s="4"/>
      <c r="P21" s="4"/>
      <c r="Q21" s="4"/>
      <c r="R21" s="4"/>
      <c r="S21" s="4">
        <v>0</v>
      </c>
      <c r="T21" s="4">
        <v>0</v>
      </c>
      <c r="U21" s="4">
        <v>0</v>
      </c>
      <c r="V21" s="4">
        <v>12</v>
      </c>
      <c r="W21" s="4">
        <v>12</v>
      </c>
      <c r="X21" s="4">
        <v>0</v>
      </c>
      <c r="Y21" s="4"/>
      <c r="Z21" s="4">
        <v>200.39999999999998</v>
      </c>
      <c r="AA21" s="4">
        <v>200</v>
      </c>
      <c r="AB21" s="18"/>
      <c r="AC21" s="18">
        <v>1</v>
      </c>
      <c r="AD21" s="28"/>
      <c r="AE21" s="26"/>
      <c r="AF21" s="28"/>
    </row>
    <row r="22" spans="1:32" ht="13.5" customHeight="1" x14ac:dyDescent="0.25">
      <c r="A22" s="14">
        <v>45660</v>
      </c>
      <c r="B22" s="14" t="s">
        <v>46</v>
      </c>
      <c r="C22" s="15">
        <v>3</v>
      </c>
      <c r="D22" s="16"/>
      <c r="E22" s="16"/>
      <c r="F22" s="17"/>
      <c r="G22" s="21"/>
      <c r="H22" s="21"/>
      <c r="I22" s="4">
        <v>0</v>
      </c>
      <c r="J22" s="4">
        <v>0</v>
      </c>
      <c r="K22" s="4"/>
      <c r="L22" s="16"/>
      <c r="M22" s="4"/>
      <c r="N22" s="4"/>
      <c r="O22" s="4"/>
      <c r="P22" s="4"/>
      <c r="Q22" s="4"/>
      <c r="R22" s="4"/>
      <c r="S22" s="4">
        <v>0</v>
      </c>
      <c r="T22" s="4">
        <v>0</v>
      </c>
      <c r="U22" s="4">
        <v>0</v>
      </c>
      <c r="V22" s="4">
        <v>12</v>
      </c>
      <c r="W22" s="4">
        <v>12</v>
      </c>
      <c r="X22" s="4">
        <v>0</v>
      </c>
      <c r="Y22" s="4"/>
      <c r="Z22" s="4">
        <v>263.39999999999998</v>
      </c>
      <c r="AA22" s="4">
        <v>250</v>
      </c>
      <c r="AB22" s="18">
        <v>372</v>
      </c>
      <c r="AC22" s="18">
        <v>1</v>
      </c>
      <c r="AD22" s="28"/>
      <c r="AE22" s="26"/>
      <c r="AF22" s="28"/>
    </row>
    <row r="23" spans="1:32" ht="13.5" customHeight="1" x14ac:dyDescent="0.25">
      <c r="A23" s="14">
        <v>45660</v>
      </c>
      <c r="B23" s="14" t="s">
        <v>47</v>
      </c>
      <c r="C23" s="15">
        <v>3</v>
      </c>
      <c r="D23" s="16"/>
      <c r="E23" s="16"/>
      <c r="F23" s="17"/>
      <c r="G23" s="21"/>
      <c r="H23" s="21"/>
      <c r="I23" s="4">
        <v>0</v>
      </c>
      <c r="J23" s="4">
        <v>0</v>
      </c>
      <c r="K23" s="4"/>
      <c r="L23" s="16"/>
      <c r="M23" s="4"/>
      <c r="N23" s="4"/>
      <c r="O23" s="4"/>
      <c r="P23" s="4"/>
      <c r="Q23" s="4"/>
      <c r="R23" s="4"/>
      <c r="S23" s="4">
        <v>0</v>
      </c>
      <c r="T23" s="4">
        <v>0</v>
      </c>
      <c r="U23" s="4">
        <v>0</v>
      </c>
      <c r="V23" s="4">
        <v>12</v>
      </c>
      <c r="W23" s="4">
        <v>12</v>
      </c>
      <c r="X23" s="4">
        <v>0</v>
      </c>
      <c r="Y23" s="4">
        <v>1949</v>
      </c>
      <c r="Z23" s="4">
        <v>253.2</v>
      </c>
      <c r="AA23" s="4">
        <v>250</v>
      </c>
      <c r="AB23" s="18"/>
      <c r="AC23" s="18">
        <v>1</v>
      </c>
      <c r="AD23" s="28"/>
      <c r="AE23" s="26"/>
      <c r="AF23" s="28"/>
    </row>
    <row r="24" spans="1:32" ht="13.5" customHeight="1" x14ac:dyDescent="0.25">
      <c r="A24" s="14">
        <v>45660</v>
      </c>
      <c r="B24" s="14" t="s">
        <v>46</v>
      </c>
      <c r="C24" s="15">
        <v>6</v>
      </c>
      <c r="D24" s="16">
        <v>15</v>
      </c>
      <c r="E24" s="16"/>
      <c r="F24" s="17"/>
      <c r="G24" s="21"/>
      <c r="H24" s="21"/>
      <c r="I24" s="4">
        <v>15</v>
      </c>
      <c r="J24" s="4">
        <v>0.25</v>
      </c>
      <c r="K24" s="4"/>
      <c r="L24" s="16"/>
      <c r="M24" s="4"/>
      <c r="N24" s="4">
        <v>5</v>
      </c>
      <c r="O24" s="4"/>
      <c r="P24" s="4"/>
      <c r="Q24" s="4"/>
      <c r="R24" s="4"/>
      <c r="S24" s="4">
        <v>5</v>
      </c>
      <c r="T24" s="4">
        <v>8.3333333333333329E-2</v>
      </c>
      <c r="U24" s="4">
        <v>0.33333333333333331</v>
      </c>
      <c r="V24" s="4">
        <v>11.666666666666666</v>
      </c>
      <c r="W24" s="4">
        <v>12</v>
      </c>
      <c r="X24" s="4">
        <v>0</v>
      </c>
      <c r="Y24" s="4"/>
      <c r="Z24" s="4">
        <v>607</v>
      </c>
      <c r="AA24" s="4">
        <v>600</v>
      </c>
      <c r="AB24" s="18"/>
      <c r="AC24" s="18">
        <v>1</v>
      </c>
      <c r="AD24" s="28"/>
      <c r="AE24" s="26"/>
      <c r="AF24" s="28"/>
    </row>
    <row r="25" spans="1:32" ht="13.5" customHeight="1" x14ac:dyDescent="0.25">
      <c r="A25" s="14">
        <v>45660</v>
      </c>
      <c r="B25" s="14" t="s">
        <v>47</v>
      </c>
      <c r="C25" s="15">
        <v>6</v>
      </c>
      <c r="D25" s="16"/>
      <c r="E25" s="16"/>
      <c r="F25" s="17"/>
      <c r="G25" s="21"/>
      <c r="H25" s="21"/>
      <c r="I25" s="4">
        <v>0</v>
      </c>
      <c r="J25" s="4">
        <v>0</v>
      </c>
      <c r="K25" s="4">
        <v>45</v>
      </c>
      <c r="L25" s="16"/>
      <c r="M25" s="4"/>
      <c r="N25" s="4"/>
      <c r="O25" s="4"/>
      <c r="P25" s="4"/>
      <c r="Q25" s="4"/>
      <c r="R25" s="4"/>
      <c r="S25" s="4">
        <v>45</v>
      </c>
      <c r="T25" s="4">
        <v>0.75</v>
      </c>
      <c r="U25" s="4">
        <v>0.75</v>
      </c>
      <c r="V25" s="4">
        <v>11.25</v>
      </c>
      <c r="W25" s="4">
        <v>12</v>
      </c>
      <c r="X25" s="4">
        <v>35</v>
      </c>
      <c r="Y25" s="4"/>
      <c r="Z25" s="4">
        <v>572</v>
      </c>
      <c r="AA25" s="4">
        <v>550</v>
      </c>
      <c r="AB25" s="18"/>
      <c r="AC25" s="18">
        <v>1</v>
      </c>
      <c r="AD25" s="28"/>
      <c r="AE25" s="26"/>
      <c r="AF25" s="28"/>
    </row>
    <row r="26" spans="1:32" ht="13.5" customHeight="1" x14ac:dyDescent="0.25">
      <c r="A26" s="14">
        <v>45660</v>
      </c>
      <c r="B26" s="14" t="s">
        <v>46</v>
      </c>
      <c r="C26" s="15">
        <v>7</v>
      </c>
      <c r="D26" s="16"/>
      <c r="E26" s="16"/>
      <c r="F26" s="17"/>
      <c r="G26" s="21"/>
      <c r="H26" s="21"/>
      <c r="I26" s="4">
        <v>0</v>
      </c>
      <c r="J26" s="4">
        <v>0</v>
      </c>
      <c r="K26" s="4"/>
      <c r="L26" s="16"/>
      <c r="M26" s="4"/>
      <c r="N26" s="4"/>
      <c r="O26" s="4"/>
      <c r="P26" s="4"/>
      <c r="Q26" s="4"/>
      <c r="R26" s="4"/>
      <c r="S26" s="4">
        <v>0</v>
      </c>
      <c r="T26" s="4">
        <v>0</v>
      </c>
      <c r="U26" s="4">
        <v>0</v>
      </c>
      <c r="V26" s="4">
        <v>12</v>
      </c>
      <c r="W26" s="4">
        <v>12</v>
      </c>
      <c r="X26" s="4">
        <v>0</v>
      </c>
      <c r="Y26" s="4"/>
      <c r="Z26" s="4">
        <v>522.16</v>
      </c>
      <c r="AA26" s="4">
        <v>500</v>
      </c>
      <c r="AB26" s="18"/>
      <c r="AC26" s="18">
        <v>1</v>
      </c>
      <c r="AD26" s="28"/>
      <c r="AE26" s="26"/>
      <c r="AF26" s="28"/>
    </row>
    <row r="27" spans="1:32" ht="13.5" customHeight="1" x14ac:dyDescent="0.25">
      <c r="A27" s="14">
        <v>45660</v>
      </c>
      <c r="B27" s="14" t="s">
        <v>47</v>
      </c>
      <c r="C27" s="15">
        <v>7</v>
      </c>
      <c r="D27" s="16"/>
      <c r="E27" s="16"/>
      <c r="F27" s="17"/>
      <c r="G27" s="21"/>
      <c r="H27" s="21"/>
      <c r="I27" s="4">
        <v>0</v>
      </c>
      <c r="J27" s="4">
        <v>0</v>
      </c>
      <c r="K27" s="4"/>
      <c r="L27" s="16"/>
      <c r="M27" s="4"/>
      <c r="N27" s="4"/>
      <c r="O27" s="4"/>
      <c r="P27" s="4"/>
      <c r="Q27" s="4"/>
      <c r="R27" s="4"/>
      <c r="S27" s="4">
        <v>0</v>
      </c>
      <c r="T27" s="4">
        <v>0</v>
      </c>
      <c r="U27" s="4">
        <v>0</v>
      </c>
      <c r="V27" s="4">
        <v>12</v>
      </c>
      <c r="W27" s="4">
        <v>12</v>
      </c>
      <c r="X27" s="4">
        <v>6.5</v>
      </c>
      <c r="Y27" s="4"/>
      <c r="Z27" s="4">
        <v>433.06000000000006</v>
      </c>
      <c r="AA27" s="4">
        <v>450</v>
      </c>
      <c r="AB27" s="18"/>
      <c r="AC27" s="18">
        <v>1</v>
      </c>
      <c r="AD27" s="28"/>
      <c r="AE27" s="26"/>
      <c r="AF27" s="28"/>
    </row>
    <row r="28" spans="1:32" ht="13.5" customHeight="1" x14ac:dyDescent="0.25">
      <c r="A28" s="14">
        <v>45661</v>
      </c>
      <c r="B28" s="14" t="s">
        <v>46</v>
      </c>
      <c r="C28" s="15">
        <v>1</v>
      </c>
      <c r="D28" s="16"/>
      <c r="E28" s="16"/>
      <c r="F28" s="17"/>
      <c r="G28" s="21"/>
      <c r="H28" s="21"/>
      <c r="I28" s="4">
        <v>0</v>
      </c>
      <c r="J28" s="4">
        <v>0</v>
      </c>
      <c r="K28" s="4"/>
      <c r="L28" s="16"/>
      <c r="M28" s="4"/>
      <c r="N28" s="4"/>
      <c r="O28" s="4"/>
      <c r="P28" s="4"/>
      <c r="Q28" s="4"/>
      <c r="R28" s="4"/>
      <c r="S28" s="4">
        <v>0</v>
      </c>
      <c r="T28" s="4">
        <v>0</v>
      </c>
      <c r="U28" s="4">
        <v>0</v>
      </c>
      <c r="V28" s="4">
        <v>12</v>
      </c>
      <c r="W28" s="4">
        <v>12</v>
      </c>
      <c r="X28" s="4">
        <v>0</v>
      </c>
      <c r="Y28" s="4"/>
      <c r="Z28" s="4">
        <v>175</v>
      </c>
      <c r="AA28" s="4">
        <v>200</v>
      </c>
      <c r="AB28" s="18"/>
      <c r="AC28" s="18">
        <v>1</v>
      </c>
      <c r="AD28" s="28"/>
      <c r="AE28" s="26"/>
      <c r="AF28" s="28"/>
    </row>
    <row r="29" spans="1:32" ht="13.5" customHeight="1" x14ac:dyDescent="0.25">
      <c r="A29" s="14">
        <v>45661</v>
      </c>
      <c r="B29" s="14" t="s">
        <v>47</v>
      </c>
      <c r="C29" s="15">
        <v>1</v>
      </c>
      <c r="D29" s="16"/>
      <c r="E29" s="16"/>
      <c r="F29" s="17"/>
      <c r="G29" s="21"/>
      <c r="H29" s="21"/>
      <c r="I29" s="4">
        <v>0</v>
      </c>
      <c r="J29" s="4">
        <v>0</v>
      </c>
      <c r="K29" s="4"/>
      <c r="L29" s="16"/>
      <c r="M29" s="4"/>
      <c r="N29" s="4"/>
      <c r="O29" s="4"/>
      <c r="P29" s="4"/>
      <c r="Q29" s="4"/>
      <c r="R29" s="4"/>
      <c r="S29" s="4">
        <v>0</v>
      </c>
      <c r="T29" s="4">
        <v>0</v>
      </c>
      <c r="U29" s="4">
        <v>0</v>
      </c>
      <c r="V29" s="4">
        <v>12</v>
      </c>
      <c r="W29" s="4">
        <v>12</v>
      </c>
      <c r="X29" s="4">
        <v>0</v>
      </c>
      <c r="Y29" s="4"/>
      <c r="Z29" s="4">
        <v>196.7</v>
      </c>
      <c r="AA29" s="4">
        <v>200</v>
      </c>
      <c r="AB29" s="18">
        <v>372</v>
      </c>
      <c r="AC29" s="18">
        <v>1</v>
      </c>
      <c r="AD29" s="28"/>
      <c r="AE29" s="26"/>
      <c r="AF29" s="28"/>
    </row>
    <row r="30" spans="1:32" ht="13.5" customHeight="1" x14ac:dyDescent="0.25">
      <c r="A30" s="14">
        <v>45661</v>
      </c>
      <c r="B30" s="14" t="s">
        <v>46</v>
      </c>
      <c r="C30" s="15">
        <v>3</v>
      </c>
      <c r="D30" s="16"/>
      <c r="E30" s="16"/>
      <c r="F30" s="17"/>
      <c r="G30" s="21"/>
      <c r="H30" s="21"/>
      <c r="I30" s="4">
        <v>0</v>
      </c>
      <c r="J30" s="4">
        <v>0</v>
      </c>
      <c r="K30" s="4"/>
      <c r="L30" s="16"/>
      <c r="M30" s="4"/>
      <c r="N30" s="4"/>
      <c r="O30" s="4"/>
      <c r="P30" s="4"/>
      <c r="Q30" s="4"/>
      <c r="R30" s="4"/>
      <c r="S30" s="4">
        <v>0</v>
      </c>
      <c r="T30" s="4">
        <v>0</v>
      </c>
      <c r="U30" s="4">
        <v>0</v>
      </c>
      <c r="V30" s="4">
        <v>12</v>
      </c>
      <c r="W30" s="4">
        <v>12</v>
      </c>
      <c r="X30" s="4">
        <v>38.200000000000003</v>
      </c>
      <c r="Y30" s="4"/>
      <c r="Z30" s="4">
        <v>428</v>
      </c>
      <c r="AA30" s="4">
        <v>400</v>
      </c>
      <c r="AB30" s="18"/>
      <c r="AC30" s="18">
        <v>1</v>
      </c>
      <c r="AD30" s="28"/>
      <c r="AE30" s="26"/>
      <c r="AF30" s="28"/>
    </row>
    <row r="31" spans="1:32" ht="13.5" customHeight="1" x14ac:dyDescent="0.25">
      <c r="A31" s="14">
        <v>45661</v>
      </c>
      <c r="B31" s="14" t="s">
        <v>47</v>
      </c>
      <c r="C31" s="15">
        <v>3</v>
      </c>
      <c r="D31" s="16"/>
      <c r="E31" s="16">
        <v>25</v>
      </c>
      <c r="F31" s="17"/>
      <c r="G31" s="21"/>
      <c r="H31" s="21"/>
      <c r="I31" s="4">
        <v>25</v>
      </c>
      <c r="J31" s="4">
        <v>0.41666666666666669</v>
      </c>
      <c r="K31" s="4"/>
      <c r="L31" s="16"/>
      <c r="M31" s="4"/>
      <c r="N31" s="4"/>
      <c r="O31" s="4"/>
      <c r="P31" s="4"/>
      <c r="Q31" s="4"/>
      <c r="R31" s="4"/>
      <c r="S31" s="4">
        <v>0</v>
      </c>
      <c r="T31" s="4">
        <v>0</v>
      </c>
      <c r="U31" s="4">
        <v>0.41666666666666669</v>
      </c>
      <c r="V31" s="4">
        <v>11.583333333333334</v>
      </c>
      <c r="W31" s="4">
        <v>12</v>
      </c>
      <c r="X31" s="4">
        <v>0</v>
      </c>
      <c r="Y31" s="4">
        <v>2149</v>
      </c>
      <c r="Z31" s="4">
        <v>644.4</v>
      </c>
      <c r="AA31" s="4">
        <v>650</v>
      </c>
      <c r="AB31" s="18"/>
      <c r="AC31" s="18">
        <v>1</v>
      </c>
      <c r="AD31" s="28"/>
      <c r="AE31" s="26"/>
      <c r="AF31" s="28"/>
    </row>
    <row r="32" spans="1:32" ht="13.5" customHeight="1" x14ac:dyDescent="0.25">
      <c r="A32" s="14">
        <v>45661</v>
      </c>
      <c r="B32" s="14" t="s">
        <v>46</v>
      </c>
      <c r="C32" s="15">
        <v>6</v>
      </c>
      <c r="D32" s="16"/>
      <c r="E32" s="16"/>
      <c r="F32" s="17"/>
      <c r="G32" s="21"/>
      <c r="H32" s="21"/>
      <c r="I32" s="4">
        <v>0</v>
      </c>
      <c r="J32" s="4">
        <v>0</v>
      </c>
      <c r="K32" s="4"/>
      <c r="L32" s="16"/>
      <c r="M32" s="4"/>
      <c r="N32" s="4"/>
      <c r="O32" s="4"/>
      <c r="P32" s="4"/>
      <c r="Q32" s="4"/>
      <c r="R32" s="4"/>
      <c r="S32" s="4">
        <v>0</v>
      </c>
      <c r="T32" s="4">
        <v>0</v>
      </c>
      <c r="U32" s="4">
        <v>0</v>
      </c>
      <c r="V32" s="4">
        <v>12</v>
      </c>
      <c r="W32" s="4">
        <v>12</v>
      </c>
      <c r="X32" s="4">
        <v>0</v>
      </c>
      <c r="Y32" s="4"/>
      <c r="Z32" s="4">
        <v>808.19999999999993</v>
      </c>
      <c r="AA32" s="4">
        <v>800</v>
      </c>
      <c r="AB32" s="18"/>
      <c r="AC32" s="18">
        <v>1</v>
      </c>
      <c r="AD32" s="28"/>
      <c r="AE32" s="26"/>
      <c r="AF32" s="28"/>
    </row>
    <row r="33" spans="1:32" ht="13.5" customHeight="1" x14ac:dyDescent="0.25">
      <c r="A33" s="14">
        <v>45661</v>
      </c>
      <c r="B33" s="14" t="s">
        <v>47</v>
      </c>
      <c r="C33" s="15">
        <v>6</v>
      </c>
      <c r="D33" s="16">
        <v>2</v>
      </c>
      <c r="E33" s="16"/>
      <c r="F33" s="17"/>
      <c r="G33" s="21"/>
      <c r="H33" s="21"/>
      <c r="I33" s="4">
        <v>2</v>
      </c>
      <c r="J33" s="4">
        <v>3.3333333333333333E-2</v>
      </c>
      <c r="K33" s="4"/>
      <c r="L33" s="16"/>
      <c r="M33" s="4"/>
      <c r="N33" s="4">
        <v>10</v>
      </c>
      <c r="O33" s="4"/>
      <c r="P33" s="4"/>
      <c r="Q33" s="4"/>
      <c r="R33" s="4"/>
      <c r="S33" s="4">
        <v>10</v>
      </c>
      <c r="T33" s="4">
        <v>0.16666666666666666</v>
      </c>
      <c r="U33" s="4">
        <v>0.19999999999999998</v>
      </c>
      <c r="V33" s="4">
        <v>11.8</v>
      </c>
      <c r="W33" s="4">
        <v>12</v>
      </c>
      <c r="X33" s="4">
        <v>0</v>
      </c>
      <c r="Y33" s="4"/>
      <c r="Z33" s="4">
        <v>944.40000000000009</v>
      </c>
      <c r="AA33" s="4">
        <v>950</v>
      </c>
      <c r="AB33" s="18"/>
      <c r="AC33" s="18">
        <v>1</v>
      </c>
      <c r="AD33" s="28"/>
      <c r="AE33" s="26"/>
      <c r="AF33" s="28"/>
    </row>
    <row r="34" spans="1:32" ht="13.5" customHeight="1" x14ac:dyDescent="0.25">
      <c r="A34" s="14">
        <v>45661</v>
      </c>
      <c r="B34" s="14" t="s">
        <v>46</v>
      </c>
      <c r="C34" s="15">
        <v>7</v>
      </c>
      <c r="D34" s="16"/>
      <c r="E34" s="16"/>
      <c r="F34" s="17"/>
      <c r="G34" s="21"/>
      <c r="H34" s="21"/>
      <c r="I34" s="4">
        <v>0</v>
      </c>
      <c r="J34" s="4">
        <v>0</v>
      </c>
      <c r="K34" s="4"/>
      <c r="L34" s="16"/>
      <c r="M34" s="4"/>
      <c r="N34" s="4"/>
      <c r="O34" s="4"/>
      <c r="P34" s="4"/>
      <c r="Q34" s="4"/>
      <c r="R34" s="4"/>
      <c r="S34" s="4">
        <v>0</v>
      </c>
      <c r="T34" s="4">
        <v>0</v>
      </c>
      <c r="U34" s="4">
        <v>0</v>
      </c>
      <c r="V34" s="4">
        <v>12</v>
      </c>
      <c r="W34" s="4">
        <v>12</v>
      </c>
      <c r="X34" s="4">
        <v>0</v>
      </c>
      <c r="Y34" s="4"/>
      <c r="Z34" s="4">
        <v>419.74</v>
      </c>
      <c r="AA34" s="4">
        <v>400</v>
      </c>
      <c r="AB34" s="18"/>
      <c r="AC34" s="18">
        <v>1</v>
      </c>
      <c r="AD34" s="28"/>
      <c r="AE34" s="26"/>
      <c r="AF34" s="28"/>
    </row>
    <row r="35" spans="1:32" ht="13.5" customHeight="1" x14ac:dyDescent="0.25">
      <c r="A35" s="14">
        <v>45661</v>
      </c>
      <c r="B35" s="14" t="s">
        <v>47</v>
      </c>
      <c r="C35" s="15">
        <v>7</v>
      </c>
      <c r="D35" s="16"/>
      <c r="E35" s="16"/>
      <c r="F35" s="17"/>
      <c r="G35" s="21"/>
      <c r="H35" s="21"/>
      <c r="I35" s="4">
        <v>0</v>
      </c>
      <c r="J35" s="4">
        <v>0</v>
      </c>
      <c r="K35" s="4"/>
      <c r="L35" s="16"/>
      <c r="M35" s="4"/>
      <c r="N35" s="4"/>
      <c r="O35" s="4"/>
      <c r="P35" s="4"/>
      <c r="Q35" s="4"/>
      <c r="R35" s="4"/>
      <c r="S35" s="4">
        <v>0</v>
      </c>
      <c r="T35" s="4">
        <v>0</v>
      </c>
      <c r="U35" s="4">
        <v>0</v>
      </c>
      <c r="V35" s="4">
        <v>12</v>
      </c>
      <c r="W35" s="4">
        <v>12</v>
      </c>
      <c r="X35" s="4">
        <v>35.200000000000003</v>
      </c>
      <c r="Y35" s="4"/>
      <c r="Z35" s="4">
        <v>490.27</v>
      </c>
      <c r="AA35" s="4">
        <v>500</v>
      </c>
      <c r="AB35" s="18"/>
      <c r="AC35" s="18">
        <v>1</v>
      </c>
      <c r="AD35" s="28"/>
      <c r="AE35" s="26"/>
      <c r="AF35" s="28"/>
    </row>
    <row r="36" spans="1:32" ht="13.5" customHeight="1" x14ac:dyDescent="0.25">
      <c r="A36" s="14">
        <v>45662</v>
      </c>
      <c r="B36" s="14" t="s">
        <v>46</v>
      </c>
      <c r="C36" s="15">
        <v>1</v>
      </c>
      <c r="D36" s="16"/>
      <c r="E36" s="16"/>
      <c r="F36" s="17"/>
      <c r="G36" s="21"/>
      <c r="H36" s="21"/>
      <c r="I36" s="4">
        <v>0</v>
      </c>
      <c r="J36" s="4">
        <v>0</v>
      </c>
      <c r="K36" s="4"/>
      <c r="L36" s="16"/>
      <c r="M36" s="4"/>
      <c r="N36" s="4"/>
      <c r="O36" s="4"/>
      <c r="P36" s="4"/>
      <c r="Q36" s="4"/>
      <c r="R36" s="4"/>
      <c r="S36" s="4">
        <v>0</v>
      </c>
      <c r="T36" s="4">
        <v>0</v>
      </c>
      <c r="U36" s="4">
        <v>0</v>
      </c>
      <c r="V36" s="4">
        <v>12</v>
      </c>
      <c r="W36" s="4">
        <v>12</v>
      </c>
      <c r="X36" s="4">
        <v>10</v>
      </c>
      <c r="Y36" s="4"/>
      <c r="Z36" s="4">
        <v>135.6</v>
      </c>
      <c r="AA36" s="4">
        <v>100</v>
      </c>
      <c r="AB36" s="18"/>
      <c r="AC36" s="18">
        <v>1</v>
      </c>
      <c r="AD36" s="28"/>
      <c r="AE36" s="26"/>
      <c r="AF36" s="28"/>
    </row>
    <row r="37" spans="1:32" ht="13.5" customHeight="1" x14ac:dyDescent="0.25">
      <c r="A37" s="14">
        <v>45662</v>
      </c>
      <c r="B37" s="14" t="s">
        <v>47</v>
      </c>
      <c r="C37" s="15">
        <v>1</v>
      </c>
      <c r="D37" s="16"/>
      <c r="E37" s="16"/>
      <c r="F37" s="17"/>
      <c r="G37" s="21"/>
      <c r="H37" s="21"/>
      <c r="I37" s="4">
        <v>0</v>
      </c>
      <c r="J37" s="4">
        <v>0</v>
      </c>
      <c r="K37" s="4"/>
      <c r="L37" s="16"/>
      <c r="M37" s="4"/>
      <c r="N37" s="4"/>
      <c r="O37" s="4"/>
      <c r="P37" s="4"/>
      <c r="Q37" s="4"/>
      <c r="R37" s="4"/>
      <c r="S37" s="4">
        <v>0</v>
      </c>
      <c r="T37" s="4">
        <v>0</v>
      </c>
      <c r="U37" s="4">
        <v>0</v>
      </c>
      <c r="V37" s="4">
        <v>12</v>
      </c>
      <c r="W37" s="4">
        <v>12</v>
      </c>
      <c r="X37" s="4">
        <v>0</v>
      </c>
      <c r="Y37" s="4"/>
      <c r="Z37" s="4">
        <v>564.29999999999995</v>
      </c>
      <c r="AA37" s="4">
        <v>550</v>
      </c>
      <c r="AB37" s="18"/>
      <c r="AC37" s="18">
        <v>1</v>
      </c>
      <c r="AD37" s="28"/>
      <c r="AE37" s="26"/>
      <c r="AF37" s="28"/>
    </row>
    <row r="38" spans="1:32" ht="13.5" customHeight="1" x14ac:dyDescent="0.25">
      <c r="A38" s="14">
        <v>45662</v>
      </c>
      <c r="B38" s="14" t="s">
        <v>46</v>
      </c>
      <c r="C38" s="15">
        <v>3</v>
      </c>
      <c r="D38" s="16"/>
      <c r="E38" s="16"/>
      <c r="F38" s="17"/>
      <c r="G38" s="21"/>
      <c r="H38" s="21"/>
      <c r="I38" s="4">
        <v>0</v>
      </c>
      <c r="J38" s="4">
        <v>0</v>
      </c>
      <c r="K38" s="4"/>
      <c r="L38" s="16"/>
      <c r="M38" s="4"/>
      <c r="N38" s="4"/>
      <c r="O38" s="4"/>
      <c r="P38" s="4"/>
      <c r="Q38" s="4"/>
      <c r="R38" s="4"/>
      <c r="S38" s="4">
        <v>0</v>
      </c>
      <c r="T38" s="4">
        <v>0</v>
      </c>
      <c r="U38" s="4">
        <v>0</v>
      </c>
      <c r="V38" s="4">
        <v>12</v>
      </c>
      <c r="W38" s="4">
        <v>12</v>
      </c>
      <c r="X38" s="4">
        <v>0</v>
      </c>
      <c r="Y38" s="4"/>
      <c r="Z38" s="4">
        <v>429.1</v>
      </c>
      <c r="AA38" s="4">
        <v>400</v>
      </c>
      <c r="AB38" s="18">
        <v>372</v>
      </c>
      <c r="AC38" s="18">
        <v>1</v>
      </c>
      <c r="AD38" s="28"/>
      <c r="AE38" s="26"/>
      <c r="AF38" s="28"/>
    </row>
    <row r="39" spans="1:32" ht="13.5" customHeight="1" x14ac:dyDescent="0.25">
      <c r="A39" s="14">
        <v>45662</v>
      </c>
      <c r="B39" s="14" t="s">
        <v>47</v>
      </c>
      <c r="C39" s="15">
        <v>3</v>
      </c>
      <c r="D39" s="16">
        <v>10</v>
      </c>
      <c r="E39" s="16"/>
      <c r="F39" s="17"/>
      <c r="G39" s="21"/>
      <c r="H39" s="21"/>
      <c r="I39" s="4">
        <v>10</v>
      </c>
      <c r="J39" s="4">
        <v>0.16666666666666666</v>
      </c>
      <c r="K39" s="4"/>
      <c r="L39" s="16"/>
      <c r="M39" s="4"/>
      <c r="N39" s="4"/>
      <c r="O39" s="4"/>
      <c r="P39" s="4"/>
      <c r="Q39" s="4"/>
      <c r="R39" s="4"/>
      <c r="S39" s="4">
        <v>0</v>
      </c>
      <c r="T39" s="4">
        <v>0</v>
      </c>
      <c r="U39" s="4">
        <v>0.16666666666666666</v>
      </c>
      <c r="V39" s="4">
        <v>11.833333333333334</v>
      </c>
      <c r="W39" s="4">
        <v>12</v>
      </c>
      <c r="X39" s="4">
        <v>0</v>
      </c>
      <c r="Y39" s="4"/>
      <c r="Z39" s="4">
        <v>557.40000000000009</v>
      </c>
      <c r="AA39" s="4">
        <v>550</v>
      </c>
      <c r="AB39" s="18"/>
      <c r="AC39" s="18">
        <v>1</v>
      </c>
      <c r="AD39" s="28"/>
      <c r="AE39" s="26"/>
      <c r="AF39" s="28"/>
    </row>
    <row r="40" spans="1:32" ht="13.5" customHeight="1" x14ac:dyDescent="0.25">
      <c r="A40" s="14">
        <v>45662</v>
      </c>
      <c r="B40" s="14" t="s">
        <v>46</v>
      </c>
      <c r="C40" s="15">
        <v>6</v>
      </c>
      <c r="D40" s="16">
        <v>5</v>
      </c>
      <c r="E40" s="16"/>
      <c r="F40" s="17"/>
      <c r="G40" s="21"/>
      <c r="H40" s="21"/>
      <c r="I40" s="4">
        <v>5</v>
      </c>
      <c r="J40" s="4">
        <v>8.3333333333333329E-2</v>
      </c>
      <c r="K40" s="4"/>
      <c r="L40" s="16"/>
      <c r="M40" s="4"/>
      <c r="N40" s="4"/>
      <c r="O40" s="4"/>
      <c r="P40" s="4"/>
      <c r="Q40" s="4"/>
      <c r="R40" s="4"/>
      <c r="S40" s="4">
        <v>0</v>
      </c>
      <c r="T40" s="4">
        <v>0</v>
      </c>
      <c r="U40" s="4">
        <v>8.3333333333333329E-2</v>
      </c>
      <c r="V40" s="4">
        <v>11.916666666666666</v>
      </c>
      <c r="W40" s="4">
        <v>12</v>
      </c>
      <c r="X40" s="4">
        <v>0</v>
      </c>
      <c r="Y40" s="4">
        <v>2297</v>
      </c>
      <c r="Z40" s="4">
        <v>809.99999999999977</v>
      </c>
      <c r="AA40" s="4">
        <v>800</v>
      </c>
      <c r="AB40" s="18"/>
      <c r="AC40" s="18">
        <v>1</v>
      </c>
      <c r="AD40" s="28"/>
      <c r="AE40" s="26"/>
      <c r="AF40" s="28"/>
    </row>
    <row r="41" spans="1:32" ht="13.5" customHeight="1" x14ac:dyDescent="0.25">
      <c r="A41" s="14">
        <v>45662</v>
      </c>
      <c r="B41" s="14" t="s">
        <v>47</v>
      </c>
      <c r="C41" s="15">
        <v>6</v>
      </c>
      <c r="D41" s="16"/>
      <c r="E41" s="16"/>
      <c r="F41" s="17"/>
      <c r="G41" s="21"/>
      <c r="H41" s="21"/>
      <c r="I41" s="4">
        <v>0</v>
      </c>
      <c r="J41" s="4">
        <v>0</v>
      </c>
      <c r="K41" s="4"/>
      <c r="L41" s="16">
        <v>10</v>
      </c>
      <c r="M41" s="4"/>
      <c r="N41" s="4">
        <v>5</v>
      </c>
      <c r="O41" s="4"/>
      <c r="P41" s="4"/>
      <c r="Q41" s="4"/>
      <c r="R41" s="4"/>
      <c r="S41" s="4">
        <v>15</v>
      </c>
      <c r="T41" s="4">
        <v>0.25</v>
      </c>
      <c r="U41" s="4">
        <v>0.25</v>
      </c>
      <c r="V41" s="4">
        <v>11.75</v>
      </c>
      <c r="W41" s="4">
        <v>12</v>
      </c>
      <c r="X41" s="4">
        <v>0</v>
      </c>
      <c r="Y41" s="4"/>
      <c r="Z41" s="4">
        <v>953.5</v>
      </c>
      <c r="AA41" s="4">
        <v>950</v>
      </c>
      <c r="AB41" s="18"/>
      <c r="AC41" s="18">
        <v>1</v>
      </c>
      <c r="AD41" s="28"/>
      <c r="AE41" s="26"/>
      <c r="AF41" s="28"/>
    </row>
    <row r="42" spans="1:32" ht="13.5" customHeight="1" x14ac:dyDescent="0.25">
      <c r="A42" s="14">
        <v>45662</v>
      </c>
      <c r="B42" s="14" t="s">
        <v>46</v>
      </c>
      <c r="C42" s="15">
        <v>7</v>
      </c>
      <c r="D42" s="16"/>
      <c r="E42" s="16"/>
      <c r="F42" s="17"/>
      <c r="G42" s="21"/>
      <c r="H42" s="21"/>
      <c r="I42" s="4">
        <v>0</v>
      </c>
      <c r="J42" s="4">
        <v>0</v>
      </c>
      <c r="K42" s="4"/>
      <c r="L42" s="16"/>
      <c r="M42" s="4"/>
      <c r="N42" s="4"/>
      <c r="O42" s="4">
        <v>360</v>
      </c>
      <c r="P42" s="4"/>
      <c r="Q42" s="4"/>
      <c r="R42" s="4"/>
      <c r="S42" s="4">
        <v>360</v>
      </c>
      <c r="T42" s="4">
        <v>6</v>
      </c>
      <c r="U42" s="4">
        <v>6</v>
      </c>
      <c r="V42" s="4">
        <v>6</v>
      </c>
      <c r="W42" s="4">
        <v>12</v>
      </c>
      <c r="X42" s="4">
        <v>0</v>
      </c>
      <c r="Y42" s="4"/>
      <c r="Z42" s="4">
        <v>157.41999999999999</v>
      </c>
      <c r="AA42" s="4">
        <v>150</v>
      </c>
      <c r="AB42" s="18"/>
      <c r="AC42" s="18">
        <v>1</v>
      </c>
      <c r="AD42" s="28"/>
      <c r="AE42" s="26"/>
      <c r="AF42" s="28"/>
    </row>
    <row r="43" spans="1:32" ht="13.5" customHeight="1" x14ac:dyDescent="0.25">
      <c r="A43" s="14">
        <v>45662</v>
      </c>
      <c r="B43" s="14" t="s">
        <v>47</v>
      </c>
      <c r="C43" s="15">
        <v>7</v>
      </c>
      <c r="D43" s="16"/>
      <c r="E43" s="16"/>
      <c r="F43" s="17"/>
      <c r="G43" s="21"/>
      <c r="H43" s="21"/>
      <c r="I43" s="4">
        <v>0</v>
      </c>
      <c r="J43" s="4">
        <v>0</v>
      </c>
      <c r="K43" s="4"/>
      <c r="L43" s="16"/>
      <c r="M43" s="4"/>
      <c r="N43" s="4"/>
      <c r="O43" s="4"/>
      <c r="P43" s="4"/>
      <c r="Q43" s="4"/>
      <c r="R43" s="4"/>
      <c r="S43" s="4">
        <v>0</v>
      </c>
      <c r="T43" s="4">
        <v>0</v>
      </c>
      <c r="U43" s="4">
        <v>0</v>
      </c>
      <c r="V43" s="4">
        <v>12</v>
      </c>
      <c r="W43" s="4">
        <v>12</v>
      </c>
      <c r="X43" s="4">
        <v>0</v>
      </c>
      <c r="Y43" s="4"/>
      <c r="Z43" s="4">
        <v>537.52</v>
      </c>
      <c r="AA43" s="4">
        <v>500</v>
      </c>
      <c r="AB43" s="18"/>
      <c r="AC43" s="18">
        <v>1</v>
      </c>
      <c r="AD43" s="28"/>
      <c r="AE43" s="26"/>
      <c r="AF43" s="28"/>
    </row>
    <row r="44" spans="1:32" ht="13.5" customHeight="1" x14ac:dyDescent="0.25">
      <c r="A44" s="14">
        <v>45663</v>
      </c>
      <c r="B44" s="14" t="s">
        <v>46</v>
      </c>
      <c r="C44" s="15">
        <v>1</v>
      </c>
      <c r="D44" s="16"/>
      <c r="E44" s="16"/>
      <c r="F44" s="17"/>
      <c r="G44" s="21"/>
      <c r="H44" s="21"/>
      <c r="I44" s="4">
        <v>0</v>
      </c>
      <c r="J44" s="4">
        <v>0</v>
      </c>
      <c r="K44" s="4"/>
      <c r="L44" s="16"/>
      <c r="M44" s="4"/>
      <c r="N44" s="4"/>
      <c r="O44" s="4"/>
      <c r="P44" s="4"/>
      <c r="Q44" s="4"/>
      <c r="R44" s="4"/>
      <c r="S44" s="4">
        <v>0</v>
      </c>
      <c r="T44" s="4">
        <v>0</v>
      </c>
      <c r="U44" s="4">
        <v>0</v>
      </c>
      <c r="V44" s="4">
        <v>12</v>
      </c>
      <c r="W44" s="4">
        <v>12</v>
      </c>
      <c r="X44" s="4">
        <v>0</v>
      </c>
      <c r="Y44" s="4"/>
      <c r="Z44" s="4">
        <v>156.5</v>
      </c>
      <c r="AA44" s="4">
        <v>150</v>
      </c>
      <c r="AB44" s="18"/>
      <c r="AC44" s="18">
        <v>2</v>
      </c>
      <c r="AD44" s="28"/>
      <c r="AE44" s="26"/>
      <c r="AF44" s="28"/>
    </row>
    <row r="45" spans="1:32" ht="13.5" customHeight="1" x14ac:dyDescent="0.25">
      <c r="A45" s="14">
        <v>45663</v>
      </c>
      <c r="B45" s="14" t="s">
        <v>47</v>
      </c>
      <c r="C45" s="15">
        <v>1</v>
      </c>
      <c r="D45" s="16"/>
      <c r="E45" s="16"/>
      <c r="F45" s="17"/>
      <c r="G45" s="21"/>
      <c r="H45" s="21"/>
      <c r="I45" s="4">
        <v>0</v>
      </c>
      <c r="J45" s="4">
        <v>0</v>
      </c>
      <c r="K45" s="4"/>
      <c r="L45" s="16"/>
      <c r="M45" s="4"/>
      <c r="N45" s="4"/>
      <c r="O45" s="4"/>
      <c r="P45" s="4"/>
      <c r="Q45" s="4"/>
      <c r="R45" s="4"/>
      <c r="S45" s="4">
        <v>0</v>
      </c>
      <c r="T45" s="4">
        <v>0</v>
      </c>
      <c r="U45" s="4">
        <v>0</v>
      </c>
      <c r="V45" s="4">
        <v>12</v>
      </c>
      <c r="W45" s="4">
        <v>12</v>
      </c>
      <c r="X45" s="4">
        <v>0</v>
      </c>
      <c r="Y45" s="4"/>
      <c r="Z45" s="4">
        <v>198.39999999999998</v>
      </c>
      <c r="AA45" s="4">
        <v>200</v>
      </c>
      <c r="AB45" s="18"/>
      <c r="AC45" s="18">
        <v>2</v>
      </c>
      <c r="AD45" s="28"/>
      <c r="AE45" s="26"/>
      <c r="AF45" s="28"/>
    </row>
    <row r="46" spans="1:32" ht="13.5" customHeight="1" x14ac:dyDescent="0.25">
      <c r="A46" s="14">
        <v>45663</v>
      </c>
      <c r="B46" s="14" t="s">
        <v>46</v>
      </c>
      <c r="C46" s="15">
        <v>3</v>
      </c>
      <c r="D46" s="16"/>
      <c r="E46" s="16"/>
      <c r="F46" s="17"/>
      <c r="G46" s="21"/>
      <c r="H46" s="21"/>
      <c r="I46" s="4">
        <v>0</v>
      </c>
      <c r="J46" s="4">
        <v>0</v>
      </c>
      <c r="K46" s="4"/>
      <c r="L46" s="16"/>
      <c r="M46" s="4"/>
      <c r="N46" s="4"/>
      <c r="O46" s="4"/>
      <c r="P46" s="4"/>
      <c r="Q46" s="4"/>
      <c r="R46" s="4"/>
      <c r="S46" s="4">
        <v>0</v>
      </c>
      <c r="T46" s="4">
        <v>0</v>
      </c>
      <c r="U46" s="4">
        <v>0</v>
      </c>
      <c r="V46" s="4">
        <v>12</v>
      </c>
      <c r="W46" s="4">
        <v>12</v>
      </c>
      <c r="X46" s="4">
        <v>0</v>
      </c>
      <c r="Y46" s="4"/>
      <c r="Z46" s="4">
        <v>420.29999999999995</v>
      </c>
      <c r="AA46" s="4">
        <v>400</v>
      </c>
      <c r="AB46" s="18"/>
      <c r="AC46" s="18">
        <v>2</v>
      </c>
      <c r="AD46" s="28"/>
      <c r="AE46" s="26"/>
      <c r="AF46" s="28"/>
    </row>
    <row r="47" spans="1:32" ht="13.5" customHeight="1" x14ac:dyDescent="0.25">
      <c r="A47" s="14">
        <v>45663</v>
      </c>
      <c r="B47" s="14" t="s">
        <v>47</v>
      </c>
      <c r="C47" s="15">
        <v>3</v>
      </c>
      <c r="D47" s="16"/>
      <c r="E47" s="16"/>
      <c r="F47" s="17"/>
      <c r="G47" s="21"/>
      <c r="H47" s="21"/>
      <c r="I47" s="4">
        <v>0</v>
      </c>
      <c r="J47" s="4">
        <v>0</v>
      </c>
      <c r="K47" s="4"/>
      <c r="L47" s="16"/>
      <c r="M47" s="4"/>
      <c r="N47" s="4"/>
      <c r="O47" s="4"/>
      <c r="P47" s="4"/>
      <c r="Q47" s="4"/>
      <c r="R47" s="4"/>
      <c r="S47" s="4">
        <v>0</v>
      </c>
      <c r="T47" s="4">
        <v>0</v>
      </c>
      <c r="U47" s="4">
        <v>0</v>
      </c>
      <c r="V47" s="4">
        <v>12</v>
      </c>
      <c r="W47" s="4">
        <v>12</v>
      </c>
      <c r="X47" s="4">
        <v>0</v>
      </c>
      <c r="Y47" s="4"/>
      <c r="Z47" s="4">
        <v>363.20000000000005</v>
      </c>
      <c r="AA47" s="4">
        <v>350</v>
      </c>
      <c r="AB47" s="18">
        <v>372</v>
      </c>
      <c r="AC47" s="18">
        <v>2</v>
      </c>
      <c r="AD47" s="28"/>
      <c r="AE47" s="26"/>
      <c r="AF47" s="28"/>
    </row>
    <row r="48" spans="1:32" ht="13.5" customHeight="1" x14ac:dyDescent="0.25">
      <c r="A48" s="14">
        <v>45663</v>
      </c>
      <c r="B48" s="14" t="s">
        <v>46</v>
      </c>
      <c r="C48" s="15">
        <v>6</v>
      </c>
      <c r="D48" s="16">
        <v>18</v>
      </c>
      <c r="E48" s="16"/>
      <c r="F48" s="17"/>
      <c r="G48" s="21"/>
      <c r="H48" s="21"/>
      <c r="I48" s="4">
        <v>18</v>
      </c>
      <c r="J48" s="4">
        <v>0.3</v>
      </c>
      <c r="K48" s="4"/>
      <c r="L48" s="16"/>
      <c r="M48" s="4"/>
      <c r="N48" s="4">
        <v>10</v>
      </c>
      <c r="O48" s="4"/>
      <c r="P48" s="4"/>
      <c r="Q48" s="4"/>
      <c r="R48" s="4"/>
      <c r="S48" s="4">
        <v>10</v>
      </c>
      <c r="T48" s="4">
        <v>0.16666666666666666</v>
      </c>
      <c r="U48" s="4">
        <v>0.46666666666666667</v>
      </c>
      <c r="V48" s="4">
        <v>11.533333333333333</v>
      </c>
      <c r="W48" s="4">
        <v>12</v>
      </c>
      <c r="X48" s="4">
        <v>0</v>
      </c>
      <c r="Y48" s="4"/>
      <c r="Z48" s="4">
        <v>948.80000000000007</v>
      </c>
      <c r="AA48" s="4">
        <v>950</v>
      </c>
      <c r="AB48" s="18"/>
      <c r="AC48" s="18">
        <v>2</v>
      </c>
      <c r="AD48" s="28"/>
      <c r="AE48" s="26"/>
      <c r="AF48" s="28"/>
    </row>
    <row r="49" spans="1:32" ht="13.5" customHeight="1" x14ac:dyDescent="0.25">
      <c r="A49" s="14">
        <v>45663</v>
      </c>
      <c r="B49" s="14" t="s">
        <v>47</v>
      </c>
      <c r="C49" s="15">
        <v>6</v>
      </c>
      <c r="D49" s="16"/>
      <c r="E49" s="16"/>
      <c r="F49" s="17"/>
      <c r="G49" s="21"/>
      <c r="H49" s="21"/>
      <c r="I49" s="4">
        <v>0</v>
      </c>
      <c r="J49" s="4">
        <v>0</v>
      </c>
      <c r="K49" s="4"/>
      <c r="L49" s="16"/>
      <c r="M49" s="4"/>
      <c r="N49" s="4"/>
      <c r="O49" s="4"/>
      <c r="P49" s="4"/>
      <c r="Q49" s="4"/>
      <c r="R49" s="4"/>
      <c r="S49" s="4">
        <v>0</v>
      </c>
      <c r="T49" s="4">
        <v>0</v>
      </c>
      <c r="U49" s="4">
        <v>0</v>
      </c>
      <c r="V49" s="4">
        <v>12</v>
      </c>
      <c r="W49" s="4">
        <v>12</v>
      </c>
      <c r="X49" s="4">
        <v>0</v>
      </c>
      <c r="Y49" s="4"/>
      <c r="Z49" s="4">
        <v>574.79999999999995</v>
      </c>
      <c r="AA49" s="4">
        <v>550</v>
      </c>
      <c r="AB49" s="18"/>
      <c r="AC49" s="18">
        <v>2</v>
      </c>
      <c r="AD49" s="28"/>
      <c r="AE49" s="26"/>
      <c r="AF49" s="28"/>
    </row>
    <row r="50" spans="1:32" ht="13.5" customHeight="1" x14ac:dyDescent="0.25">
      <c r="A50" s="14">
        <v>45663</v>
      </c>
      <c r="B50" s="14" t="s">
        <v>46</v>
      </c>
      <c r="C50" s="15">
        <v>7</v>
      </c>
      <c r="D50" s="16">
        <v>4</v>
      </c>
      <c r="E50" s="16"/>
      <c r="F50" s="17"/>
      <c r="G50" s="21"/>
      <c r="H50" s="21"/>
      <c r="I50" s="4">
        <v>4</v>
      </c>
      <c r="J50" s="4">
        <v>6.6666666666666666E-2</v>
      </c>
      <c r="K50" s="4"/>
      <c r="L50" s="16"/>
      <c r="M50" s="4"/>
      <c r="N50" s="4"/>
      <c r="O50" s="4"/>
      <c r="P50" s="4"/>
      <c r="Q50" s="4"/>
      <c r="R50" s="4"/>
      <c r="S50" s="4">
        <v>0</v>
      </c>
      <c r="T50" s="4">
        <v>0</v>
      </c>
      <c r="U50" s="4">
        <v>6.6666666666666666E-2</v>
      </c>
      <c r="V50" s="4">
        <v>11.933333333333334</v>
      </c>
      <c r="W50" s="4">
        <v>12</v>
      </c>
      <c r="X50" s="4">
        <v>0</v>
      </c>
      <c r="Y50" s="4">
        <v>1984</v>
      </c>
      <c r="Z50" s="4">
        <v>406.73</v>
      </c>
      <c r="AA50" s="4">
        <v>400</v>
      </c>
      <c r="AB50" s="18"/>
      <c r="AC50" s="18">
        <v>2</v>
      </c>
      <c r="AD50" s="28"/>
      <c r="AE50" s="26"/>
      <c r="AF50" s="28"/>
    </row>
    <row r="51" spans="1:32" ht="13.5" customHeight="1" x14ac:dyDescent="0.25">
      <c r="A51" s="14">
        <v>45663</v>
      </c>
      <c r="B51" s="14" t="s">
        <v>47</v>
      </c>
      <c r="C51" s="15">
        <v>7</v>
      </c>
      <c r="D51" s="16">
        <v>2</v>
      </c>
      <c r="E51" s="16"/>
      <c r="F51" s="17"/>
      <c r="G51" s="21"/>
      <c r="H51" s="21"/>
      <c r="I51" s="4">
        <v>2</v>
      </c>
      <c r="J51" s="4">
        <v>3.3333333333333333E-2</v>
      </c>
      <c r="K51" s="4"/>
      <c r="L51" s="16"/>
      <c r="M51" s="4"/>
      <c r="N51" s="4">
        <v>5</v>
      </c>
      <c r="O51" s="4"/>
      <c r="P51" s="4"/>
      <c r="Q51" s="4"/>
      <c r="R51" s="4"/>
      <c r="S51" s="4">
        <v>5</v>
      </c>
      <c r="T51" s="4">
        <v>8.3333333333333329E-2</v>
      </c>
      <c r="U51" s="4">
        <v>0.11666666666666667</v>
      </c>
      <c r="V51" s="4">
        <v>11.883333333333333</v>
      </c>
      <c r="W51" s="4">
        <v>12</v>
      </c>
      <c r="X51" s="4">
        <v>0</v>
      </c>
      <c r="Y51" s="4"/>
      <c r="Z51" s="4">
        <v>494.09999999999991</v>
      </c>
      <c r="AA51" s="4">
        <v>500</v>
      </c>
      <c r="AB51" s="18"/>
      <c r="AC51" s="18">
        <v>2</v>
      </c>
      <c r="AD51" s="28"/>
      <c r="AE51" s="26"/>
      <c r="AF51" s="28"/>
    </row>
    <row r="52" spans="1:32" ht="13.5" customHeight="1" x14ac:dyDescent="0.25">
      <c r="A52" s="14">
        <v>45664</v>
      </c>
      <c r="B52" s="14" t="s">
        <v>46</v>
      </c>
      <c r="C52" s="15">
        <v>1</v>
      </c>
      <c r="D52" s="16">
        <v>15</v>
      </c>
      <c r="E52" s="16"/>
      <c r="F52" s="17"/>
      <c r="G52" s="21"/>
      <c r="H52" s="21"/>
      <c r="I52" s="4">
        <v>15</v>
      </c>
      <c r="J52" s="4">
        <v>0.25</v>
      </c>
      <c r="K52" s="4"/>
      <c r="L52" s="16"/>
      <c r="M52" s="4"/>
      <c r="N52" s="4"/>
      <c r="O52" s="4"/>
      <c r="P52" s="4"/>
      <c r="Q52" s="4"/>
      <c r="R52" s="4"/>
      <c r="S52" s="4">
        <v>0</v>
      </c>
      <c r="T52" s="4">
        <v>0</v>
      </c>
      <c r="U52" s="4">
        <v>0.25</v>
      </c>
      <c r="V52" s="4">
        <v>11.75</v>
      </c>
      <c r="W52" s="4">
        <v>12</v>
      </c>
      <c r="X52" s="4">
        <v>0</v>
      </c>
      <c r="Y52" s="4"/>
      <c r="Z52" s="4">
        <v>170.97000000000003</v>
      </c>
      <c r="AA52" s="4">
        <v>150</v>
      </c>
      <c r="AB52" s="18"/>
      <c r="AC52" s="18">
        <v>2</v>
      </c>
      <c r="AD52" s="28"/>
      <c r="AE52" s="26"/>
      <c r="AF52" s="28"/>
    </row>
    <row r="53" spans="1:32" ht="13.5" customHeight="1" x14ac:dyDescent="0.25">
      <c r="A53" s="14">
        <v>45664</v>
      </c>
      <c r="B53" s="14" t="s">
        <v>47</v>
      </c>
      <c r="C53" s="15">
        <v>1</v>
      </c>
      <c r="D53" s="16"/>
      <c r="E53" s="16"/>
      <c r="F53" s="17"/>
      <c r="G53" s="21"/>
      <c r="H53" s="21"/>
      <c r="I53" s="4">
        <v>0</v>
      </c>
      <c r="J53" s="4">
        <v>0</v>
      </c>
      <c r="K53" s="4"/>
      <c r="L53" s="16"/>
      <c r="M53" s="4"/>
      <c r="N53" s="4"/>
      <c r="O53" s="4"/>
      <c r="P53" s="4"/>
      <c r="Q53" s="4"/>
      <c r="R53" s="4"/>
      <c r="S53" s="4">
        <v>0</v>
      </c>
      <c r="T53" s="4">
        <v>0</v>
      </c>
      <c r="U53" s="4">
        <v>0</v>
      </c>
      <c r="V53" s="4">
        <v>12</v>
      </c>
      <c r="W53" s="4">
        <v>12</v>
      </c>
      <c r="X53" s="4">
        <v>0</v>
      </c>
      <c r="Y53" s="4"/>
      <c r="Z53" s="4">
        <v>152.19999999999999</v>
      </c>
      <c r="AA53" s="4">
        <v>150</v>
      </c>
      <c r="AB53" s="18"/>
      <c r="AC53" s="18">
        <v>2</v>
      </c>
      <c r="AD53" s="28"/>
      <c r="AE53" s="26"/>
      <c r="AF53" s="28"/>
    </row>
    <row r="54" spans="1:32" ht="13.5" customHeight="1" x14ac:dyDescent="0.25">
      <c r="A54" s="14">
        <v>45664</v>
      </c>
      <c r="B54" s="14" t="s">
        <v>46</v>
      </c>
      <c r="C54" s="15">
        <v>3</v>
      </c>
      <c r="D54" s="16"/>
      <c r="E54" s="16"/>
      <c r="F54" s="17"/>
      <c r="G54" s="21"/>
      <c r="H54" s="21"/>
      <c r="I54" s="4">
        <v>0</v>
      </c>
      <c r="J54" s="4">
        <v>0</v>
      </c>
      <c r="K54" s="4"/>
      <c r="L54" s="16"/>
      <c r="M54" s="4">
        <v>540</v>
      </c>
      <c r="N54" s="4"/>
      <c r="O54" s="4"/>
      <c r="P54" s="4"/>
      <c r="Q54" s="4"/>
      <c r="R54" s="4"/>
      <c r="S54" s="4">
        <v>540</v>
      </c>
      <c r="T54" s="4">
        <v>9</v>
      </c>
      <c r="U54" s="4">
        <v>9</v>
      </c>
      <c r="V54" s="4">
        <v>3</v>
      </c>
      <c r="W54" s="4">
        <v>12</v>
      </c>
      <c r="X54" s="4">
        <v>0</v>
      </c>
      <c r="Y54" s="4"/>
      <c r="Z54" s="4">
        <v>298.20000000000005</v>
      </c>
      <c r="AA54" s="4">
        <v>300</v>
      </c>
      <c r="AB54" s="18"/>
      <c r="AC54" s="18">
        <v>2</v>
      </c>
      <c r="AD54" s="28"/>
      <c r="AE54" s="26"/>
      <c r="AF54" s="28"/>
    </row>
    <row r="55" spans="1:32" ht="13.5" customHeight="1" x14ac:dyDescent="0.25">
      <c r="A55" s="14">
        <v>45664</v>
      </c>
      <c r="B55" s="14" t="s">
        <v>47</v>
      </c>
      <c r="C55" s="15">
        <v>3</v>
      </c>
      <c r="D55" s="16"/>
      <c r="E55" s="16"/>
      <c r="F55" s="17">
        <v>240</v>
      </c>
      <c r="G55" s="21"/>
      <c r="H55" s="21"/>
      <c r="I55" s="4">
        <v>240</v>
      </c>
      <c r="J55" s="4">
        <v>4</v>
      </c>
      <c r="K55" s="4"/>
      <c r="L55" s="16"/>
      <c r="M55" s="4"/>
      <c r="N55" s="4"/>
      <c r="O55" s="4"/>
      <c r="P55" s="4"/>
      <c r="Q55" s="4"/>
      <c r="R55" s="4"/>
      <c r="S55" s="4">
        <v>0</v>
      </c>
      <c r="T55" s="4">
        <v>0</v>
      </c>
      <c r="U55" s="4">
        <v>4</v>
      </c>
      <c r="V55" s="4">
        <v>8</v>
      </c>
      <c r="W55" s="4">
        <v>12</v>
      </c>
      <c r="X55" s="4">
        <v>0</v>
      </c>
      <c r="Y55" s="4"/>
      <c r="Z55" s="4">
        <v>159</v>
      </c>
      <c r="AA55" s="4">
        <v>150</v>
      </c>
      <c r="AB55" s="18">
        <v>372</v>
      </c>
      <c r="AC55" s="18">
        <v>2</v>
      </c>
      <c r="AD55" s="28"/>
      <c r="AE55" s="26"/>
      <c r="AF55" s="28"/>
    </row>
    <row r="56" spans="1:32" ht="13.5" customHeight="1" x14ac:dyDescent="0.25">
      <c r="A56" s="14">
        <v>45664</v>
      </c>
      <c r="B56" s="14" t="s">
        <v>46</v>
      </c>
      <c r="C56" s="15">
        <v>6</v>
      </c>
      <c r="D56" s="16">
        <v>6</v>
      </c>
      <c r="E56" s="16"/>
      <c r="F56" s="17"/>
      <c r="G56" s="21"/>
      <c r="H56" s="21"/>
      <c r="I56" s="4">
        <v>6</v>
      </c>
      <c r="J56" s="4">
        <v>0.1</v>
      </c>
      <c r="K56" s="4"/>
      <c r="L56" s="16"/>
      <c r="M56" s="4"/>
      <c r="N56" s="4"/>
      <c r="O56" s="4"/>
      <c r="P56" s="4"/>
      <c r="Q56" s="4"/>
      <c r="R56" s="4"/>
      <c r="S56" s="4">
        <v>0</v>
      </c>
      <c r="T56" s="4">
        <v>0</v>
      </c>
      <c r="U56" s="4">
        <v>0.1</v>
      </c>
      <c r="V56" s="4">
        <v>11.9</v>
      </c>
      <c r="W56" s="4">
        <v>12</v>
      </c>
      <c r="X56" s="4">
        <v>40</v>
      </c>
      <c r="Y56" s="4"/>
      <c r="Z56" s="4">
        <v>609.4</v>
      </c>
      <c r="AA56" s="4">
        <v>600</v>
      </c>
      <c r="AB56" s="18"/>
      <c r="AC56" s="18">
        <v>2</v>
      </c>
      <c r="AD56" s="28"/>
      <c r="AE56" s="26"/>
      <c r="AF56" s="28"/>
    </row>
    <row r="57" spans="1:32" ht="13.5" customHeight="1" x14ac:dyDescent="0.25">
      <c r="A57" s="14">
        <v>45664</v>
      </c>
      <c r="B57" s="14" t="s">
        <v>47</v>
      </c>
      <c r="C57" s="15">
        <v>6</v>
      </c>
      <c r="D57" s="16">
        <v>15</v>
      </c>
      <c r="E57" s="16"/>
      <c r="F57" s="17"/>
      <c r="G57" s="21"/>
      <c r="H57" s="21"/>
      <c r="I57" s="4">
        <v>15</v>
      </c>
      <c r="J57" s="4">
        <v>0.25</v>
      </c>
      <c r="K57" s="4"/>
      <c r="L57" s="16"/>
      <c r="M57" s="4"/>
      <c r="N57" s="4"/>
      <c r="O57" s="4"/>
      <c r="P57" s="4"/>
      <c r="Q57" s="4"/>
      <c r="R57" s="4"/>
      <c r="S57" s="4">
        <v>0</v>
      </c>
      <c r="T57" s="4">
        <v>0</v>
      </c>
      <c r="U57" s="4">
        <v>0.25</v>
      </c>
      <c r="V57" s="4">
        <v>11.75</v>
      </c>
      <c r="W57" s="4">
        <v>12</v>
      </c>
      <c r="X57" s="4">
        <v>0</v>
      </c>
      <c r="Y57" s="4">
        <v>1740</v>
      </c>
      <c r="Z57" s="4">
        <v>551</v>
      </c>
      <c r="AA57" s="4">
        <v>550</v>
      </c>
      <c r="AB57" s="18"/>
      <c r="AC57" s="18">
        <v>2</v>
      </c>
      <c r="AD57" s="28"/>
      <c r="AE57" s="26"/>
      <c r="AF57" s="28"/>
    </row>
    <row r="58" spans="1:32" ht="13.5" customHeight="1" x14ac:dyDescent="0.25">
      <c r="A58" s="14">
        <v>45664</v>
      </c>
      <c r="B58" s="14" t="s">
        <v>46</v>
      </c>
      <c r="C58" s="15">
        <v>7</v>
      </c>
      <c r="D58" s="16">
        <v>15</v>
      </c>
      <c r="E58" s="16"/>
      <c r="F58" s="17"/>
      <c r="G58" s="21"/>
      <c r="H58" s="21"/>
      <c r="I58" s="4">
        <v>15</v>
      </c>
      <c r="J58" s="4">
        <v>0.25</v>
      </c>
      <c r="K58" s="4"/>
      <c r="L58" s="16">
        <v>10</v>
      </c>
      <c r="M58" s="4"/>
      <c r="N58" s="4">
        <v>20</v>
      </c>
      <c r="O58" s="4"/>
      <c r="P58" s="4"/>
      <c r="Q58" s="4"/>
      <c r="R58" s="4"/>
      <c r="S58" s="4">
        <v>30</v>
      </c>
      <c r="T58" s="4">
        <v>0.5</v>
      </c>
      <c r="U58" s="4">
        <v>0.75</v>
      </c>
      <c r="V58" s="4">
        <v>11.25</v>
      </c>
      <c r="W58" s="4">
        <v>12</v>
      </c>
      <c r="X58" s="4">
        <v>0</v>
      </c>
      <c r="Y58" s="4"/>
      <c r="Z58" s="4">
        <v>406.32</v>
      </c>
      <c r="AA58" s="4">
        <v>400</v>
      </c>
      <c r="AB58" s="18"/>
      <c r="AC58" s="18">
        <v>2</v>
      </c>
      <c r="AD58" s="28"/>
      <c r="AE58" s="26"/>
      <c r="AF58" s="28"/>
    </row>
    <row r="59" spans="1:32" ht="13.5" customHeight="1" x14ac:dyDescent="0.25">
      <c r="A59" s="14">
        <v>45664</v>
      </c>
      <c r="B59" s="14" t="s">
        <v>47</v>
      </c>
      <c r="C59" s="15">
        <v>7</v>
      </c>
      <c r="D59" s="16">
        <v>10</v>
      </c>
      <c r="E59" s="16"/>
      <c r="F59" s="17"/>
      <c r="G59" s="21"/>
      <c r="H59" s="21"/>
      <c r="I59" s="4">
        <v>10</v>
      </c>
      <c r="J59" s="4">
        <v>0.16666666666666666</v>
      </c>
      <c r="K59" s="4"/>
      <c r="L59" s="16"/>
      <c r="M59" s="4">
        <v>90</v>
      </c>
      <c r="N59" s="4"/>
      <c r="O59" s="4"/>
      <c r="P59" s="4"/>
      <c r="Q59" s="4"/>
      <c r="R59" s="4"/>
      <c r="S59" s="4">
        <v>90</v>
      </c>
      <c r="T59" s="4">
        <v>1.5</v>
      </c>
      <c r="U59" s="4">
        <v>1.6666666666666667</v>
      </c>
      <c r="V59" s="4">
        <v>10.333333333333334</v>
      </c>
      <c r="W59" s="4">
        <v>12</v>
      </c>
      <c r="X59" s="4">
        <v>0</v>
      </c>
      <c r="Y59" s="4"/>
      <c r="Z59" s="4">
        <v>528.92000000000007</v>
      </c>
      <c r="AA59" s="4">
        <v>500</v>
      </c>
      <c r="AB59" s="18"/>
      <c r="AC59" s="18">
        <v>2</v>
      </c>
      <c r="AD59" s="28"/>
      <c r="AE59" s="26"/>
      <c r="AF59" s="28"/>
    </row>
    <row r="60" spans="1:32" ht="13.5" customHeight="1" x14ac:dyDescent="0.25">
      <c r="A60" s="14">
        <v>45665</v>
      </c>
      <c r="B60" s="14" t="s">
        <v>46</v>
      </c>
      <c r="C60" s="15">
        <v>1</v>
      </c>
      <c r="D60" s="16">
        <v>5</v>
      </c>
      <c r="E60" s="16"/>
      <c r="F60" s="17"/>
      <c r="G60" s="21"/>
      <c r="H60" s="21"/>
      <c r="I60" s="4">
        <v>5</v>
      </c>
      <c r="J60" s="4">
        <v>8.3333333333333329E-2</v>
      </c>
      <c r="K60" s="4">
        <v>30</v>
      </c>
      <c r="L60" s="16"/>
      <c r="M60" s="4"/>
      <c r="N60" s="4"/>
      <c r="O60" s="4"/>
      <c r="P60" s="4"/>
      <c r="Q60" s="4"/>
      <c r="R60" s="4"/>
      <c r="S60" s="4">
        <v>30</v>
      </c>
      <c r="T60" s="4">
        <v>0.5</v>
      </c>
      <c r="U60" s="4">
        <v>0.58333333333333337</v>
      </c>
      <c r="V60" s="4">
        <v>11.416666666666666</v>
      </c>
      <c r="W60" s="4">
        <v>12</v>
      </c>
      <c r="X60" s="4">
        <v>13</v>
      </c>
      <c r="Y60" s="4"/>
      <c r="Z60" s="4">
        <v>140.79999999999998</v>
      </c>
      <c r="AA60" s="4">
        <v>150</v>
      </c>
      <c r="AB60" s="18"/>
      <c r="AC60" s="18">
        <v>2</v>
      </c>
      <c r="AD60" s="28"/>
      <c r="AE60" s="26"/>
      <c r="AF60" s="28"/>
    </row>
    <row r="61" spans="1:32" ht="13.5" customHeight="1" x14ac:dyDescent="0.25">
      <c r="A61" s="14">
        <v>45665</v>
      </c>
      <c r="B61" s="14" t="s">
        <v>47</v>
      </c>
      <c r="C61" s="15">
        <v>1</v>
      </c>
      <c r="D61" s="16"/>
      <c r="E61" s="16"/>
      <c r="F61" s="17"/>
      <c r="G61" s="21"/>
      <c r="H61" s="21"/>
      <c r="I61" s="4">
        <v>0</v>
      </c>
      <c r="J61" s="4">
        <v>0</v>
      </c>
      <c r="K61" s="4"/>
      <c r="L61" s="16"/>
      <c r="M61" s="4"/>
      <c r="N61" s="4"/>
      <c r="O61" s="4"/>
      <c r="P61" s="4"/>
      <c r="Q61" s="4"/>
      <c r="R61" s="4"/>
      <c r="S61" s="4">
        <v>0</v>
      </c>
      <c r="T61" s="4">
        <v>0</v>
      </c>
      <c r="U61" s="4">
        <v>0</v>
      </c>
      <c r="V61" s="4">
        <v>12</v>
      </c>
      <c r="W61" s="4">
        <v>12</v>
      </c>
      <c r="X61" s="4">
        <v>38</v>
      </c>
      <c r="Y61" s="4"/>
      <c r="Z61" s="4">
        <v>191.2</v>
      </c>
      <c r="AA61" s="4">
        <v>200</v>
      </c>
      <c r="AB61" s="18"/>
      <c r="AC61" s="18">
        <v>2</v>
      </c>
      <c r="AD61" s="28"/>
      <c r="AE61" s="26"/>
      <c r="AF61" s="28"/>
    </row>
    <row r="62" spans="1:32" ht="13.5" customHeight="1" x14ac:dyDescent="0.25">
      <c r="A62" s="14">
        <v>45665</v>
      </c>
      <c r="B62" s="14" t="s">
        <v>46</v>
      </c>
      <c r="C62" s="15">
        <v>3</v>
      </c>
      <c r="D62" s="16">
        <v>5</v>
      </c>
      <c r="E62" s="16"/>
      <c r="F62" s="17"/>
      <c r="G62" s="21"/>
      <c r="H62" s="21"/>
      <c r="I62" s="4">
        <v>5</v>
      </c>
      <c r="J62" s="4">
        <v>8.3333333333333329E-2</v>
      </c>
      <c r="K62" s="4">
        <v>30</v>
      </c>
      <c r="L62" s="16"/>
      <c r="M62" s="4"/>
      <c r="N62" s="4"/>
      <c r="O62" s="4"/>
      <c r="P62" s="4"/>
      <c r="Q62" s="4"/>
      <c r="R62" s="4"/>
      <c r="S62" s="4">
        <v>30</v>
      </c>
      <c r="T62" s="4">
        <v>0.5</v>
      </c>
      <c r="U62" s="4">
        <v>0.58333333333333337</v>
      </c>
      <c r="V62" s="4">
        <v>11.416666666666666</v>
      </c>
      <c r="W62" s="4">
        <v>12</v>
      </c>
      <c r="X62" s="4">
        <v>25</v>
      </c>
      <c r="Y62" s="4"/>
      <c r="Z62" s="4">
        <v>339.6</v>
      </c>
      <c r="AA62" s="4">
        <v>300</v>
      </c>
      <c r="AB62" s="18">
        <v>372</v>
      </c>
      <c r="AC62" s="18">
        <v>2</v>
      </c>
      <c r="AD62" s="28"/>
      <c r="AE62" s="26"/>
      <c r="AF62" s="28"/>
    </row>
    <row r="63" spans="1:32" ht="13.5" customHeight="1" x14ac:dyDescent="0.25">
      <c r="A63" s="14">
        <v>45665</v>
      </c>
      <c r="B63" s="14" t="s">
        <v>47</v>
      </c>
      <c r="C63" s="15">
        <v>3</v>
      </c>
      <c r="D63" s="16"/>
      <c r="E63" s="16"/>
      <c r="F63" s="17"/>
      <c r="G63" s="21"/>
      <c r="H63" s="21"/>
      <c r="I63" s="4">
        <v>0</v>
      </c>
      <c r="J63" s="4">
        <v>0</v>
      </c>
      <c r="K63" s="4"/>
      <c r="L63" s="16"/>
      <c r="M63" s="4"/>
      <c r="N63" s="4"/>
      <c r="O63" s="4"/>
      <c r="P63" s="4"/>
      <c r="Q63" s="4">
        <v>60</v>
      </c>
      <c r="R63" s="4"/>
      <c r="S63" s="4">
        <v>60</v>
      </c>
      <c r="T63" s="4">
        <v>1</v>
      </c>
      <c r="U63" s="4">
        <v>1</v>
      </c>
      <c r="V63" s="4">
        <v>11</v>
      </c>
      <c r="W63" s="4">
        <v>12</v>
      </c>
      <c r="X63" s="4">
        <v>0</v>
      </c>
      <c r="Y63" s="4"/>
      <c r="Z63" s="4">
        <v>279.8</v>
      </c>
      <c r="AA63" s="4">
        <v>300</v>
      </c>
      <c r="AB63" s="18"/>
      <c r="AC63" s="18">
        <v>2</v>
      </c>
      <c r="AD63" s="28"/>
      <c r="AE63" s="26"/>
      <c r="AF63" s="28"/>
    </row>
    <row r="64" spans="1:32" ht="13.5" customHeight="1" x14ac:dyDescent="0.25">
      <c r="A64" s="14">
        <v>45665</v>
      </c>
      <c r="B64" s="14" t="s">
        <v>46</v>
      </c>
      <c r="C64" s="15">
        <v>6</v>
      </c>
      <c r="D64" s="16">
        <v>5</v>
      </c>
      <c r="E64" s="16"/>
      <c r="F64" s="17"/>
      <c r="G64" s="21"/>
      <c r="H64" s="21"/>
      <c r="I64" s="4">
        <v>5</v>
      </c>
      <c r="J64" s="4">
        <v>8.3333333333333329E-2</v>
      </c>
      <c r="K64" s="4">
        <v>30</v>
      </c>
      <c r="L64" s="16">
        <v>150</v>
      </c>
      <c r="M64" s="4"/>
      <c r="N64" s="4"/>
      <c r="O64" s="4"/>
      <c r="P64" s="4"/>
      <c r="Q64" s="4"/>
      <c r="R64" s="4"/>
      <c r="S64" s="4">
        <v>180</v>
      </c>
      <c r="T64" s="4">
        <v>3</v>
      </c>
      <c r="U64" s="4">
        <v>3.0833333333333335</v>
      </c>
      <c r="V64" s="4">
        <v>8.9166666666666661</v>
      </c>
      <c r="W64" s="4">
        <v>12</v>
      </c>
      <c r="X64" s="4">
        <v>34</v>
      </c>
      <c r="Y64" s="4"/>
      <c r="Z64" s="4">
        <v>448.85</v>
      </c>
      <c r="AA64" s="4">
        <v>400</v>
      </c>
      <c r="AB64" s="18"/>
      <c r="AC64" s="18">
        <v>2</v>
      </c>
      <c r="AD64" s="28"/>
      <c r="AE64" s="26"/>
      <c r="AF64" s="28"/>
    </row>
    <row r="65" spans="1:32" ht="13.5" customHeight="1" x14ac:dyDescent="0.25">
      <c r="A65" s="14">
        <v>45665</v>
      </c>
      <c r="B65" s="14" t="s">
        <v>47</v>
      </c>
      <c r="C65" s="15">
        <v>6</v>
      </c>
      <c r="D65" s="16">
        <v>10</v>
      </c>
      <c r="E65" s="16"/>
      <c r="F65" s="17"/>
      <c r="G65" s="21"/>
      <c r="H65" s="21"/>
      <c r="I65" s="4">
        <v>10</v>
      </c>
      <c r="J65" s="4">
        <v>0.16666666666666666</v>
      </c>
      <c r="K65" s="4"/>
      <c r="L65" s="16"/>
      <c r="M65" s="4"/>
      <c r="N65" s="4"/>
      <c r="O65" s="4"/>
      <c r="P65" s="4"/>
      <c r="Q65" s="4"/>
      <c r="R65" s="4"/>
      <c r="S65" s="4">
        <v>0</v>
      </c>
      <c r="T65" s="4">
        <v>0</v>
      </c>
      <c r="U65" s="4">
        <v>0.16666666666666666</v>
      </c>
      <c r="V65" s="4">
        <v>11.833333333333334</v>
      </c>
      <c r="W65" s="4">
        <v>12</v>
      </c>
      <c r="X65" s="4">
        <v>0</v>
      </c>
      <c r="Y65" s="4">
        <v>1866</v>
      </c>
      <c r="Z65" s="4">
        <v>663</v>
      </c>
      <c r="AA65" s="4">
        <v>650</v>
      </c>
      <c r="AB65" s="18"/>
      <c r="AC65" s="18">
        <v>2</v>
      </c>
      <c r="AD65" s="28"/>
      <c r="AE65" s="26"/>
      <c r="AF65" s="28"/>
    </row>
    <row r="66" spans="1:32" ht="13.5" customHeight="1" x14ac:dyDescent="0.25">
      <c r="A66" s="14">
        <v>45665</v>
      </c>
      <c r="B66" s="14" t="s">
        <v>46</v>
      </c>
      <c r="C66" s="15">
        <v>7</v>
      </c>
      <c r="D66" s="16">
        <v>15</v>
      </c>
      <c r="E66" s="16"/>
      <c r="F66" s="17"/>
      <c r="G66" s="21"/>
      <c r="H66" s="21"/>
      <c r="I66" s="4">
        <v>15</v>
      </c>
      <c r="J66" s="4">
        <v>0.25</v>
      </c>
      <c r="K66" s="4">
        <v>30</v>
      </c>
      <c r="L66" s="16"/>
      <c r="M66" s="4"/>
      <c r="N66" s="4"/>
      <c r="O66" s="4">
        <v>40</v>
      </c>
      <c r="P66" s="4"/>
      <c r="Q66" s="4"/>
      <c r="R66" s="4"/>
      <c r="S66" s="4">
        <v>70</v>
      </c>
      <c r="T66" s="4">
        <v>1.1666666666666667</v>
      </c>
      <c r="U66" s="4">
        <v>1.4166666666666667</v>
      </c>
      <c r="V66" s="4">
        <v>10.583333333333334</v>
      </c>
      <c r="W66" s="4">
        <v>12</v>
      </c>
      <c r="X66" s="4">
        <v>18</v>
      </c>
      <c r="Y66" s="4"/>
      <c r="Z66" s="4">
        <v>445.68</v>
      </c>
      <c r="AA66" s="4">
        <v>400</v>
      </c>
      <c r="AB66" s="18"/>
      <c r="AC66" s="18">
        <v>2</v>
      </c>
      <c r="AD66" s="28"/>
      <c r="AE66" s="26"/>
      <c r="AF66" s="28"/>
    </row>
    <row r="67" spans="1:32" ht="13.5" customHeight="1" x14ac:dyDescent="0.25">
      <c r="A67" s="14">
        <v>45665</v>
      </c>
      <c r="B67" s="14" t="s">
        <v>47</v>
      </c>
      <c r="C67" s="15">
        <v>7</v>
      </c>
      <c r="D67" s="16">
        <v>5</v>
      </c>
      <c r="E67" s="16"/>
      <c r="F67" s="17"/>
      <c r="G67" s="21"/>
      <c r="H67" s="21"/>
      <c r="I67" s="4">
        <v>5</v>
      </c>
      <c r="J67" s="4">
        <v>8.3333333333333329E-2</v>
      </c>
      <c r="K67" s="4"/>
      <c r="L67" s="16"/>
      <c r="M67" s="4"/>
      <c r="N67" s="4"/>
      <c r="O67" s="4"/>
      <c r="P67" s="4"/>
      <c r="Q67" s="4"/>
      <c r="R67" s="4"/>
      <c r="S67" s="4">
        <v>0</v>
      </c>
      <c r="T67" s="4">
        <v>0</v>
      </c>
      <c r="U67" s="4">
        <v>8.3333333333333329E-2</v>
      </c>
      <c r="V67" s="4">
        <v>11.916666666666666</v>
      </c>
      <c r="W67" s="4">
        <v>12</v>
      </c>
      <c r="X67" s="4">
        <v>0</v>
      </c>
      <c r="Y67" s="4"/>
      <c r="Z67" s="4">
        <v>489.72</v>
      </c>
      <c r="AA67" s="4">
        <v>500</v>
      </c>
      <c r="AB67" s="18"/>
      <c r="AC67" s="18">
        <v>2</v>
      </c>
      <c r="AD67" s="28"/>
      <c r="AE67" s="26"/>
      <c r="AF67" s="28"/>
    </row>
    <row r="68" spans="1:32" ht="13.5" customHeight="1" x14ac:dyDescent="0.25">
      <c r="A68" s="14">
        <v>45666</v>
      </c>
      <c r="B68" s="14" t="s">
        <v>46</v>
      </c>
      <c r="C68" s="15">
        <v>1</v>
      </c>
      <c r="D68" s="16">
        <v>10</v>
      </c>
      <c r="E68" s="16"/>
      <c r="F68" s="17"/>
      <c r="G68" s="21"/>
      <c r="H68" s="21"/>
      <c r="I68" s="4">
        <v>10</v>
      </c>
      <c r="J68" s="4">
        <v>0.16666666666666666</v>
      </c>
      <c r="K68" s="4"/>
      <c r="L68" s="16"/>
      <c r="M68" s="4"/>
      <c r="N68" s="4"/>
      <c r="O68" s="4"/>
      <c r="P68" s="4"/>
      <c r="Q68" s="4"/>
      <c r="R68" s="4"/>
      <c r="S68" s="4">
        <v>0</v>
      </c>
      <c r="T68" s="4">
        <v>0</v>
      </c>
      <c r="U68" s="4">
        <v>0.16666666666666666</v>
      </c>
      <c r="V68" s="4">
        <v>11.833333333333334</v>
      </c>
      <c r="W68" s="4">
        <v>12</v>
      </c>
      <c r="X68" s="4">
        <v>0.8</v>
      </c>
      <c r="Y68" s="4"/>
      <c r="Z68" s="4">
        <v>136.15</v>
      </c>
      <c r="AA68" s="4">
        <v>100</v>
      </c>
      <c r="AB68" s="18"/>
      <c r="AC68" s="18">
        <v>2</v>
      </c>
      <c r="AD68" s="28"/>
      <c r="AE68" s="26"/>
      <c r="AF68" s="28"/>
    </row>
    <row r="69" spans="1:32" ht="13.5" customHeight="1" x14ac:dyDescent="0.25">
      <c r="A69" s="14">
        <v>45666</v>
      </c>
      <c r="B69" s="14" t="s">
        <v>47</v>
      </c>
      <c r="C69" s="15">
        <v>1</v>
      </c>
      <c r="D69" s="16"/>
      <c r="E69" s="16"/>
      <c r="F69" s="17"/>
      <c r="G69" s="21"/>
      <c r="H69" s="21"/>
      <c r="I69" s="4">
        <v>0</v>
      </c>
      <c r="J69" s="4">
        <v>0</v>
      </c>
      <c r="K69" s="4">
        <v>30</v>
      </c>
      <c r="L69" s="16"/>
      <c r="M69" s="4"/>
      <c r="N69" s="4"/>
      <c r="O69" s="4"/>
      <c r="P69" s="4"/>
      <c r="Q69" s="4"/>
      <c r="R69" s="4"/>
      <c r="S69" s="4">
        <v>30</v>
      </c>
      <c r="T69" s="4">
        <v>0.5</v>
      </c>
      <c r="U69" s="4">
        <v>0.5</v>
      </c>
      <c r="V69" s="4">
        <v>11.5</v>
      </c>
      <c r="W69" s="4">
        <v>12</v>
      </c>
      <c r="X69" s="4">
        <v>6</v>
      </c>
      <c r="Y69" s="4"/>
      <c r="Z69" s="4">
        <v>158</v>
      </c>
      <c r="AA69" s="4">
        <v>150</v>
      </c>
      <c r="AB69" s="18"/>
      <c r="AC69" s="18">
        <v>2</v>
      </c>
      <c r="AD69" s="28"/>
      <c r="AE69" s="26"/>
      <c r="AF69" s="28"/>
    </row>
    <row r="70" spans="1:32" ht="13.5" customHeight="1" x14ac:dyDescent="0.25">
      <c r="A70" s="14">
        <v>45666</v>
      </c>
      <c r="B70" s="14" t="s">
        <v>46</v>
      </c>
      <c r="C70" s="15">
        <v>3</v>
      </c>
      <c r="D70" s="16">
        <v>1</v>
      </c>
      <c r="E70" s="16"/>
      <c r="F70" s="17"/>
      <c r="G70" s="21"/>
      <c r="H70" s="21"/>
      <c r="I70" s="4">
        <v>1</v>
      </c>
      <c r="J70" s="4">
        <v>1.6666666666666666E-2</v>
      </c>
      <c r="K70" s="4"/>
      <c r="L70" s="16"/>
      <c r="M70" s="4"/>
      <c r="N70" s="4"/>
      <c r="O70" s="4"/>
      <c r="P70" s="4"/>
      <c r="Q70" s="4"/>
      <c r="R70" s="4"/>
      <c r="S70" s="4">
        <v>0</v>
      </c>
      <c r="T70" s="4">
        <v>0</v>
      </c>
      <c r="U70" s="4">
        <v>1.6666666666666666E-2</v>
      </c>
      <c r="V70" s="4">
        <v>11.983333333333333</v>
      </c>
      <c r="W70" s="4">
        <v>12</v>
      </c>
      <c r="X70" s="4">
        <v>3</v>
      </c>
      <c r="Y70" s="4"/>
      <c r="Z70" s="4">
        <v>410</v>
      </c>
      <c r="AA70" s="4">
        <v>400</v>
      </c>
      <c r="AB70" s="18"/>
      <c r="AC70" s="18">
        <v>2</v>
      </c>
      <c r="AD70" s="28"/>
      <c r="AE70" s="26"/>
      <c r="AF70" s="28"/>
    </row>
    <row r="71" spans="1:32" ht="13.5" customHeight="1" x14ac:dyDescent="0.25">
      <c r="A71" s="14">
        <v>45666</v>
      </c>
      <c r="B71" s="14" t="s">
        <v>47</v>
      </c>
      <c r="C71" s="15">
        <v>3</v>
      </c>
      <c r="D71" s="16">
        <v>15</v>
      </c>
      <c r="E71" s="16"/>
      <c r="F71" s="17"/>
      <c r="G71" s="21"/>
      <c r="H71" s="21"/>
      <c r="I71" s="4">
        <v>15</v>
      </c>
      <c r="J71" s="4">
        <v>0.25</v>
      </c>
      <c r="K71" s="4">
        <v>30</v>
      </c>
      <c r="L71" s="16"/>
      <c r="M71" s="4"/>
      <c r="N71" s="4"/>
      <c r="O71" s="4"/>
      <c r="P71" s="4"/>
      <c r="Q71" s="4"/>
      <c r="R71" s="4"/>
      <c r="S71" s="4">
        <v>30</v>
      </c>
      <c r="T71" s="4">
        <v>0.5</v>
      </c>
      <c r="U71" s="4">
        <v>0.75</v>
      </c>
      <c r="V71" s="4">
        <v>11.25</v>
      </c>
      <c r="W71" s="4">
        <v>12</v>
      </c>
      <c r="X71" s="4">
        <v>6</v>
      </c>
      <c r="Y71" s="4"/>
      <c r="Z71" s="4">
        <v>290.8</v>
      </c>
      <c r="AA71" s="4">
        <v>300</v>
      </c>
      <c r="AB71" s="18">
        <v>372</v>
      </c>
      <c r="AC71" s="18">
        <v>2</v>
      </c>
      <c r="AD71" s="28"/>
      <c r="AE71" s="26"/>
      <c r="AF71" s="28"/>
    </row>
    <row r="72" spans="1:32" ht="13.5" customHeight="1" x14ac:dyDescent="0.25">
      <c r="A72" s="14">
        <v>45666</v>
      </c>
      <c r="B72" s="14" t="s">
        <v>46</v>
      </c>
      <c r="C72" s="15">
        <v>6</v>
      </c>
      <c r="D72" s="16">
        <v>5</v>
      </c>
      <c r="E72" s="16"/>
      <c r="F72" s="17"/>
      <c r="G72" s="21"/>
      <c r="H72" s="21"/>
      <c r="I72" s="4">
        <v>5</v>
      </c>
      <c r="J72" s="4">
        <v>8.3333333333333329E-2</v>
      </c>
      <c r="K72" s="4"/>
      <c r="L72" s="16"/>
      <c r="M72" s="4"/>
      <c r="N72" s="4">
        <v>15</v>
      </c>
      <c r="O72" s="4"/>
      <c r="P72" s="4"/>
      <c r="Q72" s="4"/>
      <c r="R72" s="4"/>
      <c r="S72" s="4">
        <v>15</v>
      </c>
      <c r="T72" s="4">
        <v>0.25</v>
      </c>
      <c r="U72" s="4">
        <v>0.33333333333333331</v>
      </c>
      <c r="V72" s="4">
        <v>11.666666666666666</v>
      </c>
      <c r="W72" s="4">
        <v>12</v>
      </c>
      <c r="X72" s="4">
        <v>24</v>
      </c>
      <c r="Y72" s="4">
        <v>1910</v>
      </c>
      <c r="Z72" s="4">
        <v>563.48</v>
      </c>
      <c r="AA72" s="4">
        <v>550</v>
      </c>
      <c r="AB72" s="18"/>
      <c r="AC72" s="18">
        <v>2</v>
      </c>
      <c r="AD72" s="28"/>
      <c r="AE72" s="26"/>
      <c r="AF72" s="28"/>
    </row>
    <row r="73" spans="1:32" ht="13.5" customHeight="1" x14ac:dyDescent="0.25">
      <c r="A73" s="14">
        <v>45666</v>
      </c>
      <c r="B73" s="14" t="s">
        <v>47</v>
      </c>
      <c r="C73" s="15">
        <v>6</v>
      </c>
      <c r="D73" s="16"/>
      <c r="E73" s="16"/>
      <c r="F73" s="17"/>
      <c r="G73" s="21"/>
      <c r="H73" s="21"/>
      <c r="I73" s="4">
        <v>0</v>
      </c>
      <c r="J73" s="4">
        <v>0</v>
      </c>
      <c r="K73" s="4">
        <v>30</v>
      </c>
      <c r="L73" s="16"/>
      <c r="M73" s="4"/>
      <c r="N73" s="4"/>
      <c r="O73" s="4"/>
      <c r="P73" s="4"/>
      <c r="Q73" s="4"/>
      <c r="R73" s="4"/>
      <c r="S73" s="4">
        <v>30</v>
      </c>
      <c r="T73" s="4">
        <v>0.5</v>
      </c>
      <c r="U73" s="4">
        <v>0.5</v>
      </c>
      <c r="V73" s="4">
        <v>11.5</v>
      </c>
      <c r="W73" s="4">
        <v>12</v>
      </c>
      <c r="X73" s="4">
        <v>15.4</v>
      </c>
      <c r="Y73" s="4"/>
      <c r="Z73" s="4">
        <v>545.4</v>
      </c>
      <c r="AA73" s="4">
        <v>550</v>
      </c>
      <c r="AB73" s="18"/>
      <c r="AC73" s="18">
        <v>2</v>
      </c>
      <c r="AD73" s="28"/>
      <c r="AE73" s="26"/>
      <c r="AF73" s="28"/>
    </row>
    <row r="74" spans="1:32" ht="13.5" customHeight="1" x14ac:dyDescent="0.25">
      <c r="A74" s="14">
        <v>45666</v>
      </c>
      <c r="B74" s="14" t="s">
        <v>46</v>
      </c>
      <c r="C74" s="15">
        <v>7</v>
      </c>
      <c r="D74" s="16">
        <v>2</v>
      </c>
      <c r="E74" s="16"/>
      <c r="F74" s="17"/>
      <c r="G74" s="21"/>
      <c r="H74" s="21"/>
      <c r="I74" s="4">
        <v>2</v>
      </c>
      <c r="J74" s="4">
        <v>3.3333333333333333E-2</v>
      </c>
      <c r="K74" s="4"/>
      <c r="L74" s="16"/>
      <c r="M74" s="4"/>
      <c r="N74" s="4"/>
      <c r="O74" s="4"/>
      <c r="P74" s="4"/>
      <c r="Q74" s="4"/>
      <c r="R74" s="4"/>
      <c r="S74" s="4">
        <v>0</v>
      </c>
      <c r="T74" s="4">
        <v>0</v>
      </c>
      <c r="U74" s="4">
        <v>3.3333333333333333E-2</v>
      </c>
      <c r="V74" s="4">
        <v>11.966666666666667</v>
      </c>
      <c r="W74" s="4">
        <v>12</v>
      </c>
      <c r="X74" s="4">
        <v>8</v>
      </c>
      <c r="Y74" s="4"/>
      <c r="Z74" s="4">
        <v>415.14</v>
      </c>
      <c r="AA74" s="4">
        <v>400</v>
      </c>
      <c r="AB74" s="18"/>
      <c r="AC74" s="18">
        <v>2</v>
      </c>
      <c r="AD74" s="28"/>
      <c r="AE74" s="26"/>
      <c r="AF74" s="28"/>
    </row>
    <row r="75" spans="1:32" ht="13.5" customHeight="1" x14ac:dyDescent="0.25">
      <c r="A75" s="14">
        <v>45666</v>
      </c>
      <c r="B75" s="14" t="s">
        <v>47</v>
      </c>
      <c r="C75" s="15">
        <v>7</v>
      </c>
      <c r="D75" s="16">
        <v>5</v>
      </c>
      <c r="E75" s="16"/>
      <c r="F75" s="17"/>
      <c r="G75" s="21"/>
      <c r="H75" s="21"/>
      <c r="I75" s="4">
        <v>5</v>
      </c>
      <c r="J75" s="4">
        <v>8.3333333333333329E-2</v>
      </c>
      <c r="K75" s="4">
        <v>30</v>
      </c>
      <c r="L75" s="16"/>
      <c r="M75" s="4"/>
      <c r="N75" s="4"/>
      <c r="O75" s="4"/>
      <c r="P75" s="4"/>
      <c r="Q75" s="4"/>
      <c r="R75" s="4"/>
      <c r="S75" s="4">
        <v>30</v>
      </c>
      <c r="T75" s="4">
        <v>0.5</v>
      </c>
      <c r="U75" s="4">
        <v>0.58333333333333337</v>
      </c>
      <c r="V75" s="4">
        <v>11.416666666666666</v>
      </c>
      <c r="W75" s="4">
        <v>12</v>
      </c>
      <c r="X75" s="4">
        <v>8</v>
      </c>
      <c r="Y75" s="4"/>
      <c r="Z75" s="4">
        <v>508.2</v>
      </c>
      <c r="AA75" s="4">
        <v>500</v>
      </c>
      <c r="AB75" s="18"/>
      <c r="AC75" s="18">
        <v>2</v>
      </c>
      <c r="AD75" s="28"/>
      <c r="AE75" s="26"/>
      <c r="AF75" s="28"/>
    </row>
    <row r="76" spans="1:32" ht="13.5" customHeight="1" x14ac:dyDescent="0.25">
      <c r="A76" s="14">
        <v>45667</v>
      </c>
      <c r="B76" s="14" t="s">
        <v>46</v>
      </c>
      <c r="C76" s="15">
        <v>1</v>
      </c>
      <c r="D76" s="16"/>
      <c r="E76" s="16"/>
      <c r="F76" s="17"/>
      <c r="G76" s="21"/>
      <c r="H76" s="21"/>
      <c r="I76" s="4">
        <v>0</v>
      </c>
      <c r="J76" s="4">
        <v>0</v>
      </c>
      <c r="K76" s="4"/>
      <c r="L76" s="16"/>
      <c r="M76" s="4"/>
      <c r="N76" s="4"/>
      <c r="O76" s="4"/>
      <c r="P76" s="4">
        <v>10</v>
      </c>
      <c r="Q76" s="4"/>
      <c r="R76" s="4"/>
      <c r="S76" s="4">
        <v>10</v>
      </c>
      <c r="T76" s="4">
        <v>0.16666666666666666</v>
      </c>
      <c r="U76" s="4">
        <v>0.16666666666666666</v>
      </c>
      <c r="V76" s="4">
        <v>11.833333333333334</v>
      </c>
      <c r="W76" s="4">
        <v>12</v>
      </c>
      <c r="X76" s="4">
        <v>10</v>
      </c>
      <c r="Y76" s="4">
        <v>1856</v>
      </c>
      <c r="Z76" s="4">
        <v>42.160000000000004</v>
      </c>
      <c r="AA76" s="4">
        <v>50</v>
      </c>
      <c r="AB76" s="18">
        <v>372</v>
      </c>
      <c r="AC76" s="18">
        <v>2</v>
      </c>
      <c r="AD76" s="28"/>
      <c r="AE76" s="26"/>
      <c r="AF76" s="28"/>
    </row>
    <row r="77" spans="1:32" ht="13.5" customHeight="1" x14ac:dyDescent="0.25">
      <c r="A77" s="14">
        <v>45667</v>
      </c>
      <c r="B77" s="14" t="s">
        <v>47</v>
      </c>
      <c r="C77" s="15">
        <v>1</v>
      </c>
      <c r="D77" s="16"/>
      <c r="E77" s="16"/>
      <c r="F77" s="17"/>
      <c r="G77" s="21"/>
      <c r="H77" s="21"/>
      <c r="I77" s="4">
        <v>0</v>
      </c>
      <c r="J77" s="4">
        <v>0</v>
      </c>
      <c r="K77" s="4"/>
      <c r="L77" s="16"/>
      <c r="M77" s="4"/>
      <c r="N77" s="4"/>
      <c r="O77" s="4"/>
      <c r="P77" s="4"/>
      <c r="Q77" s="4"/>
      <c r="R77" s="4"/>
      <c r="S77" s="4">
        <v>0</v>
      </c>
      <c r="T77" s="4">
        <v>0</v>
      </c>
      <c r="U77" s="4">
        <v>0</v>
      </c>
      <c r="V77" s="4">
        <v>12</v>
      </c>
      <c r="W77" s="4">
        <v>12</v>
      </c>
      <c r="X77" s="4">
        <v>0</v>
      </c>
      <c r="Y77" s="4"/>
      <c r="Z77" s="4">
        <v>67.8</v>
      </c>
      <c r="AA77" s="4">
        <v>50</v>
      </c>
      <c r="AB77" s="18"/>
      <c r="AC77" s="18">
        <v>2</v>
      </c>
      <c r="AD77" s="28"/>
      <c r="AE77" s="26"/>
      <c r="AF77" s="28"/>
    </row>
    <row r="78" spans="1:32" ht="13.5" customHeight="1" x14ac:dyDescent="0.25">
      <c r="A78" s="14">
        <v>45667</v>
      </c>
      <c r="B78" s="14" t="s">
        <v>46</v>
      </c>
      <c r="C78" s="15">
        <v>3</v>
      </c>
      <c r="D78" s="16">
        <v>20</v>
      </c>
      <c r="E78" s="16"/>
      <c r="F78" s="17"/>
      <c r="G78" s="21"/>
      <c r="H78" s="21"/>
      <c r="I78" s="4">
        <v>20</v>
      </c>
      <c r="J78" s="4">
        <v>0.33333333333333331</v>
      </c>
      <c r="K78" s="4"/>
      <c r="L78" s="16"/>
      <c r="M78" s="4"/>
      <c r="N78" s="4"/>
      <c r="O78" s="4"/>
      <c r="P78" s="4"/>
      <c r="Q78" s="4"/>
      <c r="R78" s="4"/>
      <c r="S78" s="4">
        <v>0</v>
      </c>
      <c r="T78" s="4">
        <v>0</v>
      </c>
      <c r="U78" s="4">
        <v>0.33333333333333331</v>
      </c>
      <c r="V78" s="4">
        <v>11.666666666666666</v>
      </c>
      <c r="W78" s="4">
        <v>12</v>
      </c>
      <c r="X78" s="4">
        <v>5.5</v>
      </c>
      <c r="Y78" s="4"/>
      <c r="Z78" s="4">
        <v>289</v>
      </c>
      <c r="AA78" s="4">
        <v>300</v>
      </c>
      <c r="AB78" s="18"/>
      <c r="AC78" s="18">
        <v>2</v>
      </c>
      <c r="AD78" s="28"/>
      <c r="AE78" s="26"/>
      <c r="AF78" s="28"/>
    </row>
    <row r="79" spans="1:32" ht="13.5" customHeight="1" x14ac:dyDescent="0.25">
      <c r="A79" s="14">
        <v>45667</v>
      </c>
      <c r="B79" s="14" t="s">
        <v>47</v>
      </c>
      <c r="C79" s="15">
        <v>3</v>
      </c>
      <c r="D79" s="16">
        <v>15</v>
      </c>
      <c r="E79" s="16"/>
      <c r="F79" s="17"/>
      <c r="G79" s="21"/>
      <c r="H79" s="21"/>
      <c r="I79" s="4">
        <v>15</v>
      </c>
      <c r="J79" s="4">
        <v>0.25</v>
      </c>
      <c r="K79" s="4"/>
      <c r="L79" s="16"/>
      <c r="M79" s="4"/>
      <c r="N79" s="4"/>
      <c r="O79" s="4"/>
      <c r="P79" s="4"/>
      <c r="Q79" s="4"/>
      <c r="R79" s="4"/>
      <c r="S79" s="4">
        <v>0</v>
      </c>
      <c r="T79" s="4">
        <v>0</v>
      </c>
      <c r="U79" s="4">
        <v>0.25</v>
      </c>
      <c r="V79" s="4">
        <v>11.75</v>
      </c>
      <c r="W79" s="4">
        <v>12</v>
      </c>
      <c r="X79" s="4">
        <v>26</v>
      </c>
      <c r="Y79" s="4"/>
      <c r="Z79" s="4">
        <v>409.90000000000003</v>
      </c>
      <c r="AA79" s="4">
        <v>400</v>
      </c>
      <c r="AB79" s="18"/>
      <c r="AC79" s="18">
        <v>2</v>
      </c>
      <c r="AD79" s="28"/>
      <c r="AE79" s="26"/>
      <c r="AF79" s="28"/>
    </row>
    <row r="80" spans="1:32" ht="13.5" customHeight="1" x14ac:dyDescent="0.25">
      <c r="A80" s="14">
        <v>45667</v>
      </c>
      <c r="B80" s="14" t="s">
        <v>46</v>
      </c>
      <c r="C80" s="15">
        <v>6</v>
      </c>
      <c r="D80" s="16"/>
      <c r="E80" s="16"/>
      <c r="F80" s="17"/>
      <c r="G80" s="21"/>
      <c r="H80" s="21"/>
      <c r="I80" s="4">
        <v>0</v>
      </c>
      <c r="J80" s="4">
        <v>0</v>
      </c>
      <c r="K80" s="4"/>
      <c r="L80" s="16">
        <v>30</v>
      </c>
      <c r="M80" s="4"/>
      <c r="N80" s="4"/>
      <c r="O80" s="4"/>
      <c r="P80" s="4"/>
      <c r="Q80" s="4"/>
      <c r="R80" s="4"/>
      <c r="S80" s="4">
        <v>30</v>
      </c>
      <c r="T80" s="4">
        <v>0.5</v>
      </c>
      <c r="U80" s="4">
        <v>0.5</v>
      </c>
      <c r="V80" s="4">
        <v>11.5</v>
      </c>
      <c r="W80" s="4">
        <v>12</v>
      </c>
      <c r="X80" s="4">
        <v>0</v>
      </c>
      <c r="Y80" s="4"/>
      <c r="Z80" s="4">
        <v>434.80000000000007</v>
      </c>
      <c r="AA80" s="4">
        <v>400</v>
      </c>
      <c r="AB80" s="18"/>
      <c r="AC80" s="18">
        <v>2</v>
      </c>
      <c r="AD80" s="28"/>
      <c r="AE80" s="26"/>
      <c r="AF80" s="28"/>
    </row>
    <row r="81" spans="1:32" ht="13.5" customHeight="1" x14ac:dyDescent="0.25">
      <c r="A81" s="14">
        <v>45667</v>
      </c>
      <c r="B81" s="14" t="s">
        <v>47</v>
      </c>
      <c r="C81" s="15">
        <v>6</v>
      </c>
      <c r="D81" s="16"/>
      <c r="E81" s="16"/>
      <c r="F81" s="17"/>
      <c r="G81" s="21"/>
      <c r="H81" s="21"/>
      <c r="I81" s="4">
        <v>0</v>
      </c>
      <c r="J81" s="4">
        <v>0</v>
      </c>
      <c r="K81" s="4"/>
      <c r="L81" s="16"/>
      <c r="M81" s="4"/>
      <c r="N81" s="4"/>
      <c r="O81" s="4"/>
      <c r="P81" s="4"/>
      <c r="Q81" s="4"/>
      <c r="R81" s="4"/>
      <c r="S81" s="4">
        <v>0</v>
      </c>
      <c r="T81" s="4">
        <v>0</v>
      </c>
      <c r="U81" s="4">
        <v>0</v>
      </c>
      <c r="V81" s="4">
        <v>12</v>
      </c>
      <c r="W81" s="4">
        <v>12</v>
      </c>
      <c r="X81" s="4">
        <v>0</v>
      </c>
      <c r="Y81" s="4"/>
      <c r="Z81" s="4">
        <v>523</v>
      </c>
      <c r="AA81" s="4">
        <v>500</v>
      </c>
      <c r="AB81" s="18"/>
      <c r="AC81" s="18">
        <v>2</v>
      </c>
      <c r="AD81" s="28"/>
      <c r="AE81" s="26"/>
      <c r="AF81" s="28"/>
    </row>
    <row r="82" spans="1:32" ht="13.5" customHeight="1" x14ac:dyDescent="0.25">
      <c r="A82" s="14">
        <v>45667</v>
      </c>
      <c r="B82" s="14" t="s">
        <v>46</v>
      </c>
      <c r="C82" s="15">
        <v>7</v>
      </c>
      <c r="D82" s="16">
        <v>20</v>
      </c>
      <c r="E82" s="16"/>
      <c r="F82" s="17"/>
      <c r="G82" s="21"/>
      <c r="H82" s="21"/>
      <c r="I82" s="4">
        <v>20</v>
      </c>
      <c r="J82" s="4">
        <v>0.33333333333333331</v>
      </c>
      <c r="K82" s="4"/>
      <c r="L82" s="16"/>
      <c r="M82" s="4"/>
      <c r="N82" s="4"/>
      <c r="O82" s="4"/>
      <c r="P82" s="4"/>
      <c r="Q82" s="4"/>
      <c r="R82" s="4"/>
      <c r="S82" s="4">
        <v>0</v>
      </c>
      <c r="T82" s="4">
        <v>0</v>
      </c>
      <c r="U82" s="4">
        <v>0.33333333333333331</v>
      </c>
      <c r="V82" s="4">
        <v>11.666666666666666</v>
      </c>
      <c r="W82" s="4">
        <v>12</v>
      </c>
      <c r="X82" s="4">
        <v>39</v>
      </c>
      <c r="Y82" s="4"/>
      <c r="Z82" s="4">
        <v>459.71</v>
      </c>
      <c r="AA82" s="4">
        <v>450</v>
      </c>
      <c r="AB82" s="18"/>
      <c r="AC82" s="18">
        <v>2</v>
      </c>
      <c r="AD82" s="28"/>
      <c r="AE82" s="26"/>
      <c r="AF82" s="28"/>
    </row>
    <row r="83" spans="1:32" ht="13.5" customHeight="1" x14ac:dyDescent="0.25">
      <c r="A83" s="14">
        <v>45667</v>
      </c>
      <c r="B83" s="14" t="s">
        <v>47</v>
      </c>
      <c r="C83" s="15">
        <v>7</v>
      </c>
      <c r="D83" s="16"/>
      <c r="E83" s="16"/>
      <c r="F83" s="17"/>
      <c r="G83" s="21"/>
      <c r="H83" s="21"/>
      <c r="I83" s="4">
        <v>0</v>
      </c>
      <c r="J83" s="4">
        <v>0</v>
      </c>
      <c r="K83" s="4"/>
      <c r="L83" s="16"/>
      <c r="M83" s="4"/>
      <c r="N83" s="4"/>
      <c r="O83" s="4"/>
      <c r="P83" s="4"/>
      <c r="Q83" s="4"/>
      <c r="R83" s="4"/>
      <c r="S83" s="4">
        <v>0</v>
      </c>
      <c r="T83" s="4">
        <v>0</v>
      </c>
      <c r="U83" s="4">
        <v>0</v>
      </c>
      <c r="V83" s="4">
        <v>12</v>
      </c>
      <c r="W83" s="4">
        <v>12</v>
      </c>
      <c r="X83" s="4">
        <v>0</v>
      </c>
      <c r="Y83" s="4"/>
      <c r="Z83" s="4">
        <v>601.70000000000005</v>
      </c>
      <c r="AA83" s="4">
        <v>600</v>
      </c>
      <c r="AB83" s="18"/>
      <c r="AC83" s="18">
        <v>2</v>
      </c>
      <c r="AD83" s="28"/>
      <c r="AE83" s="26"/>
      <c r="AF83" s="28"/>
    </row>
    <row r="84" spans="1:32" ht="13.5" customHeight="1" x14ac:dyDescent="0.25">
      <c r="A84" s="14">
        <v>45668</v>
      </c>
      <c r="B84" s="14" t="s">
        <v>46</v>
      </c>
      <c r="C84" s="15">
        <v>1</v>
      </c>
      <c r="D84" s="16"/>
      <c r="E84" s="16"/>
      <c r="F84" s="17"/>
      <c r="G84" s="21"/>
      <c r="H84" s="21"/>
      <c r="I84" s="4">
        <v>0</v>
      </c>
      <c r="J84" s="4">
        <v>0</v>
      </c>
      <c r="K84" s="4"/>
      <c r="L84" s="16"/>
      <c r="M84" s="4"/>
      <c r="N84" s="4"/>
      <c r="O84" s="4"/>
      <c r="P84" s="4"/>
      <c r="Q84" s="4"/>
      <c r="R84" s="4"/>
      <c r="S84" s="4">
        <v>0</v>
      </c>
      <c r="T84" s="4">
        <v>0</v>
      </c>
      <c r="U84" s="4">
        <v>0</v>
      </c>
      <c r="V84" s="4">
        <v>12</v>
      </c>
      <c r="W84" s="4">
        <v>12</v>
      </c>
      <c r="X84" s="4">
        <v>0</v>
      </c>
      <c r="Y84" s="4">
        <v>2034</v>
      </c>
      <c r="Z84" s="4">
        <v>118.4</v>
      </c>
      <c r="AA84" s="4">
        <v>100</v>
      </c>
      <c r="AB84" s="18">
        <v>372</v>
      </c>
      <c r="AC84" s="18">
        <v>2</v>
      </c>
      <c r="AD84" s="28"/>
      <c r="AE84" s="26"/>
      <c r="AF84" s="28"/>
    </row>
    <row r="85" spans="1:32" ht="13.5" customHeight="1" x14ac:dyDescent="0.25">
      <c r="A85" s="14">
        <v>45668</v>
      </c>
      <c r="B85" s="14" t="s">
        <v>47</v>
      </c>
      <c r="C85" s="15">
        <v>1</v>
      </c>
      <c r="D85" s="16"/>
      <c r="E85" s="16"/>
      <c r="F85" s="17"/>
      <c r="G85" s="21"/>
      <c r="H85" s="21"/>
      <c r="I85" s="4">
        <v>0</v>
      </c>
      <c r="J85" s="4">
        <v>0</v>
      </c>
      <c r="K85" s="4"/>
      <c r="L85" s="16"/>
      <c r="M85" s="4"/>
      <c r="N85" s="4"/>
      <c r="O85" s="4"/>
      <c r="P85" s="4"/>
      <c r="Q85" s="4"/>
      <c r="R85" s="4"/>
      <c r="S85" s="4">
        <v>0</v>
      </c>
      <c r="T85" s="4">
        <v>0</v>
      </c>
      <c r="U85" s="4">
        <v>0</v>
      </c>
      <c r="V85" s="4">
        <v>12</v>
      </c>
      <c r="W85" s="4">
        <v>12</v>
      </c>
      <c r="X85" s="4">
        <v>0</v>
      </c>
      <c r="Y85" s="4"/>
      <c r="Z85" s="4">
        <v>251.9</v>
      </c>
      <c r="AA85" s="4">
        <v>250</v>
      </c>
      <c r="AB85" s="18"/>
      <c r="AC85" s="18">
        <v>2</v>
      </c>
      <c r="AD85" s="28"/>
      <c r="AE85" s="26"/>
      <c r="AF85" s="28"/>
    </row>
    <row r="86" spans="1:32" ht="13.5" customHeight="1" x14ac:dyDescent="0.25">
      <c r="A86" s="14">
        <v>45668</v>
      </c>
      <c r="B86" s="14" t="s">
        <v>46</v>
      </c>
      <c r="C86" s="15">
        <v>3</v>
      </c>
      <c r="D86" s="16">
        <v>2</v>
      </c>
      <c r="E86" s="16"/>
      <c r="F86" s="17"/>
      <c r="G86" s="21"/>
      <c r="H86" s="21"/>
      <c r="I86" s="4">
        <v>2</v>
      </c>
      <c r="J86" s="4">
        <v>3.3333333333333333E-2</v>
      </c>
      <c r="K86" s="4"/>
      <c r="L86" s="16"/>
      <c r="M86" s="4"/>
      <c r="N86" s="4"/>
      <c r="O86" s="4"/>
      <c r="P86" s="4"/>
      <c r="Q86" s="4"/>
      <c r="R86" s="4"/>
      <c r="S86" s="4">
        <v>0</v>
      </c>
      <c r="T86" s="4">
        <v>0</v>
      </c>
      <c r="U86" s="4">
        <v>3.3333333333333333E-2</v>
      </c>
      <c r="V86" s="4">
        <v>11.966666666666667</v>
      </c>
      <c r="W86" s="4">
        <v>12</v>
      </c>
      <c r="X86" s="4">
        <v>0</v>
      </c>
      <c r="Y86" s="4"/>
      <c r="Z86" s="4">
        <v>487.99999999999994</v>
      </c>
      <c r="AA86" s="4">
        <v>500</v>
      </c>
      <c r="AB86" s="18"/>
      <c r="AC86" s="18">
        <v>2</v>
      </c>
      <c r="AD86" s="28"/>
      <c r="AE86" s="26"/>
      <c r="AF86" s="28"/>
    </row>
    <row r="87" spans="1:32" ht="13.5" customHeight="1" x14ac:dyDescent="0.25">
      <c r="A87" s="14">
        <v>45668</v>
      </c>
      <c r="B87" s="14" t="s">
        <v>47</v>
      </c>
      <c r="C87" s="15">
        <v>3</v>
      </c>
      <c r="D87" s="16"/>
      <c r="E87" s="16"/>
      <c r="F87" s="17"/>
      <c r="G87" s="21"/>
      <c r="H87" s="21"/>
      <c r="I87" s="4">
        <v>0</v>
      </c>
      <c r="J87" s="4">
        <v>0</v>
      </c>
      <c r="K87" s="4"/>
      <c r="L87" s="16"/>
      <c r="M87" s="4"/>
      <c r="N87" s="4"/>
      <c r="O87" s="4"/>
      <c r="P87" s="4"/>
      <c r="Q87" s="4"/>
      <c r="R87" s="4"/>
      <c r="S87" s="4">
        <v>0</v>
      </c>
      <c r="T87" s="4">
        <v>0</v>
      </c>
      <c r="U87" s="4">
        <v>0</v>
      </c>
      <c r="V87" s="4">
        <v>12</v>
      </c>
      <c r="W87" s="4">
        <v>12</v>
      </c>
      <c r="X87" s="4">
        <v>0</v>
      </c>
      <c r="Y87" s="4"/>
      <c r="Z87" s="4">
        <v>416.4</v>
      </c>
      <c r="AA87" s="4">
        <v>400</v>
      </c>
      <c r="AB87" s="18"/>
      <c r="AC87" s="18">
        <v>2</v>
      </c>
      <c r="AD87" s="28"/>
      <c r="AE87" s="26"/>
      <c r="AF87" s="28"/>
    </row>
    <row r="88" spans="1:32" ht="13.5" customHeight="1" x14ac:dyDescent="0.25">
      <c r="A88" s="14">
        <v>45668</v>
      </c>
      <c r="B88" s="14" t="s">
        <v>46</v>
      </c>
      <c r="C88" s="15">
        <v>6</v>
      </c>
      <c r="D88" s="16">
        <v>5</v>
      </c>
      <c r="E88" s="16"/>
      <c r="F88" s="17"/>
      <c r="G88" s="21"/>
      <c r="H88" s="21"/>
      <c r="I88" s="4">
        <v>5</v>
      </c>
      <c r="J88" s="4">
        <v>8.3333333333333329E-2</v>
      </c>
      <c r="K88" s="4"/>
      <c r="L88" s="16"/>
      <c r="M88" s="4"/>
      <c r="N88" s="4"/>
      <c r="O88" s="4"/>
      <c r="P88" s="4"/>
      <c r="Q88" s="4"/>
      <c r="R88" s="4"/>
      <c r="S88" s="4">
        <v>0</v>
      </c>
      <c r="T88" s="4">
        <v>0</v>
      </c>
      <c r="U88" s="4">
        <v>8.3333333333333329E-2</v>
      </c>
      <c r="V88" s="4">
        <v>11.916666666666666</v>
      </c>
      <c r="W88" s="4">
        <v>12</v>
      </c>
      <c r="X88" s="4">
        <v>15</v>
      </c>
      <c r="Y88" s="4"/>
      <c r="Z88" s="4">
        <v>477.6</v>
      </c>
      <c r="AA88" s="4">
        <v>450</v>
      </c>
      <c r="AB88" s="18"/>
      <c r="AC88" s="18">
        <v>2</v>
      </c>
      <c r="AD88" s="28"/>
      <c r="AE88" s="26"/>
      <c r="AF88" s="28"/>
    </row>
    <row r="89" spans="1:32" ht="13.5" customHeight="1" x14ac:dyDescent="0.25">
      <c r="A89" s="14">
        <v>45668</v>
      </c>
      <c r="B89" s="14" t="s">
        <v>47</v>
      </c>
      <c r="C89" s="15">
        <v>6</v>
      </c>
      <c r="D89" s="16">
        <v>15</v>
      </c>
      <c r="E89" s="16"/>
      <c r="F89" s="17"/>
      <c r="G89" s="21"/>
      <c r="H89" s="21"/>
      <c r="I89" s="4">
        <v>15</v>
      </c>
      <c r="J89" s="4">
        <v>0.25</v>
      </c>
      <c r="K89" s="4"/>
      <c r="L89" s="16"/>
      <c r="M89" s="4"/>
      <c r="N89" s="4">
        <v>5</v>
      </c>
      <c r="O89" s="4"/>
      <c r="P89" s="4"/>
      <c r="Q89" s="4"/>
      <c r="R89" s="4"/>
      <c r="S89" s="4">
        <v>5</v>
      </c>
      <c r="T89" s="4">
        <v>8.3333333333333329E-2</v>
      </c>
      <c r="U89" s="4">
        <v>0.33333333333333331</v>
      </c>
      <c r="V89" s="4">
        <v>11.666666666666666</v>
      </c>
      <c r="W89" s="4">
        <v>12</v>
      </c>
      <c r="X89" s="4">
        <v>36</v>
      </c>
      <c r="Y89" s="4"/>
      <c r="Z89" s="4">
        <v>597.79999999999995</v>
      </c>
      <c r="AA89" s="4">
        <v>600</v>
      </c>
      <c r="AB89" s="18"/>
      <c r="AC89" s="18">
        <v>2</v>
      </c>
      <c r="AD89" s="28"/>
      <c r="AE89" s="26"/>
      <c r="AF89" s="28"/>
    </row>
    <row r="90" spans="1:32" ht="13.5" customHeight="1" x14ac:dyDescent="0.25">
      <c r="A90" s="14">
        <v>45668</v>
      </c>
      <c r="B90" s="14" t="s">
        <v>46</v>
      </c>
      <c r="C90" s="15">
        <v>7</v>
      </c>
      <c r="D90" s="16">
        <v>5</v>
      </c>
      <c r="E90" s="16"/>
      <c r="F90" s="17"/>
      <c r="G90" s="21"/>
      <c r="H90" s="21"/>
      <c r="I90" s="4">
        <v>5</v>
      </c>
      <c r="J90" s="4">
        <v>8.3333333333333329E-2</v>
      </c>
      <c r="K90" s="4"/>
      <c r="L90" s="16"/>
      <c r="M90" s="4"/>
      <c r="N90" s="4"/>
      <c r="O90" s="4"/>
      <c r="P90" s="4"/>
      <c r="Q90" s="4"/>
      <c r="R90" s="4"/>
      <c r="S90" s="4">
        <v>0</v>
      </c>
      <c r="T90" s="4">
        <v>0</v>
      </c>
      <c r="U90" s="4">
        <v>8.3333333333333329E-2</v>
      </c>
      <c r="V90" s="4">
        <v>11.916666666666666</v>
      </c>
      <c r="W90" s="4">
        <v>12</v>
      </c>
      <c r="X90" s="4">
        <v>12</v>
      </c>
      <c r="Y90" s="4"/>
      <c r="Z90" s="4">
        <v>456.12</v>
      </c>
      <c r="AA90" s="4">
        <v>450</v>
      </c>
      <c r="AB90" s="18"/>
      <c r="AC90" s="18">
        <v>2</v>
      </c>
      <c r="AD90" s="28"/>
      <c r="AE90" s="26"/>
      <c r="AF90" s="28"/>
    </row>
    <row r="91" spans="1:32" ht="13.5" customHeight="1" x14ac:dyDescent="0.25">
      <c r="A91" s="14">
        <v>45668</v>
      </c>
      <c r="B91" s="14" t="s">
        <v>47</v>
      </c>
      <c r="C91" s="15">
        <v>7</v>
      </c>
      <c r="D91" s="16">
        <v>5</v>
      </c>
      <c r="E91" s="16">
        <v>5</v>
      </c>
      <c r="F91" s="17"/>
      <c r="G91" s="21"/>
      <c r="H91" s="21"/>
      <c r="I91" s="4">
        <v>10</v>
      </c>
      <c r="J91" s="4">
        <v>0.16666666666666666</v>
      </c>
      <c r="K91" s="4"/>
      <c r="L91" s="16"/>
      <c r="M91" s="4"/>
      <c r="N91" s="4"/>
      <c r="O91" s="4"/>
      <c r="P91" s="4"/>
      <c r="Q91" s="4"/>
      <c r="R91" s="4"/>
      <c r="S91" s="4">
        <v>0</v>
      </c>
      <c r="T91" s="4">
        <v>0</v>
      </c>
      <c r="U91" s="4">
        <v>0.16666666666666666</v>
      </c>
      <c r="V91" s="4">
        <v>11.833333333333334</v>
      </c>
      <c r="W91" s="4">
        <v>12</v>
      </c>
      <c r="X91" s="4">
        <v>0</v>
      </c>
      <c r="Y91" s="4"/>
      <c r="Z91" s="4">
        <v>432.02</v>
      </c>
      <c r="AA91" s="4">
        <v>400</v>
      </c>
      <c r="AB91" s="18"/>
      <c r="AC91" s="18">
        <v>2</v>
      </c>
      <c r="AD91" s="28"/>
      <c r="AE91" s="26"/>
      <c r="AF91" s="28"/>
    </row>
    <row r="92" spans="1:32" ht="13.5" customHeight="1" x14ac:dyDescent="0.25">
      <c r="A92" s="14">
        <v>45669</v>
      </c>
      <c r="B92" s="14" t="s">
        <v>46</v>
      </c>
      <c r="C92" s="15">
        <v>1</v>
      </c>
      <c r="D92" s="16"/>
      <c r="E92" s="16"/>
      <c r="F92" s="17"/>
      <c r="G92" s="21"/>
      <c r="H92" s="21"/>
      <c r="I92" s="4">
        <v>0</v>
      </c>
      <c r="J92" s="4">
        <v>0</v>
      </c>
      <c r="K92" s="4"/>
      <c r="L92" s="16"/>
      <c r="M92" s="4"/>
      <c r="N92" s="4"/>
      <c r="O92" s="4"/>
      <c r="P92" s="4"/>
      <c r="Q92" s="4"/>
      <c r="R92" s="4"/>
      <c r="S92" s="4">
        <v>0</v>
      </c>
      <c r="T92" s="4">
        <v>0</v>
      </c>
      <c r="U92" s="4">
        <v>0</v>
      </c>
      <c r="V92" s="4">
        <v>12</v>
      </c>
      <c r="W92" s="4">
        <v>12</v>
      </c>
      <c r="X92" s="4">
        <v>0</v>
      </c>
      <c r="Y92" s="4">
        <v>1886</v>
      </c>
      <c r="Z92" s="4">
        <v>154.9</v>
      </c>
      <c r="AA92" s="4">
        <v>150</v>
      </c>
      <c r="AB92" s="18">
        <v>372</v>
      </c>
      <c r="AC92" s="18">
        <v>2</v>
      </c>
      <c r="AD92" s="28"/>
      <c r="AE92" s="26"/>
      <c r="AF92" s="28"/>
    </row>
    <row r="93" spans="1:32" ht="13.5" customHeight="1" x14ac:dyDescent="0.25">
      <c r="A93" s="14">
        <v>45669</v>
      </c>
      <c r="B93" s="14" t="s">
        <v>47</v>
      </c>
      <c r="C93" s="15">
        <v>1</v>
      </c>
      <c r="D93" s="16"/>
      <c r="E93" s="16"/>
      <c r="F93" s="17"/>
      <c r="G93" s="21"/>
      <c r="H93" s="21"/>
      <c r="I93" s="4">
        <v>0</v>
      </c>
      <c r="J93" s="4">
        <v>0</v>
      </c>
      <c r="K93" s="4"/>
      <c r="L93" s="16"/>
      <c r="M93" s="4"/>
      <c r="N93" s="4"/>
      <c r="O93" s="4"/>
      <c r="P93" s="4"/>
      <c r="Q93" s="4"/>
      <c r="R93" s="4"/>
      <c r="S93" s="4">
        <v>0</v>
      </c>
      <c r="T93" s="4">
        <v>0</v>
      </c>
      <c r="U93" s="4">
        <v>0</v>
      </c>
      <c r="V93" s="4">
        <v>12</v>
      </c>
      <c r="W93" s="4">
        <v>12</v>
      </c>
      <c r="X93" s="4">
        <v>4</v>
      </c>
      <c r="Y93" s="4"/>
      <c r="Z93" s="4">
        <v>180.2</v>
      </c>
      <c r="AA93" s="4">
        <v>200</v>
      </c>
      <c r="AB93" s="18"/>
      <c r="AC93" s="18">
        <v>2</v>
      </c>
      <c r="AD93" s="28"/>
      <c r="AE93" s="26"/>
      <c r="AF93" s="28"/>
    </row>
    <row r="94" spans="1:32" ht="13.5" customHeight="1" x14ac:dyDescent="0.25">
      <c r="A94" s="14">
        <v>45669</v>
      </c>
      <c r="B94" s="14" t="s">
        <v>46</v>
      </c>
      <c r="C94" s="15">
        <v>3</v>
      </c>
      <c r="D94" s="16"/>
      <c r="E94" s="16"/>
      <c r="F94" s="17"/>
      <c r="G94" s="21"/>
      <c r="H94" s="21"/>
      <c r="I94" s="4">
        <v>0</v>
      </c>
      <c r="J94" s="4">
        <v>0</v>
      </c>
      <c r="K94" s="4"/>
      <c r="L94" s="16"/>
      <c r="M94" s="4"/>
      <c r="N94" s="4"/>
      <c r="O94" s="4"/>
      <c r="P94" s="4"/>
      <c r="Q94" s="4"/>
      <c r="R94" s="4"/>
      <c r="S94" s="4">
        <v>0</v>
      </c>
      <c r="T94" s="4">
        <v>0</v>
      </c>
      <c r="U94" s="4">
        <v>0</v>
      </c>
      <c r="V94" s="4">
        <v>12</v>
      </c>
      <c r="W94" s="4">
        <v>12</v>
      </c>
      <c r="X94" s="4">
        <v>0</v>
      </c>
      <c r="Y94" s="4"/>
      <c r="Z94" s="4">
        <v>560.80000000000007</v>
      </c>
      <c r="AA94" s="4">
        <v>560</v>
      </c>
      <c r="AB94" s="18"/>
      <c r="AC94" s="18">
        <v>2</v>
      </c>
      <c r="AD94" s="28"/>
      <c r="AE94" s="26"/>
      <c r="AF94" s="28"/>
    </row>
    <row r="95" spans="1:32" ht="13.5" customHeight="1" x14ac:dyDescent="0.25">
      <c r="A95" s="14">
        <v>45669</v>
      </c>
      <c r="B95" s="14" t="s">
        <v>47</v>
      </c>
      <c r="C95" s="15">
        <v>3</v>
      </c>
      <c r="D95" s="16"/>
      <c r="E95" s="16"/>
      <c r="F95" s="17"/>
      <c r="G95" s="21"/>
      <c r="H95" s="21"/>
      <c r="I95" s="4">
        <v>0</v>
      </c>
      <c r="J95" s="4">
        <v>0</v>
      </c>
      <c r="K95" s="4"/>
      <c r="L95" s="16"/>
      <c r="M95" s="4"/>
      <c r="N95" s="4"/>
      <c r="O95" s="4"/>
      <c r="P95" s="4"/>
      <c r="Q95" s="4"/>
      <c r="R95" s="4"/>
      <c r="S95" s="4">
        <v>0</v>
      </c>
      <c r="T95" s="4">
        <v>0</v>
      </c>
      <c r="U95" s="4">
        <v>0</v>
      </c>
      <c r="V95" s="4">
        <v>12</v>
      </c>
      <c r="W95" s="4">
        <v>12</v>
      </c>
      <c r="X95" s="4">
        <v>12</v>
      </c>
      <c r="Y95" s="4"/>
      <c r="Z95" s="4">
        <v>527.6</v>
      </c>
      <c r="AA95" s="4">
        <v>500</v>
      </c>
      <c r="AB95" s="18"/>
      <c r="AC95" s="18">
        <v>2</v>
      </c>
      <c r="AD95" s="28"/>
      <c r="AE95" s="26"/>
      <c r="AF95" s="28"/>
    </row>
    <row r="96" spans="1:32" ht="13.5" customHeight="1" x14ac:dyDescent="0.25">
      <c r="A96" s="14">
        <v>45669</v>
      </c>
      <c r="B96" s="14" t="s">
        <v>46</v>
      </c>
      <c r="C96" s="15">
        <v>6</v>
      </c>
      <c r="D96" s="16"/>
      <c r="E96" s="16"/>
      <c r="F96" s="17"/>
      <c r="G96" s="21"/>
      <c r="H96" s="21"/>
      <c r="I96" s="4">
        <v>0</v>
      </c>
      <c r="J96" s="4">
        <v>0</v>
      </c>
      <c r="K96" s="4"/>
      <c r="L96" s="16"/>
      <c r="M96" s="4"/>
      <c r="N96" s="4"/>
      <c r="O96" s="4"/>
      <c r="P96" s="4"/>
      <c r="Q96" s="4"/>
      <c r="R96" s="4"/>
      <c r="S96" s="4">
        <v>0</v>
      </c>
      <c r="T96" s="4">
        <v>0</v>
      </c>
      <c r="U96" s="4">
        <v>0</v>
      </c>
      <c r="V96" s="4">
        <v>12</v>
      </c>
      <c r="W96" s="4">
        <v>12</v>
      </c>
      <c r="X96" s="4">
        <v>19</v>
      </c>
      <c r="Y96" s="4"/>
      <c r="Z96" s="4">
        <v>365.4</v>
      </c>
      <c r="AA96" s="4">
        <v>350</v>
      </c>
      <c r="AB96" s="18"/>
      <c r="AC96" s="18">
        <v>2</v>
      </c>
      <c r="AD96" s="28"/>
      <c r="AE96" s="26"/>
      <c r="AF96" s="28"/>
    </row>
    <row r="97" spans="1:32" ht="13.5" customHeight="1" x14ac:dyDescent="0.25">
      <c r="A97" s="14">
        <v>45669</v>
      </c>
      <c r="B97" s="14" t="s">
        <v>47</v>
      </c>
      <c r="C97" s="15">
        <v>6</v>
      </c>
      <c r="D97" s="16"/>
      <c r="E97" s="16"/>
      <c r="F97" s="17"/>
      <c r="G97" s="21"/>
      <c r="H97" s="21"/>
      <c r="I97" s="4">
        <v>0</v>
      </c>
      <c r="J97" s="4">
        <v>0</v>
      </c>
      <c r="K97" s="4"/>
      <c r="L97" s="16"/>
      <c r="M97" s="4"/>
      <c r="N97" s="4"/>
      <c r="O97" s="4"/>
      <c r="P97" s="4"/>
      <c r="Q97" s="4"/>
      <c r="R97" s="4"/>
      <c r="S97" s="4">
        <v>0</v>
      </c>
      <c r="T97" s="4">
        <v>0</v>
      </c>
      <c r="U97" s="4">
        <v>0</v>
      </c>
      <c r="V97" s="4">
        <v>12</v>
      </c>
      <c r="W97" s="4">
        <v>12</v>
      </c>
      <c r="X97" s="4">
        <v>12</v>
      </c>
      <c r="Y97" s="4"/>
      <c r="Z97" s="4">
        <v>464.7</v>
      </c>
      <c r="AA97" s="4">
        <v>450</v>
      </c>
      <c r="AB97" s="18"/>
      <c r="AC97" s="18">
        <v>2</v>
      </c>
      <c r="AD97" s="28"/>
      <c r="AE97" s="26"/>
      <c r="AF97" s="28"/>
    </row>
    <row r="98" spans="1:32" ht="13.5" customHeight="1" x14ac:dyDescent="0.25">
      <c r="A98" s="14">
        <v>45669</v>
      </c>
      <c r="B98" s="14" t="s">
        <v>46</v>
      </c>
      <c r="C98" s="15">
        <v>7</v>
      </c>
      <c r="D98" s="16"/>
      <c r="E98" s="16"/>
      <c r="F98" s="17"/>
      <c r="G98" s="21"/>
      <c r="H98" s="21"/>
      <c r="I98" s="4">
        <v>0</v>
      </c>
      <c r="J98" s="4">
        <v>0</v>
      </c>
      <c r="K98" s="4"/>
      <c r="L98" s="16"/>
      <c r="M98" s="4"/>
      <c r="N98" s="4"/>
      <c r="O98" s="4"/>
      <c r="P98" s="4"/>
      <c r="Q98" s="4"/>
      <c r="R98" s="4"/>
      <c r="S98" s="4">
        <v>0</v>
      </c>
      <c r="T98" s="4">
        <v>0</v>
      </c>
      <c r="U98" s="4">
        <v>0</v>
      </c>
      <c r="V98" s="4">
        <v>12</v>
      </c>
      <c r="W98" s="4">
        <v>12</v>
      </c>
      <c r="X98" s="4">
        <v>0</v>
      </c>
      <c r="Y98" s="4"/>
      <c r="Z98" s="4">
        <v>563.40000000000009</v>
      </c>
      <c r="AA98" s="4">
        <v>550</v>
      </c>
      <c r="AB98" s="18"/>
      <c r="AC98" s="18">
        <v>2</v>
      </c>
      <c r="AD98" s="28"/>
      <c r="AE98" s="26"/>
      <c r="AF98" s="28"/>
    </row>
    <row r="99" spans="1:32" ht="13.5" customHeight="1" x14ac:dyDescent="0.25">
      <c r="A99" s="14">
        <v>45669</v>
      </c>
      <c r="B99" s="14" t="s">
        <v>47</v>
      </c>
      <c r="C99" s="15">
        <v>7</v>
      </c>
      <c r="D99" s="16"/>
      <c r="E99" s="16"/>
      <c r="F99" s="17"/>
      <c r="G99" s="21"/>
      <c r="H99" s="21"/>
      <c r="I99" s="4">
        <v>0</v>
      </c>
      <c r="J99" s="4">
        <v>0</v>
      </c>
      <c r="K99" s="4"/>
      <c r="L99" s="16"/>
      <c r="M99" s="4"/>
      <c r="N99" s="4"/>
      <c r="O99" s="4"/>
      <c r="P99" s="4"/>
      <c r="Q99" s="4"/>
      <c r="R99" s="4"/>
      <c r="S99" s="4">
        <v>0</v>
      </c>
      <c r="T99" s="4">
        <v>0</v>
      </c>
      <c r="U99" s="4">
        <v>0</v>
      </c>
      <c r="V99" s="4">
        <v>12</v>
      </c>
      <c r="W99" s="4">
        <v>12</v>
      </c>
      <c r="X99" s="4">
        <v>2</v>
      </c>
      <c r="Y99" s="4"/>
      <c r="Z99" s="4">
        <v>577.66999999999996</v>
      </c>
      <c r="AA99" s="4">
        <v>550</v>
      </c>
      <c r="AB99" s="18"/>
      <c r="AC99" s="18">
        <v>2</v>
      </c>
      <c r="AD99" s="28"/>
      <c r="AE99" s="26"/>
      <c r="AF99" s="28"/>
    </row>
    <row r="100" spans="1:32" ht="13.5" customHeight="1" x14ac:dyDescent="0.25">
      <c r="A100" s="14">
        <v>45670</v>
      </c>
      <c r="B100" s="14" t="s">
        <v>46</v>
      </c>
      <c r="C100" s="15">
        <v>1</v>
      </c>
      <c r="D100" s="16"/>
      <c r="E100" s="16"/>
      <c r="F100" s="17"/>
      <c r="G100" s="21"/>
      <c r="H100" s="21"/>
      <c r="I100" s="4">
        <v>0</v>
      </c>
      <c r="J100" s="4">
        <v>0</v>
      </c>
      <c r="K100" s="4"/>
      <c r="L100" s="16"/>
      <c r="M100" s="4"/>
      <c r="N100" s="4">
        <v>20</v>
      </c>
      <c r="O100" s="4"/>
      <c r="P100" s="4"/>
      <c r="Q100" s="4"/>
      <c r="R100" s="4"/>
      <c r="S100" s="4">
        <v>20</v>
      </c>
      <c r="T100" s="4">
        <v>0.33333333333333331</v>
      </c>
      <c r="U100" s="4">
        <v>0.33333333333333331</v>
      </c>
      <c r="V100" s="4">
        <v>11.666666666666666</v>
      </c>
      <c r="W100" s="4">
        <v>12</v>
      </c>
      <c r="X100" s="4">
        <v>0</v>
      </c>
      <c r="Y100" s="4">
        <v>2077</v>
      </c>
      <c r="Z100" s="4">
        <v>159.1</v>
      </c>
      <c r="AA100" s="4">
        <v>150</v>
      </c>
      <c r="AB100" s="18">
        <v>372</v>
      </c>
      <c r="AC100" s="18">
        <v>3</v>
      </c>
      <c r="AD100" s="28"/>
      <c r="AE100" s="26"/>
      <c r="AF100" s="28"/>
    </row>
    <row r="101" spans="1:32" ht="13.5" customHeight="1" x14ac:dyDescent="0.25">
      <c r="A101" s="14">
        <v>45670</v>
      </c>
      <c r="B101" s="14" t="s">
        <v>47</v>
      </c>
      <c r="C101" s="15">
        <v>1</v>
      </c>
      <c r="D101" s="16"/>
      <c r="E101" s="16"/>
      <c r="F101" s="17"/>
      <c r="G101" s="21"/>
      <c r="H101" s="21"/>
      <c r="I101" s="4">
        <v>0</v>
      </c>
      <c r="J101" s="4">
        <v>0</v>
      </c>
      <c r="K101" s="4"/>
      <c r="L101" s="16"/>
      <c r="M101" s="4"/>
      <c r="N101" s="4"/>
      <c r="O101" s="4"/>
      <c r="P101" s="4"/>
      <c r="Q101" s="4"/>
      <c r="R101" s="4"/>
      <c r="S101" s="4">
        <v>0</v>
      </c>
      <c r="T101" s="4">
        <v>0</v>
      </c>
      <c r="U101" s="4">
        <v>0</v>
      </c>
      <c r="V101" s="4">
        <v>12</v>
      </c>
      <c r="W101" s="4">
        <v>12</v>
      </c>
      <c r="X101" s="4">
        <v>8</v>
      </c>
      <c r="Y101" s="4"/>
      <c r="Z101" s="4">
        <v>127.45000000000002</v>
      </c>
      <c r="AA101" s="4">
        <v>150</v>
      </c>
      <c r="AB101" s="18"/>
      <c r="AC101" s="18">
        <v>3</v>
      </c>
      <c r="AD101" s="28"/>
      <c r="AE101" s="26"/>
      <c r="AF101" s="28"/>
    </row>
    <row r="102" spans="1:32" ht="13.5" customHeight="1" x14ac:dyDescent="0.25">
      <c r="A102" s="14">
        <v>45670</v>
      </c>
      <c r="B102" s="14" t="s">
        <v>46</v>
      </c>
      <c r="C102" s="15">
        <v>3</v>
      </c>
      <c r="D102" s="16"/>
      <c r="E102" s="16"/>
      <c r="F102" s="17"/>
      <c r="G102" s="21"/>
      <c r="H102" s="21"/>
      <c r="I102" s="4">
        <v>0</v>
      </c>
      <c r="J102" s="4">
        <v>0</v>
      </c>
      <c r="K102" s="4"/>
      <c r="L102" s="16">
        <v>20</v>
      </c>
      <c r="M102" s="4"/>
      <c r="N102" s="4"/>
      <c r="O102" s="4"/>
      <c r="P102" s="4"/>
      <c r="Q102" s="4"/>
      <c r="R102" s="4"/>
      <c r="S102" s="4">
        <v>20</v>
      </c>
      <c r="T102" s="4">
        <v>0.33333333333333331</v>
      </c>
      <c r="U102" s="4">
        <v>0.33333333333333331</v>
      </c>
      <c r="V102" s="4">
        <v>11.666666666666666</v>
      </c>
      <c r="W102" s="4">
        <v>12</v>
      </c>
      <c r="X102" s="4">
        <v>0</v>
      </c>
      <c r="Y102" s="4"/>
      <c r="Z102" s="4">
        <v>490.5</v>
      </c>
      <c r="AA102" s="4">
        <v>500</v>
      </c>
      <c r="AB102" s="18"/>
      <c r="AC102" s="18">
        <v>3</v>
      </c>
      <c r="AD102" s="28"/>
      <c r="AE102" s="26"/>
      <c r="AF102" s="28"/>
    </row>
    <row r="103" spans="1:32" ht="13.5" customHeight="1" x14ac:dyDescent="0.25">
      <c r="A103" s="14">
        <v>45670</v>
      </c>
      <c r="B103" s="14" t="s">
        <v>47</v>
      </c>
      <c r="C103" s="15">
        <v>3</v>
      </c>
      <c r="D103" s="16"/>
      <c r="E103" s="16"/>
      <c r="F103" s="17"/>
      <c r="G103" s="21"/>
      <c r="H103" s="21"/>
      <c r="I103" s="4">
        <v>0</v>
      </c>
      <c r="J103" s="4">
        <v>0</v>
      </c>
      <c r="K103" s="4"/>
      <c r="L103" s="16"/>
      <c r="M103" s="4"/>
      <c r="N103" s="4"/>
      <c r="O103" s="4"/>
      <c r="P103" s="4"/>
      <c r="Q103" s="4"/>
      <c r="R103" s="4"/>
      <c r="S103" s="4">
        <v>0</v>
      </c>
      <c r="T103" s="4">
        <v>0</v>
      </c>
      <c r="U103" s="4">
        <v>0</v>
      </c>
      <c r="V103" s="4">
        <v>12</v>
      </c>
      <c r="W103" s="4">
        <v>12</v>
      </c>
      <c r="X103" s="4">
        <v>12</v>
      </c>
      <c r="Y103" s="4"/>
      <c r="Z103" s="4">
        <v>456.8</v>
      </c>
      <c r="AA103" s="4">
        <v>500</v>
      </c>
      <c r="AB103" s="18"/>
      <c r="AC103" s="18">
        <v>3</v>
      </c>
      <c r="AD103" s="28"/>
      <c r="AE103" s="26"/>
      <c r="AF103" s="28"/>
    </row>
    <row r="104" spans="1:32" ht="13.5" customHeight="1" x14ac:dyDescent="0.25">
      <c r="A104" s="14">
        <v>45670</v>
      </c>
      <c r="B104" s="14" t="s">
        <v>46</v>
      </c>
      <c r="C104" s="15">
        <v>5</v>
      </c>
      <c r="D104" s="16"/>
      <c r="E104" s="16"/>
      <c r="F104" s="17"/>
      <c r="G104" s="21"/>
      <c r="H104" s="21"/>
      <c r="I104" s="4">
        <v>0</v>
      </c>
      <c r="J104" s="4">
        <v>0</v>
      </c>
      <c r="K104" s="4"/>
      <c r="L104" s="16"/>
      <c r="M104" s="4"/>
      <c r="N104" s="4"/>
      <c r="O104" s="4"/>
      <c r="P104" s="4"/>
      <c r="Q104" s="4"/>
      <c r="R104" s="4"/>
      <c r="S104" s="4">
        <v>0</v>
      </c>
      <c r="T104" s="4">
        <v>0</v>
      </c>
      <c r="U104" s="4">
        <v>0</v>
      </c>
      <c r="V104" s="4">
        <v>12</v>
      </c>
      <c r="W104" s="4">
        <v>12</v>
      </c>
      <c r="X104" s="4">
        <v>34</v>
      </c>
      <c r="Y104" s="4"/>
      <c r="Z104" s="4">
        <v>597.4</v>
      </c>
      <c r="AA104" s="4">
        <v>600</v>
      </c>
      <c r="AB104" s="18"/>
      <c r="AC104" s="18">
        <v>3</v>
      </c>
      <c r="AD104" s="28"/>
      <c r="AE104" s="26"/>
      <c r="AF104" s="28"/>
    </row>
    <row r="105" spans="1:32" ht="13.5" customHeight="1" x14ac:dyDescent="0.25">
      <c r="A105" s="14">
        <v>45670</v>
      </c>
      <c r="B105" s="14" t="s">
        <v>47</v>
      </c>
      <c r="C105" s="15">
        <v>5</v>
      </c>
      <c r="D105" s="16"/>
      <c r="E105" s="16"/>
      <c r="F105" s="17"/>
      <c r="G105" s="21"/>
      <c r="H105" s="21"/>
      <c r="I105" s="4">
        <v>0</v>
      </c>
      <c r="J105" s="4">
        <v>0</v>
      </c>
      <c r="K105" s="4"/>
      <c r="L105" s="16"/>
      <c r="M105" s="4"/>
      <c r="N105" s="4"/>
      <c r="O105" s="4"/>
      <c r="P105" s="4"/>
      <c r="Q105" s="4"/>
      <c r="R105" s="4"/>
      <c r="S105" s="4">
        <v>0</v>
      </c>
      <c r="T105" s="4">
        <v>0</v>
      </c>
      <c r="U105" s="4">
        <v>0</v>
      </c>
      <c r="V105" s="4">
        <v>12</v>
      </c>
      <c r="W105" s="4">
        <v>12</v>
      </c>
      <c r="X105" s="4">
        <v>20</v>
      </c>
      <c r="Y105" s="4"/>
      <c r="Z105" s="4">
        <v>700.8</v>
      </c>
      <c r="AA105" s="4">
        <v>700</v>
      </c>
      <c r="AB105" s="18"/>
      <c r="AC105" s="18">
        <v>3</v>
      </c>
      <c r="AD105" s="28"/>
      <c r="AE105" s="26"/>
      <c r="AF105" s="28"/>
    </row>
    <row r="106" spans="1:32" ht="13.5" customHeight="1" x14ac:dyDescent="0.25">
      <c r="A106" s="14">
        <v>45670</v>
      </c>
      <c r="B106" s="14" t="s">
        <v>46</v>
      </c>
      <c r="C106" s="15">
        <v>6</v>
      </c>
      <c r="D106" s="16">
        <v>10</v>
      </c>
      <c r="E106" s="16"/>
      <c r="F106" s="17"/>
      <c r="G106" s="21"/>
      <c r="H106" s="21"/>
      <c r="I106" s="4">
        <v>10</v>
      </c>
      <c r="J106" s="4">
        <v>0.16666666666666666</v>
      </c>
      <c r="K106" s="4"/>
      <c r="L106" s="16"/>
      <c r="M106" s="4"/>
      <c r="N106" s="4"/>
      <c r="O106" s="4"/>
      <c r="P106" s="4"/>
      <c r="Q106" s="4"/>
      <c r="R106" s="4"/>
      <c r="S106" s="4">
        <v>0</v>
      </c>
      <c r="T106" s="4">
        <v>0</v>
      </c>
      <c r="U106" s="4">
        <v>0.16666666666666666</v>
      </c>
      <c r="V106" s="4">
        <v>11.833333333333334</v>
      </c>
      <c r="W106" s="4">
        <v>12</v>
      </c>
      <c r="X106" s="4">
        <v>16</v>
      </c>
      <c r="Y106" s="4"/>
      <c r="Z106" s="4">
        <v>556.4</v>
      </c>
      <c r="AA106" s="4">
        <v>600</v>
      </c>
      <c r="AB106" s="18"/>
      <c r="AC106" s="18">
        <v>3</v>
      </c>
      <c r="AD106" s="28"/>
      <c r="AE106" s="26"/>
      <c r="AF106" s="28"/>
    </row>
    <row r="107" spans="1:32" ht="13.5" customHeight="1" x14ac:dyDescent="0.25">
      <c r="A107" s="14">
        <v>45670</v>
      </c>
      <c r="B107" s="14" t="s">
        <v>47</v>
      </c>
      <c r="C107" s="15">
        <v>6</v>
      </c>
      <c r="D107" s="16"/>
      <c r="E107" s="16"/>
      <c r="F107" s="17"/>
      <c r="G107" s="21"/>
      <c r="H107" s="21"/>
      <c r="I107" s="4">
        <v>0</v>
      </c>
      <c r="J107" s="4">
        <v>0</v>
      </c>
      <c r="K107" s="4"/>
      <c r="L107" s="16"/>
      <c r="M107" s="4"/>
      <c r="N107" s="4">
        <v>20</v>
      </c>
      <c r="O107" s="4"/>
      <c r="P107" s="4"/>
      <c r="Q107" s="4"/>
      <c r="R107" s="4"/>
      <c r="S107" s="4">
        <v>20</v>
      </c>
      <c r="T107" s="4">
        <v>0.33333333333333331</v>
      </c>
      <c r="U107" s="4">
        <v>0.33333333333333331</v>
      </c>
      <c r="V107" s="4">
        <v>11.666666666666666</v>
      </c>
      <c r="W107" s="4">
        <v>12</v>
      </c>
      <c r="X107" s="4">
        <v>27.6</v>
      </c>
      <c r="Y107" s="4"/>
      <c r="Z107" s="4">
        <v>465</v>
      </c>
      <c r="AA107" s="4">
        <v>500</v>
      </c>
      <c r="AB107" s="18"/>
      <c r="AC107" s="18">
        <v>3</v>
      </c>
      <c r="AD107" s="28"/>
      <c r="AE107" s="26"/>
      <c r="AF107" s="28"/>
    </row>
    <row r="108" spans="1:32" ht="13.5" customHeight="1" x14ac:dyDescent="0.25">
      <c r="A108" s="14">
        <v>45671</v>
      </c>
      <c r="B108" s="14" t="s">
        <v>46</v>
      </c>
      <c r="C108" s="15">
        <v>1</v>
      </c>
      <c r="D108" s="16"/>
      <c r="E108" s="16"/>
      <c r="F108" s="17"/>
      <c r="G108" s="21"/>
      <c r="H108" s="21"/>
      <c r="I108" s="4">
        <v>0</v>
      </c>
      <c r="J108" s="4">
        <v>0</v>
      </c>
      <c r="K108" s="4"/>
      <c r="L108" s="16"/>
      <c r="M108" s="4"/>
      <c r="N108" s="4"/>
      <c r="O108" s="4"/>
      <c r="P108" s="4"/>
      <c r="Q108" s="4"/>
      <c r="R108" s="4"/>
      <c r="S108" s="4">
        <v>0</v>
      </c>
      <c r="T108" s="4">
        <v>0</v>
      </c>
      <c r="U108" s="4">
        <v>0</v>
      </c>
      <c r="V108" s="4">
        <v>12</v>
      </c>
      <c r="W108" s="4">
        <v>12</v>
      </c>
      <c r="X108" s="4">
        <v>0</v>
      </c>
      <c r="Y108" s="4">
        <v>2150</v>
      </c>
      <c r="Z108" s="4">
        <v>177.6</v>
      </c>
      <c r="AA108" s="4">
        <v>250</v>
      </c>
      <c r="AB108" s="18">
        <v>372</v>
      </c>
      <c r="AC108" s="18">
        <v>3</v>
      </c>
      <c r="AD108" s="28"/>
      <c r="AE108" s="26"/>
      <c r="AF108" s="28"/>
    </row>
    <row r="109" spans="1:32" ht="13.5" customHeight="1" x14ac:dyDescent="0.25">
      <c r="A109" s="14">
        <v>45671</v>
      </c>
      <c r="B109" s="14" t="s">
        <v>47</v>
      </c>
      <c r="C109" s="15">
        <v>1</v>
      </c>
      <c r="D109" s="16"/>
      <c r="E109" s="16"/>
      <c r="F109" s="17"/>
      <c r="G109" s="21"/>
      <c r="H109" s="21"/>
      <c r="I109" s="4">
        <v>0</v>
      </c>
      <c r="J109" s="4">
        <v>0</v>
      </c>
      <c r="K109" s="4"/>
      <c r="L109" s="16"/>
      <c r="M109" s="4"/>
      <c r="N109" s="4"/>
      <c r="O109" s="4"/>
      <c r="P109" s="4"/>
      <c r="Q109" s="4"/>
      <c r="R109" s="4"/>
      <c r="S109" s="4">
        <v>0</v>
      </c>
      <c r="T109" s="4">
        <v>0</v>
      </c>
      <c r="U109" s="4">
        <v>0</v>
      </c>
      <c r="V109" s="4">
        <v>12</v>
      </c>
      <c r="W109" s="4">
        <v>12</v>
      </c>
      <c r="X109" s="4">
        <v>4</v>
      </c>
      <c r="Y109" s="4"/>
      <c r="Z109" s="4">
        <v>185.26499999999999</v>
      </c>
      <c r="AA109" s="4">
        <v>250</v>
      </c>
      <c r="AB109" s="18"/>
      <c r="AC109" s="18">
        <v>3</v>
      </c>
      <c r="AD109" s="28"/>
      <c r="AE109" s="26"/>
      <c r="AF109" s="28"/>
    </row>
    <row r="110" spans="1:32" ht="13.5" customHeight="1" x14ac:dyDescent="0.25">
      <c r="A110" s="14">
        <v>45671</v>
      </c>
      <c r="B110" s="14" t="s">
        <v>46</v>
      </c>
      <c r="C110" s="15">
        <v>3</v>
      </c>
      <c r="D110" s="16"/>
      <c r="E110" s="16"/>
      <c r="F110" s="17"/>
      <c r="G110" s="21"/>
      <c r="H110" s="21"/>
      <c r="I110" s="4">
        <v>0</v>
      </c>
      <c r="J110" s="4">
        <v>0</v>
      </c>
      <c r="K110" s="4"/>
      <c r="L110" s="16"/>
      <c r="M110" s="4"/>
      <c r="N110" s="4"/>
      <c r="O110" s="4"/>
      <c r="P110" s="4"/>
      <c r="Q110" s="4"/>
      <c r="R110" s="4"/>
      <c r="S110" s="4">
        <v>0</v>
      </c>
      <c r="T110" s="4">
        <v>0</v>
      </c>
      <c r="U110" s="4">
        <v>0</v>
      </c>
      <c r="V110" s="4">
        <v>12</v>
      </c>
      <c r="W110" s="4">
        <v>12</v>
      </c>
      <c r="X110" s="4">
        <v>2</v>
      </c>
      <c r="Y110" s="4"/>
      <c r="Z110" s="4">
        <v>476</v>
      </c>
      <c r="AA110" s="4">
        <v>600</v>
      </c>
      <c r="AB110" s="18"/>
      <c r="AC110" s="18">
        <v>3</v>
      </c>
      <c r="AD110" s="28"/>
      <c r="AE110" s="26"/>
      <c r="AF110" s="28"/>
    </row>
    <row r="111" spans="1:32" ht="13.5" customHeight="1" x14ac:dyDescent="0.25">
      <c r="A111" s="14">
        <v>45671</v>
      </c>
      <c r="B111" s="14" t="s">
        <v>47</v>
      </c>
      <c r="C111" s="15">
        <v>3</v>
      </c>
      <c r="D111" s="16"/>
      <c r="E111" s="16"/>
      <c r="F111" s="17"/>
      <c r="G111" s="21"/>
      <c r="H111" s="21"/>
      <c r="I111" s="4">
        <v>0</v>
      </c>
      <c r="J111" s="4">
        <v>0</v>
      </c>
      <c r="K111" s="4"/>
      <c r="L111" s="16"/>
      <c r="M111" s="4"/>
      <c r="N111" s="4"/>
      <c r="O111" s="4"/>
      <c r="P111" s="4"/>
      <c r="Q111" s="4"/>
      <c r="R111" s="4"/>
      <c r="S111" s="4">
        <v>0</v>
      </c>
      <c r="T111" s="4">
        <v>0</v>
      </c>
      <c r="U111" s="4">
        <v>0</v>
      </c>
      <c r="V111" s="4">
        <v>12</v>
      </c>
      <c r="W111" s="4">
        <v>12</v>
      </c>
      <c r="X111" s="4">
        <v>0</v>
      </c>
      <c r="Y111" s="4"/>
      <c r="Z111" s="4">
        <v>439.1</v>
      </c>
      <c r="AA111" s="4">
        <v>500</v>
      </c>
      <c r="AB111" s="18"/>
      <c r="AC111" s="18">
        <v>3</v>
      </c>
      <c r="AD111" s="28"/>
      <c r="AE111" s="26"/>
      <c r="AF111" s="28"/>
    </row>
    <row r="112" spans="1:32" ht="13.5" customHeight="1" x14ac:dyDescent="0.25">
      <c r="A112" s="14">
        <v>45671</v>
      </c>
      <c r="B112" s="14" t="s">
        <v>46</v>
      </c>
      <c r="C112" s="15">
        <v>5</v>
      </c>
      <c r="D112" s="16">
        <v>10</v>
      </c>
      <c r="E112" s="16"/>
      <c r="F112" s="17"/>
      <c r="G112" s="21"/>
      <c r="H112" s="21"/>
      <c r="I112" s="4">
        <v>10</v>
      </c>
      <c r="J112" s="4">
        <v>0.16666666666666666</v>
      </c>
      <c r="K112" s="4"/>
      <c r="L112" s="16"/>
      <c r="M112" s="4"/>
      <c r="N112" s="4"/>
      <c r="O112" s="4"/>
      <c r="P112" s="4"/>
      <c r="Q112" s="4">
        <v>105</v>
      </c>
      <c r="R112" s="4"/>
      <c r="S112" s="4">
        <v>105</v>
      </c>
      <c r="T112" s="4">
        <v>1.75</v>
      </c>
      <c r="U112" s="4">
        <v>1.9166666666666667</v>
      </c>
      <c r="V112" s="4">
        <v>10.083333333333334</v>
      </c>
      <c r="W112" s="4">
        <v>12</v>
      </c>
      <c r="X112" s="4">
        <v>25</v>
      </c>
      <c r="Y112" s="4"/>
      <c r="Z112" s="4">
        <v>266.3</v>
      </c>
      <c r="AA112" s="4">
        <v>300</v>
      </c>
      <c r="AB112" s="18"/>
      <c r="AC112" s="18">
        <v>3</v>
      </c>
      <c r="AD112" s="28"/>
      <c r="AE112" s="26"/>
      <c r="AF112" s="28"/>
    </row>
    <row r="113" spans="1:32" ht="13.5" customHeight="1" x14ac:dyDescent="0.25">
      <c r="A113" s="14">
        <v>45671</v>
      </c>
      <c r="B113" s="14" t="s">
        <v>47</v>
      </c>
      <c r="C113" s="15">
        <v>5</v>
      </c>
      <c r="D113" s="16"/>
      <c r="E113" s="16"/>
      <c r="F113" s="17"/>
      <c r="G113" s="21"/>
      <c r="H113" s="21"/>
      <c r="I113" s="4">
        <v>0</v>
      </c>
      <c r="J113" s="4">
        <v>0</v>
      </c>
      <c r="K113" s="4"/>
      <c r="L113" s="16"/>
      <c r="M113" s="4"/>
      <c r="N113" s="4"/>
      <c r="O113" s="4"/>
      <c r="P113" s="4"/>
      <c r="Q113" s="4"/>
      <c r="R113" s="4"/>
      <c r="S113" s="4">
        <v>0</v>
      </c>
      <c r="T113" s="4">
        <v>0</v>
      </c>
      <c r="U113" s="4">
        <v>0</v>
      </c>
      <c r="V113" s="4">
        <v>12</v>
      </c>
      <c r="W113" s="4">
        <v>12</v>
      </c>
      <c r="X113" s="4">
        <v>45</v>
      </c>
      <c r="Y113" s="4"/>
      <c r="Z113" s="4">
        <v>461.4</v>
      </c>
      <c r="AA113" s="4">
        <v>550</v>
      </c>
      <c r="AB113" s="18"/>
      <c r="AC113" s="18">
        <v>3</v>
      </c>
      <c r="AD113" s="28"/>
      <c r="AE113" s="26"/>
      <c r="AF113" s="28"/>
    </row>
    <row r="114" spans="1:32" ht="13.5" customHeight="1" x14ac:dyDescent="0.25">
      <c r="A114" s="14">
        <v>45671</v>
      </c>
      <c r="B114" s="14" t="s">
        <v>46</v>
      </c>
      <c r="C114" s="15">
        <v>6</v>
      </c>
      <c r="D114" s="16">
        <v>15</v>
      </c>
      <c r="E114" s="16"/>
      <c r="F114" s="17"/>
      <c r="G114" s="21"/>
      <c r="H114" s="21"/>
      <c r="I114" s="4">
        <v>15</v>
      </c>
      <c r="J114" s="4">
        <v>0.25</v>
      </c>
      <c r="K114" s="4"/>
      <c r="L114" s="16"/>
      <c r="M114" s="4"/>
      <c r="N114" s="4">
        <v>10</v>
      </c>
      <c r="O114" s="4"/>
      <c r="P114" s="4"/>
      <c r="Q114" s="4"/>
      <c r="R114" s="4"/>
      <c r="S114" s="4">
        <v>10</v>
      </c>
      <c r="T114" s="4">
        <v>0.16666666666666666</v>
      </c>
      <c r="U114" s="4">
        <v>0.41666666666666663</v>
      </c>
      <c r="V114" s="4">
        <v>11.583333333333334</v>
      </c>
      <c r="W114" s="4">
        <v>12</v>
      </c>
      <c r="X114" s="4">
        <v>25</v>
      </c>
      <c r="Y114" s="4"/>
      <c r="Z114" s="4">
        <v>451.5</v>
      </c>
      <c r="AA114" s="4">
        <v>550</v>
      </c>
      <c r="AB114" s="18"/>
      <c r="AC114" s="18">
        <v>3</v>
      </c>
      <c r="AD114" s="28"/>
      <c r="AE114" s="26"/>
      <c r="AF114" s="28"/>
    </row>
    <row r="115" spans="1:32" ht="13.5" customHeight="1" x14ac:dyDescent="0.25">
      <c r="A115" s="14">
        <v>45671</v>
      </c>
      <c r="B115" s="14" t="s">
        <v>47</v>
      </c>
      <c r="C115" s="15">
        <v>6</v>
      </c>
      <c r="D115" s="16"/>
      <c r="E115" s="16"/>
      <c r="F115" s="17"/>
      <c r="G115" s="21"/>
      <c r="H115" s="21"/>
      <c r="I115" s="4">
        <v>0</v>
      </c>
      <c r="J115" s="4">
        <v>0</v>
      </c>
      <c r="K115" s="4"/>
      <c r="L115" s="16"/>
      <c r="M115" s="4"/>
      <c r="N115" s="4"/>
      <c r="O115" s="4"/>
      <c r="P115" s="4"/>
      <c r="Q115" s="4"/>
      <c r="R115" s="4"/>
      <c r="S115" s="4">
        <v>0</v>
      </c>
      <c r="T115" s="4">
        <v>0</v>
      </c>
      <c r="U115" s="4">
        <v>0</v>
      </c>
      <c r="V115" s="4">
        <v>12</v>
      </c>
      <c r="W115" s="4">
        <v>12</v>
      </c>
      <c r="X115" s="4">
        <v>22</v>
      </c>
      <c r="Y115" s="4"/>
      <c r="Z115" s="4">
        <v>580.20000000000005</v>
      </c>
      <c r="AA115" s="4">
        <v>600</v>
      </c>
      <c r="AB115" s="18"/>
      <c r="AC115" s="18">
        <v>3</v>
      </c>
      <c r="AD115" s="28"/>
      <c r="AE115" s="26"/>
      <c r="AF115" s="28"/>
    </row>
    <row r="116" spans="1:32" ht="13.5" customHeight="1" x14ac:dyDescent="0.25">
      <c r="A116" s="14">
        <v>45672</v>
      </c>
      <c r="B116" s="14" t="s">
        <v>46</v>
      </c>
      <c r="C116" s="15">
        <v>1</v>
      </c>
      <c r="D116" s="16"/>
      <c r="E116" s="16"/>
      <c r="F116" s="17"/>
      <c r="G116" s="21"/>
      <c r="H116" s="21"/>
      <c r="I116" s="4">
        <v>0</v>
      </c>
      <c r="J116" s="4">
        <v>0</v>
      </c>
      <c r="K116" s="4"/>
      <c r="L116" s="16"/>
      <c r="M116" s="4"/>
      <c r="N116" s="4"/>
      <c r="O116" s="4"/>
      <c r="P116" s="4"/>
      <c r="Q116" s="4"/>
      <c r="R116" s="4"/>
      <c r="S116" s="4">
        <v>0</v>
      </c>
      <c r="T116" s="4">
        <v>0</v>
      </c>
      <c r="U116" s="4">
        <v>0</v>
      </c>
      <c r="V116" s="4">
        <v>12</v>
      </c>
      <c r="W116" s="4">
        <v>12</v>
      </c>
      <c r="X116" s="4">
        <v>45</v>
      </c>
      <c r="Y116" s="4">
        <v>2511</v>
      </c>
      <c r="Z116" s="4">
        <v>161.4</v>
      </c>
      <c r="AA116" s="4">
        <v>200</v>
      </c>
      <c r="AB116" s="18">
        <v>372</v>
      </c>
      <c r="AC116" s="18">
        <v>3</v>
      </c>
      <c r="AD116" s="28"/>
      <c r="AE116" s="26"/>
      <c r="AF116" s="28"/>
    </row>
    <row r="117" spans="1:32" ht="13.5" customHeight="1" x14ac:dyDescent="0.25">
      <c r="A117" s="14">
        <v>45672</v>
      </c>
      <c r="B117" s="14" t="s">
        <v>47</v>
      </c>
      <c r="C117" s="15">
        <v>1</v>
      </c>
      <c r="D117" s="16"/>
      <c r="E117" s="16"/>
      <c r="F117" s="17"/>
      <c r="G117" s="21"/>
      <c r="H117" s="21"/>
      <c r="I117" s="4">
        <v>0</v>
      </c>
      <c r="J117" s="4">
        <v>0</v>
      </c>
      <c r="K117" s="4"/>
      <c r="L117" s="16"/>
      <c r="M117" s="4"/>
      <c r="N117" s="4"/>
      <c r="O117" s="4"/>
      <c r="P117" s="4"/>
      <c r="Q117" s="4"/>
      <c r="R117" s="4"/>
      <c r="S117" s="4">
        <v>0</v>
      </c>
      <c r="T117" s="4">
        <v>0</v>
      </c>
      <c r="U117" s="4">
        <v>0</v>
      </c>
      <c r="V117" s="4">
        <v>12</v>
      </c>
      <c r="W117" s="4">
        <v>12</v>
      </c>
      <c r="X117" s="4">
        <v>0</v>
      </c>
      <c r="Y117" s="4"/>
      <c r="Z117" s="4">
        <v>225.1</v>
      </c>
      <c r="AA117" s="4">
        <v>250</v>
      </c>
      <c r="AB117" s="18"/>
      <c r="AC117" s="18">
        <v>3</v>
      </c>
      <c r="AD117" s="28"/>
      <c r="AE117" s="26"/>
      <c r="AF117" s="28"/>
    </row>
    <row r="118" spans="1:32" ht="13.5" customHeight="1" x14ac:dyDescent="0.25">
      <c r="A118" s="14">
        <v>45672</v>
      </c>
      <c r="B118" s="14" t="s">
        <v>46</v>
      </c>
      <c r="C118" s="15">
        <v>3</v>
      </c>
      <c r="D118" s="16">
        <v>1</v>
      </c>
      <c r="E118" s="16"/>
      <c r="F118" s="17"/>
      <c r="G118" s="21"/>
      <c r="H118" s="21"/>
      <c r="I118" s="4">
        <v>1</v>
      </c>
      <c r="J118" s="4">
        <v>1.6666666666666666E-2</v>
      </c>
      <c r="K118" s="4"/>
      <c r="L118" s="16"/>
      <c r="M118" s="4"/>
      <c r="N118" s="4"/>
      <c r="O118" s="4"/>
      <c r="P118" s="4"/>
      <c r="Q118" s="4"/>
      <c r="R118" s="4"/>
      <c r="S118" s="4">
        <v>0</v>
      </c>
      <c r="T118" s="4">
        <v>0</v>
      </c>
      <c r="U118" s="4">
        <v>1.6666666666666666E-2</v>
      </c>
      <c r="V118" s="4">
        <v>11.983333333333333</v>
      </c>
      <c r="W118" s="4">
        <v>12</v>
      </c>
      <c r="X118" s="4">
        <v>0</v>
      </c>
      <c r="Y118" s="4"/>
      <c r="Z118" s="4">
        <v>545.6</v>
      </c>
      <c r="AA118" s="4">
        <v>550</v>
      </c>
      <c r="AB118" s="18"/>
      <c r="AC118" s="18">
        <v>3</v>
      </c>
      <c r="AD118" s="28"/>
      <c r="AE118" s="26"/>
      <c r="AF118" s="28"/>
    </row>
    <row r="119" spans="1:32" ht="13.5" customHeight="1" x14ac:dyDescent="0.25">
      <c r="A119" s="14">
        <v>45672</v>
      </c>
      <c r="B119" s="14" t="s">
        <v>47</v>
      </c>
      <c r="C119" s="15">
        <v>3</v>
      </c>
      <c r="D119" s="16"/>
      <c r="E119" s="16"/>
      <c r="F119" s="17"/>
      <c r="G119" s="21"/>
      <c r="H119" s="21"/>
      <c r="I119" s="4">
        <v>0</v>
      </c>
      <c r="J119" s="4">
        <v>0</v>
      </c>
      <c r="K119" s="4"/>
      <c r="L119" s="16"/>
      <c r="M119" s="4"/>
      <c r="N119" s="4"/>
      <c r="O119" s="4"/>
      <c r="P119" s="4"/>
      <c r="Q119" s="4"/>
      <c r="R119" s="4"/>
      <c r="S119" s="4">
        <v>0</v>
      </c>
      <c r="T119" s="4">
        <v>0</v>
      </c>
      <c r="U119" s="4">
        <v>0</v>
      </c>
      <c r="V119" s="4">
        <v>12</v>
      </c>
      <c r="W119" s="4">
        <v>12</v>
      </c>
      <c r="X119" s="4">
        <v>0</v>
      </c>
      <c r="Y119" s="4"/>
      <c r="Z119" s="4">
        <v>459.7</v>
      </c>
      <c r="AA119" s="4">
        <v>450</v>
      </c>
      <c r="AB119" s="18"/>
      <c r="AC119" s="18">
        <v>3</v>
      </c>
      <c r="AD119" s="28"/>
      <c r="AE119" s="26"/>
      <c r="AF119" s="28"/>
    </row>
    <row r="120" spans="1:32" ht="13.5" customHeight="1" x14ac:dyDescent="0.25">
      <c r="A120" s="14">
        <v>45672</v>
      </c>
      <c r="B120" s="14" t="s">
        <v>46</v>
      </c>
      <c r="C120" s="15">
        <v>5</v>
      </c>
      <c r="D120" s="16">
        <v>5</v>
      </c>
      <c r="E120" s="16"/>
      <c r="F120" s="17"/>
      <c r="G120" s="21"/>
      <c r="H120" s="21"/>
      <c r="I120" s="4">
        <v>5</v>
      </c>
      <c r="J120" s="4">
        <v>8.3333333333333329E-2</v>
      </c>
      <c r="K120" s="4"/>
      <c r="L120" s="16"/>
      <c r="M120" s="4"/>
      <c r="N120" s="4"/>
      <c r="O120" s="4"/>
      <c r="P120" s="4"/>
      <c r="Q120" s="4"/>
      <c r="R120" s="4"/>
      <c r="S120" s="4">
        <v>0</v>
      </c>
      <c r="T120" s="4">
        <v>0</v>
      </c>
      <c r="U120" s="4">
        <v>8.3333333333333329E-2</v>
      </c>
      <c r="V120" s="4">
        <v>11.916666666666666</v>
      </c>
      <c r="W120" s="4">
        <v>12</v>
      </c>
      <c r="X120" s="4">
        <v>0</v>
      </c>
      <c r="Y120" s="4"/>
      <c r="Z120" s="4">
        <v>509.3</v>
      </c>
      <c r="AA120" s="4">
        <v>500</v>
      </c>
      <c r="AB120" s="18"/>
      <c r="AC120" s="18">
        <v>3</v>
      </c>
      <c r="AD120" s="28"/>
      <c r="AE120" s="26"/>
      <c r="AF120" s="28"/>
    </row>
    <row r="121" spans="1:32" ht="13.5" customHeight="1" x14ac:dyDescent="0.25">
      <c r="A121" s="14">
        <v>45672</v>
      </c>
      <c r="B121" s="14" t="s">
        <v>47</v>
      </c>
      <c r="C121" s="15">
        <v>5</v>
      </c>
      <c r="D121" s="16"/>
      <c r="E121" s="16"/>
      <c r="F121" s="17"/>
      <c r="G121" s="21"/>
      <c r="H121" s="21"/>
      <c r="I121" s="4">
        <v>0</v>
      </c>
      <c r="J121" s="4">
        <v>0</v>
      </c>
      <c r="K121" s="4"/>
      <c r="L121" s="16"/>
      <c r="M121" s="4"/>
      <c r="N121" s="4"/>
      <c r="O121" s="4"/>
      <c r="P121" s="4"/>
      <c r="Q121" s="4"/>
      <c r="R121" s="4"/>
      <c r="S121" s="4">
        <v>0</v>
      </c>
      <c r="T121" s="4">
        <v>0</v>
      </c>
      <c r="U121" s="4">
        <v>0</v>
      </c>
      <c r="V121" s="4">
        <v>12</v>
      </c>
      <c r="W121" s="4">
        <v>12</v>
      </c>
      <c r="X121" s="4">
        <v>14</v>
      </c>
      <c r="Y121" s="4"/>
      <c r="Z121" s="4">
        <v>647.40000000000009</v>
      </c>
      <c r="AA121" s="4">
        <v>700</v>
      </c>
      <c r="AB121" s="18"/>
      <c r="AC121" s="18">
        <v>3</v>
      </c>
      <c r="AD121" s="28"/>
      <c r="AE121" s="26"/>
      <c r="AF121" s="28"/>
    </row>
    <row r="122" spans="1:32" ht="13.5" customHeight="1" x14ac:dyDescent="0.25">
      <c r="A122" s="14">
        <v>45672</v>
      </c>
      <c r="B122" s="14" t="s">
        <v>46</v>
      </c>
      <c r="C122" s="15">
        <v>6</v>
      </c>
      <c r="D122" s="16">
        <v>30</v>
      </c>
      <c r="E122" s="16"/>
      <c r="F122" s="17"/>
      <c r="G122" s="21"/>
      <c r="H122" s="21"/>
      <c r="I122" s="4">
        <v>30</v>
      </c>
      <c r="J122" s="4">
        <v>0.5</v>
      </c>
      <c r="K122" s="4"/>
      <c r="L122" s="16"/>
      <c r="M122" s="4"/>
      <c r="N122" s="4"/>
      <c r="O122" s="4"/>
      <c r="P122" s="4"/>
      <c r="Q122" s="4"/>
      <c r="R122" s="4"/>
      <c r="S122" s="4">
        <v>0</v>
      </c>
      <c r="T122" s="4">
        <v>0</v>
      </c>
      <c r="U122" s="4">
        <v>0.5</v>
      </c>
      <c r="V122" s="4">
        <v>11.5</v>
      </c>
      <c r="W122" s="4">
        <v>12</v>
      </c>
      <c r="X122" s="4">
        <v>0</v>
      </c>
      <c r="Y122" s="4"/>
      <c r="Z122" s="4">
        <v>661</v>
      </c>
      <c r="AA122" s="4">
        <v>700</v>
      </c>
      <c r="AB122" s="18"/>
      <c r="AC122" s="18">
        <v>3</v>
      </c>
      <c r="AD122" s="28"/>
      <c r="AE122" s="26"/>
      <c r="AF122" s="28"/>
    </row>
    <row r="123" spans="1:32" ht="13.5" customHeight="1" x14ac:dyDescent="0.25">
      <c r="A123" s="14">
        <v>45672</v>
      </c>
      <c r="B123" s="14" t="s">
        <v>47</v>
      </c>
      <c r="C123" s="15">
        <v>6</v>
      </c>
      <c r="D123" s="16"/>
      <c r="E123" s="16"/>
      <c r="F123" s="17"/>
      <c r="G123" s="21"/>
      <c r="H123" s="21"/>
      <c r="I123" s="4">
        <v>0</v>
      </c>
      <c r="J123" s="4">
        <v>0</v>
      </c>
      <c r="K123" s="4"/>
      <c r="L123" s="16"/>
      <c r="M123" s="4"/>
      <c r="N123" s="4"/>
      <c r="O123" s="4"/>
      <c r="P123" s="4"/>
      <c r="Q123" s="4"/>
      <c r="R123" s="4"/>
      <c r="S123" s="4">
        <v>0</v>
      </c>
      <c r="T123" s="4">
        <v>0</v>
      </c>
      <c r="U123" s="4">
        <v>0</v>
      </c>
      <c r="V123" s="4">
        <v>12</v>
      </c>
      <c r="W123" s="4">
        <v>12</v>
      </c>
      <c r="X123" s="4">
        <v>60</v>
      </c>
      <c r="Y123" s="4"/>
      <c r="Z123" s="4">
        <v>562.80000000000007</v>
      </c>
      <c r="AA123" s="4">
        <v>600</v>
      </c>
      <c r="AB123" s="18"/>
      <c r="AC123" s="18">
        <v>3</v>
      </c>
      <c r="AD123" s="28"/>
      <c r="AE123" s="26"/>
      <c r="AF123" s="28"/>
    </row>
    <row r="124" spans="1:32" ht="13.5" customHeight="1" x14ac:dyDescent="0.25">
      <c r="A124" s="14">
        <v>45672</v>
      </c>
      <c r="B124" s="14" t="s">
        <v>46</v>
      </c>
      <c r="C124" s="15">
        <v>7</v>
      </c>
      <c r="D124" s="16"/>
      <c r="E124" s="16"/>
      <c r="F124" s="17"/>
      <c r="G124" s="21"/>
      <c r="H124" s="21"/>
      <c r="I124" s="4">
        <v>0</v>
      </c>
      <c r="J124" s="4">
        <v>0</v>
      </c>
      <c r="K124" s="4"/>
      <c r="L124" s="16"/>
      <c r="M124" s="4"/>
      <c r="N124" s="4"/>
      <c r="O124" s="4"/>
      <c r="P124" s="4"/>
      <c r="Q124" s="4"/>
      <c r="R124" s="4"/>
      <c r="S124" s="4">
        <v>0</v>
      </c>
      <c r="T124" s="4">
        <v>0</v>
      </c>
      <c r="U124" s="4">
        <v>0</v>
      </c>
      <c r="V124" s="4">
        <v>12</v>
      </c>
      <c r="W124" s="4">
        <v>12</v>
      </c>
      <c r="X124" s="4">
        <v>0</v>
      </c>
      <c r="Y124" s="4"/>
      <c r="Z124" s="4">
        <v>317.33</v>
      </c>
      <c r="AA124" s="4">
        <v>350</v>
      </c>
      <c r="AB124" s="18"/>
      <c r="AC124" s="18">
        <v>3</v>
      </c>
      <c r="AD124" s="28"/>
      <c r="AE124" s="26"/>
      <c r="AF124" s="28"/>
    </row>
    <row r="125" spans="1:32" ht="13.5" customHeight="1" x14ac:dyDescent="0.25">
      <c r="A125" s="14">
        <v>45672</v>
      </c>
      <c r="B125" s="14" t="s">
        <v>47</v>
      </c>
      <c r="C125" s="15">
        <v>7</v>
      </c>
      <c r="D125" s="16"/>
      <c r="E125" s="16"/>
      <c r="F125" s="17"/>
      <c r="G125" s="21"/>
      <c r="H125" s="21"/>
      <c r="I125" s="4">
        <v>0</v>
      </c>
      <c r="J125" s="4">
        <v>0</v>
      </c>
      <c r="K125" s="4"/>
      <c r="L125" s="16"/>
      <c r="M125" s="4"/>
      <c r="N125" s="4"/>
      <c r="O125" s="4"/>
      <c r="P125" s="4"/>
      <c r="Q125" s="4"/>
      <c r="R125" s="4"/>
      <c r="S125" s="4">
        <v>0</v>
      </c>
      <c r="T125" s="4">
        <v>0</v>
      </c>
      <c r="U125" s="4">
        <v>0</v>
      </c>
      <c r="V125" s="4">
        <v>12</v>
      </c>
      <c r="W125" s="4">
        <v>12</v>
      </c>
      <c r="X125" s="4">
        <v>20.100000000000001</v>
      </c>
      <c r="Y125" s="4"/>
      <c r="Z125" s="4">
        <v>419.49</v>
      </c>
      <c r="AA125" s="4">
        <v>400</v>
      </c>
      <c r="AB125" s="18"/>
      <c r="AC125" s="18">
        <v>3</v>
      </c>
      <c r="AD125" s="28"/>
      <c r="AE125" s="26"/>
      <c r="AF125" s="28"/>
    </row>
    <row r="126" spans="1:32" ht="13.5" customHeight="1" x14ac:dyDescent="0.25">
      <c r="A126" s="14">
        <v>45673</v>
      </c>
      <c r="B126" s="14" t="s">
        <v>46</v>
      </c>
      <c r="C126" s="15">
        <v>1</v>
      </c>
      <c r="D126" s="16"/>
      <c r="E126" s="16"/>
      <c r="F126" s="17"/>
      <c r="G126" s="21"/>
      <c r="H126" s="21"/>
      <c r="I126" s="4">
        <v>0</v>
      </c>
      <c r="J126" s="4">
        <v>0</v>
      </c>
      <c r="K126" s="4"/>
      <c r="L126" s="16"/>
      <c r="M126" s="4"/>
      <c r="N126" s="4"/>
      <c r="O126" s="4"/>
      <c r="P126" s="4"/>
      <c r="Q126" s="4"/>
      <c r="R126" s="4"/>
      <c r="S126" s="4">
        <v>0</v>
      </c>
      <c r="T126" s="4">
        <v>0</v>
      </c>
      <c r="U126" s="4">
        <v>0</v>
      </c>
      <c r="V126" s="4">
        <v>12</v>
      </c>
      <c r="W126" s="4">
        <v>12</v>
      </c>
      <c r="X126" s="4">
        <v>70</v>
      </c>
      <c r="Y126" s="4">
        <v>2565</v>
      </c>
      <c r="Z126" s="4">
        <v>183.5</v>
      </c>
      <c r="AA126" s="4">
        <f>200-60</f>
        <v>140</v>
      </c>
      <c r="AB126" s="18">
        <v>372</v>
      </c>
      <c r="AC126" s="18">
        <v>3</v>
      </c>
      <c r="AD126" s="28"/>
      <c r="AE126" s="26"/>
      <c r="AF126" s="28"/>
    </row>
    <row r="127" spans="1:32" ht="13.5" customHeight="1" x14ac:dyDescent="0.25">
      <c r="A127" s="14">
        <v>45673</v>
      </c>
      <c r="B127" s="14" t="s">
        <v>47</v>
      </c>
      <c r="C127" s="15">
        <v>1</v>
      </c>
      <c r="D127" s="16"/>
      <c r="E127" s="16"/>
      <c r="F127" s="17"/>
      <c r="G127" s="21"/>
      <c r="H127" s="21"/>
      <c r="I127" s="4">
        <v>0</v>
      </c>
      <c r="J127" s="4">
        <v>0</v>
      </c>
      <c r="K127" s="4"/>
      <c r="L127" s="16"/>
      <c r="M127" s="4"/>
      <c r="N127" s="4"/>
      <c r="O127" s="4"/>
      <c r="P127" s="4"/>
      <c r="Q127" s="4"/>
      <c r="R127" s="4"/>
      <c r="S127" s="4">
        <v>0</v>
      </c>
      <c r="T127" s="4">
        <v>0</v>
      </c>
      <c r="U127" s="4">
        <v>0</v>
      </c>
      <c r="V127" s="4">
        <v>12</v>
      </c>
      <c r="W127" s="4">
        <v>12</v>
      </c>
      <c r="X127" s="4">
        <v>0</v>
      </c>
      <c r="Y127" s="4"/>
      <c r="Z127" s="4">
        <v>165.4</v>
      </c>
      <c r="AA127" s="4">
        <v>150</v>
      </c>
      <c r="AB127" s="18"/>
      <c r="AC127" s="18">
        <v>3</v>
      </c>
      <c r="AD127" s="28"/>
      <c r="AE127" s="26"/>
      <c r="AF127" s="28"/>
    </row>
    <row r="128" spans="1:32" ht="13.5" customHeight="1" x14ac:dyDescent="0.25">
      <c r="A128" s="14">
        <v>45673</v>
      </c>
      <c r="B128" s="14" t="s">
        <v>46</v>
      </c>
      <c r="C128" s="15">
        <v>3</v>
      </c>
      <c r="D128" s="16"/>
      <c r="E128" s="16"/>
      <c r="F128" s="17"/>
      <c r="G128" s="21"/>
      <c r="H128" s="21"/>
      <c r="I128" s="4">
        <v>0</v>
      </c>
      <c r="J128" s="4">
        <v>0</v>
      </c>
      <c r="K128" s="4"/>
      <c r="L128" s="16"/>
      <c r="M128" s="4"/>
      <c r="N128" s="4"/>
      <c r="O128" s="4"/>
      <c r="P128" s="4"/>
      <c r="Q128" s="4"/>
      <c r="R128" s="4"/>
      <c r="S128" s="4">
        <v>0</v>
      </c>
      <c r="T128" s="4">
        <v>0</v>
      </c>
      <c r="U128" s="4">
        <v>0</v>
      </c>
      <c r="V128" s="4">
        <v>12</v>
      </c>
      <c r="W128" s="4">
        <v>12</v>
      </c>
      <c r="X128" s="4">
        <v>0</v>
      </c>
      <c r="Y128" s="4"/>
      <c r="Z128" s="4">
        <v>434.6</v>
      </c>
      <c r="AA128" s="4">
        <v>480</v>
      </c>
      <c r="AB128" s="18"/>
      <c r="AC128" s="18">
        <v>3</v>
      </c>
      <c r="AD128" s="28"/>
      <c r="AE128" s="26"/>
      <c r="AF128" s="28"/>
    </row>
    <row r="129" spans="1:32" ht="13.5" customHeight="1" x14ac:dyDescent="0.25">
      <c r="A129" s="14">
        <v>45673</v>
      </c>
      <c r="B129" s="14" t="s">
        <v>47</v>
      </c>
      <c r="C129" s="15">
        <v>3</v>
      </c>
      <c r="D129" s="16"/>
      <c r="E129" s="16"/>
      <c r="F129" s="17"/>
      <c r="G129" s="21"/>
      <c r="H129" s="21"/>
      <c r="I129" s="4">
        <v>0</v>
      </c>
      <c r="J129" s="4">
        <v>0</v>
      </c>
      <c r="K129" s="4"/>
      <c r="L129" s="16"/>
      <c r="M129" s="4"/>
      <c r="N129" s="4"/>
      <c r="O129" s="4"/>
      <c r="P129" s="4"/>
      <c r="Q129" s="4"/>
      <c r="R129" s="4"/>
      <c r="S129" s="4">
        <v>0</v>
      </c>
      <c r="T129" s="4">
        <v>0</v>
      </c>
      <c r="U129" s="4">
        <v>0</v>
      </c>
      <c r="V129" s="4">
        <v>12</v>
      </c>
      <c r="W129" s="4">
        <v>12</v>
      </c>
      <c r="X129" s="4">
        <v>9</v>
      </c>
      <c r="Y129" s="4"/>
      <c r="Z129" s="4">
        <v>320.39999999999998</v>
      </c>
      <c r="AA129" s="4">
        <v>350</v>
      </c>
      <c r="AB129" s="18"/>
      <c r="AC129" s="18">
        <v>3</v>
      </c>
      <c r="AD129" s="28"/>
      <c r="AE129" s="26"/>
      <c r="AF129" s="28"/>
    </row>
    <row r="130" spans="1:32" ht="13.5" customHeight="1" x14ac:dyDescent="0.25">
      <c r="A130" s="14">
        <v>45673</v>
      </c>
      <c r="B130" s="14" t="s">
        <v>46</v>
      </c>
      <c r="C130" s="15">
        <v>5</v>
      </c>
      <c r="D130" s="16"/>
      <c r="E130" s="16"/>
      <c r="F130" s="17"/>
      <c r="G130" s="21"/>
      <c r="H130" s="21"/>
      <c r="I130" s="4">
        <v>0</v>
      </c>
      <c r="J130" s="4">
        <v>0</v>
      </c>
      <c r="K130" s="4"/>
      <c r="L130" s="16"/>
      <c r="M130" s="4"/>
      <c r="N130" s="4"/>
      <c r="O130" s="4"/>
      <c r="P130" s="4"/>
      <c r="Q130" s="4"/>
      <c r="R130" s="4"/>
      <c r="S130" s="4">
        <v>0</v>
      </c>
      <c r="T130" s="4">
        <v>0</v>
      </c>
      <c r="U130" s="4">
        <v>0</v>
      </c>
      <c r="V130" s="4">
        <v>12</v>
      </c>
      <c r="W130" s="4">
        <v>12</v>
      </c>
      <c r="X130" s="4">
        <v>0</v>
      </c>
      <c r="Y130" s="4"/>
      <c r="Z130" s="4">
        <v>783.69999999999993</v>
      </c>
      <c r="AA130" s="4">
        <v>750</v>
      </c>
      <c r="AB130" s="18"/>
      <c r="AC130" s="18">
        <v>3</v>
      </c>
      <c r="AD130" s="28"/>
      <c r="AE130" s="26"/>
      <c r="AF130" s="28"/>
    </row>
    <row r="131" spans="1:32" ht="13.5" customHeight="1" x14ac:dyDescent="0.25">
      <c r="A131" s="14">
        <v>45673</v>
      </c>
      <c r="B131" s="14" t="s">
        <v>47</v>
      </c>
      <c r="C131" s="15">
        <v>5</v>
      </c>
      <c r="D131" s="16"/>
      <c r="E131" s="16"/>
      <c r="F131" s="17"/>
      <c r="G131" s="21"/>
      <c r="H131" s="21"/>
      <c r="I131" s="4">
        <v>0</v>
      </c>
      <c r="J131" s="4">
        <v>0</v>
      </c>
      <c r="K131" s="4"/>
      <c r="L131" s="16"/>
      <c r="M131" s="4"/>
      <c r="N131" s="4"/>
      <c r="O131" s="4"/>
      <c r="P131" s="4"/>
      <c r="Q131" s="4"/>
      <c r="R131" s="4"/>
      <c r="S131" s="4">
        <v>0</v>
      </c>
      <c r="T131" s="4">
        <v>0</v>
      </c>
      <c r="U131" s="4">
        <v>0</v>
      </c>
      <c r="V131" s="4">
        <v>12</v>
      </c>
      <c r="W131" s="4">
        <v>12</v>
      </c>
      <c r="X131" s="4">
        <v>4</v>
      </c>
      <c r="Y131" s="4"/>
      <c r="Z131" s="4">
        <v>726.8</v>
      </c>
      <c r="AA131" s="4">
        <v>700</v>
      </c>
      <c r="AB131" s="18"/>
      <c r="AC131" s="18">
        <v>3</v>
      </c>
      <c r="AD131" s="28"/>
      <c r="AE131" s="26"/>
      <c r="AF131" s="28"/>
    </row>
    <row r="132" spans="1:32" ht="13.5" customHeight="1" x14ac:dyDescent="0.25">
      <c r="A132" s="14">
        <v>45673</v>
      </c>
      <c r="B132" s="14" t="s">
        <v>46</v>
      </c>
      <c r="C132" s="15">
        <v>6</v>
      </c>
      <c r="D132" s="16">
        <v>19</v>
      </c>
      <c r="E132" s="16"/>
      <c r="F132" s="17"/>
      <c r="G132" s="21"/>
      <c r="H132" s="21"/>
      <c r="I132" s="4">
        <v>19</v>
      </c>
      <c r="J132" s="4">
        <v>0.31666666666666665</v>
      </c>
      <c r="K132" s="4"/>
      <c r="L132" s="16"/>
      <c r="M132" s="4"/>
      <c r="N132" s="4"/>
      <c r="O132" s="4"/>
      <c r="P132" s="4"/>
      <c r="Q132" s="4"/>
      <c r="R132" s="4"/>
      <c r="S132" s="4">
        <v>0</v>
      </c>
      <c r="T132" s="4">
        <v>0</v>
      </c>
      <c r="U132" s="4">
        <v>0.31666666666666665</v>
      </c>
      <c r="V132" s="4">
        <v>11.683333333333334</v>
      </c>
      <c r="W132" s="4">
        <v>12</v>
      </c>
      <c r="X132" s="4">
        <v>0</v>
      </c>
      <c r="Y132" s="4"/>
      <c r="Z132" s="4">
        <v>684.9</v>
      </c>
      <c r="AA132" s="4">
        <v>680</v>
      </c>
      <c r="AB132" s="18"/>
      <c r="AC132" s="18">
        <v>3</v>
      </c>
      <c r="AD132" s="28"/>
      <c r="AE132" s="26"/>
      <c r="AF132" s="28"/>
    </row>
    <row r="133" spans="1:32" ht="13.5" customHeight="1" x14ac:dyDescent="0.25">
      <c r="A133" s="14">
        <v>45673</v>
      </c>
      <c r="B133" s="14" t="s">
        <v>47</v>
      </c>
      <c r="C133" s="15">
        <v>6</v>
      </c>
      <c r="D133" s="16"/>
      <c r="E133" s="16"/>
      <c r="F133" s="17"/>
      <c r="G133" s="21"/>
      <c r="H133" s="21"/>
      <c r="I133" s="4">
        <v>0</v>
      </c>
      <c r="J133" s="4">
        <v>0</v>
      </c>
      <c r="K133" s="4"/>
      <c r="L133" s="16"/>
      <c r="M133" s="4"/>
      <c r="N133" s="4"/>
      <c r="O133" s="4"/>
      <c r="P133" s="4"/>
      <c r="Q133" s="4"/>
      <c r="R133" s="4"/>
      <c r="S133" s="4">
        <v>0</v>
      </c>
      <c r="T133" s="4">
        <v>0</v>
      </c>
      <c r="U133" s="4">
        <v>0</v>
      </c>
      <c r="V133" s="4">
        <v>12</v>
      </c>
      <c r="W133" s="4">
        <v>12</v>
      </c>
      <c r="X133" s="4">
        <v>28</v>
      </c>
      <c r="Y133" s="4"/>
      <c r="Z133" s="4">
        <v>758.60000000000014</v>
      </c>
      <c r="AA133" s="4">
        <v>750</v>
      </c>
      <c r="AB133" s="18"/>
      <c r="AC133" s="18">
        <v>3</v>
      </c>
      <c r="AD133" s="28"/>
      <c r="AE133" s="26"/>
      <c r="AF133" s="28"/>
    </row>
    <row r="134" spans="1:32" ht="13.5" customHeight="1" x14ac:dyDescent="0.25">
      <c r="A134" s="14">
        <v>45673</v>
      </c>
      <c r="B134" s="14" t="s">
        <v>46</v>
      </c>
      <c r="C134" s="15">
        <v>7</v>
      </c>
      <c r="D134" s="16"/>
      <c r="E134" s="16"/>
      <c r="F134" s="17"/>
      <c r="G134" s="21"/>
      <c r="H134" s="21"/>
      <c r="I134" s="4">
        <v>0</v>
      </c>
      <c r="J134" s="4">
        <v>0</v>
      </c>
      <c r="K134" s="4"/>
      <c r="L134" s="16"/>
      <c r="M134" s="4"/>
      <c r="N134" s="4"/>
      <c r="O134" s="4"/>
      <c r="P134" s="4"/>
      <c r="Q134" s="4"/>
      <c r="R134" s="4"/>
      <c r="S134" s="4">
        <v>0</v>
      </c>
      <c r="T134" s="4">
        <v>0</v>
      </c>
      <c r="U134" s="4">
        <v>0</v>
      </c>
      <c r="V134" s="4">
        <v>12</v>
      </c>
      <c r="W134" s="4">
        <v>12</v>
      </c>
      <c r="X134" s="4">
        <v>0</v>
      </c>
      <c r="Y134" s="4"/>
      <c r="Z134" s="4">
        <v>447.55000000000007</v>
      </c>
      <c r="AA134" s="4">
        <v>450</v>
      </c>
      <c r="AB134" s="18"/>
      <c r="AC134" s="18">
        <v>3</v>
      </c>
      <c r="AD134" s="28"/>
      <c r="AE134" s="26"/>
      <c r="AF134" s="28"/>
    </row>
    <row r="135" spans="1:32" ht="13.5" customHeight="1" x14ac:dyDescent="0.25">
      <c r="A135" s="14">
        <v>45673</v>
      </c>
      <c r="B135" s="14" t="s">
        <v>47</v>
      </c>
      <c r="C135" s="15">
        <v>7</v>
      </c>
      <c r="D135" s="16"/>
      <c r="E135" s="16"/>
      <c r="F135" s="17"/>
      <c r="G135" s="21"/>
      <c r="H135" s="21"/>
      <c r="I135" s="4">
        <v>0</v>
      </c>
      <c r="J135" s="4">
        <v>0</v>
      </c>
      <c r="K135" s="4"/>
      <c r="L135" s="16"/>
      <c r="M135" s="4"/>
      <c r="N135" s="4"/>
      <c r="O135" s="4"/>
      <c r="P135" s="4"/>
      <c r="Q135" s="4"/>
      <c r="R135" s="4"/>
      <c r="S135" s="4">
        <v>0</v>
      </c>
      <c r="T135" s="4">
        <v>0</v>
      </c>
      <c r="U135" s="4">
        <v>0</v>
      </c>
      <c r="V135" s="4">
        <v>12</v>
      </c>
      <c r="W135" s="4">
        <v>12</v>
      </c>
      <c r="X135" s="4">
        <v>12.4</v>
      </c>
      <c r="Y135" s="4"/>
      <c r="Z135" s="4">
        <v>374.39</v>
      </c>
      <c r="AA135" s="4">
        <v>350</v>
      </c>
      <c r="AB135" s="18"/>
      <c r="AC135" s="18">
        <v>3</v>
      </c>
      <c r="AD135" s="28"/>
      <c r="AE135" s="26"/>
      <c r="AF135" s="28"/>
    </row>
    <row r="136" spans="1:32" ht="13.5" customHeight="1" x14ac:dyDescent="0.25">
      <c r="A136" s="14">
        <v>45674</v>
      </c>
      <c r="B136" s="14" t="s">
        <v>46</v>
      </c>
      <c r="C136" s="15">
        <v>1</v>
      </c>
      <c r="D136" s="16">
        <v>5</v>
      </c>
      <c r="E136" s="16"/>
      <c r="F136" s="17"/>
      <c r="G136" s="21"/>
      <c r="H136" s="21"/>
      <c r="I136" s="4">
        <v>5</v>
      </c>
      <c r="J136" s="4">
        <v>8.3333333333333329E-2</v>
      </c>
      <c r="K136" s="4"/>
      <c r="L136" s="16"/>
      <c r="M136" s="4"/>
      <c r="N136" s="4"/>
      <c r="O136" s="4"/>
      <c r="P136" s="4"/>
      <c r="Q136" s="4"/>
      <c r="R136" s="4"/>
      <c r="S136" s="4">
        <v>0</v>
      </c>
      <c r="T136" s="4">
        <v>0</v>
      </c>
      <c r="U136" s="4">
        <v>8.3333333333333329E-2</v>
      </c>
      <c r="V136" s="4">
        <v>11.916666666666666</v>
      </c>
      <c r="W136" s="4">
        <v>12</v>
      </c>
      <c r="X136" s="4">
        <v>0</v>
      </c>
      <c r="Y136" s="4">
        <v>2562</v>
      </c>
      <c r="Z136" s="4">
        <v>227.1</v>
      </c>
      <c r="AA136" s="4">
        <v>300</v>
      </c>
      <c r="AB136" s="18">
        <v>372</v>
      </c>
      <c r="AC136" s="18">
        <v>3</v>
      </c>
      <c r="AD136" s="28"/>
      <c r="AE136" s="26"/>
      <c r="AF136" s="28"/>
    </row>
    <row r="137" spans="1:32" ht="13.5" customHeight="1" x14ac:dyDescent="0.25">
      <c r="A137" s="14">
        <v>45674</v>
      </c>
      <c r="B137" s="14" t="s">
        <v>47</v>
      </c>
      <c r="C137" s="15">
        <v>1</v>
      </c>
      <c r="D137" s="16"/>
      <c r="E137" s="16"/>
      <c r="F137" s="17"/>
      <c r="G137" s="21"/>
      <c r="H137" s="21"/>
      <c r="I137" s="4">
        <v>0</v>
      </c>
      <c r="J137" s="4">
        <v>0</v>
      </c>
      <c r="K137" s="4"/>
      <c r="L137" s="16"/>
      <c r="M137" s="4"/>
      <c r="N137" s="4"/>
      <c r="O137" s="4"/>
      <c r="P137" s="4"/>
      <c r="Q137" s="4"/>
      <c r="R137" s="4"/>
      <c r="S137" s="4">
        <v>0</v>
      </c>
      <c r="T137" s="4">
        <v>0</v>
      </c>
      <c r="U137" s="4">
        <v>0</v>
      </c>
      <c r="V137" s="4">
        <v>12</v>
      </c>
      <c r="W137" s="4">
        <v>12</v>
      </c>
      <c r="X137" s="4">
        <v>0</v>
      </c>
      <c r="Y137" s="4"/>
      <c r="Z137" s="4">
        <v>186.5</v>
      </c>
      <c r="AA137" s="4">
        <v>200</v>
      </c>
      <c r="AB137" s="18"/>
      <c r="AC137" s="18">
        <v>3</v>
      </c>
      <c r="AD137" s="28"/>
      <c r="AE137" s="26"/>
      <c r="AF137" s="28"/>
    </row>
    <row r="138" spans="1:32" ht="13.5" customHeight="1" x14ac:dyDescent="0.25">
      <c r="A138" s="14">
        <v>45674</v>
      </c>
      <c r="B138" s="14" t="s">
        <v>46</v>
      </c>
      <c r="C138" s="15">
        <v>3</v>
      </c>
      <c r="D138" s="16"/>
      <c r="E138" s="16"/>
      <c r="F138" s="17"/>
      <c r="G138" s="21"/>
      <c r="H138" s="21"/>
      <c r="I138" s="4">
        <v>0</v>
      </c>
      <c r="J138" s="4">
        <v>0</v>
      </c>
      <c r="K138" s="4"/>
      <c r="L138" s="16"/>
      <c r="M138" s="4"/>
      <c r="N138" s="4"/>
      <c r="O138" s="4"/>
      <c r="P138" s="4">
        <v>140</v>
      </c>
      <c r="Q138" s="4"/>
      <c r="R138" s="4"/>
      <c r="S138" s="4">
        <v>140</v>
      </c>
      <c r="T138" s="4">
        <v>2.3333333333333335</v>
      </c>
      <c r="U138" s="4">
        <v>2.3333333333333335</v>
      </c>
      <c r="V138" s="4">
        <v>9.6666666666666661</v>
      </c>
      <c r="W138" s="4">
        <v>12</v>
      </c>
      <c r="X138" s="4">
        <v>17</v>
      </c>
      <c r="Y138" s="4"/>
      <c r="Z138" s="4">
        <v>256.2</v>
      </c>
      <c r="AA138" s="4">
        <v>300</v>
      </c>
      <c r="AB138" s="18"/>
      <c r="AC138" s="18">
        <v>3</v>
      </c>
      <c r="AD138" s="28"/>
      <c r="AE138" s="26"/>
      <c r="AF138" s="28"/>
    </row>
    <row r="139" spans="1:32" ht="13.5" customHeight="1" x14ac:dyDescent="0.25">
      <c r="A139" s="14">
        <v>45674</v>
      </c>
      <c r="B139" s="14" t="s">
        <v>47</v>
      </c>
      <c r="C139" s="15">
        <v>3</v>
      </c>
      <c r="D139" s="16">
        <v>3</v>
      </c>
      <c r="E139" s="16"/>
      <c r="F139" s="17"/>
      <c r="G139" s="21"/>
      <c r="H139" s="21"/>
      <c r="I139" s="4">
        <v>3</v>
      </c>
      <c r="J139" s="4">
        <v>0.05</v>
      </c>
      <c r="K139" s="4"/>
      <c r="L139" s="16"/>
      <c r="M139" s="4"/>
      <c r="N139" s="4"/>
      <c r="O139" s="4"/>
      <c r="P139" s="4"/>
      <c r="Q139" s="4"/>
      <c r="R139" s="4"/>
      <c r="S139" s="4">
        <v>0</v>
      </c>
      <c r="T139" s="4">
        <v>0</v>
      </c>
      <c r="U139" s="4">
        <v>0.05</v>
      </c>
      <c r="V139" s="4">
        <v>11.95</v>
      </c>
      <c r="W139" s="4">
        <v>12</v>
      </c>
      <c r="X139" s="4">
        <v>9</v>
      </c>
      <c r="Y139" s="4"/>
      <c r="Z139" s="4">
        <v>280.31000000000006</v>
      </c>
      <c r="AA139" s="4">
        <v>300</v>
      </c>
      <c r="AB139" s="18"/>
      <c r="AC139" s="18">
        <v>3</v>
      </c>
      <c r="AD139" s="28"/>
      <c r="AE139" s="26"/>
      <c r="AF139" s="28"/>
    </row>
    <row r="140" spans="1:32" ht="13.5" customHeight="1" x14ac:dyDescent="0.25">
      <c r="A140" s="14">
        <v>45674</v>
      </c>
      <c r="B140" s="14" t="s">
        <v>46</v>
      </c>
      <c r="C140" s="15">
        <v>5</v>
      </c>
      <c r="D140" s="16">
        <v>4</v>
      </c>
      <c r="E140" s="16"/>
      <c r="F140" s="17"/>
      <c r="G140" s="21"/>
      <c r="H140" s="21"/>
      <c r="I140" s="4">
        <v>4</v>
      </c>
      <c r="J140" s="4">
        <v>6.6666666666666666E-2</v>
      </c>
      <c r="K140" s="4"/>
      <c r="L140" s="16"/>
      <c r="M140" s="4"/>
      <c r="N140" s="4"/>
      <c r="O140" s="4"/>
      <c r="P140" s="4"/>
      <c r="Q140" s="4"/>
      <c r="R140" s="4"/>
      <c r="S140" s="4">
        <v>0</v>
      </c>
      <c r="T140" s="4">
        <v>0</v>
      </c>
      <c r="U140" s="4">
        <v>6.6666666666666666E-2</v>
      </c>
      <c r="V140" s="4">
        <v>11.933333333333334</v>
      </c>
      <c r="W140" s="4">
        <v>12</v>
      </c>
      <c r="X140" s="4">
        <v>0</v>
      </c>
      <c r="Y140" s="4"/>
      <c r="Z140" s="4">
        <v>730.6</v>
      </c>
      <c r="AA140" s="4">
        <v>750</v>
      </c>
      <c r="AB140" s="18"/>
      <c r="AC140" s="18">
        <v>3</v>
      </c>
      <c r="AD140" s="28"/>
      <c r="AE140" s="26"/>
      <c r="AF140" s="28"/>
    </row>
    <row r="141" spans="1:32" ht="13.5" customHeight="1" x14ac:dyDescent="0.25">
      <c r="A141" s="14">
        <v>45674</v>
      </c>
      <c r="B141" s="14" t="s">
        <v>47</v>
      </c>
      <c r="C141" s="15">
        <v>5</v>
      </c>
      <c r="D141" s="16"/>
      <c r="E141" s="16"/>
      <c r="F141" s="17"/>
      <c r="G141" s="21"/>
      <c r="H141" s="21"/>
      <c r="I141" s="4">
        <v>0</v>
      </c>
      <c r="J141" s="4">
        <v>0</v>
      </c>
      <c r="K141" s="4"/>
      <c r="L141" s="16"/>
      <c r="M141" s="4"/>
      <c r="N141" s="4"/>
      <c r="O141" s="4"/>
      <c r="P141" s="4"/>
      <c r="Q141" s="4"/>
      <c r="R141" s="4"/>
      <c r="S141" s="4">
        <v>0</v>
      </c>
      <c r="T141" s="4">
        <v>0</v>
      </c>
      <c r="U141" s="4">
        <v>0</v>
      </c>
      <c r="V141" s="4">
        <v>12</v>
      </c>
      <c r="W141" s="4">
        <v>12</v>
      </c>
      <c r="X141" s="4">
        <v>10</v>
      </c>
      <c r="Y141" s="4"/>
      <c r="Z141" s="4">
        <v>611.20000000000005</v>
      </c>
      <c r="AA141" s="4">
        <v>600</v>
      </c>
      <c r="AB141" s="18"/>
      <c r="AC141" s="18">
        <v>3</v>
      </c>
      <c r="AD141" s="28"/>
      <c r="AE141" s="26"/>
      <c r="AF141" s="28"/>
    </row>
    <row r="142" spans="1:32" ht="13.5" customHeight="1" x14ac:dyDescent="0.25">
      <c r="A142" s="14">
        <v>45674</v>
      </c>
      <c r="B142" s="14" t="s">
        <v>46</v>
      </c>
      <c r="C142" s="15">
        <v>6</v>
      </c>
      <c r="D142" s="16">
        <v>5</v>
      </c>
      <c r="E142" s="16"/>
      <c r="F142" s="17"/>
      <c r="G142" s="21"/>
      <c r="H142" s="21"/>
      <c r="I142" s="4">
        <v>5</v>
      </c>
      <c r="J142" s="4">
        <v>8.3333333333333329E-2</v>
      </c>
      <c r="K142" s="4"/>
      <c r="L142" s="16"/>
      <c r="M142" s="4"/>
      <c r="N142" s="4"/>
      <c r="O142" s="4"/>
      <c r="P142" s="4"/>
      <c r="Q142" s="4"/>
      <c r="R142" s="4"/>
      <c r="S142" s="4">
        <v>0</v>
      </c>
      <c r="T142" s="4">
        <v>0</v>
      </c>
      <c r="U142" s="4">
        <v>8.3333333333333329E-2</v>
      </c>
      <c r="V142" s="4">
        <v>11.916666666666666</v>
      </c>
      <c r="W142" s="4">
        <v>12</v>
      </c>
      <c r="X142" s="4">
        <v>12</v>
      </c>
      <c r="Y142" s="4"/>
      <c r="Z142" s="4">
        <v>642.4</v>
      </c>
      <c r="AA142" s="4">
        <v>650</v>
      </c>
      <c r="AB142" s="18"/>
      <c r="AC142" s="18">
        <v>3</v>
      </c>
      <c r="AD142" s="28"/>
      <c r="AE142" s="26"/>
      <c r="AF142" s="28"/>
    </row>
    <row r="143" spans="1:32" ht="13.5" customHeight="1" x14ac:dyDescent="0.25">
      <c r="A143" s="14">
        <v>45674</v>
      </c>
      <c r="B143" s="14" t="s">
        <v>47</v>
      </c>
      <c r="C143" s="15">
        <v>6</v>
      </c>
      <c r="D143" s="16">
        <v>20</v>
      </c>
      <c r="E143" s="16"/>
      <c r="F143" s="17"/>
      <c r="G143" s="21"/>
      <c r="H143" s="21"/>
      <c r="I143" s="4">
        <v>20</v>
      </c>
      <c r="J143" s="4">
        <v>0.33333333333333331</v>
      </c>
      <c r="K143" s="4"/>
      <c r="L143" s="16"/>
      <c r="M143" s="4"/>
      <c r="N143" s="4">
        <v>20</v>
      </c>
      <c r="O143" s="4"/>
      <c r="P143" s="4"/>
      <c r="Q143" s="4"/>
      <c r="R143" s="4"/>
      <c r="S143" s="4">
        <v>20</v>
      </c>
      <c r="T143" s="4">
        <v>0.33333333333333331</v>
      </c>
      <c r="U143" s="4">
        <v>0.66666666666666663</v>
      </c>
      <c r="V143" s="4">
        <v>11.333333333333334</v>
      </c>
      <c r="W143" s="4">
        <v>12</v>
      </c>
      <c r="X143" s="4">
        <v>45</v>
      </c>
      <c r="Y143" s="4"/>
      <c r="Z143" s="4">
        <v>582.20000000000005</v>
      </c>
      <c r="AA143" s="4">
        <v>600</v>
      </c>
      <c r="AB143" s="18"/>
      <c r="AC143" s="18">
        <v>3</v>
      </c>
      <c r="AD143" s="28"/>
      <c r="AE143" s="26"/>
      <c r="AF143" s="28"/>
    </row>
    <row r="144" spans="1:32" ht="13.5" customHeight="1" x14ac:dyDescent="0.25">
      <c r="A144" s="14">
        <v>45674</v>
      </c>
      <c r="B144" s="14" t="s">
        <v>46</v>
      </c>
      <c r="C144" s="15">
        <v>7</v>
      </c>
      <c r="D144" s="16">
        <v>2</v>
      </c>
      <c r="E144" s="16"/>
      <c r="F144" s="17"/>
      <c r="G144" s="21"/>
      <c r="H144" s="21"/>
      <c r="I144" s="4">
        <v>2</v>
      </c>
      <c r="J144" s="4">
        <v>3.3333333333333333E-2</v>
      </c>
      <c r="K144" s="4"/>
      <c r="L144" s="16"/>
      <c r="M144" s="4"/>
      <c r="N144" s="4"/>
      <c r="O144" s="4"/>
      <c r="P144" s="4"/>
      <c r="Q144" s="4"/>
      <c r="R144" s="4"/>
      <c r="S144" s="4">
        <v>0</v>
      </c>
      <c r="T144" s="4">
        <v>0</v>
      </c>
      <c r="U144" s="4">
        <v>3.3333333333333333E-2</v>
      </c>
      <c r="V144" s="4">
        <v>11.966666666666667</v>
      </c>
      <c r="W144" s="4">
        <v>12</v>
      </c>
      <c r="X144" s="4">
        <v>2</v>
      </c>
      <c r="Y144" s="4"/>
      <c r="Z144" s="4">
        <v>466.64</v>
      </c>
      <c r="AA144" s="4">
        <v>450</v>
      </c>
      <c r="AB144" s="18"/>
      <c r="AC144" s="18">
        <v>3</v>
      </c>
      <c r="AD144" s="28"/>
      <c r="AE144" s="26"/>
      <c r="AF144" s="28"/>
    </row>
    <row r="145" spans="1:32" ht="13.5" customHeight="1" x14ac:dyDescent="0.25">
      <c r="A145" s="14">
        <v>45674</v>
      </c>
      <c r="B145" s="14" t="s">
        <v>47</v>
      </c>
      <c r="C145" s="15">
        <v>7</v>
      </c>
      <c r="D145" s="16">
        <v>2</v>
      </c>
      <c r="E145" s="16"/>
      <c r="F145" s="17"/>
      <c r="G145" s="21"/>
      <c r="H145" s="21"/>
      <c r="I145" s="4">
        <v>2</v>
      </c>
      <c r="J145" s="4">
        <v>3.3333333333333333E-2</v>
      </c>
      <c r="K145" s="4"/>
      <c r="L145" s="16"/>
      <c r="M145" s="4"/>
      <c r="N145" s="4"/>
      <c r="O145" s="4"/>
      <c r="P145" s="4"/>
      <c r="Q145" s="4"/>
      <c r="R145" s="4"/>
      <c r="S145" s="4">
        <v>0</v>
      </c>
      <c r="T145" s="4">
        <v>0</v>
      </c>
      <c r="U145" s="4">
        <v>3.3333333333333333E-2</v>
      </c>
      <c r="V145" s="4">
        <v>11.966666666666667</v>
      </c>
      <c r="W145" s="4">
        <v>12</v>
      </c>
      <c r="X145" s="4">
        <v>24.8</v>
      </c>
      <c r="Y145" s="4"/>
      <c r="Z145" s="4">
        <v>441.73</v>
      </c>
      <c r="AA145" s="4">
        <v>450</v>
      </c>
      <c r="AB145" s="18"/>
      <c r="AC145" s="18">
        <v>3</v>
      </c>
      <c r="AD145" s="28"/>
      <c r="AE145" s="26"/>
      <c r="AF145" s="28"/>
    </row>
    <row r="146" spans="1:32" ht="13.5" customHeight="1" x14ac:dyDescent="0.25">
      <c r="A146" s="14">
        <v>45675</v>
      </c>
      <c r="B146" s="14" t="s">
        <v>46</v>
      </c>
      <c r="C146" s="15">
        <v>1</v>
      </c>
      <c r="D146" s="16"/>
      <c r="E146" s="16"/>
      <c r="F146" s="17"/>
      <c r="G146" s="21"/>
      <c r="H146" s="21"/>
      <c r="I146" s="4">
        <v>0</v>
      </c>
      <c r="J146" s="4">
        <v>0</v>
      </c>
      <c r="K146" s="4"/>
      <c r="L146" s="16"/>
      <c r="M146" s="4"/>
      <c r="N146" s="4"/>
      <c r="O146" s="4"/>
      <c r="P146" s="4"/>
      <c r="Q146" s="4"/>
      <c r="R146" s="4"/>
      <c r="S146" s="4">
        <v>0</v>
      </c>
      <c r="T146" s="4">
        <v>0</v>
      </c>
      <c r="U146" s="4">
        <v>0</v>
      </c>
      <c r="V146" s="4">
        <v>12</v>
      </c>
      <c r="W146" s="4">
        <v>12</v>
      </c>
      <c r="X146" s="4">
        <v>0</v>
      </c>
      <c r="Y146" s="4">
        <v>2019</v>
      </c>
      <c r="Z146" s="4">
        <v>158.19999999999999</v>
      </c>
      <c r="AA146" s="4">
        <v>200</v>
      </c>
      <c r="AB146" s="18">
        <v>372</v>
      </c>
      <c r="AC146" s="18">
        <v>3</v>
      </c>
      <c r="AD146" s="28"/>
      <c r="AE146" s="26"/>
      <c r="AF146" s="28"/>
    </row>
    <row r="147" spans="1:32" ht="13.5" customHeight="1" x14ac:dyDescent="0.25">
      <c r="A147" s="14">
        <v>45675</v>
      </c>
      <c r="B147" s="14" t="s">
        <v>47</v>
      </c>
      <c r="C147" s="15">
        <v>1</v>
      </c>
      <c r="D147" s="16">
        <v>5</v>
      </c>
      <c r="E147" s="16"/>
      <c r="F147" s="17"/>
      <c r="G147" s="21"/>
      <c r="H147" s="21"/>
      <c r="I147" s="4">
        <v>5</v>
      </c>
      <c r="J147" s="4">
        <v>8.3333333333333329E-2</v>
      </c>
      <c r="K147" s="4"/>
      <c r="L147" s="16"/>
      <c r="M147" s="4"/>
      <c r="N147" s="4"/>
      <c r="O147" s="4"/>
      <c r="P147" s="4"/>
      <c r="Q147" s="4"/>
      <c r="R147" s="4"/>
      <c r="S147" s="4">
        <v>0</v>
      </c>
      <c r="T147" s="4">
        <v>0</v>
      </c>
      <c r="U147" s="4">
        <v>8.3333333333333329E-2</v>
      </c>
      <c r="V147" s="4">
        <v>11.916666666666666</v>
      </c>
      <c r="W147" s="4">
        <v>12</v>
      </c>
      <c r="X147" s="4">
        <v>0</v>
      </c>
      <c r="Y147" s="4"/>
      <c r="Z147" s="4">
        <v>224.89999999999998</v>
      </c>
      <c r="AA147" s="4">
        <v>200</v>
      </c>
      <c r="AB147" s="18"/>
      <c r="AC147" s="18">
        <v>3</v>
      </c>
      <c r="AD147" s="28"/>
      <c r="AE147" s="26"/>
      <c r="AF147" s="28"/>
    </row>
    <row r="148" spans="1:32" ht="13.5" customHeight="1" x14ac:dyDescent="0.25">
      <c r="A148" s="14">
        <v>45675</v>
      </c>
      <c r="B148" s="14" t="s">
        <v>46</v>
      </c>
      <c r="C148" s="15">
        <v>3</v>
      </c>
      <c r="D148" s="16">
        <v>5</v>
      </c>
      <c r="E148" s="16"/>
      <c r="F148" s="17"/>
      <c r="G148" s="21"/>
      <c r="H148" s="21"/>
      <c r="I148" s="4">
        <v>5</v>
      </c>
      <c r="J148" s="4">
        <v>8.3333333333333329E-2</v>
      </c>
      <c r="K148" s="4"/>
      <c r="L148" s="16"/>
      <c r="M148" s="4"/>
      <c r="N148" s="4"/>
      <c r="O148" s="4"/>
      <c r="P148" s="4"/>
      <c r="Q148" s="4"/>
      <c r="R148" s="4"/>
      <c r="S148" s="4">
        <v>0</v>
      </c>
      <c r="T148" s="4">
        <v>0</v>
      </c>
      <c r="U148" s="4">
        <v>8.3333333333333329E-2</v>
      </c>
      <c r="V148" s="4">
        <v>11.916666666666666</v>
      </c>
      <c r="W148" s="4">
        <v>12</v>
      </c>
      <c r="X148" s="4">
        <v>0</v>
      </c>
      <c r="Y148" s="4"/>
      <c r="Z148" s="4">
        <v>329.09999999999997</v>
      </c>
      <c r="AA148" s="4">
        <v>350</v>
      </c>
      <c r="AB148" s="18"/>
      <c r="AC148" s="18">
        <v>3</v>
      </c>
      <c r="AD148" s="28"/>
      <c r="AE148" s="26"/>
      <c r="AF148" s="28"/>
    </row>
    <row r="149" spans="1:32" ht="13.5" customHeight="1" x14ac:dyDescent="0.25">
      <c r="A149" s="14">
        <v>45675</v>
      </c>
      <c r="B149" s="14" t="s">
        <v>47</v>
      </c>
      <c r="C149" s="15">
        <v>3</v>
      </c>
      <c r="D149" s="16"/>
      <c r="E149" s="16"/>
      <c r="F149" s="17"/>
      <c r="G149" s="21"/>
      <c r="H149" s="21"/>
      <c r="I149" s="4">
        <v>0</v>
      </c>
      <c r="J149" s="4">
        <v>0</v>
      </c>
      <c r="K149" s="4"/>
      <c r="L149" s="16"/>
      <c r="M149" s="4"/>
      <c r="N149" s="4"/>
      <c r="O149" s="4"/>
      <c r="P149" s="4"/>
      <c r="Q149" s="4"/>
      <c r="R149" s="4"/>
      <c r="S149" s="4">
        <v>0</v>
      </c>
      <c r="T149" s="4">
        <v>0</v>
      </c>
      <c r="U149" s="4">
        <v>0</v>
      </c>
      <c r="V149" s="4">
        <v>12</v>
      </c>
      <c r="W149" s="4">
        <v>12</v>
      </c>
      <c r="X149" s="4">
        <v>0</v>
      </c>
      <c r="Y149" s="4"/>
      <c r="Z149" s="4">
        <v>376.4</v>
      </c>
      <c r="AA149" s="4">
        <v>350</v>
      </c>
      <c r="AB149" s="18"/>
      <c r="AC149" s="18">
        <v>3</v>
      </c>
      <c r="AD149" s="28"/>
      <c r="AE149" s="26"/>
      <c r="AF149" s="28"/>
    </row>
    <row r="150" spans="1:32" ht="13.5" customHeight="1" x14ac:dyDescent="0.25">
      <c r="A150" s="14">
        <v>45675</v>
      </c>
      <c r="B150" s="14" t="s">
        <v>46</v>
      </c>
      <c r="C150" s="15">
        <v>5</v>
      </c>
      <c r="D150" s="16"/>
      <c r="E150" s="16"/>
      <c r="F150" s="17"/>
      <c r="G150" s="21"/>
      <c r="H150" s="21"/>
      <c r="I150" s="4">
        <v>0</v>
      </c>
      <c r="J150" s="4">
        <v>0</v>
      </c>
      <c r="K150" s="4"/>
      <c r="L150" s="16"/>
      <c r="M150" s="4"/>
      <c r="N150" s="4"/>
      <c r="O150" s="4"/>
      <c r="P150" s="4"/>
      <c r="Q150" s="4"/>
      <c r="R150" s="4"/>
      <c r="S150" s="4">
        <v>0</v>
      </c>
      <c r="T150" s="4">
        <v>0</v>
      </c>
      <c r="U150" s="4">
        <v>0</v>
      </c>
      <c r="V150" s="4">
        <v>12</v>
      </c>
      <c r="W150" s="4">
        <v>12</v>
      </c>
      <c r="X150" s="4">
        <v>0</v>
      </c>
      <c r="Y150" s="4"/>
      <c r="Z150" s="4">
        <v>625.80000000000007</v>
      </c>
      <c r="AA150" s="4">
        <v>650</v>
      </c>
      <c r="AB150" s="18"/>
      <c r="AC150" s="18">
        <v>3</v>
      </c>
      <c r="AD150" s="28"/>
      <c r="AE150" s="26"/>
      <c r="AF150" s="28"/>
    </row>
    <row r="151" spans="1:32" ht="13.5" customHeight="1" x14ac:dyDescent="0.25">
      <c r="A151" s="14">
        <v>45675</v>
      </c>
      <c r="B151" s="14" t="s">
        <v>47</v>
      </c>
      <c r="C151" s="15">
        <v>5</v>
      </c>
      <c r="D151" s="16"/>
      <c r="E151" s="16"/>
      <c r="F151" s="17"/>
      <c r="G151" s="21"/>
      <c r="H151" s="21"/>
      <c r="I151" s="4">
        <v>0</v>
      </c>
      <c r="J151" s="4">
        <v>0</v>
      </c>
      <c r="K151" s="4"/>
      <c r="L151" s="16"/>
      <c r="M151" s="4"/>
      <c r="N151" s="4"/>
      <c r="O151" s="4"/>
      <c r="P151" s="4"/>
      <c r="Q151" s="4"/>
      <c r="R151" s="4"/>
      <c r="S151" s="4">
        <v>0</v>
      </c>
      <c r="T151" s="4">
        <v>0</v>
      </c>
      <c r="U151" s="4">
        <v>0</v>
      </c>
      <c r="V151" s="4">
        <v>12</v>
      </c>
      <c r="W151" s="4">
        <v>12</v>
      </c>
      <c r="X151" s="4">
        <v>2</v>
      </c>
      <c r="Y151" s="4"/>
      <c r="Z151" s="4">
        <v>473.8</v>
      </c>
      <c r="AA151" s="4">
        <v>500</v>
      </c>
      <c r="AB151" s="18"/>
      <c r="AC151" s="18">
        <v>3</v>
      </c>
      <c r="AD151" s="28"/>
      <c r="AE151" s="26"/>
      <c r="AF151" s="28"/>
    </row>
    <row r="152" spans="1:32" ht="13.5" customHeight="1" x14ac:dyDescent="0.25">
      <c r="A152" s="14">
        <v>45675</v>
      </c>
      <c r="B152" s="14" t="s">
        <v>46</v>
      </c>
      <c r="C152" s="15">
        <v>6</v>
      </c>
      <c r="D152" s="16"/>
      <c r="E152" s="16"/>
      <c r="F152" s="17"/>
      <c r="G152" s="21"/>
      <c r="H152" s="21"/>
      <c r="I152" s="4">
        <v>0</v>
      </c>
      <c r="J152" s="4">
        <v>0</v>
      </c>
      <c r="K152" s="4"/>
      <c r="L152" s="16"/>
      <c r="M152" s="4"/>
      <c r="N152" s="4"/>
      <c r="O152" s="4"/>
      <c r="P152" s="4"/>
      <c r="Q152" s="4">
        <v>121</v>
      </c>
      <c r="R152" s="4"/>
      <c r="S152" s="4">
        <v>121</v>
      </c>
      <c r="T152" s="4">
        <v>2.0166666666666666</v>
      </c>
      <c r="U152" s="4">
        <v>2.0166666666666666</v>
      </c>
      <c r="V152" s="4">
        <v>9.9833333333333343</v>
      </c>
      <c r="W152" s="4">
        <v>12</v>
      </c>
      <c r="X152" s="4">
        <v>0</v>
      </c>
      <c r="Y152" s="4"/>
      <c r="Z152" s="4">
        <v>462.3</v>
      </c>
      <c r="AA152" s="4">
        <v>450</v>
      </c>
      <c r="AB152" s="18"/>
      <c r="AC152" s="18">
        <v>3</v>
      </c>
      <c r="AD152" s="28"/>
      <c r="AE152" s="26"/>
      <c r="AF152" s="28"/>
    </row>
    <row r="153" spans="1:32" ht="13.5" customHeight="1" x14ac:dyDescent="0.25">
      <c r="A153" s="14">
        <v>45675</v>
      </c>
      <c r="B153" s="14" t="s">
        <v>47</v>
      </c>
      <c r="C153" s="15">
        <v>6</v>
      </c>
      <c r="D153" s="16"/>
      <c r="E153" s="16"/>
      <c r="F153" s="17"/>
      <c r="G153" s="21"/>
      <c r="H153" s="21"/>
      <c r="I153" s="4">
        <v>0</v>
      </c>
      <c r="J153" s="4">
        <v>0</v>
      </c>
      <c r="K153" s="4"/>
      <c r="L153" s="16"/>
      <c r="M153" s="4"/>
      <c r="N153" s="4"/>
      <c r="O153" s="4"/>
      <c r="P153" s="4"/>
      <c r="Q153" s="4"/>
      <c r="R153" s="4"/>
      <c r="S153" s="4">
        <v>0</v>
      </c>
      <c r="T153" s="4">
        <v>0</v>
      </c>
      <c r="U153" s="4">
        <v>0</v>
      </c>
      <c r="V153" s="4">
        <v>12</v>
      </c>
      <c r="W153" s="4">
        <v>12</v>
      </c>
      <c r="X153" s="4">
        <v>0</v>
      </c>
      <c r="Y153" s="4"/>
      <c r="Z153" s="4">
        <v>487.2</v>
      </c>
      <c r="AA153" s="4">
        <v>500</v>
      </c>
      <c r="AB153" s="18"/>
      <c r="AC153" s="18">
        <v>3</v>
      </c>
      <c r="AD153" s="28"/>
      <c r="AE153" s="26"/>
      <c r="AF153" s="28"/>
    </row>
    <row r="154" spans="1:32" ht="13.5" customHeight="1" x14ac:dyDescent="0.25">
      <c r="A154" s="14">
        <v>45675</v>
      </c>
      <c r="B154" s="14" t="s">
        <v>46</v>
      </c>
      <c r="C154" s="15">
        <v>7</v>
      </c>
      <c r="D154" s="16"/>
      <c r="E154" s="16"/>
      <c r="F154" s="17"/>
      <c r="G154" s="21"/>
      <c r="H154" s="21"/>
      <c r="I154" s="4">
        <v>0</v>
      </c>
      <c r="J154" s="4">
        <v>0</v>
      </c>
      <c r="K154" s="4"/>
      <c r="L154" s="16"/>
      <c r="M154" s="4"/>
      <c r="N154" s="4"/>
      <c r="O154" s="4"/>
      <c r="P154" s="4"/>
      <c r="Q154" s="4"/>
      <c r="R154" s="4"/>
      <c r="S154" s="4">
        <v>0</v>
      </c>
      <c r="T154" s="4">
        <v>0</v>
      </c>
      <c r="U154" s="4">
        <v>0</v>
      </c>
      <c r="V154" s="4">
        <v>12</v>
      </c>
      <c r="W154" s="4">
        <v>12</v>
      </c>
      <c r="X154" s="4">
        <v>0</v>
      </c>
      <c r="Y154" s="4"/>
      <c r="Z154" s="4">
        <v>531.29999999999995</v>
      </c>
      <c r="AA154" s="4">
        <v>500</v>
      </c>
      <c r="AB154" s="18"/>
      <c r="AC154" s="18">
        <v>3</v>
      </c>
      <c r="AD154" s="28"/>
      <c r="AE154" s="26"/>
      <c r="AF154" s="28"/>
    </row>
    <row r="155" spans="1:32" ht="13.5" customHeight="1" x14ac:dyDescent="0.25">
      <c r="A155" s="14">
        <v>45677</v>
      </c>
      <c r="B155" s="14" t="s">
        <v>46</v>
      </c>
      <c r="C155" s="15">
        <v>1</v>
      </c>
      <c r="D155" s="16"/>
      <c r="E155" s="16"/>
      <c r="F155" s="17"/>
      <c r="G155" s="21"/>
      <c r="H155" s="21"/>
      <c r="I155" s="4">
        <v>0</v>
      </c>
      <c r="J155" s="4">
        <v>0</v>
      </c>
      <c r="K155" s="4"/>
      <c r="L155" s="16"/>
      <c r="M155" s="4"/>
      <c r="N155" s="4"/>
      <c r="O155" s="4"/>
      <c r="P155" s="4"/>
      <c r="Q155" s="4"/>
      <c r="R155" s="4"/>
      <c r="S155" s="4">
        <v>0</v>
      </c>
      <c r="T155" s="4">
        <v>0</v>
      </c>
      <c r="U155" s="4">
        <v>0</v>
      </c>
      <c r="V155" s="4">
        <v>12</v>
      </c>
      <c r="W155" s="4">
        <v>12</v>
      </c>
      <c r="X155" s="4">
        <v>0</v>
      </c>
      <c r="Y155" s="4">
        <v>1917</v>
      </c>
      <c r="Z155" s="4">
        <v>92.500000000000014</v>
      </c>
      <c r="AA155" s="4">
        <v>150</v>
      </c>
      <c r="AB155" s="18">
        <v>372</v>
      </c>
      <c r="AC155" s="18">
        <v>4</v>
      </c>
      <c r="AD155" s="14"/>
      <c r="AE155" s="14"/>
      <c r="AF155" s="15"/>
    </row>
    <row r="156" spans="1:32" ht="13.5" customHeight="1" x14ac:dyDescent="0.25">
      <c r="A156" s="14">
        <v>45677</v>
      </c>
      <c r="B156" s="14" t="s">
        <v>47</v>
      </c>
      <c r="C156" s="15">
        <v>1</v>
      </c>
      <c r="D156" s="16"/>
      <c r="E156" s="16"/>
      <c r="F156" s="17"/>
      <c r="G156" s="21"/>
      <c r="H156" s="21"/>
      <c r="I156" s="4">
        <v>0</v>
      </c>
      <c r="J156" s="4">
        <v>0</v>
      </c>
      <c r="K156" s="4"/>
      <c r="L156" s="16"/>
      <c r="M156" s="4"/>
      <c r="N156" s="4"/>
      <c r="O156" s="4"/>
      <c r="P156" s="4"/>
      <c r="Q156" s="4"/>
      <c r="R156" s="4"/>
      <c r="S156" s="4">
        <v>0</v>
      </c>
      <c r="T156" s="4">
        <v>0</v>
      </c>
      <c r="U156" s="4">
        <v>0</v>
      </c>
      <c r="V156" s="4">
        <v>12</v>
      </c>
      <c r="W156" s="4">
        <v>12</v>
      </c>
      <c r="X156" s="4">
        <v>0</v>
      </c>
      <c r="Y156" s="4"/>
      <c r="Z156" s="4">
        <v>164.2</v>
      </c>
      <c r="AA156" s="4">
        <v>200</v>
      </c>
      <c r="AB156" s="18"/>
      <c r="AC156" s="18">
        <v>4</v>
      </c>
      <c r="AD156" s="14"/>
      <c r="AE156" s="14"/>
      <c r="AF156" s="15"/>
    </row>
    <row r="157" spans="1:32" ht="13.5" customHeight="1" x14ac:dyDescent="0.25">
      <c r="A157" s="14">
        <v>45677</v>
      </c>
      <c r="B157" s="14" t="s">
        <v>46</v>
      </c>
      <c r="C157" s="15">
        <v>3</v>
      </c>
      <c r="D157" s="16"/>
      <c r="E157" s="16"/>
      <c r="F157" s="17"/>
      <c r="G157" s="21"/>
      <c r="H157" s="21"/>
      <c r="I157" s="4">
        <v>0</v>
      </c>
      <c r="J157" s="4">
        <v>0</v>
      </c>
      <c r="K157" s="4"/>
      <c r="L157" s="16"/>
      <c r="M157" s="4"/>
      <c r="N157" s="4"/>
      <c r="O157" s="4"/>
      <c r="P157" s="4"/>
      <c r="Q157" s="4"/>
      <c r="R157" s="4"/>
      <c r="S157" s="4">
        <v>0</v>
      </c>
      <c r="T157" s="4">
        <v>0</v>
      </c>
      <c r="U157" s="4">
        <v>0</v>
      </c>
      <c r="V157" s="4">
        <v>12</v>
      </c>
      <c r="W157" s="4">
        <v>12</v>
      </c>
      <c r="X157" s="4">
        <v>0</v>
      </c>
      <c r="Y157" s="4"/>
      <c r="Z157" s="4">
        <v>180</v>
      </c>
      <c r="AA157" s="4">
        <v>200</v>
      </c>
      <c r="AB157" s="18"/>
      <c r="AC157" s="18">
        <v>4</v>
      </c>
      <c r="AD157" s="14"/>
      <c r="AE157" s="14"/>
      <c r="AF157" s="15"/>
    </row>
    <row r="158" spans="1:32" ht="13.5" customHeight="1" x14ac:dyDescent="0.25">
      <c r="A158" s="14">
        <v>45677</v>
      </c>
      <c r="B158" s="14" t="s">
        <v>47</v>
      </c>
      <c r="C158" s="15">
        <v>3</v>
      </c>
      <c r="D158" s="16">
        <v>2</v>
      </c>
      <c r="E158" s="16"/>
      <c r="F158" s="17"/>
      <c r="G158" s="21"/>
      <c r="H158" s="21"/>
      <c r="I158" s="4">
        <v>2</v>
      </c>
      <c r="J158" s="4">
        <v>3.3333333333333333E-2</v>
      </c>
      <c r="K158" s="4"/>
      <c r="L158" s="16"/>
      <c r="M158" s="4"/>
      <c r="N158" s="4"/>
      <c r="O158" s="4"/>
      <c r="P158" s="4"/>
      <c r="Q158" s="4">
        <v>90</v>
      </c>
      <c r="R158" s="4"/>
      <c r="S158" s="4">
        <v>90</v>
      </c>
      <c r="T158" s="4">
        <v>1.5</v>
      </c>
      <c r="U158" s="4">
        <v>1.5333333333333334</v>
      </c>
      <c r="V158" s="4">
        <v>10.466666666666667</v>
      </c>
      <c r="W158" s="4">
        <v>12</v>
      </c>
      <c r="X158" s="4">
        <v>60</v>
      </c>
      <c r="Y158" s="4"/>
      <c r="Z158" s="4">
        <v>301.2</v>
      </c>
      <c r="AA158" s="4">
        <v>300</v>
      </c>
      <c r="AB158" s="18"/>
      <c r="AC158" s="18">
        <v>4</v>
      </c>
      <c r="AD158" s="14"/>
      <c r="AE158" s="14"/>
      <c r="AF158" s="15"/>
    </row>
    <row r="159" spans="1:32" ht="13.5" customHeight="1" x14ac:dyDescent="0.25">
      <c r="A159" s="14">
        <v>45677</v>
      </c>
      <c r="B159" s="14" t="s">
        <v>46</v>
      </c>
      <c r="C159" s="15">
        <v>6</v>
      </c>
      <c r="D159" s="16">
        <v>10</v>
      </c>
      <c r="E159" s="16"/>
      <c r="F159" s="17"/>
      <c r="G159" s="21"/>
      <c r="H159" s="21"/>
      <c r="I159" s="4">
        <v>10</v>
      </c>
      <c r="J159" s="4">
        <v>0.16666666666666666</v>
      </c>
      <c r="K159" s="4"/>
      <c r="L159" s="16"/>
      <c r="M159" s="4"/>
      <c r="N159" s="4">
        <v>5</v>
      </c>
      <c r="O159" s="4"/>
      <c r="P159" s="4"/>
      <c r="Q159" s="4"/>
      <c r="R159" s="4"/>
      <c r="S159" s="4">
        <v>5</v>
      </c>
      <c r="T159" s="4">
        <v>8.3333333333333329E-2</v>
      </c>
      <c r="U159" s="4">
        <v>0.25</v>
      </c>
      <c r="V159" s="4">
        <v>11.75</v>
      </c>
      <c r="W159" s="4">
        <v>12</v>
      </c>
      <c r="X159" s="4">
        <v>35</v>
      </c>
      <c r="Y159" s="4"/>
      <c r="Z159" s="4">
        <v>393.2</v>
      </c>
      <c r="AA159" s="4">
        <v>400</v>
      </c>
      <c r="AB159" s="18"/>
      <c r="AC159" s="18">
        <v>4</v>
      </c>
      <c r="AD159" s="14"/>
      <c r="AE159" s="14"/>
      <c r="AF159" s="15"/>
    </row>
    <row r="160" spans="1:32" ht="13.5" customHeight="1" x14ac:dyDescent="0.25">
      <c r="A160" s="14">
        <v>45677</v>
      </c>
      <c r="B160" s="14" t="s">
        <v>47</v>
      </c>
      <c r="C160" s="15">
        <v>6</v>
      </c>
      <c r="D160" s="16"/>
      <c r="E160" s="16"/>
      <c r="F160" s="17"/>
      <c r="G160" s="21"/>
      <c r="H160" s="21"/>
      <c r="I160" s="4">
        <v>0</v>
      </c>
      <c r="J160" s="4">
        <v>0</v>
      </c>
      <c r="K160" s="4"/>
      <c r="L160" s="16"/>
      <c r="M160" s="4"/>
      <c r="N160" s="4"/>
      <c r="O160" s="4"/>
      <c r="P160" s="4"/>
      <c r="Q160" s="4"/>
      <c r="R160" s="4"/>
      <c r="S160" s="4">
        <v>0</v>
      </c>
      <c r="T160" s="4">
        <v>0</v>
      </c>
      <c r="U160" s="4">
        <v>0</v>
      </c>
      <c r="V160" s="4">
        <v>12</v>
      </c>
      <c r="W160" s="4">
        <v>12</v>
      </c>
      <c r="X160" s="4">
        <v>0</v>
      </c>
      <c r="Y160" s="4"/>
      <c r="Z160" s="4">
        <v>692.2</v>
      </c>
      <c r="AA160" s="4">
        <v>700</v>
      </c>
      <c r="AB160" s="18"/>
      <c r="AC160" s="18">
        <v>4</v>
      </c>
      <c r="AD160" s="14"/>
      <c r="AE160" s="14"/>
      <c r="AF160" s="15"/>
    </row>
    <row r="161" spans="1:32" ht="13.5" customHeight="1" x14ac:dyDescent="0.25">
      <c r="A161" s="14">
        <v>45677</v>
      </c>
      <c r="B161" s="14" t="s">
        <v>46</v>
      </c>
      <c r="C161" s="15">
        <v>7</v>
      </c>
      <c r="D161" s="16"/>
      <c r="E161" s="16"/>
      <c r="F161" s="17"/>
      <c r="G161" s="21"/>
      <c r="H161" s="21"/>
      <c r="I161" s="4">
        <v>0</v>
      </c>
      <c r="J161" s="4">
        <v>0</v>
      </c>
      <c r="K161" s="4"/>
      <c r="L161" s="16"/>
      <c r="M161" s="4"/>
      <c r="N161" s="4"/>
      <c r="O161" s="4"/>
      <c r="P161" s="4"/>
      <c r="Q161" s="4"/>
      <c r="R161" s="4"/>
      <c r="S161" s="4">
        <v>0</v>
      </c>
      <c r="T161" s="4">
        <v>0</v>
      </c>
      <c r="U161" s="4">
        <v>0</v>
      </c>
      <c r="V161" s="4">
        <v>12</v>
      </c>
      <c r="W161" s="4">
        <v>12</v>
      </c>
      <c r="X161" s="4">
        <v>25</v>
      </c>
      <c r="Y161" s="4"/>
      <c r="Z161" s="4">
        <v>416.4</v>
      </c>
      <c r="AA161" s="4">
        <v>450</v>
      </c>
      <c r="AB161" s="18"/>
      <c r="AC161" s="18">
        <v>4</v>
      </c>
      <c r="AD161" s="14"/>
      <c r="AE161" s="14"/>
      <c r="AF161" s="15"/>
    </row>
    <row r="162" spans="1:32" ht="13.5" customHeight="1" x14ac:dyDescent="0.25">
      <c r="A162" s="14">
        <v>45677</v>
      </c>
      <c r="B162" s="14" t="s">
        <v>47</v>
      </c>
      <c r="C162" s="15">
        <v>7</v>
      </c>
      <c r="D162" s="16">
        <v>11</v>
      </c>
      <c r="E162" s="16"/>
      <c r="F162" s="17"/>
      <c r="G162" s="21"/>
      <c r="H162" s="21"/>
      <c r="I162" s="4">
        <v>11</v>
      </c>
      <c r="J162" s="4">
        <v>0.18333333333333332</v>
      </c>
      <c r="K162" s="4"/>
      <c r="L162" s="16"/>
      <c r="M162" s="4"/>
      <c r="N162" s="4">
        <v>6</v>
      </c>
      <c r="O162" s="4"/>
      <c r="P162" s="4"/>
      <c r="Q162" s="4"/>
      <c r="R162" s="4"/>
      <c r="S162" s="4">
        <v>6</v>
      </c>
      <c r="T162" s="4">
        <v>0.1</v>
      </c>
      <c r="U162" s="4">
        <v>0.28333333333333333</v>
      </c>
      <c r="V162" s="4">
        <v>11.716666666666667</v>
      </c>
      <c r="W162" s="4">
        <v>12</v>
      </c>
      <c r="X162" s="4">
        <v>0</v>
      </c>
      <c r="Y162" s="4"/>
      <c r="Z162" s="4">
        <v>415.29999999999995</v>
      </c>
      <c r="AA162" s="4">
        <v>400</v>
      </c>
      <c r="AB162" s="18"/>
      <c r="AC162" s="18">
        <v>4</v>
      </c>
      <c r="AD162" s="14"/>
      <c r="AE162" s="14"/>
      <c r="AF162" s="15"/>
    </row>
    <row r="163" spans="1:32" ht="13.5" customHeight="1" x14ac:dyDescent="0.25">
      <c r="A163" s="14">
        <v>45678</v>
      </c>
      <c r="B163" s="14" t="s">
        <v>46</v>
      </c>
      <c r="C163" s="15">
        <v>1</v>
      </c>
      <c r="D163" s="16"/>
      <c r="E163" s="16"/>
      <c r="F163" s="17"/>
      <c r="G163" s="21"/>
      <c r="H163" s="21"/>
      <c r="I163" s="4">
        <v>0</v>
      </c>
      <c r="J163" s="4">
        <v>0</v>
      </c>
      <c r="K163" s="4"/>
      <c r="L163" s="16"/>
      <c r="M163" s="4"/>
      <c r="N163" s="4"/>
      <c r="O163" s="4"/>
      <c r="P163" s="4"/>
      <c r="Q163" s="4"/>
      <c r="R163" s="4"/>
      <c r="S163" s="4">
        <v>0</v>
      </c>
      <c r="T163" s="4">
        <v>0</v>
      </c>
      <c r="U163" s="4">
        <v>0</v>
      </c>
      <c r="V163" s="4">
        <v>12</v>
      </c>
      <c r="W163" s="4">
        <v>12</v>
      </c>
      <c r="X163" s="4">
        <v>0</v>
      </c>
      <c r="Y163" s="4">
        <v>1903</v>
      </c>
      <c r="Z163" s="4">
        <v>171.64999999999998</v>
      </c>
      <c r="AA163" s="4">
        <v>200</v>
      </c>
      <c r="AB163" s="18">
        <v>372</v>
      </c>
      <c r="AC163" s="18">
        <v>4</v>
      </c>
      <c r="AD163" s="14"/>
      <c r="AE163" s="14"/>
      <c r="AF163" s="15"/>
    </row>
    <row r="164" spans="1:32" ht="13.5" customHeight="1" x14ac:dyDescent="0.25">
      <c r="A164" s="14">
        <v>45678</v>
      </c>
      <c r="B164" s="14" t="s">
        <v>47</v>
      </c>
      <c r="C164" s="15">
        <v>1</v>
      </c>
      <c r="D164" s="16">
        <v>2</v>
      </c>
      <c r="E164" s="16"/>
      <c r="F164" s="17"/>
      <c r="G164" s="21"/>
      <c r="H164" s="21"/>
      <c r="I164" s="4">
        <v>2</v>
      </c>
      <c r="J164" s="4">
        <v>3.3333333333333333E-2</v>
      </c>
      <c r="K164" s="4"/>
      <c r="L164" s="16"/>
      <c r="M164" s="4"/>
      <c r="N164" s="4"/>
      <c r="O164" s="4"/>
      <c r="P164" s="4"/>
      <c r="Q164" s="4"/>
      <c r="R164" s="4"/>
      <c r="S164" s="4">
        <v>0</v>
      </c>
      <c r="T164" s="4">
        <v>0</v>
      </c>
      <c r="U164" s="4">
        <v>3.3333333333333333E-2</v>
      </c>
      <c r="V164" s="4">
        <v>11.966666666666667</v>
      </c>
      <c r="W164" s="4">
        <v>12</v>
      </c>
      <c r="X164" s="4">
        <v>0</v>
      </c>
      <c r="Y164" s="4"/>
      <c r="Z164" s="4">
        <v>151.4</v>
      </c>
      <c r="AA164" s="4">
        <v>150</v>
      </c>
      <c r="AB164" s="18"/>
      <c r="AC164" s="18">
        <v>4</v>
      </c>
      <c r="AD164" s="14"/>
      <c r="AE164" s="14"/>
      <c r="AF164" s="15"/>
    </row>
    <row r="165" spans="1:32" ht="13.5" customHeight="1" x14ac:dyDescent="0.25">
      <c r="A165" s="14">
        <v>45678</v>
      </c>
      <c r="B165" s="14" t="s">
        <v>46</v>
      </c>
      <c r="C165" s="15">
        <v>3</v>
      </c>
      <c r="D165" s="16">
        <v>2</v>
      </c>
      <c r="E165" s="16"/>
      <c r="F165" s="17"/>
      <c r="G165" s="21"/>
      <c r="H165" s="21"/>
      <c r="I165" s="4">
        <v>2</v>
      </c>
      <c r="J165" s="4">
        <v>3.3333333333333333E-2</v>
      </c>
      <c r="K165" s="4"/>
      <c r="L165" s="16"/>
      <c r="M165" s="4"/>
      <c r="N165" s="4"/>
      <c r="O165" s="4"/>
      <c r="P165" s="4"/>
      <c r="Q165" s="4"/>
      <c r="R165" s="4"/>
      <c r="S165" s="4">
        <v>0</v>
      </c>
      <c r="T165" s="4">
        <v>0</v>
      </c>
      <c r="U165" s="4">
        <v>3.3333333333333333E-2</v>
      </c>
      <c r="V165" s="4">
        <v>11.966666666666667</v>
      </c>
      <c r="W165" s="4">
        <v>12</v>
      </c>
      <c r="X165" s="4">
        <v>0</v>
      </c>
      <c r="Y165" s="4"/>
      <c r="Z165" s="4">
        <v>481.5</v>
      </c>
      <c r="AA165" s="4">
        <v>450</v>
      </c>
      <c r="AB165" s="18"/>
      <c r="AC165" s="18">
        <v>4</v>
      </c>
      <c r="AD165" s="14"/>
      <c r="AE165" s="14"/>
      <c r="AF165" s="15"/>
    </row>
    <row r="166" spans="1:32" ht="13.5" customHeight="1" x14ac:dyDescent="0.25">
      <c r="A166" s="14">
        <v>45678</v>
      </c>
      <c r="B166" s="14" t="s">
        <v>47</v>
      </c>
      <c r="C166" s="15">
        <v>3</v>
      </c>
      <c r="D166" s="16">
        <v>8</v>
      </c>
      <c r="E166" s="16"/>
      <c r="F166" s="17"/>
      <c r="G166" s="21"/>
      <c r="H166" s="21"/>
      <c r="I166" s="4">
        <v>8</v>
      </c>
      <c r="J166" s="4">
        <v>0.13333333333333333</v>
      </c>
      <c r="K166" s="4"/>
      <c r="L166" s="16"/>
      <c r="M166" s="4"/>
      <c r="N166" s="4"/>
      <c r="O166" s="4"/>
      <c r="P166" s="4">
        <v>200</v>
      </c>
      <c r="Q166" s="4"/>
      <c r="R166" s="4"/>
      <c r="S166" s="4">
        <v>200</v>
      </c>
      <c r="T166" s="4">
        <v>3.3333333333333335</v>
      </c>
      <c r="U166" s="4">
        <v>3.4666666666666668</v>
      </c>
      <c r="V166" s="4">
        <v>8.5333333333333332</v>
      </c>
      <c r="W166" s="4">
        <v>12</v>
      </c>
      <c r="X166" s="4">
        <v>0</v>
      </c>
      <c r="Y166" s="4"/>
      <c r="Z166" s="4">
        <v>345.7</v>
      </c>
      <c r="AA166" s="4">
        <v>350</v>
      </c>
      <c r="AB166" s="18"/>
      <c r="AC166" s="18">
        <v>4</v>
      </c>
      <c r="AD166" s="14"/>
      <c r="AE166" s="14"/>
      <c r="AF166" s="15"/>
    </row>
    <row r="167" spans="1:32" ht="13.5" customHeight="1" x14ac:dyDescent="0.25">
      <c r="A167" s="14">
        <v>45678</v>
      </c>
      <c r="B167" s="14" t="s">
        <v>46</v>
      </c>
      <c r="C167" s="15">
        <v>6</v>
      </c>
      <c r="D167" s="16">
        <v>15</v>
      </c>
      <c r="E167" s="16"/>
      <c r="F167" s="17"/>
      <c r="G167" s="21"/>
      <c r="H167" s="21"/>
      <c r="I167" s="4">
        <v>15</v>
      </c>
      <c r="J167" s="4">
        <v>0.25</v>
      </c>
      <c r="K167" s="4"/>
      <c r="L167" s="16"/>
      <c r="M167" s="4"/>
      <c r="N167" s="4">
        <v>5</v>
      </c>
      <c r="O167" s="4"/>
      <c r="P167" s="4"/>
      <c r="Q167" s="4"/>
      <c r="R167" s="4"/>
      <c r="S167" s="4">
        <v>5</v>
      </c>
      <c r="T167" s="4">
        <v>8.3333333333333329E-2</v>
      </c>
      <c r="U167" s="4">
        <v>0.33333333333333331</v>
      </c>
      <c r="V167" s="4">
        <v>11.666666666666666</v>
      </c>
      <c r="W167" s="4">
        <v>12</v>
      </c>
      <c r="X167" s="4">
        <v>0</v>
      </c>
      <c r="Y167" s="4"/>
      <c r="Z167" s="4">
        <v>610.4</v>
      </c>
      <c r="AA167" s="4">
        <v>600</v>
      </c>
      <c r="AB167" s="18"/>
      <c r="AC167" s="18">
        <v>4</v>
      </c>
      <c r="AD167" s="14"/>
      <c r="AE167" s="14"/>
      <c r="AF167" s="15"/>
    </row>
    <row r="168" spans="1:32" ht="13.5" customHeight="1" x14ac:dyDescent="0.25">
      <c r="A168" s="14">
        <v>45678</v>
      </c>
      <c r="B168" s="14" t="s">
        <v>47</v>
      </c>
      <c r="C168" s="15">
        <v>6</v>
      </c>
      <c r="D168" s="16"/>
      <c r="E168" s="16"/>
      <c r="F168" s="17"/>
      <c r="G168" s="21"/>
      <c r="H168" s="21"/>
      <c r="I168" s="4">
        <v>0</v>
      </c>
      <c r="J168" s="4">
        <v>0</v>
      </c>
      <c r="K168" s="4"/>
      <c r="L168" s="16"/>
      <c r="M168" s="4"/>
      <c r="N168" s="4"/>
      <c r="O168" s="4"/>
      <c r="P168" s="4"/>
      <c r="Q168" s="4"/>
      <c r="R168" s="4"/>
      <c r="S168" s="4">
        <v>0</v>
      </c>
      <c r="T168" s="4">
        <v>0</v>
      </c>
      <c r="U168" s="4">
        <v>0</v>
      </c>
      <c r="V168" s="4">
        <v>12</v>
      </c>
      <c r="W168" s="4">
        <v>12</v>
      </c>
      <c r="X168" s="4">
        <v>0</v>
      </c>
      <c r="Y168" s="4"/>
      <c r="Z168" s="4">
        <v>506</v>
      </c>
      <c r="AA168" s="4">
        <v>500</v>
      </c>
      <c r="AB168" s="18"/>
      <c r="AC168" s="18">
        <v>4</v>
      </c>
      <c r="AD168" s="14"/>
      <c r="AE168" s="14"/>
      <c r="AF168" s="15"/>
    </row>
    <row r="169" spans="1:32" ht="13.5" customHeight="1" x14ac:dyDescent="0.25">
      <c r="A169" s="14">
        <v>45678</v>
      </c>
      <c r="B169" s="14" t="s">
        <v>46</v>
      </c>
      <c r="C169" s="15">
        <v>7</v>
      </c>
      <c r="D169" s="16"/>
      <c r="E169" s="16"/>
      <c r="F169" s="17"/>
      <c r="G169" s="21"/>
      <c r="H169" s="21"/>
      <c r="I169" s="4">
        <v>0</v>
      </c>
      <c r="J169" s="4">
        <v>0</v>
      </c>
      <c r="K169" s="4"/>
      <c r="L169" s="16"/>
      <c r="M169" s="4"/>
      <c r="N169" s="4"/>
      <c r="O169" s="4"/>
      <c r="P169" s="4"/>
      <c r="Q169" s="4"/>
      <c r="R169" s="4"/>
      <c r="S169" s="4">
        <v>0</v>
      </c>
      <c r="T169" s="4">
        <v>0</v>
      </c>
      <c r="U169" s="4">
        <v>0</v>
      </c>
      <c r="V169" s="4">
        <v>12</v>
      </c>
      <c r="W169" s="4">
        <v>12</v>
      </c>
      <c r="X169" s="4">
        <v>15</v>
      </c>
      <c r="Y169" s="4"/>
      <c r="Z169" s="4">
        <v>399.40999999999997</v>
      </c>
      <c r="AA169" s="4">
        <v>400</v>
      </c>
      <c r="AB169" s="18"/>
      <c r="AC169" s="18">
        <v>4</v>
      </c>
      <c r="AD169" s="14"/>
      <c r="AE169" s="14"/>
      <c r="AF169" s="15"/>
    </row>
    <row r="170" spans="1:32" ht="13.5" customHeight="1" x14ac:dyDescent="0.25">
      <c r="A170" s="14">
        <v>45678</v>
      </c>
      <c r="B170" s="14" t="s">
        <v>47</v>
      </c>
      <c r="C170" s="15">
        <v>7</v>
      </c>
      <c r="D170" s="16">
        <v>5</v>
      </c>
      <c r="E170" s="16"/>
      <c r="F170" s="17"/>
      <c r="G170" s="21"/>
      <c r="H170" s="21"/>
      <c r="I170" s="4">
        <v>5</v>
      </c>
      <c r="J170" s="4">
        <v>8.3333333333333329E-2</v>
      </c>
      <c r="K170" s="4"/>
      <c r="L170" s="16"/>
      <c r="M170" s="4"/>
      <c r="N170" s="4"/>
      <c r="O170" s="4"/>
      <c r="P170" s="4"/>
      <c r="Q170" s="4"/>
      <c r="R170" s="4"/>
      <c r="S170" s="4">
        <v>0</v>
      </c>
      <c r="T170" s="4">
        <v>0</v>
      </c>
      <c r="U170" s="4">
        <v>8.3333333333333329E-2</v>
      </c>
      <c r="V170" s="4">
        <v>11.916666666666666</v>
      </c>
      <c r="W170" s="4">
        <v>12</v>
      </c>
      <c r="X170" s="4">
        <v>0</v>
      </c>
      <c r="Y170" s="4"/>
      <c r="Z170" s="4">
        <v>360.4</v>
      </c>
      <c r="AA170" s="4">
        <v>350</v>
      </c>
      <c r="AB170" s="18"/>
      <c r="AC170" s="18">
        <v>4</v>
      </c>
      <c r="AD170" s="14"/>
      <c r="AE170" s="14"/>
      <c r="AF170" s="15"/>
    </row>
    <row r="171" spans="1:32" ht="13.5" customHeight="1" x14ac:dyDescent="0.25">
      <c r="A171" s="14">
        <v>45679</v>
      </c>
      <c r="B171" s="14" t="s">
        <v>46</v>
      </c>
      <c r="C171" s="15">
        <v>1</v>
      </c>
      <c r="D171" s="16"/>
      <c r="E171" s="16"/>
      <c r="F171" s="17"/>
      <c r="G171" s="21"/>
      <c r="H171" s="21"/>
      <c r="I171" s="4">
        <v>0</v>
      </c>
      <c r="J171" s="4">
        <v>0</v>
      </c>
      <c r="K171" s="4"/>
      <c r="L171" s="16"/>
      <c r="M171" s="4"/>
      <c r="N171" s="4"/>
      <c r="O171" s="4"/>
      <c r="P171" s="4"/>
      <c r="Q171" s="4"/>
      <c r="R171" s="4"/>
      <c r="S171" s="4">
        <v>0</v>
      </c>
      <c r="T171" s="4">
        <v>0</v>
      </c>
      <c r="U171" s="4">
        <v>0</v>
      </c>
      <c r="V171" s="4">
        <v>12</v>
      </c>
      <c r="W171" s="4">
        <v>12</v>
      </c>
      <c r="X171" s="4">
        <v>60</v>
      </c>
      <c r="Y171" s="4">
        <v>2076</v>
      </c>
      <c r="Z171" s="4">
        <v>187.8</v>
      </c>
      <c r="AA171" s="4">
        <v>250</v>
      </c>
      <c r="AB171" s="18">
        <v>372</v>
      </c>
      <c r="AC171" s="18">
        <v>4</v>
      </c>
      <c r="AD171" s="14"/>
      <c r="AE171" s="14"/>
      <c r="AF171" s="15"/>
    </row>
    <row r="172" spans="1:32" ht="13.5" customHeight="1" x14ac:dyDescent="0.25">
      <c r="A172" s="14">
        <v>45679</v>
      </c>
      <c r="B172" s="14" t="s">
        <v>47</v>
      </c>
      <c r="C172" s="15">
        <v>1</v>
      </c>
      <c r="D172" s="16"/>
      <c r="E172" s="16"/>
      <c r="F172" s="17"/>
      <c r="G172" s="21"/>
      <c r="H172" s="21"/>
      <c r="I172" s="4">
        <v>0</v>
      </c>
      <c r="J172" s="4">
        <v>0</v>
      </c>
      <c r="K172" s="4"/>
      <c r="L172" s="16"/>
      <c r="M172" s="4"/>
      <c r="N172" s="4"/>
      <c r="O172" s="4">
        <v>30</v>
      </c>
      <c r="P172" s="4"/>
      <c r="Q172" s="4">
        <v>60</v>
      </c>
      <c r="R172" s="4"/>
      <c r="S172" s="4">
        <v>90</v>
      </c>
      <c r="T172" s="4">
        <v>1.5</v>
      </c>
      <c r="U172" s="4">
        <v>1.5</v>
      </c>
      <c r="V172" s="4">
        <v>10.5</v>
      </c>
      <c r="W172" s="4">
        <v>12</v>
      </c>
      <c r="X172" s="4">
        <v>40</v>
      </c>
      <c r="Y172" s="4"/>
      <c r="Z172" s="4">
        <v>160.80000000000001</v>
      </c>
      <c r="AA172" s="4">
        <v>250</v>
      </c>
      <c r="AB172" s="18"/>
      <c r="AC172" s="18">
        <v>4</v>
      </c>
      <c r="AD172" s="14"/>
      <c r="AE172" s="14"/>
      <c r="AF172" s="15"/>
    </row>
    <row r="173" spans="1:32" ht="13.5" customHeight="1" x14ac:dyDescent="0.25">
      <c r="A173" s="14">
        <v>45679</v>
      </c>
      <c r="B173" s="14" t="s">
        <v>46</v>
      </c>
      <c r="C173" s="15">
        <v>3</v>
      </c>
      <c r="D173" s="16"/>
      <c r="E173" s="16"/>
      <c r="F173" s="17"/>
      <c r="G173" s="21"/>
      <c r="H173" s="21"/>
      <c r="I173" s="4">
        <v>0</v>
      </c>
      <c r="J173" s="4">
        <v>0</v>
      </c>
      <c r="K173" s="4"/>
      <c r="L173" s="16"/>
      <c r="M173" s="4"/>
      <c r="N173" s="4">
        <v>10</v>
      </c>
      <c r="O173" s="4"/>
      <c r="P173" s="4"/>
      <c r="Q173" s="4"/>
      <c r="R173" s="4"/>
      <c r="S173" s="4">
        <v>10</v>
      </c>
      <c r="T173" s="4">
        <v>0.16666666666666666</v>
      </c>
      <c r="U173" s="4">
        <v>0.16666666666666666</v>
      </c>
      <c r="V173" s="4">
        <v>11.833333333333334</v>
      </c>
      <c r="W173" s="4">
        <v>12</v>
      </c>
      <c r="X173" s="4">
        <v>0</v>
      </c>
      <c r="Y173" s="4"/>
      <c r="Z173" s="4">
        <v>462.6</v>
      </c>
      <c r="AA173" s="4">
        <v>500</v>
      </c>
      <c r="AB173" s="18"/>
      <c r="AC173" s="18">
        <v>4</v>
      </c>
      <c r="AD173" s="14"/>
      <c r="AE173" s="14"/>
      <c r="AF173" s="15"/>
    </row>
    <row r="174" spans="1:32" ht="13.5" customHeight="1" x14ac:dyDescent="0.25">
      <c r="A174" s="14">
        <v>45679</v>
      </c>
      <c r="B174" s="14" t="s">
        <v>47</v>
      </c>
      <c r="C174" s="15">
        <v>3</v>
      </c>
      <c r="D174" s="16"/>
      <c r="E174" s="16"/>
      <c r="F174" s="17"/>
      <c r="G174" s="21"/>
      <c r="H174" s="21"/>
      <c r="I174" s="4">
        <v>0</v>
      </c>
      <c r="J174" s="4">
        <v>0</v>
      </c>
      <c r="K174" s="4"/>
      <c r="L174" s="16"/>
      <c r="M174" s="4"/>
      <c r="N174" s="4"/>
      <c r="O174" s="4"/>
      <c r="P174" s="4"/>
      <c r="Q174" s="4"/>
      <c r="R174" s="4"/>
      <c r="S174" s="4">
        <v>0</v>
      </c>
      <c r="T174" s="4">
        <v>0</v>
      </c>
      <c r="U174" s="4">
        <v>0</v>
      </c>
      <c r="V174" s="4">
        <v>12</v>
      </c>
      <c r="W174" s="4">
        <v>12</v>
      </c>
      <c r="X174" s="4">
        <v>0</v>
      </c>
      <c r="Y174" s="4"/>
      <c r="Z174" s="4">
        <v>654.80000000000007</v>
      </c>
      <c r="AA174" s="4">
        <v>700</v>
      </c>
      <c r="AB174" s="18"/>
      <c r="AC174" s="18">
        <v>4</v>
      </c>
      <c r="AD174" s="14"/>
      <c r="AE174" s="14"/>
      <c r="AF174" s="15"/>
    </row>
    <row r="175" spans="1:32" ht="13.5" customHeight="1" x14ac:dyDescent="0.25">
      <c r="A175" s="14">
        <v>45679</v>
      </c>
      <c r="B175" s="14" t="s">
        <v>46</v>
      </c>
      <c r="C175" s="15">
        <v>6</v>
      </c>
      <c r="D175" s="16"/>
      <c r="E175" s="16"/>
      <c r="F175" s="17"/>
      <c r="G175" s="21"/>
      <c r="H175" s="21"/>
      <c r="I175" s="4">
        <v>0</v>
      </c>
      <c r="J175" s="4">
        <v>0</v>
      </c>
      <c r="K175" s="4"/>
      <c r="L175" s="16"/>
      <c r="M175" s="4"/>
      <c r="N175" s="4"/>
      <c r="O175" s="4"/>
      <c r="P175" s="4"/>
      <c r="Q175" s="4"/>
      <c r="R175" s="4"/>
      <c r="S175" s="4">
        <v>0</v>
      </c>
      <c r="T175" s="4">
        <v>0</v>
      </c>
      <c r="U175" s="4">
        <v>0</v>
      </c>
      <c r="V175" s="4">
        <v>12</v>
      </c>
      <c r="W175" s="4">
        <v>12</v>
      </c>
      <c r="X175" s="4">
        <v>0</v>
      </c>
      <c r="Y175" s="4"/>
      <c r="Z175" s="4">
        <v>500.59999999999997</v>
      </c>
      <c r="AA175" s="4">
        <v>500</v>
      </c>
      <c r="AB175" s="18"/>
      <c r="AC175" s="18">
        <v>4</v>
      </c>
      <c r="AD175" s="14"/>
      <c r="AE175" s="14"/>
      <c r="AF175" s="15"/>
    </row>
    <row r="176" spans="1:32" ht="13.5" customHeight="1" x14ac:dyDescent="0.25">
      <c r="A176" s="14">
        <v>45679</v>
      </c>
      <c r="B176" s="14" t="s">
        <v>47</v>
      </c>
      <c r="C176" s="15">
        <v>6</v>
      </c>
      <c r="D176" s="16">
        <v>15</v>
      </c>
      <c r="E176" s="16"/>
      <c r="F176" s="17"/>
      <c r="G176" s="21"/>
      <c r="H176" s="21"/>
      <c r="I176" s="4">
        <v>15</v>
      </c>
      <c r="J176" s="4">
        <v>0.25</v>
      </c>
      <c r="K176" s="4">
        <v>177</v>
      </c>
      <c r="L176" s="16"/>
      <c r="M176" s="4"/>
      <c r="N176" s="4"/>
      <c r="O176" s="4"/>
      <c r="P176" s="4"/>
      <c r="Q176" s="4"/>
      <c r="R176" s="4"/>
      <c r="S176" s="4">
        <v>177</v>
      </c>
      <c r="T176" s="4">
        <v>2.95</v>
      </c>
      <c r="U176" s="4">
        <v>3.2</v>
      </c>
      <c r="V176" s="4">
        <v>8.8000000000000007</v>
      </c>
      <c r="W176" s="4">
        <v>12</v>
      </c>
      <c r="X176" s="4">
        <v>0</v>
      </c>
      <c r="Y176" s="4"/>
      <c r="Z176" s="4">
        <v>735.8</v>
      </c>
      <c r="AA176" s="4">
        <v>750</v>
      </c>
      <c r="AB176" s="18"/>
      <c r="AC176" s="18">
        <v>4</v>
      </c>
      <c r="AD176" s="14"/>
      <c r="AE176" s="14"/>
      <c r="AF176" s="15"/>
    </row>
    <row r="177" spans="1:32" ht="13.5" customHeight="1" x14ac:dyDescent="0.25">
      <c r="A177" s="14">
        <v>45679</v>
      </c>
      <c r="B177" s="14" t="s">
        <v>46</v>
      </c>
      <c r="C177" s="15">
        <v>7</v>
      </c>
      <c r="D177" s="16"/>
      <c r="E177" s="16"/>
      <c r="F177" s="17"/>
      <c r="G177" s="21"/>
      <c r="H177" s="21"/>
      <c r="I177" s="4">
        <v>0</v>
      </c>
      <c r="J177" s="4">
        <v>0</v>
      </c>
      <c r="K177" s="4"/>
      <c r="L177" s="16"/>
      <c r="M177" s="4"/>
      <c r="N177" s="4"/>
      <c r="O177" s="4"/>
      <c r="P177" s="4"/>
      <c r="Q177" s="4"/>
      <c r="R177" s="4"/>
      <c r="S177" s="4">
        <v>0</v>
      </c>
      <c r="T177" s="4">
        <v>0</v>
      </c>
      <c r="U177" s="4">
        <v>0</v>
      </c>
      <c r="V177" s="4">
        <v>12</v>
      </c>
      <c r="W177" s="4">
        <v>12</v>
      </c>
      <c r="X177" s="4">
        <v>0</v>
      </c>
      <c r="Y177" s="4"/>
      <c r="Z177" s="4">
        <v>392.82</v>
      </c>
      <c r="AA177" s="4">
        <v>400</v>
      </c>
      <c r="AB177" s="18"/>
      <c r="AC177" s="18">
        <v>4</v>
      </c>
      <c r="AD177" s="14"/>
      <c r="AE177" s="14"/>
      <c r="AF177" s="15"/>
    </row>
    <row r="178" spans="1:32" ht="13.5" customHeight="1" x14ac:dyDescent="0.25">
      <c r="A178" s="14">
        <v>45679</v>
      </c>
      <c r="B178" s="14" t="s">
        <v>47</v>
      </c>
      <c r="C178" s="15">
        <v>7</v>
      </c>
      <c r="D178" s="16"/>
      <c r="E178" s="16"/>
      <c r="F178" s="17"/>
      <c r="G178" s="21"/>
      <c r="H178" s="21"/>
      <c r="I178" s="4">
        <v>0</v>
      </c>
      <c r="J178" s="4">
        <v>0</v>
      </c>
      <c r="K178" s="4"/>
      <c r="L178" s="16"/>
      <c r="M178" s="4"/>
      <c r="N178" s="4"/>
      <c r="O178" s="4"/>
      <c r="P178" s="4"/>
      <c r="Q178" s="4"/>
      <c r="R178" s="4"/>
      <c r="S178" s="4">
        <v>0</v>
      </c>
      <c r="T178" s="4">
        <v>0</v>
      </c>
      <c r="U178" s="4">
        <v>0</v>
      </c>
      <c r="V178" s="4">
        <v>12</v>
      </c>
      <c r="W178" s="4">
        <v>12</v>
      </c>
      <c r="X178" s="4">
        <v>0</v>
      </c>
      <c r="Y178" s="4"/>
      <c r="Z178" s="4">
        <v>430.1</v>
      </c>
      <c r="AA178" s="4">
        <v>450</v>
      </c>
      <c r="AB178" s="18"/>
      <c r="AC178" s="18">
        <v>4</v>
      </c>
      <c r="AD178" s="14"/>
      <c r="AE178" s="14"/>
      <c r="AF178" s="15"/>
    </row>
    <row r="179" spans="1:32" ht="13.5" customHeight="1" x14ac:dyDescent="0.25">
      <c r="A179" s="14">
        <v>45680</v>
      </c>
      <c r="B179" s="14" t="s">
        <v>46</v>
      </c>
      <c r="C179" s="15">
        <v>1</v>
      </c>
      <c r="D179" s="16"/>
      <c r="E179" s="16"/>
      <c r="F179" s="17"/>
      <c r="G179" s="21"/>
      <c r="H179" s="21"/>
      <c r="I179" s="4">
        <v>0</v>
      </c>
      <c r="J179" s="4">
        <v>0</v>
      </c>
      <c r="K179" s="4"/>
      <c r="L179" s="16"/>
      <c r="M179" s="4"/>
      <c r="N179" s="4"/>
      <c r="O179" s="4"/>
      <c r="P179" s="4"/>
      <c r="Q179" s="4"/>
      <c r="R179" s="4"/>
      <c r="S179" s="4">
        <v>0</v>
      </c>
      <c r="T179" s="4">
        <v>0</v>
      </c>
      <c r="U179" s="4">
        <v>0</v>
      </c>
      <c r="V179" s="4">
        <v>12</v>
      </c>
      <c r="W179" s="4">
        <v>12</v>
      </c>
      <c r="X179" s="4">
        <v>2</v>
      </c>
      <c r="Y179" s="4">
        <v>1931</v>
      </c>
      <c r="Z179" s="4">
        <v>184.2</v>
      </c>
      <c r="AA179" s="4">
        <v>200</v>
      </c>
      <c r="AB179" s="18">
        <v>372</v>
      </c>
      <c r="AC179" s="18">
        <v>4</v>
      </c>
      <c r="AD179" s="14"/>
      <c r="AE179" s="14"/>
      <c r="AF179" s="15"/>
    </row>
    <row r="180" spans="1:32" ht="13.5" customHeight="1" x14ac:dyDescent="0.25">
      <c r="A180" s="14">
        <v>45680</v>
      </c>
      <c r="B180" s="14" t="s">
        <v>47</v>
      </c>
      <c r="C180" s="15">
        <v>1</v>
      </c>
      <c r="D180" s="16"/>
      <c r="E180" s="16"/>
      <c r="F180" s="17"/>
      <c r="G180" s="21"/>
      <c r="H180" s="21"/>
      <c r="I180" s="4">
        <v>0</v>
      </c>
      <c r="J180" s="4">
        <v>0</v>
      </c>
      <c r="K180" s="4"/>
      <c r="L180" s="16"/>
      <c r="M180" s="4"/>
      <c r="N180" s="4"/>
      <c r="O180" s="4"/>
      <c r="P180" s="4"/>
      <c r="Q180" s="4"/>
      <c r="R180" s="4"/>
      <c r="S180" s="4">
        <v>0</v>
      </c>
      <c r="T180" s="4">
        <v>0</v>
      </c>
      <c r="U180" s="4">
        <v>0</v>
      </c>
      <c r="V180" s="4">
        <v>12</v>
      </c>
      <c r="W180" s="4">
        <v>12</v>
      </c>
      <c r="X180" s="4">
        <v>0</v>
      </c>
      <c r="Y180" s="4"/>
      <c r="Z180" s="4">
        <v>162.19999999999999</v>
      </c>
      <c r="AA180" s="4">
        <v>200</v>
      </c>
      <c r="AB180" s="18"/>
      <c r="AC180" s="18">
        <v>4</v>
      </c>
      <c r="AD180" s="14"/>
      <c r="AE180" s="14"/>
      <c r="AF180" s="15"/>
    </row>
    <row r="181" spans="1:32" ht="13.5" customHeight="1" x14ac:dyDescent="0.25">
      <c r="A181" s="14">
        <v>45680</v>
      </c>
      <c r="B181" s="14" t="s">
        <v>46</v>
      </c>
      <c r="C181" s="15">
        <v>3</v>
      </c>
      <c r="D181" s="16"/>
      <c r="E181" s="16"/>
      <c r="F181" s="17"/>
      <c r="G181" s="21"/>
      <c r="H181" s="21"/>
      <c r="I181" s="4">
        <v>0</v>
      </c>
      <c r="J181" s="4">
        <v>0</v>
      </c>
      <c r="K181" s="4"/>
      <c r="L181" s="16"/>
      <c r="M181" s="4"/>
      <c r="N181" s="4"/>
      <c r="O181" s="4"/>
      <c r="P181" s="4">
        <v>180</v>
      </c>
      <c r="Q181" s="4"/>
      <c r="R181" s="4"/>
      <c r="S181" s="4">
        <v>180</v>
      </c>
      <c r="T181" s="4">
        <v>3</v>
      </c>
      <c r="U181" s="4">
        <v>3</v>
      </c>
      <c r="V181" s="4">
        <v>9</v>
      </c>
      <c r="W181" s="4">
        <v>12</v>
      </c>
      <c r="X181" s="4">
        <v>6</v>
      </c>
      <c r="Y181" s="4"/>
      <c r="Z181" s="4">
        <v>249</v>
      </c>
      <c r="AA181" s="4">
        <v>300</v>
      </c>
      <c r="AB181" s="18"/>
      <c r="AC181" s="18">
        <v>4</v>
      </c>
      <c r="AD181" s="14"/>
      <c r="AE181" s="14"/>
      <c r="AF181" s="15"/>
    </row>
    <row r="182" spans="1:32" ht="13.5" customHeight="1" x14ac:dyDescent="0.25">
      <c r="A182" s="14">
        <v>45680</v>
      </c>
      <c r="B182" s="14" t="s">
        <v>47</v>
      </c>
      <c r="C182" s="15">
        <v>3</v>
      </c>
      <c r="D182" s="16"/>
      <c r="E182" s="16"/>
      <c r="F182" s="17"/>
      <c r="G182" s="21"/>
      <c r="H182" s="21"/>
      <c r="I182" s="4">
        <v>0</v>
      </c>
      <c r="J182" s="4">
        <v>0</v>
      </c>
      <c r="K182" s="4"/>
      <c r="L182" s="16"/>
      <c r="M182" s="4"/>
      <c r="N182" s="4"/>
      <c r="O182" s="4"/>
      <c r="P182" s="4"/>
      <c r="Q182" s="4"/>
      <c r="R182" s="4"/>
      <c r="S182" s="4">
        <v>0</v>
      </c>
      <c r="T182" s="4">
        <v>0</v>
      </c>
      <c r="U182" s="4">
        <v>0</v>
      </c>
      <c r="V182" s="4">
        <v>12</v>
      </c>
      <c r="W182" s="4">
        <v>12</v>
      </c>
      <c r="X182" s="4">
        <v>0</v>
      </c>
      <c r="Y182" s="4"/>
      <c r="Z182" s="4">
        <v>621</v>
      </c>
      <c r="AA182" s="4">
        <v>700</v>
      </c>
      <c r="AB182" s="18"/>
      <c r="AC182" s="18">
        <v>4</v>
      </c>
      <c r="AD182" s="14"/>
      <c r="AE182" s="14"/>
      <c r="AF182" s="15"/>
    </row>
    <row r="183" spans="1:32" ht="13.5" customHeight="1" x14ac:dyDescent="0.25">
      <c r="A183" s="14">
        <v>45680</v>
      </c>
      <c r="B183" s="14" t="s">
        <v>46</v>
      </c>
      <c r="C183" s="15">
        <v>6</v>
      </c>
      <c r="D183" s="16"/>
      <c r="E183" s="16"/>
      <c r="F183" s="17"/>
      <c r="G183" s="21"/>
      <c r="H183" s="21"/>
      <c r="I183" s="4">
        <v>0</v>
      </c>
      <c r="J183" s="4">
        <v>0</v>
      </c>
      <c r="K183" s="4"/>
      <c r="L183" s="16"/>
      <c r="M183" s="4"/>
      <c r="N183" s="4"/>
      <c r="O183" s="4"/>
      <c r="P183" s="4"/>
      <c r="Q183" s="4"/>
      <c r="R183" s="4"/>
      <c r="S183" s="4">
        <v>0</v>
      </c>
      <c r="T183" s="4">
        <v>0</v>
      </c>
      <c r="U183" s="4">
        <v>0</v>
      </c>
      <c r="V183" s="4">
        <v>12</v>
      </c>
      <c r="W183" s="4">
        <v>12</v>
      </c>
      <c r="X183" s="4">
        <v>0</v>
      </c>
      <c r="Y183" s="4"/>
      <c r="Z183" s="4">
        <v>670.80000000000007</v>
      </c>
      <c r="AA183" s="4">
        <v>750</v>
      </c>
      <c r="AB183" s="18"/>
      <c r="AC183" s="18">
        <v>4</v>
      </c>
      <c r="AD183" s="14"/>
      <c r="AE183" s="14"/>
      <c r="AF183" s="15"/>
    </row>
    <row r="184" spans="1:32" ht="13.5" customHeight="1" x14ac:dyDescent="0.25">
      <c r="A184" s="14">
        <v>45680</v>
      </c>
      <c r="B184" s="14" t="s">
        <v>47</v>
      </c>
      <c r="C184" s="15">
        <v>6</v>
      </c>
      <c r="D184" s="16"/>
      <c r="E184" s="16"/>
      <c r="F184" s="17"/>
      <c r="G184" s="21"/>
      <c r="H184" s="21"/>
      <c r="I184" s="4">
        <v>0</v>
      </c>
      <c r="J184" s="4">
        <v>0</v>
      </c>
      <c r="K184" s="4"/>
      <c r="L184" s="16"/>
      <c r="M184" s="4"/>
      <c r="N184" s="4"/>
      <c r="O184" s="4"/>
      <c r="P184" s="4"/>
      <c r="Q184" s="4"/>
      <c r="R184" s="4"/>
      <c r="S184" s="4">
        <v>0</v>
      </c>
      <c r="T184" s="4">
        <v>0</v>
      </c>
      <c r="U184" s="4">
        <v>0</v>
      </c>
      <c r="V184" s="4">
        <v>12</v>
      </c>
      <c r="W184" s="4">
        <v>12</v>
      </c>
      <c r="X184" s="4">
        <v>0</v>
      </c>
      <c r="Y184" s="4"/>
      <c r="Z184" s="4">
        <v>661.5</v>
      </c>
      <c r="AA184" s="4">
        <v>700</v>
      </c>
      <c r="AB184" s="18"/>
      <c r="AC184" s="18">
        <v>4</v>
      </c>
      <c r="AD184" s="14"/>
      <c r="AE184" s="14"/>
      <c r="AF184" s="15"/>
    </row>
    <row r="185" spans="1:32" ht="13.5" customHeight="1" x14ac:dyDescent="0.25">
      <c r="A185" s="14">
        <v>45680</v>
      </c>
      <c r="B185" s="14" t="s">
        <v>46</v>
      </c>
      <c r="C185" s="15">
        <v>7</v>
      </c>
      <c r="D185" s="16">
        <v>6</v>
      </c>
      <c r="E185" s="16"/>
      <c r="F185" s="17"/>
      <c r="G185" s="21"/>
      <c r="H185" s="21"/>
      <c r="I185" s="4">
        <v>6</v>
      </c>
      <c r="J185" s="4">
        <v>0.1</v>
      </c>
      <c r="K185" s="4"/>
      <c r="L185" s="16"/>
      <c r="M185" s="4"/>
      <c r="N185" s="4"/>
      <c r="O185" s="4"/>
      <c r="P185" s="4"/>
      <c r="Q185" s="4">
        <v>30</v>
      </c>
      <c r="R185" s="4"/>
      <c r="S185" s="4">
        <v>30</v>
      </c>
      <c r="T185" s="4">
        <v>0.5</v>
      </c>
      <c r="U185" s="4">
        <v>0.6</v>
      </c>
      <c r="V185" s="4">
        <v>11.4</v>
      </c>
      <c r="W185" s="4">
        <v>12</v>
      </c>
      <c r="X185" s="4">
        <v>20</v>
      </c>
      <c r="Y185" s="4"/>
      <c r="Z185" s="4">
        <v>434.17</v>
      </c>
      <c r="AA185" s="4">
        <v>500</v>
      </c>
      <c r="AB185" s="18"/>
      <c r="AC185" s="18">
        <v>4</v>
      </c>
      <c r="AD185" s="14"/>
      <c r="AE185" s="14"/>
      <c r="AF185" s="15"/>
    </row>
    <row r="186" spans="1:32" ht="13.5" customHeight="1" x14ac:dyDescent="0.25">
      <c r="A186" s="14">
        <v>45680</v>
      </c>
      <c r="B186" s="14" t="s">
        <v>47</v>
      </c>
      <c r="C186" s="15">
        <v>7</v>
      </c>
      <c r="D186" s="16">
        <v>7</v>
      </c>
      <c r="E186" s="16"/>
      <c r="F186" s="17"/>
      <c r="G186" s="21"/>
      <c r="H186" s="21"/>
      <c r="I186" s="4">
        <v>7</v>
      </c>
      <c r="J186" s="4">
        <v>0.11666666666666667</v>
      </c>
      <c r="K186" s="4"/>
      <c r="L186" s="16"/>
      <c r="M186" s="4"/>
      <c r="N186" s="4"/>
      <c r="O186" s="4"/>
      <c r="P186" s="4"/>
      <c r="Q186" s="4"/>
      <c r="R186" s="4"/>
      <c r="S186" s="4">
        <v>0</v>
      </c>
      <c r="T186" s="4">
        <v>0</v>
      </c>
      <c r="U186" s="4">
        <v>0.11666666666666667</v>
      </c>
      <c r="V186" s="4">
        <v>11.883333333333333</v>
      </c>
      <c r="W186" s="4">
        <v>12</v>
      </c>
      <c r="X186" s="4">
        <v>7.5</v>
      </c>
      <c r="Y186" s="4"/>
      <c r="Z186" s="4">
        <v>410.6</v>
      </c>
      <c r="AA186" s="4">
        <v>450</v>
      </c>
      <c r="AB186" s="18"/>
      <c r="AC186" s="18">
        <v>4</v>
      </c>
      <c r="AD186" s="14"/>
      <c r="AE186" s="14"/>
      <c r="AF186" s="15"/>
    </row>
    <row r="187" spans="1:32" ht="13.5" customHeight="1" x14ac:dyDescent="0.25">
      <c r="A187" s="14">
        <v>45681</v>
      </c>
      <c r="B187" s="14" t="s">
        <v>46</v>
      </c>
      <c r="C187" s="15">
        <v>1</v>
      </c>
      <c r="D187" s="16"/>
      <c r="E187" s="16"/>
      <c r="F187" s="17"/>
      <c r="G187" s="21"/>
      <c r="H187" s="21"/>
      <c r="I187" s="4">
        <v>0</v>
      </c>
      <c r="J187" s="4">
        <v>0</v>
      </c>
      <c r="K187" s="4"/>
      <c r="L187" s="16"/>
      <c r="M187" s="4"/>
      <c r="N187" s="4"/>
      <c r="O187" s="4"/>
      <c r="P187" s="4"/>
      <c r="Q187" s="4"/>
      <c r="R187" s="4"/>
      <c r="S187" s="4">
        <v>0</v>
      </c>
      <c r="T187" s="4">
        <v>0</v>
      </c>
      <c r="U187" s="4">
        <v>0</v>
      </c>
      <c r="V187" s="4">
        <v>12</v>
      </c>
      <c r="W187" s="4">
        <v>12</v>
      </c>
      <c r="X187" s="4">
        <v>50</v>
      </c>
      <c r="Y187" s="4">
        <v>2239</v>
      </c>
      <c r="Z187" s="4">
        <v>171</v>
      </c>
      <c r="AA187" s="4">
        <v>200</v>
      </c>
      <c r="AB187" s="18">
        <v>372</v>
      </c>
      <c r="AC187" s="18">
        <v>4</v>
      </c>
      <c r="AD187" s="14"/>
      <c r="AE187" s="14"/>
      <c r="AF187" s="15"/>
    </row>
    <row r="188" spans="1:32" ht="13.5" customHeight="1" x14ac:dyDescent="0.25">
      <c r="A188" s="14">
        <v>45681</v>
      </c>
      <c r="B188" s="14" t="s">
        <v>47</v>
      </c>
      <c r="C188" s="15">
        <v>1</v>
      </c>
      <c r="D188" s="16"/>
      <c r="E188" s="16"/>
      <c r="F188" s="17"/>
      <c r="G188" s="21"/>
      <c r="H188" s="21"/>
      <c r="I188" s="4">
        <v>0</v>
      </c>
      <c r="J188" s="4">
        <v>0</v>
      </c>
      <c r="K188" s="4"/>
      <c r="L188" s="16"/>
      <c r="M188" s="4"/>
      <c r="N188" s="4"/>
      <c r="O188" s="4"/>
      <c r="P188" s="4"/>
      <c r="Q188" s="4"/>
      <c r="R188" s="4"/>
      <c r="S188" s="4">
        <v>0</v>
      </c>
      <c r="T188" s="4">
        <v>0</v>
      </c>
      <c r="U188" s="4">
        <v>0</v>
      </c>
      <c r="V188" s="4">
        <v>12</v>
      </c>
      <c r="W188" s="4">
        <v>12</v>
      </c>
      <c r="X188" s="4">
        <v>105</v>
      </c>
      <c r="Y188" s="4"/>
      <c r="Z188" s="4">
        <v>160.30000000000001</v>
      </c>
      <c r="AA188" s="4">
        <v>200</v>
      </c>
      <c r="AB188" s="18"/>
      <c r="AC188" s="18">
        <v>4</v>
      </c>
      <c r="AD188" s="14"/>
      <c r="AE188" s="14"/>
      <c r="AF188" s="15"/>
    </row>
    <row r="189" spans="1:32" ht="13.5" customHeight="1" x14ac:dyDescent="0.25">
      <c r="A189" s="14">
        <v>45681</v>
      </c>
      <c r="B189" s="14" t="s">
        <v>46</v>
      </c>
      <c r="C189" s="15">
        <v>3</v>
      </c>
      <c r="D189" s="16"/>
      <c r="E189" s="16"/>
      <c r="F189" s="17"/>
      <c r="G189" s="21"/>
      <c r="H189" s="21"/>
      <c r="I189" s="4">
        <v>0</v>
      </c>
      <c r="J189" s="4">
        <v>0</v>
      </c>
      <c r="K189" s="4"/>
      <c r="L189" s="16"/>
      <c r="M189" s="4"/>
      <c r="N189" s="4"/>
      <c r="O189" s="4"/>
      <c r="P189" s="4"/>
      <c r="Q189" s="4"/>
      <c r="R189" s="4"/>
      <c r="S189" s="4">
        <v>0</v>
      </c>
      <c r="T189" s="4">
        <v>0</v>
      </c>
      <c r="U189" s="4">
        <v>0</v>
      </c>
      <c r="V189" s="4">
        <v>12</v>
      </c>
      <c r="W189" s="4">
        <v>12</v>
      </c>
      <c r="X189" s="4">
        <v>0</v>
      </c>
      <c r="Y189" s="4"/>
      <c r="Z189" s="4">
        <v>534.79999999999995</v>
      </c>
      <c r="AA189" s="4">
        <v>600</v>
      </c>
      <c r="AB189" s="18"/>
      <c r="AC189" s="18">
        <v>4</v>
      </c>
      <c r="AD189" s="14"/>
      <c r="AE189" s="14"/>
      <c r="AF189" s="15"/>
    </row>
    <row r="190" spans="1:32" ht="13.5" customHeight="1" x14ac:dyDescent="0.25">
      <c r="A190" s="14">
        <v>45681</v>
      </c>
      <c r="B190" s="14" t="s">
        <v>47</v>
      </c>
      <c r="C190" s="15">
        <v>3</v>
      </c>
      <c r="D190" s="16"/>
      <c r="E190" s="16"/>
      <c r="F190" s="17"/>
      <c r="G190" s="21"/>
      <c r="H190" s="21"/>
      <c r="I190" s="4">
        <v>0</v>
      </c>
      <c r="J190" s="4">
        <v>0</v>
      </c>
      <c r="K190" s="4"/>
      <c r="L190" s="16"/>
      <c r="M190" s="4"/>
      <c r="N190" s="4"/>
      <c r="O190" s="4"/>
      <c r="P190" s="4"/>
      <c r="Q190" s="4"/>
      <c r="R190" s="4"/>
      <c r="S190" s="4">
        <v>0</v>
      </c>
      <c r="T190" s="4">
        <v>0</v>
      </c>
      <c r="U190" s="4">
        <v>0</v>
      </c>
      <c r="V190" s="4">
        <v>12</v>
      </c>
      <c r="W190" s="4">
        <v>12</v>
      </c>
      <c r="X190" s="4">
        <v>0</v>
      </c>
      <c r="Y190" s="4"/>
      <c r="Z190" s="4">
        <v>599</v>
      </c>
      <c r="AA190" s="4">
        <v>650</v>
      </c>
      <c r="AB190" s="18"/>
      <c r="AC190" s="18">
        <v>4</v>
      </c>
      <c r="AD190" s="14"/>
      <c r="AE190" s="14"/>
      <c r="AF190" s="15"/>
    </row>
    <row r="191" spans="1:32" ht="13.5" customHeight="1" x14ac:dyDescent="0.25">
      <c r="A191" s="14">
        <v>45681</v>
      </c>
      <c r="B191" s="14" t="s">
        <v>46</v>
      </c>
      <c r="C191" s="15">
        <v>6</v>
      </c>
      <c r="D191" s="16">
        <v>15</v>
      </c>
      <c r="E191" s="16"/>
      <c r="F191" s="17"/>
      <c r="G191" s="21"/>
      <c r="H191" s="21"/>
      <c r="I191" s="4">
        <v>15</v>
      </c>
      <c r="J191" s="4">
        <v>0.25</v>
      </c>
      <c r="K191" s="4"/>
      <c r="L191" s="16"/>
      <c r="M191" s="4"/>
      <c r="N191" s="4">
        <v>15</v>
      </c>
      <c r="O191" s="4"/>
      <c r="P191" s="4"/>
      <c r="Q191" s="4"/>
      <c r="R191" s="4"/>
      <c r="S191" s="4">
        <v>15</v>
      </c>
      <c r="T191" s="4">
        <v>0.25</v>
      </c>
      <c r="U191" s="4">
        <v>0.5</v>
      </c>
      <c r="V191" s="4">
        <v>11.5</v>
      </c>
      <c r="W191" s="4">
        <v>12</v>
      </c>
      <c r="X191" s="4">
        <v>0</v>
      </c>
      <c r="Y191" s="4"/>
      <c r="Z191" s="4">
        <v>802.4</v>
      </c>
      <c r="AA191" s="4">
        <v>800</v>
      </c>
      <c r="AB191" s="18"/>
      <c r="AC191" s="18">
        <v>4</v>
      </c>
      <c r="AD191" s="14"/>
      <c r="AE191" s="14"/>
      <c r="AF191" s="15"/>
    </row>
    <row r="192" spans="1:32" ht="13.5" customHeight="1" x14ac:dyDescent="0.25">
      <c r="A192" s="14">
        <v>45681</v>
      </c>
      <c r="B192" s="14" t="s">
        <v>47</v>
      </c>
      <c r="C192" s="15">
        <v>6</v>
      </c>
      <c r="D192" s="16">
        <v>10</v>
      </c>
      <c r="E192" s="16"/>
      <c r="F192" s="17"/>
      <c r="G192" s="21"/>
      <c r="H192" s="21"/>
      <c r="I192" s="4">
        <v>10</v>
      </c>
      <c r="J192" s="4">
        <v>0.16666666666666666</v>
      </c>
      <c r="K192" s="4"/>
      <c r="L192" s="16"/>
      <c r="M192" s="4"/>
      <c r="N192" s="4">
        <v>10</v>
      </c>
      <c r="O192" s="4"/>
      <c r="P192" s="4">
        <v>60</v>
      </c>
      <c r="Q192" s="4"/>
      <c r="R192" s="4"/>
      <c r="S192" s="4">
        <v>70</v>
      </c>
      <c r="T192" s="4">
        <v>1.1666666666666667</v>
      </c>
      <c r="U192" s="4">
        <v>1.3333333333333335</v>
      </c>
      <c r="V192" s="4">
        <v>10.666666666666666</v>
      </c>
      <c r="W192" s="4">
        <v>12</v>
      </c>
      <c r="X192" s="4">
        <v>0</v>
      </c>
      <c r="Y192" s="4"/>
      <c r="Z192" s="4">
        <v>1209.1999999999998</v>
      </c>
      <c r="AA192" s="4">
        <v>1250</v>
      </c>
      <c r="AB192" s="18"/>
      <c r="AC192" s="18">
        <v>4</v>
      </c>
      <c r="AD192" s="14"/>
      <c r="AE192" s="14"/>
      <c r="AF192" s="15"/>
    </row>
    <row r="193" spans="1:32" ht="13.5" customHeight="1" x14ac:dyDescent="0.25">
      <c r="A193" s="14">
        <v>45681</v>
      </c>
      <c r="B193" s="14" t="s">
        <v>46</v>
      </c>
      <c r="C193" s="15">
        <v>7</v>
      </c>
      <c r="D193" s="16">
        <v>7</v>
      </c>
      <c r="E193" s="16"/>
      <c r="F193" s="17"/>
      <c r="G193" s="21"/>
      <c r="H193" s="21"/>
      <c r="I193" s="4">
        <v>7</v>
      </c>
      <c r="J193" s="4">
        <v>0.11666666666666667</v>
      </c>
      <c r="K193" s="4"/>
      <c r="L193" s="16"/>
      <c r="M193" s="4"/>
      <c r="N193" s="4"/>
      <c r="O193" s="4"/>
      <c r="P193" s="4">
        <v>180</v>
      </c>
      <c r="Q193" s="4"/>
      <c r="R193" s="4"/>
      <c r="S193" s="4">
        <v>180</v>
      </c>
      <c r="T193" s="4">
        <v>3</v>
      </c>
      <c r="U193" s="4">
        <v>3.1166666666666667</v>
      </c>
      <c r="V193" s="4">
        <v>8.8833333333333329</v>
      </c>
      <c r="W193" s="4">
        <v>12</v>
      </c>
      <c r="X193" s="4">
        <v>0</v>
      </c>
      <c r="Y193" s="4"/>
      <c r="Z193" s="4">
        <v>418.14</v>
      </c>
      <c r="AA193" s="4">
        <v>500</v>
      </c>
      <c r="AB193" s="18"/>
      <c r="AC193" s="18">
        <v>4</v>
      </c>
      <c r="AD193" s="14"/>
      <c r="AE193" s="14"/>
      <c r="AF193" s="15"/>
    </row>
    <row r="194" spans="1:32" ht="13.5" customHeight="1" x14ac:dyDescent="0.25">
      <c r="A194" s="14">
        <v>45681</v>
      </c>
      <c r="B194" s="14" t="s">
        <v>47</v>
      </c>
      <c r="C194" s="15">
        <v>7</v>
      </c>
      <c r="D194" s="16">
        <v>12</v>
      </c>
      <c r="E194" s="16"/>
      <c r="F194" s="17"/>
      <c r="G194" s="21"/>
      <c r="H194" s="21"/>
      <c r="I194" s="4">
        <v>12</v>
      </c>
      <c r="J194" s="4">
        <v>0.2</v>
      </c>
      <c r="K194" s="4"/>
      <c r="L194" s="16"/>
      <c r="M194" s="4"/>
      <c r="N194" s="4"/>
      <c r="O194" s="4"/>
      <c r="P194" s="4"/>
      <c r="Q194" s="4"/>
      <c r="R194" s="4"/>
      <c r="S194" s="4">
        <v>0</v>
      </c>
      <c r="T194" s="4">
        <v>0</v>
      </c>
      <c r="U194" s="4">
        <v>0.2</v>
      </c>
      <c r="V194" s="4">
        <v>11.8</v>
      </c>
      <c r="W194" s="4">
        <v>12</v>
      </c>
      <c r="X194" s="4">
        <v>0</v>
      </c>
      <c r="Y194" s="4"/>
      <c r="Z194" s="4">
        <v>447.3</v>
      </c>
      <c r="AA194" s="4">
        <v>500</v>
      </c>
      <c r="AB194" s="18"/>
      <c r="AC194" s="18">
        <v>4</v>
      </c>
      <c r="AD194" s="14"/>
      <c r="AE194" s="14"/>
      <c r="AF194" s="15"/>
    </row>
    <row r="195" spans="1:32" ht="13.5" customHeight="1" x14ac:dyDescent="0.25">
      <c r="A195" s="14">
        <v>45682</v>
      </c>
      <c r="B195" s="14" t="s">
        <v>46</v>
      </c>
      <c r="C195" s="15">
        <v>1</v>
      </c>
      <c r="D195" s="16"/>
      <c r="E195" s="16"/>
      <c r="F195" s="17"/>
      <c r="G195" s="21"/>
      <c r="H195" s="21"/>
      <c r="I195" s="4">
        <v>0</v>
      </c>
      <c r="J195" s="4">
        <v>0</v>
      </c>
      <c r="K195" s="4"/>
      <c r="L195" s="16"/>
      <c r="M195" s="4"/>
      <c r="N195" s="4"/>
      <c r="O195" s="4"/>
      <c r="P195" s="4"/>
      <c r="Q195" s="4"/>
      <c r="R195" s="4"/>
      <c r="S195" s="4">
        <v>0</v>
      </c>
      <c r="T195" s="4">
        <v>0</v>
      </c>
      <c r="U195" s="4">
        <v>0</v>
      </c>
      <c r="V195" s="4">
        <v>12</v>
      </c>
      <c r="W195" s="4">
        <v>12</v>
      </c>
      <c r="X195" s="4">
        <v>0</v>
      </c>
      <c r="Y195" s="4">
        <v>1757</v>
      </c>
      <c r="Z195" s="4">
        <v>176.4</v>
      </c>
      <c r="AA195" s="4">
        <v>200</v>
      </c>
      <c r="AB195" s="18">
        <v>372</v>
      </c>
      <c r="AC195" s="18">
        <v>4</v>
      </c>
      <c r="AD195" s="14"/>
      <c r="AE195" s="14"/>
      <c r="AF195" s="15"/>
    </row>
    <row r="196" spans="1:32" ht="13.5" customHeight="1" x14ac:dyDescent="0.25">
      <c r="A196" s="14">
        <v>45682</v>
      </c>
      <c r="B196" s="14" t="s">
        <v>47</v>
      </c>
      <c r="C196" s="15">
        <v>1</v>
      </c>
      <c r="D196" s="16"/>
      <c r="E196" s="16"/>
      <c r="F196" s="17"/>
      <c r="G196" s="21"/>
      <c r="H196" s="21"/>
      <c r="I196" s="4">
        <v>0</v>
      </c>
      <c r="J196" s="4">
        <v>0</v>
      </c>
      <c r="K196" s="4"/>
      <c r="L196" s="16"/>
      <c r="M196" s="4"/>
      <c r="N196" s="4"/>
      <c r="O196" s="4"/>
      <c r="P196" s="4"/>
      <c r="Q196" s="4"/>
      <c r="R196" s="4"/>
      <c r="S196" s="4">
        <v>0</v>
      </c>
      <c r="T196" s="4">
        <v>0</v>
      </c>
      <c r="U196" s="4">
        <v>0</v>
      </c>
      <c r="V196" s="4">
        <v>12</v>
      </c>
      <c r="W196" s="4">
        <v>12</v>
      </c>
      <c r="X196" s="4">
        <v>40</v>
      </c>
      <c r="Y196" s="4"/>
      <c r="Z196" s="4">
        <v>151.40000000000003</v>
      </c>
      <c r="AA196" s="4">
        <v>200</v>
      </c>
      <c r="AB196" s="18"/>
      <c r="AC196" s="18">
        <v>4</v>
      </c>
      <c r="AD196" s="14"/>
      <c r="AE196" s="14"/>
      <c r="AF196" s="15"/>
    </row>
    <row r="197" spans="1:32" ht="13.5" customHeight="1" x14ac:dyDescent="0.25">
      <c r="A197" s="14">
        <v>45682</v>
      </c>
      <c r="B197" s="14" t="s">
        <v>46</v>
      </c>
      <c r="C197" s="15">
        <v>3</v>
      </c>
      <c r="D197" s="16"/>
      <c r="E197" s="16"/>
      <c r="F197" s="17"/>
      <c r="G197" s="21"/>
      <c r="H197" s="21"/>
      <c r="I197" s="4">
        <v>0</v>
      </c>
      <c r="J197" s="4">
        <v>0</v>
      </c>
      <c r="K197" s="4"/>
      <c r="L197" s="16"/>
      <c r="M197" s="4"/>
      <c r="N197" s="4"/>
      <c r="O197" s="4"/>
      <c r="P197" s="4"/>
      <c r="Q197" s="4"/>
      <c r="R197" s="4"/>
      <c r="S197" s="4">
        <v>0</v>
      </c>
      <c r="T197" s="4">
        <v>0</v>
      </c>
      <c r="U197" s="4">
        <v>0</v>
      </c>
      <c r="V197" s="4">
        <v>12</v>
      </c>
      <c r="W197" s="4">
        <v>12</v>
      </c>
      <c r="X197" s="4">
        <v>36</v>
      </c>
      <c r="Y197" s="4"/>
      <c r="Z197" s="4">
        <v>506.39999999999992</v>
      </c>
      <c r="AA197" s="4">
        <v>550</v>
      </c>
      <c r="AB197" s="18"/>
      <c r="AC197" s="18">
        <v>4</v>
      </c>
      <c r="AD197" s="14"/>
      <c r="AE197" s="14"/>
      <c r="AF197" s="15"/>
    </row>
    <row r="198" spans="1:32" ht="13.5" customHeight="1" x14ac:dyDescent="0.25">
      <c r="A198" s="14">
        <v>45682</v>
      </c>
      <c r="B198" s="14" t="s">
        <v>47</v>
      </c>
      <c r="C198" s="15">
        <v>3</v>
      </c>
      <c r="D198" s="16"/>
      <c r="E198" s="16"/>
      <c r="F198" s="17"/>
      <c r="G198" s="21"/>
      <c r="H198" s="21"/>
      <c r="I198" s="4">
        <v>0</v>
      </c>
      <c r="J198" s="4">
        <v>0</v>
      </c>
      <c r="K198" s="4"/>
      <c r="L198" s="16"/>
      <c r="M198" s="4"/>
      <c r="N198" s="4"/>
      <c r="O198" s="4"/>
      <c r="P198" s="4"/>
      <c r="Q198" s="4"/>
      <c r="R198" s="4"/>
      <c r="S198" s="4">
        <v>0</v>
      </c>
      <c r="T198" s="4">
        <v>0</v>
      </c>
      <c r="U198" s="4">
        <v>0</v>
      </c>
      <c r="V198" s="4">
        <v>12</v>
      </c>
      <c r="W198" s="4">
        <v>12</v>
      </c>
      <c r="X198" s="4">
        <v>0</v>
      </c>
      <c r="Y198" s="4"/>
      <c r="Z198" s="4">
        <v>500.50000000000006</v>
      </c>
      <c r="AA198" s="4">
        <v>500</v>
      </c>
      <c r="AB198" s="18"/>
      <c r="AC198" s="18">
        <v>4</v>
      </c>
      <c r="AD198" s="14"/>
      <c r="AE198" s="14"/>
      <c r="AF198" s="15"/>
    </row>
    <row r="199" spans="1:32" ht="13.5" customHeight="1" x14ac:dyDescent="0.25">
      <c r="A199" s="14">
        <v>45682</v>
      </c>
      <c r="B199" s="14" t="s">
        <v>46</v>
      </c>
      <c r="C199" s="15">
        <v>6</v>
      </c>
      <c r="D199" s="16">
        <v>10</v>
      </c>
      <c r="E199" s="16"/>
      <c r="F199" s="17"/>
      <c r="G199" s="21"/>
      <c r="H199" s="21"/>
      <c r="I199" s="4">
        <v>10</v>
      </c>
      <c r="J199" s="4">
        <v>0.16666666666666666</v>
      </c>
      <c r="K199" s="4"/>
      <c r="L199" s="16"/>
      <c r="M199" s="4"/>
      <c r="N199" s="4"/>
      <c r="O199" s="4"/>
      <c r="P199" s="4">
        <v>180</v>
      </c>
      <c r="Q199" s="4"/>
      <c r="R199" s="4"/>
      <c r="S199" s="4">
        <v>180</v>
      </c>
      <c r="T199" s="4">
        <v>3</v>
      </c>
      <c r="U199" s="4">
        <v>3.1666666666666665</v>
      </c>
      <c r="V199" s="4">
        <v>8.8333333333333339</v>
      </c>
      <c r="W199" s="4">
        <v>12</v>
      </c>
      <c r="X199" s="4">
        <v>0</v>
      </c>
      <c r="Y199" s="4"/>
      <c r="Z199" s="4">
        <v>782.8</v>
      </c>
      <c r="AA199" s="4">
        <v>800</v>
      </c>
      <c r="AB199" s="18"/>
      <c r="AC199" s="18">
        <v>4</v>
      </c>
      <c r="AD199" s="14"/>
      <c r="AE199" s="14"/>
      <c r="AF199" s="15"/>
    </row>
    <row r="200" spans="1:32" ht="13.5" customHeight="1" x14ac:dyDescent="0.25">
      <c r="A200" s="14">
        <v>45682</v>
      </c>
      <c r="B200" s="14" t="s">
        <v>47</v>
      </c>
      <c r="C200" s="15">
        <v>6</v>
      </c>
      <c r="D200" s="16"/>
      <c r="E200" s="16"/>
      <c r="F200" s="17"/>
      <c r="G200" s="21"/>
      <c r="H200" s="21"/>
      <c r="I200" s="4">
        <v>0</v>
      </c>
      <c r="J200" s="4">
        <v>0</v>
      </c>
      <c r="K200" s="4"/>
      <c r="L200" s="16"/>
      <c r="M200" s="4"/>
      <c r="N200" s="4"/>
      <c r="O200" s="4"/>
      <c r="P200" s="4"/>
      <c r="Q200" s="4"/>
      <c r="R200" s="4"/>
      <c r="S200" s="4">
        <v>0</v>
      </c>
      <c r="T200" s="4">
        <v>0</v>
      </c>
      <c r="U200" s="4">
        <v>0</v>
      </c>
      <c r="V200" s="4">
        <v>12</v>
      </c>
      <c r="W200" s="4">
        <v>12</v>
      </c>
      <c r="X200" s="4">
        <v>0</v>
      </c>
      <c r="Y200" s="4"/>
      <c r="Z200" s="4">
        <v>532.00000000000011</v>
      </c>
      <c r="AA200" s="4">
        <v>550</v>
      </c>
      <c r="AB200" s="18"/>
      <c r="AC200" s="18">
        <v>4</v>
      </c>
      <c r="AD200" s="14"/>
      <c r="AE200" s="14"/>
      <c r="AF200" s="15"/>
    </row>
    <row r="201" spans="1:32" ht="13.5" customHeight="1" x14ac:dyDescent="0.25">
      <c r="A201" s="14">
        <v>45682</v>
      </c>
      <c r="B201" s="14" t="s">
        <v>46</v>
      </c>
      <c r="C201" s="15">
        <v>7</v>
      </c>
      <c r="D201" s="16"/>
      <c r="E201" s="16"/>
      <c r="F201" s="17"/>
      <c r="G201" s="21"/>
      <c r="H201" s="21"/>
      <c r="I201" s="4">
        <v>0</v>
      </c>
      <c r="J201" s="4">
        <v>0</v>
      </c>
      <c r="K201" s="4"/>
      <c r="L201" s="16"/>
      <c r="M201" s="4"/>
      <c r="N201" s="4"/>
      <c r="O201" s="4"/>
      <c r="P201" s="4"/>
      <c r="Q201" s="4"/>
      <c r="R201" s="4"/>
      <c r="S201" s="4">
        <v>0</v>
      </c>
      <c r="T201" s="4">
        <v>0</v>
      </c>
      <c r="U201" s="4">
        <v>0</v>
      </c>
      <c r="V201" s="4">
        <v>12</v>
      </c>
      <c r="W201" s="4">
        <v>12</v>
      </c>
      <c r="X201" s="4">
        <v>4.5</v>
      </c>
      <c r="Y201" s="4"/>
      <c r="Z201" s="4">
        <v>361.47999999999996</v>
      </c>
      <c r="AA201" s="4">
        <v>400</v>
      </c>
      <c r="AB201" s="18"/>
      <c r="AC201" s="18">
        <v>4</v>
      </c>
      <c r="AD201" s="14"/>
      <c r="AE201" s="14"/>
      <c r="AF201" s="15"/>
    </row>
    <row r="202" spans="1:32" ht="13.5" customHeight="1" x14ac:dyDescent="0.25">
      <c r="A202" s="14">
        <v>45682</v>
      </c>
      <c r="B202" s="14" t="s">
        <v>47</v>
      </c>
      <c r="C202" s="15">
        <v>7</v>
      </c>
      <c r="D202" s="16"/>
      <c r="E202" s="16"/>
      <c r="F202" s="17"/>
      <c r="G202" s="21"/>
      <c r="H202" s="21"/>
      <c r="I202" s="4">
        <v>0</v>
      </c>
      <c r="J202" s="4">
        <v>0</v>
      </c>
      <c r="K202" s="4"/>
      <c r="L202" s="16"/>
      <c r="M202" s="4"/>
      <c r="N202" s="4"/>
      <c r="O202" s="4"/>
      <c r="P202" s="4"/>
      <c r="Q202" s="4"/>
      <c r="R202" s="4"/>
      <c r="S202" s="4">
        <v>0</v>
      </c>
      <c r="T202" s="4">
        <v>0</v>
      </c>
      <c r="U202" s="4">
        <v>0</v>
      </c>
      <c r="V202" s="4">
        <v>12</v>
      </c>
      <c r="W202" s="4">
        <v>12</v>
      </c>
      <c r="X202" s="4">
        <v>0</v>
      </c>
      <c r="Y202" s="4"/>
      <c r="Z202" s="4">
        <v>418.94000000000005</v>
      </c>
      <c r="AA202" s="4">
        <v>400</v>
      </c>
      <c r="AB202" s="18"/>
      <c r="AC202" s="18">
        <v>4</v>
      </c>
      <c r="AD202" s="14"/>
      <c r="AE202" s="14"/>
      <c r="AF202" s="15"/>
    </row>
    <row r="203" spans="1:32" ht="13.5" customHeight="1" x14ac:dyDescent="0.25">
      <c r="A203" s="14">
        <v>45684</v>
      </c>
      <c r="B203" s="14" t="s">
        <v>46</v>
      </c>
      <c r="C203" s="15">
        <v>1</v>
      </c>
      <c r="D203" s="16">
        <v>5</v>
      </c>
      <c r="E203" s="16"/>
      <c r="F203" s="17"/>
      <c r="G203" s="21"/>
      <c r="H203" s="21"/>
      <c r="I203" s="4">
        <v>5</v>
      </c>
      <c r="J203" s="4">
        <v>8.3333333333333329E-2</v>
      </c>
      <c r="K203" s="4"/>
      <c r="L203" s="16"/>
      <c r="M203" s="4"/>
      <c r="N203" s="4"/>
      <c r="O203" s="4"/>
      <c r="P203" s="4"/>
      <c r="Q203" s="4"/>
      <c r="R203" s="4"/>
      <c r="S203" s="4">
        <v>0</v>
      </c>
      <c r="T203" s="4">
        <v>0</v>
      </c>
      <c r="U203" s="4">
        <v>8.3333333333333329E-2</v>
      </c>
      <c r="V203" s="4">
        <v>11.916666666666666</v>
      </c>
      <c r="W203" s="4">
        <v>12</v>
      </c>
      <c r="X203" s="4">
        <v>0</v>
      </c>
      <c r="Y203" s="4">
        <v>1983</v>
      </c>
      <c r="Z203" s="4">
        <v>83.9</v>
      </c>
      <c r="AA203" s="4">
        <v>100</v>
      </c>
      <c r="AB203" s="18">
        <v>372</v>
      </c>
      <c r="AC203" s="18">
        <v>5</v>
      </c>
      <c r="AD203" s="28"/>
      <c r="AE203" s="26"/>
      <c r="AF203" s="28"/>
    </row>
    <row r="204" spans="1:32" ht="13.5" customHeight="1" x14ac:dyDescent="0.25">
      <c r="A204" s="14">
        <v>45684</v>
      </c>
      <c r="B204" s="14" t="s">
        <v>47</v>
      </c>
      <c r="C204" s="15">
        <v>1</v>
      </c>
      <c r="D204" s="16"/>
      <c r="E204" s="16"/>
      <c r="F204" s="17"/>
      <c r="G204" s="21"/>
      <c r="H204" s="21"/>
      <c r="I204" s="4">
        <v>0</v>
      </c>
      <c r="J204" s="4">
        <v>0</v>
      </c>
      <c r="K204" s="4"/>
      <c r="L204" s="16"/>
      <c r="M204" s="4"/>
      <c r="N204" s="4"/>
      <c r="O204" s="4"/>
      <c r="P204" s="4"/>
      <c r="Q204" s="4"/>
      <c r="R204" s="4"/>
      <c r="S204" s="4">
        <v>0</v>
      </c>
      <c r="T204" s="4">
        <v>0</v>
      </c>
      <c r="U204" s="4">
        <v>0</v>
      </c>
      <c r="V204" s="4">
        <v>12</v>
      </c>
      <c r="W204" s="4">
        <v>12</v>
      </c>
      <c r="X204" s="4">
        <v>10</v>
      </c>
      <c r="Y204" s="4"/>
      <c r="Z204" s="4">
        <v>165</v>
      </c>
      <c r="AA204" s="4">
        <v>200</v>
      </c>
      <c r="AB204" s="18"/>
      <c r="AC204" s="18">
        <v>5</v>
      </c>
      <c r="AD204" s="28"/>
      <c r="AE204" s="26"/>
      <c r="AF204" s="28"/>
    </row>
    <row r="205" spans="1:32" ht="13.5" customHeight="1" x14ac:dyDescent="0.25">
      <c r="A205" s="14">
        <v>45684</v>
      </c>
      <c r="B205" s="14" t="s">
        <v>46</v>
      </c>
      <c r="C205" s="15">
        <v>3</v>
      </c>
      <c r="D205" s="16">
        <v>5</v>
      </c>
      <c r="E205" s="16"/>
      <c r="F205" s="17"/>
      <c r="G205" s="21"/>
      <c r="H205" s="21"/>
      <c r="I205" s="4">
        <v>5</v>
      </c>
      <c r="J205" s="4">
        <v>8.3333333333333329E-2</v>
      </c>
      <c r="K205" s="4"/>
      <c r="L205" s="16"/>
      <c r="M205" s="4"/>
      <c r="N205" s="4"/>
      <c r="O205" s="4"/>
      <c r="P205" s="4"/>
      <c r="Q205" s="4"/>
      <c r="R205" s="4"/>
      <c r="S205" s="4">
        <v>0</v>
      </c>
      <c r="T205" s="4">
        <v>0</v>
      </c>
      <c r="U205" s="4">
        <v>8.3333333333333329E-2</v>
      </c>
      <c r="V205" s="4">
        <v>11.916666666666666</v>
      </c>
      <c r="W205" s="4">
        <v>12</v>
      </c>
      <c r="X205" s="4">
        <v>0</v>
      </c>
      <c r="Y205" s="4"/>
      <c r="Z205" s="4">
        <v>317.2</v>
      </c>
      <c r="AA205" s="4">
        <v>350</v>
      </c>
      <c r="AB205" s="18"/>
      <c r="AC205" s="18">
        <v>5</v>
      </c>
      <c r="AD205" s="28"/>
      <c r="AE205" s="26"/>
      <c r="AF205" s="28"/>
    </row>
    <row r="206" spans="1:32" ht="13.5" customHeight="1" x14ac:dyDescent="0.25">
      <c r="A206" s="14">
        <v>45684</v>
      </c>
      <c r="B206" s="14" t="s">
        <v>47</v>
      </c>
      <c r="C206" s="15">
        <v>3</v>
      </c>
      <c r="D206" s="16"/>
      <c r="E206" s="16"/>
      <c r="F206" s="17"/>
      <c r="G206" s="21"/>
      <c r="H206" s="21"/>
      <c r="I206" s="4">
        <v>0</v>
      </c>
      <c r="J206" s="4">
        <v>0</v>
      </c>
      <c r="K206" s="4"/>
      <c r="L206" s="16"/>
      <c r="M206" s="4"/>
      <c r="N206" s="4"/>
      <c r="O206" s="4"/>
      <c r="P206" s="4"/>
      <c r="Q206" s="4"/>
      <c r="R206" s="4"/>
      <c r="S206" s="4">
        <v>0</v>
      </c>
      <c r="T206" s="4">
        <v>0</v>
      </c>
      <c r="U206" s="4">
        <v>0</v>
      </c>
      <c r="V206" s="4">
        <v>12</v>
      </c>
      <c r="W206" s="4">
        <v>12</v>
      </c>
      <c r="X206" s="4">
        <v>5</v>
      </c>
      <c r="Y206" s="4"/>
      <c r="Z206" s="4">
        <v>172.2</v>
      </c>
      <c r="AA206" s="4">
        <v>200</v>
      </c>
      <c r="AB206" s="18"/>
      <c r="AC206" s="18">
        <v>5</v>
      </c>
      <c r="AD206" s="28"/>
      <c r="AE206" s="26"/>
      <c r="AF206" s="28"/>
    </row>
    <row r="207" spans="1:32" ht="13.5" customHeight="1" x14ac:dyDescent="0.25">
      <c r="A207" s="14">
        <v>45684</v>
      </c>
      <c r="B207" s="14" t="s">
        <v>46</v>
      </c>
      <c r="C207" s="15">
        <v>6</v>
      </c>
      <c r="D207" s="16"/>
      <c r="E207" s="16"/>
      <c r="F207" s="17"/>
      <c r="G207" s="21"/>
      <c r="H207" s="21"/>
      <c r="I207" s="4">
        <v>0</v>
      </c>
      <c r="J207" s="4">
        <v>0</v>
      </c>
      <c r="K207" s="4"/>
      <c r="L207" s="16"/>
      <c r="M207" s="4"/>
      <c r="N207" s="4"/>
      <c r="O207" s="4"/>
      <c r="P207" s="4"/>
      <c r="Q207" s="4"/>
      <c r="R207" s="4"/>
      <c r="S207" s="4">
        <v>0</v>
      </c>
      <c r="T207" s="4">
        <v>0</v>
      </c>
      <c r="U207" s="4">
        <v>0</v>
      </c>
      <c r="V207" s="4">
        <v>12</v>
      </c>
      <c r="W207" s="4">
        <v>12</v>
      </c>
      <c r="X207" s="4">
        <v>70</v>
      </c>
      <c r="Y207" s="4"/>
      <c r="Z207" s="4">
        <v>469</v>
      </c>
      <c r="AA207" s="4">
        <v>500</v>
      </c>
      <c r="AB207" s="18"/>
      <c r="AC207" s="18">
        <v>5</v>
      </c>
      <c r="AD207" s="28"/>
      <c r="AE207" s="26"/>
      <c r="AF207" s="28"/>
    </row>
    <row r="208" spans="1:32" ht="13.5" customHeight="1" x14ac:dyDescent="0.25">
      <c r="A208" s="14">
        <v>45684</v>
      </c>
      <c r="B208" s="14" t="s">
        <v>47</v>
      </c>
      <c r="C208" s="15">
        <v>6</v>
      </c>
      <c r="D208" s="16">
        <v>28</v>
      </c>
      <c r="E208" s="16"/>
      <c r="F208" s="17"/>
      <c r="G208" s="21"/>
      <c r="H208" s="21"/>
      <c r="I208" s="4">
        <v>28</v>
      </c>
      <c r="J208" s="4">
        <v>0.46666666666666667</v>
      </c>
      <c r="K208" s="4"/>
      <c r="L208" s="16"/>
      <c r="M208" s="4"/>
      <c r="N208" s="4"/>
      <c r="O208" s="4"/>
      <c r="P208" s="4"/>
      <c r="Q208" s="4"/>
      <c r="R208" s="4"/>
      <c r="S208" s="4">
        <v>0</v>
      </c>
      <c r="T208" s="4">
        <v>0</v>
      </c>
      <c r="U208" s="4">
        <v>0.46666666666666667</v>
      </c>
      <c r="V208" s="4">
        <v>11.533333333333333</v>
      </c>
      <c r="W208" s="4">
        <v>12</v>
      </c>
      <c r="X208" s="4">
        <v>30</v>
      </c>
      <c r="Y208" s="4"/>
      <c r="Z208" s="4">
        <v>781.82</v>
      </c>
      <c r="AA208" s="4">
        <v>800</v>
      </c>
      <c r="AB208" s="18"/>
      <c r="AC208" s="18">
        <v>5</v>
      </c>
      <c r="AD208" s="28"/>
      <c r="AE208" s="26"/>
      <c r="AF208" s="28"/>
    </row>
    <row r="209" spans="1:32" ht="13.5" customHeight="1" x14ac:dyDescent="0.25">
      <c r="A209" s="14">
        <v>45684</v>
      </c>
      <c r="B209" s="14" t="s">
        <v>46</v>
      </c>
      <c r="C209" s="15">
        <v>7</v>
      </c>
      <c r="D209" s="16"/>
      <c r="E209" s="16"/>
      <c r="F209" s="17"/>
      <c r="G209" s="21"/>
      <c r="H209" s="21"/>
      <c r="I209" s="4">
        <v>0</v>
      </c>
      <c r="J209" s="4">
        <v>0</v>
      </c>
      <c r="K209" s="4"/>
      <c r="L209" s="16"/>
      <c r="M209" s="4"/>
      <c r="N209" s="4"/>
      <c r="O209" s="4"/>
      <c r="P209" s="4"/>
      <c r="Q209" s="4"/>
      <c r="R209" s="4"/>
      <c r="S209" s="4">
        <v>0</v>
      </c>
      <c r="T209" s="4">
        <v>0</v>
      </c>
      <c r="U209" s="4">
        <v>0</v>
      </c>
      <c r="V209" s="4">
        <v>12</v>
      </c>
      <c r="W209" s="4">
        <v>12</v>
      </c>
      <c r="X209" s="4">
        <v>0</v>
      </c>
      <c r="Y209" s="4"/>
      <c r="Z209" s="4">
        <v>284.3</v>
      </c>
      <c r="AA209" s="4">
        <v>300</v>
      </c>
      <c r="AB209" s="18"/>
      <c r="AC209" s="18">
        <v>5</v>
      </c>
      <c r="AD209" s="28"/>
      <c r="AE209" s="26"/>
      <c r="AF209" s="28"/>
    </row>
    <row r="210" spans="1:32" ht="13.5" customHeight="1" x14ac:dyDescent="0.25">
      <c r="A210" s="14">
        <v>45684</v>
      </c>
      <c r="B210" s="14" t="s">
        <v>47</v>
      </c>
      <c r="C210" s="15">
        <v>7</v>
      </c>
      <c r="D210" s="16">
        <v>6</v>
      </c>
      <c r="E210" s="16"/>
      <c r="F210" s="17"/>
      <c r="G210" s="21"/>
      <c r="H210" s="21"/>
      <c r="I210" s="4">
        <v>6</v>
      </c>
      <c r="J210" s="4">
        <v>0.1</v>
      </c>
      <c r="K210" s="4"/>
      <c r="L210" s="16"/>
      <c r="M210" s="4"/>
      <c r="N210" s="4"/>
      <c r="O210" s="4"/>
      <c r="P210" s="4"/>
      <c r="Q210" s="4"/>
      <c r="R210" s="4"/>
      <c r="S210" s="4">
        <v>0</v>
      </c>
      <c r="T210" s="4">
        <v>0</v>
      </c>
      <c r="U210" s="4">
        <v>0.1</v>
      </c>
      <c r="V210" s="4">
        <v>11.9</v>
      </c>
      <c r="W210" s="4">
        <v>12</v>
      </c>
      <c r="X210" s="4">
        <v>6.8</v>
      </c>
      <c r="Y210" s="4"/>
      <c r="Z210" s="4">
        <v>456.78</v>
      </c>
      <c r="AA210" s="4">
        <v>450</v>
      </c>
      <c r="AB210" s="18"/>
      <c r="AC210" s="18">
        <v>5</v>
      </c>
      <c r="AD210" s="28"/>
      <c r="AE210" s="26"/>
      <c r="AF210" s="28"/>
    </row>
    <row r="211" spans="1:32" ht="13.5" customHeight="1" x14ac:dyDescent="0.25">
      <c r="A211" s="14">
        <v>45685</v>
      </c>
      <c r="B211" s="14" t="s">
        <v>46</v>
      </c>
      <c r="C211" s="15">
        <v>1</v>
      </c>
      <c r="D211" s="16"/>
      <c r="E211" s="16"/>
      <c r="F211" s="17"/>
      <c r="G211" s="21"/>
      <c r="H211" s="21"/>
      <c r="I211" s="4">
        <v>0</v>
      </c>
      <c r="J211" s="4">
        <v>0</v>
      </c>
      <c r="K211" s="4"/>
      <c r="L211" s="16"/>
      <c r="M211" s="4"/>
      <c r="N211" s="4"/>
      <c r="O211" s="4"/>
      <c r="P211" s="4"/>
      <c r="Q211" s="4"/>
      <c r="R211" s="4"/>
      <c r="S211" s="4">
        <v>0</v>
      </c>
      <c r="T211" s="4">
        <v>0</v>
      </c>
      <c r="U211" s="4">
        <v>0</v>
      </c>
      <c r="V211" s="4">
        <v>12</v>
      </c>
      <c r="W211" s="4">
        <v>12</v>
      </c>
      <c r="X211" s="4">
        <v>0</v>
      </c>
      <c r="Y211" s="4">
        <v>1955</v>
      </c>
      <c r="Z211" s="4">
        <v>145</v>
      </c>
      <c r="AA211" s="4">
        <v>150</v>
      </c>
      <c r="AB211" s="18">
        <v>372</v>
      </c>
      <c r="AC211" s="18">
        <v>5</v>
      </c>
      <c r="AD211" s="28"/>
      <c r="AE211" s="26"/>
      <c r="AF211" s="28"/>
    </row>
    <row r="212" spans="1:32" ht="13.5" customHeight="1" x14ac:dyDescent="0.25">
      <c r="A212" s="14">
        <v>45685</v>
      </c>
      <c r="B212" s="14" t="s">
        <v>47</v>
      </c>
      <c r="C212" s="15">
        <v>1</v>
      </c>
      <c r="D212" s="16"/>
      <c r="E212" s="16"/>
      <c r="F212" s="17"/>
      <c r="G212" s="21"/>
      <c r="H212" s="21"/>
      <c r="I212" s="4">
        <v>0</v>
      </c>
      <c r="J212" s="4">
        <v>0</v>
      </c>
      <c r="K212" s="4"/>
      <c r="L212" s="16"/>
      <c r="M212" s="4"/>
      <c r="N212" s="4"/>
      <c r="O212" s="4"/>
      <c r="P212" s="4"/>
      <c r="Q212" s="4"/>
      <c r="R212" s="4"/>
      <c r="S212" s="4">
        <v>0</v>
      </c>
      <c r="T212" s="4">
        <v>0</v>
      </c>
      <c r="U212" s="4">
        <v>0</v>
      </c>
      <c r="V212" s="4">
        <v>12</v>
      </c>
      <c r="W212" s="4">
        <v>12</v>
      </c>
      <c r="X212" s="4">
        <v>3</v>
      </c>
      <c r="Y212" s="4"/>
      <c r="Z212" s="4">
        <v>112.20000000000002</v>
      </c>
      <c r="AA212" s="4">
        <v>150</v>
      </c>
      <c r="AB212" s="18"/>
      <c r="AC212" s="18">
        <v>5</v>
      </c>
      <c r="AD212" s="28"/>
      <c r="AE212" s="26"/>
      <c r="AF212" s="28"/>
    </row>
    <row r="213" spans="1:32" ht="13.5" customHeight="1" x14ac:dyDescent="0.25">
      <c r="A213" s="14">
        <v>45685</v>
      </c>
      <c r="B213" s="14" t="s">
        <v>46</v>
      </c>
      <c r="C213" s="15">
        <v>3</v>
      </c>
      <c r="D213" s="16"/>
      <c r="E213" s="16"/>
      <c r="F213" s="17"/>
      <c r="G213" s="21"/>
      <c r="H213" s="21"/>
      <c r="I213" s="4">
        <v>0</v>
      </c>
      <c r="J213" s="4">
        <v>0</v>
      </c>
      <c r="K213" s="4"/>
      <c r="L213" s="16"/>
      <c r="M213" s="4"/>
      <c r="N213" s="4"/>
      <c r="O213" s="4"/>
      <c r="P213" s="4"/>
      <c r="Q213" s="4"/>
      <c r="R213" s="4"/>
      <c r="S213" s="4">
        <v>0</v>
      </c>
      <c r="T213" s="4">
        <v>0</v>
      </c>
      <c r="U213" s="4">
        <v>0</v>
      </c>
      <c r="V213" s="4">
        <v>12</v>
      </c>
      <c r="W213" s="4">
        <v>12</v>
      </c>
      <c r="X213" s="4">
        <v>0</v>
      </c>
      <c r="Y213" s="4"/>
      <c r="Z213" s="4">
        <v>205.5</v>
      </c>
      <c r="AA213" s="4">
        <v>250</v>
      </c>
      <c r="AB213" s="18"/>
      <c r="AC213" s="18">
        <v>5</v>
      </c>
      <c r="AD213" s="28"/>
      <c r="AE213" s="26"/>
      <c r="AF213" s="28"/>
    </row>
    <row r="214" spans="1:32" ht="13.5" customHeight="1" x14ac:dyDescent="0.25">
      <c r="A214" s="14">
        <v>45685</v>
      </c>
      <c r="B214" s="14" t="s">
        <v>47</v>
      </c>
      <c r="C214" s="15">
        <v>3</v>
      </c>
      <c r="D214" s="16"/>
      <c r="E214" s="16"/>
      <c r="F214" s="17"/>
      <c r="G214" s="21"/>
      <c r="H214" s="21"/>
      <c r="I214" s="4">
        <v>0</v>
      </c>
      <c r="J214" s="4">
        <v>0</v>
      </c>
      <c r="K214" s="4"/>
      <c r="L214" s="16"/>
      <c r="M214" s="4"/>
      <c r="N214" s="4"/>
      <c r="O214" s="4"/>
      <c r="P214" s="4"/>
      <c r="Q214" s="4"/>
      <c r="R214" s="4"/>
      <c r="S214" s="4">
        <v>0</v>
      </c>
      <c r="T214" s="4">
        <v>0</v>
      </c>
      <c r="U214" s="4">
        <v>0</v>
      </c>
      <c r="V214" s="4">
        <v>12</v>
      </c>
      <c r="W214" s="4">
        <v>12</v>
      </c>
      <c r="X214" s="4">
        <v>6</v>
      </c>
      <c r="Y214" s="4"/>
      <c r="Z214" s="4">
        <v>221.39999999999998</v>
      </c>
      <c r="AA214" s="4">
        <v>250</v>
      </c>
      <c r="AB214" s="18"/>
      <c r="AC214" s="18">
        <v>5</v>
      </c>
      <c r="AD214" s="28"/>
      <c r="AE214" s="26"/>
      <c r="AF214" s="28"/>
    </row>
    <row r="215" spans="1:32" ht="13.5" customHeight="1" x14ac:dyDescent="0.25">
      <c r="A215" s="14">
        <v>45685</v>
      </c>
      <c r="B215" s="14" t="s">
        <v>46</v>
      </c>
      <c r="C215" s="15">
        <v>6</v>
      </c>
      <c r="D215" s="16"/>
      <c r="E215" s="16"/>
      <c r="F215" s="17"/>
      <c r="G215" s="21"/>
      <c r="H215" s="21"/>
      <c r="I215" s="4">
        <v>0</v>
      </c>
      <c r="J215" s="4">
        <v>0</v>
      </c>
      <c r="K215" s="4"/>
      <c r="L215" s="16"/>
      <c r="M215" s="4"/>
      <c r="N215" s="4"/>
      <c r="O215" s="4"/>
      <c r="P215" s="4"/>
      <c r="Q215" s="4"/>
      <c r="R215" s="4"/>
      <c r="S215" s="4">
        <v>0</v>
      </c>
      <c r="T215" s="4">
        <v>0</v>
      </c>
      <c r="U215" s="4">
        <v>0</v>
      </c>
      <c r="V215" s="4">
        <v>12</v>
      </c>
      <c r="W215" s="4">
        <v>12</v>
      </c>
      <c r="X215" s="4">
        <v>42</v>
      </c>
      <c r="Y215" s="4"/>
      <c r="Z215" s="4">
        <v>843.40000000000009</v>
      </c>
      <c r="AA215" s="4">
        <v>850</v>
      </c>
      <c r="AB215" s="18"/>
      <c r="AC215" s="18">
        <v>5</v>
      </c>
      <c r="AD215" s="28"/>
      <c r="AE215" s="26"/>
      <c r="AF215" s="28"/>
    </row>
    <row r="216" spans="1:32" ht="13.5" customHeight="1" x14ac:dyDescent="0.25">
      <c r="A216" s="14">
        <v>45685</v>
      </c>
      <c r="B216" s="14" t="s">
        <v>47</v>
      </c>
      <c r="C216" s="15">
        <v>6</v>
      </c>
      <c r="D216" s="16">
        <v>24</v>
      </c>
      <c r="E216" s="16"/>
      <c r="F216" s="17"/>
      <c r="G216" s="21"/>
      <c r="H216" s="21"/>
      <c r="I216" s="4">
        <v>24</v>
      </c>
      <c r="J216" s="4">
        <v>0.4</v>
      </c>
      <c r="K216" s="4"/>
      <c r="L216" s="16"/>
      <c r="M216" s="4"/>
      <c r="N216" s="4"/>
      <c r="O216" s="4"/>
      <c r="P216" s="4"/>
      <c r="Q216" s="4"/>
      <c r="R216" s="4"/>
      <c r="S216" s="4">
        <v>0</v>
      </c>
      <c r="T216" s="4">
        <v>0</v>
      </c>
      <c r="U216" s="4">
        <v>0.4</v>
      </c>
      <c r="V216" s="4">
        <v>11.6</v>
      </c>
      <c r="W216" s="4">
        <v>12</v>
      </c>
      <c r="X216" s="4">
        <v>35</v>
      </c>
      <c r="Y216" s="4"/>
      <c r="Z216" s="4">
        <v>686.8</v>
      </c>
      <c r="AA216" s="4">
        <v>700</v>
      </c>
      <c r="AB216" s="18"/>
      <c r="AC216" s="18">
        <v>5</v>
      </c>
      <c r="AD216" s="28"/>
      <c r="AE216" s="26"/>
      <c r="AF216" s="28"/>
    </row>
    <row r="217" spans="1:32" ht="13.5" customHeight="1" x14ac:dyDescent="0.25">
      <c r="A217" s="14">
        <v>45685</v>
      </c>
      <c r="B217" s="14" t="s">
        <v>46</v>
      </c>
      <c r="C217" s="15">
        <v>7</v>
      </c>
      <c r="D217" s="16"/>
      <c r="E217" s="16"/>
      <c r="F217" s="17"/>
      <c r="G217" s="21"/>
      <c r="H217" s="21"/>
      <c r="I217" s="4">
        <v>0</v>
      </c>
      <c r="J217" s="4">
        <v>0</v>
      </c>
      <c r="K217" s="4"/>
      <c r="L217" s="16"/>
      <c r="M217" s="4"/>
      <c r="N217" s="4"/>
      <c r="O217" s="4"/>
      <c r="P217" s="4"/>
      <c r="Q217" s="4"/>
      <c r="R217" s="4"/>
      <c r="S217" s="4">
        <v>0</v>
      </c>
      <c r="T217" s="4">
        <v>0</v>
      </c>
      <c r="U217" s="4">
        <v>0</v>
      </c>
      <c r="V217" s="4">
        <v>12</v>
      </c>
      <c r="W217" s="4">
        <v>12</v>
      </c>
      <c r="X217" s="4">
        <v>0</v>
      </c>
      <c r="Y217" s="4"/>
      <c r="Z217" s="4">
        <v>454.59999999999997</v>
      </c>
      <c r="AA217" s="4">
        <v>450</v>
      </c>
      <c r="AB217" s="18"/>
      <c r="AC217" s="18">
        <v>5</v>
      </c>
      <c r="AD217" s="28"/>
      <c r="AE217" s="26"/>
      <c r="AF217" s="28"/>
    </row>
    <row r="218" spans="1:32" ht="13.5" customHeight="1" x14ac:dyDescent="0.25">
      <c r="A218" s="14">
        <v>45685</v>
      </c>
      <c r="B218" s="14" t="s">
        <v>47</v>
      </c>
      <c r="C218" s="15">
        <v>7</v>
      </c>
      <c r="D218" s="16">
        <v>2</v>
      </c>
      <c r="E218" s="16"/>
      <c r="F218" s="17"/>
      <c r="G218" s="21"/>
      <c r="H218" s="21"/>
      <c r="I218" s="4">
        <v>2</v>
      </c>
      <c r="J218" s="4">
        <v>3.3333333333333333E-2</v>
      </c>
      <c r="K218" s="4"/>
      <c r="L218" s="16"/>
      <c r="M218" s="4"/>
      <c r="N218" s="4"/>
      <c r="O218" s="4"/>
      <c r="P218" s="4"/>
      <c r="Q218" s="4"/>
      <c r="R218" s="4"/>
      <c r="S218" s="4">
        <v>0</v>
      </c>
      <c r="T218" s="4">
        <v>0</v>
      </c>
      <c r="U218" s="4">
        <v>3.3333333333333333E-2</v>
      </c>
      <c r="V218" s="4">
        <v>11.966666666666667</v>
      </c>
      <c r="W218" s="4">
        <v>12</v>
      </c>
      <c r="X218" s="4">
        <v>11.8</v>
      </c>
      <c r="Y218" s="4"/>
      <c r="Z218" s="4">
        <v>386.62</v>
      </c>
      <c r="AA218" s="4">
        <v>400</v>
      </c>
      <c r="AB218" s="18"/>
      <c r="AC218" s="18">
        <v>5</v>
      </c>
      <c r="AD218" s="28"/>
      <c r="AE218" s="26"/>
      <c r="AF218" s="28"/>
    </row>
    <row r="219" spans="1:32" ht="13.5" customHeight="1" x14ac:dyDescent="0.25">
      <c r="A219" s="14">
        <v>45686</v>
      </c>
      <c r="B219" s="14" t="s">
        <v>46</v>
      </c>
      <c r="C219" s="15">
        <v>1</v>
      </c>
      <c r="D219" s="16">
        <v>8</v>
      </c>
      <c r="E219" s="16"/>
      <c r="F219" s="17"/>
      <c r="G219" s="21"/>
      <c r="H219" s="21"/>
      <c r="I219" s="4">
        <v>8</v>
      </c>
      <c r="J219" s="4">
        <v>0.13333333333333333</v>
      </c>
      <c r="K219" s="4"/>
      <c r="L219" s="16"/>
      <c r="M219" s="4"/>
      <c r="N219" s="4"/>
      <c r="O219" s="4"/>
      <c r="P219" s="4"/>
      <c r="Q219" s="4">
        <v>45</v>
      </c>
      <c r="R219" s="4"/>
      <c r="S219" s="4">
        <v>45</v>
      </c>
      <c r="T219" s="4">
        <v>0.75</v>
      </c>
      <c r="U219" s="4">
        <v>0.8833333333333333</v>
      </c>
      <c r="V219" s="4">
        <v>11.116666666666667</v>
      </c>
      <c r="W219" s="4">
        <v>12</v>
      </c>
      <c r="X219" s="4">
        <v>0</v>
      </c>
      <c r="Y219" s="4">
        <v>1912</v>
      </c>
      <c r="Z219" s="4">
        <v>146</v>
      </c>
      <c r="AA219" s="4">
        <v>150</v>
      </c>
      <c r="AB219" s="18">
        <v>372</v>
      </c>
      <c r="AC219" s="18">
        <v>5</v>
      </c>
      <c r="AD219" s="28"/>
      <c r="AE219" s="26"/>
      <c r="AF219" s="28"/>
    </row>
    <row r="220" spans="1:32" ht="13.5" customHeight="1" x14ac:dyDescent="0.25">
      <c r="A220" s="14">
        <v>45686</v>
      </c>
      <c r="B220" s="14" t="s">
        <v>47</v>
      </c>
      <c r="C220" s="15">
        <v>1</v>
      </c>
      <c r="D220" s="16"/>
      <c r="E220" s="16"/>
      <c r="F220" s="17"/>
      <c r="G220" s="21"/>
      <c r="H220" s="21"/>
      <c r="I220" s="4">
        <v>0</v>
      </c>
      <c r="J220" s="4">
        <v>0</v>
      </c>
      <c r="K220" s="4"/>
      <c r="L220" s="16"/>
      <c r="M220" s="4"/>
      <c r="N220" s="4"/>
      <c r="O220" s="4"/>
      <c r="P220" s="4"/>
      <c r="Q220" s="4"/>
      <c r="R220" s="4"/>
      <c r="S220" s="4">
        <v>0</v>
      </c>
      <c r="T220" s="4">
        <v>0</v>
      </c>
      <c r="U220" s="4">
        <v>0</v>
      </c>
      <c r="V220" s="4">
        <v>12</v>
      </c>
      <c r="W220" s="4">
        <v>12</v>
      </c>
      <c r="X220" s="4">
        <v>3</v>
      </c>
      <c r="Y220" s="4"/>
      <c r="Z220" s="4">
        <v>151.60000000000002</v>
      </c>
      <c r="AA220" s="4">
        <v>150</v>
      </c>
      <c r="AB220" s="18"/>
      <c r="AC220" s="18">
        <v>5</v>
      </c>
      <c r="AD220" s="28"/>
      <c r="AE220" s="26"/>
      <c r="AF220" s="28"/>
    </row>
    <row r="221" spans="1:32" ht="13.5" customHeight="1" x14ac:dyDescent="0.25">
      <c r="A221" s="14">
        <v>45686</v>
      </c>
      <c r="B221" s="14" t="s">
        <v>46</v>
      </c>
      <c r="C221" s="15">
        <v>3</v>
      </c>
      <c r="D221" s="16">
        <v>2</v>
      </c>
      <c r="E221" s="16"/>
      <c r="F221" s="17"/>
      <c r="G221" s="21"/>
      <c r="H221" s="21"/>
      <c r="I221" s="4">
        <v>2</v>
      </c>
      <c r="J221" s="4">
        <v>3.3333333333333333E-2</v>
      </c>
      <c r="K221" s="4"/>
      <c r="L221" s="16"/>
      <c r="M221" s="4"/>
      <c r="N221" s="4"/>
      <c r="O221" s="4"/>
      <c r="P221" s="4"/>
      <c r="Q221" s="4"/>
      <c r="R221" s="4"/>
      <c r="S221" s="4">
        <v>0</v>
      </c>
      <c r="T221" s="4">
        <v>0</v>
      </c>
      <c r="U221" s="4">
        <v>3.3333333333333333E-2</v>
      </c>
      <c r="V221" s="4">
        <v>11.966666666666667</v>
      </c>
      <c r="W221" s="4">
        <v>12</v>
      </c>
      <c r="X221" s="4">
        <v>0</v>
      </c>
      <c r="Y221" s="4"/>
      <c r="Z221" s="4">
        <v>582.5</v>
      </c>
      <c r="AA221" s="4">
        <v>550</v>
      </c>
      <c r="AB221" s="18"/>
      <c r="AC221" s="18">
        <v>5</v>
      </c>
      <c r="AD221" s="28"/>
      <c r="AE221" s="26"/>
      <c r="AF221" s="28"/>
    </row>
    <row r="222" spans="1:32" ht="13.5" customHeight="1" x14ac:dyDescent="0.25">
      <c r="A222" s="14">
        <v>45686</v>
      </c>
      <c r="B222" s="14" t="s">
        <v>47</v>
      </c>
      <c r="C222" s="15">
        <v>3</v>
      </c>
      <c r="D222" s="16">
        <v>15</v>
      </c>
      <c r="E222" s="16"/>
      <c r="F222" s="17"/>
      <c r="G222" s="21"/>
      <c r="H222" s="21"/>
      <c r="I222" s="4">
        <v>15</v>
      </c>
      <c r="J222" s="4">
        <v>0.25</v>
      </c>
      <c r="K222" s="4"/>
      <c r="L222" s="16"/>
      <c r="M222" s="4"/>
      <c r="N222" s="4"/>
      <c r="O222" s="4"/>
      <c r="P222" s="4"/>
      <c r="Q222" s="4"/>
      <c r="R222" s="4"/>
      <c r="S222" s="4">
        <v>0</v>
      </c>
      <c r="T222" s="4">
        <v>0</v>
      </c>
      <c r="U222" s="4">
        <v>0.25</v>
      </c>
      <c r="V222" s="4">
        <v>11.75</v>
      </c>
      <c r="W222" s="4">
        <v>12</v>
      </c>
      <c r="X222" s="4">
        <v>20</v>
      </c>
      <c r="Y222" s="4"/>
      <c r="Z222" s="4">
        <v>380.79999999999995</v>
      </c>
      <c r="AA222" s="4">
        <v>350</v>
      </c>
      <c r="AB222" s="18"/>
      <c r="AC222" s="18">
        <v>5</v>
      </c>
      <c r="AD222" s="28"/>
      <c r="AE222" s="26"/>
      <c r="AF222" s="28"/>
    </row>
    <row r="223" spans="1:32" ht="13.5" customHeight="1" x14ac:dyDescent="0.25">
      <c r="A223" s="14">
        <v>45686</v>
      </c>
      <c r="B223" s="14" t="s">
        <v>46</v>
      </c>
      <c r="C223" s="15">
        <v>6</v>
      </c>
      <c r="D223" s="16">
        <v>10</v>
      </c>
      <c r="E223" s="16"/>
      <c r="F223" s="17"/>
      <c r="G223" s="21"/>
      <c r="H223" s="21"/>
      <c r="I223" s="4">
        <v>10</v>
      </c>
      <c r="J223" s="4">
        <v>0.16666666666666666</v>
      </c>
      <c r="K223" s="4"/>
      <c r="L223" s="16"/>
      <c r="M223" s="4"/>
      <c r="N223" s="4"/>
      <c r="O223" s="4"/>
      <c r="P223" s="4"/>
      <c r="Q223" s="4"/>
      <c r="R223" s="4"/>
      <c r="S223" s="4">
        <v>0</v>
      </c>
      <c r="T223" s="4">
        <v>0</v>
      </c>
      <c r="U223" s="4">
        <v>0.16666666666666666</v>
      </c>
      <c r="V223" s="4">
        <v>11.833333333333334</v>
      </c>
      <c r="W223" s="4">
        <v>12</v>
      </c>
      <c r="X223" s="4">
        <v>46</v>
      </c>
      <c r="Y223" s="4"/>
      <c r="Z223" s="4">
        <v>612.90000000000009</v>
      </c>
      <c r="AA223" s="4">
        <v>600</v>
      </c>
      <c r="AB223" s="18"/>
      <c r="AC223" s="18">
        <v>5</v>
      </c>
      <c r="AD223" s="28"/>
      <c r="AE223" s="26"/>
      <c r="AF223" s="28"/>
    </row>
    <row r="224" spans="1:32" ht="13.5" customHeight="1" x14ac:dyDescent="0.25">
      <c r="A224" s="14">
        <v>45686</v>
      </c>
      <c r="B224" s="14" t="s">
        <v>47</v>
      </c>
      <c r="C224" s="15">
        <v>6</v>
      </c>
      <c r="D224" s="16"/>
      <c r="E224" s="16"/>
      <c r="F224" s="17"/>
      <c r="G224" s="21"/>
      <c r="H224" s="21"/>
      <c r="I224" s="4">
        <v>0</v>
      </c>
      <c r="J224" s="4">
        <v>0</v>
      </c>
      <c r="K224" s="4"/>
      <c r="L224" s="16">
        <v>10</v>
      </c>
      <c r="M224" s="4"/>
      <c r="N224" s="4">
        <v>10</v>
      </c>
      <c r="O224" s="4"/>
      <c r="P224" s="4"/>
      <c r="Q224" s="4"/>
      <c r="R224" s="4"/>
      <c r="S224" s="4">
        <v>20</v>
      </c>
      <c r="T224" s="4">
        <v>0.33333333333333331</v>
      </c>
      <c r="U224" s="4">
        <v>0.33333333333333331</v>
      </c>
      <c r="V224" s="4">
        <v>11.666666666666666</v>
      </c>
      <c r="W224" s="4">
        <v>12</v>
      </c>
      <c r="X224" s="4">
        <v>9.6</v>
      </c>
      <c r="Y224" s="4"/>
      <c r="Z224" s="4">
        <v>594.4</v>
      </c>
      <c r="AA224" s="4">
        <v>600</v>
      </c>
      <c r="AB224" s="18"/>
      <c r="AC224" s="18">
        <v>5</v>
      </c>
      <c r="AD224" s="28"/>
      <c r="AE224" s="26"/>
      <c r="AF224" s="28"/>
    </row>
    <row r="225" spans="1:32" ht="13.5" customHeight="1" x14ac:dyDescent="0.25">
      <c r="A225" s="14">
        <v>45686</v>
      </c>
      <c r="B225" s="14" t="s">
        <v>46</v>
      </c>
      <c r="C225" s="15">
        <v>7</v>
      </c>
      <c r="D225" s="16">
        <v>9</v>
      </c>
      <c r="E225" s="16"/>
      <c r="F225" s="17"/>
      <c r="G225" s="21"/>
      <c r="H225" s="21"/>
      <c r="I225" s="4">
        <v>9</v>
      </c>
      <c r="J225" s="4">
        <v>0.15</v>
      </c>
      <c r="K225" s="4"/>
      <c r="L225" s="16"/>
      <c r="M225" s="4"/>
      <c r="N225" s="4"/>
      <c r="O225" s="4"/>
      <c r="P225" s="4"/>
      <c r="Q225" s="4"/>
      <c r="R225" s="4"/>
      <c r="S225" s="4">
        <v>0</v>
      </c>
      <c r="T225" s="4">
        <v>0</v>
      </c>
      <c r="U225" s="4">
        <v>0.15</v>
      </c>
      <c r="V225" s="4">
        <v>11.85</v>
      </c>
      <c r="W225" s="4">
        <v>12</v>
      </c>
      <c r="X225" s="4">
        <v>0</v>
      </c>
      <c r="Y225" s="4"/>
      <c r="Z225" s="4">
        <v>306.8</v>
      </c>
      <c r="AA225" s="4">
        <v>300</v>
      </c>
      <c r="AB225" s="18"/>
      <c r="AC225" s="18">
        <v>5</v>
      </c>
      <c r="AD225" s="28"/>
      <c r="AE225" s="26"/>
      <c r="AF225" s="28"/>
    </row>
    <row r="226" spans="1:32" ht="13.5" customHeight="1" x14ac:dyDescent="0.25">
      <c r="A226" s="14">
        <v>45686</v>
      </c>
      <c r="B226" s="14" t="s">
        <v>47</v>
      </c>
      <c r="C226" s="15">
        <v>7</v>
      </c>
      <c r="D226" s="16">
        <v>4</v>
      </c>
      <c r="E226" s="16"/>
      <c r="F226" s="17"/>
      <c r="G226" s="21"/>
      <c r="H226" s="21"/>
      <c r="I226" s="4">
        <v>4</v>
      </c>
      <c r="J226" s="4">
        <v>6.6666666666666666E-2</v>
      </c>
      <c r="K226" s="4"/>
      <c r="L226" s="16"/>
      <c r="M226" s="4"/>
      <c r="N226" s="4"/>
      <c r="O226" s="4"/>
      <c r="P226" s="4"/>
      <c r="Q226" s="4"/>
      <c r="R226" s="4"/>
      <c r="S226" s="4">
        <v>0</v>
      </c>
      <c r="T226" s="4">
        <v>0</v>
      </c>
      <c r="U226" s="4">
        <v>6.6666666666666666E-2</v>
      </c>
      <c r="V226" s="4">
        <v>11.933333333333334</v>
      </c>
      <c r="W226" s="4">
        <v>12</v>
      </c>
      <c r="X226" s="4">
        <v>3.4</v>
      </c>
      <c r="Y226" s="4"/>
      <c r="Z226" s="4">
        <v>330.86</v>
      </c>
      <c r="AA226" s="4">
        <v>300</v>
      </c>
      <c r="AB226" s="18"/>
      <c r="AC226" s="18">
        <v>5</v>
      </c>
      <c r="AD226" s="28"/>
      <c r="AE226" s="26"/>
      <c r="AF226" s="28"/>
    </row>
    <row r="227" spans="1:32" ht="13.5" customHeight="1" x14ac:dyDescent="0.25">
      <c r="A227" s="14">
        <v>45687</v>
      </c>
      <c r="B227" s="14" t="s">
        <v>46</v>
      </c>
      <c r="C227" s="15">
        <v>1</v>
      </c>
      <c r="D227" s="16"/>
      <c r="E227" s="16"/>
      <c r="F227" s="17"/>
      <c r="G227" s="21"/>
      <c r="H227" s="21"/>
      <c r="I227" s="4">
        <v>0</v>
      </c>
      <c r="J227" s="4">
        <v>0</v>
      </c>
      <c r="K227" s="4"/>
      <c r="L227" s="16"/>
      <c r="M227" s="4"/>
      <c r="N227" s="4"/>
      <c r="O227" s="4"/>
      <c r="P227" s="4"/>
      <c r="Q227" s="4"/>
      <c r="R227" s="4"/>
      <c r="S227" s="4">
        <v>0</v>
      </c>
      <c r="T227" s="4">
        <v>0</v>
      </c>
      <c r="U227" s="4">
        <v>0</v>
      </c>
      <c r="V227" s="4">
        <v>12</v>
      </c>
      <c r="W227" s="4">
        <v>12</v>
      </c>
      <c r="X227" s="4">
        <v>10</v>
      </c>
      <c r="Y227" s="4">
        <v>2006</v>
      </c>
      <c r="Z227" s="4">
        <v>170.1</v>
      </c>
      <c r="AA227" s="4">
        <v>200</v>
      </c>
      <c r="AB227" s="18">
        <v>372</v>
      </c>
      <c r="AC227" s="18">
        <v>5</v>
      </c>
      <c r="AD227" s="28"/>
      <c r="AE227" s="26"/>
      <c r="AF227" s="28"/>
    </row>
    <row r="228" spans="1:32" ht="13.5" customHeight="1" x14ac:dyDescent="0.25">
      <c r="A228" s="14">
        <v>45687</v>
      </c>
      <c r="B228" s="14" t="s">
        <v>47</v>
      </c>
      <c r="C228" s="15">
        <v>1</v>
      </c>
      <c r="D228" s="16"/>
      <c r="E228" s="16"/>
      <c r="F228" s="17"/>
      <c r="G228" s="21"/>
      <c r="H228" s="21"/>
      <c r="I228" s="4">
        <v>0</v>
      </c>
      <c r="J228" s="4">
        <v>0</v>
      </c>
      <c r="K228" s="4"/>
      <c r="L228" s="16"/>
      <c r="M228" s="4"/>
      <c r="N228" s="4"/>
      <c r="O228" s="4"/>
      <c r="P228" s="4"/>
      <c r="Q228" s="4"/>
      <c r="R228" s="4"/>
      <c r="S228" s="4">
        <v>0</v>
      </c>
      <c r="T228" s="4">
        <v>0</v>
      </c>
      <c r="U228" s="4">
        <v>0</v>
      </c>
      <c r="V228" s="4">
        <v>12</v>
      </c>
      <c r="W228" s="4">
        <v>12</v>
      </c>
      <c r="X228" s="4">
        <v>12</v>
      </c>
      <c r="Y228" s="4"/>
      <c r="Z228" s="4">
        <v>154.4</v>
      </c>
      <c r="AA228" s="4">
        <v>150</v>
      </c>
      <c r="AB228" s="18"/>
      <c r="AC228" s="18">
        <v>5</v>
      </c>
      <c r="AD228" s="28"/>
      <c r="AE228" s="26"/>
      <c r="AF228" s="28"/>
    </row>
    <row r="229" spans="1:32" ht="13.5" customHeight="1" x14ac:dyDescent="0.25">
      <c r="A229" s="14">
        <v>45687</v>
      </c>
      <c r="B229" s="14" t="s">
        <v>46</v>
      </c>
      <c r="C229" s="15">
        <v>3</v>
      </c>
      <c r="D229" s="16">
        <v>3</v>
      </c>
      <c r="E229" s="16">
        <v>20</v>
      </c>
      <c r="F229" s="17"/>
      <c r="G229" s="21"/>
      <c r="H229" s="21"/>
      <c r="I229" s="4">
        <v>23</v>
      </c>
      <c r="J229" s="4">
        <v>0.38333333333333336</v>
      </c>
      <c r="K229" s="4"/>
      <c r="L229" s="16"/>
      <c r="M229" s="4"/>
      <c r="N229" s="4"/>
      <c r="O229" s="4"/>
      <c r="P229" s="4"/>
      <c r="Q229" s="4"/>
      <c r="R229" s="4"/>
      <c r="S229" s="4">
        <v>0</v>
      </c>
      <c r="T229" s="4">
        <v>0</v>
      </c>
      <c r="U229" s="4">
        <v>0.38333333333333336</v>
      </c>
      <c r="V229" s="4">
        <v>11.616666666666667</v>
      </c>
      <c r="W229" s="4">
        <v>12</v>
      </c>
      <c r="X229" s="4">
        <v>0</v>
      </c>
      <c r="Y229" s="4"/>
      <c r="Z229" s="4">
        <v>505.5</v>
      </c>
      <c r="AA229" s="4">
        <v>500</v>
      </c>
      <c r="AB229" s="18"/>
      <c r="AC229" s="18">
        <v>5</v>
      </c>
      <c r="AD229" s="28"/>
      <c r="AE229" s="26"/>
      <c r="AF229" s="28"/>
    </row>
    <row r="230" spans="1:32" ht="13.5" customHeight="1" x14ac:dyDescent="0.25">
      <c r="A230" s="14">
        <v>45687</v>
      </c>
      <c r="B230" s="14" t="s">
        <v>47</v>
      </c>
      <c r="C230" s="15">
        <v>3</v>
      </c>
      <c r="D230" s="16"/>
      <c r="E230" s="16"/>
      <c r="F230" s="17"/>
      <c r="G230" s="21"/>
      <c r="H230" s="21"/>
      <c r="I230" s="4">
        <v>0</v>
      </c>
      <c r="J230" s="4">
        <v>0</v>
      </c>
      <c r="K230" s="4"/>
      <c r="L230" s="16"/>
      <c r="M230" s="4"/>
      <c r="N230" s="4"/>
      <c r="O230" s="4"/>
      <c r="P230" s="4"/>
      <c r="Q230" s="4"/>
      <c r="R230" s="4"/>
      <c r="S230" s="4">
        <v>0</v>
      </c>
      <c r="T230" s="4">
        <v>0</v>
      </c>
      <c r="U230" s="4">
        <v>0</v>
      </c>
      <c r="V230" s="4">
        <v>12</v>
      </c>
      <c r="W230" s="4">
        <v>12</v>
      </c>
      <c r="X230" s="4">
        <v>8.4</v>
      </c>
      <c r="Y230" s="4"/>
      <c r="Z230" s="4">
        <v>424.8</v>
      </c>
      <c r="AA230" s="4">
        <v>450</v>
      </c>
      <c r="AB230" s="18"/>
      <c r="AC230" s="18">
        <v>5</v>
      </c>
      <c r="AD230" s="28"/>
      <c r="AE230" s="26"/>
      <c r="AF230" s="28"/>
    </row>
    <row r="231" spans="1:32" ht="13.5" customHeight="1" x14ac:dyDescent="0.25">
      <c r="A231" s="14">
        <v>45687</v>
      </c>
      <c r="B231" s="14" t="s">
        <v>46</v>
      </c>
      <c r="C231" s="15">
        <v>6</v>
      </c>
      <c r="D231" s="16">
        <v>14</v>
      </c>
      <c r="E231" s="16"/>
      <c r="F231" s="17"/>
      <c r="G231" s="21"/>
      <c r="H231" s="21"/>
      <c r="I231" s="4">
        <v>14</v>
      </c>
      <c r="J231" s="4">
        <v>0.23333333333333334</v>
      </c>
      <c r="K231" s="4"/>
      <c r="L231" s="16"/>
      <c r="M231" s="4"/>
      <c r="N231" s="4"/>
      <c r="O231" s="4"/>
      <c r="P231" s="4"/>
      <c r="Q231" s="4"/>
      <c r="R231" s="4"/>
      <c r="S231" s="4">
        <v>0</v>
      </c>
      <c r="T231" s="4">
        <v>0</v>
      </c>
      <c r="U231" s="4">
        <v>0.23333333333333334</v>
      </c>
      <c r="V231" s="4">
        <v>11.766666666666667</v>
      </c>
      <c r="W231" s="4">
        <v>12</v>
      </c>
      <c r="X231" s="4">
        <v>8</v>
      </c>
      <c r="Y231" s="4"/>
      <c r="Z231" s="4">
        <v>519.20000000000005</v>
      </c>
      <c r="AA231" s="4">
        <v>550</v>
      </c>
      <c r="AB231" s="18"/>
      <c r="AC231" s="18">
        <v>5</v>
      </c>
      <c r="AD231" s="28"/>
      <c r="AE231" s="26"/>
      <c r="AF231" s="28"/>
    </row>
    <row r="232" spans="1:32" ht="13.5" customHeight="1" x14ac:dyDescent="0.25">
      <c r="A232" s="14">
        <v>45687</v>
      </c>
      <c r="B232" s="14" t="s">
        <v>47</v>
      </c>
      <c r="C232" s="15">
        <v>6</v>
      </c>
      <c r="D232" s="16">
        <v>15</v>
      </c>
      <c r="E232" s="16"/>
      <c r="F232" s="17"/>
      <c r="G232" s="21"/>
      <c r="H232" s="21"/>
      <c r="I232" s="4">
        <v>15</v>
      </c>
      <c r="J232" s="4">
        <v>0.25</v>
      </c>
      <c r="K232" s="4"/>
      <c r="L232" s="16"/>
      <c r="M232" s="4"/>
      <c r="N232" s="4">
        <v>15</v>
      </c>
      <c r="O232" s="4"/>
      <c r="P232" s="4">
        <v>50</v>
      </c>
      <c r="Q232" s="4"/>
      <c r="R232" s="4"/>
      <c r="S232" s="4">
        <v>65</v>
      </c>
      <c r="T232" s="4">
        <v>1.0833333333333333</v>
      </c>
      <c r="U232" s="4">
        <v>1.3333333333333333</v>
      </c>
      <c r="V232" s="4">
        <v>10.666666666666666</v>
      </c>
      <c r="W232" s="4">
        <v>12</v>
      </c>
      <c r="X232" s="4">
        <v>35</v>
      </c>
      <c r="Y232" s="4"/>
      <c r="Z232" s="4">
        <v>556.20000000000005</v>
      </c>
      <c r="AA232" s="4">
        <v>600</v>
      </c>
      <c r="AB232" s="18"/>
      <c r="AC232" s="18">
        <v>5</v>
      </c>
      <c r="AD232" s="28"/>
      <c r="AE232" s="26"/>
      <c r="AF232" s="28"/>
    </row>
    <row r="233" spans="1:32" ht="13.5" customHeight="1" x14ac:dyDescent="0.25">
      <c r="A233" s="14">
        <v>45687</v>
      </c>
      <c r="B233" s="14" t="s">
        <v>46</v>
      </c>
      <c r="C233" s="15">
        <v>7</v>
      </c>
      <c r="D233" s="16">
        <v>5</v>
      </c>
      <c r="E233" s="16"/>
      <c r="F233" s="17"/>
      <c r="G233" s="21"/>
      <c r="H233" s="21"/>
      <c r="I233" s="4">
        <v>5</v>
      </c>
      <c r="J233" s="4">
        <v>8.3333333333333329E-2</v>
      </c>
      <c r="K233" s="4"/>
      <c r="L233" s="16"/>
      <c r="M233" s="4"/>
      <c r="N233" s="4"/>
      <c r="O233" s="4"/>
      <c r="P233" s="4"/>
      <c r="Q233" s="4"/>
      <c r="R233" s="4"/>
      <c r="S233" s="4">
        <v>0</v>
      </c>
      <c r="T233" s="4">
        <v>0</v>
      </c>
      <c r="U233" s="4">
        <v>8.3333333333333329E-2</v>
      </c>
      <c r="V233" s="4">
        <v>11.916666666666666</v>
      </c>
      <c r="W233" s="4">
        <v>12</v>
      </c>
      <c r="X233" s="4">
        <v>3.5</v>
      </c>
      <c r="Y233" s="4"/>
      <c r="Z233" s="4">
        <v>442.09999999999991</v>
      </c>
      <c r="AA233" s="4">
        <v>450</v>
      </c>
      <c r="AB233" s="18"/>
      <c r="AC233" s="18">
        <v>5</v>
      </c>
      <c r="AD233" s="28"/>
      <c r="AE233" s="26"/>
      <c r="AF233" s="28"/>
    </row>
    <row r="234" spans="1:32" ht="13.5" customHeight="1" x14ac:dyDescent="0.25">
      <c r="A234" s="14">
        <v>45687</v>
      </c>
      <c r="B234" s="14" t="s">
        <v>47</v>
      </c>
      <c r="C234" s="15">
        <v>7</v>
      </c>
      <c r="D234" s="16"/>
      <c r="E234" s="16"/>
      <c r="F234" s="17"/>
      <c r="G234" s="21"/>
      <c r="H234" s="21"/>
      <c r="I234" s="4">
        <v>0</v>
      </c>
      <c r="J234" s="4">
        <v>0</v>
      </c>
      <c r="K234" s="4"/>
      <c r="L234" s="16"/>
      <c r="M234" s="4"/>
      <c r="N234" s="4"/>
      <c r="O234" s="4"/>
      <c r="P234" s="4"/>
      <c r="Q234" s="4"/>
      <c r="R234" s="4"/>
      <c r="S234" s="4">
        <v>0</v>
      </c>
      <c r="T234" s="4">
        <v>0</v>
      </c>
      <c r="U234" s="4">
        <v>0</v>
      </c>
      <c r="V234" s="4">
        <v>12</v>
      </c>
      <c r="W234" s="4">
        <v>12</v>
      </c>
      <c r="X234" s="4">
        <v>3</v>
      </c>
      <c r="Y234" s="4"/>
      <c r="Z234" s="4">
        <v>416.80999999999995</v>
      </c>
      <c r="AA234" s="4">
        <v>400</v>
      </c>
      <c r="AB234" s="18"/>
      <c r="AC234" s="18">
        <v>5</v>
      </c>
      <c r="AD234" s="28"/>
      <c r="AE234" s="26"/>
      <c r="AF234" s="28"/>
    </row>
    <row r="235" spans="1:32" ht="13.5" customHeight="1" x14ac:dyDescent="0.25">
      <c r="A235" s="14">
        <v>45688</v>
      </c>
      <c r="B235" s="14" t="s">
        <v>46</v>
      </c>
      <c r="C235" s="15">
        <v>1</v>
      </c>
      <c r="D235" s="16">
        <v>8</v>
      </c>
      <c r="E235" s="16"/>
      <c r="F235" s="17"/>
      <c r="G235" s="21"/>
      <c r="H235" s="21"/>
      <c r="I235" s="4">
        <v>8</v>
      </c>
      <c r="J235" s="4">
        <v>0.13333333333333333</v>
      </c>
      <c r="K235" s="4"/>
      <c r="L235" s="16"/>
      <c r="M235" s="4"/>
      <c r="N235" s="4"/>
      <c r="O235" s="4"/>
      <c r="P235" s="4"/>
      <c r="Q235" s="4"/>
      <c r="R235" s="4"/>
      <c r="S235" s="4">
        <v>0</v>
      </c>
      <c r="T235" s="4">
        <v>0</v>
      </c>
      <c r="U235" s="4">
        <v>0.13333333333333333</v>
      </c>
      <c r="V235" s="4">
        <v>11.866666666666667</v>
      </c>
      <c r="W235" s="4">
        <v>12</v>
      </c>
      <c r="X235" s="4">
        <v>8</v>
      </c>
      <c r="Y235" s="4">
        <v>1927</v>
      </c>
      <c r="Z235" s="4">
        <v>165.10000000000002</v>
      </c>
      <c r="AA235" s="4">
        <v>200</v>
      </c>
      <c r="AB235" s="18">
        <v>372</v>
      </c>
      <c r="AC235" s="18">
        <v>5</v>
      </c>
      <c r="AD235" s="28"/>
      <c r="AE235" s="26"/>
      <c r="AF235" s="28"/>
    </row>
    <row r="236" spans="1:32" ht="13.5" customHeight="1" x14ac:dyDescent="0.25">
      <c r="A236" s="14">
        <v>45688</v>
      </c>
      <c r="B236" s="14" t="s">
        <v>47</v>
      </c>
      <c r="C236" s="15">
        <v>1</v>
      </c>
      <c r="D236" s="16"/>
      <c r="E236" s="16"/>
      <c r="F236" s="17"/>
      <c r="G236" s="21"/>
      <c r="H236" s="21"/>
      <c r="I236" s="4">
        <v>0</v>
      </c>
      <c r="J236" s="4">
        <v>0</v>
      </c>
      <c r="K236" s="4"/>
      <c r="L236" s="16"/>
      <c r="M236" s="4"/>
      <c r="N236" s="4">
        <v>28</v>
      </c>
      <c r="O236" s="4"/>
      <c r="P236" s="4"/>
      <c r="Q236" s="4"/>
      <c r="R236" s="4"/>
      <c r="S236" s="4">
        <v>28</v>
      </c>
      <c r="T236" s="4">
        <v>0.46666666666666667</v>
      </c>
      <c r="U236" s="4">
        <v>0.46666666666666667</v>
      </c>
      <c r="V236" s="4">
        <v>11.533333333333333</v>
      </c>
      <c r="W236" s="4">
        <v>12</v>
      </c>
      <c r="X236" s="4">
        <v>12</v>
      </c>
      <c r="Y236" s="4"/>
      <c r="Z236" s="4">
        <v>145.9</v>
      </c>
      <c r="AA236" s="4">
        <v>150</v>
      </c>
      <c r="AB236" s="18"/>
      <c r="AC236" s="18">
        <v>5</v>
      </c>
      <c r="AD236" s="28"/>
      <c r="AE236" s="26"/>
      <c r="AF236" s="28"/>
    </row>
    <row r="237" spans="1:32" ht="13.5" customHeight="1" x14ac:dyDescent="0.25">
      <c r="A237" s="14">
        <v>45688</v>
      </c>
      <c r="B237" s="14" t="s">
        <v>46</v>
      </c>
      <c r="C237" s="15">
        <v>3</v>
      </c>
      <c r="D237" s="16">
        <v>12</v>
      </c>
      <c r="E237" s="16"/>
      <c r="F237" s="17"/>
      <c r="G237" s="21"/>
      <c r="H237" s="21"/>
      <c r="I237" s="4">
        <v>12</v>
      </c>
      <c r="J237" s="4">
        <v>0.2</v>
      </c>
      <c r="K237" s="4"/>
      <c r="L237" s="16"/>
      <c r="M237" s="4"/>
      <c r="N237" s="4"/>
      <c r="O237" s="4"/>
      <c r="P237" s="4"/>
      <c r="Q237" s="4"/>
      <c r="R237" s="4"/>
      <c r="S237" s="4">
        <v>0</v>
      </c>
      <c r="T237" s="4">
        <v>0</v>
      </c>
      <c r="U237" s="4">
        <v>0.2</v>
      </c>
      <c r="V237" s="4">
        <v>11.8</v>
      </c>
      <c r="W237" s="4">
        <v>12</v>
      </c>
      <c r="X237" s="4">
        <v>12</v>
      </c>
      <c r="Y237" s="4"/>
      <c r="Z237" s="4">
        <v>417.7</v>
      </c>
      <c r="AA237" s="4">
        <v>450</v>
      </c>
      <c r="AB237" s="18"/>
      <c r="AC237" s="18">
        <v>5</v>
      </c>
      <c r="AD237" s="28"/>
      <c r="AE237" s="26"/>
      <c r="AF237" s="28"/>
    </row>
    <row r="238" spans="1:32" ht="13.5" customHeight="1" x14ac:dyDescent="0.25">
      <c r="A238" s="14">
        <v>45688</v>
      </c>
      <c r="B238" s="14" t="s">
        <v>47</v>
      </c>
      <c r="C238" s="15">
        <v>3</v>
      </c>
      <c r="D238" s="16"/>
      <c r="E238" s="16"/>
      <c r="F238" s="17"/>
      <c r="G238" s="21"/>
      <c r="H238" s="21"/>
      <c r="I238" s="4">
        <v>0</v>
      </c>
      <c r="J238" s="4">
        <v>0</v>
      </c>
      <c r="K238" s="4"/>
      <c r="L238" s="16"/>
      <c r="M238" s="4"/>
      <c r="N238" s="4"/>
      <c r="O238" s="4"/>
      <c r="P238" s="4"/>
      <c r="Q238" s="4"/>
      <c r="R238" s="4"/>
      <c r="S238" s="4">
        <v>0</v>
      </c>
      <c r="T238" s="4">
        <v>0</v>
      </c>
      <c r="U238" s="4">
        <v>0</v>
      </c>
      <c r="V238" s="4">
        <v>12</v>
      </c>
      <c r="W238" s="4">
        <v>12</v>
      </c>
      <c r="X238" s="4">
        <v>0</v>
      </c>
      <c r="Y238" s="4"/>
      <c r="Z238" s="4">
        <v>282.89999999999998</v>
      </c>
      <c r="AA238" s="4">
        <v>300</v>
      </c>
      <c r="AB238" s="18"/>
      <c r="AC238" s="18">
        <v>5</v>
      </c>
      <c r="AD238" s="28"/>
      <c r="AE238" s="26"/>
      <c r="AF238" s="28"/>
    </row>
    <row r="239" spans="1:32" ht="13.5" customHeight="1" x14ac:dyDescent="0.25">
      <c r="A239" s="14">
        <v>45688</v>
      </c>
      <c r="B239" s="14" t="s">
        <v>46</v>
      </c>
      <c r="C239" s="15">
        <v>6</v>
      </c>
      <c r="D239" s="16">
        <v>10</v>
      </c>
      <c r="E239" s="16"/>
      <c r="F239" s="17"/>
      <c r="G239" s="21"/>
      <c r="H239" s="21"/>
      <c r="I239" s="4">
        <v>10</v>
      </c>
      <c r="J239" s="4">
        <v>0.16666666666666666</v>
      </c>
      <c r="K239" s="4"/>
      <c r="L239" s="16"/>
      <c r="M239" s="4"/>
      <c r="N239" s="4"/>
      <c r="O239" s="4"/>
      <c r="P239" s="4"/>
      <c r="Q239" s="4"/>
      <c r="R239" s="4"/>
      <c r="S239" s="4">
        <v>0</v>
      </c>
      <c r="T239" s="4">
        <v>0</v>
      </c>
      <c r="U239" s="4">
        <v>0.16666666666666666</v>
      </c>
      <c r="V239" s="4">
        <v>11.833333333333334</v>
      </c>
      <c r="W239" s="4">
        <v>12</v>
      </c>
      <c r="X239" s="4">
        <v>14</v>
      </c>
      <c r="Y239" s="4"/>
      <c r="Z239" s="4">
        <v>628.6</v>
      </c>
      <c r="AA239" s="4">
        <v>650</v>
      </c>
      <c r="AB239" s="18"/>
      <c r="AC239" s="18">
        <v>5</v>
      </c>
      <c r="AD239" s="28"/>
      <c r="AE239" s="26"/>
      <c r="AF239" s="28"/>
    </row>
    <row r="240" spans="1:32" ht="13.5" customHeight="1" x14ac:dyDescent="0.25">
      <c r="A240" s="14">
        <v>45688</v>
      </c>
      <c r="B240" s="14" t="s">
        <v>47</v>
      </c>
      <c r="C240" s="15">
        <v>6</v>
      </c>
      <c r="D240" s="16"/>
      <c r="E240" s="16"/>
      <c r="F240" s="17"/>
      <c r="G240" s="21"/>
      <c r="H240" s="21"/>
      <c r="I240" s="4">
        <v>0</v>
      </c>
      <c r="J240" s="4">
        <v>0</v>
      </c>
      <c r="K240" s="4"/>
      <c r="L240" s="16"/>
      <c r="M240" s="4"/>
      <c r="N240" s="4"/>
      <c r="O240" s="4"/>
      <c r="P240" s="4"/>
      <c r="Q240" s="4"/>
      <c r="R240" s="4"/>
      <c r="S240" s="4">
        <v>0</v>
      </c>
      <c r="T240" s="4">
        <v>0</v>
      </c>
      <c r="U240" s="4">
        <v>0</v>
      </c>
      <c r="V240" s="4">
        <v>12</v>
      </c>
      <c r="W240" s="4">
        <v>12</v>
      </c>
      <c r="X240" s="4">
        <v>10</v>
      </c>
      <c r="Y240" s="4"/>
      <c r="Z240" s="4">
        <v>607</v>
      </c>
      <c r="AA240" s="4">
        <v>600</v>
      </c>
      <c r="AB240" s="18"/>
      <c r="AC240" s="18">
        <v>5</v>
      </c>
      <c r="AD240" s="28"/>
      <c r="AE240" s="26"/>
      <c r="AF240" s="28"/>
    </row>
    <row r="241" spans="1:32" ht="13.5" customHeight="1" x14ac:dyDescent="0.25">
      <c r="A241" s="14">
        <v>45688</v>
      </c>
      <c r="B241" s="14" t="s">
        <v>46</v>
      </c>
      <c r="C241" s="15">
        <v>7</v>
      </c>
      <c r="D241" s="16">
        <v>8</v>
      </c>
      <c r="E241" s="16"/>
      <c r="F241" s="17"/>
      <c r="G241" s="21"/>
      <c r="H241" s="21"/>
      <c r="I241" s="4">
        <v>8</v>
      </c>
      <c r="J241" s="4">
        <v>0.13333333333333333</v>
      </c>
      <c r="K241" s="4"/>
      <c r="L241" s="16"/>
      <c r="M241" s="4"/>
      <c r="N241" s="4"/>
      <c r="O241" s="4"/>
      <c r="P241" s="4"/>
      <c r="Q241" s="4"/>
      <c r="R241" s="4"/>
      <c r="S241" s="4">
        <v>0</v>
      </c>
      <c r="T241" s="4">
        <v>0</v>
      </c>
      <c r="U241" s="4">
        <v>0.13333333333333333</v>
      </c>
      <c r="V241" s="4">
        <v>11.866666666666667</v>
      </c>
      <c r="W241" s="4">
        <v>12</v>
      </c>
      <c r="X241" s="4">
        <v>17</v>
      </c>
      <c r="Y241" s="4"/>
      <c r="Z241" s="4">
        <v>492.09999999999997</v>
      </c>
      <c r="AA241" s="4">
        <v>500</v>
      </c>
      <c r="AB241" s="18"/>
      <c r="AC241" s="18">
        <v>5</v>
      </c>
      <c r="AD241" s="28"/>
      <c r="AE241" s="26"/>
      <c r="AF241" s="28"/>
    </row>
    <row r="242" spans="1:32" ht="13.5" customHeight="1" x14ac:dyDescent="0.25">
      <c r="A242" s="14">
        <v>45688</v>
      </c>
      <c r="B242" s="14" t="s">
        <v>47</v>
      </c>
      <c r="C242" s="15">
        <v>7</v>
      </c>
      <c r="D242" s="16"/>
      <c r="E242" s="16"/>
      <c r="F242" s="17"/>
      <c r="G242" s="21"/>
      <c r="H242" s="21"/>
      <c r="I242" s="4">
        <v>0</v>
      </c>
      <c r="J242" s="4">
        <v>0</v>
      </c>
      <c r="K242" s="4"/>
      <c r="L242" s="16"/>
      <c r="M242" s="4"/>
      <c r="N242" s="4"/>
      <c r="O242" s="4"/>
      <c r="P242" s="4"/>
      <c r="Q242" s="4"/>
      <c r="R242" s="4"/>
      <c r="S242" s="4">
        <v>0</v>
      </c>
      <c r="T242" s="4">
        <v>0</v>
      </c>
      <c r="U242" s="4">
        <v>0</v>
      </c>
      <c r="V242" s="4">
        <v>12</v>
      </c>
      <c r="W242" s="4">
        <v>12</v>
      </c>
      <c r="X242" s="4">
        <v>6.5</v>
      </c>
      <c r="Y242" s="4"/>
      <c r="Z242" s="4">
        <v>335.52000000000004</v>
      </c>
      <c r="AA242" s="4">
        <v>350</v>
      </c>
      <c r="AB242" s="18"/>
      <c r="AC242" s="18">
        <v>5</v>
      </c>
      <c r="AD242" s="28"/>
      <c r="AE242" s="26"/>
      <c r="AF242" s="28"/>
    </row>
    <row r="243" spans="1:32" ht="13.5" customHeight="1" x14ac:dyDescent="0.25">
      <c r="A243" s="14">
        <v>45689</v>
      </c>
      <c r="B243" s="14" t="s">
        <v>46</v>
      </c>
      <c r="C243" s="15">
        <v>1</v>
      </c>
      <c r="D243" s="16"/>
      <c r="E243" s="16"/>
      <c r="F243" s="17"/>
      <c r="G243" s="21"/>
      <c r="H243" s="21"/>
      <c r="I243" s="4">
        <v>0</v>
      </c>
      <c r="J243" s="4">
        <v>0</v>
      </c>
      <c r="K243" s="4"/>
      <c r="L243" s="16"/>
      <c r="M243" s="4"/>
      <c r="N243" s="4">
        <v>10</v>
      </c>
      <c r="O243" s="4"/>
      <c r="P243" s="4"/>
      <c r="Q243" s="4"/>
      <c r="R243" s="4"/>
      <c r="S243" s="4">
        <v>10</v>
      </c>
      <c r="T243" s="4">
        <v>0.16666666666666666</v>
      </c>
      <c r="U243" s="4">
        <v>0.16666666666666666</v>
      </c>
      <c r="V243" s="4">
        <v>11.833333333333334</v>
      </c>
      <c r="W243" s="4">
        <v>12</v>
      </c>
      <c r="X243" s="4">
        <v>0</v>
      </c>
      <c r="Y243" s="4">
        <v>1924</v>
      </c>
      <c r="Z243" s="4">
        <v>149.89999999999998</v>
      </c>
      <c r="AA243" s="4">
        <v>150</v>
      </c>
      <c r="AB243" s="18">
        <v>372</v>
      </c>
      <c r="AC243" s="18">
        <v>5</v>
      </c>
      <c r="AD243" s="28"/>
      <c r="AE243" s="26"/>
      <c r="AF243" s="28"/>
    </row>
    <row r="244" spans="1:32" ht="13.5" customHeight="1" x14ac:dyDescent="0.25">
      <c r="A244" s="14">
        <v>45689</v>
      </c>
      <c r="B244" s="14" t="s">
        <v>47</v>
      </c>
      <c r="C244" s="15">
        <v>1</v>
      </c>
      <c r="D244" s="16"/>
      <c r="E244" s="16"/>
      <c r="F244" s="17"/>
      <c r="G244" s="21"/>
      <c r="H244" s="21"/>
      <c r="I244" s="4">
        <v>0</v>
      </c>
      <c r="J244" s="4">
        <v>0</v>
      </c>
      <c r="K244" s="4"/>
      <c r="L244" s="16"/>
      <c r="M244" s="4"/>
      <c r="N244" s="4"/>
      <c r="O244" s="4"/>
      <c r="P244" s="4"/>
      <c r="Q244" s="4"/>
      <c r="R244" s="4"/>
      <c r="S244" s="4">
        <v>0</v>
      </c>
      <c r="T244" s="4">
        <v>0</v>
      </c>
      <c r="U244" s="4">
        <v>0</v>
      </c>
      <c r="V244" s="4">
        <v>12</v>
      </c>
      <c r="W244" s="4">
        <v>12</v>
      </c>
      <c r="X244" s="4">
        <v>12</v>
      </c>
      <c r="Y244" s="4"/>
      <c r="Z244" s="4">
        <v>137.05000000000001</v>
      </c>
      <c r="AA244" s="4">
        <v>150</v>
      </c>
      <c r="AB244" s="18"/>
      <c r="AC244" s="18">
        <v>5</v>
      </c>
      <c r="AD244" s="28"/>
      <c r="AE244" s="26"/>
      <c r="AF244" s="28"/>
    </row>
    <row r="245" spans="1:32" ht="13.5" customHeight="1" x14ac:dyDescent="0.25">
      <c r="A245" s="14">
        <v>45689</v>
      </c>
      <c r="B245" s="14" t="s">
        <v>46</v>
      </c>
      <c r="C245" s="15">
        <v>3</v>
      </c>
      <c r="D245" s="16">
        <v>2</v>
      </c>
      <c r="E245" s="16"/>
      <c r="F245" s="17"/>
      <c r="G245" s="21"/>
      <c r="H245" s="21"/>
      <c r="I245" s="4">
        <v>2</v>
      </c>
      <c r="J245" s="4">
        <v>3.3333333333333333E-2</v>
      </c>
      <c r="K245" s="4"/>
      <c r="L245" s="16"/>
      <c r="M245" s="4"/>
      <c r="N245" s="4"/>
      <c r="O245" s="4"/>
      <c r="P245" s="4"/>
      <c r="Q245" s="4"/>
      <c r="R245" s="4"/>
      <c r="S245" s="4">
        <v>0</v>
      </c>
      <c r="T245" s="4">
        <v>0</v>
      </c>
      <c r="U245" s="4">
        <v>3.3333333333333333E-2</v>
      </c>
      <c r="V245" s="4">
        <v>11.966666666666667</v>
      </c>
      <c r="W245" s="4">
        <v>12</v>
      </c>
      <c r="X245" s="4">
        <v>0</v>
      </c>
      <c r="Y245" s="4"/>
      <c r="Z245" s="4">
        <v>160.69999999999999</v>
      </c>
      <c r="AA245" s="4">
        <v>200</v>
      </c>
      <c r="AB245" s="18"/>
      <c r="AC245" s="18">
        <v>5</v>
      </c>
      <c r="AD245" s="28"/>
      <c r="AE245" s="26"/>
      <c r="AF245" s="28"/>
    </row>
    <row r="246" spans="1:32" ht="13.5" customHeight="1" x14ac:dyDescent="0.25">
      <c r="A246" s="14">
        <v>45689</v>
      </c>
      <c r="B246" s="14" t="s">
        <v>47</v>
      </c>
      <c r="C246" s="15">
        <v>3</v>
      </c>
      <c r="D246" s="16"/>
      <c r="E246" s="16"/>
      <c r="F246" s="17"/>
      <c r="G246" s="21"/>
      <c r="H246" s="21"/>
      <c r="I246" s="4">
        <v>0</v>
      </c>
      <c r="J246" s="4">
        <v>0</v>
      </c>
      <c r="K246" s="4"/>
      <c r="L246" s="16"/>
      <c r="M246" s="4"/>
      <c r="N246" s="4"/>
      <c r="O246" s="4"/>
      <c r="P246" s="4"/>
      <c r="Q246" s="4"/>
      <c r="R246" s="4"/>
      <c r="S246" s="4">
        <v>0</v>
      </c>
      <c r="T246" s="4">
        <v>0</v>
      </c>
      <c r="U246" s="4">
        <v>0</v>
      </c>
      <c r="V246" s="4">
        <v>12</v>
      </c>
      <c r="W246" s="4">
        <v>12</v>
      </c>
      <c r="X246" s="4">
        <v>9</v>
      </c>
      <c r="Y246" s="4"/>
      <c r="Z246" s="4">
        <v>418.9</v>
      </c>
      <c r="AA246" s="4">
        <v>450</v>
      </c>
      <c r="AB246" s="18"/>
      <c r="AC246" s="18">
        <v>5</v>
      </c>
      <c r="AD246" s="28"/>
      <c r="AE246" s="26"/>
      <c r="AF246" s="28"/>
    </row>
    <row r="247" spans="1:32" ht="13.5" customHeight="1" x14ac:dyDescent="0.25">
      <c r="A247" s="14">
        <v>45689</v>
      </c>
      <c r="B247" s="14" t="s">
        <v>46</v>
      </c>
      <c r="C247" s="15">
        <v>6</v>
      </c>
      <c r="D247" s="16"/>
      <c r="E247" s="16"/>
      <c r="F247" s="17"/>
      <c r="G247" s="21"/>
      <c r="H247" s="21"/>
      <c r="I247" s="4">
        <v>0</v>
      </c>
      <c r="J247" s="4">
        <v>0</v>
      </c>
      <c r="K247" s="4"/>
      <c r="L247" s="16"/>
      <c r="M247" s="4"/>
      <c r="N247" s="4"/>
      <c r="O247" s="4"/>
      <c r="P247" s="4"/>
      <c r="Q247" s="4"/>
      <c r="R247" s="4"/>
      <c r="S247" s="4">
        <v>0</v>
      </c>
      <c r="T247" s="4">
        <v>0</v>
      </c>
      <c r="U247" s="4">
        <v>0</v>
      </c>
      <c r="V247" s="4">
        <v>12</v>
      </c>
      <c r="W247" s="4">
        <v>12</v>
      </c>
      <c r="X247" s="4">
        <v>0</v>
      </c>
      <c r="Y247" s="4"/>
      <c r="Z247" s="4">
        <v>644.1</v>
      </c>
      <c r="AA247" s="4">
        <v>650</v>
      </c>
      <c r="AB247" s="18"/>
      <c r="AC247" s="18">
        <v>5</v>
      </c>
      <c r="AD247" s="28"/>
      <c r="AE247" s="26"/>
      <c r="AF247" s="28"/>
    </row>
    <row r="248" spans="1:32" ht="13.5" customHeight="1" x14ac:dyDescent="0.25">
      <c r="A248" s="14">
        <v>45689</v>
      </c>
      <c r="B248" s="14" t="s">
        <v>47</v>
      </c>
      <c r="C248" s="15">
        <v>6</v>
      </c>
      <c r="D248" s="16"/>
      <c r="E248" s="16"/>
      <c r="F248" s="17"/>
      <c r="G248" s="21"/>
      <c r="H248" s="21"/>
      <c r="I248" s="4">
        <v>0</v>
      </c>
      <c r="J248" s="4">
        <v>0</v>
      </c>
      <c r="K248" s="4"/>
      <c r="L248" s="16"/>
      <c r="M248" s="4"/>
      <c r="N248" s="4"/>
      <c r="O248" s="4"/>
      <c r="P248" s="4"/>
      <c r="Q248" s="4"/>
      <c r="R248" s="4"/>
      <c r="S248" s="4">
        <v>0</v>
      </c>
      <c r="T248" s="4">
        <v>0</v>
      </c>
      <c r="U248" s="4">
        <v>0</v>
      </c>
      <c r="V248" s="4">
        <v>12</v>
      </c>
      <c r="W248" s="4">
        <v>12</v>
      </c>
      <c r="X248" s="4">
        <v>0</v>
      </c>
      <c r="Y248" s="4"/>
      <c r="Z248" s="4">
        <v>757</v>
      </c>
      <c r="AA248" s="4">
        <v>750</v>
      </c>
      <c r="AB248" s="18"/>
      <c r="AC248" s="18">
        <v>5</v>
      </c>
      <c r="AD248" s="28"/>
      <c r="AE248" s="26"/>
      <c r="AF248" s="28"/>
    </row>
    <row r="249" spans="1:32" ht="13.5" customHeight="1" x14ac:dyDescent="0.25">
      <c r="A249" s="14">
        <v>45689</v>
      </c>
      <c r="B249" s="14" t="s">
        <v>46</v>
      </c>
      <c r="C249" s="15">
        <v>7</v>
      </c>
      <c r="D249" s="16"/>
      <c r="E249" s="16"/>
      <c r="F249" s="17"/>
      <c r="G249" s="21"/>
      <c r="H249" s="21"/>
      <c r="I249" s="4">
        <v>0</v>
      </c>
      <c r="J249" s="4">
        <v>0</v>
      </c>
      <c r="K249" s="4"/>
      <c r="L249" s="16"/>
      <c r="M249" s="4"/>
      <c r="N249" s="4"/>
      <c r="O249" s="4"/>
      <c r="P249" s="4"/>
      <c r="Q249" s="4"/>
      <c r="R249" s="4"/>
      <c r="S249" s="4">
        <v>0</v>
      </c>
      <c r="T249" s="4">
        <v>0</v>
      </c>
      <c r="U249" s="4">
        <v>0</v>
      </c>
      <c r="V249" s="4">
        <v>12</v>
      </c>
      <c r="W249" s="4">
        <v>12</v>
      </c>
      <c r="X249" s="4">
        <v>0</v>
      </c>
      <c r="Y249" s="4"/>
      <c r="Z249" s="4">
        <v>349.5</v>
      </c>
      <c r="AA249" s="4">
        <v>350</v>
      </c>
      <c r="AB249" s="18"/>
      <c r="AC249" s="18">
        <v>5</v>
      </c>
      <c r="AD249" s="28"/>
      <c r="AE249" s="26"/>
      <c r="AF249" s="28"/>
    </row>
    <row r="250" spans="1:32" ht="13.5" customHeight="1" x14ac:dyDescent="0.25">
      <c r="A250" s="14">
        <v>45689</v>
      </c>
      <c r="B250" s="14" t="s">
        <v>47</v>
      </c>
      <c r="C250" s="15">
        <v>7</v>
      </c>
      <c r="D250" s="16">
        <v>4</v>
      </c>
      <c r="E250" s="16"/>
      <c r="F250" s="17"/>
      <c r="G250" s="21"/>
      <c r="H250" s="21"/>
      <c r="I250" s="4">
        <v>4</v>
      </c>
      <c r="J250" s="4">
        <v>6.6666666666666666E-2</v>
      </c>
      <c r="K250" s="4"/>
      <c r="L250" s="16"/>
      <c r="M250" s="4"/>
      <c r="N250" s="4"/>
      <c r="O250" s="4"/>
      <c r="P250" s="4"/>
      <c r="Q250" s="4"/>
      <c r="R250" s="4"/>
      <c r="S250" s="4">
        <v>0</v>
      </c>
      <c r="T250" s="4">
        <v>0</v>
      </c>
      <c r="U250" s="4">
        <v>6.6666666666666666E-2</v>
      </c>
      <c r="V250" s="4">
        <v>11.933333333333334</v>
      </c>
      <c r="W250" s="4">
        <v>12</v>
      </c>
      <c r="X250" s="4">
        <v>3</v>
      </c>
      <c r="Y250" s="4"/>
      <c r="Z250" s="4">
        <v>483.96999999999997</v>
      </c>
      <c r="AA250" s="4">
        <v>500</v>
      </c>
      <c r="AB250" s="18"/>
      <c r="AC250" s="18">
        <v>5</v>
      </c>
      <c r="AD250" s="28"/>
      <c r="AE250" s="26"/>
      <c r="AF250" s="28"/>
    </row>
    <row r="251" spans="1:32" ht="13.5" customHeight="1" x14ac:dyDescent="0.25">
      <c r="A251" s="14">
        <v>45690</v>
      </c>
      <c r="B251" s="14" t="s">
        <v>46</v>
      </c>
      <c r="C251" s="15">
        <v>1</v>
      </c>
      <c r="D251" s="16">
        <v>2</v>
      </c>
      <c r="E251" s="16"/>
      <c r="F251" s="17"/>
      <c r="G251" s="21"/>
      <c r="H251" s="21"/>
      <c r="I251" s="4">
        <v>2</v>
      </c>
      <c r="J251" s="4">
        <v>3.3333333333333333E-2</v>
      </c>
      <c r="K251" s="4"/>
      <c r="L251" s="16"/>
      <c r="M251" s="4"/>
      <c r="N251" s="4"/>
      <c r="O251" s="4"/>
      <c r="P251" s="4"/>
      <c r="Q251" s="4">
        <v>60</v>
      </c>
      <c r="R251" s="4"/>
      <c r="S251" s="4">
        <v>60</v>
      </c>
      <c r="T251" s="4">
        <v>1</v>
      </c>
      <c r="U251" s="4">
        <v>1.0333333333333334</v>
      </c>
      <c r="V251" s="4">
        <v>10.966666666666667</v>
      </c>
      <c r="W251" s="4">
        <v>12</v>
      </c>
      <c r="X251" s="4">
        <v>0</v>
      </c>
      <c r="Y251" s="4">
        <v>1897</v>
      </c>
      <c r="Z251" s="4">
        <v>138.4</v>
      </c>
      <c r="AA251" s="4">
        <v>150</v>
      </c>
      <c r="AB251" s="18">
        <v>372</v>
      </c>
      <c r="AC251" s="18">
        <v>5</v>
      </c>
      <c r="AD251" s="28"/>
      <c r="AE251" s="26"/>
      <c r="AF251" s="28"/>
    </row>
    <row r="252" spans="1:32" ht="13.5" customHeight="1" x14ac:dyDescent="0.25">
      <c r="A252" s="14">
        <v>45690</v>
      </c>
      <c r="B252" s="14" t="s">
        <v>47</v>
      </c>
      <c r="C252" s="15">
        <v>1</v>
      </c>
      <c r="D252" s="16"/>
      <c r="E252" s="16"/>
      <c r="F252" s="17"/>
      <c r="G252" s="21"/>
      <c r="H252" s="21"/>
      <c r="I252" s="4">
        <v>0</v>
      </c>
      <c r="J252" s="4">
        <v>0</v>
      </c>
      <c r="K252" s="4"/>
      <c r="L252" s="16"/>
      <c r="M252" s="4"/>
      <c r="N252" s="4"/>
      <c r="O252" s="4"/>
      <c r="P252" s="4"/>
      <c r="Q252" s="4"/>
      <c r="R252" s="4"/>
      <c r="S252" s="4">
        <v>0</v>
      </c>
      <c r="T252" s="4">
        <v>0</v>
      </c>
      <c r="U252" s="4">
        <v>0</v>
      </c>
      <c r="V252" s="4">
        <v>12</v>
      </c>
      <c r="W252" s="4">
        <v>12</v>
      </c>
      <c r="X252" s="4">
        <v>0</v>
      </c>
      <c r="Y252" s="4"/>
      <c r="Z252" s="4">
        <v>145.60000000000002</v>
      </c>
      <c r="AA252" s="4">
        <v>150</v>
      </c>
      <c r="AB252" s="18"/>
      <c r="AC252" s="18">
        <v>5</v>
      </c>
      <c r="AD252" s="28"/>
      <c r="AE252" s="26"/>
      <c r="AF252" s="28"/>
    </row>
    <row r="253" spans="1:32" ht="13.5" customHeight="1" x14ac:dyDescent="0.25">
      <c r="A253" s="14">
        <v>45690</v>
      </c>
      <c r="B253" s="14" t="s">
        <v>46</v>
      </c>
      <c r="C253" s="15">
        <v>3</v>
      </c>
      <c r="D253" s="16">
        <v>4</v>
      </c>
      <c r="E253" s="16"/>
      <c r="F253" s="17"/>
      <c r="G253" s="21"/>
      <c r="H253" s="21"/>
      <c r="I253" s="4">
        <v>4</v>
      </c>
      <c r="J253" s="4">
        <v>6.6666666666666666E-2</v>
      </c>
      <c r="K253" s="4"/>
      <c r="L253" s="16"/>
      <c r="M253" s="4"/>
      <c r="N253" s="4"/>
      <c r="O253" s="4"/>
      <c r="P253" s="4">
        <v>5</v>
      </c>
      <c r="Q253" s="4"/>
      <c r="R253" s="4"/>
      <c r="S253" s="4">
        <v>5</v>
      </c>
      <c r="T253" s="4">
        <v>8.3333333333333329E-2</v>
      </c>
      <c r="U253" s="4">
        <v>0.15</v>
      </c>
      <c r="V253" s="4">
        <v>11.85</v>
      </c>
      <c r="W253" s="4">
        <v>12</v>
      </c>
      <c r="X253" s="4">
        <v>0</v>
      </c>
      <c r="Y253" s="4"/>
      <c r="Z253" s="4">
        <v>338.4</v>
      </c>
      <c r="AA253" s="4">
        <v>350</v>
      </c>
      <c r="AB253" s="18"/>
      <c r="AC253" s="18">
        <v>5</v>
      </c>
      <c r="AD253" s="28"/>
      <c r="AE253" s="26"/>
      <c r="AF253" s="28"/>
    </row>
    <row r="254" spans="1:32" ht="13.5" customHeight="1" x14ac:dyDescent="0.25">
      <c r="A254" s="14">
        <v>45690</v>
      </c>
      <c r="B254" s="14" t="s">
        <v>47</v>
      </c>
      <c r="C254" s="15">
        <v>3</v>
      </c>
      <c r="D254" s="16"/>
      <c r="E254" s="16"/>
      <c r="F254" s="17"/>
      <c r="G254" s="21"/>
      <c r="H254" s="21"/>
      <c r="I254" s="4">
        <v>0</v>
      </c>
      <c r="J254" s="4">
        <v>0</v>
      </c>
      <c r="K254" s="4"/>
      <c r="L254" s="16"/>
      <c r="M254" s="4"/>
      <c r="N254" s="4"/>
      <c r="O254" s="4"/>
      <c r="P254" s="4"/>
      <c r="Q254" s="4"/>
      <c r="R254" s="4"/>
      <c r="S254" s="4">
        <v>0</v>
      </c>
      <c r="T254" s="4">
        <v>0</v>
      </c>
      <c r="U254" s="4">
        <v>0</v>
      </c>
      <c r="V254" s="4">
        <v>12</v>
      </c>
      <c r="W254" s="4">
        <v>12</v>
      </c>
      <c r="X254" s="4">
        <v>0</v>
      </c>
      <c r="Y254" s="4"/>
      <c r="Z254" s="4">
        <v>315</v>
      </c>
      <c r="AA254" s="4">
        <v>300</v>
      </c>
      <c r="AB254" s="18"/>
      <c r="AC254" s="18">
        <v>5</v>
      </c>
      <c r="AD254" s="28"/>
      <c r="AE254" s="26"/>
      <c r="AF254" s="28"/>
    </row>
    <row r="255" spans="1:32" ht="13.5" customHeight="1" x14ac:dyDescent="0.25">
      <c r="A255" s="14">
        <v>45690</v>
      </c>
      <c r="B255" s="14" t="s">
        <v>46</v>
      </c>
      <c r="C255" s="15">
        <v>6</v>
      </c>
      <c r="D255" s="16"/>
      <c r="E255" s="16"/>
      <c r="F255" s="17"/>
      <c r="G255" s="21"/>
      <c r="H255" s="21"/>
      <c r="I255" s="4">
        <v>0</v>
      </c>
      <c r="J255" s="4">
        <v>0</v>
      </c>
      <c r="K255" s="4"/>
      <c r="L255" s="16"/>
      <c r="M255" s="4"/>
      <c r="N255" s="4"/>
      <c r="O255" s="4"/>
      <c r="P255" s="4"/>
      <c r="Q255" s="4"/>
      <c r="R255" s="4"/>
      <c r="S255" s="4">
        <v>0</v>
      </c>
      <c r="T255" s="4">
        <v>0</v>
      </c>
      <c r="U255" s="4">
        <v>0</v>
      </c>
      <c r="V255" s="4">
        <v>12</v>
      </c>
      <c r="W255" s="4">
        <v>12</v>
      </c>
      <c r="X255" s="4">
        <v>0</v>
      </c>
      <c r="Y255" s="4"/>
      <c r="Z255" s="4">
        <v>693.1</v>
      </c>
      <c r="AA255" s="4">
        <v>700</v>
      </c>
      <c r="AB255" s="18"/>
      <c r="AC255" s="18">
        <v>5</v>
      </c>
      <c r="AD255" s="28"/>
      <c r="AE255" s="26"/>
      <c r="AF255" s="28"/>
    </row>
    <row r="256" spans="1:32" ht="13.5" customHeight="1" x14ac:dyDescent="0.25">
      <c r="A256" s="14">
        <v>45690</v>
      </c>
      <c r="B256" s="14" t="s">
        <v>47</v>
      </c>
      <c r="C256" s="15">
        <v>6</v>
      </c>
      <c r="D256" s="16"/>
      <c r="E256" s="16"/>
      <c r="F256" s="17"/>
      <c r="G256" s="21"/>
      <c r="H256" s="21"/>
      <c r="I256" s="4">
        <v>0</v>
      </c>
      <c r="J256" s="4">
        <v>0</v>
      </c>
      <c r="K256" s="4"/>
      <c r="L256" s="16"/>
      <c r="M256" s="4"/>
      <c r="N256" s="4"/>
      <c r="O256" s="4"/>
      <c r="P256" s="4"/>
      <c r="Q256" s="4"/>
      <c r="R256" s="4"/>
      <c r="S256" s="4">
        <v>0</v>
      </c>
      <c r="T256" s="4">
        <v>0</v>
      </c>
      <c r="U256" s="4">
        <v>0</v>
      </c>
      <c r="V256" s="4">
        <v>12</v>
      </c>
      <c r="W256" s="4">
        <v>12</v>
      </c>
      <c r="X256" s="4">
        <v>0</v>
      </c>
      <c r="Y256" s="4"/>
      <c r="Z256" s="4">
        <v>695</v>
      </c>
      <c r="AA256" s="4">
        <v>700</v>
      </c>
      <c r="AB256" s="18"/>
      <c r="AC256" s="18">
        <v>5</v>
      </c>
      <c r="AD256" s="28"/>
      <c r="AE256" s="26"/>
      <c r="AF256" s="28"/>
    </row>
    <row r="257" spans="1:32" ht="13.5" customHeight="1" x14ac:dyDescent="0.25">
      <c r="A257" s="14">
        <v>45690</v>
      </c>
      <c r="B257" s="14" t="s">
        <v>46</v>
      </c>
      <c r="C257" s="15">
        <v>7</v>
      </c>
      <c r="D257" s="16">
        <v>2</v>
      </c>
      <c r="E257" s="16"/>
      <c r="F257" s="17"/>
      <c r="G257" s="21"/>
      <c r="H257" s="21"/>
      <c r="I257" s="4">
        <v>2</v>
      </c>
      <c r="J257" s="4">
        <v>3.3333333333333333E-2</v>
      </c>
      <c r="K257" s="4"/>
      <c r="L257" s="16"/>
      <c r="M257" s="4"/>
      <c r="N257" s="4"/>
      <c r="O257" s="4"/>
      <c r="P257" s="4"/>
      <c r="Q257" s="4"/>
      <c r="R257" s="4"/>
      <c r="S257" s="4">
        <v>0</v>
      </c>
      <c r="T257" s="4">
        <v>0</v>
      </c>
      <c r="U257" s="4">
        <v>3.3333333333333333E-2</v>
      </c>
      <c r="V257" s="4">
        <v>11.966666666666667</v>
      </c>
      <c r="W257" s="4">
        <v>12</v>
      </c>
      <c r="X257" s="4">
        <v>1.8</v>
      </c>
      <c r="Y257" s="4"/>
      <c r="Z257" s="4">
        <v>373.46000000000004</v>
      </c>
      <c r="AA257" s="4">
        <v>400</v>
      </c>
      <c r="AB257" s="18"/>
      <c r="AC257" s="18">
        <v>5</v>
      </c>
      <c r="AD257" s="28"/>
      <c r="AE257" s="26"/>
      <c r="AF257" s="28"/>
    </row>
    <row r="258" spans="1:32" ht="13.5" customHeight="1" x14ac:dyDescent="0.25">
      <c r="A258" s="14">
        <v>45690</v>
      </c>
      <c r="B258" s="14" t="s">
        <v>47</v>
      </c>
      <c r="C258" s="15">
        <v>7</v>
      </c>
      <c r="D258" s="16"/>
      <c r="E258" s="16"/>
      <c r="F258" s="17"/>
      <c r="G258" s="21"/>
      <c r="H258" s="21"/>
      <c r="I258" s="4">
        <v>0</v>
      </c>
      <c r="J258" s="4">
        <v>0</v>
      </c>
      <c r="K258" s="4"/>
      <c r="L258" s="16"/>
      <c r="M258" s="4"/>
      <c r="N258" s="4"/>
      <c r="O258" s="4"/>
      <c r="P258" s="4"/>
      <c r="Q258" s="4"/>
      <c r="R258" s="4"/>
      <c r="S258" s="4">
        <v>0</v>
      </c>
      <c r="T258" s="4">
        <v>0</v>
      </c>
      <c r="U258" s="4">
        <v>0</v>
      </c>
      <c r="V258" s="4">
        <v>12</v>
      </c>
      <c r="W258" s="4">
        <v>12</v>
      </c>
      <c r="X258" s="4">
        <v>0</v>
      </c>
      <c r="Y258" s="4"/>
      <c r="Z258" s="4">
        <v>351.65</v>
      </c>
      <c r="AA258" s="4">
        <v>350</v>
      </c>
      <c r="AB258" s="18"/>
      <c r="AC258" s="18">
        <v>5</v>
      </c>
      <c r="AD258" s="28"/>
      <c r="AE258" s="26"/>
      <c r="AF258" s="28"/>
    </row>
    <row r="259" spans="1:32" ht="13.5" customHeight="1" x14ac:dyDescent="0.25">
      <c r="A259" s="14">
        <v>45691</v>
      </c>
      <c r="B259" s="14" t="s">
        <v>46</v>
      </c>
      <c r="C259" s="15">
        <v>1</v>
      </c>
      <c r="D259" s="16">
        <v>4</v>
      </c>
      <c r="E259" s="16"/>
      <c r="F259" s="17"/>
      <c r="G259" s="21"/>
      <c r="H259" s="21"/>
      <c r="I259" s="4">
        <v>4</v>
      </c>
      <c r="J259" s="4">
        <v>6.6666666666666666E-2</v>
      </c>
      <c r="K259" s="4"/>
      <c r="L259" s="16"/>
      <c r="M259" s="4"/>
      <c r="N259" s="4">
        <v>30</v>
      </c>
      <c r="O259" s="4"/>
      <c r="P259" s="4"/>
      <c r="Q259" s="4">
        <v>60</v>
      </c>
      <c r="R259" s="4"/>
      <c r="S259" s="4">
        <v>90</v>
      </c>
      <c r="T259" s="4">
        <v>1.5</v>
      </c>
      <c r="U259" s="4">
        <v>1.5666666666666667</v>
      </c>
      <c r="V259" s="4">
        <v>10.433333333333334</v>
      </c>
      <c r="W259" s="4">
        <v>12</v>
      </c>
      <c r="X259" s="4">
        <v>20</v>
      </c>
      <c r="Y259" s="4">
        <v>1930</v>
      </c>
      <c r="Z259" s="4">
        <v>198.465</v>
      </c>
      <c r="AA259" s="4">
        <v>200</v>
      </c>
      <c r="AB259" s="18">
        <v>372</v>
      </c>
      <c r="AC259" s="18">
        <v>6</v>
      </c>
      <c r="AD259" s="28"/>
      <c r="AE259" s="26"/>
      <c r="AF259" s="28"/>
    </row>
    <row r="260" spans="1:32" ht="13.5" customHeight="1" x14ac:dyDescent="0.25">
      <c r="A260" s="14">
        <v>45691</v>
      </c>
      <c r="B260" s="14" t="s">
        <v>47</v>
      </c>
      <c r="C260" s="15">
        <v>1</v>
      </c>
      <c r="D260" s="16"/>
      <c r="E260" s="16"/>
      <c r="F260" s="17"/>
      <c r="G260" s="21"/>
      <c r="H260" s="21"/>
      <c r="I260" s="4">
        <v>0</v>
      </c>
      <c r="J260" s="4">
        <v>0</v>
      </c>
      <c r="K260" s="4"/>
      <c r="L260" s="16"/>
      <c r="M260" s="4"/>
      <c r="N260" s="4"/>
      <c r="O260" s="4"/>
      <c r="P260" s="4"/>
      <c r="Q260" s="4"/>
      <c r="R260" s="4"/>
      <c r="S260" s="4">
        <v>0</v>
      </c>
      <c r="T260" s="4">
        <v>0</v>
      </c>
      <c r="U260" s="4">
        <v>0</v>
      </c>
      <c r="V260" s="4">
        <v>12</v>
      </c>
      <c r="W260" s="4">
        <v>12</v>
      </c>
      <c r="X260" s="4">
        <v>0</v>
      </c>
      <c r="Y260" s="4"/>
      <c r="Z260" s="4">
        <v>207.7</v>
      </c>
      <c r="AA260" s="4">
        <v>200</v>
      </c>
      <c r="AB260" s="18"/>
      <c r="AC260" s="18">
        <v>6</v>
      </c>
      <c r="AD260" s="28"/>
      <c r="AE260" s="26"/>
      <c r="AF260" s="28"/>
    </row>
    <row r="261" spans="1:32" ht="13.5" customHeight="1" x14ac:dyDescent="0.25">
      <c r="A261" s="14">
        <v>45691</v>
      </c>
      <c r="B261" s="14" t="s">
        <v>46</v>
      </c>
      <c r="C261" s="15">
        <v>3</v>
      </c>
      <c r="D261" s="16"/>
      <c r="E261" s="16">
        <v>30</v>
      </c>
      <c r="F261" s="17"/>
      <c r="G261" s="21"/>
      <c r="H261" s="21"/>
      <c r="I261" s="4">
        <v>30</v>
      </c>
      <c r="J261" s="4">
        <v>0.5</v>
      </c>
      <c r="K261" s="4"/>
      <c r="L261" s="16"/>
      <c r="M261" s="4"/>
      <c r="N261" s="4"/>
      <c r="O261" s="4"/>
      <c r="P261" s="4"/>
      <c r="Q261" s="4"/>
      <c r="R261" s="4"/>
      <c r="S261" s="4">
        <v>0</v>
      </c>
      <c r="T261" s="4">
        <v>0</v>
      </c>
      <c r="U261" s="4">
        <v>0.5</v>
      </c>
      <c r="V261" s="4">
        <v>11.5</v>
      </c>
      <c r="W261" s="4">
        <v>12</v>
      </c>
      <c r="X261" s="4">
        <v>0</v>
      </c>
      <c r="Y261" s="4"/>
      <c r="Z261" s="4">
        <v>296.19999999999993</v>
      </c>
      <c r="AA261" s="4">
        <v>300</v>
      </c>
      <c r="AB261" s="18"/>
      <c r="AC261" s="18">
        <v>6</v>
      </c>
      <c r="AD261" s="28"/>
      <c r="AE261" s="26"/>
      <c r="AF261" s="28"/>
    </row>
    <row r="262" spans="1:32" ht="13.5" customHeight="1" x14ac:dyDescent="0.25">
      <c r="A262" s="14">
        <v>45691</v>
      </c>
      <c r="B262" s="14" t="s">
        <v>47</v>
      </c>
      <c r="C262" s="15">
        <v>3</v>
      </c>
      <c r="D262" s="16"/>
      <c r="E262" s="16"/>
      <c r="F262" s="17"/>
      <c r="G262" s="21"/>
      <c r="H262" s="21"/>
      <c r="I262" s="4">
        <v>0</v>
      </c>
      <c r="J262" s="4">
        <v>0</v>
      </c>
      <c r="K262" s="4"/>
      <c r="L262" s="16"/>
      <c r="M262" s="4"/>
      <c r="N262" s="4"/>
      <c r="O262" s="4"/>
      <c r="P262" s="4"/>
      <c r="Q262" s="4"/>
      <c r="R262" s="4"/>
      <c r="S262" s="4">
        <v>0</v>
      </c>
      <c r="T262" s="4">
        <v>0</v>
      </c>
      <c r="U262" s="4">
        <v>0</v>
      </c>
      <c r="V262" s="4">
        <v>12</v>
      </c>
      <c r="W262" s="4">
        <v>12</v>
      </c>
      <c r="X262" s="4">
        <v>0</v>
      </c>
      <c r="Y262" s="4"/>
      <c r="Z262" s="4">
        <v>636.69999999999993</v>
      </c>
      <c r="AA262" s="4">
        <v>650</v>
      </c>
      <c r="AB262" s="18"/>
      <c r="AC262" s="18">
        <v>6</v>
      </c>
      <c r="AD262" s="28"/>
      <c r="AE262" s="26"/>
      <c r="AF262" s="28"/>
    </row>
    <row r="263" spans="1:32" ht="13.5" customHeight="1" x14ac:dyDescent="0.25">
      <c r="A263" s="14">
        <v>45691</v>
      </c>
      <c r="B263" s="14" t="s">
        <v>46</v>
      </c>
      <c r="C263" s="15">
        <v>6</v>
      </c>
      <c r="D263" s="16">
        <v>10</v>
      </c>
      <c r="E263" s="16"/>
      <c r="F263" s="17"/>
      <c r="G263" s="21"/>
      <c r="H263" s="21"/>
      <c r="I263" s="4">
        <v>10</v>
      </c>
      <c r="J263" s="4">
        <v>0.16666666666666666</v>
      </c>
      <c r="K263" s="4">
        <v>25</v>
      </c>
      <c r="L263" s="16"/>
      <c r="M263" s="4"/>
      <c r="N263" s="4"/>
      <c r="O263" s="4"/>
      <c r="P263" s="4"/>
      <c r="Q263" s="4"/>
      <c r="R263" s="4"/>
      <c r="S263" s="4">
        <v>25</v>
      </c>
      <c r="T263" s="4">
        <v>0.41666666666666669</v>
      </c>
      <c r="U263" s="4">
        <v>0.58333333333333337</v>
      </c>
      <c r="V263" s="4">
        <v>11.416666666666666</v>
      </c>
      <c r="W263" s="4">
        <v>12</v>
      </c>
      <c r="X263" s="4">
        <v>0</v>
      </c>
      <c r="Y263" s="4"/>
      <c r="Z263" s="4">
        <v>592.4</v>
      </c>
      <c r="AA263" s="4">
        <v>600</v>
      </c>
      <c r="AB263" s="18"/>
      <c r="AC263" s="18">
        <v>6</v>
      </c>
      <c r="AD263" s="28"/>
      <c r="AE263" s="26"/>
      <c r="AF263" s="28"/>
    </row>
    <row r="264" spans="1:32" ht="13.5" customHeight="1" x14ac:dyDescent="0.25">
      <c r="A264" s="14">
        <v>45691</v>
      </c>
      <c r="B264" s="14" t="s">
        <v>47</v>
      </c>
      <c r="C264" s="15">
        <v>6</v>
      </c>
      <c r="D264" s="16"/>
      <c r="E264" s="16"/>
      <c r="F264" s="17"/>
      <c r="G264" s="21"/>
      <c r="H264" s="21"/>
      <c r="I264" s="4">
        <v>0</v>
      </c>
      <c r="J264" s="4">
        <v>0</v>
      </c>
      <c r="K264" s="4"/>
      <c r="L264" s="16"/>
      <c r="M264" s="4"/>
      <c r="N264" s="4">
        <v>15</v>
      </c>
      <c r="O264" s="4"/>
      <c r="P264" s="4"/>
      <c r="Q264" s="4"/>
      <c r="R264" s="4"/>
      <c r="S264" s="4">
        <v>15</v>
      </c>
      <c r="T264" s="4">
        <v>0.25</v>
      </c>
      <c r="U264" s="4">
        <v>0.25</v>
      </c>
      <c r="V264" s="4">
        <v>11.75</v>
      </c>
      <c r="W264" s="4">
        <v>12</v>
      </c>
      <c r="X264" s="4">
        <v>0</v>
      </c>
      <c r="Y264" s="4"/>
      <c r="Z264" s="4">
        <v>673.2</v>
      </c>
      <c r="AA264" s="4">
        <v>650</v>
      </c>
      <c r="AB264" s="18"/>
      <c r="AC264" s="18">
        <v>6</v>
      </c>
      <c r="AD264" s="28"/>
      <c r="AE264" s="26"/>
      <c r="AF264" s="28"/>
    </row>
    <row r="265" spans="1:32" ht="13.5" customHeight="1" x14ac:dyDescent="0.25">
      <c r="A265" s="14">
        <v>45691</v>
      </c>
      <c r="B265" s="14" t="s">
        <v>46</v>
      </c>
      <c r="C265" s="15">
        <v>7</v>
      </c>
      <c r="D265" s="16">
        <v>4</v>
      </c>
      <c r="E265" s="16"/>
      <c r="F265" s="17"/>
      <c r="G265" s="21"/>
      <c r="H265" s="21"/>
      <c r="I265" s="4">
        <v>4</v>
      </c>
      <c r="J265" s="4">
        <v>6.6666666666666666E-2</v>
      </c>
      <c r="K265" s="4"/>
      <c r="L265" s="16"/>
      <c r="M265" s="4"/>
      <c r="N265" s="4"/>
      <c r="O265" s="4"/>
      <c r="P265" s="4">
        <v>30</v>
      </c>
      <c r="Q265" s="4"/>
      <c r="R265" s="4"/>
      <c r="S265" s="4">
        <v>30</v>
      </c>
      <c r="T265" s="4">
        <v>0.5</v>
      </c>
      <c r="U265" s="4">
        <v>0.56666666666666665</v>
      </c>
      <c r="V265" s="4">
        <v>11.433333333333334</v>
      </c>
      <c r="W265" s="4">
        <v>12</v>
      </c>
      <c r="X265" s="4">
        <v>10</v>
      </c>
      <c r="Y265" s="4"/>
      <c r="Z265" s="4">
        <v>399.30000000000007</v>
      </c>
      <c r="AA265" s="4">
        <v>400</v>
      </c>
      <c r="AB265" s="18"/>
      <c r="AC265" s="18">
        <v>6</v>
      </c>
      <c r="AD265" s="28"/>
      <c r="AE265" s="26"/>
      <c r="AF265" s="28"/>
    </row>
    <row r="266" spans="1:32" ht="13.5" customHeight="1" x14ac:dyDescent="0.25">
      <c r="A266" s="14">
        <v>45691</v>
      </c>
      <c r="B266" s="14" t="s">
        <v>47</v>
      </c>
      <c r="C266" s="15">
        <v>7</v>
      </c>
      <c r="D266" s="16">
        <v>2</v>
      </c>
      <c r="E266" s="16"/>
      <c r="F266" s="17"/>
      <c r="G266" s="21"/>
      <c r="H266" s="21"/>
      <c r="I266" s="4">
        <v>2</v>
      </c>
      <c r="J266" s="4">
        <v>3.3333333333333333E-2</v>
      </c>
      <c r="K266" s="4"/>
      <c r="L266" s="16"/>
      <c r="M266" s="4"/>
      <c r="N266" s="4"/>
      <c r="O266" s="4"/>
      <c r="P266" s="4"/>
      <c r="Q266" s="4"/>
      <c r="R266" s="4"/>
      <c r="S266" s="4">
        <v>0</v>
      </c>
      <c r="T266" s="4">
        <v>0</v>
      </c>
      <c r="U266" s="4">
        <v>3.3333333333333333E-2</v>
      </c>
      <c r="V266" s="4">
        <v>11.966666666666667</v>
      </c>
      <c r="W266" s="4">
        <v>12</v>
      </c>
      <c r="X266" s="4">
        <v>0</v>
      </c>
      <c r="Y266" s="4"/>
      <c r="Z266" s="4">
        <v>308.73</v>
      </c>
      <c r="AA266" s="4">
        <v>300</v>
      </c>
      <c r="AB266" s="18"/>
      <c r="AC266" s="18">
        <v>6</v>
      </c>
      <c r="AD266" s="28"/>
      <c r="AE266" s="26"/>
      <c r="AF266" s="28"/>
    </row>
    <row r="267" spans="1:32" ht="13.5" customHeight="1" x14ac:dyDescent="0.25">
      <c r="A267" s="14">
        <v>45692</v>
      </c>
      <c r="B267" s="14" t="s">
        <v>46</v>
      </c>
      <c r="C267" s="15">
        <v>1</v>
      </c>
      <c r="D267" s="16">
        <v>2</v>
      </c>
      <c r="E267" s="16"/>
      <c r="F267" s="17"/>
      <c r="G267" s="21"/>
      <c r="H267" s="21"/>
      <c r="I267" s="4">
        <v>2</v>
      </c>
      <c r="J267" s="4">
        <v>3.3333333333333333E-2</v>
      </c>
      <c r="K267" s="4"/>
      <c r="L267" s="16"/>
      <c r="M267" s="4"/>
      <c r="N267" s="4"/>
      <c r="O267" s="4"/>
      <c r="P267" s="4"/>
      <c r="Q267" s="4"/>
      <c r="R267" s="4"/>
      <c r="S267" s="4">
        <v>0</v>
      </c>
      <c r="T267" s="4">
        <v>0</v>
      </c>
      <c r="U267" s="4">
        <v>3.3333333333333333E-2</v>
      </c>
      <c r="V267" s="4">
        <v>11.966666666666667</v>
      </c>
      <c r="W267" s="4">
        <v>12</v>
      </c>
      <c r="X267" s="4">
        <v>9</v>
      </c>
      <c r="Y267" s="4">
        <v>1816</v>
      </c>
      <c r="Z267" s="4">
        <v>165.9</v>
      </c>
      <c r="AA267" s="4">
        <v>150</v>
      </c>
      <c r="AB267" s="18">
        <v>372</v>
      </c>
      <c r="AC267" s="18">
        <v>6</v>
      </c>
      <c r="AD267" s="28"/>
      <c r="AE267" s="26"/>
      <c r="AF267" s="28"/>
    </row>
    <row r="268" spans="1:32" ht="13.5" customHeight="1" x14ac:dyDescent="0.25">
      <c r="A268" s="14">
        <v>45692</v>
      </c>
      <c r="B268" s="14" t="s">
        <v>47</v>
      </c>
      <c r="C268" s="15">
        <v>1</v>
      </c>
      <c r="D268" s="16"/>
      <c r="E268" s="16"/>
      <c r="F268" s="17"/>
      <c r="G268" s="21"/>
      <c r="H268" s="21"/>
      <c r="I268" s="4">
        <v>0</v>
      </c>
      <c r="J268" s="4">
        <v>0</v>
      </c>
      <c r="K268" s="4"/>
      <c r="L268" s="16"/>
      <c r="M268" s="4"/>
      <c r="N268" s="4"/>
      <c r="O268" s="4"/>
      <c r="P268" s="4"/>
      <c r="Q268" s="4"/>
      <c r="R268" s="4"/>
      <c r="S268" s="4">
        <v>0</v>
      </c>
      <c r="T268" s="4">
        <v>0</v>
      </c>
      <c r="U268" s="4">
        <v>0</v>
      </c>
      <c r="V268" s="4">
        <v>12</v>
      </c>
      <c r="W268" s="4">
        <v>12</v>
      </c>
      <c r="X268" s="4">
        <v>0</v>
      </c>
      <c r="Y268" s="4"/>
      <c r="Z268" s="4">
        <v>196.39999999999998</v>
      </c>
      <c r="AA268" s="4">
        <v>200</v>
      </c>
      <c r="AB268" s="18"/>
      <c r="AC268" s="18">
        <v>6</v>
      </c>
      <c r="AD268" s="28"/>
      <c r="AE268" s="26"/>
      <c r="AF268" s="28"/>
    </row>
    <row r="269" spans="1:32" ht="13.5" customHeight="1" x14ac:dyDescent="0.25">
      <c r="A269" s="14">
        <v>45692</v>
      </c>
      <c r="B269" s="14" t="s">
        <v>46</v>
      </c>
      <c r="C269" s="15">
        <v>3</v>
      </c>
      <c r="D269" s="16"/>
      <c r="E269" s="16"/>
      <c r="F269" s="17"/>
      <c r="G269" s="21"/>
      <c r="H269" s="21"/>
      <c r="I269" s="4">
        <v>0</v>
      </c>
      <c r="J269" s="4">
        <v>0</v>
      </c>
      <c r="K269" s="4"/>
      <c r="L269" s="16"/>
      <c r="M269" s="4"/>
      <c r="N269" s="4"/>
      <c r="O269" s="4"/>
      <c r="P269" s="4"/>
      <c r="Q269" s="4"/>
      <c r="R269" s="4"/>
      <c r="S269" s="4">
        <v>0</v>
      </c>
      <c r="T269" s="4">
        <v>0</v>
      </c>
      <c r="U269" s="4">
        <v>0</v>
      </c>
      <c r="V269" s="4">
        <v>12</v>
      </c>
      <c r="W269" s="4">
        <v>12</v>
      </c>
      <c r="X269" s="4">
        <v>0</v>
      </c>
      <c r="Y269" s="4"/>
      <c r="Z269" s="4">
        <v>424.7</v>
      </c>
      <c r="AA269" s="4">
        <v>450</v>
      </c>
      <c r="AB269" s="18"/>
      <c r="AC269" s="18">
        <v>6</v>
      </c>
      <c r="AD269" s="28"/>
      <c r="AE269" s="26"/>
      <c r="AF269" s="28"/>
    </row>
    <row r="270" spans="1:32" ht="13.5" customHeight="1" x14ac:dyDescent="0.25">
      <c r="A270" s="14">
        <v>45692</v>
      </c>
      <c r="B270" s="14" t="s">
        <v>47</v>
      </c>
      <c r="C270" s="15">
        <v>3</v>
      </c>
      <c r="D270" s="16"/>
      <c r="E270" s="16"/>
      <c r="F270" s="17"/>
      <c r="G270" s="21"/>
      <c r="H270" s="21"/>
      <c r="I270" s="4">
        <v>0</v>
      </c>
      <c r="J270" s="4">
        <v>0</v>
      </c>
      <c r="K270" s="4"/>
      <c r="L270" s="16"/>
      <c r="M270" s="4"/>
      <c r="N270" s="4"/>
      <c r="O270" s="4"/>
      <c r="P270" s="4"/>
      <c r="Q270" s="4"/>
      <c r="R270" s="4"/>
      <c r="S270" s="4">
        <v>0</v>
      </c>
      <c r="T270" s="4">
        <v>0</v>
      </c>
      <c r="U270" s="4">
        <v>0</v>
      </c>
      <c r="V270" s="4">
        <v>12</v>
      </c>
      <c r="W270" s="4">
        <v>12</v>
      </c>
      <c r="X270" s="4">
        <v>0</v>
      </c>
      <c r="Y270" s="4"/>
      <c r="Z270" s="4">
        <v>556.5</v>
      </c>
      <c r="AA270" s="4">
        <v>550</v>
      </c>
      <c r="AB270" s="18"/>
      <c r="AC270" s="18">
        <v>6</v>
      </c>
      <c r="AD270" s="28"/>
      <c r="AE270" s="26"/>
      <c r="AF270" s="28"/>
    </row>
    <row r="271" spans="1:32" ht="13.5" customHeight="1" x14ac:dyDescent="0.25">
      <c r="A271" s="14">
        <v>45692</v>
      </c>
      <c r="B271" s="14" t="s">
        <v>46</v>
      </c>
      <c r="C271" s="15">
        <v>6</v>
      </c>
      <c r="D271" s="16">
        <v>7</v>
      </c>
      <c r="E271" s="16"/>
      <c r="F271" s="17"/>
      <c r="G271" s="21"/>
      <c r="H271" s="21"/>
      <c r="I271" s="4">
        <v>7</v>
      </c>
      <c r="J271" s="4">
        <v>0.11666666666666667</v>
      </c>
      <c r="K271" s="4"/>
      <c r="L271" s="16"/>
      <c r="M271" s="4"/>
      <c r="N271" s="4">
        <v>10</v>
      </c>
      <c r="O271" s="4"/>
      <c r="P271" s="4"/>
      <c r="Q271" s="4"/>
      <c r="R271" s="4"/>
      <c r="S271" s="4">
        <v>10</v>
      </c>
      <c r="T271" s="4">
        <v>0.16666666666666666</v>
      </c>
      <c r="U271" s="4">
        <v>0.28333333333333333</v>
      </c>
      <c r="V271" s="4">
        <v>11.716666666666667</v>
      </c>
      <c r="W271" s="4">
        <v>12</v>
      </c>
      <c r="X271" s="4">
        <v>13.4</v>
      </c>
      <c r="Y271" s="4"/>
      <c r="Z271" s="4">
        <v>631</v>
      </c>
      <c r="AA271" s="4">
        <v>650</v>
      </c>
      <c r="AB271" s="18"/>
      <c r="AC271" s="18">
        <v>6</v>
      </c>
      <c r="AD271" s="28"/>
      <c r="AE271" s="26"/>
      <c r="AF271" s="28"/>
    </row>
    <row r="272" spans="1:32" ht="13.5" customHeight="1" x14ac:dyDescent="0.25">
      <c r="A272" s="14">
        <v>45692</v>
      </c>
      <c r="B272" s="14" t="s">
        <v>47</v>
      </c>
      <c r="C272" s="15">
        <v>6</v>
      </c>
      <c r="D272" s="16"/>
      <c r="E272" s="16"/>
      <c r="F272" s="17"/>
      <c r="G272" s="21"/>
      <c r="H272" s="21"/>
      <c r="I272" s="4">
        <v>0</v>
      </c>
      <c r="J272" s="4">
        <v>0</v>
      </c>
      <c r="K272" s="4"/>
      <c r="L272" s="16"/>
      <c r="M272" s="4"/>
      <c r="N272" s="4"/>
      <c r="O272" s="4"/>
      <c r="P272" s="4"/>
      <c r="Q272" s="4"/>
      <c r="R272" s="4"/>
      <c r="S272" s="4">
        <v>0</v>
      </c>
      <c r="T272" s="4">
        <v>0</v>
      </c>
      <c r="U272" s="4">
        <v>0</v>
      </c>
      <c r="V272" s="4">
        <v>12</v>
      </c>
      <c r="W272" s="4">
        <v>12</v>
      </c>
      <c r="X272" s="4">
        <v>0</v>
      </c>
      <c r="Y272" s="4"/>
      <c r="Z272" s="4">
        <v>527.1</v>
      </c>
      <c r="AA272" s="4">
        <v>550</v>
      </c>
      <c r="AB272" s="18"/>
      <c r="AC272" s="18">
        <v>6</v>
      </c>
      <c r="AD272" s="28"/>
      <c r="AE272" s="26"/>
      <c r="AF272" s="28"/>
    </row>
    <row r="273" spans="1:32" ht="13.5" customHeight="1" x14ac:dyDescent="0.25">
      <c r="A273" s="14">
        <v>45692</v>
      </c>
      <c r="B273" s="14" t="s">
        <v>46</v>
      </c>
      <c r="C273" s="15">
        <v>7</v>
      </c>
      <c r="D273" s="16"/>
      <c r="E273" s="16"/>
      <c r="F273" s="17"/>
      <c r="G273" s="21"/>
      <c r="H273" s="21"/>
      <c r="I273" s="4">
        <v>0</v>
      </c>
      <c r="J273" s="4">
        <v>0</v>
      </c>
      <c r="K273" s="4"/>
      <c r="L273" s="16"/>
      <c r="M273" s="4"/>
      <c r="N273" s="4"/>
      <c r="O273" s="4"/>
      <c r="P273" s="4">
        <v>360</v>
      </c>
      <c r="Q273" s="4"/>
      <c r="R273" s="4"/>
      <c r="S273" s="4">
        <v>360</v>
      </c>
      <c r="T273" s="4">
        <v>6</v>
      </c>
      <c r="U273" s="4">
        <v>6</v>
      </c>
      <c r="V273" s="4">
        <v>6</v>
      </c>
      <c r="W273" s="4">
        <v>12</v>
      </c>
      <c r="X273" s="4">
        <v>20</v>
      </c>
      <c r="Y273" s="4"/>
      <c r="Z273" s="4">
        <v>222</v>
      </c>
      <c r="AA273" s="4">
        <v>250</v>
      </c>
      <c r="AB273" s="18"/>
      <c r="AC273" s="18">
        <v>6</v>
      </c>
      <c r="AD273" s="28"/>
      <c r="AE273" s="26"/>
      <c r="AF273" s="28"/>
    </row>
    <row r="274" spans="1:32" ht="13.5" customHeight="1" x14ac:dyDescent="0.25">
      <c r="A274" s="14">
        <v>45692</v>
      </c>
      <c r="B274" s="14" t="s">
        <v>47</v>
      </c>
      <c r="C274" s="15">
        <v>7</v>
      </c>
      <c r="D274" s="16"/>
      <c r="E274" s="16"/>
      <c r="F274" s="17"/>
      <c r="G274" s="21"/>
      <c r="H274" s="21"/>
      <c r="I274" s="4">
        <v>0</v>
      </c>
      <c r="J274" s="4">
        <v>0</v>
      </c>
      <c r="K274" s="4"/>
      <c r="L274" s="16"/>
      <c r="M274" s="4"/>
      <c r="N274" s="4"/>
      <c r="O274" s="4"/>
      <c r="P274" s="4"/>
      <c r="Q274" s="4"/>
      <c r="R274" s="4"/>
      <c r="S274" s="4">
        <v>0</v>
      </c>
      <c r="T274" s="4">
        <v>0</v>
      </c>
      <c r="U274" s="4">
        <v>0</v>
      </c>
      <c r="V274" s="4">
        <v>12</v>
      </c>
      <c r="W274" s="4">
        <v>12</v>
      </c>
      <c r="X274" s="4">
        <v>0</v>
      </c>
      <c r="Y274" s="4"/>
      <c r="Z274" s="4">
        <v>460.94</v>
      </c>
      <c r="AA274" s="4">
        <v>500</v>
      </c>
      <c r="AB274" s="18"/>
      <c r="AC274" s="18">
        <v>6</v>
      </c>
      <c r="AD274" s="28"/>
      <c r="AE274" s="26"/>
      <c r="AF274" s="28"/>
    </row>
    <row r="275" spans="1:32" ht="13.5" customHeight="1" x14ac:dyDescent="0.25">
      <c r="A275" s="14">
        <v>45693</v>
      </c>
      <c r="B275" s="14" t="s">
        <v>46</v>
      </c>
      <c r="C275" s="15">
        <v>1</v>
      </c>
      <c r="D275" s="16">
        <v>5</v>
      </c>
      <c r="E275" s="16"/>
      <c r="F275" s="17"/>
      <c r="G275" s="21"/>
      <c r="H275" s="21"/>
      <c r="I275" s="4">
        <v>5</v>
      </c>
      <c r="J275" s="4">
        <v>8.3333333333333329E-2</v>
      </c>
      <c r="K275" s="4"/>
      <c r="L275" s="16"/>
      <c r="M275" s="4"/>
      <c r="N275" s="4"/>
      <c r="O275" s="4"/>
      <c r="P275" s="4"/>
      <c r="Q275" s="4"/>
      <c r="R275" s="4"/>
      <c r="S275" s="4">
        <v>0</v>
      </c>
      <c r="T275" s="4">
        <v>0</v>
      </c>
      <c r="U275" s="4">
        <v>8.3333333333333329E-2</v>
      </c>
      <c r="V275" s="4">
        <v>11.916666666666666</v>
      </c>
      <c r="W275" s="4">
        <v>12</v>
      </c>
      <c r="X275" s="4">
        <v>50</v>
      </c>
      <c r="Y275" s="4">
        <v>2314</v>
      </c>
      <c r="Z275" s="4">
        <v>148.69999999999999</v>
      </c>
      <c r="AA275" s="4">
        <v>150</v>
      </c>
      <c r="AB275" s="18">
        <v>372</v>
      </c>
      <c r="AC275" s="18">
        <v>6</v>
      </c>
      <c r="AD275" s="28"/>
      <c r="AE275" s="26"/>
      <c r="AF275" s="28"/>
    </row>
    <row r="276" spans="1:32" ht="13.5" customHeight="1" x14ac:dyDescent="0.25">
      <c r="A276" s="14">
        <v>45693</v>
      </c>
      <c r="B276" s="14" t="s">
        <v>47</v>
      </c>
      <c r="C276" s="15">
        <v>1</v>
      </c>
      <c r="D276" s="16"/>
      <c r="E276" s="16"/>
      <c r="F276" s="17"/>
      <c r="G276" s="21"/>
      <c r="H276" s="21"/>
      <c r="I276" s="4">
        <v>0</v>
      </c>
      <c r="J276" s="4">
        <v>0</v>
      </c>
      <c r="K276" s="4"/>
      <c r="L276" s="16"/>
      <c r="M276" s="4"/>
      <c r="N276" s="4"/>
      <c r="O276" s="4"/>
      <c r="P276" s="4"/>
      <c r="Q276" s="4"/>
      <c r="R276" s="4"/>
      <c r="S276" s="4">
        <v>0</v>
      </c>
      <c r="T276" s="4">
        <v>0</v>
      </c>
      <c r="U276" s="4">
        <v>0</v>
      </c>
      <c r="V276" s="4">
        <v>12</v>
      </c>
      <c r="W276" s="4">
        <v>12</v>
      </c>
      <c r="X276" s="4">
        <v>50</v>
      </c>
      <c r="Y276" s="4"/>
      <c r="Z276" s="4">
        <v>215.435</v>
      </c>
      <c r="AA276" s="4">
        <v>230</v>
      </c>
      <c r="AB276" s="18"/>
      <c r="AC276" s="18">
        <v>6</v>
      </c>
      <c r="AD276" s="28"/>
      <c r="AE276" s="26"/>
      <c r="AF276" s="28"/>
    </row>
    <row r="277" spans="1:32" ht="13.5" customHeight="1" x14ac:dyDescent="0.25">
      <c r="A277" s="14">
        <v>45693</v>
      </c>
      <c r="B277" s="14" t="s">
        <v>46</v>
      </c>
      <c r="C277" s="15">
        <v>2</v>
      </c>
      <c r="D277" s="16">
        <v>10</v>
      </c>
      <c r="E277" s="16"/>
      <c r="F277" s="17"/>
      <c r="G277" s="21"/>
      <c r="H277" s="21"/>
      <c r="I277" s="4">
        <v>10</v>
      </c>
      <c r="J277" s="4">
        <v>0.16666666666666666</v>
      </c>
      <c r="K277" s="4"/>
      <c r="L277" s="16"/>
      <c r="M277" s="4"/>
      <c r="N277" s="4"/>
      <c r="O277" s="4"/>
      <c r="P277" s="4"/>
      <c r="Q277" s="4"/>
      <c r="R277" s="4"/>
      <c r="S277" s="4">
        <v>0</v>
      </c>
      <c r="T277" s="4">
        <v>0</v>
      </c>
      <c r="U277" s="4">
        <v>0.16666666666666666</v>
      </c>
      <c r="V277" s="4">
        <v>11.833333333333334</v>
      </c>
      <c r="W277" s="4">
        <v>12</v>
      </c>
      <c r="X277" s="4">
        <v>0</v>
      </c>
      <c r="Y277" s="4"/>
      <c r="Z277" s="4">
        <v>104.50000000000001</v>
      </c>
      <c r="AA277" s="4">
        <v>100</v>
      </c>
      <c r="AB277" s="18"/>
      <c r="AC277" s="18">
        <v>6</v>
      </c>
      <c r="AD277" s="28"/>
      <c r="AE277" s="26"/>
      <c r="AF277" s="28"/>
    </row>
    <row r="278" spans="1:32" ht="13.5" customHeight="1" x14ac:dyDescent="0.25">
      <c r="A278" s="14">
        <v>45693</v>
      </c>
      <c r="B278" s="14" t="s">
        <v>47</v>
      </c>
      <c r="C278" s="15">
        <v>2</v>
      </c>
      <c r="D278" s="16">
        <v>2</v>
      </c>
      <c r="E278" s="16"/>
      <c r="F278" s="17"/>
      <c r="G278" s="21"/>
      <c r="H278" s="21"/>
      <c r="I278" s="4">
        <v>2</v>
      </c>
      <c r="J278" s="4">
        <v>3.3333333333333333E-2</v>
      </c>
      <c r="K278" s="4"/>
      <c r="L278" s="16"/>
      <c r="M278" s="4"/>
      <c r="N278" s="4"/>
      <c r="O278" s="4"/>
      <c r="P278" s="4"/>
      <c r="Q278" s="4"/>
      <c r="R278" s="4"/>
      <c r="S278" s="4">
        <v>0</v>
      </c>
      <c r="T278" s="4">
        <v>0</v>
      </c>
      <c r="U278" s="4">
        <v>3.3333333333333333E-2</v>
      </c>
      <c r="V278" s="4">
        <v>11.966666666666667</v>
      </c>
      <c r="W278" s="4">
        <v>12</v>
      </c>
      <c r="X278" s="4">
        <v>0</v>
      </c>
      <c r="Y278" s="4"/>
      <c r="Z278" s="4">
        <v>415.4</v>
      </c>
      <c r="AA278" s="4">
        <v>400</v>
      </c>
      <c r="AB278" s="18"/>
      <c r="AC278" s="18">
        <v>6</v>
      </c>
      <c r="AD278" s="28"/>
      <c r="AE278" s="26"/>
      <c r="AF278" s="28"/>
    </row>
    <row r="279" spans="1:32" ht="13.5" customHeight="1" x14ac:dyDescent="0.25">
      <c r="A279" s="14">
        <v>45693</v>
      </c>
      <c r="B279" s="14" t="s">
        <v>46</v>
      </c>
      <c r="C279" s="15">
        <v>3</v>
      </c>
      <c r="D279" s="16"/>
      <c r="E279" s="16"/>
      <c r="F279" s="17"/>
      <c r="G279" s="21"/>
      <c r="H279" s="21"/>
      <c r="I279" s="4">
        <v>0</v>
      </c>
      <c r="J279" s="4">
        <v>0</v>
      </c>
      <c r="K279" s="4"/>
      <c r="L279" s="16">
        <v>20</v>
      </c>
      <c r="M279" s="4"/>
      <c r="N279" s="4"/>
      <c r="O279" s="4"/>
      <c r="P279" s="4"/>
      <c r="Q279" s="4"/>
      <c r="R279" s="4"/>
      <c r="S279" s="4">
        <v>20</v>
      </c>
      <c r="T279" s="4">
        <v>0.33333333333333331</v>
      </c>
      <c r="U279" s="4">
        <v>0.33333333333333331</v>
      </c>
      <c r="V279" s="4">
        <v>11.666666666666666</v>
      </c>
      <c r="W279" s="4">
        <v>12</v>
      </c>
      <c r="X279" s="4">
        <v>0</v>
      </c>
      <c r="Y279" s="4"/>
      <c r="Z279" s="4">
        <v>537.59999999999991</v>
      </c>
      <c r="AA279" s="4">
        <v>550</v>
      </c>
      <c r="AB279" s="18"/>
      <c r="AC279" s="18">
        <v>6</v>
      </c>
      <c r="AD279" s="28"/>
      <c r="AE279" s="26"/>
      <c r="AF279" s="28"/>
    </row>
    <row r="280" spans="1:32" ht="13.5" customHeight="1" x14ac:dyDescent="0.25">
      <c r="A280" s="14">
        <v>45693</v>
      </c>
      <c r="B280" s="14" t="s">
        <v>47</v>
      </c>
      <c r="C280" s="15">
        <v>3</v>
      </c>
      <c r="D280" s="16"/>
      <c r="E280" s="16"/>
      <c r="F280" s="17"/>
      <c r="G280" s="21"/>
      <c r="H280" s="21"/>
      <c r="I280" s="4">
        <v>0</v>
      </c>
      <c r="J280" s="4">
        <v>0</v>
      </c>
      <c r="K280" s="4"/>
      <c r="L280" s="16"/>
      <c r="M280" s="4"/>
      <c r="N280" s="4"/>
      <c r="O280" s="4"/>
      <c r="P280" s="4"/>
      <c r="Q280" s="4"/>
      <c r="R280" s="4"/>
      <c r="S280" s="4">
        <v>0</v>
      </c>
      <c r="T280" s="4">
        <v>0</v>
      </c>
      <c r="U280" s="4">
        <v>0</v>
      </c>
      <c r="V280" s="4">
        <v>12</v>
      </c>
      <c r="W280" s="4">
        <v>12</v>
      </c>
      <c r="X280" s="4">
        <v>0</v>
      </c>
      <c r="Y280" s="4"/>
      <c r="Z280" s="4">
        <v>507.2</v>
      </c>
      <c r="AA280" s="4">
        <v>520</v>
      </c>
      <c r="AB280" s="18"/>
      <c r="AC280" s="18">
        <v>6</v>
      </c>
      <c r="AD280" s="28"/>
      <c r="AE280" s="26"/>
      <c r="AF280" s="28"/>
    </row>
    <row r="281" spans="1:32" ht="13.5" customHeight="1" x14ac:dyDescent="0.25">
      <c r="A281" s="14">
        <v>45693</v>
      </c>
      <c r="B281" s="14" t="s">
        <v>46</v>
      </c>
      <c r="C281" s="15">
        <v>6</v>
      </c>
      <c r="D281" s="16"/>
      <c r="E281" s="16"/>
      <c r="F281" s="17"/>
      <c r="G281" s="21"/>
      <c r="H281" s="21"/>
      <c r="I281" s="4">
        <v>0</v>
      </c>
      <c r="J281" s="4">
        <v>0</v>
      </c>
      <c r="K281" s="4"/>
      <c r="L281" s="16"/>
      <c r="M281" s="4"/>
      <c r="N281" s="4"/>
      <c r="O281" s="4"/>
      <c r="P281" s="4"/>
      <c r="Q281" s="4">
        <v>75</v>
      </c>
      <c r="R281" s="4"/>
      <c r="S281" s="4">
        <v>75</v>
      </c>
      <c r="T281" s="4">
        <v>1.25</v>
      </c>
      <c r="U281" s="4">
        <v>1.25</v>
      </c>
      <c r="V281" s="4">
        <v>10.75</v>
      </c>
      <c r="W281" s="4">
        <v>12</v>
      </c>
      <c r="X281" s="4">
        <v>0</v>
      </c>
      <c r="Y281" s="4"/>
      <c r="Z281" s="4">
        <v>597.13499999999999</v>
      </c>
      <c r="AA281" s="4">
        <v>600</v>
      </c>
      <c r="AB281" s="18"/>
      <c r="AC281" s="18">
        <v>6</v>
      </c>
      <c r="AD281" s="28"/>
      <c r="AE281" s="26"/>
      <c r="AF281" s="28"/>
    </row>
    <row r="282" spans="1:32" ht="13.5" customHeight="1" x14ac:dyDescent="0.25">
      <c r="A282" s="14">
        <v>45693</v>
      </c>
      <c r="B282" s="14" t="s">
        <v>47</v>
      </c>
      <c r="C282" s="15">
        <v>6</v>
      </c>
      <c r="D282" s="16">
        <v>15</v>
      </c>
      <c r="E282" s="16"/>
      <c r="F282" s="17"/>
      <c r="G282" s="21"/>
      <c r="H282" s="21"/>
      <c r="I282" s="4">
        <v>15</v>
      </c>
      <c r="J282" s="4">
        <v>0.25</v>
      </c>
      <c r="K282" s="4"/>
      <c r="L282" s="16"/>
      <c r="M282" s="4"/>
      <c r="N282" s="4"/>
      <c r="O282" s="4"/>
      <c r="P282" s="4"/>
      <c r="Q282" s="4"/>
      <c r="R282" s="4"/>
      <c r="S282" s="4">
        <v>0</v>
      </c>
      <c r="T282" s="4">
        <v>0</v>
      </c>
      <c r="U282" s="4">
        <v>0.25</v>
      </c>
      <c r="V282" s="4">
        <v>11.75</v>
      </c>
      <c r="W282" s="4">
        <v>12</v>
      </c>
      <c r="X282" s="4">
        <v>0</v>
      </c>
      <c r="Y282" s="4"/>
      <c r="Z282" s="4">
        <v>538.9</v>
      </c>
      <c r="AA282" s="4">
        <v>550</v>
      </c>
      <c r="AB282" s="18"/>
      <c r="AC282" s="18">
        <v>6</v>
      </c>
      <c r="AD282" s="28"/>
      <c r="AE282" s="26"/>
      <c r="AF282" s="28"/>
    </row>
    <row r="283" spans="1:32" ht="13.5" customHeight="1" x14ac:dyDescent="0.25">
      <c r="A283" s="14">
        <v>45693</v>
      </c>
      <c r="B283" s="14" t="s">
        <v>46</v>
      </c>
      <c r="C283" s="15">
        <v>7</v>
      </c>
      <c r="D283" s="16"/>
      <c r="E283" s="16"/>
      <c r="F283" s="17"/>
      <c r="G283" s="21"/>
      <c r="H283" s="21"/>
      <c r="I283" s="4">
        <v>0</v>
      </c>
      <c r="J283" s="4">
        <v>0</v>
      </c>
      <c r="K283" s="4"/>
      <c r="L283" s="16"/>
      <c r="M283" s="4"/>
      <c r="N283" s="4"/>
      <c r="O283" s="4"/>
      <c r="P283" s="4"/>
      <c r="Q283" s="4"/>
      <c r="R283" s="4"/>
      <c r="S283" s="4">
        <v>0</v>
      </c>
      <c r="T283" s="4">
        <v>0</v>
      </c>
      <c r="U283" s="4">
        <v>0</v>
      </c>
      <c r="V283" s="4">
        <v>12</v>
      </c>
      <c r="W283" s="4">
        <v>12</v>
      </c>
      <c r="X283" s="4">
        <v>0</v>
      </c>
      <c r="Y283" s="4"/>
      <c r="Z283" s="4">
        <v>424.5</v>
      </c>
      <c r="AA283" s="4">
        <v>450</v>
      </c>
      <c r="AB283" s="18"/>
      <c r="AC283" s="18">
        <v>6</v>
      </c>
      <c r="AD283" s="28"/>
      <c r="AE283" s="26"/>
      <c r="AF283" s="28"/>
    </row>
    <row r="284" spans="1:32" ht="13.5" customHeight="1" x14ac:dyDescent="0.25">
      <c r="A284" s="14">
        <v>45693</v>
      </c>
      <c r="B284" s="14" t="s">
        <v>47</v>
      </c>
      <c r="C284" s="15">
        <v>7</v>
      </c>
      <c r="D284" s="16"/>
      <c r="E284" s="16"/>
      <c r="F284" s="17"/>
      <c r="G284" s="21"/>
      <c r="H284" s="21"/>
      <c r="I284" s="4">
        <v>0</v>
      </c>
      <c r="J284" s="4">
        <v>0</v>
      </c>
      <c r="K284" s="4"/>
      <c r="L284" s="16"/>
      <c r="M284" s="4"/>
      <c r="N284" s="4"/>
      <c r="O284" s="4"/>
      <c r="P284" s="4"/>
      <c r="Q284" s="4"/>
      <c r="R284" s="4"/>
      <c r="S284" s="4">
        <v>0</v>
      </c>
      <c r="T284" s="4">
        <v>0</v>
      </c>
      <c r="U284" s="4">
        <v>0</v>
      </c>
      <c r="V284" s="4">
        <v>12</v>
      </c>
      <c r="W284" s="4">
        <v>12</v>
      </c>
      <c r="X284" s="4">
        <v>0</v>
      </c>
      <c r="Y284" s="4"/>
      <c r="Z284" s="4">
        <v>655.32000000000005</v>
      </c>
      <c r="AA284" s="4">
        <v>650</v>
      </c>
      <c r="AB284" s="18"/>
      <c r="AC284" s="18">
        <v>6</v>
      </c>
      <c r="AD284" s="28"/>
      <c r="AE284" s="26"/>
      <c r="AF284" s="28"/>
    </row>
    <row r="285" spans="1:32" ht="13.5" customHeight="1" x14ac:dyDescent="0.25">
      <c r="A285" s="14">
        <v>45694</v>
      </c>
      <c r="B285" s="14" t="s">
        <v>46</v>
      </c>
      <c r="C285" s="15">
        <v>1</v>
      </c>
      <c r="D285" s="16">
        <v>7</v>
      </c>
      <c r="E285" s="16"/>
      <c r="F285" s="17"/>
      <c r="G285" s="21"/>
      <c r="H285" s="21"/>
      <c r="I285" s="4">
        <v>7</v>
      </c>
      <c r="J285" s="4">
        <v>0.11666666666666667</v>
      </c>
      <c r="K285" s="4"/>
      <c r="L285" s="16"/>
      <c r="M285" s="4"/>
      <c r="N285" s="4"/>
      <c r="O285" s="4"/>
      <c r="P285" s="4"/>
      <c r="Q285" s="4"/>
      <c r="R285" s="4"/>
      <c r="S285" s="4">
        <v>0</v>
      </c>
      <c r="T285" s="4">
        <v>0</v>
      </c>
      <c r="U285" s="4">
        <v>0.11666666666666667</v>
      </c>
      <c r="V285" s="4">
        <v>11.883333333333333</v>
      </c>
      <c r="W285" s="4">
        <v>12</v>
      </c>
      <c r="X285" s="4">
        <v>28</v>
      </c>
      <c r="Y285" s="4">
        <v>2308</v>
      </c>
      <c r="Z285" s="4">
        <v>240.10000000000002</v>
      </c>
      <c r="AA285" s="4">
        <v>250</v>
      </c>
      <c r="AB285" s="18">
        <v>372</v>
      </c>
      <c r="AC285" s="18">
        <v>6</v>
      </c>
      <c r="AD285" s="28"/>
      <c r="AE285" s="26"/>
      <c r="AF285" s="28"/>
    </row>
    <row r="286" spans="1:32" ht="13.5" customHeight="1" x14ac:dyDescent="0.25">
      <c r="A286" s="14">
        <v>45694</v>
      </c>
      <c r="B286" s="14" t="s">
        <v>47</v>
      </c>
      <c r="C286" s="15">
        <v>1</v>
      </c>
      <c r="D286" s="16">
        <v>3</v>
      </c>
      <c r="E286" s="16"/>
      <c r="F286" s="17"/>
      <c r="G286" s="21"/>
      <c r="H286" s="21"/>
      <c r="I286" s="4">
        <v>3</v>
      </c>
      <c r="J286" s="4">
        <v>0.05</v>
      </c>
      <c r="K286" s="4"/>
      <c r="L286" s="16"/>
      <c r="M286" s="4"/>
      <c r="N286" s="4"/>
      <c r="O286" s="4"/>
      <c r="P286" s="4"/>
      <c r="Q286" s="4"/>
      <c r="R286" s="4"/>
      <c r="S286" s="4">
        <v>0</v>
      </c>
      <c r="T286" s="4">
        <v>0</v>
      </c>
      <c r="U286" s="4">
        <v>0.05</v>
      </c>
      <c r="V286" s="4">
        <v>11.95</v>
      </c>
      <c r="W286" s="4">
        <v>12</v>
      </c>
      <c r="X286" s="4">
        <v>65</v>
      </c>
      <c r="Y286" s="4"/>
      <c r="Z286" s="4">
        <v>201</v>
      </c>
      <c r="AA286" s="4">
        <v>220</v>
      </c>
      <c r="AB286" s="18"/>
      <c r="AC286" s="18">
        <v>6</v>
      </c>
      <c r="AD286" s="28"/>
      <c r="AE286" s="26"/>
      <c r="AF286" s="28"/>
    </row>
    <row r="287" spans="1:32" ht="13.5" customHeight="1" x14ac:dyDescent="0.25">
      <c r="A287" s="14">
        <v>45694</v>
      </c>
      <c r="B287" s="14" t="s">
        <v>46</v>
      </c>
      <c r="C287" s="15">
        <v>2</v>
      </c>
      <c r="D287" s="16">
        <v>5</v>
      </c>
      <c r="E287" s="16"/>
      <c r="F287" s="17"/>
      <c r="G287" s="21"/>
      <c r="H287" s="21"/>
      <c r="I287" s="4">
        <v>5</v>
      </c>
      <c r="J287" s="4">
        <v>8.3333333333333329E-2</v>
      </c>
      <c r="K287" s="4"/>
      <c r="L287" s="16">
        <v>15</v>
      </c>
      <c r="M287" s="4"/>
      <c r="N287" s="4"/>
      <c r="O287" s="4"/>
      <c r="P287" s="4"/>
      <c r="Q287" s="4"/>
      <c r="R287" s="4"/>
      <c r="S287" s="4">
        <v>15</v>
      </c>
      <c r="T287" s="4">
        <v>0.25</v>
      </c>
      <c r="U287" s="4">
        <v>0.33333333333333331</v>
      </c>
      <c r="V287" s="4">
        <v>11.666666666666666</v>
      </c>
      <c r="W287" s="4">
        <v>12</v>
      </c>
      <c r="X287" s="4">
        <v>0</v>
      </c>
      <c r="Y287" s="4"/>
      <c r="Z287" s="4">
        <v>509.1</v>
      </c>
      <c r="AA287" s="4">
        <v>500</v>
      </c>
      <c r="AB287" s="18"/>
      <c r="AC287" s="18">
        <v>6</v>
      </c>
      <c r="AD287" s="28"/>
      <c r="AE287" s="26"/>
      <c r="AF287" s="28"/>
    </row>
    <row r="288" spans="1:32" ht="13.5" customHeight="1" x14ac:dyDescent="0.25">
      <c r="A288" s="14">
        <v>45694</v>
      </c>
      <c r="B288" s="14" t="s">
        <v>47</v>
      </c>
      <c r="C288" s="15">
        <v>2</v>
      </c>
      <c r="D288" s="16">
        <v>2</v>
      </c>
      <c r="E288" s="16"/>
      <c r="F288" s="17"/>
      <c r="G288" s="21"/>
      <c r="H288" s="21"/>
      <c r="I288" s="4">
        <v>2</v>
      </c>
      <c r="J288" s="4">
        <v>3.3333333333333333E-2</v>
      </c>
      <c r="K288" s="4"/>
      <c r="L288" s="16"/>
      <c r="M288" s="4"/>
      <c r="N288" s="4"/>
      <c r="O288" s="4"/>
      <c r="P288" s="4"/>
      <c r="Q288" s="4"/>
      <c r="R288" s="4"/>
      <c r="S288" s="4">
        <v>0</v>
      </c>
      <c r="T288" s="4">
        <v>0</v>
      </c>
      <c r="U288" s="4">
        <v>3.3333333333333333E-2</v>
      </c>
      <c r="V288" s="4">
        <v>11.966666666666667</v>
      </c>
      <c r="W288" s="4">
        <v>12</v>
      </c>
      <c r="X288" s="4">
        <v>0</v>
      </c>
      <c r="Y288" s="4"/>
      <c r="Z288" s="4">
        <v>354.6</v>
      </c>
      <c r="AA288" s="4">
        <v>420</v>
      </c>
      <c r="AB288" s="18"/>
      <c r="AC288" s="18">
        <v>6</v>
      </c>
      <c r="AD288" s="28"/>
      <c r="AE288" s="26"/>
      <c r="AF288" s="28"/>
    </row>
    <row r="289" spans="1:32" ht="13.5" customHeight="1" x14ac:dyDescent="0.25">
      <c r="A289" s="14">
        <v>45694</v>
      </c>
      <c r="B289" s="14" t="s">
        <v>46</v>
      </c>
      <c r="C289" s="15">
        <v>3</v>
      </c>
      <c r="D289" s="16">
        <v>2</v>
      </c>
      <c r="E289" s="16"/>
      <c r="F289" s="17"/>
      <c r="G289" s="21"/>
      <c r="H289" s="21"/>
      <c r="I289" s="4">
        <v>2</v>
      </c>
      <c r="J289" s="4">
        <v>3.3333333333333333E-2</v>
      </c>
      <c r="K289" s="4"/>
      <c r="L289" s="16"/>
      <c r="M289" s="4"/>
      <c r="N289" s="4"/>
      <c r="O289" s="4"/>
      <c r="P289" s="4"/>
      <c r="Q289" s="4"/>
      <c r="R289" s="4"/>
      <c r="S289" s="4">
        <v>0</v>
      </c>
      <c r="T289" s="4">
        <v>0</v>
      </c>
      <c r="U289" s="4">
        <v>3.3333333333333333E-2</v>
      </c>
      <c r="V289" s="4">
        <v>11.966666666666667</v>
      </c>
      <c r="W289" s="4">
        <v>12</v>
      </c>
      <c r="X289" s="4">
        <v>0</v>
      </c>
      <c r="Y289" s="4"/>
      <c r="Z289" s="4">
        <v>393.80000000000007</v>
      </c>
      <c r="AA289" s="4">
        <v>430</v>
      </c>
      <c r="AB289" s="18"/>
      <c r="AC289" s="18">
        <v>6</v>
      </c>
      <c r="AD289" s="28"/>
      <c r="AE289" s="26"/>
      <c r="AF289" s="28"/>
    </row>
    <row r="290" spans="1:32" ht="13.5" customHeight="1" x14ac:dyDescent="0.25">
      <c r="A290" s="14">
        <v>45694</v>
      </c>
      <c r="B290" s="14" t="s">
        <v>47</v>
      </c>
      <c r="C290" s="15">
        <v>3</v>
      </c>
      <c r="D290" s="16"/>
      <c r="E290" s="16"/>
      <c r="F290" s="17"/>
      <c r="G290" s="21"/>
      <c r="H290" s="21"/>
      <c r="I290" s="4">
        <v>0</v>
      </c>
      <c r="J290" s="4">
        <v>0</v>
      </c>
      <c r="K290" s="4"/>
      <c r="L290" s="16"/>
      <c r="M290" s="4"/>
      <c r="N290" s="4"/>
      <c r="O290" s="4"/>
      <c r="P290" s="4"/>
      <c r="Q290" s="4"/>
      <c r="R290" s="4"/>
      <c r="S290" s="4">
        <v>0</v>
      </c>
      <c r="T290" s="4">
        <v>0</v>
      </c>
      <c r="U290" s="4">
        <v>0</v>
      </c>
      <c r="V290" s="4">
        <v>12</v>
      </c>
      <c r="W290" s="4">
        <v>12</v>
      </c>
      <c r="X290" s="4">
        <v>0</v>
      </c>
      <c r="Y290" s="4"/>
      <c r="Z290" s="4">
        <v>388.4</v>
      </c>
      <c r="AA290" s="4">
        <v>420</v>
      </c>
      <c r="AB290" s="18"/>
      <c r="AC290" s="18">
        <v>6</v>
      </c>
      <c r="AD290" s="28"/>
      <c r="AE290" s="26"/>
      <c r="AF290" s="28"/>
    </row>
    <row r="291" spans="1:32" ht="13.5" customHeight="1" x14ac:dyDescent="0.25">
      <c r="A291" s="14">
        <v>45694</v>
      </c>
      <c r="B291" s="14" t="s">
        <v>46</v>
      </c>
      <c r="C291" s="15">
        <v>6</v>
      </c>
      <c r="D291" s="16">
        <v>5</v>
      </c>
      <c r="E291" s="16"/>
      <c r="F291" s="17"/>
      <c r="G291" s="21"/>
      <c r="H291" s="21"/>
      <c r="I291" s="4">
        <v>5</v>
      </c>
      <c r="J291" s="4">
        <v>8.3333333333333329E-2</v>
      </c>
      <c r="K291" s="4"/>
      <c r="L291" s="16"/>
      <c r="M291" s="4"/>
      <c r="N291" s="4"/>
      <c r="O291" s="4"/>
      <c r="P291" s="4"/>
      <c r="Q291" s="4"/>
      <c r="R291" s="4"/>
      <c r="S291" s="4">
        <v>0</v>
      </c>
      <c r="T291" s="4">
        <v>0</v>
      </c>
      <c r="U291" s="4">
        <v>8.3333333333333329E-2</v>
      </c>
      <c r="V291" s="4">
        <v>11.916666666666666</v>
      </c>
      <c r="W291" s="4">
        <v>12</v>
      </c>
      <c r="X291" s="4">
        <v>0</v>
      </c>
      <c r="Y291" s="4"/>
      <c r="Z291" s="4">
        <v>494.80000000000007</v>
      </c>
      <c r="AA291" s="4">
        <v>530</v>
      </c>
      <c r="AB291" s="18"/>
      <c r="AC291" s="18">
        <v>6</v>
      </c>
      <c r="AD291" s="28"/>
      <c r="AE291" s="26"/>
      <c r="AF291" s="28"/>
    </row>
    <row r="292" spans="1:32" ht="13.5" customHeight="1" x14ac:dyDescent="0.25">
      <c r="A292" s="14">
        <v>45694</v>
      </c>
      <c r="B292" s="14" t="s">
        <v>47</v>
      </c>
      <c r="C292" s="15">
        <v>6</v>
      </c>
      <c r="D292" s="16"/>
      <c r="E292" s="16"/>
      <c r="F292" s="17"/>
      <c r="G292" s="21"/>
      <c r="H292" s="21"/>
      <c r="I292" s="4">
        <v>0</v>
      </c>
      <c r="J292" s="4">
        <v>0</v>
      </c>
      <c r="K292" s="4"/>
      <c r="L292" s="16"/>
      <c r="M292" s="4"/>
      <c r="N292" s="4"/>
      <c r="O292" s="4"/>
      <c r="P292" s="4"/>
      <c r="Q292" s="4"/>
      <c r="R292" s="4"/>
      <c r="S292" s="4">
        <v>0</v>
      </c>
      <c r="T292" s="4">
        <v>0</v>
      </c>
      <c r="U292" s="4">
        <v>0</v>
      </c>
      <c r="V292" s="4">
        <v>12</v>
      </c>
      <c r="W292" s="4">
        <v>12</v>
      </c>
      <c r="X292" s="4">
        <v>0</v>
      </c>
      <c r="Y292" s="4"/>
      <c r="Z292" s="4">
        <v>594.40000000000009</v>
      </c>
      <c r="AA292" s="4">
        <v>600</v>
      </c>
      <c r="AB292" s="18"/>
      <c r="AC292" s="18">
        <v>6</v>
      </c>
      <c r="AD292" s="28"/>
      <c r="AE292" s="26"/>
      <c r="AF292" s="28"/>
    </row>
    <row r="293" spans="1:32" ht="13.5" customHeight="1" x14ac:dyDescent="0.25">
      <c r="A293" s="14">
        <v>45694</v>
      </c>
      <c r="B293" s="14" t="s">
        <v>46</v>
      </c>
      <c r="C293" s="15">
        <v>7</v>
      </c>
      <c r="D293" s="16"/>
      <c r="E293" s="16"/>
      <c r="F293" s="17"/>
      <c r="G293" s="21"/>
      <c r="H293" s="21"/>
      <c r="I293" s="4">
        <v>0</v>
      </c>
      <c r="J293" s="4">
        <v>0</v>
      </c>
      <c r="K293" s="4"/>
      <c r="L293" s="16"/>
      <c r="M293" s="4"/>
      <c r="N293" s="4"/>
      <c r="O293" s="4"/>
      <c r="P293" s="4"/>
      <c r="Q293" s="4"/>
      <c r="R293" s="4"/>
      <c r="S293" s="4">
        <v>0</v>
      </c>
      <c r="T293" s="4">
        <v>0</v>
      </c>
      <c r="U293" s="4">
        <v>0</v>
      </c>
      <c r="V293" s="4">
        <v>12</v>
      </c>
      <c r="W293" s="4">
        <v>12</v>
      </c>
      <c r="X293" s="4">
        <v>0</v>
      </c>
      <c r="Y293" s="4"/>
      <c r="Z293" s="4">
        <v>565.49</v>
      </c>
      <c r="AA293" s="4">
        <f>550+30</f>
        <v>580</v>
      </c>
      <c r="AB293" s="18"/>
      <c r="AC293" s="18">
        <v>6</v>
      </c>
      <c r="AD293" s="28"/>
      <c r="AE293" s="26"/>
      <c r="AF293" s="28"/>
    </row>
    <row r="294" spans="1:32" ht="13.5" customHeight="1" x14ac:dyDescent="0.25">
      <c r="A294" s="14">
        <v>45694</v>
      </c>
      <c r="B294" s="14" t="s">
        <v>47</v>
      </c>
      <c r="C294" s="15">
        <v>7</v>
      </c>
      <c r="D294" s="16"/>
      <c r="E294" s="16"/>
      <c r="F294" s="17"/>
      <c r="G294" s="21"/>
      <c r="H294" s="21"/>
      <c r="I294" s="4">
        <v>0</v>
      </c>
      <c r="J294" s="4">
        <v>0</v>
      </c>
      <c r="K294" s="4"/>
      <c r="L294" s="16"/>
      <c r="M294" s="4"/>
      <c r="N294" s="4"/>
      <c r="O294" s="4"/>
      <c r="P294" s="4"/>
      <c r="Q294" s="4"/>
      <c r="R294" s="4"/>
      <c r="S294" s="4">
        <v>0</v>
      </c>
      <c r="T294" s="4">
        <v>0</v>
      </c>
      <c r="U294" s="4">
        <v>0</v>
      </c>
      <c r="V294" s="4">
        <v>12</v>
      </c>
      <c r="W294" s="4">
        <v>12</v>
      </c>
      <c r="X294" s="4">
        <v>0</v>
      </c>
      <c r="Y294" s="4"/>
      <c r="Z294" s="4">
        <v>533.30000000000007</v>
      </c>
      <c r="AA294" s="4">
        <v>550</v>
      </c>
      <c r="AB294" s="18"/>
      <c r="AC294" s="18">
        <v>6</v>
      </c>
      <c r="AD294" s="28"/>
      <c r="AE294" s="26"/>
      <c r="AF294" s="28"/>
    </row>
    <row r="295" spans="1:32" ht="13.5" customHeight="1" x14ac:dyDescent="0.25">
      <c r="A295" s="14">
        <v>45695</v>
      </c>
      <c r="B295" s="14" t="s">
        <v>46</v>
      </c>
      <c r="C295" s="15">
        <v>2</v>
      </c>
      <c r="D295" s="16">
        <v>2</v>
      </c>
      <c r="E295" s="16"/>
      <c r="F295" s="17"/>
      <c r="G295" s="21"/>
      <c r="H295" s="21"/>
      <c r="I295" s="4">
        <v>2</v>
      </c>
      <c r="J295" s="4">
        <v>3.3333333333333333E-2</v>
      </c>
      <c r="K295" s="4"/>
      <c r="L295" s="16"/>
      <c r="M295" s="4"/>
      <c r="N295" s="4"/>
      <c r="O295" s="4"/>
      <c r="P295" s="4"/>
      <c r="Q295" s="4"/>
      <c r="R295" s="4"/>
      <c r="S295" s="4">
        <v>0</v>
      </c>
      <c r="T295" s="4">
        <v>0</v>
      </c>
      <c r="U295" s="4">
        <v>3.3333333333333333E-2</v>
      </c>
      <c r="V295" s="4">
        <v>11.966666666666667</v>
      </c>
      <c r="W295" s="4">
        <v>12</v>
      </c>
      <c r="X295" s="4">
        <v>0</v>
      </c>
      <c r="Y295" s="4">
        <v>2216</v>
      </c>
      <c r="Z295" s="4">
        <v>491</v>
      </c>
      <c r="AA295" s="4">
        <v>500</v>
      </c>
      <c r="AB295" s="18">
        <v>372</v>
      </c>
      <c r="AC295" s="18">
        <v>6</v>
      </c>
      <c r="AD295" s="28"/>
      <c r="AE295" s="26"/>
      <c r="AF295" s="28"/>
    </row>
    <row r="296" spans="1:32" ht="13.5" customHeight="1" x14ac:dyDescent="0.25">
      <c r="A296" s="14">
        <v>45695</v>
      </c>
      <c r="B296" s="14" t="s">
        <v>47</v>
      </c>
      <c r="C296" s="15">
        <v>2</v>
      </c>
      <c r="D296" s="16"/>
      <c r="E296" s="16"/>
      <c r="F296" s="17"/>
      <c r="G296" s="21"/>
      <c r="H296" s="21"/>
      <c r="I296" s="4">
        <v>0</v>
      </c>
      <c r="J296" s="4">
        <v>0</v>
      </c>
      <c r="K296" s="4"/>
      <c r="L296" s="16"/>
      <c r="M296" s="4"/>
      <c r="N296" s="4"/>
      <c r="O296" s="4"/>
      <c r="P296" s="4"/>
      <c r="Q296" s="4"/>
      <c r="R296" s="4"/>
      <c r="S296" s="4">
        <v>0</v>
      </c>
      <c r="T296" s="4">
        <v>0</v>
      </c>
      <c r="U296" s="4">
        <v>0</v>
      </c>
      <c r="V296" s="4">
        <v>12</v>
      </c>
      <c r="W296" s="4">
        <v>12</v>
      </c>
      <c r="X296" s="4">
        <v>2.4</v>
      </c>
      <c r="Y296" s="4"/>
      <c r="Z296" s="4">
        <v>589.6</v>
      </c>
      <c r="AA296" s="4">
        <v>600</v>
      </c>
      <c r="AB296" s="18"/>
      <c r="AC296" s="18">
        <v>6</v>
      </c>
      <c r="AD296" s="28"/>
      <c r="AE296" s="26"/>
      <c r="AF296" s="28"/>
    </row>
    <row r="297" spans="1:32" ht="13.5" customHeight="1" x14ac:dyDescent="0.25">
      <c r="A297" s="14">
        <v>45695</v>
      </c>
      <c r="B297" s="14" t="s">
        <v>46</v>
      </c>
      <c r="C297" s="15">
        <v>3</v>
      </c>
      <c r="D297" s="16">
        <v>8</v>
      </c>
      <c r="E297" s="16"/>
      <c r="F297" s="17"/>
      <c r="G297" s="21"/>
      <c r="H297" s="21"/>
      <c r="I297" s="4">
        <v>8</v>
      </c>
      <c r="J297" s="4">
        <v>0.13333333333333333</v>
      </c>
      <c r="K297" s="4"/>
      <c r="L297" s="16"/>
      <c r="M297" s="4"/>
      <c r="N297" s="4"/>
      <c r="O297" s="4"/>
      <c r="P297" s="4"/>
      <c r="Q297" s="4"/>
      <c r="R297" s="4"/>
      <c r="S297" s="4">
        <v>0</v>
      </c>
      <c r="T297" s="4">
        <v>0</v>
      </c>
      <c r="U297" s="4">
        <v>0.13333333333333333</v>
      </c>
      <c r="V297" s="4">
        <v>11.866666666666667</v>
      </c>
      <c r="W297" s="4">
        <v>12</v>
      </c>
      <c r="X297" s="4">
        <v>0</v>
      </c>
      <c r="Y297" s="4"/>
      <c r="Z297" s="4">
        <v>433.8</v>
      </c>
      <c r="AA297" s="4">
        <v>450</v>
      </c>
      <c r="AB297" s="18"/>
      <c r="AC297" s="18">
        <v>6</v>
      </c>
      <c r="AD297" s="28"/>
      <c r="AE297" s="26"/>
      <c r="AF297" s="28"/>
    </row>
    <row r="298" spans="1:32" ht="13.5" customHeight="1" x14ac:dyDescent="0.25">
      <c r="A298" s="14">
        <v>45695</v>
      </c>
      <c r="B298" s="14" t="s">
        <v>47</v>
      </c>
      <c r="C298" s="15">
        <v>3</v>
      </c>
      <c r="D298" s="16">
        <v>4</v>
      </c>
      <c r="E298" s="16"/>
      <c r="F298" s="17"/>
      <c r="G298" s="21"/>
      <c r="H298" s="21"/>
      <c r="I298" s="4">
        <v>4</v>
      </c>
      <c r="J298" s="4">
        <v>6.6666666666666666E-2</v>
      </c>
      <c r="K298" s="4"/>
      <c r="L298" s="16"/>
      <c r="M298" s="4"/>
      <c r="N298" s="4"/>
      <c r="O298" s="4"/>
      <c r="P298" s="4"/>
      <c r="Q298" s="4"/>
      <c r="R298" s="4"/>
      <c r="S298" s="4">
        <v>0</v>
      </c>
      <c r="T298" s="4">
        <v>0</v>
      </c>
      <c r="U298" s="4">
        <v>6.6666666666666666E-2</v>
      </c>
      <c r="V298" s="4">
        <v>11.933333333333334</v>
      </c>
      <c r="W298" s="4">
        <v>12</v>
      </c>
      <c r="X298" s="4">
        <v>5</v>
      </c>
      <c r="Y298" s="4"/>
      <c r="Z298" s="4">
        <v>420.9</v>
      </c>
      <c r="AA298" s="4">
        <v>400</v>
      </c>
      <c r="AB298" s="18"/>
      <c r="AC298" s="18">
        <v>6</v>
      </c>
      <c r="AD298" s="28"/>
      <c r="AE298" s="26"/>
      <c r="AF298" s="28"/>
    </row>
    <row r="299" spans="1:32" ht="13.5" customHeight="1" x14ac:dyDescent="0.25">
      <c r="A299" s="14">
        <v>45695</v>
      </c>
      <c r="B299" s="14" t="s">
        <v>46</v>
      </c>
      <c r="C299" s="15">
        <v>6</v>
      </c>
      <c r="D299" s="16">
        <v>10</v>
      </c>
      <c r="E299" s="16"/>
      <c r="F299" s="17"/>
      <c r="G299" s="21"/>
      <c r="H299" s="21"/>
      <c r="I299" s="4">
        <v>10</v>
      </c>
      <c r="J299" s="4">
        <v>0.16666666666666666</v>
      </c>
      <c r="K299" s="4"/>
      <c r="L299" s="16"/>
      <c r="M299" s="4"/>
      <c r="N299" s="4">
        <v>10</v>
      </c>
      <c r="O299" s="4"/>
      <c r="P299" s="4"/>
      <c r="Q299" s="4"/>
      <c r="R299" s="4"/>
      <c r="S299" s="4">
        <v>10</v>
      </c>
      <c r="T299" s="4">
        <v>0.16666666666666666</v>
      </c>
      <c r="U299" s="4">
        <v>0.33333333333333331</v>
      </c>
      <c r="V299" s="4">
        <v>11.666666666666666</v>
      </c>
      <c r="W299" s="4">
        <v>12</v>
      </c>
      <c r="X299" s="4">
        <v>40</v>
      </c>
      <c r="Y299" s="4"/>
      <c r="Z299" s="4">
        <v>613.40000000000009</v>
      </c>
      <c r="AA299" s="4">
        <v>600</v>
      </c>
      <c r="AB299" s="18"/>
      <c r="AC299" s="18">
        <v>6</v>
      </c>
      <c r="AD299" s="28"/>
      <c r="AE299" s="26"/>
      <c r="AF299" s="28"/>
    </row>
    <row r="300" spans="1:32" ht="13.5" customHeight="1" x14ac:dyDescent="0.25">
      <c r="A300" s="14">
        <v>45695</v>
      </c>
      <c r="B300" s="14" t="s">
        <v>47</v>
      </c>
      <c r="C300" s="15">
        <v>6</v>
      </c>
      <c r="D300" s="16">
        <v>5</v>
      </c>
      <c r="E300" s="16"/>
      <c r="F300" s="17"/>
      <c r="G300" s="21"/>
      <c r="H300" s="21"/>
      <c r="I300" s="4">
        <v>5</v>
      </c>
      <c r="J300" s="4">
        <v>8.3333333333333329E-2</v>
      </c>
      <c r="K300" s="4"/>
      <c r="L300" s="16"/>
      <c r="M300" s="4"/>
      <c r="N300" s="4"/>
      <c r="O300" s="4"/>
      <c r="P300" s="4"/>
      <c r="Q300" s="4"/>
      <c r="R300" s="4"/>
      <c r="S300" s="4">
        <v>0</v>
      </c>
      <c r="T300" s="4">
        <v>0</v>
      </c>
      <c r="U300" s="4">
        <v>8.3333333333333329E-2</v>
      </c>
      <c r="V300" s="4">
        <v>11.916666666666666</v>
      </c>
      <c r="W300" s="4">
        <v>12</v>
      </c>
      <c r="X300" s="4">
        <v>37</v>
      </c>
      <c r="Y300" s="4"/>
      <c r="Z300" s="4">
        <v>437.2</v>
      </c>
      <c r="AA300" s="4">
        <v>400</v>
      </c>
      <c r="AB300" s="18"/>
      <c r="AC300" s="18">
        <v>6</v>
      </c>
      <c r="AD300" s="28"/>
      <c r="AE300" s="26"/>
      <c r="AF300" s="28"/>
    </row>
    <row r="301" spans="1:32" ht="13.5" customHeight="1" x14ac:dyDescent="0.25">
      <c r="A301" s="14">
        <v>45695</v>
      </c>
      <c r="B301" s="14" t="s">
        <v>46</v>
      </c>
      <c r="C301" s="15">
        <v>7</v>
      </c>
      <c r="D301" s="16"/>
      <c r="E301" s="16"/>
      <c r="F301" s="17"/>
      <c r="G301" s="21"/>
      <c r="H301" s="21"/>
      <c r="I301" s="4">
        <v>0</v>
      </c>
      <c r="J301" s="4">
        <v>0</v>
      </c>
      <c r="K301" s="4"/>
      <c r="L301" s="16"/>
      <c r="M301" s="4"/>
      <c r="N301" s="4"/>
      <c r="O301" s="4"/>
      <c r="P301" s="4"/>
      <c r="Q301" s="4"/>
      <c r="R301" s="4"/>
      <c r="S301" s="4">
        <v>0</v>
      </c>
      <c r="T301" s="4">
        <v>0</v>
      </c>
      <c r="U301" s="4">
        <v>0</v>
      </c>
      <c r="V301" s="4">
        <v>12</v>
      </c>
      <c r="W301" s="4">
        <v>12</v>
      </c>
      <c r="X301" s="4">
        <v>20</v>
      </c>
      <c r="Y301" s="4"/>
      <c r="Z301" s="4">
        <v>566.65000000000009</v>
      </c>
      <c r="AA301" s="4">
        <v>550</v>
      </c>
      <c r="AB301" s="18"/>
      <c r="AC301" s="18">
        <v>6</v>
      </c>
      <c r="AD301" s="28"/>
      <c r="AE301" s="26"/>
      <c r="AF301" s="28"/>
    </row>
    <row r="302" spans="1:32" ht="13.5" customHeight="1" x14ac:dyDescent="0.25">
      <c r="A302" s="14">
        <v>45695</v>
      </c>
      <c r="B302" s="14" t="s">
        <v>47</v>
      </c>
      <c r="C302" s="15">
        <v>7</v>
      </c>
      <c r="D302" s="16"/>
      <c r="E302" s="16"/>
      <c r="F302" s="17"/>
      <c r="G302" s="21"/>
      <c r="H302" s="21"/>
      <c r="I302" s="4">
        <v>0</v>
      </c>
      <c r="J302" s="4">
        <v>0</v>
      </c>
      <c r="K302" s="4"/>
      <c r="L302" s="16"/>
      <c r="M302" s="4"/>
      <c r="N302" s="4"/>
      <c r="O302" s="4"/>
      <c r="P302" s="4"/>
      <c r="Q302" s="4"/>
      <c r="R302" s="4"/>
      <c r="S302" s="4">
        <v>0</v>
      </c>
      <c r="T302" s="4">
        <v>0</v>
      </c>
      <c r="U302" s="4">
        <v>0</v>
      </c>
      <c r="V302" s="4">
        <v>12</v>
      </c>
      <c r="W302" s="4">
        <v>12</v>
      </c>
      <c r="X302" s="4">
        <v>0</v>
      </c>
      <c r="Y302" s="4"/>
      <c r="Z302" s="4">
        <v>496.8</v>
      </c>
      <c r="AA302" s="4">
        <v>500</v>
      </c>
      <c r="AB302" s="18"/>
      <c r="AC302" s="18">
        <v>6</v>
      </c>
      <c r="AD302" s="28"/>
      <c r="AE302" s="26"/>
      <c r="AF302" s="28"/>
    </row>
    <row r="303" spans="1:32" ht="13.5" customHeight="1" x14ac:dyDescent="0.25">
      <c r="A303" s="14">
        <v>45696</v>
      </c>
      <c r="B303" s="14" t="s">
        <v>46</v>
      </c>
      <c r="C303" s="15">
        <v>2</v>
      </c>
      <c r="D303" s="16"/>
      <c r="E303" s="16"/>
      <c r="F303" s="17"/>
      <c r="G303" s="21"/>
      <c r="H303" s="21"/>
      <c r="I303" s="4">
        <v>0</v>
      </c>
      <c r="J303" s="4">
        <v>0</v>
      </c>
      <c r="K303" s="4"/>
      <c r="L303" s="16"/>
      <c r="M303" s="4"/>
      <c r="N303" s="4"/>
      <c r="O303" s="4"/>
      <c r="P303" s="4"/>
      <c r="Q303" s="4"/>
      <c r="R303" s="4"/>
      <c r="S303" s="4">
        <v>0</v>
      </c>
      <c r="T303" s="4">
        <v>0</v>
      </c>
      <c r="U303" s="4">
        <v>0</v>
      </c>
      <c r="V303" s="4">
        <v>12</v>
      </c>
      <c r="W303" s="4">
        <v>12</v>
      </c>
      <c r="X303" s="4">
        <v>23</v>
      </c>
      <c r="Y303" s="4">
        <v>1971</v>
      </c>
      <c r="Z303" s="4">
        <v>529.29999999999995</v>
      </c>
      <c r="AA303" s="4">
        <v>500</v>
      </c>
      <c r="AB303" s="18">
        <v>372</v>
      </c>
      <c r="AC303" s="18">
        <v>6</v>
      </c>
      <c r="AD303" s="28"/>
      <c r="AE303" s="26"/>
      <c r="AF303" s="28"/>
    </row>
    <row r="304" spans="1:32" ht="13.5" customHeight="1" x14ac:dyDescent="0.25">
      <c r="A304" s="14">
        <v>45696</v>
      </c>
      <c r="B304" s="14" t="s">
        <v>47</v>
      </c>
      <c r="C304" s="15">
        <v>2</v>
      </c>
      <c r="D304" s="16"/>
      <c r="E304" s="16"/>
      <c r="F304" s="17"/>
      <c r="G304" s="21"/>
      <c r="H304" s="21"/>
      <c r="I304" s="4">
        <v>0</v>
      </c>
      <c r="J304" s="4">
        <v>0</v>
      </c>
      <c r="K304" s="4"/>
      <c r="L304" s="16"/>
      <c r="M304" s="4"/>
      <c r="N304" s="4"/>
      <c r="O304" s="4"/>
      <c r="P304" s="4"/>
      <c r="Q304" s="4"/>
      <c r="R304" s="4"/>
      <c r="S304" s="4">
        <v>0</v>
      </c>
      <c r="T304" s="4">
        <v>0</v>
      </c>
      <c r="U304" s="4">
        <v>0</v>
      </c>
      <c r="V304" s="4">
        <v>12</v>
      </c>
      <c r="W304" s="4">
        <v>12</v>
      </c>
      <c r="X304" s="4">
        <v>18</v>
      </c>
      <c r="Y304" s="4"/>
      <c r="Z304" s="4">
        <v>377.29999999999995</v>
      </c>
      <c r="AA304" s="4">
        <v>400</v>
      </c>
      <c r="AB304" s="18"/>
      <c r="AC304" s="18">
        <v>6</v>
      </c>
      <c r="AD304" s="28"/>
      <c r="AE304" s="26"/>
      <c r="AF304" s="28"/>
    </row>
    <row r="305" spans="1:32" ht="13.5" customHeight="1" x14ac:dyDescent="0.25">
      <c r="A305" s="14">
        <v>45696</v>
      </c>
      <c r="B305" s="14" t="s">
        <v>46</v>
      </c>
      <c r="C305" s="15">
        <v>3</v>
      </c>
      <c r="D305" s="16">
        <v>3</v>
      </c>
      <c r="E305" s="16"/>
      <c r="F305" s="17"/>
      <c r="G305" s="21"/>
      <c r="H305" s="21"/>
      <c r="I305" s="4">
        <v>3</v>
      </c>
      <c r="J305" s="4">
        <v>0.05</v>
      </c>
      <c r="K305" s="4"/>
      <c r="L305" s="16"/>
      <c r="M305" s="4"/>
      <c r="N305" s="4"/>
      <c r="O305" s="4"/>
      <c r="P305" s="4"/>
      <c r="Q305" s="4"/>
      <c r="R305" s="4"/>
      <c r="S305" s="4">
        <v>0</v>
      </c>
      <c r="T305" s="4">
        <v>0</v>
      </c>
      <c r="U305" s="4">
        <v>0.05</v>
      </c>
      <c r="V305" s="4">
        <v>11.95</v>
      </c>
      <c r="W305" s="4">
        <v>12</v>
      </c>
      <c r="X305" s="4">
        <v>0</v>
      </c>
      <c r="Y305" s="4"/>
      <c r="Z305" s="4">
        <v>545.40000000000009</v>
      </c>
      <c r="AA305" s="4">
        <v>550</v>
      </c>
      <c r="AB305" s="18"/>
      <c r="AC305" s="18">
        <v>6</v>
      </c>
      <c r="AD305" s="28"/>
      <c r="AE305" s="26"/>
      <c r="AF305" s="28"/>
    </row>
    <row r="306" spans="1:32" ht="13.5" customHeight="1" x14ac:dyDescent="0.25">
      <c r="A306" s="14">
        <v>45696</v>
      </c>
      <c r="B306" s="14" t="s">
        <v>47</v>
      </c>
      <c r="C306" s="15">
        <v>3</v>
      </c>
      <c r="D306" s="16"/>
      <c r="E306" s="16"/>
      <c r="F306" s="17"/>
      <c r="G306" s="21"/>
      <c r="H306" s="21"/>
      <c r="I306" s="4">
        <v>0</v>
      </c>
      <c r="J306" s="4">
        <v>0</v>
      </c>
      <c r="K306" s="4"/>
      <c r="L306" s="16"/>
      <c r="M306" s="4"/>
      <c r="N306" s="4"/>
      <c r="O306" s="4"/>
      <c r="P306" s="4"/>
      <c r="Q306" s="4"/>
      <c r="R306" s="4"/>
      <c r="S306" s="4">
        <v>0</v>
      </c>
      <c r="T306" s="4">
        <v>0</v>
      </c>
      <c r="U306" s="4">
        <v>0</v>
      </c>
      <c r="V306" s="4">
        <v>12</v>
      </c>
      <c r="W306" s="4">
        <v>12</v>
      </c>
      <c r="X306" s="4">
        <v>0</v>
      </c>
      <c r="Y306" s="4"/>
      <c r="Z306" s="4">
        <v>404.5</v>
      </c>
      <c r="AA306" s="4">
        <v>400</v>
      </c>
      <c r="AB306" s="18"/>
      <c r="AC306" s="18">
        <v>6</v>
      </c>
      <c r="AD306" s="28"/>
      <c r="AE306" s="26"/>
      <c r="AF306" s="28"/>
    </row>
    <row r="307" spans="1:32" ht="13.5" customHeight="1" x14ac:dyDescent="0.25">
      <c r="A307" s="14">
        <v>45696</v>
      </c>
      <c r="B307" s="14" t="s">
        <v>46</v>
      </c>
      <c r="C307" s="15">
        <v>6</v>
      </c>
      <c r="D307" s="16"/>
      <c r="E307" s="16"/>
      <c r="F307" s="17"/>
      <c r="G307" s="21"/>
      <c r="H307" s="21"/>
      <c r="I307" s="4">
        <v>0</v>
      </c>
      <c r="J307" s="4">
        <v>0</v>
      </c>
      <c r="K307" s="4"/>
      <c r="L307" s="16"/>
      <c r="M307" s="4">
        <v>120</v>
      </c>
      <c r="N307" s="4"/>
      <c r="O307" s="4"/>
      <c r="P307" s="4"/>
      <c r="Q307" s="4"/>
      <c r="R307" s="4"/>
      <c r="S307" s="4">
        <v>120</v>
      </c>
      <c r="T307" s="4">
        <v>2</v>
      </c>
      <c r="U307" s="4">
        <v>2</v>
      </c>
      <c r="V307" s="4">
        <v>10</v>
      </c>
      <c r="W307" s="4">
        <v>12</v>
      </c>
      <c r="X307" s="4">
        <v>0</v>
      </c>
      <c r="Y307" s="4"/>
      <c r="Z307" s="4">
        <v>425.20000000000005</v>
      </c>
      <c r="AA307" s="4">
        <v>450</v>
      </c>
      <c r="AB307" s="18"/>
      <c r="AC307" s="18">
        <v>6</v>
      </c>
      <c r="AD307" s="28"/>
      <c r="AE307" s="26"/>
      <c r="AF307" s="28"/>
    </row>
    <row r="308" spans="1:32" ht="13.5" customHeight="1" x14ac:dyDescent="0.25">
      <c r="A308" s="14">
        <v>45696</v>
      </c>
      <c r="B308" s="14" t="s">
        <v>47</v>
      </c>
      <c r="C308" s="15">
        <v>6</v>
      </c>
      <c r="D308" s="16"/>
      <c r="E308" s="16"/>
      <c r="F308" s="17"/>
      <c r="G308" s="21"/>
      <c r="H308" s="21"/>
      <c r="I308" s="4">
        <v>0</v>
      </c>
      <c r="J308" s="4">
        <v>0</v>
      </c>
      <c r="K308" s="4"/>
      <c r="L308" s="16"/>
      <c r="M308" s="4"/>
      <c r="N308" s="4"/>
      <c r="O308" s="4"/>
      <c r="P308" s="4"/>
      <c r="Q308" s="4"/>
      <c r="R308" s="4"/>
      <c r="S308" s="4">
        <v>0</v>
      </c>
      <c r="T308" s="4">
        <v>0</v>
      </c>
      <c r="U308" s="4">
        <v>0</v>
      </c>
      <c r="V308" s="4">
        <v>12</v>
      </c>
      <c r="W308" s="4">
        <v>12</v>
      </c>
      <c r="X308" s="4">
        <v>0</v>
      </c>
      <c r="Y308" s="4"/>
      <c r="Z308" s="4">
        <v>420.20000000000005</v>
      </c>
      <c r="AA308" s="4">
        <v>450</v>
      </c>
      <c r="AB308" s="18"/>
      <c r="AC308" s="18">
        <v>6</v>
      </c>
      <c r="AD308" s="28"/>
      <c r="AE308" s="26"/>
      <c r="AF308" s="28"/>
    </row>
    <row r="309" spans="1:32" ht="13.5" customHeight="1" x14ac:dyDescent="0.25">
      <c r="A309" s="14">
        <v>45696</v>
      </c>
      <c r="B309" s="14" t="s">
        <v>46</v>
      </c>
      <c r="C309" s="15">
        <v>7</v>
      </c>
      <c r="D309" s="16"/>
      <c r="E309" s="16"/>
      <c r="F309" s="17"/>
      <c r="G309" s="21"/>
      <c r="H309" s="21"/>
      <c r="I309" s="4">
        <v>0</v>
      </c>
      <c r="J309" s="4">
        <v>0</v>
      </c>
      <c r="K309" s="4"/>
      <c r="L309" s="16"/>
      <c r="M309" s="4"/>
      <c r="N309" s="4"/>
      <c r="O309" s="4"/>
      <c r="P309" s="4"/>
      <c r="Q309" s="4"/>
      <c r="R309" s="4"/>
      <c r="S309" s="4">
        <v>0</v>
      </c>
      <c r="T309" s="4">
        <v>0</v>
      </c>
      <c r="U309" s="4">
        <v>0</v>
      </c>
      <c r="V309" s="4">
        <v>12</v>
      </c>
      <c r="W309" s="4">
        <v>12</v>
      </c>
      <c r="X309" s="4">
        <v>5</v>
      </c>
      <c r="Y309" s="4"/>
      <c r="Z309" s="4">
        <v>565.75</v>
      </c>
      <c r="AA309" s="4">
        <v>550</v>
      </c>
      <c r="AB309" s="18"/>
      <c r="AC309" s="18">
        <v>6</v>
      </c>
      <c r="AD309" s="28"/>
      <c r="AE309" s="26"/>
      <c r="AF309" s="28"/>
    </row>
    <row r="310" spans="1:32" ht="13.5" customHeight="1" x14ac:dyDescent="0.25">
      <c r="A310" s="14">
        <v>45696</v>
      </c>
      <c r="B310" s="14" t="s">
        <v>47</v>
      </c>
      <c r="C310" s="15">
        <v>7</v>
      </c>
      <c r="D310" s="16"/>
      <c r="E310" s="16"/>
      <c r="F310" s="17"/>
      <c r="G310" s="21"/>
      <c r="H310" s="21"/>
      <c r="I310" s="4">
        <v>0</v>
      </c>
      <c r="J310" s="4">
        <v>0</v>
      </c>
      <c r="K310" s="4"/>
      <c r="L310" s="16"/>
      <c r="M310" s="4"/>
      <c r="N310" s="4"/>
      <c r="O310" s="4"/>
      <c r="P310" s="4"/>
      <c r="Q310" s="4"/>
      <c r="R310" s="4"/>
      <c r="S310" s="4">
        <v>0</v>
      </c>
      <c r="T310" s="4">
        <v>0</v>
      </c>
      <c r="U310" s="4">
        <v>0</v>
      </c>
      <c r="V310" s="4">
        <v>12</v>
      </c>
      <c r="W310" s="4">
        <v>12</v>
      </c>
      <c r="X310" s="4">
        <v>0</v>
      </c>
      <c r="Y310" s="4"/>
      <c r="Z310" s="4">
        <v>472.20000000000005</v>
      </c>
      <c r="AA310" s="4">
        <v>500</v>
      </c>
      <c r="AB310" s="18"/>
      <c r="AC310" s="18">
        <v>6</v>
      </c>
      <c r="AD310" s="28"/>
      <c r="AE310" s="26"/>
      <c r="AF310" s="28"/>
    </row>
    <row r="311" spans="1:32" ht="13.5" customHeight="1" x14ac:dyDescent="0.25">
      <c r="A311" s="14">
        <v>45697</v>
      </c>
      <c r="B311" s="14" t="s">
        <v>46</v>
      </c>
      <c r="C311" s="15">
        <v>2</v>
      </c>
      <c r="D311" s="16"/>
      <c r="E311" s="16"/>
      <c r="F311" s="17"/>
      <c r="G311" s="21"/>
      <c r="H311" s="21"/>
      <c r="I311" s="4">
        <v>0</v>
      </c>
      <c r="J311" s="4">
        <v>0</v>
      </c>
      <c r="K311" s="4"/>
      <c r="L311" s="16"/>
      <c r="M311" s="4"/>
      <c r="N311" s="4"/>
      <c r="O311" s="4"/>
      <c r="P311" s="4"/>
      <c r="Q311" s="4"/>
      <c r="R311" s="4"/>
      <c r="S311" s="4">
        <v>0</v>
      </c>
      <c r="T311" s="4">
        <v>0</v>
      </c>
      <c r="U311" s="4">
        <v>0</v>
      </c>
      <c r="V311" s="4">
        <v>12</v>
      </c>
      <c r="W311" s="4">
        <v>12</v>
      </c>
      <c r="X311" s="4">
        <v>32</v>
      </c>
      <c r="Y311" s="4">
        <v>2081</v>
      </c>
      <c r="Z311" s="4">
        <v>379</v>
      </c>
      <c r="AA311" s="4">
        <v>350</v>
      </c>
      <c r="AB311" s="18">
        <v>372</v>
      </c>
      <c r="AC311" s="18">
        <v>6</v>
      </c>
      <c r="AD311" s="28"/>
      <c r="AE311" s="26"/>
      <c r="AF311" s="28"/>
    </row>
    <row r="312" spans="1:32" ht="13.5" customHeight="1" x14ac:dyDescent="0.25">
      <c r="A312" s="14">
        <v>45697</v>
      </c>
      <c r="B312" s="14" t="s">
        <v>47</v>
      </c>
      <c r="C312" s="15">
        <v>2</v>
      </c>
      <c r="D312" s="16"/>
      <c r="E312" s="16"/>
      <c r="F312" s="17"/>
      <c r="G312" s="21"/>
      <c r="H312" s="21"/>
      <c r="I312" s="4">
        <v>0</v>
      </c>
      <c r="J312" s="4">
        <v>0</v>
      </c>
      <c r="K312" s="4"/>
      <c r="L312" s="16"/>
      <c r="M312" s="4"/>
      <c r="N312" s="4"/>
      <c r="O312" s="4"/>
      <c r="P312" s="4"/>
      <c r="Q312" s="4"/>
      <c r="R312" s="4"/>
      <c r="S312" s="4">
        <v>0</v>
      </c>
      <c r="T312" s="4">
        <v>0</v>
      </c>
      <c r="U312" s="4">
        <v>0</v>
      </c>
      <c r="V312" s="4">
        <v>12</v>
      </c>
      <c r="W312" s="4">
        <v>12</v>
      </c>
      <c r="X312" s="4">
        <v>0</v>
      </c>
      <c r="Y312" s="4"/>
      <c r="Z312" s="4">
        <v>435.6</v>
      </c>
      <c r="AA312" s="4">
        <v>450</v>
      </c>
      <c r="AB312" s="18"/>
      <c r="AC312" s="18">
        <v>6</v>
      </c>
      <c r="AD312" s="28"/>
      <c r="AE312" s="26"/>
      <c r="AF312" s="28"/>
    </row>
    <row r="313" spans="1:32" ht="13.5" customHeight="1" x14ac:dyDescent="0.25">
      <c r="A313" s="14">
        <v>45697</v>
      </c>
      <c r="B313" s="14" t="s">
        <v>46</v>
      </c>
      <c r="C313" s="15">
        <v>3</v>
      </c>
      <c r="D313" s="16"/>
      <c r="E313" s="16"/>
      <c r="F313" s="17"/>
      <c r="G313" s="21"/>
      <c r="H313" s="21"/>
      <c r="I313" s="4">
        <v>0</v>
      </c>
      <c r="J313" s="4">
        <v>0</v>
      </c>
      <c r="K313" s="4"/>
      <c r="L313" s="16"/>
      <c r="M313" s="4"/>
      <c r="N313" s="4"/>
      <c r="O313" s="4"/>
      <c r="P313" s="4"/>
      <c r="Q313" s="4"/>
      <c r="R313" s="4"/>
      <c r="S313" s="4">
        <v>0</v>
      </c>
      <c r="T313" s="4">
        <v>0</v>
      </c>
      <c r="U313" s="4">
        <v>0</v>
      </c>
      <c r="V313" s="4">
        <v>12</v>
      </c>
      <c r="W313" s="4">
        <v>12</v>
      </c>
      <c r="X313" s="4">
        <v>0</v>
      </c>
      <c r="Y313" s="4"/>
      <c r="Z313" s="4">
        <v>340.5</v>
      </c>
      <c r="AA313" s="4">
        <v>350</v>
      </c>
      <c r="AB313" s="18"/>
      <c r="AC313" s="18">
        <v>6</v>
      </c>
      <c r="AD313" s="28"/>
      <c r="AE313" s="26"/>
      <c r="AF313" s="28"/>
    </row>
    <row r="314" spans="1:32" ht="13.5" customHeight="1" x14ac:dyDescent="0.25">
      <c r="A314" s="14">
        <v>45697</v>
      </c>
      <c r="B314" s="14" t="s">
        <v>47</v>
      </c>
      <c r="C314" s="15">
        <v>3</v>
      </c>
      <c r="D314" s="16"/>
      <c r="E314" s="16"/>
      <c r="F314" s="17"/>
      <c r="G314" s="21"/>
      <c r="H314" s="21"/>
      <c r="I314" s="4">
        <v>0</v>
      </c>
      <c r="J314" s="4">
        <v>0</v>
      </c>
      <c r="K314" s="4"/>
      <c r="L314" s="16"/>
      <c r="M314" s="4"/>
      <c r="N314" s="4"/>
      <c r="O314" s="4"/>
      <c r="P314" s="4"/>
      <c r="Q314" s="4"/>
      <c r="R314" s="4"/>
      <c r="S314" s="4">
        <v>0</v>
      </c>
      <c r="T314" s="4">
        <v>0</v>
      </c>
      <c r="U314" s="4">
        <v>0</v>
      </c>
      <c r="V314" s="4">
        <v>12</v>
      </c>
      <c r="W314" s="4">
        <v>12</v>
      </c>
      <c r="X314" s="4">
        <v>0</v>
      </c>
      <c r="Y314" s="4"/>
      <c r="Z314" s="4">
        <v>298.3</v>
      </c>
      <c r="AA314" s="4">
        <v>300</v>
      </c>
      <c r="AB314" s="18"/>
      <c r="AC314" s="18">
        <v>6</v>
      </c>
      <c r="AD314" s="28"/>
      <c r="AE314" s="26"/>
      <c r="AF314" s="28"/>
    </row>
    <row r="315" spans="1:32" ht="13.5" customHeight="1" x14ac:dyDescent="0.25">
      <c r="A315" s="14">
        <v>45697</v>
      </c>
      <c r="B315" s="14" t="s">
        <v>46</v>
      </c>
      <c r="C315" s="15">
        <v>6</v>
      </c>
      <c r="D315" s="16"/>
      <c r="E315" s="16"/>
      <c r="F315" s="17"/>
      <c r="G315" s="21"/>
      <c r="H315" s="21"/>
      <c r="I315" s="4">
        <v>0</v>
      </c>
      <c r="J315" s="4">
        <v>0</v>
      </c>
      <c r="K315" s="4"/>
      <c r="L315" s="16"/>
      <c r="M315" s="4"/>
      <c r="N315" s="4"/>
      <c r="O315" s="4"/>
      <c r="P315" s="4"/>
      <c r="Q315" s="4"/>
      <c r="R315" s="4"/>
      <c r="S315" s="4">
        <v>0</v>
      </c>
      <c r="T315" s="4">
        <v>0</v>
      </c>
      <c r="U315" s="4">
        <v>0</v>
      </c>
      <c r="V315" s="4">
        <v>12</v>
      </c>
      <c r="W315" s="4">
        <v>12</v>
      </c>
      <c r="X315" s="4">
        <v>0</v>
      </c>
      <c r="Y315" s="4"/>
      <c r="Z315" s="4">
        <v>380.6</v>
      </c>
      <c r="AA315" s="4">
        <v>400</v>
      </c>
      <c r="AB315" s="18"/>
      <c r="AC315" s="18">
        <v>6</v>
      </c>
      <c r="AD315" s="28"/>
      <c r="AE315" s="26"/>
      <c r="AF315" s="28"/>
    </row>
    <row r="316" spans="1:32" ht="13.5" customHeight="1" x14ac:dyDescent="0.25">
      <c r="A316" s="14">
        <v>45697</v>
      </c>
      <c r="B316" s="14" t="s">
        <v>47</v>
      </c>
      <c r="C316" s="15">
        <v>6</v>
      </c>
      <c r="D316" s="16"/>
      <c r="E316" s="16"/>
      <c r="F316" s="17"/>
      <c r="G316" s="21"/>
      <c r="H316" s="21"/>
      <c r="I316" s="4">
        <v>0</v>
      </c>
      <c r="J316" s="4">
        <v>0</v>
      </c>
      <c r="K316" s="4"/>
      <c r="L316" s="16"/>
      <c r="M316" s="4"/>
      <c r="N316" s="4"/>
      <c r="O316" s="4"/>
      <c r="P316" s="4"/>
      <c r="Q316" s="4"/>
      <c r="R316" s="4"/>
      <c r="S316" s="4">
        <v>0</v>
      </c>
      <c r="T316" s="4">
        <v>0</v>
      </c>
      <c r="U316" s="4">
        <v>0</v>
      </c>
      <c r="V316" s="4">
        <v>12</v>
      </c>
      <c r="W316" s="4">
        <v>12</v>
      </c>
      <c r="X316" s="4">
        <v>28</v>
      </c>
      <c r="Y316" s="4"/>
      <c r="Z316" s="4">
        <v>590.59999999999991</v>
      </c>
      <c r="AA316" s="4">
        <v>600</v>
      </c>
      <c r="AB316" s="18"/>
      <c r="AC316" s="18">
        <v>6</v>
      </c>
      <c r="AD316" s="28"/>
      <c r="AE316" s="26"/>
      <c r="AF316" s="28"/>
    </row>
    <row r="317" spans="1:32" ht="13.5" customHeight="1" x14ac:dyDescent="0.25">
      <c r="A317" s="14">
        <v>45697</v>
      </c>
      <c r="B317" s="14" t="s">
        <v>46</v>
      </c>
      <c r="C317" s="15">
        <v>7</v>
      </c>
      <c r="D317" s="16"/>
      <c r="E317" s="16"/>
      <c r="F317" s="17"/>
      <c r="G317" s="21"/>
      <c r="H317" s="21"/>
      <c r="I317" s="4">
        <v>0</v>
      </c>
      <c r="J317" s="4">
        <v>0</v>
      </c>
      <c r="K317" s="4"/>
      <c r="L317" s="16"/>
      <c r="M317" s="4"/>
      <c r="N317" s="4"/>
      <c r="O317" s="4"/>
      <c r="P317" s="4"/>
      <c r="Q317" s="4"/>
      <c r="R317" s="4"/>
      <c r="S317" s="4">
        <v>0</v>
      </c>
      <c r="T317" s="4">
        <v>0</v>
      </c>
      <c r="U317" s="4">
        <v>0</v>
      </c>
      <c r="V317" s="4">
        <v>12</v>
      </c>
      <c r="W317" s="4">
        <v>12</v>
      </c>
      <c r="X317" s="4">
        <v>0</v>
      </c>
      <c r="Y317" s="4"/>
      <c r="Z317" s="4">
        <v>579.4</v>
      </c>
      <c r="AA317" s="4">
        <v>600</v>
      </c>
      <c r="AB317" s="18"/>
      <c r="AC317" s="18">
        <v>6</v>
      </c>
      <c r="AD317" s="28"/>
      <c r="AE317" s="26"/>
      <c r="AF317" s="28"/>
    </row>
    <row r="318" spans="1:32" ht="13.5" customHeight="1" x14ac:dyDescent="0.25">
      <c r="A318" s="14">
        <v>45697</v>
      </c>
      <c r="B318" s="14" t="s">
        <v>47</v>
      </c>
      <c r="C318" s="15">
        <v>7</v>
      </c>
      <c r="D318" s="16"/>
      <c r="E318" s="16"/>
      <c r="F318" s="17"/>
      <c r="G318" s="21"/>
      <c r="H318" s="21"/>
      <c r="I318" s="4">
        <v>0</v>
      </c>
      <c r="J318" s="4">
        <v>0</v>
      </c>
      <c r="K318" s="4"/>
      <c r="L318" s="16"/>
      <c r="M318" s="4"/>
      <c r="N318" s="4"/>
      <c r="O318" s="4"/>
      <c r="P318" s="4"/>
      <c r="Q318" s="4"/>
      <c r="R318" s="4"/>
      <c r="S318" s="4">
        <v>0</v>
      </c>
      <c r="T318" s="4">
        <v>0</v>
      </c>
      <c r="U318" s="4">
        <v>0</v>
      </c>
      <c r="V318" s="4">
        <v>12</v>
      </c>
      <c r="W318" s="4">
        <v>12</v>
      </c>
      <c r="X318" s="4">
        <v>0</v>
      </c>
      <c r="Y318" s="4"/>
      <c r="Z318" s="4">
        <v>541.21</v>
      </c>
      <c r="AA318" s="4">
        <v>550</v>
      </c>
      <c r="AB318" s="18"/>
      <c r="AC318" s="18">
        <v>6</v>
      </c>
      <c r="AD318" s="28"/>
      <c r="AE318" s="26"/>
      <c r="AF318" s="28"/>
    </row>
    <row r="319" spans="1:32" ht="13.5" customHeight="1" x14ac:dyDescent="0.25">
      <c r="A319" s="14">
        <v>45698</v>
      </c>
      <c r="B319" s="14" t="s">
        <v>46</v>
      </c>
      <c r="C319" s="15">
        <v>2</v>
      </c>
      <c r="D319" s="16">
        <v>3</v>
      </c>
      <c r="E319" s="16"/>
      <c r="F319" s="17"/>
      <c r="G319" s="21"/>
      <c r="H319" s="21"/>
      <c r="I319" s="4">
        <v>3</v>
      </c>
      <c r="J319" s="4">
        <v>0.05</v>
      </c>
      <c r="K319" s="4"/>
      <c r="L319" s="16"/>
      <c r="M319" s="4"/>
      <c r="N319" s="4"/>
      <c r="O319" s="4"/>
      <c r="P319" s="4"/>
      <c r="Q319" s="4"/>
      <c r="R319" s="4"/>
      <c r="S319" s="4">
        <v>0</v>
      </c>
      <c r="T319" s="4">
        <v>0</v>
      </c>
      <c r="U319" s="4">
        <v>0.05</v>
      </c>
      <c r="V319" s="4">
        <v>11.95</v>
      </c>
      <c r="W319" s="4">
        <v>12</v>
      </c>
      <c r="X319" s="4">
        <v>6</v>
      </c>
      <c r="Y319" s="4">
        <v>2094</v>
      </c>
      <c r="Z319" s="4">
        <v>533.60000000000014</v>
      </c>
      <c r="AA319" s="4">
        <v>550</v>
      </c>
      <c r="AB319" s="18">
        <v>372</v>
      </c>
      <c r="AC319" s="18">
        <v>7</v>
      </c>
      <c r="AD319" s="28"/>
      <c r="AE319" s="26"/>
      <c r="AF319" s="28"/>
    </row>
    <row r="320" spans="1:32" ht="13.5" customHeight="1" x14ac:dyDescent="0.25">
      <c r="A320" s="14">
        <v>45698</v>
      </c>
      <c r="B320" s="14" t="s">
        <v>47</v>
      </c>
      <c r="C320" s="15">
        <v>2</v>
      </c>
      <c r="D320" s="16"/>
      <c r="E320" s="16"/>
      <c r="F320" s="17"/>
      <c r="G320" s="21"/>
      <c r="H320" s="21"/>
      <c r="I320" s="4">
        <v>0</v>
      </c>
      <c r="J320" s="4">
        <v>0</v>
      </c>
      <c r="K320" s="4"/>
      <c r="L320" s="16"/>
      <c r="M320" s="4"/>
      <c r="N320" s="4"/>
      <c r="O320" s="4"/>
      <c r="P320" s="4"/>
      <c r="Q320" s="4"/>
      <c r="R320" s="4"/>
      <c r="S320" s="4">
        <v>0</v>
      </c>
      <c r="T320" s="4">
        <v>0</v>
      </c>
      <c r="U320" s="4">
        <v>0</v>
      </c>
      <c r="V320" s="4">
        <v>12</v>
      </c>
      <c r="W320" s="4">
        <v>12</v>
      </c>
      <c r="X320" s="4">
        <v>8</v>
      </c>
      <c r="Y320" s="4"/>
      <c r="Z320" s="4">
        <v>362.2</v>
      </c>
      <c r="AA320" s="4">
        <v>350</v>
      </c>
      <c r="AB320" s="18"/>
      <c r="AC320" s="18">
        <v>7</v>
      </c>
      <c r="AD320" s="28"/>
      <c r="AE320" s="26"/>
      <c r="AF320" s="28"/>
    </row>
    <row r="321" spans="1:32" ht="13.5" customHeight="1" x14ac:dyDescent="0.25">
      <c r="A321" s="14">
        <v>45698</v>
      </c>
      <c r="B321" s="14" t="s">
        <v>46</v>
      </c>
      <c r="C321" s="15">
        <v>3</v>
      </c>
      <c r="D321" s="16"/>
      <c r="E321" s="16"/>
      <c r="F321" s="17"/>
      <c r="G321" s="21"/>
      <c r="H321" s="21"/>
      <c r="I321" s="4">
        <v>0</v>
      </c>
      <c r="J321" s="4">
        <v>0</v>
      </c>
      <c r="K321" s="4"/>
      <c r="L321" s="16"/>
      <c r="M321" s="4"/>
      <c r="N321" s="4"/>
      <c r="O321" s="4"/>
      <c r="P321" s="4"/>
      <c r="Q321" s="4"/>
      <c r="R321" s="4"/>
      <c r="S321" s="4">
        <v>0</v>
      </c>
      <c r="T321" s="4">
        <v>0</v>
      </c>
      <c r="U321" s="4">
        <v>0</v>
      </c>
      <c r="V321" s="4">
        <v>12</v>
      </c>
      <c r="W321" s="4">
        <v>12</v>
      </c>
      <c r="X321" s="4">
        <v>0</v>
      </c>
      <c r="Y321" s="4"/>
      <c r="Z321" s="4">
        <v>509.9</v>
      </c>
      <c r="AA321" s="4">
        <v>500</v>
      </c>
      <c r="AB321" s="18"/>
      <c r="AC321" s="18">
        <v>7</v>
      </c>
      <c r="AD321" s="28"/>
      <c r="AE321" s="26"/>
      <c r="AF321" s="28"/>
    </row>
    <row r="322" spans="1:32" ht="13.5" customHeight="1" x14ac:dyDescent="0.25">
      <c r="A322" s="14">
        <v>45698</v>
      </c>
      <c r="B322" s="14" t="s">
        <v>47</v>
      </c>
      <c r="C322" s="15">
        <v>3</v>
      </c>
      <c r="D322" s="16"/>
      <c r="E322" s="16"/>
      <c r="F322" s="17"/>
      <c r="G322" s="21"/>
      <c r="H322" s="21"/>
      <c r="I322" s="4">
        <v>0</v>
      </c>
      <c r="J322" s="4">
        <v>0</v>
      </c>
      <c r="K322" s="4"/>
      <c r="L322" s="16"/>
      <c r="M322" s="4"/>
      <c r="N322" s="4"/>
      <c r="O322" s="4"/>
      <c r="P322" s="4"/>
      <c r="Q322" s="4"/>
      <c r="R322" s="4"/>
      <c r="S322" s="4">
        <v>0</v>
      </c>
      <c r="T322" s="4">
        <v>0</v>
      </c>
      <c r="U322" s="4">
        <v>0</v>
      </c>
      <c r="V322" s="4">
        <v>12</v>
      </c>
      <c r="W322" s="4">
        <v>12</v>
      </c>
      <c r="X322" s="4">
        <v>0</v>
      </c>
      <c r="Y322" s="4"/>
      <c r="Z322" s="4">
        <v>535.80000000000007</v>
      </c>
      <c r="AA322" s="4">
        <v>550</v>
      </c>
      <c r="AB322" s="18"/>
      <c r="AC322" s="18">
        <v>7</v>
      </c>
      <c r="AD322" s="28"/>
      <c r="AE322" s="26"/>
      <c r="AF322" s="28"/>
    </row>
    <row r="323" spans="1:32" ht="13.5" customHeight="1" x14ac:dyDescent="0.25">
      <c r="A323" s="14">
        <v>45698</v>
      </c>
      <c r="B323" s="14" t="s">
        <v>46</v>
      </c>
      <c r="C323" s="15">
        <v>6</v>
      </c>
      <c r="D323" s="16"/>
      <c r="E323" s="16"/>
      <c r="F323" s="17"/>
      <c r="G323" s="21"/>
      <c r="H323" s="21"/>
      <c r="I323" s="4">
        <v>0</v>
      </c>
      <c r="J323" s="4">
        <v>0</v>
      </c>
      <c r="K323" s="4"/>
      <c r="L323" s="16"/>
      <c r="M323" s="4"/>
      <c r="N323" s="4"/>
      <c r="O323" s="4"/>
      <c r="P323" s="4"/>
      <c r="Q323" s="4"/>
      <c r="R323" s="4"/>
      <c r="S323" s="4">
        <v>0</v>
      </c>
      <c r="T323" s="4">
        <v>0</v>
      </c>
      <c r="U323" s="4">
        <v>0</v>
      </c>
      <c r="V323" s="4">
        <v>12</v>
      </c>
      <c r="W323" s="4">
        <v>12</v>
      </c>
      <c r="X323" s="4">
        <v>0</v>
      </c>
      <c r="Y323" s="4"/>
      <c r="Z323" s="4">
        <v>629.19999999999993</v>
      </c>
      <c r="AA323" s="4">
        <v>600</v>
      </c>
      <c r="AB323" s="18"/>
      <c r="AC323" s="18">
        <v>7</v>
      </c>
      <c r="AD323" s="28"/>
      <c r="AE323" s="26"/>
      <c r="AF323" s="28"/>
    </row>
    <row r="324" spans="1:32" ht="13.5" customHeight="1" x14ac:dyDescent="0.25">
      <c r="A324" s="14">
        <v>45698</v>
      </c>
      <c r="B324" s="14" t="s">
        <v>47</v>
      </c>
      <c r="C324" s="15">
        <v>6</v>
      </c>
      <c r="D324" s="16"/>
      <c r="E324" s="16"/>
      <c r="F324" s="17"/>
      <c r="G324" s="21"/>
      <c r="H324" s="21"/>
      <c r="I324" s="4">
        <v>0</v>
      </c>
      <c r="J324" s="4">
        <v>0</v>
      </c>
      <c r="K324" s="4"/>
      <c r="L324" s="16"/>
      <c r="M324" s="4"/>
      <c r="N324" s="4"/>
      <c r="O324" s="4"/>
      <c r="P324" s="4"/>
      <c r="Q324" s="4"/>
      <c r="R324" s="4"/>
      <c r="S324" s="4">
        <v>0</v>
      </c>
      <c r="T324" s="4">
        <v>0</v>
      </c>
      <c r="U324" s="4">
        <v>0</v>
      </c>
      <c r="V324" s="4">
        <v>12</v>
      </c>
      <c r="W324" s="4">
        <v>12</v>
      </c>
      <c r="X324" s="4">
        <v>0</v>
      </c>
      <c r="Y324" s="4"/>
      <c r="Z324" s="4">
        <v>598.6</v>
      </c>
      <c r="AA324" s="4">
        <v>600</v>
      </c>
      <c r="AB324" s="18"/>
      <c r="AC324" s="18">
        <v>7</v>
      </c>
      <c r="AD324" s="28"/>
      <c r="AE324" s="26"/>
      <c r="AF324" s="28"/>
    </row>
    <row r="325" spans="1:32" ht="13.5" customHeight="1" x14ac:dyDescent="0.25">
      <c r="A325" s="14">
        <v>45698</v>
      </c>
      <c r="B325" s="14" t="s">
        <v>46</v>
      </c>
      <c r="C325" s="15">
        <v>7</v>
      </c>
      <c r="D325" s="16"/>
      <c r="E325" s="16"/>
      <c r="F325" s="17"/>
      <c r="G325" s="21"/>
      <c r="H325" s="21"/>
      <c r="I325" s="4">
        <v>0</v>
      </c>
      <c r="J325" s="4">
        <v>0</v>
      </c>
      <c r="K325" s="4"/>
      <c r="L325" s="16"/>
      <c r="M325" s="4"/>
      <c r="N325" s="4"/>
      <c r="O325" s="4"/>
      <c r="P325" s="4"/>
      <c r="Q325" s="4"/>
      <c r="R325" s="4"/>
      <c r="S325" s="4">
        <v>0</v>
      </c>
      <c r="T325" s="4">
        <v>0</v>
      </c>
      <c r="U325" s="4">
        <v>0</v>
      </c>
      <c r="V325" s="4">
        <v>12</v>
      </c>
      <c r="W325" s="4">
        <v>12</v>
      </c>
      <c r="X325" s="4">
        <v>0</v>
      </c>
      <c r="Y325" s="4"/>
      <c r="Z325" s="4">
        <v>565.99999999999989</v>
      </c>
      <c r="AA325" s="4">
        <v>550</v>
      </c>
      <c r="AB325" s="18"/>
      <c r="AC325" s="18">
        <v>7</v>
      </c>
      <c r="AD325" s="28"/>
      <c r="AE325" s="26"/>
      <c r="AF325" s="28"/>
    </row>
    <row r="326" spans="1:32" ht="13.5" customHeight="1" x14ac:dyDescent="0.25">
      <c r="A326" s="14">
        <v>45698</v>
      </c>
      <c r="B326" s="14" t="s">
        <v>47</v>
      </c>
      <c r="C326" s="15">
        <v>7</v>
      </c>
      <c r="D326" s="16"/>
      <c r="E326" s="16"/>
      <c r="F326" s="17"/>
      <c r="G326" s="21"/>
      <c r="H326" s="21"/>
      <c r="I326" s="4">
        <v>0</v>
      </c>
      <c r="J326" s="4">
        <v>0</v>
      </c>
      <c r="K326" s="4"/>
      <c r="L326" s="16"/>
      <c r="M326" s="4"/>
      <c r="N326" s="4"/>
      <c r="O326" s="4"/>
      <c r="P326" s="4"/>
      <c r="Q326" s="4"/>
      <c r="R326" s="4"/>
      <c r="S326" s="4">
        <v>0</v>
      </c>
      <c r="T326" s="4">
        <v>0</v>
      </c>
      <c r="U326" s="4">
        <v>0</v>
      </c>
      <c r="V326" s="4">
        <v>12</v>
      </c>
      <c r="W326" s="4">
        <v>12</v>
      </c>
      <c r="X326" s="4">
        <v>0</v>
      </c>
      <c r="Y326" s="4"/>
      <c r="Z326" s="4">
        <v>520.5</v>
      </c>
      <c r="AA326" s="4">
        <v>500</v>
      </c>
      <c r="AB326" s="18"/>
      <c r="AC326" s="18">
        <v>7</v>
      </c>
      <c r="AD326" s="28"/>
      <c r="AE326" s="26"/>
      <c r="AF326" s="28"/>
    </row>
    <row r="327" spans="1:32" ht="13.5" customHeight="1" x14ac:dyDescent="0.25">
      <c r="A327" s="14">
        <v>45699</v>
      </c>
      <c r="B327" s="14" t="s">
        <v>46</v>
      </c>
      <c r="C327" s="15">
        <v>1</v>
      </c>
      <c r="D327" s="16">
        <v>5</v>
      </c>
      <c r="E327" s="16"/>
      <c r="F327" s="17"/>
      <c r="G327" s="21"/>
      <c r="H327" s="21"/>
      <c r="I327" s="4">
        <v>5</v>
      </c>
      <c r="J327" s="4">
        <v>8.3333333333333329E-2</v>
      </c>
      <c r="K327" s="4"/>
      <c r="L327" s="16">
        <v>5</v>
      </c>
      <c r="M327" s="4"/>
      <c r="N327" s="4">
        <v>2</v>
      </c>
      <c r="O327" s="4"/>
      <c r="P327" s="4"/>
      <c r="Q327" s="4"/>
      <c r="R327" s="4"/>
      <c r="S327" s="4">
        <v>7</v>
      </c>
      <c r="T327" s="4">
        <v>0.11666666666666667</v>
      </c>
      <c r="U327" s="4">
        <v>0.2</v>
      </c>
      <c r="V327" s="4">
        <v>11.8</v>
      </c>
      <c r="W327" s="4">
        <v>12</v>
      </c>
      <c r="X327" s="4">
        <v>15</v>
      </c>
      <c r="Y327" s="4">
        <v>1474</v>
      </c>
      <c r="Z327" s="4">
        <v>27.6</v>
      </c>
      <c r="AA327" s="4">
        <v>50</v>
      </c>
      <c r="AB327" s="18">
        <v>372</v>
      </c>
      <c r="AC327" s="18">
        <v>7</v>
      </c>
      <c r="AD327" s="28"/>
      <c r="AE327" s="26"/>
      <c r="AF327" s="28"/>
    </row>
    <row r="328" spans="1:32" ht="13.5" customHeight="1" x14ac:dyDescent="0.25">
      <c r="A328" s="14">
        <v>45699</v>
      </c>
      <c r="B328" s="14" t="s">
        <v>47</v>
      </c>
      <c r="C328" s="15">
        <v>1</v>
      </c>
      <c r="D328" s="16"/>
      <c r="E328" s="16"/>
      <c r="F328" s="17"/>
      <c r="G328" s="21"/>
      <c r="H328" s="21"/>
      <c r="I328" s="4">
        <v>0</v>
      </c>
      <c r="J328" s="4">
        <v>0</v>
      </c>
      <c r="K328" s="4"/>
      <c r="L328" s="16"/>
      <c r="M328" s="4"/>
      <c r="N328" s="4"/>
      <c r="O328" s="4"/>
      <c r="P328" s="4"/>
      <c r="Q328" s="4"/>
      <c r="R328" s="4"/>
      <c r="S328" s="4">
        <v>0</v>
      </c>
      <c r="T328" s="4">
        <v>0</v>
      </c>
      <c r="U328" s="4">
        <v>0</v>
      </c>
      <c r="V328" s="4">
        <v>12</v>
      </c>
      <c r="W328" s="4">
        <v>12</v>
      </c>
      <c r="X328" s="4">
        <v>15</v>
      </c>
      <c r="Y328" s="4"/>
      <c r="Z328" s="4">
        <v>136.80000000000001</v>
      </c>
      <c r="AA328" s="4">
        <v>100</v>
      </c>
      <c r="AB328" s="18"/>
      <c r="AC328" s="18">
        <v>7</v>
      </c>
      <c r="AD328" s="28"/>
      <c r="AE328" s="26"/>
      <c r="AF328" s="28"/>
    </row>
    <row r="329" spans="1:32" ht="13.5" customHeight="1" x14ac:dyDescent="0.25">
      <c r="A329" s="14">
        <v>45699</v>
      </c>
      <c r="B329" s="14" t="s">
        <v>46</v>
      </c>
      <c r="C329" s="15">
        <v>3</v>
      </c>
      <c r="D329" s="16"/>
      <c r="E329" s="16"/>
      <c r="F329" s="17"/>
      <c r="G329" s="21"/>
      <c r="H329" s="21"/>
      <c r="I329" s="4">
        <v>0</v>
      </c>
      <c r="J329" s="4">
        <v>0</v>
      </c>
      <c r="K329" s="4"/>
      <c r="L329" s="16"/>
      <c r="M329" s="4"/>
      <c r="N329" s="4"/>
      <c r="O329" s="4"/>
      <c r="P329" s="4"/>
      <c r="Q329" s="4"/>
      <c r="R329" s="4"/>
      <c r="S329" s="4">
        <v>0</v>
      </c>
      <c r="T329" s="4">
        <v>0</v>
      </c>
      <c r="U329" s="4">
        <v>0</v>
      </c>
      <c r="V329" s="4">
        <v>12</v>
      </c>
      <c r="W329" s="4">
        <v>12</v>
      </c>
      <c r="X329" s="4">
        <v>0</v>
      </c>
      <c r="Y329" s="4"/>
      <c r="Z329" s="4">
        <v>320.70000000000005</v>
      </c>
      <c r="AA329" s="4">
        <v>300</v>
      </c>
      <c r="AB329" s="18"/>
      <c r="AC329" s="18">
        <v>7</v>
      </c>
      <c r="AD329" s="28"/>
      <c r="AE329" s="26"/>
      <c r="AF329" s="28"/>
    </row>
    <row r="330" spans="1:32" ht="13.5" customHeight="1" x14ac:dyDescent="0.25">
      <c r="A330" s="14">
        <v>45699</v>
      </c>
      <c r="B330" s="14" t="s">
        <v>46</v>
      </c>
      <c r="C330" s="15">
        <v>6</v>
      </c>
      <c r="D330" s="16">
        <v>33</v>
      </c>
      <c r="E330" s="16"/>
      <c r="F330" s="17"/>
      <c r="G330" s="21"/>
      <c r="H330" s="21"/>
      <c r="I330" s="4">
        <v>33</v>
      </c>
      <c r="J330" s="4">
        <v>0.55000000000000004</v>
      </c>
      <c r="K330" s="4"/>
      <c r="L330" s="16"/>
      <c r="M330" s="4"/>
      <c r="N330" s="4"/>
      <c r="O330" s="4"/>
      <c r="P330" s="4"/>
      <c r="Q330" s="4"/>
      <c r="R330" s="4"/>
      <c r="S330" s="4">
        <v>0</v>
      </c>
      <c r="T330" s="4">
        <v>0</v>
      </c>
      <c r="U330" s="4">
        <v>0.55000000000000004</v>
      </c>
      <c r="V330" s="4">
        <v>11.45</v>
      </c>
      <c r="W330" s="4">
        <v>12</v>
      </c>
      <c r="X330" s="4">
        <v>40</v>
      </c>
      <c r="Y330" s="4"/>
      <c r="Z330" s="4">
        <v>477.59999999999997</v>
      </c>
      <c r="AA330" s="4">
        <v>500</v>
      </c>
      <c r="AB330" s="18"/>
      <c r="AC330" s="18">
        <v>7</v>
      </c>
      <c r="AD330" s="28"/>
      <c r="AE330" s="26"/>
      <c r="AF330" s="28"/>
    </row>
    <row r="331" spans="1:32" ht="13.5" customHeight="1" x14ac:dyDescent="0.25">
      <c r="A331" s="14">
        <v>45699</v>
      </c>
      <c r="B331" s="14" t="s">
        <v>47</v>
      </c>
      <c r="C331" s="15">
        <v>6</v>
      </c>
      <c r="D331" s="16">
        <v>45</v>
      </c>
      <c r="E331" s="16"/>
      <c r="F331" s="17"/>
      <c r="G331" s="21"/>
      <c r="H331" s="21"/>
      <c r="I331" s="4">
        <v>45</v>
      </c>
      <c r="J331" s="4">
        <v>0.75</v>
      </c>
      <c r="K331" s="4"/>
      <c r="L331" s="16"/>
      <c r="M331" s="4"/>
      <c r="N331" s="4"/>
      <c r="O331" s="4"/>
      <c r="P331" s="4"/>
      <c r="Q331" s="4"/>
      <c r="R331" s="4"/>
      <c r="S331" s="4">
        <v>0</v>
      </c>
      <c r="T331" s="4">
        <v>0</v>
      </c>
      <c r="U331" s="4">
        <v>0.75</v>
      </c>
      <c r="V331" s="4">
        <v>11.25</v>
      </c>
      <c r="W331" s="4">
        <v>12</v>
      </c>
      <c r="X331" s="4">
        <v>27.6</v>
      </c>
      <c r="Y331" s="4"/>
      <c r="Z331" s="4">
        <v>621.80000000000007</v>
      </c>
      <c r="AA331" s="4">
        <v>600</v>
      </c>
      <c r="AB331" s="18"/>
      <c r="AC331" s="18">
        <v>7</v>
      </c>
      <c r="AD331" s="28"/>
      <c r="AE331" s="26"/>
      <c r="AF331" s="28"/>
    </row>
    <row r="332" spans="1:32" ht="13.5" customHeight="1" x14ac:dyDescent="0.25">
      <c r="A332" s="14">
        <v>45699</v>
      </c>
      <c r="B332" s="14" t="s">
        <v>46</v>
      </c>
      <c r="C332" s="15">
        <v>7</v>
      </c>
      <c r="D332" s="16"/>
      <c r="E332" s="16"/>
      <c r="F332" s="17"/>
      <c r="G332" s="21"/>
      <c r="H332" s="21"/>
      <c r="I332" s="4">
        <v>0</v>
      </c>
      <c r="J332" s="4">
        <v>0</v>
      </c>
      <c r="K332" s="4"/>
      <c r="L332" s="16"/>
      <c r="M332" s="4"/>
      <c r="N332" s="4"/>
      <c r="O332" s="4"/>
      <c r="P332" s="4"/>
      <c r="Q332" s="4"/>
      <c r="R332" s="4"/>
      <c r="S332" s="4">
        <v>0</v>
      </c>
      <c r="T332" s="4">
        <v>0</v>
      </c>
      <c r="U332" s="4">
        <v>0</v>
      </c>
      <c r="V332" s="4">
        <v>12</v>
      </c>
      <c r="W332" s="4">
        <v>12</v>
      </c>
      <c r="X332" s="4">
        <v>0</v>
      </c>
      <c r="Y332" s="4"/>
      <c r="Z332" s="4">
        <v>489.29999999999995</v>
      </c>
      <c r="AA332" s="4">
        <v>500</v>
      </c>
      <c r="AB332" s="18"/>
      <c r="AC332" s="18">
        <v>7</v>
      </c>
      <c r="AD332" s="28"/>
      <c r="AE332" s="26"/>
      <c r="AF332" s="28"/>
    </row>
    <row r="333" spans="1:32" ht="13.5" customHeight="1" x14ac:dyDescent="0.25">
      <c r="A333" s="14">
        <v>45699</v>
      </c>
      <c r="B333" s="14" t="s">
        <v>47</v>
      </c>
      <c r="C333" s="15">
        <v>7</v>
      </c>
      <c r="D333" s="16"/>
      <c r="E333" s="16"/>
      <c r="F333" s="17"/>
      <c r="G333" s="21"/>
      <c r="H333" s="21"/>
      <c r="I333" s="4">
        <v>0</v>
      </c>
      <c r="J333" s="4">
        <v>0</v>
      </c>
      <c r="K333" s="4"/>
      <c r="L333" s="16"/>
      <c r="M333" s="4"/>
      <c r="N333" s="4"/>
      <c r="O333" s="4"/>
      <c r="P333" s="4"/>
      <c r="Q333" s="4"/>
      <c r="R333" s="4"/>
      <c r="S333" s="4">
        <v>0</v>
      </c>
      <c r="T333" s="4">
        <v>0</v>
      </c>
      <c r="U333" s="4">
        <v>0</v>
      </c>
      <c r="V333" s="4">
        <v>12</v>
      </c>
      <c r="W333" s="4">
        <v>12</v>
      </c>
      <c r="X333" s="4">
        <v>5</v>
      </c>
      <c r="Y333" s="4"/>
      <c r="Z333" s="4">
        <v>322.56</v>
      </c>
      <c r="AA333" s="4">
        <v>300</v>
      </c>
      <c r="AB333" s="18"/>
      <c r="AC333" s="18">
        <v>7</v>
      </c>
      <c r="AD333" s="28"/>
      <c r="AE333" s="26"/>
      <c r="AF333" s="28"/>
    </row>
    <row r="334" spans="1:32" ht="13.5" customHeight="1" x14ac:dyDescent="0.25">
      <c r="A334" s="14">
        <v>45700</v>
      </c>
      <c r="B334" s="14" t="s">
        <v>46</v>
      </c>
      <c r="C334" s="15">
        <v>1</v>
      </c>
      <c r="D334" s="16">
        <v>5</v>
      </c>
      <c r="E334" s="16"/>
      <c r="F334" s="17"/>
      <c r="G334" s="21"/>
      <c r="H334" s="21"/>
      <c r="I334" s="4">
        <v>5</v>
      </c>
      <c r="J334" s="4">
        <v>8.3333333333333329E-2</v>
      </c>
      <c r="K334" s="4"/>
      <c r="L334" s="16"/>
      <c r="M334" s="4"/>
      <c r="N334" s="4"/>
      <c r="O334" s="4"/>
      <c r="P334" s="4"/>
      <c r="Q334" s="4"/>
      <c r="R334" s="4"/>
      <c r="S334" s="4">
        <v>0</v>
      </c>
      <c r="T334" s="4">
        <v>0</v>
      </c>
      <c r="U334" s="4">
        <v>8.3333333333333329E-2</v>
      </c>
      <c r="V334" s="4">
        <v>11.916666666666666</v>
      </c>
      <c r="W334" s="4">
        <v>12</v>
      </c>
      <c r="X334" s="4">
        <v>3</v>
      </c>
      <c r="Y334" s="4">
        <v>1374</v>
      </c>
      <c r="Z334" s="4">
        <v>179.9</v>
      </c>
      <c r="AA334" s="4">
        <v>200</v>
      </c>
      <c r="AB334" s="18">
        <v>372</v>
      </c>
      <c r="AC334" s="18">
        <v>7</v>
      </c>
      <c r="AD334" s="28"/>
      <c r="AE334" s="26"/>
      <c r="AF334" s="28"/>
    </row>
    <row r="335" spans="1:32" ht="13.5" customHeight="1" x14ac:dyDescent="0.25">
      <c r="A335" s="14">
        <v>45700</v>
      </c>
      <c r="B335" s="14" t="s">
        <v>47</v>
      </c>
      <c r="C335" s="15">
        <v>1</v>
      </c>
      <c r="D335" s="16"/>
      <c r="E335" s="16"/>
      <c r="F335" s="17"/>
      <c r="G335" s="21"/>
      <c r="H335" s="21"/>
      <c r="I335" s="4">
        <v>0</v>
      </c>
      <c r="J335" s="4">
        <v>0</v>
      </c>
      <c r="K335" s="4"/>
      <c r="L335" s="16"/>
      <c r="M335" s="4"/>
      <c r="N335" s="4"/>
      <c r="O335" s="4"/>
      <c r="P335" s="4"/>
      <c r="Q335" s="4">
        <v>60</v>
      </c>
      <c r="R335" s="4"/>
      <c r="S335" s="4">
        <v>60</v>
      </c>
      <c r="T335" s="4">
        <v>1</v>
      </c>
      <c r="U335" s="4">
        <v>1</v>
      </c>
      <c r="V335" s="4">
        <v>11</v>
      </c>
      <c r="W335" s="4">
        <v>12</v>
      </c>
      <c r="X335" s="4">
        <v>8</v>
      </c>
      <c r="Y335" s="4"/>
      <c r="Z335" s="4">
        <v>93.899999999999991</v>
      </c>
      <c r="AA335" s="4">
        <v>100</v>
      </c>
      <c r="AB335" s="18"/>
      <c r="AC335" s="18">
        <v>7</v>
      </c>
      <c r="AD335" s="28"/>
      <c r="AE335" s="26"/>
      <c r="AF335" s="28"/>
    </row>
    <row r="336" spans="1:32" ht="13.5" customHeight="1" x14ac:dyDescent="0.25">
      <c r="A336" s="14">
        <v>45700</v>
      </c>
      <c r="B336" s="14" t="s">
        <v>47</v>
      </c>
      <c r="C336" s="15">
        <v>2</v>
      </c>
      <c r="D336" s="16"/>
      <c r="E336" s="16"/>
      <c r="F336" s="17"/>
      <c r="G336" s="21"/>
      <c r="H336" s="21"/>
      <c r="I336" s="4">
        <v>0</v>
      </c>
      <c r="J336" s="4">
        <v>0</v>
      </c>
      <c r="K336" s="4"/>
      <c r="L336" s="16"/>
      <c r="M336" s="4"/>
      <c r="N336" s="4"/>
      <c r="O336" s="4"/>
      <c r="P336" s="4"/>
      <c r="Q336" s="4"/>
      <c r="R336" s="4"/>
      <c r="S336" s="4">
        <v>0</v>
      </c>
      <c r="T336" s="4">
        <v>0</v>
      </c>
      <c r="U336" s="4">
        <v>0</v>
      </c>
      <c r="V336" s="4">
        <v>12</v>
      </c>
      <c r="W336" s="4">
        <v>12</v>
      </c>
      <c r="X336" s="4">
        <v>5</v>
      </c>
      <c r="Y336" s="4"/>
      <c r="Z336" s="4">
        <v>366.20000000000005</v>
      </c>
      <c r="AA336" s="4">
        <v>350</v>
      </c>
      <c r="AB336" s="18"/>
      <c r="AC336" s="18">
        <v>7</v>
      </c>
      <c r="AD336" s="28"/>
      <c r="AE336" s="26"/>
      <c r="AF336" s="28"/>
    </row>
    <row r="337" spans="1:32" ht="13.5" customHeight="1" x14ac:dyDescent="0.25">
      <c r="A337" s="14">
        <v>45700</v>
      </c>
      <c r="B337" s="14" t="s">
        <v>46</v>
      </c>
      <c r="C337" s="15">
        <v>6</v>
      </c>
      <c r="D337" s="16">
        <v>15</v>
      </c>
      <c r="E337" s="16"/>
      <c r="F337" s="17"/>
      <c r="G337" s="21"/>
      <c r="H337" s="21"/>
      <c r="I337" s="4">
        <v>15</v>
      </c>
      <c r="J337" s="4">
        <v>0.25</v>
      </c>
      <c r="K337" s="4"/>
      <c r="L337" s="16"/>
      <c r="M337" s="4"/>
      <c r="N337" s="4"/>
      <c r="O337" s="4"/>
      <c r="P337" s="4"/>
      <c r="Q337" s="4"/>
      <c r="R337" s="4"/>
      <c r="S337" s="4">
        <v>0</v>
      </c>
      <c r="T337" s="4">
        <v>0</v>
      </c>
      <c r="U337" s="4">
        <v>0.25</v>
      </c>
      <c r="V337" s="4">
        <v>11.75</v>
      </c>
      <c r="W337" s="4">
        <v>12</v>
      </c>
      <c r="X337" s="4">
        <v>22</v>
      </c>
      <c r="Y337" s="4"/>
      <c r="Z337" s="4">
        <v>536.1</v>
      </c>
      <c r="AA337" s="4">
        <v>500</v>
      </c>
      <c r="AB337" s="18"/>
      <c r="AC337" s="18">
        <v>7</v>
      </c>
      <c r="AD337" s="28"/>
      <c r="AE337" s="26"/>
      <c r="AF337" s="28"/>
    </row>
    <row r="338" spans="1:32" ht="13.5" customHeight="1" x14ac:dyDescent="0.25">
      <c r="A338" s="14">
        <v>45700</v>
      </c>
      <c r="B338" s="14" t="s">
        <v>47</v>
      </c>
      <c r="C338" s="15">
        <v>6</v>
      </c>
      <c r="D338" s="16"/>
      <c r="E338" s="16"/>
      <c r="F338" s="17"/>
      <c r="G338" s="21"/>
      <c r="H338" s="21"/>
      <c r="I338" s="4">
        <v>0</v>
      </c>
      <c r="J338" s="4">
        <v>0</v>
      </c>
      <c r="K338" s="4"/>
      <c r="L338" s="16"/>
      <c r="M338" s="4"/>
      <c r="N338" s="4">
        <v>30</v>
      </c>
      <c r="O338" s="4"/>
      <c r="P338" s="4"/>
      <c r="Q338" s="4"/>
      <c r="R338" s="4"/>
      <c r="S338" s="4">
        <v>30</v>
      </c>
      <c r="T338" s="4">
        <v>0.5</v>
      </c>
      <c r="U338" s="4">
        <v>0.5</v>
      </c>
      <c r="V338" s="4">
        <v>11.5</v>
      </c>
      <c r="W338" s="4">
        <v>12</v>
      </c>
      <c r="X338" s="4">
        <v>16</v>
      </c>
      <c r="Y338" s="4"/>
      <c r="Z338" s="4">
        <v>503.79999999999995</v>
      </c>
      <c r="AA338" s="4">
        <v>500</v>
      </c>
      <c r="AB338" s="18"/>
      <c r="AC338" s="18">
        <v>7</v>
      </c>
      <c r="AD338" s="28"/>
      <c r="AE338" s="26"/>
      <c r="AF338" s="28"/>
    </row>
    <row r="339" spans="1:32" ht="13.5" customHeight="1" x14ac:dyDescent="0.25">
      <c r="A339" s="14">
        <v>45700</v>
      </c>
      <c r="B339" s="14" t="s">
        <v>46</v>
      </c>
      <c r="C339" s="15">
        <v>7</v>
      </c>
      <c r="D339" s="16">
        <v>10</v>
      </c>
      <c r="E339" s="16"/>
      <c r="F339" s="17"/>
      <c r="G339" s="21"/>
      <c r="H339" s="21"/>
      <c r="I339" s="4">
        <v>10</v>
      </c>
      <c r="J339" s="4">
        <v>0.16666666666666666</v>
      </c>
      <c r="K339" s="4"/>
      <c r="L339" s="16"/>
      <c r="M339" s="4"/>
      <c r="N339" s="4"/>
      <c r="O339" s="4"/>
      <c r="P339" s="4"/>
      <c r="Q339" s="4"/>
      <c r="R339" s="4"/>
      <c r="S339" s="4">
        <v>0</v>
      </c>
      <c r="T339" s="4">
        <v>0</v>
      </c>
      <c r="U339" s="4">
        <v>0.16666666666666666</v>
      </c>
      <c r="V339" s="4">
        <v>11.833333333333334</v>
      </c>
      <c r="W339" s="4">
        <v>12</v>
      </c>
      <c r="X339" s="4">
        <v>5</v>
      </c>
      <c r="Y339" s="4"/>
      <c r="Z339" s="4">
        <v>323.55</v>
      </c>
      <c r="AA339" s="4">
        <v>300</v>
      </c>
      <c r="AB339" s="18"/>
      <c r="AC339" s="18">
        <v>7</v>
      </c>
      <c r="AD339" s="28"/>
      <c r="AE339" s="26"/>
      <c r="AF339" s="28"/>
    </row>
    <row r="340" spans="1:32" ht="13.5" customHeight="1" x14ac:dyDescent="0.25">
      <c r="A340" s="14">
        <v>45700</v>
      </c>
      <c r="B340" s="14" t="s">
        <v>47</v>
      </c>
      <c r="C340" s="15">
        <v>7</v>
      </c>
      <c r="D340" s="16"/>
      <c r="E340" s="16"/>
      <c r="F340" s="17"/>
      <c r="G340" s="21"/>
      <c r="H340" s="21"/>
      <c r="I340" s="4">
        <v>0</v>
      </c>
      <c r="J340" s="4">
        <v>0</v>
      </c>
      <c r="K340" s="4"/>
      <c r="L340" s="16"/>
      <c r="M340" s="4"/>
      <c r="N340" s="4"/>
      <c r="O340" s="4"/>
      <c r="P340" s="4"/>
      <c r="Q340" s="4"/>
      <c r="R340" s="4"/>
      <c r="S340" s="4">
        <v>0</v>
      </c>
      <c r="T340" s="4">
        <v>0</v>
      </c>
      <c r="U340" s="4">
        <v>0</v>
      </c>
      <c r="V340" s="4">
        <v>12</v>
      </c>
      <c r="W340" s="4">
        <v>12</v>
      </c>
      <c r="X340" s="4">
        <v>0</v>
      </c>
      <c r="Y340" s="4"/>
      <c r="Z340" s="4">
        <v>193.45</v>
      </c>
      <c r="AA340" s="4">
        <v>200</v>
      </c>
      <c r="AB340" s="18"/>
      <c r="AC340" s="18">
        <v>7</v>
      </c>
      <c r="AD340" s="28"/>
      <c r="AE340" s="26"/>
      <c r="AF340" s="28"/>
    </row>
    <row r="341" spans="1:32" ht="13.5" customHeight="1" x14ac:dyDescent="0.25">
      <c r="A341" s="14">
        <v>45701</v>
      </c>
      <c r="B341" s="14" t="s">
        <v>46</v>
      </c>
      <c r="C341" s="15">
        <v>1</v>
      </c>
      <c r="D341" s="16">
        <v>5</v>
      </c>
      <c r="E341" s="16"/>
      <c r="F341" s="17"/>
      <c r="G341" s="21"/>
      <c r="H341" s="21"/>
      <c r="I341" s="4">
        <v>5</v>
      </c>
      <c r="J341" s="4">
        <v>8.3333333333333329E-2</v>
      </c>
      <c r="K341" s="4"/>
      <c r="L341" s="16"/>
      <c r="M341" s="4"/>
      <c r="N341" s="4"/>
      <c r="O341" s="4"/>
      <c r="P341" s="4"/>
      <c r="Q341" s="4"/>
      <c r="R341" s="4"/>
      <c r="S341" s="4">
        <v>0</v>
      </c>
      <c r="T341" s="4">
        <v>0</v>
      </c>
      <c r="U341" s="4">
        <v>8.3333333333333329E-2</v>
      </c>
      <c r="V341" s="4">
        <v>11.916666666666666</v>
      </c>
      <c r="W341" s="4">
        <v>12</v>
      </c>
      <c r="X341" s="4">
        <v>8.3000000000000007</v>
      </c>
      <c r="Y341" s="4">
        <v>1806</v>
      </c>
      <c r="Z341" s="4">
        <v>187.8</v>
      </c>
      <c r="AA341" s="4">
        <v>200</v>
      </c>
      <c r="AB341" s="18">
        <v>372</v>
      </c>
      <c r="AC341" s="18">
        <v>7</v>
      </c>
      <c r="AD341" s="28"/>
      <c r="AE341" s="26"/>
      <c r="AF341" s="28"/>
    </row>
    <row r="342" spans="1:32" ht="13.5" customHeight="1" x14ac:dyDescent="0.25">
      <c r="A342" s="14">
        <v>45701</v>
      </c>
      <c r="B342" s="14" t="s">
        <v>47</v>
      </c>
      <c r="C342" s="15">
        <v>1</v>
      </c>
      <c r="D342" s="16">
        <v>5</v>
      </c>
      <c r="E342" s="16"/>
      <c r="F342" s="17"/>
      <c r="G342" s="21"/>
      <c r="H342" s="21"/>
      <c r="I342" s="4">
        <v>5</v>
      </c>
      <c r="J342" s="4">
        <v>8.3333333333333329E-2</v>
      </c>
      <c r="K342" s="4"/>
      <c r="L342" s="16"/>
      <c r="M342" s="4"/>
      <c r="N342" s="4"/>
      <c r="O342" s="4"/>
      <c r="P342" s="4"/>
      <c r="Q342" s="4"/>
      <c r="R342" s="4"/>
      <c r="S342" s="4">
        <v>0</v>
      </c>
      <c r="T342" s="4">
        <v>0</v>
      </c>
      <c r="U342" s="4">
        <v>8.3333333333333329E-2</v>
      </c>
      <c r="V342" s="4">
        <v>11.916666666666666</v>
      </c>
      <c r="W342" s="4">
        <v>12</v>
      </c>
      <c r="X342" s="4">
        <v>3</v>
      </c>
      <c r="Y342" s="4"/>
      <c r="Z342" s="4">
        <v>143.69999999999999</v>
      </c>
      <c r="AA342" s="4">
        <v>150</v>
      </c>
      <c r="AB342" s="18"/>
      <c r="AC342" s="18">
        <v>7</v>
      </c>
      <c r="AD342" s="28"/>
      <c r="AE342" s="26"/>
      <c r="AF342" s="28"/>
    </row>
    <row r="343" spans="1:32" ht="13.5" customHeight="1" x14ac:dyDescent="0.25">
      <c r="A343" s="14">
        <v>45701</v>
      </c>
      <c r="B343" s="14" t="s">
        <v>46</v>
      </c>
      <c r="C343" s="15">
        <v>2</v>
      </c>
      <c r="D343" s="16">
        <v>2</v>
      </c>
      <c r="E343" s="16"/>
      <c r="F343" s="17"/>
      <c r="G343" s="21"/>
      <c r="H343" s="21"/>
      <c r="I343" s="4">
        <v>2</v>
      </c>
      <c r="J343" s="4">
        <v>3.3333333333333333E-2</v>
      </c>
      <c r="K343" s="4"/>
      <c r="L343" s="16"/>
      <c r="M343" s="4"/>
      <c r="N343" s="4"/>
      <c r="O343" s="4"/>
      <c r="P343" s="4"/>
      <c r="Q343" s="4"/>
      <c r="R343" s="4"/>
      <c r="S343" s="4">
        <v>0</v>
      </c>
      <c r="T343" s="4">
        <v>0</v>
      </c>
      <c r="U343" s="4">
        <v>3.3333333333333333E-2</v>
      </c>
      <c r="V343" s="4">
        <v>11.966666666666667</v>
      </c>
      <c r="W343" s="4">
        <v>12</v>
      </c>
      <c r="X343" s="4">
        <v>4</v>
      </c>
      <c r="Y343" s="4"/>
      <c r="Z343" s="4">
        <v>525.9</v>
      </c>
      <c r="AA343" s="4">
        <v>550</v>
      </c>
      <c r="AB343" s="18"/>
      <c r="AC343" s="18">
        <v>7</v>
      </c>
      <c r="AD343" s="28"/>
      <c r="AE343" s="26"/>
      <c r="AF343" s="28"/>
    </row>
    <row r="344" spans="1:32" ht="13.5" customHeight="1" x14ac:dyDescent="0.25">
      <c r="A344" s="14">
        <v>45701</v>
      </c>
      <c r="B344" s="14" t="s">
        <v>47</v>
      </c>
      <c r="C344" s="15">
        <v>2</v>
      </c>
      <c r="D344" s="16">
        <v>10</v>
      </c>
      <c r="E344" s="16"/>
      <c r="F344" s="17"/>
      <c r="G344" s="21"/>
      <c r="H344" s="21"/>
      <c r="I344" s="4">
        <v>10</v>
      </c>
      <c r="J344" s="4">
        <v>0.16666666666666666</v>
      </c>
      <c r="K344" s="4"/>
      <c r="L344" s="16">
        <v>10</v>
      </c>
      <c r="M344" s="4"/>
      <c r="N344" s="4"/>
      <c r="O344" s="4"/>
      <c r="P344" s="4"/>
      <c r="Q344" s="4"/>
      <c r="R344" s="4"/>
      <c r="S344" s="4">
        <v>10</v>
      </c>
      <c r="T344" s="4">
        <v>0.16666666666666666</v>
      </c>
      <c r="U344" s="4">
        <v>0.33333333333333331</v>
      </c>
      <c r="V344" s="4">
        <v>11.666666666666666</v>
      </c>
      <c r="W344" s="4">
        <v>12</v>
      </c>
      <c r="X344" s="4">
        <v>6</v>
      </c>
      <c r="Y344" s="4"/>
      <c r="Z344" s="4">
        <v>442.50000000000006</v>
      </c>
      <c r="AA344" s="4">
        <v>450</v>
      </c>
      <c r="AB344" s="18"/>
      <c r="AC344" s="18">
        <v>7</v>
      </c>
      <c r="AD344" s="28"/>
      <c r="AE344" s="26"/>
      <c r="AF344" s="28"/>
    </row>
    <row r="345" spans="1:32" ht="13.5" customHeight="1" x14ac:dyDescent="0.25">
      <c r="A345" s="14">
        <v>45701</v>
      </c>
      <c r="B345" s="14" t="s">
        <v>46</v>
      </c>
      <c r="C345" s="15">
        <v>6</v>
      </c>
      <c r="D345" s="16"/>
      <c r="E345" s="16"/>
      <c r="F345" s="17"/>
      <c r="G345" s="21"/>
      <c r="H345" s="21"/>
      <c r="I345" s="4">
        <v>0</v>
      </c>
      <c r="J345" s="4">
        <v>0</v>
      </c>
      <c r="K345" s="4"/>
      <c r="L345" s="16"/>
      <c r="M345" s="4"/>
      <c r="N345" s="4">
        <v>9</v>
      </c>
      <c r="O345" s="4"/>
      <c r="P345" s="4"/>
      <c r="Q345" s="4"/>
      <c r="R345" s="4"/>
      <c r="S345" s="4">
        <v>9</v>
      </c>
      <c r="T345" s="4">
        <v>0.15</v>
      </c>
      <c r="U345" s="4">
        <v>0.15</v>
      </c>
      <c r="V345" s="4">
        <v>11.85</v>
      </c>
      <c r="W345" s="4">
        <v>12</v>
      </c>
      <c r="X345" s="4">
        <v>25</v>
      </c>
      <c r="Y345" s="4"/>
      <c r="Z345" s="4">
        <v>565.4</v>
      </c>
      <c r="AA345" s="4">
        <v>550</v>
      </c>
      <c r="AB345" s="18"/>
      <c r="AC345" s="18">
        <v>7</v>
      </c>
      <c r="AD345" s="28"/>
      <c r="AE345" s="26"/>
      <c r="AF345" s="28"/>
    </row>
    <row r="346" spans="1:32" ht="13.5" customHeight="1" x14ac:dyDescent="0.25">
      <c r="A346" s="14">
        <v>45701</v>
      </c>
      <c r="B346" s="14" t="s">
        <v>47</v>
      </c>
      <c r="C346" s="15">
        <v>6</v>
      </c>
      <c r="D346" s="16">
        <v>11</v>
      </c>
      <c r="E346" s="16"/>
      <c r="F346" s="17"/>
      <c r="G346" s="21"/>
      <c r="H346" s="21"/>
      <c r="I346" s="4">
        <v>11</v>
      </c>
      <c r="J346" s="4">
        <v>0.18333333333333332</v>
      </c>
      <c r="K346" s="4"/>
      <c r="L346" s="16"/>
      <c r="M346" s="4"/>
      <c r="N346" s="4"/>
      <c r="O346" s="4"/>
      <c r="P346" s="4"/>
      <c r="Q346" s="4"/>
      <c r="R346" s="4"/>
      <c r="S346" s="4">
        <v>0</v>
      </c>
      <c r="T346" s="4">
        <v>0</v>
      </c>
      <c r="U346" s="4">
        <v>0.18333333333333332</v>
      </c>
      <c r="V346" s="4">
        <v>11.816666666666666</v>
      </c>
      <c r="W346" s="4">
        <v>12</v>
      </c>
      <c r="X346" s="4">
        <v>15</v>
      </c>
      <c r="Y346" s="4"/>
      <c r="Z346" s="4">
        <v>614.4</v>
      </c>
      <c r="AA346" s="4">
        <v>600</v>
      </c>
      <c r="AB346" s="18"/>
      <c r="AC346" s="18">
        <v>7</v>
      </c>
      <c r="AD346" s="28"/>
      <c r="AE346" s="26"/>
      <c r="AF346" s="28"/>
    </row>
    <row r="347" spans="1:32" ht="13.5" customHeight="1" x14ac:dyDescent="0.25">
      <c r="A347" s="14">
        <v>45701</v>
      </c>
      <c r="B347" s="14" t="s">
        <v>46</v>
      </c>
      <c r="C347" s="15">
        <v>7</v>
      </c>
      <c r="D347" s="16">
        <v>10</v>
      </c>
      <c r="E347" s="16"/>
      <c r="F347" s="17"/>
      <c r="G347" s="21"/>
      <c r="H347" s="21"/>
      <c r="I347" s="4">
        <v>10</v>
      </c>
      <c r="J347" s="4">
        <v>0.16666666666666666</v>
      </c>
      <c r="K347" s="4"/>
      <c r="L347" s="16"/>
      <c r="M347" s="4"/>
      <c r="N347" s="4"/>
      <c r="O347" s="4"/>
      <c r="P347" s="4"/>
      <c r="Q347" s="4"/>
      <c r="R347" s="4"/>
      <c r="S347" s="4">
        <v>0</v>
      </c>
      <c r="T347" s="4">
        <v>0</v>
      </c>
      <c r="U347" s="4">
        <v>0.16666666666666666</v>
      </c>
      <c r="V347" s="4">
        <v>11.833333333333334</v>
      </c>
      <c r="W347" s="4">
        <v>12</v>
      </c>
      <c r="X347" s="4">
        <v>15</v>
      </c>
      <c r="Y347" s="4"/>
      <c r="Z347" s="4">
        <v>453.6</v>
      </c>
      <c r="AA347" s="4">
        <v>450</v>
      </c>
      <c r="AB347" s="18"/>
      <c r="AC347" s="18">
        <v>7</v>
      </c>
      <c r="AD347" s="28"/>
      <c r="AE347" s="26"/>
      <c r="AF347" s="28"/>
    </row>
    <row r="348" spans="1:32" ht="13.5" customHeight="1" x14ac:dyDescent="0.25">
      <c r="A348" s="14">
        <v>45701</v>
      </c>
      <c r="B348" s="14" t="s">
        <v>47</v>
      </c>
      <c r="C348" s="15">
        <v>7</v>
      </c>
      <c r="D348" s="16"/>
      <c r="E348" s="16"/>
      <c r="F348" s="17"/>
      <c r="G348" s="21"/>
      <c r="H348" s="21"/>
      <c r="I348" s="4">
        <v>0</v>
      </c>
      <c r="J348" s="4">
        <v>0</v>
      </c>
      <c r="K348" s="4"/>
      <c r="L348" s="16"/>
      <c r="M348" s="4"/>
      <c r="N348" s="4"/>
      <c r="O348" s="4"/>
      <c r="P348" s="4"/>
      <c r="Q348" s="4"/>
      <c r="R348" s="4"/>
      <c r="S348" s="4">
        <v>0</v>
      </c>
      <c r="T348" s="4">
        <v>0</v>
      </c>
      <c r="U348" s="4">
        <v>0</v>
      </c>
      <c r="V348" s="4">
        <v>12</v>
      </c>
      <c r="W348" s="4">
        <v>12</v>
      </c>
      <c r="X348" s="4">
        <v>15</v>
      </c>
      <c r="Y348" s="4"/>
      <c r="Z348" s="4">
        <v>452.4</v>
      </c>
      <c r="AA348" s="4">
        <v>450</v>
      </c>
      <c r="AB348" s="18"/>
      <c r="AC348" s="18">
        <v>7</v>
      </c>
      <c r="AD348" s="28"/>
      <c r="AE348" s="26"/>
      <c r="AF348" s="28"/>
    </row>
    <row r="349" spans="1:32" ht="13.5" customHeight="1" x14ac:dyDescent="0.25">
      <c r="A349" s="14">
        <v>45702</v>
      </c>
      <c r="B349" s="14" t="s">
        <v>46</v>
      </c>
      <c r="C349" s="15">
        <v>1</v>
      </c>
      <c r="D349" s="16">
        <v>3</v>
      </c>
      <c r="E349" s="16"/>
      <c r="F349" s="17"/>
      <c r="G349" s="21"/>
      <c r="H349" s="21"/>
      <c r="I349" s="4">
        <v>3</v>
      </c>
      <c r="J349" s="4">
        <v>0.05</v>
      </c>
      <c r="K349" s="4"/>
      <c r="L349" s="16"/>
      <c r="M349" s="4"/>
      <c r="N349" s="4"/>
      <c r="O349" s="4"/>
      <c r="P349" s="4"/>
      <c r="Q349" s="4"/>
      <c r="R349" s="4"/>
      <c r="S349" s="4">
        <v>0</v>
      </c>
      <c r="T349" s="4">
        <v>0</v>
      </c>
      <c r="U349" s="4">
        <v>0.05</v>
      </c>
      <c r="V349" s="4">
        <v>11.95</v>
      </c>
      <c r="W349" s="4">
        <v>12</v>
      </c>
      <c r="X349" s="4">
        <v>40</v>
      </c>
      <c r="Y349" s="4">
        <v>1781</v>
      </c>
      <c r="Z349" s="4">
        <v>146.30000000000001</v>
      </c>
      <c r="AA349" s="4">
        <v>150</v>
      </c>
      <c r="AB349" s="18">
        <v>372</v>
      </c>
      <c r="AC349" s="18">
        <v>7</v>
      </c>
      <c r="AD349" s="28"/>
      <c r="AE349" s="26"/>
      <c r="AF349" s="28"/>
    </row>
    <row r="350" spans="1:32" ht="13.5" customHeight="1" x14ac:dyDescent="0.25">
      <c r="A350" s="14">
        <v>45702</v>
      </c>
      <c r="B350" s="14" t="s">
        <v>47</v>
      </c>
      <c r="C350" s="15">
        <v>1</v>
      </c>
      <c r="D350" s="16">
        <v>5</v>
      </c>
      <c r="E350" s="16"/>
      <c r="F350" s="17"/>
      <c r="G350" s="21"/>
      <c r="H350" s="21"/>
      <c r="I350" s="4">
        <v>5</v>
      </c>
      <c r="J350" s="4">
        <v>8.3333333333333329E-2</v>
      </c>
      <c r="K350" s="4"/>
      <c r="L350" s="16"/>
      <c r="M350" s="4"/>
      <c r="N350" s="4"/>
      <c r="O350" s="4"/>
      <c r="P350" s="4"/>
      <c r="Q350" s="4"/>
      <c r="R350" s="4"/>
      <c r="S350" s="4">
        <v>0</v>
      </c>
      <c r="T350" s="4">
        <v>0</v>
      </c>
      <c r="U350" s="4">
        <v>8.3333333333333329E-2</v>
      </c>
      <c r="V350" s="4">
        <v>11.916666666666666</v>
      </c>
      <c r="W350" s="4">
        <v>12</v>
      </c>
      <c r="X350" s="4">
        <v>0</v>
      </c>
      <c r="Y350" s="4"/>
      <c r="Z350" s="4">
        <v>155.69999999999999</v>
      </c>
      <c r="AA350" s="4">
        <v>150</v>
      </c>
      <c r="AB350" s="18"/>
      <c r="AC350" s="18">
        <v>7</v>
      </c>
      <c r="AD350" s="28"/>
      <c r="AE350" s="26"/>
      <c r="AF350" s="28"/>
    </row>
    <row r="351" spans="1:32" ht="13.5" customHeight="1" x14ac:dyDescent="0.25">
      <c r="A351" s="14">
        <v>45702</v>
      </c>
      <c r="B351" s="14" t="s">
        <v>46</v>
      </c>
      <c r="C351" s="15">
        <v>2</v>
      </c>
      <c r="D351" s="16">
        <v>2</v>
      </c>
      <c r="E351" s="16"/>
      <c r="F351" s="17"/>
      <c r="G351" s="21"/>
      <c r="H351" s="21"/>
      <c r="I351" s="4">
        <v>2</v>
      </c>
      <c r="J351" s="4">
        <v>3.3333333333333333E-2</v>
      </c>
      <c r="K351" s="4"/>
      <c r="L351" s="16"/>
      <c r="M351" s="4"/>
      <c r="N351" s="4"/>
      <c r="O351" s="4"/>
      <c r="P351" s="4"/>
      <c r="Q351" s="4"/>
      <c r="R351" s="4"/>
      <c r="S351" s="4">
        <v>0</v>
      </c>
      <c r="T351" s="4">
        <v>0</v>
      </c>
      <c r="U351" s="4">
        <v>3.3333333333333333E-2</v>
      </c>
      <c r="V351" s="4">
        <v>11.966666666666667</v>
      </c>
      <c r="W351" s="4">
        <v>12</v>
      </c>
      <c r="X351" s="4">
        <v>40</v>
      </c>
      <c r="Y351" s="4"/>
      <c r="Z351" s="4">
        <v>408.1</v>
      </c>
      <c r="AA351" s="4">
        <v>400</v>
      </c>
      <c r="AB351" s="18"/>
      <c r="AC351" s="18">
        <v>7</v>
      </c>
      <c r="AD351" s="28"/>
      <c r="AE351" s="26"/>
      <c r="AF351" s="28"/>
    </row>
    <row r="352" spans="1:32" ht="13.5" customHeight="1" x14ac:dyDescent="0.25">
      <c r="A352" s="14">
        <v>45702</v>
      </c>
      <c r="B352" s="14" t="s">
        <v>47</v>
      </c>
      <c r="C352" s="15">
        <v>2</v>
      </c>
      <c r="D352" s="16">
        <v>35</v>
      </c>
      <c r="E352" s="16"/>
      <c r="F352" s="17"/>
      <c r="G352" s="21"/>
      <c r="H352" s="21"/>
      <c r="I352" s="4">
        <v>35</v>
      </c>
      <c r="J352" s="4">
        <v>0.58333333333333337</v>
      </c>
      <c r="K352" s="4"/>
      <c r="L352" s="16"/>
      <c r="M352" s="4"/>
      <c r="N352" s="4"/>
      <c r="O352" s="4"/>
      <c r="P352" s="4"/>
      <c r="Q352" s="4"/>
      <c r="R352" s="4"/>
      <c r="S352" s="4">
        <v>0</v>
      </c>
      <c r="T352" s="4">
        <v>0</v>
      </c>
      <c r="U352" s="4">
        <v>0.58333333333333337</v>
      </c>
      <c r="V352" s="4">
        <v>11.416666666666666</v>
      </c>
      <c r="W352" s="4">
        <v>12</v>
      </c>
      <c r="X352" s="4">
        <v>0</v>
      </c>
      <c r="Y352" s="4"/>
      <c r="Z352" s="4">
        <v>469.90000000000003</v>
      </c>
      <c r="AA352" s="4">
        <v>450</v>
      </c>
      <c r="AB352" s="18"/>
      <c r="AC352" s="18">
        <v>7</v>
      </c>
      <c r="AD352" s="28"/>
      <c r="AE352" s="26"/>
      <c r="AF352" s="28"/>
    </row>
    <row r="353" spans="1:32" ht="13.5" customHeight="1" x14ac:dyDescent="0.25">
      <c r="A353" s="14">
        <v>45702</v>
      </c>
      <c r="B353" s="14" t="s">
        <v>46</v>
      </c>
      <c r="C353" s="15">
        <v>6</v>
      </c>
      <c r="D353" s="16">
        <v>13</v>
      </c>
      <c r="E353" s="16"/>
      <c r="F353" s="17"/>
      <c r="G353" s="21"/>
      <c r="H353" s="21"/>
      <c r="I353" s="4">
        <v>13</v>
      </c>
      <c r="J353" s="4">
        <v>0.21666666666666667</v>
      </c>
      <c r="K353" s="4"/>
      <c r="L353" s="16">
        <v>10</v>
      </c>
      <c r="M353" s="4"/>
      <c r="N353" s="4"/>
      <c r="O353" s="4"/>
      <c r="P353" s="4"/>
      <c r="Q353" s="4"/>
      <c r="R353" s="4"/>
      <c r="S353" s="4">
        <v>10</v>
      </c>
      <c r="T353" s="4">
        <v>0.16666666666666666</v>
      </c>
      <c r="U353" s="4">
        <v>0.3833333333333333</v>
      </c>
      <c r="V353" s="4">
        <v>11.616666666666667</v>
      </c>
      <c r="W353" s="4">
        <v>12</v>
      </c>
      <c r="X353" s="4">
        <v>0</v>
      </c>
      <c r="Y353" s="4"/>
      <c r="Z353" s="4">
        <v>640.70000000000005</v>
      </c>
      <c r="AA353" s="4">
        <v>650</v>
      </c>
      <c r="AB353" s="18"/>
      <c r="AC353" s="18">
        <v>7</v>
      </c>
      <c r="AD353" s="28"/>
      <c r="AE353" s="26"/>
      <c r="AF353" s="28"/>
    </row>
    <row r="354" spans="1:32" ht="13.5" customHeight="1" x14ac:dyDescent="0.25">
      <c r="A354" s="14">
        <v>45702</v>
      </c>
      <c r="B354" s="14" t="s">
        <v>47</v>
      </c>
      <c r="C354" s="15">
        <v>6</v>
      </c>
      <c r="D354" s="16">
        <v>10</v>
      </c>
      <c r="E354" s="16"/>
      <c r="F354" s="17"/>
      <c r="G354" s="21"/>
      <c r="H354" s="21"/>
      <c r="I354" s="4">
        <v>10</v>
      </c>
      <c r="J354" s="4">
        <v>0.16666666666666666</v>
      </c>
      <c r="K354" s="4"/>
      <c r="L354" s="16"/>
      <c r="M354" s="4"/>
      <c r="N354" s="4">
        <v>15</v>
      </c>
      <c r="O354" s="4"/>
      <c r="P354" s="4"/>
      <c r="Q354" s="4">
        <v>75</v>
      </c>
      <c r="R354" s="4"/>
      <c r="S354" s="4">
        <v>90</v>
      </c>
      <c r="T354" s="4">
        <v>1.5</v>
      </c>
      <c r="U354" s="4">
        <v>1.6666666666666667</v>
      </c>
      <c r="V354" s="4">
        <v>10.333333333333334</v>
      </c>
      <c r="W354" s="4">
        <v>12</v>
      </c>
      <c r="X354" s="4">
        <v>36</v>
      </c>
      <c r="Y354" s="4"/>
      <c r="Z354" s="4">
        <v>678.8</v>
      </c>
      <c r="AA354" s="4">
        <v>700</v>
      </c>
      <c r="AB354" s="18"/>
      <c r="AC354" s="18">
        <v>7</v>
      </c>
      <c r="AD354" s="28"/>
      <c r="AE354" s="26"/>
      <c r="AF354" s="28"/>
    </row>
    <row r="355" spans="1:32" ht="13.5" customHeight="1" x14ac:dyDescent="0.25">
      <c r="A355" s="14">
        <v>45702</v>
      </c>
      <c r="B355" s="14" t="s">
        <v>46</v>
      </c>
      <c r="C355" s="15">
        <v>7</v>
      </c>
      <c r="D355" s="16"/>
      <c r="E355" s="16"/>
      <c r="F355" s="17"/>
      <c r="G355" s="21"/>
      <c r="H355" s="21"/>
      <c r="I355" s="4">
        <v>0</v>
      </c>
      <c r="J355" s="4">
        <v>0</v>
      </c>
      <c r="K355" s="4"/>
      <c r="L355" s="16"/>
      <c r="M355" s="4"/>
      <c r="N355" s="4"/>
      <c r="O355" s="4"/>
      <c r="P355" s="4"/>
      <c r="Q355" s="4"/>
      <c r="R355" s="4"/>
      <c r="S355" s="4">
        <v>0</v>
      </c>
      <c r="T355" s="4">
        <v>0</v>
      </c>
      <c r="U355" s="4">
        <v>0</v>
      </c>
      <c r="V355" s="4">
        <v>12</v>
      </c>
      <c r="W355" s="4">
        <v>12</v>
      </c>
      <c r="X355" s="4">
        <v>0</v>
      </c>
      <c r="Y355" s="4"/>
      <c r="Z355" s="4">
        <v>341.5</v>
      </c>
      <c r="AA355" s="4">
        <v>350</v>
      </c>
      <c r="AB355" s="18"/>
      <c r="AC355" s="18">
        <v>7</v>
      </c>
      <c r="AD355" s="28"/>
      <c r="AE355" s="26"/>
      <c r="AF355" s="28"/>
    </row>
    <row r="356" spans="1:32" ht="13.5" customHeight="1" x14ac:dyDescent="0.25">
      <c r="A356" s="14">
        <v>45702</v>
      </c>
      <c r="B356" s="14" t="s">
        <v>47</v>
      </c>
      <c r="C356" s="15">
        <v>7</v>
      </c>
      <c r="D356" s="16">
        <v>4</v>
      </c>
      <c r="E356" s="16"/>
      <c r="F356" s="17"/>
      <c r="G356" s="21"/>
      <c r="H356" s="21"/>
      <c r="I356" s="4">
        <v>4</v>
      </c>
      <c r="J356" s="4">
        <v>6.6666666666666666E-2</v>
      </c>
      <c r="K356" s="4"/>
      <c r="L356" s="16"/>
      <c r="M356" s="4"/>
      <c r="N356" s="4"/>
      <c r="O356" s="4"/>
      <c r="P356" s="4"/>
      <c r="Q356" s="4"/>
      <c r="R356" s="4"/>
      <c r="S356" s="4">
        <v>0</v>
      </c>
      <c r="T356" s="4">
        <v>0</v>
      </c>
      <c r="U356" s="4">
        <v>6.6666666666666666E-2</v>
      </c>
      <c r="V356" s="4">
        <v>11.933333333333334</v>
      </c>
      <c r="W356" s="4">
        <v>12</v>
      </c>
      <c r="X356" s="4">
        <v>13.3</v>
      </c>
      <c r="Y356" s="4"/>
      <c r="Z356" s="4">
        <v>294.60000000000002</v>
      </c>
      <c r="AA356" s="4">
        <v>300</v>
      </c>
      <c r="AB356" s="18"/>
      <c r="AC356" s="18">
        <v>7</v>
      </c>
      <c r="AD356" s="28"/>
      <c r="AE356" s="26"/>
      <c r="AF356" s="28"/>
    </row>
    <row r="357" spans="1:32" ht="13.5" customHeight="1" x14ac:dyDescent="0.25">
      <c r="A357" s="14">
        <v>45703</v>
      </c>
      <c r="B357" s="14" t="s">
        <v>46</v>
      </c>
      <c r="C357" s="15">
        <v>1</v>
      </c>
      <c r="D357" s="16">
        <v>5</v>
      </c>
      <c r="E357" s="16"/>
      <c r="F357" s="17"/>
      <c r="G357" s="21"/>
      <c r="H357" s="21"/>
      <c r="I357" s="4">
        <v>5</v>
      </c>
      <c r="J357" s="4">
        <v>8.3333333333333329E-2</v>
      </c>
      <c r="K357" s="4"/>
      <c r="L357" s="16"/>
      <c r="M357" s="4"/>
      <c r="N357" s="4"/>
      <c r="O357" s="4"/>
      <c r="P357" s="4"/>
      <c r="Q357" s="4"/>
      <c r="R357" s="4"/>
      <c r="S357" s="4">
        <v>0</v>
      </c>
      <c r="T357" s="4">
        <v>0</v>
      </c>
      <c r="U357" s="4">
        <v>8.3333333333333329E-2</v>
      </c>
      <c r="V357" s="4">
        <v>11.916666666666666</v>
      </c>
      <c r="W357" s="4">
        <v>12</v>
      </c>
      <c r="X357" s="4">
        <v>0</v>
      </c>
      <c r="Y357" s="4">
        <v>1667</v>
      </c>
      <c r="Z357" s="4">
        <v>102.19999999999999</v>
      </c>
      <c r="AA357" s="4">
        <v>100</v>
      </c>
      <c r="AB357" s="18">
        <v>372</v>
      </c>
      <c r="AC357" s="18">
        <v>7</v>
      </c>
      <c r="AD357" s="28"/>
      <c r="AE357" s="26"/>
      <c r="AF357" s="28"/>
    </row>
    <row r="358" spans="1:32" ht="13.5" customHeight="1" x14ac:dyDescent="0.25">
      <c r="A358" s="14">
        <v>45703</v>
      </c>
      <c r="B358" s="14" t="s">
        <v>47</v>
      </c>
      <c r="C358" s="15">
        <v>1</v>
      </c>
      <c r="D358" s="16"/>
      <c r="E358" s="16"/>
      <c r="F358" s="17"/>
      <c r="G358" s="21"/>
      <c r="H358" s="21"/>
      <c r="I358" s="4">
        <v>0</v>
      </c>
      <c r="J358" s="4">
        <v>0</v>
      </c>
      <c r="K358" s="4"/>
      <c r="L358" s="16"/>
      <c r="M358" s="4"/>
      <c r="N358" s="4"/>
      <c r="O358" s="4"/>
      <c r="P358" s="4"/>
      <c r="Q358" s="4"/>
      <c r="R358" s="4"/>
      <c r="S358" s="4">
        <v>0</v>
      </c>
      <c r="T358" s="4">
        <v>0</v>
      </c>
      <c r="U358" s="4">
        <v>0</v>
      </c>
      <c r="V358" s="4">
        <v>12</v>
      </c>
      <c r="W358" s="4">
        <v>12</v>
      </c>
      <c r="X358" s="4">
        <v>3</v>
      </c>
      <c r="Y358" s="4"/>
      <c r="Z358" s="4">
        <v>160.18</v>
      </c>
      <c r="AA358" s="4">
        <v>150</v>
      </c>
      <c r="AB358" s="18"/>
      <c r="AC358" s="18">
        <v>7</v>
      </c>
      <c r="AD358" s="28"/>
      <c r="AE358" s="26"/>
      <c r="AF358" s="28"/>
    </row>
    <row r="359" spans="1:32" ht="13.5" customHeight="1" x14ac:dyDescent="0.25">
      <c r="A359" s="14">
        <v>45703</v>
      </c>
      <c r="B359" s="14" t="s">
        <v>47</v>
      </c>
      <c r="C359" s="15">
        <v>3</v>
      </c>
      <c r="D359" s="16">
        <v>10</v>
      </c>
      <c r="E359" s="16"/>
      <c r="F359" s="17"/>
      <c r="G359" s="21"/>
      <c r="H359" s="21"/>
      <c r="I359" s="4">
        <v>10</v>
      </c>
      <c r="J359" s="4">
        <v>0.16666666666666666</v>
      </c>
      <c r="K359" s="4"/>
      <c r="L359" s="16"/>
      <c r="M359" s="4"/>
      <c r="N359" s="4"/>
      <c r="O359" s="4"/>
      <c r="P359" s="4"/>
      <c r="Q359" s="4"/>
      <c r="R359" s="4"/>
      <c r="S359" s="4">
        <v>0</v>
      </c>
      <c r="T359" s="4">
        <v>0</v>
      </c>
      <c r="U359" s="4">
        <v>0.16666666666666666</v>
      </c>
      <c r="V359" s="4">
        <v>11.833333333333334</v>
      </c>
      <c r="W359" s="4">
        <v>12</v>
      </c>
      <c r="X359" s="4">
        <v>5</v>
      </c>
      <c r="Y359" s="4"/>
      <c r="Z359" s="4">
        <v>236.79999999999998</v>
      </c>
      <c r="AA359" s="4">
        <v>300</v>
      </c>
      <c r="AB359" s="18"/>
      <c r="AC359" s="18">
        <v>7</v>
      </c>
      <c r="AD359" s="28"/>
      <c r="AE359" s="26"/>
      <c r="AF359" s="28"/>
    </row>
    <row r="360" spans="1:32" ht="13.5" customHeight="1" x14ac:dyDescent="0.25">
      <c r="A360" s="14">
        <v>45703</v>
      </c>
      <c r="B360" s="14" t="s">
        <v>46</v>
      </c>
      <c r="C360" s="15">
        <v>6</v>
      </c>
      <c r="D360" s="16"/>
      <c r="E360" s="16"/>
      <c r="F360" s="17"/>
      <c r="G360" s="21"/>
      <c r="H360" s="21"/>
      <c r="I360" s="4">
        <v>0</v>
      </c>
      <c r="J360" s="4">
        <v>0</v>
      </c>
      <c r="K360" s="4"/>
      <c r="L360" s="16"/>
      <c r="M360" s="4"/>
      <c r="N360" s="4"/>
      <c r="O360" s="4"/>
      <c r="P360" s="4"/>
      <c r="Q360" s="4"/>
      <c r="R360" s="4"/>
      <c r="S360" s="4">
        <v>0</v>
      </c>
      <c r="T360" s="4">
        <v>0</v>
      </c>
      <c r="U360" s="4">
        <v>0</v>
      </c>
      <c r="V360" s="4">
        <v>12</v>
      </c>
      <c r="W360" s="4">
        <v>12</v>
      </c>
      <c r="X360" s="4">
        <v>0</v>
      </c>
      <c r="Y360" s="4"/>
      <c r="Z360" s="4">
        <v>829.34999999999991</v>
      </c>
      <c r="AA360" s="4">
        <v>800</v>
      </c>
      <c r="AB360" s="18"/>
      <c r="AC360" s="18">
        <v>7</v>
      </c>
      <c r="AD360" s="28"/>
      <c r="AE360" s="26"/>
      <c r="AF360" s="28"/>
    </row>
    <row r="361" spans="1:32" ht="13.5" customHeight="1" x14ac:dyDescent="0.25">
      <c r="A361" s="14">
        <v>45703</v>
      </c>
      <c r="B361" s="14" t="s">
        <v>47</v>
      </c>
      <c r="C361" s="15">
        <v>6</v>
      </c>
      <c r="D361" s="16">
        <v>15</v>
      </c>
      <c r="E361" s="16"/>
      <c r="F361" s="17"/>
      <c r="G361" s="21"/>
      <c r="H361" s="21"/>
      <c r="I361" s="4">
        <v>15</v>
      </c>
      <c r="J361" s="4">
        <v>0.25</v>
      </c>
      <c r="K361" s="4"/>
      <c r="L361" s="16"/>
      <c r="M361" s="4"/>
      <c r="N361" s="4"/>
      <c r="O361" s="4"/>
      <c r="P361" s="4"/>
      <c r="Q361" s="4"/>
      <c r="R361" s="4"/>
      <c r="S361" s="4">
        <v>0</v>
      </c>
      <c r="T361" s="4">
        <v>0</v>
      </c>
      <c r="U361" s="4">
        <v>0.25</v>
      </c>
      <c r="V361" s="4">
        <v>11.75</v>
      </c>
      <c r="W361" s="4">
        <v>12</v>
      </c>
      <c r="X361" s="4">
        <v>11.2</v>
      </c>
      <c r="Y361" s="4"/>
      <c r="Z361" s="4">
        <v>640.20000000000005</v>
      </c>
      <c r="AA361" s="4">
        <v>650</v>
      </c>
      <c r="AB361" s="18"/>
      <c r="AC361" s="18">
        <v>7</v>
      </c>
      <c r="AD361" s="28"/>
      <c r="AE361" s="26"/>
      <c r="AF361" s="28"/>
    </row>
    <row r="362" spans="1:32" ht="13.5" customHeight="1" x14ac:dyDescent="0.25">
      <c r="A362" s="14">
        <v>45703</v>
      </c>
      <c r="B362" s="14" t="s">
        <v>46</v>
      </c>
      <c r="C362" s="15">
        <v>7</v>
      </c>
      <c r="D362" s="16"/>
      <c r="E362" s="16"/>
      <c r="F362" s="17"/>
      <c r="G362" s="21"/>
      <c r="H362" s="21"/>
      <c r="I362" s="4">
        <v>0</v>
      </c>
      <c r="J362" s="4">
        <v>0</v>
      </c>
      <c r="K362" s="4"/>
      <c r="L362" s="16"/>
      <c r="M362" s="4"/>
      <c r="N362" s="4"/>
      <c r="O362" s="4"/>
      <c r="P362" s="4"/>
      <c r="Q362" s="4"/>
      <c r="R362" s="4"/>
      <c r="S362" s="4">
        <v>0</v>
      </c>
      <c r="T362" s="4">
        <v>0</v>
      </c>
      <c r="U362" s="4">
        <v>0</v>
      </c>
      <c r="V362" s="4">
        <v>12</v>
      </c>
      <c r="W362" s="4">
        <v>12</v>
      </c>
      <c r="X362" s="4">
        <v>0</v>
      </c>
      <c r="Y362" s="4"/>
      <c r="Z362" s="4">
        <v>448.38</v>
      </c>
      <c r="AA362" s="4">
        <v>450</v>
      </c>
      <c r="AB362" s="18"/>
      <c r="AC362" s="18">
        <v>7</v>
      </c>
      <c r="AD362" s="28"/>
      <c r="AE362" s="26"/>
      <c r="AF362" s="28"/>
    </row>
    <row r="363" spans="1:32" ht="13.5" customHeight="1" x14ac:dyDescent="0.25">
      <c r="A363" s="14">
        <v>45703</v>
      </c>
      <c r="B363" s="14" t="s">
        <v>47</v>
      </c>
      <c r="C363" s="15">
        <v>7</v>
      </c>
      <c r="D363" s="16"/>
      <c r="E363" s="16"/>
      <c r="F363" s="17"/>
      <c r="G363" s="21"/>
      <c r="H363" s="21"/>
      <c r="I363" s="4">
        <v>0</v>
      </c>
      <c r="J363" s="4">
        <v>0</v>
      </c>
      <c r="K363" s="4"/>
      <c r="L363" s="16"/>
      <c r="M363" s="4"/>
      <c r="N363" s="4"/>
      <c r="O363" s="4"/>
      <c r="P363" s="4"/>
      <c r="Q363" s="4"/>
      <c r="R363" s="4"/>
      <c r="S363" s="4">
        <v>0</v>
      </c>
      <c r="T363" s="4">
        <v>0</v>
      </c>
      <c r="U363" s="4">
        <v>0</v>
      </c>
      <c r="V363" s="4">
        <v>12</v>
      </c>
      <c r="W363" s="4">
        <v>12</v>
      </c>
      <c r="X363" s="4">
        <v>15.2</v>
      </c>
      <c r="Y363" s="4"/>
      <c r="Z363" s="4">
        <v>550.24</v>
      </c>
      <c r="AA363" s="4">
        <v>550</v>
      </c>
      <c r="AB363" s="18"/>
      <c r="AC363" s="18">
        <v>7</v>
      </c>
      <c r="AD363" s="28"/>
      <c r="AE363" s="26"/>
      <c r="AF363" s="28"/>
    </row>
    <row r="364" spans="1:32" ht="13.5" customHeight="1" x14ac:dyDescent="0.25">
      <c r="A364" s="14">
        <v>45704</v>
      </c>
      <c r="B364" s="14" t="s">
        <v>46</v>
      </c>
      <c r="C364" s="15">
        <v>1</v>
      </c>
      <c r="D364" s="16"/>
      <c r="E364" s="16"/>
      <c r="F364" s="17"/>
      <c r="G364" s="21"/>
      <c r="H364" s="21"/>
      <c r="I364" s="4">
        <v>0</v>
      </c>
      <c r="J364" s="4">
        <v>0</v>
      </c>
      <c r="K364" s="4"/>
      <c r="L364" s="16"/>
      <c r="M364" s="4"/>
      <c r="N364" s="4"/>
      <c r="O364" s="4"/>
      <c r="P364" s="4"/>
      <c r="Q364" s="4"/>
      <c r="R364" s="4"/>
      <c r="S364" s="4">
        <v>0</v>
      </c>
      <c r="T364" s="4">
        <v>0</v>
      </c>
      <c r="U364" s="4">
        <v>0</v>
      </c>
      <c r="V364" s="4">
        <v>12</v>
      </c>
      <c r="W364" s="4">
        <v>12</v>
      </c>
      <c r="X364" s="4">
        <v>0</v>
      </c>
      <c r="Y364" s="4">
        <v>1795</v>
      </c>
      <c r="Z364" s="4">
        <v>140.6</v>
      </c>
      <c r="AA364" s="4">
        <v>150</v>
      </c>
      <c r="AB364" s="18">
        <v>372</v>
      </c>
      <c r="AC364" s="18">
        <v>7</v>
      </c>
      <c r="AD364" s="28"/>
      <c r="AE364" s="26"/>
      <c r="AF364" s="28"/>
    </row>
    <row r="365" spans="1:32" ht="13.5" customHeight="1" x14ac:dyDescent="0.25">
      <c r="A365" s="14">
        <v>45704</v>
      </c>
      <c r="B365" s="14" t="s">
        <v>47</v>
      </c>
      <c r="C365" s="15">
        <v>1</v>
      </c>
      <c r="D365" s="16"/>
      <c r="E365" s="16"/>
      <c r="F365" s="17"/>
      <c r="G365" s="21"/>
      <c r="H365" s="21"/>
      <c r="I365" s="4">
        <v>0</v>
      </c>
      <c r="J365" s="4">
        <v>0</v>
      </c>
      <c r="K365" s="4"/>
      <c r="L365" s="16"/>
      <c r="M365" s="4"/>
      <c r="N365" s="4"/>
      <c r="O365" s="4"/>
      <c r="P365" s="4"/>
      <c r="Q365" s="4"/>
      <c r="R365" s="4"/>
      <c r="S365" s="4">
        <v>0</v>
      </c>
      <c r="T365" s="4">
        <v>0</v>
      </c>
      <c r="U365" s="4">
        <v>0</v>
      </c>
      <c r="V365" s="4">
        <v>12</v>
      </c>
      <c r="W365" s="4">
        <v>12</v>
      </c>
      <c r="X365" s="4">
        <v>0</v>
      </c>
      <c r="Y365" s="4"/>
      <c r="Z365" s="4">
        <v>166.72</v>
      </c>
      <c r="AA365" s="4">
        <v>150</v>
      </c>
      <c r="AB365" s="18"/>
      <c r="AC365" s="18">
        <v>7</v>
      </c>
      <c r="AD365" s="28"/>
      <c r="AE365" s="26"/>
      <c r="AF365" s="28"/>
    </row>
    <row r="366" spans="1:32" ht="13.5" customHeight="1" x14ac:dyDescent="0.25">
      <c r="A366" s="14">
        <v>45704</v>
      </c>
      <c r="B366" s="14" t="s">
        <v>46</v>
      </c>
      <c r="C366" s="15">
        <v>3</v>
      </c>
      <c r="D366" s="16"/>
      <c r="E366" s="16"/>
      <c r="F366" s="17"/>
      <c r="G366" s="21"/>
      <c r="H366" s="21"/>
      <c r="I366" s="4">
        <v>0</v>
      </c>
      <c r="J366" s="4">
        <v>0</v>
      </c>
      <c r="K366" s="4"/>
      <c r="L366" s="16"/>
      <c r="M366" s="4"/>
      <c r="N366" s="4"/>
      <c r="O366" s="4"/>
      <c r="P366" s="4"/>
      <c r="Q366" s="4"/>
      <c r="R366" s="4"/>
      <c r="S366" s="4">
        <v>0</v>
      </c>
      <c r="T366" s="4">
        <v>0</v>
      </c>
      <c r="U366" s="4">
        <v>0</v>
      </c>
      <c r="V366" s="4">
        <v>12</v>
      </c>
      <c r="W366" s="4">
        <v>12</v>
      </c>
      <c r="X366" s="4">
        <v>0</v>
      </c>
      <c r="Y366" s="4"/>
      <c r="Z366" s="4">
        <v>252.7</v>
      </c>
      <c r="AA366" s="4">
        <v>250</v>
      </c>
      <c r="AB366" s="18"/>
      <c r="AC366" s="18">
        <v>7</v>
      </c>
      <c r="AD366" s="28"/>
      <c r="AE366" s="26"/>
      <c r="AF366" s="28"/>
    </row>
    <row r="367" spans="1:32" ht="13.5" customHeight="1" x14ac:dyDescent="0.25">
      <c r="A367" s="14">
        <v>45704</v>
      </c>
      <c r="B367" s="14" t="s">
        <v>47</v>
      </c>
      <c r="C367" s="15">
        <v>3</v>
      </c>
      <c r="D367" s="16"/>
      <c r="E367" s="16"/>
      <c r="F367" s="17"/>
      <c r="G367" s="21"/>
      <c r="H367" s="21"/>
      <c r="I367" s="4">
        <v>0</v>
      </c>
      <c r="J367" s="4">
        <v>0</v>
      </c>
      <c r="K367" s="4"/>
      <c r="L367" s="16"/>
      <c r="M367" s="4"/>
      <c r="N367" s="4"/>
      <c r="O367" s="4"/>
      <c r="P367" s="4"/>
      <c r="Q367" s="4"/>
      <c r="R367" s="4"/>
      <c r="S367" s="4">
        <v>0</v>
      </c>
      <c r="T367" s="4">
        <v>0</v>
      </c>
      <c r="U367" s="4">
        <v>0</v>
      </c>
      <c r="V367" s="4">
        <v>12</v>
      </c>
      <c r="W367" s="4">
        <v>12</v>
      </c>
      <c r="X367" s="4">
        <v>0</v>
      </c>
      <c r="Y367" s="4"/>
      <c r="Z367" s="4">
        <v>287.5</v>
      </c>
      <c r="AA367" s="4">
        <v>300</v>
      </c>
      <c r="AB367" s="18"/>
      <c r="AC367" s="18">
        <v>7</v>
      </c>
      <c r="AD367" s="28"/>
      <c r="AE367" s="26"/>
      <c r="AF367" s="28"/>
    </row>
    <row r="368" spans="1:32" ht="13.5" customHeight="1" x14ac:dyDescent="0.25">
      <c r="A368" s="14">
        <v>45704</v>
      </c>
      <c r="B368" s="14" t="s">
        <v>46</v>
      </c>
      <c r="C368" s="15">
        <v>6</v>
      </c>
      <c r="D368" s="16">
        <v>18</v>
      </c>
      <c r="E368" s="16"/>
      <c r="F368" s="17"/>
      <c r="G368" s="21"/>
      <c r="H368" s="21"/>
      <c r="I368" s="4">
        <v>18</v>
      </c>
      <c r="J368" s="4">
        <v>0.3</v>
      </c>
      <c r="K368" s="4"/>
      <c r="L368" s="16"/>
      <c r="M368" s="4"/>
      <c r="N368" s="4"/>
      <c r="O368" s="4"/>
      <c r="P368" s="4"/>
      <c r="Q368" s="4"/>
      <c r="R368" s="4"/>
      <c r="S368" s="4">
        <v>0</v>
      </c>
      <c r="T368" s="4">
        <v>0</v>
      </c>
      <c r="U368" s="4">
        <v>0.3</v>
      </c>
      <c r="V368" s="4">
        <v>11.7</v>
      </c>
      <c r="W368" s="4">
        <v>12</v>
      </c>
      <c r="X368" s="4">
        <v>7</v>
      </c>
      <c r="Y368" s="4"/>
      <c r="Z368" s="4">
        <v>487.30000000000007</v>
      </c>
      <c r="AA368" s="4">
        <v>500</v>
      </c>
      <c r="AB368" s="18"/>
      <c r="AC368" s="18">
        <v>7</v>
      </c>
      <c r="AD368" s="28"/>
      <c r="AE368" s="26"/>
      <c r="AF368" s="28"/>
    </row>
    <row r="369" spans="1:32" ht="13.5" customHeight="1" x14ac:dyDescent="0.25">
      <c r="A369" s="14">
        <v>45704</v>
      </c>
      <c r="B369" s="14" t="s">
        <v>47</v>
      </c>
      <c r="C369" s="15">
        <v>6</v>
      </c>
      <c r="D369" s="16"/>
      <c r="E369" s="16"/>
      <c r="F369" s="17"/>
      <c r="G369" s="21"/>
      <c r="H369" s="21"/>
      <c r="I369" s="4">
        <v>0</v>
      </c>
      <c r="J369" s="4">
        <v>0</v>
      </c>
      <c r="K369" s="4"/>
      <c r="L369" s="16"/>
      <c r="M369" s="4"/>
      <c r="N369" s="4"/>
      <c r="O369" s="4"/>
      <c r="P369" s="4"/>
      <c r="Q369" s="4"/>
      <c r="R369" s="4"/>
      <c r="S369" s="4">
        <v>0</v>
      </c>
      <c r="T369" s="4">
        <v>0</v>
      </c>
      <c r="U369" s="4">
        <v>0</v>
      </c>
      <c r="V369" s="4">
        <v>12</v>
      </c>
      <c r="W369" s="4">
        <v>12</v>
      </c>
      <c r="X369" s="4">
        <v>0</v>
      </c>
      <c r="Y369" s="4"/>
      <c r="Z369" s="4">
        <v>607.39999999999986</v>
      </c>
      <c r="AA369" s="4">
        <v>600</v>
      </c>
      <c r="AB369" s="18"/>
      <c r="AC369" s="18">
        <v>7</v>
      </c>
      <c r="AD369" s="28"/>
      <c r="AE369" s="26"/>
      <c r="AF369" s="28"/>
    </row>
    <row r="370" spans="1:32" ht="13.5" customHeight="1" x14ac:dyDescent="0.25">
      <c r="A370" s="14">
        <v>45704</v>
      </c>
      <c r="B370" s="14" t="s">
        <v>46</v>
      </c>
      <c r="C370" s="15">
        <v>7</v>
      </c>
      <c r="D370" s="16"/>
      <c r="E370" s="16"/>
      <c r="F370" s="17"/>
      <c r="G370" s="21"/>
      <c r="H370" s="21"/>
      <c r="I370" s="4">
        <v>0</v>
      </c>
      <c r="J370" s="4">
        <v>0</v>
      </c>
      <c r="K370" s="4"/>
      <c r="L370" s="16"/>
      <c r="M370" s="4"/>
      <c r="N370" s="4"/>
      <c r="O370" s="4"/>
      <c r="P370" s="4"/>
      <c r="Q370" s="4"/>
      <c r="R370" s="4"/>
      <c r="S370" s="4">
        <v>0</v>
      </c>
      <c r="T370" s="4">
        <v>0</v>
      </c>
      <c r="U370" s="4">
        <v>0</v>
      </c>
      <c r="V370" s="4">
        <v>12</v>
      </c>
      <c r="W370" s="4">
        <v>12</v>
      </c>
      <c r="X370" s="4">
        <v>8.1999999999999993</v>
      </c>
      <c r="Y370" s="4"/>
      <c r="Z370" s="4">
        <v>448.19999999999993</v>
      </c>
      <c r="AA370" s="4">
        <v>450</v>
      </c>
      <c r="AB370" s="18"/>
      <c r="AC370" s="18">
        <v>7</v>
      </c>
      <c r="AD370" s="28"/>
      <c r="AE370" s="26"/>
      <c r="AF370" s="28"/>
    </row>
    <row r="371" spans="1:32" ht="13.5" customHeight="1" x14ac:dyDescent="0.25">
      <c r="A371" s="14">
        <v>45704</v>
      </c>
      <c r="B371" s="14" t="s">
        <v>47</v>
      </c>
      <c r="C371" s="15">
        <v>7</v>
      </c>
      <c r="D371" s="16"/>
      <c r="E371" s="16"/>
      <c r="F371" s="17"/>
      <c r="G371" s="21"/>
      <c r="H371" s="21"/>
      <c r="I371" s="4">
        <v>0</v>
      </c>
      <c r="J371" s="4">
        <v>0</v>
      </c>
      <c r="K371" s="4"/>
      <c r="L371" s="16"/>
      <c r="M371" s="4"/>
      <c r="N371" s="4"/>
      <c r="O371" s="4"/>
      <c r="P371" s="4"/>
      <c r="Q371" s="4"/>
      <c r="R371" s="4"/>
      <c r="S371" s="4">
        <v>0</v>
      </c>
      <c r="T371" s="4">
        <v>0</v>
      </c>
      <c r="U371" s="4">
        <v>0</v>
      </c>
      <c r="V371" s="4">
        <v>12</v>
      </c>
      <c r="W371" s="4">
        <v>12</v>
      </c>
      <c r="X371" s="4">
        <v>15</v>
      </c>
      <c r="Y371" s="4"/>
      <c r="Z371" s="4">
        <v>600.25</v>
      </c>
      <c r="AA371" s="4">
        <v>600</v>
      </c>
      <c r="AB371" s="18"/>
      <c r="AC371" s="18">
        <v>7</v>
      </c>
      <c r="AD371" s="28"/>
      <c r="AE371" s="26"/>
      <c r="AF371" s="28"/>
    </row>
    <row r="372" spans="1:32" ht="13.5" customHeight="1" x14ac:dyDescent="0.25">
      <c r="A372" s="14">
        <v>45705</v>
      </c>
      <c r="B372" s="14" t="s">
        <v>46</v>
      </c>
      <c r="C372" s="15">
        <v>1</v>
      </c>
      <c r="D372" s="16">
        <v>5</v>
      </c>
      <c r="E372" s="16"/>
      <c r="F372" s="17"/>
      <c r="G372" s="21"/>
      <c r="H372" s="21"/>
      <c r="I372" s="4">
        <v>5</v>
      </c>
      <c r="J372" s="4">
        <v>8.3333333333333329E-2</v>
      </c>
      <c r="K372" s="4"/>
      <c r="L372" s="16"/>
      <c r="M372" s="4"/>
      <c r="N372" s="4"/>
      <c r="O372" s="4"/>
      <c r="P372" s="4"/>
      <c r="Q372" s="4"/>
      <c r="R372" s="4"/>
      <c r="S372" s="4">
        <v>0</v>
      </c>
      <c r="T372" s="4">
        <v>0</v>
      </c>
      <c r="U372" s="4">
        <v>8.3333333333333329E-2</v>
      </c>
      <c r="V372" s="4">
        <v>11.916666666666666</v>
      </c>
      <c r="W372" s="4">
        <v>12</v>
      </c>
      <c r="X372" s="4">
        <v>42</v>
      </c>
      <c r="Y372" s="4">
        <v>1842</v>
      </c>
      <c r="Z372" s="4">
        <v>188.1</v>
      </c>
      <c r="AA372" s="4">
        <v>200</v>
      </c>
      <c r="AB372" s="18">
        <v>372</v>
      </c>
      <c r="AC372" s="18">
        <v>8</v>
      </c>
      <c r="AD372" s="28"/>
      <c r="AE372" s="26"/>
      <c r="AF372" s="28"/>
    </row>
    <row r="373" spans="1:32" ht="13.5" customHeight="1" x14ac:dyDescent="0.25">
      <c r="A373" s="14">
        <v>45705</v>
      </c>
      <c r="B373" s="14" t="s">
        <v>47</v>
      </c>
      <c r="C373" s="15">
        <v>1</v>
      </c>
      <c r="D373" s="16"/>
      <c r="E373" s="16"/>
      <c r="F373" s="17"/>
      <c r="G373" s="21"/>
      <c r="H373" s="21"/>
      <c r="I373" s="4">
        <v>0</v>
      </c>
      <c r="J373" s="4">
        <v>0</v>
      </c>
      <c r="K373" s="4"/>
      <c r="L373" s="16"/>
      <c r="M373" s="4"/>
      <c r="N373" s="4"/>
      <c r="O373" s="4"/>
      <c r="P373" s="4"/>
      <c r="Q373" s="4"/>
      <c r="R373" s="4"/>
      <c r="S373" s="4">
        <v>0</v>
      </c>
      <c r="T373" s="4">
        <v>0</v>
      </c>
      <c r="U373" s="4">
        <v>0</v>
      </c>
      <c r="V373" s="4">
        <v>12</v>
      </c>
      <c r="W373" s="4">
        <v>12</v>
      </c>
      <c r="X373" s="4">
        <v>55</v>
      </c>
      <c r="Y373" s="4"/>
      <c r="Z373" s="4">
        <v>172.72</v>
      </c>
      <c r="AA373" s="4">
        <v>200</v>
      </c>
      <c r="AB373" s="18"/>
      <c r="AC373" s="18">
        <v>8</v>
      </c>
      <c r="AD373" s="28"/>
      <c r="AE373" s="26"/>
      <c r="AF373" s="28"/>
    </row>
    <row r="374" spans="1:32" ht="13.5" customHeight="1" x14ac:dyDescent="0.25">
      <c r="A374" s="14">
        <v>45705</v>
      </c>
      <c r="B374" s="14" t="s">
        <v>46</v>
      </c>
      <c r="C374" s="15">
        <v>3</v>
      </c>
      <c r="D374" s="16"/>
      <c r="E374" s="16"/>
      <c r="F374" s="17"/>
      <c r="G374" s="21"/>
      <c r="H374" s="21"/>
      <c r="I374" s="4">
        <v>0</v>
      </c>
      <c r="J374" s="4">
        <v>0</v>
      </c>
      <c r="K374" s="4"/>
      <c r="L374" s="16"/>
      <c r="M374" s="4"/>
      <c r="N374" s="4"/>
      <c r="O374" s="4"/>
      <c r="P374" s="4"/>
      <c r="Q374" s="4"/>
      <c r="R374" s="4"/>
      <c r="S374" s="4">
        <v>0</v>
      </c>
      <c r="T374" s="4">
        <v>0</v>
      </c>
      <c r="U374" s="4">
        <v>0</v>
      </c>
      <c r="V374" s="4">
        <v>12</v>
      </c>
      <c r="W374" s="4">
        <v>12</v>
      </c>
      <c r="X374" s="4">
        <v>0</v>
      </c>
      <c r="Y374" s="4"/>
      <c r="Z374" s="4">
        <v>299.7</v>
      </c>
      <c r="AA374" s="4">
        <v>300</v>
      </c>
      <c r="AB374" s="18"/>
      <c r="AC374" s="18">
        <v>8</v>
      </c>
      <c r="AD374" s="28"/>
      <c r="AE374" s="26"/>
      <c r="AF374" s="28"/>
    </row>
    <row r="375" spans="1:32" ht="13.5" customHeight="1" x14ac:dyDescent="0.25">
      <c r="A375" s="14">
        <v>45705</v>
      </c>
      <c r="B375" s="14" t="s">
        <v>47</v>
      </c>
      <c r="C375" s="15">
        <v>3</v>
      </c>
      <c r="D375" s="16"/>
      <c r="E375" s="16"/>
      <c r="F375" s="17"/>
      <c r="G375" s="21"/>
      <c r="H375" s="21"/>
      <c r="I375" s="4">
        <v>0</v>
      </c>
      <c r="J375" s="4">
        <v>0</v>
      </c>
      <c r="K375" s="4"/>
      <c r="L375" s="16"/>
      <c r="M375" s="4"/>
      <c r="N375" s="4"/>
      <c r="O375" s="4"/>
      <c r="P375" s="4"/>
      <c r="Q375" s="4"/>
      <c r="R375" s="4"/>
      <c r="S375" s="4">
        <v>0</v>
      </c>
      <c r="T375" s="4">
        <v>0</v>
      </c>
      <c r="U375" s="4">
        <v>0</v>
      </c>
      <c r="V375" s="4">
        <v>12</v>
      </c>
      <c r="W375" s="4">
        <v>12</v>
      </c>
      <c r="X375" s="4">
        <v>0</v>
      </c>
      <c r="Y375" s="4"/>
      <c r="Z375" s="4">
        <v>250.29999999999995</v>
      </c>
      <c r="AA375" s="4">
        <v>250</v>
      </c>
      <c r="AB375" s="18"/>
      <c r="AC375" s="18">
        <v>8</v>
      </c>
      <c r="AD375" s="28"/>
      <c r="AE375" s="26"/>
      <c r="AF375" s="28"/>
    </row>
    <row r="376" spans="1:32" ht="13.5" customHeight="1" x14ac:dyDescent="0.25">
      <c r="A376" s="14">
        <v>45705</v>
      </c>
      <c r="B376" s="14" t="s">
        <v>46</v>
      </c>
      <c r="C376" s="15">
        <v>6</v>
      </c>
      <c r="D376" s="16">
        <v>15</v>
      </c>
      <c r="E376" s="16"/>
      <c r="F376" s="17"/>
      <c r="G376" s="21"/>
      <c r="H376" s="21"/>
      <c r="I376" s="4">
        <v>15</v>
      </c>
      <c r="J376" s="4">
        <v>0.25</v>
      </c>
      <c r="K376" s="4"/>
      <c r="L376" s="16"/>
      <c r="M376" s="4"/>
      <c r="N376" s="4"/>
      <c r="O376" s="4"/>
      <c r="P376" s="4">
        <v>120</v>
      </c>
      <c r="Q376" s="4"/>
      <c r="R376" s="4"/>
      <c r="S376" s="4">
        <v>120</v>
      </c>
      <c r="T376" s="4">
        <v>2</v>
      </c>
      <c r="U376" s="4">
        <v>2.25</v>
      </c>
      <c r="V376" s="4">
        <v>9.75</v>
      </c>
      <c r="W376" s="4">
        <v>12</v>
      </c>
      <c r="X376" s="4">
        <v>0</v>
      </c>
      <c r="Y376" s="4"/>
      <c r="Z376" s="4">
        <v>760.39999999999986</v>
      </c>
      <c r="AA376" s="4">
        <v>750</v>
      </c>
      <c r="AB376" s="18"/>
      <c r="AC376" s="18">
        <v>8</v>
      </c>
      <c r="AD376" s="28"/>
      <c r="AE376" s="26"/>
      <c r="AF376" s="28"/>
    </row>
    <row r="377" spans="1:32" ht="13.5" customHeight="1" x14ac:dyDescent="0.25">
      <c r="A377" s="14">
        <v>45705</v>
      </c>
      <c r="B377" s="14" t="s">
        <v>47</v>
      </c>
      <c r="C377" s="15">
        <v>6</v>
      </c>
      <c r="D377" s="16"/>
      <c r="E377" s="16"/>
      <c r="F377" s="17"/>
      <c r="G377" s="21"/>
      <c r="H377" s="21"/>
      <c r="I377" s="4">
        <v>0</v>
      </c>
      <c r="J377" s="4">
        <v>0</v>
      </c>
      <c r="K377" s="4"/>
      <c r="L377" s="16"/>
      <c r="M377" s="4"/>
      <c r="N377" s="4"/>
      <c r="O377" s="4"/>
      <c r="P377" s="4"/>
      <c r="Q377" s="4"/>
      <c r="R377" s="4"/>
      <c r="S377" s="4">
        <v>0</v>
      </c>
      <c r="T377" s="4">
        <v>0</v>
      </c>
      <c r="U377" s="4">
        <v>0</v>
      </c>
      <c r="V377" s="4">
        <v>12</v>
      </c>
      <c r="W377" s="4">
        <v>12</v>
      </c>
      <c r="X377" s="4">
        <v>0</v>
      </c>
      <c r="Y377" s="4"/>
      <c r="Z377" s="4">
        <v>658.40000000000009</v>
      </c>
      <c r="AA377" s="4">
        <v>650</v>
      </c>
      <c r="AB377" s="18"/>
      <c r="AC377" s="18">
        <v>8</v>
      </c>
      <c r="AD377" s="28"/>
      <c r="AE377" s="26"/>
      <c r="AF377" s="28"/>
    </row>
    <row r="378" spans="1:32" ht="13.5" customHeight="1" x14ac:dyDescent="0.25">
      <c r="A378" s="14">
        <v>45705</v>
      </c>
      <c r="B378" s="14" t="s">
        <v>46</v>
      </c>
      <c r="C378" s="15">
        <v>7</v>
      </c>
      <c r="D378" s="16">
        <v>4</v>
      </c>
      <c r="E378" s="16"/>
      <c r="F378" s="17"/>
      <c r="G378" s="21"/>
      <c r="H378" s="21"/>
      <c r="I378" s="4">
        <v>4</v>
      </c>
      <c r="J378" s="4">
        <v>6.6666666666666666E-2</v>
      </c>
      <c r="K378" s="4"/>
      <c r="L378" s="16"/>
      <c r="M378" s="4"/>
      <c r="N378" s="4"/>
      <c r="O378" s="4"/>
      <c r="P378" s="4"/>
      <c r="Q378" s="4"/>
      <c r="R378" s="4"/>
      <c r="S378" s="4">
        <v>0</v>
      </c>
      <c r="T378" s="4">
        <v>0</v>
      </c>
      <c r="U378" s="4">
        <v>6.6666666666666666E-2</v>
      </c>
      <c r="V378" s="4">
        <v>11.933333333333334</v>
      </c>
      <c r="W378" s="4">
        <v>12</v>
      </c>
      <c r="X378" s="4">
        <v>0</v>
      </c>
      <c r="Y378" s="4"/>
      <c r="Z378" s="4">
        <v>464.33</v>
      </c>
      <c r="AA378" s="4">
        <v>500</v>
      </c>
      <c r="AB378" s="18"/>
      <c r="AC378" s="18">
        <v>8</v>
      </c>
      <c r="AD378" s="28"/>
      <c r="AE378" s="26"/>
      <c r="AF378" s="28"/>
    </row>
    <row r="379" spans="1:32" ht="13.5" customHeight="1" x14ac:dyDescent="0.25">
      <c r="A379" s="14">
        <v>45705</v>
      </c>
      <c r="B379" s="14" t="s">
        <v>47</v>
      </c>
      <c r="C379" s="15">
        <v>7</v>
      </c>
      <c r="D379" s="16"/>
      <c r="E379" s="16"/>
      <c r="F379" s="17"/>
      <c r="G379" s="21"/>
      <c r="H379" s="21"/>
      <c r="I379" s="4">
        <v>0</v>
      </c>
      <c r="J379" s="4">
        <v>0</v>
      </c>
      <c r="K379" s="4"/>
      <c r="L379" s="16"/>
      <c r="M379" s="4"/>
      <c r="N379" s="4"/>
      <c r="O379" s="4"/>
      <c r="P379" s="4"/>
      <c r="Q379" s="4"/>
      <c r="R379" s="4"/>
      <c r="S379" s="4">
        <v>0</v>
      </c>
      <c r="T379" s="4">
        <v>0</v>
      </c>
      <c r="U379" s="4">
        <v>0</v>
      </c>
      <c r="V379" s="4">
        <v>12</v>
      </c>
      <c r="W379" s="4">
        <v>12</v>
      </c>
      <c r="X379" s="4">
        <v>0</v>
      </c>
      <c r="Y379" s="4"/>
      <c r="Z379" s="4">
        <v>444.6</v>
      </c>
      <c r="AA379" s="4">
        <v>500</v>
      </c>
      <c r="AB379" s="18"/>
      <c r="AC379" s="18">
        <v>8</v>
      </c>
      <c r="AD379" s="28"/>
      <c r="AE379" s="26"/>
      <c r="AF379" s="28"/>
    </row>
    <row r="380" spans="1:32" ht="13.5" customHeight="1" x14ac:dyDescent="0.25">
      <c r="A380" s="14">
        <v>45706</v>
      </c>
      <c r="B380" s="14" t="s">
        <v>46</v>
      </c>
      <c r="C380" s="15">
        <v>1</v>
      </c>
      <c r="D380" s="16"/>
      <c r="E380" s="16"/>
      <c r="F380" s="17"/>
      <c r="G380" s="21"/>
      <c r="H380" s="21"/>
      <c r="I380" s="4">
        <v>0</v>
      </c>
      <c r="J380" s="4">
        <v>0</v>
      </c>
      <c r="K380" s="4"/>
      <c r="L380" s="16"/>
      <c r="M380" s="4"/>
      <c r="N380" s="4"/>
      <c r="O380" s="4"/>
      <c r="P380" s="4"/>
      <c r="Q380" s="4"/>
      <c r="R380" s="4"/>
      <c r="S380" s="4">
        <v>0</v>
      </c>
      <c r="T380" s="4">
        <v>0</v>
      </c>
      <c r="U380" s="4">
        <v>0</v>
      </c>
      <c r="V380" s="4">
        <v>12</v>
      </c>
      <c r="W380" s="4">
        <v>12</v>
      </c>
      <c r="X380" s="4">
        <v>0</v>
      </c>
      <c r="Y380" s="4">
        <v>1770</v>
      </c>
      <c r="Z380" s="4">
        <v>185.89999999999998</v>
      </c>
      <c r="AA380" s="4">
        <v>150</v>
      </c>
      <c r="AB380" s="18">
        <v>372</v>
      </c>
      <c r="AC380" s="18">
        <v>8</v>
      </c>
      <c r="AD380" s="28"/>
      <c r="AE380" s="26"/>
      <c r="AF380" s="28"/>
    </row>
    <row r="381" spans="1:32" ht="13.5" customHeight="1" x14ac:dyDescent="0.25">
      <c r="A381" s="14">
        <v>45706</v>
      </c>
      <c r="B381" s="14" t="s">
        <v>47</v>
      </c>
      <c r="C381" s="15">
        <v>1</v>
      </c>
      <c r="D381" s="16"/>
      <c r="E381" s="16"/>
      <c r="F381" s="17"/>
      <c r="G381" s="21"/>
      <c r="H381" s="21"/>
      <c r="I381" s="4">
        <v>0</v>
      </c>
      <c r="J381" s="4">
        <v>0</v>
      </c>
      <c r="K381" s="4"/>
      <c r="L381" s="16"/>
      <c r="M381" s="4"/>
      <c r="N381" s="4"/>
      <c r="O381" s="4"/>
      <c r="P381" s="4"/>
      <c r="Q381" s="4"/>
      <c r="R381" s="4"/>
      <c r="S381" s="4">
        <v>0</v>
      </c>
      <c r="T381" s="4">
        <v>0</v>
      </c>
      <c r="U381" s="4">
        <v>0</v>
      </c>
      <c r="V381" s="4">
        <v>12</v>
      </c>
      <c r="W381" s="4">
        <v>12</v>
      </c>
      <c r="X381" s="4">
        <v>0</v>
      </c>
      <c r="Y381" s="4"/>
      <c r="Z381" s="4">
        <v>146.69999999999999</v>
      </c>
      <c r="AA381" s="4">
        <v>150</v>
      </c>
      <c r="AB381" s="18"/>
      <c r="AC381" s="18">
        <v>8</v>
      </c>
      <c r="AD381" s="28"/>
      <c r="AE381" s="26"/>
      <c r="AF381" s="28"/>
    </row>
    <row r="382" spans="1:32" ht="13.5" customHeight="1" x14ac:dyDescent="0.25">
      <c r="A382" s="14">
        <v>45706</v>
      </c>
      <c r="B382" s="14" t="s">
        <v>46</v>
      </c>
      <c r="C382" s="15">
        <v>3</v>
      </c>
      <c r="D382" s="16">
        <v>5</v>
      </c>
      <c r="E382" s="16"/>
      <c r="F382" s="17"/>
      <c r="G382" s="21"/>
      <c r="H382" s="21"/>
      <c r="I382" s="4">
        <v>5</v>
      </c>
      <c r="J382" s="4">
        <v>8.3333333333333329E-2</v>
      </c>
      <c r="K382" s="4"/>
      <c r="L382" s="16"/>
      <c r="M382" s="4"/>
      <c r="N382" s="4"/>
      <c r="O382" s="4"/>
      <c r="P382" s="4"/>
      <c r="Q382" s="4"/>
      <c r="R382" s="4"/>
      <c r="S382" s="4">
        <v>0</v>
      </c>
      <c r="T382" s="4">
        <v>0</v>
      </c>
      <c r="U382" s="4">
        <v>8.3333333333333329E-2</v>
      </c>
      <c r="V382" s="4">
        <v>11.916666666666666</v>
      </c>
      <c r="W382" s="4">
        <v>12</v>
      </c>
      <c r="X382" s="4">
        <v>0</v>
      </c>
      <c r="Y382" s="4"/>
      <c r="Z382" s="4">
        <v>230.79999999999998</v>
      </c>
      <c r="AA382" s="4">
        <v>350</v>
      </c>
      <c r="AB382" s="18"/>
      <c r="AC382" s="18">
        <v>8</v>
      </c>
      <c r="AD382" s="28"/>
      <c r="AE382" s="26"/>
      <c r="AF382" s="28"/>
    </row>
    <row r="383" spans="1:32" ht="13.5" customHeight="1" x14ac:dyDescent="0.25">
      <c r="A383" s="14">
        <v>45706</v>
      </c>
      <c r="B383" s="14" t="s">
        <v>47</v>
      </c>
      <c r="C383" s="15">
        <v>3</v>
      </c>
      <c r="D383" s="16"/>
      <c r="E383" s="16"/>
      <c r="F383" s="17"/>
      <c r="G383" s="21"/>
      <c r="H383" s="21"/>
      <c r="I383" s="4">
        <v>0</v>
      </c>
      <c r="J383" s="4">
        <v>0</v>
      </c>
      <c r="K383" s="4"/>
      <c r="L383" s="16"/>
      <c r="M383" s="4"/>
      <c r="N383" s="4"/>
      <c r="O383" s="4"/>
      <c r="P383" s="4"/>
      <c r="Q383" s="4"/>
      <c r="R383" s="4"/>
      <c r="S383" s="4">
        <v>0</v>
      </c>
      <c r="T383" s="4">
        <v>0</v>
      </c>
      <c r="U383" s="4">
        <v>0</v>
      </c>
      <c r="V383" s="4">
        <v>12</v>
      </c>
      <c r="W383" s="4">
        <v>12</v>
      </c>
      <c r="X383" s="4">
        <v>0</v>
      </c>
      <c r="Y383" s="4"/>
      <c r="Z383" s="4">
        <v>217.3</v>
      </c>
      <c r="AA383" s="4">
        <v>200</v>
      </c>
      <c r="AB383" s="18"/>
      <c r="AC383" s="18">
        <v>8</v>
      </c>
      <c r="AD383" s="28"/>
      <c r="AE383" s="26"/>
      <c r="AF383" s="28"/>
    </row>
    <row r="384" spans="1:32" ht="13.5" customHeight="1" x14ac:dyDescent="0.25">
      <c r="A384" s="14">
        <v>45706</v>
      </c>
      <c r="B384" s="14" t="s">
        <v>46</v>
      </c>
      <c r="C384" s="15">
        <v>6</v>
      </c>
      <c r="D384" s="16"/>
      <c r="E384" s="16"/>
      <c r="F384" s="17"/>
      <c r="G384" s="21"/>
      <c r="H384" s="21"/>
      <c r="I384" s="4">
        <v>0</v>
      </c>
      <c r="J384" s="4">
        <v>0</v>
      </c>
      <c r="K384" s="4"/>
      <c r="L384" s="16"/>
      <c r="M384" s="4"/>
      <c r="N384" s="4"/>
      <c r="O384" s="4"/>
      <c r="P384" s="4"/>
      <c r="Q384" s="4"/>
      <c r="R384" s="4"/>
      <c r="S384" s="4">
        <v>0</v>
      </c>
      <c r="T384" s="4">
        <v>0</v>
      </c>
      <c r="U384" s="4">
        <v>0</v>
      </c>
      <c r="V384" s="4">
        <v>12</v>
      </c>
      <c r="W384" s="4">
        <v>12</v>
      </c>
      <c r="X384" s="4">
        <v>48</v>
      </c>
      <c r="Y384" s="4"/>
      <c r="Z384" s="4">
        <v>607.4</v>
      </c>
      <c r="AA384" s="4">
        <v>600</v>
      </c>
      <c r="AB384" s="18"/>
      <c r="AC384" s="18">
        <v>8</v>
      </c>
      <c r="AD384" s="28"/>
      <c r="AE384" s="26"/>
      <c r="AF384" s="28"/>
    </row>
    <row r="385" spans="1:32" ht="13.5" customHeight="1" x14ac:dyDescent="0.25">
      <c r="A385" s="14">
        <v>45706</v>
      </c>
      <c r="B385" s="14" t="s">
        <v>47</v>
      </c>
      <c r="C385" s="15">
        <v>6</v>
      </c>
      <c r="D385" s="16"/>
      <c r="E385" s="16"/>
      <c r="F385" s="17"/>
      <c r="G385" s="21"/>
      <c r="H385" s="21"/>
      <c r="I385" s="4">
        <v>0</v>
      </c>
      <c r="J385" s="4">
        <v>0</v>
      </c>
      <c r="K385" s="4"/>
      <c r="L385" s="16"/>
      <c r="M385" s="4"/>
      <c r="N385" s="4"/>
      <c r="O385" s="4"/>
      <c r="P385" s="4"/>
      <c r="Q385" s="4"/>
      <c r="R385" s="4"/>
      <c r="S385" s="4">
        <v>0</v>
      </c>
      <c r="T385" s="4">
        <v>0</v>
      </c>
      <c r="U385" s="4">
        <v>0</v>
      </c>
      <c r="V385" s="4">
        <v>12</v>
      </c>
      <c r="W385" s="4">
        <v>12</v>
      </c>
      <c r="X385" s="4">
        <v>45</v>
      </c>
      <c r="Y385" s="4"/>
      <c r="Z385" s="4">
        <v>557.6</v>
      </c>
      <c r="AA385" s="4">
        <v>550</v>
      </c>
      <c r="AB385" s="18"/>
      <c r="AC385" s="18">
        <v>8</v>
      </c>
      <c r="AD385" s="28"/>
      <c r="AE385" s="26"/>
      <c r="AF385" s="28"/>
    </row>
    <row r="386" spans="1:32" ht="13.5" customHeight="1" x14ac:dyDescent="0.25">
      <c r="A386" s="14">
        <v>45706</v>
      </c>
      <c r="B386" s="14" t="s">
        <v>46</v>
      </c>
      <c r="C386" s="15">
        <v>7</v>
      </c>
      <c r="D386" s="16">
        <v>5</v>
      </c>
      <c r="E386" s="16"/>
      <c r="F386" s="17"/>
      <c r="G386" s="21"/>
      <c r="H386" s="21"/>
      <c r="I386" s="4">
        <v>5</v>
      </c>
      <c r="J386" s="4">
        <v>8.3333333333333329E-2</v>
      </c>
      <c r="K386" s="4"/>
      <c r="L386" s="16"/>
      <c r="M386" s="4"/>
      <c r="N386" s="4"/>
      <c r="O386" s="4"/>
      <c r="P386" s="4">
        <v>45</v>
      </c>
      <c r="Q386" s="4"/>
      <c r="R386" s="4"/>
      <c r="S386" s="4">
        <v>45</v>
      </c>
      <c r="T386" s="4">
        <v>0.75</v>
      </c>
      <c r="U386" s="4">
        <v>0.83333333333333337</v>
      </c>
      <c r="V386" s="4">
        <v>11.166666666666666</v>
      </c>
      <c r="W386" s="4">
        <v>12</v>
      </c>
      <c r="X386" s="4">
        <v>0</v>
      </c>
      <c r="Y386" s="4"/>
      <c r="Z386" s="4">
        <v>244.64</v>
      </c>
      <c r="AA386" s="4">
        <v>250</v>
      </c>
      <c r="AB386" s="18"/>
      <c r="AC386" s="18">
        <v>8</v>
      </c>
      <c r="AD386" s="28"/>
      <c r="AE386" s="26"/>
      <c r="AF386" s="28"/>
    </row>
    <row r="387" spans="1:32" ht="13.5" customHeight="1" x14ac:dyDescent="0.25">
      <c r="A387" s="14">
        <v>45706</v>
      </c>
      <c r="B387" s="14" t="s">
        <v>47</v>
      </c>
      <c r="C387" s="15">
        <v>7</v>
      </c>
      <c r="D387" s="16"/>
      <c r="E387" s="16"/>
      <c r="F387" s="17"/>
      <c r="G387" s="21"/>
      <c r="H387" s="21"/>
      <c r="I387" s="4">
        <v>0</v>
      </c>
      <c r="J387" s="4">
        <v>0</v>
      </c>
      <c r="K387" s="4"/>
      <c r="L387" s="16"/>
      <c r="M387" s="4"/>
      <c r="N387" s="4"/>
      <c r="O387" s="4"/>
      <c r="P387" s="4"/>
      <c r="Q387" s="4"/>
      <c r="R387" s="4"/>
      <c r="S387" s="4">
        <v>0</v>
      </c>
      <c r="T387" s="4">
        <v>0</v>
      </c>
      <c r="U387" s="4">
        <v>0</v>
      </c>
      <c r="V387" s="4">
        <v>12</v>
      </c>
      <c r="W387" s="4">
        <v>12</v>
      </c>
      <c r="X387" s="4">
        <v>0</v>
      </c>
      <c r="Y387" s="4"/>
      <c r="Z387" s="4">
        <v>373.59999999999997</v>
      </c>
      <c r="AA387" s="4">
        <v>350</v>
      </c>
      <c r="AB387" s="18"/>
      <c r="AC387" s="18">
        <v>8</v>
      </c>
      <c r="AD387" s="28"/>
      <c r="AE387" s="26"/>
      <c r="AF387" s="28"/>
    </row>
    <row r="388" spans="1:32" ht="13.5" customHeight="1" x14ac:dyDescent="0.25">
      <c r="A388" s="14">
        <v>45707</v>
      </c>
      <c r="B388" s="14" t="s">
        <v>46</v>
      </c>
      <c r="C388" s="15">
        <v>1</v>
      </c>
      <c r="D388" s="16"/>
      <c r="E388" s="16"/>
      <c r="F388" s="17"/>
      <c r="G388" s="21"/>
      <c r="H388" s="21"/>
      <c r="I388" s="4">
        <v>0</v>
      </c>
      <c r="J388" s="4">
        <v>0</v>
      </c>
      <c r="K388" s="4"/>
      <c r="L388" s="16"/>
      <c r="M388" s="4"/>
      <c r="N388" s="4"/>
      <c r="O388" s="4"/>
      <c r="P388" s="4"/>
      <c r="Q388" s="4"/>
      <c r="R388" s="4"/>
      <c r="S388" s="4">
        <v>0</v>
      </c>
      <c r="T388" s="4">
        <v>0</v>
      </c>
      <c r="U388" s="4">
        <v>0</v>
      </c>
      <c r="V388" s="4">
        <v>12</v>
      </c>
      <c r="W388" s="4">
        <v>12</v>
      </c>
      <c r="X388" s="4">
        <v>0</v>
      </c>
      <c r="Y388" s="4">
        <v>1889</v>
      </c>
      <c r="Z388" s="4">
        <v>125.30000000000001</v>
      </c>
      <c r="AA388" s="4">
        <v>150</v>
      </c>
      <c r="AB388" s="18">
        <v>372</v>
      </c>
      <c r="AC388" s="18">
        <v>8</v>
      </c>
      <c r="AD388" s="28"/>
      <c r="AE388" s="26"/>
      <c r="AF388" s="28"/>
    </row>
    <row r="389" spans="1:32" ht="13.5" customHeight="1" x14ac:dyDescent="0.25">
      <c r="A389" s="14">
        <v>45707</v>
      </c>
      <c r="B389" s="14" t="s">
        <v>47</v>
      </c>
      <c r="C389" s="15">
        <v>1</v>
      </c>
      <c r="D389" s="16">
        <v>5</v>
      </c>
      <c r="E389" s="16"/>
      <c r="F389" s="17"/>
      <c r="G389" s="21"/>
      <c r="H389" s="21"/>
      <c r="I389" s="4">
        <v>5</v>
      </c>
      <c r="J389" s="4">
        <v>8.3333333333333329E-2</v>
      </c>
      <c r="K389" s="4"/>
      <c r="L389" s="16"/>
      <c r="M389" s="4"/>
      <c r="N389" s="4"/>
      <c r="O389" s="4"/>
      <c r="P389" s="4"/>
      <c r="Q389" s="4"/>
      <c r="R389" s="4"/>
      <c r="S389" s="4">
        <v>0</v>
      </c>
      <c r="T389" s="4">
        <v>0</v>
      </c>
      <c r="U389" s="4">
        <v>8.3333333333333329E-2</v>
      </c>
      <c r="V389" s="4">
        <v>11.916666666666666</v>
      </c>
      <c r="W389" s="4">
        <v>12</v>
      </c>
      <c r="X389" s="4">
        <v>4.5</v>
      </c>
      <c r="Y389" s="4"/>
      <c r="Z389" s="4">
        <v>121.69999999999999</v>
      </c>
      <c r="AA389" s="4">
        <v>150</v>
      </c>
      <c r="AB389" s="18"/>
      <c r="AC389" s="18">
        <v>8</v>
      </c>
      <c r="AD389" s="28"/>
      <c r="AE389" s="26"/>
      <c r="AF389" s="28"/>
    </row>
    <row r="390" spans="1:32" ht="13.5" customHeight="1" x14ac:dyDescent="0.25">
      <c r="A390" s="14">
        <v>45707</v>
      </c>
      <c r="B390" s="14" t="s">
        <v>46</v>
      </c>
      <c r="C390" s="15">
        <v>3</v>
      </c>
      <c r="D390" s="16">
        <v>15</v>
      </c>
      <c r="E390" s="16"/>
      <c r="F390" s="17"/>
      <c r="G390" s="21"/>
      <c r="H390" s="21"/>
      <c r="I390" s="4">
        <v>15</v>
      </c>
      <c r="J390" s="4">
        <v>0.25</v>
      </c>
      <c r="K390" s="4"/>
      <c r="L390" s="16"/>
      <c r="M390" s="4"/>
      <c r="N390" s="4"/>
      <c r="O390" s="4"/>
      <c r="P390" s="4"/>
      <c r="Q390" s="4"/>
      <c r="R390" s="4"/>
      <c r="S390" s="4">
        <v>0</v>
      </c>
      <c r="T390" s="4">
        <v>0</v>
      </c>
      <c r="U390" s="4">
        <v>0.25</v>
      </c>
      <c r="V390" s="4">
        <v>11.75</v>
      </c>
      <c r="W390" s="4">
        <v>12</v>
      </c>
      <c r="X390" s="4">
        <v>9</v>
      </c>
      <c r="Y390" s="4"/>
      <c r="Z390" s="4">
        <v>277.2</v>
      </c>
      <c r="AA390" s="4">
        <v>300</v>
      </c>
      <c r="AB390" s="18"/>
      <c r="AC390" s="18">
        <v>8</v>
      </c>
      <c r="AD390" s="28"/>
      <c r="AE390" s="26"/>
      <c r="AF390" s="28"/>
    </row>
    <row r="391" spans="1:32" ht="13.5" customHeight="1" x14ac:dyDescent="0.25">
      <c r="A391" s="14">
        <v>45707</v>
      </c>
      <c r="B391" s="14" t="s">
        <v>47</v>
      </c>
      <c r="C391" s="15">
        <v>3</v>
      </c>
      <c r="D391" s="16">
        <v>15</v>
      </c>
      <c r="E391" s="16"/>
      <c r="F391" s="17"/>
      <c r="G391" s="21"/>
      <c r="H391" s="21"/>
      <c r="I391" s="4">
        <v>15</v>
      </c>
      <c r="J391" s="4">
        <v>0.25</v>
      </c>
      <c r="K391" s="4"/>
      <c r="L391" s="16"/>
      <c r="M391" s="4"/>
      <c r="N391" s="4"/>
      <c r="O391" s="4"/>
      <c r="P391" s="4"/>
      <c r="Q391" s="4"/>
      <c r="R391" s="4"/>
      <c r="S391" s="4">
        <v>0</v>
      </c>
      <c r="T391" s="4">
        <v>0</v>
      </c>
      <c r="U391" s="4">
        <v>0.25</v>
      </c>
      <c r="V391" s="4">
        <v>11.75</v>
      </c>
      <c r="W391" s="4">
        <v>12</v>
      </c>
      <c r="X391" s="4">
        <v>0</v>
      </c>
      <c r="Y391" s="4"/>
      <c r="Z391" s="4">
        <v>398.2</v>
      </c>
      <c r="AA391" s="4">
        <v>400</v>
      </c>
      <c r="AB391" s="18"/>
      <c r="AC391" s="18">
        <v>8</v>
      </c>
      <c r="AD391" s="28"/>
      <c r="AE391" s="26"/>
      <c r="AF391" s="28"/>
    </row>
    <row r="392" spans="1:32" ht="13.5" customHeight="1" x14ac:dyDescent="0.25">
      <c r="A392" s="14">
        <v>45707</v>
      </c>
      <c r="B392" s="14" t="s">
        <v>46</v>
      </c>
      <c r="C392" s="15">
        <v>6</v>
      </c>
      <c r="D392" s="16">
        <v>10</v>
      </c>
      <c r="E392" s="16"/>
      <c r="F392" s="17"/>
      <c r="G392" s="21"/>
      <c r="H392" s="21"/>
      <c r="I392" s="4">
        <v>10</v>
      </c>
      <c r="J392" s="4">
        <v>0.16666666666666666</v>
      </c>
      <c r="K392" s="4"/>
      <c r="L392" s="16"/>
      <c r="M392" s="4"/>
      <c r="N392" s="4">
        <v>3</v>
      </c>
      <c r="O392" s="4"/>
      <c r="P392" s="4"/>
      <c r="Q392" s="4"/>
      <c r="R392" s="4"/>
      <c r="S392" s="4">
        <v>3</v>
      </c>
      <c r="T392" s="4">
        <v>0.05</v>
      </c>
      <c r="U392" s="4">
        <v>0.21666666666666667</v>
      </c>
      <c r="V392" s="4">
        <v>11.783333333333333</v>
      </c>
      <c r="W392" s="4">
        <v>12</v>
      </c>
      <c r="X392" s="4">
        <v>0</v>
      </c>
      <c r="Y392" s="4"/>
      <c r="Z392" s="4">
        <v>496.6</v>
      </c>
      <c r="AA392" s="4">
        <v>500</v>
      </c>
      <c r="AB392" s="18"/>
      <c r="AC392" s="18">
        <v>8</v>
      </c>
      <c r="AD392" s="28"/>
      <c r="AE392" s="26"/>
      <c r="AF392" s="28"/>
    </row>
    <row r="393" spans="1:32" ht="13.5" customHeight="1" x14ac:dyDescent="0.25">
      <c r="A393" s="14">
        <v>45707</v>
      </c>
      <c r="B393" s="14" t="s">
        <v>47</v>
      </c>
      <c r="C393" s="15">
        <v>6</v>
      </c>
      <c r="D393" s="16"/>
      <c r="E393" s="16"/>
      <c r="F393" s="17"/>
      <c r="G393" s="21"/>
      <c r="H393" s="21"/>
      <c r="I393" s="4">
        <v>0</v>
      </c>
      <c r="J393" s="4">
        <v>0</v>
      </c>
      <c r="K393" s="4"/>
      <c r="L393" s="16"/>
      <c r="M393" s="4"/>
      <c r="N393" s="4"/>
      <c r="O393" s="4"/>
      <c r="P393" s="4"/>
      <c r="Q393" s="4"/>
      <c r="R393" s="4"/>
      <c r="S393" s="4">
        <v>0</v>
      </c>
      <c r="T393" s="4">
        <v>0</v>
      </c>
      <c r="U393" s="4">
        <v>0</v>
      </c>
      <c r="V393" s="4">
        <v>12</v>
      </c>
      <c r="W393" s="4">
        <v>12</v>
      </c>
      <c r="X393" s="4">
        <v>20</v>
      </c>
      <c r="Y393" s="4"/>
      <c r="Z393" s="4">
        <v>727.6</v>
      </c>
      <c r="AA393" s="4">
        <v>750</v>
      </c>
      <c r="AB393" s="18"/>
      <c r="AC393" s="18">
        <v>8</v>
      </c>
      <c r="AD393" s="28"/>
      <c r="AE393" s="26"/>
      <c r="AF393" s="28"/>
    </row>
    <row r="394" spans="1:32" ht="13.5" customHeight="1" x14ac:dyDescent="0.25">
      <c r="A394" s="14">
        <v>45707</v>
      </c>
      <c r="B394" s="14" t="s">
        <v>46</v>
      </c>
      <c r="C394" s="15">
        <v>7</v>
      </c>
      <c r="D394" s="16"/>
      <c r="E394" s="16"/>
      <c r="F394" s="17"/>
      <c r="G394" s="21"/>
      <c r="H394" s="21"/>
      <c r="I394" s="4">
        <v>0</v>
      </c>
      <c r="J394" s="4">
        <v>0</v>
      </c>
      <c r="K394" s="4"/>
      <c r="L394" s="16"/>
      <c r="M394" s="4"/>
      <c r="N394" s="4"/>
      <c r="O394" s="4"/>
      <c r="P394" s="4"/>
      <c r="Q394" s="4"/>
      <c r="R394" s="4">
        <v>60</v>
      </c>
      <c r="S394" s="4">
        <v>60</v>
      </c>
      <c r="T394" s="4">
        <v>1</v>
      </c>
      <c r="U394" s="4">
        <v>1</v>
      </c>
      <c r="V394" s="4">
        <v>11</v>
      </c>
      <c r="W394" s="4">
        <v>12</v>
      </c>
      <c r="X394" s="4">
        <v>20</v>
      </c>
      <c r="Y394" s="4"/>
      <c r="Z394" s="4">
        <v>243.88</v>
      </c>
      <c r="AA394" s="4">
        <v>250</v>
      </c>
      <c r="AB394" s="18"/>
      <c r="AC394" s="18">
        <v>8</v>
      </c>
      <c r="AD394" s="28"/>
      <c r="AE394" s="26"/>
      <c r="AF394" s="28"/>
    </row>
    <row r="395" spans="1:32" ht="13.5" customHeight="1" x14ac:dyDescent="0.25">
      <c r="A395" s="14">
        <v>45707</v>
      </c>
      <c r="B395" s="14" t="s">
        <v>47</v>
      </c>
      <c r="C395" s="15">
        <v>7</v>
      </c>
      <c r="D395" s="16">
        <v>15</v>
      </c>
      <c r="E395" s="16"/>
      <c r="F395" s="17"/>
      <c r="G395" s="21"/>
      <c r="H395" s="21"/>
      <c r="I395" s="4">
        <v>15</v>
      </c>
      <c r="J395" s="4">
        <v>0.25</v>
      </c>
      <c r="K395" s="4"/>
      <c r="L395" s="16"/>
      <c r="M395" s="4"/>
      <c r="N395" s="4"/>
      <c r="O395" s="4"/>
      <c r="P395" s="4"/>
      <c r="Q395" s="4"/>
      <c r="R395" s="4"/>
      <c r="S395" s="4">
        <v>0</v>
      </c>
      <c r="T395" s="4">
        <v>0</v>
      </c>
      <c r="U395" s="4">
        <v>0.25</v>
      </c>
      <c r="V395" s="4">
        <v>11.75</v>
      </c>
      <c r="W395" s="4">
        <v>12</v>
      </c>
      <c r="X395" s="4">
        <v>18</v>
      </c>
      <c r="Y395" s="4"/>
      <c r="Z395" s="4">
        <v>447.5</v>
      </c>
      <c r="AA395" s="4">
        <v>500</v>
      </c>
      <c r="AB395" s="18"/>
      <c r="AC395" s="18">
        <v>8</v>
      </c>
      <c r="AD395" s="28"/>
      <c r="AE395" s="26"/>
      <c r="AF395" s="28"/>
    </row>
    <row r="396" spans="1:32" ht="13.5" customHeight="1" x14ac:dyDescent="0.25">
      <c r="A396" s="14">
        <v>45708</v>
      </c>
      <c r="B396" s="14" t="s">
        <v>46</v>
      </c>
      <c r="C396" s="15">
        <v>1</v>
      </c>
      <c r="D396" s="16">
        <v>10</v>
      </c>
      <c r="E396" s="16"/>
      <c r="F396" s="17"/>
      <c r="G396" s="21"/>
      <c r="H396" s="21"/>
      <c r="I396" s="4">
        <v>10</v>
      </c>
      <c r="J396" s="4">
        <v>0.16666666666666666</v>
      </c>
      <c r="K396" s="4"/>
      <c r="L396" s="16"/>
      <c r="M396" s="4"/>
      <c r="N396" s="4"/>
      <c r="O396" s="4"/>
      <c r="P396" s="4"/>
      <c r="Q396" s="4"/>
      <c r="R396" s="4"/>
      <c r="S396" s="4">
        <v>0</v>
      </c>
      <c r="T396" s="4">
        <v>0</v>
      </c>
      <c r="U396" s="4">
        <v>0.16666666666666666</v>
      </c>
      <c r="V396" s="4">
        <v>11.833333333333334</v>
      </c>
      <c r="W396" s="4">
        <v>12</v>
      </c>
      <c r="X396" s="4">
        <v>0</v>
      </c>
      <c r="Y396" s="4">
        <v>1922</v>
      </c>
      <c r="Z396" s="4">
        <v>149.70000000000002</v>
      </c>
      <c r="AA396" s="4">
        <v>150</v>
      </c>
      <c r="AB396" s="18">
        <v>372</v>
      </c>
      <c r="AC396" s="18">
        <v>8</v>
      </c>
      <c r="AD396" s="28"/>
      <c r="AE396" s="26"/>
      <c r="AF396" s="28"/>
    </row>
    <row r="397" spans="1:32" ht="13.5" customHeight="1" x14ac:dyDescent="0.25">
      <c r="A397" s="14">
        <v>45708</v>
      </c>
      <c r="B397" s="14" t="s">
        <v>47</v>
      </c>
      <c r="C397" s="15">
        <v>1</v>
      </c>
      <c r="D397" s="16">
        <v>4</v>
      </c>
      <c r="E397" s="16"/>
      <c r="F397" s="17"/>
      <c r="G397" s="21"/>
      <c r="H397" s="21"/>
      <c r="I397" s="4">
        <v>4</v>
      </c>
      <c r="J397" s="4">
        <v>6.6666666666666666E-2</v>
      </c>
      <c r="K397" s="4"/>
      <c r="L397" s="16"/>
      <c r="M397" s="4"/>
      <c r="N397" s="4"/>
      <c r="O397" s="4"/>
      <c r="P397" s="4"/>
      <c r="Q397" s="4"/>
      <c r="R397" s="4"/>
      <c r="S397" s="4">
        <v>0</v>
      </c>
      <c r="T397" s="4">
        <v>0</v>
      </c>
      <c r="U397" s="4">
        <v>6.6666666666666666E-2</v>
      </c>
      <c r="V397" s="4">
        <v>11.933333333333334</v>
      </c>
      <c r="W397" s="4">
        <v>12</v>
      </c>
      <c r="X397" s="4">
        <v>0</v>
      </c>
      <c r="Y397" s="4"/>
      <c r="Z397" s="4">
        <v>122.6</v>
      </c>
      <c r="AA397" s="4">
        <v>150</v>
      </c>
      <c r="AB397" s="18"/>
      <c r="AC397" s="18">
        <v>8</v>
      </c>
      <c r="AD397" s="28"/>
      <c r="AE397" s="26"/>
      <c r="AF397" s="28"/>
    </row>
    <row r="398" spans="1:32" ht="13.5" customHeight="1" x14ac:dyDescent="0.25">
      <c r="A398" s="14">
        <v>45708</v>
      </c>
      <c r="B398" s="14" t="s">
        <v>46</v>
      </c>
      <c r="C398" s="15">
        <v>3</v>
      </c>
      <c r="D398" s="16">
        <v>10</v>
      </c>
      <c r="E398" s="16"/>
      <c r="F398" s="17"/>
      <c r="G398" s="21"/>
      <c r="H398" s="21"/>
      <c r="I398" s="4">
        <v>10</v>
      </c>
      <c r="J398" s="4">
        <v>0.16666666666666666</v>
      </c>
      <c r="K398" s="4"/>
      <c r="L398" s="16"/>
      <c r="M398" s="4"/>
      <c r="N398" s="4"/>
      <c r="O398" s="4"/>
      <c r="P398" s="4"/>
      <c r="Q398" s="4"/>
      <c r="R398" s="4"/>
      <c r="S398" s="4">
        <v>0</v>
      </c>
      <c r="T398" s="4">
        <v>0</v>
      </c>
      <c r="U398" s="4">
        <v>0.16666666666666666</v>
      </c>
      <c r="V398" s="4">
        <v>11.833333333333334</v>
      </c>
      <c r="W398" s="4">
        <v>12</v>
      </c>
      <c r="X398" s="4">
        <v>30</v>
      </c>
      <c r="Y398" s="4"/>
      <c r="Z398" s="4">
        <v>305.10000000000002</v>
      </c>
      <c r="AA398" s="4">
        <v>300</v>
      </c>
      <c r="AB398" s="18"/>
      <c r="AC398" s="18">
        <v>8</v>
      </c>
      <c r="AD398" s="28"/>
      <c r="AE398" s="26"/>
      <c r="AF398" s="28"/>
    </row>
    <row r="399" spans="1:32" ht="13.5" customHeight="1" x14ac:dyDescent="0.25">
      <c r="A399" s="14">
        <v>45708</v>
      </c>
      <c r="B399" s="14" t="s">
        <v>47</v>
      </c>
      <c r="C399" s="15">
        <v>3</v>
      </c>
      <c r="D399" s="16">
        <v>10</v>
      </c>
      <c r="E399" s="16"/>
      <c r="F399" s="17"/>
      <c r="G399" s="21"/>
      <c r="H399" s="21"/>
      <c r="I399" s="4">
        <v>10</v>
      </c>
      <c r="J399" s="4">
        <v>0.16666666666666666</v>
      </c>
      <c r="K399" s="4"/>
      <c r="L399" s="16"/>
      <c r="M399" s="4"/>
      <c r="N399" s="4"/>
      <c r="O399" s="4"/>
      <c r="P399" s="4"/>
      <c r="Q399" s="4"/>
      <c r="R399" s="4"/>
      <c r="S399" s="4">
        <v>0</v>
      </c>
      <c r="T399" s="4">
        <v>0</v>
      </c>
      <c r="U399" s="4">
        <v>0.16666666666666666</v>
      </c>
      <c r="V399" s="4">
        <v>11.833333333333334</v>
      </c>
      <c r="W399" s="4">
        <v>12</v>
      </c>
      <c r="X399" s="4">
        <v>25</v>
      </c>
      <c r="Y399" s="4"/>
      <c r="Z399" s="4">
        <v>339.19999999999993</v>
      </c>
      <c r="AA399" s="4">
        <v>300</v>
      </c>
      <c r="AB399" s="18"/>
      <c r="AC399" s="18">
        <v>8</v>
      </c>
      <c r="AD399" s="28"/>
      <c r="AE399" s="26"/>
      <c r="AF399" s="28"/>
    </row>
    <row r="400" spans="1:32" ht="13.5" customHeight="1" x14ac:dyDescent="0.25">
      <c r="A400" s="14">
        <v>45708</v>
      </c>
      <c r="B400" s="14" t="s">
        <v>46</v>
      </c>
      <c r="C400" s="15">
        <v>6</v>
      </c>
      <c r="D400" s="16"/>
      <c r="E400" s="16"/>
      <c r="F400" s="17"/>
      <c r="G400" s="21"/>
      <c r="H400" s="21"/>
      <c r="I400" s="4">
        <v>0</v>
      </c>
      <c r="J400" s="4">
        <v>0</v>
      </c>
      <c r="K400" s="4"/>
      <c r="L400" s="16"/>
      <c r="M400" s="4"/>
      <c r="N400" s="4"/>
      <c r="O400" s="4"/>
      <c r="P400" s="4"/>
      <c r="Q400" s="4"/>
      <c r="R400" s="4"/>
      <c r="S400" s="4">
        <v>0</v>
      </c>
      <c r="T400" s="4">
        <v>0</v>
      </c>
      <c r="U400" s="4">
        <v>0</v>
      </c>
      <c r="V400" s="4">
        <v>12</v>
      </c>
      <c r="W400" s="4">
        <v>12</v>
      </c>
      <c r="X400" s="4">
        <v>0</v>
      </c>
      <c r="Y400" s="4"/>
      <c r="Z400" s="4">
        <v>864.6</v>
      </c>
      <c r="AA400" s="4">
        <v>850</v>
      </c>
      <c r="AB400" s="18"/>
      <c r="AC400" s="18">
        <v>8</v>
      </c>
      <c r="AD400" s="28"/>
      <c r="AE400" s="26"/>
      <c r="AF400" s="28"/>
    </row>
    <row r="401" spans="1:32" ht="13.5" customHeight="1" x14ac:dyDescent="0.25">
      <c r="A401" s="14">
        <v>45708</v>
      </c>
      <c r="B401" s="14" t="s">
        <v>47</v>
      </c>
      <c r="C401" s="15">
        <v>6</v>
      </c>
      <c r="D401" s="16"/>
      <c r="E401" s="16"/>
      <c r="F401" s="17"/>
      <c r="G401" s="21"/>
      <c r="H401" s="21"/>
      <c r="I401" s="4">
        <v>0</v>
      </c>
      <c r="J401" s="4">
        <v>0</v>
      </c>
      <c r="K401" s="4"/>
      <c r="L401" s="16"/>
      <c r="M401" s="4"/>
      <c r="N401" s="4"/>
      <c r="O401" s="4"/>
      <c r="P401" s="4"/>
      <c r="Q401" s="4"/>
      <c r="R401" s="4"/>
      <c r="S401" s="4">
        <v>0</v>
      </c>
      <c r="T401" s="4">
        <v>0</v>
      </c>
      <c r="U401" s="4">
        <v>0</v>
      </c>
      <c r="V401" s="4">
        <v>12</v>
      </c>
      <c r="W401" s="4">
        <v>12</v>
      </c>
      <c r="X401" s="4">
        <v>0</v>
      </c>
      <c r="Y401" s="4"/>
      <c r="Z401" s="4">
        <v>948.4</v>
      </c>
      <c r="AA401" s="4">
        <v>950</v>
      </c>
      <c r="AB401" s="18"/>
      <c r="AC401" s="18">
        <v>8</v>
      </c>
      <c r="AD401" s="28"/>
      <c r="AE401" s="26"/>
      <c r="AF401" s="28"/>
    </row>
    <row r="402" spans="1:32" ht="13.5" customHeight="1" x14ac:dyDescent="0.25">
      <c r="A402" s="14">
        <v>45708</v>
      </c>
      <c r="B402" s="14" t="s">
        <v>46</v>
      </c>
      <c r="C402" s="15">
        <v>7</v>
      </c>
      <c r="D402" s="16">
        <v>9</v>
      </c>
      <c r="E402" s="16"/>
      <c r="F402" s="17"/>
      <c r="G402" s="21"/>
      <c r="H402" s="21"/>
      <c r="I402" s="4">
        <v>9</v>
      </c>
      <c r="J402" s="4">
        <v>0.15</v>
      </c>
      <c r="K402" s="4"/>
      <c r="L402" s="16"/>
      <c r="M402" s="4"/>
      <c r="N402" s="4"/>
      <c r="O402" s="4"/>
      <c r="P402" s="4"/>
      <c r="Q402" s="4"/>
      <c r="R402" s="4"/>
      <c r="S402" s="4">
        <v>0</v>
      </c>
      <c r="T402" s="4">
        <v>0</v>
      </c>
      <c r="U402" s="4">
        <v>0.15</v>
      </c>
      <c r="V402" s="4">
        <v>11.85</v>
      </c>
      <c r="W402" s="4">
        <v>12</v>
      </c>
      <c r="X402" s="4">
        <v>2</v>
      </c>
      <c r="Y402" s="4"/>
      <c r="Z402" s="4">
        <v>534.72</v>
      </c>
      <c r="AA402" s="4">
        <v>500</v>
      </c>
      <c r="AB402" s="18"/>
      <c r="AC402" s="18">
        <v>8</v>
      </c>
      <c r="AD402" s="28"/>
      <c r="AE402" s="26"/>
      <c r="AF402" s="28"/>
    </row>
    <row r="403" spans="1:32" ht="13.5" customHeight="1" x14ac:dyDescent="0.25">
      <c r="A403" s="14">
        <v>45708</v>
      </c>
      <c r="B403" s="14" t="s">
        <v>47</v>
      </c>
      <c r="C403" s="15">
        <v>7</v>
      </c>
      <c r="D403" s="16"/>
      <c r="E403" s="16"/>
      <c r="F403" s="17"/>
      <c r="G403" s="21"/>
      <c r="H403" s="21"/>
      <c r="I403" s="4">
        <v>0</v>
      </c>
      <c r="J403" s="4">
        <v>0</v>
      </c>
      <c r="K403" s="4"/>
      <c r="L403" s="16"/>
      <c r="M403" s="4"/>
      <c r="N403" s="4"/>
      <c r="O403" s="4"/>
      <c r="P403" s="4"/>
      <c r="Q403" s="4"/>
      <c r="R403" s="4"/>
      <c r="S403" s="4">
        <v>0</v>
      </c>
      <c r="T403" s="4">
        <v>0</v>
      </c>
      <c r="U403" s="4">
        <v>0</v>
      </c>
      <c r="V403" s="4">
        <v>12</v>
      </c>
      <c r="W403" s="4">
        <v>12</v>
      </c>
      <c r="X403" s="4">
        <v>0</v>
      </c>
      <c r="Y403" s="4"/>
      <c r="Z403" s="4">
        <v>390.6</v>
      </c>
      <c r="AA403" s="4">
        <v>400</v>
      </c>
      <c r="AB403" s="18"/>
      <c r="AC403" s="18">
        <v>8</v>
      </c>
      <c r="AD403" s="28"/>
      <c r="AE403" s="26"/>
      <c r="AF403" s="28"/>
    </row>
    <row r="404" spans="1:32" ht="13.5" customHeight="1" x14ac:dyDescent="0.25">
      <c r="A404" s="14">
        <v>45709</v>
      </c>
      <c r="B404" s="14" t="s">
        <v>46</v>
      </c>
      <c r="C404" s="15">
        <v>1</v>
      </c>
      <c r="D404" s="16">
        <v>13</v>
      </c>
      <c r="E404" s="16"/>
      <c r="F404" s="17"/>
      <c r="G404" s="21"/>
      <c r="H404" s="21"/>
      <c r="I404" s="4">
        <v>13</v>
      </c>
      <c r="J404" s="4">
        <v>0.21666666666666667</v>
      </c>
      <c r="K404" s="4"/>
      <c r="L404" s="16"/>
      <c r="M404" s="4"/>
      <c r="N404" s="4"/>
      <c r="O404" s="4"/>
      <c r="P404" s="4"/>
      <c r="Q404" s="4"/>
      <c r="R404" s="4"/>
      <c r="S404" s="4">
        <v>0</v>
      </c>
      <c r="T404" s="4">
        <v>0</v>
      </c>
      <c r="U404" s="4">
        <v>0.21666666666666667</v>
      </c>
      <c r="V404" s="4">
        <v>11.783333333333333</v>
      </c>
      <c r="W404" s="4">
        <v>12</v>
      </c>
      <c r="X404" s="4">
        <v>110</v>
      </c>
      <c r="Y404" s="4">
        <v>1849</v>
      </c>
      <c r="Z404" s="4">
        <v>150</v>
      </c>
      <c r="AA404" s="4">
        <v>150</v>
      </c>
      <c r="AB404" s="18">
        <v>372</v>
      </c>
      <c r="AC404" s="18">
        <v>8</v>
      </c>
      <c r="AD404" s="28"/>
      <c r="AE404" s="26"/>
      <c r="AF404" s="28"/>
    </row>
    <row r="405" spans="1:32" ht="13.5" customHeight="1" x14ac:dyDescent="0.25">
      <c r="A405" s="14">
        <v>45709</v>
      </c>
      <c r="B405" s="14" t="s">
        <v>47</v>
      </c>
      <c r="C405" s="15">
        <v>1</v>
      </c>
      <c r="D405" s="16">
        <v>5</v>
      </c>
      <c r="E405" s="16"/>
      <c r="F405" s="17"/>
      <c r="G405" s="21"/>
      <c r="H405" s="21"/>
      <c r="I405" s="4">
        <v>5</v>
      </c>
      <c r="J405" s="4">
        <v>8.3333333333333329E-2</v>
      </c>
      <c r="K405" s="4"/>
      <c r="L405" s="16"/>
      <c r="M405" s="4"/>
      <c r="N405" s="4"/>
      <c r="O405" s="4"/>
      <c r="P405" s="4"/>
      <c r="Q405" s="4"/>
      <c r="R405" s="4"/>
      <c r="S405" s="4">
        <v>0</v>
      </c>
      <c r="T405" s="4">
        <v>0</v>
      </c>
      <c r="U405" s="4">
        <v>8.3333333333333329E-2</v>
      </c>
      <c r="V405" s="4">
        <v>11.916666666666666</v>
      </c>
      <c r="W405" s="4">
        <v>12</v>
      </c>
      <c r="X405" s="4">
        <v>0</v>
      </c>
      <c r="Y405" s="4"/>
      <c r="Z405" s="4">
        <v>168.39999999999998</v>
      </c>
      <c r="AA405" s="4">
        <v>150</v>
      </c>
      <c r="AB405" s="18"/>
      <c r="AC405" s="18">
        <v>8</v>
      </c>
      <c r="AD405" s="28"/>
      <c r="AE405" s="26"/>
      <c r="AF405" s="28"/>
    </row>
    <row r="406" spans="1:32" ht="13.5" customHeight="1" x14ac:dyDescent="0.25">
      <c r="A406" s="14">
        <v>45709</v>
      </c>
      <c r="B406" s="14" t="s">
        <v>46</v>
      </c>
      <c r="C406" s="15">
        <v>3</v>
      </c>
      <c r="D406" s="16">
        <v>20</v>
      </c>
      <c r="E406" s="16"/>
      <c r="F406" s="17"/>
      <c r="G406" s="21"/>
      <c r="H406" s="21"/>
      <c r="I406" s="4">
        <v>20</v>
      </c>
      <c r="J406" s="4">
        <v>0.33333333333333331</v>
      </c>
      <c r="K406" s="4"/>
      <c r="L406" s="16"/>
      <c r="M406" s="4"/>
      <c r="N406" s="4"/>
      <c r="O406" s="4"/>
      <c r="P406" s="4"/>
      <c r="Q406" s="4"/>
      <c r="R406" s="4"/>
      <c r="S406" s="4">
        <v>0</v>
      </c>
      <c r="T406" s="4">
        <v>0</v>
      </c>
      <c r="U406" s="4">
        <v>0.33333333333333331</v>
      </c>
      <c r="V406" s="4">
        <v>11.666666666666666</v>
      </c>
      <c r="W406" s="4">
        <v>12</v>
      </c>
      <c r="X406" s="4">
        <v>0</v>
      </c>
      <c r="Y406" s="4"/>
      <c r="Z406" s="4">
        <v>328.9</v>
      </c>
      <c r="AA406" s="4">
        <v>350</v>
      </c>
      <c r="AB406" s="18"/>
      <c r="AC406" s="18">
        <v>8</v>
      </c>
      <c r="AD406" s="28"/>
      <c r="AE406" s="26"/>
      <c r="AF406" s="28"/>
    </row>
    <row r="407" spans="1:32" ht="13.5" customHeight="1" x14ac:dyDescent="0.25">
      <c r="A407" s="14">
        <v>45709</v>
      </c>
      <c r="B407" s="14" t="s">
        <v>47</v>
      </c>
      <c r="C407" s="15">
        <v>3</v>
      </c>
      <c r="D407" s="16">
        <v>5</v>
      </c>
      <c r="E407" s="16"/>
      <c r="F407" s="17"/>
      <c r="G407" s="21"/>
      <c r="H407" s="21"/>
      <c r="I407" s="4">
        <v>5</v>
      </c>
      <c r="J407" s="4">
        <v>8.3333333333333329E-2</v>
      </c>
      <c r="K407" s="4"/>
      <c r="L407" s="16"/>
      <c r="M407" s="4"/>
      <c r="N407" s="4"/>
      <c r="O407" s="4"/>
      <c r="P407" s="4"/>
      <c r="Q407" s="4"/>
      <c r="R407" s="4"/>
      <c r="S407" s="4">
        <v>0</v>
      </c>
      <c r="T407" s="4">
        <v>0</v>
      </c>
      <c r="U407" s="4">
        <v>8.3333333333333329E-2</v>
      </c>
      <c r="V407" s="4">
        <v>11.916666666666666</v>
      </c>
      <c r="W407" s="4">
        <v>12</v>
      </c>
      <c r="X407" s="4">
        <v>0</v>
      </c>
      <c r="Y407" s="4"/>
      <c r="Z407" s="4">
        <v>527.4</v>
      </c>
      <c r="AA407" s="4">
        <v>550</v>
      </c>
      <c r="AB407" s="18"/>
      <c r="AC407" s="18">
        <v>8</v>
      </c>
      <c r="AD407" s="28"/>
      <c r="AE407" s="26"/>
      <c r="AF407" s="28"/>
    </row>
    <row r="408" spans="1:32" ht="13.5" customHeight="1" x14ac:dyDescent="0.25">
      <c r="A408" s="14">
        <v>45709</v>
      </c>
      <c r="B408" s="14" t="s">
        <v>46</v>
      </c>
      <c r="C408" s="15">
        <v>6</v>
      </c>
      <c r="D408" s="16">
        <v>20</v>
      </c>
      <c r="E408" s="16"/>
      <c r="F408" s="17"/>
      <c r="G408" s="21"/>
      <c r="H408" s="21"/>
      <c r="I408" s="4">
        <v>20</v>
      </c>
      <c r="J408" s="4">
        <v>0.33333333333333331</v>
      </c>
      <c r="K408" s="4"/>
      <c r="L408" s="16"/>
      <c r="M408" s="4"/>
      <c r="N408" s="4"/>
      <c r="O408" s="4"/>
      <c r="P408" s="4"/>
      <c r="Q408" s="4"/>
      <c r="R408" s="4"/>
      <c r="S408" s="4">
        <v>0</v>
      </c>
      <c r="T408" s="4">
        <v>0</v>
      </c>
      <c r="U408" s="4">
        <v>0.33333333333333331</v>
      </c>
      <c r="V408" s="4">
        <v>11.666666666666666</v>
      </c>
      <c r="W408" s="4">
        <v>12</v>
      </c>
      <c r="X408" s="4">
        <v>0</v>
      </c>
      <c r="Y408" s="4"/>
      <c r="Z408" s="4">
        <v>856.99999999999989</v>
      </c>
      <c r="AA408" s="4">
        <v>850</v>
      </c>
      <c r="AB408" s="18"/>
      <c r="AC408" s="18">
        <v>8</v>
      </c>
      <c r="AD408" s="28"/>
      <c r="AE408" s="26"/>
      <c r="AF408" s="28"/>
    </row>
    <row r="409" spans="1:32" ht="13.5" customHeight="1" x14ac:dyDescent="0.25">
      <c r="A409" s="14">
        <v>45709</v>
      </c>
      <c r="B409" s="14" t="s">
        <v>47</v>
      </c>
      <c r="C409" s="15">
        <v>6</v>
      </c>
      <c r="D409" s="16">
        <v>5</v>
      </c>
      <c r="E409" s="16"/>
      <c r="F409" s="17"/>
      <c r="G409" s="21"/>
      <c r="H409" s="21"/>
      <c r="I409" s="4">
        <v>5</v>
      </c>
      <c r="J409" s="4">
        <v>8.3333333333333329E-2</v>
      </c>
      <c r="K409" s="4"/>
      <c r="L409" s="16"/>
      <c r="M409" s="4"/>
      <c r="N409" s="4"/>
      <c r="O409" s="4"/>
      <c r="P409" s="4"/>
      <c r="Q409" s="4"/>
      <c r="R409" s="4">
        <v>120</v>
      </c>
      <c r="S409" s="4">
        <v>120</v>
      </c>
      <c r="T409" s="4">
        <v>2</v>
      </c>
      <c r="U409" s="4">
        <v>2.0833333333333335</v>
      </c>
      <c r="V409" s="4">
        <v>9.9166666666666661</v>
      </c>
      <c r="W409" s="4">
        <v>12</v>
      </c>
      <c r="X409" s="4">
        <v>0</v>
      </c>
      <c r="Y409" s="4"/>
      <c r="Z409" s="4">
        <v>664.7</v>
      </c>
      <c r="AA409" s="4">
        <v>700</v>
      </c>
      <c r="AB409" s="18"/>
      <c r="AC409" s="18">
        <v>8</v>
      </c>
      <c r="AD409" s="28"/>
      <c r="AE409" s="26"/>
      <c r="AF409" s="28"/>
    </row>
    <row r="410" spans="1:32" ht="13.5" customHeight="1" x14ac:dyDescent="0.25">
      <c r="A410" s="14">
        <v>45709</v>
      </c>
      <c r="B410" s="14" t="s">
        <v>46</v>
      </c>
      <c r="C410" s="15">
        <v>7</v>
      </c>
      <c r="D410" s="16">
        <v>2</v>
      </c>
      <c r="E410" s="16"/>
      <c r="F410" s="17"/>
      <c r="G410" s="21"/>
      <c r="H410" s="21"/>
      <c r="I410" s="4">
        <v>2</v>
      </c>
      <c r="J410" s="4">
        <v>3.3333333333333333E-2</v>
      </c>
      <c r="K410" s="4"/>
      <c r="L410" s="16"/>
      <c r="M410" s="4"/>
      <c r="N410" s="4"/>
      <c r="O410" s="4"/>
      <c r="P410" s="4"/>
      <c r="Q410" s="4"/>
      <c r="R410" s="4"/>
      <c r="S410" s="4">
        <v>0</v>
      </c>
      <c r="T410" s="4">
        <v>0</v>
      </c>
      <c r="U410" s="4">
        <v>3.3333333333333333E-2</v>
      </c>
      <c r="V410" s="4">
        <v>11.966666666666667</v>
      </c>
      <c r="W410" s="4">
        <v>12</v>
      </c>
      <c r="X410" s="4">
        <v>0</v>
      </c>
      <c r="Y410" s="4"/>
      <c r="Z410" s="4">
        <v>244.18999999999997</v>
      </c>
      <c r="AA410" s="4">
        <v>250</v>
      </c>
      <c r="AB410" s="18"/>
      <c r="AC410" s="18">
        <v>8</v>
      </c>
      <c r="AD410" s="28"/>
      <c r="AE410" s="26"/>
      <c r="AF410" s="28"/>
    </row>
    <row r="411" spans="1:32" ht="13.5" customHeight="1" x14ac:dyDescent="0.25">
      <c r="A411" s="14">
        <v>45709</v>
      </c>
      <c r="B411" s="14" t="s">
        <v>47</v>
      </c>
      <c r="C411" s="15">
        <v>7</v>
      </c>
      <c r="D411" s="16"/>
      <c r="E411" s="16"/>
      <c r="F411" s="17"/>
      <c r="G411" s="21"/>
      <c r="H411" s="21"/>
      <c r="I411" s="4">
        <v>0</v>
      </c>
      <c r="J411" s="4">
        <v>0</v>
      </c>
      <c r="K411" s="4"/>
      <c r="L411" s="16"/>
      <c r="M411" s="4"/>
      <c r="N411" s="4"/>
      <c r="O411" s="4"/>
      <c r="P411" s="4"/>
      <c r="Q411" s="4"/>
      <c r="R411" s="4"/>
      <c r="S411" s="4">
        <v>0</v>
      </c>
      <c r="T411" s="4">
        <v>0</v>
      </c>
      <c r="U411" s="4">
        <v>0</v>
      </c>
      <c r="V411" s="4">
        <v>12</v>
      </c>
      <c r="W411" s="4">
        <v>12</v>
      </c>
      <c r="X411" s="4">
        <v>0</v>
      </c>
      <c r="Y411" s="4"/>
      <c r="Z411" s="4">
        <v>321.10000000000002</v>
      </c>
      <c r="AA411" s="4">
        <v>300</v>
      </c>
      <c r="AB411" s="18"/>
      <c r="AC411" s="18">
        <v>8</v>
      </c>
      <c r="AD411" s="28"/>
      <c r="AE411" s="26"/>
      <c r="AF411" s="28"/>
    </row>
    <row r="412" spans="1:32" ht="13.5" customHeight="1" x14ac:dyDescent="0.25">
      <c r="A412" s="14">
        <v>45710</v>
      </c>
      <c r="B412" s="14" t="s">
        <v>46</v>
      </c>
      <c r="C412" s="15">
        <v>1</v>
      </c>
      <c r="D412" s="16"/>
      <c r="E412" s="16"/>
      <c r="F412" s="17"/>
      <c r="G412" s="21"/>
      <c r="H412" s="21"/>
      <c r="I412" s="4">
        <v>0</v>
      </c>
      <c r="J412" s="4">
        <v>0</v>
      </c>
      <c r="K412" s="4"/>
      <c r="L412" s="16"/>
      <c r="M412" s="4"/>
      <c r="N412" s="4"/>
      <c r="O412" s="4"/>
      <c r="P412" s="4"/>
      <c r="Q412" s="4"/>
      <c r="R412" s="4"/>
      <c r="S412" s="4">
        <v>0</v>
      </c>
      <c r="T412" s="4">
        <v>0</v>
      </c>
      <c r="U412" s="4">
        <v>0</v>
      </c>
      <c r="V412" s="4">
        <v>12</v>
      </c>
      <c r="W412" s="4">
        <v>12</v>
      </c>
      <c r="X412" s="4">
        <v>0</v>
      </c>
      <c r="Y412" s="4">
        <v>1703</v>
      </c>
      <c r="Z412" s="4">
        <v>187.82</v>
      </c>
      <c r="AA412" s="4">
        <v>200</v>
      </c>
      <c r="AB412" s="18">
        <v>372</v>
      </c>
      <c r="AC412" s="18">
        <v>8</v>
      </c>
      <c r="AD412" s="28"/>
      <c r="AE412" s="26"/>
      <c r="AF412" s="28"/>
    </row>
    <row r="413" spans="1:32" ht="13.5" customHeight="1" x14ac:dyDescent="0.25">
      <c r="A413" s="14">
        <v>45710</v>
      </c>
      <c r="B413" s="14" t="s">
        <v>47</v>
      </c>
      <c r="C413" s="15">
        <v>1</v>
      </c>
      <c r="D413" s="16"/>
      <c r="E413" s="16"/>
      <c r="F413" s="17"/>
      <c r="G413" s="21"/>
      <c r="H413" s="21"/>
      <c r="I413" s="4">
        <v>0</v>
      </c>
      <c r="J413" s="4">
        <v>0</v>
      </c>
      <c r="K413" s="4"/>
      <c r="L413" s="16"/>
      <c r="M413" s="4"/>
      <c r="N413" s="4"/>
      <c r="O413" s="4"/>
      <c r="P413" s="4"/>
      <c r="Q413" s="4"/>
      <c r="R413" s="4"/>
      <c r="S413" s="4">
        <v>0</v>
      </c>
      <c r="T413" s="4">
        <v>0</v>
      </c>
      <c r="U413" s="4">
        <v>0</v>
      </c>
      <c r="V413" s="4">
        <v>12</v>
      </c>
      <c r="W413" s="4">
        <v>12</v>
      </c>
      <c r="X413" s="4">
        <v>4</v>
      </c>
      <c r="Y413" s="4"/>
      <c r="Z413" s="4">
        <v>118.80000000000001</v>
      </c>
      <c r="AA413" s="4">
        <v>150</v>
      </c>
      <c r="AB413" s="18"/>
      <c r="AC413" s="18">
        <v>8</v>
      </c>
      <c r="AD413" s="28"/>
      <c r="AE413" s="26"/>
      <c r="AF413" s="28"/>
    </row>
    <row r="414" spans="1:32" ht="13.5" customHeight="1" x14ac:dyDescent="0.25">
      <c r="A414" s="14">
        <v>45710</v>
      </c>
      <c r="B414" s="14" t="s">
        <v>46</v>
      </c>
      <c r="C414" s="15">
        <v>3</v>
      </c>
      <c r="D414" s="16"/>
      <c r="E414" s="16"/>
      <c r="F414" s="17"/>
      <c r="G414" s="21"/>
      <c r="H414" s="21"/>
      <c r="I414" s="4">
        <v>0</v>
      </c>
      <c r="J414" s="4">
        <v>0</v>
      </c>
      <c r="K414" s="4"/>
      <c r="L414" s="16"/>
      <c r="M414" s="4"/>
      <c r="N414" s="4"/>
      <c r="O414" s="4"/>
      <c r="P414" s="4"/>
      <c r="Q414" s="4"/>
      <c r="R414" s="4"/>
      <c r="S414" s="4">
        <v>0</v>
      </c>
      <c r="T414" s="4">
        <v>0</v>
      </c>
      <c r="U414" s="4">
        <v>0</v>
      </c>
      <c r="V414" s="4">
        <v>12</v>
      </c>
      <c r="W414" s="4">
        <v>12</v>
      </c>
      <c r="X414" s="4">
        <v>0</v>
      </c>
      <c r="Y414" s="4"/>
      <c r="Z414" s="4">
        <v>239.09999999999997</v>
      </c>
      <c r="AA414" s="4">
        <v>250</v>
      </c>
      <c r="AB414" s="18"/>
      <c r="AC414" s="18">
        <v>8</v>
      </c>
      <c r="AD414" s="28"/>
      <c r="AE414" s="26"/>
      <c r="AF414" s="28"/>
    </row>
    <row r="415" spans="1:32" ht="13.5" customHeight="1" x14ac:dyDescent="0.25">
      <c r="A415" s="14">
        <v>45710</v>
      </c>
      <c r="B415" s="14" t="s">
        <v>47</v>
      </c>
      <c r="C415" s="15">
        <v>3</v>
      </c>
      <c r="D415" s="16"/>
      <c r="E415" s="16"/>
      <c r="F415" s="17"/>
      <c r="G415" s="21"/>
      <c r="H415" s="21"/>
      <c r="I415" s="4">
        <v>0</v>
      </c>
      <c r="J415" s="4">
        <v>0</v>
      </c>
      <c r="K415" s="4"/>
      <c r="L415" s="16"/>
      <c r="M415" s="4"/>
      <c r="N415" s="4"/>
      <c r="O415" s="4"/>
      <c r="P415" s="4"/>
      <c r="Q415" s="4"/>
      <c r="R415" s="4"/>
      <c r="S415" s="4">
        <v>0</v>
      </c>
      <c r="T415" s="4">
        <v>0</v>
      </c>
      <c r="U415" s="4">
        <v>0</v>
      </c>
      <c r="V415" s="4">
        <v>12</v>
      </c>
      <c r="W415" s="4">
        <v>12</v>
      </c>
      <c r="X415" s="4">
        <v>2</v>
      </c>
      <c r="Y415" s="4"/>
      <c r="Z415" s="4">
        <v>269.3</v>
      </c>
      <c r="AA415" s="4">
        <v>300</v>
      </c>
      <c r="AB415" s="18"/>
      <c r="AC415" s="18">
        <v>8</v>
      </c>
      <c r="AD415" s="28"/>
      <c r="AE415" s="26"/>
      <c r="AF415" s="28"/>
    </row>
    <row r="416" spans="1:32" ht="13.5" customHeight="1" x14ac:dyDescent="0.25">
      <c r="A416" s="14">
        <v>45710</v>
      </c>
      <c r="B416" s="14" t="s">
        <v>46</v>
      </c>
      <c r="C416" s="15">
        <v>6</v>
      </c>
      <c r="D416" s="16">
        <v>7</v>
      </c>
      <c r="E416" s="16"/>
      <c r="F416" s="17"/>
      <c r="G416" s="21"/>
      <c r="H416" s="21"/>
      <c r="I416" s="4">
        <v>7</v>
      </c>
      <c r="J416" s="4">
        <v>0.11666666666666667</v>
      </c>
      <c r="K416" s="4"/>
      <c r="L416" s="16">
        <v>10</v>
      </c>
      <c r="M416" s="4"/>
      <c r="N416" s="4"/>
      <c r="O416" s="4"/>
      <c r="P416" s="4"/>
      <c r="Q416" s="4"/>
      <c r="R416" s="4"/>
      <c r="S416" s="4">
        <v>10</v>
      </c>
      <c r="T416" s="4">
        <v>0.16666666666666666</v>
      </c>
      <c r="U416" s="4">
        <v>0.28333333333333333</v>
      </c>
      <c r="V416" s="4">
        <v>11.716666666666667</v>
      </c>
      <c r="W416" s="4">
        <v>12</v>
      </c>
      <c r="X416" s="4">
        <v>30</v>
      </c>
      <c r="Y416" s="4"/>
      <c r="Z416" s="4">
        <v>506.40000000000003</v>
      </c>
      <c r="AA416" s="4">
        <v>550</v>
      </c>
      <c r="AB416" s="18"/>
      <c r="AC416" s="18">
        <v>8</v>
      </c>
      <c r="AD416" s="28"/>
      <c r="AE416" s="26"/>
      <c r="AF416" s="28"/>
    </row>
    <row r="417" spans="1:32" ht="13.5" customHeight="1" x14ac:dyDescent="0.25">
      <c r="A417" s="14">
        <v>45710</v>
      </c>
      <c r="B417" s="14" t="s">
        <v>47</v>
      </c>
      <c r="C417" s="15">
        <v>6</v>
      </c>
      <c r="D417" s="16"/>
      <c r="E417" s="16"/>
      <c r="F417" s="17"/>
      <c r="G417" s="21"/>
      <c r="H417" s="21"/>
      <c r="I417" s="4">
        <v>0</v>
      </c>
      <c r="J417" s="4">
        <v>0</v>
      </c>
      <c r="K417" s="4"/>
      <c r="L417" s="16"/>
      <c r="M417" s="4"/>
      <c r="N417" s="4"/>
      <c r="O417" s="4"/>
      <c r="P417" s="4"/>
      <c r="Q417" s="4"/>
      <c r="R417" s="4"/>
      <c r="S417" s="4">
        <v>0</v>
      </c>
      <c r="T417" s="4">
        <v>0</v>
      </c>
      <c r="U417" s="4">
        <v>0</v>
      </c>
      <c r="V417" s="4">
        <v>12</v>
      </c>
      <c r="W417" s="4">
        <v>12</v>
      </c>
      <c r="X417" s="4">
        <v>40</v>
      </c>
      <c r="Y417" s="4"/>
      <c r="Z417" s="4">
        <v>693.1</v>
      </c>
      <c r="AA417" s="4">
        <v>700</v>
      </c>
      <c r="AB417" s="18"/>
      <c r="AC417" s="18">
        <v>8</v>
      </c>
      <c r="AD417" s="28"/>
      <c r="AE417" s="26"/>
      <c r="AF417" s="28"/>
    </row>
    <row r="418" spans="1:32" ht="13.5" customHeight="1" x14ac:dyDescent="0.25">
      <c r="A418" s="14">
        <v>45710</v>
      </c>
      <c r="B418" s="14" t="s">
        <v>46</v>
      </c>
      <c r="C418" s="15">
        <v>7</v>
      </c>
      <c r="D418" s="16">
        <v>7</v>
      </c>
      <c r="E418" s="16"/>
      <c r="F418" s="17"/>
      <c r="G418" s="21"/>
      <c r="H418" s="21"/>
      <c r="I418" s="4">
        <v>7</v>
      </c>
      <c r="J418" s="4">
        <v>0.11666666666666667</v>
      </c>
      <c r="K418" s="4"/>
      <c r="L418" s="16"/>
      <c r="M418" s="4"/>
      <c r="N418" s="4"/>
      <c r="O418" s="4"/>
      <c r="P418" s="4"/>
      <c r="Q418" s="4"/>
      <c r="R418" s="4"/>
      <c r="S418" s="4">
        <v>0</v>
      </c>
      <c r="T418" s="4">
        <v>0</v>
      </c>
      <c r="U418" s="4">
        <v>0.11666666666666667</v>
      </c>
      <c r="V418" s="4">
        <v>11.883333333333333</v>
      </c>
      <c r="W418" s="4">
        <v>12</v>
      </c>
      <c r="X418" s="4">
        <v>30</v>
      </c>
      <c r="Y418" s="4"/>
      <c r="Z418" s="4">
        <v>350.96999999999997</v>
      </c>
      <c r="AA418" s="4">
        <v>350</v>
      </c>
      <c r="AB418" s="18"/>
      <c r="AC418" s="18">
        <v>8</v>
      </c>
      <c r="AD418" s="28"/>
      <c r="AE418" s="26"/>
      <c r="AF418" s="28"/>
    </row>
    <row r="419" spans="1:32" ht="13.5" customHeight="1" x14ac:dyDescent="0.25">
      <c r="A419" s="14">
        <v>45710</v>
      </c>
      <c r="B419" s="14" t="s">
        <v>47</v>
      </c>
      <c r="C419" s="15">
        <v>7</v>
      </c>
      <c r="D419" s="16"/>
      <c r="E419" s="16"/>
      <c r="F419" s="17"/>
      <c r="G419" s="21"/>
      <c r="H419" s="21"/>
      <c r="I419" s="4">
        <v>0</v>
      </c>
      <c r="J419" s="4">
        <v>0</v>
      </c>
      <c r="K419" s="4"/>
      <c r="L419" s="16"/>
      <c r="M419" s="4"/>
      <c r="N419" s="4"/>
      <c r="O419" s="4"/>
      <c r="P419" s="4"/>
      <c r="Q419" s="4"/>
      <c r="R419" s="4"/>
      <c r="S419" s="4">
        <v>0</v>
      </c>
      <c r="T419" s="4">
        <v>0</v>
      </c>
      <c r="U419" s="4">
        <v>0</v>
      </c>
      <c r="V419" s="4">
        <v>12</v>
      </c>
      <c r="W419" s="4">
        <v>12</v>
      </c>
      <c r="X419" s="4">
        <v>5</v>
      </c>
      <c r="Y419" s="4"/>
      <c r="Z419" s="4">
        <v>418.9</v>
      </c>
      <c r="AA419" s="4">
        <v>450</v>
      </c>
      <c r="AB419" s="18"/>
      <c r="AC419" s="18">
        <v>8</v>
      </c>
      <c r="AD419" s="28"/>
      <c r="AE419" s="26"/>
      <c r="AF419" s="28"/>
    </row>
    <row r="420" spans="1:32" ht="13.5" customHeight="1" x14ac:dyDescent="0.25">
      <c r="A420" s="14">
        <v>45711</v>
      </c>
      <c r="B420" s="14" t="s">
        <v>46</v>
      </c>
      <c r="C420" s="15">
        <v>1</v>
      </c>
      <c r="D420" s="16">
        <v>6</v>
      </c>
      <c r="E420" s="16"/>
      <c r="F420" s="17"/>
      <c r="G420" s="21"/>
      <c r="H420" s="21"/>
      <c r="I420" s="4">
        <v>6</v>
      </c>
      <c r="J420" s="4">
        <v>0.1</v>
      </c>
      <c r="K420" s="4"/>
      <c r="L420" s="16"/>
      <c r="M420" s="4"/>
      <c r="N420" s="4"/>
      <c r="O420" s="4"/>
      <c r="P420" s="4"/>
      <c r="Q420" s="4"/>
      <c r="R420" s="4"/>
      <c r="S420" s="4">
        <v>0</v>
      </c>
      <c r="T420" s="4">
        <v>0</v>
      </c>
      <c r="U420" s="4">
        <v>0.1</v>
      </c>
      <c r="V420" s="4">
        <v>11.9</v>
      </c>
      <c r="W420" s="4">
        <v>12</v>
      </c>
      <c r="X420" s="4">
        <v>5</v>
      </c>
      <c r="Y420" s="4">
        <v>1802</v>
      </c>
      <c r="Z420" s="4">
        <v>146.1</v>
      </c>
      <c r="AA420" s="4">
        <v>150</v>
      </c>
      <c r="AB420" s="18">
        <v>372</v>
      </c>
      <c r="AC420" s="18">
        <v>8</v>
      </c>
      <c r="AD420" s="28"/>
      <c r="AE420" s="26"/>
      <c r="AF420" s="28"/>
    </row>
    <row r="421" spans="1:32" ht="13.5" customHeight="1" x14ac:dyDescent="0.25">
      <c r="A421" s="14">
        <v>45711</v>
      </c>
      <c r="B421" s="14" t="s">
        <v>47</v>
      </c>
      <c r="C421" s="15">
        <v>1</v>
      </c>
      <c r="D421" s="16"/>
      <c r="E421" s="16"/>
      <c r="F421" s="17"/>
      <c r="G421" s="21"/>
      <c r="H421" s="21"/>
      <c r="I421" s="4">
        <v>0</v>
      </c>
      <c r="J421" s="4">
        <v>0</v>
      </c>
      <c r="K421" s="4"/>
      <c r="L421" s="16"/>
      <c r="M421" s="4"/>
      <c r="N421" s="4"/>
      <c r="O421" s="4"/>
      <c r="P421" s="4"/>
      <c r="Q421" s="4"/>
      <c r="R421" s="4"/>
      <c r="S421" s="4">
        <v>0</v>
      </c>
      <c r="T421" s="4">
        <v>0</v>
      </c>
      <c r="U421" s="4">
        <v>0</v>
      </c>
      <c r="V421" s="4">
        <v>12</v>
      </c>
      <c r="W421" s="4">
        <v>12</v>
      </c>
      <c r="X421" s="4">
        <v>0</v>
      </c>
      <c r="Y421" s="4"/>
      <c r="Z421" s="4">
        <v>158.80000000000001</v>
      </c>
      <c r="AA421" s="4">
        <v>150</v>
      </c>
      <c r="AB421" s="18"/>
      <c r="AC421" s="18">
        <v>8</v>
      </c>
      <c r="AD421" s="28"/>
      <c r="AE421" s="26"/>
      <c r="AF421" s="28"/>
    </row>
    <row r="422" spans="1:32" ht="13.5" customHeight="1" x14ac:dyDescent="0.25">
      <c r="A422" s="14">
        <v>45711</v>
      </c>
      <c r="B422" s="14" t="s">
        <v>46</v>
      </c>
      <c r="C422" s="15">
        <v>3</v>
      </c>
      <c r="D422" s="16">
        <v>2</v>
      </c>
      <c r="E422" s="16"/>
      <c r="F422" s="17"/>
      <c r="G422" s="21"/>
      <c r="H422" s="21"/>
      <c r="I422" s="4">
        <v>2</v>
      </c>
      <c r="J422" s="4">
        <v>3.3333333333333333E-2</v>
      </c>
      <c r="K422" s="4"/>
      <c r="L422" s="16"/>
      <c r="M422" s="4"/>
      <c r="N422" s="4"/>
      <c r="O422" s="4"/>
      <c r="P422" s="4"/>
      <c r="Q422" s="4"/>
      <c r="R422" s="4"/>
      <c r="S422" s="4">
        <v>0</v>
      </c>
      <c r="T422" s="4">
        <v>0</v>
      </c>
      <c r="U422" s="4">
        <v>3.3333333333333333E-2</v>
      </c>
      <c r="V422" s="4">
        <v>11.966666666666667</v>
      </c>
      <c r="W422" s="4">
        <v>12</v>
      </c>
      <c r="X422" s="4">
        <v>2</v>
      </c>
      <c r="Y422" s="4"/>
      <c r="Z422" s="4">
        <v>261.3</v>
      </c>
      <c r="AA422" s="4">
        <v>250</v>
      </c>
      <c r="AB422" s="18"/>
      <c r="AC422" s="18">
        <v>8</v>
      </c>
      <c r="AD422" s="28"/>
      <c r="AE422" s="26"/>
      <c r="AF422" s="28"/>
    </row>
    <row r="423" spans="1:32" ht="13.5" customHeight="1" x14ac:dyDescent="0.25">
      <c r="A423" s="14">
        <v>45711</v>
      </c>
      <c r="B423" s="14" t="s">
        <v>47</v>
      </c>
      <c r="C423" s="15">
        <v>3</v>
      </c>
      <c r="D423" s="16"/>
      <c r="E423" s="16"/>
      <c r="F423" s="17"/>
      <c r="G423" s="21"/>
      <c r="H423" s="21"/>
      <c r="I423" s="4">
        <v>0</v>
      </c>
      <c r="J423" s="4">
        <v>0</v>
      </c>
      <c r="K423" s="4"/>
      <c r="L423" s="16"/>
      <c r="M423" s="4"/>
      <c r="N423" s="4"/>
      <c r="O423" s="4"/>
      <c r="P423" s="4"/>
      <c r="Q423" s="4"/>
      <c r="R423" s="4"/>
      <c r="S423" s="4">
        <v>0</v>
      </c>
      <c r="T423" s="4">
        <v>0</v>
      </c>
      <c r="U423" s="4">
        <v>0</v>
      </c>
      <c r="V423" s="4">
        <v>12</v>
      </c>
      <c r="W423" s="4">
        <v>12</v>
      </c>
      <c r="X423" s="4">
        <v>0</v>
      </c>
      <c r="Y423" s="4"/>
      <c r="Z423" s="4">
        <v>279.3</v>
      </c>
      <c r="AA423" s="4">
        <v>300</v>
      </c>
      <c r="AB423" s="18"/>
      <c r="AC423" s="18">
        <v>8</v>
      </c>
      <c r="AD423" s="28"/>
      <c r="AE423" s="26"/>
      <c r="AF423" s="28"/>
    </row>
    <row r="424" spans="1:32" ht="13.5" customHeight="1" x14ac:dyDescent="0.25">
      <c r="A424" s="14">
        <v>45711</v>
      </c>
      <c r="B424" s="14" t="s">
        <v>46</v>
      </c>
      <c r="C424" s="15">
        <v>6</v>
      </c>
      <c r="D424" s="16"/>
      <c r="E424" s="16"/>
      <c r="F424" s="17"/>
      <c r="G424" s="21"/>
      <c r="H424" s="21"/>
      <c r="I424" s="4">
        <v>0</v>
      </c>
      <c r="J424" s="4">
        <v>0</v>
      </c>
      <c r="K424" s="4"/>
      <c r="L424" s="16"/>
      <c r="M424" s="4"/>
      <c r="N424" s="4"/>
      <c r="O424" s="4"/>
      <c r="P424" s="4"/>
      <c r="Q424" s="4"/>
      <c r="R424" s="4"/>
      <c r="S424" s="4">
        <v>0</v>
      </c>
      <c r="T424" s="4">
        <v>0</v>
      </c>
      <c r="U424" s="4">
        <v>0</v>
      </c>
      <c r="V424" s="4">
        <v>12</v>
      </c>
      <c r="W424" s="4">
        <v>12</v>
      </c>
      <c r="X424" s="4">
        <v>0</v>
      </c>
      <c r="Y424" s="4"/>
      <c r="Z424" s="4">
        <v>648.5</v>
      </c>
      <c r="AA424" s="4">
        <v>650</v>
      </c>
      <c r="AB424" s="18"/>
      <c r="AC424" s="18">
        <v>8</v>
      </c>
      <c r="AD424" s="28"/>
      <c r="AE424" s="26"/>
      <c r="AF424" s="28"/>
    </row>
    <row r="425" spans="1:32" ht="13.5" customHeight="1" x14ac:dyDescent="0.25">
      <c r="A425" s="14">
        <v>45711</v>
      </c>
      <c r="B425" s="14" t="s">
        <v>47</v>
      </c>
      <c r="C425" s="15">
        <v>6</v>
      </c>
      <c r="D425" s="16"/>
      <c r="E425" s="16"/>
      <c r="F425" s="17"/>
      <c r="G425" s="21"/>
      <c r="H425" s="21"/>
      <c r="I425" s="4">
        <v>0</v>
      </c>
      <c r="J425" s="4">
        <v>0</v>
      </c>
      <c r="K425" s="4"/>
      <c r="L425" s="16"/>
      <c r="M425" s="4"/>
      <c r="N425" s="4"/>
      <c r="O425" s="4"/>
      <c r="P425" s="4"/>
      <c r="Q425" s="4"/>
      <c r="R425" s="4"/>
      <c r="S425" s="4">
        <v>0</v>
      </c>
      <c r="T425" s="4">
        <v>0</v>
      </c>
      <c r="U425" s="4">
        <v>0</v>
      </c>
      <c r="V425" s="4">
        <v>12</v>
      </c>
      <c r="W425" s="4">
        <v>12</v>
      </c>
      <c r="X425" s="4">
        <v>0</v>
      </c>
      <c r="Y425" s="4"/>
      <c r="Z425" s="4">
        <v>632.80000000000007</v>
      </c>
      <c r="AA425" s="4">
        <v>650</v>
      </c>
      <c r="AB425" s="18"/>
      <c r="AC425" s="18">
        <v>8</v>
      </c>
      <c r="AD425" s="28"/>
      <c r="AE425" s="26"/>
      <c r="AF425" s="28"/>
    </row>
    <row r="426" spans="1:32" ht="13.5" customHeight="1" x14ac:dyDescent="0.25">
      <c r="A426" s="14">
        <v>45711</v>
      </c>
      <c r="B426" s="14" t="s">
        <v>46</v>
      </c>
      <c r="C426" s="15">
        <v>7</v>
      </c>
      <c r="D426" s="16">
        <v>4</v>
      </c>
      <c r="E426" s="16"/>
      <c r="F426" s="17"/>
      <c r="G426" s="21"/>
      <c r="H426" s="21"/>
      <c r="I426" s="4">
        <v>4</v>
      </c>
      <c r="J426" s="4">
        <v>6.6666666666666666E-2</v>
      </c>
      <c r="K426" s="4"/>
      <c r="L426" s="16"/>
      <c r="M426" s="4"/>
      <c r="N426" s="4"/>
      <c r="O426" s="4"/>
      <c r="P426" s="4"/>
      <c r="Q426" s="4"/>
      <c r="R426" s="4"/>
      <c r="S426" s="4">
        <v>0</v>
      </c>
      <c r="T426" s="4">
        <v>0</v>
      </c>
      <c r="U426" s="4">
        <v>6.6666666666666666E-2</v>
      </c>
      <c r="V426" s="4">
        <v>11.933333333333334</v>
      </c>
      <c r="W426" s="4">
        <v>12</v>
      </c>
      <c r="X426" s="4">
        <v>10</v>
      </c>
      <c r="Y426" s="4"/>
      <c r="Z426" s="4">
        <v>402.2</v>
      </c>
      <c r="AA426" s="4">
        <v>400</v>
      </c>
      <c r="AB426" s="18"/>
      <c r="AC426" s="18">
        <v>8</v>
      </c>
      <c r="AD426" s="28"/>
      <c r="AE426" s="26"/>
      <c r="AF426" s="28"/>
    </row>
    <row r="427" spans="1:32" ht="13.5" customHeight="1" x14ac:dyDescent="0.25">
      <c r="A427" s="14">
        <v>45711</v>
      </c>
      <c r="B427" s="14" t="s">
        <v>47</v>
      </c>
      <c r="C427" s="15">
        <v>7</v>
      </c>
      <c r="D427" s="16"/>
      <c r="E427" s="16"/>
      <c r="F427" s="17"/>
      <c r="G427" s="21"/>
      <c r="H427" s="21"/>
      <c r="I427" s="4">
        <v>0</v>
      </c>
      <c r="J427" s="4">
        <v>0</v>
      </c>
      <c r="K427" s="4"/>
      <c r="L427" s="16"/>
      <c r="M427" s="4"/>
      <c r="N427" s="4"/>
      <c r="O427" s="4"/>
      <c r="P427" s="4"/>
      <c r="Q427" s="4"/>
      <c r="R427" s="4"/>
      <c r="S427" s="4">
        <v>0</v>
      </c>
      <c r="T427" s="4">
        <v>0</v>
      </c>
      <c r="U427" s="4">
        <v>0</v>
      </c>
      <c r="V427" s="4">
        <v>12</v>
      </c>
      <c r="W427" s="4">
        <v>12</v>
      </c>
      <c r="X427" s="4">
        <v>31</v>
      </c>
      <c r="Y427" s="4"/>
      <c r="Z427" s="4">
        <v>565.5</v>
      </c>
      <c r="AA427" s="4">
        <v>600</v>
      </c>
      <c r="AB427" s="18"/>
      <c r="AC427" s="18">
        <v>8</v>
      </c>
      <c r="AD427" s="28"/>
      <c r="AE427" s="26"/>
      <c r="AF427" s="28"/>
    </row>
    <row r="428" spans="1:32" ht="13.5" customHeight="1" x14ac:dyDescent="0.25">
      <c r="A428" s="14">
        <v>45712</v>
      </c>
      <c r="B428" s="14" t="s">
        <v>46</v>
      </c>
      <c r="C428" s="15">
        <v>1</v>
      </c>
      <c r="D428" s="16"/>
      <c r="E428" s="16"/>
      <c r="F428" s="17"/>
      <c r="G428" s="21"/>
      <c r="H428" s="21"/>
      <c r="I428" s="4">
        <v>0</v>
      </c>
      <c r="J428" s="4">
        <v>0</v>
      </c>
      <c r="K428" s="4"/>
      <c r="L428" s="16"/>
      <c r="M428" s="4"/>
      <c r="N428" s="4"/>
      <c r="O428" s="4"/>
      <c r="P428" s="4"/>
      <c r="Q428" s="4"/>
      <c r="R428" s="4"/>
      <c r="S428" s="4">
        <v>0</v>
      </c>
      <c r="T428" s="4">
        <v>0</v>
      </c>
      <c r="U428" s="4">
        <v>0</v>
      </c>
      <c r="V428" s="4">
        <v>12</v>
      </c>
      <c r="W428" s="4">
        <v>12</v>
      </c>
      <c r="X428" s="4">
        <v>0</v>
      </c>
      <c r="Y428" s="4">
        <v>1880</v>
      </c>
      <c r="Z428" s="4">
        <v>189.4</v>
      </c>
      <c r="AA428" s="4">
        <v>200</v>
      </c>
      <c r="AB428" s="18">
        <v>372</v>
      </c>
      <c r="AC428" s="18">
        <v>9</v>
      </c>
      <c r="AD428" s="28"/>
      <c r="AE428" s="26"/>
      <c r="AF428" s="28"/>
    </row>
    <row r="429" spans="1:32" ht="13.5" customHeight="1" x14ac:dyDescent="0.25">
      <c r="A429" s="14">
        <v>45712</v>
      </c>
      <c r="B429" s="14" t="s">
        <v>47</v>
      </c>
      <c r="C429" s="15">
        <v>1</v>
      </c>
      <c r="D429" s="16"/>
      <c r="E429" s="16"/>
      <c r="F429" s="17"/>
      <c r="G429" s="21"/>
      <c r="H429" s="21"/>
      <c r="I429" s="4">
        <v>0</v>
      </c>
      <c r="J429" s="4">
        <v>0</v>
      </c>
      <c r="K429" s="4"/>
      <c r="L429" s="16"/>
      <c r="M429" s="4"/>
      <c r="N429" s="4"/>
      <c r="O429" s="4"/>
      <c r="P429" s="4"/>
      <c r="Q429" s="4"/>
      <c r="R429" s="4"/>
      <c r="S429" s="4">
        <v>0</v>
      </c>
      <c r="T429" s="4">
        <v>0</v>
      </c>
      <c r="U429" s="4">
        <v>0</v>
      </c>
      <c r="V429" s="4">
        <v>12</v>
      </c>
      <c r="W429" s="4">
        <v>12</v>
      </c>
      <c r="X429" s="4">
        <v>0</v>
      </c>
      <c r="Y429" s="4"/>
      <c r="Z429" s="4">
        <v>155.70000000000002</v>
      </c>
      <c r="AA429" s="4">
        <v>200</v>
      </c>
      <c r="AB429" s="18"/>
      <c r="AC429" s="18">
        <v>9</v>
      </c>
      <c r="AD429" s="28"/>
      <c r="AE429" s="26"/>
      <c r="AF429" s="28"/>
    </row>
    <row r="430" spans="1:32" ht="13.5" customHeight="1" x14ac:dyDescent="0.25">
      <c r="A430" s="14">
        <v>45712</v>
      </c>
      <c r="B430" s="14" t="s">
        <v>46</v>
      </c>
      <c r="C430" s="15">
        <v>3</v>
      </c>
      <c r="D430" s="16">
        <v>2</v>
      </c>
      <c r="E430" s="16"/>
      <c r="F430" s="17"/>
      <c r="G430" s="21"/>
      <c r="H430" s="21"/>
      <c r="I430" s="4">
        <v>2</v>
      </c>
      <c r="J430" s="4">
        <v>3.3333333333333333E-2</v>
      </c>
      <c r="K430" s="4"/>
      <c r="L430" s="16"/>
      <c r="M430" s="4"/>
      <c r="N430" s="4"/>
      <c r="O430" s="4"/>
      <c r="P430" s="4"/>
      <c r="Q430" s="4"/>
      <c r="R430" s="4"/>
      <c r="S430" s="4">
        <v>0</v>
      </c>
      <c r="T430" s="4">
        <v>0</v>
      </c>
      <c r="U430" s="4">
        <v>3.3333333333333333E-2</v>
      </c>
      <c r="V430" s="4">
        <v>11.966666666666667</v>
      </c>
      <c r="W430" s="4">
        <v>12</v>
      </c>
      <c r="X430" s="4">
        <v>13</v>
      </c>
      <c r="Y430" s="4"/>
      <c r="Z430" s="4">
        <v>353.8</v>
      </c>
      <c r="AA430" s="4">
        <v>350</v>
      </c>
      <c r="AB430" s="18"/>
      <c r="AC430" s="18">
        <v>9</v>
      </c>
      <c r="AD430" s="28"/>
      <c r="AE430" s="26"/>
      <c r="AF430" s="28"/>
    </row>
    <row r="431" spans="1:32" ht="13.5" customHeight="1" x14ac:dyDescent="0.25">
      <c r="A431" s="14">
        <v>45712</v>
      </c>
      <c r="B431" s="14" t="s">
        <v>47</v>
      </c>
      <c r="C431" s="15">
        <v>3</v>
      </c>
      <c r="D431" s="16"/>
      <c r="E431" s="16"/>
      <c r="F431" s="17"/>
      <c r="G431" s="21"/>
      <c r="H431" s="21"/>
      <c r="I431" s="4">
        <v>0</v>
      </c>
      <c r="J431" s="4">
        <v>0</v>
      </c>
      <c r="K431" s="4"/>
      <c r="L431" s="16"/>
      <c r="M431" s="4"/>
      <c r="N431" s="4"/>
      <c r="O431" s="4"/>
      <c r="P431" s="4"/>
      <c r="Q431" s="4"/>
      <c r="R431" s="4"/>
      <c r="S431" s="4">
        <v>0</v>
      </c>
      <c r="T431" s="4">
        <v>0</v>
      </c>
      <c r="U431" s="4">
        <v>0</v>
      </c>
      <c r="V431" s="4">
        <v>12</v>
      </c>
      <c r="W431" s="4">
        <v>12</v>
      </c>
      <c r="X431" s="4">
        <v>0</v>
      </c>
      <c r="Y431" s="4"/>
      <c r="Z431" s="4">
        <v>341.6</v>
      </c>
      <c r="AA431" s="4">
        <v>350</v>
      </c>
      <c r="AB431" s="18"/>
      <c r="AC431" s="18">
        <v>9</v>
      </c>
      <c r="AD431" s="28"/>
      <c r="AE431" s="26"/>
      <c r="AF431" s="28"/>
    </row>
    <row r="432" spans="1:32" ht="13.5" customHeight="1" x14ac:dyDescent="0.25">
      <c r="A432" s="14">
        <v>45712</v>
      </c>
      <c r="B432" s="14" t="s">
        <v>46</v>
      </c>
      <c r="C432" s="15">
        <v>6</v>
      </c>
      <c r="D432" s="16">
        <v>8</v>
      </c>
      <c r="E432" s="16"/>
      <c r="F432" s="17"/>
      <c r="G432" s="21"/>
      <c r="H432" s="21"/>
      <c r="I432" s="4">
        <v>8</v>
      </c>
      <c r="J432" s="4">
        <v>0.13333333333333333</v>
      </c>
      <c r="K432" s="4"/>
      <c r="L432" s="16"/>
      <c r="M432" s="4"/>
      <c r="N432" s="4"/>
      <c r="O432" s="4"/>
      <c r="P432" s="4"/>
      <c r="Q432" s="4"/>
      <c r="R432" s="4"/>
      <c r="S432" s="4">
        <v>0</v>
      </c>
      <c r="T432" s="4">
        <v>0</v>
      </c>
      <c r="U432" s="4">
        <v>0.13333333333333333</v>
      </c>
      <c r="V432" s="4">
        <v>11.866666666666667</v>
      </c>
      <c r="W432" s="4">
        <v>12</v>
      </c>
      <c r="X432" s="4">
        <v>0</v>
      </c>
      <c r="Y432" s="4"/>
      <c r="Z432" s="4">
        <v>630.20000000000005</v>
      </c>
      <c r="AA432" s="4">
        <v>650</v>
      </c>
      <c r="AB432" s="18"/>
      <c r="AC432" s="18">
        <v>9</v>
      </c>
      <c r="AD432" s="28"/>
      <c r="AE432" s="26"/>
      <c r="AF432" s="28"/>
    </row>
    <row r="433" spans="1:32" ht="13.5" customHeight="1" x14ac:dyDescent="0.25">
      <c r="A433" s="14">
        <v>45712</v>
      </c>
      <c r="B433" s="14" t="s">
        <v>47</v>
      </c>
      <c r="C433" s="15">
        <v>6</v>
      </c>
      <c r="D433" s="16"/>
      <c r="E433" s="16"/>
      <c r="F433" s="17"/>
      <c r="G433" s="21"/>
      <c r="H433" s="21"/>
      <c r="I433" s="4">
        <v>0</v>
      </c>
      <c r="J433" s="4">
        <v>0</v>
      </c>
      <c r="K433" s="4"/>
      <c r="L433" s="16"/>
      <c r="M433" s="4"/>
      <c r="N433" s="4"/>
      <c r="O433" s="4"/>
      <c r="P433" s="4"/>
      <c r="Q433" s="4"/>
      <c r="R433" s="4"/>
      <c r="S433" s="4">
        <v>0</v>
      </c>
      <c r="T433" s="4">
        <v>0</v>
      </c>
      <c r="U433" s="4">
        <v>0</v>
      </c>
      <c r="V433" s="4">
        <v>12</v>
      </c>
      <c r="W433" s="4">
        <v>12</v>
      </c>
      <c r="X433" s="4">
        <v>16</v>
      </c>
      <c r="Y433" s="4"/>
      <c r="Z433" s="4">
        <v>646</v>
      </c>
      <c r="AA433" s="4">
        <v>650</v>
      </c>
      <c r="AB433" s="18"/>
      <c r="AC433" s="18">
        <v>9</v>
      </c>
      <c r="AD433" s="28"/>
      <c r="AE433" s="26"/>
      <c r="AF433" s="28"/>
    </row>
    <row r="434" spans="1:32" ht="13.5" customHeight="1" x14ac:dyDescent="0.25">
      <c r="A434" s="14">
        <v>45712</v>
      </c>
      <c r="B434" s="14" t="s">
        <v>46</v>
      </c>
      <c r="C434" s="15">
        <v>7</v>
      </c>
      <c r="D434" s="16">
        <v>13</v>
      </c>
      <c r="E434" s="16"/>
      <c r="F434" s="17"/>
      <c r="G434" s="21"/>
      <c r="H434" s="21"/>
      <c r="I434" s="4">
        <v>13</v>
      </c>
      <c r="J434" s="4">
        <v>0.21666666666666667</v>
      </c>
      <c r="K434" s="4"/>
      <c r="L434" s="16"/>
      <c r="M434" s="4"/>
      <c r="N434" s="4">
        <v>8</v>
      </c>
      <c r="O434" s="4"/>
      <c r="P434" s="4"/>
      <c r="Q434" s="4"/>
      <c r="R434" s="4"/>
      <c r="S434" s="4">
        <v>8</v>
      </c>
      <c r="T434" s="4">
        <v>0.13333333333333333</v>
      </c>
      <c r="U434" s="4">
        <v>0.35</v>
      </c>
      <c r="V434" s="4">
        <v>11.65</v>
      </c>
      <c r="W434" s="4">
        <v>12</v>
      </c>
      <c r="X434" s="4">
        <v>18</v>
      </c>
      <c r="Y434" s="4"/>
      <c r="Z434" s="4">
        <v>544.20000000000005</v>
      </c>
      <c r="AA434" s="4">
        <v>550</v>
      </c>
      <c r="AB434" s="18"/>
      <c r="AC434" s="18">
        <v>9</v>
      </c>
      <c r="AD434" s="28"/>
      <c r="AE434" s="26"/>
      <c r="AF434" s="28"/>
    </row>
    <row r="435" spans="1:32" ht="13.5" customHeight="1" x14ac:dyDescent="0.25">
      <c r="A435" s="14">
        <v>45712</v>
      </c>
      <c r="B435" s="14" t="s">
        <v>47</v>
      </c>
      <c r="C435" s="15">
        <v>7</v>
      </c>
      <c r="D435" s="16">
        <v>15</v>
      </c>
      <c r="E435" s="16"/>
      <c r="F435" s="17"/>
      <c r="G435" s="21"/>
      <c r="H435" s="21"/>
      <c r="I435" s="4">
        <v>15</v>
      </c>
      <c r="J435" s="4">
        <v>0.25</v>
      </c>
      <c r="K435" s="4"/>
      <c r="L435" s="16"/>
      <c r="M435" s="4"/>
      <c r="N435" s="4"/>
      <c r="O435" s="4"/>
      <c r="P435" s="4"/>
      <c r="Q435" s="4"/>
      <c r="R435" s="4"/>
      <c r="S435" s="4">
        <v>0</v>
      </c>
      <c r="T435" s="4">
        <v>0</v>
      </c>
      <c r="U435" s="4">
        <v>0.25</v>
      </c>
      <c r="V435" s="4">
        <v>11.75</v>
      </c>
      <c r="W435" s="4">
        <v>12</v>
      </c>
      <c r="X435" s="4">
        <v>9</v>
      </c>
      <c r="Y435" s="4"/>
      <c r="Z435" s="4">
        <v>550.30000000000007</v>
      </c>
      <c r="AA435" s="4">
        <v>550</v>
      </c>
      <c r="AB435" s="18"/>
      <c r="AC435" s="18">
        <v>9</v>
      </c>
      <c r="AD435" s="28"/>
      <c r="AE435" s="26"/>
      <c r="AF435" s="28"/>
    </row>
    <row r="436" spans="1:32" ht="13.5" customHeight="1" x14ac:dyDescent="0.25">
      <c r="A436" s="14">
        <v>45713</v>
      </c>
      <c r="B436" s="14" t="s">
        <v>46</v>
      </c>
      <c r="C436" s="15">
        <v>1</v>
      </c>
      <c r="D436" s="16">
        <v>2</v>
      </c>
      <c r="E436" s="16"/>
      <c r="F436" s="17"/>
      <c r="G436" s="21"/>
      <c r="H436" s="21"/>
      <c r="I436" s="4">
        <v>2</v>
      </c>
      <c r="J436" s="4">
        <v>3.3333333333333333E-2</v>
      </c>
      <c r="K436" s="4"/>
      <c r="L436" s="16"/>
      <c r="M436" s="4"/>
      <c r="N436" s="4"/>
      <c r="O436" s="4"/>
      <c r="P436" s="4"/>
      <c r="Q436" s="4"/>
      <c r="R436" s="4"/>
      <c r="S436" s="4">
        <v>0</v>
      </c>
      <c r="T436" s="4">
        <v>0</v>
      </c>
      <c r="U436" s="4">
        <v>3.3333333333333333E-2</v>
      </c>
      <c r="V436" s="4">
        <v>11.966666666666667</v>
      </c>
      <c r="W436" s="4">
        <v>12</v>
      </c>
      <c r="X436" s="4">
        <v>0</v>
      </c>
      <c r="Y436" s="4">
        <v>1887</v>
      </c>
      <c r="Z436" s="4">
        <v>181.29999999999998</v>
      </c>
      <c r="AA436" s="4">
        <v>200</v>
      </c>
      <c r="AB436" s="18">
        <v>372</v>
      </c>
      <c r="AC436" s="18">
        <v>9</v>
      </c>
      <c r="AD436" s="28"/>
      <c r="AE436" s="26"/>
      <c r="AF436" s="28"/>
    </row>
    <row r="437" spans="1:32" ht="13.5" customHeight="1" x14ac:dyDescent="0.25">
      <c r="A437" s="14">
        <v>45713</v>
      </c>
      <c r="B437" s="14" t="s">
        <v>47</v>
      </c>
      <c r="C437" s="15">
        <v>1</v>
      </c>
      <c r="D437" s="16">
        <v>20</v>
      </c>
      <c r="E437" s="16"/>
      <c r="F437" s="17"/>
      <c r="G437" s="21"/>
      <c r="H437" s="21"/>
      <c r="I437" s="4">
        <v>20</v>
      </c>
      <c r="J437" s="4">
        <v>0.33333333333333331</v>
      </c>
      <c r="K437" s="4"/>
      <c r="L437" s="16"/>
      <c r="M437" s="4"/>
      <c r="N437" s="4"/>
      <c r="O437" s="4"/>
      <c r="P437" s="4"/>
      <c r="Q437" s="4"/>
      <c r="R437" s="4"/>
      <c r="S437" s="4">
        <v>0</v>
      </c>
      <c r="T437" s="4">
        <v>0</v>
      </c>
      <c r="U437" s="4">
        <v>0.33333333333333331</v>
      </c>
      <c r="V437" s="4">
        <v>11.666666666666666</v>
      </c>
      <c r="W437" s="4">
        <v>12</v>
      </c>
      <c r="X437" s="4">
        <v>7</v>
      </c>
      <c r="Y437" s="4"/>
      <c r="Z437" s="4">
        <v>214.8</v>
      </c>
      <c r="AA437" s="4">
        <v>200</v>
      </c>
      <c r="AB437" s="18"/>
      <c r="AC437" s="18">
        <v>9</v>
      </c>
      <c r="AD437" s="28"/>
      <c r="AE437" s="26"/>
      <c r="AF437" s="28"/>
    </row>
    <row r="438" spans="1:32" ht="13.5" customHeight="1" x14ac:dyDescent="0.25">
      <c r="A438" s="14">
        <v>45713</v>
      </c>
      <c r="B438" s="14" t="s">
        <v>46</v>
      </c>
      <c r="C438" s="15">
        <v>3</v>
      </c>
      <c r="D438" s="16">
        <v>13</v>
      </c>
      <c r="E438" s="16"/>
      <c r="F438" s="17"/>
      <c r="G438" s="21"/>
      <c r="H438" s="21"/>
      <c r="I438" s="4">
        <v>13</v>
      </c>
      <c r="J438" s="4">
        <v>0.21666666666666667</v>
      </c>
      <c r="K438" s="4"/>
      <c r="L438" s="16"/>
      <c r="M438" s="4"/>
      <c r="N438" s="4"/>
      <c r="O438" s="4"/>
      <c r="P438" s="4"/>
      <c r="Q438" s="4"/>
      <c r="R438" s="4"/>
      <c r="S438" s="4">
        <v>0</v>
      </c>
      <c r="T438" s="4">
        <v>0</v>
      </c>
      <c r="U438" s="4">
        <v>0.21666666666666667</v>
      </c>
      <c r="V438" s="4">
        <v>11.783333333333333</v>
      </c>
      <c r="W438" s="4">
        <v>12</v>
      </c>
      <c r="X438" s="4">
        <v>3</v>
      </c>
      <c r="Y438" s="4"/>
      <c r="Z438" s="4">
        <v>367.49999999999994</v>
      </c>
      <c r="AA438" s="4">
        <v>350</v>
      </c>
      <c r="AB438" s="18"/>
      <c r="AC438" s="18">
        <v>9</v>
      </c>
      <c r="AD438" s="28"/>
      <c r="AE438" s="26"/>
      <c r="AF438" s="28"/>
    </row>
    <row r="439" spans="1:32" ht="13.5" customHeight="1" x14ac:dyDescent="0.25">
      <c r="A439" s="14">
        <v>45713</v>
      </c>
      <c r="B439" s="14" t="s">
        <v>47</v>
      </c>
      <c r="C439" s="15">
        <v>3</v>
      </c>
      <c r="D439" s="16">
        <v>30</v>
      </c>
      <c r="E439" s="16"/>
      <c r="F439" s="17"/>
      <c r="G439" s="21"/>
      <c r="H439" s="21"/>
      <c r="I439" s="4">
        <v>30</v>
      </c>
      <c r="J439" s="4">
        <v>0.5</v>
      </c>
      <c r="K439" s="4"/>
      <c r="L439" s="16"/>
      <c r="M439" s="4"/>
      <c r="N439" s="4"/>
      <c r="O439" s="4"/>
      <c r="P439" s="4"/>
      <c r="Q439" s="4"/>
      <c r="R439" s="4"/>
      <c r="S439" s="4">
        <v>0</v>
      </c>
      <c r="T439" s="4">
        <v>0</v>
      </c>
      <c r="U439" s="4">
        <v>0.5</v>
      </c>
      <c r="V439" s="4">
        <v>11.5</v>
      </c>
      <c r="W439" s="4">
        <v>12</v>
      </c>
      <c r="X439" s="4">
        <v>13</v>
      </c>
      <c r="Y439" s="4"/>
      <c r="Z439" s="4">
        <v>379.9</v>
      </c>
      <c r="AA439" s="4">
        <v>400</v>
      </c>
      <c r="AB439" s="18"/>
      <c r="AC439" s="18">
        <v>9</v>
      </c>
      <c r="AD439" s="28"/>
      <c r="AE439" s="26"/>
      <c r="AF439" s="28"/>
    </row>
    <row r="440" spans="1:32" ht="13.5" customHeight="1" x14ac:dyDescent="0.25">
      <c r="A440" s="14">
        <v>45713</v>
      </c>
      <c r="B440" s="14" t="s">
        <v>46</v>
      </c>
      <c r="C440" s="15">
        <v>6</v>
      </c>
      <c r="D440" s="16">
        <v>60</v>
      </c>
      <c r="E440" s="16"/>
      <c r="F440" s="17"/>
      <c r="G440" s="21"/>
      <c r="H440" s="21"/>
      <c r="I440" s="4">
        <v>60</v>
      </c>
      <c r="J440" s="4">
        <v>1</v>
      </c>
      <c r="K440" s="4"/>
      <c r="L440" s="16"/>
      <c r="M440" s="4"/>
      <c r="N440" s="4"/>
      <c r="O440" s="4"/>
      <c r="P440" s="4"/>
      <c r="Q440" s="4"/>
      <c r="R440" s="4"/>
      <c r="S440" s="4">
        <v>0</v>
      </c>
      <c r="T440" s="4">
        <v>0</v>
      </c>
      <c r="U440" s="4">
        <v>1</v>
      </c>
      <c r="V440" s="4">
        <v>11</v>
      </c>
      <c r="W440" s="4">
        <v>12</v>
      </c>
      <c r="X440" s="4">
        <v>22.4</v>
      </c>
      <c r="Y440" s="4"/>
      <c r="Z440" s="4">
        <v>778.5</v>
      </c>
      <c r="AA440" s="4">
        <v>800</v>
      </c>
      <c r="AB440" s="18"/>
      <c r="AC440" s="18">
        <v>9</v>
      </c>
      <c r="AD440" s="28"/>
      <c r="AE440" s="26"/>
      <c r="AF440" s="28"/>
    </row>
    <row r="441" spans="1:32" ht="13.5" customHeight="1" x14ac:dyDescent="0.25">
      <c r="A441" s="14">
        <v>45713</v>
      </c>
      <c r="B441" s="14" t="s">
        <v>47</v>
      </c>
      <c r="C441" s="15">
        <v>6</v>
      </c>
      <c r="D441" s="16"/>
      <c r="E441" s="16"/>
      <c r="F441" s="17"/>
      <c r="G441" s="21"/>
      <c r="H441" s="21"/>
      <c r="I441" s="4">
        <v>0</v>
      </c>
      <c r="J441" s="4">
        <v>0</v>
      </c>
      <c r="K441" s="4"/>
      <c r="L441" s="16"/>
      <c r="M441" s="4"/>
      <c r="N441" s="4"/>
      <c r="O441" s="4"/>
      <c r="P441" s="4">
        <v>15</v>
      </c>
      <c r="Q441" s="4"/>
      <c r="R441" s="4"/>
      <c r="S441" s="4">
        <v>15</v>
      </c>
      <c r="T441" s="4">
        <v>0.25</v>
      </c>
      <c r="U441" s="4">
        <v>0.25</v>
      </c>
      <c r="V441" s="4">
        <v>11.75</v>
      </c>
      <c r="W441" s="4">
        <v>12</v>
      </c>
      <c r="X441" s="4">
        <v>34</v>
      </c>
      <c r="Y441" s="4"/>
      <c r="Z441" s="4">
        <v>487.80000000000007</v>
      </c>
      <c r="AA441" s="4">
        <v>500</v>
      </c>
      <c r="AB441" s="18"/>
      <c r="AC441" s="18">
        <v>9</v>
      </c>
      <c r="AD441" s="28"/>
      <c r="AE441" s="26"/>
      <c r="AF441" s="28"/>
    </row>
    <row r="442" spans="1:32" ht="13.5" customHeight="1" x14ac:dyDescent="0.25">
      <c r="A442" s="14">
        <v>45713</v>
      </c>
      <c r="B442" s="14" t="s">
        <v>46</v>
      </c>
      <c r="C442" s="15">
        <v>7</v>
      </c>
      <c r="D442" s="16">
        <v>10</v>
      </c>
      <c r="E442" s="16"/>
      <c r="F442" s="17"/>
      <c r="G442" s="21"/>
      <c r="H442" s="21"/>
      <c r="I442" s="4">
        <v>10</v>
      </c>
      <c r="J442" s="4">
        <v>0.16666666666666666</v>
      </c>
      <c r="K442" s="4"/>
      <c r="L442" s="16"/>
      <c r="M442" s="4"/>
      <c r="N442" s="4">
        <v>3</v>
      </c>
      <c r="O442" s="4"/>
      <c r="P442" s="4"/>
      <c r="Q442" s="4"/>
      <c r="R442" s="4"/>
      <c r="S442" s="4">
        <v>3</v>
      </c>
      <c r="T442" s="4">
        <v>0.05</v>
      </c>
      <c r="U442" s="4">
        <v>0.21666666666666667</v>
      </c>
      <c r="V442" s="4">
        <v>11.783333333333333</v>
      </c>
      <c r="W442" s="4">
        <v>12</v>
      </c>
      <c r="X442" s="4">
        <v>6</v>
      </c>
      <c r="Y442" s="4"/>
      <c r="Z442" s="4">
        <v>391.1</v>
      </c>
      <c r="AA442" s="4">
        <v>400</v>
      </c>
      <c r="AB442" s="18"/>
      <c r="AC442" s="18">
        <v>9</v>
      </c>
      <c r="AD442" s="28"/>
      <c r="AE442" s="26"/>
      <c r="AF442" s="28"/>
    </row>
    <row r="443" spans="1:32" ht="13.5" customHeight="1" x14ac:dyDescent="0.25">
      <c r="A443" s="14">
        <v>45713</v>
      </c>
      <c r="B443" s="14" t="s">
        <v>47</v>
      </c>
      <c r="C443" s="15">
        <v>7</v>
      </c>
      <c r="D443" s="16">
        <v>10</v>
      </c>
      <c r="E443" s="16"/>
      <c r="F443" s="17"/>
      <c r="G443" s="21"/>
      <c r="H443" s="21"/>
      <c r="I443" s="4">
        <v>10</v>
      </c>
      <c r="J443" s="4">
        <v>0.16666666666666666</v>
      </c>
      <c r="K443" s="4"/>
      <c r="L443" s="16"/>
      <c r="M443" s="4"/>
      <c r="N443" s="4"/>
      <c r="O443" s="4"/>
      <c r="P443" s="4"/>
      <c r="Q443" s="4"/>
      <c r="R443" s="4"/>
      <c r="S443" s="4">
        <v>0</v>
      </c>
      <c r="T443" s="4">
        <v>0</v>
      </c>
      <c r="U443" s="4">
        <v>0.16666666666666666</v>
      </c>
      <c r="V443" s="4">
        <v>11.833333333333334</v>
      </c>
      <c r="W443" s="4">
        <v>12</v>
      </c>
      <c r="X443" s="4">
        <v>7</v>
      </c>
      <c r="Y443" s="4"/>
      <c r="Z443" s="4">
        <v>364.79999999999995</v>
      </c>
      <c r="AA443" s="4">
        <v>350</v>
      </c>
      <c r="AB443" s="18"/>
      <c r="AC443" s="18">
        <v>9</v>
      </c>
      <c r="AD443" s="28"/>
      <c r="AE443" s="26"/>
      <c r="AF443" s="28"/>
    </row>
    <row r="444" spans="1:32" ht="13.5" customHeight="1" x14ac:dyDescent="0.25">
      <c r="A444" s="14">
        <v>45714</v>
      </c>
      <c r="B444" s="14" t="s">
        <v>46</v>
      </c>
      <c r="C444" s="15">
        <v>1</v>
      </c>
      <c r="D444" s="16">
        <v>7</v>
      </c>
      <c r="E444" s="16"/>
      <c r="F444" s="17"/>
      <c r="G444" s="21"/>
      <c r="H444" s="21"/>
      <c r="I444" s="4">
        <v>7</v>
      </c>
      <c r="J444" s="4">
        <v>0.11666666666666667</v>
      </c>
      <c r="K444" s="4"/>
      <c r="L444" s="16"/>
      <c r="M444" s="4"/>
      <c r="N444" s="4"/>
      <c r="O444" s="4"/>
      <c r="P444" s="4"/>
      <c r="Q444" s="4"/>
      <c r="R444" s="4"/>
      <c r="S444" s="4">
        <v>0</v>
      </c>
      <c r="T444" s="4">
        <v>0</v>
      </c>
      <c r="U444" s="4">
        <v>0.11666666666666667</v>
      </c>
      <c r="V444" s="4">
        <v>11.883333333333333</v>
      </c>
      <c r="W444" s="4">
        <v>12</v>
      </c>
      <c r="X444" s="4">
        <v>5</v>
      </c>
      <c r="Y444" s="4">
        <v>2209</v>
      </c>
      <c r="Z444" s="4">
        <v>158.9</v>
      </c>
      <c r="AA444" s="4">
        <v>150</v>
      </c>
      <c r="AB444" s="18">
        <v>372</v>
      </c>
      <c r="AC444" s="18">
        <v>9</v>
      </c>
      <c r="AD444" s="28"/>
      <c r="AE444" s="26"/>
      <c r="AF444" s="28"/>
    </row>
    <row r="445" spans="1:32" ht="13.5" customHeight="1" x14ac:dyDescent="0.25">
      <c r="A445" s="14">
        <v>45714</v>
      </c>
      <c r="B445" s="14" t="s">
        <v>47</v>
      </c>
      <c r="C445" s="15">
        <v>1</v>
      </c>
      <c r="D445" s="16"/>
      <c r="E445" s="16"/>
      <c r="F445" s="17"/>
      <c r="G445" s="21"/>
      <c r="H445" s="21"/>
      <c r="I445" s="4">
        <v>0</v>
      </c>
      <c r="J445" s="4">
        <v>0</v>
      </c>
      <c r="K445" s="4"/>
      <c r="L445" s="16"/>
      <c r="M445" s="4"/>
      <c r="N445" s="4"/>
      <c r="O445" s="4"/>
      <c r="P445" s="4"/>
      <c r="Q445" s="4"/>
      <c r="R445" s="4"/>
      <c r="S445" s="4">
        <v>0</v>
      </c>
      <c r="T445" s="4">
        <v>0</v>
      </c>
      <c r="U445" s="4">
        <v>0</v>
      </c>
      <c r="V445" s="4">
        <v>12</v>
      </c>
      <c r="W445" s="4">
        <v>12</v>
      </c>
      <c r="X445" s="4">
        <v>0</v>
      </c>
      <c r="Y445" s="4"/>
      <c r="Z445" s="4">
        <v>182.3</v>
      </c>
      <c r="AA445" s="4">
        <v>200</v>
      </c>
      <c r="AB445" s="18"/>
      <c r="AC445" s="18">
        <v>9</v>
      </c>
      <c r="AD445" s="28"/>
      <c r="AE445" s="26"/>
      <c r="AF445" s="28"/>
    </row>
    <row r="446" spans="1:32" ht="13.5" customHeight="1" x14ac:dyDescent="0.25">
      <c r="A446" s="14">
        <v>45714</v>
      </c>
      <c r="B446" s="14" t="s">
        <v>46</v>
      </c>
      <c r="C446" s="15">
        <v>3</v>
      </c>
      <c r="D446" s="16">
        <v>10</v>
      </c>
      <c r="E446" s="16"/>
      <c r="F446" s="17"/>
      <c r="G446" s="21"/>
      <c r="H446" s="21"/>
      <c r="I446" s="4">
        <v>10</v>
      </c>
      <c r="J446" s="4">
        <v>0.16666666666666666</v>
      </c>
      <c r="K446" s="4"/>
      <c r="L446" s="16"/>
      <c r="M446" s="4"/>
      <c r="N446" s="4"/>
      <c r="O446" s="4"/>
      <c r="P446" s="4"/>
      <c r="Q446" s="4"/>
      <c r="R446" s="4"/>
      <c r="S446" s="4">
        <v>0</v>
      </c>
      <c r="T446" s="4">
        <v>0</v>
      </c>
      <c r="U446" s="4">
        <v>0.16666666666666666</v>
      </c>
      <c r="V446" s="4">
        <v>11.833333333333334</v>
      </c>
      <c r="W446" s="4">
        <v>12</v>
      </c>
      <c r="X446" s="4">
        <v>10</v>
      </c>
      <c r="Y446" s="4"/>
      <c r="Z446" s="4">
        <v>580.69999999999993</v>
      </c>
      <c r="AA446" s="4">
        <v>600</v>
      </c>
      <c r="AB446" s="18"/>
      <c r="AC446" s="18">
        <v>9</v>
      </c>
      <c r="AD446" s="28"/>
      <c r="AE446" s="26"/>
      <c r="AF446" s="28"/>
    </row>
    <row r="447" spans="1:32" ht="13.5" customHeight="1" x14ac:dyDescent="0.25">
      <c r="A447" s="14">
        <v>45714</v>
      </c>
      <c r="B447" s="14" t="s">
        <v>47</v>
      </c>
      <c r="C447" s="15">
        <v>3</v>
      </c>
      <c r="D447" s="16"/>
      <c r="E447" s="16"/>
      <c r="F447" s="17"/>
      <c r="G447" s="21"/>
      <c r="H447" s="21"/>
      <c r="I447" s="4">
        <v>0</v>
      </c>
      <c r="J447" s="4">
        <v>0</v>
      </c>
      <c r="K447" s="4"/>
      <c r="L447" s="16"/>
      <c r="M447" s="4"/>
      <c r="N447" s="4"/>
      <c r="O447" s="4"/>
      <c r="P447" s="4"/>
      <c r="Q447" s="4"/>
      <c r="R447" s="4"/>
      <c r="S447" s="4">
        <v>0</v>
      </c>
      <c r="T447" s="4">
        <v>0</v>
      </c>
      <c r="U447" s="4">
        <v>0</v>
      </c>
      <c r="V447" s="4">
        <v>12</v>
      </c>
      <c r="W447" s="4">
        <v>12</v>
      </c>
      <c r="X447" s="4">
        <v>10</v>
      </c>
      <c r="Y447" s="4"/>
      <c r="Z447" s="4">
        <v>534.6</v>
      </c>
      <c r="AA447" s="4">
        <v>550</v>
      </c>
      <c r="AB447" s="18"/>
      <c r="AC447" s="18">
        <v>9</v>
      </c>
      <c r="AD447" s="28"/>
      <c r="AE447" s="26"/>
      <c r="AF447" s="28"/>
    </row>
    <row r="448" spans="1:32" ht="13.5" customHeight="1" x14ac:dyDescent="0.25">
      <c r="A448" s="14">
        <v>45714</v>
      </c>
      <c r="B448" s="14" t="s">
        <v>46</v>
      </c>
      <c r="C448" s="15">
        <v>5</v>
      </c>
      <c r="D448" s="16"/>
      <c r="E448" s="16"/>
      <c r="F448" s="17"/>
      <c r="G448" s="21"/>
      <c r="H448" s="21"/>
      <c r="I448" s="4">
        <v>0</v>
      </c>
      <c r="J448" s="4">
        <v>0</v>
      </c>
      <c r="K448" s="4"/>
      <c r="L448" s="16"/>
      <c r="M448" s="4"/>
      <c r="N448" s="4">
        <v>30</v>
      </c>
      <c r="O448" s="4"/>
      <c r="P448" s="4"/>
      <c r="Q448" s="4"/>
      <c r="R448" s="4"/>
      <c r="S448" s="4">
        <v>30</v>
      </c>
      <c r="T448" s="4">
        <v>0.5</v>
      </c>
      <c r="U448" s="4">
        <v>0.5</v>
      </c>
      <c r="V448" s="4">
        <v>11.5</v>
      </c>
      <c r="W448" s="4">
        <v>12</v>
      </c>
      <c r="X448" s="4">
        <v>0</v>
      </c>
      <c r="Y448" s="4"/>
      <c r="Z448" s="4">
        <v>237.10000000000002</v>
      </c>
      <c r="AA448" s="4">
        <v>250</v>
      </c>
      <c r="AB448" s="18"/>
      <c r="AC448" s="18">
        <v>9</v>
      </c>
      <c r="AD448" s="28"/>
      <c r="AE448" s="26"/>
      <c r="AF448" s="28"/>
    </row>
    <row r="449" spans="1:32" ht="13.5" customHeight="1" x14ac:dyDescent="0.25">
      <c r="A449" s="14">
        <v>45714</v>
      </c>
      <c r="B449" s="14" t="s">
        <v>46</v>
      </c>
      <c r="C449" s="15">
        <v>6</v>
      </c>
      <c r="D449" s="16">
        <v>20</v>
      </c>
      <c r="E449" s="16"/>
      <c r="F449" s="17"/>
      <c r="G449" s="21"/>
      <c r="H449" s="21"/>
      <c r="I449" s="4">
        <v>20</v>
      </c>
      <c r="J449" s="4">
        <v>0.33333333333333331</v>
      </c>
      <c r="K449" s="4"/>
      <c r="L449" s="16"/>
      <c r="M449" s="4"/>
      <c r="N449" s="4"/>
      <c r="O449" s="4"/>
      <c r="P449" s="4"/>
      <c r="Q449" s="4"/>
      <c r="R449" s="4"/>
      <c r="S449" s="4">
        <v>0</v>
      </c>
      <c r="T449" s="4">
        <v>0</v>
      </c>
      <c r="U449" s="4">
        <v>0.33333333333333331</v>
      </c>
      <c r="V449" s="4">
        <v>11.666666666666666</v>
      </c>
      <c r="W449" s="4">
        <v>12</v>
      </c>
      <c r="X449" s="4">
        <v>33</v>
      </c>
      <c r="Y449" s="4"/>
      <c r="Z449" s="4">
        <v>618.60000000000014</v>
      </c>
      <c r="AA449" s="4">
        <v>600</v>
      </c>
      <c r="AB449" s="18"/>
      <c r="AC449" s="18">
        <v>9</v>
      </c>
      <c r="AD449" s="28"/>
      <c r="AE449" s="26"/>
      <c r="AF449" s="28"/>
    </row>
    <row r="450" spans="1:32" ht="13.5" customHeight="1" x14ac:dyDescent="0.25">
      <c r="A450" s="14">
        <v>45714</v>
      </c>
      <c r="B450" s="14" t="s">
        <v>47</v>
      </c>
      <c r="C450" s="15">
        <v>6</v>
      </c>
      <c r="D450" s="16">
        <v>8</v>
      </c>
      <c r="E450" s="16"/>
      <c r="F450" s="17"/>
      <c r="G450" s="21"/>
      <c r="H450" s="21"/>
      <c r="I450" s="4">
        <v>8</v>
      </c>
      <c r="J450" s="4">
        <v>0.13333333333333333</v>
      </c>
      <c r="K450" s="4"/>
      <c r="L450" s="16"/>
      <c r="M450" s="4"/>
      <c r="N450" s="4"/>
      <c r="O450" s="4"/>
      <c r="P450" s="4"/>
      <c r="Q450" s="4"/>
      <c r="R450" s="4"/>
      <c r="S450" s="4">
        <v>0</v>
      </c>
      <c r="T450" s="4">
        <v>0</v>
      </c>
      <c r="U450" s="4">
        <v>0.13333333333333333</v>
      </c>
      <c r="V450" s="4">
        <v>11.866666666666667</v>
      </c>
      <c r="W450" s="4">
        <v>12</v>
      </c>
      <c r="X450" s="4">
        <v>0</v>
      </c>
      <c r="Y450" s="4"/>
      <c r="Z450" s="4">
        <v>589.86</v>
      </c>
      <c r="AA450" s="4">
        <v>600</v>
      </c>
      <c r="AB450" s="18"/>
      <c r="AC450" s="18">
        <v>9</v>
      </c>
      <c r="AD450" s="28"/>
      <c r="AE450" s="26"/>
      <c r="AF450" s="28"/>
    </row>
    <row r="451" spans="1:32" ht="13.5" customHeight="1" x14ac:dyDescent="0.25">
      <c r="A451" s="14">
        <v>45714</v>
      </c>
      <c r="B451" s="14" t="s">
        <v>46</v>
      </c>
      <c r="C451" s="15">
        <v>7</v>
      </c>
      <c r="D451" s="16">
        <v>10</v>
      </c>
      <c r="E451" s="16"/>
      <c r="F451" s="17"/>
      <c r="G451" s="21"/>
      <c r="H451" s="21"/>
      <c r="I451" s="4">
        <v>10</v>
      </c>
      <c r="J451" s="4">
        <v>0.16666666666666666</v>
      </c>
      <c r="K451" s="4"/>
      <c r="L451" s="16"/>
      <c r="M451" s="4"/>
      <c r="N451" s="4"/>
      <c r="O451" s="4"/>
      <c r="P451" s="4"/>
      <c r="Q451" s="4"/>
      <c r="R451" s="4"/>
      <c r="S451" s="4">
        <v>0</v>
      </c>
      <c r="T451" s="4">
        <v>0</v>
      </c>
      <c r="U451" s="4">
        <v>0.16666666666666666</v>
      </c>
      <c r="V451" s="4">
        <v>11.833333333333334</v>
      </c>
      <c r="W451" s="4">
        <v>12</v>
      </c>
      <c r="X451" s="4">
        <v>11</v>
      </c>
      <c r="Y451" s="4"/>
      <c r="Z451" s="4">
        <v>586.9</v>
      </c>
      <c r="AA451" s="4">
        <v>600</v>
      </c>
      <c r="AB451" s="18"/>
      <c r="AC451" s="18">
        <v>9</v>
      </c>
      <c r="AD451" s="28"/>
      <c r="AE451" s="26"/>
      <c r="AF451" s="28"/>
    </row>
    <row r="452" spans="1:32" ht="13.5" customHeight="1" x14ac:dyDescent="0.25">
      <c r="A452" s="14">
        <v>45714</v>
      </c>
      <c r="B452" s="14" t="s">
        <v>47</v>
      </c>
      <c r="C452" s="15">
        <v>7</v>
      </c>
      <c r="D452" s="16">
        <v>6</v>
      </c>
      <c r="E452" s="16"/>
      <c r="F452" s="17"/>
      <c r="G452" s="21"/>
      <c r="H452" s="21"/>
      <c r="I452" s="4">
        <v>6</v>
      </c>
      <c r="J452" s="4">
        <v>0.1</v>
      </c>
      <c r="K452" s="4"/>
      <c r="L452" s="16"/>
      <c r="M452" s="4"/>
      <c r="N452" s="4"/>
      <c r="O452" s="4"/>
      <c r="P452" s="4"/>
      <c r="Q452" s="4"/>
      <c r="R452" s="4"/>
      <c r="S452" s="4">
        <v>0</v>
      </c>
      <c r="T452" s="4">
        <v>0</v>
      </c>
      <c r="U452" s="4">
        <v>0.1</v>
      </c>
      <c r="V452" s="4">
        <v>11.9</v>
      </c>
      <c r="W452" s="4">
        <v>12</v>
      </c>
      <c r="X452" s="4">
        <v>10.6</v>
      </c>
      <c r="Y452" s="4"/>
      <c r="Z452" s="4">
        <v>439.66999999999996</v>
      </c>
      <c r="AA452" s="4">
        <v>450</v>
      </c>
      <c r="AB452" s="18"/>
      <c r="AC452" s="18">
        <v>9</v>
      </c>
      <c r="AD452" s="28"/>
      <c r="AE452" s="26"/>
      <c r="AF452" s="28"/>
    </row>
    <row r="453" spans="1:32" ht="13.5" customHeight="1" x14ac:dyDescent="0.25">
      <c r="A453" s="14">
        <v>45715</v>
      </c>
      <c r="B453" s="14" t="s">
        <v>46</v>
      </c>
      <c r="C453" s="15">
        <v>1</v>
      </c>
      <c r="D453" s="16"/>
      <c r="E453" s="16"/>
      <c r="F453" s="17"/>
      <c r="G453" s="21"/>
      <c r="H453" s="21"/>
      <c r="I453" s="4">
        <v>0</v>
      </c>
      <c r="J453" s="4">
        <v>0</v>
      </c>
      <c r="K453" s="4"/>
      <c r="L453" s="16"/>
      <c r="M453" s="4"/>
      <c r="N453" s="4"/>
      <c r="O453" s="4"/>
      <c r="P453" s="4"/>
      <c r="Q453" s="4"/>
      <c r="R453" s="4"/>
      <c r="S453" s="4">
        <v>0</v>
      </c>
      <c r="T453" s="4">
        <v>0</v>
      </c>
      <c r="U453" s="4">
        <v>0</v>
      </c>
      <c r="V453" s="4">
        <v>12</v>
      </c>
      <c r="W453" s="4">
        <v>12</v>
      </c>
      <c r="X453" s="4">
        <v>0</v>
      </c>
      <c r="Y453" s="4">
        <v>2130</v>
      </c>
      <c r="Z453" s="4">
        <v>209.7</v>
      </c>
      <c r="AA453" s="4">
        <v>200</v>
      </c>
      <c r="AB453" s="18">
        <v>372</v>
      </c>
      <c r="AC453" s="18">
        <v>9</v>
      </c>
      <c r="AD453" s="28"/>
      <c r="AE453" s="26"/>
      <c r="AF453" s="28"/>
    </row>
    <row r="454" spans="1:32" ht="13.5" customHeight="1" x14ac:dyDescent="0.25">
      <c r="A454" s="14">
        <v>45715</v>
      </c>
      <c r="B454" s="14" t="s">
        <v>47</v>
      </c>
      <c r="C454" s="15">
        <v>1</v>
      </c>
      <c r="D454" s="16"/>
      <c r="E454" s="16"/>
      <c r="F454" s="17"/>
      <c r="G454" s="21"/>
      <c r="H454" s="21"/>
      <c r="I454" s="4">
        <v>0</v>
      </c>
      <c r="J454" s="4">
        <v>0</v>
      </c>
      <c r="K454" s="4"/>
      <c r="L454" s="16"/>
      <c r="M454" s="4"/>
      <c r="N454" s="4"/>
      <c r="O454" s="4"/>
      <c r="P454" s="4"/>
      <c r="Q454" s="4"/>
      <c r="R454" s="4"/>
      <c r="S454" s="4">
        <v>0</v>
      </c>
      <c r="T454" s="4">
        <v>0</v>
      </c>
      <c r="U454" s="4">
        <v>0</v>
      </c>
      <c r="V454" s="4">
        <v>12</v>
      </c>
      <c r="W454" s="4">
        <v>12</v>
      </c>
      <c r="X454" s="4">
        <v>0</v>
      </c>
      <c r="Y454" s="4"/>
      <c r="Z454" s="4">
        <v>156.69999999999999</v>
      </c>
      <c r="AA454" s="4">
        <v>150</v>
      </c>
      <c r="AB454" s="18"/>
      <c r="AC454" s="18">
        <v>9</v>
      </c>
      <c r="AD454" s="28"/>
      <c r="AE454" s="26"/>
      <c r="AF454" s="28"/>
    </row>
    <row r="455" spans="1:32" ht="13.5" customHeight="1" x14ac:dyDescent="0.25">
      <c r="A455" s="14">
        <v>45715</v>
      </c>
      <c r="B455" s="14" t="s">
        <v>46</v>
      </c>
      <c r="C455" s="15">
        <v>3</v>
      </c>
      <c r="D455" s="16">
        <v>2</v>
      </c>
      <c r="E455" s="16"/>
      <c r="F455" s="17"/>
      <c r="G455" s="21"/>
      <c r="H455" s="21"/>
      <c r="I455" s="4">
        <v>2</v>
      </c>
      <c r="J455" s="4">
        <v>3.3333333333333333E-2</v>
      </c>
      <c r="K455" s="4"/>
      <c r="L455" s="16"/>
      <c r="M455" s="4"/>
      <c r="N455" s="4"/>
      <c r="O455" s="4"/>
      <c r="P455" s="4"/>
      <c r="Q455" s="4"/>
      <c r="R455" s="4"/>
      <c r="S455" s="4">
        <v>0</v>
      </c>
      <c r="T455" s="4">
        <v>0</v>
      </c>
      <c r="U455" s="4">
        <v>3.3333333333333333E-2</v>
      </c>
      <c r="V455" s="4">
        <v>11.966666666666667</v>
      </c>
      <c r="W455" s="4">
        <v>12</v>
      </c>
      <c r="X455" s="4">
        <v>0</v>
      </c>
      <c r="Y455" s="4"/>
      <c r="Z455" s="4">
        <v>511.00000000000006</v>
      </c>
      <c r="AA455" s="4">
        <v>500</v>
      </c>
      <c r="AB455" s="18"/>
      <c r="AC455" s="18">
        <v>9</v>
      </c>
      <c r="AD455" s="28"/>
      <c r="AE455" s="26"/>
      <c r="AF455" s="28"/>
    </row>
    <row r="456" spans="1:32" ht="13.5" customHeight="1" x14ac:dyDescent="0.25">
      <c r="A456" s="14">
        <v>45715</v>
      </c>
      <c r="B456" s="14" t="s">
        <v>47</v>
      </c>
      <c r="C456" s="15">
        <v>3</v>
      </c>
      <c r="D456" s="16"/>
      <c r="E456" s="16"/>
      <c r="F456" s="17"/>
      <c r="G456" s="21"/>
      <c r="H456" s="21"/>
      <c r="I456" s="4">
        <v>0</v>
      </c>
      <c r="J456" s="4">
        <v>0</v>
      </c>
      <c r="K456" s="4"/>
      <c r="L456" s="16"/>
      <c r="M456" s="4"/>
      <c r="N456" s="4"/>
      <c r="O456" s="4"/>
      <c r="P456" s="4"/>
      <c r="Q456" s="4"/>
      <c r="R456" s="4"/>
      <c r="S456" s="4">
        <v>0</v>
      </c>
      <c r="T456" s="4">
        <v>0</v>
      </c>
      <c r="U456" s="4">
        <v>0</v>
      </c>
      <c r="V456" s="4">
        <v>12</v>
      </c>
      <c r="W456" s="4">
        <v>12</v>
      </c>
      <c r="X456" s="4">
        <v>0</v>
      </c>
      <c r="Y456" s="4"/>
      <c r="Z456" s="4">
        <v>464.5</v>
      </c>
      <c r="AA456" s="4">
        <v>450</v>
      </c>
      <c r="AB456" s="18"/>
      <c r="AC456" s="18">
        <v>9</v>
      </c>
      <c r="AD456" s="28"/>
      <c r="AE456" s="26"/>
      <c r="AF456" s="28"/>
    </row>
    <row r="457" spans="1:32" ht="13.5" customHeight="1" x14ac:dyDescent="0.25">
      <c r="A457" s="14">
        <v>45715</v>
      </c>
      <c r="B457" s="14" t="s">
        <v>46</v>
      </c>
      <c r="C457" s="15">
        <v>5</v>
      </c>
      <c r="D457" s="16"/>
      <c r="E457" s="16"/>
      <c r="F457" s="17"/>
      <c r="G457" s="21"/>
      <c r="H457" s="21"/>
      <c r="I457" s="4">
        <v>0</v>
      </c>
      <c r="J457" s="4">
        <v>0</v>
      </c>
      <c r="K457" s="4"/>
      <c r="L457" s="16"/>
      <c r="M457" s="4"/>
      <c r="N457" s="4"/>
      <c r="O457" s="4"/>
      <c r="P457" s="4"/>
      <c r="Q457" s="4"/>
      <c r="R457" s="4"/>
      <c r="S457" s="4">
        <v>0</v>
      </c>
      <c r="T457" s="4">
        <v>0</v>
      </c>
      <c r="U457" s="4">
        <v>0</v>
      </c>
      <c r="V457" s="4">
        <v>12</v>
      </c>
      <c r="W457" s="4">
        <v>12</v>
      </c>
      <c r="X457" s="4">
        <v>0</v>
      </c>
      <c r="Y457" s="4"/>
      <c r="Z457" s="4">
        <v>481.5</v>
      </c>
      <c r="AA457" s="4">
        <v>500</v>
      </c>
      <c r="AB457" s="18"/>
      <c r="AC457" s="18">
        <v>9</v>
      </c>
      <c r="AD457" s="28"/>
      <c r="AE457" s="26"/>
      <c r="AF457" s="28"/>
    </row>
    <row r="458" spans="1:32" ht="13.5" customHeight="1" x14ac:dyDescent="0.25">
      <c r="A458" s="14">
        <v>45715</v>
      </c>
      <c r="B458" s="14" t="s">
        <v>46</v>
      </c>
      <c r="C458" s="15">
        <v>6</v>
      </c>
      <c r="D458" s="16"/>
      <c r="E458" s="16"/>
      <c r="F458" s="17"/>
      <c r="G458" s="21"/>
      <c r="H458" s="21"/>
      <c r="I458" s="4">
        <v>0</v>
      </c>
      <c r="J458" s="4">
        <v>0</v>
      </c>
      <c r="K458" s="4"/>
      <c r="L458" s="16"/>
      <c r="M458" s="4"/>
      <c r="N458" s="4"/>
      <c r="O458" s="4"/>
      <c r="P458" s="4"/>
      <c r="Q458" s="4"/>
      <c r="R458" s="4"/>
      <c r="S458" s="4">
        <v>0</v>
      </c>
      <c r="T458" s="4">
        <v>0</v>
      </c>
      <c r="U458" s="4">
        <v>0</v>
      </c>
      <c r="V458" s="4">
        <v>12</v>
      </c>
      <c r="W458" s="4">
        <v>12</v>
      </c>
      <c r="X458" s="4">
        <v>25</v>
      </c>
      <c r="Y458" s="4"/>
      <c r="Z458" s="4">
        <v>640.80000000000007</v>
      </c>
      <c r="AA458" s="4">
        <v>650</v>
      </c>
      <c r="AB458" s="18"/>
      <c r="AC458" s="18">
        <v>9</v>
      </c>
      <c r="AD458" s="28"/>
      <c r="AE458" s="26"/>
      <c r="AF458" s="28"/>
    </row>
    <row r="459" spans="1:32" ht="13.5" customHeight="1" x14ac:dyDescent="0.25">
      <c r="A459" s="14">
        <v>45715</v>
      </c>
      <c r="B459" s="14" t="s">
        <v>47</v>
      </c>
      <c r="C459" s="15">
        <v>6</v>
      </c>
      <c r="D459" s="16"/>
      <c r="E459" s="16"/>
      <c r="F459" s="17"/>
      <c r="G459" s="21"/>
      <c r="H459" s="21"/>
      <c r="I459" s="4">
        <v>0</v>
      </c>
      <c r="J459" s="4">
        <v>0</v>
      </c>
      <c r="K459" s="4"/>
      <c r="L459" s="16"/>
      <c r="M459" s="4"/>
      <c r="N459" s="4"/>
      <c r="O459" s="4"/>
      <c r="P459" s="4"/>
      <c r="Q459" s="4"/>
      <c r="R459" s="4"/>
      <c r="S459" s="4">
        <v>0</v>
      </c>
      <c r="T459" s="4">
        <v>0</v>
      </c>
      <c r="U459" s="4">
        <v>0</v>
      </c>
      <c r="V459" s="4">
        <v>12</v>
      </c>
      <c r="W459" s="4">
        <v>12</v>
      </c>
      <c r="X459" s="4">
        <v>0</v>
      </c>
      <c r="Y459" s="4"/>
      <c r="Z459" s="4">
        <v>597.6</v>
      </c>
      <c r="AA459" s="4">
        <v>600</v>
      </c>
      <c r="AB459" s="18"/>
      <c r="AC459" s="18">
        <v>9</v>
      </c>
      <c r="AD459" s="28"/>
      <c r="AE459" s="26"/>
      <c r="AF459" s="28"/>
    </row>
    <row r="460" spans="1:32" ht="13.5" customHeight="1" x14ac:dyDescent="0.25">
      <c r="A460" s="14">
        <v>45715</v>
      </c>
      <c r="B460" s="14" t="s">
        <v>46</v>
      </c>
      <c r="C460" s="15">
        <v>7</v>
      </c>
      <c r="D460" s="16"/>
      <c r="E460" s="16"/>
      <c r="F460" s="17"/>
      <c r="G460" s="21"/>
      <c r="H460" s="21"/>
      <c r="I460" s="4">
        <v>0</v>
      </c>
      <c r="J460" s="4">
        <v>0</v>
      </c>
      <c r="K460" s="4"/>
      <c r="L460" s="16"/>
      <c r="M460" s="4"/>
      <c r="N460" s="4"/>
      <c r="O460" s="4"/>
      <c r="P460" s="4"/>
      <c r="Q460" s="4"/>
      <c r="R460" s="4"/>
      <c r="S460" s="4">
        <v>0</v>
      </c>
      <c r="T460" s="4">
        <v>0</v>
      </c>
      <c r="U460" s="4">
        <v>0</v>
      </c>
      <c r="V460" s="4">
        <v>12</v>
      </c>
      <c r="W460" s="4">
        <v>12</v>
      </c>
      <c r="X460" s="4">
        <v>15</v>
      </c>
      <c r="Y460" s="4"/>
      <c r="Z460" s="4">
        <v>408.7</v>
      </c>
      <c r="AA460" s="4">
        <v>400</v>
      </c>
      <c r="AB460" s="18"/>
      <c r="AC460" s="18">
        <v>9</v>
      </c>
      <c r="AD460" s="28"/>
      <c r="AE460" s="26"/>
      <c r="AF460" s="28"/>
    </row>
    <row r="461" spans="1:32" ht="13.5" customHeight="1" x14ac:dyDescent="0.25">
      <c r="A461" s="14">
        <v>45715</v>
      </c>
      <c r="B461" s="14" t="s">
        <v>47</v>
      </c>
      <c r="C461" s="15">
        <v>7</v>
      </c>
      <c r="D461" s="16"/>
      <c r="E461" s="16"/>
      <c r="F461" s="17"/>
      <c r="G461" s="21"/>
      <c r="H461" s="21"/>
      <c r="I461" s="4">
        <v>0</v>
      </c>
      <c r="J461" s="4">
        <v>0</v>
      </c>
      <c r="K461" s="4"/>
      <c r="L461" s="16"/>
      <c r="M461" s="4"/>
      <c r="N461" s="4"/>
      <c r="O461" s="4"/>
      <c r="P461" s="4"/>
      <c r="Q461" s="4"/>
      <c r="R461" s="4"/>
      <c r="S461" s="4">
        <v>0</v>
      </c>
      <c r="T461" s="4">
        <v>0</v>
      </c>
      <c r="U461" s="4">
        <v>0</v>
      </c>
      <c r="V461" s="4">
        <v>12</v>
      </c>
      <c r="W461" s="4">
        <v>12</v>
      </c>
      <c r="X461" s="4">
        <v>18</v>
      </c>
      <c r="Y461" s="4"/>
      <c r="Z461" s="4">
        <v>433.07000000000005</v>
      </c>
      <c r="AA461" s="4">
        <v>450</v>
      </c>
      <c r="AB461" s="18"/>
      <c r="AC461" s="18">
        <v>9</v>
      </c>
      <c r="AD461" s="28"/>
      <c r="AE461" s="26"/>
      <c r="AF461" s="28"/>
    </row>
    <row r="462" spans="1:32" ht="13.5" customHeight="1" x14ac:dyDescent="0.25">
      <c r="A462" s="14">
        <v>45716</v>
      </c>
      <c r="B462" s="14" t="s">
        <v>46</v>
      </c>
      <c r="C462" s="15">
        <v>1</v>
      </c>
      <c r="D462" s="16">
        <v>13</v>
      </c>
      <c r="E462" s="16"/>
      <c r="F462" s="17"/>
      <c r="G462" s="21"/>
      <c r="H462" s="21"/>
      <c r="I462" s="4">
        <v>13</v>
      </c>
      <c r="J462" s="4">
        <v>0.21666666666666667</v>
      </c>
      <c r="K462" s="4"/>
      <c r="L462" s="16">
        <v>10</v>
      </c>
      <c r="M462" s="4"/>
      <c r="N462" s="4"/>
      <c r="O462" s="4"/>
      <c r="P462" s="4"/>
      <c r="Q462" s="4"/>
      <c r="R462" s="4"/>
      <c r="S462" s="4">
        <v>10</v>
      </c>
      <c r="T462" s="4">
        <v>0.16666666666666666</v>
      </c>
      <c r="U462" s="4">
        <v>0.3833333333333333</v>
      </c>
      <c r="V462" s="4">
        <v>11.616666666666667</v>
      </c>
      <c r="W462" s="4">
        <v>12</v>
      </c>
      <c r="X462" s="4">
        <v>0</v>
      </c>
      <c r="Y462" s="4">
        <v>1837</v>
      </c>
      <c r="Z462" s="4">
        <v>255</v>
      </c>
      <c r="AA462" s="4">
        <v>250</v>
      </c>
      <c r="AB462" s="18">
        <v>372</v>
      </c>
      <c r="AC462" s="18">
        <v>9</v>
      </c>
      <c r="AD462" s="28"/>
      <c r="AE462" s="26"/>
      <c r="AF462" s="28"/>
    </row>
    <row r="463" spans="1:32" ht="13.5" customHeight="1" x14ac:dyDescent="0.25">
      <c r="A463" s="14">
        <v>45716</v>
      </c>
      <c r="B463" s="14" t="s">
        <v>47</v>
      </c>
      <c r="C463" s="15">
        <v>1</v>
      </c>
      <c r="D463" s="16"/>
      <c r="E463" s="16"/>
      <c r="F463" s="17"/>
      <c r="G463" s="21"/>
      <c r="H463" s="21"/>
      <c r="I463" s="4">
        <v>0</v>
      </c>
      <c r="J463" s="4">
        <v>0</v>
      </c>
      <c r="K463" s="4"/>
      <c r="L463" s="16"/>
      <c r="M463" s="4"/>
      <c r="N463" s="4"/>
      <c r="O463" s="4"/>
      <c r="P463" s="4"/>
      <c r="Q463" s="4"/>
      <c r="R463" s="4"/>
      <c r="S463" s="4">
        <v>0</v>
      </c>
      <c r="T463" s="4">
        <v>0</v>
      </c>
      <c r="U463" s="4">
        <v>0</v>
      </c>
      <c r="V463" s="4">
        <v>12</v>
      </c>
      <c r="W463" s="4">
        <v>12</v>
      </c>
      <c r="X463" s="4">
        <v>0</v>
      </c>
      <c r="Y463" s="4"/>
      <c r="Z463" s="4">
        <v>181.40000000000003</v>
      </c>
      <c r="AA463" s="4">
        <v>200</v>
      </c>
      <c r="AB463" s="18"/>
      <c r="AC463" s="18">
        <v>9</v>
      </c>
      <c r="AD463" s="28"/>
      <c r="AE463" s="26"/>
      <c r="AF463" s="28"/>
    </row>
    <row r="464" spans="1:32" ht="13.5" customHeight="1" x14ac:dyDescent="0.25">
      <c r="A464" s="14">
        <v>45716</v>
      </c>
      <c r="B464" s="14" t="s">
        <v>46</v>
      </c>
      <c r="C464" s="15">
        <v>3</v>
      </c>
      <c r="D464" s="16"/>
      <c r="E464" s="16"/>
      <c r="F464" s="17"/>
      <c r="G464" s="21"/>
      <c r="H464" s="21"/>
      <c r="I464" s="4">
        <v>0</v>
      </c>
      <c r="J464" s="4">
        <v>0</v>
      </c>
      <c r="K464" s="4"/>
      <c r="L464" s="16"/>
      <c r="M464" s="4"/>
      <c r="N464" s="4"/>
      <c r="O464" s="4"/>
      <c r="P464" s="4"/>
      <c r="Q464" s="4"/>
      <c r="R464" s="4"/>
      <c r="S464" s="4">
        <v>0</v>
      </c>
      <c r="T464" s="4">
        <v>0</v>
      </c>
      <c r="U464" s="4">
        <v>0</v>
      </c>
      <c r="V464" s="4">
        <v>12</v>
      </c>
      <c r="W464" s="4">
        <v>12</v>
      </c>
      <c r="X464" s="4">
        <v>20</v>
      </c>
      <c r="Y464" s="4"/>
      <c r="Z464" s="4">
        <v>431.6</v>
      </c>
      <c r="AA464" s="4">
        <v>450</v>
      </c>
      <c r="AB464" s="18"/>
      <c r="AC464" s="18">
        <v>9</v>
      </c>
      <c r="AD464" s="28"/>
      <c r="AE464" s="26"/>
      <c r="AF464" s="28"/>
    </row>
    <row r="465" spans="1:32" ht="13.5" customHeight="1" x14ac:dyDescent="0.25">
      <c r="A465" s="14">
        <v>45716</v>
      </c>
      <c r="B465" s="14" t="s">
        <v>47</v>
      </c>
      <c r="C465" s="15">
        <v>3</v>
      </c>
      <c r="D465" s="16">
        <v>25</v>
      </c>
      <c r="E465" s="16"/>
      <c r="F465" s="17"/>
      <c r="G465" s="21"/>
      <c r="H465" s="21"/>
      <c r="I465" s="4">
        <v>25</v>
      </c>
      <c r="J465" s="4">
        <v>0.41666666666666669</v>
      </c>
      <c r="K465" s="4"/>
      <c r="L465" s="16"/>
      <c r="M465" s="4"/>
      <c r="N465" s="4"/>
      <c r="O465" s="4"/>
      <c r="P465" s="4"/>
      <c r="Q465" s="4"/>
      <c r="R465" s="4"/>
      <c r="S465" s="4">
        <v>0</v>
      </c>
      <c r="T465" s="4">
        <v>0</v>
      </c>
      <c r="U465" s="4">
        <v>0.41666666666666669</v>
      </c>
      <c r="V465" s="4">
        <v>11.583333333333334</v>
      </c>
      <c r="W465" s="4">
        <v>12</v>
      </c>
      <c r="X465" s="4">
        <v>18</v>
      </c>
      <c r="Y465" s="4"/>
      <c r="Z465" s="4">
        <v>449.79999999999995</v>
      </c>
      <c r="AA465" s="4">
        <v>450</v>
      </c>
      <c r="AB465" s="18"/>
      <c r="AC465" s="18">
        <v>9</v>
      </c>
      <c r="AD465" s="28"/>
      <c r="AE465" s="26"/>
      <c r="AF465" s="28"/>
    </row>
    <row r="466" spans="1:32" ht="13.5" customHeight="1" x14ac:dyDescent="0.25">
      <c r="A466" s="14">
        <v>45716</v>
      </c>
      <c r="B466" s="14" t="s">
        <v>46</v>
      </c>
      <c r="C466" s="15">
        <v>6</v>
      </c>
      <c r="D466" s="16">
        <v>5</v>
      </c>
      <c r="E466" s="16"/>
      <c r="F466" s="17"/>
      <c r="G466" s="21"/>
      <c r="H466" s="21"/>
      <c r="I466" s="4">
        <v>5</v>
      </c>
      <c r="J466" s="4">
        <v>8.3333333333333329E-2</v>
      </c>
      <c r="K466" s="4"/>
      <c r="L466" s="16"/>
      <c r="M466" s="4"/>
      <c r="N466" s="4"/>
      <c r="O466" s="4"/>
      <c r="P466" s="4"/>
      <c r="Q466" s="4"/>
      <c r="R466" s="4"/>
      <c r="S466" s="4">
        <v>0</v>
      </c>
      <c r="T466" s="4">
        <v>0</v>
      </c>
      <c r="U466" s="4">
        <v>8.3333333333333329E-2</v>
      </c>
      <c r="V466" s="4">
        <v>11.916666666666666</v>
      </c>
      <c r="W466" s="4">
        <v>12</v>
      </c>
      <c r="X466" s="4">
        <v>13</v>
      </c>
      <c r="Y466" s="4"/>
      <c r="Z466" s="4">
        <v>596.5</v>
      </c>
      <c r="AA466" s="4">
        <v>600</v>
      </c>
      <c r="AB466" s="18"/>
      <c r="AC466" s="18">
        <v>9</v>
      </c>
      <c r="AD466" s="28"/>
      <c r="AE466" s="26"/>
      <c r="AF466" s="28"/>
    </row>
    <row r="467" spans="1:32" ht="13.5" customHeight="1" x14ac:dyDescent="0.25">
      <c r="A467" s="14">
        <v>45716</v>
      </c>
      <c r="B467" s="14" t="s">
        <v>47</v>
      </c>
      <c r="C467" s="15">
        <v>6</v>
      </c>
      <c r="D467" s="16"/>
      <c r="E467" s="16"/>
      <c r="F467" s="17"/>
      <c r="G467" s="21"/>
      <c r="H467" s="21"/>
      <c r="I467" s="4">
        <v>0</v>
      </c>
      <c r="J467" s="4">
        <v>0</v>
      </c>
      <c r="K467" s="4"/>
      <c r="L467" s="16"/>
      <c r="M467" s="4"/>
      <c r="N467" s="4"/>
      <c r="O467" s="4"/>
      <c r="P467" s="4"/>
      <c r="Q467" s="4"/>
      <c r="R467" s="4"/>
      <c r="S467" s="4">
        <v>0</v>
      </c>
      <c r="T467" s="4">
        <v>0</v>
      </c>
      <c r="U467" s="4">
        <v>0</v>
      </c>
      <c r="V467" s="4">
        <v>12</v>
      </c>
      <c r="W467" s="4">
        <v>12</v>
      </c>
      <c r="X467" s="4">
        <v>30</v>
      </c>
      <c r="Y467" s="4"/>
      <c r="Z467" s="4">
        <v>476.60000000000014</v>
      </c>
      <c r="AA467" s="4">
        <v>500</v>
      </c>
      <c r="AB467" s="18"/>
      <c r="AC467" s="18">
        <v>9</v>
      </c>
      <c r="AD467" s="28"/>
      <c r="AE467" s="26"/>
      <c r="AF467" s="28"/>
    </row>
    <row r="468" spans="1:32" ht="13.5" customHeight="1" x14ac:dyDescent="0.25">
      <c r="A468" s="14">
        <v>45716</v>
      </c>
      <c r="B468" s="14" t="s">
        <v>46</v>
      </c>
      <c r="C468" s="15">
        <v>7</v>
      </c>
      <c r="D468" s="16"/>
      <c r="E468" s="16"/>
      <c r="F468" s="17"/>
      <c r="G468" s="21"/>
      <c r="H468" s="21"/>
      <c r="I468" s="4">
        <v>0</v>
      </c>
      <c r="J468" s="4">
        <v>0</v>
      </c>
      <c r="K468" s="4"/>
      <c r="L468" s="16"/>
      <c r="M468" s="4"/>
      <c r="N468" s="4"/>
      <c r="O468" s="4"/>
      <c r="P468" s="4"/>
      <c r="Q468" s="4"/>
      <c r="R468" s="4"/>
      <c r="S468" s="4">
        <v>0</v>
      </c>
      <c r="T468" s="4">
        <v>0</v>
      </c>
      <c r="U468" s="4">
        <v>0</v>
      </c>
      <c r="V468" s="4">
        <v>12</v>
      </c>
      <c r="W468" s="4">
        <v>12</v>
      </c>
      <c r="X468" s="4">
        <v>0</v>
      </c>
      <c r="Y468" s="4"/>
      <c r="Z468" s="4">
        <v>364.7</v>
      </c>
      <c r="AA468" s="4">
        <v>350</v>
      </c>
      <c r="AB468" s="18"/>
      <c r="AC468" s="18">
        <v>9</v>
      </c>
      <c r="AD468" s="28"/>
      <c r="AE468" s="26"/>
      <c r="AF468" s="28"/>
    </row>
    <row r="469" spans="1:32" ht="13.5" customHeight="1" x14ac:dyDescent="0.25">
      <c r="A469" s="14">
        <v>45716</v>
      </c>
      <c r="B469" s="14" t="s">
        <v>47</v>
      </c>
      <c r="C469" s="15">
        <v>7</v>
      </c>
      <c r="D469" s="16"/>
      <c r="E469" s="16"/>
      <c r="F469" s="17"/>
      <c r="G469" s="21"/>
      <c r="H469" s="21"/>
      <c r="I469" s="4">
        <v>0</v>
      </c>
      <c r="J469" s="4">
        <v>0</v>
      </c>
      <c r="K469" s="4"/>
      <c r="L469" s="16"/>
      <c r="M469" s="4"/>
      <c r="N469" s="4"/>
      <c r="O469" s="4"/>
      <c r="P469" s="4"/>
      <c r="Q469" s="4"/>
      <c r="R469" s="4"/>
      <c r="S469" s="4">
        <v>0</v>
      </c>
      <c r="T469" s="4">
        <v>0</v>
      </c>
      <c r="U469" s="4">
        <v>0</v>
      </c>
      <c r="V469" s="4">
        <v>12</v>
      </c>
      <c r="W469" s="4">
        <v>12</v>
      </c>
      <c r="X469" s="4">
        <v>2</v>
      </c>
      <c r="Y469" s="4"/>
      <c r="Z469" s="4">
        <v>391.18</v>
      </c>
      <c r="AA469" s="4">
        <v>400</v>
      </c>
      <c r="AB469" s="18"/>
      <c r="AC469" s="18">
        <v>9</v>
      </c>
      <c r="AD469" s="28"/>
      <c r="AE469" s="26"/>
      <c r="AF469" s="28"/>
    </row>
    <row r="470" spans="1:32" ht="13.5" customHeight="1" x14ac:dyDescent="0.25">
      <c r="A470" s="14">
        <v>45717</v>
      </c>
      <c r="B470" s="14" t="s">
        <v>46</v>
      </c>
      <c r="C470" s="15">
        <v>1</v>
      </c>
      <c r="D470" s="16">
        <v>3</v>
      </c>
      <c r="E470" s="16"/>
      <c r="F470" s="17"/>
      <c r="G470" s="21"/>
      <c r="H470" s="21"/>
      <c r="I470" s="4">
        <v>3</v>
      </c>
      <c r="J470" s="4">
        <v>0.05</v>
      </c>
      <c r="K470" s="4"/>
      <c r="L470" s="16"/>
      <c r="M470" s="4"/>
      <c r="N470" s="4"/>
      <c r="O470" s="4"/>
      <c r="P470" s="4"/>
      <c r="Q470" s="4"/>
      <c r="R470" s="4"/>
      <c r="S470" s="4">
        <v>0</v>
      </c>
      <c r="T470" s="4">
        <v>0</v>
      </c>
      <c r="U470" s="4">
        <v>0.05</v>
      </c>
      <c r="V470" s="4">
        <v>11.95</v>
      </c>
      <c r="W470" s="4">
        <v>12</v>
      </c>
      <c r="X470" s="4">
        <v>3</v>
      </c>
      <c r="Y470" s="4">
        <v>1911</v>
      </c>
      <c r="Z470" s="4">
        <v>186.1</v>
      </c>
      <c r="AA470" s="4">
        <v>150</v>
      </c>
      <c r="AB470" s="18">
        <v>372</v>
      </c>
      <c r="AC470" s="18">
        <v>9</v>
      </c>
      <c r="AD470" s="28"/>
      <c r="AE470" s="26"/>
      <c r="AF470" s="28"/>
    </row>
    <row r="471" spans="1:32" ht="13.5" customHeight="1" x14ac:dyDescent="0.25">
      <c r="A471" s="14">
        <v>45717</v>
      </c>
      <c r="B471" s="14" t="s">
        <v>47</v>
      </c>
      <c r="C471" s="15">
        <v>1</v>
      </c>
      <c r="D471" s="16"/>
      <c r="E471" s="16"/>
      <c r="F471" s="17"/>
      <c r="G471" s="21"/>
      <c r="H471" s="21"/>
      <c r="I471" s="4">
        <v>0</v>
      </c>
      <c r="J471" s="4">
        <v>0</v>
      </c>
      <c r="K471" s="4"/>
      <c r="L471" s="16"/>
      <c r="M471" s="4"/>
      <c r="N471" s="4"/>
      <c r="O471" s="4"/>
      <c r="P471" s="4"/>
      <c r="Q471" s="4"/>
      <c r="R471" s="4"/>
      <c r="S471" s="4">
        <v>0</v>
      </c>
      <c r="T471" s="4">
        <v>0</v>
      </c>
      <c r="U471" s="4">
        <v>0</v>
      </c>
      <c r="V471" s="4">
        <v>12</v>
      </c>
      <c r="W471" s="4">
        <v>12</v>
      </c>
      <c r="X471" s="4">
        <v>0</v>
      </c>
      <c r="Y471" s="4"/>
      <c r="Z471" s="4">
        <v>132.53</v>
      </c>
      <c r="AA471" s="4">
        <v>100</v>
      </c>
      <c r="AB471" s="18"/>
      <c r="AC471" s="18">
        <v>9</v>
      </c>
      <c r="AD471" s="28"/>
      <c r="AE471" s="26"/>
      <c r="AF471" s="28"/>
    </row>
    <row r="472" spans="1:32" ht="13.5" customHeight="1" x14ac:dyDescent="0.25">
      <c r="A472" s="14">
        <v>45717</v>
      </c>
      <c r="B472" s="14" t="s">
        <v>46</v>
      </c>
      <c r="C472" s="15">
        <v>3</v>
      </c>
      <c r="D472" s="16">
        <v>8</v>
      </c>
      <c r="E472" s="16"/>
      <c r="F472" s="17"/>
      <c r="G472" s="21"/>
      <c r="H472" s="21"/>
      <c r="I472" s="4">
        <v>8</v>
      </c>
      <c r="J472" s="4">
        <v>0.13333333333333333</v>
      </c>
      <c r="K472" s="4"/>
      <c r="L472" s="16"/>
      <c r="M472" s="4"/>
      <c r="N472" s="4"/>
      <c r="O472" s="4"/>
      <c r="P472" s="4"/>
      <c r="Q472" s="4"/>
      <c r="R472" s="4"/>
      <c r="S472" s="4">
        <v>0</v>
      </c>
      <c r="T472" s="4">
        <v>0</v>
      </c>
      <c r="U472" s="4">
        <v>0.13333333333333333</v>
      </c>
      <c r="V472" s="4">
        <v>11.866666666666667</v>
      </c>
      <c r="W472" s="4">
        <v>12</v>
      </c>
      <c r="X472" s="4">
        <v>0</v>
      </c>
      <c r="Y472" s="4"/>
      <c r="Z472" s="4">
        <v>412.7</v>
      </c>
      <c r="AA472" s="4">
        <v>400</v>
      </c>
      <c r="AB472" s="18"/>
      <c r="AC472" s="18">
        <v>9</v>
      </c>
      <c r="AD472" s="28"/>
      <c r="AE472" s="26"/>
      <c r="AF472" s="28"/>
    </row>
    <row r="473" spans="1:32" ht="13.5" customHeight="1" x14ac:dyDescent="0.25">
      <c r="A473" s="14">
        <v>45717</v>
      </c>
      <c r="B473" s="14" t="s">
        <v>47</v>
      </c>
      <c r="C473" s="15">
        <v>3</v>
      </c>
      <c r="D473" s="16"/>
      <c r="E473" s="16"/>
      <c r="F473" s="17"/>
      <c r="G473" s="21"/>
      <c r="H473" s="21"/>
      <c r="I473" s="4">
        <v>0</v>
      </c>
      <c r="J473" s="4">
        <v>0</v>
      </c>
      <c r="K473" s="4"/>
      <c r="L473" s="16"/>
      <c r="M473" s="4"/>
      <c r="N473" s="4"/>
      <c r="O473" s="4"/>
      <c r="P473" s="4"/>
      <c r="Q473" s="4"/>
      <c r="R473" s="4"/>
      <c r="S473" s="4">
        <v>0</v>
      </c>
      <c r="T473" s="4">
        <v>0</v>
      </c>
      <c r="U473" s="4">
        <v>0</v>
      </c>
      <c r="V473" s="4">
        <v>12</v>
      </c>
      <c r="W473" s="4">
        <v>12</v>
      </c>
      <c r="X473" s="4">
        <v>0</v>
      </c>
      <c r="Y473" s="4"/>
      <c r="Z473" s="4">
        <v>423</v>
      </c>
      <c r="AA473" s="4">
        <v>400</v>
      </c>
      <c r="AB473" s="18"/>
      <c r="AC473" s="18">
        <v>9</v>
      </c>
      <c r="AD473" s="28"/>
      <c r="AE473" s="26"/>
      <c r="AF473" s="28"/>
    </row>
    <row r="474" spans="1:32" ht="13.5" customHeight="1" x14ac:dyDescent="0.25">
      <c r="A474" s="14">
        <v>45717</v>
      </c>
      <c r="B474" s="14" t="s">
        <v>46</v>
      </c>
      <c r="C474" s="15">
        <v>6</v>
      </c>
      <c r="D474" s="16">
        <v>10</v>
      </c>
      <c r="E474" s="16"/>
      <c r="F474" s="17"/>
      <c r="G474" s="21"/>
      <c r="H474" s="21"/>
      <c r="I474" s="4">
        <v>10</v>
      </c>
      <c r="J474" s="4">
        <v>0.16666666666666666</v>
      </c>
      <c r="K474" s="4"/>
      <c r="L474" s="16"/>
      <c r="M474" s="4"/>
      <c r="N474" s="4"/>
      <c r="O474" s="4"/>
      <c r="P474" s="4"/>
      <c r="Q474" s="4"/>
      <c r="R474" s="4"/>
      <c r="S474" s="4">
        <v>0</v>
      </c>
      <c r="T474" s="4">
        <v>0</v>
      </c>
      <c r="U474" s="4">
        <v>0.16666666666666666</v>
      </c>
      <c r="V474" s="4">
        <v>11.833333333333334</v>
      </c>
      <c r="W474" s="4">
        <v>12</v>
      </c>
      <c r="X474" s="4">
        <v>38</v>
      </c>
      <c r="Y474" s="4"/>
      <c r="Z474" s="4">
        <v>480.7</v>
      </c>
      <c r="AA474" s="4">
        <v>450</v>
      </c>
      <c r="AB474" s="18"/>
      <c r="AC474" s="18">
        <v>9</v>
      </c>
      <c r="AD474" s="28"/>
      <c r="AE474" s="26"/>
      <c r="AF474" s="28"/>
    </row>
    <row r="475" spans="1:32" ht="13.5" customHeight="1" x14ac:dyDescent="0.25">
      <c r="A475" s="14">
        <v>45717</v>
      </c>
      <c r="B475" s="14" t="s">
        <v>47</v>
      </c>
      <c r="C475" s="15">
        <v>6</v>
      </c>
      <c r="D475" s="16"/>
      <c r="E475" s="16"/>
      <c r="F475" s="17"/>
      <c r="G475" s="21"/>
      <c r="H475" s="21"/>
      <c r="I475" s="4">
        <v>0</v>
      </c>
      <c r="J475" s="4">
        <v>0</v>
      </c>
      <c r="K475" s="4"/>
      <c r="L475" s="16"/>
      <c r="M475" s="4"/>
      <c r="N475" s="4"/>
      <c r="O475" s="4"/>
      <c r="P475" s="4"/>
      <c r="Q475" s="4"/>
      <c r="R475" s="4"/>
      <c r="S475" s="4">
        <v>0</v>
      </c>
      <c r="T475" s="4">
        <v>0</v>
      </c>
      <c r="U475" s="4">
        <v>0</v>
      </c>
      <c r="V475" s="4">
        <v>12</v>
      </c>
      <c r="W475" s="4">
        <v>12</v>
      </c>
      <c r="X475" s="4">
        <v>29</v>
      </c>
      <c r="Y475" s="4"/>
      <c r="Z475" s="4">
        <v>793.90000000000009</v>
      </c>
      <c r="AA475" s="4">
        <v>800</v>
      </c>
      <c r="AB475" s="18"/>
      <c r="AC475" s="18">
        <v>9</v>
      </c>
      <c r="AD475" s="28"/>
      <c r="AE475" s="26"/>
      <c r="AF475" s="28"/>
    </row>
    <row r="476" spans="1:32" ht="13.5" customHeight="1" x14ac:dyDescent="0.25">
      <c r="A476" s="14">
        <v>45717</v>
      </c>
      <c r="B476" s="14" t="s">
        <v>46</v>
      </c>
      <c r="C476" s="15">
        <v>7</v>
      </c>
      <c r="D476" s="16"/>
      <c r="E476" s="16"/>
      <c r="F476" s="17"/>
      <c r="G476" s="21"/>
      <c r="H476" s="21"/>
      <c r="I476" s="4">
        <v>0</v>
      </c>
      <c r="J476" s="4">
        <v>0</v>
      </c>
      <c r="K476" s="4"/>
      <c r="L476" s="16"/>
      <c r="M476" s="4"/>
      <c r="N476" s="4"/>
      <c r="O476" s="4"/>
      <c r="P476" s="4"/>
      <c r="Q476" s="4"/>
      <c r="R476" s="4"/>
      <c r="S476" s="4">
        <v>0</v>
      </c>
      <c r="T476" s="4">
        <v>0</v>
      </c>
      <c r="U476" s="4">
        <v>0</v>
      </c>
      <c r="V476" s="4">
        <v>12</v>
      </c>
      <c r="W476" s="4">
        <v>12</v>
      </c>
      <c r="X476" s="4">
        <v>0</v>
      </c>
      <c r="Y476" s="4"/>
      <c r="Z476" s="4">
        <v>362.16999999999996</v>
      </c>
      <c r="AA476" s="4">
        <v>650</v>
      </c>
      <c r="AB476" s="18"/>
      <c r="AC476" s="18">
        <v>9</v>
      </c>
      <c r="AD476" s="28"/>
      <c r="AE476" s="26"/>
      <c r="AF476" s="28"/>
    </row>
    <row r="477" spans="1:32" ht="13.5" customHeight="1" x14ac:dyDescent="0.25">
      <c r="A477" s="14">
        <v>45717</v>
      </c>
      <c r="B477" s="14" t="s">
        <v>47</v>
      </c>
      <c r="C477" s="15">
        <v>7</v>
      </c>
      <c r="D477" s="16"/>
      <c r="E477" s="16"/>
      <c r="F477" s="17"/>
      <c r="G477" s="21"/>
      <c r="H477" s="21"/>
      <c r="I477" s="4">
        <v>0</v>
      </c>
      <c r="J477" s="4">
        <v>0</v>
      </c>
      <c r="K477" s="4"/>
      <c r="L477" s="16"/>
      <c r="M477" s="4"/>
      <c r="N477" s="4"/>
      <c r="O477" s="4"/>
      <c r="P477" s="4"/>
      <c r="Q477" s="4"/>
      <c r="R477" s="4"/>
      <c r="S477" s="4">
        <v>0</v>
      </c>
      <c r="T477" s="4">
        <v>0</v>
      </c>
      <c r="U477" s="4">
        <v>0</v>
      </c>
      <c r="V477" s="4">
        <v>12</v>
      </c>
      <c r="W477" s="4">
        <v>12</v>
      </c>
      <c r="X477" s="4">
        <v>4</v>
      </c>
      <c r="Y477" s="4"/>
      <c r="Z477" s="4">
        <v>405.08499999999992</v>
      </c>
      <c r="AA477" s="4">
        <v>400</v>
      </c>
      <c r="AB477" s="18"/>
      <c r="AC477" s="18">
        <v>9</v>
      </c>
      <c r="AD477" s="28"/>
      <c r="AE477" s="26"/>
      <c r="AF477" s="28"/>
    </row>
    <row r="478" spans="1:32" ht="13.5" customHeight="1" x14ac:dyDescent="0.25">
      <c r="A478" s="14">
        <v>45718</v>
      </c>
      <c r="B478" s="14" t="s">
        <v>46</v>
      </c>
      <c r="C478" s="15">
        <v>1</v>
      </c>
      <c r="D478" s="16"/>
      <c r="E478" s="16"/>
      <c r="F478" s="17"/>
      <c r="G478" s="21"/>
      <c r="H478" s="21"/>
      <c r="I478" s="4">
        <v>0</v>
      </c>
      <c r="J478" s="4">
        <v>0</v>
      </c>
      <c r="K478" s="4"/>
      <c r="L478" s="16"/>
      <c r="M478" s="4"/>
      <c r="N478" s="4"/>
      <c r="O478" s="4"/>
      <c r="P478" s="4"/>
      <c r="Q478" s="4"/>
      <c r="R478" s="4"/>
      <c r="S478" s="4">
        <v>0</v>
      </c>
      <c r="T478" s="4">
        <v>0</v>
      </c>
      <c r="U478" s="4">
        <v>0</v>
      </c>
      <c r="V478" s="4">
        <v>12</v>
      </c>
      <c r="W478" s="4">
        <v>12</v>
      </c>
      <c r="X478" s="4">
        <v>0</v>
      </c>
      <c r="Y478" s="4">
        <v>1848</v>
      </c>
      <c r="Z478" s="4">
        <v>154.6</v>
      </c>
      <c r="AA478" s="4">
        <v>150</v>
      </c>
      <c r="AB478" s="18">
        <v>372</v>
      </c>
      <c r="AC478" s="18">
        <v>9</v>
      </c>
      <c r="AD478" s="28"/>
      <c r="AE478" s="26"/>
      <c r="AF478" s="28"/>
    </row>
    <row r="479" spans="1:32" ht="13.5" customHeight="1" x14ac:dyDescent="0.25">
      <c r="A479" s="14">
        <v>45718</v>
      </c>
      <c r="B479" s="14" t="s">
        <v>47</v>
      </c>
      <c r="C479" s="15">
        <v>1</v>
      </c>
      <c r="D479" s="16"/>
      <c r="E479" s="16"/>
      <c r="F479" s="17"/>
      <c r="G479" s="21"/>
      <c r="H479" s="21"/>
      <c r="I479" s="4">
        <v>0</v>
      </c>
      <c r="J479" s="4">
        <v>0</v>
      </c>
      <c r="K479" s="4"/>
      <c r="L479" s="16"/>
      <c r="M479" s="4"/>
      <c r="N479" s="4"/>
      <c r="O479" s="4"/>
      <c r="P479" s="4"/>
      <c r="Q479" s="4"/>
      <c r="R479" s="4"/>
      <c r="S479" s="4">
        <v>0</v>
      </c>
      <c r="T479" s="4">
        <v>0</v>
      </c>
      <c r="U479" s="4">
        <v>0</v>
      </c>
      <c r="V479" s="4">
        <v>12</v>
      </c>
      <c r="W479" s="4">
        <v>12</v>
      </c>
      <c r="X479" s="4">
        <v>0</v>
      </c>
      <c r="Y479" s="4"/>
      <c r="Z479" s="4">
        <v>170</v>
      </c>
      <c r="AA479" s="4">
        <v>200</v>
      </c>
      <c r="AB479" s="18"/>
      <c r="AC479" s="18">
        <v>9</v>
      </c>
      <c r="AD479" s="28"/>
      <c r="AE479" s="26"/>
      <c r="AF479" s="28"/>
    </row>
    <row r="480" spans="1:32" ht="13.5" customHeight="1" x14ac:dyDescent="0.25">
      <c r="A480" s="14">
        <v>45718</v>
      </c>
      <c r="B480" s="14" t="s">
        <v>46</v>
      </c>
      <c r="C480" s="15">
        <v>3</v>
      </c>
      <c r="D480" s="16"/>
      <c r="E480" s="16"/>
      <c r="F480" s="17"/>
      <c r="G480" s="21"/>
      <c r="H480" s="21"/>
      <c r="I480" s="4">
        <v>0</v>
      </c>
      <c r="J480" s="4">
        <v>0</v>
      </c>
      <c r="K480" s="4"/>
      <c r="L480" s="16"/>
      <c r="M480" s="4"/>
      <c r="N480" s="4"/>
      <c r="O480" s="4"/>
      <c r="P480" s="4"/>
      <c r="Q480" s="4"/>
      <c r="R480" s="4"/>
      <c r="S480" s="4">
        <v>0</v>
      </c>
      <c r="T480" s="4">
        <v>0</v>
      </c>
      <c r="U480" s="4">
        <v>0</v>
      </c>
      <c r="V480" s="4">
        <v>12</v>
      </c>
      <c r="W480" s="4">
        <v>12</v>
      </c>
      <c r="X480" s="4">
        <v>0</v>
      </c>
      <c r="Y480" s="4"/>
      <c r="Z480" s="4">
        <v>358.1</v>
      </c>
      <c r="AA480" s="4">
        <v>350</v>
      </c>
      <c r="AB480" s="18"/>
      <c r="AC480" s="18">
        <v>9</v>
      </c>
      <c r="AD480" s="28"/>
      <c r="AE480" s="26"/>
      <c r="AF480" s="28"/>
    </row>
    <row r="481" spans="1:32" ht="13.5" customHeight="1" x14ac:dyDescent="0.25">
      <c r="A481" s="14">
        <v>45718</v>
      </c>
      <c r="B481" s="14" t="s">
        <v>47</v>
      </c>
      <c r="C481" s="15">
        <v>3</v>
      </c>
      <c r="D481" s="16"/>
      <c r="E481" s="16"/>
      <c r="F481" s="17"/>
      <c r="G481" s="21"/>
      <c r="H481" s="21"/>
      <c r="I481" s="4">
        <v>0</v>
      </c>
      <c r="J481" s="4">
        <v>0</v>
      </c>
      <c r="K481" s="4"/>
      <c r="L481" s="16"/>
      <c r="M481" s="4"/>
      <c r="N481" s="4"/>
      <c r="O481" s="4"/>
      <c r="P481" s="4"/>
      <c r="Q481" s="4"/>
      <c r="R481" s="4"/>
      <c r="S481" s="4">
        <v>0</v>
      </c>
      <c r="T481" s="4">
        <v>0</v>
      </c>
      <c r="U481" s="4">
        <v>0</v>
      </c>
      <c r="V481" s="4">
        <v>12</v>
      </c>
      <c r="W481" s="4">
        <v>12</v>
      </c>
      <c r="X481" s="4">
        <v>0</v>
      </c>
      <c r="Y481" s="4"/>
      <c r="Z481" s="4">
        <v>397.3</v>
      </c>
      <c r="AA481" s="4">
        <v>400</v>
      </c>
      <c r="AB481" s="18"/>
      <c r="AC481" s="18">
        <v>9</v>
      </c>
      <c r="AD481" s="28"/>
      <c r="AE481" s="26"/>
      <c r="AF481" s="28"/>
    </row>
    <row r="482" spans="1:32" ht="13.5" customHeight="1" x14ac:dyDescent="0.25">
      <c r="A482" s="14">
        <v>45718</v>
      </c>
      <c r="B482" s="14" t="s">
        <v>46</v>
      </c>
      <c r="C482" s="15">
        <v>6</v>
      </c>
      <c r="D482" s="16">
        <v>10</v>
      </c>
      <c r="E482" s="16"/>
      <c r="F482" s="17"/>
      <c r="G482" s="21"/>
      <c r="H482" s="21"/>
      <c r="I482" s="4">
        <v>10</v>
      </c>
      <c r="J482" s="4">
        <v>0.16666666666666666</v>
      </c>
      <c r="K482" s="4"/>
      <c r="L482" s="16"/>
      <c r="M482" s="4"/>
      <c r="N482" s="4"/>
      <c r="O482" s="4"/>
      <c r="P482" s="4"/>
      <c r="Q482" s="4"/>
      <c r="R482" s="4"/>
      <c r="S482" s="4">
        <v>0</v>
      </c>
      <c r="T482" s="4">
        <v>0</v>
      </c>
      <c r="U482" s="4">
        <v>0.16666666666666666</v>
      </c>
      <c r="V482" s="4">
        <v>11.833333333333334</v>
      </c>
      <c r="W482" s="4">
        <v>12</v>
      </c>
      <c r="X482" s="4">
        <v>15</v>
      </c>
      <c r="Y482" s="4"/>
      <c r="Z482" s="4">
        <v>618.6</v>
      </c>
      <c r="AA482" s="4">
        <v>600</v>
      </c>
      <c r="AB482" s="18"/>
      <c r="AC482" s="18">
        <v>9</v>
      </c>
      <c r="AD482" s="28"/>
      <c r="AE482" s="26"/>
      <c r="AF482" s="28"/>
    </row>
    <row r="483" spans="1:32" ht="13.5" customHeight="1" x14ac:dyDescent="0.25">
      <c r="A483" s="14">
        <v>45718</v>
      </c>
      <c r="B483" s="14" t="s">
        <v>47</v>
      </c>
      <c r="C483" s="15">
        <v>6</v>
      </c>
      <c r="D483" s="16">
        <v>30</v>
      </c>
      <c r="E483" s="16"/>
      <c r="F483" s="17"/>
      <c r="G483" s="21"/>
      <c r="H483" s="21"/>
      <c r="I483" s="4">
        <v>30</v>
      </c>
      <c r="J483" s="4">
        <v>0.5</v>
      </c>
      <c r="K483" s="4"/>
      <c r="L483" s="16"/>
      <c r="M483" s="4"/>
      <c r="N483" s="4"/>
      <c r="O483" s="4"/>
      <c r="P483" s="4"/>
      <c r="Q483" s="4"/>
      <c r="R483" s="4"/>
      <c r="S483" s="4">
        <v>0</v>
      </c>
      <c r="T483" s="4">
        <v>0</v>
      </c>
      <c r="U483" s="4">
        <v>0.5</v>
      </c>
      <c r="V483" s="4">
        <v>11.5</v>
      </c>
      <c r="W483" s="4">
        <v>12</v>
      </c>
      <c r="X483" s="4">
        <v>0</v>
      </c>
      <c r="Y483" s="4"/>
      <c r="Z483" s="4">
        <v>618.90000000000009</v>
      </c>
      <c r="AA483" s="4">
        <v>600</v>
      </c>
      <c r="AB483" s="18"/>
      <c r="AC483" s="18">
        <v>9</v>
      </c>
      <c r="AD483" s="28"/>
      <c r="AE483" s="26"/>
      <c r="AF483" s="28"/>
    </row>
    <row r="484" spans="1:32" ht="13.5" customHeight="1" x14ac:dyDescent="0.25">
      <c r="A484" s="14">
        <v>45718</v>
      </c>
      <c r="B484" s="14" t="s">
        <v>46</v>
      </c>
      <c r="C484" s="15">
        <v>7</v>
      </c>
      <c r="D484" s="16"/>
      <c r="E484" s="16"/>
      <c r="F484" s="17"/>
      <c r="G484" s="21"/>
      <c r="H484" s="21"/>
      <c r="I484" s="4">
        <v>0</v>
      </c>
      <c r="J484" s="4">
        <v>0</v>
      </c>
      <c r="K484" s="4"/>
      <c r="L484" s="16"/>
      <c r="M484" s="4"/>
      <c r="N484" s="4"/>
      <c r="O484" s="4"/>
      <c r="P484" s="4"/>
      <c r="Q484" s="4"/>
      <c r="R484" s="4"/>
      <c r="S484" s="4">
        <v>0</v>
      </c>
      <c r="T484" s="4">
        <v>0</v>
      </c>
      <c r="U484" s="4">
        <v>0</v>
      </c>
      <c r="V484" s="4">
        <v>12</v>
      </c>
      <c r="W484" s="4">
        <v>12</v>
      </c>
      <c r="X484" s="4">
        <v>12</v>
      </c>
      <c r="Y484" s="4"/>
      <c r="Z484" s="4">
        <v>435.04</v>
      </c>
      <c r="AA484" s="4">
        <v>450</v>
      </c>
      <c r="AB484" s="18"/>
      <c r="AC484" s="18">
        <v>9</v>
      </c>
      <c r="AD484" s="28"/>
      <c r="AE484" s="26"/>
      <c r="AF484" s="28"/>
    </row>
    <row r="485" spans="1:32" ht="13.5" customHeight="1" x14ac:dyDescent="0.25">
      <c r="A485" s="14">
        <v>45718</v>
      </c>
      <c r="B485" s="14" t="s">
        <v>47</v>
      </c>
      <c r="C485" s="15">
        <v>7</v>
      </c>
      <c r="D485" s="16"/>
      <c r="E485" s="16"/>
      <c r="F485" s="17"/>
      <c r="G485" s="21"/>
      <c r="H485" s="21"/>
      <c r="I485" s="4">
        <v>0</v>
      </c>
      <c r="J485" s="4">
        <v>0</v>
      </c>
      <c r="K485" s="4"/>
      <c r="L485" s="16"/>
      <c r="M485" s="4"/>
      <c r="N485" s="4"/>
      <c r="O485" s="4"/>
      <c r="P485" s="4"/>
      <c r="Q485" s="4"/>
      <c r="R485" s="4"/>
      <c r="S485" s="4">
        <v>0</v>
      </c>
      <c r="T485" s="4">
        <v>0</v>
      </c>
      <c r="U485" s="4">
        <v>0</v>
      </c>
      <c r="V485" s="4">
        <v>12</v>
      </c>
      <c r="W485" s="4">
        <v>12</v>
      </c>
      <c r="X485" s="4">
        <v>0</v>
      </c>
      <c r="Y485" s="4"/>
      <c r="Z485" s="4">
        <v>366.1</v>
      </c>
      <c r="AA485" s="4">
        <v>350</v>
      </c>
      <c r="AB485" s="18"/>
      <c r="AC485" s="18">
        <v>9</v>
      </c>
      <c r="AD485" s="28"/>
      <c r="AE485" s="26"/>
      <c r="AF485" s="28"/>
    </row>
    <row r="486" spans="1:32" ht="13.5" customHeight="1" x14ac:dyDescent="0.25">
      <c r="A486" s="14">
        <v>45719</v>
      </c>
      <c r="B486" s="14" t="s">
        <v>46</v>
      </c>
      <c r="C486" s="15">
        <v>1</v>
      </c>
      <c r="D486" s="16"/>
      <c r="E486" s="16"/>
      <c r="F486" s="17"/>
      <c r="G486" s="21"/>
      <c r="H486" s="21"/>
      <c r="I486" s="4">
        <v>0</v>
      </c>
      <c r="J486" s="4">
        <v>0</v>
      </c>
      <c r="K486" s="4"/>
      <c r="L486" s="16"/>
      <c r="M486" s="4"/>
      <c r="N486" s="4"/>
      <c r="O486" s="4"/>
      <c r="P486" s="4"/>
      <c r="Q486" s="4"/>
      <c r="R486" s="4"/>
      <c r="S486" s="4">
        <v>0</v>
      </c>
      <c r="T486" s="4">
        <v>0</v>
      </c>
      <c r="U486" s="4">
        <v>0</v>
      </c>
      <c r="V486" s="4">
        <v>12</v>
      </c>
      <c r="W486" s="4">
        <v>12</v>
      </c>
      <c r="X486" s="4">
        <v>0</v>
      </c>
      <c r="Y486" s="4">
        <v>1849</v>
      </c>
      <c r="Z486" s="4">
        <v>165.7</v>
      </c>
      <c r="AA486" s="4">
        <v>150</v>
      </c>
      <c r="AB486" s="18">
        <v>372</v>
      </c>
      <c r="AC486" s="18">
        <v>10</v>
      </c>
      <c r="AD486" s="28"/>
      <c r="AE486" s="26"/>
      <c r="AF486" s="28"/>
    </row>
    <row r="487" spans="1:32" ht="13.5" customHeight="1" x14ac:dyDescent="0.25">
      <c r="A487" s="14">
        <v>45719</v>
      </c>
      <c r="B487" s="14" t="s">
        <v>47</v>
      </c>
      <c r="C487" s="15">
        <v>1</v>
      </c>
      <c r="D487" s="16"/>
      <c r="E487" s="16"/>
      <c r="F487" s="17"/>
      <c r="G487" s="21"/>
      <c r="H487" s="21"/>
      <c r="I487" s="4">
        <v>0</v>
      </c>
      <c r="J487" s="4">
        <v>0</v>
      </c>
      <c r="K487" s="4"/>
      <c r="L487" s="16"/>
      <c r="M487" s="4"/>
      <c r="N487" s="4"/>
      <c r="O487" s="4"/>
      <c r="P487" s="4"/>
      <c r="Q487" s="4"/>
      <c r="R487" s="4"/>
      <c r="S487" s="4">
        <v>0</v>
      </c>
      <c r="T487" s="4">
        <v>0</v>
      </c>
      <c r="U487" s="4">
        <v>0</v>
      </c>
      <c r="V487" s="4">
        <v>12</v>
      </c>
      <c r="W487" s="4">
        <v>12</v>
      </c>
      <c r="X487" s="4">
        <v>0</v>
      </c>
      <c r="Y487" s="4"/>
      <c r="Z487" s="4">
        <v>156.80000000000001</v>
      </c>
      <c r="AA487" s="4">
        <v>150</v>
      </c>
      <c r="AB487" s="18"/>
      <c r="AC487" s="18">
        <v>10</v>
      </c>
      <c r="AD487" s="28"/>
      <c r="AE487" s="26"/>
      <c r="AF487" s="28"/>
    </row>
    <row r="488" spans="1:32" ht="13.5" customHeight="1" x14ac:dyDescent="0.25">
      <c r="A488" s="14">
        <v>45719</v>
      </c>
      <c r="B488" s="14" t="s">
        <v>46</v>
      </c>
      <c r="C488" s="15">
        <v>3</v>
      </c>
      <c r="D488" s="16"/>
      <c r="E488" s="16"/>
      <c r="F488" s="17"/>
      <c r="G488" s="21"/>
      <c r="H488" s="21"/>
      <c r="I488" s="4">
        <v>0</v>
      </c>
      <c r="J488" s="4">
        <v>0</v>
      </c>
      <c r="K488" s="4"/>
      <c r="L488" s="16"/>
      <c r="M488" s="4"/>
      <c r="N488" s="4"/>
      <c r="O488" s="4"/>
      <c r="P488" s="4"/>
      <c r="Q488" s="4"/>
      <c r="R488" s="4"/>
      <c r="S488" s="4">
        <v>0</v>
      </c>
      <c r="T488" s="4">
        <v>0</v>
      </c>
      <c r="U488" s="4">
        <v>0</v>
      </c>
      <c r="V488" s="4">
        <v>12</v>
      </c>
      <c r="W488" s="4">
        <v>12</v>
      </c>
      <c r="X488" s="4">
        <v>0</v>
      </c>
      <c r="Y488" s="4"/>
      <c r="Z488" s="4">
        <v>357.1</v>
      </c>
      <c r="AA488" s="4">
        <v>400</v>
      </c>
      <c r="AB488" s="18"/>
      <c r="AC488" s="18">
        <v>10</v>
      </c>
      <c r="AD488" s="28"/>
      <c r="AE488" s="26"/>
      <c r="AF488" s="28"/>
    </row>
    <row r="489" spans="1:32" ht="13.5" customHeight="1" x14ac:dyDescent="0.25">
      <c r="A489" s="14">
        <v>45719</v>
      </c>
      <c r="B489" s="14" t="s">
        <v>47</v>
      </c>
      <c r="C489" s="15">
        <v>3</v>
      </c>
      <c r="D489" s="16"/>
      <c r="E489" s="16"/>
      <c r="F489" s="17"/>
      <c r="G489" s="21"/>
      <c r="H489" s="21"/>
      <c r="I489" s="4">
        <v>0</v>
      </c>
      <c r="J489" s="4">
        <v>0</v>
      </c>
      <c r="K489" s="4"/>
      <c r="L489" s="16"/>
      <c r="M489" s="4"/>
      <c r="N489" s="4"/>
      <c r="O489" s="4"/>
      <c r="P489" s="4"/>
      <c r="Q489" s="4"/>
      <c r="R489" s="4"/>
      <c r="S489" s="4">
        <v>0</v>
      </c>
      <c r="T489" s="4">
        <v>0</v>
      </c>
      <c r="U489" s="4">
        <v>0</v>
      </c>
      <c r="V489" s="4">
        <v>12</v>
      </c>
      <c r="W489" s="4">
        <v>12</v>
      </c>
      <c r="X489" s="4">
        <v>0</v>
      </c>
      <c r="Y489" s="4"/>
      <c r="Z489" s="4">
        <v>400</v>
      </c>
      <c r="AA489" s="4">
        <v>400</v>
      </c>
      <c r="AB489" s="18"/>
      <c r="AC489" s="18">
        <v>10</v>
      </c>
      <c r="AD489" s="28"/>
      <c r="AE489" s="26"/>
      <c r="AF489" s="28"/>
    </row>
    <row r="490" spans="1:32" ht="13.5" customHeight="1" x14ac:dyDescent="0.25">
      <c r="A490" s="14">
        <v>45719</v>
      </c>
      <c r="B490" s="14" t="s">
        <v>46</v>
      </c>
      <c r="C490" s="15">
        <v>6</v>
      </c>
      <c r="D490" s="16"/>
      <c r="E490" s="16"/>
      <c r="F490" s="17"/>
      <c r="G490" s="21"/>
      <c r="H490" s="21"/>
      <c r="I490" s="4">
        <v>0</v>
      </c>
      <c r="J490" s="4">
        <v>0</v>
      </c>
      <c r="K490" s="4"/>
      <c r="L490" s="16">
        <v>360</v>
      </c>
      <c r="M490" s="4"/>
      <c r="N490" s="4"/>
      <c r="O490" s="4"/>
      <c r="P490" s="4"/>
      <c r="Q490" s="4"/>
      <c r="R490" s="4"/>
      <c r="S490" s="4">
        <v>360</v>
      </c>
      <c r="T490" s="4">
        <v>6</v>
      </c>
      <c r="U490" s="4">
        <v>6</v>
      </c>
      <c r="V490" s="4">
        <v>6</v>
      </c>
      <c r="W490" s="4">
        <v>12</v>
      </c>
      <c r="X490" s="4">
        <v>19</v>
      </c>
      <c r="Y490" s="4"/>
      <c r="Z490" s="4">
        <v>365.8</v>
      </c>
      <c r="AA490" s="4">
        <v>400</v>
      </c>
      <c r="AB490" s="18"/>
      <c r="AC490" s="18">
        <v>10</v>
      </c>
      <c r="AD490" s="28"/>
      <c r="AE490" s="26"/>
      <c r="AF490" s="28"/>
    </row>
    <row r="491" spans="1:32" ht="13.5" customHeight="1" x14ac:dyDescent="0.25">
      <c r="A491" s="14">
        <v>45719</v>
      </c>
      <c r="B491" s="14" t="s">
        <v>47</v>
      </c>
      <c r="C491" s="15">
        <v>6</v>
      </c>
      <c r="D491" s="16"/>
      <c r="E491" s="16"/>
      <c r="F491" s="17"/>
      <c r="G491" s="21"/>
      <c r="H491" s="21"/>
      <c r="I491" s="4">
        <v>0</v>
      </c>
      <c r="J491" s="4">
        <v>0</v>
      </c>
      <c r="K491" s="4"/>
      <c r="L491" s="16"/>
      <c r="M491" s="4"/>
      <c r="N491" s="4"/>
      <c r="O491" s="4"/>
      <c r="P491" s="4"/>
      <c r="Q491" s="4"/>
      <c r="R491" s="4"/>
      <c r="S491" s="4">
        <v>0</v>
      </c>
      <c r="T491" s="4">
        <v>0</v>
      </c>
      <c r="U491" s="4">
        <v>0</v>
      </c>
      <c r="V491" s="4">
        <v>12</v>
      </c>
      <c r="W491" s="4">
        <v>12</v>
      </c>
      <c r="X491" s="4">
        <v>0</v>
      </c>
      <c r="Y491" s="4"/>
      <c r="Z491" s="4">
        <v>602.19999999999993</v>
      </c>
      <c r="AA491" s="4">
        <v>600</v>
      </c>
      <c r="AB491" s="18"/>
      <c r="AC491" s="18">
        <v>10</v>
      </c>
      <c r="AD491" s="28"/>
      <c r="AE491" s="26"/>
      <c r="AF491" s="28"/>
    </row>
    <row r="492" spans="1:32" ht="13.5" customHeight="1" x14ac:dyDescent="0.25">
      <c r="A492" s="14">
        <v>45719</v>
      </c>
      <c r="B492" s="14" t="s">
        <v>46</v>
      </c>
      <c r="C492" s="15">
        <v>7</v>
      </c>
      <c r="D492" s="16">
        <v>5</v>
      </c>
      <c r="E492" s="16"/>
      <c r="F492" s="17"/>
      <c r="G492" s="21"/>
      <c r="H492" s="21"/>
      <c r="I492" s="4">
        <v>5</v>
      </c>
      <c r="J492" s="4">
        <v>8.3333333333333329E-2</v>
      </c>
      <c r="K492" s="4"/>
      <c r="L492" s="16"/>
      <c r="M492" s="4"/>
      <c r="N492" s="4"/>
      <c r="O492" s="4"/>
      <c r="P492" s="4"/>
      <c r="Q492" s="4"/>
      <c r="R492" s="4"/>
      <c r="S492" s="4">
        <v>0</v>
      </c>
      <c r="T492" s="4">
        <v>0</v>
      </c>
      <c r="U492" s="4">
        <v>8.3333333333333329E-2</v>
      </c>
      <c r="V492" s="4">
        <v>11.916666666666666</v>
      </c>
      <c r="W492" s="4">
        <v>12</v>
      </c>
      <c r="X492" s="4">
        <v>2</v>
      </c>
      <c r="Y492" s="4"/>
      <c r="Z492" s="4">
        <v>360.87000000000006</v>
      </c>
      <c r="AA492" s="4">
        <v>350</v>
      </c>
      <c r="AB492" s="18"/>
      <c r="AC492" s="18">
        <v>10</v>
      </c>
      <c r="AD492" s="28"/>
      <c r="AE492" s="26"/>
      <c r="AF492" s="28"/>
    </row>
    <row r="493" spans="1:32" ht="13.5" customHeight="1" x14ac:dyDescent="0.25">
      <c r="A493" s="14">
        <v>45719</v>
      </c>
      <c r="B493" s="14" t="s">
        <v>47</v>
      </c>
      <c r="C493" s="15">
        <v>7</v>
      </c>
      <c r="D493" s="16"/>
      <c r="E493" s="16"/>
      <c r="F493" s="17"/>
      <c r="G493" s="21"/>
      <c r="H493" s="21"/>
      <c r="I493" s="4">
        <v>0</v>
      </c>
      <c r="J493" s="4">
        <v>0</v>
      </c>
      <c r="K493" s="4"/>
      <c r="L493" s="16"/>
      <c r="M493" s="4"/>
      <c r="N493" s="4"/>
      <c r="O493" s="4"/>
      <c r="P493" s="4"/>
      <c r="Q493" s="4"/>
      <c r="R493" s="4"/>
      <c r="S493" s="4">
        <v>0</v>
      </c>
      <c r="T493" s="4">
        <v>0</v>
      </c>
      <c r="U493" s="4">
        <v>0</v>
      </c>
      <c r="V493" s="4">
        <v>12</v>
      </c>
      <c r="W493" s="4">
        <v>12</v>
      </c>
      <c r="X493" s="4">
        <v>10</v>
      </c>
      <c r="Y493" s="4"/>
      <c r="Z493" s="4">
        <v>335.65</v>
      </c>
      <c r="AA493" s="4">
        <v>350</v>
      </c>
      <c r="AB493" s="18"/>
      <c r="AC493" s="18">
        <v>10</v>
      </c>
      <c r="AD493" s="28"/>
      <c r="AE493" s="26"/>
      <c r="AF493" s="28"/>
    </row>
    <row r="494" spans="1:32" ht="13.5" customHeight="1" x14ac:dyDescent="0.25">
      <c r="A494" s="14">
        <v>45720</v>
      </c>
      <c r="B494" s="14" t="s">
        <v>46</v>
      </c>
      <c r="C494" s="15">
        <v>1</v>
      </c>
      <c r="D494" s="16"/>
      <c r="E494" s="16"/>
      <c r="F494" s="17"/>
      <c r="G494" s="21"/>
      <c r="H494" s="21"/>
      <c r="I494" s="4">
        <v>0</v>
      </c>
      <c r="J494" s="4">
        <v>0</v>
      </c>
      <c r="K494" s="4"/>
      <c r="L494" s="16"/>
      <c r="M494" s="4"/>
      <c r="N494" s="4"/>
      <c r="O494" s="4"/>
      <c r="P494" s="4"/>
      <c r="Q494" s="4"/>
      <c r="R494" s="4"/>
      <c r="S494" s="4">
        <v>0</v>
      </c>
      <c r="T494" s="4">
        <v>0</v>
      </c>
      <c r="U494" s="4">
        <v>0</v>
      </c>
      <c r="V494" s="4">
        <v>12</v>
      </c>
      <c r="W494" s="4">
        <v>12</v>
      </c>
      <c r="X494" s="4">
        <v>0</v>
      </c>
      <c r="Y494" s="4">
        <v>1824</v>
      </c>
      <c r="Z494" s="4">
        <v>183</v>
      </c>
      <c r="AA494" s="4">
        <v>200</v>
      </c>
      <c r="AB494" s="18">
        <v>372</v>
      </c>
      <c r="AC494" s="18">
        <v>10</v>
      </c>
      <c r="AD494" s="28"/>
      <c r="AE494" s="26"/>
      <c r="AF494" s="28"/>
    </row>
    <row r="495" spans="1:32" ht="13.5" customHeight="1" x14ac:dyDescent="0.25">
      <c r="A495" s="14">
        <v>45720</v>
      </c>
      <c r="B495" s="14" t="s">
        <v>47</v>
      </c>
      <c r="C495" s="15">
        <v>1</v>
      </c>
      <c r="D495" s="16"/>
      <c r="E495" s="16"/>
      <c r="F495" s="17"/>
      <c r="G495" s="21"/>
      <c r="H495" s="21"/>
      <c r="I495" s="4">
        <v>0</v>
      </c>
      <c r="J495" s="4">
        <v>0</v>
      </c>
      <c r="K495" s="4"/>
      <c r="L495" s="16"/>
      <c r="M495" s="4"/>
      <c r="N495" s="4"/>
      <c r="O495" s="4"/>
      <c r="P495" s="4"/>
      <c r="Q495" s="4"/>
      <c r="R495" s="4"/>
      <c r="S495" s="4">
        <v>0</v>
      </c>
      <c r="T495" s="4">
        <v>0</v>
      </c>
      <c r="U495" s="4">
        <v>0</v>
      </c>
      <c r="V495" s="4">
        <v>12</v>
      </c>
      <c r="W495" s="4">
        <v>12</v>
      </c>
      <c r="X495" s="4">
        <v>0</v>
      </c>
      <c r="Y495" s="4"/>
      <c r="Z495" s="4">
        <v>194.20000000000002</v>
      </c>
      <c r="AA495" s="4">
        <v>200</v>
      </c>
      <c r="AB495" s="18"/>
      <c r="AC495" s="18">
        <v>10</v>
      </c>
      <c r="AD495" s="28"/>
      <c r="AE495" s="26"/>
      <c r="AF495" s="28"/>
    </row>
    <row r="496" spans="1:32" ht="13.5" customHeight="1" x14ac:dyDescent="0.25">
      <c r="A496" s="14">
        <v>45720</v>
      </c>
      <c r="B496" s="14" t="s">
        <v>46</v>
      </c>
      <c r="C496" s="15">
        <v>3</v>
      </c>
      <c r="D496" s="16">
        <v>25</v>
      </c>
      <c r="E496" s="16"/>
      <c r="F496" s="17"/>
      <c r="G496" s="21"/>
      <c r="H496" s="21"/>
      <c r="I496" s="4">
        <v>25</v>
      </c>
      <c r="J496" s="4">
        <v>0.41666666666666669</v>
      </c>
      <c r="K496" s="4"/>
      <c r="L496" s="16"/>
      <c r="M496" s="4"/>
      <c r="N496" s="4"/>
      <c r="O496" s="4"/>
      <c r="P496" s="4"/>
      <c r="Q496" s="4">
        <v>75</v>
      </c>
      <c r="R496" s="4"/>
      <c r="S496" s="4">
        <v>75</v>
      </c>
      <c r="T496" s="4">
        <v>1.25</v>
      </c>
      <c r="U496" s="4">
        <v>1.6666666666666667</v>
      </c>
      <c r="V496" s="4">
        <v>10.333333333333334</v>
      </c>
      <c r="W496" s="4">
        <v>12</v>
      </c>
      <c r="X496" s="4">
        <v>0</v>
      </c>
      <c r="Y496" s="4"/>
      <c r="Z496" s="4">
        <v>418.6</v>
      </c>
      <c r="AA496" s="4">
        <v>400</v>
      </c>
      <c r="AB496" s="18"/>
      <c r="AC496" s="18">
        <v>10</v>
      </c>
      <c r="AD496" s="28"/>
      <c r="AE496" s="26"/>
      <c r="AF496" s="28"/>
    </row>
    <row r="497" spans="1:32" ht="13.5" customHeight="1" x14ac:dyDescent="0.25">
      <c r="A497" s="14">
        <v>45720</v>
      </c>
      <c r="B497" s="14" t="s">
        <v>47</v>
      </c>
      <c r="C497" s="15">
        <v>3</v>
      </c>
      <c r="D497" s="16"/>
      <c r="E497" s="16"/>
      <c r="F497" s="17"/>
      <c r="G497" s="21"/>
      <c r="H497" s="21"/>
      <c r="I497" s="4">
        <v>0</v>
      </c>
      <c r="J497" s="4">
        <v>0</v>
      </c>
      <c r="K497" s="4"/>
      <c r="L497" s="16"/>
      <c r="M497" s="4"/>
      <c r="N497" s="4"/>
      <c r="O497" s="4"/>
      <c r="P497" s="4"/>
      <c r="Q497" s="4"/>
      <c r="R497" s="4"/>
      <c r="S497" s="4">
        <v>0</v>
      </c>
      <c r="T497" s="4">
        <v>0</v>
      </c>
      <c r="U497" s="4">
        <v>0</v>
      </c>
      <c r="V497" s="4">
        <v>12</v>
      </c>
      <c r="W497" s="4">
        <v>12</v>
      </c>
      <c r="X497" s="4">
        <v>0</v>
      </c>
      <c r="Y497" s="4"/>
      <c r="Z497" s="4">
        <v>231.8</v>
      </c>
      <c r="AA497" s="4">
        <v>200</v>
      </c>
      <c r="AB497" s="18"/>
      <c r="AC497" s="18">
        <v>10</v>
      </c>
      <c r="AD497" s="28"/>
      <c r="AE497" s="26"/>
      <c r="AF497" s="28"/>
    </row>
    <row r="498" spans="1:32" ht="13.5" customHeight="1" x14ac:dyDescent="0.25">
      <c r="A498" s="14">
        <v>45720</v>
      </c>
      <c r="B498" s="14" t="s">
        <v>46</v>
      </c>
      <c r="C498" s="15">
        <v>6</v>
      </c>
      <c r="D498" s="16">
        <v>15</v>
      </c>
      <c r="E498" s="16"/>
      <c r="F498" s="17"/>
      <c r="G498" s="21"/>
      <c r="H498" s="21"/>
      <c r="I498" s="4">
        <v>15</v>
      </c>
      <c r="J498" s="4">
        <v>0.25</v>
      </c>
      <c r="K498" s="4"/>
      <c r="L498" s="16"/>
      <c r="M498" s="4"/>
      <c r="N498" s="4">
        <v>15</v>
      </c>
      <c r="O498" s="4"/>
      <c r="P498" s="4"/>
      <c r="Q498" s="4"/>
      <c r="R498" s="4"/>
      <c r="S498" s="4">
        <v>15</v>
      </c>
      <c r="T498" s="4">
        <v>0.25</v>
      </c>
      <c r="U498" s="4">
        <v>0.5</v>
      </c>
      <c r="V498" s="4">
        <v>11.5</v>
      </c>
      <c r="W498" s="4">
        <v>12</v>
      </c>
      <c r="X498" s="4">
        <v>0</v>
      </c>
      <c r="Y498" s="4"/>
      <c r="Z498" s="4">
        <v>666.40000000000009</v>
      </c>
      <c r="AA498" s="4">
        <v>700</v>
      </c>
      <c r="AB498" s="18"/>
      <c r="AC498" s="18">
        <v>10</v>
      </c>
      <c r="AD498" s="28"/>
      <c r="AE498" s="26"/>
      <c r="AF498" s="28"/>
    </row>
    <row r="499" spans="1:32" ht="13.5" customHeight="1" x14ac:dyDescent="0.25">
      <c r="A499" s="14">
        <v>45720</v>
      </c>
      <c r="B499" s="14" t="s">
        <v>47</v>
      </c>
      <c r="C499" s="15">
        <v>6</v>
      </c>
      <c r="D499" s="16">
        <v>15</v>
      </c>
      <c r="E499" s="16"/>
      <c r="F499" s="17"/>
      <c r="G499" s="21"/>
      <c r="H499" s="21"/>
      <c r="I499" s="4">
        <v>15</v>
      </c>
      <c r="J499" s="4">
        <v>0.25</v>
      </c>
      <c r="K499" s="4"/>
      <c r="L499" s="16"/>
      <c r="M499" s="4"/>
      <c r="N499" s="4"/>
      <c r="O499" s="4"/>
      <c r="P499" s="4"/>
      <c r="Q499" s="4"/>
      <c r="R499" s="4"/>
      <c r="S499" s="4">
        <v>0</v>
      </c>
      <c r="T499" s="4">
        <v>0</v>
      </c>
      <c r="U499" s="4">
        <v>0.25</v>
      </c>
      <c r="V499" s="4">
        <v>11.75</v>
      </c>
      <c r="W499" s="4">
        <v>12</v>
      </c>
      <c r="X499" s="4">
        <v>0</v>
      </c>
      <c r="Y499" s="4"/>
      <c r="Z499" s="4">
        <v>508.99999999999994</v>
      </c>
      <c r="AA499" s="4">
        <v>500</v>
      </c>
      <c r="AB499" s="18"/>
      <c r="AC499" s="18">
        <v>10</v>
      </c>
      <c r="AD499" s="28"/>
      <c r="AE499" s="26"/>
      <c r="AF499" s="28"/>
    </row>
    <row r="500" spans="1:32" ht="13.5" customHeight="1" x14ac:dyDescent="0.25">
      <c r="A500" s="14">
        <v>45720</v>
      </c>
      <c r="B500" s="14" t="s">
        <v>46</v>
      </c>
      <c r="C500" s="15">
        <v>7</v>
      </c>
      <c r="D500" s="16">
        <v>7</v>
      </c>
      <c r="E500" s="16"/>
      <c r="F500" s="17"/>
      <c r="G500" s="21"/>
      <c r="H500" s="21"/>
      <c r="I500" s="4">
        <v>7</v>
      </c>
      <c r="J500" s="4">
        <v>0.11666666666666667</v>
      </c>
      <c r="K500" s="4"/>
      <c r="L500" s="16"/>
      <c r="M500" s="4"/>
      <c r="N500" s="4"/>
      <c r="O500" s="4"/>
      <c r="P500" s="4"/>
      <c r="Q500" s="4"/>
      <c r="R500" s="4"/>
      <c r="S500" s="4">
        <v>0</v>
      </c>
      <c r="T500" s="4">
        <v>0</v>
      </c>
      <c r="U500" s="4">
        <v>0.11666666666666667</v>
      </c>
      <c r="V500" s="4">
        <v>11.883333333333333</v>
      </c>
      <c r="W500" s="4">
        <v>12</v>
      </c>
      <c r="X500" s="4">
        <v>10</v>
      </c>
      <c r="Y500" s="4"/>
      <c r="Z500" s="4">
        <v>426.78000000000009</v>
      </c>
      <c r="AA500" s="4">
        <v>450</v>
      </c>
      <c r="AB500" s="18"/>
      <c r="AC500" s="18">
        <v>10</v>
      </c>
      <c r="AD500" s="28"/>
      <c r="AE500" s="26"/>
      <c r="AF500" s="28"/>
    </row>
    <row r="501" spans="1:32" ht="13.5" customHeight="1" x14ac:dyDescent="0.25">
      <c r="A501" s="14">
        <v>45720</v>
      </c>
      <c r="B501" s="14" t="s">
        <v>47</v>
      </c>
      <c r="C501" s="15">
        <v>7</v>
      </c>
      <c r="D501" s="16">
        <v>13</v>
      </c>
      <c r="E501" s="16"/>
      <c r="F501" s="17"/>
      <c r="G501" s="21"/>
      <c r="H501" s="21"/>
      <c r="I501" s="4">
        <v>13</v>
      </c>
      <c r="J501" s="4">
        <v>0.21666666666666667</v>
      </c>
      <c r="K501" s="4"/>
      <c r="L501" s="16"/>
      <c r="M501" s="4"/>
      <c r="N501" s="4"/>
      <c r="O501" s="4"/>
      <c r="P501" s="4"/>
      <c r="Q501" s="4"/>
      <c r="R501" s="4"/>
      <c r="S501" s="4">
        <v>0</v>
      </c>
      <c r="T501" s="4">
        <v>0</v>
      </c>
      <c r="U501" s="4">
        <v>0.21666666666666667</v>
      </c>
      <c r="V501" s="4">
        <v>11.783333333333333</v>
      </c>
      <c r="W501" s="4">
        <v>12</v>
      </c>
      <c r="X501" s="4">
        <v>7</v>
      </c>
      <c r="Y501" s="4"/>
      <c r="Z501" s="4">
        <v>328.79999999999995</v>
      </c>
      <c r="AA501" s="4">
        <v>350</v>
      </c>
      <c r="AB501" s="18"/>
      <c r="AC501" s="18">
        <v>10</v>
      </c>
      <c r="AD501" s="28"/>
      <c r="AE501" s="26"/>
      <c r="AF501" s="28"/>
    </row>
    <row r="502" spans="1:32" ht="13.5" customHeight="1" x14ac:dyDescent="0.25">
      <c r="A502" s="14">
        <v>45721</v>
      </c>
      <c r="B502" s="14" t="s">
        <v>46</v>
      </c>
      <c r="C502" s="15">
        <v>1</v>
      </c>
      <c r="D502" s="16"/>
      <c r="E502" s="16"/>
      <c r="F502" s="17"/>
      <c r="G502" s="21"/>
      <c r="H502" s="21"/>
      <c r="I502" s="4">
        <v>0</v>
      </c>
      <c r="J502" s="4">
        <v>0</v>
      </c>
      <c r="K502" s="4"/>
      <c r="L502" s="16"/>
      <c r="M502" s="4"/>
      <c r="N502" s="4"/>
      <c r="O502" s="4"/>
      <c r="P502" s="4"/>
      <c r="Q502" s="4"/>
      <c r="R502" s="4"/>
      <c r="S502" s="4">
        <v>0</v>
      </c>
      <c r="T502" s="4">
        <v>0</v>
      </c>
      <c r="U502" s="4">
        <v>0</v>
      </c>
      <c r="V502" s="4">
        <v>12</v>
      </c>
      <c r="W502" s="4">
        <v>12</v>
      </c>
      <c r="X502" s="4">
        <v>30</v>
      </c>
      <c r="Y502" s="4">
        <v>1833</v>
      </c>
      <c r="Z502" s="4">
        <v>189.2</v>
      </c>
      <c r="AA502" s="4">
        <v>200</v>
      </c>
      <c r="AB502" s="18">
        <v>372</v>
      </c>
      <c r="AC502" s="18">
        <v>10</v>
      </c>
      <c r="AD502" s="28"/>
      <c r="AE502" s="26"/>
      <c r="AF502" s="28"/>
    </row>
    <row r="503" spans="1:32" ht="13.5" customHeight="1" x14ac:dyDescent="0.25">
      <c r="A503" s="14">
        <v>45721</v>
      </c>
      <c r="B503" s="14" t="s">
        <v>47</v>
      </c>
      <c r="C503" s="15">
        <v>1</v>
      </c>
      <c r="D503" s="16"/>
      <c r="E503" s="16"/>
      <c r="F503" s="17"/>
      <c r="G503" s="21"/>
      <c r="H503" s="21"/>
      <c r="I503" s="4">
        <v>0</v>
      </c>
      <c r="J503" s="4">
        <v>0</v>
      </c>
      <c r="K503" s="4"/>
      <c r="L503" s="16"/>
      <c r="M503" s="4"/>
      <c r="N503" s="4"/>
      <c r="O503" s="4"/>
      <c r="P503" s="4"/>
      <c r="Q503" s="4"/>
      <c r="R503" s="4"/>
      <c r="S503" s="4">
        <v>0</v>
      </c>
      <c r="T503" s="4">
        <v>0</v>
      </c>
      <c r="U503" s="4">
        <v>0</v>
      </c>
      <c r="V503" s="4">
        <v>12</v>
      </c>
      <c r="W503" s="4">
        <v>12</v>
      </c>
      <c r="X503" s="4">
        <v>15</v>
      </c>
      <c r="Y503" s="4"/>
      <c r="Z503" s="4">
        <v>145.9</v>
      </c>
      <c r="AA503" s="4">
        <v>150</v>
      </c>
      <c r="AB503" s="18"/>
      <c r="AC503" s="18">
        <v>10</v>
      </c>
      <c r="AD503" s="28"/>
      <c r="AE503" s="26"/>
      <c r="AF503" s="28"/>
    </row>
    <row r="504" spans="1:32" ht="13.5" customHeight="1" x14ac:dyDescent="0.25">
      <c r="A504" s="14">
        <v>45721</v>
      </c>
      <c r="B504" s="14" t="s">
        <v>46</v>
      </c>
      <c r="C504" s="15">
        <v>3</v>
      </c>
      <c r="D504" s="16">
        <v>40</v>
      </c>
      <c r="E504" s="16"/>
      <c r="F504" s="17"/>
      <c r="G504" s="21"/>
      <c r="H504" s="21"/>
      <c r="I504" s="4">
        <v>40</v>
      </c>
      <c r="J504" s="4">
        <v>0.66666666666666663</v>
      </c>
      <c r="K504" s="4"/>
      <c r="L504" s="16"/>
      <c r="M504" s="4"/>
      <c r="N504" s="4"/>
      <c r="O504" s="4"/>
      <c r="P504" s="4"/>
      <c r="Q504" s="4"/>
      <c r="R504" s="4"/>
      <c r="S504" s="4">
        <v>0</v>
      </c>
      <c r="T504" s="4">
        <v>0</v>
      </c>
      <c r="U504" s="4">
        <v>0.66666666666666663</v>
      </c>
      <c r="V504" s="4">
        <v>11.333333333333334</v>
      </c>
      <c r="W504" s="4">
        <v>12</v>
      </c>
      <c r="X504" s="4">
        <v>0</v>
      </c>
      <c r="Y504" s="4"/>
      <c r="Z504" s="4">
        <v>300.7</v>
      </c>
      <c r="AA504" s="4">
        <v>300</v>
      </c>
      <c r="AB504" s="18"/>
      <c r="AC504" s="18">
        <v>10</v>
      </c>
      <c r="AD504" s="28"/>
      <c r="AE504" s="26"/>
      <c r="AF504" s="28"/>
    </row>
    <row r="505" spans="1:32" ht="13.5" customHeight="1" x14ac:dyDescent="0.25">
      <c r="A505" s="14">
        <v>45721</v>
      </c>
      <c r="B505" s="14" t="s">
        <v>47</v>
      </c>
      <c r="C505" s="15">
        <v>3</v>
      </c>
      <c r="D505" s="16">
        <v>3</v>
      </c>
      <c r="E505" s="16"/>
      <c r="F505" s="17"/>
      <c r="G505" s="21"/>
      <c r="H505" s="21"/>
      <c r="I505" s="4">
        <v>3</v>
      </c>
      <c r="J505" s="4">
        <v>0.05</v>
      </c>
      <c r="K505" s="4"/>
      <c r="L505" s="16"/>
      <c r="M505" s="4"/>
      <c r="N505" s="4"/>
      <c r="O505" s="4"/>
      <c r="P505" s="4"/>
      <c r="Q505" s="4"/>
      <c r="R505" s="4"/>
      <c r="S505" s="4">
        <v>0</v>
      </c>
      <c r="T505" s="4">
        <v>0</v>
      </c>
      <c r="U505" s="4">
        <v>0.05</v>
      </c>
      <c r="V505" s="4">
        <v>11.95</v>
      </c>
      <c r="W505" s="4">
        <v>12</v>
      </c>
      <c r="X505" s="4">
        <v>0</v>
      </c>
      <c r="Y505" s="4"/>
      <c r="Z505" s="4">
        <v>483.6</v>
      </c>
      <c r="AA505" s="4">
        <v>500</v>
      </c>
      <c r="AB505" s="18"/>
      <c r="AC505" s="18">
        <v>10</v>
      </c>
      <c r="AD505" s="28"/>
      <c r="AE505" s="26"/>
      <c r="AF505" s="28"/>
    </row>
    <row r="506" spans="1:32" ht="13.5" customHeight="1" x14ac:dyDescent="0.25">
      <c r="A506" s="14">
        <v>45721</v>
      </c>
      <c r="B506" s="14" t="s">
        <v>46</v>
      </c>
      <c r="C506" s="15">
        <v>6</v>
      </c>
      <c r="D506" s="16">
        <v>3</v>
      </c>
      <c r="E506" s="16"/>
      <c r="F506" s="17"/>
      <c r="G506" s="21"/>
      <c r="H506" s="21"/>
      <c r="I506" s="4">
        <v>3</v>
      </c>
      <c r="J506" s="4">
        <v>0.05</v>
      </c>
      <c r="K506" s="4"/>
      <c r="L506" s="16"/>
      <c r="M506" s="4"/>
      <c r="N506" s="4"/>
      <c r="O506" s="4"/>
      <c r="P506" s="4"/>
      <c r="Q506" s="4"/>
      <c r="R506" s="4"/>
      <c r="S506" s="4">
        <v>0</v>
      </c>
      <c r="T506" s="4">
        <v>0</v>
      </c>
      <c r="U506" s="4">
        <v>0.05</v>
      </c>
      <c r="V506" s="4">
        <v>11.95</v>
      </c>
      <c r="W506" s="4">
        <v>12</v>
      </c>
      <c r="X506" s="4">
        <v>0</v>
      </c>
      <c r="Y506" s="4"/>
      <c r="Z506" s="4">
        <v>528.5</v>
      </c>
      <c r="AA506" s="4">
        <v>550</v>
      </c>
      <c r="AB506" s="18"/>
      <c r="AC506" s="18">
        <v>10</v>
      </c>
      <c r="AD506" s="28"/>
      <c r="AE506" s="26"/>
      <c r="AF506" s="28"/>
    </row>
    <row r="507" spans="1:32" ht="13.5" customHeight="1" x14ac:dyDescent="0.25">
      <c r="A507" s="14">
        <v>45721</v>
      </c>
      <c r="B507" s="14" t="s">
        <v>47</v>
      </c>
      <c r="C507" s="15">
        <v>6</v>
      </c>
      <c r="D507" s="16"/>
      <c r="E507" s="16"/>
      <c r="F507" s="17"/>
      <c r="G507" s="21"/>
      <c r="H507" s="21"/>
      <c r="I507" s="4">
        <v>0</v>
      </c>
      <c r="J507" s="4">
        <v>0</v>
      </c>
      <c r="K507" s="4"/>
      <c r="L507" s="16"/>
      <c r="M507" s="4"/>
      <c r="N507" s="4"/>
      <c r="O507" s="4"/>
      <c r="P507" s="4"/>
      <c r="Q507" s="4"/>
      <c r="R507" s="4"/>
      <c r="S507" s="4">
        <v>0</v>
      </c>
      <c r="T507" s="4">
        <v>0</v>
      </c>
      <c r="U507" s="4">
        <v>0</v>
      </c>
      <c r="V507" s="4">
        <v>12</v>
      </c>
      <c r="W507" s="4">
        <v>12</v>
      </c>
      <c r="X507" s="4">
        <v>0</v>
      </c>
      <c r="Y507" s="4"/>
      <c r="Z507" s="4">
        <v>723.80000000000007</v>
      </c>
      <c r="AA507" s="4">
        <v>750</v>
      </c>
      <c r="AB507" s="18"/>
      <c r="AC507" s="18">
        <v>10</v>
      </c>
      <c r="AD507" s="28"/>
      <c r="AE507" s="26"/>
      <c r="AF507" s="28"/>
    </row>
    <row r="508" spans="1:32" ht="13.5" customHeight="1" x14ac:dyDescent="0.25">
      <c r="A508" s="14">
        <v>45721</v>
      </c>
      <c r="B508" s="14" t="s">
        <v>46</v>
      </c>
      <c r="C508" s="15">
        <v>7</v>
      </c>
      <c r="D508" s="16">
        <v>2</v>
      </c>
      <c r="E508" s="16"/>
      <c r="F508" s="17"/>
      <c r="G508" s="21"/>
      <c r="H508" s="21"/>
      <c r="I508" s="4">
        <v>2</v>
      </c>
      <c r="J508" s="4">
        <v>3.3333333333333333E-2</v>
      </c>
      <c r="K508" s="4"/>
      <c r="L508" s="16"/>
      <c r="M508" s="4"/>
      <c r="N508" s="4"/>
      <c r="O508" s="4"/>
      <c r="P508" s="4"/>
      <c r="Q508" s="4"/>
      <c r="R508" s="4"/>
      <c r="S508" s="4">
        <v>0</v>
      </c>
      <c r="T508" s="4">
        <v>0</v>
      </c>
      <c r="U508" s="4">
        <v>3.3333333333333333E-2</v>
      </c>
      <c r="V508" s="4">
        <v>11.966666666666667</v>
      </c>
      <c r="W508" s="4">
        <v>12</v>
      </c>
      <c r="X508" s="4">
        <v>0</v>
      </c>
      <c r="Y508" s="4"/>
      <c r="Z508" s="4">
        <v>357.34</v>
      </c>
      <c r="AA508" s="4">
        <v>350</v>
      </c>
      <c r="AB508" s="18"/>
      <c r="AC508" s="18">
        <v>10</v>
      </c>
      <c r="AD508" s="28"/>
      <c r="AE508" s="26"/>
      <c r="AF508" s="28"/>
    </row>
    <row r="509" spans="1:32" ht="13.5" customHeight="1" x14ac:dyDescent="0.25">
      <c r="A509" s="14">
        <v>45721</v>
      </c>
      <c r="B509" s="14" t="s">
        <v>47</v>
      </c>
      <c r="C509" s="15">
        <v>7</v>
      </c>
      <c r="D509" s="16">
        <v>2</v>
      </c>
      <c r="E509" s="16"/>
      <c r="F509" s="17"/>
      <c r="G509" s="21"/>
      <c r="H509" s="21"/>
      <c r="I509" s="4">
        <v>2</v>
      </c>
      <c r="J509" s="4">
        <v>3.3333333333333333E-2</v>
      </c>
      <c r="K509" s="4"/>
      <c r="L509" s="16"/>
      <c r="M509" s="4"/>
      <c r="N509" s="4"/>
      <c r="O509" s="4"/>
      <c r="P509" s="4"/>
      <c r="Q509" s="4"/>
      <c r="R509" s="4"/>
      <c r="S509" s="4">
        <v>0</v>
      </c>
      <c r="T509" s="4">
        <v>0</v>
      </c>
      <c r="U509" s="4">
        <v>3.3333333333333333E-2</v>
      </c>
      <c r="V509" s="4">
        <v>11.966666666666667</v>
      </c>
      <c r="W509" s="4">
        <v>12</v>
      </c>
      <c r="X509" s="4">
        <v>0</v>
      </c>
      <c r="Y509" s="4"/>
      <c r="Z509" s="4">
        <v>280.08999999999997</v>
      </c>
      <c r="AA509" s="4">
        <v>300</v>
      </c>
      <c r="AB509" s="18"/>
      <c r="AC509" s="18">
        <v>10</v>
      </c>
      <c r="AD509" s="28"/>
      <c r="AE509" s="26"/>
      <c r="AF509" s="28"/>
    </row>
    <row r="510" spans="1:32" ht="13.5" customHeight="1" x14ac:dyDescent="0.25">
      <c r="A510" s="14">
        <v>45722</v>
      </c>
      <c r="B510" s="14" t="s">
        <v>46</v>
      </c>
      <c r="C510" s="15">
        <v>1</v>
      </c>
      <c r="D510" s="16"/>
      <c r="E510" s="16"/>
      <c r="F510" s="17"/>
      <c r="G510" s="21"/>
      <c r="H510" s="21"/>
      <c r="I510" s="4">
        <v>0</v>
      </c>
      <c r="J510" s="4">
        <v>0</v>
      </c>
      <c r="K510" s="4"/>
      <c r="L510" s="16"/>
      <c r="M510" s="4"/>
      <c r="N510" s="4"/>
      <c r="O510" s="4"/>
      <c r="P510" s="4"/>
      <c r="Q510" s="4"/>
      <c r="R510" s="4"/>
      <c r="S510" s="4">
        <v>0</v>
      </c>
      <c r="T510" s="4">
        <v>0</v>
      </c>
      <c r="U510" s="4">
        <v>0</v>
      </c>
      <c r="V510" s="4">
        <v>12</v>
      </c>
      <c r="W510" s="4">
        <v>12</v>
      </c>
      <c r="X510" s="4">
        <v>0</v>
      </c>
      <c r="Y510" s="4">
        <v>1929</v>
      </c>
      <c r="Z510" s="4">
        <v>178.10000000000002</v>
      </c>
      <c r="AA510" s="4">
        <v>200</v>
      </c>
      <c r="AB510" s="18">
        <v>372</v>
      </c>
      <c r="AC510" s="18">
        <v>10</v>
      </c>
      <c r="AD510" s="28"/>
      <c r="AE510" s="26"/>
      <c r="AF510" s="28"/>
    </row>
    <row r="511" spans="1:32" ht="13.5" customHeight="1" x14ac:dyDescent="0.25">
      <c r="A511" s="14">
        <v>45722</v>
      </c>
      <c r="B511" s="14" t="s">
        <v>47</v>
      </c>
      <c r="C511" s="15">
        <v>1</v>
      </c>
      <c r="D511" s="16"/>
      <c r="E511" s="16"/>
      <c r="F511" s="17"/>
      <c r="G511" s="21"/>
      <c r="H511" s="21"/>
      <c r="I511" s="4">
        <v>0</v>
      </c>
      <c r="J511" s="4">
        <v>0</v>
      </c>
      <c r="K511" s="4"/>
      <c r="L511" s="16"/>
      <c r="M511" s="4"/>
      <c r="N511" s="4"/>
      <c r="O511" s="4"/>
      <c r="P511" s="4"/>
      <c r="Q511" s="4"/>
      <c r="R511" s="4"/>
      <c r="S511" s="4">
        <v>0</v>
      </c>
      <c r="T511" s="4">
        <v>0</v>
      </c>
      <c r="U511" s="4">
        <v>0</v>
      </c>
      <c r="V511" s="4">
        <v>12</v>
      </c>
      <c r="W511" s="4">
        <v>12</v>
      </c>
      <c r="X511" s="4">
        <v>0</v>
      </c>
      <c r="Y511" s="4"/>
      <c r="Z511" s="4">
        <v>195.6</v>
      </c>
      <c r="AA511" s="4">
        <v>250</v>
      </c>
      <c r="AB511" s="18"/>
      <c r="AC511" s="18">
        <v>10</v>
      </c>
      <c r="AD511" s="28"/>
      <c r="AE511" s="26"/>
      <c r="AF511" s="28"/>
    </row>
    <row r="512" spans="1:32" ht="13.5" customHeight="1" x14ac:dyDescent="0.25">
      <c r="A512" s="14">
        <v>45722</v>
      </c>
      <c r="B512" s="14" t="s">
        <v>46</v>
      </c>
      <c r="C512" s="15">
        <v>3</v>
      </c>
      <c r="D512" s="16">
        <v>25</v>
      </c>
      <c r="E512" s="16"/>
      <c r="F512" s="17"/>
      <c r="G512" s="21"/>
      <c r="H512" s="21"/>
      <c r="I512" s="4">
        <v>25</v>
      </c>
      <c r="J512" s="4">
        <v>0.41666666666666669</v>
      </c>
      <c r="K512" s="4"/>
      <c r="L512" s="16"/>
      <c r="M512" s="4"/>
      <c r="N512" s="4"/>
      <c r="O512" s="4"/>
      <c r="P512" s="4"/>
      <c r="Q512" s="4"/>
      <c r="R512" s="4"/>
      <c r="S512" s="4">
        <v>0</v>
      </c>
      <c r="T512" s="4">
        <v>0</v>
      </c>
      <c r="U512" s="4">
        <v>0.41666666666666669</v>
      </c>
      <c r="V512" s="4">
        <v>11.583333333333334</v>
      </c>
      <c r="W512" s="4">
        <v>12</v>
      </c>
      <c r="X512" s="4">
        <v>56</v>
      </c>
      <c r="Y512" s="4"/>
      <c r="Z512" s="4">
        <v>435.5</v>
      </c>
      <c r="AA512" s="4">
        <v>500</v>
      </c>
      <c r="AB512" s="18"/>
      <c r="AC512" s="18">
        <v>10</v>
      </c>
      <c r="AD512" s="28"/>
      <c r="AE512" s="26"/>
      <c r="AF512" s="28"/>
    </row>
    <row r="513" spans="1:32" ht="13.5" customHeight="1" x14ac:dyDescent="0.25">
      <c r="A513" s="14">
        <v>45722</v>
      </c>
      <c r="B513" s="14" t="s">
        <v>47</v>
      </c>
      <c r="C513" s="15">
        <v>3</v>
      </c>
      <c r="D513" s="16">
        <v>6</v>
      </c>
      <c r="E513" s="16"/>
      <c r="F513" s="17"/>
      <c r="G513" s="21"/>
      <c r="H513" s="21"/>
      <c r="I513" s="4">
        <v>6</v>
      </c>
      <c r="J513" s="4">
        <v>0.1</v>
      </c>
      <c r="K513" s="4"/>
      <c r="L513" s="16"/>
      <c r="M513" s="4"/>
      <c r="N513" s="4"/>
      <c r="O513" s="4"/>
      <c r="P513" s="4"/>
      <c r="Q513" s="4"/>
      <c r="R513" s="4"/>
      <c r="S513" s="4">
        <v>0</v>
      </c>
      <c r="T513" s="4">
        <v>0</v>
      </c>
      <c r="U513" s="4">
        <v>0.1</v>
      </c>
      <c r="V513" s="4">
        <v>11.9</v>
      </c>
      <c r="W513" s="4">
        <v>12</v>
      </c>
      <c r="X513" s="4">
        <v>0</v>
      </c>
      <c r="Y513" s="4"/>
      <c r="Z513" s="4">
        <v>439.40000000000003</v>
      </c>
      <c r="AA513" s="4">
        <v>450</v>
      </c>
      <c r="AB513" s="18"/>
      <c r="AC513" s="18">
        <v>10</v>
      </c>
      <c r="AD513" s="28"/>
      <c r="AE513" s="26"/>
      <c r="AF513" s="28"/>
    </row>
    <row r="514" spans="1:32" ht="13.5" customHeight="1" x14ac:dyDescent="0.25">
      <c r="A514" s="14">
        <v>45722</v>
      </c>
      <c r="B514" s="14" t="s">
        <v>46</v>
      </c>
      <c r="C514" s="15">
        <v>6</v>
      </c>
      <c r="D514" s="16">
        <v>15</v>
      </c>
      <c r="E514" s="16"/>
      <c r="F514" s="17"/>
      <c r="G514" s="21"/>
      <c r="H514" s="21"/>
      <c r="I514" s="4">
        <v>15</v>
      </c>
      <c r="J514" s="4">
        <v>0.25</v>
      </c>
      <c r="K514" s="4"/>
      <c r="L514" s="16"/>
      <c r="M514" s="4"/>
      <c r="N514" s="4">
        <v>15</v>
      </c>
      <c r="O514" s="4"/>
      <c r="P514" s="4"/>
      <c r="Q514" s="4"/>
      <c r="R514" s="4"/>
      <c r="S514" s="4">
        <v>15</v>
      </c>
      <c r="T514" s="4">
        <v>0.25</v>
      </c>
      <c r="U514" s="4">
        <v>0.5</v>
      </c>
      <c r="V514" s="4">
        <v>11.5</v>
      </c>
      <c r="W514" s="4">
        <v>12</v>
      </c>
      <c r="X514" s="4">
        <v>0</v>
      </c>
      <c r="Y514" s="4"/>
      <c r="Z514" s="4">
        <v>525.5</v>
      </c>
      <c r="AA514" s="4">
        <v>550</v>
      </c>
      <c r="AB514" s="18"/>
      <c r="AC514" s="18">
        <v>10</v>
      </c>
      <c r="AD514" s="28"/>
      <c r="AE514" s="26"/>
      <c r="AF514" s="28"/>
    </row>
    <row r="515" spans="1:32" ht="13.5" customHeight="1" x14ac:dyDescent="0.25">
      <c r="A515" s="14">
        <v>45722</v>
      </c>
      <c r="B515" s="14" t="s">
        <v>47</v>
      </c>
      <c r="C515" s="15">
        <v>6</v>
      </c>
      <c r="D515" s="16"/>
      <c r="E515" s="16"/>
      <c r="F515" s="17"/>
      <c r="G515" s="21"/>
      <c r="H515" s="21"/>
      <c r="I515" s="4">
        <v>0</v>
      </c>
      <c r="J515" s="4">
        <v>0</v>
      </c>
      <c r="K515" s="4"/>
      <c r="L515" s="16"/>
      <c r="M515" s="4"/>
      <c r="N515" s="4"/>
      <c r="O515" s="4"/>
      <c r="P515" s="4"/>
      <c r="Q515" s="4"/>
      <c r="R515" s="4"/>
      <c r="S515" s="4">
        <v>0</v>
      </c>
      <c r="T515" s="4">
        <v>0</v>
      </c>
      <c r="U515" s="4">
        <v>0</v>
      </c>
      <c r="V515" s="4">
        <v>12</v>
      </c>
      <c r="W515" s="4">
        <v>12</v>
      </c>
      <c r="X515" s="4">
        <v>60</v>
      </c>
      <c r="Y515" s="4"/>
      <c r="Z515" s="4">
        <v>1165.1999999999998</v>
      </c>
      <c r="AA515" s="4">
        <v>1300</v>
      </c>
      <c r="AB515" s="18"/>
      <c r="AC515" s="18">
        <v>10</v>
      </c>
      <c r="AD515" s="28"/>
      <c r="AE515" s="26"/>
      <c r="AF515" s="28"/>
    </row>
    <row r="516" spans="1:32" ht="13.5" customHeight="1" x14ac:dyDescent="0.25">
      <c r="A516" s="14">
        <v>45722</v>
      </c>
      <c r="B516" s="14" t="s">
        <v>46</v>
      </c>
      <c r="C516" s="15">
        <v>7</v>
      </c>
      <c r="D516" s="16">
        <v>6</v>
      </c>
      <c r="E516" s="16"/>
      <c r="F516" s="17"/>
      <c r="G516" s="21"/>
      <c r="H516" s="21"/>
      <c r="I516" s="4">
        <v>6</v>
      </c>
      <c r="J516" s="4">
        <v>0.1</v>
      </c>
      <c r="K516" s="4"/>
      <c r="L516" s="16"/>
      <c r="M516" s="4"/>
      <c r="N516" s="4"/>
      <c r="O516" s="4"/>
      <c r="P516" s="4"/>
      <c r="Q516" s="4"/>
      <c r="R516" s="4"/>
      <c r="S516" s="4">
        <v>0</v>
      </c>
      <c r="T516" s="4">
        <v>0</v>
      </c>
      <c r="U516" s="4">
        <v>0.1</v>
      </c>
      <c r="V516" s="4">
        <v>11.9</v>
      </c>
      <c r="W516" s="4">
        <v>12</v>
      </c>
      <c r="X516" s="4">
        <v>0</v>
      </c>
      <c r="Y516" s="4"/>
      <c r="Z516" s="4">
        <v>289.14999999999998</v>
      </c>
      <c r="AA516" s="4">
        <v>300</v>
      </c>
      <c r="AB516" s="18"/>
      <c r="AC516" s="18">
        <v>10</v>
      </c>
      <c r="AD516" s="28"/>
      <c r="AE516" s="26"/>
      <c r="AF516" s="28"/>
    </row>
    <row r="517" spans="1:32" ht="13.5" customHeight="1" x14ac:dyDescent="0.25">
      <c r="A517" s="14">
        <v>45722</v>
      </c>
      <c r="B517" s="14" t="s">
        <v>47</v>
      </c>
      <c r="C517" s="15">
        <v>7</v>
      </c>
      <c r="D517" s="16"/>
      <c r="E517" s="16"/>
      <c r="F517" s="17"/>
      <c r="G517" s="21"/>
      <c r="H517" s="21"/>
      <c r="I517" s="4">
        <v>0</v>
      </c>
      <c r="J517" s="4">
        <v>0</v>
      </c>
      <c r="K517" s="4"/>
      <c r="L517" s="16"/>
      <c r="M517" s="4"/>
      <c r="N517" s="4"/>
      <c r="O517" s="4"/>
      <c r="P517" s="4">
        <v>240</v>
      </c>
      <c r="Q517" s="4"/>
      <c r="R517" s="4"/>
      <c r="S517" s="4">
        <v>240</v>
      </c>
      <c r="T517" s="4">
        <v>4</v>
      </c>
      <c r="U517" s="4">
        <v>4</v>
      </c>
      <c r="V517" s="4">
        <v>8</v>
      </c>
      <c r="W517" s="4">
        <v>12</v>
      </c>
      <c r="X517" s="4">
        <v>0</v>
      </c>
      <c r="Y517" s="4"/>
      <c r="Z517" s="4">
        <v>350.5</v>
      </c>
      <c r="AA517" s="4">
        <v>350</v>
      </c>
      <c r="AB517" s="18"/>
      <c r="AC517" s="18">
        <v>10</v>
      </c>
      <c r="AD517" s="28"/>
      <c r="AE517" s="26"/>
      <c r="AF517" s="28"/>
    </row>
    <row r="518" spans="1:32" ht="13.5" customHeight="1" x14ac:dyDescent="0.25">
      <c r="A518" s="14">
        <v>45723</v>
      </c>
      <c r="B518" s="14" t="s">
        <v>46</v>
      </c>
      <c r="C518" s="15">
        <v>1</v>
      </c>
      <c r="D518" s="16"/>
      <c r="E518" s="16"/>
      <c r="F518" s="17"/>
      <c r="G518" s="21"/>
      <c r="H518" s="21"/>
      <c r="I518" s="4">
        <v>0</v>
      </c>
      <c r="J518" s="4">
        <v>0</v>
      </c>
      <c r="K518" s="4"/>
      <c r="L518" s="16"/>
      <c r="M518" s="4"/>
      <c r="N518" s="4"/>
      <c r="O518" s="4"/>
      <c r="P518" s="4"/>
      <c r="Q518" s="4"/>
      <c r="R518" s="4"/>
      <c r="S518" s="4">
        <v>0</v>
      </c>
      <c r="T518" s="4">
        <v>0</v>
      </c>
      <c r="U518" s="4">
        <v>0</v>
      </c>
      <c r="V518" s="4">
        <v>12</v>
      </c>
      <c r="W518" s="4">
        <v>12</v>
      </c>
      <c r="X518" s="4">
        <v>0</v>
      </c>
      <c r="Y518" s="4">
        <v>1865</v>
      </c>
      <c r="Z518" s="4">
        <v>175.4</v>
      </c>
      <c r="AA518" s="4">
        <v>200</v>
      </c>
      <c r="AB518" s="18">
        <v>372</v>
      </c>
      <c r="AC518" s="18">
        <v>10</v>
      </c>
      <c r="AD518" s="28"/>
      <c r="AE518" s="26"/>
      <c r="AF518" s="28"/>
    </row>
    <row r="519" spans="1:32" ht="13.5" customHeight="1" x14ac:dyDescent="0.25">
      <c r="A519" s="14">
        <v>45723</v>
      </c>
      <c r="B519" s="14" t="s">
        <v>47</v>
      </c>
      <c r="C519" s="15">
        <v>1</v>
      </c>
      <c r="D519" s="16"/>
      <c r="E519" s="16"/>
      <c r="F519" s="17"/>
      <c r="G519" s="21"/>
      <c r="H519" s="21"/>
      <c r="I519" s="4">
        <v>0</v>
      </c>
      <c r="J519" s="4">
        <v>0</v>
      </c>
      <c r="K519" s="4"/>
      <c r="L519" s="16"/>
      <c r="M519" s="4"/>
      <c r="N519" s="4"/>
      <c r="O519" s="4"/>
      <c r="P519" s="4"/>
      <c r="Q519" s="4"/>
      <c r="R519" s="4"/>
      <c r="S519" s="4">
        <v>0</v>
      </c>
      <c r="T519" s="4">
        <v>0</v>
      </c>
      <c r="U519" s="4">
        <v>0</v>
      </c>
      <c r="V519" s="4">
        <v>12</v>
      </c>
      <c r="W519" s="4">
        <v>12</v>
      </c>
      <c r="X519" s="4">
        <v>0</v>
      </c>
      <c r="Y519" s="4"/>
      <c r="Z519" s="4">
        <v>177.1</v>
      </c>
      <c r="AA519" s="4">
        <v>200</v>
      </c>
      <c r="AB519" s="18"/>
      <c r="AC519" s="18">
        <v>10</v>
      </c>
      <c r="AD519" s="28"/>
      <c r="AE519" s="26"/>
      <c r="AF519" s="28"/>
    </row>
    <row r="520" spans="1:32" ht="13.5" customHeight="1" x14ac:dyDescent="0.25">
      <c r="A520" s="14">
        <v>45723</v>
      </c>
      <c r="B520" s="14" t="s">
        <v>46</v>
      </c>
      <c r="C520" s="15">
        <v>3</v>
      </c>
      <c r="D520" s="16">
        <v>9</v>
      </c>
      <c r="E520" s="16"/>
      <c r="F520" s="17"/>
      <c r="G520" s="21"/>
      <c r="H520" s="21"/>
      <c r="I520" s="4">
        <v>9</v>
      </c>
      <c r="J520" s="4">
        <v>0.15</v>
      </c>
      <c r="K520" s="4"/>
      <c r="L520" s="16"/>
      <c r="M520" s="4"/>
      <c r="N520" s="4"/>
      <c r="O520" s="4"/>
      <c r="P520" s="4"/>
      <c r="Q520" s="4"/>
      <c r="R520" s="4"/>
      <c r="S520" s="4">
        <v>0</v>
      </c>
      <c r="T520" s="4">
        <v>0</v>
      </c>
      <c r="U520" s="4">
        <v>0.15</v>
      </c>
      <c r="V520" s="4">
        <v>11.85</v>
      </c>
      <c r="W520" s="4">
        <v>12</v>
      </c>
      <c r="X520" s="4">
        <v>0</v>
      </c>
      <c r="Y520" s="4"/>
      <c r="Z520" s="4">
        <v>455.8</v>
      </c>
      <c r="AA520" s="4">
        <v>450</v>
      </c>
      <c r="AB520" s="18"/>
      <c r="AC520" s="18">
        <v>10</v>
      </c>
      <c r="AD520" s="28"/>
      <c r="AE520" s="26"/>
      <c r="AF520" s="28"/>
    </row>
    <row r="521" spans="1:32" ht="13.5" customHeight="1" x14ac:dyDescent="0.25">
      <c r="A521" s="14">
        <v>45723</v>
      </c>
      <c r="B521" s="14" t="s">
        <v>47</v>
      </c>
      <c r="C521" s="15">
        <v>3</v>
      </c>
      <c r="D521" s="16"/>
      <c r="E521" s="16"/>
      <c r="F521" s="17"/>
      <c r="G521" s="21"/>
      <c r="H521" s="21"/>
      <c r="I521" s="4">
        <v>0</v>
      </c>
      <c r="J521" s="4">
        <v>0</v>
      </c>
      <c r="K521" s="4"/>
      <c r="L521" s="16"/>
      <c r="M521" s="4"/>
      <c r="N521" s="4"/>
      <c r="O521" s="4"/>
      <c r="P521" s="4"/>
      <c r="Q521" s="4"/>
      <c r="R521" s="4"/>
      <c r="S521" s="4">
        <v>0</v>
      </c>
      <c r="T521" s="4">
        <v>0</v>
      </c>
      <c r="U521" s="4">
        <v>0</v>
      </c>
      <c r="V521" s="4">
        <v>12</v>
      </c>
      <c r="W521" s="4">
        <v>12</v>
      </c>
      <c r="X521" s="4">
        <v>0</v>
      </c>
      <c r="Y521" s="4"/>
      <c r="Z521" s="4">
        <v>427.1</v>
      </c>
      <c r="AA521" s="4">
        <v>450</v>
      </c>
      <c r="AB521" s="18"/>
      <c r="AC521" s="18">
        <v>10</v>
      </c>
      <c r="AD521" s="28"/>
      <c r="AE521" s="26"/>
      <c r="AF521" s="28"/>
    </row>
    <row r="522" spans="1:32" ht="13.5" customHeight="1" x14ac:dyDescent="0.25">
      <c r="A522" s="14">
        <v>45723</v>
      </c>
      <c r="B522" s="14" t="s">
        <v>46</v>
      </c>
      <c r="C522" s="15">
        <v>6</v>
      </c>
      <c r="D522" s="16">
        <v>5</v>
      </c>
      <c r="E522" s="16"/>
      <c r="F522" s="17"/>
      <c r="G522" s="21"/>
      <c r="H522" s="21"/>
      <c r="I522" s="4">
        <v>5</v>
      </c>
      <c r="J522" s="4">
        <v>8.3333333333333329E-2</v>
      </c>
      <c r="K522" s="4"/>
      <c r="L522" s="16"/>
      <c r="M522" s="4"/>
      <c r="N522" s="4"/>
      <c r="O522" s="4">
        <v>20</v>
      </c>
      <c r="P522" s="4"/>
      <c r="Q522" s="4">
        <v>90</v>
      </c>
      <c r="R522" s="4"/>
      <c r="S522" s="4">
        <v>110</v>
      </c>
      <c r="T522" s="4">
        <v>1.8333333333333333</v>
      </c>
      <c r="U522" s="4">
        <v>1.9166666666666665</v>
      </c>
      <c r="V522" s="4">
        <v>10.083333333333334</v>
      </c>
      <c r="W522" s="4">
        <v>12</v>
      </c>
      <c r="X522" s="4">
        <v>60</v>
      </c>
      <c r="Y522" s="4"/>
      <c r="Z522" s="4">
        <v>476.20000000000005</v>
      </c>
      <c r="AA522" s="4">
        <v>500</v>
      </c>
      <c r="AB522" s="18"/>
      <c r="AC522" s="18">
        <v>10</v>
      </c>
      <c r="AD522" s="28"/>
      <c r="AE522" s="26"/>
      <c r="AF522" s="28"/>
    </row>
    <row r="523" spans="1:32" ht="13.5" customHeight="1" x14ac:dyDescent="0.25">
      <c r="A523" s="14">
        <v>45723</v>
      </c>
      <c r="B523" s="14" t="s">
        <v>47</v>
      </c>
      <c r="C523" s="15">
        <v>6</v>
      </c>
      <c r="D523" s="16">
        <v>22</v>
      </c>
      <c r="E523" s="16"/>
      <c r="F523" s="17"/>
      <c r="G523" s="21"/>
      <c r="H523" s="21"/>
      <c r="I523" s="4">
        <v>22</v>
      </c>
      <c r="J523" s="4">
        <v>0.36666666666666664</v>
      </c>
      <c r="K523" s="4"/>
      <c r="L523" s="16"/>
      <c r="M523" s="4"/>
      <c r="N523" s="4"/>
      <c r="O523" s="4"/>
      <c r="P523" s="4"/>
      <c r="Q523" s="4"/>
      <c r="R523" s="4"/>
      <c r="S523" s="4">
        <v>0</v>
      </c>
      <c r="T523" s="4">
        <v>0</v>
      </c>
      <c r="U523" s="4">
        <v>0.36666666666666664</v>
      </c>
      <c r="V523" s="4">
        <v>11.633333333333333</v>
      </c>
      <c r="W523" s="4">
        <v>12</v>
      </c>
      <c r="X523" s="4">
        <v>66</v>
      </c>
      <c r="Y523" s="4"/>
      <c r="Z523" s="4">
        <v>603.1</v>
      </c>
      <c r="AA523" s="4">
        <v>600</v>
      </c>
      <c r="AB523" s="18"/>
      <c r="AC523" s="18">
        <v>10</v>
      </c>
      <c r="AD523" s="28"/>
      <c r="AE523" s="26"/>
      <c r="AF523" s="28"/>
    </row>
    <row r="524" spans="1:32" ht="13.5" customHeight="1" x14ac:dyDescent="0.25">
      <c r="A524" s="14">
        <v>45723</v>
      </c>
      <c r="B524" s="14" t="s">
        <v>46</v>
      </c>
      <c r="C524" s="15">
        <v>7</v>
      </c>
      <c r="D524" s="16">
        <v>6</v>
      </c>
      <c r="E524" s="16"/>
      <c r="F524" s="17"/>
      <c r="G524" s="21"/>
      <c r="H524" s="21"/>
      <c r="I524" s="4">
        <v>6</v>
      </c>
      <c r="J524" s="4">
        <v>0.1</v>
      </c>
      <c r="K524" s="4"/>
      <c r="L524" s="16"/>
      <c r="M524" s="4"/>
      <c r="N524" s="4"/>
      <c r="O524" s="4"/>
      <c r="P524" s="4"/>
      <c r="Q524" s="4"/>
      <c r="R524" s="4"/>
      <c r="S524" s="4">
        <v>0</v>
      </c>
      <c r="T524" s="4">
        <v>0</v>
      </c>
      <c r="U524" s="4">
        <v>0.1</v>
      </c>
      <c r="V524" s="4">
        <v>11.9</v>
      </c>
      <c r="W524" s="4">
        <v>12</v>
      </c>
      <c r="X524" s="4">
        <v>0</v>
      </c>
      <c r="Y524" s="4"/>
      <c r="Z524" s="4">
        <v>477.78000000000003</v>
      </c>
      <c r="AA524" s="4">
        <v>500</v>
      </c>
      <c r="AB524" s="18"/>
      <c r="AC524" s="18">
        <v>10</v>
      </c>
      <c r="AD524" s="28"/>
      <c r="AE524" s="26"/>
      <c r="AF524" s="28"/>
    </row>
    <row r="525" spans="1:32" ht="13.5" customHeight="1" x14ac:dyDescent="0.25">
      <c r="A525" s="14">
        <v>45723</v>
      </c>
      <c r="B525" s="14" t="s">
        <v>47</v>
      </c>
      <c r="C525" s="15">
        <v>7</v>
      </c>
      <c r="D525" s="16">
        <v>8</v>
      </c>
      <c r="E525" s="16"/>
      <c r="F525" s="17"/>
      <c r="G525" s="21"/>
      <c r="H525" s="21"/>
      <c r="I525" s="4">
        <v>8</v>
      </c>
      <c r="J525" s="4">
        <v>0.13333333333333333</v>
      </c>
      <c r="K525" s="4"/>
      <c r="L525" s="16"/>
      <c r="M525" s="4"/>
      <c r="N525" s="4"/>
      <c r="O525" s="4"/>
      <c r="P525" s="4"/>
      <c r="Q525" s="4"/>
      <c r="R525" s="4"/>
      <c r="S525" s="4">
        <v>0</v>
      </c>
      <c r="T525" s="4">
        <v>0</v>
      </c>
      <c r="U525" s="4">
        <v>0.13333333333333333</v>
      </c>
      <c r="V525" s="4">
        <v>11.866666666666667</v>
      </c>
      <c r="W525" s="4">
        <v>12</v>
      </c>
      <c r="X525" s="4">
        <v>10</v>
      </c>
      <c r="Y525" s="4"/>
      <c r="Z525" s="4">
        <v>443.59999999999997</v>
      </c>
      <c r="AA525" s="4">
        <v>450</v>
      </c>
      <c r="AB525" s="18"/>
      <c r="AC525" s="18">
        <v>10</v>
      </c>
      <c r="AD525" s="28"/>
      <c r="AE525" s="26"/>
      <c r="AF525" s="28"/>
    </row>
    <row r="526" spans="1:32" ht="13.5" customHeight="1" x14ac:dyDescent="0.25">
      <c r="A526" s="14">
        <v>45724</v>
      </c>
      <c r="B526" s="14" t="s">
        <v>46</v>
      </c>
      <c r="C526" s="15">
        <v>1</v>
      </c>
      <c r="D526" s="16"/>
      <c r="E526" s="16"/>
      <c r="F526" s="17"/>
      <c r="G526" s="21"/>
      <c r="H526" s="21"/>
      <c r="I526" s="4">
        <v>0</v>
      </c>
      <c r="J526" s="4">
        <v>0</v>
      </c>
      <c r="K526" s="4"/>
      <c r="L526" s="16"/>
      <c r="M526" s="4"/>
      <c r="N526" s="4"/>
      <c r="O526" s="4"/>
      <c r="P526" s="4"/>
      <c r="Q526" s="4"/>
      <c r="R526" s="4"/>
      <c r="S526" s="4">
        <v>0</v>
      </c>
      <c r="T526" s="4">
        <v>0</v>
      </c>
      <c r="U526" s="4">
        <v>0</v>
      </c>
      <c r="V526" s="4">
        <v>12</v>
      </c>
      <c r="W526" s="4">
        <v>12</v>
      </c>
      <c r="X526" s="4">
        <v>0</v>
      </c>
      <c r="Y526" s="4">
        <v>1615</v>
      </c>
      <c r="Z526" s="4">
        <v>178.39999999999998</v>
      </c>
      <c r="AA526" s="4">
        <v>200</v>
      </c>
      <c r="AB526" s="18">
        <v>372</v>
      </c>
      <c r="AC526" s="18">
        <v>10</v>
      </c>
      <c r="AD526" s="28"/>
      <c r="AE526" s="26"/>
      <c r="AF526" s="28"/>
    </row>
    <row r="527" spans="1:32" ht="13.5" customHeight="1" x14ac:dyDescent="0.25">
      <c r="A527" s="14">
        <v>45724</v>
      </c>
      <c r="B527" s="14" t="s">
        <v>47</v>
      </c>
      <c r="C527" s="15">
        <v>1</v>
      </c>
      <c r="D527" s="16"/>
      <c r="E527" s="16"/>
      <c r="F527" s="17"/>
      <c r="G527" s="21"/>
      <c r="H527" s="21"/>
      <c r="I527" s="4">
        <v>0</v>
      </c>
      <c r="J527" s="4">
        <v>0</v>
      </c>
      <c r="K527" s="4"/>
      <c r="L527" s="16"/>
      <c r="M527" s="4"/>
      <c r="N527" s="4"/>
      <c r="O527" s="4"/>
      <c r="P527" s="4"/>
      <c r="Q527" s="4"/>
      <c r="R527" s="4"/>
      <c r="S527" s="4">
        <v>0</v>
      </c>
      <c r="T527" s="4">
        <v>0</v>
      </c>
      <c r="U527" s="4">
        <v>0</v>
      </c>
      <c r="V527" s="4">
        <v>12</v>
      </c>
      <c r="W527" s="4">
        <v>12</v>
      </c>
      <c r="X527" s="4">
        <v>0</v>
      </c>
      <c r="Y527" s="4"/>
      <c r="Z527" s="4">
        <v>90.9</v>
      </c>
      <c r="AA527" s="4">
        <v>100</v>
      </c>
      <c r="AB527" s="18"/>
      <c r="AC527" s="18">
        <v>10</v>
      </c>
      <c r="AD527" s="28"/>
      <c r="AE527" s="26"/>
      <c r="AF527" s="28"/>
    </row>
    <row r="528" spans="1:32" ht="13.5" customHeight="1" x14ac:dyDescent="0.25">
      <c r="A528" s="14">
        <v>45724</v>
      </c>
      <c r="B528" s="14" t="s">
        <v>46</v>
      </c>
      <c r="C528" s="15">
        <v>3</v>
      </c>
      <c r="D528" s="16"/>
      <c r="E528" s="16"/>
      <c r="F528" s="17"/>
      <c r="G528" s="21"/>
      <c r="H528" s="21"/>
      <c r="I528" s="4">
        <v>0</v>
      </c>
      <c r="J528" s="4">
        <v>0</v>
      </c>
      <c r="K528" s="4"/>
      <c r="L528" s="16"/>
      <c r="M528" s="4"/>
      <c r="N528" s="4"/>
      <c r="O528" s="4"/>
      <c r="P528" s="4"/>
      <c r="Q528" s="4"/>
      <c r="R528" s="4"/>
      <c r="S528" s="4">
        <v>0</v>
      </c>
      <c r="T528" s="4">
        <v>0</v>
      </c>
      <c r="U528" s="4">
        <v>0</v>
      </c>
      <c r="V528" s="4">
        <v>12</v>
      </c>
      <c r="W528" s="4">
        <v>12</v>
      </c>
      <c r="X528" s="4">
        <v>0</v>
      </c>
      <c r="Y528" s="4"/>
      <c r="Z528" s="4">
        <v>415.20000000000005</v>
      </c>
      <c r="AA528" s="4">
        <v>400</v>
      </c>
      <c r="AB528" s="18"/>
      <c r="AC528" s="18">
        <v>10</v>
      </c>
      <c r="AD528" s="28"/>
      <c r="AE528" s="26"/>
      <c r="AF528" s="28"/>
    </row>
    <row r="529" spans="1:32" ht="13.5" customHeight="1" x14ac:dyDescent="0.25">
      <c r="A529" s="14">
        <v>45724</v>
      </c>
      <c r="B529" s="14" t="s">
        <v>47</v>
      </c>
      <c r="C529" s="15">
        <v>3</v>
      </c>
      <c r="D529" s="16"/>
      <c r="E529" s="16"/>
      <c r="F529" s="17"/>
      <c r="G529" s="21"/>
      <c r="H529" s="21"/>
      <c r="I529" s="4">
        <v>0</v>
      </c>
      <c r="J529" s="4">
        <v>0</v>
      </c>
      <c r="K529" s="4"/>
      <c r="L529" s="16"/>
      <c r="M529" s="4"/>
      <c r="N529" s="4"/>
      <c r="O529" s="4"/>
      <c r="P529" s="4"/>
      <c r="Q529" s="4"/>
      <c r="R529" s="4"/>
      <c r="S529" s="4">
        <v>0</v>
      </c>
      <c r="T529" s="4">
        <v>0</v>
      </c>
      <c r="U529" s="4">
        <v>0</v>
      </c>
      <c r="V529" s="4">
        <v>12</v>
      </c>
      <c r="W529" s="4">
        <v>12</v>
      </c>
      <c r="X529" s="4">
        <v>0</v>
      </c>
      <c r="Y529" s="4"/>
      <c r="Z529" s="4">
        <v>424.52000000000004</v>
      </c>
      <c r="AA529" s="4">
        <v>400</v>
      </c>
      <c r="AB529" s="18"/>
      <c r="AC529" s="18">
        <v>10</v>
      </c>
      <c r="AD529" s="28"/>
      <c r="AE529" s="26"/>
      <c r="AF529" s="28"/>
    </row>
    <row r="530" spans="1:32" ht="13.5" customHeight="1" x14ac:dyDescent="0.25">
      <c r="A530" s="14">
        <v>45724</v>
      </c>
      <c r="B530" s="14" t="s">
        <v>46</v>
      </c>
      <c r="C530" s="15">
        <v>6</v>
      </c>
      <c r="D530" s="16">
        <v>20</v>
      </c>
      <c r="E530" s="16"/>
      <c r="F530" s="17"/>
      <c r="G530" s="21"/>
      <c r="H530" s="21"/>
      <c r="I530" s="4">
        <v>20</v>
      </c>
      <c r="J530" s="4">
        <v>0.33333333333333331</v>
      </c>
      <c r="K530" s="4"/>
      <c r="L530" s="16"/>
      <c r="M530" s="4"/>
      <c r="N530" s="4"/>
      <c r="O530" s="4"/>
      <c r="P530" s="4"/>
      <c r="Q530" s="4"/>
      <c r="R530" s="4"/>
      <c r="S530" s="4">
        <v>0</v>
      </c>
      <c r="T530" s="4">
        <v>0</v>
      </c>
      <c r="U530" s="4">
        <v>0.33333333333333331</v>
      </c>
      <c r="V530" s="4">
        <v>11.666666666666666</v>
      </c>
      <c r="W530" s="4">
        <v>12</v>
      </c>
      <c r="X530" s="4">
        <v>26.4</v>
      </c>
      <c r="Y530" s="4"/>
      <c r="Z530" s="4">
        <v>679.9</v>
      </c>
      <c r="AA530" s="4">
        <v>700</v>
      </c>
      <c r="AB530" s="18"/>
      <c r="AC530" s="18">
        <v>10</v>
      </c>
      <c r="AD530" s="28"/>
      <c r="AE530" s="26"/>
      <c r="AF530" s="28"/>
    </row>
    <row r="531" spans="1:32" ht="13.5" customHeight="1" x14ac:dyDescent="0.25">
      <c r="A531" s="14">
        <v>45724</v>
      </c>
      <c r="B531" s="14" t="s">
        <v>47</v>
      </c>
      <c r="C531" s="15">
        <v>6</v>
      </c>
      <c r="D531" s="16"/>
      <c r="E531" s="16"/>
      <c r="F531" s="17"/>
      <c r="G531" s="21"/>
      <c r="H531" s="21"/>
      <c r="I531" s="4">
        <v>0</v>
      </c>
      <c r="J531" s="4">
        <v>0</v>
      </c>
      <c r="K531" s="4"/>
      <c r="L531" s="16"/>
      <c r="M531" s="4"/>
      <c r="N531" s="4"/>
      <c r="O531" s="4"/>
      <c r="P531" s="4"/>
      <c r="Q531" s="4"/>
      <c r="R531" s="4"/>
      <c r="S531" s="4">
        <v>0</v>
      </c>
      <c r="T531" s="4">
        <v>0</v>
      </c>
      <c r="U531" s="4">
        <v>0</v>
      </c>
      <c r="V531" s="4">
        <v>12</v>
      </c>
      <c r="W531" s="4">
        <v>12</v>
      </c>
      <c r="X531" s="4">
        <v>0</v>
      </c>
      <c r="Y531" s="4"/>
      <c r="Z531" s="4">
        <v>645.69999999999993</v>
      </c>
      <c r="AA531" s="4">
        <v>650</v>
      </c>
      <c r="AB531" s="18"/>
      <c r="AC531" s="18">
        <v>10</v>
      </c>
      <c r="AD531" s="28"/>
      <c r="AE531" s="26"/>
      <c r="AF531" s="28"/>
    </row>
    <row r="532" spans="1:32" ht="13.5" customHeight="1" x14ac:dyDescent="0.25">
      <c r="A532" s="14">
        <v>45724</v>
      </c>
      <c r="B532" s="14" t="s">
        <v>46</v>
      </c>
      <c r="C532" s="15">
        <v>7</v>
      </c>
      <c r="D532" s="16">
        <v>15</v>
      </c>
      <c r="E532" s="16"/>
      <c r="F532" s="17"/>
      <c r="G532" s="21"/>
      <c r="H532" s="21"/>
      <c r="I532" s="4">
        <v>15</v>
      </c>
      <c r="J532" s="4">
        <v>0.25</v>
      </c>
      <c r="K532" s="4"/>
      <c r="L532" s="16"/>
      <c r="M532" s="4"/>
      <c r="N532" s="4"/>
      <c r="O532" s="4"/>
      <c r="P532" s="4"/>
      <c r="Q532" s="4"/>
      <c r="R532" s="4"/>
      <c r="S532" s="4">
        <v>0</v>
      </c>
      <c r="T532" s="4">
        <v>0</v>
      </c>
      <c r="U532" s="4">
        <v>0.25</v>
      </c>
      <c r="V532" s="4">
        <v>11.75</v>
      </c>
      <c r="W532" s="4">
        <v>12</v>
      </c>
      <c r="X532" s="4">
        <v>10</v>
      </c>
      <c r="Y532" s="4"/>
      <c r="Z532" s="4">
        <v>420.78</v>
      </c>
      <c r="AA532" s="4">
        <v>450</v>
      </c>
      <c r="AB532" s="18"/>
      <c r="AC532" s="18">
        <v>10</v>
      </c>
      <c r="AD532" s="28"/>
      <c r="AE532" s="26"/>
      <c r="AF532" s="28"/>
    </row>
    <row r="533" spans="1:32" ht="13.5" customHeight="1" x14ac:dyDescent="0.25">
      <c r="A533" s="14">
        <v>45724</v>
      </c>
      <c r="B533" s="14" t="s">
        <v>47</v>
      </c>
      <c r="C533" s="15">
        <v>7</v>
      </c>
      <c r="D533" s="16">
        <v>9</v>
      </c>
      <c r="E533" s="16"/>
      <c r="F533" s="17"/>
      <c r="G533" s="21"/>
      <c r="H533" s="21"/>
      <c r="I533" s="4">
        <v>9</v>
      </c>
      <c r="J533" s="4">
        <v>0.15</v>
      </c>
      <c r="K533" s="4"/>
      <c r="L533" s="16"/>
      <c r="M533" s="4"/>
      <c r="N533" s="4"/>
      <c r="O533" s="4"/>
      <c r="P533" s="4"/>
      <c r="Q533" s="4"/>
      <c r="R533" s="4"/>
      <c r="S533" s="4">
        <v>0</v>
      </c>
      <c r="T533" s="4">
        <v>0</v>
      </c>
      <c r="U533" s="4">
        <v>0.15</v>
      </c>
      <c r="V533" s="4">
        <v>11.85</v>
      </c>
      <c r="W533" s="4">
        <v>12</v>
      </c>
      <c r="X533" s="4">
        <v>0</v>
      </c>
      <c r="Y533" s="4"/>
      <c r="Z533" s="4">
        <v>370.79999999999995</v>
      </c>
      <c r="AA533" s="4">
        <v>400</v>
      </c>
      <c r="AB533" s="18"/>
      <c r="AC533" s="18">
        <v>10</v>
      </c>
      <c r="AD533" s="28"/>
      <c r="AE533" s="26"/>
      <c r="AF533" s="28"/>
    </row>
    <row r="534" spans="1:32" ht="13.5" customHeight="1" x14ac:dyDescent="0.25">
      <c r="A534" s="14">
        <v>45726</v>
      </c>
      <c r="B534" s="14" t="s">
        <v>46</v>
      </c>
      <c r="C534" s="15">
        <v>1</v>
      </c>
      <c r="D534" s="16">
        <v>4</v>
      </c>
      <c r="E534" s="16"/>
      <c r="F534" s="17"/>
      <c r="G534" s="21">
        <v>180</v>
      </c>
      <c r="H534" s="21"/>
      <c r="I534" s="4">
        <v>184</v>
      </c>
      <c r="J534" s="4">
        <v>3.0666666666666669</v>
      </c>
      <c r="K534" s="4"/>
      <c r="L534" s="16"/>
      <c r="M534" s="4"/>
      <c r="N534" s="4"/>
      <c r="O534" s="4"/>
      <c r="P534" s="4"/>
      <c r="Q534" s="4"/>
      <c r="R534" s="4"/>
      <c r="S534" s="4">
        <v>0</v>
      </c>
      <c r="T534" s="4">
        <v>0</v>
      </c>
      <c r="U534" s="4">
        <v>3.0666666666666669</v>
      </c>
      <c r="V534" s="4">
        <v>8.9333333333333336</v>
      </c>
      <c r="W534" s="4">
        <v>12</v>
      </c>
      <c r="X534" s="4">
        <v>0</v>
      </c>
      <c r="Y534" s="4">
        <v>1618</v>
      </c>
      <c r="Z534" s="4">
        <v>130.79999999999998</v>
      </c>
      <c r="AA534" s="4">
        <v>200</v>
      </c>
      <c r="AB534" s="18">
        <v>372</v>
      </c>
      <c r="AC534" s="18">
        <v>11</v>
      </c>
      <c r="AD534" s="28"/>
      <c r="AE534" s="26"/>
      <c r="AF534" s="28"/>
    </row>
    <row r="535" spans="1:32" ht="13.5" customHeight="1" x14ac:dyDescent="0.25">
      <c r="A535" s="14">
        <v>45726</v>
      </c>
      <c r="B535" s="14" t="s">
        <v>47</v>
      </c>
      <c r="C535" s="15">
        <v>1</v>
      </c>
      <c r="D535" s="16">
        <v>3</v>
      </c>
      <c r="E535" s="16"/>
      <c r="F535" s="17"/>
      <c r="G535" s="21"/>
      <c r="H535" s="21"/>
      <c r="I535" s="4">
        <v>3</v>
      </c>
      <c r="J535" s="4">
        <v>0.05</v>
      </c>
      <c r="K535" s="4"/>
      <c r="L535" s="16"/>
      <c r="M535" s="4"/>
      <c r="N535" s="4"/>
      <c r="O535" s="4"/>
      <c r="P535" s="4"/>
      <c r="Q535" s="4"/>
      <c r="R535" s="4"/>
      <c r="S535" s="4">
        <v>0</v>
      </c>
      <c r="T535" s="4">
        <v>0</v>
      </c>
      <c r="U535" s="4">
        <v>0.05</v>
      </c>
      <c r="V535" s="4">
        <v>11.95</v>
      </c>
      <c r="W535" s="4">
        <v>12</v>
      </c>
      <c r="X535" s="4">
        <v>5</v>
      </c>
      <c r="Y535" s="4"/>
      <c r="Z535" s="4">
        <v>186.39999999999998</v>
      </c>
      <c r="AA535" s="4">
        <v>200</v>
      </c>
      <c r="AB535" s="18"/>
      <c r="AC535" s="18">
        <v>11</v>
      </c>
      <c r="AD535" s="28"/>
      <c r="AE535" s="26"/>
      <c r="AF535" s="28"/>
    </row>
    <row r="536" spans="1:32" ht="13.5" customHeight="1" x14ac:dyDescent="0.25">
      <c r="A536" s="14">
        <v>45726</v>
      </c>
      <c r="B536" s="14" t="s">
        <v>46</v>
      </c>
      <c r="C536" s="15">
        <v>4</v>
      </c>
      <c r="D536" s="16">
        <v>5</v>
      </c>
      <c r="E536" s="16"/>
      <c r="F536" s="17"/>
      <c r="G536" s="21">
        <v>180</v>
      </c>
      <c r="H536" s="21"/>
      <c r="I536" s="4">
        <v>185</v>
      </c>
      <c r="J536" s="4">
        <v>3.0833333333333335</v>
      </c>
      <c r="K536" s="4"/>
      <c r="L536" s="16"/>
      <c r="M536" s="4"/>
      <c r="N536" s="4"/>
      <c r="O536" s="4"/>
      <c r="P536" s="4"/>
      <c r="Q536" s="4"/>
      <c r="R536" s="4"/>
      <c r="S536" s="4">
        <v>0</v>
      </c>
      <c r="T536" s="4">
        <v>0</v>
      </c>
      <c r="U536" s="4">
        <v>3.0833333333333335</v>
      </c>
      <c r="V536" s="4">
        <v>8.9166666666666661</v>
      </c>
      <c r="W536" s="4">
        <v>12</v>
      </c>
      <c r="X536" s="4">
        <v>0</v>
      </c>
      <c r="Y536" s="4"/>
      <c r="Z536" s="4">
        <v>301.99999999999994</v>
      </c>
      <c r="AA536" s="4">
        <v>300</v>
      </c>
      <c r="AB536" s="18"/>
      <c r="AC536" s="18">
        <v>11</v>
      </c>
      <c r="AD536" s="28"/>
      <c r="AE536" s="26"/>
      <c r="AF536" s="28"/>
    </row>
    <row r="537" spans="1:32" ht="13.5" customHeight="1" x14ac:dyDescent="0.25">
      <c r="A537" s="14">
        <v>45726</v>
      </c>
      <c r="B537" s="14" t="s">
        <v>47</v>
      </c>
      <c r="C537" s="15">
        <v>4</v>
      </c>
      <c r="D537" s="16"/>
      <c r="E537" s="16"/>
      <c r="F537" s="17"/>
      <c r="G537" s="21"/>
      <c r="H537" s="21"/>
      <c r="I537" s="4">
        <v>0</v>
      </c>
      <c r="J537" s="4">
        <v>0</v>
      </c>
      <c r="K537" s="4"/>
      <c r="L537" s="16"/>
      <c r="M537" s="4"/>
      <c r="N537" s="4"/>
      <c r="O537" s="4"/>
      <c r="P537" s="4"/>
      <c r="Q537" s="4"/>
      <c r="R537" s="4"/>
      <c r="S537" s="4">
        <v>0</v>
      </c>
      <c r="T537" s="4">
        <v>0</v>
      </c>
      <c r="U537" s="4">
        <v>0</v>
      </c>
      <c r="V537" s="4">
        <v>12</v>
      </c>
      <c r="W537" s="4">
        <v>12</v>
      </c>
      <c r="X537" s="4">
        <v>12</v>
      </c>
      <c r="Y537" s="4"/>
      <c r="Z537" s="4">
        <v>263.2</v>
      </c>
      <c r="AA537" s="4">
        <v>300</v>
      </c>
      <c r="AB537" s="18"/>
      <c r="AC537" s="18">
        <v>11</v>
      </c>
      <c r="AD537" s="28"/>
      <c r="AE537" s="26"/>
      <c r="AF537" s="28"/>
    </row>
    <row r="538" spans="1:32" ht="13.5" customHeight="1" x14ac:dyDescent="0.25">
      <c r="A538" s="14">
        <v>45726</v>
      </c>
      <c r="B538" s="14" t="s">
        <v>46</v>
      </c>
      <c r="C538" s="15">
        <v>5</v>
      </c>
      <c r="D538" s="16"/>
      <c r="E538" s="16"/>
      <c r="F538" s="17"/>
      <c r="G538" s="21">
        <v>180</v>
      </c>
      <c r="H538" s="21"/>
      <c r="I538" s="4">
        <v>180</v>
      </c>
      <c r="J538" s="4">
        <v>3</v>
      </c>
      <c r="K538" s="4"/>
      <c r="L538" s="16">
        <v>25</v>
      </c>
      <c r="M538" s="4"/>
      <c r="N538" s="4"/>
      <c r="O538" s="4"/>
      <c r="P538" s="4"/>
      <c r="Q538" s="4"/>
      <c r="R538" s="4"/>
      <c r="S538" s="4">
        <v>25</v>
      </c>
      <c r="T538" s="4">
        <v>0.41666666666666669</v>
      </c>
      <c r="U538" s="4">
        <v>3.4166666666666665</v>
      </c>
      <c r="V538" s="4">
        <v>8.5833333333333339</v>
      </c>
      <c r="W538" s="4">
        <v>12</v>
      </c>
      <c r="X538" s="4">
        <v>60</v>
      </c>
      <c r="Y538" s="4"/>
      <c r="Z538" s="4">
        <v>389.59999999999997</v>
      </c>
      <c r="AA538" s="4">
        <v>400</v>
      </c>
      <c r="AB538" s="18"/>
      <c r="AC538" s="18">
        <v>11</v>
      </c>
      <c r="AD538" s="28"/>
      <c r="AE538" s="26"/>
      <c r="AF538" s="28"/>
    </row>
    <row r="539" spans="1:32" ht="13.5" customHeight="1" x14ac:dyDescent="0.25">
      <c r="A539" s="14">
        <v>45726</v>
      </c>
      <c r="B539" s="14" t="s">
        <v>47</v>
      </c>
      <c r="C539" s="15">
        <v>5</v>
      </c>
      <c r="D539" s="16"/>
      <c r="E539" s="16"/>
      <c r="F539" s="17"/>
      <c r="G539" s="21"/>
      <c r="H539" s="21"/>
      <c r="I539" s="4">
        <v>0</v>
      </c>
      <c r="J539" s="4">
        <v>0</v>
      </c>
      <c r="K539" s="4"/>
      <c r="L539" s="16"/>
      <c r="M539" s="4"/>
      <c r="N539" s="4"/>
      <c r="O539" s="4"/>
      <c r="P539" s="4"/>
      <c r="Q539" s="4"/>
      <c r="R539" s="4"/>
      <c r="S539" s="4">
        <v>0</v>
      </c>
      <c r="T539" s="4">
        <v>0</v>
      </c>
      <c r="U539" s="4">
        <v>0</v>
      </c>
      <c r="V539" s="4">
        <v>12</v>
      </c>
      <c r="W539" s="4">
        <v>12</v>
      </c>
      <c r="X539" s="4">
        <v>45</v>
      </c>
      <c r="Y539" s="4"/>
      <c r="Z539" s="4">
        <v>640.6</v>
      </c>
      <c r="AA539" s="4">
        <v>650</v>
      </c>
      <c r="AB539" s="18"/>
      <c r="AC539" s="18">
        <v>11</v>
      </c>
      <c r="AD539" s="28"/>
      <c r="AE539" s="26"/>
      <c r="AF539" s="28"/>
    </row>
    <row r="540" spans="1:32" ht="13.5" customHeight="1" x14ac:dyDescent="0.25">
      <c r="A540" s="14">
        <v>45726</v>
      </c>
      <c r="B540" s="14" t="s">
        <v>46</v>
      </c>
      <c r="C540" s="15">
        <v>7</v>
      </c>
      <c r="D540" s="16"/>
      <c r="E540" s="16"/>
      <c r="F540" s="17"/>
      <c r="G540" s="21">
        <v>180</v>
      </c>
      <c r="H540" s="21"/>
      <c r="I540" s="4">
        <v>180</v>
      </c>
      <c r="J540" s="4">
        <v>3</v>
      </c>
      <c r="K540" s="4"/>
      <c r="L540" s="16"/>
      <c r="M540" s="4"/>
      <c r="N540" s="4"/>
      <c r="O540" s="4"/>
      <c r="P540" s="4"/>
      <c r="Q540" s="4"/>
      <c r="R540" s="4"/>
      <c r="S540" s="4">
        <v>0</v>
      </c>
      <c r="T540" s="4">
        <v>0</v>
      </c>
      <c r="U540" s="4">
        <v>3</v>
      </c>
      <c r="V540" s="4">
        <v>9</v>
      </c>
      <c r="W540" s="4">
        <v>12</v>
      </c>
      <c r="X540" s="4">
        <v>0</v>
      </c>
      <c r="Y540" s="4"/>
      <c r="Z540" s="4">
        <v>247.42500000000001</v>
      </c>
      <c r="AA540" s="4">
        <v>250</v>
      </c>
      <c r="AB540" s="18"/>
      <c r="AC540" s="18">
        <v>11</v>
      </c>
      <c r="AD540" s="28"/>
      <c r="AE540" s="26"/>
      <c r="AF540" s="28"/>
    </row>
    <row r="541" spans="1:32" ht="13.5" customHeight="1" x14ac:dyDescent="0.25">
      <c r="A541" s="14">
        <v>45726</v>
      </c>
      <c r="B541" s="14" t="s">
        <v>47</v>
      </c>
      <c r="C541" s="15">
        <v>7</v>
      </c>
      <c r="D541" s="16"/>
      <c r="E541" s="16"/>
      <c r="F541" s="17"/>
      <c r="G541" s="21"/>
      <c r="H541" s="21"/>
      <c r="I541" s="4">
        <v>0</v>
      </c>
      <c r="J541" s="4">
        <v>0</v>
      </c>
      <c r="K541" s="4"/>
      <c r="L541" s="16"/>
      <c r="M541" s="4"/>
      <c r="N541" s="4"/>
      <c r="O541" s="4"/>
      <c r="P541" s="4"/>
      <c r="Q541" s="4"/>
      <c r="R541" s="4"/>
      <c r="S541" s="4">
        <v>0</v>
      </c>
      <c r="T541" s="4">
        <v>0</v>
      </c>
      <c r="U541" s="4">
        <v>0</v>
      </c>
      <c r="V541" s="4">
        <v>12</v>
      </c>
      <c r="W541" s="4">
        <v>12</v>
      </c>
      <c r="X541" s="4">
        <v>0</v>
      </c>
      <c r="Y541" s="4"/>
      <c r="Z541" s="4">
        <v>389.65</v>
      </c>
      <c r="AA541" s="4">
        <v>400</v>
      </c>
      <c r="AB541" s="18"/>
      <c r="AC541" s="18">
        <v>11</v>
      </c>
      <c r="AD541" s="28"/>
      <c r="AE541" s="26"/>
      <c r="AF541" s="28"/>
    </row>
    <row r="542" spans="1:32" ht="13.5" customHeight="1" x14ac:dyDescent="0.25">
      <c r="A542" s="14">
        <v>45727</v>
      </c>
      <c r="B542" s="14" t="s">
        <v>46</v>
      </c>
      <c r="C542" s="15">
        <v>1</v>
      </c>
      <c r="D542" s="16">
        <v>2</v>
      </c>
      <c r="E542" s="16"/>
      <c r="F542" s="17"/>
      <c r="G542" s="21"/>
      <c r="H542" s="21"/>
      <c r="I542" s="4">
        <v>2</v>
      </c>
      <c r="J542" s="4">
        <v>3.3333333333333333E-2</v>
      </c>
      <c r="K542" s="4"/>
      <c r="L542" s="16"/>
      <c r="M542" s="4"/>
      <c r="N542" s="4"/>
      <c r="O542" s="4"/>
      <c r="P542" s="4"/>
      <c r="Q542" s="4"/>
      <c r="R542" s="4"/>
      <c r="S542" s="4">
        <v>0</v>
      </c>
      <c r="T542" s="4">
        <v>0</v>
      </c>
      <c r="U542" s="4">
        <v>3.3333333333333333E-2</v>
      </c>
      <c r="V542" s="4">
        <v>11.966666666666667</v>
      </c>
      <c r="W542" s="4">
        <v>12</v>
      </c>
      <c r="X542" s="4">
        <v>0</v>
      </c>
      <c r="Y542" s="4">
        <v>1866</v>
      </c>
      <c r="Z542" s="4">
        <v>153.69999999999999</v>
      </c>
      <c r="AA542" s="4">
        <v>150</v>
      </c>
      <c r="AB542" s="18">
        <v>372</v>
      </c>
      <c r="AC542" s="18">
        <v>11</v>
      </c>
      <c r="AD542" s="28"/>
      <c r="AE542" s="26"/>
      <c r="AF542" s="28"/>
    </row>
    <row r="543" spans="1:32" ht="13.5" customHeight="1" x14ac:dyDescent="0.25">
      <c r="A543" s="14">
        <v>45727</v>
      </c>
      <c r="B543" s="14" t="s">
        <v>47</v>
      </c>
      <c r="C543" s="15">
        <v>1</v>
      </c>
      <c r="D543" s="16">
        <v>3</v>
      </c>
      <c r="E543" s="16"/>
      <c r="F543" s="17"/>
      <c r="G543" s="21"/>
      <c r="H543" s="21"/>
      <c r="I543" s="4">
        <v>3</v>
      </c>
      <c r="J543" s="4">
        <v>0.05</v>
      </c>
      <c r="K543" s="4"/>
      <c r="L543" s="16"/>
      <c r="M543" s="4"/>
      <c r="N543" s="4"/>
      <c r="O543" s="4"/>
      <c r="P543" s="4"/>
      <c r="Q543" s="4"/>
      <c r="R543" s="4"/>
      <c r="S543" s="4">
        <v>0</v>
      </c>
      <c r="T543" s="4">
        <v>0</v>
      </c>
      <c r="U543" s="4">
        <v>0.05</v>
      </c>
      <c r="V543" s="4">
        <v>11.95</v>
      </c>
      <c r="W543" s="4">
        <v>12</v>
      </c>
      <c r="X543" s="4">
        <v>3.2</v>
      </c>
      <c r="Y543" s="4"/>
      <c r="Z543" s="4">
        <v>185.70000000000002</v>
      </c>
      <c r="AA543" s="4">
        <v>200</v>
      </c>
      <c r="AB543" s="18"/>
      <c r="AC543" s="18">
        <v>11</v>
      </c>
      <c r="AD543" s="28"/>
      <c r="AE543" s="26"/>
      <c r="AF543" s="28"/>
    </row>
    <row r="544" spans="1:32" ht="13.5" customHeight="1" x14ac:dyDescent="0.25">
      <c r="A544" s="14">
        <v>45727</v>
      </c>
      <c r="B544" s="14" t="s">
        <v>46</v>
      </c>
      <c r="C544" s="15">
        <v>3</v>
      </c>
      <c r="D544" s="16"/>
      <c r="E544" s="16"/>
      <c r="F544" s="17"/>
      <c r="G544" s="21"/>
      <c r="H544" s="21"/>
      <c r="I544" s="4">
        <v>0</v>
      </c>
      <c r="J544" s="4">
        <v>0</v>
      </c>
      <c r="K544" s="4"/>
      <c r="L544" s="16"/>
      <c r="M544" s="4"/>
      <c r="N544" s="4"/>
      <c r="O544" s="4"/>
      <c r="P544" s="4"/>
      <c r="Q544" s="4">
        <v>180</v>
      </c>
      <c r="R544" s="4"/>
      <c r="S544" s="4">
        <v>180</v>
      </c>
      <c r="T544" s="4">
        <v>3</v>
      </c>
      <c r="U544" s="4">
        <v>3</v>
      </c>
      <c r="V544" s="4">
        <v>9</v>
      </c>
      <c r="W544" s="4">
        <v>12</v>
      </c>
      <c r="X544" s="4">
        <v>0</v>
      </c>
      <c r="Y544" s="4"/>
      <c r="Z544" s="4">
        <v>160</v>
      </c>
      <c r="AA544" s="4">
        <v>200</v>
      </c>
      <c r="AB544" s="18"/>
      <c r="AC544" s="18">
        <v>11</v>
      </c>
      <c r="AD544" s="28"/>
      <c r="AE544" s="26"/>
      <c r="AF544" s="28"/>
    </row>
    <row r="545" spans="1:32" ht="13.5" customHeight="1" x14ac:dyDescent="0.25">
      <c r="A545" s="14">
        <v>45727</v>
      </c>
      <c r="B545" s="14" t="s">
        <v>47</v>
      </c>
      <c r="C545" s="15">
        <v>3</v>
      </c>
      <c r="D545" s="16"/>
      <c r="E545" s="16"/>
      <c r="F545" s="17"/>
      <c r="G545" s="21"/>
      <c r="H545" s="21"/>
      <c r="I545" s="4">
        <v>0</v>
      </c>
      <c r="J545" s="4">
        <v>0</v>
      </c>
      <c r="K545" s="4"/>
      <c r="L545" s="16"/>
      <c r="M545" s="4"/>
      <c r="N545" s="4"/>
      <c r="O545" s="4"/>
      <c r="P545" s="4"/>
      <c r="Q545" s="4"/>
      <c r="R545" s="4"/>
      <c r="S545" s="4">
        <v>0</v>
      </c>
      <c r="T545" s="4">
        <v>0</v>
      </c>
      <c r="U545" s="4">
        <v>0</v>
      </c>
      <c r="V545" s="4">
        <v>12</v>
      </c>
      <c r="W545" s="4">
        <v>12</v>
      </c>
      <c r="X545" s="4">
        <v>15</v>
      </c>
      <c r="Y545" s="4"/>
      <c r="Z545" s="4">
        <v>204.2</v>
      </c>
      <c r="AA545" s="4">
        <v>200</v>
      </c>
      <c r="AB545" s="18"/>
      <c r="AC545" s="18">
        <v>11</v>
      </c>
      <c r="AD545" s="28"/>
      <c r="AE545" s="26"/>
      <c r="AF545" s="28"/>
    </row>
    <row r="546" spans="1:32" ht="13.5" customHeight="1" x14ac:dyDescent="0.25">
      <c r="A546" s="14">
        <v>45727</v>
      </c>
      <c r="B546" s="14" t="s">
        <v>46</v>
      </c>
      <c r="C546" s="15">
        <v>6</v>
      </c>
      <c r="D546" s="16">
        <v>25</v>
      </c>
      <c r="E546" s="16"/>
      <c r="F546" s="17"/>
      <c r="G546" s="21"/>
      <c r="H546" s="21"/>
      <c r="I546" s="4">
        <v>25</v>
      </c>
      <c r="J546" s="4">
        <v>0.41666666666666669</v>
      </c>
      <c r="K546" s="4"/>
      <c r="L546" s="16"/>
      <c r="M546" s="4"/>
      <c r="N546" s="4"/>
      <c r="O546" s="4"/>
      <c r="P546" s="4"/>
      <c r="Q546" s="4"/>
      <c r="R546" s="4"/>
      <c r="S546" s="4">
        <v>0</v>
      </c>
      <c r="T546" s="4">
        <v>0</v>
      </c>
      <c r="U546" s="4">
        <v>0.41666666666666669</v>
      </c>
      <c r="V546" s="4">
        <v>11.583333333333334</v>
      </c>
      <c r="W546" s="4">
        <v>12</v>
      </c>
      <c r="X546" s="4">
        <v>44</v>
      </c>
      <c r="Y546" s="4"/>
      <c r="Z546" s="4">
        <v>709.4</v>
      </c>
      <c r="AA546" s="4">
        <v>700</v>
      </c>
      <c r="AB546" s="18"/>
      <c r="AC546" s="18">
        <v>11</v>
      </c>
      <c r="AD546" s="28"/>
      <c r="AE546" s="26"/>
      <c r="AF546" s="28"/>
    </row>
    <row r="547" spans="1:32" ht="13.5" customHeight="1" x14ac:dyDescent="0.25">
      <c r="A547" s="14">
        <v>45727</v>
      </c>
      <c r="B547" s="14" t="s">
        <v>47</v>
      </c>
      <c r="C547" s="15">
        <v>6</v>
      </c>
      <c r="D547" s="16">
        <v>8</v>
      </c>
      <c r="E547" s="16"/>
      <c r="F547" s="17"/>
      <c r="G547" s="21"/>
      <c r="H547" s="21"/>
      <c r="I547" s="4">
        <v>8</v>
      </c>
      <c r="J547" s="4">
        <v>0.13333333333333333</v>
      </c>
      <c r="K547" s="4"/>
      <c r="L547" s="16"/>
      <c r="M547" s="4"/>
      <c r="N547" s="4"/>
      <c r="O547" s="4"/>
      <c r="P547" s="4"/>
      <c r="Q547" s="4"/>
      <c r="R547" s="4"/>
      <c r="S547" s="4">
        <v>0</v>
      </c>
      <c r="T547" s="4">
        <v>0</v>
      </c>
      <c r="U547" s="4">
        <v>0.13333333333333333</v>
      </c>
      <c r="V547" s="4">
        <v>11.866666666666667</v>
      </c>
      <c r="W547" s="4">
        <v>12</v>
      </c>
      <c r="X547" s="4">
        <v>15</v>
      </c>
      <c r="Y547" s="4"/>
      <c r="Z547" s="4">
        <v>601.40000000000009</v>
      </c>
      <c r="AA547" s="4">
        <v>600</v>
      </c>
      <c r="AB547" s="18"/>
      <c r="AC547" s="18">
        <v>11</v>
      </c>
      <c r="AD547" s="28"/>
      <c r="AE547" s="26"/>
      <c r="AF547" s="28"/>
    </row>
    <row r="548" spans="1:32" ht="13.5" customHeight="1" x14ac:dyDescent="0.25">
      <c r="A548" s="14">
        <v>45727</v>
      </c>
      <c r="B548" s="14" t="s">
        <v>46</v>
      </c>
      <c r="C548" s="15">
        <v>7</v>
      </c>
      <c r="D548" s="16">
        <v>5</v>
      </c>
      <c r="E548" s="16"/>
      <c r="F548" s="17"/>
      <c r="G548" s="21"/>
      <c r="H548" s="21"/>
      <c r="I548" s="4">
        <v>5</v>
      </c>
      <c r="J548" s="4">
        <v>8.3333333333333329E-2</v>
      </c>
      <c r="K548" s="4"/>
      <c r="L548" s="16"/>
      <c r="M548" s="4"/>
      <c r="N548" s="4"/>
      <c r="O548" s="4"/>
      <c r="P548" s="4"/>
      <c r="Q548" s="4"/>
      <c r="R548" s="4"/>
      <c r="S548" s="4">
        <v>0</v>
      </c>
      <c r="T548" s="4">
        <v>0</v>
      </c>
      <c r="U548" s="4">
        <v>8.3333333333333329E-2</v>
      </c>
      <c r="V548" s="4">
        <v>11.916666666666666</v>
      </c>
      <c r="W548" s="4">
        <v>12</v>
      </c>
      <c r="X548" s="4">
        <v>0</v>
      </c>
      <c r="Y548" s="4"/>
      <c r="Z548" s="4">
        <v>395.19999999999993</v>
      </c>
      <c r="AA548" s="4">
        <v>400</v>
      </c>
      <c r="AB548" s="18"/>
      <c r="AC548" s="18">
        <v>11</v>
      </c>
      <c r="AD548" s="28"/>
      <c r="AE548" s="26"/>
      <c r="AF548" s="28"/>
    </row>
    <row r="549" spans="1:32" ht="13.5" customHeight="1" x14ac:dyDescent="0.25">
      <c r="A549" s="14">
        <v>45727</v>
      </c>
      <c r="B549" s="14" t="s">
        <v>47</v>
      </c>
      <c r="C549" s="15">
        <v>7</v>
      </c>
      <c r="D549" s="16"/>
      <c r="E549" s="16"/>
      <c r="F549" s="17"/>
      <c r="G549" s="21"/>
      <c r="H549" s="21"/>
      <c r="I549" s="4">
        <v>0</v>
      </c>
      <c r="J549" s="4">
        <v>0</v>
      </c>
      <c r="K549" s="4"/>
      <c r="L549" s="16"/>
      <c r="M549" s="4"/>
      <c r="N549" s="4"/>
      <c r="O549" s="4"/>
      <c r="P549" s="4"/>
      <c r="Q549" s="4"/>
      <c r="R549" s="4"/>
      <c r="S549" s="4">
        <v>0</v>
      </c>
      <c r="T549" s="4">
        <v>0</v>
      </c>
      <c r="U549" s="4">
        <v>0</v>
      </c>
      <c r="V549" s="4">
        <v>12</v>
      </c>
      <c r="W549" s="4">
        <v>12</v>
      </c>
      <c r="X549" s="4">
        <v>0</v>
      </c>
      <c r="Y549" s="4"/>
      <c r="Z549" s="4">
        <v>354.20000000000005</v>
      </c>
      <c r="AA549" s="4">
        <v>350</v>
      </c>
      <c r="AB549" s="18"/>
      <c r="AC549" s="18">
        <v>11</v>
      </c>
      <c r="AD549" s="28"/>
      <c r="AE549" s="26"/>
      <c r="AF549" s="28"/>
    </row>
    <row r="550" spans="1:32" ht="13.5" customHeight="1" x14ac:dyDescent="0.25">
      <c r="A550" s="14">
        <v>45728</v>
      </c>
      <c r="B550" s="14" t="s">
        <v>46</v>
      </c>
      <c r="C550" s="15">
        <v>1</v>
      </c>
      <c r="D550" s="16"/>
      <c r="E550" s="16"/>
      <c r="F550" s="17"/>
      <c r="G550" s="21"/>
      <c r="H550" s="21"/>
      <c r="I550" s="4">
        <v>0</v>
      </c>
      <c r="J550" s="4">
        <v>0</v>
      </c>
      <c r="K550" s="4"/>
      <c r="L550" s="16"/>
      <c r="M550" s="4"/>
      <c r="N550" s="4"/>
      <c r="O550" s="4"/>
      <c r="P550" s="4"/>
      <c r="Q550" s="4"/>
      <c r="R550" s="4"/>
      <c r="S550" s="4">
        <v>0</v>
      </c>
      <c r="T550" s="4">
        <v>0</v>
      </c>
      <c r="U550" s="4">
        <v>0</v>
      </c>
      <c r="V550" s="4">
        <v>12</v>
      </c>
      <c r="W550" s="4">
        <v>12</v>
      </c>
      <c r="X550" s="4">
        <v>0</v>
      </c>
      <c r="Y550" s="4">
        <v>1882</v>
      </c>
      <c r="Z550" s="4">
        <v>185.1</v>
      </c>
      <c r="AA550" s="4">
        <v>200</v>
      </c>
      <c r="AB550" s="18">
        <v>372</v>
      </c>
      <c r="AC550" s="18">
        <v>11</v>
      </c>
      <c r="AD550" s="28"/>
      <c r="AE550" s="26"/>
      <c r="AF550" s="28"/>
    </row>
    <row r="551" spans="1:32" ht="13.5" customHeight="1" x14ac:dyDescent="0.25">
      <c r="A551" s="14">
        <v>45728</v>
      </c>
      <c r="B551" s="14" t="s">
        <v>47</v>
      </c>
      <c r="C551" s="15">
        <v>1</v>
      </c>
      <c r="D551" s="16"/>
      <c r="E551" s="16"/>
      <c r="F551" s="17"/>
      <c r="G551" s="21"/>
      <c r="H551" s="21"/>
      <c r="I551" s="4">
        <v>0</v>
      </c>
      <c r="J551" s="4">
        <v>0</v>
      </c>
      <c r="K551" s="4"/>
      <c r="L551" s="16"/>
      <c r="M551" s="4"/>
      <c r="N551" s="4"/>
      <c r="O551" s="4"/>
      <c r="P551" s="4"/>
      <c r="Q551" s="4"/>
      <c r="R551" s="4"/>
      <c r="S551" s="4">
        <v>0</v>
      </c>
      <c r="T551" s="4">
        <v>0</v>
      </c>
      <c r="U551" s="4">
        <v>0</v>
      </c>
      <c r="V551" s="4">
        <v>12</v>
      </c>
      <c r="W551" s="4">
        <v>12</v>
      </c>
      <c r="X551" s="4">
        <v>0</v>
      </c>
      <c r="Y551" s="4"/>
      <c r="Z551" s="4">
        <v>150.39999999999998</v>
      </c>
      <c r="AA551" s="4">
        <v>150</v>
      </c>
      <c r="AB551" s="18"/>
      <c r="AC551" s="18">
        <v>11</v>
      </c>
      <c r="AD551" s="28"/>
      <c r="AE551" s="26"/>
      <c r="AF551" s="28"/>
    </row>
    <row r="552" spans="1:32" ht="13.5" customHeight="1" x14ac:dyDescent="0.25">
      <c r="A552" s="14">
        <v>45728</v>
      </c>
      <c r="B552" s="14" t="s">
        <v>46</v>
      </c>
      <c r="C552" s="15">
        <v>3</v>
      </c>
      <c r="D552" s="16">
        <v>2</v>
      </c>
      <c r="E552" s="16"/>
      <c r="F552" s="17"/>
      <c r="G552" s="21"/>
      <c r="H552" s="21"/>
      <c r="I552" s="4">
        <v>2</v>
      </c>
      <c r="J552" s="4">
        <v>3.3333333333333333E-2</v>
      </c>
      <c r="K552" s="4"/>
      <c r="L552" s="16"/>
      <c r="M552" s="4"/>
      <c r="N552" s="4"/>
      <c r="O552" s="4"/>
      <c r="P552" s="4"/>
      <c r="Q552" s="4"/>
      <c r="R552" s="4"/>
      <c r="S552" s="4">
        <v>0</v>
      </c>
      <c r="T552" s="4">
        <v>0</v>
      </c>
      <c r="U552" s="4">
        <v>3.3333333333333333E-2</v>
      </c>
      <c r="V552" s="4">
        <v>11.966666666666667</v>
      </c>
      <c r="W552" s="4">
        <v>12</v>
      </c>
      <c r="X552" s="4">
        <v>0</v>
      </c>
      <c r="Y552" s="4"/>
      <c r="Z552" s="4">
        <v>350.5</v>
      </c>
      <c r="AA552" s="4">
        <v>350</v>
      </c>
      <c r="AB552" s="18"/>
      <c r="AC552" s="18">
        <v>11</v>
      </c>
      <c r="AD552" s="28"/>
      <c r="AE552" s="26"/>
      <c r="AF552" s="28"/>
    </row>
    <row r="553" spans="1:32" ht="13.5" customHeight="1" x14ac:dyDescent="0.25">
      <c r="A553" s="14">
        <v>45728</v>
      </c>
      <c r="B553" s="14" t="s">
        <v>47</v>
      </c>
      <c r="C553" s="15">
        <v>3</v>
      </c>
      <c r="D553" s="16"/>
      <c r="E553" s="16"/>
      <c r="F553" s="17"/>
      <c r="G553" s="21"/>
      <c r="H553" s="21"/>
      <c r="I553" s="4">
        <v>0</v>
      </c>
      <c r="J553" s="4">
        <v>0</v>
      </c>
      <c r="K553" s="4"/>
      <c r="L553" s="16"/>
      <c r="M553" s="4"/>
      <c r="N553" s="4"/>
      <c r="O553" s="4"/>
      <c r="P553" s="4"/>
      <c r="Q553" s="4"/>
      <c r="R553" s="4"/>
      <c r="S553" s="4">
        <v>0</v>
      </c>
      <c r="T553" s="4">
        <v>0</v>
      </c>
      <c r="U553" s="4">
        <v>0</v>
      </c>
      <c r="V553" s="4">
        <v>12</v>
      </c>
      <c r="W553" s="4">
        <v>12</v>
      </c>
      <c r="X553" s="4">
        <v>0</v>
      </c>
      <c r="Y553" s="4"/>
      <c r="Z553" s="4">
        <v>266.2</v>
      </c>
      <c r="AA553" s="4">
        <v>300</v>
      </c>
      <c r="AB553" s="18"/>
      <c r="AC553" s="18">
        <v>11</v>
      </c>
      <c r="AD553" s="28"/>
      <c r="AE553" s="26"/>
      <c r="AF553" s="28"/>
    </row>
    <row r="554" spans="1:32" ht="13.5" customHeight="1" x14ac:dyDescent="0.25">
      <c r="A554" s="14">
        <v>45728</v>
      </c>
      <c r="B554" s="14" t="s">
        <v>46</v>
      </c>
      <c r="C554" s="15">
        <v>6</v>
      </c>
      <c r="D554" s="16">
        <v>10</v>
      </c>
      <c r="E554" s="16"/>
      <c r="F554" s="17"/>
      <c r="G554" s="21"/>
      <c r="H554" s="21"/>
      <c r="I554" s="4">
        <v>10</v>
      </c>
      <c r="J554" s="4">
        <v>0.16666666666666666</v>
      </c>
      <c r="K554" s="4"/>
      <c r="L554" s="16"/>
      <c r="M554" s="4"/>
      <c r="N554" s="4">
        <v>10</v>
      </c>
      <c r="O554" s="4"/>
      <c r="P554" s="4"/>
      <c r="Q554" s="4"/>
      <c r="R554" s="4"/>
      <c r="S554" s="4">
        <v>10</v>
      </c>
      <c r="T554" s="4">
        <v>0.16666666666666666</v>
      </c>
      <c r="U554" s="4">
        <v>0.33333333333333331</v>
      </c>
      <c r="V554" s="4">
        <v>11.666666666666666</v>
      </c>
      <c r="W554" s="4">
        <v>12</v>
      </c>
      <c r="X554" s="4">
        <v>38</v>
      </c>
      <c r="Y554" s="4"/>
      <c r="Z554" s="4">
        <v>583.4</v>
      </c>
      <c r="AA554" s="4">
        <v>600</v>
      </c>
      <c r="AB554" s="18"/>
      <c r="AC554" s="18">
        <v>11</v>
      </c>
      <c r="AD554" s="28"/>
      <c r="AE554" s="26"/>
      <c r="AF554" s="28"/>
    </row>
    <row r="555" spans="1:32" ht="13.5" customHeight="1" x14ac:dyDescent="0.25">
      <c r="A555" s="14">
        <v>45728</v>
      </c>
      <c r="B555" s="14" t="s">
        <v>47</v>
      </c>
      <c r="C555" s="15">
        <v>6</v>
      </c>
      <c r="D555" s="16"/>
      <c r="E555" s="16"/>
      <c r="F555" s="17"/>
      <c r="G555" s="21"/>
      <c r="H555" s="21"/>
      <c r="I555" s="4">
        <v>0</v>
      </c>
      <c r="J555" s="4">
        <v>0</v>
      </c>
      <c r="K555" s="4"/>
      <c r="L555" s="16"/>
      <c r="M555" s="4"/>
      <c r="N555" s="4"/>
      <c r="O555" s="4"/>
      <c r="P555" s="4"/>
      <c r="Q555" s="4">
        <v>130</v>
      </c>
      <c r="R555" s="4"/>
      <c r="S555" s="4">
        <v>130</v>
      </c>
      <c r="T555" s="4">
        <v>2.1666666666666665</v>
      </c>
      <c r="U555" s="4">
        <v>2.1666666666666665</v>
      </c>
      <c r="V555" s="4">
        <v>9.8333333333333339</v>
      </c>
      <c r="W555" s="4">
        <v>12</v>
      </c>
      <c r="X555" s="4">
        <v>10</v>
      </c>
      <c r="Y555" s="4"/>
      <c r="Z555" s="4">
        <v>626.6</v>
      </c>
      <c r="AA555" s="4">
        <v>650</v>
      </c>
      <c r="AB555" s="18"/>
      <c r="AC555" s="18">
        <v>11</v>
      </c>
      <c r="AD555" s="28"/>
      <c r="AE555" s="26"/>
      <c r="AF555" s="28"/>
    </row>
    <row r="556" spans="1:32" ht="13.5" customHeight="1" x14ac:dyDescent="0.25">
      <c r="A556" s="14">
        <v>45728</v>
      </c>
      <c r="B556" s="14" t="s">
        <v>46</v>
      </c>
      <c r="C556" s="15">
        <v>7</v>
      </c>
      <c r="D556" s="16">
        <v>5</v>
      </c>
      <c r="E556" s="16"/>
      <c r="F556" s="17"/>
      <c r="G556" s="21"/>
      <c r="H556" s="21"/>
      <c r="I556" s="4">
        <v>5</v>
      </c>
      <c r="J556" s="4">
        <v>8.3333333333333329E-2</v>
      </c>
      <c r="K556" s="4"/>
      <c r="L556" s="16"/>
      <c r="M556" s="4"/>
      <c r="N556" s="4"/>
      <c r="O556" s="4"/>
      <c r="P556" s="4"/>
      <c r="Q556" s="4"/>
      <c r="R556" s="4"/>
      <c r="S556" s="4">
        <v>0</v>
      </c>
      <c r="T556" s="4">
        <v>0</v>
      </c>
      <c r="U556" s="4">
        <v>8.3333333333333329E-2</v>
      </c>
      <c r="V556" s="4">
        <v>11.916666666666666</v>
      </c>
      <c r="W556" s="4">
        <v>12</v>
      </c>
      <c r="X556" s="4">
        <v>0</v>
      </c>
      <c r="Y556" s="4"/>
      <c r="Z556" s="4">
        <v>403.80000000000007</v>
      </c>
      <c r="AA556" s="4">
        <v>400</v>
      </c>
      <c r="AB556" s="18"/>
      <c r="AC556" s="18">
        <v>11</v>
      </c>
      <c r="AD556" s="28"/>
      <c r="AE556" s="26"/>
      <c r="AF556" s="28"/>
    </row>
    <row r="557" spans="1:32" ht="13.5" customHeight="1" x14ac:dyDescent="0.25">
      <c r="A557" s="14">
        <v>45728</v>
      </c>
      <c r="B557" s="14" t="s">
        <v>47</v>
      </c>
      <c r="C557" s="15">
        <v>7</v>
      </c>
      <c r="D557" s="16">
        <v>5</v>
      </c>
      <c r="E557" s="16"/>
      <c r="F557" s="17"/>
      <c r="G557" s="21"/>
      <c r="H557" s="21"/>
      <c r="I557" s="4">
        <v>5</v>
      </c>
      <c r="J557" s="4">
        <v>8.3333333333333329E-2</v>
      </c>
      <c r="K557" s="4"/>
      <c r="L557" s="16"/>
      <c r="M557" s="4"/>
      <c r="N557" s="4"/>
      <c r="O557" s="4"/>
      <c r="P557" s="4"/>
      <c r="Q557" s="4"/>
      <c r="R557" s="4"/>
      <c r="S557" s="4">
        <v>0</v>
      </c>
      <c r="T557" s="4">
        <v>0</v>
      </c>
      <c r="U557" s="4">
        <v>8.3333333333333329E-2</v>
      </c>
      <c r="V557" s="4">
        <v>11.916666666666666</v>
      </c>
      <c r="W557" s="4">
        <v>12</v>
      </c>
      <c r="X557" s="4">
        <v>0</v>
      </c>
      <c r="Y557" s="4"/>
      <c r="Z557" s="4">
        <v>354.82</v>
      </c>
      <c r="AA557" s="4">
        <v>400</v>
      </c>
      <c r="AB557" s="18"/>
      <c r="AC557" s="18">
        <v>11</v>
      </c>
      <c r="AD557" s="28"/>
      <c r="AE557" s="26"/>
      <c r="AF557" s="28"/>
    </row>
    <row r="558" spans="1:32" ht="13.5" customHeight="1" x14ac:dyDescent="0.25">
      <c r="A558" s="14">
        <v>45729</v>
      </c>
      <c r="B558" s="14" t="s">
        <v>46</v>
      </c>
      <c r="C558" s="15">
        <v>1</v>
      </c>
      <c r="D558" s="16"/>
      <c r="E558" s="16"/>
      <c r="F558" s="17"/>
      <c r="G558" s="21"/>
      <c r="H558" s="21"/>
      <c r="I558" s="4">
        <v>0</v>
      </c>
      <c r="J558" s="4">
        <v>0</v>
      </c>
      <c r="K558" s="4"/>
      <c r="L558" s="16"/>
      <c r="M558" s="4"/>
      <c r="N558" s="4"/>
      <c r="O558" s="4"/>
      <c r="P558" s="4"/>
      <c r="Q558" s="4"/>
      <c r="R558" s="4"/>
      <c r="S558" s="4">
        <v>0</v>
      </c>
      <c r="T558" s="4">
        <v>0</v>
      </c>
      <c r="U558" s="4">
        <v>0</v>
      </c>
      <c r="V558" s="4">
        <v>12</v>
      </c>
      <c r="W558" s="4">
        <v>12</v>
      </c>
      <c r="X558" s="4">
        <v>0</v>
      </c>
      <c r="Y558" s="4">
        <v>2050</v>
      </c>
      <c r="Z558" s="4">
        <v>172.39999999999998</v>
      </c>
      <c r="AA558" s="4">
        <v>200</v>
      </c>
      <c r="AB558" s="18">
        <v>372</v>
      </c>
      <c r="AC558" s="18">
        <v>11</v>
      </c>
      <c r="AD558" s="28"/>
      <c r="AE558" s="26"/>
      <c r="AF558" s="28"/>
    </row>
    <row r="559" spans="1:32" ht="13.5" customHeight="1" x14ac:dyDescent="0.25">
      <c r="A559" s="14">
        <v>45729</v>
      </c>
      <c r="B559" s="14" t="s">
        <v>47</v>
      </c>
      <c r="C559" s="15">
        <v>1</v>
      </c>
      <c r="D559" s="16"/>
      <c r="E559" s="16"/>
      <c r="F559" s="17"/>
      <c r="G559" s="21"/>
      <c r="H559" s="21"/>
      <c r="I559" s="4">
        <v>0</v>
      </c>
      <c r="J559" s="4">
        <v>0</v>
      </c>
      <c r="K559" s="4"/>
      <c r="L559" s="16"/>
      <c r="M559" s="4"/>
      <c r="N559" s="4"/>
      <c r="O559" s="4"/>
      <c r="P559" s="4"/>
      <c r="Q559" s="4"/>
      <c r="R559" s="4"/>
      <c r="S559" s="4">
        <v>0</v>
      </c>
      <c r="T559" s="4">
        <v>0</v>
      </c>
      <c r="U559" s="4">
        <v>0</v>
      </c>
      <c r="V559" s="4">
        <v>12</v>
      </c>
      <c r="W559" s="4">
        <v>12</v>
      </c>
      <c r="X559" s="4">
        <v>0</v>
      </c>
      <c r="Y559" s="4"/>
      <c r="Z559" s="4">
        <v>181.1</v>
      </c>
      <c r="AA559" s="4">
        <v>200</v>
      </c>
      <c r="AB559" s="18"/>
      <c r="AC559" s="18">
        <v>11</v>
      </c>
      <c r="AD559" s="28"/>
      <c r="AE559" s="26"/>
      <c r="AF559" s="28"/>
    </row>
    <row r="560" spans="1:32" ht="13.5" customHeight="1" x14ac:dyDescent="0.25">
      <c r="A560" s="14">
        <v>45729</v>
      </c>
      <c r="B560" s="14" t="s">
        <v>46</v>
      </c>
      <c r="C560" s="15">
        <v>3</v>
      </c>
      <c r="D560" s="16"/>
      <c r="E560" s="16"/>
      <c r="F560" s="17"/>
      <c r="G560" s="21"/>
      <c r="H560" s="21"/>
      <c r="I560" s="4">
        <v>0</v>
      </c>
      <c r="J560" s="4">
        <v>0</v>
      </c>
      <c r="K560" s="4"/>
      <c r="L560" s="16"/>
      <c r="M560" s="4"/>
      <c r="N560" s="4"/>
      <c r="O560" s="4"/>
      <c r="P560" s="4"/>
      <c r="Q560" s="4"/>
      <c r="R560" s="4"/>
      <c r="S560" s="4">
        <v>0</v>
      </c>
      <c r="T560" s="4">
        <v>0</v>
      </c>
      <c r="U560" s="4">
        <v>0</v>
      </c>
      <c r="V560" s="4">
        <v>12</v>
      </c>
      <c r="W560" s="4">
        <v>12</v>
      </c>
      <c r="X560" s="4">
        <v>0</v>
      </c>
      <c r="Y560" s="4"/>
      <c r="Z560" s="4">
        <v>487.20000000000005</v>
      </c>
      <c r="AA560" s="4">
        <v>500</v>
      </c>
      <c r="AB560" s="18"/>
      <c r="AC560" s="18">
        <v>11</v>
      </c>
      <c r="AD560" s="28"/>
      <c r="AE560" s="26"/>
      <c r="AF560" s="28"/>
    </row>
    <row r="561" spans="1:32" ht="13.5" customHeight="1" x14ac:dyDescent="0.25">
      <c r="A561" s="14">
        <v>45729</v>
      </c>
      <c r="B561" s="14" t="s">
        <v>47</v>
      </c>
      <c r="C561" s="15">
        <v>3</v>
      </c>
      <c r="D561" s="16"/>
      <c r="E561" s="16"/>
      <c r="F561" s="17"/>
      <c r="G561" s="21"/>
      <c r="H561" s="21"/>
      <c r="I561" s="4">
        <v>0</v>
      </c>
      <c r="J561" s="4">
        <v>0</v>
      </c>
      <c r="K561" s="4"/>
      <c r="L561" s="16"/>
      <c r="M561" s="4"/>
      <c r="N561" s="4"/>
      <c r="O561" s="4"/>
      <c r="P561" s="4"/>
      <c r="Q561" s="4"/>
      <c r="R561" s="4"/>
      <c r="S561" s="4">
        <v>0</v>
      </c>
      <c r="T561" s="4">
        <v>0</v>
      </c>
      <c r="U561" s="4">
        <v>0</v>
      </c>
      <c r="V561" s="4">
        <v>12</v>
      </c>
      <c r="W561" s="4">
        <v>12</v>
      </c>
      <c r="X561" s="4">
        <v>0</v>
      </c>
      <c r="Y561" s="4"/>
      <c r="Z561" s="4">
        <v>439.09999999999997</v>
      </c>
      <c r="AA561" s="4">
        <v>450</v>
      </c>
      <c r="AB561" s="18"/>
      <c r="AC561" s="18">
        <v>11</v>
      </c>
      <c r="AD561" s="28"/>
      <c r="AE561" s="26"/>
      <c r="AF561" s="28"/>
    </row>
    <row r="562" spans="1:32" ht="13.5" customHeight="1" x14ac:dyDescent="0.25">
      <c r="A562" s="14">
        <v>45729</v>
      </c>
      <c r="B562" s="14" t="s">
        <v>46</v>
      </c>
      <c r="C562" s="15">
        <v>6</v>
      </c>
      <c r="D562" s="16">
        <v>5</v>
      </c>
      <c r="E562" s="16"/>
      <c r="F562" s="17"/>
      <c r="G562" s="21"/>
      <c r="H562" s="21"/>
      <c r="I562" s="4">
        <v>5</v>
      </c>
      <c r="J562" s="4">
        <v>8.3333333333333329E-2</v>
      </c>
      <c r="K562" s="4"/>
      <c r="L562" s="16"/>
      <c r="M562" s="4"/>
      <c r="N562" s="4">
        <v>15</v>
      </c>
      <c r="O562" s="4"/>
      <c r="P562" s="4"/>
      <c r="Q562" s="4"/>
      <c r="R562" s="4"/>
      <c r="S562" s="4">
        <v>15</v>
      </c>
      <c r="T562" s="4">
        <v>0.25</v>
      </c>
      <c r="U562" s="4">
        <v>0.33333333333333331</v>
      </c>
      <c r="V562" s="4">
        <v>11.666666666666666</v>
      </c>
      <c r="W562" s="4">
        <v>12</v>
      </c>
      <c r="X562" s="4">
        <v>32</v>
      </c>
      <c r="Y562" s="4"/>
      <c r="Z562" s="4">
        <v>954.3</v>
      </c>
      <c r="AA562" s="4">
        <v>950</v>
      </c>
      <c r="AB562" s="18"/>
      <c r="AC562" s="18">
        <v>11</v>
      </c>
      <c r="AD562" s="28"/>
      <c r="AE562" s="26"/>
      <c r="AF562" s="28"/>
    </row>
    <row r="563" spans="1:32" ht="13.5" customHeight="1" x14ac:dyDescent="0.25">
      <c r="A563" s="14">
        <v>45729</v>
      </c>
      <c r="B563" s="14" t="s">
        <v>47</v>
      </c>
      <c r="C563" s="15">
        <v>6</v>
      </c>
      <c r="D563" s="16"/>
      <c r="E563" s="16"/>
      <c r="F563" s="17"/>
      <c r="G563" s="21"/>
      <c r="H563" s="21"/>
      <c r="I563" s="4">
        <v>0</v>
      </c>
      <c r="J563" s="4">
        <v>0</v>
      </c>
      <c r="K563" s="4">
        <v>125</v>
      </c>
      <c r="L563" s="16"/>
      <c r="M563" s="4"/>
      <c r="N563" s="4"/>
      <c r="O563" s="4"/>
      <c r="P563" s="4"/>
      <c r="Q563" s="4">
        <v>80</v>
      </c>
      <c r="R563" s="4"/>
      <c r="S563" s="4">
        <v>205</v>
      </c>
      <c r="T563" s="4">
        <v>3.4166666666666665</v>
      </c>
      <c r="U563" s="4">
        <v>3.4166666666666665</v>
      </c>
      <c r="V563" s="4">
        <v>8.5833333333333339</v>
      </c>
      <c r="W563" s="4">
        <v>12</v>
      </c>
      <c r="X563" s="4">
        <v>40</v>
      </c>
      <c r="Y563" s="4"/>
      <c r="Z563" s="4">
        <v>666.40000000000009</v>
      </c>
      <c r="AA563" s="4">
        <v>650</v>
      </c>
      <c r="AB563" s="18"/>
      <c r="AC563" s="18">
        <v>11</v>
      </c>
      <c r="AD563" s="28"/>
      <c r="AE563" s="26"/>
      <c r="AF563" s="28"/>
    </row>
    <row r="564" spans="1:32" ht="13.5" customHeight="1" x14ac:dyDescent="0.25">
      <c r="A564" s="14">
        <v>45729</v>
      </c>
      <c r="B564" s="14" t="s">
        <v>46</v>
      </c>
      <c r="C564" s="15">
        <v>7</v>
      </c>
      <c r="D564" s="16">
        <v>6</v>
      </c>
      <c r="E564" s="16"/>
      <c r="F564" s="17"/>
      <c r="G564" s="21"/>
      <c r="H564" s="21"/>
      <c r="I564" s="4">
        <v>6</v>
      </c>
      <c r="J564" s="4">
        <v>0.1</v>
      </c>
      <c r="K564" s="4"/>
      <c r="L564" s="16"/>
      <c r="M564" s="4"/>
      <c r="N564" s="4"/>
      <c r="O564" s="4"/>
      <c r="P564" s="4"/>
      <c r="Q564" s="4"/>
      <c r="R564" s="4"/>
      <c r="S564" s="4">
        <v>0</v>
      </c>
      <c r="T564" s="4">
        <v>0</v>
      </c>
      <c r="U564" s="4">
        <v>0.1</v>
      </c>
      <c r="V564" s="4">
        <v>11.9</v>
      </c>
      <c r="W564" s="4">
        <v>12</v>
      </c>
      <c r="X564" s="4">
        <v>0</v>
      </c>
      <c r="Y564" s="4"/>
      <c r="Z564" s="4">
        <v>439.29999999999995</v>
      </c>
      <c r="AA564" s="4">
        <v>450</v>
      </c>
      <c r="AB564" s="18"/>
      <c r="AC564" s="18">
        <v>11</v>
      </c>
      <c r="AD564" s="28"/>
      <c r="AE564" s="26"/>
      <c r="AF564" s="28"/>
    </row>
    <row r="565" spans="1:32" ht="13.5" customHeight="1" x14ac:dyDescent="0.25">
      <c r="A565" s="14">
        <v>45729</v>
      </c>
      <c r="B565" s="14" t="s">
        <v>47</v>
      </c>
      <c r="C565" s="15">
        <v>7</v>
      </c>
      <c r="D565" s="16"/>
      <c r="E565" s="16"/>
      <c r="F565" s="17"/>
      <c r="G565" s="21"/>
      <c r="H565" s="21"/>
      <c r="I565" s="4">
        <v>0</v>
      </c>
      <c r="J565" s="4">
        <v>0</v>
      </c>
      <c r="K565" s="4"/>
      <c r="L565" s="16"/>
      <c r="M565" s="4"/>
      <c r="N565" s="4"/>
      <c r="O565" s="4"/>
      <c r="P565" s="4"/>
      <c r="Q565" s="4"/>
      <c r="R565" s="4"/>
      <c r="S565" s="4">
        <v>0</v>
      </c>
      <c r="T565" s="4">
        <v>0</v>
      </c>
      <c r="U565" s="4">
        <v>0</v>
      </c>
      <c r="V565" s="4">
        <v>12</v>
      </c>
      <c r="W565" s="4">
        <v>12</v>
      </c>
      <c r="X565" s="4">
        <v>25</v>
      </c>
      <c r="Y565" s="4"/>
      <c r="Z565" s="4">
        <v>587.77</v>
      </c>
      <c r="AA565" s="4">
        <v>600</v>
      </c>
      <c r="AB565" s="18"/>
      <c r="AC565" s="18">
        <v>11</v>
      </c>
      <c r="AD565" s="28"/>
      <c r="AE565" s="26"/>
      <c r="AF565" s="28"/>
    </row>
    <row r="566" spans="1:32" ht="13.5" customHeight="1" x14ac:dyDescent="0.25">
      <c r="A566" s="14">
        <v>45730</v>
      </c>
      <c r="B566" s="14" t="s">
        <v>46</v>
      </c>
      <c r="C566" s="15">
        <v>1</v>
      </c>
      <c r="D566" s="16"/>
      <c r="E566" s="16"/>
      <c r="F566" s="17"/>
      <c r="G566" s="21"/>
      <c r="H566" s="21"/>
      <c r="I566" s="4">
        <v>0</v>
      </c>
      <c r="J566" s="4">
        <v>0</v>
      </c>
      <c r="K566" s="4"/>
      <c r="L566" s="16"/>
      <c r="M566" s="4"/>
      <c r="N566" s="4"/>
      <c r="O566" s="4"/>
      <c r="P566" s="4"/>
      <c r="Q566" s="4"/>
      <c r="R566" s="4"/>
      <c r="S566" s="4">
        <v>0</v>
      </c>
      <c r="T566" s="4">
        <v>0</v>
      </c>
      <c r="U566" s="4">
        <v>0</v>
      </c>
      <c r="V566" s="4">
        <v>12</v>
      </c>
      <c r="W566" s="4">
        <v>12</v>
      </c>
      <c r="X566" s="4">
        <v>0</v>
      </c>
      <c r="Y566" s="4">
        <v>2035</v>
      </c>
      <c r="Z566" s="4">
        <v>147.9</v>
      </c>
      <c r="AA566" s="4">
        <v>150</v>
      </c>
      <c r="AB566" s="18">
        <v>372</v>
      </c>
      <c r="AC566" s="18">
        <v>11</v>
      </c>
      <c r="AD566" s="28"/>
      <c r="AE566" s="26"/>
      <c r="AF566" s="28"/>
    </row>
    <row r="567" spans="1:32" ht="13.5" customHeight="1" x14ac:dyDescent="0.25">
      <c r="A567" s="14">
        <v>45730</v>
      </c>
      <c r="B567" s="14" t="s">
        <v>47</v>
      </c>
      <c r="C567" s="15">
        <v>1</v>
      </c>
      <c r="D567" s="16"/>
      <c r="E567" s="16"/>
      <c r="F567" s="17"/>
      <c r="G567" s="21"/>
      <c r="H567" s="21"/>
      <c r="I567" s="4">
        <v>0</v>
      </c>
      <c r="J567" s="4">
        <v>0</v>
      </c>
      <c r="K567" s="4"/>
      <c r="L567" s="16"/>
      <c r="M567" s="4"/>
      <c r="N567" s="4"/>
      <c r="O567" s="4"/>
      <c r="P567" s="4"/>
      <c r="Q567" s="4"/>
      <c r="R567" s="4"/>
      <c r="S567" s="4">
        <v>0</v>
      </c>
      <c r="T567" s="4">
        <v>0</v>
      </c>
      <c r="U567" s="4">
        <v>0</v>
      </c>
      <c r="V567" s="4">
        <v>12</v>
      </c>
      <c r="W567" s="4">
        <v>12</v>
      </c>
      <c r="X567" s="4">
        <v>0</v>
      </c>
      <c r="Y567" s="4"/>
      <c r="Z567" s="4">
        <v>154.19999999999999</v>
      </c>
      <c r="AA567" s="4">
        <v>150</v>
      </c>
      <c r="AB567" s="18"/>
      <c r="AC567" s="18">
        <v>11</v>
      </c>
      <c r="AD567" s="28"/>
      <c r="AE567" s="26"/>
      <c r="AF567" s="28"/>
    </row>
    <row r="568" spans="1:32" ht="13.5" customHeight="1" x14ac:dyDescent="0.25">
      <c r="A568" s="14">
        <v>45730</v>
      </c>
      <c r="B568" s="14" t="s">
        <v>46</v>
      </c>
      <c r="C568" s="15">
        <v>3</v>
      </c>
      <c r="D568" s="16"/>
      <c r="E568" s="16"/>
      <c r="F568" s="17"/>
      <c r="G568" s="21"/>
      <c r="H568" s="21"/>
      <c r="I568" s="4">
        <v>0</v>
      </c>
      <c r="J568" s="4">
        <v>0</v>
      </c>
      <c r="K568" s="4"/>
      <c r="L568" s="16"/>
      <c r="M568" s="4"/>
      <c r="N568" s="4"/>
      <c r="O568" s="4"/>
      <c r="P568" s="4"/>
      <c r="Q568" s="4"/>
      <c r="R568" s="4"/>
      <c r="S568" s="4">
        <v>0</v>
      </c>
      <c r="T568" s="4">
        <v>0</v>
      </c>
      <c r="U568" s="4">
        <v>0</v>
      </c>
      <c r="V568" s="4">
        <v>12</v>
      </c>
      <c r="W568" s="4">
        <v>12</v>
      </c>
      <c r="X568" s="4">
        <v>0</v>
      </c>
      <c r="Y568" s="4"/>
      <c r="Z568" s="4">
        <v>449.40000000000003</v>
      </c>
      <c r="AA568" s="4">
        <v>400</v>
      </c>
      <c r="AB568" s="18"/>
      <c r="AC568" s="18">
        <v>11</v>
      </c>
      <c r="AD568" s="28"/>
      <c r="AE568" s="26"/>
      <c r="AF568" s="28"/>
    </row>
    <row r="569" spans="1:32" ht="13.5" customHeight="1" x14ac:dyDescent="0.25">
      <c r="A569" s="14">
        <v>45730</v>
      </c>
      <c r="B569" s="14" t="s">
        <v>47</v>
      </c>
      <c r="C569" s="15">
        <v>3</v>
      </c>
      <c r="D569" s="16"/>
      <c r="E569" s="16"/>
      <c r="F569" s="17"/>
      <c r="G569" s="21"/>
      <c r="H569" s="21"/>
      <c r="I569" s="4">
        <v>0</v>
      </c>
      <c r="J569" s="4">
        <v>0</v>
      </c>
      <c r="K569" s="4"/>
      <c r="L569" s="16"/>
      <c r="M569" s="4"/>
      <c r="N569" s="4"/>
      <c r="O569" s="4"/>
      <c r="P569" s="4"/>
      <c r="Q569" s="4"/>
      <c r="R569" s="4"/>
      <c r="S569" s="4">
        <v>0</v>
      </c>
      <c r="T569" s="4">
        <v>0</v>
      </c>
      <c r="U569" s="4">
        <v>0</v>
      </c>
      <c r="V569" s="4">
        <v>12</v>
      </c>
      <c r="W569" s="4">
        <v>12</v>
      </c>
      <c r="X569" s="4">
        <v>0</v>
      </c>
      <c r="Y569" s="4"/>
      <c r="Z569" s="4">
        <v>433.49999999999994</v>
      </c>
      <c r="AA569" s="4">
        <v>400</v>
      </c>
      <c r="AB569" s="18"/>
      <c r="AC569" s="18">
        <v>11</v>
      </c>
      <c r="AD569" s="28"/>
      <c r="AE569" s="26"/>
      <c r="AF569" s="28"/>
    </row>
    <row r="570" spans="1:32" ht="13.5" customHeight="1" x14ac:dyDescent="0.25">
      <c r="A570" s="14">
        <v>45730</v>
      </c>
      <c r="B570" s="14" t="s">
        <v>46</v>
      </c>
      <c r="C570" s="15">
        <v>6</v>
      </c>
      <c r="D570" s="16"/>
      <c r="E570" s="16"/>
      <c r="F570" s="17"/>
      <c r="G570" s="21"/>
      <c r="H570" s="21"/>
      <c r="I570" s="4">
        <v>0</v>
      </c>
      <c r="J570" s="4">
        <v>0</v>
      </c>
      <c r="K570" s="4"/>
      <c r="L570" s="16"/>
      <c r="M570" s="4"/>
      <c r="N570" s="4">
        <v>15</v>
      </c>
      <c r="O570" s="4"/>
      <c r="P570" s="4"/>
      <c r="Q570" s="4">
        <v>20</v>
      </c>
      <c r="R570" s="4"/>
      <c r="S570" s="4">
        <v>35</v>
      </c>
      <c r="T570" s="4">
        <v>0.58333333333333337</v>
      </c>
      <c r="U570" s="4">
        <v>0.58333333333333337</v>
      </c>
      <c r="V570" s="4">
        <v>11.416666666666666</v>
      </c>
      <c r="W570" s="4">
        <v>12</v>
      </c>
      <c r="X570" s="4">
        <v>123.2</v>
      </c>
      <c r="Y570" s="4"/>
      <c r="Z570" s="4">
        <v>717.8</v>
      </c>
      <c r="AA570" s="4">
        <v>700</v>
      </c>
      <c r="AB570" s="18"/>
      <c r="AC570" s="18">
        <v>11</v>
      </c>
      <c r="AD570" s="28"/>
      <c r="AE570" s="26"/>
      <c r="AF570" s="28"/>
    </row>
    <row r="571" spans="1:32" ht="13.5" customHeight="1" x14ac:dyDescent="0.25">
      <c r="A571" s="14">
        <v>45730</v>
      </c>
      <c r="B571" s="14" t="s">
        <v>47</v>
      </c>
      <c r="C571" s="15">
        <v>6</v>
      </c>
      <c r="D571" s="16"/>
      <c r="E571" s="16"/>
      <c r="F571" s="17"/>
      <c r="G571" s="21"/>
      <c r="H571" s="21"/>
      <c r="I571" s="4">
        <v>0</v>
      </c>
      <c r="J571" s="4">
        <v>0</v>
      </c>
      <c r="K571" s="4"/>
      <c r="L571" s="16"/>
      <c r="M571" s="4"/>
      <c r="N571" s="4">
        <v>55</v>
      </c>
      <c r="O571" s="4"/>
      <c r="P571" s="4"/>
      <c r="Q571" s="4"/>
      <c r="R571" s="4"/>
      <c r="S571" s="4">
        <v>55</v>
      </c>
      <c r="T571" s="4">
        <v>0.91666666666666663</v>
      </c>
      <c r="U571" s="4">
        <v>0.91666666666666663</v>
      </c>
      <c r="V571" s="4">
        <v>11.083333333333334</v>
      </c>
      <c r="W571" s="4">
        <v>12</v>
      </c>
      <c r="X571" s="4">
        <v>118</v>
      </c>
      <c r="Y571" s="4"/>
      <c r="Z571" s="4">
        <v>669.60000000000014</v>
      </c>
      <c r="AA571" s="4">
        <v>650</v>
      </c>
      <c r="AB571" s="18"/>
      <c r="AC571" s="18">
        <v>11</v>
      </c>
      <c r="AD571" s="28"/>
      <c r="AE571" s="26"/>
      <c r="AF571" s="28"/>
    </row>
    <row r="572" spans="1:32" ht="13.5" customHeight="1" x14ac:dyDescent="0.25">
      <c r="A572" s="14">
        <v>45730</v>
      </c>
      <c r="B572" s="14" t="s">
        <v>46</v>
      </c>
      <c r="C572" s="15">
        <v>7</v>
      </c>
      <c r="D572" s="16"/>
      <c r="E572" s="16"/>
      <c r="F572" s="17"/>
      <c r="G572" s="21"/>
      <c r="H572" s="21"/>
      <c r="I572" s="4">
        <v>0</v>
      </c>
      <c r="J572" s="4">
        <v>0</v>
      </c>
      <c r="K572" s="4"/>
      <c r="L572" s="16"/>
      <c r="M572" s="4"/>
      <c r="N572" s="4"/>
      <c r="O572" s="4"/>
      <c r="P572" s="4"/>
      <c r="Q572" s="4"/>
      <c r="R572" s="4"/>
      <c r="S572" s="4">
        <v>0</v>
      </c>
      <c r="T572" s="4">
        <v>0</v>
      </c>
      <c r="U572" s="4">
        <v>0</v>
      </c>
      <c r="V572" s="4">
        <v>12</v>
      </c>
      <c r="W572" s="4">
        <v>12</v>
      </c>
      <c r="X572" s="4">
        <v>0</v>
      </c>
      <c r="Y572" s="4"/>
      <c r="Z572" s="4">
        <v>470.4</v>
      </c>
      <c r="AA572" s="4">
        <v>450</v>
      </c>
      <c r="AB572" s="18"/>
      <c r="AC572" s="18">
        <v>11</v>
      </c>
      <c r="AD572" s="28"/>
      <c r="AE572" s="26"/>
      <c r="AF572" s="28"/>
    </row>
    <row r="573" spans="1:32" ht="13.5" customHeight="1" x14ac:dyDescent="0.25">
      <c r="A573" s="14">
        <v>45730</v>
      </c>
      <c r="B573" s="14" t="s">
        <v>47</v>
      </c>
      <c r="C573" s="15">
        <v>7</v>
      </c>
      <c r="D573" s="16"/>
      <c r="E573" s="16"/>
      <c r="F573" s="17"/>
      <c r="G573" s="21"/>
      <c r="H573" s="21"/>
      <c r="I573" s="4">
        <v>0</v>
      </c>
      <c r="J573" s="4">
        <v>0</v>
      </c>
      <c r="K573" s="4"/>
      <c r="L573" s="16"/>
      <c r="M573" s="4"/>
      <c r="N573" s="4"/>
      <c r="O573" s="4"/>
      <c r="P573" s="4"/>
      <c r="Q573" s="4"/>
      <c r="R573" s="4"/>
      <c r="S573" s="4">
        <v>0</v>
      </c>
      <c r="T573" s="4">
        <v>0</v>
      </c>
      <c r="U573" s="4">
        <v>0</v>
      </c>
      <c r="V573" s="4">
        <v>12</v>
      </c>
      <c r="W573" s="4">
        <v>12</v>
      </c>
      <c r="X573" s="4">
        <v>5.5</v>
      </c>
      <c r="Y573" s="4"/>
      <c r="Z573" s="4">
        <v>534</v>
      </c>
      <c r="AA573" s="4">
        <v>500</v>
      </c>
      <c r="AB573" s="18"/>
      <c r="AC573" s="18">
        <v>11</v>
      </c>
      <c r="AD573" s="28"/>
      <c r="AE573" s="26"/>
      <c r="AF573" s="28"/>
    </row>
    <row r="574" spans="1:32" ht="13.5" customHeight="1" x14ac:dyDescent="0.25">
      <c r="A574" s="14">
        <v>45731</v>
      </c>
      <c r="B574" s="14" t="s">
        <v>46</v>
      </c>
      <c r="C574" s="15">
        <v>1</v>
      </c>
      <c r="D574" s="16"/>
      <c r="E574" s="16"/>
      <c r="F574" s="17"/>
      <c r="G574" s="21"/>
      <c r="H574" s="21"/>
      <c r="I574" s="4">
        <v>0</v>
      </c>
      <c r="J574" s="4">
        <v>0</v>
      </c>
      <c r="K574" s="4"/>
      <c r="L574" s="16"/>
      <c r="M574" s="4"/>
      <c r="N574" s="4"/>
      <c r="O574" s="4"/>
      <c r="P574" s="4"/>
      <c r="Q574" s="4"/>
      <c r="R574" s="4"/>
      <c r="S574" s="4">
        <v>0</v>
      </c>
      <c r="T574" s="4">
        <v>0</v>
      </c>
      <c r="U574" s="4">
        <v>0</v>
      </c>
      <c r="V574" s="4">
        <v>12</v>
      </c>
      <c r="W574" s="4">
        <v>12</v>
      </c>
      <c r="X574" s="4">
        <v>0</v>
      </c>
      <c r="Y574" s="4">
        <v>1884</v>
      </c>
      <c r="Z574" s="4">
        <v>108.2</v>
      </c>
      <c r="AA574" s="4">
        <v>100</v>
      </c>
      <c r="AB574" s="18">
        <v>372</v>
      </c>
      <c r="AC574" s="18">
        <v>11</v>
      </c>
      <c r="AD574" s="28"/>
      <c r="AE574" s="26"/>
      <c r="AF574" s="28"/>
    </row>
    <row r="575" spans="1:32" ht="13.5" customHeight="1" x14ac:dyDescent="0.25">
      <c r="A575" s="14">
        <v>45731</v>
      </c>
      <c r="B575" s="14" t="s">
        <v>47</v>
      </c>
      <c r="C575" s="15">
        <v>1</v>
      </c>
      <c r="D575" s="16"/>
      <c r="E575" s="16"/>
      <c r="F575" s="17"/>
      <c r="G575" s="21"/>
      <c r="H575" s="21"/>
      <c r="I575" s="4">
        <v>0</v>
      </c>
      <c r="J575" s="4">
        <v>0</v>
      </c>
      <c r="K575" s="4"/>
      <c r="L575" s="16"/>
      <c r="M575" s="4"/>
      <c r="N575" s="4"/>
      <c r="O575" s="4"/>
      <c r="P575" s="4"/>
      <c r="Q575" s="4"/>
      <c r="R575" s="4"/>
      <c r="S575" s="4">
        <v>0</v>
      </c>
      <c r="T575" s="4">
        <v>0</v>
      </c>
      <c r="U575" s="4">
        <v>0</v>
      </c>
      <c r="V575" s="4">
        <v>12</v>
      </c>
      <c r="W575" s="4">
        <v>12</v>
      </c>
      <c r="X575" s="4">
        <v>2</v>
      </c>
      <c r="Y575" s="4"/>
      <c r="Z575" s="4">
        <v>213.8</v>
      </c>
      <c r="AA575" s="4">
        <v>200</v>
      </c>
      <c r="AB575" s="18"/>
      <c r="AC575" s="18">
        <v>11</v>
      </c>
      <c r="AD575" s="28"/>
      <c r="AE575" s="26"/>
      <c r="AF575" s="28"/>
    </row>
    <row r="576" spans="1:32" ht="13.5" customHeight="1" x14ac:dyDescent="0.25">
      <c r="A576" s="14">
        <v>45731</v>
      </c>
      <c r="B576" s="14" t="s">
        <v>46</v>
      </c>
      <c r="C576" s="15">
        <v>3</v>
      </c>
      <c r="D576" s="16">
        <v>3</v>
      </c>
      <c r="E576" s="16"/>
      <c r="F576" s="17"/>
      <c r="G576" s="21"/>
      <c r="H576" s="21"/>
      <c r="I576" s="4">
        <v>3</v>
      </c>
      <c r="J576" s="4">
        <v>0.05</v>
      </c>
      <c r="K576" s="4"/>
      <c r="L576" s="16"/>
      <c r="M576" s="4"/>
      <c r="N576" s="4"/>
      <c r="O576" s="4"/>
      <c r="P576" s="4"/>
      <c r="Q576" s="4"/>
      <c r="R576" s="4"/>
      <c r="S576" s="4">
        <v>0</v>
      </c>
      <c r="T576" s="4">
        <v>0</v>
      </c>
      <c r="U576" s="4">
        <v>0.05</v>
      </c>
      <c r="V576" s="4">
        <v>11.95</v>
      </c>
      <c r="W576" s="4">
        <v>12</v>
      </c>
      <c r="X576" s="4">
        <v>0</v>
      </c>
      <c r="Y576" s="4"/>
      <c r="Z576" s="4">
        <v>359.3</v>
      </c>
      <c r="AA576" s="4">
        <v>350</v>
      </c>
      <c r="AB576" s="18"/>
      <c r="AC576" s="18">
        <v>11</v>
      </c>
      <c r="AD576" s="28"/>
      <c r="AE576" s="26"/>
      <c r="AF576" s="28"/>
    </row>
    <row r="577" spans="1:32" ht="13.5" customHeight="1" x14ac:dyDescent="0.25">
      <c r="A577" s="14">
        <v>45731</v>
      </c>
      <c r="B577" s="14" t="s">
        <v>47</v>
      </c>
      <c r="C577" s="15">
        <v>3</v>
      </c>
      <c r="D577" s="16">
        <v>10</v>
      </c>
      <c r="E577" s="16"/>
      <c r="F577" s="17"/>
      <c r="G577" s="21"/>
      <c r="H577" s="21"/>
      <c r="I577" s="4">
        <v>10</v>
      </c>
      <c r="J577" s="4">
        <v>0.16666666666666666</v>
      </c>
      <c r="K577" s="4"/>
      <c r="L577" s="16"/>
      <c r="M577" s="4"/>
      <c r="N577" s="4"/>
      <c r="O577" s="4"/>
      <c r="P577" s="4"/>
      <c r="Q577" s="4"/>
      <c r="R577" s="4"/>
      <c r="S577" s="4">
        <v>0</v>
      </c>
      <c r="T577" s="4">
        <v>0</v>
      </c>
      <c r="U577" s="4">
        <v>0.16666666666666666</v>
      </c>
      <c r="V577" s="4">
        <v>11.833333333333334</v>
      </c>
      <c r="W577" s="4">
        <v>12</v>
      </c>
      <c r="X577" s="4">
        <v>6</v>
      </c>
      <c r="Y577" s="4"/>
      <c r="Z577" s="4">
        <v>301.39999999999998</v>
      </c>
      <c r="AA577" s="4">
        <v>300</v>
      </c>
      <c r="AB577" s="18"/>
      <c r="AC577" s="18">
        <v>11</v>
      </c>
      <c r="AD577" s="28"/>
      <c r="AE577" s="26"/>
      <c r="AF577" s="28"/>
    </row>
    <row r="578" spans="1:32" ht="13.5" customHeight="1" x14ac:dyDescent="0.25">
      <c r="A578" s="14">
        <v>45731</v>
      </c>
      <c r="B578" s="14" t="s">
        <v>46</v>
      </c>
      <c r="C578" s="15">
        <v>6</v>
      </c>
      <c r="D578" s="16"/>
      <c r="E578" s="16"/>
      <c r="F578" s="17"/>
      <c r="G578" s="21"/>
      <c r="H578" s="21"/>
      <c r="I578" s="4">
        <v>0</v>
      </c>
      <c r="J578" s="4">
        <v>0</v>
      </c>
      <c r="K578" s="4"/>
      <c r="L578" s="16"/>
      <c r="M578" s="4"/>
      <c r="N578" s="4">
        <v>15</v>
      </c>
      <c r="O578" s="4"/>
      <c r="P578" s="4"/>
      <c r="Q578" s="4"/>
      <c r="R578" s="4"/>
      <c r="S578" s="4">
        <v>15</v>
      </c>
      <c r="T578" s="4">
        <v>0.25</v>
      </c>
      <c r="U578" s="4">
        <v>0.25</v>
      </c>
      <c r="V578" s="4">
        <v>11.75</v>
      </c>
      <c r="W578" s="4">
        <v>12</v>
      </c>
      <c r="X578" s="4">
        <v>96</v>
      </c>
      <c r="Y578" s="4"/>
      <c r="Z578" s="4">
        <v>559.29999999999995</v>
      </c>
      <c r="AA578" s="4">
        <v>550</v>
      </c>
      <c r="AB578" s="18"/>
      <c r="AC578" s="18">
        <v>11</v>
      </c>
      <c r="AD578" s="28"/>
      <c r="AE578" s="26"/>
      <c r="AF578" s="28"/>
    </row>
    <row r="579" spans="1:32" ht="13.5" customHeight="1" x14ac:dyDescent="0.25">
      <c r="A579" s="14">
        <v>45731</v>
      </c>
      <c r="B579" s="14" t="s">
        <v>47</v>
      </c>
      <c r="C579" s="15">
        <v>6</v>
      </c>
      <c r="D579" s="16"/>
      <c r="E579" s="16"/>
      <c r="F579" s="17"/>
      <c r="G579" s="21"/>
      <c r="H579" s="21"/>
      <c r="I579" s="4">
        <v>0</v>
      </c>
      <c r="J579" s="4">
        <v>0</v>
      </c>
      <c r="K579" s="4"/>
      <c r="L579" s="16"/>
      <c r="M579" s="4"/>
      <c r="N579" s="4"/>
      <c r="O579" s="4"/>
      <c r="P579" s="4"/>
      <c r="Q579" s="4"/>
      <c r="R579" s="4"/>
      <c r="S579" s="4">
        <v>0</v>
      </c>
      <c r="T579" s="4">
        <v>0</v>
      </c>
      <c r="U579" s="4">
        <v>0</v>
      </c>
      <c r="V579" s="4">
        <v>12</v>
      </c>
      <c r="W579" s="4">
        <v>12</v>
      </c>
      <c r="X579" s="4">
        <v>70</v>
      </c>
      <c r="Y579" s="4"/>
      <c r="Z579" s="4">
        <v>524</v>
      </c>
      <c r="AA579" s="4">
        <v>550</v>
      </c>
      <c r="AB579" s="18"/>
      <c r="AC579" s="18">
        <v>11</v>
      </c>
      <c r="AD579" s="28"/>
      <c r="AE579" s="26"/>
      <c r="AF579" s="28"/>
    </row>
    <row r="580" spans="1:32" ht="13.5" customHeight="1" x14ac:dyDescent="0.25">
      <c r="A580" s="14">
        <v>45731</v>
      </c>
      <c r="B580" s="14" t="s">
        <v>46</v>
      </c>
      <c r="C580" s="15">
        <v>7</v>
      </c>
      <c r="D580" s="16"/>
      <c r="E580" s="16"/>
      <c r="F580" s="17"/>
      <c r="G580" s="21"/>
      <c r="H580" s="21"/>
      <c r="I580" s="4">
        <v>0</v>
      </c>
      <c r="J580" s="4">
        <v>0</v>
      </c>
      <c r="K580" s="4"/>
      <c r="L580" s="16"/>
      <c r="M580" s="4"/>
      <c r="N580" s="4"/>
      <c r="O580" s="4"/>
      <c r="P580" s="4"/>
      <c r="Q580" s="4"/>
      <c r="R580" s="4"/>
      <c r="S580" s="4">
        <v>0</v>
      </c>
      <c r="T580" s="4">
        <v>0</v>
      </c>
      <c r="U580" s="4">
        <v>0</v>
      </c>
      <c r="V580" s="4">
        <v>12</v>
      </c>
      <c r="W580" s="4">
        <v>12</v>
      </c>
      <c r="X580" s="4">
        <v>0</v>
      </c>
      <c r="Y580" s="4"/>
      <c r="Z580" s="4">
        <v>313.66999999999996</v>
      </c>
      <c r="AA580" s="4">
        <v>300</v>
      </c>
      <c r="AB580" s="18"/>
      <c r="AC580" s="18">
        <v>11</v>
      </c>
      <c r="AD580" s="28"/>
      <c r="AE580" s="26"/>
      <c r="AF580" s="28"/>
    </row>
    <row r="581" spans="1:32" ht="13.5" customHeight="1" x14ac:dyDescent="0.25">
      <c r="A581" s="14">
        <v>45731</v>
      </c>
      <c r="B581" s="14" t="s">
        <v>47</v>
      </c>
      <c r="C581" s="15">
        <v>7</v>
      </c>
      <c r="D581" s="16"/>
      <c r="E581" s="16"/>
      <c r="F581" s="17"/>
      <c r="G581" s="21"/>
      <c r="H581" s="21"/>
      <c r="I581" s="4">
        <v>0</v>
      </c>
      <c r="J581" s="4">
        <v>0</v>
      </c>
      <c r="K581" s="4"/>
      <c r="L581" s="16"/>
      <c r="M581" s="4"/>
      <c r="N581" s="4"/>
      <c r="O581" s="4"/>
      <c r="P581" s="4"/>
      <c r="Q581" s="4"/>
      <c r="R581" s="4"/>
      <c r="S581" s="4">
        <v>0</v>
      </c>
      <c r="T581" s="4">
        <v>0</v>
      </c>
      <c r="U581" s="4">
        <v>0</v>
      </c>
      <c r="V581" s="4">
        <v>12</v>
      </c>
      <c r="W581" s="4">
        <v>12</v>
      </c>
      <c r="X581" s="4">
        <v>0</v>
      </c>
      <c r="Y581" s="4"/>
      <c r="Z581" s="4">
        <v>456.08</v>
      </c>
      <c r="AA581" s="4">
        <v>450</v>
      </c>
      <c r="AB581" s="18"/>
      <c r="AC581" s="18">
        <v>11</v>
      </c>
      <c r="AD581" s="28"/>
      <c r="AE581" s="26"/>
      <c r="AF581" s="28"/>
    </row>
    <row r="582" spans="1:32" ht="13.5" customHeight="1" x14ac:dyDescent="0.25">
      <c r="A582" s="14">
        <v>45732</v>
      </c>
      <c r="B582" s="14" t="s">
        <v>46</v>
      </c>
      <c r="C582" s="15">
        <v>1</v>
      </c>
      <c r="D582" s="16"/>
      <c r="E582" s="16"/>
      <c r="F582" s="17"/>
      <c r="G582" s="21"/>
      <c r="H582" s="21"/>
      <c r="I582" s="4">
        <v>0</v>
      </c>
      <c r="J582" s="4">
        <v>0</v>
      </c>
      <c r="K582" s="4"/>
      <c r="L582" s="16"/>
      <c r="M582" s="4"/>
      <c r="N582" s="4"/>
      <c r="O582" s="4"/>
      <c r="P582" s="4"/>
      <c r="Q582" s="4"/>
      <c r="R582" s="4"/>
      <c r="S582" s="4">
        <v>0</v>
      </c>
      <c r="T582" s="4">
        <v>0</v>
      </c>
      <c r="U582" s="4">
        <v>0</v>
      </c>
      <c r="V582" s="4">
        <v>12</v>
      </c>
      <c r="W582" s="4">
        <v>12</v>
      </c>
      <c r="X582" s="4">
        <v>0</v>
      </c>
      <c r="Y582" s="4">
        <v>1901</v>
      </c>
      <c r="Z582" s="4">
        <v>142.79999999999998</v>
      </c>
      <c r="AA582" s="4">
        <v>150</v>
      </c>
      <c r="AB582" s="18">
        <v>372</v>
      </c>
      <c r="AC582" s="18">
        <v>11</v>
      </c>
      <c r="AD582" s="28"/>
      <c r="AE582" s="26"/>
      <c r="AF582" s="28"/>
    </row>
    <row r="583" spans="1:32" ht="13.5" customHeight="1" x14ac:dyDescent="0.25">
      <c r="A583" s="14">
        <v>45732</v>
      </c>
      <c r="B583" s="14" t="s">
        <v>47</v>
      </c>
      <c r="C583" s="15">
        <v>1</v>
      </c>
      <c r="D583" s="16"/>
      <c r="E583" s="16"/>
      <c r="F583" s="17"/>
      <c r="G583" s="21"/>
      <c r="H583" s="21"/>
      <c r="I583" s="4">
        <v>0</v>
      </c>
      <c r="J583" s="4">
        <v>0</v>
      </c>
      <c r="K583" s="4"/>
      <c r="L583" s="16"/>
      <c r="M583" s="4"/>
      <c r="N583" s="4"/>
      <c r="O583" s="4"/>
      <c r="P583" s="4"/>
      <c r="Q583" s="4"/>
      <c r="R583" s="4"/>
      <c r="S583" s="4">
        <v>0</v>
      </c>
      <c r="T583" s="4">
        <v>0</v>
      </c>
      <c r="U583" s="4">
        <v>0</v>
      </c>
      <c r="V583" s="4">
        <v>12</v>
      </c>
      <c r="W583" s="4">
        <v>12</v>
      </c>
      <c r="X583" s="4">
        <v>0</v>
      </c>
      <c r="Y583" s="4"/>
      <c r="Z583" s="4">
        <v>171.79999999999998</v>
      </c>
      <c r="AA583" s="4">
        <v>200</v>
      </c>
      <c r="AB583" s="18"/>
      <c r="AC583" s="18">
        <v>11</v>
      </c>
      <c r="AD583" s="28"/>
      <c r="AE583" s="26"/>
      <c r="AF583" s="28"/>
    </row>
    <row r="584" spans="1:32" ht="13.5" customHeight="1" x14ac:dyDescent="0.25">
      <c r="A584" s="14">
        <v>45732</v>
      </c>
      <c r="B584" s="14" t="s">
        <v>46</v>
      </c>
      <c r="C584" s="15">
        <v>3</v>
      </c>
      <c r="D584" s="16"/>
      <c r="E584" s="16"/>
      <c r="F584" s="17"/>
      <c r="G584" s="21"/>
      <c r="H584" s="21"/>
      <c r="I584" s="4">
        <v>0</v>
      </c>
      <c r="J584" s="4">
        <v>0</v>
      </c>
      <c r="K584" s="4"/>
      <c r="L584" s="16"/>
      <c r="M584" s="4"/>
      <c r="N584" s="4"/>
      <c r="O584" s="4"/>
      <c r="P584" s="4">
        <v>30</v>
      </c>
      <c r="Q584" s="4"/>
      <c r="R584" s="4"/>
      <c r="S584" s="4">
        <v>30</v>
      </c>
      <c r="T584" s="4">
        <v>0.5</v>
      </c>
      <c r="U584" s="4">
        <v>0.5</v>
      </c>
      <c r="V584" s="4">
        <v>11.5</v>
      </c>
      <c r="W584" s="4">
        <v>12</v>
      </c>
      <c r="X584" s="4">
        <v>0</v>
      </c>
      <c r="Y584" s="4"/>
      <c r="Z584" s="4">
        <v>430.8</v>
      </c>
      <c r="AA584" s="4">
        <v>450</v>
      </c>
      <c r="AB584" s="18"/>
      <c r="AC584" s="18">
        <v>11</v>
      </c>
      <c r="AD584" s="28"/>
      <c r="AE584" s="26"/>
      <c r="AF584" s="28"/>
    </row>
    <row r="585" spans="1:32" ht="13.5" customHeight="1" x14ac:dyDescent="0.25">
      <c r="A585" s="14">
        <v>45732</v>
      </c>
      <c r="B585" s="14" t="s">
        <v>47</v>
      </c>
      <c r="C585" s="15">
        <v>3</v>
      </c>
      <c r="D585" s="16"/>
      <c r="E585" s="16"/>
      <c r="F585" s="17"/>
      <c r="G585" s="21"/>
      <c r="H585" s="21"/>
      <c r="I585" s="4">
        <v>0</v>
      </c>
      <c r="J585" s="4">
        <v>0</v>
      </c>
      <c r="K585" s="4"/>
      <c r="L585" s="16"/>
      <c r="M585" s="4"/>
      <c r="N585" s="4"/>
      <c r="O585" s="4"/>
      <c r="P585" s="4"/>
      <c r="Q585" s="4"/>
      <c r="R585" s="4"/>
      <c r="S585" s="4">
        <v>0</v>
      </c>
      <c r="T585" s="4">
        <v>0</v>
      </c>
      <c r="U585" s="4">
        <v>0</v>
      </c>
      <c r="V585" s="4">
        <v>12</v>
      </c>
      <c r="W585" s="4">
        <v>12</v>
      </c>
      <c r="X585" s="4">
        <v>0</v>
      </c>
      <c r="Y585" s="4"/>
      <c r="Z585" s="4">
        <v>509</v>
      </c>
      <c r="AA585" s="4">
        <v>500</v>
      </c>
      <c r="AB585" s="18"/>
      <c r="AC585" s="18">
        <v>11</v>
      </c>
      <c r="AD585" s="28"/>
      <c r="AE585" s="26"/>
      <c r="AF585" s="28"/>
    </row>
    <row r="586" spans="1:32" ht="13.5" customHeight="1" x14ac:dyDescent="0.25">
      <c r="A586" s="14">
        <v>45732</v>
      </c>
      <c r="B586" s="14" t="s">
        <v>46</v>
      </c>
      <c r="C586" s="15">
        <v>6</v>
      </c>
      <c r="D586" s="16"/>
      <c r="E586" s="16"/>
      <c r="F586" s="17"/>
      <c r="G586" s="21"/>
      <c r="H586" s="21"/>
      <c r="I586" s="4">
        <v>0</v>
      </c>
      <c r="J586" s="4">
        <v>0</v>
      </c>
      <c r="K586" s="4"/>
      <c r="L586" s="16"/>
      <c r="M586" s="4"/>
      <c r="N586" s="4">
        <v>30</v>
      </c>
      <c r="O586" s="4"/>
      <c r="P586" s="4"/>
      <c r="Q586" s="4"/>
      <c r="R586" s="4"/>
      <c r="S586" s="4">
        <v>30</v>
      </c>
      <c r="T586" s="4">
        <v>0.5</v>
      </c>
      <c r="U586" s="4">
        <v>0.5</v>
      </c>
      <c r="V586" s="4">
        <v>11.5</v>
      </c>
      <c r="W586" s="4">
        <v>12</v>
      </c>
      <c r="X586" s="4">
        <v>51</v>
      </c>
      <c r="Y586" s="4"/>
      <c r="Z586" s="4">
        <v>718.2</v>
      </c>
      <c r="AA586" s="4">
        <v>700</v>
      </c>
      <c r="AB586" s="18"/>
      <c r="AC586" s="18">
        <v>11</v>
      </c>
      <c r="AD586" s="28"/>
      <c r="AE586" s="26"/>
      <c r="AF586" s="28"/>
    </row>
    <row r="587" spans="1:32" ht="13.5" customHeight="1" x14ac:dyDescent="0.25">
      <c r="A587" s="14">
        <v>45732</v>
      </c>
      <c r="B587" s="14" t="s">
        <v>47</v>
      </c>
      <c r="C587" s="15">
        <v>6</v>
      </c>
      <c r="D587" s="16"/>
      <c r="E587" s="16"/>
      <c r="F587" s="17"/>
      <c r="G587" s="21"/>
      <c r="H587" s="21"/>
      <c r="I587" s="4">
        <v>0</v>
      </c>
      <c r="J587" s="4">
        <v>0</v>
      </c>
      <c r="K587" s="4"/>
      <c r="L587" s="16"/>
      <c r="M587" s="4"/>
      <c r="N587" s="4"/>
      <c r="O587" s="4"/>
      <c r="P587" s="4"/>
      <c r="Q587" s="4"/>
      <c r="R587" s="4"/>
      <c r="S587" s="4">
        <v>0</v>
      </c>
      <c r="T587" s="4">
        <v>0</v>
      </c>
      <c r="U587" s="4">
        <v>0</v>
      </c>
      <c r="V587" s="4">
        <v>12</v>
      </c>
      <c r="W587" s="4">
        <v>12</v>
      </c>
      <c r="X587" s="4">
        <v>96</v>
      </c>
      <c r="Y587" s="4"/>
      <c r="Z587" s="4">
        <v>757.4</v>
      </c>
      <c r="AA587" s="4">
        <v>750</v>
      </c>
      <c r="AB587" s="18"/>
      <c r="AC587" s="18">
        <v>11</v>
      </c>
      <c r="AD587" s="28"/>
      <c r="AE587" s="26"/>
      <c r="AF587" s="28"/>
    </row>
    <row r="588" spans="1:32" ht="13.5" customHeight="1" x14ac:dyDescent="0.25">
      <c r="A588" s="14">
        <v>45732</v>
      </c>
      <c r="B588" s="14" t="s">
        <v>46</v>
      </c>
      <c r="C588" s="15">
        <v>7</v>
      </c>
      <c r="D588" s="16"/>
      <c r="E588" s="16"/>
      <c r="F588" s="17"/>
      <c r="G588" s="21"/>
      <c r="H588" s="21"/>
      <c r="I588" s="4">
        <v>0</v>
      </c>
      <c r="J588" s="4">
        <v>0</v>
      </c>
      <c r="K588" s="4"/>
      <c r="L588" s="16"/>
      <c r="M588" s="4"/>
      <c r="N588" s="4"/>
      <c r="O588" s="4"/>
      <c r="P588" s="4"/>
      <c r="Q588" s="4"/>
      <c r="R588" s="4"/>
      <c r="S588" s="4">
        <v>0</v>
      </c>
      <c r="T588" s="4">
        <v>0</v>
      </c>
      <c r="U588" s="4">
        <v>0</v>
      </c>
      <c r="V588" s="4">
        <v>12</v>
      </c>
      <c r="W588" s="4">
        <v>12</v>
      </c>
      <c r="X588" s="4">
        <v>0</v>
      </c>
      <c r="Y588" s="4"/>
      <c r="Z588" s="4">
        <v>328.86</v>
      </c>
      <c r="AA588" s="4">
        <v>350</v>
      </c>
      <c r="AB588" s="18"/>
      <c r="AC588" s="18">
        <v>11</v>
      </c>
      <c r="AD588" s="28"/>
      <c r="AE588" s="26"/>
      <c r="AF588" s="28"/>
    </row>
    <row r="589" spans="1:32" ht="13.5" customHeight="1" x14ac:dyDescent="0.25">
      <c r="A589" s="14">
        <v>45732</v>
      </c>
      <c r="B589" s="14" t="s">
        <v>47</v>
      </c>
      <c r="C589" s="15">
        <v>7</v>
      </c>
      <c r="D589" s="16"/>
      <c r="E589" s="16"/>
      <c r="F589" s="17"/>
      <c r="G589" s="21"/>
      <c r="H589" s="21"/>
      <c r="I589" s="4">
        <v>0</v>
      </c>
      <c r="J589" s="4">
        <v>0</v>
      </c>
      <c r="K589" s="4"/>
      <c r="L589" s="16"/>
      <c r="M589" s="4"/>
      <c r="N589" s="4"/>
      <c r="O589" s="4"/>
      <c r="P589" s="4"/>
      <c r="Q589" s="4"/>
      <c r="R589" s="4"/>
      <c r="S589" s="4">
        <v>0</v>
      </c>
      <c r="T589" s="4">
        <v>0</v>
      </c>
      <c r="U589" s="4">
        <v>0</v>
      </c>
      <c r="V589" s="4">
        <v>12</v>
      </c>
      <c r="W589" s="4">
        <v>12</v>
      </c>
      <c r="X589" s="4">
        <v>0</v>
      </c>
      <c r="Y589" s="4"/>
      <c r="Z589" s="4">
        <v>405.40000000000003</v>
      </c>
      <c r="AA589" s="4">
        <v>400</v>
      </c>
      <c r="AB589" s="18"/>
      <c r="AC589" s="18">
        <v>11</v>
      </c>
      <c r="AD589" s="28"/>
      <c r="AE589" s="26"/>
      <c r="AF589" s="28"/>
    </row>
    <row r="590" spans="1:32" ht="13.5" customHeight="1" x14ac:dyDescent="0.25">
      <c r="A590" s="14">
        <v>45733</v>
      </c>
      <c r="B590" s="14" t="s">
        <v>46</v>
      </c>
      <c r="C590" s="15">
        <v>1</v>
      </c>
      <c r="D590" s="16"/>
      <c r="E590" s="16"/>
      <c r="F590" s="17"/>
      <c r="G590" s="21"/>
      <c r="H590" s="21"/>
      <c r="I590" s="4">
        <v>0</v>
      </c>
      <c r="J590" s="4">
        <v>0</v>
      </c>
      <c r="K590" s="4"/>
      <c r="L590" s="16"/>
      <c r="M590" s="4"/>
      <c r="N590" s="4"/>
      <c r="O590" s="4"/>
      <c r="P590" s="4"/>
      <c r="Q590" s="4"/>
      <c r="R590" s="4"/>
      <c r="S590" s="4">
        <v>0</v>
      </c>
      <c r="T590" s="4">
        <v>0</v>
      </c>
      <c r="U590" s="4">
        <v>0</v>
      </c>
      <c r="V590" s="4">
        <v>12</v>
      </c>
      <c r="W590" s="4">
        <v>12</v>
      </c>
      <c r="X590" s="4">
        <v>0</v>
      </c>
      <c r="Y590" s="4">
        <v>2008</v>
      </c>
      <c r="Z590" s="4">
        <v>121</v>
      </c>
      <c r="AA590" s="4">
        <v>100</v>
      </c>
      <c r="AB590" s="18">
        <v>372</v>
      </c>
      <c r="AC590" s="18">
        <v>12</v>
      </c>
      <c r="AD590" s="28"/>
      <c r="AE590" s="26"/>
      <c r="AF590" s="28"/>
    </row>
    <row r="591" spans="1:32" ht="13.5" customHeight="1" x14ac:dyDescent="0.25">
      <c r="A591" s="14">
        <v>45733</v>
      </c>
      <c r="B591" s="14" t="s">
        <v>47</v>
      </c>
      <c r="C591" s="15">
        <v>1</v>
      </c>
      <c r="D591" s="16"/>
      <c r="E591" s="16"/>
      <c r="F591" s="17"/>
      <c r="G591" s="21"/>
      <c r="H591" s="21"/>
      <c r="I591" s="4">
        <v>0</v>
      </c>
      <c r="J591" s="4">
        <v>0</v>
      </c>
      <c r="K591" s="4"/>
      <c r="L591" s="16"/>
      <c r="M591" s="4"/>
      <c r="N591" s="4"/>
      <c r="O591" s="4"/>
      <c r="P591" s="4"/>
      <c r="Q591" s="4"/>
      <c r="R591" s="4"/>
      <c r="S591" s="4">
        <v>0</v>
      </c>
      <c r="T591" s="4">
        <v>0</v>
      </c>
      <c r="U591" s="4">
        <v>0</v>
      </c>
      <c r="V591" s="4">
        <v>12</v>
      </c>
      <c r="W591" s="4">
        <v>12</v>
      </c>
      <c r="X591" s="4">
        <v>0</v>
      </c>
      <c r="Y591" s="4"/>
      <c r="Z591" s="4">
        <v>166.79999999999998</v>
      </c>
      <c r="AA591" s="4">
        <v>100</v>
      </c>
      <c r="AB591" s="18"/>
      <c r="AC591" s="18">
        <v>12</v>
      </c>
      <c r="AD591" s="28"/>
      <c r="AE591" s="26"/>
      <c r="AF591" s="28"/>
    </row>
    <row r="592" spans="1:32" ht="13.5" customHeight="1" x14ac:dyDescent="0.25">
      <c r="A592" s="14">
        <v>45733</v>
      </c>
      <c r="B592" s="14" t="s">
        <v>46</v>
      </c>
      <c r="C592" s="15">
        <v>3</v>
      </c>
      <c r="D592" s="16"/>
      <c r="E592" s="16"/>
      <c r="F592" s="17"/>
      <c r="G592" s="21"/>
      <c r="H592" s="21"/>
      <c r="I592" s="4">
        <v>0</v>
      </c>
      <c r="J592" s="4">
        <v>0</v>
      </c>
      <c r="K592" s="4"/>
      <c r="L592" s="16"/>
      <c r="M592" s="4"/>
      <c r="N592" s="4"/>
      <c r="O592" s="4"/>
      <c r="P592" s="4"/>
      <c r="Q592" s="4"/>
      <c r="R592" s="4"/>
      <c r="S592" s="4">
        <v>0</v>
      </c>
      <c r="T592" s="4">
        <v>0</v>
      </c>
      <c r="U592" s="4">
        <v>0</v>
      </c>
      <c r="V592" s="4">
        <v>12</v>
      </c>
      <c r="W592" s="4">
        <v>12</v>
      </c>
      <c r="X592" s="4">
        <v>0</v>
      </c>
      <c r="Y592" s="4"/>
      <c r="Z592" s="4">
        <v>555.6</v>
      </c>
      <c r="AA592" s="4">
        <v>500</v>
      </c>
      <c r="AB592" s="18"/>
      <c r="AC592" s="18">
        <v>12</v>
      </c>
      <c r="AD592" s="28"/>
      <c r="AE592" s="26"/>
      <c r="AF592" s="28"/>
    </row>
    <row r="593" spans="1:32" ht="13.5" customHeight="1" x14ac:dyDescent="0.25">
      <c r="A593" s="14">
        <v>45733</v>
      </c>
      <c r="B593" s="14" t="s">
        <v>47</v>
      </c>
      <c r="C593" s="15">
        <v>3</v>
      </c>
      <c r="D593" s="16"/>
      <c r="E593" s="16"/>
      <c r="F593" s="17"/>
      <c r="G593" s="21"/>
      <c r="H593" s="21"/>
      <c r="I593" s="4">
        <v>0</v>
      </c>
      <c r="J593" s="4">
        <v>0</v>
      </c>
      <c r="K593" s="4"/>
      <c r="L593" s="16"/>
      <c r="M593" s="4"/>
      <c r="N593" s="4"/>
      <c r="O593" s="4"/>
      <c r="P593" s="4"/>
      <c r="Q593" s="4"/>
      <c r="R593" s="4"/>
      <c r="S593" s="4">
        <v>0</v>
      </c>
      <c r="T593" s="4">
        <v>0</v>
      </c>
      <c r="U593" s="4">
        <v>0</v>
      </c>
      <c r="V593" s="4">
        <v>12</v>
      </c>
      <c r="W593" s="4">
        <v>12</v>
      </c>
      <c r="X593" s="4">
        <v>0</v>
      </c>
      <c r="Y593" s="4"/>
      <c r="Z593" s="4">
        <v>467.8</v>
      </c>
      <c r="AA593" s="4">
        <v>450</v>
      </c>
      <c r="AB593" s="18"/>
      <c r="AC593" s="18">
        <v>12</v>
      </c>
      <c r="AD593" s="28"/>
      <c r="AE593" s="26"/>
      <c r="AF593" s="28"/>
    </row>
    <row r="594" spans="1:32" ht="13.5" customHeight="1" x14ac:dyDescent="0.25">
      <c r="A594" s="14">
        <v>45733</v>
      </c>
      <c r="B594" s="14" t="s">
        <v>46</v>
      </c>
      <c r="C594" s="15">
        <v>6</v>
      </c>
      <c r="D594" s="16">
        <v>25</v>
      </c>
      <c r="E594" s="16"/>
      <c r="F594" s="17"/>
      <c r="G594" s="21"/>
      <c r="H594" s="21"/>
      <c r="I594" s="4">
        <v>25</v>
      </c>
      <c r="J594" s="4">
        <v>0.41666666666666669</v>
      </c>
      <c r="K594" s="4"/>
      <c r="L594" s="16"/>
      <c r="M594" s="4"/>
      <c r="N594" s="4">
        <v>5</v>
      </c>
      <c r="O594" s="4"/>
      <c r="P594" s="4"/>
      <c r="Q594" s="4"/>
      <c r="R594" s="4"/>
      <c r="S594" s="4">
        <v>5</v>
      </c>
      <c r="T594" s="4">
        <v>8.3333333333333329E-2</v>
      </c>
      <c r="U594" s="4">
        <v>0.5</v>
      </c>
      <c r="V594" s="4">
        <v>11.5</v>
      </c>
      <c r="W594" s="4">
        <v>12</v>
      </c>
      <c r="X594" s="4">
        <v>34.799999999999997</v>
      </c>
      <c r="Y594" s="4"/>
      <c r="Z594" s="4">
        <v>840.8</v>
      </c>
      <c r="AA594" s="4">
        <v>800</v>
      </c>
      <c r="AB594" s="18"/>
      <c r="AC594" s="18">
        <v>12</v>
      </c>
      <c r="AD594" s="28"/>
      <c r="AE594" s="26"/>
      <c r="AF594" s="28"/>
    </row>
    <row r="595" spans="1:32" ht="13.5" customHeight="1" x14ac:dyDescent="0.25">
      <c r="A595" s="14">
        <v>45733</v>
      </c>
      <c r="B595" s="14" t="s">
        <v>47</v>
      </c>
      <c r="C595" s="15">
        <v>6</v>
      </c>
      <c r="D595" s="16"/>
      <c r="E595" s="16"/>
      <c r="F595" s="17"/>
      <c r="G595" s="21"/>
      <c r="H595" s="21"/>
      <c r="I595" s="4">
        <v>0</v>
      </c>
      <c r="J595" s="4">
        <v>0</v>
      </c>
      <c r="K595" s="4"/>
      <c r="L595" s="16"/>
      <c r="M595" s="4"/>
      <c r="N595" s="4"/>
      <c r="O595" s="4"/>
      <c r="P595" s="4"/>
      <c r="Q595" s="4"/>
      <c r="R595" s="4"/>
      <c r="S595" s="4">
        <v>0</v>
      </c>
      <c r="T595" s="4">
        <v>0</v>
      </c>
      <c r="U595" s="4">
        <v>0</v>
      </c>
      <c r="V595" s="4">
        <v>12</v>
      </c>
      <c r="W595" s="4">
        <v>12</v>
      </c>
      <c r="X595" s="4">
        <v>35.200000000000003</v>
      </c>
      <c r="Y595" s="4"/>
      <c r="Z595" s="4">
        <v>1071.6000000000001</v>
      </c>
      <c r="AA595" s="4">
        <v>1000</v>
      </c>
      <c r="AB595" s="18"/>
      <c r="AC595" s="18">
        <v>12</v>
      </c>
      <c r="AD595" s="28"/>
      <c r="AE595" s="26"/>
      <c r="AF595" s="28"/>
    </row>
    <row r="596" spans="1:32" ht="13.5" customHeight="1" x14ac:dyDescent="0.25">
      <c r="A596" s="14">
        <v>45733</v>
      </c>
      <c r="B596" s="14" t="s">
        <v>46</v>
      </c>
      <c r="C596" s="15">
        <v>7</v>
      </c>
      <c r="D596" s="16">
        <v>15</v>
      </c>
      <c r="E596" s="16"/>
      <c r="F596" s="17"/>
      <c r="G596" s="21"/>
      <c r="H596" s="21"/>
      <c r="I596" s="4">
        <v>15</v>
      </c>
      <c r="J596" s="4">
        <v>0.25</v>
      </c>
      <c r="K596" s="4"/>
      <c r="L596" s="16"/>
      <c r="M596" s="4"/>
      <c r="N596" s="4">
        <v>3</v>
      </c>
      <c r="O596" s="4"/>
      <c r="P596" s="4"/>
      <c r="Q596" s="4"/>
      <c r="R596" s="4"/>
      <c r="S596" s="4">
        <v>3</v>
      </c>
      <c r="T596" s="4">
        <v>0.05</v>
      </c>
      <c r="U596" s="4">
        <v>0.3</v>
      </c>
      <c r="V596" s="4">
        <v>11.7</v>
      </c>
      <c r="W596" s="4">
        <v>12</v>
      </c>
      <c r="X596" s="4">
        <v>0</v>
      </c>
      <c r="Y596" s="4"/>
      <c r="Z596" s="4">
        <v>409.28</v>
      </c>
      <c r="AA596" s="4">
        <v>400</v>
      </c>
      <c r="AB596" s="18"/>
      <c r="AC596" s="18">
        <v>12</v>
      </c>
      <c r="AD596" s="28"/>
      <c r="AE596" s="26"/>
      <c r="AF596" s="28"/>
    </row>
    <row r="597" spans="1:32" ht="13.5" customHeight="1" x14ac:dyDescent="0.25">
      <c r="A597" s="14">
        <v>45733</v>
      </c>
      <c r="B597" s="14" t="s">
        <v>47</v>
      </c>
      <c r="C597" s="15">
        <v>7</v>
      </c>
      <c r="D597" s="16"/>
      <c r="E597" s="16"/>
      <c r="F597" s="17"/>
      <c r="G597" s="21"/>
      <c r="H597" s="21"/>
      <c r="I597" s="4">
        <v>0</v>
      </c>
      <c r="J597" s="4">
        <v>0</v>
      </c>
      <c r="K597" s="4"/>
      <c r="L597" s="16"/>
      <c r="M597" s="4"/>
      <c r="N597" s="4"/>
      <c r="O597" s="4"/>
      <c r="P597" s="4"/>
      <c r="Q597" s="4"/>
      <c r="R597" s="4"/>
      <c r="S597" s="4">
        <v>0</v>
      </c>
      <c r="T597" s="4">
        <v>0</v>
      </c>
      <c r="U597" s="4">
        <v>0</v>
      </c>
      <c r="V597" s="4">
        <v>12</v>
      </c>
      <c r="W597" s="4">
        <v>12</v>
      </c>
      <c r="X597" s="4">
        <v>0</v>
      </c>
      <c r="Y597" s="4"/>
      <c r="Z597" s="4">
        <v>390.59999999999997</v>
      </c>
      <c r="AA597" s="4">
        <v>400</v>
      </c>
      <c r="AB597" s="18"/>
      <c r="AC597" s="18">
        <v>12</v>
      </c>
      <c r="AD597" s="28"/>
      <c r="AE597" s="26"/>
      <c r="AF597" s="28"/>
    </row>
    <row r="598" spans="1:32" ht="13.5" customHeight="1" x14ac:dyDescent="0.25">
      <c r="A598" s="14">
        <v>45734</v>
      </c>
      <c r="B598" s="14" t="s">
        <v>46</v>
      </c>
      <c r="C598" s="15">
        <v>1</v>
      </c>
      <c r="D598" s="16"/>
      <c r="E598" s="16"/>
      <c r="F598" s="17"/>
      <c r="G598" s="21"/>
      <c r="H598" s="21"/>
      <c r="I598" s="4">
        <v>0</v>
      </c>
      <c r="J598" s="4">
        <v>0</v>
      </c>
      <c r="K598" s="4"/>
      <c r="L598" s="16"/>
      <c r="M598" s="4"/>
      <c r="N598" s="4"/>
      <c r="O598" s="4"/>
      <c r="P598" s="4"/>
      <c r="Q598" s="4"/>
      <c r="R598" s="4"/>
      <c r="S598" s="4">
        <v>0</v>
      </c>
      <c r="T598" s="4">
        <v>0</v>
      </c>
      <c r="U598" s="4">
        <v>0</v>
      </c>
      <c r="V598" s="4">
        <v>12</v>
      </c>
      <c r="W598" s="4">
        <v>12</v>
      </c>
      <c r="X598" s="4">
        <v>0</v>
      </c>
      <c r="Y598" s="4">
        <v>1912</v>
      </c>
      <c r="Z598" s="4">
        <v>64.699999999999989</v>
      </c>
      <c r="AA598" s="4">
        <v>50</v>
      </c>
      <c r="AB598" s="18">
        <v>372</v>
      </c>
      <c r="AC598" s="18">
        <v>12</v>
      </c>
      <c r="AD598" s="28"/>
      <c r="AE598" s="26"/>
      <c r="AF598" s="28"/>
    </row>
    <row r="599" spans="1:32" ht="13.5" customHeight="1" x14ac:dyDescent="0.25">
      <c r="A599" s="14">
        <v>45734</v>
      </c>
      <c r="B599" s="14" t="s">
        <v>46</v>
      </c>
      <c r="C599" s="15">
        <v>3</v>
      </c>
      <c r="D599" s="16"/>
      <c r="E599" s="16"/>
      <c r="F599" s="17"/>
      <c r="G599" s="21"/>
      <c r="H599" s="21"/>
      <c r="I599" s="4">
        <v>0</v>
      </c>
      <c r="J599" s="4">
        <v>0</v>
      </c>
      <c r="K599" s="4"/>
      <c r="L599" s="16"/>
      <c r="M599" s="4"/>
      <c r="N599" s="4"/>
      <c r="O599" s="4"/>
      <c r="P599" s="4"/>
      <c r="Q599" s="4"/>
      <c r="R599" s="4"/>
      <c r="S599" s="4">
        <v>0</v>
      </c>
      <c r="T599" s="4">
        <v>0</v>
      </c>
      <c r="U599" s="4">
        <v>0</v>
      </c>
      <c r="V599" s="4">
        <v>12</v>
      </c>
      <c r="W599" s="4">
        <v>12</v>
      </c>
      <c r="X599" s="4">
        <v>0</v>
      </c>
      <c r="Y599" s="4"/>
      <c r="Z599" s="4">
        <v>505.1</v>
      </c>
      <c r="AA599" s="4">
        <v>500</v>
      </c>
      <c r="AB599" s="18"/>
      <c r="AC599" s="18">
        <v>12</v>
      </c>
      <c r="AD599" s="28"/>
      <c r="AE599" s="26"/>
      <c r="AF599" s="28"/>
    </row>
    <row r="600" spans="1:32" ht="13.5" customHeight="1" x14ac:dyDescent="0.25">
      <c r="A600" s="14">
        <v>45734</v>
      </c>
      <c r="B600" s="14" t="s">
        <v>47</v>
      </c>
      <c r="C600" s="15">
        <v>3</v>
      </c>
      <c r="D600" s="16"/>
      <c r="E600" s="16"/>
      <c r="F600" s="17"/>
      <c r="G600" s="21"/>
      <c r="H600" s="21"/>
      <c r="I600" s="4">
        <v>0</v>
      </c>
      <c r="J600" s="4">
        <v>0</v>
      </c>
      <c r="K600" s="4"/>
      <c r="L600" s="16"/>
      <c r="M600" s="4"/>
      <c r="N600" s="4"/>
      <c r="O600" s="4"/>
      <c r="P600" s="4"/>
      <c r="Q600" s="4"/>
      <c r="R600" s="4"/>
      <c r="S600" s="4">
        <v>0</v>
      </c>
      <c r="T600" s="4">
        <v>0</v>
      </c>
      <c r="U600" s="4">
        <v>0</v>
      </c>
      <c r="V600" s="4">
        <v>12</v>
      </c>
      <c r="W600" s="4">
        <v>12</v>
      </c>
      <c r="X600" s="4">
        <v>0</v>
      </c>
      <c r="Y600" s="4"/>
      <c r="Z600" s="4">
        <v>532.20000000000005</v>
      </c>
      <c r="AA600" s="4">
        <v>550</v>
      </c>
      <c r="AB600" s="18"/>
      <c r="AC600" s="18">
        <v>12</v>
      </c>
      <c r="AD600" s="28"/>
      <c r="AE600" s="26"/>
      <c r="AF600" s="28"/>
    </row>
    <row r="601" spans="1:32" ht="13.5" customHeight="1" x14ac:dyDescent="0.25">
      <c r="A601" s="14">
        <v>45734</v>
      </c>
      <c r="B601" s="14" t="s">
        <v>46</v>
      </c>
      <c r="C601" s="15">
        <v>6</v>
      </c>
      <c r="D601" s="16">
        <v>25</v>
      </c>
      <c r="E601" s="16"/>
      <c r="F601" s="17"/>
      <c r="G601" s="21"/>
      <c r="H601" s="21"/>
      <c r="I601" s="4">
        <v>25</v>
      </c>
      <c r="J601" s="4">
        <v>0.41666666666666669</v>
      </c>
      <c r="K601" s="4"/>
      <c r="L601" s="16"/>
      <c r="M601" s="4"/>
      <c r="N601" s="4">
        <v>60</v>
      </c>
      <c r="O601" s="4"/>
      <c r="P601" s="4"/>
      <c r="Q601" s="4"/>
      <c r="R601" s="4"/>
      <c r="S601" s="4">
        <v>60</v>
      </c>
      <c r="T601" s="4">
        <v>1</v>
      </c>
      <c r="U601" s="4">
        <v>1.4166666666666667</v>
      </c>
      <c r="V601" s="4">
        <v>10.583333333333334</v>
      </c>
      <c r="W601" s="4">
        <v>12</v>
      </c>
      <c r="X601" s="4">
        <v>128.80000000000001</v>
      </c>
      <c r="Y601" s="4"/>
      <c r="Z601" s="4">
        <v>1029.1999999999998</v>
      </c>
      <c r="AA601" s="4">
        <v>1000</v>
      </c>
      <c r="AB601" s="18"/>
      <c r="AC601" s="18">
        <v>12</v>
      </c>
      <c r="AD601" s="28"/>
      <c r="AE601" s="26"/>
      <c r="AF601" s="28"/>
    </row>
    <row r="602" spans="1:32" ht="13.5" customHeight="1" x14ac:dyDescent="0.25">
      <c r="A602" s="14">
        <v>45734</v>
      </c>
      <c r="B602" s="14" t="s">
        <v>47</v>
      </c>
      <c r="C602" s="15">
        <v>6</v>
      </c>
      <c r="D602" s="16">
        <v>15</v>
      </c>
      <c r="E602" s="16"/>
      <c r="F602" s="17"/>
      <c r="G602" s="21"/>
      <c r="H602" s="21"/>
      <c r="I602" s="4">
        <v>15</v>
      </c>
      <c r="J602" s="4">
        <v>0.25</v>
      </c>
      <c r="K602" s="4"/>
      <c r="L602" s="16"/>
      <c r="M602" s="4"/>
      <c r="N602" s="4">
        <v>15</v>
      </c>
      <c r="O602" s="4"/>
      <c r="P602" s="4"/>
      <c r="Q602" s="4">
        <v>40</v>
      </c>
      <c r="R602" s="4"/>
      <c r="S602" s="4">
        <v>55</v>
      </c>
      <c r="T602" s="4">
        <v>0.91666666666666663</v>
      </c>
      <c r="U602" s="4">
        <v>1.1666666666666665</v>
      </c>
      <c r="V602" s="4">
        <v>10.833333333333334</v>
      </c>
      <c r="W602" s="4">
        <v>12</v>
      </c>
      <c r="X602" s="4">
        <v>58</v>
      </c>
      <c r="Y602" s="4"/>
      <c r="Z602" s="4">
        <v>1331.6</v>
      </c>
      <c r="AA602" s="4">
        <v>1300</v>
      </c>
      <c r="AB602" s="18"/>
      <c r="AC602" s="18">
        <v>12</v>
      </c>
      <c r="AD602" s="28"/>
      <c r="AE602" s="26"/>
      <c r="AF602" s="28"/>
    </row>
    <row r="603" spans="1:32" ht="13.5" customHeight="1" x14ac:dyDescent="0.25">
      <c r="A603" s="14">
        <v>45734</v>
      </c>
      <c r="B603" s="14" t="s">
        <v>46</v>
      </c>
      <c r="C603" s="15">
        <v>7</v>
      </c>
      <c r="D603" s="16">
        <v>3</v>
      </c>
      <c r="E603" s="16"/>
      <c r="F603" s="17"/>
      <c r="G603" s="21"/>
      <c r="H603" s="21"/>
      <c r="I603" s="4">
        <v>3</v>
      </c>
      <c r="J603" s="4">
        <v>0.05</v>
      </c>
      <c r="K603" s="4"/>
      <c r="L603" s="16"/>
      <c r="M603" s="4"/>
      <c r="N603" s="4"/>
      <c r="O603" s="4"/>
      <c r="P603" s="4"/>
      <c r="Q603" s="4"/>
      <c r="R603" s="4"/>
      <c r="S603" s="4">
        <v>0</v>
      </c>
      <c r="T603" s="4">
        <v>0</v>
      </c>
      <c r="U603" s="4">
        <v>0.05</v>
      </c>
      <c r="V603" s="4">
        <v>11.95</v>
      </c>
      <c r="W603" s="4">
        <v>12</v>
      </c>
      <c r="X603" s="4">
        <v>0</v>
      </c>
      <c r="Y603" s="4"/>
      <c r="Z603" s="4">
        <v>329.99</v>
      </c>
      <c r="AA603" s="4">
        <v>300</v>
      </c>
      <c r="AB603" s="18"/>
      <c r="AC603" s="18">
        <v>12</v>
      </c>
      <c r="AD603" s="28"/>
      <c r="AE603" s="26"/>
      <c r="AF603" s="28"/>
    </row>
    <row r="604" spans="1:32" ht="13.5" customHeight="1" x14ac:dyDescent="0.25">
      <c r="A604" s="14">
        <v>45734</v>
      </c>
      <c r="B604" s="14" t="s">
        <v>47</v>
      </c>
      <c r="C604" s="15">
        <v>7</v>
      </c>
      <c r="D604" s="16"/>
      <c r="E604" s="16"/>
      <c r="F604" s="17"/>
      <c r="G604" s="21"/>
      <c r="H604" s="21"/>
      <c r="I604" s="4">
        <v>0</v>
      </c>
      <c r="J604" s="4">
        <v>0</v>
      </c>
      <c r="K604" s="4"/>
      <c r="L604" s="16"/>
      <c r="M604" s="4"/>
      <c r="N604" s="4"/>
      <c r="O604" s="4"/>
      <c r="P604" s="4"/>
      <c r="Q604" s="4"/>
      <c r="R604" s="4"/>
      <c r="S604" s="4">
        <v>0</v>
      </c>
      <c r="T604" s="4">
        <v>0</v>
      </c>
      <c r="U604" s="4">
        <v>0</v>
      </c>
      <c r="V604" s="4">
        <v>12</v>
      </c>
      <c r="W604" s="4">
        <v>12</v>
      </c>
      <c r="X604" s="4">
        <v>0</v>
      </c>
      <c r="Y604" s="4"/>
      <c r="Z604" s="4">
        <v>336.70000000000005</v>
      </c>
      <c r="AA604" s="4">
        <v>300</v>
      </c>
      <c r="AB604" s="18"/>
      <c r="AC604" s="18">
        <v>12</v>
      </c>
      <c r="AD604" s="28"/>
      <c r="AE604" s="26"/>
      <c r="AF604" s="28"/>
    </row>
    <row r="605" spans="1:32" ht="13.5" customHeight="1" x14ac:dyDescent="0.25">
      <c r="A605" s="14">
        <v>45735</v>
      </c>
      <c r="B605" s="14" t="s">
        <v>46</v>
      </c>
      <c r="C605" s="15">
        <v>3</v>
      </c>
      <c r="D605" s="16"/>
      <c r="E605" s="16"/>
      <c r="F605" s="17"/>
      <c r="G605" s="21"/>
      <c r="H605" s="21"/>
      <c r="I605" s="4">
        <v>0</v>
      </c>
      <c r="J605" s="4">
        <v>0</v>
      </c>
      <c r="K605" s="4"/>
      <c r="L605" s="16">
        <v>15</v>
      </c>
      <c r="M605" s="4"/>
      <c r="N605" s="4"/>
      <c r="O605" s="4"/>
      <c r="P605" s="4"/>
      <c r="Q605" s="4"/>
      <c r="R605" s="4"/>
      <c r="S605" s="4">
        <v>15</v>
      </c>
      <c r="T605" s="4">
        <v>0.25</v>
      </c>
      <c r="U605" s="4">
        <v>0.25</v>
      </c>
      <c r="V605" s="4">
        <v>11.75</v>
      </c>
      <c r="W605" s="4">
        <v>12</v>
      </c>
      <c r="X605" s="4">
        <v>0</v>
      </c>
      <c r="Y605" s="4">
        <v>1787</v>
      </c>
      <c r="Z605" s="4">
        <v>350.3</v>
      </c>
      <c r="AA605" s="4">
        <v>350</v>
      </c>
      <c r="AB605" s="18">
        <v>372</v>
      </c>
      <c r="AC605" s="18">
        <v>12</v>
      </c>
      <c r="AD605" s="28"/>
      <c r="AE605" s="26"/>
      <c r="AF605" s="28"/>
    </row>
    <row r="606" spans="1:32" ht="13.5" customHeight="1" x14ac:dyDescent="0.25">
      <c r="A606" s="14">
        <v>45735</v>
      </c>
      <c r="B606" s="14" t="s">
        <v>47</v>
      </c>
      <c r="C606" s="15">
        <v>3</v>
      </c>
      <c r="D606" s="16"/>
      <c r="E606" s="16"/>
      <c r="F606" s="17"/>
      <c r="G606" s="21"/>
      <c r="H606" s="21"/>
      <c r="I606" s="4">
        <v>0</v>
      </c>
      <c r="J606" s="4">
        <v>0</v>
      </c>
      <c r="K606" s="4"/>
      <c r="L606" s="16"/>
      <c r="M606" s="4"/>
      <c r="N606" s="4"/>
      <c r="O606" s="4"/>
      <c r="P606" s="4"/>
      <c r="Q606" s="4"/>
      <c r="R606" s="4"/>
      <c r="S606" s="4">
        <v>0</v>
      </c>
      <c r="T606" s="4">
        <v>0</v>
      </c>
      <c r="U606" s="4">
        <v>0</v>
      </c>
      <c r="V606" s="4">
        <v>12</v>
      </c>
      <c r="W606" s="4">
        <v>12</v>
      </c>
      <c r="X606" s="4">
        <v>10</v>
      </c>
      <c r="Y606" s="4"/>
      <c r="Z606" s="4">
        <v>476.20000000000005</v>
      </c>
      <c r="AA606" s="4">
        <v>450</v>
      </c>
      <c r="AB606" s="18"/>
      <c r="AC606" s="18">
        <v>12</v>
      </c>
      <c r="AD606" s="28"/>
      <c r="AE606" s="26"/>
      <c r="AF606" s="28"/>
    </row>
    <row r="607" spans="1:32" ht="13.5" customHeight="1" x14ac:dyDescent="0.25">
      <c r="A607" s="14">
        <v>45735</v>
      </c>
      <c r="B607" s="14" t="s">
        <v>47</v>
      </c>
      <c r="C607" s="15">
        <v>4</v>
      </c>
      <c r="D607" s="16"/>
      <c r="E607" s="16"/>
      <c r="F607" s="17"/>
      <c r="G607" s="21"/>
      <c r="H607" s="21"/>
      <c r="I607" s="4">
        <v>0</v>
      </c>
      <c r="J607" s="4">
        <v>0</v>
      </c>
      <c r="K607" s="4"/>
      <c r="L607" s="16"/>
      <c r="M607" s="4"/>
      <c r="N607" s="4"/>
      <c r="O607" s="4"/>
      <c r="P607" s="4"/>
      <c r="Q607" s="4">
        <v>7</v>
      </c>
      <c r="R607" s="4"/>
      <c r="S607" s="4">
        <v>7</v>
      </c>
      <c r="T607" s="4">
        <v>0.11666666666666667</v>
      </c>
      <c r="U607" s="4">
        <v>0.11666666666666667</v>
      </c>
      <c r="V607" s="4">
        <v>11.883333333333333</v>
      </c>
      <c r="W607" s="4">
        <v>12</v>
      </c>
      <c r="X607" s="4">
        <v>23</v>
      </c>
      <c r="Y607" s="4"/>
      <c r="Z607" s="4">
        <v>93.5</v>
      </c>
      <c r="AA607" s="4">
        <v>100</v>
      </c>
      <c r="AB607" s="18"/>
      <c r="AC607" s="18">
        <v>12</v>
      </c>
      <c r="AD607" s="28"/>
      <c r="AE607" s="26"/>
      <c r="AF607" s="28"/>
    </row>
    <row r="608" spans="1:32" ht="13.5" customHeight="1" x14ac:dyDescent="0.25">
      <c r="A608" s="14">
        <v>45735</v>
      </c>
      <c r="B608" s="14" t="s">
        <v>46</v>
      </c>
      <c r="C608" s="15">
        <v>6</v>
      </c>
      <c r="D608" s="16">
        <v>20</v>
      </c>
      <c r="E608" s="16"/>
      <c r="F608" s="17"/>
      <c r="G608" s="21"/>
      <c r="H608" s="21"/>
      <c r="I608" s="4">
        <v>20</v>
      </c>
      <c r="J608" s="4">
        <v>0.33333333333333331</v>
      </c>
      <c r="K608" s="4"/>
      <c r="L608" s="16"/>
      <c r="M608" s="4"/>
      <c r="N608" s="4"/>
      <c r="O608" s="4"/>
      <c r="P608" s="4"/>
      <c r="Q608" s="4"/>
      <c r="R608" s="4"/>
      <c r="S608" s="4">
        <v>0</v>
      </c>
      <c r="T608" s="4">
        <v>0</v>
      </c>
      <c r="U608" s="4">
        <v>0.33333333333333331</v>
      </c>
      <c r="V608" s="4">
        <v>11.666666666666666</v>
      </c>
      <c r="W608" s="4">
        <v>12</v>
      </c>
      <c r="X608" s="4">
        <v>36</v>
      </c>
      <c r="Y608" s="4"/>
      <c r="Z608" s="4">
        <v>1094.4000000000001</v>
      </c>
      <c r="AA608" s="4">
        <v>1050</v>
      </c>
      <c r="AB608" s="18"/>
      <c r="AC608" s="18">
        <v>12</v>
      </c>
      <c r="AD608" s="28"/>
      <c r="AE608" s="26"/>
      <c r="AF608" s="28"/>
    </row>
    <row r="609" spans="1:32" ht="13.5" customHeight="1" x14ac:dyDescent="0.25">
      <c r="A609" s="14">
        <v>45735</v>
      </c>
      <c r="B609" s="14" t="s">
        <v>47</v>
      </c>
      <c r="C609" s="15">
        <v>6</v>
      </c>
      <c r="D609" s="16"/>
      <c r="E609" s="16"/>
      <c r="F609" s="17"/>
      <c r="G609" s="21"/>
      <c r="H609" s="21"/>
      <c r="I609" s="4">
        <v>0</v>
      </c>
      <c r="J609" s="4">
        <v>0</v>
      </c>
      <c r="K609" s="4"/>
      <c r="L609" s="16"/>
      <c r="M609" s="4"/>
      <c r="N609" s="4"/>
      <c r="O609" s="4"/>
      <c r="P609" s="4"/>
      <c r="Q609" s="4"/>
      <c r="R609" s="4"/>
      <c r="S609" s="4">
        <v>0</v>
      </c>
      <c r="T609" s="4">
        <v>0</v>
      </c>
      <c r="U609" s="4">
        <v>0</v>
      </c>
      <c r="V609" s="4">
        <v>12</v>
      </c>
      <c r="W609" s="4">
        <v>12</v>
      </c>
      <c r="X609" s="4">
        <v>0</v>
      </c>
      <c r="Y609" s="4"/>
      <c r="Z609" s="4">
        <v>762.9</v>
      </c>
      <c r="AA609" s="4">
        <v>750</v>
      </c>
      <c r="AB609" s="18"/>
      <c r="AC609" s="18">
        <v>12</v>
      </c>
      <c r="AD609" s="28"/>
      <c r="AE609" s="26"/>
      <c r="AF609" s="28"/>
    </row>
    <row r="610" spans="1:32" ht="13.5" customHeight="1" x14ac:dyDescent="0.25">
      <c r="A610" s="14">
        <v>45735</v>
      </c>
      <c r="B610" s="14" t="s">
        <v>46</v>
      </c>
      <c r="C610" s="15">
        <v>7</v>
      </c>
      <c r="D610" s="16">
        <v>7</v>
      </c>
      <c r="E610" s="16"/>
      <c r="F610" s="17"/>
      <c r="G610" s="21"/>
      <c r="H610" s="21"/>
      <c r="I610" s="4">
        <v>7</v>
      </c>
      <c r="J610" s="4">
        <v>0.11666666666666667</v>
      </c>
      <c r="K610" s="4"/>
      <c r="L610" s="16"/>
      <c r="M610" s="4"/>
      <c r="N610" s="4"/>
      <c r="O610" s="4"/>
      <c r="P610" s="4"/>
      <c r="Q610" s="4"/>
      <c r="R610" s="4"/>
      <c r="S610" s="4">
        <v>0</v>
      </c>
      <c r="T610" s="4">
        <v>0</v>
      </c>
      <c r="U610" s="4">
        <v>0.11666666666666667</v>
      </c>
      <c r="V610" s="4">
        <v>11.883333333333333</v>
      </c>
      <c r="W610" s="4">
        <v>12</v>
      </c>
      <c r="X610" s="4">
        <v>0</v>
      </c>
      <c r="Y610" s="4"/>
      <c r="Z610" s="4">
        <v>290.11</v>
      </c>
      <c r="AA610" s="4">
        <v>300</v>
      </c>
      <c r="AB610" s="18"/>
      <c r="AC610" s="18">
        <v>12</v>
      </c>
      <c r="AD610" s="28"/>
      <c r="AE610" s="26"/>
      <c r="AF610" s="28"/>
    </row>
    <row r="611" spans="1:32" ht="13.5" customHeight="1" x14ac:dyDescent="0.25">
      <c r="A611" s="14">
        <v>45735</v>
      </c>
      <c r="B611" s="14" t="s">
        <v>47</v>
      </c>
      <c r="C611" s="15">
        <v>7</v>
      </c>
      <c r="D611" s="16">
        <v>9</v>
      </c>
      <c r="E611" s="16"/>
      <c r="F611" s="17"/>
      <c r="G611" s="21"/>
      <c r="H611" s="21"/>
      <c r="I611" s="4">
        <v>9</v>
      </c>
      <c r="J611" s="4">
        <v>0.15</v>
      </c>
      <c r="K611" s="4"/>
      <c r="L611" s="16"/>
      <c r="M611" s="4"/>
      <c r="N611" s="4">
        <v>5</v>
      </c>
      <c r="O611" s="4"/>
      <c r="P611" s="4"/>
      <c r="Q611" s="4"/>
      <c r="R611" s="4"/>
      <c r="S611" s="4">
        <v>5</v>
      </c>
      <c r="T611" s="4">
        <v>8.3333333333333329E-2</v>
      </c>
      <c r="U611" s="4">
        <v>0.23333333333333334</v>
      </c>
      <c r="V611" s="4">
        <v>11.766666666666667</v>
      </c>
      <c r="W611" s="4">
        <v>12</v>
      </c>
      <c r="X611" s="4">
        <v>9</v>
      </c>
      <c r="Y611" s="4"/>
      <c r="Z611" s="4">
        <v>300.20000000000005</v>
      </c>
      <c r="AA611" s="4">
        <v>300</v>
      </c>
      <c r="AB611" s="18"/>
      <c r="AC611" s="18">
        <v>12</v>
      </c>
      <c r="AD611" s="28"/>
      <c r="AE611" s="26"/>
      <c r="AF611" s="28"/>
    </row>
    <row r="612" spans="1:32" ht="13.5" customHeight="1" x14ac:dyDescent="0.25">
      <c r="A612" s="14">
        <v>45736</v>
      </c>
      <c r="B612" s="14" t="s">
        <v>46</v>
      </c>
      <c r="C612" s="15">
        <v>3</v>
      </c>
      <c r="D612" s="16">
        <v>5</v>
      </c>
      <c r="E612" s="16"/>
      <c r="F612" s="17"/>
      <c r="G612" s="21"/>
      <c r="H612" s="21"/>
      <c r="I612" s="4">
        <v>5</v>
      </c>
      <c r="J612" s="4">
        <v>8.3333333333333329E-2</v>
      </c>
      <c r="K612" s="4"/>
      <c r="L612" s="16"/>
      <c r="M612" s="4"/>
      <c r="N612" s="4"/>
      <c r="O612" s="4"/>
      <c r="P612" s="4"/>
      <c r="Q612" s="4"/>
      <c r="R612" s="4"/>
      <c r="S612" s="4">
        <v>0</v>
      </c>
      <c r="T612" s="4">
        <v>0</v>
      </c>
      <c r="U612" s="4">
        <v>8.3333333333333329E-2</v>
      </c>
      <c r="V612" s="4">
        <v>11.916666666666666</v>
      </c>
      <c r="W612" s="4">
        <v>12</v>
      </c>
      <c r="X612" s="4">
        <v>16.399999999999999</v>
      </c>
      <c r="Y612" s="4">
        <v>1874</v>
      </c>
      <c r="Z612" s="4">
        <v>549.59999999999991</v>
      </c>
      <c r="AA612" s="4">
        <v>550</v>
      </c>
      <c r="AB612" s="18">
        <v>372</v>
      </c>
      <c r="AC612" s="18">
        <v>12</v>
      </c>
      <c r="AD612" s="28"/>
      <c r="AE612" s="26"/>
      <c r="AF612" s="28"/>
    </row>
    <row r="613" spans="1:32" ht="13.5" customHeight="1" x14ac:dyDescent="0.25">
      <c r="A613" s="14">
        <v>45736</v>
      </c>
      <c r="B613" s="14" t="s">
        <v>47</v>
      </c>
      <c r="C613" s="15">
        <v>3</v>
      </c>
      <c r="D613" s="16">
        <v>10</v>
      </c>
      <c r="E613" s="16"/>
      <c r="F613" s="17"/>
      <c r="G613" s="21"/>
      <c r="H613" s="21"/>
      <c r="I613" s="4">
        <v>10</v>
      </c>
      <c r="J613" s="4">
        <v>0.16666666666666666</v>
      </c>
      <c r="K613" s="4"/>
      <c r="L613" s="16"/>
      <c r="M613" s="4"/>
      <c r="N613" s="4"/>
      <c r="O613" s="4"/>
      <c r="P613" s="4"/>
      <c r="Q613" s="4"/>
      <c r="R613" s="4"/>
      <c r="S613" s="4">
        <v>0</v>
      </c>
      <c r="T613" s="4">
        <v>0</v>
      </c>
      <c r="U613" s="4">
        <v>0.16666666666666666</v>
      </c>
      <c r="V613" s="4">
        <v>11.833333333333334</v>
      </c>
      <c r="W613" s="4">
        <v>12</v>
      </c>
      <c r="X613" s="4">
        <v>12</v>
      </c>
      <c r="Y613" s="4"/>
      <c r="Z613" s="4">
        <v>470.59999999999997</v>
      </c>
      <c r="AA613" s="4">
        <v>500</v>
      </c>
      <c r="AB613" s="18"/>
      <c r="AC613" s="18">
        <v>12</v>
      </c>
      <c r="AD613" s="28"/>
      <c r="AE613" s="26"/>
      <c r="AF613" s="28"/>
    </row>
    <row r="614" spans="1:32" ht="13.5" customHeight="1" x14ac:dyDescent="0.25">
      <c r="A614" s="14">
        <v>45736</v>
      </c>
      <c r="B614" s="14" t="s">
        <v>46</v>
      </c>
      <c r="C614" s="15">
        <v>4</v>
      </c>
      <c r="D614" s="16"/>
      <c r="E614" s="16"/>
      <c r="F614" s="17"/>
      <c r="G614" s="21"/>
      <c r="H614" s="21"/>
      <c r="I614" s="4">
        <v>0</v>
      </c>
      <c r="J614" s="4">
        <v>0</v>
      </c>
      <c r="K614" s="4"/>
      <c r="L614" s="16"/>
      <c r="M614" s="4"/>
      <c r="N614" s="4"/>
      <c r="O614" s="4"/>
      <c r="P614" s="4"/>
      <c r="Q614" s="4">
        <v>30</v>
      </c>
      <c r="R614" s="4"/>
      <c r="S614" s="4">
        <v>30</v>
      </c>
      <c r="T614" s="4">
        <v>0.5</v>
      </c>
      <c r="U614" s="4">
        <v>0.5</v>
      </c>
      <c r="V614" s="4">
        <v>11.5</v>
      </c>
      <c r="W614" s="4">
        <v>12</v>
      </c>
      <c r="X614" s="4">
        <v>0</v>
      </c>
      <c r="Y614" s="4"/>
      <c r="Z614" s="4">
        <v>489.6</v>
      </c>
      <c r="AA614" s="4">
        <v>500</v>
      </c>
      <c r="AB614" s="18"/>
      <c r="AC614" s="18">
        <v>12</v>
      </c>
      <c r="AD614" s="28"/>
      <c r="AE614" s="26"/>
      <c r="AF614" s="28"/>
    </row>
    <row r="615" spans="1:32" ht="13.5" customHeight="1" x14ac:dyDescent="0.25">
      <c r="A615" s="14">
        <v>45736</v>
      </c>
      <c r="B615" s="14" t="s">
        <v>47</v>
      </c>
      <c r="C615" s="15">
        <v>4</v>
      </c>
      <c r="D615" s="16">
        <v>10</v>
      </c>
      <c r="E615" s="16"/>
      <c r="F615" s="17"/>
      <c r="G615" s="21"/>
      <c r="H615" s="21"/>
      <c r="I615" s="4">
        <v>10</v>
      </c>
      <c r="J615" s="4">
        <v>0.16666666666666666</v>
      </c>
      <c r="K615" s="4"/>
      <c r="L615" s="16"/>
      <c r="M615" s="4"/>
      <c r="N615" s="4"/>
      <c r="O615" s="4"/>
      <c r="P615" s="4"/>
      <c r="Q615" s="4"/>
      <c r="R615" s="4"/>
      <c r="S615" s="4">
        <v>0</v>
      </c>
      <c r="T615" s="4">
        <v>0</v>
      </c>
      <c r="U615" s="4">
        <v>0.16666666666666666</v>
      </c>
      <c r="V615" s="4">
        <v>11.833333333333334</v>
      </c>
      <c r="W615" s="4">
        <v>12</v>
      </c>
      <c r="X615" s="4">
        <v>9</v>
      </c>
      <c r="Y615" s="4"/>
      <c r="Z615" s="4">
        <v>366</v>
      </c>
      <c r="AA615" s="4">
        <v>400</v>
      </c>
      <c r="AB615" s="18"/>
      <c r="AC615" s="18">
        <v>12</v>
      </c>
      <c r="AD615" s="28"/>
      <c r="AE615" s="26"/>
      <c r="AF615" s="28"/>
    </row>
    <row r="616" spans="1:32" ht="13.5" customHeight="1" x14ac:dyDescent="0.25">
      <c r="A616" s="14">
        <v>45736</v>
      </c>
      <c r="B616" s="14" t="s">
        <v>46</v>
      </c>
      <c r="C616" s="15">
        <v>6</v>
      </c>
      <c r="D616" s="16">
        <v>20</v>
      </c>
      <c r="E616" s="16"/>
      <c r="F616" s="17"/>
      <c r="G616" s="21"/>
      <c r="H616" s="21"/>
      <c r="I616" s="4">
        <v>20</v>
      </c>
      <c r="J616" s="4">
        <v>0.33333333333333331</v>
      </c>
      <c r="K616" s="4"/>
      <c r="L616" s="16"/>
      <c r="M616" s="4"/>
      <c r="N616" s="4"/>
      <c r="O616" s="4"/>
      <c r="P616" s="4"/>
      <c r="Q616" s="4"/>
      <c r="R616" s="4"/>
      <c r="S616" s="4">
        <v>0</v>
      </c>
      <c r="T616" s="4">
        <v>0</v>
      </c>
      <c r="U616" s="4">
        <v>0.33333333333333331</v>
      </c>
      <c r="V616" s="4">
        <v>11.666666666666666</v>
      </c>
      <c r="W616" s="4">
        <v>12</v>
      </c>
      <c r="X616" s="4">
        <v>13.4</v>
      </c>
      <c r="Y616" s="4"/>
      <c r="Z616" s="4">
        <v>618</v>
      </c>
      <c r="AA616" s="4">
        <v>600</v>
      </c>
      <c r="AB616" s="18"/>
      <c r="AC616" s="18">
        <v>12</v>
      </c>
      <c r="AD616" s="28"/>
      <c r="AE616" s="26"/>
      <c r="AF616" s="28"/>
    </row>
    <row r="617" spans="1:32" ht="13.5" customHeight="1" x14ac:dyDescent="0.25">
      <c r="A617" s="14">
        <v>45736</v>
      </c>
      <c r="B617" s="14" t="s">
        <v>47</v>
      </c>
      <c r="C617" s="15">
        <v>6</v>
      </c>
      <c r="D617" s="16">
        <v>15</v>
      </c>
      <c r="E617" s="16"/>
      <c r="F617" s="17"/>
      <c r="G617" s="21"/>
      <c r="H617" s="21"/>
      <c r="I617" s="4">
        <v>15</v>
      </c>
      <c r="J617" s="4">
        <v>0.25</v>
      </c>
      <c r="K617" s="4"/>
      <c r="L617" s="16"/>
      <c r="M617" s="4"/>
      <c r="N617" s="4">
        <v>15</v>
      </c>
      <c r="O617" s="4"/>
      <c r="P617" s="4"/>
      <c r="Q617" s="4"/>
      <c r="R617" s="4"/>
      <c r="S617" s="4">
        <v>15</v>
      </c>
      <c r="T617" s="4">
        <v>0.25</v>
      </c>
      <c r="U617" s="4">
        <v>0.5</v>
      </c>
      <c r="V617" s="4">
        <v>11.5</v>
      </c>
      <c r="W617" s="4">
        <v>12</v>
      </c>
      <c r="X617" s="4">
        <v>25.2</v>
      </c>
      <c r="Y617" s="4"/>
      <c r="Z617" s="4">
        <v>648</v>
      </c>
      <c r="AA617" s="4">
        <v>650</v>
      </c>
      <c r="AB617" s="18"/>
      <c r="AC617" s="18">
        <v>12</v>
      </c>
      <c r="AD617" s="28"/>
      <c r="AE617" s="26"/>
      <c r="AF617" s="28"/>
    </row>
    <row r="618" spans="1:32" ht="13.5" customHeight="1" x14ac:dyDescent="0.25">
      <c r="A618" s="14">
        <v>45736</v>
      </c>
      <c r="B618" s="14" t="s">
        <v>46</v>
      </c>
      <c r="C618" s="15">
        <v>7</v>
      </c>
      <c r="D618" s="16">
        <v>2</v>
      </c>
      <c r="E618" s="16"/>
      <c r="F618" s="17"/>
      <c r="G618" s="21"/>
      <c r="H618" s="21"/>
      <c r="I618" s="4">
        <v>2</v>
      </c>
      <c r="J618" s="4">
        <v>3.3333333333333333E-2</v>
      </c>
      <c r="K618" s="4"/>
      <c r="L618" s="16"/>
      <c r="M618" s="4">
        <v>20</v>
      </c>
      <c r="N618" s="4"/>
      <c r="O618" s="4"/>
      <c r="P618" s="4"/>
      <c r="Q618" s="4"/>
      <c r="R618" s="4"/>
      <c r="S618" s="4">
        <v>20</v>
      </c>
      <c r="T618" s="4">
        <v>0.33333333333333331</v>
      </c>
      <c r="U618" s="4">
        <v>0.36666666666666664</v>
      </c>
      <c r="V618" s="4">
        <v>11.633333333333333</v>
      </c>
      <c r="W618" s="4">
        <v>12</v>
      </c>
      <c r="X618" s="4">
        <v>4</v>
      </c>
      <c r="Y618" s="4"/>
      <c r="Z618" s="4">
        <v>260.31</v>
      </c>
      <c r="AA618" s="4">
        <v>250</v>
      </c>
      <c r="AB618" s="18"/>
      <c r="AC618" s="18">
        <v>12</v>
      </c>
      <c r="AD618" s="28"/>
      <c r="AE618" s="26"/>
      <c r="AF618" s="28"/>
    </row>
    <row r="619" spans="1:32" ht="13.5" customHeight="1" x14ac:dyDescent="0.25">
      <c r="A619" s="14">
        <v>45736</v>
      </c>
      <c r="B619" s="14" t="s">
        <v>47</v>
      </c>
      <c r="C619" s="15">
        <v>7</v>
      </c>
      <c r="D619" s="16">
        <v>4</v>
      </c>
      <c r="E619" s="16"/>
      <c r="F619" s="17"/>
      <c r="G619" s="21"/>
      <c r="H619" s="21"/>
      <c r="I619" s="4">
        <v>4</v>
      </c>
      <c r="J619" s="4">
        <v>6.6666666666666666E-2</v>
      </c>
      <c r="K619" s="4"/>
      <c r="L619" s="16"/>
      <c r="M619" s="4"/>
      <c r="N619" s="4"/>
      <c r="O619" s="4"/>
      <c r="P619" s="4"/>
      <c r="Q619" s="4"/>
      <c r="R619" s="4"/>
      <c r="S619" s="4">
        <v>0</v>
      </c>
      <c r="T619" s="4">
        <v>0</v>
      </c>
      <c r="U619" s="4">
        <v>6.6666666666666666E-2</v>
      </c>
      <c r="V619" s="4">
        <v>11.933333333333334</v>
      </c>
      <c r="W619" s="4">
        <v>12</v>
      </c>
      <c r="X619" s="4">
        <v>3</v>
      </c>
      <c r="Y619" s="4"/>
      <c r="Z619" s="4">
        <v>302.2</v>
      </c>
      <c r="AA619" s="4">
        <v>300</v>
      </c>
      <c r="AB619" s="18"/>
      <c r="AC619" s="18">
        <v>12</v>
      </c>
      <c r="AD619" s="28"/>
      <c r="AE619" s="26"/>
      <c r="AF619" s="28"/>
    </row>
    <row r="620" spans="1:32" ht="13.5" customHeight="1" x14ac:dyDescent="0.25">
      <c r="A620" s="14">
        <v>45737</v>
      </c>
      <c r="B620" s="14" t="s">
        <v>46</v>
      </c>
      <c r="C620" s="15">
        <v>3</v>
      </c>
      <c r="D620" s="16">
        <v>20</v>
      </c>
      <c r="E620" s="16"/>
      <c r="F620" s="17"/>
      <c r="G620" s="21"/>
      <c r="H620" s="21"/>
      <c r="I620" s="4">
        <v>20</v>
      </c>
      <c r="J620" s="4">
        <v>0.33333333333333331</v>
      </c>
      <c r="K620" s="4"/>
      <c r="L620" s="16"/>
      <c r="M620" s="4"/>
      <c r="N620" s="4"/>
      <c r="O620" s="4"/>
      <c r="P620" s="4"/>
      <c r="Q620" s="4"/>
      <c r="R620" s="4"/>
      <c r="S620" s="4">
        <v>0</v>
      </c>
      <c r="T620" s="4">
        <v>0</v>
      </c>
      <c r="U620" s="4">
        <v>0.33333333333333331</v>
      </c>
      <c r="V620" s="4">
        <v>11.666666666666666</v>
      </c>
      <c r="W620" s="4">
        <v>12</v>
      </c>
      <c r="X620" s="4">
        <v>0</v>
      </c>
      <c r="Y620" s="4">
        <v>1900</v>
      </c>
      <c r="Z620" s="4">
        <v>516.70000000000005</v>
      </c>
      <c r="AA620" s="4">
        <v>550</v>
      </c>
      <c r="AB620" s="18">
        <v>372</v>
      </c>
      <c r="AC620" s="18">
        <v>12</v>
      </c>
      <c r="AD620" s="28"/>
      <c r="AE620" s="26"/>
      <c r="AF620" s="28"/>
    </row>
    <row r="621" spans="1:32" ht="13.5" customHeight="1" x14ac:dyDescent="0.25">
      <c r="A621" s="14">
        <v>45737</v>
      </c>
      <c r="B621" s="14" t="s">
        <v>47</v>
      </c>
      <c r="C621" s="15">
        <v>3</v>
      </c>
      <c r="D621" s="16">
        <v>7</v>
      </c>
      <c r="E621" s="16"/>
      <c r="F621" s="17"/>
      <c r="G621" s="21"/>
      <c r="H621" s="21"/>
      <c r="I621" s="4">
        <v>7</v>
      </c>
      <c r="J621" s="4">
        <v>0.11666666666666667</v>
      </c>
      <c r="K621" s="4"/>
      <c r="L621" s="16"/>
      <c r="M621" s="4"/>
      <c r="N621" s="4"/>
      <c r="O621" s="4"/>
      <c r="P621" s="4"/>
      <c r="Q621" s="4"/>
      <c r="R621" s="4"/>
      <c r="S621" s="4">
        <v>0</v>
      </c>
      <c r="T621" s="4">
        <v>0</v>
      </c>
      <c r="U621" s="4">
        <v>0.11666666666666667</v>
      </c>
      <c r="V621" s="4">
        <v>11.883333333333333</v>
      </c>
      <c r="W621" s="4">
        <v>12</v>
      </c>
      <c r="X621" s="4">
        <v>35</v>
      </c>
      <c r="Y621" s="4"/>
      <c r="Z621" s="4">
        <v>425.79999999999995</v>
      </c>
      <c r="AA621" s="4">
        <v>450</v>
      </c>
      <c r="AB621" s="18"/>
      <c r="AC621" s="18">
        <v>12</v>
      </c>
      <c r="AD621" s="28"/>
      <c r="AE621" s="26"/>
      <c r="AF621" s="28"/>
    </row>
    <row r="622" spans="1:32" ht="13.5" customHeight="1" x14ac:dyDescent="0.25">
      <c r="A622" s="14">
        <v>45737</v>
      </c>
      <c r="B622" s="14" t="s">
        <v>46</v>
      </c>
      <c r="C622" s="15">
        <v>4</v>
      </c>
      <c r="D622" s="16"/>
      <c r="E622" s="16"/>
      <c r="F622" s="17"/>
      <c r="G622" s="21"/>
      <c r="H622" s="21"/>
      <c r="I622" s="4">
        <v>0</v>
      </c>
      <c r="J622" s="4">
        <v>0</v>
      </c>
      <c r="K622" s="4"/>
      <c r="L622" s="16"/>
      <c r="M622" s="4"/>
      <c r="N622" s="4"/>
      <c r="O622" s="4"/>
      <c r="P622" s="4"/>
      <c r="Q622" s="4"/>
      <c r="R622" s="4"/>
      <c r="S622" s="4">
        <v>0</v>
      </c>
      <c r="T622" s="4">
        <v>0</v>
      </c>
      <c r="U622" s="4">
        <v>0</v>
      </c>
      <c r="V622" s="4">
        <v>12</v>
      </c>
      <c r="W622" s="4">
        <v>12</v>
      </c>
      <c r="X622" s="4">
        <v>0</v>
      </c>
      <c r="Y622" s="4"/>
      <c r="Z622" s="4">
        <v>394.6</v>
      </c>
      <c r="AA622" s="4">
        <v>400</v>
      </c>
      <c r="AB622" s="18"/>
      <c r="AC622" s="18">
        <v>12</v>
      </c>
      <c r="AD622" s="28"/>
      <c r="AE622" s="26"/>
      <c r="AF622" s="28"/>
    </row>
    <row r="623" spans="1:32" ht="13.5" customHeight="1" x14ac:dyDescent="0.25">
      <c r="A623" s="14">
        <v>45737</v>
      </c>
      <c r="B623" s="14" t="s">
        <v>46</v>
      </c>
      <c r="C623" s="15">
        <v>6</v>
      </c>
      <c r="D623" s="16">
        <v>22</v>
      </c>
      <c r="E623" s="16"/>
      <c r="F623" s="17"/>
      <c r="G623" s="21"/>
      <c r="H623" s="21"/>
      <c r="I623" s="4">
        <v>22</v>
      </c>
      <c r="J623" s="4">
        <v>0.36666666666666664</v>
      </c>
      <c r="K623" s="4"/>
      <c r="L623" s="16"/>
      <c r="M623" s="4"/>
      <c r="N623" s="4">
        <v>20</v>
      </c>
      <c r="O623" s="4"/>
      <c r="P623" s="4"/>
      <c r="Q623" s="4"/>
      <c r="R623" s="4"/>
      <c r="S623" s="4">
        <v>20</v>
      </c>
      <c r="T623" s="4">
        <v>0.33333333333333331</v>
      </c>
      <c r="U623" s="4">
        <v>0.7</v>
      </c>
      <c r="V623" s="4">
        <v>11.3</v>
      </c>
      <c r="W623" s="4">
        <v>12</v>
      </c>
      <c r="X623" s="4">
        <v>80.599999999999994</v>
      </c>
      <c r="Y623" s="4"/>
      <c r="Z623" s="4">
        <v>717.7</v>
      </c>
      <c r="AA623" s="4">
        <v>750</v>
      </c>
      <c r="AB623" s="18"/>
      <c r="AC623" s="18">
        <v>12</v>
      </c>
      <c r="AD623" s="28"/>
      <c r="AE623" s="26"/>
      <c r="AF623" s="28"/>
    </row>
    <row r="624" spans="1:32" ht="13.5" customHeight="1" x14ac:dyDescent="0.25">
      <c r="A624" s="14">
        <v>45737</v>
      </c>
      <c r="B624" s="14" t="s">
        <v>47</v>
      </c>
      <c r="C624" s="15">
        <v>6</v>
      </c>
      <c r="D624" s="16">
        <v>30</v>
      </c>
      <c r="E624" s="16"/>
      <c r="F624" s="17"/>
      <c r="G624" s="21"/>
      <c r="H624" s="21"/>
      <c r="I624" s="4">
        <v>30</v>
      </c>
      <c r="J624" s="4">
        <v>0.5</v>
      </c>
      <c r="K624" s="4"/>
      <c r="L624" s="16"/>
      <c r="M624" s="4"/>
      <c r="N624" s="4"/>
      <c r="O624" s="4"/>
      <c r="P624" s="4"/>
      <c r="Q624" s="4"/>
      <c r="R624" s="4"/>
      <c r="S624" s="4">
        <v>0</v>
      </c>
      <c r="T624" s="4">
        <v>0</v>
      </c>
      <c r="U624" s="4">
        <v>0.5</v>
      </c>
      <c r="V624" s="4">
        <v>11.5</v>
      </c>
      <c r="W624" s="4">
        <v>12</v>
      </c>
      <c r="X624" s="4">
        <v>0</v>
      </c>
      <c r="Y624" s="4"/>
      <c r="Z624" s="4">
        <v>833.7</v>
      </c>
      <c r="AA624" s="4">
        <v>850</v>
      </c>
      <c r="AB624" s="18"/>
      <c r="AC624" s="18">
        <v>12</v>
      </c>
      <c r="AD624" s="28"/>
      <c r="AE624" s="26"/>
      <c r="AF624" s="28"/>
    </row>
    <row r="625" spans="1:32" ht="13.5" customHeight="1" x14ac:dyDescent="0.25">
      <c r="A625" s="14">
        <v>45737</v>
      </c>
      <c r="B625" s="14" t="s">
        <v>46</v>
      </c>
      <c r="C625" s="15">
        <v>7</v>
      </c>
      <c r="D625" s="16">
        <v>4</v>
      </c>
      <c r="E625" s="16"/>
      <c r="F625" s="17"/>
      <c r="G625" s="21"/>
      <c r="H625" s="21"/>
      <c r="I625" s="4">
        <v>4</v>
      </c>
      <c r="J625" s="4">
        <v>6.6666666666666666E-2</v>
      </c>
      <c r="K625" s="4"/>
      <c r="L625" s="16"/>
      <c r="M625" s="4"/>
      <c r="N625" s="4"/>
      <c r="O625" s="4"/>
      <c r="P625" s="4">
        <v>180</v>
      </c>
      <c r="Q625" s="4"/>
      <c r="R625" s="4"/>
      <c r="S625" s="4">
        <v>180</v>
      </c>
      <c r="T625" s="4">
        <v>3</v>
      </c>
      <c r="U625" s="4">
        <v>3.0666666666666669</v>
      </c>
      <c r="V625" s="4">
        <v>8.9333333333333336</v>
      </c>
      <c r="W625" s="4">
        <v>12</v>
      </c>
      <c r="X625" s="4">
        <v>13</v>
      </c>
      <c r="Y625" s="4"/>
      <c r="Z625" s="4">
        <v>273.63</v>
      </c>
      <c r="AA625" s="4">
        <v>300</v>
      </c>
      <c r="AB625" s="18"/>
      <c r="AC625" s="18">
        <v>12</v>
      </c>
      <c r="AD625" s="28"/>
      <c r="AE625" s="26"/>
      <c r="AF625" s="28"/>
    </row>
    <row r="626" spans="1:32" ht="13.5" customHeight="1" x14ac:dyDescent="0.25">
      <c r="A626" s="14">
        <v>45737</v>
      </c>
      <c r="B626" s="14" t="s">
        <v>47</v>
      </c>
      <c r="C626" s="15">
        <v>7</v>
      </c>
      <c r="D626" s="16"/>
      <c r="E626" s="16"/>
      <c r="F626" s="17"/>
      <c r="G626" s="21"/>
      <c r="H626" s="21"/>
      <c r="I626" s="4">
        <v>0</v>
      </c>
      <c r="J626" s="4">
        <v>0</v>
      </c>
      <c r="K626" s="4"/>
      <c r="L626" s="16"/>
      <c r="M626" s="4"/>
      <c r="N626" s="4"/>
      <c r="O626" s="4"/>
      <c r="P626" s="4"/>
      <c r="Q626" s="4"/>
      <c r="R626" s="4"/>
      <c r="S626" s="4">
        <v>0</v>
      </c>
      <c r="T626" s="4">
        <v>0</v>
      </c>
      <c r="U626" s="4">
        <v>0</v>
      </c>
      <c r="V626" s="4">
        <v>12</v>
      </c>
      <c r="W626" s="4">
        <v>12</v>
      </c>
      <c r="X626" s="4">
        <v>0</v>
      </c>
      <c r="Y626" s="4"/>
      <c r="Z626" s="4">
        <v>366.79999999999995</v>
      </c>
      <c r="AA626" s="4">
        <v>400</v>
      </c>
      <c r="AB626" s="18"/>
      <c r="AC626" s="18">
        <v>12</v>
      </c>
      <c r="AD626" s="28"/>
      <c r="AE626" s="26"/>
      <c r="AF626" s="28"/>
    </row>
    <row r="627" spans="1:32" ht="13.5" customHeight="1" x14ac:dyDescent="0.25">
      <c r="A627" s="14">
        <v>45738</v>
      </c>
      <c r="B627" s="14" t="s">
        <v>46</v>
      </c>
      <c r="C627" s="15">
        <v>1</v>
      </c>
      <c r="D627" s="16"/>
      <c r="E627" s="16"/>
      <c r="F627" s="17"/>
      <c r="G627" s="21"/>
      <c r="H627" s="21"/>
      <c r="I627" s="4">
        <v>0</v>
      </c>
      <c r="J627" s="4">
        <v>0</v>
      </c>
      <c r="K627" s="4"/>
      <c r="L627" s="16"/>
      <c r="M627" s="4"/>
      <c r="N627" s="4"/>
      <c r="O627" s="4"/>
      <c r="P627" s="4"/>
      <c r="Q627" s="4"/>
      <c r="R627" s="4"/>
      <c r="S627" s="4">
        <v>0</v>
      </c>
      <c r="T627" s="4">
        <v>0</v>
      </c>
      <c r="U627" s="4">
        <v>0</v>
      </c>
      <c r="V627" s="4">
        <v>12</v>
      </c>
      <c r="W627" s="4">
        <v>12</v>
      </c>
      <c r="X627" s="4">
        <v>0</v>
      </c>
      <c r="Y627" s="4">
        <v>1773</v>
      </c>
      <c r="Z627" s="4">
        <v>117.1</v>
      </c>
      <c r="AA627" s="4">
        <v>100</v>
      </c>
      <c r="AB627" s="18">
        <v>372</v>
      </c>
      <c r="AC627" s="18">
        <v>12</v>
      </c>
      <c r="AD627" s="28"/>
      <c r="AE627" s="26"/>
      <c r="AF627" s="28"/>
    </row>
    <row r="628" spans="1:32" ht="13.5" customHeight="1" x14ac:dyDescent="0.25">
      <c r="A628" s="14">
        <v>45738</v>
      </c>
      <c r="B628" s="14" t="s">
        <v>47</v>
      </c>
      <c r="C628" s="15">
        <v>1</v>
      </c>
      <c r="D628" s="16"/>
      <c r="E628" s="16"/>
      <c r="F628" s="17"/>
      <c r="G628" s="21"/>
      <c r="H628" s="21"/>
      <c r="I628" s="4">
        <v>0</v>
      </c>
      <c r="J628" s="4">
        <v>0</v>
      </c>
      <c r="K628" s="4"/>
      <c r="L628" s="16"/>
      <c r="M628" s="4"/>
      <c r="N628" s="4"/>
      <c r="O628" s="4"/>
      <c r="P628" s="4"/>
      <c r="Q628" s="4"/>
      <c r="R628" s="4"/>
      <c r="S628" s="4">
        <v>0</v>
      </c>
      <c r="T628" s="4">
        <v>0</v>
      </c>
      <c r="U628" s="4">
        <v>0</v>
      </c>
      <c r="V628" s="4">
        <v>12</v>
      </c>
      <c r="W628" s="4">
        <v>12</v>
      </c>
      <c r="X628" s="4">
        <v>0</v>
      </c>
      <c r="Y628" s="4"/>
      <c r="Z628" s="4">
        <v>103.22999999999999</v>
      </c>
      <c r="AA628" s="4">
        <v>100</v>
      </c>
      <c r="AB628" s="18"/>
      <c r="AC628" s="18">
        <v>12</v>
      </c>
      <c r="AD628" s="28"/>
      <c r="AE628" s="26"/>
      <c r="AF628" s="28"/>
    </row>
    <row r="629" spans="1:32" ht="13.5" customHeight="1" x14ac:dyDescent="0.25">
      <c r="A629" s="14">
        <v>45738</v>
      </c>
      <c r="B629" s="14" t="s">
        <v>46</v>
      </c>
      <c r="C629" s="15">
        <v>3</v>
      </c>
      <c r="D629" s="16">
        <v>10</v>
      </c>
      <c r="E629" s="16"/>
      <c r="F629" s="17"/>
      <c r="G629" s="21"/>
      <c r="H629" s="21"/>
      <c r="I629" s="4">
        <v>10</v>
      </c>
      <c r="J629" s="4">
        <v>0.16666666666666666</v>
      </c>
      <c r="K629" s="4"/>
      <c r="L629" s="16"/>
      <c r="M629" s="4"/>
      <c r="N629" s="4"/>
      <c r="O629" s="4"/>
      <c r="P629" s="4"/>
      <c r="Q629" s="4"/>
      <c r="R629" s="4"/>
      <c r="S629" s="4">
        <v>0</v>
      </c>
      <c r="T629" s="4">
        <v>0</v>
      </c>
      <c r="U629" s="4">
        <v>0.16666666666666666</v>
      </c>
      <c r="V629" s="4">
        <v>11.833333333333334</v>
      </c>
      <c r="W629" s="4">
        <v>12</v>
      </c>
      <c r="X629" s="4">
        <v>0</v>
      </c>
      <c r="Y629" s="4"/>
      <c r="Z629" s="4">
        <v>389.8</v>
      </c>
      <c r="AA629" s="4">
        <v>400</v>
      </c>
      <c r="AB629" s="18"/>
      <c r="AC629" s="18">
        <v>12</v>
      </c>
      <c r="AD629" s="28"/>
      <c r="AE629" s="26"/>
      <c r="AF629" s="28"/>
    </row>
    <row r="630" spans="1:32" ht="13.5" customHeight="1" x14ac:dyDescent="0.25">
      <c r="A630" s="14">
        <v>45738</v>
      </c>
      <c r="B630" s="14" t="s">
        <v>47</v>
      </c>
      <c r="C630" s="15">
        <v>3</v>
      </c>
      <c r="D630" s="16">
        <v>20</v>
      </c>
      <c r="E630" s="16"/>
      <c r="F630" s="17"/>
      <c r="G630" s="21"/>
      <c r="H630" s="21"/>
      <c r="I630" s="4">
        <v>20</v>
      </c>
      <c r="J630" s="4">
        <v>0.33333333333333331</v>
      </c>
      <c r="K630" s="4"/>
      <c r="L630" s="16"/>
      <c r="M630" s="4"/>
      <c r="N630" s="4"/>
      <c r="O630" s="4"/>
      <c r="P630" s="4"/>
      <c r="Q630" s="4"/>
      <c r="R630" s="4"/>
      <c r="S630" s="4">
        <v>0</v>
      </c>
      <c r="T630" s="4">
        <v>0</v>
      </c>
      <c r="U630" s="4">
        <v>0.33333333333333331</v>
      </c>
      <c r="V630" s="4">
        <v>11.666666666666666</v>
      </c>
      <c r="W630" s="4">
        <v>12</v>
      </c>
      <c r="X630" s="4">
        <v>0</v>
      </c>
      <c r="Y630" s="4"/>
      <c r="Z630" s="4">
        <v>275.60000000000002</v>
      </c>
      <c r="AA630" s="4">
        <v>250</v>
      </c>
      <c r="AB630" s="18"/>
      <c r="AC630" s="18">
        <v>12</v>
      </c>
      <c r="AD630" s="28"/>
      <c r="AE630" s="26"/>
      <c r="AF630" s="28"/>
    </row>
    <row r="631" spans="1:32" ht="13.5" customHeight="1" x14ac:dyDescent="0.25">
      <c r="A631" s="14">
        <v>45738</v>
      </c>
      <c r="B631" s="14" t="s">
        <v>46</v>
      </c>
      <c r="C631" s="15">
        <v>6</v>
      </c>
      <c r="D631" s="16">
        <v>20</v>
      </c>
      <c r="E631" s="16"/>
      <c r="F631" s="17"/>
      <c r="G631" s="21"/>
      <c r="H631" s="21"/>
      <c r="I631" s="4">
        <v>20</v>
      </c>
      <c r="J631" s="4">
        <v>0.33333333333333331</v>
      </c>
      <c r="K631" s="4"/>
      <c r="L631" s="16"/>
      <c r="M631" s="4"/>
      <c r="N631" s="4"/>
      <c r="O631" s="4"/>
      <c r="P631" s="4"/>
      <c r="Q631" s="4"/>
      <c r="R631" s="4"/>
      <c r="S631" s="4">
        <v>0</v>
      </c>
      <c r="T631" s="4">
        <v>0</v>
      </c>
      <c r="U631" s="4">
        <v>0.33333333333333331</v>
      </c>
      <c r="V631" s="4">
        <v>11.666666666666666</v>
      </c>
      <c r="W631" s="4">
        <v>12</v>
      </c>
      <c r="X631" s="4">
        <v>57.6</v>
      </c>
      <c r="Y631" s="4"/>
      <c r="Z631" s="4">
        <v>632.20000000000005</v>
      </c>
      <c r="AA631" s="4">
        <v>600</v>
      </c>
      <c r="AB631" s="18"/>
      <c r="AC631" s="18">
        <v>12</v>
      </c>
      <c r="AD631" s="28"/>
      <c r="AE631" s="26"/>
      <c r="AF631" s="28"/>
    </row>
    <row r="632" spans="1:32" ht="13.5" customHeight="1" x14ac:dyDescent="0.25">
      <c r="A632" s="14">
        <v>45738</v>
      </c>
      <c r="B632" s="14" t="s">
        <v>47</v>
      </c>
      <c r="C632" s="15">
        <v>6</v>
      </c>
      <c r="D632" s="16">
        <v>25</v>
      </c>
      <c r="E632" s="16"/>
      <c r="F632" s="17"/>
      <c r="G632" s="21"/>
      <c r="H632" s="21"/>
      <c r="I632" s="4">
        <v>25</v>
      </c>
      <c r="J632" s="4">
        <v>0.41666666666666669</v>
      </c>
      <c r="K632" s="4"/>
      <c r="L632" s="16"/>
      <c r="M632" s="4"/>
      <c r="N632" s="4"/>
      <c r="O632" s="4"/>
      <c r="P632" s="4"/>
      <c r="Q632" s="4"/>
      <c r="R632" s="4"/>
      <c r="S632" s="4">
        <v>0</v>
      </c>
      <c r="T632" s="4">
        <v>0</v>
      </c>
      <c r="U632" s="4">
        <v>0.41666666666666669</v>
      </c>
      <c r="V632" s="4">
        <v>11.583333333333334</v>
      </c>
      <c r="W632" s="4">
        <v>12</v>
      </c>
      <c r="X632" s="4">
        <v>45</v>
      </c>
      <c r="Y632" s="4"/>
      <c r="Z632" s="4">
        <v>674.40000000000009</v>
      </c>
      <c r="AA632" s="4">
        <v>700</v>
      </c>
      <c r="AB632" s="18"/>
      <c r="AC632" s="18">
        <v>12</v>
      </c>
      <c r="AD632" s="28"/>
      <c r="AE632" s="26"/>
      <c r="AF632" s="28"/>
    </row>
    <row r="633" spans="1:32" ht="13.5" customHeight="1" x14ac:dyDescent="0.25">
      <c r="A633" s="14">
        <v>45738</v>
      </c>
      <c r="B633" s="14" t="s">
        <v>46</v>
      </c>
      <c r="C633" s="15">
        <v>7</v>
      </c>
      <c r="D633" s="16">
        <v>4</v>
      </c>
      <c r="E633" s="16"/>
      <c r="F633" s="17"/>
      <c r="G633" s="21"/>
      <c r="H633" s="21"/>
      <c r="I633" s="4">
        <v>4</v>
      </c>
      <c r="J633" s="4">
        <v>6.6666666666666666E-2</v>
      </c>
      <c r="K633" s="4"/>
      <c r="L633" s="16"/>
      <c r="M633" s="4"/>
      <c r="N633" s="4"/>
      <c r="O633" s="4"/>
      <c r="P633" s="4"/>
      <c r="Q633" s="4"/>
      <c r="R633" s="4"/>
      <c r="S633" s="4">
        <v>0</v>
      </c>
      <c r="T633" s="4">
        <v>0</v>
      </c>
      <c r="U633" s="4">
        <v>6.6666666666666666E-2</v>
      </c>
      <c r="V633" s="4">
        <v>11.933333333333334</v>
      </c>
      <c r="W633" s="4">
        <v>12</v>
      </c>
      <c r="X633" s="4">
        <v>0</v>
      </c>
      <c r="Y633" s="4"/>
      <c r="Z633" s="4">
        <v>426.48</v>
      </c>
      <c r="AA633" s="4">
        <v>450</v>
      </c>
      <c r="AB633" s="18"/>
      <c r="AC633" s="18">
        <v>12</v>
      </c>
      <c r="AD633" s="28"/>
      <c r="AE633" s="26"/>
      <c r="AF633" s="28"/>
    </row>
    <row r="634" spans="1:32" ht="13.5" customHeight="1" x14ac:dyDescent="0.25">
      <c r="A634" s="14">
        <v>45738</v>
      </c>
      <c r="B634" s="14" t="s">
        <v>47</v>
      </c>
      <c r="C634" s="15">
        <v>7</v>
      </c>
      <c r="D634" s="16"/>
      <c r="E634" s="16"/>
      <c r="F634" s="17"/>
      <c r="G634" s="21"/>
      <c r="H634" s="21"/>
      <c r="I634" s="4">
        <v>0</v>
      </c>
      <c r="J634" s="4">
        <v>0</v>
      </c>
      <c r="K634" s="4"/>
      <c r="L634" s="16"/>
      <c r="M634" s="4"/>
      <c r="N634" s="4"/>
      <c r="O634" s="4"/>
      <c r="P634" s="4"/>
      <c r="Q634" s="4"/>
      <c r="R634" s="4"/>
      <c r="S634" s="4">
        <v>0</v>
      </c>
      <c r="T634" s="4">
        <v>0</v>
      </c>
      <c r="U634" s="4">
        <v>0</v>
      </c>
      <c r="V634" s="4">
        <v>12</v>
      </c>
      <c r="W634" s="4">
        <v>12</v>
      </c>
      <c r="X634" s="4">
        <v>0</v>
      </c>
      <c r="Y634" s="4"/>
      <c r="Z634" s="4">
        <v>376.2</v>
      </c>
      <c r="AA634" s="4">
        <v>400</v>
      </c>
      <c r="AB634" s="18"/>
      <c r="AC634" s="18">
        <v>12</v>
      </c>
      <c r="AD634" s="28"/>
      <c r="AE634" s="26"/>
      <c r="AF634" s="28"/>
    </row>
    <row r="635" spans="1:32" ht="13.5" customHeight="1" x14ac:dyDescent="0.25">
      <c r="A635" s="14">
        <v>45739</v>
      </c>
      <c r="B635" s="14" t="s">
        <v>46</v>
      </c>
      <c r="C635" s="15">
        <v>1</v>
      </c>
      <c r="D635" s="16">
        <v>20</v>
      </c>
      <c r="E635" s="16"/>
      <c r="F635" s="17"/>
      <c r="G635" s="21"/>
      <c r="H635" s="21"/>
      <c r="I635" s="4">
        <v>20</v>
      </c>
      <c r="J635" s="4">
        <v>0.33333333333333331</v>
      </c>
      <c r="K635" s="4"/>
      <c r="L635" s="16"/>
      <c r="M635" s="4"/>
      <c r="N635" s="4"/>
      <c r="O635" s="4"/>
      <c r="P635" s="4"/>
      <c r="Q635" s="4"/>
      <c r="R635" s="4"/>
      <c r="S635" s="4">
        <v>0</v>
      </c>
      <c r="T635" s="4">
        <v>0</v>
      </c>
      <c r="U635" s="4">
        <v>0.33333333333333331</v>
      </c>
      <c r="V635" s="4">
        <v>11.666666666666666</v>
      </c>
      <c r="W635" s="4">
        <v>12</v>
      </c>
      <c r="X635" s="4">
        <v>0</v>
      </c>
      <c r="Y635" s="4">
        <v>1839</v>
      </c>
      <c r="Z635" s="4">
        <v>154.9</v>
      </c>
      <c r="AA635" s="4">
        <v>150</v>
      </c>
      <c r="AB635" s="18">
        <v>372</v>
      </c>
      <c r="AC635" s="18">
        <v>12</v>
      </c>
      <c r="AD635" s="28"/>
      <c r="AE635" s="26"/>
      <c r="AF635" s="28"/>
    </row>
    <row r="636" spans="1:32" ht="13.5" customHeight="1" x14ac:dyDescent="0.25">
      <c r="A636" s="14">
        <v>45739</v>
      </c>
      <c r="B636" s="14" t="s">
        <v>47</v>
      </c>
      <c r="C636" s="15">
        <v>1</v>
      </c>
      <c r="D636" s="16">
        <v>10</v>
      </c>
      <c r="E636" s="16"/>
      <c r="F636" s="17"/>
      <c r="G636" s="21"/>
      <c r="H636" s="21"/>
      <c r="I636" s="4">
        <v>10</v>
      </c>
      <c r="J636" s="4">
        <v>0.16666666666666666</v>
      </c>
      <c r="K636" s="4"/>
      <c r="L636" s="16"/>
      <c r="M636" s="4"/>
      <c r="N636" s="4"/>
      <c r="O636" s="4"/>
      <c r="P636" s="4"/>
      <c r="Q636" s="4"/>
      <c r="R636" s="4"/>
      <c r="S636" s="4">
        <v>0</v>
      </c>
      <c r="T636" s="4">
        <v>0</v>
      </c>
      <c r="U636" s="4">
        <v>0.16666666666666666</v>
      </c>
      <c r="V636" s="4">
        <v>11.833333333333334</v>
      </c>
      <c r="W636" s="4">
        <v>12</v>
      </c>
      <c r="X636" s="4">
        <v>0</v>
      </c>
      <c r="Y636" s="4"/>
      <c r="Z636" s="4">
        <v>139.89999999999998</v>
      </c>
      <c r="AA636" s="4">
        <v>150</v>
      </c>
      <c r="AB636" s="18"/>
      <c r="AC636" s="18">
        <v>12</v>
      </c>
      <c r="AD636" s="28"/>
      <c r="AE636" s="26"/>
      <c r="AF636" s="28"/>
    </row>
    <row r="637" spans="1:32" ht="13.5" customHeight="1" x14ac:dyDescent="0.25">
      <c r="A637" s="14">
        <v>45739</v>
      </c>
      <c r="B637" s="14" t="s">
        <v>46</v>
      </c>
      <c r="C637" s="15">
        <v>3</v>
      </c>
      <c r="D637" s="16">
        <v>30</v>
      </c>
      <c r="E637" s="16"/>
      <c r="F637" s="17"/>
      <c r="G637" s="21"/>
      <c r="H637" s="21"/>
      <c r="I637" s="4">
        <v>30</v>
      </c>
      <c r="J637" s="4">
        <v>0.5</v>
      </c>
      <c r="K637" s="4"/>
      <c r="L637" s="16"/>
      <c r="M637" s="4"/>
      <c r="N637" s="4"/>
      <c r="O637" s="4"/>
      <c r="P637" s="4"/>
      <c r="Q637" s="4"/>
      <c r="R637" s="4"/>
      <c r="S637" s="4">
        <v>0</v>
      </c>
      <c r="T637" s="4">
        <v>0</v>
      </c>
      <c r="U637" s="4">
        <v>0.5</v>
      </c>
      <c r="V637" s="4">
        <v>11.5</v>
      </c>
      <c r="W637" s="4">
        <v>12</v>
      </c>
      <c r="X637" s="4">
        <v>0</v>
      </c>
      <c r="Y637" s="4"/>
      <c r="Z637" s="4">
        <v>396.90000000000003</v>
      </c>
      <c r="AA637" s="4">
        <v>400</v>
      </c>
      <c r="AB637" s="18"/>
      <c r="AC637" s="18">
        <v>12</v>
      </c>
      <c r="AD637" s="28"/>
      <c r="AE637" s="26"/>
      <c r="AF637" s="28"/>
    </row>
    <row r="638" spans="1:32" ht="13.5" customHeight="1" x14ac:dyDescent="0.25">
      <c r="A638" s="14">
        <v>45739</v>
      </c>
      <c r="B638" s="14" t="s">
        <v>47</v>
      </c>
      <c r="C638" s="15">
        <v>3</v>
      </c>
      <c r="D638" s="16">
        <v>20</v>
      </c>
      <c r="E638" s="16"/>
      <c r="F638" s="17"/>
      <c r="G638" s="21"/>
      <c r="H638" s="21"/>
      <c r="I638" s="4">
        <v>20</v>
      </c>
      <c r="J638" s="4">
        <v>0.33333333333333331</v>
      </c>
      <c r="K638" s="4"/>
      <c r="L638" s="16"/>
      <c r="M638" s="4"/>
      <c r="N638" s="4"/>
      <c r="O638" s="4"/>
      <c r="P638" s="4"/>
      <c r="Q638" s="4"/>
      <c r="R638" s="4"/>
      <c r="S638" s="4">
        <v>0</v>
      </c>
      <c r="T638" s="4">
        <v>0</v>
      </c>
      <c r="U638" s="4">
        <v>0.33333333333333331</v>
      </c>
      <c r="V638" s="4">
        <v>11.666666666666666</v>
      </c>
      <c r="W638" s="4">
        <v>12</v>
      </c>
      <c r="X638" s="4">
        <v>0</v>
      </c>
      <c r="Y638" s="4"/>
      <c r="Z638" s="4">
        <v>361.5</v>
      </c>
      <c r="AA638" s="4">
        <v>400</v>
      </c>
      <c r="AB638" s="18"/>
      <c r="AC638" s="18">
        <v>12</v>
      </c>
      <c r="AD638" s="28"/>
      <c r="AE638" s="26"/>
      <c r="AF638" s="28"/>
    </row>
    <row r="639" spans="1:32" ht="13.5" customHeight="1" x14ac:dyDescent="0.25">
      <c r="A639" s="14">
        <v>45739</v>
      </c>
      <c r="B639" s="14" t="s">
        <v>46</v>
      </c>
      <c r="C639" s="15">
        <v>6</v>
      </c>
      <c r="D639" s="16"/>
      <c r="E639" s="16"/>
      <c r="F639" s="17"/>
      <c r="G639" s="21"/>
      <c r="H639" s="21"/>
      <c r="I639" s="4">
        <v>0</v>
      </c>
      <c r="J639" s="4">
        <v>0</v>
      </c>
      <c r="K639" s="4"/>
      <c r="L639" s="16"/>
      <c r="M639" s="4"/>
      <c r="N639" s="4"/>
      <c r="O639" s="4"/>
      <c r="P639" s="4"/>
      <c r="Q639" s="4"/>
      <c r="R639" s="4"/>
      <c r="S639" s="4">
        <v>0</v>
      </c>
      <c r="T639" s="4">
        <v>0</v>
      </c>
      <c r="U639" s="4">
        <v>0</v>
      </c>
      <c r="V639" s="4">
        <v>12</v>
      </c>
      <c r="W639" s="4">
        <v>12</v>
      </c>
      <c r="X639" s="4">
        <v>16</v>
      </c>
      <c r="Y639" s="4"/>
      <c r="Z639" s="4">
        <v>602</v>
      </c>
      <c r="AA639" s="4">
        <v>600</v>
      </c>
      <c r="AB639" s="18"/>
      <c r="AC639" s="18">
        <v>12</v>
      </c>
      <c r="AD639" s="28"/>
      <c r="AE639" s="26"/>
      <c r="AF639" s="28"/>
    </row>
    <row r="640" spans="1:32" ht="13.5" customHeight="1" x14ac:dyDescent="0.25">
      <c r="A640" s="14">
        <v>45739</v>
      </c>
      <c r="B640" s="14" t="s">
        <v>47</v>
      </c>
      <c r="C640" s="15">
        <v>6</v>
      </c>
      <c r="D640" s="16"/>
      <c r="E640" s="16"/>
      <c r="F640" s="17"/>
      <c r="G640" s="21"/>
      <c r="H640" s="21"/>
      <c r="I640" s="4">
        <v>0</v>
      </c>
      <c r="J640" s="4">
        <v>0</v>
      </c>
      <c r="K640" s="4"/>
      <c r="L640" s="16"/>
      <c r="M640" s="4"/>
      <c r="N640" s="4"/>
      <c r="O640" s="4"/>
      <c r="P640" s="4"/>
      <c r="Q640" s="4"/>
      <c r="R640" s="4"/>
      <c r="S640" s="4">
        <v>0</v>
      </c>
      <c r="T640" s="4">
        <v>0</v>
      </c>
      <c r="U640" s="4">
        <v>0</v>
      </c>
      <c r="V640" s="4">
        <v>12</v>
      </c>
      <c r="W640" s="4">
        <v>12</v>
      </c>
      <c r="X640" s="4">
        <v>32</v>
      </c>
      <c r="Y640" s="4"/>
      <c r="Z640" s="4">
        <v>656.80000000000007</v>
      </c>
      <c r="AA640" s="4">
        <v>650</v>
      </c>
      <c r="AB640" s="18"/>
      <c r="AC640" s="18">
        <v>12</v>
      </c>
      <c r="AD640" s="28"/>
      <c r="AE640" s="26"/>
      <c r="AF640" s="28"/>
    </row>
    <row r="641" spans="1:32" ht="13.5" customHeight="1" x14ac:dyDescent="0.25">
      <c r="A641" s="14">
        <v>45739</v>
      </c>
      <c r="B641" s="14" t="s">
        <v>46</v>
      </c>
      <c r="C641" s="15">
        <v>7</v>
      </c>
      <c r="D641" s="16">
        <v>10</v>
      </c>
      <c r="E641" s="16"/>
      <c r="F641" s="17"/>
      <c r="G641" s="21"/>
      <c r="H641" s="21"/>
      <c r="I641" s="4">
        <v>10</v>
      </c>
      <c r="J641" s="4">
        <v>0.16666666666666666</v>
      </c>
      <c r="K641" s="4"/>
      <c r="L641" s="16"/>
      <c r="M641" s="4"/>
      <c r="N641" s="4"/>
      <c r="O641" s="4"/>
      <c r="P641" s="4"/>
      <c r="Q641" s="4"/>
      <c r="R641" s="4"/>
      <c r="S641" s="4">
        <v>0</v>
      </c>
      <c r="T641" s="4">
        <v>0</v>
      </c>
      <c r="U641" s="4">
        <v>0.16666666666666666</v>
      </c>
      <c r="V641" s="4">
        <v>11.833333333333334</v>
      </c>
      <c r="W641" s="4">
        <v>12</v>
      </c>
      <c r="X641" s="4">
        <v>0</v>
      </c>
      <c r="Y641" s="4"/>
      <c r="Z641" s="4">
        <v>369.20000000000005</v>
      </c>
      <c r="AA641" s="4">
        <v>350</v>
      </c>
      <c r="AB641" s="18"/>
      <c r="AC641" s="18">
        <v>12</v>
      </c>
      <c r="AD641" s="28"/>
      <c r="AE641" s="26"/>
      <c r="AF641" s="28"/>
    </row>
    <row r="642" spans="1:32" ht="13.5" customHeight="1" x14ac:dyDescent="0.25">
      <c r="A642" s="14">
        <v>45739</v>
      </c>
      <c r="B642" s="14" t="s">
        <v>47</v>
      </c>
      <c r="C642" s="15">
        <v>7</v>
      </c>
      <c r="D642" s="16"/>
      <c r="E642" s="16"/>
      <c r="F642" s="17"/>
      <c r="G642" s="21"/>
      <c r="H642" s="21"/>
      <c r="I642" s="4">
        <v>0</v>
      </c>
      <c r="J642" s="4">
        <v>0</v>
      </c>
      <c r="K642" s="4"/>
      <c r="L642" s="16"/>
      <c r="M642" s="4"/>
      <c r="N642" s="4"/>
      <c r="O642" s="4"/>
      <c r="P642" s="4"/>
      <c r="Q642" s="4"/>
      <c r="R642" s="4"/>
      <c r="S642" s="4">
        <v>0</v>
      </c>
      <c r="T642" s="4">
        <v>0</v>
      </c>
      <c r="U642" s="4">
        <v>0</v>
      </c>
      <c r="V642" s="4">
        <v>12</v>
      </c>
      <c r="W642" s="4">
        <v>12</v>
      </c>
      <c r="X642" s="4">
        <v>0</v>
      </c>
      <c r="Y642" s="4"/>
      <c r="Z642" s="4">
        <v>508.15000000000003</v>
      </c>
      <c r="AA642" s="4">
        <v>500</v>
      </c>
      <c r="AB642" s="18"/>
      <c r="AC642" s="18">
        <v>12</v>
      </c>
      <c r="AD642" s="28"/>
      <c r="AE642" s="26"/>
      <c r="AF642" s="28"/>
    </row>
    <row r="643" spans="1:32" ht="13.5" customHeight="1" x14ac:dyDescent="0.25">
      <c r="A643" s="14">
        <v>45740</v>
      </c>
      <c r="B643" s="14" t="s">
        <v>46</v>
      </c>
      <c r="C643" s="15">
        <v>1</v>
      </c>
      <c r="D643" s="16">
        <v>5</v>
      </c>
      <c r="E643" s="16"/>
      <c r="F643" s="17"/>
      <c r="G643" s="21"/>
      <c r="H643" s="21"/>
      <c r="I643" s="4">
        <v>5</v>
      </c>
      <c r="J643" s="4">
        <v>8.3333333333333329E-2</v>
      </c>
      <c r="K643" s="4"/>
      <c r="L643" s="16"/>
      <c r="M643" s="4"/>
      <c r="N643" s="4"/>
      <c r="O643" s="4"/>
      <c r="P643" s="4"/>
      <c r="Q643" s="4"/>
      <c r="R643" s="4"/>
      <c r="S643" s="4">
        <v>0</v>
      </c>
      <c r="T643" s="4">
        <v>0</v>
      </c>
      <c r="U643" s="4">
        <v>8.3333333333333329E-2</v>
      </c>
      <c r="V643" s="4">
        <v>11.916666666666666</v>
      </c>
      <c r="W643" s="4">
        <v>12</v>
      </c>
      <c r="X643" s="4">
        <v>0</v>
      </c>
      <c r="Y643" s="4">
        <v>1811</v>
      </c>
      <c r="Z643" s="4">
        <v>168.4</v>
      </c>
      <c r="AA643" s="4">
        <v>150</v>
      </c>
      <c r="AB643" s="18">
        <v>372</v>
      </c>
      <c r="AC643" s="18">
        <v>13</v>
      </c>
      <c r="AD643" s="28"/>
      <c r="AE643" s="26"/>
      <c r="AF643" s="28"/>
    </row>
    <row r="644" spans="1:32" ht="13.5" customHeight="1" x14ac:dyDescent="0.25">
      <c r="A644" s="14">
        <v>45740</v>
      </c>
      <c r="B644" s="14" t="s">
        <v>47</v>
      </c>
      <c r="C644" s="15">
        <v>1</v>
      </c>
      <c r="D644" s="16"/>
      <c r="E644" s="16"/>
      <c r="F644" s="17"/>
      <c r="G644" s="21"/>
      <c r="H644" s="21"/>
      <c r="I644" s="4">
        <v>0</v>
      </c>
      <c r="J644" s="4">
        <v>0</v>
      </c>
      <c r="K644" s="4">
        <v>120</v>
      </c>
      <c r="L644" s="16"/>
      <c r="M644" s="4"/>
      <c r="N644" s="4"/>
      <c r="O644" s="4"/>
      <c r="P644" s="4">
        <v>120</v>
      </c>
      <c r="Q644" s="4"/>
      <c r="R644" s="4"/>
      <c r="S644" s="4">
        <v>240</v>
      </c>
      <c r="T644" s="4">
        <v>4</v>
      </c>
      <c r="U644" s="4">
        <v>4</v>
      </c>
      <c r="V644" s="4">
        <v>8</v>
      </c>
      <c r="W644" s="4">
        <v>12</v>
      </c>
      <c r="X644" s="4">
        <v>0</v>
      </c>
      <c r="Y644" s="4"/>
      <c r="Z644" s="4">
        <v>111.10000000000001</v>
      </c>
      <c r="AA644" s="4">
        <v>100</v>
      </c>
      <c r="AB644" s="18"/>
      <c r="AC644" s="18">
        <v>13</v>
      </c>
      <c r="AD644" s="28"/>
      <c r="AE644" s="26"/>
      <c r="AF644" s="28"/>
    </row>
    <row r="645" spans="1:32" ht="13.5" customHeight="1" x14ac:dyDescent="0.25">
      <c r="A645" s="14">
        <v>45740</v>
      </c>
      <c r="B645" s="14" t="s">
        <v>46</v>
      </c>
      <c r="C645" s="15">
        <v>3</v>
      </c>
      <c r="D645" s="16"/>
      <c r="E645" s="16"/>
      <c r="F645" s="17"/>
      <c r="G645" s="21"/>
      <c r="H645" s="21"/>
      <c r="I645" s="4">
        <v>0</v>
      </c>
      <c r="J645" s="4">
        <v>0</v>
      </c>
      <c r="K645" s="4"/>
      <c r="L645" s="16"/>
      <c r="M645" s="4"/>
      <c r="N645" s="4"/>
      <c r="O645" s="4"/>
      <c r="P645" s="4"/>
      <c r="Q645" s="4"/>
      <c r="R645" s="4"/>
      <c r="S645" s="4">
        <v>0</v>
      </c>
      <c r="T645" s="4">
        <v>0</v>
      </c>
      <c r="U645" s="4">
        <v>0</v>
      </c>
      <c r="V645" s="4">
        <v>12</v>
      </c>
      <c r="W645" s="4">
        <v>12</v>
      </c>
      <c r="X645" s="4">
        <v>0</v>
      </c>
      <c r="Y645" s="4"/>
      <c r="Z645" s="4">
        <v>422.9</v>
      </c>
      <c r="AA645" s="4">
        <v>450</v>
      </c>
      <c r="AB645" s="18"/>
      <c r="AC645" s="18">
        <v>13</v>
      </c>
      <c r="AD645" s="28"/>
      <c r="AE645" s="26"/>
      <c r="AF645" s="28"/>
    </row>
    <row r="646" spans="1:32" ht="13.5" customHeight="1" x14ac:dyDescent="0.25">
      <c r="A646" s="14">
        <v>45740</v>
      </c>
      <c r="B646" s="14" t="s">
        <v>47</v>
      </c>
      <c r="C646" s="15">
        <v>3</v>
      </c>
      <c r="D646" s="16"/>
      <c r="E646" s="16"/>
      <c r="F646" s="17"/>
      <c r="G646" s="21"/>
      <c r="H646" s="21"/>
      <c r="I646" s="4">
        <v>0</v>
      </c>
      <c r="J646" s="4">
        <v>0</v>
      </c>
      <c r="K646" s="4"/>
      <c r="L646" s="16"/>
      <c r="M646" s="4"/>
      <c r="N646" s="4"/>
      <c r="O646" s="4"/>
      <c r="P646" s="4"/>
      <c r="Q646" s="4"/>
      <c r="R646" s="4"/>
      <c r="S646" s="4">
        <v>0</v>
      </c>
      <c r="T646" s="4">
        <v>0</v>
      </c>
      <c r="U646" s="4">
        <v>0</v>
      </c>
      <c r="V646" s="4">
        <v>12</v>
      </c>
      <c r="W646" s="4">
        <v>12</v>
      </c>
      <c r="X646" s="4">
        <v>45.8</v>
      </c>
      <c r="Y646" s="4"/>
      <c r="Z646" s="4">
        <v>393.79999999999995</v>
      </c>
      <c r="AA646" s="4">
        <v>400</v>
      </c>
      <c r="AB646" s="18"/>
      <c r="AC646" s="18">
        <v>13</v>
      </c>
      <c r="AD646" s="28"/>
      <c r="AE646" s="26"/>
      <c r="AF646" s="28"/>
    </row>
    <row r="647" spans="1:32" ht="13.5" customHeight="1" x14ac:dyDescent="0.25">
      <c r="A647" s="14">
        <v>45740</v>
      </c>
      <c r="B647" s="14" t="s">
        <v>46</v>
      </c>
      <c r="C647" s="15">
        <v>6</v>
      </c>
      <c r="D647" s="16">
        <v>10</v>
      </c>
      <c r="E647" s="16"/>
      <c r="F647" s="17"/>
      <c r="G647" s="21"/>
      <c r="H647" s="21"/>
      <c r="I647" s="4">
        <v>10</v>
      </c>
      <c r="J647" s="4">
        <v>0.16666666666666666</v>
      </c>
      <c r="K647" s="4"/>
      <c r="L647" s="16"/>
      <c r="M647" s="4"/>
      <c r="N647" s="4"/>
      <c r="O647" s="4"/>
      <c r="P647" s="4"/>
      <c r="Q647" s="4"/>
      <c r="R647" s="4"/>
      <c r="S647" s="4">
        <v>0</v>
      </c>
      <c r="T647" s="4">
        <v>0</v>
      </c>
      <c r="U647" s="4">
        <v>0.16666666666666666</v>
      </c>
      <c r="V647" s="4">
        <v>11.833333333333334</v>
      </c>
      <c r="W647" s="4">
        <v>12</v>
      </c>
      <c r="X647" s="4">
        <v>40.200000000000003</v>
      </c>
      <c r="Y647" s="4"/>
      <c r="Z647" s="4">
        <v>601.79999999999995</v>
      </c>
      <c r="AA647" s="4">
        <v>600</v>
      </c>
      <c r="AB647" s="18"/>
      <c r="AC647" s="18">
        <v>13</v>
      </c>
      <c r="AD647" s="28"/>
      <c r="AE647" s="26"/>
      <c r="AF647" s="28"/>
    </row>
    <row r="648" spans="1:32" ht="13.5" customHeight="1" x14ac:dyDescent="0.25">
      <c r="A648" s="14">
        <v>45740</v>
      </c>
      <c r="B648" s="14" t="s">
        <v>47</v>
      </c>
      <c r="C648" s="15">
        <v>6</v>
      </c>
      <c r="D648" s="16"/>
      <c r="E648" s="16"/>
      <c r="F648" s="17"/>
      <c r="G648" s="21"/>
      <c r="H648" s="21"/>
      <c r="I648" s="4">
        <v>0</v>
      </c>
      <c r="J648" s="4">
        <v>0</v>
      </c>
      <c r="K648" s="4"/>
      <c r="L648" s="16"/>
      <c r="M648" s="4"/>
      <c r="N648" s="4">
        <v>10</v>
      </c>
      <c r="O648" s="4"/>
      <c r="P648" s="4"/>
      <c r="Q648" s="4"/>
      <c r="R648" s="4"/>
      <c r="S648" s="4">
        <v>10</v>
      </c>
      <c r="T648" s="4">
        <v>0.16666666666666666</v>
      </c>
      <c r="U648" s="4">
        <v>0.16666666666666666</v>
      </c>
      <c r="V648" s="4">
        <v>11.833333333333334</v>
      </c>
      <c r="W648" s="4">
        <v>12</v>
      </c>
      <c r="X648" s="4">
        <v>0</v>
      </c>
      <c r="Y648" s="4"/>
      <c r="Z648" s="4">
        <v>731.6</v>
      </c>
      <c r="AA648" s="4">
        <v>750</v>
      </c>
      <c r="AB648" s="18"/>
      <c r="AC648" s="18">
        <v>13</v>
      </c>
      <c r="AD648" s="28"/>
      <c r="AE648" s="26"/>
      <c r="AF648" s="28"/>
    </row>
    <row r="649" spans="1:32" ht="13.5" customHeight="1" x14ac:dyDescent="0.25">
      <c r="A649" s="14">
        <v>45740</v>
      </c>
      <c r="B649" s="14" t="s">
        <v>46</v>
      </c>
      <c r="C649" s="15">
        <v>7</v>
      </c>
      <c r="D649" s="16">
        <v>6</v>
      </c>
      <c r="E649" s="16"/>
      <c r="F649" s="17"/>
      <c r="G649" s="21"/>
      <c r="H649" s="21"/>
      <c r="I649" s="4">
        <v>6</v>
      </c>
      <c r="J649" s="4">
        <v>0.1</v>
      </c>
      <c r="K649" s="4"/>
      <c r="L649" s="16"/>
      <c r="M649" s="4"/>
      <c r="N649" s="4"/>
      <c r="O649" s="4"/>
      <c r="P649" s="4"/>
      <c r="Q649" s="4"/>
      <c r="R649" s="4"/>
      <c r="S649" s="4">
        <v>0</v>
      </c>
      <c r="T649" s="4">
        <v>0</v>
      </c>
      <c r="U649" s="4">
        <v>0.1</v>
      </c>
      <c r="V649" s="4">
        <v>11.9</v>
      </c>
      <c r="W649" s="4">
        <v>12</v>
      </c>
      <c r="X649" s="4">
        <v>0</v>
      </c>
      <c r="Y649" s="4"/>
      <c r="Z649" s="4">
        <v>379.7</v>
      </c>
      <c r="AA649" s="4">
        <v>400</v>
      </c>
      <c r="AB649" s="18"/>
      <c r="AC649" s="18">
        <v>13</v>
      </c>
      <c r="AD649" s="28"/>
      <c r="AE649" s="26"/>
      <c r="AF649" s="28"/>
    </row>
    <row r="650" spans="1:32" ht="13.5" customHeight="1" x14ac:dyDescent="0.25">
      <c r="A650" s="14">
        <v>45740</v>
      </c>
      <c r="B650" s="14" t="s">
        <v>47</v>
      </c>
      <c r="C650" s="15">
        <v>7</v>
      </c>
      <c r="D650" s="16">
        <v>5</v>
      </c>
      <c r="E650" s="16"/>
      <c r="F650" s="17"/>
      <c r="G650" s="21"/>
      <c r="H650" s="21"/>
      <c r="I650" s="4">
        <v>5</v>
      </c>
      <c r="J650" s="4">
        <v>8.3333333333333329E-2</v>
      </c>
      <c r="K650" s="4"/>
      <c r="L650" s="16"/>
      <c r="M650" s="4"/>
      <c r="N650" s="4"/>
      <c r="O650" s="4"/>
      <c r="P650" s="4"/>
      <c r="Q650" s="4"/>
      <c r="R650" s="4"/>
      <c r="S650" s="4">
        <v>0</v>
      </c>
      <c r="T650" s="4">
        <v>0</v>
      </c>
      <c r="U650" s="4">
        <v>8.3333333333333329E-2</v>
      </c>
      <c r="V650" s="4">
        <v>11.916666666666666</v>
      </c>
      <c r="W650" s="4">
        <v>12</v>
      </c>
      <c r="X650" s="4">
        <v>0</v>
      </c>
      <c r="Y650" s="4"/>
      <c r="Z650" s="4">
        <v>366.40999999999997</v>
      </c>
      <c r="AA650" s="4">
        <v>400</v>
      </c>
      <c r="AB650" s="18"/>
      <c r="AC650" s="18">
        <v>13</v>
      </c>
      <c r="AD650" s="28"/>
      <c r="AE650" s="26"/>
      <c r="AF650" s="28"/>
    </row>
    <row r="651" spans="1:32" ht="13.5" customHeight="1" x14ac:dyDescent="0.25">
      <c r="A651" s="14">
        <v>45741</v>
      </c>
      <c r="B651" s="14" t="s">
        <v>46</v>
      </c>
      <c r="C651" s="15">
        <v>1</v>
      </c>
      <c r="D651" s="16"/>
      <c r="E651" s="16"/>
      <c r="F651" s="17"/>
      <c r="G651" s="21"/>
      <c r="H651" s="21"/>
      <c r="I651" s="4">
        <v>0</v>
      </c>
      <c r="J651" s="4">
        <v>0</v>
      </c>
      <c r="K651" s="4"/>
      <c r="L651" s="16"/>
      <c r="M651" s="4"/>
      <c r="N651" s="4"/>
      <c r="O651" s="4"/>
      <c r="P651" s="4"/>
      <c r="Q651" s="4"/>
      <c r="R651" s="4"/>
      <c r="S651" s="4">
        <v>0</v>
      </c>
      <c r="T651" s="4">
        <v>0</v>
      </c>
      <c r="U651" s="4">
        <v>0</v>
      </c>
      <c r="V651" s="4">
        <v>12</v>
      </c>
      <c r="W651" s="4">
        <v>12</v>
      </c>
      <c r="X651" s="4">
        <v>0</v>
      </c>
      <c r="Y651" s="4">
        <v>1792</v>
      </c>
      <c r="Z651" s="4">
        <v>90.000000000000014</v>
      </c>
      <c r="AA651" s="4">
        <v>100</v>
      </c>
      <c r="AB651" s="18">
        <v>372</v>
      </c>
      <c r="AC651" s="18">
        <v>13</v>
      </c>
      <c r="AD651" s="28"/>
      <c r="AE651" s="26"/>
      <c r="AF651" s="28"/>
    </row>
    <row r="652" spans="1:32" ht="13.5" customHeight="1" x14ac:dyDescent="0.25">
      <c r="A652" s="14">
        <v>45741</v>
      </c>
      <c r="B652" s="14" t="s">
        <v>47</v>
      </c>
      <c r="C652" s="15">
        <v>1</v>
      </c>
      <c r="D652" s="16">
        <v>5</v>
      </c>
      <c r="E652" s="16"/>
      <c r="F652" s="17"/>
      <c r="G652" s="21"/>
      <c r="H652" s="21"/>
      <c r="I652" s="4">
        <v>5</v>
      </c>
      <c r="J652" s="4">
        <v>8.3333333333333329E-2</v>
      </c>
      <c r="K652" s="4">
        <v>45</v>
      </c>
      <c r="L652" s="16"/>
      <c r="M652" s="4"/>
      <c r="N652" s="4"/>
      <c r="O652" s="4"/>
      <c r="P652" s="4"/>
      <c r="Q652" s="4"/>
      <c r="R652" s="4"/>
      <c r="S652" s="4">
        <v>45</v>
      </c>
      <c r="T652" s="4">
        <v>0.75</v>
      </c>
      <c r="U652" s="4">
        <v>0.83333333333333337</v>
      </c>
      <c r="V652" s="4">
        <v>11.166666666666666</v>
      </c>
      <c r="W652" s="4">
        <v>12</v>
      </c>
      <c r="X652" s="4">
        <v>0</v>
      </c>
      <c r="Y652" s="4"/>
      <c r="Z652" s="4">
        <v>134.5</v>
      </c>
      <c r="AA652" s="4">
        <v>150</v>
      </c>
      <c r="AB652" s="18"/>
      <c r="AC652" s="18">
        <v>13</v>
      </c>
      <c r="AD652" s="28"/>
      <c r="AE652" s="26"/>
      <c r="AF652" s="28"/>
    </row>
    <row r="653" spans="1:32" ht="13.5" customHeight="1" x14ac:dyDescent="0.25">
      <c r="A653" s="14">
        <v>45741</v>
      </c>
      <c r="B653" s="14" t="s">
        <v>46</v>
      </c>
      <c r="C653" s="15">
        <v>3</v>
      </c>
      <c r="D653" s="16">
        <v>20</v>
      </c>
      <c r="E653" s="16"/>
      <c r="F653" s="17"/>
      <c r="G653" s="21"/>
      <c r="H653" s="21"/>
      <c r="I653" s="4">
        <v>20</v>
      </c>
      <c r="J653" s="4">
        <v>0.33333333333333331</v>
      </c>
      <c r="K653" s="4"/>
      <c r="L653" s="16"/>
      <c r="M653" s="4"/>
      <c r="N653" s="4"/>
      <c r="O653" s="4"/>
      <c r="P653" s="4"/>
      <c r="Q653" s="4"/>
      <c r="R653" s="4"/>
      <c r="S653" s="4">
        <v>0</v>
      </c>
      <c r="T653" s="4">
        <v>0</v>
      </c>
      <c r="U653" s="4">
        <v>0.33333333333333331</v>
      </c>
      <c r="V653" s="4">
        <v>11.666666666666666</v>
      </c>
      <c r="W653" s="4">
        <v>12</v>
      </c>
      <c r="X653" s="4">
        <v>0</v>
      </c>
      <c r="Y653" s="4"/>
      <c r="Z653" s="4">
        <v>435.4</v>
      </c>
      <c r="AA653" s="4">
        <v>450</v>
      </c>
      <c r="AB653" s="18"/>
      <c r="AC653" s="18">
        <v>13</v>
      </c>
      <c r="AD653" s="28"/>
      <c r="AE653" s="26"/>
      <c r="AF653" s="28"/>
    </row>
    <row r="654" spans="1:32" ht="13.5" customHeight="1" x14ac:dyDescent="0.25">
      <c r="A654" s="14">
        <v>45741</v>
      </c>
      <c r="B654" s="14" t="s">
        <v>47</v>
      </c>
      <c r="C654" s="15">
        <v>3</v>
      </c>
      <c r="D654" s="16"/>
      <c r="E654" s="16"/>
      <c r="F654" s="17"/>
      <c r="G654" s="21"/>
      <c r="H654" s="21"/>
      <c r="I654" s="4">
        <v>0</v>
      </c>
      <c r="J654" s="4">
        <v>0</v>
      </c>
      <c r="K654" s="4"/>
      <c r="L654" s="16"/>
      <c r="M654" s="4"/>
      <c r="N654" s="4"/>
      <c r="O654" s="4"/>
      <c r="P654" s="4"/>
      <c r="Q654" s="4"/>
      <c r="R654" s="4"/>
      <c r="S654" s="4">
        <v>0</v>
      </c>
      <c r="T654" s="4">
        <v>0</v>
      </c>
      <c r="U654" s="4">
        <v>0</v>
      </c>
      <c r="V654" s="4">
        <v>12</v>
      </c>
      <c r="W654" s="4">
        <v>12</v>
      </c>
      <c r="X654" s="4">
        <v>0</v>
      </c>
      <c r="Y654" s="4"/>
      <c r="Z654" s="4">
        <v>403.50000000000006</v>
      </c>
      <c r="AA654" s="4">
        <v>400</v>
      </c>
      <c r="AB654" s="18"/>
      <c r="AC654" s="18">
        <v>13</v>
      </c>
      <c r="AD654" s="28"/>
      <c r="AE654" s="26"/>
      <c r="AF654" s="28"/>
    </row>
    <row r="655" spans="1:32" ht="13.5" customHeight="1" x14ac:dyDescent="0.25">
      <c r="A655" s="14">
        <v>45741</v>
      </c>
      <c r="B655" s="14" t="s">
        <v>46</v>
      </c>
      <c r="C655" s="15">
        <v>6</v>
      </c>
      <c r="D655" s="16">
        <v>20</v>
      </c>
      <c r="E655" s="16"/>
      <c r="F655" s="17"/>
      <c r="G655" s="21"/>
      <c r="H655" s="21"/>
      <c r="I655" s="4">
        <v>20</v>
      </c>
      <c r="J655" s="4">
        <v>0.33333333333333331</v>
      </c>
      <c r="K655" s="4"/>
      <c r="L655" s="16"/>
      <c r="M655" s="4"/>
      <c r="N655" s="4"/>
      <c r="O655" s="4"/>
      <c r="P655" s="4"/>
      <c r="Q655" s="4"/>
      <c r="R655" s="4"/>
      <c r="S655" s="4">
        <v>0</v>
      </c>
      <c r="T655" s="4">
        <v>0</v>
      </c>
      <c r="U655" s="4">
        <v>0.33333333333333331</v>
      </c>
      <c r="V655" s="4">
        <v>11.666666666666666</v>
      </c>
      <c r="W655" s="4">
        <v>12</v>
      </c>
      <c r="X655" s="4">
        <v>27.4</v>
      </c>
      <c r="Y655" s="4"/>
      <c r="Z655" s="4">
        <v>724</v>
      </c>
      <c r="AA655" s="4">
        <v>750</v>
      </c>
      <c r="AB655" s="18"/>
      <c r="AC655" s="18">
        <v>13</v>
      </c>
      <c r="AD655" s="28"/>
      <c r="AE655" s="26"/>
      <c r="AF655" s="28"/>
    </row>
    <row r="656" spans="1:32" ht="13.5" customHeight="1" x14ac:dyDescent="0.25">
      <c r="A656" s="14">
        <v>45741</v>
      </c>
      <c r="B656" s="14" t="s">
        <v>47</v>
      </c>
      <c r="C656" s="15">
        <v>6</v>
      </c>
      <c r="D656" s="16"/>
      <c r="E656" s="16"/>
      <c r="F656" s="17"/>
      <c r="G656" s="21"/>
      <c r="H656" s="21"/>
      <c r="I656" s="4">
        <v>0</v>
      </c>
      <c r="J656" s="4">
        <v>0</v>
      </c>
      <c r="K656" s="4"/>
      <c r="L656" s="16"/>
      <c r="M656" s="4"/>
      <c r="N656" s="4"/>
      <c r="O656" s="4"/>
      <c r="P656" s="4"/>
      <c r="Q656" s="4"/>
      <c r="R656" s="4"/>
      <c r="S656" s="4">
        <v>0</v>
      </c>
      <c r="T656" s="4">
        <v>0</v>
      </c>
      <c r="U656" s="4">
        <v>0</v>
      </c>
      <c r="V656" s="4">
        <v>12</v>
      </c>
      <c r="W656" s="4">
        <v>12</v>
      </c>
      <c r="X656" s="4">
        <v>9.8000000000000007</v>
      </c>
      <c r="Y656" s="4"/>
      <c r="Z656" s="4">
        <v>732.6</v>
      </c>
      <c r="AA656" s="4">
        <v>750</v>
      </c>
      <c r="AB656" s="18"/>
      <c r="AC656" s="18">
        <v>13</v>
      </c>
      <c r="AD656" s="28"/>
      <c r="AE656" s="26"/>
      <c r="AF656" s="28"/>
    </row>
    <row r="657" spans="1:32" ht="13.5" customHeight="1" x14ac:dyDescent="0.25">
      <c r="A657" s="14">
        <v>45741</v>
      </c>
      <c r="B657" s="14" t="s">
        <v>46</v>
      </c>
      <c r="C657" s="15">
        <v>7</v>
      </c>
      <c r="D657" s="16">
        <v>7</v>
      </c>
      <c r="E657" s="16"/>
      <c r="F657" s="17"/>
      <c r="G657" s="21"/>
      <c r="H657" s="21"/>
      <c r="I657" s="4">
        <v>7</v>
      </c>
      <c r="J657" s="4">
        <v>0.11666666666666667</v>
      </c>
      <c r="K657" s="4"/>
      <c r="L657" s="16"/>
      <c r="M657" s="4"/>
      <c r="N657" s="4">
        <v>3</v>
      </c>
      <c r="O657" s="4"/>
      <c r="P657" s="4"/>
      <c r="Q657" s="4"/>
      <c r="R657" s="4"/>
      <c r="S657" s="4">
        <v>3</v>
      </c>
      <c r="T657" s="4">
        <v>0.05</v>
      </c>
      <c r="U657" s="4">
        <v>0.16666666666666669</v>
      </c>
      <c r="V657" s="4">
        <v>11.833333333333334</v>
      </c>
      <c r="W657" s="4">
        <v>12</v>
      </c>
      <c r="X657" s="4">
        <v>0</v>
      </c>
      <c r="Y657" s="4"/>
      <c r="Z657" s="4">
        <v>380.4</v>
      </c>
      <c r="AA657" s="4">
        <v>400</v>
      </c>
      <c r="AB657" s="18"/>
      <c r="AC657" s="18">
        <v>13</v>
      </c>
      <c r="AD657" s="28"/>
      <c r="AE657" s="26"/>
      <c r="AF657" s="28"/>
    </row>
    <row r="658" spans="1:32" ht="13.5" customHeight="1" x14ac:dyDescent="0.25">
      <c r="A658" s="14">
        <v>45741</v>
      </c>
      <c r="B658" s="14" t="s">
        <v>47</v>
      </c>
      <c r="C658" s="15">
        <v>7</v>
      </c>
      <c r="D658" s="16">
        <v>2</v>
      </c>
      <c r="E658" s="16"/>
      <c r="F658" s="17"/>
      <c r="G658" s="21"/>
      <c r="H658" s="21"/>
      <c r="I658" s="4">
        <v>2</v>
      </c>
      <c r="J658" s="4">
        <v>3.3333333333333333E-2</v>
      </c>
      <c r="K658" s="4"/>
      <c r="L658" s="16"/>
      <c r="M658" s="4"/>
      <c r="N658" s="4"/>
      <c r="O658" s="4"/>
      <c r="P658" s="4"/>
      <c r="Q658" s="4"/>
      <c r="R658" s="4"/>
      <c r="S658" s="4">
        <v>0</v>
      </c>
      <c r="T658" s="4">
        <v>0</v>
      </c>
      <c r="U658" s="4">
        <v>3.3333333333333333E-2</v>
      </c>
      <c r="V658" s="4">
        <v>11.966666666666667</v>
      </c>
      <c r="W658" s="4">
        <v>12</v>
      </c>
      <c r="X658" s="4">
        <v>0</v>
      </c>
      <c r="Y658" s="4"/>
      <c r="Z658" s="4">
        <v>415.23</v>
      </c>
      <c r="AA658" s="4">
        <v>400</v>
      </c>
      <c r="AB658" s="18"/>
      <c r="AC658" s="18">
        <v>13</v>
      </c>
      <c r="AD658" s="28"/>
      <c r="AE658" s="26"/>
      <c r="AF658" s="28"/>
    </row>
    <row r="659" spans="1:32" ht="13.5" customHeight="1" x14ac:dyDescent="0.25">
      <c r="A659" s="14">
        <v>45742</v>
      </c>
      <c r="B659" s="14" t="s">
        <v>46</v>
      </c>
      <c r="C659" s="15">
        <v>1</v>
      </c>
      <c r="D659" s="16">
        <v>10</v>
      </c>
      <c r="E659" s="16"/>
      <c r="F659" s="17"/>
      <c r="G659" s="21"/>
      <c r="H659" s="21"/>
      <c r="I659" s="4">
        <v>10</v>
      </c>
      <c r="J659" s="4">
        <v>0.16666666666666666</v>
      </c>
      <c r="K659" s="4"/>
      <c r="L659" s="16"/>
      <c r="M659" s="4"/>
      <c r="N659" s="4"/>
      <c r="O659" s="4"/>
      <c r="P659" s="4"/>
      <c r="Q659" s="4"/>
      <c r="R659" s="4"/>
      <c r="S659" s="4">
        <v>0</v>
      </c>
      <c r="T659" s="4">
        <v>0</v>
      </c>
      <c r="U659" s="4">
        <v>0.16666666666666666</v>
      </c>
      <c r="V659" s="4">
        <v>11.833333333333334</v>
      </c>
      <c r="W659" s="4">
        <v>12</v>
      </c>
      <c r="X659" s="4">
        <v>0</v>
      </c>
      <c r="Y659" s="4">
        <v>1724</v>
      </c>
      <c r="Z659" s="4">
        <v>210.2</v>
      </c>
      <c r="AA659" s="4">
        <v>200</v>
      </c>
      <c r="AB659" s="18">
        <v>372</v>
      </c>
      <c r="AC659" s="18">
        <v>13</v>
      </c>
      <c r="AD659" s="28"/>
      <c r="AE659" s="26"/>
      <c r="AF659" s="28"/>
    </row>
    <row r="660" spans="1:32" ht="13.5" customHeight="1" x14ac:dyDescent="0.25">
      <c r="A660" s="14">
        <v>45742</v>
      </c>
      <c r="B660" s="14" t="s">
        <v>47</v>
      </c>
      <c r="C660" s="15">
        <v>1</v>
      </c>
      <c r="D660" s="16"/>
      <c r="E660" s="16"/>
      <c r="F660" s="17"/>
      <c r="G660" s="21"/>
      <c r="H660" s="21"/>
      <c r="I660" s="4">
        <v>0</v>
      </c>
      <c r="J660" s="4">
        <v>0</v>
      </c>
      <c r="K660" s="4"/>
      <c r="L660" s="16"/>
      <c r="M660" s="4"/>
      <c r="N660" s="4"/>
      <c r="O660" s="4"/>
      <c r="P660" s="4"/>
      <c r="Q660" s="4"/>
      <c r="R660" s="4"/>
      <c r="S660" s="4">
        <v>0</v>
      </c>
      <c r="T660" s="4">
        <v>0</v>
      </c>
      <c r="U660" s="4">
        <v>0</v>
      </c>
      <c r="V660" s="4">
        <v>12</v>
      </c>
      <c r="W660" s="4">
        <v>12</v>
      </c>
      <c r="X660" s="4">
        <v>0</v>
      </c>
      <c r="Y660" s="4"/>
      <c r="Z660" s="4">
        <v>201.6</v>
      </c>
      <c r="AA660" s="4">
        <v>200</v>
      </c>
      <c r="AB660" s="18"/>
      <c r="AC660" s="18">
        <v>13</v>
      </c>
      <c r="AD660" s="28"/>
      <c r="AE660" s="26"/>
      <c r="AF660" s="28"/>
    </row>
    <row r="661" spans="1:32" ht="13.5" customHeight="1" x14ac:dyDescent="0.25">
      <c r="A661" s="14">
        <v>45742</v>
      </c>
      <c r="B661" s="14" t="s">
        <v>46</v>
      </c>
      <c r="C661" s="15">
        <v>3</v>
      </c>
      <c r="D661" s="16">
        <v>20</v>
      </c>
      <c r="E661" s="16"/>
      <c r="F661" s="17"/>
      <c r="G661" s="21"/>
      <c r="H661" s="21"/>
      <c r="I661" s="4">
        <v>20</v>
      </c>
      <c r="J661" s="4">
        <v>0.33333333333333331</v>
      </c>
      <c r="K661" s="4"/>
      <c r="L661" s="16"/>
      <c r="M661" s="4"/>
      <c r="N661" s="4"/>
      <c r="O661" s="4"/>
      <c r="P661" s="4"/>
      <c r="Q661" s="4"/>
      <c r="R661" s="4"/>
      <c r="S661" s="4">
        <v>0</v>
      </c>
      <c r="T661" s="4">
        <v>0</v>
      </c>
      <c r="U661" s="4">
        <v>0.33333333333333331</v>
      </c>
      <c r="V661" s="4">
        <v>11.666666666666666</v>
      </c>
      <c r="W661" s="4">
        <v>12</v>
      </c>
      <c r="X661" s="4">
        <v>0</v>
      </c>
      <c r="Y661" s="4"/>
      <c r="Z661" s="4">
        <v>371.09999999999997</v>
      </c>
      <c r="AA661" s="4">
        <v>350</v>
      </c>
      <c r="AB661" s="18"/>
      <c r="AC661" s="18">
        <v>13</v>
      </c>
      <c r="AD661" s="28"/>
      <c r="AE661" s="26"/>
      <c r="AF661" s="28"/>
    </row>
    <row r="662" spans="1:32" ht="13.5" customHeight="1" x14ac:dyDescent="0.25">
      <c r="A662" s="14">
        <v>45742</v>
      </c>
      <c r="B662" s="14" t="s">
        <v>47</v>
      </c>
      <c r="C662" s="15">
        <v>3</v>
      </c>
      <c r="D662" s="16">
        <v>15</v>
      </c>
      <c r="E662" s="16"/>
      <c r="F662" s="17"/>
      <c r="G662" s="21"/>
      <c r="H662" s="21"/>
      <c r="I662" s="4">
        <v>15</v>
      </c>
      <c r="J662" s="4">
        <v>0.25</v>
      </c>
      <c r="K662" s="4"/>
      <c r="L662" s="16"/>
      <c r="M662" s="4"/>
      <c r="N662" s="4"/>
      <c r="O662" s="4"/>
      <c r="P662" s="4"/>
      <c r="Q662" s="4">
        <v>120</v>
      </c>
      <c r="R662" s="4"/>
      <c r="S662" s="4">
        <v>120</v>
      </c>
      <c r="T662" s="4">
        <v>2</v>
      </c>
      <c r="U662" s="4">
        <v>2.25</v>
      </c>
      <c r="V662" s="4">
        <v>9.75</v>
      </c>
      <c r="W662" s="4">
        <v>12</v>
      </c>
      <c r="X662" s="4">
        <v>0</v>
      </c>
      <c r="Y662" s="4"/>
      <c r="Z662" s="4">
        <v>270.89999999999998</v>
      </c>
      <c r="AA662" s="4">
        <v>300</v>
      </c>
      <c r="AB662" s="18"/>
      <c r="AC662" s="18">
        <v>13</v>
      </c>
      <c r="AD662" s="28"/>
      <c r="AE662" s="26"/>
      <c r="AF662" s="28"/>
    </row>
    <row r="663" spans="1:32" ht="13.5" customHeight="1" x14ac:dyDescent="0.25">
      <c r="A663" s="14">
        <v>45742</v>
      </c>
      <c r="B663" s="14" t="s">
        <v>46</v>
      </c>
      <c r="C663" s="15">
        <v>6</v>
      </c>
      <c r="D663" s="16"/>
      <c r="E663" s="16"/>
      <c r="F663" s="17"/>
      <c r="G663" s="21"/>
      <c r="H663" s="21"/>
      <c r="I663" s="4">
        <v>0</v>
      </c>
      <c r="J663" s="4">
        <v>0</v>
      </c>
      <c r="K663" s="4"/>
      <c r="L663" s="16"/>
      <c r="M663" s="4"/>
      <c r="N663" s="4"/>
      <c r="O663" s="4"/>
      <c r="P663" s="4"/>
      <c r="Q663" s="4"/>
      <c r="R663" s="4"/>
      <c r="S663" s="4">
        <v>0</v>
      </c>
      <c r="T663" s="4">
        <v>0</v>
      </c>
      <c r="U663" s="4">
        <v>0</v>
      </c>
      <c r="V663" s="4">
        <v>12</v>
      </c>
      <c r="W663" s="4">
        <v>12</v>
      </c>
      <c r="X663" s="4">
        <v>13.5</v>
      </c>
      <c r="Y663" s="4"/>
      <c r="Z663" s="4">
        <v>717.30000000000007</v>
      </c>
      <c r="AA663" s="4">
        <v>700</v>
      </c>
      <c r="AB663" s="18"/>
      <c r="AC663" s="18">
        <v>13</v>
      </c>
      <c r="AD663" s="28"/>
      <c r="AE663" s="26"/>
      <c r="AF663" s="28"/>
    </row>
    <row r="664" spans="1:32" ht="13.5" customHeight="1" x14ac:dyDescent="0.25">
      <c r="A664" s="14">
        <v>45742</v>
      </c>
      <c r="B664" s="14" t="s">
        <v>47</v>
      </c>
      <c r="C664" s="15">
        <v>6</v>
      </c>
      <c r="D664" s="16"/>
      <c r="E664" s="16"/>
      <c r="F664" s="17"/>
      <c r="G664" s="21"/>
      <c r="H664" s="21"/>
      <c r="I664" s="4">
        <v>0</v>
      </c>
      <c r="J664" s="4">
        <v>0</v>
      </c>
      <c r="K664" s="4"/>
      <c r="L664" s="16"/>
      <c r="M664" s="4"/>
      <c r="N664" s="4"/>
      <c r="O664" s="4"/>
      <c r="P664" s="4"/>
      <c r="Q664" s="4"/>
      <c r="R664" s="4"/>
      <c r="S664" s="4">
        <v>0</v>
      </c>
      <c r="T664" s="4">
        <v>0</v>
      </c>
      <c r="U664" s="4">
        <v>0</v>
      </c>
      <c r="V664" s="4">
        <v>12</v>
      </c>
      <c r="W664" s="4">
        <v>12</v>
      </c>
      <c r="X664" s="4">
        <v>28.2</v>
      </c>
      <c r="Y664" s="4"/>
      <c r="Z664" s="4">
        <v>735</v>
      </c>
      <c r="AA664" s="4">
        <v>750</v>
      </c>
      <c r="AB664" s="18"/>
      <c r="AC664" s="18">
        <v>13</v>
      </c>
      <c r="AD664" s="28"/>
      <c r="AE664" s="26"/>
      <c r="AF664" s="28"/>
    </row>
    <row r="665" spans="1:32" ht="13.5" customHeight="1" x14ac:dyDescent="0.25">
      <c r="A665" s="14">
        <v>45742</v>
      </c>
      <c r="B665" s="14" t="s">
        <v>46</v>
      </c>
      <c r="C665" s="15">
        <v>7</v>
      </c>
      <c r="D665" s="16">
        <v>5</v>
      </c>
      <c r="E665" s="16"/>
      <c r="F665" s="17"/>
      <c r="G665" s="21"/>
      <c r="H665" s="21"/>
      <c r="I665" s="4">
        <v>5</v>
      </c>
      <c r="J665" s="4">
        <v>8.3333333333333329E-2</v>
      </c>
      <c r="K665" s="4"/>
      <c r="L665" s="16"/>
      <c r="M665" s="4"/>
      <c r="N665" s="4"/>
      <c r="O665" s="4"/>
      <c r="P665" s="4"/>
      <c r="Q665" s="4"/>
      <c r="R665" s="4"/>
      <c r="S665" s="4">
        <v>0</v>
      </c>
      <c r="T665" s="4">
        <v>0</v>
      </c>
      <c r="U665" s="4">
        <v>8.3333333333333329E-2</v>
      </c>
      <c r="V665" s="4">
        <v>11.916666666666666</v>
      </c>
      <c r="W665" s="4">
        <v>12</v>
      </c>
      <c r="X665" s="4">
        <v>0</v>
      </c>
      <c r="Y665" s="4"/>
      <c r="Z665" s="4">
        <v>390.6</v>
      </c>
      <c r="AA665" s="4">
        <v>400</v>
      </c>
      <c r="AB665" s="18"/>
      <c r="AC665" s="18">
        <v>13</v>
      </c>
      <c r="AD665" s="28"/>
      <c r="AE665" s="26"/>
      <c r="AF665" s="28"/>
    </row>
    <row r="666" spans="1:32" ht="13.5" customHeight="1" x14ac:dyDescent="0.25">
      <c r="A666" s="14">
        <v>45742</v>
      </c>
      <c r="B666" s="14" t="s">
        <v>47</v>
      </c>
      <c r="C666" s="15">
        <v>7</v>
      </c>
      <c r="D666" s="16"/>
      <c r="E666" s="16"/>
      <c r="F666" s="17"/>
      <c r="G666" s="21"/>
      <c r="H666" s="21"/>
      <c r="I666" s="4">
        <v>0</v>
      </c>
      <c r="J666" s="4">
        <v>0</v>
      </c>
      <c r="K666" s="4"/>
      <c r="L666" s="16"/>
      <c r="M666" s="4"/>
      <c r="N666" s="4"/>
      <c r="O666" s="4"/>
      <c r="P666" s="4"/>
      <c r="Q666" s="4">
        <v>30</v>
      </c>
      <c r="R666" s="4"/>
      <c r="S666" s="4">
        <v>30</v>
      </c>
      <c r="T666" s="4">
        <v>0.5</v>
      </c>
      <c r="U666" s="4">
        <v>0.5</v>
      </c>
      <c r="V666" s="4">
        <v>11.5</v>
      </c>
      <c r="W666" s="4">
        <v>12</v>
      </c>
      <c r="X666" s="4">
        <v>0</v>
      </c>
      <c r="Y666" s="4"/>
      <c r="Z666" s="4">
        <v>363.07</v>
      </c>
      <c r="AA666" s="4">
        <v>400</v>
      </c>
      <c r="AB666" s="18"/>
      <c r="AC666" s="18">
        <v>13</v>
      </c>
      <c r="AD666" s="28"/>
      <c r="AE666" s="26"/>
      <c r="AF666" s="28"/>
    </row>
    <row r="667" spans="1:32" ht="13.5" customHeight="1" x14ac:dyDescent="0.25">
      <c r="A667" s="14">
        <v>45743</v>
      </c>
      <c r="B667" s="14" t="s">
        <v>46</v>
      </c>
      <c r="C667" s="15">
        <v>1</v>
      </c>
      <c r="D667" s="16">
        <v>10</v>
      </c>
      <c r="E667" s="16"/>
      <c r="F667" s="17"/>
      <c r="G667" s="21"/>
      <c r="H667" s="21"/>
      <c r="I667" s="4">
        <v>10</v>
      </c>
      <c r="J667" s="4">
        <v>0.16666666666666666</v>
      </c>
      <c r="K667" s="4"/>
      <c r="L667" s="16"/>
      <c r="M667" s="4"/>
      <c r="N667" s="4"/>
      <c r="O667" s="4"/>
      <c r="P667" s="4"/>
      <c r="Q667" s="4"/>
      <c r="R667" s="4"/>
      <c r="S667" s="4">
        <v>0</v>
      </c>
      <c r="T667" s="4">
        <v>0</v>
      </c>
      <c r="U667" s="4">
        <v>0.16666666666666666</v>
      </c>
      <c r="V667" s="4">
        <v>11.833333333333334</v>
      </c>
      <c r="W667" s="4">
        <v>12</v>
      </c>
      <c r="X667" s="4">
        <v>0</v>
      </c>
      <c r="Y667" s="4">
        <v>1844</v>
      </c>
      <c r="Z667" s="4">
        <v>192.8</v>
      </c>
      <c r="AA667" s="4">
        <v>200</v>
      </c>
      <c r="AB667" s="18">
        <v>372</v>
      </c>
      <c r="AC667" s="18">
        <v>13</v>
      </c>
      <c r="AD667" s="28"/>
      <c r="AE667" s="26"/>
      <c r="AF667" s="28"/>
    </row>
    <row r="668" spans="1:32" ht="13.5" customHeight="1" x14ac:dyDescent="0.25">
      <c r="A668" s="14">
        <v>45743</v>
      </c>
      <c r="B668" s="14" t="s">
        <v>47</v>
      </c>
      <c r="C668" s="15">
        <v>1</v>
      </c>
      <c r="D668" s="16">
        <v>10</v>
      </c>
      <c r="E668" s="16"/>
      <c r="F668" s="17"/>
      <c r="G668" s="21"/>
      <c r="H668" s="21"/>
      <c r="I668" s="4">
        <v>10</v>
      </c>
      <c r="J668" s="4">
        <v>0.16666666666666666</v>
      </c>
      <c r="K668" s="4"/>
      <c r="L668" s="16"/>
      <c r="M668" s="4"/>
      <c r="N668" s="4"/>
      <c r="O668" s="4"/>
      <c r="P668" s="4"/>
      <c r="Q668" s="4"/>
      <c r="R668" s="4"/>
      <c r="S668" s="4">
        <v>0</v>
      </c>
      <c r="T668" s="4">
        <v>0</v>
      </c>
      <c r="U668" s="4">
        <v>0.16666666666666666</v>
      </c>
      <c r="V668" s="4">
        <v>11.833333333333334</v>
      </c>
      <c r="W668" s="4">
        <v>12</v>
      </c>
      <c r="X668" s="4">
        <v>0</v>
      </c>
      <c r="Y668" s="4"/>
      <c r="Z668" s="4">
        <v>218.4</v>
      </c>
      <c r="AA668" s="4">
        <v>200</v>
      </c>
      <c r="AB668" s="18"/>
      <c r="AC668" s="18">
        <v>13</v>
      </c>
      <c r="AD668" s="28"/>
      <c r="AE668" s="26"/>
      <c r="AF668" s="28"/>
    </row>
    <row r="669" spans="1:32" ht="13.5" customHeight="1" x14ac:dyDescent="0.25">
      <c r="A669" s="14">
        <v>45743</v>
      </c>
      <c r="B669" s="14" t="s">
        <v>46</v>
      </c>
      <c r="C669" s="15">
        <v>3</v>
      </c>
      <c r="D669" s="16">
        <v>15</v>
      </c>
      <c r="E669" s="16"/>
      <c r="F669" s="17"/>
      <c r="G669" s="21"/>
      <c r="H669" s="21"/>
      <c r="I669" s="4">
        <v>15</v>
      </c>
      <c r="J669" s="4">
        <v>0.25</v>
      </c>
      <c r="K669" s="4"/>
      <c r="L669" s="16"/>
      <c r="M669" s="4"/>
      <c r="N669" s="4"/>
      <c r="O669" s="4"/>
      <c r="P669" s="4"/>
      <c r="Q669" s="4"/>
      <c r="R669" s="4"/>
      <c r="S669" s="4">
        <v>0</v>
      </c>
      <c r="T669" s="4">
        <v>0</v>
      </c>
      <c r="U669" s="4">
        <v>0.25</v>
      </c>
      <c r="V669" s="4">
        <v>11.75</v>
      </c>
      <c r="W669" s="4">
        <v>12</v>
      </c>
      <c r="X669" s="4">
        <v>0</v>
      </c>
      <c r="Y669" s="4"/>
      <c r="Z669" s="4">
        <v>355</v>
      </c>
      <c r="AA669" s="4">
        <v>350</v>
      </c>
      <c r="AB669" s="18"/>
      <c r="AC669" s="18">
        <v>13</v>
      </c>
      <c r="AD669" s="28"/>
      <c r="AE669" s="26"/>
      <c r="AF669" s="28"/>
    </row>
    <row r="670" spans="1:32" ht="13.5" customHeight="1" x14ac:dyDescent="0.25">
      <c r="A670" s="14">
        <v>45743</v>
      </c>
      <c r="B670" s="14" t="s">
        <v>47</v>
      </c>
      <c r="C670" s="15">
        <v>3</v>
      </c>
      <c r="D670" s="16">
        <v>10</v>
      </c>
      <c r="E670" s="16"/>
      <c r="F670" s="17"/>
      <c r="G670" s="21"/>
      <c r="H670" s="21"/>
      <c r="I670" s="4">
        <v>10</v>
      </c>
      <c r="J670" s="4">
        <v>0.16666666666666666</v>
      </c>
      <c r="K670" s="4"/>
      <c r="L670" s="16"/>
      <c r="M670" s="4"/>
      <c r="N670" s="4"/>
      <c r="O670" s="4"/>
      <c r="P670" s="4"/>
      <c r="Q670" s="4"/>
      <c r="R670" s="4"/>
      <c r="S670" s="4">
        <v>0</v>
      </c>
      <c r="T670" s="4">
        <v>0</v>
      </c>
      <c r="U670" s="4">
        <v>0.16666666666666666</v>
      </c>
      <c r="V670" s="4">
        <v>11.833333333333334</v>
      </c>
      <c r="W670" s="4">
        <v>12</v>
      </c>
      <c r="X670" s="4">
        <v>0</v>
      </c>
      <c r="Y670" s="4"/>
      <c r="Z670" s="4">
        <v>370.79999999999995</v>
      </c>
      <c r="AA670" s="4">
        <v>400</v>
      </c>
      <c r="AB670" s="18"/>
      <c r="AC670" s="18">
        <v>13</v>
      </c>
      <c r="AD670" s="28"/>
      <c r="AE670" s="26"/>
      <c r="AF670" s="28"/>
    </row>
    <row r="671" spans="1:32" ht="13.5" customHeight="1" x14ac:dyDescent="0.25">
      <c r="A671" s="14">
        <v>45743</v>
      </c>
      <c r="B671" s="14" t="s">
        <v>46</v>
      </c>
      <c r="C671" s="15">
        <v>6</v>
      </c>
      <c r="D671" s="16"/>
      <c r="E671" s="16"/>
      <c r="F671" s="17"/>
      <c r="G671" s="21"/>
      <c r="H671" s="21"/>
      <c r="I671" s="4">
        <v>0</v>
      </c>
      <c r="J671" s="4">
        <v>0</v>
      </c>
      <c r="K671" s="4"/>
      <c r="L671" s="16"/>
      <c r="M671" s="4"/>
      <c r="N671" s="4"/>
      <c r="O671" s="4"/>
      <c r="P671" s="4"/>
      <c r="Q671" s="4"/>
      <c r="R671" s="4"/>
      <c r="S671" s="4">
        <v>0</v>
      </c>
      <c r="T671" s="4">
        <v>0</v>
      </c>
      <c r="U671" s="4">
        <v>0</v>
      </c>
      <c r="V671" s="4">
        <v>12</v>
      </c>
      <c r="W671" s="4">
        <v>12</v>
      </c>
      <c r="X671" s="4">
        <v>16.399999999999999</v>
      </c>
      <c r="Y671" s="4"/>
      <c r="Z671" s="4">
        <v>699</v>
      </c>
      <c r="AA671" s="4">
        <v>700</v>
      </c>
      <c r="AB671" s="18"/>
      <c r="AC671" s="18">
        <v>13</v>
      </c>
      <c r="AD671" s="28"/>
      <c r="AE671" s="26"/>
      <c r="AF671" s="28"/>
    </row>
    <row r="672" spans="1:32" ht="13.5" customHeight="1" x14ac:dyDescent="0.25">
      <c r="A672" s="14">
        <v>45743</v>
      </c>
      <c r="B672" s="14" t="s">
        <v>47</v>
      </c>
      <c r="C672" s="15">
        <v>6</v>
      </c>
      <c r="D672" s="16">
        <v>25</v>
      </c>
      <c r="E672" s="16"/>
      <c r="F672" s="17"/>
      <c r="G672" s="21"/>
      <c r="H672" s="21"/>
      <c r="I672" s="4">
        <v>25</v>
      </c>
      <c r="J672" s="4">
        <v>0.41666666666666669</v>
      </c>
      <c r="K672" s="4"/>
      <c r="L672" s="16"/>
      <c r="M672" s="4"/>
      <c r="N672" s="4"/>
      <c r="O672" s="4"/>
      <c r="P672" s="4"/>
      <c r="Q672" s="4"/>
      <c r="R672" s="4"/>
      <c r="S672" s="4">
        <v>0</v>
      </c>
      <c r="T672" s="4">
        <v>0</v>
      </c>
      <c r="U672" s="4">
        <v>0.41666666666666669</v>
      </c>
      <c r="V672" s="4">
        <v>11.583333333333334</v>
      </c>
      <c r="W672" s="4">
        <v>12</v>
      </c>
      <c r="X672" s="4">
        <v>37.6</v>
      </c>
      <c r="Y672" s="4"/>
      <c r="Z672" s="4">
        <v>636.5</v>
      </c>
      <c r="AA672" s="4">
        <v>650</v>
      </c>
      <c r="AB672" s="18"/>
      <c r="AC672" s="18">
        <v>13</v>
      </c>
      <c r="AD672" s="28"/>
      <c r="AE672" s="26"/>
      <c r="AF672" s="28"/>
    </row>
    <row r="673" spans="1:32" ht="13.5" customHeight="1" x14ac:dyDescent="0.25">
      <c r="A673" s="14">
        <v>45743</v>
      </c>
      <c r="B673" s="14" t="s">
        <v>46</v>
      </c>
      <c r="C673" s="15">
        <v>7</v>
      </c>
      <c r="D673" s="16">
        <v>7</v>
      </c>
      <c r="E673" s="16"/>
      <c r="F673" s="17"/>
      <c r="G673" s="21"/>
      <c r="H673" s="21"/>
      <c r="I673" s="4">
        <v>7</v>
      </c>
      <c r="J673" s="4">
        <v>0.11666666666666667</v>
      </c>
      <c r="K673" s="4"/>
      <c r="L673" s="16"/>
      <c r="M673" s="4"/>
      <c r="N673" s="4"/>
      <c r="O673" s="4"/>
      <c r="P673" s="4"/>
      <c r="Q673" s="4"/>
      <c r="R673" s="4"/>
      <c r="S673" s="4">
        <v>0</v>
      </c>
      <c r="T673" s="4">
        <v>0</v>
      </c>
      <c r="U673" s="4">
        <v>0.11666666666666667</v>
      </c>
      <c r="V673" s="4">
        <v>11.883333333333333</v>
      </c>
      <c r="W673" s="4">
        <v>12</v>
      </c>
      <c r="X673" s="4">
        <v>0</v>
      </c>
      <c r="Y673" s="4"/>
      <c r="Z673" s="4">
        <v>396.2</v>
      </c>
      <c r="AA673" s="4">
        <v>400</v>
      </c>
      <c r="AB673" s="18"/>
      <c r="AC673" s="18">
        <v>13</v>
      </c>
      <c r="AD673" s="28"/>
      <c r="AE673" s="26"/>
      <c r="AF673" s="28"/>
    </row>
    <row r="674" spans="1:32" ht="13.5" customHeight="1" x14ac:dyDescent="0.25">
      <c r="A674" s="14">
        <v>45743</v>
      </c>
      <c r="B674" s="14" t="s">
        <v>47</v>
      </c>
      <c r="C674" s="15">
        <v>7</v>
      </c>
      <c r="D674" s="16">
        <v>10</v>
      </c>
      <c r="E674" s="16"/>
      <c r="F674" s="17"/>
      <c r="G674" s="21"/>
      <c r="H674" s="21"/>
      <c r="I674" s="4">
        <v>10</v>
      </c>
      <c r="J674" s="4">
        <v>0.16666666666666666</v>
      </c>
      <c r="K674" s="4"/>
      <c r="L674" s="16"/>
      <c r="M674" s="4"/>
      <c r="N674" s="4"/>
      <c r="O674" s="4"/>
      <c r="P674" s="4"/>
      <c r="Q674" s="4"/>
      <c r="R674" s="4"/>
      <c r="S674" s="4">
        <v>0</v>
      </c>
      <c r="T674" s="4">
        <v>0</v>
      </c>
      <c r="U674" s="4">
        <v>0.16666666666666666</v>
      </c>
      <c r="V674" s="4">
        <v>11.833333333333334</v>
      </c>
      <c r="W674" s="4">
        <v>12</v>
      </c>
      <c r="X674" s="4">
        <v>0</v>
      </c>
      <c r="Y674" s="4"/>
      <c r="Z674" s="4">
        <v>473.41999999999996</v>
      </c>
      <c r="AA674" s="4">
        <v>500</v>
      </c>
      <c r="AB674" s="18"/>
      <c r="AC674" s="18">
        <v>13</v>
      </c>
      <c r="AD674" s="28"/>
      <c r="AE674" s="26"/>
      <c r="AF674" s="28"/>
    </row>
    <row r="675" spans="1:32" ht="13.5" customHeight="1" x14ac:dyDescent="0.25">
      <c r="A675" s="14">
        <v>45744</v>
      </c>
      <c r="B675" s="14" t="s">
        <v>46</v>
      </c>
      <c r="C675" s="15">
        <v>1</v>
      </c>
      <c r="D675" s="16"/>
      <c r="E675" s="16"/>
      <c r="F675" s="17"/>
      <c r="G675" s="21"/>
      <c r="H675" s="21"/>
      <c r="I675" s="4">
        <v>0</v>
      </c>
      <c r="J675" s="4">
        <v>0</v>
      </c>
      <c r="K675" s="4"/>
      <c r="L675" s="16"/>
      <c r="M675" s="4"/>
      <c r="N675" s="4"/>
      <c r="O675" s="4"/>
      <c r="P675" s="4"/>
      <c r="Q675" s="4"/>
      <c r="R675" s="4"/>
      <c r="S675" s="4">
        <v>0</v>
      </c>
      <c r="T675" s="4">
        <v>0</v>
      </c>
      <c r="U675" s="4">
        <v>0</v>
      </c>
      <c r="V675" s="4">
        <v>12</v>
      </c>
      <c r="W675" s="4">
        <v>12</v>
      </c>
      <c r="X675" s="4">
        <v>0</v>
      </c>
      <c r="Y675" s="4">
        <v>1842</v>
      </c>
      <c r="Z675" s="4">
        <v>202.4</v>
      </c>
      <c r="AA675" s="4">
        <v>200</v>
      </c>
      <c r="AB675" s="18">
        <v>372</v>
      </c>
      <c r="AC675" s="18">
        <v>13</v>
      </c>
      <c r="AD675" s="28"/>
      <c r="AE675" s="26"/>
      <c r="AF675" s="28"/>
    </row>
    <row r="676" spans="1:32" ht="13.5" customHeight="1" x14ac:dyDescent="0.25">
      <c r="A676" s="14">
        <v>45744</v>
      </c>
      <c r="B676" s="14" t="s">
        <v>47</v>
      </c>
      <c r="C676" s="15">
        <v>1</v>
      </c>
      <c r="D676" s="16"/>
      <c r="E676" s="16"/>
      <c r="F676" s="17"/>
      <c r="G676" s="21"/>
      <c r="H676" s="21"/>
      <c r="I676" s="4">
        <v>0</v>
      </c>
      <c r="J676" s="4">
        <v>0</v>
      </c>
      <c r="K676" s="4"/>
      <c r="L676" s="16"/>
      <c r="M676" s="4"/>
      <c r="N676" s="4"/>
      <c r="O676" s="4"/>
      <c r="P676" s="4"/>
      <c r="Q676" s="4"/>
      <c r="R676" s="4"/>
      <c r="S676" s="4">
        <v>0</v>
      </c>
      <c r="T676" s="4">
        <v>0</v>
      </c>
      <c r="U676" s="4">
        <v>0</v>
      </c>
      <c r="V676" s="4">
        <v>12</v>
      </c>
      <c r="W676" s="4">
        <v>12</v>
      </c>
      <c r="X676" s="4">
        <v>0</v>
      </c>
      <c r="Y676" s="4"/>
      <c r="Z676" s="4">
        <v>223.9</v>
      </c>
      <c r="AA676" s="4">
        <v>200</v>
      </c>
      <c r="AB676" s="18"/>
      <c r="AC676" s="18">
        <v>13</v>
      </c>
      <c r="AD676" s="28"/>
      <c r="AE676" s="26"/>
      <c r="AF676" s="28"/>
    </row>
    <row r="677" spans="1:32" ht="13.5" customHeight="1" x14ac:dyDescent="0.25">
      <c r="A677" s="14">
        <v>45744</v>
      </c>
      <c r="B677" s="14" t="s">
        <v>46</v>
      </c>
      <c r="C677" s="15">
        <v>3</v>
      </c>
      <c r="D677" s="16">
        <v>5</v>
      </c>
      <c r="E677" s="16"/>
      <c r="F677" s="17"/>
      <c r="G677" s="21"/>
      <c r="H677" s="21"/>
      <c r="I677" s="4">
        <v>5</v>
      </c>
      <c r="J677" s="4">
        <v>8.3333333333333329E-2</v>
      </c>
      <c r="K677" s="4"/>
      <c r="L677" s="16"/>
      <c r="M677" s="4"/>
      <c r="N677" s="4"/>
      <c r="O677" s="4"/>
      <c r="P677" s="4"/>
      <c r="Q677" s="4"/>
      <c r="R677" s="4"/>
      <c r="S677" s="4">
        <v>0</v>
      </c>
      <c r="T677" s="4">
        <v>0</v>
      </c>
      <c r="U677" s="4">
        <v>8.3333333333333329E-2</v>
      </c>
      <c r="V677" s="4">
        <v>11.916666666666666</v>
      </c>
      <c r="W677" s="4">
        <v>12</v>
      </c>
      <c r="X677" s="4">
        <v>0</v>
      </c>
      <c r="Y677" s="4"/>
      <c r="Z677" s="4">
        <v>330.2</v>
      </c>
      <c r="AA677" s="4">
        <v>350</v>
      </c>
      <c r="AB677" s="18"/>
      <c r="AC677" s="18">
        <v>13</v>
      </c>
      <c r="AD677" s="28"/>
      <c r="AE677" s="26"/>
      <c r="AF677" s="28"/>
    </row>
    <row r="678" spans="1:32" ht="13.5" customHeight="1" x14ac:dyDescent="0.25">
      <c r="A678" s="14">
        <v>45744</v>
      </c>
      <c r="B678" s="14" t="s">
        <v>47</v>
      </c>
      <c r="C678" s="15">
        <v>3</v>
      </c>
      <c r="D678" s="16">
        <v>10</v>
      </c>
      <c r="E678" s="16"/>
      <c r="F678" s="17"/>
      <c r="G678" s="21"/>
      <c r="H678" s="21"/>
      <c r="I678" s="4">
        <v>10</v>
      </c>
      <c r="J678" s="4">
        <v>0.16666666666666666</v>
      </c>
      <c r="K678" s="4"/>
      <c r="L678" s="16"/>
      <c r="M678" s="4"/>
      <c r="N678" s="4"/>
      <c r="O678" s="4"/>
      <c r="P678" s="4"/>
      <c r="Q678" s="4"/>
      <c r="R678" s="4"/>
      <c r="S678" s="4">
        <v>0</v>
      </c>
      <c r="T678" s="4">
        <v>0</v>
      </c>
      <c r="U678" s="4">
        <v>0.16666666666666666</v>
      </c>
      <c r="V678" s="4">
        <v>11.833333333333334</v>
      </c>
      <c r="W678" s="4">
        <v>12</v>
      </c>
      <c r="X678" s="4">
        <v>0</v>
      </c>
      <c r="Y678" s="4"/>
      <c r="Z678" s="4">
        <v>297.40000000000003</v>
      </c>
      <c r="AA678" s="4">
        <v>300</v>
      </c>
      <c r="AB678" s="18"/>
      <c r="AC678" s="18">
        <v>13</v>
      </c>
      <c r="AD678" s="28"/>
      <c r="AE678" s="26"/>
      <c r="AF678" s="28"/>
    </row>
    <row r="679" spans="1:32" ht="13.5" customHeight="1" x14ac:dyDescent="0.25">
      <c r="A679" s="14">
        <v>45744</v>
      </c>
      <c r="B679" s="14" t="s">
        <v>46</v>
      </c>
      <c r="C679" s="15">
        <v>6</v>
      </c>
      <c r="D679" s="16"/>
      <c r="E679" s="16"/>
      <c r="F679" s="17"/>
      <c r="G679" s="21"/>
      <c r="H679" s="21"/>
      <c r="I679" s="4">
        <v>0</v>
      </c>
      <c r="J679" s="4">
        <v>0</v>
      </c>
      <c r="K679" s="4"/>
      <c r="L679" s="16"/>
      <c r="M679" s="4"/>
      <c r="N679" s="4"/>
      <c r="O679" s="4"/>
      <c r="P679" s="4"/>
      <c r="Q679" s="4"/>
      <c r="R679" s="4"/>
      <c r="S679" s="4">
        <v>0</v>
      </c>
      <c r="T679" s="4">
        <v>0</v>
      </c>
      <c r="U679" s="4">
        <v>0</v>
      </c>
      <c r="V679" s="4">
        <v>12</v>
      </c>
      <c r="W679" s="4">
        <v>12</v>
      </c>
      <c r="X679" s="4">
        <v>29</v>
      </c>
      <c r="Y679" s="4"/>
      <c r="Z679" s="4">
        <v>778.3</v>
      </c>
      <c r="AA679" s="4">
        <v>800</v>
      </c>
      <c r="AB679" s="18"/>
      <c r="AC679" s="18">
        <v>13</v>
      </c>
      <c r="AD679" s="28"/>
      <c r="AE679" s="26"/>
      <c r="AF679" s="28"/>
    </row>
    <row r="680" spans="1:32" ht="13.5" customHeight="1" x14ac:dyDescent="0.25">
      <c r="A680" s="14">
        <v>45744</v>
      </c>
      <c r="B680" s="14" t="s">
        <v>47</v>
      </c>
      <c r="C680" s="15">
        <v>6</v>
      </c>
      <c r="D680" s="16">
        <v>10</v>
      </c>
      <c r="E680" s="16"/>
      <c r="F680" s="17"/>
      <c r="G680" s="21"/>
      <c r="H680" s="21"/>
      <c r="I680" s="4">
        <v>10</v>
      </c>
      <c r="J680" s="4">
        <v>0.16666666666666666</v>
      </c>
      <c r="K680" s="4"/>
      <c r="L680" s="16">
        <v>10</v>
      </c>
      <c r="M680" s="4"/>
      <c r="N680" s="4"/>
      <c r="O680" s="4"/>
      <c r="P680" s="4"/>
      <c r="Q680" s="4"/>
      <c r="R680" s="4"/>
      <c r="S680" s="4">
        <v>10</v>
      </c>
      <c r="T680" s="4">
        <v>0.16666666666666666</v>
      </c>
      <c r="U680" s="4">
        <v>0.33333333333333331</v>
      </c>
      <c r="V680" s="4">
        <v>11.666666666666666</v>
      </c>
      <c r="W680" s="4">
        <v>12</v>
      </c>
      <c r="X680" s="4">
        <v>30</v>
      </c>
      <c r="Y680" s="4"/>
      <c r="Z680" s="4">
        <v>637</v>
      </c>
      <c r="AA680" s="4">
        <v>650</v>
      </c>
      <c r="AB680" s="18"/>
      <c r="AC680" s="18">
        <v>13</v>
      </c>
      <c r="AD680" s="28"/>
      <c r="AE680" s="26"/>
      <c r="AF680" s="28"/>
    </row>
    <row r="681" spans="1:32" ht="13.5" customHeight="1" x14ac:dyDescent="0.25">
      <c r="A681" s="14">
        <v>45744</v>
      </c>
      <c r="B681" s="14" t="s">
        <v>46</v>
      </c>
      <c r="C681" s="15">
        <v>7</v>
      </c>
      <c r="D681" s="16">
        <v>7</v>
      </c>
      <c r="E681" s="16"/>
      <c r="F681" s="17"/>
      <c r="G681" s="21"/>
      <c r="H681" s="21"/>
      <c r="I681" s="4">
        <v>7</v>
      </c>
      <c r="J681" s="4">
        <v>0.11666666666666667</v>
      </c>
      <c r="K681" s="4"/>
      <c r="L681" s="16"/>
      <c r="M681" s="4"/>
      <c r="N681" s="4"/>
      <c r="O681" s="4"/>
      <c r="P681" s="4"/>
      <c r="Q681" s="4"/>
      <c r="R681" s="4"/>
      <c r="S681" s="4">
        <v>0</v>
      </c>
      <c r="T681" s="4">
        <v>0</v>
      </c>
      <c r="U681" s="4">
        <v>0.11666666666666667</v>
      </c>
      <c r="V681" s="4">
        <v>11.883333333333333</v>
      </c>
      <c r="W681" s="4">
        <v>12</v>
      </c>
      <c r="X681" s="4">
        <v>0</v>
      </c>
      <c r="Y681" s="4"/>
      <c r="Z681" s="4">
        <v>428.4</v>
      </c>
      <c r="AA681" s="4">
        <v>450</v>
      </c>
      <c r="AB681" s="18"/>
      <c r="AC681" s="18">
        <v>13</v>
      </c>
      <c r="AD681" s="28"/>
      <c r="AE681" s="26"/>
      <c r="AF681" s="28"/>
    </row>
    <row r="682" spans="1:32" ht="13.5" customHeight="1" x14ac:dyDescent="0.25">
      <c r="A682" s="14">
        <v>45744</v>
      </c>
      <c r="B682" s="14" t="s">
        <v>47</v>
      </c>
      <c r="C682" s="15">
        <v>7</v>
      </c>
      <c r="D682" s="16">
        <v>2</v>
      </c>
      <c r="E682" s="16"/>
      <c r="F682" s="17"/>
      <c r="G682" s="21"/>
      <c r="H682" s="21"/>
      <c r="I682" s="4">
        <v>2</v>
      </c>
      <c r="J682" s="4">
        <v>3.3333333333333333E-2</v>
      </c>
      <c r="K682" s="4"/>
      <c r="L682" s="16"/>
      <c r="M682" s="4"/>
      <c r="N682" s="4"/>
      <c r="O682" s="4"/>
      <c r="P682" s="4"/>
      <c r="Q682" s="4"/>
      <c r="R682" s="4"/>
      <c r="S682" s="4">
        <v>0</v>
      </c>
      <c r="T682" s="4">
        <v>0</v>
      </c>
      <c r="U682" s="4">
        <v>3.3333333333333333E-2</v>
      </c>
      <c r="V682" s="4">
        <v>11.966666666666667</v>
      </c>
      <c r="W682" s="4">
        <v>12</v>
      </c>
      <c r="X682" s="4">
        <v>0</v>
      </c>
      <c r="Y682" s="4"/>
      <c r="Z682" s="4">
        <v>368.93</v>
      </c>
      <c r="AA682" s="4">
        <v>400</v>
      </c>
      <c r="AB682" s="18"/>
      <c r="AC682" s="18">
        <v>13</v>
      </c>
      <c r="AD682" s="28"/>
      <c r="AE682" s="26"/>
      <c r="AF682" s="28"/>
    </row>
    <row r="683" spans="1:32" ht="13.5" customHeight="1" x14ac:dyDescent="0.25">
      <c r="A683" s="14">
        <v>45745</v>
      </c>
      <c r="B683" s="14" t="s">
        <v>46</v>
      </c>
      <c r="C683" s="15">
        <v>1</v>
      </c>
      <c r="D683" s="16"/>
      <c r="E683" s="16"/>
      <c r="F683" s="17"/>
      <c r="G683" s="21"/>
      <c r="H683" s="21"/>
      <c r="I683" s="4">
        <v>0</v>
      </c>
      <c r="J683" s="4">
        <v>0</v>
      </c>
      <c r="K683" s="4"/>
      <c r="L683" s="16"/>
      <c r="M683" s="4"/>
      <c r="N683" s="4"/>
      <c r="O683" s="4"/>
      <c r="P683" s="4"/>
      <c r="Q683" s="4"/>
      <c r="R683" s="4"/>
      <c r="S683" s="4">
        <v>0</v>
      </c>
      <c r="T683" s="4">
        <v>0</v>
      </c>
      <c r="U683" s="4">
        <v>0</v>
      </c>
      <c r="V683" s="4">
        <v>12</v>
      </c>
      <c r="W683" s="4">
        <v>12</v>
      </c>
      <c r="X683" s="4">
        <v>0</v>
      </c>
      <c r="Y683" s="4">
        <v>1002</v>
      </c>
      <c r="Z683" s="4">
        <v>118.44</v>
      </c>
      <c r="AA683" s="4">
        <v>100</v>
      </c>
      <c r="AB683" s="18">
        <v>372</v>
      </c>
      <c r="AC683" s="18">
        <v>13</v>
      </c>
      <c r="AD683" s="28"/>
      <c r="AE683" s="26"/>
      <c r="AF683" s="28"/>
    </row>
    <row r="684" spans="1:32" ht="13.5" customHeight="1" x14ac:dyDescent="0.25">
      <c r="A684" s="14">
        <v>45745</v>
      </c>
      <c r="B684" s="14" t="s">
        <v>47</v>
      </c>
      <c r="C684" s="15">
        <v>1</v>
      </c>
      <c r="D684" s="16"/>
      <c r="E684" s="16"/>
      <c r="F684" s="17"/>
      <c r="G684" s="21"/>
      <c r="H684" s="21"/>
      <c r="I684" s="4">
        <v>0</v>
      </c>
      <c r="J684" s="4">
        <v>0</v>
      </c>
      <c r="K684" s="4"/>
      <c r="L684" s="16"/>
      <c r="M684" s="4"/>
      <c r="N684" s="4"/>
      <c r="O684" s="4"/>
      <c r="P684" s="4"/>
      <c r="Q684" s="4"/>
      <c r="R684" s="4"/>
      <c r="S684" s="4">
        <v>0</v>
      </c>
      <c r="T684" s="4">
        <v>0</v>
      </c>
      <c r="U684" s="4">
        <v>0</v>
      </c>
      <c r="V684" s="4">
        <v>12</v>
      </c>
      <c r="W684" s="4">
        <v>12</v>
      </c>
      <c r="X684" s="4">
        <v>0</v>
      </c>
      <c r="Y684" s="4"/>
      <c r="Z684" s="4">
        <v>39.5</v>
      </c>
      <c r="AA684" s="4">
        <v>50</v>
      </c>
      <c r="AB684" s="18"/>
      <c r="AC684" s="18">
        <v>13</v>
      </c>
      <c r="AD684" s="28"/>
      <c r="AE684" s="26"/>
      <c r="AF684" s="28"/>
    </row>
    <row r="685" spans="1:32" ht="13.5" customHeight="1" x14ac:dyDescent="0.25">
      <c r="A685" s="14">
        <v>45745</v>
      </c>
      <c r="B685" s="14" t="s">
        <v>46</v>
      </c>
      <c r="C685" s="15">
        <v>3</v>
      </c>
      <c r="D685" s="16"/>
      <c r="E685" s="16"/>
      <c r="F685" s="17"/>
      <c r="G685" s="21"/>
      <c r="H685" s="21"/>
      <c r="I685" s="4">
        <v>0</v>
      </c>
      <c r="J685" s="4">
        <v>0</v>
      </c>
      <c r="K685" s="4"/>
      <c r="L685" s="16"/>
      <c r="M685" s="4"/>
      <c r="N685" s="4"/>
      <c r="O685" s="4"/>
      <c r="P685" s="4"/>
      <c r="Q685" s="4"/>
      <c r="R685" s="4"/>
      <c r="S685" s="4">
        <v>0</v>
      </c>
      <c r="T685" s="4">
        <v>0</v>
      </c>
      <c r="U685" s="4">
        <v>0</v>
      </c>
      <c r="V685" s="4">
        <v>12</v>
      </c>
      <c r="W685" s="4">
        <v>12</v>
      </c>
      <c r="X685" s="4">
        <v>0</v>
      </c>
      <c r="Y685" s="4"/>
      <c r="Z685" s="4">
        <v>224.90000000000003</v>
      </c>
      <c r="AA685" s="4">
        <v>250</v>
      </c>
      <c r="AB685" s="18"/>
      <c r="AC685" s="18">
        <v>13</v>
      </c>
      <c r="AD685" s="28"/>
      <c r="AE685" s="26"/>
      <c r="AF685" s="28"/>
    </row>
    <row r="686" spans="1:32" ht="13.5" customHeight="1" x14ac:dyDescent="0.25">
      <c r="A686" s="14">
        <v>45745</v>
      </c>
      <c r="B686" s="14" t="s">
        <v>46</v>
      </c>
      <c r="C686" s="15">
        <v>6</v>
      </c>
      <c r="D686" s="16"/>
      <c r="E686" s="16"/>
      <c r="F686" s="17"/>
      <c r="G686" s="21"/>
      <c r="H686" s="21"/>
      <c r="I686" s="4">
        <v>0</v>
      </c>
      <c r="J686" s="4">
        <v>0</v>
      </c>
      <c r="K686" s="4"/>
      <c r="L686" s="16"/>
      <c r="M686" s="4"/>
      <c r="N686" s="4"/>
      <c r="O686" s="4"/>
      <c r="P686" s="4"/>
      <c r="Q686" s="4"/>
      <c r="R686" s="4"/>
      <c r="S686" s="4">
        <v>0</v>
      </c>
      <c r="T686" s="4">
        <v>0</v>
      </c>
      <c r="U686" s="4">
        <v>0</v>
      </c>
      <c r="V686" s="4">
        <v>12</v>
      </c>
      <c r="W686" s="4">
        <v>12</v>
      </c>
      <c r="X686" s="4">
        <v>0</v>
      </c>
      <c r="Y686" s="4"/>
      <c r="Z686" s="4">
        <v>598.79999999999995</v>
      </c>
      <c r="AA686" s="4">
        <v>600</v>
      </c>
      <c r="AB686" s="18"/>
      <c r="AC686" s="18">
        <v>13</v>
      </c>
      <c r="AD686" s="28"/>
      <c r="AE686" s="26"/>
      <c r="AF686" s="28"/>
    </row>
    <row r="687" spans="1:32" ht="13.5" customHeight="1" x14ac:dyDescent="0.25">
      <c r="A687" s="14">
        <v>45745</v>
      </c>
      <c r="B687" s="14" t="s">
        <v>47</v>
      </c>
      <c r="C687" s="15">
        <v>6</v>
      </c>
      <c r="D687" s="16"/>
      <c r="E687" s="16"/>
      <c r="F687" s="17"/>
      <c r="G687" s="21"/>
      <c r="H687" s="21"/>
      <c r="I687" s="4">
        <v>0</v>
      </c>
      <c r="J687" s="4">
        <v>0</v>
      </c>
      <c r="K687" s="4"/>
      <c r="L687" s="16"/>
      <c r="M687" s="4"/>
      <c r="N687" s="4"/>
      <c r="O687" s="4"/>
      <c r="P687" s="4"/>
      <c r="Q687" s="4"/>
      <c r="R687" s="4"/>
      <c r="S687" s="4">
        <v>0</v>
      </c>
      <c r="T687" s="4">
        <v>0</v>
      </c>
      <c r="U687" s="4">
        <v>0</v>
      </c>
      <c r="V687" s="4">
        <v>12</v>
      </c>
      <c r="W687" s="4">
        <v>12</v>
      </c>
      <c r="X687" s="4">
        <v>0</v>
      </c>
      <c r="Y687" s="4"/>
      <c r="Z687" s="4">
        <v>329.79999999999995</v>
      </c>
      <c r="AA687" s="4">
        <v>350</v>
      </c>
      <c r="AB687" s="18"/>
      <c r="AC687" s="18">
        <v>13</v>
      </c>
      <c r="AD687" s="28"/>
      <c r="AE687" s="26"/>
      <c r="AF687" s="28"/>
    </row>
    <row r="688" spans="1:32" ht="13.5" customHeight="1" x14ac:dyDescent="0.25">
      <c r="A688" s="14">
        <v>45745</v>
      </c>
      <c r="B688" s="14" t="s">
        <v>46</v>
      </c>
      <c r="C688" s="15">
        <v>7</v>
      </c>
      <c r="D688" s="16"/>
      <c r="E688" s="16"/>
      <c r="F688" s="17"/>
      <c r="G688" s="21"/>
      <c r="H688" s="21"/>
      <c r="I688" s="4">
        <v>0</v>
      </c>
      <c r="J688" s="4">
        <v>0</v>
      </c>
      <c r="K688" s="4"/>
      <c r="L688" s="16"/>
      <c r="M688" s="4"/>
      <c r="N688" s="4"/>
      <c r="O688" s="4"/>
      <c r="P688" s="4"/>
      <c r="Q688" s="4"/>
      <c r="R688" s="4"/>
      <c r="S688" s="4">
        <v>0</v>
      </c>
      <c r="T688" s="4">
        <v>0</v>
      </c>
      <c r="U688" s="4">
        <v>0</v>
      </c>
      <c r="V688" s="4">
        <v>12</v>
      </c>
      <c r="W688" s="4">
        <v>12</v>
      </c>
      <c r="X688" s="4">
        <v>0</v>
      </c>
      <c r="Y688" s="4"/>
      <c r="Z688" s="4">
        <v>550.77</v>
      </c>
      <c r="AA688" s="4">
        <v>550</v>
      </c>
      <c r="AB688" s="18"/>
      <c r="AC688" s="18">
        <v>13</v>
      </c>
      <c r="AD688" s="28"/>
      <c r="AE688" s="26"/>
      <c r="AF688" s="28"/>
    </row>
    <row r="689" spans="1:32" ht="13.5" customHeight="1" x14ac:dyDescent="0.25">
      <c r="A689" s="14">
        <v>45745</v>
      </c>
      <c r="B689" s="14" t="s">
        <v>47</v>
      </c>
      <c r="C689" s="15">
        <v>7</v>
      </c>
      <c r="D689" s="16">
        <v>5</v>
      </c>
      <c r="E689" s="16"/>
      <c r="F689" s="17"/>
      <c r="G689" s="21"/>
      <c r="H689" s="21"/>
      <c r="I689" s="4">
        <v>5</v>
      </c>
      <c r="J689" s="4">
        <v>8.3333333333333329E-2</v>
      </c>
      <c r="K689" s="4"/>
      <c r="L689" s="16"/>
      <c r="M689" s="4"/>
      <c r="N689" s="4"/>
      <c r="O689" s="4"/>
      <c r="P689" s="4"/>
      <c r="Q689" s="4"/>
      <c r="R689" s="4"/>
      <c r="S689" s="4">
        <v>0</v>
      </c>
      <c r="T689" s="4">
        <v>0</v>
      </c>
      <c r="U689" s="4">
        <v>8.3333333333333329E-2</v>
      </c>
      <c r="V689" s="4">
        <v>11.916666666666666</v>
      </c>
      <c r="W689" s="4">
        <v>12</v>
      </c>
      <c r="X689" s="4">
        <v>27</v>
      </c>
      <c r="Y689" s="4"/>
      <c r="Z689" s="4">
        <v>271.27999999999997</v>
      </c>
      <c r="AA689" s="4">
        <v>300</v>
      </c>
      <c r="AB689" s="18"/>
      <c r="AC689" s="18">
        <v>13</v>
      </c>
      <c r="AD689" s="28"/>
      <c r="AE689" s="26"/>
      <c r="AF689" s="28"/>
    </row>
    <row r="690" spans="1:32" ht="13.5" customHeight="1" x14ac:dyDescent="0.25">
      <c r="A690" s="14">
        <v>45754</v>
      </c>
      <c r="B690" s="14" t="s">
        <v>46</v>
      </c>
      <c r="C690" s="15">
        <v>1</v>
      </c>
      <c r="D690" s="16"/>
      <c r="E690" s="16"/>
      <c r="F690" s="17"/>
      <c r="G690" s="21"/>
      <c r="H690" s="21"/>
      <c r="I690" s="4">
        <v>0</v>
      </c>
      <c r="J690" s="4">
        <v>0</v>
      </c>
      <c r="K690" s="4"/>
      <c r="L690" s="16"/>
      <c r="M690" s="4"/>
      <c r="N690" s="4"/>
      <c r="O690" s="4"/>
      <c r="P690" s="4"/>
      <c r="Q690" s="4">
        <v>50</v>
      </c>
      <c r="R690" s="4"/>
      <c r="S690" s="4">
        <v>50</v>
      </c>
      <c r="T690" s="4">
        <v>0.83333333333333337</v>
      </c>
      <c r="U690" s="4">
        <v>0.83333333333333337</v>
      </c>
      <c r="V690" s="4">
        <v>11.166666666666666</v>
      </c>
      <c r="W690" s="4">
        <v>12</v>
      </c>
      <c r="X690" s="4">
        <v>2</v>
      </c>
      <c r="Y690" s="4">
        <v>1668</v>
      </c>
      <c r="Z690" s="4">
        <v>111.49999999999999</v>
      </c>
      <c r="AA690" s="4">
        <v>100</v>
      </c>
      <c r="AB690" s="18">
        <v>372</v>
      </c>
      <c r="AC690" s="18">
        <v>14</v>
      </c>
      <c r="AD690" s="28"/>
      <c r="AE690" s="26"/>
      <c r="AF690" s="28"/>
    </row>
    <row r="691" spans="1:32" ht="13.5" customHeight="1" x14ac:dyDescent="0.25">
      <c r="A691" s="14">
        <v>45754</v>
      </c>
      <c r="B691" s="14" t="s">
        <v>47</v>
      </c>
      <c r="C691" s="15">
        <v>1</v>
      </c>
      <c r="D691" s="16"/>
      <c r="E691" s="16"/>
      <c r="F691" s="17"/>
      <c r="G691" s="21"/>
      <c r="H691" s="21"/>
      <c r="I691" s="4">
        <v>0</v>
      </c>
      <c r="J691" s="4">
        <v>0</v>
      </c>
      <c r="K691" s="4"/>
      <c r="L691" s="16"/>
      <c r="M691" s="4"/>
      <c r="N691" s="4"/>
      <c r="O691" s="4"/>
      <c r="P691" s="4"/>
      <c r="Q691" s="4"/>
      <c r="R691" s="4"/>
      <c r="S691" s="4">
        <v>0</v>
      </c>
      <c r="T691" s="4">
        <v>0</v>
      </c>
      <c r="U691" s="4">
        <v>0</v>
      </c>
      <c r="V691" s="4">
        <v>12</v>
      </c>
      <c r="W691" s="4">
        <v>12</v>
      </c>
      <c r="X691" s="4">
        <v>0</v>
      </c>
      <c r="Y691" s="4"/>
      <c r="Z691" s="4">
        <v>173.6</v>
      </c>
      <c r="AA691" s="4">
        <v>150</v>
      </c>
      <c r="AB691" s="18"/>
      <c r="AC691" s="18">
        <v>14</v>
      </c>
      <c r="AD691" s="28"/>
      <c r="AE691" s="26"/>
      <c r="AF691" s="28"/>
    </row>
    <row r="692" spans="1:32" ht="13.5" customHeight="1" x14ac:dyDescent="0.25">
      <c r="A692" s="14">
        <v>45754</v>
      </c>
      <c r="B692" s="14" t="s">
        <v>46</v>
      </c>
      <c r="C692" s="15">
        <v>3</v>
      </c>
      <c r="D692" s="16"/>
      <c r="E692" s="16"/>
      <c r="F692" s="17"/>
      <c r="G692" s="21"/>
      <c r="H692" s="21"/>
      <c r="I692" s="4">
        <v>0</v>
      </c>
      <c r="J692" s="4">
        <v>0</v>
      </c>
      <c r="K692" s="4"/>
      <c r="L692" s="16"/>
      <c r="M692" s="4"/>
      <c r="N692" s="4"/>
      <c r="O692" s="4"/>
      <c r="P692" s="4"/>
      <c r="Q692" s="4">
        <v>50</v>
      </c>
      <c r="R692" s="4"/>
      <c r="S692" s="4">
        <v>50</v>
      </c>
      <c r="T692" s="4">
        <v>0.83333333333333337</v>
      </c>
      <c r="U692" s="4">
        <v>0.83333333333333337</v>
      </c>
      <c r="V692" s="4">
        <v>11.166666666666666</v>
      </c>
      <c r="W692" s="4">
        <v>12</v>
      </c>
      <c r="X692" s="4">
        <v>0</v>
      </c>
      <c r="Y692" s="4"/>
      <c r="Z692" s="4">
        <v>269</v>
      </c>
      <c r="AA692" s="4">
        <v>300</v>
      </c>
      <c r="AB692" s="18"/>
      <c r="AC692" s="18">
        <v>14</v>
      </c>
      <c r="AD692" s="28"/>
      <c r="AE692" s="26"/>
      <c r="AF692" s="28"/>
    </row>
    <row r="693" spans="1:32" ht="13.5" customHeight="1" x14ac:dyDescent="0.25">
      <c r="A693" s="14">
        <v>45754</v>
      </c>
      <c r="B693" s="14" t="s">
        <v>47</v>
      </c>
      <c r="C693" s="15">
        <v>3</v>
      </c>
      <c r="D693" s="16"/>
      <c r="E693" s="16"/>
      <c r="F693" s="17"/>
      <c r="G693" s="21"/>
      <c r="H693" s="21"/>
      <c r="I693" s="4">
        <v>0</v>
      </c>
      <c r="J693" s="4">
        <v>0</v>
      </c>
      <c r="K693" s="4"/>
      <c r="L693" s="16"/>
      <c r="M693" s="4"/>
      <c r="N693" s="4"/>
      <c r="O693" s="4"/>
      <c r="P693" s="4"/>
      <c r="Q693" s="4"/>
      <c r="R693" s="4"/>
      <c r="S693" s="4">
        <v>0</v>
      </c>
      <c r="T693" s="4">
        <v>0</v>
      </c>
      <c r="U693" s="4">
        <v>0</v>
      </c>
      <c r="V693" s="4">
        <v>12</v>
      </c>
      <c r="W693" s="4">
        <v>12</v>
      </c>
      <c r="X693" s="4">
        <v>0</v>
      </c>
      <c r="Y693" s="4"/>
      <c r="Z693" s="4">
        <v>430.2</v>
      </c>
      <c r="AA693" s="4">
        <v>450</v>
      </c>
      <c r="AB693" s="18"/>
      <c r="AC693" s="18">
        <v>14</v>
      </c>
      <c r="AD693" s="28"/>
      <c r="AE693" s="26"/>
      <c r="AF693" s="28"/>
    </row>
    <row r="694" spans="1:32" ht="13.5" customHeight="1" x14ac:dyDescent="0.25">
      <c r="A694" s="14">
        <v>45754</v>
      </c>
      <c r="B694" s="14" t="s">
        <v>46</v>
      </c>
      <c r="C694" s="15">
        <v>6</v>
      </c>
      <c r="D694" s="16"/>
      <c r="E694" s="16"/>
      <c r="F694" s="17"/>
      <c r="G694" s="21"/>
      <c r="H694" s="21"/>
      <c r="I694" s="4">
        <v>0</v>
      </c>
      <c r="J694" s="4">
        <v>0</v>
      </c>
      <c r="K694" s="4"/>
      <c r="L694" s="16"/>
      <c r="M694" s="4"/>
      <c r="N694" s="4">
        <v>10</v>
      </c>
      <c r="O694" s="4"/>
      <c r="P694" s="4"/>
      <c r="Q694" s="4"/>
      <c r="R694" s="4"/>
      <c r="S694" s="4">
        <v>10</v>
      </c>
      <c r="T694" s="4">
        <v>0.16666666666666666</v>
      </c>
      <c r="U694" s="4">
        <v>0.16666666666666666</v>
      </c>
      <c r="V694" s="4">
        <v>11.833333333333334</v>
      </c>
      <c r="W694" s="4">
        <v>12</v>
      </c>
      <c r="X694" s="4">
        <v>75.8</v>
      </c>
      <c r="Y694" s="4"/>
      <c r="Z694" s="4">
        <v>180.20000000000002</v>
      </c>
      <c r="AA694" s="4">
        <v>250</v>
      </c>
      <c r="AB694" s="18"/>
      <c r="AC694" s="18">
        <v>14</v>
      </c>
      <c r="AD694" s="28"/>
      <c r="AE694" s="26"/>
      <c r="AF694" s="28"/>
    </row>
    <row r="695" spans="1:32" ht="13.5" customHeight="1" x14ac:dyDescent="0.25">
      <c r="A695" s="14">
        <v>45754</v>
      </c>
      <c r="B695" s="14" t="s">
        <v>47</v>
      </c>
      <c r="C695" s="15">
        <v>6</v>
      </c>
      <c r="D695" s="16"/>
      <c r="E695" s="16"/>
      <c r="F695" s="17"/>
      <c r="G695" s="21"/>
      <c r="H695" s="21"/>
      <c r="I695" s="4">
        <v>0</v>
      </c>
      <c r="J695" s="4">
        <v>0</v>
      </c>
      <c r="K695" s="4"/>
      <c r="L695" s="16"/>
      <c r="M695" s="4"/>
      <c r="N695" s="4">
        <v>120</v>
      </c>
      <c r="O695" s="4"/>
      <c r="P695" s="4"/>
      <c r="Q695" s="4"/>
      <c r="R695" s="4"/>
      <c r="S695" s="4">
        <v>120</v>
      </c>
      <c r="T695" s="4">
        <v>2</v>
      </c>
      <c r="U695" s="4">
        <v>2</v>
      </c>
      <c r="V695" s="4">
        <v>10</v>
      </c>
      <c r="W695" s="4">
        <v>12</v>
      </c>
      <c r="X695" s="4">
        <v>67.400000000000006</v>
      </c>
      <c r="Y695" s="4"/>
      <c r="Z695" s="4">
        <v>465.40000000000003</v>
      </c>
      <c r="AA695" s="4">
        <v>500</v>
      </c>
      <c r="AB695" s="18"/>
      <c r="AC695" s="18">
        <v>14</v>
      </c>
      <c r="AD695" s="28"/>
      <c r="AE695" s="26"/>
      <c r="AF695" s="28"/>
    </row>
    <row r="696" spans="1:32" ht="13.5" customHeight="1" x14ac:dyDescent="0.25">
      <c r="A696" s="14">
        <v>45754</v>
      </c>
      <c r="B696" s="14" t="s">
        <v>46</v>
      </c>
      <c r="C696" s="15">
        <v>7</v>
      </c>
      <c r="D696" s="16"/>
      <c r="E696" s="16"/>
      <c r="F696" s="17"/>
      <c r="G696" s="21"/>
      <c r="H696" s="21"/>
      <c r="I696" s="4">
        <v>0</v>
      </c>
      <c r="J696" s="4">
        <v>0</v>
      </c>
      <c r="K696" s="4"/>
      <c r="L696" s="16"/>
      <c r="M696" s="4"/>
      <c r="N696" s="4"/>
      <c r="O696" s="4"/>
      <c r="P696" s="4"/>
      <c r="Q696" s="4"/>
      <c r="R696" s="4"/>
      <c r="S696" s="4">
        <v>0</v>
      </c>
      <c r="T696" s="4">
        <v>0</v>
      </c>
      <c r="U696" s="4">
        <v>0</v>
      </c>
      <c r="V696" s="4">
        <v>12</v>
      </c>
      <c r="W696" s="4">
        <v>12</v>
      </c>
      <c r="X696" s="4">
        <v>0</v>
      </c>
      <c r="Y696" s="4"/>
      <c r="Z696" s="4">
        <v>254.00000000000003</v>
      </c>
      <c r="AA696" s="4">
        <v>250</v>
      </c>
      <c r="AB696" s="18"/>
      <c r="AC696" s="18">
        <v>14</v>
      </c>
      <c r="AD696" s="28"/>
      <c r="AE696" s="26"/>
      <c r="AF696" s="28"/>
    </row>
    <row r="697" spans="1:32" ht="13.5" customHeight="1" x14ac:dyDescent="0.25">
      <c r="A697" s="14">
        <v>45754</v>
      </c>
      <c r="B697" s="14" t="s">
        <v>47</v>
      </c>
      <c r="C697" s="15">
        <v>7</v>
      </c>
      <c r="D697" s="16"/>
      <c r="E697" s="16"/>
      <c r="F697" s="17"/>
      <c r="G697" s="21"/>
      <c r="H697" s="21"/>
      <c r="I697" s="4">
        <v>0</v>
      </c>
      <c r="J697" s="4">
        <v>0</v>
      </c>
      <c r="K697" s="4"/>
      <c r="L697" s="16"/>
      <c r="M697" s="4"/>
      <c r="N697" s="4"/>
      <c r="O697" s="4"/>
      <c r="P697" s="4"/>
      <c r="Q697" s="4"/>
      <c r="R697" s="4"/>
      <c r="S697" s="4">
        <v>0</v>
      </c>
      <c r="T697" s="4">
        <v>0</v>
      </c>
      <c r="U697" s="4">
        <v>0</v>
      </c>
      <c r="V697" s="4">
        <v>12</v>
      </c>
      <c r="W697" s="4">
        <v>12</v>
      </c>
      <c r="X697" s="4">
        <v>0</v>
      </c>
      <c r="Y697" s="4"/>
      <c r="Z697" s="4">
        <v>420.18</v>
      </c>
      <c r="AA697" s="4">
        <v>450</v>
      </c>
      <c r="AB697" s="18"/>
      <c r="AC697" s="18">
        <v>14</v>
      </c>
      <c r="AD697" s="28"/>
      <c r="AE697" s="26"/>
      <c r="AF697" s="28"/>
    </row>
    <row r="698" spans="1:32" ht="13.5" customHeight="1" x14ac:dyDescent="0.25">
      <c r="A698" s="14">
        <v>45755</v>
      </c>
      <c r="B698" s="14" t="s">
        <v>46</v>
      </c>
      <c r="C698" s="15">
        <v>1</v>
      </c>
      <c r="D698" s="16">
        <v>2</v>
      </c>
      <c r="E698" s="16"/>
      <c r="F698" s="17"/>
      <c r="G698" s="21"/>
      <c r="H698" s="21"/>
      <c r="I698" s="4">
        <v>2</v>
      </c>
      <c r="J698" s="4">
        <v>3.3333333333333333E-2</v>
      </c>
      <c r="K698" s="4"/>
      <c r="L698" s="16"/>
      <c r="M698" s="4"/>
      <c r="N698" s="4"/>
      <c r="O698" s="4"/>
      <c r="P698" s="4"/>
      <c r="Q698" s="4"/>
      <c r="R698" s="4"/>
      <c r="S698" s="4">
        <v>0</v>
      </c>
      <c r="T698" s="4">
        <v>0</v>
      </c>
      <c r="U698" s="4">
        <v>3.3333333333333333E-2</v>
      </c>
      <c r="V698" s="4">
        <v>11.966666666666667</v>
      </c>
      <c r="W698" s="4">
        <v>12</v>
      </c>
      <c r="X698" s="4">
        <v>0</v>
      </c>
      <c r="Y698" s="4">
        <v>1876</v>
      </c>
      <c r="Z698" s="4">
        <v>192</v>
      </c>
      <c r="AA698" s="4">
        <v>200</v>
      </c>
      <c r="AB698" s="18">
        <v>372</v>
      </c>
      <c r="AC698" s="18">
        <v>14</v>
      </c>
      <c r="AD698" s="28"/>
      <c r="AE698" s="26"/>
      <c r="AF698" s="28"/>
    </row>
    <row r="699" spans="1:32" ht="13.5" customHeight="1" x14ac:dyDescent="0.25">
      <c r="A699" s="14">
        <v>45755</v>
      </c>
      <c r="B699" s="14" t="s">
        <v>47</v>
      </c>
      <c r="C699" s="15">
        <v>1</v>
      </c>
      <c r="D699" s="16"/>
      <c r="E699" s="16"/>
      <c r="F699" s="17"/>
      <c r="G699" s="21"/>
      <c r="H699" s="21"/>
      <c r="I699" s="4">
        <v>0</v>
      </c>
      <c r="J699" s="4">
        <v>0</v>
      </c>
      <c r="K699" s="4"/>
      <c r="L699" s="16"/>
      <c r="M699" s="4"/>
      <c r="N699" s="4"/>
      <c r="O699" s="4"/>
      <c r="P699" s="4"/>
      <c r="Q699" s="4"/>
      <c r="R699" s="4"/>
      <c r="S699" s="4">
        <v>0</v>
      </c>
      <c r="T699" s="4">
        <v>0</v>
      </c>
      <c r="U699" s="4">
        <v>0</v>
      </c>
      <c r="V699" s="4">
        <v>12</v>
      </c>
      <c r="W699" s="4">
        <v>12</v>
      </c>
      <c r="X699" s="4">
        <v>0</v>
      </c>
      <c r="Y699" s="4"/>
      <c r="Z699" s="4">
        <v>169.9</v>
      </c>
      <c r="AA699" s="4">
        <v>150</v>
      </c>
      <c r="AB699" s="18"/>
      <c r="AC699" s="18">
        <v>14</v>
      </c>
      <c r="AD699" s="28"/>
      <c r="AE699" s="26"/>
      <c r="AF699" s="28"/>
    </row>
    <row r="700" spans="1:32" ht="13.5" customHeight="1" x14ac:dyDescent="0.25">
      <c r="A700" s="14">
        <v>45755</v>
      </c>
      <c r="B700" s="14" t="s">
        <v>46</v>
      </c>
      <c r="C700" s="15">
        <v>3</v>
      </c>
      <c r="D700" s="16">
        <v>5</v>
      </c>
      <c r="E700" s="16"/>
      <c r="F700" s="17"/>
      <c r="G700" s="21"/>
      <c r="H700" s="21"/>
      <c r="I700" s="4">
        <v>5</v>
      </c>
      <c r="J700" s="4">
        <v>8.3333333333333329E-2</v>
      </c>
      <c r="K700" s="4"/>
      <c r="L700" s="16"/>
      <c r="M700" s="4"/>
      <c r="N700" s="4"/>
      <c r="O700" s="4"/>
      <c r="P700" s="4"/>
      <c r="Q700" s="4"/>
      <c r="R700" s="4"/>
      <c r="S700" s="4">
        <v>0</v>
      </c>
      <c r="T700" s="4">
        <v>0</v>
      </c>
      <c r="U700" s="4">
        <v>8.3333333333333329E-2</v>
      </c>
      <c r="V700" s="4">
        <v>11.916666666666666</v>
      </c>
      <c r="W700" s="4">
        <v>12</v>
      </c>
      <c r="X700" s="4">
        <v>0</v>
      </c>
      <c r="Y700" s="4"/>
      <c r="Z700" s="4">
        <v>600.09999999999991</v>
      </c>
      <c r="AA700" s="4">
        <v>600</v>
      </c>
      <c r="AB700" s="18"/>
      <c r="AC700" s="18">
        <v>14</v>
      </c>
      <c r="AD700" s="28"/>
      <c r="AE700" s="26"/>
      <c r="AF700" s="28"/>
    </row>
    <row r="701" spans="1:32" ht="13.5" customHeight="1" x14ac:dyDescent="0.25">
      <c r="A701" s="14">
        <v>45755</v>
      </c>
      <c r="B701" s="14" t="s">
        <v>47</v>
      </c>
      <c r="C701" s="15">
        <v>3</v>
      </c>
      <c r="D701" s="16"/>
      <c r="E701" s="16"/>
      <c r="F701" s="17"/>
      <c r="G701" s="21"/>
      <c r="H701" s="21"/>
      <c r="I701" s="4">
        <v>0</v>
      </c>
      <c r="J701" s="4">
        <v>0</v>
      </c>
      <c r="K701" s="4"/>
      <c r="L701" s="16"/>
      <c r="M701" s="4"/>
      <c r="N701" s="4"/>
      <c r="O701" s="4"/>
      <c r="P701" s="4"/>
      <c r="Q701" s="4"/>
      <c r="R701" s="4"/>
      <c r="S701" s="4">
        <v>0</v>
      </c>
      <c r="T701" s="4">
        <v>0</v>
      </c>
      <c r="U701" s="4">
        <v>0</v>
      </c>
      <c r="V701" s="4">
        <v>12</v>
      </c>
      <c r="W701" s="4">
        <v>12</v>
      </c>
      <c r="X701" s="4">
        <v>0</v>
      </c>
      <c r="Y701" s="4"/>
      <c r="Z701" s="4">
        <v>255.00000000000003</v>
      </c>
      <c r="AA701" s="4">
        <v>250</v>
      </c>
      <c r="AB701" s="18"/>
      <c r="AC701" s="18">
        <v>14</v>
      </c>
      <c r="AD701" s="28"/>
      <c r="AE701" s="26"/>
      <c r="AF701" s="28"/>
    </row>
    <row r="702" spans="1:32" ht="13.5" customHeight="1" x14ac:dyDescent="0.25">
      <c r="A702" s="14">
        <v>45755</v>
      </c>
      <c r="B702" s="14" t="s">
        <v>46</v>
      </c>
      <c r="C702" s="15">
        <v>6</v>
      </c>
      <c r="D702" s="16"/>
      <c r="E702" s="16"/>
      <c r="F702" s="17"/>
      <c r="G702" s="21"/>
      <c r="H702" s="21"/>
      <c r="I702" s="4">
        <v>0</v>
      </c>
      <c r="J702" s="4">
        <v>0</v>
      </c>
      <c r="K702" s="4"/>
      <c r="L702" s="16"/>
      <c r="M702" s="4"/>
      <c r="N702" s="4"/>
      <c r="O702" s="4"/>
      <c r="P702" s="4"/>
      <c r="Q702" s="4"/>
      <c r="R702" s="4"/>
      <c r="S702" s="4">
        <v>0</v>
      </c>
      <c r="T702" s="4">
        <v>0</v>
      </c>
      <c r="U702" s="4">
        <v>0</v>
      </c>
      <c r="V702" s="4">
        <v>12</v>
      </c>
      <c r="W702" s="4">
        <v>12</v>
      </c>
      <c r="X702" s="4">
        <v>29.6</v>
      </c>
      <c r="Y702" s="4"/>
      <c r="Z702" s="4">
        <v>692.69999999999993</v>
      </c>
      <c r="AA702" s="4">
        <v>700</v>
      </c>
      <c r="AB702" s="18"/>
      <c r="AC702" s="18">
        <v>14</v>
      </c>
      <c r="AD702" s="28"/>
      <c r="AE702" s="26"/>
      <c r="AF702" s="28"/>
    </row>
    <row r="703" spans="1:32" ht="13.5" customHeight="1" x14ac:dyDescent="0.25">
      <c r="A703" s="14">
        <v>45755</v>
      </c>
      <c r="B703" s="14" t="s">
        <v>47</v>
      </c>
      <c r="C703" s="15">
        <v>6</v>
      </c>
      <c r="D703" s="16">
        <v>10</v>
      </c>
      <c r="E703" s="16"/>
      <c r="F703" s="17"/>
      <c r="G703" s="21"/>
      <c r="H703" s="21"/>
      <c r="I703" s="4">
        <v>10</v>
      </c>
      <c r="J703" s="4">
        <v>0.16666666666666666</v>
      </c>
      <c r="K703" s="4"/>
      <c r="L703" s="16"/>
      <c r="M703" s="4"/>
      <c r="N703" s="4"/>
      <c r="O703" s="4"/>
      <c r="P703" s="4"/>
      <c r="Q703" s="4"/>
      <c r="R703" s="4"/>
      <c r="S703" s="4">
        <v>0</v>
      </c>
      <c r="T703" s="4">
        <v>0</v>
      </c>
      <c r="U703" s="4">
        <v>0.16666666666666666</v>
      </c>
      <c r="V703" s="4">
        <v>11.833333333333334</v>
      </c>
      <c r="W703" s="4">
        <v>12</v>
      </c>
      <c r="X703" s="4">
        <v>39.200000000000003</v>
      </c>
      <c r="Y703" s="4"/>
      <c r="Z703" s="4">
        <v>750.6</v>
      </c>
      <c r="AA703" s="4">
        <v>750</v>
      </c>
      <c r="AB703" s="18"/>
      <c r="AC703" s="18">
        <v>14</v>
      </c>
      <c r="AD703" s="28"/>
      <c r="AE703" s="26"/>
      <c r="AF703" s="28"/>
    </row>
    <row r="704" spans="1:32" ht="13.5" customHeight="1" x14ac:dyDescent="0.25">
      <c r="A704" s="14">
        <v>45755</v>
      </c>
      <c r="B704" s="14" t="s">
        <v>46</v>
      </c>
      <c r="C704" s="15">
        <v>7</v>
      </c>
      <c r="D704" s="16">
        <v>10</v>
      </c>
      <c r="E704" s="16"/>
      <c r="F704" s="17"/>
      <c r="G704" s="21"/>
      <c r="H704" s="21"/>
      <c r="I704" s="4">
        <v>10</v>
      </c>
      <c r="J704" s="4">
        <v>0.16666666666666666</v>
      </c>
      <c r="K704" s="4"/>
      <c r="L704" s="16"/>
      <c r="M704" s="4"/>
      <c r="N704" s="4"/>
      <c r="O704" s="4"/>
      <c r="P704" s="4"/>
      <c r="Q704" s="4"/>
      <c r="R704" s="4"/>
      <c r="S704" s="4">
        <v>0</v>
      </c>
      <c r="T704" s="4">
        <v>0</v>
      </c>
      <c r="U704" s="4">
        <v>0.16666666666666666</v>
      </c>
      <c r="V704" s="4">
        <v>11.833333333333334</v>
      </c>
      <c r="W704" s="4">
        <v>12</v>
      </c>
      <c r="X704" s="4">
        <v>0</v>
      </c>
      <c r="Y704" s="4"/>
      <c r="Z704" s="4">
        <v>429.4</v>
      </c>
      <c r="AA704" s="4">
        <v>450</v>
      </c>
      <c r="AB704" s="18"/>
      <c r="AC704" s="18">
        <v>14</v>
      </c>
      <c r="AD704" s="28"/>
      <c r="AE704" s="26"/>
      <c r="AF704" s="28"/>
    </row>
    <row r="705" spans="1:32" ht="13.5" customHeight="1" x14ac:dyDescent="0.25">
      <c r="A705" s="14">
        <v>45755</v>
      </c>
      <c r="B705" s="14" t="s">
        <v>47</v>
      </c>
      <c r="C705" s="15">
        <v>7</v>
      </c>
      <c r="D705" s="16">
        <v>3</v>
      </c>
      <c r="E705" s="16"/>
      <c r="F705" s="17"/>
      <c r="G705" s="21"/>
      <c r="H705" s="21"/>
      <c r="I705" s="4">
        <v>3</v>
      </c>
      <c r="J705" s="4">
        <v>0.05</v>
      </c>
      <c r="K705" s="4"/>
      <c r="L705" s="16"/>
      <c r="M705" s="4"/>
      <c r="N705" s="4"/>
      <c r="O705" s="4"/>
      <c r="P705" s="4"/>
      <c r="Q705" s="4"/>
      <c r="R705" s="4"/>
      <c r="S705" s="4">
        <v>0</v>
      </c>
      <c r="T705" s="4">
        <v>0</v>
      </c>
      <c r="U705" s="4">
        <v>0.05</v>
      </c>
      <c r="V705" s="4">
        <v>11.95</v>
      </c>
      <c r="W705" s="4">
        <v>12</v>
      </c>
      <c r="X705" s="4">
        <v>3.2</v>
      </c>
      <c r="Y705" s="4"/>
      <c r="Z705" s="4">
        <v>404.65</v>
      </c>
      <c r="AA705" s="4">
        <v>400</v>
      </c>
      <c r="AB705" s="18"/>
      <c r="AC705" s="18">
        <v>14</v>
      </c>
      <c r="AD705" s="28"/>
      <c r="AE705" s="26"/>
      <c r="AF705" s="28"/>
    </row>
    <row r="706" spans="1:32" ht="13.5" customHeight="1" x14ac:dyDescent="0.25">
      <c r="A706" s="14">
        <v>45756</v>
      </c>
      <c r="B706" s="14" t="s">
        <v>46</v>
      </c>
      <c r="C706" s="15">
        <v>1</v>
      </c>
      <c r="D706" s="16"/>
      <c r="E706" s="16"/>
      <c r="F706" s="17"/>
      <c r="G706" s="21"/>
      <c r="H706" s="21"/>
      <c r="I706" s="4">
        <v>0</v>
      </c>
      <c r="J706" s="4">
        <v>0</v>
      </c>
      <c r="K706" s="4"/>
      <c r="L706" s="16"/>
      <c r="M706" s="4"/>
      <c r="N706" s="4"/>
      <c r="O706" s="4"/>
      <c r="P706" s="4"/>
      <c r="Q706" s="4"/>
      <c r="R706" s="4"/>
      <c r="S706" s="4">
        <v>0</v>
      </c>
      <c r="T706" s="4">
        <v>0</v>
      </c>
      <c r="U706" s="4">
        <v>0</v>
      </c>
      <c r="V706" s="4">
        <v>12</v>
      </c>
      <c r="W706" s="4">
        <v>12</v>
      </c>
      <c r="X706" s="4">
        <v>0</v>
      </c>
      <c r="Y706" s="4">
        <v>1790</v>
      </c>
      <c r="Z706" s="4">
        <v>170.1</v>
      </c>
      <c r="AA706" s="4">
        <v>200</v>
      </c>
      <c r="AB706" s="18">
        <v>372</v>
      </c>
      <c r="AC706" s="18">
        <v>14</v>
      </c>
      <c r="AD706" s="28"/>
      <c r="AE706" s="26"/>
      <c r="AF706" s="28"/>
    </row>
    <row r="707" spans="1:32" ht="13.5" customHeight="1" x14ac:dyDescent="0.25">
      <c r="A707" s="14">
        <v>45756</v>
      </c>
      <c r="B707" s="14" t="s">
        <v>47</v>
      </c>
      <c r="C707" s="15">
        <v>1</v>
      </c>
      <c r="D707" s="16"/>
      <c r="E707" s="16"/>
      <c r="F707" s="17"/>
      <c r="G707" s="21"/>
      <c r="H707" s="21"/>
      <c r="I707" s="4">
        <v>0</v>
      </c>
      <c r="J707" s="4">
        <v>0</v>
      </c>
      <c r="K707" s="4"/>
      <c r="L707" s="16"/>
      <c r="M707" s="4"/>
      <c r="N707" s="4"/>
      <c r="O707" s="4"/>
      <c r="P707" s="4"/>
      <c r="Q707" s="4"/>
      <c r="R707" s="4"/>
      <c r="S707" s="4">
        <v>0</v>
      </c>
      <c r="T707" s="4">
        <v>0</v>
      </c>
      <c r="U707" s="4">
        <v>0</v>
      </c>
      <c r="V707" s="4">
        <v>12</v>
      </c>
      <c r="W707" s="4">
        <v>12</v>
      </c>
      <c r="X707" s="4">
        <v>0</v>
      </c>
      <c r="Y707" s="4"/>
      <c r="Z707" s="4">
        <v>167.5</v>
      </c>
      <c r="AA707" s="4">
        <v>200</v>
      </c>
      <c r="AB707" s="18"/>
      <c r="AC707" s="18">
        <v>14</v>
      </c>
      <c r="AD707" s="28"/>
      <c r="AE707" s="26"/>
      <c r="AF707" s="28"/>
    </row>
    <row r="708" spans="1:32" ht="13.5" customHeight="1" x14ac:dyDescent="0.25">
      <c r="A708" s="14">
        <v>45756</v>
      </c>
      <c r="B708" s="14" t="s">
        <v>46</v>
      </c>
      <c r="C708" s="15">
        <v>3</v>
      </c>
      <c r="D708" s="16"/>
      <c r="E708" s="16"/>
      <c r="F708" s="17"/>
      <c r="G708" s="21"/>
      <c r="H708" s="21"/>
      <c r="I708" s="4">
        <v>0</v>
      </c>
      <c r="J708" s="4">
        <v>0</v>
      </c>
      <c r="K708" s="4"/>
      <c r="L708" s="16"/>
      <c r="M708" s="4"/>
      <c r="N708" s="4"/>
      <c r="O708" s="4"/>
      <c r="P708" s="4"/>
      <c r="Q708" s="4"/>
      <c r="R708" s="4"/>
      <c r="S708" s="4">
        <v>0</v>
      </c>
      <c r="T708" s="4">
        <v>0</v>
      </c>
      <c r="U708" s="4">
        <v>0</v>
      </c>
      <c r="V708" s="4">
        <v>12</v>
      </c>
      <c r="W708" s="4">
        <v>12</v>
      </c>
      <c r="X708" s="4">
        <v>0</v>
      </c>
      <c r="Y708" s="4"/>
      <c r="Z708" s="4">
        <v>310.60000000000002</v>
      </c>
      <c r="AA708" s="4">
        <v>300</v>
      </c>
      <c r="AB708" s="18"/>
      <c r="AC708" s="18">
        <v>14</v>
      </c>
      <c r="AD708" s="28"/>
      <c r="AE708" s="26"/>
      <c r="AF708" s="28"/>
    </row>
    <row r="709" spans="1:32" ht="13.5" customHeight="1" x14ac:dyDescent="0.25">
      <c r="A709" s="14">
        <v>45756</v>
      </c>
      <c r="B709" s="14" t="s">
        <v>47</v>
      </c>
      <c r="C709" s="15">
        <v>3</v>
      </c>
      <c r="D709" s="16"/>
      <c r="E709" s="16"/>
      <c r="F709" s="17"/>
      <c r="G709" s="21"/>
      <c r="H709" s="21"/>
      <c r="I709" s="4">
        <v>0</v>
      </c>
      <c r="J709" s="4">
        <v>0</v>
      </c>
      <c r="K709" s="4"/>
      <c r="L709" s="16"/>
      <c r="M709" s="4"/>
      <c r="N709" s="4"/>
      <c r="O709" s="4"/>
      <c r="P709" s="4"/>
      <c r="Q709" s="4"/>
      <c r="R709" s="4"/>
      <c r="S709" s="4">
        <v>0</v>
      </c>
      <c r="T709" s="4">
        <v>0</v>
      </c>
      <c r="U709" s="4">
        <v>0</v>
      </c>
      <c r="V709" s="4">
        <v>12</v>
      </c>
      <c r="W709" s="4">
        <v>12</v>
      </c>
      <c r="X709" s="4">
        <v>0</v>
      </c>
      <c r="Y709" s="4"/>
      <c r="Z709" s="4">
        <v>289.3</v>
      </c>
      <c r="AA709" s="4">
        <v>250</v>
      </c>
      <c r="AB709" s="18"/>
      <c r="AC709" s="18">
        <v>14</v>
      </c>
      <c r="AD709" s="28"/>
      <c r="AE709" s="26"/>
      <c r="AF709" s="28"/>
    </row>
    <row r="710" spans="1:32" ht="13.5" customHeight="1" x14ac:dyDescent="0.25">
      <c r="A710" s="14">
        <v>45756</v>
      </c>
      <c r="B710" s="14" t="s">
        <v>46</v>
      </c>
      <c r="C710" s="15">
        <v>6</v>
      </c>
      <c r="D710" s="16"/>
      <c r="E710" s="16"/>
      <c r="F710" s="17"/>
      <c r="G710" s="21"/>
      <c r="H710" s="21"/>
      <c r="I710" s="4">
        <v>0</v>
      </c>
      <c r="J710" s="4">
        <v>0</v>
      </c>
      <c r="K710" s="4"/>
      <c r="L710" s="16"/>
      <c r="M710" s="4"/>
      <c r="N710" s="4"/>
      <c r="O710" s="4"/>
      <c r="P710" s="4"/>
      <c r="Q710" s="4"/>
      <c r="R710" s="4"/>
      <c r="S710" s="4">
        <v>0</v>
      </c>
      <c r="T710" s="4">
        <v>0</v>
      </c>
      <c r="U710" s="4">
        <v>0</v>
      </c>
      <c r="V710" s="4">
        <v>12</v>
      </c>
      <c r="W710" s="4">
        <v>12</v>
      </c>
      <c r="X710" s="4">
        <v>23.4</v>
      </c>
      <c r="Y710" s="4"/>
      <c r="Z710" s="4">
        <v>617.79999999999995</v>
      </c>
      <c r="AA710" s="4">
        <v>600</v>
      </c>
      <c r="AB710" s="18"/>
      <c r="AC710" s="18">
        <v>14</v>
      </c>
      <c r="AD710" s="28"/>
      <c r="AE710" s="26"/>
      <c r="AF710" s="28"/>
    </row>
    <row r="711" spans="1:32" ht="13.5" customHeight="1" x14ac:dyDescent="0.25">
      <c r="A711" s="14">
        <v>45756</v>
      </c>
      <c r="B711" s="14" t="s">
        <v>47</v>
      </c>
      <c r="C711" s="15">
        <v>6</v>
      </c>
      <c r="D711" s="16">
        <v>5</v>
      </c>
      <c r="E711" s="16"/>
      <c r="F711" s="17"/>
      <c r="G711" s="21"/>
      <c r="H711" s="21"/>
      <c r="I711" s="4">
        <v>5</v>
      </c>
      <c r="J711" s="4">
        <v>8.3333333333333329E-2</v>
      </c>
      <c r="K711" s="4"/>
      <c r="L711" s="16"/>
      <c r="M711" s="4"/>
      <c r="N711" s="4"/>
      <c r="O711" s="4"/>
      <c r="P711" s="4"/>
      <c r="Q711" s="4"/>
      <c r="R711" s="4"/>
      <c r="S711" s="4">
        <v>0</v>
      </c>
      <c r="T711" s="4">
        <v>0</v>
      </c>
      <c r="U711" s="4">
        <v>8.3333333333333329E-2</v>
      </c>
      <c r="V711" s="4">
        <v>11.916666666666666</v>
      </c>
      <c r="W711" s="4">
        <v>12</v>
      </c>
      <c r="X711" s="4">
        <v>21.6</v>
      </c>
      <c r="Y711" s="4"/>
      <c r="Z711" s="4">
        <v>473.00000000000006</v>
      </c>
      <c r="AA711" s="4">
        <v>500</v>
      </c>
      <c r="AB711" s="18"/>
      <c r="AC711" s="18">
        <v>14</v>
      </c>
      <c r="AD711" s="28"/>
      <c r="AE711" s="26"/>
      <c r="AF711" s="28"/>
    </row>
    <row r="712" spans="1:32" ht="13.5" customHeight="1" x14ac:dyDescent="0.25">
      <c r="A712" s="14">
        <v>45756</v>
      </c>
      <c r="B712" s="14" t="s">
        <v>46</v>
      </c>
      <c r="C712" s="15">
        <v>7</v>
      </c>
      <c r="D712" s="16">
        <v>5</v>
      </c>
      <c r="E712" s="16"/>
      <c r="F712" s="17"/>
      <c r="G712" s="21"/>
      <c r="H712" s="21"/>
      <c r="I712" s="4">
        <v>5</v>
      </c>
      <c r="J712" s="4">
        <v>8.3333333333333329E-2</v>
      </c>
      <c r="K712" s="4"/>
      <c r="L712" s="16"/>
      <c r="M712" s="4"/>
      <c r="N712" s="4"/>
      <c r="O712" s="4"/>
      <c r="P712" s="4"/>
      <c r="Q712" s="4"/>
      <c r="R712" s="4"/>
      <c r="S712" s="4">
        <v>0</v>
      </c>
      <c r="T712" s="4">
        <v>0</v>
      </c>
      <c r="U712" s="4">
        <v>8.3333333333333329E-2</v>
      </c>
      <c r="V712" s="4">
        <v>11.916666666666666</v>
      </c>
      <c r="W712" s="4">
        <v>12</v>
      </c>
      <c r="X712" s="4">
        <v>0</v>
      </c>
      <c r="Y712" s="4"/>
      <c r="Z712" s="4">
        <v>357.1</v>
      </c>
      <c r="AA712" s="4">
        <v>350</v>
      </c>
      <c r="AB712" s="18"/>
      <c r="AC712" s="18">
        <v>14</v>
      </c>
      <c r="AD712" s="28"/>
      <c r="AE712" s="26"/>
      <c r="AF712" s="28"/>
    </row>
    <row r="713" spans="1:32" ht="13.5" customHeight="1" x14ac:dyDescent="0.25">
      <c r="A713" s="14">
        <v>45756</v>
      </c>
      <c r="B713" s="14" t="s">
        <v>47</v>
      </c>
      <c r="C713" s="15">
        <v>7</v>
      </c>
      <c r="D713" s="16">
        <v>9</v>
      </c>
      <c r="E713" s="16"/>
      <c r="F713" s="17"/>
      <c r="G713" s="21"/>
      <c r="H713" s="21"/>
      <c r="I713" s="4">
        <v>9</v>
      </c>
      <c r="J713" s="4">
        <v>0.15</v>
      </c>
      <c r="K713" s="4"/>
      <c r="L713" s="16"/>
      <c r="M713" s="4"/>
      <c r="N713" s="4"/>
      <c r="O713" s="4"/>
      <c r="P713" s="4"/>
      <c r="Q713" s="4"/>
      <c r="R713" s="4"/>
      <c r="S713" s="4">
        <v>0</v>
      </c>
      <c r="T713" s="4">
        <v>0</v>
      </c>
      <c r="U713" s="4">
        <v>0.15</v>
      </c>
      <c r="V713" s="4">
        <v>11.85</v>
      </c>
      <c r="W713" s="4">
        <v>12</v>
      </c>
      <c r="X713" s="4">
        <v>0</v>
      </c>
      <c r="Y713" s="4"/>
      <c r="Z713" s="4">
        <v>366.05</v>
      </c>
      <c r="AA713" s="4">
        <v>350</v>
      </c>
      <c r="AB713" s="18"/>
      <c r="AC713" s="18">
        <v>14</v>
      </c>
      <c r="AD713" s="28"/>
      <c r="AE713" s="26"/>
      <c r="AF713" s="28"/>
    </row>
    <row r="714" spans="1:32" ht="13.5" customHeight="1" x14ac:dyDescent="0.25">
      <c r="A714" s="14">
        <v>45757</v>
      </c>
      <c r="B714" s="14" t="s">
        <v>46</v>
      </c>
      <c r="C714" s="15">
        <v>1</v>
      </c>
      <c r="D714" s="16">
        <v>6</v>
      </c>
      <c r="E714" s="16"/>
      <c r="F714" s="17"/>
      <c r="G714" s="21"/>
      <c r="H714" s="21"/>
      <c r="I714" s="4">
        <v>6</v>
      </c>
      <c r="J714" s="4">
        <v>0.1</v>
      </c>
      <c r="K714" s="4"/>
      <c r="L714" s="16"/>
      <c r="M714" s="4"/>
      <c r="N714" s="4"/>
      <c r="O714" s="4"/>
      <c r="P714" s="4"/>
      <c r="Q714" s="4"/>
      <c r="R714" s="4"/>
      <c r="S714" s="4">
        <v>0</v>
      </c>
      <c r="T714" s="4">
        <v>0</v>
      </c>
      <c r="U714" s="4">
        <v>0.1</v>
      </c>
      <c r="V714" s="4">
        <v>11.9</v>
      </c>
      <c r="W714" s="4">
        <v>12</v>
      </c>
      <c r="X714" s="4">
        <v>0</v>
      </c>
      <c r="Y714" s="4">
        <v>1790</v>
      </c>
      <c r="Z714" s="4">
        <v>166</v>
      </c>
      <c r="AA714" s="4">
        <v>150</v>
      </c>
      <c r="AB714" s="18">
        <v>372</v>
      </c>
      <c r="AC714" s="18">
        <v>14</v>
      </c>
      <c r="AD714" s="28"/>
      <c r="AE714" s="26"/>
      <c r="AF714" s="28"/>
    </row>
    <row r="715" spans="1:32" ht="13.5" customHeight="1" x14ac:dyDescent="0.25">
      <c r="A715" s="14">
        <v>45757</v>
      </c>
      <c r="B715" s="14" t="s">
        <v>47</v>
      </c>
      <c r="C715" s="15">
        <v>1</v>
      </c>
      <c r="D715" s="16"/>
      <c r="E715" s="16"/>
      <c r="F715" s="17"/>
      <c r="G715" s="21"/>
      <c r="H715" s="21"/>
      <c r="I715" s="4">
        <v>0</v>
      </c>
      <c r="J715" s="4">
        <v>0</v>
      </c>
      <c r="K715" s="4"/>
      <c r="L715" s="16"/>
      <c r="M715" s="4"/>
      <c r="N715" s="4"/>
      <c r="O715" s="4"/>
      <c r="P715" s="4"/>
      <c r="Q715" s="4"/>
      <c r="R715" s="4"/>
      <c r="S715" s="4">
        <v>0</v>
      </c>
      <c r="T715" s="4">
        <v>0</v>
      </c>
      <c r="U715" s="4">
        <v>0</v>
      </c>
      <c r="V715" s="4">
        <v>12</v>
      </c>
      <c r="W715" s="4">
        <v>12</v>
      </c>
      <c r="X715" s="4">
        <v>0</v>
      </c>
      <c r="Y715" s="4"/>
      <c r="Z715" s="4">
        <v>148.39999999999998</v>
      </c>
      <c r="AA715" s="4">
        <v>200</v>
      </c>
      <c r="AB715" s="18"/>
      <c r="AC715" s="18">
        <v>14</v>
      </c>
      <c r="AD715" s="28"/>
      <c r="AE715" s="26"/>
      <c r="AF715" s="28"/>
    </row>
    <row r="716" spans="1:32" ht="13.5" customHeight="1" x14ac:dyDescent="0.25">
      <c r="A716" s="14">
        <v>45757</v>
      </c>
      <c r="B716" s="14" t="s">
        <v>46</v>
      </c>
      <c r="C716" s="15">
        <v>3</v>
      </c>
      <c r="D716" s="16">
        <v>2</v>
      </c>
      <c r="E716" s="16"/>
      <c r="F716" s="17"/>
      <c r="G716" s="21"/>
      <c r="H716" s="21"/>
      <c r="I716" s="4">
        <v>2</v>
      </c>
      <c r="J716" s="4">
        <v>3.3333333333333333E-2</v>
      </c>
      <c r="K716" s="4"/>
      <c r="L716" s="16"/>
      <c r="M716" s="4"/>
      <c r="N716" s="4"/>
      <c r="O716" s="4"/>
      <c r="P716" s="4"/>
      <c r="Q716" s="4"/>
      <c r="R716" s="4"/>
      <c r="S716" s="4">
        <v>0</v>
      </c>
      <c r="T716" s="4">
        <v>0</v>
      </c>
      <c r="U716" s="4">
        <v>3.3333333333333333E-2</v>
      </c>
      <c r="V716" s="4">
        <v>11.966666666666667</v>
      </c>
      <c r="W716" s="4">
        <v>12</v>
      </c>
      <c r="X716" s="4">
        <v>0</v>
      </c>
      <c r="Y716" s="4"/>
      <c r="Z716" s="4">
        <v>377.8</v>
      </c>
      <c r="AA716" s="4">
        <v>400</v>
      </c>
      <c r="AB716" s="18"/>
      <c r="AC716" s="18">
        <v>14</v>
      </c>
      <c r="AD716" s="28"/>
      <c r="AE716" s="26"/>
      <c r="AF716" s="28"/>
    </row>
    <row r="717" spans="1:32" ht="13.5" customHeight="1" x14ac:dyDescent="0.25">
      <c r="A717" s="14">
        <v>45757</v>
      </c>
      <c r="B717" s="14" t="s">
        <v>47</v>
      </c>
      <c r="C717" s="15">
        <v>3</v>
      </c>
      <c r="D717" s="16"/>
      <c r="E717" s="16"/>
      <c r="F717" s="17"/>
      <c r="G717" s="21"/>
      <c r="H717" s="21"/>
      <c r="I717" s="4">
        <v>0</v>
      </c>
      <c r="J717" s="4">
        <v>0</v>
      </c>
      <c r="K717" s="4"/>
      <c r="L717" s="16"/>
      <c r="M717" s="4"/>
      <c r="N717" s="4"/>
      <c r="O717" s="4"/>
      <c r="P717" s="4"/>
      <c r="Q717" s="4"/>
      <c r="R717" s="4"/>
      <c r="S717" s="4">
        <v>0</v>
      </c>
      <c r="T717" s="4">
        <v>0</v>
      </c>
      <c r="U717" s="4">
        <v>0</v>
      </c>
      <c r="V717" s="4">
        <v>12</v>
      </c>
      <c r="W717" s="4">
        <v>12</v>
      </c>
      <c r="X717" s="4">
        <v>0</v>
      </c>
      <c r="Y717" s="4"/>
      <c r="Z717" s="4">
        <v>328.1</v>
      </c>
      <c r="AA717" s="4">
        <v>350</v>
      </c>
      <c r="AB717" s="18"/>
      <c r="AC717" s="18">
        <v>14</v>
      </c>
      <c r="AD717" s="28"/>
      <c r="AE717" s="26"/>
      <c r="AF717" s="28"/>
    </row>
    <row r="718" spans="1:32" ht="13.5" customHeight="1" x14ac:dyDescent="0.25">
      <c r="A718" s="14">
        <v>45757</v>
      </c>
      <c r="B718" s="14" t="s">
        <v>47</v>
      </c>
      <c r="C718" s="15">
        <v>5</v>
      </c>
      <c r="D718" s="16"/>
      <c r="E718" s="16"/>
      <c r="F718" s="17"/>
      <c r="G718" s="21"/>
      <c r="H718" s="21"/>
      <c r="I718" s="4">
        <v>0</v>
      </c>
      <c r="J718" s="4">
        <v>0</v>
      </c>
      <c r="K718" s="4"/>
      <c r="L718" s="16"/>
      <c r="M718" s="4"/>
      <c r="N718" s="4"/>
      <c r="O718" s="4"/>
      <c r="P718" s="4"/>
      <c r="Q718" s="4"/>
      <c r="R718" s="4"/>
      <c r="S718" s="4">
        <v>0</v>
      </c>
      <c r="T718" s="4">
        <v>0</v>
      </c>
      <c r="U718" s="4">
        <v>0</v>
      </c>
      <c r="V718" s="4">
        <v>12</v>
      </c>
      <c r="W718" s="4">
        <v>12</v>
      </c>
      <c r="X718" s="4">
        <v>0</v>
      </c>
      <c r="Y718" s="4"/>
      <c r="Z718" s="4">
        <v>413</v>
      </c>
      <c r="AA718" s="4">
        <v>500</v>
      </c>
      <c r="AB718" s="18"/>
      <c r="AC718" s="18">
        <v>14</v>
      </c>
      <c r="AD718" s="28"/>
      <c r="AE718" s="26"/>
      <c r="AF718" s="28"/>
    </row>
    <row r="719" spans="1:32" ht="13.5" customHeight="1" x14ac:dyDescent="0.25">
      <c r="A719" s="14">
        <v>45757</v>
      </c>
      <c r="B719" s="14" t="s">
        <v>46</v>
      </c>
      <c r="C719" s="15">
        <v>6</v>
      </c>
      <c r="D719" s="16">
        <v>2</v>
      </c>
      <c r="E719" s="16"/>
      <c r="F719" s="17"/>
      <c r="G719" s="21"/>
      <c r="H719" s="21"/>
      <c r="I719" s="4">
        <v>2</v>
      </c>
      <c r="J719" s="4">
        <v>3.3333333333333333E-2</v>
      </c>
      <c r="K719" s="4"/>
      <c r="L719" s="16"/>
      <c r="M719" s="4"/>
      <c r="N719" s="4"/>
      <c r="O719" s="4"/>
      <c r="P719" s="4"/>
      <c r="Q719" s="4"/>
      <c r="R719" s="4"/>
      <c r="S719" s="4">
        <v>0</v>
      </c>
      <c r="T719" s="4">
        <v>0</v>
      </c>
      <c r="U719" s="4">
        <v>3.3333333333333333E-2</v>
      </c>
      <c r="V719" s="4">
        <v>11.966666666666667</v>
      </c>
      <c r="W719" s="4">
        <v>12</v>
      </c>
      <c r="X719" s="4">
        <v>54.6</v>
      </c>
      <c r="Y719" s="4"/>
      <c r="Z719" s="4">
        <v>617.6</v>
      </c>
      <c r="AA719" s="4">
        <v>700</v>
      </c>
      <c r="AB719" s="18"/>
      <c r="AC719" s="18">
        <v>14</v>
      </c>
      <c r="AD719" s="28"/>
      <c r="AE719" s="26"/>
      <c r="AF719" s="28"/>
    </row>
    <row r="720" spans="1:32" ht="13.5" customHeight="1" x14ac:dyDescent="0.25">
      <c r="A720" s="14">
        <v>45757</v>
      </c>
      <c r="B720" s="14" t="s">
        <v>47</v>
      </c>
      <c r="C720" s="15">
        <v>6</v>
      </c>
      <c r="D720" s="16"/>
      <c r="E720" s="16"/>
      <c r="F720" s="17"/>
      <c r="G720" s="21"/>
      <c r="H720" s="21"/>
      <c r="I720" s="4">
        <v>0</v>
      </c>
      <c r="J720" s="4">
        <v>0</v>
      </c>
      <c r="K720" s="4"/>
      <c r="L720" s="16"/>
      <c r="M720" s="4"/>
      <c r="N720" s="4"/>
      <c r="O720" s="4"/>
      <c r="P720" s="4"/>
      <c r="Q720" s="4"/>
      <c r="R720" s="4"/>
      <c r="S720" s="4">
        <v>0</v>
      </c>
      <c r="T720" s="4">
        <v>0</v>
      </c>
      <c r="U720" s="4">
        <v>0</v>
      </c>
      <c r="V720" s="4">
        <v>12</v>
      </c>
      <c r="W720" s="4">
        <v>12</v>
      </c>
      <c r="X720" s="4">
        <v>40.6</v>
      </c>
      <c r="Y720" s="4"/>
      <c r="Z720" s="4">
        <v>526.9</v>
      </c>
      <c r="AA720" s="4">
        <v>600</v>
      </c>
      <c r="AB720" s="18"/>
      <c r="AC720" s="18">
        <v>14</v>
      </c>
      <c r="AD720" s="28"/>
      <c r="AE720" s="26"/>
      <c r="AF720" s="28"/>
    </row>
    <row r="721" spans="1:32" ht="13.5" customHeight="1" x14ac:dyDescent="0.25">
      <c r="A721" s="14">
        <v>45757</v>
      </c>
      <c r="B721" s="14" t="s">
        <v>46</v>
      </c>
      <c r="C721" s="15">
        <v>7</v>
      </c>
      <c r="D721" s="16">
        <v>3</v>
      </c>
      <c r="E721" s="16"/>
      <c r="F721" s="17"/>
      <c r="G721" s="21"/>
      <c r="H721" s="21"/>
      <c r="I721" s="4">
        <v>3</v>
      </c>
      <c r="J721" s="4">
        <v>0.05</v>
      </c>
      <c r="K721" s="4"/>
      <c r="L721" s="16"/>
      <c r="M721" s="4"/>
      <c r="N721" s="4"/>
      <c r="O721" s="4"/>
      <c r="P721" s="4"/>
      <c r="Q721" s="4"/>
      <c r="R721" s="4"/>
      <c r="S721" s="4">
        <v>0</v>
      </c>
      <c r="T721" s="4">
        <v>0</v>
      </c>
      <c r="U721" s="4">
        <v>0.05</v>
      </c>
      <c r="V721" s="4">
        <v>11.95</v>
      </c>
      <c r="W721" s="4">
        <v>12</v>
      </c>
      <c r="X721" s="4">
        <v>0</v>
      </c>
      <c r="Y721" s="4"/>
      <c r="Z721" s="4">
        <v>399.70000000000005</v>
      </c>
      <c r="AA721" s="4">
        <v>450</v>
      </c>
      <c r="AB721" s="18"/>
      <c r="AC721" s="18">
        <v>14</v>
      </c>
      <c r="AD721" s="28"/>
      <c r="AE721" s="26"/>
      <c r="AF721" s="28"/>
    </row>
    <row r="722" spans="1:32" ht="13.5" customHeight="1" x14ac:dyDescent="0.25">
      <c r="A722" s="14">
        <v>45757</v>
      </c>
      <c r="B722" s="14" t="s">
        <v>47</v>
      </c>
      <c r="C722" s="15">
        <v>7</v>
      </c>
      <c r="D722" s="16"/>
      <c r="E722" s="16"/>
      <c r="F722" s="17"/>
      <c r="G722" s="21"/>
      <c r="H722" s="21"/>
      <c r="I722" s="4">
        <v>0</v>
      </c>
      <c r="J722" s="4">
        <v>0</v>
      </c>
      <c r="K722" s="4"/>
      <c r="L722" s="16"/>
      <c r="M722" s="4"/>
      <c r="N722" s="4"/>
      <c r="O722" s="4"/>
      <c r="P722" s="4"/>
      <c r="Q722" s="4"/>
      <c r="R722" s="4"/>
      <c r="S722" s="4">
        <v>0</v>
      </c>
      <c r="T722" s="4">
        <v>0</v>
      </c>
      <c r="U722" s="4">
        <v>0</v>
      </c>
      <c r="V722" s="4">
        <v>12</v>
      </c>
      <c r="W722" s="4">
        <v>12</v>
      </c>
      <c r="X722" s="4">
        <v>0</v>
      </c>
      <c r="Y722" s="4"/>
      <c r="Z722" s="4">
        <v>319.5</v>
      </c>
      <c r="AA722" s="4">
        <v>400</v>
      </c>
      <c r="AB722" s="18"/>
      <c r="AC722" s="18">
        <v>14</v>
      </c>
      <c r="AD722" s="28"/>
      <c r="AE722" s="26"/>
      <c r="AF722" s="28"/>
    </row>
    <row r="723" spans="1:32" ht="13.5" customHeight="1" x14ac:dyDescent="0.25">
      <c r="A723" s="14">
        <v>45758</v>
      </c>
      <c r="B723" s="14" t="s">
        <v>46</v>
      </c>
      <c r="C723" s="15">
        <v>1</v>
      </c>
      <c r="D723" s="16">
        <v>3</v>
      </c>
      <c r="E723" s="16"/>
      <c r="F723" s="17"/>
      <c r="G723" s="21"/>
      <c r="H723" s="21"/>
      <c r="I723" s="4">
        <v>3</v>
      </c>
      <c r="J723" s="4">
        <v>0.05</v>
      </c>
      <c r="K723" s="4"/>
      <c r="L723" s="16"/>
      <c r="M723" s="4"/>
      <c r="N723" s="4"/>
      <c r="O723" s="4"/>
      <c r="P723" s="4"/>
      <c r="Q723" s="4"/>
      <c r="R723" s="4"/>
      <c r="S723" s="4">
        <v>0</v>
      </c>
      <c r="T723" s="4">
        <v>0</v>
      </c>
      <c r="U723" s="4">
        <v>0.05</v>
      </c>
      <c r="V723" s="4">
        <v>11.95</v>
      </c>
      <c r="W723" s="4">
        <v>12</v>
      </c>
      <c r="X723" s="4">
        <v>0</v>
      </c>
      <c r="Y723" s="4">
        <v>2449</v>
      </c>
      <c r="Z723" s="4">
        <v>155.30000000000001</v>
      </c>
      <c r="AA723" s="4">
        <v>150</v>
      </c>
      <c r="AB723" s="18">
        <v>372</v>
      </c>
      <c r="AC723" s="18">
        <v>14</v>
      </c>
      <c r="AD723" s="28"/>
      <c r="AE723" s="26"/>
      <c r="AF723" s="28"/>
    </row>
    <row r="724" spans="1:32" ht="13.5" customHeight="1" x14ac:dyDescent="0.25">
      <c r="A724" s="14">
        <v>45758</v>
      </c>
      <c r="B724" s="14" t="s">
        <v>47</v>
      </c>
      <c r="C724" s="15">
        <v>1</v>
      </c>
      <c r="D724" s="16">
        <v>10</v>
      </c>
      <c r="E724" s="16"/>
      <c r="F724" s="17"/>
      <c r="G724" s="21"/>
      <c r="H724" s="21"/>
      <c r="I724" s="4">
        <v>10</v>
      </c>
      <c r="J724" s="4">
        <v>0.16666666666666666</v>
      </c>
      <c r="K724" s="4"/>
      <c r="L724" s="16"/>
      <c r="M724" s="4"/>
      <c r="N724" s="4">
        <v>5</v>
      </c>
      <c r="O724" s="4"/>
      <c r="P724" s="4">
        <v>60</v>
      </c>
      <c r="Q724" s="4"/>
      <c r="R724" s="4"/>
      <c r="S724" s="4">
        <v>65</v>
      </c>
      <c r="T724" s="4">
        <v>1.0833333333333333</v>
      </c>
      <c r="U724" s="4">
        <v>1.25</v>
      </c>
      <c r="V724" s="4">
        <v>10.75</v>
      </c>
      <c r="W724" s="4">
        <v>12</v>
      </c>
      <c r="X724" s="4">
        <v>0</v>
      </c>
      <c r="Y724" s="4"/>
      <c r="Z724" s="4">
        <v>189.4</v>
      </c>
      <c r="AA724" s="4">
        <v>150</v>
      </c>
      <c r="AB724" s="18"/>
      <c r="AC724" s="18">
        <v>14</v>
      </c>
      <c r="AD724" s="28"/>
      <c r="AE724" s="26"/>
      <c r="AF724" s="28"/>
    </row>
    <row r="725" spans="1:32" ht="13.5" customHeight="1" x14ac:dyDescent="0.25">
      <c r="A725" s="14">
        <v>45758</v>
      </c>
      <c r="B725" s="14" t="s">
        <v>46</v>
      </c>
      <c r="C725" s="15">
        <v>3</v>
      </c>
      <c r="D725" s="16">
        <v>3</v>
      </c>
      <c r="E725" s="16"/>
      <c r="F725" s="17"/>
      <c r="G725" s="21"/>
      <c r="H725" s="21"/>
      <c r="I725" s="4">
        <v>3</v>
      </c>
      <c r="J725" s="4">
        <v>0.05</v>
      </c>
      <c r="K725" s="4"/>
      <c r="L725" s="16"/>
      <c r="M725" s="4"/>
      <c r="N725" s="4"/>
      <c r="O725" s="4"/>
      <c r="P725" s="4"/>
      <c r="Q725" s="4"/>
      <c r="R725" s="4"/>
      <c r="S725" s="4">
        <v>0</v>
      </c>
      <c r="T725" s="4">
        <v>0</v>
      </c>
      <c r="U725" s="4">
        <v>0.05</v>
      </c>
      <c r="V725" s="4">
        <v>11.95</v>
      </c>
      <c r="W725" s="4">
        <v>12</v>
      </c>
      <c r="X725" s="4">
        <v>0</v>
      </c>
      <c r="Y725" s="4"/>
      <c r="Z725" s="4">
        <v>336.20000000000005</v>
      </c>
      <c r="AA725" s="4">
        <v>350</v>
      </c>
      <c r="AB725" s="18"/>
      <c r="AC725" s="18">
        <v>14</v>
      </c>
      <c r="AD725" s="28"/>
      <c r="AE725" s="26"/>
      <c r="AF725" s="28"/>
    </row>
    <row r="726" spans="1:32" ht="13.5" customHeight="1" x14ac:dyDescent="0.25">
      <c r="A726" s="14">
        <v>45758</v>
      </c>
      <c r="B726" s="14" t="s">
        <v>47</v>
      </c>
      <c r="C726" s="15">
        <v>3</v>
      </c>
      <c r="D726" s="16">
        <v>5</v>
      </c>
      <c r="E726" s="16"/>
      <c r="F726" s="17"/>
      <c r="G726" s="21"/>
      <c r="H726" s="21"/>
      <c r="I726" s="4">
        <v>5</v>
      </c>
      <c r="J726" s="4">
        <v>8.3333333333333329E-2</v>
      </c>
      <c r="K726" s="4"/>
      <c r="L726" s="16"/>
      <c r="M726" s="4"/>
      <c r="N726" s="4"/>
      <c r="O726" s="4"/>
      <c r="P726" s="4"/>
      <c r="Q726" s="4"/>
      <c r="R726" s="4"/>
      <c r="S726" s="4">
        <v>0</v>
      </c>
      <c r="T726" s="4">
        <v>0</v>
      </c>
      <c r="U726" s="4">
        <v>8.3333333333333329E-2</v>
      </c>
      <c r="V726" s="4">
        <v>11.916666666666666</v>
      </c>
      <c r="W726" s="4">
        <v>12</v>
      </c>
      <c r="X726" s="4">
        <v>0</v>
      </c>
      <c r="Y726" s="4"/>
      <c r="Z726" s="4">
        <v>438</v>
      </c>
      <c r="AA726" s="4">
        <v>450</v>
      </c>
      <c r="AB726" s="18"/>
      <c r="AC726" s="18">
        <v>14</v>
      </c>
      <c r="AD726" s="28"/>
      <c r="AE726" s="26"/>
      <c r="AF726" s="28"/>
    </row>
    <row r="727" spans="1:32" ht="13.5" customHeight="1" x14ac:dyDescent="0.25">
      <c r="A727" s="14">
        <v>45758</v>
      </c>
      <c r="B727" s="14" t="s">
        <v>46</v>
      </c>
      <c r="C727" s="15">
        <v>5</v>
      </c>
      <c r="D727" s="16">
        <v>5</v>
      </c>
      <c r="E727" s="16"/>
      <c r="F727" s="17"/>
      <c r="G727" s="21"/>
      <c r="H727" s="21"/>
      <c r="I727" s="4">
        <v>5</v>
      </c>
      <c r="J727" s="4">
        <v>8.3333333333333329E-2</v>
      </c>
      <c r="K727" s="4"/>
      <c r="L727" s="16"/>
      <c r="M727" s="4"/>
      <c r="N727" s="4"/>
      <c r="O727" s="4"/>
      <c r="P727" s="4"/>
      <c r="Q727" s="4"/>
      <c r="R727" s="4"/>
      <c r="S727" s="4">
        <v>0</v>
      </c>
      <c r="T727" s="4">
        <v>0</v>
      </c>
      <c r="U727" s="4">
        <v>8.3333333333333329E-2</v>
      </c>
      <c r="V727" s="4">
        <v>11.916666666666666</v>
      </c>
      <c r="W727" s="4">
        <v>12</v>
      </c>
      <c r="X727" s="4">
        <v>0</v>
      </c>
      <c r="Y727" s="4"/>
      <c r="Z727" s="4">
        <v>723.5</v>
      </c>
      <c r="AA727" s="4">
        <v>800</v>
      </c>
      <c r="AB727" s="18"/>
      <c r="AC727" s="18">
        <v>14</v>
      </c>
      <c r="AD727" s="28"/>
      <c r="AE727" s="26"/>
      <c r="AF727" s="28"/>
    </row>
    <row r="728" spans="1:32" ht="13.5" customHeight="1" x14ac:dyDescent="0.25">
      <c r="A728" s="14">
        <v>45758</v>
      </c>
      <c r="B728" s="14" t="s">
        <v>47</v>
      </c>
      <c r="C728" s="15">
        <v>5</v>
      </c>
      <c r="D728" s="16"/>
      <c r="E728" s="16"/>
      <c r="F728" s="17"/>
      <c r="G728" s="21"/>
      <c r="H728" s="21"/>
      <c r="I728" s="4">
        <v>0</v>
      </c>
      <c r="J728" s="4">
        <v>0</v>
      </c>
      <c r="K728" s="4"/>
      <c r="L728" s="16"/>
      <c r="M728" s="4"/>
      <c r="N728" s="4"/>
      <c r="O728" s="4"/>
      <c r="P728" s="4"/>
      <c r="Q728" s="4"/>
      <c r="R728" s="4"/>
      <c r="S728" s="4">
        <v>0</v>
      </c>
      <c r="T728" s="4">
        <v>0</v>
      </c>
      <c r="U728" s="4">
        <v>0</v>
      </c>
      <c r="V728" s="4">
        <v>12</v>
      </c>
      <c r="W728" s="4">
        <v>12</v>
      </c>
      <c r="X728" s="4">
        <v>0</v>
      </c>
      <c r="Y728" s="4"/>
      <c r="Z728" s="4">
        <v>868.89999999999986</v>
      </c>
      <c r="AA728" s="4">
        <v>950</v>
      </c>
      <c r="AB728" s="18"/>
      <c r="AC728" s="18">
        <v>14</v>
      </c>
      <c r="AD728" s="28"/>
      <c r="AE728" s="26"/>
      <c r="AF728" s="28"/>
    </row>
    <row r="729" spans="1:32" ht="13.5" customHeight="1" x14ac:dyDescent="0.25">
      <c r="A729" s="14">
        <v>45758</v>
      </c>
      <c r="B729" s="14" t="s">
        <v>46</v>
      </c>
      <c r="C729" s="15">
        <v>6</v>
      </c>
      <c r="D729" s="16"/>
      <c r="E729" s="16"/>
      <c r="F729" s="17"/>
      <c r="G729" s="21"/>
      <c r="H729" s="21"/>
      <c r="I729" s="4">
        <v>0</v>
      </c>
      <c r="J729" s="4">
        <v>0</v>
      </c>
      <c r="K729" s="4"/>
      <c r="L729" s="16"/>
      <c r="M729" s="4"/>
      <c r="N729" s="4"/>
      <c r="O729" s="4"/>
      <c r="P729" s="4"/>
      <c r="Q729" s="4"/>
      <c r="R729" s="4"/>
      <c r="S729" s="4">
        <v>0</v>
      </c>
      <c r="T729" s="4">
        <v>0</v>
      </c>
      <c r="U729" s="4">
        <v>0</v>
      </c>
      <c r="V729" s="4">
        <v>12</v>
      </c>
      <c r="W729" s="4">
        <v>12</v>
      </c>
      <c r="X729" s="4">
        <v>47.6</v>
      </c>
      <c r="Y729" s="4"/>
      <c r="Z729" s="4">
        <v>524.4</v>
      </c>
      <c r="AA729" s="4">
        <v>550</v>
      </c>
      <c r="AB729" s="18"/>
      <c r="AC729" s="18">
        <v>14</v>
      </c>
      <c r="AD729" s="28"/>
      <c r="AE729" s="26"/>
      <c r="AF729" s="28"/>
    </row>
    <row r="730" spans="1:32" ht="13.5" customHeight="1" x14ac:dyDescent="0.25">
      <c r="A730" s="14">
        <v>45758</v>
      </c>
      <c r="B730" s="14" t="s">
        <v>47</v>
      </c>
      <c r="C730" s="15">
        <v>6</v>
      </c>
      <c r="D730" s="16"/>
      <c r="E730" s="16"/>
      <c r="F730" s="17"/>
      <c r="G730" s="21"/>
      <c r="H730" s="21"/>
      <c r="I730" s="4">
        <v>0</v>
      </c>
      <c r="J730" s="4">
        <v>0</v>
      </c>
      <c r="K730" s="4"/>
      <c r="L730" s="16"/>
      <c r="M730" s="4"/>
      <c r="N730" s="4"/>
      <c r="O730" s="4"/>
      <c r="P730" s="4"/>
      <c r="Q730" s="4"/>
      <c r="R730" s="4"/>
      <c r="S730" s="4">
        <v>0</v>
      </c>
      <c r="T730" s="4">
        <v>0</v>
      </c>
      <c r="U730" s="4">
        <v>0</v>
      </c>
      <c r="V730" s="4">
        <v>12</v>
      </c>
      <c r="W730" s="4">
        <v>12</v>
      </c>
      <c r="X730" s="4">
        <v>45.6</v>
      </c>
      <c r="Y730" s="4"/>
      <c r="Z730" s="4">
        <v>630</v>
      </c>
      <c r="AA730" s="4">
        <v>700</v>
      </c>
      <c r="AB730" s="18"/>
      <c r="AC730" s="18">
        <v>14</v>
      </c>
      <c r="AD730" s="28"/>
      <c r="AE730" s="26"/>
      <c r="AF730" s="28"/>
    </row>
    <row r="731" spans="1:32" ht="13.5" customHeight="1" x14ac:dyDescent="0.25">
      <c r="A731" s="14">
        <v>45758</v>
      </c>
      <c r="B731" s="14" t="s">
        <v>46</v>
      </c>
      <c r="C731" s="15">
        <v>7</v>
      </c>
      <c r="D731" s="16"/>
      <c r="E731" s="16"/>
      <c r="F731" s="17"/>
      <c r="G731" s="21"/>
      <c r="H731" s="21"/>
      <c r="I731" s="4">
        <v>0</v>
      </c>
      <c r="J731" s="4">
        <v>0</v>
      </c>
      <c r="K731" s="4"/>
      <c r="L731" s="16"/>
      <c r="M731" s="4"/>
      <c r="N731" s="4"/>
      <c r="O731" s="4"/>
      <c r="P731" s="4"/>
      <c r="Q731" s="4"/>
      <c r="R731" s="4"/>
      <c r="S731" s="4">
        <v>0</v>
      </c>
      <c r="T731" s="4">
        <v>0</v>
      </c>
      <c r="U731" s="4">
        <v>0</v>
      </c>
      <c r="V731" s="4">
        <v>12</v>
      </c>
      <c r="W731" s="4">
        <v>12</v>
      </c>
      <c r="X731" s="4">
        <v>0</v>
      </c>
      <c r="Y731" s="4"/>
      <c r="Z731" s="4">
        <v>574.20000000000005</v>
      </c>
      <c r="AA731" s="4">
        <v>600</v>
      </c>
      <c r="AB731" s="18"/>
      <c r="AC731" s="18">
        <v>14</v>
      </c>
      <c r="AD731" s="28"/>
      <c r="AE731" s="26"/>
      <c r="AF731" s="28"/>
    </row>
    <row r="732" spans="1:32" ht="13.5" customHeight="1" x14ac:dyDescent="0.25">
      <c r="A732" s="14">
        <v>45758</v>
      </c>
      <c r="B732" s="14" t="s">
        <v>47</v>
      </c>
      <c r="C732" s="15">
        <v>7</v>
      </c>
      <c r="D732" s="16"/>
      <c r="E732" s="16"/>
      <c r="F732" s="17"/>
      <c r="G732" s="21"/>
      <c r="H732" s="21"/>
      <c r="I732" s="4">
        <v>0</v>
      </c>
      <c r="J732" s="4">
        <v>0</v>
      </c>
      <c r="K732" s="4"/>
      <c r="L732" s="16"/>
      <c r="M732" s="4"/>
      <c r="N732" s="4"/>
      <c r="O732" s="4"/>
      <c r="P732" s="4"/>
      <c r="Q732" s="4"/>
      <c r="R732" s="4"/>
      <c r="S732" s="4">
        <v>0</v>
      </c>
      <c r="T732" s="4">
        <v>0</v>
      </c>
      <c r="U732" s="4">
        <v>0</v>
      </c>
      <c r="V732" s="4">
        <v>12</v>
      </c>
      <c r="W732" s="4">
        <v>12</v>
      </c>
      <c r="X732" s="4">
        <v>0</v>
      </c>
      <c r="Y732" s="4"/>
      <c r="Z732" s="4">
        <v>485.40000000000003</v>
      </c>
      <c r="AA732" s="4">
        <v>500</v>
      </c>
      <c r="AB732" s="18"/>
      <c r="AC732" s="18">
        <v>14</v>
      </c>
      <c r="AD732" s="28"/>
      <c r="AE732" s="26"/>
      <c r="AF732" s="28"/>
    </row>
    <row r="733" spans="1:32" ht="13.5" customHeight="1" x14ac:dyDescent="0.25">
      <c r="A733" s="14">
        <v>45759</v>
      </c>
      <c r="B733" s="14" t="s">
        <v>46</v>
      </c>
      <c r="C733" s="15">
        <v>1</v>
      </c>
      <c r="D733" s="16"/>
      <c r="E733" s="16"/>
      <c r="F733" s="17"/>
      <c r="G733" s="21"/>
      <c r="H733" s="21"/>
      <c r="I733" s="4">
        <v>0</v>
      </c>
      <c r="J733" s="4">
        <v>0</v>
      </c>
      <c r="K733" s="4"/>
      <c r="L733" s="16"/>
      <c r="M733" s="4"/>
      <c r="N733" s="4"/>
      <c r="O733" s="4"/>
      <c r="P733" s="4"/>
      <c r="Q733" s="4"/>
      <c r="R733" s="4"/>
      <c r="S733" s="4">
        <v>0</v>
      </c>
      <c r="T733" s="4">
        <v>0</v>
      </c>
      <c r="U733" s="4">
        <v>0</v>
      </c>
      <c r="V733" s="4">
        <v>12</v>
      </c>
      <c r="W733" s="4">
        <v>12</v>
      </c>
      <c r="X733" s="4">
        <v>0</v>
      </c>
      <c r="Y733" s="4">
        <v>2408</v>
      </c>
      <c r="Z733" s="4">
        <v>188.5</v>
      </c>
      <c r="AA733" s="4">
        <v>200</v>
      </c>
      <c r="AB733" s="18">
        <v>372</v>
      </c>
      <c r="AC733" s="18">
        <v>14</v>
      </c>
      <c r="AD733" s="28"/>
      <c r="AE733" s="26"/>
      <c r="AF733" s="28"/>
    </row>
    <row r="734" spans="1:32" ht="13.5" customHeight="1" x14ac:dyDescent="0.25">
      <c r="A734" s="14">
        <v>45759</v>
      </c>
      <c r="B734" s="14" t="s">
        <v>47</v>
      </c>
      <c r="C734" s="15">
        <v>1</v>
      </c>
      <c r="D734" s="16"/>
      <c r="E734" s="16"/>
      <c r="F734" s="17"/>
      <c r="G734" s="21"/>
      <c r="H734" s="21"/>
      <c r="I734" s="4">
        <v>0</v>
      </c>
      <c r="J734" s="4">
        <v>0</v>
      </c>
      <c r="K734" s="4"/>
      <c r="L734" s="16"/>
      <c r="M734" s="4"/>
      <c r="N734" s="4"/>
      <c r="O734" s="4"/>
      <c r="P734" s="4"/>
      <c r="Q734" s="4"/>
      <c r="R734" s="4"/>
      <c r="S734" s="4">
        <v>0</v>
      </c>
      <c r="T734" s="4">
        <v>0</v>
      </c>
      <c r="U734" s="4">
        <v>0</v>
      </c>
      <c r="V734" s="4">
        <v>12</v>
      </c>
      <c r="W734" s="4">
        <v>12</v>
      </c>
      <c r="X734" s="4">
        <v>0</v>
      </c>
      <c r="Y734" s="4"/>
      <c r="Z734" s="4">
        <v>158</v>
      </c>
      <c r="AA734" s="4">
        <v>150</v>
      </c>
      <c r="AB734" s="18"/>
      <c r="AC734" s="18">
        <v>14</v>
      </c>
      <c r="AD734" s="28"/>
      <c r="AE734" s="26"/>
      <c r="AF734" s="28"/>
    </row>
    <row r="735" spans="1:32" ht="13.5" customHeight="1" x14ac:dyDescent="0.25">
      <c r="A735" s="14">
        <v>45759</v>
      </c>
      <c r="B735" s="14" t="s">
        <v>46</v>
      </c>
      <c r="C735" s="15">
        <v>3</v>
      </c>
      <c r="D735" s="16">
        <v>9</v>
      </c>
      <c r="E735" s="16"/>
      <c r="F735" s="17"/>
      <c r="G735" s="21"/>
      <c r="H735" s="21"/>
      <c r="I735" s="4">
        <v>9</v>
      </c>
      <c r="J735" s="4">
        <v>0.15</v>
      </c>
      <c r="K735" s="4"/>
      <c r="L735" s="16"/>
      <c r="M735" s="4"/>
      <c r="N735" s="4"/>
      <c r="O735" s="4"/>
      <c r="P735" s="4"/>
      <c r="Q735" s="4"/>
      <c r="R735" s="4"/>
      <c r="S735" s="4">
        <v>0</v>
      </c>
      <c r="T735" s="4">
        <v>0</v>
      </c>
      <c r="U735" s="4">
        <v>0.15</v>
      </c>
      <c r="V735" s="4">
        <v>11.85</v>
      </c>
      <c r="W735" s="4">
        <v>12</v>
      </c>
      <c r="X735" s="4">
        <v>0</v>
      </c>
      <c r="Y735" s="4"/>
      <c r="Z735" s="4">
        <v>391.5</v>
      </c>
      <c r="AA735" s="4">
        <v>400</v>
      </c>
      <c r="AB735" s="18"/>
      <c r="AC735" s="18">
        <v>14</v>
      </c>
      <c r="AD735" s="28"/>
      <c r="AE735" s="26"/>
      <c r="AF735" s="28"/>
    </row>
    <row r="736" spans="1:32" ht="13.5" customHeight="1" x14ac:dyDescent="0.25">
      <c r="A736" s="14">
        <v>45759</v>
      </c>
      <c r="B736" s="14" t="s">
        <v>47</v>
      </c>
      <c r="C736" s="15">
        <v>3</v>
      </c>
      <c r="D736" s="16">
        <v>5</v>
      </c>
      <c r="E736" s="16"/>
      <c r="F736" s="17"/>
      <c r="G736" s="21"/>
      <c r="H736" s="21"/>
      <c r="I736" s="4">
        <v>5</v>
      </c>
      <c r="J736" s="4">
        <v>8.3333333333333329E-2</v>
      </c>
      <c r="K736" s="4"/>
      <c r="L736" s="16"/>
      <c r="M736" s="4"/>
      <c r="N736" s="4"/>
      <c r="O736" s="4"/>
      <c r="P736" s="4"/>
      <c r="Q736" s="4"/>
      <c r="R736" s="4"/>
      <c r="S736" s="4">
        <v>0</v>
      </c>
      <c r="T736" s="4">
        <v>0</v>
      </c>
      <c r="U736" s="4">
        <v>8.3333333333333329E-2</v>
      </c>
      <c r="V736" s="4">
        <v>11.916666666666666</v>
      </c>
      <c r="W736" s="4">
        <v>12</v>
      </c>
      <c r="X736" s="4">
        <v>0</v>
      </c>
      <c r="Y736" s="4"/>
      <c r="Z736" s="4">
        <v>323.09999999999997</v>
      </c>
      <c r="AA736" s="4">
        <v>350</v>
      </c>
      <c r="AB736" s="18"/>
      <c r="AC736" s="18">
        <v>14</v>
      </c>
      <c r="AD736" s="28"/>
      <c r="AE736" s="26"/>
      <c r="AF736" s="28"/>
    </row>
    <row r="737" spans="1:32" ht="13.5" customHeight="1" x14ac:dyDescent="0.25">
      <c r="A737" s="14">
        <v>45759</v>
      </c>
      <c r="B737" s="14" t="s">
        <v>46</v>
      </c>
      <c r="C737" s="15">
        <v>5</v>
      </c>
      <c r="D737" s="16">
        <v>15</v>
      </c>
      <c r="E737" s="16"/>
      <c r="F737" s="17"/>
      <c r="G737" s="21"/>
      <c r="H737" s="21"/>
      <c r="I737" s="4">
        <v>15</v>
      </c>
      <c r="J737" s="4">
        <v>0.25</v>
      </c>
      <c r="K737" s="4"/>
      <c r="L737" s="16"/>
      <c r="M737" s="4"/>
      <c r="N737" s="4"/>
      <c r="O737" s="4"/>
      <c r="P737" s="4"/>
      <c r="Q737" s="4"/>
      <c r="R737" s="4"/>
      <c r="S737" s="4">
        <v>0</v>
      </c>
      <c r="T737" s="4">
        <v>0</v>
      </c>
      <c r="U737" s="4">
        <v>0.25</v>
      </c>
      <c r="V737" s="4">
        <v>11.75</v>
      </c>
      <c r="W737" s="4">
        <v>12</v>
      </c>
      <c r="X737" s="4">
        <v>0</v>
      </c>
      <c r="Y737" s="4"/>
      <c r="Z737" s="4">
        <v>850.2</v>
      </c>
      <c r="AA737" s="4">
        <v>850</v>
      </c>
      <c r="AB737" s="18"/>
      <c r="AC737" s="18">
        <v>14</v>
      </c>
      <c r="AD737" s="28"/>
      <c r="AE737" s="26"/>
      <c r="AF737" s="28"/>
    </row>
    <row r="738" spans="1:32" ht="13.5" customHeight="1" x14ac:dyDescent="0.25">
      <c r="A738" s="14">
        <v>45759</v>
      </c>
      <c r="B738" s="14" t="s">
        <v>47</v>
      </c>
      <c r="C738" s="15">
        <v>5</v>
      </c>
      <c r="D738" s="16">
        <v>5</v>
      </c>
      <c r="E738" s="16"/>
      <c r="F738" s="17"/>
      <c r="G738" s="21"/>
      <c r="H738" s="21"/>
      <c r="I738" s="4">
        <v>5</v>
      </c>
      <c r="J738" s="4">
        <v>8.3333333333333329E-2</v>
      </c>
      <c r="K738" s="4"/>
      <c r="L738" s="16"/>
      <c r="M738" s="4"/>
      <c r="N738" s="4"/>
      <c r="O738" s="4"/>
      <c r="P738" s="4"/>
      <c r="Q738" s="4"/>
      <c r="R738" s="4"/>
      <c r="S738" s="4">
        <v>0</v>
      </c>
      <c r="T738" s="4">
        <v>0</v>
      </c>
      <c r="U738" s="4">
        <v>8.3333333333333329E-2</v>
      </c>
      <c r="V738" s="4">
        <v>11.916666666666666</v>
      </c>
      <c r="W738" s="4">
        <v>12</v>
      </c>
      <c r="X738" s="4">
        <v>0</v>
      </c>
      <c r="Y738" s="4"/>
      <c r="Z738" s="4">
        <v>315.20000000000005</v>
      </c>
      <c r="AA738" s="4">
        <v>300</v>
      </c>
      <c r="AB738" s="18"/>
      <c r="AC738" s="18">
        <v>14</v>
      </c>
      <c r="AD738" s="28"/>
      <c r="AE738" s="26"/>
      <c r="AF738" s="28"/>
    </row>
    <row r="739" spans="1:32" ht="13.5" customHeight="1" x14ac:dyDescent="0.25">
      <c r="A739" s="14">
        <v>45759</v>
      </c>
      <c r="B739" s="14" t="s">
        <v>46</v>
      </c>
      <c r="C739" s="15">
        <v>6</v>
      </c>
      <c r="D739" s="16"/>
      <c r="E739" s="16"/>
      <c r="F739" s="17"/>
      <c r="G739" s="21"/>
      <c r="H739" s="21"/>
      <c r="I739" s="4">
        <v>0</v>
      </c>
      <c r="J739" s="4">
        <v>0</v>
      </c>
      <c r="K739" s="4"/>
      <c r="L739" s="16"/>
      <c r="M739" s="4"/>
      <c r="N739" s="4"/>
      <c r="O739" s="4"/>
      <c r="P739" s="4">
        <v>120</v>
      </c>
      <c r="Q739" s="4"/>
      <c r="R739" s="4"/>
      <c r="S739" s="4">
        <v>120</v>
      </c>
      <c r="T739" s="4">
        <v>2</v>
      </c>
      <c r="U739" s="4">
        <v>2</v>
      </c>
      <c r="V739" s="4">
        <v>10</v>
      </c>
      <c r="W739" s="4">
        <v>12</v>
      </c>
      <c r="X739" s="4">
        <v>89</v>
      </c>
      <c r="Y739" s="4"/>
      <c r="Z739" s="4">
        <v>644.20000000000005</v>
      </c>
      <c r="AA739" s="4">
        <v>650</v>
      </c>
      <c r="AB739" s="18"/>
      <c r="AC739" s="18">
        <v>14</v>
      </c>
      <c r="AD739" s="28"/>
      <c r="AE739" s="26"/>
      <c r="AF739" s="28"/>
    </row>
    <row r="740" spans="1:32" ht="13.5" customHeight="1" x14ac:dyDescent="0.25">
      <c r="A740" s="14">
        <v>45759</v>
      </c>
      <c r="B740" s="14" t="s">
        <v>47</v>
      </c>
      <c r="C740" s="15">
        <v>6</v>
      </c>
      <c r="D740" s="16">
        <v>13</v>
      </c>
      <c r="E740" s="16"/>
      <c r="F740" s="17"/>
      <c r="G740" s="21"/>
      <c r="H740" s="21"/>
      <c r="I740" s="4">
        <v>13</v>
      </c>
      <c r="J740" s="4">
        <v>0.21666666666666667</v>
      </c>
      <c r="K740" s="4"/>
      <c r="L740" s="16"/>
      <c r="M740" s="4"/>
      <c r="N740" s="4"/>
      <c r="O740" s="4"/>
      <c r="P740" s="4">
        <v>15</v>
      </c>
      <c r="Q740" s="4"/>
      <c r="R740" s="4"/>
      <c r="S740" s="4">
        <v>15</v>
      </c>
      <c r="T740" s="4">
        <v>0.25</v>
      </c>
      <c r="U740" s="4">
        <v>0.46666666666666667</v>
      </c>
      <c r="V740" s="4">
        <v>11.533333333333333</v>
      </c>
      <c r="W740" s="4">
        <v>12</v>
      </c>
      <c r="X740" s="4">
        <v>140</v>
      </c>
      <c r="Y740" s="4"/>
      <c r="Z740" s="4">
        <v>301.09999999999997</v>
      </c>
      <c r="AA740" s="4">
        <v>300</v>
      </c>
      <c r="AB740" s="18"/>
      <c r="AC740" s="18">
        <v>14</v>
      </c>
      <c r="AD740" s="28"/>
      <c r="AE740" s="26"/>
      <c r="AF740" s="28"/>
    </row>
    <row r="741" spans="1:32" ht="13.5" customHeight="1" x14ac:dyDescent="0.25">
      <c r="A741" s="14">
        <v>45759</v>
      </c>
      <c r="B741" s="14" t="s">
        <v>46</v>
      </c>
      <c r="C741" s="15">
        <v>7</v>
      </c>
      <c r="D741" s="16"/>
      <c r="E741" s="16"/>
      <c r="F741" s="17"/>
      <c r="G741" s="21"/>
      <c r="H741" s="21"/>
      <c r="I741" s="4">
        <v>0</v>
      </c>
      <c r="J741" s="4">
        <v>0</v>
      </c>
      <c r="K741" s="4"/>
      <c r="L741" s="16"/>
      <c r="M741" s="4"/>
      <c r="N741" s="4"/>
      <c r="O741" s="4"/>
      <c r="P741" s="4"/>
      <c r="Q741" s="4"/>
      <c r="R741" s="4"/>
      <c r="S741" s="4">
        <v>0</v>
      </c>
      <c r="T741" s="4">
        <v>0</v>
      </c>
      <c r="U741" s="4">
        <v>0</v>
      </c>
      <c r="V741" s="4">
        <v>12</v>
      </c>
      <c r="W741" s="4">
        <v>12</v>
      </c>
      <c r="X741" s="4">
        <v>0</v>
      </c>
      <c r="Y741" s="4"/>
      <c r="Z741" s="4">
        <v>606</v>
      </c>
      <c r="AA741" s="4">
        <v>600</v>
      </c>
      <c r="AB741" s="18"/>
      <c r="AC741" s="18">
        <v>14</v>
      </c>
      <c r="AD741" s="28"/>
      <c r="AE741" s="26"/>
      <c r="AF741" s="28"/>
    </row>
    <row r="742" spans="1:32" ht="13.5" customHeight="1" x14ac:dyDescent="0.25">
      <c r="A742" s="14">
        <v>45759</v>
      </c>
      <c r="B742" s="14" t="s">
        <v>47</v>
      </c>
      <c r="C742" s="15">
        <v>7</v>
      </c>
      <c r="D742" s="16"/>
      <c r="E742" s="16"/>
      <c r="F742" s="17"/>
      <c r="G742" s="21"/>
      <c r="H742" s="21"/>
      <c r="I742" s="4">
        <v>0</v>
      </c>
      <c r="J742" s="4">
        <v>0</v>
      </c>
      <c r="K742" s="4"/>
      <c r="L742" s="16"/>
      <c r="M742" s="4"/>
      <c r="N742" s="4"/>
      <c r="O742" s="4"/>
      <c r="P742" s="4"/>
      <c r="Q742" s="4"/>
      <c r="R742" s="4"/>
      <c r="S742" s="4">
        <v>0</v>
      </c>
      <c r="T742" s="4">
        <v>0</v>
      </c>
      <c r="U742" s="4">
        <v>0</v>
      </c>
      <c r="V742" s="4">
        <v>12</v>
      </c>
      <c r="W742" s="4">
        <v>12</v>
      </c>
      <c r="X742" s="4">
        <v>0</v>
      </c>
      <c r="Y742" s="4"/>
      <c r="Z742" s="4">
        <v>533.1</v>
      </c>
      <c r="AA742" s="4">
        <v>550</v>
      </c>
      <c r="AB742" s="18"/>
      <c r="AC742" s="18">
        <v>14</v>
      </c>
      <c r="AD742" s="28"/>
      <c r="AE742" s="26"/>
      <c r="AF742" s="28"/>
    </row>
    <row r="743" spans="1:32" ht="13.5" customHeight="1" x14ac:dyDescent="0.25">
      <c r="A743" s="14">
        <v>45760</v>
      </c>
      <c r="B743" s="14" t="s">
        <v>46</v>
      </c>
      <c r="C743" s="15">
        <v>1</v>
      </c>
      <c r="D743" s="16">
        <v>3</v>
      </c>
      <c r="E743" s="16"/>
      <c r="F743" s="17"/>
      <c r="G743" s="21"/>
      <c r="H743" s="21"/>
      <c r="I743" s="4">
        <v>3</v>
      </c>
      <c r="J743" s="4">
        <v>0.05</v>
      </c>
      <c r="K743" s="4"/>
      <c r="L743" s="16"/>
      <c r="M743" s="4"/>
      <c r="N743" s="4"/>
      <c r="O743" s="4"/>
      <c r="P743" s="4"/>
      <c r="Q743" s="4"/>
      <c r="R743" s="4"/>
      <c r="S743" s="4">
        <v>0</v>
      </c>
      <c r="T743" s="4">
        <v>0</v>
      </c>
      <c r="U743" s="4">
        <v>0.05</v>
      </c>
      <c r="V743" s="4">
        <v>11.95</v>
      </c>
      <c r="W743" s="4">
        <v>12</v>
      </c>
      <c r="X743" s="4">
        <v>0</v>
      </c>
      <c r="Y743" s="4">
        <v>2247</v>
      </c>
      <c r="Z743" s="4">
        <v>187.65</v>
      </c>
      <c r="AA743" s="4">
        <v>200</v>
      </c>
      <c r="AB743" s="18">
        <v>372</v>
      </c>
      <c r="AC743" s="18">
        <v>14</v>
      </c>
      <c r="AD743" s="28"/>
      <c r="AE743" s="26"/>
      <c r="AF743" s="28"/>
    </row>
    <row r="744" spans="1:32" ht="13.5" customHeight="1" x14ac:dyDescent="0.25">
      <c r="A744" s="14">
        <v>45760</v>
      </c>
      <c r="B744" s="14" t="s">
        <v>47</v>
      </c>
      <c r="C744" s="15">
        <v>1</v>
      </c>
      <c r="D744" s="16"/>
      <c r="E744" s="16"/>
      <c r="F744" s="17"/>
      <c r="G744" s="21"/>
      <c r="H744" s="21"/>
      <c r="I744" s="4">
        <v>0</v>
      </c>
      <c r="J744" s="4">
        <v>0</v>
      </c>
      <c r="K744" s="4"/>
      <c r="L744" s="16"/>
      <c r="M744" s="4"/>
      <c r="N744" s="4"/>
      <c r="O744" s="4"/>
      <c r="P744" s="4"/>
      <c r="Q744" s="4"/>
      <c r="R744" s="4"/>
      <c r="S744" s="4">
        <v>0</v>
      </c>
      <c r="T744" s="4">
        <v>0</v>
      </c>
      <c r="U744" s="4">
        <v>0</v>
      </c>
      <c r="V744" s="4">
        <v>12</v>
      </c>
      <c r="W744" s="4">
        <v>12</v>
      </c>
      <c r="X744" s="4">
        <v>0</v>
      </c>
      <c r="Y744" s="4"/>
      <c r="Z744" s="4">
        <v>185.39999999999998</v>
      </c>
      <c r="AA744" s="4">
        <v>200</v>
      </c>
      <c r="AB744" s="18"/>
      <c r="AC744" s="18">
        <v>14</v>
      </c>
      <c r="AD744" s="28"/>
      <c r="AE744" s="26"/>
      <c r="AF744" s="28"/>
    </row>
    <row r="745" spans="1:32" ht="13.5" customHeight="1" x14ac:dyDescent="0.25">
      <c r="A745" s="14">
        <v>45760</v>
      </c>
      <c r="B745" s="14" t="s">
        <v>46</v>
      </c>
      <c r="C745" s="15">
        <v>3</v>
      </c>
      <c r="D745" s="16">
        <v>5</v>
      </c>
      <c r="E745" s="16"/>
      <c r="F745" s="17"/>
      <c r="G745" s="21"/>
      <c r="H745" s="21"/>
      <c r="I745" s="4">
        <v>5</v>
      </c>
      <c r="J745" s="4">
        <v>8.3333333333333329E-2</v>
      </c>
      <c r="K745" s="4"/>
      <c r="L745" s="16"/>
      <c r="M745" s="4"/>
      <c r="N745" s="4"/>
      <c r="O745" s="4"/>
      <c r="P745" s="4"/>
      <c r="Q745" s="4"/>
      <c r="R745" s="4"/>
      <c r="S745" s="4">
        <v>0</v>
      </c>
      <c r="T745" s="4">
        <v>0</v>
      </c>
      <c r="U745" s="4">
        <v>8.3333333333333329E-2</v>
      </c>
      <c r="V745" s="4">
        <v>11.916666666666666</v>
      </c>
      <c r="W745" s="4">
        <v>12</v>
      </c>
      <c r="X745" s="4">
        <v>0</v>
      </c>
      <c r="Y745" s="4"/>
      <c r="Z745" s="4">
        <v>266.5</v>
      </c>
      <c r="AA745" s="4">
        <v>300</v>
      </c>
      <c r="AB745" s="18"/>
      <c r="AC745" s="18">
        <v>14</v>
      </c>
      <c r="AD745" s="28"/>
      <c r="AE745" s="26"/>
      <c r="AF745" s="28"/>
    </row>
    <row r="746" spans="1:32" ht="13.5" customHeight="1" x14ac:dyDescent="0.25">
      <c r="A746" s="14">
        <v>45760</v>
      </c>
      <c r="B746" s="14" t="s">
        <v>47</v>
      </c>
      <c r="C746" s="15">
        <v>3</v>
      </c>
      <c r="D746" s="16">
        <v>6</v>
      </c>
      <c r="E746" s="16"/>
      <c r="F746" s="17"/>
      <c r="G746" s="21"/>
      <c r="H746" s="21"/>
      <c r="I746" s="4">
        <v>6</v>
      </c>
      <c r="J746" s="4">
        <v>0.1</v>
      </c>
      <c r="K746" s="4"/>
      <c r="L746" s="16"/>
      <c r="M746" s="4"/>
      <c r="N746" s="4"/>
      <c r="O746" s="4"/>
      <c r="P746" s="4"/>
      <c r="Q746" s="4"/>
      <c r="R746" s="4"/>
      <c r="S746" s="4">
        <v>0</v>
      </c>
      <c r="T746" s="4">
        <v>0</v>
      </c>
      <c r="U746" s="4">
        <v>0.1</v>
      </c>
      <c r="V746" s="4">
        <v>11.9</v>
      </c>
      <c r="W746" s="4">
        <v>12</v>
      </c>
      <c r="X746" s="4">
        <v>0</v>
      </c>
      <c r="Y746" s="4"/>
      <c r="Z746" s="4">
        <v>202.10000000000002</v>
      </c>
      <c r="AA746" s="4">
        <v>250</v>
      </c>
      <c r="AB746" s="18"/>
      <c r="AC746" s="18">
        <v>14</v>
      </c>
      <c r="AD746" s="28"/>
      <c r="AE746" s="26"/>
      <c r="AF746" s="28"/>
    </row>
    <row r="747" spans="1:32" ht="13.5" customHeight="1" x14ac:dyDescent="0.25">
      <c r="A747" s="14">
        <v>45760</v>
      </c>
      <c r="B747" s="14" t="s">
        <v>46</v>
      </c>
      <c r="C747" s="15">
        <v>5</v>
      </c>
      <c r="D747" s="16">
        <v>5</v>
      </c>
      <c r="E747" s="16"/>
      <c r="F747" s="17"/>
      <c r="G747" s="21"/>
      <c r="H747" s="21"/>
      <c r="I747" s="4">
        <v>5</v>
      </c>
      <c r="J747" s="4">
        <v>8.3333333333333329E-2</v>
      </c>
      <c r="K747" s="4"/>
      <c r="L747" s="16"/>
      <c r="M747" s="4"/>
      <c r="N747" s="4"/>
      <c r="O747" s="4"/>
      <c r="P747" s="4">
        <v>140</v>
      </c>
      <c r="Q747" s="4"/>
      <c r="R747" s="4"/>
      <c r="S747" s="4">
        <v>140</v>
      </c>
      <c r="T747" s="4">
        <v>2.3333333333333335</v>
      </c>
      <c r="U747" s="4">
        <v>2.416666666666667</v>
      </c>
      <c r="V747" s="4">
        <v>9.5833333333333321</v>
      </c>
      <c r="W747" s="4">
        <v>12</v>
      </c>
      <c r="X747" s="4">
        <v>0</v>
      </c>
      <c r="Y747" s="4"/>
      <c r="Z747" s="4">
        <v>610.79999999999995</v>
      </c>
      <c r="AA747" s="4">
        <v>650</v>
      </c>
      <c r="AB747" s="18"/>
      <c r="AC747" s="18">
        <v>14</v>
      </c>
      <c r="AD747" s="28"/>
      <c r="AE747" s="26"/>
      <c r="AF747" s="28"/>
    </row>
    <row r="748" spans="1:32" ht="13.5" customHeight="1" x14ac:dyDescent="0.25">
      <c r="A748" s="14">
        <v>45760</v>
      </c>
      <c r="B748" s="14" t="s">
        <v>47</v>
      </c>
      <c r="C748" s="15">
        <v>5</v>
      </c>
      <c r="D748" s="16"/>
      <c r="E748" s="16"/>
      <c r="F748" s="17"/>
      <c r="G748" s="21"/>
      <c r="H748" s="21"/>
      <c r="I748" s="4">
        <v>0</v>
      </c>
      <c r="J748" s="4">
        <v>0</v>
      </c>
      <c r="K748" s="4"/>
      <c r="L748" s="16"/>
      <c r="M748" s="4"/>
      <c r="N748" s="4"/>
      <c r="O748" s="4"/>
      <c r="P748" s="4"/>
      <c r="Q748" s="4">
        <v>60</v>
      </c>
      <c r="R748" s="4"/>
      <c r="S748" s="4">
        <v>60</v>
      </c>
      <c r="T748" s="4">
        <v>1</v>
      </c>
      <c r="U748" s="4">
        <v>1</v>
      </c>
      <c r="V748" s="4">
        <v>11</v>
      </c>
      <c r="W748" s="4">
        <v>12</v>
      </c>
      <c r="X748" s="4">
        <v>0</v>
      </c>
      <c r="Y748" s="4"/>
      <c r="Z748" s="4">
        <v>590.4</v>
      </c>
      <c r="AA748" s="4">
        <v>600</v>
      </c>
      <c r="AB748" s="18"/>
      <c r="AC748" s="18">
        <v>14</v>
      </c>
      <c r="AD748" s="28"/>
      <c r="AE748" s="26"/>
      <c r="AF748" s="28"/>
    </row>
    <row r="749" spans="1:32" ht="13.5" customHeight="1" x14ac:dyDescent="0.25">
      <c r="A749" s="14">
        <v>45760</v>
      </c>
      <c r="B749" s="14" t="s">
        <v>46</v>
      </c>
      <c r="C749" s="15">
        <v>6</v>
      </c>
      <c r="D749" s="16"/>
      <c r="E749" s="16"/>
      <c r="F749" s="17"/>
      <c r="G749" s="21"/>
      <c r="H749" s="21"/>
      <c r="I749" s="4">
        <v>0</v>
      </c>
      <c r="J749" s="4">
        <v>0</v>
      </c>
      <c r="K749" s="4"/>
      <c r="L749" s="16"/>
      <c r="M749" s="4"/>
      <c r="N749" s="4">
        <v>30</v>
      </c>
      <c r="O749" s="4"/>
      <c r="P749" s="4"/>
      <c r="Q749" s="4"/>
      <c r="R749" s="4"/>
      <c r="S749" s="4">
        <v>30</v>
      </c>
      <c r="T749" s="4">
        <v>0.5</v>
      </c>
      <c r="U749" s="4">
        <v>0.5</v>
      </c>
      <c r="V749" s="4">
        <v>11.5</v>
      </c>
      <c r="W749" s="4">
        <v>12</v>
      </c>
      <c r="X749" s="4">
        <v>45</v>
      </c>
      <c r="Y749" s="4"/>
      <c r="Z749" s="4">
        <v>650.20000000000005</v>
      </c>
      <c r="AA749" s="4">
        <v>650</v>
      </c>
      <c r="AB749" s="18"/>
      <c r="AC749" s="18">
        <v>14</v>
      </c>
      <c r="AD749" s="28"/>
      <c r="AE749" s="26"/>
      <c r="AF749" s="28"/>
    </row>
    <row r="750" spans="1:32" ht="13.5" customHeight="1" x14ac:dyDescent="0.25">
      <c r="A750" s="14">
        <v>45760</v>
      </c>
      <c r="B750" s="14" t="s">
        <v>47</v>
      </c>
      <c r="C750" s="15">
        <v>6</v>
      </c>
      <c r="D750" s="16"/>
      <c r="E750" s="16"/>
      <c r="F750" s="17"/>
      <c r="G750" s="21"/>
      <c r="H750" s="21"/>
      <c r="I750" s="4">
        <v>0</v>
      </c>
      <c r="J750" s="4">
        <v>0</v>
      </c>
      <c r="K750" s="4"/>
      <c r="L750" s="16"/>
      <c r="M750" s="4"/>
      <c r="N750" s="4"/>
      <c r="O750" s="4"/>
      <c r="P750" s="4"/>
      <c r="Q750" s="4"/>
      <c r="R750" s="4"/>
      <c r="S750" s="4">
        <v>0</v>
      </c>
      <c r="T750" s="4">
        <v>0</v>
      </c>
      <c r="U750" s="4">
        <v>0</v>
      </c>
      <c r="V750" s="4">
        <v>12</v>
      </c>
      <c r="W750" s="4">
        <v>12</v>
      </c>
      <c r="X750" s="4">
        <v>63.4</v>
      </c>
      <c r="Y750" s="4"/>
      <c r="Z750" s="4">
        <v>725</v>
      </c>
      <c r="AA750" s="4">
        <v>750</v>
      </c>
      <c r="AB750" s="18"/>
      <c r="AC750" s="18">
        <v>14</v>
      </c>
      <c r="AD750" s="28"/>
      <c r="AE750" s="26"/>
      <c r="AF750" s="28"/>
    </row>
    <row r="751" spans="1:32" ht="13.5" customHeight="1" x14ac:dyDescent="0.25">
      <c r="A751" s="14">
        <v>45760</v>
      </c>
      <c r="B751" s="14" t="s">
        <v>46</v>
      </c>
      <c r="C751" s="15">
        <v>7</v>
      </c>
      <c r="D751" s="16"/>
      <c r="E751" s="16"/>
      <c r="F751" s="17"/>
      <c r="G751" s="21"/>
      <c r="H751" s="21"/>
      <c r="I751" s="4">
        <v>0</v>
      </c>
      <c r="J751" s="4">
        <v>0</v>
      </c>
      <c r="K751" s="4"/>
      <c r="L751" s="16"/>
      <c r="M751" s="4"/>
      <c r="N751" s="4"/>
      <c r="O751" s="4"/>
      <c r="P751" s="4"/>
      <c r="Q751" s="4"/>
      <c r="R751" s="4"/>
      <c r="S751" s="4">
        <v>0</v>
      </c>
      <c r="T751" s="4">
        <v>0</v>
      </c>
      <c r="U751" s="4">
        <v>0</v>
      </c>
      <c r="V751" s="4">
        <v>12</v>
      </c>
      <c r="W751" s="4">
        <v>12</v>
      </c>
      <c r="X751" s="4">
        <v>0</v>
      </c>
      <c r="Y751" s="4"/>
      <c r="Z751" s="4">
        <v>307.83999999999997</v>
      </c>
      <c r="AA751" s="4">
        <v>350</v>
      </c>
      <c r="AB751" s="18"/>
      <c r="AC751" s="18">
        <v>14</v>
      </c>
      <c r="AD751" s="28"/>
      <c r="AE751" s="26"/>
      <c r="AF751" s="28"/>
    </row>
    <row r="752" spans="1:32" ht="13.5" customHeight="1" x14ac:dyDescent="0.25">
      <c r="A752" s="14">
        <v>45760</v>
      </c>
      <c r="B752" s="14" t="s">
        <v>47</v>
      </c>
      <c r="C752" s="15">
        <v>7</v>
      </c>
      <c r="D752" s="16">
        <v>5</v>
      </c>
      <c r="E752" s="16"/>
      <c r="F752" s="17"/>
      <c r="G752" s="21"/>
      <c r="H752" s="21"/>
      <c r="I752" s="4">
        <v>5</v>
      </c>
      <c r="J752" s="4">
        <v>8.3333333333333329E-2</v>
      </c>
      <c r="K752" s="4"/>
      <c r="L752" s="16"/>
      <c r="M752" s="4"/>
      <c r="N752" s="4"/>
      <c r="O752" s="4"/>
      <c r="P752" s="4"/>
      <c r="Q752" s="4"/>
      <c r="R752" s="4"/>
      <c r="S752" s="4">
        <v>0</v>
      </c>
      <c r="T752" s="4">
        <v>0</v>
      </c>
      <c r="U752" s="4">
        <v>8.3333333333333329E-2</v>
      </c>
      <c r="V752" s="4">
        <v>11.916666666666666</v>
      </c>
      <c r="W752" s="4">
        <v>12</v>
      </c>
      <c r="X752" s="4">
        <v>0</v>
      </c>
      <c r="Y752" s="4"/>
      <c r="Z752" s="4">
        <v>407.65</v>
      </c>
      <c r="AA752" s="4">
        <v>450</v>
      </c>
      <c r="AB752" s="18"/>
      <c r="AC752" s="18">
        <v>14</v>
      </c>
      <c r="AD752" s="28"/>
      <c r="AE752" s="26"/>
      <c r="AF752" s="28"/>
    </row>
    <row r="753" spans="1:32" ht="13.5" customHeight="1" x14ac:dyDescent="0.25">
      <c r="A753" s="14">
        <v>45761</v>
      </c>
      <c r="B753" s="14" t="s">
        <v>46</v>
      </c>
      <c r="C753" s="15">
        <v>1</v>
      </c>
      <c r="D753" s="16"/>
      <c r="E753" s="16"/>
      <c r="F753" s="17"/>
      <c r="G753" s="21"/>
      <c r="H753" s="21"/>
      <c r="I753" s="4">
        <v>0</v>
      </c>
      <c r="J753" s="4">
        <v>0</v>
      </c>
      <c r="K753" s="4"/>
      <c r="L753" s="16"/>
      <c r="M753" s="4"/>
      <c r="N753" s="4"/>
      <c r="O753" s="4"/>
      <c r="P753" s="4"/>
      <c r="Q753" s="4"/>
      <c r="R753" s="4"/>
      <c r="S753" s="4">
        <v>0</v>
      </c>
      <c r="T753" s="4">
        <v>0</v>
      </c>
      <c r="U753" s="4">
        <v>0</v>
      </c>
      <c r="V753" s="4">
        <v>12</v>
      </c>
      <c r="W753" s="4">
        <v>12</v>
      </c>
      <c r="X753" s="4">
        <v>0</v>
      </c>
      <c r="Y753" s="4">
        <v>2243</v>
      </c>
      <c r="Z753" s="4">
        <v>160</v>
      </c>
      <c r="AA753" s="4">
        <v>150</v>
      </c>
      <c r="AB753" s="18">
        <v>372</v>
      </c>
      <c r="AC753" s="18">
        <v>15</v>
      </c>
      <c r="AD753" s="28"/>
      <c r="AE753" s="26"/>
      <c r="AF753" s="28"/>
    </row>
    <row r="754" spans="1:32" ht="13.5" customHeight="1" x14ac:dyDescent="0.25">
      <c r="A754" s="14">
        <v>45761</v>
      </c>
      <c r="B754" s="14" t="s">
        <v>47</v>
      </c>
      <c r="C754" s="15">
        <v>1</v>
      </c>
      <c r="D754" s="16"/>
      <c r="E754" s="16"/>
      <c r="F754" s="17"/>
      <c r="G754" s="21"/>
      <c r="H754" s="21"/>
      <c r="I754" s="4">
        <v>0</v>
      </c>
      <c r="J754" s="4">
        <v>0</v>
      </c>
      <c r="K754" s="4"/>
      <c r="L754" s="16"/>
      <c r="M754" s="4"/>
      <c r="N754" s="4"/>
      <c r="O754" s="4"/>
      <c r="P754" s="4"/>
      <c r="Q754" s="4"/>
      <c r="R754" s="4"/>
      <c r="S754" s="4">
        <v>0</v>
      </c>
      <c r="T754" s="4">
        <v>0</v>
      </c>
      <c r="U754" s="4">
        <v>0</v>
      </c>
      <c r="V754" s="4">
        <v>12</v>
      </c>
      <c r="W754" s="4">
        <v>12</v>
      </c>
      <c r="X754" s="4">
        <v>0</v>
      </c>
      <c r="Y754" s="4"/>
      <c r="Z754" s="4">
        <v>170.8</v>
      </c>
      <c r="AA754" s="4">
        <v>200</v>
      </c>
      <c r="AB754" s="18"/>
      <c r="AC754" s="18">
        <v>15</v>
      </c>
      <c r="AD754" s="28"/>
      <c r="AE754" s="26"/>
      <c r="AF754" s="28"/>
    </row>
    <row r="755" spans="1:32" ht="13.5" customHeight="1" x14ac:dyDescent="0.25">
      <c r="A755" s="14">
        <v>45761</v>
      </c>
      <c r="B755" s="14" t="s">
        <v>46</v>
      </c>
      <c r="C755" s="15">
        <v>3</v>
      </c>
      <c r="D755" s="16"/>
      <c r="E755" s="16"/>
      <c r="F755" s="17"/>
      <c r="G755" s="21"/>
      <c r="H755" s="21"/>
      <c r="I755" s="4">
        <v>0</v>
      </c>
      <c r="J755" s="4">
        <v>0</v>
      </c>
      <c r="K755" s="4"/>
      <c r="L755" s="16"/>
      <c r="M755" s="4"/>
      <c r="N755" s="4">
        <v>13</v>
      </c>
      <c r="O755" s="4"/>
      <c r="P755" s="4"/>
      <c r="Q755" s="4"/>
      <c r="R755" s="4"/>
      <c r="S755" s="4">
        <v>13</v>
      </c>
      <c r="T755" s="4">
        <v>0.21666666666666667</v>
      </c>
      <c r="U755" s="4">
        <v>0.21666666666666667</v>
      </c>
      <c r="V755" s="4">
        <v>11.783333333333333</v>
      </c>
      <c r="W755" s="4">
        <v>12</v>
      </c>
      <c r="X755" s="4">
        <v>0</v>
      </c>
      <c r="Y755" s="4"/>
      <c r="Z755" s="4">
        <v>215</v>
      </c>
      <c r="AA755" s="4">
        <v>250</v>
      </c>
      <c r="AB755" s="18"/>
      <c r="AC755" s="18">
        <v>15</v>
      </c>
      <c r="AD755" s="28"/>
      <c r="AE755" s="26"/>
      <c r="AF755" s="28"/>
    </row>
    <row r="756" spans="1:32" ht="13.5" customHeight="1" x14ac:dyDescent="0.25">
      <c r="A756" s="14">
        <v>45761</v>
      </c>
      <c r="B756" s="14" t="s">
        <v>47</v>
      </c>
      <c r="C756" s="15">
        <v>3</v>
      </c>
      <c r="D756" s="16"/>
      <c r="E756" s="16"/>
      <c r="F756" s="17"/>
      <c r="G756" s="21"/>
      <c r="H756" s="21"/>
      <c r="I756" s="4">
        <v>0</v>
      </c>
      <c r="J756" s="4">
        <v>0</v>
      </c>
      <c r="K756" s="4"/>
      <c r="L756" s="16"/>
      <c r="M756" s="4"/>
      <c r="N756" s="4"/>
      <c r="O756" s="4"/>
      <c r="P756" s="4"/>
      <c r="Q756" s="4"/>
      <c r="R756" s="4"/>
      <c r="S756" s="4">
        <v>0</v>
      </c>
      <c r="T756" s="4">
        <v>0</v>
      </c>
      <c r="U756" s="4">
        <v>0</v>
      </c>
      <c r="V756" s="4">
        <v>12</v>
      </c>
      <c r="W756" s="4">
        <v>12</v>
      </c>
      <c r="X756" s="4">
        <v>0</v>
      </c>
      <c r="Y756" s="4"/>
      <c r="Z756" s="4">
        <v>282.60000000000002</v>
      </c>
      <c r="AA756" s="4">
        <v>300</v>
      </c>
      <c r="AB756" s="18"/>
      <c r="AC756" s="18">
        <v>15</v>
      </c>
      <c r="AD756" s="28"/>
      <c r="AE756" s="26"/>
      <c r="AF756" s="28"/>
    </row>
    <row r="757" spans="1:32" ht="13.5" customHeight="1" x14ac:dyDescent="0.25">
      <c r="A757" s="14">
        <v>45761</v>
      </c>
      <c r="B757" s="14" t="s">
        <v>46</v>
      </c>
      <c r="C757" s="15">
        <v>5</v>
      </c>
      <c r="D757" s="16">
        <v>5</v>
      </c>
      <c r="E757" s="16"/>
      <c r="F757" s="17"/>
      <c r="G757" s="21"/>
      <c r="H757" s="21"/>
      <c r="I757" s="4">
        <v>5</v>
      </c>
      <c r="J757" s="4">
        <v>8.3333333333333329E-2</v>
      </c>
      <c r="K757" s="4"/>
      <c r="L757" s="16"/>
      <c r="M757" s="4"/>
      <c r="N757" s="4"/>
      <c r="O757" s="4"/>
      <c r="P757" s="4">
        <v>60</v>
      </c>
      <c r="Q757" s="4">
        <v>60</v>
      </c>
      <c r="R757" s="4"/>
      <c r="S757" s="4">
        <v>120</v>
      </c>
      <c r="T757" s="4">
        <v>2</v>
      </c>
      <c r="U757" s="4">
        <v>2.0833333333333335</v>
      </c>
      <c r="V757" s="4">
        <v>9.9166666666666661</v>
      </c>
      <c r="W757" s="4">
        <v>12</v>
      </c>
      <c r="X757" s="4">
        <v>0</v>
      </c>
      <c r="Y757" s="4"/>
      <c r="Z757" s="4">
        <v>425.20000000000005</v>
      </c>
      <c r="AA757" s="4">
        <v>450</v>
      </c>
      <c r="AB757" s="18"/>
      <c r="AC757" s="18">
        <v>15</v>
      </c>
      <c r="AD757" s="28"/>
      <c r="AE757" s="26"/>
      <c r="AF757" s="28"/>
    </row>
    <row r="758" spans="1:32" ht="13.5" customHeight="1" x14ac:dyDescent="0.25">
      <c r="A758" s="14">
        <v>45761</v>
      </c>
      <c r="B758" s="14" t="s">
        <v>47</v>
      </c>
      <c r="C758" s="15">
        <v>5</v>
      </c>
      <c r="D758" s="16"/>
      <c r="E758" s="16"/>
      <c r="F758" s="17"/>
      <c r="G758" s="21"/>
      <c r="H758" s="21"/>
      <c r="I758" s="4">
        <v>0</v>
      </c>
      <c r="J758" s="4">
        <v>0</v>
      </c>
      <c r="K758" s="4"/>
      <c r="L758" s="16"/>
      <c r="M758" s="4"/>
      <c r="N758" s="4"/>
      <c r="O758" s="4"/>
      <c r="P758" s="4"/>
      <c r="Q758" s="4"/>
      <c r="R758" s="4"/>
      <c r="S758" s="4">
        <v>0</v>
      </c>
      <c r="T758" s="4">
        <v>0</v>
      </c>
      <c r="U758" s="4">
        <v>0</v>
      </c>
      <c r="V758" s="4">
        <v>12</v>
      </c>
      <c r="W758" s="4">
        <v>12</v>
      </c>
      <c r="X758" s="4">
        <v>0</v>
      </c>
      <c r="Y758" s="4"/>
      <c r="Z758" s="4">
        <v>441.20000000000005</v>
      </c>
      <c r="AA758" s="4">
        <v>450</v>
      </c>
      <c r="AB758" s="18"/>
      <c r="AC758" s="18">
        <v>15</v>
      </c>
      <c r="AD758" s="28"/>
      <c r="AE758" s="26"/>
      <c r="AF758" s="28"/>
    </row>
    <row r="759" spans="1:32" ht="13.5" customHeight="1" x14ac:dyDescent="0.25">
      <c r="A759" s="14">
        <v>45761</v>
      </c>
      <c r="B759" s="14" t="s">
        <v>46</v>
      </c>
      <c r="C759" s="15">
        <v>6</v>
      </c>
      <c r="D759" s="16">
        <v>5</v>
      </c>
      <c r="E759" s="16"/>
      <c r="F759" s="17"/>
      <c r="G759" s="21"/>
      <c r="H759" s="21"/>
      <c r="I759" s="4">
        <v>5</v>
      </c>
      <c r="J759" s="4">
        <v>8.3333333333333329E-2</v>
      </c>
      <c r="K759" s="4"/>
      <c r="L759" s="16"/>
      <c r="M759" s="4"/>
      <c r="N759" s="4"/>
      <c r="O759" s="4"/>
      <c r="P759" s="4"/>
      <c r="Q759" s="4"/>
      <c r="R759" s="4"/>
      <c r="S759" s="4">
        <v>0</v>
      </c>
      <c r="T759" s="4">
        <v>0</v>
      </c>
      <c r="U759" s="4">
        <v>8.3333333333333329E-2</v>
      </c>
      <c r="V759" s="4">
        <v>11.916666666666666</v>
      </c>
      <c r="W759" s="4">
        <v>12</v>
      </c>
      <c r="X759" s="4">
        <v>130</v>
      </c>
      <c r="Y759" s="4"/>
      <c r="Z759" s="4">
        <v>635.40000000000009</v>
      </c>
      <c r="AA759" s="4">
        <v>650</v>
      </c>
      <c r="AB759" s="18"/>
      <c r="AC759" s="18">
        <v>15</v>
      </c>
      <c r="AD759" s="28"/>
      <c r="AE759" s="26"/>
      <c r="AF759" s="28"/>
    </row>
    <row r="760" spans="1:32" ht="13.5" customHeight="1" x14ac:dyDescent="0.25">
      <c r="A760" s="14">
        <v>45761</v>
      </c>
      <c r="B760" s="14" t="s">
        <v>47</v>
      </c>
      <c r="C760" s="15">
        <v>6</v>
      </c>
      <c r="D760" s="16"/>
      <c r="E760" s="16"/>
      <c r="F760" s="17"/>
      <c r="G760" s="21"/>
      <c r="H760" s="21"/>
      <c r="I760" s="4">
        <v>0</v>
      </c>
      <c r="J760" s="4">
        <v>0</v>
      </c>
      <c r="K760" s="4"/>
      <c r="L760" s="16"/>
      <c r="M760" s="4"/>
      <c r="N760" s="4"/>
      <c r="O760" s="4"/>
      <c r="P760" s="4"/>
      <c r="Q760" s="4"/>
      <c r="R760" s="4"/>
      <c r="S760" s="4">
        <v>0</v>
      </c>
      <c r="T760" s="4">
        <v>0</v>
      </c>
      <c r="U760" s="4">
        <v>0</v>
      </c>
      <c r="V760" s="4">
        <v>12</v>
      </c>
      <c r="W760" s="4">
        <v>12</v>
      </c>
      <c r="X760" s="4">
        <v>50</v>
      </c>
      <c r="Y760" s="4"/>
      <c r="Z760" s="4">
        <v>791</v>
      </c>
      <c r="AA760" s="4">
        <v>800</v>
      </c>
      <c r="AB760" s="18"/>
      <c r="AC760" s="18">
        <v>15</v>
      </c>
      <c r="AD760" s="28"/>
      <c r="AE760" s="26"/>
      <c r="AF760" s="28"/>
    </row>
    <row r="761" spans="1:32" ht="13.5" customHeight="1" x14ac:dyDescent="0.25">
      <c r="A761" s="14">
        <v>45761</v>
      </c>
      <c r="B761" s="14" t="s">
        <v>46</v>
      </c>
      <c r="C761" s="15">
        <v>7</v>
      </c>
      <c r="D761" s="16">
        <v>5</v>
      </c>
      <c r="E761" s="16"/>
      <c r="F761" s="17"/>
      <c r="G761" s="21"/>
      <c r="H761" s="21"/>
      <c r="I761" s="4">
        <v>5</v>
      </c>
      <c r="J761" s="4">
        <v>8.3333333333333329E-2</v>
      </c>
      <c r="K761" s="4"/>
      <c r="L761" s="16"/>
      <c r="M761" s="4"/>
      <c r="N761" s="4"/>
      <c r="O761" s="4"/>
      <c r="P761" s="4"/>
      <c r="Q761" s="4"/>
      <c r="R761" s="4"/>
      <c r="S761" s="4">
        <v>0</v>
      </c>
      <c r="T761" s="4">
        <v>0</v>
      </c>
      <c r="U761" s="4">
        <v>8.3333333333333329E-2</v>
      </c>
      <c r="V761" s="4">
        <v>11.916666666666666</v>
      </c>
      <c r="W761" s="4">
        <v>12</v>
      </c>
      <c r="X761" s="4">
        <v>0</v>
      </c>
      <c r="Y761" s="4"/>
      <c r="Z761" s="4">
        <v>473.03</v>
      </c>
      <c r="AA761" s="4">
        <v>500</v>
      </c>
      <c r="AB761" s="18"/>
      <c r="AC761" s="18">
        <v>15</v>
      </c>
      <c r="AD761" s="28"/>
      <c r="AE761" s="26"/>
      <c r="AF761" s="28"/>
    </row>
    <row r="762" spans="1:32" ht="13.5" customHeight="1" x14ac:dyDescent="0.25">
      <c r="A762" s="14">
        <v>45761</v>
      </c>
      <c r="B762" s="14" t="s">
        <v>47</v>
      </c>
      <c r="C762" s="15">
        <v>7</v>
      </c>
      <c r="D762" s="16"/>
      <c r="E762" s="16"/>
      <c r="F762" s="17"/>
      <c r="G762" s="21"/>
      <c r="H762" s="21"/>
      <c r="I762" s="4">
        <v>0</v>
      </c>
      <c r="J762" s="4">
        <v>0</v>
      </c>
      <c r="K762" s="4"/>
      <c r="L762" s="16"/>
      <c r="M762" s="4"/>
      <c r="N762" s="4"/>
      <c r="O762" s="4"/>
      <c r="P762" s="4"/>
      <c r="Q762" s="4"/>
      <c r="R762" s="4"/>
      <c r="S762" s="4">
        <v>0</v>
      </c>
      <c r="T762" s="4">
        <v>0</v>
      </c>
      <c r="U762" s="4">
        <v>0</v>
      </c>
      <c r="V762" s="4">
        <v>12</v>
      </c>
      <c r="W762" s="4">
        <v>12</v>
      </c>
      <c r="X762" s="4">
        <v>0</v>
      </c>
      <c r="Y762" s="4"/>
      <c r="Z762" s="4">
        <v>436.68999999999994</v>
      </c>
      <c r="AA762" s="4">
        <v>450</v>
      </c>
      <c r="AB762" s="18"/>
      <c r="AC762" s="18">
        <v>15</v>
      </c>
      <c r="AD762" s="28"/>
      <c r="AE762" s="26"/>
      <c r="AF762" s="28"/>
    </row>
    <row r="763" spans="1:32" ht="13.5" customHeight="1" x14ac:dyDescent="0.25">
      <c r="A763" s="14">
        <v>45762</v>
      </c>
      <c r="B763" s="14" t="s">
        <v>46</v>
      </c>
      <c r="C763" s="15">
        <v>1</v>
      </c>
      <c r="D763" s="16">
        <v>5</v>
      </c>
      <c r="E763" s="16"/>
      <c r="F763" s="17"/>
      <c r="G763" s="21"/>
      <c r="H763" s="21"/>
      <c r="I763" s="4">
        <v>5</v>
      </c>
      <c r="J763" s="4">
        <v>8.3333333333333329E-2</v>
      </c>
      <c r="K763" s="4"/>
      <c r="L763" s="16"/>
      <c r="M763" s="4"/>
      <c r="N763" s="4"/>
      <c r="O763" s="4"/>
      <c r="P763" s="4"/>
      <c r="Q763" s="4"/>
      <c r="R763" s="4"/>
      <c r="S763" s="4">
        <v>0</v>
      </c>
      <c r="T763" s="4">
        <v>0</v>
      </c>
      <c r="U763" s="4">
        <v>8.3333333333333329E-2</v>
      </c>
      <c r="V763" s="4">
        <v>11.916666666666666</v>
      </c>
      <c r="W763" s="4">
        <v>12</v>
      </c>
      <c r="X763" s="4">
        <v>0</v>
      </c>
      <c r="Y763" s="4">
        <v>2428</v>
      </c>
      <c r="Z763" s="4">
        <v>222.70000000000002</v>
      </c>
      <c r="AA763" s="4">
        <v>200</v>
      </c>
      <c r="AB763" s="18">
        <v>372</v>
      </c>
      <c r="AC763" s="18">
        <v>15</v>
      </c>
      <c r="AD763" s="28"/>
      <c r="AE763" s="26"/>
      <c r="AF763" s="28"/>
    </row>
    <row r="764" spans="1:32" ht="13.5" customHeight="1" x14ac:dyDescent="0.25">
      <c r="A764" s="14">
        <v>45762</v>
      </c>
      <c r="B764" s="14" t="s">
        <v>47</v>
      </c>
      <c r="C764" s="15">
        <v>1</v>
      </c>
      <c r="D764" s="16">
        <v>3</v>
      </c>
      <c r="E764" s="16"/>
      <c r="F764" s="17"/>
      <c r="G764" s="21"/>
      <c r="H764" s="21"/>
      <c r="I764" s="4">
        <v>3</v>
      </c>
      <c r="J764" s="4">
        <v>0.05</v>
      </c>
      <c r="K764" s="4"/>
      <c r="L764" s="16"/>
      <c r="M764" s="4"/>
      <c r="N764" s="4"/>
      <c r="O764" s="4"/>
      <c r="P764" s="4"/>
      <c r="Q764" s="4"/>
      <c r="R764" s="4"/>
      <c r="S764" s="4">
        <v>0</v>
      </c>
      <c r="T764" s="4">
        <v>0</v>
      </c>
      <c r="U764" s="4">
        <v>0.05</v>
      </c>
      <c r="V764" s="4">
        <v>11.95</v>
      </c>
      <c r="W764" s="4">
        <v>12</v>
      </c>
      <c r="X764" s="4">
        <v>0</v>
      </c>
      <c r="Y764" s="4"/>
      <c r="Z764" s="4">
        <v>204.7</v>
      </c>
      <c r="AA764" s="4">
        <v>200</v>
      </c>
      <c r="AB764" s="18"/>
      <c r="AC764" s="18">
        <v>15</v>
      </c>
      <c r="AD764" s="28"/>
      <c r="AE764" s="26"/>
      <c r="AF764" s="28"/>
    </row>
    <row r="765" spans="1:32" ht="13.5" customHeight="1" x14ac:dyDescent="0.25">
      <c r="A765" s="14">
        <v>45762</v>
      </c>
      <c r="B765" s="14" t="s">
        <v>46</v>
      </c>
      <c r="C765" s="15">
        <v>3</v>
      </c>
      <c r="D765" s="16">
        <v>15</v>
      </c>
      <c r="E765" s="16"/>
      <c r="F765" s="17"/>
      <c r="G765" s="21"/>
      <c r="H765" s="21"/>
      <c r="I765" s="4">
        <v>15</v>
      </c>
      <c r="J765" s="4">
        <v>0.25</v>
      </c>
      <c r="K765" s="4"/>
      <c r="L765" s="16"/>
      <c r="M765" s="4"/>
      <c r="N765" s="4"/>
      <c r="O765" s="4"/>
      <c r="P765" s="4"/>
      <c r="Q765" s="4"/>
      <c r="R765" s="4"/>
      <c r="S765" s="4">
        <v>0</v>
      </c>
      <c r="T765" s="4">
        <v>0</v>
      </c>
      <c r="U765" s="4">
        <v>0.25</v>
      </c>
      <c r="V765" s="4">
        <v>11.75</v>
      </c>
      <c r="W765" s="4">
        <v>12</v>
      </c>
      <c r="X765" s="4">
        <v>0</v>
      </c>
      <c r="Y765" s="4"/>
      <c r="Z765" s="4">
        <v>453.40000000000003</v>
      </c>
      <c r="AA765" s="4">
        <v>450</v>
      </c>
      <c r="AB765" s="18"/>
      <c r="AC765" s="18">
        <v>15</v>
      </c>
      <c r="AD765" s="28"/>
      <c r="AE765" s="26"/>
      <c r="AF765" s="28"/>
    </row>
    <row r="766" spans="1:32" ht="13.5" customHeight="1" x14ac:dyDescent="0.25">
      <c r="A766" s="14">
        <v>45762</v>
      </c>
      <c r="B766" s="14" t="s">
        <v>47</v>
      </c>
      <c r="C766" s="15">
        <v>3</v>
      </c>
      <c r="D766" s="16">
        <v>15</v>
      </c>
      <c r="E766" s="16"/>
      <c r="F766" s="17"/>
      <c r="G766" s="21"/>
      <c r="H766" s="21"/>
      <c r="I766" s="4">
        <v>15</v>
      </c>
      <c r="J766" s="4">
        <v>0.25</v>
      </c>
      <c r="K766" s="4"/>
      <c r="L766" s="16"/>
      <c r="M766" s="4"/>
      <c r="N766" s="4"/>
      <c r="O766" s="4"/>
      <c r="P766" s="4"/>
      <c r="Q766" s="4"/>
      <c r="R766" s="4"/>
      <c r="S766" s="4">
        <v>0</v>
      </c>
      <c r="T766" s="4">
        <v>0</v>
      </c>
      <c r="U766" s="4">
        <v>0.25</v>
      </c>
      <c r="V766" s="4">
        <v>11.75</v>
      </c>
      <c r="W766" s="4">
        <v>12</v>
      </c>
      <c r="X766" s="4">
        <v>0</v>
      </c>
      <c r="Y766" s="4"/>
      <c r="Z766" s="4">
        <v>324.37499999999994</v>
      </c>
      <c r="AA766" s="4">
        <v>350</v>
      </c>
      <c r="AB766" s="18"/>
      <c r="AC766" s="18">
        <v>15</v>
      </c>
      <c r="AD766" s="28"/>
      <c r="AE766" s="26"/>
      <c r="AF766" s="28"/>
    </row>
    <row r="767" spans="1:32" ht="13.5" customHeight="1" x14ac:dyDescent="0.25">
      <c r="A767" s="14">
        <v>45762</v>
      </c>
      <c r="B767" s="14" t="s">
        <v>46</v>
      </c>
      <c r="C767" s="15">
        <v>5</v>
      </c>
      <c r="D767" s="16">
        <v>13</v>
      </c>
      <c r="E767" s="16"/>
      <c r="F767" s="17"/>
      <c r="G767" s="21"/>
      <c r="H767" s="21"/>
      <c r="I767" s="4">
        <v>13</v>
      </c>
      <c r="J767" s="4">
        <v>0.21666666666666667</v>
      </c>
      <c r="K767" s="4"/>
      <c r="L767" s="16"/>
      <c r="M767" s="4"/>
      <c r="N767" s="4"/>
      <c r="O767" s="4"/>
      <c r="P767" s="4"/>
      <c r="Q767" s="4"/>
      <c r="R767" s="4"/>
      <c r="S767" s="4">
        <v>0</v>
      </c>
      <c r="T767" s="4">
        <v>0</v>
      </c>
      <c r="U767" s="4">
        <v>0.21666666666666667</v>
      </c>
      <c r="V767" s="4">
        <v>11.783333333333333</v>
      </c>
      <c r="W767" s="4">
        <v>12</v>
      </c>
      <c r="X767" s="4">
        <v>0</v>
      </c>
      <c r="Y767" s="4"/>
      <c r="Z767" s="4">
        <v>449.19999999999993</v>
      </c>
      <c r="AA767" s="4">
        <v>450</v>
      </c>
      <c r="AB767" s="18"/>
      <c r="AC767" s="18">
        <v>15</v>
      </c>
      <c r="AD767" s="28"/>
      <c r="AE767" s="26"/>
      <c r="AF767" s="28"/>
    </row>
    <row r="768" spans="1:32" ht="13.5" customHeight="1" x14ac:dyDescent="0.25">
      <c r="A768" s="14">
        <v>45762</v>
      </c>
      <c r="B768" s="14" t="s">
        <v>47</v>
      </c>
      <c r="C768" s="15">
        <v>5</v>
      </c>
      <c r="D768" s="16">
        <v>11</v>
      </c>
      <c r="E768" s="16"/>
      <c r="F768" s="17"/>
      <c r="G768" s="21"/>
      <c r="H768" s="21"/>
      <c r="I768" s="4">
        <v>11</v>
      </c>
      <c r="J768" s="4">
        <v>0.18333333333333332</v>
      </c>
      <c r="K768" s="4"/>
      <c r="L768" s="16"/>
      <c r="M768" s="4"/>
      <c r="N768" s="4"/>
      <c r="O768" s="4"/>
      <c r="P768" s="4"/>
      <c r="Q768" s="4"/>
      <c r="R768" s="4"/>
      <c r="S768" s="4">
        <v>0</v>
      </c>
      <c r="T768" s="4">
        <v>0</v>
      </c>
      <c r="U768" s="4">
        <v>0.18333333333333332</v>
      </c>
      <c r="V768" s="4">
        <v>11.816666666666666</v>
      </c>
      <c r="W768" s="4">
        <v>12</v>
      </c>
      <c r="X768" s="4">
        <v>0</v>
      </c>
      <c r="Y768" s="4"/>
      <c r="Z768" s="4">
        <v>489.09999999999997</v>
      </c>
      <c r="AA768" s="4">
        <v>500</v>
      </c>
      <c r="AB768" s="18"/>
      <c r="AC768" s="18">
        <v>15</v>
      </c>
      <c r="AD768" s="28"/>
      <c r="AE768" s="26"/>
      <c r="AF768" s="28"/>
    </row>
    <row r="769" spans="1:32" ht="13.5" customHeight="1" x14ac:dyDescent="0.25">
      <c r="A769" s="14">
        <v>45762</v>
      </c>
      <c r="B769" s="14" t="s">
        <v>46</v>
      </c>
      <c r="C769" s="15">
        <v>6</v>
      </c>
      <c r="D769" s="16">
        <v>10</v>
      </c>
      <c r="E769" s="16"/>
      <c r="F769" s="17"/>
      <c r="G769" s="21"/>
      <c r="H769" s="21"/>
      <c r="I769" s="4">
        <v>10</v>
      </c>
      <c r="J769" s="4">
        <v>0.16666666666666666</v>
      </c>
      <c r="K769" s="4"/>
      <c r="L769" s="16"/>
      <c r="M769" s="4"/>
      <c r="N769" s="4"/>
      <c r="O769" s="4"/>
      <c r="P769" s="4">
        <v>30</v>
      </c>
      <c r="Q769" s="4"/>
      <c r="R769" s="4"/>
      <c r="S769" s="4">
        <v>30</v>
      </c>
      <c r="T769" s="4">
        <v>0.5</v>
      </c>
      <c r="U769" s="4">
        <v>0.66666666666666663</v>
      </c>
      <c r="V769" s="4">
        <v>11.333333333333334</v>
      </c>
      <c r="W769" s="4">
        <v>12</v>
      </c>
      <c r="X769" s="4">
        <v>89</v>
      </c>
      <c r="Y769" s="4"/>
      <c r="Z769" s="4">
        <v>550</v>
      </c>
      <c r="AA769" s="4">
        <v>550</v>
      </c>
      <c r="AB769" s="18"/>
      <c r="AC769" s="18">
        <v>15</v>
      </c>
      <c r="AD769" s="28"/>
      <c r="AE769" s="26"/>
      <c r="AF769" s="28"/>
    </row>
    <row r="770" spans="1:32" ht="13.5" customHeight="1" x14ac:dyDescent="0.25">
      <c r="A770" s="14">
        <v>45762</v>
      </c>
      <c r="B770" s="14" t="s">
        <v>47</v>
      </c>
      <c r="C770" s="15">
        <v>6</v>
      </c>
      <c r="D770" s="16"/>
      <c r="E770" s="16"/>
      <c r="F770" s="17"/>
      <c r="G770" s="21"/>
      <c r="H770" s="21"/>
      <c r="I770" s="4">
        <v>0</v>
      </c>
      <c r="J770" s="4">
        <v>0</v>
      </c>
      <c r="K770" s="4"/>
      <c r="L770" s="16"/>
      <c r="M770" s="4"/>
      <c r="N770" s="4"/>
      <c r="O770" s="4"/>
      <c r="P770" s="4"/>
      <c r="Q770" s="4"/>
      <c r="R770" s="4"/>
      <c r="S770" s="4">
        <v>0</v>
      </c>
      <c r="T770" s="4">
        <v>0</v>
      </c>
      <c r="U770" s="4">
        <v>0</v>
      </c>
      <c r="V770" s="4">
        <v>12</v>
      </c>
      <c r="W770" s="4">
        <v>12</v>
      </c>
      <c r="X770" s="4">
        <v>74.599999999999994</v>
      </c>
      <c r="Y770" s="4"/>
      <c r="Z770" s="4">
        <v>796.8</v>
      </c>
      <c r="AA770" s="4">
        <v>800</v>
      </c>
      <c r="AB770" s="18"/>
      <c r="AC770" s="18">
        <v>15</v>
      </c>
      <c r="AD770" s="28"/>
      <c r="AE770" s="26"/>
      <c r="AF770" s="28"/>
    </row>
    <row r="771" spans="1:32" ht="13.5" customHeight="1" x14ac:dyDescent="0.25">
      <c r="A771" s="14">
        <v>45762</v>
      </c>
      <c r="B771" s="14" t="s">
        <v>46</v>
      </c>
      <c r="C771" s="15">
        <v>7</v>
      </c>
      <c r="D771" s="16"/>
      <c r="E771" s="16"/>
      <c r="F771" s="17"/>
      <c r="G771" s="21"/>
      <c r="H771" s="21"/>
      <c r="I771" s="4">
        <v>0</v>
      </c>
      <c r="J771" s="4">
        <v>0</v>
      </c>
      <c r="K771" s="4"/>
      <c r="L771" s="16"/>
      <c r="M771" s="4"/>
      <c r="N771" s="4"/>
      <c r="O771" s="4"/>
      <c r="P771" s="4"/>
      <c r="Q771" s="4"/>
      <c r="R771" s="4"/>
      <c r="S771" s="4">
        <v>0</v>
      </c>
      <c r="T771" s="4">
        <v>0</v>
      </c>
      <c r="U771" s="4">
        <v>0</v>
      </c>
      <c r="V771" s="4">
        <v>12</v>
      </c>
      <c r="W771" s="4">
        <v>12</v>
      </c>
      <c r="X771" s="4">
        <v>0</v>
      </c>
      <c r="Y771" s="4"/>
      <c r="Z771" s="4">
        <v>455</v>
      </c>
      <c r="AA771" s="4">
        <v>450</v>
      </c>
      <c r="AB771" s="18"/>
      <c r="AC771" s="18">
        <v>15</v>
      </c>
      <c r="AD771" s="28"/>
      <c r="AE771" s="26"/>
      <c r="AF771" s="28"/>
    </row>
    <row r="772" spans="1:32" ht="13.5" customHeight="1" x14ac:dyDescent="0.25">
      <c r="A772" s="14">
        <v>45762</v>
      </c>
      <c r="B772" s="14" t="s">
        <v>47</v>
      </c>
      <c r="C772" s="15">
        <v>7</v>
      </c>
      <c r="D772" s="16">
        <v>10</v>
      </c>
      <c r="E772" s="16"/>
      <c r="F772" s="17"/>
      <c r="G772" s="21"/>
      <c r="H772" s="21"/>
      <c r="I772" s="4">
        <v>10</v>
      </c>
      <c r="J772" s="4">
        <v>0.16666666666666666</v>
      </c>
      <c r="K772" s="4"/>
      <c r="L772" s="16"/>
      <c r="M772" s="4"/>
      <c r="N772" s="4"/>
      <c r="O772" s="4"/>
      <c r="P772" s="4"/>
      <c r="Q772" s="4"/>
      <c r="R772" s="4"/>
      <c r="S772" s="4">
        <v>0</v>
      </c>
      <c r="T772" s="4">
        <v>0</v>
      </c>
      <c r="U772" s="4">
        <v>0.16666666666666666</v>
      </c>
      <c r="V772" s="4">
        <v>11.833333333333334</v>
      </c>
      <c r="W772" s="4">
        <v>12</v>
      </c>
      <c r="X772" s="4">
        <v>0</v>
      </c>
      <c r="Y772" s="4"/>
      <c r="Z772" s="4">
        <v>467.5</v>
      </c>
      <c r="AA772" s="4">
        <v>450</v>
      </c>
      <c r="AB772" s="18"/>
      <c r="AC772" s="18">
        <v>15</v>
      </c>
      <c r="AD772" s="28"/>
      <c r="AE772" s="26"/>
      <c r="AF772" s="28"/>
    </row>
    <row r="773" spans="1:32" ht="13.5" customHeight="1" x14ac:dyDescent="0.25">
      <c r="A773" s="14">
        <v>45763</v>
      </c>
      <c r="B773" s="14" t="s">
        <v>46</v>
      </c>
      <c r="C773" s="15">
        <v>1</v>
      </c>
      <c r="D773" s="16">
        <v>10</v>
      </c>
      <c r="E773" s="16"/>
      <c r="F773" s="17"/>
      <c r="G773" s="21"/>
      <c r="H773" s="21"/>
      <c r="I773" s="4">
        <v>10</v>
      </c>
      <c r="J773" s="4">
        <v>0.16666666666666666</v>
      </c>
      <c r="K773" s="4"/>
      <c r="L773" s="16"/>
      <c r="M773" s="4"/>
      <c r="N773" s="4"/>
      <c r="O773" s="4"/>
      <c r="P773" s="4"/>
      <c r="Q773" s="4"/>
      <c r="R773" s="4">
        <v>10</v>
      </c>
      <c r="S773" s="4">
        <v>10</v>
      </c>
      <c r="T773" s="4">
        <v>0.16666666666666666</v>
      </c>
      <c r="U773" s="4">
        <v>0.33333333333333331</v>
      </c>
      <c r="V773" s="4">
        <v>11.666666666666666</v>
      </c>
      <c r="W773" s="4">
        <v>12</v>
      </c>
      <c r="X773" s="4">
        <v>0</v>
      </c>
      <c r="Y773" s="4">
        <v>2767</v>
      </c>
      <c r="Z773" s="4">
        <v>169</v>
      </c>
      <c r="AA773" s="4">
        <v>200</v>
      </c>
      <c r="AB773" s="18">
        <v>372</v>
      </c>
      <c r="AC773" s="18">
        <v>15</v>
      </c>
      <c r="AD773" s="28"/>
      <c r="AE773" s="26"/>
      <c r="AF773" s="28"/>
    </row>
    <row r="774" spans="1:32" ht="13.5" customHeight="1" x14ac:dyDescent="0.25">
      <c r="A774" s="14">
        <v>45763</v>
      </c>
      <c r="B774" s="14" t="s">
        <v>47</v>
      </c>
      <c r="C774" s="15">
        <v>1</v>
      </c>
      <c r="D774" s="16">
        <v>7</v>
      </c>
      <c r="E774" s="16"/>
      <c r="F774" s="17"/>
      <c r="G774" s="21"/>
      <c r="H774" s="21"/>
      <c r="I774" s="4">
        <v>7</v>
      </c>
      <c r="J774" s="4">
        <v>0.11666666666666667</v>
      </c>
      <c r="K774" s="4"/>
      <c r="L774" s="16"/>
      <c r="M774" s="4"/>
      <c r="N774" s="4"/>
      <c r="O774" s="4"/>
      <c r="P774" s="4"/>
      <c r="Q774" s="4"/>
      <c r="R774" s="4"/>
      <c r="S774" s="4">
        <v>0</v>
      </c>
      <c r="T774" s="4">
        <v>0</v>
      </c>
      <c r="U774" s="4">
        <v>0.11666666666666667</v>
      </c>
      <c r="V774" s="4">
        <v>11.883333333333333</v>
      </c>
      <c r="W774" s="4">
        <v>12</v>
      </c>
      <c r="X774" s="4">
        <v>0</v>
      </c>
      <c r="Y774" s="4"/>
      <c r="Z774" s="4">
        <v>187.2</v>
      </c>
      <c r="AA774" s="4">
        <v>200</v>
      </c>
      <c r="AB774" s="18"/>
      <c r="AC774" s="18">
        <v>15</v>
      </c>
      <c r="AD774" s="28"/>
      <c r="AE774" s="26"/>
      <c r="AF774" s="28"/>
    </row>
    <row r="775" spans="1:32" ht="13.5" customHeight="1" x14ac:dyDescent="0.25">
      <c r="A775" s="14">
        <v>45763</v>
      </c>
      <c r="B775" s="14" t="s">
        <v>46</v>
      </c>
      <c r="C775" s="15">
        <v>2</v>
      </c>
      <c r="D775" s="16">
        <v>2</v>
      </c>
      <c r="E775" s="16"/>
      <c r="F775" s="17"/>
      <c r="G775" s="21"/>
      <c r="H775" s="21"/>
      <c r="I775" s="4">
        <v>2</v>
      </c>
      <c r="J775" s="4">
        <v>3.3333333333333333E-2</v>
      </c>
      <c r="K775" s="4"/>
      <c r="L775" s="16"/>
      <c r="M775" s="4"/>
      <c r="N775" s="4"/>
      <c r="O775" s="4"/>
      <c r="P775" s="4"/>
      <c r="Q775" s="4"/>
      <c r="R775" s="4"/>
      <c r="S775" s="4">
        <v>0</v>
      </c>
      <c r="T775" s="4">
        <v>0</v>
      </c>
      <c r="U775" s="4">
        <v>3.3333333333333333E-2</v>
      </c>
      <c r="V775" s="4">
        <v>11.966666666666667</v>
      </c>
      <c r="W775" s="4">
        <v>12</v>
      </c>
      <c r="X775" s="4">
        <v>0</v>
      </c>
      <c r="Y775" s="4"/>
      <c r="Z775" s="4">
        <v>135.29999999999998</v>
      </c>
      <c r="AA775" s="4">
        <v>150</v>
      </c>
      <c r="AB775" s="18"/>
      <c r="AC775" s="18">
        <v>15</v>
      </c>
      <c r="AD775" s="28"/>
      <c r="AE775" s="26"/>
      <c r="AF775" s="28"/>
    </row>
    <row r="776" spans="1:32" ht="13.5" customHeight="1" x14ac:dyDescent="0.25">
      <c r="A776" s="14">
        <v>45763</v>
      </c>
      <c r="B776" s="14" t="s">
        <v>47</v>
      </c>
      <c r="C776" s="15">
        <v>2</v>
      </c>
      <c r="D776" s="16"/>
      <c r="E776" s="16"/>
      <c r="F776" s="17"/>
      <c r="G776" s="21"/>
      <c r="H776" s="21"/>
      <c r="I776" s="4">
        <v>0</v>
      </c>
      <c r="J776" s="4">
        <v>0</v>
      </c>
      <c r="K776" s="4"/>
      <c r="L776" s="16"/>
      <c r="M776" s="4"/>
      <c r="N776" s="4"/>
      <c r="O776" s="4"/>
      <c r="P776" s="4"/>
      <c r="Q776" s="4"/>
      <c r="R776" s="4"/>
      <c r="S776" s="4">
        <v>0</v>
      </c>
      <c r="T776" s="4">
        <v>0</v>
      </c>
      <c r="U776" s="4">
        <v>0</v>
      </c>
      <c r="V776" s="4">
        <v>12</v>
      </c>
      <c r="W776" s="4">
        <v>12</v>
      </c>
      <c r="X776" s="4">
        <v>0</v>
      </c>
      <c r="Y776" s="4"/>
      <c r="Z776" s="4">
        <v>480.7</v>
      </c>
      <c r="AA776" s="4">
        <v>500</v>
      </c>
      <c r="AB776" s="18"/>
      <c r="AC776" s="18">
        <v>15</v>
      </c>
      <c r="AD776" s="28"/>
      <c r="AE776" s="26"/>
      <c r="AF776" s="28"/>
    </row>
    <row r="777" spans="1:32" ht="13.5" customHeight="1" x14ac:dyDescent="0.25">
      <c r="A777" s="14">
        <v>45763</v>
      </c>
      <c r="B777" s="14" t="s">
        <v>46</v>
      </c>
      <c r="C777" s="15">
        <v>3</v>
      </c>
      <c r="D777" s="16">
        <v>10</v>
      </c>
      <c r="E777" s="16"/>
      <c r="F777" s="17"/>
      <c r="G777" s="21"/>
      <c r="H777" s="21"/>
      <c r="I777" s="4">
        <v>10</v>
      </c>
      <c r="J777" s="4">
        <v>0.16666666666666666</v>
      </c>
      <c r="K777" s="4"/>
      <c r="L777" s="16"/>
      <c r="M777" s="4"/>
      <c r="N777" s="4"/>
      <c r="O777" s="4"/>
      <c r="P777" s="4"/>
      <c r="Q777" s="4"/>
      <c r="R777" s="4"/>
      <c r="S777" s="4">
        <v>0</v>
      </c>
      <c r="T777" s="4">
        <v>0</v>
      </c>
      <c r="U777" s="4">
        <v>0.16666666666666666</v>
      </c>
      <c r="V777" s="4">
        <v>11.833333333333334</v>
      </c>
      <c r="W777" s="4">
        <v>12</v>
      </c>
      <c r="X777" s="4">
        <v>0</v>
      </c>
      <c r="Y777" s="4"/>
      <c r="Z777" s="4">
        <v>185.7</v>
      </c>
      <c r="AA777" s="4">
        <v>200</v>
      </c>
      <c r="AB777" s="18"/>
      <c r="AC777" s="18">
        <v>15</v>
      </c>
      <c r="AD777" s="28"/>
      <c r="AE777" s="26"/>
      <c r="AF777" s="28"/>
    </row>
    <row r="778" spans="1:32" ht="13.5" customHeight="1" x14ac:dyDescent="0.25">
      <c r="A778" s="14">
        <v>45763</v>
      </c>
      <c r="B778" s="14" t="s">
        <v>47</v>
      </c>
      <c r="C778" s="15">
        <v>3</v>
      </c>
      <c r="D778" s="16"/>
      <c r="E778" s="16"/>
      <c r="F778" s="17"/>
      <c r="G778" s="21"/>
      <c r="H778" s="21"/>
      <c r="I778" s="4">
        <v>0</v>
      </c>
      <c r="J778" s="4">
        <v>0</v>
      </c>
      <c r="K778" s="4"/>
      <c r="L778" s="16"/>
      <c r="M778" s="4"/>
      <c r="N778" s="4"/>
      <c r="O778" s="4"/>
      <c r="P778" s="4"/>
      <c r="Q778" s="4"/>
      <c r="R778" s="4"/>
      <c r="S778" s="4">
        <v>0</v>
      </c>
      <c r="T778" s="4">
        <v>0</v>
      </c>
      <c r="U778" s="4">
        <v>0</v>
      </c>
      <c r="V778" s="4">
        <v>12</v>
      </c>
      <c r="W778" s="4">
        <v>12</v>
      </c>
      <c r="X778" s="4">
        <v>0</v>
      </c>
      <c r="Y778" s="4"/>
      <c r="Z778" s="4">
        <v>774.19999999999993</v>
      </c>
      <c r="AA778" s="4">
        <v>800</v>
      </c>
      <c r="AB778" s="18"/>
      <c r="AC778" s="18">
        <v>15</v>
      </c>
      <c r="AD778" s="28"/>
      <c r="AE778" s="26"/>
      <c r="AF778" s="28"/>
    </row>
    <row r="779" spans="1:32" ht="13.5" customHeight="1" x14ac:dyDescent="0.25">
      <c r="A779" s="14">
        <v>45763</v>
      </c>
      <c r="B779" s="14" t="s">
        <v>46</v>
      </c>
      <c r="C779" s="15">
        <v>5</v>
      </c>
      <c r="D779" s="16">
        <v>8</v>
      </c>
      <c r="E779" s="16"/>
      <c r="F779" s="17"/>
      <c r="G779" s="21"/>
      <c r="H779" s="21"/>
      <c r="I779" s="4">
        <v>8</v>
      </c>
      <c r="J779" s="4">
        <v>0.13333333333333333</v>
      </c>
      <c r="K779" s="4"/>
      <c r="L779" s="16"/>
      <c r="M779" s="4"/>
      <c r="N779" s="4"/>
      <c r="O779" s="4"/>
      <c r="P779" s="4"/>
      <c r="Q779" s="4"/>
      <c r="R779" s="4"/>
      <c r="S779" s="4">
        <v>0</v>
      </c>
      <c r="T779" s="4">
        <v>0</v>
      </c>
      <c r="U779" s="4">
        <v>0.13333333333333333</v>
      </c>
      <c r="V779" s="4">
        <v>11.866666666666667</v>
      </c>
      <c r="W779" s="4">
        <v>12</v>
      </c>
      <c r="X779" s="4">
        <v>0</v>
      </c>
      <c r="Y779" s="4"/>
      <c r="Z779" s="4">
        <v>591.6</v>
      </c>
      <c r="AA779" s="4">
        <v>600</v>
      </c>
      <c r="AB779" s="18"/>
      <c r="AC779" s="18">
        <v>15</v>
      </c>
      <c r="AD779" s="28"/>
      <c r="AE779" s="26"/>
      <c r="AF779" s="28"/>
    </row>
    <row r="780" spans="1:32" ht="13.5" customHeight="1" x14ac:dyDescent="0.25">
      <c r="A780" s="14">
        <v>45763</v>
      </c>
      <c r="B780" s="14" t="s">
        <v>47</v>
      </c>
      <c r="C780" s="15">
        <v>5</v>
      </c>
      <c r="D780" s="16"/>
      <c r="E780" s="16"/>
      <c r="F780" s="17"/>
      <c r="G780" s="21"/>
      <c r="H780" s="21"/>
      <c r="I780" s="4">
        <v>0</v>
      </c>
      <c r="J780" s="4">
        <v>0</v>
      </c>
      <c r="K780" s="4"/>
      <c r="L780" s="16"/>
      <c r="M780" s="4"/>
      <c r="N780" s="4"/>
      <c r="O780" s="4"/>
      <c r="P780" s="4"/>
      <c r="Q780" s="4"/>
      <c r="R780" s="4"/>
      <c r="S780" s="4">
        <v>0</v>
      </c>
      <c r="T780" s="4">
        <v>0</v>
      </c>
      <c r="U780" s="4">
        <v>0</v>
      </c>
      <c r="V780" s="4">
        <v>12</v>
      </c>
      <c r="W780" s="4">
        <v>12</v>
      </c>
      <c r="X780" s="4">
        <v>0</v>
      </c>
      <c r="Y780" s="4"/>
      <c r="Z780" s="4">
        <v>863.39999999999986</v>
      </c>
      <c r="AA780" s="4">
        <v>850</v>
      </c>
      <c r="AB780" s="18"/>
      <c r="AC780" s="18">
        <v>15</v>
      </c>
      <c r="AD780" s="28"/>
      <c r="AE780" s="26"/>
      <c r="AF780" s="28"/>
    </row>
    <row r="781" spans="1:32" ht="13.5" customHeight="1" x14ac:dyDescent="0.25">
      <c r="A781" s="14">
        <v>45763</v>
      </c>
      <c r="B781" s="14" t="s">
        <v>46</v>
      </c>
      <c r="C781" s="15">
        <v>6</v>
      </c>
      <c r="D781" s="16"/>
      <c r="E781" s="16"/>
      <c r="F781" s="17"/>
      <c r="G781" s="21"/>
      <c r="H781" s="21"/>
      <c r="I781" s="4">
        <v>0</v>
      </c>
      <c r="J781" s="4">
        <v>0</v>
      </c>
      <c r="K781" s="4"/>
      <c r="L781" s="16"/>
      <c r="M781" s="4"/>
      <c r="N781" s="4"/>
      <c r="O781" s="4"/>
      <c r="P781" s="4"/>
      <c r="Q781" s="4"/>
      <c r="R781" s="4"/>
      <c r="S781" s="4">
        <v>0</v>
      </c>
      <c r="T781" s="4">
        <v>0</v>
      </c>
      <c r="U781" s="4">
        <v>0</v>
      </c>
      <c r="V781" s="4">
        <v>12</v>
      </c>
      <c r="W781" s="4">
        <v>12</v>
      </c>
      <c r="X781" s="4">
        <v>80</v>
      </c>
      <c r="Y781" s="4"/>
      <c r="Z781" s="4">
        <v>648.4</v>
      </c>
      <c r="AA781" s="4">
        <v>650</v>
      </c>
      <c r="AB781" s="18"/>
      <c r="AC781" s="18">
        <v>15</v>
      </c>
      <c r="AD781" s="28"/>
      <c r="AE781" s="26"/>
      <c r="AF781" s="28"/>
    </row>
    <row r="782" spans="1:32" ht="13.5" customHeight="1" x14ac:dyDescent="0.25">
      <c r="A782" s="14">
        <v>45763</v>
      </c>
      <c r="B782" s="14" t="s">
        <v>47</v>
      </c>
      <c r="C782" s="15">
        <v>6</v>
      </c>
      <c r="D782" s="16"/>
      <c r="E782" s="16"/>
      <c r="F782" s="17"/>
      <c r="G782" s="21"/>
      <c r="H782" s="21"/>
      <c r="I782" s="4">
        <v>0</v>
      </c>
      <c r="J782" s="4">
        <v>0</v>
      </c>
      <c r="K782" s="4"/>
      <c r="L782" s="16"/>
      <c r="M782" s="4"/>
      <c r="N782" s="4"/>
      <c r="O782" s="4"/>
      <c r="P782" s="4"/>
      <c r="Q782" s="4"/>
      <c r="R782" s="4"/>
      <c r="S782" s="4">
        <v>0</v>
      </c>
      <c r="T782" s="4">
        <v>0</v>
      </c>
      <c r="U782" s="4">
        <v>0</v>
      </c>
      <c r="V782" s="4">
        <v>12</v>
      </c>
      <c r="W782" s="4">
        <v>12</v>
      </c>
      <c r="X782" s="4">
        <v>60</v>
      </c>
      <c r="Y782" s="4"/>
      <c r="Z782" s="4">
        <v>694.60000000000014</v>
      </c>
      <c r="AA782" s="4">
        <v>700</v>
      </c>
      <c r="AB782" s="18"/>
      <c r="AC782" s="18">
        <v>15</v>
      </c>
      <c r="AD782" s="28"/>
      <c r="AE782" s="26"/>
      <c r="AF782" s="28"/>
    </row>
    <row r="783" spans="1:32" ht="13.5" customHeight="1" x14ac:dyDescent="0.25">
      <c r="A783" s="14">
        <v>45763</v>
      </c>
      <c r="B783" s="14" t="s">
        <v>46</v>
      </c>
      <c r="C783" s="15">
        <v>7</v>
      </c>
      <c r="D783" s="16"/>
      <c r="E783" s="16"/>
      <c r="F783" s="17"/>
      <c r="G783" s="21"/>
      <c r="H783" s="21"/>
      <c r="I783" s="4">
        <v>0</v>
      </c>
      <c r="J783" s="4">
        <v>0</v>
      </c>
      <c r="K783" s="4"/>
      <c r="L783" s="16"/>
      <c r="M783" s="4"/>
      <c r="N783" s="4"/>
      <c r="O783" s="4"/>
      <c r="P783" s="4"/>
      <c r="Q783" s="4"/>
      <c r="R783" s="4"/>
      <c r="S783" s="4">
        <v>0</v>
      </c>
      <c r="T783" s="4">
        <v>0</v>
      </c>
      <c r="U783" s="4">
        <v>0</v>
      </c>
      <c r="V783" s="4">
        <v>12</v>
      </c>
      <c r="W783" s="4">
        <v>12</v>
      </c>
      <c r="X783" s="4">
        <v>0</v>
      </c>
      <c r="Y783" s="4"/>
      <c r="Z783" s="4">
        <v>440.60000000000008</v>
      </c>
      <c r="AA783" s="4">
        <v>450</v>
      </c>
      <c r="AB783" s="18"/>
      <c r="AC783" s="18">
        <v>15</v>
      </c>
      <c r="AD783" s="28"/>
      <c r="AE783" s="26"/>
      <c r="AF783" s="28"/>
    </row>
    <row r="784" spans="1:32" ht="13.5" customHeight="1" x14ac:dyDescent="0.25">
      <c r="A784" s="14">
        <v>45763</v>
      </c>
      <c r="B784" s="14" t="s">
        <v>47</v>
      </c>
      <c r="C784" s="15">
        <v>7</v>
      </c>
      <c r="D784" s="16"/>
      <c r="E784" s="16"/>
      <c r="F784" s="17"/>
      <c r="G784" s="21"/>
      <c r="H784" s="21"/>
      <c r="I784" s="4">
        <v>0</v>
      </c>
      <c r="J784" s="4">
        <v>0</v>
      </c>
      <c r="K784" s="4"/>
      <c r="L784" s="16"/>
      <c r="M784" s="4"/>
      <c r="N784" s="4"/>
      <c r="O784" s="4"/>
      <c r="P784" s="4"/>
      <c r="Q784" s="4"/>
      <c r="R784" s="4"/>
      <c r="S784" s="4">
        <v>0</v>
      </c>
      <c r="T784" s="4">
        <v>0</v>
      </c>
      <c r="U784" s="4">
        <v>0</v>
      </c>
      <c r="V784" s="4">
        <v>12</v>
      </c>
      <c r="W784" s="4">
        <v>12</v>
      </c>
      <c r="X784" s="4">
        <v>0</v>
      </c>
      <c r="Y784" s="4"/>
      <c r="Z784" s="4">
        <v>485.80999999999995</v>
      </c>
      <c r="AA784" s="4">
        <v>500</v>
      </c>
      <c r="AB784" s="18"/>
      <c r="AC784" s="18">
        <v>15</v>
      </c>
      <c r="AD784" s="28"/>
      <c r="AE784" s="26"/>
      <c r="AF784" s="28"/>
    </row>
    <row r="785" spans="1:32" ht="13.5" customHeight="1" x14ac:dyDescent="0.25">
      <c r="A785" s="14">
        <v>45764</v>
      </c>
      <c r="B785" s="14" t="s">
        <v>46</v>
      </c>
      <c r="C785" s="15">
        <v>1</v>
      </c>
      <c r="D785" s="16">
        <v>26</v>
      </c>
      <c r="E785" s="16"/>
      <c r="F785" s="17"/>
      <c r="G785" s="21"/>
      <c r="H785" s="21"/>
      <c r="I785" s="4">
        <v>26</v>
      </c>
      <c r="J785" s="4">
        <v>0.43333333333333335</v>
      </c>
      <c r="K785" s="4"/>
      <c r="L785" s="16"/>
      <c r="M785" s="4"/>
      <c r="N785" s="4"/>
      <c r="O785" s="4"/>
      <c r="P785" s="4"/>
      <c r="Q785" s="4"/>
      <c r="R785" s="4"/>
      <c r="S785" s="4">
        <v>0</v>
      </c>
      <c r="T785" s="4">
        <v>0</v>
      </c>
      <c r="U785" s="4">
        <v>0.43333333333333335</v>
      </c>
      <c r="V785" s="4">
        <v>11.566666666666666</v>
      </c>
      <c r="W785" s="4">
        <v>12</v>
      </c>
      <c r="X785" s="4">
        <v>0</v>
      </c>
      <c r="Y785" s="4">
        <v>2755</v>
      </c>
      <c r="Z785" s="4">
        <v>193.20000000000002</v>
      </c>
      <c r="AA785" s="4">
        <v>200</v>
      </c>
      <c r="AB785" s="18">
        <v>372</v>
      </c>
      <c r="AC785" s="18">
        <v>15</v>
      </c>
      <c r="AD785" s="28"/>
      <c r="AE785" s="26"/>
      <c r="AF785" s="28"/>
    </row>
    <row r="786" spans="1:32" ht="13.5" customHeight="1" x14ac:dyDescent="0.25">
      <c r="A786" s="14">
        <v>45764</v>
      </c>
      <c r="B786" s="14" t="s">
        <v>47</v>
      </c>
      <c r="C786" s="15">
        <v>1</v>
      </c>
      <c r="D786" s="16"/>
      <c r="E786" s="16"/>
      <c r="F786" s="17"/>
      <c r="G786" s="21"/>
      <c r="H786" s="21"/>
      <c r="I786" s="4">
        <v>0</v>
      </c>
      <c r="J786" s="4">
        <v>0</v>
      </c>
      <c r="K786" s="4"/>
      <c r="L786" s="16"/>
      <c r="M786" s="4"/>
      <c r="N786" s="4"/>
      <c r="O786" s="4"/>
      <c r="P786" s="4"/>
      <c r="Q786" s="4"/>
      <c r="R786" s="4"/>
      <c r="S786" s="4">
        <v>0</v>
      </c>
      <c r="T786" s="4">
        <v>0</v>
      </c>
      <c r="U786" s="4">
        <v>0</v>
      </c>
      <c r="V786" s="4">
        <v>12</v>
      </c>
      <c r="W786" s="4">
        <v>12</v>
      </c>
      <c r="X786" s="4">
        <v>0</v>
      </c>
      <c r="Y786" s="4"/>
      <c r="Z786" s="4">
        <v>166.2</v>
      </c>
      <c r="AA786" s="4">
        <v>200</v>
      </c>
      <c r="AB786" s="18"/>
      <c r="AC786" s="18">
        <v>15</v>
      </c>
      <c r="AD786" s="28"/>
      <c r="AE786" s="26"/>
      <c r="AF786" s="28"/>
    </row>
    <row r="787" spans="1:32" ht="13.5" customHeight="1" x14ac:dyDescent="0.25">
      <c r="A787" s="14">
        <v>45764</v>
      </c>
      <c r="B787" s="14" t="s">
        <v>46</v>
      </c>
      <c r="C787" s="15">
        <v>2</v>
      </c>
      <c r="D787" s="16"/>
      <c r="E787" s="16"/>
      <c r="F787" s="17"/>
      <c r="G787" s="21"/>
      <c r="H787" s="21"/>
      <c r="I787" s="4">
        <v>0</v>
      </c>
      <c r="J787" s="4">
        <v>0</v>
      </c>
      <c r="K787" s="4"/>
      <c r="L787" s="16"/>
      <c r="M787" s="4"/>
      <c r="N787" s="4"/>
      <c r="O787" s="4"/>
      <c r="P787" s="4"/>
      <c r="Q787" s="4"/>
      <c r="R787" s="4"/>
      <c r="S787" s="4">
        <v>0</v>
      </c>
      <c r="T787" s="4">
        <v>0</v>
      </c>
      <c r="U787" s="4">
        <v>0</v>
      </c>
      <c r="V787" s="4">
        <v>12</v>
      </c>
      <c r="W787" s="4">
        <v>12</v>
      </c>
      <c r="X787" s="4">
        <v>0</v>
      </c>
      <c r="Y787" s="4"/>
      <c r="Z787" s="4">
        <v>291.7</v>
      </c>
      <c r="AA787" s="4">
        <v>350</v>
      </c>
      <c r="AB787" s="18"/>
      <c r="AC787" s="18">
        <v>15</v>
      </c>
      <c r="AD787" s="28"/>
      <c r="AE787" s="26"/>
      <c r="AF787" s="28"/>
    </row>
    <row r="788" spans="1:32" ht="13.5" customHeight="1" x14ac:dyDescent="0.25">
      <c r="A788" s="14">
        <v>45764</v>
      </c>
      <c r="B788" s="14" t="s">
        <v>47</v>
      </c>
      <c r="C788" s="15">
        <v>2</v>
      </c>
      <c r="D788" s="16"/>
      <c r="E788" s="16"/>
      <c r="F788" s="17"/>
      <c r="G788" s="21"/>
      <c r="H788" s="21"/>
      <c r="I788" s="4">
        <v>0</v>
      </c>
      <c r="J788" s="4">
        <v>0</v>
      </c>
      <c r="K788" s="4"/>
      <c r="L788" s="16"/>
      <c r="M788" s="4"/>
      <c r="N788" s="4"/>
      <c r="O788" s="4"/>
      <c r="P788" s="4"/>
      <c r="Q788" s="4"/>
      <c r="R788" s="4"/>
      <c r="S788" s="4">
        <v>0</v>
      </c>
      <c r="T788" s="4">
        <v>0</v>
      </c>
      <c r="U788" s="4">
        <v>0</v>
      </c>
      <c r="V788" s="4">
        <v>12</v>
      </c>
      <c r="W788" s="4">
        <v>12</v>
      </c>
      <c r="X788" s="4">
        <v>0</v>
      </c>
      <c r="Y788" s="4"/>
      <c r="Z788" s="4">
        <v>541.90000000000009</v>
      </c>
      <c r="AA788" s="4">
        <v>550</v>
      </c>
      <c r="AB788" s="18"/>
      <c r="AC788" s="18">
        <v>15</v>
      </c>
      <c r="AD788" s="28"/>
      <c r="AE788" s="26"/>
      <c r="AF788" s="28"/>
    </row>
    <row r="789" spans="1:32" ht="13.5" customHeight="1" x14ac:dyDescent="0.25">
      <c r="A789" s="14">
        <v>45764</v>
      </c>
      <c r="B789" s="14" t="s">
        <v>46</v>
      </c>
      <c r="C789" s="15">
        <v>3</v>
      </c>
      <c r="D789" s="16"/>
      <c r="E789" s="16"/>
      <c r="F789" s="17"/>
      <c r="G789" s="21"/>
      <c r="H789" s="21"/>
      <c r="I789" s="4">
        <v>0</v>
      </c>
      <c r="J789" s="4">
        <v>0</v>
      </c>
      <c r="K789" s="4"/>
      <c r="L789" s="16"/>
      <c r="M789" s="4"/>
      <c r="N789" s="4"/>
      <c r="O789" s="4"/>
      <c r="P789" s="4"/>
      <c r="Q789" s="4"/>
      <c r="R789" s="4"/>
      <c r="S789" s="4">
        <v>0</v>
      </c>
      <c r="T789" s="4">
        <v>0</v>
      </c>
      <c r="U789" s="4">
        <v>0</v>
      </c>
      <c r="V789" s="4">
        <v>12</v>
      </c>
      <c r="W789" s="4">
        <v>12</v>
      </c>
      <c r="X789" s="4">
        <v>0</v>
      </c>
      <c r="Y789" s="4"/>
      <c r="Z789" s="4">
        <v>324.8</v>
      </c>
      <c r="AA789" s="4">
        <v>350</v>
      </c>
      <c r="AB789" s="18"/>
      <c r="AC789" s="18">
        <v>15</v>
      </c>
      <c r="AD789" s="28"/>
      <c r="AE789" s="26"/>
      <c r="AF789" s="28"/>
    </row>
    <row r="790" spans="1:32" ht="13.5" customHeight="1" x14ac:dyDescent="0.25">
      <c r="A790" s="14">
        <v>45764</v>
      </c>
      <c r="B790" s="14" t="s">
        <v>47</v>
      </c>
      <c r="C790" s="15">
        <v>3</v>
      </c>
      <c r="D790" s="16"/>
      <c r="E790" s="16"/>
      <c r="F790" s="17"/>
      <c r="G790" s="21"/>
      <c r="H790" s="21"/>
      <c r="I790" s="4">
        <v>0</v>
      </c>
      <c r="J790" s="4">
        <v>0</v>
      </c>
      <c r="K790" s="4"/>
      <c r="L790" s="16"/>
      <c r="M790" s="4"/>
      <c r="N790" s="4"/>
      <c r="O790" s="4"/>
      <c r="P790" s="4"/>
      <c r="Q790" s="4"/>
      <c r="R790" s="4"/>
      <c r="S790" s="4">
        <v>0</v>
      </c>
      <c r="T790" s="4">
        <v>0</v>
      </c>
      <c r="U790" s="4">
        <v>0</v>
      </c>
      <c r="V790" s="4">
        <v>12</v>
      </c>
      <c r="W790" s="4">
        <v>12</v>
      </c>
      <c r="X790" s="4">
        <v>0</v>
      </c>
      <c r="Y790" s="4"/>
      <c r="Z790" s="4">
        <v>538.59999999999991</v>
      </c>
      <c r="AA790" s="4">
        <v>550</v>
      </c>
      <c r="AB790" s="18"/>
      <c r="AC790" s="18">
        <v>15</v>
      </c>
      <c r="AD790" s="28"/>
      <c r="AE790" s="26"/>
      <c r="AF790" s="28"/>
    </row>
    <row r="791" spans="1:32" ht="13.5" customHeight="1" x14ac:dyDescent="0.25">
      <c r="A791" s="14">
        <v>45764</v>
      </c>
      <c r="B791" s="14" t="s">
        <v>46</v>
      </c>
      <c r="C791" s="15">
        <v>5</v>
      </c>
      <c r="D791" s="16">
        <v>5</v>
      </c>
      <c r="E791" s="16"/>
      <c r="F791" s="17"/>
      <c r="G791" s="21"/>
      <c r="H791" s="21"/>
      <c r="I791" s="4">
        <v>5</v>
      </c>
      <c r="J791" s="4">
        <v>8.3333333333333329E-2</v>
      </c>
      <c r="K791" s="4"/>
      <c r="L791" s="16"/>
      <c r="M791" s="4"/>
      <c r="N791" s="4"/>
      <c r="O791" s="4"/>
      <c r="P791" s="4"/>
      <c r="Q791" s="4"/>
      <c r="R791" s="4"/>
      <c r="S791" s="4">
        <v>0</v>
      </c>
      <c r="T791" s="4">
        <v>0</v>
      </c>
      <c r="U791" s="4">
        <v>8.3333333333333329E-2</v>
      </c>
      <c r="V791" s="4">
        <v>11.916666666666666</v>
      </c>
      <c r="W791" s="4">
        <v>12</v>
      </c>
      <c r="X791" s="4">
        <v>0</v>
      </c>
      <c r="Y791" s="4"/>
      <c r="Z791" s="4">
        <v>785.8</v>
      </c>
      <c r="AA791" s="4">
        <v>800</v>
      </c>
      <c r="AB791" s="18"/>
      <c r="AC791" s="18">
        <v>15</v>
      </c>
      <c r="AD791" s="28"/>
      <c r="AE791" s="26"/>
      <c r="AF791" s="28"/>
    </row>
    <row r="792" spans="1:32" ht="13.5" customHeight="1" x14ac:dyDescent="0.25">
      <c r="A792" s="14">
        <v>45764</v>
      </c>
      <c r="B792" s="14" t="s">
        <v>47</v>
      </c>
      <c r="C792" s="15">
        <v>5</v>
      </c>
      <c r="D792" s="16"/>
      <c r="E792" s="16"/>
      <c r="F792" s="17"/>
      <c r="G792" s="21"/>
      <c r="H792" s="21"/>
      <c r="I792" s="4">
        <v>0</v>
      </c>
      <c r="J792" s="4">
        <v>0</v>
      </c>
      <c r="K792" s="4"/>
      <c r="L792" s="16"/>
      <c r="M792" s="4"/>
      <c r="N792" s="4"/>
      <c r="O792" s="4"/>
      <c r="P792" s="4"/>
      <c r="Q792" s="4"/>
      <c r="R792" s="4"/>
      <c r="S792" s="4">
        <v>0</v>
      </c>
      <c r="T792" s="4">
        <v>0</v>
      </c>
      <c r="U792" s="4">
        <v>0</v>
      </c>
      <c r="V792" s="4">
        <v>12</v>
      </c>
      <c r="W792" s="4">
        <v>12</v>
      </c>
      <c r="X792" s="4">
        <v>0</v>
      </c>
      <c r="Y792" s="4"/>
      <c r="Z792" s="4">
        <v>623.6</v>
      </c>
      <c r="AA792" s="4">
        <v>650</v>
      </c>
      <c r="AB792" s="18"/>
      <c r="AC792" s="18">
        <v>15</v>
      </c>
      <c r="AD792" s="28"/>
      <c r="AE792" s="26"/>
      <c r="AF792" s="28"/>
    </row>
    <row r="793" spans="1:32" ht="13.5" customHeight="1" x14ac:dyDescent="0.25">
      <c r="A793" s="14">
        <v>45764</v>
      </c>
      <c r="B793" s="14" t="s">
        <v>46</v>
      </c>
      <c r="C793" s="15">
        <v>6</v>
      </c>
      <c r="D793" s="16">
        <v>5</v>
      </c>
      <c r="E793" s="16"/>
      <c r="F793" s="17"/>
      <c r="G793" s="21"/>
      <c r="H793" s="21"/>
      <c r="I793" s="4">
        <v>5</v>
      </c>
      <c r="J793" s="4">
        <v>8.3333333333333329E-2</v>
      </c>
      <c r="K793" s="4"/>
      <c r="L793" s="16"/>
      <c r="M793" s="4">
        <v>215</v>
      </c>
      <c r="N793" s="4"/>
      <c r="O793" s="4"/>
      <c r="P793" s="4"/>
      <c r="Q793" s="4"/>
      <c r="R793" s="4"/>
      <c r="S793" s="4">
        <v>215</v>
      </c>
      <c r="T793" s="4">
        <v>3.5833333333333335</v>
      </c>
      <c r="U793" s="4">
        <v>3.666666666666667</v>
      </c>
      <c r="V793" s="4">
        <v>8.3333333333333321</v>
      </c>
      <c r="W793" s="4">
        <v>12</v>
      </c>
      <c r="X793" s="4">
        <v>137.19999999999999</v>
      </c>
      <c r="Y793" s="4"/>
      <c r="Z793" s="4">
        <v>366.79999999999995</v>
      </c>
      <c r="AA793" s="4">
        <v>400</v>
      </c>
      <c r="AB793" s="18"/>
      <c r="AC793" s="18">
        <v>15</v>
      </c>
      <c r="AD793" s="28"/>
      <c r="AE793" s="26"/>
      <c r="AF793" s="28"/>
    </row>
    <row r="794" spans="1:32" ht="13.5" customHeight="1" x14ac:dyDescent="0.25">
      <c r="A794" s="14">
        <v>45764</v>
      </c>
      <c r="B794" s="14" t="s">
        <v>47</v>
      </c>
      <c r="C794" s="15">
        <v>6</v>
      </c>
      <c r="D794" s="16">
        <v>20</v>
      </c>
      <c r="E794" s="16"/>
      <c r="F794" s="17"/>
      <c r="G794" s="21"/>
      <c r="H794" s="21"/>
      <c r="I794" s="4">
        <v>20</v>
      </c>
      <c r="J794" s="4">
        <v>0.33333333333333331</v>
      </c>
      <c r="K794" s="4"/>
      <c r="L794" s="16"/>
      <c r="M794" s="4"/>
      <c r="N794" s="4">
        <v>10</v>
      </c>
      <c r="O794" s="4"/>
      <c r="P794" s="4"/>
      <c r="Q794" s="4"/>
      <c r="R794" s="4"/>
      <c r="S794" s="4">
        <v>10</v>
      </c>
      <c r="T794" s="4">
        <v>0.16666666666666666</v>
      </c>
      <c r="U794" s="4">
        <v>0.5</v>
      </c>
      <c r="V794" s="4">
        <v>11.5</v>
      </c>
      <c r="W794" s="4">
        <v>12</v>
      </c>
      <c r="X794" s="4">
        <v>94</v>
      </c>
      <c r="Y794" s="4"/>
      <c r="Z794" s="4">
        <v>642.9</v>
      </c>
      <c r="AA794" s="4">
        <v>650</v>
      </c>
      <c r="AB794" s="18"/>
      <c r="AC794" s="18">
        <v>15</v>
      </c>
      <c r="AD794" s="28"/>
      <c r="AE794" s="26"/>
      <c r="AF794" s="28"/>
    </row>
    <row r="795" spans="1:32" ht="13.5" customHeight="1" x14ac:dyDescent="0.25">
      <c r="A795" s="14">
        <v>45764</v>
      </c>
      <c r="B795" s="14" t="s">
        <v>46</v>
      </c>
      <c r="C795" s="15">
        <v>7</v>
      </c>
      <c r="D795" s="16"/>
      <c r="E795" s="16"/>
      <c r="F795" s="17"/>
      <c r="G795" s="21"/>
      <c r="H795" s="21"/>
      <c r="I795" s="4">
        <v>0</v>
      </c>
      <c r="J795" s="4">
        <v>0</v>
      </c>
      <c r="K795" s="4"/>
      <c r="L795" s="16"/>
      <c r="M795" s="4"/>
      <c r="N795" s="4"/>
      <c r="O795" s="4"/>
      <c r="P795" s="4"/>
      <c r="Q795" s="4"/>
      <c r="R795" s="4"/>
      <c r="S795" s="4">
        <v>0</v>
      </c>
      <c r="T795" s="4">
        <v>0</v>
      </c>
      <c r="U795" s="4">
        <v>0</v>
      </c>
      <c r="V795" s="4">
        <v>12</v>
      </c>
      <c r="W795" s="4">
        <v>12</v>
      </c>
      <c r="X795" s="4">
        <v>0</v>
      </c>
      <c r="Y795" s="4"/>
      <c r="Z795" s="4">
        <v>491.26999999999992</v>
      </c>
      <c r="AA795" s="4">
        <v>500</v>
      </c>
      <c r="AB795" s="18"/>
      <c r="AC795" s="18">
        <v>15</v>
      </c>
      <c r="AD795" s="28"/>
      <c r="AE795" s="26"/>
      <c r="AF795" s="28"/>
    </row>
    <row r="796" spans="1:32" ht="13.5" customHeight="1" x14ac:dyDescent="0.25">
      <c r="A796" s="14">
        <v>45764</v>
      </c>
      <c r="B796" s="14" t="s">
        <v>47</v>
      </c>
      <c r="C796" s="15">
        <v>7</v>
      </c>
      <c r="D796" s="16"/>
      <c r="E796" s="16"/>
      <c r="F796" s="17"/>
      <c r="G796" s="21"/>
      <c r="H796" s="21"/>
      <c r="I796" s="4">
        <v>0</v>
      </c>
      <c r="J796" s="4">
        <v>0</v>
      </c>
      <c r="K796" s="4"/>
      <c r="L796" s="16"/>
      <c r="M796" s="4"/>
      <c r="N796" s="4"/>
      <c r="O796" s="4"/>
      <c r="P796" s="4"/>
      <c r="Q796" s="4"/>
      <c r="R796" s="4"/>
      <c r="S796" s="4">
        <v>0</v>
      </c>
      <c r="T796" s="4">
        <v>0</v>
      </c>
      <c r="U796" s="4">
        <v>0</v>
      </c>
      <c r="V796" s="4">
        <v>12</v>
      </c>
      <c r="W796" s="4">
        <v>12</v>
      </c>
      <c r="X796" s="4">
        <v>0</v>
      </c>
      <c r="Y796" s="4"/>
      <c r="Z796" s="4">
        <v>358.27499999999998</v>
      </c>
      <c r="AA796" s="4">
        <v>400</v>
      </c>
      <c r="AB796" s="18"/>
      <c r="AC796" s="18">
        <v>15</v>
      </c>
      <c r="AD796" s="28"/>
      <c r="AE796" s="26"/>
      <c r="AF796" s="28"/>
    </row>
    <row r="797" spans="1:32" ht="13.5" customHeight="1" x14ac:dyDescent="0.25">
      <c r="A797" s="14">
        <v>45765</v>
      </c>
      <c r="B797" s="14" t="s">
        <v>46</v>
      </c>
      <c r="C797" s="15">
        <v>1</v>
      </c>
      <c r="D797" s="16">
        <v>3</v>
      </c>
      <c r="E797" s="16"/>
      <c r="F797" s="17"/>
      <c r="G797" s="21"/>
      <c r="H797" s="21"/>
      <c r="I797" s="4">
        <v>3</v>
      </c>
      <c r="J797" s="4">
        <v>0.05</v>
      </c>
      <c r="K797" s="4"/>
      <c r="L797" s="16"/>
      <c r="M797" s="4"/>
      <c r="N797" s="4"/>
      <c r="O797" s="4"/>
      <c r="P797" s="4"/>
      <c r="Q797" s="4"/>
      <c r="R797" s="4"/>
      <c r="S797" s="4">
        <v>0</v>
      </c>
      <c r="T797" s="4">
        <v>0</v>
      </c>
      <c r="U797" s="4">
        <v>0.05</v>
      </c>
      <c r="V797" s="4">
        <v>11.95</v>
      </c>
      <c r="W797" s="4">
        <v>12</v>
      </c>
      <c r="X797" s="4">
        <v>0</v>
      </c>
      <c r="Y797" s="4">
        <v>2564</v>
      </c>
      <c r="Z797" s="4">
        <v>137.6</v>
      </c>
      <c r="AA797" s="4">
        <v>150</v>
      </c>
      <c r="AB797" s="18">
        <v>372</v>
      </c>
      <c r="AC797" s="18">
        <v>15</v>
      </c>
      <c r="AD797" s="28"/>
      <c r="AE797" s="26"/>
      <c r="AF797" s="28"/>
    </row>
    <row r="798" spans="1:32" ht="13.5" customHeight="1" x14ac:dyDescent="0.25">
      <c r="A798" s="14">
        <v>45765</v>
      </c>
      <c r="B798" s="14" t="s">
        <v>47</v>
      </c>
      <c r="C798" s="15">
        <v>1</v>
      </c>
      <c r="D798" s="16"/>
      <c r="E798" s="16"/>
      <c r="F798" s="17"/>
      <c r="G798" s="21"/>
      <c r="H798" s="21"/>
      <c r="I798" s="4">
        <v>0</v>
      </c>
      <c r="J798" s="4">
        <v>0</v>
      </c>
      <c r="K798" s="4"/>
      <c r="L798" s="16"/>
      <c r="M798" s="4"/>
      <c r="N798" s="4"/>
      <c r="O798" s="4"/>
      <c r="P798" s="4"/>
      <c r="Q798" s="4"/>
      <c r="R798" s="4"/>
      <c r="S798" s="4">
        <v>0</v>
      </c>
      <c r="T798" s="4">
        <v>0</v>
      </c>
      <c r="U798" s="4">
        <v>0</v>
      </c>
      <c r="V798" s="4">
        <v>12</v>
      </c>
      <c r="W798" s="4">
        <v>12</v>
      </c>
      <c r="X798" s="4">
        <v>0</v>
      </c>
      <c r="Y798" s="4"/>
      <c r="Z798" s="4">
        <v>160.19999999999999</v>
      </c>
      <c r="AA798" s="4">
        <v>150</v>
      </c>
      <c r="AB798" s="18"/>
      <c r="AC798" s="18">
        <v>15</v>
      </c>
      <c r="AD798" s="28"/>
      <c r="AE798" s="26"/>
      <c r="AF798" s="28"/>
    </row>
    <row r="799" spans="1:32" ht="13.5" customHeight="1" x14ac:dyDescent="0.25">
      <c r="A799" s="14">
        <v>45765</v>
      </c>
      <c r="B799" s="14" t="s">
        <v>46</v>
      </c>
      <c r="C799" s="15">
        <v>2</v>
      </c>
      <c r="D799" s="16">
        <v>25</v>
      </c>
      <c r="E799" s="16"/>
      <c r="F799" s="17"/>
      <c r="G799" s="21"/>
      <c r="H799" s="21"/>
      <c r="I799" s="4">
        <v>25</v>
      </c>
      <c r="J799" s="4">
        <v>0.41666666666666669</v>
      </c>
      <c r="K799" s="4"/>
      <c r="L799" s="16"/>
      <c r="M799" s="4"/>
      <c r="N799" s="4"/>
      <c r="O799" s="4"/>
      <c r="P799" s="4"/>
      <c r="Q799" s="4"/>
      <c r="R799" s="4"/>
      <c r="S799" s="4">
        <v>0</v>
      </c>
      <c r="T799" s="4">
        <v>0</v>
      </c>
      <c r="U799" s="4">
        <v>0.41666666666666669</v>
      </c>
      <c r="V799" s="4">
        <v>11.583333333333334</v>
      </c>
      <c r="W799" s="4">
        <v>12</v>
      </c>
      <c r="X799" s="4">
        <v>0</v>
      </c>
      <c r="Y799" s="4"/>
      <c r="Z799" s="4">
        <v>324.89999999999998</v>
      </c>
      <c r="AA799" s="4">
        <v>300</v>
      </c>
      <c r="AB799" s="18"/>
      <c r="AC799" s="18">
        <v>15</v>
      </c>
      <c r="AD799" s="28"/>
      <c r="AE799" s="26"/>
      <c r="AF799" s="28"/>
    </row>
    <row r="800" spans="1:32" ht="13.5" customHeight="1" x14ac:dyDescent="0.25">
      <c r="A800" s="14">
        <v>45765</v>
      </c>
      <c r="B800" s="14" t="s">
        <v>46</v>
      </c>
      <c r="C800" s="15">
        <v>3</v>
      </c>
      <c r="D800" s="16"/>
      <c r="E800" s="16"/>
      <c r="F800" s="17"/>
      <c r="G800" s="21"/>
      <c r="H800" s="21"/>
      <c r="I800" s="4">
        <v>0</v>
      </c>
      <c r="J800" s="4">
        <v>0</v>
      </c>
      <c r="K800" s="4"/>
      <c r="L800" s="16"/>
      <c r="M800" s="4"/>
      <c r="N800" s="4"/>
      <c r="O800" s="4"/>
      <c r="P800" s="4"/>
      <c r="Q800" s="4"/>
      <c r="R800" s="4"/>
      <c r="S800" s="4">
        <v>0</v>
      </c>
      <c r="T800" s="4">
        <v>0</v>
      </c>
      <c r="U800" s="4">
        <v>0</v>
      </c>
      <c r="V800" s="4">
        <v>12</v>
      </c>
      <c r="W800" s="4">
        <v>12</v>
      </c>
      <c r="X800" s="4">
        <v>0</v>
      </c>
      <c r="Y800" s="4"/>
      <c r="Z800" s="4">
        <v>472.7</v>
      </c>
      <c r="AA800" s="4">
        <v>500</v>
      </c>
      <c r="AB800" s="18"/>
      <c r="AC800" s="18">
        <v>15</v>
      </c>
      <c r="AD800" s="28"/>
      <c r="AE800" s="26"/>
      <c r="AF800" s="28"/>
    </row>
    <row r="801" spans="1:32" ht="13.5" customHeight="1" x14ac:dyDescent="0.25">
      <c r="A801" s="14">
        <v>45765</v>
      </c>
      <c r="B801" s="14" t="s">
        <v>47</v>
      </c>
      <c r="C801" s="15">
        <v>3</v>
      </c>
      <c r="D801" s="16"/>
      <c r="E801" s="16"/>
      <c r="F801" s="17"/>
      <c r="G801" s="21"/>
      <c r="H801" s="21"/>
      <c r="I801" s="4">
        <v>0</v>
      </c>
      <c r="J801" s="4">
        <v>0</v>
      </c>
      <c r="K801" s="4"/>
      <c r="L801" s="16"/>
      <c r="M801" s="4"/>
      <c r="N801" s="4"/>
      <c r="O801" s="4"/>
      <c r="P801" s="4"/>
      <c r="Q801" s="4"/>
      <c r="R801" s="4"/>
      <c r="S801" s="4">
        <v>0</v>
      </c>
      <c r="T801" s="4">
        <v>0</v>
      </c>
      <c r="U801" s="4">
        <v>0</v>
      </c>
      <c r="V801" s="4">
        <v>12</v>
      </c>
      <c r="W801" s="4">
        <v>12</v>
      </c>
      <c r="X801" s="4">
        <v>0</v>
      </c>
      <c r="Y801" s="4"/>
      <c r="Z801" s="4">
        <v>506.90000000000003</v>
      </c>
      <c r="AA801" s="4">
        <v>500</v>
      </c>
      <c r="AB801" s="18"/>
      <c r="AC801" s="18">
        <v>15</v>
      </c>
      <c r="AD801" s="28"/>
      <c r="AE801" s="26"/>
      <c r="AF801" s="28"/>
    </row>
    <row r="802" spans="1:32" ht="13.5" customHeight="1" x14ac:dyDescent="0.25">
      <c r="A802" s="14">
        <v>45765</v>
      </c>
      <c r="B802" s="14" t="s">
        <v>46</v>
      </c>
      <c r="C802" s="15">
        <v>5</v>
      </c>
      <c r="D802" s="16"/>
      <c r="E802" s="16"/>
      <c r="F802" s="17"/>
      <c r="G802" s="21"/>
      <c r="H802" s="21"/>
      <c r="I802" s="4">
        <v>0</v>
      </c>
      <c r="J802" s="4">
        <v>0</v>
      </c>
      <c r="K802" s="4"/>
      <c r="L802" s="16"/>
      <c r="M802" s="4"/>
      <c r="N802" s="4"/>
      <c r="O802" s="4"/>
      <c r="P802" s="4"/>
      <c r="Q802" s="4">
        <v>45</v>
      </c>
      <c r="R802" s="4"/>
      <c r="S802" s="4">
        <v>45</v>
      </c>
      <c r="T802" s="4">
        <v>0.75</v>
      </c>
      <c r="U802" s="4">
        <v>0.75</v>
      </c>
      <c r="V802" s="4">
        <v>11.25</v>
      </c>
      <c r="W802" s="4">
        <v>12</v>
      </c>
      <c r="X802" s="4">
        <v>0</v>
      </c>
      <c r="Y802" s="4"/>
      <c r="Z802" s="4">
        <v>291.2</v>
      </c>
      <c r="AA802" s="4">
        <v>300</v>
      </c>
      <c r="AB802" s="18"/>
      <c r="AC802" s="18">
        <v>15</v>
      </c>
      <c r="AD802" s="28"/>
      <c r="AE802" s="26"/>
      <c r="AF802" s="28"/>
    </row>
    <row r="803" spans="1:32" ht="13.5" customHeight="1" x14ac:dyDescent="0.25">
      <c r="A803" s="14">
        <v>45765</v>
      </c>
      <c r="B803" s="14" t="s">
        <v>47</v>
      </c>
      <c r="C803" s="15">
        <v>5</v>
      </c>
      <c r="D803" s="16">
        <v>20</v>
      </c>
      <c r="E803" s="16"/>
      <c r="F803" s="17"/>
      <c r="G803" s="21"/>
      <c r="H803" s="21"/>
      <c r="I803" s="4">
        <v>20</v>
      </c>
      <c r="J803" s="4">
        <v>0.33333333333333331</v>
      </c>
      <c r="K803" s="4"/>
      <c r="L803" s="16"/>
      <c r="M803" s="4"/>
      <c r="N803" s="4"/>
      <c r="O803" s="4"/>
      <c r="P803" s="4"/>
      <c r="Q803" s="4"/>
      <c r="R803" s="4"/>
      <c r="S803" s="4">
        <v>0</v>
      </c>
      <c r="T803" s="4">
        <v>0</v>
      </c>
      <c r="U803" s="4">
        <v>0.33333333333333331</v>
      </c>
      <c r="V803" s="4">
        <v>11.666666666666666</v>
      </c>
      <c r="W803" s="4">
        <v>12</v>
      </c>
      <c r="X803" s="4">
        <v>0</v>
      </c>
      <c r="Y803" s="4"/>
      <c r="Z803" s="4">
        <v>611.08000000000004</v>
      </c>
      <c r="AA803" s="4">
        <v>600</v>
      </c>
      <c r="AB803" s="18"/>
      <c r="AC803" s="18">
        <v>15</v>
      </c>
      <c r="AD803" s="28"/>
      <c r="AE803" s="26"/>
      <c r="AF803" s="28"/>
    </row>
    <row r="804" spans="1:32" ht="13.5" customHeight="1" x14ac:dyDescent="0.25">
      <c r="A804" s="14">
        <v>45765</v>
      </c>
      <c r="B804" s="14" t="s">
        <v>46</v>
      </c>
      <c r="C804" s="15">
        <v>6</v>
      </c>
      <c r="D804" s="16">
        <v>25</v>
      </c>
      <c r="E804" s="16"/>
      <c r="F804" s="17"/>
      <c r="G804" s="21"/>
      <c r="H804" s="21"/>
      <c r="I804" s="4">
        <v>25</v>
      </c>
      <c r="J804" s="4">
        <v>0.41666666666666669</v>
      </c>
      <c r="K804" s="4"/>
      <c r="L804" s="16"/>
      <c r="M804" s="4"/>
      <c r="N804" s="4"/>
      <c r="O804" s="4"/>
      <c r="P804" s="4">
        <v>180</v>
      </c>
      <c r="Q804" s="4"/>
      <c r="R804" s="4"/>
      <c r="S804" s="4">
        <v>180</v>
      </c>
      <c r="T804" s="4">
        <v>3</v>
      </c>
      <c r="U804" s="4">
        <v>3.4166666666666665</v>
      </c>
      <c r="V804" s="4">
        <v>8.5833333333333339</v>
      </c>
      <c r="W804" s="4">
        <v>12</v>
      </c>
      <c r="X804" s="4">
        <v>102.6</v>
      </c>
      <c r="Y804" s="4"/>
      <c r="Z804" s="4">
        <v>651</v>
      </c>
      <c r="AA804" s="4">
        <v>650</v>
      </c>
      <c r="AB804" s="18"/>
      <c r="AC804" s="18">
        <v>15</v>
      </c>
      <c r="AD804" s="28"/>
      <c r="AE804" s="26"/>
      <c r="AF804" s="28"/>
    </row>
    <row r="805" spans="1:32" ht="13.5" customHeight="1" x14ac:dyDescent="0.25">
      <c r="A805" s="14">
        <v>45765</v>
      </c>
      <c r="B805" s="14" t="s">
        <v>47</v>
      </c>
      <c r="C805" s="15">
        <v>6</v>
      </c>
      <c r="D805" s="16"/>
      <c r="E805" s="16"/>
      <c r="F805" s="17"/>
      <c r="G805" s="21"/>
      <c r="H805" s="21"/>
      <c r="I805" s="4">
        <v>0</v>
      </c>
      <c r="J805" s="4">
        <v>0</v>
      </c>
      <c r="K805" s="4"/>
      <c r="L805" s="16"/>
      <c r="M805" s="4"/>
      <c r="N805" s="4"/>
      <c r="O805" s="4"/>
      <c r="P805" s="4"/>
      <c r="Q805" s="4"/>
      <c r="R805" s="4"/>
      <c r="S805" s="4">
        <v>0</v>
      </c>
      <c r="T805" s="4">
        <v>0</v>
      </c>
      <c r="U805" s="4">
        <v>0</v>
      </c>
      <c r="V805" s="4">
        <v>12</v>
      </c>
      <c r="W805" s="4">
        <v>12</v>
      </c>
      <c r="X805" s="4">
        <v>0</v>
      </c>
      <c r="Y805" s="4"/>
      <c r="Z805" s="4">
        <v>519</v>
      </c>
      <c r="AA805" s="4">
        <v>500</v>
      </c>
      <c r="AB805" s="18"/>
      <c r="AC805" s="18">
        <v>15</v>
      </c>
      <c r="AD805" s="28"/>
      <c r="AE805" s="26"/>
      <c r="AF805" s="28"/>
    </row>
    <row r="806" spans="1:32" ht="13.5" customHeight="1" x14ac:dyDescent="0.25">
      <c r="A806" s="14">
        <v>45765</v>
      </c>
      <c r="B806" s="14" t="s">
        <v>46</v>
      </c>
      <c r="C806" s="15">
        <v>7</v>
      </c>
      <c r="D806" s="16">
        <v>5</v>
      </c>
      <c r="E806" s="16"/>
      <c r="F806" s="17"/>
      <c r="G806" s="21"/>
      <c r="H806" s="21"/>
      <c r="I806" s="4">
        <v>5</v>
      </c>
      <c r="J806" s="4">
        <v>8.3333333333333329E-2</v>
      </c>
      <c r="K806" s="4"/>
      <c r="L806" s="16"/>
      <c r="M806" s="4"/>
      <c r="N806" s="4"/>
      <c r="O806" s="4"/>
      <c r="P806" s="4"/>
      <c r="Q806" s="4"/>
      <c r="R806" s="4"/>
      <c r="S806" s="4">
        <v>0</v>
      </c>
      <c r="T806" s="4">
        <v>0</v>
      </c>
      <c r="U806" s="4">
        <v>8.3333333333333329E-2</v>
      </c>
      <c r="V806" s="4">
        <v>11.916666666666666</v>
      </c>
      <c r="W806" s="4">
        <v>12</v>
      </c>
      <c r="X806" s="4">
        <v>0</v>
      </c>
      <c r="Y806" s="4"/>
      <c r="Z806" s="4">
        <v>429.9</v>
      </c>
      <c r="AA806" s="4">
        <v>450</v>
      </c>
      <c r="AB806" s="18"/>
      <c r="AC806" s="18">
        <v>15</v>
      </c>
      <c r="AD806" s="28"/>
      <c r="AE806" s="26"/>
      <c r="AF806" s="28"/>
    </row>
    <row r="807" spans="1:32" ht="13.5" customHeight="1" x14ac:dyDescent="0.25">
      <c r="A807" s="14">
        <v>45765</v>
      </c>
      <c r="B807" s="14" t="s">
        <v>47</v>
      </c>
      <c r="C807" s="15">
        <v>7</v>
      </c>
      <c r="D807" s="16">
        <v>10</v>
      </c>
      <c r="E807" s="16"/>
      <c r="F807" s="17"/>
      <c r="G807" s="21"/>
      <c r="H807" s="21"/>
      <c r="I807" s="4">
        <v>10</v>
      </c>
      <c r="J807" s="4">
        <v>0.16666666666666666</v>
      </c>
      <c r="K807" s="4"/>
      <c r="L807" s="16"/>
      <c r="M807" s="4"/>
      <c r="N807" s="4"/>
      <c r="O807" s="4"/>
      <c r="P807" s="4"/>
      <c r="Q807" s="4"/>
      <c r="R807" s="4"/>
      <c r="S807" s="4">
        <v>0</v>
      </c>
      <c r="T807" s="4">
        <v>0</v>
      </c>
      <c r="U807" s="4">
        <v>0.16666666666666666</v>
      </c>
      <c r="V807" s="4">
        <v>11.833333333333334</v>
      </c>
      <c r="W807" s="4">
        <v>12</v>
      </c>
      <c r="X807" s="4">
        <v>0</v>
      </c>
      <c r="Y807" s="4"/>
      <c r="Z807" s="4">
        <v>383.71500000000003</v>
      </c>
      <c r="AA807" s="4">
        <v>400</v>
      </c>
      <c r="AB807" s="18"/>
      <c r="AC807" s="18">
        <v>15</v>
      </c>
      <c r="AD807" s="28"/>
      <c r="AE807" s="26"/>
      <c r="AF807" s="28"/>
    </row>
    <row r="808" spans="1:32" ht="13.5" customHeight="1" x14ac:dyDescent="0.25">
      <c r="A808" s="14">
        <v>45766</v>
      </c>
      <c r="B808" s="14" t="s">
        <v>46</v>
      </c>
      <c r="C808" s="15">
        <v>1</v>
      </c>
      <c r="D808" s="16">
        <v>3</v>
      </c>
      <c r="E808" s="16"/>
      <c r="F808" s="17"/>
      <c r="G808" s="21"/>
      <c r="H808" s="21"/>
      <c r="I808" s="4">
        <v>3</v>
      </c>
      <c r="J808" s="4">
        <v>0.05</v>
      </c>
      <c r="K808" s="4"/>
      <c r="L808" s="16"/>
      <c r="M808" s="4"/>
      <c r="N808" s="4"/>
      <c r="O808" s="4"/>
      <c r="P808" s="4">
        <v>40</v>
      </c>
      <c r="Q808" s="4"/>
      <c r="R808" s="4"/>
      <c r="S808" s="4">
        <v>40</v>
      </c>
      <c r="T808" s="4">
        <v>0.66666666666666663</v>
      </c>
      <c r="U808" s="4">
        <v>0.71666666666666667</v>
      </c>
      <c r="V808" s="4">
        <v>11.283333333333333</v>
      </c>
      <c r="W808" s="4">
        <v>12</v>
      </c>
      <c r="X808" s="4">
        <v>0</v>
      </c>
      <c r="Y808" s="4">
        <v>2246</v>
      </c>
      <c r="Z808" s="4">
        <v>154.39499999999998</v>
      </c>
      <c r="AA808" s="4">
        <v>150</v>
      </c>
      <c r="AB808" s="18">
        <v>372</v>
      </c>
      <c r="AC808" s="18">
        <v>15</v>
      </c>
      <c r="AD808" s="28"/>
      <c r="AE808" s="26"/>
      <c r="AF808" s="28"/>
    </row>
    <row r="809" spans="1:32" ht="13.5" customHeight="1" x14ac:dyDescent="0.25">
      <c r="A809" s="14">
        <v>45766</v>
      </c>
      <c r="B809" s="14" t="s">
        <v>47</v>
      </c>
      <c r="C809" s="15">
        <v>1</v>
      </c>
      <c r="D809" s="16"/>
      <c r="E809" s="16"/>
      <c r="F809" s="17"/>
      <c r="G809" s="21"/>
      <c r="H809" s="21"/>
      <c r="I809" s="4">
        <v>0</v>
      </c>
      <c r="J809" s="4">
        <v>0</v>
      </c>
      <c r="K809" s="4"/>
      <c r="L809" s="16"/>
      <c r="M809" s="4"/>
      <c r="N809" s="4"/>
      <c r="O809" s="4"/>
      <c r="P809" s="4"/>
      <c r="Q809" s="4"/>
      <c r="R809" s="4"/>
      <c r="S809" s="4">
        <v>0</v>
      </c>
      <c r="T809" s="4">
        <v>0</v>
      </c>
      <c r="U809" s="4">
        <v>0</v>
      </c>
      <c r="V809" s="4">
        <v>12</v>
      </c>
      <c r="W809" s="4">
        <v>12</v>
      </c>
      <c r="X809" s="4">
        <v>0</v>
      </c>
      <c r="Y809" s="4"/>
      <c r="Z809" s="4">
        <v>135.995</v>
      </c>
      <c r="AA809" s="4">
        <v>150</v>
      </c>
      <c r="AB809" s="18"/>
      <c r="AC809" s="18">
        <v>15</v>
      </c>
      <c r="AD809" s="28"/>
      <c r="AE809" s="26"/>
      <c r="AF809" s="28"/>
    </row>
    <row r="810" spans="1:32" ht="13.5" customHeight="1" x14ac:dyDescent="0.25">
      <c r="A810" s="14">
        <v>45766</v>
      </c>
      <c r="B810" s="14" t="s">
        <v>46</v>
      </c>
      <c r="C810" s="15">
        <v>3</v>
      </c>
      <c r="D810" s="16">
        <v>3</v>
      </c>
      <c r="E810" s="16"/>
      <c r="F810" s="17"/>
      <c r="G810" s="21"/>
      <c r="H810" s="21"/>
      <c r="I810" s="4">
        <v>3</v>
      </c>
      <c r="J810" s="4">
        <v>0.05</v>
      </c>
      <c r="K810" s="4"/>
      <c r="L810" s="16">
        <v>30</v>
      </c>
      <c r="M810" s="4"/>
      <c r="N810" s="4"/>
      <c r="O810" s="4"/>
      <c r="P810" s="4"/>
      <c r="Q810" s="4"/>
      <c r="R810" s="4"/>
      <c r="S810" s="4">
        <v>30</v>
      </c>
      <c r="T810" s="4">
        <v>0.5</v>
      </c>
      <c r="U810" s="4">
        <v>0.55000000000000004</v>
      </c>
      <c r="V810" s="4">
        <v>11.45</v>
      </c>
      <c r="W810" s="4">
        <v>12</v>
      </c>
      <c r="X810" s="4">
        <v>0</v>
      </c>
      <c r="Y810" s="4"/>
      <c r="Z810" s="4">
        <v>506.1</v>
      </c>
      <c r="AA810" s="4">
        <v>500</v>
      </c>
      <c r="AB810" s="18"/>
      <c r="AC810" s="18">
        <v>15</v>
      </c>
      <c r="AD810" s="28"/>
      <c r="AE810" s="26"/>
      <c r="AF810" s="28"/>
    </row>
    <row r="811" spans="1:32" ht="13.5" customHeight="1" x14ac:dyDescent="0.25">
      <c r="A811" s="14">
        <v>45766</v>
      </c>
      <c r="B811" s="14" t="s">
        <v>47</v>
      </c>
      <c r="C811" s="15">
        <v>3</v>
      </c>
      <c r="D811" s="16"/>
      <c r="E811" s="16"/>
      <c r="F811" s="17"/>
      <c r="G811" s="21"/>
      <c r="H811" s="21"/>
      <c r="I811" s="4">
        <v>0</v>
      </c>
      <c r="J811" s="4">
        <v>0</v>
      </c>
      <c r="K811" s="4"/>
      <c r="L811" s="16"/>
      <c r="M811" s="4"/>
      <c r="N811" s="4"/>
      <c r="O811" s="4"/>
      <c r="P811" s="4"/>
      <c r="Q811" s="4"/>
      <c r="R811" s="4"/>
      <c r="S811" s="4">
        <v>0</v>
      </c>
      <c r="T811" s="4">
        <v>0</v>
      </c>
      <c r="U811" s="4">
        <v>0</v>
      </c>
      <c r="V811" s="4">
        <v>12</v>
      </c>
      <c r="W811" s="4">
        <v>12</v>
      </c>
      <c r="X811" s="4">
        <v>0</v>
      </c>
      <c r="Y811" s="4"/>
      <c r="Z811" s="4">
        <v>410</v>
      </c>
      <c r="AA811" s="4">
        <v>400</v>
      </c>
      <c r="AB811" s="18"/>
      <c r="AC811" s="18">
        <v>15</v>
      </c>
      <c r="AD811" s="28"/>
      <c r="AE811" s="26"/>
      <c r="AF811" s="28"/>
    </row>
    <row r="812" spans="1:32" ht="13.5" customHeight="1" x14ac:dyDescent="0.25">
      <c r="A812" s="14">
        <v>45766</v>
      </c>
      <c r="B812" s="14" t="s">
        <v>46</v>
      </c>
      <c r="C812" s="15">
        <v>5</v>
      </c>
      <c r="D812" s="16"/>
      <c r="E812" s="16"/>
      <c r="F812" s="17"/>
      <c r="G812" s="21"/>
      <c r="H812" s="21"/>
      <c r="I812" s="4">
        <v>0</v>
      </c>
      <c r="J812" s="4">
        <v>0</v>
      </c>
      <c r="K812" s="4"/>
      <c r="L812" s="16"/>
      <c r="M812" s="4"/>
      <c r="N812" s="4"/>
      <c r="O812" s="4"/>
      <c r="P812" s="4"/>
      <c r="Q812" s="4"/>
      <c r="R812" s="4"/>
      <c r="S812" s="4">
        <v>0</v>
      </c>
      <c r="T812" s="4">
        <v>0</v>
      </c>
      <c r="U812" s="4">
        <v>0</v>
      </c>
      <c r="V812" s="4">
        <v>12</v>
      </c>
      <c r="W812" s="4">
        <v>12</v>
      </c>
      <c r="X812" s="4">
        <v>0</v>
      </c>
      <c r="Y812" s="4"/>
      <c r="Z812" s="4">
        <v>407.79999999999995</v>
      </c>
      <c r="AA812" s="4">
        <v>400</v>
      </c>
      <c r="AB812" s="18"/>
      <c r="AC812" s="18">
        <v>15</v>
      </c>
      <c r="AD812" s="28"/>
      <c r="AE812" s="26"/>
      <c r="AF812" s="28"/>
    </row>
    <row r="813" spans="1:32" ht="13.5" customHeight="1" x14ac:dyDescent="0.25">
      <c r="A813" s="14">
        <v>45766</v>
      </c>
      <c r="B813" s="14" t="s">
        <v>47</v>
      </c>
      <c r="C813" s="15">
        <v>5</v>
      </c>
      <c r="D813" s="16"/>
      <c r="E813" s="16"/>
      <c r="F813" s="17"/>
      <c r="G813" s="21"/>
      <c r="H813" s="21"/>
      <c r="I813" s="4">
        <v>0</v>
      </c>
      <c r="J813" s="4">
        <v>0</v>
      </c>
      <c r="K813" s="4"/>
      <c r="L813" s="16"/>
      <c r="M813" s="4"/>
      <c r="N813" s="4"/>
      <c r="O813" s="4"/>
      <c r="P813" s="4"/>
      <c r="Q813" s="4"/>
      <c r="R813" s="4"/>
      <c r="S813" s="4">
        <v>0</v>
      </c>
      <c r="T813" s="4">
        <v>0</v>
      </c>
      <c r="U813" s="4">
        <v>0</v>
      </c>
      <c r="V813" s="4">
        <v>12</v>
      </c>
      <c r="W813" s="4">
        <v>12</v>
      </c>
      <c r="X813" s="4">
        <v>0</v>
      </c>
      <c r="Y813" s="4"/>
      <c r="Z813" s="4">
        <v>357.10999999999996</v>
      </c>
      <c r="AA813" s="4">
        <v>350</v>
      </c>
      <c r="AB813" s="18"/>
      <c r="AC813" s="18">
        <v>15</v>
      </c>
      <c r="AD813" s="28"/>
      <c r="AE813" s="26"/>
      <c r="AF813" s="28"/>
    </row>
    <row r="814" spans="1:32" ht="13.5" customHeight="1" x14ac:dyDescent="0.25">
      <c r="A814" s="14">
        <v>45766</v>
      </c>
      <c r="B814" s="14" t="s">
        <v>46</v>
      </c>
      <c r="C814" s="15">
        <v>6</v>
      </c>
      <c r="D814" s="16"/>
      <c r="E814" s="16"/>
      <c r="F814" s="17"/>
      <c r="G814" s="21"/>
      <c r="H814" s="21"/>
      <c r="I814" s="4">
        <v>0</v>
      </c>
      <c r="J814" s="4">
        <v>0</v>
      </c>
      <c r="K814" s="4"/>
      <c r="L814" s="16"/>
      <c r="M814" s="4"/>
      <c r="N814" s="4"/>
      <c r="O814" s="4"/>
      <c r="P814" s="4"/>
      <c r="Q814" s="4"/>
      <c r="R814" s="4"/>
      <c r="S814" s="4">
        <v>0</v>
      </c>
      <c r="T814" s="4">
        <v>0</v>
      </c>
      <c r="U814" s="4">
        <v>0</v>
      </c>
      <c r="V814" s="4">
        <v>12</v>
      </c>
      <c r="W814" s="4">
        <v>12</v>
      </c>
      <c r="X814" s="4">
        <v>37.799999999999997</v>
      </c>
      <c r="Y814" s="4"/>
      <c r="Z814" s="4">
        <v>557.20000000000005</v>
      </c>
      <c r="AA814" s="4">
        <v>550</v>
      </c>
      <c r="AB814" s="18"/>
      <c r="AC814" s="18">
        <v>15</v>
      </c>
      <c r="AD814" s="28"/>
      <c r="AE814" s="26"/>
      <c r="AF814" s="28"/>
    </row>
    <row r="815" spans="1:32" ht="13.5" customHeight="1" x14ac:dyDescent="0.25">
      <c r="A815" s="14">
        <v>45766</v>
      </c>
      <c r="B815" s="14" t="s">
        <v>47</v>
      </c>
      <c r="C815" s="15">
        <v>6</v>
      </c>
      <c r="D815" s="16"/>
      <c r="E815" s="16"/>
      <c r="F815" s="17"/>
      <c r="G815" s="21"/>
      <c r="H815" s="21"/>
      <c r="I815" s="4">
        <v>0</v>
      </c>
      <c r="J815" s="4">
        <v>0</v>
      </c>
      <c r="K815" s="4"/>
      <c r="L815" s="16"/>
      <c r="M815" s="4"/>
      <c r="N815" s="4"/>
      <c r="O815" s="4"/>
      <c r="P815" s="4"/>
      <c r="Q815" s="4"/>
      <c r="R815" s="4"/>
      <c r="S815" s="4">
        <v>0</v>
      </c>
      <c r="T815" s="4">
        <v>0</v>
      </c>
      <c r="U815" s="4">
        <v>0</v>
      </c>
      <c r="V815" s="4">
        <v>12</v>
      </c>
      <c r="W815" s="4">
        <v>12</v>
      </c>
      <c r="X815" s="4">
        <v>47</v>
      </c>
      <c r="Y815" s="4"/>
      <c r="Z815" s="4">
        <v>510.79999999999995</v>
      </c>
      <c r="AA815" s="4">
        <v>550</v>
      </c>
      <c r="AB815" s="18"/>
      <c r="AC815" s="18">
        <v>15</v>
      </c>
      <c r="AD815" s="28"/>
      <c r="AE815" s="26"/>
      <c r="AF815" s="28"/>
    </row>
    <row r="816" spans="1:32" ht="13.5" customHeight="1" x14ac:dyDescent="0.25">
      <c r="A816" s="14">
        <v>45766</v>
      </c>
      <c r="B816" s="14" t="s">
        <v>46</v>
      </c>
      <c r="C816" s="15">
        <v>7</v>
      </c>
      <c r="D816" s="16"/>
      <c r="E816" s="16"/>
      <c r="F816" s="17"/>
      <c r="G816" s="21"/>
      <c r="H816" s="21"/>
      <c r="I816" s="4">
        <v>0</v>
      </c>
      <c r="J816" s="4">
        <v>0</v>
      </c>
      <c r="K816" s="4"/>
      <c r="L816" s="16"/>
      <c r="M816" s="4"/>
      <c r="N816" s="4"/>
      <c r="O816" s="4"/>
      <c r="P816" s="4"/>
      <c r="Q816" s="4"/>
      <c r="R816" s="4"/>
      <c r="S816" s="4">
        <v>0</v>
      </c>
      <c r="T816" s="4">
        <v>0</v>
      </c>
      <c r="U816" s="4">
        <v>0</v>
      </c>
      <c r="V816" s="4">
        <v>12</v>
      </c>
      <c r="W816" s="4">
        <v>12</v>
      </c>
      <c r="X816" s="4">
        <v>0</v>
      </c>
      <c r="Y816" s="4"/>
      <c r="Z816" s="4">
        <v>329.45</v>
      </c>
      <c r="AA816" s="4">
        <v>350</v>
      </c>
      <c r="AB816" s="18"/>
      <c r="AC816" s="18">
        <v>15</v>
      </c>
      <c r="AD816" s="28"/>
      <c r="AE816" s="26"/>
      <c r="AF816" s="28"/>
    </row>
    <row r="817" spans="1:32" ht="13.5" customHeight="1" x14ac:dyDescent="0.25">
      <c r="A817" s="14">
        <v>45766</v>
      </c>
      <c r="B817" s="14" t="s">
        <v>47</v>
      </c>
      <c r="C817" s="15">
        <v>7</v>
      </c>
      <c r="D817" s="16"/>
      <c r="E817" s="16"/>
      <c r="F817" s="17"/>
      <c r="G817" s="21"/>
      <c r="H817" s="21"/>
      <c r="I817" s="4">
        <v>0</v>
      </c>
      <c r="J817" s="4">
        <v>0</v>
      </c>
      <c r="K817" s="4"/>
      <c r="L817" s="16"/>
      <c r="M817" s="4"/>
      <c r="N817" s="4"/>
      <c r="O817" s="4"/>
      <c r="P817" s="4"/>
      <c r="Q817" s="4"/>
      <c r="R817" s="4"/>
      <c r="S817" s="4">
        <v>0</v>
      </c>
      <c r="T817" s="4">
        <v>0</v>
      </c>
      <c r="U817" s="4">
        <v>0</v>
      </c>
      <c r="V817" s="4">
        <v>12</v>
      </c>
      <c r="W817" s="4">
        <v>12</v>
      </c>
      <c r="X817" s="4">
        <v>0</v>
      </c>
      <c r="Y817" s="4"/>
      <c r="Z817" s="4">
        <v>216.67</v>
      </c>
      <c r="AA817" s="4">
        <v>200</v>
      </c>
      <c r="AB817" s="18"/>
      <c r="AC817" s="18">
        <v>15</v>
      </c>
      <c r="AD817" s="28"/>
      <c r="AE817" s="26"/>
      <c r="AF817" s="28"/>
    </row>
    <row r="818" spans="1:32" ht="13.5" customHeight="1" x14ac:dyDescent="0.25">
      <c r="A818" s="14">
        <v>45767</v>
      </c>
      <c r="B818" s="14" t="s">
        <v>46</v>
      </c>
      <c r="C818" s="15">
        <v>1</v>
      </c>
      <c r="D818" s="16">
        <v>7</v>
      </c>
      <c r="E818" s="16"/>
      <c r="F818" s="17"/>
      <c r="G818" s="21"/>
      <c r="H818" s="21"/>
      <c r="I818" s="4">
        <v>7</v>
      </c>
      <c r="J818" s="4">
        <v>0.11666666666666667</v>
      </c>
      <c r="K818" s="4"/>
      <c r="L818" s="16"/>
      <c r="M818" s="4"/>
      <c r="N818" s="4"/>
      <c r="O818" s="4"/>
      <c r="P818" s="4"/>
      <c r="Q818" s="4"/>
      <c r="R818" s="4"/>
      <c r="S818" s="4">
        <v>0</v>
      </c>
      <c r="T818" s="4">
        <v>0</v>
      </c>
      <c r="U818" s="4">
        <v>0.11666666666666667</v>
      </c>
      <c r="V818" s="4">
        <v>11.883333333333333</v>
      </c>
      <c r="W818" s="4">
        <v>12</v>
      </c>
      <c r="X818" s="4">
        <v>0</v>
      </c>
      <c r="Y818" s="4">
        <v>1850</v>
      </c>
      <c r="Z818" s="4">
        <v>162.1</v>
      </c>
      <c r="AA818" s="4">
        <v>150</v>
      </c>
      <c r="AB818" s="18">
        <v>372</v>
      </c>
      <c r="AC818" s="18">
        <v>15</v>
      </c>
      <c r="AD818" s="28"/>
      <c r="AE818" s="26"/>
      <c r="AF818" s="28"/>
    </row>
    <row r="819" spans="1:32" ht="13.5" customHeight="1" x14ac:dyDescent="0.25">
      <c r="A819" s="14">
        <v>45767</v>
      </c>
      <c r="B819" s="14" t="s">
        <v>47</v>
      </c>
      <c r="C819" s="15">
        <v>1</v>
      </c>
      <c r="D819" s="16"/>
      <c r="E819" s="16"/>
      <c r="F819" s="17"/>
      <c r="G819" s="21"/>
      <c r="H819" s="21"/>
      <c r="I819" s="4">
        <v>0</v>
      </c>
      <c r="J819" s="4">
        <v>0</v>
      </c>
      <c r="K819" s="4"/>
      <c r="L819" s="16"/>
      <c r="M819" s="4"/>
      <c r="N819" s="4"/>
      <c r="O819" s="4"/>
      <c r="P819" s="4"/>
      <c r="Q819" s="4"/>
      <c r="R819" s="4"/>
      <c r="S819" s="4">
        <v>0</v>
      </c>
      <c r="T819" s="4">
        <v>0</v>
      </c>
      <c r="U819" s="4">
        <v>0</v>
      </c>
      <c r="V819" s="4">
        <v>12</v>
      </c>
      <c r="W819" s="4">
        <v>12</v>
      </c>
      <c r="X819" s="4">
        <v>0</v>
      </c>
      <c r="Y819" s="4"/>
      <c r="Z819" s="4">
        <v>165.85500000000002</v>
      </c>
      <c r="AA819" s="4">
        <v>150</v>
      </c>
      <c r="AB819" s="18"/>
      <c r="AC819" s="18">
        <v>15</v>
      </c>
      <c r="AD819" s="28"/>
      <c r="AE819" s="26"/>
      <c r="AF819" s="28"/>
    </row>
    <row r="820" spans="1:32" ht="13.5" customHeight="1" x14ac:dyDescent="0.25">
      <c r="A820" s="14">
        <v>45767</v>
      </c>
      <c r="B820" s="14" t="s">
        <v>46</v>
      </c>
      <c r="C820" s="15">
        <v>3</v>
      </c>
      <c r="D820" s="16">
        <v>3</v>
      </c>
      <c r="E820" s="16"/>
      <c r="F820" s="17"/>
      <c r="G820" s="21"/>
      <c r="H820" s="21"/>
      <c r="I820" s="4">
        <v>3</v>
      </c>
      <c r="J820" s="4">
        <v>0.05</v>
      </c>
      <c r="K820" s="4"/>
      <c r="L820" s="16"/>
      <c r="M820" s="4"/>
      <c r="N820" s="4"/>
      <c r="O820" s="4"/>
      <c r="P820" s="4"/>
      <c r="Q820" s="4"/>
      <c r="R820" s="4"/>
      <c r="S820" s="4">
        <v>0</v>
      </c>
      <c r="T820" s="4">
        <v>0</v>
      </c>
      <c r="U820" s="4">
        <v>0.05</v>
      </c>
      <c r="V820" s="4">
        <v>11.95</v>
      </c>
      <c r="W820" s="4">
        <v>12</v>
      </c>
      <c r="X820" s="4">
        <v>0</v>
      </c>
      <c r="Y820" s="4"/>
      <c r="Z820" s="4">
        <v>340.20000000000005</v>
      </c>
      <c r="AA820" s="4">
        <v>400</v>
      </c>
      <c r="AB820" s="18"/>
      <c r="AC820" s="18">
        <v>15</v>
      </c>
      <c r="AD820" s="28"/>
      <c r="AE820" s="26"/>
      <c r="AF820" s="28"/>
    </row>
    <row r="821" spans="1:32" ht="13.5" customHeight="1" x14ac:dyDescent="0.25">
      <c r="A821" s="14">
        <v>45767</v>
      </c>
      <c r="B821" s="14" t="s">
        <v>47</v>
      </c>
      <c r="C821" s="15">
        <v>3</v>
      </c>
      <c r="D821" s="16">
        <v>15</v>
      </c>
      <c r="E821" s="16"/>
      <c r="F821" s="17"/>
      <c r="G821" s="21"/>
      <c r="H821" s="21"/>
      <c r="I821" s="4">
        <v>15</v>
      </c>
      <c r="J821" s="4">
        <v>0.25</v>
      </c>
      <c r="K821" s="4"/>
      <c r="L821" s="16"/>
      <c r="M821" s="4"/>
      <c r="N821" s="4"/>
      <c r="O821" s="4"/>
      <c r="P821" s="4"/>
      <c r="Q821" s="4"/>
      <c r="R821" s="4"/>
      <c r="S821" s="4">
        <v>0</v>
      </c>
      <c r="T821" s="4">
        <v>0</v>
      </c>
      <c r="U821" s="4">
        <v>0.25</v>
      </c>
      <c r="V821" s="4">
        <v>11.75</v>
      </c>
      <c r="W821" s="4">
        <v>12</v>
      </c>
      <c r="X821" s="4">
        <v>47.8</v>
      </c>
      <c r="Y821" s="4"/>
      <c r="Z821" s="4">
        <v>402.90000000000003</v>
      </c>
      <c r="AA821" s="4">
        <v>400</v>
      </c>
      <c r="AB821" s="18"/>
      <c r="AC821" s="18">
        <v>15</v>
      </c>
      <c r="AD821" s="28"/>
      <c r="AE821" s="26"/>
      <c r="AF821" s="28"/>
    </row>
    <row r="822" spans="1:32" ht="13.5" customHeight="1" x14ac:dyDescent="0.25">
      <c r="A822" s="14">
        <v>45767</v>
      </c>
      <c r="B822" s="14" t="s">
        <v>46</v>
      </c>
      <c r="C822" s="15">
        <v>6</v>
      </c>
      <c r="D822" s="16"/>
      <c r="E822" s="16"/>
      <c r="F822" s="17"/>
      <c r="G822" s="21"/>
      <c r="H822" s="21"/>
      <c r="I822" s="4">
        <v>0</v>
      </c>
      <c r="J822" s="4">
        <v>0</v>
      </c>
      <c r="K822" s="4"/>
      <c r="L822" s="16"/>
      <c r="M822" s="4"/>
      <c r="N822" s="4"/>
      <c r="O822" s="4"/>
      <c r="P822" s="4"/>
      <c r="Q822" s="4"/>
      <c r="R822" s="4"/>
      <c r="S822" s="4">
        <v>0</v>
      </c>
      <c r="T822" s="4">
        <v>0</v>
      </c>
      <c r="U822" s="4">
        <v>0</v>
      </c>
      <c r="V822" s="4">
        <v>12</v>
      </c>
      <c r="W822" s="4">
        <v>12</v>
      </c>
      <c r="X822" s="4">
        <v>0</v>
      </c>
      <c r="Y822" s="4"/>
      <c r="Z822" s="4">
        <v>598.1</v>
      </c>
      <c r="AA822" s="4">
        <v>500</v>
      </c>
      <c r="AB822" s="18"/>
      <c r="AC822" s="18">
        <v>15</v>
      </c>
      <c r="AD822" s="28"/>
      <c r="AE822" s="26"/>
      <c r="AF822" s="28"/>
    </row>
    <row r="823" spans="1:32" ht="13.5" customHeight="1" x14ac:dyDescent="0.25">
      <c r="A823" s="14">
        <v>45767</v>
      </c>
      <c r="B823" s="14" t="s">
        <v>47</v>
      </c>
      <c r="C823" s="15">
        <v>6</v>
      </c>
      <c r="D823" s="16"/>
      <c r="E823" s="16"/>
      <c r="F823" s="17"/>
      <c r="G823" s="21"/>
      <c r="H823" s="21"/>
      <c r="I823" s="4">
        <v>0</v>
      </c>
      <c r="J823" s="4">
        <v>0</v>
      </c>
      <c r="K823" s="4"/>
      <c r="L823" s="16"/>
      <c r="M823" s="4"/>
      <c r="N823" s="4"/>
      <c r="O823" s="4"/>
      <c r="P823" s="4"/>
      <c r="Q823" s="4"/>
      <c r="R823" s="4"/>
      <c r="S823" s="4">
        <v>0</v>
      </c>
      <c r="T823" s="4">
        <v>0</v>
      </c>
      <c r="U823" s="4">
        <v>0</v>
      </c>
      <c r="V823" s="4">
        <v>12</v>
      </c>
      <c r="W823" s="4">
        <v>12</v>
      </c>
      <c r="X823" s="4">
        <v>0</v>
      </c>
      <c r="Y823" s="4"/>
      <c r="Z823" s="4">
        <v>550</v>
      </c>
      <c r="AA823" s="4">
        <v>600</v>
      </c>
      <c r="AB823" s="18"/>
      <c r="AC823" s="18">
        <v>15</v>
      </c>
      <c r="AD823" s="28"/>
      <c r="AE823" s="26"/>
      <c r="AF823" s="28"/>
    </row>
    <row r="824" spans="1:32" ht="13.5" customHeight="1" x14ac:dyDescent="0.25">
      <c r="A824" s="14">
        <v>45767</v>
      </c>
      <c r="B824" s="14" t="s">
        <v>46</v>
      </c>
      <c r="C824" s="15">
        <v>7</v>
      </c>
      <c r="D824" s="16"/>
      <c r="E824" s="16"/>
      <c r="F824" s="17"/>
      <c r="G824" s="21"/>
      <c r="H824" s="21"/>
      <c r="I824" s="4">
        <v>0</v>
      </c>
      <c r="J824" s="4">
        <v>0</v>
      </c>
      <c r="K824" s="4"/>
      <c r="L824" s="16"/>
      <c r="M824" s="4"/>
      <c r="N824" s="4"/>
      <c r="O824" s="4"/>
      <c r="P824" s="4"/>
      <c r="Q824" s="4"/>
      <c r="R824" s="4"/>
      <c r="S824" s="4">
        <v>0</v>
      </c>
      <c r="T824" s="4">
        <v>0</v>
      </c>
      <c r="U824" s="4">
        <v>0</v>
      </c>
      <c r="V824" s="4">
        <v>12</v>
      </c>
      <c r="W824" s="4">
        <v>12</v>
      </c>
      <c r="X824" s="4">
        <v>0</v>
      </c>
      <c r="Y824" s="4"/>
      <c r="Z824" s="4">
        <v>406.60999999999996</v>
      </c>
      <c r="AA824" s="4">
        <v>400</v>
      </c>
      <c r="AB824" s="18"/>
      <c r="AC824" s="18">
        <v>15</v>
      </c>
      <c r="AD824" s="28"/>
      <c r="AE824" s="26"/>
      <c r="AF824" s="28"/>
    </row>
    <row r="825" spans="1:32" ht="13.5" customHeight="1" x14ac:dyDescent="0.25">
      <c r="A825" s="14">
        <v>45767</v>
      </c>
      <c r="B825" s="14" t="s">
        <v>47</v>
      </c>
      <c r="C825" s="15">
        <v>7</v>
      </c>
      <c r="D825" s="16"/>
      <c r="E825" s="16"/>
      <c r="F825" s="17"/>
      <c r="G825" s="21"/>
      <c r="H825" s="21"/>
      <c r="I825" s="4">
        <v>0</v>
      </c>
      <c r="J825" s="4">
        <v>0</v>
      </c>
      <c r="K825" s="4"/>
      <c r="L825" s="16"/>
      <c r="M825" s="4"/>
      <c r="N825" s="4"/>
      <c r="O825" s="4"/>
      <c r="P825" s="4"/>
      <c r="Q825" s="4"/>
      <c r="R825" s="4"/>
      <c r="S825" s="4">
        <v>0</v>
      </c>
      <c r="T825" s="4">
        <v>0</v>
      </c>
      <c r="U825" s="4">
        <v>0</v>
      </c>
      <c r="V825" s="4">
        <v>12</v>
      </c>
      <c r="W825" s="4">
        <v>12</v>
      </c>
      <c r="X825" s="4">
        <v>0</v>
      </c>
      <c r="Y825" s="4"/>
      <c r="Z825" s="4">
        <v>431.4</v>
      </c>
      <c r="AA825" s="4">
        <v>450</v>
      </c>
      <c r="AB825" s="18"/>
      <c r="AC825" s="18">
        <v>15</v>
      </c>
      <c r="AD825" s="28"/>
      <c r="AE825" s="26"/>
      <c r="AF825" s="28"/>
    </row>
    <row r="826" spans="1:32" ht="13.5" customHeight="1" x14ac:dyDescent="0.25">
      <c r="A826" s="14">
        <v>45768</v>
      </c>
      <c r="B826" s="14" t="s">
        <v>46</v>
      </c>
      <c r="C826" s="15">
        <v>1</v>
      </c>
      <c r="D826" s="16">
        <v>3</v>
      </c>
      <c r="E826" s="16"/>
      <c r="F826" s="17"/>
      <c r="G826" s="21"/>
      <c r="H826" s="21"/>
      <c r="I826" s="4">
        <v>3</v>
      </c>
      <c r="J826" s="4">
        <v>0.05</v>
      </c>
      <c r="K826" s="4"/>
      <c r="L826" s="16"/>
      <c r="M826" s="4"/>
      <c r="N826" s="4"/>
      <c r="O826" s="4"/>
      <c r="P826" s="4">
        <v>30</v>
      </c>
      <c r="Q826" s="4"/>
      <c r="R826" s="4"/>
      <c r="S826" s="4">
        <v>30</v>
      </c>
      <c r="T826" s="4">
        <v>0.5</v>
      </c>
      <c r="U826" s="4">
        <v>0.55000000000000004</v>
      </c>
      <c r="V826" s="4">
        <v>11.45</v>
      </c>
      <c r="W826" s="4">
        <v>12</v>
      </c>
      <c r="X826" s="4">
        <v>0</v>
      </c>
      <c r="Y826" s="4">
        <v>1885</v>
      </c>
      <c r="Z826" s="4">
        <v>139.5</v>
      </c>
      <c r="AA826" s="4">
        <v>150</v>
      </c>
      <c r="AB826" s="18">
        <v>372</v>
      </c>
      <c r="AC826" s="18">
        <v>16</v>
      </c>
      <c r="AD826" s="28"/>
      <c r="AE826" s="26"/>
      <c r="AF826" s="28"/>
    </row>
    <row r="827" spans="1:32" ht="13.5" customHeight="1" x14ac:dyDescent="0.25">
      <c r="A827" s="14">
        <v>45768</v>
      </c>
      <c r="B827" s="14" t="s">
        <v>47</v>
      </c>
      <c r="C827" s="15">
        <v>1</v>
      </c>
      <c r="D827" s="16">
        <v>5</v>
      </c>
      <c r="E827" s="16"/>
      <c r="F827" s="17"/>
      <c r="G827" s="21"/>
      <c r="H827" s="21"/>
      <c r="I827" s="4">
        <v>5</v>
      </c>
      <c r="J827" s="4">
        <v>8.3333333333333329E-2</v>
      </c>
      <c r="K827" s="4"/>
      <c r="L827" s="16"/>
      <c r="M827" s="4"/>
      <c r="N827" s="4">
        <v>5</v>
      </c>
      <c r="O827" s="4"/>
      <c r="P827" s="4"/>
      <c r="Q827" s="4"/>
      <c r="R827" s="4"/>
      <c r="S827" s="4">
        <v>5</v>
      </c>
      <c r="T827" s="4">
        <v>8.3333333333333329E-2</v>
      </c>
      <c r="U827" s="4">
        <v>0.16666666666666666</v>
      </c>
      <c r="V827" s="4">
        <v>11.833333333333334</v>
      </c>
      <c r="W827" s="4">
        <v>12</v>
      </c>
      <c r="X827" s="4">
        <v>0</v>
      </c>
      <c r="Y827" s="4"/>
      <c r="Z827" s="4">
        <v>163.47499999999997</v>
      </c>
      <c r="AA827" s="4">
        <v>200</v>
      </c>
      <c r="AB827" s="18"/>
      <c r="AC827" s="18">
        <v>16</v>
      </c>
      <c r="AD827" s="28"/>
      <c r="AE827" s="26"/>
      <c r="AF827" s="28"/>
    </row>
    <row r="828" spans="1:32" ht="13.5" customHeight="1" x14ac:dyDescent="0.25">
      <c r="A828" s="14">
        <v>45768</v>
      </c>
      <c r="B828" s="14" t="s">
        <v>46</v>
      </c>
      <c r="C828" s="15">
        <v>3</v>
      </c>
      <c r="D828" s="16">
        <v>7</v>
      </c>
      <c r="E828" s="16"/>
      <c r="F828" s="17"/>
      <c r="G828" s="21"/>
      <c r="H828" s="21"/>
      <c r="I828" s="4">
        <v>7</v>
      </c>
      <c r="J828" s="4">
        <v>0.11666666666666667</v>
      </c>
      <c r="K828" s="4"/>
      <c r="L828" s="16"/>
      <c r="M828" s="4"/>
      <c r="N828" s="4"/>
      <c r="O828" s="4"/>
      <c r="P828" s="4"/>
      <c r="Q828" s="4"/>
      <c r="R828" s="4"/>
      <c r="S828" s="4">
        <v>0</v>
      </c>
      <c r="T828" s="4">
        <v>0</v>
      </c>
      <c r="U828" s="4">
        <v>0.11666666666666667</v>
      </c>
      <c r="V828" s="4">
        <v>11.883333333333333</v>
      </c>
      <c r="W828" s="4">
        <v>12</v>
      </c>
      <c r="X828" s="4">
        <v>0</v>
      </c>
      <c r="Y828" s="4"/>
      <c r="Z828" s="4">
        <v>360.7</v>
      </c>
      <c r="AA828" s="4">
        <v>400</v>
      </c>
      <c r="AB828" s="18"/>
      <c r="AC828" s="18">
        <v>16</v>
      </c>
      <c r="AD828" s="28"/>
      <c r="AE828" s="26"/>
      <c r="AF828" s="28"/>
    </row>
    <row r="829" spans="1:32" ht="13.5" customHeight="1" x14ac:dyDescent="0.25">
      <c r="A829" s="14">
        <v>45768</v>
      </c>
      <c r="B829" s="14" t="s">
        <v>47</v>
      </c>
      <c r="C829" s="15">
        <v>3</v>
      </c>
      <c r="D829" s="16">
        <v>20</v>
      </c>
      <c r="E829" s="16"/>
      <c r="F829" s="17"/>
      <c r="G829" s="21"/>
      <c r="H829" s="21"/>
      <c r="I829" s="4">
        <v>20</v>
      </c>
      <c r="J829" s="4">
        <v>0.33333333333333331</v>
      </c>
      <c r="K829" s="4"/>
      <c r="L829" s="16"/>
      <c r="M829" s="4"/>
      <c r="N829" s="4"/>
      <c r="O829" s="4"/>
      <c r="P829" s="4"/>
      <c r="Q829" s="4"/>
      <c r="R829" s="4"/>
      <c r="S829" s="4">
        <v>0</v>
      </c>
      <c r="T829" s="4">
        <v>0</v>
      </c>
      <c r="U829" s="4">
        <v>0.33333333333333331</v>
      </c>
      <c r="V829" s="4">
        <v>11.666666666666666</v>
      </c>
      <c r="W829" s="4">
        <v>12</v>
      </c>
      <c r="X829" s="4">
        <v>0</v>
      </c>
      <c r="Y829" s="4"/>
      <c r="Z829" s="4">
        <v>454.8</v>
      </c>
      <c r="AA829" s="4">
        <v>500</v>
      </c>
      <c r="AB829" s="18"/>
      <c r="AC829" s="18">
        <v>16</v>
      </c>
      <c r="AD829" s="28"/>
      <c r="AE829" s="26"/>
      <c r="AF829" s="28"/>
    </row>
    <row r="830" spans="1:32" ht="13.5" customHeight="1" x14ac:dyDescent="0.25">
      <c r="A830" s="14">
        <v>45768</v>
      </c>
      <c r="B830" s="14" t="s">
        <v>46</v>
      </c>
      <c r="C830" s="15">
        <v>6</v>
      </c>
      <c r="D830" s="16"/>
      <c r="E830" s="16"/>
      <c r="F830" s="17"/>
      <c r="G830" s="21"/>
      <c r="H830" s="21"/>
      <c r="I830" s="4">
        <v>0</v>
      </c>
      <c r="J830" s="4">
        <v>0</v>
      </c>
      <c r="K830" s="4"/>
      <c r="L830" s="16">
        <v>30</v>
      </c>
      <c r="M830" s="4"/>
      <c r="N830" s="4"/>
      <c r="O830" s="4"/>
      <c r="P830" s="4"/>
      <c r="Q830" s="4"/>
      <c r="R830" s="4"/>
      <c r="S830" s="4">
        <v>30</v>
      </c>
      <c r="T830" s="4">
        <v>0.5</v>
      </c>
      <c r="U830" s="4">
        <v>0.5</v>
      </c>
      <c r="V830" s="4">
        <v>11.5</v>
      </c>
      <c r="W830" s="4">
        <v>12</v>
      </c>
      <c r="X830" s="4">
        <v>100</v>
      </c>
      <c r="Y830" s="4"/>
      <c r="Z830" s="4">
        <v>643.80000000000007</v>
      </c>
      <c r="AA830" s="4">
        <v>650</v>
      </c>
      <c r="AB830" s="18"/>
      <c r="AC830" s="18">
        <v>16</v>
      </c>
      <c r="AD830" s="28"/>
      <c r="AE830" s="26"/>
      <c r="AF830" s="28"/>
    </row>
    <row r="831" spans="1:32" ht="13.5" customHeight="1" x14ac:dyDescent="0.25">
      <c r="A831" s="14">
        <v>45768</v>
      </c>
      <c r="B831" s="14" t="s">
        <v>47</v>
      </c>
      <c r="C831" s="15">
        <v>6</v>
      </c>
      <c r="D831" s="16"/>
      <c r="E831" s="16"/>
      <c r="F831" s="17"/>
      <c r="G831" s="21"/>
      <c r="H831" s="21"/>
      <c r="I831" s="4">
        <v>0</v>
      </c>
      <c r="J831" s="4">
        <v>0</v>
      </c>
      <c r="K831" s="4">
        <v>220</v>
      </c>
      <c r="L831" s="16"/>
      <c r="M831" s="4"/>
      <c r="N831" s="4"/>
      <c r="O831" s="4"/>
      <c r="P831" s="4"/>
      <c r="Q831" s="4"/>
      <c r="R831" s="4"/>
      <c r="S831" s="4">
        <v>220</v>
      </c>
      <c r="T831" s="4">
        <v>3.6666666666666665</v>
      </c>
      <c r="U831" s="4">
        <v>3.6666666666666665</v>
      </c>
      <c r="V831" s="4">
        <v>8.3333333333333339</v>
      </c>
      <c r="W831" s="4">
        <v>12</v>
      </c>
      <c r="X831" s="4">
        <v>63</v>
      </c>
      <c r="Y831" s="4"/>
      <c r="Z831" s="4">
        <v>378.8</v>
      </c>
      <c r="AA831" s="4">
        <v>400</v>
      </c>
      <c r="AB831" s="18"/>
      <c r="AC831" s="18">
        <v>16</v>
      </c>
      <c r="AD831" s="28"/>
      <c r="AE831" s="26"/>
      <c r="AF831" s="28"/>
    </row>
    <row r="832" spans="1:32" ht="13.5" customHeight="1" x14ac:dyDescent="0.25">
      <c r="A832" s="14">
        <v>45768</v>
      </c>
      <c r="B832" s="14" t="s">
        <v>46</v>
      </c>
      <c r="C832" s="15">
        <v>7</v>
      </c>
      <c r="D832" s="16"/>
      <c r="E832" s="16"/>
      <c r="F832" s="17"/>
      <c r="G832" s="21"/>
      <c r="H832" s="21"/>
      <c r="I832" s="4">
        <v>0</v>
      </c>
      <c r="J832" s="4">
        <v>0</v>
      </c>
      <c r="K832" s="4"/>
      <c r="L832" s="16"/>
      <c r="M832" s="4"/>
      <c r="N832" s="4"/>
      <c r="O832" s="4"/>
      <c r="P832" s="4"/>
      <c r="Q832" s="4"/>
      <c r="R832" s="4"/>
      <c r="S832" s="4">
        <v>0</v>
      </c>
      <c r="T832" s="4">
        <v>0</v>
      </c>
      <c r="U832" s="4">
        <v>0</v>
      </c>
      <c r="V832" s="4">
        <v>12</v>
      </c>
      <c r="W832" s="4">
        <v>12</v>
      </c>
      <c r="X832" s="4">
        <v>0</v>
      </c>
      <c r="Y832" s="4"/>
      <c r="Z832" s="4">
        <v>441.1</v>
      </c>
      <c r="AA832" s="4">
        <v>450</v>
      </c>
      <c r="AB832" s="18"/>
      <c r="AC832" s="18">
        <v>16</v>
      </c>
      <c r="AD832" s="28"/>
      <c r="AE832" s="26"/>
      <c r="AF832" s="28"/>
    </row>
    <row r="833" spans="1:32" ht="13.5" customHeight="1" x14ac:dyDescent="0.25">
      <c r="A833" s="14">
        <v>45768</v>
      </c>
      <c r="B833" s="14" t="s">
        <v>47</v>
      </c>
      <c r="C833" s="15">
        <v>7</v>
      </c>
      <c r="D833" s="16">
        <v>7</v>
      </c>
      <c r="E833" s="16"/>
      <c r="F833" s="17"/>
      <c r="G833" s="21"/>
      <c r="H833" s="21"/>
      <c r="I833" s="4">
        <v>7</v>
      </c>
      <c r="J833" s="4">
        <v>0.11666666666666667</v>
      </c>
      <c r="K833" s="4"/>
      <c r="L833" s="16"/>
      <c r="M833" s="4"/>
      <c r="N833" s="4"/>
      <c r="O833" s="4"/>
      <c r="P833" s="4"/>
      <c r="Q833" s="4"/>
      <c r="R833" s="4"/>
      <c r="S833" s="4">
        <v>0</v>
      </c>
      <c r="T833" s="4">
        <v>0</v>
      </c>
      <c r="U833" s="4">
        <v>0.11666666666666667</v>
      </c>
      <c r="V833" s="4">
        <v>11.883333333333333</v>
      </c>
      <c r="W833" s="4">
        <v>12</v>
      </c>
      <c r="X833" s="4">
        <v>0</v>
      </c>
      <c r="Y833" s="4"/>
      <c r="Z833" s="4">
        <v>417.18</v>
      </c>
      <c r="AA833" s="4">
        <v>450</v>
      </c>
      <c r="AB833" s="18"/>
      <c r="AC833" s="18">
        <v>16</v>
      </c>
      <c r="AD833" s="28"/>
      <c r="AE833" s="26"/>
      <c r="AF833" s="28"/>
    </row>
    <row r="834" spans="1:32" ht="13.5" customHeight="1" x14ac:dyDescent="0.25">
      <c r="A834" s="14">
        <v>45769</v>
      </c>
      <c r="B834" s="14" t="s">
        <v>46</v>
      </c>
      <c r="C834" s="15">
        <v>1</v>
      </c>
      <c r="D834" s="16">
        <v>7</v>
      </c>
      <c r="E834" s="16"/>
      <c r="F834" s="17"/>
      <c r="G834" s="21"/>
      <c r="H834" s="21"/>
      <c r="I834" s="4">
        <v>7</v>
      </c>
      <c r="J834" s="4">
        <v>0.11666666666666667</v>
      </c>
      <c r="K834" s="4"/>
      <c r="L834" s="16"/>
      <c r="M834" s="4"/>
      <c r="N834" s="4"/>
      <c r="O834" s="4"/>
      <c r="P834" s="4"/>
      <c r="Q834" s="4"/>
      <c r="R834" s="4">
        <v>120</v>
      </c>
      <c r="S834" s="4">
        <v>120</v>
      </c>
      <c r="T834" s="4">
        <v>2</v>
      </c>
      <c r="U834" s="4">
        <v>2.1166666666666667</v>
      </c>
      <c r="V834" s="4">
        <v>9.8833333333333329</v>
      </c>
      <c r="W834" s="4">
        <v>12</v>
      </c>
      <c r="X834" s="4">
        <v>0</v>
      </c>
      <c r="Y834" s="4">
        <v>1937</v>
      </c>
      <c r="Z834" s="4">
        <v>130.4</v>
      </c>
      <c r="AA834" s="4">
        <v>100</v>
      </c>
      <c r="AB834" s="18">
        <v>372</v>
      </c>
      <c r="AC834" s="18">
        <v>16</v>
      </c>
      <c r="AD834" s="28"/>
      <c r="AE834" s="26"/>
      <c r="AF834" s="28"/>
    </row>
    <row r="835" spans="1:32" ht="13.5" customHeight="1" x14ac:dyDescent="0.25">
      <c r="A835" s="14">
        <v>45769</v>
      </c>
      <c r="B835" s="14" t="s">
        <v>47</v>
      </c>
      <c r="C835" s="15">
        <v>1</v>
      </c>
      <c r="D835" s="16"/>
      <c r="E835" s="16"/>
      <c r="F835" s="17"/>
      <c r="G835" s="21"/>
      <c r="H835" s="21"/>
      <c r="I835" s="4">
        <v>0</v>
      </c>
      <c r="J835" s="4">
        <v>0</v>
      </c>
      <c r="K835" s="4"/>
      <c r="L835" s="16"/>
      <c r="M835" s="4"/>
      <c r="N835" s="4"/>
      <c r="O835" s="4"/>
      <c r="P835" s="4"/>
      <c r="Q835" s="4"/>
      <c r="R835" s="4"/>
      <c r="S835" s="4">
        <v>0</v>
      </c>
      <c r="T835" s="4">
        <v>0</v>
      </c>
      <c r="U835" s="4">
        <v>0</v>
      </c>
      <c r="V835" s="4">
        <v>12</v>
      </c>
      <c r="W835" s="4">
        <v>12</v>
      </c>
      <c r="X835" s="4">
        <v>0</v>
      </c>
      <c r="Y835" s="4"/>
      <c r="Z835" s="4">
        <v>163.5</v>
      </c>
      <c r="AA835" s="4">
        <v>150</v>
      </c>
      <c r="AB835" s="18"/>
      <c r="AC835" s="18">
        <v>16</v>
      </c>
      <c r="AD835" s="28"/>
      <c r="AE835" s="26"/>
      <c r="AF835" s="28"/>
    </row>
    <row r="836" spans="1:32" ht="13.5" customHeight="1" x14ac:dyDescent="0.25">
      <c r="A836" s="14">
        <v>45769</v>
      </c>
      <c r="B836" s="14" t="s">
        <v>46</v>
      </c>
      <c r="C836" s="15">
        <v>3</v>
      </c>
      <c r="D836" s="16">
        <v>18</v>
      </c>
      <c r="E836" s="16"/>
      <c r="F836" s="17"/>
      <c r="G836" s="21"/>
      <c r="H836" s="21"/>
      <c r="I836" s="4">
        <v>18</v>
      </c>
      <c r="J836" s="4">
        <v>0.3</v>
      </c>
      <c r="K836" s="4"/>
      <c r="L836" s="16"/>
      <c r="M836" s="4"/>
      <c r="N836" s="4"/>
      <c r="O836" s="4"/>
      <c r="P836" s="4"/>
      <c r="Q836" s="4"/>
      <c r="R836" s="4">
        <v>60</v>
      </c>
      <c r="S836" s="4">
        <v>60</v>
      </c>
      <c r="T836" s="4">
        <v>1</v>
      </c>
      <c r="U836" s="4">
        <v>1.3</v>
      </c>
      <c r="V836" s="4">
        <v>10.7</v>
      </c>
      <c r="W836" s="4">
        <v>12</v>
      </c>
      <c r="X836" s="4">
        <v>0</v>
      </c>
      <c r="Y836" s="4"/>
      <c r="Z836" s="4">
        <v>502.9</v>
      </c>
      <c r="AA836" s="4">
        <v>500</v>
      </c>
      <c r="AB836" s="18"/>
      <c r="AC836" s="18">
        <v>16</v>
      </c>
      <c r="AD836" s="28"/>
      <c r="AE836" s="26"/>
      <c r="AF836" s="28"/>
    </row>
    <row r="837" spans="1:32" ht="13.5" customHeight="1" x14ac:dyDescent="0.25">
      <c r="A837" s="14">
        <v>45769</v>
      </c>
      <c r="B837" s="14" t="s">
        <v>47</v>
      </c>
      <c r="C837" s="15">
        <v>3</v>
      </c>
      <c r="D837" s="16"/>
      <c r="E837" s="16"/>
      <c r="F837" s="17"/>
      <c r="G837" s="21"/>
      <c r="H837" s="21"/>
      <c r="I837" s="4">
        <v>0</v>
      </c>
      <c r="J837" s="4">
        <v>0</v>
      </c>
      <c r="K837" s="4"/>
      <c r="L837" s="16"/>
      <c r="M837" s="4"/>
      <c r="N837" s="4"/>
      <c r="O837" s="4"/>
      <c r="P837" s="4"/>
      <c r="Q837" s="4"/>
      <c r="R837" s="4"/>
      <c r="S837" s="4">
        <v>0</v>
      </c>
      <c r="T837" s="4">
        <v>0</v>
      </c>
      <c r="U837" s="4">
        <v>0</v>
      </c>
      <c r="V837" s="4">
        <v>12</v>
      </c>
      <c r="W837" s="4">
        <v>12</v>
      </c>
      <c r="X837" s="4">
        <v>0</v>
      </c>
      <c r="Y837" s="4"/>
      <c r="Z837" s="4">
        <v>382</v>
      </c>
      <c r="AA837" s="4">
        <v>400</v>
      </c>
      <c r="AB837" s="18"/>
      <c r="AC837" s="18">
        <v>16</v>
      </c>
      <c r="AD837" s="28"/>
      <c r="AE837" s="26"/>
      <c r="AF837" s="28"/>
    </row>
    <row r="838" spans="1:32" ht="13.5" customHeight="1" x14ac:dyDescent="0.25">
      <c r="A838" s="14">
        <v>45769</v>
      </c>
      <c r="B838" s="14" t="s">
        <v>46</v>
      </c>
      <c r="C838" s="15">
        <v>6</v>
      </c>
      <c r="D838" s="16">
        <v>23</v>
      </c>
      <c r="E838" s="16"/>
      <c r="F838" s="17"/>
      <c r="G838" s="21"/>
      <c r="H838" s="21"/>
      <c r="I838" s="4">
        <v>23</v>
      </c>
      <c r="J838" s="4">
        <v>0.38333333333333336</v>
      </c>
      <c r="K838" s="4"/>
      <c r="L838" s="16"/>
      <c r="M838" s="4"/>
      <c r="N838" s="4">
        <v>10</v>
      </c>
      <c r="O838" s="4"/>
      <c r="P838" s="4"/>
      <c r="Q838" s="4"/>
      <c r="R838" s="4"/>
      <c r="S838" s="4">
        <v>10</v>
      </c>
      <c r="T838" s="4">
        <v>0.16666666666666666</v>
      </c>
      <c r="U838" s="4">
        <v>0.55000000000000004</v>
      </c>
      <c r="V838" s="4">
        <v>11.45</v>
      </c>
      <c r="W838" s="4">
        <v>12</v>
      </c>
      <c r="X838" s="4">
        <v>70</v>
      </c>
      <c r="Y838" s="4"/>
      <c r="Z838" s="4">
        <v>540</v>
      </c>
      <c r="AA838" s="4">
        <v>550</v>
      </c>
      <c r="AB838" s="18"/>
      <c r="AC838" s="18">
        <v>16</v>
      </c>
      <c r="AD838" s="28"/>
      <c r="AE838" s="26"/>
      <c r="AF838" s="28"/>
    </row>
    <row r="839" spans="1:32" ht="13.5" customHeight="1" x14ac:dyDescent="0.25">
      <c r="A839" s="14">
        <v>45769</v>
      </c>
      <c r="B839" s="14" t="s">
        <v>47</v>
      </c>
      <c r="C839" s="15">
        <v>6</v>
      </c>
      <c r="D839" s="16"/>
      <c r="E839" s="16"/>
      <c r="F839" s="17"/>
      <c r="G839" s="21"/>
      <c r="H839" s="21"/>
      <c r="I839" s="4">
        <v>0</v>
      </c>
      <c r="J839" s="4">
        <v>0</v>
      </c>
      <c r="K839" s="4"/>
      <c r="L839" s="16"/>
      <c r="M839" s="4"/>
      <c r="N839" s="4"/>
      <c r="O839" s="4"/>
      <c r="P839" s="4"/>
      <c r="Q839" s="4"/>
      <c r="R839" s="4"/>
      <c r="S839" s="4">
        <v>0</v>
      </c>
      <c r="T839" s="4">
        <v>0</v>
      </c>
      <c r="U839" s="4">
        <v>0</v>
      </c>
      <c r="V839" s="4">
        <v>12</v>
      </c>
      <c r="W839" s="4">
        <v>12</v>
      </c>
      <c r="X839" s="4">
        <v>70</v>
      </c>
      <c r="Y839" s="4"/>
      <c r="Z839" s="4">
        <v>696.7</v>
      </c>
      <c r="AA839" s="4">
        <v>700</v>
      </c>
      <c r="AB839" s="18"/>
      <c r="AC839" s="18">
        <v>16</v>
      </c>
      <c r="AD839" s="28"/>
      <c r="AE839" s="26"/>
      <c r="AF839" s="28"/>
    </row>
    <row r="840" spans="1:32" ht="13.5" customHeight="1" x14ac:dyDescent="0.25">
      <c r="A840" s="14">
        <v>45769</v>
      </c>
      <c r="B840" s="14" t="s">
        <v>46</v>
      </c>
      <c r="C840" s="15">
        <v>7</v>
      </c>
      <c r="D840" s="16">
        <v>3</v>
      </c>
      <c r="E840" s="16"/>
      <c r="F840" s="17"/>
      <c r="G840" s="21"/>
      <c r="H840" s="21"/>
      <c r="I840" s="4">
        <v>3</v>
      </c>
      <c r="J840" s="4">
        <v>0.05</v>
      </c>
      <c r="K840" s="4"/>
      <c r="L840" s="16"/>
      <c r="M840" s="4"/>
      <c r="N840" s="4"/>
      <c r="O840" s="4"/>
      <c r="P840" s="4"/>
      <c r="Q840" s="4"/>
      <c r="R840" s="4"/>
      <c r="S840" s="4">
        <v>0</v>
      </c>
      <c r="T840" s="4">
        <v>0</v>
      </c>
      <c r="U840" s="4">
        <v>0.05</v>
      </c>
      <c r="V840" s="4">
        <v>11.95</v>
      </c>
      <c r="W840" s="4">
        <v>12</v>
      </c>
      <c r="X840" s="4">
        <v>0</v>
      </c>
      <c r="Y840" s="4"/>
      <c r="Z840" s="4">
        <v>289.09999999999997</v>
      </c>
      <c r="AA840" s="4">
        <v>300</v>
      </c>
      <c r="AB840" s="18"/>
      <c r="AC840" s="18">
        <v>16</v>
      </c>
      <c r="AD840" s="28"/>
      <c r="AE840" s="26"/>
      <c r="AF840" s="28"/>
    </row>
    <row r="841" spans="1:32" ht="13.5" customHeight="1" x14ac:dyDescent="0.25">
      <c r="A841" s="14">
        <v>45769</v>
      </c>
      <c r="B841" s="14" t="s">
        <v>47</v>
      </c>
      <c r="C841" s="15">
        <v>7</v>
      </c>
      <c r="D841" s="16">
        <v>35</v>
      </c>
      <c r="E841" s="16"/>
      <c r="F841" s="17"/>
      <c r="G841" s="21"/>
      <c r="H841" s="21"/>
      <c r="I841" s="4">
        <v>35</v>
      </c>
      <c r="J841" s="4">
        <v>0.58333333333333337</v>
      </c>
      <c r="K841" s="4"/>
      <c r="L841" s="16"/>
      <c r="M841" s="4"/>
      <c r="N841" s="4"/>
      <c r="O841" s="4"/>
      <c r="P841" s="4"/>
      <c r="Q841" s="4"/>
      <c r="R841" s="4"/>
      <c r="S841" s="4">
        <v>0</v>
      </c>
      <c r="T841" s="4">
        <v>0</v>
      </c>
      <c r="U841" s="4">
        <v>0.58333333333333337</v>
      </c>
      <c r="V841" s="4">
        <v>11.416666666666666</v>
      </c>
      <c r="W841" s="4">
        <v>12</v>
      </c>
      <c r="X841" s="4">
        <v>0</v>
      </c>
      <c r="Y841" s="4"/>
      <c r="Z841" s="4">
        <v>361.6</v>
      </c>
      <c r="AA841" s="4">
        <v>400</v>
      </c>
      <c r="AB841" s="18"/>
      <c r="AC841" s="18">
        <v>16</v>
      </c>
      <c r="AD841" s="28"/>
      <c r="AE841" s="26"/>
      <c r="AF841" s="28"/>
    </row>
    <row r="842" spans="1:32" ht="13.5" customHeight="1" x14ac:dyDescent="0.25">
      <c r="A842" s="14">
        <v>45770</v>
      </c>
      <c r="B842" s="14" t="s">
        <v>46</v>
      </c>
      <c r="C842" s="15">
        <v>1</v>
      </c>
      <c r="D842" s="16"/>
      <c r="E842" s="16"/>
      <c r="F842" s="17"/>
      <c r="G842" s="21"/>
      <c r="H842" s="21"/>
      <c r="I842" s="4">
        <v>0</v>
      </c>
      <c r="J842" s="4">
        <v>0</v>
      </c>
      <c r="K842" s="4"/>
      <c r="L842" s="16"/>
      <c r="M842" s="4"/>
      <c r="N842" s="4"/>
      <c r="O842" s="4"/>
      <c r="P842" s="4"/>
      <c r="Q842" s="4"/>
      <c r="R842" s="4"/>
      <c r="S842" s="4">
        <v>0</v>
      </c>
      <c r="T842" s="4">
        <v>0</v>
      </c>
      <c r="U842" s="4">
        <v>0</v>
      </c>
      <c r="V842" s="4">
        <v>12</v>
      </c>
      <c r="W842" s="4">
        <v>12</v>
      </c>
      <c r="X842" s="4">
        <v>0</v>
      </c>
      <c r="Y842" s="4">
        <v>1770</v>
      </c>
      <c r="Z842" s="4">
        <v>192.5</v>
      </c>
      <c r="AA842" s="4">
        <v>200</v>
      </c>
      <c r="AB842" s="18">
        <v>372</v>
      </c>
      <c r="AC842" s="18">
        <v>16</v>
      </c>
      <c r="AD842" s="28"/>
      <c r="AE842" s="26"/>
      <c r="AF842" s="28"/>
    </row>
    <row r="843" spans="1:32" ht="13.5" customHeight="1" x14ac:dyDescent="0.25">
      <c r="A843" s="14">
        <v>45770</v>
      </c>
      <c r="B843" s="14" t="s">
        <v>47</v>
      </c>
      <c r="C843" s="15">
        <v>1</v>
      </c>
      <c r="D843" s="16"/>
      <c r="E843" s="16"/>
      <c r="F843" s="17"/>
      <c r="G843" s="21"/>
      <c r="H843" s="21"/>
      <c r="I843" s="4">
        <v>0</v>
      </c>
      <c r="J843" s="4">
        <v>0</v>
      </c>
      <c r="K843" s="4"/>
      <c r="L843" s="16"/>
      <c r="M843" s="4"/>
      <c r="N843" s="4"/>
      <c r="O843" s="4"/>
      <c r="P843" s="4"/>
      <c r="Q843" s="4"/>
      <c r="R843" s="4"/>
      <c r="S843" s="4">
        <v>0</v>
      </c>
      <c r="T843" s="4">
        <v>0</v>
      </c>
      <c r="U843" s="4">
        <v>0</v>
      </c>
      <c r="V843" s="4">
        <v>12</v>
      </c>
      <c r="W843" s="4">
        <v>12</v>
      </c>
      <c r="X843" s="4">
        <v>0</v>
      </c>
      <c r="Y843" s="4"/>
      <c r="Z843" s="4">
        <v>163.80000000000001</v>
      </c>
      <c r="AA843" s="4">
        <v>150</v>
      </c>
      <c r="AB843" s="18"/>
      <c r="AC843" s="18">
        <v>16</v>
      </c>
      <c r="AD843" s="28"/>
      <c r="AE843" s="26"/>
      <c r="AF843" s="28"/>
    </row>
    <row r="844" spans="1:32" ht="13.5" customHeight="1" x14ac:dyDescent="0.25">
      <c r="A844" s="14">
        <v>45770</v>
      </c>
      <c r="B844" s="14" t="s">
        <v>46</v>
      </c>
      <c r="C844" s="15">
        <v>3</v>
      </c>
      <c r="D844" s="16">
        <v>3</v>
      </c>
      <c r="E844" s="16"/>
      <c r="F844" s="17"/>
      <c r="G844" s="21"/>
      <c r="H844" s="21"/>
      <c r="I844" s="4">
        <v>3</v>
      </c>
      <c r="J844" s="4">
        <v>0.05</v>
      </c>
      <c r="K844" s="4"/>
      <c r="L844" s="16">
        <v>10</v>
      </c>
      <c r="M844" s="4"/>
      <c r="N844" s="4"/>
      <c r="O844" s="4"/>
      <c r="P844" s="4"/>
      <c r="Q844" s="4"/>
      <c r="R844" s="4"/>
      <c r="S844" s="4">
        <v>10</v>
      </c>
      <c r="T844" s="4">
        <v>0.16666666666666666</v>
      </c>
      <c r="U844" s="4">
        <v>0.21666666666666667</v>
      </c>
      <c r="V844" s="4">
        <v>11.783333333333333</v>
      </c>
      <c r="W844" s="4">
        <v>12</v>
      </c>
      <c r="X844" s="4">
        <v>0</v>
      </c>
      <c r="Y844" s="4"/>
      <c r="Z844" s="4">
        <v>278</v>
      </c>
      <c r="AA844" s="4">
        <v>300</v>
      </c>
      <c r="AB844" s="18"/>
      <c r="AC844" s="18">
        <v>16</v>
      </c>
      <c r="AD844" s="28"/>
      <c r="AE844" s="26"/>
      <c r="AF844" s="28"/>
    </row>
    <row r="845" spans="1:32" ht="13.5" customHeight="1" x14ac:dyDescent="0.25">
      <c r="A845" s="14">
        <v>45770</v>
      </c>
      <c r="B845" s="14" t="s">
        <v>47</v>
      </c>
      <c r="C845" s="15">
        <v>3</v>
      </c>
      <c r="D845" s="16">
        <v>18</v>
      </c>
      <c r="E845" s="16"/>
      <c r="F845" s="17"/>
      <c r="G845" s="21"/>
      <c r="H845" s="21"/>
      <c r="I845" s="4">
        <v>18</v>
      </c>
      <c r="J845" s="4">
        <v>0.3</v>
      </c>
      <c r="K845" s="4"/>
      <c r="L845" s="16"/>
      <c r="M845" s="4"/>
      <c r="N845" s="4"/>
      <c r="O845" s="4"/>
      <c r="P845" s="4"/>
      <c r="Q845" s="4"/>
      <c r="R845" s="4"/>
      <c r="S845" s="4">
        <v>0</v>
      </c>
      <c r="T845" s="4">
        <v>0</v>
      </c>
      <c r="U845" s="4">
        <v>0.3</v>
      </c>
      <c r="V845" s="4">
        <v>11.7</v>
      </c>
      <c r="W845" s="4">
        <v>12</v>
      </c>
      <c r="X845" s="4">
        <v>0</v>
      </c>
      <c r="Y845" s="4"/>
      <c r="Z845" s="4">
        <v>323.10000000000002</v>
      </c>
      <c r="AA845" s="4">
        <v>350</v>
      </c>
      <c r="AB845" s="18"/>
      <c r="AC845" s="18">
        <v>16</v>
      </c>
      <c r="AD845" s="28"/>
      <c r="AE845" s="26"/>
      <c r="AF845" s="28"/>
    </row>
    <row r="846" spans="1:32" ht="13.5" customHeight="1" x14ac:dyDescent="0.25">
      <c r="A846" s="14">
        <v>45770</v>
      </c>
      <c r="B846" s="14" t="s">
        <v>46</v>
      </c>
      <c r="C846" s="15">
        <v>6</v>
      </c>
      <c r="D846" s="16">
        <v>5</v>
      </c>
      <c r="E846" s="16"/>
      <c r="F846" s="17"/>
      <c r="G846" s="21"/>
      <c r="H846" s="21"/>
      <c r="I846" s="4">
        <v>5</v>
      </c>
      <c r="J846" s="4">
        <v>8.3333333333333329E-2</v>
      </c>
      <c r="K846" s="4"/>
      <c r="L846" s="16"/>
      <c r="M846" s="4"/>
      <c r="N846" s="4"/>
      <c r="O846" s="4"/>
      <c r="P846" s="4"/>
      <c r="Q846" s="4"/>
      <c r="R846" s="4"/>
      <c r="S846" s="4">
        <v>0</v>
      </c>
      <c r="T846" s="4">
        <v>0</v>
      </c>
      <c r="U846" s="4">
        <v>8.3333333333333329E-2</v>
      </c>
      <c r="V846" s="4">
        <v>11.916666666666666</v>
      </c>
      <c r="W846" s="4">
        <v>12</v>
      </c>
      <c r="X846" s="4">
        <v>33.6</v>
      </c>
      <c r="Y846" s="4"/>
      <c r="Z846" s="4">
        <v>1006.9999999999998</v>
      </c>
      <c r="AA846" s="4">
        <v>1000</v>
      </c>
      <c r="AB846" s="18"/>
      <c r="AC846" s="18">
        <v>16</v>
      </c>
      <c r="AD846" s="28"/>
      <c r="AE846" s="26"/>
      <c r="AF846" s="28"/>
    </row>
    <row r="847" spans="1:32" ht="13.5" customHeight="1" x14ac:dyDescent="0.25">
      <c r="A847" s="14">
        <v>45770</v>
      </c>
      <c r="B847" s="14" t="s">
        <v>47</v>
      </c>
      <c r="C847" s="15">
        <v>6</v>
      </c>
      <c r="D847" s="16"/>
      <c r="E847" s="16"/>
      <c r="F847" s="17"/>
      <c r="G847" s="21"/>
      <c r="H847" s="21"/>
      <c r="I847" s="4">
        <v>0</v>
      </c>
      <c r="J847" s="4">
        <v>0</v>
      </c>
      <c r="K847" s="4"/>
      <c r="L847" s="16"/>
      <c r="M847" s="4"/>
      <c r="N847" s="4"/>
      <c r="O847" s="4"/>
      <c r="P847" s="4"/>
      <c r="Q847" s="4"/>
      <c r="R847" s="4"/>
      <c r="S847" s="4">
        <v>0</v>
      </c>
      <c r="T847" s="4">
        <v>0</v>
      </c>
      <c r="U847" s="4">
        <v>0</v>
      </c>
      <c r="V847" s="4">
        <v>12</v>
      </c>
      <c r="W847" s="4">
        <v>12</v>
      </c>
      <c r="X847" s="4">
        <v>27</v>
      </c>
      <c r="Y847" s="4"/>
      <c r="Z847" s="4">
        <v>703.6</v>
      </c>
      <c r="AA847" s="4">
        <v>700</v>
      </c>
      <c r="AB847" s="18"/>
      <c r="AC847" s="18">
        <v>16</v>
      </c>
      <c r="AD847" s="28"/>
      <c r="AE847" s="26"/>
      <c r="AF847" s="28"/>
    </row>
    <row r="848" spans="1:32" ht="13.5" customHeight="1" x14ac:dyDescent="0.25">
      <c r="A848" s="14">
        <v>45770</v>
      </c>
      <c r="B848" s="14" t="s">
        <v>46</v>
      </c>
      <c r="C848" s="15">
        <v>7</v>
      </c>
      <c r="D848" s="16">
        <v>18</v>
      </c>
      <c r="E848" s="16"/>
      <c r="F848" s="17"/>
      <c r="G848" s="21"/>
      <c r="H848" s="21"/>
      <c r="I848" s="4">
        <v>18</v>
      </c>
      <c r="J848" s="4">
        <v>0.3</v>
      </c>
      <c r="K848" s="4"/>
      <c r="L848" s="16"/>
      <c r="M848" s="4"/>
      <c r="N848" s="4"/>
      <c r="O848" s="4"/>
      <c r="P848" s="4"/>
      <c r="Q848" s="4"/>
      <c r="R848" s="4"/>
      <c r="S848" s="4">
        <v>0</v>
      </c>
      <c r="T848" s="4">
        <v>0</v>
      </c>
      <c r="U848" s="4">
        <v>0.3</v>
      </c>
      <c r="V848" s="4">
        <v>11.7</v>
      </c>
      <c r="W848" s="4">
        <v>12</v>
      </c>
      <c r="X848" s="4">
        <v>0</v>
      </c>
      <c r="Y848" s="4"/>
      <c r="Z848" s="4">
        <v>487.43499999999995</v>
      </c>
      <c r="AA848" s="4">
        <v>500</v>
      </c>
      <c r="AB848" s="18"/>
      <c r="AC848" s="18">
        <v>16</v>
      </c>
      <c r="AD848" s="28"/>
      <c r="AE848" s="26"/>
      <c r="AF848" s="28"/>
    </row>
    <row r="849" spans="1:32" ht="13.5" customHeight="1" x14ac:dyDescent="0.25">
      <c r="A849" s="14">
        <v>45771</v>
      </c>
      <c r="B849" s="14" t="s">
        <v>46</v>
      </c>
      <c r="C849" s="15">
        <v>1</v>
      </c>
      <c r="D849" s="16">
        <v>5</v>
      </c>
      <c r="E849" s="16"/>
      <c r="F849" s="17"/>
      <c r="G849" s="21"/>
      <c r="H849" s="21"/>
      <c r="I849" s="4">
        <v>5</v>
      </c>
      <c r="J849" s="4">
        <v>8.3333333333333329E-2</v>
      </c>
      <c r="K849" s="4"/>
      <c r="L849" s="16"/>
      <c r="M849" s="4"/>
      <c r="N849" s="4"/>
      <c r="O849" s="4"/>
      <c r="P849" s="4"/>
      <c r="Q849" s="4"/>
      <c r="R849" s="4"/>
      <c r="S849" s="4">
        <v>0</v>
      </c>
      <c r="T849" s="4">
        <v>0</v>
      </c>
      <c r="U849" s="4">
        <v>8.3333333333333329E-2</v>
      </c>
      <c r="V849" s="4">
        <v>11.916666666666666</v>
      </c>
      <c r="W849" s="4">
        <v>12</v>
      </c>
      <c r="X849" s="4">
        <v>0</v>
      </c>
      <c r="Y849" s="4">
        <v>1626</v>
      </c>
      <c r="Z849" s="4">
        <v>118.1</v>
      </c>
      <c r="AA849" s="4">
        <v>100</v>
      </c>
      <c r="AB849" s="18">
        <v>372</v>
      </c>
      <c r="AC849" s="18">
        <v>16</v>
      </c>
      <c r="AD849" s="28"/>
      <c r="AE849" s="26"/>
      <c r="AF849" s="28"/>
    </row>
    <row r="850" spans="1:32" ht="13.5" customHeight="1" x14ac:dyDescent="0.25">
      <c r="A850" s="14">
        <v>45771</v>
      </c>
      <c r="B850" s="14" t="s">
        <v>47</v>
      </c>
      <c r="C850" s="15">
        <v>1</v>
      </c>
      <c r="D850" s="16"/>
      <c r="E850" s="16"/>
      <c r="F850" s="17"/>
      <c r="G850" s="21"/>
      <c r="H850" s="21"/>
      <c r="I850" s="4">
        <v>0</v>
      </c>
      <c r="J850" s="4">
        <v>0</v>
      </c>
      <c r="K850" s="4"/>
      <c r="L850" s="16"/>
      <c r="M850" s="4"/>
      <c r="N850" s="4"/>
      <c r="O850" s="4"/>
      <c r="P850" s="4"/>
      <c r="Q850" s="4"/>
      <c r="R850" s="4"/>
      <c r="S850" s="4">
        <v>0</v>
      </c>
      <c r="T850" s="4">
        <v>0</v>
      </c>
      <c r="U850" s="4">
        <v>0</v>
      </c>
      <c r="V850" s="4">
        <v>12</v>
      </c>
      <c r="W850" s="4">
        <v>12</v>
      </c>
      <c r="X850" s="4">
        <v>0</v>
      </c>
      <c r="Y850" s="4"/>
      <c r="Z850" s="4">
        <v>132.07000000000002</v>
      </c>
      <c r="AA850" s="4">
        <v>150</v>
      </c>
      <c r="AB850" s="18"/>
      <c r="AC850" s="18">
        <v>16</v>
      </c>
      <c r="AD850" s="28"/>
      <c r="AE850" s="26"/>
      <c r="AF850" s="28"/>
    </row>
    <row r="851" spans="1:32" ht="13.5" customHeight="1" x14ac:dyDescent="0.25">
      <c r="A851" s="14">
        <v>45771</v>
      </c>
      <c r="B851" s="14" t="s">
        <v>46</v>
      </c>
      <c r="C851" s="15">
        <v>3</v>
      </c>
      <c r="D851" s="16">
        <v>5</v>
      </c>
      <c r="E851" s="16"/>
      <c r="F851" s="17"/>
      <c r="G851" s="21"/>
      <c r="H851" s="21"/>
      <c r="I851" s="4">
        <v>5</v>
      </c>
      <c r="J851" s="4">
        <v>8.3333333333333329E-2</v>
      </c>
      <c r="K851" s="4"/>
      <c r="L851" s="16"/>
      <c r="M851" s="4"/>
      <c r="N851" s="4"/>
      <c r="O851" s="4"/>
      <c r="P851" s="4"/>
      <c r="Q851" s="4"/>
      <c r="R851" s="4"/>
      <c r="S851" s="4">
        <v>0</v>
      </c>
      <c r="T851" s="4">
        <v>0</v>
      </c>
      <c r="U851" s="4">
        <v>8.3333333333333329E-2</v>
      </c>
      <c r="V851" s="4">
        <v>11.916666666666666</v>
      </c>
      <c r="W851" s="4">
        <v>12</v>
      </c>
      <c r="X851" s="4">
        <v>0</v>
      </c>
      <c r="Y851" s="4"/>
      <c r="Z851" s="4">
        <v>288.7</v>
      </c>
      <c r="AA851" s="4">
        <v>300</v>
      </c>
      <c r="AB851" s="18"/>
      <c r="AC851" s="18">
        <v>16</v>
      </c>
      <c r="AD851" s="28"/>
      <c r="AE851" s="26"/>
      <c r="AF851" s="28"/>
    </row>
    <row r="852" spans="1:32" ht="13.5" customHeight="1" x14ac:dyDescent="0.25">
      <c r="A852" s="14">
        <v>45771</v>
      </c>
      <c r="B852" s="14" t="s">
        <v>47</v>
      </c>
      <c r="C852" s="15">
        <v>3</v>
      </c>
      <c r="D852" s="16">
        <v>20</v>
      </c>
      <c r="E852" s="16"/>
      <c r="F852" s="17"/>
      <c r="G852" s="21"/>
      <c r="H852" s="21"/>
      <c r="I852" s="4">
        <v>20</v>
      </c>
      <c r="J852" s="4">
        <v>0.33333333333333331</v>
      </c>
      <c r="K852" s="4"/>
      <c r="L852" s="16"/>
      <c r="M852" s="4"/>
      <c r="N852" s="4"/>
      <c r="O852" s="4"/>
      <c r="P852" s="4"/>
      <c r="Q852" s="4"/>
      <c r="R852" s="4"/>
      <c r="S852" s="4">
        <v>0</v>
      </c>
      <c r="T852" s="4">
        <v>0</v>
      </c>
      <c r="U852" s="4">
        <v>0.33333333333333331</v>
      </c>
      <c r="V852" s="4">
        <v>11.666666666666666</v>
      </c>
      <c r="W852" s="4">
        <v>12</v>
      </c>
      <c r="X852" s="4">
        <v>0</v>
      </c>
      <c r="Y852" s="4"/>
      <c r="Z852" s="4">
        <v>350.2</v>
      </c>
      <c r="AA852" s="4">
        <v>350</v>
      </c>
      <c r="AB852" s="18"/>
      <c r="AC852" s="18">
        <v>16</v>
      </c>
      <c r="AD852" s="28"/>
      <c r="AE852" s="26"/>
      <c r="AF852" s="28"/>
    </row>
    <row r="853" spans="1:32" ht="13.5" customHeight="1" x14ac:dyDescent="0.25">
      <c r="A853" s="14">
        <v>45771</v>
      </c>
      <c r="B853" s="14" t="s">
        <v>46</v>
      </c>
      <c r="C853" s="15">
        <v>6</v>
      </c>
      <c r="D853" s="16">
        <v>20</v>
      </c>
      <c r="E853" s="16"/>
      <c r="F853" s="17"/>
      <c r="G853" s="21"/>
      <c r="H853" s="21"/>
      <c r="I853" s="4">
        <v>20</v>
      </c>
      <c r="J853" s="4">
        <v>0.33333333333333331</v>
      </c>
      <c r="K853" s="4"/>
      <c r="L853" s="16"/>
      <c r="M853" s="4"/>
      <c r="N853" s="4">
        <v>5</v>
      </c>
      <c r="O853" s="4"/>
      <c r="P853" s="4"/>
      <c r="Q853" s="4"/>
      <c r="R853" s="4"/>
      <c r="S853" s="4">
        <v>5</v>
      </c>
      <c r="T853" s="4">
        <v>8.3333333333333329E-2</v>
      </c>
      <c r="U853" s="4">
        <v>0.41666666666666663</v>
      </c>
      <c r="V853" s="4">
        <v>11.583333333333334</v>
      </c>
      <c r="W853" s="4">
        <v>12</v>
      </c>
      <c r="X853" s="4">
        <v>43</v>
      </c>
      <c r="Y853" s="4"/>
      <c r="Z853" s="4">
        <v>593.4</v>
      </c>
      <c r="AA853" s="4">
        <v>600</v>
      </c>
      <c r="AB853" s="18"/>
      <c r="AC853" s="18">
        <v>16</v>
      </c>
      <c r="AD853" s="28"/>
      <c r="AE853" s="26"/>
      <c r="AF853" s="28"/>
    </row>
    <row r="854" spans="1:32" ht="13.5" customHeight="1" x14ac:dyDescent="0.25">
      <c r="A854" s="14">
        <v>45771</v>
      </c>
      <c r="B854" s="14" t="s">
        <v>47</v>
      </c>
      <c r="C854" s="15">
        <v>6</v>
      </c>
      <c r="D854" s="16"/>
      <c r="E854" s="16"/>
      <c r="F854" s="17"/>
      <c r="G854" s="21"/>
      <c r="H854" s="21"/>
      <c r="I854" s="4">
        <v>0</v>
      </c>
      <c r="J854" s="4">
        <v>0</v>
      </c>
      <c r="K854" s="4"/>
      <c r="L854" s="16"/>
      <c r="M854" s="4"/>
      <c r="N854" s="4"/>
      <c r="O854" s="4"/>
      <c r="P854" s="4"/>
      <c r="Q854" s="4"/>
      <c r="R854" s="4"/>
      <c r="S854" s="4">
        <v>0</v>
      </c>
      <c r="T854" s="4">
        <v>0</v>
      </c>
      <c r="U854" s="4">
        <v>0</v>
      </c>
      <c r="V854" s="4">
        <v>12</v>
      </c>
      <c r="W854" s="4">
        <v>12</v>
      </c>
      <c r="X854" s="4">
        <v>17.399999999999999</v>
      </c>
      <c r="Y854" s="4"/>
      <c r="Z854" s="4">
        <v>492.79999999999995</v>
      </c>
      <c r="AA854" s="4">
        <v>500</v>
      </c>
      <c r="AB854" s="18"/>
      <c r="AC854" s="18">
        <v>16</v>
      </c>
      <c r="AD854" s="28"/>
      <c r="AE854" s="26"/>
      <c r="AF854" s="28"/>
    </row>
    <row r="855" spans="1:32" ht="13.5" customHeight="1" x14ac:dyDescent="0.25">
      <c r="A855" s="14">
        <v>45771</v>
      </c>
      <c r="B855" s="14" t="s">
        <v>46</v>
      </c>
      <c r="C855" s="15">
        <v>7</v>
      </c>
      <c r="D855" s="16"/>
      <c r="E855" s="16"/>
      <c r="F855" s="17"/>
      <c r="G855" s="21"/>
      <c r="H855" s="21"/>
      <c r="I855" s="4">
        <v>0</v>
      </c>
      <c r="J855" s="4">
        <v>0</v>
      </c>
      <c r="K855" s="4"/>
      <c r="L855" s="16"/>
      <c r="M855" s="4"/>
      <c r="N855" s="4"/>
      <c r="O855" s="4"/>
      <c r="P855" s="4"/>
      <c r="Q855" s="4">
        <v>15</v>
      </c>
      <c r="R855" s="4"/>
      <c r="S855" s="4">
        <v>15</v>
      </c>
      <c r="T855" s="4">
        <v>0.25</v>
      </c>
      <c r="U855" s="4">
        <v>0.25</v>
      </c>
      <c r="V855" s="4">
        <v>11.75</v>
      </c>
      <c r="W855" s="4">
        <v>12</v>
      </c>
      <c r="X855" s="4">
        <v>0</v>
      </c>
      <c r="Y855" s="4"/>
      <c r="Z855" s="4">
        <v>103.83</v>
      </c>
      <c r="AA855" s="4">
        <v>100</v>
      </c>
      <c r="AB855" s="18"/>
      <c r="AC855" s="18">
        <v>16</v>
      </c>
      <c r="AD855" s="28"/>
      <c r="AE855" s="26"/>
      <c r="AF855" s="28"/>
    </row>
    <row r="856" spans="1:32" ht="13.5" customHeight="1" x14ac:dyDescent="0.25">
      <c r="A856" s="14">
        <v>45771</v>
      </c>
      <c r="B856" s="14" t="s">
        <v>47</v>
      </c>
      <c r="C856" s="15">
        <v>7</v>
      </c>
      <c r="D856" s="16"/>
      <c r="E856" s="16"/>
      <c r="F856" s="17"/>
      <c r="G856" s="21"/>
      <c r="H856" s="21"/>
      <c r="I856" s="4">
        <v>0</v>
      </c>
      <c r="J856" s="4">
        <v>0</v>
      </c>
      <c r="K856" s="4"/>
      <c r="L856" s="16"/>
      <c r="M856" s="4"/>
      <c r="N856" s="4"/>
      <c r="O856" s="4"/>
      <c r="P856" s="4"/>
      <c r="Q856" s="4"/>
      <c r="R856" s="4"/>
      <c r="S856" s="4">
        <v>0</v>
      </c>
      <c r="T856" s="4">
        <v>0</v>
      </c>
      <c r="U856" s="4">
        <v>0</v>
      </c>
      <c r="V856" s="4">
        <v>12</v>
      </c>
      <c r="W856" s="4">
        <v>12</v>
      </c>
      <c r="X856" s="4">
        <v>0</v>
      </c>
      <c r="Y856" s="4"/>
      <c r="Z856" s="4">
        <v>392.71</v>
      </c>
      <c r="AA856" s="4">
        <v>400</v>
      </c>
      <c r="AB856" s="18"/>
      <c r="AC856" s="18">
        <v>16</v>
      </c>
      <c r="AD856" s="28"/>
      <c r="AE856" s="26"/>
      <c r="AF856" s="28"/>
    </row>
    <row r="857" spans="1:32" ht="13.5" customHeight="1" x14ac:dyDescent="0.25">
      <c r="A857" s="14">
        <v>45772</v>
      </c>
      <c r="B857" s="14" t="s">
        <v>46</v>
      </c>
      <c r="C857" s="15">
        <v>1</v>
      </c>
      <c r="D857" s="16"/>
      <c r="E857" s="16"/>
      <c r="F857" s="17"/>
      <c r="G857" s="21"/>
      <c r="H857" s="21"/>
      <c r="I857" s="4">
        <v>0</v>
      </c>
      <c r="J857" s="4">
        <v>0</v>
      </c>
      <c r="K857" s="4"/>
      <c r="L857" s="16"/>
      <c r="M857" s="4"/>
      <c r="N857" s="4"/>
      <c r="O857" s="4"/>
      <c r="P857" s="4"/>
      <c r="Q857" s="4"/>
      <c r="R857" s="4"/>
      <c r="S857" s="4">
        <v>0</v>
      </c>
      <c r="T857" s="4">
        <v>0</v>
      </c>
      <c r="U857" s="4">
        <v>0</v>
      </c>
      <c r="V857" s="4">
        <v>12</v>
      </c>
      <c r="W857" s="4">
        <v>12</v>
      </c>
      <c r="X857" s="4">
        <v>0</v>
      </c>
      <c r="Y857" s="4">
        <v>1479</v>
      </c>
      <c r="Z857" s="4">
        <v>123.79999999999998</v>
      </c>
      <c r="AA857" s="4">
        <v>100</v>
      </c>
      <c r="AB857" s="18">
        <v>372</v>
      </c>
      <c r="AC857" s="18">
        <v>16</v>
      </c>
      <c r="AD857" s="28"/>
      <c r="AE857" s="26"/>
      <c r="AF857" s="28"/>
    </row>
    <row r="858" spans="1:32" ht="13.5" customHeight="1" x14ac:dyDescent="0.25">
      <c r="A858" s="14">
        <v>45772</v>
      </c>
      <c r="B858" s="14" t="s">
        <v>47</v>
      </c>
      <c r="C858" s="15">
        <v>1</v>
      </c>
      <c r="D858" s="16"/>
      <c r="E858" s="16"/>
      <c r="F858" s="17"/>
      <c r="G858" s="21"/>
      <c r="H858" s="21"/>
      <c r="I858" s="4">
        <v>0</v>
      </c>
      <c r="J858" s="4">
        <v>0</v>
      </c>
      <c r="K858" s="4"/>
      <c r="L858" s="16"/>
      <c r="M858" s="4"/>
      <c r="N858" s="4"/>
      <c r="O858" s="4"/>
      <c r="P858" s="4"/>
      <c r="Q858" s="4"/>
      <c r="R858" s="4"/>
      <c r="S858" s="4">
        <v>0</v>
      </c>
      <c r="T858" s="4">
        <v>0</v>
      </c>
      <c r="U858" s="4">
        <v>0</v>
      </c>
      <c r="V858" s="4">
        <v>12</v>
      </c>
      <c r="W858" s="4">
        <v>12</v>
      </c>
      <c r="X858" s="4">
        <v>0</v>
      </c>
      <c r="Y858" s="4"/>
      <c r="Z858" s="4">
        <v>125.37000000000003</v>
      </c>
      <c r="AA858" s="4">
        <v>100</v>
      </c>
      <c r="AB858" s="18"/>
      <c r="AC858" s="18">
        <v>16</v>
      </c>
      <c r="AD858" s="28"/>
      <c r="AE858" s="26"/>
      <c r="AF858" s="28"/>
    </row>
    <row r="859" spans="1:32" ht="13.5" customHeight="1" x14ac:dyDescent="0.25">
      <c r="A859" s="14">
        <v>45772</v>
      </c>
      <c r="B859" s="14" t="s">
        <v>46</v>
      </c>
      <c r="C859" s="15">
        <v>3</v>
      </c>
      <c r="D859" s="16">
        <v>5</v>
      </c>
      <c r="E859" s="16"/>
      <c r="F859" s="17"/>
      <c r="G859" s="21"/>
      <c r="H859" s="21"/>
      <c r="I859" s="4">
        <v>5</v>
      </c>
      <c r="J859" s="4">
        <v>8.3333333333333329E-2</v>
      </c>
      <c r="K859" s="4"/>
      <c r="L859" s="16"/>
      <c r="M859" s="4"/>
      <c r="N859" s="4"/>
      <c r="O859" s="4"/>
      <c r="P859" s="4"/>
      <c r="Q859" s="4"/>
      <c r="R859" s="4"/>
      <c r="S859" s="4">
        <v>0</v>
      </c>
      <c r="T859" s="4">
        <v>0</v>
      </c>
      <c r="U859" s="4">
        <v>8.3333333333333329E-2</v>
      </c>
      <c r="V859" s="4">
        <v>11.916666666666666</v>
      </c>
      <c r="W859" s="4">
        <v>12</v>
      </c>
      <c r="X859" s="4">
        <v>0</v>
      </c>
      <c r="Y859" s="4"/>
      <c r="Z859" s="4">
        <v>295.29999999999995</v>
      </c>
      <c r="AA859" s="4">
        <v>300</v>
      </c>
      <c r="AB859" s="18"/>
      <c r="AC859" s="18">
        <v>16</v>
      </c>
      <c r="AD859" s="28"/>
      <c r="AE859" s="26"/>
      <c r="AF859" s="28"/>
    </row>
    <row r="860" spans="1:32" ht="13.5" customHeight="1" x14ac:dyDescent="0.25">
      <c r="A860" s="14">
        <v>45772</v>
      </c>
      <c r="B860" s="14" t="s">
        <v>47</v>
      </c>
      <c r="C860" s="15">
        <v>3</v>
      </c>
      <c r="D860" s="16"/>
      <c r="E860" s="16"/>
      <c r="F860" s="17"/>
      <c r="G860" s="21"/>
      <c r="H860" s="21"/>
      <c r="I860" s="4">
        <v>0</v>
      </c>
      <c r="J860" s="4">
        <v>0</v>
      </c>
      <c r="K860" s="4"/>
      <c r="L860" s="16"/>
      <c r="M860" s="4"/>
      <c r="N860" s="4"/>
      <c r="O860" s="4"/>
      <c r="P860" s="4"/>
      <c r="Q860" s="4"/>
      <c r="R860" s="4"/>
      <c r="S860" s="4">
        <v>0</v>
      </c>
      <c r="T860" s="4">
        <v>0</v>
      </c>
      <c r="U860" s="4">
        <v>0</v>
      </c>
      <c r="V860" s="4">
        <v>12</v>
      </c>
      <c r="W860" s="4">
        <v>12</v>
      </c>
      <c r="X860" s="4">
        <v>0</v>
      </c>
      <c r="Y860" s="4"/>
      <c r="Z860" s="4">
        <v>321</v>
      </c>
      <c r="AA860" s="4">
        <v>350</v>
      </c>
      <c r="AB860" s="18"/>
      <c r="AC860" s="18">
        <v>16</v>
      </c>
      <c r="AD860" s="28"/>
      <c r="AE860" s="26"/>
      <c r="AF860" s="28"/>
    </row>
    <row r="861" spans="1:32" ht="13.5" customHeight="1" x14ac:dyDescent="0.25">
      <c r="A861" s="14">
        <v>45772</v>
      </c>
      <c r="B861" s="14" t="s">
        <v>46</v>
      </c>
      <c r="C861" s="15">
        <v>6</v>
      </c>
      <c r="D861" s="16">
        <v>25</v>
      </c>
      <c r="E861" s="16"/>
      <c r="F861" s="17"/>
      <c r="G861" s="21"/>
      <c r="H861" s="21"/>
      <c r="I861" s="4">
        <v>25</v>
      </c>
      <c r="J861" s="4">
        <v>0.41666666666666669</v>
      </c>
      <c r="K861" s="4"/>
      <c r="L861" s="16"/>
      <c r="M861" s="4"/>
      <c r="N861" s="4">
        <v>10</v>
      </c>
      <c r="O861" s="4"/>
      <c r="P861" s="4"/>
      <c r="Q861" s="4"/>
      <c r="R861" s="4"/>
      <c r="S861" s="4">
        <v>10</v>
      </c>
      <c r="T861" s="4">
        <v>0.16666666666666666</v>
      </c>
      <c r="U861" s="4">
        <v>0.58333333333333337</v>
      </c>
      <c r="V861" s="4">
        <v>11.416666666666666</v>
      </c>
      <c r="W861" s="4">
        <v>12</v>
      </c>
      <c r="X861" s="4">
        <v>24.4</v>
      </c>
      <c r="Y861" s="4"/>
      <c r="Z861" s="4">
        <v>586.40000000000009</v>
      </c>
      <c r="AA861" s="4">
        <v>600</v>
      </c>
      <c r="AB861" s="18"/>
      <c r="AC861" s="18">
        <v>16</v>
      </c>
      <c r="AD861" s="28"/>
      <c r="AE861" s="26"/>
      <c r="AF861" s="28"/>
    </row>
    <row r="862" spans="1:32" ht="13.5" customHeight="1" x14ac:dyDescent="0.25">
      <c r="A862" s="14">
        <v>45772</v>
      </c>
      <c r="B862" s="14" t="s">
        <v>47</v>
      </c>
      <c r="C862" s="15">
        <v>6</v>
      </c>
      <c r="D862" s="16">
        <v>22</v>
      </c>
      <c r="E862" s="16"/>
      <c r="F862" s="17"/>
      <c r="G862" s="21"/>
      <c r="H862" s="21"/>
      <c r="I862" s="4">
        <v>22</v>
      </c>
      <c r="J862" s="4">
        <v>0.36666666666666664</v>
      </c>
      <c r="K862" s="4"/>
      <c r="L862" s="16">
        <v>10</v>
      </c>
      <c r="M862" s="4"/>
      <c r="N862" s="4"/>
      <c r="O862" s="4"/>
      <c r="P862" s="4"/>
      <c r="Q862" s="4"/>
      <c r="R862" s="4"/>
      <c r="S862" s="4">
        <v>10</v>
      </c>
      <c r="T862" s="4">
        <v>0.16666666666666666</v>
      </c>
      <c r="U862" s="4">
        <v>0.53333333333333333</v>
      </c>
      <c r="V862" s="4">
        <v>11.466666666666667</v>
      </c>
      <c r="W862" s="4">
        <v>12</v>
      </c>
      <c r="X862" s="4">
        <v>30</v>
      </c>
      <c r="Y862" s="4"/>
      <c r="Z862" s="4">
        <v>583.20000000000005</v>
      </c>
      <c r="AA862" s="4">
        <v>600</v>
      </c>
      <c r="AB862" s="18"/>
      <c r="AC862" s="18">
        <v>16</v>
      </c>
      <c r="AD862" s="28"/>
      <c r="AE862" s="26"/>
      <c r="AF862" s="28"/>
    </row>
    <row r="863" spans="1:32" ht="13.5" customHeight="1" x14ac:dyDescent="0.25">
      <c r="A863" s="14">
        <v>45772</v>
      </c>
      <c r="B863" s="14" t="s">
        <v>46</v>
      </c>
      <c r="C863" s="15">
        <v>7</v>
      </c>
      <c r="D863" s="16"/>
      <c r="E863" s="16"/>
      <c r="F863" s="17"/>
      <c r="G863" s="21"/>
      <c r="H863" s="21"/>
      <c r="I863" s="4">
        <v>0</v>
      </c>
      <c r="J863" s="4">
        <v>0</v>
      </c>
      <c r="K863" s="4"/>
      <c r="L863" s="16"/>
      <c r="M863" s="4"/>
      <c r="N863" s="4"/>
      <c r="O863" s="4"/>
      <c r="P863" s="4"/>
      <c r="Q863" s="4"/>
      <c r="R863" s="4"/>
      <c r="S863" s="4">
        <v>0</v>
      </c>
      <c r="T863" s="4">
        <v>0</v>
      </c>
      <c r="U863" s="4">
        <v>0</v>
      </c>
      <c r="V863" s="4">
        <v>12</v>
      </c>
      <c r="W863" s="4">
        <v>12</v>
      </c>
      <c r="X863" s="4">
        <v>0</v>
      </c>
      <c r="Y863" s="4"/>
      <c r="Z863" s="4">
        <v>153.80000000000001</v>
      </c>
      <c r="AA863" s="4">
        <v>150</v>
      </c>
      <c r="AB863" s="18"/>
      <c r="AC863" s="18">
        <v>16</v>
      </c>
      <c r="AD863" s="28"/>
      <c r="AE863" s="26"/>
      <c r="AF863" s="28"/>
    </row>
    <row r="864" spans="1:32" ht="13.5" customHeight="1" x14ac:dyDescent="0.25">
      <c r="A864" s="14">
        <v>45773</v>
      </c>
      <c r="B864" s="14" t="s">
        <v>46</v>
      </c>
      <c r="C864" s="15">
        <v>1</v>
      </c>
      <c r="D864" s="16">
        <v>2</v>
      </c>
      <c r="E864" s="16"/>
      <c r="F864" s="17"/>
      <c r="G864" s="21"/>
      <c r="H864" s="21"/>
      <c r="I864" s="4">
        <v>2</v>
      </c>
      <c r="J864" s="4">
        <v>3.3333333333333333E-2</v>
      </c>
      <c r="K864" s="4"/>
      <c r="L864" s="16"/>
      <c r="M864" s="4"/>
      <c r="N864" s="4"/>
      <c r="O864" s="4"/>
      <c r="P864" s="4"/>
      <c r="Q864" s="4"/>
      <c r="R864" s="4"/>
      <c r="S864" s="4">
        <v>0</v>
      </c>
      <c r="T864" s="4">
        <v>0</v>
      </c>
      <c r="U864" s="4">
        <v>3.3333333333333333E-2</v>
      </c>
      <c r="V864" s="4">
        <v>11.966666666666667</v>
      </c>
      <c r="W864" s="4">
        <v>12</v>
      </c>
      <c r="X864" s="4">
        <v>0</v>
      </c>
      <c r="Y864" s="4">
        <v>1263</v>
      </c>
      <c r="Z864" s="4">
        <v>113.16</v>
      </c>
      <c r="AA864" s="4">
        <v>100</v>
      </c>
      <c r="AB864" s="18">
        <v>372</v>
      </c>
      <c r="AC864" s="18">
        <v>16</v>
      </c>
      <c r="AD864" s="28"/>
      <c r="AE864" s="26"/>
      <c r="AF864" s="28"/>
    </row>
    <row r="865" spans="1:32" ht="13.5" customHeight="1" x14ac:dyDescent="0.25">
      <c r="A865" s="14">
        <v>45773</v>
      </c>
      <c r="B865" s="14" t="s">
        <v>47</v>
      </c>
      <c r="C865" s="15">
        <v>1</v>
      </c>
      <c r="D865" s="16"/>
      <c r="E865" s="16"/>
      <c r="F865" s="17"/>
      <c r="G865" s="21"/>
      <c r="H865" s="21"/>
      <c r="I865" s="4">
        <v>0</v>
      </c>
      <c r="J865" s="4">
        <v>0</v>
      </c>
      <c r="K865" s="4"/>
      <c r="L865" s="16"/>
      <c r="M865" s="4"/>
      <c r="N865" s="4"/>
      <c r="O865" s="4"/>
      <c r="P865" s="4"/>
      <c r="Q865" s="4"/>
      <c r="R865" s="4"/>
      <c r="S865" s="4">
        <v>0</v>
      </c>
      <c r="T865" s="4">
        <v>0</v>
      </c>
      <c r="U865" s="4">
        <v>0</v>
      </c>
      <c r="V865" s="4">
        <v>12</v>
      </c>
      <c r="W865" s="4">
        <v>12</v>
      </c>
      <c r="X865" s="4">
        <v>0</v>
      </c>
      <c r="Y865" s="4"/>
      <c r="Z865" s="4">
        <v>88.42</v>
      </c>
      <c r="AA865" s="4">
        <v>100</v>
      </c>
      <c r="AB865" s="18"/>
      <c r="AC865" s="18">
        <v>16</v>
      </c>
      <c r="AD865" s="28"/>
      <c r="AE865" s="26"/>
      <c r="AF865" s="28"/>
    </row>
    <row r="866" spans="1:32" ht="13.5" customHeight="1" x14ac:dyDescent="0.25">
      <c r="A866" s="14">
        <v>45773</v>
      </c>
      <c r="B866" s="14" t="s">
        <v>46</v>
      </c>
      <c r="C866" s="15">
        <v>3</v>
      </c>
      <c r="D866" s="16">
        <v>10</v>
      </c>
      <c r="E866" s="16"/>
      <c r="F866" s="17"/>
      <c r="G866" s="21"/>
      <c r="H866" s="21"/>
      <c r="I866" s="4">
        <v>10</v>
      </c>
      <c r="J866" s="4">
        <v>0.16666666666666666</v>
      </c>
      <c r="K866" s="4"/>
      <c r="L866" s="16"/>
      <c r="M866" s="4"/>
      <c r="N866" s="4"/>
      <c r="O866" s="4"/>
      <c r="P866" s="4"/>
      <c r="Q866" s="4"/>
      <c r="R866" s="4"/>
      <c r="S866" s="4">
        <v>0</v>
      </c>
      <c r="T866" s="4">
        <v>0</v>
      </c>
      <c r="U866" s="4">
        <v>0.16666666666666666</v>
      </c>
      <c r="V866" s="4">
        <v>11.833333333333334</v>
      </c>
      <c r="W866" s="4">
        <v>12</v>
      </c>
      <c r="X866" s="4">
        <v>0</v>
      </c>
      <c r="Y866" s="4"/>
      <c r="Z866" s="4">
        <v>300.79999999999995</v>
      </c>
      <c r="AA866" s="4">
        <v>300</v>
      </c>
      <c r="AB866" s="18"/>
      <c r="AC866" s="18">
        <v>16</v>
      </c>
      <c r="AD866" s="28"/>
      <c r="AE866" s="26"/>
      <c r="AF866" s="28"/>
    </row>
    <row r="867" spans="1:32" ht="13.5" customHeight="1" x14ac:dyDescent="0.25">
      <c r="A867" s="14">
        <v>45773</v>
      </c>
      <c r="B867" s="14" t="s">
        <v>47</v>
      </c>
      <c r="C867" s="15">
        <v>3</v>
      </c>
      <c r="D867" s="16"/>
      <c r="E867" s="16"/>
      <c r="F867" s="17"/>
      <c r="G867" s="21"/>
      <c r="H867" s="21"/>
      <c r="I867" s="4">
        <v>0</v>
      </c>
      <c r="J867" s="4">
        <v>0</v>
      </c>
      <c r="K867" s="4"/>
      <c r="L867" s="16"/>
      <c r="M867" s="4"/>
      <c r="N867" s="4"/>
      <c r="O867" s="4"/>
      <c r="P867" s="4"/>
      <c r="Q867" s="4"/>
      <c r="R867" s="4"/>
      <c r="S867" s="4">
        <v>0</v>
      </c>
      <c r="T867" s="4">
        <v>0</v>
      </c>
      <c r="U867" s="4">
        <v>0</v>
      </c>
      <c r="V867" s="4">
        <v>12</v>
      </c>
      <c r="W867" s="4">
        <v>12</v>
      </c>
      <c r="X867" s="4">
        <v>0</v>
      </c>
      <c r="Y867" s="4"/>
      <c r="Z867" s="4">
        <v>406.5</v>
      </c>
      <c r="AA867" s="4">
        <v>400</v>
      </c>
      <c r="AB867" s="18"/>
      <c r="AC867" s="18">
        <v>16</v>
      </c>
      <c r="AD867" s="28"/>
      <c r="AE867" s="26"/>
      <c r="AF867" s="28"/>
    </row>
    <row r="868" spans="1:32" ht="13.5" customHeight="1" x14ac:dyDescent="0.25">
      <c r="A868" s="14">
        <v>45773</v>
      </c>
      <c r="B868" s="14" t="s">
        <v>46</v>
      </c>
      <c r="C868" s="15">
        <v>6</v>
      </c>
      <c r="D868" s="16">
        <v>25</v>
      </c>
      <c r="E868" s="16"/>
      <c r="F868" s="17"/>
      <c r="G868" s="21"/>
      <c r="H868" s="21"/>
      <c r="I868" s="4">
        <v>25</v>
      </c>
      <c r="J868" s="4">
        <v>0.41666666666666669</v>
      </c>
      <c r="K868" s="4"/>
      <c r="L868" s="16"/>
      <c r="M868" s="4"/>
      <c r="N868" s="4"/>
      <c r="O868" s="4"/>
      <c r="P868" s="4">
        <v>60</v>
      </c>
      <c r="Q868" s="4"/>
      <c r="R868" s="4"/>
      <c r="S868" s="4">
        <v>60</v>
      </c>
      <c r="T868" s="4">
        <v>1</v>
      </c>
      <c r="U868" s="4">
        <v>1.4166666666666667</v>
      </c>
      <c r="V868" s="4">
        <v>10.583333333333334</v>
      </c>
      <c r="W868" s="4">
        <v>12</v>
      </c>
      <c r="X868" s="4">
        <v>56.6</v>
      </c>
      <c r="Y868" s="4"/>
      <c r="Z868" s="4">
        <v>679.80000000000007</v>
      </c>
      <c r="AA868" s="4">
        <v>700</v>
      </c>
      <c r="AB868" s="18"/>
      <c r="AC868" s="18">
        <v>16</v>
      </c>
      <c r="AD868" s="28"/>
      <c r="AE868" s="26"/>
      <c r="AF868" s="28"/>
    </row>
    <row r="869" spans="1:32" ht="13.5" customHeight="1" x14ac:dyDescent="0.25">
      <c r="A869" s="14">
        <v>45773</v>
      </c>
      <c r="B869" s="14" t="s">
        <v>47</v>
      </c>
      <c r="C869" s="15">
        <v>6</v>
      </c>
      <c r="D869" s="16">
        <v>5</v>
      </c>
      <c r="E869" s="16"/>
      <c r="F869" s="17"/>
      <c r="G869" s="21"/>
      <c r="H869" s="21"/>
      <c r="I869" s="4">
        <v>5</v>
      </c>
      <c r="J869" s="4">
        <v>8.3333333333333329E-2</v>
      </c>
      <c r="K869" s="4"/>
      <c r="L869" s="16">
        <v>15</v>
      </c>
      <c r="M869" s="4"/>
      <c r="N869" s="4"/>
      <c r="O869" s="4"/>
      <c r="P869" s="4"/>
      <c r="Q869" s="4"/>
      <c r="R869" s="4"/>
      <c r="S869" s="4">
        <v>15</v>
      </c>
      <c r="T869" s="4">
        <v>0.25</v>
      </c>
      <c r="U869" s="4">
        <v>0.33333333333333331</v>
      </c>
      <c r="V869" s="4">
        <v>11.666666666666666</v>
      </c>
      <c r="W869" s="4">
        <v>12</v>
      </c>
      <c r="X869" s="4">
        <v>0</v>
      </c>
      <c r="Y869" s="4"/>
      <c r="Z869" s="4">
        <v>332.9</v>
      </c>
      <c r="AA869" s="4">
        <v>350</v>
      </c>
      <c r="AB869" s="18"/>
      <c r="AC869" s="18">
        <v>16</v>
      </c>
      <c r="AD869" s="28"/>
      <c r="AE869" s="26"/>
      <c r="AF869" s="28"/>
    </row>
    <row r="870" spans="1:32" ht="13.5" customHeight="1" x14ac:dyDescent="0.25">
      <c r="A870" s="14">
        <v>45775</v>
      </c>
      <c r="B870" s="14" t="s">
        <v>46</v>
      </c>
      <c r="C870" s="15">
        <v>1</v>
      </c>
      <c r="D870" s="16">
        <v>5</v>
      </c>
      <c r="E870" s="16"/>
      <c r="F870" s="17"/>
      <c r="G870" s="21">
        <v>180</v>
      </c>
      <c r="H870" s="21"/>
      <c r="I870" s="4">
        <v>185</v>
      </c>
      <c r="J870" s="4">
        <v>3.0833333333333335</v>
      </c>
      <c r="K870" s="4"/>
      <c r="L870" s="16"/>
      <c r="M870" s="4"/>
      <c r="N870" s="4"/>
      <c r="O870" s="4"/>
      <c r="P870" s="4"/>
      <c r="Q870" s="4"/>
      <c r="R870" s="4"/>
      <c r="S870" s="4">
        <v>0</v>
      </c>
      <c r="T870" s="4">
        <v>0</v>
      </c>
      <c r="U870" s="4">
        <v>3.0833333333333335</v>
      </c>
      <c r="V870" s="4">
        <v>8.9166666666666661</v>
      </c>
      <c r="W870" s="4">
        <v>12</v>
      </c>
      <c r="X870" s="4">
        <v>0</v>
      </c>
      <c r="Y870" s="4">
        <v>1543</v>
      </c>
      <c r="Z870" s="4">
        <v>110.61000000000001</v>
      </c>
      <c r="AA870" s="4">
        <v>100</v>
      </c>
      <c r="AB870" s="18">
        <v>372</v>
      </c>
      <c r="AC870" s="18">
        <v>17</v>
      </c>
      <c r="AD870" s="28"/>
      <c r="AE870" s="26"/>
      <c r="AF870" s="28"/>
    </row>
    <row r="871" spans="1:32" ht="13.5" customHeight="1" x14ac:dyDescent="0.25">
      <c r="A871" s="14">
        <v>45775</v>
      </c>
      <c r="B871" s="14" t="s">
        <v>47</v>
      </c>
      <c r="C871" s="15">
        <v>1</v>
      </c>
      <c r="D871" s="16"/>
      <c r="E871" s="16"/>
      <c r="F871" s="17"/>
      <c r="G871" s="21"/>
      <c r="H871" s="21"/>
      <c r="I871" s="4">
        <v>0</v>
      </c>
      <c r="J871" s="4">
        <v>0</v>
      </c>
      <c r="K871" s="4"/>
      <c r="L871" s="16"/>
      <c r="M871" s="4"/>
      <c r="N871" s="4"/>
      <c r="O871" s="4"/>
      <c r="P871" s="4"/>
      <c r="Q871" s="4"/>
      <c r="R871" s="4"/>
      <c r="S871" s="4">
        <v>0</v>
      </c>
      <c r="T871" s="4">
        <v>0</v>
      </c>
      <c r="U871" s="4">
        <v>0</v>
      </c>
      <c r="V871" s="4">
        <v>12</v>
      </c>
      <c r="W871" s="4">
        <v>12</v>
      </c>
      <c r="X871" s="4">
        <v>0</v>
      </c>
      <c r="Y871" s="4"/>
      <c r="Z871" s="4">
        <v>145.5</v>
      </c>
      <c r="AA871" s="4">
        <v>150</v>
      </c>
      <c r="AB871" s="18"/>
      <c r="AC871" s="18">
        <v>17</v>
      </c>
      <c r="AD871" s="28"/>
      <c r="AE871" s="26"/>
      <c r="AF871" s="28"/>
    </row>
    <row r="872" spans="1:32" ht="13.5" customHeight="1" x14ac:dyDescent="0.25">
      <c r="A872" s="14">
        <v>45775</v>
      </c>
      <c r="B872" s="14" t="s">
        <v>46</v>
      </c>
      <c r="C872" s="15">
        <v>3</v>
      </c>
      <c r="D872" s="16">
        <v>10</v>
      </c>
      <c r="E872" s="16"/>
      <c r="F872" s="17"/>
      <c r="G872" s="21">
        <v>180</v>
      </c>
      <c r="H872" s="21"/>
      <c r="I872" s="4">
        <v>190</v>
      </c>
      <c r="J872" s="4">
        <v>3.1666666666666665</v>
      </c>
      <c r="K872" s="4"/>
      <c r="L872" s="16"/>
      <c r="M872" s="4"/>
      <c r="N872" s="4"/>
      <c r="O872" s="4"/>
      <c r="P872" s="4"/>
      <c r="Q872" s="4"/>
      <c r="R872" s="4"/>
      <c r="S872" s="4">
        <v>0</v>
      </c>
      <c r="T872" s="4">
        <v>0</v>
      </c>
      <c r="U872" s="4">
        <v>3.1666666666666665</v>
      </c>
      <c r="V872" s="4">
        <v>8.8333333333333339</v>
      </c>
      <c r="W872" s="4">
        <v>12</v>
      </c>
      <c r="X872" s="4">
        <v>0</v>
      </c>
      <c r="Y872" s="4"/>
      <c r="Z872" s="4">
        <v>340.4</v>
      </c>
      <c r="AA872" s="4">
        <v>350</v>
      </c>
      <c r="AB872" s="18"/>
      <c r="AC872" s="18">
        <v>17</v>
      </c>
      <c r="AD872" s="28"/>
      <c r="AE872" s="26"/>
      <c r="AF872" s="28"/>
    </row>
    <row r="873" spans="1:32" ht="13.5" customHeight="1" x14ac:dyDescent="0.25">
      <c r="A873" s="14">
        <v>45775</v>
      </c>
      <c r="B873" s="14" t="s">
        <v>47</v>
      </c>
      <c r="C873" s="15">
        <v>3</v>
      </c>
      <c r="D873" s="16">
        <v>5</v>
      </c>
      <c r="E873" s="16"/>
      <c r="F873" s="17"/>
      <c r="G873" s="21"/>
      <c r="H873" s="21"/>
      <c r="I873" s="4">
        <v>5</v>
      </c>
      <c r="J873" s="4">
        <v>8.3333333333333329E-2</v>
      </c>
      <c r="K873" s="4"/>
      <c r="L873" s="16"/>
      <c r="M873" s="4"/>
      <c r="N873" s="4"/>
      <c r="O873" s="4"/>
      <c r="P873" s="4"/>
      <c r="Q873" s="4"/>
      <c r="R873" s="4"/>
      <c r="S873" s="4">
        <v>0</v>
      </c>
      <c r="T873" s="4">
        <v>0</v>
      </c>
      <c r="U873" s="4">
        <v>8.3333333333333329E-2</v>
      </c>
      <c r="V873" s="4">
        <v>11.916666666666666</v>
      </c>
      <c r="W873" s="4">
        <v>12</v>
      </c>
      <c r="X873" s="4">
        <v>0</v>
      </c>
      <c r="Y873" s="4"/>
      <c r="Z873" s="4">
        <v>465.2</v>
      </c>
      <c r="AA873" s="4">
        <v>450</v>
      </c>
      <c r="AB873" s="18"/>
      <c r="AC873" s="18">
        <v>17</v>
      </c>
      <c r="AD873" s="28"/>
      <c r="AE873" s="26"/>
      <c r="AF873" s="28"/>
    </row>
    <row r="874" spans="1:32" ht="13.5" customHeight="1" x14ac:dyDescent="0.25">
      <c r="A874" s="14">
        <v>45775</v>
      </c>
      <c r="B874" s="14" t="s">
        <v>46</v>
      </c>
      <c r="C874" s="15">
        <v>6</v>
      </c>
      <c r="D874" s="16">
        <v>10</v>
      </c>
      <c r="E874" s="16"/>
      <c r="F874" s="17"/>
      <c r="G874" s="21">
        <v>180</v>
      </c>
      <c r="H874" s="21"/>
      <c r="I874" s="4">
        <v>190</v>
      </c>
      <c r="J874" s="4">
        <v>3.1666666666666665</v>
      </c>
      <c r="K874" s="4"/>
      <c r="L874" s="16"/>
      <c r="M874" s="4"/>
      <c r="N874" s="4"/>
      <c r="O874" s="4"/>
      <c r="P874" s="4"/>
      <c r="Q874" s="4"/>
      <c r="R874" s="4"/>
      <c r="S874" s="4">
        <v>0</v>
      </c>
      <c r="T874" s="4">
        <v>0</v>
      </c>
      <c r="U874" s="4">
        <v>3.1666666666666665</v>
      </c>
      <c r="V874" s="4">
        <v>8.8333333333333339</v>
      </c>
      <c r="W874" s="4">
        <v>12</v>
      </c>
      <c r="X874" s="4">
        <v>76</v>
      </c>
      <c r="Y874" s="4"/>
      <c r="Z874" s="4">
        <v>633.79999999999995</v>
      </c>
      <c r="AA874" s="4">
        <v>650</v>
      </c>
      <c r="AB874" s="18"/>
      <c r="AC874" s="18">
        <v>17</v>
      </c>
      <c r="AD874" s="28"/>
      <c r="AE874" s="26"/>
      <c r="AF874" s="28"/>
    </row>
    <row r="875" spans="1:32" ht="13.5" customHeight="1" x14ac:dyDescent="0.25">
      <c r="A875" s="14">
        <v>45775</v>
      </c>
      <c r="B875" s="14" t="s">
        <v>47</v>
      </c>
      <c r="C875" s="15">
        <v>6</v>
      </c>
      <c r="D875" s="16"/>
      <c r="E875" s="16"/>
      <c r="F875" s="17"/>
      <c r="G875" s="21"/>
      <c r="H875" s="21"/>
      <c r="I875" s="4">
        <v>0</v>
      </c>
      <c r="J875" s="4">
        <v>0</v>
      </c>
      <c r="K875" s="4"/>
      <c r="L875" s="16"/>
      <c r="M875" s="4"/>
      <c r="N875" s="4"/>
      <c r="O875" s="4"/>
      <c r="P875" s="4"/>
      <c r="Q875" s="4"/>
      <c r="R875" s="4"/>
      <c r="S875" s="4">
        <v>0</v>
      </c>
      <c r="T875" s="4">
        <v>0</v>
      </c>
      <c r="U875" s="4">
        <v>0</v>
      </c>
      <c r="V875" s="4">
        <v>12</v>
      </c>
      <c r="W875" s="4">
        <v>12</v>
      </c>
      <c r="X875" s="4">
        <v>31.6</v>
      </c>
      <c r="Y875" s="4"/>
      <c r="Z875" s="4">
        <v>502.99999999999994</v>
      </c>
      <c r="AA875" s="4">
        <v>550</v>
      </c>
      <c r="AB875" s="18"/>
      <c r="AC875" s="18">
        <v>17</v>
      </c>
      <c r="AD875" s="28"/>
      <c r="AE875" s="26"/>
      <c r="AF875" s="28"/>
    </row>
    <row r="876" spans="1:32" ht="13.5" customHeight="1" x14ac:dyDescent="0.25">
      <c r="A876" s="14">
        <v>45776</v>
      </c>
      <c r="B876" s="14" t="s">
        <v>46</v>
      </c>
      <c r="C876" s="15">
        <v>1</v>
      </c>
      <c r="D876" s="16">
        <v>8</v>
      </c>
      <c r="E876" s="16"/>
      <c r="F876" s="17"/>
      <c r="G876" s="21"/>
      <c r="H876" s="21"/>
      <c r="I876" s="4">
        <v>8</v>
      </c>
      <c r="J876" s="4">
        <v>0.13333333333333333</v>
      </c>
      <c r="K876" s="4"/>
      <c r="L876" s="16"/>
      <c r="M876" s="4"/>
      <c r="N876" s="4"/>
      <c r="O876" s="4"/>
      <c r="P876" s="4"/>
      <c r="Q876" s="4"/>
      <c r="R876" s="4"/>
      <c r="S876" s="4">
        <v>0</v>
      </c>
      <c r="T876" s="4">
        <v>0</v>
      </c>
      <c r="U876" s="4">
        <v>0.13333333333333333</v>
      </c>
      <c r="V876" s="4">
        <v>11.866666666666667</v>
      </c>
      <c r="W876" s="4">
        <v>12</v>
      </c>
      <c r="X876" s="4">
        <v>0</v>
      </c>
      <c r="Y876" s="4">
        <v>1749</v>
      </c>
      <c r="Z876" s="4">
        <v>177.10000000000002</v>
      </c>
      <c r="AA876" s="4">
        <v>200</v>
      </c>
      <c r="AB876" s="18">
        <v>372</v>
      </c>
      <c r="AC876" s="18">
        <v>17</v>
      </c>
      <c r="AD876" s="28"/>
      <c r="AE876" s="26"/>
      <c r="AF876" s="28"/>
    </row>
    <row r="877" spans="1:32" ht="13.5" customHeight="1" x14ac:dyDescent="0.25">
      <c r="A877" s="14">
        <v>45776</v>
      </c>
      <c r="B877" s="14" t="s">
        <v>47</v>
      </c>
      <c r="C877" s="15">
        <v>1</v>
      </c>
      <c r="D877" s="16"/>
      <c r="E877" s="16"/>
      <c r="F877" s="17"/>
      <c r="G877" s="21"/>
      <c r="H877" s="21"/>
      <c r="I877" s="4">
        <v>0</v>
      </c>
      <c r="J877" s="4">
        <v>0</v>
      </c>
      <c r="K877" s="4"/>
      <c r="L877" s="16"/>
      <c r="M877" s="4"/>
      <c r="N877" s="4"/>
      <c r="O877" s="4"/>
      <c r="P877" s="4"/>
      <c r="Q877" s="4"/>
      <c r="R877" s="4"/>
      <c r="S877" s="4">
        <v>0</v>
      </c>
      <c r="T877" s="4">
        <v>0</v>
      </c>
      <c r="U877" s="4">
        <v>0</v>
      </c>
      <c r="V877" s="4">
        <v>12</v>
      </c>
      <c r="W877" s="4">
        <v>12</v>
      </c>
      <c r="X877" s="4">
        <v>0</v>
      </c>
      <c r="Y877" s="4"/>
      <c r="Z877" s="4">
        <v>236.51000000000002</v>
      </c>
      <c r="AA877" s="4">
        <v>250</v>
      </c>
      <c r="AB877" s="18"/>
      <c r="AC877" s="18">
        <v>17</v>
      </c>
      <c r="AD877" s="28"/>
      <c r="AE877" s="26"/>
      <c r="AF877" s="28"/>
    </row>
    <row r="878" spans="1:32" ht="13.5" customHeight="1" x14ac:dyDescent="0.25">
      <c r="A878" s="14">
        <v>45776</v>
      </c>
      <c r="B878" s="14" t="s">
        <v>47</v>
      </c>
      <c r="C878" s="15">
        <v>2</v>
      </c>
      <c r="D878" s="16"/>
      <c r="E878" s="16"/>
      <c r="F878" s="17"/>
      <c r="G878" s="21">
        <v>180</v>
      </c>
      <c r="H878" s="21"/>
      <c r="I878" s="4">
        <v>180</v>
      </c>
      <c r="J878" s="4">
        <v>3</v>
      </c>
      <c r="K878" s="4"/>
      <c r="L878" s="16"/>
      <c r="M878" s="4"/>
      <c r="N878" s="4"/>
      <c r="O878" s="4"/>
      <c r="P878" s="4"/>
      <c r="Q878" s="4"/>
      <c r="R878" s="4"/>
      <c r="S878" s="4">
        <v>0</v>
      </c>
      <c r="T878" s="4">
        <v>0</v>
      </c>
      <c r="U878" s="4">
        <v>3</v>
      </c>
      <c r="V878" s="4">
        <v>9</v>
      </c>
      <c r="W878" s="4">
        <v>12</v>
      </c>
      <c r="X878" s="4">
        <v>0</v>
      </c>
      <c r="Y878" s="4"/>
      <c r="Z878" s="4">
        <v>331.04</v>
      </c>
      <c r="AA878" s="4">
        <v>350</v>
      </c>
      <c r="AB878" s="18"/>
      <c r="AC878" s="18">
        <v>17</v>
      </c>
      <c r="AD878" s="28"/>
      <c r="AE878" s="26"/>
      <c r="AF878" s="28"/>
    </row>
    <row r="879" spans="1:32" ht="13.5" customHeight="1" x14ac:dyDescent="0.25">
      <c r="A879" s="14">
        <v>45776</v>
      </c>
      <c r="B879" s="14" t="s">
        <v>46</v>
      </c>
      <c r="C879" s="15">
        <v>3</v>
      </c>
      <c r="D879" s="16">
        <v>40</v>
      </c>
      <c r="E879" s="16"/>
      <c r="F879" s="17"/>
      <c r="G879" s="21"/>
      <c r="H879" s="21"/>
      <c r="I879" s="4">
        <v>40</v>
      </c>
      <c r="J879" s="4">
        <v>0.66666666666666663</v>
      </c>
      <c r="K879" s="4"/>
      <c r="L879" s="16"/>
      <c r="M879" s="4"/>
      <c r="N879" s="4"/>
      <c r="O879" s="4"/>
      <c r="P879" s="4"/>
      <c r="Q879" s="4"/>
      <c r="R879" s="4"/>
      <c r="S879" s="4">
        <v>0</v>
      </c>
      <c r="T879" s="4">
        <v>0</v>
      </c>
      <c r="U879" s="4">
        <v>0.66666666666666663</v>
      </c>
      <c r="V879" s="4">
        <v>11.333333333333334</v>
      </c>
      <c r="W879" s="4">
        <v>12</v>
      </c>
      <c r="X879" s="4">
        <v>0</v>
      </c>
      <c r="Y879" s="4"/>
      <c r="Z879" s="4">
        <v>392.3</v>
      </c>
      <c r="AA879" s="4">
        <v>400</v>
      </c>
      <c r="AB879" s="18"/>
      <c r="AC879" s="18">
        <v>17</v>
      </c>
      <c r="AD879" s="28"/>
      <c r="AE879" s="26"/>
      <c r="AF879" s="28"/>
    </row>
    <row r="880" spans="1:32" ht="13.5" customHeight="1" x14ac:dyDescent="0.25">
      <c r="A880" s="14">
        <v>45776</v>
      </c>
      <c r="B880" s="14" t="s">
        <v>47</v>
      </c>
      <c r="C880" s="15">
        <v>3</v>
      </c>
      <c r="D880" s="16">
        <v>10</v>
      </c>
      <c r="E880" s="16"/>
      <c r="F880" s="17"/>
      <c r="G880" s="21"/>
      <c r="H880" s="21"/>
      <c r="I880" s="4">
        <v>10</v>
      </c>
      <c r="J880" s="4">
        <v>0.16666666666666666</v>
      </c>
      <c r="K880" s="4"/>
      <c r="L880" s="16"/>
      <c r="M880" s="4"/>
      <c r="N880" s="4"/>
      <c r="O880" s="4"/>
      <c r="P880" s="4"/>
      <c r="Q880" s="4"/>
      <c r="R880" s="4"/>
      <c r="S880" s="4">
        <v>0</v>
      </c>
      <c r="T880" s="4">
        <v>0</v>
      </c>
      <c r="U880" s="4">
        <v>0.16666666666666666</v>
      </c>
      <c r="V880" s="4">
        <v>11.833333333333334</v>
      </c>
      <c r="W880" s="4">
        <v>12</v>
      </c>
      <c r="X880" s="4">
        <v>0</v>
      </c>
      <c r="Y880" s="4"/>
      <c r="Z880" s="4">
        <v>430.3</v>
      </c>
      <c r="AA880" s="4">
        <v>450</v>
      </c>
      <c r="AB880" s="18"/>
      <c r="AC880" s="18">
        <v>17</v>
      </c>
      <c r="AD880" s="28"/>
      <c r="AE880" s="26"/>
      <c r="AF880" s="28"/>
    </row>
    <row r="881" spans="1:32" ht="13.5" customHeight="1" x14ac:dyDescent="0.25">
      <c r="A881" s="14">
        <v>45776</v>
      </c>
      <c r="B881" s="14" t="s">
        <v>46</v>
      </c>
      <c r="C881" s="15">
        <v>6</v>
      </c>
      <c r="D881" s="16">
        <v>19</v>
      </c>
      <c r="E881" s="16"/>
      <c r="F881" s="17"/>
      <c r="G881" s="21"/>
      <c r="H881" s="21"/>
      <c r="I881" s="4">
        <v>19</v>
      </c>
      <c r="J881" s="4">
        <v>0.31666666666666665</v>
      </c>
      <c r="K881" s="4"/>
      <c r="L881" s="16"/>
      <c r="M881" s="4"/>
      <c r="N881" s="4"/>
      <c r="O881" s="4"/>
      <c r="P881" s="4"/>
      <c r="Q881" s="4"/>
      <c r="R881" s="4"/>
      <c r="S881" s="4">
        <v>0</v>
      </c>
      <c r="T881" s="4">
        <v>0</v>
      </c>
      <c r="U881" s="4">
        <v>0.31666666666666665</v>
      </c>
      <c r="V881" s="4">
        <v>11.683333333333334</v>
      </c>
      <c r="W881" s="4">
        <v>12</v>
      </c>
      <c r="X881" s="4">
        <v>101</v>
      </c>
      <c r="Y881" s="4"/>
      <c r="Z881" s="4">
        <v>503.01999999999992</v>
      </c>
      <c r="AA881" s="4">
        <v>500</v>
      </c>
      <c r="AB881" s="18"/>
      <c r="AC881" s="18">
        <v>17</v>
      </c>
      <c r="AD881" s="28"/>
      <c r="AE881" s="26"/>
      <c r="AF881" s="28"/>
    </row>
    <row r="882" spans="1:32" ht="13.5" customHeight="1" x14ac:dyDescent="0.25">
      <c r="A882" s="14">
        <v>45776</v>
      </c>
      <c r="B882" s="14" t="s">
        <v>47</v>
      </c>
      <c r="C882" s="15">
        <v>6</v>
      </c>
      <c r="D882" s="16"/>
      <c r="E882" s="16"/>
      <c r="F882" s="17"/>
      <c r="G882" s="21"/>
      <c r="H882" s="21"/>
      <c r="I882" s="4">
        <v>0</v>
      </c>
      <c r="J882" s="4">
        <v>0</v>
      </c>
      <c r="K882" s="4"/>
      <c r="L882" s="16"/>
      <c r="M882" s="4"/>
      <c r="N882" s="4"/>
      <c r="O882" s="4"/>
      <c r="P882" s="4"/>
      <c r="Q882" s="4"/>
      <c r="R882" s="4"/>
      <c r="S882" s="4">
        <v>0</v>
      </c>
      <c r="T882" s="4">
        <v>0</v>
      </c>
      <c r="U882" s="4">
        <v>0</v>
      </c>
      <c r="V882" s="4">
        <v>12</v>
      </c>
      <c r="W882" s="4">
        <v>12</v>
      </c>
      <c r="X882" s="4">
        <v>62.8</v>
      </c>
      <c r="Y882" s="4"/>
      <c r="Z882" s="4">
        <v>519</v>
      </c>
      <c r="AA882" s="4">
        <v>500</v>
      </c>
      <c r="AB882" s="18"/>
      <c r="AC882" s="18">
        <v>17</v>
      </c>
      <c r="AD882" s="28"/>
      <c r="AE882" s="26"/>
      <c r="AF882" s="28"/>
    </row>
    <row r="883" spans="1:32" ht="13.5" customHeight="1" x14ac:dyDescent="0.25">
      <c r="A883" s="14">
        <v>45777</v>
      </c>
      <c r="B883" s="14" t="s">
        <v>46</v>
      </c>
      <c r="C883" s="15">
        <v>1</v>
      </c>
      <c r="D883" s="16">
        <v>6</v>
      </c>
      <c r="E883" s="16"/>
      <c r="F883" s="17"/>
      <c r="G883" s="21"/>
      <c r="H883" s="21"/>
      <c r="I883" s="4">
        <v>6</v>
      </c>
      <c r="J883" s="4">
        <v>0.1</v>
      </c>
      <c r="K883" s="4"/>
      <c r="L883" s="16"/>
      <c r="M883" s="4"/>
      <c r="N883" s="4"/>
      <c r="O883" s="4"/>
      <c r="P883" s="4"/>
      <c r="Q883" s="4">
        <v>30</v>
      </c>
      <c r="R883" s="4"/>
      <c r="S883" s="4">
        <v>30</v>
      </c>
      <c r="T883" s="4">
        <v>0.5</v>
      </c>
      <c r="U883" s="4">
        <v>0.6</v>
      </c>
      <c r="V883" s="4">
        <v>11.4</v>
      </c>
      <c r="W883" s="4">
        <v>12</v>
      </c>
      <c r="X883" s="4">
        <v>0</v>
      </c>
      <c r="Y883" s="4">
        <v>1878</v>
      </c>
      <c r="Z883" s="4">
        <v>203.50000000000003</v>
      </c>
      <c r="AA883" s="4">
        <v>200</v>
      </c>
      <c r="AB883" s="18">
        <v>372</v>
      </c>
      <c r="AC883" s="18">
        <v>17</v>
      </c>
      <c r="AD883" s="28"/>
      <c r="AE883" s="26"/>
      <c r="AF883" s="28"/>
    </row>
    <row r="884" spans="1:32" ht="13.5" customHeight="1" x14ac:dyDescent="0.25">
      <c r="A884" s="14">
        <v>45777</v>
      </c>
      <c r="B884" s="14" t="s">
        <v>47</v>
      </c>
      <c r="C884" s="15">
        <v>1</v>
      </c>
      <c r="D884" s="16"/>
      <c r="E884" s="16"/>
      <c r="F884" s="17"/>
      <c r="G884" s="21"/>
      <c r="H884" s="21"/>
      <c r="I884" s="4">
        <v>0</v>
      </c>
      <c r="J884" s="4">
        <v>0</v>
      </c>
      <c r="K884" s="4"/>
      <c r="L884" s="16"/>
      <c r="M884" s="4"/>
      <c r="N884" s="4"/>
      <c r="O884" s="4"/>
      <c r="P884" s="4"/>
      <c r="Q884" s="4"/>
      <c r="R884" s="4"/>
      <c r="S884" s="4">
        <v>0</v>
      </c>
      <c r="T884" s="4">
        <v>0</v>
      </c>
      <c r="U884" s="4">
        <v>0</v>
      </c>
      <c r="V884" s="4">
        <v>12</v>
      </c>
      <c r="W884" s="4">
        <v>12</v>
      </c>
      <c r="X884" s="4">
        <v>0</v>
      </c>
      <c r="Y884" s="4"/>
      <c r="Z884" s="4">
        <v>328</v>
      </c>
      <c r="AA884" s="4">
        <v>350</v>
      </c>
      <c r="AB884" s="18"/>
      <c r="AC884" s="18">
        <v>17</v>
      </c>
      <c r="AD884" s="28"/>
      <c r="AE884" s="26"/>
      <c r="AF884" s="28"/>
    </row>
    <row r="885" spans="1:32" ht="13.5" customHeight="1" x14ac:dyDescent="0.25">
      <c r="A885" s="14">
        <v>45777</v>
      </c>
      <c r="B885" s="14" t="s">
        <v>46</v>
      </c>
      <c r="C885" s="15">
        <v>2</v>
      </c>
      <c r="D885" s="16">
        <v>10</v>
      </c>
      <c r="E885" s="16"/>
      <c r="F885" s="17"/>
      <c r="G885" s="21"/>
      <c r="H885" s="21"/>
      <c r="I885" s="4">
        <v>10</v>
      </c>
      <c r="J885" s="4">
        <v>0.16666666666666666</v>
      </c>
      <c r="K885" s="4"/>
      <c r="L885" s="16"/>
      <c r="M885" s="4"/>
      <c r="N885" s="4"/>
      <c r="O885" s="4"/>
      <c r="P885" s="4"/>
      <c r="Q885" s="4"/>
      <c r="R885" s="4"/>
      <c r="S885" s="4">
        <v>0</v>
      </c>
      <c r="T885" s="4">
        <v>0</v>
      </c>
      <c r="U885" s="4">
        <v>0.16666666666666666</v>
      </c>
      <c r="V885" s="4">
        <v>11.833333333333334</v>
      </c>
      <c r="W885" s="4">
        <v>12</v>
      </c>
      <c r="X885" s="4">
        <v>0</v>
      </c>
      <c r="Y885" s="4"/>
      <c r="Z885" s="4">
        <v>528.4</v>
      </c>
      <c r="AA885" s="4">
        <v>550</v>
      </c>
      <c r="AB885" s="18"/>
      <c r="AC885" s="18">
        <v>17</v>
      </c>
      <c r="AD885" s="28"/>
      <c r="AE885" s="26"/>
      <c r="AF885" s="28"/>
    </row>
    <row r="886" spans="1:32" ht="13.5" customHeight="1" x14ac:dyDescent="0.25">
      <c r="A886" s="14">
        <v>45777</v>
      </c>
      <c r="B886" s="14" t="s">
        <v>47</v>
      </c>
      <c r="C886" s="15">
        <v>2</v>
      </c>
      <c r="D886" s="16">
        <v>10</v>
      </c>
      <c r="E886" s="16"/>
      <c r="F886" s="17"/>
      <c r="G886" s="21"/>
      <c r="H886" s="21"/>
      <c r="I886" s="4">
        <v>10</v>
      </c>
      <c r="J886" s="4">
        <v>0.16666666666666666</v>
      </c>
      <c r="K886" s="4"/>
      <c r="L886" s="16"/>
      <c r="M886" s="4"/>
      <c r="N886" s="4"/>
      <c r="O886" s="4"/>
      <c r="P886" s="4"/>
      <c r="Q886" s="4"/>
      <c r="R886" s="4"/>
      <c r="S886" s="4">
        <v>0</v>
      </c>
      <c r="T886" s="4">
        <v>0</v>
      </c>
      <c r="U886" s="4">
        <v>0.16666666666666666</v>
      </c>
      <c r="V886" s="4">
        <v>11.833333333333334</v>
      </c>
      <c r="W886" s="4">
        <v>12</v>
      </c>
      <c r="X886" s="4">
        <v>0</v>
      </c>
      <c r="Y886" s="4"/>
      <c r="Z886" s="4">
        <v>268.3</v>
      </c>
      <c r="AA886" s="4">
        <v>300</v>
      </c>
      <c r="AB886" s="18"/>
      <c r="AC886" s="18">
        <v>17</v>
      </c>
      <c r="AD886" s="28"/>
      <c r="AE886" s="26"/>
      <c r="AF886" s="28"/>
    </row>
    <row r="887" spans="1:32" ht="13.5" customHeight="1" x14ac:dyDescent="0.25">
      <c r="A887" s="14">
        <v>45777</v>
      </c>
      <c r="B887" s="14" t="s">
        <v>46</v>
      </c>
      <c r="C887" s="15">
        <v>3</v>
      </c>
      <c r="D887" s="16">
        <v>3</v>
      </c>
      <c r="E887" s="16"/>
      <c r="F887" s="17"/>
      <c r="G887" s="21"/>
      <c r="H887" s="21"/>
      <c r="I887" s="4">
        <v>3</v>
      </c>
      <c r="J887" s="4">
        <v>0.05</v>
      </c>
      <c r="K887" s="4"/>
      <c r="L887" s="16"/>
      <c r="M887" s="4"/>
      <c r="N887" s="4"/>
      <c r="O887" s="4"/>
      <c r="P887" s="4"/>
      <c r="Q887" s="4"/>
      <c r="R887" s="4"/>
      <c r="S887" s="4">
        <v>0</v>
      </c>
      <c r="T887" s="4">
        <v>0</v>
      </c>
      <c r="U887" s="4">
        <v>0.05</v>
      </c>
      <c r="V887" s="4">
        <v>11.95</v>
      </c>
      <c r="W887" s="4">
        <v>12</v>
      </c>
      <c r="X887" s="4">
        <v>0</v>
      </c>
      <c r="Y887" s="4"/>
      <c r="Z887" s="4">
        <v>346</v>
      </c>
      <c r="AA887" s="4">
        <v>350</v>
      </c>
      <c r="AB887" s="18"/>
      <c r="AC887" s="18">
        <v>17</v>
      </c>
      <c r="AD887" s="28"/>
      <c r="AE887" s="26"/>
      <c r="AF887" s="28"/>
    </row>
    <row r="888" spans="1:32" ht="13.5" customHeight="1" x14ac:dyDescent="0.25">
      <c r="A888" s="14">
        <v>45777</v>
      </c>
      <c r="B888" s="14" t="s">
        <v>47</v>
      </c>
      <c r="C888" s="15">
        <v>3</v>
      </c>
      <c r="D888" s="16">
        <v>20</v>
      </c>
      <c r="E888" s="16"/>
      <c r="F888" s="17"/>
      <c r="G888" s="21"/>
      <c r="H888" s="21"/>
      <c r="I888" s="4">
        <v>20</v>
      </c>
      <c r="J888" s="4">
        <v>0.33333333333333331</v>
      </c>
      <c r="K888" s="4"/>
      <c r="L888" s="16"/>
      <c r="M888" s="4"/>
      <c r="N888" s="4"/>
      <c r="O888" s="4"/>
      <c r="P888" s="4"/>
      <c r="Q888" s="4"/>
      <c r="R888" s="4"/>
      <c r="S888" s="4">
        <v>0</v>
      </c>
      <c r="T888" s="4">
        <v>0</v>
      </c>
      <c r="U888" s="4">
        <v>0.33333333333333331</v>
      </c>
      <c r="V888" s="4">
        <v>11.666666666666666</v>
      </c>
      <c r="W888" s="4">
        <v>12</v>
      </c>
      <c r="X888" s="4">
        <v>0</v>
      </c>
      <c r="Y888" s="4"/>
      <c r="Z888" s="4">
        <v>335.20000000000005</v>
      </c>
      <c r="AA888" s="4">
        <v>350</v>
      </c>
      <c r="AB888" s="18"/>
      <c r="AC888" s="18">
        <v>17</v>
      </c>
      <c r="AD888" s="28"/>
      <c r="AE888" s="26"/>
      <c r="AF888" s="28"/>
    </row>
    <row r="889" spans="1:32" ht="13.5" customHeight="1" x14ac:dyDescent="0.25">
      <c r="A889" s="14">
        <v>45777</v>
      </c>
      <c r="B889" s="14" t="s">
        <v>46</v>
      </c>
      <c r="C889" s="15">
        <v>6</v>
      </c>
      <c r="D889" s="16">
        <v>4</v>
      </c>
      <c r="E889" s="16"/>
      <c r="F889" s="17"/>
      <c r="G889" s="21"/>
      <c r="H889" s="21"/>
      <c r="I889" s="4">
        <v>4</v>
      </c>
      <c r="J889" s="4">
        <v>6.6666666666666666E-2</v>
      </c>
      <c r="K889" s="4"/>
      <c r="L889" s="16"/>
      <c r="M889" s="4"/>
      <c r="N889" s="4"/>
      <c r="O889" s="4"/>
      <c r="P889" s="4"/>
      <c r="Q889" s="4"/>
      <c r="R889" s="4"/>
      <c r="S889" s="4">
        <v>0</v>
      </c>
      <c r="T889" s="4">
        <v>0</v>
      </c>
      <c r="U889" s="4">
        <v>6.6666666666666666E-2</v>
      </c>
      <c r="V889" s="4">
        <v>11.933333333333334</v>
      </c>
      <c r="W889" s="4">
        <v>12</v>
      </c>
      <c r="X889" s="4">
        <v>30</v>
      </c>
      <c r="Y889" s="4"/>
      <c r="Z889" s="4">
        <v>579.6</v>
      </c>
      <c r="AA889" s="4">
        <v>600</v>
      </c>
      <c r="AB889" s="18"/>
      <c r="AC889" s="18">
        <v>17</v>
      </c>
      <c r="AD889" s="28"/>
      <c r="AE889" s="26"/>
      <c r="AF889" s="28"/>
    </row>
    <row r="890" spans="1:32" ht="13.5" customHeight="1" x14ac:dyDescent="0.25">
      <c r="A890" s="14">
        <v>45777</v>
      </c>
      <c r="B890" s="14" t="s">
        <v>47</v>
      </c>
      <c r="C890" s="15">
        <v>6</v>
      </c>
      <c r="D890" s="16"/>
      <c r="E890" s="16"/>
      <c r="F890" s="17"/>
      <c r="G890" s="21"/>
      <c r="H890" s="21"/>
      <c r="I890" s="4">
        <v>0</v>
      </c>
      <c r="J890" s="4">
        <v>0</v>
      </c>
      <c r="K890" s="4"/>
      <c r="L890" s="16"/>
      <c r="M890" s="4"/>
      <c r="N890" s="4"/>
      <c r="O890" s="4"/>
      <c r="P890" s="4"/>
      <c r="Q890" s="4"/>
      <c r="R890" s="4"/>
      <c r="S890" s="4">
        <v>0</v>
      </c>
      <c r="T890" s="4">
        <v>0</v>
      </c>
      <c r="U890" s="4">
        <v>0</v>
      </c>
      <c r="V890" s="4">
        <v>12</v>
      </c>
      <c r="W890" s="4">
        <v>12</v>
      </c>
      <c r="X890" s="4">
        <v>111</v>
      </c>
      <c r="Y890" s="4"/>
      <c r="Z890" s="4">
        <v>646.40000000000009</v>
      </c>
      <c r="AA890" s="4">
        <v>650</v>
      </c>
      <c r="AB890" s="18"/>
      <c r="AC890" s="18">
        <v>17</v>
      </c>
      <c r="AD890" s="28"/>
      <c r="AE890" s="26"/>
      <c r="AF890" s="28"/>
    </row>
    <row r="891" spans="1:32" ht="13.5" customHeight="1" x14ac:dyDescent="0.25">
      <c r="A891" s="14">
        <v>45778</v>
      </c>
      <c r="B891" s="14" t="s">
        <v>46</v>
      </c>
      <c r="C891" s="15">
        <v>1</v>
      </c>
      <c r="D891" s="16">
        <v>15</v>
      </c>
      <c r="E891" s="16"/>
      <c r="F891" s="17"/>
      <c r="G891" s="21"/>
      <c r="H891" s="21"/>
      <c r="I891" s="4">
        <v>15</v>
      </c>
      <c r="J891" s="4">
        <v>0.25</v>
      </c>
      <c r="K891" s="4"/>
      <c r="L891" s="16"/>
      <c r="M891" s="4"/>
      <c r="N891" s="4"/>
      <c r="O891" s="4"/>
      <c r="P891" s="4"/>
      <c r="Q891" s="4"/>
      <c r="R891" s="4"/>
      <c r="S891" s="4">
        <v>0</v>
      </c>
      <c r="T891" s="4">
        <v>0</v>
      </c>
      <c r="U891" s="4">
        <v>0.25</v>
      </c>
      <c r="V891" s="4">
        <v>11.75</v>
      </c>
      <c r="W891" s="4">
        <v>12</v>
      </c>
      <c r="X891" s="4">
        <v>0</v>
      </c>
      <c r="Y891" s="4">
        <v>1647</v>
      </c>
      <c r="Z891" s="4">
        <v>179.22000000000003</v>
      </c>
      <c r="AA891" s="4">
        <v>200</v>
      </c>
      <c r="AB891" s="18">
        <v>372</v>
      </c>
      <c r="AC891" s="18">
        <v>17</v>
      </c>
      <c r="AD891" s="28"/>
      <c r="AE891" s="26"/>
      <c r="AF891" s="28"/>
    </row>
    <row r="892" spans="1:32" ht="13.5" customHeight="1" x14ac:dyDescent="0.25">
      <c r="A892" s="14">
        <v>45778</v>
      </c>
      <c r="B892" s="14" t="s">
        <v>47</v>
      </c>
      <c r="C892" s="15">
        <v>1</v>
      </c>
      <c r="D892" s="16"/>
      <c r="E892" s="16"/>
      <c r="F892" s="17"/>
      <c r="G892" s="21"/>
      <c r="H892" s="21"/>
      <c r="I892" s="4">
        <v>0</v>
      </c>
      <c r="J892" s="4">
        <v>0</v>
      </c>
      <c r="K892" s="4"/>
      <c r="L892" s="16"/>
      <c r="M892" s="4"/>
      <c r="N892" s="4"/>
      <c r="O892" s="4"/>
      <c r="P892" s="4"/>
      <c r="Q892" s="4"/>
      <c r="R892" s="4"/>
      <c r="S892" s="4">
        <v>0</v>
      </c>
      <c r="T892" s="4">
        <v>0</v>
      </c>
      <c r="U892" s="4">
        <v>0</v>
      </c>
      <c r="V892" s="4">
        <v>12</v>
      </c>
      <c r="W892" s="4">
        <v>12</v>
      </c>
      <c r="X892" s="4">
        <v>0</v>
      </c>
      <c r="Y892" s="4"/>
      <c r="Z892" s="4">
        <v>18.2</v>
      </c>
      <c r="AA892" s="4">
        <v>50</v>
      </c>
      <c r="AB892" s="18"/>
      <c r="AC892" s="18">
        <v>17</v>
      </c>
      <c r="AD892" s="28"/>
      <c r="AE892" s="26"/>
      <c r="AF892" s="28"/>
    </row>
    <row r="893" spans="1:32" ht="13.5" customHeight="1" x14ac:dyDescent="0.25">
      <c r="A893" s="14">
        <v>45778</v>
      </c>
      <c r="B893" s="14" t="s">
        <v>46</v>
      </c>
      <c r="C893" s="15">
        <v>2</v>
      </c>
      <c r="D893" s="16">
        <v>15</v>
      </c>
      <c r="E893" s="16"/>
      <c r="F893" s="17"/>
      <c r="G893" s="21"/>
      <c r="H893" s="21"/>
      <c r="I893" s="4">
        <v>15</v>
      </c>
      <c r="J893" s="4">
        <v>0.25</v>
      </c>
      <c r="K893" s="4">
        <v>90</v>
      </c>
      <c r="L893" s="16"/>
      <c r="M893" s="4"/>
      <c r="N893" s="4"/>
      <c r="O893" s="4"/>
      <c r="P893" s="4"/>
      <c r="Q893" s="4"/>
      <c r="R893" s="4"/>
      <c r="S893" s="4">
        <v>90</v>
      </c>
      <c r="T893" s="4">
        <v>1.5</v>
      </c>
      <c r="U893" s="4">
        <v>1.75</v>
      </c>
      <c r="V893" s="4">
        <v>10.25</v>
      </c>
      <c r="W893" s="4">
        <v>12</v>
      </c>
      <c r="X893" s="4">
        <v>0</v>
      </c>
      <c r="Y893" s="4"/>
      <c r="Z893" s="4">
        <v>241.6</v>
      </c>
      <c r="AA893" s="4">
        <v>250</v>
      </c>
      <c r="AB893" s="18"/>
      <c r="AC893" s="18">
        <v>17</v>
      </c>
      <c r="AD893" s="28"/>
      <c r="AE893" s="26"/>
      <c r="AF893" s="28"/>
    </row>
    <row r="894" spans="1:32" ht="13.5" customHeight="1" x14ac:dyDescent="0.25">
      <c r="A894" s="14">
        <v>45778</v>
      </c>
      <c r="B894" s="14" t="s">
        <v>47</v>
      </c>
      <c r="C894" s="15">
        <v>2</v>
      </c>
      <c r="D894" s="16"/>
      <c r="E894" s="16"/>
      <c r="F894" s="17"/>
      <c r="G894" s="21"/>
      <c r="H894" s="21"/>
      <c r="I894" s="4">
        <v>0</v>
      </c>
      <c r="J894" s="4">
        <v>0</v>
      </c>
      <c r="K894" s="4"/>
      <c r="L894" s="16"/>
      <c r="M894" s="4"/>
      <c r="N894" s="4"/>
      <c r="O894" s="4"/>
      <c r="P894" s="4"/>
      <c r="Q894" s="4"/>
      <c r="R894" s="4"/>
      <c r="S894" s="4">
        <v>0</v>
      </c>
      <c r="T894" s="4">
        <v>0</v>
      </c>
      <c r="U894" s="4">
        <v>0</v>
      </c>
      <c r="V894" s="4">
        <v>12</v>
      </c>
      <c r="W894" s="4">
        <v>12</v>
      </c>
      <c r="X894" s="4">
        <v>0</v>
      </c>
      <c r="Y894" s="4"/>
      <c r="Z894" s="4">
        <v>137.30000000000001</v>
      </c>
      <c r="AA894" s="4">
        <v>150</v>
      </c>
      <c r="AB894" s="18"/>
      <c r="AC894" s="18">
        <v>17</v>
      </c>
      <c r="AD894" s="28"/>
      <c r="AE894" s="26"/>
      <c r="AF894" s="28"/>
    </row>
    <row r="895" spans="1:32" ht="13.5" customHeight="1" x14ac:dyDescent="0.25">
      <c r="A895" s="14">
        <v>45778</v>
      </c>
      <c r="B895" s="14" t="s">
        <v>46</v>
      </c>
      <c r="C895" s="15">
        <v>3</v>
      </c>
      <c r="D895" s="16"/>
      <c r="E895" s="16"/>
      <c r="F895" s="17"/>
      <c r="G895" s="21"/>
      <c r="H895" s="21"/>
      <c r="I895" s="4">
        <v>0</v>
      </c>
      <c r="J895" s="4">
        <v>0</v>
      </c>
      <c r="K895" s="4"/>
      <c r="L895" s="16"/>
      <c r="M895" s="4"/>
      <c r="N895" s="4"/>
      <c r="O895" s="4"/>
      <c r="P895" s="4"/>
      <c r="Q895" s="4"/>
      <c r="R895" s="4"/>
      <c r="S895" s="4">
        <v>0</v>
      </c>
      <c r="T895" s="4">
        <v>0</v>
      </c>
      <c r="U895" s="4">
        <v>0</v>
      </c>
      <c r="V895" s="4">
        <v>12</v>
      </c>
      <c r="W895" s="4">
        <v>12</v>
      </c>
      <c r="X895" s="4">
        <v>0</v>
      </c>
      <c r="Y895" s="4"/>
      <c r="Z895" s="4">
        <v>300.60000000000002</v>
      </c>
      <c r="AA895" s="4">
        <v>300</v>
      </c>
      <c r="AB895" s="18"/>
      <c r="AC895" s="18">
        <v>17</v>
      </c>
      <c r="AD895" s="28"/>
      <c r="AE895" s="26"/>
      <c r="AF895" s="28"/>
    </row>
    <row r="896" spans="1:32" ht="13.5" customHeight="1" x14ac:dyDescent="0.25">
      <c r="A896" s="14">
        <v>45778</v>
      </c>
      <c r="B896" s="14" t="s">
        <v>47</v>
      </c>
      <c r="C896" s="15">
        <v>3</v>
      </c>
      <c r="D896" s="16"/>
      <c r="E896" s="16"/>
      <c r="F896" s="17"/>
      <c r="G896" s="21"/>
      <c r="H896" s="21"/>
      <c r="I896" s="4">
        <v>0</v>
      </c>
      <c r="J896" s="4">
        <v>0</v>
      </c>
      <c r="K896" s="4"/>
      <c r="L896" s="16"/>
      <c r="M896" s="4"/>
      <c r="N896" s="4"/>
      <c r="O896" s="4"/>
      <c r="P896" s="4"/>
      <c r="Q896" s="4"/>
      <c r="R896" s="4"/>
      <c r="S896" s="4">
        <v>0</v>
      </c>
      <c r="T896" s="4">
        <v>0</v>
      </c>
      <c r="U896" s="4">
        <v>0</v>
      </c>
      <c r="V896" s="4">
        <v>12</v>
      </c>
      <c r="W896" s="4">
        <v>12</v>
      </c>
      <c r="X896" s="4">
        <v>0</v>
      </c>
      <c r="Y896" s="4"/>
      <c r="Z896" s="4">
        <v>353.4</v>
      </c>
      <c r="AA896" s="4">
        <v>350</v>
      </c>
      <c r="AB896" s="18"/>
      <c r="AC896" s="18">
        <v>17</v>
      </c>
      <c r="AD896" s="28"/>
      <c r="AE896" s="26"/>
      <c r="AF896" s="28"/>
    </row>
    <row r="897" spans="1:32" ht="13.5" customHeight="1" x14ac:dyDescent="0.25">
      <c r="A897" s="14">
        <v>45778</v>
      </c>
      <c r="B897" s="14" t="s">
        <v>46</v>
      </c>
      <c r="C897" s="15">
        <v>6</v>
      </c>
      <c r="D897" s="16"/>
      <c r="E897" s="16"/>
      <c r="F897" s="17"/>
      <c r="G897" s="21"/>
      <c r="H897" s="21"/>
      <c r="I897" s="4">
        <v>0</v>
      </c>
      <c r="J897" s="4">
        <v>0</v>
      </c>
      <c r="K897" s="4"/>
      <c r="L897" s="16"/>
      <c r="M897" s="4"/>
      <c r="N897" s="4"/>
      <c r="O897" s="4"/>
      <c r="P897" s="4"/>
      <c r="Q897" s="4"/>
      <c r="R897" s="4"/>
      <c r="S897" s="4">
        <v>0</v>
      </c>
      <c r="T897" s="4">
        <v>0</v>
      </c>
      <c r="U897" s="4">
        <v>0</v>
      </c>
      <c r="V897" s="4">
        <v>12</v>
      </c>
      <c r="W897" s="4">
        <v>12</v>
      </c>
      <c r="X897" s="4">
        <v>39</v>
      </c>
      <c r="Y897" s="4"/>
      <c r="Z897" s="4">
        <v>703.2</v>
      </c>
      <c r="AA897" s="4">
        <v>700</v>
      </c>
      <c r="AB897" s="18"/>
      <c r="AC897" s="18">
        <v>17</v>
      </c>
      <c r="AD897" s="28"/>
      <c r="AE897" s="26"/>
      <c r="AF897" s="28"/>
    </row>
    <row r="898" spans="1:32" ht="13.5" customHeight="1" x14ac:dyDescent="0.25">
      <c r="A898" s="14">
        <v>45778</v>
      </c>
      <c r="B898" s="14" t="s">
        <v>47</v>
      </c>
      <c r="C898" s="15">
        <v>6</v>
      </c>
      <c r="D898" s="16"/>
      <c r="E898" s="16"/>
      <c r="F898" s="17"/>
      <c r="G898" s="21"/>
      <c r="H898" s="21"/>
      <c r="I898" s="4">
        <v>0</v>
      </c>
      <c r="J898" s="4">
        <v>0</v>
      </c>
      <c r="K898" s="4"/>
      <c r="L898" s="16"/>
      <c r="M898" s="4"/>
      <c r="N898" s="4"/>
      <c r="O898" s="4"/>
      <c r="P898" s="4"/>
      <c r="Q898" s="4"/>
      <c r="R898" s="4"/>
      <c r="S898" s="4">
        <v>0</v>
      </c>
      <c r="T898" s="4">
        <v>0</v>
      </c>
      <c r="U898" s="4">
        <v>0</v>
      </c>
      <c r="V898" s="4">
        <v>12</v>
      </c>
      <c r="W898" s="4">
        <v>12</v>
      </c>
      <c r="X898" s="4">
        <v>0</v>
      </c>
      <c r="Y898" s="4"/>
      <c r="Z898" s="4">
        <v>682</v>
      </c>
      <c r="AA898" s="4">
        <v>700</v>
      </c>
      <c r="AB898" s="18"/>
      <c r="AC898" s="18">
        <v>17</v>
      </c>
      <c r="AD898" s="28"/>
      <c r="AE898" s="26"/>
      <c r="AF898" s="28"/>
    </row>
    <row r="899" spans="1:32" ht="13.5" customHeight="1" x14ac:dyDescent="0.25">
      <c r="A899" s="14">
        <v>45779</v>
      </c>
      <c r="B899" s="14" t="s">
        <v>46</v>
      </c>
      <c r="C899" s="15">
        <v>1</v>
      </c>
      <c r="D899" s="16">
        <v>3</v>
      </c>
      <c r="E899" s="16"/>
      <c r="F899" s="17"/>
      <c r="G899" s="21"/>
      <c r="H899" s="21"/>
      <c r="I899" s="4">
        <v>3</v>
      </c>
      <c r="J899" s="4">
        <v>0.05</v>
      </c>
      <c r="K899" s="4"/>
      <c r="L899" s="16"/>
      <c r="M899" s="4"/>
      <c r="N899" s="4"/>
      <c r="O899" s="4"/>
      <c r="P899" s="4"/>
      <c r="Q899" s="4"/>
      <c r="R899" s="4"/>
      <c r="S899" s="4">
        <v>0</v>
      </c>
      <c r="T899" s="4">
        <v>0</v>
      </c>
      <c r="U899" s="4">
        <v>0.05</v>
      </c>
      <c r="V899" s="4">
        <v>11.95</v>
      </c>
      <c r="W899" s="4">
        <v>12</v>
      </c>
      <c r="X899" s="4">
        <v>0</v>
      </c>
      <c r="Y899" s="4">
        <v>1787</v>
      </c>
      <c r="Z899" s="4">
        <v>105</v>
      </c>
      <c r="AA899" s="4">
        <v>100</v>
      </c>
      <c r="AB899" s="18">
        <v>372</v>
      </c>
      <c r="AC899" s="18">
        <v>17</v>
      </c>
      <c r="AD899" s="28"/>
      <c r="AE899" s="26"/>
      <c r="AF899" s="28"/>
    </row>
    <row r="900" spans="1:32" ht="13.5" customHeight="1" x14ac:dyDescent="0.25">
      <c r="A900" s="14">
        <v>45779</v>
      </c>
      <c r="B900" s="14" t="s">
        <v>47</v>
      </c>
      <c r="C900" s="15">
        <v>1</v>
      </c>
      <c r="D900" s="16"/>
      <c r="E900" s="16"/>
      <c r="F900" s="17"/>
      <c r="G900" s="21"/>
      <c r="H900" s="21"/>
      <c r="I900" s="4">
        <v>0</v>
      </c>
      <c r="J900" s="4">
        <v>0</v>
      </c>
      <c r="K900" s="4"/>
      <c r="L900" s="16"/>
      <c r="M900" s="4"/>
      <c r="N900" s="4"/>
      <c r="O900" s="4"/>
      <c r="P900" s="4"/>
      <c r="Q900" s="4"/>
      <c r="R900" s="4"/>
      <c r="S900" s="4">
        <v>0</v>
      </c>
      <c r="T900" s="4">
        <v>0</v>
      </c>
      <c r="U900" s="4">
        <v>0</v>
      </c>
      <c r="V900" s="4">
        <v>12</v>
      </c>
      <c r="W900" s="4">
        <v>12</v>
      </c>
      <c r="X900" s="4">
        <v>0</v>
      </c>
      <c r="Y900" s="4"/>
      <c r="Z900" s="4">
        <v>120.1</v>
      </c>
      <c r="AA900" s="4">
        <v>150</v>
      </c>
      <c r="AB900" s="18"/>
      <c r="AC900" s="18">
        <v>17</v>
      </c>
      <c r="AD900" s="28"/>
      <c r="AE900" s="26"/>
      <c r="AF900" s="28"/>
    </row>
    <row r="901" spans="1:32" ht="13.5" customHeight="1" x14ac:dyDescent="0.25">
      <c r="A901" s="14">
        <v>45779</v>
      </c>
      <c r="B901" s="14" t="s">
        <v>46</v>
      </c>
      <c r="C901" s="15">
        <v>2</v>
      </c>
      <c r="D901" s="16">
        <v>10</v>
      </c>
      <c r="E901" s="16"/>
      <c r="F901" s="17"/>
      <c r="G901" s="21"/>
      <c r="H901" s="21"/>
      <c r="I901" s="4">
        <v>10</v>
      </c>
      <c r="J901" s="4">
        <v>0.16666666666666666</v>
      </c>
      <c r="K901" s="4"/>
      <c r="L901" s="16"/>
      <c r="M901" s="4"/>
      <c r="N901" s="4"/>
      <c r="O901" s="4"/>
      <c r="P901" s="4"/>
      <c r="Q901" s="4"/>
      <c r="R901" s="4"/>
      <c r="S901" s="4">
        <v>0</v>
      </c>
      <c r="T901" s="4">
        <v>0</v>
      </c>
      <c r="U901" s="4">
        <v>0.16666666666666666</v>
      </c>
      <c r="V901" s="4">
        <v>11.833333333333334</v>
      </c>
      <c r="W901" s="4">
        <v>12</v>
      </c>
      <c r="X901" s="4">
        <v>0</v>
      </c>
      <c r="Y901" s="4"/>
      <c r="Z901" s="4">
        <v>264.89999999999998</v>
      </c>
      <c r="AA901" s="4">
        <v>250</v>
      </c>
      <c r="AB901" s="18"/>
      <c r="AC901" s="18">
        <v>17</v>
      </c>
      <c r="AD901" s="28"/>
      <c r="AE901" s="26"/>
      <c r="AF901" s="28"/>
    </row>
    <row r="902" spans="1:32" ht="13.5" customHeight="1" x14ac:dyDescent="0.25">
      <c r="A902" s="14">
        <v>45779</v>
      </c>
      <c r="B902" s="14" t="s">
        <v>47</v>
      </c>
      <c r="C902" s="15">
        <v>2</v>
      </c>
      <c r="D902" s="16">
        <v>6</v>
      </c>
      <c r="E902" s="16"/>
      <c r="F902" s="17"/>
      <c r="G902" s="21"/>
      <c r="H902" s="21"/>
      <c r="I902" s="4">
        <v>6</v>
      </c>
      <c r="J902" s="4">
        <v>0.1</v>
      </c>
      <c r="K902" s="4"/>
      <c r="L902" s="16"/>
      <c r="M902" s="4"/>
      <c r="N902" s="4"/>
      <c r="O902" s="4"/>
      <c r="P902" s="4"/>
      <c r="Q902" s="4"/>
      <c r="R902" s="4"/>
      <c r="S902" s="4">
        <v>0</v>
      </c>
      <c r="T902" s="4">
        <v>0</v>
      </c>
      <c r="U902" s="4">
        <v>0.1</v>
      </c>
      <c r="V902" s="4">
        <v>11.9</v>
      </c>
      <c r="W902" s="4">
        <v>12</v>
      </c>
      <c r="X902" s="4">
        <v>0</v>
      </c>
      <c r="Y902" s="4"/>
      <c r="Z902" s="4">
        <v>196.9</v>
      </c>
      <c r="AA902" s="4">
        <v>200</v>
      </c>
      <c r="AB902" s="18"/>
      <c r="AC902" s="18">
        <v>17</v>
      </c>
      <c r="AD902" s="28"/>
      <c r="AE902" s="26"/>
      <c r="AF902" s="28"/>
    </row>
    <row r="903" spans="1:32" ht="13.5" customHeight="1" x14ac:dyDescent="0.25">
      <c r="A903" s="14">
        <v>45779</v>
      </c>
      <c r="B903" s="14" t="s">
        <v>46</v>
      </c>
      <c r="C903" s="15">
        <v>3</v>
      </c>
      <c r="D903" s="16">
        <v>10</v>
      </c>
      <c r="E903" s="16"/>
      <c r="F903" s="17"/>
      <c r="G903" s="21"/>
      <c r="H903" s="21"/>
      <c r="I903" s="4">
        <v>10</v>
      </c>
      <c r="J903" s="4">
        <v>0.16666666666666666</v>
      </c>
      <c r="K903" s="4"/>
      <c r="L903" s="16"/>
      <c r="M903" s="4"/>
      <c r="N903" s="4"/>
      <c r="O903" s="4"/>
      <c r="P903" s="4"/>
      <c r="Q903" s="4"/>
      <c r="R903" s="4"/>
      <c r="S903" s="4">
        <v>0</v>
      </c>
      <c r="T903" s="4">
        <v>0</v>
      </c>
      <c r="U903" s="4">
        <v>0.16666666666666666</v>
      </c>
      <c r="V903" s="4">
        <v>11.833333333333334</v>
      </c>
      <c r="W903" s="4">
        <v>12</v>
      </c>
      <c r="X903" s="4">
        <v>0</v>
      </c>
      <c r="Y903" s="4"/>
      <c r="Z903" s="4">
        <v>294.8</v>
      </c>
      <c r="AA903" s="4">
        <v>300</v>
      </c>
      <c r="AB903" s="18"/>
      <c r="AC903" s="18">
        <v>17</v>
      </c>
      <c r="AD903" s="28"/>
      <c r="AE903" s="26"/>
      <c r="AF903" s="28"/>
    </row>
    <row r="904" spans="1:32" ht="13.5" customHeight="1" x14ac:dyDescent="0.25">
      <c r="A904" s="14">
        <v>45779</v>
      </c>
      <c r="B904" s="14" t="s">
        <v>47</v>
      </c>
      <c r="C904" s="15">
        <v>3</v>
      </c>
      <c r="D904" s="16"/>
      <c r="E904" s="16"/>
      <c r="F904" s="17"/>
      <c r="G904" s="21"/>
      <c r="H904" s="21"/>
      <c r="I904" s="4">
        <v>0</v>
      </c>
      <c r="J904" s="4">
        <v>0</v>
      </c>
      <c r="K904" s="4"/>
      <c r="L904" s="16"/>
      <c r="M904" s="4"/>
      <c r="N904" s="4"/>
      <c r="O904" s="4"/>
      <c r="P904" s="4"/>
      <c r="Q904" s="4"/>
      <c r="R904" s="4"/>
      <c r="S904" s="4">
        <v>0</v>
      </c>
      <c r="T904" s="4">
        <v>0</v>
      </c>
      <c r="U904" s="4">
        <v>0</v>
      </c>
      <c r="V904" s="4">
        <v>12</v>
      </c>
      <c r="W904" s="4">
        <v>12</v>
      </c>
      <c r="X904" s="4">
        <v>0</v>
      </c>
      <c r="Y904" s="4"/>
      <c r="Z904" s="4">
        <v>347.3</v>
      </c>
      <c r="AA904" s="4">
        <v>350</v>
      </c>
      <c r="AB904" s="18"/>
      <c r="AC904" s="18">
        <v>17</v>
      </c>
      <c r="AD904" s="28"/>
      <c r="AE904" s="26"/>
      <c r="AF904" s="28"/>
    </row>
    <row r="905" spans="1:32" ht="13.5" customHeight="1" x14ac:dyDescent="0.25">
      <c r="A905" s="14">
        <v>45779</v>
      </c>
      <c r="B905" s="14" t="s">
        <v>46</v>
      </c>
      <c r="C905" s="15">
        <v>6</v>
      </c>
      <c r="D905" s="16">
        <v>10</v>
      </c>
      <c r="E905" s="16"/>
      <c r="F905" s="17"/>
      <c r="G905" s="21"/>
      <c r="H905" s="21"/>
      <c r="I905" s="4">
        <v>10</v>
      </c>
      <c r="J905" s="4">
        <v>0.16666666666666666</v>
      </c>
      <c r="K905" s="4"/>
      <c r="L905" s="16">
        <v>10</v>
      </c>
      <c r="M905" s="4"/>
      <c r="N905" s="4"/>
      <c r="O905" s="4"/>
      <c r="P905" s="4"/>
      <c r="Q905" s="4"/>
      <c r="R905" s="4"/>
      <c r="S905" s="4">
        <v>10</v>
      </c>
      <c r="T905" s="4">
        <v>0.16666666666666666</v>
      </c>
      <c r="U905" s="4">
        <v>0.33333333333333331</v>
      </c>
      <c r="V905" s="4">
        <v>11.666666666666666</v>
      </c>
      <c r="W905" s="4">
        <v>12</v>
      </c>
      <c r="X905" s="4">
        <v>80</v>
      </c>
      <c r="Y905" s="4"/>
      <c r="Z905" s="4">
        <v>638.4</v>
      </c>
      <c r="AA905" s="4">
        <v>650</v>
      </c>
      <c r="AB905" s="18"/>
      <c r="AC905" s="18">
        <v>17</v>
      </c>
      <c r="AD905" s="28"/>
      <c r="AE905" s="26"/>
      <c r="AF905" s="28"/>
    </row>
    <row r="906" spans="1:32" ht="13.5" customHeight="1" x14ac:dyDescent="0.25">
      <c r="A906" s="14">
        <v>45779</v>
      </c>
      <c r="B906" s="14" t="s">
        <v>47</v>
      </c>
      <c r="C906" s="15">
        <v>6</v>
      </c>
      <c r="D906" s="16">
        <v>45</v>
      </c>
      <c r="E906" s="16"/>
      <c r="F906" s="17"/>
      <c r="G906" s="21"/>
      <c r="H906" s="21"/>
      <c r="I906" s="4">
        <v>45</v>
      </c>
      <c r="J906" s="4">
        <v>0.75</v>
      </c>
      <c r="K906" s="4"/>
      <c r="L906" s="16"/>
      <c r="M906" s="4"/>
      <c r="N906" s="4"/>
      <c r="O906" s="4"/>
      <c r="P906" s="4"/>
      <c r="Q906" s="4"/>
      <c r="R906" s="4"/>
      <c r="S906" s="4">
        <v>0</v>
      </c>
      <c r="T906" s="4">
        <v>0</v>
      </c>
      <c r="U906" s="4">
        <v>0.75</v>
      </c>
      <c r="V906" s="4">
        <v>11.25</v>
      </c>
      <c r="W906" s="4">
        <v>12</v>
      </c>
      <c r="X906" s="4">
        <v>70</v>
      </c>
      <c r="Y906" s="4"/>
      <c r="Z906" s="4">
        <v>782.4</v>
      </c>
      <c r="AA906" s="4">
        <v>800</v>
      </c>
      <c r="AB906" s="18"/>
      <c r="AC906" s="18">
        <v>17</v>
      </c>
      <c r="AD906" s="28"/>
      <c r="AE906" s="26"/>
      <c r="AF906" s="28"/>
    </row>
    <row r="907" spans="1:32" ht="13.5" customHeight="1" x14ac:dyDescent="0.25">
      <c r="A907" s="14">
        <v>45780</v>
      </c>
      <c r="B907" s="14" t="s">
        <v>46</v>
      </c>
      <c r="C907" s="15">
        <v>1</v>
      </c>
      <c r="D907" s="16">
        <v>3</v>
      </c>
      <c r="E907" s="16"/>
      <c r="F907" s="17"/>
      <c r="G907" s="21"/>
      <c r="H907" s="21"/>
      <c r="I907" s="4">
        <v>3</v>
      </c>
      <c r="J907" s="4">
        <v>0.05</v>
      </c>
      <c r="K907" s="4"/>
      <c r="L907" s="16"/>
      <c r="M907" s="4"/>
      <c r="N907" s="4"/>
      <c r="O907" s="4"/>
      <c r="P907" s="4"/>
      <c r="Q907" s="4"/>
      <c r="R907" s="4"/>
      <c r="S907" s="4">
        <v>0</v>
      </c>
      <c r="T907" s="4">
        <v>0</v>
      </c>
      <c r="U907" s="4">
        <v>0.05</v>
      </c>
      <c r="V907" s="4">
        <v>11.95</v>
      </c>
      <c r="W907" s="4">
        <v>12</v>
      </c>
      <c r="X907" s="4">
        <v>0</v>
      </c>
      <c r="Y907" s="4">
        <v>2094</v>
      </c>
      <c r="Z907" s="4">
        <v>102.5</v>
      </c>
      <c r="AA907" s="4">
        <v>100</v>
      </c>
      <c r="AB907" s="18">
        <v>372</v>
      </c>
      <c r="AC907" s="18">
        <v>17</v>
      </c>
      <c r="AD907" s="28"/>
      <c r="AE907" s="26"/>
      <c r="AF907" s="28"/>
    </row>
    <row r="908" spans="1:32" ht="13.5" customHeight="1" x14ac:dyDescent="0.25">
      <c r="A908" s="14">
        <v>45780</v>
      </c>
      <c r="B908" s="14" t="s">
        <v>47</v>
      </c>
      <c r="C908" s="15">
        <v>1</v>
      </c>
      <c r="D908" s="16"/>
      <c r="E908" s="16"/>
      <c r="F908" s="17"/>
      <c r="G908" s="21"/>
      <c r="H908" s="21"/>
      <c r="I908" s="4">
        <v>0</v>
      </c>
      <c r="J908" s="4">
        <v>0</v>
      </c>
      <c r="K908" s="4"/>
      <c r="L908" s="16"/>
      <c r="M908" s="4"/>
      <c r="N908" s="4"/>
      <c r="O908" s="4"/>
      <c r="P908" s="4"/>
      <c r="Q908" s="4"/>
      <c r="R908" s="4"/>
      <c r="S908" s="4">
        <v>0</v>
      </c>
      <c r="T908" s="4">
        <v>0</v>
      </c>
      <c r="U908" s="4">
        <v>0</v>
      </c>
      <c r="V908" s="4">
        <v>12</v>
      </c>
      <c r="W908" s="4">
        <v>12</v>
      </c>
      <c r="X908" s="4">
        <v>0</v>
      </c>
      <c r="Y908" s="4"/>
      <c r="Z908" s="4">
        <v>127.00999999999999</v>
      </c>
      <c r="AA908" s="4">
        <v>150</v>
      </c>
      <c r="AB908" s="18"/>
      <c r="AC908" s="18">
        <v>17</v>
      </c>
      <c r="AD908" s="28"/>
      <c r="AE908" s="26"/>
      <c r="AF908" s="28"/>
    </row>
    <row r="909" spans="1:32" ht="13.5" customHeight="1" x14ac:dyDescent="0.25">
      <c r="A909" s="14">
        <v>45780</v>
      </c>
      <c r="B909" s="14" t="s">
        <v>46</v>
      </c>
      <c r="C909" s="15">
        <v>2</v>
      </c>
      <c r="D909" s="16">
        <v>5</v>
      </c>
      <c r="E909" s="16"/>
      <c r="F909" s="17"/>
      <c r="G909" s="21"/>
      <c r="H909" s="21"/>
      <c r="I909" s="4">
        <v>5</v>
      </c>
      <c r="J909" s="4">
        <v>8.3333333333333329E-2</v>
      </c>
      <c r="K909" s="4"/>
      <c r="L909" s="16"/>
      <c r="M909" s="4"/>
      <c r="N909" s="4"/>
      <c r="O909" s="4"/>
      <c r="P909" s="4"/>
      <c r="Q909" s="4"/>
      <c r="R909" s="4"/>
      <c r="S909" s="4">
        <v>0</v>
      </c>
      <c r="T909" s="4">
        <v>0</v>
      </c>
      <c r="U909" s="4">
        <v>8.3333333333333329E-2</v>
      </c>
      <c r="V909" s="4">
        <v>11.916666666666666</v>
      </c>
      <c r="W909" s="4">
        <v>12</v>
      </c>
      <c r="X909" s="4">
        <v>0</v>
      </c>
      <c r="Y909" s="4"/>
      <c r="Z909" s="4">
        <v>234.7</v>
      </c>
      <c r="AA909" s="4">
        <v>250</v>
      </c>
      <c r="AB909" s="18"/>
      <c r="AC909" s="18">
        <v>17</v>
      </c>
      <c r="AD909" s="28"/>
      <c r="AE909" s="26"/>
      <c r="AF909" s="28"/>
    </row>
    <row r="910" spans="1:32" ht="13.5" customHeight="1" x14ac:dyDescent="0.25">
      <c r="A910" s="14">
        <v>45780</v>
      </c>
      <c r="B910" s="14" t="s">
        <v>47</v>
      </c>
      <c r="C910" s="15">
        <v>2</v>
      </c>
      <c r="D910" s="16"/>
      <c r="E910" s="16"/>
      <c r="F910" s="17"/>
      <c r="G910" s="21"/>
      <c r="H910" s="21"/>
      <c r="I910" s="4">
        <v>0</v>
      </c>
      <c r="J910" s="4">
        <v>0</v>
      </c>
      <c r="K910" s="4"/>
      <c r="L910" s="16"/>
      <c r="M910" s="4"/>
      <c r="N910" s="4"/>
      <c r="O910" s="4"/>
      <c r="P910" s="4"/>
      <c r="Q910" s="4"/>
      <c r="R910" s="4"/>
      <c r="S910" s="4">
        <v>0</v>
      </c>
      <c r="T910" s="4">
        <v>0</v>
      </c>
      <c r="U910" s="4">
        <v>0</v>
      </c>
      <c r="V910" s="4">
        <v>12</v>
      </c>
      <c r="W910" s="4">
        <v>12</v>
      </c>
      <c r="X910" s="4">
        <v>0</v>
      </c>
      <c r="Y910" s="4"/>
      <c r="Z910" s="4">
        <v>210.10000000000002</v>
      </c>
      <c r="AA910" s="4">
        <v>200</v>
      </c>
      <c r="AB910" s="18"/>
      <c r="AC910" s="18">
        <v>17</v>
      </c>
      <c r="AD910" s="28"/>
      <c r="AE910" s="26"/>
      <c r="AF910" s="28"/>
    </row>
    <row r="911" spans="1:32" ht="13.5" customHeight="1" x14ac:dyDescent="0.25">
      <c r="A911" s="14">
        <v>45780</v>
      </c>
      <c r="B911" s="14" t="s">
        <v>46</v>
      </c>
      <c r="C911" s="15">
        <v>3</v>
      </c>
      <c r="D911" s="16"/>
      <c r="E911" s="16"/>
      <c r="F911" s="17"/>
      <c r="G911" s="21"/>
      <c r="H911" s="21"/>
      <c r="I911" s="4">
        <v>0</v>
      </c>
      <c r="J911" s="4">
        <v>0</v>
      </c>
      <c r="K911" s="4"/>
      <c r="L911" s="16"/>
      <c r="M911" s="4"/>
      <c r="N911" s="4"/>
      <c r="O911" s="4"/>
      <c r="P911" s="4"/>
      <c r="Q911" s="4"/>
      <c r="R911" s="4"/>
      <c r="S911" s="4">
        <v>0</v>
      </c>
      <c r="T911" s="4">
        <v>0</v>
      </c>
      <c r="U911" s="4">
        <v>0</v>
      </c>
      <c r="V911" s="4">
        <v>12</v>
      </c>
      <c r="W911" s="4">
        <v>12</v>
      </c>
      <c r="X911" s="4">
        <v>0</v>
      </c>
      <c r="Y911" s="4"/>
      <c r="Z911" s="4">
        <v>358.40000000000003</v>
      </c>
      <c r="AA911" s="4">
        <v>350</v>
      </c>
      <c r="AB911" s="18"/>
      <c r="AC911" s="18">
        <v>17</v>
      </c>
      <c r="AD911" s="28"/>
      <c r="AE911" s="26"/>
      <c r="AF911" s="28"/>
    </row>
    <row r="912" spans="1:32" ht="13.5" customHeight="1" x14ac:dyDescent="0.25">
      <c r="A912" s="14">
        <v>45780</v>
      </c>
      <c r="B912" s="14" t="s">
        <v>47</v>
      </c>
      <c r="C912" s="15">
        <v>3</v>
      </c>
      <c r="D912" s="16"/>
      <c r="E912" s="16"/>
      <c r="F912" s="17"/>
      <c r="G912" s="21"/>
      <c r="H912" s="21"/>
      <c r="I912" s="4">
        <v>0</v>
      </c>
      <c r="J912" s="4">
        <v>0</v>
      </c>
      <c r="K912" s="4"/>
      <c r="L912" s="16"/>
      <c r="M912" s="4"/>
      <c r="N912" s="4"/>
      <c r="O912" s="4"/>
      <c r="P912" s="4"/>
      <c r="Q912" s="4"/>
      <c r="R912" s="4"/>
      <c r="S912" s="4">
        <v>0</v>
      </c>
      <c r="T912" s="4">
        <v>0</v>
      </c>
      <c r="U912" s="4">
        <v>0</v>
      </c>
      <c r="V912" s="4">
        <v>12</v>
      </c>
      <c r="W912" s="4">
        <v>12</v>
      </c>
      <c r="X912" s="4">
        <v>0</v>
      </c>
      <c r="Y912" s="4"/>
      <c r="Z912" s="4">
        <v>365.40000000000003</v>
      </c>
      <c r="AA912" s="4">
        <v>350</v>
      </c>
      <c r="AB912" s="18"/>
      <c r="AC912" s="18">
        <v>17</v>
      </c>
      <c r="AD912" s="28"/>
      <c r="AE912" s="26"/>
      <c r="AF912" s="28"/>
    </row>
    <row r="913" spans="1:32" ht="13.5" customHeight="1" x14ac:dyDescent="0.25">
      <c r="A913" s="14">
        <v>45780</v>
      </c>
      <c r="B913" s="14" t="s">
        <v>46</v>
      </c>
      <c r="C913" s="15">
        <v>6</v>
      </c>
      <c r="D913" s="16">
        <v>20</v>
      </c>
      <c r="E913" s="16"/>
      <c r="F913" s="17"/>
      <c r="G913" s="21"/>
      <c r="H913" s="21"/>
      <c r="I913" s="4">
        <v>20</v>
      </c>
      <c r="J913" s="4">
        <v>0.33333333333333331</v>
      </c>
      <c r="K913" s="4"/>
      <c r="L913" s="16"/>
      <c r="M913" s="4"/>
      <c r="N913" s="4"/>
      <c r="O913" s="4"/>
      <c r="P913" s="4"/>
      <c r="Q913" s="4"/>
      <c r="R913" s="4"/>
      <c r="S913" s="4">
        <v>0</v>
      </c>
      <c r="T913" s="4">
        <v>0</v>
      </c>
      <c r="U913" s="4">
        <v>0.33333333333333331</v>
      </c>
      <c r="V913" s="4">
        <v>11.666666666666666</v>
      </c>
      <c r="W913" s="4">
        <v>12</v>
      </c>
      <c r="X913" s="4">
        <v>30</v>
      </c>
      <c r="Y913" s="4"/>
      <c r="Z913" s="4">
        <v>1009.8</v>
      </c>
      <c r="AA913" s="4">
        <v>1000</v>
      </c>
      <c r="AB913" s="18"/>
      <c r="AC913" s="18">
        <v>17</v>
      </c>
      <c r="AD913" s="28"/>
      <c r="AE913" s="26"/>
      <c r="AF913" s="28"/>
    </row>
    <row r="914" spans="1:32" ht="13.5" customHeight="1" x14ac:dyDescent="0.25">
      <c r="A914" s="14">
        <v>45780</v>
      </c>
      <c r="B914" s="14" t="s">
        <v>47</v>
      </c>
      <c r="C914" s="15">
        <v>6</v>
      </c>
      <c r="D914" s="16"/>
      <c r="E914" s="16"/>
      <c r="F914" s="17"/>
      <c r="G914" s="21"/>
      <c r="H914" s="21"/>
      <c r="I914" s="4">
        <v>0</v>
      </c>
      <c r="J914" s="4">
        <v>0</v>
      </c>
      <c r="K914" s="4"/>
      <c r="L914" s="16"/>
      <c r="M914" s="4"/>
      <c r="N914" s="4"/>
      <c r="O914" s="4"/>
      <c r="P914" s="4"/>
      <c r="Q914" s="4"/>
      <c r="R914" s="4"/>
      <c r="S914" s="4">
        <v>0</v>
      </c>
      <c r="T914" s="4">
        <v>0</v>
      </c>
      <c r="U914" s="4">
        <v>0</v>
      </c>
      <c r="V914" s="4">
        <v>12</v>
      </c>
      <c r="W914" s="4">
        <v>12</v>
      </c>
      <c r="X914" s="4">
        <v>0</v>
      </c>
      <c r="Y914" s="4"/>
      <c r="Z914" s="4">
        <v>834.00000000000011</v>
      </c>
      <c r="AA914" s="4">
        <v>850</v>
      </c>
      <c r="AB914" s="18"/>
      <c r="AC914" s="18">
        <v>17</v>
      </c>
      <c r="AD914" s="28"/>
      <c r="AE914" s="26"/>
      <c r="AF914" s="28"/>
    </row>
    <row r="915" spans="1:32" ht="13.5" customHeight="1" x14ac:dyDescent="0.25">
      <c r="A915" s="14">
        <v>45780</v>
      </c>
      <c r="B915" s="14" t="s">
        <v>47</v>
      </c>
      <c r="C915" s="15">
        <v>7</v>
      </c>
      <c r="D915" s="16"/>
      <c r="E915" s="16"/>
      <c r="F915" s="17"/>
      <c r="G915" s="21"/>
      <c r="H915" s="21"/>
      <c r="I915" s="4">
        <v>0</v>
      </c>
      <c r="J915" s="4">
        <v>0</v>
      </c>
      <c r="K915" s="4"/>
      <c r="L915" s="16"/>
      <c r="M915" s="4"/>
      <c r="N915" s="4"/>
      <c r="O915" s="4"/>
      <c r="P915" s="4"/>
      <c r="Q915" s="4"/>
      <c r="R915" s="4"/>
      <c r="S915" s="4">
        <v>0</v>
      </c>
      <c r="T915" s="4">
        <v>0</v>
      </c>
      <c r="U915" s="4">
        <v>0</v>
      </c>
      <c r="V915" s="4">
        <v>12</v>
      </c>
      <c r="W915" s="4">
        <v>12</v>
      </c>
      <c r="X915" s="4">
        <v>0</v>
      </c>
      <c r="Y915" s="4"/>
      <c r="Z915" s="4">
        <v>387.27000000000004</v>
      </c>
      <c r="AA915" s="4">
        <v>400</v>
      </c>
      <c r="AB915" s="18"/>
      <c r="AC915" s="18">
        <v>17</v>
      </c>
      <c r="AD915" s="28"/>
      <c r="AE915" s="26"/>
      <c r="AF915" s="28"/>
    </row>
    <row r="916" spans="1:32" ht="13.5" customHeight="1" x14ac:dyDescent="0.25">
      <c r="A916" s="14">
        <v>45781</v>
      </c>
      <c r="B916" s="14" t="s">
        <v>46</v>
      </c>
      <c r="C916" s="15">
        <v>1</v>
      </c>
      <c r="D916" s="16">
        <v>2</v>
      </c>
      <c r="E916" s="16"/>
      <c r="F916" s="17"/>
      <c r="G916" s="21"/>
      <c r="H916" s="21"/>
      <c r="I916" s="4">
        <v>2</v>
      </c>
      <c r="J916" s="4">
        <v>3.3333333333333333E-2</v>
      </c>
      <c r="K916" s="4"/>
      <c r="L916" s="16"/>
      <c r="M916" s="4"/>
      <c r="N916" s="4"/>
      <c r="O916" s="4"/>
      <c r="P916" s="4"/>
      <c r="Q916" s="4"/>
      <c r="R916" s="4"/>
      <c r="S916" s="4">
        <v>0</v>
      </c>
      <c r="T916" s="4">
        <v>0</v>
      </c>
      <c r="U916" s="4">
        <v>3.3333333333333333E-2</v>
      </c>
      <c r="V916" s="4">
        <v>11.966666666666667</v>
      </c>
      <c r="W916" s="4">
        <v>12</v>
      </c>
      <c r="X916" s="4">
        <v>0</v>
      </c>
      <c r="Y916" s="4">
        <v>2092</v>
      </c>
      <c r="Z916" s="4">
        <v>156.69999999999999</v>
      </c>
      <c r="AA916" s="4">
        <v>150</v>
      </c>
      <c r="AB916" s="18">
        <v>372</v>
      </c>
      <c r="AC916" s="18">
        <v>17</v>
      </c>
      <c r="AD916" s="28"/>
      <c r="AE916" s="26"/>
      <c r="AF916" s="28"/>
    </row>
    <row r="917" spans="1:32" ht="13.5" customHeight="1" x14ac:dyDescent="0.25">
      <c r="A917" s="14">
        <v>45781</v>
      </c>
      <c r="B917" s="14" t="s">
        <v>47</v>
      </c>
      <c r="C917" s="15">
        <v>1</v>
      </c>
      <c r="D917" s="16"/>
      <c r="E917" s="16"/>
      <c r="F917" s="17"/>
      <c r="G917" s="21"/>
      <c r="H917" s="21"/>
      <c r="I917" s="4">
        <v>0</v>
      </c>
      <c r="J917" s="4">
        <v>0</v>
      </c>
      <c r="K917" s="4"/>
      <c r="L917" s="16"/>
      <c r="M917" s="4"/>
      <c r="N917" s="4"/>
      <c r="O917" s="4"/>
      <c r="P917" s="4"/>
      <c r="Q917" s="4"/>
      <c r="R917" s="4"/>
      <c r="S917" s="4">
        <v>0</v>
      </c>
      <c r="T917" s="4">
        <v>0</v>
      </c>
      <c r="U917" s="4">
        <v>0</v>
      </c>
      <c r="V917" s="4">
        <v>12</v>
      </c>
      <c r="W917" s="4">
        <v>12</v>
      </c>
      <c r="X917" s="4">
        <v>0</v>
      </c>
      <c r="Y917" s="4"/>
      <c r="Z917" s="4">
        <v>159.1</v>
      </c>
      <c r="AA917" s="4">
        <v>200</v>
      </c>
      <c r="AB917" s="18"/>
      <c r="AC917" s="18">
        <v>17</v>
      </c>
      <c r="AD917" s="28"/>
      <c r="AE917" s="26"/>
      <c r="AF917" s="28"/>
    </row>
    <row r="918" spans="1:32" ht="13.5" customHeight="1" x14ac:dyDescent="0.25">
      <c r="A918" s="14">
        <v>45781</v>
      </c>
      <c r="B918" s="14" t="s">
        <v>46</v>
      </c>
      <c r="C918" s="15">
        <v>2</v>
      </c>
      <c r="D918" s="16">
        <v>3</v>
      </c>
      <c r="E918" s="16"/>
      <c r="F918" s="17"/>
      <c r="G918" s="21"/>
      <c r="H918" s="21"/>
      <c r="I918" s="4">
        <v>3</v>
      </c>
      <c r="J918" s="4">
        <v>0.05</v>
      </c>
      <c r="K918" s="4"/>
      <c r="L918" s="16"/>
      <c r="M918" s="4"/>
      <c r="N918" s="4"/>
      <c r="O918" s="4"/>
      <c r="P918" s="4"/>
      <c r="Q918" s="4"/>
      <c r="R918" s="4"/>
      <c r="S918" s="4">
        <v>0</v>
      </c>
      <c r="T918" s="4">
        <v>0</v>
      </c>
      <c r="U918" s="4">
        <v>0.05</v>
      </c>
      <c r="V918" s="4">
        <v>11.95</v>
      </c>
      <c r="W918" s="4">
        <v>12</v>
      </c>
      <c r="X918" s="4">
        <v>0</v>
      </c>
      <c r="Y918" s="4"/>
      <c r="Z918" s="4">
        <v>253.8</v>
      </c>
      <c r="AA918" s="4">
        <v>300</v>
      </c>
      <c r="AB918" s="18"/>
      <c r="AC918" s="18">
        <v>17</v>
      </c>
      <c r="AD918" s="28"/>
      <c r="AE918" s="26"/>
      <c r="AF918" s="28"/>
    </row>
    <row r="919" spans="1:32" ht="13.5" customHeight="1" x14ac:dyDescent="0.25">
      <c r="A919" s="14">
        <v>45781</v>
      </c>
      <c r="B919" s="14" t="s">
        <v>47</v>
      </c>
      <c r="C919" s="15">
        <v>2</v>
      </c>
      <c r="D919" s="16"/>
      <c r="E919" s="16"/>
      <c r="F919" s="17"/>
      <c r="G919" s="21"/>
      <c r="H919" s="21"/>
      <c r="I919" s="4">
        <v>0</v>
      </c>
      <c r="J919" s="4">
        <v>0</v>
      </c>
      <c r="K919" s="4"/>
      <c r="L919" s="16"/>
      <c r="M919" s="4"/>
      <c r="N919" s="4"/>
      <c r="O919" s="4"/>
      <c r="P919" s="4"/>
      <c r="Q919" s="4"/>
      <c r="R919" s="4"/>
      <c r="S919" s="4">
        <v>0</v>
      </c>
      <c r="T919" s="4">
        <v>0</v>
      </c>
      <c r="U919" s="4">
        <v>0</v>
      </c>
      <c r="V919" s="4">
        <v>12</v>
      </c>
      <c r="W919" s="4">
        <v>12</v>
      </c>
      <c r="X919" s="4">
        <v>0</v>
      </c>
      <c r="Y919" s="4"/>
      <c r="Z919" s="4">
        <v>299.10000000000002</v>
      </c>
      <c r="AA919" s="4">
        <v>350</v>
      </c>
      <c r="AB919" s="18"/>
      <c r="AC919" s="18">
        <v>17</v>
      </c>
      <c r="AD919" s="28"/>
      <c r="AE919" s="26"/>
      <c r="AF919" s="28"/>
    </row>
    <row r="920" spans="1:32" ht="13.5" customHeight="1" x14ac:dyDescent="0.25">
      <c r="A920" s="14">
        <v>45781</v>
      </c>
      <c r="B920" s="14" t="s">
        <v>46</v>
      </c>
      <c r="C920" s="15">
        <v>3</v>
      </c>
      <c r="D920" s="16">
        <v>4</v>
      </c>
      <c r="E920" s="16"/>
      <c r="F920" s="17"/>
      <c r="G920" s="21"/>
      <c r="H920" s="21"/>
      <c r="I920" s="4">
        <v>4</v>
      </c>
      <c r="J920" s="4">
        <v>6.6666666666666666E-2</v>
      </c>
      <c r="K920" s="4"/>
      <c r="L920" s="16"/>
      <c r="M920" s="4"/>
      <c r="N920" s="4"/>
      <c r="O920" s="4"/>
      <c r="P920" s="4"/>
      <c r="Q920" s="4"/>
      <c r="R920" s="4"/>
      <c r="S920" s="4">
        <v>0</v>
      </c>
      <c r="T920" s="4">
        <v>0</v>
      </c>
      <c r="U920" s="4">
        <v>6.6666666666666666E-2</v>
      </c>
      <c r="V920" s="4">
        <v>11.933333333333334</v>
      </c>
      <c r="W920" s="4">
        <v>12</v>
      </c>
      <c r="X920" s="4">
        <v>0</v>
      </c>
      <c r="Y920" s="4"/>
      <c r="Z920" s="4">
        <v>358.8</v>
      </c>
      <c r="AA920" s="4">
        <v>350</v>
      </c>
      <c r="AB920" s="18"/>
      <c r="AC920" s="18">
        <v>17</v>
      </c>
      <c r="AD920" s="28"/>
      <c r="AE920" s="26"/>
      <c r="AF920" s="28"/>
    </row>
    <row r="921" spans="1:32" ht="13.5" customHeight="1" x14ac:dyDescent="0.25">
      <c r="A921" s="14">
        <v>45781</v>
      </c>
      <c r="B921" s="14" t="s">
        <v>47</v>
      </c>
      <c r="C921" s="15">
        <v>3</v>
      </c>
      <c r="D921" s="16"/>
      <c r="E921" s="16"/>
      <c r="F921" s="17"/>
      <c r="G921" s="21"/>
      <c r="H921" s="21"/>
      <c r="I921" s="4">
        <v>0</v>
      </c>
      <c r="J921" s="4">
        <v>0</v>
      </c>
      <c r="K921" s="4"/>
      <c r="L921" s="16"/>
      <c r="M921" s="4"/>
      <c r="N921" s="4"/>
      <c r="O921" s="4"/>
      <c r="P921" s="4"/>
      <c r="Q921" s="4"/>
      <c r="R921" s="4"/>
      <c r="S921" s="4">
        <v>0</v>
      </c>
      <c r="T921" s="4">
        <v>0</v>
      </c>
      <c r="U921" s="4">
        <v>0</v>
      </c>
      <c r="V921" s="4">
        <v>12</v>
      </c>
      <c r="W921" s="4">
        <v>12</v>
      </c>
      <c r="X921" s="4">
        <v>0</v>
      </c>
      <c r="Y921" s="4"/>
      <c r="Z921" s="4">
        <v>256.89999999999998</v>
      </c>
      <c r="AA921" s="4">
        <v>250</v>
      </c>
      <c r="AB921" s="18"/>
      <c r="AC921" s="18">
        <v>17</v>
      </c>
      <c r="AD921" s="28"/>
      <c r="AE921" s="26"/>
      <c r="AF921" s="28"/>
    </row>
    <row r="922" spans="1:32" ht="13.5" customHeight="1" x14ac:dyDescent="0.25">
      <c r="A922" s="14">
        <v>45781</v>
      </c>
      <c r="B922" s="14" t="s">
        <v>46</v>
      </c>
      <c r="C922" s="15">
        <v>6</v>
      </c>
      <c r="D922" s="16"/>
      <c r="E922" s="16"/>
      <c r="F922" s="17"/>
      <c r="G922" s="21"/>
      <c r="H922" s="21"/>
      <c r="I922" s="4">
        <v>0</v>
      </c>
      <c r="J922" s="4">
        <v>0</v>
      </c>
      <c r="K922" s="4"/>
      <c r="L922" s="16"/>
      <c r="M922" s="4"/>
      <c r="N922" s="4"/>
      <c r="O922" s="4"/>
      <c r="P922" s="4"/>
      <c r="Q922" s="4"/>
      <c r="R922" s="4"/>
      <c r="S922" s="4">
        <v>0</v>
      </c>
      <c r="T922" s="4">
        <v>0</v>
      </c>
      <c r="U922" s="4">
        <v>0</v>
      </c>
      <c r="V922" s="4">
        <v>12</v>
      </c>
      <c r="W922" s="4">
        <v>12</v>
      </c>
      <c r="X922" s="4">
        <v>30</v>
      </c>
      <c r="Y922" s="4"/>
      <c r="Z922" s="4">
        <v>616.4</v>
      </c>
      <c r="AA922" s="4">
        <v>600</v>
      </c>
      <c r="AB922" s="18"/>
      <c r="AC922" s="18">
        <v>17</v>
      </c>
      <c r="AD922" s="28"/>
      <c r="AE922" s="26"/>
      <c r="AF922" s="28"/>
    </row>
    <row r="923" spans="1:32" ht="13.5" customHeight="1" x14ac:dyDescent="0.25">
      <c r="A923" s="14">
        <v>45781</v>
      </c>
      <c r="B923" s="14" t="s">
        <v>47</v>
      </c>
      <c r="C923" s="15">
        <v>6</v>
      </c>
      <c r="D923" s="16">
        <v>24</v>
      </c>
      <c r="E923" s="16"/>
      <c r="F923" s="17"/>
      <c r="G923" s="21"/>
      <c r="H923" s="21"/>
      <c r="I923" s="4">
        <v>24</v>
      </c>
      <c r="J923" s="4">
        <v>0.4</v>
      </c>
      <c r="K923" s="4"/>
      <c r="L923" s="16"/>
      <c r="M923" s="4"/>
      <c r="N923" s="4"/>
      <c r="O923" s="4"/>
      <c r="P923" s="4"/>
      <c r="Q923" s="4"/>
      <c r="R923" s="4"/>
      <c r="S923" s="4">
        <v>0</v>
      </c>
      <c r="T923" s="4">
        <v>0</v>
      </c>
      <c r="U923" s="4">
        <v>0.4</v>
      </c>
      <c r="V923" s="4">
        <v>11.6</v>
      </c>
      <c r="W923" s="4">
        <v>12</v>
      </c>
      <c r="X923" s="4">
        <v>37</v>
      </c>
      <c r="Y923" s="4"/>
      <c r="Z923" s="4">
        <v>639.50000000000011</v>
      </c>
      <c r="AA923" s="4">
        <v>650</v>
      </c>
      <c r="AB923" s="18"/>
      <c r="AC923" s="18">
        <v>17</v>
      </c>
      <c r="AD923" s="28"/>
      <c r="AE923" s="26"/>
      <c r="AF923" s="28"/>
    </row>
    <row r="924" spans="1:32" ht="13.5" customHeight="1" x14ac:dyDescent="0.25">
      <c r="A924" s="14">
        <v>45781</v>
      </c>
      <c r="B924" s="14" t="s">
        <v>46</v>
      </c>
      <c r="C924" s="15">
        <v>7</v>
      </c>
      <c r="D924" s="16"/>
      <c r="E924" s="16"/>
      <c r="F924" s="17"/>
      <c r="G924" s="21"/>
      <c r="H924" s="21"/>
      <c r="I924" s="4">
        <v>0</v>
      </c>
      <c r="J924" s="4">
        <v>0</v>
      </c>
      <c r="K924" s="4"/>
      <c r="L924" s="16"/>
      <c r="M924" s="4"/>
      <c r="N924" s="4"/>
      <c r="O924" s="4"/>
      <c r="P924" s="4"/>
      <c r="Q924" s="4"/>
      <c r="R924" s="4"/>
      <c r="S924" s="4">
        <v>0</v>
      </c>
      <c r="T924" s="4">
        <v>0</v>
      </c>
      <c r="U924" s="4">
        <v>0</v>
      </c>
      <c r="V924" s="4">
        <v>12</v>
      </c>
      <c r="W924" s="4">
        <v>12</v>
      </c>
      <c r="X924" s="4">
        <v>0</v>
      </c>
      <c r="Y924" s="4"/>
      <c r="Z924" s="4">
        <v>357.36</v>
      </c>
      <c r="AA924" s="4">
        <v>350</v>
      </c>
      <c r="AB924" s="18"/>
      <c r="AC924" s="18">
        <v>17</v>
      </c>
      <c r="AD924" s="28"/>
      <c r="AE924" s="26"/>
      <c r="AF924" s="28"/>
    </row>
    <row r="925" spans="1:32" ht="13.5" customHeight="1" x14ac:dyDescent="0.25">
      <c r="A925" s="14">
        <v>45781</v>
      </c>
      <c r="B925" s="14" t="s">
        <v>47</v>
      </c>
      <c r="C925" s="15">
        <v>7</v>
      </c>
      <c r="D925" s="16">
        <v>15</v>
      </c>
      <c r="E925" s="16"/>
      <c r="F925" s="17"/>
      <c r="G925" s="21"/>
      <c r="H925" s="21"/>
      <c r="I925" s="4">
        <v>15</v>
      </c>
      <c r="J925" s="4">
        <v>0.25</v>
      </c>
      <c r="K925" s="4"/>
      <c r="L925" s="16"/>
      <c r="M925" s="4"/>
      <c r="N925" s="4"/>
      <c r="O925" s="4"/>
      <c r="P925" s="4"/>
      <c r="Q925" s="4"/>
      <c r="R925" s="4"/>
      <c r="S925" s="4">
        <v>0</v>
      </c>
      <c r="T925" s="4">
        <v>0</v>
      </c>
      <c r="U925" s="4">
        <v>0.25</v>
      </c>
      <c r="V925" s="4">
        <v>11.75</v>
      </c>
      <c r="W925" s="4">
        <v>12</v>
      </c>
      <c r="X925" s="4">
        <v>0</v>
      </c>
      <c r="Y925" s="4"/>
      <c r="Z925" s="4">
        <v>302.13</v>
      </c>
      <c r="AA925" s="4">
        <v>300</v>
      </c>
      <c r="AB925" s="18"/>
      <c r="AC925" s="18">
        <v>17</v>
      </c>
      <c r="AD925" s="28"/>
      <c r="AE925" s="26"/>
      <c r="AF925" s="28"/>
    </row>
    <row r="926" spans="1:32" ht="13.5" customHeight="1" x14ac:dyDescent="0.25">
      <c r="A926" s="14">
        <v>45782</v>
      </c>
      <c r="B926" s="14" t="s">
        <v>46</v>
      </c>
      <c r="C926" s="15">
        <v>1</v>
      </c>
      <c r="D926" s="16">
        <v>2</v>
      </c>
      <c r="E926" s="16"/>
      <c r="F926" s="17"/>
      <c r="G926" s="21"/>
      <c r="H926" s="21"/>
      <c r="I926" s="4">
        <v>2</v>
      </c>
      <c r="J926" s="4">
        <v>3.3333333333333333E-2</v>
      </c>
      <c r="K926" s="4"/>
      <c r="L926" s="16"/>
      <c r="M926" s="4"/>
      <c r="N926" s="4"/>
      <c r="O926" s="4"/>
      <c r="P926" s="4"/>
      <c r="Q926" s="4"/>
      <c r="R926" s="4"/>
      <c r="S926" s="4">
        <v>0</v>
      </c>
      <c r="T926" s="4">
        <v>0</v>
      </c>
      <c r="U926" s="4">
        <v>3.3333333333333333E-2</v>
      </c>
      <c r="V926" s="4">
        <v>11.966666666666667</v>
      </c>
      <c r="W926" s="4">
        <v>12</v>
      </c>
      <c r="X926" s="4">
        <v>0</v>
      </c>
      <c r="Y926" s="4">
        <v>1747</v>
      </c>
      <c r="Z926" s="4">
        <v>86.199999999999989</v>
      </c>
      <c r="AA926" s="4">
        <v>150</v>
      </c>
      <c r="AB926" s="18">
        <v>372</v>
      </c>
      <c r="AC926" s="18">
        <v>19</v>
      </c>
      <c r="AD926" s="28"/>
      <c r="AE926" s="26"/>
      <c r="AF926" s="28"/>
    </row>
    <row r="927" spans="1:32" ht="13.5" customHeight="1" x14ac:dyDescent="0.25">
      <c r="A927" s="14">
        <v>45782</v>
      </c>
      <c r="B927" s="14" t="s">
        <v>47</v>
      </c>
      <c r="C927" s="15">
        <v>1</v>
      </c>
      <c r="D927" s="16">
        <v>5</v>
      </c>
      <c r="E927" s="16"/>
      <c r="F927" s="17"/>
      <c r="G927" s="21"/>
      <c r="H927" s="21"/>
      <c r="I927" s="4">
        <v>5</v>
      </c>
      <c r="J927" s="4">
        <v>8.3333333333333329E-2</v>
      </c>
      <c r="K927" s="4">
        <v>25</v>
      </c>
      <c r="L927" s="16"/>
      <c r="M927" s="4"/>
      <c r="N927" s="4"/>
      <c r="O927" s="4"/>
      <c r="P927" s="4"/>
      <c r="Q927" s="4"/>
      <c r="R927" s="4"/>
      <c r="S927" s="4">
        <v>25</v>
      </c>
      <c r="T927" s="4">
        <v>0.41666666666666669</v>
      </c>
      <c r="U927" s="4">
        <v>0.5</v>
      </c>
      <c r="V927" s="4">
        <v>11.5</v>
      </c>
      <c r="W927" s="4">
        <v>12</v>
      </c>
      <c r="X927" s="4">
        <v>0</v>
      </c>
      <c r="Y927" s="4"/>
      <c r="Z927" s="4">
        <v>165.8</v>
      </c>
      <c r="AA927" s="4">
        <v>200</v>
      </c>
      <c r="AB927" s="18"/>
      <c r="AC927" s="18">
        <v>19</v>
      </c>
      <c r="AD927" s="28"/>
      <c r="AE927" s="26"/>
      <c r="AF927" s="28"/>
    </row>
    <row r="928" spans="1:32" ht="13.5" customHeight="1" x14ac:dyDescent="0.25">
      <c r="A928" s="14">
        <v>45782</v>
      </c>
      <c r="B928" s="14" t="s">
        <v>46</v>
      </c>
      <c r="C928" s="15">
        <v>2</v>
      </c>
      <c r="D928" s="16">
        <v>5</v>
      </c>
      <c r="E928" s="16"/>
      <c r="F928" s="17"/>
      <c r="G928" s="21"/>
      <c r="H928" s="21"/>
      <c r="I928" s="4">
        <v>5</v>
      </c>
      <c r="J928" s="4">
        <v>8.3333333333333329E-2</v>
      </c>
      <c r="K928" s="4"/>
      <c r="L928" s="16">
        <v>15</v>
      </c>
      <c r="M928" s="4"/>
      <c r="N928" s="4"/>
      <c r="O928" s="4"/>
      <c r="P928" s="4"/>
      <c r="Q928" s="4"/>
      <c r="R928" s="4"/>
      <c r="S928" s="4">
        <v>15</v>
      </c>
      <c r="T928" s="4">
        <v>0.25</v>
      </c>
      <c r="U928" s="4">
        <v>0.33333333333333331</v>
      </c>
      <c r="V928" s="4">
        <v>11.666666666666666</v>
      </c>
      <c r="W928" s="4">
        <v>12</v>
      </c>
      <c r="X928" s="4">
        <v>0</v>
      </c>
      <c r="Y928" s="4"/>
      <c r="Z928" s="4">
        <v>321.60000000000002</v>
      </c>
      <c r="AA928" s="4">
        <v>350</v>
      </c>
      <c r="AB928" s="18"/>
      <c r="AC928" s="18">
        <v>19</v>
      </c>
      <c r="AD928" s="28"/>
      <c r="AE928" s="26"/>
      <c r="AF928" s="28"/>
    </row>
    <row r="929" spans="1:32" ht="13.5" customHeight="1" x14ac:dyDescent="0.25">
      <c r="A929" s="14">
        <v>45782</v>
      </c>
      <c r="B929" s="14" t="s">
        <v>47</v>
      </c>
      <c r="C929" s="15">
        <v>2</v>
      </c>
      <c r="D929" s="16">
        <v>10</v>
      </c>
      <c r="E929" s="16"/>
      <c r="F929" s="17"/>
      <c r="G929" s="21"/>
      <c r="H929" s="21"/>
      <c r="I929" s="4">
        <v>10</v>
      </c>
      <c r="J929" s="4">
        <v>0.16666666666666666</v>
      </c>
      <c r="K929" s="4">
        <v>25</v>
      </c>
      <c r="L929" s="16"/>
      <c r="M929" s="4"/>
      <c r="N929" s="4"/>
      <c r="O929" s="4"/>
      <c r="P929" s="4"/>
      <c r="Q929" s="4"/>
      <c r="R929" s="4"/>
      <c r="S929" s="4">
        <v>25</v>
      </c>
      <c r="T929" s="4">
        <v>0.41666666666666669</v>
      </c>
      <c r="U929" s="4">
        <v>0.58333333333333337</v>
      </c>
      <c r="V929" s="4">
        <v>11.416666666666666</v>
      </c>
      <c r="W929" s="4">
        <v>12</v>
      </c>
      <c r="X929" s="4">
        <v>0</v>
      </c>
      <c r="Y929" s="4"/>
      <c r="Z929" s="4">
        <v>224.7</v>
      </c>
      <c r="AA929" s="4">
        <v>250</v>
      </c>
      <c r="AB929" s="18"/>
      <c r="AC929" s="18">
        <v>19</v>
      </c>
      <c r="AD929" s="28"/>
      <c r="AE929" s="26"/>
      <c r="AF929" s="28"/>
    </row>
    <row r="930" spans="1:32" ht="13.5" customHeight="1" x14ac:dyDescent="0.25">
      <c r="A930" s="14">
        <v>45782</v>
      </c>
      <c r="B930" s="14" t="s">
        <v>46</v>
      </c>
      <c r="C930" s="15">
        <v>3</v>
      </c>
      <c r="D930" s="16">
        <v>10</v>
      </c>
      <c r="E930" s="16"/>
      <c r="F930" s="17"/>
      <c r="G930" s="21"/>
      <c r="H930" s="21"/>
      <c r="I930" s="4">
        <v>10</v>
      </c>
      <c r="J930" s="4">
        <v>0.16666666666666666</v>
      </c>
      <c r="K930" s="4"/>
      <c r="L930" s="16"/>
      <c r="M930" s="4"/>
      <c r="N930" s="4"/>
      <c r="O930" s="4"/>
      <c r="P930" s="4"/>
      <c r="Q930" s="4"/>
      <c r="R930" s="4"/>
      <c r="S930" s="4">
        <v>0</v>
      </c>
      <c r="T930" s="4">
        <v>0</v>
      </c>
      <c r="U930" s="4">
        <v>0.16666666666666666</v>
      </c>
      <c r="V930" s="4">
        <v>11.833333333333334</v>
      </c>
      <c r="W930" s="4">
        <v>12</v>
      </c>
      <c r="X930" s="4">
        <v>0</v>
      </c>
      <c r="Y930" s="4"/>
      <c r="Z930" s="4">
        <v>361.9</v>
      </c>
      <c r="AA930" s="4">
        <v>400</v>
      </c>
      <c r="AB930" s="18"/>
      <c r="AC930" s="18">
        <v>19</v>
      </c>
      <c r="AD930" s="28"/>
      <c r="AE930" s="26"/>
      <c r="AF930" s="28"/>
    </row>
    <row r="931" spans="1:32" ht="13.5" customHeight="1" x14ac:dyDescent="0.25">
      <c r="A931" s="14">
        <v>45782</v>
      </c>
      <c r="B931" s="14" t="s">
        <v>47</v>
      </c>
      <c r="C931" s="15">
        <v>3</v>
      </c>
      <c r="D931" s="16">
        <v>13</v>
      </c>
      <c r="E931" s="16"/>
      <c r="F931" s="17"/>
      <c r="G931" s="21"/>
      <c r="H931" s="21"/>
      <c r="I931" s="4">
        <v>13</v>
      </c>
      <c r="J931" s="4">
        <v>0.21666666666666667</v>
      </c>
      <c r="K931" s="4">
        <v>25</v>
      </c>
      <c r="L931" s="16"/>
      <c r="M931" s="4"/>
      <c r="N931" s="4"/>
      <c r="O931" s="4"/>
      <c r="P931" s="4"/>
      <c r="Q931" s="4"/>
      <c r="R931" s="4"/>
      <c r="S931" s="4">
        <v>25</v>
      </c>
      <c r="T931" s="4">
        <v>0.41666666666666669</v>
      </c>
      <c r="U931" s="4">
        <v>0.6333333333333333</v>
      </c>
      <c r="V931" s="4">
        <v>11.366666666666667</v>
      </c>
      <c r="W931" s="4">
        <v>12</v>
      </c>
      <c r="X931" s="4">
        <v>70</v>
      </c>
      <c r="Y931" s="4"/>
      <c r="Z931" s="4">
        <v>363.7</v>
      </c>
      <c r="AA931" s="4">
        <v>400</v>
      </c>
      <c r="AB931" s="18"/>
      <c r="AC931" s="18">
        <v>19</v>
      </c>
      <c r="AD931" s="28"/>
      <c r="AE931" s="26"/>
      <c r="AF931" s="28"/>
    </row>
    <row r="932" spans="1:32" ht="13.5" customHeight="1" x14ac:dyDescent="0.25">
      <c r="A932" s="14">
        <v>45782</v>
      </c>
      <c r="B932" s="14" t="s">
        <v>46</v>
      </c>
      <c r="C932" s="15">
        <v>6</v>
      </c>
      <c r="D932" s="16">
        <v>20</v>
      </c>
      <c r="E932" s="16"/>
      <c r="F932" s="17"/>
      <c r="G932" s="21"/>
      <c r="H932" s="21"/>
      <c r="I932" s="4">
        <v>20</v>
      </c>
      <c r="J932" s="4">
        <v>0.33333333333333331</v>
      </c>
      <c r="K932" s="4"/>
      <c r="L932" s="16">
        <v>5</v>
      </c>
      <c r="M932" s="4"/>
      <c r="N932" s="4"/>
      <c r="O932" s="4"/>
      <c r="P932" s="4"/>
      <c r="Q932" s="4"/>
      <c r="R932" s="4"/>
      <c r="S932" s="4">
        <v>5</v>
      </c>
      <c r="T932" s="4">
        <v>8.3333333333333329E-2</v>
      </c>
      <c r="U932" s="4">
        <v>0.41666666666666663</v>
      </c>
      <c r="V932" s="4">
        <v>11.583333333333334</v>
      </c>
      <c r="W932" s="4">
        <v>12</v>
      </c>
      <c r="X932" s="4">
        <v>60</v>
      </c>
      <c r="Y932" s="4"/>
      <c r="Z932" s="4">
        <v>659.59999999999991</v>
      </c>
      <c r="AA932" s="4">
        <v>700</v>
      </c>
      <c r="AB932" s="18"/>
      <c r="AC932" s="18">
        <v>19</v>
      </c>
      <c r="AD932" s="28"/>
      <c r="AE932" s="26"/>
      <c r="AF932" s="28"/>
    </row>
    <row r="933" spans="1:32" ht="13.5" customHeight="1" x14ac:dyDescent="0.25">
      <c r="A933" s="14">
        <v>45782</v>
      </c>
      <c r="B933" s="14" t="s">
        <v>47</v>
      </c>
      <c r="C933" s="15">
        <v>6</v>
      </c>
      <c r="D933" s="16"/>
      <c r="E933" s="16"/>
      <c r="F933" s="17"/>
      <c r="G933" s="21"/>
      <c r="H933" s="21"/>
      <c r="I933" s="4">
        <v>0</v>
      </c>
      <c r="J933" s="4">
        <v>0</v>
      </c>
      <c r="K933" s="4">
        <v>30</v>
      </c>
      <c r="L933" s="16"/>
      <c r="M933" s="4"/>
      <c r="N933" s="4"/>
      <c r="O933" s="4"/>
      <c r="P933" s="4"/>
      <c r="Q933" s="4"/>
      <c r="R933" s="4"/>
      <c r="S933" s="4">
        <v>30</v>
      </c>
      <c r="T933" s="4">
        <v>0.5</v>
      </c>
      <c r="U933" s="4">
        <v>0.5</v>
      </c>
      <c r="V933" s="4">
        <v>11.5</v>
      </c>
      <c r="W933" s="4">
        <v>12</v>
      </c>
      <c r="X933" s="4">
        <v>0</v>
      </c>
      <c r="Y933" s="4"/>
      <c r="Z933" s="4">
        <v>525.79999999999995</v>
      </c>
      <c r="AA933" s="4">
        <v>550</v>
      </c>
      <c r="AB933" s="18"/>
      <c r="AC933" s="18">
        <v>19</v>
      </c>
      <c r="AD933" s="28"/>
      <c r="AE933" s="26"/>
      <c r="AF933" s="28"/>
    </row>
    <row r="934" spans="1:32" ht="13.5" customHeight="1" x14ac:dyDescent="0.25">
      <c r="A934" s="14">
        <v>45783</v>
      </c>
      <c r="B934" s="14" t="s">
        <v>46</v>
      </c>
      <c r="C934" s="15">
        <v>1</v>
      </c>
      <c r="D934" s="16">
        <v>7</v>
      </c>
      <c r="E934" s="16"/>
      <c r="F934" s="17"/>
      <c r="G934" s="21"/>
      <c r="H934" s="21"/>
      <c r="I934" s="4">
        <v>7</v>
      </c>
      <c r="J934" s="4">
        <v>0.11666666666666667</v>
      </c>
      <c r="K934" s="4"/>
      <c r="L934" s="16"/>
      <c r="M934" s="4"/>
      <c r="N934" s="4"/>
      <c r="O934" s="4"/>
      <c r="P934" s="4"/>
      <c r="Q934" s="4"/>
      <c r="R934" s="4"/>
      <c r="S934" s="4">
        <v>0</v>
      </c>
      <c r="T934" s="4">
        <v>0</v>
      </c>
      <c r="U934" s="4">
        <v>0.11666666666666667</v>
      </c>
      <c r="V934" s="4">
        <v>11.883333333333333</v>
      </c>
      <c r="W934" s="4">
        <v>12</v>
      </c>
      <c r="X934" s="4">
        <v>0</v>
      </c>
      <c r="Y934" s="4">
        <v>1577</v>
      </c>
      <c r="Z934" s="4">
        <v>215</v>
      </c>
      <c r="AA934" s="4">
        <v>200</v>
      </c>
      <c r="AB934" s="18">
        <v>372</v>
      </c>
      <c r="AC934" s="18">
        <v>19</v>
      </c>
      <c r="AD934" s="28"/>
      <c r="AE934" s="26"/>
      <c r="AF934" s="28"/>
    </row>
    <row r="935" spans="1:32" ht="13.5" customHeight="1" x14ac:dyDescent="0.25">
      <c r="A935" s="14">
        <v>45783</v>
      </c>
      <c r="B935" s="14" t="s">
        <v>47</v>
      </c>
      <c r="C935" s="15">
        <v>1</v>
      </c>
      <c r="D935" s="16">
        <v>10</v>
      </c>
      <c r="E935" s="16"/>
      <c r="F935" s="17"/>
      <c r="G935" s="21"/>
      <c r="H935" s="21"/>
      <c r="I935" s="4">
        <v>10</v>
      </c>
      <c r="J935" s="4">
        <v>0.16666666666666666</v>
      </c>
      <c r="K935" s="4"/>
      <c r="L935" s="16"/>
      <c r="M935" s="4"/>
      <c r="N935" s="4"/>
      <c r="O935" s="4"/>
      <c r="P935" s="4"/>
      <c r="Q935" s="4"/>
      <c r="R935" s="4"/>
      <c r="S935" s="4">
        <v>0</v>
      </c>
      <c r="T935" s="4">
        <v>0</v>
      </c>
      <c r="U935" s="4">
        <v>0.16666666666666666</v>
      </c>
      <c r="V935" s="4">
        <v>11.833333333333334</v>
      </c>
      <c r="W935" s="4">
        <v>12</v>
      </c>
      <c r="X935" s="4">
        <v>0</v>
      </c>
      <c r="Y935" s="4"/>
      <c r="Z935" s="4">
        <v>141.1</v>
      </c>
      <c r="AA935" s="4">
        <v>100</v>
      </c>
      <c r="AB935" s="18"/>
      <c r="AC935" s="18">
        <v>19</v>
      </c>
      <c r="AD935" s="28"/>
      <c r="AE935" s="26"/>
      <c r="AF935" s="28"/>
    </row>
    <row r="936" spans="1:32" ht="13.5" customHeight="1" x14ac:dyDescent="0.25">
      <c r="A936" s="14">
        <v>45783</v>
      </c>
      <c r="B936" s="14" t="s">
        <v>46</v>
      </c>
      <c r="C936" s="15">
        <v>2</v>
      </c>
      <c r="D936" s="16">
        <v>3</v>
      </c>
      <c r="E936" s="16"/>
      <c r="F936" s="17"/>
      <c r="G936" s="21"/>
      <c r="H936" s="21"/>
      <c r="I936" s="4">
        <v>3</v>
      </c>
      <c r="J936" s="4">
        <v>0.05</v>
      </c>
      <c r="K936" s="4"/>
      <c r="L936" s="16"/>
      <c r="M936" s="4"/>
      <c r="N936" s="4"/>
      <c r="O936" s="4"/>
      <c r="P936" s="4"/>
      <c r="Q936" s="4"/>
      <c r="R936" s="4"/>
      <c r="S936" s="4">
        <v>0</v>
      </c>
      <c r="T936" s="4">
        <v>0</v>
      </c>
      <c r="U936" s="4">
        <v>0.05</v>
      </c>
      <c r="V936" s="4">
        <v>11.95</v>
      </c>
      <c r="W936" s="4">
        <v>12</v>
      </c>
      <c r="X936" s="4">
        <v>0</v>
      </c>
      <c r="Y936" s="4"/>
      <c r="Z936" s="4">
        <v>208.1</v>
      </c>
      <c r="AA936" s="4">
        <v>200</v>
      </c>
      <c r="AB936" s="18"/>
      <c r="AC936" s="18">
        <v>19</v>
      </c>
      <c r="AD936" s="28"/>
      <c r="AE936" s="26"/>
      <c r="AF936" s="28"/>
    </row>
    <row r="937" spans="1:32" ht="13.5" customHeight="1" x14ac:dyDescent="0.25">
      <c r="A937" s="14">
        <v>45783</v>
      </c>
      <c r="B937" s="14" t="s">
        <v>47</v>
      </c>
      <c r="C937" s="15">
        <v>2</v>
      </c>
      <c r="D937" s="16">
        <v>10</v>
      </c>
      <c r="E937" s="16"/>
      <c r="F937" s="17"/>
      <c r="G937" s="21"/>
      <c r="H937" s="21"/>
      <c r="I937" s="4">
        <v>10</v>
      </c>
      <c r="J937" s="4">
        <v>0.16666666666666666</v>
      </c>
      <c r="K937" s="4"/>
      <c r="L937" s="16"/>
      <c r="M937" s="4"/>
      <c r="N937" s="4"/>
      <c r="O937" s="4"/>
      <c r="P937" s="4"/>
      <c r="Q937" s="4"/>
      <c r="R937" s="4"/>
      <c r="S937" s="4">
        <v>0</v>
      </c>
      <c r="T937" s="4">
        <v>0</v>
      </c>
      <c r="U937" s="4">
        <v>0.16666666666666666</v>
      </c>
      <c r="V937" s="4">
        <v>11.833333333333334</v>
      </c>
      <c r="W937" s="4">
        <v>12</v>
      </c>
      <c r="X937" s="4">
        <v>0</v>
      </c>
      <c r="Y937" s="4"/>
      <c r="Z937" s="4">
        <v>251.79999999999998</v>
      </c>
      <c r="AA937" s="4">
        <v>250</v>
      </c>
      <c r="AB937" s="18"/>
      <c r="AC937" s="18">
        <v>19</v>
      </c>
      <c r="AD937" s="28"/>
      <c r="AE937" s="26"/>
      <c r="AF937" s="28"/>
    </row>
    <row r="938" spans="1:32" ht="13.5" customHeight="1" x14ac:dyDescent="0.25">
      <c r="A938" s="14">
        <v>45783</v>
      </c>
      <c r="B938" s="14" t="s">
        <v>46</v>
      </c>
      <c r="C938" s="15">
        <v>6</v>
      </c>
      <c r="D938" s="16">
        <v>7</v>
      </c>
      <c r="E938" s="16"/>
      <c r="F938" s="17"/>
      <c r="G938" s="21"/>
      <c r="H938" s="21"/>
      <c r="I938" s="4">
        <v>7</v>
      </c>
      <c r="J938" s="4">
        <v>0.11666666666666667</v>
      </c>
      <c r="K938" s="4"/>
      <c r="L938" s="16"/>
      <c r="M938" s="4"/>
      <c r="N938" s="4"/>
      <c r="O938" s="4"/>
      <c r="P938" s="4"/>
      <c r="Q938" s="4"/>
      <c r="R938" s="4"/>
      <c r="S938" s="4">
        <v>0</v>
      </c>
      <c r="T938" s="4">
        <v>0</v>
      </c>
      <c r="U938" s="4">
        <v>0.11666666666666667</v>
      </c>
      <c r="V938" s="4">
        <v>11.883333333333333</v>
      </c>
      <c r="W938" s="4">
        <v>12</v>
      </c>
      <c r="X938" s="4">
        <v>39</v>
      </c>
      <c r="Y938" s="4"/>
      <c r="Z938" s="4">
        <v>560.80000000000007</v>
      </c>
      <c r="AA938" s="4">
        <v>550</v>
      </c>
      <c r="AB938" s="18"/>
      <c r="AC938" s="18">
        <v>19</v>
      </c>
      <c r="AD938" s="28"/>
      <c r="AE938" s="26"/>
      <c r="AF938" s="28"/>
    </row>
    <row r="939" spans="1:32" ht="13.5" customHeight="1" x14ac:dyDescent="0.25">
      <c r="A939" s="14">
        <v>45783</v>
      </c>
      <c r="B939" s="14" t="s">
        <v>47</v>
      </c>
      <c r="C939" s="15">
        <v>6</v>
      </c>
      <c r="D939" s="16">
        <v>15</v>
      </c>
      <c r="E939" s="16"/>
      <c r="F939" s="17"/>
      <c r="G939" s="21"/>
      <c r="H939" s="21"/>
      <c r="I939" s="4">
        <v>15</v>
      </c>
      <c r="J939" s="4">
        <v>0.25</v>
      </c>
      <c r="K939" s="4"/>
      <c r="L939" s="16"/>
      <c r="M939" s="4"/>
      <c r="N939" s="4"/>
      <c r="O939" s="4"/>
      <c r="P939" s="4"/>
      <c r="Q939" s="4"/>
      <c r="R939" s="4"/>
      <c r="S939" s="4">
        <v>0</v>
      </c>
      <c r="T939" s="4">
        <v>0</v>
      </c>
      <c r="U939" s="4">
        <v>0.25</v>
      </c>
      <c r="V939" s="4">
        <v>11.75</v>
      </c>
      <c r="W939" s="4">
        <v>12</v>
      </c>
      <c r="X939" s="4">
        <v>24</v>
      </c>
      <c r="Y939" s="4"/>
      <c r="Z939" s="4">
        <v>591.20000000000005</v>
      </c>
      <c r="AA939" s="4">
        <v>600</v>
      </c>
      <c r="AB939" s="18"/>
      <c r="AC939" s="18">
        <v>19</v>
      </c>
      <c r="AD939" s="28"/>
      <c r="AE939" s="26"/>
      <c r="AF939" s="28"/>
    </row>
    <row r="940" spans="1:32" ht="13.5" customHeight="1" x14ac:dyDescent="0.25">
      <c r="A940" s="14">
        <v>45783</v>
      </c>
      <c r="B940" s="14" t="s">
        <v>47</v>
      </c>
      <c r="C940" s="15">
        <v>7</v>
      </c>
      <c r="D940" s="16"/>
      <c r="E940" s="16"/>
      <c r="F940" s="17"/>
      <c r="G940" s="21"/>
      <c r="H940" s="21"/>
      <c r="I940" s="4">
        <v>0</v>
      </c>
      <c r="J940" s="4">
        <v>0</v>
      </c>
      <c r="K940" s="4"/>
      <c r="L940" s="16"/>
      <c r="M940" s="4"/>
      <c r="N940" s="4"/>
      <c r="O940" s="4"/>
      <c r="P940" s="4"/>
      <c r="Q940" s="4"/>
      <c r="R940" s="4"/>
      <c r="S940" s="4">
        <v>0</v>
      </c>
      <c r="T940" s="4">
        <v>0</v>
      </c>
      <c r="U940" s="4">
        <v>0</v>
      </c>
      <c r="V940" s="4">
        <v>12</v>
      </c>
      <c r="W940" s="4">
        <v>12</v>
      </c>
      <c r="X940" s="4">
        <v>0</v>
      </c>
      <c r="Y940" s="4"/>
      <c r="Z940" s="4">
        <v>217.60999999999999</v>
      </c>
      <c r="AA940" s="4">
        <v>200</v>
      </c>
      <c r="AB940" s="18"/>
      <c r="AC940" s="18">
        <v>19</v>
      </c>
      <c r="AD940" s="28"/>
      <c r="AE940" s="26"/>
      <c r="AF940" s="28"/>
    </row>
    <row r="941" spans="1:32" ht="13.5" customHeight="1" x14ac:dyDescent="0.25">
      <c r="A941" s="14">
        <v>45784</v>
      </c>
      <c r="B941" s="14" t="s">
        <v>46</v>
      </c>
      <c r="C941" s="15">
        <v>1</v>
      </c>
      <c r="D941" s="16"/>
      <c r="E941" s="16"/>
      <c r="F941" s="17"/>
      <c r="G941" s="21"/>
      <c r="H941" s="21"/>
      <c r="I941" s="4">
        <v>0</v>
      </c>
      <c r="J941" s="4">
        <v>0</v>
      </c>
      <c r="K941" s="4"/>
      <c r="L941" s="16"/>
      <c r="M941" s="4"/>
      <c r="N941" s="4"/>
      <c r="O941" s="4"/>
      <c r="P941" s="4"/>
      <c r="Q941" s="4"/>
      <c r="R941" s="4"/>
      <c r="S941" s="4">
        <v>0</v>
      </c>
      <c r="T941" s="4">
        <v>0</v>
      </c>
      <c r="U941" s="4">
        <v>0</v>
      </c>
      <c r="V941" s="4">
        <v>12</v>
      </c>
      <c r="W941" s="4">
        <v>12</v>
      </c>
      <c r="X941" s="4">
        <v>0</v>
      </c>
      <c r="Y941" s="4">
        <v>1628</v>
      </c>
      <c r="Z941" s="4">
        <v>185.23</v>
      </c>
      <c r="AA941" s="4">
        <v>200</v>
      </c>
      <c r="AB941" s="18">
        <v>372</v>
      </c>
      <c r="AC941" s="18">
        <v>19</v>
      </c>
      <c r="AD941" s="28"/>
      <c r="AE941" s="26"/>
      <c r="AF941" s="28"/>
    </row>
    <row r="942" spans="1:32" ht="13.5" customHeight="1" x14ac:dyDescent="0.25">
      <c r="A942" s="14">
        <v>45784</v>
      </c>
      <c r="B942" s="14" t="s">
        <v>47</v>
      </c>
      <c r="C942" s="15">
        <v>1</v>
      </c>
      <c r="D942" s="16"/>
      <c r="E942" s="16"/>
      <c r="F942" s="17"/>
      <c r="G942" s="21"/>
      <c r="H942" s="21"/>
      <c r="I942" s="4">
        <v>0</v>
      </c>
      <c r="J942" s="4">
        <v>0</v>
      </c>
      <c r="K942" s="4"/>
      <c r="L942" s="16"/>
      <c r="M942" s="4"/>
      <c r="N942" s="4"/>
      <c r="O942" s="4"/>
      <c r="P942" s="4">
        <v>180</v>
      </c>
      <c r="Q942" s="4">
        <v>30</v>
      </c>
      <c r="R942" s="4"/>
      <c r="S942" s="4">
        <v>210</v>
      </c>
      <c r="T942" s="4">
        <v>3.5</v>
      </c>
      <c r="U942" s="4">
        <v>3.5</v>
      </c>
      <c r="V942" s="4">
        <v>8.5</v>
      </c>
      <c r="W942" s="4">
        <v>12</v>
      </c>
      <c r="X942" s="4">
        <v>0</v>
      </c>
      <c r="Y942" s="4"/>
      <c r="Z942" s="4">
        <v>96.699999999999989</v>
      </c>
      <c r="AA942" s="4">
        <v>100</v>
      </c>
      <c r="AB942" s="18"/>
      <c r="AC942" s="18">
        <v>19</v>
      </c>
      <c r="AD942" s="28"/>
      <c r="AE942" s="26"/>
      <c r="AF942" s="28"/>
    </row>
    <row r="943" spans="1:32" ht="13.5" customHeight="1" x14ac:dyDescent="0.25">
      <c r="A943" s="14">
        <v>45784</v>
      </c>
      <c r="B943" s="14" t="s">
        <v>46</v>
      </c>
      <c r="C943" s="15">
        <v>2</v>
      </c>
      <c r="D943" s="16"/>
      <c r="E943" s="16"/>
      <c r="F943" s="17"/>
      <c r="G943" s="21"/>
      <c r="H943" s="21"/>
      <c r="I943" s="4">
        <v>0</v>
      </c>
      <c r="J943" s="4">
        <v>0</v>
      </c>
      <c r="K943" s="4"/>
      <c r="L943" s="16"/>
      <c r="M943" s="4"/>
      <c r="N943" s="4"/>
      <c r="O943" s="4"/>
      <c r="P943" s="4"/>
      <c r="Q943" s="4"/>
      <c r="R943" s="4"/>
      <c r="S943" s="4">
        <v>0</v>
      </c>
      <c r="T943" s="4">
        <v>0</v>
      </c>
      <c r="U943" s="4">
        <v>0</v>
      </c>
      <c r="V943" s="4">
        <v>12</v>
      </c>
      <c r="W943" s="4">
        <v>12</v>
      </c>
      <c r="X943" s="4">
        <v>0</v>
      </c>
      <c r="Y943" s="4"/>
      <c r="Z943" s="4">
        <v>248.56</v>
      </c>
      <c r="AA943" s="4">
        <v>250</v>
      </c>
      <c r="AB943" s="18"/>
      <c r="AC943" s="18">
        <v>19</v>
      </c>
      <c r="AD943" s="28"/>
      <c r="AE943" s="26"/>
      <c r="AF943" s="28"/>
    </row>
    <row r="944" spans="1:32" ht="13.5" customHeight="1" x14ac:dyDescent="0.25">
      <c r="A944" s="14">
        <v>45784</v>
      </c>
      <c r="B944" s="14" t="s">
        <v>47</v>
      </c>
      <c r="C944" s="15">
        <v>2</v>
      </c>
      <c r="D944" s="16"/>
      <c r="E944" s="16"/>
      <c r="F944" s="17"/>
      <c r="G944" s="21"/>
      <c r="H944" s="21"/>
      <c r="I944" s="4">
        <v>0</v>
      </c>
      <c r="J944" s="4">
        <v>0</v>
      </c>
      <c r="K944" s="4"/>
      <c r="L944" s="16"/>
      <c r="M944" s="4"/>
      <c r="N944" s="4"/>
      <c r="O944" s="4"/>
      <c r="P944" s="4"/>
      <c r="Q944" s="4"/>
      <c r="R944" s="4"/>
      <c r="S944" s="4">
        <v>0</v>
      </c>
      <c r="T944" s="4">
        <v>0</v>
      </c>
      <c r="U944" s="4">
        <v>0</v>
      </c>
      <c r="V944" s="4">
        <v>12</v>
      </c>
      <c r="W944" s="4">
        <v>12</v>
      </c>
      <c r="X944" s="4">
        <v>0</v>
      </c>
      <c r="Y944" s="4"/>
      <c r="Z944" s="4">
        <v>237.4</v>
      </c>
      <c r="AA944" s="4">
        <v>250</v>
      </c>
      <c r="AB944" s="18"/>
      <c r="AC944" s="18">
        <v>19</v>
      </c>
      <c r="AD944" s="28"/>
      <c r="AE944" s="26"/>
      <c r="AF944" s="28"/>
    </row>
    <row r="945" spans="1:32" ht="13.5" customHeight="1" x14ac:dyDescent="0.25">
      <c r="A945" s="14">
        <v>45784</v>
      </c>
      <c r="B945" s="14" t="s">
        <v>46</v>
      </c>
      <c r="C945" s="15">
        <v>6</v>
      </c>
      <c r="D945" s="16">
        <v>17</v>
      </c>
      <c r="E945" s="16"/>
      <c r="F945" s="17"/>
      <c r="G945" s="21"/>
      <c r="H945" s="21"/>
      <c r="I945" s="4">
        <v>17</v>
      </c>
      <c r="J945" s="4">
        <v>0.28333333333333333</v>
      </c>
      <c r="K945" s="4"/>
      <c r="L945" s="16"/>
      <c r="M945" s="4"/>
      <c r="N945" s="4"/>
      <c r="O945" s="4"/>
      <c r="P945" s="4"/>
      <c r="Q945" s="4"/>
      <c r="R945" s="4"/>
      <c r="S945" s="4">
        <v>0</v>
      </c>
      <c r="T945" s="4">
        <v>0</v>
      </c>
      <c r="U945" s="4">
        <v>0.28333333333333333</v>
      </c>
      <c r="V945" s="4">
        <v>11.716666666666667</v>
      </c>
      <c r="W945" s="4">
        <v>12</v>
      </c>
      <c r="X945" s="4">
        <v>35</v>
      </c>
      <c r="Y945" s="4"/>
      <c r="Z945" s="4">
        <v>666</v>
      </c>
      <c r="AA945" s="4">
        <v>700</v>
      </c>
      <c r="AB945" s="18"/>
      <c r="AC945" s="18">
        <v>19</v>
      </c>
      <c r="AD945" s="28"/>
      <c r="AE945" s="26"/>
      <c r="AF945" s="28"/>
    </row>
    <row r="946" spans="1:32" ht="13.5" customHeight="1" x14ac:dyDescent="0.25">
      <c r="A946" s="14">
        <v>45784</v>
      </c>
      <c r="B946" s="14" t="s">
        <v>47</v>
      </c>
      <c r="C946" s="15">
        <v>6</v>
      </c>
      <c r="D946" s="16"/>
      <c r="E946" s="16"/>
      <c r="F946" s="17"/>
      <c r="G946" s="21"/>
      <c r="H946" s="21"/>
      <c r="I946" s="4">
        <v>0</v>
      </c>
      <c r="J946" s="4">
        <v>0</v>
      </c>
      <c r="K946" s="4"/>
      <c r="L946" s="16"/>
      <c r="M946" s="4"/>
      <c r="N946" s="4"/>
      <c r="O946" s="4"/>
      <c r="P946" s="4"/>
      <c r="Q946" s="4"/>
      <c r="R946" s="4"/>
      <c r="S946" s="4">
        <v>0</v>
      </c>
      <c r="T946" s="4">
        <v>0</v>
      </c>
      <c r="U946" s="4">
        <v>0</v>
      </c>
      <c r="V946" s="4">
        <v>12</v>
      </c>
      <c r="W946" s="4">
        <v>12</v>
      </c>
      <c r="X946" s="4">
        <v>120</v>
      </c>
      <c r="Y946" s="4"/>
      <c r="Z946" s="4">
        <v>534</v>
      </c>
      <c r="AA946" s="4">
        <v>550</v>
      </c>
      <c r="AB946" s="18"/>
      <c r="AC946" s="18">
        <v>19</v>
      </c>
      <c r="AD946" s="28"/>
      <c r="AE946" s="26"/>
      <c r="AF946" s="28"/>
    </row>
    <row r="947" spans="1:32" ht="13.5" customHeight="1" x14ac:dyDescent="0.25">
      <c r="A947" s="14">
        <v>45784</v>
      </c>
      <c r="B947" s="14" t="s">
        <v>46</v>
      </c>
      <c r="C947" s="15">
        <v>7</v>
      </c>
      <c r="D947" s="16"/>
      <c r="E947" s="16"/>
      <c r="F947" s="17"/>
      <c r="G947" s="21"/>
      <c r="H947" s="21"/>
      <c r="I947" s="4">
        <v>0</v>
      </c>
      <c r="J947" s="4">
        <v>0</v>
      </c>
      <c r="K947" s="4"/>
      <c r="L947" s="16"/>
      <c r="M947" s="4"/>
      <c r="N947" s="4"/>
      <c r="O947" s="4"/>
      <c r="P947" s="4"/>
      <c r="Q947" s="4"/>
      <c r="R947" s="4"/>
      <c r="S947" s="4">
        <v>0</v>
      </c>
      <c r="T947" s="4">
        <v>0</v>
      </c>
      <c r="U947" s="4">
        <v>0</v>
      </c>
      <c r="V947" s="4">
        <v>12</v>
      </c>
      <c r="W947" s="4">
        <v>12</v>
      </c>
      <c r="X947" s="4">
        <v>0</v>
      </c>
      <c r="Y947" s="4"/>
      <c r="Z947" s="4">
        <v>380.20000000000005</v>
      </c>
      <c r="AA947" s="4">
        <v>400</v>
      </c>
      <c r="AB947" s="18"/>
      <c r="AC947" s="18">
        <v>19</v>
      </c>
      <c r="AD947" s="28"/>
      <c r="AE947" s="26"/>
      <c r="AF947" s="28"/>
    </row>
    <row r="948" spans="1:32" ht="13.5" customHeight="1" x14ac:dyDescent="0.25">
      <c r="A948" s="14">
        <v>45784</v>
      </c>
      <c r="B948" s="14" t="s">
        <v>47</v>
      </c>
      <c r="C948" s="15">
        <v>7</v>
      </c>
      <c r="D948" s="16"/>
      <c r="E948" s="16"/>
      <c r="F948" s="17"/>
      <c r="G948" s="21"/>
      <c r="H948" s="21"/>
      <c r="I948" s="4">
        <v>0</v>
      </c>
      <c r="J948" s="4">
        <v>0</v>
      </c>
      <c r="K948" s="4"/>
      <c r="L948" s="16"/>
      <c r="M948" s="4"/>
      <c r="N948" s="4"/>
      <c r="O948" s="4"/>
      <c r="P948" s="4"/>
      <c r="Q948" s="4"/>
      <c r="R948" s="4"/>
      <c r="S948" s="4">
        <v>0</v>
      </c>
      <c r="T948" s="4">
        <v>0</v>
      </c>
      <c r="U948" s="4">
        <v>0</v>
      </c>
      <c r="V948" s="4">
        <v>12</v>
      </c>
      <c r="W948" s="4">
        <v>12</v>
      </c>
      <c r="X948" s="4">
        <v>0</v>
      </c>
      <c r="Y948" s="4"/>
      <c r="Z948" s="4">
        <v>414.58499999999998</v>
      </c>
      <c r="AA948" s="4">
        <v>450</v>
      </c>
      <c r="AB948" s="18"/>
      <c r="AC948" s="18">
        <v>19</v>
      </c>
      <c r="AD948" s="28"/>
      <c r="AE948" s="26"/>
      <c r="AF948" s="28"/>
    </row>
    <row r="949" spans="1:32" ht="13.5" customHeight="1" x14ac:dyDescent="0.25">
      <c r="A949" s="14">
        <v>45785</v>
      </c>
      <c r="B949" s="14" t="s">
        <v>46</v>
      </c>
      <c r="C949" s="15">
        <v>1</v>
      </c>
      <c r="D949" s="16">
        <v>5</v>
      </c>
      <c r="E949" s="16"/>
      <c r="F949" s="17"/>
      <c r="G949" s="21"/>
      <c r="H949" s="21"/>
      <c r="I949" s="4">
        <v>5</v>
      </c>
      <c r="J949" s="4">
        <v>8.3333333333333329E-2</v>
      </c>
      <c r="K949" s="4"/>
      <c r="L949" s="16"/>
      <c r="M949" s="4"/>
      <c r="N949" s="4"/>
      <c r="O949" s="4"/>
      <c r="P949" s="4"/>
      <c r="Q949" s="4">
        <v>60</v>
      </c>
      <c r="R949" s="4"/>
      <c r="S949" s="4">
        <v>60</v>
      </c>
      <c r="T949" s="4">
        <v>1</v>
      </c>
      <c r="U949" s="4">
        <v>1.0833333333333333</v>
      </c>
      <c r="V949" s="4">
        <v>10.916666666666666</v>
      </c>
      <c r="W949" s="4">
        <v>12</v>
      </c>
      <c r="X949" s="4">
        <v>0</v>
      </c>
      <c r="Y949" s="4">
        <v>1715</v>
      </c>
      <c r="Z949" s="4">
        <v>180.9</v>
      </c>
      <c r="AA949" s="4">
        <v>200</v>
      </c>
      <c r="AB949" s="18">
        <v>372</v>
      </c>
      <c r="AC949" s="18">
        <v>19</v>
      </c>
      <c r="AD949" s="28"/>
      <c r="AE949" s="26"/>
      <c r="AF949" s="28"/>
    </row>
    <row r="950" spans="1:32" ht="13.5" customHeight="1" x14ac:dyDescent="0.25">
      <c r="A950" s="14">
        <v>45785</v>
      </c>
      <c r="B950" s="14" t="s">
        <v>47</v>
      </c>
      <c r="C950" s="15">
        <v>1</v>
      </c>
      <c r="D950" s="16"/>
      <c r="E950" s="16"/>
      <c r="F950" s="17"/>
      <c r="G950" s="21"/>
      <c r="H950" s="21"/>
      <c r="I950" s="4">
        <v>0</v>
      </c>
      <c r="J950" s="4">
        <v>0</v>
      </c>
      <c r="K950" s="4"/>
      <c r="L950" s="16"/>
      <c r="M950" s="4"/>
      <c r="N950" s="4"/>
      <c r="O950" s="4"/>
      <c r="P950" s="4"/>
      <c r="Q950" s="4"/>
      <c r="R950" s="4"/>
      <c r="S950" s="4">
        <v>0</v>
      </c>
      <c r="T950" s="4">
        <v>0</v>
      </c>
      <c r="U950" s="4">
        <v>0</v>
      </c>
      <c r="V950" s="4">
        <v>12</v>
      </c>
      <c r="W950" s="4">
        <v>12</v>
      </c>
      <c r="X950" s="4">
        <v>0</v>
      </c>
      <c r="Y950" s="4"/>
      <c r="Z950" s="4">
        <v>187.3</v>
      </c>
      <c r="AA950" s="4">
        <v>150</v>
      </c>
      <c r="AB950" s="18"/>
      <c r="AC950" s="18">
        <v>19</v>
      </c>
      <c r="AD950" s="28"/>
      <c r="AE950" s="26"/>
      <c r="AF950" s="28"/>
    </row>
    <row r="951" spans="1:32" ht="13.5" customHeight="1" x14ac:dyDescent="0.25">
      <c r="A951" s="14">
        <v>45785</v>
      </c>
      <c r="B951" s="14" t="s">
        <v>46</v>
      </c>
      <c r="C951" s="15">
        <v>2</v>
      </c>
      <c r="D951" s="16">
        <v>5</v>
      </c>
      <c r="E951" s="16"/>
      <c r="F951" s="17"/>
      <c r="G951" s="21"/>
      <c r="H951" s="21"/>
      <c r="I951" s="4">
        <v>5</v>
      </c>
      <c r="J951" s="4">
        <v>8.3333333333333329E-2</v>
      </c>
      <c r="K951" s="4">
        <v>30</v>
      </c>
      <c r="L951" s="16"/>
      <c r="M951" s="4"/>
      <c r="N951" s="4"/>
      <c r="O951" s="4"/>
      <c r="P951" s="4"/>
      <c r="Q951" s="4"/>
      <c r="R951" s="4"/>
      <c r="S951" s="4">
        <v>30</v>
      </c>
      <c r="T951" s="4">
        <v>0.5</v>
      </c>
      <c r="U951" s="4">
        <v>0.58333333333333337</v>
      </c>
      <c r="V951" s="4">
        <v>11.416666666666666</v>
      </c>
      <c r="W951" s="4">
        <v>12</v>
      </c>
      <c r="X951" s="4">
        <v>0</v>
      </c>
      <c r="Y951" s="4"/>
      <c r="Z951" s="4">
        <v>292.2</v>
      </c>
      <c r="AA951" s="4">
        <v>300</v>
      </c>
      <c r="AB951" s="18"/>
      <c r="AC951" s="18">
        <v>19</v>
      </c>
      <c r="AD951" s="28"/>
      <c r="AE951" s="26"/>
      <c r="AF951" s="28"/>
    </row>
    <row r="952" spans="1:32" ht="13.5" customHeight="1" x14ac:dyDescent="0.25">
      <c r="A952" s="14">
        <v>45785</v>
      </c>
      <c r="B952" s="14" t="s">
        <v>47</v>
      </c>
      <c r="C952" s="15">
        <v>2</v>
      </c>
      <c r="D952" s="16"/>
      <c r="E952" s="16"/>
      <c r="F952" s="17"/>
      <c r="G952" s="21"/>
      <c r="H952" s="21"/>
      <c r="I952" s="4">
        <v>0</v>
      </c>
      <c r="J952" s="4">
        <v>0</v>
      </c>
      <c r="K952" s="4"/>
      <c r="L952" s="16"/>
      <c r="M952" s="4"/>
      <c r="N952" s="4"/>
      <c r="O952" s="4"/>
      <c r="P952" s="4"/>
      <c r="Q952" s="4"/>
      <c r="R952" s="4"/>
      <c r="S952" s="4">
        <v>0</v>
      </c>
      <c r="T952" s="4">
        <v>0</v>
      </c>
      <c r="U952" s="4">
        <v>0</v>
      </c>
      <c r="V952" s="4">
        <v>12</v>
      </c>
      <c r="W952" s="4">
        <v>12</v>
      </c>
      <c r="X952" s="4">
        <v>0</v>
      </c>
      <c r="Y952" s="4"/>
      <c r="Z952" s="4">
        <v>276.2</v>
      </c>
      <c r="AA952" s="4">
        <v>300</v>
      </c>
      <c r="AB952" s="18"/>
      <c r="AC952" s="18">
        <v>19</v>
      </c>
      <c r="AD952" s="28"/>
      <c r="AE952" s="26"/>
      <c r="AF952" s="28"/>
    </row>
    <row r="953" spans="1:32" ht="13.5" customHeight="1" x14ac:dyDescent="0.25">
      <c r="A953" s="14">
        <v>45785</v>
      </c>
      <c r="B953" s="14" t="s">
        <v>46</v>
      </c>
      <c r="C953" s="15">
        <v>6</v>
      </c>
      <c r="D953" s="16">
        <v>60</v>
      </c>
      <c r="E953" s="16"/>
      <c r="F953" s="17"/>
      <c r="G953" s="21"/>
      <c r="H953" s="21"/>
      <c r="I953" s="4">
        <v>60</v>
      </c>
      <c r="J953" s="4">
        <v>1</v>
      </c>
      <c r="K953" s="4"/>
      <c r="L953" s="16"/>
      <c r="M953" s="4"/>
      <c r="N953" s="4"/>
      <c r="O953" s="4"/>
      <c r="P953" s="4"/>
      <c r="Q953" s="4"/>
      <c r="R953" s="4"/>
      <c r="S953" s="4">
        <v>0</v>
      </c>
      <c r="T953" s="4">
        <v>0</v>
      </c>
      <c r="U953" s="4">
        <v>1</v>
      </c>
      <c r="V953" s="4">
        <v>11</v>
      </c>
      <c r="W953" s="4">
        <v>12</v>
      </c>
      <c r="X953" s="4">
        <v>36</v>
      </c>
      <c r="Y953" s="4"/>
      <c r="Z953" s="4">
        <v>504.79999999999995</v>
      </c>
      <c r="AA953" s="4">
        <v>500</v>
      </c>
      <c r="AB953" s="18"/>
      <c r="AC953" s="18">
        <v>19</v>
      </c>
      <c r="AD953" s="28"/>
      <c r="AE953" s="26"/>
      <c r="AF953" s="28"/>
    </row>
    <row r="954" spans="1:32" ht="13.5" customHeight="1" x14ac:dyDescent="0.25">
      <c r="A954" s="14">
        <v>45785</v>
      </c>
      <c r="B954" s="14" t="s">
        <v>47</v>
      </c>
      <c r="C954" s="15">
        <v>6</v>
      </c>
      <c r="D954" s="16">
        <v>25</v>
      </c>
      <c r="E954" s="16"/>
      <c r="F954" s="17"/>
      <c r="G954" s="21"/>
      <c r="H954" s="21"/>
      <c r="I954" s="4">
        <v>25</v>
      </c>
      <c r="J954" s="4">
        <v>0.41666666666666669</v>
      </c>
      <c r="K954" s="4"/>
      <c r="L954" s="16"/>
      <c r="M954" s="4"/>
      <c r="N954" s="4">
        <v>10</v>
      </c>
      <c r="O954" s="4"/>
      <c r="P954" s="4"/>
      <c r="Q954" s="4"/>
      <c r="R954" s="4"/>
      <c r="S954" s="4">
        <v>10</v>
      </c>
      <c r="T954" s="4">
        <v>0.16666666666666666</v>
      </c>
      <c r="U954" s="4">
        <v>0.58333333333333337</v>
      </c>
      <c r="V954" s="4">
        <v>11.416666666666666</v>
      </c>
      <c r="W954" s="4">
        <v>12</v>
      </c>
      <c r="X954" s="4">
        <v>94</v>
      </c>
      <c r="Y954" s="4"/>
      <c r="Z954" s="4">
        <v>583.79999999999995</v>
      </c>
      <c r="AA954" s="4">
        <v>600</v>
      </c>
      <c r="AB954" s="18"/>
      <c r="AC954" s="18">
        <v>19</v>
      </c>
      <c r="AD954" s="28"/>
      <c r="AE954" s="26"/>
      <c r="AF954" s="28"/>
    </row>
    <row r="955" spans="1:32" ht="13.5" customHeight="1" x14ac:dyDescent="0.25">
      <c r="A955" s="14">
        <v>45785</v>
      </c>
      <c r="B955" s="14" t="s">
        <v>46</v>
      </c>
      <c r="C955" s="15">
        <v>7</v>
      </c>
      <c r="D955" s="16">
        <v>5</v>
      </c>
      <c r="E955" s="16"/>
      <c r="F955" s="17"/>
      <c r="G955" s="21"/>
      <c r="H955" s="21"/>
      <c r="I955" s="4">
        <v>5</v>
      </c>
      <c r="J955" s="4">
        <v>8.3333333333333329E-2</v>
      </c>
      <c r="K955" s="4"/>
      <c r="L955" s="16"/>
      <c r="M955" s="4"/>
      <c r="N955" s="4"/>
      <c r="O955" s="4"/>
      <c r="P955" s="4"/>
      <c r="Q955" s="4"/>
      <c r="R955" s="4"/>
      <c r="S955" s="4">
        <v>0</v>
      </c>
      <c r="T955" s="4">
        <v>0</v>
      </c>
      <c r="U955" s="4">
        <v>8.3333333333333329E-2</v>
      </c>
      <c r="V955" s="4">
        <v>11.916666666666666</v>
      </c>
      <c r="W955" s="4">
        <v>12</v>
      </c>
      <c r="X955" s="4">
        <v>0</v>
      </c>
      <c r="Y955" s="4"/>
      <c r="Z955" s="4">
        <v>469.70000000000005</v>
      </c>
      <c r="AA955" s="4">
        <v>450</v>
      </c>
      <c r="AB955" s="18"/>
      <c r="AC955" s="18">
        <v>19</v>
      </c>
      <c r="AD955" s="28"/>
      <c r="AE955" s="26"/>
      <c r="AF955" s="28"/>
    </row>
    <row r="956" spans="1:32" ht="13.5" customHeight="1" x14ac:dyDescent="0.25">
      <c r="A956" s="14">
        <v>45785</v>
      </c>
      <c r="B956" s="14" t="s">
        <v>47</v>
      </c>
      <c r="C956" s="15">
        <v>7</v>
      </c>
      <c r="D956" s="16"/>
      <c r="E956" s="16"/>
      <c r="F956" s="17"/>
      <c r="G956" s="21"/>
      <c r="H956" s="21"/>
      <c r="I956" s="4">
        <v>0</v>
      </c>
      <c r="J956" s="4">
        <v>0</v>
      </c>
      <c r="K956" s="4"/>
      <c r="L956" s="16"/>
      <c r="M956" s="4"/>
      <c r="N956" s="4"/>
      <c r="O956" s="4"/>
      <c r="P956" s="4"/>
      <c r="Q956" s="4"/>
      <c r="R956" s="4"/>
      <c r="S956" s="4">
        <v>0</v>
      </c>
      <c r="T956" s="4">
        <v>0</v>
      </c>
      <c r="U956" s="4">
        <v>0</v>
      </c>
      <c r="V956" s="4">
        <v>12</v>
      </c>
      <c r="W956" s="4">
        <v>12</v>
      </c>
      <c r="X956" s="4">
        <v>0</v>
      </c>
      <c r="Y956" s="4"/>
      <c r="Z956" s="4">
        <v>370.75</v>
      </c>
      <c r="AA956" s="4">
        <v>400</v>
      </c>
      <c r="AB956" s="18"/>
      <c r="AC956" s="18">
        <v>19</v>
      </c>
      <c r="AD956" s="28"/>
      <c r="AE956" s="26"/>
      <c r="AF956" s="28"/>
    </row>
    <row r="957" spans="1:32" ht="13.5" customHeight="1" x14ac:dyDescent="0.25">
      <c r="A957" s="14">
        <v>45786</v>
      </c>
      <c r="B957" s="14" t="s">
        <v>46</v>
      </c>
      <c r="C957" s="15">
        <v>1</v>
      </c>
      <c r="D957" s="16">
        <v>3</v>
      </c>
      <c r="E957" s="16"/>
      <c r="F957" s="17"/>
      <c r="G957" s="21"/>
      <c r="H957" s="21"/>
      <c r="I957" s="4">
        <v>3</v>
      </c>
      <c r="J957" s="4">
        <v>0.05</v>
      </c>
      <c r="K957" s="4"/>
      <c r="L957" s="16"/>
      <c r="M957" s="4"/>
      <c r="N957" s="4"/>
      <c r="O957" s="4"/>
      <c r="P957" s="4"/>
      <c r="Q957" s="4"/>
      <c r="R957" s="4"/>
      <c r="S957" s="4">
        <v>0</v>
      </c>
      <c r="T957" s="4">
        <v>0</v>
      </c>
      <c r="U957" s="4">
        <v>0.05</v>
      </c>
      <c r="V957" s="4">
        <v>11.95</v>
      </c>
      <c r="W957" s="4">
        <v>12</v>
      </c>
      <c r="X957" s="4">
        <v>0</v>
      </c>
      <c r="Y957" s="4">
        <v>2045</v>
      </c>
      <c r="Z957" s="4">
        <v>148.88999999999999</v>
      </c>
      <c r="AA957" s="4">
        <v>150</v>
      </c>
      <c r="AB957" s="18">
        <v>372</v>
      </c>
      <c r="AC957" s="18">
        <v>19</v>
      </c>
      <c r="AD957" s="28"/>
      <c r="AE957" s="26"/>
      <c r="AF957" s="28"/>
    </row>
    <row r="958" spans="1:32" ht="13.5" customHeight="1" x14ac:dyDescent="0.25">
      <c r="A958" s="14">
        <v>45786</v>
      </c>
      <c r="B958" s="14" t="s">
        <v>47</v>
      </c>
      <c r="C958" s="15">
        <v>1</v>
      </c>
      <c r="D958" s="16"/>
      <c r="E958" s="16"/>
      <c r="F958" s="17"/>
      <c r="G958" s="21"/>
      <c r="H958" s="21"/>
      <c r="I958" s="4">
        <v>0</v>
      </c>
      <c r="J958" s="4">
        <v>0</v>
      </c>
      <c r="K958" s="4"/>
      <c r="L958" s="16"/>
      <c r="M958" s="4"/>
      <c r="N958" s="4"/>
      <c r="O958" s="4"/>
      <c r="P958" s="4"/>
      <c r="Q958" s="4"/>
      <c r="R958" s="4"/>
      <c r="S958" s="4">
        <v>0</v>
      </c>
      <c r="T958" s="4">
        <v>0</v>
      </c>
      <c r="U958" s="4">
        <v>0</v>
      </c>
      <c r="V958" s="4">
        <v>12</v>
      </c>
      <c r="W958" s="4">
        <v>12</v>
      </c>
      <c r="X958" s="4">
        <v>0</v>
      </c>
      <c r="Y958" s="4"/>
      <c r="Z958" s="4">
        <v>145.29000000000002</v>
      </c>
      <c r="AA958" s="4">
        <v>150</v>
      </c>
      <c r="AB958" s="18"/>
      <c r="AC958" s="18">
        <v>19</v>
      </c>
      <c r="AD958" s="28"/>
      <c r="AE958" s="26"/>
      <c r="AF958" s="28"/>
    </row>
    <row r="959" spans="1:32" ht="13.5" customHeight="1" x14ac:dyDescent="0.25">
      <c r="A959" s="14">
        <v>45786</v>
      </c>
      <c r="B959" s="14" t="s">
        <v>46</v>
      </c>
      <c r="C959" s="15">
        <v>2</v>
      </c>
      <c r="D959" s="16"/>
      <c r="E959" s="16"/>
      <c r="F959" s="17"/>
      <c r="G959" s="21"/>
      <c r="H959" s="21"/>
      <c r="I959" s="4">
        <v>0</v>
      </c>
      <c r="J959" s="4">
        <v>0</v>
      </c>
      <c r="K959" s="4"/>
      <c r="L959" s="16"/>
      <c r="M959" s="4"/>
      <c r="N959" s="4"/>
      <c r="O959" s="4"/>
      <c r="P959" s="4"/>
      <c r="Q959" s="4"/>
      <c r="R959" s="4"/>
      <c r="S959" s="4">
        <v>0</v>
      </c>
      <c r="T959" s="4">
        <v>0</v>
      </c>
      <c r="U959" s="4">
        <v>0</v>
      </c>
      <c r="V959" s="4">
        <v>12</v>
      </c>
      <c r="W959" s="4">
        <v>12</v>
      </c>
      <c r="X959" s="4">
        <v>0</v>
      </c>
      <c r="Y959" s="4"/>
      <c r="Z959" s="4">
        <v>355.44</v>
      </c>
      <c r="AA959" s="4">
        <v>350</v>
      </c>
      <c r="AB959" s="18"/>
      <c r="AC959" s="18">
        <v>19</v>
      </c>
      <c r="AD959" s="28"/>
      <c r="AE959" s="26"/>
      <c r="AF959" s="28"/>
    </row>
    <row r="960" spans="1:32" ht="13.5" customHeight="1" x14ac:dyDescent="0.25">
      <c r="A960" s="14">
        <v>45786</v>
      </c>
      <c r="B960" s="14" t="s">
        <v>47</v>
      </c>
      <c r="C960" s="15">
        <v>2</v>
      </c>
      <c r="D960" s="16"/>
      <c r="E960" s="16"/>
      <c r="F960" s="17"/>
      <c r="G960" s="21"/>
      <c r="H960" s="21"/>
      <c r="I960" s="4">
        <v>0</v>
      </c>
      <c r="J960" s="4">
        <v>0</v>
      </c>
      <c r="K960" s="4"/>
      <c r="L960" s="16"/>
      <c r="M960" s="4"/>
      <c r="N960" s="4"/>
      <c r="O960" s="4"/>
      <c r="P960" s="4"/>
      <c r="Q960" s="4"/>
      <c r="R960" s="4"/>
      <c r="S960" s="4">
        <v>0</v>
      </c>
      <c r="T960" s="4">
        <v>0</v>
      </c>
      <c r="U960" s="4">
        <v>0</v>
      </c>
      <c r="V960" s="4">
        <v>12</v>
      </c>
      <c r="W960" s="4">
        <v>12</v>
      </c>
      <c r="X960" s="4">
        <v>0</v>
      </c>
      <c r="Y960" s="4"/>
      <c r="Z960" s="4">
        <v>285</v>
      </c>
      <c r="AA960" s="4">
        <v>300</v>
      </c>
      <c r="AB960" s="18"/>
      <c r="AC960" s="18">
        <v>19</v>
      </c>
      <c r="AD960" s="28"/>
      <c r="AE960" s="26"/>
      <c r="AF960" s="28"/>
    </row>
    <row r="961" spans="1:32" ht="13.5" customHeight="1" x14ac:dyDescent="0.25">
      <c r="A961" s="14">
        <v>45786</v>
      </c>
      <c r="B961" s="14" t="s">
        <v>46</v>
      </c>
      <c r="C961" s="15">
        <v>3</v>
      </c>
      <c r="D961" s="16"/>
      <c r="E961" s="16"/>
      <c r="F961" s="17"/>
      <c r="G961" s="21"/>
      <c r="H961" s="21"/>
      <c r="I961" s="4">
        <v>0</v>
      </c>
      <c r="J961" s="4">
        <v>0</v>
      </c>
      <c r="K961" s="4"/>
      <c r="L961" s="16"/>
      <c r="M961" s="4"/>
      <c r="N961" s="4"/>
      <c r="O961" s="4"/>
      <c r="P961" s="4">
        <v>50</v>
      </c>
      <c r="Q961" s="4"/>
      <c r="R961" s="4"/>
      <c r="S961" s="4">
        <v>50</v>
      </c>
      <c r="T961" s="4">
        <v>0.83333333333333337</v>
      </c>
      <c r="U961" s="4">
        <v>0.83333333333333337</v>
      </c>
      <c r="V961" s="4">
        <v>11.166666666666666</v>
      </c>
      <c r="W961" s="4">
        <v>12</v>
      </c>
      <c r="X961" s="4">
        <v>0</v>
      </c>
      <c r="Y961" s="4"/>
      <c r="Z961" s="4">
        <v>67.199999999999989</v>
      </c>
      <c r="AA961" s="4">
        <v>50</v>
      </c>
      <c r="AB961" s="18"/>
      <c r="AC961" s="18">
        <v>19</v>
      </c>
      <c r="AD961" s="28"/>
      <c r="AE961" s="26"/>
      <c r="AF961" s="28"/>
    </row>
    <row r="962" spans="1:32" ht="13.5" customHeight="1" x14ac:dyDescent="0.25">
      <c r="A962" s="14">
        <v>45786</v>
      </c>
      <c r="B962" s="14" t="s">
        <v>47</v>
      </c>
      <c r="C962" s="15">
        <v>3</v>
      </c>
      <c r="D962" s="16"/>
      <c r="E962" s="16"/>
      <c r="F962" s="17"/>
      <c r="G962" s="21"/>
      <c r="H962" s="21"/>
      <c r="I962" s="4">
        <v>0</v>
      </c>
      <c r="J962" s="4">
        <v>0</v>
      </c>
      <c r="K962" s="4"/>
      <c r="L962" s="16"/>
      <c r="M962" s="4"/>
      <c r="N962" s="4"/>
      <c r="O962" s="4"/>
      <c r="P962" s="4"/>
      <c r="Q962" s="4">
        <v>40</v>
      </c>
      <c r="R962" s="4"/>
      <c r="S962" s="4">
        <v>40</v>
      </c>
      <c r="T962" s="4">
        <v>0.66666666666666663</v>
      </c>
      <c r="U962" s="4">
        <v>0.66666666666666663</v>
      </c>
      <c r="V962" s="4">
        <v>11.333333333333334</v>
      </c>
      <c r="W962" s="4">
        <v>12</v>
      </c>
      <c r="X962" s="4">
        <v>0</v>
      </c>
      <c r="Y962" s="4"/>
      <c r="Z962" s="4">
        <v>327.80000000000007</v>
      </c>
      <c r="AA962" s="4">
        <v>350</v>
      </c>
      <c r="AB962" s="18"/>
      <c r="AC962" s="18">
        <v>19</v>
      </c>
      <c r="AD962" s="28"/>
      <c r="AE962" s="26"/>
      <c r="AF962" s="28"/>
    </row>
    <row r="963" spans="1:32" ht="13.5" customHeight="1" x14ac:dyDescent="0.25">
      <c r="A963" s="14">
        <v>45786</v>
      </c>
      <c r="B963" s="14" t="s">
        <v>46</v>
      </c>
      <c r="C963" s="15">
        <v>6</v>
      </c>
      <c r="D963" s="16">
        <v>8</v>
      </c>
      <c r="E963" s="16"/>
      <c r="F963" s="17"/>
      <c r="G963" s="21"/>
      <c r="H963" s="21"/>
      <c r="I963" s="4">
        <v>8</v>
      </c>
      <c r="J963" s="4">
        <v>0.13333333333333333</v>
      </c>
      <c r="K963" s="4"/>
      <c r="L963" s="16"/>
      <c r="M963" s="4"/>
      <c r="N963" s="4">
        <v>20</v>
      </c>
      <c r="O963" s="4"/>
      <c r="P963" s="4"/>
      <c r="Q963" s="4"/>
      <c r="R963" s="4"/>
      <c r="S963" s="4">
        <v>20</v>
      </c>
      <c r="T963" s="4">
        <v>0.33333333333333331</v>
      </c>
      <c r="U963" s="4">
        <v>0.46666666666666667</v>
      </c>
      <c r="V963" s="4">
        <v>11.533333333333333</v>
      </c>
      <c r="W963" s="4">
        <v>12</v>
      </c>
      <c r="X963" s="4">
        <v>45</v>
      </c>
      <c r="Y963" s="4"/>
      <c r="Z963" s="4">
        <v>800.4799999999999</v>
      </c>
      <c r="AA963" s="4">
        <v>800</v>
      </c>
      <c r="AB963" s="18"/>
      <c r="AC963" s="18">
        <v>19</v>
      </c>
      <c r="AD963" s="28"/>
      <c r="AE963" s="26"/>
      <c r="AF963" s="28"/>
    </row>
    <row r="964" spans="1:32" ht="13.5" customHeight="1" x14ac:dyDescent="0.25">
      <c r="A964" s="14">
        <v>45786</v>
      </c>
      <c r="B964" s="14" t="s">
        <v>47</v>
      </c>
      <c r="C964" s="15">
        <v>6</v>
      </c>
      <c r="D964" s="16"/>
      <c r="E964" s="16"/>
      <c r="F964" s="17"/>
      <c r="G964" s="21"/>
      <c r="H964" s="21"/>
      <c r="I964" s="4">
        <v>0</v>
      </c>
      <c r="J964" s="4">
        <v>0</v>
      </c>
      <c r="K964" s="4"/>
      <c r="L964" s="16"/>
      <c r="M964" s="4"/>
      <c r="N964" s="4"/>
      <c r="O964" s="4"/>
      <c r="P964" s="4"/>
      <c r="Q964" s="4"/>
      <c r="R964" s="4"/>
      <c r="S964" s="4">
        <v>0</v>
      </c>
      <c r="T964" s="4">
        <v>0</v>
      </c>
      <c r="U964" s="4">
        <v>0</v>
      </c>
      <c r="V964" s="4">
        <v>12</v>
      </c>
      <c r="W964" s="4">
        <v>12</v>
      </c>
      <c r="X964" s="4">
        <v>100</v>
      </c>
      <c r="Y964" s="4"/>
      <c r="Z964" s="4">
        <v>650.19999999999993</v>
      </c>
      <c r="AA964" s="4">
        <v>650</v>
      </c>
      <c r="AB964" s="18"/>
      <c r="AC964" s="18">
        <v>19</v>
      </c>
      <c r="AD964" s="28"/>
      <c r="AE964" s="26"/>
      <c r="AF964" s="28"/>
    </row>
    <row r="965" spans="1:32" ht="13.5" customHeight="1" x14ac:dyDescent="0.25">
      <c r="A965" s="14">
        <v>45786</v>
      </c>
      <c r="B965" s="14" t="s">
        <v>46</v>
      </c>
      <c r="C965" s="15">
        <v>7</v>
      </c>
      <c r="D965" s="16">
        <v>5</v>
      </c>
      <c r="E965" s="16"/>
      <c r="F965" s="17"/>
      <c r="G965" s="21"/>
      <c r="H965" s="21"/>
      <c r="I965" s="4">
        <v>5</v>
      </c>
      <c r="J965" s="4">
        <v>8.3333333333333329E-2</v>
      </c>
      <c r="K965" s="4"/>
      <c r="L965" s="16"/>
      <c r="M965" s="4"/>
      <c r="N965" s="4"/>
      <c r="O965" s="4"/>
      <c r="P965" s="4"/>
      <c r="Q965" s="4"/>
      <c r="R965" s="4"/>
      <c r="S965" s="4">
        <v>0</v>
      </c>
      <c r="T965" s="4">
        <v>0</v>
      </c>
      <c r="U965" s="4">
        <v>8.3333333333333329E-2</v>
      </c>
      <c r="V965" s="4">
        <v>11.916666666666666</v>
      </c>
      <c r="W965" s="4">
        <v>12</v>
      </c>
      <c r="X965" s="4">
        <v>0</v>
      </c>
      <c r="Y965" s="4"/>
      <c r="Z965" s="4">
        <v>592.70000000000005</v>
      </c>
      <c r="AA965" s="4">
        <v>600</v>
      </c>
      <c r="AB965" s="18"/>
      <c r="AC965" s="18">
        <v>19</v>
      </c>
      <c r="AD965" s="28"/>
      <c r="AE965" s="26"/>
      <c r="AF965" s="28"/>
    </row>
    <row r="966" spans="1:32" ht="13.5" customHeight="1" x14ac:dyDescent="0.25">
      <c r="A966" s="14">
        <v>45786</v>
      </c>
      <c r="B966" s="14" t="s">
        <v>47</v>
      </c>
      <c r="C966" s="15">
        <v>7</v>
      </c>
      <c r="D966" s="16"/>
      <c r="E966" s="16"/>
      <c r="F966" s="17"/>
      <c r="G966" s="21"/>
      <c r="H966" s="21"/>
      <c r="I966" s="4">
        <v>0</v>
      </c>
      <c r="J966" s="4">
        <v>0</v>
      </c>
      <c r="K966" s="4"/>
      <c r="L966" s="16"/>
      <c r="M966" s="4"/>
      <c r="N966" s="4"/>
      <c r="O966" s="4"/>
      <c r="P966" s="4"/>
      <c r="Q966" s="4"/>
      <c r="R966" s="4"/>
      <c r="S966" s="4">
        <v>0</v>
      </c>
      <c r="T966" s="4">
        <v>0</v>
      </c>
      <c r="U966" s="4">
        <v>0</v>
      </c>
      <c r="V966" s="4">
        <v>12</v>
      </c>
      <c r="W966" s="4">
        <v>12</v>
      </c>
      <c r="X966" s="4">
        <v>0</v>
      </c>
      <c r="Y966" s="4"/>
      <c r="Z966" s="4">
        <v>573.4899999999999</v>
      </c>
      <c r="AA966" s="4">
        <v>600</v>
      </c>
      <c r="AB966" s="18"/>
      <c r="AC966" s="18">
        <v>19</v>
      </c>
      <c r="AD966" s="28"/>
      <c r="AE966" s="26"/>
      <c r="AF966" s="28"/>
    </row>
    <row r="967" spans="1:32" ht="13.5" customHeight="1" x14ac:dyDescent="0.25">
      <c r="A967" s="14">
        <v>45787</v>
      </c>
      <c r="B967" s="14" t="s">
        <v>46</v>
      </c>
      <c r="C967" s="15">
        <v>1</v>
      </c>
      <c r="D967" s="16"/>
      <c r="E967" s="16"/>
      <c r="F967" s="17"/>
      <c r="G967" s="21"/>
      <c r="H967" s="21"/>
      <c r="I967" s="4">
        <v>0</v>
      </c>
      <c r="J967" s="4">
        <v>0</v>
      </c>
      <c r="K967" s="4"/>
      <c r="L967" s="16"/>
      <c r="M967" s="4"/>
      <c r="N967" s="4"/>
      <c r="O967" s="4"/>
      <c r="P967" s="4"/>
      <c r="Q967" s="4"/>
      <c r="R967" s="4"/>
      <c r="S967" s="4">
        <v>0</v>
      </c>
      <c r="T967" s="4">
        <v>0</v>
      </c>
      <c r="U967" s="4">
        <v>0</v>
      </c>
      <c r="V967" s="4">
        <v>12</v>
      </c>
      <c r="W967" s="4">
        <v>12</v>
      </c>
      <c r="X967" s="4">
        <v>0</v>
      </c>
      <c r="Y967" s="4">
        <v>2161</v>
      </c>
      <c r="Z967" s="4">
        <v>209.76999999999998</v>
      </c>
      <c r="AA967" s="4">
        <v>200</v>
      </c>
      <c r="AB967" s="18">
        <v>372</v>
      </c>
      <c r="AC967" s="18">
        <v>19</v>
      </c>
      <c r="AD967" s="28"/>
      <c r="AE967" s="26"/>
      <c r="AF967" s="28"/>
    </row>
    <row r="968" spans="1:32" ht="13.5" customHeight="1" x14ac:dyDescent="0.25">
      <c r="A968" s="14">
        <v>45787</v>
      </c>
      <c r="B968" s="14" t="s">
        <v>47</v>
      </c>
      <c r="C968" s="15">
        <v>1</v>
      </c>
      <c r="D968" s="16"/>
      <c r="E968" s="16"/>
      <c r="F968" s="17"/>
      <c r="G968" s="21"/>
      <c r="H968" s="21"/>
      <c r="I968" s="4">
        <v>0</v>
      </c>
      <c r="J968" s="4">
        <v>0</v>
      </c>
      <c r="K968" s="4"/>
      <c r="L968" s="16"/>
      <c r="M968" s="4"/>
      <c r="N968" s="4"/>
      <c r="O968" s="4"/>
      <c r="P968" s="4"/>
      <c r="Q968" s="4"/>
      <c r="R968" s="4"/>
      <c r="S968" s="4">
        <v>0</v>
      </c>
      <c r="T968" s="4">
        <v>0</v>
      </c>
      <c r="U968" s="4">
        <v>0</v>
      </c>
      <c r="V968" s="4">
        <v>12</v>
      </c>
      <c r="W968" s="4">
        <v>12</v>
      </c>
      <c r="X968" s="4">
        <v>0</v>
      </c>
      <c r="Y968" s="4"/>
      <c r="Z968" s="4">
        <v>137.61000000000001</v>
      </c>
      <c r="AA968" s="4">
        <v>150</v>
      </c>
      <c r="AB968" s="18"/>
      <c r="AC968" s="18">
        <v>19</v>
      </c>
      <c r="AD968" s="28"/>
      <c r="AE968" s="26"/>
      <c r="AF968" s="28"/>
    </row>
    <row r="969" spans="1:32" ht="13.5" customHeight="1" x14ac:dyDescent="0.25">
      <c r="A969" s="14">
        <v>45787</v>
      </c>
      <c r="B969" s="14" t="s">
        <v>46</v>
      </c>
      <c r="C969" s="15">
        <v>2</v>
      </c>
      <c r="D969" s="16">
        <v>2</v>
      </c>
      <c r="E969" s="16"/>
      <c r="F969" s="17"/>
      <c r="G969" s="21"/>
      <c r="H969" s="21"/>
      <c r="I969" s="4">
        <v>2</v>
      </c>
      <c r="J969" s="4">
        <v>3.3333333333333333E-2</v>
      </c>
      <c r="K969" s="4"/>
      <c r="L969" s="16"/>
      <c r="M969" s="4"/>
      <c r="N969" s="4"/>
      <c r="O969" s="4"/>
      <c r="P969" s="4"/>
      <c r="Q969" s="4"/>
      <c r="R969" s="4"/>
      <c r="S969" s="4">
        <v>0</v>
      </c>
      <c r="T969" s="4">
        <v>0</v>
      </c>
      <c r="U969" s="4">
        <v>3.3333333333333333E-2</v>
      </c>
      <c r="V969" s="4">
        <v>11.966666666666667</v>
      </c>
      <c r="W969" s="4">
        <v>12</v>
      </c>
      <c r="X969" s="4">
        <v>0</v>
      </c>
      <c r="Y969" s="4"/>
      <c r="Z969" s="4">
        <v>280.99</v>
      </c>
      <c r="AA969" s="4">
        <v>300</v>
      </c>
      <c r="AB969" s="18"/>
      <c r="AC969" s="18">
        <v>19</v>
      </c>
      <c r="AD969" s="28"/>
      <c r="AE969" s="26"/>
      <c r="AF969" s="28"/>
    </row>
    <row r="970" spans="1:32" ht="13.5" customHeight="1" x14ac:dyDescent="0.25">
      <c r="A970" s="14">
        <v>45787</v>
      </c>
      <c r="B970" s="14" t="s">
        <v>47</v>
      </c>
      <c r="C970" s="15">
        <v>2</v>
      </c>
      <c r="D970" s="16"/>
      <c r="E970" s="16"/>
      <c r="F970" s="17"/>
      <c r="G970" s="21"/>
      <c r="H970" s="21"/>
      <c r="I970" s="4">
        <v>0</v>
      </c>
      <c r="J970" s="4">
        <v>0</v>
      </c>
      <c r="K970" s="4"/>
      <c r="L970" s="16"/>
      <c r="M970" s="4"/>
      <c r="N970" s="4"/>
      <c r="O970" s="4"/>
      <c r="P970" s="4"/>
      <c r="Q970" s="4"/>
      <c r="R970" s="4"/>
      <c r="S970" s="4">
        <v>0</v>
      </c>
      <c r="T970" s="4">
        <v>0</v>
      </c>
      <c r="U970" s="4">
        <v>0</v>
      </c>
      <c r="V970" s="4">
        <v>12</v>
      </c>
      <c r="W970" s="4">
        <v>12</v>
      </c>
      <c r="X970" s="4">
        <v>0</v>
      </c>
      <c r="Y970" s="4"/>
      <c r="Z970" s="4">
        <v>228.12</v>
      </c>
      <c r="AA970" s="4">
        <v>200</v>
      </c>
      <c r="AB970" s="18"/>
      <c r="AC970" s="18">
        <v>19</v>
      </c>
      <c r="AD970" s="28"/>
      <c r="AE970" s="26"/>
      <c r="AF970" s="28"/>
    </row>
    <row r="971" spans="1:32" ht="13.5" customHeight="1" x14ac:dyDescent="0.25">
      <c r="A971" s="14">
        <v>45787</v>
      </c>
      <c r="B971" s="14" t="s">
        <v>46</v>
      </c>
      <c r="C971" s="15">
        <v>3</v>
      </c>
      <c r="D971" s="16">
        <v>3</v>
      </c>
      <c r="E971" s="16"/>
      <c r="F971" s="17"/>
      <c r="G971" s="21"/>
      <c r="H971" s="21"/>
      <c r="I971" s="4">
        <v>3</v>
      </c>
      <c r="J971" s="4">
        <v>0.05</v>
      </c>
      <c r="K971" s="4"/>
      <c r="L971" s="16"/>
      <c r="M971" s="4"/>
      <c r="N971" s="4"/>
      <c r="O971" s="4"/>
      <c r="P971" s="4"/>
      <c r="Q971" s="4"/>
      <c r="R971" s="4"/>
      <c r="S971" s="4">
        <v>0</v>
      </c>
      <c r="T971" s="4">
        <v>0</v>
      </c>
      <c r="U971" s="4">
        <v>0.05</v>
      </c>
      <c r="V971" s="4">
        <v>11.95</v>
      </c>
      <c r="W971" s="4">
        <v>12</v>
      </c>
      <c r="X971" s="4">
        <v>0</v>
      </c>
      <c r="Y971" s="4"/>
      <c r="Z971" s="4">
        <v>351.20000000000005</v>
      </c>
      <c r="AA971" s="4">
        <v>350</v>
      </c>
      <c r="AB971" s="18"/>
      <c r="AC971" s="18">
        <v>19</v>
      </c>
      <c r="AD971" s="28"/>
      <c r="AE971" s="26"/>
      <c r="AF971" s="28"/>
    </row>
    <row r="972" spans="1:32" ht="13.5" customHeight="1" x14ac:dyDescent="0.25">
      <c r="A972" s="14">
        <v>45787</v>
      </c>
      <c r="B972" s="14" t="s">
        <v>47</v>
      </c>
      <c r="C972" s="15">
        <v>3</v>
      </c>
      <c r="D972" s="16"/>
      <c r="E972" s="16"/>
      <c r="F972" s="17"/>
      <c r="G972" s="21"/>
      <c r="H972" s="21"/>
      <c r="I972" s="4">
        <v>0</v>
      </c>
      <c r="J972" s="4">
        <v>0</v>
      </c>
      <c r="K972" s="4"/>
      <c r="L972" s="16"/>
      <c r="M972" s="4"/>
      <c r="N972" s="4"/>
      <c r="O972" s="4"/>
      <c r="P972" s="4"/>
      <c r="Q972" s="4"/>
      <c r="R972" s="4"/>
      <c r="S972" s="4">
        <v>0</v>
      </c>
      <c r="T972" s="4">
        <v>0</v>
      </c>
      <c r="U972" s="4">
        <v>0</v>
      </c>
      <c r="V972" s="4">
        <v>12</v>
      </c>
      <c r="W972" s="4">
        <v>12</v>
      </c>
      <c r="X972" s="4">
        <v>0</v>
      </c>
      <c r="Y972" s="4"/>
      <c r="Z972" s="4">
        <v>415.3</v>
      </c>
      <c r="AA972" s="4">
        <v>400</v>
      </c>
      <c r="AB972" s="18"/>
      <c r="AC972" s="18">
        <v>19</v>
      </c>
      <c r="AD972" s="28"/>
      <c r="AE972" s="26"/>
      <c r="AF972" s="28"/>
    </row>
    <row r="973" spans="1:32" ht="13.5" customHeight="1" x14ac:dyDescent="0.25">
      <c r="A973" s="14">
        <v>45787</v>
      </c>
      <c r="B973" s="14" t="s">
        <v>46</v>
      </c>
      <c r="C973" s="15">
        <v>6</v>
      </c>
      <c r="D973" s="16">
        <v>17</v>
      </c>
      <c r="E973" s="16"/>
      <c r="F973" s="17"/>
      <c r="G973" s="21"/>
      <c r="H973" s="21"/>
      <c r="I973" s="4">
        <v>17</v>
      </c>
      <c r="J973" s="4">
        <v>0.28333333333333333</v>
      </c>
      <c r="K973" s="4"/>
      <c r="L973" s="16"/>
      <c r="M973" s="4"/>
      <c r="N973" s="4"/>
      <c r="O973" s="4"/>
      <c r="P973" s="4">
        <v>35</v>
      </c>
      <c r="Q973" s="4"/>
      <c r="R973" s="4"/>
      <c r="S973" s="4">
        <v>35</v>
      </c>
      <c r="T973" s="4">
        <v>0.58333333333333337</v>
      </c>
      <c r="U973" s="4">
        <v>0.8666666666666667</v>
      </c>
      <c r="V973" s="4">
        <v>11.133333333333333</v>
      </c>
      <c r="W973" s="4">
        <v>12</v>
      </c>
      <c r="X973" s="4">
        <v>50</v>
      </c>
      <c r="Y973" s="4"/>
      <c r="Z973" s="4">
        <v>286</v>
      </c>
      <c r="AA973" s="4">
        <v>300</v>
      </c>
      <c r="AB973" s="18"/>
      <c r="AC973" s="18">
        <v>19</v>
      </c>
      <c r="AD973" s="28"/>
      <c r="AE973" s="26"/>
      <c r="AF973" s="28"/>
    </row>
    <row r="974" spans="1:32" ht="13.5" customHeight="1" x14ac:dyDescent="0.25">
      <c r="A974" s="14">
        <v>45787</v>
      </c>
      <c r="B974" s="14" t="s">
        <v>47</v>
      </c>
      <c r="C974" s="15">
        <v>6</v>
      </c>
      <c r="D974" s="16"/>
      <c r="E974" s="16"/>
      <c r="F974" s="17"/>
      <c r="G974" s="21"/>
      <c r="H974" s="21"/>
      <c r="I974" s="4">
        <v>0</v>
      </c>
      <c r="J974" s="4">
        <v>0</v>
      </c>
      <c r="K974" s="4"/>
      <c r="L974" s="16"/>
      <c r="M974" s="4"/>
      <c r="N974" s="4"/>
      <c r="O974" s="4"/>
      <c r="P974" s="4"/>
      <c r="Q974" s="4"/>
      <c r="R974" s="4"/>
      <c r="S974" s="4">
        <v>0</v>
      </c>
      <c r="T974" s="4">
        <v>0</v>
      </c>
      <c r="U974" s="4">
        <v>0</v>
      </c>
      <c r="V974" s="4">
        <v>12</v>
      </c>
      <c r="W974" s="4">
        <v>12</v>
      </c>
      <c r="X974" s="4">
        <v>67</v>
      </c>
      <c r="Y974" s="4"/>
      <c r="Z974" s="4">
        <v>1229.1999999999998</v>
      </c>
      <c r="AA974" s="4">
        <v>1250</v>
      </c>
      <c r="AB974" s="18"/>
      <c r="AC974" s="18">
        <v>19</v>
      </c>
      <c r="AD974" s="28"/>
      <c r="AE974" s="26"/>
      <c r="AF974" s="28"/>
    </row>
    <row r="975" spans="1:32" ht="13.5" customHeight="1" x14ac:dyDescent="0.25">
      <c r="A975" s="14">
        <v>45787</v>
      </c>
      <c r="B975" s="14" t="s">
        <v>46</v>
      </c>
      <c r="C975" s="15">
        <v>7</v>
      </c>
      <c r="D975" s="16"/>
      <c r="E975" s="16"/>
      <c r="F975" s="17"/>
      <c r="G975" s="21"/>
      <c r="H975" s="21"/>
      <c r="I975" s="4">
        <v>0</v>
      </c>
      <c r="J975" s="4">
        <v>0</v>
      </c>
      <c r="K975" s="4"/>
      <c r="L975" s="16"/>
      <c r="M975" s="4"/>
      <c r="N975" s="4"/>
      <c r="O975" s="4"/>
      <c r="P975" s="4"/>
      <c r="Q975" s="4"/>
      <c r="R975" s="4"/>
      <c r="S975" s="4">
        <v>0</v>
      </c>
      <c r="T975" s="4">
        <v>0</v>
      </c>
      <c r="U975" s="4">
        <v>0</v>
      </c>
      <c r="V975" s="4">
        <v>12</v>
      </c>
      <c r="W975" s="4">
        <v>12</v>
      </c>
      <c r="X975" s="4">
        <v>0</v>
      </c>
      <c r="Y975" s="4"/>
      <c r="Z975" s="4">
        <v>394.9</v>
      </c>
      <c r="AA975" s="4">
        <v>400</v>
      </c>
      <c r="AB975" s="18"/>
      <c r="AC975" s="18">
        <v>19</v>
      </c>
      <c r="AD975" s="28"/>
      <c r="AE975" s="26"/>
      <c r="AF975" s="28"/>
    </row>
    <row r="976" spans="1:32" ht="13.5" customHeight="1" x14ac:dyDescent="0.25">
      <c r="A976" s="14">
        <v>45787</v>
      </c>
      <c r="B976" s="14" t="s">
        <v>47</v>
      </c>
      <c r="C976" s="15">
        <v>7</v>
      </c>
      <c r="D976" s="16"/>
      <c r="E976" s="16"/>
      <c r="F976" s="17"/>
      <c r="G976" s="21"/>
      <c r="H976" s="21"/>
      <c r="I976" s="4">
        <v>0</v>
      </c>
      <c r="J976" s="4">
        <v>0</v>
      </c>
      <c r="K976" s="4"/>
      <c r="L976" s="16"/>
      <c r="M976" s="4"/>
      <c r="N976" s="4"/>
      <c r="O976" s="4"/>
      <c r="P976" s="4"/>
      <c r="Q976" s="4"/>
      <c r="R976" s="4"/>
      <c r="S976" s="4">
        <v>0</v>
      </c>
      <c r="T976" s="4">
        <v>0</v>
      </c>
      <c r="U976" s="4">
        <v>0</v>
      </c>
      <c r="V976" s="4">
        <v>12</v>
      </c>
      <c r="W976" s="4">
        <v>12</v>
      </c>
      <c r="X976" s="4">
        <v>0</v>
      </c>
      <c r="Y976" s="4"/>
      <c r="Z976" s="4">
        <v>537.94000000000005</v>
      </c>
      <c r="AA976" s="4">
        <v>550</v>
      </c>
      <c r="AB976" s="18"/>
      <c r="AC976" s="18">
        <v>19</v>
      </c>
      <c r="AD976" s="28"/>
      <c r="AE976" s="26"/>
      <c r="AF976" s="28"/>
    </row>
    <row r="977" spans="1:32" ht="13.5" customHeight="1" x14ac:dyDescent="0.25">
      <c r="A977" s="14">
        <v>45788</v>
      </c>
      <c r="B977" s="14" t="s">
        <v>46</v>
      </c>
      <c r="C977" s="15">
        <v>1</v>
      </c>
      <c r="D977" s="16"/>
      <c r="E977" s="16"/>
      <c r="F977" s="17"/>
      <c r="G977" s="21"/>
      <c r="H977" s="21"/>
      <c r="I977" s="4">
        <v>0</v>
      </c>
      <c r="J977" s="4">
        <v>0</v>
      </c>
      <c r="K977" s="4">
        <v>36</v>
      </c>
      <c r="L977" s="16"/>
      <c r="M977" s="4"/>
      <c r="N977" s="4"/>
      <c r="O977" s="4"/>
      <c r="P977" s="4"/>
      <c r="Q977" s="4"/>
      <c r="R977" s="4"/>
      <c r="S977" s="4">
        <v>36</v>
      </c>
      <c r="T977" s="4">
        <v>0.6</v>
      </c>
      <c r="U977" s="4">
        <v>0.6</v>
      </c>
      <c r="V977" s="4">
        <v>11.4</v>
      </c>
      <c r="W977" s="4">
        <v>12</v>
      </c>
      <c r="X977" s="4">
        <v>0</v>
      </c>
      <c r="Y977" s="4">
        <v>2047</v>
      </c>
      <c r="Z977" s="4">
        <v>111.39999999999999</v>
      </c>
      <c r="AA977" s="4">
        <v>150</v>
      </c>
      <c r="AB977" s="18">
        <v>372</v>
      </c>
      <c r="AC977" s="18">
        <v>19</v>
      </c>
      <c r="AD977" s="28"/>
      <c r="AE977" s="26"/>
      <c r="AF977" s="28"/>
    </row>
    <row r="978" spans="1:32" ht="13.5" customHeight="1" x14ac:dyDescent="0.25">
      <c r="A978" s="14">
        <v>45788</v>
      </c>
      <c r="B978" s="14" t="s">
        <v>47</v>
      </c>
      <c r="C978" s="15">
        <v>1</v>
      </c>
      <c r="D978" s="16"/>
      <c r="E978" s="16"/>
      <c r="F978" s="17"/>
      <c r="G978" s="21"/>
      <c r="H978" s="21"/>
      <c r="I978" s="4">
        <v>0</v>
      </c>
      <c r="J978" s="4">
        <v>0</v>
      </c>
      <c r="K978" s="4"/>
      <c r="L978" s="16"/>
      <c r="M978" s="4"/>
      <c r="N978" s="4"/>
      <c r="O978" s="4"/>
      <c r="P978" s="4"/>
      <c r="Q978" s="4"/>
      <c r="R978" s="4"/>
      <c r="S978" s="4">
        <v>0</v>
      </c>
      <c r="T978" s="4">
        <v>0</v>
      </c>
      <c r="U978" s="4">
        <v>0</v>
      </c>
      <c r="V978" s="4">
        <v>12</v>
      </c>
      <c r="W978" s="4">
        <v>12</v>
      </c>
      <c r="X978" s="4">
        <v>0</v>
      </c>
      <c r="Y978" s="4"/>
      <c r="Z978" s="4">
        <v>142.93</v>
      </c>
      <c r="AA978" s="4">
        <v>150</v>
      </c>
      <c r="AB978" s="18"/>
      <c r="AC978" s="18">
        <v>19</v>
      </c>
      <c r="AD978" s="28"/>
      <c r="AE978" s="26"/>
      <c r="AF978" s="28"/>
    </row>
    <row r="979" spans="1:32" ht="13.5" customHeight="1" x14ac:dyDescent="0.25">
      <c r="A979" s="14">
        <v>45788</v>
      </c>
      <c r="B979" s="14" t="s">
        <v>46</v>
      </c>
      <c r="C979" s="15">
        <v>2</v>
      </c>
      <c r="D979" s="16"/>
      <c r="E979" s="16"/>
      <c r="F979" s="17"/>
      <c r="G979" s="21"/>
      <c r="H979" s="21"/>
      <c r="I979" s="4">
        <v>0</v>
      </c>
      <c r="J979" s="4">
        <v>0</v>
      </c>
      <c r="K979" s="4">
        <v>36</v>
      </c>
      <c r="L979" s="16"/>
      <c r="M979" s="4"/>
      <c r="N979" s="4"/>
      <c r="O979" s="4"/>
      <c r="P979" s="4"/>
      <c r="Q979" s="4"/>
      <c r="R979" s="4"/>
      <c r="S979" s="4">
        <v>36</v>
      </c>
      <c r="T979" s="4">
        <v>0.6</v>
      </c>
      <c r="U979" s="4">
        <v>0.6</v>
      </c>
      <c r="V979" s="4">
        <v>11.4</v>
      </c>
      <c r="W979" s="4">
        <v>12</v>
      </c>
      <c r="X979" s="4">
        <v>0</v>
      </c>
      <c r="Y979" s="4"/>
      <c r="Z979" s="4">
        <v>264.39999999999998</v>
      </c>
      <c r="AA979" s="4">
        <v>300</v>
      </c>
      <c r="AB979" s="18"/>
      <c r="AC979" s="18">
        <v>19</v>
      </c>
      <c r="AD979" s="28"/>
      <c r="AE979" s="26"/>
      <c r="AF979" s="28"/>
    </row>
    <row r="980" spans="1:32" ht="13.5" customHeight="1" x14ac:dyDescent="0.25">
      <c r="A980" s="14">
        <v>45788</v>
      </c>
      <c r="B980" s="14" t="s">
        <v>47</v>
      </c>
      <c r="C980" s="15">
        <v>2</v>
      </c>
      <c r="D980" s="16"/>
      <c r="E980" s="16"/>
      <c r="F980" s="17"/>
      <c r="G980" s="21"/>
      <c r="H980" s="21"/>
      <c r="I980" s="4">
        <v>0</v>
      </c>
      <c r="J980" s="4">
        <v>0</v>
      </c>
      <c r="K980" s="4"/>
      <c r="L980" s="16"/>
      <c r="M980" s="4"/>
      <c r="N980" s="4"/>
      <c r="O980" s="4"/>
      <c r="P980" s="4"/>
      <c r="Q980" s="4"/>
      <c r="R980" s="4"/>
      <c r="S980" s="4">
        <v>0</v>
      </c>
      <c r="T980" s="4">
        <v>0</v>
      </c>
      <c r="U980" s="4">
        <v>0</v>
      </c>
      <c r="V980" s="4">
        <v>12</v>
      </c>
      <c r="W980" s="4">
        <v>12</v>
      </c>
      <c r="X980" s="4">
        <v>0</v>
      </c>
      <c r="Y980" s="4"/>
      <c r="Z980" s="4">
        <v>274.3</v>
      </c>
      <c r="AA980" s="4">
        <v>300</v>
      </c>
      <c r="AB980" s="18"/>
      <c r="AC980" s="18">
        <v>19</v>
      </c>
      <c r="AD980" s="28"/>
      <c r="AE980" s="26"/>
      <c r="AF980" s="28"/>
    </row>
    <row r="981" spans="1:32" ht="13.5" customHeight="1" x14ac:dyDescent="0.25">
      <c r="A981" s="14">
        <v>45788</v>
      </c>
      <c r="B981" s="14" t="s">
        <v>46</v>
      </c>
      <c r="C981" s="15">
        <v>3</v>
      </c>
      <c r="D981" s="16">
        <v>3</v>
      </c>
      <c r="E981" s="16"/>
      <c r="F981" s="17"/>
      <c r="G981" s="21"/>
      <c r="H981" s="21"/>
      <c r="I981" s="4">
        <v>3</v>
      </c>
      <c r="J981" s="4">
        <v>0.05</v>
      </c>
      <c r="K981" s="4">
        <v>36</v>
      </c>
      <c r="L981" s="16"/>
      <c r="M981" s="4"/>
      <c r="N981" s="4"/>
      <c r="O981" s="4"/>
      <c r="P981" s="4"/>
      <c r="Q981" s="4"/>
      <c r="R981" s="4"/>
      <c r="S981" s="4">
        <v>36</v>
      </c>
      <c r="T981" s="4">
        <v>0.6</v>
      </c>
      <c r="U981" s="4">
        <v>0.65</v>
      </c>
      <c r="V981" s="4">
        <v>11.35</v>
      </c>
      <c r="W981" s="4">
        <v>12</v>
      </c>
      <c r="X981" s="4">
        <v>0</v>
      </c>
      <c r="Y981" s="4"/>
      <c r="Z981" s="4">
        <v>248.50000000000003</v>
      </c>
      <c r="AA981" s="4">
        <v>300</v>
      </c>
      <c r="AB981" s="18"/>
      <c r="AC981" s="18">
        <v>19</v>
      </c>
      <c r="AD981" s="28"/>
      <c r="AE981" s="26"/>
      <c r="AF981" s="28"/>
    </row>
    <row r="982" spans="1:32" ht="13.5" customHeight="1" x14ac:dyDescent="0.25">
      <c r="A982" s="14">
        <v>45788</v>
      </c>
      <c r="B982" s="14" t="s">
        <v>47</v>
      </c>
      <c r="C982" s="15">
        <v>3</v>
      </c>
      <c r="D982" s="16"/>
      <c r="E982" s="16"/>
      <c r="F982" s="17"/>
      <c r="G982" s="21"/>
      <c r="H982" s="21"/>
      <c r="I982" s="4">
        <v>0</v>
      </c>
      <c r="J982" s="4">
        <v>0</v>
      </c>
      <c r="K982" s="4"/>
      <c r="L982" s="16"/>
      <c r="M982" s="4"/>
      <c r="N982" s="4"/>
      <c r="O982" s="4"/>
      <c r="P982" s="4"/>
      <c r="Q982" s="4"/>
      <c r="R982" s="4"/>
      <c r="S982" s="4">
        <v>0</v>
      </c>
      <c r="T982" s="4">
        <v>0</v>
      </c>
      <c r="U982" s="4">
        <v>0</v>
      </c>
      <c r="V982" s="4">
        <v>12</v>
      </c>
      <c r="W982" s="4">
        <v>12</v>
      </c>
      <c r="X982" s="4">
        <v>0</v>
      </c>
      <c r="Y982" s="4"/>
      <c r="Z982" s="4">
        <v>321</v>
      </c>
      <c r="AA982" s="4">
        <v>350</v>
      </c>
      <c r="AB982" s="18"/>
      <c r="AC982" s="18">
        <v>19</v>
      </c>
      <c r="AD982" s="28"/>
      <c r="AE982" s="26"/>
      <c r="AF982" s="28"/>
    </row>
    <row r="983" spans="1:32" ht="13.5" customHeight="1" x14ac:dyDescent="0.25">
      <c r="A983" s="14">
        <v>45788</v>
      </c>
      <c r="B983" s="14" t="s">
        <v>46</v>
      </c>
      <c r="C983" s="15">
        <v>6</v>
      </c>
      <c r="D983" s="16">
        <v>5</v>
      </c>
      <c r="E983" s="16"/>
      <c r="F983" s="17"/>
      <c r="G983" s="21"/>
      <c r="H983" s="21"/>
      <c r="I983" s="4">
        <v>5</v>
      </c>
      <c r="J983" s="4">
        <v>8.3333333333333329E-2</v>
      </c>
      <c r="K983" s="4">
        <v>36</v>
      </c>
      <c r="L983" s="16"/>
      <c r="M983" s="4"/>
      <c r="N983" s="4"/>
      <c r="O983" s="4"/>
      <c r="P983" s="4"/>
      <c r="Q983" s="4"/>
      <c r="R983" s="4"/>
      <c r="S983" s="4">
        <v>36</v>
      </c>
      <c r="T983" s="4">
        <v>0.6</v>
      </c>
      <c r="U983" s="4">
        <v>0.68333333333333335</v>
      </c>
      <c r="V983" s="4">
        <v>11.316666666666666</v>
      </c>
      <c r="W983" s="4">
        <v>12</v>
      </c>
      <c r="X983" s="4">
        <v>40</v>
      </c>
      <c r="Y983" s="4"/>
      <c r="Z983" s="4">
        <v>565.29999999999995</v>
      </c>
      <c r="AA983" s="4">
        <v>600</v>
      </c>
      <c r="AB983" s="18"/>
      <c r="AC983" s="18">
        <v>19</v>
      </c>
      <c r="AD983" s="28"/>
      <c r="AE983" s="26"/>
      <c r="AF983" s="28"/>
    </row>
    <row r="984" spans="1:32" ht="13.5" customHeight="1" x14ac:dyDescent="0.25">
      <c r="A984" s="14">
        <v>45788</v>
      </c>
      <c r="B984" s="14" t="s">
        <v>47</v>
      </c>
      <c r="C984" s="15">
        <v>6</v>
      </c>
      <c r="D984" s="16">
        <v>4</v>
      </c>
      <c r="E984" s="16"/>
      <c r="F984" s="17"/>
      <c r="G984" s="21"/>
      <c r="H984" s="21"/>
      <c r="I984" s="4">
        <v>4</v>
      </c>
      <c r="J984" s="4">
        <v>6.6666666666666666E-2</v>
      </c>
      <c r="K984" s="4"/>
      <c r="L984" s="16"/>
      <c r="M984" s="4"/>
      <c r="N984" s="4"/>
      <c r="O984" s="4"/>
      <c r="P984" s="4"/>
      <c r="Q984" s="4"/>
      <c r="R984" s="4"/>
      <c r="S984" s="4">
        <v>0</v>
      </c>
      <c r="T984" s="4">
        <v>0</v>
      </c>
      <c r="U984" s="4">
        <v>6.6666666666666666E-2</v>
      </c>
      <c r="V984" s="4">
        <v>11.933333333333334</v>
      </c>
      <c r="W984" s="4">
        <v>12</v>
      </c>
      <c r="X984" s="4">
        <v>30</v>
      </c>
      <c r="Y984" s="4"/>
      <c r="Z984" s="4">
        <v>789</v>
      </c>
      <c r="AA984" s="4">
        <v>800</v>
      </c>
      <c r="AB984" s="18"/>
      <c r="AC984" s="18">
        <v>19</v>
      </c>
      <c r="AD984" s="28"/>
      <c r="AE984" s="26"/>
      <c r="AF984" s="28"/>
    </row>
    <row r="985" spans="1:32" ht="13.5" customHeight="1" x14ac:dyDescent="0.25">
      <c r="A985" s="14">
        <v>45788</v>
      </c>
      <c r="B985" s="14" t="s">
        <v>46</v>
      </c>
      <c r="C985" s="15">
        <v>7</v>
      </c>
      <c r="D985" s="16"/>
      <c r="E985" s="16"/>
      <c r="F985" s="17"/>
      <c r="G985" s="21"/>
      <c r="H985" s="21"/>
      <c r="I985" s="4">
        <v>0</v>
      </c>
      <c r="J985" s="4">
        <v>0</v>
      </c>
      <c r="K985" s="4">
        <v>36</v>
      </c>
      <c r="L985" s="16"/>
      <c r="M985" s="4"/>
      <c r="N985" s="4"/>
      <c r="O985" s="4"/>
      <c r="P985" s="4"/>
      <c r="Q985" s="4"/>
      <c r="R985" s="4"/>
      <c r="S985" s="4">
        <v>36</v>
      </c>
      <c r="T985" s="4">
        <v>0.6</v>
      </c>
      <c r="U985" s="4">
        <v>0.6</v>
      </c>
      <c r="V985" s="4">
        <v>11.4</v>
      </c>
      <c r="W985" s="4">
        <v>12</v>
      </c>
      <c r="X985" s="4">
        <v>0</v>
      </c>
      <c r="Y985" s="4"/>
      <c r="Z985" s="4">
        <v>316.40000000000003</v>
      </c>
      <c r="AA985" s="4">
        <v>350</v>
      </c>
      <c r="AB985" s="18"/>
      <c r="AC985" s="18">
        <v>19</v>
      </c>
      <c r="AD985" s="28"/>
      <c r="AE985" s="26"/>
      <c r="AF985" s="28"/>
    </row>
    <row r="986" spans="1:32" ht="13.5" customHeight="1" x14ac:dyDescent="0.25">
      <c r="A986" s="14">
        <v>45788</v>
      </c>
      <c r="B986" s="14" t="s">
        <v>47</v>
      </c>
      <c r="C986" s="15">
        <v>7</v>
      </c>
      <c r="D986" s="16"/>
      <c r="E986" s="16"/>
      <c r="F986" s="17"/>
      <c r="G986" s="21"/>
      <c r="H986" s="21"/>
      <c r="I986" s="4">
        <v>0</v>
      </c>
      <c r="J986" s="4">
        <v>0</v>
      </c>
      <c r="K986" s="4"/>
      <c r="L986" s="16"/>
      <c r="M986" s="4"/>
      <c r="N986" s="4"/>
      <c r="O986" s="4"/>
      <c r="P986" s="4"/>
      <c r="Q986" s="4"/>
      <c r="R986" s="4"/>
      <c r="S986" s="4">
        <v>0</v>
      </c>
      <c r="T986" s="4">
        <v>0</v>
      </c>
      <c r="U986" s="4">
        <v>0</v>
      </c>
      <c r="V986" s="4">
        <v>12</v>
      </c>
      <c r="W986" s="4">
        <v>12</v>
      </c>
      <c r="X986" s="4">
        <v>0</v>
      </c>
      <c r="Y986" s="4"/>
      <c r="Z986" s="4">
        <v>508.5</v>
      </c>
      <c r="AA986" s="4">
        <v>550</v>
      </c>
      <c r="AB986" s="18"/>
      <c r="AC986" s="18">
        <v>19</v>
      </c>
      <c r="AD986" s="28"/>
      <c r="AE986" s="26"/>
      <c r="AF986" s="28"/>
    </row>
    <row r="987" spans="1:32" ht="13.5" customHeight="1" x14ac:dyDescent="0.25">
      <c r="A987" s="14">
        <v>45789</v>
      </c>
      <c r="B987" s="14" t="s">
        <v>46</v>
      </c>
      <c r="C987" s="15">
        <v>1</v>
      </c>
      <c r="D987" s="16"/>
      <c r="E987" s="16"/>
      <c r="F987" s="17"/>
      <c r="G987" s="21"/>
      <c r="H987" s="21"/>
      <c r="I987" s="4">
        <v>0</v>
      </c>
      <c r="J987" s="4">
        <v>0</v>
      </c>
      <c r="K987" s="4"/>
      <c r="L987" s="16"/>
      <c r="M987" s="4"/>
      <c r="N987" s="4"/>
      <c r="O987" s="4"/>
      <c r="P987" s="4"/>
      <c r="Q987" s="4"/>
      <c r="R987" s="4"/>
      <c r="S987" s="4">
        <v>0</v>
      </c>
      <c r="T987" s="4">
        <v>0</v>
      </c>
      <c r="U987" s="4">
        <v>0</v>
      </c>
      <c r="V987" s="4">
        <v>12</v>
      </c>
      <c r="W987" s="4">
        <v>12</v>
      </c>
      <c r="X987" s="4">
        <v>0</v>
      </c>
      <c r="Y987" s="4">
        <v>1792</v>
      </c>
      <c r="Z987" s="4">
        <v>100.5</v>
      </c>
      <c r="AA987" s="4">
        <v>100</v>
      </c>
      <c r="AB987" s="18">
        <v>372</v>
      </c>
      <c r="AC987" s="18">
        <v>20</v>
      </c>
      <c r="AD987" s="28"/>
      <c r="AE987" s="26"/>
      <c r="AF987" s="28"/>
    </row>
    <row r="988" spans="1:32" ht="13.5" customHeight="1" x14ac:dyDescent="0.25">
      <c r="A988" s="14">
        <v>45789</v>
      </c>
      <c r="B988" s="14" t="s">
        <v>47</v>
      </c>
      <c r="C988" s="15">
        <v>1</v>
      </c>
      <c r="D988" s="16"/>
      <c r="E988" s="16"/>
      <c r="F988" s="17"/>
      <c r="G988" s="21"/>
      <c r="H988" s="21"/>
      <c r="I988" s="4">
        <v>0</v>
      </c>
      <c r="J988" s="4">
        <v>0</v>
      </c>
      <c r="K988" s="4"/>
      <c r="L988" s="16"/>
      <c r="M988" s="4"/>
      <c r="N988" s="4"/>
      <c r="O988" s="4"/>
      <c r="P988" s="4"/>
      <c r="Q988" s="4"/>
      <c r="R988" s="4"/>
      <c r="S988" s="4">
        <v>0</v>
      </c>
      <c r="T988" s="4">
        <v>0</v>
      </c>
      <c r="U988" s="4">
        <v>0</v>
      </c>
      <c r="V988" s="4">
        <v>12</v>
      </c>
      <c r="W988" s="4">
        <v>12</v>
      </c>
      <c r="X988" s="4">
        <v>0</v>
      </c>
      <c r="Y988" s="4"/>
      <c r="Z988" s="4">
        <v>152.20000000000002</v>
      </c>
      <c r="AA988" s="4">
        <v>150</v>
      </c>
      <c r="AB988" s="18"/>
      <c r="AC988" s="18">
        <v>20</v>
      </c>
      <c r="AD988" s="28"/>
      <c r="AE988" s="26"/>
      <c r="AF988" s="28"/>
    </row>
    <row r="989" spans="1:32" ht="13.5" customHeight="1" x14ac:dyDescent="0.25">
      <c r="A989" s="14">
        <v>45789</v>
      </c>
      <c r="B989" s="14" t="s">
        <v>46</v>
      </c>
      <c r="C989" s="15">
        <v>2</v>
      </c>
      <c r="D989" s="16"/>
      <c r="E989" s="16"/>
      <c r="F989" s="17"/>
      <c r="G989" s="21"/>
      <c r="H989" s="21"/>
      <c r="I989" s="4">
        <v>0</v>
      </c>
      <c r="J989" s="4">
        <v>0</v>
      </c>
      <c r="K989" s="4"/>
      <c r="L989" s="16"/>
      <c r="M989" s="4"/>
      <c r="N989" s="4"/>
      <c r="O989" s="4"/>
      <c r="P989" s="4"/>
      <c r="Q989" s="4"/>
      <c r="R989" s="4"/>
      <c r="S989" s="4">
        <v>0</v>
      </c>
      <c r="T989" s="4">
        <v>0</v>
      </c>
      <c r="U989" s="4">
        <v>0</v>
      </c>
      <c r="V989" s="4">
        <v>12</v>
      </c>
      <c r="W989" s="4">
        <v>12</v>
      </c>
      <c r="X989" s="4">
        <v>0</v>
      </c>
      <c r="Y989" s="4"/>
      <c r="Z989" s="4">
        <v>207.69</v>
      </c>
      <c r="AA989" s="4">
        <v>200</v>
      </c>
      <c r="AB989" s="18"/>
      <c r="AC989" s="18">
        <v>20</v>
      </c>
      <c r="AD989" s="28"/>
      <c r="AE989" s="26"/>
      <c r="AF989" s="28"/>
    </row>
    <row r="990" spans="1:32" ht="13.5" customHeight="1" x14ac:dyDescent="0.25">
      <c r="A990" s="14">
        <v>45789</v>
      </c>
      <c r="B990" s="14" t="s">
        <v>47</v>
      </c>
      <c r="C990" s="15">
        <v>2</v>
      </c>
      <c r="D990" s="16"/>
      <c r="E990" s="16"/>
      <c r="F990" s="17"/>
      <c r="G990" s="21"/>
      <c r="H990" s="21"/>
      <c r="I990" s="4">
        <v>0</v>
      </c>
      <c r="J990" s="4">
        <v>0</v>
      </c>
      <c r="K990" s="4"/>
      <c r="L990" s="16"/>
      <c r="M990" s="4"/>
      <c r="N990" s="4"/>
      <c r="O990" s="4"/>
      <c r="P990" s="4"/>
      <c r="Q990" s="4"/>
      <c r="R990" s="4"/>
      <c r="S990" s="4">
        <v>0</v>
      </c>
      <c r="T990" s="4">
        <v>0</v>
      </c>
      <c r="U990" s="4">
        <v>0</v>
      </c>
      <c r="V990" s="4">
        <v>12</v>
      </c>
      <c r="W990" s="4">
        <v>12</v>
      </c>
      <c r="X990" s="4">
        <v>0</v>
      </c>
      <c r="Y990" s="4"/>
      <c r="Z990" s="4">
        <v>272.89999999999998</v>
      </c>
      <c r="AA990" s="4">
        <v>300</v>
      </c>
      <c r="AB990" s="18"/>
      <c r="AC990" s="18">
        <v>20</v>
      </c>
      <c r="AD990" s="28"/>
      <c r="AE990" s="26"/>
      <c r="AF990" s="28"/>
    </row>
    <row r="991" spans="1:32" ht="13.5" customHeight="1" x14ac:dyDescent="0.25">
      <c r="A991" s="14">
        <v>45789</v>
      </c>
      <c r="B991" s="14" t="s">
        <v>46</v>
      </c>
      <c r="C991" s="15">
        <v>3</v>
      </c>
      <c r="D991" s="16"/>
      <c r="E991" s="16"/>
      <c r="F991" s="17"/>
      <c r="G991" s="21"/>
      <c r="H991" s="21"/>
      <c r="I991" s="4">
        <v>0</v>
      </c>
      <c r="J991" s="4">
        <v>0</v>
      </c>
      <c r="K991" s="4"/>
      <c r="L991" s="16"/>
      <c r="M991" s="4"/>
      <c r="N991" s="4"/>
      <c r="O991" s="4"/>
      <c r="P991" s="4">
        <v>1080</v>
      </c>
      <c r="Q991" s="4"/>
      <c r="R991" s="4"/>
      <c r="S991" s="4">
        <v>1080</v>
      </c>
      <c r="T991" s="4">
        <v>18</v>
      </c>
      <c r="U991" s="4">
        <v>18</v>
      </c>
      <c r="V991" s="4">
        <v>-6</v>
      </c>
      <c r="W991" s="4">
        <v>12</v>
      </c>
      <c r="X991" s="4">
        <v>0</v>
      </c>
      <c r="Y991" s="4"/>
      <c r="Z991" s="4">
        <v>74.2</v>
      </c>
      <c r="AA991" s="4">
        <v>100</v>
      </c>
      <c r="AB991" s="18"/>
      <c r="AC991" s="18">
        <v>20</v>
      </c>
      <c r="AD991" s="28"/>
      <c r="AE991" s="26"/>
      <c r="AF991" s="28"/>
    </row>
    <row r="992" spans="1:32" ht="13.5" customHeight="1" x14ac:dyDescent="0.25">
      <c r="A992" s="14">
        <v>45789</v>
      </c>
      <c r="B992" s="14" t="s">
        <v>47</v>
      </c>
      <c r="C992" s="15">
        <v>3</v>
      </c>
      <c r="D992" s="16"/>
      <c r="E992" s="16"/>
      <c r="F992" s="17"/>
      <c r="G992" s="21"/>
      <c r="H992" s="21"/>
      <c r="I992" s="4">
        <v>0</v>
      </c>
      <c r="J992" s="4">
        <v>0</v>
      </c>
      <c r="K992" s="4"/>
      <c r="L992" s="16"/>
      <c r="M992" s="4"/>
      <c r="N992" s="4"/>
      <c r="O992" s="4"/>
      <c r="P992" s="4"/>
      <c r="Q992" s="4"/>
      <c r="R992" s="4"/>
      <c r="S992" s="4">
        <v>0</v>
      </c>
      <c r="T992" s="4">
        <v>0</v>
      </c>
      <c r="U992" s="4">
        <v>0</v>
      </c>
      <c r="V992" s="4">
        <v>12</v>
      </c>
      <c r="W992" s="4">
        <v>12</v>
      </c>
      <c r="X992" s="4">
        <v>0</v>
      </c>
      <c r="Y992" s="4"/>
      <c r="Z992" s="4">
        <v>45.5</v>
      </c>
      <c r="AA992" s="4">
        <v>50</v>
      </c>
      <c r="AB992" s="18"/>
      <c r="AC992" s="18">
        <v>20</v>
      </c>
      <c r="AD992" s="28"/>
      <c r="AE992" s="26"/>
      <c r="AF992" s="28"/>
    </row>
    <row r="993" spans="1:32" ht="13.5" customHeight="1" x14ac:dyDescent="0.25">
      <c r="A993" s="14">
        <v>45789</v>
      </c>
      <c r="B993" s="14" t="s">
        <v>46</v>
      </c>
      <c r="C993" s="15">
        <v>6</v>
      </c>
      <c r="D993" s="16">
        <v>20</v>
      </c>
      <c r="E993" s="16"/>
      <c r="F993" s="17"/>
      <c r="G993" s="21"/>
      <c r="H993" s="21"/>
      <c r="I993" s="4">
        <v>20</v>
      </c>
      <c r="J993" s="4">
        <v>0.33333333333333331</v>
      </c>
      <c r="K993" s="4"/>
      <c r="L993" s="16"/>
      <c r="M993" s="4"/>
      <c r="N993" s="4">
        <v>10</v>
      </c>
      <c r="O993" s="4"/>
      <c r="P993" s="4">
        <v>30</v>
      </c>
      <c r="Q993" s="4"/>
      <c r="R993" s="4"/>
      <c r="S993" s="4">
        <v>40</v>
      </c>
      <c r="T993" s="4">
        <v>0.66666666666666663</v>
      </c>
      <c r="U993" s="4">
        <v>1</v>
      </c>
      <c r="V993" s="4">
        <v>11</v>
      </c>
      <c r="W993" s="4">
        <v>12</v>
      </c>
      <c r="X993" s="4">
        <v>30</v>
      </c>
      <c r="Y993" s="4"/>
      <c r="Z993" s="4">
        <v>526.54999999999995</v>
      </c>
      <c r="AA993" s="4">
        <v>550</v>
      </c>
      <c r="AB993" s="18"/>
      <c r="AC993" s="18">
        <v>20</v>
      </c>
      <c r="AD993" s="28"/>
      <c r="AE993" s="26"/>
      <c r="AF993" s="28"/>
    </row>
    <row r="994" spans="1:32" ht="13.5" customHeight="1" x14ac:dyDescent="0.25">
      <c r="A994" s="14">
        <v>45789</v>
      </c>
      <c r="B994" s="14" t="s">
        <v>47</v>
      </c>
      <c r="C994" s="15">
        <v>6</v>
      </c>
      <c r="D994" s="16"/>
      <c r="E994" s="16"/>
      <c r="F994" s="17"/>
      <c r="G994" s="21"/>
      <c r="H994" s="21"/>
      <c r="I994" s="4">
        <v>0</v>
      </c>
      <c r="J994" s="4">
        <v>0</v>
      </c>
      <c r="K994" s="4"/>
      <c r="L994" s="16"/>
      <c r="M994" s="4"/>
      <c r="N994" s="4"/>
      <c r="O994" s="4"/>
      <c r="P994" s="4"/>
      <c r="Q994" s="4"/>
      <c r="R994" s="4"/>
      <c r="S994" s="4">
        <v>0</v>
      </c>
      <c r="T994" s="4">
        <v>0</v>
      </c>
      <c r="U994" s="4">
        <v>0</v>
      </c>
      <c r="V994" s="4">
        <v>12</v>
      </c>
      <c r="W994" s="4">
        <v>12</v>
      </c>
      <c r="X994" s="4">
        <v>40</v>
      </c>
      <c r="Y994" s="4"/>
      <c r="Z994" s="4">
        <v>635.4</v>
      </c>
      <c r="AA994" s="4">
        <v>650</v>
      </c>
      <c r="AB994" s="18"/>
      <c r="AC994" s="18">
        <v>20</v>
      </c>
      <c r="AD994" s="28"/>
      <c r="AE994" s="26"/>
      <c r="AF994" s="28"/>
    </row>
    <row r="995" spans="1:32" ht="13.5" customHeight="1" x14ac:dyDescent="0.25">
      <c r="A995" s="14">
        <v>45789</v>
      </c>
      <c r="B995" s="14" t="s">
        <v>46</v>
      </c>
      <c r="C995" s="15">
        <v>7</v>
      </c>
      <c r="D995" s="16"/>
      <c r="E995" s="16"/>
      <c r="F995" s="17"/>
      <c r="G995" s="21"/>
      <c r="H995" s="21"/>
      <c r="I995" s="4">
        <v>0</v>
      </c>
      <c r="J995" s="4">
        <v>0</v>
      </c>
      <c r="K995" s="4"/>
      <c r="L995" s="16"/>
      <c r="M995" s="4"/>
      <c r="N995" s="4"/>
      <c r="O995" s="4"/>
      <c r="P995" s="4"/>
      <c r="Q995" s="4"/>
      <c r="R995" s="4"/>
      <c r="S995" s="4">
        <v>0</v>
      </c>
      <c r="T995" s="4">
        <v>0</v>
      </c>
      <c r="U995" s="4">
        <v>0</v>
      </c>
      <c r="V995" s="4">
        <v>12</v>
      </c>
      <c r="W995" s="4">
        <v>12</v>
      </c>
      <c r="X995" s="4">
        <v>0</v>
      </c>
      <c r="Y995" s="4"/>
      <c r="Z995" s="4">
        <v>478.4</v>
      </c>
      <c r="AA995" s="4">
        <v>500</v>
      </c>
      <c r="AB995" s="18"/>
      <c r="AC995" s="18">
        <v>20</v>
      </c>
      <c r="AD995" s="28"/>
      <c r="AE995" s="26"/>
      <c r="AF995" s="28"/>
    </row>
    <row r="996" spans="1:32" ht="13.5" customHeight="1" x14ac:dyDescent="0.25">
      <c r="A996" s="14">
        <v>45789</v>
      </c>
      <c r="B996" s="14" t="s">
        <v>47</v>
      </c>
      <c r="C996" s="15">
        <v>7</v>
      </c>
      <c r="D996" s="16"/>
      <c r="E996" s="16"/>
      <c r="F996" s="17"/>
      <c r="G996" s="21"/>
      <c r="H996" s="21"/>
      <c r="I996" s="4">
        <v>0</v>
      </c>
      <c r="J996" s="4">
        <v>0</v>
      </c>
      <c r="K996" s="4"/>
      <c r="L996" s="16"/>
      <c r="M996" s="4"/>
      <c r="N996" s="4"/>
      <c r="O996" s="4"/>
      <c r="P996" s="4"/>
      <c r="Q996" s="4"/>
      <c r="R996" s="4"/>
      <c r="S996" s="4">
        <v>0</v>
      </c>
      <c r="T996" s="4">
        <v>0</v>
      </c>
      <c r="U996" s="4">
        <v>0</v>
      </c>
      <c r="V996" s="4">
        <v>12</v>
      </c>
      <c r="W996" s="4">
        <v>12</v>
      </c>
      <c r="X996" s="4">
        <v>0</v>
      </c>
      <c r="Y996" s="4"/>
      <c r="Z996" s="4">
        <v>471.51000000000005</v>
      </c>
      <c r="AA996" s="4">
        <v>500</v>
      </c>
      <c r="AB996" s="18"/>
      <c r="AC996" s="18">
        <v>20</v>
      </c>
      <c r="AD996" s="28"/>
      <c r="AE996" s="26"/>
      <c r="AF996" s="28"/>
    </row>
    <row r="997" spans="1:32" ht="13.5" customHeight="1" x14ac:dyDescent="0.25">
      <c r="A997" s="14">
        <v>45790</v>
      </c>
      <c r="B997" s="14" t="s">
        <v>46</v>
      </c>
      <c r="C997" s="15">
        <v>1</v>
      </c>
      <c r="D997" s="16">
        <v>5</v>
      </c>
      <c r="E997" s="16"/>
      <c r="F997" s="17"/>
      <c r="G997" s="21"/>
      <c r="H997" s="21"/>
      <c r="I997" s="4">
        <v>5</v>
      </c>
      <c r="J997" s="4">
        <v>8.3333333333333329E-2</v>
      </c>
      <c r="K997" s="4"/>
      <c r="L997" s="16">
        <v>10</v>
      </c>
      <c r="M997" s="4"/>
      <c r="N997" s="4"/>
      <c r="O997" s="4"/>
      <c r="P997" s="4"/>
      <c r="Q997" s="4">
        <v>30</v>
      </c>
      <c r="R997" s="4"/>
      <c r="S997" s="4">
        <v>40</v>
      </c>
      <c r="T997" s="4">
        <v>0.66666666666666663</v>
      </c>
      <c r="U997" s="4">
        <v>0.75</v>
      </c>
      <c r="V997" s="4">
        <v>11.25</v>
      </c>
      <c r="W997" s="4">
        <v>12</v>
      </c>
      <c r="X997" s="4">
        <v>0</v>
      </c>
      <c r="Y997" s="4">
        <v>2067</v>
      </c>
      <c r="Z997" s="4">
        <v>191.90000000000003</v>
      </c>
      <c r="AA997" s="4">
        <v>200</v>
      </c>
      <c r="AB997" s="18">
        <v>372</v>
      </c>
      <c r="AC997" s="18">
        <v>20</v>
      </c>
      <c r="AD997" s="28"/>
      <c r="AE997" s="26"/>
      <c r="AF997" s="28"/>
    </row>
    <row r="998" spans="1:32" ht="13.5" customHeight="1" x14ac:dyDescent="0.25">
      <c r="A998" s="14">
        <v>45790</v>
      </c>
      <c r="B998" s="14" t="s">
        <v>47</v>
      </c>
      <c r="C998" s="15">
        <v>1</v>
      </c>
      <c r="D998" s="16">
        <v>3</v>
      </c>
      <c r="E998" s="16"/>
      <c r="F998" s="17"/>
      <c r="G998" s="21"/>
      <c r="H998" s="21"/>
      <c r="I998" s="4">
        <v>3</v>
      </c>
      <c r="J998" s="4">
        <v>0.05</v>
      </c>
      <c r="K998" s="4"/>
      <c r="L998" s="16"/>
      <c r="M998" s="4"/>
      <c r="N998" s="4"/>
      <c r="O998" s="4"/>
      <c r="P998" s="4"/>
      <c r="Q998" s="4"/>
      <c r="R998" s="4"/>
      <c r="S998" s="4">
        <v>0</v>
      </c>
      <c r="T998" s="4">
        <v>0</v>
      </c>
      <c r="U998" s="4">
        <v>0.05</v>
      </c>
      <c r="V998" s="4">
        <v>11.95</v>
      </c>
      <c r="W998" s="4">
        <v>12</v>
      </c>
      <c r="X998" s="4">
        <v>0</v>
      </c>
      <c r="Y998" s="4"/>
      <c r="Z998" s="4">
        <v>210</v>
      </c>
      <c r="AA998" s="4">
        <v>200</v>
      </c>
      <c r="AB998" s="18"/>
      <c r="AC998" s="18">
        <v>20</v>
      </c>
      <c r="AD998" s="28"/>
      <c r="AE998" s="26"/>
      <c r="AF998" s="28"/>
    </row>
    <row r="999" spans="1:32" ht="13.5" customHeight="1" x14ac:dyDescent="0.25">
      <c r="A999" s="14">
        <v>45790</v>
      </c>
      <c r="B999" s="14" t="s">
        <v>46</v>
      </c>
      <c r="C999" s="15">
        <v>2</v>
      </c>
      <c r="D999" s="16">
        <v>10</v>
      </c>
      <c r="E999" s="16"/>
      <c r="F999" s="17"/>
      <c r="G999" s="21"/>
      <c r="H999" s="21"/>
      <c r="I999" s="4">
        <v>10</v>
      </c>
      <c r="J999" s="4">
        <v>0.16666666666666666</v>
      </c>
      <c r="K999" s="4"/>
      <c r="L999" s="16"/>
      <c r="M999" s="4"/>
      <c r="N999" s="4"/>
      <c r="O999" s="4"/>
      <c r="P999" s="4"/>
      <c r="Q999" s="4"/>
      <c r="R999" s="4"/>
      <c r="S999" s="4">
        <v>0</v>
      </c>
      <c r="T999" s="4">
        <v>0</v>
      </c>
      <c r="U999" s="4">
        <v>0.16666666666666666</v>
      </c>
      <c r="V999" s="4">
        <v>11.833333333333334</v>
      </c>
      <c r="W999" s="4">
        <v>12</v>
      </c>
      <c r="X999" s="4">
        <v>0</v>
      </c>
      <c r="Y999" s="4"/>
      <c r="Z999" s="4">
        <v>231.7</v>
      </c>
      <c r="AA999" s="4">
        <v>250</v>
      </c>
      <c r="AB999" s="18"/>
      <c r="AC999" s="18">
        <v>20</v>
      </c>
      <c r="AD999" s="28"/>
      <c r="AE999" s="26"/>
      <c r="AF999" s="28"/>
    </row>
    <row r="1000" spans="1:32" ht="13.5" customHeight="1" x14ac:dyDescent="0.25">
      <c r="A1000" s="14">
        <v>45790</v>
      </c>
      <c r="B1000" s="14" t="s">
        <v>47</v>
      </c>
      <c r="C1000" s="15">
        <v>2</v>
      </c>
      <c r="D1000" s="16"/>
      <c r="E1000" s="16"/>
      <c r="F1000" s="17"/>
      <c r="G1000" s="21"/>
      <c r="H1000" s="21"/>
      <c r="I1000" s="4">
        <v>0</v>
      </c>
      <c r="J1000" s="4">
        <v>0</v>
      </c>
      <c r="K1000" s="4"/>
      <c r="L1000" s="16"/>
      <c r="M1000" s="4"/>
      <c r="N1000" s="4"/>
      <c r="O1000" s="4"/>
      <c r="P1000" s="4">
        <v>95</v>
      </c>
      <c r="Q1000" s="4"/>
      <c r="R1000" s="4"/>
      <c r="S1000" s="4">
        <v>95</v>
      </c>
      <c r="T1000" s="4">
        <v>1.5833333333333333</v>
      </c>
      <c r="U1000" s="4">
        <v>1.5833333333333333</v>
      </c>
      <c r="V1000" s="4">
        <v>10.416666666666666</v>
      </c>
      <c r="W1000" s="4">
        <v>12</v>
      </c>
      <c r="X1000" s="4">
        <v>0</v>
      </c>
      <c r="Y1000" s="4"/>
      <c r="Z1000" s="4">
        <v>167.5</v>
      </c>
      <c r="AA1000" s="4">
        <v>200</v>
      </c>
      <c r="AB1000" s="18"/>
      <c r="AC1000" s="18">
        <v>20</v>
      </c>
      <c r="AD1000" s="28"/>
      <c r="AE1000" s="26"/>
      <c r="AF1000" s="28"/>
    </row>
    <row r="1001" spans="1:32" ht="13.5" customHeight="1" x14ac:dyDescent="0.25">
      <c r="A1001" s="14">
        <v>45790</v>
      </c>
      <c r="B1001" s="14" t="s">
        <v>46</v>
      </c>
      <c r="C1001" s="15">
        <v>3</v>
      </c>
      <c r="D1001" s="16">
        <v>3</v>
      </c>
      <c r="E1001" s="16"/>
      <c r="F1001" s="17"/>
      <c r="G1001" s="21"/>
      <c r="H1001" s="21"/>
      <c r="I1001" s="4">
        <v>3</v>
      </c>
      <c r="J1001" s="4">
        <v>0.05</v>
      </c>
      <c r="K1001" s="4"/>
      <c r="L1001" s="16"/>
      <c r="M1001" s="4"/>
      <c r="N1001" s="4"/>
      <c r="O1001" s="4"/>
      <c r="P1001" s="4"/>
      <c r="Q1001" s="4"/>
      <c r="R1001" s="4"/>
      <c r="S1001" s="4">
        <v>0</v>
      </c>
      <c r="T1001" s="4">
        <v>0</v>
      </c>
      <c r="U1001" s="4">
        <v>0.05</v>
      </c>
      <c r="V1001" s="4">
        <v>11.95</v>
      </c>
      <c r="W1001" s="4">
        <v>12</v>
      </c>
      <c r="X1001" s="4">
        <v>0</v>
      </c>
      <c r="Y1001" s="4"/>
      <c r="Z1001" s="4">
        <v>268.8</v>
      </c>
      <c r="AA1001" s="4">
        <v>250</v>
      </c>
      <c r="AB1001" s="18"/>
      <c r="AC1001" s="18">
        <v>20</v>
      </c>
      <c r="AD1001" s="28"/>
      <c r="AE1001" s="26"/>
      <c r="AF1001" s="28"/>
    </row>
    <row r="1002" spans="1:32" ht="13.5" customHeight="1" x14ac:dyDescent="0.25">
      <c r="A1002" s="14">
        <v>45790</v>
      </c>
      <c r="B1002" s="14" t="s">
        <v>47</v>
      </c>
      <c r="C1002" s="15">
        <v>3</v>
      </c>
      <c r="D1002" s="16"/>
      <c r="E1002" s="16"/>
      <c r="F1002" s="17"/>
      <c r="G1002" s="21"/>
      <c r="H1002" s="21"/>
      <c r="I1002" s="4">
        <v>0</v>
      </c>
      <c r="J1002" s="4">
        <v>0</v>
      </c>
      <c r="K1002" s="4"/>
      <c r="L1002" s="16"/>
      <c r="M1002" s="4"/>
      <c r="N1002" s="4"/>
      <c r="O1002" s="4"/>
      <c r="P1002" s="4"/>
      <c r="Q1002" s="4"/>
      <c r="R1002" s="4"/>
      <c r="S1002" s="4">
        <v>0</v>
      </c>
      <c r="T1002" s="4">
        <v>0</v>
      </c>
      <c r="U1002" s="4">
        <v>0</v>
      </c>
      <c r="V1002" s="4">
        <v>12</v>
      </c>
      <c r="W1002" s="4">
        <v>12</v>
      </c>
      <c r="X1002" s="4">
        <v>0</v>
      </c>
      <c r="Y1002" s="4"/>
      <c r="Z1002" s="4">
        <v>316.69999999999993</v>
      </c>
      <c r="AA1002" s="4">
        <v>350</v>
      </c>
      <c r="AB1002" s="18"/>
      <c r="AC1002" s="18">
        <v>20</v>
      </c>
      <c r="AD1002" s="28"/>
      <c r="AE1002" s="26"/>
      <c r="AF1002" s="28"/>
    </row>
    <row r="1003" spans="1:32" ht="13.5" customHeight="1" x14ac:dyDescent="0.25">
      <c r="A1003" s="14">
        <v>45790</v>
      </c>
      <c r="B1003" s="14" t="s">
        <v>46</v>
      </c>
      <c r="C1003" s="15">
        <v>6</v>
      </c>
      <c r="D1003" s="16">
        <v>15</v>
      </c>
      <c r="E1003" s="16"/>
      <c r="F1003" s="17"/>
      <c r="G1003" s="21"/>
      <c r="H1003" s="21"/>
      <c r="I1003" s="4">
        <v>15</v>
      </c>
      <c r="J1003" s="4">
        <v>0.25</v>
      </c>
      <c r="K1003" s="4"/>
      <c r="L1003" s="16"/>
      <c r="M1003" s="4"/>
      <c r="N1003" s="4"/>
      <c r="O1003" s="4"/>
      <c r="P1003" s="4"/>
      <c r="Q1003" s="4"/>
      <c r="R1003" s="4"/>
      <c r="S1003" s="4">
        <v>0</v>
      </c>
      <c r="T1003" s="4">
        <v>0</v>
      </c>
      <c r="U1003" s="4">
        <v>0.25</v>
      </c>
      <c r="V1003" s="4">
        <v>11.75</v>
      </c>
      <c r="W1003" s="4">
        <v>12</v>
      </c>
      <c r="X1003" s="4">
        <v>50</v>
      </c>
      <c r="Y1003" s="4"/>
      <c r="Z1003" s="4">
        <v>648.20000000000005</v>
      </c>
      <c r="AA1003" s="4">
        <v>650</v>
      </c>
      <c r="AB1003" s="18"/>
      <c r="AC1003" s="18">
        <v>20</v>
      </c>
      <c r="AD1003" s="28"/>
      <c r="AE1003" s="26"/>
      <c r="AF1003" s="28"/>
    </row>
    <row r="1004" spans="1:32" ht="13.5" customHeight="1" x14ac:dyDescent="0.25">
      <c r="A1004" s="14">
        <v>45790</v>
      </c>
      <c r="B1004" s="14" t="s">
        <v>47</v>
      </c>
      <c r="C1004" s="15">
        <v>6</v>
      </c>
      <c r="D1004" s="16"/>
      <c r="E1004" s="16"/>
      <c r="F1004" s="17"/>
      <c r="G1004" s="21"/>
      <c r="H1004" s="21"/>
      <c r="I1004" s="4">
        <v>0</v>
      </c>
      <c r="J1004" s="4">
        <v>0</v>
      </c>
      <c r="K1004" s="4"/>
      <c r="L1004" s="16"/>
      <c r="M1004" s="4"/>
      <c r="N1004" s="4"/>
      <c r="O1004" s="4"/>
      <c r="P1004" s="4"/>
      <c r="Q1004" s="4"/>
      <c r="R1004" s="4"/>
      <c r="S1004" s="4">
        <v>0</v>
      </c>
      <c r="T1004" s="4">
        <v>0</v>
      </c>
      <c r="U1004" s="4">
        <v>0</v>
      </c>
      <c r="V1004" s="4">
        <v>12</v>
      </c>
      <c r="W1004" s="4">
        <v>12</v>
      </c>
      <c r="X1004" s="4">
        <v>62</v>
      </c>
      <c r="Y1004" s="4"/>
      <c r="Z1004" s="4">
        <v>1039.7999999999997</v>
      </c>
      <c r="AA1004" s="4">
        <v>1100</v>
      </c>
      <c r="AB1004" s="18"/>
      <c r="AC1004" s="18">
        <v>20</v>
      </c>
      <c r="AD1004" s="28"/>
      <c r="AE1004" s="26"/>
      <c r="AF1004" s="28"/>
    </row>
    <row r="1005" spans="1:32" ht="13.5" customHeight="1" x14ac:dyDescent="0.25">
      <c r="A1005" s="14">
        <v>45790</v>
      </c>
      <c r="B1005" s="14" t="s">
        <v>46</v>
      </c>
      <c r="C1005" s="15">
        <v>7</v>
      </c>
      <c r="D1005" s="16"/>
      <c r="E1005" s="16"/>
      <c r="F1005" s="17"/>
      <c r="G1005" s="21"/>
      <c r="H1005" s="21"/>
      <c r="I1005" s="4">
        <v>0</v>
      </c>
      <c r="J1005" s="4">
        <v>0</v>
      </c>
      <c r="K1005" s="4"/>
      <c r="L1005" s="16"/>
      <c r="M1005" s="4"/>
      <c r="N1005" s="4"/>
      <c r="O1005" s="4"/>
      <c r="P1005" s="4"/>
      <c r="Q1005" s="4"/>
      <c r="R1005" s="4"/>
      <c r="S1005" s="4">
        <v>0</v>
      </c>
      <c r="T1005" s="4">
        <v>0</v>
      </c>
      <c r="U1005" s="4">
        <v>0</v>
      </c>
      <c r="V1005" s="4">
        <v>12</v>
      </c>
      <c r="W1005" s="4">
        <v>12</v>
      </c>
      <c r="X1005" s="4">
        <v>0</v>
      </c>
      <c r="Y1005" s="4"/>
      <c r="Z1005" s="4">
        <v>490.2</v>
      </c>
      <c r="AA1005" s="4">
        <v>500</v>
      </c>
      <c r="AB1005" s="18"/>
      <c r="AC1005" s="18">
        <v>20</v>
      </c>
      <c r="AD1005" s="28"/>
      <c r="AE1005" s="26"/>
      <c r="AF1005" s="28"/>
    </row>
    <row r="1006" spans="1:32" ht="13.5" customHeight="1" x14ac:dyDescent="0.25">
      <c r="A1006" s="14">
        <v>45790</v>
      </c>
      <c r="B1006" s="14" t="s">
        <v>47</v>
      </c>
      <c r="C1006" s="15">
        <v>7</v>
      </c>
      <c r="D1006" s="16"/>
      <c r="E1006" s="16"/>
      <c r="F1006" s="17"/>
      <c r="G1006" s="21"/>
      <c r="H1006" s="21"/>
      <c r="I1006" s="4">
        <v>0</v>
      </c>
      <c r="J1006" s="4">
        <v>0</v>
      </c>
      <c r="K1006" s="4"/>
      <c r="L1006" s="16"/>
      <c r="M1006" s="4"/>
      <c r="N1006" s="4"/>
      <c r="O1006" s="4"/>
      <c r="P1006" s="4"/>
      <c r="Q1006" s="4"/>
      <c r="R1006" s="4"/>
      <c r="S1006" s="4">
        <v>0</v>
      </c>
      <c r="T1006" s="4">
        <v>0</v>
      </c>
      <c r="U1006" s="4">
        <v>0</v>
      </c>
      <c r="V1006" s="4">
        <v>12</v>
      </c>
      <c r="W1006" s="4">
        <v>12</v>
      </c>
      <c r="X1006" s="4">
        <v>0</v>
      </c>
      <c r="Y1006" s="4"/>
      <c r="Z1006" s="4">
        <v>420.15</v>
      </c>
      <c r="AA1006" s="4">
        <v>450</v>
      </c>
      <c r="AB1006" s="18"/>
      <c r="AC1006" s="18">
        <v>20</v>
      </c>
      <c r="AD1006" s="28"/>
      <c r="AE1006" s="26"/>
      <c r="AF1006" s="28"/>
    </row>
    <row r="1007" spans="1:32" ht="13.5" customHeight="1" x14ac:dyDescent="0.25">
      <c r="A1007" s="14">
        <v>45791</v>
      </c>
      <c r="B1007" s="14" t="s">
        <v>46</v>
      </c>
      <c r="C1007" s="15">
        <v>1</v>
      </c>
      <c r="D1007" s="16"/>
      <c r="E1007" s="16"/>
      <c r="F1007" s="17"/>
      <c r="G1007" s="21"/>
      <c r="H1007" s="21"/>
      <c r="I1007" s="4">
        <v>0</v>
      </c>
      <c r="J1007" s="4">
        <v>0</v>
      </c>
      <c r="K1007" s="4"/>
      <c r="L1007" s="16"/>
      <c r="M1007" s="4"/>
      <c r="N1007" s="4"/>
      <c r="O1007" s="4"/>
      <c r="P1007" s="4"/>
      <c r="Q1007" s="4"/>
      <c r="R1007" s="4"/>
      <c r="S1007" s="4">
        <v>0</v>
      </c>
      <c r="T1007" s="4">
        <v>0</v>
      </c>
      <c r="U1007" s="4">
        <v>0</v>
      </c>
      <c r="V1007" s="4">
        <v>12</v>
      </c>
      <c r="W1007" s="4">
        <v>12</v>
      </c>
      <c r="X1007" s="4">
        <v>37</v>
      </c>
      <c r="Y1007" s="4">
        <v>1895</v>
      </c>
      <c r="Z1007" s="4">
        <v>206.84999999999997</v>
      </c>
      <c r="AA1007" s="4">
        <v>200</v>
      </c>
      <c r="AB1007" s="18">
        <v>372</v>
      </c>
      <c r="AC1007" s="18">
        <v>20</v>
      </c>
      <c r="AD1007" s="28"/>
      <c r="AE1007" s="26"/>
      <c r="AF1007" s="28"/>
    </row>
    <row r="1008" spans="1:32" ht="13.5" customHeight="1" x14ac:dyDescent="0.25">
      <c r="A1008" s="14">
        <v>45791</v>
      </c>
      <c r="B1008" s="14" t="s">
        <v>47</v>
      </c>
      <c r="C1008" s="15">
        <v>1</v>
      </c>
      <c r="D1008" s="16"/>
      <c r="E1008" s="16"/>
      <c r="F1008" s="17"/>
      <c r="G1008" s="21"/>
      <c r="H1008" s="21"/>
      <c r="I1008" s="4">
        <v>0</v>
      </c>
      <c r="J1008" s="4">
        <v>0</v>
      </c>
      <c r="K1008" s="4"/>
      <c r="L1008" s="16"/>
      <c r="M1008" s="4"/>
      <c r="N1008" s="4"/>
      <c r="O1008" s="4"/>
      <c r="P1008" s="4"/>
      <c r="Q1008" s="4"/>
      <c r="R1008" s="4"/>
      <c r="S1008" s="4">
        <v>0</v>
      </c>
      <c r="T1008" s="4">
        <v>0</v>
      </c>
      <c r="U1008" s="4">
        <v>0</v>
      </c>
      <c r="V1008" s="4">
        <v>12</v>
      </c>
      <c r="W1008" s="4">
        <v>12</v>
      </c>
      <c r="X1008" s="4">
        <v>30</v>
      </c>
      <c r="Y1008" s="4"/>
      <c r="Z1008" s="4">
        <v>115.39999999999999</v>
      </c>
      <c r="AA1008" s="4">
        <v>100</v>
      </c>
      <c r="AB1008" s="18"/>
      <c r="AC1008" s="18">
        <v>20</v>
      </c>
      <c r="AD1008" s="28"/>
      <c r="AE1008" s="26"/>
      <c r="AF1008" s="28"/>
    </row>
    <row r="1009" spans="1:32" ht="13.5" customHeight="1" x14ac:dyDescent="0.25">
      <c r="A1009" s="14">
        <v>45791</v>
      </c>
      <c r="B1009" s="14" t="s">
        <v>46</v>
      </c>
      <c r="C1009" s="15">
        <v>2</v>
      </c>
      <c r="D1009" s="16">
        <v>3</v>
      </c>
      <c r="E1009" s="16"/>
      <c r="F1009" s="17"/>
      <c r="G1009" s="21"/>
      <c r="H1009" s="21"/>
      <c r="I1009" s="4">
        <v>3</v>
      </c>
      <c r="J1009" s="4">
        <v>0.05</v>
      </c>
      <c r="K1009" s="4"/>
      <c r="L1009" s="16"/>
      <c r="M1009" s="4"/>
      <c r="N1009" s="4"/>
      <c r="O1009" s="4"/>
      <c r="P1009" s="4"/>
      <c r="Q1009" s="4"/>
      <c r="R1009" s="4"/>
      <c r="S1009" s="4">
        <v>0</v>
      </c>
      <c r="T1009" s="4">
        <v>0</v>
      </c>
      <c r="U1009" s="4">
        <v>0.05</v>
      </c>
      <c r="V1009" s="4">
        <v>11.95</v>
      </c>
      <c r="W1009" s="4">
        <v>12</v>
      </c>
      <c r="X1009" s="4">
        <v>0</v>
      </c>
      <c r="Y1009" s="4"/>
      <c r="Z1009" s="4">
        <v>179.7</v>
      </c>
      <c r="AA1009" s="4">
        <v>200</v>
      </c>
      <c r="AB1009" s="18"/>
      <c r="AC1009" s="18">
        <v>20</v>
      </c>
      <c r="AD1009" s="28"/>
      <c r="AE1009" s="26"/>
      <c r="AF1009" s="28"/>
    </row>
    <row r="1010" spans="1:32" ht="13.5" customHeight="1" x14ac:dyDescent="0.25">
      <c r="A1010" s="14">
        <v>45791</v>
      </c>
      <c r="B1010" s="14" t="s">
        <v>47</v>
      </c>
      <c r="C1010" s="15">
        <v>2</v>
      </c>
      <c r="D1010" s="16"/>
      <c r="E1010" s="16"/>
      <c r="F1010" s="17"/>
      <c r="G1010" s="21"/>
      <c r="H1010" s="21"/>
      <c r="I1010" s="4">
        <v>0</v>
      </c>
      <c r="J1010" s="4">
        <v>0</v>
      </c>
      <c r="K1010" s="4"/>
      <c r="L1010" s="16"/>
      <c r="M1010" s="4"/>
      <c r="N1010" s="4"/>
      <c r="O1010" s="4"/>
      <c r="P1010" s="4"/>
      <c r="Q1010" s="4"/>
      <c r="R1010" s="4"/>
      <c r="S1010" s="4">
        <v>0</v>
      </c>
      <c r="T1010" s="4">
        <v>0</v>
      </c>
      <c r="U1010" s="4">
        <v>0</v>
      </c>
      <c r="V1010" s="4">
        <v>12</v>
      </c>
      <c r="W1010" s="4">
        <v>12</v>
      </c>
      <c r="X1010" s="4">
        <v>0</v>
      </c>
      <c r="Y1010" s="4"/>
      <c r="Z1010" s="4">
        <v>151.69999999999999</v>
      </c>
      <c r="AA1010" s="4">
        <v>150</v>
      </c>
      <c r="AB1010" s="18"/>
      <c r="AC1010" s="18">
        <v>20</v>
      </c>
      <c r="AD1010" s="28"/>
      <c r="AE1010" s="26"/>
      <c r="AF1010" s="28"/>
    </row>
    <row r="1011" spans="1:32" ht="13.5" customHeight="1" x14ac:dyDescent="0.25">
      <c r="A1011" s="14">
        <v>45791</v>
      </c>
      <c r="B1011" s="14" t="s">
        <v>46</v>
      </c>
      <c r="C1011" s="15">
        <v>3</v>
      </c>
      <c r="D1011" s="16">
        <v>2</v>
      </c>
      <c r="E1011" s="16"/>
      <c r="F1011" s="17"/>
      <c r="G1011" s="21"/>
      <c r="H1011" s="21"/>
      <c r="I1011" s="4">
        <v>2</v>
      </c>
      <c r="J1011" s="4">
        <v>3.3333333333333333E-2</v>
      </c>
      <c r="K1011" s="4"/>
      <c r="L1011" s="16"/>
      <c r="M1011" s="4"/>
      <c r="N1011" s="4"/>
      <c r="O1011" s="4"/>
      <c r="P1011" s="4"/>
      <c r="Q1011" s="4"/>
      <c r="R1011" s="4"/>
      <c r="S1011" s="4">
        <v>0</v>
      </c>
      <c r="T1011" s="4">
        <v>0</v>
      </c>
      <c r="U1011" s="4">
        <v>3.3333333333333333E-2</v>
      </c>
      <c r="V1011" s="4">
        <v>11.966666666666667</v>
      </c>
      <c r="W1011" s="4">
        <v>12</v>
      </c>
      <c r="X1011" s="4">
        <v>0</v>
      </c>
      <c r="Y1011" s="4"/>
      <c r="Z1011" s="4">
        <v>260.79999999999995</v>
      </c>
      <c r="AA1011" s="4">
        <v>250</v>
      </c>
      <c r="AB1011" s="18"/>
      <c r="AC1011" s="18">
        <v>20</v>
      </c>
      <c r="AD1011" s="28"/>
      <c r="AE1011" s="26"/>
      <c r="AF1011" s="28"/>
    </row>
    <row r="1012" spans="1:32" ht="13.5" customHeight="1" x14ac:dyDescent="0.25">
      <c r="A1012" s="14">
        <v>45791</v>
      </c>
      <c r="B1012" s="14" t="s">
        <v>47</v>
      </c>
      <c r="C1012" s="15">
        <v>3</v>
      </c>
      <c r="D1012" s="16">
        <v>4</v>
      </c>
      <c r="E1012" s="16"/>
      <c r="F1012" s="17"/>
      <c r="G1012" s="21"/>
      <c r="H1012" s="21"/>
      <c r="I1012" s="4">
        <v>4</v>
      </c>
      <c r="J1012" s="4">
        <v>6.6666666666666666E-2</v>
      </c>
      <c r="K1012" s="4"/>
      <c r="L1012" s="16"/>
      <c r="M1012" s="4"/>
      <c r="N1012" s="4"/>
      <c r="O1012" s="4"/>
      <c r="P1012" s="4"/>
      <c r="Q1012" s="4"/>
      <c r="R1012" s="4"/>
      <c r="S1012" s="4">
        <v>0</v>
      </c>
      <c r="T1012" s="4">
        <v>0</v>
      </c>
      <c r="U1012" s="4">
        <v>6.6666666666666666E-2</v>
      </c>
      <c r="V1012" s="4">
        <v>11.933333333333334</v>
      </c>
      <c r="W1012" s="4">
        <v>12</v>
      </c>
      <c r="X1012" s="4">
        <v>0</v>
      </c>
      <c r="Y1012" s="4"/>
      <c r="Z1012" s="4">
        <v>276.3</v>
      </c>
      <c r="AA1012" s="4">
        <v>300</v>
      </c>
      <c r="AB1012" s="18"/>
      <c r="AC1012" s="18">
        <v>20</v>
      </c>
      <c r="AD1012" s="28"/>
      <c r="AE1012" s="26"/>
      <c r="AF1012" s="28"/>
    </row>
    <row r="1013" spans="1:32" ht="13.5" customHeight="1" x14ac:dyDescent="0.25">
      <c r="A1013" s="14">
        <v>45791</v>
      </c>
      <c r="B1013" s="14" t="s">
        <v>46</v>
      </c>
      <c r="C1013" s="15">
        <v>6</v>
      </c>
      <c r="D1013" s="16">
        <v>15</v>
      </c>
      <c r="E1013" s="16"/>
      <c r="F1013" s="17"/>
      <c r="G1013" s="21"/>
      <c r="H1013" s="21"/>
      <c r="I1013" s="4">
        <v>15</v>
      </c>
      <c r="J1013" s="4">
        <v>0.25</v>
      </c>
      <c r="K1013" s="4"/>
      <c r="L1013" s="16"/>
      <c r="M1013" s="4"/>
      <c r="N1013" s="4"/>
      <c r="O1013" s="4"/>
      <c r="P1013" s="4"/>
      <c r="Q1013" s="4"/>
      <c r="R1013" s="4"/>
      <c r="S1013" s="4">
        <v>0</v>
      </c>
      <c r="T1013" s="4">
        <v>0</v>
      </c>
      <c r="U1013" s="4">
        <v>0.25</v>
      </c>
      <c r="V1013" s="4">
        <v>11.75</v>
      </c>
      <c r="W1013" s="4">
        <v>12</v>
      </c>
      <c r="X1013" s="4">
        <v>0</v>
      </c>
      <c r="Y1013" s="4"/>
      <c r="Z1013" s="4">
        <v>556.19999999999993</v>
      </c>
      <c r="AA1013" s="4">
        <v>550</v>
      </c>
      <c r="AB1013" s="18"/>
      <c r="AC1013" s="18">
        <v>20</v>
      </c>
      <c r="AD1013" s="28"/>
      <c r="AE1013" s="26"/>
      <c r="AF1013" s="28"/>
    </row>
    <row r="1014" spans="1:32" ht="13.5" customHeight="1" x14ac:dyDescent="0.25">
      <c r="A1014" s="14">
        <v>45791</v>
      </c>
      <c r="B1014" s="14" t="s">
        <v>47</v>
      </c>
      <c r="C1014" s="15">
        <v>6</v>
      </c>
      <c r="D1014" s="16"/>
      <c r="E1014" s="16"/>
      <c r="F1014" s="17"/>
      <c r="G1014" s="21"/>
      <c r="H1014" s="21"/>
      <c r="I1014" s="4">
        <v>0</v>
      </c>
      <c r="J1014" s="4">
        <v>0</v>
      </c>
      <c r="K1014" s="4"/>
      <c r="L1014" s="16"/>
      <c r="M1014" s="4"/>
      <c r="N1014" s="4"/>
      <c r="O1014" s="4"/>
      <c r="P1014" s="4"/>
      <c r="Q1014" s="4"/>
      <c r="R1014" s="4"/>
      <c r="S1014" s="4">
        <v>0</v>
      </c>
      <c r="T1014" s="4">
        <v>0</v>
      </c>
      <c r="U1014" s="4">
        <v>0</v>
      </c>
      <c r="V1014" s="4">
        <v>12</v>
      </c>
      <c r="W1014" s="4">
        <v>12</v>
      </c>
      <c r="X1014" s="4">
        <v>0</v>
      </c>
      <c r="Y1014" s="4"/>
      <c r="Z1014" s="4">
        <v>576.79999999999995</v>
      </c>
      <c r="AA1014" s="4">
        <v>600</v>
      </c>
      <c r="AB1014" s="18"/>
      <c r="AC1014" s="18">
        <v>20</v>
      </c>
      <c r="AD1014" s="28"/>
      <c r="AE1014" s="26"/>
      <c r="AF1014" s="28"/>
    </row>
    <row r="1015" spans="1:32" ht="13.5" customHeight="1" x14ac:dyDescent="0.25">
      <c r="A1015" s="14">
        <v>45791</v>
      </c>
      <c r="B1015" s="14" t="s">
        <v>46</v>
      </c>
      <c r="C1015" s="15">
        <v>7</v>
      </c>
      <c r="D1015" s="16">
        <v>12</v>
      </c>
      <c r="E1015" s="16"/>
      <c r="F1015" s="17"/>
      <c r="G1015" s="21"/>
      <c r="H1015" s="21"/>
      <c r="I1015" s="4">
        <v>12</v>
      </c>
      <c r="J1015" s="4">
        <v>0.2</v>
      </c>
      <c r="K1015" s="4"/>
      <c r="L1015" s="16"/>
      <c r="M1015" s="4"/>
      <c r="N1015" s="4"/>
      <c r="O1015" s="4"/>
      <c r="P1015" s="4"/>
      <c r="Q1015" s="4"/>
      <c r="R1015" s="4"/>
      <c r="S1015" s="4">
        <v>0</v>
      </c>
      <c r="T1015" s="4">
        <v>0</v>
      </c>
      <c r="U1015" s="4">
        <v>0.2</v>
      </c>
      <c r="V1015" s="4">
        <v>11.8</v>
      </c>
      <c r="W1015" s="4">
        <v>12</v>
      </c>
      <c r="X1015" s="4">
        <v>0</v>
      </c>
      <c r="Y1015" s="4"/>
      <c r="Z1015" s="4">
        <v>296.60000000000002</v>
      </c>
      <c r="AA1015" s="4">
        <v>300</v>
      </c>
      <c r="AB1015" s="18"/>
      <c r="AC1015" s="18">
        <v>20</v>
      </c>
      <c r="AD1015" s="28"/>
      <c r="AE1015" s="26"/>
      <c r="AF1015" s="28"/>
    </row>
    <row r="1016" spans="1:32" ht="13.5" customHeight="1" x14ac:dyDescent="0.25">
      <c r="A1016" s="14">
        <v>45791</v>
      </c>
      <c r="B1016" s="14" t="s">
        <v>47</v>
      </c>
      <c r="C1016" s="15">
        <v>7</v>
      </c>
      <c r="D1016" s="16"/>
      <c r="E1016" s="16"/>
      <c r="F1016" s="17"/>
      <c r="G1016" s="21"/>
      <c r="H1016" s="21"/>
      <c r="I1016" s="4">
        <v>0</v>
      </c>
      <c r="J1016" s="4">
        <v>0</v>
      </c>
      <c r="K1016" s="4"/>
      <c r="L1016" s="16"/>
      <c r="M1016" s="4"/>
      <c r="N1016" s="4"/>
      <c r="O1016" s="4"/>
      <c r="P1016" s="4"/>
      <c r="Q1016" s="4"/>
      <c r="R1016" s="4"/>
      <c r="S1016" s="4">
        <v>0</v>
      </c>
      <c r="T1016" s="4">
        <v>0</v>
      </c>
      <c r="U1016" s="4">
        <v>0</v>
      </c>
      <c r="V1016" s="4">
        <v>12</v>
      </c>
      <c r="W1016" s="4">
        <v>12</v>
      </c>
      <c r="X1016" s="4">
        <v>0</v>
      </c>
      <c r="Y1016" s="4"/>
      <c r="Z1016" s="4">
        <v>360.59000000000003</v>
      </c>
      <c r="AA1016" s="4">
        <v>350</v>
      </c>
      <c r="AB1016" s="18"/>
      <c r="AC1016" s="18">
        <v>20</v>
      </c>
      <c r="AD1016" s="28"/>
      <c r="AE1016" s="26"/>
      <c r="AF1016" s="28"/>
    </row>
    <row r="1017" spans="1:32" ht="13.5" customHeight="1" x14ac:dyDescent="0.25">
      <c r="A1017" s="14">
        <v>45792</v>
      </c>
      <c r="B1017" s="14" t="s">
        <v>46</v>
      </c>
      <c r="C1017" s="15">
        <v>1</v>
      </c>
      <c r="D1017" s="16"/>
      <c r="E1017" s="16"/>
      <c r="F1017" s="17"/>
      <c r="G1017" s="21"/>
      <c r="H1017" s="21"/>
      <c r="I1017" s="4">
        <v>0</v>
      </c>
      <c r="J1017" s="4">
        <v>0</v>
      </c>
      <c r="K1017" s="4"/>
      <c r="L1017" s="16"/>
      <c r="M1017" s="4"/>
      <c r="N1017" s="4"/>
      <c r="O1017" s="4"/>
      <c r="P1017" s="4"/>
      <c r="Q1017" s="4"/>
      <c r="R1017" s="4"/>
      <c r="S1017" s="4">
        <v>0</v>
      </c>
      <c r="T1017" s="4">
        <v>0</v>
      </c>
      <c r="U1017" s="4">
        <v>0</v>
      </c>
      <c r="V1017" s="4">
        <v>12</v>
      </c>
      <c r="W1017" s="4">
        <v>12</v>
      </c>
      <c r="X1017" s="4">
        <v>0</v>
      </c>
      <c r="Y1017" s="4">
        <v>1918</v>
      </c>
      <c r="Z1017" s="4">
        <v>87.600000000000009</v>
      </c>
      <c r="AA1017" s="4">
        <v>100</v>
      </c>
      <c r="AB1017" s="18">
        <v>372</v>
      </c>
      <c r="AC1017" s="18">
        <v>20</v>
      </c>
      <c r="AD1017" s="28"/>
      <c r="AE1017" s="26"/>
      <c r="AF1017" s="28"/>
    </row>
    <row r="1018" spans="1:32" ht="13.5" customHeight="1" x14ac:dyDescent="0.25">
      <c r="A1018" s="14">
        <v>45792</v>
      </c>
      <c r="B1018" s="14" t="s">
        <v>47</v>
      </c>
      <c r="C1018" s="15">
        <v>1</v>
      </c>
      <c r="D1018" s="16"/>
      <c r="E1018" s="16"/>
      <c r="F1018" s="17"/>
      <c r="G1018" s="21"/>
      <c r="H1018" s="21"/>
      <c r="I1018" s="4">
        <v>0</v>
      </c>
      <c r="J1018" s="4">
        <v>0</v>
      </c>
      <c r="K1018" s="4"/>
      <c r="L1018" s="16"/>
      <c r="M1018" s="4"/>
      <c r="N1018" s="4"/>
      <c r="O1018" s="4"/>
      <c r="P1018" s="4"/>
      <c r="Q1018" s="4"/>
      <c r="R1018" s="4"/>
      <c r="S1018" s="4">
        <v>0</v>
      </c>
      <c r="T1018" s="4">
        <v>0</v>
      </c>
      <c r="U1018" s="4">
        <v>0</v>
      </c>
      <c r="V1018" s="4">
        <v>12</v>
      </c>
      <c r="W1018" s="4">
        <v>12</v>
      </c>
      <c r="X1018" s="4">
        <v>0</v>
      </c>
      <c r="Y1018" s="4"/>
      <c r="Z1018" s="4">
        <v>130.69999999999999</v>
      </c>
      <c r="AA1018" s="4">
        <v>100</v>
      </c>
      <c r="AB1018" s="18"/>
      <c r="AC1018" s="18">
        <v>20</v>
      </c>
      <c r="AD1018" s="28"/>
      <c r="AE1018" s="26"/>
      <c r="AF1018" s="28"/>
    </row>
    <row r="1019" spans="1:32" ht="13.5" customHeight="1" x14ac:dyDescent="0.25">
      <c r="A1019" s="14">
        <v>45792</v>
      </c>
      <c r="B1019" s="14" t="s">
        <v>46</v>
      </c>
      <c r="C1019" s="15">
        <v>2</v>
      </c>
      <c r="D1019" s="16"/>
      <c r="E1019" s="16"/>
      <c r="F1019" s="17"/>
      <c r="G1019" s="21"/>
      <c r="H1019" s="21"/>
      <c r="I1019" s="4">
        <v>0</v>
      </c>
      <c r="J1019" s="4">
        <v>0</v>
      </c>
      <c r="K1019" s="4"/>
      <c r="L1019" s="16"/>
      <c r="M1019" s="4"/>
      <c r="N1019" s="4"/>
      <c r="O1019" s="4"/>
      <c r="P1019" s="4"/>
      <c r="Q1019" s="4"/>
      <c r="R1019" s="4"/>
      <c r="S1019" s="4">
        <v>0</v>
      </c>
      <c r="T1019" s="4">
        <v>0</v>
      </c>
      <c r="U1019" s="4">
        <v>0</v>
      </c>
      <c r="V1019" s="4">
        <v>12</v>
      </c>
      <c r="W1019" s="4">
        <v>12</v>
      </c>
      <c r="X1019" s="4">
        <v>0</v>
      </c>
      <c r="Y1019" s="4"/>
      <c r="Z1019" s="4">
        <v>175.10000000000002</v>
      </c>
      <c r="AA1019" s="4">
        <v>200</v>
      </c>
      <c r="AB1019" s="18"/>
      <c r="AC1019" s="18">
        <v>20</v>
      </c>
      <c r="AD1019" s="28"/>
      <c r="AE1019" s="26"/>
      <c r="AF1019" s="28"/>
    </row>
    <row r="1020" spans="1:32" ht="13.5" customHeight="1" x14ac:dyDescent="0.25">
      <c r="A1020" s="14">
        <v>45792</v>
      </c>
      <c r="B1020" s="14" t="s">
        <v>47</v>
      </c>
      <c r="C1020" s="15">
        <v>2</v>
      </c>
      <c r="D1020" s="16"/>
      <c r="E1020" s="16"/>
      <c r="F1020" s="17"/>
      <c r="G1020" s="21"/>
      <c r="H1020" s="21"/>
      <c r="I1020" s="4">
        <v>0</v>
      </c>
      <c r="J1020" s="4">
        <v>0</v>
      </c>
      <c r="K1020" s="4"/>
      <c r="L1020" s="16"/>
      <c r="M1020" s="4"/>
      <c r="N1020" s="4"/>
      <c r="O1020" s="4"/>
      <c r="P1020" s="4"/>
      <c r="Q1020" s="4"/>
      <c r="R1020" s="4"/>
      <c r="S1020" s="4">
        <v>0</v>
      </c>
      <c r="T1020" s="4">
        <v>0</v>
      </c>
      <c r="U1020" s="4">
        <v>0</v>
      </c>
      <c r="V1020" s="4">
        <v>12</v>
      </c>
      <c r="W1020" s="4">
        <v>12</v>
      </c>
      <c r="X1020" s="4">
        <v>0</v>
      </c>
      <c r="Y1020" s="4"/>
      <c r="Z1020" s="4">
        <v>196.8</v>
      </c>
      <c r="AA1020" s="4">
        <v>200</v>
      </c>
      <c r="AB1020" s="18"/>
      <c r="AC1020" s="18">
        <v>20</v>
      </c>
      <c r="AD1020" s="28"/>
      <c r="AE1020" s="26"/>
      <c r="AF1020" s="28"/>
    </row>
    <row r="1021" spans="1:32" ht="13.5" customHeight="1" x14ac:dyDescent="0.25">
      <c r="A1021" s="14">
        <v>45792</v>
      </c>
      <c r="B1021" s="14" t="s">
        <v>46</v>
      </c>
      <c r="C1021" s="15">
        <v>3</v>
      </c>
      <c r="D1021" s="16"/>
      <c r="E1021" s="16"/>
      <c r="F1021" s="17"/>
      <c r="G1021" s="21"/>
      <c r="H1021" s="21"/>
      <c r="I1021" s="4">
        <v>0</v>
      </c>
      <c r="J1021" s="4">
        <v>0</v>
      </c>
      <c r="K1021" s="4"/>
      <c r="L1021" s="16"/>
      <c r="M1021" s="4"/>
      <c r="N1021" s="4"/>
      <c r="O1021" s="4"/>
      <c r="P1021" s="4"/>
      <c r="Q1021" s="4"/>
      <c r="R1021" s="4"/>
      <c r="S1021" s="4">
        <v>0</v>
      </c>
      <c r="T1021" s="4">
        <v>0</v>
      </c>
      <c r="U1021" s="4">
        <v>0</v>
      </c>
      <c r="V1021" s="4">
        <v>12</v>
      </c>
      <c r="W1021" s="4">
        <v>12</v>
      </c>
      <c r="X1021" s="4">
        <v>0</v>
      </c>
      <c r="Y1021" s="4"/>
      <c r="Z1021" s="4">
        <v>232.80000000000004</v>
      </c>
      <c r="AA1021" s="4">
        <v>200</v>
      </c>
      <c r="AB1021" s="18"/>
      <c r="AC1021" s="18">
        <v>20</v>
      </c>
      <c r="AD1021" s="28"/>
      <c r="AE1021" s="26"/>
      <c r="AF1021" s="28"/>
    </row>
    <row r="1022" spans="1:32" ht="13.5" customHeight="1" x14ac:dyDescent="0.25">
      <c r="A1022" s="14">
        <v>45792</v>
      </c>
      <c r="B1022" s="14" t="s">
        <v>47</v>
      </c>
      <c r="C1022" s="15">
        <v>3</v>
      </c>
      <c r="D1022" s="16"/>
      <c r="E1022" s="16"/>
      <c r="F1022" s="17"/>
      <c r="G1022" s="21"/>
      <c r="H1022" s="21"/>
      <c r="I1022" s="4">
        <v>0</v>
      </c>
      <c r="J1022" s="4">
        <v>0</v>
      </c>
      <c r="K1022" s="4"/>
      <c r="L1022" s="16"/>
      <c r="M1022" s="4"/>
      <c r="N1022" s="4"/>
      <c r="O1022" s="4"/>
      <c r="P1022" s="4"/>
      <c r="Q1022" s="4"/>
      <c r="R1022" s="4"/>
      <c r="S1022" s="4">
        <v>0</v>
      </c>
      <c r="T1022" s="4">
        <v>0</v>
      </c>
      <c r="U1022" s="4">
        <v>0</v>
      </c>
      <c r="V1022" s="4">
        <v>12</v>
      </c>
      <c r="W1022" s="4">
        <v>12</v>
      </c>
      <c r="X1022" s="4">
        <v>0</v>
      </c>
      <c r="Y1022" s="4"/>
      <c r="Z1022" s="4">
        <v>336.4</v>
      </c>
      <c r="AA1022" s="4">
        <v>300</v>
      </c>
      <c r="AB1022" s="18"/>
      <c r="AC1022" s="18">
        <v>20</v>
      </c>
      <c r="AD1022" s="28"/>
      <c r="AE1022" s="26"/>
      <c r="AF1022" s="28"/>
    </row>
    <row r="1023" spans="1:32" ht="13.5" customHeight="1" x14ac:dyDescent="0.25">
      <c r="A1023" s="14">
        <v>45792</v>
      </c>
      <c r="B1023" s="14" t="s">
        <v>46</v>
      </c>
      <c r="C1023" s="15">
        <v>6</v>
      </c>
      <c r="D1023" s="16">
        <v>5</v>
      </c>
      <c r="E1023" s="16"/>
      <c r="F1023" s="17"/>
      <c r="G1023" s="21"/>
      <c r="H1023" s="21"/>
      <c r="I1023" s="4">
        <v>5</v>
      </c>
      <c r="J1023" s="4">
        <v>8.3333333333333329E-2</v>
      </c>
      <c r="K1023" s="4"/>
      <c r="L1023" s="16"/>
      <c r="M1023" s="4"/>
      <c r="N1023" s="4"/>
      <c r="O1023" s="4"/>
      <c r="P1023" s="4"/>
      <c r="Q1023" s="4"/>
      <c r="R1023" s="4"/>
      <c r="S1023" s="4">
        <v>0</v>
      </c>
      <c r="T1023" s="4">
        <v>0</v>
      </c>
      <c r="U1023" s="4">
        <v>8.3333333333333329E-2</v>
      </c>
      <c r="V1023" s="4">
        <v>11.916666666666666</v>
      </c>
      <c r="W1023" s="4">
        <v>12</v>
      </c>
      <c r="X1023" s="4">
        <v>26</v>
      </c>
      <c r="Y1023" s="4"/>
      <c r="Z1023" s="4">
        <v>591.6</v>
      </c>
      <c r="AA1023" s="4">
        <v>600</v>
      </c>
      <c r="AB1023" s="18"/>
      <c r="AC1023" s="18">
        <v>20</v>
      </c>
      <c r="AD1023" s="28"/>
      <c r="AE1023" s="26"/>
      <c r="AF1023" s="28"/>
    </row>
    <row r="1024" spans="1:32" ht="13.5" customHeight="1" x14ac:dyDescent="0.25">
      <c r="A1024" s="14">
        <v>45792</v>
      </c>
      <c r="B1024" s="14" t="s">
        <v>47</v>
      </c>
      <c r="C1024" s="15">
        <v>6</v>
      </c>
      <c r="D1024" s="16">
        <v>10</v>
      </c>
      <c r="E1024" s="16"/>
      <c r="F1024" s="17"/>
      <c r="G1024" s="21"/>
      <c r="H1024" s="21"/>
      <c r="I1024" s="4">
        <v>10</v>
      </c>
      <c r="J1024" s="4">
        <v>0.16666666666666666</v>
      </c>
      <c r="K1024" s="4"/>
      <c r="L1024" s="16"/>
      <c r="M1024" s="4"/>
      <c r="N1024" s="4"/>
      <c r="O1024" s="4"/>
      <c r="P1024" s="4">
        <v>10</v>
      </c>
      <c r="Q1024" s="4"/>
      <c r="R1024" s="4"/>
      <c r="S1024" s="4">
        <v>10</v>
      </c>
      <c r="T1024" s="4">
        <v>0.16666666666666666</v>
      </c>
      <c r="U1024" s="4">
        <v>0.33333333333333331</v>
      </c>
      <c r="V1024" s="4">
        <v>11.666666666666666</v>
      </c>
      <c r="W1024" s="4">
        <v>12</v>
      </c>
      <c r="X1024" s="4">
        <v>23.8</v>
      </c>
      <c r="Y1024" s="4"/>
      <c r="Z1024" s="4">
        <v>565.79999999999995</v>
      </c>
      <c r="AA1024" s="4">
        <v>600</v>
      </c>
      <c r="AB1024" s="18"/>
      <c r="AC1024" s="18">
        <v>20</v>
      </c>
      <c r="AD1024" s="28"/>
      <c r="AE1024" s="26"/>
      <c r="AF1024" s="28"/>
    </row>
    <row r="1025" spans="1:32" ht="13.5" customHeight="1" x14ac:dyDescent="0.25">
      <c r="A1025" s="14">
        <v>45792</v>
      </c>
      <c r="B1025" s="14" t="s">
        <v>46</v>
      </c>
      <c r="C1025" s="15">
        <v>7</v>
      </c>
      <c r="D1025" s="16"/>
      <c r="E1025" s="16"/>
      <c r="F1025" s="17"/>
      <c r="G1025" s="21"/>
      <c r="H1025" s="21"/>
      <c r="I1025" s="4">
        <v>0</v>
      </c>
      <c r="J1025" s="4">
        <v>0</v>
      </c>
      <c r="K1025" s="4"/>
      <c r="L1025" s="16"/>
      <c r="M1025" s="4"/>
      <c r="N1025" s="4"/>
      <c r="O1025" s="4"/>
      <c r="P1025" s="4"/>
      <c r="Q1025" s="4"/>
      <c r="R1025" s="4"/>
      <c r="S1025" s="4">
        <v>0</v>
      </c>
      <c r="T1025" s="4">
        <v>0</v>
      </c>
      <c r="U1025" s="4">
        <v>0</v>
      </c>
      <c r="V1025" s="4">
        <v>12</v>
      </c>
      <c r="W1025" s="4">
        <v>12</v>
      </c>
      <c r="X1025" s="4">
        <v>0</v>
      </c>
      <c r="Y1025" s="4"/>
      <c r="Z1025" s="4">
        <v>357.8</v>
      </c>
      <c r="AA1025" s="4">
        <v>350</v>
      </c>
      <c r="AB1025" s="18"/>
      <c r="AC1025" s="18">
        <v>20</v>
      </c>
      <c r="AD1025" s="28"/>
      <c r="AE1025" s="26"/>
      <c r="AF1025" s="28"/>
    </row>
    <row r="1026" spans="1:32" ht="13.5" customHeight="1" x14ac:dyDescent="0.25">
      <c r="A1026" s="14">
        <v>45792</v>
      </c>
      <c r="B1026" s="14" t="s">
        <v>47</v>
      </c>
      <c r="C1026" s="15">
        <v>7</v>
      </c>
      <c r="D1026" s="16"/>
      <c r="E1026" s="16"/>
      <c r="F1026" s="17"/>
      <c r="G1026" s="21"/>
      <c r="H1026" s="21"/>
      <c r="I1026" s="4">
        <v>0</v>
      </c>
      <c r="J1026" s="4">
        <v>0</v>
      </c>
      <c r="K1026" s="4"/>
      <c r="L1026" s="16"/>
      <c r="M1026" s="4"/>
      <c r="N1026" s="4"/>
      <c r="O1026" s="4"/>
      <c r="P1026" s="4"/>
      <c r="Q1026" s="4"/>
      <c r="R1026" s="4"/>
      <c r="S1026" s="4">
        <v>0</v>
      </c>
      <c r="T1026" s="4">
        <v>0</v>
      </c>
      <c r="U1026" s="4">
        <v>0</v>
      </c>
      <c r="V1026" s="4">
        <v>12</v>
      </c>
      <c r="W1026" s="4">
        <v>12</v>
      </c>
      <c r="X1026" s="4">
        <v>0</v>
      </c>
      <c r="Y1026" s="4"/>
      <c r="Z1026" s="4">
        <v>354.53</v>
      </c>
      <c r="AA1026" s="4">
        <v>350</v>
      </c>
      <c r="AB1026" s="18"/>
      <c r="AC1026" s="18">
        <v>20</v>
      </c>
      <c r="AD1026" s="28"/>
      <c r="AE1026" s="26"/>
      <c r="AF1026" s="28"/>
    </row>
    <row r="1027" spans="1:32" ht="13.5" customHeight="1" x14ac:dyDescent="0.25">
      <c r="A1027" s="14">
        <v>45793</v>
      </c>
      <c r="B1027" s="14" t="s">
        <v>46</v>
      </c>
      <c r="C1027" s="15">
        <v>1</v>
      </c>
      <c r="D1027" s="16"/>
      <c r="E1027" s="16"/>
      <c r="F1027" s="17"/>
      <c r="G1027" s="21"/>
      <c r="H1027" s="21"/>
      <c r="I1027" s="4">
        <v>0</v>
      </c>
      <c r="J1027" s="4">
        <v>0</v>
      </c>
      <c r="K1027" s="4"/>
      <c r="L1027" s="16"/>
      <c r="M1027" s="4"/>
      <c r="N1027" s="4"/>
      <c r="O1027" s="4"/>
      <c r="P1027" s="4"/>
      <c r="Q1027" s="4"/>
      <c r="R1027" s="4"/>
      <c r="S1027" s="4">
        <v>0</v>
      </c>
      <c r="T1027" s="4">
        <v>0</v>
      </c>
      <c r="U1027" s="4">
        <v>0</v>
      </c>
      <c r="V1027" s="4">
        <v>12</v>
      </c>
      <c r="W1027" s="4">
        <v>12</v>
      </c>
      <c r="X1027" s="4">
        <v>0</v>
      </c>
      <c r="Y1027" s="4">
        <v>1923</v>
      </c>
      <c r="Z1027" s="4">
        <v>124.60000000000001</v>
      </c>
      <c r="AA1027" s="4">
        <v>150</v>
      </c>
      <c r="AB1027" s="18">
        <v>372</v>
      </c>
      <c r="AC1027" s="18">
        <v>20</v>
      </c>
      <c r="AD1027" s="28"/>
      <c r="AE1027" s="26"/>
      <c r="AF1027" s="28"/>
    </row>
    <row r="1028" spans="1:32" ht="13.5" customHeight="1" x14ac:dyDescent="0.25">
      <c r="A1028" s="14">
        <v>45793</v>
      </c>
      <c r="B1028" s="14" t="s">
        <v>47</v>
      </c>
      <c r="C1028" s="15">
        <v>1</v>
      </c>
      <c r="D1028" s="16"/>
      <c r="E1028" s="16"/>
      <c r="F1028" s="17"/>
      <c r="G1028" s="21"/>
      <c r="H1028" s="21"/>
      <c r="I1028" s="4">
        <v>0</v>
      </c>
      <c r="J1028" s="4">
        <v>0</v>
      </c>
      <c r="K1028" s="4"/>
      <c r="L1028" s="16"/>
      <c r="M1028" s="4"/>
      <c r="N1028" s="4"/>
      <c r="O1028" s="4"/>
      <c r="P1028" s="4"/>
      <c r="Q1028" s="4"/>
      <c r="R1028" s="4"/>
      <c r="S1028" s="4">
        <v>0</v>
      </c>
      <c r="T1028" s="4">
        <v>0</v>
      </c>
      <c r="U1028" s="4">
        <v>0</v>
      </c>
      <c r="V1028" s="4">
        <v>12</v>
      </c>
      <c r="W1028" s="4">
        <v>12</v>
      </c>
      <c r="X1028" s="4">
        <v>0</v>
      </c>
      <c r="Y1028" s="4"/>
      <c r="Z1028" s="4">
        <v>119.69999999999999</v>
      </c>
      <c r="AA1028" s="4">
        <v>100</v>
      </c>
      <c r="AB1028" s="18"/>
      <c r="AC1028" s="18">
        <v>20</v>
      </c>
      <c r="AD1028" s="28"/>
      <c r="AE1028" s="26"/>
      <c r="AF1028" s="28"/>
    </row>
    <row r="1029" spans="1:32" ht="13.5" customHeight="1" x14ac:dyDescent="0.25">
      <c r="A1029" s="14">
        <v>45793</v>
      </c>
      <c r="B1029" s="14" t="s">
        <v>46</v>
      </c>
      <c r="C1029" s="15">
        <v>2</v>
      </c>
      <c r="D1029" s="16"/>
      <c r="E1029" s="16"/>
      <c r="F1029" s="17"/>
      <c r="G1029" s="21"/>
      <c r="H1029" s="21"/>
      <c r="I1029" s="4">
        <v>0</v>
      </c>
      <c r="J1029" s="4">
        <v>0</v>
      </c>
      <c r="K1029" s="4"/>
      <c r="L1029" s="16"/>
      <c r="M1029" s="4"/>
      <c r="N1029" s="4"/>
      <c r="O1029" s="4"/>
      <c r="P1029" s="4"/>
      <c r="Q1029" s="4"/>
      <c r="R1029" s="4"/>
      <c r="S1029" s="4">
        <v>0</v>
      </c>
      <c r="T1029" s="4">
        <v>0</v>
      </c>
      <c r="U1029" s="4">
        <v>0</v>
      </c>
      <c r="V1029" s="4">
        <v>12</v>
      </c>
      <c r="W1029" s="4">
        <v>12</v>
      </c>
      <c r="X1029" s="4">
        <v>0</v>
      </c>
      <c r="Y1029" s="4"/>
      <c r="Z1029" s="4">
        <v>239.99999999999997</v>
      </c>
      <c r="AA1029" s="4">
        <v>250</v>
      </c>
      <c r="AB1029" s="18"/>
      <c r="AC1029" s="18">
        <v>20</v>
      </c>
      <c r="AD1029" s="28"/>
      <c r="AE1029" s="26"/>
      <c r="AF1029" s="28"/>
    </row>
    <row r="1030" spans="1:32" ht="13.5" customHeight="1" x14ac:dyDescent="0.25">
      <c r="A1030" s="14">
        <v>45793</v>
      </c>
      <c r="B1030" s="14" t="s">
        <v>47</v>
      </c>
      <c r="C1030" s="15">
        <v>2</v>
      </c>
      <c r="D1030" s="16"/>
      <c r="E1030" s="16"/>
      <c r="F1030" s="17"/>
      <c r="G1030" s="21"/>
      <c r="H1030" s="21"/>
      <c r="I1030" s="4">
        <v>0</v>
      </c>
      <c r="J1030" s="4">
        <v>0</v>
      </c>
      <c r="K1030" s="4"/>
      <c r="L1030" s="16"/>
      <c r="M1030" s="4"/>
      <c r="N1030" s="4"/>
      <c r="O1030" s="4"/>
      <c r="P1030" s="4"/>
      <c r="Q1030" s="4"/>
      <c r="R1030" s="4"/>
      <c r="S1030" s="4">
        <v>0</v>
      </c>
      <c r="T1030" s="4">
        <v>0</v>
      </c>
      <c r="U1030" s="4">
        <v>0</v>
      </c>
      <c r="V1030" s="4">
        <v>12</v>
      </c>
      <c r="W1030" s="4">
        <v>12</v>
      </c>
      <c r="X1030" s="4">
        <v>0</v>
      </c>
      <c r="Y1030" s="4"/>
      <c r="Z1030" s="4">
        <v>270.3</v>
      </c>
      <c r="AA1030" s="4">
        <v>300</v>
      </c>
      <c r="AB1030" s="18"/>
      <c r="AC1030" s="18">
        <v>20</v>
      </c>
      <c r="AD1030" s="28"/>
      <c r="AE1030" s="26"/>
      <c r="AF1030" s="28"/>
    </row>
    <row r="1031" spans="1:32" ht="13.5" customHeight="1" x14ac:dyDescent="0.25">
      <c r="A1031" s="14">
        <v>45793</v>
      </c>
      <c r="B1031" s="14" t="s">
        <v>46</v>
      </c>
      <c r="C1031" s="15">
        <v>3</v>
      </c>
      <c r="D1031" s="16">
        <v>8</v>
      </c>
      <c r="E1031" s="16"/>
      <c r="F1031" s="17"/>
      <c r="G1031" s="21"/>
      <c r="H1031" s="21"/>
      <c r="I1031" s="4">
        <v>8</v>
      </c>
      <c r="J1031" s="4">
        <v>0.13333333333333333</v>
      </c>
      <c r="K1031" s="4"/>
      <c r="L1031" s="16"/>
      <c r="M1031" s="4"/>
      <c r="N1031" s="4"/>
      <c r="O1031" s="4"/>
      <c r="P1031" s="4"/>
      <c r="Q1031" s="4"/>
      <c r="R1031" s="4"/>
      <c r="S1031" s="4">
        <v>0</v>
      </c>
      <c r="T1031" s="4">
        <v>0</v>
      </c>
      <c r="U1031" s="4">
        <v>0.13333333333333333</v>
      </c>
      <c r="V1031" s="4">
        <v>11.866666666666667</v>
      </c>
      <c r="W1031" s="4">
        <v>12</v>
      </c>
      <c r="X1031" s="4">
        <v>0</v>
      </c>
      <c r="Y1031" s="4"/>
      <c r="Z1031" s="4">
        <v>298.80000000000007</v>
      </c>
      <c r="AA1031" s="4">
        <v>350</v>
      </c>
      <c r="AB1031" s="18"/>
      <c r="AC1031" s="18">
        <v>20</v>
      </c>
      <c r="AD1031" s="28"/>
      <c r="AE1031" s="26"/>
      <c r="AF1031" s="28"/>
    </row>
    <row r="1032" spans="1:32" ht="13.5" customHeight="1" x14ac:dyDescent="0.25">
      <c r="A1032" s="14">
        <v>45793</v>
      </c>
      <c r="B1032" s="14" t="s">
        <v>47</v>
      </c>
      <c r="C1032" s="15">
        <v>3</v>
      </c>
      <c r="D1032" s="16"/>
      <c r="E1032" s="16"/>
      <c r="F1032" s="17"/>
      <c r="G1032" s="21"/>
      <c r="H1032" s="21"/>
      <c r="I1032" s="4">
        <v>0</v>
      </c>
      <c r="J1032" s="4">
        <v>0</v>
      </c>
      <c r="K1032" s="4"/>
      <c r="L1032" s="16"/>
      <c r="M1032" s="4"/>
      <c r="N1032" s="4"/>
      <c r="O1032" s="4"/>
      <c r="P1032" s="4"/>
      <c r="Q1032" s="4"/>
      <c r="R1032" s="4"/>
      <c r="S1032" s="4">
        <v>0</v>
      </c>
      <c r="T1032" s="4">
        <v>0</v>
      </c>
      <c r="U1032" s="4">
        <v>0</v>
      </c>
      <c r="V1032" s="4">
        <v>12</v>
      </c>
      <c r="W1032" s="4">
        <v>12</v>
      </c>
      <c r="X1032" s="4">
        <v>0</v>
      </c>
      <c r="Y1032" s="4"/>
      <c r="Z1032" s="4">
        <v>296.3</v>
      </c>
      <c r="AA1032" s="4">
        <v>300</v>
      </c>
      <c r="AB1032" s="18"/>
      <c r="AC1032" s="18">
        <v>20</v>
      </c>
      <c r="AD1032" s="28"/>
      <c r="AE1032" s="26"/>
      <c r="AF1032" s="28"/>
    </row>
    <row r="1033" spans="1:32" ht="13.5" customHeight="1" x14ac:dyDescent="0.25">
      <c r="A1033" s="14">
        <v>45793</v>
      </c>
      <c r="B1033" s="14" t="s">
        <v>46</v>
      </c>
      <c r="C1033" s="15">
        <v>6</v>
      </c>
      <c r="D1033" s="16">
        <v>9</v>
      </c>
      <c r="E1033" s="16"/>
      <c r="F1033" s="17"/>
      <c r="G1033" s="21"/>
      <c r="H1033" s="21"/>
      <c r="I1033" s="4">
        <v>9</v>
      </c>
      <c r="J1033" s="4">
        <v>0.15</v>
      </c>
      <c r="K1033" s="4"/>
      <c r="L1033" s="16">
        <v>10</v>
      </c>
      <c r="M1033" s="4"/>
      <c r="N1033" s="4">
        <v>7</v>
      </c>
      <c r="O1033" s="4"/>
      <c r="P1033" s="4"/>
      <c r="Q1033" s="4"/>
      <c r="R1033" s="4"/>
      <c r="S1033" s="4">
        <v>17</v>
      </c>
      <c r="T1033" s="4">
        <v>0.28333333333333333</v>
      </c>
      <c r="U1033" s="4">
        <v>0.43333333333333335</v>
      </c>
      <c r="V1033" s="4">
        <v>11.566666666666666</v>
      </c>
      <c r="W1033" s="4">
        <v>12</v>
      </c>
      <c r="X1033" s="4">
        <v>51</v>
      </c>
      <c r="Y1033" s="4"/>
      <c r="Z1033" s="4">
        <v>662.59999999999991</v>
      </c>
      <c r="AA1033" s="4">
        <v>650</v>
      </c>
      <c r="AB1033" s="18"/>
      <c r="AC1033" s="18">
        <v>20</v>
      </c>
      <c r="AD1033" s="28"/>
      <c r="AE1033" s="26"/>
      <c r="AF1033" s="28"/>
    </row>
    <row r="1034" spans="1:32" ht="13.5" customHeight="1" x14ac:dyDescent="0.25">
      <c r="A1034" s="14">
        <v>45793</v>
      </c>
      <c r="B1034" s="14" t="s">
        <v>47</v>
      </c>
      <c r="C1034" s="15">
        <v>6</v>
      </c>
      <c r="D1034" s="16">
        <v>40</v>
      </c>
      <c r="E1034" s="16"/>
      <c r="F1034" s="17"/>
      <c r="G1034" s="21"/>
      <c r="H1034" s="21"/>
      <c r="I1034" s="4">
        <v>40</v>
      </c>
      <c r="J1034" s="4">
        <v>0.66666666666666663</v>
      </c>
      <c r="K1034" s="4"/>
      <c r="L1034" s="16"/>
      <c r="M1034" s="4"/>
      <c r="N1034" s="4"/>
      <c r="O1034" s="4"/>
      <c r="P1034" s="4"/>
      <c r="Q1034" s="4"/>
      <c r="R1034" s="4"/>
      <c r="S1034" s="4">
        <v>0</v>
      </c>
      <c r="T1034" s="4">
        <v>0</v>
      </c>
      <c r="U1034" s="4">
        <v>0.66666666666666663</v>
      </c>
      <c r="V1034" s="4">
        <v>11.333333333333334</v>
      </c>
      <c r="W1034" s="4">
        <v>12</v>
      </c>
      <c r="X1034" s="4">
        <v>129</v>
      </c>
      <c r="Y1034" s="4"/>
      <c r="Z1034" s="4">
        <v>655.7</v>
      </c>
      <c r="AA1034" s="4">
        <v>650</v>
      </c>
      <c r="AB1034" s="18"/>
      <c r="AC1034" s="18">
        <v>20</v>
      </c>
      <c r="AD1034" s="28"/>
      <c r="AE1034" s="26"/>
      <c r="AF1034" s="28"/>
    </row>
    <row r="1035" spans="1:32" ht="13.5" customHeight="1" x14ac:dyDescent="0.25">
      <c r="A1035" s="14">
        <v>45793</v>
      </c>
      <c r="B1035" s="14" t="s">
        <v>46</v>
      </c>
      <c r="C1035" s="15">
        <v>7</v>
      </c>
      <c r="D1035" s="16">
        <v>20</v>
      </c>
      <c r="E1035" s="16"/>
      <c r="F1035" s="17"/>
      <c r="G1035" s="21"/>
      <c r="H1035" s="21"/>
      <c r="I1035" s="4">
        <v>20</v>
      </c>
      <c r="J1035" s="4">
        <v>0.33333333333333331</v>
      </c>
      <c r="K1035" s="4"/>
      <c r="L1035" s="16"/>
      <c r="M1035" s="4"/>
      <c r="N1035" s="4"/>
      <c r="O1035" s="4"/>
      <c r="P1035" s="4"/>
      <c r="Q1035" s="4"/>
      <c r="R1035" s="4"/>
      <c r="S1035" s="4">
        <v>0</v>
      </c>
      <c r="T1035" s="4">
        <v>0</v>
      </c>
      <c r="U1035" s="4">
        <v>0.33333333333333331</v>
      </c>
      <c r="V1035" s="4">
        <v>11.666666666666666</v>
      </c>
      <c r="W1035" s="4">
        <v>12</v>
      </c>
      <c r="X1035" s="4">
        <v>0</v>
      </c>
      <c r="Y1035" s="4"/>
      <c r="Z1035" s="4">
        <v>297</v>
      </c>
      <c r="AA1035" s="4">
        <v>300</v>
      </c>
      <c r="AB1035" s="18"/>
      <c r="AC1035" s="18">
        <v>20</v>
      </c>
      <c r="AD1035" s="28"/>
      <c r="AE1035" s="26"/>
      <c r="AF1035" s="28"/>
    </row>
    <row r="1036" spans="1:32" ht="13.5" customHeight="1" x14ac:dyDescent="0.25">
      <c r="A1036" s="14">
        <v>45793</v>
      </c>
      <c r="B1036" s="14" t="s">
        <v>47</v>
      </c>
      <c r="C1036" s="15">
        <v>7</v>
      </c>
      <c r="D1036" s="16"/>
      <c r="E1036" s="16"/>
      <c r="F1036" s="17"/>
      <c r="G1036" s="21"/>
      <c r="H1036" s="21"/>
      <c r="I1036" s="4">
        <v>0</v>
      </c>
      <c r="J1036" s="4">
        <v>0</v>
      </c>
      <c r="K1036" s="4"/>
      <c r="L1036" s="16"/>
      <c r="M1036" s="4"/>
      <c r="N1036" s="4"/>
      <c r="O1036" s="4"/>
      <c r="P1036" s="4"/>
      <c r="Q1036" s="4"/>
      <c r="R1036" s="4"/>
      <c r="S1036" s="4">
        <v>0</v>
      </c>
      <c r="T1036" s="4">
        <v>0</v>
      </c>
      <c r="U1036" s="4">
        <v>0</v>
      </c>
      <c r="V1036" s="4">
        <v>12</v>
      </c>
      <c r="W1036" s="4">
        <v>12</v>
      </c>
      <c r="X1036" s="4">
        <v>0</v>
      </c>
      <c r="Y1036" s="4"/>
      <c r="Z1036" s="4">
        <v>396.98</v>
      </c>
      <c r="AA1036" s="4">
        <v>400</v>
      </c>
      <c r="AB1036" s="18"/>
      <c r="AC1036" s="18">
        <v>20</v>
      </c>
      <c r="AD1036" s="28"/>
      <c r="AE1036" s="26"/>
      <c r="AF1036" s="28"/>
    </row>
    <row r="1037" spans="1:32" ht="13.5" customHeight="1" x14ac:dyDescent="0.25">
      <c r="A1037" s="14">
        <v>45794</v>
      </c>
      <c r="B1037" s="14" t="s">
        <v>46</v>
      </c>
      <c r="C1037" s="15">
        <v>1</v>
      </c>
      <c r="D1037" s="16"/>
      <c r="E1037" s="16"/>
      <c r="F1037" s="17"/>
      <c r="G1037" s="21"/>
      <c r="H1037" s="21"/>
      <c r="I1037" s="4">
        <v>0</v>
      </c>
      <c r="J1037" s="4">
        <v>0</v>
      </c>
      <c r="K1037" s="4"/>
      <c r="L1037" s="16"/>
      <c r="M1037" s="4"/>
      <c r="N1037" s="4"/>
      <c r="O1037" s="4"/>
      <c r="P1037" s="4"/>
      <c r="Q1037" s="4"/>
      <c r="R1037" s="4"/>
      <c r="S1037" s="4">
        <v>0</v>
      </c>
      <c r="T1037" s="4">
        <v>0</v>
      </c>
      <c r="U1037" s="4">
        <v>0</v>
      </c>
      <c r="V1037" s="4">
        <v>12</v>
      </c>
      <c r="W1037" s="4">
        <v>12</v>
      </c>
      <c r="X1037" s="4">
        <v>0</v>
      </c>
      <c r="Y1037" s="4">
        <v>1791</v>
      </c>
      <c r="Z1037" s="4">
        <v>146.6</v>
      </c>
      <c r="AA1037" s="4">
        <v>150</v>
      </c>
      <c r="AB1037" s="18">
        <v>372</v>
      </c>
      <c r="AC1037" s="18">
        <v>20</v>
      </c>
      <c r="AD1037" s="28"/>
      <c r="AE1037" s="26"/>
      <c r="AF1037" s="28"/>
    </row>
    <row r="1038" spans="1:32" ht="13.5" customHeight="1" x14ac:dyDescent="0.25">
      <c r="A1038" s="14">
        <v>45794</v>
      </c>
      <c r="B1038" s="14" t="s">
        <v>47</v>
      </c>
      <c r="C1038" s="15">
        <v>1</v>
      </c>
      <c r="D1038" s="16"/>
      <c r="E1038" s="16"/>
      <c r="F1038" s="17"/>
      <c r="G1038" s="21"/>
      <c r="H1038" s="21"/>
      <c r="I1038" s="4">
        <v>0</v>
      </c>
      <c r="J1038" s="4">
        <v>0</v>
      </c>
      <c r="K1038" s="4"/>
      <c r="L1038" s="16"/>
      <c r="M1038" s="4"/>
      <c r="N1038" s="4"/>
      <c r="O1038" s="4"/>
      <c r="P1038" s="4"/>
      <c r="Q1038" s="4"/>
      <c r="R1038" s="4"/>
      <c r="S1038" s="4">
        <v>0</v>
      </c>
      <c r="T1038" s="4">
        <v>0</v>
      </c>
      <c r="U1038" s="4">
        <v>0</v>
      </c>
      <c r="V1038" s="4">
        <v>12</v>
      </c>
      <c r="W1038" s="4">
        <v>12</v>
      </c>
      <c r="X1038" s="4">
        <v>0</v>
      </c>
      <c r="Y1038" s="4"/>
      <c r="Z1038" s="4">
        <v>123.7</v>
      </c>
      <c r="AA1038" s="4">
        <v>150</v>
      </c>
      <c r="AB1038" s="18"/>
      <c r="AC1038" s="18">
        <v>20</v>
      </c>
      <c r="AD1038" s="28"/>
      <c r="AE1038" s="26"/>
      <c r="AF1038" s="28"/>
    </row>
    <row r="1039" spans="1:32" ht="13.5" customHeight="1" x14ac:dyDescent="0.25">
      <c r="A1039" s="14">
        <v>45794</v>
      </c>
      <c r="B1039" s="14" t="s">
        <v>46</v>
      </c>
      <c r="C1039" s="15">
        <v>2</v>
      </c>
      <c r="D1039" s="16"/>
      <c r="E1039" s="16"/>
      <c r="F1039" s="17"/>
      <c r="G1039" s="21"/>
      <c r="H1039" s="21"/>
      <c r="I1039" s="4">
        <v>0</v>
      </c>
      <c r="J1039" s="4">
        <v>0</v>
      </c>
      <c r="K1039" s="4"/>
      <c r="L1039" s="16"/>
      <c r="M1039" s="4"/>
      <c r="N1039" s="4"/>
      <c r="O1039" s="4"/>
      <c r="P1039" s="4"/>
      <c r="Q1039" s="4"/>
      <c r="R1039" s="4"/>
      <c r="S1039" s="4">
        <v>0</v>
      </c>
      <c r="T1039" s="4">
        <v>0</v>
      </c>
      <c r="U1039" s="4">
        <v>0</v>
      </c>
      <c r="V1039" s="4">
        <v>12</v>
      </c>
      <c r="W1039" s="4">
        <v>12</v>
      </c>
      <c r="X1039" s="4">
        <v>0</v>
      </c>
      <c r="Y1039" s="4"/>
      <c r="Z1039" s="4">
        <v>390.2</v>
      </c>
      <c r="AA1039" s="4">
        <v>400</v>
      </c>
      <c r="AB1039" s="18"/>
      <c r="AC1039" s="18">
        <v>20</v>
      </c>
      <c r="AD1039" s="28"/>
      <c r="AE1039" s="26"/>
      <c r="AF1039" s="28"/>
    </row>
    <row r="1040" spans="1:32" ht="13.5" customHeight="1" x14ac:dyDescent="0.25">
      <c r="A1040" s="14">
        <v>45794</v>
      </c>
      <c r="B1040" s="14" t="s">
        <v>47</v>
      </c>
      <c r="C1040" s="15">
        <v>2</v>
      </c>
      <c r="D1040" s="16"/>
      <c r="E1040" s="16"/>
      <c r="F1040" s="17"/>
      <c r="G1040" s="21"/>
      <c r="H1040" s="21"/>
      <c r="I1040" s="4">
        <v>0</v>
      </c>
      <c r="J1040" s="4">
        <v>0</v>
      </c>
      <c r="K1040" s="4"/>
      <c r="L1040" s="16"/>
      <c r="M1040" s="4"/>
      <c r="N1040" s="4"/>
      <c r="O1040" s="4"/>
      <c r="P1040" s="4"/>
      <c r="Q1040" s="4"/>
      <c r="R1040" s="4"/>
      <c r="S1040" s="4">
        <v>0</v>
      </c>
      <c r="T1040" s="4">
        <v>0</v>
      </c>
      <c r="U1040" s="4">
        <v>0</v>
      </c>
      <c r="V1040" s="4">
        <v>12</v>
      </c>
      <c r="W1040" s="4">
        <v>12</v>
      </c>
      <c r="X1040" s="4">
        <v>0</v>
      </c>
      <c r="Y1040" s="4"/>
      <c r="Z1040" s="4">
        <v>404.5</v>
      </c>
      <c r="AA1040" s="4">
        <v>400</v>
      </c>
      <c r="AB1040" s="18"/>
      <c r="AC1040" s="18">
        <v>20</v>
      </c>
      <c r="AD1040" s="28"/>
      <c r="AE1040" s="26"/>
      <c r="AF1040" s="28"/>
    </row>
    <row r="1041" spans="1:32" ht="13.5" customHeight="1" x14ac:dyDescent="0.25">
      <c r="A1041" s="14">
        <v>45794</v>
      </c>
      <c r="B1041" s="14" t="s">
        <v>46</v>
      </c>
      <c r="C1041" s="15">
        <v>3</v>
      </c>
      <c r="D1041" s="16">
        <v>15</v>
      </c>
      <c r="E1041" s="16"/>
      <c r="F1041" s="17"/>
      <c r="G1041" s="21"/>
      <c r="H1041" s="21"/>
      <c r="I1041" s="4">
        <v>15</v>
      </c>
      <c r="J1041" s="4">
        <v>0.25</v>
      </c>
      <c r="K1041" s="4"/>
      <c r="L1041" s="16"/>
      <c r="M1041" s="4"/>
      <c r="N1041" s="4"/>
      <c r="O1041" s="4"/>
      <c r="P1041" s="4"/>
      <c r="Q1041" s="4"/>
      <c r="R1041" s="4"/>
      <c r="S1041" s="4">
        <v>0</v>
      </c>
      <c r="T1041" s="4">
        <v>0</v>
      </c>
      <c r="U1041" s="4">
        <v>0.25</v>
      </c>
      <c r="V1041" s="4">
        <v>11.75</v>
      </c>
      <c r="W1041" s="4">
        <v>12</v>
      </c>
      <c r="X1041" s="4">
        <v>0</v>
      </c>
      <c r="Y1041" s="4"/>
      <c r="Z1041" s="4">
        <v>259.5</v>
      </c>
      <c r="AA1041" s="4">
        <v>250</v>
      </c>
      <c r="AB1041" s="18"/>
      <c r="AC1041" s="18">
        <v>20</v>
      </c>
      <c r="AD1041" s="28"/>
      <c r="AE1041" s="26"/>
      <c r="AF1041" s="28"/>
    </row>
    <row r="1042" spans="1:32" ht="13.5" customHeight="1" x14ac:dyDescent="0.25">
      <c r="A1042" s="14">
        <v>45794</v>
      </c>
      <c r="B1042" s="14" t="s">
        <v>47</v>
      </c>
      <c r="C1042" s="15">
        <v>3</v>
      </c>
      <c r="D1042" s="16"/>
      <c r="E1042" s="16"/>
      <c r="F1042" s="17"/>
      <c r="G1042" s="21"/>
      <c r="H1042" s="21"/>
      <c r="I1042" s="4">
        <v>0</v>
      </c>
      <c r="J1042" s="4">
        <v>0</v>
      </c>
      <c r="K1042" s="4"/>
      <c r="L1042" s="16"/>
      <c r="M1042" s="4"/>
      <c r="N1042" s="4"/>
      <c r="O1042" s="4"/>
      <c r="P1042" s="4"/>
      <c r="Q1042" s="4"/>
      <c r="R1042" s="4"/>
      <c r="S1042" s="4">
        <v>0</v>
      </c>
      <c r="T1042" s="4">
        <v>0</v>
      </c>
      <c r="U1042" s="4">
        <v>0</v>
      </c>
      <c r="V1042" s="4">
        <v>12</v>
      </c>
      <c r="W1042" s="4">
        <v>12</v>
      </c>
      <c r="X1042" s="4">
        <v>0</v>
      </c>
      <c r="Y1042" s="4"/>
      <c r="Z1042" s="4">
        <v>435.8</v>
      </c>
      <c r="AA1042" s="4">
        <v>450</v>
      </c>
      <c r="AB1042" s="18"/>
      <c r="AC1042" s="18">
        <v>20</v>
      </c>
      <c r="AD1042" s="28"/>
      <c r="AE1042" s="26"/>
      <c r="AF1042" s="28"/>
    </row>
    <row r="1043" spans="1:32" ht="13.5" customHeight="1" x14ac:dyDescent="0.25">
      <c r="A1043" s="14">
        <v>45794</v>
      </c>
      <c r="B1043" s="14" t="s">
        <v>46</v>
      </c>
      <c r="C1043" s="15">
        <v>6</v>
      </c>
      <c r="D1043" s="16">
        <v>15</v>
      </c>
      <c r="E1043" s="16"/>
      <c r="F1043" s="17"/>
      <c r="G1043" s="21"/>
      <c r="H1043" s="21"/>
      <c r="I1043" s="4">
        <v>15</v>
      </c>
      <c r="J1043" s="4">
        <v>0.25</v>
      </c>
      <c r="K1043" s="4">
        <v>30</v>
      </c>
      <c r="L1043" s="16"/>
      <c r="M1043" s="4"/>
      <c r="N1043" s="4"/>
      <c r="O1043" s="4"/>
      <c r="P1043" s="4"/>
      <c r="Q1043" s="4"/>
      <c r="R1043" s="4"/>
      <c r="S1043" s="4">
        <v>30</v>
      </c>
      <c r="T1043" s="4">
        <v>0.5</v>
      </c>
      <c r="U1043" s="4">
        <v>0.75</v>
      </c>
      <c r="V1043" s="4">
        <v>11.25</v>
      </c>
      <c r="W1043" s="4">
        <v>12</v>
      </c>
      <c r="X1043" s="4">
        <v>60</v>
      </c>
      <c r="Y1043" s="4"/>
      <c r="Z1043" s="4">
        <v>500.79999999999995</v>
      </c>
      <c r="AA1043" s="4">
        <v>500</v>
      </c>
      <c r="AB1043" s="18"/>
      <c r="AC1043" s="18">
        <v>20</v>
      </c>
      <c r="AD1043" s="28"/>
      <c r="AE1043" s="26"/>
      <c r="AF1043" s="28"/>
    </row>
    <row r="1044" spans="1:32" ht="13.5" customHeight="1" x14ac:dyDescent="0.25">
      <c r="A1044" s="14">
        <v>45794</v>
      </c>
      <c r="B1044" s="14" t="s">
        <v>47</v>
      </c>
      <c r="C1044" s="15">
        <v>6</v>
      </c>
      <c r="D1044" s="16"/>
      <c r="E1044" s="16"/>
      <c r="F1044" s="17"/>
      <c r="G1044" s="21"/>
      <c r="H1044" s="21"/>
      <c r="I1044" s="4">
        <v>0</v>
      </c>
      <c r="J1044" s="4">
        <v>0</v>
      </c>
      <c r="K1044" s="4"/>
      <c r="L1044" s="16"/>
      <c r="M1044" s="4"/>
      <c r="N1044" s="4"/>
      <c r="O1044" s="4"/>
      <c r="P1044" s="4"/>
      <c r="Q1044" s="4"/>
      <c r="R1044" s="4"/>
      <c r="S1044" s="4">
        <v>0</v>
      </c>
      <c r="T1044" s="4">
        <v>0</v>
      </c>
      <c r="U1044" s="4">
        <v>0</v>
      </c>
      <c r="V1044" s="4">
        <v>12</v>
      </c>
      <c r="W1044" s="4">
        <v>12</v>
      </c>
      <c r="X1044" s="4">
        <v>60</v>
      </c>
      <c r="Y1044" s="4"/>
      <c r="Z1044" s="4">
        <v>205.8</v>
      </c>
      <c r="AA1044" s="4">
        <v>200</v>
      </c>
      <c r="AB1044" s="18"/>
      <c r="AC1044" s="18">
        <v>20</v>
      </c>
      <c r="AD1044" s="28"/>
      <c r="AE1044" s="26"/>
      <c r="AF1044" s="28"/>
    </row>
    <row r="1045" spans="1:32" ht="13.5" customHeight="1" x14ac:dyDescent="0.25">
      <c r="A1045" s="14">
        <v>45794</v>
      </c>
      <c r="B1045" s="14" t="s">
        <v>46</v>
      </c>
      <c r="C1045" s="15">
        <v>7</v>
      </c>
      <c r="D1045" s="16"/>
      <c r="E1045" s="16"/>
      <c r="F1045" s="17"/>
      <c r="G1045" s="21"/>
      <c r="H1045" s="21"/>
      <c r="I1045" s="4">
        <v>0</v>
      </c>
      <c r="J1045" s="4">
        <v>0</v>
      </c>
      <c r="K1045" s="4"/>
      <c r="L1045" s="16"/>
      <c r="M1045" s="4"/>
      <c r="N1045" s="4"/>
      <c r="O1045" s="4"/>
      <c r="P1045" s="4">
        <v>180</v>
      </c>
      <c r="Q1045" s="4"/>
      <c r="R1045" s="4"/>
      <c r="S1045" s="4">
        <v>180</v>
      </c>
      <c r="T1045" s="4">
        <v>3</v>
      </c>
      <c r="U1045" s="4">
        <v>3</v>
      </c>
      <c r="V1045" s="4">
        <v>9</v>
      </c>
      <c r="W1045" s="4">
        <v>12</v>
      </c>
      <c r="X1045" s="4">
        <v>0</v>
      </c>
      <c r="Y1045" s="4"/>
      <c r="Z1045" s="4">
        <v>135.9</v>
      </c>
      <c r="AA1045" s="4">
        <v>150</v>
      </c>
      <c r="AB1045" s="18"/>
      <c r="AC1045" s="18">
        <v>20</v>
      </c>
      <c r="AD1045" s="28"/>
      <c r="AE1045" s="26"/>
      <c r="AF1045" s="28"/>
    </row>
    <row r="1046" spans="1:32" ht="13.5" customHeight="1" x14ac:dyDescent="0.25">
      <c r="A1046" s="14">
        <v>45794</v>
      </c>
      <c r="B1046" s="14" t="s">
        <v>47</v>
      </c>
      <c r="C1046" s="15">
        <v>7</v>
      </c>
      <c r="D1046" s="16"/>
      <c r="E1046" s="16"/>
      <c r="F1046" s="17"/>
      <c r="G1046" s="21"/>
      <c r="H1046" s="21"/>
      <c r="I1046" s="4">
        <v>0</v>
      </c>
      <c r="J1046" s="4">
        <v>0</v>
      </c>
      <c r="K1046" s="4"/>
      <c r="L1046" s="16"/>
      <c r="M1046" s="4"/>
      <c r="N1046" s="4"/>
      <c r="O1046" s="4"/>
      <c r="P1046" s="4"/>
      <c r="Q1046" s="4"/>
      <c r="R1046" s="4"/>
      <c r="S1046" s="4">
        <v>0</v>
      </c>
      <c r="T1046" s="4">
        <v>0</v>
      </c>
      <c r="U1046" s="4">
        <v>0</v>
      </c>
      <c r="V1046" s="4">
        <v>12</v>
      </c>
      <c r="W1046" s="4">
        <v>12</v>
      </c>
      <c r="X1046" s="4">
        <v>0</v>
      </c>
      <c r="Y1046" s="4"/>
      <c r="Z1046" s="4">
        <v>338.70000000000005</v>
      </c>
      <c r="AA1046" s="4">
        <v>350</v>
      </c>
      <c r="AB1046" s="18"/>
      <c r="AC1046" s="18">
        <v>20</v>
      </c>
      <c r="AD1046" s="28"/>
      <c r="AE1046" s="26"/>
      <c r="AF1046" s="28"/>
    </row>
    <row r="1047" spans="1:32" ht="13.5" customHeight="1" x14ac:dyDescent="0.25">
      <c r="A1047" s="14">
        <v>45795</v>
      </c>
      <c r="B1047" s="14" t="s">
        <v>46</v>
      </c>
      <c r="C1047" s="15">
        <v>1</v>
      </c>
      <c r="D1047" s="16"/>
      <c r="E1047" s="16"/>
      <c r="F1047" s="17"/>
      <c r="G1047" s="21"/>
      <c r="H1047" s="21"/>
      <c r="I1047" s="4">
        <v>0</v>
      </c>
      <c r="J1047" s="4">
        <v>0</v>
      </c>
      <c r="K1047" s="4"/>
      <c r="L1047" s="16"/>
      <c r="M1047" s="4"/>
      <c r="N1047" s="4"/>
      <c r="O1047" s="4"/>
      <c r="P1047" s="4"/>
      <c r="Q1047" s="4"/>
      <c r="R1047" s="4"/>
      <c r="S1047" s="4">
        <v>0</v>
      </c>
      <c r="T1047" s="4">
        <v>0</v>
      </c>
      <c r="U1047" s="4">
        <v>0</v>
      </c>
      <c r="V1047" s="4">
        <v>12</v>
      </c>
      <c r="W1047" s="4">
        <v>12</v>
      </c>
      <c r="X1047" s="4">
        <v>0</v>
      </c>
      <c r="Y1047" s="4">
        <v>1448</v>
      </c>
      <c r="Z1047" s="4">
        <v>135.10000000000002</v>
      </c>
      <c r="AA1047" s="4">
        <v>150</v>
      </c>
      <c r="AB1047" s="18">
        <v>372</v>
      </c>
      <c r="AC1047" s="18">
        <v>20</v>
      </c>
      <c r="AD1047" s="28"/>
      <c r="AE1047" s="26"/>
      <c r="AF1047" s="28"/>
    </row>
    <row r="1048" spans="1:32" ht="13.5" customHeight="1" x14ac:dyDescent="0.25">
      <c r="A1048" s="14">
        <v>45795</v>
      </c>
      <c r="B1048" s="14" t="s">
        <v>47</v>
      </c>
      <c r="C1048" s="15">
        <v>1</v>
      </c>
      <c r="D1048" s="16"/>
      <c r="E1048" s="16"/>
      <c r="F1048" s="17"/>
      <c r="G1048" s="21"/>
      <c r="H1048" s="21"/>
      <c r="I1048" s="4">
        <v>0</v>
      </c>
      <c r="J1048" s="4">
        <v>0</v>
      </c>
      <c r="K1048" s="4"/>
      <c r="L1048" s="16"/>
      <c r="M1048" s="4"/>
      <c r="N1048" s="4"/>
      <c r="O1048" s="4"/>
      <c r="P1048" s="4"/>
      <c r="Q1048" s="4"/>
      <c r="R1048" s="4"/>
      <c r="S1048" s="4">
        <v>0</v>
      </c>
      <c r="T1048" s="4">
        <v>0</v>
      </c>
      <c r="U1048" s="4">
        <v>0</v>
      </c>
      <c r="V1048" s="4">
        <v>12</v>
      </c>
      <c r="W1048" s="4">
        <v>12</v>
      </c>
      <c r="X1048" s="4">
        <v>0</v>
      </c>
      <c r="Y1048" s="4"/>
      <c r="Z1048" s="4">
        <v>114.9</v>
      </c>
      <c r="AA1048" s="4">
        <v>100</v>
      </c>
      <c r="AB1048" s="18"/>
      <c r="AC1048" s="18">
        <v>20</v>
      </c>
      <c r="AD1048" s="28"/>
      <c r="AE1048" s="26"/>
      <c r="AF1048" s="28"/>
    </row>
    <row r="1049" spans="1:32" ht="13.5" customHeight="1" x14ac:dyDescent="0.25">
      <c r="A1049" s="14">
        <v>45795</v>
      </c>
      <c r="B1049" s="14" t="s">
        <v>46</v>
      </c>
      <c r="C1049" s="15">
        <v>2</v>
      </c>
      <c r="D1049" s="16">
        <v>3</v>
      </c>
      <c r="E1049" s="16"/>
      <c r="F1049" s="17"/>
      <c r="G1049" s="21"/>
      <c r="H1049" s="21"/>
      <c r="I1049" s="4">
        <v>3</v>
      </c>
      <c r="J1049" s="4">
        <v>0.05</v>
      </c>
      <c r="K1049" s="4"/>
      <c r="L1049" s="16"/>
      <c r="M1049" s="4"/>
      <c r="N1049" s="4"/>
      <c r="O1049" s="4"/>
      <c r="P1049" s="4"/>
      <c r="Q1049" s="4"/>
      <c r="R1049" s="4"/>
      <c r="S1049" s="4">
        <v>0</v>
      </c>
      <c r="T1049" s="4">
        <v>0</v>
      </c>
      <c r="U1049" s="4">
        <v>0.05</v>
      </c>
      <c r="V1049" s="4">
        <v>11.95</v>
      </c>
      <c r="W1049" s="4">
        <v>12</v>
      </c>
      <c r="X1049" s="4">
        <v>0</v>
      </c>
      <c r="Y1049" s="4"/>
      <c r="Z1049" s="4">
        <v>455.3</v>
      </c>
      <c r="AA1049" s="4">
        <v>450</v>
      </c>
      <c r="AB1049" s="18"/>
      <c r="AC1049" s="18">
        <v>20</v>
      </c>
      <c r="AD1049" s="28"/>
      <c r="AE1049" s="26"/>
      <c r="AF1049" s="28"/>
    </row>
    <row r="1050" spans="1:32" ht="13.5" customHeight="1" x14ac:dyDescent="0.25">
      <c r="A1050" s="14">
        <v>45795</v>
      </c>
      <c r="B1050" s="14" t="s">
        <v>47</v>
      </c>
      <c r="C1050" s="15">
        <v>2</v>
      </c>
      <c r="D1050" s="16"/>
      <c r="E1050" s="16"/>
      <c r="F1050" s="17"/>
      <c r="G1050" s="21"/>
      <c r="H1050" s="21"/>
      <c r="I1050" s="4">
        <v>0</v>
      </c>
      <c r="J1050" s="4">
        <v>0</v>
      </c>
      <c r="K1050" s="4"/>
      <c r="L1050" s="16"/>
      <c r="M1050" s="4"/>
      <c r="N1050" s="4"/>
      <c r="O1050" s="4"/>
      <c r="P1050" s="4"/>
      <c r="Q1050" s="4"/>
      <c r="R1050" s="4"/>
      <c r="S1050" s="4">
        <v>0</v>
      </c>
      <c r="T1050" s="4">
        <v>0</v>
      </c>
      <c r="U1050" s="4">
        <v>0</v>
      </c>
      <c r="V1050" s="4">
        <v>12</v>
      </c>
      <c r="W1050" s="4">
        <v>12</v>
      </c>
      <c r="X1050" s="4">
        <v>0</v>
      </c>
      <c r="Y1050" s="4"/>
      <c r="Z1050" s="4">
        <v>398.20000000000005</v>
      </c>
      <c r="AA1050" s="4">
        <v>400</v>
      </c>
      <c r="AB1050" s="18"/>
      <c r="AC1050" s="18">
        <v>20</v>
      </c>
      <c r="AD1050" s="28"/>
      <c r="AE1050" s="26"/>
      <c r="AF1050" s="28"/>
    </row>
    <row r="1051" spans="1:32" ht="13.5" customHeight="1" x14ac:dyDescent="0.25">
      <c r="A1051" s="14">
        <v>45795</v>
      </c>
      <c r="B1051" s="14" t="s">
        <v>46</v>
      </c>
      <c r="C1051" s="15">
        <v>3</v>
      </c>
      <c r="D1051" s="16"/>
      <c r="E1051" s="16"/>
      <c r="F1051" s="17"/>
      <c r="G1051" s="21"/>
      <c r="H1051" s="21"/>
      <c r="I1051" s="4">
        <v>0</v>
      </c>
      <c r="J1051" s="4">
        <v>0</v>
      </c>
      <c r="K1051" s="4"/>
      <c r="L1051" s="16"/>
      <c r="M1051" s="4"/>
      <c r="N1051" s="4"/>
      <c r="O1051" s="4"/>
      <c r="P1051" s="4"/>
      <c r="Q1051" s="4">
        <v>60</v>
      </c>
      <c r="R1051" s="4"/>
      <c r="S1051" s="4">
        <v>60</v>
      </c>
      <c r="T1051" s="4">
        <v>1</v>
      </c>
      <c r="U1051" s="4">
        <v>1</v>
      </c>
      <c r="V1051" s="4">
        <v>11</v>
      </c>
      <c r="W1051" s="4">
        <v>12</v>
      </c>
      <c r="X1051" s="4">
        <v>0</v>
      </c>
      <c r="Y1051" s="4"/>
      <c r="Z1051" s="4">
        <v>397.40000000000003</v>
      </c>
      <c r="AA1051" s="4">
        <v>450</v>
      </c>
      <c r="AB1051" s="18"/>
      <c r="AC1051" s="18">
        <v>20</v>
      </c>
      <c r="AD1051" s="28"/>
      <c r="AE1051" s="26"/>
      <c r="AF1051" s="28"/>
    </row>
    <row r="1052" spans="1:32" ht="13.5" customHeight="1" x14ac:dyDescent="0.25">
      <c r="A1052" s="14">
        <v>45795</v>
      </c>
      <c r="B1052" s="14" t="s">
        <v>47</v>
      </c>
      <c r="C1052" s="15">
        <v>3</v>
      </c>
      <c r="D1052" s="16"/>
      <c r="E1052" s="16"/>
      <c r="F1052" s="17"/>
      <c r="G1052" s="21"/>
      <c r="H1052" s="21"/>
      <c r="I1052" s="4">
        <v>0</v>
      </c>
      <c r="J1052" s="4">
        <v>0</v>
      </c>
      <c r="K1052" s="4"/>
      <c r="L1052" s="16"/>
      <c r="M1052" s="4"/>
      <c r="N1052" s="4"/>
      <c r="O1052" s="4"/>
      <c r="P1052" s="4"/>
      <c r="Q1052" s="4"/>
      <c r="R1052" s="4"/>
      <c r="S1052" s="4">
        <v>0</v>
      </c>
      <c r="T1052" s="4">
        <v>0</v>
      </c>
      <c r="U1052" s="4">
        <v>0</v>
      </c>
      <c r="V1052" s="4">
        <v>12</v>
      </c>
      <c r="W1052" s="4">
        <v>12</v>
      </c>
      <c r="X1052" s="4">
        <v>0</v>
      </c>
      <c r="Y1052" s="4"/>
      <c r="Z1052" s="4">
        <v>424.99999999999994</v>
      </c>
      <c r="AA1052" s="4">
        <v>450</v>
      </c>
      <c r="AB1052" s="18"/>
      <c r="AC1052" s="18">
        <v>20</v>
      </c>
      <c r="AD1052" s="28"/>
      <c r="AE1052" s="26"/>
      <c r="AF1052" s="28"/>
    </row>
    <row r="1053" spans="1:32" ht="13.5" customHeight="1" x14ac:dyDescent="0.25">
      <c r="A1053" s="14">
        <v>45795</v>
      </c>
      <c r="B1053" s="14" t="s">
        <v>46</v>
      </c>
      <c r="C1053" s="15">
        <v>7</v>
      </c>
      <c r="D1053" s="16"/>
      <c r="E1053" s="16"/>
      <c r="F1053" s="17"/>
      <c r="G1053" s="21"/>
      <c r="H1053" s="21"/>
      <c r="I1053" s="4">
        <v>0</v>
      </c>
      <c r="J1053" s="4">
        <v>0</v>
      </c>
      <c r="K1053" s="4"/>
      <c r="L1053" s="16"/>
      <c r="M1053" s="4"/>
      <c r="N1053" s="4"/>
      <c r="O1053" s="4"/>
      <c r="P1053" s="4"/>
      <c r="Q1053" s="4"/>
      <c r="R1053" s="4"/>
      <c r="S1053" s="4">
        <v>0</v>
      </c>
      <c r="T1053" s="4">
        <v>0</v>
      </c>
      <c r="U1053" s="4">
        <v>0</v>
      </c>
      <c r="V1053" s="4">
        <v>12</v>
      </c>
      <c r="W1053" s="4">
        <v>12</v>
      </c>
      <c r="X1053" s="4">
        <v>17</v>
      </c>
      <c r="Y1053" s="4"/>
      <c r="Z1053" s="4">
        <v>349.7</v>
      </c>
      <c r="AA1053" s="4">
        <v>350</v>
      </c>
      <c r="AB1053" s="18"/>
      <c r="AC1053" s="18">
        <v>20</v>
      </c>
      <c r="AD1053" s="28"/>
      <c r="AE1053" s="26"/>
      <c r="AF1053" s="28"/>
    </row>
    <row r="1054" spans="1:32" ht="13.5" customHeight="1" x14ac:dyDescent="0.25">
      <c r="A1054" s="14">
        <v>45795</v>
      </c>
      <c r="B1054" s="14" t="s">
        <v>47</v>
      </c>
      <c r="C1054" s="15">
        <v>7</v>
      </c>
      <c r="D1054" s="16"/>
      <c r="E1054" s="16"/>
      <c r="F1054" s="17"/>
      <c r="G1054" s="21"/>
      <c r="H1054" s="21"/>
      <c r="I1054" s="4">
        <v>0</v>
      </c>
      <c r="J1054" s="4">
        <v>0</v>
      </c>
      <c r="K1054" s="4"/>
      <c r="L1054" s="16"/>
      <c r="M1054" s="4"/>
      <c r="N1054" s="4"/>
      <c r="O1054" s="4"/>
      <c r="P1054" s="4"/>
      <c r="Q1054" s="4"/>
      <c r="R1054" s="4"/>
      <c r="S1054" s="4">
        <v>0</v>
      </c>
      <c r="T1054" s="4">
        <v>0</v>
      </c>
      <c r="U1054" s="4">
        <v>0</v>
      </c>
      <c r="V1054" s="4">
        <v>12</v>
      </c>
      <c r="W1054" s="4">
        <v>12</v>
      </c>
      <c r="X1054" s="4">
        <v>15</v>
      </c>
      <c r="Y1054" s="4"/>
      <c r="Z1054" s="4">
        <v>336.43</v>
      </c>
      <c r="AA1054" s="4">
        <v>350</v>
      </c>
      <c r="AB1054" s="18"/>
      <c r="AC1054" s="18">
        <v>20</v>
      </c>
      <c r="AD1054" s="28"/>
      <c r="AE1054" s="26"/>
      <c r="AF1054" s="28"/>
    </row>
    <row r="1055" spans="1:32" ht="13.5" customHeight="1" x14ac:dyDescent="0.25">
      <c r="A1055" s="14">
        <v>45796</v>
      </c>
      <c r="B1055" s="14" t="s">
        <v>46</v>
      </c>
      <c r="C1055" s="15">
        <v>1</v>
      </c>
      <c r="D1055" s="16">
        <v>3</v>
      </c>
      <c r="E1055" s="16"/>
      <c r="F1055" s="17"/>
      <c r="G1055" s="21"/>
      <c r="H1055" s="21"/>
      <c r="I1055" s="4">
        <v>3</v>
      </c>
      <c r="J1055" s="4">
        <v>0.05</v>
      </c>
      <c r="K1055" s="4"/>
      <c r="L1055" s="16"/>
      <c r="M1055" s="4"/>
      <c r="N1055" s="4"/>
      <c r="O1055" s="4"/>
      <c r="P1055" s="4"/>
      <c r="Q1055" s="4"/>
      <c r="R1055" s="4"/>
      <c r="S1055" s="4">
        <v>0</v>
      </c>
      <c r="T1055" s="4">
        <v>0</v>
      </c>
      <c r="U1055" s="4">
        <v>0.05</v>
      </c>
      <c r="V1055" s="4">
        <v>11.95</v>
      </c>
      <c r="W1055" s="4">
        <v>12</v>
      </c>
      <c r="X1055" s="4">
        <v>0</v>
      </c>
      <c r="Y1055" s="4">
        <v>2040</v>
      </c>
      <c r="Z1055" s="4">
        <v>135.4</v>
      </c>
      <c r="AA1055" s="4">
        <v>150</v>
      </c>
      <c r="AB1055" s="18">
        <v>372</v>
      </c>
      <c r="AC1055" s="18">
        <v>21</v>
      </c>
      <c r="AD1055" s="28"/>
      <c r="AE1055" s="26"/>
      <c r="AF1055" s="28"/>
    </row>
    <row r="1056" spans="1:32" ht="13.5" customHeight="1" x14ac:dyDescent="0.25">
      <c r="A1056" s="14">
        <v>45796</v>
      </c>
      <c r="B1056" s="14" t="s">
        <v>47</v>
      </c>
      <c r="C1056" s="15">
        <v>1</v>
      </c>
      <c r="D1056" s="16"/>
      <c r="E1056" s="16"/>
      <c r="F1056" s="17"/>
      <c r="G1056" s="21"/>
      <c r="H1056" s="21"/>
      <c r="I1056" s="4">
        <v>0</v>
      </c>
      <c r="J1056" s="4">
        <v>0</v>
      </c>
      <c r="K1056" s="4"/>
      <c r="L1056" s="16"/>
      <c r="M1056" s="4"/>
      <c r="N1056" s="4"/>
      <c r="O1056" s="4"/>
      <c r="P1056" s="4"/>
      <c r="Q1056" s="4"/>
      <c r="R1056" s="4"/>
      <c r="S1056" s="4">
        <v>0</v>
      </c>
      <c r="T1056" s="4">
        <v>0</v>
      </c>
      <c r="U1056" s="4">
        <v>0</v>
      </c>
      <c r="V1056" s="4">
        <v>12</v>
      </c>
      <c r="W1056" s="4">
        <v>12</v>
      </c>
      <c r="X1056" s="4">
        <v>0</v>
      </c>
      <c r="Y1056" s="4"/>
      <c r="Z1056" s="4">
        <v>162.19999999999999</v>
      </c>
      <c r="AA1056" s="4">
        <v>200</v>
      </c>
      <c r="AB1056" s="18"/>
      <c r="AC1056" s="18">
        <v>21</v>
      </c>
      <c r="AD1056" s="28"/>
      <c r="AE1056" s="26"/>
      <c r="AF1056" s="28"/>
    </row>
    <row r="1057" spans="1:32" ht="13.5" customHeight="1" x14ac:dyDescent="0.25">
      <c r="A1057" s="14">
        <v>45796</v>
      </c>
      <c r="B1057" s="14" t="s">
        <v>46</v>
      </c>
      <c r="C1057" s="15">
        <v>2</v>
      </c>
      <c r="D1057" s="16">
        <v>30</v>
      </c>
      <c r="E1057" s="16"/>
      <c r="F1057" s="17"/>
      <c r="G1057" s="21"/>
      <c r="H1057" s="21"/>
      <c r="I1057" s="4">
        <v>30</v>
      </c>
      <c r="J1057" s="4">
        <v>0.5</v>
      </c>
      <c r="K1057" s="4"/>
      <c r="L1057" s="16"/>
      <c r="M1057" s="4"/>
      <c r="N1057" s="4"/>
      <c r="O1057" s="4"/>
      <c r="P1057" s="4"/>
      <c r="Q1057" s="4"/>
      <c r="R1057" s="4"/>
      <c r="S1057" s="4">
        <v>0</v>
      </c>
      <c r="T1057" s="4">
        <v>0</v>
      </c>
      <c r="U1057" s="4">
        <v>0.5</v>
      </c>
      <c r="V1057" s="4">
        <v>11.5</v>
      </c>
      <c r="W1057" s="4">
        <v>12</v>
      </c>
      <c r="X1057" s="4">
        <v>0</v>
      </c>
      <c r="Y1057" s="4"/>
      <c r="Z1057" s="4">
        <v>485.9</v>
      </c>
      <c r="AA1057" s="4">
        <v>500</v>
      </c>
      <c r="AB1057" s="18"/>
      <c r="AC1057" s="18">
        <v>21</v>
      </c>
      <c r="AD1057" s="28"/>
      <c r="AE1057" s="26"/>
      <c r="AF1057" s="28"/>
    </row>
    <row r="1058" spans="1:32" ht="13.5" customHeight="1" x14ac:dyDescent="0.25">
      <c r="A1058" s="14">
        <v>45796</v>
      </c>
      <c r="B1058" s="14" t="s">
        <v>47</v>
      </c>
      <c r="C1058" s="15">
        <v>2</v>
      </c>
      <c r="D1058" s="16"/>
      <c r="E1058" s="16"/>
      <c r="F1058" s="17"/>
      <c r="G1058" s="21"/>
      <c r="H1058" s="21"/>
      <c r="I1058" s="4">
        <v>0</v>
      </c>
      <c r="J1058" s="4">
        <v>0</v>
      </c>
      <c r="K1058" s="4"/>
      <c r="L1058" s="16"/>
      <c r="M1058" s="4"/>
      <c r="N1058" s="4"/>
      <c r="O1058" s="4"/>
      <c r="P1058" s="4"/>
      <c r="Q1058" s="4"/>
      <c r="R1058" s="4"/>
      <c r="S1058" s="4">
        <v>0</v>
      </c>
      <c r="T1058" s="4">
        <v>0</v>
      </c>
      <c r="U1058" s="4">
        <v>0</v>
      </c>
      <c r="V1058" s="4">
        <v>12</v>
      </c>
      <c r="W1058" s="4">
        <v>12</v>
      </c>
      <c r="X1058" s="4">
        <v>0</v>
      </c>
      <c r="Y1058" s="4"/>
      <c r="Z1058" s="4">
        <v>471.9</v>
      </c>
      <c r="AA1058" s="4">
        <v>500</v>
      </c>
      <c r="AB1058" s="18"/>
      <c r="AC1058" s="18">
        <v>21</v>
      </c>
      <c r="AD1058" s="28"/>
      <c r="AE1058" s="26"/>
      <c r="AF1058" s="28"/>
    </row>
    <row r="1059" spans="1:32" ht="13.5" customHeight="1" x14ac:dyDescent="0.25">
      <c r="A1059" s="14">
        <v>45796</v>
      </c>
      <c r="B1059" s="14" t="s">
        <v>46</v>
      </c>
      <c r="C1059" s="15">
        <v>3</v>
      </c>
      <c r="D1059" s="16">
        <v>8</v>
      </c>
      <c r="E1059" s="16"/>
      <c r="F1059" s="17"/>
      <c r="G1059" s="21"/>
      <c r="H1059" s="21"/>
      <c r="I1059" s="4">
        <v>8</v>
      </c>
      <c r="J1059" s="4">
        <v>0.13333333333333333</v>
      </c>
      <c r="K1059" s="4"/>
      <c r="L1059" s="16"/>
      <c r="M1059" s="4"/>
      <c r="N1059" s="4"/>
      <c r="O1059" s="4"/>
      <c r="P1059" s="4"/>
      <c r="Q1059" s="4"/>
      <c r="R1059" s="4"/>
      <c r="S1059" s="4">
        <v>0</v>
      </c>
      <c r="T1059" s="4">
        <v>0</v>
      </c>
      <c r="U1059" s="4">
        <v>0.13333333333333333</v>
      </c>
      <c r="V1059" s="4">
        <v>11.866666666666667</v>
      </c>
      <c r="W1059" s="4">
        <v>12</v>
      </c>
      <c r="X1059" s="4">
        <v>0</v>
      </c>
      <c r="Y1059" s="4"/>
      <c r="Z1059" s="4">
        <v>343.7</v>
      </c>
      <c r="AA1059" s="4">
        <v>400</v>
      </c>
      <c r="AB1059" s="18"/>
      <c r="AC1059" s="18">
        <v>21</v>
      </c>
      <c r="AD1059" s="28"/>
      <c r="AE1059" s="26"/>
      <c r="AF1059" s="28"/>
    </row>
    <row r="1060" spans="1:32" ht="13.5" customHeight="1" x14ac:dyDescent="0.25">
      <c r="A1060" s="14">
        <v>45796</v>
      </c>
      <c r="B1060" s="14" t="s">
        <v>47</v>
      </c>
      <c r="C1060" s="15">
        <v>3</v>
      </c>
      <c r="D1060" s="16"/>
      <c r="E1060" s="16"/>
      <c r="F1060" s="17"/>
      <c r="G1060" s="21"/>
      <c r="H1060" s="21"/>
      <c r="I1060" s="4">
        <v>0</v>
      </c>
      <c r="J1060" s="4">
        <v>0</v>
      </c>
      <c r="K1060" s="4"/>
      <c r="L1060" s="16"/>
      <c r="M1060" s="4"/>
      <c r="N1060" s="4"/>
      <c r="O1060" s="4"/>
      <c r="P1060" s="4"/>
      <c r="Q1060" s="4"/>
      <c r="R1060" s="4"/>
      <c r="S1060" s="4">
        <v>0</v>
      </c>
      <c r="T1060" s="4">
        <v>0</v>
      </c>
      <c r="U1060" s="4">
        <v>0</v>
      </c>
      <c r="V1060" s="4">
        <v>12</v>
      </c>
      <c r="W1060" s="4">
        <v>12</v>
      </c>
      <c r="X1060" s="4">
        <v>0</v>
      </c>
      <c r="Y1060" s="4"/>
      <c r="Z1060" s="4">
        <v>451</v>
      </c>
      <c r="AA1060" s="4">
        <v>500</v>
      </c>
      <c r="AB1060" s="18"/>
      <c r="AC1060" s="18">
        <v>21</v>
      </c>
      <c r="AD1060" s="28"/>
      <c r="AE1060" s="26"/>
      <c r="AF1060" s="28"/>
    </row>
    <row r="1061" spans="1:32" ht="13.5" customHeight="1" x14ac:dyDescent="0.25">
      <c r="A1061" s="14">
        <v>45796</v>
      </c>
      <c r="B1061" s="14" t="s">
        <v>46</v>
      </c>
      <c r="C1061" s="15">
        <v>6</v>
      </c>
      <c r="D1061" s="16"/>
      <c r="E1061" s="16"/>
      <c r="F1061" s="17"/>
      <c r="G1061" s="21">
        <v>180</v>
      </c>
      <c r="H1061" s="21"/>
      <c r="I1061" s="4">
        <v>180</v>
      </c>
      <c r="J1061" s="4">
        <v>3</v>
      </c>
      <c r="K1061" s="4"/>
      <c r="L1061" s="16"/>
      <c r="M1061" s="4"/>
      <c r="N1061" s="4">
        <v>15</v>
      </c>
      <c r="O1061" s="4"/>
      <c r="P1061" s="4"/>
      <c r="Q1061" s="4"/>
      <c r="R1061" s="4"/>
      <c r="S1061" s="4">
        <v>15</v>
      </c>
      <c r="T1061" s="4">
        <v>0.25</v>
      </c>
      <c r="U1061" s="4">
        <v>3.25</v>
      </c>
      <c r="V1061" s="4">
        <v>8.75</v>
      </c>
      <c r="W1061" s="4">
        <v>12</v>
      </c>
      <c r="X1061" s="4">
        <v>103.6</v>
      </c>
      <c r="Y1061" s="4"/>
      <c r="Z1061" s="4">
        <v>336.6</v>
      </c>
      <c r="AA1061" s="4">
        <v>400</v>
      </c>
      <c r="AB1061" s="18"/>
      <c r="AC1061" s="18">
        <v>21</v>
      </c>
      <c r="AD1061" s="28"/>
      <c r="AE1061" s="26"/>
      <c r="AF1061" s="28"/>
    </row>
    <row r="1062" spans="1:32" ht="13.5" customHeight="1" x14ac:dyDescent="0.25">
      <c r="A1062" s="14">
        <v>45796</v>
      </c>
      <c r="B1062" s="14" t="s">
        <v>47</v>
      </c>
      <c r="C1062" s="15">
        <v>6</v>
      </c>
      <c r="D1062" s="16"/>
      <c r="E1062" s="16"/>
      <c r="F1062" s="17"/>
      <c r="G1062" s="21"/>
      <c r="H1062" s="21"/>
      <c r="I1062" s="4">
        <v>0</v>
      </c>
      <c r="J1062" s="4">
        <v>0</v>
      </c>
      <c r="K1062" s="4"/>
      <c r="L1062" s="16"/>
      <c r="M1062" s="4"/>
      <c r="N1062" s="4"/>
      <c r="O1062" s="4"/>
      <c r="P1062" s="4"/>
      <c r="Q1062" s="4"/>
      <c r="R1062" s="4"/>
      <c r="S1062" s="4">
        <v>0</v>
      </c>
      <c r="T1062" s="4">
        <v>0</v>
      </c>
      <c r="U1062" s="4">
        <v>0</v>
      </c>
      <c r="V1062" s="4">
        <v>12</v>
      </c>
      <c r="W1062" s="4">
        <v>12</v>
      </c>
      <c r="X1062" s="4">
        <v>65</v>
      </c>
      <c r="Y1062" s="4"/>
      <c r="Z1062" s="4">
        <v>509.4</v>
      </c>
      <c r="AA1062" s="4">
        <v>500</v>
      </c>
      <c r="AB1062" s="18"/>
      <c r="AC1062" s="18">
        <v>21</v>
      </c>
      <c r="AD1062" s="28"/>
      <c r="AE1062" s="26"/>
      <c r="AF1062" s="28"/>
    </row>
    <row r="1063" spans="1:32" ht="13.5" customHeight="1" x14ac:dyDescent="0.25">
      <c r="A1063" s="14">
        <v>45796</v>
      </c>
      <c r="B1063" s="14" t="s">
        <v>46</v>
      </c>
      <c r="C1063" s="15">
        <v>7</v>
      </c>
      <c r="D1063" s="16"/>
      <c r="E1063" s="16"/>
      <c r="F1063" s="17"/>
      <c r="G1063" s="21"/>
      <c r="H1063" s="21"/>
      <c r="I1063" s="4">
        <v>0</v>
      </c>
      <c r="J1063" s="4">
        <v>0</v>
      </c>
      <c r="K1063" s="4"/>
      <c r="L1063" s="16"/>
      <c r="M1063" s="4"/>
      <c r="N1063" s="4"/>
      <c r="O1063" s="4"/>
      <c r="P1063" s="4"/>
      <c r="Q1063" s="4"/>
      <c r="R1063" s="4"/>
      <c r="S1063" s="4">
        <v>0</v>
      </c>
      <c r="T1063" s="4">
        <v>0</v>
      </c>
      <c r="U1063" s="4">
        <v>0</v>
      </c>
      <c r="V1063" s="4">
        <v>12</v>
      </c>
      <c r="W1063" s="4">
        <v>12</v>
      </c>
      <c r="X1063" s="4">
        <v>0</v>
      </c>
      <c r="Y1063" s="4"/>
      <c r="Z1063" s="4">
        <v>393.03999999999996</v>
      </c>
      <c r="AA1063" s="4">
        <v>450</v>
      </c>
      <c r="AB1063" s="18"/>
      <c r="AC1063" s="18">
        <v>21</v>
      </c>
      <c r="AD1063" s="28"/>
      <c r="AE1063" s="26"/>
      <c r="AF1063" s="28"/>
    </row>
    <row r="1064" spans="1:32" ht="13.5" customHeight="1" x14ac:dyDescent="0.25">
      <c r="A1064" s="14">
        <v>45796</v>
      </c>
      <c r="B1064" s="14" t="s">
        <v>47</v>
      </c>
      <c r="C1064" s="15">
        <v>7</v>
      </c>
      <c r="D1064" s="16"/>
      <c r="E1064" s="16"/>
      <c r="F1064" s="17"/>
      <c r="G1064" s="21"/>
      <c r="H1064" s="21"/>
      <c r="I1064" s="4">
        <v>0</v>
      </c>
      <c r="J1064" s="4">
        <v>0</v>
      </c>
      <c r="K1064" s="4"/>
      <c r="L1064" s="16"/>
      <c r="M1064" s="4"/>
      <c r="N1064" s="4"/>
      <c r="O1064" s="4"/>
      <c r="P1064" s="4"/>
      <c r="Q1064" s="4"/>
      <c r="R1064" s="4"/>
      <c r="S1064" s="4">
        <v>0</v>
      </c>
      <c r="T1064" s="4">
        <v>0</v>
      </c>
      <c r="U1064" s="4">
        <v>0</v>
      </c>
      <c r="V1064" s="4">
        <v>12</v>
      </c>
      <c r="W1064" s="4">
        <v>12</v>
      </c>
      <c r="X1064" s="4">
        <v>0</v>
      </c>
      <c r="Y1064" s="4"/>
      <c r="Z1064" s="4">
        <v>380.84</v>
      </c>
      <c r="AA1064" s="4">
        <v>400</v>
      </c>
      <c r="AB1064" s="18"/>
      <c r="AC1064" s="18">
        <v>21</v>
      </c>
      <c r="AD1064" s="28"/>
      <c r="AE1064" s="26"/>
      <c r="AF1064" s="28"/>
    </row>
    <row r="1065" spans="1:32" ht="13.5" customHeight="1" x14ac:dyDescent="0.25">
      <c r="A1065" s="14">
        <v>45797</v>
      </c>
      <c r="B1065" s="14" t="s">
        <v>46</v>
      </c>
      <c r="C1065" s="15">
        <v>1</v>
      </c>
      <c r="D1065" s="16"/>
      <c r="E1065" s="16"/>
      <c r="F1065" s="17"/>
      <c r="G1065" s="21"/>
      <c r="H1065" s="21"/>
      <c r="I1065" s="4">
        <v>0</v>
      </c>
      <c r="J1065" s="4">
        <v>0</v>
      </c>
      <c r="K1065" s="4"/>
      <c r="L1065" s="16"/>
      <c r="M1065" s="4"/>
      <c r="N1065" s="4"/>
      <c r="O1065" s="4"/>
      <c r="P1065" s="4"/>
      <c r="Q1065" s="4"/>
      <c r="R1065" s="4"/>
      <c r="S1065" s="4">
        <v>0</v>
      </c>
      <c r="T1065" s="4">
        <v>0</v>
      </c>
      <c r="U1065" s="4">
        <v>0</v>
      </c>
      <c r="V1065" s="4">
        <v>12</v>
      </c>
      <c r="W1065" s="4">
        <v>12</v>
      </c>
      <c r="X1065" s="4">
        <v>0</v>
      </c>
      <c r="Y1065" s="4">
        <v>2165</v>
      </c>
      <c r="Z1065" s="4">
        <v>150</v>
      </c>
      <c r="AA1065" s="4">
        <v>150</v>
      </c>
      <c r="AB1065" s="18">
        <v>372</v>
      </c>
      <c r="AC1065" s="18">
        <v>21</v>
      </c>
      <c r="AD1065" s="28"/>
      <c r="AE1065" s="26"/>
      <c r="AF1065" s="28"/>
    </row>
    <row r="1066" spans="1:32" ht="13.5" customHeight="1" x14ac:dyDescent="0.25">
      <c r="A1066" s="14">
        <v>45797</v>
      </c>
      <c r="B1066" s="14" t="s">
        <v>47</v>
      </c>
      <c r="C1066" s="15">
        <v>1</v>
      </c>
      <c r="D1066" s="16"/>
      <c r="E1066" s="16"/>
      <c r="F1066" s="17"/>
      <c r="G1066" s="21"/>
      <c r="H1066" s="21"/>
      <c r="I1066" s="4">
        <v>0</v>
      </c>
      <c r="J1066" s="4">
        <v>0</v>
      </c>
      <c r="K1066" s="4"/>
      <c r="L1066" s="16"/>
      <c r="M1066" s="4"/>
      <c r="N1066" s="4"/>
      <c r="O1066" s="4"/>
      <c r="P1066" s="4"/>
      <c r="Q1066" s="4"/>
      <c r="R1066" s="4"/>
      <c r="S1066" s="4">
        <v>0</v>
      </c>
      <c r="T1066" s="4">
        <v>0</v>
      </c>
      <c r="U1066" s="4">
        <v>0</v>
      </c>
      <c r="V1066" s="4">
        <v>12</v>
      </c>
      <c r="W1066" s="4">
        <v>12</v>
      </c>
      <c r="X1066" s="4">
        <v>0</v>
      </c>
      <c r="Y1066" s="4"/>
      <c r="Z1066" s="4">
        <v>121.2</v>
      </c>
      <c r="AA1066" s="4">
        <v>100</v>
      </c>
      <c r="AB1066" s="18"/>
      <c r="AC1066" s="18">
        <v>21</v>
      </c>
      <c r="AD1066" s="28"/>
      <c r="AE1066" s="26"/>
      <c r="AF1066" s="28"/>
    </row>
    <row r="1067" spans="1:32" ht="13.5" customHeight="1" x14ac:dyDescent="0.25">
      <c r="A1067" s="14">
        <v>45797</v>
      </c>
      <c r="B1067" s="14" t="s">
        <v>46</v>
      </c>
      <c r="C1067" s="15">
        <v>2</v>
      </c>
      <c r="D1067" s="16">
        <v>4</v>
      </c>
      <c r="E1067" s="16"/>
      <c r="F1067" s="17"/>
      <c r="G1067" s="21"/>
      <c r="H1067" s="21"/>
      <c r="I1067" s="4">
        <v>4</v>
      </c>
      <c r="J1067" s="4">
        <v>6.6666666666666666E-2</v>
      </c>
      <c r="K1067" s="4"/>
      <c r="L1067" s="16"/>
      <c r="M1067" s="4"/>
      <c r="N1067" s="4"/>
      <c r="O1067" s="4"/>
      <c r="P1067" s="4"/>
      <c r="Q1067" s="4"/>
      <c r="R1067" s="4"/>
      <c r="S1067" s="4">
        <v>0</v>
      </c>
      <c r="T1067" s="4">
        <v>0</v>
      </c>
      <c r="U1067" s="4">
        <v>6.6666666666666666E-2</v>
      </c>
      <c r="V1067" s="4">
        <v>11.933333333333334</v>
      </c>
      <c r="W1067" s="4">
        <v>12</v>
      </c>
      <c r="X1067" s="4">
        <v>0</v>
      </c>
      <c r="Y1067" s="4"/>
      <c r="Z1067" s="4">
        <v>462.9</v>
      </c>
      <c r="AA1067" s="4">
        <v>450</v>
      </c>
      <c r="AB1067" s="18"/>
      <c r="AC1067" s="18">
        <v>21</v>
      </c>
      <c r="AD1067" s="28"/>
      <c r="AE1067" s="26"/>
      <c r="AF1067" s="28"/>
    </row>
    <row r="1068" spans="1:32" ht="13.5" customHeight="1" x14ac:dyDescent="0.25">
      <c r="A1068" s="14">
        <v>45797</v>
      </c>
      <c r="B1068" s="14" t="s">
        <v>47</v>
      </c>
      <c r="C1068" s="15">
        <v>2</v>
      </c>
      <c r="D1068" s="16"/>
      <c r="E1068" s="16"/>
      <c r="F1068" s="17"/>
      <c r="G1068" s="21"/>
      <c r="H1068" s="21"/>
      <c r="I1068" s="4">
        <v>0</v>
      </c>
      <c r="J1068" s="4">
        <v>0</v>
      </c>
      <c r="K1068" s="4"/>
      <c r="L1068" s="16"/>
      <c r="M1068" s="4"/>
      <c r="N1068" s="4"/>
      <c r="O1068" s="4"/>
      <c r="P1068" s="4"/>
      <c r="Q1068" s="4"/>
      <c r="R1068" s="4"/>
      <c r="S1068" s="4">
        <v>0</v>
      </c>
      <c r="T1068" s="4">
        <v>0</v>
      </c>
      <c r="U1068" s="4">
        <v>0</v>
      </c>
      <c r="V1068" s="4">
        <v>12</v>
      </c>
      <c r="W1068" s="4">
        <v>12</v>
      </c>
      <c r="X1068" s="4">
        <v>0</v>
      </c>
      <c r="Y1068" s="4"/>
      <c r="Z1068" s="4">
        <v>384</v>
      </c>
      <c r="AA1068" s="4">
        <v>400</v>
      </c>
      <c r="AB1068" s="18"/>
      <c r="AC1068" s="18">
        <v>21</v>
      </c>
      <c r="AD1068" s="28"/>
      <c r="AE1068" s="26"/>
      <c r="AF1068" s="28"/>
    </row>
    <row r="1069" spans="1:32" ht="13.5" customHeight="1" x14ac:dyDescent="0.25">
      <c r="A1069" s="14">
        <v>45797</v>
      </c>
      <c r="B1069" s="14" t="s">
        <v>46</v>
      </c>
      <c r="C1069" s="15">
        <v>3</v>
      </c>
      <c r="D1069" s="16">
        <v>3</v>
      </c>
      <c r="E1069" s="16"/>
      <c r="F1069" s="17"/>
      <c r="G1069" s="21"/>
      <c r="H1069" s="21"/>
      <c r="I1069" s="4">
        <v>3</v>
      </c>
      <c r="J1069" s="4">
        <v>0.05</v>
      </c>
      <c r="K1069" s="4"/>
      <c r="L1069" s="16"/>
      <c r="M1069" s="4"/>
      <c r="N1069" s="4"/>
      <c r="O1069" s="4"/>
      <c r="P1069" s="4"/>
      <c r="Q1069" s="4"/>
      <c r="R1069" s="4"/>
      <c r="S1069" s="4">
        <v>0</v>
      </c>
      <c r="T1069" s="4">
        <v>0</v>
      </c>
      <c r="U1069" s="4">
        <v>0.05</v>
      </c>
      <c r="V1069" s="4">
        <v>11.95</v>
      </c>
      <c r="W1069" s="4">
        <v>12</v>
      </c>
      <c r="X1069" s="4">
        <v>0</v>
      </c>
      <c r="Y1069" s="4"/>
      <c r="Z1069" s="4">
        <v>446.4</v>
      </c>
      <c r="AA1069" s="4">
        <v>450</v>
      </c>
      <c r="AB1069" s="18"/>
      <c r="AC1069" s="18">
        <v>21</v>
      </c>
      <c r="AD1069" s="28"/>
      <c r="AE1069" s="26"/>
      <c r="AF1069" s="28"/>
    </row>
    <row r="1070" spans="1:32" ht="13.5" customHeight="1" x14ac:dyDescent="0.25">
      <c r="A1070" s="14">
        <v>45797</v>
      </c>
      <c r="B1070" s="14" t="s">
        <v>47</v>
      </c>
      <c r="C1070" s="15">
        <v>3</v>
      </c>
      <c r="D1070" s="16"/>
      <c r="E1070" s="16"/>
      <c r="F1070" s="17"/>
      <c r="G1070" s="21"/>
      <c r="H1070" s="21"/>
      <c r="I1070" s="4">
        <v>0</v>
      </c>
      <c r="J1070" s="4">
        <v>0</v>
      </c>
      <c r="K1070" s="4"/>
      <c r="L1070" s="16"/>
      <c r="M1070" s="4"/>
      <c r="N1070" s="4"/>
      <c r="O1070" s="4"/>
      <c r="P1070" s="4"/>
      <c r="Q1070" s="4"/>
      <c r="R1070" s="4"/>
      <c r="S1070" s="4">
        <v>0</v>
      </c>
      <c r="T1070" s="4">
        <v>0</v>
      </c>
      <c r="U1070" s="4">
        <v>0</v>
      </c>
      <c r="V1070" s="4">
        <v>12</v>
      </c>
      <c r="W1070" s="4">
        <v>12</v>
      </c>
      <c r="X1070" s="4">
        <v>0</v>
      </c>
      <c r="Y1070" s="4"/>
      <c r="Z1070" s="4">
        <v>445.09999999999997</v>
      </c>
      <c r="AA1070" s="4">
        <v>500</v>
      </c>
      <c r="AB1070" s="18"/>
      <c r="AC1070" s="18">
        <v>21</v>
      </c>
      <c r="AD1070" s="28"/>
      <c r="AE1070" s="26"/>
      <c r="AF1070" s="28"/>
    </row>
    <row r="1071" spans="1:32" ht="13.5" customHeight="1" x14ac:dyDescent="0.25">
      <c r="A1071" s="14">
        <v>45797</v>
      </c>
      <c r="B1071" s="14" t="s">
        <v>46</v>
      </c>
      <c r="C1071" s="15">
        <v>6</v>
      </c>
      <c r="D1071" s="16">
        <v>20</v>
      </c>
      <c r="E1071" s="16"/>
      <c r="F1071" s="17"/>
      <c r="G1071" s="21"/>
      <c r="H1071" s="21"/>
      <c r="I1071" s="4">
        <v>20</v>
      </c>
      <c r="J1071" s="4">
        <v>0.33333333333333331</v>
      </c>
      <c r="K1071" s="4"/>
      <c r="L1071" s="16"/>
      <c r="M1071" s="4"/>
      <c r="N1071" s="4">
        <v>15</v>
      </c>
      <c r="O1071" s="4"/>
      <c r="P1071" s="4">
        <v>10</v>
      </c>
      <c r="Q1071" s="4"/>
      <c r="R1071" s="4"/>
      <c r="S1071" s="4">
        <v>25</v>
      </c>
      <c r="T1071" s="4">
        <v>0.41666666666666669</v>
      </c>
      <c r="U1071" s="4">
        <v>0.75</v>
      </c>
      <c r="V1071" s="4">
        <v>11.25</v>
      </c>
      <c r="W1071" s="4">
        <v>12</v>
      </c>
      <c r="X1071" s="4">
        <v>31</v>
      </c>
      <c r="Y1071" s="4"/>
      <c r="Z1071" s="4">
        <v>541.00000000000011</v>
      </c>
      <c r="AA1071" s="4">
        <v>550</v>
      </c>
      <c r="AB1071" s="18"/>
      <c r="AC1071" s="18">
        <v>21</v>
      </c>
      <c r="AD1071" s="28"/>
      <c r="AE1071" s="26"/>
      <c r="AF1071" s="28"/>
    </row>
    <row r="1072" spans="1:32" ht="13.5" customHeight="1" x14ac:dyDescent="0.25">
      <c r="A1072" s="14">
        <v>45797</v>
      </c>
      <c r="B1072" s="14" t="s">
        <v>47</v>
      </c>
      <c r="C1072" s="15">
        <v>6</v>
      </c>
      <c r="D1072" s="16">
        <v>10</v>
      </c>
      <c r="E1072" s="16"/>
      <c r="F1072" s="17"/>
      <c r="G1072" s="21"/>
      <c r="H1072" s="21"/>
      <c r="I1072" s="4">
        <v>10</v>
      </c>
      <c r="J1072" s="4">
        <v>0.16666666666666666</v>
      </c>
      <c r="K1072" s="4"/>
      <c r="L1072" s="16"/>
      <c r="M1072" s="4"/>
      <c r="N1072" s="4"/>
      <c r="O1072" s="4"/>
      <c r="P1072" s="4">
        <v>125</v>
      </c>
      <c r="Q1072" s="4"/>
      <c r="R1072" s="4"/>
      <c r="S1072" s="4">
        <v>125</v>
      </c>
      <c r="T1072" s="4">
        <v>2.0833333333333335</v>
      </c>
      <c r="U1072" s="4">
        <v>2.25</v>
      </c>
      <c r="V1072" s="4">
        <v>9.75</v>
      </c>
      <c r="W1072" s="4">
        <v>12</v>
      </c>
      <c r="X1072" s="4">
        <v>33</v>
      </c>
      <c r="Y1072" s="4"/>
      <c r="Z1072" s="4">
        <v>794.59999999999991</v>
      </c>
      <c r="AA1072" s="4">
        <v>800</v>
      </c>
      <c r="AB1072" s="18"/>
      <c r="AC1072" s="18">
        <v>21</v>
      </c>
      <c r="AD1072" s="28"/>
      <c r="AE1072" s="26"/>
      <c r="AF1072" s="28"/>
    </row>
    <row r="1073" spans="1:32" ht="13.5" customHeight="1" x14ac:dyDescent="0.25">
      <c r="A1073" s="14">
        <v>45797</v>
      </c>
      <c r="B1073" s="14" t="s">
        <v>46</v>
      </c>
      <c r="C1073" s="15">
        <v>7</v>
      </c>
      <c r="D1073" s="16">
        <v>5</v>
      </c>
      <c r="E1073" s="16"/>
      <c r="F1073" s="17"/>
      <c r="G1073" s="21"/>
      <c r="H1073" s="21"/>
      <c r="I1073" s="4">
        <v>5</v>
      </c>
      <c r="J1073" s="4">
        <v>8.3333333333333329E-2</v>
      </c>
      <c r="K1073" s="4"/>
      <c r="L1073" s="16"/>
      <c r="M1073" s="4"/>
      <c r="N1073" s="4">
        <v>11</v>
      </c>
      <c r="O1073" s="4"/>
      <c r="P1073" s="4"/>
      <c r="Q1073" s="4"/>
      <c r="R1073" s="4"/>
      <c r="S1073" s="4">
        <v>11</v>
      </c>
      <c r="T1073" s="4">
        <v>0.18333333333333332</v>
      </c>
      <c r="U1073" s="4">
        <v>0.26666666666666666</v>
      </c>
      <c r="V1073" s="4">
        <v>11.733333333333333</v>
      </c>
      <c r="W1073" s="4">
        <v>12</v>
      </c>
      <c r="X1073" s="4">
        <v>0</v>
      </c>
      <c r="Y1073" s="4"/>
      <c r="Z1073" s="4">
        <v>372.75</v>
      </c>
      <c r="AA1073" s="4">
        <v>350</v>
      </c>
      <c r="AB1073" s="18"/>
      <c r="AC1073" s="18">
        <v>21</v>
      </c>
      <c r="AD1073" s="28"/>
      <c r="AE1073" s="26"/>
      <c r="AF1073" s="28"/>
    </row>
    <row r="1074" spans="1:32" ht="13.5" customHeight="1" x14ac:dyDescent="0.25">
      <c r="A1074" s="14">
        <v>45797</v>
      </c>
      <c r="B1074" s="14" t="s">
        <v>47</v>
      </c>
      <c r="C1074" s="15">
        <v>7</v>
      </c>
      <c r="D1074" s="16">
        <v>2</v>
      </c>
      <c r="E1074" s="16"/>
      <c r="F1074" s="17"/>
      <c r="G1074" s="21"/>
      <c r="H1074" s="21"/>
      <c r="I1074" s="4">
        <v>2</v>
      </c>
      <c r="J1074" s="4">
        <v>3.3333333333333333E-2</v>
      </c>
      <c r="K1074" s="4"/>
      <c r="L1074" s="16"/>
      <c r="M1074" s="4"/>
      <c r="N1074" s="4"/>
      <c r="O1074" s="4"/>
      <c r="P1074" s="4"/>
      <c r="Q1074" s="4"/>
      <c r="R1074" s="4"/>
      <c r="S1074" s="4">
        <v>0</v>
      </c>
      <c r="T1074" s="4">
        <v>0</v>
      </c>
      <c r="U1074" s="4">
        <v>3.3333333333333333E-2</v>
      </c>
      <c r="V1074" s="4">
        <v>11.966666666666667</v>
      </c>
      <c r="W1074" s="4">
        <v>12</v>
      </c>
      <c r="X1074" s="4">
        <v>0</v>
      </c>
      <c r="Y1074" s="4"/>
      <c r="Z1074" s="4">
        <v>337.58</v>
      </c>
      <c r="AA1074" s="4">
        <v>350</v>
      </c>
      <c r="AB1074" s="18"/>
      <c r="AC1074" s="18">
        <v>21</v>
      </c>
      <c r="AD1074" s="28"/>
      <c r="AE1074" s="26"/>
      <c r="AF1074" s="28"/>
    </row>
    <row r="1075" spans="1:32" ht="13.5" customHeight="1" x14ac:dyDescent="0.25">
      <c r="A1075" s="14">
        <v>45798</v>
      </c>
      <c r="B1075" s="14" t="s">
        <v>46</v>
      </c>
      <c r="C1075" s="15">
        <v>1</v>
      </c>
      <c r="D1075" s="16">
        <v>3</v>
      </c>
      <c r="E1075" s="16"/>
      <c r="F1075" s="17"/>
      <c r="G1075" s="21"/>
      <c r="H1075" s="21"/>
      <c r="I1075" s="4">
        <v>3</v>
      </c>
      <c r="J1075" s="4">
        <v>0.05</v>
      </c>
      <c r="K1075" s="4"/>
      <c r="L1075" s="16"/>
      <c r="M1075" s="4"/>
      <c r="N1075" s="4"/>
      <c r="O1075" s="4"/>
      <c r="P1075" s="4"/>
      <c r="Q1075" s="4"/>
      <c r="R1075" s="4"/>
      <c r="S1075" s="4">
        <v>0</v>
      </c>
      <c r="T1075" s="4">
        <v>0</v>
      </c>
      <c r="U1075" s="4">
        <v>0.05</v>
      </c>
      <c r="V1075" s="4">
        <v>11.95</v>
      </c>
      <c r="W1075" s="4">
        <v>12</v>
      </c>
      <c r="X1075" s="4">
        <v>0</v>
      </c>
      <c r="Y1075" s="4">
        <v>1778</v>
      </c>
      <c r="Z1075" s="4">
        <v>182</v>
      </c>
      <c r="AA1075" s="4">
        <v>200</v>
      </c>
      <c r="AB1075" s="18">
        <v>372</v>
      </c>
      <c r="AC1075" s="18">
        <v>21</v>
      </c>
      <c r="AD1075" s="28"/>
      <c r="AE1075" s="26"/>
      <c r="AF1075" s="28"/>
    </row>
    <row r="1076" spans="1:32" ht="13.5" customHeight="1" x14ac:dyDescent="0.25">
      <c r="A1076" s="14">
        <v>45798</v>
      </c>
      <c r="B1076" s="14" t="s">
        <v>47</v>
      </c>
      <c r="C1076" s="15">
        <v>1</v>
      </c>
      <c r="D1076" s="16">
        <v>5</v>
      </c>
      <c r="E1076" s="16"/>
      <c r="F1076" s="17"/>
      <c r="G1076" s="21"/>
      <c r="H1076" s="21"/>
      <c r="I1076" s="4">
        <v>5</v>
      </c>
      <c r="J1076" s="4">
        <v>8.3333333333333329E-2</v>
      </c>
      <c r="K1076" s="4"/>
      <c r="L1076" s="16"/>
      <c r="M1076" s="4"/>
      <c r="N1076" s="4"/>
      <c r="O1076" s="4"/>
      <c r="P1076" s="4"/>
      <c r="Q1076" s="4">
        <v>45</v>
      </c>
      <c r="R1076" s="4"/>
      <c r="S1076" s="4">
        <v>45</v>
      </c>
      <c r="T1076" s="4">
        <v>0.75</v>
      </c>
      <c r="U1076" s="4">
        <v>0.83333333333333337</v>
      </c>
      <c r="V1076" s="4">
        <v>11.166666666666666</v>
      </c>
      <c r="W1076" s="4">
        <v>12</v>
      </c>
      <c r="X1076" s="4">
        <v>0</v>
      </c>
      <c r="Y1076" s="4"/>
      <c r="Z1076" s="4">
        <v>133.4</v>
      </c>
      <c r="AA1076" s="4">
        <v>150</v>
      </c>
      <c r="AB1076" s="18"/>
      <c r="AC1076" s="18">
        <v>21</v>
      </c>
      <c r="AD1076" s="28"/>
      <c r="AE1076" s="26"/>
      <c r="AF1076" s="28"/>
    </row>
    <row r="1077" spans="1:32" ht="13.5" customHeight="1" x14ac:dyDescent="0.25">
      <c r="A1077" s="14">
        <v>45798</v>
      </c>
      <c r="B1077" s="14" t="s">
        <v>46</v>
      </c>
      <c r="C1077" s="15">
        <v>2</v>
      </c>
      <c r="D1077" s="16">
        <v>5</v>
      </c>
      <c r="E1077" s="16"/>
      <c r="F1077" s="17"/>
      <c r="G1077" s="21"/>
      <c r="H1077" s="21"/>
      <c r="I1077" s="4">
        <v>5</v>
      </c>
      <c r="J1077" s="4">
        <v>8.3333333333333329E-2</v>
      </c>
      <c r="K1077" s="4"/>
      <c r="L1077" s="16"/>
      <c r="M1077" s="4"/>
      <c r="N1077" s="4"/>
      <c r="O1077" s="4"/>
      <c r="P1077" s="4"/>
      <c r="Q1077" s="4"/>
      <c r="R1077" s="4"/>
      <c r="S1077" s="4">
        <v>0</v>
      </c>
      <c r="T1077" s="4">
        <v>0</v>
      </c>
      <c r="U1077" s="4">
        <v>8.3333333333333329E-2</v>
      </c>
      <c r="V1077" s="4">
        <v>11.916666666666666</v>
      </c>
      <c r="W1077" s="4">
        <v>12</v>
      </c>
      <c r="X1077" s="4">
        <v>0</v>
      </c>
      <c r="Y1077" s="4"/>
      <c r="Z1077" s="4">
        <v>353.1</v>
      </c>
      <c r="AA1077" s="4">
        <v>350</v>
      </c>
      <c r="AB1077" s="18"/>
      <c r="AC1077" s="18">
        <v>21</v>
      </c>
      <c r="AD1077" s="28"/>
      <c r="AE1077" s="26"/>
      <c r="AF1077" s="28"/>
    </row>
    <row r="1078" spans="1:32" ht="13.5" customHeight="1" x14ac:dyDescent="0.25">
      <c r="A1078" s="14">
        <v>45798</v>
      </c>
      <c r="B1078" s="14" t="s">
        <v>46</v>
      </c>
      <c r="C1078" s="15">
        <v>3</v>
      </c>
      <c r="D1078" s="16">
        <v>3</v>
      </c>
      <c r="E1078" s="16"/>
      <c r="F1078" s="17"/>
      <c r="G1078" s="21"/>
      <c r="H1078" s="21"/>
      <c r="I1078" s="4">
        <v>3</v>
      </c>
      <c r="J1078" s="4">
        <v>0.05</v>
      </c>
      <c r="K1078" s="4"/>
      <c r="L1078" s="16"/>
      <c r="M1078" s="4"/>
      <c r="N1078" s="4"/>
      <c r="O1078" s="4"/>
      <c r="P1078" s="4"/>
      <c r="Q1078" s="4"/>
      <c r="R1078" s="4"/>
      <c r="S1078" s="4">
        <v>0</v>
      </c>
      <c r="T1078" s="4">
        <v>0</v>
      </c>
      <c r="U1078" s="4">
        <v>0.05</v>
      </c>
      <c r="V1078" s="4">
        <v>11.95</v>
      </c>
      <c r="W1078" s="4">
        <v>12</v>
      </c>
      <c r="X1078" s="4">
        <v>0</v>
      </c>
      <c r="Y1078" s="4"/>
      <c r="Z1078" s="4">
        <v>409.6</v>
      </c>
      <c r="AA1078" s="4">
        <v>400</v>
      </c>
      <c r="AB1078" s="18"/>
      <c r="AC1078" s="18">
        <v>21</v>
      </c>
      <c r="AD1078" s="28"/>
      <c r="AE1078" s="26"/>
      <c r="AF1078" s="28"/>
    </row>
    <row r="1079" spans="1:32" ht="13.5" customHeight="1" x14ac:dyDescent="0.25">
      <c r="A1079" s="14">
        <v>45798</v>
      </c>
      <c r="B1079" s="14" t="s">
        <v>47</v>
      </c>
      <c r="C1079" s="15">
        <v>3</v>
      </c>
      <c r="D1079" s="16">
        <v>10</v>
      </c>
      <c r="E1079" s="16"/>
      <c r="F1079" s="17"/>
      <c r="G1079" s="21"/>
      <c r="H1079" s="21"/>
      <c r="I1079" s="4">
        <v>10</v>
      </c>
      <c r="J1079" s="4">
        <v>0.16666666666666666</v>
      </c>
      <c r="K1079" s="4">
        <v>100</v>
      </c>
      <c r="L1079" s="16"/>
      <c r="M1079" s="4"/>
      <c r="N1079" s="4"/>
      <c r="O1079" s="4">
        <v>95</v>
      </c>
      <c r="P1079" s="4"/>
      <c r="Q1079" s="4"/>
      <c r="R1079" s="4"/>
      <c r="S1079" s="4">
        <v>195</v>
      </c>
      <c r="T1079" s="4">
        <v>3.25</v>
      </c>
      <c r="U1079" s="4">
        <v>3.4166666666666665</v>
      </c>
      <c r="V1079" s="4">
        <v>8.5833333333333339</v>
      </c>
      <c r="W1079" s="4">
        <v>12</v>
      </c>
      <c r="X1079" s="4">
        <v>0</v>
      </c>
      <c r="Y1079" s="4"/>
      <c r="Z1079" s="4">
        <v>264.60000000000002</v>
      </c>
      <c r="AA1079" s="4">
        <v>250</v>
      </c>
      <c r="AB1079" s="18"/>
      <c r="AC1079" s="18">
        <v>21</v>
      </c>
      <c r="AD1079" s="28"/>
      <c r="AE1079" s="26"/>
      <c r="AF1079" s="28"/>
    </row>
    <row r="1080" spans="1:32" ht="13.5" customHeight="1" x14ac:dyDescent="0.25">
      <c r="A1080" s="14">
        <v>45798</v>
      </c>
      <c r="B1080" s="14" t="s">
        <v>46</v>
      </c>
      <c r="C1080" s="15">
        <v>6</v>
      </c>
      <c r="D1080" s="16"/>
      <c r="E1080" s="16"/>
      <c r="F1080" s="17"/>
      <c r="G1080" s="21"/>
      <c r="H1080" s="21"/>
      <c r="I1080" s="4">
        <v>0</v>
      </c>
      <c r="J1080" s="4">
        <v>0</v>
      </c>
      <c r="K1080" s="4"/>
      <c r="L1080" s="16"/>
      <c r="M1080" s="4"/>
      <c r="N1080" s="4"/>
      <c r="O1080" s="4"/>
      <c r="P1080" s="4"/>
      <c r="Q1080" s="4"/>
      <c r="R1080" s="4"/>
      <c r="S1080" s="4">
        <v>0</v>
      </c>
      <c r="T1080" s="4">
        <v>0</v>
      </c>
      <c r="U1080" s="4">
        <v>0</v>
      </c>
      <c r="V1080" s="4">
        <v>12</v>
      </c>
      <c r="W1080" s="4">
        <v>12</v>
      </c>
      <c r="X1080" s="4">
        <v>18.600000000000001</v>
      </c>
      <c r="Y1080" s="4"/>
      <c r="Z1080" s="4">
        <v>882.8</v>
      </c>
      <c r="AA1080" s="4">
        <v>900</v>
      </c>
      <c r="AB1080" s="18"/>
      <c r="AC1080" s="18">
        <v>21</v>
      </c>
      <c r="AD1080" s="28"/>
      <c r="AE1080" s="26"/>
      <c r="AF1080" s="28"/>
    </row>
    <row r="1081" spans="1:32" ht="13.5" customHeight="1" x14ac:dyDescent="0.25">
      <c r="A1081" s="14">
        <v>45798</v>
      </c>
      <c r="B1081" s="14" t="s">
        <v>47</v>
      </c>
      <c r="C1081" s="15">
        <v>6</v>
      </c>
      <c r="D1081" s="16"/>
      <c r="E1081" s="16"/>
      <c r="F1081" s="17"/>
      <c r="G1081" s="21"/>
      <c r="H1081" s="21"/>
      <c r="I1081" s="4">
        <v>0</v>
      </c>
      <c r="J1081" s="4">
        <v>0</v>
      </c>
      <c r="K1081" s="4"/>
      <c r="L1081" s="16"/>
      <c r="M1081" s="4"/>
      <c r="N1081" s="4"/>
      <c r="O1081" s="4"/>
      <c r="P1081" s="4"/>
      <c r="Q1081" s="4"/>
      <c r="R1081" s="4"/>
      <c r="S1081" s="4">
        <v>0</v>
      </c>
      <c r="T1081" s="4">
        <v>0</v>
      </c>
      <c r="U1081" s="4">
        <v>0</v>
      </c>
      <c r="V1081" s="4">
        <v>12</v>
      </c>
      <c r="W1081" s="4">
        <v>12</v>
      </c>
      <c r="X1081" s="4">
        <v>13</v>
      </c>
      <c r="Y1081" s="4"/>
      <c r="Z1081" s="4">
        <v>709.19999999999993</v>
      </c>
      <c r="AA1081" s="4">
        <v>700</v>
      </c>
      <c r="AB1081" s="18"/>
      <c r="AC1081" s="18">
        <v>21</v>
      </c>
      <c r="AD1081" s="28"/>
      <c r="AE1081" s="26"/>
      <c r="AF1081" s="28"/>
    </row>
    <row r="1082" spans="1:32" ht="13.5" customHeight="1" x14ac:dyDescent="0.25">
      <c r="A1082" s="14">
        <v>45798</v>
      </c>
      <c r="B1082" s="14" t="s">
        <v>46</v>
      </c>
      <c r="C1082" s="15">
        <v>7</v>
      </c>
      <c r="D1082" s="16">
        <v>8</v>
      </c>
      <c r="E1082" s="16"/>
      <c r="F1082" s="17"/>
      <c r="G1082" s="21"/>
      <c r="H1082" s="21"/>
      <c r="I1082" s="4">
        <v>8</v>
      </c>
      <c r="J1082" s="4">
        <v>0.13333333333333333</v>
      </c>
      <c r="K1082" s="4"/>
      <c r="L1082" s="16"/>
      <c r="M1082" s="4"/>
      <c r="N1082" s="4"/>
      <c r="O1082" s="4"/>
      <c r="P1082" s="4"/>
      <c r="Q1082" s="4"/>
      <c r="R1082" s="4"/>
      <c r="S1082" s="4">
        <v>0</v>
      </c>
      <c r="T1082" s="4">
        <v>0</v>
      </c>
      <c r="U1082" s="4">
        <v>0.13333333333333333</v>
      </c>
      <c r="V1082" s="4">
        <v>11.866666666666667</v>
      </c>
      <c r="W1082" s="4">
        <v>12</v>
      </c>
      <c r="X1082" s="4">
        <v>0</v>
      </c>
      <c r="Y1082" s="4"/>
      <c r="Z1082" s="4">
        <v>276.60000000000002</v>
      </c>
      <c r="AA1082" s="4">
        <v>300</v>
      </c>
      <c r="AB1082" s="18"/>
      <c r="AC1082" s="18">
        <v>21</v>
      </c>
      <c r="AD1082" s="28"/>
      <c r="AE1082" s="26"/>
      <c r="AF1082" s="28"/>
    </row>
    <row r="1083" spans="1:32" ht="13.5" customHeight="1" x14ac:dyDescent="0.25">
      <c r="A1083" s="14">
        <v>45798</v>
      </c>
      <c r="B1083" s="14" t="s">
        <v>47</v>
      </c>
      <c r="C1083" s="15">
        <v>7</v>
      </c>
      <c r="D1083" s="16"/>
      <c r="E1083" s="16"/>
      <c r="F1083" s="17"/>
      <c r="G1083" s="21"/>
      <c r="H1083" s="21"/>
      <c r="I1083" s="4">
        <v>0</v>
      </c>
      <c r="J1083" s="4">
        <v>0</v>
      </c>
      <c r="K1083" s="4"/>
      <c r="L1083" s="16"/>
      <c r="M1083" s="4"/>
      <c r="N1083" s="4"/>
      <c r="O1083" s="4"/>
      <c r="P1083" s="4"/>
      <c r="Q1083" s="4"/>
      <c r="R1083" s="4"/>
      <c r="S1083" s="4">
        <v>0</v>
      </c>
      <c r="T1083" s="4">
        <v>0</v>
      </c>
      <c r="U1083" s="4">
        <v>0</v>
      </c>
      <c r="V1083" s="4">
        <v>12</v>
      </c>
      <c r="W1083" s="4">
        <v>12</v>
      </c>
      <c r="X1083" s="4">
        <v>0</v>
      </c>
      <c r="Y1083" s="4"/>
      <c r="Z1083" s="4">
        <v>347.33</v>
      </c>
      <c r="AA1083" s="4">
        <v>350</v>
      </c>
      <c r="AB1083" s="18"/>
      <c r="AC1083" s="18">
        <v>21</v>
      </c>
      <c r="AD1083" s="28"/>
      <c r="AE1083" s="26"/>
      <c r="AF1083" s="28"/>
    </row>
    <row r="1084" spans="1:32" ht="13.5" customHeight="1" x14ac:dyDescent="0.25">
      <c r="A1084" s="14">
        <v>45799</v>
      </c>
      <c r="B1084" s="14" t="s">
        <v>46</v>
      </c>
      <c r="C1084" s="15">
        <v>1</v>
      </c>
      <c r="D1084" s="16">
        <v>8</v>
      </c>
      <c r="E1084" s="16"/>
      <c r="F1084" s="17"/>
      <c r="G1084" s="21"/>
      <c r="H1084" s="21"/>
      <c r="I1084" s="4">
        <v>8</v>
      </c>
      <c r="J1084" s="4">
        <v>0.13333333333333333</v>
      </c>
      <c r="K1084" s="4"/>
      <c r="L1084" s="16"/>
      <c r="M1084" s="4"/>
      <c r="N1084" s="4"/>
      <c r="O1084" s="4"/>
      <c r="P1084" s="4"/>
      <c r="Q1084" s="4"/>
      <c r="R1084" s="4"/>
      <c r="S1084" s="4">
        <v>0</v>
      </c>
      <c r="T1084" s="4">
        <v>0</v>
      </c>
      <c r="U1084" s="4">
        <v>0.13333333333333333</v>
      </c>
      <c r="V1084" s="4">
        <v>11.866666666666667</v>
      </c>
      <c r="W1084" s="4">
        <v>12</v>
      </c>
      <c r="X1084" s="4">
        <v>5.8</v>
      </c>
      <c r="Y1084" s="4">
        <v>1698</v>
      </c>
      <c r="Z1084" s="4">
        <v>186.1</v>
      </c>
      <c r="AA1084" s="4">
        <v>200</v>
      </c>
      <c r="AB1084" s="18">
        <v>372</v>
      </c>
      <c r="AC1084" s="18">
        <v>21</v>
      </c>
      <c r="AD1084" s="28"/>
      <c r="AE1084" s="26"/>
      <c r="AF1084" s="28"/>
    </row>
    <row r="1085" spans="1:32" ht="13.5" customHeight="1" x14ac:dyDescent="0.25">
      <c r="A1085" s="14">
        <v>45799</v>
      </c>
      <c r="B1085" s="14" t="s">
        <v>47</v>
      </c>
      <c r="C1085" s="15">
        <v>1</v>
      </c>
      <c r="D1085" s="16"/>
      <c r="E1085" s="16"/>
      <c r="F1085" s="17"/>
      <c r="G1085" s="21"/>
      <c r="H1085" s="21"/>
      <c r="I1085" s="4">
        <v>0</v>
      </c>
      <c r="J1085" s="4">
        <v>0</v>
      </c>
      <c r="K1085" s="4"/>
      <c r="L1085" s="16"/>
      <c r="M1085" s="4"/>
      <c r="N1085" s="4">
        <v>40</v>
      </c>
      <c r="O1085" s="4"/>
      <c r="P1085" s="4"/>
      <c r="Q1085" s="4"/>
      <c r="R1085" s="4"/>
      <c r="S1085" s="4">
        <v>40</v>
      </c>
      <c r="T1085" s="4">
        <v>0.66666666666666663</v>
      </c>
      <c r="U1085" s="4">
        <v>0.66666666666666663</v>
      </c>
      <c r="V1085" s="4">
        <v>11.333333333333334</v>
      </c>
      <c r="W1085" s="4">
        <v>12</v>
      </c>
      <c r="X1085" s="4">
        <v>21</v>
      </c>
      <c r="Y1085" s="4"/>
      <c r="Z1085" s="4">
        <v>98.3</v>
      </c>
      <c r="AA1085" s="4">
        <v>100</v>
      </c>
      <c r="AB1085" s="18"/>
      <c r="AC1085" s="18">
        <v>21</v>
      </c>
      <c r="AD1085" s="28"/>
      <c r="AE1085" s="26"/>
      <c r="AF1085" s="28"/>
    </row>
    <row r="1086" spans="1:32" ht="13.5" customHeight="1" x14ac:dyDescent="0.25">
      <c r="A1086" s="14">
        <v>45799</v>
      </c>
      <c r="B1086" s="14" t="s">
        <v>46</v>
      </c>
      <c r="C1086" s="15">
        <v>3</v>
      </c>
      <c r="D1086" s="16">
        <v>3</v>
      </c>
      <c r="E1086" s="16"/>
      <c r="F1086" s="17"/>
      <c r="G1086" s="21"/>
      <c r="H1086" s="21"/>
      <c r="I1086" s="4">
        <v>3</v>
      </c>
      <c r="J1086" s="4">
        <v>0.05</v>
      </c>
      <c r="K1086" s="4"/>
      <c r="L1086" s="16"/>
      <c r="M1086" s="4"/>
      <c r="N1086" s="4"/>
      <c r="O1086" s="4"/>
      <c r="P1086" s="4"/>
      <c r="Q1086" s="4"/>
      <c r="R1086" s="4"/>
      <c r="S1086" s="4">
        <v>0</v>
      </c>
      <c r="T1086" s="4">
        <v>0</v>
      </c>
      <c r="U1086" s="4">
        <v>0.05</v>
      </c>
      <c r="V1086" s="4">
        <v>11.95</v>
      </c>
      <c r="W1086" s="4">
        <v>12</v>
      </c>
      <c r="X1086" s="4">
        <v>3</v>
      </c>
      <c r="Y1086" s="4"/>
      <c r="Z1086" s="4">
        <v>304.20000000000005</v>
      </c>
      <c r="AA1086" s="4">
        <v>300</v>
      </c>
      <c r="AB1086" s="18"/>
      <c r="AC1086" s="18">
        <v>21</v>
      </c>
      <c r="AD1086" s="28"/>
      <c r="AE1086" s="26"/>
      <c r="AF1086" s="28"/>
    </row>
    <row r="1087" spans="1:32" ht="13.5" customHeight="1" x14ac:dyDescent="0.25">
      <c r="A1087" s="14">
        <v>45799</v>
      </c>
      <c r="B1087" s="14" t="s">
        <v>47</v>
      </c>
      <c r="C1087" s="15">
        <v>3</v>
      </c>
      <c r="D1087" s="16">
        <v>15</v>
      </c>
      <c r="E1087" s="16"/>
      <c r="F1087" s="17"/>
      <c r="G1087" s="21"/>
      <c r="H1087" s="21"/>
      <c r="I1087" s="4">
        <v>15</v>
      </c>
      <c r="J1087" s="4">
        <v>0.25</v>
      </c>
      <c r="K1087" s="4"/>
      <c r="L1087" s="16"/>
      <c r="M1087" s="4"/>
      <c r="N1087" s="4"/>
      <c r="O1087" s="4"/>
      <c r="P1087" s="4"/>
      <c r="Q1087" s="4"/>
      <c r="R1087" s="4"/>
      <c r="S1087" s="4">
        <v>0</v>
      </c>
      <c r="T1087" s="4">
        <v>0</v>
      </c>
      <c r="U1087" s="4">
        <v>0.25</v>
      </c>
      <c r="V1087" s="4">
        <v>11.75</v>
      </c>
      <c r="W1087" s="4">
        <v>12</v>
      </c>
      <c r="X1087" s="4">
        <v>8</v>
      </c>
      <c r="Y1087" s="4"/>
      <c r="Z1087" s="4">
        <v>313.5</v>
      </c>
      <c r="AA1087" s="4">
        <v>300</v>
      </c>
      <c r="AB1087" s="18"/>
      <c r="AC1087" s="18">
        <v>21</v>
      </c>
      <c r="AD1087" s="28"/>
      <c r="AE1087" s="26"/>
      <c r="AF1087" s="28"/>
    </row>
    <row r="1088" spans="1:32" ht="13.5" customHeight="1" x14ac:dyDescent="0.25">
      <c r="A1088" s="14">
        <v>45799</v>
      </c>
      <c r="B1088" s="14" t="s">
        <v>46</v>
      </c>
      <c r="C1088" s="15">
        <v>6</v>
      </c>
      <c r="D1088" s="16">
        <v>8</v>
      </c>
      <c r="E1088" s="16"/>
      <c r="F1088" s="17"/>
      <c r="G1088" s="21"/>
      <c r="H1088" s="21"/>
      <c r="I1088" s="4">
        <v>8</v>
      </c>
      <c r="J1088" s="4">
        <v>0.13333333333333333</v>
      </c>
      <c r="K1088" s="4"/>
      <c r="L1088" s="16"/>
      <c r="M1088" s="4"/>
      <c r="N1088" s="4">
        <v>20</v>
      </c>
      <c r="O1088" s="4"/>
      <c r="P1088" s="4"/>
      <c r="Q1088" s="4"/>
      <c r="R1088" s="4"/>
      <c r="S1088" s="4">
        <v>20</v>
      </c>
      <c r="T1088" s="4">
        <v>0.33333333333333331</v>
      </c>
      <c r="U1088" s="4">
        <v>0.46666666666666667</v>
      </c>
      <c r="V1088" s="4">
        <v>11.533333333333333</v>
      </c>
      <c r="W1088" s="4">
        <v>12</v>
      </c>
      <c r="X1088" s="4">
        <v>0</v>
      </c>
      <c r="Y1088" s="4"/>
      <c r="Z1088" s="4">
        <v>835.4</v>
      </c>
      <c r="AA1088" s="4">
        <v>800</v>
      </c>
      <c r="AB1088" s="18"/>
      <c r="AC1088" s="18">
        <v>21</v>
      </c>
      <c r="AD1088" s="28"/>
      <c r="AE1088" s="26"/>
      <c r="AF1088" s="28"/>
    </row>
    <row r="1089" spans="1:32" ht="13.5" customHeight="1" x14ac:dyDescent="0.25">
      <c r="A1089" s="14">
        <v>45799</v>
      </c>
      <c r="B1089" s="14" t="s">
        <v>47</v>
      </c>
      <c r="C1089" s="15">
        <v>6</v>
      </c>
      <c r="D1089" s="16"/>
      <c r="E1089" s="16"/>
      <c r="F1089" s="17"/>
      <c r="G1089" s="21"/>
      <c r="H1089" s="21"/>
      <c r="I1089" s="4">
        <v>0</v>
      </c>
      <c r="J1089" s="4">
        <v>0</v>
      </c>
      <c r="K1089" s="4"/>
      <c r="L1089" s="16"/>
      <c r="M1089" s="4"/>
      <c r="N1089" s="4"/>
      <c r="O1089" s="4"/>
      <c r="P1089" s="4"/>
      <c r="Q1089" s="4"/>
      <c r="R1089" s="4"/>
      <c r="S1089" s="4">
        <v>0</v>
      </c>
      <c r="T1089" s="4">
        <v>0</v>
      </c>
      <c r="U1089" s="4">
        <v>0</v>
      </c>
      <c r="V1089" s="4">
        <v>12</v>
      </c>
      <c r="W1089" s="4">
        <v>12</v>
      </c>
      <c r="X1089" s="4">
        <v>15.2</v>
      </c>
      <c r="Y1089" s="4"/>
      <c r="Z1089" s="4">
        <v>610.59999999999991</v>
      </c>
      <c r="AA1089" s="4">
        <v>600</v>
      </c>
      <c r="AB1089" s="18"/>
      <c r="AC1089" s="18">
        <v>21</v>
      </c>
      <c r="AD1089" s="28"/>
      <c r="AE1089" s="26"/>
      <c r="AF1089" s="28"/>
    </row>
    <row r="1090" spans="1:32" ht="13.5" customHeight="1" x14ac:dyDescent="0.25">
      <c r="A1090" s="14">
        <v>45799</v>
      </c>
      <c r="B1090" s="14" t="s">
        <v>46</v>
      </c>
      <c r="C1090" s="15">
        <v>7</v>
      </c>
      <c r="D1090" s="16">
        <v>11</v>
      </c>
      <c r="E1090" s="16"/>
      <c r="F1090" s="17"/>
      <c r="G1090" s="21"/>
      <c r="H1090" s="21"/>
      <c r="I1090" s="4">
        <v>11</v>
      </c>
      <c r="J1090" s="4">
        <v>0.18333333333333332</v>
      </c>
      <c r="K1090" s="4"/>
      <c r="L1090" s="16"/>
      <c r="M1090" s="4"/>
      <c r="N1090" s="4">
        <v>4</v>
      </c>
      <c r="O1090" s="4"/>
      <c r="P1090" s="4"/>
      <c r="Q1090" s="4"/>
      <c r="R1090" s="4"/>
      <c r="S1090" s="4">
        <v>4</v>
      </c>
      <c r="T1090" s="4">
        <v>6.6666666666666666E-2</v>
      </c>
      <c r="U1090" s="4">
        <v>0.25</v>
      </c>
      <c r="V1090" s="4">
        <v>11.75</v>
      </c>
      <c r="W1090" s="4">
        <v>12</v>
      </c>
      <c r="X1090" s="4">
        <v>9.8000000000000007</v>
      </c>
      <c r="Y1090" s="4"/>
      <c r="Z1090" s="4">
        <v>342.6</v>
      </c>
      <c r="AA1090" s="4">
        <v>400</v>
      </c>
      <c r="AB1090" s="18"/>
      <c r="AC1090" s="18">
        <v>21</v>
      </c>
      <c r="AD1090" s="28"/>
      <c r="AE1090" s="26"/>
      <c r="AF1090" s="28"/>
    </row>
    <row r="1091" spans="1:32" ht="13.5" customHeight="1" x14ac:dyDescent="0.25">
      <c r="A1091" s="14">
        <v>45799</v>
      </c>
      <c r="B1091" s="14" t="s">
        <v>47</v>
      </c>
      <c r="C1091" s="15">
        <v>7</v>
      </c>
      <c r="D1091" s="16">
        <v>8</v>
      </c>
      <c r="E1091" s="16"/>
      <c r="F1091" s="17"/>
      <c r="G1091" s="21"/>
      <c r="H1091" s="21"/>
      <c r="I1091" s="4">
        <v>8</v>
      </c>
      <c r="J1091" s="4">
        <v>0.13333333333333333</v>
      </c>
      <c r="K1091" s="4"/>
      <c r="L1091" s="16"/>
      <c r="M1091" s="4"/>
      <c r="N1091" s="4"/>
      <c r="O1091" s="4"/>
      <c r="P1091" s="4"/>
      <c r="Q1091" s="4"/>
      <c r="R1091" s="4"/>
      <c r="S1091" s="4">
        <v>0</v>
      </c>
      <c r="T1091" s="4">
        <v>0</v>
      </c>
      <c r="U1091" s="4">
        <v>0.13333333333333333</v>
      </c>
      <c r="V1091" s="4">
        <v>11.866666666666667</v>
      </c>
      <c r="W1091" s="4">
        <v>12</v>
      </c>
      <c r="X1091" s="4">
        <v>6.45</v>
      </c>
      <c r="Y1091" s="4"/>
      <c r="Z1091" s="4">
        <v>382.24</v>
      </c>
      <c r="AA1091" s="4">
        <v>400</v>
      </c>
      <c r="AB1091" s="18"/>
      <c r="AC1091" s="18">
        <v>21</v>
      </c>
      <c r="AD1091" s="28"/>
      <c r="AE1091" s="26"/>
      <c r="AF1091" s="28"/>
    </row>
    <row r="1092" spans="1:32" ht="13.5" customHeight="1" x14ac:dyDescent="0.25">
      <c r="A1092" s="14">
        <v>45800</v>
      </c>
      <c r="B1092" s="14" t="s">
        <v>46</v>
      </c>
      <c r="C1092" s="15">
        <v>1</v>
      </c>
      <c r="D1092" s="16"/>
      <c r="E1092" s="16"/>
      <c r="F1092" s="17"/>
      <c r="G1092" s="21"/>
      <c r="H1092" s="21"/>
      <c r="I1092" s="4">
        <v>0</v>
      </c>
      <c r="J1092" s="4">
        <v>0</v>
      </c>
      <c r="K1092" s="4"/>
      <c r="L1092" s="16"/>
      <c r="M1092" s="4"/>
      <c r="N1092" s="4"/>
      <c r="O1092" s="4"/>
      <c r="P1092" s="4"/>
      <c r="Q1092" s="4">
        <v>60</v>
      </c>
      <c r="R1092" s="4"/>
      <c r="S1092" s="4">
        <v>60</v>
      </c>
      <c r="T1092" s="4">
        <v>1</v>
      </c>
      <c r="U1092" s="4">
        <v>1</v>
      </c>
      <c r="V1092" s="4">
        <v>11</v>
      </c>
      <c r="W1092" s="4">
        <v>12</v>
      </c>
      <c r="X1092" s="4">
        <v>5</v>
      </c>
      <c r="Y1092" s="4">
        <v>1706</v>
      </c>
      <c r="Z1092" s="4">
        <v>140.4</v>
      </c>
      <c r="AA1092" s="4">
        <v>150</v>
      </c>
      <c r="AB1092" s="18">
        <v>372</v>
      </c>
      <c r="AC1092" s="18">
        <v>21</v>
      </c>
      <c r="AD1092" s="28"/>
      <c r="AE1092" s="26"/>
      <c r="AF1092" s="28"/>
    </row>
    <row r="1093" spans="1:32" ht="13.5" customHeight="1" x14ac:dyDescent="0.25">
      <c r="A1093" s="14">
        <v>45800</v>
      </c>
      <c r="B1093" s="14" t="s">
        <v>47</v>
      </c>
      <c r="C1093" s="15">
        <v>1</v>
      </c>
      <c r="D1093" s="16"/>
      <c r="E1093" s="16"/>
      <c r="F1093" s="17"/>
      <c r="G1093" s="21"/>
      <c r="H1093" s="21"/>
      <c r="I1093" s="4">
        <v>0</v>
      </c>
      <c r="J1093" s="4">
        <v>0</v>
      </c>
      <c r="K1093" s="4"/>
      <c r="L1093" s="16"/>
      <c r="M1093" s="4"/>
      <c r="N1093" s="4">
        <v>120</v>
      </c>
      <c r="O1093" s="4"/>
      <c r="P1093" s="4"/>
      <c r="Q1093" s="4"/>
      <c r="R1093" s="4"/>
      <c r="S1093" s="4">
        <v>120</v>
      </c>
      <c r="T1093" s="4">
        <v>2</v>
      </c>
      <c r="U1093" s="4">
        <v>2</v>
      </c>
      <c r="V1093" s="4">
        <v>10</v>
      </c>
      <c r="W1093" s="4">
        <v>12</v>
      </c>
      <c r="X1093" s="4">
        <v>53</v>
      </c>
      <c r="Y1093" s="4"/>
      <c r="Z1093" s="4">
        <v>116.01</v>
      </c>
      <c r="AA1093" s="4">
        <v>100</v>
      </c>
      <c r="AB1093" s="18"/>
      <c r="AC1093" s="18">
        <v>21</v>
      </c>
      <c r="AD1093" s="28"/>
      <c r="AE1093" s="26"/>
      <c r="AF1093" s="28"/>
    </row>
    <row r="1094" spans="1:32" ht="13.5" customHeight="1" x14ac:dyDescent="0.25">
      <c r="A1094" s="14">
        <v>45800</v>
      </c>
      <c r="B1094" s="14" t="s">
        <v>46</v>
      </c>
      <c r="C1094" s="15">
        <v>3</v>
      </c>
      <c r="D1094" s="16">
        <v>5</v>
      </c>
      <c r="E1094" s="16"/>
      <c r="F1094" s="17"/>
      <c r="G1094" s="21"/>
      <c r="H1094" s="21"/>
      <c r="I1094" s="4">
        <v>5</v>
      </c>
      <c r="J1094" s="4">
        <v>8.3333333333333329E-2</v>
      </c>
      <c r="K1094" s="4"/>
      <c r="L1094" s="16"/>
      <c r="M1094" s="4"/>
      <c r="N1094" s="4">
        <v>5</v>
      </c>
      <c r="O1094" s="4"/>
      <c r="P1094" s="4"/>
      <c r="Q1094" s="4"/>
      <c r="R1094" s="4"/>
      <c r="S1094" s="4">
        <v>5</v>
      </c>
      <c r="T1094" s="4">
        <v>8.3333333333333329E-2</v>
      </c>
      <c r="U1094" s="4">
        <v>0.16666666666666666</v>
      </c>
      <c r="V1094" s="4">
        <v>11.833333333333334</v>
      </c>
      <c r="W1094" s="4">
        <v>12</v>
      </c>
      <c r="X1094" s="4">
        <v>12</v>
      </c>
      <c r="Y1094" s="4"/>
      <c r="Z1094" s="4">
        <v>431.70000000000005</v>
      </c>
      <c r="AA1094" s="4">
        <v>450</v>
      </c>
      <c r="AB1094" s="18"/>
      <c r="AC1094" s="18">
        <v>21</v>
      </c>
      <c r="AD1094" s="28"/>
      <c r="AE1094" s="26"/>
      <c r="AF1094" s="28"/>
    </row>
    <row r="1095" spans="1:32" ht="13.5" customHeight="1" x14ac:dyDescent="0.25">
      <c r="A1095" s="14">
        <v>45800</v>
      </c>
      <c r="B1095" s="14" t="s">
        <v>47</v>
      </c>
      <c r="C1095" s="15">
        <v>3</v>
      </c>
      <c r="D1095" s="16">
        <v>15</v>
      </c>
      <c r="E1095" s="16"/>
      <c r="F1095" s="17"/>
      <c r="G1095" s="21"/>
      <c r="H1095" s="21"/>
      <c r="I1095" s="4">
        <v>15</v>
      </c>
      <c r="J1095" s="4">
        <v>0.25</v>
      </c>
      <c r="K1095" s="4"/>
      <c r="L1095" s="16"/>
      <c r="M1095" s="4"/>
      <c r="N1095" s="4"/>
      <c r="O1095" s="4"/>
      <c r="P1095" s="4"/>
      <c r="Q1095" s="4"/>
      <c r="R1095" s="4"/>
      <c r="S1095" s="4">
        <v>0</v>
      </c>
      <c r="T1095" s="4">
        <v>0</v>
      </c>
      <c r="U1095" s="4">
        <v>0.25</v>
      </c>
      <c r="V1095" s="4">
        <v>11.75</v>
      </c>
      <c r="W1095" s="4">
        <v>12</v>
      </c>
      <c r="X1095" s="4">
        <v>0</v>
      </c>
      <c r="Y1095" s="4"/>
      <c r="Z1095" s="4">
        <v>227.3</v>
      </c>
      <c r="AA1095" s="4">
        <v>250</v>
      </c>
      <c r="AB1095" s="18"/>
      <c r="AC1095" s="18">
        <v>21</v>
      </c>
      <c r="AD1095" s="28"/>
      <c r="AE1095" s="26"/>
      <c r="AF1095" s="28"/>
    </row>
    <row r="1096" spans="1:32" ht="13.5" customHeight="1" x14ac:dyDescent="0.25">
      <c r="A1096" s="14">
        <v>45800</v>
      </c>
      <c r="B1096" s="14" t="s">
        <v>46</v>
      </c>
      <c r="C1096" s="15">
        <v>6</v>
      </c>
      <c r="D1096" s="16"/>
      <c r="E1096" s="16"/>
      <c r="F1096" s="17"/>
      <c r="G1096" s="21"/>
      <c r="H1096" s="21"/>
      <c r="I1096" s="4">
        <v>0</v>
      </c>
      <c r="J1096" s="4">
        <v>0</v>
      </c>
      <c r="K1096" s="4"/>
      <c r="L1096" s="16"/>
      <c r="M1096" s="4"/>
      <c r="N1096" s="4"/>
      <c r="O1096" s="4"/>
      <c r="P1096" s="4"/>
      <c r="Q1096" s="4"/>
      <c r="R1096" s="4"/>
      <c r="S1096" s="4">
        <v>0</v>
      </c>
      <c r="T1096" s="4">
        <v>0</v>
      </c>
      <c r="U1096" s="4">
        <v>0</v>
      </c>
      <c r="V1096" s="4">
        <v>12</v>
      </c>
      <c r="W1096" s="4">
        <v>12</v>
      </c>
      <c r="X1096" s="4">
        <v>7</v>
      </c>
      <c r="Y1096" s="4"/>
      <c r="Z1096" s="4">
        <v>499.40000000000009</v>
      </c>
      <c r="AA1096" s="4">
        <v>500</v>
      </c>
      <c r="AB1096" s="18"/>
      <c r="AC1096" s="18">
        <v>21</v>
      </c>
      <c r="AD1096" s="28"/>
      <c r="AE1096" s="26"/>
      <c r="AF1096" s="28"/>
    </row>
    <row r="1097" spans="1:32" ht="13.5" customHeight="1" x14ac:dyDescent="0.25">
      <c r="A1097" s="14">
        <v>45800</v>
      </c>
      <c r="B1097" s="14" t="s">
        <v>47</v>
      </c>
      <c r="C1097" s="15">
        <v>6</v>
      </c>
      <c r="D1097" s="16">
        <v>10</v>
      </c>
      <c r="E1097" s="16"/>
      <c r="F1097" s="17"/>
      <c r="G1097" s="21"/>
      <c r="H1097" s="21"/>
      <c r="I1097" s="4">
        <v>10</v>
      </c>
      <c r="J1097" s="4">
        <v>0.16666666666666666</v>
      </c>
      <c r="K1097" s="4"/>
      <c r="L1097" s="16"/>
      <c r="M1097" s="4"/>
      <c r="N1097" s="4">
        <v>35</v>
      </c>
      <c r="O1097" s="4"/>
      <c r="P1097" s="4">
        <v>70</v>
      </c>
      <c r="Q1097" s="4"/>
      <c r="R1097" s="4"/>
      <c r="S1097" s="4">
        <v>105</v>
      </c>
      <c r="T1097" s="4">
        <v>1.75</v>
      </c>
      <c r="U1097" s="4">
        <v>1.9166666666666667</v>
      </c>
      <c r="V1097" s="4">
        <v>10.083333333333334</v>
      </c>
      <c r="W1097" s="4">
        <v>12</v>
      </c>
      <c r="X1097" s="4">
        <v>32</v>
      </c>
      <c r="Y1097" s="4"/>
      <c r="Z1097" s="4">
        <v>516.80000000000007</v>
      </c>
      <c r="AA1097" s="4">
        <v>550</v>
      </c>
      <c r="AB1097" s="18"/>
      <c r="AC1097" s="18">
        <v>21</v>
      </c>
      <c r="AD1097" s="28"/>
      <c r="AE1097" s="26"/>
      <c r="AF1097" s="28"/>
    </row>
    <row r="1098" spans="1:32" ht="13.5" customHeight="1" x14ac:dyDescent="0.25">
      <c r="A1098" s="14">
        <v>45800</v>
      </c>
      <c r="B1098" s="14" t="s">
        <v>46</v>
      </c>
      <c r="C1098" s="15">
        <v>7</v>
      </c>
      <c r="D1098" s="16"/>
      <c r="E1098" s="16"/>
      <c r="F1098" s="17"/>
      <c r="G1098" s="21"/>
      <c r="H1098" s="21"/>
      <c r="I1098" s="4">
        <v>0</v>
      </c>
      <c r="J1098" s="4">
        <v>0</v>
      </c>
      <c r="K1098" s="4"/>
      <c r="L1098" s="16"/>
      <c r="M1098" s="4"/>
      <c r="N1098" s="4"/>
      <c r="O1098" s="4"/>
      <c r="P1098" s="4"/>
      <c r="Q1098" s="4"/>
      <c r="R1098" s="4"/>
      <c r="S1098" s="4">
        <v>0</v>
      </c>
      <c r="T1098" s="4">
        <v>0</v>
      </c>
      <c r="U1098" s="4">
        <v>0</v>
      </c>
      <c r="V1098" s="4">
        <v>12</v>
      </c>
      <c r="W1098" s="4">
        <v>12</v>
      </c>
      <c r="X1098" s="4">
        <v>2</v>
      </c>
      <c r="Y1098" s="4"/>
      <c r="Z1098" s="4">
        <v>319.5</v>
      </c>
      <c r="AA1098" s="4">
        <v>350</v>
      </c>
      <c r="AB1098" s="18"/>
      <c r="AC1098" s="18">
        <v>21</v>
      </c>
      <c r="AD1098" s="28"/>
      <c r="AE1098" s="26"/>
      <c r="AF1098" s="28"/>
    </row>
    <row r="1099" spans="1:32" ht="13.5" customHeight="1" x14ac:dyDescent="0.25">
      <c r="A1099" s="14">
        <v>45800</v>
      </c>
      <c r="B1099" s="14" t="s">
        <v>47</v>
      </c>
      <c r="C1099" s="15">
        <v>7</v>
      </c>
      <c r="D1099" s="16">
        <v>2</v>
      </c>
      <c r="E1099" s="16"/>
      <c r="F1099" s="17"/>
      <c r="G1099" s="21"/>
      <c r="H1099" s="21"/>
      <c r="I1099" s="4">
        <v>2</v>
      </c>
      <c r="J1099" s="4">
        <v>3.3333333333333333E-2</v>
      </c>
      <c r="K1099" s="4"/>
      <c r="L1099" s="16"/>
      <c r="M1099" s="4"/>
      <c r="N1099" s="4"/>
      <c r="O1099" s="4"/>
      <c r="P1099" s="4">
        <v>30</v>
      </c>
      <c r="Q1099" s="4"/>
      <c r="R1099" s="4"/>
      <c r="S1099" s="4">
        <v>30</v>
      </c>
      <c r="T1099" s="4">
        <v>0.5</v>
      </c>
      <c r="U1099" s="4">
        <v>0.53333333333333333</v>
      </c>
      <c r="V1099" s="4">
        <v>11.466666666666667</v>
      </c>
      <c r="W1099" s="4">
        <v>12</v>
      </c>
      <c r="X1099" s="4">
        <v>6</v>
      </c>
      <c r="Y1099" s="4"/>
      <c r="Z1099" s="4">
        <v>348.65</v>
      </c>
      <c r="AA1099" s="4">
        <v>400</v>
      </c>
      <c r="AB1099" s="18"/>
      <c r="AC1099" s="18">
        <v>21</v>
      </c>
      <c r="AD1099" s="28"/>
      <c r="AE1099" s="26"/>
      <c r="AF1099" s="28"/>
    </row>
    <row r="1100" spans="1:32" ht="13.5" customHeight="1" x14ac:dyDescent="0.25">
      <c r="A1100" s="14">
        <v>45801</v>
      </c>
      <c r="B1100" s="14" t="s">
        <v>46</v>
      </c>
      <c r="C1100" s="15">
        <v>3</v>
      </c>
      <c r="D1100" s="16">
        <v>11</v>
      </c>
      <c r="E1100" s="16"/>
      <c r="F1100" s="17"/>
      <c r="G1100" s="21"/>
      <c r="H1100" s="21"/>
      <c r="I1100" s="4">
        <v>11</v>
      </c>
      <c r="J1100" s="4">
        <v>0.18333333333333332</v>
      </c>
      <c r="K1100" s="4"/>
      <c r="L1100" s="16"/>
      <c r="M1100" s="4"/>
      <c r="N1100" s="4">
        <v>5</v>
      </c>
      <c r="O1100" s="4"/>
      <c r="P1100" s="4"/>
      <c r="Q1100" s="4"/>
      <c r="R1100" s="4"/>
      <c r="S1100" s="4">
        <v>5</v>
      </c>
      <c r="T1100" s="4">
        <v>8.3333333333333329E-2</v>
      </c>
      <c r="U1100" s="4">
        <v>0.26666666666666666</v>
      </c>
      <c r="V1100" s="4">
        <v>11.733333333333333</v>
      </c>
      <c r="W1100" s="4">
        <v>12</v>
      </c>
      <c r="X1100" s="4">
        <v>0</v>
      </c>
      <c r="Y1100" s="4">
        <v>1588</v>
      </c>
      <c r="Z1100" s="4">
        <v>210.8</v>
      </c>
      <c r="AA1100" s="4">
        <v>250</v>
      </c>
      <c r="AB1100" s="18">
        <v>372</v>
      </c>
      <c r="AC1100" s="18">
        <v>21</v>
      </c>
      <c r="AD1100" s="28"/>
      <c r="AE1100" s="26"/>
      <c r="AF1100" s="28"/>
    </row>
    <row r="1101" spans="1:32" ht="13.5" customHeight="1" x14ac:dyDescent="0.25">
      <c r="A1101" s="14">
        <v>45801</v>
      </c>
      <c r="B1101" s="14" t="s">
        <v>47</v>
      </c>
      <c r="C1101" s="15">
        <v>3</v>
      </c>
      <c r="D1101" s="16"/>
      <c r="E1101" s="16"/>
      <c r="F1101" s="17"/>
      <c r="G1101" s="21"/>
      <c r="H1101" s="21"/>
      <c r="I1101" s="4">
        <v>0</v>
      </c>
      <c r="J1101" s="4">
        <v>0</v>
      </c>
      <c r="K1101" s="4"/>
      <c r="L1101" s="16"/>
      <c r="M1101" s="4"/>
      <c r="N1101" s="4"/>
      <c r="O1101" s="4"/>
      <c r="P1101" s="4"/>
      <c r="Q1101" s="4"/>
      <c r="R1101" s="4"/>
      <c r="S1101" s="4">
        <v>0</v>
      </c>
      <c r="T1101" s="4">
        <v>0</v>
      </c>
      <c r="U1101" s="4">
        <v>0</v>
      </c>
      <c r="V1101" s="4">
        <v>12</v>
      </c>
      <c r="W1101" s="4">
        <v>12</v>
      </c>
      <c r="X1101" s="4">
        <v>10</v>
      </c>
      <c r="Y1101" s="4"/>
      <c r="Z1101" s="4">
        <v>267.70000000000005</v>
      </c>
      <c r="AA1101" s="4">
        <v>300</v>
      </c>
      <c r="AB1101" s="18"/>
      <c r="AC1101" s="18">
        <v>21</v>
      </c>
      <c r="AD1101" s="28"/>
      <c r="AE1101" s="26"/>
      <c r="AF1101" s="28"/>
    </row>
    <row r="1102" spans="1:32" ht="13.5" customHeight="1" x14ac:dyDescent="0.25">
      <c r="A1102" s="14">
        <v>45801</v>
      </c>
      <c r="B1102" s="14" t="s">
        <v>46</v>
      </c>
      <c r="C1102" s="15">
        <v>6</v>
      </c>
      <c r="D1102" s="16">
        <v>10</v>
      </c>
      <c r="E1102" s="16"/>
      <c r="F1102" s="17"/>
      <c r="G1102" s="21"/>
      <c r="H1102" s="21"/>
      <c r="I1102" s="4">
        <v>10</v>
      </c>
      <c r="J1102" s="4">
        <v>0.16666666666666666</v>
      </c>
      <c r="K1102" s="4"/>
      <c r="L1102" s="16"/>
      <c r="M1102" s="4"/>
      <c r="N1102" s="4">
        <v>10</v>
      </c>
      <c r="O1102" s="4"/>
      <c r="P1102" s="4"/>
      <c r="Q1102" s="4"/>
      <c r="R1102" s="4"/>
      <c r="S1102" s="4">
        <v>10</v>
      </c>
      <c r="T1102" s="4">
        <v>0.16666666666666666</v>
      </c>
      <c r="U1102" s="4">
        <v>0.33333333333333331</v>
      </c>
      <c r="V1102" s="4">
        <v>11.666666666666666</v>
      </c>
      <c r="W1102" s="4">
        <v>12</v>
      </c>
      <c r="X1102" s="4">
        <v>154</v>
      </c>
      <c r="Y1102" s="4"/>
      <c r="Z1102" s="4">
        <v>598.41</v>
      </c>
      <c r="AA1102" s="4">
        <v>500</v>
      </c>
      <c r="AB1102" s="18"/>
      <c r="AC1102" s="18">
        <v>21</v>
      </c>
      <c r="AD1102" s="28"/>
      <c r="AE1102" s="26"/>
      <c r="AF1102" s="28"/>
    </row>
    <row r="1103" spans="1:32" ht="13.5" customHeight="1" x14ac:dyDescent="0.25">
      <c r="A1103" s="14">
        <v>45801</v>
      </c>
      <c r="B1103" s="14" t="s">
        <v>47</v>
      </c>
      <c r="C1103" s="15">
        <v>6</v>
      </c>
      <c r="D1103" s="16"/>
      <c r="E1103" s="16"/>
      <c r="F1103" s="17"/>
      <c r="G1103" s="21"/>
      <c r="H1103" s="21"/>
      <c r="I1103" s="4">
        <v>0</v>
      </c>
      <c r="J1103" s="4">
        <v>0</v>
      </c>
      <c r="K1103" s="4"/>
      <c r="L1103" s="16"/>
      <c r="M1103" s="4"/>
      <c r="N1103" s="4"/>
      <c r="O1103" s="4"/>
      <c r="P1103" s="4"/>
      <c r="Q1103" s="4"/>
      <c r="R1103" s="4"/>
      <c r="S1103" s="4">
        <v>0</v>
      </c>
      <c r="T1103" s="4">
        <v>0</v>
      </c>
      <c r="U1103" s="4">
        <v>0</v>
      </c>
      <c r="V1103" s="4">
        <v>12</v>
      </c>
      <c r="W1103" s="4">
        <v>12</v>
      </c>
      <c r="X1103" s="4">
        <v>11.4</v>
      </c>
      <c r="Y1103" s="4"/>
      <c r="Z1103" s="4">
        <v>581.20000000000005</v>
      </c>
      <c r="AA1103" s="4">
        <v>600</v>
      </c>
      <c r="AB1103" s="18"/>
      <c r="AC1103" s="18">
        <v>21</v>
      </c>
      <c r="AD1103" s="28"/>
      <c r="AE1103" s="26"/>
      <c r="AF1103" s="28"/>
    </row>
    <row r="1104" spans="1:32" ht="13.5" customHeight="1" x14ac:dyDescent="0.25">
      <c r="A1104" s="14">
        <v>45801</v>
      </c>
      <c r="B1104" s="14" t="s">
        <v>46</v>
      </c>
      <c r="C1104" s="15">
        <v>7</v>
      </c>
      <c r="D1104" s="16">
        <v>3</v>
      </c>
      <c r="E1104" s="16"/>
      <c r="F1104" s="17"/>
      <c r="G1104" s="21"/>
      <c r="H1104" s="21"/>
      <c r="I1104" s="4">
        <v>3</v>
      </c>
      <c r="J1104" s="4">
        <v>0.05</v>
      </c>
      <c r="K1104" s="4"/>
      <c r="L1104" s="16"/>
      <c r="M1104" s="4"/>
      <c r="N1104" s="4"/>
      <c r="O1104" s="4"/>
      <c r="P1104" s="4"/>
      <c r="Q1104" s="4"/>
      <c r="R1104" s="4"/>
      <c r="S1104" s="4">
        <v>0</v>
      </c>
      <c r="T1104" s="4">
        <v>0</v>
      </c>
      <c r="U1104" s="4">
        <v>0.05</v>
      </c>
      <c r="V1104" s="4">
        <v>11.95</v>
      </c>
      <c r="W1104" s="4">
        <v>12</v>
      </c>
      <c r="X1104" s="4">
        <v>0</v>
      </c>
      <c r="Y1104" s="4"/>
      <c r="Z1104" s="4">
        <v>427.07000000000005</v>
      </c>
      <c r="AA1104" s="4">
        <v>450</v>
      </c>
      <c r="AB1104" s="18"/>
      <c r="AC1104" s="18">
        <v>21</v>
      </c>
      <c r="AD1104" s="28"/>
      <c r="AE1104" s="26"/>
      <c r="AF1104" s="28"/>
    </row>
    <row r="1105" spans="1:32" ht="13.5" customHeight="1" x14ac:dyDescent="0.25">
      <c r="A1105" s="14">
        <v>45801</v>
      </c>
      <c r="B1105" s="14" t="s">
        <v>47</v>
      </c>
      <c r="C1105" s="15">
        <v>7</v>
      </c>
      <c r="D1105" s="16">
        <v>5</v>
      </c>
      <c r="E1105" s="16"/>
      <c r="F1105" s="17"/>
      <c r="G1105" s="21"/>
      <c r="H1105" s="21"/>
      <c r="I1105" s="4">
        <v>5</v>
      </c>
      <c r="J1105" s="4">
        <v>8.3333333333333329E-2</v>
      </c>
      <c r="K1105" s="4"/>
      <c r="L1105" s="16"/>
      <c r="M1105" s="4"/>
      <c r="N1105" s="4"/>
      <c r="O1105" s="4"/>
      <c r="P1105" s="4"/>
      <c r="Q1105" s="4"/>
      <c r="R1105" s="4"/>
      <c r="S1105" s="4">
        <v>0</v>
      </c>
      <c r="T1105" s="4">
        <v>0</v>
      </c>
      <c r="U1105" s="4">
        <v>8.3333333333333329E-2</v>
      </c>
      <c r="V1105" s="4">
        <v>11.916666666666666</v>
      </c>
      <c r="W1105" s="4">
        <v>12</v>
      </c>
      <c r="X1105" s="4">
        <v>10</v>
      </c>
      <c r="Y1105" s="4"/>
      <c r="Z1105" s="4">
        <v>386.67</v>
      </c>
      <c r="AA1105" s="4">
        <v>400</v>
      </c>
      <c r="AB1105" s="18"/>
      <c r="AC1105" s="18">
        <v>21</v>
      </c>
      <c r="AD1105" s="28"/>
      <c r="AE1105" s="26"/>
      <c r="AF1105" s="28"/>
    </row>
    <row r="1106" spans="1:32" ht="13.5" customHeight="1" x14ac:dyDescent="0.25">
      <c r="A1106" s="14">
        <v>45802</v>
      </c>
      <c r="B1106" s="14" t="s">
        <v>46</v>
      </c>
      <c r="C1106" s="15">
        <v>3</v>
      </c>
      <c r="D1106" s="16">
        <v>15</v>
      </c>
      <c r="E1106" s="16"/>
      <c r="F1106" s="17"/>
      <c r="G1106" s="21"/>
      <c r="H1106" s="21"/>
      <c r="I1106" s="4">
        <v>15</v>
      </c>
      <c r="J1106" s="4">
        <v>0.25</v>
      </c>
      <c r="K1106" s="4"/>
      <c r="L1106" s="16"/>
      <c r="M1106" s="4"/>
      <c r="N1106" s="4">
        <v>10</v>
      </c>
      <c r="O1106" s="4"/>
      <c r="P1106" s="4"/>
      <c r="Q1106" s="4"/>
      <c r="R1106" s="4"/>
      <c r="S1106" s="4">
        <v>10</v>
      </c>
      <c r="T1106" s="4">
        <v>0.16666666666666666</v>
      </c>
      <c r="U1106" s="4">
        <v>0.41666666666666663</v>
      </c>
      <c r="V1106" s="4">
        <v>11.583333333333334</v>
      </c>
      <c r="W1106" s="4">
        <v>12</v>
      </c>
      <c r="X1106" s="4">
        <v>0</v>
      </c>
      <c r="Y1106" s="4">
        <v>1591</v>
      </c>
      <c r="Z1106" s="4">
        <v>418.80000000000007</v>
      </c>
      <c r="AA1106" s="4">
        <v>400</v>
      </c>
      <c r="AB1106" s="18">
        <v>372</v>
      </c>
      <c r="AC1106" s="18">
        <v>21</v>
      </c>
      <c r="AD1106" s="28"/>
      <c r="AE1106" s="26"/>
      <c r="AF1106" s="28"/>
    </row>
    <row r="1107" spans="1:32" ht="13.5" customHeight="1" x14ac:dyDescent="0.25">
      <c r="A1107" s="14">
        <v>45802</v>
      </c>
      <c r="B1107" s="14" t="s">
        <v>47</v>
      </c>
      <c r="C1107" s="15">
        <v>3</v>
      </c>
      <c r="D1107" s="16">
        <v>9</v>
      </c>
      <c r="E1107" s="16"/>
      <c r="F1107" s="17"/>
      <c r="G1107" s="21"/>
      <c r="H1107" s="21"/>
      <c r="I1107" s="4">
        <v>9</v>
      </c>
      <c r="J1107" s="4">
        <v>0.15</v>
      </c>
      <c r="K1107" s="4"/>
      <c r="L1107" s="16"/>
      <c r="M1107" s="4"/>
      <c r="N1107" s="4"/>
      <c r="O1107" s="4"/>
      <c r="P1107" s="4"/>
      <c r="Q1107" s="4"/>
      <c r="R1107" s="4"/>
      <c r="S1107" s="4">
        <v>0</v>
      </c>
      <c r="T1107" s="4">
        <v>0</v>
      </c>
      <c r="U1107" s="4">
        <v>0.15</v>
      </c>
      <c r="V1107" s="4">
        <v>11.85</v>
      </c>
      <c r="W1107" s="4">
        <v>12</v>
      </c>
      <c r="X1107" s="4">
        <v>0</v>
      </c>
      <c r="Y1107" s="4"/>
      <c r="Z1107" s="4">
        <v>397.20000000000005</v>
      </c>
      <c r="AA1107" s="4">
        <v>400</v>
      </c>
      <c r="AB1107" s="18"/>
      <c r="AC1107" s="18">
        <v>21</v>
      </c>
      <c r="AD1107" s="28"/>
      <c r="AE1107" s="26"/>
      <c r="AF1107" s="28"/>
    </row>
    <row r="1108" spans="1:32" ht="13.5" customHeight="1" x14ac:dyDescent="0.25">
      <c r="A1108" s="14">
        <v>45802</v>
      </c>
      <c r="B1108" s="14" t="s">
        <v>46</v>
      </c>
      <c r="C1108" s="15">
        <v>6</v>
      </c>
      <c r="D1108" s="16"/>
      <c r="E1108" s="16"/>
      <c r="F1108" s="17"/>
      <c r="G1108" s="21"/>
      <c r="H1108" s="21"/>
      <c r="I1108" s="4">
        <v>0</v>
      </c>
      <c r="J1108" s="4">
        <v>0</v>
      </c>
      <c r="K1108" s="4"/>
      <c r="L1108" s="16"/>
      <c r="M1108" s="4"/>
      <c r="N1108" s="4"/>
      <c r="O1108" s="4"/>
      <c r="P1108" s="4"/>
      <c r="Q1108" s="4"/>
      <c r="R1108" s="4"/>
      <c r="S1108" s="4">
        <v>0</v>
      </c>
      <c r="T1108" s="4">
        <v>0</v>
      </c>
      <c r="U1108" s="4">
        <v>0</v>
      </c>
      <c r="V1108" s="4">
        <v>12</v>
      </c>
      <c r="W1108" s="4">
        <v>12</v>
      </c>
      <c r="X1108" s="4">
        <v>30</v>
      </c>
      <c r="Y1108" s="4"/>
      <c r="Z1108" s="4">
        <v>469.79999999999995</v>
      </c>
      <c r="AA1108" s="4">
        <v>500</v>
      </c>
      <c r="AB1108" s="18"/>
      <c r="AC1108" s="18">
        <v>21</v>
      </c>
      <c r="AD1108" s="28"/>
      <c r="AE1108" s="26"/>
      <c r="AF1108" s="28"/>
    </row>
    <row r="1109" spans="1:32" ht="13.5" customHeight="1" x14ac:dyDescent="0.25">
      <c r="A1109" s="14">
        <v>45802</v>
      </c>
      <c r="B1109" s="14" t="s">
        <v>47</v>
      </c>
      <c r="C1109" s="15">
        <v>6</v>
      </c>
      <c r="D1109" s="16">
        <v>35</v>
      </c>
      <c r="E1109" s="16"/>
      <c r="F1109" s="17"/>
      <c r="G1109" s="21"/>
      <c r="H1109" s="21"/>
      <c r="I1109" s="4">
        <v>35</v>
      </c>
      <c r="J1109" s="4">
        <v>0.58333333333333337</v>
      </c>
      <c r="K1109" s="4"/>
      <c r="L1109" s="16"/>
      <c r="M1109" s="4"/>
      <c r="N1109" s="4">
        <v>25</v>
      </c>
      <c r="O1109" s="4"/>
      <c r="P1109" s="4"/>
      <c r="Q1109" s="4"/>
      <c r="R1109" s="4"/>
      <c r="S1109" s="4">
        <v>25</v>
      </c>
      <c r="T1109" s="4">
        <v>0.41666666666666669</v>
      </c>
      <c r="U1109" s="4">
        <v>1</v>
      </c>
      <c r="V1109" s="4">
        <v>11</v>
      </c>
      <c r="W1109" s="4">
        <v>12</v>
      </c>
      <c r="X1109" s="4">
        <v>115</v>
      </c>
      <c r="Y1109" s="4"/>
      <c r="Z1109" s="4">
        <v>779.9</v>
      </c>
      <c r="AA1109" s="4">
        <v>800</v>
      </c>
      <c r="AB1109" s="18"/>
      <c r="AC1109" s="18">
        <v>21</v>
      </c>
      <c r="AD1109" s="28"/>
      <c r="AE1109" s="26"/>
      <c r="AF1109" s="28"/>
    </row>
    <row r="1110" spans="1:32" ht="13.5" customHeight="1" x14ac:dyDescent="0.25">
      <c r="A1110" s="14">
        <v>45802</v>
      </c>
      <c r="B1110" s="14" t="s">
        <v>46</v>
      </c>
      <c r="C1110" s="15">
        <v>7</v>
      </c>
      <c r="D1110" s="16">
        <v>3</v>
      </c>
      <c r="E1110" s="16"/>
      <c r="F1110" s="17"/>
      <c r="G1110" s="21"/>
      <c r="H1110" s="21"/>
      <c r="I1110" s="4">
        <v>3</v>
      </c>
      <c r="J1110" s="4">
        <v>0.05</v>
      </c>
      <c r="K1110" s="4"/>
      <c r="L1110" s="16"/>
      <c r="M1110" s="4"/>
      <c r="N1110" s="4"/>
      <c r="O1110" s="4"/>
      <c r="P1110" s="4"/>
      <c r="Q1110" s="4"/>
      <c r="R1110" s="4"/>
      <c r="S1110" s="4">
        <v>0</v>
      </c>
      <c r="T1110" s="4">
        <v>0</v>
      </c>
      <c r="U1110" s="4">
        <v>0.05</v>
      </c>
      <c r="V1110" s="4">
        <v>11.95</v>
      </c>
      <c r="W1110" s="4">
        <v>12</v>
      </c>
      <c r="X1110" s="4">
        <v>15</v>
      </c>
      <c r="Y1110" s="4"/>
      <c r="Z1110" s="4">
        <v>365.88</v>
      </c>
      <c r="AA1110" s="4">
        <v>350</v>
      </c>
      <c r="AB1110" s="18"/>
      <c r="AC1110" s="18">
        <v>21</v>
      </c>
      <c r="AD1110" s="28"/>
      <c r="AE1110" s="26"/>
      <c r="AF1110" s="28"/>
    </row>
    <row r="1111" spans="1:32" ht="13.5" customHeight="1" x14ac:dyDescent="0.25">
      <c r="A1111" s="14">
        <v>45802</v>
      </c>
      <c r="B1111" s="14" t="s">
        <v>47</v>
      </c>
      <c r="C1111" s="15">
        <v>7</v>
      </c>
      <c r="D1111" s="16"/>
      <c r="E1111" s="16"/>
      <c r="F1111" s="17"/>
      <c r="G1111" s="21"/>
      <c r="H1111" s="21"/>
      <c r="I1111" s="4">
        <v>0</v>
      </c>
      <c r="J1111" s="4">
        <v>0</v>
      </c>
      <c r="K1111" s="4"/>
      <c r="L1111" s="16"/>
      <c r="M1111" s="4"/>
      <c r="N1111" s="4"/>
      <c r="O1111" s="4"/>
      <c r="P1111" s="4"/>
      <c r="Q1111" s="4"/>
      <c r="R1111" s="4"/>
      <c r="S1111" s="4">
        <v>0</v>
      </c>
      <c r="T1111" s="4">
        <v>0</v>
      </c>
      <c r="U1111" s="4">
        <v>0</v>
      </c>
      <c r="V1111" s="4">
        <v>12</v>
      </c>
      <c r="W1111" s="4">
        <v>12</v>
      </c>
      <c r="X1111" s="4">
        <v>0</v>
      </c>
      <c r="Y1111" s="4"/>
      <c r="Z1111" s="4">
        <v>341.01</v>
      </c>
      <c r="AA1111" s="4">
        <v>350</v>
      </c>
      <c r="AB1111" s="18"/>
      <c r="AC1111" s="18">
        <v>21</v>
      </c>
      <c r="AD1111" s="28"/>
      <c r="AE1111" s="26"/>
      <c r="AF1111" s="28"/>
    </row>
    <row r="1112" spans="1:32" ht="13.5" customHeight="1" x14ac:dyDescent="0.25">
      <c r="A1112" s="14">
        <v>45803</v>
      </c>
      <c r="B1112" s="14" t="s">
        <v>46</v>
      </c>
      <c r="C1112" s="15">
        <v>1</v>
      </c>
      <c r="D1112" s="16">
        <v>5</v>
      </c>
      <c r="E1112" s="16"/>
      <c r="F1112" s="17"/>
      <c r="G1112" s="21"/>
      <c r="H1112" s="21"/>
      <c r="I1112" s="4">
        <v>5</v>
      </c>
      <c r="J1112" s="4">
        <v>8.3333333333333329E-2</v>
      </c>
      <c r="K1112" s="4"/>
      <c r="L1112" s="16"/>
      <c r="M1112" s="4"/>
      <c r="N1112" s="4"/>
      <c r="O1112" s="4"/>
      <c r="P1112" s="4"/>
      <c r="Q1112" s="4"/>
      <c r="R1112" s="4"/>
      <c r="S1112" s="4">
        <v>0</v>
      </c>
      <c r="T1112" s="4">
        <v>0</v>
      </c>
      <c r="U1112" s="4">
        <v>8.3333333333333329E-2</v>
      </c>
      <c r="V1112" s="4">
        <v>11.916666666666666</v>
      </c>
      <c r="W1112" s="4">
        <v>12</v>
      </c>
      <c r="X1112" s="4">
        <v>10</v>
      </c>
      <c r="Y1112" s="4">
        <v>1698</v>
      </c>
      <c r="Z1112" s="4">
        <v>110.7</v>
      </c>
      <c r="AA1112" s="4">
        <v>100</v>
      </c>
      <c r="AB1112" s="18">
        <v>372</v>
      </c>
      <c r="AC1112" s="18">
        <v>22</v>
      </c>
      <c r="AD1112" s="28"/>
      <c r="AE1112" s="26"/>
      <c r="AF1112" s="28"/>
    </row>
    <row r="1113" spans="1:32" ht="13.5" customHeight="1" x14ac:dyDescent="0.25">
      <c r="A1113" s="14">
        <v>45803</v>
      </c>
      <c r="B1113" s="14" t="s">
        <v>46</v>
      </c>
      <c r="C1113" s="15">
        <v>3</v>
      </c>
      <c r="D1113" s="16">
        <v>10</v>
      </c>
      <c r="E1113" s="16"/>
      <c r="F1113" s="17"/>
      <c r="G1113" s="21"/>
      <c r="H1113" s="21"/>
      <c r="I1113" s="4">
        <v>10</v>
      </c>
      <c r="J1113" s="4">
        <v>0.16666666666666666</v>
      </c>
      <c r="K1113" s="4"/>
      <c r="L1113" s="16">
        <v>15</v>
      </c>
      <c r="M1113" s="4"/>
      <c r="N1113" s="4"/>
      <c r="O1113" s="4"/>
      <c r="P1113" s="4"/>
      <c r="Q1113" s="4"/>
      <c r="R1113" s="4"/>
      <c r="S1113" s="4">
        <v>15</v>
      </c>
      <c r="T1113" s="4">
        <v>0.25</v>
      </c>
      <c r="U1113" s="4">
        <v>0.41666666666666663</v>
      </c>
      <c r="V1113" s="4">
        <v>11.583333333333334</v>
      </c>
      <c r="W1113" s="4">
        <v>12</v>
      </c>
      <c r="X1113" s="4">
        <v>0</v>
      </c>
      <c r="Y1113" s="4"/>
      <c r="Z1113" s="4">
        <v>267</v>
      </c>
      <c r="AA1113" s="4">
        <v>300</v>
      </c>
      <c r="AB1113" s="18"/>
      <c r="AC1113" s="18">
        <v>22</v>
      </c>
      <c r="AD1113" s="28"/>
      <c r="AE1113" s="26"/>
      <c r="AF1113" s="28"/>
    </row>
    <row r="1114" spans="1:32" ht="13.5" customHeight="1" x14ac:dyDescent="0.25">
      <c r="A1114" s="14">
        <v>45803</v>
      </c>
      <c r="B1114" s="14" t="s">
        <v>47</v>
      </c>
      <c r="C1114" s="15">
        <v>3</v>
      </c>
      <c r="D1114" s="16">
        <v>3</v>
      </c>
      <c r="E1114" s="16"/>
      <c r="F1114" s="17"/>
      <c r="G1114" s="21"/>
      <c r="H1114" s="21"/>
      <c r="I1114" s="4">
        <v>3</v>
      </c>
      <c r="J1114" s="4">
        <v>0.05</v>
      </c>
      <c r="K1114" s="4"/>
      <c r="L1114" s="16"/>
      <c r="M1114" s="4"/>
      <c r="N1114" s="4"/>
      <c r="O1114" s="4"/>
      <c r="P1114" s="4"/>
      <c r="Q1114" s="4"/>
      <c r="R1114" s="4"/>
      <c r="S1114" s="4">
        <v>0</v>
      </c>
      <c r="T1114" s="4">
        <v>0</v>
      </c>
      <c r="U1114" s="4">
        <v>0.05</v>
      </c>
      <c r="V1114" s="4">
        <v>11.95</v>
      </c>
      <c r="W1114" s="4">
        <v>12</v>
      </c>
      <c r="X1114" s="4">
        <v>6.8</v>
      </c>
      <c r="Y1114" s="4"/>
      <c r="Z1114" s="4">
        <v>239.70000000000002</v>
      </c>
      <c r="AA1114" s="4">
        <v>300</v>
      </c>
      <c r="AB1114" s="18"/>
      <c r="AC1114" s="18">
        <v>22</v>
      </c>
      <c r="AD1114" s="28"/>
      <c r="AE1114" s="26"/>
      <c r="AF1114" s="28"/>
    </row>
    <row r="1115" spans="1:32" ht="13.5" customHeight="1" x14ac:dyDescent="0.25">
      <c r="A1115" s="14">
        <v>45803</v>
      </c>
      <c r="B1115" s="14" t="s">
        <v>46</v>
      </c>
      <c r="C1115" s="15">
        <v>6</v>
      </c>
      <c r="D1115" s="16"/>
      <c r="E1115" s="16"/>
      <c r="F1115" s="17"/>
      <c r="G1115" s="21"/>
      <c r="H1115" s="21"/>
      <c r="I1115" s="4">
        <v>0</v>
      </c>
      <c r="J1115" s="4">
        <v>0</v>
      </c>
      <c r="K1115" s="4"/>
      <c r="L1115" s="16"/>
      <c r="M1115" s="4"/>
      <c r="N1115" s="4">
        <v>5</v>
      </c>
      <c r="O1115" s="4"/>
      <c r="P1115" s="4"/>
      <c r="Q1115" s="4"/>
      <c r="R1115" s="4"/>
      <c r="S1115" s="4">
        <v>5</v>
      </c>
      <c r="T1115" s="4">
        <v>8.3333333333333329E-2</v>
      </c>
      <c r="U1115" s="4">
        <v>8.3333333333333329E-2</v>
      </c>
      <c r="V1115" s="4">
        <v>11.916666666666666</v>
      </c>
      <c r="W1115" s="4">
        <v>12</v>
      </c>
      <c r="X1115" s="4">
        <v>28</v>
      </c>
      <c r="Y1115" s="4"/>
      <c r="Z1115" s="4">
        <v>628.79999999999995</v>
      </c>
      <c r="AA1115" s="4">
        <v>600</v>
      </c>
      <c r="AB1115" s="18"/>
      <c r="AC1115" s="18">
        <v>22</v>
      </c>
      <c r="AD1115" s="28"/>
      <c r="AE1115" s="26"/>
      <c r="AF1115" s="28"/>
    </row>
    <row r="1116" spans="1:32" ht="13.5" customHeight="1" x14ac:dyDescent="0.25">
      <c r="A1116" s="14">
        <v>45803</v>
      </c>
      <c r="B1116" s="14" t="s">
        <v>47</v>
      </c>
      <c r="C1116" s="15">
        <v>6</v>
      </c>
      <c r="D1116" s="16"/>
      <c r="E1116" s="16"/>
      <c r="F1116" s="17"/>
      <c r="G1116" s="21"/>
      <c r="H1116" s="21"/>
      <c r="I1116" s="4">
        <v>0</v>
      </c>
      <c r="J1116" s="4">
        <v>0</v>
      </c>
      <c r="K1116" s="4"/>
      <c r="L1116" s="16"/>
      <c r="M1116" s="4"/>
      <c r="N1116" s="4"/>
      <c r="O1116" s="4"/>
      <c r="P1116" s="4"/>
      <c r="Q1116" s="4"/>
      <c r="R1116" s="4"/>
      <c r="S1116" s="4">
        <v>0</v>
      </c>
      <c r="T1116" s="4">
        <v>0</v>
      </c>
      <c r="U1116" s="4">
        <v>0</v>
      </c>
      <c r="V1116" s="4">
        <v>12</v>
      </c>
      <c r="W1116" s="4">
        <v>12</v>
      </c>
      <c r="X1116" s="4">
        <v>22</v>
      </c>
      <c r="Y1116" s="4"/>
      <c r="Z1116" s="4">
        <v>748.90000000000009</v>
      </c>
      <c r="AA1116" s="4">
        <v>750</v>
      </c>
      <c r="AB1116" s="18"/>
      <c r="AC1116" s="18">
        <v>22</v>
      </c>
      <c r="AD1116" s="28"/>
      <c r="AE1116" s="26"/>
      <c r="AF1116" s="28"/>
    </row>
    <row r="1117" spans="1:32" ht="13.5" customHeight="1" x14ac:dyDescent="0.25">
      <c r="A1117" s="14">
        <v>45803</v>
      </c>
      <c r="B1117" s="14" t="s">
        <v>46</v>
      </c>
      <c r="C1117" s="15">
        <v>7</v>
      </c>
      <c r="D1117" s="16">
        <v>6</v>
      </c>
      <c r="E1117" s="16"/>
      <c r="F1117" s="17"/>
      <c r="G1117" s="21"/>
      <c r="H1117" s="21"/>
      <c r="I1117" s="4">
        <v>6</v>
      </c>
      <c r="J1117" s="4">
        <v>0.1</v>
      </c>
      <c r="K1117" s="4"/>
      <c r="L1117" s="16"/>
      <c r="M1117" s="4"/>
      <c r="N1117" s="4"/>
      <c r="O1117" s="4"/>
      <c r="P1117" s="4"/>
      <c r="Q1117" s="4"/>
      <c r="R1117" s="4"/>
      <c r="S1117" s="4">
        <v>0</v>
      </c>
      <c r="T1117" s="4">
        <v>0</v>
      </c>
      <c r="U1117" s="4">
        <v>0.1</v>
      </c>
      <c r="V1117" s="4">
        <v>11.9</v>
      </c>
      <c r="W1117" s="4">
        <v>12</v>
      </c>
      <c r="X1117" s="4">
        <v>6</v>
      </c>
      <c r="Y1117" s="4"/>
      <c r="Z1117" s="4">
        <v>300.14999999999998</v>
      </c>
      <c r="AA1117" s="4">
        <v>300</v>
      </c>
      <c r="AB1117" s="18"/>
      <c r="AC1117" s="18">
        <v>22</v>
      </c>
      <c r="AD1117" s="28"/>
      <c r="AE1117" s="26"/>
      <c r="AF1117" s="28"/>
    </row>
    <row r="1118" spans="1:32" ht="13.5" customHeight="1" x14ac:dyDescent="0.25">
      <c r="A1118" s="14">
        <v>45803</v>
      </c>
      <c r="B1118" s="14" t="s">
        <v>47</v>
      </c>
      <c r="C1118" s="15">
        <v>7</v>
      </c>
      <c r="D1118" s="16"/>
      <c r="E1118" s="16"/>
      <c r="F1118" s="17"/>
      <c r="G1118" s="21"/>
      <c r="H1118" s="21"/>
      <c r="I1118" s="4">
        <v>0</v>
      </c>
      <c r="J1118" s="4">
        <v>0</v>
      </c>
      <c r="K1118" s="4"/>
      <c r="L1118" s="16"/>
      <c r="M1118" s="4"/>
      <c r="N1118" s="4"/>
      <c r="O1118" s="4"/>
      <c r="P1118" s="4"/>
      <c r="Q1118" s="4"/>
      <c r="R1118" s="4"/>
      <c r="S1118" s="4">
        <v>0</v>
      </c>
      <c r="T1118" s="4">
        <v>0</v>
      </c>
      <c r="U1118" s="4">
        <v>0</v>
      </c>
      <c r="V1118" s="4">
        <v>12</v>
      </c>
      <c r="W1118" s="4">
        <v>12</v>
      </c>
      <c r="X1118" s="4">
        <v>2.8</v>
      </c>
      <c r="Y1118" s="4"/>
      <c r="Z1118" s="4">
        <v>298.60000000000002</v>
      </c>
      <c r="AA1118" s="4">
        <v>300</v>
      </c>
      <c r="AB1118" s="18"/>
      <c r="AC1118" s="18">
        <v>22</v>
      </c>
      <c r="AD1118" s="28"/>
      <c r="AE1118" s="26"/>
      <c r="AF1118" s="28"/>
    </row>
    <row r="1119" spans="1:32" ht="13.5" customHeight="1" x14ac:dyDescent="0.25">
      <c r="A1119" s="14">
        <v>45804</v>
      </c>
      <c r="B1119" s="14" t="s">
        <v>46</v>
      </c>
      <c r="C1119" s="15">
        <v>3</v>
      </c>
      <c r="D1119" s="16">
        <v>13</v>
      </c>
      <c r="E1119" s="16"/>
      <c r="F1119" s="17"/>
      <c r="G1119" s="21"/>
      <c r="H1119" s="21"/>
      <c r="I1119" s="4">
        <v>13</v>
      </c>
      <c r="J1119" s="4">
        <v>0.21666666666666667</v>
      </c>
      <c r="K1119" s="4"/>
      <c r="L1119" s="16"/>
      <c r="M1119" s="4"/>
      <c r="N1119" s="4"/>
      <c r="O1119" s="4"/>
      <c r="P1119" s="4"/>
      <c r="Q1119" s="4"/>
      <c r="R1119" s="4"/>
      <c r="S1119" s="4">
        <v>0</v>
      </c>
      <c r="T1119" s="4">
        <v>0</v>
      </c>
      <c r="U1119" s="4">
        <v>0.21666666666666667</v>
      </c>
      <c r="V1119" s="4">
        <v>11.783333333333333</v>
      </c>
      <c r="W1119" s="4">
        <v>12</v>
      </c>
      <c r="X1119" s="4">
        <v>0</v>
      </c>
      <c r="Y1119" s="4">
        <v>1635</v>
      </c>
      <c r="Z1119" s="4">
        <v>253.10000000000002</v>
      </c>
      <c r="AA1119" s="4">
        <v>250</v>
      </c>
      <c r="AB1119" s="18">
        <v>372</v>
      </c>
      <c r="AC1119" s="18">
        <v>22</v>
      </c>
      <c r="AD1119" s="28"/>
      <c r="AE1119" s="26"/>
      <c r="AF1119" s="28"/>
    </row>
    <row r="1120" spans="1:32" ht="13.5" customHeight="1" x14ac:dyDescent="0.25">
      <c r="A1120" s="14">
        <v>45804</v>
      </c>
      <c r="B1120" s="14" t="s">
        <v>47</v>
      </c>
      <c r="C1120" s="15">
        <v>3</v>
      </c>
      <c r="D1120" s="16"/>
      <c r="E1120" s="16"/>
      <c r="F1120" s="17"/>
      <c r="G1120" s="21"/>
      <c r="H1120" s="21"/>
      <c r="I1120" s="4">
        <v>0</v>
      </c>
      <c r="J1120" s="4">
        <v>0</v>
      </c>
      <c r="K1120" s="4"/>
      <c r="L1120" s="16"/>
      <c r="M1120" s="4"/>
      <c r="N1120" s="4"/>
      <c r="O1120" s="4"/>
      <c r="P1120" s="4"/>
      <c r="Q1120" s="4"/>
      <c r="R1120" s="4"/>
      <c r="S1120" s="4">
        <v>0</v>
      </c>
      <c r="T1120" s="4">
        <v>0</v>
      </c>
      <c r="U1120" s="4">
        <v>0</v>
      </c>
      <c r="V1120" s="4">
        <v>12</v>
      </c>
      <c r="W1120" s="4">
        <v>12</v>
      </c>
      <c r="X1120" s="4">
        <v>10</v>
      </c>
      <c r="Y1120" s="4"/>
      <c r="Z1120" s="4">
        <v>316.3</v>
      </c>
      <c r="AA1120" s="4">
        <v>300</v>
      </c>
      <c r="AB1120" s="18"/>
      <c r="AC1120" s="18">
        <v>22</v>
      </c>
      <c r="AD1120" s="28"/>
      <c r="AE1120" s="26"/>
      <c r="AF1120" s="28"/>
    </row>
    <row r="1121" spans="1:32" ht="13.5" customHeight="1" x14ac:dyDescent="0.25">
      <c r="A1121" s="14">
        <v>45804</v>
      </c>
      <c r="B1121" s="14" t="s">
        <v>47</v>
      </c>
      <c r="C1121" s="15">
        <v>4</v>
      </c>
      <c r="D1121" s="16"/>
      <c r="E1121" s="16"/>
      <c r="F1121" s="17"/>
      <c r="G1121" s="21">
        <v>300</v>
      </c>
      <c r="H1121" s="21"/>
      <c r="I1121" s="4">
        <v>300</v>
      </c>
      <c r="J1121" s="4">
        <v>5</v>
      </c>
      <c r="K1121" s="4"/>
      <c r="L1121" s="16"/>
      <c r="M1121" s="4"/>
      <c r="N1121" s="4"/>
      <c r="O1121" s="4"/>
      <c r="P1121" s="4"/>
      <c r="Q1121" s="4"/>
      <c r="R1121" s="4"/>
      <c r="S1121" s="4">
        <v>0</v>
      </c>
      <c r="T1121" s="4">
        <v>0</v>
      </c>
      <c r="U1121" s="4">
        <v>5</v>
      </c>
      <c r="V1121" s="4">
        <v>7</v>
      </c>
      <c r="W1121" s="4">
        <v>12</v>
      </c>
      <c r="X1121" s="4">
        <v>32</v>
      </c>
      <c r="Y1121" s="4"/>
      <c r="Z1121" s="4">
        <v>101.00000000000001</v>
      </c>
      <c r="AA1121" s="4">
        <v>100</v>
      </c>
      <c r="AB1121" s="18"/>
      <c r="AC1121" s="18">
        <v>22</v>
      </c>
      <c r="AD1121" s="28"/>
      <c r="AE1121" s="26"/>
      <c r="AF1121" s="28"/>
    </row>
    <row r="1122" spans="1:32" ht="13.5" customHeight="1" x14ac:dyDescent="0.25">
      <c r="A1122" s="14">
        <v>45804</v>
      </c>
      <c r="B1122" s="14" t="s">
        <v>46</v>
      </c>
      <c r="C1122" s="15">
        <v>6</v>
      </c>
      <c r="D1122" s="16"/>
      <c r="E1122" s="16"/>
      <c r="F1122" s="17"/>
      <c r="G1122" s="21"/>
      <c r="H1122" s="21"/>
      <c r="I1122" s="4">
        <v>0</v>
      </c>
      <c r="J1122" s="4">
        <v>0</v>
      </c>
      <c r="K1122" s="4"/>
      <c r="L1122" s="16"/>
      <c r="M1122" s="4"/>
      <c r="N1122" s="4"/>
      <c r="O1122" s="4"/>
      <c r="P1122" s="4">
        <v>150</v>
      </c>
      <c r="Q1122" s="4"/>
      <c r="R1122" s="4"/>
      <c r="S1122" s="4">
        <v>150</v>
      </c>
      <c r="T1122" s="4">
        <v>2.5</v>
      </c>
      <c r="U1122" s="4">
        <v>2.5</v>
      </c>
      <c r="V1122" s="4">
        <v>9.5</v>
      </c>
      <c r="W1122" s="4">
        <v>12</v>
      </c>
      <c r="X1122" s="4">
        <v>9</v>
      </c>
      <c r="Y1122" s="4"/>
      <c r="Z1122" s="4">
        <v>514.47</v>
      </c>
      <c r="AA1122" s="4">
        <v>550</v>
      </c>
      <c r="AB1122" s="18"/>
      <c r="AC1122" s="18">
        <v>22</v>
      </c>
      <c r="AD1122" s="28"/>
      <c r="AE1122" s="26"/>
      <c r="AF1122" s="28"/>
    </row>
    <row r="1123" spans="1:32" ht="13.5" customHeight="1" x14ac:dyDescent="0.25">
      <c r="A1123" s="14">
        <v>45804</v>
      </c>
      <c r="B1123" s="14" t="s">
        <v>47</v>
      </c>
      <c r="C1123" s="15">
        <v>6</v>
      </c>
      <c r="D1123" s="16"/>
      <c r="E1123" s="16"/>
      <c r="F1123" s="17"/>
      <c r="G1123" s="21"/>
      <c r="H1123" s="21"/>
      <c r="I1123" s="4">
        <v>0</v>
      </c>
      <c r="J1123" s="4">
        <v>0</v>
      </c>
      <c r="K1123" s="4"/>
      <c r="L1123" s="16"/>
      <c r="M1123" s="4"/>
      <c r="N1123" s="4"/>
      <c r="O1123" s="4"/>
      <c r="P1123" s="4"/>
      <c r="Q1123" s="4"/>
      <c r="R1123" s="4"/>
      <c r="S1123" s="4">
        <v>0</v>
      </c>
      <c r="T1123" s="4">
        <v>0</v>
      </c>
      <c r="U1123" s="4">
        <v>0</v>
      </c>
      <c r="V1123" s="4">
        <v>12</v>
      </c>
      <c r="W1123" s="4">
        <v>12</v>
      </c>
      <c r="X1123" s="4">
        <v>0</v>
      </c>
      <c r="Y1123" s="4"/>
      <c r="Z1123" s="4">
        <v>570.70000000000005</v>
      </c>
      <c r="AA1123" s="4">
        <v>600</v>
      </c>
      <c r="AB1123" s="18"/>
      <c r="AC1123" s="18">
        <v>22</v>
      </c>
      <c r="AD1123" s="28"/>
      <c r="AE1123" s="26"/>
      <c r="AF1123" s="28"/>
    </row>
    <row r="1124" spans="1:32" ht="13.5" customHeight="1" x14ac:dyDescent="0.25">
      <c r="A1124" s="14">
        <v>45804</v>
      </c>
      <c r="B1124" s="14" t="s">
        <v>46</v>
      </c>
      <c r="C1124" s="15">
        <v>7</v>
      </c>
      <c r="D1124" s="16">
        <v>10</v>
      </c>
      <c r="E1124" s="16"/>
      <c r="F1124" s="17"/>
      <c r="G1124" s="21"/>
      <c r="H1124" s="21"/>
      <c r="I1124" s="4">
        <v>10</v>
      </c>
      <c r="J1124" s="4">
        <v>0.16666666666666666</v>
      </c>
      <c r="K1124" s="4"/>
      <c r="L1124" s="16"/>
      <c r="M1124" s="4"/>
      <c r="N1124" s="4"/>
      <c r="O1124" s="4"/>
      <c r="P1124" s="4"/>
      <c r="Q1124" s="4"/>
      <c r="R1124" s="4"/>
      <c r="S1124" s="4">
        <v>0</v>
      </c>
      <c r="T1124" s="4">
        <v>0</v>
      </c>
      <c r="U1124" s="4">
        <v>0.16666666666666666</v>
      </c>
      <c r="V1124" s="4">
        <v>11.833333333333334</v>
      </c>
      <c r="W1124" s="4">
        <v>12</v>
      </c>
      <c r="X1124" s="4">
        <v>10.4</v>
      </c>
      <c r="Y1124" s="4"/>
      <c r="Z1124" s="4">
        <v>407.42000000000007</v>
      </c>
      <c r="AA1124" s="4">
        <v>450</v>
      </c>
      <c r="AB1124" s="18"/>
      <c r="AC1124" s="18">
        <v>22</v>
      </c>
      <c r="AD1124" s="28"/>
      <c r="AE1124" s="26"/>
      <c r="AF1124" s="28"/>
    </row>
    <row r="1125" spans="1:32" ht="13.5" customHeight="1" x14ac:dyDescent="0.25">
      <c r="A1125" s="14">
        <v>45804</v>
      </c>
      <c r="B1125" s="14" t="s">
        <v>47</v>
      </c>
      <c r="C1125" s="15">
        <v>7</v>
      </c>
      <c r="D1125" s="16"/>
      <c r="E1125" s="16"/>
      <c r="F1125" s="17"/>
      <c r="G1125" s="21"/>
      <c r="H1125" s="21"/>
      <c r="I1125" s="4">
        <v>0</v>
      </c>
      <c r="J1125" s="4">
        <v>0</v>
      </c>
      <c r="K1125" s="4"/>
      <c r="L1125" s="16"/>
      <c r="M1125" s="4"/>
      <c r="N1125" s="4"/>
      <c r="O1125" s="4"/>
      <c r="P1125" s="4"/>
      <c r="Q1125" s="4"/>
      <c r="R1125" s="4"/>
      <c r="S1125" s="4">
        <v>0</v>
      </c>
      <c r="T1125" s="4">
        <v>0</v>
      </c>
      <c r="U1125" s="4">
        <v>0</v>
      </c>
      <c r="V1125" s="4">
        <v>12</v>
      </c>
      <c r="W1125" s="4">
        <v>12</v>
      </c>
      <c r="X1125" s="4">
        <v>0</v>
      </c>
      <c r="Y1125" s="4"/>
      <c r="Z1125" s="4">
        <v>400.6</v>
      </c>
      <c r="AA1125" s="4">
        <v>450</v>
      </c>
      <c r="AB1125" s="18"/>
      <c r="AC1125" s="18">
        <v>22</v>
      </c>
      <c r="AD1125" s="28"/>
      <c r="AE1125" s="26"/>
      <c r="AF1125" s="28"/>
    </row>
    <row r="1126" spans="1:32" ht="13.5" customHeight="1" x14ac:dyDescent="0.25">
      <c r="A1126" s="14">
        <v>45805</v>
      </c>
      <c r="B1126" s="14" t="s">
        <v>47</v>
      </c>
      <c r="C1126" s="15">
        <v>1</v>
      </c>
      <c r="D1126" s="16"/>
      <c r="E1126" s="16"/>
      <c r="F1126" s="17"/>
      <c r="G1126" s="21"/>
      <c r="H1126" s="21"/>
      <c r="I1126" s="4">
        <v>0</v>
      </c>
      <c r="J1126" s="4">
        <v>0</v>
      </c>
      <c r="K1126" s="4"/>
      <c r="L1126" s="16"/>
      <c r="M1126" s="4">
        <v>680</v>
      </c>
      <c r="N1126" s="4"/>
      <c r="O1126" s="4"/>
      <c r="P1126" s="4">
        <v>30</v>
      </c>
      <c r="Q1126" s="4"/>
      <c r="R1126" s="4"/>
      <c r="S1126" s="4">
        <v>710</v>
      </c>
      <c r="T1126" s="4">
        <v>11.833333333333334</v>
      </c>
      <c r="U1126" s="4">
        <v>11.833333333333334</v>
      </c>
      <c r="V1126" s="4">
        <v>0.16666666666666607</v>
      </c>
      <c r="W1126" s="4">
        <v>12</v>
      </c>
      <c r="X1126" s="4">
        <v>5.6</v>
      </c>
      <c r="Y1126" s="4">
        <v>1884</v>
      </c>
      <c r="Z1126" s="4">
        <v>140</v>
      </c>
      <c r="AA1126" s="4">
        <v>200</v>
      </c>
      <c r="AB1126" s="18">
        <v>372</v>
      </c>
      <c r="AC1126" s="18">
        <v>22</v>
      </c>
      <c r="AD1126" s="28"/>
      <c r="AE1126" s="26"/>
      <c r="AF1126" s="28"/>
    </row>
    <row r="1127" spans="1:32" ht="13.5" customHeight="1" x14ac:dyDescent="0.25">
      <c r="A1127" s="14">
        <v>45805</v>
      </c>
      <c r="B1127" s="14" t="s">
        <v>46</v>
      </c>
      <c r="C1127" s="15">
        <v>3</v>
      </c>
      <c r="D1127" s="16">
        <v>13</v>
      </c>
      <c r="E1127" s="16"/>
      <c r="F1127" s="17"/>
      <c r="G1127" s="21"/>
      <c r="H1127" s="21"/>
      <c r="I1127" s="4">
        <v>13</v>
      </c>
      <c r="J1127" s="4">
        <v>0.21666666666666667</v>
      </c>
      <c r="K1127" s="4"/>
      <c r="L1127" s="16"/>
      <c r="M1127" s="4"/>
      <c r="N1127" s="4"/>
      <c r="O1127" s="4">
        <v>25</v>
      </c>
      <c r="P1127" s="4"/>
      <c r="Q1127" s="4"/>
      <c r="R1127" s="4"/>
      <c r="S1127" s="4">
        <v>25</v>
      </c>
      <c r="T1127" s="4">
        <v>0.41666666666666669</v>
      </c>
      <c r="U1127" s="4">
        <v>0.6333333333333333</v>
      </c>
      <c r="V1127" s="4">
        <v>11.366666666666667</v>
      </c>
      <c r="W1127" s="4">
        <v>12</v>
      </c>
      <c r="X1127" s="4">
        <v>27</v>
      </c>
      <c r="Y1127" s="4"/>
      <c r="Z1127" s="4">
        <v>224.3</v>
      </c>
      <c r="AA1127" s="4">
        <v>250</v>
      </c>
      <c r="AB1127" s="18"/>
      <c r="AC1127" s="18">
        <v>22</v>
      </c>
      <c r="AD1127" s="28"/>
      <c r="AE1127" s="26"/>
      <c r="AF1127" s="28"/>
    </row>
    <row r="1128" spans="1:32" ht="13.5" customHeight="1" x14ac:dyDescent="0.25">
      <c r="A1128" s="14">
        <v>45805</v>
      </c>
      <c r="B1128" s="14" t="s">
        <v>47</v>
      </c>
      <c r="C1128" s="15">
        <v>3</v>
      </c>
      <c r="D1128" s="16">
        <v>6</v>
      </c>
      <c r="E1128" s="16"/>
      <c r="F1128" s="17"/>
      <c r="G1128" s="21"/>
      <c r="H1128" s="21"/>
      <c r="I1128" s="4">
        <v>6</v>
      </c>
      <c r="J1128" s="4">
        <v>0.1</v>
      </c>
      <c r="K1128" s="4"/>
      <c r="L1128" s="16"/>
      <c r="M1128" s="4"/>
      <c r="N1128" s="4"/>
      <c r="O1128" s="4"/>
      <c r="P1128" s="4"/>
      <c r="Q1128" s="4"/>
      <c r="R1128" s="4"/>
      <c r="S1128" s="4">
        <v>0</v>
      </c>
      <c r="T1128" s="4">
        <v>0</v>
      </c>
      <c r="U1128" s="4">
        <v>0.1</v>
      </c>
      <c r="V1128" s="4">
        <v>11.9</v>
      </c>
      <c r="W1128" s="4">
        <v>12</v>
      </c>
      <c r="X1128" s="4">
        <v>11</v>
      </c>
      <c r="Y1128" s="4"/>
      <c r="Z1128" s="4">
        <v>354.4</v>
      </c>
      <c r="AA1128" s="4">
        <v>350</v>
      </c>
      <c r="AB1128" s="18"/>
      <c r="AC1128" s="18">
        <v>22</v>
      </c>
      <c r="AD1128" s="28"/>
      <c r="AE1128" s="26"/>
      <c r="AF1128" s="28"/>
    </row>
    <row r="1129" spans="1:32" ht="13.5" customHeight="1" x14ac:dyDescent="0.25">
      <c r="A1129" s="14">
        <v>45805</v>
      </c>
      <c r="B1129" s="14" t="s">
        <v>46</v>
      </c>
      <c r="C1129" s="15">
        <v>4</v>
      </c>
      <c r="D1129" s="16"/>
      <c r="E1129" s="16"/>
      <c r="F1129" s="17"/>
      <c r="G1129" s="21"/>
      <c r="H1129" s="21"/>
      <c r="I1129" s="4">
        <v>0</v>
      </c>
      <c r="J1129" s="4">
        <v>0</v>
      </c>
      <c r="K1129" s="4"/>
      <c r="L1129" s="16"/>
      <c r="M1129" s="4"/>
      <c r="N1129" s="4"/>
      <c r="O1129" s="4"/>
      <c r="P1129" s="4"/>
      <c r="Q1129" s="4"/>
      <c r="R1129" s="4"/>
      <c r="S1129" s="4">
        <v>0</v>
      </c>
      <c r="T1129" s="4">
        <v>0</v>
      </c>
      <c r="U1129" s="4">
        <v>0</v>
      </c>
      <c r="V1129" s="4">
        <v>12</v>
      </c>
      <c r="W1129" s="4">
        <v>12</v>
      </c>
      <c r="X1129" s="4">
        <v>0</v>
      </c>
      <c r="Y1129" s="4"/>
      <c r="Z1129" s="4">
        <v>214.2</v>
      </c>
      <c r="AA1129" s="4">
        <v>200</v>
      </c>
      <c r="AB1129" s="18"/>
      <c r="AC1129" s="18">
        <v>22</v>
      </c>
      <c r="AD1129" s="28"/>
      <c r="AE1129" s="26"/>
      <c r="AF1129" s="28"/>
    </row>
    <row r="1130" spans="1:32" ht="13.5" customHeight="1" x14ac:dyDescent="0.25">
      <c r="A1130" s="14">
        <v>45805</v>
      </c>
      <c r="B1130" s="14" t="s">
        <v>47</v>
      </c>
      <c r="C1130" s="15">
        <v>4</v>
      </c>
      <c r="D1130" s="16"/>
      <c r="E1130" s="16"/>
      <c r="F1130" s="17"/>
      <c r="G1130" s="21"/>
      <c r="H1130" s="21"/>
      <c r="I1130" s="4">
        <v>0</v>
      </c>
      <c r="J1130" s="4">
        <v>0</v>
      </c>
      <c r="K1130" s="4"/>
      <c r="L1130" s="16"/>
      <c r="M1130" s="4"/>
      <c r="N1130" s="4"/>
      <c r="O1130" s="4"/>
      <c r="P1130" s="4"/>
      <c r="Q1130" s="4"/>
      <c r="R1130" s="4"/>
      <c r="S1130" s="4">
        <v>0</v>
      </c>
      <c r="T1130" s="4">
        <v>0</v>
      </c>
      <c r="U1130" s="4">
        <v>0</v>
      </c>
      <c r="V1130" s="4">
        <v>12</v>
      </c>
      <c r="W1130" s="4">
        <v>12</v>
      </c>
      <c r="X1130" s="4">
        <v>5</v>
      </c>
      <c r="Y1130" s="4"/>
      <c r="Z1130" s="4">
        <v>298.2</v>
      </c>
      <c r="AA1130" s="4">
        <v>300</v>
      </c>
      <c r="AB1130" s="18"/>
      <c r="AC1130" s="18">
        <v>22</v>
      </c>
      <c r="AD1130" s="28"/>
      <c r="AE1130" s="26"/>
      <c r="AF1130" s="28"/>
    </row>
    <row r="1131" spans="1:32" ht="13.5" customHeight="1" x14ac:dyDescent="0.25">
      <c r="A1131" s="14">
        <v>45805</v>
      </c>
      <c r="B1131" s="14" t="s">
        <v>46</v>
      </c>
      <c r="C1131" s="15">
        <v>6</v>
      </c>
      <c r="D1131" s="16"/>
      <c r="E1131" s="16"/>
      <c r="F1131" s="17"/>
      <c r="G1131" s="21"/>
      <c r="H1131" s="21"/>
      <c r="I1131" s="4">
        <v>0</v>
      </c>
      <c r="J1131" s="4">
        <v>0</v>
      </c>
      <c r="K1131" s="4"/>
      <c r="L1131" s="16"/>
      <c r="M1131" s="4"/>
      <c r="N1131" s="4"/>
      <c r="O1131" s="4"/>
      <c r="P1131" s="4"/>
      <c r="Q1131" s="4"/>
      <c r="R1131" s="4"/>
      <c r="S1131" s="4">
        <v>0</v>
      </c>
      <c r="T1131" s="4">
        <v>0</v>
      </c>
      <c r="U1131" s="4">
        <v>0</v>
      </c>
      <c r="V1131" s="4">
        <v>12</v>
      </c>
      <c r="W1131" s="4">
        <v>12</v>
      </c>
      <c r="X1131" s="4">
        <v>12</v>
      </c>
      <c r="Y1131" s="4"/>
      <c r="Z1131" s="4">
        <v>546.00000000000011</v>
      </c>
      <c r="AA1131" s="4">
        <v>550</v>
      </c>
      <c r="AB1131" s="18"/>
      <c r="AC1131" s="18">
        <v>22</v>
      </c>
      <c r="AD1131" s="28"/>
      <c r="AE1131" s="26"/>
      <c r="AF1131" s="28"/>
    </row>
    <row r="1132" spans="1:32" ht="13.5" customHeight="1" x14ac:dyDescent="0.25">
      <c r="A1132" s="14">
        <v>45805</v>
      </c>
      <c r="B1132" s="14" t="s">
        <v>47</v>
      </c>
      <c r="C1132" s="15">
        <v>6</v>
      </c>
      <c r="D1132" s="16"/>
      <c r="E1132" s="16"/>
      <c r="F1132" s="17"/>
      <c r="G1132" s="21"/>
      <c r="H1132" s="21"/>
      <c r="I1132" s="4">
        <v>0</v>
      </c>
      <c r="J1132" s="4">
        <v>0</v>
      </c>
      <c r="K1132" s="4"/>
      <c r="L1132" s="16"/>
      <c r="M1132" s="4"/>
      <c r="N1132" s="4"/>
      <c r="O1132" s="4"/>
      <c r="P1132" s="4"/>
      <c r="Q1132" s="4"/>
      <c r="R1132" s="4"/>
      <c r="S1132" s="4">
        <v>0</v>
      </c>
      <c r="T1132" s="4">
        <v>0</v>
      </c>
      <c r="U1132" s="4">
        <v>0</v>
      </c>
      <c r="V1132" s="4">
        <v>12</v>
      </c>
      <c r="W1132" s="4">
        <v>12</v>
      </c>
      <c r="X1132" s="4">
        <v>0</v>
      </c>
      <c r="Y1132" s="4"/>
      <c r="Z1132" s="4">
        <v>621.69999999999993</v>
      </c>
      <c r="AA1132" s="4">
        <v>600</v>
      </c>
      <c r="AB1132" s="18"/>
      <c r="AC1132" s="18">
        <v>22</v>
      </c>
      <c r="AD1132" s="28"/>
      <c r="AE1132" s="26"/>
      <c r="AF1132" s="28"/>
    </row>
    <row r="1133" spans="1:32" ht="13.5" customHeight="1" x14ac:dyDescent="0.25">
      <c r="A1133" s="14">
        <v>45805</v>
      </c>
      <c r="B1133" s="14" t="s">
        <v>46</v>
      </c>
      <c r="C1133" s="15">
        <v>7</v>
      </c>
      <c r="D1133" s="16">
        <v>3</v>
      </c>
      <c r="E1133" s="16"/>
      <c r="F1133" s="17"/>
      <c r="G1133" s="21"/>
      <c r="H1133" s="21"/>
      <c r="I1133" s="4">
        <v>3</v>
      </c>
      <c r="J1133" s="4">
        <v>0.05</v>
      </c>
      <c r="K1133" s="4"/>
      <c r="L1133" s="16"/>
      <c r="M1133" s="4"/>
      <c r="N1133" s="4"/>
      <c r="O1133" s="4"/>
      <c r="P1133" s="4"/>
      <c r="Q1133" s="4"/>
      <c r="R1133" s="4"/>
      <c r="S1133" s="4">
        <v>0</v>
      </c>
      <c r="T1133" s="4">
        <v>0</v>
      </c>
      <c r="U1133" s="4">
        <v>0.05</v>
      </c>
      <c r="V1133" s="4">
        <v>11.95</v>
      </c>
      <c r="W1133" s="4">
        <v>12</v>
      </c>
      <c r="X1133" s="4">
        <v>5.2</v>
      </c>
      <c r="Y1133" s="4"/>
      <c r="Z1133" s="4">
        <v>369.92999999999995</v>
      </c>
      <c r="AA1133" s="4">
        <v>350</v>
      </c>
      <c r="AB1133" s="18"/>
      <c r="AC1133" s="18">
        <v>22</v>
      </c>
      <c r="AD1133" s="28"/>
      <c r="AE1133" s="26"/>
      <c r="AF1133" s="28"/>
    </row>
    <row r="1134" spans="1:32" ht="13.5" customHeight="1" x14ac:dyDescent="0.25">
      <c r="A1134" s="14">
        <v>45805</v>
      </c>
      <c r="B1134" s="14" t="s">
        <v>47</v>
      </c>
      <c r="C1134" s="15">
        <v>7</v>
      </c>
      <c r="D1134" s="16"/>
      <c r="E1134" s="16"/>
      <c r="F1134" s="17"/>
      <c r="G1134" s="21"/>
      <c r="H1134" s="21"/>
      <c r="I1134" s="4">
        <v>0</v>
      </c>
      <c r="J1134" s="4">
        <v>0</v>
      </c>
      <c r="K1134" s="4"/>
      <c r="L1134" s="16"/>
      <c r="M1134" s="4"/>
      <c r="N1134" s="4"/>
      <c r="O1134" s="4"/>
      <c r="P1134" s="4"/>
      <c r="Q1134" s="4"/>
      <c r="R1134" s="4"/>
      <c r="S1134" s="4">
        <v>0</v>
      </c>
      <c r="T1134" s="4">
        <v>0</v>
      </c>
      <c r="U1134" s="4">
        <v>0</v>
      </c>
      <c r="V1134" s="4">
        <v>12</v>
      </c>
      <c r="W1134" s="4">
        <v>12</v>
      </c>
      <c r="X1134" s="4">
        <v>2</v>
      </c>
      <c r="Y1134" s="4"/>
      <c r="Z1134" s="4">
        <v>356.34999999999997</v>
      </c>
      <c r="AA1134" s="4">
        <v>350</v>
      </c>
      <c r="AB1134" s="18"/>
      <c r="AC1134" s="18">
        <v>22</v>
      </c>
      <c r="AD1134" s="28"/>
      <c r="AE1134" s="26"/>
      <c r="AF1134" s="28"/>
    </row>
    <row r="1135" spans="1:32" ht="13.5" customHeight="1" x14ac:dyDescent="0.25">
      <c r="A1135" s="14">
        <v>45806</v>
      </c>
      <c r="B1135" s="14" t="s">
        <v>46</v>
      </c>
      <c r="C1135" s="15">
        <v>1</v>
      </c>
      <c r="D1135" s="16">
        <v>30</v>
      </c>
      <c r="E1135" s="16"/>
      <c r="F1135" s="17"/>
      <c r="G1135" s="21"/>
      <c r="H1135" s="21"/>
      <c r="I1135" s="4">
        <v>30</v>
      </c>
      <c r="J1135" s="4">
        <v>0.5</v>
      </c>
      <c r="K1135" s="4"/>
      <c r="L1135" s="16"/>
      <c r="M1135" s="4"/>
      <c r="N1135" s="4"/>
      <c r="O1135" s="4"/>
      <c r="P1135" s="4"/>
      <c r="Q1135" s="4"/>
      <c r="R1135" s="4"/>
      <c r="S1135" s="4">
        <v>0</v>
      </c>
      <c r="T1135" s="4">
        <v>0</v>
      </c>
      <c r="U1135" s="4">
        <v>0.5</v>
      </c>
      <c r="V1135" s="4">
        <v>11.5</v>
      </c>
      <c r="W1135" s="4">
        <v>12</v>
      </c>
      <c r="X1135" s="4">
        <v>0</v>
      </c>
      <c r="Y1135" s="4">
        <v>2348</v>
      </c>
      <c r="Z1135" s="4">
        <v>141.19999999999999</v>
      </c>
      <c r="AA1135" s="4">
        <v>100</v>
      </c>
      <c r="AB1135" s="18">
        <v>372</v>
      </c>
      <c r="AC1135" s="18">
        <v>22</v>
      </c>
      <c r="AD1135" s="28"/>
      <c r="AE1135" s="26"/>
      <c r="AF1135" s="28"/>
    </row>
    <row r="1136" spans="1:32" ht="13.5" customHeight="1" x14ac:dyDescent="0.25">
      <c r="A1136" s="14">
        <v>45806</v>
      </c>
      <c r="B1136" s="14" t="s">
        <v>47</v>
      </c>
      <c r="C1136" s="15">
        <v>1</v>
      </c>
      <c r="D1136" s="16">
        <v>5</v>
      </c>
      <c r="E1136" s="16"/>
      <c r="F1136" s="17"/>
      <c r="G1136" s="21"/>
      <c r="H1136" s="21"/>
      <c r="I1136" s="4">
        <v>5</v>
      </c>
      <c r="J1136" s="4">
        <v>8.3333333333333329E-2</v>
      </c>
      <c r="K1136" s="4"/>
      <c r="L1136" s="16"/>
      <c r="M1136" s="4"/>
      <c r="N1136" s="4"/>
      <c r="O1136" s="4"/>
      <c r="P1136" s="4"/>
      <c r="Q1136" s="4"/>
      <c r="R1136" s="4"/>
      <c r="S1136" s="4">
        <v>0</v>
      </c>
      <c r="T1136" s="4">
        <v>0</v>
      </c>
      <c r="U1136" s="4">
        <v>8.3333333333333329E-2</v>
      </c>
      <c r="V1136" s="4">
        <v>11.916666666666666</v>
      </c>
      <c r="W1136" s="4">
        <v>12</v>
      </c>
      <c r="X1136" s="4">
        <v>1.6</v>
      </c>
      <c r="Y1136" s="4"/>
      <c r="Z1136" s="4">
        <v>134</v>
      </c>
      <c r="AA1136" s="4">
        <v>100</v>
      </c>
      <c r="AB1136" s="18"/>
      <c r="AC1136" s="18">
        <v>22</v>
      </c>
      <c r="AD1136" s="28"/>
      <c r="AE1136" s="26"/>
      <c r="AF1136" s="28"/>
    </row>
    <row r="1137" spans="1:32" ht="13.5" customHeight="1" x14ac:dyDescent="0.25">
      <c r="A1137" s="14">
        <v>45806</v>
      </c>
      <c r="B1137" s="14" t="s">
        <v>46</v>
      </c>
      <c r="C1137" s="15">
        <v>2</v>
      </c>
      <c r="D1137" s="16"/>
      <c r="E1137" s="16"/>
      <c r="F1137" s="17"/>
      <c r="G1137" s="21"/>
      <c r="H1137" s="21"/>
      <c r="I1137" s="4">
        <v>0</v>
      </c>
      <c r="J1137" s="4">
        <v>0</v>
      </c>
      <c r="K1137" s="4"/>
      <c r="L1137" s="16"/>
      <c r="M1137" s="4"/>
      <c r="N1137" s="4"/>
      <c r="O1137" s="4"/>
      <c r="P1137" s="4"/>
      <c r="Q1137" s="4"/>
      <c r="R1137" s="4"/>
      <c r="S1137" s="4">
        <v>0</v>
      </c>
      <c r="T1137" s="4">
        <v>0</v>
      </c>
      <c r="U1137" s="4">
        <v>0</v>
      </c>
      <c r="V1137" s="4">
        <v>12</v>
      </c>
      <c r="W1137" s="4">
        <v>12</v>
      </c>
      <c r="X1137" s="4">
        <v>20</v>
      </c>
      <c r="Y1137" s="4"/>
      <c r="Z1137" s="4">
        <v>87.8</v>
      </c>
      <c r="AA1137" s="4">
        <v>50</v>
      </c>
      <c r="AB1137" s="18"/>
      <c r="AC1137" s="18">
        <v>22</v>
      </c>
      <c r="AD1137" s="28"/>
      <c r="AE1137" s="26"/>
      <c r="AF1137" s="28"/>
    </row>
    <row r="1138" spans="1:32" ht="13.5" customHeight="1" x14ac:dyDescent="0.25">
      <c r="A1138" s="14">
        <v>45806</v>
      </c>
      <c r="B1138" s="14" t="s">
        <v>47</v>
      </c>
      <c r="C1138" s="15">
        <v>2</v>
      </c>
      <c r="D1138" s="16"/>
      <c r="E1138" s="16"/>
      <c r="F1138" s="17"/>
      <c r="G1138" s="21"/>
      <c r="H1138" s="21"/>
      <c r="I1138" s="4">
        <v>0</v>
      </c>
      <c r="J1138" s="4">
        <v>0</v>
      </c>
      <c r="K1138" s="4"/>
      <c r="L1138" s="16"/>
      <c r="M1138" s="4"/>
      <c r="N1138" s="4"/>
      <c r="O1138" s="4"/>
      <c r="P1138" s="4"/>
      <c r="Q1138" s="4"/>
      <c r="R1138" s="4"/>
      <c r="S1138" s="4">
        <v>0</v>
      </c>
      <c r="T1138" s="4">
        <v>0</v>
      </c>
      <c r="U1138" s="4">
        <v>0</v>
      </c>
      <c r="V1138" s="4">
        <v>12</v>
      </c>
      <c r="W1138" s="4">
        <v>12</v>
      </c>
      <c r="X1138" s="4">
        <v>2.4</v>
      </c>
      <c r="Y1138" s="4"/>
      <c r="Z1138" s="4">
        <v>186.92</v>
      </c>
      <c r="AA1138" s="4">
        <v>200</v>
      </c>
      <c r="AB1138" s="18"/>
      <c r="AC1138" s="18">
        <v>22</v>
      </c>
      <c r="AD1138" s="28"/>
      <c r="AE1138" s="26"/>
      <c r="AF1138" s="28"/>
    </row>
    <row r="1139" spans="1:32" ht="13.5" customHeight="1" x14ac:dyDescent="0.25">
      <c r="A1139" s="14">
        <v>45806</v>
      </c>
      <c r="B1139" s="14" t="s">
        <v>46</v>
      </c>
      <c r="C1139" s="15">
        <v>3</v>
      </c>
      <c r="D1139" s="16">
        <v>30</v>
      </c>
      <c r="E1139" s="16"/>
      <c r="F1139" s="17"/>
      <c r="G1139" s="21"/>
      <c r="H1139" s="21"/>
      <c r="I1139" s="4">
        <v>30</v>
      </c>
      <c r="J1139" s="4">
        <v>0.5</v>
      </c>
      <c r="K1139" s="4"/>
      <c r="L1139" s="16"/>
      <c r="M1139" s="4"/>
      <c r="N1139" s="4"/>
      <c r="O1139" s="4"/>
      <c r="P1139" s="4"/>
      <c r="Q1139" s="4"/>
      <c r="R1139" s="4"/>
      <c r="S1139" s="4">
        <v>0</v>
      </c>
      <c r="T1139" s="4">
        <v>0</v>
      </c>
      <c r="U1139" s="4">
        <v>0.5</v>
      </c>
      <c r="V1139" s="4">
        <v>11.5</v>
      </c>
      <c r="W1139" s="4">
        <v>12</v>
      </c>
      <c r="X1139" s="4">
        <v>58</v>
      </c>
      <c r="Y1139" s="4"/>
      <c r="Z1139" s="4">
        <v>245.6</v>
      </c>
      <c r="AA1139" s="4">
        <v>250</v>
      </c>
      <c r="AB1139" s="18"/>
      <c r="AC1139" s="18">
        <v>22</v>
      </c>
      <c r="AD1139" s="28"/>
      <c r="AE1139" s="26"/>
      <c r="AF1139" s="28"/>
    </row>
    <row r="1140" spans="1:32" ht="13.5" customHeight="1" x14ac:dyDescent="0.25">
      <c r="A1140" s="14">
        <v>45806</v>
      </c>
      <c r="B1140" s="14" t="s">
        <v>47</v>
      </c>
      <c r="C1140" s="15">
        <v>3</v>
      </c>
      <c r="D1140" s="16"/>
      <c r="E1140" s="16"/>
      <c r="F1140" s="17"/>
      <c r="G1140" s="21"/>
      <c r="H1140" s="21"/>
      <c r="I1140" s="4">
        <v>0</v>
      </c>
      <c r="J1140" s="4">
        <v>0</v>
      </c>
      <c r="K1140" s="4"/>
      <c r="L1140" s="16"/>
      <c r="M1140" s="4"/>
      <c r="N1140" s="4"/>
      <c r="O1140" s="4"/>
      <c r="P1140" s="4"/>
      <c r="Q1140" s="4"/>
      <c r="R1140" s="4"/>
      <c r="S1140" s="4">
        <v>0</v>
      </c>
      <c r="T1140" s="4">
        <v>0</v>
      </c>
      <c r="U1140" s="4">
        <v>0</v>
      </c>
      <c r="V1140" s="4">
        <v>12</v>
      </c>
      <c r="W1140" s="4">
        <v>12</v>
      </c>
      <c r="X1140" s="4">
        <v>3.4</v>
      </c>
      <c r="Y1140" s="4"/>
      <c r="Z1140" s="4">
        <v>524.20000000000005</v>
      </c>
      <c r="AA1140" s="4">
        <v>500</v>
      </c>
      <c r="AB1140" s="18"/>
      <c r="AC1140" s="18">
        <v>22</v>
      </c>
      <c r="AD1140" s="28"/>
      <c r="AE1140" s="26"/>
      <c r="AF1140" s="28"/>
    </row>
    <row r="1141" spans="1:32" ht="13.5" customHeight="1" x14ac:dyDescent="0.25">
      <c r="A1141" s="14">
        <v>45806</v>
      </c>
      <c r="B1141" s="14" t="s">
        <v>46</v>
      </c>
      <c r="C1141" s="15">
        <v>4</v>
      </c>
      <c r="D1141" s="16"/>
      <c r="E1141" s="16"/>
      <c r="F1141" s="17"/>
      <c r="G1141" s="21"/>
      <c r="H1141" s="21"/>
      <c r="I1141" s="4">
        <v>0</v>
      </c>
      <c r="J1141" s="4">
        <v>0</v>
      </c>
      <c r="K1141" s="4"/>
      <c r="L1141" s="16"/>
      <c r="M1141" s="4"/>
      <c r="N1141" s="4"/>
      <c r="O1141" s="4"/>
      <c r="P1141" s="4"/>
      <c r="Q1141" s="4"/>
      <c r="R1141" s="4"/>
      <c r="S1141" s="4">
        <v>0</v>
      </c>
      <c r="T1141" s="4">
        <v>0</v>
      </c>
      <c r="U1141" s="4">
        <v>0</v>
      </c>
      <c r="V1141" s="4">
        <v>12</v>
      </c>
      <c r="W1141" s="4">
        <v>12</v>
      </c>
      <c r="X1141" s="4">
        <v>0</v>
      </c>
      <c r="Y1141" s="4"/>
      <c r="Z1141" s="4">
        <v>407.26</v>
      </c>
      <c r="AA1141" s="4">
        <v>400</v>
      </c>
      <c r="AB1141" s="18"/>
      <c r="AC1141" s="18">
        <v>22</v>
      </c>
      <c r="AD1141" s="28"/>
      <c r="AE1141" s="26"/>
      <c r="AF1141" s="28"/>
    </row>
    <row r="1142" spans="1:32" ht="13.5" customHeight="1" x14ac:dyDescent="0.25">
      <c r="A1142" s="14">
        <v>45806</v>
      </c>
      <c r="B1142" s="14" t="s">
        <v>47</v>
      </c>
      <c r="C1142" s="15">
        <v>4</v>
      </c>
      <c r="D1142" s="16"/>
      <c r="E1142" s="16"/>
      <c r="F1142" s="17"/>
      <c r="G1142" s="21"/>
      <c r="H1142" s="21"/>
      <c r="I1142" s="4">
        <v>0</v>
      </c>
      <c r="J1142" s="4">
        <v>0</v>
      </c>
      <c r="K1142" s="4"/>
      <c r="L1142" s="16"/>
      <c r="M1142" s="4"/>
      <c r="N1142" s="4"/>
      <c r="O1142" s="4"/>
      <c r="P1142" s="4"/>
      <c r="Q1142" s="4"/>
      <c r="R1142" s="4"/>
      <c r="S1142" s="4">
        <v>0</v>
      </c>
      <c r="T1142" s="4">
        <v>0</v>
      </c>
      <c r="U1142" s="4">
        <v>0</v>
      </c>
      <c r="V1142" s="4">
        <v>12</v>
      </c>
      <c r="W1142" s="4">
        <v>12</v>
      </c>
      <c r="X1142" s="4">
        <v>12.6</v>
      </c>
      <c r="Y1142" s="4"/>
      <c r="Z1142" s="4">
        <v>349.5</v>
      </c>
      <c r="AA1142" s="4">
        <v>300</v>
      </c>
      <c r="AB1142" s="18"/>
      <c r="AC1142" s="18">
        <v>22</v>
      </c>
      <c r="AD1142" s="28"/>
      <c r="AE1142" s="26"/>
      <c r="AF1142" s="28"/>
    </row>
    <row r="1143" spans="1:32" ht="13.5" customHeight="1" x14ac:dyDescent="0.25">
      <c r="A1143" s="14">
        <v>45806</v>
      </c>
      <c r="B1143" s="14" t="s">
        <v>46</v>
      </c>
      <c r="C1143" s="15">
        <v>6</v>
      </c>
      <c r="D1143" s="16">
        <v>7</v>
      </c>
      <c r="E1143" s="16"/>
      <c r="F1143" s="17"/>
      <c r="G1143" s="21"/>
      <c r="H1143" s="21"/>
      <c r="I1143" s="4">
        <v>7</v>
      </c>
      <c r="J1143" s="4">
        <v>0.11666666666666667</v>
      </c>
      <c r="K1143" s="4"/>
      <c r="L1143" s="16"/>
      <c r="M1143" s="4"/>
      <c r="N1143" s="4"/>
      <c r="O1143" s="4"/>
      <c r="P1143" s="4"/>
      <c r="Q1143" s="4"/>
      <c r="R1143" s="4"/>
      <c r="S1143" s="4">
        <v>0</v>
      </c>
      <c r="T1143" s="4">
        <v>0</v>
      </c>
      <c r="U1143" s="4">
        <v>0.11666666666666667</v>
      </c>
      <c r="V1143" s="4">
        <v>11.883333333333333</v>
      </c>
      <c r="W1143" s="4">
        <v>12</v>
      </c>
      <c r="X1143" s="4">
        <v>0</v>
      </c>
      <c r="Y1143" s="4"/>
      <c r="Z1143" s="4">
        <v>546.20000000000005</v>
      </c>
      <c r="AA1143" s="4">
        <v>550</v>
      </c>
      <c r="AB1143" s="18"/>
      <c r="AC1143" s="18">
        <v>22</v>
      </c>
      <c r="AD1143" s="28"/>
      <c r="AE1143" s="26"/>
      <c r="AF1143" s="28"/>
    </row>
    <row r="1144" spans="1:32" ht="13.5" customHeight="1" x14ac:dyDescent="0.25">
      <c r="A1144" s="14">
        <v>45806</v>
      </c>
      <c r="B1144" s="14" t="s">
        <v>47</v>
      </c>
      <c r="C1144" s="15">
        <v>6</v>
      </c>
      <c r="D1144" s="16">
        <v>25</v>
      </c>
      <c r="E1144" s="16"/>
      <c r="F1144" s="17"/>
      <c r="G1144" s="21"/>
      <c r="H1144" s="21"/>
      <c r="I1144" s="4">
        <v>25</v>
      </c>
      <c r="J1144" s="4">
        <v>0.41666666666666669</v>
      </c>
      <c r="K1144" s="4"/>
      <c r="L1144" s="16"/>
      <c r="M1144" s="4"/>
      <c r="N1144" s="4"/>
      <c r="O1144" s="4"/>
      <c r="P1144" s="4"/>
      <c r="Q1144" s="4"/>
      <c r="R1144" s="4"/>
      <c r="S1144" s="4">
        <v>0</v>
      </c>
      <c r="T1144" s="4">
        <v>0</v>
      </c>
      <c r="U1144" s="4">
        <v>0.41666666666666669</v>
      </c>
      <c r="V1144" s="4">
        <v>11.583333333333334</v>
      </c>
      <c r="W1144" s="4">
        <v>12</v>
      </c>
      <c r="X1144" s="4">
        <v>18.600000000000001</v>
      </c>
      <c r="Y1144" s="4"/>
      <c r="Z1144" s="4">
        <v>759.7</v>
      </c>
      <c r="AA1144" s="4">
        <v>750</v>
      </c>
      <c r="AB1144" s="18"/>
      <c r="AC1144" s="18">
        <v>22</v>
      </c>
      <c r="AD1144" s="28"/>
      <c r="AE1144" s="26"/>
      <c r="AF1144" s="28"/>
    </row>
    <row r="1145" spans="1:32" ht="13.5" customHeight="1" x14ac:dyDescent="0.25">
      <c r="A1145" s="14">
        <v>45806</v>
      </c>
      <c r="B1145" s="14" t="s">
        <v>46</v>
      </c>
      <c r="C1145" s="15">
        <v>7</v>
      </c>
      <c r="D1145" s="16">
        <v>16</v>
      </c>
      <c r="E1145" s="16"/>
      <c r="F1145" s="17"/>
      <c r="G1145" s="21"/>
      <c r="H1145" s="21"/>
      <c r="I1145" s="4">
        <v>16</v>
      </c>
      <c r="J1145" s="4">
        <v>0.26666666666666666</v>
      </c>
      <c r="K1145" s="4"/>
      <c r="L1145" s="16"/>
      <c r="M1145" s="4"/>
      <c r="N1145" s="4"/>
      <c r="O1145" s="4"/>
      <c r="P1145" s="4"/>
      <c r="Q1145" s="4"/>
      <c r="R1145" s="4"/>
      <c r="S1145" s="4">
        <v>0</v>
      </c>
      <c r="T1145" s="4">
        <v>0</v>
      </c>
      <c r="U1145" s="4">
        <v>0.26666666666666666</v>
      </c>
      <c r="V1145" s="4">
        <v>11.733333333333333</v>
      </c>
      <c r="W1145" s="4">
        <v>12</v>
      </c>
      <c r="X1145" s="4">
        <v>30</v>
      </c>
      <c r="Y1145" s="4"/>
      <c r="Z1145" s="4">
        <v>396.68</v>
      </c>
      <c r="AA1145" s="4">
        <v>400</v>
      </c>
      <c r="AB1145" s="18"/>
      <c r="AC1145" s="18">
        <v>22</v>
      </c>
      <c r="AD1145" s="28"/>
      <c r="AE1145" s="26"/>
      <c r="AF1145" s="28"/>
    </row>
    <row r="1146" spans="1:32" ht="13.5" customHeight="1" x14ac:dyDescent="0.25">
      <c r="A1146" s="14">
        <v>45806</v>
      </c>
      <c r="B1146" s="14" t="s">
        <v>47</v>
      </c>
      <c r="C1146" s="15">
        <v>7</v>
      </c>
      <c r="D1146" s="16">
        <v>6</v>
      </c>
      <c r="E1146" s="16"/>
      <c r="F1146" s="17"/>
      <c r="G1146" s="21"/>
      <c r="H1146" s="21"/>
      <c r="I1146" s="4">
        <v>6</v>
      </c>
      <c r="J1146" s="4">
        <v>0.1</v>
      </c>
      <c r="K1146" s="4"/>
      <c r="L1146" s="16"/>
      <c r="M1146" s="4"/>
      <c r="N1146" s="4"/>
      <c r="O1146" s="4"/>
      <c r="P1146" s="4"/>
      <c r="Q1146" s="4"/>
      <c r="R1146" s="4"/>
      <c r="S1146" s="4">
        <v>0</v>
      </c>
      <c r="T1146" s="4">
        <v>0</v>
      </c>
      <c r="U1146" s="4">
        <v>0.1</v>
      </c>
      <c r="V1146" s="4">
        <v>11.9</v>
      </c>
      <c r="W1146" s="4">
        <v>12</v>
      </c>
      <c r="X1146" s="4">
        <v>4</v>
      </c>
      <c r="Y1146" s="4"/>
      <c r="Z1146" s="4">
        <v>421.80000000000007</v>
      </c>
      <c r="AA1146" s="4">
        <v>400</v>
      </c>
      <c r="AB1146" s="18"/>
      <c r="AC1146" s="18">
        <v>22</v>
      </c>
      <c r="AD1146" s="28"/>
      <c r="AE1146" s="26"/>
      <c r="AF1146" s="28"/>
    </row>
    <row r="1147" spans="1:32" ht="13.5" customHeight="1" x14ac:dyDescent="0.25">
      <c r="A1147" s="14">
        <v>45807</v>
      </c>
      <c r="B1147" s="14" t="s">
        <v>46</v>
      </c>
      <c r="C1147" s="15">
        <v>1</v>
      </c>
      <c r="D1147" s="16"/>
      <c r="E1147" s="16"/>
      <c r="F1147" s="17"/>
      <c r="G1147" s="21"/>
      <c r="H1147" s="21"/>
      <c r="I1147" s="4">
        <v>0</v>
      </c>
      <c r="J1147" s="4">
        <v>0</v>
      </c>
      <c r="K1147" s="4"/>
      <c r="L1147" s="16"/>
      <c r="M1147" s="4"/>
      <c r="N1147" s="4"/>
      <c r="O1147" s="4"/>
      <c r="P1147" s="4"/>
      <c r="Q1147" s="4"/>
      <c r="R1147" s="4"/>
      <c r="S1147" s="4">
        <v>0</v>
      </c>
      <c r="T1147" s="4">
        <v>0</v>
      </c>
      <c r="U1147" s="4">
        <v>0</v>
      </c>
      <c r="V1147" s="4">
        <v>12</v>
      </c>
      <c r="W1147" s="4">
        <v>12</v>
      </c>
      <c r="X1147" s="4">
        <v>1</v>
      </c>
      <c r="Y1147" s="4">
        <v>2348</v>
      </c>
      <c r="Z1147" s="4">
        <v>144.4</v>
      </c>
      <c r="AA1147" s="4">
        <v>150</v>
      </c>
      <c r="AB1147" s="18">
        <v>372</v>
      </c>
      <c r="AC1147" s="18">
        <v>22</v>
      </c>
      <c r="AD1147" s="28"/>
      <c r="AE1147" s="26"/>
      <c r="AF1147" s="28"/>
    </row>
    <row r="1148" spans="1:32" ht="13.5" customHeight="1" x14ac:dyDescent="0.25">
      <c r="A1148" s="14">
        <v>45807</v>
      </c>
      <c r="B1148" s="14" t="s">
        <v>47</v>
      </c>
      <c r="C1148" s="15">
        <v>1</v>
      </c>
      <c r="D1148" s="16"/>
      <c r="E1148" s="16"/>
      <c r="F1148" s="17"/>
      <c r="G1148" s="21"/>
      <c r="H1148" s="21"/>
      <c r="I1148" s="4">
        <v>0</v>
      </c>
      <c r="J1148" s="4">
        <v>0</v>
      </c>
      <c r="K1148" s="4"/>
      <c r="L1148" s="16"/>
      <c r="M1148" s="4"/>
      <c r="N1148" s="4"/>
      <c r="O1148" s="4"/>
      <c r="P1148" s="4"/>
      <c r="Q1148" s="4"/>
      <c r="R1148" s="4"/>
      <c r="S1148" s="4">
        <v>0</v>
      </c>
      <c r="T1148" s="4">
        <v>0</v>
      </c>
      <c r="U1148" s="4">
        <v>0</v>
      </c>
      <c r="V1148" s="4">
        <v>12</v>
      </c>
      <c r="W1148" s="4">
        <v>12</v>
      </c>
      <c r="X1148" s="4">
        <v>1.2</v>
      </c>
      <c r="Y1148" s="4"/>
      <c r="Z1148" s="4">
        <v>195.39999999999998</v>
      </c>
      <c r="AA1148" s="4">
        <v>200</v>
      </c>
      <c r="AB1148" s="18"/>
      <c r="AC1148" s="18">
        <v>22</v>
      </c>
      <c r="AD1148" s="28"/>
      <c r="AE1148" s="26"/>
      <c r="AF1148" s="28"/>
    </row>
    <row r="1149" spans="1:32" ht="13.5" customHeight="1" x14ac:dyDescent="0.25">
      <c r="A1149" s="14">
        <v>45807</v>
      </c>
      <c r="B1149" s="14" t="s">
        <v>46</v>
      </c>
      <c r="C1149" s="15">
        <v>2</v>
      </c>
      <c r="D1149" s="16">
        <v>9</v>
      </c>
      <c r="E1149" s="16"/>
      <c r="F1149" s="17"/>
      <c r="G1149" s="21"/>
      <c r="H1149" s="21"/>
      <c r="I1149" s="4">
        <v>9</v>
      </c>
      <c r="J1149" s="4">
        <v>0.15</v>
      </c>
      <c r="K1149" s="4"/>
      <c r="L1149" s="16"/>
      <c r="M1149" s="4"/>
      <c r="N1149" s="4"/>
      <c r="O1149" s="4"/>
      <c r="P1149" s="4"/>
      <c r="Q1149" s="4"/>
      <c r="R1149" s="4"/>
      <c r="S1149" s="4">
        <v>0</v>
      </c>
      <c r="T1149" s="4">
        <v>0</v>
      </c>
      <c r="U1149" s="4">
        <v>0.15</v>
      </c>
      <c r="V1149" s="4">
        <v>11.85</v>
      </c>
      <c r="W1149" s="4">
        <v>12</v>
      </c>
      <c r="X1149" s="4">
        <v>3.8</v>
      </c>
      <c r="Y1149" s="4"/>
      <c r="Z1149" s="4">
        <v>200.59999999999997</v>
      </c>
      <c r="AA1149" s="4">
        <v>200</v>
      </c>
      <c r="AB1149" s="18"/>
      <c r="AC1149" s="18">
        <v>22</v>
      </c>
      <c r="AD1149" s="28"/>
      <c r="AE1149" s="26"/>
      <c r="AF1149" s="28"/>
    </row>
    <row r="1150" spans="1:32" ht="13.5" customHeight="1" x14ac:dyDescent="0.25">
      <c r="A1150" s="14">
        <v>45807</v>
      </c>
      <c r="B1150" s="14" t="s">
        <v>47</v>
      </c>
      <c r="C1150" s="15">
        <v>2</v>
      </c>
      <c r="D1150" s="16"/>
      <c r="E1150" s="16"/>
      <c r="F1150" s="17"/>
      <c r="G1150" s="21"/>
      <c r="H1150" s="21"/>
      <c r="I1150" s="4">
        <v>0</v>
      </c>
      <c r="J1150" s="4">
        <v>0</v>
      </c>
      <c r="K1150" s="4"/>
      <c r="L1150" s="16"/>
      <c r="M1150" s="4"/>
      <c r="N1150" s="4"/>
      <c r="O1150" s="4"/>
      <c r="P1150" s="4"/>
      <c r="Q1150" s="4"/>
      <c r="R1150" s="4"/>
      <c r="S1150" s="4">
        <v>0</v>
      </c>
      <c r="T1150" s="4">
        <v>0</v>
      </c>
      <c r="U1150" s="4">
        <v>0</v>
      </c>
      <c r="V1150" s="4">
        <v>12</v>
      </c>
      <c r="W1150" s="4">
        <v>12</v>
      </c>
      <c r="X1150" s="4">
        <v>8.6</v>
      </c>
      <c r="Y1150" s="4"/>
      <c r="Z1150" s="4">
        <v>225.4</v>
      </c>
      <c r="AA1150" s="4">
        <v>250</v>
      </c>
      <c r="AB1150" s="18"/>
      <c r="AC1150" s="18">
        <v>22</v>
      </c>
      <c r="AD1150" s="28"/>
      <c r="AE1150" s="26"/>
      <c r="AF1150" s="28"/>
    </row>
    <row r="1151" spans="1:32" ht="13.5" customHeight="1" x14ac:dyDescent="0.25">
      <c r="A1151" s="14">
        <v>45807</v>
      </c>
      <c r="B1151" s="14" t="s">
        <v>46</v>
      </c>
      <c r="C1151" s="15">
        <v>3</v>
      </c>
      <c r="D1151" s="16"/>
      <c r="E1151" s="16"/>
      <c r="F1151" s="17"/>
      <c r="G1151" s="21"/>
      <c r="H1151" s="21"/>
      <c r="I1151" s="4">
        <v>0</v>
      </c>
      <c r="J1151" s="4">
        <v>0</v>
      </c>
      <c r="K1151" s="4"/>
      <c r="L1151" s="16">
        <v>30</v>
      </c>
      <c r="M1151" s="4"/>
      <c r="N1151" s="4"/>
      <c r="O1151" s="4"/>
      <c r="P1151" s="4"/>
      <c r="Q1151" s="4"/>
      <c r="R1151" s="4"/>
      <c r="S1151" s="4">
        <v>30</v>
      </c>
      <c r="T1151" s="4">
        <v>0.5</v>
      </c>
      <c r="U1151" s="4">
        <v>0.5</v>
      </c>
      <c r="V1151" s="4">
        <v>11.5</v>
      </c>
      <c r="W1151" s="4">
        <v>12</v>
      </c>
      <c r="X1151" s="4">
        <v>11</v>
      </c>
      <c r="Y1151" s="4"/>
      <c r="Z1151" s="4">
        <v>437.00000000000006</v>
      </c>
      <c r="AA1151" s="4">
        <v>450</v>
      </c>
      <c r="AB1151" s="18"/>
      <c r="AC1151" s="18">
        <v>22</v>
      </c>
      <c r="AD1151" s="28"/>
      <c r="AE1151" s="26"/>
      <c r="AF1151" s="28"/>
    </row>
    <row r="1152" spans="1:32" ht="13.5" customHeight="1" x14ac:dyDescent="0.25">
      <c r="A1152" s="14">
        <v>45807</v>
      </c>
      <c r="B1152" s="14" t="s">
        <v>47</v>
      </c>
      <c r="C1152" s="15">
        <v>3</v>
      </c>
      <c r="D1152" s="16"/>
      <c r="E1152" s="16"/>
      <c r="F1152" s="17"/>
      <c r="G1152" s="21"/>
      <c r="H1152" s="21"/>
      <c r="I1152" s="4">
        <v>0</v>
      </c>
      <c r="J1152" s="4">
        <v>0</v>
      </c>
      <c r="K1152" s="4"/>
      <c r="L1152" s="16"/>
      <c r="M1152" s="4"/>
      <c r="N1152" s="4"/>
      <c r="O1152" s="4"/>
      <c r="P1152" s="4"/>
      <c r="Q1152" s="4"/>
      <c r="R1152" s="4"/>
      <c r="S1152" s="4">
        <v>0</v>
      </c>
      <c r="T1152" s="4">
        <v>0</v>
      </c>
      <c r="U1152" s="4">
        <v>0</v>
      </c>
      <c r="V1152" s="4">
        <v>12</v>
      </c>
      <c r="W1152" s="4">
        <v>12</v>
      </c>
      <c r="X1152" s="4">
        <v>0</v>
      </c>
      <c r="Y1152" s="4"/>
      <c r="Z1152" s="4">
        <v>482.7</v>
      </c>
      <c r="AA1152" s="4">
        <v>500</v>
      </c>
      <c r="AB1152" s="18"/>
      <c r="AC1152" s="18">
        <v>22</v>
      </c>
      <c r="AD1152" s="28"/>
      <c r="AE1152" s="26"/>
      <c r="AF1152" s="28"/>
    </row>
    <row r="1153" spans="1:32" ht="13.5" customHeight="1" x14ac:dyDescent="0.25">
      <c r="A1153" s="14">
        <v>45807</v>
      </c>
      <c r="B1153" s="14" t="s">
        <v>46</v>
      </c>
      <c r="C1153" s="15">
        <v>4</v>
      </c>
      <c r="D1153" s="16">
        <v>5</v>
      </c>
      <c r="E1153" s="16"/>
      <c r="F1153" s="17"/>
      <c r="G1153" s="21"/>
      <c r="H1153" s="21"/>
      <c r="I1153" s="4">
        <v>5</v>
      </c>
      <c r="J1153" s="4">
        <v>8.3333333333333329E-2</v>
      </c>
      <c r="K1153" s="4"/>
      <c r="L1153" s="16"/>
      <c r="M1153" s="4"/>
      <c r="N1153" s="4"/>
      <c r="O1153" s="4"/>
      <c r="P1153" s="4"/>
      <c r="Q1153" s="4"/>
      <c r="R1153" s="4"/>
      <c r="S1153" s="4">
        <v>0</v>
      </c>
      <c r="T1153" s="4">
        <v>0</v>
      </c>
      <c r="U1153" s="4">
        <v>8.3333333333333329E-2</v>
      </c>
      <c r="V1153" s="4">
        <v>11.916666666666666</v>
      </c>
      <c r="W1153" s="4">
        <v>12</v>
      </c>
      <c r="X1153" s="4">
        <v>7</v>
      </c>
      <c r="Y1153" s="4"/>
      <c r="Z1153" s="4">
        <v>379.6</v>
      </c>
      <c r="AA1153" s="4">
        <v>400</v>
      </c>
      <c r="AB1153" s="18"/>
      <c r="AC1153" s="18">
        <v>22</v>
      </c>
      <c r="AD1153" s="28"/>
      <c r="AE1153" s="26"/>
      <c r="AF1153" s="28"/>
    </row>
    <row r="1154" spans="1:32" ht="13.5" customHeight="1" x14ac:dyDescent="0.25">
      <c r="A1154" s="14">
        <v>45807</v>
      </c>
      <c r="B1154" s="14" t="s">
        <v>47</v>
      </c>
      <c r="C1154" s="15">
        <v>4</v>
      </c>
      <c r="D1154" s="16"/>
      <c r="E1154" s="16"/>
      <c r="F1154" s="17"/>
      <c r="G1154" s="21"/>
      <c r="H1154" s="21"/>
      <c r="I1154" s="4">
        <v>0</v>
      </c>
      <c r="J1154" s="4">
        <v>0</v>
      </c>
      <c r="K1154" s="4"/>
      <c r="L1154" s="16"/>
      <c r="M1154" s="4"/>
      <c r="N1154" s="4"/>
      <c r="O1154" s="4"/>
      <c r="P1154" s="4"/>
      <c r="Q1154" s="4"/>
      <c r="R1154" s="4"/>
      <c r="S1154" s="4">
        <v>0</v>
      </c>
      <c r="T1154" s="4">
        <v>0</v>
      </c>
      <c r="U1154" s="4">
        <v>0</v>
      </c>
      <c r="V1154" s="4">
        <v>12</v>
      </c>
      <c r="W1154" s="4">
        <v>12</v>
      </c>
      <c r="X1154" s="4">
        <v>0</v>
      </c>
      <c r="Y1154" s="4"/>
      <c r="Z1154" s="4">
        <v>328</v>
      </c>
      <c r="AA1154" s="4">
        <v>350</v>
      </c>
      <c r="AB1154" s="18"/>
      <c r="AC1154" s="18">
        <v>22</v>
      </c>
      <c r="AD1154" s="28"/>
      <c r="AE1154" s="26"/>
      <c r="AF1154" s="28"/>
    </row>
    <row r="1155" spans="1:32" ht="13.5" customHeight="1" x14ac:dyDescent="0.25">
      <c r="A1155" s="14">
        <v>45807</v>
      </c>
      <c r="B1155" s="14" t="s">
        <v>46</v>
      </c>
      <c r="C1155" s="15">
        <v>6</v>
      </c>
      <c r="D1155" s="16">
        <v>10</v>
      </c>
      <c r="E1155" s="16"/>
      <c r="F1155" s="17"/>
      <c r="G1155" s="21"/>
      <c r="H1155" s="21"/>
      <c r="I1155" s="4">
        <v>10</v>
      </c>
      <c r="J1155" s="4">
        <v>0.16666666666666666</v>
      </c>
      <c r="K1155" s="4"/>
      <c r="L1155" s="16"/>
      <c r="M1155" s="4"/>
      <c r="N1155" s="4"/>
      <c r="O1155" s="4"/>
      <c r="P1155" s="4"/>
      <c r="Q1155" s="4"/>
      <c r="R1155" s="4"/>
      <c r="S1155" s="4">
        <v>0</v>
      </c>
      <c r="T1155" s="4">
        <v>0</v>
      </c>
      <c r="U1155" s="4">
        <v>0.16666666666666666</v>
      </c>
      <c r="V1155" s="4">
        <v>11.833333333333334</v>
      </c>
      <c r="W1155" s="4">
        <v>12</v>
      </c>
      <c r="X1155" s="4">
        <v>7.4</v>
      </c>
      <c r="Y1155" s="4"/>
      <c r="Z1155" s="4">
        <v>617.80000000000007</v>
      </c>
      <c r="AA1155" s="4">
        <v>650</v>
      </c>
      <c r="AB1155" s="18"/>
      <c r="AC1155" s="18">
        <v>22</v>
      </c>
      <c r="AD1155" s="28"/>
      <c r="AE1155" s="26"/>
      <c r="AF1155" s="28"/>
    </row>
    <row r="1156" spans="1:32" ht="13.5" customHeight="1" x14ac:dyDescent="0.25">
      <c r="A1156" s="14">
        <v>45807</v>
      </c>
      <c r="B1156" s="14" t="s">
        <v>47</v>
      </c>
      <c r="C1156" s="15">
        <v>6</v>
      </c>
      <c r="D1156" s="16"/>
      <c r="E1156" s="16"/>
      <c r="F1156" s="17"/>
      <c r="G1156" s="21"/>
      <c r="H1156" s="21"/>
      <c r="I1156" s="4">
        <v>0</v>
      </c>
      <c r="J1156" s="4">
        <v>0</v>
      </c>
      <c r="K1156" s="4"/>
      <c r="L1156" s="16"/>
      <c r="M1156" s="4"/>
      <c r="N1156" s="4"/>
      <c r="O1156" s="4"/>
      <c r="P1156" s="4"/>
      <c r="Q1156" s="4"/>
      <c r="R1156" s="4"/>
      <c r="S1156" s="4">
        <v>0</v>
      </c>
      <c r="T1156" s="4">
        <v>0</v>
      </c>
      <c r="U1156" s="4">
        <v>0</v>
      </c>
      <c r="V1156" s="4">
        <v>12</v>
      </c>
      <c r="W1156" s="4">
        <v>12</v>
      </c>
      <c r="X1156" s="4">
        <v>17</v>
      </c>
      <c r="Y1156" s="4"/>
      <c r="Z1156" s="4">
        <v>631.4</v>
      </c>
      <c r="AA1156" s="4">
        <v>600</v>
      </c>
      <c r="AB1156" s="18"/>
      <c r="AC1156" s="18">
        <v>22</v>
      </c>
      <c r="AD1156" s="28"/>
      <c r="AE1156" s="26"/>
      <c r="AF1156" s="28"/>
    </row>
    <row r="1157" spans="1:32" ht="13.5" customHeight="1" x14ac:dyDescent="0.25">
      <c r="A1157" s="14">
        <v>45807</v>
      </c>
      <c r="B1157" s="14" t="s">
        <v>46</v>
      </c>
      <c r="C1157" s="15">
        <v>7</v>
      </c>
      <c r="D1157" s="16">
        <v>3</v>
      </c>
      <c r="E1157" s="16"/>
      <c r="F1157" s="17"/>
      <c r="G1157" s="21"/>
      <c r="H1157" s="21"/>
      <c r="I1157" s="4">
        <v>3</v>
      </c>
      <c r="J1157" s="4">
        <v>0.05</v>
      </c>
      <c r="K1157" s="4"/>
      <c r="L1157" s="16"/>
      <c r="M1157" s="4"/>
      <c r="N1157" s="4">
        <v>3</v>
      </c>
      <c r="O1157" s="4"/>
      <c r="P1157" s="4"/>
      <c r="Q1157" s="4"/>
      <c r="R1157" s="4"/>
      <c r="S1157" s="4">
        <v>3</v>
      </c>
      <c r="T1157" s="4">
        <v>0.05</v>
      </c>
      <c r="U1157" s="4">
        <v>0.1</v>
      </c>
      <c r="V1157" s="4">
        <v>11.9</v>
      </c>
      <c r="W1157" s="4">
        <v>12</v>
      </c>
      <c r="X1157" s="4">
        <v>5</v>
      </c>
      <c r="Y1157" s="4"/>
      <c r="Z1157" s="4">
        <v>368.1</v>
      </c>
      <c r="AA1157" s="4">
        <v>350</v>
      </c>
      <c r="AB1157" s="18"/>
      <c r="AC1157" s="18">
        <v>22</v>
      </c>
      <c r="AD1157" s="28"/>
      <c r="AE1157" s="26"/>
      <c r="AF1157" s="28"/>
    </row>
    <row r="1158" spans="1:32" ht="13.5" customHeight="1" x14ac:dyDescent="0.25">
      <c r="A1158" s="14">
        <v>45807</v>
      </c>
      <c r="B1158" s="14" t="s">
        <v>47</v>
      </c>
      <c r="C1158" s="15">
        <v>7</v>
      </c>
      <c r="D1158" s="16"/>
      <c r="E1158" s="16"/>
      <c r="F1158" s="17"/>
      <c r="G1158" s="21"/>
      <c r="H1158" s="21"/>
      <c r="I1158" s="4">
        <v>0</v>
      </c>
      <c r="J1158" s="4">
        <v>0</v>
      </c>
      <c r="K1158" s="4"/>
      <c r="L1158" s="16"/>
      <c r="M1158" s="4"/>
      <c r="N1158" s="4"/>
      <c r="O1158" s="4"/>
      <c r="P1158" s="4"/>
      <c r="Q1158" s="4"/>
      <c r="R1158" s="4"/>
      <c r="S1158" s="4">
        <v>0</v>
      </c>
      <c r="T1158" s="4">
        <v>0</v>
      </c>
      <c r="U1158" s="4">
        <v>0</v>
      </c>
      <c r="V1158" s="4">
        <v>12</v>
      </c>
      <c r="W1158" s="4">
        <v>12</v>
      </c>
      <c r="X1158" s="4">
        <v>2.5</v>
      </c>
      <c r="Y1158" s="4"/>
      <c r="Z1158" s="4">
        <v>338.5</v>
      </c>
      <c r="AA1158" s="4">
        <v>300</v>
      </c>
      <c r="AB1158" s="18"/>
      <c r="AC1158" s="18">
        <v>22</v>
      </c>
      <c r="AD1158" s="28"/>
      <c r="AE1158" s="26"/>
      <c r="AF1158" s="28"/>
    </row>
    <row r="1159" spans="1:32" ht="13.5" customHeight="1" x14ac:dyDescent="0.25">
      <c r="A1159" s="14">
        <v>45808</v>
      </c>
      <c r="B1159" s="14" t="s">
        <v>46</v>
      </c>
      <c r="C1159" s="15">
        <v>1</v>
      </c>
      <c r="D1159" s="16">
        <v>3</v>
      </c>
      <c r="E1159" s="16"/>
      <c r="F1159" s="17"/>
      <c r="G1159" s="21"/>
      <c r="H1159" s="21"/>
      <c r="I1159" s="4">
        <v>3</v>
      </c>
      <c r="J1159" s="4">
        <v>0.05</v>
      </c>
      <c r="K1159" s="4"/>
      <c r="L1159" s="16"/>
      <c r="M1159" s="4"/>
      <c r="N1159" s="4"/>
      <c r="O1159" s="4"/>
      <c r="P1159" s="4"/>
      <c r="Q1159" s="4"/>
      <c r="R1159" s="4"/>
      <c r="S1159" s="4">
        <v>0</v>
      </c>
      <c r="T1159" s="4">
        <v>0</v>
      </c>
      <c r="U1159" s="4">
        <v>0.05</v>
      </c>
      <c r="V1159" s="4">
        <v>11.95</v>
      </c>
      <c r="W1159" s="4">
        <v>12</v>
      </c>
      <c r="X1159" s="4">
        <v>0</v>
      </c>
      <c r="Y1159" s="4">
        <v>2231</v>
      </c>
      <c r="Z1159" s="4">
        <v>144.79999999999998</v>
      </c>
      <c r="AA1159" s="4">
        <v>150</v>
      </c>
      <c r="AB1159" s="18">
        <v>372</v>
      </c>
      <c r="AC1159" s="18">
        <v>22</v>
      </c>
      <c r="AD1159" s="28"/>
      <c r="AE1159" s="26"/>
      <c r="AF1159" s="28"/>
    </row>
    <row r="1160" spans="1:32" ht="13.5" customHeight="1" x14ac:dyDescent="0.25">
      <c r="A1160" s="14">
        <v>45808</v>
      </c>
      <c r="B1160" s="14" t="s">
        <v>47</v>
      </c>
      <c r="C1160" s="15">
        <v>1</v>
      </c>
      <c r="D1160" s="16"/>
      <c r="E1160" s="16"/>
      <c r="F1160" s="17"/>
      <c r="G1160" s="21"/>
      <c r="H1160" s="21"/>
      <c r="I1160" s="4">
        <v>0</v>
      </c>
      <c r="J1160" s="4">
        <v>0</v>
      </c>
      <c r="K1160" s="4"/>
      <c r="L1160" s="16"/>
      <c r="M1160" s="4"/>
      <c r="N1160" s="4"/>
      <c r="O1160" s="4"/>
      <c r="P1160" s="4"/>
      <c r="Q1160" s="4"/>
      <c r="R1160" s="4"/>
      <c r="S1160" s="4">
        <v>0</v>
      </c>
      <c r="T1160" s="4">
        <v>0</v>
      </c>
      <c r="U1160" s="4">
        <v>0</v>
      </c>
      <c r="V1160" s="4">
        <v>12</v>
      </c>
      <c r="W1160" s="4">
        <v>12</v>
      </c>
      <c r="X1160" s="4">
        <v>0</v>
      </c>
      <c r="Y1160" s="4"/>
      <c r="Z1160" s="4">
        <v>139.5</v>
      </c>
      <c r="AA1160" s="4">
        <v>100</v>
      </c>
      <c r="AB1160" s="18"/>
      <c r="AC1160" s="18">
        <v>22</v>
      </c>
      <c r="AD1160" s="28"/>
      <c r="AE1160" s="26"/>
      <c r="AF1160" s="28"/>
    </row>
    <row r="1161" spans="1:32" ht="13.5" customHeight="1" x14ac:dyDescent="0.25">
      <c r="A1161" s="14">
        <v>45808</v>
      </c>
      <c r="B1161" s="14" t="s">
        <v>46</v>
      </c>
      <c r="C1161" s="15">
        <v>2</v>
      </c>
      <c r="D1161" s="16">
        <v>5</v>
      </c>
      <c r="E1161" s="16"/>
      <c r="F1161" s="17"/>
      <c r="G1161" s="21"/>
      <c r="H1161" s="21"/>
      <c r="I1161" s="4">
        <v>5</v>
      </c>
      <c r="J1161" s="4">
        <v>8.3333333333333329E-2</v>
      </c>
      <c r="K1161" s="4"/>
      <c r="L1161" s="16"/>
      <c r="M1161" s="4"/>
      <c r="N1161" s="4">
        <v>10</v>
      </c>
      <c r="O1161" s="4"/>
      <c r="P1161" s="4"/>
      <c r="Q1161" s="4"/>
      <c r="R1161" s="4"/>
      <c r="S1161" s="4">
        <v>10</v>
      </c>
      <c r="T1161" s="4">
        <v>0.16666666666666666</v>
      </c>
      <c r="U1161" s="4">
        <v>0.25</v>
      </c>
      <c r="V1161" s="4">
        <v>11.75</v>
      </c>
      <c r="W1161" s="4">
        <v>12</v>
      </c>
      <c r="X1161" s="4">
        <v>0</v>
      </c>
      <c r="Y1161" s="4"/>
      <c r="Z1161" s="4">
        <v>277.39999999999998</v>
      </c>
      <c r="AA1161" s="4">
        <v>300</v>
      </c>
      <c r="AB1161" s="18"/>
      <c r="AC1161" s="18">
        <v>22</v>
      </c>
      <c r="AD1161" s="28"/>
      <c r="AE1161" s="26"/>
      <c r="AF1161" s="28"/>
    </row>
    <row r="1162" spans="1:32" ht="13.5" customHeight="1" x14ac:dyDescent="0.25">
      <c r="A1162" s="14">
        <v>45808</v>
      </c>
      <c r="B1162" s="14" t="s">
        <v>47</v>
      </c>
      <c r="C1162" s="15">
        <v>2</v>
      </c>
      <c r="D1162" s="16">
        <v>3</v>
      </c>
      <c r="E1162" s="16"/>
      <c r="F1162" s="17"/>
      <c r="G1162" s="21"/>
      <c r="H1162" s="21"/>
      <c r="I1162" s="4">
        <v>3</v>
      </c>
      <c r="J1162" s="4">
        <v>0.05</v>
      </c>
      <c r="K1162" s="4"/>
      <c r="L1162" s="16"/>
      <c r="M1162" s="4"/>
      <c r="N1162" s="4"/>
      <c r="O1162" s="4"/>
      <c r="P1162" s="4"/>
      <c r="Q1162" s="4"/>
      <c r="R1162" s="4"/>
      <c r="S1162" s="4">
        <v>0</v>
      </c>
      <c r="T1162" s="4">
        <v>0</v>
      </c>
      <c r="U1162" s="4">
        <v>0.05</v>
      </c>
      <c r="V1162" s="4">
        <v>11.95</v>
      </c>
      <c r="W1162" s="4">
        <v>12</v>
      </c>
      <c r="X1162" s="4">
        <v>0</v>
      </c>
      <c r="Y1162" s="4"/>
      <c r="Z1162" s="4">
        <v>278.20000000000005</v>
      </c>
      <c r="AA1162" s="4">
        <v>300</v>
      </c>
      <c r="AB1162" s="18"/>
      <c r="AC1162" s="18">
        <v>22</v>
      </c>
      <c r="AD1162" s="28"/>
      <c r="AE1162" s="26"/>
      <c r="AF1162" s="28"/>
    </row>
    <row r="1163" spans="1:32" ht="13.5" customHeight="1" x14ac:dyDescent="0.25">
      <c r="A1163" s="14">
        <v>45808</v>
      </c>
      <c r="B1163" s="14" t="s">
        <v>46</v>
      </c>
      <c r="C1163" s="15">
        <v>3</v>
      </c>
      <c r="D1163" s="16"/>
      <c r="E1163" s="16"/>
      <c r="F1163" s="17"/>
      <c r="G1163" s="21"/>
      <c r="H1163" s="21"/>
      <c r="I1163" s="4">
        <v>0</v>
      </c>
      <c r="J1163" s="4">
        <v>0</v>
      </c>
      <c r="K1163" s="4"/>
      <c r="L1163" s="16"/>
      <c r="M1163" s="4"/>
      <c r="N1163" s="4"/>
      <c r="O1163" s="4"/>
      <c r="P1163" s="4"/>
      <c r="Q1163" s="4"/>
      <c r="R1163" s="4"/>
      <c r="S1163" s="4">
        <v>0</v>
      </c>
      <c r="T1163" s="4">
        <v>0</v>
      </c>
      <c r="U1163" s="4">
        <v>0</v>
      </c>
      <c r="V1163" s="4">
        <v>12</v>
      </c>
      <c r="W1163" s="4">
        <v>12</v>
      </c>
      <c r="X1163" s="4">
        <v>0</v>
      </c>
      <c r="Y1163" s="4"/>
      <c r="Z1163" s="4">
        <v>471.29999999999995</v>
      </c>
      <c r="AA1163" s="4">
        <v>500</v>
      </c>
      <c r="AB1163" s="18"/>
      <c r="AC1163" s="18">
        <v>22</v>
      </c>
      <c r="AD1163" s="28"/>
      <c r="AE1163" s="26"/>
      <c r="AF1163" s="28"/>
    </row>
    <row r="1164" spans="1:32" ht="13.5" customHeight="1" x14ac:dyDescent="0.25">
      <c r="A1164" s="14">
        <v>45808</v>
      </c>
      <c r="B1164" s="14" t="s">
        <v>47</v>
      </c>
      <c r="C1164" s="15">
        <v>3</v>
      </c>
      <c r="D1164" s="16"/>
      <c r="E1164" s="16"/>
      <c r="F1164" s="17"/>
      <c r="G1164" s="21"/>
      <c r="H1164" s="21"/>
      <c r="I1164" s="4">
        <v>0</v>
      </c>
      <c r="J1164" s="4">
        <v>0</v>
      </c>
      <c r="K1164" s="4"/>
      <c r="L1164" s="16"/>
      <c r="M1164" s="4"/>
      <c r="N1164" s="4"/>
      <c r="O1164" s="4"/>
      <c r="P1164" s="4"/>
      <c r="Q1164" s="4"/>
      <c r="R1164" s="4"/>
      <c r="S1164" s="4">
        <v>0</v>
      </c>
      <c r="T1164" s="4">
        <v>0</v>
      </c>
      <c r="U1164" s="4">
        <v>0</v>
      </c>
      <c r="V1164" s="4">
        <v>12</v>
      </c>
      <c r="W1164" s="4">
        <v>12</v>
      </c>
      <c r="X1164" s="4">
        <v>0</v>
      </c>
      <c r="Y1164" s="4"/>
      <c r="Z1164" s="4">
        <v>394</v>
      </c>
      <c r="AA1164" s="4">
        <v>400</v>
      </c>
      <c r="AB1164" s="18"/>
      <c r="AC1164" s="18">
        <v>22</v>
      </c>
      <c r="AD1164" s="28"/>
      <c r="AE1164" s="26"/>
      <c r="AF1164" s="28"/>
    </row>
    <row r="1165" spans="1:32" ht="13.5" customHeight="1" x14ac:dyDescent="0.25">
      <c r="A1165" s="14">
        <v>45808</v>
      </c>
      <c r="B1165" s="14" t="s">
        <v>46</v>
      </c>
      <c r="C1165" s="15">
        <v>4</v>
      </c>
      <c r="D1165" s="16"/>
      <c r="E1165" s="16"/>
      <c r="F1165" s="17"/>
      <c r="G1165" s="21"/>
      <c r="H1165" s="21"/>
      <c r="I1165" s="4">
        <v>0</v>
      </c>
      <c r="J1165" s="4">
        <v>0</v>
      </c>
      <c r="K1165" s="4"/>
      <c r="L1165" s="16"/>
      <c r="M1165" s="4"/>
      <c r="N1165" s="4"/>
      <c r="O1165" s="4"/>
      <c r="P1165" s="4"/>
      <c r="Q1165" s="4"/>
      <c r="R1165" s="4"/>
      <c r="S1165" s="4">
        <v>0</v>
      </c>
      <c r="T1165" s="4">
        <v>0</v>
      </c>
      <c r="U1165" s="4">
        <v>0</v>
      </c>
      <c r="V1165" s="4">
        <v>12</v>
      </c>
      <c r="W1165" s="4">
        <v>12</v>
      </c>
      <c r="X1165" s="4">
        <v>0</v>
      </c>
      <c r="Y1165" s="4"/>
      <c r="Z1165" s="4">
        <v>245.00000000000003</v>
      </c>
      <c r="AA1165" s="4">
        <v>250</v>
      </c>
      <c r="AB1165" s="18"/>
      <c r="AC1165" s="18">
        <v>22</v>
      </c>
      <c r="AD1165" s="28"/>
      <c r="AE1165" s="26"/>
      <c r="AF1165" s="28"/>
    </row>
    <row r="1166" spans="1:32" ht="13.5" customHeight="1" x14ac:dyDescent="0.25">
      <c r="A1166" s="14">
        <v>45808</v>
      </c>
      <c r="B1166" s="14" t="s">
        <v>47</v>
      </c>
      <c r="C1166" s="15">
        <v>4</v>
      </c>
      <c r="D1166" s="16"/>
      <c r="E1166" s="16"/>
      <c r="F1166" s="17"/>
      <c r="G1166" s="21"/>
      <c r="H1166" s="21"/>
      <c r="I1166" s="4">
        <v>0</v>
      </c>
      <c r="J1166" s="4">
        <v>0</v>
      </c>
      <c r="K1166" s="4"/>
      <c r="L1166" s="16"/>
      <c r="M1166" s="4"/>
      <c r="N1166" s="4"/>
      <c r="O1166" s="4"/>
      <c r="P1166" s="4"/>
      <c r="Q1166" s="4"/>
      <c r="R1166" s="4"/>
      <c r="S1166" s="4">
        <v>0</v>
      </c>
      <c r="T1166" s="4">
        <v>0</v>
      </c>
      <c r="U1166" s="4">
        <v>0</v>
      </c>
      <c r="V1166" s="4">
        <v>12</v>
      </c>
      <c r="W1166" s="4">
        <v>12</v>
      </c>
      <c r="X1166" s="4">
        <v>0</v>
      </c>
      <c r="Y1166" s="4"/>
      <c r="Z1166" s="4">
        <v>278</v>
      </c>
      <c r="AA1166" s="4">
        <v>300</v>
      </c>
      <c r="AB1166" s="18"/>
      <c r="AC1166" s="18">
        <v>22</v>
      </c>
      <c r="AD1166" s="28"/>
      <c r="AE1166" s="26"/>
      <c r="AF1166" s="28"/>
    </row>
    <row r="1167" spans="1:32" ht="13.5" customHeight="1" x14ac:dyDescent="0.25">
      <c r="A1167" s="14">
        <v>45808</v>
      </c>
      <c r="B1167" s="14" t="s">
        <v>46</v>
      </c>
      <c r="C1167" s="15">
        <v>6</v>
      </c>
      <c r="D1167" s="16"/>
      <c r="E1167" s="16"/>
      <c r="F1167" s="17"/>
      <c r="G1167" s="21"/>
      <c r="H1167" s="21"/>
      <c r="I1167" s="4">
        <v>0</v>
      </c>
      <c r="J1167" s="4">
        <v>0</v>
      </c>
      <c r="K1167" s="4"/>
      <c r="L1167" s="16"/>
      <c r="M1167" s="4"/>
      <c r="N1167" s="4"/>
      <c r="O1167" s="4"/>
      <c r="P1167" s="4"/>
      <c r="Q1167" s="4">
        <v>170</v>
      </c>
      <c r="R1167" s="4"/>
      <c r="S1167" s="4">
        <v>170</v>
      </c>
      <c r="T1167" s="4">
        <v>2.8333333333333335</v>
      </c>
      <c r="U1167" s="4">
        <v>2.8333333333333335</v>
      </c>
      <c r="V1167" s="4">
        <v>9.1666666666666661</v>
      </c>
      <c r="W1167" s="4">
        <v>12</v>
      </c>
      <c r="X1167" s="4">
        <v>36</v>
      </c>
      <c r="Y1167" s="4"/>
      <c r="Z1167" s="4">
        <v>498.99999999999994</v>
      </c>
      <c r="AA1167" s="4">
        <v>500</v>
      </c>
      <c r="AB1167" s="18"/>
      <c r="AC1167" s="18">
        <v>22</v>
      </c>
      <c r="AD1167" s="28"/>
      <c r="AE1167" s="26"/>
      <c r="AF1167" s="28"/>
    </row>
    <row r="1168" spans="1:32" ht="13.5" customHeight="1" x14ac:dyDescent="0.25">
      <c r="A1168" s="14">
        <v>45808</v>
      </c>
      <c r="B1168" s="14" t="s">
        <v>47</v>
      </c>
      <c r="C1168" s="15">
        <v>6</v>
      </c>
      <c r="D1168" s="16"/>
      <c r="E1168" s="16"/>
      <c r="F1168" s="17"/>
      <c r="G1168" s="21"/>
      <c r="H1168" s="21"/>
      <c r="I1168" s="4">
        <v>0</v>
      </c>
      <c r="J1168" s="4">
        <v>0</v>
      </c>
      <c r="K1168" s="4"/>
      <c r="L1168" s="16"/>
      <c r="M1168" s="4"/>
      <c r="N1168" s="4"/>
      <c r="O1168" s="4"/>
      <c r="P1168" s="4"/>
      <c r="Q1168" s="4"/>
      <c r="R1168" s="4"/>
      <c r="S1168" s="4">
        <v>0</v>
      </c>
      <c r="T1168" s="4">
        <v>0</v>
      </c>
      <c r="U1168" s="4">
        <v>0</v>
      </c>
      <c r="V1168" s="4">
        <v>12</v>
      </c>
      <c r="W1168" s="4">
        <v>12</v>
      </c>
      <c r="X1168" s="4">
        <v>20</v>
      </c>
      <c r="Y1168" s="4"/>
      <c r="Z1168" s="4">
        <v>570.79999999999995</v>
      </c>
      <c r="AA1168" s="4">
        <v>600</v>
      </c>
      <c r="AB1168" s="18"/>
      <c r="AC1168" s="18">
        <v>22</v>
      </c>
      <c r="AD1168" s="28"/>
      <c r="AE1168" s="26"/>
      <c r="AF1168" s="28"/>
    </row>
    <row r="1169" spans="1:32" ht="13.5" customHeight="1" x14ac:dyDescent="0.25">
      <c r="A1169" s="14">
        <v>45808</v>
      </c>
      <c r="B1169" s="14" t="s">
        <v>46</v>
      </c>
      <c r="C1169" s="15">
        <v>7</v>
      </c>
      <c r="D1169" s="16">
        <v>3</v>
      </c>
      <c r="E1169" s="16"/>
      <c r="F1169" s="17"/>
      <c r="G1169" s="21"/>
      <c r="H1169" s="21"/>
      <c r="I1169" s="4">
        <v>3</v>
      </c>
      <c r="J1169" s="4">
        <v>0.05</v>
      </c>
      <c r="K1169" s="4"/>
      <c r="L1169" s="16"/>
      <c r="M1169" s="4"/>
      <c r="N1169" s="4"/>
      <c r="O1169" s="4"/>
      <c r="P1169" s="4"/>
      <c r="Q1169" s="4"/>
      <c r="R1169" s="4"/>
      <c r="S1169" s="4">
        <v>0</v>
      </c>
      <c r="T1169" s="4">
        <v>0</v>
      </c>
      <c r="U1169" s="4">
        <v>0.05</v>
      </c>
      <c r="V1169" s="4">
        <v>11.95</v>
      </c>
      <c r="W1169" s="4">
        <v>12</v>
      </c>
      <c r="X1169" s="4">
        <v>0</v>
      </c>
      <c r="Y1169" s="4"/>
      <c r="Z1169" s="4">
        <v>344.2</v>
      </c>
      <c r="AA1169" s="4">
        <v>300</v>
      </c>
      <c r="AB1169" s="18"/>
      <c r="AC1169" s="18">
        <v>22</v>
      </c>
      <c r="AD1169" s="28"/>
      <c r="AE1169" s="26"/>
      <c r="AF1169" s="28"/>
    </row>
    <row r="1170" spans="1:32" ht="13.5" customHeight="1" x14ac:dyDescent="0.25">
      <c r="A1170" s="14">
        <v>45808</v>
      </c>
      <c r="B1170" s="14" t="s">
        <v>47</v>
      </c>
      <c r="C1170" s="15">
        <v>7</v>
      </c>
      <c r="D1170" s="16">
        <v>3</v>
      </c>
      <c r="E1170" s="16"/>
      <c r="F1170" s="17"/>
      <c r="G1170" s="21"/>
      <c r="H1170" s="21"/>
      <c r="I1170" s="4">
        <v>3</v>
      </c>
      <c r="J1170" s="4">
        <v>0.05</v>
      </c>
      <c r="K1170" s="4"/>
      <c r="L1170" s="16"/>
      <c r="M1170" s="4"/>
      <c r="N1170" s="4"/>
      <c r="O1170" s="4"/>
      <c r="P1170" s="4"/>
      <c r="Q1170" s="4"/>
      <c r="R1170" s="4"/>
      <c r="S1170" s="4">
        <v>0</v>
      </c>
      <c r="T1170" s="4">
        <v>0</v>
      </c>
      <c r="U1170" s="4">
        <v>0.05</v>
      </c>
      <c r="V1170" s="4">
        <v>11.95</v>
      </c>
      <c r="W1170" s="4">
        <v>12</v>
      </c>
      <c r="X1170" s="4">
        <v>0</v>
      </c>
      <c r="Y1170" s="4"/>
      <c r="Z1170" s="4">
        <v>370.4</v>
      </c>
      <c r="AA1170" s="4">
        <v>400</v>
      </c>
      <c r="AB1170" s="18"/>
      <c r="AC1170" s="18">
        <v>22</v>
      </c>
      <c r="AD1170" s="28"/>
      <c r="AE1170" s="26"/>
      <c r="AF1170" s="28"/>
    </row>
    <row r="1171" spans="1:32" ht="13.5" customHeight="1" x14ac:dyDescent="0.25">
      <c r="A1171" s="14">
        <v>45809</v>
      </c>
      <c r="B1171" s="14" t="s">
        <v>46</v>
      </c>
      <c r="C1171" s="15">
        <v>1</v>
      </c>
      <c r="D1171" s="16"/>
      <c r="E1171" s="16"/>
      <c r="F1171" s="17"/>
      <c r="G1171" s="21"/>
      <c r="H1171" s="21"/>
      <c r="I1171" s="4">
        <v>0</v>
      </c>
      <c r="J1171" s="4">
        <v>0</v>
      </c>
      <c r="K1171" s="4"/>
      <c r="L1171" s="16"/>
      <c r="M1171" s="4"/>
      <c r="N1171" s="4"/>
      <c r="O1171" s="4"/>
      <c r="P1171" s="4"/>
      <c r="Q1171" s="4"/>
      <c r="R1171" s="4"/>
      <c r="S1171" s="4">
        <v>0</v>
      </c>
      <c r="T1171" s="4">
        <v>0</v>
      </c>
      <c r="U1171" s="4">
        <v>0</v>
      </c>
      <c r="V1171" s="4">
        <v>12</v>
      </c>
      <c r="W1171" s="4">
        <v>12</v>
      </c>
      <c r="X1171" s="4">
        <v>0</v>
      </c>
      <c r="Y1171" s="4">
        <v>2138</v>
      </c>
      <c r="Z1171" s="4">
        <v>110.69999999999999</v>
      </c>
      <c r="AA1171" s="4">
        <v>100</v>
      </c>
      <c r="AB1171" s="18">
        <v>372</v>
      </c>
      <c r="AC1171" s="18">
        <v>22</v>
      </c>
      <c r="AD1171" s="28"/>
      <c r="AE1171" s="26"/>
      <c r="AF1171" s="28"/>
    </row>
    <row r="1172" spans="1:32" ht="13.5" customHeight="1" x14ac:dyDescent="0.25">
      <c r="A1172" s="14">
        <v>45809</v>
      </c>
      <c r="B1172" s="14" t="s">
        <v>47</v>
      </c>
      <c r="C1172" s="15">
        <v>1</v>
      </c>
      <c r="D1172" s="16"/>
      <c r="E1172" s="16"/>
      <c r="F1172" s="17"/>
      <c r="G1172" s="21"/>
      <c r="H1172" s="21"/>
      <c r="I1172" s="4">
        <v>0</v>
      </c>
      <c r="J1172" s="4">
        <v>0</v>
      </c>
      <c r="K1172" s="4"/>
      <c r="L1172" s="16"/>
      <c r="M1172" s="4"/>
      <c r="N1172" s="4"/>
      <c r="O1172" s="4"/>
      <c r="P1172" s="4"/>
      <c r="Q1172" s="4"/>
      <c r="R1172" s="4"/>
      <c r="S1172" s="4">
        <v>0</v>
      </c>
      <c r="T1172" s="4">
        <v>0</v>
      </c>
      <c r="U1172" s="4">
        <v>0</v>
      </c>
      <c r="V1172" s="4">
        <v>12</v>
      </c>
      <c r="W1172" s="4">
        <v>12</v>
      </c>
      <c r="X1172" s="4">
        <v>0</v>
      </c>
      <c r="Y1172" s="4"/>
      <c r="Z1172" s="4">
        <v>116.99999999999999</v>
      </c>
      <c r="AA1172" s="4">
        <v>100</v>
      </c>
      <c r="AB1172" s="18"/>
      <c r="AC1172" s="18">
        <v>22</v>
      </c>
      <c r="AD1172" s="28"/>
      <c r="AE1172" s="26"/>
      <c r="AF1172" s="28"/>
    </row>
    <row r="1173" spans="1:32" ht="13.5" customHeight="1" x14ac:dyDescent="0.25">
      <c r="A1173" s="14">
        <v>45809</v>
      </c>
      <c r="B1173" s="14" t="s">
        <v>46</v>
      </c>
      <c r="C1173" s="15">
        <v>2</v>
      </c>
      <c r="D1173" s="16">
        <v>5</v>
      </c>
      <c r="E1173" s="16"/>
      <c r="F1173" s="17"/>
      <c r="G1173" s="21"/>
      <c r="H1173" s="21"/>
      <c r="I1173" s="4">
        <v>5</v>
      </c>
      <c r="J1173" s="4">
        <v>8.3333333333333329E-2</v>
      </c>
      <c r="K1173" s="4">
        <v>5</v>
      </c>
      <c r="L1173" s="16"/>
      <c r="M1173" s="4"/>
      <c r="N1173" s="4">
        <v>13</v>
      </c>
      <c r="O1173" s="4"/>
      <c r="P1173" s="4"/>
      <c r="Q1173" s="4">
        <v>110</v>
      </c>
      <c r="R1173" s="4"/>
      <c r="S1173" s="4">
        <v>128</v>
      </c>
      <c r="T1173" s="4">
        <v>2.1333333333333333</v>
      </c>
      <c r="U1173" s="4">
        <v>2.2166666666666668</v>
      </c>
      <c r="V1173" s="4">
        <v>9.7833333333333332</v>
      </c>
      <c r="W1173" s="4">
        <v>12</v>
      </c>
      <c r="X1173" s="4">
        <v>0</v>
      </c>
      <c r="Y1173" s="4"/>
      <c r="Z1173" s="4">
        <v>34.6</v>
      </c>
      <c r="AA1173" s="4">
        <v>50</v>
      </c>
      <c r="AB1173" s="18"/>
      <c r="AC1173" s="18">
        <v>22</v>
      </c>
      <c r="AD1173" s="28"/>
      <c r="AE1173" s="26"/>
      <c r="AF1173" s="28"/>
    </row>
    <row r="1174" spans="1:32" ht="13.5" customHeight="1" x14ac:dyDescent="0.25">
      <c r="A1174" s="14">
        <v>45809</v>
      </c>
      <c r="B1174" s="14" t="s">
        <v>47</v>
      </c>
      <c r="C1174" s="15">
        <v>2</v>
      </c>
      <c r="D1174" s="16"/>
      <c r="E1174" s="16"/>
      <c r="F1174" s="17"/>
      <c r="G1174" s="21"/>
      <c r="H1174" s="21"/>
      <c r="I1174" s="4">
        <v>0</v>
      </c>
      <c r="J1174" s="4">
        <v>0</v>
      </c>
      <c r="K1174" s="4"/>
      <c r="L1174" s="16"/>
      <c r="M1174" s="4"/>
      <c r="N1174" s="4"/>
      <c r="O1174" s="4"/>
      <c r="P1174" s="4"/>
      <c r="Q1174" s="4"/>
      <c r="R1174" s="4"/>
      <c r="S1174" s="4">
        <v>0</v>
      </c>
      <c r="T1174" s="4">
        <v>0</v>
      </c>
      <c r="U1174" s="4">
        <v>0</v>
      </c>
      <c r="V1174" s="4">
        <v>12</v>
      </c>
      <c r="W1174" s="4">
        <v>12</v>
      </c>
      <c r="X1174" s="4">
        <v>0</v>
      </c>
      <c r="Y1174" s="4"/>
      <c r="Z1174" s="4">
        <v>242.7</v>
      </c>
      <c r="AA1174" s="4">
        <v>250</v>
      </c>
      <c r="AB1174" s="18"/>
      <c r="AC1174" s="18">
        <v>22</v>
      </c>
      <c r="AD1174" s="28"/>
      <c r="AE1174" s="26"/>
      <c r="AF1174" s="28"/>
    </row>
    <row r="1175" spans="1:32" ht="13.5" customHeight="1" x14ac:dyDescent="0.25">
      <c r="A1175" s="14">
        <v>45809</v>
      </c>
      <c r="B1175" s="14" t="s">
        <v>46</v>
      </c>
      <c r="C1175" s="15">
        <v>3</v>
      </c>
      <c r="D1175" s="16"/>
      <c r="E1175" s="16"/>
      <c r="F1175" s="17"/>
      <c r="G1175" s="21"/>
      <c r="H1175" s="21"/>
      <c r="I1175" s="4">
        <v>0</v>
      </c>
      <c r="J1175" s="4">
        <v>0</v>
      </c>
      <c r="K1175" s="4"/>
      <c r="L1175" s="16"/>
      <c r="M1175" s="4"/>
      <c r="N1175" s="4"/>
      <c r="O1175" s="4"/>
      <c r="P1175" s="4"/>
      <c r="Q1175" s="4"/>
      <c r="R1175" s="4"/>
      <c r="S1175" s="4">
        <v>0</v>
      </c>
      <c r="T1175" s="4">
        <v>0</v>
      </c>
      <c r="U1175" s="4">
        <v>0</v>
      </c>
      <c r="V1175" s="4">
        <v>12</v>
      </c>
      <c r="W1175" s="4">
        <v>12</v>
      </c>
      <c r="X1175" s="4">
        <v>0</v>
      </c>
      <c r="Y1175" s="4"/>
      <c r="Z1175" s="4">
        <v>553.5</v>
      </c>
      <c r="AA1175" s="4">
        <v>550</v>
      </c>
      <c r="AB1175" s="18"/>
      <c r="AC1175" s="18">
        <v>22</v>
      </c>
      <c r="AD1175" s="28"/>
      <c r="AE1175" s="26"/>
      <c r="AF1175" s="28"/>
    </row>
    <row r="1176" spans="1:32" ht="13.5" customHeight="1" x14ac:dyDescent="0.25">
      <c r="A1176" s="14">
        <v>45809</v>
      </c>
      <c r="B1176" s="14" t="s">
        <v>47</v>
      </c>
      <c r="C1176" s="15">
        <v>3</v>
      </c>
      <c r="D1176" s="16"/>
      <c r="E1176" s="16"/>
      <c r="F1176" s="17"/>
      <c r="G1176" s="21"/>
      <c r="H1176" s="21"/>
      <c r="I1176" s="4">
        <v>0</v>
      </c>
      <c r="J1176" s="4">
        <v>0</v>
      </c>
      <c r="K1176" s="4"/>
      <c r="L1176" s="16"/>
      <c r="M1176" s="4"/>
      <c r="N1176" s="4"/>
      <c r="O1176" s="4"/>
      <c r="P1176" s="4"/>
      <c r="Q1176" s="4"/>
      <c r="R1176" s="4"/>
      <c r="S1176" s="4">
        <v>0</v>
      </c>
      <c r="T1176" s="4">
        <v>0</v>
      </c>
      <c r="U1176" s="4">
        <v>0</v>
      </c>
      <c r="V1176" s="4">
        <v>12</v>
      </c>
      <c r="W1176" s="4">
        <v>12</v>
      </c>
      <c r="X1176" s="4">
        <v>0</v>
      </c>
      <c r="Y1176" s="4"/>
      <c r="Z1176" s="4">
        <v>137.1</v>
      </c>
      <c r="AA1176" s="4">
        <v>150</v>
      </c>
      <c r="AB1176" s="18"/>
      <c r="AC1176" s="18">
        <v>22</v>
      </c>
      <c r="AD1176" s="28"/>
      <c r="AE1176" s="26"/>
      <c r="AF1176" s="28"/>
    </row>
    <row r="1177" spans="1:32" ht="13.5" customHeight="1" x14ac:dyDescent="0.25">
      <c r="A1177" s="14">
        <v>45809</v>
      </c>
      <c r="B1177" s="14" t="s">
        <v>46</v>
      </c>
      <c r="C1177" s="15">
        <v>4</v>
      </c>
      <c r="D1177" s="16"/>
      <c r="E1177" s="16"/>
      <c r="F1177" s="17"/>
      <c r="G1177" s="21"/>
      <c r="H1177" s="21"/>
      <c r="I1177" s="4">
        <v>0</v>
      </c>
      <c r="J1177" s="4">
        <v>0</v>
      </c>
      <c r="K1177" s="4"/>
      <c r="L1177" s="16"/>
      <c r="M1177" s="4"/>
      <c r="N1177" s="4"/>
      <c r="O1177" s="4"/>
      <c r="P1177" s="4"/>
      <c r="Q1177" s="4"/>
      <c r="R1177" s="4"/>
      <c r="S1177" s="4">
        <v>0</v>
      </c>
      <c r="T1177" s="4">
        <v>0</v>
      </c>
      <c r="U1177" s="4">
        <v>0</v>
      </c>
      <c r="V1177" s="4">
        <v>12</v>
      </c>
      <c r="W1177" s="4">
        <v>12</v>
      </c>
      <c r="X1177" s="4">
        <v>0</v>
      </c>
      <c r="Y1177" s="4"/>
      <c r="Z1177" s="4">
        <v>305.40000000000003</v>
      </c>
      <c r="AA1177" s="4">
        <v>300</v>
      </c>
      <c r="AB1177" s="18"/>
      <c r="AC1177" s="18">
        <v>22</v>
      </c>
      <c r="AD1177" s="28"/>
      <c r="AE1177" s="26"/>
      <c r="AF1177" s="28"/>
    </row>
    <row r="1178" spans="1:32" ht="13.5" customHeight="1" x14ac:dyDescent="0.25">
      <c r="A1178" s="14">
        <v>45809</v>
      </c>
      <c r="B1178" s="14" t="s">
        <v>47</v>
      </c>
      <c r="C1178" s="15">
        <v>4</v>
      </c>
      <c r="D1178" s="16"/>
      <c r="E1178" s="16"/>
      <c r="F1178" s="17"/>
      <c r="G1178" s="21"/>
      <c r="H1178" s="21"/>
      <c r="I1178" s="4">
        <v>0</v>
      </c>
      <c r="J1178" s="4">
        <v>0</v>
      </c>
      <c r="K1178" s="4"/>
      <c r="L1178" s="16"/>
      <c r="M1178" s="4"/>
      <c r="N1178" s="4"/>
      <c r="O1178" s="4"/>
      <c r="P1178" s="4"/>
      <c r="Q1178" s="4"/>
      <c r="R1178" s="4"/>
      <c r="S1178" s="4">
        <v>0</v>
      </c>
      <c r="T1178" s="4">
        <v>0</v>
      </c>
      <c r="U1178" s="4">
        <v>0</v>
      </c>
      <c r="V1178" s="4">
        <v>12</v>
      </c>
      <c r="W1178" s="4">
        <v>12</v>
      </c>
      <c r="X1178" s="4">
        <v>0</v>
      </c>
      <c r="Y1178" s="4"/>
      <c r="Z1178" s="4">
        <v>302.60000000000002</v>
      </c>
      <c r="AA1178" s="4">
        <v>300</v>
      </c>
      <c r="AB1178" s="18"/>
      <c r="AC1178" s="18">
        <v>22</v>
      </c>
      <c r="AD1178" s="28"/>
      <c r="AE1178" s="26"/>
      <c r="AF1178" s="28"/>
    </row>
    <row r="1179" spans="1:32" ht="13.5" customHeight="1" x14ac:dyDescent="0.25">
      <c r="A1179" s="14">
        <v>45809</v>
      </c>
      <c r="B1179" s="14" t="s">
        <v>46</v>
      </c>
      <c r="C1179" s="15">
        <v>6</v>
      </c>
      <c r="D1179" s="16">
        <v>18</v>
      </c>
      <c r="E1179" s="16"/>
      <c r="F1179" s="17"/>
      <c r="G1179" s="21"/>
      <c r="H1179" s="21"/>
      <c r="I1179" s="4">
        <v>18</v>
      </c>
      <c r="J1179" s="4">
        <v>0.3</v>
      </c>
      <c r="K1179" s="4"/>
      <c r="L1179" s="16"/>
      <c r="M1179" s="4"/>
      <c r="N1179" s="4"/>
      <c r="O1179" s="4"/>
      <c r="P1179" s="4"/>
      <c r="Q1179" s="4"/>
      <c r="R1179" s="4"/>
      <c r="S1179" s="4">
        <v>0</v>
      </c>
      <c r="T1179" s="4">
        <v>0</v>
      </c>
      <c r="U1179" s="4">
        <v>0.3</v>
      </c>
      <c r="V1179" s="4">
        <v>11.7</v>
      </c>
      <c r="W1179" s="4">
        <v>12</v>
      </c>
      <c r="X1179" s="4">
        <v>12</v>
      </c>
      <c r="Y1179" s="4"/>
      <c r="Z1179" s="4">
        <v>665.6</v>
      </c>
      <c r="AA1179" s="4">
        <v>650</v>
      </c>
      <c r="AB1179" s="18"/>
      <c r="AC1179" s="18">
        <v>22</v>
      </c>
      <c r="AD1179" s="28"/>
      <c r="AE1179" s="26"/>
      <c r="AF1179" s="28"/>
    </row>
    <row r="1180" spans="1:32" ht="13.5" customHeight="1" x14ac:dyDescent="0.25">
      <c r="A1180" s="14">
        <v>45809</v>
      </c>
      <c r="B1180" s="14" t="s">
        <v>47</v>
      </c>
      <c r="C1180" s="15">
        <v>6</v>
      </c>
      <c r="D1180" s="16"/>
      <c r="E1180" s="16"/>
      <c r="F1180" s="17"/>
      <c r="G1180" s="21"/>
      <c r="H1180" s="21"/>
      <c r="I1180" s="4">
        <v>0</v>
      </c>
      <c r="J1180" s="4">
        <v>0</v>
      </c>
      <c r="K1180" s="4"/>
      <c r="L1180" s="16"/>
      <c r="M1180" s="4"/>
      <c r="N1180" s="4"/>
      <c r="O1180" s="4"/>
      <c r="P1180" s="4"/>
      <c r="Q1180" s="4"/>
      <c r="R1180" s="4"/>
      <c r="S1180" s="4">
        <v>0</v>
      </c>
      <c r="T1180" s="4">
        <v>0</v>
      </c>
      <c r="U1180" s="4">
        <v>0</v>
      </c>
      <c r="V1180" s="4">
        <v>12</v>
      </c>
      <c r="W1180" s="4">
        <v>12</v>
      </c>
      <c r="X1180" s="4">
        <v>18</v>
      </c>
      <c r="Y1180" s="4"/>
      <c r="Z1180" s="4">
        <v>547.6</v>
      </c>
      <c r="AA1180" s="4">
        <v>550</v>
      </c>
      <c r="AB1180" s="18"/>
      <c r="AC1180" s="18">
        <v>22</v>
      </c>
      <c r="AD1180" s="28"/>
      <c r="AE1180" s="26"/>
      <c r="AF1180" s="28"/>
    </row>
    <row r="1181" spans="1:32" ht="13.5" customHeight="1" x14ac:dyDescent="0.25">
      <c r="A1181" s="14">
        <v>45809</v>
      </c>
      <c r="B1181" s="14" t="s">
        <v>46</v>
      </c>
      <c r="C1181" s="15">
        <v>7</v>
      </c>
      <c r="D1181" s="16">
        <v>9</v>
      </c>
      <c r="E1181" s="16"/>
      <c r="F1181" s="17"/>
      <c r="G1181" s="21"/>
      <c r="H1181" s="21"/>
      <c r="I1181" s="4">
        <v>9</v>
      </c>
      <c r="J1181" s="4">
        <v>0.15</v>
      </c>
      <c r="K1181" s="4"/>
      <c r="L1181" s="16"/>
      <c r="M1181" s="4"/>
      <c r="N1181" s="4"/>
      <c r="O1181" s="4"/>
      <c r="P1181" s="4"/>
      <c r="Q1181" s="4"/>
      <c r="R1181" s="4"/>
      <c r="S1181" s="4">
        <v>0</v>
      </c>
      <c r="T1181" s="4">
        <v>0</v>
      </c>
      <c r="U1181" s="4">
        <v>0.15</v>
      </c>
      <c r="V1181" s="4">
        <v>11.85</v>
      </c>
      <c r="W1181" s="4">
        <v>12</v>
      </c>
      <c r="X1181" s="4">
        <v>0</v>
      </c>
      <c r="Y1181" s="4"/>
      <c r="Z1181" s="4">
        <v>360.6</v>
      </c>
      <c r="AA1181" s="4">
        <v>350</v>
      </c>
      <c r="AB1181" s="18"/>
      <c r="AC1181" s="18">
        <v>22</v>
      </c>
      <c r="AD1181" s="28"/>
      <c r="AE1181" s="26"/>
      <c r="AF1181" s="28"/>
    </row>
    <row r="1182" spans="1:32" ht="13.5" customHeight="1" x14ac:dyDescent="0.25">
      <c r="A1182" s="14">
        <v>45809</v>
      </c>
      <c r="B1182" s="14" t="s">
        <v>47</v>
      </c>
      <c r="C1182" s="15">
        <v>7</v>
      </c>
      <c r="D1182" s="16">
        <v>3</v>
      </c>
      <c r="E1182" s="16"/>
      <c r="F1182" s="17"/>
      <c r="G1182" s="21"/>
      <c r="H1182" s="21"/>
      <c r="I1182" s="4">
        <v>3</v>
      </c>
      <c r="J1182" s="4">
        <v>0.05</v>
      </c>
      <c r="K1182" s="4"/>
      <c r="L1182" s="16"/>
      <c r="M1182" s="4"/>
      <c r="N1182" s="4"/>
      <c r="O1182" s="4"/>
      <c r="P1182" s="4"/>
      <c r="Q1182" s="4"/>
      <c r="R1182" s="4"/>
      <c r="S1182" s="4">
        <v>0</v>
      </c>
      <c r="T1182" s="4">
        <v>0</v>
      </c>
      <c r="U1182" s="4">
        <v>0.05</v>
      </c>
      <c r="V1182" s="4">
        <v>11.95</v>
      </c>
      <c r="W1182" s="4">
        <v>12</v>
      </c>
      <c r="X1182" s="4">
        <v>0</v>
      </c>
      <c r="Y1182" s="4"/>
      <c r="Z1182" s="4">
        <v>380.12</v>
      </c>
      <c r="AA1182" s="4">
        <v>350</v>
      </c>
      <c r="AB1182" s="18"/>
      <c r="AC1182" s="18">
        <v>22</v>
      </c>
      <c r="AD1182" s="28"/>
      <c r="AE1182" s="26"/>
      <c r="AF1182" s="28"/>
    </row>
    <row r="1183" spans="1:32" ht="13.5" customHeight="1" x14ac:dyDescent="0.25">
      <c r="A1183" s="14">
        <v>45810</v>
      </c>
      <c r="B1183" s="14" t="s">
        <v>46</v>
      </c>
      <c r="C1183" s="15">
        <v>1</v>
      </c>
      <c r="D1183" s="16"/>
      <c r="E1183" s="16"/>
      <c r="F1183" s="17"/>
      <c r="G1183" s="21"/>
      <c r="H1183" s="21"/>
      <c r="I1183" s="4">
        <v>0</v>
      </c>
      <c r="J1183" s="4">
        <v>0</v>
      </c>
      <c r="K1183" s="4"/>
      <c r="L1183" s="16"/>
      <c r="M1183" s="4"/>
      <c r="N1183" s="4"/>
      <c r="O1183" s="4"/>
      <c r="P1183" s="4"/>
      <c r="Q1183" s="4"/>
      <c r="R1183" s="4"/>
      <c r="S1183" s="4">
        <v>0</v>
      </c>
      <c r="T1183" s="4">
        <v>0</v>
      </c>
      <c r="U1183" s="4">
        <v>0</v>
      </c>
      <c r="V1183" s="4">
        <v>12</v>
      </c>
      <c r="W1183" s="4">
        <v>12</v>
      </c>
      <c r="X1183" s="4">
        <v>0</v>
      </c>
      <c r="Y1183" s="4">
        <v>1754</v>
      </c>
      <c r="Z1183" s="4">
        <v>149.99999999999997</v>
      </c>
      <c r="AA1183" s="4">
        <v>150</v>
      </c>
      <c r="AB1183" s="18">
        <v>372</v>
      </c>
      <c r="AC1183" s="18">
        <v>24</v>
      </c>
      <c r="AD1183" s="28"/>
      <c r="AE1183" s="26"/>
      <c r="AF1183" s="28"/>
    </row>
    <row r="1184" spans="1:32" ht="13.5" customHeight="1" x14ac:dyDescent="0.25">
      <c r="A1184" s="14">
        <v>45810</v>
      </c>
      <c r="B1184" s="14" t="s">
        <v>47</v>
      </c>
      <c r="C1184" s="15">
        <v>1</v>
      </c>
      <c r="D1184" s="16"/>
      <c r="E1184" s="16"/>
      <c r="F1184" s="17"/>
      <c r="G1184" s="21"/>
      <c r="H1184" s="21"/>
      <c r="I1184" s="4">
        <v>0</v>
      </c>
      <c r="J1184" s="4">
        <v>0</v>
      </c>
      <c r="K1184" s="4"/>
      <c r="L1184" s="16"/>
      <c r="M1184" s="4"/>
      <c r="N1184" s="4"/>
      <c r="O1184" s="4"/>
      <c r="P1184" s="4"/>
      <c r="Q1184" s="4"/>
      <c r="R1184" s="4"/>
      <c r="S1184" s="4">
        <v>0</v>
      </c>
      <c r="T1184" s="4">
        <v>0</v>
      </c>
      <c r="U1184" s="4">
        <v>0</v>
      </c>
      <c r="V1184" s="4">
        <v>12</v>
      </c>
      <c r="W1184" s="4">
        <v>12</v>
      </c>
      <c r="X1184" s="4">
        <v>0</v>
      </c>
      <c r="Y1184" s="4"/>
      <c r="Z1184" s="4">
        <v>135.69999999999999</v>
      </c>
      <c r="AA1184" s="4">
        <v>150</v>
      </c>
      <c r="AB1184" s="18"/>
      <c r="AC1184" s="18">
        <v>24</v>
      </c>
      <c r="AD1184" s="28"/>
      <c r="AE1184" s="26"/>
      <c r="AF1184" s="28"/>
    </row>
    <row r="1185" spans="1:32" ht="13.5" customHeight="1" x14ac:dyDescent="0.25">
      <c r="A1185" s="14">
        <v>45810</v>
      </c>
      <c r="B1185" s="14" t="s">
        <v>46</v>
      </c>
      <c r="C1185" s="15">
        <v>4</v>
      </c>
      <c r="D1185" s="16"/>
      <c r="E1185" s="16"/>
      <c r="F1185" s="17"/>
      <c r="G1185" s="21"/>
      <c r="H1185" s="21"/>
      <c r="I1185" s="4">
        <v>0</v>
      </c>
      <c r="J1185" s="4">
        <v>0</v>
      </c>
      <c r="K1185" s="4"/>
      <c r="L1185" s="16"/>
      <c r="M1185" s="4"/>
      <c r="N1185" s="4"/>
      <c r="O1185" s="4"/>
      <c r="P1185" s="4"/>
      <c r="Q1185" s="4"/>
      <c r="R1185" s="4"/>
      <c r="S1185" s="4">
        <v>0</v>
      </c>
      <c r="T1185" s="4">
        <v>0</v>
      </c>
      <c r="U1185" s="4">
        <v>0</v>
      </c>
      <c r="V1185" s="4">
        <v>12</v>
      </c>
      <c r="W1185" s="4">
        <v>12</v>
      </c>
      <c r="X1185" s="4">
        <v>0</v>
      </c>
      <c r="Y1185" s="4"/>
      <c r="Z1185" s="4">
        <v>392.3</v>
      </c>
      <c r="AA1185" s="4">
        <v>400</v>
      </c>
      <c r="AB1185" s="18"/>
      <c r="AC1185" s="18">
        <v>24</v>
      </c>
      <c r="AD1185" s="28"/>
      <c r="AE1185" s="26"/>
      <c r="AF1185" s="28"/>
    </row>
    <row r="1186" spans="1:32" ht="13.5" customHeight="1" x14ac:dyDescent="0.25">
      <c r="A1186" s="14">
        <v>45810</v>
      </c>
      <c r="B1186" s="14" t="s">
        <v>47</v>
      </c>
      <c r="C1186" s="15">
        <v>4</v>
      </c>
      <c r="D1186" s="16"/>
      <c r="E1186" s="16"/>
      <c r="F1186" s="17"/>
      <c r="G1186" s="21"/>
      <c r="H1186" s="21"/>
      <c r="I1186" s="4">
        <v>0</v>
      </c>
      <c r="J1186" s="4">
        <v>0</v>
      </c>
      <c r="K1186" s="4"/>
      <c r="L1186" s="16"/>
      <c r="M1186" s="4"/>
      <c r="N1186" s="4"/>
      <c r="O1186" s="4"/>
      <c r="P1186" s="4"/>
      <c r="Q1186" s="4"/>
      <c r="R1186" s="4"/>
      <c r="S1186" s="4">
        <v>0</v>
      </c>
      <c r="T1186" s="4">
        <v>0</v>
      </c>
      <c r="U1186" s="4">
        <v>0</v>
      </c>
      <c r="V1186" s="4">
        <v>12</v>
      </c>
      <c r="W1186" s="4">
        <v>12</v>
      </c>
      <c r="X1186" s="4">
        <v>0</v>
      </c>
      <c r="Y1186" s="4"/>
      <c r="Z1186" s="4">
        <v>370</v>
      </c>
      <c r="AA1186" s="4">
        <v>400</v>
      </c>
      <c r="AB1186" s="18"/>
      <c r="AC1186" s="18">
        <v>24</v>
      </c>
      <c r="AD1186" s="28"/>
      <c r="AE1186" s="26"/>
      <c r="AF1186" s="28"/>
    </row>
    <row r="1187" spans="1:32" ht="13.5" customHeight="1" x14ac:dyDescent="0.25">
      <c r="A1187" s="14">
        <v>45810</v>
      </c>
      <c r="B1187" s="14" t="s">
        <v>46</v>
      </c>
      <c r="C1187" s="15">
        <v>6</v>
      </c>
      <c r="D1187" s="16"/>
      <c r="E1187" s="16"/>
      <c r="F1187" s="17"/>
      <c r="G1187" s="21"/>
      <c r="H1187" s="21"/>
      <c r="I1187" s="4">
        <v>0</v>
      </c>
      <c r="J1187" s="4">
        <v>0</v>
      </c>
      <c r="K1187" s="4"/>
      <c r="L1187" s="16"/>
      <c r="M1187" s="4"/>
      <c r="N1187" s="4"/>
      <c r="O1187" s="4"/>
      <c r="P1187" s="4"/>
      <c r="Q1187" s="4"/>
      <c r="R1187" s="4"/>
      <c r="S1187" s="4">
        <v>0</v>
      </c>
      <c r="T1187" s="4">
        <v>0</v>
      </c>
      <c r="U1187" s="4">
        <v>0</v>
      </c>
      <c r="V1187" s="4">
        <v>12</v>
      </c>
      <c r="W1187" s="4">
        <v>12</v>
      </c>
      <c r="X1187" s="4">
        <v>31</v>
      </c>
      <c r="Y1187" s="4"/>
      <c r="Z1187" s="4">
        <v>630.70000000000005</v>
      </c>
      <c r="AA1187" s="4">
        <v>650</v>
      </c>
      <c r="AB1187" s="18"/>
      <c r="AC1187" s="18">
        <v>24</v>
      </c>
      <c r="AD1187" s="28"/>
      <c r="AE1187" s="26"/>
      <c r="AF1187" s="28"/>
    </row>
    <row r="1188" spans="1:32" ht="13.5" customHeight="1" x14ac:dyDescent="0.25">
      <c r="A1188" s="14">
        <v>45810</v>
      </c>
      <c r="B1188" s="14" t="s">
        <v>47</v>
      </c>
      <c r="C1188" s="15">
        <v>6</v>
      </c>
      <c r="D1188" s="16">
        <v>25</v>
      </c>
      <c r="E1188" s="16"/>
      <c r="F1188" s="17"/>
      <c r="G1188" s="21"/>
      <c r="H1188" s="21"/>
      <c r="I1188" s="4">
        <v>25</v>
      </c>
      <c r="J1188" s="4">
        <v>0.41666666666666669</v>
      </c>
      <c r="K1188" s="4"/>
      <c r="L1188" s="16"/>
      <c r="M1188" s="4"/>
      <c r="N1188" s="4">
        <v>25</v>
      </c>
      <c r="O1188" s="4"/>
      <c r="P1188" s="4"/>
      <c r="Q1188" s="4"/>
      <c r="R1188" s="4"/>
      <c r="S1188" s="4">
        <v>25</v>
      </c>
      <c r="T1188" s="4">
        <v>0.41666666666666669</v>
      </c>
      <c r="U1188" s="4">
        <v>0.83333333333333337</v>
      </c>
      <c r="V1188" s="4">
        <v>11.166666666666666</v>
      </c>
      <c r="W1188" s="4">
        <v>12</v>
      </c>
      <c r="X1188" s="4">
        <v>42</v>
      </c>
      <c r="Y1188" s="4"/>
      <c r="Z1188" s="4">
        <v>703.80000000000007</v>
      </c>
      <c r="AA1188" s="4">
        <v>700</v>
      </c>
      <c r="AB1188" s="18"/>
      <c r="AC1188" s="18">
        <v>24</v>
      </c>
      <c r="AD1188" s="28"/>
      <c r="AE1188" s="26"/>
      <c r="AF1188" s="28"/>
    </row>
    <row r="1189" spans="1:32" ht="13.5" customHeight="1" x14ac:dyDescent="0.25">
      <c r="A1189" s="14">
        <v>45810</v>
      </c>
      <c r="B1189" s="14" t="s">
        <v>46</v>
      </c>
      <c r="C1189" s="15">
        <v>7</v>
      </c>
      <c r="D1189" s="16">
        <v>11</v>
      </c>
      <c r="E1189" s="16"/>
      <c r="F1189" s="17"/>
      <c r="G1189" s="21"/>
      <c r="H1189" s="21"/>
      <c r="I1189" s="4">
        <v>11</v>
      </c>
      <c r="J1189" s="4">
        <v>0.18333333333333332</v>
      </c>
      <c r="K1189" s="4"/>
      <c r="L1189" s="16"/>
      <c r="M1189" s="4"/>
      <c r="N1189" s="4"/>
      <c r="O1189" s="4"/>
      <c r="P1189" s="4"/>
      <c r="Q1189" s="4"/>
      <c r="R1189" s="4"/>
      <c r="S1189" s="4">
        <v>0</v>
      </c>
      <c r="T1189" s="4">
        <v>0</v>
      </c>
      <c r="U1189" s="4">
        <v>0.18333333333333332</v>
      </c>
      <c r="V1189" s="4">
        <v>11.816666666666666</v>
      </c>
      <c r="W1189" s="4">
        <v>12</v>
      </c>
      <c r="X1189" s="4">
        <v>6</v>
      </c>
      <c r="Y1189" s="4"/>
      <c r="Z1189" s="4">
        <v>399.59999999999997</v>
      </c>
      <c r="AA1189" s="4">
        <v>400</v>
      </c>
      <c r="AB1189" s="18"/>
      <c r="AC1189" s="18">
        <v>24</v>
      </c>
      <c r="AD1189" s="28"/>
      <c r="AE1189" s="26"/>
      <c r="AF1189" s="28"/>
    </row>
    <row r="1190" spans="1:32" ht="13.5" customHeight="1" x14ac:dyDescent="0.25">
      <c r="A1190" s="14">
        <v>45810</v>
      </c>
      <c r="B1190" s="14" t="s">
        <v>47</v>
      </c>
      <c r="C1190" s="15">
        <v>7</v>
      </c>
      <c r="D1190" s="16"/>
      <c r="E1190" s="16"/>
      <c r="F1190" s="17"/>
      <c r="G1190" s="21"/>
      <c r="H1190" s="21"/>
      <c r="I1190" s="4">
        <v>0</v>
      </c>
      <c r="J1190" s="4">
        <v>0</v>
      </c>
      <c r="K1190" s="4"/>
      <c r="L1190" s="16"/>
      <c r="M1190" s="4"/>
      <c r="N1190" s="4"/>
      <c r="O1190" s="4"/>
      <c r="P1190" s="4"/>
      <c r="Q1190" s="4"/>
      <c r="R1190" s="4"/>
      <c r="S1190" s="4">
        <v>0</v>
      </c>
      <c r="T1190" s="4">
        <v>0</v>
      </c>
      <c r="U1190" s="4">
        <v>0</v>
      </c>
      <c r="V1190" s="4">
        <v>12</v>
      </c>
      <c r="W1190" s="4">
        <v>12</v>
      </c>
      <c r="X1190" s="4">
        <v>18</v>
      </c>
      <c r="Y1190" s="4"/>
      <c r="Z1190" s="4">
        <v>343.8</v>
      </c>
      <c r="AA1190" s="4">
        <v>350</v>
      </c>
      <c r="AB1190" s="18"/>
      <c r="AC1190" s="18">
        <v>24</v>
      </c>
      <c r="AD1190" s="28"/>
      <c r="AE1190" s="26"/>
      <c r="AF1190" s="28"/>
    </row>
    <row r="1191" spans="1:32" ht="13.5" customHeight="1" x14ac:dyDescent="0.25">
      <c r="A1191" s="14">
        <v>45811</v>
      </c>
      <c r="B1191" s="14" t="s">
        <v>46</v>
      </c>
      <c r="C1191" s="15">
        <v>1</v>
      </c>
      <c r="D1191" s="16"/>
      <c r="E1191" s="16"/>
      <c r="F1191" s="17"/>
      <c r="G1191" s="21"/>
      <c r="H1191" s="21"/>
      <c r="I1191" s="4">
        <v>0</v>
      </c>
      <c r="J1191" s="4">
        <v>0</v>
      </c>
      <c r="K1191" s="4"/>
      <c r="L1191" s="16"/>
      <c r="M1191" s="4"/>
      <c r="N1191" s="4"/>
      <c r="O1191" s="4"/>
      <c r="P1191" s="4"/>
      <c r="Q1191" s="4"/>
      <c r="R1191" s="4"/>
      <c r="S1191" s="4">
        <v>0</v>
      </c>
      <c r="T1191" s="4">
        <v>0</v>
      </c>
      <c r="U1191" s="4">
        <v>0</v>
      </c>
      <c r="V1191" s="4">
        <v>12</v>
      </c>
      <c r="W1191" s="4">
        <v>12</v>
      </c>
      <c r="X1191" s="4">
        <v>0</v>
      </c>
      <c r="Y1191" s="4">
        <v>1596</v>
      </c>
      <c r="Z1191" s="4">
        <v>138.80000000000001</v>
      </c>
      <c r="AA1191" s="4">
        <v>150</v>
      </c>
      <c r="AB1191" s="18">
        <v>372</v>
      </c>
      <c r="AC1191" s="18">
        <v>24</v>
      </c>
      <c r="AD1191" s="28"/>
      <c r="AE1191" s="26"/>
      <c r="AF1191" s="28"/>
    </row>
    <row r="1192" spans="1:32" ht="13.5" customHeight="1" x14ac:dyDescent="0.25">
      <c r="A1192" s="14">
        <v>45811</v>
      </c>
      <c r="B1192" s="14" t="s">
        <v>47</v>
      </c>
      <c r="C1192" s="15">
        <v>1</v>
      </c>
      <c r="D1192" s="16"/>
      <c r="E1192" s="16"/>
      <c r="F1192" s="17"/>
      <c r="G1192" s="21"/>
      <c r="H1192" s="21"/>
      <c r="I1192" s="4">
        <v>0</v>
      </c>
      <c r="J1192" s="4">
        <v>0</v>
      </c>
      <c r="K1192" s="4"/>
      <c r="L1192" s="16"/>
      <c r="M1192" s="4"/>
      <c r="N1192" s="4"/>
      <c r="O1192" s="4"/>
      <c r="P1192" s="4"/>
      <c r="Q1192" s="4"/>
      <c r="R1192" s="4"/>
      <c r="S1192" s="4">
        <v>0</v>
      </c>
      <c r="T1192" s="4">
        <v>0</v>
      </c>
      <c r="U1192" s="4">
        <v>0</v>
      </c>
      <c r="V1192" s="4">
        <v>12</v>
      </c>
      <c r="W1192" s="4">
        <v>12</v>
      </c>
      <c r="X1192" s="4">
        <v>0</v>
      </c>
      <c r="Y1192" s="4"/>
      <c r="Z1192" s="4">
        <v>108.39999999999999</v>
      </c>
      <c r="AA1192" s="4">
        <v>100</v>
      </c>
      <c r="AB1192" s="18"/>
      <c r="AC1192" s="18">
        <v>24</v>
      </c>
      <c r="AD1192" s="28"/>
      <c r="AE1192" s="26"/>
      <c r="AF1192" s="28"/>
    </row>
    <row r="1193" spans="1:32" ht="13.5" customHeight="1" x14ac:dyDescent="0.25">
      <c r="A1193" s="14">
        <v>45811</v>
      </c>
      <c r="B1193" s="14" t="s">
        <v>46</v>
      </c>
      <c r="C1193" s="15">
        <v>4</v>
      </c>
      <c r="D1193" s="16">
        <v>5</v>
      </c>
      <c r="E1193" s="16"/>
      <c r="F1193" s="17"/>
      <c r="G1193" s="21"/>
      <c r="H1193" s="21"/>
      <c r="I1193" s="4">
        <v>5</v>
      </c>
      <c r="J1193" s="4">
        <v>8.3333333333333329E-2</v>
      </c>
      <c r="K1193" s="4"/>
      <c r="L1193" s="16">
        <v>5</v>
      </c>
      <c r="M1193" s="4"/>
      <c r="N1193" s="4"/>
      <c r="O1193" s="4"/>
      <c r="P1193" s="4">
        <v>30</v>
      </c>
      <c r="Q1193" s="4"/>
      <c r="R1193" s="4"/>
      <c r="S1193" s="4">
        <v>35</v>
      </c>
      <c r="T1193" s="4">
        <v>0.58333333333333337</v>
      </c>
      <c r="U1193" s="4">
        <v>0.66666666666666674</v>
      </c>
      <c r="V1193" s="4">
        <v>11.333333333333334</v>
      </c>
      <c r="W1193" s="4">
        <v>12</v>
      </c>
      <c r="X1193" s="4">
        <v>0</v>
      </c>
      <c r="Y1193" s="4"/>
      <c r="Z1193" s="4">
        <v>350.3</v>
      </c>
      <c r="AA1193" s="4">
        <v>350</v>
      </c>
      <c r="AB1193" s="18"/>
      <c r="AC1193" s="18">
        <v>24</v>
      </c>
      <c r="AD1193" s="28"/>
      <c r="AE1193" s="26"/>
      <c r="AF1193" s="28"/>
    </row>
    <row r="1194" spans="1:32" ht="13.5" customHeight="1" x14ac:dyDescent="0.25">
      <c r="A1194" s="14">
        <v>45811</v>
      </c>
      <c r="B1194" s="14" t="s">
        <v>47</v>
      </c>
      <c r="C1194" s="15">
        <v>4</v>
      </c>
      <c r="D1194" s="16"/>
      <c r="E1194" s="16"/>
      <c r="F1194" s="17"/>
      <c r="G1194" s="21"/>
      <c r="H1194" s="21"/>
      <c r="I1194" s="4">
        <v>0</v>
      </c>
      <c r="J1194" s="4">
        <v>0</v>
      </c>
      <c r="K1194" s="4"/>
      <c r="L1194" s="16"/>
      <c r="M1194" s="4"/>
      <c r="N1194" s="4"/>
      <c r="O1194" s="4"/>
      <c r="P1194" s="4"/>
      <c r="Q1194" s="4"/>
      <c r="R1194" s="4"/>
      <c r="S1194" s="4">
        <v>0</v>
      </c>
      <c r="T1194" s="4">
        <v>0</v>
      </c>
      <c r="U1194" s="4">
        <v>0</v>
      </c>
      <c r="V1194" s="4">
        <v>12</v>
      </c>
      <c r="W1194" s="4">
        <v>12</v>
      </c>
      <c r="X1194" s="4">
        <v>18</v>
      </c>
      <c r="Y1194" s="4"/>
      <c r="Z1194" s="4">
        <v>279.90000000000003</v>
      </c>
      <c r="AA1194" s="4">
        <v>300</v>
      </c>
      <c r="AB1194" s="18"/>
      <c r="AC1194" s="18">
        <v>24</v>
      </c>
      <c r="AD1194" s="28"/>
      <c r="AE1194" s="26"/>
      <c r="AF1194" s="28"/>
    </row>
    <row r="1195" spans="1:32" ht="13.5" customHeight="1" x14ac:dyDescent="0.25">
      <c r="A1195" s="14">
        <v>45811</v>
      </c>
      <c r="B1195" s="14" t="s">
        <v>46</v>
      </c>
      <c r="C1195" s="15">
        <v>6</v>
      </c>
      <c r="D1195" s="16">
        <v>5</v>
      </c>
      <c r="E1195" s="16"/>
      <c r="F1195" s="17"/>
      <c r="G1195" s="21"/>
      <c r="H1195" s="21"/>
      <c r="I1195" s="4">
        <v>5</v>
      </c>
      <c r="J1195" s="4">
        <v>8.3333333333333329E-2</v>
      </c>
      <c r="K1195" s="4"/>
      <c r="L1195" s="16"/>
      <c r="M1195" s="4"/>
      <c r="N1195" s="4">
        <v>15</v>
      </c>
      <c r="O1195" s="4"/>
      <c r="P1195" s="4"/>
      <c r="Q1195" s="4"/>
      <c r="R1195" s="4"/>
      <c r="S1195" s="4">
        <v>15</v>
      </c>
      <c r="T1195" s="4">
        <v>0.25</v>
      </c>
      <c r="U1195" s="4">
        <v>0.33333333333333331</v>
      </c>
      <c r="V1195" s="4">
        <v>11.666666666666666</v>
      </c>
      <c r="W1195" s="4">
        <v>12</v>
      </c>
      <c r="X1195" s="4">
        <v>31</v>
      </c>
      <c r="Y1195" s="4"/>
      <c r="Z1195" s="4">
        <v>819.5</v>
      </c>
      <c r="AA1195" s="4">
        <v>800</v>
      </c>
      <c r="AB1195" s="18"/>
      <c r="AC1195" s="18">
        <v>24</v>
      </c>
      <c r="AD1195" s="28"/>
      <c r="AE1195" s="26"/>
      <c r="AF1195" s="28"/>
    </row>
    <row r="1196" spans="1:32" ht="13.5" customHeight="1" x14ac:dyDescent="0.25">
      <c r="A1196" s="14">
        <v>45811</v>
      </c>
      <c r="B1196" s="14" t="s">
        <v>47</v>
      </c>
      <c r="C1196" s="15">
        <v>6</v>
      </c>
      <c r="D1196" s="16"/>
      <c r="E1196" s="16"/>
      <c r="F1196" s="17"/>
      <c r="G1196" s="21"/>
      <c r="H1196" s="21"/>
      <c r="I1196" s="4">
        <v>0</v>
      </c>
      <c r="J1196" s="4">
        <v>0</v>
      </c>
      <c r="K1196" s="4"/>
      <c r="L1196" s="16"/>
      <c r="M1196" s="4"/>
      <c r="N1196" s="4"/>
      <c r="O1196" s="4"/>
      <c r="P1196" s="4"/>
      <c r="Q1196" s="4"/>
      <c r="R1196" s="4"/>
      <c r="S1196" s="4">
        <v>0</v>
      </c>
      <c r="T1196" s="4">
        <v>0</v>
      </c>
      <c r="U1196" s="4">
        <v>0</v>
      </c>
      <c r="V1196" s="4">
        <v>12</v>
      </c>
      <c r="W1196" s="4">
        <v>12</v>
      </c>
      <c r="X1196" s="4">
        <v>18</v>
      </c>
      <c r="Y1196" s="4"/>
      <c r="Z1196" s="4">
        <v>395.8</v>
      </c>
      <c r="AA1196" s="4">
        <v>400</v>
      </c>
      <c r="AB1196" s="18"/>
      <c r="AC1196" s="18">
        <v>24</v>
      </c>
      <c r="AD1196" s="28"/>
      <c r="AE1196" s="26"/>
      <c r="AF1196" s="28"/>
    </row>
    <row r="1197" spans="1:32" ht="13.5" customHeight="1" x14ac:dyDescent="0.25">
      <c r="A1197" s="14">
        <v>45811</v>
      </c>
      <c r="B1197" s="14" t="s">
        <v>46</v>
      </c>
      <c r="C1197" s="15">
        <v>7</v>
      </c>
      <c r="D1197" s="16"/>
      <c r="E1197" s="16"/>
      <c r="F1197" s="17"/>
      <c r="G1197" s="21"/>
      <c r="H1197" s="21"/>
      <c r="I1197" s="4">
        <v>0</v>
      </c>
      <c r="J1197" s="4">
        <v>0</v>
      </c>
      <c r="K1197" s="4"/>
      <c r="L1197" s="16">
        <v>25</v>
      </c>
      <c r="M1197" s="4"/>
      <c r="N1197" s="4"/>
      <c r="O1197" s="4"/>
      <c r="P1197" s="4"/>
      <c r="Q1197" s="4"/>
      <c r="R1197" s="4"/>
      <c r="S1197" s="4">
        <v>25</v>
      </c>
      <c r="T1197" s="4">
        <v>0.41666666666666669</v>
      </c>
      <c r="U1197" s="4">
        <v>0.41666666666666669</v>
      </c>
      <c r="V1197" s="4">
        <v>11.583333333333334</v>
      </c>
      <c r="W1197" s="4">
        <v>12</v>
      </c>
      <c r="X1197" s="4">
        <v>4.8</v>
      </c>
      <c r="Y1197" s="4"/>
      <c r="Z1197" s="4">
        <v>304.10000000000002</v>
      </c>
      <c r="AA1197" s="4">
        <v>300</v>
      </c>
      <c r="AB1197" s="18"/>
      <c r="AC1197" s="18">
        <v>24</v>
      </c>
      <c r="AD1197" s="28"/>
      <c r="AE1197" s="26"/>
      <c r="AF1197" s="28"/>
    </row>
    <row r="1198" spans="1:32" ht="13.5" customHeight="1" x14ac:dyDescent="0.25">
      <c r="A1198" s="14">
        <v>45811</v>
      </c>
      <c r="B1198" s="14" t="s">
        <v>47</v>
      </c>
      <c r="C1198" s="15">
        <v>7</v>
      </c>
      <c r="D1198" s="16">
        <v>3</v>
      </c>
      <c r="E1198" s="16"/>
      <c r="F1198" s="17"/>
      <c r="G1198" s="21"/>
      <c r="H1198" s="21"/>
      <c r="I1198" s="4">
        <v>3</v>
      </c>
      <c r="J1198" s="4">
        <v>0.05</v>
      </c>
      <c r="K1198" s="4"/>
      <c r="L1198" s="16"/>
      <c r="M1198" s="4"/>
      <c r="N1198" s="4"/>
      <c r="O1198" s="4"/>
      <c r="P1198" s="4"/>
      <c r="Q1198" s="4"/>
      <c r="R1198" s="4"/>
      <c r="S1198" s="4">
        <v>0</v>
      </c>
      <c r="T1198" s="4">
        <v>0</v>
      </c>
      <c r="U1198" s="4">
        <v>0.05</v>
      </c>
      <c r="V1198" s="4">
        <v>11.95</v>
      </c>
      <c r="W1198" s="4">
        <v>12</v>
      </c>
      <c r="X1198" s="4">
        <v>4.8</v>
      </c>
      <c r="Y1198" s="4"/>
      <c r="Z1198" s="4">
        <v>418.44</v>
      </c>
      <c r="AA1198" s="4">
        <v>400</v>
      </c>
      <c r="AB1198" s="18"/>
      <c r="AC1198" s="18">
        <v>24</v>
      </c>
      <c r="AD1198" s="28"/>
      <c r="AE1198" s="26"/>
      <c r="AF1198" s="28"/>
    </row>
    <row r="1199" spans="1:32" ht="13.5" customHeight="1" x14ac:dyDescent="0.25">
      <c r="A1199" s="14">
        <v>45812</v>
      </c>
      <c r="B1199" s="14" t="s">
        <v>46</v>
      </c>
      <c r="C1199" s="15">
        <v>4</v>
      </c>
      <c r="D1199" s="16"/>
      <c r="E1199" s="16"/>
      <c r="F1199" s="17"/>
      <c r="G1199" s="21"/>
      <c r="H1199" s="21"/>
      <c r="I1199" s="4">
        <v>0</v>
      </c>
      <c r="J1199" s="4">
        <v>0</v>
      </c>
      <c r="K1199" s="4"/>
      <c r="L1199" s="16"/>
      <c r="M1199" s="4"/>
      <c r="N1199" s="4"/>
      <c r="O1199" s="4"/>
      <c r="P1199" s="4"/>
      <c r="Q1199" s="4"/>
      <c r="R1199" s="4"/>
      <c r="S1199" s="4">
        <v>0</v>
      </c>
      <c r="T1199" s="4">
        <v>0</v>
      </c>
      <c r="U1199" s="4">
        <v>0</v>
      </c>
      <c r="V1199" s="4">
        <v>12</v>
      </c>
      <c r="W1199" s="4">
        <v>12</v>
      </c>
      <c r="X1199" s="4">
        <v>0</v>
      </c>
      <c r="Y1199" s="4">
        <v>1467</v>
      </c>
      <c r="Z1199" s="4">
        <v>394.20000000000005</v>
      </c>
      <c r="AA1199" s="4">
        <v>450</v>
      </c>
      <c r="AB1199" s="18">
        <v>372</v>
      </c>
      <c r="AC1199" s="18">
        <v>24</v>
      </c>
      <c r="AD1199" s="28"/>
      <c r="AE1199" s="26"/>
      <c r="AF1199" s="28"/>
    </row>
    <row r="1200" spans="1:32" ht="13.5" customHeight="1" x14ac:dyDescent="0.25">
      <c r="A1200" s="14">
        <v>45812</v>
      </c>
      <c r="B1200" s="14" t="s">
        <v>47</v>
      </c>
      <c r="C1200" s="15">
        <v>4</v>
      </c>
      <c r="D1200" s="16"/>
      <c r="E1200" s="16"/>
      <c r="F1200" s="17"/>
      <c r="G1200" s="21"/>
      <c r="H1200" s="21"/>
      <c r="I1200" s="4">
        <v>0</v>
      </c>
      <c r="J1200" s="4">
        <v>0</v>
      </c>
      <c r="K1200" s="4"/>
      <c r="L1200" s="16"/>
      <c r="M1200" s="4"/>
      <c r="N1200" s="4"/>
      <c r="O1200" s="4"/>
      <c r="P1200" s="4"/>
      <c r="Q1200" s="4"/>
      <c r="R1200" s="4"/>
      <c r="S1200" s="4">
        <v>0</v>
      </c>
      <c r="T1200" s="4">
        <v>0</v>
      </c>
      <c r="U1200" s="4">
        <v>0</v>
      </c>
      <c r="V1200" s="4">
        <v>12</v>
      </c>
      <c r="W1200" s="4">
        <v>12</v>
      </c>
      <c r="X1200" s="4">
        <v>0</v>
      </c>
      <c r="Y1200" s="4"/>
      <c r="Z1200" s="4">
        <v>361.2</v>
      </c>
      <c r="AA1200" s="4">
        <v>350</v>
      </c>
      <c r="AB1200" s="18"/>
      <c r="AC1200" s="18">
        <v>24</v>
      </c>
      <c r="AD1200" s="28"/>
      <c r="AE1200" s="26"/>
      <c r="AF1200" s="28"/>
    </row>
    <row r="1201" spans="1:32" ht="13.5" customHeight="1" x14ac:dyDescent="0.25">
      <c r="A1201" s="14">
        <v>45812</v>
      </c>
      <c r="B1201" s="14" t="s">
        <v>46</v>
      </c>
      <c r="C1201" s="15">
        <v>6</v>
      </c>
      <c r="D1201" s="16"/>
      <c r="E1201" s="16"/>
      <c r="F1201" s="17"/>
      <c r="G1201" s="21"/>
      <c r="H1201" s="21"/>
      <c r="I1201" s="4">
        <v>0</v>
      </c>
      <c r="J1201" s="4">
        <v>0</v>
      </c>
      <c r="K1201" s="4"/>
      <c r="L1201" s="16"/>
      <c r="M1201" s="4"/>
      <c r="N1201" s="4"/>
      <c r="O1201" s="4"/>
      <c r="P1201" s="4"/>
      <c r="Q1201" s="4"/>
      <c r="R1201" s="4"/>
      <c r="S1201" s="4">
        <v>0</v>
      </c>
      <c r="T1201" s="4">
        <v>0</v>
      </c>
      <c r="U1201" s="4">
        <v>0</v>
      </c>
      <c r="V1201" s="4">
        <v>12</v>
      </c>
      <c r="W1201" s="4">
        <v>12</v>
      </c>
      <c r="X1201" s="4">
        <v>35</v>
      </c>
      <c r="Y1201" s="4"/>
      <c r="Z1201" s="4">
        <v>699.30000000000007</v>
      </c>
      <c r="AA1201" s="4">
        <v>700</v>
      </c>
      <c r="AB1201" s="18"/>
      <c r="AC1201" s="18">
        <v>24</v>
      </c>
      <c r="AD1201" s="28"/>
      <c r="AE1201" s="26"/>
      <c r="AF1201" s="28"/>
    </row>
    <row r="1202" spans="1:32" ht="13.5" customHeight="1" x14ac:dyDescent="0.25">
      <c r="A1202" s="14">
        <v>45812</v>
      </c>
      <c r="B1202" s="14" t="s">
        <v>47</v>
      </c>
      <c r="C1202" s="15">
        <v>6</v>
      </c>
      <c r="D1202" s="16">
        <v>18</v>
      </c>
      <c r="E1202" s="16"/>
      <c r="F1202" s="17"/>
      <c r="G1202" s="21"/>
      <c r="H1202" s="21"/>
      <c r="I1202" s="4">
        <v>18</v>
      </c>
      <c r="J1202" s="4">
        <v>0.3</v>
      </c>
      <c r="K1202" s="4"/>
      <c r="L1202" s="16"/>
      <c r="M1202" s="4"/>
      <c r="N1202" s="4">
        <v>35</v>
      </c>
      <c r="O1202" s="4"/>
      <c r="P1202" s="4"/>
      <c r="Q1202" s="4"/>
      <c r="R1202" s="4"/>
      <c r="S1202" s="4">
        <v>35</v>
      </c>
      <c r="T1202" s="4">
        <v>0.58333333333333337</v>
      </c>
      <c r="U1202" s="4">
        <v>0.8833333333333333</v>
      </c>
      <c r="V1202" s="4">
        <v>11.116666666666667</v>
      </c>
      <c r="W1202" s="4">
        <v>12</v>
      </c>
      <c r="X1202" s="4">
        <v>0</v>
      </c>
      <c r="Y1202" s="4"/>
      <c r="Z1202" s="4">
        <v>685.19999999999993</v>
      </c>
      <c r="AA1202" s="4">
        <v>700</v>
      </c>
      <c r="AB1202" s="18"/>
      <c r="AC1202" s="18">
        <v>24</v>
      </c>
      <c r="AD1202" s="28"/>
      <c r="AE1202" s="26"/>
      <c r="AF1202" s="28"/>
    </row>
    <row r="1203" spans="1:32" ht="13.5" customHeight="1" x14ac:dyDescent="0.25">
      <c r="A1203" s="14">
        <v>45812</v>
      </c>
      <c r="B1203" s="14" t="s">
        <v>46</v>
      </c>
      <c r="C1203" s="15">
        <v>7</v>
      </c>
      <c r="D1203" s="16"/>
      <c r="E1203" s="16"/>
      <c r="F1203" s="17"/>
      <c r="G1203" s="21"/>
      <c r="H1203" s="21"/>
      <c r="I1203" s="4">
        <v>0</v>
      </c>
      <c r="J1203" s="4">
        <v>0</v>
      </c>
      <c r="K1203" s="4"/>
      <c r="L1203" s="16"/>
      <c r="M1203" s="4"/>
      <c r="N1203" s="4"/>
      <c r="O1203" s="4"/>
      <c r="P1203" s="4"/>
      <c r="Q1203" s="4"/>
      <c r="R1203" s="4"/>
      <c r="S1203" s="4">
        <v>0</v>
      </c>
      <c r="T1203" s="4">
        <v>0</v>
      </c>
      <c r="U1203" s="4">
        <v>0</v>
      </c>
      <c r="V1203" s="4">
        <v>12</v>
      </c>
      <c r="W1203" s="4">
        <v>12</v>
      </c>
      <c r="X1203" s="4">
        <v>0</v>
      </c>
      <c r="Y1203" s="4"/>
      <c r="Z1203" s="4">
        <v>311</v>
      </c>
      <c r="AA1203" s="4">
        <v>350</v>
      </c>
      <c r="AB1203" s="18"/>
      <c r="AC1203" s="18">
        <v>24</v>
      </c>
      <c r="AD1203" s="28"/>
      <c r="AE1203" s="26"/>
      <c r="AF1203" s="28"/>
    </row>
    <row r="1204" spans="1:32" ht="13.5" customHeight="1" x14ac:dyDescent="0.25">
      <c r="A1204" s="14">
        <v>45812</v>
      </c>
      <c r="B1204" s="14" t="s">
        <v>47</v>
      </c>
      <c r="C1204" s="15">
        <v>7</v>
      </c>
      <c r="D1204" s="16"/>
      <c r="E1204" s="16"/>
      <c r="F1204" s="17"/>
      <c r="G1204" s="21"/>
      <c r="H1204" s="21"/>
      <c r="I1204" s="4">
        <v>0</v>
      </c>
      <c r="J1204" s="4">
        <v>0</v>
      </c>
      <c r="K1204" s="4"/>
      <c r="L1204" s="16"/>
      <c r="M1204" s="4"/>
      <c r="N1204" s="4"/>
      <c r="O1204" s="4"/>
      <c r="P1204" s="4"/>
      <c r="Q1204" s="4"/>
      <c r="R1204" s="4"/>
      <c r="S1204" s="4">
        <v>0</v>
      </c>
      <c r="T1204" s="4">
        <v>0</v>
      </c>
      <c r="U1204" s="4">
        <v>0</v>
      </c>
      <c r="V1204" s="4">
        <v>12</v>
      </c>
      <c r="W1204" s="4">
        <v>12</v>
      </c>
      <c r="X1204" s="4">
        <v>0</v>
      </c>
      <c r="Y1204" s="4"/>
      <c r="Z1204" s="4">
        <v>255.15000000000003</v>
      </c>
      <c r="AA1204" s="4">
        <v>250</v>
      </c>
      <c r="AB1204" s="18"/>
      <c r="AC1204" s="18">
        <v>24</v>
      </c>
      <c r="AD1204" s="28"/>
      <c r="AE1204" s="26"/>
      <c r="AF1204" s="28"/>
    </row>
    <row r="1205" spans="1:32" ht="13.5" customHeight="1" x14ac:dyDescent="0.25">
      <c r="A1205" s="14">
        <v>45813</v>
      </c>
      <c r="B1205" s="14" t="s">
        <v>46</v>
      </c>
      <c r="C1205" s="15">
        <v>4</v>
      </c>
      <c r="D1205" s="16"/>
      <c r="E1205" s="16"/>
      <c r="F1205" s="17"/>
      <c r="G1205" s="21"/>
      <c r="H1205" s="21"/>
      <c r="I1205" s="4">
        <v>0</v>
      </c>
      <c r="J1205" s="4">
        <v>0</v>
      </c>
      <c r="K1205" s="4"/>
      <c r="L1205" s="16"/>
      <c r="M1205" s="4"/>
      <c r="N1205" s="4"/>
      <c r="O1205" s="4"/>
      <c r="P1205" s="4"/>
      <c r="Q1205" s="4"/>
      <c r="R1205" s="4"/>
      <c r="S1205" s="4">
        <v>0</v>
      </c>
      <c r="T1205" s="4">
        <v>0</v>
      </c>
      <c r="U1205" s="4">
        <v>0</v>
      </c>
      <c r="V1205" s="4">
        <v>12</v>
      </c>
      <c r="W1205" s="4">
        <v>12</v>
      </c>
      <c r="X1205" s="4">
        <v>3</v>
      </c>
      <c r="Y1205" s="4">
        <v>961</v>
      </c>
      <c r="Z1205" s="4">
        <v>418</v>
      </c>
      <c r="AA1205" s="4">
        <v>450</v>
      </c>
      <c r="AB1205" s="18">
        <v>372</v>
      </c>
      <c r="AC1205" s="18">
        <v>24</v>
      </c>
      <c r="AD1205" s="28"/>
      <c r="AE1205" s="26"/>
      <c r="AF1205" s="28"/>
    </row>
    <row r="1206" spans="1:32" ht="13.5" customHeight="1" x14ac:dyDescent="0.25">
      <c r="A1206" s="14">
        <v>45813</v>
      </c>
      <c r="B1206" s="14" t="s">
        <v>47</v>
      </c>
      <c r="C1206" s="15">
        <v>4</v>
      </c>
      <c r="D1206" s="16"/>
      <c r="E1206" s="16"/>
      <c r="F1206" s="17"/>
      <c r="G1206" s="21"/>
      <c r="H1206" s="21"/>
      <c r="I1206" s="4">
        <v>0</v>
      </c>
      <c r="J1206" s="4">
        <v>0</v>
      </c>
      <c r="K1206" s="4"/>
      <c r="L1206" s="16"/>
      <c r="M1206" s="4"/>
      <c r="N1206" s="4"/>
      <c r="O1206" s="4"/>
      <c r="P1206" s="4"/>
      <c r="Q1206" s="4"/>
      <c r="R1206" s="4"/>
      <c r="S1206" s="4">
        <v>0</v>
      </c>
      <c r="T1206" s="4">
        <v>0</v>
      </c>
      <c r="U1206" s="4">
        <v>0</v>
      </c>
      <c r="V1206" s="4">
        <v>12</v>
      </c>
      <c r="W1206" s="4">
        <v>12</v>
      </c>
      <c r="X1206" s="4">
        <v>0</v>
      </c>
      <c r="Y1206" s="4"/>
      <c r="Z1206" s="4">
        <v>91.5</v>
      </c>
      <c r="AA1206" s="4">
        <v>100</v>
      </c>
      <c r="AB1206" s="18"/>
      <c r="AC1206" s="18">
        <v>24</v>
      </c>
      <c r="AD1206" s="28"/>
      <c r="AE1206" s="26"/>
      <c r="AF1206" s="28"/>
    </row>
    <row r="1207" spans="1:32" ht="13.5" customHeight="1" x14ac:dyDescent="0.25">
      <c r="A1207" s="14">
        <v>45813</v>
      </c>
      <c r="B1207" s="14" t="s">
        <v>46</v>
      </c>
      <c r="C1207" s="15">
        <v>6</v>
      </c>
      <c r="D1207" s="16"/>
      <c r="E1207" s="16"/>
      <c r="F1207" s="17"/>
      <c r="G1207" s="21"/>
      <c r="H1207" s="21"/>
      <c r="I1207" s="4">
        <v>0</v>
      </c>
      <c r="J1207" s="4">
        <v>0</v>
      </c>
      <c r="K1207" s="4"/>
      <c r="L1207" s="16"/>
      <c r="M1207" s="4"/>
      <c r="N1207" s="4"/>
      <c r="O1207" s="4"/>
      <c r="P1207" s="4"/>
      <c r="Q1207" s="4"/>
      <c r="R1207" s="4"/>
      <c r="S1207" s="4">
        <v>0</v>
      </c>
      <c r="T1207" s="4">
        <v>0</v>
      </c>
      <c r="U1207" s="4">
        <v>0</v>
      </c>
      <c r="V1207" s="4">
        <v>12</v>
      </c>
      <c r="W1207" s="4">
        <v>12</v>
      </c>
      <c r="X1207" s="4">
        <v>0</v>
      </c>
      <c r="Y1207" s="4"/>
      <c r="Z1207" s="4">
        <v>506.5</v>
      </c>
      <c r="AA1207" s="4">
        <v>500</v>
      </c>
      <c r="AB1207" s="18"/>
      <c r="AC1207" s="18">
        <v>24</v>
      </c>
      <c r="AD1207" s="28"/>
      <c r="AE1207" s="26"/>
      <c r="AF1207" s="28"/>
    </row>
    <row r="1208" spans="1:32" ht="13.5" customHeight="1" x14ac:dyDescent="0.25">
      <c r="A1208" s="14">
        <v>45813</v>
      </c>
      <c r="B1208" s="14" t="s">
        <v>47</v>
      </c>
      <c r="C1208" s="15">
        <v>6</v>
      </c>
      <c r="D1208" s="16"/>
      <c r="E1208" s="16"/>
      <c r="F1208" s="17"/>
      <c r="G1208" s="21"/>
      <c r="H1208" s="21"/>
      <c r="I1208" s="4">
        <v>0</v>
      </c>
      <c r="J1208" s="4">
        <v>0</v>
      </c>
      <c r="K1208" s="4"/>
      <c r="L1208" s="16"/>
      <c r="M1208" s="4"/>
      <c r="N1208" s="4"/>
      <c r="O1208" s="4"/>
      <c r="P1208" s="4"/>
      <c r="Q1208" s="4"/>
      <c r="R1208" s="4"/>
      <c r="S1208" s="4">
        <v>0</v>
      </c>
      <c r="T1208" s="4">
        <v>0</v>
      </c>
      <c r="U1208" s="4">
        <v>0</v>
      </c>
      <c r="V1208" s="4">
        <v>12</v>
      </c>
      <c r="W1208" s="4">
        <v>12</v>
      </c>
      <c r="X1208" s="4">
        <v>0</v>
      </c>
      <c r="Y1208" s="4"/>
      <c r="Z1208" s="4">
        <v>206.2</v>
      </c>
      <c r="AA1208" s="4">
        <v>200</v>
      </c>
      <c r="AB1208" s="18"/>
      <c r="AC1208" s="18">
        <v>24</v>
      </c>
      <c r="AD1208" s="28"/>
      <c r="AE1208" s="26"/>
      <c r="AF1208" s="28"/>
    </row>
    <row r="1209" spans="1:32" ht="13.5" customHeight="1" x14ac:dyDescent="0.25">
      <c r="A1209" s="14">
        <v>45813</v>
      </c>
      <c r="B1209" s="14" t="s">
        <v>46</v>
      </c>
      <c r="C1209" s="15">
        <v>7</v>
      </c>
      <c r="D1209" s="16"/>
      <c r="E1209" s="16"/>
      <c r="F1209" s="17"/>
      <c r="G1209" s="21"/>
      <c r="H1209" s="21"/>
      <c r="I1209" s="4">
        <v>0</v>
      </c>
      <c r="J1209" s="4">
        <v>0</v>
      </c>
      <c r="K1209" s="4"/>
      <c r="L1209" s="16"/>
      <c r="M1209" s="4"/>
      <c r="N1209" s="4"/>
      <c r="O1209" s="4"/>
      <c r="P1209" s="4"/>
      <c r="Q1209" s="4"/>
      <c r="R1209" s="4"/>
      <c r="S1209" s="4">
        <v>0</v>
      </c>
      <c r="T1209" s="4">
        <v>0</v>
      </c>
      <c r="U1209" s="4">
        <v>0</v>
      </c>
      <c r="V1209" s="4">
        <v>12</v>
      </c>
      <c r="W1209" s="4">
        <v>12</v>
      </c>
      <c r="X1209" s="4">
        <v>0</v>
      </c>
      <c r="Y1209" s="4"/>
      <c r="Z1209" s="4">
        <v>228.20000000000002</v>
      </c>
      <c r="AA1209" s="4">
        <v>250</v>
      </c>
      <c r="AB1209" s="18"/>
      <c r="AC1209" s="18">
        <v>24</v>
      </c>
      <c r="AD1209" s="28"/>
      <c r="AE1209" s="26"/>
      <c r="AF1209" s="28"/>
    </row>
    <row r="1210" spans="1:32" ht="13.5" customHeight="1" x14ac:dyDescent="0.25">
      <c r="A1210" s="14">
        <v>45813</v>
      </c>
      <c r="B1210" s="14" t="s">
        <v>47</v>
      </c>
      <c r="C1210" s="15">
        <v>7</v>
      </c>
      <c r="D1210" s="16"/>
      <c r="E1210" s="16"/>
      <c r="F1210" s="17"/>
      <c r="G1210" s="21"/>
      <c r="H1210" s="21"/>
      <c r="I1210" s="4">
        <v>0</v>
      </c>
      <c r="J1210" s="4">
        <v>0</v>
      </c>
      <c r="K1210" s="4"/>
      <c r="L1210" s="16"/>
      <c r="M1210" s="4"/>
      <c r="N1210" s="4"/>
      <c r="O1210" s="4"/>
      <c r="P1210" s="4"/>
      <c r="Q1210" s="4"/>
      <c r="R1210" s="4"/>
      <c r="S1210" s="4">
        <v>0</v>
      </c>
      <c r="T1210" s="4">
        <v>0</v>
      </c>
      <c r="U1210" s="4">
        <v>0</v>
      </c>
      <c r="V1210" s="4">
        <v>12</v>
      </c>
      <c r="W1210" s="4">
        <v>12</v>
      </c>
      <c r="X1210" s="4">
        <v>0</v>
      </c>
      <c r="Y1210" s="4"/>
      <c r="Z1210" s="4">
        <v>202.63</v>
      </c>
      <c r="AA1210" s="4">
        <v>200</v>
      </c>
      <c r="AB1210" s="18"/>
      <c r="AC1210" s="18">
        <v>24</v>
      </c>
      <c r="AD1210" s="28"/>
      <c r="AE1210" s="26"/>
      <c r="AF1210" s="28"/>
    </row>
    <row r="1211" spans="1:32" ht="13.5" customHeight="1" x14ac:dyDescent="0.25">
      <c r="A1211" s="14">
        <v>45820</v>
      </c>
      <c r="B1211" s="14" t="s">
        <v>46</v>
      </c>
      <c r="C1211" s="15">
        <v>3</v>
      </c>
      <c r="D1211" s="16">
        <v>18</v>
      </c>
      <c r="E1211" s="16"/>
      <c r="F1211" s="17"/>
      <c r="G1211" s="21">
        <v>260</v>
      </c>
      <c r="H1211" s="21"/>
      <c r="I1211" s="4">
        <v>278</v>
      </c>
      <c r="J1211" s="4">
        <v>4.6333333333333337</v>
      </c>
      <c r="K1211" s="4"/>
      <c r="L1211" s="16"/>
      <c r="M1211" s="4"/>
      <c r="N1211" s="4"/>
      <c r="O1211" s="4"/>
      <c r="P1211" s="4"/>
      <c r="Q1211" s="4">
        <v>20</v>
      </c>
      <c r="R1211" s="4"/>
      <c r="S1211" s="4">
        <v>20</v>
      </c>
      <c r="T1211" s="4">
        <v>0.33333333333333331</v>
      </c>
      <c r="U1211" s="4">
        <v>4.9666666666666668</v>
      </c>
      <c r="V1211" s="4">
        <v>7.0333333333333332</v>
      </c>
      <c r="W1211" s="4">
        <v>12</v>
      </c>
      <c r="X1211" s="4">
        <v>0</v>
      </c>
      <c r="Y1211" s="4">
        <v>1445</v>
      </c>
      <c r="Z1211" s="4">
        <v>113.4</v>
      </c>
      <c r="AA1211" s="4">
        <v>200</v>
      </c>
      <c r="AB1211" s="18">
        <v>372</v>
      </c>
      <c r="AC1211" s="18">
        <v>24</v>
      </c>
      <c r="AD1211" s="28"/>
      <c r="AE1211" s="26"/>
      <c r="AF1211" s="28"/>
    </row>
    <row r="1212" spans="1:32" ht="13.5" customHeight="1" x14ac:dyDescent="0.25">
      <c r="A1212" s="14">
        <v>45820</v>
      </c>
      <c r="B1212" s="14" t="s">
        <v>47</v>
      </c>
      <c r="C1212" s="15">
        <v>3</v>
      </c>
      <c r="D1212" s="16"/>
      <c r="E1212" s="16"/>
      <c r="F1212" s="17"/>
      <c r="G1212" s="21"/>
      <c r="H1212" s="21"/>
      <c r="I1212" s="4">
        <v>0</v>
      </c>
      <c r="J1212" s="4">
        <v>0</v>
      </c>
      <c r="K1212" s="4"/>
      <c r="L1212" s="16"/>
      <c r="M1212" s="4"/>
      <c r="N1212" s="4"/>
      <c r="O1212" s="4"/>
      <c r="P1212" s="4"/>
      <c r="Q1212" s="4"/>
      <c r="R1212" s="4"/>
      <c r="S1212" s="4">
        <v>0</v>
      </c>
      <c r="T1212" s="4">
        <v>0</v>
      </c>
      <c r="U1212" s="4">
        <v>0</v>
      </c>
      <c r="V1212" s="4">
        <v>12</v>
      </c>
      <c r="W1212" s="4">
        <v>12</v>
      </c>
      <c r="X1212" s="4">
        <v>0</v>
      </c>
      <c r="Y1212" s="4"/>
      <c r="Z1212" s="4">
        <v>380.9</v>
      </c>
      <c r="AA1212" s="4">
        <v>500</v>
      </c>
      <c r="AB1212" s="18"/>
      <c r="AC1212" s="18">
        <v>24</v>
      </c>
      <c r="AD1212" s="28"/>
      <c r="AE1212" s="26"/>
      <c r="AF1212" s="28"/>
    </row>
    <row r="1213" spans="1:32" ht="13.5" customHeight="1" x14ac:dyDescent="0.25">
      <c r="A1213" s="14">
        <v>45820</v>
      </c>
      <c r="B1213" s="14" t="s">
        <v>46</v>
      </c>
      <c r="C1213" s="15">
        <v>6</v>
      </c>
      <c r="D1213" s="16"/>
      <c r="E1213" s="16"/>
      <c r="F1213" s="17"/>
      <c r="G1213" s="21">
        <v>260</v>
      </c>
      <c r="H1213" s="21"/>
      <c r="I1213" s="4">
        <v>260</v>
      </c>
      <c r="J1213" s="4">
        <v>4.333333333333333</v>
      </c>
      <c r="K1213" s="4"/>
      <c r="L1213" s="16"/>
      <c r="M1213" s="4"/>
      <c r="N1213" s="4"/>
      <c r="O1213" s="4"/>
      <c r="P1213" s="4"/>
      <c r="Q1213" s="4"/>
      <c r="R1213" s="4"/>
      <c r="S1213" s="4">
        <v>0</v>
      </c>
      <c r="T1213" s="4">
        <v>0</v>
      </c>
      <c r="U1213" s="4">
        <v>4.333333333333333</v>
      </c>
      <c r="V1213" s="4">
        <v>7.666666666666667</v>
      </c>
      <c r="W1213" s="4">
        <v>12</v>
      </c>
      <c r="X1213" s="4">
        <v>65</v>
      </c>
      <c r="Y1213" s="4"/>
      <c r="Z1213" s="4">
        <v>418.59999999999997</v>
      </c>
      <c r="AA1213" s="4">
        <v>450</v>
      </c>
      <c r="AB1213" s="18"/>
      <c r="AC1213" s="18">
        <v>24</v>
      </c>
      <c r="AD1213" s="28"/>
      <c r="AE1213" s="26"/>
      <c r="AF1213" s="28"/>
    </row>
    <row r="1214" spans="1:32" ht="13.5" customHeight="1" x14ac:dyDescent="0.25">
      <c r="A1214" s="14">
        <v>45820</v>
      </c>
      <c r="B1214" s="14" t="s">
        <v>47</v>
      </c>
      <c r="C1214" s="15">
        <v>6</v>
      </c>
      <c r="D1214" s="16"/>
      <c r="E1214" s="16"/>
      <c r="F1214" s="17"/>
      <c r="G1214" s="21"/>
      <c r="H1214" s="21"/>
      <c r="I1214" s="4">
        <v>0</v>
      </c>
      <c r="J1214" s="4">
        <v>0</v>
      </c>
      <c r="K1214" s="4"/>
      <c r="L1214" s="16"/>
      <c r="M1214" s="4"/>
      <c r="N1214" s="4"/>
      <c r="O1214" s="4"/>
      <c r="P1214" s="4"/>
      <c r="Q1214" s="4"/>
      <c r="R1214" s="4"/>
      <c r="S1214" s="4">
        <v>0</v>
      </c>
      <c r="T1214" s="4">
        <v>0</v>
      </c>
      <c r="U1214" s="4">
        <v>0</v>
      </c>
      <c r="V1214" s="4">
        <v>12</v>
      </c>
      <c r="W1214" s="4">
        <v>12</v>
      </c>
      <c r="X1214" s="4">
        <v>30</v>
      </c>
      <c r="Y1214" s="4"/>
      <c r="Z1214" s="4">
        <v>542.6</v>
      </c>
      <c r="AA1214" s="4">
        <v>600</v>
      </c>
      <c r="AB1214" s="18"/>
      <c r="AC1214" s="18">
        <v>24</v>
      </c>
      <c r="AD1214" s="28"/>
      <c r="AE1214" s="26"/>
      <c r="AF1214" s="28"/>
    </row>
    <row r="1215" spans="1:32" ht="13.5" customHeight="1" x14ac:dyDescent="0.25">
      <c r="A1215" s="14">
        <v>45820</v>
      </c>
      <c r="B1215" s="14" t="s">
        <v>46</v>
      </c>
      <c r="C1215" s="15">
        <v>7</v>
      </c>
      <c r="D1215" s="16">
        <v>3</v>
      </c>
      <c r="E1215" s="16"/>
      <c r="F1215" s="17"/>
      <c r="G1215" s="21">
        <v>260</v>
      </c>
      <c r="H1215" s="21"/>
      <c r="I1215" s="4">
        <v>263</v>
      </c>
      <c r="J1215" s="4">
        <v>4.3833333333333337</v>
      </c>
      <c r="K1215" s="4"/>
      <c r="L1215" s="16"/>
      <c r="M1215" s="4"/>
      <c r="N1215" s="4"/>
      <c r="O1215" s="4"/>
      <c r="P1215" s="4"/>
      <c r="Q1215" s="4"/>
      <c r="R1215" s="4"/>
      <c r="S1215" s="4">
        <v>0</v>
      </c>
      <c r="T1215" s="4">
        <v>0</v>
      </c>
      <c r="U1215" s="4">
        <v>4.3833333333333337</v>
      </c>
      <c r="V1215" s="4">
        <v>7.6166666666666663</v>
      </c>
      <c r="W1215" s="4">
        <v>12</v>
      </c>
      <c r="X1215" s="4">
        <v>0</v>
      </c>
      <c r="Y1215" s="4"/>
      <c r="Z1215" s="4">
        <v>164.32999999999998</v>
      </c>
      <c r="AA1215" s="4">
        <v>250</v>
      </c>
      <c r="AB1215" s="18"/>
      <c r="AC1215" s="18">
        <v>24</v>
      </c>
      <c r="AD1215" s="28"/>
      <c r="AE1215" s="26"/>
      <c r="AF1215" s="28"/>
    </row>
    <row r="1216" spans="1:32" ht="13.5" customHeight="1" x14ac:dyDescent="0.25">
      <c r="A1216" s="14">
        <v>45820</v>
      </c>
      <c r="B1216" s="14" t="s">
        <v>47</v>
      </c>
      <c r="C1216" s="15">
        <v>7</v>
      </c>
      <c r="D1216" s="16">
        <v>5</v>
      </c>
      <c r="E1216" s="16"/>
      <c r="F1216" s="17"/>
      <c r="G1216" s="21"/>
      <c r="H1216" s="21"/>
      <c r="I1216" s="4">
        <v>5</v>
      </c>
      <c r="J1216" s="4">
        <v>8.3333333333333329E-2</v>
      </c>
      <c r="K1216" s="4"/>
      <c r="L1216" s="16"/>
      <c r="M1216" s="4"/>
      <c r="N1216" s="4"/>
      <c r="O1216" s="4"/>
      <c r="P1216" s="4"/>
      <c r="Q1216" s="4"/>
      <c r="R1216" s="4"/>
      <c r="S1216" s="4">
        <v>0</v>
      </c>
      <c r="T1216" s="4">
        <v>0</v>
      </c>
      <c r="U1216" s="4">
        <v>8.3333333333333329E-2</v>
      </c>
      <c r="V1216" s="4">
        <v>11.916666666666666</v>
      </c>
      <c r="W1216" s="4">
        <v>12</v>
      </c>
      <c r="X1216" s="4">
        <v>0</v>
      </c>
      <c r="Y1216" s="4"/>
      <c r="Z1216" s="4">
        <v>336.9</v>
      </c>
      <c r="AA1216" s="4">
        <v>400</v>
      </c>
      <c r="AB1216" s="18"/>
      <c r="AC1216" s="18">
        <v>24</v>
      </c>
      <c r="AD1216" s="28"/>
      <c r="AE1216" s="26"/>
      <c r="AF1216" s="28"/>
    </row>
    <row r="1217" spans="1:32" ht="13.5" customHeight="1" x14ac:dyDescent="0.25">
      <c r="A1217" s="14">
        <v>45821</v>
      </c>
      <c r="B1217" s="14" t="s">
        <v>46</v>
      </c>
      <c r="C1217" s="15">
        <v>3</v>
      </c>
      <c r="D1217" s="16"/>
      <c r="E1217" s="16"/>
      <c r="F1217" s="17"/>
      <c r="G1217" s="21"/>
      <c r="H1217" s="21"/>
      <c r="I1217" s="4">
        <v>0</v>
      </c>
      <c r="J1217" s="4">
        <v>0</v>
      </c>
      <c r="K1217" s="4"/>
      <c r="L1217" s="16"/>
      <c r="M1217" s="4"/>
      <c r="N1217" s="4"/>
      <c r="O1217" s="4"/>
      <c r="P1217" s="4"/>
      <c r="Q1217" s="4"/>
      <c r="R1217" s="4"/>
      <c r="S1217" s="4">
        <v>0</v>
      </c>
      <c r="T1217" s="4">
        <v>0</v>
      </c>
      <c r="U1217" s="4">
        <v>0</v>
      </c>
      <c r="V1217" s="4">
        <v>12</v>
      </c>
      <c r="W1217" s="4">
        <v>12</v>
      </c>
      <c r="X1217" s="4">
        <v>0</v>
      </c>
      <c r="Y1217" s="4">
        <v>1698</v>
      </c>
      <c r="Z1217" s="4">
        <v>382.5</v>
      </c>
      <c r="AA1217" s="4">
        <v>400</v>
      </c>
      <c r="AB1217" s="18">
        <v>372</v>
      </c>
      <c r="AC1217" s="18">
        <v>24</v>
      </c>
      <c r="AD1217" s="28"/>
      <c r="AE1217" s="26"/>
      <c r="AF1217" s="28"/>
    </row>
    <row r="1218" spans="1:32" ht="13.5" customHeight="1" x14ac:dyDescent="0.25">
      <c r="A1218" s="14">
        <v>45821</v>
      </c>
      <c r="B1218" s="14" t="s">
        <v>47</v>
      </c>
      <c r="C1218" s="15">
        <v>3</v>
      </c>
      <c r="D1218" s="16">
        <v>3</v>
      </c>
      <c r="E1218" s="16"/>
      <c r="F1218" s="17"/>
      <c r="G1218" s="21"/>
      <c r="H1218" s="21"/>
      <c r="I1218" s="4">
        <v>3</v>
      </c>
      <c r="J1218" s="4">
        <v>0.05</v>
      </c>
      <c r="K1218" s="4"/>
      <c r="L1218" s="16"/>
      <c r="M1218" s="4"/>
      <c r="N1218" s="4"/>
      <c r="O1218" s="4"/>
      <c r="P1218" s="4"/>
      <c r="Q1218" s="4"/>
      <c r="R1218" s="4"/>
      <c r="S1218" s="4">
        <v>0</v>
      </c>
      <c r="T1218" s="4">
        <v>0</v>
      </c>
      <c r="U1218" s="4">
        <v>0.05</v>
      </c>
      <c r="V1218" s="4">
        <v>11.95</v>
      </c>
      <c r="W1218" s="4">
        <v>12</v>
      </c>
      <c r="X1218" s="4">
        <v>0</v>
      </c>
      <c r="Y1218" s="4"/>
      <c r="Z1218" s="4">
        <v>377.20000000000005</v>
      </c>
      <c r="AA1218" s="4">
        <v>400</v>
      </c>
      <c r="AB1218" s="18"/>
      <c r="AC1218" s="18">
        <v>24</v>
      </c>
      <c r="AD1218" s="28"/>
      <c r="AE1218" s="26"/>
      <c r="AF1218" s="28"/>
    </row>
    <row r="1219" spans="1:32" ht="13.5" customHeight="1" x14ac:dyDescent="0.25">
      <c r="A1219" s="14">
        <v>45821</v>
      </c>
      <c r="B1219" s="14" t="s">
        <v>46</v>
      </c>
      <c r="C1219" s="15">
        <v>4</v>
      </c>
      <c r="D1219" s="16"/>
      <c r="E1219" s="16"/>
      <c r="F1219" s="17"/>
      <c r="G1219" s="21"/>
      <c r="H1219" s="21"/>
      <c r="I1219" s="4">
        <v>0</v>
      </c>
      <c r="J1219" s="4">
        <v>0</v>
      </c>
      <c r="K1219" s="4"/>
      <c r="L1219" s="16"/>
      <c r="M1219" s="4"/>
      <c r="N1219" s="4"/>
      <c r="O1219" s="4"/>
      <c r="P1219" s="4"/>
      <c r="Q1219" s="4"/>
      <c r="R1219" s="4"/>
      <c r="S1219" s="4">
        <v>0</v>
      </c>
      <c r="T1219" s="4">
        <v>0</v>
      </c>
      <c r="U1219" s="4">
        <v>0</v>
      </c>
      <c r="V1219" s="4">
        <v>12</v>
      </c>
      <c r="W1219" s="4">
        <v>12</v>
      </c>
      <c r="X1219" s="4">
        <v>0</v>
      </c>
      <c r="Y1219" s="4"/>
      <c r="Z1219" s="4">
        <v>97.4</v>
      </c>
      <c r="AA1219" s="4">
        <v>100</v>
      </c>
      <c r="AB1219" s="18"/>
      <c r="AC1219" s="18">
        <v>24</v>
      </c>
      <c r="AD1219" s="28"/>
      <c r="AE1219" s="26"/>
      <c r="AF1219" s="28"/>
    </row>
    <row r="1220" spans="1:32" ht="13.5" customHeight="1" x14ac:dyDescent="0.25">
      <c r="A1220" s="14">
        <v>45821</v>
      </c>
      <c r="B1220" s="14" t="s">
        <v>47</v>
      </c>
      <c r="C1220" s="15">
        <v>4</v>
      </c>
      <c r="D1220" s="16"/>
      <c r="E1220" s="16"/>
      <c r="F1220" s="17"/>
      <c r="G1220" s="21"/>
      <c r="H1220" s="21"/>
      <c r="I1220" s="4">
        <v>0</v>
      </c>
      <c r="J1220" s="4">
        <v>0</v>
      </c>
      <c r="K1220" s="4"/>
      <c r="L1220" s="16"/>
      <c r="M1220" s="4"/>
      <c r="N1220" s="4"/>
      <c r="O1220" s="4"/>
      <c r="P1220" s="4"/>
      <c r="Q1220" s="4"/>
      <c r="R1220" s="4"/>
      <c r="S1220" s="4">
        <v>0</v>
      </c>
      <c r="T1220" s="4">
        <v>0</v>
      </c>
      <c r="U1220" s="4">
        <v>0</v>
      </c>
      <c r="V1220" s="4">
        <v>12</v>
      </c>
      <c r="W1220" s="4">
        <v>12</v>
      </c>
      <c r="X1220" s="4">
        <v>0</v>
      </c>
      <c r="Y1220" s="4"/>
      <c r="Z1220" s="4">
        <v>300.5</v>
      </c>
      <c r="AA1220" s="4">
        <v>300</v>
      </c>
      <c r="AB1220" s="18"/>
      <c r="AC1220" s="18">
        <v>24</v>
      </c>
      <c r="AD1220" s="28"/>
      <c r="AE1220" s="26"/>
      <c r="AF1220" s="28"/>
    </row>
    <row r="1221" spans="1:32" ht="13.5" customHeight="1" x14ac:dyDescent="0.25">
      <c r="A1221" s="14">
        <v>45821</v>
      </c>
      <c r="B1221" s="14" t="s">
        <v>46</v>
      </c>
      <c r="C1221" s="15">
        <v>6</v>
      </c>
      <c r="D1221" s="16">
        <v>10</v>
      </c>
      <c r="E1221" s="16"/>
      <c r="F1221" s="17"/>
      <c r="G1221" s="21"/>
      <c r="H1221" s="21"/>
      <c r="I1221" s="4">
        <v>10</v>
      </c>
      <c r="J1221" s="4">
        <v>0.16666666666666666</v>
      </c>
      <c r="K1221" s="4"/>
      <c r="L1221" s="16"/>
      <c r="M1221" s="4">
        <v>15</v>
      </c>
      <c r="N1221" s="4"/>
      <c r="O1221" s="4"/>
      <c r="P1221" s="4"/>
      <c r="Q1221" s="4"/>
      <c r="R1221" s="4"/>
      <c r="S1221" s="4">
        <v>15</v>
      </c>
      <c r="T1221" s="4">
        <v>0.25</v>
      </c>
      <c r="U1221" s="4">
        <v>0.41666666666666663</v>
      </c>
      <c r="V1221" s="4">
        <v>11.583333333333334</v>
      </c>
      <c r="W1221" s="4">
        <v>12</v>
      </c>
      <c r="X1221" s="4">
        <v>33.4</v>
      </c>
      <c r="Y1221" s="4"/>
      <c r="Z1221" s="4">
        <v>605.59999999999991</v>
      </c>
      <c r="AA1221" s="4">
        <v>600</v>
      </c>
      <c r="AB1221" s="18"/>
      <c r="AC1221" s="18">
        <v>24</v>
      </c>
      <c r="AD1221" s="28"/>
      <c r="AE1221" s="26"/>
      <c r="AF1221" s="28"/>
    </row>
    <row r="1222" spans="1:32" ht="13.5" customHeight="1" x14ac:dyDescent="0.25">
      <c r="A1222" s="14">
        <v>45821</v>
      </c>
      <c r="B1222" s="14" t="s">
        <v>47</v>
      </c>
      <c r="C1222" s="15">
        <v>6</v>
      </c>
      <c r="D1222" s="16"/>
      <c r="E1222" s="16"/>
      <c r="F1222" s="17"/>
      <c r="G1222" s="21"/>
      <c r="H1222" s="21"/>
      <c r="I1222" s="4">
        <v>0</v>
      </c>
      <c r="J1222" s="4">
        <v>0</v>
      </c>
      <c r="K1222" s="4"/>
      <c r="L1222" s="16"/>
      <c r="M1222" s="4"/>
      <c r="N1222" s="4"/>
      <c r="O1222" s="4"/>
      <c r="P1222" s="4"/>
      <c r="Q1222" s="4"/>
      <c r="R1222" s="4"/>
      <c r="S1222" s="4">
        <v>0</v>
      </c>
      <c r="T1222" s="4">
        <v>0</v>
      </c>
      <c r="U1222" s="4">
        <v>0</v>
      </c>
      <c r="V1222" s="4">
        <v>12</v>
      </c>
      <c r="W1222" s="4">
        <v>12</v>
      </c>
      <c r="X1222" s="4">
        <v>28</v>
      </c>
      <c r="Y1222" s="4"/>
      <c r="Z1222" s="4">
        <v>593.20000000000005</v>
      </c>
      <c r="AA1222" s="4">
        <v>600</v>
      </c>
      <c r="AB1222" s="18"/>
      <c r="AC1222" s="18">
        <v>24</v>
      </c>
      <c r="AD1222" s="28"/>
      <c r="AE1222" s="26"/>
      <c r="AF1222" s="28"/>
    </row>
    <row r="1223" spans="1:32" ht="13.5" customHeight="1" x14ac:dyDescent="0.25">
      <c r="A1223" s="14">
        <v>45821</v>
      </c>
      <c r="B1223" s="14" t="s">
        <v>46</v>
      </c>
      <c r="C1223" s="15">
        <v>7</v>
      </c>
      <c r="D1223" s="16">
        <v>7</v>
      </c>
      <c r="E1223" s="16"/>
      <c r="F1223" s="17"/>
      <c r="G1223" s="21"/>
      <c r="H1223" s="21"/>
      <c r="I1223" s="4">
        <v>7</v>
      </c>
      <c r="J1223" s="4">
        <v>0.11666666666666667</v>
      </c>
      <c r="K1223" s="4"/>
      <c r="L1223" s="16"/>
      <c r="M1223" s="4"/>
      <c r="N1223" s="4"/>
      <c r="O1223" s="4"/>
      <c r="P1223" s="4"/>
      <c r="Q1223" s="4"/>
      <c r="R1223" s="4"/>
      <c r="S1223" s="4">
        <v>0</v>
      </c>
      <c r="T1223" s="4">
        <v>0</v>
      </c>
      <c r="U1223" s="4">
        <v>0.11666666666666667</v>
      </c>
      <c r="V1223" s="4">
        <v>11.883333333333333</v>
      </c>
      <c r="W1223" s="4">
        <v>12</v>
      </c>
      <c r="X1223" s="4">
        <v>0</v>
      </c>
      <c r="Y1223" s="4"/>
      <c r="Z1223" s="4">
        <v>334.81</v>
      </c>
      <c r="AA1223" s="4">
        <v>350</v>
      </c>
      <c r="AB1223" s="18"/>
      <c r="AC1223" s="18">
        <v>24</v>
      </c>
      <c r="AD1223" s="28"/>
      <c r="AE1223" s="26"/>
      <c r="AF1223" s="28"/>
    </row>
    <row r="1224" spans="1:32" ht="13.5" customHeight="1" x14ac:dyDescent="0.25">
      <c r="A1224" s="14">
        <v>45821</v>
      </c>
      <c r="B1224" s="14" t="s">
        <v>47</v>
      </c>
      <c r="C1224" s="15">
        <v>7</v>
      </c>
      <c r="D1224" s="16">
        <v>11</v>
      </c>
      <c r="E1224" s="16"/>
      <c r="F1224" s="17"/>
      <c r="G1224" s="21"/>
      <c r="H1224" s="21"/>
      <c r="I1224" s="4">
        <v>11</v>
      </c>
      <c r="J1224" s="4">
        <v>0.18333333333333332</v>
      </c>
      <c r="K1224" s="4"/>
      <c r="L1224" s="16"/>
      <c r="M1224" s="4"/>
      <c r="N1224" s="4"/>
      <c r="O1224" s="4"/>
      <c r="P1224" s="4"/>
      <c r="Q1224" s="4"/>
      <c r="R1224" s="4"/>
      <c r="S1224" s="4">
        <v>0</v>
      </c>
      <c r="T1224" s="4">
        <v>0</v>
      </c>
      <c r="U1224" s="4">
        <v>0.18333333333333332</v>
      </c>
      <c r="V1224" s="4">
        <v>11.816666666666666</v>
      </c>
      <c r="W1224" s="4">
        <v>12</v>
      </c>
      <c r="X1224" s="4">
        <v>0</v>
      </c>
      <c r="Y1224" s="4"/>
      <c r="Z1224" s="4">
        <v>331.7</v>
      </c>
      <c r="AA1224" s="4">
        <v>350</v>
      </c>
      <c r="AB1224" s="18"/>
      <c r="AC1224" s="18">
        <v>24</v>
      </c>
      <c r="AD1224" s="28"/>
      <c r="AE1224" s="26"/>
      <c r="AF1224" s="28"/>
    </row>
    <row r="1225" spans="1:32" ht="13.5" customHeight="1" x14ac:dyDescent="0.25">
      <c r="A1225" s="14">
        <v>45822</v>
      </c>
      <c r="B1225" s="14" t="s">
        <v>46</v>
      </c>
      <c r="C1225" s="15">
        <v>3</v>
      </c>
      <c r="D1225" s="16"/>
      <c r="E1225" s="16"/>
      <c r="F1225" s="17"/>
      <c r="G1225" s="21"/>
      <c r="H1225" s="21"/>
      <c r="I1225" s="4">
        <v>0</v>
      </c>
      <c r="J1225" s="4">
        <v>0</v>
      </c>
      <c r="K1225" s="4"/>
      <c r="L1225" s="16"/>
      <c r="M1225" s="4"/>
      <c r="N1225" s="4"/>
      <c r="O1225" s="4"/>
      <c r="P1225" s="4"/>
      <c r="Q1225" s="4"/>
      <c r="R1225" s="4"/>
      <c r="S1225" s="4">
        <v>0</v>
      </c>
      <c r="T1225" s="4">
        <v>0</v>
      </c>
      <c r="U1225" s="4">
        <v>0</v>
      </c>
      <c r="V1225" s="4">
        <v>12</v>
      </c>
      <c r="W1225" s="4">
        <v>12</v>
      </c>
      <c r="X1225" s="4">
        <v>0</v>
      </c>
      <c r="Y1225" s="4">
        <v>1788</v>
      </c>
      <c r="Z1225" s="4">
        <v>397.9</v>
      </c>
      <c r="AA1225" s="4">
        <v>400</v>
      </c>
      <c r="AB1225" s="18">
        <v>372</v>
      </c>
      <c r="AC1225" s="18">
        <v>24</v>
      </c>
      <c r="AD1225" s="28"/>
      <c r="AE1225" s="26"/>
      <c r="AF1225" s="28"/>
    </row>
    <row r="1226" spans="1:32" ht="13.5" customHeight="1" x14ac:dyDescent="0.25">
      <c r="A1226" s="14">
        <v>45822</v>
      </c>
      <c r="B1226" s="14" t="s">
        <v>47</v>
      </c>
      <c r="C1226" s="15">
        <v>3</v>
      </c>
      <c r="D1226" s="16"/>
      <c r="E1226" s="16"/>
      <c r="F1226" s="17"/>
      <c r="G1226" s="21"/>
      <c r="H1226" s="21"/>
      <c r="I1226" s="4">
        <v>0</v>
      </c>
      <c r="J1226" s="4">
        <v>0</v>
      </c>
      <c r="K1226" s="4"/>
      <c r="L1226" s="16"/>
      <c r="M1226" s="4"/>
      <c r="N1226" s="4"/>
      <c r="O1226" s="4"/>
      <c r="P1226" s="4"/>
      <c r="Q1226" s="4"/>
      <c r="R1226" s="4"/>
      <c r="S1226" s="4">
        <v>0</v>
      </c>
      <c r="T1226" s="4">
        <v>0</v>
      </c>
      <c r="U1226" s="4">
        <v>0</v>
      </c>
      <c r="V1226" s="4">
        <v>12</v>
      </c>
      <c r="W1226" s="4">
        <v>12</v>
      </c>
      <c r="X1226" s="4">
        <v>0</v>
      </c>
      <c r="Y1226" s="4"/>
      <c r="Z1226" s="4">
        <v>308.7</v>
      </c>
      <c r="AA1226" s="4">
        <v>350</v>
      </c>
      <c r="AB1226" s="18"/>
      <c r="AC1226" s="18">
        <v>24</v>
      </c>
      <c r="AD1226" s="28"/>
      <c r="AE1226" s="26"/>
      <c r="AF1226" s="28"/>
    </row>
    <row r="1227" spans="1:32" ht="13.5" customHeight="1" x14ac:dyDescent="0.25">
      <c r="A1227" s="14">
        <v>45822</v>
      </c>
      <c r="B1227" s="14" t="s">
        <v>46</v>
      </c>
      <c r="C1227" s="15">
        <v>4</v>
      </c>
      <c r="D1227" s="16"/>
      <c r="E1227" s="16"/>
      <c r="F1227" s="17"/>
      <c r="G1227" s="21"/>
      <c r="H1227" s="21"/>
      <c r="I1227" s="4">
        <v>0</v>
      </c>
      <c r="J1227" s="4">
        <v>0</v>
      </c>
      <c r="K1227" s="4"/>
      <c r="L1227" s="16"/>
      <c r="M1227" s="4"/>
      <c r="N1227" s="4"/>
      <c r="O1227" s="4"/>
      <c r="P1227" s="4"/>
      <c r="Q1227" s="4"/>
      <c r="R1227" s="4"/>
      <c r="S1227" s="4">
        <v>0</v>
      </c>
      <c r="T1227" s="4">
        <v>0</v>
      </c>
      <c r="U1227" s="4">
        <v>0</v>
      </c>
      <c r="V1227" s="4">
        <v>12</v>
      </c>
      <c r="W1227" s="4">
        <v>12</v>
      </c>
      <c r="X1227" s="4">
        <v>0</v>
      </c>
      <c r="Y1227" s="4"/>
      <c r="Z1227" s="4">
        <v>325.80000000000007</v>
      </c>
      <c r="AA1227" s="4">
        <v>300</v>
      </c>
      <c r="AB1227" s="18"/>
      <c r="AC1227" s="18">
        <v>24</v>
      </c>
      <c r="AD1227" s="28"/>
      <c r="AE1227" s="26"/>
      <c r="AF1227" s="28"/>
    </row>
    <row r="1228" spans="1:32" ht="13.5" customHeight="1" x14ac:dyDescent="0.25">
      <c r="A1228" s="14">
        <v>45822</v>
      </c>
      <c r="B1228" s="14" t="s">
        <v>47</v>
      </c>
      <c r="C1228" s="15">
        <v>4</v>
      </c>
      <c r="D1228" s="16"/>
      <c r="E1228" s="16"/>
      <c r="F1228" s="17"/>
      <c r="G1228" s="21"/>
      <c r="H1228" s="21"/>
      <c r="I1228" s="4">
        <v>0</v>
      </c>
      <c r="J1228" s="4">
        <v>0</v>
      </c>
      <c r="K1228" s="4"/>
      <c r="L1228" s="16"/>
      <c r="M1228" s="4"/>
      <c r="N1228" s="4"/>
      <c r="O1228" s="4"/>
      <c r="P1228" s="4"/>
      <c r="Q1228" s="4"/>
      <c r="R1228" s="4"/>
      <c r="S1228" s="4">
        <v>0</v>
      </c>
      <c r="T1228" s="4">
        <v>0</v>
      </c>
      <c r="U1228" s="4">
        <v>0</v>
      </c>
      <c r="V1228" s="4">
        <v>12</v>
      </c>
      <c r="W1228" s="4">
        <v>12</v>
      </c>
      <c r="X1228" s="4">
        <v>0</v>
      </c>
      <c r="Y1228" s="4"/>
      <c r="Z1228" s="4">
        <v>325</v>
      </c>
      <c r="AA1228" s="4">
        <v>300</v>
      </c>
      <c r="AB1228" s="18"/>
      <c r="AC1228" s="18">
        <v>24</v>
      </c>
      <c r="AD1228" s="28"/>
      <c r="AE1228" s="26"/>
      <c r="AF1228" s="28"/>
    </row>
    <row r="1229" spans="1:32" ht="13.5" customHeight="1" x14ac:dyDescent="0.25">
      <c r="A1229" s="14">
        <v>45822</v>
      </c>
      <c r="B1229" s="14" t="s">
        <v>46</v>
      </c>
      <c r="C1229" s="15">
        <v>6</v>
      </c>
      <c r="D1229" s="16">
        <v>10</v>
      </c>
      <c r="E1229" s="16"/>
      <c r="F1229" s="17"/>
      <c r="G1229" s="21"/>
      <c r="H1229" s="21"/>
      <c r="I1229" s="4">
        <v>10</v>
      </c>
      <c r="J1229" s="4">
        <v>0.16666666666666666</v>
      </c>
      <c r="K1229" s="4"/>
      <c r="L1229" s="16"/>
      <c r="M1229" s="4"/>
      <c r="N1229" s="4">
        <v>35</v>
      </c>
      <c r="O1229" s="4"/>
      <c r="P1229" s="4"/>
      <c r="Q1229" s="4"/>
      <c r="R1229" s="4"/>
      <c r="S1229" s="4">
        <v>35</v>
      </c>
      <c r="T1229" s="4">
        <v>0.58333333333333337</v>
      </c>
      <c r="U1229" s="4">
        <v>0.75</v>
      </c>
      <c r="V1229" s="4">
        <v>11.25</v>
      </c>
      <c r="W1229" s="4">
        <v>12</v>
      </c>
      <c r="X1229" s="4">
        <v>60</v>
      </c>
      <c r="Y1229" s="4"/>
      <c r="Z1229" s="4">
        <v>583.79999999999995</v>
      </c>
      <c r="AA1229" s="4">
        <v>600</v>
      </c>
      <c r="AB1229" s="18"/>
      <c r="AC1229" s="18">
        <v>24</v>
      </c>
      <c r="AD1229" s="28"/>
      <c r="AE1229" s="26"/>
      <c r="AF1229" s="28"/>
    </row>
    <row r="1230" spans="1:32" ht="13.5" customHeight="1" x14ac:dyDescent="0.25">
      <c r="A1230" s="14">
        <v>45822</v>
      </c>
      <c r="B1230" s="14" t="s">
        <v>47</v>
      </c>
      <c r="C1230" s="15">
        <v>6</v>
      </c>
      <c r="D1230" s="16"/>
      <c r="E1230" s="16"/>
      <c r="F1230" s="17"/>
      <c r="G1230" s="21"/>
      <c r="H1230" s="21"/>
      <c r="I1230" s="4">
        <v>0</v>
      </c>
      <c r="J1230" s="4">
        <v>0</v>
      </c>
      <c r="K1230" s="4"/>
      <c r="L1230" s="16"/>
      <c r="M1230" s="4"/>
      <c r="N1230" s="4"/>
      <c r="O1230" s="4"/>
      <c r="P1230" s="4"/>
      <c r="Q1230" s="4"/>
      <c r="R1230" s="4"/>
      <c r="S1230" s="4">
        <v>0</v>
      </c>
      <c r="T1230" s="4">
        <v>0</v>
      </c>
      <c r="U1230" s="4">
        <v>0</v>
      </c>
      <c r="V1230" s="4">
        <v>12</v>
      </c>
      <c r="W1230" s="4">
        <v>12</v>
      </c>
      <c r="X1230" s="4">
        <v>55</v>
      </c>
      <c r="Y1230" s="4"/>
      <c r="Z1230" s="4">
        <v>643.30000000000007</v>
      </c>
      <c r="AA1230" s="4">
        <v>650</v>
      </c>
      <c r="AB1230" s="18"/>
      <c r="AC1230" s="18">
        <v>24</v>
      </c>
      <c r="AD1230" s="28"/>
      <c r="AE1230" s="26"/>
      <c r="AF1230" s="28"/>
    </row>
    <row r="1231" spans="1:32" ht="13.5" customHeight="1" x14ac:dyDescent="0.25">
      <c r="A1231" s="14">
        <v>45822</v>
      </c>
      <c r="B1231" s="14" t="s">
        <v>46</v>
      </c>
      <c r="C1231" s="15">
        <v>7</v>
      </c>
      <c r="D1231" s="16">
        <v>10</v>
      </c>
      <c r="E1231" s="16"/>
      <c r="F1231" s="17"/>
      <c r="G1231" s="21"/>
      <c r="H1231" s="21"/>
      <c r="I1231" s="4">
        <v>10</v>
      </c>
      <c r="J1231" s="4">
        <v>0.16666666666666666</v>
      </c>
      <c r="K1231" s="4"/>
      <c r="L1231" s="16"/>
      <c r="M1231" s="4"/>
      <c r="N1231" s="4"/>
      <c r="O1231" s="4"/>
      <c r="P1231" s="4"/>
      <c r="Q1231" s="4"/>
      <c r="R1231" s="4"/>
      <c r="S1231" s="4">
        <v>0</v>
      </c>
      <c r="T1231" s="4">
        <v>0</v>
      </c>
      <c r="U1231" s="4">
        <v>0.16666666666666666</v>
      </c>
      <c r="V1231" s="4">
        <v>11.833333333333334</v>
      </c>
      <c r="W1231" s="4">
        <v>12</v>
      </c>
      <c r="X1231" s="4">
        <v>0</v>
      </c>
      <c r="Y1231" s="4"/>
      <c r="Z1231" s="4">
        <v>342.12</v>
      </c>
      <c r="AA1231" s="4">
        <v>350</v>
      </c>
      <c r="AB1231" s="18"/>
      <c r="AC1231" s="18">
        <v>24</v>
      </c>
      <c r="AD1231" s="28"/>
      <c r="AE1231" s="26"/>
      <c r="AF1231" s="28"/>
    </row>
    <row r="1232" spans="1:32" ht="13.5" customHeight="1" x14ac:dyDescent="0.25">
      <c r="A1232" s="14">
        <v>45822</v>
      </c>
      <c r="B1232" s="14" t="s">
        <v>47</v>
      </c>
      <c r="C1232" s="15">
        <v>7</v>
      </c>
      <c r="D1232" s="16">
        <v>3</v>
      </c>
      <c r="E1232" s="16"/>
      <c r="F1232" s="17"/>
      <c r="G1232" s="21"/>
      <c r="H1232" s="21"/>
      <c r="I1232" s="4">
        <v>3</v>
      </c>
      <c r="J1232" s="4">
        <v>0.05</v>
      </c>
      <c r="K1232" s="4"/>
      <c r="L1232" s="16"/>
      <c r="M1232" s="4"/>
      <c r="N1232" s="4"/>
      <c r="O1232" s="4"/>
      <c r="P1232" s="4"/>
      <c r="Q1232" s="4"/>
      <c r="R1232" s="4"/>
      <c r="S1232" s="4">
        <v>0</v>
      </c>
      <c r="T1232" s="4">
        <v>0</v>
      </c>
      <c r="U1232" s="4">
        <v>0.05</v>
      </c>
      <c r="V1232" s="4">
        <v>11.95</v>
      </c>
      <c r="W1232" s="4">
        <v>12</v>
      </c>
      <c r="X1232" s="4">
        <v>0</v>
      </c>
      <c r="Y1232" s="4"/>
      <c r="Z1232" s="4">
        <v>414.79999999999995</v>
      </c>
      <c r="AA1232" s="4">
        <v>450</v>
      </c>
      <c r="AB1232" s="18"/>
      <c r="AC1232" s="18">
        <v>24</v>
      </c>
      <c r="AD1232" s="28"/>
      <c r="AE1232" s="26"/>
      <c r="AF1232" s="28"/>
    </row>
    <row r="1233" spans="1:32" ht="13.5" customHeight="1" x14ac:dyDescent="0.25">
      <c r="A1233" s="14">
        <v>45823</v>
      </c>
      <c r="B1233" s="14" t="s">
        <v>46</v>
      </c>
      <c r="C1233" s="15">
        <v>3</v>
      </c>
      <c r="D1233" s="16">
        <v>7</v>
      </c>
      <c r="E1233" s="16"/>
      <c r="F1233" s="17"/>
      <c r="G1233" s="21"/>
      <c r="H1233" s="21"/>
      <c r="I1233" s="4">
        <v>7</v>
      </c>
      <c r="J1233" s="4">
        <v>0.11666666666666667</v>
      </c>
      <c r="K1233" s="4"/>
      <c r="L1233" s="16"/>
      <c r="M1233" s="4"/>
      <c r="N1233" s="4"/>
      <c r="O1233" s="4"/>
      <c r="P1233" s="4"/>
      <c r="Q1233" s="4"/>
      <c r="R1233" s="4"/>
      <c r="S1233" s="4">
        <v>0</v>
      </c>
      <c r="T1233" s="4">
        <v>0</v>
      </c>
      <c r="U1233" s="4">
        <v>0.11666666666666667</v>
      </c>
      <c r="V1233" s="4">
        <v>11.883333333333333</v>
      </c>
      <c r="W1233" s="4">
        <v>12</v>
      </c>
      <c r="X1233" s="4">
        <v>0</v>
      </c>
      <c r="Y1233" s="4">
        <v>1736</v>
      </c>
      <c r="Z1233" s="4">
        <v>271.59999999999997</v>
      </c>
      <c r="AA1233" s="4">
        <v>300</v>
      </c>
      <c r="AB1233" s="18">
        <v>372</v>
      </c>
      <c r="AC1233" s="18">
        <v>24</v>
      </c>
      <c r="AD1233" s="28"/>
      <c r="AE1233" s="26"/>
      <c r="AF1233" s="28"/>
    </row>
    <row r="1234" spans="1:32" ht="13.5" customHeight="1" x14ac:dyDescent="0.25">
      <c r="A1234" s="14">
        <v>45823</v>
      </c>
      <c r="B1234" s="14" t="s">
        <v>47</v>
      </c>
      <c r="C1234" s="15">
        <v>3</v>
      </c>
      <c r="D1234" s="16"/>
      <c r="E1234" s="16"/>
      <c r="F1234" s="17"/>
      <c r="G1234" s="21"/>
      <c r="H1234" s="21"/>
      <c r="I1234" s="4">
        <v>0</v>
      </c>
      <c r="J1234" s="4">
        <v>0</v>
      </c>
      <c r="K1234" s="4"/>
      <c r="L1234" s="16"/>
      <c r="M1234" s="4"/>
      <c r="N1234" s="4"/>
      <c r="O1234" s="4"/>
      <c r="P1234" s="4"/>
      <c r="Q1234" s="4"/>
      <c r="R1234" s="4"/>
      <c r="S1234" s="4">
        <v>0</v>
      </c>
      <c r="T1234" s="4">
        <v>0</v>
      </c>
      <c r="U1234" s="4">
        <v>0</v>
      </c>
      <c r="V1234" s="4">
        <v>12</v>
      </c>
      <c r="W1234" s="4">
        <v>12</v>
      </c>
      <c r="X1234" s="4">
        <v>0</v>
      </c>
      <c r="Y1234" s="4"/>
      <c r="Z1234" s="4">
        <v>227.99999999999997</v>
      </c>
      <c r="AA1234" s="4">
        <v>200</v>
      </c>
      <c r="AB1234" s="18"/>
      <c r="AC1234" s="18">
        <v>24</v>
      </c>
      <c r="AD1234" s="28"/>
      <c r="AE1234" s="26"/>
      <c r="AF1234" s="28"/>
    </row>
    <row r="1235" spans="1:32" ht="13.5" customHeight="1" x14ac:dyDescent="0.25">
      <c r="A1235" s="14">
        <v>45823</v>
      </c>
      <c r="B1235" s="14" t="s">
        <v>46</v>
      </c>
      <c r="C1235" s="15">
        <v>4</v>
      </c>
      <c r="D1235" s="16"/>
      <c r="E1235" s="16"/>
      <c r="F1235" s="17"/>
      <c r="G1235" s="21"/>
      <c r="H1235" s="21"/>
      <c r="I1235" s="4">
        <v>0</v>
      </c>
      <c r="J1235" s="4">
        <v>0</v>
      </c>
      <c r="K1235" s="4"/>
      <c r="L1235" s="16"/>
      <c r="M1235" s="4"/>
      <c r="N1235" s="4"/>
      <c r="O1235" s="4"/>
      <c r="P1235" s="4"/>
      <c r="Q1235" s="4"/>
      <c r="R1235" s="4"/>
      <c r="S1235" s="4">
        <v>0</v>
      </c>
      <c r="T1235" s="4">
        <v>0</v>
      </c>
      <c r="U1235" s="4">
        <v>0</v>
      </c>
      <c r="V1235" s="4">
        <v>12</v>
      </c>
      <c r="W1235" s="4">
        <v>12</v>
      </c>
      <c r="X1235" s="4">
        <v>0</v>
      </c>
      <c r="Y1235" s="4"/>
      <c r="Z1235" s="4">
        <v>345.1</v>
      </c>
      <c r="AA1235" s="4">
        <v>350</v>
      </c>
      <c r="AB1235" s="18"/>
      <c r="AC1235" s="18">
        <v>24</v>
      </c>
      <c r="AD1235" s="28"/>
      <c r="AE1235" s="26"/>
      <c r="AF1235" s="28"/>
    </row>
    <row r="1236" spans="1:32" ht="13.5" customHeight="1" x14ac:dyDescent="0.25">
      <c r="A1236" s="14">
        <v>45823</v>
      </c>
      <c r="B1236" s="14" t="s">
        <v>47</v>
      </c>
      <c r="C1236" s="15">
        <v>4</v>
      </c>
      <c r="D1236" s="16"/>
      <c r="E1236" s="16"/>
      <c r="F1236" s="17"/>
      <c r="G1236" s="21"/>
      <c r="H1236" s="21"/>
      <c r="I1236" s="4">
        <v>0</v>
      </c>
      <c r="J1236" s="4">
        <v>0</v>
      </c>
      <c r="K1236" s="4"/>
      <c r="L1236" s="16"/>
      <c r="M1236" s="4"/>
      <c r="N1236" s="4"/>
      <c r="O1236" s="4"/>
      <c r="P1236" s="4"/>
      <c r="Q1236" s="4"/>
      <c r="R1236" s="4"/>
      <c r="S1236" s="4">
        <v>0</v>
      </c>
      <c r="T1236" s="4">
        <v>0</v>
      </c>
      <c r="U1236" s="4">
        <v>0</v>
      </c>
      <c r="V1236" s="4">
        <v>12</v>
      </c>
      <c r="W1236" s="4">
        <v>12</v>
      </c>
      <c r="X1236" s="4">
        <v>0</v>
      </c>
      <c r="Y1236" s="4"/>
      <c r="Z1236" s="4">
        <v>322.39999999999998</v>
      </c>
      <c r="AA1236" s="4">
        <v>350</v>
      </c>
      <c r="AB1236" s="18"/>
      <c r="AC1236" s="18">
        <v>24</v>
      </c>
      <c r="AD1236" s="28"/>
      <c r="AE1236" s="26"/>
      <c r="AF1236" s="28"/>
    </row>
    <row r="1237" spans="1:32" ht="13.5" customHeight="1" x14ac:dyDescent="0.25">
      <c r="A1237" s="14">
        <v>45823</v>
      </c>
      <c r="B1237" s="14" t="s">
        <v>46</v>
      </c>
      <c r="C1237" s="15">
        <v>6</v>
      </c>
      <c r="D1237" s="16">
        <v>7</v>
      </c>
      <c r="E1237" s="16"/>
      <c r="F1237" s="17"/>
      <c r="G1237" s="21"/>
      <c r="H1237" s="21"/>
      <c r="I1237" s="4">
        <v>7</v>
      </c>
      <c r="J1237" s="4">
        <v>0.11666666666666667</v>
      </c>
      <c r="K1237" s="4"/>
      <c r="L1237" s="16"/>
      <c r="M1237" s="4"/>
      <c r="N1237" s="4"/>
      <c r="O1237" s="4"/>
      <c r="P1237" s="4"/>
      <c r="Q1237" s="4"/>
      <c r="R1237" s="4"/>
      <c r="S1237" s="4">
        <v>0</v>
      </c>
      <c r="T1237" s="4">
        <v>0</v>
      </c>
      <c r="U1237" s="4">
        <v>0.11666666666666667</v>
      </c>
      <c r="V1237" s="4">
        <v>11.883333333333333</v>
      </c>
      <c r="W1237" s="4">
        <v>12</v>
      </c>
      <c r="X1237" s="4">
        <v>43</v>
      </c>
      <c r="Y1237" s="4"/>
      <c r="Z1237" s="4">
        <v>593.71</v>
      </c>
      <c r="AA1237" s="4">
        <v>600</v>
      </c>
      <c r="AB1237" s="18"/>
      <c r="AC1237" s="18">
        <v>24</v>
      </c>
      <c r="AD1237" s="28"/>
      <c r="AE1237" s="26"/>
      <c r="AF1237" s="28"/>
    </row>
    <row r="1238" spans="1:32" ht="13.5" customHeight="1" x14ac:dyDescent="0.25">
      <c r="A1238" s="14">
        <v>45823</v>
      </c>
      <c r="B1238" s="14" t="s">
        <v>47</v>
      </c>
      <c r="C1238" s="15">
        <v>6</v>
      </c>
      <c r="D1238" s="16">
        <v>15</v>
      </c>
      <c r="E1238" s="16"/>
      <c r="F1238" s="17"/>
      <c r="G1238" s="21"/>
      <c r="H1238" s="21"/>
      <c r="I1238" s="4">
        <v>15</v>
      </c>
      <c r="J1238" s="4">
        <v>0.25</v>
      </c>
      <c r="K1238" s="4"/>
      <c r="L1238" s="16"/>
      <c r="M1238" s="4"/>
      <c r="N1238" s="4"/>
      <c r="O1238" s="4"/>
      <c r="P1238" s="4">
        <v>45</v>
      </c>
      <c r="Q1238" s="4"/>
      <c r="R1238" s="4"/>
      <c r="S1238" s="4">
        <v>45</v>
      </c>
      <c r="T1238" s="4">
        <v>0.75</v>
      </c>
      <c r="U1238" s="4">
        <v>1</v>
      </c>
      <c r="V1238" s="4">
        <v>11</v>
      </c>
      <c r="W1238" s="4">
        <v>12</v>
      </c>
      <c r="X1238" s="4">
        <v>40</v>
      </c>
      <c r="Y1238" s="4"/>
      <c r="Z1238" s="4">
        <v>544.20000000000005</v>
      </c>
      <c r="AA1238" s="4">
        <v>550</v>
      </c>
      <c r="AB1238" s="18"/>
      <c r="AC1238" s="18">
        <v>24</v>
      </c>
      <c r="AD1238" s="28"/>
      <c r="AE1238" s="26"/>
      <c r="AF1238" s="28"/>
    </row>
    <row r="1239" spans="1:32" ht="13.5" customHeight="1" x14ac:dyDescent="0.25">
      <c r="A1239" s="14">
        <v>45823</v>
      </c>
      <c r="B1239" s="14" t="s">
        <v>46</v>
      </c>
      <c r="C1239" s="15">
        <v>7</v>
      </c>
      <c r="D1239" s="16"/>
      <c r="E1239" s="16"/>
      <c r="F1239" s="17"/>
      <c r="G1239" s="21"/>
      <c r="H1239" s="21"/>
      <c r="I1239" s="4">
        <v>0</v>
      </c>
      <c r="J1239" s="4">
        <v>0</v>
      </c>
      <c r="K1239" s="4"/>
      <c r="L1239" s="16"/>
      <c r="M1239" s="4"/>
      <c r="N1239" s="4"/>
      <c r="O1239" s="4"/>
      <c r="P1239" s="4"/>
      <c r="Q1239" s="4"/>
      <c r="R1239" s="4"/>
      <c r="S1239" s="4">
        <v>0</v>
      </c>
      <c r="T1239" s="4">
        <v>0</v>
      </c>
      <c r="U1239" s="4">
        <v>0</v>
      </c>
      <c r="V1239" s="4">
        <v>12</v>
      </c>
      <c r="W1239" s="4">
        <v>12</v>
      </c>
      <c r="X1239" s="4">
        <v>0</v>
      </c>
      <c r="Y1239" s="4"/>
      <c r="Z1239" s="4">
        <v>378.1</v>
      </c>
      <c r="AA1239" s="4">
        <v>400</v>
      </c>
      <c r="AB1239" s="18"/>
      <c r="AC1239" s="18">
        <v>24</v>
      </c>
      <c r="AD1239" s="28"/>
      <c r="AE1239" s="26"/>
      <c r="AF1239" s="28"/>
    </row>
    <row r="1240" spans="1:32" ht="13.5" customHeight="1" x14ac:dyDescent="0.25">
      <c r="A1240" s="14">
        <v>45823</v>
      </c>
      <c r="B1240" s="14" t="s">
        <v>47</v>
      </c>
      <c r="C1240" s="15">
        <v>7</v>
      </c>
      <c r="D1240" s="16"/>
      <c r="E1240" s="16"/>
      <c r="F1240" s="17"/>
      <c r="G1240" s="21"/>
      <c r="H1240" s="21"/>
      <c r="I1240" s="4">
        <v>0</v>
      </c>
      <c r="J1240" s="4">
        <v>0</v>
      </c>
      <c r="K1240" s="4"/>
      <c r="L1240" s="16"/>
      <c r="M1240" s="4"/>
      <c r="N1240" s="4"/>
      <c r="O1240" s="4"/>
      <c r="P1240" s="4"/>
      <c r="Q1240" s="4"/>
      <c r="R1240" s="4"/>
      <c r="S1240" s="4">
        <v>0</v>
      </c>
      <c r="T1240" s="4">
        <v>0</v>
      </c>
      <c r="U1240" s="4">
        <v>0</v>
      </c>
      <c r="V1240" s="4">
        <v>12</v>
      </c>
      <c r="W1240" s="4">
        <v>12</v>
      </c>
      <c r="X1240" s="4">
        <v>0</v>
      </c>
      <c r="Y1240" s="4"/>
      <c r="Z1240" s="4">
        <v>439.06000000000006</v>
      </c>
      <c r="AA1240" s="4">
        <v>450</v>
      </c>
      <c r="AB1240" s="18"/>
      <c r="AC1240" s="18">
        <v>24</v>
      </c>
      <c r="AD1240" s="28"/>
      <c r="AE1240" s="26"/>
      <c r="AF1240" s="28"/>
    </row>
    <row r="1241" spans="1:32" ht="13.5" customHeight="1" x14ac:dyDescent="0.25">
      <c r="A1241" s="14">
        <v>45824</v>
      </c>
      <c r="B1241" s="14" t="s">
        <v>46</v>
      </c>
      <c r="C1241" s="15">
        <v>3</v>
      </c>
      <c r="D1241" s="16">
        <v>3</v>
      </c>
      <c r="E1241" s="16"/>
      <c r="F1241" s="17"/>
      <c r="G1241" s="21"/>
      <c r="H1241" s="21"/>
      <c r="I1241" s="4">
        <v>3</v>
      </c>
      <c r="J1241" s="4">
        <v>0.05</v>
      </c>
      <c r="K1241" s="4"/>
      <c r="L1241" s="16"/>
      <c r="M1241" s="4"/>
      <c r="N1241" s="4"/>
      <c r="O1241" s="4"/>
      <c r="P1241" s="4"/>
      <c r="Q1241" s="4"/>
      <c r="R1241" s="4"/>
      <c r="S1241" s="4">
        <v>0</v>
      </c>
      <c r="T1241" s="4">
        <v>0</v>
      </c>
      <c r="U1241" s="4">
        <v>0.05</v>
      </c>
      <c r="V1241" s="4">
        <v>11.95</v>
      </c>
      <c r="W1241" s="4">
        <v>12</v>
      </c>
      <c r="X1241" s="4">
        <v>0</v>
      </c>
      <c r="Y1241" s="4">
        <v>1833</v>
      </c>
      <c r="Z1241" s="4">
        <v>202.79999999999998</v>
      </c>
      <c r="AA1241" s="4">
        <v>200</v>
      </c>
      <c r="AB1241" s="18">
        <v>372</v>
      </c>
      <c r="AC1241" s="18">
        <v>25</v>
      </c>
      <c r="AD1241" s="28"/>
      <c r="AE1241" s="26"/>
      <c r="AF1241" s="28"/>
    </row>
    <row r="1242" spans="1:32" ht="13.5" customHeight="1" x14ac:dyDescent="0.25">
      <c r="A1242" s="14">
        <v>45824</v>
      </c>
      <c r="B1242" s="14" t="s">
        <v>47</v>
      </c>
      <c r="C1242" s="15">
        <v>3</v>
      </c>
      <c r="D1242" s="16"/>
      <c r="E1242" s="16"/>
      <c r="F1242" s="17"/>
      <c r="G1242" s="21"/>
      <c r="H1242" s="21"/>
      <c r="I1242" s="4">
        <v>0</v>
      </c>
      <c r="J1242" s="4">
        <v>0</v>
      </c>
      <c r="K1242" s="4"/>
      <c r="L1242" s="16"/>
      <c r="M1242" s="4"/>
      <c r="N1242" s="4"/>
      <c r="O1242" s="4"/>
      <c r="P1242" s="4"/>
      <c r="Q1242" s="4"/>
      <c r="R1242" s="4"/>
      <c r="S1242" s="4">
        <v>0</v>
      </c>
      <c r="T1242" s="4">
        <v>0</v>
      </c>
      <c r="U1242" s="4">
        <v>0</v>
      </c>
      <c r="V1242" s="4">
        <v>12</v>
      </c>
      <c r="W1242" s="4">
        <v>12</v>
      </c>
      <c r="X1242" s="4">
        <v>0</v>
      </c>
      <c r="Y1242" s="4"/>
      <c r="Z1242" s="4">
        <v>178.2</v>
      </c>
      <c r="AA1242" s="4">
        <v>200</v>
      </c>
      <c r="AB1242" s="18"/>
      <c r="AC1242" s="18">
        <v>25</v>
      </c>
      <c r="AD1242" s="28"/>
      <c r="AE1242" s="26"/>
      <c r="AF1242" s="28"/>
    </row>
    <row r="1243" spans="1:32" ht="13.5" customHeight="1" x14ac:dyDescent="0.25">
      <c r="A1243" s="14">
        <v>45824</v>
      </c>
      <c r="B1243" s="14" t="s">
        <v>46</v>
      </c>
      <c r="C1243" s="15">
        <v>4</v>
      </c>
      <c r="D1243" s="16"/>
      <c r="E1243" s="16"/>
      <c r="F1243" s="17"/>
      <c r="G1243" s="21"/>
      <c r="H1243" s="21"/>
      <c r="I1243" s="4">
        <v>0</v>
      </c>
      <c r="J1243" s="4">
        <v>0</v>
      </c>
      <c r="K1243" s="4"/>
      <c r="L1243" s="16"/>
      <c r="M1243" s="4"/>
      <c r="N1243" s="4"/>
      <c r="O1243" s="4"/>
      <c r="P1243" s="4"/>
      <c r="Q1243" s="4"/>
      <c r="R1243" s="4"/>
      <c r="S1243" s="4">
        <v>0</v>
      </c>
      <c r="T1243" s="4">
        <v>0</v>
      </c>
      <c r="U1243" s="4">
        <v>0</v>
      </c>
      <c r="V1243" s="4">
        <v>12</v>
      </c>
      <c r="W1243" s="4">
        <v>12</v>
      </c>
      <c r="X1243" s="4">
        <v>0</v>
      </c>
      <c r="Y1243" s="4"/>
      <c r="Z1243" s="4">
        <v>373.90000000000003</v>
      </c>
      <c r="AA1243" s="4">
        <v>400</v>
      </c>
      <c r="AB1243" s="18"/>
      <c r="AC1243" s="18">
        <v>25</v>
      </c>
      <c r="AD1243" s="28"/>
      <c r="AE1243" s="26"/>
      <c r="AF1243" s="28"/>
    </row>
    <row r="1244" spans="1:32" ht="13.5" customHeight="1" x14ac:dyDescent="0.25">
      <c r="A1244" s="14">
        <v>45824</v>
      </c>
      <c r="B1244" s="14" t="s">
        <v>47</v>
      </c>
      <c r="C1244" s="15">
        <v>4</v>
      </c>
      <c r="D1244" s="16"/>
      <c r="E1244" s="16"/>
      <c r="F1244" s="17"/>
      <c r="G1244" s="21"/>
      <c r="H1244" s="21"/>
      <c r="I1244" s="4">
        <v>0</v>
      </c>
      <c r="J1244" s="4">
        <v>0</v>
      </c>
      <c r="K1244" s="4"/>
      <c r="L1244" s="16"/>
      <c r="M1244" s="4"/>
      <c r="N1244" s="4"/>
      <c r="O1244" s="4"/>
      <c r="P1244" s="4"/>
      <c r="Q1244" s="4"/>
      <c r="R1244" s="4"/>
      <c r="S1244" s="4">
        <v>0</v>
      </c>
      <c r="T1244" s="4">
        <v>0</v>
      </c>
      <c r="U1244" s="4">
        <v>0</v>
      </c>
      <c r="V1244" s="4">
        <v>12</v>
      </c>
      <c r="W1244" s="4">
        <v>12</v>
      </c>
      <c r="X1244" s="4">
        <v>0</v>
      </c>
      <c r="Y1244" s="4"/>
      <c r="Z1244" s="4">
        <v>313.60000000000002</v>
      </c>
      <c r="AA1244" s="4">
        <v>300</v>
      </c>
      <c r="AB1244" s="18"/>
      <c r="AC1244" s="18">
        <v>25</v>
      </c>
      <c r="AD1244" s="28"/>
      <c r="AE1244" s="26"/>
      <c r="AF1244" s="28"/>
    </row>
    <row r="1245" spans="1:32" ht="13.5" customHeight="1" x14ac:dyDescent="0.25">
      <c r="A1245" s="14">
        <v>45824</v>
      </c>
      <c r="B1245" s="14" t="s">
        <v>46</v>
      </c>
      <c r="C1245" s="15">
        <v>6</v>
      </c>
      <c r="D1245" s="16"/>
      <c r="E1245" s="16"/>
      <c r="F1245" s="17"/>
      <c r="G1245" s="21"/>
      <c r="H1245" s="21"/>
      <c r="I1245" s="4">
        <v>0</v>
      </c>
      <c r="J1245" s="4">
        <v>0</v>
      </c>
      <c r="K1245" s="4"/>
      <c r="L1245" s="16"/>
      <c r="M1245" s="4"/>
      <c r="N1245" s="4">
        <v>40</v>
      </c>
      <c r="O1245" s="4"/>
      <c r="P1245" s="4"/>
      <c r="Q1245" s="4"/>
      <c r="R1245" s="4"/>
      <c r="S1245" s="4">
        <v>40</v>
      </c>
      <c r="T1245" s="4">
        <v>0.66666666666666663</v>
      </c>
      <c r="U1245" s="4">
        <v>0.66666666666666663</v>
      </c>
      <c r="V1245" s="4">
        <v>11.333333333333334</v>
      </c>
      <c r="W1245" s="4">
        <v>12</v>
      </c>
      <c r="X1245" s="4">
        <v>12</v>
      </c>
      <c r="Y1245" s="4"/>
      <c r="Z1245" s="4">
        <v>1033.4000000000001</v>
      </c>
      <c r="AA1245" s="4">
        <v>1050</v>
      </c>
      <c r="AB1245" s="18"/>
      <c r="AC1245" s="18">
        <v>25</v>
      </c>
      <c r="AD1245" s="28"/>
      <c r="AE1245" s="26"/>
      <c r="AF1245" s="28"/>
    </row>
    <row r="1246" spans="1:32" ht="13.5" customHeight="1" x14ac:dyDescent="0.25">
      <c r="A1246" s="14">
        <v>45824</v>
      </c>
      <c r="B1246" s="14" t="s">
        <v>47</v>
      </c>
      <c r="C1246" s="15">
        <v>6</v>
      </c>
      <c r="D1246" s="16">
        <v>5</v>
      </c>
      <c r="E1246" s="16"/>
      <c r="F1246" s="17"/>
      <c r="G1246" s="21"/>
      <c r="H1246" s="21"/>
      <c r="I1246" s="4">
        <v>5</v>
      </c>
      <c r="J1246" s="4">
        <v>8.3333333333333329E-2</v>
      </c>
      <c r="K1246" s="4"/>
      <c r="L1246" s="16"/>
      <c r="M1246" s="4"/>
      <c r="N1246" s="4"/>
      <c r="O1246" s="4"/>
      <c r="P1246" s="4"/>
      <c r="Q1246" s="4"/>
      <c r="R1246" s="4"/>
      <c r="S1246" s="4">
        <v>0</v>
      </c>
      <c r="T1246" s="4">
        <v>0</v>
      </c>
      <c r="U1246" s="4">
        <v>8.3333333333333329E-2</v>
      </c>
      <c r="V1246" s="4">
        <v>11.916666666666666</v>
      </c>
      <c r="W1246" s="4">
        <v>12</v>
      </c>
      <c r="X1246" s="4">
        <v>35</v>
      </c>
      <c r="Y1246" s="4"/>
      <c r="Z1246" s="4">
        <v>922.19999999999993</v>
      </c>
      <c r="AA1246" s="4">
        <v>900</v>
      </c>
      <c r="AB1246" s="18"/>
      <c r="AC1246" s="18">
        <v>25</v>
      </c>
      <c r="AD1246" s="28"/>
      <c r="AE1246" s="26"/>
      <c r="AF1246" s="28"/>
    </row>
    <row r="1247" spans="1:32" ht="13.5" customHeight="1" x14ac:dyDescent="0.25">
      <c r="A1247" s="14">
        <v>45824</v>
      </c>
      <c r="B1247" s="14" t="s">
        <v>46</v>
      </c>
      <c r="C1247" s="15">
        <v>7</v>
      </c>
      <c r="D1247" s="16">
        <v>3</v>
      </c>
      <c r="E1247" s="16"/>
      <c r="F1247" s="17"/>
      <c r="G1247" s="21"/>
      <c r="H1247" s="21"/>
      <c r="I1247" s="4">
        <v>3</v>
      </c>
      <c r="J1247" s="4">
        <v>0.05</v>
      </c>
      <c r="K1247" s="4"/>
      <c r="L1247" s="16"/>
      <c r="M1247" s="4"/>
      <c r="N1247" s="4"/>
      <c r="O1247" s="4"/>
      <c r="P1247" s="4"/>
      <c r="Q1247" s="4"/>
      <c r="R1247" s="4"/>
      <c r="S1247" s="4">
        <v>0</v>
      </c>
      <c r="T1247" s="4">
        <v>0</v>
      </c>
      <c r="U1247" s="4">
        <v>0.05</v>
      </c>
      <c r="V1247" s="4">
        <v>11.95</v>
      </c>
      <c r="W1247" s="4">
        <v>12</v>
      </c>
      <c r="X1247" s="4">
        <v>0</v>
      </c>
      <c r="Y1247" s="4"/>
      <c r="Z1247" s="4">
        <v>297.35000000000002</v>
      </c>
      <c r="AA1247" s="4">
        <v>300</v>
      </c>
      <c r="AB1247" s="18"/>
      <c r="AC1247" s="18">
        <v>25</v>
      </c>
      <c r="AD1247" s="28"/>
      <c r="AE1247" s="26"/>
      <c r="AF1247" s="28"/>
    </row>
    <row r="1248" spans="1:32" ht="13.5" customHeight="1" x14ac:dyDescent="0.25">
      <c r="A1248" s="14">
        <v>45824</v>
      </c>
      <c r="B1248" s="14" t="s">
        <v>47</v>
      </c>
      <c r="C1248" s="15">
        <v>7</v>
      </c>
      <c r="D1248" s="16"/>
      <c r="E1248" s="16"/>
      <c r="F1248" s="17"/>
      <c r="G1248" s="21"/>
      <c r="H1248" s="21"/>
      <c r="I1248" s="4">
        <v>0</v>
      </c>
      <c r="J1248" s="4">
        <v>0</v>
      </c>
      <c r="K1248" s="4"/>
      <c r="L1248" s="16"/>
      <c r="M1248" s="4"/>
      <c r="N1248" s="4"/>
      <c r="O1248" s="4"/>
      <c r="P1248" s="4"/>
      <c r="Q1248" s="4"/>
      <c r="R1248" s="4"/>
      <c r="S1248" s="4">
        <v>0</v>
      </c>
      <c r="T1248" s="4">
        <v>0</v>
      </c>
      <c r="U1248" s="4">
        <v>0</v>
      </c>
      <c r="V1248" s="4">
        <v>12</v>
      </c>
      <c r="W1248" s="4">
        <v>12</v>
      </c>
      <c r="X1248" s="4">
        <v>2.6</v>
      </c>
      <c r="Y1248" s="4"/>
      <c r="Z1248" s="4">
        <v>328.78999999999996</v>
      </c>
      <c r="AA1248" s="4">
        <v>350</v>
      </c>
      <c r="AB1248" s="18"/>
      <c r="AC1248" s="18">
        <v>25</v>
      </c>
      <c r="AD1248" s="28"/>
      <c r="AE1248" s="26"/>
      <c r="AF1248" s="28"/>
    </row>
    <row r="1249" spans="1:32" ht="13.5" customHeight="1" x14ac:dyDescent="0.25">
      <c r="A1249" s="14">
        <v>45825</v>
      </c>
      <c r="B1249" s="14" t="s">
        <v>46</v>
      </c>
      <c r="C1249" s="15">
        <v>3</v>
      </c>
      <c r="D1249" s="16">
        <v>2</v>
      </c>
      <c r="E1249" s="16"/>
      <c r="F1249" s="17"/>
      <c r="G1249" s="21"/>
      <c r="H1249" s="21"/>
      <c r="I1249" s="4">
        <v>2</v>
      </c>
      <c r="J1249" s="4">
        <v>3.3333333333333333E-2</v>
      </c>
      <c r="K1249" s="4"/>
      <c r="L1249" s="16"/>
      <c r="M1249" s="4"/>
      <c r="N1249" s="4"/>
      <c r="O1249" s="4"/>
      <c r="P1249" s="4"/>
      <c r="Q1249" s="4"/>
      <c r="R1249" s="4"/>
      <c r="S1249" s="4">
        <v>0</v>
      </c>
      <c r="T1249" s="4">
        <v>0</v>
      </c>
      <c r="U1249" s="4">
        <v>3.3333333333333333E-2</v>
      </c>
      <c r="V1249" s="4">
        <v>11.966666666666667</v>
      </c>
      <c r="W1249" s="4">
        <v>12</v>
      </c>
      <c r="X1249" s="4">
        <v>0</v>
      </c>
      <c r="Y1249" s="4">
        <v>1829</v>
      </c>
      <c r="Z1249" s="4">
        <v>221.7</v>
      </c>
      <c r="AA1249" s="4">
        <v>200</v>
      </c>
      <c r="AB1249" s="18">
        <v>372</v>
      </c>
      <c r="AC1249" s="18">
        <v>25</v>
      </c>
      <c r="AD1249" s="28"/>
      <c r="AE1249" s="26"/>
      <c r="AF1249" s="28"/>
    </row>
    <row r="1250" spans="1:32" ht="13.5" customHeight="1" x14ac:dyDescent="0.25">
      <c r="A1250" s="14">
        <v>45825</v>
      </c>
      <c r="B1250" s="14" t="s">
        <v>47</v>
      </c>
      <c r="C1250" s="15">
        <v>3</v>
      </c>
      <c r="D1250" s="16">
        <v>4</v>
      </c>
      <c r="E1250" s="16"/>
      <c r="F1250" s="17"/>
      <c r="G1250" s="21"/>
      <c r="H1250" s="21"/>
      <c r="I1250" s="4">
        <v>4</v>
      </c>
      <c r="J1250" s="4">
        <v>6.6666666666666666E-2</v>
      </c>
      <c r="K1250" s="4"/>
      <c r="L1250" s="16"/>
      <c r="M1250" s="4"/>
      <c r="N1250" s="4"/>
      <c r="O1250" s="4"/>
      <c r="P1250" s="4"/>
      <c r="Q1250" s="4"/>
      <c r="R1250" s="4"/>
      <c r="S1250" s="4">
        <v>0</v>
      </c>
      <c r="T1250" s="4">
        <v>0</v>
      </c>
      <c r="U1250" s="4">
        <v>6.6666666666666666E-2</v>
      </c>
      <c r="V1250" s="4">
        <v>11.933333333333334</v>
      </c>
      <c r="W1250" s="4">
        <v>12</v>
      </c>
      <c r="X1250" s="4">
        <v>0</v>
      </c>
      <c r="Y1250" s="4"/>
      <c r="Z1250" s="4">
        <v>235.20000000000002</v>
      </c>
      <c r="AA1250" s="4">
        <v>250</v>
      </c>
      <c r="AB1250" s="18"/>
      <c r="AC1250" s="18">
        <v>25</v>
      </c>
      <c r="AD1250" s="28"/>
      <c r="AE1250" s="26"/>
      <c r="AF1250" s="28"/>
    </row>
    <row r="1251" spans="1:32" ht="13.5" customHeight="1" x14ac:dyDescent="0.25">
      <c r="A1251" s="14">
        <v>45825</v>
      </c>
      <c r="B1251" s="14" t="s">
        <v>46</v>
      </c>
      <c r="C1251" s="15">
        <v>4</v>
      </c>
      <c r="D1251" s="16"/>
      <c r="E1251" s="16"/>
      <c r="F1251" s="17"/>
      <c r="G1251" s="21"/>
      <c r="H1251" s="21"/>
      <c r="I1251" s="4">
        <v>0</v>
      </c>
      <c r="J1251" s="4">
        <v>0</v>
      </c>
      <c r="K1251" s="4"/>
      <c r="L1251" s="16"/>
      <c r="M1251" s="4"/>
      <c r="N1251" s="4"/>
      <c r="O1251" s="4"/>
      <c r="P1251" s="4"/>
      <c r="Q1251" s="4"/>
      <c r="R1251" s="4"/>
      <c r="S1251" s="4">
        <v>0</v>
      </c>
      <c r="T1251" s="4">
        <v>0</v>
      </c>
      <c r="U1251" s="4">
        <v>0</v>
      </c>
      <c r="V1251" s="4">
        <v>12</v>
      </c>
      <c r="W1251" s="4">
        <v>12</v>
      </c>
      <c r="X1251" s="4">
        <v>0</v>
      </c>
      <c r="Y1251" s="4"/>
      <c r="Z1251" s="4">
        <v>351.6</v>
      </c>
      <c r="AA1251" s="4">
        <v>350</v>
      </c>
      <c r="AB1251" s="18"/>
      <c r="AC1251" s="18">
        <v>25</v>
      </c>
      <c r="AD1251" s="28"/>
      <c r="AE1251" s="26"/>
      <c r="AF1251" s="28"/>
    </row>
    <row r="1252" spans="1:32" ht="13.5" customHeight="1" x14ac:dyDescent="0.25">
      <c r="A1252" s="14">
        <v>45825</v>
      </c>
      <c r="B1252" s="14" t="s">
        <v>47</v>
      </c>
      <c r="C1252" s="15">
        <v>4</v>
      </c>
      <c r="D1252" s="16"/>
      <c r="E1252" s="16"/>
      <c r="F1252" s="17"/>
      <c r="G1252" s="21"/>
      <c r="H1252" s="21"/>
      <c r="I1252" s="4">
        <v>0</v>
      </c>
      <c r="J1252" s="4">
        <v>0</v>
      </c>
      <c r="K1252" s="4"/>
      <c r="L1252" s="16"/>
      <c r="M1252" s="4"/>
      <c r="N1252" s="4"/>
      <c r="O1252" s="4"/>
      <c r="P1252" s="4"/>
      <c r="Q1252" s="4"/>
      <c r="R1252" s="4"/>
      <c r="S1252" s="4">
        <v>0</v>
      </c>
      <c r="T1252" s="4">
        <v>0</v>
      </c>
      <c r="U1252" s="4">
        <v>0</v>
      </c>
      <c r="V1252" s="4">
        <v>12</v>
      </c>
      <c r="W1252" s="4">
        <v>12</v>
      </c>
      <c r="X1252" s="4">
        <v>0</v>
      </c>
      <c r="Y1252" s="4"/>
      <c r="Z1252" s="4">
        <v>304.39999999999998</v>
      </c>
      <c r="AA1252" s="4">
        <v>300</v>
      </c>
      <c r="AB1252" s="18"/>
      <c r="AC1252" s="18">
        <v>25</v>
      </c>
      <c r="AD1252" s="28"/>
      <c r="AE1252" s="26"/>
      <c r="AF1252" s="28"/>
    </row>
    <row r="1253" spans="1:32" ht="13.5" customHeight="1" x14ac:dyDescent="0.25">
      <c r="A1253" s="14">
        <v>45825</v>
      </c>
      <c r="B1253" s="14" t="s">
        <v>46</v>
      </c>
      <c r="C1253" s="15">
        <v>6</v>
      </c>
      <c r="D1253" s="16"/>
      <c r="E1253" s="16"/>
      <c r="F1253" s="17"/>
      <c r="G1253" s="21"/>
      <c r="H1253" s="21"/>
      <c r="I1253" s="4">
        <v>0</v>
      </c>
      <c r="J1253" s="4">
        <v>0</v>
      </c>
      <c r="K1253" s="4"/>
      <c r="L1253" s="16"/>
      <c r="M1253" s="4"/>
      <c r="N1253" s="4"/>
      <c r="O1253" s="4"/>
      <c r="P1253" s="4"/>
      <c r="Q1253" s="4"/>
      <c r="R1253" s="4"/>
      <c r="S1253" s="4">
        <v>0</v>
      </c>
      <c r="T1253" s="4">
        <v>0</v>
      </c>
      <c r="U1253" s="4">
        <v>0</v>
      </c>
      <c r="V1253" s="4">
        <v>12</v>
      </c>
      <c r="W1253" s="4">
        <v>12</v>
      </c>
      <c r="X1253" s="4">
        <v>34</v>
      </c>
      <c r="Y1253" s="4"/>
      <c r="Z1253" s="4">
        <v>577.4</v>
      </c>
      <c r="AA1253" s="4">
        <v>600</v>
      </c>
      <c r="AB1253" s="18"/>
      <c r="AC1253" s="18">
        <v>25</v>
      </c>
      <c r="AD1253" s="28"/>
      <c r="AE1253" s="26"/>
      <c r="AF1253" s="28"/>
    </row>
    <row r="1254" spans="1:32" ht="13.5" customHeight="1" x14ac:dyDescent="0.25">
      <c r="A1254" s="14">
        <v>45825</v>
      </c>
      <c r="B1254" s="14" t="s">
        <v>47</v>
      </c>
      <c r="C1254" s="15">
        <v>6</v>
      </c>
      <c r="D1254" s="16"/>
      <c r="E1254" s="16"/>
      <c r="F1254" s="17"/>
      <c r="G1254" s="21"/>
      <c r="H1254" s="21"/>
      <c r="I1254" s="4">
        <v>0</v>
      </c>
      <c r="J1254" s="4">
        <v>0</v>
      </c>
      <c r="K1254" s="4"/>
      <c r="L1254" s="16"/>
      <c r="M1254" s="4"/>
      <c r="N1254" s="4">
        <v>30</v>
      </c>
      <c r="O1254" s="4"/>
      <c r="P1254" s="4"/>
      <c r="Q1254" s="4"/>
      <c r="R1254" s="4"/>
      <c r="S1254" s="4">
        <v>30</v>
      </c>
      <c r="T1254" s="4">
        <v>0.5</v>
      </c>
      <c r="U1254" s="4">
        <v>0.5</v>
      </c>
      <c r="V1254" s="4">
        <v>11.5</v>
      </c>
      <c r="W1254" s="4">
        <v>12</v>
      </c>
      <c r="X1254" s="4">
        <v>56</v>
      </c>
      <c r="Y1254" s="4"/>
      <c r="Z1254" s="4">
        <v>540.19999999999993</v>
      </c>
      <c r="AA1254" s="4">
        <v>550</v>
      </c>
      <c r="AB1254" s="18"/>
      <c r="AC1254" s="18">
        <v>25</v>
      </c>
      <c r="AD1254" s="28"/>
      <c r="AE1254" s="26"/>
      <c r="AF1254" s="28"/>
    </row>
    <row r="1255" spans="1:32" ht="13.5" customHeight="1" x14ac:dyDescent="0.25">
      <c r="A1255" s="14">
        <v>45825</v>
      </c>
      <c r="B1255" s="14" t="s">
        <v>46</v>
      </c>
      <c r="C1255" s="15">
        <v>7</v>
      </c>
      <c r="D1255" s="16">
        <v>5</v>
      </c>
      <c r="E1255" s="16"/>
      <c r="F1255" s="17"/>
      <c r="G1255" s="21"/>
      <c r="H1255" s="21"/>
      <c r="I1255" s="4">
        <v>5</v>
      </c>
      <c r="J1255" s="4">
        <v>8.3333333333333329E-2</v>
      </c>
      <c r="K1255" s="4"/>
      <c r="L1255" s="16"/>
      <c r="M1255" s="4"/>
      <c r="N1255" s="4"/>
      <c r="O1255" s="4"/>
      <c r="P1255" s="4"/>
      <c r="Q1255" s="4"/>
      <c r="R1255" s="4"/>
      <c r="S1255" s="4">
        <v>0</v>
      </c>
      <c r="T1255" s="4">
        <v>0</v>
      </c>
      <c r="U1255" s="4">
        <v>8.3333333333333329E-2</v>
      </c>
      <c r="V1255" s="4">
        <v>11.916666666666666</v>
      </c>
      <c r="W1255" s="4">
        <v>12</v>
      </c>
      <c r="X1255" s="4">
        <v>0</v>
      </c>
      <c r="Y1255" s="4"/>
      <c r="Z1255" s="4">
        <v>326.7</v>
      </c>
      <c r="AA1255" s="4">
        <v>300</v>
      </c>
      <c r="AB1255" s="18"/>
      <c r="AC1255" s="18">
        <v>25</v>
      </c>
      <c r="AD1255" s="28"/>
      <c r="AE1255" s="26"/>
      <c r="AF1255" s="28"/>
    </row>
    <row r="1256" spans="1:32" ht="13.5" customHeight="1" x14ac:dyDescent="0.25">
      <c r="A1256" s="14">
        <v>45825</v>
      </c>
      <c r="B1256" s="14" t="s">
        <v>47</v>
      </c>
      <c r="C1256" s="15">
        <v>7</v>
      </c>
      <c r="D1256" s="16">
        <v>8</v>
      </c>
      <c r="E1256" s="16"/>
      <c r="F1256" s="17"/>
      <c r="G1256" s="21"/>
      <c r="H1256" s="21"/>
      <c r="I1256" s="4">
        <v>8</v>
      </c>
      <c r="J1256" s="4">
        <v>0.13333333333333333</v>
      </c>
      <c r="K1256" s="4"/>
      <c r="L1256" s="16"/>
      <c r="M1256" s="4"/>
      <c r="N1256" s="4"/>
      <c r="O1256" s="4"/>
      <c r="P1256" s="4"/>
      <c r="Q1256" s="4"/>
      <c r="R1256" s="4"/>
      <c r="S1256" s="4">
        <v>0</v>
      </c>
      <c r="T1256" s="4">
        <v>0</v>
      </c>
      <c r="U1256" s="4">
        <v>0.13333333333333333</v>
      </c>
      <c r="V1256" s="4">
        <v>11.866666666666667</v>
      </c>
      <c r="W1256" s="4">
        <v>12</v>
      </c>
      <c r="X1256" s="4">
        <v>10.8</v>
      </c>
      <c r="Y1256" s="4"/>
      <c r="Z1256" s="4">
        <v>432.9</v>
      </c>
      <c r="AA1256" s="4">
        <v>450</v>
      </c>
      <c r="AB1256" s="18"/>
      <c r="AC1256" s="18">
        <v>25</v>
      </c>
      <c r="AD1256" s="28"/>
      <c r="AE1256" s="26"/>
      <c r="AF1256" s="28"/>
    </row>
    <row r="1257" spans="1:32" ht="13.5" customHeight="1" x14ac:dyDescent="0.25">
      <c r="A1257" s="14">
        <v>45826</v>
      </c>
      <c r="B1257" s="14" t="s">
        <v>46</v>
      </c>
      <c r="C1257" s="15">
        <v>3</v>
      </c>
      <c r="D1257" s="16"/>
      <c r="E1257" s="16"/>
      <c r="F1257" s="17"/>
      <c r="G1257" s="21"/>
      <c r="H1257" s="21"/>
      <c r="I1257" s="4">
        <v>0</v>
      </c>
      <c r="J1257" s="4">
        <v>0</v>
      </c>
      <c r="K1257" s="4"/>
      <c r="L1257" s="16"/>
      <c r="M1257" s="4"/>
      <c r="N1257" s="4"/>
      <c r="O1257" s="4"/>
      <c r="P1257" s="4"/>
      <c r="Q1257" s="4"/>
      <c r="R1257" s="4"/>
      <c r="S1257" s="4">
        <v>0</v>
      </c>
      <c r="T1257" s="4">
        <v>0</v>
      </c>
      <c r="U1257" s="4">
        <v>0</v>
      </c>
      <c r="V1257" s="4">
        <v>12</v>
      </c>
      <c r="W1257" s="4">
        <v>12</v>
      </c>
      <c r="X1257" s="4">
        <v>0</v>
      </c>
      <c r="Y1257" s="4">
        <v>1913</v>
      </c>
      <c r="Z1257" s="4">
        <v>254.95000000000002</v>
      </c>
      <c r="AA1257" s="4">
        <v>250</v>
      </c>
      <c r="AB1257" s="18">
        <v>372</v>
      </c>
      <c r="AC1257" s="18">
        <v>25</v>
      </c>
      <c r="AD1257" s="28"/>
      <c r="AE1257" s="26"/>
      <c r="AF1257" s="28"/>
    </row>
    <row r="1258" spans="1:32" ht="13.5" customHeight="1" x14ac:dyDescent="0.25">
      <c r="A1258" s="14">
        <v>45826</v>
      </c>
      <c r="B1258" s="14" t="s">
        <v>47</v>
      </c>
      <c r="C1258" s="15">
        <v>3</v>
      </c>
      <c r="D1258" s="16">
        <v>15</v>
      </c>
      <c r="E1258" s="16"/>
      <c r="F1258" s="17"/>
      <c r="G1258" s="21"/>
      <c r="H1258" s="21"/>
      <c r="I1258" s="4">
        <v>15</v>
      </c>
      <c r="J1258" s="4">
        <v>0.25</v>
      </c>
      <c r="K1258" s="4"/>
      <c r="L1258" s="16"/>
      <c r="M1258" s="4"/>
      <c r="N1258" s="4"/>
      <c r="O1258" s="4"/>
      <c r="P1258" s="4"/>
      <c r="Q1258" s="4"/>
      <c r="R1258" s="4"/>
      <c r="S1258" s="4">
        <v>0</v>
      </c>
      <c r="T1258" s="4">
        <v>0</v>
      </c>
      <c r="U1258" s="4">
        <v>0.25</v>
      </c>
      <c r="V1258" s="4">
        <v>11.75</v>
      </c>
      <c r="W1258" s="4">
        <v>12</v>
      </c>
      <c r="X1258" s="4">
        <v>0</v>
      </c>
      <c r="Y1258" s="4"/>
      <c r="Z1258" s="4">
        <v>404.20000000000005</v>
      </c>
      <c r="AA1258" s="4">
        <v>400</v>
      </c>
      <c r="AB1258" s="18"/>
      <c r="AC1258" s="18">
        <v>25</v>
      </c>
      <c r="AD1258" s="28"/>
      <c r="AE1258" s="26"/>
      <c r="AF1258" s="28"/>
    </row>
    <row r="1259" spans="1:32" ht="13.5" customHeight="1" x14ac:dyDescent="0.25">
      <c r="A1259" s="14">
        <v>45826</v>
      </c>
      <c r="B1259" s="14" t="s">
        <v>46</v>
      </c>
      <c r="C1259" s="15">
        <v>4</v>
      </c>
      <c r="D1259" s="16"/>
      <c r="E1259" s="16"/>
      <c r="F1259" s="17"/>
      <c r="G1259" s="21"/>
      <c r="H1259" s="21"/>
      <c r="I1259" s="4">
        <v>0</v>
      </c>
      <c r="J1259" s="4">
        <v>0</v>
      </c>
      <c r="K1259" s="4"/>
      <c r="L1259" s="16"/>
      <c r="M1259" s="4"/>
      <c r="N1259" s="4"/>
      <c r="O1259" s="4"/>
      <c r="P1259" s="4">
        <v>90</v>
      </c>
      <c r="Q1259" s="4"/>
      <c r="R1259" s="4"/>
      <c r="S1259" s="4">
        <v>90</v>
      </c>
      <c r="T1259" s="4">
        <v>1.5</v>
      </c>
      <c r="U1259" s="4">
        <v>1.5</v>
      </c>
      <c r="V1259" s="4">
        <v>10.5</v>
      </c>
      <c r="W1259" s="4">
        <v>12</v>
      </c>
      <c r="X1259" s="4">
        <v>0</v>
      </c>
      <c r="Y1259" s="4"/>
      <c r="Z1259" s="4">
        <v>373.70000000000005</v>
      </c>
      <c r="AA1259" s="4">
        <v>450</v>
      </c>
      <c r="AB1259" s="18"/>
      <c r="AC1259" s="18">
        <v>25</v>
      </c>
      <c r="AD1259" s="28"/>
      <c r="AE1259" s="26"/>
      <c r="AF1259" s="28"/>
    </row>
    <row r="1260" spans="1:32" ht="13.5" customHeight="1" x14ac:dyDescent="0.25">
      <c r="A1260" s="14">
        <v>45826</v>
      </c>
      <c r="B1260" s="14" t="s">
        <v>47</v>
      </c>
      <c r="C1260" s="15">
        <v>4</v>
      </c>
      <c r="D1260" s="16"/>
      <c r="E1260" s="16"/>
      <c r="F1260" s="17"/>
      <c r="G1260" s="21"/>
      <c r="H1260" s="21"/>
      <c r="I1260" s="4">
        <v>0</v>
      </c>
      <c r="J1260" s="4">
        <v>0</v>
      </c>
      <c r="K1260" s="4"/>
      <c r="L1260" s="16"/>
      <c r="M1260" s="4"/>
      <c r="N1260" s="4"/>
      <c r="O1260" s="4"/>
      <c r="P1260" s="4"/>
      <c r="Q1260" s="4"/>
      <c r="R1260" s="4"/>
      <c r="S1260" s="4">
        <v>0</v>
      </c>
      <c r="T1260" s="4">
        <v>0</v>
      </c>
      <c r="U1260" s="4">
        <v>0</v>
      </c>
      <c r="V1260" s="4">
        <v>12</v>
      </c>
      <c r="W1260" s="4">
        <v>12</v>
      </c>
      <c r="X1260" s="4">
        <v>20</v>
      </c>
      <c r="Y1260" s="4"/>
      <c r="Z1260" s="4">
        <v>329.4</v>
      </c>
      <c r="AA1260" s="4">
        <v>350</v>
      </c>
      <c r="AB1260" s="18"/>
      <c r="AC1260" s="18">
        <v>25</v>
      </c>
      <c r="AD1260" s="28"/>
      <c r="AE1260" s="26"/>
      <c r="AF1260" s="28"/>
    </row>
    <row r="1261" spans="1:32" ht="13.5" customHeight="1" x14ac:dyDescent="0.25">
      <c r="A1261" s="14">
        <v>45826</v>
      </c>
      <c r="B1261" s="14" t="s">
        <v>46</v>
      </c>
      <c r="C1261" s="15">
        <v>6</v>
      </c>
      <c r="D1261" s="16"/>
      <c r="E1261" s="16"/>
      <c r="F1261" s="17"/>
      <c r="G1261" s="21"/>
      <c r="H1261" s="21"/>
      <c r="I1261" s="4">
        <v>0</v>
      </c>
      <c r="J1261" s="4">
        <v>0</v>
      </c>
      <c r="K1261" s="4"/>
      <c r="L1261" s="16"/>
      <c r="M1261" s="4"/>
      <c r="N1261" s="4"/>
      <c r="O1261" s="4"/>
      <c r="P1261" s="4">
        <v>60</v>
      </c>
      <c r="Q1261" s="4"/>
      <c r="R1261" s="4"/>
      <c r="S1261" s="4">
        <v>60</v>
      </c>
      <c r="T1261" s="4">
        <v>1</v>
      </c>
      <c r="U1261" s="4">
        <v>1</v>
      </c>
      <c r="V1261" s="4">
        <v>11</v>
      </c>
      <c r="W1261" s="4">
        <v>12</v>
      </c>
      <c r="X1261" s="4">
        <v>0</v>
      </c>
      <c r="Y1261" s="4"/>
      <c r="Z1261" s="4">
        <v>525.6</v>
      </c>
      <c r="AA1261" s="4">
        <v>600</v>
      </c>
      <c r="AB1261" s="18"/>
      <c r="AC1261" s="18">
        <v>25</v>
      </c>
      <c r="AD1261" s="28"/>
      <c r="AE1261" s="26"/>
      <c r="AF1261" s="28"/>
    </row>
    <row r="1262" spans="1:32" ht="13.5" customHeight="1" x14ac:dyDescent="0.25">
      <c r="A1262" s="14">
        <v>45826</v>
      </c>
      <c r="B1262" s="14" t="s">
        <v>47</v>
      </c>
      <c r="C1262" s="15">
        <v>6</v>
      </c>
      <c r="D1262" s="16">
        <v>20</v>
      </c>
      <c r="E1262" s="16"/>
      <c r="F1262" s="17"/>
      <c r="G1262" s="21"/>
      <c r="H1262" s="21"/>
      <c r="I1262" s="4">
        <v>20</v>
      </c>
      <c r="J1262" s="4">
        <v>0.33333333333333331</v>
      </c>
      <c r="K1262" s="4"/>
      <c r="L1262" s="16"/>
      <c r="M1262" s="4"/>
      <c r="N1262" s="4"/>
      <c r="O1262" s="4"/>
      <c r="P1262" s="4"/>
      <c r="Q1262" s="4"/>
      <c r="R1262" s="4"/>
      <c r="S1262" s="4">
        <v>0</v>
      </c>
      <c r="T1262" s="4">
        <v>0</v>
      </c>
      <c r="U1262" s="4">
        <v>0.33333333333333331</v>
      </c>
      <c r="V1262" s="4">
        <v>11.666666666666666</v>
      </c>
      <c r="W1262" s="4">
        <v>12</v>
      </c>
      <c r="X1262" s="4">
        <v>103</v>
      </c>
      <c r="Y1262" s="4"/>
      <c r="Z1262" s="4">
        <v>552.1</v>
      </c>
      <c r="AA1262" s="4">
        <v>600</v>
      </c>
      <c r="AB1262" s="18"/>
      <c r="AC1262" s="18">
        <v>25</v>
      </c>
      <c r="AD1262" s="28"/>
      <c r="AE1262" s="26"/>
      <c r="AF1262" s="28"/>
    </row>
    <row r="1263" spans="1:32" ht="13.5" customHeight="1" x14ac:dyDescent="0.25">
      <c r="A1263" s="14">
        <v>45826</v>
      </c>
      <c r="B1263" s="14" t="s">
        <v>46</v>
      </c>
      <c r="C1263" s="15">
        <v>7</v>
      </c>
      <c r="D1263" s="16"/>
      <c r="E1263" s="16"/>
      <c r="F1263" s="17"/>
      <c r="G1263" s="21"/>
      <c r="H1263" s="21"/>
      <c r="I1263" s="4">
        <v>0</v>
      </c>
      <c r="J1263" s="4">
        <v>0</v>
      </c>
      <c r="K1263" s="4"/>
      <c r="L1263" s="16"/>
      <c r="M1263" s="4"/>
      <c r="N1263" s="4"/>
      <c r="O1263" s="4"/>
      <c r="P1263" s="4"/>
      <c r="Q1263" s="4"/>
      <c r="R1263" s="4"/>
      <c r="S1263" s="4">
        <v>0</v>
      </c>
      <c r="T1263" s="4">
        <v>0</v>
      </c>
      <c r="U1263" s="4">
        <v>0</v>
      </c>
      <c r="V1263" s="4">
        <v>12</v>
      </c>
      <c r="W1263" s="4">
        <v>12</v>
      </c>
      <c r="X1263" s="4">
        <v>29</v>
      </c>
      <c r="Y1263" s="4"/>
      <c r="Z1263" s="4">
        <v>442.5</v>
      </c>
      <c r="AA1263" s="4">
        <v>450</v>
      </c>
      <c r="AB1263" s="18"/>
      <c r="AC1263" s="18">
        <v>25</v>
      </c>
      <c r="AD1263" s="28"/>
      <c r="AE1263" s="26"/>
      <c r="AF1263" s="28"/>
    </row>
    <row r="1264" spans="1:32" ht="13.5" customHeight="1" x14ac:dyDescent="0.25">
      <c r="A1264" s="14">
        <v>45826</v>
      </c>
      <c r="B1264" s="14" t="s">
        <v>47</v>
      </c>
      <c r="C1264" s="15">
        <v>7</v>
      </c>
      <c r="D1264" s="16">
        <v>12</v>
      </c>
      <c r="E1264" s="16"/>
      <c r="F1264" s="17"/>
      <c r="G1264" s="21"/>
      <c r="H1264" s="21"/>
      <c r="I1264" s="4">
        <v>12</v>
      </c>
      <c r="J1264" s="4">
        <v>0.2</v>
      </c>
      <c r="K1264" s="4"/>
      <c r="L1264" s="16"/>
      <c r="M1264" s="4"/>
      <c r="N1264" s="4"/>
      <c r="O1264" s="4"/>
      <c r="P1264" s="4"/>
      <c r="Q1264" s="4"/>
      <c r="R1264" s="4"/>
      <c r="S1264" s="4">
        <v>0</v>
      </c>
      <c r="T1264" s="4">
        <v>0</v>
      </c>
      <c r="U1264" s="4">
        <v>0.2</v>
      </c>
      <c r="V1264" s="4">
        <v>11.8</v>
      </c>
      <c r="W1264" s="4">
        <v>12</v>
      </c>
      <c r="X1264" s="4">
        <v>17</v>
      </c>
      <c r="Y1264" s="4"/>
      <c r="Z1264" s="4">
        <v>549.91</v>
      </c>
      <c r="AA1264" s="4">
        <v>550</v>
      </c>
      <c r="AB1264" s="18"/>
      <c r="AC1264" s="18">
        <v>25</v>
      </c>
      <c r="AD1264" s="28"/>
      <c r="AE1264" s="26"/>
      <c r="AF1264" s="28"/>
    </row>
    <row r="1265" spans="1:32" ht="13.5" customHeight="1" x14ac:dyDescent="0.25">
      <c r="A1265" s="14">
        <v>45827</v>
      </c>
      <c r="B1265" s="14" t="s">
        <v>46</v>
      </c>
      <c r="C1265" s="15">
        <v>1</v>
      </c>
      <c r="D1265" s="16"/>
      <c r="E1265" s="16"/>
      <c r="F1265" s="17"/>
      <c r="G1265" s="21"/>
      <c r="H1265" s="21"/>
      <c r="I1265" s="4">
        <v>0</v>
      </c>
      <c r="J1265" s="4">
        <v>0</v>
      </c>
      <c r="K1265" s="4"/>
      <c r="L1265" s="16"/>
      <c r="M1265" s="4"/>
      <c r="N1265" s="4"/>
      <c r="O1265" s="4"/>
      <c r="P1265" s="4">
        <v>240</v>
      </c>
      <c r="Q1265" s="4"/>
      <c r="R1265" s="4"/>
      <c r="S1265" s="4">
        <v>240</v>
      </c>
      <c r="T1265" s="4">
        <v>4</v>
      </c>
      <c r="U1265" s="4">
        <v>4</v>
      </c>
      <c r="V1265" s="4">
        <v>8</v>
      </c>
      <c r="W1265" s="4">
        <v>12</v>
      </c>
      <c r="X1265" s="4">
        <v>37</v>
      </c>
      <c r="Y1265" s="4">
        <v>1911</v>
      </c>
      <c r="Z1265" s="4">
        <v>0</v>
      </c>
      <c r="AA1265" s="4">
        <v>0</v>
      </c>
      <c r="AB1265" s="18">
        <v>372</v>
      </c>
      <c r="AC1265" s="18">
        <v>25</v>
      </c>
      <c r="AD1265" s="28"/>
      <c r="AE1265" s="26"/>
      <c r="AF1265" s="28"/>
    </row>
    <row r="1266" spans="1:32" ht="13.5" customHeight="1" x14ac:dyDescent="0.25">
      <c r="A1266" s="14">
        <v>45827</v>
      </c>
      <c r="B1266" s="14" t="s">
        <v>47</v>
      </c>
      <c r="C1266" s="15">
        <v>1</v>
      </c>
      <c r="D1266" s="16"/>
      <c r="E1266" s="16"/>
      <c r="F1266" s="17"/>
      <c r="G1266" s="21"/>
      <c r="H1266" s="21"/>
      <c r="I1266" s="4">
        <v>0</v>
      </c>
      <c r="J1266" s="4">
        <v>0</v>
      </c>
      <c r="K1266" s="4"/>
      <c r="L1266" s="16"/>
      <c r="M1266" s="4"/>
      <c r="N1266" s="4"/>
      <c r="O1266" s="4"/>
      <c r="P1266" s="4"/>
      <c r="Q1266" s="4"/>
      <c r="R1266" s="4"/>
      <c r="S1266" s="4">
        <v>0</v>
      </c>
      <c r="T1266" s="4">
        <v>0</v>
      </c>
      <c r="U1266" s="4">
        <v>0</v>
      </c>
      <c r="V1266" s="4">
        <v>12</v>
      </c>
      <c r="W1266" s="4">
        <v>12</v>
      </c>
      <c r="X1266" s="4">
        <v>10</v>
      </c>
      <c r="Y1266" s="4"/>
      <c r="Z1266" s="4">
        <v>130.20000000000002</v>
      </c>
      <c r="AA1266" s="4">
        <v>150</v>
      </c>
      <c r="AB1266" s="18"/>
      <c r="AC1266" s="18">
        <v>25</v>
      </c>
      <c r="AD1266" s="28"/>
      <c r="AE1266" s="26"/>
      <c r="AF1266" s="28"/>
    </row>
    <row r="1267" spans="1:32" ht="13.5" customHeight="1" x14ac:dyDescent="0.25">
      <c r="A1267" s="14">
        <v>45827</v>
      </c>
      <c r="B1267" s="14" t="s">
        <v>46</v>
      </c>
      <c r="C1267" s="15">
        <v>3</v>
      </c>
      <c r="D1267" s="16"/>
      <c r="E1267" s="16"/>
      <c r="F1267" s="17"/>
      <c r="G1267" s="21"/>
      <c r="H1267" s="21"/>
      <c r="I1267" s="4">
        <v>0</v>
      </c>
      <c r="J1267" s="4">
        <v>0</v>
      </c>
      <c r="K1267" s="4"/>
      <c r="L1267" s="16">
        <v>10</v>
      </c>
      <c r="M1267" s="4"/>
      <c r="N1267" s="4">
        <v>10</v>
      </c>
      <c r="O1267" s="4"/>
      <c r="P1267" s="4"/>
      <c r="Q1267" s="4"/>
      <c r="R1267" s="4"/>
      <c r="S1267" s="4">
        <v>20</v>
      </c>
      <c r="T1267" s="4">
        <v>0.33333333333333331</v>
      </c>
      <c r="U1267" s="4">
        <v>0.33333333333333331</v>
      </c>
      <c r="V1267" s="4">
        <v>11.666666666666666</v>
      </c>
      <c r="W1267" s="4">
        <v>12</v>
      </c>
      <c r="X1267" s="4">
        <v>11</v>
      </c>
      <c r="Y1267" s="4"/>
      <c r="Z1267" s="4">
        <v>302</v>
      </c>
      <c r="AA1267" s="4">
        <v>300</v>
      </c>
      <c r="AB1267" s="18"/>
      <c r="AC1267" s="18">
        <v>25</v>
      </c>
      <c r="AD1267" s="28"/>
      <c r="AE1267" s="26"/>
      <c r="AF1267" s="28"/>
    </row>
    <row r="1268" spans="1:32" ht="13.5" customHeight="1" x14ac:dyDescent="0.25">
      <c r="A1268" s="14">
        <v>45827</v>
      </c>
      <c r="B1268" s="14" t="s">
        <v>47</v>
      </c>
      <c r="C1268" s="15">
        <v>3</v>
      </c>
      <c r="D1268" s="16"/>
      <c r="E1268" s="16"/>
      <c r="F1268" s="17"/>
      <c r="G1268" s="21"/>
      <c r="H1268" s="21"/>
      <c r="I1268" s="4">
        <v>0</v>
      </c>
      <c r="J1268" s="4">
        <v>0</v>
      </c>
      <c r="K1268" s="4"/>
      <c r="L1268" s="16"/>
      <c r="M1268" s="4"/>
      <c r="N1268" s="4"/>
      <c r="O1268" s="4"/>
      <c r="P1268" s="4"/>
      <c r="Q1268" s="4"/>
      <c r="R1268" s="4"/>
      <c r="S1268" s="4">
        <v>0</v>
      </c>
      <c r="T1268" s="4">
        <v>0</v>
      </c>
      <c r="U1268" s="4">
        <v>0</v>
      </c>
      <c r="V1268" s="4">
        <v>12</v>
      </c>
      <c r="W1268" s="4">
        <v>12</v>
      </c>
      <c r="X1268" s="4">
        <v>0</v>
      </c>
      <c r="Y1268" s="4"/>
      <c r="Z1268" s="4">
        <v>262</v>
      </c>
      <c r="AA1268" s="4">
        <v>300</v>
      </c>
      <c r="AB1268" s="18"/>
      <c r="AC1268" s="18">
        <v>25</v>
      </c>
      <c r="AD1268" s="28"/>
      <c r="AE1268" s="26"/>
      <c r="AF1268" s="28"/>
    </row>
    <row r="1269" spans="1:32" ht="13.5" customHeight="1" x14ac:dyDescent="0.25">
      <c r="A1269" s="14">
        <v>45827</v>
      </c>
      <c r="B1269" s="14" t="s">
        <v>46</v>
      </c>
      <c r="C1269" s="15">
        <v>4</v>
      </c>
      <c r="D1269" s="16"/>
      <c r="E1269" s="16"/>
      <c r="F1269" s="17"/>
      <c r="G1269" s="21"/>
      <c r="H1269" s="21"/>
      <c r="I1269" s="4">
        <v>0</v>
      </c>
      <c r="J1269" s="4">
        <v>0</v>
      </c>
      <c r="K1269" s="4"/>
      <c r="L1269" s="16"/>
      <c r="M1269" s="4"/>
      <c r="N1269" s="4"/>
      <c r="O1269" s="4"/>
      <c r="P1269" s="4"/>
      <c r="Q1269" s="4"/>
      <c r="R1269" s="4"/>
      <c r="S1269" s="4">
        <v>0</v>
      </c>
      <c r="T1269" s="4">
        <v>0</v>
      </c>
      <c r="U1269" s="4">
        <v>0</v>
      </c>
      <c r="V1269" s="4">
        <v>12</v>
      </c>
      <c r="W1269" s="4">
        <v>12</v>
      </c>
      <c r="X1269" s="4">
        <v>0</v>
      </c>
      <c r="Y1269" s="4"/>
      <c r="Z1269" s="4">
        <v>400.29999999999995</v>
      </c>
      <c r="AA1269" s="4">
        <v>450</v>
      </c>
      <c r="AB1269" s="18"/>
      <c r="AC1269" s="18">
        <v>25</v>
      </c>
      <c r="AD1269" s="28"/>
      <c r="AE1269" s="26"/>
      <c r="AF1269" s="28"/>
    </row>
    <row r="1270" spans="1:32" ht="13.5" customHeight="1" x14ac:dyDescent="0.25">
      <c r="A1270" s="14">
        <v>45827</v>
      </c>
      <c r="B1270" s="14" t="s">
        <v>47</v>
      </c>
      <c r="C1270" s="15">
        <v>4</v>
      </c>
      <c r="D1270" s="16"/>
      <c r="E1270" s="16"/>
      <c r="F1270" s="17"/>
      <c r="G1270" s="21"/>
      <c r="H1270" s="21"/>
      <c r="I1270" s="4">
        <v>0</v>
      </c>
      <c r="J1270" s="4">
        <v>0</v>
      </c>
      <c r="K1270" s="4"/>
      <c r="L1270" s="16"/>
      <c r="M1270" s="4"/>
      <c r="N1270" s="4"/>
      <c r="O1270" s="4"/>
      <c r="P1270" s="4"/>
      <c r="Q1270" s="4"/>
      <c r="R1270" s="4"/>
      <c r="S1270" s="4">
        <v>0</v>
      </c>
      <c r="T1270" s="4">
        <v>0</v>
      </c>
      <c r="U1270" s="4">
        <v>0</v>
      </c>
      <c r="V1270" s="4">
        <v>12</v>
      </c>
      <c r="W1270" s="4">
        <v>12</v>
      </c>
      <c r="X1270" s="4">
        <v>0</v>
      </c>
      <c r="Y1270" s="4"/>
      <c r="Z1270" s="4">
        <v>322.90000000000003</v>
      </c>
      <c r="AA1270" s="4">
        <v>350</v>
      </c>
      <c r="AB1270" s="18"/>
      <c r="AC1270" s="18">
        <v>25</v>
      </c>
      <c r="AD1270" s="28"/>
      <c r="AE1270" s="26"/>
      <c r="AF1270" s="28"/>
    </row>
    <row r="1271" spans="1:32" ht="13.5" customHeight="1" x14ac:dyDescent="0.25">
      <c r="A1271" s="14">
        <v>45827</v>
      </c>
      <c r="B1271" s="14" t="s">
        <v>46</v>
      </c>
      <c r="C1271" s="15">
        <v>6</v>
      </c>
      <c r="D1271" s="16">
        <v>45</v>
      </c>
      <c r="E1271" s="16"/>
      <c r="F1271" s="17"/>
      <c r="G1271" s="21"/>
      <c r="H1271" s="21"/>
      <c r="I1271" s="4">
        <v>45</v>
      </c>
      <c r="J1271" s="4">
        <v>0.75</v>
      </c>
      <c r="K1271" s="4"/>
      <c r="L1271" s="16"/>
      <c r="M1271" s="4"/>
      <c r="N1271" s="4"/>
      <c r="O1271" s="4"/>
      <c r="P1271" s="4"/>
      <c r="Q1271" s="4"/>
      <c r="R1271" s="4"/>
      <c r="S1271" s="4">
        <v>0</v>
      </c>
      <c r="T1271" s="4">
        <v>0</v>
      </c>
      <c r="U1271" s="4">
        <v>0.75</v>
      </c>
      <c r="V1271" s="4">
        <v>11.25</v>
      </c>
      <c r="W1271" s="4">
        <v>12</v>
      </c>
      <c r="X1271" s="4">
        <v>28</v>
      </c>
      <c r="Y1271" s="4"/>
      <c r="Z1271" s="4">
        <v>526.29999999999995</v>
      </c>
      <c r="AA1271" s="4">
        <v>550</v>
      </c>
      <c r="AB1271" s="18"/>
      <c r="AC1271" s="18">
        <v>25</v>
      </c>
      <c r="AD1271" s="28"/>
      <c r="AE1271" s="26"/>
      <c r="AF1271" s="28"/>
    </row>
    <row r="1272" spans="1:32" ht="13.5" customHeight="1" x14ac:dyDescent="0.25">
      <c r="A1272" s="14">
        <v>45827</v>
      </c>
      <c r="B1272" s="14" t="s">
        <v>47</v>
      </c>
      <c r="C1272" s="15">
        <v>6</v>
      </c>
      <c r="D1272" s="16"/>
      <c r="E1272" s="16"/>
      <c r="F1272" s="17"/>
      <c r="G1272" s="21"/>
      <c r="H1272" s="21"/>
      <c r="I1272" s="4">
        <v>0</v>
      </c>
      <c r="J1272" s="4">
        <v>0</v>
      </c>
      <c r="K1272" s="4"/>
      <c r="L1272" s="16"/>
      <c r="M1272" s="4"/>
      <c r="N1272" s="4"/>
      <c r="O1272" s="4"/>
      <c r="P1272" s="4"/>
      <c r="Q1272" s="4"/>
      <c r="R1272" s="4"/>
      <c r="S1272" s="4">
        <v>0</v>
      </c>
      <c r="T1272" s="4">
        <v>0</v>
      </c>
      <c r="U1272" s="4">
        <v>0</v>
      </c>
      <c r="V1272" s="4">
        <v>12</v>
      </c>
      <c r="W1272" s="4">
        <v>12</v>
      </c>
      <c r="X1272" s="4">
        <v>36</v>
      </c>
      <c r="Y1272" s="4"/>
      <c r="Z1272" s="4">
        <v>473.6</v>
      </c>
      <c r="AA1272" s="4">
        <v>500</v>
      </c>
      <c r="AB1272" s="18"/>
      <c r="AC1272" s="18">
        <v>25</v>
      </c>
      <c r="AD1272" s="28"/>
      <c r="AE1272" s="26"/>
      <c r="AF1272" s="28"/>
    </row>
    <row r="1273" spans="1:32" ht="13.5" customHeight="1" x14ac:dyDescent="0.25">
      <c r="A1273" s="14">
        <v>45827</v>
      </c>
      <c r="B1273" s="14" t="s">
        <v>46</v>
      </c>
      <c r="C1273" s="15">
        <v>7</v>
      </c>
      <c r="D1273" s="16">
        <v>16</v>
      </c>
      <c r="E1273" s="16"/>
      <c r="F1273" s="17"/>
      <c r="G1273" s="21"/>
      <c r="H1273" s="21"/>
      <c r="I1273" s="4">
        <v>16</v>
      </c>
      <c r="J1273" s="4">
        <v>0.26666666666666666</v>
      </c>
      <c r="K1273" s="4"/>
      <c r="L1273" s="16"/>
      <c r="M1273" s="4"/>
      <c r="N1273" s="4"/>
      <c r="O1273" s="4"/>
      <c r="P1273" s="4"/>
      <c r="Q1273" s="4"/>
      <c r="R1273" s="4"/>
      <c r="S1273" s="4">
        <v>0</v>
      </c>
      <c r="T1273" s="4">
        <v>0</v>
      </c>
      <c r="U1273" s="4">
        <v>0.26666666666666666</v>
      </c>
      <c r="V1273" s="4">
        <v>11.733333333333333</v>
      </c>
      <c r="W1273" s="4">
        <v>12</v>
      </c>
      <c r="X1273" s="4">
        <v>11</v>
      </c>
      <c r="Y1273" s="4"/>
      <c r="Z1273" s="4">
        <v>365.8</v>
      </c>
      <c r="AA1273" s="4">
        <v>350</v>
      </c>
      <c r="AB1273" s="18"/>
      <c r="AC1273" s="18">
        <v>25</v>
      </c>
      <c r="AD1273" s="28"/>
      <c r="AE1273" s="26"/>
      <c r="AF1273" s="28"/>
    </row>
    <row r="1274" spans="1:32" ht="13.5" customHeight="1" x14ac:dyDescent="0.25">
      <c r="A1274" s="14">
        <v>45827</v>
      </c>
      <c r="B1274" s="14" t="s">
        <v>47</v>
      </c>
      <c r="C1274" s="15">
        <v>7</v>
      </c>
      <c r="D1274" s="16">
        <v>7</v>
      </c>
      <c r="E1274" s="16"/>
      <c r="F1274" s="17"/>
      <c r="G1274" s="21"/>
      <c r="H1274" s="21"/>
      <c r="I1274" s="4">
        <v>7</v>
      </c>
      <c r="J1274" s="4">
        <v>0.11666666666666667</v>
      </c>
      <c r="K1274" s="4"/>
      <c r="L1274" s="16"/>
      <c r="M1274" s="4"/>
      <c r="N1274" s="4"/>
      <c r="O1274" s="4"/>
      <c r="P1274" s="4"/>
      <c r="Q1274" s="4"/>
      <c r="R1274" s="4"/>
      <c r="S1274" s="4">
        <v>0</v>
      </c>
      <c r="T1274" s="4">
        <v>0</v>
      </c>
      <c r="U1274" s="4">
        <v>0.11666666666666667</v>
      </c>
      <c r="V1274" s="4">
        <v>11.883333333333333</v>
      </c>
      <c r="W1274" s="4">
        <v>12</v>
      </c>
      <c r="X1274" s="4">
        <v>14.4</v>
      </c>
      <c r="Y1274" s="4"/>
      <c r="Z1274" s="4">
        <v>259.07000000000005</v>
      </c>
      <c r="AA1274" s="4">
        <v>250</v>
      </c>
      <c r="AB1274" s="18"/>
      <c r="AC1274" s="18">
        <v>25</v>
      </c>
      <c r="AD1274" s="28"/>
      <c r="AE1274" s="26"/>
      <c r="AF1274" s="28"/>
    </row>
    <row r="1275" spans="1:32" ht="13.5" customHeight="1" x14ac:dyDescent="0.25">
      <c r="A1275" s="14">
        <v>45828</v>
      </c>
      <c r="B1275" s="14" t="s">
        <v>46</v>
      </c>
      <c r="C1275" s="15">
        <v>1</v>
      </c>
      <c r="D1275" s="16"/>
      <c r="E1275" s="16"/>
      <c r="F1275" s="17"/>
      <c r="G1275" s="21"/>
      <c r="H1275" s="21"/>
      <c r="I1275" s="4">
        <v>0</v>
      </c>
      <c r="J1275" s="4">
        <v>0</v>
      </c>
      <c r="K1275" s="4"/>
      <c r="L1275" s="16"/>
      <c r="M1275" s="4"/>
      <c r="N1275" s="4"/>
      <c r="O1275" s="4"/>
      <c r="P1275" s="4"/>
      <c r="Q1275" s="4"/>
      <c r="R1275" s="4"/>
      <c r="S1275" s="4">
        <v>0</v>
      </c>
      <c r="T1275" s="4">
        <v>0</v>
      </c>
      <c r="U1275" s="4">
        <v>0</v>
      </c>
      <c r="V1275" s="4">
        <v>12</v>
      </c>
      <c r="W1275" s="4">
        <v>12</v>
      </c>
      <c r="X1275" s="4">
        <v>8</v>
      </c>
      <c r="Y1275" s="4">
        <v>2119</v>
      </c>
      <c r="Z1275" s="4">
        <v>109.4</v>
      </c>
      <c r="AA1275" s="4">
        <v>150</v>
      </c>
      <c r="AB1275" s="18">
        <v>372</v>
      </c>
      <c r="AC1275" s="18">
        <v>25</v>
      </c>
      <c r="AD1275" s="28"/>
      <c r="AE1275" s="26"/>
      <c r="AF1275" s="28"/>
    </row>
    <row r="1276" spans="1:32" ht="13.5" customHeight="1" x14ac:dyDescent="0.25">
      <c r="A1276" s="14">
        <v>45828</v>
      </c>
      <c r="B1276" s="14" t="s">
        <v>47</v>
      </c>
      <c r="C1276" s="15">
        <v>1</v>
      </c>
      <c r="D1276" s="16"/>
      <c r="E1276" s="16"/>
      <c r="F1276" s="17"/>
      <c r="G1276" s="21"/>
      <c r="H1276" s="21"/>
      <c r="I1276" s="4">
        <v>0</v>
      </c>
      <c r="J1276" s="4">
        <v>0</v>
      </c>
      <c r="K1276" s="4"/>
      <c r="L1276" s="16"/>
      <c r="M1276" s="4"/>
      <c r="N1276" s="4"/>
      <c r="O1276" s="4"/>
      <c r="P1276" s="4"/>
      <c r="Q1276" s="4"/>
      <c r="R1276" s="4"/>
      <c r="S1276" s="4">
        <v>0</v>
      </c>
      <c r="T1276" s="4">
        <v>0</v>
      </c>
      <c r="U1276" s="4">
        <v>0</v>
      </c>
      <c r="V1276" s="4">
        <v>12</v>
      </c>
      <c r="W1276" s="4">
        <v>12</v>
      </c>
      <c r="X1276" s="4">
        <v>0</v>
      </c>
      <c r="Y1276" s="4"/>
      <c r="Z1276" s="4">
        <v>121.9</v>
      </c>
      <c r="AA1276" s="4">
        <v>150</v>
      </c>
      <c r="AB1276" s="18"/>
      <c r="AC1276" s="18">
        <v>25</v>
      </c>
      <c r="AD1276" s="28"/>
      <c r="AE1276" s="26"/>
      <c r="AF1276" s="28"/>
    </row>
    <row r="1277" spans="1:32" ht="13.5" customHeight="1" x14ac:dyDescent="0.25">
      <c r="A1277" s="14">
        <v>45828</v>
      </c>
      <c r="B1277" s="14" t="s">
        <v>46</v>
      </c>
      <c r="C1277" s="15">
        <v>3</v>
      </c>
      <c r="D1277" s="16"/>
      <c r="E1277" s="16"/>
      <c r="F1277" s="17"/>
      <c r="G1277" s="21"/>
      <c r="H1277" s="21"/>
      <c r="I1277" s="4">
        <v>0</v>
      </c>
      <c r="J1277" s="4">
        <v>0</v>
      </c>
      <c r="K1277" s="4"/>
      <c r="L1277" s="16"/>
      <c r="M1277" s="4"/>
      <c r="N1277" s="4"/>
      <c r="O1277" s="4"/>
      <c r="P1277" s="4"/>
      <c r="Q1277" s="4"/>
      <c r="R1277" s="4"/>
      <c r="S1277" s="4">
        <v>0</v>
      </c>
      <c r="T1277" s="4">
        <v>0</v>
      </c>
      <c r="U1277" s="4">
        <v>0</v>
      </c>
      <c r="V1277" s="4">
        <v>12</v>
      </c>
      <c r="W1277" s="4">
        <v>12</v>
      </c>
      <c r="X1277" s="4">
        <v>4</v>
      </c>
      <c r="Y1277" s="4"/>
      <c r="Z1277" s="4">
        <v>311.29999999999995</v>
      </c>
      <c r="AA1277" s="4">
        <v>300</v>
      </c>
      <c r="AB1277" s="18"/>
      <c r="AC1277" s="18">
        <v>25</v>
      </c>
      <c r="AD1277" s="28"/>
      <c r="AE1277" s="26"/>
      <c r="AF1277" s="28"/>
    </row>
    <row r="1278" spans="1:32" ht="13.5" customHeight="1" x14ac:dyDescent="0.25">
      <c r="A1278" s="14">
        <v>45828</v>
      </c>
      <c r="B1278" s="14" t="s">
        <v>47</v>
      </c>
      <c r="C1278" s="15">
        <v>3</v>
      </c>
      <c r="D1278" s="16"/>
      <c r="E1278" s="16"/>
      <c r="F1278" s="17"/>
      <c r="G1278" s="21"/>
      <c r="H1278" s="21"/>
      <c r="I1278" s="4">
        <v>0</v>
      </c>
      <c r="J1278" s="4">
        <v>0</v>
      </c>
      <c r="K1278" s="4"/>
      <c r="L1278" s="16"/>
      <c r="M1278" s="4"/>
      <c r="N1278" s="4"/>
      <c r="O1278" s="4"/>
      <c r="P1278" s="4"/>
      <c r="Q1278" s="4"/>
      <c r="R1278" s="4"/>
      <c r="S1278" s="4">
        <v>0</v>
      </c>
      <c r="T1278" s="4">
        <v>0</v>
      </c>
      <c r="U1278" s="4">
        <v>0</v>
      </c>
      <c r="V1278" s="4">
        <v>12</v>
      </c>
      <c r="W1278" s="4">
        <v>12</v>
      </c>
      <c r="X1278" s="4">
        <v>10</v>
      </c>
      <c r="Y1278" s="4"/>
      <c r="Z1278" s="4">
        <v>276.29999999999995</v>
      </c>
      <c r="AA1278" s="4">
        <v>300</v>
      </c>
      <c r="AB1278" s="18"/>
      <c r="AC1278" s="18">
        <v>25</v>
      </c>
      <c r="AD1278" s="28"/>
      <c r="AE1278" s="26"/>
      <c r="AF1278" s="28"/>
    </row>
    <row r="1279" spans="1:32" ht="13.5" customHeight="1" x14ac:dyDescent="0.25">
      <c r="A1279" s="14">
        <v>45828</v>
      </c>
      <c r="B1279" s="14" t="s">
        <v>46</v>
      </c>
      <c r="C1279" s="15">
        <v>4</v>
      </c>
      <c r="D1279" s="16"/>
      <c r="E1279" s="16"/>
      <c r="F1279" s="17"/>
      <c r="G1279" s="21"/>
      <c r="H1279" s="21"/>
      <c r="I1279" s="4">
        <v>0</v>
      </c>
      <c r="J1279" s="4">
        <v>0</v>
      </c>
      <c r="K1279" s="4"/>
      <c r="L1279" s="16"/>
      <c r="M1279" s="4"/>
      <c r="N1279" s="4"/>
      <c r="O1279" s="4"/>
      <c r="P1279" s="4"/>
      <c r="Q1279" s="4"/>
      <c r="R1279" s="4"/>
      <c r="S1279" s="4">
        <v>0</v>
      </c>
      <c r="T1279" s="4">
        <v>0</v>
      </c>
      <c r="U1279" s="4">
        <v>0</v>
      </c>
      <c r="V1279" s="4">
        <v>12</v>
      </c>
      <c r="W1279" s="4">
        <v>12</v>
      </c>
      <c r="X1279" s="4">
        <v>8</v>
      </c>
      <c r="Y1279" s="4"/>
      <c r="Z1279" s="4">
        <v>296.2</v>
      </c>
      <c r="AA1279" s="4">
        <v>300</v>
      </c>
      <c r="AB1279" s="18"/>
      <c r="AC1279" s="18">
        <v>25</v>
      </c>
      <c r="AD1279" s="28"/>
      <c r="AE1279" s="26"/>
      <c r="AF1279" s="28"/>
    </row>
    <row r="1280" spans="1:32" ht="13.5" customHeight="1" x14ac:dyDescent="0.25">
      <c r="A1280" s="14">
        <v>45828</v>
      </c>
      <c r="B1280" s="14" t="s">
        <v>47</v>
      </c>
      <c r="C1280" s="15">
        <v>4</v>
      </c>
      <c r="D1280" s="16"/>
      <c r="E1280" s="16"/>
      <c r="F1280" s="17"/>
      <c r="G1280" s="21"/>
      <c r="H1280" s="21"/>
      <c r="I1280" s="4">
        <v>0</v>
      </c>
      <c r="J1280" s="4">
        <v>0</v>
      </c>
      <c r="K1280" s="4"/>
      <c r="L1280" s="16"/>
      <c r="M1280" s="4"/>
      <c r="N1280" s="4"/>
      <c r="O1280" s="4"/>
      <c r="P1280" s="4"/>
      <c r="Q1280" s="4"/>
      <c r="R1280" s="4"/>
      <c r="S1280" s="4">
        <v>0</v>
      </c>
      <c r="T1280" s="4">
        <v>0</v>
      </c>
      <c r="U1280" s="4">
        <v>0</v>
      </c>
      <c r="V1280" s="4">
        <v>12</v>
      </c>
      <c r="W1280" s="4">
        <v>12</v>
      </c>
      <c r="X1280" s="4">
        <v>3</v>
      </c>
      <c r="Y1280" s="4"/>
      <c r="Z1280" s="4">
        <v>482.3</v>
      </c>
      <c r="AA1280" s="4">
        <v>500</v>
      </c>
      <c r="AB1280" s="18"/>
      <c r="AC1280" s="18">
        <v>25</v>
      </c>
      <c r="AD1280" s="28"/>
      <c r="AE1280" s="26"/>
      <c r="AF1280" s="28"/>
    </row>
    <row r="1281" spans="1:32" ht="13.5" customHeight="1" x14ac:dyDescent="0.25">
      <c r="A1281" s="14">
        <v>45828</v>
      </c>
      <c r="B1281" s="14" t="s">
        <v>46</v>
      </c>
      <c r="C1281" s="15">
        <v>6</v>
      </c>
      <c r="D1281" s="16">
        <v>68</v>
      </c>
      <c r="E1281" s="16"/>
      <c r="F1281" s="17"/>
      <c r="G1281" s="21"/>
      <c r="H1281" s="21"/>
      <c r="I1281" s="4">
        <v>68</v>
      </c>
      <c r="J1281" s="4">
        <v>1.1333333333333333</v>
      </c>
      <c r="K1281" s="4"/>
      <c r="L1281" s="16"/>
      <c r="M1281" s="4"/>
      <c r="N1281" s="4">
        <v>30</v>
      </c>
      <c r="O1281" s="4"/>
      <c r="P1281" s="4"/>
      <c r="Q1281" s="4"/>
      <c r="R1281" s="4"/>
      <c r="S1281" s="4">
        <v>30</v>
      </c>
      <c r="T1281" s="4">
        <v>0.5</v>
      </c>
      <c r="U1281" s="4">
        <v>1.6333333333333333</v>
      </c>
      <c r="V1281" s="4">
        <v>10.366666666666667</v>
      </c>
      <c r="W1281" s="4">
        <v>12</v>
      </c>
      <c r="X1281" s="4">
        <v>90</v>
      </c>
      <c r="Y1281" s="4"/>
      <c r="Z1281" s="4">
        <v>444</v>
      </c>
      <c r="AA1281" s="4">
        <v>500</v>
      </c>
      <c r="AB1281" s="18"/>
      <c r="AC1281" s="18">
        <v>25</v>
      </c>
      <c r="AD1281" s="28"/>
      <c r="AE1281" s="26"/>
      <c r="AF1281" s="28"/>
    </row>
    <row r="1282" spans="1:32" ht="13.5" customHeight="1" x14ac:dyDescent="0.25">
      <c r="A1282" s="14">
        <v>45828</v>
      </c>
      <c r="B1282" s="14" t="s">
        <v>47</v>
      </c>
      <c r="C1282" s="15">
        <v>6</v>
      </c>
      <c r="D1282" s="16">
        <v>60</v>
      </c>
      <c r="E1282" s="16"/>
      <c r="F1282" s="17"/>
      <c r="G1282" s="21"/>
      <c r="H1282" s="21"/>
      <c r="I1282" s="4">
        <v>60</v>
      </c>
      <c r="J1282" s="4">
        <v>1</v>
      </c>
      <c r="K1282" s="4"/>
      <c r="L1282" s="16"/>
      <c r="M1282" s="4"/>
      <c r="N1282" s="4"/>
      <c r="O1282" s="4"/>
      <c r="P1282" s="4"/>
      <c r="Q1282" s="4"/>
      <c r="R1282" s="4"/>
      <c r="S1282" s="4">
        <v>0</v>
      </c>
      <c r="T1282" s="4">
        <v>0</v>
      </c>
      <c r="U1282" s="4">
        <v>1</v>
      </c>
      <c r="V1282" s="4">
        <v>11</v>
      </c>
      <c r="W1282" s="4">
        <v>12</v>
      </c>
      <c r="X1282" s="4">
        <v>55</v>
      </c>
      <c r="Y1282" s="4"/>
      <c r="Z1282" s="4">
        <v>493.5</v>
      </c>
      <c r="AA1282" s="4">
        <v>550</v>
      </c>
      <c r="AB1282" s="18"/>
      <c r="AC1282" s="18">
        <v>25</v>
      </c>
      <c r="AD1282" s="28"/>
      <c r="AE1282" s="26"/>
      <c r="AF1282" s="28"/>
    </row>
    <row r="1283" spans="1:32" ht="13.5" customHeight="1" x14ac:dyDescent="0.25">
      <c r="A1283" s="14">
        <v>45828</v>
      </c>
      <c r="B1283" s="14" t="s">
        <v>46</v>
      </c>
      <c r="C1283" s="15">
        <v>7</v>
      </c>
      <c r="D1283" s="16">
        <v>8</v>
      </c>
      <c r="E1283" s="16"/>
      <c r="F1283" s="17"/>
      <c r="G1283" s="21"/>
      <c r="H1283" s="21"/>
      <c r="I1283" s="4">
        <v>8</v>
      </c>
      <c r="J1283" s="4">
        <v>0.13333333333333333</v>
      </c>
      <c r="K1283" s="4"/>
      <c r="L1283" s="16"/>
      <c r="M1283" s="4"/>
      <c r="N1283" s="4">
        <v>15</v>
      </c>
      <c r="O1283" s="4"/>
      <c r="P1283" s="4"/>
      <c r="Q1283" s="4"/>
      <c r="R1283" s="4"/>
      <c r="S1283" s="4">
        <v>15</v>
      </c>
      <c r="T1283" s="4">
        <v>0.25</v>
      </c>
      <c r="U1283" s="4">
        <v>0.3833333333333333</v>
      </c>
      <c r="V1283" s="4">
        <v>11.616666666666667</v>
      </c>
      <c r="W1283" s="4">
        <v>12</v>
      </c>
      <c r="X1283" s="4">
        <v>10</v>
      </c>
      <c r="Y1283" s="4"/>
      <c r="Z1283" s="4">
        <v>352.29999999999995</v>
      </c>
      <c r="AA1283" s="4">
        <v>350</v>
      </c>
      <c r="AB1283" s="18"/>
      <c r="AC1283" s="18">
        <v>25</v>
      </c>
      <c r="AD1283" s="28"/>
      <c r="AE1283" s="26"/>
      <c r="AF1283" s="28"/>
    </row>
    <row r="1284" spans="1:32" ht="13.5" customHeight="1" x14ac:dyDescent="0.25">
      <c r="A1284" s="14">
        <v>45828</v>
      </c>
      <c r="B1284" s="14" t="s">
        <v>47</v>
      </c>
      <c r="C1284" s="15">
        <v>7</v>
      </c>
      <c r="D1284" s="16"/>
      <c r="E1284" s="16"/>
      <c r="F1284" s="17"/>
      <c r="G1284" s="21"/>
      <c r="H1284" s="21"/>
      <c r="I1284" s="4">
        <v>0</v>
      </c>
      <c r="J1284" s="4">
        <v>0</v>
      </c>
      <c r="K1284" s="4"/>
      <c r="L1284" s="16"/>
      <c r="M1284" s="4"/>
      <c r="N1284" s="4"/>
      <c r="O1284" s="4"/>
      <c r="P1284" s="4"/>
      <c r="Q1284" s="4"/>
      <c r="R1284" s="4"/>
      <c r="S1284" s="4">
        <v>0</v>
      </c>
      <c r="T1284" s="4">
        <v>0</v>
      </c>
      <c r="U1284" s="4">
        <v>0</v>
      </c>
      <c r="V1284" s="4">
        <v>12</v>
      </c>
      <c r="W1284" s="4">
        <v>12</v>
      </c>
      <c r="X1284" s="4">
        <v>20</v>
      </c>
      <c r="Y1284" s="4"/>
      <c r="Z1284" s="4">
        <v>261.37</v>
      </c>
      <c r="AA1284" s="4">
        <v>300</v>
      </c>
      <c r="AB1284" s="18"/>
      <c r="AC1284" s="18">
        <v>25</v>
      </c>
      <c r="AD1284" s="28"/>
      <c r="AE1284" s="26"/>
      <c r="AF1284" s="28"/>
    </row>
    <row r="1285" spans="1:32" ht="13.5" customHeight="1" x14ac:dyDescent="0.25">
      <c r="A1285" s="14">
        <v>45829</v>
      </c>
      <c r="B1285" s="14" t="s">
        <v>46</v>
      </c>
      <c r="C1285" s="15">
        <v>1</v>
      </c>
      <c r="D1285" s="16">
        <v>5</v>
      </c>
      <c r="E1285" s="16"/>
      <c r="F1285" s="17"/>
      <c r="G1285" s="21"/>
      <c r="H1285" s="21"/>
      <c r="I1285" s="4">
        <v>5</v>
      </c>
      <c r="J1285" s="4">
        <v>8.3333333333333329E-2</v>
      </c>
      <c r="K1285" s="4"/>
      <c r="L1285" s="16"/>
      <c r="M1285" s="4"/>
      <c r="N1285" s="4"/>
      <c r="O1285" s="4"/>
      <c r="P1285" s="4"/>
      <c r="Q1285" s="4"/>
      <c r="R1285" s="4"/>
      <c r="S1285" s="4">
        <v>0</v>
      </c>
      <c r="T1285" s="4">
        <v>0</v>
      </c>
      <c r="U1285" s="4">
        <v>8.3333333333333329E-2</v>
      </c>
      <c r="V1285" s="4">
        <v>11.916666666666666</v>
      </c>
      <c r="W1285" s="4">
        <v>12</v>
      </c>
      <c r="X1285" s="4">
        <v>0</v>
      </c>
      <c r="Y1285" s="4">
        <v>1690</v>
      </c>
      <c r="Z1285" s="4">
        <v>285.89999999999998</v>
      </c>
      <c r="AA1285" s="4">
        <v>300</v>
      </c>
      <c r="AB1285" s="18">
        <v>372</v>
      </c>
      <c r="AC1285" s="18">
        <v>25</v>
      </c>
      <c r="AD1285" s="28"/>
      <c r="AE1285" s="26"/>
      <c r="AF1285" s="28"/>
    </row>
    <row r="1286" spans="1:32" ht="13.5" customHeight="1" x14ac:dyDescent="0.25">
      <c r="A1286" s="14">
        <v>45829</v>
      </c>
      <c r="B1286" s="14" t="s">
        <v>47</v>
      </c>
      <c r="C1286" s="15">
        <v>1</v>
      </c>
      <c r="D1286" s="16"/>
      <c r="E1286" s="16"/>
      <c r="F1286" s="17"/>
      <c r="G1286" s="21"/>
      <c r="H1286" s="21"/>
      <c r="I1286" s="4">
        <v>0</v>
      </c>
      <c r="J1286" s="4">
        <v>0</v>
      </c>
      <c r="K1286" s="4"/>
      <c r="L1286" s="16"/>
      <c r="M1286" s="4"/>
      <c r="N1286" s="4"/>
      <c r="O1286" s="4"/>
      <c r="P1286" s="4"/>
      <c r="Q1286" s="4"/>
      <c r="R1286" s="4"/>
      <c r="S1286" s="4">
        <v>0</v>
      </c>
      <c r="T1286" s="4">
        <v>0</v>
      </c>
      <c r="U1286" s="4">
        <v>0</v>
      </c>
      <c r="V1286" s="4">
        <v>12</v>
      </c>
      <c r="W1286" s="4">
        <v>12</v>
      </c>
      <c r="X1286" s="4">
        <v>0</v>
      </c>
      <c r="Y1286" s="4"/>
      <c r="Z1286" s="4">
        <v>218</v>
      </c>
      <c r="AA1286" s="4">
        <v>200</v>
      </c>
      <c r="AB1286" s="18"/>
      <c r="AC1286" s="18">
        <v>25</v>
      </c>
      <c r="AD1286" s="28"/>
      <c r="AE1286" s="26"/>
      <c r="AF1286" s="28"/>
    </row>
    <row r="1287" spans="1:32" ht="13.5" customHeight="1" x14ac:dyDescent="0.25">
      <c r="A1287" s="14">
        <v>45829</v>
      </c>
      <c r="B1287" s="14" t="s">
        <v>46</v>
      </c>
      <c r="C1287" s="15">
        <v>3</v>
      </c>
      <c r="D1287" s="16"/>
      <c r="E1287" s="16"/>
      <c r="F1287" s="17"/>
      <c r="G1287" s="21"/>
      <c r="H1287" s="21"/>
      <c r="I1287" s="4">
        <v>0</v>
      </c>
      <c r="J1287" s="4">
        <v>0</v>
      </c>
      <c r="K1287" s="4"/>
      <c r="L1287" s="16"/>
      <c r="M1287" s="4"/>
      <c r="N1287" s="4"/>
      <c r="O1287" s="4"/>
      <c r="P1287" s="4"/>
      <c r="Q1287" s="4"/>
      <c r="R1287" s="4"/>
      <c r="S1287" s="4">
        <v>0</v>
      </c>
      <c r="T1287" s="4">
        <v>0</v>
      </c>
      <c r="U1287" s="4">
        <v>0</v>
      </c>
      <c r="V1287" s="4">
        <v>12</v>
      </c>
      <c r="W1287" s="4">
        <v>12</v>
      </c>
      <c r="X1287" s="4">
        <v>0</v>
      </c>
      <c r="Y1287" s="4"/>
      <c r="Z1287" s="4">
        <v>109.9</v>
      </c>
      <c r="AA1287" s="4">
        <v>100</v>
      </c>
      <c r="AB1287" s="18"/>
      <c r="AC1287" s="18">
        <v>25</v>
      </c>
      <c r="AD1287" s="28"/>
      <c r="AE1287" s="26"/>
      <c r="AF1287" s="28"/>
    </row>
    <row r="1288" spans="1:32" ht="13.5" customHeight="1" x14ac:dyDescent="0.25">
      <c r="A1288" s="14">
        <v>45829</v>
      </c>
      <c r="B1288" s="14" t="s">
        <v>47</v>
      </c>
      <c r="C1288" s="15">
        <v>3</v>
      </c>
      <c r="D1288" s="16"/>
      <c r="E1288" s="16"/>
      <c r="F1288" s="17"/>
      <c r="G1288" s="21"/>
      <c r="H1288" s="21"/>
      <c r="I1288" s="4">
        <v>0</v>
      </c>
      <c r="J1288" s="4">
        <v>0</v>
      </c>
      <c r="K1288" s="4"/>
      <c r="L1288" s="16"/>
      <c r="M1288" s="4"/>
      <c r="N1288" s="4"/>
      <c r="O1288" s="4"/>
      <c r="P1288" s="4"/>
      <c r="Q1288" s="4"/>
      <c r="R1288" s="4"/>
      <c r="S1288" s="4">
        <v>0</v>
      </c>
      <c r="T1288" s="4">
        <v>0</v>
      </c>
      <c r="U1288" s="4">
        <v>0</v>
      </c>
      <c r="V1288" s="4">
        <v>12</v>
      </c>
      <c r="W1288" s="4">
        <v>12</v>
      </c>
      <c r="X1288" s="4">
        <v>0</v>
      </c>
      <c r="Y1288" s="4"/>
      <c r="Z1288" s="4">
        <v>113.7</v>
      </c>
      <c r="AA1288" s="4">
        <v>100</v>
      </c>
      <c r="AB1288" s="18"/>
      <c r="AC1288" s="18">
        <v>25</v>
      </c>
      <c r="AD1288" s="28"/>
      <c r="AE1288" s="26"/>
      <c r="AF1288" s="28"/>
    </row>
    <row r="1289" spans="1:32" ht="13.5" customHeight="1" x14ac:dyDescent="0.25">
      <c r="A1289" s="14">
        <v>45829</v>
      </c>
      <c r="B1289" s="14" t="s">
        <v>46</v>
      </c>
      <c r="C1289" s="15">
        <v>4</v>
      </c>
      <c r="D1289" s="16"/>
      <c r="E1289" s="16"/>
      <c r="F1289" s="17"/>
      <c r="G1289" s="21"/>
      <c r="H1289" s="21"/>
      <c r="I1289" s="4">
        <v>0</v>
      </c>
      <c r="J1289" s="4">
        <v>0</v>
      </c>
      <c r="K1289" s="4"/>
      <c r="L1289" s="16"/>
      <c r="M1289" s="4"/>
      <c r="N1289" s="4"/>
      <c r="O1289" s="4"/>
      <c r="P1289" s="4"/>
      <c r="Q1289" s="4"/>
      <c r="R1289" s="4"/>
      <c r="S1289" s="4">
        <v>0</v>
      </c>
      <c r="T1289" s="4">
        <v>0</v>
      </c>
      <c r="U1289" s="4">
        <v>0</v>
      </c>
      <c r="V1289" s="4">
        <v>12</v>
      </c>
      <c r="W1289" s="4">
        <v>12</v>
      </c>
      <c r="X1289" s="4">
        <v>0</v>
      </c>
      <c r="Y1289" s="4"/>
      <c r="Z1289" s="4">
        <v>343.4</v>
      </c>
      <c r="AA1289" s="4">
        <v>350</v>
      </c>
      <c r="AB1289" s="18"/>
      <c r="AC1289" s="18">
        <v>25</v>
      </c>
      <c r="AD1289" s="28"/>
      <c r="AE1289" s="26"/>
      <c r="AF1289" s="28"/>
    </row>
    <row r="1290" spans="1:32" ht="13.5" customHeight="1" x14ac:dyDescent="0.25">
      <c r="A1290" s="14">
        <v>45829</v>
      </c>
      <c r="B1290" s="14" t="s">
        <v>47</v>
      </c>
      <c r="C1290" s="15">
        <v>4</v>
      </c>
      <c r="D1290" s="16"/>
      <c r="E1290" s="16"/>
      <c r="F1290" s="17"/>
      <c r="G1290" s="21"/>
      <c r="H1290" s="21"/>
      <c r="I1290" s="4">
        <v>0</v>
      </c>
      <c r="J1290" s="4">
        <v>0</v>
      </c>
      <c r="K1290" s="4"/>
      <c r="L1290" s="16"/>
      <c r="M1290" s="4"/>
      <c r="N1290" s="4"/>
      <c r="O1290" s="4"/>
      <c r="P1290" s="4"/>
      <c r="Q1290" s="4"/>
      <c r="R1290" s="4"/>
      <c r="S1290" s="4">
        <v>0</v>
      </c>
      <c r="T1290" s="4">
        <v>0</v>
      </c>
      <c r="U1290" s="4">
        <v>0</v>
      </c>
      <c r="V1290" s="4">
        <v>12</v>
      </c>
      <c r="W1290" s="4">
        <v>12</v>
      </c>
      <c r="X1290" s="4">
        <v>10</v>
      </c>
      <c r="Y1290" s="4"/>
      <c r="Z1290" s="4">
        <v>352.40000000000003</v>
      </c>
      <c r="AA1290" s="4">
        <v>350</v>
      </c>
      <c r="AB1290" s="18"/>
      <c r="AC1290" s="18">
        <v>25</v>
      </c>
      <c r="AD1290" s="28"/>
      <c r="AE1290" s="26"/>
      <c r="AF1290" s="28"/>
    </row>
    <row r="1291" spans="1:32" ht="13.5" customHeight="1" x14ac:dyDescent="0.25">
      <c r="A1291" s="14">
        <v>45829</v>
      </c>
      <c r="B1291" s="14" t="s">
        <v>46</v>
      </c>
      <c r="C1291" s="15">
        <v>6</v>
      </c>
      <c r="D1291" s="16"/>
      <c r="E1291" s="16"/>
      <c r="F1291" s="17"/>
      <c r="G1291" s="21"/>
      <c r="H1291" s="21"/>
      <c r="I1291" s="4">
        <v>0</v>
      </c>
      <c r="J1291" s="4">
        <v>0</v>
      </c>
      <c r="K1291" s="4"/>
      <c r="L1291" s="16"/>
      <c r="M1291" s="4"/>
      <c r="N1291" s="4"/>
      <c r="O1291" s="4"/>
      <c r="P1291" s="4"/>
      <c r="Q1291" s="4">
        <v>95</v>
      </c>
      <c r="R1291" s="4"/>
      <c r="S1291" s="4">
        <v>95</v>
      </c>
      <c r="T1291" s="4">
        <v>1.5833333333333333</v>
      </c>
      <c r="U1291" s="4">
        <v>1.5833333333333333</v>
      </c>
      <c r="V1291" s="4">
        <v>10.416666666666666</v>
      </c>
      <c r="W1291" s="4">
        <v>12</v>
      </c>
      <c r="X1291" s="4">
        <v>0</v>
      </c>
      <c r="Y1291" s="4"/>
      <c r="Z1291" s="4">
        <v>573.29999999999995</v>
      </c>
      <c r="AA1291" s="4">
        <v>650</v>
      </c>
      <c r="AB1291" s="18"/>
      <c r="AC1291" s="18">
        <v>25</v>
      </c>
      <c r="AD1291" s="28"/>
      <c r="AE1291" s="26"/>
      <c r="AF1291" s="28"/>
    </row>
    <row r="1292" spans="1:32" ht="13.5" customHeight="1" x14ac:dyDescent="0.25">
      <c r="A1292" s="14">
        <v>45829</v>
      </c>
      <c r="B1292" s="14" t="s">
        <v>47</v>
      </c>
      <c r="C1292" s="15">
        <v>6</v>
      </c>
      <c r="D1292" s="16"/>
      <c r="E1292" s="16"/>
      <c r="F1292" s="17"/>
      <c r="G1292" s="21"/>
      <c r="H1292" s="21"/>
      <c r="I1292" s="4">
        <v>0</v>
      </c>
      <c r="J1292" s="4">
        <v>0</v>
      </c>
      <c r="K1292" s="4"/>
      <c r="L1292" s="16"/>
      <c r="M1292" s="4"/>
      <c r="N1292" s="4"/>
      <c r="O1292" s="4"/>
      <c r="P1292" s="4"/>
      <c r="Q1292" s="4"/>
      <c r="R1292" s="4"/>
      <c r="S1292" s="4">
        <v>0</v>
      </c>
      <c r="T1292" s="4">
        <v>0</v>
      </c>
      <c r="U1292" s="4">
        <v>0</v>
      </c>
      <c r="V1292" s="4">
        <v>12</v>
      </c>
      <c r="W1292" s="4">
        <v>12</v>
      </c>
      <c r="X1292" s="4">
        <v>80</v>
      </c>
      <c r="Y1292" s="4"/>
      <c r="Z1292" s="4">
        <v>170.6</v>
      </c>
      <c r="AA1292" s="4">
        <v>200</v>
      </c>
      <c r="AB1292" s="18"/>
      <c r="AC1292" s="18">
        <v>25</v>
      </c>
      <c r="AD1292" s="28"/>
      <c r="AE1292" s="26"/>
      <c r="AF1292" s="28"/>
    </row>
    <row r="1293" spans="1:32" ht="13.5" customHeight="1" x14ac:dyDescent="0.25">
      <c r="A1293" s="14">
        <v>45829</v>
      </c>
      <c r="B1293" s="14" t="s">
        <v>46</v>
      </c>
      <c r="C1293" s="15">
        <v>7</v>
      </c>
      <c r="D1293" s="16"/>
      <c r="E1293" s="16"/>
      <c r="F1293" s="17"/>
      <c r="G1293" s="21"/>
      <c r="H1293" s="21"/>
      <c r="I1293" s="4">
        <v>0</v>
      </c>
      <c r="J1293" s="4">
        <v>0</v>
      </c>
      <c r="K1293" s="4"/>
      <c r="L1293" s="16"/>
      <c r="M1293" s="4"/>
      <c r="N1293" s="4"/>
      <c r="O1293" s="4"/>
      <c r="P1293" s="4"/>
      <c r="Q1293" s="4"/>
      <c r="R1293" s="4"/>
      <c r="S1293" s="4">
        <v>0</v>
      </c>
      <c r="T1293" s="4">
        <v>0</v>
      </c>
      <c r="U1293" s="4">
        <v>0</v>
      </c>
      <c r="V1293" s="4">
        <v>12</v>
      </c>
      <c r="W1293" s="4">
        <v>12</v>
      </c>
      <c r="X1293" s="4">
        <v>0</v>
      </c>
      <c r="Y1293" s="4"/>
      <c r="Z1293" s="4">
        <v>266.10000000000002</v>
      </c>
      <c r="AA1293" s="4">
        <v>250</v>
      </c>
      <c r="AB1293" s="18"/>
      <c r="AC1293" s="18">
        <v>25</v>
      </c>
      <c r="AD1293" s="28"/>
      <c r="AE1293" s="26"/>
      <c r="AF1293" s="28"/>
    </row>
    <row r="1294" spans="1:32" ht="13.5" customHeight="1" x14ac:dyDescent="0.25">
      <c r="A1294" s="14">
        <v>45829</v>
      </c>
      <c r="B1294" s="14" t="s">
        <v>47</v>
      </c>
      <c r="C1294" s="15">
        <v>7</v>
      </c>
      <c r="D1294" s="16"/>
      <c r="E1294" s="16"/>
      <c r="F1294" s="17"/>
      <c r="G1294" s="21"/>
      <c r="H1294" s="21"/>
      <c r="I1294" s="4">
        <v>0</v>
      </c>
      <c r="J1294" s="4">
        <v>0</v>
      </c>
      <c r="K1294" s="4"/>
      <c r="L1294" s="16"/>
      <c r="M1294" s="4"/>
      <c r="N1294" s="4"/>
      <c r="O1294" s="4"/>
      <c r="P1294" s="4"/>
      <c r="Q1294" s="4"/>
      <c r="R1294" s="4"/>
      <c r="S1294" s="4">
        <v>0</v>
      </c>
      <c r="T1294" s="4">
        <v>0</v>
      </c>
      <c r="U1294" s="4">
        <v>0</v>
      </c>
      <c r="V1294" s="4">
        <v>12</v>
      </c>
      <c r="W1294" s="4">
        <v>12</v>
      </c>
      <c r="X1294" s="4">
        <v>20</v>
      </c>
      <c r="Y1294" s="4"/>
      <c r="Z1294" s="4">
        <v>269.33</v>
      </c>
      <c r="AA1294" s="4">
        <v>300</v>
      </c>
      <c r="AB1294" s="18"/>
      <c r="AC1294" s="18">
        <v>25</v>
      </c>
      <c r="AD1294" s="28"/>
      <c r="AE1294" s="26"/>
      <c r="AF1294" s="28"/>
    </row>
    <row r="1295" spans="1:32" ht="13.5" customHeight="1" x14ac:dyDescent="0.25">
      <c r="A1295" s="14">
        <v>45830</v>
      </c>
      <c r="B1295" s="14" t="s">
        <v>46</v>
      </c>
      <c r="C1295" s="15">
        <v>1</v>
      </c>
      <c r="D1295" s="16"/>
      <c r="E1295" s="16"/>
      <c r="F1295" s="17"/>
      <c r="G1295" s="21"/>
      <c r="H1295" s="21"/>
      <c r="I1295" s="4">
        <v>0</v>
      </c>
      <c r="J1295" s="4">
        <v>0</v>
      </c>
      <c r="K1295" s="4"/>
      <c r="L1295" s="16"/>
      <c r="M1295" s="4"/>
      <c r="N1295" s="4"/>
      <c r="O1295" s="4"/>
      <c r="P1295" s="4"/>
      <c r="Q1295" s="4"/>
      <c r="R1295" s="4"/>
      <c r="S1295" s="4">
        <v>0</v>
      </c>
      <c r="T1295" s="4">
        <v>0</v>
      </c>
      <c r="U1295" s="4">
        <v>0</v>
      </c>
      <c r="V1295" s="4">
        <v>12</v>
      </c>
      <c r="W1295" s="4">
        <v>12</v>
      </c>
      <c r="X1295" s="4">
        <v>0</v>
      </c>
      <c r="Y1295" s="4">
        <v>1978</v>
      </c>
      <c r="Z1295" s="4">
        <v>142.9</v>
      </c>
      <c r="AA1295" s="4">
        <v>150</v>
      </c>
      <c r="AB1295" s="18">
        <v>372</v>
      </c>
      <c r="AC1295" s="18">
        <v>25</v>
      </c>
      <c r="AD1295" s="28"/>
      <c r="AE1295" s="26"/>
      <c r="AF1295" s="28"/>
    </row>
    <row r="1296" spans="1:32" ht="13.5" customHeight="1" x14ac:dyDescent="0.25">
      <c r="A1296" s="14">
        <v>45830</v>
      </c>
      <c r="B1296" s="14" t="s">
        <v>47</v>
      </c>
      <c r="C1296" s="15">
        <v>1</v>
      </c>
      <c r="D1296" s="16"/>
      <c r="E1296" s="16"/>
      <c r="F1296" s="17"/>
      <c r="G1296" s="21"/>
      <c r="H1296" s="21"/>
      <c r="I1296" s="4">
        <v>0</v>
      </c>
      <c r="J1296" s="4">
        <v>0</v>
      </c>
      <c r="K1296" s="4"/>
      <c r="L1296" s="16"/>
      <c r="M1296" s="4"/>
      <c r="N1296" s="4"/>
      <c r="O1296" s="4"/>
      <c r="P1296" s="4"/>
      <c r="Q1296" s="4"/>
      <c r="R1296" s="4"/>
      <c r="S1296" s="4">
        <v>0</v>
      </c>
      <c r="T1296" s="4">
        <v>0</v>
      </c>
      <c r="U1296" s="4">
        <v>0</v>
      </c>
      <c r="V1296" s="4">
        <v>12</v>
      </c>
      <c r="W1296" s="4">
        <v>12</v>
      </c>
      <c r="X1296" s="4">
        <v>0</v>
      </c>
      <c r="Y1296" s="4"/>
      <c r="Z1296" s="4">
        <v>144.60000000000002</v>
      </c>
      <c r="AA1296" s="4">
        <v>150</v>
      </c>
      <c r="AB1296" s="18"/>
      <c r="AC1296" s="18">
        <v>25</v>
      </c>
      <c r="AD1296" s="28"/>
      <c r="AE1296" s="26"/>
      <c r="AF1296" s="28"/>
    </row>
    <row r="1297" spans="1:32" ht="13.5" customHeight="1" x14ac:dyDescent="0.25">
      <c r="A1297" s="14">
        <v>45830</v>
      </c>
      <c r="B1297" s="14" t="s">
        <v>46</v>
      </c>
      <c r="C1297" s="15">
        <v>3</v>
      </c>
      <c r="D1297" s="16"/>
      <c r="E1297" s="16"/>
      <c r="F1297" s="17"/>
      <c r="G1297" s="21"/>
      <c r="H1297" s="21"/>
      <c r="I1297" s="4">
        <v>0</v>
      </c>
      <c r="J1297" s="4">
        <v>0</v>
      </c>
      <c r="K1297" s="4"/>
      <c r="L1297" s="16"/>
      <c r="M1297" s="4"/>
      <c r="N1297" s="4"/>
      <c r="O1297" s="4"/>
      <c r="P1297" s="4"/>
      <c r="Q1297" s="4"/>
      <c r="R1297" s="4"/>
      <c r="S1297" s="4">
        <v>0</v>
      </c>
      <c r="T1297" s="4">
        <v>0</v>
      </c>
      <c r="U1297" s="4">
        <v>0</v>
      </c>
      <c r="V1297" s="4">
        <v>12</v>
      </c>
      <c r="W1297" s="4">
        <v>12</v>
      </c>
      <c r="X1297" s="4">
        <v>0</v>
      </c>
      <c r="Y1297" s="4"/>
      <c r="Z1297" s="4">
        <v>198.6</v>
      </c>
      <c r="AA1297" s="4">
        <v>200</v>
      </c>
      <c r="AB1297" s="18"/>
      <c r="AC1297" s="18">
        <v>25</v>
      </c>
      <c r="AD1297" s="28"/>
      <c r="AE1297" s="26"/>
      <c r="AF1297" s="28"/>
    </row>
    <row r="1298" spans="1:32" ht="13.5" customHeight="1" x14ac:dyDescent="0.25">
      <c r="A1298" s="14">
        <v>45830</v>
      </c>
      <c r="B1298" s="14" t="s">
        <v>47</v>
      </c>
      <c r="C1298" s="15">
        <v>3</v>
      </c>
      <c r="D1298" s="16"/>
      <c r="E1298" s="16"/>
      <c r="F1298" s="17"/>
      <c r="G1298" s="21"/>
      <c r="H1298" s="21"/>
      <c r="I1298" s="4">
        <v>0</v>
      </c>
      <c r="J1298" s="4">
        <v>0</v>
      </c>
      <c r="K1298" s="4"/>
      <c r="L1298" s="16"/>
      <c r="M1298" s="4"/>
      <c r="N1298" s="4"/>
      <c r="O1298" s="4"/>
      <c r="P1298" s="4"/>
      <c r="Q1298" s="4"/>
      <c r="R1298" s="4"/>
      <c r="S1298" s="4">
        <v>0</v>
      </c>
      <c r="T1298" s="4">
        <v>0</v>
      </c>
      <c r="U1298" s="4">
        <v>0</v>
      </c>
      <c r="V1298" s="4">
        <v>12</v>
      </c>
      <c r="W1298" s="4">
        <v>12</v>
      </c>
      <c r="X1298" s="4">
        <v>0</v>
      </c>
      <c r="Y1298" s="4"/>
      <c r="Z1298" s="4">
        <v>301.09999999999997</v>
      </c>
      <c r="AA1298" s="4">
        <v>300</v>
      </c>
      <c r="AB1298" s="18"/>
      <c r="AC1298" s="18">
        <v>25</v>
      </c>
      <c r="AD1298" s="28"/>
      <c r="AE1298" s="26"/>
      <c r="AF1298" s="28"/>
    </row>
    <row r="1299" spans="1:32" ht="13.5" customHeight="1" x14ac:dyDescent="0.25">
      <c r="A1299" s="14">
        <v>45830</v>
      </c>
      <c r="B1299" s="14" t="s">
        <v>46</v>
      </c>
      <c r="C1299" s="15">
        <v>4</v>
      </c>
      <c r="D1299" s="16"/>
      <c r="E1299" s="16"/>
      <c r="F1299" s="17"/>
      <c r="G1299" s="21"/>
      <c r="H1299" s="21"/>
      <c r="I1299" s="4">
        <v>0</v>
      </c>
      <c r="J1299" s="4">
        <v>0</v>
      </c>
      <c r="K1299" s="4"/>
      <c r="L1299" s="16"/>
      <c r="M1299" s="4"/>
      <c r="N1299" s="4"/>
      <c r="O1299" s="4"/>
      <c r="P1299" s="4"/>
      <c r="Q1299" s="4"/>
      <c r="R1299" s="4"/>
      <c r="S1299" s="4">
        <v>0</v>
      </c>
      <c r="T1299" s="4">
        <v>0</v>
      </c>
      <c r="U1299" s="4">
        <v>0</v>
      </c>
      <c r="V1299" s="4">
        <v>12</v>
      </c>
      <c r="W1299" s="4">
        <v>12</v>
      </c>
      <c r="X1299" s="4">
        <v>0</v>
      </c>
      <c r="Y1299" s="4"/>
      <c r="Z1299" s="4">
        <v>415.70000000000005</v>
      </c>
      <c r="AA1299" s="4">
        <v>400</v>
      </c>
      <c r="AB1299" s="18"/>
      <c r="AC1299" s="18">
        <v>25</v>
      </c>
      <c r="AD1299" s="28"/>
      <c r="AE1299" s="26"/>
      <c r="AF1299" s="28"/>
    </row>
    <row r="1300" spans="1:32" ht="13.5" customHeight="1" x14ac:dyDescent="0.25">
      <c r="A1300" s="14">
        <v>45830</v>
      </c>
      <c r="B1300" s="14" t="s">
        <v>47</v>
      </c>
      <c r="C1300" s="15">
        <v>4</v>
      </c>
      <c r="D1300" s="16"/>
      <c r="E1300" s="16"/>
      <c r="F1300" s="17"/>
      <c r="G1300" s="21"/>
      <c r="H1300" s="21"/>
      <c r="I1300" s="4">
        <v>0</v>
      </c>
      <c r="J1300" s="4">
        <v>0</v>
      </c>
      <c r="K1300" s="4"/>
      <c r="L1300" s="16"/>
      <c r="M1300" s="4"/>
      <c r="N1300" s="4"/>
      <c r="O1300" s="4"/>
      <c r="P1300" s="4"/>
      <c r="Q1300" s="4"/>
      <c r="R1300" s="4"/>
      <c r="S1300" s="4">
        <v>0</v>
      </c>
      <c r="T1300" s="4">
        <v>0</v>
      </c>
      <c r="U1300" s="4">
        <v>0</v>
      </c>
      <c r="V1300" s="4">
        <v>12</v>
      </c>
      <c r="W1300" s="4">
        <v>12</v>
      </c>
      <c r="X1300" s="4">
        <v>0</v>
      </c>
      <c r="Y1300" s="4"/>
      <c r="Z1300" s="4">
        <v>387.20000000000005</v>
      </c>
      <c r="AA1300" s="4">
        <v>400</v>
      </c>
      <c r="AB1300" s="18"/>
      <c r="AC1300" s="18">
        <v>25</v>
      </c>
      <c r="AD1300" s="28"/>
      <c r="AE1300" s="26"/>
      <c r="AF1300" s="28"/>
    </row>
    <row r="1301" spans="1:32" ht="13.5" customHeight="1" x14ac:dyDescent="0.25">
      <c r="A1301" s="14">
        <v>45830</v>
      </c>
      <c r="B1301" s="14" t="s">
        <v>46</v>
      </c>
      <c r="C1301" s="15">
        <v>6</v>
      </c>
      <c r="D1301" s="16"/>
      <c r="E1301" s="16"/>
      <c r="F1301" s="17"/>
      <c r="G1301" s="21"/>
      <c r="H1301" s="21"/>
      <c r="I1301" s="4">
        <v>0</v>
      </c>
      <c r="J1301" s="4">
        <v>0</v>
      </c>
      <c r="K1301" s="4"/>
      <c r="L1301" s="16">
        <v>60</v>
      </c>
      <c r="M1301" s="4"/>
      <c r="N1301" s="4"/>
      <c r="O1301" s="4"/>
      <c r="P1301" s="4"/>
      <c r="Q1301" s="4"/>
      <c r="R1301" s="4"/>
      <c r="S1301" s="4">
        <v>60</v>
      </c>
      <c r="T1301" s="4">
        <v>1</v>
      </c>
      <c r="U1301" s="4">
        <v>1</v>
      </c>
      <c r="V1301" s="4">
        <v>11</v>
      </c>
      <c r="W1301" s="4">
        <v>12</v>
      </c>
      <c r="X1301" s="4">
        <v>86.4</v>
      </c>
      <c r="Y1301" s="4"/>
      <c r="Z1301" s="4">
        <v>500</v>
      </c>
      <c r="AA1301" s="4">
        <v>500</v>
      </c>
      <c r="AB1301" s="18"/>
      <c r="AC1301" s="18">
        <v>25</v>
      </c>
      <c r="AD1301" s="28"/>
      <c r="AE1301" s="26"/>
      <c r="AF1301" s="28"/>
    </row>
    <row r="1302" spans="1:32" ht="13.5" customHeight="1" x14ac:dyDescent="0.25">
      <c r="A1302" s="14">
        <v>45830</v>
      </c>
      <c r="B1302" s="14" t="s">
        <v>47</v>
      </c>
      <c r="C1302" s="15">
        <v>6</v>
      </c>
      <c r="D1302" s="16"/>
      <c r="E1302" s="16"/>
      <c r="F1302" s="17"/>
      <c r="G1302" s="21"/>
      <c r="H1302" s="21"/>
      <c r="I1302" s="4">
        <v>0</v>
      </c>
      <c r="J1302" s="4">
        <v>0</v>
      </c>
      <c r="K1302" s="4"/>
      <c r="L1302" s="16"/>
      <c r="M1302" s="4"/>
      <c r="N1302" s="4"/>
      <c r="O1302" s="4"/>
      <c r="P1302" s="4"/>
      <c r="Q1302" s="4"/>
      <c r="R1302" s="4"/>
      <c r="S1302" s="4">
        <v>0</v>
      </c>
      <c r="T1302" s="4">
        <v>0</v>
      </c>
      <c r="U1302" s="4">
        <v>0</v>
      </c>
      <c r="V1302" s="4">
        <v>12</v>
      </c>
      <c r="W1302" s="4">
        <v>12</v>
      </c>
      <c r="X1302" s="4">
        <v>36</v>
      </c>
      <c r="Y1302" s="4"/>
      <c r="Z1302" s="4">
        <v>546</v>
      </c>
      <c r="AA1302" s="4">
        <v>550</v>
      </c>
      <c r="AB1302" s="18"/>
      <c r="AC1302" s="18">
        <v>25</v>
      </c>
      <c r="AD1302" s="28"/>
      <c r="AE1302" s="26"/>
      <c r="AF1302" s="28"/>
    </row>
    <row r="1303" spans="1:32" ht="13.5" customHeight="1" x14ac:dyDescent="0.25">
      <c r="A1303" s="14">
        <v>45830</v>
      </c>
      <c r="B1303" s="14" t="s">
        <v>46</v>
      </c>
      <c r="C1303" s="15">
        <v>7</v>
      </c>
      <c r="D1303" s="16"/>
      <c r="E1303" s="16"/>
      <c r="F1303" s="17"/>
      <c r="G1303" s="21"/>
      <c r="H1303" s="21"/>
      <c r="I1303" s="4">
        <v>0</v>
      </c>
      <c r="J1303" s="4">
        <v>0</v>
      </c>
      <c r="K1303" s="4"/>
      <c r="L1303" s="16">
        <v>120</v>
      </c>
      <c r="M1303" s="4"/>
      <c r="N1303" s="4"/>
      <c r="O1303" s="4"/>
      <c r="P1303" s="4"/>
      <c r="Q1303" s="4"/>
      <c r="R1303" s="4"/>
      <c r="S1303" s="4">
        <v>120</v>
      </c>
      <c r="T1303" s="4">
        <v>2</v>
      </c>
      <c r="U1303" s="4">
        <v>2</v>
      </c>
      <c r="V1303" s="4">
        <v>10</v>
      </c>
      <c r="W1303" s="4">
        <v>12</v>
      </c>
      <c r="X1303" s="4">
        <v>0</v>
      </c>
      <c r="Y1303" s="4"/>
      <c r="Z1303" s="4">
        <v>291.52999999999997</v>
      </c>
      <c r="AA1303" s="4">
        <v>300</v>
      </c>
      <c r="AB1303" s="18"/>
      <c r="AC1303" s="18">
        <v>25</v>
      </c>
      <c r="AD1303" s="28"/>
      <c r="AE1303" s="26"/>
      <c r="AF1303" s="28"/>
    </row>
    <row r="1304" spans="1:32" ht="13.5" customHeight="1" x14ac:dyDescent="0.25">
      <c r="A1304" s="14">
        <v>45830</v>
      </c>
      <c r="B1304" s="14" t="s">
        <v>47</v>
      </c>
      <c r="C1304" s="15">
        <v>7</v>
      </c>
      <c r="D1304" s="16"/>
      <c r="E1304" s="16"/>
      <c r="F1304" s="17"/>
      <c r="G1304" s="21"/>
      <c r="H1304" s="21"/>
      <c r="I1304" s="4">
        <v>0</v>
      </c>
      <c r="J1304" s="4">
        <v>0</v>
      </c>
      <c r="K1304" s="4"/>
      <c r="L1304" s="16"/>
      <c r="M1304" s="4"/>
      <c r="N1304" s="4"/>
      <c r="O1304" s="4"/>
      <c r="P1304" s="4"/>
      <c r="Q1304" s="4"/>
      <c r="R1304" s="4"/>
      <c r="S1304" s="4">
        <v>0</v>
      </c>
      <c r="T1304" s="4">
        <v>0</v>
      </c>
      <c r="U1304" s="4">
        <v>0</v>
      </c>
      <c r="V1304" s="4">
        <v>12</v>
      </c>
      <c r="W1304" s="4">
        <v>12</v>
      </c>
      <c r="X1304" s="4">
        <v>0</v>
      </c>
      <c r="Y1304" s="4"/>
      <c r="Z1304" s="4">
        <v>335.85</v>
      </c>
      <c r="AA1304" s="4">
        <v>350</v>
      </c>
      <c r="AB1304" s="18"/>
      <c r="AC1304" s="18">
        <v>25</v>
      </c>
      <c r="AD1304" s="28"/>
      <c r="AE1304" s="26"/>
      <c r="AF1304" s="28"/>
    </row>
    <row r="1305" spans="1:32" ht="13.5" customHeight="1" x14ac:dyDescent="0.25">
      <c r="A1305" s="14">
        <v>45831</v>
      </c>
      <c r="B1305" s="14" t="s">
        <v>46</v>
      </c>
      <c r="C1305" s="15">
        <v>1</v>
      </c>
      <c r="D1305" s="16"/>
      <c r="E1305" s="16"/>
      <c r="F1305" s="17"/>
      <c r="G1305" s="21"/>
      <c r="H1305" s="21"/>
      <c r="I1305" s="4">
        <v>0</v>
      </c>
      <c r="J1305" s="4">
        <v>0</v>
      </c>
      <c r="K1305" s="4"/>
      <c r="L1305" s="16"/>
      <c r="M1305" s="4"/>
      <c r="N1305" s="4"/>
      <c r="O1305" s="4"/>
      <c r="P1305" s="4"/>
      <c r="Q1305" s="4"/>
      <c r="R1305" s="4"/>
      <c r="S1305" s="4">
        <v>0</v>
      </c>
      <c r="T1305" s="4">
        <v>0</v>
      </c>
      <c r="U1305" s="4">
        <v>0</v>
      </c>
      <c r="V1305" s="4">
        <v>12</v>
      </c>
      <c r="W1305" s="4">
        <v>12</v>
      </c>
      <c r="X1305" s="4">
        <v>0</v>
      </c>
      <c r="Y1305" s="4">
        <v>2095</v>
      </c>
      <c r="Z1305" s="4">
        <v>127.5</v>
      </c>
      <c r="AA1305" s="4">
        <v>150</v>
      </c>
      <c r="AB1305" s="18">
        <v>372</v>
      </c>
      <c r="AC1305" s="18">
        <v>26</v>
      </c>
      <c r="AD1305" s="28"/>
      <c r="AE1305" s="26"/>
      <c r="AF1305" s="28"/>
    </row>
    <row r="1306" spans="1:32" ht="13.5" customHeight="1" x14ac:dyDescent="0.25">
      <c r="A1306" s="14">
        <v>45831</v>
      </c>
      <c r="B1306" s="14" t="s">
        <v>47</v>
      </c>
      <c r="C1306" s="15">
        <v>1</v>
      </c>
      <c r="D1306" s="16"/>
      <c r="E1306" s="16"/>
      <c r="F1306" s="17"/>
      <c r="G1306" s="21"/>
      <c r="H1306" s="21"/>
      <c r="I1306" s="4">
        <v>0</v>
      </c>
      <c r="J1306" s="4">
        <v>0</v>
      </c>
      <c r="K1306" s="4"/>
      <c r="L1306" s="16"/>
      <c r="M1306" s="4"/>
      <c r="N1306" s="4"/>
      <c r="O1306" s="4"/>
      <c r="P1306" s="4"/>
      <c r="Q1306" s="4"/>
      <c r="R1306" s="4"/>
      <c r="S1306" s="4">
        <v>0</v>
      </c>
      <c r="T1306" s="4">
        <v>0</v>
      </c>
      <c r="U1306" s="4">
        <v>0</v>
      </c>
      <c r="V1306" s="4">
        <v>12</v>
      </c>
      <c r="W1306" s="4">
        <v>12</v>
      </c>
      <c r="X1306" s="4">
        <v>0</v>
      </c>
      <c r="Y1306" s="4"/>
      <c r="Z1306" s="4">
        <v>93.000000000000014</v>
      </c>
      <c r="AA1306" s="4">
        <v>100</v>
      </c>
      <c r="AB1306" s="18"/>
      <c r="AC1306" s="18">
        <v>26</v>
      </c>
      <c r="AD1306" s="28"/>
      <c r="AE1306" s="26"/>
      <c r="AF1306" s="28"/>
    </row>
    <row r="1307" spans="1:32" ht="13.5" customHeight="1" x14ac:dyDescent="0.25">
      <c r="A1307" s="14">
        <v>45831</v>
      </c>
      <c r="B1307" s="14" t="s">
        <v>46</v>
      </c>
      <c r="C1307" s="15">
        <v>3</v>
      </c>
      <c r="D1307" s="16"/>
      <c r="E1307" s="16"/>
      <c r="F1307" s="17"/>
      <c r="G1307" s="21"/>
      <c r="H1307" s="21"/>
      <c r="I1307" s="4">
        <v>0</v>
      </c>
      <c r="J1307" s="4">
        <v>0</v>
      </c>
      <c r="K1307" s="4"/>
      <c r="L1307" s="16"/>
      <c r="M1307" s="4"/>
      <c r="N1307" s="4"/>
      <c r="O1307" s="4"/>
      <c r="P1307" s="4"/>
      <c r="Q1307" s="4"/>
      <c r="R1307" s="4"/>
      <c r="S1307" s="4">
        <v>0</v>
      </c>
      <c r="T1307" s="4">
        <v>0</v>
      </c>
      <c r="U1307" s="4">
        <v>0</v>
      </c>
      <c r="V1307" s="4">
        <v>12</v>
      </c>
      <c r="W1307" s="4">
        <v>12</v>
      </c>
      <c r="X1307" s="4">
        <v>0</v>
      </c>
      <c r="Y1307" s="4"/>
      <c r="Z1307" s="4">
        <v>328.00000000000006</v>
      </c>
      <c r="AA1307" s="4">
        <v>350</v>
      </c>
      <c r="AB1307" s="18"/>
      <c r="AC1307" s="18">
        <v>26</v>
      </c>
      <c r="AD1307" s="28"/>
      <c r="AE1307" s="26"/>
      <c r="AF1307" s="28"/>
    </row>
    <row r="1308" spans="1:32" ht="13.5" customHeight="1" x14ac:dyDescent="0.25">
      <c r="A1308" s="14">
        <v>45831</v>
      </c>
      <c r="B1308" s="14" t="s">
        <v>47</v>
      </c>
      <c r="C1308" s="15">
        <v>3</v>
      </c>
      <c r="D1308" s="16"/>
      <c r="E1308" s="16"/>
      <c r="F1308" s="17"/>
      <c r="G1308" s="21"/>
      <c r="H1308" s="21"/>
      <c r="I1308" s="4">
        <v>0</v>
      </c>
      <c r="J1308" s="4">
        <v>0</v>
      </c>
      <c r="K1308" s="4"/>
      <c r="L1308" s="16"/>
      <c r="M1308" s="4"/>
      <c r="N1308" s="4"/>
      <c r="O1308" s="4"/>
      <c r="P1308" s="4"/>
      <c r="Q1308" s="4"/>
      <c r="R1308" s="4"/>
      <c r="S1308" s="4">
        <v>0</v>
      </c>
      <c r="T1308" s="4">
        <v>0</v>
      </c>
      <c r="U1308" s="4">
        <v>0</v>
      </c>
      <c r="V1308" s="4">
        <v>12</v>
      </c>
      <c r="W1308" s="4">
        <v>12</v>
      </c>
      <c r="X1308" s="4">
        <v>0</v>
      </c>
      <c r="Y1308" s="4"/>
      <c r="Z1308" s="4">
        <v>227.79999999999998</v>
      </c>
      <c r="AA1308" s="4">
        <v>250</v>
      </c>
      <c r="AB1308" s="18"/>
      <c r="AC1308" s="18">
        <v>26</v>
      </c>
      <c r="AD1308" s="28"/>
      <c r="AE1308" s="26"/>
      <c r="AF1308" s="28"/>
    </row>
    <row r="1309" spans="1:32" ht="13.5" customHeight="1" x14ac:dyDescent="0.25">
      <c r="A1309" s="14">
        <v>45831</v>
      </c>
      <c r="B1309" s="14" t="s">
        <v>46</v>
      </c>
      <c r="C1309" s="15">
        <v>4</v>
      </c>
      <c r="D1309" s="16"/>
      <c r="E1309" s="16"/>
      <c r="F1309" s="17"/>
      <c r="G1309" s="21"/>
      <c r="H1309" s="21"/>
      <c r="I1309" s="4">
        <v>0</v>
      </c>
      <c r="J1309" s="4">
        <v>0</v>
      </c>
      <c r="K1309" s="4"/>
      <c r="L1309" s="16"/>
      <c r="M1309" s="4"/>
      <c r="N1309" s="4"/>
      <c r="O1309" s="4"/>
      <c r="P1309" s="4"/>
      <c r="Q1309" s="4"/>
      <c r="R1309" s="4"/>
      <c r="S1309" s="4">
        <v>0</v>
      </c>
      <c r="T1309" s="4">
        <v>0</v>
      </c>
      <c r="U1309" s="4">
        <v>0</v>
      </c>
      <c r="V1309" s="4">
        <v>12</v>
      </c>
      <c r="W1309" s="4">
        <v>12</v>
      </c>
      <c r="X1309" s="4">
        <v>0</v>
      </c>
      <c r="Y1309" s="4"/>
      <c r="Z1309" s="4">
        <v>394.6</v>
      </c>
      <c r="AA1309" s="4">
        <v>400</v>
      </c>
      <c r="AB1309" s="18"/>
      <c r="AC1309" s="18">
        <v>26</v>
      </c>
      <c r="AD1309" s="28"/>
      <c r="AE1309" s="26"/>
      <c r="AF1309" s="28"/>
    </row>
    <row r="1310" spans="1:32" ht="13.5" customHeight="1" x14ac:dyDescent="0.25">
      <c r="A1310" s="14">
        <v>45831</v>
      </c>
      <c r="B1310" s="14" t="s">
        <v>47</v>
      </c>
      <c r="C1310" s="15">
        <v>4</v>
      </c>
      <c r="D1310" s="16"/>
      <c r="E1310" s="16"/>
      <c r="F1310" s="17"/>
      <c r="G1310" s="21"/>
      <c r="H1310" s="21"/>
      <c r="I1310" s="4">
        <v>0</v>
      </c>
      <c r="J1310" s="4">
        <v>0</v>
      </c>
      <c r="K1310" s="4"/>
      <c r="L1310" s="16"/>
      <c r="M1310" s="4"/>
      <c r="N1310" s="4"/>
      <c r="O1310" s="4"/>
      <c r="P1310" s="4"/>
      <c r="Q1310" s="4"/>
      <c r="R1310" s="4"/>
      <c r="S1310" s="4">
        <v>0</v>
      </c>
      <c r="T1310" s="4">
        <v>0</v>
      </c>
      <c r="U1310" s="4">
        <v>0</v>
      </c>
      <c r="V1310" s="4">
        <v>12</v>
      </c>
      <c r="W1310" s="4">
        <v>12</v>
      </c>
      <c r="X1310" s="4">
        <v>0</v>
      </c>
      <c r="Y1310" s="4"/>
      <c r="Z1310" s="4">
        <v>374.9</v>
      </c>
      <c r="AA1310" s="4">
        <v>400</v>
      </c>
      <c r="AB1310" s="18"/>
      <c r="AC1310" s="18">
        <v>26</v>
      </c>
      <c r="AD1310" s="28"/>
      <c r="AE1310" s="26"/>
      <c r="AF1310" s="28"/>
    </row>
    <row r="1311" spans="1:32" ht="13.5" customHeight="1" x14ac:dyDescent="0.25">
      <c r="A1311" s="14">
        <v>45831</v>
      </c>
      <c r="B1311" s="14" t="s">
        <v>46</v>
      </c>
      <c r="C1311" s="15">
        <v>6</v>
      </c>
      <c r="D1311" s="16"/>
      <c r="E1311" s="16"/>
      <c r="F1311" s="17"/>
      <c r="G1311" s="21"/>
      <c r="H1311" s="21"/>
      <c r="I1311" s="4">
        <v>0</v>
      </c>
      <c r="J1311" s="4">
        <v>0</v>
      </c>
      <c r="K1311" s="4"/>
      <c r="L1311" s="16"/>
      <c r="M1311" s="4"/>
      <c r="N1311" s="4"/>
      <c r="O1311" s="4"/>
      <c r="P1311" s="4">
        <v>385</v>
      </c>
      <c r="Q1311" s="4"/>
      <c r="R1311" s="4"/>
      <c r="S1311" s="4">
        <v>385</v>
      </c>
      <c r="T1311" s="4">
        <v>6.416666666666667</v>
      </c>
      <c r="U1311" s="4">
        <v>6.416666666666667</v>
      </c>
      <c r="V1311" s="4">
        <v>5.583333333333333</v>
      </c>
      <c r="W1311" s="4">
        <v>12</v>
      </c>
      <c r="X1311" s="4">
        <v>46</v>
      </c>
      <c r="Y1311" s="4"/>
      <c r="Z1311" s="4">
        <v>221</v>
      </c>
      <c r="AA1311" s="4">
        <v>300</v>
      </c>
      <c r="AB1311" s="18"/>
      <c r="AC1311" s="18">
        <v>26</v>
      </c>
      <c r="AD1311" s="28"/>
      <c r="AE1311" s="26"/>
      <c r="AF1311" s="28"/>
    </row>
    <row r="1312" spans="1:32" ht="13.5" customHeight="1" x14ac:dyDescent="0.25">
      <c r="A1312" s="14">
        <v>45831</v>
      </c>
      <c r="B1312" s="14" t="s">
        <v>47</v>
      </c>
      <c r="C1312" s="15">
        <v>6</v>
      </c>
      <c r="D1312" s="16">
        <v>10</v>
      </c>
      <c r="E1312" s="16"/>
      <c r="F1312" s="17"/>
      <c r="G1312" s="21"/>
      <c r="H1312" s="21"/>
      <c r="I1312" s="4">
        <v>10</v>
      </c>
      <c r="J1312" s="4">
        <v>0.16666666666666666</v>
      </c>
      <c r="K1312" s="4"/>
      <c r="L1312" s="16"/>
      <c r="M1312" s="4"/>
      <c r="N1312" s="4">
        <v>10</v>
      </c>
      <c r="O1312" s="4"/>
      <c r="P1312" s="4"/>
      <c r="Q1312" s="4"/>
      <c r="R1312" s="4"/>
      <c r="S1312" s="4">
        <v>10</v>
      </c>
      <c r="T1312" s="4">
        <v>0.16666666666666666</v>
      </c>
      <c r="U1312" s="4">
        <v>0.33333333333333331</v>
      </c>
      <c r="V1312" s="4">
        <v>11.666666666666666</v>
      </c>
      <c r="W1312" s="4">
        <v>12</v>
      </c>
      <c r="X1312" s="4">
        <v>85</v>
      </c>
      <c r="Y1312" s="4"/>
      <c r="Z1312" s="4">
        <v>574.40000000000009</v>
      </c>
      <c r="AA1312" s="4">
        <v>600</v>
      </c>
      <c r="AB1312" s="18"/>
      <c r="AC1312" s="18">
        <v>26</v>
      </c>
      <c r="AD1312" s="28"/>
      <c r="AE1312" s="26"/>
      <c r="AF1312" s="28"/>
    </row>
    <row r="1313" spans="1:32" ht="13.5" customHeight="1" x14ac:dyDescent="0.25">
      <c r="A1313" s="14">
        <v>45831</v>
      </c>
      <c r="B1313" s="14" t="s">
        <v>46</v>
      </c>
      <c r="C1313" s="15">
        <v>7</v>
      </c>
      <c r="D1313" s="16"/>
      <c r="E1313" s="16"/>
      <c r="F1313" s="17"/>
      <c r="G1313" s="21"/>
      <c r="H1313" s="21"/>
      <c r="I1313" s="4">
        <v>0</v>
      </c>
      <c r="J1313" s="4">
        <v>0</v>
      </c>
      <c r="K1313" s="4"/>
      <c r="L1313" s="16"/>
      <c r="M1313" s="4"/>
      <c r="N1313" s="4"/>
      <c r="O1313" s="4"/>
      <c r="P1313" s="4"/>
      <c r="Q1313" s="4"/>
      <c r="R1313" s="4"/>
      <c r="S1313" s="4">
        <v>0</v>
      </c>
      <c r="T1313" s="4">
        <v>0</v>
      </c>
      <c r="U1313" s="4">
        <v>0</v>
      </c>
      <c r="V1313" s="4">
        <v>12</v>
      </c>
      <c r="W1313" s="4">
        <v>12</v>
      </c>
      <c r="X1313" s="4">
        <v>6</v>
      </c>
      <c r="Y1313" s="4"/>
      <c r="Z1313" s="4">
        <v>327.13000000000005</v>
      </c>
      <c r="AA1313" s="4">
        <v>350</v>
      </c>
      <c r="AB1313" s="18"/>
      <c r="AC1313" s="18">
        <v>26</v>
      </c>
      <c r="AD1313" s="28"/>
      <c r="AE1313" s="26"/>
      <c r="AF1313" s="28"/>
    </row>
    <row r="1314" spans="1:32" ht="13.5" customHeight="1" x14ac:dyDescent="0.25">
      <c r="A1314" s="14">
        <v>45831</v>
      </c>
      <c r="B1314" s="14" t="s">
        <v>47</v>
      </c>
      <c r="C1314" s="15">
        <v>7</v>
      </c>
      <c r="D1314" s="16">
        <v>7</v>
      </c>
      <c r="E1314" s="16"/>
      <c r="F1314" s="17"/>
      <c r="G1314" s="21"/>
      <c r="H1314" s="21"/>
      <c r="I1314" s="4">
        <v>7</v>
      </c>
      <c r="J1314" s="4">
        <v>0.11666666666666667</v>
      </c>
      <c r="K1314" s="4"/>
      <c r="L1314" s="16"/>
      <c r="M1314" s="4"/>
      <c r="N1314" s="4"/>
      <c r="O1314" s="4"/>
      <c r="P1314" s="4"/>
      <c r="Q1314" s="4"/>
      <c r="R1314" s="4"/>
      <c r="S1314" s="4">
        <v>0</v>
      </c>
      <c r="T1314" s="4">
        <v>0</v>
      </c>
      <c r="U1314" s="4">
        <v>0.11666666666666667</v>
      </c>
      <c r="V1314" s="4">
        <v>11.883333333333333</v>
      </c>
      <c r="W1314" s="4">
        <v>12</v>
      </c>
      <c r="X1314" s="4">
        <v>10.8</v>
      </c>
      <c r="Y1314" s="4"/>
      <c r="Z1314" s="4">
        <v>388.9</v>
      </c>
      <c r="AA1314" s="4">
        <v>400</v>
      </c>
      <c r="AB1314" s="18"/>
      <c r="AC1314" s="18">
        <v>26</v>
      </c>
      <c r="AD1314" s="28"/>
      <c r="AE1314" s="26"/>
      <c r="AF1314" s="28"/>
    </row>
    <row r="1315" spans="1:32" ht="13.5" customHeight="1" x14ac:dyDescent="0.25">
      <c r="A1315" s="14">
        <v>45832</v>
      </c>
      <c r="B1315" s="14" t="s">
        <v>46</v>
      </c>
      <c r="C1315" s="15">
        <v>1</v>
      </c>
      <c r="D1315" s="16"/>
      <c r="E1315" s="16"/>
      <c r="F1315" s="17"/>
      <c r="G1315" s="21"/>
      <c r="H1315" s="21"/>
      <c r="I1315" s="4">
        <v>0</v>
      </c>
      <c r="J1315" s="4">
        <v>0</v>
      </c>
      <c r="K1315" s="4"/>
      <c r="L1315" s="16"/>
      <c r="M1315" s="4"/>
      <c r="N1315" s="4"/>
      <c r="O1315" s="4"/>
      <c r="P1315" s="4"/>
      <c r="Q1315" s="4"/>
      <c r="R1315" s="4"/>
      <c r="S1315" s="4">
        <v>0</v>
      </c>
      <c r="T1315" s="4">
        <v>0</v>
      </c>
      <c r="U1315" s="4">
        <v>0</v>
      </c>
      <c r="V1315" s="4">
        <v>12</v>
      </c>
      <c r="W1315" s="4">
        <v>12</v>
      </c>
      <c r="X1315" s="4">
        <v>4</v>
      </c>
      <c r="Y1315" s="4">
        <v>2131</v>
      </c>
      <c r="Z1315" s="4">
        <v>114.5</v>
      </c>
      <c r="AA1315" s="4">
        <v>100</v>
      </c>
      <c r="AB1315" s="18">
        <v>372</v>
      </c>
      <c r="AC1315" s="18">
        <v>26</v>
      </c>
      <c r="AD1315" s="28"/>
      <c r="AE1315" s="26"/>
      <c r="AF1315" s="28"/>
    </row>
    <row r="1316" spans="1:32" ht="13.5" customHeight="1" x14ac:dyDescent="0.25">
      <c r="A1316" s="14">
        <v>45832</v>
      </c>
      <c r="B1316" s="14" t="s">
        <v>47</v>
      </c>
      <c r="C1316" s="15">
        <v>1</v>
      </c>
      <c r="D1316" s="16"/>
      <c r="E1316" s="16"/>
      <c r="F1316" s="17"/>
      <c r="G1316" s="21"/>
      <c r="H1316" s="21"/>
      <c r="I1316" s="4">
        <v>0</v>
      </c>
      <c r="J1316" s="4">
        <v>0</v>
      </c>
      <c r="K1316" s="4"/>
      <c r="L1316" s="16"/>
      <c r="M1316" s="4"/>
      <c r="N1316" s="4"/>
      <c r="O1316" s="4"/>
      <c r="P1316" s="4"/>
      <c r="Q1316" s="4"/>
      <c r="R1316" s="4"/>
      <c r="S1316" s="4">
        <v>0</v>
      </c>
      <c r="T1316" s="4">
        <v>0</v>
      </c>
      <c r="U1316" s="4">
        <v>0</v>
      </c>
      <c r="V1316" s="4">
        <v>12</v>
      </c>
      <c r="W1316" s="4">
        <v>12</v>
      </c>
      <c r="X1316" s="4">
        <v>0</v>
      </c>
      <c r="Y1316" s="4"/>
      <c r="Z1316" s="4">
        <v>99.6</v>
      </c>
      <c r="AA1316" s="4">
        <v>100</v>
      </c>
      <c r="AB1316" s="18"/>
      <c r="AC1316" s="18">
        <v>26</v>
      </c>
      <c r="AD1316" s="28"/>
      <c r="AE1316" s="26"/>
      <c r="AF1316" s="28"/>
    </row>
    <row r="1317" spans="1:32" ht="13.5" customHeight="1" x14ac:dyDescent="0.25">
      <c r="A1317" s="14">
        <v>45832</v>
      </c>
      <c r="B1317" s="14" t="s">
        <v>46</v>
      </c>
      <c r="C1317" s="15">
        <v>3</v>
      </c>
      <c r="D1317" s="16">
        <v>15</v>
      </c>
      <c r="E1317" s="16"/>
      <c r="F1317" s="17"/>
      <c r="G1317" s="21"/>
      <c r="H1317" s="21"/>
      <c r="I1317" s="4">
        <v>15</v>
      </c>
      <c r="J1317" s="4">
        <v>0.25</v>
      </c>
      <c r="K1317" s="4"/>
      <c r="L1317" s="16">
        <v>5</v>
      </c>
      <c r="M1317" s="4"/>
      <c r="N1317" s="4"/>
      <c r="O1317" s="4"/>
      <c r="P1317" s="4"/>
      <c r="Q1317" s="4"/>
      <c r="R1317" s="4"/>
      <c r="S1317" s="4">
        <v>5</v>
      </c>
      <c r="T1317" s="4">
        <v>8.3333333333333329E-2</v>
      </c>
      <c r="U1317" s="4">
        <v>0.33333333333333331</v>
      </c>
      <c r="V1317" s="4">
        <v>11.666666666666666</v>
      </c>
      <c r="W1317" s="4">
        <v>12</v>
      </c>
      <c r="X1317" s="4">
        <v>12</v>
      </c>
      <c r="Y1317" s="4"/>
      <c r="Z1317" s="4">
        <v>268.39999999999998</v>
      </c>
      <c r="AA1317" s="4">
        <v>300</v>
      </c>
      <c r="AB1317" s="18"/>
      <c r="AC1317" s="18">
        <v>26</v>
      </c>
      <c r="AD1317" s="28"/>
      <c r="AE1317" s="26"/>
      <c r="AF1317" s="28"/>
    </row>
    <row r="1318" spans="1:32" ht="13.5" customHeight="1" x14ac:dyDescent="0.25">
      <c r="A1318" s="14">
        <v>45832</v>
      </c>
      <c r="B1318" s="14" t="s">
        <v>47</v>
      </c>
      <c r="C1318" s="15">
        <v>3</v>
      </c>
      <c r="D1318" s="16"/>
      <c r="E1318" s="16"/>
      <c r="F1318" s="17"/>
      <c r="G1318" s="21"/>
      <c r="H1318" s="21"/>
      <c r="I1318" s="4">
        <v>0</v>
      </c>
      <c r="J1318" s="4">
        <v>0</v>
      </c>
      <c r="K1318" s="4"/>
      <c r="L1318" s="16"/>
      <c r="M1318" s="4"/>
      <c r="N1318" s="4"/>
      <c r="O1318" s="4"/>
      <c r="P1318" s="4"/>
      <c r="Q1318" s="4"/>
      <c r="R1318" s="4"/>
      <c r="S1318" s="4">
        <v>0</v>
      </c>
      <c r="T1318" s="4">
        <v>0</v>
      </c>
      <c r="U1318" s="4">
        <v>0</v>
      </c>
      <c r="V1318" s="4">
        <v>12</v>
      </c>
      <c r="W1318" s="4">
        <v>12</v>
      </c>
      <c r="X1318" s="4">
        <v>0</v>
      </c>
      <c r="Y1318" s="4"/>
      <c r="Z1318" s="4">
        <v>189.7</v>
      </c>
      <c r="AA1318" s="4">
        <v>250</v>
      </c>
      <c r="AB1318" s="18"/>
      <c r="AC1318" s="18">
        <v>26</v>
      </c>
      <c r="AD1318" s="28"/>
      <c r="AE1318" s="26"/>
      <c r="AF1318" s="28"/>
    </row>
    <row r="1319" spans="1:32" ht="13.5" customHeight="1" x14ac:dyDescent="0.25">
      <c r="A1319" s="14">
        <v>45832</v>
      </c>
      <c r="B1319" s="14" t="s">
        <v>46</v>
      </c>
      <c r="C1319" s="15">
        <v>4</v>
      </c>
      <c r="D1319" s="16"/>
      <c r="E1319" s="16"/>
      <c r="F1319" s="17"/>
      <c r="G1319" s="21"/>
      <c r="H1319" s="21"/>
      <c r="I1319" s="4">
        <v>0</v>
      </c>
      <c r="J1319" s="4">
        <v>0</v>
      </c>
      <c r="K1319" s="4"/>
      <c r="L1319" s="16">
        <v>5</v>
      </c>
      <c r="M1319" s="4"/>
      <c r="N1319" s="4"/>
      <c r="O1319" s="4"/>
      <c r="P1319" s="4"/>
      <c r="Q1319" s="4"/>
      <c r="R1319" s="4"/>
      <c r="S1319" s="4">
        <v>5</v>
      </c>
      <c r="T1319" s="4">
        <v>8.3333333333333329E-2</v>
      </c>
      <c r="U1319" s="4">
        <v>8.3333333333333329E-2</v>
      </c>
      <c r="V1319" s="4">
        <v>11.916666666666666</v>
      </c>
      <c r="W1319" s="4">
        <v>12</v>
      </c>
      <c r="X1319" s="4">
        <v>14</v>
      </c>
      <c r="Y1319" s="4"/>
      <c r="Z1319" s="4">
        <v>384.8</v>
      </c>
      <c r="AA1319" s="4">
        <v>400</v>
      </c>
      <c r="AB1319" s="18"/>
      <c r="AC1319" s="18">
        <v>26</v>
      </c>
      <c r="AD1319" s="28"/>
      <c r="AE1319" s="26"/>
      <c r="AF1319" s="28"/>
    </row>
    <row r="1320" spans="1:32" ht="13.5" customHeight="1" x14ac:dyDescent="0.25">
      <c r="A1320" s="14">
        <v>45832</v>
      </c>
      <c r="B1320" s="14" t="s">
        <v>47</v>
      </c>
      <c r="C1320" s="15">
        <v>4</v>
      </c>
      <c r="D1320" s="16">
        <v>3</v>
      </c>
      <c r="E1320" s="16"/>
      <c r="F1320" s="17"/>
      <c r="G1320" s="21"/>
      <c r="H1320" s="21"/>
      <c r="I1320" s="4">
        <v>3</v>
      </c>
      <c r="J1320" s="4">
        <v>0.05</v>
      </c>
      <c r="K1320" s="4"/>
      <c r="L1320" s="16"/>
      <c r="M1320" s="4"/>
      <c r="N1320" s="4"/>
      <c r="O1320" s="4"/>
      <c r="P1320" s="4"/>
      <c r="Q1320" s="4"/>
      <c r="R1320" s="4"/>
      <c r="S1320" s="4">
        <v>0</v>
      </c>
      <c r="T1320" s="4">
        <v>0</v>
      </c>
      <c r="U1320" s="4">
        <v>0.05</v>
      </c>
      <c r="V1320" s="4">
        <v>11.95</v>
      </c>
      <c r="W1320" s="4">
        <v>12</v>
      </c>
      <c r="X1320" s="4">
        <v>0</v>
      </c>
      <c r="Y1320" s="4"/>
      <c r="Z1320" s="4">
        <v>390.4</v>
      </c>
      <c r="AA1320" s="4">
        <v>400</v>
      </c>
      <c r="AB1320" s="18"/>
      <c r="AC1320" s="18">
        <v>26</v>
      </c>
      <c r="AD1320" s="28"/>
      <c r="AE1320" s="26"/>
      <c r="AF1320" s="28"/>
    </row>
    <row r="1321" spans="1:32" ht="13.5" customHeight="1" x14ac:dyDescent="0.25">
      <c r="A1321" s="14">
        <v>45832</v>
      </c>
      <c r="B1321" s="14" t="s">
        <v>46</v>
      </c>
      <c r="C1321" s="15">
        <v>6</v>
      </c>
      <c r="D1321" s="16">
        <v>16</v>
      </c>
      <c r="E1321" s="16"/>
      <c r="F1321" s="17"/>
      <c r="G1321" s="21"/>
      <c r="H1321" s="21"/>
      <c r="I1321" s="4">
        <v>16</v>
      </c>
      <c r="J1321" s="4">
        <v>0.26666666666666666</v>
      </c>
      <c r="K1321" s="4"/>
      <c r="L1321" s="16"/>
      <c r="M1321" s="4"/>
      <c r="N1321" s="4"/>
      <c r="O1321" s="4"/>
      <c r="P1321" s="4"/>
      <c r="Q1321" s="4"/>
      <c r="R1321" s="4"/>
      <c r="S1321" s="4">
        <v>0</v>
      </c>
      <c r="T1321" s="4">
        <v>0</v>
      </c>
      <c r="U1321" s="4">
        <v>0.26666666666666666</v>
      </c>
      <c r="V1321" s="4">
        <v>11.733333333333333</v>
      </c>
      <c r="W1321" s="4">
        <v>12</v>
      </c>
      <c r="X1321" s="4">
        <v>28</v>
      </c>
      <c r="Y1321" s="4"/>
      <c r="Z1321" s="4">
        <v>498.6</v>
      </c>
      <c r="AA1321" s="4">
        <v>550</v>
      </c>
      <c r="AB1321" s="18"/>
      <c r="AC1321" s="18">
        <v>26</v>
      </c>
      <c r="AD1321" s="28"/>
      <c r="AE1321" s="26"/>
      <c r="AF1321" s="28"/>
    </row>
    <row r="1322" spans="1:32" ht="13.5" customHeight="1" x14ac:dyDescent="0.25">
      <c r="A1322" s="14">
        <v>45832</v>
      </c>
      <c r="B1322" s="14" t="s">
        <v>47</v>
      </c>
      <c r="C1322" s="15">
        <v>6</v>
      </c>
      <c r="D1322" s="16">
        <v>5</v>
      </c>
      <c r="E1322" s="16"/>
      <c r="F1322" s="17"/>
      <c r="G1322" s="21"/>
      <c r="H1322" s="21"/>
      <c r="I1322" s="4">
        <v>5</v>
      </c>
      <c r="J1322" s="4">
        <v>8.3333333333333329E-2</v>
      </c>
      <c r="K1322" s="4"/>
      <c r="L1322" s="16"/>
      <c r="M1322" s="4"/>
      <c r="N1322" s="4"/>
      <c r="O1322" s="4"/>
      <c r="P1322" s="4"/>
      <c r="Q1322" s="4">
        <v>90</v>
      </c>
      <c r="R1322" s="4"/>
      <c r="S1322" s="4">
        <v>90</v>
      </c>
      <c r="T1322" s="4">
        <v>1.5</v>
      </c>
      <c r="U1322" s="4">
        <v>1.5833333333333333</v>
      </c>
      <c r="V1322" s="4">
        <v>10.416666666666666</v>
      </c>
      <c r="W1322" s="4">
        <v>12</v>
      </c>
      <c r="X1322" s="4">
        <v>97</v>
      </c>
      <c r="Y1322" s="4"/>
      <c r="Z1322" s="4">
        <v>454.6</v>
      </c>
      <c r="AA1322" s="4">
        <v>500</v>
      </c>
      <c r="AB1322" s="18"/>
      <c r="AC1322" s="18">
        <v>26</v>
      </c>
      <c r="AD1322" s="28"/>
      <c r="AE1322" s="26"/>
      <c r="AF1322" s="28"/>
    </row>
    <row r="1323" spans="1:32" ht="13.5" customHeight="1" x14ac:dyDescent="0.25">
      <c r="A1323" s="14">
        <v>45832</v>
      </c>
      <c r="B1323" s="14" t="s">
        <v>46</v>
      </c>
      <c r="C1323" s="15">
        <v>7</v>
      </c>
      <c r="D1323" s="16">
        <v>6</v>
      </c>
      <c r="E1323" s="16"/>
      <c r="F1323" s="17"/>
      <c r="G1323" s="21"/>
      <c r="H1323" s="21"/>
      <c r="I1323" s="4">
        <v>6</v>
      </c>
      <c r="J1323" s="4">
        <v>0.1</v>
      </c>
      <c r="K1323" s="4"/>
      <c r="L1323" s="16"/>
      <c r="M1323" s="4"/>
      <c r="N1323" s="4"/>
      <c r="O1323" s="4"/>
      <c r="P1323" s="4"/>
      <c r="Q1323" s="4"/>
      <c r="R1323" s="4"/>
      <c r="S1323" s="4">
        <v>0</v>
      </c>
      <c r="T1323" s="4">
        <v>0</v>
      </c>
      <c r="U1323" s="4">
        <v>0.1</v>
      </c>
      <c r="V1323" s="4">
        <v>11.9</v>
      </c>
      <c r="W1323" s="4">
        <v>12</v>
      </c>
      <c r="X1323" s="4">
        <v>8</v>
      </c>
      <c r="Y1323" s="4"/>
      <c r="Z1323" s="4">
        <v>457.23</v>
      </c>
      <c r="AA1323" s="4">
        <v>450</v>
      </c>
      <c r="AB1323" s="18"/>
      <c r="AC1323" s="18">
        <v>26</v>
      </c>
      <c r="AD1323" s="28"/>
      <c r="AE1323" s="26"/>
      <c r="AF1323" s="28"/>
    </row>
    <row r="1324" spans="1:32" ht="13.5" customHeight="1" x14ac:dyDescent="0.25">
      <c r="A1324" s="14">
        <v>45832</v>
      </c>
      <c r="B1324" s="14" t="s">
        <v>47</v>
      </c>
      <c r="C1324" s="15">
        <v>7</v>
      </c>
      <c r="D1324" s="16">
        <v>7</v>
      </c>
      <c r="E1324" s="16"/>
      <c r="F1324" s="17"/>
      <c r="G1324" s="21"/>
      <c r="H1324" s="21"/>
      <c r="I1324" s="4">
        <v>7</v>
      </c>
      <c r="J1324" s="4">
        <v>0.11666666666666667</v>
      </c>
      <c r="K1324" s="4"/>
      <c r="L1324" s="16"/>
      <c r="M1324" s="4"/>
      <c r="N1324" s="4"/>
      <c r="O1324" s="4"/>
      <c r="P1324" s="4"/>
      <c r="Q1324" s="4"/>
      <c r="R1324" s="4"/>
      <c r="S1324" s="4">
        <v>0</v>
      </c>
      <c r="T1324" s="4">
        <v>0</v>
      </c>
      <c r="U1324" s="4">
        <v>0.11666666666666667</v>
      </c>
      <c r="V1324" s="4">
        <v>11.883333333333333</v>
      </c>
      <c r="W1324" s="4">
        <v>12</v>
      </c>
      <c r="X1324" s="4">
        <v>0</v>
      </c>
      <c r="Y1324" s="4"/>
      <c r="Z1324" s="4">
        <v>323.59999999999997</v>
      </c>
      <c r="AA1324" s="4">
        <v>350</v>
      </c>
      <c r="AB1324" s="18"/>
      <c r="AC1324" s="18">
        <v>26</v>
      </c>
      <c r="AD1324" s="28"/>
      <c r="AE1324" s="26"/>
      <c r="AF1324" s="28"/>
    </row>
    <row r="1325" spans="1:32" ht="13.5" customHeight="1" x14ac:dyDescent="0.25">
      <c r="A1325" s="14">
        <v>45833</v>
      </c>
      <c r="B1325" s="14" t="s">
        <v>46</v>
      </c>
      <c r="C1325" s="15">
        <v>1</v>
      </c>
      <c r="D1325" s="16"/>
      <c r="E1325" s="16"/>
      <c r="F1325" s="17"/>
      <c r="G1325" s="21"/>
      <c r="H1325" s="21"/>
      <c r="I1325" s="4">
        <v>0</v>
      </c>
      <c r="J1325" s="4">
        <v>0</v>
      </c>
      <c r="K1325" s="4"/>
      <c r="L1325" s="16"/>
      <c r="M1325" s="4"/>
      <c r="N1325" s="4"/>
      <c r="O1325" s="4"/>
      <c r="P1325" s="4"/>
      <c r="Q1325" s="4"/>
      <c r="R1325" s="4"/>
      <c r="S1325" s="4">
        <v>0</v>
      </c>
      <c r="T1325" s="4">
        <v>0</v>
      </c>
      <c r="U1325" s="4">
        <v>0</v>
      </c>
      <c r="V1325" s="4">
        <v>12</v>
      </c>
      <c r="W1325" s="4">
        <v>12</v>
      </c>
      <c r="X1325" s="4">
        <v>5</v>
      </c>
      <c r="Y1325" s="4">
        <v>1869</v>
      </c>
      <c r="Z1325" s="4">
        <v>118.6</v>
      </c>
      <c r="AA1325" s="4">
        <v>100</v>
      </c>
      <c r="AB1325" s="18">
        <v>372</v>
      </c>
      <c r="AC1325" s="18">
        <v>26</v>
      </c>
      <c r="AD1325" s="28"/>
      <c r="AE1325" s="26"/>
      <c r="AF1325" s="28"/>
    </row>
    <row r="1326" spans="1:32" ht="13.5" customHeight="1" x14ac:dyDescent="0.25">
      <c r="A1326" s="14">
        <v>45833</v>
      </c>
      <c r="B1326" s="14" t="s">
        <v>47</v>
      </c>
      <c r="C1326" s="15">
        <v>1</v>
      </c>
      <c r="D1326" s="16"/>
      <c r="E1326" s="16"/>
      <c r="F1326" s="17"/>
      <c r="G1326" s="21"/>
      <c r="H1326" s="21"/>
      <c r="I1326" s="4">
        <v>0</v>
      </c>
      <c r="J1326" s="4">
        <v>0</v>
      </c>
      <c r="K1326" s="4"/>
      <c r="L1326" s="16"/>
      <c r="M1326" s="4"/>
      <c r="N1326" s="4"/>
      <c r="O1326" s="4"/>
      <c r="P1326" s="4"/>
      <c r="Q1326" s="4"/>
      <c r="R1326" s="4"/>
      <c r="S1326" s="4">
        <v>0</v>
      </c>
      <c r="T1326" s="4">
        <v>0</v>
      </c>
      <c r="U1326" s="4">
        <v>0</v>
      </c>
      <c r="V1326" s="4">
        <v>12</v>
      </c>
      <c r="W1326" s="4">
        <v>12</v>
      </c>
      <c r="X1326" s="4">
        <v>0</v>
      </c>
      <c r="Y1326" s="4"/>
      <c r="Z1326" s="4">
        <v>120.9</v>
      </c>
      <c r="AA1326" s="4">
        <v>150</v>
      </c>
      <c r="AB1326" s="18"/>
      <c r="AC1326" s="18">
        <v>26</v>
      </c>
      <c r="AD1326" s="28"/>
      <c r="AE1326" s="26"/>
      <c r="AF1326" s="28"/>
    </row>
    <row r="1327" spans="1:32" ht="13.5" customHeight="1" x14ac:dyDescent="0.25">
      <c r="A1327" s="14">
        <v>45833</v>
      </c>
      <c r="B1327" s="14" t="s">
        <v>46</v>
      </c>
      <c r="C1327" s="15">
        <v>3</v>
      </c>
      <c r="D1327" s="16">
        <v>7</v>
      </c>
      <c r="E1327" s="16"/>
      <c r="F1327" s="17"/>
      <c r="G1327" s="21"/>
      <c r="H1327" s="21"/>
      <c r="I1327" s="4">
        <v>7</v>
      </c>
      <c r="J1327" s="4">
        <v>0.11666666666666667</v>
      </c>
      <c r="K1327" s="4"/>
      <c r="L1327" s="16"/>
      <c r="M1327" s="4"/>
      <c r="N1327" s="4"/>
      <c r="O1327" s="4"/>
      <c r="P1327" s="4"/>
      <c r="Q1327" s="4"/>
      <c r="R1327" s="4"/>
      <c r="S1327" s="4">
        <v>0</v>
      </c>
      <c r="T1327" s="4">
        <v>0</v>
      </c>
      <c r="U1327" s="4">
        <v>0.11666666666666667</v>
      </c>
      <c r="V1327" s="4">
        <v>11.883333333333333</v>
      </c>
      <c r="W1327" s="4">
        <v>12</v>
      </c>
      <c r="X1327" s="4">
        <v>9</v>
      </c>
      <c r="Y1327" s="4"/>
      <c r="Z1327" s="4">
        <v>382.6</v>
      </c>
      <c r="AA1327" s="4">
        <v>400</v>
      </c>
      <c r="AB1327" s="18"/>
      <c r="AC1327" s="18">
        <v>26</v>
      </c>
      <c r="AD1327" s="28"/>
      <c r="AE1327" s="26"/>
      <c r="AF1327" s="28"/>
    </row>
    <row r="1328" spans="1:32" ht="13.5" customHeight="1" x14ac:dyDescent="0.25">
      <c r="A1328" s="14">
        <v>45833</v>
      </c>
      <c r="B1328" s="14" t="s">
        <v>47</v>
      </c>
      <c r="C1328" s="15">
        <v>3</v>
      </c>
      <c r="D1328" s="16"/>
      <c r="E1328" s="16"/>
      <c r="F1328" s="17"/>
      <c r="G1328" s="21"/>
      <c r="H1328" s="21"/>
      <c r="I1328" s="4">
        <v>0</v>
      </c>
      <c r="J1328" s="4">
        <v>0</v>
      </c>
      <c r="K1328" s="4"/>
      <c r="L1328" s="16"/>
      <c r="M1328" s="4"/>
      <c r="N1328" s="4"/>
      <c r="O1328" s="4"/>
      <c r="P1328" s="4"/>
      <c r="Q1328" s="4"/>
      <c r="R1328" s="4"/>
      <c r="S1328" s="4">
        <v>0</v>
      </c>
      <c r="T1328" s="4">
        <v>0</v>
      </c>
      <c r="U1328" s="4">
        <v>0</v>
      </c>
      <c r="V1328" s="4">
        <v>12</v>
      </c>
      <c r="W1328" s="4">
        <v>12</v>
      </c>
      <c r="X1328" s="4">
        <v>0</v>
      </c>
      <c r="Y1328" s="4"/>
      <c r="Z1328" s="4">
        <v>172</v>
      </c>
      <c r="AA1328" s="4">
        <v>200</v>
      </c>
      <c r="AB1328" s="18"/>
      <c r="AC1328" s="18">
        <v>26</v>
      </c>
      <c r="AD1328" s="28"/>
      <c r="AE1328" s="26"/>
      <c r="AF1328" s="28"/>
    </row>
    <row r="1329" spans="1:32" ht="13.5" customHeight="1" x14ac:dyDescent="0.25">
      <c r="A1329" s="14">
        <v>45833</v>
      </c>
      <c r="B1329" s="14" t="s">
        <v>46</v>
      </c>
      <c r="C1329" s="15">
        <v>6</v>
      </c>
      <c r="D1329" s="16">
        <v>5</v>
      </c>
      <c r="E1329" s="16"/>
      <c r="F1329" s="17"/>
      <c r="G1329" s="21"/>
      <c r="H1329" s="21"/>
      <c r="I1329" s="4">
        <v>5</v>
      </c>
      <c r="J1329" s="4">
        <v>8.3333333333333329E-2</v>
      </c>
      <c r="K1329" s="4"/>
      <c r="L1329" s="16"/>
      <c r="M1329" s="4"/>
      <c r="N1329" s="4">
        <v>30</v>
      </c>
      <c r="O1329" s="4"/>
      <c r="P1329" s="4"/>
      <c r="Q1329" s="4"/>
      <c r="R1329" s="4"/>
      <c r="S1329" s="4">
        <v>30</v>
      </c>
      <c r="T1329" s="4">
        <v>0.5</v>
      </c>
      <c r="U1329" s="4">
        <v>0.58333333333333337</v>
      </c>
      <c r="V1329" s="4">
        <v>11.416666666666666</v>
      </c>
      <c r="W1329" s="4">
        <v>12</v>
      </c>
      <c r="X1329" s="4">
        <v>64</v>
      </c>
      <c r="Y1329" s="4"/>
      <c r="Z1329" s="4">
        <v>479.79999999999995</v>
      </c>
      <c r="AA1329" s="4">
        <v>500</v>
      </c>
      <c r="AB1329" s="18"/>
      <c r="AC1329" s="18">
        <v>26</v>
      </c>
      <c r="AD1329" s="28"/>
      <c r="AE1329" s="26"/>
      <c r="AF1329" s="28"/>
    </row>
    <row r="1330" spans="1:32" ht="13.5" customHeight="1" x14ac:dyDescent="0.25">
      <c r="A1330" s="14">
        <v>45833</v>
      </c>
      <c r="B1330" s="14" t="s">
        <v>47</v>
      </c>
      <c r="C1330" s="15">
        <v>6</v>
      </c>
      <c r="D1330" s="16">
        <v>11</v>
      </c>
      <c r="E1330" s="16"/>
      <c r="F1330" s="17"/>
      <c r="G1330" s="21"/>
      <c r="H1330" s="21"/>
      <c r="I1330" s="4">
        <v>11</v>
      </c>
      <c r="J1330" s="4">
        <v>0.18333333333333332</v>
      </c>
      <c r="K1330" s="4"/>
      <c r="L1330" s="16"/>
      <c r="M1330" s="4"/>
      <c r="N1330" s="4"/>
      <c r="O1330" s="4"/>
      <c r="P1330" s="4"/>
      <c r="Q1330" s="4"/>
      <c r="R1330" s="4"/>
      <c r="S1330" s="4">
        <v>0</v>
      </c>
      <c r="T1330" s="4">
        <v>0</v>
      </c>
      <c r="U1330" s="4">
        <v>0.18333333333333332</v>
      </c>
      <c r="V1330" s="4">
        <v>11.816666666666666</v>
      </c>
      <c r="W1330" s="4">
        <v>12</v>
      </c>
      <c r="X1330" s="4">
        <v>104</v>
      </c>
      <c r="Y1330" s="4"/>
      <c r="Z1330" s="4">
        <v>595.6</v>
      </c>
      <c r="AA1330" s="4">
        <v>650</v>
      </c>
      <c r="AB1330" s="18"/>
      <c r="AC1330" s="18">
        <v>26</v>
      </c>
      <c r="AD1330" s="28"/>
      <c r="AE1330" s="26"/>
      <c r="AF1330" s="28"/>
    </row>
    <row r="1331" spans="1:32" ht="13.5" customHeight="1" x14ac:dyDescent="0.25">
      <c r="A1331" s="14">
        <v>45833</v>
      </c>
      <c r="B1331" s="14" t="s">
        <v>46</v>
      </c>
      <c r="C1331" s="15">
        <v>7</v>
      </c>
      <c r="D1331" s="16">
        <v>3</v>
      </c>
      <c r="E1331" s="16"/>
      <c r="F1331" s="17"/>
      <c r="G1331" s="21"/>
      <c r="H1331" s="21"/>
      <c r="I1331" s="4">
        <v>3</v>
      </c>
      <c r="J1331" s="4">
        <v>0.05</v>
      </c>
      <c r="K1331" s="4"/>
      <c r="L1331" s="16"/>
      <c r="M1331" s="4"/>
      <c r="N1331" s="4"/>
      <c r="O1331" s="4"/>
      <c r="P1331" s="4"/>
      <c r="Q1331" s="4"/>
      <c r="R1331" s="4"/>
      <c r="S1331" s="4">
        <v>0</v>
      </c>
      <c r="T1331" s="4">
        <v>0</v>
      </c>
      <c r="U1331" s="4">
        <v>0.05</v>
      </c>
      <c r="V1331" s="4">
        <v>11.95</v>
      </c>
      <c r="W1331" s="4">
        <v>12</v>
      </c>
      <c r="X1331" s="4">
        <v>16</v>
      </c>
      <c r="Y1331" s="4"/>
      <c r="Z1331" s="4">
        <v>369.34999999999997</v>
      </c>
      <c r="AA1331" s="4">
        <v>400</v>
      </c>
      <c r="AB1331" s="18"/>
      <c r="AC1331" s="18">
        <v>26</v>
      </c>
      <c r="AD1331" s="28"/>
      <c r="AE1331" s="26"/>
      <c r="AF1331" s="28"/>
    </row>
    <row r="1332" spans="1:32" ht="13.5" customHeight="1" x14ac:dyDescent="0.25">
      <c r="A1332" s="14">
        <v>45833</v>
      </c>
      <c r="B1332" s="14" t="s">
        <v>47</v>
      </c>
      <c r="C1332" s="15">
        <v>7</v>
      </c>
      <c r="D1332" s="16">
        <v>6</v>
      </c>
      <c r="E1332" s="16"/>
      <c r="F1332" s="17"/>
      <c r="G1332" s="21"/>
      <c r="H1332" s="21"/>
      <c r="I1332" s="4">
        <v>6</v>
      </c>
      <c r="J1332" s="4">
        <v>0.1</v>
      </c>
      <c r="K1332" s="4"/>
      <c r="L1332" s="16"/>
      <c r="M1332" s="4"/>
      <c r="N1332" s="4"/>
      <c r="O1332" s="4"/>
      <c r="P1332" s="4">
        <v>30</v>
      </c>
      <c r="Q1332" s="4"/>
      <c r="R1332" s="4"/>
      <c r="S1332" s="4">
        <v>30</v>
      </c>
      <c r="T1332" s="4">
        <v>0.5</v>
      </c>
      <c r="U1332" s="4">
        <v>0.6</v>
      </c>
      <c r="V1332" s="4">
        <v>11.4</v>
      </c>
      <c r="W1332" s="4">
        <v>12</v>
      </c>
      <c r="X1332" s="4">
        <v>20</v>
      </c>
      <c r="Y1332" s="4"/>
      <c r="Z1332" s="4">
        <v>367.88</v>
      </c>
      <c r="AA1332" s="4">
        <v>400</v>
      </c>
      <c r="AB1332" s="18"/>
      <c r="AC1332" s="18">
        <v>26</v>
      </c>
      <c r="AD1332" s="28"/>
      <c r="AE1332" s="26"/>
      <c r="AF1332" s="28"/>
    </row>
    <row r="1333" spans="1:32" ht="13.5" customHeight="1" x14ac:dyDescent="0.25">
      <c r="A1333" s="14">
        <v>45834</v>
      </c>
      <c r="B1333" s="14" t="s">
        <v>46</v>
      </c>
      <c r="C1333" s="15">
        <v>3</v>
      </c>
      <c r="D1333" s="16">
        <v>20</v>
      </c>
      <c r="E1333" s="16"/>
      <c r="F1333" s="17"/>
      <c r="G1333" s="21"/>
      <c r="H1333" s="21"/>
      <c r="I1333" s="4">
        <v>20</v>
      </c>
      <c r="J1333" s="4">
        <v>0.33333333333333331</v>
      </c>
      <c r="K1333" s="4"/>
      <c r="L1333" s="16"/>
      <c r="M1333" s="4"/>
      <c r="N1333" s="4"/>
      <c r="O1333" s="4"/>
      <c r="P1333" s="4"/>
      <c r="Q1333" s="4"/>
      <c r="R1333" s="4"/>
      <c r="S1333" s="4">
        <v>0</v>
      </c>
      <c r="T1333" s="4">
        <v>0</v>
      </c>
      <c r="U1333" s="4">
        <v>0.33333333333333331</v>
      </c>
      <c r="V1333" s="4">
        <v>11.666666666666666</v>
      </c>
      <c r="W1333" s="4">
        <v>12</v>
      </c>
      <c r="X1333" s="4">
        <v>4.4000000000000004</v>
      </c>
      <c r="Y1333" s="4">
        <v>1736</v>
      </c>
      <c r="Z1333" s="4">
        <v>263.10000000000002</v>
      </c>
      <c r="AA1333" s="4">
        <v>250</v>
      </c>
      <c r="AB1333" s="18">
        <v>372</v>
      </c>
      <c r="AC1333" s="18">
        <v>26</v>
      </c>
      <c r="AD1333" s="28"/>
      <c r="AE1333" s="26"/>
      <c r="AF1333" s="28"/>
    </row>
    <row r="1334" spans="1:32" ht="13.5" customHeight="1" x14ac:dyDescent="0.25">
      <c r="A1334" s="14">
        <v>45834</v>
      </c>
      <c r="B1334" s="14" t="s">
        <v>47</v>
      </c>
      <c r="C1334" s="15">
        <v>3</v>
      </c>
      <c r="D1334" s="16">
        <v>3</v>
      </c>
      <c r="E1334" s="16"/>
      <c r="F1334" s="17"/>
      <c r="G1334" s="21"/>
      <c r="H1334" s="21"/>
      <c r="I1334" s="4">
        <v>3</v>
      </c>
      <c r="J1334" s="4">
        <v>0.05</v>
      </c>
      <c r="K1334" s="4"/>
      <c r="L1334" s="16"/>
      <c r="M1334" s="4"/>
      <c r="N1334" s="4"/>
      <c r="O1334" s="4"/>
      <c r="P1334" s="4"/>
      <c r="Q1334" s="4"/>
      <c r="R1334" s="4"/>
      <c r="S1334" s="4">
        <v>0</v>
      </c>
      <c r="T1334" s="4">
        <v>0</v>
      </c>
      <c r="U1334" s="4">
        <v>0.05</v>
      </c>
      <c r="V1334" s="4">
        <v>11.95</v>
      </c>
      <c r="W1334" s="4">
        <v>12</v>
      </c>
      <c r="X1334" s="4">
        <v>3</v>
      </c>
      <c r="Y1334" s="4"/>
      <c r="Z1334" s="4">
        <v>232.8</v>
      </c>
      <c r="AA1334" s="4">
        <v>250</v>
      </c>
      <c r="AB1334" s="18"/>
      <c r="AC1334" s="18">
        <v>26</v>
      </c>
      <c r="AD1334" s="28"/>
      <c r="AE1334" s="26"/>
      <c r="AF1334" s="28"/>
    </row>
    <row r="1335" spans="1:32" ht="13.5" customHeight="1" x14ac:dyDescent="0.25">
      <c r="A1335" s="14">
        <v>45834</v>
      </c>
      <c r="B1335" s="14" t="s">
        <v>46</v>
      </c>
      <c r="C1335" s="15">
        <v>6</v>
      </c>
      <c r="D1335" s="16">
        <v>10</v>
      </c>
      <c r="E1335" s="16"/>
      <c r="F1335" s="17"/>
      <c r="G1335" s="21"/>
      <c r="H1335" s="21"/>
      <c r="I1335" s="4">
        <v>10</v>
      </c>
      <c r="J1335" s="4">
        <v>0.16666666666666666</v>
      </c>
      <c r="K1335" s="4"/>
      <c r="L1335" s="16"/>
      <c r="M1335" s="4">
        <v>135</v>
      </c>
      <c r="N1335" s="4"/>
      <c r="O1335" s="4"/>
      <c r="P1335" s="4"/>
      <c r="Q1335" s="4"/>
      <c r="R1335" s="4"/>
      <c r="S1335" s="4">
        <v>135</v>
      </c>
      <c r="T1335" s="4">
        <v>2.25</v>
      </c>
      <c r="U1335" s="4">
        <v>2.4166666666666665</v>
      </c>
      <c r="V1335" s="4">
        <v>9.5833333333333339</v>
      </c>
      <c r="W1335" s="4">
        <v>12</v>
      </c>
      <c r="X1335" s="4">
        <v>31</v>
      </c>
      <c r="Y1335" s="4"/>
      <c r="Z1335" s="4">
        <v>808.5</v>
      </c>
      <c r="AA1335" s="4">
        <v>850</v>
      </c>
      <c r="AB1335" s="18"/>
      <c r="AC1335" s="18">
        <v>26</v>
      </c>
      <c r="AD1335" s="28"/>
      <c r="AE1335" s="26"/>
      <c r="AF1335" s="28"/>
    </row>
    <row r="1336" spans="1:32" ht="13.5" customHeight="1" x14ac:dyDescent="0.25">
      <c r="A1336" s="14">
        <v>45834</v>
      </c>
      <c r="B1336" s="14" t="s">
        <v>47</v>
      </c>
      <c r="C1336" s="15">
        <v>6</v>
      </c>
      <c r="D1336" s="16"/>
      <c r="E1336" s="16"/>
      <c r="F1336" s="17"/>
      <c r="G1336" s="21"/>
      <c r="H1336" s="21"/>
      <c r="I1336" s="4">
        <v>0</v>
      </c>
      <c r="J1336" s="4">
        <v>0</v>
      </c>
      <c r="K1336" s="4"/>
      <c r="L1336" s="16"/>
      <c r="M1336" s="4"/>
      <c r="N1336" s="4"/>
      <c r="O1336" s="4"/>
      <c r="P1336" s="4"/>
      <c r="Q1336" s="4"/>
      <c r="R1336" s="4"/>
      <c r="S1336" s="4">
        <v>0</v>
      </c>
      <c r="T1336" s="4">
        <v>0</v>
      </c>
      <c r="U1336" s="4">
        <v>0</v>
      </c>
      <c r="V1336" s="4">
        <v>12</v>
      </c>
      <c r="W1336" s="4">
        <v>12</v>
      </c>
      <c r="X1336" s="4">
        <v>41</v>
      </c>
      <c r="Y1336" s="4"/>
      <c r="Z1336" s="4">
        <v>545.19999999999993</v>
      </c>
      <c r="AA1336" s="4">
        <v>550</v>
      </c>
      <c r="AB1336" s="18"/>
      <c r="AC1336" s="18">
        <v>26</v>
      </c>
      <c r="AD1336" s="28"/>
      <c r="AE1336" s="26"/>
      <c r="AF1336" s="28"/>
    </row>
    <row r="1337" spans="1:32" ht="13.5" customHeight="1" x14ac:dyDescent="0.25">
      <c r="A1337" s="14">
        <v>45834</v>
      </c>
      <c r="B1337" s="14" t="s">
        <v>46</v>
      </c>
      <c r="C1337" s="15">
        <v>7</v>
      </c>
      <c r="D1337" s="16">
        <v>4</v>
      </c>
      <c r="E1337" s="16"/>
      <c r="F1337" s="17"/>
      <c r="G1337" s="21"/>
      <c r="H1337" s="21"/>
      <c r="I1337" s="4">
        <v>4</v>
      </c>
      <c r="J1337" s="4">
        <v>6.6666666666666666E-2</v>
      </c>
      <c r="K1337" s="4"/>
      <c r="L1337" s="16"/>
      <c r="M1337" s="4"/>
      <c r="N1337" s="4"/>
      <c r="O1337" s="4"/>
      <c r="P1337" s="4"/>
      <c r="Q1337" s="4"/>
      <c r="R1337" s="4"/>
      <c r="S1337" s="4">
        <v>0</v>
      </c>
      <c r="T1337" s="4">
        <v>0</v>
      </c>
      <c r="U1337" s="4">
        <v>6.6666666666666666E-2</v>
      </c>
      <c r="V1337" s="4">
        <v>11.933333333333334</v>
      </c>
      <c r="W1337" s="4">
        <v>12</v>
      </c>
      <c r="X1337" s="4">
        <v>4.5999999999999996</v>
      </c>
      <c r="Y1337" s="4"/>
      <c r="Z1337" s="4">
        <v>340.4</v>
      </c>
      <c r="AA1337" s="4">
        <v>350</v>
      </c>
      <c r="AB1337" s="18"/>
      <c r="AC1337" s="18">
        <v>26</v>
      </c>
      <c r="AD1337" s="28"/>
      <c r="AE1337" s="26"/>
      <c r="AF1337" s="28"/>
    </row>
    <row r="1338" spans="1:32" ht="13.5" customHeight="1" x14ac:dyDescent="0.25">
      <c r="A1338" s="14">
        <v>45834</v>
      </c>
      <c r="B1338" s="14" t="s">
        <v>47</v>
      </c>
      <c r="C1338" s="15">
        <v>7</v>
      </c>
      <c r="D1338" s="16">
        <v>5</v>
      </c>
      <c r="E1338" s="16"/>
      <c r="F1338" s="17"/>
      <c r="G1338" s="21"/>
      <c r="H1338" s="21"/>
      <c r="I1338" s="4">
        <v>5</v>
      </c>
      <c r="J1338" s="4">
        <v>8.3333333333333329E-2</v>
      </c>
      <c r="K1338" s="4"/>
      <c r="L1338" s="16"/>
      <c r="M1338" s="4"/>
      <c r="N1338" s="4"/>
      <c r="O1338" s="4"/>
      <c r="P1338" s="4"/>
      <c r="Q1338" s="4"/>
      <c r="R1338" s="4"/>
      <c r="S1338" s="4">
        <v>0</v>
      </c>
      <c r="T1338" s="4">
        <v>0</v>
      </c>
      <c r="U1338" s="4">
        <v>8.3333333333333329E-2</v>
      </c>
      <c r="V1338" s="4">
        <v>11.916666666666666</v>
      </c>
      <c r="W1338" s="4">
        <v>12</v>
      </c>
      <c r="X1338" s="4">
        <v>10.8</v>
      </c>
      <c r="Y1338" s="4"/>
      <c r="Z1338" s="4">
        <v>340.93</v>
      </c>
      <c r="AA1338" s="4">
        <v>350</v>
      </c>
      <c r="AB1338" s="18"/>
      <c r="AC1338" s="18">
        <v>26</v>
      </c>
      <c r="AD1338" s="28"/>
      <c r="AE1338" s="26"/>
      <c r="AF1338" s="28"/>
    </row>
    <row r="1339" spans="1:32" ht="13.5" customHeight="1" x14ac:dyDescent="0.25">
      <c r="A1339" s="14">
        <v>45835</v>
      </c>
      <c r="B1339" s="14" t="s">
        <v>46</v>
      </c>
      <c r="C1339" s="15">
        <v>3</v>
      </c>
      <c r="D1339" s="16"/>
      <c r="E1339" s="16"/>
      <c r="F1339" s="17"/>
      <c r="G1339" s="21"/>
      <c r="H1339" s="21"/>
      <c r="I1339" s="4">
        <v>0</v>
      </c>
      <c r="J1339" s="4">
        <v>0</v>
      </c>
      <c r="K1339" s="4"/>
      <c r="L1339" s="16"/>
      <c r="M1339" s="4"/>
      <c r="N1339" s="4"/>
      <c r="O1339" s="4"/>
      <c r="P1339" s="4"/>
      <c r="Q1339" s="4"/>
      <c r="R1339" s="4"/>
      <c r="S1339" s="4">
        <v>0</v>
      </c>
      <c r="T1339" s="4">
        <v>0</v>
      </c>
      <c r="U1339" s="4">
        <v>0</v>
      </c>
      <c r="V1339" s="4">
        <v>12</v>
      </c>
      <c r="W1339" s="4">
        <v>12</v>
      </c>
      <c r="X1339" s="4">
        <v>3</v>
      </c>
      <c r="Y1339" s="4">
        <v>1914</v>
      </c>
      <c r="Z1339" s="4">
        <v>181.8</v>
      </c>
      <c r="AA1339" s="4">
        <v>200</v>
      </c>
      <c r="AB1339" s="18">
        <v>372</v>
      </c>
      <c r="AC1339" s="18">
        <v>26</v>
      </c>
      <c r="AD1339" s="28"/>
      <c r="AE1339" s="26"/>
      <c r="AF1339" s="28"/>
    </row>
    <row r="1340" spans="1:32" ht="13.5" customHeight="1" x14ac:dyDescent="0.25">
      <c r="A1340" s="14">
        <v>45835</v>
      </c>
      <c r="B1340" s="14" t="s">
        <v>47</v>
      </c>
      <c r="C1340" s="15">
        <v>3</v>
      </c>
      <c r="D1340" s="16"/>
      <c r="E1340" s="16"/>
      <c r="F1340" s="17"/>
      <c r="G1340" s="21"/>
      <c r="H1340" s="21"/>
      <c r="I1340" s="4">
        <v>0</v>
      </c>
      <c r="J1340" s="4">
        <v>0</v>
      </c>
      <c r="K1340" s="4"/>
      <c r="L1340" s="16"/>
      <c r="M1340" s="4"/>
      <c r="N1340" s="4"/>
      <c r="O1340" s="4"/>
      <c r="P1340" s="4"/>
      <c r="Q1340" s="4"/>
      <c r="R1340" s="4"/>
      <c r="S1340" s="4">
        <v>0</v>
      </c>
      <c r="T1340" s="4">
        <v>0</v>
      </c>
      <c r="U1340" s="4">
        <v>0</v>
      </c>
      <c r="V1340" s="4">
        <v>12</v>
      </c>
      <c r="W1340" s="4">
        <v>12</v>
      </c>
      <c r="X1340" s="4">
        <v>7</v>
      </c>
      <c r="Y1340" s="4"/>
      <c r="Z1340" s="4">
        <v>208.8</v>
      </c>
      <c r="AA1340" s="4">
        <v>200</v>
      </c>
      <c r="AB1340" s="18"/>
      <c r="AC1340" s="18">
        <v>26</v>
      </c>
      <c r="AD1340" s="28"/>
      <c r="AE1340" s="26"/>
      <c r="AF1340" s="28"/>
    </row>
    <row r="1341" spans="1:32" ht="13.5" customHeight="1" x14ac:dyDescent="0.25">
      <c r="A1341" s="14">
        <v>45835</v>
      </c>
      <c r="B1341" s="14" t="s">
        <v>46</v>
      </c>
      <c r="C1341" s="15">
        <v>4</v>
      </c>
      <c r="D1341" s="16"/>
      <c r="E1341" s="16"/>
      <c r="F1341" s="17"/>
      <c r="G1341" s="21"/>
      <c r="H1341" s="21"/>
      <c r="I1341" s="4">
        <v>0</v>
      </c>
      <c r="J1341" s="4">
        <v>0</v>
      </c>
      <c r="K1341" s="4"/>
      <c r="L1341" s="16"/>
      <c r="M1341" s="4"/>
      <c r="N1341" s="4"/>
      <c r="O1341" s="4"/>
      <c r="P1341" s="4"/>
      <c r="Q1341" s="4"/>
      <c r="R1341" s="4"/>
      <c r="S1341" s="4">
        <v>0</v>
      </c>
      <c r="T1341" s="4">
        <v>0</v>
      </c>
      <c r="U1341" s="4">
        <v>0</v>
      </c>
      <c r="V1341" s="4">
        <v>12</v>
      </c>
      <c r="W1341" s="4">
        <v>12</v>
      </c>
      <c r="X1341" s="4">
        <v>9</v>
      </c>
      <c r="Y1341" s="4"/>
      <c r="Z1341" s="4">
        <v>160.30000000000001</v>
      </c>
      <c r="AA1341" s="4">
        <v>200</v>
      </c>
      <c r="AB1341" s="18"/>
      <c r="AC1341" s="18">
        <v>26</v>
      </c>
      <c r="AD1341" s="28"/>
      <c r="AE1341" s="26"/>
      <c r="AF1341" s="28"/>
    </row>
    <row r="1342" spans="1:32" ht="13.5" customHeight="1" x14ac:dyDescent="0.25">
      <c r="A1342" s="14">
        <v>45835</v>
      </c>
      <c r="B1342" s="14" t="s">
        <v>47</v>
      </c>
      <c r="C1342" s="15">
        <v>4</v>
      </c>
      <c r="D1342" s="16"/>
      <c r="E1342" s="16"/>
      <c r="F1342" s="17"/>
      <c r="G1342" s="21"/>
      <c r="H1342" s="21"/>
      <c r="I1342" s="4">
        <v>0</v>
      </c>
      <c r="J1342" s="4">
        <v>0</v>
      </c>
      <c r="K1342" s="4"/>
      <c r="L1342" s="16"/>
      <c r="M1342" s="4"/>
      <c r="N1342" s="4"/>
      <c r="O1342" s="4"/>
      <c r="P1342" s="4"/>
      <c r="Q1342" s="4"/>
      <c r="R1342" s="4"/>
      <c r="S1342" s="4">
        <v>0</v>
      </c>
      <c r="T1342" s="4">
        <v>0</v>
      </c>
      <c r="U1342" s="4">
        <v>0</v>
      </c>
      <c r="V1342" s="4">
        <v>12</v>
      </c>
      <c r="W1342" s="4">
        <v>12</v>
      </c>
      <c r="X1342" s="4">
        <v>0</v>
      </c>
      <c r="Y1342" s="4"/>
      <c r="Z1342" s="4">
        <v>311.39999999999998</v>
      </c>
      <c r="AA1342" s="4">
        <v>350</v>
      </c>
      <c r="AB1342" s="18"/>
      <c r="AC1342" s="18">
        <v>26</v>
      </c>
      <c r="AD1342" s="28"/>
      <c r="AE1342" s="26"/>
      <c r="AF1342" s="28"/>
    </row>
    <row r="1343" spans="1:32" ht="13.5" customHeight="1" x14ac:dyDescent="0.25">
      <c r="A1343" s="14">
        <v>45835</v>
      </c>
      <c r="B1343" s="14" t="s">
        <v>46</v>
      </c>
      <c r="C1343" s="15">
        <v>6</v>
      </c>
      <c r="D1343" s="16">
        <v>8</v>
      </c>
      <c r="E1343" s="16"/>
      <c r="F1343" s="17"/>
      <c r="G1343" s="21"/>
      <c r="H1343" s="21"/>
      <c r="I1343" s="4">
        <v>8</v>
      </c>
      <c r="J1343" s="4">
        <v>0.13333333333333333</v>
      </c>
      <c r="K1343" s="4"/>
      <c r="L1343" s="16"/>
      <c r="M1343" s="4"/>
      <c r="N1343" s="4"/>
      <c r="O1343" s="4"/>
      <c r="P1343" s="4"/>
      <c r="Q1343" s="4"/>
      <c r="R1343" s="4"/>
      <c r="S1343" s="4">
        <v>0</v>
      </c>
      <c r="T1343" s="4">
        <v>0</v>
      </c>
      <c r="U1343" s="4">
        <v>0.13333333333333333</v>
      </c>
      <c r="V1343" s="4">
        <v>11.866666666666667</v>
      </c>
      <c r="W1343" s="4">
        <v>12</v>
      </c>
      <c r="X1343" s="4">
        <v>44</v>
      </c>
      <c r="Y1343" s="4"/>
      <c r="Z1343" s="4">
        <v>536.4</v>
      </c>
      <c r="AA1343" s="4">
        <v>550</v>
      </c>
      <c r="AB1343" s="18"/>
      <c r="AC1343" s="18">
        <v>26</v>
      </c>
      <c r="AD1343" s="28"/>
      <c r="AE1343" s="26"/>
      <c r="AF1343" s="28"/>
    </row>
    <row r="1344" spans="1:32" ht="13.5" customHeight="1" x14ac:dyDescent="0.25">
      <c r="A1344" s="14">
        <v>45835</v>
      </c>
      <c r="B1344" s="14" t="s">
        <v>47</v>
      </c>
      <c r="C1344" s="15">
        <v>6</v>
      </c>
      <c r="D1344" s="16"/>
      <c r="E1344" s="16"/>
      <c r="F1344" s="17"/>
      <c r="G1344" s="21"/>
      <c r="H1344" s="21"/>
      <c r="I1344" s="4">
        <v>0</v>
      </c>
      <c r="J1344" s="4">
        <v>0</v>
      </c>
      <c r="K1344" s="4"/>
      <c r="L1344" s="16"/>
      <c r="M1344" s="4"/>
      <c r="N1344" s="4"/>
      <c r="O1344" s="4"/>
      <c r="P1344" s="4">
        <v>60</v>
      </c>
      <c r="Q1344" s="4"/>
      <c r="R1344" s="4"/>
      <c r="S1344" s="4">
        <v>60</v>
      </c>
      <c r="T1344" s="4">
        <v>1</v>
      </c>
      <c r="U1344" s="4">
        <v>1</v>
      </c>
      <c r="V1344" s="4">
        <v>11</v>
      </c>
      <c r="W1344" s="4">
        <v>12</v>
      </c>
      <c r="X1344" s="4">
        <v>80</v>
      </c>
      <c r="Y1344" s="4"/>
      <c r="Z1344" s="4">
        <v>422.2</v>
      </c>
      <c r="AA1344" s="4">
        <v>450</v>
      </c>
      <c r="AB1344" s="18"/>
      <c r="AC1344" s="18">
        <v>26</v>
      </c>
      <c r="AD1344" s="28"/>
      <c r="AE1344" s="26"/>
      <c r="AF1344" s="28"/>
    </row>
    <row r="1345" spans="1:32" ht="13.5" customHeight="1" x14ac:dyDescent="0.25">
      <c r="A1345" s="14">
        <v>45835</v>
      </c>
      <c r="B1345" s="14" t="s">
        <v>46</v>
      </c>
      <c r="C1345" s="15">
        <v>7</v>
      </c>
      <c r="D1345" s="16">
        <v>3</v>
      </c>
      <c r="E1345" s="16"/>
      <c r="F1345" s="17"/>
      <c r="G1345" s="21"/>
      <c r="H1345" s="21"/>
      <c r="I1345" s="4">
        <v>3</v>
      </c>
      <c r="J1345" s="4">
        <v>0.05</v>
      </c>
      <c r="K1345" s="4"/>
      <c r="L1345" s="16"/>
      <c r="M1345" s="4"/>
      <c r="N1345" s="4"/>
      <c r="O1345" s="4"/>
      <c r="P1345" s="4"/>
      <c r="Q1345" s="4"/>
      <c r="R1345" s="4"/>
      <c r="S1345" s="4">
        <v>0</v>
      </c>
      <c r="T1345" s="4">
        <v>0</v>
      </c>
      <c r="U1345" s="4">
        <v>0.05</v>
      </c>
      <c r="V1345" s="4">
        <v>11.95</v>
      </c>
      <c r="W1345" s="4">
        <v>12</v>
      </c>
      <c r="X1345" s="4">
        <v>4</v>
      </c>
      <c r="Y1345" s="4"/>
      <c r="Z1345" s="4">
        <v>419.99</v>
      </c>
      <c r="AA1345" s="4">
        <v>400</v>
      </c>
      <c r="AB1345" s="18"/>
      <c r="AC1345" s="18">
        <v>26</v>
      </c>
      <c r="AD1345" s="28"/>
      <c r="AE1345" s="26"/>
      <c r="AF1345" s="28"/>
    </row>
    <row r="1346" spans="1:32" ht="13.5" customHeight="1" x14ac:dyDescent="0.25">
      <c r="A1346" s="14">
        <v>45835</v>
      </c>
      <c r="B1346" s="14" t="s">
        <v>47</v>
      </c>
      <c r="C1346" s="15">
        <v>7</v>
      </c>
      <c r="D1346" s="16"/>
      <c r="E1346" s="16"/>
      <c r="F1346" s="17"/>
      <c r="G1346" s="21"/>
      <c r="H1346" s="21"/>
      <c r="I1346" s="4">
        <v>0</v>
      </c>
      <c r="J1346" s="4">
        <v>0</v>
      </c>
      <c r="K1346" s="4"/>
      <c r="L1346" s="16"/>
      <c r="M1346" s="4"/>
      <c r="N1346" s="4"/>
      <c r="O1346" s="4"/>
      <c r="P1346" s="4">
        <v>150</v>
      </c>
      <c r="Q1346" s="4"/>
      <c r="R1346" s="4"/>
      <c r="S1346" s="4">
        <v>150</v>
      </c>
      <c r="T1346" s="4">
        <v>2.5</v>
      </c>
      <c r="U1346" s="4">
        <v>2.5</v>
      </c>
      <c r="V1346" s="4">
        <v>9.5</v>
      </c>
      <c r="W1346" s="4">
        <v>12</v>
      </c>
      <c r="X1346" s="4">
        <v>57</v>
      </c>
      <c r="Y1346" s="4"/>
      <c r="Z1346" s="4">
        <v>335.5</v>
      </c>
      <c r="AA1346" s="4">
        <v>350</v>
      </c>
      <c r="AB1346" s="18"/>
      <c r="AC1346" s="18">
        <v>26</v>
      </c>
      <c r="AD1346" s="28"/>
      <c r="AE1346" s="26"/>
      <c r="AF1346" s="28"/>
    </row>
    <row r="1347" spans="1:32" ht="13.5" customHeight="1" x14ac:dyDescent="0.25">
      <c r="A1347" s="14">
        <v>45836</v>
      </c>
      <c r="B1347" s="14" t="s">
        <v>46</v>
      </c>
      <c r="C1347" s="15">
        <v>3</v>
      </c>
      <c r="D1347" s="16"/>
      <c r="E1347" s="16"/>
      <c r="F1347" s="17"/>
      <c r="G1347" s="21"/>
      <c r="H1347" s="21"/>
      <c r="I1347" s="4">
        <v>0</v>
      </c>
      <c r="J1347" s="4">
        <v>0</v>
      </c>
      <c r="K1347" s="4"/>
      <c r="L1347" s="16"/>
      <c r="M1347" s="4"/>
      <c r="N1347" s="4"/>
      <c r="O1347" s="4"/>
      <c r="P1347" s="4"/>
      <c r="Q1347" s="4"/>
      <c r="R1347" s="4"/>
      <c r="S1347" s="4">
        <v>0</v>
      </c>
      <c r="T1347" s="4">
        <v>0</v>
      </c>
      <c r="U1347" s="4">
        <v>0</v>
      </c>
      <c r="V1347" s="4">
        <v>12</v>
      </c>
      <c r="W1347" s="4">
        <v>12</v>
      </c>
      <c r="X1347" s="4">
        <v>3</v>
      </c>
      <c r="Y1347" s="4">
        <v>2147</v>
      </c>
      <c r="Z1347" s="4">
        <v>236.29999999999998</v>
      </c>
      <c r="AA1347" s="4">
        <v>250</v>
      </c>
      <c r="AB1347" s="18">
        <v>372</v>
      </c>
      <c r="AC1347" s="18">
        <v>26</v>
      </c>
      <c r="AD1347" s="28"/>
      <c r="AE1347" s="26"/>
      <c r="AF1347" s="28"/>
    </row>
    <row r="1348" spans="1:32" ht="13.5" customHeight="1" x14ac:dyDescent="0.25">
      <c r="A1348" s="14">
        <v>45836</v>
      </c>
      <c r="B1348" s="14" t="s">
        <v>47</v>
      </c>
      <c r="C1348" s="15">
        <v>3</v>
      </c>
      <c r="D1348" s="16"/>
      <c r="E1348" s="16"/>
      <c r="F1348" s="17"/>
      <c r="G1348" s="21"/>
      <c r="H1348" s="21"/>
      <c r="I1348" s="4">
        <v>0</v>
      </c>
      <c r="J1348" s="4">
        <v>0</v>
      </c>
      <c r="K1348" s="4"/>
      <c r="L1348" s="16"/>
      <c r="M1348" s="4"/>
      <c r="N1348" s="4"/>
      <c r="O1348" s="4"/>
      <c r="P1348" s="4"/>
      <c r="Q1348" s="4"/>
      <c r="R1348" s="4"/>
      <c r="S1348" s="4">
        <v>0</v>
      </c>
      <c r="T1348" s="4">
        <v>0</v>
      </c>
      <c r="U1348" s="4">
        <v>0</v>
      </c>
      <c r="V1348" s="4">
        <v>12</v>
      </c>
      <c r="W1348" s="4">
        <v>12</v>
      </c>
      <c r="X1348" s="4">
        <v>13</v>
      </c>
      <c r="Y1348" s="4"/>
      <c r="Z1348" s="4">
        <v>373.6</v>
      </c>
      <c r="AA1348" s="4">
        <v>400</v>
      </c>
      <c r="AB1348" s="18"/>
      <c r="AC1348" s="18">
        <v>26</v>
      </c>
      <c r="AD1348" s="28"/>
      <c r="AE1348" s="26"/>
      <c r="AF1348" s="28"/>
    </row>
    <row r="1349" spans="1:32" ht="13.5" customHeight="1" x14ac:dyDescent="0.25">
      <c r="A1349" s="14">
        <v>45836</v>
      </c>
      <c r="B1349" s="14" t="s">
        <v>46</v>
      </c>
      <c r="C1349" s="15">
        <v>4</v>
      </c>
      <c r="D1349" s="16"/>
      <c r="E1349" s="16"/>
      <c r="F1349" s="17"/>
      <c r="G1349" s="21"/>
      <c r="H1349" s="21"/>
      <c r="I1349" s="4">
        <v>0</v>
      </c>
      <c r="J1349" s="4">
        <v>0</v>
      </c>
      <c r="K1349" s="4"/>
      <c r="L1349" s="16"/>
      <c r="M1349" s="4"/>
      <c r="N1349" s="4"/>
      <c r="O1349" s="4"/>
      <c r="P1349" s="4"/>
      <c r="Q1349" s="4"/>
      <c r="R1349" s="4"/>
      <c r="S1349" s="4">
        <v>0</v>
      </c>
      <c r="T1349" s="4">
        <v>0</v>
      </c>
      <c r="U1349" s="4">
        <v>0</v>
      </c>
      <c r="V1349" s="4">
        <v>12</v>
      </c>
      <c r="W1349" s="4">
        <v>12</v>
      </c>
      <c r="X1349" s="4">
        <v>7</v>
      </c>
      <c r="Y1349" s="4"/>
      <c r="Z1349" s="4">
        <v>371.3</v>
      </c>
      <c r="AA1349" s="4">
        <v>400</v>
      </c>
      <c r="AB1349" s="18"/>
      <c r="AC1349" s="18">
        <v>26</v>
      </c>
      <c r="AD1349" s="28"/>
      <c r="AE1349" s="26"/>
      <c r="AF1349" s="28"/>
    </row>
    <row r="1350" spans="1:32" ht="13.5" customHeight="1" x14ac:dyDescent="0.25">
      <c r="A1350" s="14">
        <v>45836</v>
      </c>
      <c r="B1350" s="14" t="s">
        <v>47</v>
      </c>
      <c r="C1350" s="15">
        <v>4</v>
      </c>
      <c r="D1350" s="16"/>
      <c r="E1350" s="16"/>
      <c r="F1350" s="17"/>
      <c r="G1350" s="21"/>
      <c r="H1350" s="21"/>
      <c r="I1350" s="4">
        <v>0</v>
      </c>
      <c r="J1350" s="4">
        <v>0</v>
      </c>
      <c r="K1350" s="4"/>
      <c r="L1350" s="16"/>
      <c r="M1350" s="4"/>
      <c r="N1350" s="4"/>
      <c r="O1350" s="4"/>
      <c r="P1350" s="4"/>
      <c r="Q1350" s="4"/>
      <c r="R1350" s="4"/>
      <c r="S1350" s="4">
        <v>0</v>
      </c>
      <c r="T1350" s="4">
        <v>0</v>
      </c>
      <c r="U1350" s="4">
        <v>0</v>
      </c>
      <c r="V1350" s="4">
        <v>12</v>
      </c>
      <c r="W1350" s="4">
        <v>12</v>
      </c>
      <c r="X1350" s="4">
        <v>8</v>
      </c>
      <c r="Y1350" s="4"/>
      <c r="Z1350" s="4">
        <v>208.00000000000003</v>
      </c>
      <c r="AA1350" s="4">
        <v>200</v>
      </c>
      <c r="AB1350" s="18"/>
      <c r="AC1350" s="18">
        <v>26</v>
      </c>
      <c r="AD1350" s="28"/>
      <c r="AE1350" s="26"/>
      <c r="AF1350" s="28"/>
    </row>
    <row r="1351" spans="1:32" ht="13.5" customHeight="1" x14ac:dyDescent="0.25">
      <c r="A1351" s="14">
        <v>45836</v>
      </c>
      <c r="B1351" s="14" t="s">
        <v>46</v>
      </c>
      <c r="C1351" s="15">
        <v>6</v>
      </c>
      <c r="D1351" s="16"/>
      <c r="E1351" s="16"/>
      <c r="F1351" s="17"/>
      <c r="G1351" s="21"/>
      <c r="H1351" s="21"/>
      <c r="I1351" s="4">
        <v>0</v>
      </c>
      <c r="J1351" s="4">
        <v>0</v>
      </c>
      <c r="K1351" s="4"/>
      <c r="L1351" s="16"/>
      <c r="M1351" s="4"/>
      <c r="N1351" s="4"/>
      <c r="O1351" s="4"/>
      <c r="P1351" s="4"/>
      <c r="Q1351" s="4"/>
      <c r="R1351" s="4"/>
      <c r="S1351" s="4">
        <v>0</v>
      </c>
      <c r="T1351" s="4">
        <v>0</v>
      </c>
      <c r="U1351" s="4">
        <v>0</v>
      </c>
      <c r="V1351" s="4">
        <v>12</v>
      </c>
      <c r="W1351" s="4">
        <v>12</v>
      </c>
      <c r="X1351" s="4">
        <v>0</v>
      </c>
      <c r="Y1351" s="4"/>
      <c r="Z1351" s="4">
        <v>613.20000000000005</v>
      </c>
      <c r="AA1351" s="4">
        <v>600</v>
      </c>
      <c r="AB1351" s="18"/>
      <c r="AC1351" s="18">
        <v>26</v>
      </c>
      <c r="AD1351" s="28"/>
      <c r="AE1351" s="26"/>
      <c r="AF1351" s="28"/>
    </row>
    <row r="1352" spans="1:32" ht="13.5" customHeight="1" x14ac:dyDescent="0.25">
      <c r="A1352" s="14">
        <v>45836</v>
      </c>
      <c r="B1352" s="14" t="s">
        <v>47</v>
      </c>
      <c r="C1352" s="15">
        <v>6</v>
      </c>
      <c r="D1352" s="16"/>
      <c r="E1352" s="16"/>
      <c r="F1352" s="17"/>
      <c r="G1352" s="21"/>
      <c r="H1352" s="21"/>
      <c r="I1352" s="4">
        <v>0</v>
      </c>
      <c r="J1352" s="4">
        <v>0</v>
      </c>
      <c r="K1352" s="4"/>
      <c r="L1352" s="16"/>
      <c r="M1352" s="4"/>
      <c r="N1352" s="4"/>
      <c r="O1352" s="4"/>
      <c r="P1352" s="4"/>
      <c r="Q1352" s="4"/>
      <c r="R1352" s="4"/>
      <c r="S1352" s="4">
        <v>0</v>
      </c>
      <c r="T1352" s="4">
        <v>0</v>
      </c>
      <c r="U1352" s="4">
        <v>0</v>
      </c>
      <c r="V1352" s="4">
        <v>12</v>
      </c>
      <c r="W1352" s="4">
        <v>12</v>
      </c>
      <c r="X1352" s="4">
        <v>0</v>
      </c>
      <c r="Y1352" s="4"/>
      <c r="Z1352" s="4">
        <v>562.40000000000009</v>
      </c>
      <c r="AA1352" s="4">
        <v>550</v>
      </c>
      <c r="AB1352" s="18"/>
      <c r="AC1352" s="18">
        <v>26</v>
      </c>
      <c r="AD1352" s="28"/>
      <c r="AE1352" s="26"/>
      <c r="AF1352" s="28"/>
    </row>
    <row r="1353" spans="1:32" ht="13.5" customHeight="1" x14ac:dyDescent="0.25">
      <c r="A1353" s="14">
        <v>45836</v>
      </c>
      <c r="B1353" s="14" t="s">
        <v>46</v>
      </c>
      <c r="C1353" s="15">
        <v>7</v>
      </c>
      <c r="D1353" s="16">
        <v>7</v>
      </c>
      <c r="E1353" s="16"/>
      <c r="F1353" s="17"/>
      <c r="G1353" s="21"/>
      <c r="H1353" s="21"/>
      <c r="I1353" s="4">
        <v>7</v>
      </c>
      <c r="J1353" s="4">
        <v>0.11666666666666667</v>
      </c>
      <c r="K1353" s="4"/>
      <c r="L1353" s="16"/>
      <c r="M1353" s="4"/>
      <c r="N1353" s="4"/>
      <c r="O1353" s="4"/>
      <c r="P1353" s="4"/>
      <c r="Q1353" s="4"/>
      <c r="R1353" s="4"/>
      <c r="S1353" s="4">
        <v>0</v>
      </c>
      <c r="T1353" s="4">
        <v>0</v>
      </c>
      <c r="U1353" s="4">
        <v>0.11666666666666667</v>
      </c>
      <c r="V1353" s="4">
        <v>11.883333333333333</v>
      </c>
      <c r="W1353" s="4">
        <v>12</v>
      </c>
      <c r="X1353" s="4">
        <v>12</v>
      </c>
      <c r="Y1353" s="4"/>
      <c r="Z1353" s="4">
        <v>325.23</v>
      </c>
      <c r="AA1353" s="4">
        <v>300</v>
      </c>
      <c r="AB1353" s="18"/>
      <c r="AC1353" s="18">
        <v>26</v>
      </c>
      <c r="AD1353" s="28"/>
      <c r="AE1353" s="26"/>
      <c r="AF1353" s="28"/>
    </row>
    <row r="1354" spans="1:32" ht="13.5" customHeight="1" x14ac:dyDescent="0.25">
      <c r="A1354" s="14">
        <v>45836</v>
      </c>
      <c r="B1354" s="14" t="s">
        <v>47</v>
      </c>
      <c r="C1354" s="15">
        <v>7</v>
      </c>
      <c r="D1354" s="16"/>
      <c r="E1354" s="16"/>
      <c r="F1354" s="17"/>
      <c r="G1354" s="21"/>
      <c r="H1354" s="21"/>
      <c r="I1354" s="4">
        <v>0</v>
      </c>
      <c r="J1354" s="4">
        <v>0</v>
      </c>
      <c r="K1354" s="4"/>
      <c r="L1354" s="16">
        <v>30</v>
      </c>
      <c r="M1354" s="4"/>
      <c r="N1354" s="4"/>
      <c r="O1354" s="4"/>
      <c r="P1354" s="4"/>
      <c r="Q1354" s="4"/>
      <c r="R1354" s="4"/>
      <c r="S1354" s="4">
        <v>30</v>
      </c>
      <c r="T1354" s="4">
        <v>0.5</v>
      </c>
      <c r="U1354" s="4">
        <v>0.5</v>
      </c>
      <c r="V1354" s="4">
        <v>11.5</v>
      </c>
      <c r="W1354" s="4">
        <v>12</v>
      </c>
      <c r="X1354" s="4">
        <v>6</v>
      </c>
      <c r="Y1354" s="4"/>
      <c r="Z1354" s="4">
        <v>329.85</v>
      </c>
      <c r="AA1354" s="4">
        <v>300</v>
      </c>
      <c r="AB1354" s="18"/>
      <c r="AC1354" s="18">
        <v>26</v>
      </c>
      <c r="AD1354" s="28"/>
      <c r="AE1354" s="26"/>
      <c r="AF1354" s="28"/>
    </row>
    <row r="1355" spans="1:32" ht="13.5" customHeight="1" x14ac:dyDescent="0.25">
      <c r="A1355" s="14">
        <v>45837</v>
      </c>
      <c r="B1355" s="14" t="s">
        <v>46</v>
      </c>
      <c r="C1355" s="15">
        <v>1</v>
      </c>
      <c r="D1355" s="16"/>
      <c r="E1355" s="16"/>
      <c r="F1355" s="17"/>
      <c r="G1355" s="21"/>
      <c r="H1355" s="21"/>
      <c r="I1355" s="4">
        <v>0</v>
      </c>
      <c r="J1355" s="4">
        <v>0</v>
      </c>
      <c r="K1355" s="4"/>
      <c r="L1355" s="16"/>
      <c r="M1355" s="4"/>
      <c r="N1355" s="4"/>
      <c r="O1355" s="4"/>
      <c r="P1355" s="4"/>
      <c r="Q1355" s="4"/>
      <c r="R1355" s="4"/>
      <c r="S1355" s="4">
        <v>0</v>
      </c>
      <c r="T1355" s="4">
        <v>0</v>
      </c>
      <c r="U1355" s="4">
        <v>0</v>
      </c>
      <c r="V1355" s="4">
        <v>12</v>
      </c>
      <c r="W1355" s="4">
        <v>12</v>
      </c>
      <c r="X1355" s="4">
        <v>0</v>
      </c>
      <c r="Y1355" s="4">
        <v>2177</v>
      </c>
      <c r="Z1355" s="4">
        <v>0</v>
      </c>
      <c r="AA1355" s="4">
        <v>0</v>
      </c>
      <c r="AB1355" s="18">
        <v>372</v>
      </c>
      <c r="AC1355" s="18">
        <v>26</v>
      </c>
      <c r="AD1355" s="28"/>
      <c r="AE1355" s="26"/>
      <c r="AF1355" s="28"/>
    </row>
    <row r="1356" spans="1:32" ht="13.5" customHeight="1" x14ac:dyDescent="0.25">
      <c r="A1356" s="14">
        <v>45837</v>
      </c>
      <c r="B1356" s="14" t="s">
        <v>47</v>
      </c>
      <c r="C1356" s="15">
        <v>1</v>
      </c>
      <c r="D1356" s="16">
        <v>20</v>
      </c>
      <c r="E1356" s="16"/>
      <c r="F1356" s="17"/>
      <c r="G1356" s="21"/>
      <c r="H1356" s="21"/>
      <c r="I1356" s="4">
        <v>20</v>
      </c>
      <c r="J1356" s="4">
        <v>0.33333333333333331</v>
      </c>
      <c r="K1356" s="4"/>
      <c r="L1356" s="16"/>
      <c r="M1356" s="4"/>
      <c r="N1356" s="4"/>
      <c r="O1356" s="4"/>
      <c r="P1356" s="4"/>
      <c r="Q1356" s="4"/>
      <c r="R1356" s="4"/>
      <c r="S1356" s="4">
        <v>0</v>
      </c>
      <c r="T1356" s="4">
        <v>0</v>
      </c>
      <c r="U1356" s="4">
        <v>0.33333333333333331</v>
      </c>
      <c r="V1356" s="4">
        <v>11.666666666666666</v>
      </c>
      <c r="W1356" s="4">
        <v>12</v>
      </c>
      <c r="X1356" s="4">
        <v>15</v>
      </c>
      <c r="Y1356" s="4"/>
      <c r="Z1356" s="4">
        <v>89.6</v>
      </c>
      <c r="AA1356" s="4">
        <v>100</v>
      </c>
      <c r="AB1356" s="18"/>
      <c r="AC1356" s="18">
        <v>26</v>
      </c>
      <c r="AD1356" s="28"/>
      <c r="AE1356" s="26"/>
      <c r="AF1356" s="28"/>
    </row>
    <row r="1357" spans="1:32" ht="13.5" customHeight="1" x14ac:dyDescent="0.25">
      <c r="A1357" s="14">
        <v>45837</v>
      </c>
      <c r="B1357" s="14" t="s">
        <v>46</v>
      </c>
      <c r="C1357" s="15">
        <v>3</v>
      </c>
      <c r="D1357" s="16">
        <v>20</v>
      </c>
      <c r="E1357" s="16"/>
      <c r="F1357" s="17"/>
      <c r="G1357" s="21"/>
      <c r="H1357" s="21"/>
      <c r="I1357" s="4">
        <v>20</v>
      </c>
      <c r="J1357" s="4">
        <v>0.33333333333333331</v>
      </c>
      <c r="K1357" s="4"/>
      <c r="L1357" s="16"/>
      <c r="M1357" s="4"/>
      <c r="N1357" s="4"/>
      <c r="O1357" s="4"/>
      <c r="P1357" s="4">
        <v>60</v>
      </c>
      <c r="Q1357" s="4"/>
      <c r="R1357" s="4"/>
      <c r="S1357" s="4">
        <v>60</v>
      </c>
      <c r="T1357" s="4">
        <v>1</v>
      </c>
      <c r="U1357" s="4">
        <v>1.3333333333333333</v>
      </c>
      <c r="V1357" s="4">
        <v>10.666666666666666</v>
      </c>
      <c r="W1357" s="4">
        <v>12</v>
      </c>
      <c r="X1357" s="4">
        <v>25</v>
      </c>
      <c r="Y1357" s="4"/>
      <c r="Z1357" s="4">
        <v>271.79999999999995</v>
      </c>
      <c r="AA1357" s="4">
        <v>300</v>
      </c>
      <c r="AB1357" s="18"/>
      <c r="AC1357" s="18">
        <v>26</v>
      </c>
      <c r="AD1357" s="28"/>
      <c r="AE1357" s="26"/>
      <c r="AF1357" s="28"/>
    </row>
    <row r="1358" spans="1:32" ht="13.5" customHeight="1" x14ac:dyDescent="0.25">
      <c r="A1358" s="14">
        <v>45837</v>
      </c>
      <c r="B1358" s="14" t="s">
        <v>47</v>
      </c>
      <c r="C1358" s="15">
        <v>3</v>
      </c>
      <c r="D1358" s="16">
        <v>120</v>
      </c>
      <c r="E1358" s="16"/>
      <c r="F1358" s="17"/>
      <c r="G1358" s="21"/>
      <c r="H1358" s="21"/>
      <c r="I1358" s="4">
        <v>120</v>
      </c>
      <c r="J1358" s="4">
        <v>2</v>
      </c>
      <c r="K1358" s="4"/>
      <c r="L1358" s="16"/>
      <c r="M1358" s="4">
        <v>40</v>
      </c>
      <c r="N1358" s="4">
        <v>10</v>
      </c>
      <c r="O1358" s="4"/>
      <c r="P1358" s="4"/>
      <c r="Q1358" s="4"/>
      <c r="R1358" s="4"/>
      <c r="S1358" s="4">
        <v>50</v>
      </c>
      <c r="T1358" s="4">
        <v>0.83333333333333337</v>
      </c>
      <c r="U1358" s="4">
        <v>2.8333333333333335</v>
      </c>
      <c r="V1358" s="4">
        <v>9.1666666666666661</v>
      </c>
      <c r="W1358" s="4">
        <v>12</v>
      </c>
      <c r="X1358" s="4">
        <v>125</v>
      </c>
      <c r="Y1358" s="4"/>
      <c r="Z1358" s="4">
        <v>457</v>
      </c>
      <c r="AA1358" s="4">
        <v>500</v>
      </c>
      <c r="AB1358" s="18"/>
      <c r="AC1358" s="18">
        <v>26</v>
      </c>
      <c r="AD1358" s="28"/>
      <c r="AE1358" s="26"/>
      <c r="AF1358" s="28"/>
    </row>
    <row r="1359" spans="1:32" ht="13.5" customHeight="1" x14ac:dyDescent="0.25">
      <c r="A1359" s="14">
        <v>45837</v>
      </c>
      <c r="B1359" s="14" t="s">
        <v>46</v>
      </c>
      <c r="C1359" s="15">
        <v>4</v>
      </c>
      <c r="D1359" s="16"/>
      <c r="E1359" s="16"/>
      <c r="F1359" s="17"/>
      <c r="G1359" s="21"/>
      <c r="H1359" s="21"/>
      <c r="I1359" s="4">
        <v>0</v>
      </c>
      <c r="J1359" s="4">
        <v>0</v>
      </c>
      <c r="K1359" s="4"/>
      <c r="L1359" s="16"/>
      <c r="M1359" s="4"/>
      <c r="N1359" s="4"/>
      <c r="O1359" s="4"/>
      <c r="P1359" s="4"/>
      <c r="Q1359" s="4"/>
      <c r="R1359" s="4"/>
      <c r="S1359" s="4">
        <v>0</v>
      </c>
      <c r="T1359" s="4">
        <v>0</v>
      </c>
      <c r="U1359" s="4">
        <v>0</v>
      </c>
      <c r="V1359" s="4">
        <v>12</v>
      </c>
      <c r="W1359" s="4">
        <v>12</v>
      </c>
      <c r="X1359" s="4">
        <v>0</v>
      </c>
      <c r="Y1359" s="4"/>
      <c r="Z1359" s="4">
        <v>456.3</v>
      </c>
      <c r="AA1359" s="4">
        <v>450</v>
      </c>
      <c r="AB1359" s="18"/>
      <c r="AC1359" s="18">
        <v>26</v>
      </c>
      <c r="AD1359" s="28"/>
      <c r="AE1359" s="26"/>
      <c r="AF1359" s="28"/>
    </row>
    <row r="1360" spans="1:32" ht="13.5" customHeight="1" x14ac:dyDescent="0.25">
      <c r="A1360" s="14">
        <v>45837</v>
      </c>
      <c r="B1360" s="14" t="s">
        <v>47</v>
      </c>
      <c r="C1360" s="15">
        <v>4</v>
      </c>
      <c r="D1360" s="16"/>
      <c r="E1360" s="16"/>
      <c r="F1360" s="17"/>
      <c r="G1360" s="21"/>
      <c r="H1360" s="21"/>
      <c r="I1360" s="4">
        <v>0</v>
      </c>
      <c r="J1360" s="4">
        <v>0</v>
      </c>
      <c r="K1360" s="4"/>
      <c r="L1360" s="16"/>
      <c r="M1360" s="4"/>
      <c r="N1360" s="4"/>
      <c r="O1360" s="4"/>
      <c r="P1360" s="4"/>
      <c r="Q1360" s="4"/>
      <c r="R1360" s="4"/>
      <c r="S1360" s="4">
        <v>0</v>
      </c>
      <c r="T1360" s="4">
        <v>0</v>
      </c>
      <c r="U1360" s="4">
        <v>0</v>
      </c>
      <c r="V1360" s="4">
        <v>12</v>
      </c>
      <c r="W1360" s="4">
        <v>12</v>
      </c>
      <c r="X1360" s="4">
        <v>0</v>
      </c>
      <c r="Y1360" s="4"/>
      <c r="Z1360" s="4">
        <v>265.59999999999997</v>
      </c>
      <c r="AA1360" s="4">
        <v>250</v>
      </c>
      <c r="AB1360" s="18"/>
      <c r="AC1360" s="18">
        <v>26</v>
      </c>
      <c r="AD1360" s="28"/>
      <c r="AE1360" s="26"/>
      <c r="AF1360" s="28"/>
    </row>
    <row r="1361" spans="1:32" ht="13.5" customHeight="1" x14ac:dyDescent="0.25">
      <c r="A1361" s="14">
        <v>45837</v>
      </c>
      <c r="B1361" s="14" t="s">
        <v>46</v>
      </c>
      <c r="C1361" s="15">
        <v>6</v>
      </c>
      <c r="D1361" s="16"/>
      <c r="E1361" s="16"/>
      <c r="F1361" s="17"/>
      <c r="G1361" s="21"/>
      <c r="H1361" s="21"/>
      <c r="I1361" s="4">
        <v>0</v>
      </c>
      <c r="J1361" s="4">
        <v>0</v>
      </c>
      <c r="K1361" s="4"/>
      <c r="L1361" s="16"/>
      <c r="M1361" s="4"/>
      <c r="N1361" s="4"/>
      <c r="O1361" s="4"/>
      <c r="P1361" s="4"/>
      <c r="Q1361" s="4"/>
      <c r="R1361" s="4"/>
      <c r="S1361" s="4">
        <v>0</v>
      </c>
      <c r="T1361" s="4">
        <v>0</v>
      </c>
      <c r="U1361" s="4">
        <v>0</v>
      </c>
      <c r="V1361" s="4">
        <v>12</v>
      </c>
      <c r="W1361" s="4">
        <v>12</v>
      </c>
      <c r="X1361" s="4">
        <v>20</v>
      </c>
      <c r="Y1361" s="4"/>
      <c r="Z1361" s="4">
        <v>621.1</v>
      </c>
      <c r="AA1361" s="4">
        <v>650</v>
      </c>
      <c r="AB1361" s="18"/>
      <c r="AC1361" s="18">
        <v>26</v>
      </c>
      <c r="AD1361" s="28"/>
      <c r="AE1361" s="26"/>
      <c r="AF1361" s="28"/>
    </row>
    <row r="1362" spans="1:32" ht="13.5" customHeight="1" x14ac:dyDescent="0.25">
      <c r="A1362" s="14">
        <v>45837</v>
      </c>
      <c r="B1362" s="14" t="s">
        <v>47</v>
      </c>
      <c r="C1362" s="15">
        <v>6</v>
      </c>
      <c r="D1362" s="16">
        <v>13</v>
      </c>
      <c r="E1362" s="16"/>
      <c r="F1362" s="17"/>
      <c r="G1362" s="21"/>
      <c r="H1362" s="21"/>
      <c r="I1362" s="4">
        <v>13</v>
      </c>
      <c r="J1362" s="4">
        <v>0.21666666666666667</v>
      </c>
      <c r="K1362" s="4"/>
      <c r="L1362" s="16"/>
      <c r="M1362" s="4"/>
      <c r="N1362" s="4"/>
      <c r="O1362" s="4"/>
      <c r="P1362" s="4"/>
      <c r="Q1362" s="4"/>
      <c r="R1362" s="4"/>
      <c r="S1362" s="4">
        <v>0</v>
      </c>
      <c r="T1362" s="4">
        <v>0</v>
      </c>
      <c r="U1362" s="4">
        <v>0.21666666666666667</v>
      </c>
      <c r="V1362" s="4">
        <v>11.783333333333333</v>
      </c>
      <c r="W1362" s="4">
        <v>12</v>
      </c>
      <c r="X1362" s="4">
        <v>17</v>
      </c>
      <c r="Y1362" s="4"/>
      <c r="Z1362" s="4">
        <v>654.59999999999991</v>
      </c>
      <c r="AA1362" s="4">
        <v>650</v>
      </c>
      <c r="AB1362" s="18"/>
      <c r="AC1362" s="18">
        <v>26</v>
      </c>
      <c r="AD1362" s="28"/>
      <c r="AE1362" s="26"/>
      <c r="AF1362" s="28"/>
    </row>
    <row r="1363" spans="1:32" ht="13.5" customHeight="1" x14ac:dyDescent="0.25">
      <c r="A1363" s="14">
        <v>45837</v>
      </c>
      <c r="B1363" s="14" t="s">
        <v>46</v>
      </c>
      <c r="C1363" s="15">
        <v>7</v>
      </c>
      <c r="D1363" s="16"/>
      <c r="E1363" s="16"/>
      <c r="F1363" s="17"/>
      <c r="G1363" s="21"/>
      <c r="H1363" s="21"/>
      <c r="I1363" s="4">
        <v>0</v>
      </c>
      <c r="J1363" s="4">
        <v>0</v>
      </c>
      <c r="K1363" s="4"/>
      <c r="L1363" s="16"/>
      <c r="M1363" s="4"/>
      <c r="N1363" s="4"/>
      <c r="O1363" s="4"/>
      <c r="P1363" s="4"/>
      <c r="Q1363" s="4"/>
      <c r="R1363" s="4"/>
      <c r="S1363" s="4">
        <v>0</v>
      </c>
      <c r="T1363" s="4">
        <v>0</v>
      </c>
      <c r="U1363" s="4">
        <v>0</v>
      </c>
      <c r="V1363" s="4">
        <v>12</v>
      </c>
      <c r="W1363" s="4">
        <v>12</v>
      </c>
      <c r="X1363" s="4">
        <v>0</v>
      </c>
      <c r="Y1363" s="4"/>
      <c r="Z1363" s="4">
        <v>378.3</v>
      </c>
      <c r="AA1363" s="4">
        <v>400</v>
      </c>
      <c r="AB1363" s="18"/>
      <c r="AC1363" s="18">
        <v>26</v>
      </c>
      <c r="AD1363" s="28"/>
      <c r="AE1363" s="26"/>
      <c r="AF1363" s="28"/>
    </row>
    <row r="1364" spans="1:32" ht="13.5" customHeight="1" x14ac:dyDescent="0.25">
      <c r="A1364" s="14">
        <v>45837</v>
      </c>
      <c r="B1364" s="14" t="s">
        <v>47</v>
      </c>
      <c r="C1364" s="15">
        <v>7</v>
      </c>
      <c r="D1364" s="16"/>
      <c r="E1364" s="16"/>
      <c r="F1364" s="17"/>
      <c r="G1364" s="21"/>
      <c r="H1364" s="21"/>
      <c r="I1364" s="4">
        <v>0</v>
      </c>
      <c r="J1364" s="4">
        <v>0</v>
      </c>
      <c r="K1364" s="4"/>
      <c r="L1364" s="16"/>
      <c r="M1364" s="4"/>
      <c r="N1364" s="4"/>
      <c r="O1364" s="4"/>
      <c r="P1364" s="4"/>
      <c r="Q1364" s="4"/>
      <c r="R1364" s="4"/>
      <c r="S1364" s="4">
        <v>0</v>
      </c>
      <c r="T1364" s="4">
        <v>0</v>
      </c>
      <c r="U1364" s="4">
        <v>0</v>
      </c>
      <c r="V1364" s="4">
        <v>12</v>
      </c>
      <c r="W1364" s="4">
        <v>12</v>
      </c>
      <c r="X1364" s="4">
        <v>8</v>
      </c>
      <c r="Y1364" s="4"/>
      <c r="Z1364" s="4">
        <v>378.33</v>
      </c>
      <c r="AA1364" s="4">
        <v>400</v>
      </c>
      <c r="AB1364" s="18"/>
      <c r="AC1364" s="18">
        <v>26</v>
      </c>
      <c r="AD1364" s="28"/>
      <c r="AE1364" s="26"/>
      <c r="AF1364" s="28"/>
    </row>
    <row r="1365" spans="1:32" ht="13.5" customHeight="1" x14ac:dyDescent="0.25">
      <c r="A1365" s="14">
        <v>45838</v>
      </c>
      <c r="B1365" s="14" t="s">
        <v>46</v>
      </c>
      <c r="C1365" s="15">
        <v>1</v>
      </c>
      <c r="D1365" s="16"/>
      <c r="E1365" s="16"/>
      <c r="F1365" s="17"/>
      <c r="G1365" s="21"/>
      <c r="H1365" s="21"/>
      <c r="I1365" s="4">
        <v>0</v>
      </c>
      <c r="J1365" s="4">
        <v>0</v>
      </c>
      <c r="K1365" s="4"/>
      <c r="L1365" s="16"/>
      <c r="M1365" s="4"/>
      <c r="N1365" s="4"/>
      <c r="O1365" s="4"/>
      <c r="P1365" s="4"/>
      <c r="Q1365" s="4"/>
      <c r="R1365" s="4"/>
      <c r="S1365" s="4">
        <v>0</v>
      </c>
      <c r="T1365" s="4">
        <v>0</v>
      </c>
      <c r="U1365" s="4">
        <v>0</v>
      </c>
      <c r="V1365" s="4">
        <v>12</v>
      </c>
      <c r="W1365" s="4">
        <v>12</v>
      </c>
      <c r="X1365" s="4">
        <v>11</v>
      </c>
      <c r="Y1365" s="4">
        <v>2206.5</v>
      </c>
      <c r="Z1365" s="4">
        <v>113</v>
      </c>
      <c r="AA1365" s="4">
        <v>100</v>
      </c>
      <c r="AB1365" s="18">
        <v>372</v>
      </c>
      <c r="AC1365" s="18">
        <v>27</v>
      </c>
      <c r="AD1365" s="28"/>
      <c r="AE1365" s="26"/>
      <c r="AF1365" s="28"/>
    </row>
    <row r="1366" spans="1:32" ht="13.5" customHeight="1" x14ac:dyDescent="0.25">
      <c r="A1366" s="14">
        <v>45838</v>
      </c>
      <c r="B1366" s="14" t="s">
        <v>47</v>
      </c>
      <c r="C1366" s="15">
        <v>1</v>
      </c>
      <c r="D1366" s="16"/>
      <c r="E1366" s="16"/>
      <c r="F1366" s="17"/>
      <c r="G1366" s="21"/>
      <c r="H1366" s="21"/>
      <c r="I1366" s="4">
        <v>0</v>
      </c>
      <c r="J1366" s="4">
        <v>0</v>
      </c>
      <c r="K1366" s="4"/>
      <c r="L1366" s="16"/>
      <c r="M1366" s="4"/>
      <c r="N1366" s="4"/>
      <c r="O1366" s="4"/>
      <c r="P1366" s="4"/>
      <c r="Q1366" s="4"/>
      <c r="R1366" s="4"/>
      <c r="S1366" s="4">
        <v>0</v>
      </c>
      <c r="T1366" s="4">
        <v>0</v>
      </c>
      <c r="U1366" s="4">
        <v>0</v>
      </c>
      <c r="V1366" s="4">
        <v>12</v>
      </c>
      <c r="W1366" s="4">
        <v>12</v>
      </c>
      <c r="X1366" s="4">
        <v>6</v>
      </c>
      <c r="Y1366" s="4"/>
      <c r="Z1366" s="4">
        <v>112.4</v>
      </c>
      <c r="AA1366" s="4">
        <v>150</v>
      </c>
      <c r="AB1366" s="18"/>
      <c r="AC1366" s="18">
        <v>27</v>
      </c>
      <c r="AD1366" s="28"/>
      <c r="AE1366" s="26"/>
      <c r="AF1366" s="28"/>
    </row>
    <row r="1367" spans="1:32" ht="13.5" customHeight="1" x14ac:dyDescent="0.25">
      <c r="A1367" s="14">
        <v>45838</v>
      </c>
      <c r="B1367" s="14" t="s">
        <v>46</v>
      </c>
      <c r="C1367" s="15">
        <v>3</v>
      </c>
      <c r="D1367" s="16">
        <v>15</v>
      </c>
      <c r="E1367" s="16"/>
      <c r="F1367" s="17"/>
      <c r="G1367" s="21"/>
      <c r="H1367" s="21"/>
      <c r="I1367" s="4">
        <v>15</v>
      </c>
      <c r="J1367" s="4">
        <v>0.25</v>
      </c>
      <c r="K1367" s="4"/>
      <c r="L1367" s="16"/>
      <c r="M1367" s="4"/>
      <c r="N1367" s="4"/>
      <c r="O1367" s="4"/>
      <c r="P1367" s="4"/>
      <c r="Q1367" s="4"/>
      <c r="R1367" s="4"/>
      <c r="S1367" s="4">
        <v>0</v>
      </c>
      <c r="T1367" s="4">
        <v>0</v>
      </c>
      <c r="U1367" s="4">
        <v>0.25</v>
      </c>
      <c r="V1367" s="4">
        <v>11.75</v>
      </c>
      <c r="W1367" s="4">
        <v>12</v>
      </c>
      <c r="X1367" s="4">
        <v>105</v>
      </c>
      <c r="Y1367" s="4"/>
      <c r="Z1367" s="4">
        <v>287.39999999999998</v>
      </c>
      <c r="AA1367" s="4">
        <v>300</v>
      </c>
      <c r="AB1367" s="18"/>
      <c r="AC1367" s="18">
        <v>27</v>
      </c>
      <c r="AD1367" s="28"/>
      <c r="AE1367" s="26"/>
      <c r="AF1367" s="28"/>
    </row>
    <row r="1368" spans="1:32" ht="13.5" customHeight="1" x14ac:dyDescent="0.25">
      <c r="A1368" s="14">
        <v>45838</v>
      </c>
      <c r="B1368" s="14" t="s">
        <v>47</v>
      </c>
      <c r="C1368" s="15">
        <v>3</v>
      </c>
      <c r="D1368" s="16">
        <v>170</v>
      </c>
      <c r="E1368" s="16"/>
      <c r="F1368" s="17"/>
      <c r="G1368" s="21"/>
      <c r="H1368" s="21"/>
      <c r="I1368" s="4">
        <v>170</v>
      </c>
      <c r="J1368" s="4">
        <v>2.8333333333333335</v>
      </c>
      <c r="K1368" s="4"/>
      <c r="L1368" s="16"/>
      <c r="M1368" s="4"/>
      <c r="N1368" s="4"/>
      <c r="O1368" s="4"/>
      <c r="P1368" s="4"/>
      <c r="Q1368" s="4"/>
      <c r="R1368" s="4"/>
      <c r="S1368" s="4">
        <v>0</v>
      </c>
      <c r="T1368" s="4">
        <v>0</v>
      </c>
      <c r="U1368" s="4">
        <v>2.8333333333333335</v>
      </c>
      <c r="V1368" s="4">
        <v>9.1666666666666661</v>
      </c>
      <c r="W1368" s="4">
        <v>12</v>
      </c>
      <c r="X1368" s="4">
        <v>82</v>
      </c>
      <c r="Y1368" s="4"/>
      <c r="Z1368" s="4">
        <v>177.89999999999998</v>
      </c>
      <c r="AA1368" s="4">
        <v>200</v>
      </c>
      <c r="AB1368" s="18"/>
      <c r="AC1368" s="18">
        <v>27</v>
      </c>
      <c r="AD1368" s="28"/>
      <c r="AE1368" s="26"/>
      <c r="AF1368" s="28"/>
    </row>
    <row r="1369" spans="1:32" ht="13.5" customHeight="1" x14ac:dyDescent="0.25">
      <c r="A1369" s="14">
        <v>45838</v>
      </c>
      <c r="B1369" s="14" t="s">
        <v>46</v>
      </c>
      <c r="C1369" s="15">
        <v>4</v>
      </c>
      <c r="D1369" s="16">
        <v>3</v>
      </c>
      <c r="E1369" s="16"/>
      <c r="F1369" s="17"/>
      <c r="G1369" s="21"/>
      <c r="H1369" s="21"/>
      <c r="I1369" s="4">
        <v>3</v>
      </c>
      <c r="J1369" s="4">
        <v>0.05</v>
      </c>
      <c r="K1369" s="4"/>
      <c r="L1369" s="16"/>
      <c r="M1369" s="4"/>
      <c r="N1369" s="4"/>
      <c r="O1369" s="4"/>
      <c r="P1369" s="4"/>
      <c r="Q1369" s="4"/>
      <c r="R1369" s="4"/>
      <c r="S1369" s="4">
        <v>0</v>
      </c>
      <c r="T1369" s="4">
        <v>0</v>
      </c>
      <c r="U1369" s="4">
        <v>0.05</v>
      </c>
      <c r="V1369" s="4">
        <v>11.95</v>
      </c>
      <c r="W1369" s="4">
        <v>12</v>
      </c>
      <c r="X1369" s="4">
        <v>9</v>
      </c>
      <c r="Y1369" s="4"/>
      <c r="Z1369" s="4">
        <v>408.09999999999997</v>
      </c>
      <c r="AA1369" s="4">
        <v>400</v>
      </c>
      <c r="AB1369" s="18"/>
      <c r="AC1369" s="18">
        <v>27</v>
      </c>
      <c r="AD1369" s="28"/>
      <c r="AE1369" s="26"/>
      <c r="AF1369" s="28"/>
    </row>
    <row r="1370" spans="1:32" ht="13.5" customHeight="1" x14ac:dyDescent="0.25">
      <c r="A1370" s="14">
        <v>45838</v>
      </c>
      <c r="B1370" s="14" t="s">
        <v>47</v>
      </c>
      <c r="C1370" s="15">
        <v>4</v>
      </c>
      <c r="D1370" s="16"/>
      <c r="E1370" s="16"/>
      <c r="F1370" s="17"/>
      <c r="G1370" s="21"/>
      <c r="H1370" s="21"/>
      <c r="I1370" s="4">
        <v>0</v>
      </c>
      <c r="J1370" s="4">
        <v>0</v>
      </c>
      <c r="K1370" s="4"/>
      <c r="L1370" s="16"/>
      <c r="M1370" s="4"/>
      <c r="N1370" s="4"/>
      <c r="O1370" s="4"/>
      <c r="P1370" s="4"/>
      <c r="Q1370" s="4"/>
      <c r="R1370" s="4"/>
      <c r="S1370" s="4">
        <v>0</v>
      </c>
      <c r="T1370" s="4">
        <v>0</v>
      </c>
      <c r="U1370" s="4">
        <v>0</v>
      </c>
      <c r="V1370" s="4">
        <v>12</v>
      </c>
      <c r="W1370" s="4">
        <v>12</v>
      </c>
      <c r="X1370" s="4">
        <v>0</v>
      </c>
      <c r="Y1370" s="4"/>
      <c r="Z1370" s="4">
        <v>329.79999999999995</v>
      </c>
      <c r="AA1370" s="4">
        <v>350</v>
      </c>
      <c r="AB1370" s="18"/>
      <c r="AC1370" s="18">
        <v>27</v>
      </c>
      <c r="AD1370" s="28"/>
      <c r="AE1370" s="26"/>
      <c r="AF1370" s="28"/>
    </row>
    <row r="1371" spans="1:32" ht="13.5" customHeight="1" x14ac:dyDescent="0.25">
      <c r="A1371" s="14">
        <v>45838</v>
      </c>
      <c r="B1371" s="14" t="s">
        <v>46</v>
      </c>
      <c r="C1371" s="15">
        <v>6</v>
      </c>
      <c r="D1371" s="16"/>
      <c r="E1371" s="16"/>
      <c r="F1371" s="17"/>
      <c r="G1371" s="21"/>
      <c r="H1371" s="21"/>
      <c r="I1371" s="4">
        <v>0</v>
      </c>
      <c r="J1371" s="4">
        <v>0</v>
      </c>
      <c r="K1371" s="4"/>
      <c r="L1371" s="16"/>
      <c r="M1371" s="4"/>
      <c r="N1371" s="4"/>
      <c r="O1371" s="4"/>
      <c r="P1371" s="4"/>
      <c r="Q1371" s="4"/>
      <c r="R1371" s="4"/>
      <c r="S1371" s="4">
        <v>0</v>
      </c>
      <c r="T1371" s="4">
        <v>0</v>
      </c>
      <c r="U1371" s="4">
        <v>0</v>
      </c>
      <c r="V1371" s="4">
        <v>12</v>
      </c>
      <c r="W1371" s="4">
        <v>12</v>
      </c>
      <c r="X1371" s="4">
        <v>60</v>
      </c>
      <c r="Y1371" s="4"/>
      <c r="Z1371" s="4">
        <v>515.6</v>
      </c>
      <c r="AA1371" s="4">
        <v>500</v>
      </c>
      <c r="AB1371" s="18"/>
      <c r="AC1371" s="18">
        <v>27</v>
      </c>
      <c r="AD1371" s="28"/>
      <c r="AE1371" s="26"/>
      <c r="AF1371" s="28"/>
    </row>
    <row r="1372" spans="1:32" ht="13.5" customHeight="1" x14ac:dyDescent="0.25">
      <c r="A1372" s="14">
        <v>45838</v>
      </c>
      <c r="B1372" s="14" t="s">
        <v>47</v>
      </c>
      <c r="C1372" s="15">
        <v>6</v>
      </c>
      <c r="D1372" s="16">
        <v>6</v>
      </c>
      <c r="E1372" s="16"/>
      <c r="F1372" s="17"/>
      <c r="G1372" s="21"/>
      <c r="H1372" s="21"/>
      <c r="I1372" s="4">
        <v>6</v>
      </c>
      <c r="J1372" s="4">
        <v>0.1</v>
      </c>
      <c r="K1372" s="4"/>
      <c r="L1372" s="16"/>
      <c r="M1372" s="4"/>
      <c r="N1372" s="4"/>
      <c r="O1372" s="4"/>
      <c r="P1372" s="4"/>
      <c r="Q1372" s="4"/>
      <c r="R1372" s="4"/>
      <c r="S1372" s="4">
        <v>0</v>
      </c>
      <c r="T1372" s="4">
        <v>0</v>
      </c>
      <c r="U1372" s="4">
        <v>0.1</v>
      </c>
      <c r="V1372" s="4">
        <v>11.9</v>
      </c>
      <c r="W1372" s="4">
        <v>12</v>
      </c>
      <c r="X1372" s="4">
        <v>11.4</v>
      </c>
      <c r="Y1372" s="4"/>
      <c r="Z1372" s="4">
        <v>521.79999999999995</v>
      </c>
      <c r="AA1372" s="4">
        <v>500</v>
      </c>
      <c r="AB1372" s="18"/>
      <c r="AC1372" s="18">
        <v>27</v>
      </c>
      <c r="AD1372" s="28"/>
      <c r="AE1372" s="26"/>
      <c r="AF1372" s="28"/>
    </row>
    <row r="1373" spans="1:32" ht="13.5" customHeight="1" x14ac:dyDescent="0.25">
      <c r="A1373" s="14">
        <v>45838</v>
      </c>
      <c r="B1373" s="14" t="s">
        <v>46</v>
      </c>
      <c r="C1373" s="15">
        <v>7</v>
      </c>
      <c r="D1373" s="16">
        <v>3</v>
      </c>
      <c r="E1373" s="16"/>
      <c r="F1373" s="17"/>
      <c r="G1373" s="21"/>
      <c r="H1373" s="21"/>
      <c r="I1373" s="4">
        <v>3</v>
      </c>
      <c r="J1373" s="4">
        <v>0.05</v>
      </c>
      <c r="K1373" s="4"/>
      <c r="L1373" s="16"/>
      <c r="M1373" s="4"/>
      <c r="N1373" s="4"/>
      <c r="O1373" s="4"/>
      <c r="P1373" s="4"/>
      <c r="Q1373" s="4"/>
      <c r="R1373" s="4"/>
      <c r="S1373" s="4">
        <v>0</v>
      </c>
      <c r="T1373" s="4">
        <v>0</v>
      </c>
      <c r="U1373" s="4">
        <v>0.05</v>
      </c>
      <c r="V1373" s="4">
        <v>11.95</v>
      </c>
      <c r="W1373" s="4">
        <v>12</v>
      </c>
      <c r="X1373" s="4">
        <v>0</v>
      </c>
      <c r="Y1373" s="4"/>
      <c r="Z1373" s="4">
        <v>363.1</v>
      </c>
      <c r="AA1373" s="4">
        <v>400</v>
      </c>
      <c r="AB1373" s="18"/>
      <c r="AC1373" s="18">
        <v>27</v>
      </c>
      <c r="AD1373" s="28"/>
      <c r="AE1373" s="26"/>
      <c r="AF1373" s="28"/>
    </row>
    <row r="1374" spans="1:32" ht="13.5" customHeight="1" x14ac:dyDescent="0.25">
      <c r="A1374" s="14">
        <v>45838</v>
      </c>
      <c r="B1374" s="14" t="s">
        <v>47</v>
      </c>
      <c r="C1374" s="15">
        <v>7</v>
      </c>
      <c r="D1374" s="16"/>
      <c r="E1374" s="16"/>
      <c r="F1374" s="17"/>
      <c r="G1374" s="21"/>
      <c r="H1374" s="21"/>
      <c r="I1374" s="4">
        <v>0</v>
      </c>
      <c r="J1374" s="4">
        <v>0</v>
      </c>
      <c r="K1374" s="4"/>
      <c r="L1374" s="16"/>
      <c r="M1374" s="4"/>
      <c r="N1374" s="4"/>
      <c r="O1374" s="4"/>
      <c r="P1374" s="4"/>
      <c r="Q1374" s="4"/>
      <c r="R1374" s="4"/>
      <c r="S1374" s="4">
        <v>0</v>
      </c>
      <c r="T1374" s="4">
        <v>0</v>
      </c>
      <c r="U1374" s="4">
        <v>0</v>
      </c>
      <c r="V1374" s="4">
        <v>12</v>
      </c>
      <c r="W1374" s="4">
        <v>12</v>
      </c>
      <c r="X1374" s="4">
        <v>3.2</v>
      </c>
      <c r="Y1374" s="4"/>
      <c r="Z1374" s="4">
        <v>320.7</v>
      </c>
      <c r="AA1374" s="4">
        <v>300</v>
      </c>
      <c r="AB1374" s="18"/>
      <c r="AC1374" s="18">
        <v>27</v>
      </c>
      <c r="AD1374" s="28"/>
      <c r="AE1374" s="26"/>
      <c r="AF1374" s="28"/>
    </row>
    <row r="1375" spans="1:32" ht="13.5" customHeight="1" x14ac:dyDescent="0.25">
      <c r="A1375" s="14">
        <v>45839</v>
      </c>
      <c r="B1375" s="14" t="s">
        <v>46</v>
      </c>
      <c r="C1375" s="15">
        <v>1</v>
      </c>
      <c r="D1375" s="16"/>
      <c r="E1375" s="16"/>
      <c r="F1375" s="17"/>
      <c r="G1375" s="21"/>
      <c r="H1375" s="21"/>
      <c r="I1375" s="4">
        <v>0</v>
      </c>
      <c r="J1375" s="4">
        <v>0</v>
      </c>
      <c r="K1375" s="4"/>
      <c r="L1375" s="16"/>
      <c r="M1375" s="4"/>
      <c r="N1375" s="4"/>
      <c r="O1375" s="4"/>
      <c r="P1375" s="4">
        <v>240</v>
      </c>
      <c r="Q1375" s="4"/>
      <c r="R1375" s="4"/>
      <c r="S1375" s="4">
        <v>240</v>
      </c>
      <c r="T1375" s="4">
        <v>4</v>
      </c>
      <c r="U1375" s="4">
        <v>4</v>
      </c>
      <c r="V1375" s="4">
        <v>8</v>
      </c>
      <c r="W1375" s="4">
        <v>12</v>
      </c>
      <c r="X1375" s="4">
        <v>4</v>
      </c>
      <c r="Y1375" s="4">
        <v>2109</v>
      </c>
      <c r="Z1375" s="4">
        <v>76.399999999999991</v>
      </c>
      <c r="AA1375" s="4">
        <v>50</v>
      </c>
      <c r="AB1375" s="18">
        <v>372</v>
      </c>
      <c r="AC1375" s="18">
        <v>27</v>
      </c>
      <c r="AD1375" s="28"/>
      <c r="AE1375" s="26"/>
      <c r="AF1375" s="28"/>
    </row>
    <row r="1376" spans="1:32" ht="13.5" customHeight="1" x14ac:dyDescent="0.25">
      <c r="A1376" s="14">
        <v>45839</v>
      </c>
      <c r="B1376" s="14" t="s">
        <v>47</v>
      </c>
      <c r="C1376" s="15">
        <v>1</v>
      </c>
      <c r="D1376" s="16"/>
      <c r="E1376" s="16"/>
      <c r="F1376" s="17"/>
      <c r="G1376" s="21"/>
      <c r="H1376" s="21"/>
      <c r="I1376" s="4">
        <v>0</v>
      </c>
      <c r="J1376" s="4">
        <v>0</v>
      </c>
      <c r="K1376" s="4"/>
      <c r="L1376" s="16"/>
      <c r="M1376" s="4"/>
      <c r="N1376" s="4"/>
      <c r="O1376" s="4"/>
      <c r="P1376" s="4"/>
      <c r="Q1376" s="4"/>
      <c r="R1376" s="4"/>
      <c r="S1376" s="4">
        <v>0</v>
      </c>
      <c r="T1376" s="4">
        <v>0</v>
      </c>
      <c r="U1376" s="4">
        <v>0</v>
      </c>
      <c r="V1376" s="4">
        <v>12</v>
      </c>
      <c r="W1376" s="4">
        <v>12</v>
      </c>
      <c r="X1376" s="4">
        <v>0</v>
      </c>
      <c r="Y1376" s="4"/>
      <c r="Z1376" s="4">
        <v>156.4</v>
      </c>
      <c r="AA1376" s="4">
        <v>150</v>
      </c>
      <c r="AB1376" s="18"/>
      <c r="AC1376" s="18">
        <v>27</v>
      </c>
      <c r="AD1376" s="28"/>
      <c r="AE1376" s="26"/>
      <c r="AF1376" s="28"/>
    </row>
    <row r="1377" spans="1:32" ht="13.5" customHeight="1" x14ac:dyDescent="0.25">
      <c r="A1377" s="14">
        <v>45839</v>
      </c>
      <c r="B1377" s="14" t="s">
        <v>46</v>
      </c>
      <c r="C1377" s="15">
        <v>3</v>
      </c>
      <c r="D1377" s="16"/>
      <c r="E1377" s="16"/>
      <c r="F1377" s="17"/>
      <c r="G1377" s="21"/>
      <c r="H1377" s="21"/>
      <c r="I1377" s="4">
        <v>0</v>
      </c>
      <c r="J1377" s="4">
        <v>0</v>
      </c>
      <c r="K1377" s="4"/>
      <c r="L1377" s="16"/>
      <c r="M1377" s="4"/>
      <c r="N1377" s="4"/>
      <c r="O1377" s="4"/>
      <c r="P1377" s="4"/>
      <c r="Q1377" s="4"/>
      <c r="R1377" s="4"/>
      <c r="S1377" s="4">
        <v>0</v>
      </c>
      <c r="T1377" s="4">
        <v>0</v>
      </c>
      <c r="U1377" s="4">
        <v>0</v>
      </c>
      <c r="V1377" s="4">
        <v>12</v>
      </c>
      <c r="W1377" s="4">
        <v>12</v>
      </c>
      <c r="X1377" s="4">
        <v>60</v>
      </c>
      <c r="Y1377" s="4"/>
      <c r="Z1377" s="4">
        <v>180.2</v>
      </c>
      <c r="AA1377" s="4">
        <v>200</v>
      </c>
      <c r="AB1377" s="18"/>
      <c r="AC1377" s="18">
        <v>27</v>
      </c>
      <c r="AD1377" s="28"/>
      <c r="AE1377" s="26"/>
      <c r="AF1377" s="28"/>
    </row>
    <row r="1378" spans="1:32" ht="13.5" customHeight="1" x14ac:dyDescent="0.25">
      <c r="A1378" s="14">
        <v>45839</v>
      </c>
      <c r="B1378" s="14" t="s">
        <v>47</v>
      </c>
      <c r="C1378" s="15">
        <v>3</v>
      </c>
      <c r="D1378" s="16"/>
      <c r="E1378" s="16"/>
      <c r="F1378" s="17"/>
      <c r="G1378" s="21"/>
      <c r="H1378" s="21"/>
      <c r="I1378" s="4">
        <v>0</v>
      </c>
      <c r="J1378" s="4">
        <v>0</v>
      </c>
      <c r="K1378" s="4"/>
      <c r="L1378" s="16"/>
      <c r="M1378" s="4"/>
      <c r="N1378" s="4"/>
      <c r="O1378" s="4"/>
      <c r="P1378" s="4"/>
      <c r="Q1378" s="4"/>
      <c r="R1378" s="4"/>
      <c r="S1378" s="4">
        <v>0</v>
      </c>
      <c r="T1378" s="4">
        <v>0</v>
      </c>
      <c r="U1378" s="4">
        <v>0</v>
      </c>
      <c r="V1378" s="4">
        <v>12</v>
      </c>
      <c r="W1378" s="4">
        <v>12</v>
      </c>
      <c r="X1378" s="4">
        <v>0</v>
      </c>
      <c r="Y1378" s="4"/>
      <c r="Z1378" s="4">
        <v>159.4</v>
      </c>
      <c r="AA1378" s="4">
        <v>200</v>
      </c>
      <c r="AB1378" s="18"/>
      <c r="AC1378" s="18">
        <v>27</v>
      </c>
      <c r="AD1378" s="28"/>
      <c r="AE1378" s="26"/>
      <c r="AF1378" s="28"/>
    </row>
    <row r="1379" spans="1:32" ht="13.5" customHeight="1" x14ac:dyDescent="0.25">
      <c r="A1379" s="14">
        <v>45839</v>
      </c>
      <c r="B1379" s="14" t="s">
        <v>46</v>
      </c>
      <c r="C1379" s="15">
        <v>4</v>
      </c>
      <c r="D1379" s="16"/>
      <c r="E1379" s="16"/>
      <c r="F1379" s="17"/>
      <c r="G1379" s="21"/>
      <c r="H1379" s="21"/>
      <c r="I1379" s="4">
        <v>0</v>
      </c>
      <c r="J1379" s="4">
        <v>0</v>
      </c>
      <c r="K1379" s="4"/>
      <c r="L1379" s="16"/>
      <c r="M1379" s="4"/>
      <c r="N1379" s="4"/>
      <c r="O1379" s="4"/>
      <c r="P1379" s="4"/>
      <c r="Q1379" s="4"/>
      <c r="R1379" s="4"/>
      <c r="S1379" s="4">
        <v>0</v>
      </c>
      <c r="T1379" s="4">
        <v>0</v>
      </c>
      <c r="U1379" s="4">
        <v>0</v>
      </c>
      <c r="V1379" s="4">
        <v>12</v>
      </c>
      <c r="W1379" s="4">
        <v>12</v>
      </c>
      <c r="X1379" s="4">
        <v>0</v>
      </c>
      <c r="Y1379" s="4"/>
      <c r="Z1379" s="4">
        <v>277.5</v>
      </c>
      <c r="AA1379" s="4">
        <v>300</v>
      </c>
      <c r="AB1379" s="18"/>
      <c r="AC1379" s="18">
        <v>27</v>
      </c>
      <c r="AD1379" s="28"/>
      <c r="AE1379" s="26"/>
      <c r="AF1379" s="28"/>
    </row>
    <row r="1380" spans="1:32" ht="13.5" customHeight="1" x14ac:dyDescent="0.25">
      <c r="A1380" s="14">
        <v>45839</v>
      </c>
      <c r="B1380" s="14" t="s">
        <v>47</v>
      </c>
      <c r="C1380" s="15">
        <v>4</v>
      </c>
      <c r="D1380" s="16"/>
      <c r="E1380" s="16"/>
      <c r="F1380" s="17"/>
      <c r="G1380" s="21"/>
      <c r="H1380" s="21"/>
      <c r="I1380" s="4">
        <v>0</v>
      </c>
      <c r="J1380" s="4">
        <v>0</v>
      </c>
      <c r="K1380" s="4"/>
      <c r="L1380" s="16"/>
      <c r="M1380" s="4"/>
      <c r="N1380" s="4"/>
      <c r="O1380" s="4"/>
      <c r="P1380" s="4"/>
      <c r="Q1380" s="4"/>
      <c r="R1380" s="4"/>
      <c r="S1380" s="4">
        <v>0</v>
      </c>
      <c r="T1380" s="4">
        <v>0</v>
      </c>
      <c r="U1380" s="4">
        <v>0</v>
      </c>
      <c r="V1380" s="4">
        <v>12</v>
      </c>
      <c r="W1380" s="4">
        <v>12</v>
      </c>
      <c r="X1380" s="4">
        <v>14</v>
      </c>
      <c r="Y1380" s="4"/>
      <c r="Z1380" s="4">
        <v>319.7</v>
      </c>
      <c r="AA1380" s="4">
        <v>300</v>
      </c>
      <c r="AB1380" s="18"/>
      <c r="AC1380" s="18">
        <v>27</v>
      </c>
      <c r="AD1380" s="28"/>
      <c r="AE1380" s="26"/>
      <c r="AF1380" s="28"/>
    </row>
    <row r="1381" spans="1:32" ht="13.5" customHeight="1" x14ac:dyDescent="0.25">
      <c r="A1381" s="14">
        <v>45839</v>
      </c>
      <c r="B1381" s="14" t="s">
        <v>46</v>
      </c>
      <c r="C1381" s="15">
        <v>6</v>
      </c>
      <c r="D1381" s="16"/>
      <c r="E1381" s="16"/>
      <c r="F1381" s="17"/>
      <c r="G1381" s="21"/>
      <c r="H1381" s="21"/>
      <c r="I1381" s="4">
        <v>0</v>
      </c>
      <c r="J1381" s="4">
        <v>0</v>
      </c>
      <c r="K1381" s="4"/>
      <c r="L1381" s="16"/>
      <c r="M1381" s="4"/>
      <c r="N1381" s="4"/>
      <c r="O1381" s="4"/>
      <c r="P1381" s="4"/>
      <c r="Q1381" s="4"/>
      <c r="R1381" s="4"/>
      <c r="S1381" s="4">
        <v>0</v>
      </c>
      <c r="T1381" s="4">
        <v>0</v>
      </c>
      <c r="U1381" s="4">
        <v>0</v>
      </c>
      <c r="V1381" s="4">
        <v>12</v>
      </c>
      <c r="W1381" s="4">
        <v>12</v>
      </c>
      <c r="X1381" s="4">
        <v>8</v>
      </c>
      <c r="Y1381" s="4"/>
      <c r="Z1381" s="4">
        <v>609.79999999999995</v>
      </c>
      <c r="AA1381" s="4">
        <v>600</v>
      </c>
      <c r="AB1381" s="18"/>
      <c r="AC1381" s="18">
        <v>27</v>
      </c>
      <c r="AD1381" s="28"/>
      <c r="AE1381" s="26"/>
      <c r="AF1381" s="28"/>
    </row>
    <row r="1382" spans="1:32" ht="13.5" customHeight="1" x14ac:dyDescent="0.25">
      <c r="A1382" s="14">
        <v>45839</v>
      </c>
      <c r="B1382" s="14" t="s">
        <v>47</v>
      </c>
      <c r="C1382" s="15">
        <v>6</v>
      </c>
      <c r="D1382" s="16"/>
      <c r="E1382" s="16"/>
      <c r="F1382" s="17"/>
      <c r="G1382" s="21"/>
      <c r="H1382" s="21"/>
      <c r="I1382" s="4">
        <v>0</v>
      </c>
      <c r="J1382" s="4">
        <v>0</v>
      </c>
      <c r="K1382" s="4"/>
      <c r="L1382" s="16"/>
      <c r="M1382" s="4"/>
      <c r="N1382" s="4"/>
      <c r="O1382" s="4"/>
      <c r="P1382" s="4"/>
      <c r="Q1382" s="4"/>
      <c r="R1382" s="4"/>
      <c r="S1382" s="4">
        <v>0</v>
      </c>
      <c r="T1382" s="4">
        <v>0</v>
      </c>
      <c r="U1382" s="4">
        <v>0</v>
      </c>
      <c r="V1382" s="4">
        <v>12</v>
      </c>
      <c r="W1382" s="4">
        <v>12</v>
      </c>
      <c r="X1382" s="4">
        <v>0</v>
      </c>
      <c r="Y1382" s="4"/>
      <c r="Z1382" s="4">
        <v>570</v>
      </c>
      <c r="AA1382" s="4">
        <v>600</v>
      </c>
      <c r="AB1382" s="18"/>
      <c r="AC1382" s="18">
        <v>27</v>
      </c>
      <c r="AD1382" s="28"/>
      <c r="AE1382" s="26"/>
      <c r="AF1382" s="28"/>
    </row>
    <row r="1383" spans="1:32" ht="13.5" customHeight="1" x14ac:dyDescent="0.25">
      <c r="A1383" s="14">
        <v>45839</v>
      </c>
      <c r="B1383" s="14" t="s">
        <v>46</v>
      </c>
      <c r="C1383" s="15">
        <v>7</v>
      </c>
      <c r="D1383" s="16"/>
      <c r="E1383" s="16"/>
      <c r="F1383" s="17"/>
      <c r="G1383" s="21"/>
      <c r="H1383" s="21"/>
      <c r="I1383" s="4">
        <v>0</v>
      </c>
      <c r="J1383" s="4">
        <v>0</v>
      </c>
      <c r="K1383" s="4"/>
      <c r="L1383" s="16"/>
      <c r="M1383" s="4"/>
      <c r="N1383" s="4"/>
      <c r="O1383" s="4"/>
      <c r="P1383" s="4">
        <v>30</v>
      </c>
      <c r="Q1383" s="4"/>
      <c r="R1383" s="4"/>
      <c r="S1383" s="4">
        <v>30</v>
      </c>
      <c r="T1383" s="4">
        <v>0.5</v>
      </c>
      <c r="U1383" s="4">
        <v>0.5</v>
      </c>
      <c r="V1383" s="4">
        <v>11.5</v>
      </c>
      <c r="W1383" s="4">
        <v>12</v>
      </c>
      <c r="X1383" s="4">
        <v>9</v>
      </c>
      <c r="Y1383" s="4"/>
      <c r="Z1383" s="4">
        <v>329.4</v>
      </c>
      <c r="AA1383" s="4">
        <v>300</v>
      </c>
      <c r="AB1383" s="18"/>
      <c r="AC1383" s="18">
        <v>27</v>
      </c>
      <c r="AD1383" s="28"/>
      <c r="AE1383" s="26"/>
      <c r="AF1383" s="28"/>
    </row>
    <row r="1384" spans="1:32" ht="13.5" customHeight="1" x14ac:dyDescent="0.25">
      <c r="A1384" s="14">
        <v>45839</v>
      </c>
      <c r="B1384" s="14" t="s">
        <v>47</v>
      </c>
      <c r="C1384" s="15">
        <v>7</v>
      </c>
      <c r="D1384" s="16">
        <v>3</v>
      </c>
      <c r="E1384" s="16"/>
      <c r="F1384" s="17"/>
      <c r="G1384" s="21"/>
      <c r="H1384" s="21"/>
      <c r="I1384" s="4">
        <v>3</v>
      </c>
      <c r="J1384" s="4">
        <v>0.05</v>
      </c>
      <c r="K1384" s="4"/>
      <c r="L1384" s="16"/>
      <c r="M1384" s="4"/>
      <c r="N1384" s="4"/>
      <c r="O1384" s="4"/>
      <c r="P1384" s="4"/>
      <c r="Q1384" s="4"/>
      <c r="R1384" s="4"/>
      <c r="S1384" s="4">
        <v>0</v>
      </c>
      <c r="T1384" s="4">
        <v>0</v>
      </c>
      <c r="U1384" s="4">
        <v>0.05</v>
      </c>
      <c r="V1384" s="4">
        <v>11.95</v>
      </c>
      <c r="W1384" s="4">
        <v>12</v>
      </c>
      <c r="X1384" s="4">
        <v>11.6</v>
      </c>
      <c r="Y1384" s="4"/>
      <c r="Z1384" s="4">
        <v>316.66000000000003</v>
      </c>
      <c r="AA1384" s="4">
        <v>300</v>
      </c>
      <c r="AB1384" s="18"/>
      <c r="AC1384" s="18">
        <v>27</v>
      </c>
      <c r="AD1384" s="28"/>
      <c r="AE1384" s="26"/>
      <c r="AF1384" s="28"/>
    </row>
    <row r="1385" spans="1:32" ht="13.5" customHeight="1" x14ac:dyDescent="0.25">
      <c r="A1385" s="14">
        <v>45840</v>
      </c>
      <c r="B1385" s="14" t="s">
        <v>46</v>
      </c>
      <c r="C1385" s="15">
        <v>1</v>
      </c>
      <c r="D1385" s="16"/>
      <c r="E1385" s="16"/>
      <c r="F1385" s="17"/>
      <c r="G1385" s="21"/>
      <c r="H1385" s="21"/>
      <c r="I1385" s="4">
        <v>0</v>
      </c>
      <c r="J1385" s="4">
        <v>0</v>
      </c>
      <c r="K1385" s="4"/>
      <c r="L1385" s="16"/>
      <c r="M1385" s="4"/>
      <c r="N1385" s="4"/>
      <c r="O1385" s="4"/>
      <c r="P1385" s="4"/>
      <c r="Q1385" s="4"/>
      <c r="R1385" s="4"/>
      <c r="S1385" s="4">
        <v>0</v>
      </c>
      <c r="T1385" s="4">
        <v>0</v>
      </c>
      <c r="U1385" s="4">
        <v>0</v>
      </c>
      <c r="V1385" s="4">
        <v>12</v>
      </c>
      <c r="W1385" s="4">
        <v>12</v>
      </c>
      <c r="X1385" s="4">
        <v>16</v>
      </c>
      <c r="Y1385" s="4">
        <v>1988</v>
      </c>
      <c r="Z1385" s="4">
        <v>120.3</v>
      </c>
      <c r="AA1385" s="4">
        <v>150</v>
      </c>
      <c r="AB1385" s="18">
        <v>372</v>
      </c>
      <c r="AC1385" s="18">
        <v>27</v>
      </c>
      <c r="AD1385" s="28"/>
      <c r="AE1385" s="26"/>
      <c r="AF1385" s="28"/>
    </row>
    <row r="1386" spans="1:32" ht="13.5" customHeight="1" x14ac:dyDescent="0.25">
      <c r="A1386" s="14">
        <v>45840</v>
      </c>
      <c r="B1386" s="14" t="s">
        <v>47</v>
      </c>
      <c r="C1386" s="15">
        <v>1</v>
      </c>
      <c r="D1386" s="16">
        <v>30</v>
      </c>
      <c r="E1386" s="16"/>
      <c r="F1386" s="17"/>
      <c r="G1386" s="21"/>
      <c r="H1386" s="21"/>
      <c r="I1386" s="4">
        <v>30</v>
      </c>
      <c r="J1386" s="4">
        <v>0.5</v>
      </c>
      <c r="K1386" s="4"/>
      <c r="L1386" s="16"/>
      <c r="M1386" s="4"/>
      <c r="N1386" s="4"/>
      <c r="O1386" s="4">
        <v>10</v>
      </c>
      <c r="P1386" s="4"/>
      <c r="Q1386" s="4"/>
      <c r="R1386" s="4"/>
      <c r="S1386" s="4">
        <v>10</v>
      </c>
      <c r="T1386" s="4">
        <v>0.16666666666666666</v>
      </c>
      <c r="U1386" s="4">
        <v>0.66666666666666663</v>
      </c>
      <c r="V1386" s="4">
        <v>11.333333333333334</v>
      </c>
      <c r="W1386" s="4">
        <v>12</v>
      </c>
      <c r="X1386" s="4">
        <v>10</v>
      </c>
      <c r="Y1386" s="4"/>
      <c r="Z1386" s="4">
        <v>153</v>
      </c>
      <c r="AA1386" s="4">
        <v>150</v>
      </c>
      <c r="AB1386" s="18"/>
      <c r="AC1386" s="18">
        <v>27</v>
      </c>
      <c r="AD1386" s="28"/>
      <c r="AE1386" s="26"/>
      <c r="AF1386" s="28"/>
    </row>
    <row r="1387" spans="1:32" ht="13.5" customHeight="1" x14ac:dyDescent="0.25">
      <c r="A1387" s="14">
        <v>45840</v>
      </c>
      <c r="B1387" s="14" t="s">
        <v>46</v>
      </c>
      <c r="C1387" s="15">
        <v>3</v>
      </c>
      <c r="D1387" s="16">
        <v>3</v>
      </c>
      <c r="E1387" s="16"/>
      <c r="F1387" s="17"/>
      <c r="G1387" s="21"/>
      <c r="H1387" s="21"/>
      <c r="I1387" s="4">
        <v>3</v>
      </c>
      <c r="J1387" s="4">
        <v>0.05</v>
      </c>
      <c r="K1387" s="4"/>
      <c r="L1387" s="16"/>
      <c r="M1387" s="4"/>
      <c r="N1387" s="4"/>
      <c r="O1387" s="4"/>
      <c r="P1387" s="4"/>
      <c r="Q1387" s="4"/>
      <c r="R1387" s="4"/>
      <c r="S1387" s="4">
        <v>0</v>
      </c>
      <c r="T1387" s="4">
        <v>0</v>
      </c>
      <c r="U1387" s="4">
        <v>0.05</v>
      </c>
      <c r="V1387" s="4">
        <v>11.95</v>
      </c>
      <c r="W1387" s="4">
        <v>12</v>
      </c>
      <c r="X1387" s="4">
        <v>7</v>
      </c>
      <c r="Y1387" s="4"/>
      <c r="Z1387" s="4">
        <v>165.6</v>
      </c>
      <c r="AA1387" s="4">
        <v>150</v>
      </c>
      <c r="AB1387" s="18"/>
      <c r="AC1387" s="18">
        <v>27</v>
      </c>
      <c r="AD1387" s="28"/>
      <c r="AE1387" s="26"/>
      <c r="AF1387" s="28"/>
    </row>
    <row r="1388" spans="1:32" ht="13.5" customHeight="1" x14ac:dyDescent="0.25">
      <c r="A1388" s="14">
        <v>45840</v>
      </c>
      <c r="B1388" s="14" t="s">
        <v>47</v>
      </c>
      <c r="C1388" s="15">
        <v>3</v>
      </c>
      <c r="D1388" s="16">
        <v>6</v>
      </c>
      <c r="E1388" s="16"/>
      <c r="F1388" s="17"/>
      <c r="G1388" s="21"/>
      <c r="H1388" s="21"/>
      <c r="I1388" s="4">
        <v>6</v>
      </c>
      <c r="J1388" s="4">
        <v>0.1</v>
      </c>
      <c r="K1388" s="4"/>
      <c r="L1388" s="16"/>
      <c r="M1388" s="4"/>
      <c r="N1388" s="4"/>
      <c r="O1388" s="4"/>
      <c r="P1388" s="4"/>
      <c r="Q1388" s="4"/>
      <c r="R1388" s="4"/>
      <c r="S1388" s="4">
        <v>0</v>
      </c>
      <c r="T1388" s="4">
        <v>0</v>
      </c>
      <c r="U1388" s="4">
        <v>0.1</v>
      </c>
      <c r="V1388" s="4">
        <v>11.9</v>
      </c>
      <c r="W1388" s="4">
        <v>12</v>
      </c>
      <c r="X1388" s="4">
        <v>25</v>
      </c>
      <c r="Y1388" s="4"/>
      <c r="Z1388" s="4">
        <v>283</v>
      </c>
      <c r="AA1388" s="4">
        <v>300</v>
      </c>
      <c r="AB1388" s="18"/>
      <c r="AC1388" s="18">
        <v>27</v>
      </c>
      <c r="AD1388" s="28"/>
      <c r="AE1388" s="26"/>
      <c r="AF1388" s="28"/>
    </row>
    <row r="1389" spans="1:32" ht="13.5" customHeight="1" x14ac:dyDescent="0.25">
      <c r="A1389" s="14">
        <v>45840</v>
      </c>
      <c r="B1389" s="14" t="s">
        <v>46</v>
      </c>
      <c r="C1389" s="15">
        <v>4</v>
      </c>
      <c r="D1389" s="16"/>
      <c r="E1389" s="16"/>
      <c r="F1389" s="17"/>
      <c r="G1389" s="21"/>
      <c r="H1389" s="21"/>
      <c r="I1389" s="4">
        <v>0</v>
      </c>
      <c r="J1389" s="4">
        <v>0</v>
      </c>
      <c r="K1389" s="4"/>
      <c r="L1389" s="16"/>
      <c r="M1389" s="4"/>
      <c r="N1389" s="4"/>
      <c r="O1389" s="4"/>
      <c r="P1389" s="4"/>
      <c r="Q1389" s="4"/>
      <c r="R1389" s="4"/>
      <c r="S1389" s="4">
        <v>0</v>
      </c>
      <c r="T1389" s="4">
        <v>0</v>
      </c>
      <c r="U1389" s="4">
        <v>0</v>
      </c>
      <c r="V1389" s="4">
        <v>12</v>
      </c>
      <c r="W1389" s="4">
        <v>12</v>
      </c>
      <c r="X1389" s="4">
        <v>0</v>
      </c>
      <c r="Y1389" s="4"/>
      <c r="Z1389" s="4">
        <v>556.20000000000005</v>
      </c>
      <c r="AA1389" s="4">
        <v>550</v>
      </c>
      <c r="AB1389" s="18"/>
      <c r="AC1389" s="18">
        <v>27</v>
      </c>
      <c r="AD1389" s="28"/>
      <c r="AE1389" s="26"/>
      <c r="AF1389" s="28"/>
    </row>
    <row r="1390" spans="1:32" ht="13.5" customHeight="1" x14ac:dyDescent="0.25">
      <c r="A1390" s="14">
        <v>45840</v>
      </c>
      <c r="B1390" s="14" t="s">
        <v>47</v>
      </c>
      <c r="C1390" s="15">
        <v>4</v>
      </c>
      <c r="D1390" s="16"/>
      <c r="E1390" s="16"/>
      <c r="F1390" s="17"/>
      <c r="G1390" s="21"/>
      <c r="H1390" s="21"/>
      <c r="I1390" s="4">
        <v>0</v>
      </c>
      <c r="J1390" s="4">
        <v>0</v>
      </c>
      <c r="K1390" s="4"/>
      <c r="L1390" s="16"/>
      <c r="M1390" s="4"/>
      <c r="N1390" s="4"/>
      <c r="O1390" s="4"/>
      <c r="P1390" s="4"/>
      <c r="Q1390" s="4"/>
      <c r="R1390" s="4"/>
      <c r="S1390" s="4">
        <v>0</v>
      </c>
      <c r="T1390" s="4">
        <v>0</v>
      </c>
      <c r="U1390" s="4">
        <v>0</v>
      </c>
      <c r="V1390" s="4">
        <v>12</v>
      </c>
      <c r="W1390" s="4">
        <v>12</v>
      </c>
      <c r="X1390" s="4">
        <v>0</v>
      </c>
      <c r="Y1390" s="4"/>
      <c r="Z1390" s="4">
        <v>515.90000000000009</v>
      </c>
      <c r="AA1390" s="4">
        <v>500</v>
      </c>
      <c r="AB1390" s="18"/>
      <c r="AC1390" s="18">
        <v>27</v>
      </c>
      <c r="AD1390" s="28"/>
      <c r="AE1390" s="26"/>
      <c r="AF1390" s="28"/>
    </row>
    <row r="1391" spans="1:32" ht="13.5" customHeight="1" x14ac:dyDescent="0.25">
      <c r="A1391" s="14">
        <v>45840</v>
      </c>
      <c r="B1391" s="14" t="s">
        <v>46</v>
      </c>
      <c r="C1391" s="15">
        <v>6</v>
      </c>
      <c r="D1391" s="16">
        <v>5</v>
      </c>
      <c r="E1391" s="16"/>
      <c r="F1391" s="17"/>
      <c r="G1391" s="21"/>
      <c r="H1391" s="21"/>
      <c r="I1391" s="4">
        <v>5</v>
      </c>
      <c r="J1391" s="4">
        <v>8.3333333333333329E-2</v>
      </c>
      <c r="K1391" s="4"/>
      <c r="L1391" s="16">
        <v>60</v>
      </c>
      <c r="M1391" s="4"/>
      <c r="N1391" s="4"/>
      <c r="O1391" s="4"/>
      <c r="P1391" s="4"/>
      <c r="Q1391" s="4"/>
      <c r="R1391" s="4"/>
      <c r="S1391" s="4">
        <v>60</v>
      </c>
      <c r="T1391" s="4">
        <v>1</v>
      </c>
      <c r="U1391" s="4">
        <v>1.0833333333333333</v>
      </c>
      <c r="V1391" s="4">
        <v>10.916666666666666</v>
      </c>
      <c r="W1391" s="4">
        <v>12</v>
      </c>
      <c r="X1391" s="4">
        <v>25</v>
      </c>
      <c r="Y1391" s="4"/>
      <c r="Z1391" s="4">
        <v>341</v>
      </c>
      <c r="AA1391" s="4">
        <v>350</v>
      </c>
      <c r="AB1391" s="18"/>
      <c r="AC1391" s="18">
        <v>27</v>
      </c>
      <c r="AD1391" s="28"/>
      <c r="AE1391" s="26"/>
      <c r="AF1391" s="28"/>
    </row>
    <row r="1392" spans="1:32" ht="13.5" customHeight="1" x14ac:dyDescent="0.25">
      <c r="A1392" s="14">
        <v>45840</v>
      </c>
      <c r="B1392" s="14" t="s">
        <v>47</v>
      </c>
      <c r="C1392" s="15">
        <v>6</v>
      </c>
      <c r="D1392" s="16">
        <v>30</v>
      </c>
      <c r="E1392" s="16"/>
      <c r="F1392" s="17"/>
      <c r="G1392" s="21"/>
      <c r="H1392" s="21"/>
      <c r="I1392" s="4">
        <v>30</v>
      </c>
      <c r="J1392" s="4">
        <v>0.5</v>
      </c>
      <c r="K1392" s="4"/>
      <c r="L1392" s="16"/>
      <c r="M1392" s="4"/>
      <c r="N1392" s="4"/>
      <c r="O1392" s="4"/>
      <c r="P1392" s="4"/>
      <c r="Q1392" s="4"/>
      <c r="R1392" s="4"/>
      <c r="S1392" s="4">
        <v>0</v>
      </c>
      <c r="T1392" s="4">
        <v>0</v>
      </c>
      <c r="U1392" s="4">
        <v>0.5</v>
      </c>
      <c r="V1392" s="4">
        <v>11.5</v>
      </c>
      <c r="W1392" s="4">
        <v>12</v>
      </c>
      <c r="X1392" s="4">
        <v>40</v>
      </c>
      <c r="Y1392" s="4"/>
      <c r="Z1392" s="4">
        <v>394.6</v>
      </c>
      <c r="AA1392" s="4">
        <v>400</v>
      </c>
      <c r="AB1392" s="18"/>
      <c r="AC1392" s="18">
        <v>27</v>
      </c>
      <c r="AD1392" s="28"/>
      <c r="AE1392" s="26"/>
      <c r="AF1392" s="28"/>
    </row>
    <row r="1393" spans="1:32" ht="13.5" customHeight="1" x14ac:dyDescent="0.25">
      <c r="A1393" s="14">
        <v>45840</v>
      </c>
      <c r="B1393" s="14" t="s">
        <v>46</v>
      </c>
      <c r="C1393" s="15">
        <v>7</v>
      </c>
      <c r="D1393" s="16">
        <v>3</v>
      </c>
      <c r="E1393" s="16"/>
      <c r="F1393" s="17"/>
      <c r="G1393" s="21"/>
      <c r="H1393" s="21"/>
      <c r="I1393" s="4">
        <v>3</v>
      </c>
      <c r="J1393" s="4">
        <v>0.05</v>
      </c>
      <c r="K1393" s="4"/>
      <c r="L1393" s="16"/>
      <c r="M1393" s="4"/>
      <c r="N1393" s="4"/>
      <c r="O1393" s="4"/>
      <c r="P1393" s="4">
        <v>180</v>
      </c>
      <c r="Q1393" s="4"/>
      <c r="R1393" s="4"/>
      <c r="S1393" s="4">
        <v>180</v>
      </c>
      <c r="T1393" s="4">
        <v>3</v>
      </c>
      <c r="U1393" s="4">
        <v>3.05</v>
      </c>
      <c r="V1393" s="4">
        <v>8.9499999999999993</v>
      </c>
      <c r="W1393" s="4">
        <v>12</v>
      </c>
      <c r="X1393" s="4">
        <v>18</v>
      </c>
      <c r="Y1393" s="4"/>
      <c r="Z1393" s="4">
        <v>228.1</v>
      </c>
      <c r="AA1393" s="4">
        <v>250</v>
      </c>
      <c r="AB1393" s="18"/>
      <c r="AC1393" s="18">
        <v>27</v>
      </c>
      <c r="AD1393" s="28"/>
      <c r="AE1393" s="26"/>
      <c r="AF1393" s="28"/>
    </row>
    <row r="1394" spans="1:32" ht="13.5" customHeight="1" x14ac:dyDescent="0.25">
      <c r="A1394" s="14">
        <v>45840</v>
      </c>
      <c r="B1394" s="14" t="s">
        <v>47</v>
      </c>
      <c r="C1394" s="15">
        <v>7</v>
      </c>
      <c r="D1394" s="16"/>
      <c r="E1394" s="16"/>
      <c r="F1394" s="17"/>
      <c r="G1394" s="21"/>
      <c r="H1394" s="21"/>
      <c r="I1394" s="4">
        <v>0</v>
      </c>
      <c r="J1394" s="4">
        <v>0</v>
      </c>
      <c r="K1394" s="4"/>
      <c r="L1394" s="16"/>
      <c r="M1394" s="4"/>
      <c r="N1394" s="4"/>
      <c r="O1394" s="4"/>
      <c r="P1394" s="4"/>
      <c r="Q1394" s="4"/>
      <c r="R1394" s="4"/>
      <c r="S1394" s="4">
        <v>0</v>
      </c>
      <c r="T1394" s="4">
        <v>0</v>
      </c>
      <c r="U1394" s="4">
        <v>0</v>
      </c>
      <c r="V1394" s="4">
        <v>12</v>
      </c>
      <c r="W1394" s="4">
        <v>12</v>
      </c>
      <c r="X1394" s="4">
        <v>23</v>
      </c>
      <c r="Y1394" s="4"/>
      <c r="Z1394" s="4">
        <v>318.2</v>
      </c>
      <c r="AA1394" s="4">
        <v>300</v>
      </c>
      <c r="AB1394" s="18"/>
      <c r="AC1394" s="18">
        <v>27</v>
      </c>
      <c r="AD1394" s="28"/>
      <c r="AE1394" s="26"/>
      <c r="AF1394" s="28"/>
    </row>
    <row r="1395" spans="1:32" ht="13.5" customHeight="1" x14ac:dyDescent="0.25">
      <c r="A1395" s="14">
        <v>45841</v>
      </c>
      <c r="B1395" s="14" t="s">
        <v>46</v>
      </c>
      <c r="C1395" s="15">
        <v>1</v>
      </c>
      <c r="D1395" s="16"/>
      <c r="E1395" s="16"/>
      <c r="F1395" s="17"/>
      <c r="G1395" s="21"/>
      <c r="H1395" s="21"/>
      <c r="I1395" s="4">
        <v>0</v>
      </c>
      <c r="J1395" s="4">
        <v>0</v>
      </c>
      <c r="K1395" s="4"/>
      <c r="L1395" s="16"/>
      <c r="M1395" s="4"/>
      <c r="N1395" s="4"/>
      <c r="O1395" s="4"/>
      <c r="P1395" s="4"/>
      <c r="Q1395" s="4"/>
      <c r="R1395" s="4"/>
      <c r="S1395" s="4">
        <v>0</v>
      </c>
      <c r="T1395" s="4">
        <v>0</v>
      </c>
      <c r="U1395" s="4">
        <v>0</v>
      </c>
      <c r="V1395" s="4">
        <v>12</v>
      </c>
      <c r="W1395" s="4">
        <v>12</v>
      </c>
      <c r="X1395" s="4">
        <v>3.2</v>
      </c>
      <c r="Y1395" s="4">
        <v>2206.5</v>
      </c>
      <c r="Z1395" s="4">
        <v>157.19999999999999</v>
      </c>
      <c r="AA1395" s="4">
        <v>150</v>
      </c>
      <c r="AB1395" s="18">
        <v>372</v>
      </c>
      <c r="AC1395" s="18">
        <v>27</v>
      </c>
      <c r="AD1395" s="28"/>
      <c r="AE1395" s="26"/>
      <c r="AF1395" s="28"/>
    </row>
    <row r="1396" spans="1:32" ht="13.5" customHeight="1" x14ac:dyDescent="0.25">
      <c r="A1396" s="14">
        <v>45841</v>
      </c>
      <c r="B1396" s="14" t="s">
        <v>47</v>
      </c>
      <c r="C1396" s="15">
        <v>1</v>
      </c>
      <c r="D1396" s="16"/>
      <c r="E1396" s="16"/>
      <c r="F1396" s="17"/>
      <c r="G1396" s="21"/>
      <c r="H1396" s="21"/>
      <c r="I1396" s="4">
        <v>0</v>
      </c>
      <c r="J1396" s="4">
        <v>0</v>
      </c>
      <c r="K1396" s="4"/>
      <c r="L1396" s="16"/>
      <c r="M1396" s="4"/>
      <c r="N1396" s="4"/>
      <c r="O1396" s="4"/>
      <c r="P1396" s="4"/>
      <c r="Q1396" s="4"/>
      <c r="R1396" s="4"/>
      <c r="S1396" s="4">
        <v>0</v>
      </c>
      <c r="T1396" s="4">
        <v>0</v>
      </c>
      <c r="U1396" s="4">
        <v>0</v>
      </c>
      <c r="V1396" s="4">
        <v>12</v>
      </c>
      <c r="W1396" s="4">
        <v>12</v>
      </c>
      <c r="X1396" s="4">
        <v>2</v>
      </c>
      <c r="Y1396" s="4"/>
      <c r="Z1396" s="4">
        <v>103.10000000000001</v>
      </c>
      <c r="AA1396" s="4">
        <v>100</v>
      </c>
      <c r="AB1396" s="18"/>
      <c r="AC1396" s="18">
        <v>27</v>
      </c>
      <c r="AD1396" s="28"/>
      <c r="AE1396" s="26"/>
      <c r="AF1396" s="28"/>
    </row>
    <row r="1397" spans="1:32" ht="13.5" customHeight="1" x14ac:dyDescent="0.25">
      <c r="A1397" s="14">
        <v>45841</v>
      </c>
      <c r="B1397" s="14" t="s">
        <v>46</v>
      </c>
      <c r="C1397" s="15">
        <v>3</v>
      </c>
      <c r="D1397" s="16"/>
      <c r="E1397" s="16"/>
      <c r="F1397" s="17"/>
      <c r="G1397" s="21"/>
      <c r="H1397" s="21"/>
      <c r="I1397" s="4">
        <v>0</v>
      </c>
      <c r="J1397" s="4">
        <v>0</v>
      </c>
      <c r="K1397" s="4"/>
      <c r="L1397" s="16"/>
      <c r="M1397" s="4"/>
      <c r="N1397" s="4"/>
      <c r="O1397" s="4"/>
      <c r="P1397" s="4"/>
      <c r="Q1397" s="4"/>
      <c r="R1397" s="4"/>
      <c r="S1397" s="4">
        <v>0</v>
      </c>
      <c r="T1397" s="4">
        <v>0</v>
      </c>
      <c r="U1397" s="4">
        <v>0</v>
      </c>
      <c r="V1397" s="4">
        <v>12</v>
      </c>
      <c r="W1397" s="4">
        <v>12</v>
      </c>
      <c r="X1397" s="4">
        <v>16</v>
      </c>
      <c r="Y1397" s="4"/>
      <c r="Z1397" s="4">
        <v>408</v>
      </c>
      <c r="AA1397" s="4">
        <v>400</v>
      </c>
      <c r="AB1397" s="18"/>
      <c r="AC1397" s="18">
        <v>27</v>
      </c>
      <c r="AD1397" s="28"/>
      <c r="AE1397" s="26"/>
      <c r="AF1397" s="28"/>
    </row>
    <row r="1398" spans="1:32" ht="13.5" customHeight="1" x14ac:dyDescent="0.25">
      <c r="A1398" s="14">
        <v>45841</v>
      </c>
      <c r="B1398" s="14" t="s">
        <v>47</v>
      </c>
      <c r="C1398" s="15">
        <v>3</v>
      </c>
      <c r="D1398" s="16"/>
      <c r="E1398" s="16"/>
      <c r="F1398" s="17"/>
      <c r="G1398" s="21"/>
      <c r="H1398" s="21"/>
      <c r="I1398" s="4">
        <v>0</v>
      </c>
      <c r="J1398" s="4">
        <v>0</v>
      </c>
      <c r="K1398" s="4"/>
      <c r="L1398" s="16"/>
      <c r="M1398" s="4"/>
      <c r="N1398" s="4"/>
      <c r="O1398" s="4"/>
      <c r="P1398" s="4"/>
      <c r="Q1398" s="4"/>
      <c r="R1398" s="4"/>
      <c r="S1398" s="4">
        <v>0</v>
      </c>
      <c r="T1398" s="4">
        <v>0</v>
      </c>
      <c r="U1398" s="4">
        <v>0</v>
      </c>
      <c r="V1398" s="4">
        <v>12</v>
      </c>
      <c r="W1398" s="4">
        <v>12</v>
      </c>
      <c r="X1398" s="4">
        <v>77</v>
      </c>
      <c r="Y1398" s="4"/>
      <c r="Z1398" s="4">
        <v>239.6</v>
      </c>
      <c r="AA1398" s="4">
        <v>250</v>
      </c>
      <c r="AB1398" s="18"/>
      <c r="AC1398" s="18">
        <v>27</v>
      </c>
      <c r="AD1398" s="28"/>
      <c r="AE1398" s="26"/>
      <c r="AF1398" s="28"/>
    </row>
    <row r="1399" spans="1:32" ht="13.5" customHeight="1" x14ac:dyDescent="0.25">
      <c r="A1399" s="14">
        <v>45841</v>
      </c>
      <c r="B1399" s="14" t="s">
        <v>46</v>
      </c>
      <c r="C1399" s="15">
        <v>4</v>
      </c>
      <c r="D1399" s="16"/>
      <c r="E1399" s="16"/>
      <c r="F1399" s="17"/>
      <c r="G1399" s="21"/>
      <c r="H1399" s="21"/>
      <c r="I1399" s="4">
        <v>0</v>
      </c>
      <c r="J1399" s="4">
        <v>0</v>
      </c>
      <c r="K1399" s="4"/>
      <c r="L1399" s="16"/>
      <c r="M1399" s="4"/>
      <c r="N1399" s="4"/>
      <c r="O1399" s="4"/>
      <c r="P1399" s="4"/>
      <c r="Q1399" s="4"/>
      <c r="R1399" s="4"/>
      <c r="S1399" s="4">
        <v>0</v>
      </c>
      <c r="T1399" s="4">
        <v>0</v>
      </c>
      <c r="U1399" s="4">
        <v>0</v>
      </c>
      <c r="V1399" s="4">
        <v>12</v>
      </c>
      <c r="W1399" s="4">
        <v>12</v>
      </c>
      <c r="X1399" s="4">
        <v>8.4</v>
      </c>
      <c r="Y1399" s="4"/>
      <c r="Z1399" s="4">
        <v>572.79999999999995</v>
      </c>
      <c r="AA1399" s="4">
        <v>600</v>
      </c>
      <c r="AB1399" s="18"/>
      <c r="AC1399" s="18">
        <v>27</v>
      </c>
      <c r="AD1399" s="28"/>
      <c r="AE1399" s="26"/>
      <c r="AF1399" s="28"/>
    </row>
    <row r="1400" spans="1:32" ht="13.5" customHeight="1" x14ac:dyDescent="0.25">
      <c r="A1400" s="14">
        <v>45841</v>
      </c>
      <c r="B1400" s="14" t="s">
        <v>47</v>
      </c>
      <c r="C1400" s="15">
        <v>4</v>
      </c>
      <c r="D1400" s="16"/>
      <c r="E1400" s="16"/>
      <c r="F1400" s="17"/>
      <c r="G1400" s="21"/>
      <c r="H1400" s="21"/>
      <c r="I1400" s="4">
        <v>0</v>
      </c>
      <c r="J1400" s="4">
        <v>0</v>
      </c>
      <c r="K1400" s="4"/>
      <c r="L1400" s="16"/>
      <c r="M1400" s="4"/>
      <c r="N1400" s="4"/>
      <c r="O1400" s="4"/>
      <c r="P1400" s="4"/>
      <c r="Q1400" s="4"/>
      <c r="R1400" s="4"/>
      <c r="S1400" s="4">
        <v>0</v>
      </c>
      <c r="T1400" s="4">
        <v>0</v>
      </c>
      <c r="U1400" s="4">
        <v>0</v>
      </c>
      <c r="V1400" s="4">
        <v>12</v>
      </c>
      <c r="W1400" s="4">
        <v>12</v>
      </c>
      <c r="X1400" s="4">
        <v>10</v>
      </c>
      <c r="Y1400" s="4"/>
      <c r="Z1400" s="4">
        <v>389.4</v>
      </c>
      <c r="AA1400" s="4">
        <v>400</v>
      </c>
      <c r="AB1400" s="18"/>
      <c r="AC1400" s="18">
        <v>27</v>
      </c>
      <c r="AD1400" s="28"/>
      <c r="AE1400" s="26"/>
      <c r="AF1400" s="28"/>
    </row>
    <row r="1401" spans="1:32" ht="13.5" customHeight="1" x14ac:dyDescent="0.25">
      <c r="A1401" s="14">
        <v>45841</v>
      </c>
      <c r="B1401" s="14" t="s">
        <v>46</v>
      </c>
      <c r="C1401" s="15">
        <v>6</v>
      </c>
      <c r="D1401" s="16"/>
      <c r="E1401" s="16"/>
      <c r="F1401" s="17"/>
      <c r="G1401" s="21"/>
      <c r="H1401" s="21"/>
      <c r="I1401" s="4">
        <v>0</v>
      </c>
      <c r="J1401" s="4">
        <v>0</v>
      </c>
      <c r="K1401" s="4"/>
      <c r="L1401" s="16"/>
      <c r="M1401" s="4"/>
      <c r="N1401" s="4">
        <v>10</v>
      </c>
      <c r="O1401" s="4"/>
      <c r="P1401" s="4"/>
      <c r="Q1401" s="4"/>
      <c r="R1401" s="4"/>
      <c r="S1401" s="4">
        <v>10</v>
      </c>
      <c r="T1401" s="4">
        <v>0.16666666666666666</v>
      </c>
      <c r="U1401" s="4">
        <v>0.16666666666666666</v>
      </c>
      <c r="V1401" s="4">
        <v>11.833333333333334</v>
      </c>
      <c r="W1401" s="4">
        <v>12</v>
      </c>
      <c r="X1401" s="4">
        <v>39</v>
      </c>
      <c r="Y1401" s="4"/>
      <c r="Z1401" s="4">
        <v>528.1</v>
      </c>
      <c r="AA1401" s="4">
        <v>500</v>
      </c>
      <c r="AB1401" s="18"/>
      <c r="AC1401" s="18">
        <v>27</v>
      </c>
      <c r="AD1401" s="28"/>
      <c r="AE1401" s="26"/>
      <c r="AF1401" s="28"/>
    </row>
    <row r="1402" spans="1:32" ht="13.5" customHeight="1" x14ac:dyDescent="0.25">
      <c r="A1402" s="14">
        <v>45841</v>
      </c>
      <c r="B1402" s="14" t="s">
        <v>47</v>
      </c>
      <c r="C1402" s="15">
        <v>6</v>
      </c>
      <c r="D1402" s="16"/>
      <c r="E1402" s="16"/>
      <c r="F1402" s="17"/>
      <c r="G1402" s="21"/>
      <c r="H1402" s="21"/>
      <c r="I1402" s="4">
        <v>0</v>
      </c>
      <c r="J1402" s="4">
        <v>0</v>
      </c>
      <c r="K1402" s="4"/>
      <c r="L1402" s="16"/>
      <c r="M1402" s="4"/>
      <c r="N1402" s="4"/>
      <c r="O1402" s="4"/>
      <c r="P1402" s="4"/>
      <c r="Q1402" s="4"/>
      <c r="R1402" s="4"/>
      <c r="S1402" s="4">
        <v>0</v>
      </c>
      <c r="T1402" s="4">
        <v>0</v>
      </c>
      <c r="U1402" s="4">
        <v>0</v>
      </c>
      <c r="V1402" s="4">
        <v>12</v>
      </c>
      <c r="W1402" s="4">
        <v>12</v>
      </c>
      <c r="X1402" s="4">
        <v>0</v>
      </c>
      <c r="Y1402" s="4"/>
      <c r="Z1402" s="4">
        <v>600.4</v>
      </c>
      <c r="AA1402" s="4">
        <v>600</v>
      </c>
      <c r="AB1402" s="18"/>
      <c r="AC1402" s="18">
        <v>27</v>
      </c>
      <c r="AD1402" s="28"/>
      <c r="AE1402" s="26"/>
      <c r="AF1402" s="28"/>
    </row>
    <row r="1403" spans="1:32" ht="13.5" customHeight="1" x14ac:dyDescent="0.25">
      <c r="A1403" s="14">
        <v>45841</v>
      </c>
      <c r="B1403" s="14" t="s">
        <v>46</v>
      </c>
      <c r="C1403" s="15">
        <v>7</v>
      </c>
      <c r="D1403" s="16">
        <v>5</v>
      </c>
      <c r="E1403" s="16"/>
      <c r="F1403" s="17"/>
      <c r="G1403" s="21"/>
      <c r="H1403" s="21"/>
      <c r="I1403" s="4">
        <v>5</v>
      </c>
      <c r="J1403" s="4">
        <v>8.3333333333333329E-2</v>
      </c>
      <c r="K1403" s="4"/>
      <c r="L1403" s="16"/>
      <c r="M1403" s="4"/>
      <c r="N1403" s="4"/>
      <c r="O1403" s="4"/>
      <c r="P1403" s="4"/>
      <c r="Q1403" s="4"/>
      <c r="R1403" s="4"/>
      <c r="S1403" s="4">
        <v>0</v>
      </c>
      <c r="T1403" s="4">
        <v>0</v>
      </c>
      <c r="U1403" s="4">
        <v>8.3333333333333329E-2</v>
      </c>
      <c r="V1403" s="4">
        <v>11.916666666666666</v>
      </c>
      <c r="W1403" s="4">
        <v>12</v>
      </c>
      <c r="X1403" s="4">
        <v>6.8</v>
      </c>
      <c r="Y1403" s="4"/>
      <c r="Z1403" s="4">
        <v>313.39999999999998</v>
      </c>
      <c r="AA1403" s="4">
        <v>300</v>
      </c>
      <c r="AB1403" s="18"/>
      <c r="AC1403" s="18">
        <v>27</v>
      </c>
      <c r="AD1403" s="28"/>
      <c r="AE1403" s="26"/>
      <c r="AF1403" s="28"/>
    </row>
    <row r="1404" spans="1:32" ht="13.5" customHeight="1" x14ac:dyDescent="0.25">
      <c r="A1404" s="14">
        <v>45841</v>
      </c>
      <c r="B1404" s="14" t="s">
        <v>47</v>
      </c>
      <c r="C1404" s="15">
        <v>7</v>
      </c>
      <c r="D1404" s="16">
        <v>3</v>
      </c>
      <c r="E1404" s="16"/>
      <c r="F1404" s="17"/>
      <c r="G1404" s="21"/>
      <c r="H1404" s="21"/>
      <c r="I1404" s="4">
        <v>3</v>
      </c>
      <c r="J1404" s="4">
        <v>0.05</v>
      </c>
      <c r="K1404" s="4"/>
      <c r="L1404" s="16"/>
      <c r="M1404" s="4"/>
      <c r="N1404" s="4"/>
      <c r="O1404" s="4"/>
      <c r="P1404" s="4"/>
      <c r="Q1404" s="4"/>
      <c r="R1404" s="4"/>
      <c r="S1404" s="4">
        <v>0</v>
      </c>
      <c r="T1404" s="4">
        <v>0</v>
      </c>
      <c r="U1404" s="4">
        <v>0.05</v>
      </c>
      <c r="V1404" s="4">
        <v>11.95</v>
      </c>
      <c r="W1404" s="4">
        <v>12</v>
      </c>
      <c r="X1404" s="4">
        <v>5</v>
      </c>
      <c r="Y1404" s="4"/>
      <c r="Z1404" s="4">
        <v>263.90999999999997</v>
      </c>
      <c r="AA1404" s="4">
        <v>300</v>
      </c>
      <c r="AB1404" s="18"/>
      <c r="AC1404" s="18">
        <v>27</v>
      </c>
      <c r="AD1404" s="28"/>
      <c r="AE1404" s="26"/>
      <c r="AF1404" s="28"/>
    </row>
    <row r="1405" spans="1:32" ht="13.5" customHeight="1" x14ac:dyDescent="0.25">
      <c r="A1405" s="14">
        <v>45842</v>
      </c>
      <c r="B1405" s="14" t="s">
        <v>46</v>
      </c>
      <c r="C1405" s="15">
        <v>1</v>
      </c>
      <c r="D1405" s="16"/>
      <c r="E1405" s="16"/>
      <c r="F1405" s="17"/>
      <c r="G1405" s="21"/>
      <c r="H1405" s="21"/>
      <c r="I1405" s="4">
        <v>0</v>
      </c>
      <c r="J1405" s="4">
        <v>0</v>
      </c>
      <c r="K1405" s="4"/>
      <c r="L1405" s="16"/>
      <c r="M1405" s="4"/>
      <c r="N1405" s="4"/>
      <c r="O1405" s="4"/>
      <c r="P1405" s="4"/>
      <c r="Q1405" s="4"/>
      <c r="R1405" s="4"/>
      <c r="S1405" s="4">
        <v>0</v>
      </c>
      <c r="T1405" s="4">
        <v>0</v>
      </c>
      <c r="U1405" s="4">
        <v>0</v>
      </c>
      <c r="V1405" s="4">
        <v>12</v>
      </c>
      <c r="W1405" s="4">
        <v>12</v>
      </c>
      <c r="X1405" s="4">
        <v>14</v>
      </c>
      <c r="Y1405" s="4">
        <v>1586</v>
      </c>
      <c r="Z1405" s="4">
        <v>29.5</v>
      </c>
      <c r="AA1405" s="4">
        <v>50</v>
      </c>
      <c r="AB1405" s="18">
        <v>372</v>
      </c>
      <c r="AC1405" s="18">
        <v>27</v>
      </c>
      <c r="AD1405" s="28"/>
      <c r="AE1405" s="26"/>
      <c r="AF1405" s="28"/>
    </row>
    <row r="1406" spans="1:32" ht="13.5" customHeight="1" x14ac:dyDescent="0.25">
      <c r="A1406" s="14">
        <v>45842</v>
      </c>
      <c r="B1406" s="14" t="s">
        <v>47</v>
      </c>
      <c r="C1406" s="15">
        <v>1</v>
      </c>
      <c r="D1406" s="16"/>
      <c r="E1406" s="16"/>
      <c r="F1406" s="17"/>
      <c r="G1406" s="21"/>
      <c r="H1406" s="21"/>
      <c r="I1406" s="4">
        <v>0</v>
      </c>
      <c r="J1406" s="4">
        <v>0</v>
      </c>
      <c r="K1406" s="4"/>
      <c r="L1406" s="16"/>
      <c r="M1406" s="4"/>
      <c r="N1406" s="4"/>
      <c r="O1406" s="4"/>
      <c r="P1406" s="4"/>
      <c r="Q1406" s="4"/>
      <c r="R1406" s="4"/>
      <c r="S1406" s="4">
        <v>0</v>
      </c>
      <c r="T1406" s="4">
        <v>0</v>
      </c>
      <c r="U1406" s="4">
        <v>0</v>
      </c>
      <c r="V1406" s="4">
        <v>12</v>
      </c>
      <c r="W1406" s="4">
        <v>12</v>
      </c>
      <c r="X1406" s="4">
        <v>0</v>
      </c>
      <c r="Y1406" s="4"/>
      <c r="Z1406" s="4">
        <v>65.7</v>
      </c>
      <c r="AA1406" s="4">
        <v>100</v>
      </c>
      <c r="AB1406" s="18"/>
      <c r="AC1406" s="18">
        <v>27</v>
      </c>
      <c r="AD1406" s="28"/>
      <c r="AE1406" s="26"/>
      <c r="AF1406" s="28"/>
    </row>
    <row r="1407" spans="1:32" ht="13.5" customHeight="1" x14ac:dyDescent="0.25">
      <c r="A1407" s="14">
        <v>45842</v>
      </c>
      <c r="B1407" s="14" t="s">
        <v>46</v>
      </c>
      <c r="C1407" s="15">
        <v>3</v>
      </c>
      <c r="D1407" s="16"/>
      <c r="E1407" s="16"/>
      <c r="F1407" s="17"/>
      <c r="G1407" s="21"/>
      <c r="H1407" s="21"/>
      <c r="I1407" s="4">
        <v>0</v>
      </c>
      <c r="J1407" s="4">
        <v>0</v>
      </c>
      <c r="K1407" s="4"/>
      <c r="L1407" s="16"/>
      <c r="M1407" s="4"/>
      <c r="N1407" s="4"/>
      <c r="O1407" s="4"/>
      <c r="P1407" s="4"/>
      <c r="Q1407" s="4"/>
      <c r="R1407" s="4"/>
      <c r="S1407" s="4">
        <v>0</v>
      </c>
      <c r="T1407" s="4">
        <v>0</v>
      </c>
      <c r="U1407" s="4">
        <v>0</v>
      </c>
      <c r="V1407" s="4">
        <v>12</v>
      </c>
      <c r="W1407" s="4">
        <v>12</v>
      </c>
      <c r="X1407" s="4">
        <v>62</v>
      </c>
      <c r="Y1407" s="4"/>
      <c r="Z1407" s="4">
        <v>259.96000000000004</v>
      </c>
      <c r="AA1407" s="4">
        <v>250</v>
      </c>
      <c r="AB1407" s="18"/>
      <c r="AC1407" s="18">
        <v>27</v>
      </c>
      <c r="AD1407" s="28"/>
      <c r="AE1407" s="26"/>
      <c r="AF1407" s="28"/>
    </row>
    <row r="1408" spans="1:32" ht="13.5" customHeight="1" x14ac:dyDescent="0.25">
      <c r="A1408" s="14">
        <v>45842</v>
      </c>
      <c r="B1408" s="14" t="s">
        <v>47</v>
      </c>
      <c r="C1408" s="15">
        <v>3</v>
      </c>
      <c r="D1408" s="16"/>
      <c r="E1408" s="16"/>
      <c r="F1408" s="17"/>
      <c r="G1408" s="21"/>
      <c r="H1408" s="21"/>
      <c r="I1408" s="4">
        <v>0</v>
      </c>
      <c r="J1408" s="4">
        <v>0</v>
      </c>
      <c r="K1408" s="4"/>
      <c r="L1408" s="16"/>
      <c r="M1408" s="4"/>
      <c r="N1408" s="4"/>
      <c r="O1408" s="4"/>
      <c r="P1408" s="4"/>
      <c r="Q1408" s="4"/>
      <c r="R1408" s="4"/>
      <c r="S1408" s="4">
        <v>0</v>
      </c>
      <c r="T1408" s="4">
        <v>0</v>
      </c>
      <c r="U1408" s="4">
        <v>0</v>
      </c>
      <c r="V1408" s="4">
        <v>12</v>
      </c>
      <c r="W1408" s="4">
        <v>12</v>
      </c>
      <c r="X1408" s="4">
        <v>0</v>
      </c>
      <c r="Y1408" s="4"/>
      <c r="Z1408" s="4">
        <v>132.70000000000002</v>
      </c>
      <c r="AA1408" s="4">
        <v>150</v>
      </c>
      <c r="AB1408" s="18"/>
      <c r="AC1408" s="18">
        <v>27</v>
      </c>
      <c r="AD1408" s="28"/>
      <c r="AE1408" s="26"/>
      <c r="AF1408" s="28"/>
    </row>
    <row r="1409" spans="1:32" ht="13.5" customHeight="1" x14ac:dyDescent="0.25">
      <c r="A1409" s="14">
        <v>45842</v>
      </c>
      <c r="B1409" s="14" t="s">
        <v>46</v>
      </c>
      <c r="C1409" s="15">
        <v>4</v>
      </c>
      <c r="D1409" s="16"/>
      <c r="E1409" s="16"/>
      <c r="F1409" s="17"/>
      <c r="G1409" s="21"/>
      <c r="H1409" s="21"/>
      <c r="I1409" s="4">
        <v>0</v>
      </c>
      <c r="J1409" s="4">
        <v>0</v>
      </c>
      <c r="K1409" s="4"/>
      <c r="L1409" s="16"/>
      <c r="M1409" s="4"/>
      <c r="N1409" s="4"/>
      <c r="O1409" s="4"/>
      <c r="P1409" s="4"/>
      <c r="Q1409" s="4"/>
      <c r="R1409" s="4"/>
      <c r="S1409" s="4">
        <v>0</v>
      </c>
      <c r="T1409" s="4">
        <v>0</v>
      </c>
      <c r="U1409" s="4">
        <v>0</v>
      </c>
      <c r="V1409" s="4">
        <v>12</v>
      </c>
      <c r="W1409" s="4">
        <v>12</v>
      </c>
      <c r="X1409" s="4">
        <v>0</v>
      </c>
      <c r="Y1409" s="4"/>
      <c r="Z1409" s="4">
        <v>355</v>
      </c>
      <c r="AA1409" s="4">
        <v>350</v>
      </c>
      <c r="AB1409" s="18"/>
      <c r="AC1409" s="18">
        <v>27</v>
      </c>
      <c r="AD1409" s="28"/>
      <c r="AE1409" s="26"/>
      <c r="AF1409" s="28"/>
    </row>
    <row r="1410" spans="1:32" ht="13.5" customHeight="1" x14ac:dyDescent="0.25">
      <c r="A1410" s="14">
        <v>45842</v>
      </c>
      <c r="B1410" s="14" t="s">
        <v>47</v>
      </c>
      <c r="C1410" s="15">
        <v>4</v>
      </c>
      <c r="D1410" s="16"/>
      <c r="E1410" s="16"/>
      <c r="F1410" s="17"/>
      <c r="G1410" s="21"/>
      <c r="H1410" s="21"/>
      <c r="I1410" s="4">
        <v>0</v>
      </c>
      <c r="J1410" s="4">
        <v>0</v>
      </c>
      <c r="K1410" s="4"/>
      <c r="L1410" s="16"/>
      <c r="M1410" s="4"/>
      <c r="N1410" s="4"/>
      <c r="O1410" s="4"/>
      <c r="P1410" s="4"/>
      <c r="Q1410" s="4"/>
      <c r="R1410" s="4"/>
      <c r="S1410" s="4">
        <v>0</v>
      </c>
      <c r="T1410" s="4">
        <v>0</v>
      </c>
      <c r="U1410" s="4">
        <v>0</v>
      </c>
      <c r="V1410" s="4">
        <v>12</v>
      </c>
      <c r="W1410" s="4">
        <v>12</v>
      </c>
      <c r="X1410" s="4">
        <v>0</v>
      </c>
      <c r="Y1410" s="4"/>
      <c r="Z1410" s="4">
        <v>336.6</v>
      </c>
      <c r="AA1410" s="4">
        <v>350</v>
      </c>
      <c r="AB1410" s="18"/>
      <c r="AC1410" s="18">
        <v>27</v>
      </c>
      <c r="AD1410" s="28"/>
      <c r="AE1410" s="26"/>
      <c r="AF1410" s="28"/>
    </row>
    <row r="1411" spans="1:32" ht="13.5" customHeight="1" x14ac:dyDescent="0.25">
      <c r="A1411" s="14">
        <v>45842</v>
      </c>
      <c r="B1411" s="14" t="s">
        <v>46</v>
      </c>
      <c r="C1411" s="15">
        <v>6</v>
      </c>
      <c r="D1411" s="16">
        <v>105</v>
      </c>
      <c r="E1411" s="16"/>
      <c r="F1411" s="17"/>
      <c r="G1411" s="21"/>
      <c r="H1411" s="21"/>
      <c r="I1411" s="4">
        <v>105</v>
      </c>
      <c r="J1411" s="4">
        <v>1.75</v>
      </c>
      <c r="K1411" s="4"/>
      <c r="L1411" s="16"/>
      <c r="M1411" s="4"/>
      <c r="N1411" s="4"/>
      <c r="O1411" s="4"/>
      <c r="P1411" s="4"/>
      <c r="Q1411" s="4"/>
      <c r="R1411" s="4"/>
      <c r="S1411" s="4">
        <v>0</v>
      </c>
      <c r="T1411" s="4">
        <v>0</v>
      </c>
      <c r="U1411" s="4">
        <v>1.75</v>
      </c>
      <c r="V1411" s="4">
        <v>10.25</v>
      </c>
      <c r="W1411" s="4">
        <v>12</v>
      </c>
      <c r="X1411" s="4">
        <v>39</v>
      </c>
      <c r="Y1411" s="4"/>
      <c r="Z1411" s="4">
        <v>513</v>
      </c>
      <c r="AA1411" s="4">
        <v>550</v>
      </c>
      <c r="AB1411" s="18"/>
      <c r="AC1411" s="18">
        <v>27</v>
      </c>
      <c r="AD1411" s="28"/>
      <c r="AE1411" s="26"/>
      <c r="AF1411" s="28"/>
    </row>
    <row r="1412" spans="1:32" ht="13.5" customHeight="1" x14ac:dyDescent="0.25">
      <c r="A1412" s="14">
        <v>45842</v>
      </c>
      <c r="B1412" s="14" t="s">
        <v>47</v>
      </c>
      <c r="C1412" s="15">
        <v>6</v>
      </c>
      <c r="D1412" s="16"/>
      <c r="E1412" s="16"/>
      <c r="F1412" s="17"/>
      <c r="G1412" s="21"/>
      <c r="H1412" s="21"/>
      <c r="I1412" s="4">
        <v>0</v>
      </c>
      <c r="J1412" s="4">
        <v>0</v>
      </c>
      <c r="K1412" s="4"/>
      <c r="L1412" s="16"/>
      <c r="M1412" s="4"/>
      <c r="N1412" s="4"/>
      <c r="O1412" s="4"/>
      <c r="P1412" s="4"/>
      <c r="Q1412" s="4"/>
      <c r="R1412" s="4"/>
      <c r="S1412" s="4">
        <v>0</v>
      </c>
      <c r="T1412" s="4">
        <v>0</v>
      </c>
      <c r="U1412" s="4">
        <v>0</v>
      </c>
      <c r="V1412" s="4">
        <v>12</v>
      </c>
      <c r="W1412" s="4">
        <v>12</v>
      </c>
      <c r="X1412" s="4">
        <v>0</v>
      </c>
      <c r="Y1412" s="4"/>
      <c r="Z1412" s="4">
        <v>465.4</v>
      </c>
      <c r="AA1412" s="4">
        <v>450</v>
      </c>
      <c r="AB1412" s="18"/>
      <c r="AC1412" s="18">
        <v>27</v>
      </c>
      <c r="AD1412" s="28"/>
      <c r="AE1412" s="26"/>
      <c r="AF1412" s="28"/>
    </row>
    <row r="1413" spans="1:32" ht="13.5" customHeight="1" x14ac:dyDescent="0.25">
      <c r="A1413" s="14">
        <v>45842</v>
      </c>
      <c r="B1413" s="14" t="s">
        <v>46</v>
      </c>
      <c r="C1413" s="15">
        <v>7</v>
      </c>
      <c r="D1413" s="16"/>
      <c r="E1413" s="16"/>
      <c r="F1413" s="17"/>
      <c r="G1413" s="21"/>
      <c r="H1413" s="21"/>
      <c r="I1413" s="4">
        <v>0</v>
      </c>
      <c r="J1413" s="4">
        <v>0</v>
      </c>
      <c r="K1413" s="4"/>
      <c r="L1413" s="16"/>
      <c r="M1413" s="4"/>
      <c r="N1413" s="4"/>
      <c r="O1413" s="4"/>
      <c r="P1413" s="4"/>
      <c r="Q1413" s="4"/>
      <c r="R1413" s="4"/>
      <c r="S1413" s="4">
        <v>0</v>
      </c>
      <c r="T1413" s="4">
        <v>0</v>
      </c>
      <c r="U1413" s="4">
        <v>0</v>
      </c>
      <c r="V1413" s="4">
        <v>12</v>
      </c>
      <c r="W1413" s="4">
        <v>12</v>
      </c>
      <c r="X1413" s="4">
        <v>0</v>
      </c>
      <c r="Y1413" s="4"/>
      <c r="Z1413" s="4">
        <v>253.3</v>
      </c>
      <c r="AA1413" s="4">
        <v>250</v>
      </c>
      <c r="AB1413" s="18"/>
      <c r="AC1413" s="18">
        <v>27</v>
      </c>
      <c r="AD1413" s="28"/>
      <c r="AE1413" s="26"/>
      <c r="AF1413" s="28"/>
    </row>
    <row r="1414" spans="1:32" ht="13.5" customHeight="1" x14ac:dyDescent="0.25">
      <c r="A1414" s="14">
        <v>45842</v>
      </c>
      <c r="B1414" s="14" t="s">
        <v>47</v>
      </c>
      <c r="C1414" s="15">
        <v>7</v>
      </c>
      <c r="D1414" s="16"/>
      <c r="E1414" s="16"/>
      <c r="F1414" s="17"/>
      <c r="G1414" s="21"/>
      <c r="H1414" s="21"/>
      <c r="I1414" s="4">
        <v>0</v>
      </c>
      <c r="J1414" s="4">
        <v>0</v>
      </c>
      <c r="K1414" s="4"/>
      <c r="L1414" s="16"/>
      <c r="M1414" s="4"/>
      <c r="N1414" s="4"/>
      <c r="O1414" s="4"/>
      <c r="P1414" s="4"/>
      <c r="Q1414" s="4"/>
      <c r="R1414" s="4"/>
      <c r="S1414" s="4">
        <v>0</v>
      </c>
      <c r="T1414" s="4">
        <v>0</v>
      </c>
      <c r="U1414" s="4">
        <v>0</v>
      </c>
      <c r="V1414" s="4">
        <v>12</v>
      </c>
      <c r="W1414" s="4">
        <v>12</v>
      </c>
      <c r="X1414" s="4">
        <v>0</v>
      </c>
      <c r="Y1414" s="4"/>
      <c r="Z1414" s="4">
        <v>202.8</v>
      </c>
      <c r="AA1414" s="4">
        <v>200</v>
      </c>
      <c r="AB1414" s="18"/>
      <c r="AC1414" s="18">
        <v>27</v>
      </c>
      <c r="AD1414" s="28"/>
      <c r="AE1414" s="26"/>
      <c r="AF1414" s="28"/>
    </row>
    <row r="1415" spans="1:32" ht="13.5" customHeight="1" x14ac:dyDescent="0.25">
      <c r="A1415" s="14">
        <v>45845</v>
      </c>
      <c r="B1415" s="14" t="s">
        <v>46</v>
      </c>
      <c r="C1415" s="15">
        <v>3</v>
      </c>
      <c r="D1415" s="16"/>
      <c r="E1415" s="16"/>
      <c r="F1415" s="17"/>
      <c r="G1415" s="21">
        <v>240</v>
      </c>
      <c r="H1415" s="21"/>
      <c r="I1415" s="4">
        <v>240</v>
      </c>
      <c r="J1415" s="4">
        <v>4</v>
      </c>
      <c r="K1415" s="4"/>
      <c r="L1415" s="16"/>
      <c r="M1415" s="4"/>
      <c r="N1415" s="4"/>
      <c r="O1415" s="4"/>
      <c r="P1415" s="4"/>
      <c r="Q1415" s="4"/>
      <c r="R1415" s="4"/>
      <c r="S1415" s="4">
        <v>0</v>
      </c>
      <c r="T1415" s="4">
        <v>0</v>
      </c>
      <c r="U1415" s="4">
        <v>4</v>
      </c>
      <c r="V1415" s="4">
        <v>8</v>
      </c>
      <c r="W1415" s="4">
        <v>12</v>
      </c>
      <c r="X1415" s="4">
        <v>105</v>
      </c>
      <c r="Y1415" s="4">
        <v>1675</v>
      </c>
      <c r="Z1415" s="4">
        <v>65.400000000000006</v>
      </c>
      <c r="AA1415" s="4">
        <v>150</v>
      </c>
      <c r="AB1415" s="18">
        <v>372</v>
      </c>
      <c r="AC1415" s="18">
        <v>28</v>
      </c>
      <c r="AD1415" s="28"/>
      <c r="AE1415" s="26"/>
      <c r="AF1415" s="28"/>
    </row>
    <row r="1416" spans="1:32" ht="13.5" customHeight="1" x14ac:dyDescent="0.25">
      <c r="A1416" s="14">
        <v>45845</v>
      </c>
      <c r="B1416" s="14" t="s">
        <v>47</v>
      </c>
      <c r="C1416" s="15">
        <v>3</v>
      </c>
      <c r="D1416" s="16"/>
      <c r="E1416" s="16"/>
      <c r="F1416" s="17"/>
      <c r="G1416" s="21"/>
      <c r="H1416" s="21"/>
      <c r="I1416" s="4">
        <v>0</v>
      </c>
      <c r="J1416" s="4">
        <v>0</v>
      </c>
      <c r="K1416" s="4"/>
      <c r="L1416" s="16"/>
      <c r="M1416" s="4"/>
      <c r="N1416" s="4"/>
      <c r="O1416" s="4"/>
      <c r="P1416" s="4"/>
      <c r="Q1416" s="4"/>
      <c r="R1416" s="4"/>
      <c r="S1416" s="4">
        <v>0</v>
      </c>
      <c r="T1416" s="4">
        <v>0</v>
      </c>
      <c r="U1416" s="4">
        <v>0</v>
      </c>
      <c r="V1416" s="4">
        <v>12</v>
      </c>
      <c r="W1416" s="4">
        <v>12</v>
      </c>
      <c r="X1416" s="4">
        <v>49</v>
      </c>
      <c r="Y1416" s="4"/>
      <c r="Z1416" s="4">
        <v>153.1</v>
      </c>
      <c r="AA1416" s="4">
        <v>150</v>
      </c>
      <c r="AB1416" s="18"/>
      <c r="AC1416" s="18">
        <v>28</v>
      </c>
      <c r="AD1416" s="28"/>
      <c r="AE1416" s="26"/>
      <c r="AF1416" s="28"/>
    </row>
    <row r="1417" spans="1:32" ht="13.5" customHeight="1" x14ac:dyDescent="0.25">
      <c r="A1417" s="14">
        <v>45845</v>
      </c>
      <c r="B1417" s="14" t="s">
        <v>46</v>
      </c>
      <c r="C1417" s="15">
        <v>4</v>
      </c>
      <c r="D1417" s="16"/>
      <c r="E1417" s="16"/>
      <c r="F1417" s="17"/>
      <c r="G1417" s="21">
        <v>240</v>
      </c>
      <c r="H1417" s="21"/>
      <c r="I1417" s="4">
        <v>240</v>
      </c>
      <c r="J1417" s="4">
        <v>4</v>
      </c>
      <c r="K1417" s="4"/>
      <c r="L1417" s="16"/>
      <c r="M1417" s="4"/>
      <c r="N1417" s="4"/>
      <c r="O1417" s="4"/>
      <c r="P1417" s="4"/>
      <c r="Q1417" s="4"/>
      <c r="R1417" s="4"/>
      <c r="S1417" s="4">
        <v>0</v>
      </c>
      <c r="T1417" s="4">
        <v>0</v>
      </c>
      <c r="U1417" s="4">
        <v>4</v>
      </c>
      <c r="V1417" s="4">
        <v>8</v>
      </c>
      <c r="W1417" s="4">
        <v>12</v>
      </c>
      <c r="X1417" s="4">
        <v>0</v>
      </c>
      <c r="Y1417" s="4"/>
      <c r="Z1417" s="4">
        <v>245.4</v>
      </c>
      <c r="AA1417" s="4">
        <v>300</v>
      </c>
      <c r="AB1417" s="18"/>
      <c r="AC1417" s="18">
        <v>28</v>
      </c>
      <c r="AD1417" s="28"/>
      <c r="AE1417" s="26"/>
      <c r="AF1417" s="28"/>
    </row>
    <row r="1418" spans="1:32" ht="13.5" customHeight="1" x14ac:dyDescent="0.25">
      <c r="A1418" s="14">
        <v>45845</v>
      </c>
      <c r="B1418" s="14" t="s">
        <v>47</v>
      </c>
      <c r="C1418" s="15">
        <v>4</v>
      </c>
      <c r="D1418" s="16"/>
      <c r="E1418" s="16"/>
      <c r="F1418" s="17"/>
      <c r="G1418" s="21"/>
      <c r="H1418" s="21"/>
      <c r="I1418" s="4">
        <v>0</v>
      </c>
      <c r="J1418" s="4">
        <v>0</v>
      </c>
      <c r="K1418" s="4"/>
      <c r="L1418" s="16"/>
      <c r="M1418" s="4"/>
      <c r="N1418" s="4"/>
      <c r="O1418" s="4"/>
      <c r="P1418" s="4"/>
      <c r="Q1418" s="4"/>
      <c r="R1418" s="4"/>
      <c r="S1418" s="4">
        <v>0</v>
      </c>
      <c r="T1418" s="4">
        <v>0</v>
      </c>
      <c r="U1418" s="4">
        <v>0</v>
      </c>
      <c r="V1418" s="4">
        <v>12</v>
      </c>
      <c r="W1418" s="4">
        <v>12</v>
      </c>
      <c r="X1418" s="4">
        <v>0</v>
      </c>
      <c r="Y1418" s="4"/>
      <c r="Z1418" s="4">
        <v>363.20000000000005</v>
      </c>
      <c r="AA1418" s="4">
        <v>400</v>
      </c>
      <c r="AB1418" s="18"/>
      <c r="AC1418" s="18">
        <v>28</v>
      </c>
      <c r="AD1418" s="28"/>
      <c r="AE1418" s="26"/>
      <c r="AF1418" s="28"/>
    </row>
    <row r="1419" spans="1:32" ht="13.5" customHeight="1" x14ac:dyDescent="0.25">
      <c r="A1419" s="14">
        <v>45845</v>
      </c>
      <c r="B1419" s="14" t="s">
        <v>46</v>
      </c>
      <c r="C1419" s="15">
        <v>6</v>
      </c>
      <c r="D1419" s="16">
        <v>20</v>
      </c>
      <c r="E1419" s="16"/>
      <c r="F1419" s="17"/>
      <c r="G1419" s="21">
        <v>240</v>
      </c>
      <c r="H1419" s="21"/>
      <c r="I1419" s="4">
        <v>260</v>
      </c>
      <c r="J1419" s="4">
        <v>4.333333333333333</v>
      </c>
      <c r="K1419" s="4"/>
      <c r="L1419" s="16"/>
      <c r="M1419" s="4"/>
      <c r="N1419" s="4"/>
      <c r="O1419" s="4"/>
      <c r="P1419" s="4"/>
      <c r="Q1419" s="4"/>
      <c r="R1419" s="4"/>
      <c r="S1419" s="4">
        <v>0</v>
      </c>
      <c r="T1419" s="4">
        <v>0</v>
      </c>
      <c r="U1419" s="4">
        <v>4.333333333333333</v>
      </c>
      <c r="V1419" s="4">
        <v>7.666666666666667</v>
      </c>
      <c r="W1419" s="4">
        <v>12</v>
      </c>
      <c r="X1419" s="4">
        <v>0</v>
      </c>
      <c r="Y1419" s="4"/>
      <c r="Z1419" s="4">
        <v>488.2</v>
      </c>
      <c r="AA1419" s="4">
        <v>550</v>
      </c>
      <c r="AB1419" s="18"/>
      <c r="AC1419" s="18">
        <v>28</v>
      </c>
      <c r="AD1419" s="28"/>
      <c r="AE1419" s="26"/>
      <c r="AF1419" s="28"/>
    </row>
    <row r="1420" spans="1:32" ht="13.5" customHeight="1" x14ac:dyDescent="0.25">
      <c r="A1420" s="14">
        <v>45845</v>
      </c>
      <c r="B1420" s="14" t="s">
        <v>47</v>
      </c>
      <c r="C1420" s="15">
        <v>6</v>
      </c>
      <c r="D1420" s="16"/>
      <c r="E1420" s="16"/>
      <c r="F1420" s="17"/>
      <c r="G1420" s="21"/>
      <c r="H1420" s="21"/>
      <c r="I1420" s="4">
        <v>0</v>
      </c>
      <c r="J1420" s="4">
        <v>0</v>
      </c>
      <c r="K1420" s="4"/>
      <c r="L1420" s="16"/>
      <c r="M1420" s="4"/>
      <c r="N1420" s="4"/>
      <c r="O1420" s="4"/>
      <c r="P1420" s="4"/>
      <c r="Q1420" s="4"/>
      <c r="R1420" s="4"/>
      <c r="S1420" s="4">
        <v>0</v>
      </c>
      <c r="T1420" s="4">
        <v>0</v>
      </c>
      <c r="U1420" s="4">
        <v>0</v>
      </c>
      <c r="V1420" s="4">
        <v>12</v>
      </c>
      <c r="W1420" s="4">
        <v>12</v>
      </c>
      <c r="X1420" s="4">
        <v>0</v>
      </c>
      <c r="Y1420" s="4"/>
      <c r="Z1420" s="4">
        <v>622.6</v>
      </c>
      <c r="AA1420" s="4">
        <v>650</v>
      </c>
      <c r="AB1420" s="18"/>
      <c r="AC1420" s="18">
        <v>28</v>
      </c>
      <c r="AD1420" s="28"/>
      <c r="AE1420" s="26"/>
      <c r="AF1420" s="28"/>
    </row>
    <row r="1421" spans="1:32" ht="13.5" customHeight="1" x14ac:dyDescent="0.25">
      <c r="A1421" s="14">
        <v>45845</v>
      </c>
      <c r="B1421" s="14" t="s">
        <v>46</v>
      </c>
      <c r="C1421" s="15">
        <v>7</v>
      </c>
      <c r="D1421" s="16"/>
      <c r="E1421" s="16"/>
      <c r="F1421" s="17"/>
      <c r="G1421" s="21">
        <v>240</v>
      </c>
      <c r="H1421" s="21"/>
      <c r="I1421" s="4">
        <v>240</v>
      </c>
      <c r="J1421" s="4">
        <v>4</v>
      </c>
      <c r="K1421" s="4"/>
      <c r="L1421" s="16"/>
      <c r="M1421" s="4"/>
      <c r="N1421" s="4"/>
      <c r="O1421" s="4"/>
      <c r="P1421" s="4"/>
      <c r="Q1421" s="4"/>
      <c r="R1421" s="4"/>
      <c r="S1421" s="4">
        <v>0</v>
      </c>
      <c r="T1421" s="4">
        <v>0</v>
      </c>
      <c r="U1421" s="4">
        <v>4</v>
      </c>
      <c r="V1421" s="4">
        <v>8</v>
      </c>
      <c r="W1421" s="4">
        <v>12</v>
      </c>
      <c r="X1421" s="4">
        <v>0</v>
      </c>
      <c r="Y1421" s="4"/>
      <c r="Z1421" s="4">
        <v>82.699999999999989</v>
      </c>
      <c r="AA1421" s="4">
        <v>200</v>
      </c>
      <c r="AB1421" s="18"/>
      <c r="AC1421" s="18">
        <v>28</v>
      </c>
      <c r="AD1421" s="28"/>
      <c r="AE1421" s="26"/>
      <c r="AF1421" s="28"/>
    </row>
    <row r="1422" spans="1:32" ht="13.5" customHeight="1" x14ac:dyDescent="0.25">
      <c r="A1422" s="14">
        <v>45845</v>
      </c>
      <c r="B1422" s="14" t="s">
        <v>47</v>
      </c>
      <c r="C1422" s="15">
        <v>7</v>
      </c>
      <c r="D1422" s="16"/>
      <c r="E1422" s="16"/>
      <c r="F1422" s="17"/>
      <c r="G1422" s="21"/>
      <c r="H1422" s="21"/>
      <c r="I1422" s="4">
        <v>0</v>
      </c>
      <c r="J1422" s="4">
        <v>0</v>
      </c>
      <c r="K1422" s="4"/>
      <c r="L1422" s="16"/>
      <c r="M1422" s="4"/>
      <c r="N1422" s="4"/>
      <c r="O1422" s="4"/>
      <c r="P1422" s="4"/>
      <c r="Q1422" s="4"/>
      <c r="R1422" s="4"/>
      <c r="S1422" s="4">
        <v>0</v>
      </c>
      <c r="T1422" s="4">
        <v>0</v>
      </c>
      <c r="U1422" s="4">
        <v>0</v>
      </c>
      <c r="V1422" s="4">
        <v>12</v>
      </c>
      <c r="W1422" s="4">
        <v>12</v>
      </c>
      <c r="X1422" s="4">
        <v>0</v>
      </c>
      <c r="Y1422" s="4"/>
      <c r="Z1422" s="4">
        <v>259.48</v>
      </c>
      <c r="AA1422" s="4">
        <v>300</v>
      </c>
      <c r="AB1422" s="18"/>
      <c r="AC1422" s="18">
        <v>28</v>
      </c>
      <c r="AD1422" s="28"/>
      <c r="AE1422" s="26"/>
      <c r="AF1422" s="28"/>
    </row>
    <row r="1423" spans="1:32" ht="13.5" customHeight="1" x14ac:dyDescent="0.25">
      <c r="A1423" s="14">
        <v>45846</v>
      </c>
      <c r="B1423" s="14" t="s">
        <v>46</v>
      </c>
      <c r="C1423" s="15">
        <v>3</v>
      </c>
      <c r="D1423" s="16"/>
      <c r="E1423" s="16"/>
      <c r="F1423" s="17"/>
      <c r="G1423" s="21"/>
      <c r="H1423" s="21"/>
      <c r="I1423" s="4">
        <v>0</v>
      </c>
      <c r="J1423" s="4">
        <v>0</v>
      </c>
      <c r="K1423" s="4"/>
      <c r="L1423" s="16"/>
      <c r="M1423" s="4"/>
      <c r="N1423" s="4"/>
      <c r="O1423" s="4"/>
      <c r="P1423" s="4"/>
      <c r="Q1423" s="4"/>
      <c r="R1423" s="4"/>
      <c r="S1423" s="4">
        <v>0</v>
      </c>
      <c r="T1423" s="4">
        <v>0</v>
      </c>
      <c r="U1423" s="4">
        <v>0</v>
      </c>
      <c r="V1423" s="4">
        <v>12</v>
      </c>
      <c r="W1423" s="4">
        <v>12</v>
      </c>
      <c r="X1423" s="4">
        <v>5</v>
      </c>
      <c r="Y1423" s="4">
        <v>1930.5</v>
      </c>
      <c r="Z1423" s="4">
        <v>160</v>
      </c>
      <c r="AA1423" s="4">
        <v>200</v>
      </c>
      <c r="AB1423" s="18">
        <v>372</v>
      </c>
      <c r="AC1423" s="18">
        <v>28</v>
      </c>
      <c r="AD1423" s="28"/>
      <c r="AE1423" s="26"/>
      <c r="AF1423" s="28"/>
    </row>
    <row r="1424" spans="1:32" ht="13.5" customHeight="1" x14ac:dyDescent="0.25">
      <c r="A1424" s="14">
        <v>45846</v>
      </c>
      <c r="B1424" s="14" t="s">
        <v>47</v>
      </c>
      <c r="C1424" s="15">
        <v>3</v>
      </c>
      <c r="D1424" s="16"/>
      <c r="E1424" s="16"/>
      <c r="F1424" s="17"/>
      <c r="G1424" s="21"/>
      <c r="H1424" s="21"/>
      <c r="I1424" s="4">
        <v>0</v>
      </c>
      <c r="J1424" s="4">
        <v>0</v>
      </c>
      <c r="K1424" s="4"/>
      <c r="L1424" s="16"/>
      <c r="M1424" s="4"/>
      <c r="N1424" s="4"/>
      <c r="O1424" s="4"/>
      <c r="P1424" s="4"/>
      <c r="Q1424" s="4"/>
      <c r="R1424" s="4"/>
      <c r="S1424" s="4">
        <v>0</v>
      </c>
      <c r="T1424" s="4">
        <v>0</v>
      </c>
      <c r="U1424" s="4">
        <v>0</v>
      </c>
      <c r="V1424" s="4">
        <v>12</v>
      </c>
      <c r="W1424" s="4">
        <v>12</v>
      </c>
      <c r="X1424" s="4">
        <v>0</v>
      </c>
      <c r="Y1424" s="4"/>
      <c r="Z1424" s="4">
        <v>150.6</v>
      </c>
      <c r="AA1424" s="4">
        <v>150</v>
      </c>
      <c r="AB1424" s="18"/>
      <c r="AC1424" s="18">
        <v>28</v>
      </c>
      <c r="AD1424" s="28"/>
      <c r="AE1424" s="26"/>
      <c r="AF1424" s="28"/>
    </row>
    <row r="1425" spans="1:32" ht="13.5" customHeight="1" x14ac:dyDescent="0.25">
      <c r="A1425" s="14">
        <v>45846</v>
      </c>
      <c r="B1425" s="14" t="s">
        <v>46</v>
      </c>
      <c r="C1425" s="15">
        <v>4</v>
      </c>
      <c r="D1425" s="16"/>
      <c r="E1425" s="16"/>
      <c r="F1425" s="17"/>
      <c r="G1425" s="21"/>
      <c r="H1425" s="21"/>
      <c r="I1425" s="4">
        <v>0</v>
      </c>
      <c r="J1425" s="4">
        <v>0</v>
      </c>
      <c r="K1425" s="4"/>
      <c r="L1425" s="16"/>
      <c r="M1425" s="4"/>
      <c r="N1425" s="4"/>
      <c r="O1425" s="4"/>
      <c r="P1425" s="4"/>
      <c r="Q1425" s="4"/>
      <c r="R1425" s="4"/>
      <c r="S1425" s="4">
        <v>0</v>
      </c>
      <c r="T1425" s="4">
        <v>0</v>
      </c>
      <c r="U1425" s="4">
        <v>0</v>
      </c>
      <c r="V1425" s="4">
        <v>12</v>
      </c>
      <c r="W1425" s="4">
        <v>12</v>
      </c>
      <c r="X1425" s="4">
        <v>13</v>
      </c>
      <c r="Y1425" s="4"/>
      <c r="Z1425" s="4">
        <v>462.40000000000003</v>
      </c>
      <c r="AA1425" s="4">
        <v>450</v>
      </c>
      <c r="AB1425" s="18"/>
      <c r="AC1425" s="18">
        <v>28</v>
      </c>
      <c r="AD1425" s="28"/>
      <c r="AE1425" s="26"/>
      <c r="AF1425" s="28"/>
    </row>
    <row r="1426" spans="1:32" ht="13.5" customHeight="1" x14ac:dyDescent="0.25">
      <c r="A1426" s="14">
        <v>45846</v>
      </c>
      <c r="B1426" s="14" t="s">
        <v>47</v>
      </c>
      <c r="C1426" s="15">
        <v>4</v>
      </c>
      <c r="D1426" s="16"/>
      <c r="E1426" s="16"/>
      <c r="F1426" s="17"/>
      <c r="G1426" s="21"/>
      <c r="H1426" s="21"/>
      <c r="I1426" s="4">
        <v>0</v>
      </c>
      <c r="J1426" s="4">
        <v>0</v>
      </c>
      <c r="K1426" s="4"/>
      <c r="L1426" s="16"/>
      <c r="M1426" s="4"/>
      <c r="N1426" s="4"/>
      <c r="O1426" s="4"/>
      <c r="P1426" s="4"/>
      <c r="Q1426" s="4"/>
      <c r="R1426" s="4"/>
      <c r="S1426" s="4">
        <v>0</v>
      </c>
      <c r="T1426" s="4">
        <v>0</v>
      </c>
      <c r="U1426" s="4">
        <v>0</v>
      </c>
      <c r="V1426" s="4">
        <v>12</v>
      </c>
      <c r="W1426" s="4">
        <v>12</v>
      </c>
      <c r="X1426" s="4">
        <v>2</v>
      </c>
      <c r="Y1426" s="4"/>
      <c r="Z1426" s="4">
        <v>322.39999999999998</v>
      </c>
      <c r="AA1426" s="4">
        <v>350</v>
      </c>
      <c r="AB1426" s="18"/>
      <c r="AC1426" s="18">
        <v>28</v>
      </c>
      <c r="AD1426" s="28"/>
      <c r="AE1426" s="26"/>
      <c r="AF1426" s="28"/>
    </row>
    <row r="1427" spans="1:32" ht="13.5" customHeight="1" x14ac:dyDescent="0.25">
      <c r="A1427" s="14">
        <v>45846</v>
      </c>
      <c r="B1427" s="14" t="s">
        <v>46</v>
      </c>
      <c r="C1427" s="15">
        <v>6</v>
      </c>
      <c r="D1427" s="16">
        <v>10</v>
      </c>
      <c r="E1427" s="16"/>
      <c r="F1427" s="17"/>
      <c r="G1427" s="21"/>
      <c r="H1427" s="21"/>
      <c r="I1427" s="4">
        <v>10</v>
      </c>
      <c r="J1427" s="4">
        <v>0.16666666666666666</v>
      </c>
      <c r="K1427" s="4"/>
      <c r="L1427" s="16"/>
      <c r="M1427" s="4"/>
      <c r="N1427" s="4"/>
      <c r="O1427" s="4">
        <v>30</v>
      </c>
      <c r="P1427" s="4"/>
      <c r="Q1427" s="4">
        <v>100</v>
      </c>
      <c r="R1427" s="4"/>
      <c r="S1427" s="4">
        <v>130</v>
      </c>
      <c r="T1427" s="4">
        <v>2.1666666666666665</v>
      </c>
      <c r="U1427" s="4">
        <v>2.333333333333333</v>
      </c>
      <c r="V1427" s="4">
        <v>9.6666666666666679</v>
      </c>
      <c r="W1427" s="4">
        <v>12</v>
      </c>
      <c r="X1427" s="4">
        <v>45</v>
      </c>
      <c r="Y1427" s="4"/>
      <c r="Z1427" s="4">
        <v>442.4</v>
      </c>
      <c r="AA1427" s="4">
        <v>450</v>
      </c>
      <c r="AB1427" s="18"/>
      <c r="AC1427" s="18">
        <v>28</v>
      </c>
      <c r="AD1427" s="28"/>
      <c r="AE1427" s="26"/>
      <c r="AF1427" s="28"/>
    </row>
    <row r="1428" spans="1:32" ht="13.5" customHeight="1" x14ac:dyDescent="0.25">
      <c r="A1428" s="14">
        <v>45846</v>
      </c>
      <c r="B1428" s="14" t="s">
        <v>47</v>
      </c>
      <c r="C1428" s="15">
        <v>6</v>
      </c>
      <c r="D1428" s="16">
        <v>30</v>
      </c>
      <c r="E1428" s="16"/>
      <c r="F1428" s="17"/>
      <c r="G1428" s="21"/>
      <c r="H1428" s="21"/>
      <c r="I1428" s="4">
        <v>30</v>
      </c>
      <c r="J1428" s="4">
        <v>0.5</v>
      </c>
      <c r="K1428" s="4"/>
      <c r="L1428" s="16"/>
      <c r="M1428" s="4"/>
      <c r="N1428" s="4"/>
      <c r="O1428" s="4"/>
      <c r="P1428" s="4"/>
      <c r="Q1428" s="4"/>
      <c r="R1428" s="4"/>
      <c r="S1428" s="4">
        <v>0</v>
      </c>
      <c r="T1428" s="4">
        <v>0</v>
      </c>
      <c r="U1428" s="4">
        <v>0.5</v>
      </c>
      <c r="V1428" s="4">
        <v>11.5</v>
      </c>
      <c r="W1428" s="4">
        <v>12</v>
      </c>
      <c r="X1428" s="4">
        <v>50</v>
      </c>
      <c r="Y1428" s="4"/>
      <c r="Z1428" s="4">
        <v>660.4</v>
      </c>
      <c r="AA1428" s="4">
        <v>650</v>
      </c>
      <c r="AB1428" s="18"/>
      <c r="AC1428" s="18">
        <v>28</v>
      </c>
      <c r="AD1428" s="28"/>
      <c r="AE1428" s="26"/>
      <c r="AF1428" s="28"/>
    </row>
    <row r="1429" spans="1:32" ht="13.5" customHeight="1" x14ac:dyDescent="0.25">
      <c r="A1429" s="14">
        <v>45846</v>
      </c>
      <c r="B1429" s="14" t="s">
        <v>46</v>
      </c>
      <c r="C1429" s="15">
        <v>7</v>
      </c>
      <c r="D1429" s="16">
        <v>6</v>
      </c>
      <c r="E1429" s="16"/>
      <c r="F1429" s="17"/>
      <c r="G1429" s="21"/>
      <c r="H1429" s="21"/>
      <c r="I1429" s="4">
        <v>6</v>
      </c>
      <c r="J1429" s="4">
        <v>0.1</v>
      </c>
      <c r="K1429" s="4"/>
      <c r="L1429" s="16"/>
      <c r="M1429" s="4"/>
      <c r="N1429" s="4"/>
      <c r="O1429" s="4"/>
      <c r="P1429" s="4"/>
      <c r="Q1429" s="4"/>
      <c r="R1429" s="4"/>
      <c r="S1429" s="4">
        <v>0</v>
      </c>
      <c r="T1429" s="4">
        <v>0</v>
      </c>
      <c r="U1429" s="4">
        <v>0.1</v>
      </c>
      <c r="V1429" s="4">
        <v>11.9</v>
      </c>
      <c r="W1429" s="4">
        <v>12</v>
      </c>
      <c r="X1429" s="4">
        <v>10</v>
      </c>
      <c r="Y1429" s="4"/>
      <c r="Z1429" s="4">
        <v>345.9</v>
      </c>
      <c r="AA1429" s="4">
        <v>350</v>
      </c>
      <c r="AB1429" s="18"/>
      <c r="AC1429" s="18">
        <v>28</v>
      </c>
      <c r="AD1429" s="28"/>
      <c r="AE1429" s="26"/>
      <c r="AF1429" s="28"/>
    </row>
    <row r="1430" spans="1:32" ht="13.5" customHeight="1" x14ac:dyDescent="0.25">
      <c r="A1430" s="14">
        <v>45846</v>
      </c>
      <c r="B1430" s="14" t="s">
        <v>47</v>
      </c>
      <c r="C1430" s="15">
        <v>7</v>
      </c>
      <c r="D1430" s="16"/>
      <c r="E1430" s="16"/>
      <c r="F1430" s="17"/>
      <c r="G1430" s="21"/>
      <c r="H1430" s="21"/>
      <c r="I1430" s="4">
        <v>0</v>
      </c>
      <c r="J1430" s="4">
        <v>0</v>
      </c>
      <c r="K1430" s="4"/>
      <c r="L1430" s="16"/>
      <c r="M1430" s="4"/>
      <c r="N1430" s="4"/>
      <c r="O1430" s="4"/>
      <c r="P1430" s="4"/>
      <c r="Q1430" s="4"/>
      <c r="R1430" s="4"/>
      <c r="S1430" s="4">
        <v>0</v>
      </c>
      <c r="T1430" s="4">
        <v>0</v>
      </c>
      <c r="U1430" s="4">
        <v>0</v>
      </c>
      <c r="V1430" s="4">
        <v>12</v>
      </c>
      <c r="W1430" s="4">
        <v>12</v>
      </c>
      <c r="X1430" s="4">
        <v>0</v>
      </c>
      <c r="Y1430" s="4"/>
      <c r="Z1430" s="4">
        <v>285.2</v>
      </c>
      <c r="AA1430" s="4">
        <v>300</v>
      </c>
      <c r="AB1430" s="18"/>
      <c r="AC1430" s="18">
        <v>28</v>
      </c>
      <c r="AD1430" s="28"/>
      <c r="AE1430" s="26"/>
      <c r="AF1430" s="28"/>
    </row>
    <row r="1431" spans="1:32" ht="13.5" customHeight="1" x14ac:dyDescent="0.25">
      <c r="A1431" s="14">
        <v>45847</v>
      </c>
      <c r="B1431" s="14" t="s">
        <v>46</v>
      </c>
      <c r="C1431" s="15">
        <v>1</v>
      </c>
      <c r="D1431" s="16"/>
      <c r="E1431" s="16"/>
      <c r="F1431" s="17"/>
      <c r="G1431" s="21"/>
      <c r="H1431" s="21"/>
      <c r="I1431" s="4">
        <v>0</v>
      </c>
      <c r="J1431" s="4">
        <v>0</v>
      </c>
      <c r="K1431" s="4"/>
      <c r="L1431" s="16"/>
      <c r="M1431" s="4"/>
      <c r="N1431" s="4"/>
      <c r="O1431" s="4"/>
      <c r="P1431" s="4"/>
      <c r="Q1431" s="4"/>
      <c r="R1431" s="4"/>
      <c r="S1431" s="4">
        <v>0</v>
      </c>
      <c r="T1431" s="4">
        <v>0</v>
      </c>
      <c r="U1431" s="4">
        <v>0</v>
      </c>
      <c r="V1431" s="4">
        <v>12</v>
      </c>
      <c r="W1431" s="4">
        <v>12</v>
      </c>
      <c r="X1431" s="4">
        <v>10</v>
      </c>
      <c r="Y1431" s="4">
        <v>2023</v>
      </c>
      <c r="Z1431" s="4">
        <v>71.400000000000006</v>
      </c>
      <c r="AA1431" s="4">
        <v>100</v>
      </c>
      <c r="AB1431" s="18">
        <v>372</v>
      </c>
      <c r="AC1431" s="18">
        <v>28</v>
      </c>
      <c r="AD1431" s="28"/>
      <c r="AE1431" s="26"/>
      <c r="AF1431" s="28"/>
    </row>
    <row r="1432" spans="1:32" ht="13.5" customHeight="1" x14ac:dyDescent="0.25">
      <c r="A1432" s="14">
        <v>45847</v>
      </c>
      <c r="B1432" s="14" t="s">
        <v>47</v>
      </c>
      <c r="C1432" s="15">
        <v>1</v>
      </c>
      <c r="D1432" s="16"/>
      <c r="E1432" s="16"/>
      <c r="F1432" s="17"/>
      <c r="G1432" s="21"/>
      <c r="H1432" s="21"/>
      <c r="I1432" s="4">
        <v>0</v>
      </c>
      <c r="J1432" s="4">
        <v>0</v>
      </c>
      <c r="K1432" s="4"/>
      <c r="L1432" s="16"/>
      <c r="M1432" s="4"/>
      <c r="N1432" s="4"/>
      <c r="O1432" s="4"/>
      <c r="P1432" s="4"/>
      <c r="Q1432" s="4"/>
      <c r="R1432" s="4"/>
      <c r="S1432" s="4">
        <v>0</v>
      </c>
      <c r="T1432" s="4">
        <v>0</v>
      </c>
      <c r="U1432" s="4">
        <v>0</v>
      </c>
      <c r="V1432" s="4">
        <v>12</v>
      </c>
      <c r="W1432" s="4">
        <v>12</v>
      </c>
      <c r="X1432" s="4">
        <v>2</v>
      </c>
      <c r="Y1432" s="4"/>
      <c r="Z1432" s="4">
        <v>143.30000000000001</v>
      </c>
      <c r="AA1432" s="4">
        <v>150</v>
      </c>
      <c r="AB1432" s="18"/>
      <c r="AC1432" s="18">
        <v>28</v>
      </c>
      <c r="AD1432" s="28"/>
      <c r="AE1432" s="26"/>
      <c r="AF1432" s="28"/>
    </row>
    <row r="1433" spans="1:32" ht="13.5" customHeight="1" x14ac:dyDescent="0.25">
      <c r="A1433" s="14">
        <v>45847</v>
      </c>
      <c r="B1433" s="14" t="s">
        <v>46</v>
      </c>
      <c r="C1433" s="15">
        <v>3</v>
      </c>
      <c r="D1433" s="16">
        <v>5</v>
      </c>
      <c r="E1433" s="16"/>
      <c r="F1433" s="17"/>
      <c r="G1433" s="21"/>
      <c r="H1433" s="21"/>
      <c r="I1433" s="4">
        <v>5</v>
      </c>
      <c r="J1433" s="4">
        <v>8.3333333333333329E-2</v>
      </c>
      <c r="K1433" s="4"/>
      <c r="L1433" s="16"/>
      <c r="M1433" s="4"/>
      <c r="N1433" s="4"/>
      <c r="O1433" s="4"/>
      <c r="P1433" s="4"/>
      <c r="Q1433" s="4"/>
      <c r="R1433" s="4"/>
      <c r="S1433" s="4">
        <v>0</v>
      </c>
      <c r="T1433" s="4">
        <v>0</v>
      </c>
      <c r="U1433" s="4">
        <v>8.3333333333333329E-2</v>
      </c>
      <c r="V1433" s="4">
        <v>11.916666666666666</v>
      </c>
      <c r="W1433" s="4">
        <v>12</v>
      </c>
      <c r="X1433" s="4">
        <v>47</v>
      </c>
      <c r="Y1433" s="4"/>
      <c r="Z1433" s="4">
        <v>158</v>
      </c>
      <c r="AA1433" s="4">
        <v>150</v>
      </c>
      <c r="AB1433" s="18"/>
      <c r="AC1433" s="18">
        <v>28</v>
      </c>
      <c r="AD1433" s="28"/>
      <c r="AE1433" s="26"/>
      <c r="AF1433" s="28"/>
    </row>
    <row r="1434" spans="1:32" ht="13.5" customHeight="1" x14ac:dyDescent="0.25">
      <c r="A1434" s="14">
        <v>45847</v>
      </c>
      <c r="B1434" s="14" t="s">
        <v>47</v>
      </c>
      <c r="C1434" s="15">
        <v>3</v>
      </c>
      <c r="D1434" s="16"/>
      <c r="E1434" s="16"/>
      <c r="F1434" s="17"/>
      <c r="G1434" s="21"/>
      <c r="H1434" s="21"/>
      <c r="I1434" s="4">
        <v>0</v>
      </c>
      <c r="J1434" s="4">
        <v>0</v>
      </c>
      <c r="K1434" s="4"/>
      <c r="L1434" s="16"/>
      <c r="M1434" s="4"/>
      <c r="N1434" s="4"/>
      <c r="O1434" s="4"/>
      <c r="P1434" s="4"/>
      <c r="Q1434" s="4"/>
      <c r="R1434" s="4"/>
      <c r="S1434" s="4">
        <v>0</v>
      </c>
      <c r="T1434" s="4">
        <v>0</v>
      </c>
      <c r="U1434" s="4">
        <v>0</v>
      </c>
      <c r="V1434" s="4">
        <v>12</v>
      </c>
      <c r="W1434" s="4">
        <v>12</v>
      </c>
      <c r="X1434" s="4">
        <v>4</v>
      </c>
      <c r="Y1434" s="4"/>
      <c r="Z1434" s="4">
        <v>166.2</v>
      </c>
      <c r="AA1434" s="4">
        <v>150</v>
      </c>
      <c r="AB1434" s="18"/>
      <c r="AC1434" s="18">
        <v>28</v>
      </c>
      <c r="AD1434" s="28"/>
      <c r="AE1434" s="26"/>
      <c r="AF1434" s="28"/>
    </row>
    <row r="1435" spans="1:32" ht="13.5" customHeight="1" x14ac:dyDescent="0.25">
      <c r="A1435" s="14">
        <v>45847</v>
      </c>
      <c r="B1435" s="14" t="s">
        <v>46</v>
      </c>
      <c r="C1435" s="15">
        <v>4</v>
      </c>
      <c r="D1435" s="16">
        <v>3</v>
      </c>
      <c r="E1435" s="16"/>
      <c r="F1435" s="17"/>
      <c r="G1435" s="21"/>
      <c r="H1435" s="21"/>
      <c r="I1435" s="4">
        <v>3</v>
      </c>
      <c r="J1435" s="4">
        <v>0.05</v>
      </c>
      <c r="K1435" s="4"/>
      <c r="L1435" s="16"/>
      <c r="M1435" s="4"/>
      <c r="N1435" s="4"/>
      <c r="O1435" s="4"/>
      <c r="P1435" s="4"/>
      <c r="Q1435" s="4"/>
      <c r="R1435" s="4"/>
      <c r="S1435" s="4">
        <v>0</v>
      </c>
      <c r="T1435" s="4">
        <v>0</v>
      </c>
      <c r="U1435" s="4">
        <v>0.05</v>
      </c>
      <c r="V1435" s="4">
        <v>11.95</v>
      </c>
      <c r="W1435" s="4">
        <v>12</v>
      </c>
      <c r="X1435" s="4">
        <v>6</v>
      </c>
      <c r="Y1435" s="4"/>
      <c r="Z1435" s="4">
        <v>323.61</v>
      </c>
      <c r="AA1435" s="4">
        <v>350</v>
      </c>
      <c r="AB1435" s="18"/>
      <c r="AC1435" s="18">
        <v>28</v>
      </c>
      <c r="AD1435" s="28"/>
      <c r="AE1435" s="26"/>
      <c r="AF1435" s="28"/>
    </row>
    <row r="1436" spans="1:32" ht="13.5" customHeight="1" x14ac:dyDescent="0.25">
      <c r="A1436" s="14">
        <v>45847</v>
      </c>
      <c r="B1436" s="14" t="s">
        <v>47</v>
      </c>
      <c r="C1436" s="15">
        <v>4</v>
      </c>
      <c r="D1436" s="16"/>
      <c r="E1436" s="16"/>
      <c r="F1436" s="17"/>
      <c r="G1436" s="21"/>
      <c r="H1436" s="21"/>
      <c r="I1436" s="4">
        <v>0</v>
      </c>
      <c r="J1436" s="4">
        <v>0</v>
      </c>
      <c r="K1436" s="4"/>
      <c r="L1436" s="16"/>
      <c r="M1436" s="4"/>
      <c r="N1436" s="4"/>
      <c r="O1436" s="4"/>
      <c r="P1436" s="4"/>
      <c r="Q1436" s="4"/>
      <c r="R1436" s="4"/>
      <c r="S1436" s="4">
        <v>0</v>
      </c>
      <c r="T1436" s="4">
        <v>0</v>
      </c>
      <c r="U1436" s="4">
        <v>0</v>
      </c>
      <c r="V1436" s="4">
        <v>12</v>
      </c>
      <c r="W1436" s="4">
        <v>12</v>
      </c>
      <c r="X1436" s="4">
        <v>0</v>
      </c>
      <c r="Y1436" s="4"/>
      <c r="Z1436" s="4">
        <v>270.59999999999997</v>
      </c>
      <c r="AA1436" s="4">
        <v>300</v>
      </c>
      <c r="AB1436" s="18"/>
      <c r="AC1436" s="18">
        <v>28</v>
      </c>
      <c r="AD1436" s="28"/>
      <c r="AE1436" s="26"/>
      <c r="AF1436" s="28"/>
    </row>
    <row r="1437" spans="1:32" ht="13.5" customHeight="1" x14ac:dyDescent="0.25">
      <c r="A1437" s="14">
        <v>45847</v>
      </c>
      <c r="B1437" s="14" t="s">
        <v>46</v>
      </c>
      <c r="C1437" s="15">
        <v>6</v>
      </c>
      <c r="D1437" s="16">
        <v>5</v>
      </c>
      <c r="E1437" s="16"/>
      <c r="F1437" s="17"/>
      <c r="G1437" s="21"/>
      <c r="H1437" s="21"/>
      <c r="I1437" s="4">
        <v>5</v>
      </c>
      <c r="J1437" s="4">
        <v>8.3333333333333329E-2</v>
      </c>
      <c r="K1437" s="4"/>
      <c r="L1437" s="16"/>
      <c r="M1437" s="4"/>
      <c r="N1437" s="4"/>
      <c r="O1437" s="4"/>
      <c r="P1437" s="4"/>
      <c r="Q1437" s="4"/>
      <c r="R1437" s="4"/>
      <c r="S1437" s="4">
        <v>0</v>
      </c>
      <c r="T1437" s="4">
        <v>0</v>
      </c>
      <c r="U1437" s="4">
        <v>8.3333333333333329E-2</v>
      </c>
      <c r="V1437" s="4">
        <v>11.916666666666666</v>
      </c>
      <c r="W1437" s="4">
        <v>12</v>
      </c>
      <c r="X1437" s="4">
        <v>0</v>
      </c>
      <c r="Y1437" s="4"/>
      <c r="Z1437" s="4">
        <v>654.6</v>
      </c>
      <c r="AA1437" s="4">
        <v>650</v>
      </c>
      <c r="AB1437" s="18"/>
      <c r="AC1437" s="18">
        <v>28</v>
      </c>
      <c r="AD1437" s="28"/>
      <c r="AE1437" s="26"/>
      <c r="AF1437" s="28"/>
    </row>
    <row r="1438" spans="1:32" ht="13.5" customHeight="1" x14ac:dyDescent="0.25">
      <c r="A1438" s="14">
        <v>45847</v>
      </c>
      <c r="B1438" s="14" t="s">
        <v>47</v>
      </c>
      <c r="C1438" s="15">
        <v>6</v>
      </c>
      <c r="D1438" s="16"/>
      <c r="E1438" s="16"/>
      <c r="F1438" s="17"/>
      <c r="G1438" s="21"/>
      <c r="H1438" s="21"/>
      <c r="I1438" s="4">
        <v>0</v>
      </c>
      <c r="J1438" s="4">
        <v>0</v>
      </c>
      <c r="K1438" s="4"/>
      <c r="L1438" s="16"/>
      <c r="M1438" s="4"/>
      <c r="N1438" s="4"/>
      <c r="O1438" s="4"/>
      <c r="P1438" s="4"/>
      <c r="Q1438" s="4"/>
      <c r="R1438" s="4"/>
      <c r="S1438" s="4">
        <v>0</v>
      </c>
      <c r="T1438" s="4">
        <v>0</v>
      </c>
      <c r="U1438" s="4">
        <v>0</v>
      </c>
      <c r="V1438" s="4">
        <v>12</v>
      </c>
      <c r="W1438" s="4">
        <v>12</v>
      </c>
      <c r="X1438" s="4">
        <v>19</v>
      </c>
      <c r="Y1438" s="4"/>
      <c r="Z1438" s="4">
        <v>525</v>
      </c>
      <c r="AA1438" s="4">
        <v>550</v>
      </c>
      <c r="AB1438" s="18"/>
      <c r="AC1438" s="18">
        <v>28</v>
      </c>
      <c r="AD1438" s="28"/>
      <c r="AE1438" s="26"/>
      <c r="AF1438" s="28"/>
    </row>
    <row r="1439" spans="1:32" ht="13.5" customHeight="1" x14ac:dyDescent="0.25">
      <c r="A1439" s="14">
        <v>45847</v>
      </c>
      <c r="B1439" s="14" t="s">
        <v>46</v>
      </c>
      <c r="C1439" s="15">
        <v>7</v>
      </c>
      <c r="D1439" s="16">
        <v>8</v>
      </c>
      <c r="E1439" s="16"/>
      <c r="F1439" s="17"/>
      <c r="G1439" s="21"/>
      <c r="H1439" s="21"/>
      <c r="I1439" s="4">
        <v>8</v>
      </c>
      <c r="J1439" s="4">
        <v>0.13333333333333333</v>
      </c>
      <c r="K1439" s="4"/>
      <c r="L1439" s="16"/>
      <c r="M1439" s="4"/>
      <c r="N1439" s="4"/>
      <c r="O1439" s="4"/>
      <c r="P1439" s="4"/>
      <c r="Q1439" s="4"/>
      <c r="R1439" s="4"/>
      <c r="S1439" s="4">
        <v>0</v>
      </c>
      <c r="T1439" s="4">
        <v>0</v>
      </c>
      <c r="U1439" s="4">
        <v>0.13333333333333333</v>
      </c>
      <c r="V1439" s="4">
        <v>11.866666666666667</v>
      </c>
      <c r="W1439" s="4">
        <v>12</v>
      </c>
      <c r="X1439" s="4">
        <v>5</v>
      </c>
      <c r="Y1439" s="4"/>
      <c r="Z1439" s="4">
        <v>498.79999999999995</v>
      </c>
      <c r="AA1439" s="4">
        <v>500</v>
      </c>
      <c r="AB1439" s="18"/>
      <c r="AC1439" s="18">
        <v>28</v>
      </c>
      <c r="AD1439" s="28"/>
      <c r="AE1439" s="26"/>
      <c r="AF1439" s="28"/>
    </row>
    <row r="1440" spans="1:32" ht="13.5" customHeight="1" x14ac:dyDescent="0.25">
      <c r="A1440" s="14">
        <v>45847</v>
      </c>
      <c r="B1440" s="14" t="s">
        <v>47</v>
      </c>
      <c r="C1440" s="15">
        <v>7</v>
      </c>
      <c r="D1440" s="16"/>
      <c r="E1440" s="16"/>
      <c r="F1440" s="17"/>
      <c r="G1440" s="21"/>
      <c r="H1440" s="21"/>
      <c r="I1440" s="4">
        <v>0</v>
      </c>
      <c r="J1440" s="4">
        <v>0</v>
      </c>
      <c r="K1440" s="4"/>
      <c r="L1440" s="16"/>
      <c r="M1440" s="4"/>
      <c r="N1440" s="4"/>
      <c r="O1440" s="4"/>
      <c r="P1440" s="4"/>
      <c r="Q1440" s="4"/>
      <c r="R1440" s="4"/>
      <c r="S1440" s="4">
        <v>0</v>
      </c>
      <c r="T1440" s="4">
        <v>0</v>
      </c>
      <c r="U1440" s="4">
        <v>0</v>
      </c>
      <c r="V1440" s="4">
        <v>12</v>
      </c>
      <c r="W1440" s="4">
        <v>12</v>
      </c>
      <c r="X1440" s="4">
        <v>5.4</v>
      </c>
      <c r="Y1440" s="4"/>
      <c r="Z1440" s="4">
        <v>392.50000000000006</v>
      </c>
      <c r="AA1440" s="4">
        <v>400</v>
      </c>
      <c r="AB1440" s="18"/>
      <c r="AC1440" s="18">
        <v>28</v>
      </c>
      <c r="AD1440" s="28"/>
      <c r="AE1440" s="26"/>
      <c r="AF1440" s="28"/>
    </row>
    <row r="1441" spans="1:32" ht="13.5" customHeight="1" x14ac:dyDescent="0.25">
      <c r="A1441" s="14">
        <v>45848</v>
      </c>
      <c r="B1441" s="14" t="s">
        <v>46</v>
      </c>
      <c r="C1441" s="15">
        <v>1</v>
      </c>
      <c r="D1441" s="16"/>
      <c r="E1441" s="16"/>
      <c r="F1441" s="17"/>
      <c r="G1441" s="21"/>
      <c r="H1441" s="21"/>
      <c r="I1441" s="4">
        <v>0</v>
      </c>
      <c r="J1441" s="4">
        <v>0</v>
      </c>
      <c r="K1441" s="4"/>
      <c r="L1441" s="16"/>
      <c r="M1441" s="4"/>
      <c r="N1441" s="4"/>
      <c r="O1441" s="4"/>
      <c r="P1441" s="4"/>
      <c r="Q1441" s="4"/>
      <c r="R1441" s="4"/>
      <c r="S1441" s="4">
        <v>0</v>
      </c>
      <c r="T1441" s="4">
        <v>0</v>
      </c>
      <c r="U1441" s="4">
        <v>0</v>
      </c>
      <c r="V1441" s="4">
        <v>12</v>
      </c>
      <c r="W1441" s="4">
        <v>12</v>
      </c>
      <c r="X1441" s="4">
        <v>5</v>
      </c>
      <c r="Y1441" s="4">
        <v>2012.5</v>
      </c>
      <c r="Z1441" s="4">
        <v>124.79999999999998</v>
      </c>
      <c r="AA1441" s="4">
        <v>150</v>
      </c>
      <c r="AB1441" s="18">
        <v>372</v>
      </c>
      <c r="AC1441" s="18">
        <v>28</v>
      </c>
      <c r="AD1441" s="28"/>
      <c r="AE1441" s="26"/>
      <c r="AF1441" s="28"/>
    </row>
    <row r="1442" spans="1:32" ht="13.5" customHeight="1" x14ac:dyDescent="0.25">
      <c r="A1442" s="14">
        <v>45848</v>
      </c>
      <c r="B1442" s="14" t="s">
        <v>47</v>
      </c>
      <c r="C1442" s="15">
        <v>1</v>
      </c>
      <c r="D1442" s="16"/>
      <c r="E1442" s="16"/>
      <c r="F1442" s="17"/>
      <c r="G1442" s="21"/>
      <c r="H1442" s="21"/>
      <c r="I1442" s="4">
        <v>0</v>
      </c>
      <c r="J1442" s="4">
        <v>0</v>
      </c>
      <c r="K1442" s="4"/>
      <c r="L1442" s="16"/>
      <c r="M1442" s="4"/>
      <c r="N1442" s="4"/>
      <c r="O1442" s="4"/>
      <c r="P1442" s="4"/>
      <c r="Q1442" s="4"/>
      <c r="R1442" s="4"/>
      <c r="S1442" s="4">
        <v>0</v>
      </c>
      <c r="T1442" s="4">
        <v>0</v>
      </c>
      <c r="U1442" s="4">
        <v>0</v>
      </c>
      <c r="V1442" s="4">
        <v>12</v>
      </c>
      <c r="W1442" s="4">
        <v>12</v>
      </c>
      <c r="X1442" s="4">
        <v>0</v>
      </c>
      <c r="Y1442" s="4"/>
      <c r="Z1442" s="4">
        <v>138.69999999999999</v>
      </c>
      <c r="AA1442" s="4">
        <v>150</v>
      </c>
      <c r="AB1442" s="18"/>
      <c r="AC1442" s="18">
        <v>28</v>
      </c>
      <c r="AD1442" s="28"/>
      <c r="AE1442" s="26"/>
      <c r="AF1442" s="28"/>
    </row>
    <row r="1443" spans="1:32" ht="13.5" customHeight="1" x14ac:dyDescent="0.25">
      <c r="A1443" s="14">
        <v>45848</v>
      </c>
      <c r="B1443" s="14" t="s">
        <v>46</v>
      </c>
      <c r="C1443" s="15">
        <v>3</v>
      </c>
      <c r="D1443" s="16"/>
      <c r="E1443" s="16"/>
      <c r="F1443" s="17"/>
      <c r="G1443" s="21"/>
      <c r="H1443" s="21"/>
      <c r="I1443" s="4">
        <v>0</v>
      </c>
      <c r="J1443" s="4">
        <v>0</v>
      </c>
      <c r="K1443" s="4"/>
      <c r="L1443" s="16"/>
      <c r="M1443" s="4"/>
      <c r="N1443" s="4"/>
      <c r="O1443" s="4"/>
      <c r="P1443" s="4"/>
      <c r="Q1443" s="4"/>
      <c r="R1443" s="4"/>
      <c r="S1443" s="4">
        <v>0</v>
      </c>
      <c r="T1443" s="4">
        <v>0</v>
      </c>
      <c r="U1443" s="4">
        <v>0</v>
      </c>
      <c r="V1443" s="4">
        <v>12</v>
      </c>
      <c r="W1443" s="4">
        <v>12</v>
      </c>
      <c r="X1443" s="4">
        <v>0</v>
      </c>
      <c r="Y1443" s="4"/>
      <c r="Z1443" s="4">
        <v>194.2</v>
      </c>
      <c r="AA1443" s="4">
        <v>200</v>
      </c>
      <c r="AB1443" s="18"/>
      <c r="AC1443" s="18">
        <v>28</v>
      </c>
      <c r="AD1443" s="28"/>
      <c r="AE1443" s="26"/>
      <c r="AF1443" s="28"/>
    </row>
    <row r="1444" spans="1:32" ht="13.5" customHeight="1" x14ac:dyDescent="0.25">
      <c r="A1444" s="14">
        <v>45848</v>
      </c>
      <c r="B1444" s="14" t="s">
        <v>47</v>
      </c>
      <c r="C1444" s="15">
        <v>3</v>
      </c>
      <c r="D1444" s="16"/>
      <c r="E1444" s="16"/>
      <c r="F1444" s="17"/>
      <c r="G1444" s="21"/>
      <c r="H1444" s="21"/>
      <c r="I1444" s="4">
        <v>0</v>
      </c>
      <c r="J1444" s="4">
        <v>0</v>
      </c>
      <c r="K1444" s="4"/>
      <c r="L1444" s="16"/>
      <c r="M1444" s="4"/>
      <c r="N1444" s="4"/>
      <c r="O1444" s="4"/>
      <c r="P1444" s="4"/>
      <c r="Q1444" s="4"/>
      <c r="R1444" s="4"/>
      <c r="S1444" s="4">
        <v>0</v>
      </c>
      <c r="T1444" s="4">
        <v>0</v>
      </c>
      <c r="U1444" s="4">
        <v>0</v>
      </c>
      <c r="V1444" s="4">
        <v>12</v>
      </c>
      <c r="W1444" s="4">
        <v>12</v>
      </c>
      <c r="X1444" s="4">
        <v>0</v>
      </c>
      <c r="Y1444" s="4"/>
      <c r="Z1444" s="4">
        <v>185</v>
      </c>
      <c r="AA1444" s="4">
        <v>200</v>
      </c>
      <c r="AB1444" s="18"/>
      <c r="AC1444" s="18">
        <v>28</v>
      </c>
      <c r="AD1444" s="28"/>
      <c r="AE1444" s="26"/>
      <c r="AF1444" s="28"/>
    </row>
    <row r="1445" spans="1:32" ht="13.5" customHeight="1" x14ac:dyDescent="0.25">
      <c r="A1445" s="14">
        <v>45848</v>
      </c>
      <c r="B1445" s="14" t="s">
        <v>46</v>
      </c>
      <c r="C1445" s="15">
        <v>4</v>
      </c>
      <c r="D1445" s="16">
        <v>3</v>
      </c>
      <c r="E1445" s="16"/>
      <c r="F1445" s="17"/>
      <c r="G1445" s="21"/>
      <c r="H1445" s="21"/>
      <c r="I1445" s="4">
        <v>3</v>
      </c>
      <c r="J1445" s="4">
        <v>0.05</v>
      </c>
      <c r="K1445" s="4"/>
      <c r="L1445" s="16"/>
      <c r="M1445" s="4"/>
      <c r="N1445" s="4"/>
      <c r="O1445" s="4"/>
      <c r="P1445" s="4"/>
      <c r="Q1445" s="4"/>
      <c r="R1445" s="4"/>
      <c r="S1445" s="4">
        <v>0</v>
      </c>
      <c r="T1445" s="4">
        <v>0</v>
      </c>
      <c r="U1445" s="4">
        <v>0.05</v>
      </c>
      <c r="V1445" s="4">
        <v>11.95</v>
      </c>
      <c r="W1445" s="4">
        <v>12</v>
      </c>
      <c r="X1445" s="4">
        <v>4</v>
      </c>
      <c r="Y1445" s="4"/>
      <c r="Z1445" s="4">
        <v>306.09999999999997</v>
      </c>
      <c r="AA1445" s="4">
        <v>300</v>
      </c>
      <c r="AB1445" s="18"/>
      <c r="AC1445" s="18">
        <v>28</v>
      </c>
      <c r="AD1445" s="28"/>
      <c r="AE1445" s="26"/>
      <c r="AF1445" s="28"/>
    </row>
    <row r="1446" spans="1:32" ht="13.5" customHeight="1" x14ac:dyDescent="0.25">
      <c r="A1446" s="14">
        <v>45848</v>
      </c>
      <c r="B1446" s="14" t="s">
        <v>47</v>
      </c>
      <c r="C1446" s="15">
        <v>4</v>
      </c>
      <c r="D1446" s="16"/>
      <c r="E1446" s="16"/>
      <c r="F1446" s="17"/>
      <c r="G1446" s="21"/>
      <c r="H1446" s="21"/>
      <c r="I1446" s="4">
        <v>0</v>
      </c>
      <c r="J1446" s="4">
        <v>0</v>
      </c>
      <c r="K1446" s="4"/>
      <c r="L1446" s="16"/>
      <c r="M1446" s="4"/>
      <c r="N1446" s="4"/>
      <c r="O1446" s="4"/>
      <c r="P1446" s="4"/>
      <c r="Q1446" s="4"/>
      <c r="R1446" s="4"/>
      <c r="S1446" s="4">
        <v>0</v>
      </c>
      <c r="T1446" s="4">
        <v>0</v>
      </c>
      <c r="U1446" s="4">
        <v>0</v>
      </c>
      <c r="V1446" s="4">
        <v>12</v>
      </c>
      <c r="W1446" s="4">
        <v>12</v>
      </c>
      <c r="X1446" s="4">
        <v>0</v>
      </c>
      <c r="Y1446" s="4"/>
      <c r="Z1446" s="4">
        <v>206.79999999999998</v>
      </c>
      <c r="AA1446" s="4">
        <v>200</v>
      </c>
      <c r="AB1446" s="18"/>
      <c r="AC1446" s="18">
        <v>28</v>
      </c>
      <c r="AD1446" s="28"/>
      <c r="AE1446" s="26"/>
      <c r="AF1446" s="28"/>
    </row>
    <row r="1447" spans="1:32" ht="13.5" customHeight="1" x14ac:dyDescent="0.25">
      <c r="A1447" s="14">
        <v>45848</v>
      </c>
      <c r="B1447" s="14" t="s">
        <v>46</v>
      </c>
      <c r="C1447" s="15">
        <v>6</v>
      </c>
      <c r="D1447" s="16">
        <v>4</v>
      </c>
      <c r="E1447" s="16"/>
      <c r="F1447" s="17"/>
      <c r="G1447" s="21"/>
      <c r="H1447" s="21"/>
      <c r="I1447" s="4">
        <v>4</v>
      </c>
      <c r="J1447" s="4">
        <v>6.6666666666666666E-2</v>
      </c>
      <c r="K1447" s="4">
        <v>65</v>
      </c>
      <c r="L1447" s="16"/>
      <c r="M1447" s="4"/>
      <c r="N1447" s="4">
        <v>15</v>
      </c>
      <c r="O1447" s="4"/>
      <c r="P1447" s="4"/>
      <c r="Q1447" s="4"/>
      <c r="R1447" s="4"/>
      <c r="S1447" s="4">
        <v>80</v>
      </c>
      <c r="T1447" s="4">
        <v>1.3333333333333333</v>
      </c>
      <c r="U1447" s="4">
        <v>1.4</v>
      </c>
      <c r="V1447" s="4">
        <v>10.6</v>
      </c>
      <c r="W1447" s="4">
        <v>12</v>
      </c>
      <c r="X1447" s="4">
        <v>31</v>
      </c>
      <c r="Y1447" s="4"/>
      <c r="Z1447" s="4">
        <v>579.20000000000005</v>
      </c>
      <c r="AA1447" s="4">
        <v>600</v>
      </c>
      <c r="AB1447" s="18"/>
      <c r="AC1447" s="18">
        <v>28</v>
      </c>
      <c r="AD1447" s="28"/>
      <c r="AE1447" s="26"/>
      <c r="AF1447" s="28"/>
    </row>
    <row r="1448" spans="1:32" ht="13.5" customHeight="1" x14ac:dyDescent="0.25">
      <c r="A1448" s="14">
        <v>45848</v>
      </c>
      <c r="B1448" s="14" t="s">
        <v>47</v>
      </c>
      <c r="C1448" s="15">
        <v>6</v>
      </c>
      <c r="D1448" s="16">
        <v>35</v>
      </c>
      <c r="E1448" s="16"/>
      <c r="F1448" s="17"/>
      <c r="G1448" s="21"/>
      <c r="H1448" s="21"/>
      <c r="I1448" s="4">
        <v>35</v>
      </c>
      <c r="J1448" s="4">
        <v>0.58333333333333337</v>
      </c>
      <c r="K1448" s="4"/>
      <c r="L1448" s="16"/>
      <c r="M1448" s="4"/>
      <c r="N1448" s="4"/>
      <c r="O1448" s="4"/>
      <c r="P1448" s="4">
        <v>45</v>
      </c>
      <c r="Q1448" s="4"/>
      <c r="R1448" s="4"/>
      <c r="S1448" s="4">
        <v>45</v>
      </c>
      <c r="T1448" s="4">
        <v>0.75</v>
      </c>
      <c r="U1448" s="4">
        <v>1.3333333333333335</v>
      </c>
      <c r="V1448" s="4">
        <v>10.666666666666666</v>
      </c>
      <c r="W1448" s="4">
        <v>12</v>
      </c>
      <c r="X1448" s="4">
        <v>104</v>
      </c>
      <c r="Y1448" s="4"/>
      <c r="Z1448" s="4">
        <v>564.19999999999993</v>
      </c>
      <c r="AA1448" s="4">
        <v>600</v>
      </c>
      <c r="AB1448" s="18"/>
      <c r="AC1448" s="18">
        <v>28</v>
      </c>
      <c r="AD1448" s="28"/>
      <c r="AE1448" s="26"/>
      <c r="AF1448" s="28"/>
    </row>
    <row r="1449" spans="1:32" ht="13.5" customHeight="1" x14ac:dyDescent="0.25">
      <c r="A1449" s="14">
        <v>45848</v>
      </c>
      <c r="B1449" s="14" t="s">
        <v>46</v>
      </c>
      <c r="C1449" s="15">
        <v>7</v>
      </c>
      <c r="D1449" s="16">
        <v>11</v>
      </c>
      <c r="E1449" s="16"/>
      <c r="F1449" s="17"/>
      <c r="G1449" s="21"/>
      <c r="H1449" s="21"/>
      <c r="I1449" s="4">
        <v>11</v>
      </c>
      <c r="J1449" s="4">
        <v>0.18333333333333332</v>
      </c>
      <c r="K1449" s="4"/>
      <c r="L1449" s="16"/>
      <c r="M1449" s="4"/>
      <c r="N1449" s="4"/>
      <c r="O1449" s="4"/>
      <c r="P1449" s="4"/>
      <c r="Q1449" s="4"/>
      <c r="R1449" s="4"/>
      <c r="S1449" s="4">
        <v>0</v>
      </c>
      <c r="T1449" s="4">
        <v>0</v>
      </c>
      <c r="U1449" s="4">
        <v>0.18333333333333332</v>
      </c>
      <c r="V1449" s="4">
        <v>11.816666666666666</v>
      </c>
      <c r="W1449" s="4">
        <v>12</v>
      </c>
      <c r="X1449" s="4">
        <v>8</v>
      </c>
      <c r="Y1449" s="4"/>
      <c r="Z1449" s="4">
        <v>310.69</v>
      </c>
      <c r="AA1449" s="4">
        <v>300</v>
      </c>
      <c r="AB1449" s="18"/>
      <c r="AC1449" s="18">
        <v>28</v>
      </c>
      <c r="AD1449" s="28"/>
      <c r="AE1449" s="26"/>
      <c r="AF1449" s="28"/>
    </row>
    <row r="1450" spans="1:32" ht="13.5" customHeight="1" x14ac:dyDescent="0.25">
      <c r="A1450" s="14">
        <v>45848</v>
      </c>
      <c r="B1450" s="14" t="s">
        <v>47</v>
      </c>
      <c r="C1450" s="15">
        <v>7</v>
      </c>
      <c r="D1450" s="16"/>
      <c r="E1450" s="16"/>
      <c r="F1450" s="17"/>
      <c r="G1450" s="21"/>
      <c r="H1450" s="21"/>
      <c r="I1450" s="4">
        <v>0</v>
      </c>
      <c r="J1450" s="4">
        <v>0</v>
      </c>
      <c r="K1450" s="4"/>
      <c r="L1450" s="16"/>
      <c r="M1450" s="4"/>
      <c r="N1450" s="4"/>
      <c r="O1450" s="4"/>
      <c r="P1450" s="4"/>
      <c r="Q1450" s="4"/>
      <c r="R1450" s="4"/>
      <c r="S1450" s="4">
        <v>0</v>
      </c>
      <c r="T1450" s="4">
        <v>0</v>
      </c>
      <c r="U1450" s="4">
        <v>0</v>
      </c>
      <c r="V1450" s="4">
        <v>12</v>
      </c>
      <c r="W1450" s="4">
        <v>12</v>
      </c>
      <c r="X1450" s="4">
        <v>0</v>
      </c>
      <c r="Y1450" s="4"/>
      <c r="Z1450" s="4">
        <v>309.60000000000002</v>
      </c>
      <c r="AA1450" s="4">
        <v>300</v>
      </c>
      <c r="AB1450" s="18"/>
      <c r="AC1450" s="18">
        <v>28</v>
      </c>
      <c r="AD1450" s="28"/>
      <c r="AE1450" s="26"/>
      <c r="AF1450" s="28"/>
    </row>
    <row r="1451" spans="1:32" ht="13.5" customHeight="1" x14ac:dyDescent="0.25">
      <c r="A1451" s="14">
        <v>45849</v>
      </c>
      <c r="B1451" s="14" t="s">
        <v>46</v>
      </c>
      <c r="C1451" s="15">
        <v>1</v>
      </c>
      <c r="D1451" s="16"/>
      <c r="E1451" s="16"/>
      <c r="F1451" s="17"/>
      <c r="G1451" s="21"/>
      <c r="H1451" s="21"/>
      <c r="I1451" s="4">
        <v>0</v>
      </c>
      <c r="J1451" s="4">
        <v>0</v>
      </c>
      <c r="K1451" s="4"/>
      <c r="L1451" s="16"/>
      <c r="M1451" s="4"/>
      <c r="N1451" s="4"/>
      <c r="O1451" s="4"/>
      <c r="P1451" s="4"/>
      <c r="Q1451" s="4"/>
      <c r="R1451" s="4"/>
      <c r="S1451" s="4">
        <v>0</v>
      </c>
      <c r="T1451" s="4">
        <v>0</v>
      </c>
      <c r="U1451" s="4">
        <v>0</v>
      </c>
      <c r="V1451" s="4">
        <v>12</v>
      </c>
      <c r="W1451" s="4">
        <v>12</v>
      </c>
      <c r="X1451" s="4">
        <v>0</v>
      </c>
      <c r="Y1451" s="4">
        <v>2042.5</v>
      </c>
      <c r="Z1451" s="4">
        <v>161</v>
      </c>
      <c r="AA1451" s="4">
        <v>150</v>
      </c>
      <c r="AB1451" s="18">
        <v>372</v>
      </c>
      <c r="AC1451" s="18">
        <v>28</v>
      </c>
      <c r="AD1451" s="28"/>
      <c r="AE1451" s="26"/>
      <c r="AF1451" s="28"/>
    </row>
    <row r="1452" spans="1:32" ht="13.5" customHeight="1" x14ac:dyDescent="0.25">
      <c r="A1452" s="14">
        <v>45849</v>
      </c>
      <c r="B1452" s="14" t="s">
        <v>47</v>
      </c>
      <c r="C1452" s="15">
        <v>1</v>
      </c>
      <c r="D1452" s="16"/>
      <c r="E1452" s="16"/>
      <c r="F1452" s="17"/>
      <c r="G1452" s="21"/>
      <c r="H1452" s="21"/>
      <c r="I1452" s="4">
        <v>0</v>
      </c>
      <c r="J1452" s="4">
        <v>0</v>
      </c>
      <c r="K1452" s="4"/>
      <c r="L1452" s="16"/>
      <c r="M1452" s="4"/>
      <c r="N1452" s="4"/>
      <c r="O1452" s="4"/>
      <c r="P1452" s="4"/>
      <c r="Q1452" s="4"/>
      <c r="R1452" s="4"/>
      <c r="S1452" s="4">
        <v>0</v>
      </c>
      <c r="T1452" s="4">
        <v>0</v>
      </c>
      <c r="U1452" s="4">
        <v>0</v>
      </c>
      <c r="V1452" s="4">
        <v>12</v>
      </c>
      <c r="W1452" s="4">
        <v>12</v>
      </c>
      <c r="X1452" s="4">
        <v>2.5</v>
      </c>
      <c r="Y1452" s="4"/>
      <c r="Z1452" s="4">
        <v>133.20000000000002</v>
      </c>
      <c r="AA1452" s="4">
        <v>150</v>
      </c>
      <c r="AB1452" s="18"/>
      <c r="AC1452" s="18">
        <v>28</v>
      </c>
      <c r="AD1452" s="28"/>
      <c r="AE1452" s="26"/>
      <c r="AF1452" s="28"/>
    </row>
    <row r="1453" spans="1:32" ht="13.5" customHeight="1" x14ac:dyDescent="0.25">
      <c r="A1453" s="14">
        <v>45849</v>
      </c>
      <c r="B1453" s="14" t="s">
        <v>46</v>
      </c>
      <c r="C1453" s="15">
        <v>3</v>
      </c>
      <c r="D1453" s="16"/>
      <c r="E1453" s="16"/>
      <c r="F1453" s="17"/>
      <c r="G1453" s="21"/>
      <c r="H1453" s="21"/>
      <c r="I1453" s="4">
        <v>0</v>
      </c>
      <c r="J1453" s="4">
        <v>0</v>
      </c>
      <c r="K1453" s="4"/>
      <c r="L1453" s="16"/>
      <c r="M1453" s="4"/>
      <c r="N1453" s="4"/>
      <c r="O1453" s="4"/>
      <c r="P1453" s="4"/>
      <c r="Q1453" s="4"/>
      <c r="R1453" s="4"/>
      <c r="S1453" s="4">
        <v>0</v>
      </c>
      <c r="T1453" s="4">
        <v>0</v>
      </c>
      <c r="U1453" s="4">
        <v>0</v>
      </c>
      <c r="V1453" s="4">
        <v>12</v>
      </c>
      <c r="W1453" s="4">
        <v>12</v>
      </c>
      <c r="X1453" s="4">
        <v>5</v>
      </c>
      <c r="Y1453" s="4"/>
      <c r="Z1453" s="4">
        <v>211.39999999999998</v>
      </c>
      <c r="AA1453" s="4">
        <v>200</v>
      </c>
      <c r="AB1453" s="18"/>
      <c r="AC1453" s="18">
        <v>28</v>
      </c>
      <c r="AD1453" s="28"/>
      <c r="AE1453" s="26"/>
      <c r="AF1453" s="28"/>
    </row>
    <row r="1454" spans="1:32" ht="13.5" customHeight="1" x14ac:dyDescent="0.25">
      <c r="A1454" s="14">
        <v>45849</v>
      </c>
      <c r="B1454" s="14" t="s">
        <v>47</v>
      </c>
      <c r="C1454" s="15">
        <v>3</v>
      </c>
      <c r="D1454" s="16">
        <v>7</v>
      </c>
      <c r="E1454" s="16"/>
      <c r="F1454" s="17"/>
      <c r="G1454" s="21"/>
      <c r="H1454" s="21"/>
      <c r="I1454" s="4">
        <v>7</v>
      </c>
      <c r="J1454" s="4">
        <v>0.11666666666666667</v>
      </c>
      <c r="K1454" s="4"/>
      <c r="L1454" s="16"/>
      <c r="M1454" s="4"/>
      <c r="N1454" s="4"/>
      <c r="O1454" s="4"/>
      <c r="P1454" s="4"/>
      <c r="Q1454" s="4"/>
      <c r="R1454" s="4"/>
      <c r="S1454" s="4">
        <v>0</v>
      </c>
      <c r="T1454" s="4">
        <v>0</v>
      </c>
      <c r="U1454" s="4">
        <v>0.11666666666666667</v>
      </c>
      <c r="V1454" s="4">
        <v>11.883333333333333</v>
      </c>
      <c r="W1454" s="4">
        <v>12</v>
      </c>
      <c r="X1454" s="4">
        <v>8</v>
      </c>
      <c r="Y1454" s="4"/>
      <c r="Z1454" s="4">
        <v>261.8</v>
      </c>
      <c r="AA1454" s="4">
        <v>250</v>
      </c>
      <c r="AB1454" s="18"/>
      <c r="AC1454" s="18">
        <v>28</v>
      </c>
      <c r="AD1454" s="28"/>
      <c r="AE1454" s="26"/>
      <c r="AF1454" s="28"/>
    </row>
    <row r="1455" spans="1:32" ht="13.5" customHeight="1" x14ac:dyDescent="0.25">
      <c r="A1455" s="14">
        <v>45849</v>
      </c>
      <c r="B1455" s="14" t="s">
        <v>46</v>
      </c>
      <c r="C1455" s="15">
        <v>4</v>
      </c>
      <c r="D1455" s="16"/>
      <c r="E1455" s="16"/>
      <c r="F1455" s="17"/>
      <c r="G1455" s="21"/>
      <c r="H1455" s="21"/>
      <c r="I1455" s="4">
        <v>0</v>
      </c>
      <c r="J1455" s="4">
        <v>0</v>
      </c>
      <c r="K1455" s="4"/>
      <c r="L1455" s="16"/>
      <c r="M1455" s="4"/>
      <c r="N1455" s="4"/>
      <c r="O1455" s="4"/>
      <c r="P1455" s="4">
        <v>60</v>
      </c>
      <c r="Q1455" s="4"/>
      <c r="R1455" s="4"/>
      <c r="S1455" s="4">
        <v>60</v>
      </c>
      <c r="T1455" s="4">
        <v>1</v>
      </c>
      <c r="U1455" s="4">
        <v>1</v>
      </c>
      <c r="V1455" s="4">
        <v>11</v>
      </c>
      <c r="W1455" s="4">
        <v>12</v>
      </c>
      <c r="X1455" s="4">
        <v>0</v>
      </c>
      <c r="Y1455" s="4"/>
      <c r="Z1455" s="4">
        <v>336.3</v>
      </c>
      <c r="AA1455" s="4">
        <v>400</v>
      </c>
      <c r="AB1455" s="18"/>
      <c r="AC1455" s="18">
        <v>28</v>
      </c>
      <c r="AD1455" s="28"/>
      <c r="AE1455" s="26"/>
      <c r="AF1455" s="28"/>
    </row>
    <row r="1456" spans="1:32" ht="13.5" customHeight="1" x14ac:dyDescent="0.25">
      <c r="A1456" s="14">
        <v>45849</v>
      </c>
      <c r="B1456" s="14" t="s">
        <v>47</v>
      </c>
      <c r="C1456" s="15">
        <v>4</v>
      </c>
      <c r="D1456" s="16"/>
      <c r="E1456" s="16"/>
      <c r="F1456" s="17"/>
      <c r="G1456" s="21"/>
      <c r="H1456" s="21"/>
      <c r="I1456" s="4">
        <v>0</v>
      </c>
      <c r="J1456" s="4">
        <v>0</v>
      </c>
      <c r="K1456" s="4"/>
      <c r="L1456" s="16"/>
      <c r="M1456" s="4"/>
      <c r="N1456" s="4"/>
      <c r="O1456" s="4"/>
      <c r="P1456" s="4"/>
      <c r="Q1456" s="4"/>
      <c r="R1456" s="4"/>
      <c r="S1456" s="4">
        <v>0</v>
      </c>
      <c r="T1456" s="4">
        <v>0</v>
      </c>
      <c r="U1456" s="4">
        <v>0</v>
      </c>
      <c r="V1456" s="4">
        <v>12</v>
      </c>
      <c r="W1456" s="4">
        <v>12</v>
      </c>
      <c r="X1456" s="4">
        <v>20.399999999999999</v>
      </c>
      <c r="Y1456" s="4"/>
      <c r="Z1456" s="4">
        <v>324.89999999999998</v>
      </c>
      <c r="AA1456" s="4">
        <v>300</v>
      </c>
      <c r="AB1456" s="18"/>
      <c r="AC1456" s="18">
        <v>28</v>
      </c>
      <c r="AD1456" s="28"/>
      <c r="AE1456" s="26"/>
      <c r="AF1456" s="28"/>
    </row>
    <row r="1457" spans="1:32" ht="13.5" customHeight="1" x14ac:dyDescent="0.25">
      <c r="A1457" s="14">
        <v>45849</v>
      </c>
      <c r="B1457" s="14" t="s">
        <v>46</v>
      </c>
      <c r="C1457" s="15">
        <v>6</v>
      </c>
      <c r="D1457" s="16">
        <v>13</v>
      </c>
      <c r="E1457" s="16"/>
      <c r="F1457" s="17"/>
      <c r="G1457" s="21"/>
      <c r="H1457" s="21"/>
      <c r="I1457" s="4">
        <v>13</v>
      </c>
      <c r="J1457" s="4">
        <v>0.21666666666666667</v>
      </c>
      <c r="K1457" s="4"/>
      <c r="L1457" s="16"/>
      <c r="M1457" s="4"/>
      <c r="N1457" s="4"/>
      <c r="O1457" s="4"/>
      <c r="P1457" s="4"/>
      <c r="Q1457" s="4"/>
      <c r="R1457" s="4"/>
      <c r="S1457" s="4">
        <v>0</v>
      </c>
      <c r="T1457" s="4">
        <v>0</v>
      </c>
      <c r="U1457" s="4">
        <v>0.21666666666666667</v>
      </c>
      <c r="V1457" s="4">
        <v>11.783333333333333</v>
      </c>
      <c r="W1457" s="4">
        <v>12</v>
      </c>
      <c r="X1457" s="4">
        <v>14.4</v>
      </c>
      <c r="Y1457" s="4"/>
      <c r="Z1457" s="4">
        <v>870</v>
      </c>
      <c r="AA1457" s="4">
        <v>900</v>
      </c>
      <c r="AB1457" s="18"/>
      <c r="AC1457" s="18">
        <v>28</v>
      </c>
      <c r="AD1457" s="28"/>
      <c r="AE1457" s="26"/>
      <c r="AF1457" s="28"/>
    </row>
    <row r="1458" spans="1:32" ht="13.5" customHeight="1" x14ac:dyDescent="0.25">
      <c r="A1458" s="14">
        <v>45849</v>
      </c>
      <c r="B1458" s="14" t="s">
        <v>47</v>
      </c>
      <c r="C1458" s="15">
        <v>6</v>
      </c>
      <c r="D1458" s="16"/>
      <c r="E1458" s="16"/>
      <c r="F1458" s="17"/>
      <c r="G1458" s="21"/>
      <c r="H1458" s="21"/>
      <c r="I1458" s="4">
        <v>0</v>
      </c>
      <c r="J1458" s="4">
        <v>0</v>
      </c>
      <c r="K1458" s="4"/>
      <c r="L1458" s="16"/>
      <c r="M1458" s="4"/>
      <c r="N1458" s="4"/>
      <c r="O1458" s="4"/>
      <c r="P1458" s="4"/>
      <c r="Q1458" s="4"/>
      <c r="R1458" s="4"/>
      <c r="S1458" s="4">
        <v>0</v>
      </c>
      <c r="T1458" s="4">
        <v>0</v>
      </c>
      <c r="U1458" s="4">
        <v>0</v>
      </c>
      <c r="V1458" s="4">
        <v>12</v>
      </c>
      <c r="W1458" s="4">
        <v>12</v>
      </c>
      <c r="X1458" s="4">
        <v>18</v>
      </c>
      <c r="Y1458" s="4"/>
      <c r="Z1458" s="4">
        <v>489.2</v>
      </c>
      <c r="AA1458" s="4">
        <v>500</v>
      </c>
      <c r="AB1458" s="18"/>
      <c r="AC1458" s="18">
        <v>28</v>
      </c>
      <c r="AD1458" s="28"/>
      <c r="AE1458" s="26"/>
      <c r="AF1458" s="28"/>
    </row>
    <row r="1459" spans="1:32" ht="13.5" customHeight="1" x14ac:dyDescent="0.25">
      <c r="A1459" s="14">
        <v>45849</v>
      </c>
      <c r="B1459" s="14" t="s">
        <v>46</v>
      </c>
      <c r="C1459" s="15">
        <v>7</v>
      </c>
      <c r="D1459" s="16">
        <v>9</v>
      </c>
      <c r="E1459" s="16"/>
      <c r="F1459" s="17"/>
      <c r="G1459" s="21"/>
      <c r="H1459" s="21"/>
      <c r="I1459" s="4">
        <v>9</v>
      </c>
      <c r="J1459" s="4">
        <v>0.15</v>
      </c>
      <c r="K1459" s="4"/>
      <c r="L1459" s="16"/>
      <c r="M1459" s="4"/>
      <c r="N1459" s="4"/>
      <c r="O1459" s="4"/>
      <c r="P1459" s="4"/>
      <c r="Q1459" s="4"/>
      <c r="R1459" s="4"/>
      <c r="S1459" s="4">
        <v>0</v>
      </c>
      <c r="T1459" s="4">
        <v>0</v>
      </c>
      <c r="U1459" s="4">
        <v>0.15</v>
      </c>
      <c r="V1459" s="4">
        <v>11.85</v>
      </c>
      <c r="W1459" s="4">
        <v>12</v>
      </c>
      <c r="X1459" s="4">
        <v>6.6</v>
      </c>
      <c r="Y1459" s="4"/>
      <c r="Z1459" s="4">
        <v>308.29999999999995</v>
      </c>
      <c r="AA1459" s="4">
        <v>300</v>
      </c>
      <c r="AB1459" s="18"/>
      <c r="AC1459" s="18">
        <v>28</v>
      </c>
      <c r="AD1459" s="28"/>
      <c r="AE1459" s="26"/>
      <c r="AF1459" s="28"/>
    </row>
    <row r="1460" spans="1:32" ht="13.5" customHeight="1" x14ac:dyDescent="0.25">
      <c r="A1460" s="14">
        <v>45849</v>
      </c>
      <c r="B1460" s="14" t="s">
        <v>47</v>
      </c>
      <c r="C1460" s="15">
        <v>7</v>
      </c>
      <c r="D1460" s="16"/>
      <c r="E1460" s="16"/>
      <c r="F1460" s="17"/>
      <c r="G1460" s="21"/>
      <c r="H1460" s="21"/>
      <c r="I1460" s="4">
        <v>0</v>
      </c>
      <c r="J1460" s="4">
        <v>0</v>
      </c>
      <c r="K1460" s="4"/>
      <c r="L1460" s="16"/>
      <c r="M1460" s="4"/>
      <c r="N1460" s="4"/>
      <c r="O1460" s="4"/>
      <c r="P1460" s="4"/>
      <c r="Q1460" s="4"/>
      <c r="R1460" s="4"/>
      <c r="S1460" s="4">
        <v>0</v>
      </c>
      <c r="T1460" s="4">
        <v>0</v>
      </c>
      <c r="U1460" s="4">
        <v>0</v>
      </c>
      <c r="V1460" s="4">
        <v>12</v>
      </c>
      <c r="W1460" s="4">
        <v>12</v>
      </c>
      <c r="X1460" s="4">
        <v>24</v>
      </c>
      <c r="Y1460" s="4"/>
      <c r="Z1460" s="4">
        <v>434.6</v>
      </c>
      <c r="AA1460" s="4">
        <v>450</v>
      </c>
      <c r="AB1460" s="18"/>
      <c r="AC1460" s="18">
        <v>28</v>
      </c>
      <c r="AD1460" s="28"/>
      <c r="AE1460" s="26"/>
      <c r="AF1460" s="28"/>
    </row>
    <row r="1461" spans="1:32" ht="13.5" customHeight="1" x14ac:dyDescent="0.25">
      <c r="A1461" s="14">
        <v>45850</v>
      </c>
      <c r="B1461" s="14" t="s">
        <v>46</v>
      </c>
      <c r="C1461" s="15">
        <v>1</v>
      </c>
      <c r="D1461" s="16"/>
      <c r="E1461" s="16"/>
      <c r="F1461" s="17"/>
      <c r="G1461" s="21"/>
      <c r="H1461" s="21"/>
      <c r="I1461" s="4">
        <v>0</v>
      </c>
      <c r="J1461" s="4">
        <v>0</v>
      </c>
      <c r="K1461" s="4"/>
      <c r="L1461" s="16"/>
      <c r="M1461" s="4"/>
      <c r="N1461" s="4"/>
      <c r="O1461" s="4"/>
      <c r="P1461" s="4"/>
      <c r="Q1461" s="4"/>
      <c r="R1461" s="4"/>
      <c r="S1461" s="4">
        <v>0</v>
      </c>
      <c r="T1461" s="4">
        <v>0</v>
      </c>
      <c r="U1461" s="4">
        <v>0</v>
      </c>
      <c r="V1461" s="4">
        <v>12</v>
      </c>
      <c r="W1461" s="4">
        <v>12</v>
      </c>
      <c r="X1461" s="4">
        <v>0</v>
      </c>
      <c r="Y1461" s="4">
        <v>2044</v>
      </c>
      <c r="Z1461" s="4">
        <v>131.70000000000002</v>
      </c>
      <c r="AA1461" s="4">
        <v>100</v>
      </c>
      <c r="AB1461" s="18">
        <v>372</v>
      </c>
      <c r="AC1461" s="18">
        <v>28</v>
      </c>
      <c r="AD1461" s="28"/>
      <c r="AE1461" s="26"/>
      <c r="AF1461" s="28"/>
    </row>
    <row r="1462" spans="1:32" ht="13.5" customHeight="1" x14ac:dyDescent="0.25">
      <c r="A1462" s="14">
        <v>45850</v>
      </c>
      <c r="B1462" s="14" t="s">
        <v>47</v>
      </c>
      <c r="C1462" s="15">
        <v>1</v>
      </c>
      <c r="D1462" s="16"/>
      <c r="E1462" s="16"/>
      <c r="F1462" s="17"/>
      <c r="G1462" s="21"/>
      <c r="H1462" s="21"/>
      <c r="I1462" s="4">
        <v>0</v>
      </c>
      <c r="J1462" s="4">
        <v>0</v>
      </c>
      <c r="K1462" s="4"/>
      <c r="L1462" s="16"/>
      <c r="M1462" s="4"/>
      <c r="N1462" s="4"/>
      <c r="O1462" s="4"/>
      <c r="P1462" s="4"/>
      <c r="Q1462" s="4"/>
      <c r="R1462" s="4"/>
      <c r="S1462" s="4">
        <v>0</v>
      </c>
      <c r="T1462" s="4">
        <v>0</v>
      </c>
      <c r="U1462" s="4">
        <v>0</v>
      </c>
      <c r="V1462" s="4">
        <v>12</v>
      </c>
      <c r="W1462" s="4">
        <v>12</v>
      </c>
      <c r="X1462" s="4">
        <v>0</v>
      </c>
      <c r="Y1462" s="4"/>
      <c r="Z1462" s="4">
        <v>135.89999999999998</v>
      </c>
      <c r="AA1462" s="4">
        <v>150</v>
      </c>
      <c r="AB1462" s="18"/>
      <c r="AC1462" s="18">
        <v>28</v>
      </c>
      <c r="AD1462" s="28"/>
      <c r="AE1462" s="26"/>
      <c r="AF1462" s="28"/>
    </row>
    <row r="1463" spans="1:32" ht="13.5" customHeight="1" x14ac:dyDescent="0.25">
      <c r="A1463" s="14">
        <v>45850</v>
      </c>
      <c r="B1463" s="14" t="s">
        <v>46</v>
      </c>
      <c r="C1463" s="15">
        <v>3</v>
      </c>
      <c r="D1463" s="16">
        <v>5</v>
      </c>
      <c r="E1463" s="16"/>
      <c r="F1463" s="17"/>
      <c r="G1463" s="21"/>
      <c r="H1463" s="21"/>
      <c r="I1463" s="4">
        <v>5</v>
      </c>
      <c r="J1463" s="4">
        <v>8.3333333333333329E-2</v>
      </c>
      <c r="K1463" s="4"/>
      <c r="L1463" s="16"/>
      <c r="M1463" s="4"/>
      <c r="N1463" s="4"/>
      <c r="O1463" s="4"/>
      <c r="P1463" s="4"/>
      <c r="Q1463" s="4"/>
      <c r="R1463" s="4"/>
      <c r="S1463" s="4">
        <v>0</v>
      </c>
      <c r="T1463" s="4">
        <v>0</v>
      </c>
      <c r="U1463" s="4">
        <v>8.3333333333333329E-2</v>
      </c>
      <c r="V1463" s="4">
        <v>11.916666666666666</v>
      </c>
      <c r="W1463" s="4">
        <v>12</v>
      </c>
      <c r="X1463" s="4">
        <v>0</v>
      </c>
      <c r="Y1463" s="4"/>
      <c r="Z1463" s="4">
        <v>285.2</v>
      </c>
      <c r="AA1463" s="4">
        <v>300</v>
      </c>
      <c r="AB1463" s="18"/>
      <c r="AC1463" s="18">
        <v>28</v>
      </c>
      <c r="AD1463" s="28"/>
      <c r="AE1463" s="26"/>
      <c r="AF1463" s="28"/>
    </row>
    <row r="1464" spans="1:32" ht="13.5" customHeight="1" x14ac:dyDescent="0.25">
      <c r="A1464" s="14">
        <v>45850</v>
      </c>
      <c r="B1464" s="14" t="s">
        <v>47</v>
      </c>
      <c r="C1464" s="15">
        <v>3</v>
      </c>
      <c r="D1464" s="16"/>
      <c r="E1464" s="16"/>
      <c r="F1464" s="17"/>
      <c r="G1464" s="21"/>
      <c r="H1464" s="21"/>
      <c r="I1464" s="4">
        <v>0</v>
      </c>
      <c r="J1464" s="4">
        <v>0</v>
      </c>
      <c r="K1464" s="4"/>
      <c r="L1464" s="16"/>
      <c r="M1464" s="4"/>
      <c r="N1464" s="4"/>
      <c r="O1464" s="4"/>
      <c r="P1464" s="4"/>
      <c r="Q1464" s="4"/>
      <c r="R1464" s="4"/>
      <c r="S1464" s="4">
        <v>0</v>
      </c>
      <c r="T1464" s="4">
        <v>0</v>
      </c>
      <c r="U1464" s="4">
        <v>0</v>
      </c>
      <c r="V1464" s="4">
        <v>12</v>
      </c>
      <c r="W1464" s="4">
        <v>12</v>
      </c>
      <c r="X1464" s="4">
        <v>0</v>
      </c>
      <c r="Y1464" s="4"/>
      <c r="Z1464" s="4">
        <v>169.3</v>
      </c>
      <c r="AA1464" s="4">
        <v>150</v>
      </c>
      <c r="AB1464" s="18"/>
      <c r="AC1464" s="18">
        <v>28</v>
      </c>
      <c r="AD1464" s="28"/>
      <c r="AE1464" s="26"/>
      <c r="AF1464" s="28"/>
    </row>
    <row r="1465" spans="1:32" ht="13.5" customHeight="1" x14ac:dyDescent="0.25">
      <c r="A1465" s="14">
        <v>45850</v>
      </c>
      <c r="B1465" s="14" t="s">
        <v>46</v>
      </c>
      <c r="C1465" s="15">
        <v>4</v>
      </c>
      <c r="D1465" s="16"/>
      <c r="E1465" s="16"/>
      <c r="F1465" s="17"/>
      <c r="G1465" s="21"/>
      <c r="H1465" s="21"/>
      <c r="I1465" s="4">
        <v>0</v>
      </c>
      <c r="J1465" s="4">
        <v>0</v>
      </c>
      <c r="K1465" s="4"/>
      <c r="L1465" s="16"/>
      <c r="M1465" s="4"/>
      <c r="N1465" s="4"/>
      <c r="O1465" s="4"/>
      <c r="P1465" s="4"/>
      <c r="Q1465" s="4"/>
      <c r="R1465" s="4"/>
      <c r="S1465" s="4">
        <v>0</v>
      </c>
      <c r="T1465" s="4">
        <v>0</v>
      </c>
      <c r="U1465" s="4">
        <v>0</v>
      </c>
      <c r="V1465" s="4">
        <v>12</v>
      </c>
      <c r="W1465" s="4">
        <v>12</v>
      </c>
      <c r="X1465" s="4">
        <v>0</v>
      </c>
      <c r="Y1465" s="4"/>
      <c r="Z1465" s="4">
        <v>197.8</v>
      </c>
      <c r="AA1465" s="4">
        <v>200</v>
      </c>
      <c r="AB1465" s="18"/>
      <c r="AC1465" s="18">
        <v>28</v>
      </c>
      <c r="AD1465" s="28"/>
      <c r="AE1465" s="26"/>
      <c r="AF1465" s="28"/>
    </row>
    <row r="1466" spans="1:32" ht="13.5" customHeight="1" x14ac:dyDescent="0.25">
      <c r="A1466" s="14">
        <v>45850</v>
      </c>
      <c r="B1466" s="14" t="s">
        <v>47</v>
      </c>
      <c r="C1466" s="15">
        <v>4</v>
      </c>
      <c r="D1466" s="16"/>
      <c r="E1466" s="16"/>
      <c r="F1466" s="17"/>
      <c r="G1466" s="21"/>
      <c r="H1466" s="21"/>
      <c r="I1466" s="4">
        <v>0</v>
      </c>
      <c r="J1466" s="4">
        <v>0</v>
      </c>
      <c r="K1466" s="4"/>
      <c r="L1466" s="16"/>
      <c r="M1466" s="4"/>
      <c r="N1466" s="4"/>
      <c r="O1466" s="4"/>
      <c r="P1466" s="4"/>
      <c r="Q1466" s="4"/>
      <c r="R1466" s="4"/>
      <c r="S1466" s="4">
        <v>0</v>
      </c>
      <c r="T1466" s="4">
        <v>0</v>
      </c>
      <c r="U1466" s="4">
        <v>0</v>
      </c>
      <c r="V1466" s="4">
        <v>12</v>
      </c>
      <c r="W1466" s="4">
        <v>12</v>
      </c>
      <c r="X1466" s="4">
        <v>0</v>
      </c>
      <c r="Y1466" s="4"/>
      <c r="Z1466" s="4">
        <v>493.9</v>
      </c>
      <c r="AA1466" s="4">
        <v>500</v>
      </c>
      <c r="AB1466" s="18"/>
      <c r="AC1466" s="18">
        <v>28</v>
      </c>
      <c r="AD1466" s="28"/>
      <c r="AE1466" s="26"/>
      <c r="AF1466" s="28"/>
    </row>
    <row r="1467" spans="1:32" ht="13.5" customHeight="1" x14ac:dyDescent="0.25">
      <c r="A1467" s="14">
        <v>45850</v>
      </c>
      <c r="B1467" s="14" t="s">
        <v>46</v>
      </c>
      <c r="C1467" s="15">
        <v>6</v>
      </c>
      <c r="D1467" s="16">
        <v>35</v>
      </c>
      <c r="E1467" s="16"/>
      <c r="F1467" s="17"/>
      <c r="G1467" s="21"/>
      <c r="H1467" s="21"/>
      <c r="I1467" s="4">
        <v>35</v>
      </c>
      <c r="J1467" s="4">
        <v>0.58333333333333337</v>
      </c>
      <c r="K1467" s="4"/>
      <c r="L1467" s="16">
        <v>30</v>
      </c>
      <c r="M1467" s="4"/>
      <c r="N1467" s="4"/>
      <c r="O1467" s="4"/>
      <c r="P1467" s="4"/>
      <c r="Q1467" s="4"/>
      <c r="R1467" s="4"/>
      <c r="S1467" s="4">
        <v>30</v>
      </c>
      <c r="T1467" s="4">
        <v>0.5</v>
      </c>
      <c r="U1467" s="4">
        <v>1.0833333333333335</v>
      </c>
      <c r="V1467" s="4">
        <v>10.916666666666666</v>
      </c>
      <c r="W1467" s="4">
        <v>12</v>
      </c>
      <c r="X1467" s="4">
        <v>140</v>
      </c>
      <c r="Y1467" s="4"/>
      <c r="Z1467" s="4">
        <v>505.09999999999991</v>
      </c>
      <c r="AA1467" s="4">
        <v>500</v>
      </c>
      <c r="AB1467" s="18"/>
      <c r="AC1467" s="18">
        <v>28</v>
      </c>
      <c r="AD1467" s="28"/>
      <c r="AE1467" s="26"/>
      <c r="AF1467" s="28"/>
    </row>
    <row r="1468" spans="1:32" ht="13.5" customHeight="1" x14ac:dyDescent="0.25">
      <c r="A1468" s="14">
        <v>45850</v>
      </c>
      <c r="B1468" s="14" t="s">
        <v>47</v>
      </c>
      <c r="C1468" s="15">
        <v>6</v>
      </c>
      <c r="D1468" s="16"/>
      <c r="E1468" s="16"/>
      <c r="F1468" s="17"/>
      <c r="G1468" s="21"/>
      <c r="H1468" s="21"/>
      <c r="I1468" s="4">
        <v>0</v>
      </c>
      <c r="J1468" s="4">
        <v>0</v>
      </c>
      <c r="K1468" s="4"/>
      <c r="L1468" s="16"/>
      <c r="M1468" s="4"/>
      <c r="N1468" s="4"/>
      <c r="O1468" s="4"/>
      <c r="P1468" s="4"/>
      <c r="Q1468" s="4"/>
      <c r="R1468" s="4"/>
      <c r="S1468" s="4">
        <v>0</v>
      </c>
      <c r="T1468" s="4">
        <v>0</v>
      </c>
      <c r="U1468" s="4">
        <v>0</v>
      </c>
      <c r="V1468" s="4">
        <v>12</v>
      </c>
      <c r="W1468" s="4">
        <v>12</v>
      </c>
      <c r="X1468" s="4">
        <v>101</v>
      </c>
      <c r="Y1468" s="4"/>
      <c r="Z1468" s="4">
        <v>684.8</v>
      </c>
      <c r="AA1468" s="4">
        <v>700</v>
      </c>
      <c r="AB1468" s="18"/>
      <c r="AC1468" s="18">
        <v>28</v>
      </c>
      <c r="AD1468" s="28"/>
      <c r="AE1468" s="26"/>
      <c r="AF1468" s="28"/>
    </row>
    <row r="1469" spans="1:32" ht="13.5" customHeight="1" x14ac:dyDescent="0.25">
      <c r="A1469" s="14">
        <v>45850</v>
      </c>
      <c r="B1469" s="14" t="s">
        <v>46</v>
      </c>
      <c r="C1469" s="15">
        <v>7</v>
      </c>
      <c r="D1469" s="16">
        <v>5</v>
      </c>
      <c r="E1469" s="16"/>
      <c r="F1469" s="17"/>
      <c r="G1469" s="21"/>
      <c r="H1469" s="21"/>
      <c r="I1469" s="4">
        <v>5</v>
      </c>
      <c r="J1469" s="4">
        <v>8.3333333333333329E-2</v>
      </c>
      <c r="K1469" s="4"/>
      <c r="L1469" s="16"/>
      <c r="M1469" s="4"/>
      <c r="N1469" s="4"/>
      <c r="O1469" s="4"/>
      <c r="P1469" s="4"/>
      <c r="Q1469" s="4"/>
      <c r="R1469" s="4"/>
      <c r="S1469" s="4">
        <v>0</v>
      </c>
      <c r="T1469" s="4">
        <v>0</v>
      </c>
      <c r="U1469" s="4">
        <v>8.3333333333333329E-2</v>
      </c>
      <c r="V1469" s="4">
        <v>11.916666666666666</v>
      </c>
      <c r="W1469" s="4">
        <v>12</v>
      </c>
      <c r="X1469" s="4">
        <v>12.2</v>
      </c>
      <c r="Y1469" s="4"/>
      <c r="Z1469" s="4">
        <v>542.65</v>
      </c>
      <c r="AA1469" s="4">
        <v>550</v>
      </c>
      <c r="AB1469" s="18"/>
      <c r="AC1469" s="18">
        <v>28</v>
      </c>
      <c r="AD1469" s="28"/>
      <c r="AE1469" s="26"/>
      <c r="AF1469" s="28"/>
    </row>
    <row r="1470" spans="1:32" ht="13.5" customHeight="1" x14ac:dyDescent="0.25">
      <c r="A1470" s="14">
        <v>45850</v>
      </c>
      <c r="B1470" s="14" t="s">
        <v>47</v>
      </c>
      <c r="C1470" s="15">
        <v>7</v>
      </c>
      <c r="D1470" s="16"/>
      <c r="E1470" s="16"/>
      <c r="F1470" s="17"/>
      <c r="G1470" s="21"/>
      <c r="H1470" s="21"/>
      <c r="I1470" s="4">
        <v>0</v>
      </c>
      <c r="J1470" s="4">
        <v>0</v>
      </c>
      <c r="K1470" s="4"/>
      <c r="L1470" s="16"/>
      <c r="M1470" s="4"/>
      <c r="N1470" s="4"/>
      <c r="O1470" s="4"/>
      <c r="P1470" s="4"/>
      <c r="Q1470" s="4"/>
      <c r="R1470" s="4"/>
      <c r="S1470" s="4">
        <v>0</v>
      </c>
      <c r="T1470" s="4">
        <v>0</v>
      </c>
      <c r="U1470" s="4">
        <v>0</v>
      </c>
      <c r="V1470" s="4">
        <v>12</v>
      </c>
      <c r="W1470" s="4">
        <v>12</v>
      </c>
      <c r="X1470" s="4">
        <v>0</v>
      </c>
      <c r="Y1470" s="4"/>
      <c r="Z1470" s="4">
        <v>427.1</v>
      </c>
      <c r="AA1470" s="4">
        <v>450</v>
      </c>
      <c r="AB1470" s="18"/>
      <c r="AC1470" s="18">
        <v>28</v>
      </c>
      <c r="AD1470" s="28"/>
      <c r="AE1470" s="26"/>
      <c r="AF1470" s="28"/>
    </row>
    <row r="1471" spans="1:32" ht="13.5" customHeight="1" x14ac:dyDescent="0.25">
      <c r="A1471" s="14">
        <v>45851</v>
      </c>
      <c r="B1471" s="14" t="s">
        <v>46</v>
      </c>
      <c r="C1471" s="15">
        <v>1</v>
      </c>
      <c r="D1471" s="16"/>
      <c r="E1471" s="16"/>
      <c r="F1471" s="17"/>
      <c r="G1471" s="21"/>
      <c r="H1471" s="21"/>
      <c r="I1471" s="4">
        <v>0</v>
      </c>
      <c r="J1471" s="4">
        <v>0</v>
      </c>
      <c r="K1471" s="4"/>
      <c r="L1471" s="16"/>
      <c r="M1471" s="4"/>
      <c r="N1471" s="4"/>
      <c r="O1471" s="4"/>
      <c r="P1471" s="4"/>
      <c r="Q1471" s="4"/>
      <c r="R1471" s="4"/>
      <c r="S1471" s="4">
        <v>0</v>
      </c>
      <c r="T1471" s="4">
        <v>0</v>
      </c>
      <c r="U1471" s="4">
        <v>0</v>
      </c>
      <c r="V1471" s="4">
        <v>12</v>
      </c>
      <c r="W1471" s="4">
        <v>12</v>
      </c>
      <c r="X1471" s="4">
        <v>0</v>
      </c>
      <c r="Y1471" s="4">
        <v>2161</v>
      </c>
      <c r="Z1471" s="4">
        <v>140</v>
      </c>
      <c r="AA1471" s="4">
        <v>150</v>
      </c>
      <c r="AB1471" s="18">
        <v>372</v>
      </c>
      <c r="AC1471" s="18">
        <v>28</v>
      </c>
      <c r="AD1471" s="28"/>
      <c r="AE1471" s="26"/>
      <c r="AF1471" s="28"/>
    </row>
    <row r="1472" spans="1:32" ht="13.5" customHeight="1" x14ac:dyDescent="0.25">
      <c r="A1472" s="14">
        <v>45851</v>
      </c>
      <c r="B1472" s="14" t="s">
        <v>47</v>
      </c>
      <c r="C1472" s="15">
        <v>1</v>
      </c>
      <c r="D1472" s="16"/>
      <c r="E1472" s="16"/>
      <c r="F1472" s="17"/>
      <c r="G1472" s="21"/>
      <c r="H1472" s="21"/>
      <c r="I1472" s="4">
        <v>0</v>
      </c>
      <c r="J1472" s="4">
        <v>0</v>
      </c>
      <c r="K1472" s="4"/>
      <c r="L1472" s="16"/>
      <c r="M1472" s="4"/>
      <c r="N1472" s="4"/>
      <c r="O1472" s="4"/>
      <c r="P1472" s="4"/>
      <c r="Q1472" s="4"/>
      <c r="R1472" s="4"/>
      <c r="S1472" s="4">
        <v>0</v>
      </c>
      <c r="T1472" s="4">
        <v>0</v>
      </c>
      <c r="U1472" s="4">
        <v>0</v>
      </c>
      <c r="V1472" s="4">
        <v>12</v>
      </c>
      <c r="W1472" s="4">
        <v>12</v>
      </c>
      <c r="X1472" s="4">
        <v>0</v>
      </c>
      <c r="Y1472" s="4"/>
      <c r="Z1472" s="4">
        <v>125.69999999999999</v>
      </c>
      <c r="AA1472" s="4">
        <v>100</v>
      </c>
      <c r="AB1472" s="18"/>
      <c r="AC1472" s="18">
        <v>28</v>
      </c>
      <c r="AD1472" s="28"/>
      <c r="AE1472" s="26"/>
      <c r="AF1472" s="28"/>
    </row>
    <row r="1473" spans="1:32" ht="13.5" customHeight="1" x14ac:dyDescent="0.25">
      <c r="A1473" s="14">
        <v>45851</v>
      </c>
      <c r="B1473" s="14" t="s">
        <v>46</v>
      </c>
      <c r="C1473" s="15">
        <v>3</v>
      </c>
      <c r="D1473" s="16">
        <v>5</v>
      </c>
      <c r="E1473" s="16"/>
      <c r="F1473" s="17"/>
      <c r="G1473" s="21"/>
      <c r="H1473" s="21"/>
      <c r="I1473" s="4">
        <v>5</v>
      </c>
      <c r="J1473" s="4">
        <v>8.3333333333333329E-2</v>
      </c>
      <c r="K1473" s="4"/>
      <c r="L1473" s="16">
        <v>5</v>
      </c>
      <c r="M1473" s="4"/>
      <c r="N1473" s="4"/>
      <c r="O1473" s="4"/>
      <c r="P1473" s="4"/>
      <c r="Q1473" s="4">
        <v>35</v>
      </c>
      <c r="R1473" s="4"/>
      <c r="S1473" s="4">
        <v>40</v>
      </c>
      <c r="T1473" s="4">
        <v>0.66666666666666663</v>
      </c>
      <c r="U1473" s="4">
        <v>0.75</v>
      </c>
      <c r="V1473" s="4">
        <v>11.25</v>
      </c>
      <c r="W1473" s="4">
        <v>12</v>
      </c>
      <c r="X1473" s="4">
        <v>22</v>
      </c>
      <c r="Y1473" s="4"/>
      <c r="Z1473" s="4">
        <v>473.99999999999994</v>
      </c>
      <c r="AA1473" s="4">
        <v>500</v>
      </c>
      <c r="AB1473" s="18"/>
      <c r="AC1473" s="18">
        <v>28</v>
      </c>
      <c r="AD1473" s="28"/>
      <c r="AE1473" s="26"/>
      <c r="AF1473" s="28"/>
    </row>
    <row r="1474" spans="1:32" ht="13.5" customHeight="1" x14ac:dyDescent="0.25">
      <c r="A1474" s="14">
        <v>45851</v>
      </c>
      <c r="B1474" s="14" t="s">
        <v>47</v>
      </c>
      <c r="C1474" s="15">
        <v>3</v>
      </c>
      <c r="D1474" s="16"/>
      <c r="E1474" s="16"/>
      <c r="F1474" s="17"/>
      <c r="G1474" s="21"/>
      <c r="H1474" s="21"/>
      <c r="I1474" s="4">
        <v>0</v>
      </c>
      <c r="J1474" s="4">
        <v>0</v>
      </c>
      <c r="K1474" s="4"/>
      <c r="L1474" s="16"/>
      <c r="M1474" s="4"/>
      <c r="N1474" s="4"/>
      <c r="O1474" s="4"/>
      <c r="P1474" s="4"/>
      <c r="Q1474" s="4"/>
      <c r="R1474" s="4"/>
      <c r="S1474" s="4">
        <v>0</v>
      </c>
      <c r="T1474" s="4">
        <v>0</v>
      </c>
      <c r="U1474" s="4">
        <v>0</v>
      </c>
      <c r="V1474" s="4">
        <v>12</v>
      </c>
      <c r="W1474" s="4">
        <v>12</v>
      </c>
      <c r="X1474" s="4">
        <v>18</v>
      </c>
      <c r="Y1474" s="4"/>
      <c r="Z1474" s="4">
        <v>423</v>
      </c>
      <c r="AA1474" s="4">
        <v>400</v>
      </c>
      <c r="AB1474" s="18"/>
      <c r="AC1474" s="18">
        <v>28</v>
      </c>
      <c r="AD1474" s="28"/>
      <c r="AE1474" s="26"/>
      <c r="AF1474" s="28"/>
    </row>
    <row r="1475" spans="1:32" ht="13.5" customHeight="1" x14ac:dyDescent="0.25">
      <c r="A1475" s="14">
        <v>45851</v>
      </c>
      <c r="B1475" s="14" t="s">
        <v>46</v>
      </c>
      <c r="C1475" s="15">
        <v>4</v>
      </c>
      <c r="D1475" s="16"/>
      <c r="E1475" s="16"/>
      <c r="F1475" s="17"/>
      <c r="G1475" s="21"/>
      <c r="H1475" s="21"/>
      <c r="I1475" s="4">
        <v>0</v>
      </c>
      <c r="J1475" s="4">
        <v>0</v>
      </c>
      <c r="K1475" s="4"/>
      <c r="L1475" s="16"/>
      <c r="M1475" s="4"/>
      <c r="N1475" s="4"/>
      <c r="O1475" s="4"/>
      <c r="P1475" s="4"/>
      <c r="Q1475" s="4"/>
      <c r="R1475" s="4"/>
      <c r="S1475" s="4">
        <v>0</v>
      </c>
      <c r="T1475" s="4">
        <v>0</v>
      </c>
      <c r="U1475" s="4">
        <v>0</v>
      </c>
      <c r="V1475" s="4">
        <v>12</v>
      </c>
      <c r="W1475" s="4">
        <v>12</v>
      </c>
      <c r="X1475" s="4">
        <v>6</v>
      </c>
      <c r="Y1475" s="4"/>
      <c r="Z1475" s="4">
        <v>368.5</v>
      </c>
      <c r="AA1475" s="4">
        <v>400</v>
      </c>
      <c r="AB1475" s="18"/>
      <c r="AC1475" s="18">
        <v>28</v>
      </c>
      <c r="AD1475" s="28"/>
      <c r="AE1475" s="26"/>
      <c r="AF1475" s="28"/>
    </row>
    <row r="1476" spans="1:32" ht="13.5" customHeight="1" x14ac:dyDescent="0.25">
      <c r="A1476" s="14">
        <v>45851</v>
      </c>
      <c r="B1476" s="14" t="s">
        <v>47</v>
      </c>
      <c r="C1476" s="15">
        <v>4</v>
      </c>
      <c r="D1476" s="16"/>
      <c r="E1476" s="16"/>
      <c r="F1476" s="17"/>
      <c r="G1476" s="21"/>
      <c r="H1476" s="21"/>
      <c r="I1476" s="4">
        <v>0</v>
      </c>
      <c r="J1476" s="4">
        <v>0</v>
      </c>
      <c r="K1476" s="4"/>
      <c r="L1476" s="16"/>
      <c r="M1476" s="4"/>
      <c r="N1476" s="4"/>
      <c r="O1476" s="4"/>
      <c r="P1476" s="4"/>
      <c r="Q1476" s="4"/>
      <c r="R1476" s="4"/>
      <c r="S1476" s="4">
        <v>0</v>
      </c>
      <c r="T1476" s="4">
        <v>0</v>
      </c>
      <c r="U1476" s="4">
        <v>0</v>
      </c>
      <c r="V1476" s="4">
        <v>12</v>
      </c>
      <c r="W1476" s="4">
        <v>12</v>
      </c>
      <c r="X1476" s="4">
        <v>8</v>
      </c>
      <c r="Y1476" s="4"/>
      <c r="Z1476" s="4">
        <v>367.6</v>
      </c>
      <c r="AA1476" s="4">
        <v>350</v>
      </c>
      <c r="AB1476" s="18"/>
      <c r="AC1476" s="18">
        <v>28</v>
      </c>
      <c r="AD1476" s="28"/>
      <c r="AE1476" s="26"/>
      <c r="AF1476" s="28"/>
    </row>
    <row r="1477" spans="1:32" ht="13.5" customHeight="1" x14ac:dyDescent="0.25">
      <c r="A1477" s="14">
        <v>45851</v>
      </c>
      <c r="B1477" s="14" t="s">
        <v>46</v>
      </c>
      <c r="C1477" s="15">
        <v>6</v>
      </c>
      <c r="D1477" s="16"/>
      <c r="E1477" s="16"/>
      <c r="F1477" s="17"/>
      <c r="G1477" s="21"/>
      <c r="H1477" s="21"/>
      <c r="I1477" s="4">
        <v>0</v>
      </c>
      <c r="J1477" s="4">
        <v>0</v>
      </c>
      <c r="K1477" s="4"/>
      <c r="L1477" s="16"/>
      <c r="M1477" s="4"/>
      <c r="N1477" s="4"/>
      <c r="O1477" s="4"/>
      <c r="P1477" s="4"/>
      <c r="Q1477" s="4"/>
      <c r="R1477" s="4"/>
      <c r="S1477" s="4">
        <v>0</v>
      </c>
      <c r="T1477" s="4">
        <v>0</v>
      </c>
      <c r="U1477" s="4">
        <v>0</v>
      </c>
      <c r="V1477" s="4">
        <v>12</v>
      </c>
      <c r="W1477" s="4">
        <v>12</v>
      </c>
      <c r="X1477" s="4">
        <v>9</v>
      </c>
      <c r="Y1477" s="4"/>
      <c r="Z1477" s="4">
        <v>471.8</v>
      </c>
      <c r="AA1477" s="4">
        <v>500</v>
      </c>
      <c r="AB1477" s="18"/>
      <c r="AC1477" s="18">
        <v>28</v>
      </c>
      <c r="AD1477" s="28"/>
      <c r="AE1477" s="26"/>
      <c r="AF1477" s="28"/>
    </row>
    <row r="1478" spans="1:32" ht="13.5" customHeight="1" x14ac:dyDescent="0.25">
      <c r="A1478" s="14">
        <v>45851</v>
      </c>
      <c r="B1478" s="14" t="s">
        <v>47</v>
      </c>
      <c r="C1478" s="15">
        <v>6</v>
      </c>
      <c r="D1478" s="16"/>
      <c r="E1478" s="16"/>
      <c r="F1478" s="17"/>
      <c r="G1478" s="21"/>
      <c r="H1478" s="21"/>
      <c r="I1478" s="4">
        <v>0</v>
      </c>
      <c r="J1478" s="4">
        <v>0</v>
      </c>
      <c r="K1478" s="4"/>
      <c r="L1478" s="16"/>
      <c r="M1478" s="4"/>
      <c r="N1478" s="4"/>
      <c r="O1478" s="4"/>
      <c r="P1478" s="4"/>
      <c r="Q1478" s="4"/>
      <c r="R1478" s="4"/>
      <c r="S1478" s="4">
        <v>0</v>
      </c>
      <c r="T1478" s="4">
        <v>0</v>
      </c>
      <c r="U1478" s="4">
        <v>0</v>
      </c>
      <c r="V1478" s="4">
        <v>12</v>
      </c>
      <c r="W1478" s="4">
        <v>12</v>
      </c>
      <c r="X1478" s="4">
        <v>10</v>
      </c>
      <c r="Y1478" s="4"/>
      <c r="Z1478" s="4">
        <v>520</v>
      </c>
      <c r="AA1478" s="4">
        <v>500</v>
      </c>
      <c r="AB1478" s="18"/>
      <c r="AC1478" s="18">
        <v>28</v>
      </c>
      <c r="AD1478" s="28"/>
      <c r="AE1478" s="26"/>
      <c r="AF1478" s="28"/>
    </row>
    <row r="1479" spans="1:32" ht="13.5" customHeight="1" x14ac:dyDescent="0.25">
      <c r="A1479" s="14">
        <v>45851</v>
      </c>
      <c r="B1479" s="14" t="s">
        <v>46</v>
      </c>
      <c r="C1479" s="15">
        <v>7</v>
      </c>
      <c r="D1479" s="16"/>
      <c r="E1479" s="16"/>
      <c r="F1479" s="17"/>
      <c r="G1479" s="21"/>
      <c r="H1479" s="21"/>
      <c r="I1479" s="4">
        <v>0</v>
      </c>
      <c r="J1479" s="4">
        <v>0</v>
      </c>
      <c r="K1479" s="4"/>
      <c r="L1479" s="16"/>
      <c r="M1479" s="4"/>
      <c r="N1479" s="4"/>
      <c r="O1479" s="4"/>
      <c r="P1479" s="4"/>
      <c r="Q1479" s="4"/>
      <c r="R1479" s="4"/>
      <c r="S1479" s="4">
        <v>0</v>
      </c>
      <c r="T1479" s="4">
        <v>0</v>
      </c>
      <c r="U1479" s="4">
        <v>0</v>
      </c>
      <c r="V1479" s="4">
        <v>12</v>
      </c>
      <c r="W1479" s="4">
        <v>12</v>
      </c>
      <c r="X1479" s="4">
        <v>6</v>
      </c>
      <c r="Y1479" s="4"/>
      <c r="Z1479" s="4">
        <v>386.29999999999995</v>
      </c>
      <c r="AA1479" s="4">
        <v>400</v>
      </c>
      <c r="AB1479" s="18"/>
      <c r="AC1479" s="18">
        <v>28</v>
      </c>
      <c r="AD1479" s="28"/>
      <c r="AE1479" s="26"/>
      <c r="AF1479" s="28"/>
    </row>
    <row r="1480" spans="1:32" ht="13.5" customHeight="1" x14ac:dyDescent="0.25">
      <c r="A1480" s="14">
        <v>45851</v>
      </c>
      <c r="B1480" s="14" t="s">
        <v>47</v>
      </c>
      <c r="C1480" s="15">
        <v>7</v>
      </c>
      <c r="D1480" s="16"/>
      <c r="E1480" s="16"/>
      <c r="F1480" s="17"/>
      <c r="G1480" s="21"/>
      <c r="H1480" s="21"/>
      <c r="I1480" s="4">
        <v>0</v>
      </c>
      <c r="J1480" s="4">
        <v>0</v>
      </c>
      <c r="K1480" s="4"/>
      <c r="L1480" s="16"/>
      <c r="M1480" s="4"/>
      <c r="N1480" s="4"/>
      <c r="O1480" s="4"/>
      <c r="P1480" s="4"/>
      <c r="Q1480" s="4"/>
      <c r="R1480" s="4"/>
      <c r="S1480" s="4">
        <v>0</v>
      </c>
      <c r="T1480" s="4">
        <v>0</v>
      </c>
      <c r="U1480" s="4">
        <v>0</v>
      </c>
      <c r="V1480" s="4">
        <v>12</v>
      </c>
      <c r="W1480" s="4">
        <v>12</v>
      </c>
      <c r="X1480" s="4">
        <v>2</v>
      </c>
      <c r="Y1480" s="4"/>
      <c r="Z1480" s="4">
        <v>281.2</v>
      </c>
      <c r="AA1480" s="4">
        <v>300</v>
      </c>
      <c r="AB1480" s="18"/>
      <c r="AC1480" s="18">
        <v>28</v>
      </c>
      <c r="AD1480" s="28"/>
      <c r="AE1480" s="26"/>
      <c r="AF1480" s="28"/>
    </row>
    <row r="1481" spans="1:32" ht="13.5" customHeight="1" x14ac:dyDescent="0.25">
      <c r="A1481" s="14">
        <v>45852</v>
      </c>
      <c r="B1481" s="14" t="s">
        <v>46</v>
      </c>
      <c r="C1481" s="15">
        <v>1</v>
      </c>
      <c r="D1481" s="16"/>
      <c r="E1481" s="16"/>
      <c r="F1481" s="17"/>
      <c r="G1481" s="21"/>
      <c r="H1481" s="21"/>
      <c r="I1481" s="4">
        <v>0</v>
      </c>
      <c r="J1481" s="4">
        <v>0</v>
      </c>
      <c r="K1481" s="4"/>
      <c r="L1481" s="16"/>
      <c r="M1481" s="4"/>
      <c r="N1481" s="4"/>
      <c r="O1481" s="4"/>
      <c r="P1481" s="4"/>
      <c r="Q1481" s="4"/>
      <c r="R1481" s="4"/>
      <c r="S1481" s="4">
        <v>0</v>
      </c>
      <c r="T1481" s="4">
        <v>0</v>
      </c>
      <c r="U1481" s="4">
        <v>0</v>
      </c>
      <c r="V1481" s="4">
        <v>12</v>
      </c>
      <c r="W1481" s="4">
        <v>12</v>
      </c>
      <c r="X1481" s="4">
        <v>70</v>
      </c>
      <c r="Y1481" s="4">
        <v>2034</v>
      </c>
      <c r="Z1481" s="4">
        <v>128.30000000000001</v>
      </c>
      <c r="AA1481" s="4">
        <v>150</v>
      </c>
      <c r="AB1481" s="18">
        <v>372</v>
      </c>
      <c r="AC1481" s="18">
        <v>29</v>
      </c>
      <c r="AD1481" s="28"/>
      <c r="AE1481" s="26"/>
      <c r="AF1481" s="28"/>
    </row>
    <row r="1482" spans="1:32" ht="13.5" customHeight="1" x14ac:dyDescent="0.25">
      <c r="A1482" s="14">
        <v>45852</v>
      </c>
      <c r="B1482" s="14" t="s">
        <v>47</v>
      </c>
      <c r="C1482" s="15">
        <v>1</v>
      </c>
      <c r="D1482" s="16"/>
      <c r="E1482" s="16"/>
      <c r="F1482" s="17"/>
      <c r="G1482" s="21"/>
      <c r="H1482" s="21"/>
      <c r="I1482" s="4">
        <v>0</v>
      </c>
      <c r="J1482" s="4">
        <v>0</v>
      </c>
      <c r="K1482" s="4"/>
      <c r="L1482" s="16"/>
      <c r="M1482" s="4"/>
      <c r="N1482" s="4"/>
      <c r="O1482" s="4"/>
      <c r="P1482" s="4"/>
      <c r="Q1482" s="4"/>
      <c r="R1482" s="4"/>
      <c r="S1482" s="4">
        <v>0</v>
      </c>
      <c r="T1482" s="4">
        <v>0</v>
      </c>
      <c r="U1482" s="4">
        <v>0</v>
      </c>
      <c r="V1482" s="4">
        <v>12</v>
      </c>
      <c r="W1482" s="4">
        <v>12</v>
      </c>
      <c r="X1482" s="4">
        <v>2</v>
      </c>
      <c r="Y1482" s="4"/>
      <c r="Z1482" s="4">
        <v>127</v>
      </c>
      <c r="AA1482" s="4">
        <v>100</v>
      </c>
      <c r="AB1482" s="18"/>
      <c r="AC1482" s="18">
        <v>29</v>
      </c>
      <c r="AD1482" s="28"/>
      <c r="AE1482" s="26"/>
      <c r="AF1482" s="28"/>
    </row>
    <row r="1483" spans="1:32" ht="13.5" customHeight="1" x14ac:dyDescent="0.25">
      <c r="A1483" s="14">
        <v>45852</v>
      </c>
      <c r="B1483" s="14" t="s">
        <v>46</v>
      </c>
      <c r="C1483" s="15">
        <v>3</v>
      </c>
      <c r="D1483" s="16"/>
      <c r="E1483" s="16"/>
      <c r="F1483" s="17"/>
      <c r="G1483" s="21"/>
      <c r="H1483" s="21"/>
      <c r="I1483" s="4">
        <v>0</v>
      </c>
      <c r="J1483" s="4">
        <v>0</v>
      </c>
      <c r="K1483" s="4"/>
      <c r="L1483" s="16"/>
      <c r="M1483" s="4"/>
      <c r="N1483" s="4"/>
      <c r="O1483" s="4"/>
      <c r="P1483" s="4"/>
      <c r="Q1483" s="4"/>
      <c r="R1483" s="4"/>
      <c r="S1483" s="4">
        <v>0</v>
      </c>
      <c r="T1483" s="4">
        <v>0</v>
      </c>
      <c r="U1483" s="4">
        <v>0</v>
      </c>
      <c r="V1483" s="4">
        <v>12</v>
      </c>
      <c r="W1483" s="4">
        <v>12</v>
      </c>
      <c r="X1483" s="4">
        <v>0</v>
      </c>
      <c r="Y1483" s="4"/>
      <c r="Z1483" s="4">
        <v>380.5</v>
      </c>
      <c r="AA1483" s="4">
        <v>400</v>
      </c>
      <c r="AB1483" s="18"/>
      <c r="AC1483" s="18">
        <v>29</v>
      </c>
      <c r="AD1483" s="28"/>
      <c r="AE1483" s="26"/>
      <c r="AF1483" s="28"/>
    </row>
    <row r="1484" spans="1:32" ht="13.5" customHeight="1" x14ac:dyDescent="0.25">
      <c r="A1484" s="14">
        <v>45852</v>
      </c>
      <c r="B1484" s="14" t="s">
        <v>47</v>
      </c>
      <c r="C1484" s="15">
        <v>3</v>
      </c>
      <c r="D1484" s="16"/>
      <c r="E1484" s="16"/>
      <c r="F1484" s="17"/>
      <c r="G1484" s="21"/>
      <c r="H1484" s="21"/>
      <c r="I1484" s="4">
        <v>0</v>
      </c>
      <c r="J1484" s="4">
        <v>0</v>
      </c>
      <c r="K1484" s="4"/>
      <c r="L1484" s="16"/>
      <c r="M1484" s="4"/>
      <c r="N1484" s="4"/>
      <c r="O1484" s="4"/>
      <c r="P1484" s="4"/>
      <c r="Q1484" s="4"/>
      <c r="R1484" s="4"/>
      <c r="S1484" s="4">
        <v>0</v>
      </c>
      <c r="T1484" s="4">
        <v>0</v>
      </c>
      <c r="U1484" s="4">
        <v>0</v>
      </c>
      <c r="V1484" s="4">
        <v>12</v>
      </c>
      <c r="W1484" s="4">
        <v>12</v>
      </c>
      <c r="X1484" s="4">
        <v>2</v>
      </c>
      <c r="Y1484" s="4"/>
      <c r="Z1484" s="4">
        <v>368.8</v>
      </c>
      <c r="AA1484" s="4">
        <v>350</v>
      </c>
      <c r="AB1484" s="18"/>
      <c r="AC1484" s="18">
        <v>29</v>
      </c>
      <c r="AD1484" s="28"/>
      <c r="AE1484" s="26"/>
      <c r="AF1484" s="28"/>
    </row>
    <row r="1485" spans="1:32" ht="13.5" customHeight="1" x14ac:dyDescent="0.25">
      <c r="A1485" s="14">
        <v>45852</v>
      </c>
      <c r="B1485" s="14" t="s">
        <v>46</v>
      </c>
      <c r="C1485" s="15">
        <v>4</v>
      </c>
      <c r="D1485" s="16"/>
      <c r="E1485" s="16"/>
      <c r="F1485" s="17"/>
      <c r="G1485" s="21"/>
      <c r="H1485" s="21"/>
      <c r="I1485" s="4">
        <v>0</v>
      </c>
      <c r="J1485" s="4">
        <v>0</v>
      </c>
      <c r="K1485" s="4"/>
      <c r="L1485" s="16"/>
      <c r="M1485" s="4"/>
      <c r="N1485" s="4"/>
      <c r="O1485" s="4"/>
      <c r="P1485" s="4"/>
      <c r="Q1485" s="4"/>
      <c r="R1485" s="4"/>
      <c r="S1485" s="4">
        <v>0</v>
      </c>
      <c r="T1485" s="4">
        <v>0</v>
      </c>
      <c r="U1485" s="4">
        <v>0</v>
      </c>
      <c r="V1485" s="4">
        <v>12</v>
      </c>
      <c r="W1485" s="4">
        <v>12</v>
      </c>
      <c r="X1485" s="4">
        <v>0</v>
      </c>
      <c r="Y1485" s="4"/>
      <c r="Z1485" s="4">
        <v>419.40000000000003</v>
      </c>
      <c r="AA1485" s="4">
        <v>400</v>
      </c>
      <c r="AB1485" s="18"/>
      <c r="AC1485" s="18">
        <v>29</v>
      </c>
      <c r="AD1485" s="28"/>
      <c r="AE1485" s="26"/>
      <c r="AF1485" s="28"/>
    </row>
    <row r="1486" spans="1:32" ht="13.5" customHeight="1" x14ac:dyDescent="0.25">
      <c r="A1486" s="14">
        <v>45852</v>
      </c>
      <c r="B1486" s="14" t="s">
        <v>47</v>
      </c>
      <c r="C1486" s="15">
        <v>4</v>
      </c>
      <c r="D1486" s="16"/>
      <c r="E1486" s="16"/>
      <c r="F1486" s="17"/>
      <c r="G1486" s="21"/>
      <c r="H1486" s="21"/>
      <c r="I1486" s="4">
        <v>0</v>
      </c>
      <c r="J1486" s="4">
        <v>0</v>
      </c>
      <c r="K1486" s="4"/>
      <c r="L1486" s="16"/>
      <c r="M1486" s="4"/>
      <c r="N1486" s="4"/>
      <c r="O1486" s="4"/>
      <c r="P1486" s="4"/>
      <c r="Q1486" s="4"/>
      <c r="R1486" s="4"/>
      <c r="S1486" s="4">
        <v>0</v>
      </c>
      <c r="T1486" s="4">
        <v>0</v>
      </c>
      <c r="U1486" s="4">
        <v>0</v>
      </c>
      <c r="V1486" s="4">
        <v>12</v>
      </c>
      <c r="W1486" s="4">
        <v>12</v>
      </c>
      <c r="X1486" s="4">
        <v>7</v>
      </c>
      <c r="Y1486" s="4"/>
      <c r="Z1486" s="4">
        <v>436.29999999999995</v>
      </c>
      <c r="AA1486" s="4">
        <v>450</v>
      </c>
      <c r="AB1486" s="18"/>
      <c r="AC1486" s="18">
        <v>29</v>
      </c>
      <c r="AD1486" s="28"/>
      <c r="AE1486" s="26"/>
      <c r="AF1486" s="28"/>
    </row>
    <row r="1487" spans="1:32" ht="13.5" customHeight="1" x14ac:dyDescent="0.25">
      <c r="A1487" s="14">
        <v>45852</v>
      </c>
      <c r="B1487" s="14" t="s">
        <v>46</v>
      </c>
      <c r="C1487" s="15">
        <v>6</v>
      </c>
      <c r="D1487" s="16"/>
      <c r="E1487" s="16"/>
      <c r="F1487" s="17"/>
      <c r="G1487" s="21"/>
      <c r="H1487" s="21"/>
      <c r="I1487" s="4">
        <v>0</v>
      </c>
      <c r="J1487" s="4">
        <v>0</v>
      </c>
      <c r="K1487" s="4"/>
      <c r="L1487" s="16"/>
      <c r="M1487" s="4"/>
      <c r="N1487" s="4"/>
      <c r="O1487" s="4"/>
      <c r="P1487" s="4"/>
      <c r="Q1487" s="4"/>
      <c r="R1487" s="4"/>
      <c r="S1487" s="4">
        <v>0</v>
      </c>
      <c r="T1487" s="4">
        <v>0</v>
      </c>
      <c r="U1487" s="4">
        <v>0</v>
      </c>
      <c r="V1487" s="4">
        <v>12</v>
      </c>
      <c r="W1487" s="4">
        <v>12</v>
      </c>
      <c r="X1487" s="4">
        <v>0</v>
      </c>
      <c r="Y1487" s="4"/>
      <c r="Z1487" s="4">
        <v>536.20000000000005</v>
      </c>
      <c r="AA1487" s="4">
        <v>550</v>
      </c>
      <c r="AB1487" s="18"/>
      <c r="AC1487" s="18">
        <v>29</v>
      </c>
      <c r="AD1487" s="28"/>
      <c r="AE1487" s="26"/>
      <c r="AF1487" s="28"/>
    </row>
    <row r="1488" spans="1:32" ht="13.5" customHeight="1" x14ac:dyDescent="0.25">
      <c r="A1488" s="14">
        <v>45852</v>
      </c>
      <c r="B1488" s="14" t="s">
        <v>47</v>
      </c>
      <c r="C1488" s="15">
        <v>6</v>
      </c>
      <c r="D1488" s="16"/>
      <c r="E1488" s="16"/>
      <c r="F1488" s="17"/>
      <c r="G1488" s="21"/>
      <c r="H1488" s="21"/>
      <c r="I1488" s="4">
        <v>0</v>
      </c>
      <c r="J1488" s="4">
        <v>0</v>
      </c>
      <c r="K1488" s="4"/>
      <c r="L1488" s="16"/>
      <c r="M1488" s="4"/>
      <c r="N1488" s="4"/>
      <c r="O1488" s="4"/>
      <c r="P1488" s="4"/>
      <c r="Q1488" s="4"/>
      <c r="R1488" s="4"/>
      <c r="S1488" s="4">
        <v>0</v>
      </c>
      <c r="T1488" s="4">
        <v>0</v>
      </c>
      <c r="U1488" s="4">
        <v>0</v>
      </c>
      <c r="V1488" s="4">
        <v>12</v>
      </c>
      <c r="W1488" s="4">
        <v>12</v>
      </c>
      <c r="X1488" s="4">
        <v>15.6</v>
      </c>
      <c r="Y1488" s="4"/>
      <c r="Z1488" s="4">
        <v>604.19999999999993</v>
      </c>
      <c r="AA1488" s="4">
        <v>600</v>
      </c>
      <c r="AB1488" s="18"/>
      <c r="AC1488" s="18">
        <v>29</v>
      </c>
      <c r="AD1488" s="28"/>
      <c r="AE1488" s="26"/>
      <c r="AF1488" s="28"/>
    </row>
    <row r="1489" spans="1:32" ht="13.5" customHeight="1" x14ac:dyDescent="0.25">
      <c r="A1489" s="14">
        <v>45852</v>
      </c>
      <c r="B1489" s="14" t="s">
        <v>46</v>
      </c>
      <c r="C1489" s="15">
        <v>7</v>
      </c>
      <c r="D1489" s="16">
        <v>4</v>
      </c>
      <c r="E1489" s="16"/>
      <c r="F1489" s="17"/>
      <c r="G1489" s="21"/>
      <c r="H1489" s="21"/>
      <c r="I1489" s="4">
        <v>4</v>
      </c>
      <c r="J1489" s="4">
        <v>6.6666666666666666E-2</v>
      </c>
      <c r="K1489" s="4"/>
      <c r="L1489" s="16"/>
      <c r="M1489" s="4"/>
      <c r="N1489" s="4"/>
      <c r="O1489" s="4"/>
      <c r="P1489" s="4"/>
      <c r="Q1489" s="4"/>
      <c r="R1489" s="4"/>
      <c r="S1489" s="4">
        <v>0</v>
      </c>
      <c r="T1489" s="4">
        <v>0</v>
      </c>
      <c r="U1489" s="4">
        <v>6.6666666666666666E-2</v>
      </c>
      <c r="V1489" s="4">
        <v>11.933333333333334</v>
      </c>
      <c r="W1489" s="4">
        <v>12</v>
      </c>
      <c r="X1489" s="4">
        <v>0</v>
      </c>
      <c r="Y1489" s="4"/>
      <c r="Z1489" s="4">
        <v>344.3</v>
      </c>
      <c r="AA1489" s="4">
        <v>350</v>
      </c>
      <c r="AB1489" s="18"/>
      <c r="AC1489" s="18">
        <v>29</v>
      </c>
      <c r="AD1489" s="28"/>
      <c r="AE1489" s="26"/>
      <c r="AF1489" s="28"/>
    </row>
    <row r="1490" spans="1:32" ht="13.5" customHeight="1" x14ac:dyDescent="0.25">
      <c r="A1490" s="14">
        <v>45852</v>
      </c>
      <c r="B1490" s="14" t="s">
        <v>47</v>
      </c>
      <c r="C1490" s="15">
        <v>7</v>
      </c>
      <c r="D1490" s="16">
        <v>5</v>
      </c>
      <c r="E1490" s="16"/>
      <c r="F1490" s="17"/>
      <c r="G1490" s="21"/>
      <c r="H1490" s="21"/>
      <c r="I1490" s="4">
        <v>5</v>
      </c>
      <c r="J1490" s="4">
        <v>8.3333333333333329E-2</v>
      </c>
      <c r="K1490" s="4"/>
      <c r="L1490" s="16"/>
      <c r="M1490" s="4"/>
      <c r="N1490" s="4"/>
      <c r="O1490" s="4"/>
      <c r="P1490" s="4"/>
      <c r="Q1490" s="4"/>
      <c r="R1490" s="4"/>
      <c r="S1490" s="4">
        <v>0</v>
      </c>
      <c r="T1490" s="4">
        <v>0</v>
      </c>
      <c r="U1490" s="4">
        <v>8.3333333333333329E-2</v>
      </c>
      <c r="V1490" s="4">
        <v>11.916666666666666</v>
      </c>
      <c r="W1490" s="4">
        <v>12</v>
      </c>
      <c r="X1490" s="4">
        <v>4.8</v>
      </c>
      <c r="Y1490" s="4"/>
      <c r="Z1490" s="4">
        <v>265.12</v>
      </c>
      <c r="AA1490" s="4">
        <v>250</v>
      </c>
      <c r="AB1490" s="18"/>
      <c r="AC1490" s="18">
        <v>29</v>
      </c>
      <c r="AD1490" s="28"/>
      <c r="AE1490" s="26"/>
      <c r="AF1490" s="28"/>
    </row>
    <row r="1491" spans="1:32" ht="13.5" customHeight="1" x14ac:dyDescent="0.25">
      <c r="A1491" s="14">
        <v>45853</v>
      </c>
      <c r="B1491" s="14" t="s">
        <v>46</v>
      </c>
      <c r="C1491" s="15">
        <v>1</v>
      </c>
      <c r="D1491" s="16"/>
      <c r="E1491" s="16"/>
      <c r="F1491" s="17"/>
      <c r="G1491" s="21"/>
      <c r="H1491" s="21"/>
      <c r="I1491" s="4">
        <v>0</v>
      </c>
      <c r="J1491" s="4">
        <v>0</v>
      </c>
      <c r="K1491" s="4"/>
      <c r="L1491" s="16"/>
      <c r="M1491" s="4"/>
      <c r="N1491" s="4"/>
      <c r="O1491" s="4"/>
      <c r="P1491" s="4"/>
      <c r="Q1491" s="4"/>
      <c r="R1491" s="4"/>
      <c r="S1491" s="4">
        <v>0</v>
      </c>
      <c r="T1491" s="4">
        <v>0</v>
      </c>
      <c r="U1491" s="4">
        <v>0</v>
      </c>
      <c r="V1491" s="4">
        <v>12</v>
      </c>
      <c r="W1491" s="4">
        <v>12</v>
      </c>
      <c r="X1491" s="4">
        <v>0</v>
      </c>
      <c r="Y1491" s="4">
        <v>1895.5</v>
      </c>
      <c r="Z1491" s="4">
        <v>130.69999999999999</v>
      </c>
      <c r="AA1491" s="4">
        <v>150</v>
      </c>
      <c r="AB1491" s="18">
        <v>372</v>
      </c>
      <c r="AC1491" s="18">
        <v>29</v>
      </c>
      <c r="AD1491" s="28"/>
      <c r="AE1491" s="26"/>
      <c r="AF1491" s="28"/>
    </row>
    <row r="1492" spans="1:32" ht="13.5" customHeight="1" x14ac:dyDescent="0.25">
      <c r="A1492" s="14">
        <v>45853</v>
      </c>
      <c r="B1492" s="14" t="s">
        <v>47</v>
      </c>
      <c r="C1492" s="15">
        <v>1</v>
      </c>
      <c r="D1492" s="16"/>
      <c r="E1492" s="16"/>
      <c r="F1492" s="17"/>
      <c r="G1492" s="21"/>
      <c r="H1492" s="21"/>
      <c r="I1492" s="4">
        <v>0</v>
      </c>
      <c r="J1492" s="4">
        <v>0</v>
      </c>
      <c r="K1492" s="4"/>
      <c r="L1492" s="16"/>
      <c r="M1492" s="4"/>
      <c r="N1492" s="4"/>
      <c r="O1492" s="4"/>
      <c r="P1492" s="4"/>
      <c r="Q1492" s="4"/>
      <c r="R1492" s="4"/>
      <c r="S1492" s="4">
        <v>0</v>
      </c>
      <c r="T1492" s="4">
        <v>0</v>
      </c>
      <c r="U1492" s="4">
        <v>0</v>
      </c>
      <c r="V1492" s="4">
        <v>12</v>
      </c>
      <c r="W1492" s="4">
        <v>12</v>
      </c>
      <c r="X1492" s="4">
        <v>0</v>
      </c>
      <c r="Y1492" s="4"/>
      <c r="Z1492" s="4">
        <v>129.39999999999998</v>
      </c>
      <c r="AA1492" s="4">
        <v>150</v>
      </c>
      <c r="AB1492" s="18"/>
      <c r="AC1492" s="18">
        <v>29</v>
      </c>
      <c r="AD1492" s="28"/>
      <c r="AE1492" s="26"/>
      <c r="AF1492" s="28"/>
    </row>
    <row r="1493" spans="1:32" ht="13.5" customHeight="1" x14ac:dyDescent="0.25">
      <c r="A1493" s="14">
        <v>45853</v>
      </c>
      <c r="B1493" s="14" t="s">
        <v>46</v>
      </c>
      <c r="C1493" s="15">
        <v>3</v>
      </c>
      <c r="D1493" s="16"/>
      <c r="E1493" s="16"/>
      <c r="F1493" s="17"/>
      <c r="G1493" s="21"/>
      <c r="H1493" s="21"/>
      <c r="I1493" s="4">
        <v>0</v>
      </c>
      <c r="J1493" s="4">
        <v>0</v>
      </c>
      <c r="K1493" s="4"/>
      <c r="L1493" s="16"/>
      <c r="M1493" s="4"/>
      <c r="N1493" s="4"/>
      <c r="O1493" s="4"/>
      <c r="P1493" s="4"/>
      <c r="Q1493" s="4"/>
      <c r="R1493" s="4"/>
      <c r="S1493" s="4">
        <v>0</v>
      </c>
      <c r="T1493" s="4">
        <v>0</v>
      </c>
      <c r="U1493" s="4">
        <v>0</v>
      </c>
      <c r="V1493" s="4">
        <v>12</v>
      </c>
      <c r="W1493" s="4">
        <v>12</v>
      </c>
      <c r="X1493" s="4">
        <v>9</v>
      </c>
      <c r="Y1493" s="4"/>
      <c r="Z1493" s="4">
        <v>379.59999999999997</v>
      </c>
      <c r="AA1493" s="4">
        <v>400</v>
      </c>
      <c r="AB1493" s="18"/>
      <c r="AC1493" s="18">
        <v>29</v>
      </c>
      <c r="AD1493" s="28"/>
      <c r="AE1493" s="26"/>
      <c r="AF1493" s="28"/>
    </row>
    <row r="1494" spans="1:32" ht="13.5" customHeight="1" x14ac:dyDescent="0.25">
      <c r="A1494" s="14">
        <v>45853</v>
      </c>
      <c r="B1494" s="14" t="s">
        <v>47</v>
      </c>
      <c r="C1494" s="15">
        <v>3</v>
      </c>
      <c r="D1494" s="16"/>
      <c r="E1494" s="16"/>
      <c r="F1494" s="17"/>
      <c r="G1494" s="21"/>
      <c r="H1494" s="21"/>
      <c r="I1494" s="4">
        <v>0</v>
      </c>
      <c r="J1494" s="4">
        <v>0</v>
      </c>
      <c r="K1494" s="4"/>
      <c r="L1494" s="16"/>
      <c r="M1494" s="4"/>
      <c r="N1494" s="4"/>
      <c r="O1494" s="4"/>
      <c r="P1494" s="4"/>
      <c r="Q1494" s="4"/>
      <c r="R1494" s="4"/>
      <c r="S1494" s="4">
        <v>0</v>
      </c>
      <c r="T1494" s="4">
        <v>0</v>
      </c>
      <c r="U1494" s="4">
        <v>0</v>
      </c>
      <c r="V1494" s="4">
        <v>12</v>
      </c>
      <c r="W1494" s="4">
        <v>12</v>
      </c>
      <c r="X1494" s="4">
        <v>12</v>
      </c>
      <c r="Y1494" s="4"/>
      <c r="Z1494" s="4">
        <v>385</v>
      </c>
      <c r="AA1494" s="4">
        <v>400</v>
      </c>
      <c r="AB1494" s="18"/>
      <c r="AC1494" s="18">
        <v>29</v>
      </c>
      <c r="AD1494" s="28"/>
      <c r="AE1494" s="26"/>
      <c r="AF1494" s="28"/>
    </row>
    <row r="1495" spans="1:32" ht="13.5" customHeight="1" x14ac:dyDescent="0.25">
      <c r="A1495" s="14">
        <v>45853</v>
      </c>
      <c r="B1495" s="14" t="s">
        <v>46</v>
      </c>
      <c r="C1495" s="15">
        <v>4</v>
      </c>
      <c r="D1495" s="16"/>
      <c r="E1495" s="16"/>
      <c r="F1495" s="17"/>
      <c r="G1495" s="21"/>
      <c r="H1495" s="21"/>
      <c r="I1495" s="4">
        <v>0</v>
      </c>
      <c r="J1495" s="4">
        <v>0</v>
      </c>
      <c r="K1495" s="4"/>
      <c r="L1495" s="16"/>
      <c r="M1495" s="4">
        <v>60</v>
      </c>
      <c r="N1495" s="4"/>
      <c r="O1495" s="4"/>
      <c r="P1495" s="4"/>
      <c r="Q1495" s="4"/>
      <c r="R1495" s="4"/>
      <c r="S1495" s="4">
        <v>60</v>
      </c>
      <c r="T1495" s="4">
        <v>1</v>
      </c>
      <c r="U1495" s="4">
        <v>1</v>
      </c>
      <c r="V1495" s="4">
        <v>11</v>
      </c>
      <c r="W1495" s="4">
        <v>12</v>
      </c>
      <c r="X1495" s="4">
        <v>8</v>
      </c>
      <c r="Y1495" s="4"/>
      <c r="Z1495" s="4">
        <v>322.3</v>
      </c>
      <c r="AA1495" s="4">
        <v>400</v>
      </c>
      <c r="AB1495" s="18"/>
      <c r="AC1495" s="18">
        <v>29</v>
      </c>
      <c r="AD1495" s="28"/>
      <c r="AE1495" s="26"/>
      <c r="AF1495" s="28"/>
    </row>
    <row r="1496" spans="1:32" ht="13.5" customHeight="1" x14ac:dyDescent="0.25">
      <c r="A1496" s="14">
        <v>45853</v>
      </c>
      <c r="B1496" s="14" t="s">
        <v>47</v>
      </c>
      <c r="C1496" s="15">
        <v>4</v>
      </c>
      <c r="D1496" s="16"/>
      <c r="E1496" s="16"/>
      <c r="F1496" s="17"/>
      <c r="G1496" s="21"/>
      <c r="H1496" s="21"/>
      <c r="I1496" s="4">
        <v>0</v>
      </c>
      <c r="J1496" s="4">
        <v>0</v>
      </c>
      <c r="K1496" s="4"/>
      <c r="L1496" s="16"/>
      <c r="M1496" s="4"/>
      <c r="N1496" s="4"/>
      <c r="O1496" s="4"/>
      <c r="P1496" s="4"/>
      <c r="Q1496" s="4"/>
      <c r="R1496" s="4"/>
      <c r="S1496" s="4">
        <v>0</v>
      </c>
      <c r="T1496" s="4">
        <v>0</v>
      </c>
      <c r="U1496" s="4">
        <v>0</v>
      </c>
      <c r="V1496" s="4">
        <v>12</v>
      </c>
      <c r="W1496" s="4">
        <v>12</v>
      </c>
      <c r="X1496" s="4">
        <v>14</v>
      </c>
      <c r="Y1496" s="4"/>
      <c r="Z1496" s="4">
        <v>234.8</v>
      </c>
      <c r="AA1496" s="4">
        <v>250</v>
      </c>
      <c r="AB1496" s="18"/>
      <c r="AC1496" s="18">
        <v>29</v>
      </c>
      <c r="AD1496" s="28"/>
      <c r="AE1496" s="26"/>
      <c r="AF1496" s="28"/>
    </row>
    <row r="1497" spans="1:32" ht="13.5" customHeight="1" x14ac:dyDescent="0.25">
      <c r="A1497" s="14">
        <v>45853</v>
      </c>
      <c r="B1497" s="14" t="s">
        <v>46</v>
      </c>
      <c r="C1497" s="15">
        <v>6</v>
      </c>
      <c r="D1497" s="16"/>
      <c r="E1497" s="16"/>
      <c r="F1497" s="17"/>
      <c r="G1497" s="21"/>
      <c r="H1497" s="21">
        <v>20</v>
      </c>
      <c r="I1497" s="4">
        <v>20</v>
      </c>
      <c r="J1497" s="4">
        <v>0.33333333333333331</v>
      </c>
      <c r="K1497" s="4"/>
      <c r="L1497" s="16"/>
      <c r="M1497" s="4"/>
      <c r="N1497" s="4"/>
      <c r="O1497" s="4"/>
      <c r="P1497" s="4"/>
      <c r="Q1497" s="4"/>
      <c r="R1497" s="4"/>
      <c r="S1497" s="4">
        <v>0</v>
      </c>
      <c r="T1497" s="4">
        <v>0</v>
      </c>
      <c r="U1497" s="4">
        <v>0.33333333333333331</v>
      </c>
      <c r="V1497" s="4">
        <v>11.666666666666666</v>
      </c>
      <c r="W1497" s="4">
        <v>12</v>
      </c>
      <c r="X1497" s="4">
        <v>35</v>
      </c>
      <c r="Y1497" s="4"/>
      <c r="Z1497" s="4">
        <v>549.79999999999995</v>
      </c>
      <c r="AA1497" s="4">
        <v>550</v>
      </c>
      <c r="AB1497" s="18"/>
      <c r="AC1497" s="18">
        <v>29</v>
      </c>
      <c r="AD1497" s="28"/>
      <c r="AE1497" s="26"/>
      <c r="AF1497" s="28"/>
    </row>
    <row r="1498" spans="1:32" ht="13.5" customHeight="1" x14ac:dyDescent="0.25">
      <c r="A1498" s="14">
        <v>45853</v>
      </c>
      <c r="B1498" s="14" t="s">
        <v>47</v>
      </c>
      <c r="C1498" s="15">
        <v>6</v>
      </c>
      <c r="D1498" s="16"/>
      <c r="E1498" s="16"/>
      <c r="F1498" s="17"/>
      <c r="G1498" s="21"/>
      <c r="H1498" s="21"/>
      <c r="I1498" s="4">
        <v>0</v>
      </c>
      <c r="J1498" s="4">
        <v>0</v>
      </c>
      <c r="K1498" s="4"/>
      <c r="L1498" s="16"/>
      <c r="M1498" s="4"/>
      <c r="N1498" s="4"/>
      <c r="O1498" s="4"/>
      <c r="P1498" s="4"/>
      <c r="Q1498" s="4">
        <v>80</v>
      </c>
      <c r="R1498" s="4"/>
      <c r="S1498" s="4">
        <v>80</v>
      </c>
      <c r="T1498" s="4">
        <v>1.3333333333333333</v>
      </c>
      <c r="U1498" s="4">
        <v>1.3333333333333333</v>
      </c>
      <c r="V1498" s="4">
        <v>10.666666666666666</v>
      </c>
      <c r="W1498" s="4">
        <v>12</v>
      </c>
      <c r="X1498" s="4">
        <v>42</v>
      </c>
      <c r="Y1498" s="4"/>
      <c r="Z1498" s="4">
        <v>505.80000000000007</v>
      </c>
      <c r="AA1498" s="4">
        <v>550</v>
      </c>
      <c r="AB1498" s="18"/>
      <c r="AC1498" s="18">
        <v>29</v>
      </c>
      <c r="AD1498" s="28"/>
      <c r="AE1498" s="26"/>
      <c r="AF1498" s="28"/>
    </row>
    <row r="1499" spans="1:32" ht="13.5" customHeight="1" x14ac:dyDescent="0.25">
      <c r="A1499" s="14">
        <v>45853</v>
      </c>
      <c r="B1499" s="14" t="s">
        <v>46</v>
      </c>
      <c r="C1499" s="15">
        <v>7</v>
      </c>
      <c r="D1499" s="16">
        <v>3</v>
      </c>
      <c r="E1499" s="16"/>
      <c r="F1499" s="17"/>
      <c r="G1499" s="21"/>
      <c r="H1499" s="21"/>
      <c r="I1499" s="4">
        <v>3</v>
      </c>
      <c r="J1499" s="4">
        <v>0.05</v>
      </c>
      <c r="K1499" s="4"/>
      <c r="L1499" s="16"/>
      <c r="M1499" s="4"/>
      <c r="N1499" s="4"/>
      <c r="O1499" s="4"/>
      <c r="P1499" s="4"/>
      <c r="Q1499" s="4"/>
      <c r="R1499" s="4"/>
      <c r="S1499" s="4">
        <v>0</v>
      </c>
      <c r="T1499" s="4">
        <v>0</v>
      </c>
      <c r="U1499" s="4">
        <v>0.05</v>
      </c>
      <c r="V1499" s="4">
        <v>11.95</v>
      </c>
      <c r="W1499" s="4">
        <v>12</v>
      </c>
      <c r="X1499" s="4">
        <v>0</v>
      </c>
      <c r="Y1499" s="4"/>
      <c r="Z1499" s="4">
        <v>338.7</v>
      </c>
      <c r="AA1499" s="4">
        <v>350</v>
      </c>
      <c r="AB1499" s="18"/>
      <c r="AC1499" s="18">
        <v>29</v>
      </c>
      <c r="AD1499" s="28"/>
      <c r="AE1499" s="26"/>
      <c r="AF1499" s="28"/>
    </row>
    <row r="1500" spans="1:32" ht="13.5" customHeight="1" x14ac:dyDescent="0.25">
      <c r="A1500" s="14">
        <v>45853</v>
      </c>
      <c r="B1500" s="14" t="s">
        <v>47</v>
      </c>
      <c r="C1500" s="15">
        <v>7</v>
      </c>
      <c r="D1500" s="16"/>
      <c r="E1500" s="16"/>
      <c r="F1500" s="17"/>
      <c r="G1500" s="21"/>
      <c r="H1500" s="21"/>
      <c r="I1500" s="4">
        <v>0</v>
      </c>
      <c r="J1500" s="4">
        <v>0</v>
      </c>
      <c r="K1500" s="4"/>
      <c r="L1500" s="16"/>
      <c r="M1500" s="4"/>
      <c r="N1500" s="4"/>
      <c r="O1500" s="4"/>
      <c r="P1500" s="4"/>
      <c r="Q1500" s="4"/>
      <c r="R1500" s="4"/>
      <c r="S1500" s="4">
        <v>0</v>
      </c>
      <c r="T1500" s="4">
        <v>0</v>
      </c>
      <c r="U1500" s="4">
        <v>0</v>
      </c>
      <c r="V1500" s="4">
        <v>12</v>
      </c>
      <c r="W1500" s="4">
        <v>12</v>
      </c>
      <c r="X1500" s="4">
        <v>0</v>
      </c>
      <c r="Y1500" s="4"/>
      <c r="Z1500" s="4">
        <v>388.90000000000003</v>
      </c>
      <c r="AA1500" s="4">
        <v>400</v>
      </c>
      <c r="AB1500" s="18"/>
      <c r="AC1500" s="18">
        <v>29</v>
      </c>
      <c r="AD1500" s="28"/>
      <c r="AE1500" s="26"/>
      <c r="AF1500" s="28"/>
    </row>
    <row r="1501" spans="1:32" ht="13.5" customHeight="1" x14ac:dyDescent="0.25">
      <c r="A1501" s="14">
        <v>45854</v>
      </c>
      <c r="B1501" s="14" t="s">
        <v>46</v>
      </c>
      <c r="C1501" s="15">
        <v>1</v>
      </c>
      <c r="D1501" s="16"/>
      <c r="E1501" s="16"/>
      <c r="F1501" s="17"/>
      <c r="G1501" s="21"/>
      <c r="H1501" s="21"/>
      <c r="I1501" s="4">
        <v>0</v>
      </c>
      <c r="J1501" s="4">
        <v>0</v>
      </c>
      <c r="K1501" s="4"/>
      <c r="L1501" s="16"/>
      <c r="M1501" s="4"/>
      <c r="N1501" s="4"/>
      <c r="O1501" s="4"/>
      <c r="P1501" s="4"/>
      <c r="Q1501" s="4"/>
      <c r="R1501" s="4"/>
      <c r="S1501" s="4">
        <v>0</v>
      </c>
      <c r="T1501" s="4">
        <v>0</v>
      </c>
      <c r="U1501" s="4">
        <v>0</v>
      </c>
      <c r="V1501" s="4">
        <v>12</v>
      </c>
      <c r="W1501" s="4">
        <v>12</v>
      </c>
      <c r="X1501" s="4">
        <v>0</v>
      </c>
      <c r="Y1501" s="4">
        <v>2452.5</v>
      </c>
      <c r="Z1501" s="4">
        <v>202.19999999999996</v>
      </c>
      <c r="AA1501" s="4">
        <v>200</v>
      </c>
      <c r="AB1501" s="18">
        <v>372</v>
      </c>
      <c r="AC1501" s="18">
        <v>29</v>
      </c>
      <c r="AD1501" s="28"/>
      <c r="AE1501" s="26"/>
      <c r="AF1501" s="28"/>
    </row>
    <row r="1502" spans="1:32" ht="13.5" customHeight="1" x14ac:dyDescent="0.25">
      <c r="A1502" s="14">
        <v>45854</v>
      </c>
      <c r="B1502" s="14" t="s">
        <v>47</v>
      </c>
      <c r="C1502" s="15">
        <v>1</v>
      </c>
      <c r="D1502" s="16"/>
      <c r="E1502" s="16"/>
      <c r="F1502" s="17"/>
      <c r="G1502" s="21"/>
      <c r="H1502" s="21"/>
      <c r="I1502" s="4">
        <v>0</v>
      </c>
      <c r="J1502" s="4">
        <v>0</v>
      </c>
      <c r="K1502" s="4"/>
      <c r="L1502" s="16"/>
      <c r="M1502" s="4"/>
      <c r="N1502" s="4"/>
      <c r="O1502" s="4"/>
      <c r="P1502" s="4"/>
      <c r="Q1502" s="4"/>
      <c r="R1502" s="4"/>
      <c r="S1502" s="4">
        <v>0</v>
      </c>
      <c r="T1502" s="4">
        <v>0</v>
      </c>
      <c r="U1502" s="4">
        <v>0</v>
      </c>
      <c r="V1502" s="4">
        <v>12</v>
      </c>
      <c r="W1502" s="4">
        <v>12</v>
      </c>
      <c r="X1502" s="4">
        <v>0</v>
      </c>
      <c r="Y1502" s="4"/>
      <c r="Z1502" s="4">
        <v>102.6</v>
      </c>
      <c r="AA1502" s="4">
        <v>150</v>
      </c>
      <c r="AB1502" s="18"/>
      <c r="AC1502" s="18">
        <v>29</v>
      </c>
      <c r="AD1502" s="28"/>
      <c r="AE1502" s="26"/>
      <c r="AF1502" s="28"/>
    </row>
    <row r="1503" spans="1:32" ht="13.5" customHeight="1" x14ac:dyDescent="0.25">
      <c r="A1503" s="14">
        <v>45854</v>
      </c>
      <c r="B1503" s="14" t="s">
        <v>46</v>
      </c>
      <c r="C1503" s="15">
        <v>3</v>
      </c>
      <c r="D1503" s="16"/>
      <c r="E1503" s="16"/>
      <c r="F1503" s="17"/>
      <c r="G1503" s="21"/>
      <c r="H1503" s="21"/>
      <c r="I1503" s="4">
        <v>0</v>
      </c>
      <c r="J1503" s="4">
        <v>0</v>
      </c>
      <c r="K1503" s="4"/>
      <c r="L1503" s="16"/>
      <c r="M1503" s="4"/>
      <c r="N1503" s="4"/>
      <c r="O1503" s="4"/>
      <c r="P1503" s="4"/>
      <c r="Q1503" s="4"/>
      <c r="R1503" s="4"/>
      <c r="S1503" s="4">
        <v>0</v>
      </c>
      <c r="T1503" s="4">
        <v>0</v>
      </c>
      <c r="U1503" s="4">
        <v>0</v>
      </c>
      <c r="V1503" s="4">
        <v>12</v>
      </c>
      <c r="W1503" s="4">
        <v>12</v>
      </c>
      <c r="X1503" s="4">
        <v>0</v>
      </c>
      <c r="Y1503" s="4"/>
      <c r="Z1503" s="4">
        <v>389.54</v>
      </c>
      <c r="AA1503" s="4">
        <v>400</v>
      </c>
      <c r="AB1503" s="18"/>
      <c r="AC1503" s="18">
        <v>29</v>
      </c>
      <c r="AD1503" s="28"/>
      <c r="AE1503" s="26"/>
      <c r="AF1503" s="28"/>
    </row>
    <row r="1504" spans="1:32" ht="13.5" customHeight="1" x14ac:dyDescent="0.25">
      <c r="A1504" s="14">
        <v>45854</v>
      </c>
      <c r="B1504" s="14" t="s">
        <v>47</v>
      </c>
      <c r="C1504" s="15">
        <v>3</v>
      </c>
      <c r="D1504" s="16"/>
      <c r="E1504" s="16"/>
      <c r="F1504" s="17"/>
      <c r="G1504" s="21"/>
      <c r="H1504" s="21"/>
      <c r="I1504" s="4">
        <v>0</v>
      </c>
      <c r="J1504" s="4">
        <v>0</v>
      </c>
      <c r="K1504" s="4"/>
      <c r="L1504" s="16"/>
      <c r="M1504" s="4"/>
      <c r="N1504" s="4"/>
      <c r="O1504" s="4"/>
      <c r="P1504" s="4"/>
      <c r="Q1504" s="4"/>
      <c r="R1504" s="4"/>
      <c r="S1504" s="4">
        <v>0</v>
      </c>
      <c r="T1504" s="4">
        <v>0</v>
      </c>
      <c r="U1504" s="4">
        <v>0</v>
      </c>
      <c r="V1504" s="4">
        <v>12</v>
      </c>
      <c r="W1504" s="4">
        <v>12</v>
      </c>
      <c r="X1504" s="4">
        <v>1</v>
      </c>
      <c r="Y1504" s="4"/>
      <c r="Z1504" s="4">
        <v>354.4</v>
      </c>
      <c r="AA1504" s="4">
        <v>350</v>
      </c>
      <c r="AB1504" s="18"/>
      <c r="AC1504" s="18">
        <v>29</v>
      </c>
      <c r="AD1504" s="28"/>
      <c r="AE1504" s="26"/>
      <c r="AF1504" s="28"/>
    </row>
    <row r="1505" spans="1:32" ht="13.5" customHeight="1" x14ac:dyDescent="0.25">
      <c r="A1505" s="14">
        <v>45854</v>
      </c>
      <c r="B1505" s="14" t="s">
        <v>46</v>
      </c>
      <c r="C1505" s="15">
        <v>4</v>
      </c>
      <c r="D1505" s="16">
        <v>5</v>
      </c>
      <c r="E1505" s="16"/>
      <c r="F1505" s="17"/>
      <c r="G1505" s="21"/>
      <c r="H1505" s="21"/>
      <c r="I1505" s="4">
        <v>5</v>
      </c>
      <c r="J1505" s="4">
        <v>8.3333333333333329E-2</v>
      </c>
      <c r="K1505" s="4"/>
      <c r="L1505" s="16"/>
      <c r="M1505" s="4"/>
      <c r="N1505" s="4"/>
      <c r="O1505" s="4"/>
      <c r="P1505" s="4">
        <v>480</v>
      </c>
      <c r="Q1505" s="4"/>
      <c r="R1505" s="4"/>
      <c r="S1505" s="4">
        <v>480</v>
      </c>
      <c r="T1505" s="4">
        <v>8</v>
      </c>
      <c r="U1505" s="4">
        <v>8.0833333333333339</v>
      </c>
      <c r="V1505" s="4">
        <v>3.9166666666666661</v>
      </c>
      <c r="W1505" s="4">
        <v>12</v>
      </c>
      <c r="X1505" s="4">
        <v>0</v>
      </c>
      <c r="Y1505" s="4"/>
      <c r="Z1505" s="4">
        <v>32.599999999999994</v>
      </c>
      <c r="AA1505" s="4">
        <v>150</v>
      </c>
      <c r="AB1505" s="18"/>
      <c r="AC1505" s="18">
        <v>29</v>
      </c>
      <c r="AD1505" s="28"/>
      <c r="AE1505" s="26"/>
      <c r="AF1505" s="28"/>
    </row>
    <row r="1506" spans="1:32" ht="13.5" customHeight="1" x14ac:dyDescent="0.25">
      <c r="A1506" s="14">
        <v>45854</v>
      </c>
      <c r="B1506" s="14" t="s">
        <v>47</v>
      </c>
      <c r="C1506" s="15">
        <v>4</v>
      </c>
      <c r="D1506" s="16"/>
      <c r="E1506" s="16"/>
      <c r="F1506" s="17"/>
      <c r="G1506" s="21"/>
      <c r="H1506" s="21"/>
      <c r="I1506" s="4">
        <v>0</v>
      </c>
      <c r="J1506" s="4">
        <v>0</v>
      </c>
      <c r="K1506" s="4"/>
      <c r="L1506" s="16"/>
      <c r="M1506" s="4"/>
      <c r="N1506" s="4"/>
      <c r="O1506" s="4"/>
      <c r="P1506" s="4">
        <v>300</v>
      </c>
      <c r="Q1506" s="4"/>
      <c r="R1506" s="4"/>
      <c r="S1506" s="4">
        <v>300</v>
      </c>
      <c r="T1506" s="4">
        <v>5</v>
      </c>
      <c r="U1506" s="4">
        <v>5</v>
      </c>
      <c r="V1506" s="4">
        <v>7</v>
      </c>
      <c r="W1506" s="4">
        <v>12</v>
      </c>
      <c r="X1506" s="4">
        <v>16.399999999999999</v>
      </c>
      <c r="Y1506" s="4"/>
      <c r="Z1506" s="4">
        <v>217.5</v>
      </c>
      <c r="AA1506" s="4">
        <v>300</v>
      </c>
      <c r="AB1506" s="18"/>
      <c r="AC1506" s="18">
        <v>29</v>
      </c>
      <c r="AD1506" s="28"/>
      <c r="AE1506" s="26"/>
      <c r="AF1506" s="28"/>
    </row>
    <row r="1507" spans="1:32" ht="13.5" customHeight="1" x14ac:dyDescent="0.25">
      <c r="A1507" s="14">
        <v>45854</v>
      </c>
      <c r="B1507" s="14" t="s">
        <v>46</v>
      </c>
      <c r="C1507" s="15">
        <v>5</v>
      </c>
      <c r="D1507" s="16"/>
      <c r="E1507" s="16"/>
      <c r="F1507" s="17"/>
      <c r="G1507" s="21"/>
      <c r="H1507" s="21"/>
      <c r="I1507" s="4">
        <v>0</v>
      </c>
      <c r="J1507" s="4">
        <v>0</v>
      </c>
      <c r="K1507" s="4">
        <v>210</v>
      </c>
      <c r="L1507" s="16"/>
      <c r="M1507" s="4"/>
      <c r="N1507" s="4"/>
      <c r="O1507" s="4"/>
      <c r="P1507" s="4"/>
      <c r="Q1507" s="4"/>
      <c r="R1507" s="4"/>
      <c r="S1507" s="4">
        <v>210</v>
      </c>
      <c r="T1507" s="4">
        <v>3.5</v>
      </c>
      <c r="U1507" s="4">
        <v>3.5</v>
      </c>
      <c r="V1507" s="4">
        <v>8.5</v>
      </c>
      <c r="W1507" s="4">
        <v>12</v>
      </c>
      <c r="X1507" s="4">
        <v>0</v>
      </c>
      <c r="Y1507" s="4"/>
      <c r="Z1507" s="4">
        <v>582.79999999999995</v>
      </c>
      <c r="AA1507" s="4">
        <v>650</v>
      </c>
      <c r="AB1507" s="18"/>
      <c r="AC1507" s="18">
        <v>29</v>
      </c>
      <c r="AD1507" s="28"/>
      <c r="AE1507" s="26"/>
      <c r="AF1507" s="28"/>
    </row>
    <row r="1508" spans="1:32" ht="13.5" customHeight="1" x14ac:dyDescent="0.25">
      <c r="A1508" s="14">
        <v>45854</v>
      </c>
      <c r="B1508" s="14" t="s">
        <v>47</v>
      </c>
      <c r="C1508" s="15">
        <v>5</v>
      </c>
      <c r="D1508" s="16"/>
      <c r="E1508" s="16"/>
      <c r="F1508" s="17"/>
      <c r="G1508" s="21"/>
      <c r="H1508" s="21"/>
      <c r="I1508" s="4">
        <v>0</v>
      </c>
      <c r="J1508" s="4">
        <v>0</v>
      </c>
      <c r="K1508" s="4"/>
      <c r="L1508" s="16"/>
      <c r="M1508" s="4"/>
      <c r="N1508" s="4"/>
      <c r="O1508" s="4"/>
      <c r="P1508" s="4"/>
      <c r="Q1508" s="4"/>
      <c r="R1508" s="4"/>
      <c r="S1508" s="4">
        <v>0</v>
      </c>
      <c r="T1508" s="4">
        <v>0</v>
      </c>
      <c r="U1508" s="4">
        <v>0</v>
      </c>
      <c r="V1508" s="4">
        <v>12</v>
      </c>
      <c r="W1508" s="4">
        <v>12</v>
      </c>
      <c r="X1508" s="4">
        <v>0</v>
      </c>
      <c r="Y1508" s="4"/>
      <c r="Z1508" s="4">
        <v>0</v>
      </c>
      <c r="AA1508" s="4">
        <v>0</v>
      </c>
      <c r="AB1508" s="18"/>
      <c r="AC1508" s="18">
        <v>29</v>
      </c>
      <c r="AD1508" s="28"/>
      <c r="AE1508" s="26"/>
      <c r="AF1508" s="28"/>
    </row>
    <row r="1509" spans="1:32" ht="13.5" customHeight="1" x14ac:dyDescent="0.25">
      <c r="A1509" s="14">
        <v>45854</v>
      </c>
      <c r="B1509" s="14" t="s">
        <v>46</v>
      </c>
      <c r="C1509" s="15">
        <v>6</v>
      </c>
      <c r="D1509" s="16">
        <v>5</v>
      </c>
      <c r="E1509" s="16"/>
      <c r="F1509" s="17"/>
      <c r="G1509" s="21"/>
      <c r="H1509" s="21"/>
      <c r="I1509" s="4">
        <v>5</v>
      </c>
      <c r="J1509" s="4">
        <v>8.3333333333333329E-2</v>
      </c>
      <c r="K1509" s="4"/>
      <c r="L1509" s="16">
        <v>10</v>
      </c>
      <c r="M1509" s="4"/>
      <c r="N1509" s="4">
        <v>20</v>
      </c>
      <c r="O1509" s="4"/>
      <c r="P1509" s="4"/>
      <c r="Q1509" s="4"/>
      <c r="R1509" s="4"/>
      <c r="S1509" s="4">
        <v>30</v>
      </c>
      <c r="T1509" s="4">
        <v>0.5</v>
      </c>
      <c r="U1509" s="4">
        <v>0.58333333333333337</v>
      </c>
      <c r="V1509" s="4">
        <v>11.416666666666666</v>
      </c>
      <c r="W1509" s="4">
        <v>12</v>
      </c>
      <c r="X1509" s="4">
        <v>67</v>
      </c>
      <c r="Y1509" s="4"/>
      <c r="Z1509" s="4">
        <v>506.8</v>
      </c>
      <c r="AA1509" s="4">
        <v>550</v>
      </c>
      <c r="AB1509" s="18"/>
      <c r="AC1509" s="18">
        <v>29</v>
      </c>
      <c r="AD1509" s="28"/>
      <c r="AE1509" s="26"/>
      <c r="AF1509" s="28"/>
    </row>
    <row r="1510" spans="1:32" ht="13.5" customHeight="1" x14ac:dyDescent="0.25">
      <c r="A1510" s="14">
        <v>45854</v>
      </c>
      <c r="B1510" s="14" t="s">
        <v>47</v>
      </c>
      <c r="C1510" s="15">
        <v>6</v>
      </c>
      <c r="D1510" s="16">
        <v>3</v>
      </c>
      <c r="E1510" s="16"/>
      <c r="F1510" s="17"/>
      <c r="G1510" s="21"/>
      <c r="H1510" s="21"/>
      <c r="I1510" s="4">
        <v>3</v>
      </c>
      <c r="J1510" s="4">
        <v>0.05</v>
      </c>
      <c r="K1510" s="4"/>
      <c r="L1510" s="16"/>
      <c r="M1510" s="4"/>
      <c r="N1510" s="4"/>
      <c r="O1510" s="4"/>
      <c r="P1510" s="4"/>
      <c r="Q1510" s="4"/>
      <c r="R1510" s="4"/>
      <c r="S1510" s="4">
        <v>0</v>
      </c>
      <c r="T1510" s="4">
        <v>0</v>
      </c>
      <c r="U1510" s="4">
        <v>0.05</v>
      </c>
      <c r="V1510" s="4">
        <v>11.95</v>
      </c>
      <c r="W1510" s="4">
        <v>12</v>
      </c>
      <c r="X1510" s="4">
        <v>20</v>
      </c>
      <c r="Y1510" s="4"/>
      <c r="Z1510" s="4">
        <v>532.5</v>
      </c>
      <c r="AA1510" s="4">
        <v>550</v>
      </c>
      <c r="AB1510" s="18"/>
      <c r="AC1510" s="18">
        <v>29</v>
      </c>
      <c r="AD1510" s="28"/>
      <c r="AE1510" s="26"/>
      <c r="AF1510" s="28"/>
    </row>
    <row r="1511" spans="1:32" ht="13.5" customHeight="1" x14ac:dyDescent="0.25">
      <c r="A1511" s="14">
        <v>45854</v>
      </c>
      <c r="B1511" s="14" t="s">
        <v>46</v>
      </c>
      <c r="C1511" s="15">
        <v>7</v>
      </c>
      <c r="D1511" s="16">
        <v>3</v>
      </c>
      <c r="E1511" s="16"/>
      <c r="F1511" s="17"/>
      <c r="G1511" s="21"/>
      <c r="H1511" s="21"/>
      <c r="I1511" s="4">
        <v>3</v>
      </c>
      <c r="J1511" s="4">
        <v>0.05</v>
      </c>
      <c r="K1511" s="4"/>
      <c r="L1511" s="16"/>
      <c r="M1511" s="4"/>
      <c r="N1511" s="4"/>
      <c r="O1511" s="4"/>
      <c r="P1511" s="4"/>
      <c r="Q1511" s="4"/>
      <c r="R1511" s="4"/>
      <c r="S1511" s="4">
        <v>0</v>
      </c>
      <c r="T1511" s="4">
        <v>0</v>
      </c>
      <c r="U1511" s="4">
        <v>0.05</v>
      </c>
      <c r="V1511" s="4">
        <v>11.95</v>
      </c>
      <c r="W1511" s="4">
        <v>12</v>
      </c>
      <c r="X1511" s="4">
        <v>0</v>
      </c>
      <c r="Y1511" s="4"/>
      <c r="Z1511" s="4">
        <v>319.10000000000002</v>
      </c>
      <c r="AA1511" s="4">
        <v>300</v>
      </c>
      <c r="AB1511" s="18"/>
      <c r="AC1511" s="18">
        <v>29</v>
      </c>
      <c r="AD1511" s="28"/>
      <c r="AE1511" s="26"/>
      <c r="AF1511" s="28"/>
    </row>
    <row r="1512" spans="1:32" ht="13.5" customHeight="1" x14ac:dyDescent="0.25">
      <c r="A1512" s="14">
        <v>45854</v>
      </c>
      <c r="B1512" s="14" t="s">
        <v>47</v>
      </c>
      <c r="C1512" s="15">
        <v>7</v>
      </c>
      <c r="D1512" s="16"/>
      <c r="E1512" s="16"/>
      <c r="F1512" s="17"/>
      <c r="G1512" s="21"/>
      <c r="H1512" s="21"/>
      <c r="I1512" s="4">
        <v>0</v>
      </c>
      <c r="J1512" s="4">
        <v>0</v>
      </c>
      <c r="K1512" s="4"/>
      <c r="L1512" s="16"/>
      <c r="M1512" s="4"/>
      <c r="N1512" s="4"/>
      <c r="O1512" s="4"/>
      <c r="P1512" s="4"/>
      <c r="Q1512" s="4"/>
      <c r="R1512" s="4"/>
      <c r="S1512" s="4">
        <v>0</v>
      </c>
      <c r="T1512" s="4">
        <v>0</v>
      </c>
      <c r="U1512" s="4">
        <v>0</v>
      </c>
      <c r="V1512" s="4">
        <v>12</v>
      </c>
      <c r="W1512" s="4">
        <v>12</v>
      </c>
      <c r="X1512" s="4">
        <v>2.8</v>
      </c>
      <c r="Y1512" s="4"/>
      <c r="Z1512" s="4">
        <v>389.82000000000005</v>
      </c>
      <c r="AA1512" s="4">
        <v>400</v>
      </c>
      <c r="AB1512" s="18"/>
      <c r="AC1512" s="18">
        <v>29</v>
      </c>
      <c r="AD1512" s="28"/>
      <c r="AE1512" s="26"/>
      <c r="AF1512" s="28"/>
    </row>
    <row r="1513" spans="1:32" ht="13.5" customHeight="1" x14ac:dyDescent="0.25">
      <c r="A1513" s="14">
        <v>45855</v>
      </c>
      <c r="B1513" s="14" t="s">
        <v>46</v>
      </c>
      <c r="C1513" s="15">
        <v>1</v>
      </c>
      <c r="D1513" s="16">
        <v>5</v>
      </c>
      <c r="E1513" s="16"/>
      <c r="F1513" s="17"/>
      <c r="G1513" s="21"/>
      <c r="H1513" s="21"/>
      <c r="I1513" s="4">
        <v>5</v>
      </c>
      <c r="J1513" s="4">
        <v>8.3333333333333329E-2</v>
      </c>
      <c r="K1513" s="4"/>
      <c r="L1513" s="16"/>
      <c r="M1513" s="4"/>
      <c r="N1513" s="4"/>
      <c r="O1513" s="4"/>
      <c r="P1513" s="4"/>
      <c r="Q1513" s="4"/>
      <c r="R1513" s="4"/>
      <c r="S1513" s="4">
        <v>0</v>
      </c>
      <c r="T1513" s="4">
        <v>0</v>
      </c>
      <c r="U1513" s="4">
        <v>8.3333333333333329E-2</v>
      </c>
      <c r="V1513" s="4">
        <v>11.916666666666666</v>
      </c>
      <c r="W1513" s="4">
        <v>12</v>
      </c>
      <c r="X1513" s="4">
        <v>0</v>
      </c>
      <c r="Y1513" s="4">
        <v>2743.5</v>
      </c>
      <c r="Z1513" s="4">
        <v>148.60000000000002</v>
      </c>
      <c r="AA1513" s="4">
        <v>150</v>
      </c>
      <c r="AB1513" s="18">
        <v>372</v>
      </c>
      <c r="AC1513" s="18">
        <v>29</v>
      </c>
      <c r="AD1513" s="28"/>
      <c r="AE1513" s="26"/>
      <c r="AF1513" s="28"/>
    </row>
    <row r="1514" spans="1:32" ht="13.5" customHeight="1" x14ac:dyDescent="0.25">
      <c r="A1514" s="14">
        <v>45855</v>
      </c>
      <c r="B1514" s="14" t="s">
        <v>47</v>
      </c>
      <c r="C1514" s="15">
        <v>1</v>
      </c>
      <c r="D1514" s="16"/>
      <c r="E1514" s="16"/>
      <c r="F1514" s="17"/>
      <c r="G1514" s="21"/>
      <c r="H1514" s="21"/>
      <c r="I1514" s="4">
        <v>0</v>
      </c>
      <c r="J1514" s="4">
        <v>0</v>
      </c>
      <c r="K1514" s="4"/>
      <c r="L1514" s="16"/>
      <c r="M1514" s="4"/>
      <c r="N1514" s="4"/>
      <c r="O1514" s="4"/>
      <c r="P1514" s="4"/>
      <c r="Q1514" s="4">
        <v>40</v>
      </c>
      <c r="R1514" s="4"/>
      <c r="S1514" s="4">
        <v>40</v>
      </c>
      <c r="T1514" s="4">
        <v>0.66666666666666663</v>
      </c>
      <c r="U1514" s="4">
        <v>0.66666666666666663</v>
      </c>
      <c r="V1514" s="4">
        <v>11.333333333333334</v>
      </c>
      <c r="W1514" s="4">
        <v>12</v>
      </c>
      <c r="X1514" s="4">
        <v>0</v>
      </c>
      <c r="Y1514" s="4"/>
      <c r="Z1514" s="4">
        <v>110.99999999999999</v>
      </c>
      <c r="AA1514" s="4">
        <v>150</v>
      </c>
      <c r="AB1514" s="18"/>
      <c r="AC1514" s="18">
        <v>29</v>
      </c>
      <c r="AD1514" s="28"/>
      <c r="AE1514" s="26"/>
      <c r="AF1514" s="28"/>
    </row>
    <row r="1515" spans="1:32" ht="13.5" customHeight="1" x14ac:dyDescent="0.25">
      <c r="A1515" s="14">
        <v>45855</v>
      </c>
      <c r="B1515" s="14" t="s">
        <v>46</v>
      </c>
      <c r="C1515" s="15">
        <v>3</v>
      </c>
      <c r="D1515" s="16">
        <v>5</v>
      </c>
      <c r="E1515" s="16"/>
      <c r="F1515" s="17"/>
      <c r="G1515" s="21"/>
      <c r="H1515" s="21"/>
      <c r="I1515" s="4">
        <v>5</v>
      </c>
      <c r="J1515" s="4">
        <v>8.3333333333333329E-2</v>
      </c>
      <c r="K1515" s="4"/>
      <c r="L1515" s="16"/>
      <c r="M1515" s="4"/>
      <c r="N1515" s="4"/>
      <c r="O1515" s="4"/>
      <c r="P1515" s="4"/>
      <c r="Q1515" s="4"/>
      <c r="R1515" s="4"/>
      <c r="S1515" s="4">
        <v>0</v>
      </c>
      <c r="T1515" s="4">
        <v>0</v>
      </c>
      <c r="U1515" s="4">
        <v>8.3333333333333329E-2</v>
      </c>
      <c r="V1515" s="4">
        <v>11.916666666666666</v>
      </c>
      <c r="W1515" s="4">
        <v>12</v>
      </c>
      <c r="X1515" s="4">
        <v>0</v>
      </c>
      <c r="Y1515" s="4"/>
      <c r="Z1515" s="4">
        <v>367</v>
      </c>
      <c r="AA1515" s="4">
        <v>400</v>
      </c>
      <c r="AB1515" s="18"/>
      <c r="AC1515" s="18">
        <v>29</v>
      </c>
      <c r="AD1515" s="28"/>
      <c r="AE1515" s="26"/>
      <c r="AF1515" s="28"/>
    </row>
    <row r="1516" spans="1:32" ht="13.5" customHeight="1" x14ac:dyDescent="0.25">
      <c r="A1516" s="14">
        <v>45855</v>
      </c>
      <c r="B1516" s="14" t="s">
        <v>47</v>
      </c>
      <c r="C1516" s="15">
        <v>3</v>
      </c>
      <c r="D1516" s="16">
        <v>5</v>
      </c>
      <c r="E1516" s="16"/>
      <c r="F1516" s="17"/>
      <c r="G1516" s="21"/>
      <c r="H1516" s="21"/>
      <c r="I1516" s="4">
        <v>5</v>
      </c>
      <c r="J1516" s="4">
        <v>8.3333333333333329E-2</v>
      </c>
      <c r="K1516" s="4"/>
      <c r="L1516" s="16"/>
      <c r="M1516" s="4"/>
      <c r="N1516" s="4"/>
      <c r="O1516" s="4"/>
      <c r="P1516" s="4"/>
      <c r="Q1516" s="4"/>
      <c r="R1516" s="4"/>
      <c r="S1516" s="4">
        <v>0</v>
      </c>
      <c r="T1516" s="4">
        <v>0</v>
      </c>
      <c r="U1516" s="4">
        <v>8.3333333333333329E-2</v>
      </c>
      <c r="V1516" s="4">
        <v>11.916666666666666</v>
      </c>
      <c r="W1516" s="4">
        <v>12</v>
      </c>
      <c r="X1516" s="4">
        <v>0</v>
      </c>
      <c r="Y1516" s="4"/>
      <c r="Z1516" s="4">
        <v>348.19999999999993</v>
      </c>
      <c r="AA1516" s="4">
        <v>350</v>
      </c>
      <c r="AB1516" s="18"/>
      <c r="AC1516" s="18">
        <v>29</v>
      </c>
      <c r="AD1516" s="28"/>
      <c r="AE1516" s="26"/>
      <c r="AF1516" s="28"/>
    </row>
    <row r="1517" spans="1:32" ht="13.5" customHeight="1" x14ac:dyDescent="0.25">
      <c r="A1517" s="14">
        <v>45855</v>
      </c>
      <c r="B1517" s="14" t="s">
        <v>46</v>
      </c>
      <c r="C1517" s="15">
        <v>4</v>
      </c>
      <c r="D1517" s="16">
        <v>3</v>
      </c>
      <c r="E1517" s="16"/>
      <c r="F1517" s="17"/>
      <c r="G1517" s="21"/>
      <c r="H1517" s="21"/>
      <c r="I1517" s="4">
        <v>3</v>
      </c>
      <c r="J1517" s="4">
        <v>0.05</v>
      </c>
      <c r="K1517" s="4"/>
      <c r="L1517" s="16"/>
      <c r="M1517" s="4"/>
      <c r="N1517" s="4"/>
      <c r="O1517" s="4"/>
      <c r="P1517" s="4">
        <v>40</v>
      </c>
      <c r="Q1517" s="4"/>
      <c r="R1517" s="4"/>
      <c r="S1517" s="4">
        <v>40</v>
      </c>
      <c r="T1517" s="4">
        <v>0.66666666666666663</v>
      </c>
      <c r="U1517" s="4">
        <v>0.71666666666666667</v>
      </c>
      <c r="V1517" s="4">
        <v>11.283333333333333</v>
      </c>
      <c r="W1517" s="4">
        <v>12</v>
      </c>
      <c r="X1517" s="4">
        <v>0</v>
      </c>
      <c r="Y1517" s="4"/>
      <c r="Z1517" s="4">
        <v>271.20000000000005</v>
      </c>
      <c r="AA1517" s="4">
        <v>350</v>
      </c>
      <c r="AB1517" s="18"/>
      <c r="AC1517" s="18">
        <v>29</v>
      </c>
      <c r="AD1517" s="28"/>
      <c r="AE1517" s="26"/>
      <c r="AF1517" s="28"/>
    </row>
    <row r="1518" spans="1:32" ht="13.5" customHeight="1" x14ac:dyDescent="0.25">
      <c r="A1518" s="14">
        <v>45855</v>
      </c>
      <c r="B1518" s="14" t="s">
        <v>47</v>
      </c>
      <c r="C1518" s="15">
        <v>4</v>
      </c>
      <c r="D1518" s="16"/>
      <c r="E1518" s="16"/>
      <c r="F1518" s="17"/>
      <c r="G1518" s="21"/>
      <c r="H1518" s="21"/>
      <c r="I1518" s="4">
        <v>0</v>
      </c>
      <c r="J1518" s="4">
        <v>0</v>
      </c>
      <c r="K1518" s="4"/>
      <c r="L1518" s="16"/>
      <c r="M1518" s="4"/>
      <c r="N1518" s="4"/>
      <c r="O1518" s="4"/>
      <c r="P1518" s="4"/>
      <c r="Q1518" s="4"/>
      <c r="R1518" s="4"/>
      <c r="S1518" s="4">
        <v>0</v>
      </c>
      <c r="T1518" s="4">
        <v>0</v>
      </c>
      <c r="U1518" s="4">
        <v>0</v>
      </c>
      <c r="V1518" s="4">
        <v>12</v>
      </c>
      <c r="W1518" s="4">
        <v>12</v>
      </c>
      <c r="X1518" s="4">
        <v>15.8</v>
      </c>
      <c r="Y1518" s="4"/>
      <c r="Z1518" s="4">
        <v>304.10000000000002</v>
      </c>
      <c r="AA1518" s="4">
        <v>350</v>
      </c>
      <c r="AB1518" s="18"/>
      <c r="AC1518" s="18">
        <v>29</v>
      </c>
      <c r="AD1518" s="28"/>
      <c r="AE1518" s="26"/>
      <c r="AF1518" s="28"/>
    </row>
    <row r="1519" spans="1:32" ht="13.5" customHeight="1" x14ac:dyDescent="0.25">
      <c r="A1519" s="14">
        <v>45855</v>
      </c>
      <c r="B1519" s="14" t="s">
        <v>46</v>
      </c>
      <c r="C1519" s="15">
        <v>5</v>
      </c>
      <c r="D1519" s="16"/>
      <c r="E1519" s="16"/>
      <c r="F1519" s="17"/>
      <c r="G1519" s="21"/>
      <c r="H1519" s="21"/>
      <c r="I1519" s="4">
        <v>0</v>
      </c>
      <c r="J1519" s="4">
        <v>0</v>
      </c>
      <c r="K1519" s="4"/>
      <c r="L1519" s="16"/>
      <c r="M1519" s="4"/>
      <c r="N1519" s="4">
        <v>22</v>
      </c>
      <c r="O1519" s="4"/>
      <c r="P1519" s="4">
        <v>20</v>
      </c>
      <c r="Q1519" s="4"/>
      <c r="R1519" s="4"/>
      <c r="S1519" s="4">
        <v>42</v>
      </c>
      <c r="T1519" s="4">
        <v>0.7</v>
      </c>
      <c r="U1519" s="4">
        <v>0.7</v>
      </c>
      <c r="V1519" s="4">
        <v>11.3</v>
      </c>
      <c r="W1519" s="4">
        <v>12</v>
      </c>
      <c r="X1519" s="4">
        <v>0</v>
      </c>
      <c r="Y1519" s="4"/>
      <c r="Z1519" s="4">
        <v>595.19999999999993</v>
      </c>
      <c r="AA1519" s="4">
        <v>650</v>
      </c>
      <c r="AB1519" s="18"/>
      <c r="AC1519" s="18">
        <v>29</v>
      </c>
      <c r="AD1519" s="28"/>
      <c r="AE1519" s="26"/>
      <c r="AF1519" s="28"/>
    </row>
    <row r="1520" spans="1:32" ht="13.5" customHeight="1" x14ac:dyDescent="0.25">
      <c r="A1520" s="14">
        <v>45855</v>
      </c>
      <c r="B1520" s="14" t="s">
        <v>47</v>
      </c>
      <c r="C1520" s="15">
        <v>5</v>
      </c>
      <c r="D1520" s="16"/>
      <c r="E1520" s="16"/>
      <c r="F1520" s="17"/>
      <c r="G1520" s="21"/>
      <c r="H1520" s="21"/>
      <c r="I1520" s="4">
        <v>0</v>
      </c>
      <c r="J1520" s="4">
        <v>0</v>
      </c>
      <c r="K1520" s="4"/>
      <c r="L1520" s="16"/>
      <c r="M1520" s="4"/>
      <c r="N1520" s="4"/>
      <c r="O1520" s="4"/>
      <c r="P1520" s="4"/>
      <c r="Q1520" s="4"/>
      <c r="R1520" s="4"/>
      <c r="S1520" s="4">
        <v>0</v>
      </c>
      <c r="T1520" s="4">
        <v>0</v>
      </c>
      <c r="U1520" s="4">
        <v>0</v>
      </c>
      <c r="V1520" s="4">
        <v>12</v>
      </c>
      <c r="W1520" s="4">
        <v>12</v>
      </c>
      <c r="X1520" s="4">
        <v>0</v>
      </c>
      <c r="Y1520" s="4"/>
      <c r="Z1520" s="4">
        <v>596.4</v>
      </c>
      <c r="AA1520" s="4">
        <v>600</v>
      </c>
      <c r="AB1520" s="18"/>
      <c r="AC1520" s="18">
        <v>29</v>
      </c>
      <c r="AD1520" s="28"/>
      <c r="AE1520" s="26"/>
      <c r="AF1520" s="28"/>
    </row>
    <row r="1521" spans="1:32" ht="13.5" customHeight="1" x14ac:dyDescent="0.25">
      <c r="A1521" s="14">
        <v>45855</v>
      </c>
      <c r="B1521" s="14" t="s">
        <v>46</v>
      </c>
      <c r="C1521" s="15">
        <v>6</v>
      </c>
      <c r="D1521" s="16">
        <v>15</v>
      </c>
      <c r="E1521" s="16"/>
      <c r="F1521" s="17"/>
      <c r="G1521" s="21"/>
      <c r="H1521" s="21"/>
      <c r="I1521" s="4">
        <v>15</v>
      </c>
      <c r="J1521" s="4">
        <v>0.25</v>
      </c>
      <c r="K1521" s="4"/>
      <c r="L1521" s="16"/>
      <c r="M1521" s="4"/>
      <c r="N1521" s="4"/>
      <c r="O1521" s="4"/>
      <c r="P1521" s="4"/>
      <c r="Q1521" s="4"/>
      <c r="R1521" s="4"/>
      <c r="S1521" s="4">
        <v>0</v>
      </c>
      <c r="T1521" s="4">
        <v>0</v>
      </c>
      <c r="U1521" s="4">
        <v>0.25</v>
      </c>
      <c r="V1521" s="4">
        <v>11.75</v>
      </c>
      <c r="W1521" s="4">
        <v>12</v>
      </c>
      <c r="X1521" s="4">
        <v>51</v>
      </c>
      <c r="Y1521" s="4"/>
      <c r="Z1521" s="4">
        <v>600.6</v>
      </c>
      <c r="AA1521" s="4">
        <v>600</v>
      </c>
      <c r="AB1521" s="18"/>
      <c r="AC1521" s="18">
        <v>29</v>
      </c>
      <c r="AD1521" s="28"/>
      <c r="AE1521" s="26"/>
      <c r="AF1521" s="28"/>
    </row>
    <row r="1522" spans="1:32" ht="13.5" customHeight="1" x14ac:dyDescent="0.25">
      <c r="A1522" s="14">
        <v>45855</v>
      </c>
      <c r="B1522" s="14" t="s">
        <v>47</v>
      </c>
      <c r="C1522" s="15">
        <v>6</v>
      </c>
      <c r="D1522" s="16">
        <v>30</v>
      </c>
      <c r="E1522" s="16"/>
      <c r="F1522" s="17"/>
      <c r="G1522" s="21"/>
      <c r="H1522" s="21"/>
      <c r="I1522" s="4">
        <v>30</v>
      </c>
      <c r="J1522" s="4">
        <v>0.5</v>
      </c>
      <c r="K1522" s="4"/>
      <c r="L1522" s="16"/>
      <c r="M1522" s="4"/>
      <c r="N1522" s="4"/>
      <c r="O1522" s="4"/>
      <c r="P1522" s="4"/>
      <c r="Q1522" s="4"/>
      <c r="R1522" s="4"/>
      <c r="S1522" s="4">
        <v>0</v>
      </c>
      <c r="T1522" s="4">
        <v>0</v>
      </c>
      <c r="U1522" s="4">
        <v>0.5</v>
      </c>
      <c r="V1522" s="4">
        <v>11.5</v>
      </c>
      <c r="W1522" s="4">
        <v>12</v>
      </c>
      <c r="X1522" s="4">
        <v>41</v>
      </c>
      <c r="Y1522" s="4"/>
      <c r="Z1522" s="4">
        <v>558.80000000000007</v>
      </c>
      <c r="AA1522" s="4">
        <v>550</v>
      </c>
      <c r="AB1522" s="18"/>
      <c r="AC1522" s="18">
        <v>29</v>
      </c>
      <c r="AD1522" s="28"/>
      <c r="AE1522" s="26"/>
      <c r="AF1522" s="28"/>
    </row>
    <row r="1523" spans="1:32" ht="13.5" customHeight="1" x14ac:dyDescent="0.25">
      <c r="A1523" s="14">
        <v>45855</v>
      </c>
      <c r="B1523" s="14" t="s">
        <v>46</v>
      </c>
      <c r="C1523" s="15">
        <v>7</v>
      </c>
      <c r="D1523" s="16"/>
      <c r="E1523" s="16"/>
      <c r="F1523" s="17"/>
      <c r="G1523" s="21"/>
      <c r="H1523" s="21"/>
      <c r="I1523" s="4">
        <v>0</v>
      </c>
      <c r="J1523" s="4">
        <v>0</v>
      </c>
      <c r="K1523" s="4"/>
      <c r="L1523" s="16"/>
      <c r="M1523" s="4"/>
      <c r="N1523" s="4"/>
      <c r="O1523" s="4"/>
      <c r="P1523" s="4"/>
      <c r="Q1523" s="4"/>
      <c r="R1523" s="4"/>
      <c r="S1523" s="4">
        <v>0</v>
      </c>
      <c r="T1523" s="4">
        <v>0</v>
      </c>
      <c r="U1523" s="4">
        <v>0</v>
      </c>
      <c r="V1523" s="4">
        <v>12</v>
      </c>
      <c r="W1523" s="4">
        <v>12</v>
      </c>
      <c r="X1523" s="4">
        <v>0</v>
      </c>
      <c r="Y1523" s="4"/>
      <c r="Z1523" s="4">
        <v>434.3</v>
      </c>
      <c r="AA1523" s="4">
        <v>450</v>
      </c>
      <c r="AB1523" s="18"/>
      <c r="AC1523" s="18">
        <v>29</v>
      </c>
      <c r="AD1523" s="28"/>
      <c r="AE1523" s="26"/>
      <c r="AF1523" s="28"/>
    </row>
    <row r="1524" spans="1:32" ht="13.5" customHeight="1" x14ac:dyDescent="0.25">
      <c r="A1524" s="14">
        <v>45855</v>
      </c>
      <c r="B1524" s="14" t="s">
        <v>47</v>
      </c>
      <c r="C1524" s="15">
        <v>7</v>
      </c>
      <c r="D1524" s="16"/>
      <c r="E1524" s="16"/>
      <c r="F1524" s="17"/>
      <c r="G1524" s="21"/>
      <c r="H1524" s="21"/>
      <c r="I1524" s="4">
        <v>0</v>
      </c>
      <c r="J1524" s="4">
        <v>0</v>
      </c>
      <c r="K1524" s="4"/>
      <c r="L1524" s="16"/>
      <c r="M1524" s="4"/>
      <c r="N1524" s="4"/>
      <c r="O1524" s="4"/>
      <c r="P1524" s="4"/>
      <c r="Q1524" s="4"/>
      <c r="R1524" s="4"/>
      <c r="S1524" s="4">
        <v>0</v>
      </c>
      <c r="T1524" s="4">
        <v>0</v>
      </c>
      <c r="U1524" s="4">
        <v>0</v>
      </c>
      <c r="V1524" s="4">
        <v>12</v>
      </c>
      <c r="W1524" s="4">
        <v>12</v>
      </c>
      <c r="X1524" s="4">
        <v>2.4</v>
      </c>
      <c r="Y1524" s="4"/>
      <c r="Z1524" s="4">
        <v>378.30000000000007</v>
      </c>
      <c r="AA1524" s="4">
        <v>400</v>
      </c>
      <c r="AB1524" s="18"/>
      <c r="AC1524" s="18">
        <v>29</v>
      </c>
      <c r="AD1524" s="28"/>
      <c r="AE1524" s="26"/>
      <c r="AF1524" s="28"/>
    </row>
    <row r="1525" spans="1:32" ht="13.5" customHeight="1" x14ac:dyDescent="0.25">
      <c r="A1525" s="14">
        <v>45856</v>
      </c>
      <c r="B1525" s="14" t="s">
        <v>46</v>
      </c>
      <c r="C1525" s="15">
        <v>1</v>
      </c>
      <c r="D1525" s="16"/>
      <c r="E1525" s="16"/>
      <c r="F1525" s="17"/>
      <c r="G1525" s="21"/>
      <c r="H1525" s="21"/>
      <c r="I1525" s="4">
        <v>0</v>
      </c>
      <c r="J1525" s="4">
        <v>0</v>
      </c>
      <c r="K1525" s="4"/>
      <c r="L1525" s="16"/>
      <c r="M1525" s="4"/>
      <c r="N1525" s="4"/>
      <c r="O1525" s="4"/>
      <c r="P1525" s="4"/>
      <c r="Q1525" s="4"/>
      <c r="R1525" s="4"/>
      <c r="S1525" s="4">
        <v>0</v>
      </c>
      <c r="T1525" s="4">
        <v>0</v>
      </c>
      <c r="U1525" s="4">
        <v>0</v>
      </c>
      <c r="V1525" s="4">
        <v>12</v>
      </c>
      <c r="W1525" s="4">
        <v>12</v>
      </c>
      <c r="X1525" s="4">
        <v>6</v>
      </c>
      <c r="Y1525" s="4">
        <v>2707</v>
      </c>
      <c r="Z1525" s="4">
        <v>184.3</v>
      </c>
      <c r="AA1525" s="4">
        <v>200</v>
      </c>
      <c r="AB1525" s="18">
        <v>372</v>
      </c>
      <c r="AC1525" s="18">
        <v>29</v>
      </c>
      <c r="AD1525" s="28"/>
      <c r="AE1525" s="26"/>
      <c r="AF1525" s="28"/>
    </row>
    <row r="1526" spans="1:32" ht="13.5" customHeight="1" x14ac:dyDescent="0.25">
      <c r="A1526" s="14">
        <v>45856</v>
      </c>
      <c r="B1526" s="14" t="s">
        <v>47</v>
      </c>
      <c r="C1526" s="15">
        <v>1</v>
      </c>
      <c r="D1526" s="16"/>
      <c r="E1526" s="16"/>
      <c r="F1526" s="17"/>
      <c r="G1526" s="21"/>
      <c r="H1526" s="21"/>
      <c r="I1526" s="4">
        <v>0</v>
      </c>
      <c r="J1526" s="4">
        <v>0</v>
      </c>
      <c r="K1526" s="4"/>
      <c r="L1526" s="16"/>
      <c r="M1526" s="4"/>
      <c r="N1526" s="4"/>
      <c r="O1526" s="4"/>
      <c r="P1526" s="4"/>
      <c r="Q1526" s="4"/>
      <c r="R1526" s="4"/>
      <c r="S1526" s="4">
        <v>0</v>
      </c>
      <c r="T1526" s="4">
        <v>0</v>
      </c>
      <c r="U1526" s="4">
        <v>0</v>
      </c>
      <c r="V1526" s="4">
        <v>12</v>
      </c>
      <c r="W1526" s="4">
        <v>12</v>
      </c>
      <c r="X1526" s="4">
        <v>0</v>
      </c>
      <c r="Y1526" s="4"/>
      <c r="Z1526" s="4">
        <v>180.70000000000002</v>
      </c>
      <c r="AA1526" s="4">
        <v>200</v>
      </c>
      <c r="AB1526" s="18"/>
      <c r="AC1526" s="18">
        <v>29</v>
      </c>
      <c r="AD1526" s="28"/>
      <c r="AE1526" s="26"/>
      <c r="AF1526" s="28"/>
    </row>
    <row r="1527" spans="1:32" ht="13.5" customHeight="1" x14ac:dyDescent="0.25">
      <c r="A1527" s="14">
        <v>45856</v>
      </c>
      <c r="B1527" s="14" t="s">
        <v>46</v>
      </c>
      <c r="C1527" s="15">
        <v>3</v>
      </c>
      <c r="D1527" s="16">
        <v>5</v>
      </c>
      <c r="E1527" s="16">
        <v>10</v>
      </c>
      <c r="F1527" s="17"/>
      <c r="G1527" s="21"/>
      <c r="H1527" s="21"/>
      <c r="I1527" s="4">
        <v>15</v>
      </c>
      <c r="J1527" s="4">
        <v>0.25</v>
      </c>
      <c r="K1527" s="4"/>
      <c r="L1527" s="16"/>
      <c r="M1527" s="4"/>
      <c r="N1527" s="4"/>
      <c r="O1527" s="4"/>
      <c r="P1527" s="4"/>
      <c r="Q1527" s="4"/>
      <c r="R1527" s="4"/>
      <c r="S1527" s="4">
        <v>0</v>
      </c>
      <c r="T1527" s="4">
        <v>0</v>
      </c>
      <c r="U1527" s="4">
        <v>0.25</v>
      </c>
      <c r="V1527" s="4">
        <v>11.75</v>
      </c>
      <c r="W1527" s="4">
        <v>12</v>
      </c>
      <c r="X1527" s="4">
        <v>71</v>
      </c>
      <c r="Y1527" s="4"/>
      <c r="Z1527" s="4">
        <v>244.5</v>
      </c>
      <c r="AA1527" s="4">
        <v>250</v>
      </c>
      <c r="AB1527" s="18"/>
      <c r="AC1527" s="18">
        <v>29</v>
      </c>
      <c r="AD1527" s="28"/>
      <c r="AE1527" s="26"/>
      <c r="AF1527" s="28"/>
    </row>
    <row r="1528" spans="1:32" ht="13.5" customHeight="1" x14ac:dyDescent="0.25">
      <c r="A1528" s="14">
        <v>45856</v>
      </c>
      <c r="B1528" s="14" t="s">
        <v>47</v>
      </c>
      <c r="C1528" s="15">
        <v>3</v>
      </c>
      <c r="D1528" s="16"/>
      <c r="E1528" s="16"/>
      <c r="F1528" s="17"/>
      <c r="G1528" s="21"/>
      <c r="H1528" s="21"/>
      <c r="I1528" s="4">
        <v>0</v>
      </c>
      <c r="J1528" s="4">
        <v>0</v>
      </c>
      <c r="K1528" s="4"/>
      <c r="L1528" s="16"/>
      <c r="M1528" s="4"/>
      <c r="N1528" s="4"/>
      <c r="O1528" s="4"/>
      <c r="P1528" s="4">
        <v>75</v>
      </c>
      <c r="Q1528" s="4"/>
      <c r="R1528" s="4"/>
      <c r="S1528" s="4">
        <v>75</v>
      </c>
      <c r="T1528" s="4">
        <v>1.25</v>
      </c>
      <c r="U1528" s="4">
        <v>1.25</v>
      </c>
      <c r="V1528" s="4">
        <v>10.75</v>
      </c>
      <c r="W1528" s="4">
        <v>12</v>
      </c>
      <c r="X1528" s="4">
        <v>42</v>
      </c>
      <c r="Y1528" s="4"/>
      <c r="Z1528" s="4">
        <v>373.4</v>
      </c>
      <c r="AA1528" s="4">
        <v>400</v>
      </c>
      <c r="AB1528" s="18"/>
      <c r="AC1528" s="18">
        <v>29</v>
      </c>
      <c r="AD1528" s="28"/>
      <c r="AE1528" s="26"/>
      <c r="AF1528" s="28"/>
    </row>
    <row r="1529" spans="1:32" ht="13.5" customHeight="1" x14ac:dyDescent="0.25">
      <c r="A1529" s="14">
        <v>45856</v>
      </c>
      <c r="B1529" s="14" t="s">
        <v>46</v>
      </c>
      <c r="C1529" s="15">
        <v>4</v>
      </c>
      <c r="D1529" s="16"/>
      <c r="E1529" s="16"/>
      <c r="F1529" s="17"/>
      <c r="G1529" s="21"/>
      <c r="H1529" s="21"/>
      <c r="I1529" s="4">
        <v>0</v>
      </c>
      <c r="J1529" s="4">
        <v>0</v>
      </c>
      <c r="K1529" s="4"/>
      <c r="L1529" s="16"/>
      <c r="M1529" s="4"/>
      <c r="N1529" s="4"/>
      <c r="O1529" s="4"/>
      <c r="P1529" s="4"/>
      <c r="Q1529" s="4"/>
      <c r="R1529" s="4"/>
      <c r="S1529" s="4">
        <v>0</v>
      </c>
      <c r="T1529" s="4">
        <v>0</v>
      </c>
      <c r="U1529" s="4">
        <v>0</v>
      </c>
      <c r="V1529" s="4">
        <v>12</v>
      </c>
      <c r="W1529" s="4">
        <v>12</v>
      </c>
      <c r="X1529" s="4">
        <v>16</v>
      </c>
      <c r="Y1529" s="4"/>
      <c r="Z1529" s="4">
        <v>403.9</v>
      </c>
      <c r="AA1529" s="4">
        <v>400</v>
      </c>
      <c r="AB1529" s="18"/>
      <c r="AC1529" s="18">
        <v>29</v>
      </c>
      <c r="AD1529" s="28"/>
      <c r="AE1529" s="26"/>
      <c r="AF1529" s="28"/>
    </row>
    <row r="1530" spans="1:32" ht="13.5" customHeight="1" x14ac:dyDescent="0.25">
      <c r="A1530" s="14">
        <v>45856</v>
      </c>
      <c r="B1530" s="14" t="s">
        <v>47</v>
      </c>
      <c r="C1530" s="15">
        <v>4</v>
      </c>
      <c r="D1530" s="16">
        <v>5</v>
      </c>
      <c r="E1530" s="16"/>
      <c r="F1530" s="17"/>
      <c r="G1530" s="21"/>
      <c r="H1530" s="21"/>
      <c r="I1530" s="4">
        <v>5</v>
      </c>
      <c r="J1530" s="4">
        <v>8.3333333333333329E-2</v>
      </c>
      <c r="K1530" s="4"/>
      <c r="L1530" s="16"/>
      <c r="M1530" s="4"/>
      <c r="N1530" s="4"/>
      <c r="O1530" s="4"/>
      <c r="P1530" s="4"/>
      <c r="Q1530" s="4"/>
      <c r="R1530" s="4"/>
      <c r="S1530" s="4">
        <v>0</v>
      </c>
      <c r="T1530" s="4">
        <v>0</v>
      </c>
      <c r="U1530" s="4">
        <v>8.3333333333333329E-2</v>
      </c>
      <c r="V1530" s="4">
        <v>11.916666666666666</v>
      </c>
      <c r="W1530" s="4">
        <v>12</v>
      </c>
      <c r="X1530" s="4">
        <v>7</v>
      </c>
      <c r="Y1530" s="4"/>
      <c r="Z1530" s="4">
        <v>296.55</v>
      </c>
      <c r="AA1530" s="4">
        <v>300</v>
      </c>
      <c r="AB1530" s="18"/>
      <c r="AC1530" s="18">
        <v>29</v>
      </c>
      <c r="AD1530" s="28"/>
      <c r="AE1530" s="26"/>
      <c r="AF1530" s="28"/>
    </row>
    <row r="1531" spans="1:32" ht="13.5" customHeight="1" x14ac:dyDescent="0.25">
      <c r="A1531" s="14">
        <v>45856</v>
      </c>
      <c r="B1531" s="14" t="s">
        <v>46</v>
      </c>
      <c r="C1531" s="15">
        <v>5</v>
      </c>
      <c r="D1531" s="16"/>
      <c r="E1531" s="16"/>
      <c r="F1531" s="17"/>
      <c r="G1531" s="21"/>
      <c r="H1531" s="21"/>
      <c r="I1531" s="4">
        <v>0</v>
      </c>
      <c r="J1531" s="4">
        <v>0</v>
      </c>
      <c r="K1531" s="4"/>
      <c r="L1531" s="16"/>
      <c r="M1531" s="4"/>
      <c r="N1531" s="4">
        <v>11</v>
      </c>
      <c r="O1531" s="4"/>
      <c r="P1531" s="4"/>
      <c r="Q1531" s="4"/>
      <c r="R1531" s="4"/>
      <c r="S1531" s="4">
        <v>11</v>
      </c>
      <c r="T1531" s="4">
        <v>0.18333333333333332</v>
      </c>
      <c r="U1531" s="4">
        <v>0.18333333333333332</v>
      </c>
      <c r="V1531" s="4">
        <v>11.816666666666666</v>
      </c>
      <c r="W1531" s="4">
        <v>12</v>
      </c>
      <c r="X1531" s="4">
        <v>11</v>
      </c>
      <c r="Y1531" s="4"/>
      <c r="Z1531" s="4">
        <v>701.1</v>
      </c>
      <c r="AA1531" s="4">
        <v>700</v>
      </c>
      <c r="AB1531" s="18"/>
      <c r="AC1531" s="18">
        <v>29</v>
      </c>
      <c r="AD1531" s="28"/>
      <c r="AE1531" s="26"/>
      <c r="AF1531" s="28"/>
    </row>
    <row r="1532" spans="1:32" ht="13.5" customHeight="1" x14ac:dyDescent="0.25">
      <c r="A1532" s="14">
        <v>45856</v>
      </c>
      <c r="B1532" s="14" t="s">
        <v>47</v>
      </c>
      <c r="C1532" s="15">
        <v>5</v>
      </c>
      <c r="D1532" s="16"/>
      <c r="E1532" s="16"/>
      <c r="F1532" s="17"/>
      <c r="G1532" s="21"/>
      <c r="H1532" s="21"/>
      <c r="I1532" s="4">
        <v>0</v>
      </c>
      <c r="J1532" s="4">
        <v>0</v>
      </c>
      <c r="K1532" s="4"/>
      <c r="L1532" s="16"/>
      <c r="M1532" s="4"/>
      <c r="N1532" s="4"/>
      <c r="O1532" s="4"/>
      <c r="P1532" s="4"/>
      <c r="Q1532" s="4"/>
      <c r="R1532" s="4"/>
      <c r="S1532" s="4">
        <v>0</v>
      </c>
      <c r="T1532" s="4">
        <v>0</v>
      </c>
      <c r="U1532" s="4">
        <v>0</v>
      </c>
      <c r="V1532" s="4">
        <v>12</v>
      </c>
      <c r="W1532" s="4">
        <v>12</v>
      </c>
      <c r="X1532" s="4">
        <v>0</v>
      </c>
      <c r="Y1532" s="4"/>
      <c r="Z1532" s="4">
        <v>700.8</v>
      </c>
      <c r="AA1532" s="4">
        <v>700</v>
      </c>
      <c r="AB1532" s="18"/>
      <c r="AC1532" s="18">
        <v>29</v>
      </c>
      <c r="AD1532" s="28"/>
      <c r="AE1532" s="26"/>
      <c r="AF1532" s="28"/>
    </row>
    <row r="1533" spans="1:32" ht="13.5" customHeight="1" x14ac:dyDescent="0.25">
      <c r="A1533" s="14">
        <v>45856</v>
      </c>
      <c r="B1533" s="14" t="s">
        <v>46</v>
      </c>
      <c r="C1533" s="15">
        <v>6</v>
      </c>
      <c r="D1533" s="16">
        <v>27.5</v>
      </c>
      <c r="E1533" s="16">
        <v>15</v>
      </c>
      <c r="F1533" s="17"/>
      <c r="G1533" s="21"/>
      <c r="H1533" s="21"/>
      <c r="I1533" s="4">
        <v>42.5</v>
      </c>
      <c r="J1533" s="4">
        <v>0.70833333333333337</v>
      </c>
      <c r="K1533" s="4"/>
      <c r="L1533" s="16">
        <v>10</v>
      </c>
      <c r="M1533" s="4"/>
      <c r="N1533" s="4">
        <v>4</v>
      </c>
      <c r="O1533" s="4"/>
      <c r="P1533" s="4">
        <v>5</v>
      </c>
      <c r="Q1533" s="4"/>
      <c r="R1533" s="4"/>
      <c r="S1533" s="4">
        <v>19</v>
      </c>
      <c r="T1533" s="4">
        <v>0.31666666666666665</v>
      </c>
      <c r="U1533" s="4">
        <v>1.0249999999999999</v>
      </c>
      <c r="V1533" s="4">
        <v>10.975</v>
      </c>
      <c r="W1533" s="4">
        <v>12</v>
      </c>
      <c r="X1533" s="4">
        <v>50</v>
      </c>
      <c r="Y1533" s="4"/>
      <c r="Z1533" s="4">
        <v>686</v>
      </c>
      <c r="AA1533" s="4">
        <v>650</v>
      </c>
      <c r="AB1533" s="18"/>
      <c r="AC1533" s="18">
        <v>29</v>
      </c>
      <c r="AD1533" s="28"/>
      <c r="AE1533" s="26"/>
      <c r="AF1533" s="28"/>
    </row>
    <row r="1534" spans="1:32" ht="13.5" customHeight="1" x14ac:dyDescent="0.25">
      <c r="A1534" s="14">
        <v>45856</v>
      </c>
      <c r="B1534" s="14" t="s">
        <v>47</v>
      </c>
      <c r="C1534" s="15">
        <v>6</v>
      </c>
      <c r="D1534" s="16">
        <v>5</v>
      </c>
      <c r="E1534" s="16"/>
      <c r="F1534" s="17"/>
      <c r="G1534" s="21"/>
      <c r="H1534" s="21"/>
      <c r="I1534" s="4">
        <v>5</v>
      </c>
      <c r="J1534" s="4">
        <v>8.3333333333333329E-2</v>
      </c>
      <c r="K1534" s="4"/>
      <c r="L1534" s="16"/>
      <c r="M1534" s="4"/>
      <c r="N1534" s="4"/>
      <c r="O1534" s="4"/>
      <c r="P1534" s="4"/>
      <c r="Q1534" s="4"/>
      <c r="R1534" s="4"/>
      <c r="S1534" s="4">
        <v>0</v>
      </c>
      <c r="T1534" s="4">
        <v>0</v>
      </c>
      <c r="U1534" s="4">
        <v>8.3333333333333329E-2</v>
      </c>
      <c r="V1534" s="4">
        <v>11.916666666666666</v>
      </c>
      <c r="W1534" s="4">
        <v>12</v>
      </c>
      <c r="X1534" s="4">
        <v>6</v>
      </c>
      <c r="Y1534" s="4"/>
      <c r="Z1534" s="4">
        <v>701.60000000000014</v>
      </c>
      <c r="AA1534" s="4">
        <v>700</v>
      </c>
      <c r="AB1534" s="18"/>
      <c r="AC1534" s="18">
        <v>29</v>
      </c>
      <c r="AD1534" s="28"/>
      <c r="AE1534" s="26"/>
      <c r="AF1534" s="28"/>
    </row>
    <row r="1535" spans="1:32" ht="13.5" customHeight="1" x14ac:dyDescent="0.25">
      <c r="A1535" s="14">
        <v>45856</v>
      </c>
      <c r="B1535" s="14" t="s">
        <v>46</v>
      </c>
      <c r="C1535" s="15">
        <v>7</v>
      </c>
      <c r="D1535" s="16"/>
      <c r="E1535" s="16"/>
      <c r="F1535" s="17"/>
      <c r="G1535" s="21"/>
      <c r="H1535" s="21"/>
      <c r="I1535" s="4">
        <v>0</v>
      </c>
      <c r="J1535" s="4">
        <v>0</v>
      </c>
      <c r="K1535" s="4"/>
      <c r="L1535" s="16"/>
      <c r="M1535" s="4"/>
      <c r="N1535" s="4"/>
      <c r="O1535" s="4"/>
      <c r="P1535" s="4"/>
      <c r="Q1535" s="4"/>
      <c r="R1535" s="4"/>
      <c r="S1535" s="4">
        <v>0</v>
      </c>
      <c r="T1535" s="4">
        <v>0</v>
      </c>
      <c r="U1535" s="4">
        <v>0</v>
      </c>
      <c r="V1535" s="4">
        <v>12</v>
      </c>
      <c r="W1535" s="4">
        <v>12</v>
      </c>
      <c r="X1535" s="4">
        <v>11</v>
      </c>
      <c r="Y1535" s="4"/>
      <c r="Z1535" s="4">
        <v>383.8</v>
      </c>
      <c r="AA1535" s="4">
        <v>400</v>
      </c>
      <c r="AB1535" s="18"/>
      <c r="AC1535" s="18">
        <v>29</v>
      </c>
      <c r="AD1535" s="28"/>
      <c r="AE1535" s="26"/>
      <c r="AF1535" s="28"/>
    </row>
    <row r="1536" spans="1:32" ht="13.5" customHeight="1" x14ac:dyDescent="0.25">
      <c r="A1536" s="14">
        <v>45856</v>
      </c>
      <c r="B1536" s="14" t="s">
        <v>47</v>
      </c>
      <c r="C1536" s="15">
        <v>7</v>
      </c>
      <c r="D1536" s="16"/>
      <c r="E1536" s="16"/>
      <c r="F1536" s="17"/>
      <c r="G1536" s="21"/>
      <c r="H1536" s="21"/>
      <c r="I1536" s="4">
        <v>0</v>
      </c>
      <c r="J1536" s="4">
        <v>0</v>
      </c>
      <c r="K1536" s="4"/>
      <c r="L1536" s="16"/>
      <c r="M1536" s="4"/>
      <c r="N1536" s="4"/>
      <c r="O1536" s="4"/>
      <c r="P1536" s="4"/>
      <c r="Q1536" s="4"/>
      <c r="R1536" s="4"/>
      <c r="S1536" s="4">
        <v>0</v>
      </c>
      <c r="T1536" s="4">
        <v>0</v>
      </c>
      <c r="U1536" s="4">
        <v>0</v>
      </c>
      <c r="V1536" s="4">
        <v>12</v>
      </c>
      <c r="W1536" s="4">
        <v>12</v>
      </c>
      <c r="X1536" s="4">
        <v>0.5</v>
      </c>
      <c r="Y1536" s="4"/>
      <c r="Z1536" s="4">
        <v>335.5</v>
      </c>
      <c r="AA1536" s="4">
        <v>300</v>
      </c>
      <c r="AB1536" s="18"/>
      <c r="AC1536" s="18">
        <v>29</v>
      </c>
      <c r="AD1536" s="28"/>
      <c r="AE1536" s="26"/>
      <c r="AF1536" s="28"/>
    </row>
    <row r="1537" spans="1:32" ht="13.5" customHeight="1" x14ac:dyDescent="0.25">
      <c r="A1537" s="14">
        <v>45857</v>
      </c>
      <c r="B1537" s="14" t="s">
        <v>46</v>
      </c>
      <c r="C1537" s="15">
        <v>1</v>
      </c>
      <c r="D1537" s="16"/>
      <c r="E1537" s="16"/>
      <c r="F1537" s="17"/>
      <c r="G1537" s="21"/>
      <c r="H1537" s="21"/>
      <c r="I1537" s="4">
        <v>0</v>
      </c>
      <c r="J1537" s="4">
        <v>0</v>
      </c>
      <c r="K1537" s="4"/>
      <c r="L1537" s="16"/>
      <c r="M1537" s="4"/>
      <c r="N1537" s="4"/>
      <c r="O1537" s="4"/>
      <c r="P1537" s="4"/>
      <c r="Q1537" s="4"/>
      <c r="R1537" s="4"/>
      <c r="S1537" s="4">
        <v>0</v>
      </c>
      <c r="T1537" s="4">
        <v>0</v>
      </c>
      <c r="U1537" s="4">
        <v>0</v>
      </c>
      <c r="V1537" s="4">
        <v>12</v>
      </c>
      <c r="W1537" s="4">
        <v>12</v>
      </c>
      <c r="X1537" s="4">
        <v>5</v>
      </c>
      <c r="Y1537" s="4">
        <v>1976</v>
      </c>
      <c r="Z1537" s="4">
        <v>180.6</v>
      </c>
      <c r="AA1537" s="4">
        <v>200</v>
      </c>
      <c r="AB1537" s="18">
        <v>372</v>
      </c>
      <c r="AC1537" s="18">
        <v>29</v>
      </c>
      <c r="AD1537" s="28"/>
      <c r="AE1537" s="26"/>
      <c r="AF1537" s="28"/>
    </row>
    <row r="1538" spans="1:32" ht="13.5" customHeight="1" x14ac:dyDescent="0.25">
      <c r="A1538" s="14">
        <v>45857</v>
      </c>
      <c r="B1538" s="14" t="s">
        <v>47</v>
      </c>
      <c r="C1538" s="15">
        <v>1</v>
      </c>
      <c r="D1538" s="16"/>
      <c r="E1538" s="16"/>
      <c r="F1538" s="17"/>
      <c r="G1538" s="21"/>
      <c r="H1538" s="21"/>
      <c r="I1538" s="4">
        <v>0</v>
      </c>
      <c r="J1538" s="4">
        <v>0</v>
      </c>
      <c r="K1538" s="4"/>
      <c r="L1538" s="16"/>
      <c r="M1538" s="4"/>
      <c r="N1538" s="4"/>
      <c r="O1538" s="4"/>
      <c r="P1538" s="4"/>
      <c r="Q1538" s="4"/>
      <c r="R1538" s="4"/>
      <c r="S1538" s="4">
        <v>0</v>
      </c>
      <c r="T1538" s="4">
        <v>0</v>
      </c>
      <c r="U1538" s="4">
        <v>0</v>
      </c>
      <c r="V1538" s="4">
        <v>12</v>
      </c>
      <c r="W1538" s="4">
        <v>12</v>
      </c>
      <c r="X1538" s="4">
        <v>4</v>
      </c>
      <c r="Y1538" s="4"/>
      <c r="Z1538" s="4">
        <v>101.8</v>
      </c>
      <c r="AA1538" s="4">
        <v>150</v>
      </c>
      <c r="AB1538" s="18"/>
      <c r="AC1538" s="18">
        <v>29</v>
      </c>
      <c r="AD1538" s="28"/>
      <c r="AE1538" s="26"/>
      <c r="AF1538" s="28"/>
    </row>
    <row r="1539" spans="1:32" ht="13.5" customHeight="1" x14ac:dyDescent="0.25">
      <c r="A1539" s="14">
        <v>45857</v>
      </c>
      <c r="B1539" s="14" t="s">
        <v>46</v>
      </c>
      <c r="C1539" s="15">
        <v>3</v>
      </c>
      <c r="D1539" s="16">
        <v>3</v>
      </c>
      <c r="E1539" s="16"/>
      <c r="F1539" s="17"/>
      <c r="G1539" s="21"/>
      <c r="H1539" s="21"/>
      <c r="I1539" s="4">
        <v>3</v>
      </c>
      <c r="J1539" s="4">
        <v>0.05</v>
      </c>
      <c r="K1539" s="4"/>
      <c r="L1539" s="16"/>
      <c r="M1539" s="4"/>
      <c r="N1539" s="4"/>
      <c r="O1539" s="4"/>
      <c r="P1539" s="4"/>
      <c r="Q1539" s="4"/>
      <c r="R1539" s="4"/>
      <c r="S1539" s="4">
        <v>0</v>
      </c>
      <c r="T1539" s="4">
        <v>0</v>
      </c>
      <c r="U1539" s="4">
        <v>0.05</v>
      </c>
      <c r="V1539" s="4">
        <v>11.95</v>
      </c>
      <c r="W1539" s="4">
        <v>12</v>
      </c>
      <c r="X1539" s="4">
        <v>7</v>
      </c>
      <c r="Y1539" s="4"/>
      <c r="Z1539" s="4">
        <v>227.6</v>
      </c>
      <c r="AA1539" s="4">
        <v>250</v>
      </c>
      <c r="AB1539" s="18"/>
      <c r="AC1539" s="18">
        <v>29</v>
      </c>
      <c r="AD1539" s="28"/>
      <c r="AE1539" s="26"/>
      <c r="AF1539" s="28"/>
    </row>
    <row r="1540" spans="1:32" ht="13.5" customHeight="1" x14ac:dyDescent="0.25">
      <c r="A1540" s="14">
        <v>45857</v>
      </c>
      <c r="B1540" s="14" t="s">
        <v>47</v>
      </c>
      <c r="C1540" s="15">
        <v>3</v>
      </c>
      <c r="D1540" s="16">
        <v>3</v>
      </c>
      <c r="E1540" s="16"/>
      <c r="F1540" s="17"/>
      <c r="G1540" s="21"/>
      <c r="H1540" s="21"/>
      <c r="I1540" s="4">
        <v>3</v>
      </c>
      <c r="J1540" s="4">
        <v>0.05</v>
      </c>
      <c r="K1540" s="4"/>
      <c r="L1540" s="16"/>
      <c r="M1540" s="4"/>
      <c r="N1540" s="4"/>
      <c r="O1540" s="4"/>
      <c r="P1540" s="4"/>
      <c r="Q1540" s="4"/>
      <c r="R1540" s="4"/>
      <c r="S1540" s="4">
        <v>0</v>
      </c>
      <c r="T1540" s="4">
        <v>0</v>
      </c>
      <c r="U1540" s="4">
        <v>0.05</v>
      </c>
      <c r="V1540" s="4">
        <v>11.95</v>
      </c>
      <c r="W1540" s="4">
        <v>12</v>
      </c>
      <c r="X1540" s="4">
        <v>14</v>
      </c>
      <c r="Y1540" s="4"/>
      <c r="Z1540" s="4">
        <v>273.60000000000002</v>
      </c>
      <c r="AA1540" s="4">
        <v>300</v>
      </c>
      <c r="AB1540" s="18"/>
      <c r="AC1540" s="18">
        <v>29</v>
      </c>
      <c r="AD1540" s="28"/>
      <c r="AE1540" s="26"/>
      <c r="AF1540" s="28"/>
    </row>
    <row r="1541" spans="1:32" ht="13.5" customHeight="1" x14ac:dyDescent="0.25">
      <c r="A1541" s="14">
        <v>45857</v>
      </c>
      <c r="B1541" s="14" t="s">
        <v>46</v>
      </c>
      <c r="C1541" s="15">
        <v>5</v>
      </c>
      <c r="D1541" s="16"/>
      <c r="E1541" s="16"/>
      <c r="F1541" s="17"/>
      <c r="G1541" s="21"/>
      <c r="H1541" s="21"/>
      <c r="I1541" s="4">
        <v>0</v>
      </c>
      <c r="J1541" s="4">
        <v>0</v>
      </c>
      <c r="K1541" s="4"/>
      <c r="L1541" s="16"/>
      <c r="M1541" s="4"/>
      <c r="N1541" s="4"/>
      <c r="O1541" s="4"/>
      <c r="P1541" s="4"/>
      <c r="Q1541" s="4"/>
      <c r="R1541" s="4"/>
      <c r="S1541" s="4">
        <v>0</v>
      </c>
      <c r="T1541" s="4">
        <v>0</v>
      </c>
      <c r="U1541" s="4">
        <v>0</v>
      </c>
      <c r="V1541" s="4">
        <v>12</v>
      </c>
      <c r="W1541" s="4">
        <v>12</v>
      </c>
      <c r="X1541" s="4">
        <v>6</v>
      </c>
      <c r="Y1541" s="4"/>
      <c r="Z1541" s="4">
        <v>583.00000000000011</v>
      </c>
      <c r="AA1541" s="4">
        <v>400</v>
      </c>
      <c r="AB1541" s="18"/>
      <c r="AC1541" s="18">
        <v>29</v>
      </c>
      <c r="AD1541" s="28"/>
      <c r="AE1541" s="26"/>
      <c r="AF1541" s="28"/>
    </row>
    <row r="1542" spans="1:32" ht="13.5" customHeight="1" x14ac:dyDescent="0.25">
      <c r="A1542" s="14">
        <v>45857</v>
      </c>
      <c r="B1542" s="14" t="s">
        <v>47</v>
      </c>
      <c r="C1542" s="15">
        <v>5</v>
      </c>
      <c r="D1542" s="16"/>
      <c r="E1542" s="16"/>
      <c r="F1542" s="17"/>
      <c r="G1542" s="21"/>
      <c r="H1542" s="21"/>
      <c r="I1542" s="4">
        <v>0</v>
      </c>
      <c r="J1542" s="4">
        <v>0</v>
      </c>
      <c r="K1542" s="4"/>
      <c r="L1542" s="16"/>
      <c r="M1542" s="4"/>
      <c r="N1542" s="4"/>
      <c r="O1542" s="4"/>
      <c r="P1542" s="4"/>
      <c r="Q1542" s="4"/>
      <c r="R1542" s="4"/>
      <c r="S1542" s="4">
        <v>0</v>
      </c>
      <c r="T1542" s="4">
        <v>0</v>
      </c>
      <c r="U1542" s="4">
        <v>0</v>
      </c>
      <c r="V1542" s="4">
        <v>12</v>
      </c>
      <c r="W1542" s="4">
        <v>12</v>
      </c>
      <c r="X1542" s="4">
        <v>2</v>
      </c>
      <c r="Y1542" s="4"/>
      <c r="Z1542" s="4">
        <v>468.20000000000005</v>
      </c>
      <c r="AA1542" s="4">
        <v>500</v>
      </c>
      <c r="AB1542" s="18"/>
      <c r="AC1542" s="18">
        <v>29</v>
      </c>
      <c r="AD1542" s="28"/>
      <c r="AE1542" s="26"/>
      <c r="AF1542" s="28"/>
    </row>
    <row r="1543" spans="1:32" ht="13.5" customHeight="1" x14ac:dyDescent="0.25">
      <c r="A1543" s="14">
        <v>45857</v>
      </c>
      <c r="B1543" s="14" t="s">
        <v>46</v>
      </c>
      <c r="C1543" s="15">
        <v>6</v>
      </c>
      <c r="D1543" s="16"/>
      <c r="E1543" s="16"/>
      <c r="F1543" s="17"/>
      <c r="G1543" s="21"/>
      <c r="H1543" s="21"/>
      <c r="I1543" s="4">
        <v>0</v>
      </c>
      <c r="J1543" s="4">
        <v>0</v>
      </c>
      <c r="K1543" s="4"/>
      <c r="L1543" s="16"/>
      <c r="M1543" s="4"/>
      <c r="N1543" s="4"/>
      <c r="O1543" s="4"/>
      <c r="P1543" s="4"/>
      <c r="Q1543" s="4"/>
      <c r="R1543" s="4"/>
      <c r="S1543" s="4">
        <v>0</v>
      </c>
      <c r="T1543" s="4">
        <v>0</v>
      </c>
      <c r="U1543" s="4">
        <v>0</v>
      </c>
      <c r="V1543" s="4">
        <v>12</v>
      </c>
      <c r="W1543" s="4">
        <v>12</v>
      </c>
      <c r="X1543" s="4">
        <v>40</v>
      </c>
      <c r="Y1543" s="4"/>
      <c r="Z1543" s="4">
        <v>688.4</v>
      </c>
      <c r="AA1543" s="4">
        <v>700</v>
      </c>
      <c r="AB1543" s="18"/>
      <c r="AC1543" s="18">
        <v>29</v>
      </c>
      <c r="AD1543" s="28"/>
      <c r="AE1543" s="26"/>
      <c r="AF1543" s="28"/>
    </row>
    <row r="1544" spans="1:32" ht="13.5" customHeight="1" x14ac:dyDescent="0.25">
      <c r="A1544" s="14">
        <v>45857</v>
      </c>
      <c r="B1544" s="14" t="s">
        <v>47</v>
      </c>
      <c r="C1544" s="15">
        <v>6</v>
      </c>
      <c r="D1544" s="16"/>
      <c r="E1544" s="16"/>
      <c r="F1544" s="17"/>
      <c r="G1544" s="21"/>
      <c r="H1544" s="21"/>
      <c r="I1544" s="4">
        <v>0</v>
      </c>
      <c r="J1544" s="4">
        <v>0</v>
      </c>
      <c r="K1544" s="4"/>
      <c r="L1544" s="16"/>
      <c r="M1544" s="4"/>
      <c r="N1544" s="4"/>
      <c r="O1544" s="4"/>
      <c r="P1544" s="4"/>
      <c r="Q1544" s="4"/>
      <c r="R1544" s="4"/>
      <c r="S1544" s="4">
        <v>0</v>
      </c>
      <c r="T1544" s="4">
        <v>0</v>
      </c>
      <c r="U1544" s="4">
        <v>0</v>
      </c>
      <c r="V1544" s="4">
        <v>12</v>
      </c>
      <c r="W1544" s="4">
        <v>12</v>
      </c>
      <c r="X1544" s="4">
        <v>5</v>
      </c>
      <c r="Y1544" s="4"/>
      <c r="Z1544" s="4">
        <v>702.80000000000007</v>
      </c>
      <c r="AA1544" s="4">
        <v>700</v>
      </c>
      <c r="AB1544" s="18"/>
      <c r="AC1544" s="18">
        <v>29</v>
      </c>
      <c r="AD1544" s="28"/>
      <c r="AE1544" s="26"/>
      <c r="AF1544" s="28"/>
    </row>
    <row r="1545" spans="1:32" ht="13.5" customHeight="1" x14ac:dyDescent="0.25">
      <c r="A1545" s="14">
        <v>45857</v>
      </c>
      <c r="B1545" s="14" t="s">
        <v>46</v>
      </c>
      <c r="C1545" s="15">
        <v>7</v>
      </c>
      <c r="D1545" s="16"/>
      <c r="E1545" s="16"/>
      <c r="F1545" s="17"/>
      <c r="G1545" s="21"/>
      <c r="H1545" s="21"/>
      <c r="I1545" s="4">
        <v>0</v>
      </c>
      <c r="J1545" s="4">
        <v>0</v>
      </c>
      <c r="K1545" s="4"/>
      <c r="L1545" s="16"/>
      <c r="M1545" s="4"/>
      <c r="N1545" s="4"/>
      <c r="O1545" s="4"/>
      <c r="P1545" s="4"/>
      <c r="Q1545" s="4"/>
      <c r="R1545" s="4"/>
      <c r="S1545" s="4">
        <v>0</v>
      </c>
      <c r="T1545" s="4">
        <v>0</v>
      </c>
      <c r="U1545" s="4">
        <v>0</v>
      </c>
      <c r="V1545" s="4">
        <v>12</v>
      </c>
      <c r="W1545" s="4">
        <v>12</v>
      </c>
      <c r="X1545" s="4">
        <v>7</v>
      </c>
      <c r="Y1545" s="4"/>
      <c r="Z1545" s="4">
        <v>378.79999999999995</v>
      </c>
      <c r="AA1545" s="4">
        <v>400</v>
      </c>
      <c r="AB1545" s="18"/>
      <c r="AC1545" s="18">
        <v>29</v>
      </c>
      <c r="AD1545" s="28"/>
      <c r="AE1545" s="26"/>
      <c r="AF1545" s="28"/>
    </row>
    <row r="1546" spans="1:32" ht="13.5" customHeight="1" x14ac:dyDescent="0.25">
      <c r="A1546" s="14">
        <v>45858</v>
      </c>
      <c r="B1546" s="14" t="s">
        <v>46</v>
      </c>
      <c r="C1546" s="15">
        <v>1</v>
      </c>
      <c r="D1546" s="16">
        <v>3</v>
      </c>
      <c r="E1546" s="16"/>
      <c r="F1546" s="17"/>
      <c r="G1546" s="21"/>
      <c r="H1546" s="21"/>
      <c r="I1546" s="4">
        <v>3</v>
      </c>
      <c r="J1546" s="4">
        <v>0.05</v>
      </c>
      <c r="K1546" s="4"/>
      <c r="L1546" s="16"/>
      <c r="M1546" s="4"/>
      <c r="N1546" s="4"/>
      <c r="O1546" s="4"/>
      <c r="P1546" s="4"/>
      <c r="Q1546" s="4"/>
      <c r="R1546" s="4"/>
      <c r="S1546" s="4">
        <v>0</v>
      </c>
      <c r="T1546" s="4">
        <v>0</v>
      </c>
      <c r="U1546" s="4">
        <v>0.05</v>
      </c>
      <c r="V1546" s="4">
        <v>11.95</v>
      </c>
      <c r="W1546" s="4">
        <v>12</v>
      </c>
      <c r="X1546" s="4">
        <v>2</v>
      </c>
      <c r="Y1546" s="4">
        <v>1769</v>
      </c>
      <c r="Z1546" s="4">
        <v>113.1</v>
      </c>
      <c r="AA1546" s="4">
        <v>150</v>
      </c>
      <c r="AB1546" s="18">
        <v>372</v>
      </c>
      <c r="AC1546" s="18">
        <v>29</v>
      </c>
      <c r="AD1546" s="28"/>
      <c r="AE1546" s="26"/>
      <c r="AF1546" s="28"/>
    </row>
    <row r="1547" spans="1:32" ht="13.5" customHeight="1" x14ac:dyDescent="0.25">
      <c r="A1547" s="14">
        <v>45858</v>
      </c>
      <c r="B1547" s="14" t="s">
        <v>47</v>
      </c>
      <c r="C1547" s="15">
        <v>1</v>
      </c>
      <c r="D1547" s="16"/>
      <c r="E1547" s="16"/>
      <c r="F1547" s="17"/>
      <c r="G1547" s="21"/>
      <c r="H1547" s="21"/>
      <c r="I1547" s="4">
        <v>0</v>
      </c>
      <c r="J1547" s="4">
        <v>0</v>
      </c>
      <c r="K1547" s="4"/>
      <c r="L1547" s="16"/>
      <c r="M1547" s="4"/>
      <c r="N1547" s="4"/>
      <c r="O1547" s="4"/>
      <c r="P1547" s="4"/>
      <c r="Q1547" s="4"/>
      <c r="R1547" s="4"/>
      <c r="S1547" s="4">
        <v>0</v>
      </c>
      <c r="T1547" s="4">
        <v>0</v>
      </c>
      <c r="U1547" s="4">
        <v>0</v>
      </c>
      <c r="V1547" s="4">
        <v>12</v>
      </c>
      <c r="W1547" s="4">
        <v>12</v>
      </c>
      <c r="X1547" s="4">
        <v>0</v>
      </c>
      <c r="Y1547" s="4"/>
      <c r="Z1547" s="4">
        <v>175.8</v>
      </c>
      <c r="AA1547" s="4">
        <v>200</v>
      </c>
      <c r="AB1547" s="18"/>
      <c r="AC1547" s="18">
        <v>29</v>
      </c>
      <c r="AD1547" s="28"/>
      <c r="AE1547" s="26"/>
      <c r="AF1547" s="28"/>
    </row>
    <row r="1548" spans="1:32" ht="13.5" customHeight="1" x14ac:dyDescent="0.25">
      <c r="A1548" s="14">
        <v>45858</v>
      </c>
      <c r="B1548" s="14" t="s">
        <v>46</v>
      </c>
      <c r="C1548" s="15">
        <v>4</v>
      </c>
      <c r="D1548" s="16">
        <v>2</v>
      </c>
      <c r="E1548" s="16"/>
      <c r="F1548" s="17"/>
      <c r="G1548" s="21"/>
      <c r="H1548" s="21"/>
      <c r="I1548" s="4">
        <v>2</v>
      </c>
      <c r="J1548" s="4">
        <v>3.3333333333333333E-2</v>
      </c>
      <c r="K1548" s="4"/>
      <c r="L1548" s="16"/>
      <c r="M1548" s="4"/>
      <c r="N1548" s="4"/>
      <c r="O1548" s="4"/>
      <c r="P1548" s="4"/>
      <c r="Q1548" s="4"/>
      <c r="R1548" s="4"/>
      <c r="S1548" s="4">
        <v>0</v>
      </c>
      <c r="T1548" s="4">
        <v>0</v>
      </c>
      <c r="U1548" s="4">
        <v>3.3333333333333333E-2</v>
      </c>
      <c r="V1548" s="4">
        <v>11.966666666666667</v>
      </c>
      <c r="W1548" s="4">
        <v>12</v>
      </c>
      <c r="X1548" s="4">
        <v>2</v>
      </c>
      <c r="Y1548" s="4"/>
      <c r="Z1548" s="4">
        <v>213.1</v>
      </c>
      <c r="AA1548" s="4">
        <v>250</v>
      </c>
      <c r="AB1548" s="18"/>
      <c r="AC1548" s="18">
        <v>29</v>
      </c>
      <c r="AD1548" s="28"/>
      <c r="AE1548" s="26"/>
      <c r="AF1548" s="28"/>
    </row>
    <row r="1549" spans="1:32" ht="13.5" customHeight="1" x14ac:dyDescent="0.25">
      <c r="A1549" s="14">
        <v>45858</v>
      </c>
      <c r="B1549" s="14" t="s">
        <v>47</v>
      </c>
      <c r="C1549" s="15">
        <v>4</v>
      </c>
      <c r="D1549" s="16"/>
      <c r="E1549" s="16"/>
      <c r="F1549" s="17"/>
      <c r="G1549" s="21"/>
      <c r="H1549" s="21"/>
      <c r="I1549" s="4">
        <v>0</v>
      </c>
      <c r="J1549" s="4">
        <v>0</v>
      </c>
      <c r="K1549" s="4"/>
      <c r="L1549" s="16"/>
      <c r="M1549" s="4"/>
      <c r="N1549" s="4"/>
      <c r="O1549" s="4"/>
      <c r="P1549" s="4"/>
      <c r="Q1549" s="4"/>
      <c r="R1549" s="4"/>
      <c r="S1549" s="4">
        <v>0</v>
      </c>
      <c r="T1549" s="4">
        <v>0</v>
      </c>
      <c r="U1549" s="4">
        <v>0</v>
      </c>
      <c r="V1549" s="4">
        <v>12</v>
      </c>
      <c r="W1549" s="4">
        <v>12</v>
      </c>
      <c r="X1549" s="4">
        <v>5</v>
      </c>
      <c r="Y1549" s="4"/>
      <c r="Z1549" s="4">
        <v>214.5</v>
      </c>
      <c r="AA1549" s="4">
        <v>200</v>
      </c>
      <c r="AB1549" s="18"/>
      <c r="AC1549" s="18">
        <v>29</v>
      </c>
      <c r="AD1549" s="28"/>
      <c r="AE1549" s="26"/>
      <c r="AF1549" s="28"/>
    </row>
    <row r="1550" spans="1:32" ht="13.5" customHeight="1" x14ac:dyDescent="0.25">
      <c r="A1550" s="14">
        <v>45858</v>
      </c>
      <c r="B1550" s="14" t="s">
        <v>46</v>
      </c>
      <c r="C1550" s="15">
        <v>5</v>
      </c>
      <c r="D1550" s="16">
        <v>7</v>
      </c>
      <c r="E1550" s="16"/>
      <c r="F1550" s="17"/>
      <c r="G1550" s="21"/>
      <c r="H1550" s="21"/>
      <c r="I1550" s="4">
        <v>7</v>
      </c>
      <c r="J1550" s="4">
        <v>0.11666666666666667</v>
      </c>
      <c r="K1550" s="4"/>
      <c r="L1550" s="16"/>
      <c r="M1550" s="4"/>
      <c r="N1550" s="4"/>
      <c r="O1550" s="4"/>
      <c r="P1550" s="4"/>
      <c r="Q1550" s="4"/>
      <c r="R1550" s="4"/>
      <c r="S1550" s="4">
        <v>0</v>
      </c>
      <c r="T1550" s="4">
        <v>0</v>
      </c>
      <c r="U1550" s="4">
        <v>0.11666666666666667</v>
      </c>
      <c r="V1550" s="4">
        <v>11.883333333333333</v>
      </c>
      <c r="W1550" s="4">
        <v>12</v>
      </c>
      <c r="X1550" s="4">
        <v>16</v>
      </c>
      <c r="Y1550" s="4"/>
      <c r="Z1550" s="4">
        <v>536.20000000000005</v>
      </c>
      <c r="AA1550" s="4">
        <v>550</v>
      </c>
      <c r="AB1550" s="18"/>
      <c r="AC1550" s="18">
        <v>29</v>
      </c>
      <c r="AD1550" s="28"/>
      <c r="AE1550" s="26"/>
      <c r="AF1550" s="28"/>
    </row>
    <row r="1551" spans="1:32" ht="13.5" customHeight="1" x14ac:dyDescent="0.25">
      <c r="A1551" s="14">
        <v>45858</v>
      </c>
      <c r="B1551" s="14" t="s">
        <v>47</v>
      </c>
      <c r="C1551" s="15">
        <v>5</v>
      </c>
      <c r="D1551" s="16"/>
      <c r="E1551" s="16"/>
      <c r="F1551" s="17"/>
      <c r="G1551" s="21"/>
      <c r="H1551" s="21"/>
      <c r="I1551" s="4">
        <v>0</v>
      </c>
      <c r="J1551" s="4">
        <v>0</v>
      </c>
      <c r="K1551" s="4"/>
      <c r="L1551" s="16"/>
      <c r="M1551" s="4"/>
      <c r="N1551" s="4"/>
      <c r="O1551" s="4"/>
      <c r="P1551" s="4"/>
      <c r="Q1551" s="4"/>
      <c r="R1551" s="4"/>
      <c r="S1551" s="4">
        <v>0</v>
      </c>
      <c r="T1551" s="4">
        <v>0</v>
      </c>
      <c r="U1551" s="4">
        <v>0</v>
      </c>
      <c r="V1551" s="4">
        <v>12</v>
      </c>
      <c r="W1551" s="4">
        <v>12</v>
      </c>
      <c r="X1551" s="4">
        <v>0</v>
      </c>
      <c r="Y1551" s="4"/>
      <c r="Z1551" s="4">
        <v>474.3</v>
      </c>
      <c r="AA1551" s="4">
        <v>500</v>
      </c>
      <c r="AB1551" s="18"/>
      <c r="AC1551" s="18">
        <v>29</v>
      </c>
      <c r="AD1551" s="28"/>
      <c r="AE1551" s="26"/>
      <c r="AF1551" s="28"/>
    </row>
    <row r="1552" spans="1:32" ht="13.5" customHeight="1" x14ac:dyDescent="0.25">
      <c r="A1552" s="14">
        <v>45858</v>
      </c>
      <c r="B1552" s="14" t="s">
        <v>46</v>
      </c>
      <c r="C1552" s="15">
        <v>6</v>
      </c>
      <c r="D1552" s="16">
        <v>5</v>
      </c>
      <c r="E1552" s="16">
        <v>5</v>
      </c>
      <c r="F1552" s="17"/>
      <c r="G1552" s="21"/>
      <c r="H1552" s="21"/>
      <c r="I1552" s="4">
        <v>10</v>
      </c>
      <c r="J1552" s="4">
        <v>0.16666666666666666</v>
      </c>
      <c r="K1552" s="4"/>
      <c r="L1552" s="16"/>
      <c r="M1552" s="4"/>
      <c r="N1552" s="4"/>
      <c r="O1552" s="4"/>
      <c r="P1552" s="4"/>
      <c r="Q1552" s="4">
        <v>60</v>
      </c>
      <c r="R1552" s="4"/>
      <c r="S1552" s="4">
        <v>60</v>
      </c>
      <c r="T1552" s="4">
        <v>1</v>
      </c>
      <c r="U1552" s="4">
        <v>1.1666666666666667</v>
      </c>
      <c r="V1552" s="4">
        <v>10.833333333333334</v>
      </c>
      <c r="W1552" s="4">
        <v>12</v>
      </c>
      <c r="X1552" s="4">
        <v>13</v>
      </c>
      <c r="Y1552" s="4"/>
      <c r="Z1552" s="4">
        <v>618.19999999999993</v>
      </c>
      <c r="AA1552" s="4">
        <v>600</v>
      </c>
      <c r="AB1552" s="18"/>
      <c r="AC1552" s="18">
        <v>29</v>
      </c>
      <c r="AD1552" s="28"/>
      <c r="AE1552" s="26"/>
      <c r="AF1552" s="28"/>
    </row>
    <row r="1553" spans="1:32" ht="13.5" customHeight="1" x14ac:dyDescent="0.25">
      <c r="A1553" s="14">
        <v>45858</v>
      </c>
      <c r="B1553" s="14" t="s">
        <v>47</v>
      </c>
      <c r="C1553" s="15">
        <v>6</v>
      </c>
      <c r="D1553" s="16"/>
      <c r="E1553" s="16"/>
      <c r="F1553" s="17"/>
      <c r="G1553" s="21"/>
      <c r="H1553" s="21"/>
      <c r="I1553" s="4">
        <v>0</v>
      </c>
      <c r="J1553" s="4">
        <v>0</v>
      </c>
      <c r="K1553" s="4"/>
      <c r="L1553" s="16"/>
      <c r="M1553" s="4"/>
      <c r="N1553" s="4"/>
      <c r="O1553" s="4"/>
      <c r="P1553" s="4">
        <v>150</v>
      </c>
      <c r="Q1553" s="4"/>
      <c r="R1553" s="4"/>
      <c r="S1553" s="4">
        <v>150</v>
      </c>
      <c r="T1553" s="4">
        <v>2.5</v>
      </c>
      <c r="U1553" s="4">
        <v>2.5</v>
      </c>
      <c r="V1553" s="4">
        <v>9.5</v>
      </c>
      <c r="W1553" s="4">
        <v>12</v>
      </c>
      <c r="X1553" s="4">
        <v>35</v>
      </c>
      <c r="Y1553" s="4"/>
      <c r="Z1553" s="4">
        <v>522.6</v>
      </c>
      <c r="AA1553" s="4">
        <v>550</v>
      </c>
      <c r="AB1553" s="18"/>
      <c r="AC1553" s="18">
        <v>29</v>
      </c>
      <c r="AD1553" s="28"/>
      <c r="AE1553" s="26"/>
      <c r="AF1553" s="28"/>
    </row>
    <row r="1554" spans="1:32" ht="13.5" customHeight="1" x14ac:dyDescent="0.25">
      <c r="A1554" s="14">
        <v>45859</v>
      </c>
      <c r="B1554" s="14" t="s">
        <v>46</v>
      </c>
      <c r="C1554" s="15">
        <v>1</v>
      </c>
      <c r="D1554" s="16"/>
      <c r="E1554" s="16"/>
      <c r="F1554" s="17"/>
      <c r="G1554" s="21"/>
      <c r="H1554" s="21"/>
      <c r="I1554" s="4">
        <v>0</v>
      </c>
      <c r="J1554" s="4">
        <v>0</v>
      </c>
      <c r="K1554" s="4"/>
      <c r="L1554" s="16"/>
      <c r="M1554" s="4"/>
      <c r="N1554" s="4"/>
      <c r="O1554" s="4"/>
      <c r="P1554" s="4"/>
      <c r="Q1554" s="4"/>
      <c r="R1554" s="4"/>
      <c r="S1554" s="4">
        <v>0</v>
      </c>
      <c r="T1554" s="4">
        <v>0</v>
      </c>
      <c r="U1554" s="4">
        <v>0</v>
      </c>
      <c r="V1554" s="4">
        <v>12</v>
      </c>
      <c r="W1554" s="4">
        <v>12</v>
      </c>
      <c r="X1554" s="4">
        <v>5</v>
      </c>
      <c r="Y1554" s="4">
        <v>1787.5</v>
      </c>
      <c r="Z1554" s="4">
        <v>123</v>
      </c>
      <c r="AA1554" s="4">
        <v>120</v>
      </c>
      <c r="AB1554" s="18">
        <v>372</v>
      </c>
      <c r="AC1554" s="18">
        <v>30</v>
      </c>
      <c r="AD1554" s="28"/>
      <c r="AE1554" s="26"/>
      <c r="AF1554" s="28"/>
    </row>
    <row r="1555" spans="1:32" ht="13.5" customHeight="1" x14ac:dyDescent="0.25">
      <c r="A1555" s="14">
        <v>45859</v>
      </c>
      <c r="B1555" s="14" t="s">
        <v>47</v>
      </c>
      <c r="C1555" s="15">
        <v>1</v>
      </c>
      <c r="D1555" s="16"/>
      <c r="E1555" s="16"/>
      <c r="F1555" s="17"/>
      <c r="G1555" s="21"/>
      <c r="H1555" s="21"/>
      <c r="I1555" s="4">
        <v>0</v>
      </c>
      <c r="J1555" s="4">
        <v>0</v>
      </c>
      <c r="K1555" s="4"/>
      <c r="L1555" s="16"/>
      <c r="M1555" s="4"/>
      <c r="N1555" s="4"/>
      <c r="O1555" s="4"/>
      <c r="P1555" s="4"/>
      <c r="Q1555" s="4"/>
      <c r="R1555" s="4"/>
      <c r="S1555" s="4">
        <v>0</v>
      </c>
      <c r="T1555" s="4">
        <v>0</v>
      </c>
      <c r="U1555" s="4">
        <v>0</v>
      </c>
      <c r="V1555" s="4">
        <v>12</v>
      </c>
      <c r="W1555" s="4">
        <v>12</v>
      </c>
      <c r="X1555" s="4">
        <v>3</v>
      </c>
      <c r="Y1555" s="4"/>
      <c r="Z1555" s="4">
        <v>224.98000000000002</v>
      </c>
      <c r="AA1555" s="4">
        <v>250</v>
      </c>
      <c r="AB1555" s="18"/>
      <c r="AC1555" s="18">
        <v>30</v>
      </c>
      <c r="AD1555" s="28"/>
      <c r="AE1555" s="26"/>
      <c r="AF1555" s="28"/>
    </row>
    <row r="1556" spans="1:32" ht="13.5" customHeight="1" x14ac:dyDescent="0.25">
      <c r="A1556" s="14">
        <v>45859</v>
      </c>
      <c r="B1556" s="14" t="s">
        <v>46</v>
      </c>
      <c r="C1556" s="15">
        <v>4</v>
      </c>
      <c r="D1556" s="16"/>
      <c r="E1556" s="16"/>
      <c r="F1556" s="17"/>
      <c r="G1556" s="21"/>
      <c r="H1556" s="21"/>
      <c r="I1556" s="4">
        <v>0</v>
      </c>
      <c r="J1556" s="4">
        <v>0</v>
      </c>
      <c r="K1556" s="4"/>
      <c r="L1556" s="16"/>
      <c r="M1556" s="4"/>
      <c r="N1556" s="4"/>
      <c r="O1556" s="4"/>
      <c r="P1556" s="4"/>
      <c r="Q1556" s="4"/>
      <c r="R1556" s="4"/>
      <c r="S1556" s="4">
        <v>0</v>
      </c>
      <c r="T1556" s="4">
        <v>0</v>
      </c>
      <c r="U1556" s="4">
        <v>0</v>
      </c>
      <c r="V1556" s="4">
        <v>12</v>
      </c>
      <c r="W1556" s="4">
        <v>12</v>
      </c>
      <c r="X1556" s="4">
        <v>3</v>
      </c>
      <c r="Y1556" s="4"/>
      <c r="Z1556" s="4">
        <v>259</v>
      </c>
      <c r="AA1556" s="4">
        <v>200</v>
      </c>
      <c r="AB1556" s="18"/>
      <c r="AC1556" s="18">
        <v>30</v>
      </c>
      <c r="AD1556" s="28"/>
      <c r="AE1556" s="26"/>
      <c r="AF1556" s="28"/>
    </row>
    <row r="1557" spans="1:32" ht="13.5" customHeight="1" x14ac:dyDescent="0.25">
      <c r="A1557" s="14">
        <v>45859</v>
      </c>
      <c r="B1557" s="14" t="s">
        <v>47</v>
      </c>
      <c r="C1557" s="15">
        <v>4</v>
      </c>
      <c r="D1557" s="16"/>
      <c r="E1557" s="16"/>
      <c r="F1557" s="17"/>
      <c r="G1557" s="21"/>
      <c r="H1557" s="21"/>
      <c r="I1557" s="4">
        <v>0</v>
      </c>
      <c r="J1557" s="4">
        <v>0</v>
      </c>
      <c r="K1557" s="4"/>
      <c r="L1557" s="16"/>
      <c r="M1557" s="4"/>
      <c r="N1557" s="4"/>
      <c r="O1557" s="4"/>
      <c r="P1557" s="4"/>
      <c r="Q1557" s="4"/>
      <c r="R1557" s="4"/>
      <c r="S1557" s="4">
        <v>0</v>
      </c>
      <c r="T1557" s="4">
        <v>0</v>
      </c>
      <c r="U1557" s="4">
        <v>0</v>
      </c>
      <c r="V1557" s="4">
        <v>12</v>
      </c>
      <c r="W1557" s="4">
        <v>12</v>
      </c>
      <c r="X1557" s="4">
        <v>0</v>
      </c>
      <c r="Y1557" s="4"/>
      <c r="Z1557" s="4">
        <v>212.49999999999997</v>
      </c>
      <c r="AA1557" s="4">
        <v>250</v>
      </c>
      <c r="AB1557" s="18"/>
      <c r="AC1557" s="18">
        <v>30</v>
      </c>
      <c r="AD1557" s="28"/>
      <c r="AE1557" s="26"/>
      <c r="AF1557" s="28"/>
    </row>
    <row r="1558" spans="1:32" ht="13.5" customHeight="1" x14ac:dyDescent="0.25">
      <c r="A1558" s="14">
        <v>45859</v>
      </c>
      <c r="B1558" s="14" t="s">
        <v>46</v>
      </c>
      <c r="C1558" s="15">
        <v>5</v>
      </c>
      <c r="D1558" s="16">
        <v>5</v>
      </c>
      <c r="E1558" s="16"/>
      <c r="F1558" s="17"/>
      <c r="G1558" s="21"/>
      <c r="H1558" s="21"/>
      <c r="I1558" s="4">
        <v>5</v>
      </c>
      <c r="J1558" s="4">
        <v>8.3333333333333329E-2</v>
      </c>
      <c r="K1558" s="4"/>
      <c r="L1558" s="16"/>
      <c r="M1558" s="4"/>
      <c r="N1558" s="4"/>
      <c r="O1558" s="4"/>
      <c r="P1558" s="4"/>
      <c r="Q1558" s="4"/>
      <c r="R1558" s="4"/>
      <c r="S1558" s="4">
        <v>0</v>
      </c>
      <c r="T1558" s="4">
        <v>0</v>
      </c>
      <c r="U1558" s="4">
        <v>8.3333333333333329E-2</v>
      </c>
      <c r="V1558" s="4">
        <v>11.916666666666666</v>
      </c>
      <c r="W1558" s="4">
        <v>12</v>
      </c>
      <c r="X1558" s="4">
        <v>9.1999999999999993</v>
      </c>
      <c r="Y1558" s="4"/>
      <c r="Z1558" s="4">
        <v>372.79999999999995</v>
      </c>
      <c r="AA1558" s="4">
        <v>350</v>
      </c>
      <c r="AB1558" s="18"/>
      <c r="AC1558" s="18">
        <v>30</v>
      </c>
      <c r="AD1558" s="28"/>
      <c r="AE1558" s="26"/>
      <c r="AF1558" s="28"/>
    </row>
    <row r="1559" spans="1:32" ht="13.5" customHeight="1" x14ac:dyDescent="0.25">
      <c r="A1559" s="14">
        <v>45859</v>
      </c>
      <c r="B1559" s="14" t="s">
        <v>47</v>
      </c>
      <c r="C1559" s="15">
        <v>5</v>
      </c>
      <c r="D1559" s="16"/>
      <c r="E1559" s="16"/>
      <c r="F1559" s="17"/>
      <c r="G1559" s="21"/>
      <c r="H1559" s="21"/>
      <c r="I1559" s="4">
        <v>0</v>
      </c>
      <c r="J1559" s="4">
        <v>0</v>
      </c>
      <c r="K1559" s="4"/>
      <c r="L1559" s="16"/>
      <c r="M1559" s="4"/>
      <c r="N1559" s="4"/>
      <c r="O1559" s="4"/>
      <c r="P1559" s="4"/>
      <c r="Q1559" s="4"/>
      <c r="R1559" s="4"/>
      <c r="S1559" s="4">
        <v>0</v>
      </c>
      <c r="T1559" s="4">
        <v>0</v>
      </c>
      <c r="U1559" s="4">
        <v>0</v>
      </c>
      <c r="V1559" s="4">
        <v>12</v>
      </c>
      <c r="W1559" s="4">
        <v>12</v>
      </c>
      <c r="X1559" s="4">
        <v>10</v>
      </c>
      <c r="Y1559" s="4"/>
      <c r="Z1559" s="4">
        <v>454.60000000000008</v>
      </c>
      <c r="AA1559" s="4">
        <v>500</v>
      </c>
      <c r="AB1559" s="18"/>
      <c r="AC1559" s="18">
        <v>30</v>
      </c>
      <c r="AD1559" s="28"/>
      <c r="AE1559" s="26"/>
      <c r="AF1559" s="28"/>
    </row>
    <row r="1560" spans="1:32" ht="13.5" customHeight="1" x14ac:dyDescent="0.25">
      <c r="A1560" s="14">
        <v>45859</v>
      </c>
      <c r="B1560" s="14" t="s">
        <v>46</v>
      </c>
      <c r="C1560" s="15">
        <v>6</v>
      </c>
      <c r="D1560" s="16">
        <v>20</v>
      </c>
      <c r="E1560" s="16"/>
      <c r="F1560" s="17"/>
      <c r="G1560" s="21"/>
      <c r="H1560" s="21"/>
      <c r="I1560" s="4">
        <v>20</v>
      </c>
      <c r="J1560" s="4">
        <v>0.33333333333333331</v>
      </c>
      <c r="K1560" s="4"/>
      <c r="L1560" s="16"/>
      <c r="M1560" s="4"/>
      <c r="N1560" s="4"/>
      <c r="O1560" s="4"/>
      <c r="P1560" s="4"/>
      <c r="Q1560" s="4"/>
      <c r="R1560" s="4"/>
      <c r="S1560" s="4">
        <v>0</v>
      </c>
      <c r="T1560" s="4">
        <v>0</v>
      </c>
      <c r="U1560" s="4">
        <v>0.33333333333333331</v>
      </c>
      <c r="V1560" s="4">
        <v>11.666666666666666</v>
      </c>
      <c r="W1560" s="4">
        <v>12</v>
      </c>
      <c r="X1560" s="4">
        <v>40</v>
      </c>
      <c r="Y1560" s="4"/>
      <c r="Z1560" s="4">
        <v>775.6</v>
      </c>
      <c r="AA1560" s="4">
        <v>780</v>
      </c>
      <c r="AB1560" s="18"/>
      <c r="AC1560" s="18">
        <v>30</v>
      </c>
      <c r="AD1560" s="28"/>
      <c r="AE1560" s="26"/>
      <c r="AF1560" s="28"/>
    </row>
    <row r="1561" spans="1:32" ht="13.5" customHeight="1" x14ac:dyDescent="0.25">
      <c r="A1561" s="14">
        <v>45859</v>
      </c>
      <c r="B1561" s="14" t="s">
        <v>47</v>
      </c>
      <c r="C1561" s="15">
        <v>6</v>
      </c>
      <c r="D1561" s="16"/>
      <c r="E1561" s="16"/>
      <c r="F1561" s="17"/>
      <c r="G1561" s="21"/>
      <c r="H1561" s="21"/>
      <c r="I1561" s="4">
        <v>0</v>
      </c>
      <c r="J1561" s="4">
        <v>0</v>
      </c>
      <c r="K1561" s="4"/>
      <c r="L1561" s="16"/>
      <c r="M1561" s="4"/>
      <c r="N1561" s="4"/>
      <c r="O1561" s="4"/>
      <c r="P1561" s="4"/>
      <c r="Q1561" s="4"/>
      <c r="R1561" s="4"/>
      <c r="S1561" s="4">
        <v>0</v>
      </c>
      <c r="T1561" s="4">
        <v>0</v>
      </c>
      <c r="U1561" s="4">
        <v>0</v>
      </c>
      <c r="V1561" s="4">
        <v>12</v>
      </c>
      <c r="W1561" s="4">
        <v>12</v>
      </c>
      <c r="X1561" s="4">
        <v>21</v>
      </c>
      <c r="Y1561" s="4"/>
      <c r="Z1561" s="4">
        <v>520.40000000000009</v>
      </c>
      <c r="AA1561" s="4">
        <v>550</v>
      </c>
      <c r="AB1561" s="18"/>
      <c r="AC1561" s="18">
        <v>30</v>
      </c>
      <c r="AD1561" s="28"/>
      <c r="AE1561" s="26"/>
      <c r="AF1561" s="28"/>
    </row>
    <row r="1562" spans="1:32" ht="13.5" customHeight="1" x14ac:dyDescent="0.25">
      <c r="A1562" s="14">
        <v>45860</v>
      </c>
      <c r="B1562" s="14" t="s">
        <v>46</v>
      </c>
      <c r="C1562" s="15">
        <v>1</v>
      </c>
      <c r="D1562" s="16"/>
      <c r="E1562" s="16"/>
      <c r="F1562" s="17"/>
      <c r="G1562" s="21"/>
      <c r="H1562" s="21"/>
      <c r="I1562" s="4">
        <v>0</v>
      </c>
      <c r="J1562" s="4">
        <v>0</v>
      </c>
      <c r="K1562" s="4"/>
      <c r="L1562" s="16"/>
      <c r="M1562" s="4"/>
      <c r="N1562" s="4"/>
      <c r="O1562" s="4"/>
      <c r="P1562" s="4"/>
      <c r="Q1562" s="4"/>
      <c r="R1562" s="4"/>
      <c r="S1562" s="4">
        <v>0</v>
      </c>
      <c r="T1562" s="4">
        <v>0</v>
      </c>
      <c r="U1562" s="4">
        <v>0</v>
      </c>
      <c r="V1562" s="4">
        <v>12</v>
      </c>
      <c r="W1562" s="4">
        <v>12</v>
      </c>
      <c r="X1562" s="4">
        <v>0</v>
      </c>
      <c r="Y1562" s="4">
        <v>1985</v>
      </c>
      <c r="Z1562" s="4">
        <v>182.5</v>
      </c>
      <c r="AA1562" s="4">
        <v>150</v>
      </c>
      <c r="AB1562" s="18">
        <v>372</v>
      </c>
      <c r="AC1562" s="18">
        <v>30</v>
      </c>
      <c r="AD1562" s="28"/>
      <c r="AE1562" s="26"/>
      <c r="AF1562" s="28"/>
    </row>
    <row r="1563" spans="1:32" ht="13.5" customHeight="1" x14ac:dyDescent="0.25">
      <c r="A1563" s="14">
        <v>45860</v>
      </c>
      <c r="B1563" s="14" t="s">
        <v>47</v>
      </c>
      <c r="C1563" s="15">
        <v>1</v>
      </c>
      <c r="D1563" s="16"/>
      <c r="E1563" s="16"/>
      <c r="F1563" s="17"/>
      <c r="G1563" s="21"/>
      <c r="H1563" s="21"/>
      <c r="I1563" s="4">
        <v>0</v>
      </c>
      <c r="J1563" s="4">
        <v>0</v>
      </c>
      <c r="K1563" s="4"/>
      <c r="L1563" s="16"/>
      <c r="M1563" s="4"/>
      <c r="N1563" s="4"/>
      <c r="O1563" s="4"/>
      <c r="P1563" s="4"/>
      <c r="Q1563" s="4"/>
      <c r="R1563" s="4"/>
      <c r="S1563" s="4">
        <v>0</v>
      </c>
      <c r="T1563" s="4">
        <v>0</v>
      </c>
      <c r="U1563" s="4">
        <v>0</v>
      </c>
      <c r="V1563" s="4">
        <v>12</v>
      </c>
      <c r="W1563" s="4">
        <v>12</v>
      </c>
      <c r="X1563" s="4">
        <v>0</v>
      </c>
      <c r="Y1563" s="4"/>
      <c r="Z1563" s="4">
        <v>139.5</v>
      </c>
      <c r="AA1563" s="4">
        <v>150</v>
      </c>
      <c r="AB1563" s="18"/>
      <c r="AC1563" s="18">
        <v>30</v>
      </c>
      <c r="AD1563" s="28"/>
      <c r="AE1563" s="26"/>
      <c r="AF1563" s="28"/>
    </row>
    <row r="1564" spans="1:32" ht="13.5" customHeight="1" x14ac:dyDescent="0.25">
      <c r="A1564" s="14">
        <v>45860</v>
      </c>
      <c r="B1564" s="14" t="s">
        <v>46</v>
      </c>
      <c r="C1564" s="15">
        <v>3</v>
      </c>
      <c r="D1564" s="16"/>
      <c r="E1564" s="16"/>
      <c r="F1564" s="17"/>
      <c r="G1564" s="21"/>
      <c r="H1564" s="21"/>
      <c r="I1564" s="4">
        <v>0</v>
      </c>
      <c r="J1564" s="4">
        <v>0</v>
      </c>
      <c r="K1564" s="4"/>
      <c r="L1564" s="16"/>
      <c r="M1564" s="4"/>
      <c r="N1564" s="4"/>
      <c r="O1564" s="4"/>
      <c r="P1564" s="4"/>
      <c r="Q1564" s="4"/>
      <c r="R1564" s="4"/>
      <c r="S1564" s="4">
        <v>0</v>
      </c>
      <c r="T1564" s="4">
        <v>0</v>
      </c>
      <c r="U1564" s="4">
        <v>0</v>
      </c>
      <c r="V1564" s="4">
        <v>12</v>
      </c>
      <c r="W1564" s="4">
        <v>12</v>
      </c>
      <c r="X1564" s="4">
        <v>80</v>
      </c>
      <c r="Y1564" s="4"/>
      <c r="Z1564" s="4">
        <v>94.4</v>
      </c>
      <c r="AA1564" s="4">
        <v>100</v>
      </c>
      <c r="AB1564" s="18"/>
      <c r="AC1564" s="18">
        <v>30</v>
      </c>
      <c r="AD1564" s="28"/>
      <c r="AE1564" s="26"/>
      <c r="AF1564" s="28"/>
    </row>
    <row r="1565" spans="1:32" ht="13.5" customHeight="1" x14ac:dyDescent="0.25">
      <c r="A1565" s="14">
        <v>45860</v>
      </c>
      <c r="B1565" s="14" t="s">
        <v>47</v>
      </c>
      <c r="C1565" s="15">
        <v>3</v>
      </c>
      <c r="D1565" s="16"/>
      <c r="E1565" s="16"/>
      <c r="F1565" s="17"/>
      <c r="G1565" s="21"/>
      <c r="H1565" s="21"/>
      <c r="I1565" s="4">
        <v>0</v>
      </c>
      <c r="J1565" s="4">
        <v>0</v>
      </c>
      <c r="K1565" s="4"/>
      <c r="L1565" s="16"/>
      <c r="M1565" s="4"/>
      <c r="N1565" s="4"/>
      <c r="O1565" s="4"/>
      <c r="P1565" s="4"/>
      <c r="Q1565" s="4"/>
      <c r="R1565" s="4"/>
      <c r="S1565" s="4">
        <v>0</v>
      </c>
      <c r="T1565" s="4">
        <v>0</v>
      </c>
      <c r="U1565" s="4">
        <v>0</v>
      </c>
      <c r="V1565" s="4">
        <v>12</v>
      </c>
      <c r="W1565" s="4">
        <v>12</v>
      </c>
      <c r="X1565" s="4">
        <v>0</v>
      </c>
      <c r="Y1565" s="4"/>
      <c r="Z1565" s="4">
        <v>117.7</v>
      </c>
      <c r="AA1565" s="4">
        <v>100</v>
      </c>
      <c r="AB1565" s="18"/>
      <c r="AC1565" s="18">
        <v>30</v>
      </c>
      <c r="AD1565" s="28"/>
      <c r="AE1565" s="26"/>
      <c r="AF1565" s="28"/>
    </row>
    <row r="1566" spans="1:32" ht="13.5" customHeight="1" x14ac:dyDescent="0.25">
      <c r="A1566" s="14">
        <v>45860</v>
      </c>
      <c r="B1566" s="14" t="s">
        <v>46</v>
      </c>
      <c r="C1566" s="15">
        <v>4</v>
      </c>
      <c r="D1566" s="16">
        <v>5</v>
      </c>
      <c r="E1566" s="16"/>
      <c r="F1566" s="17"/>
      <c r="G1566" s="21"/>
      <c r="H1566" s="21"/>
      <c r="I1566" s="4">
        <v>5</v>
      </c>
      <c r="J1566" s="4">
        <v>8.3333333333333329E-2</v>
      </c>
      <c r="K1566" s="4"/>
      <c r="L1566" s="16"/>
      <c r="M1566" s="4"/>
      <c r="N1566" s="4"/>
      <c r="O1566" s="4">
        <v>5</v>
      </c>
      <c r="P1566" s="4"/>
      <c r="Q1566" s="4"/>
      <c r="R1566" s="4"/>
      <c r="S1566" s="4">
        <v>5</v>
      </c>
      <c r="T1566" s="4">
        <v>8.3333333333333329E-2</v>
      </c>
      <c r="U1566" s="4">
        <v>0.16666666666666666</v>
      </c>
      <c r="V1566" s="4">
        <v>11.833333333333334</v>
      </c>
      <c r="W1566" s="4">
        <v>12</v>
      </c>
      <c r="X1566" s="4">
        <v>52.8</v>
      </c>
      <c r="Y1566" s="4"/>
      <c r="Z1566" s="4">
        <v>277.70000000000005</v>
      </c>
      <c r="AA1566" s="4">
        <v>300</v>
      </c>
      <c r="AB1566" s="18"/>
      <c r="AC1566" s="18">
        <v>30</v>
      </c>
      <c r="AD1566" s="28"/>
      <c r="AE1566" s="26"/>
      <c r="AF1566" s="28"/>
    </row>
    <row r="1567" spans="1:32" ht="13.5" customHeight="1" x14ac:dyDescent="0.25">
      <c r="A1567" s="14">
        <v>45860</v>
      </c>
      <c r="B1567" s="14" t="s">
        <v>47</v>
      </c>
      <c r="C1567" s="15">
        <v>4</v>
      </c>
      <c r="D1567" s="16">
        <v>2</v>
      </c>
      <c r="E1567" s="16"/>
      <c r="F1567" s="17"/>
      <c r="G1567" s="21"/>
      <c r="H1567" s="21"/>
      <c r="I1567" s="4">
        <v>2</v>
      </c>
      <c r="J1567" s="4">
        <v>3.3333333333333333E-2</v>
      </c>
      <c r="K1567" s="4"/>
      <c r="L1567" s="16"/>
      <c r="M1567" s="4"/>
      <c r="N1567" s="4"/>
      <c r="O1567" s="4"/>
      <c r="P1567" s="4"/>
      <c r="Q1567" s="4"/>
      <c r="R1567" s="4"/>
      <c r="S1567" s="4">
        <v>0</v>
      </c>
      <c r="T1567" s="4">
        <v>0</v>
      </c>
      <c r="U1567" s="4">
        <v>3.3333333333333333E-2</v>
      </c>
      <c r="V1567" s="4">
        <v>11.966666666666667</v>
      </c>
      <c r="W1567" s="4">
        <v>12</v>
      </c>
      <c r="X1567" s="4">
        <v>8</v>
      </c>
      <c r="Y1567" s="4"/>
      <c r="Z1567" s="4">
        <v>298</v>
      </c>
      <c r="AA1567" s="4">
        <v>300</v>
      </c>
      <c r="AB1567" s="18"/>
      <c r="AC1567" s="18">
        <v>30</v>
      </c>
      <c r="AD1567" s="28"/>
      <c r="AE1567" s="26"/>
      <c r="AF1567" s="28"/>
    </row>
    <row r="1568" spans="1:32" ht="13.5" customHeight="1" x14ac:dyDescent="0.25">
      <c r="A1568" s="14">
        <v>45860</v>
      </c>
      <c r="B1568" s="14" t="s">
        <v>46</v>
      </c>
      <c r="C1568" s="15">
        <v>5</v>
      </c>
      <c r="D1568" s="16"/>
      <c r="E1568" s="16"/>
      <c r="F1568" s="17"/>
      <c r="G1568" s="21"/>
      <c r="H1568" s="21"/>
      <c r="I1568" s="4">
        <v>0</v>
      </c>
      <c r="J1568" s="4">
        <v>0</v>
      </c>
      <c r="K1568" s="4"/>
      <c r="L1568" s="16"/>
      <c r="M1568" s="4"/>
      <c r="N1568" s="4"/>
      <c r="O1568" s="4"/>
      <c r="P1568" s="4"/>
      <c r="Q1568" s="4"/>
      <c r="R1568" s="4"/>
      <c r="S1568" s="4">
        <v>0</v>
      </c>
      <c r="T1568" s="4">
        <v>0</v>
      </c>
      <c r="U1568" s="4">
        <v>0</v>
      </c>
      <c r="V1568" s="4">
        <v>12</v>
      </c>
      <c r="W1568" s="4">
        <v>12</v>
      </c>
      <c r="X1568" s="4">
        <v>10</v>
      </c>
      <c r="Y1568" s="4"/>
      <c r="Z1568" s="4">
        <v>585.79999999999995</v>
      </c>
      <c r="AA1568" s="4">
        <v>600</v>
      </c>
      <c r="AB1568" s="18"/>
      <c r="AC1568" s="18">
        <v>30</v>
      </c>
      <c r="AD1568" s="28"/>
      <c r="AE1568" s="26"/>
      <c r="AF1568" s="28"/>
    </row>
    <row r="1569" spans="1:32" ht="13.5" customHeight="1" x14ac:dyDescent="0.25">
      <c r="A1569" s="14">
        <v>45860</v>
      </c>
      <c r="B1569" s="14" t="s">
        <v>47</v>
      </c>
      <c r="C1569" s="15">
        <v>5</v>
      </c>
      <c r="D1569" s="16"/>
      <c r="E1569" s="16"/>
      <c r="F1569" s="17"/>
      <c r="G1569" s="21"/>
      <c r="H1569" s="21"/>
      <c r="I1569" s="4">
        <v>0</v>
      </c>
      <c r="J1569" s="4">
        <v>0</v>
      </c>
      <c r="K1569" s="4"/>
      <c r="L1569" s="16"/>
      <c r="M1569" s="4"/>
      <c r="N1569" s="4"/>
      <c r="O1569" s="4"/>
      <c r="P1569" s="4"/>
      <c r="Q1569" s="4"/>
      <c r="R1569" s="4"/>
      <c r="S1569" s="4">
        <v>0</v>
      </c>
      <c r="T1569" s="4">
        <v>0</v>
      </c>
      <c r="U1569" s="4">
        <v>0</v>
      </c>
      <c r="V1569" s="4">
        <v>12</v>
      </c>
      <c r="W1569" s="4">
        <v>12</v>
      </c>
      <c r="X1569" s="4">
        <v>12</v>
      </c>
      <c r="Y1569" s="4"/>
      <c r="Z1569" s="4">
        <v>488.8</v>
      </c>
      <c r="AA1569" s="4">
        <v>500</v>
      </c>
      <c r="AB1569" s="18"/>
      <c r="AC1569" s="18">
        <v>30</v>
      </c>
      <c r="AD1569" s="28"/>
      <c r="AE1569" s="26"/>
      <c r="AF1569" s="28"/>
    </row>
    <row r="1570" spans="1:32" ht="13.5" customHeight="1" x14ac:dyDescent="0.25">
      <c r="A1570" s="14">
        <v>45860</v>
      </c>
      <c r="B1570" s="14" t="s">
        <v>46</v>
      </c>
      <c r="C1570" s="15">
        <v>6</v>
      </c>
      <c r="D1570" s="16">
        <v>10</v>
      </c>
      <c r="E1570" s="16"/>
      <c r="F1570" s="17"/>
      <c r="G1570" s="21"/>
      <c r="H1570" s="21"/>
      <c r="I1570" s="4">
        <v>10</v>
      </c>
      <c r="J1570" s="4">
        <v>0.16666666666666666</v>
      </c>
      <c r="K1570" s="4"/>
      <c r="L1570" s="16"/>
      <c r="M1570" s="4"/>
      <c r="N1570" s="4"/>
      <c r="O1570" s="4"/>
      <c r="P1570" s="4"/>
      <c r="Q1570" s="4"/>
      <c r="R1570" s="4"/>
      <c r="S1570" s="4">
        <v>0</v>
      </c>
      <c r="T1570" s="4">
        <v>0</v>
      </c>
      <c r="U1570" s="4">
        <v>0.16666666666666666</v>
      </c>
      <c r="V1570" s="4">
        <v>11.833333333333334</v>
      </c>
      <c r="W1570" s="4">
        <v>12</v>
      </c>
      <c r="X1570" s="4">
        <v>26</v>
      </c>
      <c r="Y1570" s="4"/>
      <c r="Z1570" s="4">
        <v>487</v>
      </c>
      <c r="AA1570" s="4">
        <v>500</v>
      </c>
      <c r="AB1570" s="18"/>
      <c r="AC1570" s="18">
        <v>30</v>
      </c>
      <c r="AD1570" s="28"/>
      <c r="AE1570" s="26"/>
      <c r="AF1570" s="28"/>
    </row>
    <row r="1571" spans="1:32" ht="13.5" customHeight="1" x14ac:dyDescent="0.25">
      <c r="A1571" s="14">
        <v>45860</v>
      </c>
      <c r="B1571" s="14" t="s">
        <v>47</v>
      </c>
      <c r="C1571" s="15">
        <v>6</v>
      </c>
      <c r="D1571" s="16">
        <v>5</v>
      </c>
      <c r="E1571" s="16"/>
      <c r="F1571" s="17"/>
      <c r="G1571" s="21"/>
      <c r="H1571" s="21"/>
      <c r="I1571" s="4">
        <v>5</v>
      </c>
      <c r="J1571" s="4">
        <v>8.3333333333333329E-2</v>
      </c>
      <c r="K1571" s="4"/>
      <c r="L1571" s="16"/>
      <c r="M1571" s="4">
        <v>405</v>
      </c>
      <c r="N1571" s="4"/>
      <c r="O1571" s="4">
        <v>20</v>
      </c>
      <c r="P1571" s="4"/>
      <c r="Q1571" s="4"/>
      <c r="R1571" s="4"/>
      <c r="S1571" s="4">
        <v>425</v>
      </c>
      <c r="T1571" s="4">
        <v>7.083333333333333</v>
      </c>
      <c r="U1571" s="4">
        <v>7.1666666666666661</v>
      </c>
      <c r="V1571" s="4">
        <v>4.8333333333333339</v>
      </c>
      <c r="W1571" s="4">
        <v>12</v>
      </c>
      <c r="X1571" s="4">
        <v>40</v>
      </c>
      <c r="Y1571" s="4"/>
      <c r="Z1571" s="4">
        <v>473.70000000000005</v>
      </c>
      <c r="AA1571" s="4">
        <v>500</v>
      </c>
      <c r="AB1571" s="18"/>
      <c r="AC1571" s="18">
        <v>30</v>
      </c>
      <c r="AD1571" s="28"/>
      <c r="AE1571" s="26"/>
      <c r="AF1571" s="28"/>
    </row>
    <row r="1572" spans="1:32" ht="13.5" customHeight="1" x14ac:dyDescent="0.25">
      <c r="A1572" s="14">
        <v>45861</v>
      </c>
      <c r="B1572" s="14" t="s">
        <v>46</v>
      </c>
      <c r="C1572" s="15">
        <v>1</v>
      </c>
      <c r="D1572" s="16"/>
      <c r="E1572" s="16"/>
      <c r="F1572" s="17"/>
      <c r="G1572" s="21"/>
      <c r="H1572" s="21"/>
      <c r="I1572" s="4">
        <v>0</v>
      </c>
      <c r="J1572" s="4">
        <v>0</v>
      </c>
      <c r="K1572" s="4"/>
      <c r="L1572" s="16"/>
      <c r="M1572" s="4"/>
      <c r="N1572" s="4"/>
      <c r="O1572" s="4"/>
      <c r="P1572" s="4"/>
      <c r="Q1572" s="4"/>
      <c r="R1572" s="4"/>
      <c r="S1572" s="4">
        <v>0</v>
      </c>
      <c r="T1572" s="4">
        <v>0</v>
      </c>
      <c r="U1572" s="4">
        <v>0</v>
      </c>
      <c r="V1572" s="4">
        <v>12</v>
      </c>
      <c r="W1572" s="4">
        <v>12</v>
      </c>
      <c r="X1572" s="4">
        <v>0</v>
      </c>
      <c r="Y1572" s="4">
        <v>1870</v>
      </c>
      <c r="Z1572" s="4">
        <v>144.6</v>
      </c>
      <c r="AA1572" s="4">
        <v>150</v>
      </c>
      <c r="AB1572" s="18">
        <v>372</v>
      </c>
      <c r="AC1572" s="18">
        <v>30</v>
      </c>
      <c r="AD1572" s="28"/>
      <c r="AE1572" s="26"/>
      <c r="AF1572" s="28"/>
    </row>
    <row r="1573" spans="1:32" ht="13.5" customHeight="1" x14ac:dyDescent="0.25">
      <c r="A1573" s="14">
        <v>45861</v>
      </c>
      <c r="B1573" s="14" t="s">
        <v>47</v>
      </c>
      <c r="C1573" s="15">
        <v>1</v>
      </c>
      <c r="D1573" s="16"/>
      <c r="E1573" s="16"/>
      <c r="F1573" s="17"/>
      <c r="G1573" s="21"/>
      <c r="H1573" s="21"/>
      <c r="I1573" s="4">
        <v>0</v>
      </c>
      <c r="J1573" s="4">
        <v>0</v>
      </c>
      <c r="K1573" s="4"/>
      <c r="L1573" s="16"/>
      <c r="M1573" s="4"/>
      <c r="N1573" s="4"/>
      <c r="O1573" s="4"/>
      <c r="P1573" s="4"/>
      <c r="Q1573" s="4"/>
      <c r="R1573" s="4"/>
      <c r="S1573" s="4">
        <v>0</v>
      </c>
      <c r="T1573" s="4">
        <v>0</v>
      </c>
      <c r="U1573" s="4">
        <v>0</v>
      </c>
      <c r="V1573" s="4">
        <v>12</v>
      </c>
      <c r="W1573" s="4">
        <v>12</v>
      </c>
      <c r="X1573" s="4">
        <v>0</v>
      </c>
      <c r="Y1573" s="4"/>
      <c r="Z1573" s="4">
        <v>125.9</v>
      </c>
      <c r="AA1573" s="4">
        <v>100</v>
      </c>
      <c r="AB1573" s="18"/>
      <c r="AC1573" s="18">
        <v>30</v>
      </c>
      <c r="AD1573" s="28"/>
      <c r="AE1573" s="26"/>
      <c r="AF1573" s="28"/>
    </row>
    <row r="1574" spans="1:32" ht="13.5" customHeight="1" x14ac:dyDescent="0.25">
      <c r="A1574" s="14">
        <v>45861</v>
      </c>
      <c r="B1574" s="14" t="s">
        <v>46</v>
      </c>
      <c r="C1574" s="15">
        <v>4</v>
      </c>
      <c r="D1574" s="16">
        <v>3</v>
      </c>
      <c r="E1574" s="16"/>
      <c r="F1574" s="17"/>
      <c r="G1574" s="21"/>
      <c r="H1574" s="21"/>
      <c r="I1574" s="4">
        <v>3</v>
      </c>
      <c r="J1574" s="4">
        <v>0.05</v>
      </c>
      <c r="K1574" s="4"/>
      <c r="L1574" s="16"/>
      <c r="M1574" s="4"/>
      <c r="N1574" s="4"/>
      <c r="O1574" s="4"/>
      <c r="P1574" s="4"/>
      <c r="Q1574" s="4"/>
      <c r="R1574" s="4"/>
      <c r="S1574" s="4">
        <v>0</v>
      </c>
      <c r="T1574" s="4">
        <v>0</v>
      </c>
      <c r="U1574" s="4">
        <v>0.05</v>
      </c>
      <c r="V1574" s="4">
        <v>11.95</v>
      </c>
      <c r="W1574" s="4">
        <v>12</v>
      </c>
      <c r="X1574" s="4">
        <v>18</v>
      </c>
      <c r="Y1574" s="4"/>
      <c r="Z1574" s="4">
        <v>340.2</v>
      </c>
      <c r="AA1574" s="4">
        <v>400</v>
      </c>
      <c r="AB1574" s="18"/>
      <c r="AC1574" s="18">
        <v>30</v>
      </c>
      <c r="AD1574" s="28"/>
      <c r="AE1574" s="26"/>
      <c r="AF1574" s="28"/>
    </row>
    <row r="1575" spans="1:32" ht="13.5" customHeight="1" x14ac:dyDescent="0.25">
      <c r="A1575" s="14">
        <v>45861</v>
      </c>
      <c r="B1575" s="14" t="s">
        <v>47</v>
      </c>
      <c r="C1575" s="15">
        <v>4</v>
      </c>
      <c r="D1575" s="16"/>
      <c r="E1575" s="16"/>
      <c r="F1575" s="17"/>
      <c r="G1575" s="21"/>
      <c r="H1575" s="21"/>
      <c r="I1575" s="4">
        <v>0</v>
      </c>
      <c r="J1575" s="4">
        <v>0</v>
      </c>
      <c r="K1575" s="4"/>
      <c r="L1575" s="16"/>
      <c r="M1575" s="4"/>
      <c r="N1575" s="4"/>
      <c r="O1575" s="4"/>
      <c r="P1575" s="4"/>
      <c r="Q1575" s="4"/>
      <c r="R1575" s="4"/>
      <c r="S1575" s="4">
        <v>0</v>
      </c>
      <c r="T1575" s="4">
        <v>0</v>
      </c>
      <c r="U1575" s="4">
        <v>0</v>
      </c>
      <c r="V1575" s="4">
        <v>12</v>
      </c>
      <c r="W1575" s="4">
        <v>12</v>
      </c>
      <c r="X1575" s="4">
        <v>13</v>
      </c>
      <c r="Y1575" s="4"/>
      <c r="Z1575" s="4">
        <v>300.7</v>
      </c>
      <c r="AA1575" s="4">
        <v>350</v>
      </c>
      <c r="AB1575" s="18"/>
      <c r="AC1575" s="18">
        <v>30</v>
      </c>
      <c r="AD1575" s="28"/>
      <c r="AE1575" s="26"/>
      <c r="AF1575" s="28"/>
    </row>
    <row r="1576" spans="1:32" ht="13.5" customHeight="1" x14ac:dyDescent="0.25">
      <c r="A1576" s="14">
        <v>45861</v>
      </c>
      <c r="B1576" s="14" t="s">
        <v>46</v>
      </c>
      <c r="C1576" s="15">
        <v>5</v>
      </c>
      <c r="D1576" s="16"/>
      <c r="E1576" s="16"/>
      <c r="F1576" s="17"/>
      <c r="G1576" s="21"/>
      <c r="H1576" s="21"/>
      <c r="I1576" s="4">
        <v>0</v>
      </c>
      <c r="J1576" s="4">
        <v>0</v>
      </c>
      <c r="K1576" s="4"/>
      <c r="L1576" s="16"/>
      <c r="M1576" s="4"/>
      <c r="N1576" s="4"/>
      <c r="O1576" s="4"/>
      <c r="P1576" s="4"/>
      <c r="Q1576" s="4"/>
      <c r="R1576" s="4"/>
      <c r="S1576" s="4">
        <v>0</v>
      </c>
      <c r="T1576" s="4">
        <v>0</v>
      </c>
      <c r="U1576" s="4">
        <v>0</v>
      </c>
      <c r="V1576" s="4">
        <v>12</v>
      </c>
      <c r="W1576" s="4">
        <v>12</v>
      </c>
      <c r="X1576" s="4">
        <v>0</v>
      </c>
      <c r="Y1576" s="4"/>
      <c r="Z1576" s="4">
        <v>547.80000000000007</v>
      </c>
      <c r="AA1576" s="4">
        <v>450</v>
      </c>
      <c r="AB1576" s="18"/>
      <c r="AC1576" s="18">
        <v>30</v>
      </c>
      <c r="AD1576" s="28"/>
      <c r="AE1576" s="26"/>
      <c r="AF1576" s="28"/>
    </row>
    <row r="1577" spans="1:32" ht="13.5" customHeight="1" x14ac:dyDescent="0.25">
      <c r="A1577" s="14">
        <v>45861</v>
      </c>
      <c r="B1577" s="14" t="s">
        <v>47</v>
      </c>
      <c r="C1577" s="15">
        <v>5</v>
      </c>
      <c r="D1577" s="16"/>
      <c r="E1577" s="16"/>
      <c r="F1577" s="17"/>
      <c r="G1577" s="21"/>
      <c r="H1577" s="21"/>
      <c r="I1577" s="4">
        <v>0</v>
      </c>
      <c r="J1577" s="4">
        <v>0</v>
      </c>
      <c r="K1577" s="4"/>
      <c r="L1577" s="16"/>
      <c r="M1577" s="4"/>
      <c r="N1577" s="4"/>
      <c r="O1577" s="4"/>
      <c r="P1577" s="4"/>
      <c r="Q1577" s="4"/>
      <c r="R1577" s="4"/>
      <c r="S1577" s="4">
        <v>0</v>
      </c>
      <c r="T1577" s="4">
        <v>0</v>
      </c>
      <c r="U1577" s="4">
        <v>0</v>
      </c>
      <c r="V1577" s="4">
        <v>12</v>
      </c>
      <c r="W1577" s="4">
        <v>12</v>
      </c>
      <c r="X1577" s="4">
        <v>8</v>
      </c>
      <c r="Y1577" s="4"/>
      <c r="Z1577" s="4">
        <v>527.4</v>
      </c>
      <c r="AA1577" s="4">
        <v>500</v>
      </c>
      <c r="AB1577" s="18"/>
      <c r="AC1577" s="18">
        <v>30</v>
      </c>
      <c r="AD1577" s="28"/>
      <c r="AE1577" s="26"/>
      <c r="AF1577" s="28"/>
    </row>
    <row r="1578" spans="1:32" ht="13.5" customHeight="1" x14ac:dyDescent="0.25">
      <c r="A1578" s="14">
        <v>45861</v>
      </c>
      <c r="B1578" s="14" t="s">
        <v>46</v>
      </c>
      <c r="C1578" s="15">
        <v>6</v>
      </c>
      <c r="D1578" s="16">
        <v>15</v>
      </c>
      <c r="E1578" s="16"/>
      <c r="F1578" s="17"/>
      <c r="G1578" s="21"/>
      <c r="H1578" s="21"/>
      <c r="I1578" s="4">
        <v>15</v>
      </c>
      <c r="J1578" s="4">
        <v>0.25</v>
      </c>
      <c r="K1578" s="4"/>
      <c r="L1578" s="16"/>
      <c r="M1578" s="4"/>
      <c r="N1578" s="4"/>
      <c r="O1578" s="4"/>
      <c r="P1578" s="4"/>
      <c r="Q1578" s="4"/>
      <c r="R1578" s="4"/>
      <c r="S1578" s="4">
        <v>0</v>
      </c>
      <c r="T1578" s="4">
        <v>0</v>
      </c>
      <c r="U1578" s="4">
        <v>0.25</v>
      </c>
      <c r="V1578" s="4">
        <v>11.75</v>
      </c>
      <c r="W1578" s="4">
        <v>12</v>
      </c>
      <c r="X1578" s="4">
        <v>70</v>
      </c>
      <c r="Y1578" s="4"/>
      <c r="Z1578" s="4">
        <v>648.79999999999995</v>
      </c>
      <c r="AA1578" s="4">
        <v>600</v>
      </c>
      <c r="AB1578" s="18"/>
      <c r="AC1578" s="18">
        <v>30</v>
      </c>
      <c r="AD1578" s="28"/>
      <c r="AE1578" s="26"/>
      <c r="AF1578" s="28"/>
    </row>
    <row r="1579" spans="1:32" ht="13.5" customHeight="1" x14ac:dyDescent="0.25">
      <c r="A1579" s="14">
        <v>45861</v>
      </c>
      <c r="B1579" s="14" t="s">
        <v>47</v>
      </c>
      <c r="C1579" s="15">
        <v>6</v>
      </c>
      <c r="D1579" s="16"/>
      <c r="E1579" s="16"/>
      <c r="F1579" s="17"/>
      <c r="G1579" s="21"/>
      <c r="H1579" s="21"/>
      <c r="I1579" s="4">
        <v>0</v>
      </c>
      <c r="J1579" s="4">
        <v>0</v>
      </c>
      <c r="K1579" s="4"/>
      <c r="L1579" s="16"/>
      <c r="M1579" s="4"/>
      <c r="N1579" s="4"/>
      <c r="O1579" s="4"/>
      <c r="P1579" s="4"/>
      <c r="Q1579" s="4"/>
      <c r="R1579" s="4"/>
      <c r="S1579" s="4">
        <v>0</v>
      </c>
      <c r="T1579" s="4">
        <v>0</v>
      </c>
      <c r="U1579" s="4">
        <v>0</v>
      </c>
      <c r="V1579" s="4">
        <v>12</v>
      </c>
      <c r="W1579" s="4">
        <v>12</v>
      </c>
      <c r="X1579" s="4">
        <v>20</v>
      </c>
      <c r="Y1579" s="4"/>
      <c r="Z1579" s="4">
        <v>690.2</v>
      </c>
      <c r="AA1579" s="4">
        <v>650</v>
      </c>
      <c r="AB1579" s="18"/>
      <c r="AC1579" s="18">
        <v>30</v>
      </c>
      <c r="AD1579" s="28"/>
      <c r="AE1579" s="26"/>
      <c r="AF1579" s="28"/>
    </row>
    <row r="1580" spans="1:32" ht="13.5" customHeight="1" x14ac:dyDescent="0.25">
      <c r="A1580" s="14">
        <v>45862</v>
      </c>
      <c r="B1580" s="14" t="s">
        <v>46</v>
      </c>
      <c r="C1580" s="15">
        <v>1</v>
      </c>
      <c r="D1580" s="16"/>
      <c r="E1580" s="16"/>
      <c r="F1580" s="17"/>
      <c r="G1580" s="21"/>
      <c r="H1580" s="21"/>
      <c r="I1580" s="4">
        <v>0</v>
      </c>
      <c r="J1580" s="4">
        <v>0</v>
      </c>
      <c r="K1580" s="4"/>
      <c r="L1580" s="16"/>
      <c r="M1580" s="4"/>
      <c r="N1580" s="4"/>
      <c r="O1580" s="4"/>
      <c r="P1580" s="4"/>
      <c r="Q1580" s="4"/>
      <c r="R1580" s="4"/>
      <c r="S1580" s="4">
        <v>0</v>
      </c>
      <c r="T1580" s="4">
        <v>0</v>
      </c>
      <c r="U1580" s="4">
        <v>0</v>
      </c>
      <c r="V1580" s="4">
        <v>12</v>
      </c>
      <c r="W1580" s="4">
        <v>12</v>
      </c>
      <c r="X1580" s="4">
        <v>0</v>
      </c>
      <c r="Y1580" s="4">
        <v>1839</v>
      </c>
      <c r="Z1580" s="4">
        <v>155.5</v>
      </c>
      <c r="AA1580" s="4">
        <v>250</v>
      </c>
      <c r="AB1580" s="18">
        <v>372</v>
      </c>
      <c r="AC1580" s="18">
        <v>30</v>
      </c>
      <c r="AD1580" s="28"/>
      <c r="AE1580" s="26"/>
      <c r="AF1580" s="28"/>
    </row>
    <row r="1581" spans="1:32" ht="13.5" customHeight="1" x14ac:dyDescent="0.25">
      <c r="A1581" s="14">
        <v>45862</v>
      </c>
      <c r="B1581" s="14" t="s">
        <v>47</v>
      </c>
      <c r="C1581" s="15">
        <v>1</v>
      </c>
      <c r="D1581" s="16"/>
      <c r="E1581" s="16"/>
      <c r="F1581" s="17"/>
      <c r="G1581" s="21"/>
      <c r="H1581" s="21"/>
      <c r="I1581" s="4">
        <v>0</v>
      </c>
      <c r="J1581" s="4">
        <v>0</v>
      </c>
      <c r="K1581" s="4"/>
      <c r="L1581" s="16"/>
      <c r="M1581" s="4"/>
      <c r="N1581" s="4"/>
      <c r="O1581" s="4"/>
      <c r="P1581" s="4"/>
      <c r="Q1581" s="4"/>
      <c r="R1581" s="4"/>
      <c r="S1581" s="4">
        <v>0</v>
      </c>
      <c r="T1581" s="4">
        <v>0</v>
      </c>
      <c r="U1581" s="4">
        <v>0</v>
      </c>
      <c r="V1581" s="4">
        <v>12</v>
      </c>
      <c r="W1581" s="4">
        <v>12</v>
      </c>
      <c r="X1581" s="4">
        <v>0</v>
      </c>
      <c r="Y1581" s="4"/>
      <c r="Z1581" s="4">
        <v>163.5</v>
      </c>
      <c r="AA1581" s="4">
        <v>200</v>
      </c>
      <c r="AB1581" s="18"/>
      <c r="AC1581" s="18">
        <v>30</v>
      </c>
      <c r="AD1581" s="28"/>
      <c r="AE1581" s="26"/>
      <c r="AF1581" s="28"/>
    </row>
    <row r="1582" spans="1:32" ht="13.5" customHeight="1" x14ac:dyDescent="0.25">
      <c r="A1582" s="14">
        <v>45862</v>
      </c>
      <c r="B1582" s="14" t="s">
        <v>46</v>
      </c>
      <c r="C1582" s="15">
        <v>4</v>
      </c>
      <c r="D1582" s="16"/>
      <c r="E1582" s="16"/>
      <c r="F1582" s="17"/>
      <c r="G1582" s="21"/>
      <c r="H1582" s="21"/>
      <c r="I1582" s="4">
        <v>0</v>
      </c>
      <c r="J1582" s="4">
        <v>0</v>
      </c>
      <c r="K1582" s="4"/>
      <c r="L1582" s="16"/>
      <c r="M1582" s="4"/>
      <c r="N1582" s="4"/>
      <c r="O1582" s="4"/>
      <c r="P1582" s="4"/>
      <c r="Q1582" s="4"/>
      <c r="R1582" s="4"/>
      <c r="S1582" s="4">
        <v>0</v>
      </c>
      <c r="T1582" s="4">
        <v>0</v>
      </c>
      <c r="U1582" s="4">
        <v>0</v>
      </c>
      <c r="V1582" s="4">
        <v>12</v>
      </c>
      <c r="W1582" s="4">
        <v>12</v>
      </c>
      <c r="X1582" s="4">
        <v>7</v>
      </c>
      <c r="Y1582" s="4"/>
      <c r="Z1582" s="4">
        <v>330.84000000000003</v>
      </c>
      <c r="AA1582" s="4">
        <v>350</v>
      </c>
      <c r="AB1582" s="18"/>
      <c r="AC1582" s="18">
        <v>30</v>
      </c>
      <c r="AD1582" s="28"/>
      <c r="AE1582" s="26"/>
      <c r="AF1582" s="28"/>
    </row>
    <row r="1583" spans="1:32" ht="13.5" customHeight="1" x14ac:dyDescent="0.25">
      <c r="A1583" s="14">
        <v>45862</v>
      </c>
      <c r="B1583" s="14" t="s">
        <v>47</v>
      </c>
      <c r="C1583" s="15">
        <v>4</v>
      </c>
      <c r="D1583" s="16"/>
      <c r="E1583" s="16"/>
      <c r="F1583" s="17"/>
      <c r="G1583" s="21"/>
      <c r="H1583" s="21"/>
      <c r="I1583" s="4">
        <v>0</v>
      </c>
      <c r="J1583" s="4">
        <v>0</v>
      </c>
      <c r="K1583" s="4"/>
      <c r="L1583" s="16"/>
      <c r="M1583" s="4"/>
      <c r="N1583" s="4"/>
      <c r="O1583" s="4"/>
      <c r="P1583" s="4"/>
      <c r="Q1583" s="4"/>
      <c r="R1583" s="4"/>
      <c r="S1583" s="4">
        <v>0</v>
      </c>
      <c r="T1583" s="4">
        <v>0</v>
      </c>
      <c r="U1583" s="4">
        <v>0</v>
      </c>
      <c r="V1583" s="4">
        <v>12</v>
      </c>
      <c r="W1583" s="4">
        <v>12</v>
      </c>
      <c r="X1583" s="4">
        <v>0</v>
      </c>
      <c r="Y1583" s="4"/>
      <c r="Z1583" s="4">
        <v>293.81</v>
      </c>
      <c r="AA1583" s="4">
        <v>250</v>
      </c>
      <c r="AB1583" s="18"/>
      <c r="AC1583" s="18">
        <v>30</v>
      </c>
      <c r="AD1583" s="28"/>
      <c r="AE1583" s="26"/>
      <c r="AF1583" s="28"/>
    </row>
    <row r="1584" spans="1:32" ht="13.5" customHeight="1" x14ac:dyDescent="0.25">
      <c r="A1584" s="14">
        <v>45862</v>
      </c>
      <c r="B1584" s="14" t="s">
        <v>46</v>
      </c>
      <c r="C1584" s="15">
        <v>5</v>
      </c>
      <c r="D1584" s="16"/>
      <c r="E1584" s="16"/>
      <c r="F1584" s="17"/>
      <c r="G1584" s="21"/>
      <c r="H1584" s="21"/>
      <c r="I1584" s="4">
        <v>0</v>
      </c>
      <c r="J1584" s="4">
        <v>0</v>
      </c>
      <c r="K1584" s="4"/>
      <c r="L1584" s="16"/>
      <c r="M1584" s="4"/>
      <c r="N1584" s="4"/>
      <c r="O1584" s="4"/>
      <c r="P1584" s="4"/>
      <c r="Q1584" s="4"/>
      <c r="R1584" s="4"/>
      <c r="S1584" s="4">
        <v>0</v>
      </c>
      <c r="T1584" s="4">
        <v>0</v>
      </c>
      <c r="U1584" s="4">
        <v>0</v>
      </c>
      <c r="V1584" s="4">
        <v>12</v>
      </c>
      <c r="W1584" s="4">
        <v>12</v>
      </c>
      <c r="X1584" s="4">
        <v>8</v>
      </c>
      <c r="Y1584" s="4"/>
      <c r="Z1584" s="4">
        <v>482.3</v>
      </c>
      <c r="AA1584" s="4">
        <v>500</v>
      </c>
      <c r="AB1584" s="18"/>
      <c r="AC1584" s="18">
        <v>30</v>
      </c>
      <c r="AD1584" s="28"/>
      <c r="AE1584" s="26"/>
      <c r="AF1584" s="28"/>
    </row>
    <row r="1585" spans="1:32" ht="13.5" customHeight="1" x14ac:dyDescent="0.25">
      <c r="A1585" s="14">
        <v>45862</v>
      </c>
      <c r="B1585" s="14" t="s">
        <v>47</v>
      </c>
      <c r="C1585" s="15">
        <v>5</v>
      </c>
      <c r="D1585" s="16">
        <v>15</v>
      </c>
      <c r="E1585" s="16"/>
      <c r="F1585" s="17"/>
      <c r="G1585" s="21"/>
      <c r="H1585" s="21"/>
      <c r="I1585" s="4">
        <v>15</v>
      </c>
      <c r="J1585" s="4">
        <v>0.25</v>
      </c>
      <c r="K1585" s="4"/>
      <c r="L1585" s="16"/>
      <c r="M1585" s="4"/>
      <c r="N1585" s="4"/>
      <c r="O1585" s="4"/>
      <c r="P1585" s="4"/>
      <c r="Q1585" s="4"/>
      <c r="R1585" s="4"/>
      <c r="S1585" s="4">
        <v>0</v>
      </c>
      <c r="T1585" s="4">
        <v>0</v>
      </c>
      <c r="U1585" s="4">
        <v>0.25</v>
      </c>
      <c r="V1585" s="4">
        <v>11.75</v>
      </c>
      <c r="W1585" s="4">
        <v>12</v>
      </c>
      <c r="X1585" s="4">
        <v>11</v>
      </c>
      <c r="Y1585" s="4"/>
      <c r="Z1585" s="4">
        <v>443.40000000000003</v>
      </c>
      <c r="AA1585" s="4">
        <v>450</v>
      </c>
      <c r="AB1585" s="18"/>
      <c r="AC1585" s="18">
        <v>30</v>
      </c>
      <c r="AD1585" s="28"/>
      <c r="AE1585" s="26"/>
      <c r="AF1585" s="28"/>
    </row>
    <row r="1586" spans="1:32" ht="13.5" customHeight="1" x14ac:dyDescent="0.25">
      <c r="A1586" s="14">
        <v>45862</v>
      </c>
      <c r="B1586" s="14" t="s">
        <v>46</v>
      </c>
      <c r="C1586" s="15">
        <v>6</v>
      </c>
      <c r="D1586" s="16">
        <v>5</v>
      </c>
      <c r="E1586" s="16"/>
      <c r="F1586" s="17"/>
      <c r="G1586" s="21"/>
      <c r="H1586" s="21"/>
      <c r="I1586" s="4">
        <v>5</v>
      </c>
      <c r="J1586" s="4">
        <v>8.3333333333333329E-2</v>
      </c>
      <c r="K1586" s="4"/>
      <c r="L1586" s="16"/>
      <c r="M1586" s="4">
        <v>270</v>
      </c>
      <c r="N1586" s="4"/>
      <c r="O1586" s="4"/>
      <c r="P1586" s="4"/>
      <c r="Q1586" s="4"/>
      <c r="R1586" s="4"/>
      <c r="S1586" s="4">
        <v>270</v>
      </c>
      <c r="T1586" s="4">
        <v>4.5</v>
      </c>
      <c r="U1586" s="4">
        <v>4.583333333333333</v>
      </c>
      <c r="V1586" s="4">
        <v>7.416666666666667</v>
      </c>
      <c r="W1586" s="4">
        <v>12</v>
      </c>
      <c r="X1586" s="4">
        <v>19</v>
      </c>
      <c r="Y1586" s="4"/>
      <c r="Z1586" s="4">
        <v>559.79999999999995</v>
      </c>
      <c r="AA1586" s="4">
        <v>600</v>
      </c>
      <c r="AB1586" s="18"/>
      <c r="AC1586" s="18">
        <v>30</v>
      </c>
      <c r="AD1586" s="28"/>
      <c r="AE1586" s="26"/>
      <c r="AF1586" s="28"/>
    </row>
    <row r="1587" spans="1:32" ht="13.5" customHeight="1" x14ac:dyDescent="0.25">
      <c r="A1587" s="14">
        <v>45862</v>
      </c>
      <c r="B1587" s="14" t="s">
        <v>47</v>
      </c>
      <c r="C1587" s="15">
        <v>6</v>
      </c>
      <c r="D1587" s="16"/>
      <c r="E1587" s="16"/>
      <c r="F1587" s="17"/>
      <c r="G1587" s="21"/>
      <c r="H1587" s="21"/>
      <c r="I1587" s="4">
        <v>0</v>
      </c>
      <c r="J1587" s="4">
        <v>0</v>
      </c>
      <c r="K1587" s="4"/>
      <c r="L1587" s="16"/>
      <c r="M1587" s="4"/>
      <c r="N1587" s="4"/>
      <c r="O1587" s="4"/>
      <c r="P1587" s="4"/>
      <c r="Q1587" s="4"/>
      <c r="R1587" s="4"/>
      <c r="S1587" s="4">
        <v>0</v>
      </c>
      <c r="T1587" s="4">
        <v>0</v>
      </c>
      <c r="U1587" s="4">
        <v>0</v>
      </c>
      <c r="V1587" s="4">
        <v>12</v>
      </c>
      <c r="W1587" s="4">
        <v>12</v>
      </c>
      <c r="X1587" s="4">
        <v>17</v>
      </c>
      <c r="Y1587" s="4"/>
      <c r="Z1587" s="4">
        <v>492.60000000000008</v>
      </c>
      <c r="AA1587" s="4">
        <v>500</v>
      </c>
      <c r="AB1587" s="18"/>
      <c r="AC1587" s="18">
        <v>30</v>
      </c>
      <c r="AD1587" s="28"/>
      <c r="AE1587" s="26"/>
      <c r="AF1587" s="28"/>
    </row>
    <row r="1588" spans="1:32" ht="13.5" customHeight="1" x14ac:dyDescent="0.25">
      <c r="A1588" s="14">
        <v>45863</v>
      </c>
      <c r="B1588" s="14" t="s">
        <v>46</v>
      </c>
      <c r="C1588" s="15">
        <v>1</v>
      </c>
      <c r="D1588" s="16"/>
      <c r="E1588" s="16"/>
      <c r="F1588" s="17"/>
      <c r="G1588" s="21"/>
      <c r="H1588" s="21"/>
      <c r="I1588" s="4">
        <v>0</v>
      </c>
      <c r="J1588" s="4">
        <v>0</v>
      </c>
      <c r="K1588" s="4"/>
      <c r="L1588" s="16"/>
      <c r="M1588" s="4"/>
      <c r="N1588" s="4"/>
      <c r="O1588" s="4"/>
      <c r="P1588" s="4"/>
      <c r="Q1588" s="4"/>
      <c r="R1588" s="4"/>
      <c r="S1588" s="4">
        <v>0</v>
      </c>
      <c r="T1588" s="4">
        <v>0</v>
      </c>
      <c r="U1588" s="4">
        <v>0</v>
      </c>
      <c r="V1588" s="4">
        <v>12</v>
      </c>
      <c r="W1588" s="4">
        <v>12</v>
      </c>
      <c r="X1588" s="4">
        <v>2</v>
      </c>
      <c r="Y1588" s="4">
        <v>1745</v>
      </c>
      <c r="Z1588" s="4">
        <v>181.8</v>
      </c>
      <c r="AA1588" s="4">
        <v>200</v>
      </c>
      <c r="AB1588" s="18">
        <v>372</v>
      </c>
      <c r="AC1588" s="18">
        <v>30</v>
      </c>
      <c r="AD1588" s="28"/>
      <c r="AE1588" s="26"/>
      <c r="AF1588" s="28"/>
    </row>
    <row r="1589" spans="1:32" ht="13.5" customHeight="1" x14ac:dyDescent="0.25">
      <c r="A1589" s="14">
        <v>45863</v>
      </c>
      <c r="B1589" s="14" t="s">
        <v>47</v>
      </c>
      <c r="C1589" s="15">
        <v>1</v>
      </c>
      <c r="D1589" s="16"/>
      <c r="E1589" s="16"/>
      <c r="F1589" s="17"/>
      <c r="G1589" s="21"/>
      <c r="H1589" s="21"/>
      <c r="I1589" s="4">
        <v>0</v>
      </c>
      <c r="J1589" s="4">
        <v>0</v>
      </c>
      <c r="K1589" s="4"/>
      <c r="L1589" s="16"/>
      <c r="M1589" s="4"/>
      <c r="N1589" s="4"/>
      <c r="O1589" s="4"/>
      <c r="P1589" s="4"/>
      <c r="Q1589" s="4"/>
      <c r="R1589" s="4"/>
      <c r="S1589" s="4">
        <v>0</v>
      </c>
      <c r="T1589" s="4">
        <v>0</v>
      </c>
      <c r="U1589" s="4">
        <v>0</v>
      </c>
      <c r="V1589" s="4">
        <v>12</v>
      </c>
      <c r="W1589" s="4">
        <v>12</v>
      </c>
      <c r="X1589" s="4">
        <v>0</v>
      </c>
      <c r="Y1589" s="4"/>
      <c r="Z1589" s="4">
        <v>158.30000000000001</v>
      </c>
      <c r="AA1589" s="4">
        <v>150</v>
      </c>
      <c r="AB1589" s="18"/>
      <c r="AC1589" s="18">
        <v>30</v>
      </c>
      <c r="AD1589" s="28"/>
      <c r="AE1589" s="26"/>
      <c r="AF1589" s="28"/>
    </row>
    <row r="1590" spans="1:32" ht="13.5" customHeight="1" x14ac:dyDescent="0.25">
      <c r="A1590" s="14">
        <v>45863</v>
      </c>
      <c r="B1590" s="14" t="s">
        <v>46</v>
      </c>
      <c r="C1590" s="15">
        <v>4</v>
      </c>
      <c r="D1590" s="16"/>
      <c r="E1590" s="16"/>
      <c r="F1590" s="17"/>
      <c r="G1590" s="21"/>
      <c r="H1590" s="21"/>
      <c r="I1590" s="4">
        <v>0</v>
      </c>
      <c r="J1590" s="4">
        <v>0</v>
      </c>
      <c r="K1590" s="4"/>
      <c r="L1590" s="16"/>
      <c r="M1590" s="4"/>
      <c r="N1590" s="4"/>
      <c r="O1590" s="4"/>
      <c r="P1590" s="4"/>
      <c r="Q1590" s="4"/>
      <c r="R1590" s="4"/>
      <c r="S1590" s="4">
        <v>0</v>
      </c>
      <c r="T1590" s="4">
        <v>0</v>
      </c>
      <c r="U1590" s="4">
        <v>0</v>
      </c>
      <c r="V1590" s="4">
        <v>12</v>
      </c>
      <c r="W1590" s="4">
        <v>12</v>
      </c>
      <c r="X1590" s="4">
        <v>7</v>
      </c>
      <c r="Y1590" s="4"/>
      <c r="Z1590" s="4">
        <v>334.9</v>
      </c>
      <c r="AA1590" s="4">
        <v>400</v>
      </c>
      <c r="AB1590" s="18"/>
      <c r="AC1590" s="18">
        <v>30</v>
      </c>
      <c r="AD1590" s="28"/>
      <c r="AE1590" s="26"/>
      <c r="AF1590" s="28"/>
    </row>
    <row r="1591" spans="1:32" ht="13.5" customHeight="1" x14ac:dyDescent="0.25">
      <c r="A1591" s="14">
        <v>45863</v>
      </c>
      <c r="B1591" s="14" t="s">
        <v>47</v>
      </c>
      <c r="C1591" s="15">
        <v>4</v>
      </c>
      <c r="D1591" s="16"/>
      <c r="E1591" s="16"/>
      <c r="F1591" s="17"/>
      <c r="G1591" s="21"/>
      <c r="H1591" s="21"/>
      <c r="I1591" s="4">
        <v>0</v>
      </c>
      <c r="J1591" s="4">
        <v>0</v>
      </c>
      <c r="K1591" s="4"/>
      <c r="L1591" s="16"/>
      <c r="M1591" s="4"/>
      <c r="N1591" s="4"/>
      <c r="O1591" s="4"/>
      <c r="P1591" s="4"/>
      <c r="Q1591" s="4"/>
      <c r="R1591" s="4"/>
      <c r="S1591" s="4">
        <v>0</v>
      </c>
      <c r="T1591" s="4">
        <v>0</v>
      </c>
      <c r="U1591" s="4">
        <v>0</v>
      </c>
      <c r="V1591" s="4">
        <v>12</v>
      </c>
      <c r="W1591" s="4">
        <v>12</v>
      </c>
      <c r="X1591" s="4">
        <v>0</v>
      </c>
      <c r="Y1591" s="4"/>
      <c r="Z1591" s="4">
        <v>268.69999999999993</v>
      </c>
      <c r="AA1591" s="4">
        <v>300</v>
      </c>
      <c r="AB1591" s="18"/>
      <c r="AC1591" s="18">
        <v>30</v>
      </c>
      <c r="AD1591" s="28"/>
      <c r="AE1591" s="26"/>
      <c r="AF1591" s="28"/>
    </row>
    <row r="1592" spans="1:32" ht="13.5" customHeight="1" x14ac:dyDescent="0.25">
      <c r="A1592" s="14">
        <v>45863</v>
      </c>
      <c r="B1592" s="14" t="s">
        <v>46</v>
      </c>
      <c r="C1592" s="15">
        <v>5</v>
      </c>
      <c r="D1592" s="16">
        <v>3</v>
      </c>
      <c r="E1592" s="16"/>
      <c r="F1592" s="17"/>
      <c r="G1592" s="21"/>
      <c r="H1592" s="21"/>
      <c r="I1592" s="4">
        <v>3</v>
      </c>
      <c r="J1592" s="4">
        <v>0.05</v>
      </c>
      <c r="K1592" s="4"/>
      <c r="L1592" s="16"/>
      <c r="M1592" s="4"/>
      <c r="N1592" s="4"/>
      <c r="O1592" s="4"/>
      <c r="P1592" s="4"/>
      <c r="Q1592" s="4"/>
      <c r="R1592" s="4"/>
      <c r="S1592" s="4">
        <v>0</v>
      </c>
      <c r="T1592" s="4">
        <v>0</v>
      </c>
      <c r="U1592" s="4">
        <v>0.05</v>
      </c>
      <c r="V1592" s="4">
        <v>11.95</v>
      </c>
      <c r="W1592" s="4">
        <v>12</v>
      </c>
      <c r="X1592" s="4">
        <v>0</v>
      </c>
      <c r="Y1592" s="4"/>
      <c r="Z1592" s="4">
        <v>431.40000000000003</v>
      </c>
      <c r="AA1592" s="4">
        <v>450</v>
      </c>
      <c r="AB1592" s="18"/>
      <c r="AC1592" s="18">
        <v>30</v>
      </c>
      <c r="AD1592" s="28"/>
      <c r="AE1592" s="26"/>
      <c r="AF1592" s="28"/>
    </row>
    <row r="1593" spans="1:32" ht="13.5" customHeight="1" x14ac:dyDescent="0.25">
      <c r="A1593" s="14">
        <v>45863</v>
      </c>
      <c r="B1593" s="14" t="s">
        <v>47</v>
      </c>
      <c r="C1593" s="15">
        <v>5</v>
      </c>
      <c r="D1593" s="16"/>
      <c r="E1593" s="16"/>
      <c r="F1593" s="17"/>
      <c r="G1593" s="21"/>
      <c r="H1593" s="21"/>
      <c r="I1593" s="4">
        <v>0</v>
      </c>
      <c r="J1593" s="4">
        <v>0</v>
      </c>
      <c r="K1593" s="4"/>
      <c r="L1593" s="16"/>
      <c r="M1593" s="4"/>
      <c r="N1593" s="4"/>
      <c r="O1593" s="4"/>
      <c r="P1593" s="4"/>
      <c r="Q1593" s="4"/>
      <c r="R1593" s="4"/>
      <c r="S1593" s="4">
        <v>0</v>
      </c>
      <c r="T1593" s="4">
        <v>0</v>
      </c>
      <c r="U1593" s="4">
        <v>0</v>
      </c>
      <c r="V1593" s="4">
        <v>12</v>
      </c>
      <c r="W1593" s="4">
        <v>12</v>
      </c>
      <c r="X1593" s="4">
        <v>20</v>
      </c>
      <c r="Y1593" s="4"/>
      <c r="Z1593" s="4">
        <v>462.70000000000005</v>
      </c>
      <c r="AA1593" s="4">
        <v>500</v>
      </c>
      <c r="AB1593" s="18"/>
      <c r="AC1593" s="18">
        <v>30</v>
      </c>
      <c r="AD1593" s="28"/>
      <c r="AE1593" s="26"/>
      <c r="AF1593" s="28"/>
    </row>
    <row r="1594" spans="1:32" ht="13.5" customHeight="1" x14ac:dyDescent="0.25">
      <c r="A1594" s="14">
        <v>45863</v>
      </c>
      <c r="B1594" s="14" t="s">
        <v>46</v>
      </c>
      <c r="C1594" s="15">
        <v>6</v>
      </c>
      <c r="D1594" s="16"/>
      <c r="E1594" s="16"/>
      <c r="F1594" s="17"/>
      <c r="G1594" s="21"/>
      <c r="H1594" s="21"/>
      <c r="I1594" s="4">
        <v>0</v>
      </c>
      <c r="J1594" s="4">
        <v>0</v>
      </c>
      <c r="K1594" s="4"/>
      <c r="L1594" s="16"/>
      <c r="M1594" s="4">
        <v>330</v>
      </c>
      <c r="N1594" s="4"/>
      <c r="O1594" s="4"/>
      <c r="P1594" s="4"/>
      <c r="Q1594" s="4"/>
      <c r="R1594" s="4"/>
      <c r="S1594" s="4">
        <v>330</v>
      </c>
      <c r="T1594" s="4">
        <v>5.5</v>
      </c>
      <c r="U1594" s="4">
        <v>5.5</v>
      </c>
      <c r="V1594" s="4">
        <v>6.5</v>
      </c>
      <c r="W1594" s="4">
        <v>12</v>
      </c>
      <c r="X1594" s="4">
        <v>50</v>
      </c>
      <c r="Y1594" s="4"/>
      <c r="Z1594" s="4">
        <v>429</v>
      </c>
      <c r="AA1594" s="4">
        <v>450</v>
      </c>
      <c r="AB1594" s="18"/>
      <c r="AC1594" s="18">
        <v>30</v>
      </c>
      <c r="AD1594" s="28"/>
      <c r="AE1594" s="26"/>
      <c r="AF1594" s="28"/>
    </row>
    <row r="1595" spans="1:32" ht="13.5" customHeight="1" x14ac:dyDescent="0.25">
      <c r="A1595" s="14">
        <v>45863</v>
      </c>
      <c r="B1595" s="14" t="s">
        <v>47</v>
      </c>
      <c r="C1595" s="15">
        <v>6</v>
      </c>
      <c r="D1595" s="16"/>
      <c r="E1595" s="16"/>
      <c r="F1595" s="17"/>
      <c r="G1595" s="21"/>
      <c r="H1595" s="21"/>
      <c r="I1595" s="4">
        <v>0</v>
      </c>
      <c r="J1595" s="4">
        <v>0</v>
      </c>
      <c r="K1595" s="4"/>
      <c r="L1595" s="16"/>
      <c r="M1595" s="4">
        <v>210</v>
      </c>
      <c r="N1595" s="4"/>
      <c r="O1595" s="4"/>
      <c r="P1595" s="4"/>
      <c r="Q1595" s="4"/>
      <c r="R1595" s="4"/>
      <c r="S1595" s="4">
        <v>210</v>
      </c>
      <c r="T1595" s="4">
        <v>3.5</v>
      </c>
      <c r="U1595" s="4">
        <v>3.5</v>
      </c>
      <c r="V1595" s="4">
        <v>8.5</v>
      </c>
      <c r="W1595" s="4">
        <v>12</v>
      </c>
      <c r="X1595" s="4">
        <v>0</v>
      </c>
      <c r="Y1595" s="4"/>
      <c r="Z1595" s="4">
        <v>564.79999999999995</v>
      </c>
      <c r="AA1595" s="4">
        <v>550</v>
      </c>
      <c r="AB1595" s="18"/>
      <c r="AC1595" s="18">
        <v>30</v>
      </c>
      <c r="AD1595" s="28"/>
      <c r="AE1595" s="26"/>
      <c r="AF1595" s="28"/>
    </row>
    <row r="1596" spans="1:32" ht="13.5" customHeight="1" x14ac:dyDescent="0.25">
      <c r="A1596" s="14">
        <v>45864</v>
      </c>
      <c r="B1596" s="14" t="s">
        <v>46</v>
      </c>
      <c r="C1596" s="15">
        <v>1</v>
      </c>
      <c r="D1596" s="16"/>
      <c r="E1596" s="16"/>
      <c r="F1596" s="17"/>
      <c r="G1596" s="21"/>
      <c r="H1596" s="21"/>
      <c r="I1596" s="4">
        <v>0</v>
      </c>
      <c r="J1596" s="4">
        <v>0</v>
      </c>
      <c r="K1596" s="4"/>
      <c r="L1596" s="16"/>
      <c r="M1596" s="4"/>
      <c r="N1596" s="4"/>
      <c r="O1596" s="4"/>
      <c r="P1596" s="4"/>
      <c r="Q1596" s="4"/>
      <c r="R1596" s="4"/>
      <c r="S1596" s="4">
        <v>0</v>
      </c>
      <c r="T1596" s="4">
        <v>0</v>
      </c>
      <c r="U1596" s="4">
        <v>0</v>
      </c>
      <c r="V1596" s="4">
        <v>12</v>
      </c>
      <c r="W1596" s="4">
        <v>12</v>
      </c>
      <c r="X1596" s="4">
        <v>14</v>
      </c>
      <c r="Y1596" s="4">
        <v>1465</v>
      </c>
      <c r="Z1596" s="4">
        <v>76.8</v>
      </c>
      <c r="AA1596" s="4">
        <v>100</v>
      </c>
      <c r="AB1596" s="18">
        <v>372</v>
      </c>
      <c r="AC1596" s="18">
        <v>30</v>
      </c>
      <c r="AD1596" s="28"/>
      <c r="AE1596" s="26"/>
      <c r="AF1596" s="28"/>
    </row>
    <row r="1597" spans="1:32" ht="13.5" customHeight="1" x14ac:dyDescent="0.25">
      <c r="A1597" s="14">
        <v>45864</v>
      </c>
      <c r="B1597" s="14" t="s">
        <v>47</v>
      </c>
      <c r="C1597" s="15">
        <v>1</v>
      </c>
      <c r="D1597" s="16"/>
      <c r="E1597" s="16"/>
      <c r="F1597" s="17"/>
      <c r="G1597" s="21"/>
      <c r="H1597" s="21">
        <v>150</v>
      </c>
      <c r="I1597" s="4">
        <v>150</v>
      </c>
      <c r="J1597" s="4">
        <v>2.5</v>
      </c>
      <c r="K1597" s="4"/>
      <c r="L1597" s="16"/>
      <c r="M1597" s="4"/>
      <c r="N1597" s="4"/>
      <c r="O1597" s="4"/>
      <c r="P1597" s="4"/>
      <c r="Q1597" s="4"/>
      <c r="R1597" s="4"/>
      <c r="S1597" s="4">
        <v>0</v>
      </c>
      <c r="T1597" s="4">
        <v>0</v>
      </c>
      <c r="U1597" s="4">
        <v>2.5</v>
      </c>
      <c r="V1597" s="4">
        <v>9.5</v>
      </c>
      <c r="W1597" s="4">
        <v>12</v>
      </c>
      <c r="X1597" s="4">
        <v>0</v>
      </c>
      <c r="Y1597" s="4"/>
      <c r="Z1597" s="4">
        <v>117</v>
      </c>
      <c r="AA1597" s="4">
        <v>150</v>
      </c>
      <c r="AB1597" s="18"/>
      <c r="AC1597" s="18">
        <v>30</v>
      </c>
      <c r="AD1597" s="28"/>
      <c r="AE1597" s="26"/>
      <c r="AF1597" s="28"/>
    </row>
    <row r="1598" spans="1:32" ht="13.5" customHeight="1" x14ac:dyDescent="0.25">
      <c r="A1598" s="14">
        <v>45864</v>
      </c>
      <c r="B1598" s="14" t="s">
        <v>46</v>
      </c>
      <c r="C1598" s="15">
        <v>4</v>
      </c>
      <c r="D1598" s="16"/>
      <c r="E1598" s="16">
        <v>20</v>
      </c>
      <c r="F1598" s="17"/>
      <c r="G1598" s="21"/>
      <c r="H1598" s="21"/>
      <c r="I1598" s="4">
        <v>20</v>
      </c>
      <c r="J1598" s="4">
        <v>0.33333333333333331</v>
      </c>
      <c r="K1598" s="4"/>
      <c r="L1598" s="16"/>
      <c r="M1598" s="4"/>
      <c r="N1598" s="4"/>
      <c r="O1598" s="4">
        <v>20</v>
      </c>
      <c r="P1598" s="4"/>
      <c r="Q1598" s="4"/>
      <c r="R1598" s="4"/>
      <c r="S1598" s="4">
        <v>20</v>
      </c>
      <c r="T1598" s="4">
        <v>0.33333333333333331</v>
      </c>
      <c r="U1598" s="4">
        <v>0.66666666666666663</v>
      </c>
      <c r="V1598" s="4">
        <v>11.333333333333334</v>
      </c>
      <c r="W1598" s="4">
        <v>12</v>
      </c>
      <c r="X1598" s="4">
        <v>7</v>
      </c>
      <c r="Y1598" s="4"/>
      <c r="Z1598" s="4">
        <v>256.39999999999998</v>
      </c>
      <c r="AA1598" s="4">
        <v>250</v>
      </c>
      <c r="AB1598" s="18"/>
      <c r="AC1598" s="18">
        <v>30</v>
      </c>
      <c r="AD1598" s="28"/>
      <c r="AE1598" s="26"/>
      <c r="AF1598" s="28"/>
    </row>
    <row r="1599" spans="1:32" ht="13.5" customHeight="1" x14ac:dyDescent="0.25">
      <c r="A1599" s="14">
        <v>45864</v>
      </c>
      <c r="B1599" s="14" t="s">
        <v>47</v>
      </c>
      <c r="C1599" s="15">
        <v>4</v>
      </c>
      <c r="D1599" s="16"/>
      <c r="E1599" s="16"/>
      <c r="F1599" s="17"/>
      <c r="G1599" s="21"/>
      <c r="H1599" s="21">
        <v>150</v>
      </c>
      <c r="I1599" s="4">
        <v>150</v>
      </c>
      <c r="J1599" s="4">
        <v>2.5</v>
      </c>
      <c r="K1599" s="4"/>
      <c r="L1599" s="16"/>
      <c r="M1599" s="4"/>
      <c r="N1599" s="4"/>
      <c r="O1599" s="4"/>
      <c r="P1599" s="4"/>
      <c r="Q1599" s="4"/>
      <c r="R1599" s="4"/>
      <c r="S1599" s="4">
        <v>0</v>
      </c>
      <c r="T1599" s="4">
        <v>0</v>
      </c>
      <c r="U1599" s="4">
        <v>2.5</v>
      </c>
      <c r="V1599" s="4">
        <v>9.5</v>
      </c>
      <c r="W1599" s="4">
        <v>12</v>
      </c>
      <c r="X1599" s="4">
        <v>0</v>
      </c>
      <c r="Y1599" s="4"/>
      <c r="Z1599" s="4">
        <v>195.20000000000002</v>
      </c>
      <c r="AA1599" s="4">
        <v>200</v>
      </c>
      <c r="AB1599" s="18"/>
      <c r="AC1599" s="18">
        <v>30</v>
      </c>
      <c r="AD1599" s="28"/>
      <c r="AE1599" s="26"/>
      <c r="AF1599" s="28"/>
    </row>
    <row r="1600" spans="1:32" ht="13.5" customHeight="1" x14ac:dyDescent="0.25">
      <c r="A1600" s="14">
        <v>45864</v>
      </c>
      <c r="B1600" s="14" t="s">
        <v>46</v>
      </c>
      <c r="C1600" s="15">
        <v>5</v>
      </c>
      <c r="D1600" s="16"/>
      <c r="E1600" s="16"/>
      <c r="F1600" s="17"/>
      <c r="G1600" s="21"/>
      <c r="H1600" s="21"/>
      <c r="I1600" s="4">
        <v>0</v>
      </c>
      <c r="J1600" s="4">
        <v>0</v>
      </c>
      <c r="K1600" s="4"/>
      <c r="L1600" s="16"/>
      <c r="M1600" s="4">
        <v>210</v>
      </c>
      <c r="N1600" s="4"/>
      <c r="O1600" s="4"/>
      <c r="P1600" s="4"/>
      <c r="Q1600" s="4"/>
      <c r="R1600" s="4"/>
      <c r="S1600" s="4">
        <v>210</v>
      </c>
      <c r="T1600" s="4">
        <v>3.5</v>
      </c>
      <c r="U1600" s="4">
        <v>3.5</v>
      </c>
      <c r="V1600" s="4">
        <v>8.5</v>
      </c>
      <c r="W1600" s="4">
        <v>12</v>
      </c>
      <c r="X1600" s="4">
        <v>4</v>
      </c>
      <c r="Y1600" s="4"/>
      <c r="Z1600" s="4">
        <v>253.20000000000002</v>
      </c>
      <c r="AA1600" s="4">
        <v>250</v>
      </c>
      <c r="AB1600" s="18"/>
      <c r="AC1600" s="18">
        <v>30</v>
      </c>
      <c r="AD1600" s="28"/>
      <c r="AE1600" s="26"/>
      <c r="AF1600" s="28"/>
    </row>
    <row r="1601" spans="1:32" ht="13.5" customHeight="1" x14ac:dyDescent="0.25">
      <c r="A1601" s="14">
        <v>45864</v>
      </c>
      <c r="B1601" s="14" t="s">
        <v>47</v>
      </c>
      <c r="C1601" s="15">
        <v>5</v>
      </c>
      <c r="D1601" s="16"/>
      <c r="E1601" s="16"/>
      <c r="F1601" s="17"/>
      <c r="G1601" s="21"/>
      <c r="H1601" s="21">
        <v>150</v>
      </c>
      <c r="I1601" s="4">
        <v>150</v>
      </c>
      <c r="J1601" s="4">
        <v>2.5</v>
      </c>
      <c r="K1601" s="4"/>
      <c r="L1601" s="16"/>
      <c r="M1601" s="4"/>
      <c r="N1601" s="4"/>
      <c r="O1601" s="4"/>
      <c r="P1601" s="4"/>
      <c r="Q1601" s="4"/>
      <c r="R1601" s="4"/>
      <c r="S1601" s="4">
        <v>0</v>
      </c>
      <c r="T1601" s="4">
        <v>0</v>
      </c>
      <c r="U1601" s="4">
        <v>2.5</v>
      </c>
      <c r="V1601" s="4">
        <v>9.5</v>
      </c>
      <c r="W1601" s="4">
        <v>12</v>
      </c>
      <c r="X1601" s="4">
        <v>8</v>
      </c>
      <c r="Y1601" s="4"/>
      <c r="Z1601" s="4">
        <v>451.6</v>
      </c>
      <c r="AA1601" s="4">
        <v>450</v>
      </c>
      <c r="AB1601" s="18"/>
      <c r="AC1601" s="18">
        <v>30</v>
      </c>
      <c r="AD1601" s="28"/>
      <c r="AE1601" s="26"/>
      <c r="AF1601" s="28"/>
    </row>
    <row r="1602" spans="1:32" ht="13.5" customHeight="1" x14ac:dyDescent="0.25">
      <c r="A1602" s="14">
        <v>45864</v>
      </c>
      <c r="B1602" s="14" t="s">
        <v>46</v>
      </c>
      <c r="C1602" s="15">
        <v>6</v>
      </c>
      <c r="D1602" s="16"/>
      <c r="E1602" s="16"/>
      <c r="F1602" s="17"/>
      <c r="G1602" s="21"/>
      <c r="H1602" s="21"/>
      <c r="I1602" s="4">
        <v>0</v>
      </c>
      <c r="J1602" s="4">
        <v>0</v>
      </c>
      <c r="K1602" s="4"/>
      <c r="L1602" s="16"/>
      <c r="M1602" s="4"/>
      <c r="N1602" s="4"/>
      <c r="O1602" s="4"/>
      <c r="P1602" s="4"/>
      <c r="Q1602" s="4"/>
      <c r="R1602" s="4"/>
      <c r="S1602" s="4">
        <v>0</v>
      </c>
      <c r="T1602" s="4">
        <v>0</v>
      </c>
      <c r="U1602" s="4">
        <v>0</v>
      </c>
      <c r="V1602" s="4">
        <v>12</v>
      </c>
      <c r="W1602" s="4">
        <v>12</v>
      </c>
      <c r="X1602" s="4">
        <v>0</v>
      </c>
      <c r="Y1602" s="4"/>
      <c r="Z1602" s="4">
        <v>957.2</v>
      </c>
      <c r="AA1602" s="4">
        <v>1000</v>
      </c>
      <c r="AB1602" s="18"/>
      <c r="AC1602" s="18">
        <v>30</v>
      </c>
      <c r="AD1602" s="28"/>
      <c r="AE1602" s="26"/>
      <c r="AF1602" s="28"/>
    </row>
    <row r="1603" spans="1:32" ht="13.5" customHeight="1" x14ac:dyDescent="0.25">
      <c r="A1603" s="14">
        <v>45864</v>
      </c>
      <c r="B1603" s="14" t="s">
        <v>47</v>
      </c>
      <c r="C1603" s="15">
        <v>6</v>
      </c>
      <c r="D1603" s="16">
        <v>13</v>
      </c>
      <c r="E1603" s="16"/>
      <c r="F1603" s="17"/>
      <c r="G1603" s="21"/>
      <c r="H1603" s="21">
        <v>150</v>
      </c>
      <c r="I1603" s="4">
        <v>163</v>
      </c>
      <c r="J1603" s="4">
        <v>2.7166666666666668</v>
      </c>
      <c r="K1603" s="4"/>
      <c r="L1603" s="16"/>
      <c r="M1603" s="4"/>
      <c r="N1603" s="4"/>
      <c r="O1603" s="4"/>
      <c r="P1603" s="4"/>
      <c r="Q1603" s="4"/>
      <c r="R1603" s="4"/>
      <c r="S1603" s="4">
        <v>0</v>
      </c>
      <c r="T1603" s="4">
        <v>0</v>
      </c>
      <c r="U1603" s="4">
        <v>2.7166666666666668</v>
      </c>
      <c r="V1603" s="4">
        <v>9.2833333333333332</v>
      </c>
      <c r="W1603" s="4">
        <v>12</v>
      </c>
      <c r="X1603" s="4">
        <v>0</v>
      </c>
      <c r="Y1603" s="4"/>
      <c r="Z1603" s="4">
        <v>469.59999999999997</v>
      </c>
      <c r="AA1603" s="4">
        <v>500</v>
      </c>
      <c r="AB1603" s="18"/>
      <c r="AC1603" s="18">
        <v>30</v>
      </c>
      <c r="AD1603" s="28"/>
      <c r="AE1603" s="26"/>
      <c r="AF1603" s="28"/>
    </row>
    <row r="1604" spans="1:32" ht="13.5" customHeight="1" x14ac:dyDescent="0.25">
      <c r="A1604" s="14">
        <v>45866</v>
      </c>
      <c r="B1604" s="14" t="s">
        <v>46</v>
      </c>
      <c r="C1604" s="15">
        <v>1</v>
      </c>
      <c r="D1604" s="16"/>
      <c r="E1604" s="16"/>
      <c r="F1604" s="17"/>
      <c r="G1604" s="16">
        <v>180</v>
      </c>
      <c r="H1604" s="21"/>
      <c r="I1604" s="4">
        <v>180</v>
      </c>
      <c r="J1604" s="4">
        <v>3</v>
      </c>
      <c r="K1604" s="4"/>
      <c r="L1604" s="16"/>
      <c r="M1604" s="4"/>
      <c r="N1604" s="4"/>
      <c r="O1604" s="4"/>
      <c r="P1604" s="4"/>
      <c r="Q1604" s="4"/>
      <c r="R1604" s="4"/>
      <c r="S1604" s="4">
        <v>0</v>
      </c>
      <c r="T1604" s="4">
        <v>0</v>
      </c>
      <c r="U1604" s="4">
        <v>3</v>
      </c>
      <c r="V1604" s="4">
        <v>9</v>
      </c>
      <c r="W1604" s="4">
        <v>12</v>
      </c>
      <c r="X1604" s="4">
        <v>10</v>
      </c>
      <c r="Y1604" s="4">
        <v>2176</v>
      </c>
      <c r="Z1604" s="4">
        <v>49.2</v>
      </c>
      <c r="AA1604" s="4">
        <v>100</v>
      </c>
      <c r="AB1604" s="18">
        <v>372</v>
      </c>
      <c r="AC1604" s="18">
        <v>31</v>
      </c>
      <c r="AD1604" s="28"/>
      <c r="AE1604" s="26"/>
      <c r="AF1604" s="28"/>
    </row>
    <row r="1605" spans="1:32" ht="13.5" customHeight="1" x14ac:dyDescent="0.25">
      <c r="A1605" s="14">
        <v>45866</v>
      </c>
      <c r="B1605" s="14" t="s">
        <v>47</v>
      </c>
      <c r="C1605" s="15">
        <v>1</v>
      </c>
      <c r="D1605" s="16"/>
      <c r="E1605" s="16"/>
      <c r="F1605" s="17"/>
      <c r="G1605" s="16"/>
      <c r="H1605" s="21"/>
      <c r="I1605" s="4">
        <v>0</v>
      </c>
      <c r="J1605" s="4">
        <v>0</v>
      </c>
      <c r="K1605" s="4"/>
      <c r="L1605" s="16"/>
      <c r="M1605" s="4"/>
      <c r="N1605" s="4"/>
      <c r="O1605" s="4"/>
      <c r="P1605" s="4"/>
      <c r="Q1605" s="4"/>
      <c r="R1605" s="4"/>
      <c r="S1605" s="4">
        <v>0</v>
      </c>
      <c r="T1605" s="4">
        <v>0</v>
      </c>
      <c r="U1605" s="4">
        <v>0</v>
      </c>
      <c r="V1605" s="4">
        <v>12</v>
      </c>
      <c r="W1605" s="4">
        <v>12</v>
      </c>
      <c r="X1605" s="4">
        <v>4</v>
      </c>
      <c r="Y1605" s="4"/>
      <c r="Z1605" s="4">
        <v>165.5</v>
      </c>
      <c r="AA1605" s="4">
        <v>250</v>
      </c>
      <c r="AB1605" s="18"/>
      <c r="AC1605" s="18">
        <v>31</v>
      </c>
      <c r="AD1605" s="28"/>
      <c r="AE1605" s="26"/>
      <c r="AF1605" s="28"/>
    </row>
    <row r="1606" spans="1:32" ht="13.5" customHeight="1" x14ac:dyDescent="0.25">
      <c r="A1606" s="14">
        <v>45866</v>
      </c>
      <c r="B1606" s="14" t="s">
        <v>46</v>
      </c>
      <c r="C1606" s="15">
        <v>3</v>
      </c>
      <c r="D1606" s="16"/>
      <c r="E1606" s="16"/>
      <c r="F1606" s="17"/>
      <c r="G1606" s="16">
        <v>720</v>
      </c>
      <c r="H1606" s="21"/>
      <c r="I1606" s="4">
        <v>720</v>
      </c>
      <c r="J1606" s="4">
        <v>12</v>
      </c>
      <c r="K1606" s="4"/>
      <c r="L1606" s="16"/>
      <c r="M1606" s="4"/>
      <c r="N1606" s="4"/>
      <c r="O1606" s="4"/>
      <c r="P1606" s="4"/>
      <c r="Q1606" s="4"/>
      <c r="R1606" s="4"/>
      <c r="S1606" s="4">
        <v>0</v>
      </c>
      <c r="T1606" s="4">
        <v>0</v>
      </c>
      <c r="U1606" s="4">
        <v>12</v>
      </c>
      <c r="V1606" s="4">
        <v>0</v>
      </c>
      <c r="W1606" s="4">
        <v>12</v>
      </c>
      <c r="X1606" s="4">
        <v>0</v>
      </c>
      <c r="Y1606" s="4"/>
      <c r="Z1606" s="4">
        <v>0</v>
      </c>
      <c r="AA1606" s="4">
        <v>0</v>
      </c>
      <c r="AB1606" s="18"/>
      <c r="AC1606" s="18">
        <v>31</v>
      </c>
      <c r="AD1606" s="28"/>
      <c r="AE1606" s="26"/>
      <c r="AF1606" s="28"/>
    </row>
    <row r="1607" spans="1:32" ht="13.5" customHeight="1" x14ac:dyDescent="0.25">
      <c r="A1607" s="14">
        <v>45866</v>
      </c>
      <c r="B1607" s="14" t="s">
        <v>47</v>
      </c>
      <c r="C1607" s="15">
        <v>3</v>
      </c>
      <c r="D1607" s="16">
        <v>5</v>
      </c>
      <c r="E1607" s="16">
        <v>10</v>
      </c>
      <c r="F1607" s="17"/>
      <c r="G1607" s="16"/>
      <c r="H1607" s="21"/>
      <c r="I1607" s="4">
        <v>15</v>
      </c>
      <c r="J1607" s="4">
        <v>0.25</v>
      </c>
      <c r="K1607" s="4"/>
      <c r="L1607" s="16"/>
      <c r="M1607" s="4"/>
      <c r="N1607" s="4"/>
      <c r="O1607" s="4"/>
      <c r="P1607" s="4"/>
      <c r="Q1607" s="4"/>
      <c r="R1607" s="4">
        <v>15</v>
      </c>
      <c r="S1607" s="4">
        <v>15</v>
      </c>
      <c r="T1607" s="4">
        <v>0.25</v>
      </c>
      <c r="U1607" s="4">
        <v>0.5</v>
      </c>
      <c r="V1607" s="4">
        <v>11.5</v>
      </c>
      <c r="W1607" s="4">
        <v>12</v>
      </c>
      <c r="X1607" s="4">
        <v>13</v>
      </c>
      <c r="Y1607" s="4"/>
      <c r="Z1607" s="4">
        <v>278</v>
      </c>
      <c r="AA1607" s="4">
        <v>350</v>
      </c>
      <c r="AB1607" s="18"/>
      <c r="AC1607" s="18">
        <v>31</v>
      </c>
      <c r="AD1607" s="28"/>
      <c r="AE1607" s="26"/>
      <c r="AF1607" s="28"/>
    </row>
    <row r="1608" spans="1:32" ht="13.5" customHeight="1" x14ac:dyDescent="0.25">
      <c r="A1608" s="14">
        <v>45866</v>
      </c>
      <c r="B1608" s="14" t="s">
        <v>46</v>
      </c>
      <c r="C1608" s="15">
        <v>4</v>
      </c>
      <c r="D1608" s="16"/>
      <c r="E1608" s="16"/>
      <c r="F1608" s="17"/>
      <c r="G1608" s="16">
        <v>180</v>
      </c>
      <c r="H1608" s="21"/>
      <c r="I1608" s="4">
        <v>180</v>
      </c>
      <c r="J1608" s="4">
        <v>3</v>
      </c>
      <c r="K1608" s="4"/>
      <c r="L1608" s="16"/>
      <c r="M1608" s="4"/>
      <c r="N1608" s="4"/>
      <c r="O1608" s="4"/>
      <c r="P1608" s="4"/>
      <c r="Q1608" s="4"/>
      <c r="R1608" s="4"/>
      <c r="S1608" s="4">
        <v>0</v>
      </c>
      <c r="T1608" s="4">
        <v>0</v>
      </c>
      <c r="U1608" s="4">
        <v>3</v>
      </c>
      <c r="V1608" s="4">
        <v>9</v>
      </c>
      <c r="W1608" s="4">
        <v>12</v>
      </c>
      <c r="X1608" s="4">
        <v>15</v>
      </c>
      <c r="Y1608" s="4"/>
      <c r="Z1608" s="4">
        <v>119.8</v>
      </c>
      <c r="AA1608" s="4">
        <v>150</v>
      </c>
      <c r="AB1608" s="18"/>
      <c r="AC1608" s="18">
        <v>31</v>
      </c>
      <c r="AD1608" s="28"/>
      <c r="AE1608" s="26"/>
      <c r="AF1608" s="28"/>
    </row>
    <row r="1609" spans="1:32" ht="13.5" customHeight="1" x14ac:dyDescent="0.25">
      <c r="A1609" s="14">
        <v>45866</v>
      </c>
      <c r="B1609" s="14" t="s">
        <v>47</v>
      </c>
      <c r="C1609" s="15">
        <v>4</v>
      </c>
      <c r="D1609" s="16"/>
      <c r="E1609" s="16"/>
      <c r="F1609" s="17"/>
      <c r="G1609" s="16"/>
      <c r="H1609" s="21"/>
      <c r="I1609" s="4">
        <v>0</v>
      </c>
      <c r="J1609" s="4">
        <v>0</v>
      </c>
      <c r="K1609" s="4"/>
      <c r="L1609" s="16"/>
      <c r="M1609" s="4"/>
      <c r="N1609" s="4"/>
      <c r="O1609" s="4"/>
      <c r="P1609" s="4"/>
      <c r="Q1609" s="4"/>
      <c r="R1609" s="4"/>
      <c r="S1609" s="4">
        <v>0</v>
      </c>
      <c r="T1609" s="4">
        <v>0</v>
      </c>
      <c r="U1609" s="4">
        <v>0</v>
      </c>
      <c r="V1609" s="4">
        <v>12</v>
      </c>
      <c r="W1609" s="4">
        <v>12</v>
      </c>
      <c r="X1609" s="4">
        <v>21</v>
      </c>
      <c r="Y1609" s="4"/>
      <c r="Z1609" s="4">
        <v>212.79999999999995</v>
      </c>
      <c r="AA1609" s="4">
        <v>300</v>
      </c>
      <c r="AB1609" s="18"/>
      <c r="AC1609" s="18">
        <v>31</v>
      </c>
      <c r="AD1609" s="28"/>
      <c r="AE1609" s="26"/>
      <c r="AF1609" s="28"/>
    </row>
    <row r="1610" spans="1:32" ht="13.5" customHeight="1" x14ac:dyDescent="0.25">
      <c r="A1610" s="14">
        <v>45866</v>
      </c>
      <c r="B1610" s="14" t="s">
        <v>46</v>
      </c>
      <c r="C1610" s="15">
        <v>5</v>
      </c>
      <c r="D1610" s="16"/>
      <c r="E1610" s="16"/>
      <c r="F1610" s="17"/>
      <c r="G1610" s="16">
        <v>180</v>
      </c>
      <c r="H1610" s="21"/>
      <c r="I1610" s="4">
        <v>180</v>
      </c>
      <c r="J1610" s="4">
        <v>3</v>
      </c>
      <c r="K1610" s="4"/>
      <c r="L1610" s="16"/>
      <c r="M1610" s="4"/>
      <c r="N1610" s="4"/>
      <c r="O1610" s="4"/>
      <c r="P1610" s="4"/>
      <c r="Q1610" s="4"/>
      <c r="R1610" s="4"/>
      <c r="S1610" s="4">
        <v>0</v>
      </c>
      <c r="T1610" s="4">
        <v>0</v>
      </c>
      <c r="U1610" s="4">
        <v>3</v>
      </c>
      <c r="V1610" s="4">
        <v>9</v>
      </c>
      <c r="W1610" s="4">
        <v>12</v>
      </c>
      <c r="X1610" s="4">
        <v>18</v>
      </c>
      <c r="Y1610" s="4"/>
      <c r="Z1610" s="4">
        <v>406.4</v>
      </c>
      <c r="AA1610" s="4">
        <v>450</v>
      </c>
      <c r="AB1610" s="18"/>
      <c r="AC1610" s="18">
        <v>31</v>
      </c>
      <c r="AD1610" s="28"/>
      <c r="AE1610" s="26"/>
      <c r="AF1610" s="28"/>
    </row>
    <row r="1611" spans="1:32" ht="13.5" customHeight="1" x14ac:dyDescent="0.25">
      <c r="A1611" s="14">
        <v>45866</v>
      </c>
      <c r="B1611" s="14" t="s">
        <v>47</v>
      </c>
      <c r="C1611" s="15">
        <v>5</v>
      </c>
      <c r="D1611" s="16"/>
      <c r="E1611" s="16"/>
      <c r="F1611" s="17"/>
      <c r="G1611" s="16"/>
      <c r="H1611" s="21"/>
      <c r="I1611" s="4">
        <v>0</v>
      </c>
      <c r="J1611" s="4">
        <v>0</v>
      </c>
      <c r="K1611" s="4"/>
      <c r="L1611" s="16"/>
      <c r="M1611" s="4"/>
      <c r="N1611" s="4"/>
      <c r="O1611" s="4"/>
      <c r="P1611" s="4"/>
      <c r="Q1611" s="4"/>
      <c r="R1611" s="4"/>
      <c r="S1611" s="4">
        <v>0</v>
      </c>
      <c r="T1611" s="4">
        <v>0</v>
      </c>
      <c r="U1611" s="4">
        <v>0</v>
      </c>
      <c r="V1611" s="4">
        <v>12</v>
      </c>
      <c r="W1611" s="4">
        <v>12</v>
      </c>
      <c r="X1611" s="4">
        <v>10</v>
      </c>
      <c r="Y1611" s="4"/>
      <c r="Z1611" s="4">
        <v>497.2</v>
      </c>
      <c r="AA1611" s="4">
        <v>550</v>
      </c>
      <c r="AB1611" s="18"/>
      <c r="AC1611" s="18">
        <v>31</v>
      </c>
      <c r="AD1611" s="28"/>
      <c r="AE1611" s="26"/>
      <c r="AF1611" s="28"/>
    </row>
    <row r="1612" spans="1:32" ht="13.5" customHeight="1" x14ac:dyDescent="0.25">
      <c r="A1612" s="14">
        <v>45866</v>
      </c>
      <c r="B1612" s="14" t="s">
        <v>46</v>
      </c>
      <c r="C1612" s="15">
        <v>6</v>
      </c>
      <c r="D1612" s="16">
        <v>5</v>
      </c>
      <c r="E1612" s="16"/>
      <c r="F1612" s="17"/>
      <c r="G1612" s="16">
        <v>180</v>
      </c>
      <c r="H1612" s="21"/>
      <c r="I1612" s="4">
        <v>185</v>
      </c>
      <c r="J1612" s="4">
        <v>3.0833333333333335</v>
      </c>
      <c r="K1612" s="4"/>
      <c r="L1612" s="16"/>
      <c r="M1612" s="4"/>
      <c r="N1612" s="4">
        <v>10</v>
      </c>
      <c r="O1612" s="4"/>
      <c r="P1612" s="4"/>
      <c r="Q1612" s="4"/>
      <c r="R1612" s="4"/>
      <c r="S1612" s="4">
        <v>10</v>
      </c>
      <c r="T1612" s="4">
        <v>0.16666666666666666</v>
      </c>
      <c r="U1612" s="4">
        <v>3.25</v>
      </c>
      <c r="V1612" s="4">
        <v>8.75</v>
      </c>
      <c r="W1612" s="4">
        <v>12</v>
      </c>
      <c r="X1612" s="4">
        <v>30</v>
      </c>
      <c r="Y1612" s="4"/>
      <c r="Z1612" s="4">
        <v>421</v>
      </c>
      <c r="AA1612" s="4">
        <v>450</v>
      </c>
      <c r="AB1612" s="18"/>
      <c r="AC1612" s="18">
        <v>31</v>
      </c>
      <c r="AD1612" s="28"/>
      <c r="AE1612" s="26"/>
      <c r="AF1612" s="28"/>
    </row>
    <row r="1613" spans="1:32" ht="13.5" customHeight="1" x14ac:dyDescent="0.25">
      <c r="A1613" s="14">
        <v>45866</v>
      </c>
      <c r="B1613" s="14" t="s">
        <v>47</v>
      </c>
      <c r="C1613" s="15">
        <v>6</v>
      </c>
      <c r="D1613" s="16"/>
      <c r="E1613" s="16"/>
      <c r="F1613" s="17"/>
      <c r="G1613" s="16"/>
      <c r="H1613" s="21"/>
      <c r="I1613" s="4">
        <v>0</v>
      </c>
      <c r="J1613" s="4">
        <v>0</v>
      </c>
      <c r="K1613" s="4"/>
      <c r="L1613" s="16"/>
      <c r="M1613" s="4"/>
      <c r="N1613" s="4"/>
      <c r="O1613" s="4"/>
      <c r="P1613" s="4"/>
      <c r="Q1613" s="4"/>
      <c r="R1613" s="4"/>
      <c r="S1613" s="4">
        <v>0</v>
      </c>
      <c r="T1613" s="4">
        <v>0</v>
      </c>
      <c r="U1613" s="4">
        <v>0</v>
      </c>
      <c r="V1613" s="4">
        <v>12</v>
      </c>
      <c r="W1613" s="4">
        <v>12</v>
      </c>
      <c r="X1613" s="4">
        <v>15</v>
      </c>
      <c r="Y1613" s="4"/>
      <c r="Z1613" s="4">
        <v>708.19999999999993</v>
      </c>
      <c r="AA1613" s="4">
        <v>800</v>
      </c>
      <c r="AB1613" s="18"/>
      <c r="AC1613" s="18">
        <v>31</v>
      </c>
      <c r="AD1613" s="28"/>
      <c r="AE1613" s="26"/>
      <c r="AF1613" s="28"/>
    </row>
    <row r="1614" spans="1:32" ht="13.5" customHeight="1" x14ac:dyDescent="0.25">
      <c r="A1614" s="14">
        <v>45867</v>
      </c>
      <c r="B1614" s="14" t="s">
        <v>46</v>
      </c>
      <c r="C1614" s="15">
        <v>1</v>
      </c>
      <c r="D1614" s="16">
        <v>5</v>
      </c>
      <c r="E1614" s="16"/>
      <c r="F1614" s="17"/>
      <c r="G1614" s="21"/>
      <c r="H1614" s="21"/>
      <c r="I1614" s="4">
        <v>5</v>
      </c>
      <c r="J1614" s="4">
        <v>8.3333333333333329E-2</v>
      </c>
      <c r="K1614" s="4"/>
      <c r="L1614" s="16"/>
      <c r="M1614" s="4"/>
      <c r="N1614" s="4"/>
      <c r="O1614" s="4"/>
      <c r="P1614" s="4"/>
      <c r="Q1614" s="4"/>
      <c r="R1614" s="4"/>
      <c r="S1614" s="4">
        <v>0</v>
      </c>
      <c r="T1614" s="4">
        <v>0</v>
      </c>
      <c r="U1614" s="4">
        <v>8.3333333333333329E-2</v>
      </c>
      <c r="V1614" s="4">
        <v>11.916666666666666</v>
      </c>
      <c r="W1614" s="4">
        <v>12</v>
      </c>
      <c r="X1614" s="4">
        <v>7</v>
      </c>
      <c r="Y1614" s="4">
        <v>2041</v>
      </c>
      <c r="Z1614" s="4">
        <v>340.6</v>
      </c>
      <c r="AA1614" s="4">
        <v>350</v>
      </c>
      <c r="AB1614" s="18">
        <v>372</v>
      </c>
      <c r="AC1614" s="18">
        <v>31</v>
      </c>
      <c r="AD1614" s="28"/>
      <c r="AE1614" s="26"/>
      <c r="AF1614" s="28"/>
    </row>
    <row r="1615" spans="1:32" ht="13.5" customHeight="1" x14ac:dyDescent="0.25">
      <c r="A1615" s="14">
        <v>45867</v>
      </c>
      <c r="B1615" s="14" t="s">
        <v>47</v>
      </c>
      <c r="C1615" s="15">
        <v>1</v>
      </c>
      <c r="D1615" s="16"/>
      <c r="E1615" s="16"/>
      <c r="F1615" s="17"/>
      <c r="G1615" s="21"/>
      <c r="H1615" s="21"/>
      <c r="I1615" s="4">
        <v>0</v>
      </c>
      <c r="J1615" s="4">
        <v>0</v>
      </c>
      <c r="K1615" s="4"/>
      <c r="L1615" s="16"/>
      <c r="M1615" s="4"/>
      <c r="N1615" s="4"/>
      <c r="O1615" s="4"/>
      <c r="P1615" s="4"/>
      <c r="Q1615" s="4"/>
      <c r="R1615" s="4"/>
      <c r="S1615" s="4">
        <v>0</v>
      </c>
      <c r="T1615" s="4">
        <v>0</v>
      </c>
      <c r="U1615" s="4">
        <v>0</v>
      </c>
      <c r="V1615" s="4">
        <v>12</v>
      </c>
      <c r="W1615" s="4">
        <v>12</v>
      </c>
      <c r="X1615" s="4">
        <v>9</v>
      </c>
      <c r="Y1615" s="4"/>
      <c r="Z1615" s="4">
        <v>203.5</v>
      </c>
      <c r="AA1615" s="4">
        <v>250</v>
      </c>
      <c r="AB1615" s="18"/>
      <c r="AC1615" s="18">
        <v>31</v>
      </c>
      <c r="AD1615" s="28"/>
      <c r="AE1615" s="26"/>
      <c r="AF1615" s="28"/>
    </row>
    <row r="1616" spans="1:32" ht="13.5" customHeight="1" x14ac:dyDescent="0.25">
      <c r="A1616" s="14">
        <v>45867</v>
      </c>
      <c r="B1616" s="14" t="s">
        <v>46</v>
      </c>
      <c r="C1616" s="15">
        <v>3</v>
      </c>
      <c r="D1616" s="16">
        <v>8</v>
      </c>
      <c r="E1616" s="16">
        <v>5</v>
      </c>
      <c r="F1616" s="17"/>
      <c r="G1616" s="21"/>
      <c r="H1616" s="21"/>
      <c r="I1616" s="4">
        <v>13</v>
      </c>
      <c r="J1616" s="4">
        <v>0.21666666666666667</v>
      </c>
      <c r="K1616" s="4"/>
      <c r="L1616" s="16"/>
      <c r="M1616" s="4"/>
      <c r="N1616" s="4"/>
      <c r="O1616" s="4"/>
      <c r="P1616" s="4"/>
      <c r="Q1616" s="4"/>
      <c r="R1616" s="4"/>
      <c r="S1616" s="4">
        <v>0</v>
      </c>
      <c r="T1616" s="4">
        <v>0</v>
      </c>
      <c r="U1616" s="4">
        <v>0.21666666666666667</v>
      </c>
      <c r="V1616" s="4">
        <v>11.783333333333333</v>
      </c>
      <c r="W1616" s="4">
        <v>12</v>
      </c>
      <c r="X1616" s="4">
        <v>30</v>
      </c>
      <c r="Y1616" s="4"/>
      <c r="Z1616" s="4">
        <v>342.6</v>
      </c>
      <c r="AA1616" s="4">
        <v>350</v>
      </c>
      <c r="AB1616" s="18"/>
      <c r="AC1616" s="18">
        <v>31</v>
      </c>
      <c r="AD1616" s="28"/>
      <c r="AE1616" s="26"/>
      <c r="AF1616" s="28"/>
    </row>
    <row r="1617" spans="1:32" ht="13.5" customHeight="1" x14ac:dyDescent="0.25">
      <c r="A1617" s="14">
        <v>45867</v>
      </c>
      <c r="B1617" s="14" t="s">
        <v>47</v>
      </c>
      <c r="C1617" s="15">
        <v>3</v>
      </c>
      <c r="D1617" s="16"/>
      <c r="E1617" s="16"/>
      <c r="F1617" s="17"/>
      <c r="G1617" s="21"/>
      <c r="H1617" s="21"/>
      <c r="I1617" s="4">
        <v>0</v>
      </c>
      <c r="J1617" s="4">
        <v>0</v>
      </c>
      <c r="K1617" s="4"/>
      <c r="L1617" s="16"/>
      <c r="M1617" s="4"/>
      <c r="N1617" s="4"/>
      <c r="O1617" s="4">
        <v>90</v>
      </c>
      <c r="P1617" s="4"/>
      <c r="Q1617" s="4"/>
      <c r="R1617" s="4"/>
      <c r="S1617" s="4">
        <v>90</v>
      </c>
      <c r="T1617" s="4">
        <v>1.5</v>
      </c>
      <c r="U1617" s="4">
        <v>1.5</v>
      </c>
      <c r="V1617" s="4">
        <v>10.5</v>
      </c>
      <c r="W1617" s="4">
        <v>12</v>
      </c>
      <c r="X1617" s="4">
        <v>76</v>
      </c>
      <c r="Y1617" s="4"/>
      <c r="Z1617" s="4">
        <v>155</v>
      </c>
      <c r="AA1617" s="4">
        <v>200</v>
      </c>
      <c r="AB1617" s="18"/>
      <c r="AC1617" s="18">
        <v>31</v>
      </c>
      <c r="AD1617" s="28"/>
      <c r="AE1617" s="26"/>
      <c r="AF1617" s="28"/>
    </row>
    <row r="1618" spans="1:32" ht="13.5" customHeight="1" x14ac:dyDescent="0.25">
      <c r="A1618" s="14">
        <v>45867</v>
      </c>
      <c r="B1618" s="14" t="s">
        <v>46</v>
      </c>
      <c r="C1618" s="15">
        <v>5</v>
      </c>
      <c r="D1618" s="16"/>
      <c r="E1618" s="16"/>
      <c r="F1618" s="17"/>
      <c r="G1618" s="21"/>
      <c r="H1618" s="21"/>
      <c r="I1618" s="4">
        <v>0</v>
      </c>
      <c r="J1618" s="4">
        <v>0</v>
      </c>
      <c r="K1618" s="4"/>
      <c r="L1618" s="16"/>
      <c r="M1618" s="4"/>
      <c r="N1618" s="4"/>
      <c r="O1618" s="4"/>
      <c r="P1618" s="4"/>
      <c r="Q1618" s="4"/>
      <c r="R1618" s="4"/>
      <c r="S1618" s="4">
        <v>0</v>
      </c>
      <c r="T1618" s="4">
        <v>0</v>
      </c>
      <c r="U1618" s="4">
        <v>0</v>
      </c>
      <c r="V1618" s="4">
        <v>12</v>
      </c>
      <c r="W1618" s="4">
        <v>12</v>
      </c>
      <c r="X1618" s="4">
        <v>0</v>
      </c>
      <c r="Y1618" s="4"/>
      <c r="Z1618" s="4">
        <v>617</v>
      </c>
      <c r="AA1618" s="4">
        <v>650</v>
      </c>
      <c r="AB1618" s="18"/>
      <c r="AC1618" s="18">
        <v>31</v>
      </c>
      <c r="AD1618" s="28"/>
      <c r="AE1618" s="26"/>
      <c r="AF1618" s="28"/>
    </row>
    <row r="1619" spans="1:32" ht="13.5" customHeight="1" x14ac:dyDescent="0.25">
      <c r="A1619" s="14">
        <v>45867</v>
      </c>
      <c r="B1619" s="14" t="s">
        <v>47</v>
      </c>
      <c r="C1619" s="15">
        <v>5</v>
      </c>
      <c r="D1619" s="16"/>
      <c r="E1619" s="16"/>
      <c r="F1619" s="17"/>
      <c r="G1619" s="21"/>
      <c r="H1619" s="21"/>
      <c r="I1619" s="4">
        <v>0</v>
      </c>
      <c r="J1619" s="4">
        <v>0</v>
      </c>
      <c r="K1619" s="4"/>
      <c r="L1619" s="16"/>
      <c r="M1619" s="4"/>
      <c r="N1619" s="4"/>
      <c r="O1619" s="4"/>
      <c r="P1619" s="4"/>
      <c r="Q1619" s="4"/>
      <c r="R1619" s="4"/>
      <c r="S1619" s="4">
        <v>0</v>
      </c>
      <c r="T1619" s="4">
        <v>0</v>
      </c>
      <c r="U1619" s="4">
        <v>0</v>
      </c>
      <c r="V1619" s="4">
        <v>12</v>
      </c>
      <c r="W1619" s="4">
        <v>12</v>
      </c>
      <c r="X1619" s="4">
        <v>0</v>
      </c>
      <c r="Y1619" s="4"/>
      <c r="Z1619" s="4">
        <v>510.7</v>
      </c>
      <c r="AA1619" s="4">
        <v>550</v>
      </c>
      <c r="AB1619" s="18"/>
      <c r="AC1619" s="18">
        <v>31</v>
      </c>
      <c r="AD1619" s="28"/>
      <c r="AE1619" s="26"/>
      <c r="AF1619" s="28"/>
    </row>
    <row r="1620" spans="1:32" ht="13.5" customHeight="1" x14ac:dyDescent="0.25">
      <c r="A1620" s="14">
        <v>45867</v>
      </c>
      <c r="B1620" s="14" t="s">
        <v>46</v>
      </c>
      <c r="C1620" s="15">
        <v>6</v>
      </c>
      <c r="D1620" s="16"/>
      <c r="E1620" s="16">
        <v>180</v>
      </c>
      <c r="F1620" s="17"/>
      <c r="G1620" s="21"/>
      <c r="H1620" s="21"/>
      <c r="I1620" s="4">
        <v>180</v>
      </c>
      <c r="J1620" s="4">
        <v>3</v>
      </c>
      <c r="K1620" s="4"/>
      <c r="L1620" s="16"/>
      <c r="M1620" s="4"/>
      <c r="N1620" s="4"/>
      <c r="O1620" s="4"/>
      <c r="P1620" s="4"/>
      <c r="Q1620" s="4"/>
      <c r="R1620" s="4"/>
      <c r="S1620" s="4">
        <v>0</v>
      </c>
      <c r="T1620" s="4">
        <v>0</v>
      </c>
      <c r="U1620" s="4">
        <v>3</v>
      </c>
      <c r="V1620" s="4">
        <v>9</v>
      </c>
      <c r="W1620" s="4">
        <v>12</v>
      </c>
      <c r="X1620" s="4">
        <v>18</v>
      </c>
      <c r="Y1620" s="4"/>
      <c r="Z1620" s="4">
        <v>309.79999999999995</v>
      </c>
      <c r="AA1620" s="4">
        <v>350</v>
      </c>
      <c r="AB1620" s="18"/>
      <c r="AC1620" s="18">
        <v>31</v>
      </c>
      <c r="AD1620" s="28"/>
      <c r="AE1620" s="26"/>
      <c r="AF1620" s="28"/>
    </row>
    <row r="1621" spans="1:32" ht="13.5" customHeight="1" x14ac:dyDescent="0.25">
      <c r="A1621" s="14">
        <v>45867</v>
      </c>
      <c r="B1621" s="14" t="s">
        <v>47</v>
      </c>
      <c r="C1621" s="15">
        <v>6</v>
      </c>
      <c r="D1621" s="16">
        <v>5</v>
      </c>
      <c r="E1621" s="16"/>
      <c r="F1621" s="17"/>
      <c r="G1621" s="21"/>
      <c r="H1621" s="21"/>
      <c r="I1621" s="4">
        <v>5</v>
      </c>
      <c r="J1621" s="4">
        <v>8.3333333333333329E-2</v>
      </c>
      <c r="K1621" s="4"/>
      <c r="L1621" s="16"/>
      <c r="M1621" s="4"/>
      <c r="N1621" s="4"/>
      <c r="O1621" s="4"/>
      <c r="P1621" s="4"/>
      <c r="Q1621" s="4"/>
      <c r="R1621" s="4"/>
      <c r="S1621" s="4">
        <v>0</v>
      </c>
      <c r="T1621" s="4">
        <v>0</v>
      </c>
      <c r="U1621" s="4">
        <v>8.3333333333333329E-2</v>
      </c>
      <c r="V1621" s="4">
        <v>11.916666666666666</v>
      </c>
      <c r="W1621" s="4">
        <v>12</v>
      </c>
      <c r="X1621" s="4">
        <v>12</v>
      </c>
      <c r="Y1621" s="4"/>
      <c r="Z1621" s="4">
        <v>713.8</v>
      </c>
      <c r="AA1621" s="4">
        <v>750</v>
      </c>
      <c r="AB1621" s="18"/>
      <c r="AC1621" s="18">
        <v>31</v>
      </c>
      <c r="AD1621" s="28"/>
      <c r="AE1621" s="26"/>
      <c r="AF1621" s="28"/>
    </row>
    <row r="1622" spans="1:32" ht="13.5" customHeight="1" x14ac:dyDescent="0.25">
      <c r="A1622" s="14">
        <v>45868</v>
      </c>
      <c r="B1622" s="14" t="s">
        <v>46</v>
      </c>
      <c r="C1622" s="15">
        <v>3</v>
      </c>
      <c r="D1622" s="16">
        <v>5</v>
      </c>
      <c r="E1622" s="16"/>
      <c r="F1622" s="17"/>
      <c r="G1622" s="21"/>
      <c r="H1622" s="21"/>
      <c r="I1622" s="4">
        <v>5</v>
      </c>
      <c r="J1622" s="4">
        <v>8.3333333333333329E-2</v>
      </c>
      <c r="K1622" s="4"/>
      <c r="L1622" s="16"/>
      <c r="M1622" s="4"/>
      <c r="N1622" s="4"/>
      <c r="O1622" s="4"/>
      <c r="P1622" s="4">
        <v>15</v>
      </c>
      <c r="Q1622" s="4"/>
      <c r="R1622" s="4"/>
      <c r="S1622" s="4">
        <v>15</v>
      </c>
      <c r="T1622" s="4">
        <v>0.25</v>
      </c>
      <c r="U1622" s="4">
        <v>0.33333333333333331</v>
      </c>
      <c r="V1622" s="4">
        <v>11.666666666666666</v>
      </c>
      <c r="W1622" s="4">
        <v>12</v>
      </c>
      <c r="X1622" s="4">
        <v>30</v>
      </c>
      <c r="Y1622" s="4">
        <v>2121.5</v>
      </c>
      <c r="Z1622" s="4">
        <v>168</v>
      </c>
      <c r="AA1622" s="4">
        <v>150</v>
      </c>
      <c r="AB1622" s="18">
        <v>372</v>
      </c>
      <c r="AC1622" s="18">
        <v>31</v>
      </c>
      <c r="AD1622" s="28"/>
      <c r="AE1622" s="26"/>
      <c r="AF1622" s="28"/>
    </row>
    <row r="1623" spans="1:32" ht="13.5" customHeight="1" x14ac:dyDescent="0.25">
      <c r="A1623" s="14">
        <v>45868</v>
      </c>
      <c r="B1623" s="14" t="s">
        <v>47</v>
      </c>
      <c r="C1623" s="15">
        <v>3</v>
      </c>
      <c r="D1623" s="16"/>
      <c r="E1623" s="16"/>
      <c r="F1623" s="17"/>
      <c r="G1623" s="21"/>
      <c r="H1623" s="21"/>
      <c r="I1623" s="4">
        <v>0</v>
      </c>
      <c r="J1623" s="4">
        <v>0</v>
      </c>
      <c r="K1623" s="4"/>
      <c r="L1623" s="16"/>
      <c r="M1623" s="4"/>
      <c r="N1623" s="4"/>
      <c r="O1623" s="4"/>
      <c r="P1623" s="4"/>
      <c r="Q1623" s="4"/>
      <c r="R1623" s="4">
        <v>150</v>
      </c>
      <c r="S1623" s="4">
        <v>150</v>
      </c>
      <c r="T1623" s="4">
        <v>2.5</v>
      </c>
      <c r="U1623" s="4">
        <v>2.5</v>
      </c>
      <c r="V1623" s="4">
        <v>9.5</v>
      </c>
      <c r="W1623" s="4">
        <v>12</v>
      </c>
      <c r="X1623" s="4">
        <v>66</v>
      </c>
      <c r="Y1623" s="4"/>
      <c r="Z1623" s="4">
        <v>229.7</v>
      </c>
      <c r="AA1623" s="4">
        <v>200</v>
      </c>
      <c r="AB1623" s="18"/>
      <c r="AC1623" s="18">
        <v>31</v>
      </c>
      <c r="AD1623" s="28"/>
      <c r="AE1623" s="26"/>
      <c r="AF1623" s="28"/>
    </row>
    <row r="1624" spans="1:32" ht="13.5" customHeight="1" x14ac:dyDescent="0.25">
      <c r="A1624" s="14">
        <v>45868</v>
      </c>
      <c r="B1624" s="14" t="s">
        <v>46</v>
      </c>
      <c r="C1624" s="15">
        <v>4</v>
      </c>
      <c r="D1624" s="16">
        <v>3</v>
      </c>
      <c r="E1624" s="16"/>
      <c r="F1624" s="17"/>
      <c r="G1624" s="21"/>
      <c r="H1624" s="21"/>
      <c r="I1624" s="4">
        <v>3</v>
      </c>
      <c r="J1624" s="4">
        <v>0.05</v>
      </c>
      <c r="K1624" s="4"/>
      <c r="L1624" s="16"/>
      <c r="M1624" s="4"/>
      <c r="N1624" s="4"/>
      <c r="O1624" s="4"/>
      <c r="P1624" s="4"/>
      <c r="Q1624" s="4"/>
      <c r="R1624" s="4"/>
      <c r="S1624" s="4">
        <v>0</v>
      </c>
      <c r="T1624" s="4">
        <v>0</v>
      </c>
      <c r="U1624" s="4">
        <v>0.05</v>
      </c>
      <c r="V1624" s="4">
        <v>11.95</v>
      </c>
      <c r="W1624" s="4">
        <v>12</v>
      </c>
      <c r="X1624" s="4">
        <v>20</v>
      </c>
      <c r="Y1624" s="4"/>
      <c r="Z1624" s="4">
        <v>288.60000000000002</v>
      </c>
      <c r="AA1624" s="4">
        <v>300</v>
      </c>
      <c r="AB1624" s="18"/>
      <c r="AC1624" s="18">
        <v>31</v>
      </c>
      <c r="AD1624" s="28"/>
      <c r="AE1624" s="26"/>
      <c r="AF1624" s="28"/>
    </row>
    <row r="1625" spans="1:32" ht="13.5" customHeight="1" x14ac:dyDescent="0.25">
      <c r="A1625" s="14">
        <v>45868</v>
      </c>
      <c r="B1625" s="14" t="s">
        <v>47</v>
      </c>
      <c r="C1625" s="15">
        <v>4</v>
      </c>
      <c r="D1625" s="16"/>
      <c r="E1625" s="16"/>
      <c r="F1625" s="17"/>
      <c r="G1625" s="21"/>
      <c r="H1625" s="21"/>
      <c r="I1625" s="4">
        <v>0</v>
      </c>
      <c r="J1625" s="4">
        <v>0</v>
      </c>
      <c r="K1625" s="4"/>
      <c r="L1625" s="16"/>
      <c r="M1625" s="4"/>
      <c r="N1625" s="4"/>
      <c r="O1625" s="4"/>
      <c r="P1625" s="4"/>
      <c r="Q1625" s="4"/>
      <c r="R1625" s="4"/>
      <c r="S1625" s="4">
        <v>0</v>
      </c>
      <c r="T1625" s="4">
        <v>0</v>
      </c>
      <c r="U1625" s="4">
        <v>0</v>
      </c>
      <c r="V1625" s="4">
        <v>12</v>
      </c>
      <c r="W1625" s="4">
        <v>12</v>
      </c>
      <c r="X1625" s="4">
        <v>13</v>
      </c>
      <c r="Y1625" s="4"/>
      <c r="Z1625" s="4">
        <v>141.19999999999999</v>
      </c>
      <c r="AA1625" s="4">
        <v>150</v>
      </c>
      <c r="AB1625" s="18"/>
      <c r="AC1625" s="18">
        <v>31</v>
      </c>
      <c r="AD1625" s="28"/>
      <c r="AE1625" s="26"/>
      <c r="AF1625" s="28"/>
    </row>
    <row r="1626" spans="1:32" ht="13.5" customHeight="1" x14ac:dyDescent="0.25">
      <c r="A1626" s="14">
        <v>45868</v>
      </c>
      <c r="B1626" s="14" t="s">
        <v>46</v>
      </c>
      <c r="C1626" s="15">
        <v>5</v>
      </c>
      <c r="D1626" s="16">
        <v>9</v>
      </c>
      <c r="E1626" s="16"/>
      <c r="F1626" s="17"/>
      <c r="G1626" s="21"/>
      <c r="H1626" s="21"/>
      <c r="I1626" s="4">
        <v>9</v>
      </c>
      <c r="J1626" s="4">
        <v>0.15</v>
      </c>
      <c r="K1626" s="4"/>
      <c r="L1626" s="16">
        <v>10</v>
      </c>
      <c r="M1626" s="4"/>
      <c r="N1626" s="4"/>
      <c r="O1626" s="4"/>
      <c r="P1626" s="4"/>
      <c r="Q1626" s="4"/>
      <c r="R1626" s="4"/>
      <c r="S1626" s="4">
        <v>10</v>
      </c>
      <c r="T1626" s="4">
        <v>0.16666666666666666</v>
      </c>
      <c r="U1626" s="4">
        <v>0.31666666666666665</v>
      </c>
      <c r="V1626" s="4">
        <v>11.683333333333334</v>
      </c>
      <c r="W1626" s="4">
        <v>12</v>
      </c>
      <c r="X1626" s="4">
        <v>15</v>
      </c>
      <c r="Y1626" s="4"/>
      <c r="Z1626" s="4">
        <v>610.80000000000007</v>
      </c>
      <c r="AA1626" s="4">
        <v>650</v>
      </c>
      <c r="AB1626" s="18"/>
      <c r="AC1626" s="18">
        <v>31</v>
      </c>
      <c r="AD1626" s="28"/>
      <c r="AE1626" s="26"/>
      <c r="AF1626" s="28"/>
    </row>
    <row r="1627" spans="1:32" ht="13.5" customHeight="1" x14ac:dyDescent="0.25">
      <c r="A1627" s="14">
        <v>45868</v>
      </c>
      <c r="B1627" s="14" t="s">
        <v>47</v>
      </c>
      <c r="C1627" s="15">
        <v>5</v>
      </c>
      <c r="D1627" s="16">
        <v>10</v>
      </c>
      <c r="E1627" s="16"/>
      <c r="F1627" s="17"/>
      <c r="G1627" s="21"/>
      <c r="H1627" s="21"/>
      <c r="I1627" s="4">
        <v>10</v>
      </c>
      <c r="J1627" s="4">
        <v>0.16666666666666666</v>
      </c>
      <c r="K1627" s="4"/>
      <c r="L1627" s="16"/>
      <c r="M1627" s="4"/>
      <c r="N1627" s="4"/>
      <c r="O1627" s="4"/>
      <c r="P1627" s="4"/>
      <c r="Q1627" s="4"/>
      <c r="R1627" s="4"/>
      <c r="S1627" s="4">
        <v>0</v>
      </c>
      <c r="T1627" s="4">
        <v>0</v>
      </c>
      <c r="U1627" s="4">
        <v>0.16666666666666666</v>
      </c>
      <c r="V1627" s="4">
        <v>11.833333333333334</v>
      </c>
      <c r="W1627" s="4">
        <v>12</v>
      </c>
      <c r="X1627" s="4">
        <v>8</v>
      </c>
      <c r="Y1627" s="4"/>
      <c r="Z1627" s="4">
        <v>533.5</v>
      </c>
      <c r="AA1627" s="4">
        <v>550</v>
      </c>
      <c r="AB1627" s="18"/>
      <c r="AC1627" s="18">
        <v>31</v>
      </c>
      <c r="AD1627" s="28"/>
      <c r="AE1627" s="26"/>
      <c r="AF1627" s="28"/>
    </row>
    <row r="1628" spans="1:32" ht="13.5" customHeight="1" x14ac:dyDescent="0.25">
      <c r="A1628" s="14">
        <v>45868</v>
      </c>
      <c r="B1628" s="14" t="s">
        <v>46</v>
      </c>
      <c r="C1628" s="15">
        <v>6</v>
      </c>
      <c r="D1628" s="16">
        <v>10</v>
      </c>
      <c r="E1628" s="16"/>
      <c r="F1628" s="17"/>
      <c r="G1628" s="21"/>
      <c r="H1628" s="21"/>
      <c r="I1628" s="4">
        <v>10</v>
      </c>
      <c r="J1628" s="4">
        <v>0.16666666666666666</v>
      </c>
      <c r="K1628" s="4"/>
      <c r="L1628" s="16"/>
      <c r="M1628" s="4"/>
      <c r="N1628" s="4"/>
      <c r="O1628" s="4"/>
      <c r="P1628" s="4"/>
      <c r="Q1628" s="4"/>
      <c r="R1628" s="4"/>
      <c r="S1628" s="4">
        <v>0</v>
      </c>
      <c r="T1628" s="4">
        <v>0</v>
      </c>
      <c r="U1628" s="4">
        <v>0.16666666666666666</v>
      </c>
      <c r="V1628" s="4">
        <v>11.833333333333334</v>
      </c>
      <c r="W1628" s="4">
        <v>12</v>
      </c>
      <c r="X1628" s="4">
        <v>7</v>
      </c>
      <c r="Y1628" s="4"/>
      <c r="Z1628" s="4">
        <v>663.19999999999993</v>
      </c>
      <c r="AA1628" s="4">
        <v>700</v>
      </c>
      <c r="AB1628" s="18"/>
      <c r="AC1628" s="18">
        <v>31</v>
      </c>
      <c r="AD1628" s="28"/>
      <c r="AE1628" s="26"/>
      <c r="AF1628" s="28"/>
    </row>
    <row r="1629" spans="1:32" ht="13.5" customHeight="1" x14ac:dyDescent="0.25">
      <c r="A1629" s="14">
        <v>45868</v>
      </c>
      <c r="B1629" s="14" t="s">
        <v>47</v>
      </c>
      <c r="C1629" s="15">
        <v>6</v>
      </c>
      <c r="D1629" s="16"/>
      <c r="E1629" s="16"/>
      <c r="F1629" s="17"/>
      <c r="G1629" s="21"/>
      <c r="H1629" s="21"/>
      <c r="I1629" s="4">
        <v>0</v>
      </c>
      <c r="J1629" s="4">
        <v>0</v>
      </c>
      <c r="K1629" s="4"/>
      <c r="L1629" s="16"/>
      <c r="M1629" s="4"/>
      <c r="N1629" s="4"/>
      <c r="O1629" s="4"/>
      <c r="P1629" s="4"/>
      <c r="Q1629" s="4">
        <v>35</v>
      </c>
      <c r="R1629" s="4"/>
      <c r="S1629" s="4">
        <v>35</v>
      </c>
      <c r="T1629" s="4">
        <v>0.58333333333333337</v>
      </c>
      <c r="U1629" s="4">
        <v>0.58333333333333337</v>
      </c>
      <c r="V1629" s="4">
        <v>11.416666666666666</v>
      </c>
      <c r="W1629" s="4">
        <v>12</v>
      </c>
      <c r="X1629" s="4">
        <v>0</v>
      </c>
      <c r="Y1629" s="4"/>
      <c r="Z1629" s="4">
        <v>893.60000000000014</v>
      </c>
      <c r="AA1629" s="4">
        <v>900</v>
      </c>
      <c r="AB1629" s="18"/>
      <c r="AC1629" s="18">
        <v>31</v>
      </c>
      <c r="AD1629" s="28"/>
      <c r="AE1629" s="26"/>
      <c r="AF1629" s="28"/>
    </row>
    <row r="1630" spans="1:32" ht="13.5" customHeight="1" x14ac:dyDescent="0.25">
      <c r="A1630" s="14">
        <v>45869</v>
      </c>
      <c r="B1630" s="14" t="s">
        <v>47</v>
      </c>
      <c r="C1630" s="15">
        <v>3</v>
      </c>
      <c r="D1630" s="16">
        <v>95</v>
      </c>
      <c r="E1630" s="16"/>
      <c r="F1630" s="17"/>
      <c r="G1630" s="21"/>
      <c r="H1630" s="21"/>
      <c r="I1630" s="4">
        <v>95</v>
      </c>
      <c r="J1630" s="4">
        <v>1.5833333333333333</v>
      </c>
      <c r="K1630" s="4"/>
      <c r="L1630" s="16"/>
      <c r="M1630" s="4"/>
      <c r="N1630" s="4"/>
      <c r="O1630" s="4"/>
      <c r="P1630" s="4"/>
      <c r="Q1630" s="4"/>
      <c r="R1630" s="4">
        <v>240</v>
      </c>
      <c r="S1630" s="4">
        <v>240</v>
      </c>
      <c r="T1630" s="4">
        <v>4</v>
      </c>
      <c r="U1630" s="4">
        <v>5.583333333333333</v>
      </c>
      <c r="V1630" s="4">
        <v>6.416666666666667</v>
      </c>
      <c r="W1630" s="4">
        <v>12</v>
      </c>
      <c r="X1630" s="4">
        <v>19</v>
      </c>
      <c r="Y1630" s="4">
        <f>2020+127</f>
        <v>2147</v>
      </c>
      <c r="Z1630" s="4">
        <v>84</v>
      </c>
      <c r="AA1630" s="4">
        <v>50</v>
      </c>
      <c r="AB1630" s="18">
        <v>372</v>
      </c>
      <c r="AC1630" s="18">
        <v>31</v>
      </c>
      <c r="AD1630" s="28"/>
      <c r="AE1630" s="26"/>
      <c r="AF1630" s="28"/>
    </row>
    <row r="1631" spans="1:32" ht="13.5" customHeight="1" x14ac:dyDescent="0.25">
      <c r="A1631" s="14">
        <v>45869</v>
      </c>
      <c r="B1631" s="14" t="s">
        <v>46</v>
      </c>
      <c r="C1631" s="15">
        <v>4</v>
      </c>
      <c r="D1631" s="16"/>
      <c r="E1631" s="16"/>
      <c r="F1631" s="17"/>
      <c r="G1631" s="21"/>
      <c r="H1631" s="21"/>
      <c r="I1631" s="4">
        <v>0</v>
      </c>
      <c r="J1631" s="4">
        <v>0</v>
      </c>
      <c r="K1631" s="4"/>
      <c r="L1631" s="16"/>
      <c r="M1631" s="4"/>
      <c r="N1631" s="4"/>
      <c r="O1631" s="4"/>
      <c r="P1631" s="4"/>
      <c r="Q1631" s="4"/>
      <c r="R1631" s="4"/>
      <c r="S1631" s="4">
        <v>0</v>
      </c>
      <c r="T1631" s="4">
        <v>0</v>
      </c>
      <c r="U1631" s="4">
        <v>0</v>
      </c>
      <c r="V1631" s="4">
        <v>12</v>
      </c>
      <c r="W1631" s="4">
        <v>12</v>
      </c>
      <c r="X1631" s="4">
        <v>0</v>
      </c>
      <c r="Y1631" s="4"/>
      <c r="Z1631" s="4">
        <v>247.5</v>
      </c>
      <c r="AA1631" s="4">
        <v>250</v>
      </c>
      <c r="AB1631" s="18"/>
      <c r="AC1631" s="18">
        <v>31</v>
      </c>
      <c r="AD1631" s="28"/>
      <c r="AE1631" s="26"/>
      <c r="AF1631" s="28"/>
    </row>
    <row r="1632" spans="1:32" ht="13.5" customHeight="1" x14ac:dyDescent="0.25">
      <c r="A1632" s="14">
        <v>45869</v>
      </c>
      <c r="B1632" s="14" t="s">
        <v>47</v>
      </c>
      <c r="C1632" s="15">
        <v>4</v>
      </c>
      <c r="D1632" s="16"/>
      <c r="E1632" s="16"/>
      <c r="F1632" s="17"/>
      <c r="G1632" s="21"/>
      <c r="H1632" s="21"/>
      <c r="I1632" s="4">
        <v>0</v>
      </c>
      <c r="J1632" s="4">
        <v>0</v>
      </c>
      <c r="K1632" s="4"/>
      <c r="L1632" s="16"/>
      <c r="M1632" s="4"/>
      <c r="N1632" s="4"/>
      <c r="O1632" s="4"/>
      <c r="P1632" s="4"/>
      <c r="Q1632" s="4"/>
      <c r="R1632" s="4"/>
      <c r="S1632" s="4">
        <v>0</v>
      </c>
      <c r="T1632" s="4">
        <v>0</v>
      </c>
      <c r="U1632" s="4">
        <v>0</v>
      </c>
      <c r="V1632" s="4">
        <v>12</v>
      </c>
      <c r="W1632" s="4">
        <v>12</v>
      </c>
      <c r="X1632" s="4">
        <v>4</v>
      </c>
      <c r="Y1632" s="4"/>
      <c r="Z1632" s="4">
        <v>361.8</v>
      </c>
      <c r="AA1632" s="4">
        <v>350</v>
      </c>
      <c r="AB1632" s="18"/>
      <c r="AC1632" s="18">
        <v>31</v>
      </c>
      <c r="AD1632" s="28"/>
      <c r="AE1632" s="26"/>
      <c r="AF1632" s="28"/>
    </row>
    <row r="1633" spans="1:32" ht="13.5" customHeight="1" x14ac:dyDescent="0.25">
      <c r="A1633" s="14">
        <v>45869</v>
      </c>
      <c r="B1633" s="14" t="s">
        <v>46</v>
      </c>
      <c r="C1633" s="15">
        <v>5</v>
      </c>
      <c r="D1633" s="16">
        <v>4</v>
      </c>
      <c r="E1633" s="16"/>
      <c r="F1633" s="17"/>
      <c r="G1633" s="21"/>
      <c r="H1633" s="21"/>
      <c r="I1633" s="4">
        <v>4</v>
      </c>
      <c r="J1633" s="4">
        <v>6.6666666666666666E-2</v>
      </c>
      <c r="K1633" s="4"/>
      <c r="L1633" s="16"/>
      <c r="M1633" s="4"/>
      <c r="N1633" s="4"/>
      <c r="O1633" s="4"/>
      <c r="P1633" s="4"/>
      <c r="Q1633" s="4"/>
      <c r="R1633" s="4"/>
      <c r="S1633" s="4">
        <v>0</v>
      </c>
      <c r="T1633" s="4">
        <v>0</v>
      </c>
      <c r="U1633" s="4">
        <v>6.6666666666666666E-2</v>
      </c>
      <c r="V1633" s="4">
        <v>11.933333333333334</v>
      </c>
      <c r="W1633" s="4">
        <v>12</v>
      </c>
      <c r="X1633" s="4">
        <v>0</v>
      </c>
      <c r="Y1633" s="4"/>
      <c r="Z1633" s="4">
        <v>531.5</v>
      </c>
      <c r="AA1633" s="4">
        <v>550</v>
      </c>
      <c r="AB1633" s="18"/>
      <c r="AC1633" s="18">
        <v>31</v>
      </c>
      <c r="AD1633" s="28"/>
      <c r="AE1633" s="26"/>
      <c r="AF1633" s="28"/>
    </row>
    <row r="1634" spans="1:32" ht="13.5" customHeight="1" x14ac:dyDescent="0.25">
      <c r="A1634" s="14">
        <v>45869</v>
      </c>
      <c r="B1634" s="14" t="s">
        <v>47</v>
      </c>
      <c r="C1634" s="15">
        <v>5</v>
      </c>
      <c r="D1634" s="16">
        <v>7</v>
      </c>
      <c r="E1634" s="16"/>
      <c r="F1634" s="17"/>
      <c r="G1634" s="21"/>
      <c r="H1634" s="21"/>
      <c r="I1634" s="4">
        <v>7</v>
      </c>
      <c r="J1634" s="4">
        <v>0.11666666666666667</v>
      </c>
      <c r="K1634" s="4"/>
      <c r="L1634" s="16"/>
      <c r="M1634" s="4"/>
      <c r="N1634" s="4"/>
      <c r="O1634" s="4"/>
      <c r="P1634" s="4"/>
      <c r="Q1634" s="4"/>
      <c r="R1634" s="4"/>
      <c r="S1634" s="4">
        <v>0</v>
      </c>
      <c r="T1634" s="4">
        <v>0</v>
      </c>
      <c r="U1634" s="4">
        <v>0.11666666666666667</v>
      </c>
      <c r="V1634" s="4">
        <v>11.883333333333333</v>
      </c>
      <c r="W1634" s="4">
        <v>12</v>
      </c>
      <c r="X1634" s="4">
        <v>11.5</v>
      </c>
      <c r="Y1634" s="4"/>
      <c r="Z1634" s="4">
        <v>497.34999999999997</v>
      </c>
      <c r="AA1634" s="4">
        <v>500</v>
      </c>
      <c r="AB1634" s="18"/>
      <c r="AC1634" s="18">
        <v>31</v>
      </c>
      <c r="AD1634" s="28"/>
      <c r="AE1634" s="26"/>
      <c r="AF1634" s="28"/>
    </row>
    <row r="1635" spans="1:32" ht="13.5" customHeight="1" x14ac:dyDescent="0.25">
      <c r="A1635" s="14">
        <v>45869</v>
      </c>
      <c r="B1635" s="14" t="s">
        <v>46</v>
      </c>
      <c r="C1635" s="15">
        <v>6</v>
      </c>
      <c r="D1635" s="16">
        <v>10</v>
      </c>
      <c r="E1635" s="16"/>
      <c r="F1635" s="17"/>
      <c r="G1635" s="21"/>
      <c r="H1635" s="21"/>
      <c r="I1635" s="4">
        <v>10</v>
      </c>
      <c r="J1635" s="4">
        <v>0.16666666666666666</v>
      </c>
      <c r="K1635" s="4"/>
      <c r="L1635" s="16"/>
      <c r="M1635" s="4"/>
      <c r="N1635" s="4"/>
      <c r="O1635" s="4"/>
      <c r="P1635" s="4"/>
      <c r="Q1635" s="4"/>
      <c r="R1635" s="4"/>
      <c r="S1635" s="4">
        <v>0</v>
      </c>
      <c r="T1635" s="4">
        <v>0</v>
      </c>
      <c r="U1635" s="4">
        <v>0.16666666666666666</v>
      </c>
      <c r="V1635" s="4">
        <v>11.833333333333334</v>
      </c>
      <c r="W1635" s="4">
        <v>12</v>
      </c>
      <c r="X1635" s="4">
        <v>35</v>
      </c>
      <c r="Y1635" s="4"/>
      <c r="Z1635" s="4">
        <v>991.10000000000014</v>
      </c>
      <c r="AA1635" s="4">
        <v>1000</v>
      </c>
      <c r="AB1635" s="18"/>
      <c r="AC1635" s="18">
        <v>31</v>
      </c>
      <c r="AD1635" s="28"/>
      <c r="AE1635" s="26"/>
      <c r="AF1635" s="28"/>
    </row>
    <row r="1636" spans="1:32" ht="13.5" customHeight="1" x14ac:dyDescent="0.25">
      <c r="A1636" s="14">
        <v>45869</v>
      </c>
      <c r="B1636" s="14" t="s">
        <v>47</v>
      </c>
      <c r="C1636" s="15">
        <v>6</v>
      </c>
      <c r="D1636" s="16"/>
      <c r="E1636" s="16"/>
      <c r="F1636" s="17"/>
      <c r="G1636" s="21"/>
      <c r="H1636" s="21"/>
      <c r="I1636" s="4">
        <v>0</v>
      </c>
      <c r="J1636" s="4">
        <v>0</v>
      </c>
      <c r="K1636" s="4"/>
      <c r="L1636" s="16"/>
      <c r="M1636" s="4"/>
      <c r="N1636" s="4">
        <v>7</v>
      </c>
      <c r="O1636" s="4"/>
      <c r="P1636" s="4"/>
      <c r="Q1636" s="4"/>
      <c r="R1636" s="4"/>
      <c r="S1636" s="4">
        <v>7</v>
      </c>
      <c r="T1636" s="4">
        <v>0.11666666666666667</v>
      </c>
      <c r="U1636" s="4">
        <v>0.11666666666666667</v>
      </c>
      <c r="V1636" s="4">
        <v>11.883333333333333</v>
      </c>
      <c r="W1636" s="4">
        <v>12</v>
      </c>
      <c r="X1636" s="4">
        <v>11.8</v>
      </c>
      <c r="Y1636" s="4"/>
      <c r="Z1636" s="4">
        <v>1172.4000000000001</v>
      </c>
      <c r="AA1636" s="4">
        <v>1200</v>
      </c>
      <c r="AB1636" s="18"/>
      <c r="AC1636" s="18">
        <v>31</v>
      </c>
      <c r="AD1636" s="28"/>
      <c r="AE1636" s="26"/>
      <c r="AF1636" s="28"/>
    </row>
    <row r="1637" spans="1:32" ht="13.5" customHeight="1" x14ac:dyDescent="0.25">
      <c r="A1637" s="14">
        <v>45870</v>
      </c>
      <c r="B1637" s="14" t="s">
        <v>47</v>
      </c>
      <c r="C1637" s="15">
        <v>1</v>
      </c>
      <c r="D1637" s="16"/>
      <c r="E1637" s="16"/>
      <c r="F1637" s="17"/>
      <c r="G1637" s="21"/>
      <c r="H1637" s="21"/>
      <c r="I1637" s="4">
        <v>0</v>
      </c>
      <c r="J1637" s="4">
        <v>0</v>
      </c>
      <c r="K1637" s="4"/>
      <c r="L1637" s="16"/>
      <c r="M1637" s="4"/>
      <c r="N1637" s="4"/>
      <c r="O1637" s="4"/>
      <c r="P1637" s="4"/>
      <c r="Q1637" s="4"/>
      <c r="R1637" s="4">
        <v>5</v>
      </c>
      <c r="S1637" s="4">
        <v>5</v>
      </c>
      <c r="T1637" s="4">
        <v>8.3333333333333329E-2</v>
      </c>
      <c r="U1637" s="4">
        <v>8.3333333333333329E-2</v>
      </c>
      <c r="V1637" s="4">
        <v>11.916666666666666</v>
      </c>
      <c r="W1637" s="4">
        <v>12</v>
      </c>
      <c r="X1637" s="4">
        <v>25</v>
      </c>
      <c r="Y1637" s="4">
        <v>2337.5</v>
      </c>
      <c r="Z1637" s="4">
        <v>159.1</v>
      </c>
      <c r="AA1637" s="4">
        <v>150</v>
      </c>
      <c r="AB1637" s="18">
        <v>372</v>
      </c>
      <c r="AC1637" s="18">
        <v>31</v>
      </c>
      <c r="AD1637" s="28"/>
      <c r="AE1637" s="26"/>
      <c r="AF1637" s="28"/>
    </row>
    <row r="1638" spans="1:32" ht="13.5" customHeight="1" x14ac:dyDescent="0.25">
      <c r="A1638" s="14">
        <v>45870</v>
      </c>
      <c r="B1638" s="14" t="s">
        <v>46</v>
      </c>
      <c r="C1638" s="15">
        <v>3</v>
      </c>
      <c r="D1638" s="16">
        <v>5</v>
      </c>
      <c r="E1638" s="16"/>
      <c r="F1638" s="17"/>
      <c r="G1638" s="21"/>
      <c r="H1638" s="21"/>
      <c r="I1638" s="4">
        <v>5</v>
      </c>
      <c r="J1638" s="4">
        <v>8.3333333333333329E-2</v>
      </c>
      <c r="K1638" s="4"/>
      <c r="L1638" s="16"/>
      <c r="M1638" s="4"/>
      <c r="N1638" s="4"/>
      <c r="O1638" s="4"/>
      <c r="P1638" s="4"/>
      <c r="Q1638" s="4"/>
      <c r="R1638" s="4">
        <v>60</v>
      </c>
      <c r="S1638" s="4">
        <v>60</v>
      </c>
      <c r="T1638" s="4">
        <v>1</v>
      </c>
      <c r="U1638" s="4">
        <v>1.0833333333333333</v>
      </c>
      <c r="V1638" s="4">
        <v>10.916666666666666</v>
      </c>
      <c r="W1638" s="4">
        <v>12</v>
      </c>
      <c r="X1638" s="4">
        <v>23</v>
      </c>
      <c r="Y1638" s="4"/>
      <c r="Z1638" s="4">
        <v>369.5</v>
      </c>
      <c r="AA1638" s="4">
        <v>350</v>
      </c>
      <c r="AB1638" s="18"/>
      <c r="AC1638" s="18">
        <v>31</v>
      </c>
      <c r="AD1638" s="28"/>
      <c r="AE1638" s="26"/>
      <c r="AF1638" s="28"/>
    </row>
    <row r="1639" spans="1:32" ht="13.5" customHeight="1" x14ac:dyDescent="0.25">
      <c r="A1639" s="14">
        <v>45870</v>
      </c>
      <c r="B1639" s="14" t="s">
        <v>47</v>
      </c>
      <c r="C1639" s="15">
        <v>3</v>
      </c>
      <c r="D1639" s="16"/>
      <c r="E1639" s="16"/>
      <c r="F1639" s="17"/>
      <c r="G1639" s="21"/>
      <c r="H1639" s="21"/>
      <c r="I1639" s="4">
        <v>0</v>
      </c>
      <c r="J1639" s="4">
        <v>0</v>
      </c>
      <c r="K1639" s="4"/>
      <c r="L1639" s="16"/>
      <c r="M1639" s="4"/>
      <c r="N1639" s="4"/>
      <c r="O1639" s="4"/>
      <c r="P1639" s="4"/>
      <c r="Q1639" s="4"/>
      <c r="R1639" s="4"/>
      <c r="S1639" s="4">
        <v>0</v>
      </c>
      <c r="T1639" s="4">
        <v>0</v>
      </c>
      <c r="U1639" s="4">
        <v>0</v>
      </c>
      <c r="V1639" s="4">
        <v>12</v>
      </c>
      <c r="W1639" s="4">
        <v>12</v>
      </c>
      <c r="X1639" s="4">
        <v>37</v>
      </c>
      <c r="Y1639" s="4"/>
      <c r="Z1639" s="4">
        <v>148.80000000000001</v>
      </c>
      <c r="AA1639" s="4">
        <v>150</v>
      </c>
      <c r="AB1639" s="18"/>
      <c r="AC1639" s="18">
        <v>31</v>
      </c>
      <c r="AD1639" s="28"/>
      <c r="AE1639" s="26"/>
      <c r="AF1639" s="28"/>
    </row>
    <row r="1640" spans="1:32" ht="13.5" customHeight="1" x14ac:dyDescent="0.25">
      <c r="A1640" s="14">
        <v>45870</v>
      </c>
      <c r="B1640" s="14" t="s">
        <v>46</v>
      </c>
      <c r="C1640" s="15">
        <v>4</v>
      </c>
      <c r="D1640" s="16">
        <v>4</v>
      </c>
      <c r="E1640" s="16"/>
      <c r="F1640" s="17"/>
      <c r="G1640" s="21"/>
      <c r="H1640" s="21"/>
      <c r="I1640" s="4">
        <v>4</v>
      </c>
      <c r="J1640" s="4">
        <v>6.6666666666666666E-2</v>
      </c>
      <c r="K1640" s="4"/>
      <c r="L1640" s="16"/>
      <c r="M1640" s="4"/>
      <c r="N1640" s="4"/>
      <c r="O1640" s="4"/>
      <c r="P1640" s="4"/>
      <c r="Q1640" s="4"/>
      <c r="R1640" s="4"/>
      <c r="S1640" s="4">
        <v>0</v>
      </c>
      <c r="T1640" s="4">
        <v>0</v>
      </c>
      <c r="U1640" s="4">
        <v>6.6666666666666666E-2</v>
      </c>
      <c r="V1640" s="4">
        <v>11.933333333333334</v>
      </c>
      <c r="W1640" s="4">
        <v>12</v>
      </c>
      <c r="X1640" s="4">
        <v>30</v>
      </c>
      <c r="Y1640" s="4"/>
      <c r="Z1640" s="4">
        <v>354.22</v>
      </c>
      <c r="AA1640" s="4">
        <v>350</v>
      </c>
      <c r="AB1640" s="18"/>
      <c r="AC1640" s="18">
        <v>31</v>
      </c>
      <c r="AD1640" s="28"/>
      <c r="AE1640" s="26"/>
      <c r="AF1640" s="28"/>
    </row>
    <row r="1641" spans="1:32" ht="13.5" customHeight="1" x14ac:dyDescent="0.25">
      <c r="A1641" s="14">
        <v>45870</v>
      </c>
      <c r="B1641" s="14" t="s">
        <v>47</v>
      </c>
      <c r="C1641" s="15">
        <v>4</v>
      </c>
      <c r="D1641" s="16"/>
      <c r="E1641" s="16"/>
      <c r="F1641" s="17"/>
      <c r="G1641" s="21"/>
      <c r="H1641" s="21"/>
      <c r="I1641" s="4">
        <v>0</v>
      </c>
      <c r="J1641" s="4">
        <v>0</v>
      </c>
      <c r="K1641" s="4"/>
      <c r="L1641" s="16"/>
      <c r="M1641" s="4"/>
      <c r="N1641" s="4"/>
      <c r="O1641" s="4"/>
      <c r="P1641" s="4"/>
      <c r="Q1641" s="4"/>
      <c r="R1641" s="4"/>
      <c r="S1641" s="4">
        <v>0</v>
      </c>
      <c r="T1641" s="4">
        <v>0</v>
      </c>
      <c r="U1641" s="4">
        <v>0</v>
      </c>
      <c r="V1641" s="4">
        <v>12</v>
      </c>
      <c r="W1641" s="4">
        <v>12</v>
      </c>
      <c r="X1641" s="4">
        <v>8</v>
      </c>
      <c r="Y1641" s="4"/>
      <c r="Z1641" s="4">
        <v>220.8</v>
      </c>
      <c r="AA1641" s="4">
        <v>200</v>
      </c>
      <c r="AB1641" s="18"/>
      <c r="AC1641" s="18">
        <v>31</v>
      </c>
      <c r="AD1641" s="28"/>
      <c r="AE1641" s="26"/>
      <c r="AF1641" s="28"/>
    </row>
    <row r="1642" spans="1:32" ht="13.5" customHeight="1" x14ac:dyDescent="0.25">
      <c r="A1642" s="14">
        <v>45870</v>
      </c>
      <c r="B1642" s="14" t="s">
        <v>46</v>
      </c>
      <c r="C1642" s="15">
        <v>5</v>
      </c>
      <c r="D1642" s="16"/>
      <c r="E1642" s="16"/>
      <c r="F1642" s="17"/>
      <c r="G1642" s="21"/>
      <c r="H1642" s="21"/>
      <c r="I1642" s="4">
        <v>0</v>
      </c>
      <c r="J1642" s="4">
        <v>0</v>
      </c>
      <c r="K1642" s="4"/>
      <c r="L1642" s="16"/>
      <c r="M1642" s="4"/>
      <c r="N1642" s="4"/>
      <c r="O1642" s="4"/>
      <c r="P1642" s="4"/>
      <c r="Q1642" s="4"/>
      <c r="R1642" s="4"/>
      <c r="S1642" s="4">
        <v>0</v>
      </c>
      <c r="T1642" s="4">
        <v>0</v>
      </c>
      <c r="U1642" s="4">
        <v>0</v>
      </c>
      <c r="V1642" s="4">
        <v>12</v>
      </c>
      <c r="W1642" s="4">
        <v>12</v>
      </c>
      <c r="X1642" s="4">
        <v>0</v>
      </c>
      <c r="Y1642" s="4"/>
      <c r="Z1642" s="4">
        <v>316.3</v>
      </c>
      <c r="AA1642" s="4">
        <v>300</v>
      </c>
      <c r="AB1642" s="18"/>
      <c r="AC1642" s="18">
        <v>31</v>
      </c>
      <c r="AD1642" s="28"/>
      <c r="AE1642" s="26"/>
      <c r="AF1642" s="28"/>
    </row>
    <row r="1643" spans="1:32" ht="13.5" customHeight="1" x14ac:dyDescent="0.25">
      <c r="A1643" s="14">
        <v>45870</v>
      </c>
      <c r="B1643" s="14" t="s">
        <v>47</v>
      </c>
      <c r="C1643" s="15">
        <v>5</v>
      </c>
      <c r="D1643" s="16"/>
      <c r="E1643" s="16"/>
      <c r="F1643" s="17"/>
      <c r="G1643" s="21"/>
      <c r="H1643" s="21"/>
      <c r="I1643" s="4">
        <v>0</v>
      </c>
      <c r="J1643" s="4">
        <v>0</v>
      </c>
      <c r="K1643" s="4"/>
      <c r="L1643" s="16"/>
      <c r="M1643" s="4"/>
      <c r="N1643" s="4"/>
      <c r="O1643" s="4"/>
      <c r="P1643" s="4"/>
      <c r="Q1643" s="4"/>
      <c r="R1643" s="4"/>
      <c r="S1643" s="4">
        <v>0</v>
      </c>
      <c r="T1643" s="4">
        <v>0</v>
      </c>
      <c r="U1643" s="4">
        <v>0</v>
      </c>
      <c r="V1643" s="4">
        <v>12</v>
      </c>
      <c r="W1643" s="4">
        <v>12</v>
      </c>
      <c r="X1643" s="4">
        <v>9</v>
      </c>
      <c r="Y1643" s="4"/>
      <c r="Z1643" s="4">
        <v>355.80000000000007</v>
      </c>
      <c r="AA1643" s="4">
        <v>350</v>
      </c>
      <c r="AB1643" s="18"/>
      <c r="AC1643" s="18">
        <v>31</v>
      </c>
      <c r="AD1643" s="28"/>
      <c r="AE1643" s="26"/>
      <c r="AF1643" s="28"/>
    </row>
    <row r="1644" spans="1:32" ht="13.5" customHeight="1" x14ac:dyDescent="0.25">
      <c r="A1644" s="14">
        <v>45870</v>
      </c>
      <c r="B1644" s="14" t="s">
        <v>46</v>
      </c>
      <c r="C1644" s="15">
        <v>6</v>
      </c>
      <c r="D1644" s="16"/>
      <c r="E1644" s="16"/>
      <c r="F1644" s="17"/>
      <c r="G1644" s="21"/>
      <c r="H1644" s="21"/>
      <c r="I1644" s="4">
        <v>0</v>
      </c>
      <c r="J1644" s="4">
        <v>0</v>
      </c>
      <c r="K1644" s="4"/>
      <c r="L1644" s="16"/>
      <c r="M1644" s="4"/>
      <c r="N1644" s="4"/>
      <c r="O1644" s="4"/>
      <c r="P1644" s="4"/>
      <c r="Q1644" s="4"/>
      <c r="R1644" s="4"/>
      <c r="S1644" s="4">
        <v>0</v>
      </c>
      <c r="T1644" s="4">
        <v>0</v>
      </c>
      <c r="U1644" s="4">
        <v>0</v>
      </c>
      <c r="V1644" s="4">
        <v>12</v>
      </c>
      <c r="W1644" s="4">
        <v>12</v>
      </c>
      <c r="X1644" s="4">
        <v>0</v>
      </c>
      <c r="Y1644" s="4"/>
      <c r="Z1644" s="4">
        <v>1458.9</v>
      </c>
      <c r="AA1644" s="4">
        <v>1450</v>
      </c>
      <c r="AB1644" s="18"/>
      <c r="AC1644" s="18">
        <v>31</v>
      </c>
      <c r="AD1644" s="28"/>
      <c r="AE1644" s="26"/>
      <c r="AF1644" s="28"/>
    </row>
    <row r="1645" spans="1:32" ht="13.5" customHeight="1" x14ac:dyDescent="0.25">
      <c r="A1645" s="14">
        <v>45870</v>
      </c>
      <c r="B1645" s="14" t="s">
        <v>47</v>
      </c>
      <c r="C1645" s="15">
        <v>6</v>
      </c>
      <c r="D1645" s="16">
        <v>25</v>
      </c>
      <c r="E1645" s="16"/>
      <c r="F1645" s="17"/>
      <c r="G1645" s="21"/>
      <c r="H1645" s="21"/>
      <c r="I1645" s="4">
        <v>25</v>
      </c>
      <c r="J1645" s="4">
        <v>0.41666666666666669</v>
      </c>
      <c r="K1645" s="4"/>
      <c r="L1645" s="16"/>
      <c r="M1645" s="4"/>
      <c r="N1645" s="4"/>
      <c r="O1645" s="4"/>
      <c r="P1645" s="4"/>
      <c r="Q1645" s="4"/>
      <c r="R1645" s="4"/>
      <c r="S1645" s="4">
        <v>0</v>
      </c>
      <c r="T1645" s="4">
        <v>0</v>
      </c>
      <c r="U1645" s="4">
        <v>0.41666666666666669</v>
      </c>
      <c r="V1645" s="4">
        <v>11.583333333333334</v>
      </c>
      <c r="W1645" s="4">
        <v>12</v>
      </c>
      <c r="X1645" s="4">
        <v>40</v>
      </c>
      <c r="Y1645" s="4"/>
      <c r="Z1645" s="4">
        <v>945</v>
      </c>
      <c r="AA1645" s="4">
        <v>950</v>
      </c>
      <c r="AB1645" s="18"/>
      <c r="AC1645" s="18">
        <v>31</v>
      </c>
      <c r="AD1645" s="28"/>
      <c r="AE1645" s="26"/>
      <c r="AF1645" s="28"/>
    </row>
    <row r="1646" spans="1:32" ht="13.5" customHeight="1" x14ac:dyDescent="0.25">
      <c r="A1646" s="14">
        <v>45871</v>
      </c>
      <c r="B1646" s="14" t="s">
        <v>46</v>
      </c>
      <c r="C1646" s="15">
        <v>1</v>
      </c>
      <c r="D1646" s="16"/>
      <c r="E1646" s="16"/>
      <c r="F1646" s="17"/>
      <c r="G1646" s="21"/>
      <c r="H1646" s="21"/>
      <c r="I1646" s="4">
        <v>0</v>
      </c>
      <c r="J1646" s="4">
        <v>0</v>
      </c>
      <c r="K1646" s="4"/>
      <c r="L1646" s="16"/>
      <c r="M1646" s="4"/>
      <c r="N1646" s="4"/>
      <c r="O1646" s="4"/>
      <c r="P1646" s="4"/>
      <c r="Q1646" s="4"/>
      <c r="R1646" s="4"/>
      <c r="S1646" s="4">
        <v>0</v>
      </c>
      <c r="T1646" s="4">
        <v>0</v>
      </c>
      <c r="U1646" s="4">
        <v>0</v>
      </c>
      <c r="V1646" s="4">
        <v>12</v>
      </c>
      <c r="W1646" s="4">
        <v>12</v>
      </c>
      <c r="X1646" s="4">
        <v>70</v>
      </c>
      <c r="Y1646" s="4">
        <v>2260.5</v>
      </c>
      <c r="Z1646" s="4">
        <v>257.56</v>
      </c>
      <c r="AA1646" s="4">
        <v>250</v>
      </c>
      <c r="AB1646" s="18">
        <v>372</v>
      </c>
      <c r="AC1646" s="18">
        <v>31</v>
      </c>
      <c r="AD1646" s="28"/>
      <c r="AE1646" s="26"/>
      <c r="AF1646" s="28"/>
    </row>
    <row r="1647" spans="1:32" ht="13.5" customHeight="1" x14ac:dyDescent="0.25">
      <c r="A1647" s="14">
        <v>45871</v>
      </c>
      <c r="B1647" s="14" t="s">
        <v>47</v>
      </c>
      <c r="C1647" s="15">
        <v>1</v>
      </c>
      <c r="D1647" s="16"/>
      <c r="E1647" s="16"/>
      <c r="F1647" s="17"/>
      <c r="G1647" s="21"/>
      <c r="H1647" s="21"/>
      <c r="I1647" s="4">
        <v>0</v>
      </c>
      <c r="J1647" s="4">
        <v>0</v>
      </c>
      <c r="K1647" s="4"/>
      <c r="L1647" s="16"/>
      <c r="M1647" s="4"/>
      <c r="N1647" s="4"/>
      <c r="O1647" s="4"/>
      <c r="P1647" s="4"/>
      <c r="Q1647" s="4"/>
      <c r="R1647" s="4"/>
      <c r="S1647" s="4">
        <v>0</v>
      </c>
      <c r="T1647" s="4">
        <v>0</v>
      </c>
      <c r="U1647" s="4">
        <v>0</v>
      </c>
      <c r="V1647" s="4">
        <v>12</v>
      </c>
      <c r="W1647" s="4">
        <v>12</v>
      </c>
      <c r="X1647" s="4">
        <v>95</v>
      </c>
      <c r="Y1647" s="4"/>
      <c r="Z1647" s="4">
        <v>58.2</v>
      </c>
      <c r="AA1647" s="4">
        <v>50</v>
      </c>
      <c r="AB1647" s="18"/>
      <c r="AC1647" s="18">
        <v>31</v>
      </c>
      <c r="AD1647" s="28"/>
      <c r="AE1647" s="26"/>
      <c r="AF1647" s="28"/>
    </row>
    <row r="1648" spans="1:32" ht="13.5" customHeight="1" x14ac:dyDescent="0.25">
      <c r="A1648" s="14">
        <v>45871</v>
      </c>
      <c r="B1648" s="14" t="s">
        <v>46</v>
      </c>
      <c r="C1648" s="15">
        <v>3</v>
      </c>
      <c r="D1648" s="16">
        <v>30</v>
      </c>
      <c r="E1648" s="16"/>
      <c r="F1648" s="17"/>
      <c r="G1648" s="21"/>
      <c r="H1648" s="21"/>
      <c r="I1648" s="4">
        <v>30</v>
      </c>
      <c r="J1648" s="4">
        <v>0.5</v>
      </c>
      <c r="K1648" s="4"/>
      <c r="L1648" s="16"/>
      <c r="M1648" s="4"/>
      <c r="N1648" s="4"/>
      <c r="O1648" s="4"/>
      <c r="P1648" s="4"/>
      <c r="Q1648" s="4"/>
      <c r="R1648" s="4"/>
      <c r="S1648" s="4">
        <v>0</v>
      </c>
      <c r="T1648" s="4">
        <v>0</v>
      </c>
      <c r="U1648" s="4">
        <v>0.5</v>
      </c>
      <c r="V1648" s="4">
        <v>11.5</v>
      </c>
      <c r="W1648" s="4">
        <v>12</v>
      </c>
      <c r="X1648" s="4">
        <v>0</v>
      </c>
      <c r="Y1648" s="4"/>
      <c r="Z1648" s="4">
        <v>387.2</v>
      </c>
      <c r="AA1648" s="4">
        <v>400</v>
      </c>
      <c r="AB1648" s="18"/>
      <c r="AC1648" s="18">
        <v>31</v>
      </c>
      <c r="AD1648" s="28"/>
      <c r="AE1648" s="26"/>
      <c r="AF1648" s="28"/>
    </row>
    <row r="1649" spans="1:32" ht="13.5" customHeight="1" x14ac:dyDescent="0.25">
      <c r="A1649" s="14">
        <v>45871</v>
      </c>
      <c r="B1649" s="14" t="s">
        <v>47</v>
      </c>
      <c r="C1649" s="15">
        <v>3</v>
      </c>
      <c r="D1649" s="16"/>
      <c r="E1649" s="16"/>
      <c r="F1649" s="17"/>
      <c r="G1649" s="21"/>
      <c r="H1649" s="21"/>
      <c r="I1649" s="4">
        <v>0</v>
      </c>
      <c r="J1649" s="4">
        <v>0</v>
      </c>
      <c r="K1649" s="4"/>
      <c r="L1649" s="16"/>
      <c r="M1649" s="4"/>
      <c r="N1649" s="4"/>
      <c r="O1649" s="4"/>
      <c r="P1649" s="4"/>
      <c r="Q1649" s="4"/>
      <c r="R1649" s="4"/>
      <c r="S1649" s="4">
        <v>0</v>
      </c>
      <c r="T1649" s="4">
        <v>0</v>
      </c>
      <c r="U1649" s="4">
        <v>0</v>
      </c>
      <c r="V1649" s="4">
        <v>12</v>
      </c>
      <c r="W1649" s="4">
        <v>12</v>
      </c>
      <c r="X1649" s="4">
        <v>0</v>
      </c>
      <c r="Y1649" s="4"/>
      <c r="Z1649" s="4">
        <v>260.8</v>
      </c>
      <c r="AA1649" s="4">
        <v>250</v>
      </c>
      <c r="AB1649" s="18"/>
      <c r="AC1649" s="18">
        <v>31</v>
      </c>
      <c r="AD1649" s="28"/>
      <c r="AE1649" s="26"/>
      <c r="AF1649" s="28"/>
    </row>
    <row r="1650" spans="1:32" ht="13.5" customHeight="1" x14ac:dyDescent="0.25">
      <c r="A1650" s="14">
        <v>45871</v>
      </c>
      <c r="B1650" s="14" t="s">
        <v>46</v>
      </c>
      <c r="C1650" s="15">
        <v>4</v>
      </c>
      <c r="D1650" s="16"/>
      <c r="E1650" s="16"/>
      <c r="F1650" s="17"/>
      <c r="G1650" s="21"/>
      <c r="H1650" s="21"/>
      <c r="I1650" s="4">
        <v>0</v>
      </c>
      <c r="J1650" s="4">
        <v>0</v>
      </c>
      <c r="K1650" s="4"/>
      <c r="L1650" s="16"/>
      <c r="M1650" s="4"/>
      <c r="N1650" s="4"/>
      <c r="O1650" s="4"/>
      <c r="P1650" s="4">
        <v>20</v>
      </c>
      <c r="Q1650" s="4"/>
      <c r="R1650" s="4">
        <v>15</v>
      </c>
      <c r="S1650" s="4">
        <v>35</v>
      </c>
      <c r="T1650" s="4">
        <v>0.58333333333333337</v>
      </c>
      <c r="U1650" s="4">
        <v>0.58333333333333337</v>
      </c>
      <c r="V1650" s="4">
        <v>11.416666666666666</v>
      </c>
      <c r="W1650" s="4">
        <v>12</v>
      </c>
      <c r="X1650" s="4">
        <v>0</v>
      </c>
      <c r="Y1650" s="4"/>
      <c r="Z1650" s="4">
        <v>269.39999999999998</v>
      </c>
      <c r="AA1650" s="4">
        <v>250</v>
      </c>
      <c r="AB1650" s="18"/>
      <c r="AC1650" s="18">
        <v>31</v>
      </c>
      <c r="AD1650" s="28"/>
      <c r="AE1650" s="26"/>
      <c r="AF1650" s="28"/>
    </row>
    <row r="1651" spans="1:32" ht="13.5" customHeight="1" x14ac:dyDescent="0.25">
      <c r="A1651" s="14">
        <v>45871</v>
      </c>
      <c r="B1651" s="14" t="s">
        <v>47</v>
      </c>
      <c r="C1651" s="15">
        <v>4</v>
      </c>
      <c r="D1651" s="16"/>
      <c r="E1651" s="16"/>
      <c r="F1651" s="17"/>
      <c r="G1651" s="21"/>
      <c r="H1651" s="21"/>
      <c r="I1651" s="4">
        <v>0</v>
      </c>
      <c r="J1651" s="4">
        <v>0</v>
      </c>
      <c r="K1651" s="4"/>
      <c r="L1651" s="16"/>
      <c r="M1651" s="4"/>
      <c r="N1651" s="4"/>
      <c r="O1651" s="4"/>
      <c r="P1651" s="4"/>
      <c r="Q1651" s="4"/>
      <c r="R1651" s="4"/>
      <c r="S1651" s="4">
        <v>0</v>
      </c>
      <c r="T1651" s="4">
        <v>0</v>
      </c>
      <c r="U1651" s="4">
        <v>0</v>
      </c>
      <c r="V1651" s="4">
        <v>12</v>
      </c>
      <c r="W1651" s="4">
        <v>12</v>
      </c>
      <c r="X1651" s="4">
        <v>0</v>
      </c>
      <c r="Y1651" s="4"/>
      <c r="Z1651" s="4">
        <v>54.5</v>
      </c>
      <c r="AA1651" s="4">
        <v>100</v>
      </c>
      <c r="AB1651" s="18"/>
      <c r="AC1651" s="18">
        <v>31</v>
      </c>
      <c r="AD1651" s="28"/>
      <c r="AE1651" s="26"/>
      <c r="AF1651" s="28"/>
    </row>
    <row r="1652" spans="1:32" ht="13.5" customHeight="1" x14ac:dyDescent="0.25">
      <c r="A1652" s="14">
        <v>45871</v>
      </c>
      <c r="B1652" s="14" t="s">
        <v>46</v>
      </c>
      <c r="C1652" s="15">
        <v>5</v>
      </c>
      <c r="D1652" s="16"/>
      <c r="E1652" s="16"/>
      <c r="F1652" s="17"/>
      <c r="G1652" s="21"/>
      <c r="H1652" s="21"/>
      <c r="I1652" s="4">
        <v>0</v>
      </c>
      <c r="J1652" s="4">
        <v>0</v>
      </c>
      <c r="K1652" s="4"/>
      <c r="L1652" s="16"/>
      <c r="M1652" s="4"/>
      <c r="N1652" s="4"/>
      <c r="O1652" s="4"/>
      <c r="P1652" s="4"/>
      <c r="Q1652" s="4"/>
      <c r="R1652" s="4"/>
      <c r="S1652" s="4">
        <v>0</v>
      </c>
      <c r="T1652" s="4">
        <v>0</v>
      </c>
      <c r="U1652" s="4">
        <v>0</v>
      </c>
      <c r="V1652" s="4">
        <v>12</v>
      </c>
      <c r="W1652" s="4">
        <v>12</v>
      </c>
      <c r="X1652" s="4">
        <v>0</v>
      </c>
      <c r="Y1652" s="4"/>
      <c r="Z1652" s="4">
        <v>335.28</v>
      </c>
      <c r="AA1652" s="4">
        <v>350</v>
      </c>
      <c r="AB1652" s="18"/>
      <c r="AC1652" s="18">
        <v>31</v>
      </c>
      <c r="AD1652" s="28"/>
      <c r="AE1652" s="26"/>
      <c r="AF1652" s="28"/>
    </row>
    <row r="1653" spans="1:32" ht="13.5" customHeight="1" x14ac:dyDescent="0.25">
      <c r="A1653" s="14">
        <v>45871</v>
      </c>
      <c r="B1653" s="14" t="s">
        <v>47</v>
      </c>
      <c r="C1653" s="15">
        <v>5</v>
      </c>
      <c r="D1653" s="16"/>
      <c r="E1653" s="16"/>
      <c r="F1653" s="17"/>
      <c r="G1653" s="21"/>
      <c r="H1653" s="21"/>
      <c r="I1653" s="4">
        <v>0</v>
      </c>
      <c r="J1653" s="4">
        <v>0</v>
      </c>
      <c r="K1653" s="4"/>
      <c r="L1653" s="16"/>
      <c r="M1653" s="4"/>
      <c r="N1653" s="4"/>
      <c r="O1653" s="4"/>
      <c r="P1653" s="4"/>
      <c r="Q1653" s="4"/>
      <c r="R1653" s="4"/>
      <c r="S1653" s="4">
        <v>0</v>
      </c>
      <c r="T1653" s="4">
        <v>0</v>
      </c>
      <c r="U1653" s="4">
        <v>0</v>
      </c>
      <c r="V1653" s="4">
        <v>12</v>
      </c>
      <c r="W1653" s="4">
        <v>12</v>
      </c>
      <c r="X1653" s="4">
        <v>0</v>
      </c>
      <c r="Y1653" s="4"/>
      <c r="Z1653" s="4">
        <v>482.19999999999993</v>
      </c>
      <c r="AA1653" s="4">
        <v>500</v>
      </c>
      <c r="AB1653" s="18"/>
      <c r="AC1653" s="18">
        <v>31</v>
      </c>
      <c r="AD1653" s="28"/>
      <c r="AE1653" s="26"/>
      <c r="AF1653" s="28"/>
    </row>
    <row r="1654" spans="1:32" ht="13.5" customHeight="1" x14ac:dyDescent="0.25">
      <c r="A1654" s="14">
        <v>45871</v>
      </c>
      <c r="B1654" s="14" t="s">
        <v>46</v>
      </c>
      <c r="C1654" s="15">
        <v>6</v>
      </c>
      <c r="D1654" s="16"/>
      <c r="E1654" s="16"/>
      <c r="F1654" s="17"/>
      <c r="G1654" s="21"/>
      <c r="H1654" s="21"/>
      <c r="I1654" s="4">
        <v>0</v>
      </c>
      <c r="J1654" s="4">
        <v>0</v>
      </c>
      <c r="K1654" s="4"/>
      <c r="L1654" s="16"/>
      <c r="M1654" s="4"/>
      <c r="N1654" s="4"/>
      <c r="O1654" s="4"/>
      <c r="P1654" s="4"/>
      <c r="Q1654" s="4">
        <v>120</v>
      </c>
      <c r="R1654" s="4"/>
      <c r="S1654" s="4">
        <v>120</v>
      </c>
      <c r="T1654" s="4">
        <v>2</v>
      </c>
      <c r="U1654" s="4">
        <v>2</v>
      </c>
      <c r="V1654" s="4">
        <v>10</v>
      </c>
      <c r="W1654" s="4">
        <v>12</v>
      </c>
      <c r="X1654" s="4">
        <v>0</v>
      </c>
      <c r="Y1654" s="4"/>
      <c r="Z1654" s="4">
        <v>531.6</v>
      </c>
      <c r="AA1654" s="4">
        <v>550</v>
      </c>
      <c r="AB1654" s="18"/>
      <c r="AC1654" s="18">
        <v>31</v>
      </c>
      <c r="AD1654" s="28"/>
      <c r="AE1654" s="26"/>
      <c r="AF1654" s="28"/>
    </row>
    <row r="1655" spans="1:32" ht="13.5" customHeight="1" x14ac:dyDescent="0.25">
      <c r="A1655" s="14">
        <v>45871</v>
      </c>
      <c r="B1655" s="14" t="s">
        <v>47</v>
      </c>
      <c r="C1655" s="15">
        <v>6</v>
      </c>
      <c r="D1655" s="16"/>
      <c r="E1655" s="16"/>
      <c r="F1655" s="17"/>
      <c r="G1655" s="21"/>
      <c r="H1655" s="21"/>
      <c r="I1655" s="4">
        <v>0</v>
      </c>
      <c r="J1655" s="4">
        <v>0</v>
      </c>
      <c r="K1655" s="4"/>
      <c r="L1655" s="16"/>
      <c r="M1655" s="4"/>
      <c r="N1655" s="4"/>
      <c r="O1655" s="4"/>
      <c r="P1655" s="4"/>
      <c r="Q1655" s="4"/>
      <c r="R1655" s="4"/>
      <c r="S1655" s="4">
        <v>0</v>
      </c>
      <c r="T1655" s="4">
        <v>0</v>
      </c>
      <c r="U1655" s="4">
        <v>0</v>
      </c>
      <c r="V1655" s="4">
        <v>12</v>
      </c>
      <c r="W1655" s="4">
        <v>12</v>
      </c>
      <c r="X1655" s="4">
        <v>0</v>
      </c>
      <c r="Y1655" s="4"/>
      <c r="Z1655" s="4">
        <v>476.99999999999994</v>
      </c>
      <c r="AA1655" s="4">
        <v>500</v>
      </c>
      <c r="AB1655" s="18"/>
      <c r="AC1655" s="18">
        <v>31</v>
      </c>
      <c r="AD1655" s="28"/>
      <c r="AE1655" s="26"/>
      <c r="AF1655" s="28"/>
    </row>
    <row r="1656" spans="1:32" ht="13.5" customHeight="1" x14ac:dyDescent="0.25">
      <c r="A1656" s="14">
        <v>45872</v>
      </c>
      <c r="B1656" s="14" t="s">
        <v>46</v>
      </c>
      <c r="C1656" s="15">
        <v>1</v>
      </c>
      <c r="D1656" s="16"/>
      <c r="E1656" s="16"/>
      <c r="F1656" s="17"/>
      <c r="G1656" s="21"/>
      <c r="H1656" s="21"/>
      <c r="I1656" s="4">
        <v>0</v>
      </c>
      <c r="J1656" s="4">
        <v>0</v>
      </c>
      <c r="K1656" s="4"/>
      <c r="L1656" s="16"/>
      <c r="M1656" s="4"/>
      <c r="N1656" s="4"/>
      <c r="O1656" s="4"/>
      <c r="P1656" s="4"/>
      <c r="Q1656" s="4"/>
      <c r="R1656" s="4"/>
      <c r="S1656" s="4">
        <v>0</v>
      </c>
      <c r="T1656" s="4">
        <v>0</v>
      </c>
      <c r="U1656" s="4">
        <v>0</v>
      </c>
      <c r="V1656" s="4">
        <v>12</v>
      </c>
      <c r="W1656" s="4">
        <v>12</v>
      </c>
      <c r="X1656" s="4">
        <v>8</v>
      </c>
      <c r="Y1656" s="4">
        <v>2292</v>
      </c>
      <c r="Z1656" s="4">
        <v>44.500000000000007</v>
      </c>
      <c r="AA1656" s="4">
        <v>50</v>
      </c>
      <c r="AB1656" s="18">
        <v>372</v>
      </c>
      <c r="AC1656" s="18">
        <v>31</v>
      </c>
      <c r="AD1656" s="28"/>
      <c r="AE1656" s="26"/>
      <c r="AF1656" s="28"/>
    </row>
    <row r="1657" spans="1:32" ht="13.5" customHeight="1" x14ac:dyDescent="0.25">
      <c r="A1657" s="14">
        <v>45872</v>
      </c>
      <c r="B1657" s="14" t="s">
        <v>47</v>
      </c>
      <c r="C1657" s="15">
        <v>1</v>
      </c>
      <c r="D1657" s="16"/>
      <c r="E1657" s="16"/>
      <c r="F1657" s="17"/>
      <c r="G1657" s="21"/>
      <c r="H1657" s="21"/>
      <c r="I1657" s="4">
        <v>0</v>
      </c>
      <c r="J1657" s="4">
        <v>0</v>
      </c>
      <c r="K1657" s="4"/>
      <c r="L1657" s="16"/>
      <c r="M1657" s="4"/>
      <c r="N1657" s="4"/>
      <c r="O1657" s="4"/>
      <c r="P1657" s="4"/>
      <c r="Q1657" s="4"/>
      <c r="R1657" s="4"/>
      <c r="S1657" s="4">
        <v>0</v>
      </c>
      <c r="T1657" s="4">
        <v>0</v>
      </c>
      <c r="U1657" s="4">
        <v>0</v>
      </c>
      <c r="V1657" s="4">
        <v>12</v>
      </c>
      <c r="W1657" s="4">
        <v>12</v>
      </c>
      <c r="X1657" s="4">
        <v>0</v>
      </c>
      <c r="Y1657" s="4"/>
      <c r="Z1657" s="4">
        <v>175.4</v>
      </c>
      <c r="AA1657" s="4">
        <v>200</v>
      </c>
      <c r="AB1657" s="18"/>
      <c r="AC1657" s="18">
        <v>31</v>
      </c>
      <c r="AD1657" s="28"/>
      <c r="AE1657" s="26"/>
      <c r="AF1657" s="28"/>
    </row>
    <row r="1658" spans="1:32" ht="13.5" customHeight="1" x14ac:dyDescent="0.25">
      <c r="A1658" s="14">
        <v>45872</v>
      </c>
      <c r="B1658" s="14" t="s">
        <v>46</v>
      </c>
      <c r="C1658" s="15">
        <v>3</v>
      </c>
      <c r="D1658" s="16"/>
      <c r="E1658" s="16"/>
      <c r="F1658" s="17"/>
      <c r="G1658" s="21"/>
      <c r="H1658" s="21"/>
      <c r="I1658" s="4">
        <v>0</v>
      </c>
      <c r="J1658" s="4">
        <v>0</v>
      </c>
      <c r="K1658" s="4"/>
      <c r="L1658" s="16"/>
      <c r="M1658" s="4"/>
      <c r="N1658" s="4"/>
      <c r="O1658" s="4"/>
      <c r="P1658" s="4"/>
      <c r="Q1658" s="4">
        <v>65</v>
      </c>
      <c r="R1658" s="4"/>
      <c r="S1658" s="4">
        <v>65</v>
      </c>
      <c r="T1658" s="4">
        <v>1.0833333333333333</v>
      </c>
      <c r="U1658" s="4">
        <v>1.0833333333333333</v>
      </c>
      <c r="V1658" s="4">
        <v>10.916666666666666</v>
      </c>
      <c r="W1658" s="4">
        <v>12</v>
      </c>
      <c r="X1658" s="4">
        <v>15</v>
      </c>
      <c r="Y1658" s="4"/>
      <c r="Z1658" s="4">
        <v>377.59999999999997</v>
      </c>
      <c r="AA1658" s="4">
        <v>400</v>
      </c>
      <c r="AB1658" s="18"/>
      <c r="AC1658" s="18">
        <v>31</v>
      </c>
      <c r="AD1658" s="28"/>
      <c r="AE1658" s="26"/>
      <c r="AF1658" s="28"/>
    </row>
    <row r="1659" spans="1:32" ht="13.5" customHeight="1" x14ac:dyDescent="0.25">
      <c r="A1659" s="14">
        <v>45872</v>
      </c>
      <c r="B1659" s="14" t="s">
        <v>47</v>
      </c>
      <c r="C1659" s="15">
        <v>3</v>
      </c>
      <c r="D1659" s="16"/>
      <c r="E1659" s="16"/>
      <c r="F1659" s="17"/>
      <c r="G1659" s="21"/>
      <c r="H1659" s="21"/>
      <c r="I1659" s="4">
        <v>0</v>
      </c>
      <c r="J1659" s="4">
        <v>0</v>
      </c>
      <c r="K1659" s="4"/>
      <c r="L1659" s="16"/>
      <c r="M1659" s="4"/>
      <c r="N1659" s="4"/>
      <c r="O1659" s="4"/>
      <c r="P1659" s="4"/>
      <c r="Q1659" s="4"/>
      <c r="R1659" s="4"/>
      <c r="S1659" s="4">
        <v>0</v>
      </c>
      <c r="T1659" s="4">
        <v>0</v>
      </c>
      <c r="U1659" s="4">
        <v>0</v>
      </c>
      <c r="V1659" s="4">
        <v>12</v>
      </c>
      <c r="W1659" s="4">
        <v>12</v>
      </c>
      <c r="X1659" s="4">
        <v>45</v>
      </c>
      <c r="Y1659" s="4"/>
      <c r="Z1659" s="4">
        <v>372.4</v>
      </c>
      <c r="AA1659" s="4">
        <v>400</v>
      </c>
      <c r="AB1659" s="18"/>
      <c r="AC1659" s="18">
        <v>31</v>
      </c>
      <c r="AD1659" s="28"/>
      <c r="AE1659" s="26"/>
      <c r="AF1659" s="28"/>
    </row>
    <row r="1660" spans="1:32" ht="13.5" customHeight="1" x14ac:dyDescent="0.25">
      <c r="A1660" s="14">
        <v>45872</v>
      </c>
      <c r="B1660" s="14" t="s">
        <v>46</v>
      </c>
      <c r="C1660" s="15">
        <v>5</v>
      </c>
      <c r="D1660" s="16">
        <v>18</v>
      </c>
      <c r="E1660" s="16"/>
      <c r="F1660" s="17"/>
      <c r="G1660" s="21"/>
      <c r="H1660" s="21"/>
      <c r="I1660" s="4">
        <v>18</v>
      </c>
      <c r="J1660" s="4">
        <v>0.3</v>
      </c>
      <c r="K1660" s="4"/>
      <c r="L1660" s="16"/>
      <c r="M1660" s="4"/>
      <c r="N1660" s="4"/>
      <c r="O1660" s="4"/>
      <c r="P1660" s="4"/>
      <c r="Q1660" s="4"/>
      <c r="R1660" s="4"/>
      <c r="S1660" s="4">
        <v>0</v>
      </c>
      <c r="T1660" s="4">
        <v>0</v>
      </c>
      <c r="U1660" s="4">
        <v>0.3</v>
      </c>
      <c r="V1660" s="4">
        <v>11.7</v>
      </c>
      <c r="W1660" s="4">
        <v>12</v>
      </c>
      <c r="X1660" s="4">
        <v>20</v>
      </c>
      <c r="Y1660" s="4"/>
      <c r="Z1660" s="4">
        <v>546.79999999999995</v>
      </c>
      <c r="AA1660" s="4">
        <v>550</v>
      </c>
      <c r="AB1660" s="18"/>
      <c r="AC1660" s="18">
        <v>31</v>
      </c>
      <c r="AD1660" s="28"/>
      <c r="AE1660" s="26"/>
      <c r="AF1660" s="28"/>
    </row>
    <row r="1661" spans="1:32" ht="13.5" customHeight="1" x14ac:dyDescent="0.25">
      <c r="A1661" s="14">
        <v>45872</v>
      </c>
      <c r="B1661" s="14" t="s">
        <v>47</v>
      </c>
      <c r="C1661" s="15">
        <v>5</v>
      </c>
      <c r="D1661" s="16"/>
      <c r="E1661" s="16"/>
      <c r="F1661" s="17"/>
      <c r="G1661" s="21"/>
      <c r="H1661" s="21"/>
      <c r="I1661" s="4">
        <v>0</v>
      </c>
      <c r="J1661" s="4">
        <v>0</v>
      </c>
      <c r="K1661" s="4"/>
      <c r="L1661" s="16"/>
      <c r="M1661" s="4"/>
      <c r="N1661" s="4"/>
      <c r="O1661" s="4"/>
      <c r="P1661" s="4"/>
      <c r="Q1661" s="4"/>
      <c r="R1661" s="4"/>
      <c r="S1661" s="4">
        <v>0</v>
      </c>
      <c r="T1661" s="4">
        <v>0</v>
      </c>
      <c r="U1661" s="4">
        <v>0</v>
      </c>
      <c r="V1661" s="4">
        <v>12</v>
      </c>
      <c r="W1661" s="4">
        <v>12</v>
      </c>
      <c r="X1661" s="4">
        <v>0</v>
      </c>
      <c r="Y1661" s="4"/>
      <c r="Z1661" s="4">
        <v>363</v>
      </c>
      <c r="AA1661" s="4">
        <v>350</v>
      </c>
      <c r="AB1661" s="18"/>
      <c r="AC1661" s="18">
        <v>31</v>
      </c>
      <c r="AD1661" s="28"/>
      <c r="AE1661" s="26"/>
      <c r="AF1661" s="28"/>
    </row>
    <row r="1662" spans="1:32" ht="13.5" customHeight="1" x14ac:dyDescent="0.25">
      <c r="A1662" s="14">
        <v>45872</v>
      </c>
      <c r="B1662" s="14" t="s">
        <v>46</v>
      </c>
      <c r="C1662" s="15">
        <v>6</v>
      </c>
      <c r="D1662" s="16">
        <v>28</v>
      </c>
      <c r="E1662" s="16"/>
      <c r="F1662" s="17"/>
      <c r="G1662" s="21"/>
      <c r="H1662" s="21"/>
      <c r="I1662" s="4">
        <v>28</v>
      </c>
      <c r="J1662" s="4">
        <v>0.46666666666666667</v>
      </c>
      <c r="K1662" s="4"/>
      <c r="L1662" s="16"/>
      <c r="M1662" s="4"/>
      <c r="N1662" s="4"/>
      <c r="O1662" s="4"/>
      <c r="P1662" s="4"/>
      <c r="Q1662" s="4"/>
      <c r="R1662" s="4"/>
      <c r="S1662" s="4">
        <v>0</v>
      </c>
      <c r="T1662" s="4">
        <v>0</v>
      </c>
      <c r="U1662" s="4">
        <v>0.46666666666666667</v>
      </c>
      <c r="V1662" s="4">
        <v>11.533333333333333</v>
      </c>
      <c r="W1662" s="4">
        <v>12</v>
      </c>
      <c r="X1662" s="4">
        <v>40</v>
      </c>
      <c r="Y1662" s="4"/>
      <c r="Z1662" s="4">
        <v>656.6</v>
      </c>
      <c r="AA1662" s="4">
        <v>650</v>
      </c>
      <c r="AB1662" s="18"/>
      <c r="AC1662" s="18">
        <v>31</v>
      </c>
      <c r="AD1662" s="28"/>
      <c r="AE1662" s="26"/>
      <c r="AF1662" s="28"/>
    </row>
    <row r="1663" spans="1:32" ht="13.5" customHeight="1" x14ac:dyDescent="0.25">
      <c r="A1663" s="14">
        <v>45872</v>
      </c>
      <c r="B1663" s="14" t="s">
        <v>47</v>
      </c>
      <c r="C1663" s="15">
        <v>6</v>
      </c>
      <c r="D1663" s="16">
        <v>13</v>
      </c>
      <c r="E1663" s="16"/>
      <c r="F1663" s="17"/>
      <c r="G1663" s="21"/>
      <c r="H1663" s="21"/>
      <c r="I1663" s="4">
        <v>13</v>
      </c>
      <c r="J1663" s="4">
        <v>0.21666666666666667</v>
      </c>
      <c r="K1663" s="4"/>
      <c r="L1663" s="16"/>
      <c r="M1663" s="4"/>
      <c r="N1663" s="4">
        <v>10</v>
      </c>
      <c r="O1663" s="4"/>
      <c r="P1663" s="4"/>
      <c r="Q1663" s="4"/>
      <c r="R1663" s="4"/>
      <c r="S1663" s="4">
        <v>10</v>
      </c>
      <c r="T1663" s="4">
        <v>0.16666666666666666</v>
      </c>
      <c r="U1663" s="4">
        <v>0.3833333333333333</v>
      </c>
      <c r="V1663" s="4">
        <v>11.616666666666667</v>
      </c>
      <c r="W1663" s="4">
        <v>12</v>
      </c>
      <c r="X1663" s="4">
        <v>5</v>
      </c>
      <c r="Y1663" s="4"/>
      <c r="Z1663" s="4">
        <v>588.4</v>
      </c>
      <c r="AA1663" s="4">
        <v>600</v>
      </c>
      <c r="AB1663" s="18"/>
      <c r="AC1663" s="18">
        <v>31</v>
      </c>
      <c r="AD1663" s="28"/>
      <c r="AE1663" s="26"/>
      <c r="AF1663" s="28"/>
    </row>
    <row r="1664" spans="1:32" ht="13.5" customHeight="1" x14ac:dyDescent="0.25">
      <c r="A1664" s="14">
        <v>45873</v>
      </c>
      <c r="B1664" s="14" t="s">
        <v>46</v>
      </c>
      <c r="C1664" s="15">
        <v>1</v>
      </c>
      <c r="D1664" s="16"/>
      <c r="E1664" s="16"/>
      <c r="F1664" s="17"/>
      <c r="G1664" s="21"/>
      <c r="H1664" s="21"/>
      <c r="I1664" s="4">
        <v>0</v>
      </c>
      <c r="J1664" s="4">
        <v>0</v>
      </c>
      <c r="K1664" s="4"/>
      <c r="L1664" s="16"/>
      <c r="M1664" s="4"/>
      <c r="N1664" s="4"/>
      <c r="O1664" s="4"/>
      <c r="P1664" s="4"/>
      <c r="Q1664" s="4"/>
      <c r="R1664" s="4"/>
      <c r="S1664" s="4">
        <v>0</v>
      </c>
      <c r="T1664" s="4">
        <v>0</v>
      </c>
      <c r="U1664" s="4">
        <v>0</v>
      </c>
      <c r="V1664" s="4">
        <v>12</v>
      </c>
      <c r="W1664" s="4">
        <v>12</v>
      </c>
      <c r="X1664" s="4">
        <v>2</v>
      </c>
      <c r="Y1664" s="4">
        <v>1877</v>
      </c>
      <c r="Z1664" s="4">
        <v>151</v>
      </c>
      <c r="AA1664" s="4">
        <v>150</v>
      </c>
      <c r="AB1664" s="18">
        <v>372</v>
      </c>
      <c r="AC1664" s="18">
        <v>32</v>
      </c>
      <c r="AD1664" s="28"/>
      <c r="AE1664" s="26"/>
      <c r="AF1664" s="28"/>
    </row>
    <row r="1665" spans="1:32" ht="13.5" customHeight="1" x14ac:dyDescent="0.25">
      <c r="A1665" s="14">
        <v>45873</v>
      </c>
      <c r="B1665" s="14" t="s">
        <v>47</v>
      </c>
      <c r="C1665" s="15">
        <v>1</v>
      </c>
      <c r="D1665" s="16"/>
      <c r="E1665" s="16"/>
      <c r="F1665" s="17"/>
      <c r="G1665" s="21"/>
      <c r="H1665" s="21"/>
      <c r="I1665" s="4">
        <v>0</v>
      </c>
      <c r="J1665" s="4">
        <v>0</v>
      </c>
      <c r="K1665" s="4"/>
      <c r="L1665" s="16"/>
      <c r="M1665" s="4"/>
      <c r="N1665" s="4"/>
      <c r="O1665" s="4"/>
      <c r="P1665" s="4"/>
      <c r="Q1665" s="4"/>
      <c r="R1665" s="4"/>
      <c r="S1665" s="4">
        <v>0</v>
      </c>
      <c r="T1665" s="4">
        <v>0</v>
      </c>
      <c r="U1665" s="4">
        <v>0</v>
      </c>
      <c r="V1665" s="4">
        <v>12</v>
      </c>
      <c r="W1665" s="4">
        <v>12</v>
      </c>
      <c r="X1665" s="4">
        <v>0</v>
      </c>
      <c r="Y1665" s="4"/>
      <c r="Z1665" s="4">
        <v>150</v>
      </c>
      <c r="AA1665" s="4">
        <v>150</v>
      </c>
      <c r="AB1665" s="18"/>
      <c r="AC1665" s="18">
        <v>32</v>
      </c>
      <c r="AD1665" s="28"/>
      <c r="AE1665" s="26"/>
      <c r="AF1665" s="28"/>
    </row>
    <row r="1666" spans="1:32" ht="13.5" customHeight="1" x14ac:dyDescent="0.25">
      <c r="A1666" s="14">
        <v>45873</v>
      </c>
      <c r="B1666" s="14" t="s">
        <v>46</v>
      </c>
      <c r="C1666" s="15">
        <v>3</v>
      </c>
      <c r="D1666" s="16"/>
      <c r="E1666" s="16"/>
      <c r="F1666" s="17"/>
      <c r="G1666" s="21"/>
      <c r="H1666" s="21"/>
      <c r="I1666" s="4">
        <v>0</v>
      </c>
      <c r="J1666" s="4">
        <v>0</v>
      </c>
      <c r="K1666" s="4"/>
      <c r="L1666" s="16"/>
      <c r="M1666" s="4"/>
      <c r="N1666" s="4"/>
      <c r="O1666" s="4"/>
      <c r="P1666" s="4"/>
      <c r="Q1666" s="4"/>
      <c r="R1666" s="4"/>
      <c r="S1666" s="4">
        <v>0</v>
      </c>
      <c r="T1666" s="4">
        <v>0</v>
      </c>
      <c r="U1666" s="4">
        <v>0</v>
      </c>
      <c r="V1666" s="4">
        <v>12</v>
      </c>
      <c r="W1666" s="4">
        <v>12</v>
      </c>
      <c r="X1666" s="4">
        <v>7</v>
      </c>
      <c r="Y1666" s="4"/>
      <c r="Z1666" s="4">
        <v>255.2</v>
      </c>
      <c r="AA1666" s="4">
        <v>250</v>
      </c>
      <c r="AB1666" s="18"/>
      <c r="AC1666" s="18">
        <v>32</v>
      </c>
      <c r="AD1666" s="28"/>
      <c r="AE1666" s="26"/>
      <c r="AF1666" s="28"/>
    </row>
    <row r="1667" spans="1:32" ht="13.5" customHeight="1" x14ac:dyDescent="0.25">
      <c r="A1667" s="14">
        <v>45873</v>
      </c>
      <c r="B1667" s="14" t="s">
        <v>47</v>
      </c>
      <c r="C1667" s="15">
        <v>3</v>
      </c>
      <c r="D1667" s="16"/>
      <c r="E1667" s="16"/>
      <c r="F1667" s="17"/>
      <c r="G1667" s="21"/>
      <c r="H1667" s="21"/>
      <c r="I1667" s="4">
        <v>0</v>
      </c>
      <c r="J1667" s="4">
        <v>0</v>
      </c>
      <c r="K1667" s="4"/>
      <c r="L1667" s="16"/>
      <c r="M1667" s="4"/>
      <c r="N1667" s="4"/>
      <c r="O1667" s="4"/>
      <c r="P1667" s="4"/>
      <c r="Q1667" s="4"/>
      <c r="R1667" s="4"/>
      <c r="S1667" s="4">
        <v>0</v>
      </c>
      <c r="T1667" s="4">
        <v>0</v>
      </c>
      <c r="U1667" s="4">
        <v>0</v>
      </c>
      <c r="V1667" s="4">
        <v>12</v>
      </c>
      <c r="W1667" s="4">
        <v>12</v>
      </c>
      <c r="X1667" s="4">
        <v>13</v>
      </c>
      <c r="Y1667" s="4"/>
      <c r="Z1667" s="4">
        <v>326.39999999999998</v>
      </c>
      <c r="AA1667" s="4">
        <v>350</v>
      </c>
      <c r="AB1667" s="18"/>
      <c r="AC1667" s="18">
        <v>32</v>
      </c>
      <c r="AD1667" s="28"/>
      <c r="AE1667" s="26"/>
      <c r="AF1667" s="28"/>
    </row>
    <row r="1668" spans="1:32" ht="13.5" customHeight="1" x14ac:dyDescent="0.25">
      <c r="A1668" s="14">
        <v>45873</v>
      </c>
      <c r="B1668" s="14" t="s">
        <v>46</v>
      </c>
      <c r="C1668" s="15">
        <v>4</v>
      </c>
      <c r="D1668" s="16">
        <v>1</v>
      </c>
      <c r="E1668" s="16"/>
      <c r="F1668" s="17"/>
      <c r="G1668" s="21">
        <v>420</v>
      </c>
      <c r="H1668" s="21"/>
      <c r="I1668" s="4">
        <v>421</v>
      </c>
      <c r="J1668" s="4">
        <v>7.0166666666666666</v>
      </c>
      <c r="K1668" s="4"/>
      <c r="L1668" s="16"/>
      <c r="M1668" s="4">
        <v>119</v>
      </c>
      <c r="N1668" s="4"/>
      <c r="O1668" s="4"/>
      <c r="P1668" s="4"/>
      <c r="Q1668" s="4">
        <v>60</v>
      </c>
      <c r="R1668" s="4"/>
      <c r="S1668" s="4">
        <v>179</v>
      </c>
      <c r="T1668" s="4">
        <v>2.9833333333333334</v>
      </c>
      <c r="U1668" s="4">
        <v>10</v>
      </c>
      <c r="V1668" s="4">
        <v>2</v>
      </c>
      <c r="W1668" s="4">
        <v>12</v>
      </c>
      <c r="X1668" s="4">
        <v>0</v>
      </c>
      <c r="Y1668" s="4"/>
      <c r="Z1668" s="4">
        <v>245</v>
      </c>
      <c r="AA1668" s="4">
        <v>350</v>
      </c>
      <c r="AB1668" s="18"/>
      <c r="AC1668" s="18">
        <v>32</v>
      </c>
      <c r="AD1668" s="28"/>
      <c r="AE1668" s="26"/>
      <c r="AF1668" s="28"/>
    </row>
    <row r="1669" spans="1:32" ht="13.5" customHeight="1" x14ac:dyDescent="0.25">
      <c r="A1669" s="14">
        <v>45873</v>
      </c>
      <c r="B1669" s="14" t="s">
        <v>47</v>
      </c>
      <c r="C1669" s="15">
        <v>4</v>
      </c>
      <c r="D1669" s="16"/>
      <c r="E1669" s="16"/>
      <c r="F1669" s="17"/>
      <c r="G1669" s="21"/>
      <c r="H1669" s="21"/>
      <c r="I1669" s="4">
        <v>0</v>
      </c>
      <c r="J1669" s="4">
        <v>0</v>
      </c>
      <c r="K1669" s="4"/>
      <c r="L1669" s="16"/>
      <c r="M1669" s="4"/>
      <c r="N1669" s="4"/>
      <c r="O1669" s="4"/>
      <c r="P1669" s="4"/>
      <c r="Q1669" s="4"/>
      <c r="R1669" s="4"/>
      <c r="S1669" s="4">
        <v>0</v>
      </c>
      <c r="T1669" s="4">
        <v>0</v>
      </c>
      <c r="U1669" s="4">
        <v>0</v>
      </c>
      <c r="V1669" s="4">
        <v>12</v>
      </c>
      <c r="W1669" s="4">
        <v>12</v>
      </c>
      <c r="X1669" s="4">
        <v>18</v>
      </c>
      <c r="Y1669" s="4"/>
      <c r="Z1669" s="4">
        <v>133.1</v>
      </c>
      <c r="AA1669" s="4">
        <v>150</v>
      </c>
      <c r="AB1669" s="18"/>
      <c r="AC1669" s="18">
        <v>32</v>
      </c>
      <c r="AD1669" s="28"/>
      <c r="AE1669" s="26"/>
      <c r="AF1669" s="28"/>
    </row>
    <row r="1670" spans="1:32" ht="13.5" customHeight="1" x14ac:dyDescent="0.25">
      <c r="A1670" s="14">
        <v>45873</v>
      </c>
      <c r="B1670" s="14" t="s">
        <v>46</v>
      </c>
      <c r="C1670" s="15">
        <v>6</v>
      </c>
      <c r="D1670" s="16">
        <v>22</v>
      </c>
      <c r="E1670" s="16"/>
      <c r="F1670" s="17"/>
      <c r="G1670" s="21"/>
      <c r="H1670" s="21"/>
      <c r="I1670" s="4">
        <v>22</v>
      </c>
      <c r="J1670" s="4">
        <v>0.36666666666666664</v>
      </c>
      <c r="K1670" s="4"/>
      <c r="L1670" s="16"/>
      <c r="M1670" s="4"/>
      <c r="N1670" s="4"/>
      <c r="O1670" s="4"/>
      <c r="P1670" s="4"/>
      <c r="Q1670" s="4"/>
      <c r="R1670" s="4"/>
      <c r="S1670" s="4">
        <v>0</v>
      </c>
      <c r="T1670" s="4">
        <v>0</v>
      </c>
      <c r="U1670" s="4">
        <v>0.36666666666666664</v>
      </c>
      <c r="V1670" s="4">
        <v>11.633333333333333</v>
      </c>
      <c r="W1670" s="4">
        <v>12</v>
      </c>
      <c r="X1670" s="4">
        <v>25</v>
      </c>
      <c r="Y1670" s="4"/>
      <c r="Z1670" s="4">
        <v>653</v>
      </c>
      <c r="AA1670" s="4">
        <v>700</v>
      </c>
      <c r="AB1670" s="18"/>
      <c r="AC1670" s="18">
        <v>32</v>
      </c>
      <c r="AD1670" s="28"/>
      <c r="AE1670" s="26"/>
      <c r="AF1670" s="28"/>
    </row>
    <row r="1671" spans="1:32" ht="13.5" customHeight="1" x14ac:dyDescent="0.25">
      <c r="A1671" s="14">
        <v>45873</v>
      </c>
      <c r="B1671" s="14" t="s">
        <v>47</v>
      </c>
      <c r="C1671" s="15">
        <v>6</v>
      </c>
      <c r="D1671" s="16">
        <v>15</v>
      </c>
      <c r="E1671" s="16"/>
      <c r="F1671" s="17"/>
      <c r="G1671" s="21"/>
      <c r="H1671" s="21"/>
      <c r="I1671" s="4">
        <v>15</v>
      </c>
      <c r="J1671" s="4">
        <v>0.25</v>
      </c>
      <c r="K1671" s="4"/>
      <c r="L1671" s="16"/>
      <c r="M1671" s="4"/>
      <c r="N1671" s="4"/>
      <c r="O1671" s="4"/>
      <c r="P1671" s="4"/>
      <c r="Q1671" s="4"/>
      <c r="R1671" s="4"/>
      <c r="S1671" s="4">
        <v>0</v>
      </c>
      <c r="T1671" s="4">
        <v>0</v>
      </c>
      <c r="U1671" s="4">
        <v>0.25</v>
      </c>
      <c r="V1671" s="4">
        <v>11.75</v>
      </c>
      <c r="W1671" s="4">
        <v>12</v>
      </c>
      <c r="X1671" s="4">
        <v>28</v>
      </c>
      <c r="Y1671" s="4"/>
      <c r="Z1671" s="4">
        <v>742.59999999999991</v>
      </c>
      <c r="AA1671" s="4">
        <v>800</v>
      </c>
      <c r="AB1671" s="18"/>
      <c r="AC1671" s="18">
        <v>32</v>
      </c>
      <c r="AD1671" s="28"/>
      <c r="AE1671" s="26"/>
      <c r="AF1671" s="28"/>
    </row>
    <row r="1672" spans="1:32" ht="13.5" customHeight="1" x14ac:dyDescent="0.25">
      <c r="A1672" s="14">
        <v>45874</v>
      </c>
      <c r="B1672" s="14" t="s">
        <v>46</v>
      </c>
      <c r="C1672" s="15">
        <v>1</v>
      </c>
      <c r="D1672" s="16">
        <v>3</v>
      </c>
      <c r="E1672" s="16"/>
      <c r="F1672" s="17"/>
      <c r="G1672" s="21"/>
      <c r="H1672" s="21"/>
      <c r="I1672" s="4">
        <v>3</v>
      </c>
      <c r="J1672" s="4">
        <v>0.05</v>
      </c>
      <c r="K1672" s="4"/>
      <c r="L1672" s="16"/>
      <c r="M1672" s="4"/>
      <c r="N1672" s="4"/>
      <c r="O1672" s="4"/>
      <c r="P1672" s="4"/>
      <c r="Q1672" s="4"/>
      <c r="R1672" s="4"/>
      <c r="S1672" s="4">
        <v>0</v>
      </c>
      <c r="T1672" s="4">
        <v>0</v>
      </c>
      <c r="U1672" s="4">
        <v>0.05</v>
      </c>
      <c r="V1672" s="4">
        <v>11.95</v>
      </c>
      <c r="W1672" s="4">
        <v>12</v>
      </c>
      <c r="X1672" s="4">
        <v>8</v>
      </c>
      <c r="Y1672" s="4">
        <v>1856</v>
      </c>
      <c r="Z1672" s="4">
        <v>172.29999999999998</v>
      </c>
      <c r="AA1672" s="4">
        <v>200</v>
      </c>
      <c r="AB1672" s="18">
        <v>372</v>
      </c>
      <c r="AC1672" s="18">
        <v>32</v>
      </c>
      <c r="AD1672" s="28"/>
      <c r="AE1672" s="26"/>
      <c r="AF1672" s="28"/>
    </row>
    <row r="1673" spans="1:32" ht="13.5" customHeight="1" x14ac:dyDescent="0.25">
      <c r="A1673" s="14">
        <v>45874</v>
      </c>
      <c r="B1673" s="14" t="s">
        <v>47</v>
      </c>
      <c r="C1673" s="15">
        <v>1</v>
      </c>
      <c r="D1673" s="16"/>
      <c r="E1673" s="16"/>
      <c r="F1673" s="17"/>
      <c r="G1673" s="21"/>
      <c r="H1673" s="21"/>
      <c r="I1673" s="4">
        <v>0</v>
      </c>
      <c r="J1673" s="4">
        <v>0</v>
      </c>
      <c r="K1673" s="4"/>
      <c r="L1673" s="16"/>
      <c r="M1673" s="4"/>
      <c r="N1673" s="4"/>
      <c r="O1673" s="4"/>
      <c r="P1673" s="4"/>
      <c r="Q1673" s="4"/>
      <c r="R1673" s="4"/>
      <c r="S1673" s="4">
        <v>0</v>
      </c>
      <c r="T1673" s="4">
        <v>0</v>
      </c>
      <c r="U1673" s="4">
        <v>0</v>
      </c>
      <c r="V1673" s="4">
        <v>12</v>
      </c>
      <c r="W1673" s="4">
        <v>12</v>
      </c>
      <c r="X1673" s="4">
        <v>0</v>
      </c>
      <c r="Y1673" s="4"/>
      <c r="Z1673" s="4">
        <v>207.9</v>
      </c>
      <c r="AA1673" s="4">
        <v>200</v>
      </c>
      <c r="AB1673" s="18"/>
      <c r="AC1673" s="18">
        <v>32</v>
      </c>
      <c r="AD1673" s="28"/>
      <c r="AE1673" s="26"/>
      <c r="AF1673" s="28"/>
    </row>
    <row r="1674" spans="1:32" ht="13.5" customHeight="1" x14ac:dyDescent="0.25">
      <c r="A1674" s="14">
        <v>45874</v>
      </c>
      <c r="B1674" s="14" t="s">
        <v>46</v>
      </c>
      <c r="C1674" s="15">
        <v>3</v>
      </c>
      <c r="D1674" s="16">
        <v>11</v>
      </c>
      <c r="E1674" s="16"/>
      <c r="F1674" s="17"/>
      <c r="G1674" s="21"/>
      <c r="H1674" s="21"/>
      <c r="I1674" s="4">
        <v>11</v>
      </c>
      <c r="J1674" s="4">
        <v>0.18333333333333332</v>
      </c>
      <c r="K1674" s="4"/>
      <c r="L1674" s="16"/>
      <c r="M1674" s="4"/>
      <c r="N1674" s="4"/>
      <c r="O1674" s="4"/>
      <c r="P1674" s="4"/>
      <c r="Q1674" s="4"/>
      <c r="R1674" s="4"/>
      <c r="S1674" s="4">
        <v>0</v>
      </c>
      <c r="T1674" s="4">
        <v>0</v>
      </c>
      <c r="U1674" s="4">
        <v>0.18333333333333332</v>
      </c>
      <c r="V1674" s="4">
        <v>11.816666666666666</v>
      </c>
      <c r="W1674" s="4">
        <v>12</v>
      </c>
      <c r="X1674" s="4">
        <v>15</v>
      </c>
      <c r="Y1674" s="4"/>
      <c r="Z1674" s="4">
        <v>323.39999999999998</v>
      </c>
      <c r="AA1674" s="4">
        <v>350</v>
      </c>
      <c r="AB1674" s="18"/>
      <c r="AC1674" s="18">
        <v>32</v>
      </c>
      <c r="AD1674" s="28"/>
      <c r="AE1674" s="26"/>
      <c r="AF1674" s="28"/>
    </row>
    <row r="1675" spans="1:32" ht="13.5" customHeight="1" x14ac:dyDescent="0.25">
      <c r="A1675" s="14">
        <v>45874</v>
      </c>
      <c r="B1675" s="14" t="s">
        <v>47</v>
      </c>
      <c r="C1675" s="15">
        <v>3</v>
      </c>
      <c r="D1675" s="16">
        <v>5</v>
      </c>
      <c r="E1675" s="16"/>
      <c r="F1675" s="17"/>
      <c r="G1675" s="21"/>
      <c r="H1675" s="21"/>
      <c r="I1675" s="4">
        <v>5</v>
      </c>
      <c r="J1675" s="4">
        <v>8.3333333333333329E-2</v>
      </c>
      <c r="K1675" s="4"/>
      <c r="L1675" s="16"/>
      <c r="M1675" s="4"/>
      <c r="N1675" s="4"/>
      <c r="O1675" s="4"/>
      <c r="P1675" s="4"/>
      <c r="Q1675" s="4">
        <v>35</v>
      </c>
      <c r="R1675" s="4"/>
      <c r="S1675" s="4">
        <v>35</v>
      </c>
      <c r="T1675" s="4">
        <v>0.58333333333333337</v>
      </c>
      <c r="U1675" s="4">
        <v>0.66666666666666674</v>
      </c>
      <c r="V1675" s="4">
        <v>11.333333333333334</v>
      </c>
      <c r="W1675" s="4">
        <v>12</v>
      </c>
      <c r="X1675" s="4">
        <v>0</v>
      </c>
      <c r="Y1675" s="4"/>
      <c r="Z1675" s="4">
        <v>250.49999999999997</v>
      </c>
      <c r="AA1675" s="4">
        <v>250</v>
      </c>
      <c r="AB1675" s="18"/>
      <c r="AC1675" s="18">
        <v>32</v>
      </c>
      <c r="AD1675" s="28"/>
      <c r="AE1675" s="26"/>
      <c r="AF1675" s="28"/>
    </row>
    <row r="1676" spans="1:32" ht="13.5" customHeight="1" x14ac:dyDescent="0.25">
      <c r="A1676" s="14">
        <v>45874</v>
      </c>
      <c r="B1676" s="14" t="s">
        <v>46</v>
      </c>
      <c r="C1676" s="15">
        <v>4</v>
      </c>
      <c r="D1676" s="16">
        <v>3</v>
      </c>
      <c r="E1676" s="16"/>
      <c r="F1676" s="17"/>
      <c r="G1676" s="21"/>
      <c r="H1676" s="21"/>
      <c r="I1676" s="4">
        <v>3</v>
      </c>
      <c r="J1676" s="4">
        <v>0.05</v>
      </c>
      <c r="K1676" s="4"/>
      <c r="L1676" s="16"/>
      <c r="M1676" s="4"/>
      <c r="N1676" s="4"/>
      <c r="O1676" s="4"/>
      <c r="P1676" s="4"/>
      <c r="Q1676" s="4"/>
      <c r="R1676" s="4"/>
      <c r="S1676" s="4">
        <v>0</v>
      </c>
      <c r="T1676" s="4">
        <v>0</v>
      </c>
      <c r="U1676" s="4">
        <v>0.05</v>
      </c>
      <c r="V1676" s="4">
        <v>11.95</v>
      </c>
      <c r="W1676" s="4">
        <v>12</v>
      </c>
      <c r="X1676" s="4">
        <v>7</v>
      </c>
      <c r="Y1676" s="4"/>
      <c r="Z1676" s="4">
        <v>204.89999999999998</v>
      </c>
      <c r="AA1676" s="4">
        <v>200</v>
      </c>
      <c r="AB1676" s="18"/>
      <c r="AC1676" s="18">
        <v>32</v>
      </c>
      <c r="AD1676" s="28"/>
      <c r="AE1676" s="26"/>
      <c r="AF1676" s="28"/>
    </row>
    <row r="1677" spans="1:32" ht="13.5" customHeight="1" x14ac:dyDescent="0.25">
      <c r="A1677" s="14">
        <v>45874</v>
      </c>
      <c r="B1677" s="14" t="s">
        <v>47</v>
      </c>
      <c r="C1677" s="15">
        <v>4</v>
      </c>
      <c r="D1677" s="16"/>
      <c r="E1677" s="16"/>
      <c r="F1677" s="17"/>
      <c r="G1677" s="21"/>
      <c r="H1677" s="21"/>
      <c r="I1677" s="4">
        <v>0</v>
      </c>
      <c r="J1677" s="4">
        <v>0</v>
      </c>
      <c r="K1677" s="4"/>
      <c r="L1677" s="16"/>
      <c r="M1677" s="4"/>
      <c r="N1677" s="4"/>
      <c r="O1677" s="4"/>
      <c r="P1677" s="4"/>
      <c r="Q1677" s="4"/>
      <c r="R1677" s="4"/>
      <c r="S1677" s="4">
        <v>0</v>
      </c>
      <c r="T1677" s="4">
        <v>0</v>
      </c>
      <c r="U1677" s="4">
        <v>0</v>
      </c>
      <c r="V1677" s="4">
        <v>12</v>
      </c>
      <c r="W1677" s="4">
        <v>12</v>
      </c>
      <c r="X1677" s="4">
        <v>0</v>
      </c>
      <c r="Y1677" s="4"/>
      <c r="Z1677" s="4">
        <v>283.2</v>
      </c>
      <c r="AA1677" s="4">
        <v>300</v>
      </c>
      <c r="AB1677" s="18"/>
      <c r="AC1677" s="18">
        <v>32</v>
      </c>
      <c r="AD1677" s="28"/>
      <c r="AE1677" s="26"/>
      <c r="AF1677" s="28"/>
    </row>
    <row r="1678" spans="1:32" ht="13.5" customHeight="1" x14ac:dyDescent="0.25">
      <c r="A1678" s="14">
        <v>45874</v>
      </c>
      <c r="B1678" s="14" t="s">
        <v>46</v>
      </c>
      <c r="C1678" s="15">
        <v>6</v>
      </c>
      <c r="D1678" s="16">
        <v>10</v>
      </c>
      <c r="E1678" s="16"/>
      <c r="F1678" s="17"/>
      <c r="G1678" s="21"/>
      <c r="H1678" s="21"/>
      <c r="I1678" s="4">
        <v>10</v>
      </c>
      <c r="J1678" s="4">
        <v>0.16666666666666666</v>
      </c>
      <c r="K1678" s="4"/>
      <c r="L1678" s="16"/>
      <c r="M1678" s="4"/>
      <c r="N1678" s="4"/>
      <c r="O1678" s="4"/>
      <c r="P1678" s="4"/>
      <c r="Q1678" s="4"/>
      <c r="R1678" s="4"/>
      <c r="S1678" s="4">
        <v>0</v>
      </c>
      <c r="T1678" s="4">
        <v>0</v>
      </c>
      <c r="U1678" s="4">
        <v>0.16666666666666666</v>
      </c>
      <c r="V1678" s="4">
        <v>11.833333333333334</v>
      </c>
      <c r="W1678" s="4">
        <v>12</v>
      </c>
      <c r="X1678" s="4">
        <v>48</v>
      </c>
      <c r="Y1678" s="4"/>
      <c r="Z1678" s="4">
        <v>658.99999999999989</v>
      </c>
      <c r="AA1678" s="4">
        <v>650</v>
      </c>
      <c r="AB1678" s="18"/>
      <c r="AC1678" s="18">
        <v>32</v>
      </c>
      <c r="AD1678" s="28"/>
      <c r="AE1678" s="26"/>
      <c r="AF1678" s="28"/>
    </row>
    <row r="1679" spans="1:32" ht="13.5" customHeight="1" x14ac:dyDescent="0.25">
      <c r="A1679" s="14">
        <v>45874</v>
      </c>
      <c r="B1679" s="14" t="s">
        <v>47</v>
      </c>
      <c r="C1679" s="15">
        <v>6</v>
      </c>
      <c r="D1679" s="16">
        <v>15</v>
      </c>
      <c r="E1679" s="16"/>
      <c r="F1679" s="17"/>
      <c r="G1679" s="21"/>
      <c r="H1679" s="21"/>
      <c r="I1679" s="4">
        <v>15</v>
      </c>
      <c r="J1679" s="4">
        <v>0.25</v>
      </c>
      <c r="K1679" s="4"/>
      <c r="L1679" s="16"/>
      <c r="M1679" s="4"/>
      <c r="N1679" s="4"/>
      <c r="O1679" s="4"/>
      <c r="P1679" s="4"/>
      <c r="Q1679" s="4"/>
      <c r="R1679" s="4"/>
      <c r="S1679" s="4">
        <v>0</v>
      </c>
      <c r="T1679" s="4">
        <v>0</v>
      </c>
      <c r="U1679" s="4">
        <v>0.25</v>
      </c>
      <c r="V1679" s="4">
        <v>11.75</v>
      </c>
      <c r="W1679" s="4">
        <v>12</v>
      </c>
      <c r="X1679" s="4">
        <v>0</v>
      </c>
      <c r="Y1679" s="4"/>
      <c r="Z1679" s="4">
        <v>570.59999999999991</v>
      </c>
      <c r="AA1679" s="4">
        <v>600</v>
      </c>
      <c r="AB1679" s="18"/>
      <c r="AC1679" s="18">
        <v>32</v>
      </c>
      <c r="AD1679" s="28"/>
      <c r="AE1679" s="26"/>
      <c r="AF1679" s="28"/>
    </row>
    <row r="1680" spans="1:32" ht="13.5" customHeight="1" x14ac:dyDescent="0.25">
      <c r="A1680" s="14">
        <v>45875</v>
      </c>
      <c r="B1680" s="14" t="s">
        <v>46</v>
      </c>
      <c r="C1680" s="15">
        <v>1</v>
      </c>
      <c r="D1680" s="16">
        <v>3</v>
      </c>
      <c r="E1680" s="16"/>
      <c r="F1680" s="17"/>
      <c r="G1680" s="21"/>
      <c r="H1680" s="21"/>
      <c r="I1680" s="4">
        <v>3</v>
      </c>
      <c r="J1680" s="4">
        <v>0.05</v>
      </c>
      <c r="K1680" s="4"/>
      <c r="L1680" s="16"/>
      <c r="M1680" s="4"/>
      <c r="N1680" s="4"/>
      <c r="O1680" s="4"/>
      <c r="P1680" s="4"/>
      <c r="Q1680" s="4"/>
      <c r="R1680" s="4"/>
      <c r="S1680" s="4">
        <v>0</v>
      </c>
      <c r="T1680" s="4">
        <v>0</v>
      </c>
      <c r="U1680" s="4">
        <v>0.05</v>
      </c>
      <c r="V1680" s="4">
        <v>11.95</v>
      </c>
      <c r="W1680" s="4">
        <v>12</v>
      </c>
      <c r="X1680" s="4">
        <v>0</v>
      </c>
      <c r="Y1680" s="4">
        <v>1880</v>
      </c>
      <c r="Z1680" s="4">
        <v>201.42</v>
      </c>
      <c r="AA1680" s="4">
        <v>200</v>
      </c>
      <c r="AB1680" s="18">
        <v>372</v>
      </c>
      <c r="AC1680" s="18">
        <v>32</v>
      </c>
      <c r="AD1680" s="28"/>
      <c r="AE1680" s="26"/>
      <c r="AF1680" s="28"/>
    </row>
    <row r="1681" spans="1:32" ht="13.5" customHeight="1" x14ac:dyDescent="0.25">
      <c r="A1681" s="14">
        <v>45875</v>
      </c>
      <c r="B1681" s="14" t="s">
        <v>47</v>
      </c>
      <c r="C1681" s="15">
        <v>1</v>
      </c>
      <c r="D1681" s="16"/>
      <c r="E1681" s="16"/>
      <c r="F1681" s="17"/>
      <c r="G1681" s="21"/>
      <c r="H1681" s="21"/>
      <c r="I1681" s="4">
        <v>0</v>
      </c>
      <c r="J1681" s="4">
        <v>0</v>
      </c>
      <c r="K1681" s="4"/>
      <c r="L1681" s="16"/>
      <c r="M1681" s="4"/>
      <c r="N1681" s="4"/>
      <c r="O1681" s="4"/>
      <c r="P1681" s="4"/>
      <c r="Q1681" s="4"/>
      <c r="R1681" s="4"/>
      <c r="S1681" s="4">
        <v>0</v>
      </c>
      <c r="T1681" s="4">
        <v>0</v>
      </c>
      <c r="U1681" s="4">
        <v>0</v>
      </c>
      <c r="V1681" s="4">
        <v>12</v>
      </c>
      <c r="W1681" s="4">
        <v>12</v>
      </c>
      <c r="X1681" s="4">
        <v>0</v>
      </c>
      <c r="Y1681" s="4"/>
      <c r="Z1681" s="4">
        <v>189.1</v>
      </c>
      <c r="AA1681" s="4">
        <v>200</v>
      </c>
      <c r="AB1681" s="18"/>
      <c r="AC1681" s="18">
        <v>32</v>
      </c>
      <c r="AD1681" s="28"/>
      <c r="AE1681" s="26"/>
      <c r="AF1681" s="28"/>
    </row>
    <row r="1682" spans="1:32" ht="13.5" customHeight="1" x14ac:dyDescent="0.25">
      <c r="A1682" s="14">
        <v>45875</v>
      </c>
      <c r="B1682" s="14" t="s">
        <v>46</v>
      </c>
      <c r="C1682" s="15">
        <v>3</v>
      </c>
      <c r="D1682" s="16">
        <v>7</v>
      </c>
      <c r="E1682" s="16"/>
      <c r="F1682" s="17"/>
      <c r="G1682" s="21"/>
      <c r="H1682" s="21"/>
      <c r="I1682" s="4">
        <v>7</v>
      </c>
      <c r="J1682" s="4">
        <v>0.11666666666666667</v>
      </c>
      <c r="K1682" s="4"/>
      <c r="L1682" s="16"/>
      <c r="M1682" s="4"/>
      <c r="N1682" s="4"/>
      <c r="O1682" s="4"/>
      <c r="P1682" s="4">
        <v>90</v>
      </c>
      <c r="Q1682" s="4"/>
      <c r="R1682" s="4"/>
      <c r="S1682" s="4">
        <v>90</v>
      </c>
      <c r="T1682" s="4">
        <v>1.5</v>
      </c>
      <c r="U1682" s="4">
        <v>1.6166666666666667</v>
      </c>
      <c r="V1682" s="4">
        <v>10.383333333333333</v>
      </c>
      <c r="W1682" s="4">
        <v>12</v>
      </c>
      <c r="X1682" s="4">
        <v>12</v>
      </c>
      <c r="Y1682" s="4"/>
      <c r="Z1682" s="4">
        <v>253.2</v>
      </c>
      <c r="AA1682" s="4">
        <v>250</v>
      </c>
      <c r="AB1682" s="18"/>
      <c r="AC1682" s="18">
        <v>32</v>
      </c>
      <c r="AD1682" s="28"/>
      <c r="AE1682" s="26"/>
      <c r="AF1682" s="28"/>
    </row>
    <row r="1683" spans="1:32" ht="13.5" customHeight="1" x14ac:dyDescent="0.25">
      <c r="A1683" s="14">
        <v>45875</v>
      </c>
      <c r="B1683" s="14" t="s">
        <v>47</v>
      </c>
      <c r="C1683" s="15">
        <v>3</v>
      </c>
      <c r="D1683" s="16">
        <v>14</v>
      </c>
      <c r="E1683" s="16"/>
      <c r="F1683" s="17"/>
      <c r="G1683" s="21"/>
      <c r="H1683" s="21"/>
      <c r="I1683" s="4">
        <v>14</v>
      </c>
      <c r="J1683" s="4">
        <v>0.23333333333333334</v>
      </c>
      <c r="K1683" s="4"/>
      <c r="L1683" s="16"/>
      <c r="M1683" s="4"/>
      <c r="N1683" s="4"/>
      <c r="O1683" s="4"/>
      <c r="P1683" s="4"/>
      <c r="Q1683" s="4"/>
      <c r="R1683" s="4"/>
      <c r="S1683" s="4">
        <v>0</v>
      </c>
      <c r="T1683" s="4">
        <v>0</v>
      </c>
      <c r="U1683" s="4">
        <v>0.23333333333333334</v>
      </c>
      <c r="V1683" s="4">
        <v>11.766666666666667</v>
      </c>
      <c r="W1683" s="4">
        <v>12</v>
      </c>
      <c r="X1683" s="4">
        <v>0</v>
      </c>
      <c r="Y1683" s="4"/>
      <c r="Z1683" s="4">
        <v>365.4</v>
      </c>
      <c r="AA1683" s="4">
        <v>350</v>
      </c>
      <c r="AB1683" s="18"/>
      <c r="AC1683" s="18">
        <v>32</v>
      </c>
      <c r="AD1683" s="28"/>
      <c r="AE1683" s="26"/>
      <c r="AF1683" s="28"/>
    </row>
    <row r="1684" spans="1:32" ht="13.5" customHeight="1" x14ac:dyDescent="0.25">
      <c r="A1684" s="14">
        <v>45875</v>
      </c>
      <c r="B1684" s="14" t="s">
        <v>46</v>
      </c>
      <c r="C1684" s="15">
        <v>4</v>
      </c>
      <c r="D1684" s="16">
        <v>5</v>
      </c>
      <c r="E1684" s="16"/>
      <c r="F1684" s="17"/>
      <c r="G1684" s="21"/>
      <c r="H1684" s="21"/>
      <c r="I1684" s="4">
        <v>5</v>
      </c>
      <c r="J1684" s="4">
        <v>8.3333333333333329E-2</v>
      </c>
      <c r="K1684" s="4"/>
      <c r="L1684" s="16"/>
      <c r="M1684" s="4"/>
      <c r="N1684" s="4"/>
      <c r="O1684" s="4"/>
      <c r="P1684" s="4"/>
      <c r="Q1684" s="4"/>
      <c r="R1684" s="4"/>
      <c r="S1684" s="4">
        <v>0</v>
      </c>
      <c r="T1684" s="4">
        <v>0</v>
      </c>
      <c r="U1684" s="4">
        <v>8.3333333333333329E-2</v>
      </c>
      <c r="V1684" s="4">
        <v>11.916666666666666</v>
      </c>
      <c r="W1684" s="4">
        <v>12</v>
      </c>
      <c r="X1684" s="4">
        <v>93</v>
      </c>
      <c r="Y1684" s="4"/>
      <c r="Z1684" s="4">
        <v>303.60000000000002</v>
      </c>
      <c r="AA1684" s="4">
        <v>300</v>
      </c>
      <c r="AB1684" s="18"/>
      <c r="AC1684" s="18">
        <v>32</v>
      </c>
      <c r="AD1684" s="28"/>
      <c r="AE1684" s="26"/>
      <c r="AF1684" s="28"/>
    </row>
    <row r="1685" spans="1:32" ht="13.5" customHeight="1" x14ac:dyDescent="0.25">
      <c r="A1685" s="14">
        <v>45875</v>
      </c>
      <c r="B1685" s="14" t="s">
        <v>47</v>
      </c>
      <c r="C1685" s="15">
        <v>4</v>
      </c>
      <c r="D1685" s="16"/>
      <c r="E1685" s="16"/>
      <c r="F1685" s="17"/>
      <c r="G1685" s="21"/>
      <c r="H1685" s="21"/>
      <c r="I1685" s="4">
        <v>0</v>
      </c>
      <c r="J1685" s="4">
        <v>0</v>
      </c>
      <c r="K1685" s="4"/>
      <c r="L1685" s="16"/>
      <c r="M1685" s="4"/>
      <c r="N1685" s="4"/>
      <c r="O1685" s="4">
        <v>20</v>
      </c>
      <c r="P1685" s="4"/>
      <c r="Q1685" s="4"/>
      <c r="R1685" s="4"/>
      <c r="S1685" s="4">
        <v>20</v>
      </c>
      <c r="T1685" s="4">
        <v>0.33333333333333331</v>
      </c>
      <c r="U1685" s="4">
        <v>0.33333333333333331</v>
      </c>
      <c r="V1685" s="4">
        <v>11.666666666666666</v>
      </c>
      <c r="W1685" s="4">
        <v>12</v>
      </c>
      <c r="X1685" s="4">
        <v>67</v>
      </c>
      <c r="Y1685" s="4"/>
      <c r="Z1685" s="4">
        <v>314.10000000000002</v>
      </c>
      <c r="AA1685" s="4">
        <v>300</v>
      </c>
      <c r="AB1685" s="18"/>
      <c r="AC1685" s="18">
        <v>32</v>
      </c>
      <c r="AD1685" s="28"/>
      <c r="AE1685" s="26"/>
      <c r="AF1685" s="28"/>
    </row>
    <row r="1686" spans="1:32" ht="13.5" customHeight="1" x14ac:dyDescent="0.25">
      <c r="A1686" s="14">
        <v>45875</v>
      </c>
      <c r="B1686" s="14" t="s">
        <v>46</v>
      </c>
      <c r="C1686" s="15">
        <v>6</v>
      </c>
      <c r="D1686" s="16">
        <v>10</v>
      </c>
      <c r="E1686" s="16"/>
      <c r="F1686" s="17"/>
      <c r="G1686" s="21"/>
      <c r="H1686" s="21"/>
      <c r="I1686" s="4">
        <v>10</v>
      </c>
      <c r="J1686" s="4">
        <v>0.16666666666666666</v>
      </c>
      <c r="K1686" s="4"/>
      <c r="L1686" s="16"/>
      <c r="M1686" s="4"/>
      <c r="N1686" s="4">
        <v>10</v>
      </c>
      <c r="O1686" s="4"/>
      <c r="P1686" s="4"/>
      <c r="Q1686" s="4"/>
      <c r="R1686" s="4"/>
      <c r="S1686" s="4">
        <v>10</v>
      </c>
      <c r="T1686" s="4">
        <v>0.16666666666666666</v>
      </c>
      <c r="U1686" s="4">
        <v>0.33333333333333331</v>
      </c>
      <c r="V1686" s="4">
        <v>11.666666666666666</v>
      </c>
      <c r="W1686" s="4">
        <v>12</v>
      </c>
      <c r="X1686" s="4">
        <v>0</v>
      </c>
      <c r="Y1686" s="4"/>
      <c r="Z1686" s="4">
        <v>717.1</v>
      </c>
      <c r="AA1686" s="4">
        <v>750</v>
      </c>
      <c r="AB1686" s="18"/>
      <c r="AC1686" s="18">
        <v>32</v>
      </c>
      <c r="AD1686" s="28"/>
      <c r="AE1686" s="26"/>
      <c r="AF1686" s="28"/>
    </row>
    <row r="1687" spans="1:32" ht="13.5" customHeight="1" x14ac:dyDescent="0.25">
      <c r="A1687" s="14">
        <v>45875</v>
      </c>
      <c r="B1687" s="14" t="s">
        <v>47</v>
      </c>
      <c r="C1687" s="15">
        <v>6</v>
      </c>
      <c r="D1687" s="16"/>
      <c r="E1687" s="16"/>
      <c r="F1687" s="17"/>
      <c r="G1687" s="21"/>
      <c r="H1687" s="21"/>
      <c r="I1687" s="4">
        <v>0</v>
      </c>
      <c r="J1687" s="4">
        <v>0</v>
      </c>
      <c r="K1687" s="4"/>
      <c r="L1687" s="16"/>
      <c r="M1687" s="4"/>
      <c r="N1687" s="4"/>
      <c r="O1687" s="4"/>
      <c r="P1687" s="4"/>
      <c r="Q1687" s="4"/>
      <c r="R1687" s="4"/>
      <c r="S1687" s="4">
        <v>0</v>
      </c>
      <c r="T1687" s="4">
        <v>0</v>
      </c>
      <c r="U1687" s="4">
        <v>0</v>
      </c>
      <c r="V1687" s="4">
        <v>12</v>
      </c>
      <c r="W1687" s="4">
        <v>12</v>
      </c>
      <c r="X1687" s="4">
        <v>0</v>
      </c>
      <c r="Y1687" s="4"/>
      <c r="Z1687" s="4">
        <v>638.00000000000011</v>
      </c>
      <c r="AA1687" s="4">
        <v>650</v>
      </c>
      <c r="AB1687" s="18"/>
      <c r="AC1687" s="18">
        <v>32</v>
      </c>
      <c r="AD1687" s="28"/>
      <c r="AE1687" s="26"/>
      <c r="AF1687" s="28"/>
    </row>
    <row r="1688" spans="1:32" ht="13.5" customHeight="1" x14ac:dyDescent="0.25">
      <c r="A1688" s="14">
        <v>45876</v>
      </c>
      <c r="B1688" s="14" t="s">
        <v>46</v>
      </c>
      <c r="C1688" s="15">
        <v>1</v>
      </c>
      <c r="D1688" s="16">
        <v>5</v>
      </c>
      <c r="E1688" s="16"/>
      <c r="F1688" s="17"/>
      <c r="G1688" s="21"/>
      <c r="H1688" s="21"/>
      <c r="I1688" s="4">
        <v>5</v>
      </c>
      <c r="J1688" s="4">
        <v>8.3333333333333329E-2</v>
      </c>
      <c r="K1688" s="4"/>
      <c r="L1688" s="16"/>
      <c r="M1688" s="4"/>
      <c r="N1688" s="4"/>
      <c r="O1688" s="4"/>
      <c r="P1688" s="4"/>
      <c r="Q1688" s="4"/>
      <c r="R1688" s="4"/>
      <c r="S1688" s="4">
        <v>0</v>
      </c>
      <c r="T1688" s="4">
        <v>0</v>
      </c>
      <c r="U1688" s="4">
        <v>8.3333333333333329E-2</v>
      </c>
      <c r="V1688" s="4">
        <v>11.916666666666666</v>
      </c>
      <c r="W1688" s="4">
        <v>12</v>
      </c>
      <c r="X1688" s="4">
        <v>75</v>
      </c>
      <c r="Y1688" s="4">
        <v>1853.5</v>
      </c>
      <c r="Z1688" s="4">
        <v>170.10000000000002</v>
      </c>
      <c r="AA1688" s="4">
        <v>150</v>
      </c>
      <c r="AB1688" s="18">
        <v>372</v>
      </c>
      <c r="AC1688" s="18">
        <v>32</v>
      </c>
      <c r="AD1688" s="28"/>
      <c r="AE1688" s="26"/>
      <c r="AF1688" s="28"/>
    </row>
    <row r="1689" spans="1:32" ht="13.5" customHeight="1" x14ac:dyDescent="0.25">
      <c r="A1689" s="14">
        <v>45876</v>
      </c>
      <c r="B1689" s="14" t="s">
        <v>47</v>
      </c>
      <c r="C1689" s="15">
        <v>1</v>
      </c>
      <c r="D1689" s="16"/>
      <c r="E1689" s="16"/>
      <c r="F1689" s="17"/>
      <c r="G1689" s="21"/>
      <c r="H1689" s="21"/>
      <c r="I1689" s="4">
        <v>0</v>
      </c>
      <c r="J1689" s="4">
        <v>0</v>
      </c>
      <c r="K1689" s="4"/>
      <c r="L1689" s="16"/>
      <c r="M1689" s="4"/>
      <c r="N1689" s="4"/>
      <c r="O1689" s="4"/>
      <c r="P1689" s="4"/>
      <c r="Q1689" s="4"/>
      <c r="R1689" s="4"/>
      <c r="S1689" s="4">
        <v>0</v>
      </c>
      <c r="T1689" s="4">
        <v>0</v>
      </c>
      <c r="U1689" s="4">
        <v>0</v>
      </c>
      <c r="V1689" s="4">
        <v>12</v>
      </c>
      <c r="W1689" s="4">
        <v>12</v>
      </c>
      <c r="X1689" s="4">
        <v>33</v>
      </c>
      <c r="Y1689" s="4"/>
      <c r="Z1689" s="4">
        <v>187.7</v>
      </c>
      <c r="AA1689" s="4">
        <v>200</v>
      </c>
      <c r="AB1689" s="18"/>
      <c r="AC1689" s="18">
        <v>32</v>
      </c>
      <c r="AD1689" s="28"/>
      <c r="AE1689" s="26"/>
      <c r="AF1689" s="28"/>
    </row>
    <row r="1690" spans="1:32" ht="13.5" customHeight="1" x14ac:dyDescent="0.25">
      <c r="A1690" s="14">
        <v>45876</v>
      </c>
      <c r="B1690" s="14" t="s">
        <v>46</v>
      </c>
      <c r="C1690" s="15">
        <v>3</v>
      </c>
      <c r="D1690" s="16"/>
      <c r="E1690" s="16"/>
      <c r="F1690" s="17"/>
      <c r="G1690" s="21"/>
      <c r="H1690" s="21"/>
      <c r="I1690" s="4">
        <v>0</v>
      </c>
      <c r="J1690" s="4">
        <v>0</v>
      </c>
      <c r="K1690" s="4"/>
      <c r="L1690" s="16"/>
      <c r="M1690" s="4"/>
      <c r="N1690" s="4"/>
      <c r="O1690" s="4"/>
      <c r="P1690" s="4"/>
      <c r="Q1690" s="4"/>
      <c r="R1690" s="4"/>
      <c r="S1690" s="4">
        <v>0</v>
      </c>
      <c r="T1690" s="4">
        <v>0</v>
      </c>
      <c r="U1690" s="4">
        <v>0</v>
      </c>
      <c r="V1690" s="4">
        <v>12</v>
      </c>
      <c r="W1690" s="4">
        <v>12</v>
      </c>
      <c r="X1690" s="4">
        <v>0</v>
      </c>
      <c r="Y1690" s="4"/>
      <c r="Z1690" s="4">
        <v>345.8</v>
      </c>
      <c r="AA1690" s="4">
        <v>350</v>
      </c>
      <c r="AB1690" s="18"/>
      <c r="AC1690" s="18">
        <v>32</v>
      </c>
      <c r="AD1690" s="28"/>
      <c r="AE1690" s="26"/>
      <c r="AF1690" s="28"/>
    </row>
    <row r="1691" spans="1:32" ht="13.5" customHeight="1" x14ac:dyDescent="0.25">
      <c r="A1691" s="14">
        <v>45876</v>
      </c>
      <c r="B1691" s="14" t="s">
        <v>47</v>
      </c>
      <c r="C1691" s="15">
        <v>3</v>
      </c>
      <c r="D1691" s="16"/>
      <c r="E1691" s="16"/>
      <c r="F1691" s="17"/>
      <c r="G1691" s="21"/>
      <c r="H1691" s="21"/>
      <c r="I1691" s="4">
        <v>0</v>
      </c>
      <c r="J1691" s="4">
        <v>0</v>
      </c>
      <c r="K1691" s="4"/>
      <c r="L1691" s="16"/>
      <c r="M1691" s="4"/>
      <c r="N1691" s="4"/>
      <c r="O1691" s="4"/>
      <c r="P1691" s="4"/>
      <c r="Q1691" s="4"/>
      <c r="R1691" s="4"/>
      <c r="S1691" s="4">
        <v>0</v>
      </c>
      <c r="T1691" s="4">
        <v>0</v>
      </c>
      <c r="U1691" s="4">
        <v>0</v>
      </c>
      <c r="V1691" s="4">
        <v>12</v>
      </c>
      <c r="W1691" s="4">
        <v>12</v>
      </c>
      <c r="X1691" s="4">
        <v>0</v>
      </c>
      <c r="Y1691" s="4"/>
      <c r="Z1691" s="4">
        <v>398.4</v>
      </c>
      <c r="AA1691" s="4">
        <v>400</v>
      </c>
      <c r="AB1691" s="18"/>
      <c r="AC1691" s="18">
        <v>32</v>
      </c>
      <c r="AD1691" s="28"/>
      <c r="AE1691" s="26"/>
      <c r="AF1691" s="28"/>
    </row>
    <row r="1692" spans="1:32" ht="13.5" customHeight="1" x14ac:dyDescent="0.25">
      <c r="A1692" s="14">
        <v>45876</v>
      </c>
      <c r="B1692" s="14" t="s">
        <v>46</v>
      </c>
      <c r="C1692" s="15">
        <v>4</v>
      </c>
      <c r="D1692" s="16">
        <v>15</v>
      </c>
      <c r="E1692" s="16"/>
      <c r="F1692" s="17"/>
      <c r="G1692" s="21"/>
      <c r="H1692" s="21"/>
      <c r="I1692" s="4">
        <v>15</v>
      </c>
      <c r="J1692" s="4">
        <v>0.25</v>
      </c>
      <c r="K1692" s="4"/>
      <c r="L1692" s="16"/>
      <c r="M1692" s="4"/>
      <c r="N1692" s="4"/>
      <c r="O1692" s="4"/>
      <c r="P1692" s="4"/>
      <c r="Q1692" s="4"/>
      <c r="R1692" s="4"/>
      <c r="S1692" s="4">
        <v>0</v>
      </c>
      <c r="T1692" s="4">
        <v>0</v>
      </c>
      <c r="U1692" s="4">
        <v>0.25</v>
      </c>
      <c r="V1692" s="4">
        <v>11.75</v>
      </c>
      <c r="W1692" s="4">
        <v>12</v>
      </c>
      <c r="X1692" s="4">
        <v>0</v>
      </c>
      <c r="Y1692" s="4"/>
      <c r="Z1692" s="4">
        <v>140.4</v>
      </c>
      <c r="AA1692" s="4">
        <v>150</v>
      </c>
      <c r="AB1692" s="18"/>
      <c r="AC1692" s="18">
        <v>32</v>
      </c>
      <c r="AD1692" s="28"/>
      <c r="AE1692" s="26"/>
      <c r="AF1692" s="28"/>
    </row>
    <row r="1693" spans="1:32" ht="13.5" customHeight="1" x14ac:dyDescent="0.25">
      <c r="A1693" s="14">
        <v>45876</v>
      </c>
      <c r="B1693" s="14" t="s">
        <v>47</v>
      </c>
      <c r="C1693" s="15">
        <v>4</v>
      </c>
      <c r="D1693" s="16"/>
      <c r="E1693" s="16"/>
      <c r="F1693" s="17"/>
      <c r="G1693" s="21"/>
      <c r="H1693" s="21"/>
      <c r="I1693" s="4">
        <v>0</v>
      </c>
      <c r="J1693" s="4">
        <v>0</v>
      </c>
      <c r="K1693" s="4"/>
      <c r="L1693" s="16"/>
      <c r="M1693" s="4"/>
      <c r="N1693" s="4"/>
      <c r="O1693" s="4"/>
      <c r="P1693" s="4"/>
      <c r="Q1693" s="4"/>
      <c r="R1693" s="4"/>
      <c r="S1693" s="4">
        <v>0</v>
      </c>
      <c r="T1693" s="4">
        <v>0</v>
      </c>
      <c r="U1693" s="4">
        <v>0</v>
      </c>
      <c r="V1693" s="4">
        <v>12</v>
      </c>
      <c r="W1693" s="4">
        <v>12</v>
      </c>
      <c r="X1693" s="4">
        <v>0</v>
      </c>
      <c r="Y1693" s="4"/>
      <c r="Z1693" s="4">
        <v>330</v>
      </c>
      <c r="AA1693" s="4">
        <v>300</v>
      </c>
      <c r="AB1693" s="18"/>
      <c r="AC1693" s="18">
        <v>32</v>
      </c>
      <c r="AD1693" s="28"/>
      <c r="AE1693" s="26"/>
      <c r="AF1693" s="28"/>
    </row>
    <row r="1694" spans="1:32" ht="13.5" customHeight="1" x14ac:dyDescent="0.25">
      <c r="A1694" s="14">
        <v>45876</v>
      </c>
      <c r="B1694" s="14" t="s">
        <v>46</v>
      </c>
      <c r="C1694" s="15">
        <v>5</v>
      </c>
      <c r="D1694" s="16"/>
      <c r="E1694" s="16"/>
      <c r="F1694" s="17"/>
      <c r="G1694" s="21"/>
      <c r="H1694" s="21"/>
      <c r="I1694" s="4">
        <v>0</v>
      </c>
      <c r="J1694" s="4">
        <v>0</v>
      </c>
      <c r="K1694" s="4"/>
      <c r="L1694" s="16"/>
      <c r="M1694" s="4"/>
      <c r="N1694" s="4"/>
      <c r="O1694" s="4"/>
      <c r="P1694" s="4"/>
      <c r="Q1694" s="4"/>
      <c r="R1694" s="4"/>
      <c r="S1694" s="4">
        <v>0</v>
      </c>
      <c r="T1694" s="4">
        <v>0</v>
      </c>
      <c r="U1694" s="4">
        <v>0</v>
      </c>
      <c r="V1694" s="4">
        <v>12</v>
      </c>
      <c r="W1694" s="4">
        <v>12</v>
      </c>
      <c r="X1694" s="4">
        <v>0</v>
      </c>
      <c r="Y1694" s="4"/>
      <c r="Z1694" s="4">
        <v>335.4</v>
      </c>
      <c r="AA1694" s="4">
        <v>350</v>
      </c>
      <c r="AB1694" s="18"/>
      <c r="AC1694" s="18">
        <v>32</v>
      </c>
      <c r="AD1694" s="28"/>
      <c r="AE1694" s="26"/>
      <c r="AF1694" s="28"/>
    </row>
    <row r="1695" spans="1:32" ht="13.5" customHeight="1" x14ac:dyDescent="0.25">
      <c r="A1695" s="14">
        <v>45876</v>
      </c>
      <c r="B1695" s="14" t="s">
        <v>47</v>
      </c>
      <c r="C1695" s="15">
        <v>5</v>
      </c>
      <c r="D1695" s="16"/>
      <c r="E1695" s="16"/>
      <c r="F1695" s="17"/>
      <c r="G1695" s="21"/>
      <c r="H1695" s="21"/>
      <c r="I1695" s="4">
        <v>0</v>
      </c>
      <c r="J1695" s="4">
        <v>0</v>
      </c>
      <c r="K1695" s="4"/>
      <c r="L1695" s="16"/>
      <c r="M1695" s="4"/>
      <c r="N1695" s="4"/>
      <c r="O1695" s="4"/>
      <c r="P1695" s="4"/>
      <c r="Q1695" s="4"/>
      <c r="R1695" s="4"/>
      <c r="S1695" s="4">
        <v>0</v>
      </c>
      <c r="T1695" s="4">
        <v>0</v>
      </c>
      <c r="U1695" s="4">
        <v>0</v>
      </c>
      <c r="V1695" s="4">
        <v>12</v>
      </c>
      <c r="W1695" s="4">
        <v>12</v>
      </c>
      <c r="X1695" s="4">
        <v>0</v>
      </c>
      <c r="Y1695" s="4"/>
      <c r="Z1695" s="4">
        <v>575.80000000000007</v>
      </c>
      <c r="AA1695" s="4">
        <v>600</v>
      </c>
      <c r="AB1695" s="18"/>
      <c r="AC1695" s="18">
        <v>32</v>
      </c>
      <c r="AD1695" s="28"/>
      <c r="AE1695" s="26"/>
      <c r="AF1695" s="28"/>
    </row>
    <row r="1696" spans="1:32" ht="13.5" customHeight="1" x14ac:dyDescent="0.25">
      <c r="A1696" s="14">
        <v>45877</v>
      </c>
      <c r="B1696" s="14" t="s">
        <v>46</v>
      </c>
      <c r="C1696" s="15">
        <v>1</v>
      </c>
      <c r="D1696" s="16">
        <v>13</v>
      </c>
      <c r="E1696" s="16"/>
      <c r="F1696" s="17"/>
      <c r="G1696" s="21"/>
      <c r="H1696" s="21"/>
      <c r="I1696" s="4">
        <v>13</v>
      </c>
      <c r="J1696" s="4">
        <v>0.21666666666666667</v>
      </c>
      <c r="K1696" s="4"/>
      <c r="L1696" s="16"/>
      <c r="M1696" s="4"/>
      <c r="N1696" s="4"/>
      <c r="O1696" s="4"/>
      <c r="P1696" s="4"/>
      <c r="Q1696" s="4"/>
      <c r="R1696" s="4"/>
      <c r="S1696" s="4">
        <v>0</v>
      </c>
      <c r="T1696" s="4">
        <v>0</v>
      </c>
      <c r="U1696" s="4">
        <v>0.21666666666666667</v>
      </c>
      <c r="V1696" s="4">
        <v>11.783333333333333</v>
      </c>
      <c r="W1696" s="4">
        <v>12</v>
      </c>
      <c r="X1696" s="4">
        <v>0</v>
      </c>
      <c r="Y1696" s="4">
        <v>2005</v>
      </c>
      <c r="Z1696" s="4">
        <v>208.79999999999998</v>
      </c>
      <c r="AA1696" s="4">
        <v>200</v>
      </c>
      <c r="AB1696" s="18">
        <v>372</v>
      </c>
      <c r="AC1696" s="18">
        <v>32</v>
      </c>
      <c r="AD1696" s="28"/>
      <c r="AE1696" s="26"/>
      <c r="AF1696" s="28"/>
    </row>
    <row r="1697" spans="1:32" ht="13.5" customHeight="1" x14ac:dyDescent="0.25">
      <c r="A1697" s="14">
        <v>45877</v>
      </c>
      <c r="B1697" s="14" t="s">
        <v>47</v>
      </c>
      <c r="C1697" s="15">
        <v>1</v>
      </c>
      <c r="D1697" s="16"/>
      <c r="E1697" s="16"/>
      <c r="F1697" s="17"/>
      <c r="G1697" s="21"/>
      <c r="H1697" s="21"/>
      <c r="I1697" s="4">
        <v>0</v>
      </c>
      <c r="J1697" s="4">
        <v>0</v>
      </c>
      <c r="K1697" s="4"/>
      <c r="L1697" s="16"/>
      <c r="M1697" s="4"/>
      <c r="N1697" s="4"/>
      <c r="O1697" s="4"/>
      <c r="P1697" s="4"/>
      <c r="Q1697" s="4"/>
      <c r="R1697" s="4"/>
      <c r="S1697" s="4">
        <v>0</v>
      </c>
      <c r="T1697" s="4">
        <v>0</v>
      </c>
      <c r="U1697" s="4">
        <v>0</v>
      </c>
      <c r="V1697" s="4">
        <v>12</v>
      </c>
      <c r="W1697" s="4">
        <v>12</v>
      </c>
      <c r="X1697" s="4">
        <v>0</v>
      </c>
      <c r="Y1697" s="4"/>
      <c r="Z1697" s="4">
        <v>201.29999999999998</v>
      </c>
      <c r="AA1697" s="4">
        <v>250</v>
      </c>
      <c r="AB1697" s="18"/>
      <c r="AC1697" s="18">
        <v>32</v>
      </c>
      <c r="AD1697" s="28"/>
      <c r="AE1697" s="26"/>
      <c r="AF1697" s="28"/>
    </row>
    <row r="1698" spans="1:32" ht="13.5" customHeight="1" x14ac:dyDescent="0.25">
      <c r="A1698" s="14">
        <v>45877</v>
      </c>
      <c r="B1698" s="14" t="s">
        <v>46</v>
      </c>
      <c r="C1698" s="15">
        <v>3</v>
      </c>
      <c r="D1698" s="16"/>
      <c r="E1698" s="16"/>
      <c r="F1698" s="17"/>
      <c r="G1698" s="21"/>
      <c r="H1698" s="21"/>
      <c r="I1698" s="4">
        <v>0</v>
      </c>
      <c r="J1698" s="4">
        <v>0</v>
      </c>
      <c r="K1698" s="4"/>
      <c r="L1698" s="16"/>
      <c r="M1698" s="4"/>
      <c r="N1698" s="4"/>
      <c r="O1698" s="4">
        <v>60</v>
      </c>
      <c r="P1698" s="4"/>
      <c r="Q1698" s="4"/>
      <c r="R1698" s="4"/>
      <c r="S1698" s="4">
        <v>60</v>
      </c>
      <c r="T1698" s="4">
        <v>1</v>
      </c>
      <c r="U1698" s="4">
        <v>1</v>
      </c>
      <c r="V1698" s="4">
        <v>11</v>
      </c>
      <c r="W1698" s="4">
        <v>12</v>
      </c>
      <c r="X1698" s="4">
        <v>74</v>
      </c>
      <c r="Y1698" s="4"/>
      <c r="Z1698" s="4">
        <v>261.7</v>
      </c>
      <c r="AA1698" s="4">
        <v>250</v>
      </c>
      <c r="AB1698" s="18"/>
      <c r="AC1698" s="18">
        <v>32</v>
      </c>
      <c r="AD1698" s="28"/>
      <c r="AE1698" s="26"/>
      <c r="AF1698" s="28"/>
    </row>
    <row r="1699" spans="1:32" ht="13.5" customHeight="1" x14ac:dyDescent="0.25">
      <c r="A1699" s="14">
        <v>45877</v>
      </c>
      <c r="B1699" s="14" t="s">
        <v>47</v>
      </c>
      <c r="C1699" s="15">
        <v>3</v>
      </c>
      <c r="D1699" s="16">
        <v>40</v>
      </c>
      <c r="E1699" s="16"/>
      <c r="F1699" s="17"/>
      <c r="G1699" s="21"/>
      <c r="H1699" s="21"/>
      <c r="I1699" s="4">
        <v>40</v>
      </c>
      <c r="J1699" s="4">
        <v>0.66666666666666663</v>
      </c>
      <c r="K1699" s="4"/>
      <c r="L1699" s="16"/>
      <c r="M1699" s="4"/>
      <c r="N1699" s="4"/>
      <c r="O1699" s="4"/>
      <c r="P1699" s="4"/>
      <c r="Q1699" s="4"/>
      <c r="R1699" s="4"/>
      <c r="S1699" s="4">
        <v>0</v>
      </c>
      <c r="T1699" s="4">
        <v>0</v>
      </c>
      <c r="U1699" s="4">
        <v>0.66666666666666663</v>
      </c>
      <c r="V1699" s="4">
        <v>11.333333333333334</v>
      </c>
      <c r="W1699" s="4">
        <v>12</v>
      </c>
      <c r="X1699" s="4">
        <v>77</v>
      </c>
      <c r="Y1699" s="4"/>
      <c r="Z1699" s="4">
        <v>327.29999999999995</v>
      </c>
      <c r="AA1699" s="4">
        <v>350</v>
      </c>
      <c r="AB1699" s="18"/>
      <c r="AC1699" s="18">
        <v>32</v>
      </c>
      <c r="AD1699" s="28"/>
      <c r="AE1699" s="26"/>
      <c r="AF1699" s="28"/>
    </row>
    <row r="1700" spans="1:32" ht="13.5" customHeight="1" x14ac:dyDescent="0.25">
      <c r="A1700" s="14">
        <v>45877</v>
      </c>
      <c r="B1700" s="14" t="s">
        <v>46</v>
      </c>
      <c r="C1700" s="15">
        <v>4</v>
      </c>
      <c r="D1700" s="16"/>
      <c r="E1700" s="16"/>
      <c r="F1700" s="17"/>
      <c r="G1700" s="21"/>
      <c r="H1700" s="21"/>
      <c r="I1700" s="4">
        <v>0</v>
      </c>
      <c r="J1700" s="4">
        <v>0</v>
      </c>
      <c r="K1700" s="4"/>
      <c r="L1700" s="16"/>
      <c r="M1700" s="4"/>
      <c r="N1700" s="4"/>
      <c r="O1700" s="4"/>
      <c r="P1700" s="4"/>
      <c r="Q1700" s="4"/>
      <c r="R1700" s="4"/>
      <c r="S1700" s="4">
        <v>0</v>
      </c>
      <c r="T1700" s="4">
        <v>0</v>
      </c>
      <c r="U1700" s="4">
        <v>0</v>
      </c>
      <c r="V1700" s="4">
        <v>12</v>
      </c>
      <c r="W1700" s="4">
        <v>12</v>
      </c>
      <c r="X1700" s="4">
        <v>0</v>
      </c>
      <c r="Y1700" s="4"/>
      <c r="Z1700" s="4">
        <v>402.4</v>
      </c>
      <c r="AA1700" s="4">
        <v>400</v>
      </c>
      <c r="AB1700" s="18"/>
      <c r="AC1700" s="18">
        <v>32</v>
      </c>
      <c r="AD1700" s="28"/>
      <c r="AE1700" s="26"/>
      <c r="AF1700" s="28"/>
    </row>
    <row r="1701" spans="1:32" ht="13.5" customHeight="1" x14ac:dyDescent="0.25">
      <c r="A1701" s="14">
        <v>45877</v>
      </c>
      <c r="B1701" s="14" t="s">
        <v>47</v>
      </c>
      <c r="C1701" s="15">
        <v>4</v>
      </c>
      <c r="D1701" s="16"/>
      <c r="E1701" s="16"/>
      <c r="F1701" s="17"/>
      <c r="G1701" s="21"/>
      <c r="H1701" s="21"/>
      <c r="I1701" s="4">
        <v>0</v>
      </c>
      <c r="J1701" s="4">
        <v>0</v>
      </c>
      <c r="K1701" s="4"/>
      <c r="L1701" s="16"/>
      <c r="M1701" s="4"/>
      <c r="N1701" s="4"/>
      <c r="O1701" s="4"/>
      <c r="P1701" s="4"/>
      <c r="Q1701" s="4"/>
      <c r="R1701" s="4"/>
      <c r="S1701" s="4">
        <v>0</v>
      </c>
      <c r="T1701" s="4">
        <v>0</v>
      </c>
      <c r="U1701" s="4">
        <v>0</v>
      </c>
      <c r="V1701" s="4">
        <v>12</v>
      </c>
      <c r="W1701" s="4">
        <v>12</v>
      </c>
      <c r="X1701" s="4">
        <v>0</v>
      </c>
      <c r="Y1701" s="4"/>
      <c r="Z1701" s="4">
        <v>613.6</v>
      </c>
      <c r="AA1701" s="4">
        <v>650</v>
      </c>
      <c r="AB1701" s="18"/>
      <c r="AC1701" s="18">
        <v>32</v>
      </c>
      <c r="AD1701" s="28"/>
      <c r="AE1701" s="26"/>
      <c r="AF1701" s="28"/>
    </row>
    <row r="1702" spans="1:32" ht="13.5" customHeight="1" x14ac:dyDescent="0.25">
      <c r="A1702" s="14">
        <v>45877</v>
      </c>
      <c r="B1702" s="14" t="s">
        <v>46</v>
      </c>
      <c r="C1702" s="15">
        <v>6</v>
      </c>
      <c r="D1702" s="16">
        <v>5</v>
      </c>
      <c r="E1702" s="16"/>
      <c r="F1702" s="17"/>
      <c r="G1702" s="21"/>
      <c r="H1702" s="21"/>
      <c r="I1702" s="4">
        <v>5</v>
      </c>
      <c r="J1702" s="4">
        <v>8.3333333333333329E-2</v>
      </c>
      <c r="K1702" s="4"/>
      <c r="L1702" s="16"/>
      <c r="M1702" s="4"/>
      <c r="N1702" s="4"/>
      <c r="O1702" s="4"/>
      <c r="P1702" s="4"/>
      <c r="Q1702" s="4"/>
      <c r="R1702" s="4"/>
      <c r="S1702" s="4">
        <v>0</v>
      </c>
      <c r="T1702" s="4">
        <v>0</v>
      </c>
      <c r="U1702" s="4">
        <v>8.3333333333333329E-2</v>
      </c>
      <c r="V1702" s="4">
        <v>11.916666666666666</v>
      </c>
      <c r="W1702" s="4">
        <v>12</v>
      </c>
      <c r="X1702" s="4">
        <v>66</v>
      </c>
      <c r="Y1702" s="4"/>
      <c r="Z1702" s="4">
        <v>685.2</v>
      </c>
      <c r="AA1702" s="4">
        <v>700</v>
      </c>
      <c r="AB1702" s="18"/>
      <c r="AC1702" s="18">
        <v>32</v>
      </c>
      <c r="AD1702" s="28"/>
      <c r="AE1702" s="26"/>
      <c r="AF1702" s="28"/>
    </row>
    <row r="1703" spans="1:32" ht="13.5" customHeight="1" x14ac:dyDescent="0.25">
      <c r="A1703" s="14">
        <v>45877</v>
      </c>
      <c r="B1703" s="14" t="s">
        <v>47</v>
      </c>
      <c r="C1703" s="15">
        <v>6</v>
      </c>
      <c r="D1703" s="16"/>
      <c r="E1703" s="16"/>
      <c r="F1703" s="17"/>
      <c r="G1703" s="21"/>
      <c r="H1703" s="21"/>
      <c r="I1703" s="4">
        <v>0</v>
      </c>
      <c r="J1703" s="4">
        <v>0</v>
      </c>
      <c r="K1703" s="4"/>
      <c r="L1703" s="16"/>
      <c r="M1703" s="4"/>
      <c r="N1703" s="4"/>
      <c r="O1703" s="4"/>
      <c r="P1703" s="4"/>
      <c r="Q1703" s="4"/>
      <c r="R1703" s="4"/>
      <c r="S1703" s="4">
        <v>0</v>
      </c>
      <c r="T1703" s="4">
        <v>0</v>
      </c>
      <c r="U1703" s="4">
        <v>0</v>
      </c>
      <c r="V1703" s="4">
        <v>12</v>
      </c>
      <c r="W1703" s="4">
        <v>12</v>
      </c>
      <c r="X1703" s="4">
        <v>0</v>
      </c>
      <c r="Y1703" s="4"/>
      <c r="Z1703" s="4">
        <v>602.1</v>
      </c>
      <c r="AA1703" s="4">
        <v>600</v>
      </c>
      <c r="AB1703" s="18"/>
      <c r="AC1703" s="18">
        <v>32</v>
      </c>
      <c r="AD1703" s="28"/>
      <c r="AE1703" s="26"/>
      <c r="AF1703" s="28"/>
    </row>
    <row r="1704" spans="1:32" ht="13.5" customHeight="1" x14ac:dyDescent="0.25">
      <c r="A1704" s="14">
        <v>45878</v>
      </c>
      <c r="B1704" s="14" t="s">
        <v>46</v>
      </c>
      <c r="C1704" s="15">
        <v>1</v>
      </c>
      <c r="D1704" s="16"/>
      <c r="E1704" s="16"/>
      <c r="F1704" s="17"/>
      <c r="G1704" s="21"/>
      <c r="H1704" s="21"/>
      <c r="I1704" s="4">
        <v>0</v>
      </c>
      <c r="J1704" s="4">
        <v>0</v>
      </c>
      <c r="K1704" s="4"/>
      <c r="L1704" s="16"/>
      <c r="M1704" s="4"/>
      <c r="N1704" s="4"/>
      <c r="O1704" s="4"/>
      <c r="P1704" s="4"/>
      <c r="Q1704" s="4"/>
      <c r="R1704" s="4"/>
      <c r="S1704" s="4">
        <v>0</v>
      </c>
      <c r="T1704" s="4">
        <v>0</v>
      </c>
      <c r="U1704" s="4">
        <v>0</v>
      </c>
      <c r="V1704" s="4">
        <v>12</v>
      </c>
      <c r="W1704" s="4">
        <v>12</v>
      </c>
      <c r="X1704" s="4">
        <v>0</v>
      </c>
      <c r="Y1704" s="4">
        <v>2161</v>
      </c>
      <c r="Z1704" s="4">
        <v>204.3</v>
      </c>
      <c r="AA1704" s="4">
        <v>200</v>
      </c>
      <c r="AB1704" s="18">
        <v>372</v>
      </c>
      <c r="AC1704" s="18">
        <v>32</v>
      </c>
      <c r="AD1704" s="28"/>
      <c r="AE1704" s="26"/>
      <c r="AF1704" s="28"/>
    </row>
    <row r="1705" spans="1:32" ht="13.5" customHeight="1" x14ac:dyDescent="0.25">
      <c r="A1705" s="14">
        <v>45878</v>
      </c>
      <c r="B1705" s="14" t="s">
        <v>47</v>
      </c>
      <c r="C1705" s="15">
        <v>1</v>
      </c>
      <c r="D1705" s="16"/>
      <c r="E1705" s="16"/>
      <c r="F1705" s="17"/>
      <c r="G1705" s="21"/>
      <c r="H1705" s="21"/>
      <c r="I1705" s="4">
        <v>0</v>
      </c>
      <c r="J1705" s="4">
        <v>0</v>
      </c>
      <c r="K1705" s="4"/>
      <c r="L1705" s="16"/>
      <c r="M1705" s="4"/>
      <c r="N1705" s="4"/>
      <c r="O1705" s="4"/>
      <c r="P1705" s="4"/>
      <c r="Q1705" s="4"/>
      <c r="R1705" s="4"/>
      <c r="S1705" s="4">
        <v>0</v>
      </c>
      <c r="T1705" s="4">
        <v>0</v>
      </c>
      <c r="U1705" s="4">
        <v>0</v>
      </c>
      <c r="V1705" s="4">
        <v>12</v>
      </c>
      <c r="W1705" s="4">
        <v>12</v>
      </c>
      <c r="X1705" s="4">
        <v>5</v>
      </c>
      <c r="Y1705" s="4"/>
      <c r="Z1705" s="4">
        <v>193.10000000000002</v>
      </c>
      <c r="AA1705" s="4">
        <v>200</v>
      </c>
      <c r="AB1705" s="18"/>
      <c r="AC1705" s="18">
        <v>32</v>
      </c>
      <c r="AD1705" s="28"/>
      <c r="AE1705" s="26"/>
      <c r="AF1705" s="28"/>
    </row>
    <row r="1706" spans="1:32" ht="13.5" customHeight="1" x14ac:dyDescent="0.25">
      <c r="A1706" s="14">
        <v>45878</v>
      </c>
      <c r="B1706" s="14" t="s">
        <v>46</v>
      </c>
      <c r="C1706" s="15">
        <v>2</v>
      </c>
      <c r="D1706" s="16"/>
      <c r="E1706" s="16"/>
      <c r="F1706" s="17"/>
      <c r="G1706" s="21"/>
      <c r="H1706" s="21"/>
      <c r="I1706" s="4">
        <v>0</v>
      </c>
      <c r="J1706" s="4">
        <v>0</v>
      </c>
      <c r="K1706" s="4"/>
      <c r="L1706" s="16">
        <v>90</v>
      </c>
      <c r="M1706" s="4"/>
      <c r="N1706" s="4"/>
      <c r="O1706" s="4"/>
      <c r="P1706" s="4"/>
      <c r="Q1706" s="4"/>
      <c r="R1706" s="4"/>
      <c r="S1706" s="4">
        <v>90</v>
      </c>
      <c r="T1706" s="4">
        <v>1.5</v>
      </c>
      <c r="U1706" s="4">
        <v>1.5</v>
      </c>
      <c r="V1706" s="4">
        <v>10.5</v>
      </c>
      <c r="W1706" s="4">
        <v>12</v>
      </c>
      <c r="X1706" s="4">
        <v>0</v>
      </c>
      <c r="Y1706" s="4"/>
      <c r="Z1706" s="4">
        <v>137</v>
      </c>
      <c r="AA1706" s="4">
        <v>150</v>
      </c>
      <c r="AB1706" s="18"/>
      <c r="AC1706" s="18">
        <v>32</v>
      </c>
      <c r="AD1706" s="28"/>
      <c r="AE1706" s="26"/>
      <c r="AF1706" s="28"/>
    </row>
    <row r="1707" spans="1:32" ht="13.5" customHeight="1" x14ac:dyDescent="0.25">
      <c r="A1707" s="14">
        <v>45878</v>
      </c>
      <c r="B1707" s="14" t="s">
        <v>47</v>
      </c>
      <c r="C1707" s="15">
        <v>2</v>
      </c>
      <c r="D1707" s="16"/>
      <c r="E1707" s="16"/>
      <c r="F1707" s="17"/>
      <c r="G1707" s="21"/>
      <c r="H1707" s="21"/>
      <c r="I1707" s="4">
        <v>0</v>
      </c>
      <c r="J1707" s="4">
        <v>0</v>
      </c>
      <c r="K1707" s="4"/>
      <c r="L1707" s="16"/>
      <c r="M1707" s="4"/>
      <c r="N1707" s="4"/>
      <c r="O1707" s="4"/>
      <c r="P1707" s="4"/>
      <c r="Q1707" s="4"/>
      <c r="R1707" s="4"/>
      <c r="S1707" s="4">
        <v>0</v>
      </c>
      <c r="T1707" s="4">
        <v>0</v>
      </c>
      <c r="U1707" s="4">
        <v>0</v>
      </c>
      <c r="V1707" s="4">
        <v>12</v>
      </c>
      <c r="W1707" s="4">
        <v>12</v>
      </c>
      <c r="X1707" s="4">
        <v>15</v>
      </c>
      <c r="Y1707" s="4"/>
      <c r="Z1707" s="4">
        <v>169.4</v>
      </c>
      <c r="AA1707" s="4">
        <v>150</v>
      </c>
      <c r="AB1707" s="18"/>
      <c r="AC1707" s="18">
        <v>32</v>
      </c>
      <c r="AD1707" s="28"/>
      <c r="AE1707" s="26"/>
      <c r="AF1707" s="28"/>
    </row>
    <row r="1708" spans="1:32" ht="13.5" customHeight="1" x14ac:dyDescent="0.25">
      <c r="A1708" s="14">
        <v>45878</v>
      </c>
      <c r="B1708" s="14" t="s">
        <v>46</v>
      </c>
      <c r="C1708" s="15">
        <v>3</v>
      </c>
      <c r="D1708" s="16">
        <v>8</v>
      </c>
      <c r="E1708" s="16"/>
      <c r="F1708" s="17"/>
      <c r="G1708" s="21"/>
      <c r="H1708" s="21"/>
      <c r="I1708" s="4">
        <v>8</v>
      </c>
      <c r="J1708" s="4">
        <v>0.13333333333333333</v>
      </c>
      <c r="K1708" s="4"/>
      <c r="L1708" s="16"/>
      <c r="M1708" s="4"/>
      <c r="N1708" s="4"/>
      <c r="O1708" s="4"/>
      <c r="P1708" s="4"/>
      <c r="Q1708" s="4"/>
      <c r="R1708" s="4"/>
      <c r="S1708" s="4">
        <v>0</v>
      </c>
      <c r="T1708" s="4">
        <v>0</v>
      </c>
      <c r="U1708" s="4">
        <v>0.13333333333333333</v>
      </c>
      <c r="V1708" s="4">
        <v>11.866666666666667</v>
      </c>
      <c r="W1708" s="4">
        <v>12</v>
      </c>
      <c r="X1708" s="4">
        <v>110</v>
      </c>
      <c r="Y1708" s="4"/>
      <c r="Z1708" s="4">
        <v>319</v>
      </c>
      <c r="AA1708" s="4">
        <v>300</v>
      </c>
      <c r="AB1708" s="18"/>
      <c r="AC1708" s="18">
        <v>32</v>
      </c>
      <c r="AD1708" s="28"/>
      <c r="AE1708" s="26"/>
      <c r="AF1708" s="28"/>
    </row>
    <row r="1709" spans="1:32" ht="13.5" customHeight="1" x14ac:dyDescent="0.25">
      <c r="A1709" s="14">
        <v>45878</v>
      </c>
      <c r="B1709" s="14" t="s">
        <v>47</v>
      </c>
      <c r="C1709" s="15">
        <v>3</v>
      </c>
      <c r="D1709" s="16">
        <v>60</v>
      </c>
      <c r="E1709" s="16"/>
      <c r="F1709" s="17"/>
      <c r="G1709" s="21"/>
      <c r="H1709" s="21"/>
      <c r="I1709" s="4">
        <v>60</v>
      </c>
      <c r="J1709" s="4">
        <v>1</v>
      </c>
      <c r="K1709" s="4"/>
      <c r="L1709" s="16"/>
      <c r="M1709" s="4"/>
      <c r="N1709" s="4"/>
      <c r="O1709" s="4"/>
      <c r="P1709" s="4"/>
      <c r="Q1709" s="4"/>
      <c r="R1709" s="4"/>
      <c r="S1709" s="4">
        <v>0</v>
      </c>
      <c r="T1709" s="4">
        <v>0</v>
      </c>
      <c r="U1709" s="4">
        <v>1</v>
      </c>
      <c r="V1709" s="4">
        <v>11</v>
      </c>
      <c r="W1709" s="4">
        <v>12</v>
      </c>
      <c r="X1709" s="4">
        <v>86</v>
      </c>
      <c r="Y1709" s="4"/>
      <c r="Z1709" s="4">
        <v>395.70000000000005</v>
      </c>
      <c r="AA1709" s="4">
        <v>400</v>
      </c>
      <c r="AB1709" s="18"/>
      <c r="AC1709" s="18">
        <v>32</v>
      </c>
      <c r="AD1709" s="28"/>
      <c r="AE1709" s="26"/>
      <c r="AF1709" s="28"/>
    </row>
    <row r="1710" spans="1:32" ht="13.5" customHeight="1" x14ac:dyDescent="0.25">
      <c r="A1710" s="14">
        <v>45878</v>
      </c>
      <c r="B1710" s="14" t="s">
        <v>46</v>
      </c>
      <c r="C1710" s="15">
        <v>4</v>
      </c>
      <c r="D1710" s="16"/>
      <c r="E1710" s="16"/>
      <c r="F1710" s="17"/>
      <c r="G1710" s="21"/>
      <c r="H1710" s="21"/>
      <c r="I1710" s="4">
        <v>0</v>
      </c>
      <c r="J1710" s="4">
        <v>0</v>
      </c>
      <c r="K1710" s="4"/>
      <c r="L1710" s="16"/>
      <c r="M1710" s="4"/>
      <c r="N1710" s="4"/>
      <c r="O1710" s="4"/>
      <c r="P1710" s="4"/>
      <c r="Q1710" s="4"/>
      <c r="R1710" s="4"/>
      <c r="S1710" s="4">
        <v>0</v>
      </c>
      <c r="T1710" s="4">
        <v>0</v>
      </c>
      <c r="U1710" s="4">
        <v>0</v>
      </c>
      <c r="V1710" s="4">
        <v>12</v>
      </c>
      <c r="W1710" s="4">
        <v>12</v>
      </c>
      <c r="X1710" s="4">
        <v>0</v>
      </c>
      <c r="Y1710" s="4"/>
      <c r="Z1710" s="4">
        <v>340.7</v>
      </c>
      <c r="AA1710" s="4">
        <v>350</v>
      </c>
      <c r="AB1710" s="18"/>
      <c r="AC1710" s="18">
        <v>32</v>
      </c>
      <c r="AD1710" s="28"/>
      <c r="AE1710" s="26"/>
      <c r="AF1710" s="28"/>
    </row>
    <row r="1711" spans="1:32" ht="13.5" customHeight="1" x14ac:dyDescent="0.25">
      <c r="A1711" s="14">
        <v>45878</v>
      </c>
      <c r="B1711" s="14" t="s">
        <v>47</v>
      </c>
      <c r="C1711" s="15">
        <v>4</v>
      </c>
      <c r="D1711" s="16"/>
      <c r="E1711" s="16"/>
      <c r="F1711" s="17"/>
      <c r="G1711" s="21"/>
      <c r="H1711" s="21"/>
      <c r="I1711" s="4">
        <v>0</v>
      </c>
      <c r="J1711" s="4">
        <v>0</v>
      </c>
      <c r="K1711" s="4"/>
      <c r="L1711" s="16"/>
      <c r="M1711" s="4"/>
      <c r="N1711" s="4"/>
      <c r="O1711" s="4"/>
      <c r="P1711" s="4"/>
      <c r="Q1711" s="4"/>
      <c r="R1711" s="4"/>
      <c r="S1711" s="4">
        <v>0</v>
      </c>
      <c r="T1711" s="4">
        <v>0</v>
      </c>
      <c r="U1711" s="4">
        <v>0</v>
      </c>
      <c r="V1711" s="4">
        <v>12</v>
      </c>
      <c r="W1711" s="4">
        <v>12</v>
      </c>
      <c r="X1711" s="4">
        <v>4</v>
      </c>
      <c r="Y1711" s="4"/>
      <c r="Z1711" s="4">
        <v>207.60000000000002</v>
      </c>
      <c r="AA1711" s="4">
        <v>250</v>
      </c>
      <c r="AB1711" s="18"/>
      <c r="AC1711" s="18">
        <v>32</v>
      </c>
      <c r="AD1711" s="28"/>
      <c r="AE1711" s="26"/>
      <c r="AF1711" s="28"/>
    </row>
    <row r="1712" spans="1:32" ht="13.5" customHeight="1" x14ac:dyDescent="0.25">
      <c r="A1712" s="14">
        <v>45878</v>
      </c>
      <c r="B1712" s="14" t="s">
        <v>46</v>
      </c>
      <c r="C1712" s="15">
        <v>5</v>
      </c>
      <c r="D1712" s="16">
        <v>8</v>
      </c>
      <c r="E1712" s="16"/>
      <c r="F1712" s="17"/>
      <c r="G1712" s="21"/>
      <c r="H1712" s="21"/>
      <c r="I1712" s="4">
        <v>8</v>
      </c>
      <c r="J1712" s="4">
        <v>0.13333333333333333</v>
      </c>
      <c r="K1712" s="4"/>
      <c r="L1712" s="16"/>
      <c r="M1712" s="4"/>
      <c r="N1712" s="4">
        <v>4</v>
      </c>
      <c r="O1712" s="4"/>
      <c r="P1712" s="4"/>
      <c r="Q1712" s="4"/>
      <c r="R1712" s="4"/>
      <c r="S1712" s="4">
        <v>4</v>
      </c>
      <c r="T1712" s="4">
        <v>6.6666666666666666E-2</v>
      </c>
      <c r="U1712" s="4">
        <v>0.2</v>
      </c>
      <c r="V1712" s="4">
        <v>11.8</v>
      </c>
      <c r="W1712" s="4">
        <v>12</v>
      </c>
      <c r="X1712" s="4">
        <v>0</v>
      </c>
      <c r="Y1712" s="4"/>
      <c r="Z1712" s="4">
        <v>495.6</v>
      </c>
      <c r="AA1712" s="4">
        <v>500</v>
      </c>
      <c r="AB1712" s="18"/>
      <c r="AC1712" s="18">
        <v>32</v>
      </c>
      <c r="AD1712" s="28"/>
      <c r="AE1712" s="26"/>
      <c r="AF1712" s="28"/>
    </row>
    <row r="1713" spans="1:32" ht="13.5" customHeight="1" x14ac:dyDescent="0.25">
      <c r="A1713" s="14">
        <v>45878</v>
      </c>
      <c r="B1713" s="14" t="s">
        <v>47</v>
      </c>
      <c r="C1713" s="15">
        <v>5</v>
      </c>
      <c r="D1713" s="16"/>
      <c r="E1713" s="16"/>
      <c r="F1713" s="17"/>
      <c r="G1713" s="21"/>
      <c r="H1713" s="21"/>
      <c r="I1713" s="4">
        <v>0</v>
      </c>
      <c r="J1713" s="4">
        <v>0</v>
      </c>
      <c r="K1713" s="4"/>
      <c r="L1713" s="16"/>
      <c r="M1713" s="4"/>
      <c r="N1713" s="4"/>
      <c r="O1713" s="4"/>
      <c r="P1713" s="4"/>
      <c r="Q1713" s="4"/>
      <c r="R1713" s="4"/>
      <c r="S1713" s="4">
        <v>0</v>
      </c>
      <c r="T1713" s="4">
        <v>0</v>
      </c>
      <c r="U1713" s="4">
        <v>0</v>
      </c>
      <c r="V1713" s="4">
        <v>12</v>
      </c>
      <c r="W1713" s="4">
        <v>12</v>
      </c>
      <c r="X1713" s="4">
        <v>38</v>
      </c>
      <c r="Y1713" s="4"/>
      <c r="Z1713" s="4">
        <v>591.1</v>
      </c>
      <c r="AA1713" s="4">
        <v>600</v>
      </c>
      <c r="AB1713" s="18"/>
      <c r="AC1713" s="18">
        <v>32</v>
      </c>
      <c r="AD1713" s="28"/>
      <c r="AE1713" s="26"/>
      <c r="AF1713" s="28"/>
    </row>
    <row r="1714" spans="1:32" ht="13.5" customHeight="1" x14ac:dyDescent="0.25">
      <c r="A1714" s="14">
        <v>45879</v>
      </c>
      <c r="B1714" s="14" t="s">
        <v>46</v>
      </c>
      <c r="C1714" s="15">
        <v>1</v>
      </c>
      <c r="D1714" s="16"/>
      <c r="E1714" s="16"/>
      <c r="F1714" s="17"/>
      <c r="G1714" s="21"/>
      <c r="H1714" s="21"/>
      <c r="I1714" s="4">
        <v>0</v>
      </c>
      <c r="J1714" s="4">
        <v>0</v>
      </c>
      <c r="K1714" s="4"/>
      <c r="L1714" s="16"/>
      <c r="M1714" s="4"/>
      <c r="N1714" s="4"/>
      <c r="O1714" s="4"/>
      <c r="P1714" s="4"/>
      <c r="Q1714" s="4"/>
      <c r="R1714" s="4"/>
      <c r="S1714" s="4">
        <v>0</v>
      </c>
      <c r="T1714" s="4">
        <v>0</v>
      </c>
      <c r="U1714" s="4">
        <v>0</v>
      </c>
      <c r="V1714" s="4">
        <v>12</v>
      </c>
      <c r="W1714" s="4">
        <v>12</v>
      </c>
      <c r="X1714" s="4">
        <v>0</v>
      </c>
      <c r="Y1714" s="4">
        <v>1970</v>
      </c>
      <c r="Z1714" s="4">
        <v>159.29999999999998</v>
      </c>
      <c r="AA1714" s="4">
        <v>150</v>
      </c>
      <c r="AB1714" s="18">
        <v>372</v>
      </c>
      <c r="AC1714" s="18">
        <v>32</v>
      </c>
      <c r="AD1714" s="28"/>
      <c r="AE1714" s="26"/>
      <c r="AF1714" s="28"/>
    </row>
    <row r="1715" spans="1:32" ht="13.5" customHeight="1" x14ac:dyDescent="0.25">
      <c r="A1715" s="14">
        <v>45879</v>
      </c>
      <c r="B1715" s="14" t="s">
        <v>47</v>
      </c>
      <c r="C1715" s="15">
        <v>1</v>
      </c>
      <c r="D1715" s="16"/>
      <c r="E1715" s="16"/>
      <c r="F1715" s="17"/>
      <c r="G1715" s="21"/>
      <c r="H1715" s="21"/>
      <c r="I1715" s="4">
        <v>0</v>
      </c>
      <c r="J1715" s="4">
        <v>0</v>
      </c>
      <c r="K1715" s="4"/>
      <c r="L1715" s="16"/>
      <c r="M1715" s="4"/>
      <c r="N1715" s="4"/>
      <c r="O1715" s="4"/>
      <c r="P1715" s="4"/>
      <c r="Q1715" s="4"/>
      <c r="R1715" s="4"/>
      <c r="S1715" s="4">
        <v>0</v>
      </c>
      <c r="T1715" s="4">
        <v>0</v>
      </c>
      <c r="U1715" s="4">
        <v>0</v>
      </c>
      <c r="V1715" s="4">
        <v>12</v>
      </c>
      <c r="W1715" s="4">
        <v>12</v>
      </c>
      <c r="X1715" s="4">
        <v>2</v>
      </c>
      <c r="Y1715" s="4"/>
      <c r="Z1715" s="4">
        <v>185.9</v>
      </c>
      <c r="AA1715" s="4">
        <v>200</v>
      </c>
      <c r="AB1715" s="18"/>
      <c r="AC1715" s="18">
        <v>32</v>
      </c>
      <c r="AD1715" s="28"/>
      <c r="AE1715" s="26"/>
      <c r="AF1715" s="28"/>
    </row>
    <row r="1716" spans="1:32" ht="13.5" customHeight="1" x14ac:dyDescent="0.25">
      <c r="A1716" s="14">
        <v>45879</v>
      </c>
      <c r="B1716" s="14" t="s">
        <v>46</v>
      </c>
      <c r="C1716" s="15">
        <v>2</v>
      </c>
      <c r="D1716" s="16"/>
      <c r="E1716" s="16"/>
      <c r="F1716" s="17"/>
      <c r="G1716" s="21"/>
      <c r="H1716" s="21"/>
      <c r="I1716" s="4">
        <v>0</v>
      </c>
      <c r="J1716" s="4">
        <v>0</v>
      </c>
      <c r="K1716" s="4"/>
      <c r="L1716" s="16"/>
      <c r="M1716" s="4"/>
      <c r="N1716" s="4"/>
      <c r="O1716" s="4"/>
      <c r="P1716" s="4"/>
      <c r="Q1716" s="4"/>
      <c r="R1716" s="4"/>
      <c r="S1716" s="4">
        <v>0</v>
      </c>
      <c r="T1716" s="4">
        <v>0</v>
      </c>
      <c r="U1716" s="4">
        <v>0</v>
      </c>
      <c r="V1716" s="4">
        <v>12</v>
      </c>
      <c r="W1716" s="4">
        <v>12</v>
      </c>
      <c r="X1716" s="4">
        <v>20</v>
      </c>
      <c r="Y1716" s="4"/>
      <c r="Z1716" s="4">
        <v>145.40000000000003</v>
      </c>
      <c r="AA1716" s="4">
        <v>150</v>
      </c>
      <c r="AB1716" s="18"/>
      <c r="AC1716" s="18">
        <v>32</v>
      </c>
      <c r="AD1716" s="28"/>
      <c r="AE1716" s="26"/>
      <c r="AF1716" s="28"/>
    </row>
    <row r="1717" spans="1:32" ht="13.5" customHeight="1" x14ac:dyDescent="0.25">
      <c r="A1717" s="14">
        <v>45879</v>
      </c>
      <c r="B1717" s="14" t="s">
        <v>47</v>
      </c>
      <c r="C1717" s="15">
        <v>2</v>
      </c>
      <c r="D1717" s="16"/>
      <c r="E1717" s="16"/>
      <c r="F1717" s="17"/>
      <c r="G1717" s="21"/>
      <c r="H1717" s="21"/>
      <c r="I1717" s="4">
        <v>0</v>
      </c>
      <c r="J1717" s="4">
        <v>0</v>
      </c>
      <c r="K1717" s="4"/>
      <c r="L1717" s="16"/>
      <c r="M1717" s="4"/>
      <c r="N1717" s="4"/>
      <c r="O1717" s="4"/>
      <c r="P1717" s="4"/>
      <c r="Q1717" s="4"/>
      <c r="R1717" s="4"/>
      <c r="S1717" s="4">
        <v>0</v>
      </c>
      <c r="T1717" s="4">
        <v>0</v>
      </c>
      <c r="U1717" s="4">
        <v>0</v>
      </c>
      <c r="V1717" s="4">
        <v>12</v>
      </c>
      <c r="W1717" s="4">
        <v>12</v>
      </c>
      <c r="X1717" s="4">
        <v>0</v>
      </c>
      <c r="Y1717" s="4"/>
      <c r="Z1717" s="4">
        <v>0</v>
      </c>
      <c r="AA1717" s="4">
        <v>0</v>
      </c>
      <c r="AB1717" s="18"/>
      <c r="AC1717" s="18">
        <v>32</v>
      </c>
      <c r="AD1717" s="28"/>
      <c r="AE1717" s="26"/>
      <c r="AF1717" s="28"/>
    </row>
    <row r="1718" spans="1:32" ht="13.5" customHeight="1" x14ac:dyDescent="0.25">
      <c r="A1718" s="14">
        <v>45879</v>
      </c>
      <c r="B1718" s="14" t="s">
        <v>46</v>
      </c>
      <c r="C1718" s="15">
        <v>3</v>
      </c>
      <c r="D1718" s="16">
        <v>50</v>
      </c>
      <c r="E1718" s="16"/>
      <c r="F1718" s="17"/>
      <c r="G1718" s="21"/>
      <c r="H1718" s="21"/>
      <c r="I1718" s="4">
        <v>50</v>
      </c>
      <c r="J1718" s="4">
        <v>0.83333333333333337</v>
      </c>
      <c r="K1718" s="4"/>
      <c r="L1718" s="16">
        <v>130</v>
      </c>
      <c r="M1718" s="4"/>
      <c r="N1718" s="4"/>
      <c r="O1718" s="4"/>
      <c r="P1718" s="4"/>
      <c r="Q1718" s="4"/>
      <c r="R1718" s="4"/>
      <c r="S1718" s="4">
        <v>130</v>
      </c>
      <c r="T1718" s="4">
        <v>2.1666666666666665</v>
      </c>
      <c r="U1718" s="4">
        <v>3</v>
      </c>
      <c r="V1718" s="4">
        <v>9</v>
      </c>
      <c r="W1718" s="4">
        <v>12</v>
      </c>
      <c r="X1718" s="4">
        <v>75</v>
      </c>
      <c r="Y1718" s="4"/>
      <c r="Z1718" s="4">
        <v>517.40000000000009</v>
      </c>
      <c r="AA1718" s="4">
        <v>500</v>
      </c>
      <c r="AB1718" s="18"/>
      <c r="AC1718" s="18">
        <v>32</v>
      </c>
      <c r="AD1718" s="28"/>
      <c r="AE1718" s="26"/>
      <c r="AF1718" s="28"/>
    </row>
    <row r="1719" spans="1:32" ht="13.5" customHeight="1" x14ac:dyDescent="0.25">
      <c r="A1719" s="14">
        <v>45879</v>
      </c>
      <c r="B1719" s="14" t="s">
        <v>47</v>
      </c>
      <c r="C1719" s="15">
        <v>3</v>
      </c>
      <c r="D1719" s="16">
        <v>90</v>
      </c>
      <c r="E1719" s="16"/>
      <c r="F1719" s="17"/>
      <c r="G1719" s="21"/>
      <c r="H1719" s="21"/>
      <c r="I1719" s="4">
        <v>90</v>
      </c>
      <c r="J1719" s="4">
        <v>1.5</v>
      </c>
      <c r="K1719" s="4"/>
      <c r="L1719" s="16"/>
      <c r="M1719" s="4"/>
      <c r="N1719" s="4"/>
      <c r="O1719" s="4"/>
      <c r="P1719" s="4"/>
      <c r="Q1719" s="4"/>
      <c r="R1719" s="4"/>
      <c r="S1719" s="4">
        <v>0</v>
      </c>
      <c r="T1719" s="4">
        <v>0</v>
      </c>
      <c r="U1719" s="4">
        <v>1.5</v>
      </c>
      <c r="V1719" s="4">
        <v>10.5</v>
      </c>
      <c r="W1719" s="4">
        <v>12</v>
      </c>
      <c r="X1719" s="4">
        <v>43</v>
      </c>
      <c r="Y1719" s="4"/>
      <c r="Z1719" s="4">
        <v>320.79999999999995</v>
      </c>
      <c r="AA1719" s="4">
        <v>300</v>
      </c>
      <c r="AB1719" s="18"/>
      <c r="AC1719" s="18">
        <v>32</v>
      </c>
      <c r="AD1719" s="28"/>
      <c r="AE1719" s="26"/>
      <c r="AF1719" s="28"/>
    </row>
    <row r="1720" spans="1:32" ht="13.5" customHeight="1" x14ac:dyDescent="0.25">
      <c r="A1720" s="14">
        <v>45879</v>
      </c>
      <c r="B1720" s="14" t="s">
        <v>46</v>
      </c>
      <c r="C1720" s="15">
        <v>4</v>
      </c>
      <c r="D1720" s="16"/>
      <c r="E1720" s="16"/>
      <c r="F1720" s="17"/>
      <c r="G1720" s="21"/>
      <c r="H1720" s="21"/>
      <c r="I1720" s="4">
        <v>0</v>
      </c>
      <c r="J1720" s="4">
        <v>0</v>
      </c>
      <c r="K1720" s="4"/>
      <c r="L1720" s="16"/>
      <c r="M1720" s="4"/>
      <c r="N1720" s="4"/>
      <c r="O1720" s="4"/>
      <c r="P1720" s="4"/>
      <c r="Q1720" s="4"/>
      <c r="R1720" s="4"/>
      <c r="S1720" s="4">
        <v>0</v>
      </c>
      <c r="T1720" s="4">
        <v>0</v>
      </c>
      <c r="U1720" s="4">
        <v>0</v>
      </c>
      <c r="V1720" s="4">
        <v>12</v>
      </c>
      <c r="W1720" s="4">
        <v>12</v>
      </c>
      <c r="X1720" s="4">
        <v>0</v>
      </c>
      <c r="Y1720" s="4"/>
      <c r="Z1720" s="4">
        <v>255</v>
      </c>
      <c r="AA1720" s="4">
        <v>250</v>
      </c>
      <c r="AB1720" s="18"/>
      <c r="AC1720" s="18">
        <v>32</v>
      </c>
      <c r="AD1720" s="28"/>
      <c r="AE1720" s="26"/>
      <c r="AF1720" s="28"/>
    </row>
    <row r="1721" spans="1:32" ht="13.5" customHeight="1" x14ac:dyDescent="0.25">
      <c r="A1721" s="14">
        <v>45879</v>
      </c>
      <c r="B1721" s="14" t="s">
        <v>47</v>
      </c>
      <c r="C1721" s="15">
        <v>4</v>
      </c>
      <c r="D1721" s="16"/>
      <c r="E1721" s="16"/>
      <c r="F1721" s="17"/>
      <c r="G1721" s="21"/>
      <c r="H1721" s="21"/>
      <c r="I1721" s="4">
        <v>0</v>
      </c>
      <c r="J1721" s="4">
        <v>0</v>
      </c>
      <c r="K1721" s="4"/>
      <c r="L1721" s="16"/>
      <c r="M1721" s="4"/>
      <c r="N1721" s="4"/>
      <c r="O1721" s="4"/>
      <c r="P1721" s="4"/>
      <c r="Q1721" s="4"/>
      <c r="R1721" s="4"/>
      <c r="S1721" s="4">
        <v>0</v>
      </c>
      <c r="T1721" s="4">
        <v>0</v>
      </c>
      <c r="U1721" s="4">
        <v>0</v>
      </c>
      <c r="V1721" s="4">
        <v>12</v>
      </c>
      <c r="W1721" s="4">
        <v>12</v>
      </c>
      <c r="X1721" s="4">
        <v>6</v>
      </c>
      <c r="Y1721" s="4"/>
      <c r="Z1721" s="4">
        <v>240.59999999999997</v>
      </c>
      <c r="AA1721" s="4">
        <v>250</v>
      </c>
      <c r="AB1721" s="18"/>
      <c r="AC1721" s="18">
        <v>32</v>
      </c>
      <c r="AD1721" s="28"/>
      <c r="AE1721" s="26"/>
      <c r="AF1721" s="28"/>
    </row>
    <row r="1722" spans="1:32" ht="13.5" customHeight="1" x14ac:dyDescent="0.25">
      <c r="A1722" s="14">
        <v>45879</v>
      </c>
      <c r="B1722" s="14" t="s">
        <v>46</v>
      </c>
      <c r="C1722" s="15">
        <v>5</v>
      </c>
      <c r="D1722" s="16"/>
      <c r="E1722" s="16"/>
      <c r="F1722" s="17"/>
      <c r="G1722" s="21"/>
      <c r="H1722" s="21"/>
      <c r="I1722" s="4">
        <v>0</v>
      </c>
      <c r="J1722" s="4">
        <v>0</v>
      </c>
      <c r="K1722" s="4"/>
      <c r="L1722" s="16"/>
      <c r="M1722" s="4"/>
      <c r="N1722" s="4"/>
      <c r="O1722" s="4"/>
      <c r="P1722" s="4"/>
      <c r="Q1722" s="4"/>
      <c r="R1722" s="4"/>
      <c r="S1722" s="4">
        <v>0</v>
      </c>
      <c r="T1722" s="4">
        <v>0</v>
      </c>
      <c r="U1722" s="4">
        <v>0</v>
      </c>
      <c r="V1722" s="4">
        <v>12</v>
      </c>
      <c r="W1722" s="4">
        <v>12</v>
      </c>
      <c r="X1722" s="4">
        <v>0</v>
      </c>
      <c r="Y1722" s="4"/>
      <c r="Z1722" s="4">
        <v>460.20000000000005</v>
      </c>
      <c r="AA1722" s="4">
        <v>500</v>
      </c>
      <c r="AB1722" s="18"/>
      <c r="AC1722" s="18">
        <v>32</v>
      </c>
      <c r="AD1722" s="28"/>
      <c r="AE1722" s="26"/>
      <c r="AF1722" s="28"/>
    </row>
    <row r="1723" spans="1:32" ht="13.5" customHeight="1" x14ac:dyDescent="0.25">
      <c r="A1723" s="14">
        <v>45879</v>
      </c>
      <c r="B1723" s="14" t="s">
        <v>47</v>
      </c>
      <c r="C1723" s="15">
        <v>5</v>
      </c>
      <c r="D1723" s="16"/>
      <c r="E1723" s="16"/>
      <c r="F1723" s="17"/>
      <c r="G1723" s="21"/>
      <c r="H1723" s="21"/>
      <c r="I1723" s="4">
        <v>0</v>
      </c>
      <c r="J1723" s="4">
        <v>0</v>
      </c>
      <c r="K1723" s="4"/>
      <c r="L1723" s="16"/>
      <c r="M1723" s="4"/>
      <c r="N1723" s="4"/>
      <c r="O1723" s="4"/>
      <c r="P1723" s="4"/>
      <c r="Q1723" s="4"/>
      <c r="R1723" s="4"/>
      <c r="S1723" s="4">
        <v>0</v>
      </c>
      <c r="T1723" s="4">
        <v>0</v>
      </c>
      <c r="U1723" s="4">
        <v>0</v>
      </c>
      <c r="V1723" s="4">
        <v>12</v>
      </c>
      <c r="W1723" s="4">
        <v>12</v>
      </c>
      <c r="X1723" s="4">
        <v>17</v>
      </c>
      <c r="Y1723" s="4"/>
      <c r="Z1723" s="4">
        <v>574.79999999999995</v>
      </c>
      <c r="AA1723" s="4">
        <v>600</v>
      </c>
      <c r="AB1723" s="18"/>
      <c r="AC1723" s="18">
        <v>32</v>
      </c>
      <c r="AD1723" s="28"/>
      <c r="AE1723" s="26"/>
      <c r="AF1723" s="28"/>
    </row>
    <row r="1724" spans="1:32" ht="13.5" customHeight="1" x14ac:dyDescent="0.25">
      <c r="A1724" s="14">
        <v>45880</v>
      </c>
      <c r="B1724" s="14" t="s">
        <v>46</v>
      </c>
      <c r="C1724" s="15">
        <v>1</v>
      </c>
      <c r="D1724" s="16">
        <v>3</v>
      </c>
      <c r="E1724" s="16"/>
      <c r="F1724" s="17"/>
      <c r="G1724" s="21"/>
      <c r="H1724" s="21"/>
      <c r="I1724" s="4">
        <v>3</v>
      </c>
      <c r="J1724" s="4">
        <v>0.05</v>
      </c>
      <c r="K1724" s="4"/>
      <c r="L1724" s="16"/>
      <c r="M1724" s="4"/>
      <c r="N1724" s="4"/>
      <c r="O1724" s="4"/>
      <c r="P1724" s="4"/>
      <c r="Q1724" s="4"/>
      <c r="R1724" s="4"/>
      <c r="S1724" s="4">
        <v>0</v>
      </c>
      <c r="T1724" s="4">
        <v>0</v>
      </c>
      <c r="U1724" s="4">
        <v>0.05</v>
      </c>
      <c r="V1724" s="4">
        <v>11.95</v>
      </c>
      <c r="W1724" s="4">
        <v>12</v>
      </c>
      <c r="X1724" s="4">
        <v>0</v>
      </c>
      <c r="Y1724" s="4">
        <v>2301</v>
      </c>
      <c r="Z1724" s="4">
        <v>159.6</v>
      </c>
      <c r="AA1724" s="4">
        <v>150</v>
      </c>
      <c r="AB1724" s="18">
        <v>372</v>
      </c>
      <c r="AC1724" s="18">
        <v>33</v>
      </c>
      <c r="AD1724" s="28"/>
      <c r="AE1724" s="26"/>
      <c r="AF1724" s="28"/>
    </row>
    <row r="1725" spans="1:32" ht="13.5" customHeight="1" x14ac:dyDescent="0.25">
      <c r="A1725" s="14">
        <v>45880</v>
      </c>
      <c r="B1725" s="14" t="s">
        <v>47</v>
      </c>
      <c r="C1725" s="15">
        <v>1</v>
      </c>
      <c r="D1725" s="16"/>
      <c r="E1725" s="16"/>
      <c r="F1725" s="17"/>
      <c r="G1725" s="21"/>
      <c r="H1725" s="21"/>
      <c r="I1725" s="4">
        <v>0</v>
      </c>
      <c r="J1725" s="4">
        <v>0</v>
      </c>
      <c r="K1725" s="4"/>
      <c r="L1725" s="16"/>
      <c r="M1725" s="4"/>
      <c r="N1725" s="4"/>
      <c r="O1725" s="4"/>
      <c r="P1725" s="4"/>
      <c r="Q1725" s="4"/>
      <c r="R1725" s="4"/>
      <c r="S1725" s="4">
        <v>0</v>
      </c>
      <c r="T1725" s="4">
        <v>0</v>
      </c>
      <c r="U1725" s="4">
        <v>0</v>
      </c>
      <c r="V1725" s="4">
        <v>12</v>
      </c>
      <c r="W1725" s="4">
        <v>12</v>
      </c>
      <c r="X1725" s="4">
        <v>4</v>
      </c>
      <c r="Y1725" s="4"/>
      <c r="Z1725" s="4">
        <v>183.3</v>
      </c>
      <c r="AA1725" s="4">
        <v>200</v>
      </c>
      <c r="AB1725" s="18"/>
      <c r="AC1725" s="18">
        <v>33</v>
      </c>
      <c r="AD1725" s="28"/>
      <c r="AE1725" s="26"/>
      <c r="AF1725" s="28"/>
    </row>
    <row r="1726" spans="1:32" ht="13.5" customHeight="1" x14ac:dyDescent="0.25">
      <c r="A1726" s="14">
        <v>45880</v>
      </c>
      <c r="B1726" s="14" t="s">
        <v>46</v>
      </c>
      <c r="C1726" s="15">
        <v>2</v>
      </c>
      <c r="D1726" s="16">
        <v>10</v>
      </c>
      <c r="E1726" s="16"/>
      <c r="F1726" s="17"/>
      <c r="G1726" s="21"/>
      <c r="H1726" s="21"/>
      <c r="I1726" s="4">
        <v>10</v>
      </c>
      <c r="J1726" s="4">
        <v>0.16666666666666666</v>
      </c>
      <c r="K1726" s="4"/>
      <c r="L1726" s="16"/>
      <c r="M1726" s="4"/>
      <c r="N1726" s="4"/>
      <c r="O1726" s="4"/>
      <c r="P1726" s="4"/>
      <c r="Q1726" s="4"/>
      <c r="R1726" s="4"/>
      <c r="S1726" s="4">
        <v>0</v>
      </c>
      <c r="T1726" s="4">
        <v>0</v>
      </c>
      <c r="U1726" s="4">
        <v>0.16666666666666666</v>
      </c>
      <c r="V1726" s="4">
        <v>11.833333333333334</v>
      </c>
      <c r="W1726" s="4">
        <v>12</v>
      </c>
      <c r="X1726" s="4">
        <v>15</v>
      </c>
      <c r="Y1726" s="4"/>
      <c r="Z1726" s="4">
        <v>214.83999999999997</v>
      </c>
      <c r="AA1726" s="4">
        <v>250</v>
      </c>
      <c r="AB1726" s="18"/>
      <c r="AC1726" s="18">
        <v>33</v>
      </c>
      <c r="AD1726" s="28"/>
      <c r="AE1726" s="26"/>
      <c r="AF1726" s="28"/>
    </row>
    <row r="1727" spans="1:32" ht="13.5" customHeight="1" x14ac:dyDescent="0.25">
      <c r="A1727" s="14">
        <v>45880</v>
      </c>
      <c r="B1727" s="14" t="s">
        <v>47</v>
      </c>
      <c r="C1727" s="15">
        <v>2</v>
      </c>
      <c r="D1727" s="16"/>
      <c r="E1727" s="16"/>
      <c r="F1727" s="17"/>
      <c r="G1727" s="21"/>
      <c r="H1727" s="21"/>
      <c r="I1727" s="4">
        <v>0</v>
      </c>
      <c r="J1727" s="4">
        <v>0</v>
      </c>
      <c r="K1727" s="4"/>
      <c r="L1727" s="16"/>
      <c r="M1727" s="4"/>
      <c r="N1727" s="4"/>
      <c r="O1727" s="4"/>
      <c r="P1727" s="4"/>
      <c r="Q1727" s="4"/>
      <c r="R1727" s="4"/>
      <c r="S1727" s="4">
        <v>0</v>
      </c>
      <c r="T1727" s="4">
        <v>0</v>
      </c>
      <c r="U1727" s="4">
        <v>0</v>
      </c>
      <c r="V1727" s="4">
        <v>12</v>
      </c>
      <c r="W1727" s="4">
        <v>12</v>
      </c>
      <c r="X1727" s="4">
        <v>23</v>
      </c>
      <c r="Y1727" s="4"/>
      <c r="Z1727" s="4">
        <v>377.76</v>
      </c>
      <c r="AA1727" s="4">
        <v>400</v>
      </c>
      <c r="AB1727" s="18"/>
      <c r="AC1727" s="18">
        <v>33</v>
      </c>
      <c r="AD1727" s="28"/>
      <c r="AE1727" s="26"/>
      <c r="AF1727" s="28"/>
    </row>
    <row r="1728" spans="1:32" ht="13.5" customHeight="1" x14ac:dyDescent="0.25">
      <c r="A1728" s="14">
        <v>45880</v>
      </c>
      <c r="B1728" s="14" t="s">
        <v>46</v>
      </c>
      <c r="C1728" s="15">
        <v>3</v>
      </c>
      <c r="D1728" s="16"/>
      <c r="E1728" s="16"/>
      <c r="F1728" s="17"/>
      <c r="G1728" s="21"/>
      <c r="H1728" s="21"/>
      <c r="I1728" s="4">
        <v>0</v>
      </c>
      <c r="J1728" s="4">
        <v>0</v>
      </c>
      <c r="K1728" s="4"/>
      <c r="L1728" s="16"/>
      <c r="M1728" s="4"/>
      <c r="N1728" s="4"/>
      <c r="O1728" s="4"/>
      <c r="P1728" s="4"/>
      <c r="Q1728" s="4"/>
      <c r="R1728" s="4"/>
      <c r="S1728" s="4">
        <v>0</v>
      </c>
      <c r="T1728" s="4">
        <v>0</v>
      </c>
      <c r="U1728" s="4">
        <v>0</v>
      </c>
      <c r="V1728" s="4">
        <v>12</v>
      </c>
      <c r="W1728" s="4">
        <v>12</v>
      </c>
      <c r="X1728" s="4">
        <v>0</v>
      </c>
      <c r="Y1728" s="4"/>
      <c r="Z1728" s="4">
        <v>506.09999999999997</v>
      </c>
      <c r="AA1728" s="4">
        <v>500</v>
      </c>
      <c r="AB1728" s="18"/>
      <c r="AC1728" s="18">
        <v>33</v>
      </c>
      <c r="AD1728" s="28"/>
      <c r="AE1728" s="26"/>
      <c r="AF1728" s="28"/>
    </row>
    <row r="1729" spans="1:32" ht="13.5" customHeight="1" x14ac:dyDescent="0.25">
      <c r="A1729" s="14">
        <v>45880</v>
      </c>
      <c r="B1729" s="14" t="s">
        <v>47</v>
      </c>
      <c r="C1729" s="15">
        <v>3</v>
      </c>
      <c r="D1729" s="16"/>
      <c r="E1729" s="16"/>
      <c r="F1729" s="17"/>
      <c r="G1729" s="21"/>
      <c r="H1729" s="21"/>
      <c r="I1729" s="4">
        <v>0</v>
      </c>
      <c r="J1729" s="4">
        <v>0</v>
      </c>
      <c r="K1729" s="4"/>
      <c r="L1729" s="16"/>
      <c r="M1729" s="4"/>
      <c r="N1729" s="4"/>
      <c r="O1729" s="4"/>
      <c r="P1729" s="4"/>
      <c r="Q1729" s="4"/>
      <c r="R1729" s="4"/>
      <c r="S1729" s="4">
        <v>0</v>
      </c>
      <c r="T1729" s="4">
        <v>0</v>
      </c>
      <c r="U1729" s="4">
        <v>0</v>
      </c>
      <c r="V1729" s="4">
        <v>12</v>
      </c>
      <c r="W1729" s="4">
        <v>12</v>
      </c>
      <c r="X1729" s="4">
        <v>0.5</v>
      </c>
      <c r="Y1729" s="4"/>
      <c r="Z1729" s="4">
        <v>442</v>
      </c>
      <c r="AA1729" s="4">
        <v>450</v>
      </c>
      <c r="AB1729" s="18"/>
      <c r="AC1729" s="18">
        <v>33</v>
      </c>
      <c r="AD1729" s="28"/>
      <c r="AE1729" s="26"/>
      <c r="AF1729" s="28"/>
    </row>
    <row r="1730" spans="1:32" ht="13.5" customHeight="1" x14ac:dyDescent="0.25">
      <c r="A1730" s="14">
        <v>45880</v>
      </c>
      <c r="B1730" s="14" t="s">
        <v>46</v>
      </c>
      <c r="C1730" s="15">
        <v>4</v>
      </c>
      <c r="D1730" s="16">
        <v>2</v>
      </c>
      <c r="E1730" s="16"/>
      <c r="F1730" s="17"/>
      <c r="G1730" s="21"/>
      <c r="H1730" s="21"/>
      <c r="I1730" s="4">
        <v>2</v>
      </c>
      <c r="J1730" s="4">
        <v>3.3333333333333333E-2</v>
      </c>
      <c r="K1730" s="4"/>
      <c r="L1730" s="16"/>
      <c r="M1730" s="4"/>
      <c r="N1730" s="4"/>
      <c r="O1730" s="4"/>
      <c r="P1730" s="4"/>
      <c r="Q1730" s="4"/>
      <c r="R1730" s="4"/>
      <c r="S1730" s="4">
        <v>0</v>
      </c>
      <c r="T1730" s="4">
        <v>0</v>
      </c>
      <c r="U1730" s="4">
        <v>3.3333333333333333E-2</v>
      </c>
      <c r="V1730" s="4">
        <v>11.966666666666667</v>
      </c>
      <c r="W1730" s="4">
        <v>12</v>
      </c>
      <c r="X1730" s="4">
        <v>10</v>
      </c>
      <c r="Y1730" s="4"/>
      <c r="Z1730" s="4">
        <v>340.76</v>
      </c>
      <c r="AA1730" s="4">
        <v>350</v>
      </c>
      <c r="AB1730" s="18"/>
      <c r="AC1730" s="18">
        <v>33</v>
      </c>
      <c r="AD1730" s="28"/>
      <c r="AE1730" s="26"/>
      <c r="AF1730" s="28"/>
    </row>
    <row r="1731" spans="1:32" ht="13.5" customHeight="1" x14ac:dyDescent="0.25">
      <c r="A1731" s="14">
        <v>45880</v>
      </c>
      <c r="B1731" s="14" t="s">
        <v>47</v>
      </c>
      <c r="C1731" s="15">
        <v>4</v>
      </c>
      <c r="D1731" s="16"/>
      <c r="E1731" s="16"/>
      <c r="F1731" s="17"/>
      <c r="G1731" s="21"/>
      <c r="H1731" s="21"/>
      <c r="I1731" s="4">
        <v>0</v>
      </c>
      <c r="J1731" s="4">
        <v>0</v>
      </c>
      <c r="K1731" s="4"/>
      <c r="L1731" s="16"/>
      <c r="M1731" s="4"/>
      <c r="N1731" s="4"/>
      <c r="O1731" s="4"/>
      <c r="P1731" s="4"/>
      <c r="Q1731" s="4"/>
      <c r="R1731" s="4"/>
      <c r="S1731" s="4">
        <v>0</v>
      </c>
      <c r="T1731" s="4">
        <v>0</v>
      </c>
      <c r="U1731" s="4">
        <v>0</v>
      </c>
      <c r="V1731" s="4">
        <v>12</v>
      </c>
      <c r="W1731" s="4">
        <v>12</v>
      </c>
      <c r="X1731" s="4">
        <v>3</v>
      </c>
      <c r="Y1731" s="4"/>
      <c r="Z1731" s="4">
        <v>403.2</v>
      </c>
      <c r="AA1731" s="4">
        <v>400</v>
      </c>
      <c r="AB1731" s="18"/>
      <c r="AC1731" s="18">
        <v>33</v>
      </c>
      <c r="AD1731" s="28"/>
      <c r="AE1731" s="26"/>
      <c r="AF1731" s="28"/>
    </row>
    <row r="1732" spans="1:32" ht="13.5" customHeight="1" x14ac:dyDescent="0.25">
      <c r="A1732" s="14">
        <v>45880</v>
      </c>
      <c r="B1732" s="14" t="s">
        <v>46</v>
      </c>
      <c r="C1732" s="15">
        <v>6</v>
      </c>
      <c r="D1732" s="16">
        <v>15</v>
      </c>
      <c r="E1732" s="16"/>
      <c r="F1732" s="17"/>
      <c r="G1732" s="21"/>
      <c r="H1732" s="21"/>
      <c r="I1732" s="4">
        <v>15</v>
      </c>
      <c r="J1732" s="4">
        <v>0.25</v>
      </c>
      <c r="K1732" s="4"/>
      <c r="L1732" s="16"/>
      <c r="M1732" s="4"/>
      <c r="N1732" s="4"/>
      <c r="O1732" s="4"/>
      <c r="P1732" s="4"/>
      <c r="Q1732" s="4"/>
      <c r="R1732" s="4"/>
      <c r="S1732" s="4">
        <v>0</v>
      </c>
      <c r="T1732" s="4">
        <v>0</v>
      </c>
      <c r="U1732" s="4">
        <v>0.25</v>
      </c>
      <c r="V1732" s="4">
        <v>11.75</v>
      </c>
      <c r="W1732" s="4">
        <v>12</v>
      </c>
      <c r="X1732" s="4">
        <v>15</v>
      </c>
      <c r="Y1732" s="4"/>
      <c r="Z1732" s="4">
        <v>872.60000000000014</v>
      </c>
      <c r="AA1732" s="4">
        <v>900</v>
      </c>
      <c r="AB1732" s="18"/>
      <c r="AC1732" s="18">
        <v>33</v>
      </c>
      <c r="AD1732" s="28"/>
      <c r="AE1732" s="26"/>
      <c r="AF1732" s="28"/>
    </row>
    <row r="1733" spans="1:32" ht="13.5" customHeight="1" x14ac:dyDescent="0.25">
      <c r="A1733" s="14">
        <v>45880</v>
      </c>
      <c r="B1733" s="14" t="s">
        <v>47</v>
      </c>
      <c r="C1733" s="15">
        <v>6</v>
      </c>
      <c r="D1733" s="16">
        <v>5</v>
      </c>
      <c r="E1733" s="16"/>
      <c r="F1733" s="17"/>
      <c r="G1733" s="21"/>
      <c r="H1733" s="21"/>
      <c r="I1733" s="4">
        <v>5</v>
      </c>
      <c r="J1733" s="4">
        <v>8.3333333333333329E-2</v>
      </c>
      <c r="K1733" s="4"/>
      <c r="L1733" s="16"/>
      <c r="M1733" s="4"/>
      <c r="N1733" s="4"/>
      <c r="O1733" s="4"/>
      <c r="P1733" s="4"/>
      <c r="Q1733" s="4"/>
      <c r="R1733" s="4"/>
      <c r="S1733" s="4">
        <v>0</v>
      </c>
      <c r="T1733" s="4">
        <v>0</v>
      </c>
      <c r="U1733" s="4">
        <v>8.3333333333333329E-2</v>
      </c>
      <c r="V1733" s="4">
        <v>11.916666666666666</v>
      </c>
      <c r="W1733" s="4">
        <v>12</v>
      </c>
      <c r="X1733" s="4">
        <v>8</v>
      </c>
      <c r="Y1733" s="4"/>
      <c r="Z1733" s="4">
        <v>803.2</v>
      </c>
      <c r="AA1733" s="4">
        <v>800</v>
      </c>
      <c r="AB1733" s="18"/>
      <c r="AC1733" s="18">
        <v>33</v>
      </c>
      <c r="AD1733" s="28"/>
      <c r="AE1733" s="26"/>
      <c r="AF1733" s="28"/>
    </row>
    <row r="1734" spans="1:32" ht="13.5" customHeight="1" x14ac:dyDescent="0.25">
      <c r="A1734" s="14">
        <v>45881</v>
      </c>
      <c r="B1734" s="14" t="s">
        <v>46</v>
      </c>
      <c r="C1734" s="15">
        <v>1</v>
      </c>
      <c r="D1734" s="16">
        <v>8</v>
      </c>
      <c r="E1734" s="16"/>
      <c r="F1734" s="17"/>
      <c r="G1734" s="21"/>
      <c r="H1734" s="21"/>
      <c r="I1734" s="4">
        <v>8</v>
      </c>
      <c r="J1734" s="4">
        <v>0.13333333333333333</v>
      </c>
      <c r="K1734" s="4"/>
      <c r="L1734" s="16"/>
      <c r="M1734" s="4"/>
      <c r="N1734" s="4"/>
      <c r="O1734" s="4"/>
      <c r="P1734" s="4"/>
      <c r="Q1734" s="4"/>
      <c r="R1734" s="4"/>
      <c r="S1734" s="4">
        <v>0</v>
      </c>
      <c r="T1734" s="4">
        <v>0</v>
      </c>
      <c r="U1734" s="4">
        <v>0.13333333333333333</v>
      </c>
      <c r="V1734" s="4">
        <v>11.866666666666667</v>
      </c>
      <c r="W1734" s="4">
        <v>12</v>
      </c>
      <c r="X1734" s="4">
        <v>0</v>
      </c>
      <c r="Y1734" s="4">
        <v>2660</v>
      </c>
      <c r="Z1734" s="4">
        <v>229.3</v>
      </c>
      <c r="AA1734" s="4">
        <v>230</v>
      </c>
      <c r="AB1734" s="18">
        <v>372</v>
      </c>
      <c r="AC1734" s="18">
        <v>33</v>
      </c>
      <c r="AD1734" s="28"/>
      <c r="AE1734" s="26"/>
      <c r="AF1734" s="28"/>
    </row>
    <row r="1735" spans="1:32" ht="13.5" customHeight="1" x14ac:dyDescent="0.25">
      <c r="A1735" s="14">
        <v>45881</v>
      </c>
      <c r="B1735" s="14" t="s">
        <v>47</v>
      </c>
      <c r="C1735" s="15">
        <v>1</v>
      </c>
      <c r="D1735" s="16"/>
      <c r="E1735" s="16"/>
      <c r="F1735" s="17"/>
      <c r="G1735" s="21"/>
      <c r="H1735" s="21"/>
      <c r="I1735" s="4">
        <v>0</v>
      </c>
      <c r="J1735" s="4">
        <v>0</v>
      </c>
      <c r="K1735" s="4"/>
      <c r="L1735" s="16"/>
      <c r="M1735" s="4"/>
      <c r="N1735" s="4"/>
      <c r="O1735" s="4"/>
      <c r="P1735" s="4"/>
      <c r="Q1735" s="4"/>
      <c r="R1735" s="4"/>
      <c r="S1735" s="4">
        <v>0</v>
      </c>
      <c r="T1735" s="4">
        <v>0</v>
      </c>
      <c r="U1735" s="4">
        <v>0</v>
      </c>
      <c r="V1735" s="4">
        <v>12</v>
      </c>
      <c r="W1735" s="4">
        <v>12</v>
      </c>
      <c r="X1735" s="4">
        <v>3</v>
      </c>
      <c r="Y1735" s="4"/>
      <c r="Z1735" s="4">
        <v>182.3</v>
      </c>
      <c r="AA1735" s="4">
        <v>200</v>
      </c>
      <c r="AB1735" s="18"/>
      <c r="AC1735" s="18">
        <v>33</v>
      </c>
      <c r="AD1735" s="28"/>
      <c r="AE1735" s="26"/>
      <c r="AF1735" s="28"/>
    </row>
    <row r="1736" spans="1:32" ht="13.5" customHeight="1" x14ac:dyDescent="0.25">
      <c r="A1736" s="14">
        <v>45881</v>
      </c>
      <c r="B1736" s="14" t="s">
        <v>46</v>
      </c>
      <c r="C1736" s="15">
        <v>2</v>
      </c>
      <c r="D1736" s="16"/>
      <c r="E1736" s="16"/>
      <c r="F1736" s="17"/>
      <c r="G1736" s="21"/>
      <c r="H1736" s="21"/>
      <c r="I1736" s="4">
        <v>0</v>
      </c>
      <c r="J1736" s="4">
        <v>0</v>
      </c>
      <c r="K1736" s="4"/>
      <c r="L1736" s="16"/>
      <c r="M1736" s="4"/>
      <c r="N1736" s="4"/>
      <c r="O1736" s="4"/>
      <c r="P1736" s="4"/>
      <c r="Q1736" s="4"/>
      <c r="R1736" s="4"/>
      <c r="S1736" s="4">
        <v>0</v>
      </c>
      <c r="T1736" s="4">
        <v>0</v>
      </c>
      <c r="U1736" s="4">
        <v>0</v>
      </c>
      <c r="V1736" s="4">
        <v>12</v>
      </c>
      <c r="W1736" s="4">
        <v>12</v>
      </c>
      <c r="X1736" s="4">
        <v>4</v>
      </c>
      <c r="Y1736" s="4"/>
      <c r="Z1736" s="4">
        <v>334</v>
      </c>
      <c r="AA1736" s="4">
        <v>330</v>
      </c>
      <c r="AB1736" s="18"/>
      <c r="AC1736" s="18">
        <v>33</v>
      </c>
      <c r="AD1736" s="28"/>
      <c r="AE1736" s="26"/>
      <c r="AF1736" s="28"/>
    </row>
    <row r="1737" spans="1:32" ht="13.5" customHeight="1" x14ac:dyDescent="0.25">
      <c r="A1737" s="14">
        <v>45881</v>
      </c>
      <c r="B1737" s="14" t="s">
        <v>47</v>
      </c>
      <c r="C1737" s="15">
        <v>2</v>
      </c>
      <c r="D1737" s="16"/>
      <c r="E1737" s="16"/>
      <c r="F1737" s="17"/>
      <c r="G1737" s="21"/>
      <c r="H1737" s="21"/>
      <c r="I1737" s="4">
        <v>0</v>
      </c>
      <c r="J1737" s="4">
        <v>0</v>
      </c>
      <c r="K1737" s="4"/>
      <c r="L1737" s="16"/>
      <c r="M1737" s="4"/>
      <c r="N1737" s="4"/>
      <c r="O1737" s="4"/>
      <c r="P1737" s="4"/>
      <c r="Q1737" s="4"/>
      <c r="R1737" s="4"/>
      <c r="S1737" s="4">
        <v>0</v>
      </c>
      <c r="T1737" s="4">
        <v>0</v>
      </c>
      <c r="U1737" s="4">
        <v>0</v>
      </c>
      <c r="V1737" s="4">
        <v>12</v>
      </c>
      <c r="W1737" s="4">
        <v>12</v>
      </c>
      <c r="X1737" s="4">
        <v>13</v>
      </c>
      <c r="Y1737" s="4"/>
      <c r="Z1737" s="4">
        <v>349.19999999999993</v>
      </c>
      <c r="AA1737" s="4">
        <v>350</v>
      </c>
      <c r="AB1737" s="18"/>
      <c r="AC1737" s="18">
        <v>33</v>
      </c>
      <c r="AD1737" s="28"/>
      <c r="AE1737" s="26"/>
      <c r="AF1737" s="28"/>
    </row>
    <row r="1738" spans="1:32" ht="13.5" customHeight="1" x14ac:dyDescent="0.25">
      <c r="A1738" s="14">
        <v>45881</v>
      </c>
      <c r="B1738" s="14" t="s">
        <v>46</v>
      </c>
      <c r="C1738" s="15">
        <v>3</v>
      </c>
      <c r="D1738" s="16"/>
      <c r="E1738" s="16"/>
      <c r="F1738" s="17"/>
      <c r="G1738" s="21"/>
      <c r="H1738" s="21"/>
      <c r="I1738" s="4">
        <v>0</v>
      </c>
      <c r="J1738" s="4">
        <v>0</v>
      </c>
      <c r="K1738" s="4"/>
      <c r="L1738" s="16"/>
      <c r="M1738" s="4"/>
      <c r="N1738" s="4"/>
      <c r="O1738" s="4"/>
      <c r="P1738" s="4"/>
      <c r="Q1738" s="4"/>
      <c r="R1738" s="4"/>
      <c r="S1738" s="4">
        <v>0</v>
      </c>
      <c r="T1738" s="4">
        <v>0</v>
      </c>
      <c r="U1738" s="4">
        <v>0</v>
      </c>
      <c r="V1738" s="4">
        <v>12</v>
      </c>
      <c r="W1738" s="4">
        <v>12</v>
      </c>
      <c r="X1738" s="4">
        <v>0</v>
      </c>
      <c r="Y1738" s="4"/>
      <c r="Z1738" s="4">
        <v>519.70000000000005</v>
      </c>
      <c r="AA1738" s="4">
        <v>550</v>
      </c>
      <c r="AB1738" s="18"/>
      <c r="AC1738" s="18">
        <v>33</v>
      </c>
      <c r="AD1738" s="28"/>
      <c r="AE1738" s="26"/>
      <c r="AF1738" s="28"/>
    </row>
    <row r="1739" spans="1:32" ht="13.5" customHeight="1" x14ac:dyDescent="0.25">
      <c r="A1739" s="14">
        <v>45881</v>
      </c>
      <c r="B1739" s="14" t="s">
        <v>47</v>
      </c>
      <c r="C1739" s="15">
        <v>3</v>
      </c>
      <c r="D1739" s="16"/>
      <c r="E1739" s="16"/>
      <c r="F1739" s="17"/>
      <c r="G1739" s="21"/>
      <c r="H1739" s="21"/>
      <c r="I1739" s="4">
        <v>0</v>
      </c>
      <c r="J1739" s="4">
        <v>0</v>
      </c>
      <c r="K1739" s="4"/>
      <c r="L1739" s="16"/>
      <c r="M1739" s="4"/>
      <c r="N1739" s="4"/>
      <c r="O1739" s="4"/>
      <c r="P1739" s="4"/>
      <c r="Q1739" s="4"/>
      <c r="R1739" s="4"/>
      <c r="S1739" s="4">
        <v>0</v>
      </c>
      <c r="T1739" s="4">
        <v>0</v>
      </c>
      <c r="U1739" s="4">
        <v>0</v>
      </c>
      <c r="V1739" s="4">
        <v>12</v>
      </c>
      <c r="W1739" s="4">
        <v>12</v>
      </c>
      <c r="X1739" s="4">
        <v>2</v>
      </c>
      <c r="Y1739" s="4"/>
      <c r="Z1739" s="4">
        <v>464.1</v>
      </c>
      <c r="AA1739" s="4">
        <v>500</v>
      </c>
      <c r="AB1739" s="18"/>
      <c r="AC1739" s="18">
        <v>33</v>
      </c>
      <c r="AD1739" s="28"/>
      <c r="AE1739" s="26"/>
      <c r="AF1739" s="28"/>
    </row>
    <row r="1740" spans="1:32" ht="13.5" customHeight="1" x14ac:dyDescent="0.25">
      <c r="A1740" s="14">
        <v>45881</v>
      </c>
      <c r="B1740" s="14" t="s">
        <v>46</v>
      </c>
      <c r="C1740" s="15">
        <v>4</v>
      </c>
      <c r="D1740" s="16"/>
      <c r="E1740" s="16"/>
      <c r="F1740" s="17"/>
      <c r="G1740" s="21"/>
      <c r="H1740" s="21"/>
      <c r="I1740" s="4">
        <v>0</v>
      </c>
      <c r="J1740" s="4">
        <v>0</v>
      </c>
      <c r="K1740" s="4"/>
      <c r="L1740" s="16"/>
      <c r="M1740" s="4"/>
      <c r="N1740" s="4"/>
      <c r="O1740" s="4"/>
      <c r="P1740" s="4"/>
      <c r="Q1740" s="4"/>
      <c r="R1740" s="4"/>
      <c r="S1740" s="4">
        <v>0</v>
      </c>
      <c r="T1740" s="4">
        <v>0</v>
      </c>
      <c r="U1740" s="4">
        <v>0</v>
      </c>
      <c r="V1740" s="4">
        <v>12</v>
      </c>
      <c r="W1740" s="4">
        <v>12</v>
      </c>
      <c r="X1740" s="4">
        <v>0</v>
      </c>
      <c r="Y1740" s="4"/>
      <c r="Z1740" s="4">
        <v>385.70000000000005</v>
      </c>
      <c r="AA1740" s="4">
        <v>380</v>
      </c>
      <c r="AB1740" s="18"/>
      <c r="AC1740" s="18">
        <v>33</v>
      </c>
      <c r="AD1740" s="28"/>
      <c r="AE1740" s="26"/>
      <c r="AF1740" s="28"/>
    </row>
    <row r="1741" spans="1:32" ht="13.5" customHeight="1" x14ac:dyDescent="0.25">
      <c r="A1741" s="14">
        <v>45881</v>
      </c>
      <c r="B1741" s="14" t="s">
        <v>47</v>
      </c>
      <c r="C1741" s="15">
        <v>4</v>
      </c>
      <c r="D1741" s="16"/>
      <c r="E1741" s="16"/>
      <c r="F1741" s="17"/>
      <c r="G1741" s="21"/>
      <c r="H1741" s="21"/>
      <c r="I1741" s="4">
        <v>0</v>
      </c>
      <c r="J1741" s="4">
        <v>0</v>
      </c>
      <c r="K1741" s="4"/>
      <c r="L1741" s="16"/>
      <c r="M1741" s="4"/>
      <c r="N1741" s="4"/>
      <c r="O1741" s="4"/>
      <c r="P1741" s="4"/>
      <c r="Q1741" s="4"/>
      <c r="R1741" s="4"/>
      <c r="S1741" s="4">
        <v>0</v>
      </c>
      <c r="T1741" s="4">
        <v>0</v>
      </c>
      <c r="U1741" s="4">
        <v>0</v>
      </c>
      <c r="V1741" s="4">
        <v>12</v>
      </c>
      <c r="W1741" s="4">
        <v>12</v>
      </c>
      <c r="X1741" s="4">
        <v>2</v>
      </c>
      <c r="Y1741" s="4"/>
      <c r="Z1741" s="4">
        <v>354.40000000000003</v>
      </c>
      <c r="AA1741" s="4">
        <v>350</v>
      </c>
      <c r="AB1741" s="18"/>
      <c r="AC1741" s="18">
        <v>33</v>
      </c>
      <c r="AD1741" s="28"/>
      <c r="AE1741" s="26"/>
      <c r="AF1741" s="28"/>
    </row>
    <row r="1742" spans="1:32" ht="13.5" customHeight="1" x14ac:dyDescent="0.25">
      <c r="A1742" s="14">
        <v>45881</v>
      </c>
      <c r="B1742" s="14" t="s">
        <v>46</v>
      </c>
      <c r="C1742" s="15">
        <v>5</v>
      </c>
      <c r="D1742" s="16"/>
      <c r="E1742" s="16"/>
      <c r="F1742" s="17"/>
      <c r="G1742" s="21"/>
      <c r="H1742" s="21"/>
      <c r="I1742" s="4">
        <v>0</v>
      </c>
      <c r="J1742" s="4">
        <v>0</v>
      </c>
      <c r="K1742" s="4"/>
      <c r="L1742" s="16"/>
      <c r="M1742" s="4"/>
      <c r="N1742" s="4"/>
      <c r="O1742" s="4"/>
      <c r="P1742" s="4"/>
      <c r="Q1742" s="4"/>
      <c r="R1742" s="4"/>
      <c r="S1742" s="4">
        <v>0</v>
      </c>
      <c r="T1742" s="4">
        <v>0</v>
      </c>
      <c r="U1742" s="4">
        <v>0</v>
      </c>
      <c r="V1742" s="4">
        <v>12</v>
      </c>
      <c r="W1742" s="4">
        <v>12</v>
      </c>
      <c r="X1742" s="4">
        <v>11</v>
      </c>
      <c r="Y1742" s="4"/>
      <c r="Z1742" s="4">
        <v>531.69999999999993</v>
      </c>
      <c r="AA1742" s="4">
        <v>500</v>
      </c>
      <c r="AB1742" s="18"/>
      <c r="AC1742" s="18">
        <v>33</v>
      </c>
      <c r="AD1742" s="28"/>
      <c r="AE1742" s="26"/>
      <c r="AF1742" s="28"/>
    </row>
    <row r="1743" spans="1:32" ht="13.5" customHeight="1" x14ac:dyDescent="0.25">
      <c r="A1743" s="14">
        <v>45881</v>
      </c>
      <c r="B1743" s="14" t="s">
        <v>47</v>
      </c>
      <c r="C1743" s="15">
        <v>5</v>
      </c>
      <c r="D1743" s="16"/>
      <c r="E1743" s="16"/>
      <c r="F1743" s="17"/>
      <c r="G1743" s="21"/>
      <c r="H1743" s="21"/>
      <c r="I1743" s="4">
        <v>0</v>
      </c>
      <c r="J1743" s="4">
        <v>0</v>
      </c>
      <c r="K1743" s="4"/>
      <c r="L1743" s="16"/>
      <c r="M1743" s="4"/>
      <c r="N1743" s="4"/>
      <c r="O1743" s="4"/>
      <c r="P1743" s="4"/>
      <c r="Q1743" s="4"/>
      <c r="R1743" s="4"/>
      <c r="S1743" s="4">
        <v>0</v>
      </c>
      <c r="T1743" s="4">
        <v>0</v>
      </c>
      <c r="U1743" s="4">
        <v>0</v>
      </c>
      <c r="V1743" s="4">
        <v>12</v>
      </c>
      <c r="W1743" s="4">
        <v>12</v>
      </c>
      <c r="X1743" s="4">
        <v>0</v>
      </c>
      <c r="Y1743" s="4"/>
      <c r="Z1743" s="4">
        <v>448.59999999999997</v>
      </c>
      <c r="AA1743" s="4">
        <v>450</v>
      </c>
      <c r="AB1743" s="18"/>
      <c r="AC1743" s="18">
        <v>33</v>
      </c>
      <c r="AD1743" s="28"/>
      <c r="AE1743" s="26"/>
      <c r="AF1743" s="28"/>
    </row>
    <row r="1744" spans="1:32" ht="13.5" customHeight="1" x14ac:dyDescent="0.25">
      <c r="A1744" s="14">
        <v>45881</v>
      </c>
      <c r="B1744" s="14" t="s">
        <v>46</v>
      </c>
      <c r="C1744" s="15">
        <v>6</v>
      </c>
      <c r="D1744" s="16">
        <v>20</v>
      </c>
      <c r="E1744" s="16"/>
      <c r="F1744" s="17"/>
      <c r="G1744" s="21"/>
      <c r="H1744" s="21"/>
      <c r="I1744" s="4">
        <v>20</v>
      </c>
      <c r="J1744" s="4">
        <v>0.33333333333333331</v>
      </c>
      <c r="K1744" s="4"/>
      <c r="L1744" s="16"/>
      <c r="M1744" s="4"/>
      <c r="N1744" s="4"/>
      <c r="O1744" s="4"/>
      <c r="P1744" s="4"/>
      <c r="Q1744" s="4"/>
      <c r="R1744" s="4"/>
      <c r="S1744" s="4">
        <v>0</v>
      </c>
      <c r="T1744" s="4">
        <v>0</v>
      </c>
      <c r="U1744" s="4">
        <v>0.33333333333333331</v>
      </c>
      <c r="V1744" s="4">
        <v>11.666666666666666</v>
      </c>
      <c r="W1744" s="4">
        <v>12</v>
      </c>
      <c r="X1744" s="4">
        <v>34</v>
      </c>
      <c r="Y1744" s="4"/>
      <c r="Z1744" s="4">
        <v>101.4</v>
      </c>
      <c r="AA1744" s="4">
        <v>110</v>
      </c>
      <c r="AB1744" s="18"/>
      <c r="AC1744" s="18">
        <v>33</v>
      </c>
      <c r="AD1744" s="28"/>
      <c r="AE1744" s="26"/>
      <c r="AF1744" s="28"/>
    </row>
    <row r="1745" spans="1:32" ht="13.5" customHeight="1" x14ac:dyDescent="0.25">
      <c r="A1745" s="14">
        <v>45881</v>
      </c>
      <c r="B1745" s="14" t="s">
        <v>47</v>
      </c>
      <c r="C1745" s="15">
        <v>6</v>
      </c>
      <c r="D1745" s="16"/>
      <c r="E1745" s="16"/>
      <c r="F1745" s="17"/>
      <c r="G1745" s="21"/>
      <c r="H1745" s="21"/>
      <c r="I1745" s="4">
        <v>0</v>
      </c>
      <c r="J1745" s="4">
        <v>0</v>
      </c>
      <c r="K1745" s="4"/>
      <c r="L1745" s="16"/>
      <c r="M1745" s="4"/>
      <c r="N1745" s="4">
        <v>25</v>
      </c>
      <c r="O1745" s="4"/>
      <c r="P1745" s="4"/>
      <c r="Q1745" s="4"/>
      <c r="R1745" s="4"/>
      <c r="S1745" s="4">
        <v>25</v>
      </c>
      <c r="T1745" s="4">
        <v>0.41666666666666669</v>
      </c>
      <c r="U1745" s="4">
        <v>0.41666666666666669</v>
      </c>
      <c r="V1745" s="4">
        <v>11.583333333333334</v>
      </c>
      <c r="W1745" s="4">
        <v>12</v>
      </c>
      <c r="X1745" s="4">
        <v>0</v>
      </c>
      <c r="Y1745" s="4"/>
      <c r="Z1745" s="4">
        <v>624.80000000000007</v>
      </c>
      <c r="AA1745" s="4">
        <v>650</v>
      </c>
      <c r="AB1745" s="18"/>
      <c r="AC1745" s="18">
        <v>33</v>
      </c>
      <c r="AD1745" s="28"/>
      <c r="AE1745" s="26"/>
      <c r="AF1745" s="28"/>
    </row>
    <row r="1746" spans="1:32" ht="13.5" customHeight="1" x14ac:dyDescent="0.25">
      <c r="A1746" s="14">
        <v>45882</v>
      </c>
      <c r="B1746" s="14" t="s">
        <v>46</v>
      </c>
      <c r="C1746" s="15">
        <v>1</v>
      </c>
      <c r="D1746" s="16"/>
      <c r="E1746" s="16"/>
      <c r="F1746" s="17"/>
      <c r="G1746" s="21"/>
      <c r="H1746" s="21"/>
      <c r="I1746" s="4">
        <v>0</v>
      </c>
      <c r="J1746" s="4">
        <v>0</v>
      </c>
      <c r="K1746" s="4"/>
      <c r="L1746" s="16"/>
      <c r="M1746" s="4"/>
      <c r="N1746" s="4"/>
      <c r="O1746" s="4"/>
      <c r="P1746" s="4"/>
      <c r="Q1746" s="4"/>
      <c r="R1746" s="4"/>
      <c r="S1746" s="4">
        <v>0</v>
      </c>
      <c r="T1746" s="4">
        <v>0</v>
      </c>
      <c r="U1746" s="4">
        <v>0</v>
      </c>
      <c r="V1746" s="4">
        <v>12</v>
      </c>
      <c r="W1746" s="4">
        <v>12</v>
      </c>
      <c r="X1746" s="4">
        <v>0</v>
      </c>
      <c r="Y1746" s="4">
        <v>2108</v>
      </c>
      <c r="Z1746" s="4">
        <v>148.1</v>
      </c>
      <c r="AA1746" s="4">
        <v>148</v>
      </c>
      <c r="AB1746" s="18">
        <v>372</v>
      </c>
      <c r="AC1746" s="18">
        <v>33</v>
      </c>
      <c r="AD1746" s="28"/>
      <c r="AE1746" s="26"/>
      <c r="AF1746" s="28"/>
    </row>
    <row r="1747" spans="1:32" ht="13.5" customHeight="1" x14ac:dyDescent="0.25">
      <c r="A1747" s="14">
        <v>45882</v>
      </c>
      <c r="B1747" s="14" t="s">
        <v>47</v>
      </c>
      <c r="C1747" s="15">
        <v>1</v>
      </c>
      <c r="D1747" s="16"/>
      <c r="E1747" s="16"/>
      <c r="F1747" s="17"/>
      <c r="G1747" s="21"/>
      <c r="H1747" s="21"/>
      <c r="I1747" s="4">
        <v>0</v>
      </c>
      <c r="J1747" s="4">
        <v>0</v>
      </c>
      <c r="K1747" s="4"/>
      <c r="L1747" s="16"/>
      <c r="M1747" s="4"/>
      <c r="N1747" s="4"/>
      <c r="O1747" s="4"/>
      <c r="P1747" s="4"/>
      <c r="Q1747" s="4"/>
      <c r="R1747" s="4"/>
      <c r="S1747" s="4">
        <v>0</v>
      </c>
      <c r="T1747" s="4">
        <v>0</v>
      </c>
      <c r="U1747" s="4">
        <v>0</v>
      </c>
      <c r="V1747" s="4">
        <v>12</v>
      </c>
      <c r="W1747" s="4">
        <v>12</v>
      </c>
      <c r="X1747" s="4">
        <v>5</v>
      </c>
      <c r="Y1747" s="4"/>
      <c r="Z1747" s="4">
        <v>231.2</v>
      </c>
      <c r="AA1747" s="4">
        <v>231</v>
      </c>
      <c r="AB1747" s="18"/>
      <c r="AC1747" s="18">
        <v>33</v>
      </c>
      <c r="AD1747" s="28"/>
      <c r="AE1747" s="26"/>
      <c r="AF1747" s="28"/>
    </row>
    <row r="1748" spans="1:32" ht="13.5" customHeight="1" x14ac:dyDescent="0.25">
      <c r="A1748" s="14">
        <v>45882</v>
      </c>
      <c r="B1748" s="14" t="s">
        <v>46</v>
      </c>
      <c r="C1748" s="15">
        <v>2</v>
      </c>
      <c r="D1748" s="16"/>
      <c r="E1748" s="16"/>
      <c r="F1748" s="17"/>
      <c r="G1748" s="21"/>
      <c r="H1748" s="21"/>
      <c r="I1748" s="4">
        <v>0</v>
      </c>
      <c r="J1748" s="4">
        <v>0</v>
      </c>
      <c r="K1748" s="4"/>
      <c r="L1748" s="16"/>
      <c r="M1748" s="4"/>
      <c r="N1748" s="4"/>
      <c r="O1748" s="4"/>
      <c r="P1748" s="4"/>
      <c r="Q1748" s="4"/>
      <c r="R1748" s="4"/>
      <c r="S1748" s="4">
        <v>0</v>
      </c>
      <c r="T1748" s="4">
        <v>0</v>
      </c>
      <c r="U1748" s="4">
        <v>0</v>
      </c>
      <c r="V1748" s="4">
        <v>12</v>
      </c>
      <c r="W1748" s="4">
        <v>12</v>
      </c>
      <c r="X1748" s="4">
        <v>0</v>
      </c>
      <c r="Y1748" s="4"/>
      <c r="Z1748" s="4">
        <v>48.8</v>
      </c>
      <c r="AA1748" s="4">
        <v>48</v>
      </c>
      <c r="AB1748" s="18"/>
      <c r="AC1748" s="18">
        <v>33</v>
      </c>
      <c r="AD1748" s="28"/>
      <c r="AE1748" s="26"/>
      <c r="AF1748" s="28"/>
    </row>
    <row r="1749" spans="1:32" ht="13.5" customHeight="1" x14ac:dyDescent="0.25">
      <c r="A1749" s="14">
        <v>45882</v>
      </c>
      <c r="B1749" s="14" t="s">
        <v>47</v>
      </c>
      <c r="C1749" s="15">
        <v>2</v>
      </c>
      <c r="D1749" s="16"/>
      <c r="E1749" s="16"/>
      <c r="F1749" s="17"/>
      <c r="G1749" s="21"/>
      <c r="H1749" s="21"/>
      <c r="I1749" s="4">
        <v>0</v>
      </c>
      <c r="J1749" s="4">
        <v>0</v>
      </c>
      <c r="K1749" s="4"/>
      <c r="L1749" s="16"/>
      <c r="M1749" s="4"/>
      <c r="N1749" s="4"/>
      <c r="O1749" s="4"/>
      <c r="P1749" s="4"/>
      <c r="Q1749" s="4"/>
      <c r="R1749" s="4"/>
      <c r="S1749" s="4">
        <v>0</v>
      </c>
      <c r="T1749" s="4">
        <v>0</v>
      </c>
      <c r="U1749" s="4">
        <v>0</v>
      </c>
      <c r="V1749" s="4">
        <v>12</v>
      </c>
      <c r="W1749" s="4">
        <v>12</v>
      </c>
      <c r="X1749" s="4">
        <v>0</v>
      </c>
      <c r="Y1749" s="4"/>
      <c r="Z1749" s="4">
        <v>0</v>
      </c>
      <c r="AA1749" s="4">
        <v>0</v>
      </c>
      <c r="AB1749" s="18"/>
      <c r="AC1749" s="18">
        <v>33</v>
      </c>
      <c r="AD1749" s="28"/>
      <c r="AE1749" s="26"/>
      <c r="AF1749" s="28"/>
    </row>
    <row r="1750" spans="1:32" ht="13.5" customHeight="1" x14ac:dyDescent="0.25">
      <c r="A1750" s="14">
        <v>45882</v>
      </c>
      <c r="B1750" s="14" t="s">
        <v>46</v>
      </c>
      <c r="C1750" s="15">
        <v>3</v>
      </c>
      <c r="D1750" s="16"/>
      <c r="E1750" s="16"/>
      <c r="F1750" s="17"/>
      <c r="G1750" s="21"/>
      <c r="H1750" s="21"/>
      <c r="I1750" s="4">
        <v>0</v>
      </c>
      <c r="J1750" s="4">
        <v>0</v>
      </c>
      <c r="K1750" s="4"/>
      <c r="L1750" s="16"/>
      <c r="M1750" s="4"/>
      <c r="N1750" s="4"/>
      <c r="O1750" s="4"/>
      <c r="P1750" s="4"/>
      <c r="Q1750" s="4"/>
      <c r="R1750" s="4"/>
      <c r="S1750" s="4">
        <v>0</v>
      </c>
      <c r="T1750" s="4">
        <v>0</v>
      </c>
      <c r="U1750" s="4">
        <v>0</v>
      </c>
      <c r="V1750" s="4">
        <v>12</v>
      </c>
      <c r="W1750" s="4">
        <v>12</v>
      </c>
      <c r="X1750" s="4">
        <v>0</v>
      </c>
      <c r="Y1750" s="4"/>
      <c r="Z1750" s="4">
        <v>327</v>
      </c>
      <c r="AA1750" s="4">
        <v>330</v>
      </c>
      <c r="AB1750" s="18"/>
      <c r="AC1750" s="18">
        <v>33</v>
      </c>
      <c r="AD1750" s="28"/>
      <c r="AE1750" s="26"/>
      <c r="AF1750" s="28"/>
    </row>
    <row r="1751" spans="1:32" ht="13.5" customHeight="1" x14ac:dyDescent="0.25">
      <c r="A1751" s="14">
        <v>45882</v>
      </c>
      <c r="B1751" s="14" t="s">
        <v>47</v>
      </c>
      <c r="C1751" s="15">
        <v>3</v>
      </c>
      <c r="D1751" s="16"/>
      <c r="E1751" s="16"/>
      <c r="F1751" s="17"/>
      <c r="G1751" s="21"/>
      <c r="H1751" s="21"/>
      <c r="I1751" s="4">
        <v>0</v>
      </c>
      <c r="J1751" s="4">
        <v>0</v>
      </c>
      <c r="K1751" s="4"/>
      <c r="L1751" s="16"/>
      <c r="M1751" s="4"/>
      <c r="N1751" s="4"/>
      <c r="O1751" s="4"/>
      <c r="P1751" s="4"/>
      <c r="Q1751" s="4"/>
      <c r="R1751" s="4"/>
      <c r="S1751" s="4">
        <v>0</v>
      </c>
      <c r="T1751" s="4">
        <v>0</v>
      </c>
      <c r="U1751" s="4">
        <v>0</v>
      </c>
      <c r="V1751" s="4">
        <v>12</v>
      </c>
      <c r="W1751" s="4">
        <v>12</v>
      </c>
      <c r="X1751" s="4">
        <v>0</v>
      </c>
      <c r="Y1751" s="4"/>
      <c r="Z1751" s="4">
        <v>524.6</v>
      </c>
      <c r="AA1751" s="4">
        <v>530</v>
      </c>
      <c r="AB1751" s="18"/>
      <c r="AC1751" s="18">
        <v>33</v>
      </c>
      <c r="AD1751" s="28"/>
      <c r="AE1751" s="26"/>
      <c r="AF1751" s="28"/>
    </row>
    <row r="1752" spans="1:32" ht="13.5" customHeight="1" x14ac:dyDescent="0.25">
      <c r="A1752" s="14">
        <v>45882</v>
      </c>
      <c r="B1752" s="14" t="s">
        <v>46</v>
      </c>
      <c r="C1752" s="15">
        <v>4</v>
      </c>
      <c r="D1752" s="16"/>
      <c r="E1752" s="16"/>
      <c r="F1752" s="17"/>
      <c r="G1752" s="21"/>
      <c r="H1752" s="21"/>
      <c r="I1752" s="4">
        <v>0</v>
      </c>
      <c r="J1752" s="4">
        <v>0</v>
      </c>
      <c r="K1752" s="4"/>
      <c r="L1752" s="16"/>
      <c r="M1752" s="4"/>
      <c r="N1752" s="4"/>
      <c r="O1752" s="4"/>
      <c r="P1752" s="4"/>
      <c r="Q1752" s="4"/>
      <c r="R1752" s="4"/>
      <c r="S1752" s="4">
        <v>0</v>
      </c>
      <c r="T1752" s="4">
        <v>0</v>
      </c>
      <c r="U1752" s="4">
        <v>0</v>
      </c>
      <c r="V1752" s="4">
        <v>12</v>
      </c>
      <c r="W1752" s="4">
        <v>12</v>
      </c>
      <c r="X1752" s="4">
        <v>0</v>
      </c>
      <c r="Y1752" s="4"/>
      <c r="Z1752" s="4">
        <v>348.2</v>
      </c>
      <c r="AA1752" s="4">
        <v>350</v>
      </c>
      <c r="AB1752" s="18"/>
      <c r="AC1752" s="18">
        <v>33</v>
      </c>
      <c r="AD1752" s="28"/>
      <c r="AE1752" s="26"/>
      <c r="AF1752" s="28"/>
    </row>
    <row r="1753" spans="1:32" ht="13.5" customHeight="1" x14ac:dyDescent="0.25">
      <c r="A1753" s="14">
        <v>45882</v>
      </c>
      <c r="B1753" s="14" t="s">
        <v>47</v>
      </c>
      <c r="C1753" s="15">
        <v>4</v>
      </c>
      <c r="D1753" s="16"/>
      <c r="E1753" s="16"/>
      <c r="F1753" s="17"/>
      <c r="G1753" s="21"/>
      <c r="H1753" s="21"/>
      <c r="I1753" s="4">
        <v>0</v>
      </c>
      <c r="J1753" s="4">
        <v>0</v>
      </c>
      <c r="K1753" s="4"/>
      <c r="L1753" s="16"/>
      <c r="M1753" s="4"/>
      <c r="N1753" s="4"/>
      <c r="O1753" s="4"/>
      <c r="P1753" s="4"/>
      <c r="Q1753" s="4"/>
      <c r="R1753" s="4"/>
      <c r="S1753" s="4">
        <v>0</v>
      </c>
      <c r="T1753" s="4">
        <v>0</v>
      </c>
      <c r="U1753" s="4">
        <v>0</v>
      </c>
      <c r="V1753" s="4">
        <v>12</v>
      </c>
      <c r="W1753" s="4">
        <v>12</v>
      </c>
      <c r="X1753" s="4">
        <v>33</v>
      </c>
      <c r="Y1753" s="4"/>
      <c r="Z1753" s="4">
        <v>344.20000000000005</v>
      </c>
      <c r="AA1753" s="4">
        <v>344</v>
      </c>
      <c r="AB1753" s="18"/>
      <c r="AC1753" s="18">
        <v>33</v>
      </c>
      <c r="AD1753" s="28"/>
      <c r="AE1753" s="26"/>
      <c r="AF1753" s="28"/>
    </row>
    <row r="1754" spans="1:32" ht="13.5" customHeight="1" x14ac:dyDescent="0.25">
      <c r="A1754" s="14">
        <v>45882</v>
      </c>
      <c r="B1754" s="14" t="s">
        <v>46</v>
      </c>
      <c r="C1754" s="15">
        <v>5</v>
      </c>
      <c r="D1754" s="16"/>
      <c r="E1754" s="16"/>
      <c r="F1754" s="17"/>
      <c r="G1754" s="21"/>
      <c r="H1754" s="21"/>
      <c r="I1754" s="4">
        <v>0</v>
      </c>
      <c r="J1754" s="4">
        <v>0</v>
      </c>
      <c r="K1754" s="4"/>
      <c r="L1754" s="16"/>
      <c r="M1754" s="4"/>
      <c r="N1754" s="4"/>
      <c r="O1754" s="4"/>
      <c r="P1754" s="4"/>
      <c r="Q1754" s="4"/>
      <c r="R1754" s="4"/>
      <c r="S1754" s="4">
        <v>0</v>
      </c>
      <c r="T1754" s="4">
        <v>0</v>
      </c>
      <c r="U1754" s="4">
        <v>0</v>
      </c>
      <c r="V1754" s="4">
        <v>12</v>
      </c>
      <c r="W1754" s="4">
        <v>12</v>
      </c>
      <c r="X1754" s="4">
        <v>0</v>
      </c>
      <c r="Y1754" s="4"/>
      <c r="Z1754" s="4">
        <v>581.1</v>
      </c>
      <c r="AA1754" s="4">
        <v>581</v>
      </c>
      <c r="AB1754" s="18"/>
      <c r="AC1754" s="18">
        <v>33</v>
      </c>
      <c r="AD1754" s="28"/>
      <c r="AE1754" s="26"/>
      <c r="AF1754" s="28"/>
    </row>
    <row r="1755" spans="1:32" ht="13.5" customHeight="1" x14ac:dyDescent="0.25">
      <c r="A1755" s="14">
        <v>45882</v>
      </c>
      <c r="B1755" s="14" t="s">
        <v>47</v>
      </c>
      <c r="C1755" s="15">
        <v>5</v>
      </c>
      <c r="D1755" s="16"/>
      <c r="E1755" s="16"/>
      <c r="F1755" s="17"/>
      <c r="G1755" s="21"/>
      <c r="H1755" s="21"/>
      <c r="I1755" s="4">
        <v>0</v>
      </c>
      <c r="J1755" s="4">
        <v>0</v>
      </c>
      <c r="K1755" s="4"/>
      <c r="L1755" s="16"/>
      <c r="M1755" s="4"/>
      <c r="N1755" s="4"/>
      <c r="O1755" s="4"/>
      <c r="P1755" s="4"/>
      <c r="Q1755" s="4"/>
      <c r="R1755" s="4"/>
      <c r="S1755" s="4">
        <v>0</v>
      </c>
      <c r="T1755" s="4">
        <v>0</v>
      </c>
      <c r="U1755" s="4">
        <v>0</v>
      </c>
      <c r="V1755" s="4">
        <v>12</v>
      </c>
      <c r="W1755" s="4">
        <v>12</v>
      </c>
      <c r="X1755" s="4">
        <v>0</v>
      </c>
      <c r="Y1755" s="4"/>
      <c r="Z1755" s="4">
        <v>531.6</v>
      </c>
      <c r="AA1755" s="4">
        <v>529</v>
      </c>
      <c r="AB1755" s="18"/>
      <c r="AC1755" s="18">
        <v>33</v>
      </c>
      <c r="AD1755" s="28"/>
      <c r="AE1755" s="26"/>
      <c r="AF1755" s="28"/>
    </row>
    <row r="1756" spans="1:32" ht="13.5" customHeight="1" x14ac:dyDescent="0.25">
      <c r="A1756" s="14">
        <v>45882</v>
      </c>
      <c r="B1756" s="14" t="s">
        <v>46</v>
      </c>
      <c r="C1756" s="15">
        <v>6</v>
      </c>
      <c r="D1756" s="16"/>
      <c r="E1756" s="16"/>
      <c r="F1756" s="17"/>
      <c r="G1756" s="21"/>
      <c r="H1756" s="21"/>
      <c r="I1756" s="4">
        <v>0</v>
      </c>
      <c r="J1756" s="4">
        <v>0</v>
      </c>
      <c r="K1756" s="4"/>
      <c r="L1756" s="16"/>
      <c r="M1756" s="4">
        <v>270</v>
      </c>
      <c r="N1756" s="4"/>
      <c r="O1756" s="4"/>
      <c r="P1756" s="4"/>
      <c r="Q1756" s="4"/>
      <c r="R1756" s="4"/>
      <c r="S1756" s="4">
        <v>270</v>
      </c>
      <c r="T1756" s="4">
        <v>4.5</v>
      </c>
      <c r="U1756" s="4">
        <v>4.5</v>
      </c>
      <c r="V1756" s="4">
        <v>7.5</v>
      </c>
      <c r="W1756" s="4">
        <v>12</v>
      </c>
      <c r="X1756" s="4">
        <v>30</v>
      </c>
      <c r="Y1756" s="4"/>
      <c r="Z1756" s="4">
        <v>147.59999999999997</v>
      </c>
      <c r="AA1756" s="4">
        <v>147</v>
      </c>
      <c r="AB1756" s="18"/>
      <c r="AC1756" s="18">
        <v>33</v>
      </c>
      <c r="AD1756" s="28"/>
      <c r="AE1756" s="26"/>
      <c r="AF1756" s="28"/>
    </row>
    <row r="1757" spans="1:32" ht="13.5" customHeight="1" x14ac:dyDescent="0.25">
      <c r="A1757" s="14">
        <v>45882</v>
      </c>
      <c r="B1757" s="14" t="s">
        <v>47</v>
      </c>
      <c r="C1757" s="15">
        <v>6</v>
      </c>
      <c r="D1757" s="16"/>
      <c r="E1757" s="16"/>
      <c r="F1757" s="17"/>
      <c r="G1757" s="21"/>
      <c r="H1757" s="21"/>
      <c r="I1757" s="4">
        <v>0</v>
      </c>
      <c r="J1757" s="4">
        <v>0</v>
      </c>
      <c r="K1757" s="4"/>
      <c r="L1757" s="16"/>
      <c r="M1757" s="4"/>
      <c r="N1757" s="4"/>
      <c r="O1757" s="4"/>
      <c r="P1757" s="4"/>
      <c r="Q1757" s="4"/>
      <c r="R1757" s="4"/>
      <c r="S1757" s="4">
        <v>0</v>
      </c>
      <c r="T1757" s="4">
        <v>0</v>
      </c>
      <c r="U1757" s="4">
        <v>0</v>
      </c>
      <c r="V1757" s="4">
        <v>12</v>
      </c>
      <c r="W1757" s="4">
        <v>12</v>
      </c>
      <c r="X1757" s="4">
        <v>32</v>
      </c>
      <c r="Y1757" s="4"/>
      <c r="Z1757" s="4">
        <v>62.2</v>
      </c>
      <c r="AA1757" s="4">
        <v>62</v>
      </c>
      <c r="AB1757" s="18"/>
      <c r="AC1757" s="18">
        <v>33</v>
      </c>
      <c r="AD1757" s="28"/>
      <c r="AE1757" s="26"/>
      <c r="AF1757" s="28"/>
    </row>
    <row r="1758" spans="1:32" ht="13.5" customHeight="1" x14ac:dyDescent="0.25">
      <c r="A1758" s="14">
        <v>45883</v>
      </c>
      <c r="B1758" s="14" t="s">
        <v>46</v>
      </c>
      <c r="C1758" s="15">
        <v>1</v>
      </c>
      <c r="D1758" s="16"/>
      <c r="E1758" s="16"/>
      <c r="F1758" s="17"/>
      <c r="G1758" s="21"/>
      <c r="H1758" s="21"/>
      <c r="I1758" s="4">
        <v>0</v>
      </c>
      <c r="J1758" s="4">
        <v>0</v>
      </c>
      <c r="K1758" s="4"/>
      <c r="L1758" s="16"/>
      <c r="M1758" s="4"/>
      <c r="N1758" s="4"/>
      <c r="O1758" s="4"/>
      <c r="P1758" s="4"/>
      <c r="Q1758" s="4"/>
      <c r="R1758" s="4"/>
      <c r="S1758" s="4">
        <v>0</v>
      </c>
      <c r="T1758" s="4">
        <v>0</v>
      </c>
      <c r="U1758" s="4">
        <v>0</v>
      </c>
      <c r="V1758" s="4">
        <v>12</v>
      </c>
      <c r="W1758" s="4">
        <v>12</v>
      </c>
      <c r="X1758" s="4">
        <v>0</v>
      </c>
      <c r="Y1758" s="4">
        <v>1863</v>
      </c>
      <c r="Z1758" s="4">
        <v>97.5</v>
      </c>
      <c r="AA1758" s="4">
        <v>97</v>
      </c>
      <c r="AB1758" s="18">
        <v>372</v>
      </c>
      <c r="AC1758" s="18">
        <v>33</v>
      </c>
      <c r="AD1758" s="28"/>
      <c r="AE1758" s="26"/>
      <c r="AF1758" s="28"/>
    </row>
    <row r="1759" spans="1:32" ht="13.5" customHeight="1" x14ac:dyDescent="0.25">
      <c r="A1759" s="14">
        <v>45883</v>
      </c>
      <c r="B1759" s="14" t="s">
        <v>47</v>
      </c>
      <c r="C1759" s="15">
        <v>1</v>
      </c>
      <c r="D1759" s="16"/>
      <c r="E1759" s="16"/>
      <c r="F1759" s="17"/>
      <c r="G1759" s="21"/>
      <c r="H1759" s="21"/>
      <c r="I1759" s="4">
        <v>0</v>
      </c>
      <c r="J1759" s="4">
        <v>0</v>
      </c>
      <c r="K1759" s="4"/>
      <c r="L1759" s="16"/>
      <c r="M1759" s="4"/>
      <c r="N1759" s="4"/>
      <c r="O1759" s="4"/>
      <c r="P1759" s="4"/>
      <c r="Q1759" s="4"/>
      <c r="R1759" s="4"/>
      <c r="S1759" s="4">
        <v>0</v>
      </c>
      <c r="T1759" s="4">
        <v>0</v>
      </c>
      <c r="U1759" s="4">
        <v>0</v>
      </c>
      <c r="V1759" s="4">
        <v>12</v>
      </c>
      <c r="W1759" s="4">
        <v>12</v>
      </c>
      <c r="X1759" s="4">
        <v>0</v>
      </c>
      <c r="Y1759" s="4"/>
      <c r="Z1759" s="4">
        <v>184.2</v>
      </c>
      <c r="AA1759" s="4">
        <v>188</v>
      </c>
      <c r="AB1759" s="18"/>
      <c r="AC1759" s="18">
        <v>33</v>
      </c>
      <c r="AD1759" s="28"/>
      <c r="AE1759" s="26"/>
      <c r="AF1759" s="28"/>
    </row>
    <row r="1760" spans="1:32" ht="13.5" customHeight="1" x14ac:dyDescent="0.25">
      <c r="A1760" s="14">
        <v>45883</v>
      </c>
      <c r="B1760" s="14" t="s">
        <v>46</v>
      </c>
      <c r="C1760" s="15">
        <v>3</v>
      </c>
      <c r="D1760" s="16"/>
      <c r="E1760" s="16"/>
      <c r="F1760" s="17"/>
      <c r="G1760" s="21"/>
      <c r="H1760" s="21"/>
      <c r="I1760" s="4">
        <v>0</v>
      </c>
      <c r="J1760" s="4">
        <v>0</v>
      </c>
      <c r="K1760" s="4"/>
      <c r="L1760" s="16"/>
      <c r="M1760" s="4"/>
      <c r="N1760" s="4"/>
      <c r="O1760" s="4"/>
      <c r="P1760" s="4"/>
      <c r="Q1760" s="4"/>
      <c r="R1760" s="4"/>
      <c r="S1760" s="4">
        <v>0</v>
      </c>
      <c r="T1760" s="4">
        <v>0</v>
      </c>
      <c r="U1760" s="4">
        <v>0</v>
      </c>
      <c r="V1760" s="4">
        <v>12</v>
      </c>
      <c r="W1760" s="4">
        <v>12</v>
      </c>
      <c r="X1760" s="4">
        <v>31</v>
      </c>
      <c r="Y1760" s="4"/>
      <c r="Z1760" s="4">
        <v>266.3</v>
      </c>
      <c r="AA1760" s="4">
        <v>270</v>
      </c>
      <c r="AB1760" s="18"/>
      <c r="AC1760" s="18">
        <v>33</v>
      </c>
      <c r="AD1760" s="28"/>
      <c r="AE1760" s="26"/>
      <c r="AF1760" s="28"/>
    </row>
    <row r="1761" spans="1:32" ht="13.5" customHeight="1" x14ac:dyDescent="0.25">
      <c r="A1761" s="14">
        <v>45883</v>
      </c>
      <c r="B1761" s="14" t="s">
        <v>47</v>
      </c>
      <c r="C1761" s="15">
        <v>3</v>
      </c>
      <c r="D1761" s="16"/>
      <c r="E1761" s="16"/>
      <c r="F1761" s="17"/>
      <c r="G1761" s="21"/>
      <c r="H1761" s="21"/>
      <c r="I1761" s="4">
        <v>0</v>
      </c>
      <c r="J1761" s="4">
        <v>0</v>
      </c>
      <c r="K1761" s="4"/>
      <c r="L1761" s="16"/>
      <c r="M1761" s="4"/>
      <c r="N1761" s="4"/>
      <c r="O1761" s="4"/>
      <c r="P1761" s="4"/>
      <c r="Q1761" s="4"/>
      <c r="R1761" s="4"/>
      <c r="S1761" s="4">
        <v>0</v>
      </c>
      <c r="T1761" s="4">
        <v>0</v>
      </c>
      <c r="U1761" s="4">
        <v>0</v>
      </c>
      <c r="V1761" s="4">
        <v>12</v>
      </c>
      <c r="W1761" s="4">
        <v>12</v>
      </c>
      <c r="X1761" s="4">
        <v>31</v>
      </c>
      <c r="Y1761" s="4"/>
      <c r="Z1761" s="4">
        <v>325.00000000000006</v>
      </c>
      <c r="AA1761" s="4">
        <v>330</v>
      </c>
      <c r="AB1761" s="18"/>
      <c r="AC1761" s="18">
        <v>33</v>
      </c>
      <c r="AD1761" s="28"/>
      <c r="AE1761" s="26"/>
      <c r="AF1761" s="28"/>
    </row>
    <row r="1762" spans="1:32" ht="13.5" customHeight="1" x14ac:dyDescent="0.25">
      <c r="A1762" s="14">
        <v>45883</v>
      </c>
      <c r="B1762" s="14" t="s">
        <v>46</v>
      </c>
      <c r="C1762" s="15">
        <v>4</v>
      </c>
      <c r="D1762" s="16"/>
      <c r="E1762" s="16"/>
      <c r="F1762" s="17"/>
      <c r="G1762" s="21"/>
      <c r="H1762" s="21"/>
      <c r="I1762" s="4">
        <v>0</v>
      </c>
      <c r="J1762" s="4">
        <v>0</v>
      </c>
      <c r="K1762" s="4"/>
      <c r="L1762" s="16"/>
      <c r="M1762" s="4"/>
      <c r="N1762" s="4"/>
      <c r="O1762" s="4"/>
      <c r="P1762" s="4"/>
      <c r="Q1762" s="4"/>
      <c r="R1762" s="4"/>
      <c r="S1762" s="4">
        <v>0</v>
      </c>
      <c r="T1762" s="4">
        <v>0</v>
      </c>
      <c r="U1762" s="4">
        <v>0</v>
      </c>
      <c r="V1762" s="4">
        <v>12</v>
      </c>
      <c r="W1762" s="4">
        <v>12</v>
      </c>
      <c r="X1762" s="4">
        <v>9</v>
      </c>
      <c r="Y1762" s="4"/>
      <c r="Z1762" s="4">
        <v>300.2</v>
      </c>
      <c r="AA1762" s="4">
        <v>300</v>
      </c>
      <c r="AB1762" s="18"/>
      <c r="AC1762" s="18">
        <v>33</v>
      </c>
      <c r="AD1762" s="28"/>
      <c r="AE1762" s="26"/>
      <c r="AF1762" s="28"/>
    </row>
    <row r="1763" spans="1:32" ht="13.5" customHeight="1" x14ac:dyDescent="0.25">
      <c r="A1763" s="14">
        <v>45883</v>
      </c>
      <c r="B1763" s="14" t="s">
        <v>47</v>
      </c>
      <c r="C1763" s="15">
        <v>4</v>
      </c>
      <c r="D1763" s="16"/>
      <c r="E1763" s="16"/>
      <c r="F1763" s="17"/>
      <c r="G1763" s="21"/>
      <c r="H1763" s="21"/>
      <c r="I1763" s="4">
        <v>0</v>
      </c>
      <c r="J1763" s="4">
        <v>0</v>
      </c>
      <c r="K1763" s="4"/>
      <c r="L1763" s="16"/>
      <c r="M1763" s="4"/>
      <c r="N1763" s="4"/>
      <c r="O1763" s="4"/>
      <c r="P1763" s="4"/>
      <c r="Q1763" s="4"/>
      <c r="R1763" s="4"/>
      <c r="S1763" s="4">
        <v>0</v>
      </c>
      <c r="T1763" s="4">
        <v>0</v>
      </c>
      <c r="U1763" s="4">
        <v>0</v>
      </c>
      <c r="V1763" s="4">
        <v>12</v>
      </c>
      <c r="W1763" s="4">
        <v>12</v>
      </c>
      <c r="X1763" s="4">
        <v>0</v>
      </c>
      <c r="Y1763" s="4"/>
      <c r="Z1763" s="4">
        <v>312.80000000000007</v>
      </c>
      <c r="AA1763" s="4">
        <v>315</v>
      </c>
      <c r="AB1763" s="18"/>
      <c r="AC1763" s="18">
        <v>33</v>
      </c>
      <c r="AD1763" s="28"/>
      <c r="AE1763" s="26"/>
      <c r="AF1763" s="28"/>
    </row>
    <row r="1764" spans="1:32" ht="13.5" customHeight="1" x14ac:dyDescent="0.25">
      <c r="A1764" s="14">
        <v>45883</v>
      </c>
      <c r="B1764" s="14" t="s">
        <v>46</v>
      </c>
      <c r="C1764" s="15">
        <v>5</v>
      </c>
      <c r="D1764" s="16"/>
      <c r="E1764" s="16"/>
      <c r="F1764" s="17"/>
      <c r="G1764" s="21"/>
      <c r="H1764" s="21"/>
      <c r="I1764" s="4">
        <v>0</v>
      </c>
      <c r="J1764" s="4">
        <v>0</v>
      </c>
      <c r="K1764" s="4"/>
      <c r="L1764" s="16"/>
      <c r="M1764" s="4"/>
      <c r="N1764" s="4"/>
      <c r="O1764" s="4"/>
      <c r="P1764" s="4"/>
      <c r="Q1764" s="4"/>
      <c r="R1764" s="4"/>
      <c r="S1764" s="4">
        <v>0</v>
      </c>
      <c r="T1764" s="4">
        <v>0</v>
      </c>
      <c r="U1764" s="4">
        <v>0</v>
      </c>
      <c r="V1764" s="4">
        <v>12</v>
      </c>
      <c r="W1764" s="4">
        <v>12</v>
      </c>
      <c r="X1764" s="4">
        <v>14</v>
      </c>
      <c r="Y1764" s="4"/>
      <c r="Z1764" s="4">
        <v>696.7</v>
      </c>
      <c r="AA1764" s="4">
        <v>700</v>
      </c>
      <c r="AB1764" s="18"/>
      <c r="AC1764" s="18">
        <v>33</v>
      </c>
      <c r="AD1764" s="28"/>
      <c r="AE1764" s="26"/>
      <c r="AF1764" s="28"/>
    </row>
    <row r="1765" spans="1:32" ht="13.5" customHeight="1" x14ac:dyDescent="0.25">
      <c r="A1765" s="14">
        <v>45883</v>
      </c>
      <c r="B1765" s="14" t="s">
        <v>47</v>
      </c>
      <c r="C1765" s="15">
        <v>5</v>
      </c>
      <c r="D1765" s="16"/>
      <c r="E1765" s="16"/>
      <c r="F1765" s="17"/>
      <c r="G1765" s="21"/>
      <c r="H1765" s="21"/>
      <c r="I1765" s="4">
        <v>0</v>
      </c>
      <c r="J1765" s="4">
        <v>0</v>
      </c>
      <c r="K1765" s="4"/>
      <c r="L1765" s="16"/>
      <c r="M1765" s="4"/>
      <c r="N1765" s="4"/>
      <c r="O1765" s="4"/>
      <c r="P1765" s="4"/>
      <c r="Q1765" s="4"/>
      <c r="R1765" s="4"/>
      <c r="S1765" s="4">
        <v>0</v>
      </c>
      <c r="T1765" s="4">
        <v>0</v>
      </c>
      <c r="U1765" s="4">
        <v>0</v>
      </c>
      <c r="V1765" s="4">
        <v>12</v>
      </c>
      <c r="W1765" s="4">
        <v>12</v>
      </c>
      <c r="X1765" s="4">
        <v>6</v>
      </c>
      <c r="Y1765" s="4"/>
      <c r="Z1765" s="4">
        <v>601.6</v>
      </c>
      <c r="AA1765" s="4">
        <v>600</v>
      </c>
      <c r="AB1765" s="18"/>
      <c r="AC1765" s="18">
        <v>33</v>
      </c>
      <c r="AD1765" s="28"/>
      <c r="AE1765" s="26"/>
      <c r="AF1765" s="28"/>
    </row>
    <row r="1766" spans="1:32" ht="13.5" customHeight="1" x14ac:dyDescent="0.25">
      <c r="A1766" s="14">
        <v>45884</v>
      </c>
      <c r="B1766" s="14" t="s">
        <v>46</v>
      </c>
      <c r="C1766" s="15">
        <v>1</v>
      </c>
      <c r="D1766" s="16"/>
      <c r="E1766" s="16"/>
      <c r="F1766" s="17"/>
      <c r="G1766" s="21"/>
      <c r="H1766" s="21"/>
      <c r="I1766" s="4">
        <v>0</v>
      </c>
      <c r="J1766" s="4">
        <v>0</v>
      </c>
      <c r="K1766" s="4"/>
      <c r="L1766" s="16"/>
      <c r="M1766" s="4"/>
      <c r="N1766" s="4"/>
      <c r="O1766" s="4"/>
      <c r="P1766" s="4"/>
      <c r="Q1766" s="4"/>
      <c r="R1766" s="4"/>
      <c r="S1766" s="4">
        <v>0</v>
      </c>
      <c r="T1766" s="4">
        <v>0</v>
      </c>
      <c r="U1766" s="4">
        <v>0</v>
      </c>
      <c r="V1766" s="4">
        <v>12</v>
      </c>
      <c r="W1766" s="4">
        <v>12</v>
      </c>
      <c r="X1766" s="4">
        <v>0</v>
      </c>
      <c r="Y1766" s="4">
        <v>2193</v>
      </c>
      <c r="Z1766" s="4">
        <v>154.00000000000003</v>
      </c>
      <c r="AA1766" s="4">
        <v>160</v>
      </c>
      <c r="AB1766" s="18">
        <v>372</v>
      </c>
      <c r="AC1766" s="18">
        <v>33</v>
      </c>
      <c r="AD1766" s="28"/>
      <c r="AE1766" s="26"/>
      <c r="AF1766" s="28"/>
    </row>
    <row r="1767" spans="1:32" ht="13.5" customHeight="1" x14ac:dyDescent="0.25">
      <c r="A1767" s="14">
        <v>45884</v>
      </c>
      <c r="B1767" s="14" t="s">
        <v>47</v>
      </c>
      <c r="C1767" s="15">
        <v>1</v>
      </c>
      <c r="D1767" s="16"/>
      <c r="E1767" s="16"/>
      <c r="F1767" s="17"/>
      <c r="G1767" s="21"/>
      <c r="H1767" s="21"/>
      <c r="I1767" s="4">
        <v>0</v>
      </c>
      <c r="J1767" s="4">
        <v>0</v>
      </c>
      <c r="K1767" s="4"/>
      <c r="L1767" s="16"/>
      <c r="M1767" s="4"/>
      <c r="N1767" s="4"/>
      <c r="O1767" s="4"/>
      <c r="P1767" s="4"/>
      <c r="Q1767" s="4"/>
      <c r="R1767" s="4"/>
      <c r="S1767" s="4">
        <v>0</v>
      </c>
      <c r="T1767" s="4">
        <v>0</v>
      </c>
      <c r="U1767" s="4">
        <v>0</v>
      </c>
      <c r="V1767" s="4">
        <v>12</v>
      </c>
      <c r="W1767" s="4">
        <v>12</v>
      </c>
      <c r="X1767" s="4">
        <v>0</v>
      </c>
      <c r="Y1767" s="4"/>
      <c r="Z1767" s="4">
        <v>171.3</v>
      </c>
      <c r="AA1767" s="4">
        <v>180</v>
      </c>
      <c r="AB1767" s="18"/>
      <c r="AC1767" s="18">
        <v>33</v>
      </c>
      <c r="AD1767" s="28"/>
      <c r="AE1767" s="26"/>
      <c r="AF1767" s="28"/>
    </row>
    <row r="1768" spans="1:32" ht="13.5" customHeight="1" x14ac:dyDescent="0.25">
      <c r="A1768" s="14">
        <v>45884</v>
      </c>
      <c r="B1768" s="14" t="s">
        <v>46</v>
      </c>
      <c r="C1768" s="15">
        <v>3</v>
      </c>
      <c r="D1768" s="16"/>
      <c r="E1768" s="16"/>
      <c r="F1768" s="17"/>
      <c r="G1768" s="21"/>
      <c r="H1768" s="21"/>
      <c r="I1768" s="4">
        <v>0</v>
      </c>
      <c r="J1768" s="4">
        <v>0</v>
      </c>
      <c r="K1768" s="4"/>
      <c r="L1768" s="16"/>
      <c r="M1768" s="4"/>
      <c r="N1768" s="4"/>
      <c r="O1768" s="4"/>
      <c r="P1768" s="4"/>
      <c r="Q1768" s="4"/>
      <c r="R1768" s="4"/>
      <c r="S1768" s="4">
        <v>0</v>
      </c>
      <c r="T1768" s="4">
        <v>0</v>
      </c>
      <c r="U1768" s="4">
        <v>0</v>
      </c>
      <c r="V1768" s="4">
        <v>12</v>
      </c>
      <c r="W1768" s="4">
        <v>12</v>
      </c>
      <c r="X1768" s="4">
        <v>0</v>
      </c>
      <c r="Y1768" s="4"/>
      <c r="Z1768" s="4">
        <v>392.6</v>
      </c>
      <c r="AA1768" s="4">
        <v>400</v>
      </c>
      <c r="AB1768" s="18"/>
      <c r="AC1768" s="18">
        <v>33</v>
      </c>
      <c r="AD1768" s="28"/>
      <c r="AE1768" s="26"/>
      <c r="AF1768" s="28"/>
    </row>
    <row r="1769" spans="1:32" ht="13.5" customHeight="1" x14ac:dyDescent="0.25">
      <c r="A1769" s="14">
        <v>45884</v>
      </c>
      <c r="B1769" s="14" t="s">
        <v>47</v>
      </c>
      <c r="C1769" s="15">
        <v>3</v>
      </c>
      <c r="D1769" s="16"/>
      <c r="E1769" s="16"/>
      <c r="F1769" s="17"/>
      <c r="G1769" s="21"/>
      <c r="H1769" s="21"/>
      <c r="I1769" s="4">
        <v>0</v>
      </c>
      <c r="J1769" s="4">
        <v>0</v>
      </c>
      <c r="K1769" s="4"/>
      <c r="L1769" s="16"/>
      <c r="M1769" s="4"/>
      <c r="N1769" s="4"/>
      <c r="O1769" s="4"/>
      <c r="P1769" s="4"/>
      <c r="Q1769" s="4"/>
      <c r="R1769" s="4"/>
      <c r="S1769" s="4">
        <v>0</v>
      </c>
      <c r="T1769" s="4">
        <v>0</v>
      </c>
      <c r="U1769" s="4">
        <v>0</v>
      </c>
      <c r="V1769" s="4">
        <v>12</v>
      </c>
      <c r="W1769" s="4">
        <v>12</v>
      </c>
      <c r="X1769" s="4">
        <v>0</v>
      </c>
      <c r="Y1769" s="4"/>
      <c r="Z1769" s="4">
        <v>320.5</v>
      </c>
      <c r="AA1769" s="4">
        <v>320</v>
      </c>
      <c r="AB1769" s="18"/>
      <c r="AC1769" s="18">
        <v>33</v>
      </c>
      <c r="AD1769" s="28"/>
      <c r="AE1769" s="26"/>
      <c r="AF1769" s="28"/>
    </row>
    <row r="1770" spans="1:32" ht="13.5" customHeight="1" x14ac:dyDescent="0.25">
      <c r="A1770" s="14">
        <v>45884</v>
      </c>
      <c r="B1770" s="14" t="s">
        <v>46</v>
      </c>
      <c r="C1770" s="15">
        <v>4</v>
      </c>
      <c r="D1770" s="16">
        <v>5</v>
      </c>
      <c r="E1770" s="16"/>
      <c r="F1770" s="17"/>
      <c r="G1770" s="21"/>
      <c r="H1770" s="21"/>
      <c r="I1770" s="4">
        <v>5</v>
      </c>
      <c r="J1770" s="4">
        <v>8.3333333333333329E-2</v>
      </c>
      <c r="K1770" s="4"/>
      <c r="L1770" s="16"/>
      <c r="M1770" s="4"/>
      <c r="N1770" s="4">
        <v>3</v>
      </c>
      <c r="O1770" s="4"/>
      <c r="P1770" s="4"/>
      <c r="Q1770" s="4"/>
      <c r="R1770" s="4"/>
      <c r="S1770" s="4">
        <v>3</v>
      </c>
      <c r="T1770" s="4">
        <v>0.05</v>
      </c>
      <c r="U1770" s="4">
        <v>0.13333333333333333</v>
      </c>
      <c r="V1770" s="4">
        <v>11.866666666666667</v>
      </c>
      <c r="W1770" s="4">
        <v>12</v>
      </c>
      <c r="X1770" s="4">
        <v>0</v>
      </c>
      <c r="Y1770" s="4"/>
      <c r="Z1770" s="4">
        <v>293.70000000000005</v>
      </c>
      <c r="AA1770" s="4">
        <v>300</v>
      </c>
      <c r="AB1770" s="18"/>
      <c r="AC1770" s="18">
        <v>33</v>
      </c>
      <c r="AD1770" s="28"/>
      <c r="AE1770" s="26"/>
      <c r="AF1770" s="28"/>
    </row>
    <row r="1771" spans="1:32" ht="13.5" customHeight="1" x14ac:dyDescent="0.25">
      <c r="A1771" s="14">
        <v>45884</v>
      </c>
      <c r="B1771" s="14" t="s">
        <v>47</v>
      </c>
      <c r="C1771" s="15">
        <v>4</v>
      </c>
      <c r="D1771" s="16"/>
      <c r="E1771" s="16"/>
      <c r="F1771" s="17"/>
      <c r="G1771" s="21"/>
      <c r="H1771" s="21"/>
      <c r="I1771" s="4">
        <v>0</v>
      </c>
      <c r="J1771" s="4">
        <v>0</v>
      </c>
      <c r="K1771" s="4"/>
      <c r="L1771" s="16"/>
      <c r="M1771" s="4"/>
      <c r="N1771" s="4"/>
      <c r="O1771" s="4"/>
      <c r="P1771" s="4"/>
      <c r="Q1771" s="4"/>
      <c r="R1771" s="4"/>
      <c r="S1771" s="4">
        <v>0</v>
      </c>
      <c r="T1771" s="4">
        <v>0</v>
      </c>
      <c r="U1771" s="4">
        <v>0</v>
      </c>
      <c r="V1771" s="4">
        <v>12</v>
      </c>
      <c r="W1771" s="4">
        <v>12</v>
      </c>
      <c r="X1771" s="4">
        <v>0</v>
      </c>
      <c r="Y1771" s="4"/>
      <c r="Z1771" s="4">
        <v>317.3</v>
      </c>
      <c r="AA1771" s="4">
        <v>320</v>
      </c>
      <c r="AB1771" s="18"/>
      <c r="AC1771" s="18">
        <v>33</v>
      </c>
      <c r="AD1771" s="28"/>
      <c r="AE1771" s="26"/>
      <c r="AF1771" s="28"/>
    </row>
    <row r="1772" spans="1:32" ht="13.5" customHeight="1" x14ac:dyDescent="0.25">
      <c r="A1772" s="14">
        <v>45884</v>
      </c>
      <c r="B1772" s="14" t="s">
        <v>46</v>
      </c>
      <c r="C1772" s="15">
        <v>5</v>
      </c>
      <c r="D1772" s="16"/>
      <c r="E1772" s="16"/>
      <c r="F1772" s="17"/>
      <c r="G1772" s="21"/>
      <c r="H1772" s="21"/>
      <c r="I1772" s="4">
        <v>0</v>
      </c>
      <c r="J1772" s="4">
        <v>0</v>
      </c>
      <c r="K1772" s="4"/>
      <c r="L1772" s="16"/>
      <c r="M1772" s="4"/>
      <c r="N1772" s="4"/>
      <c r="O1772" s="4"/>
      <c r="P1772" s="4"/>
      <c r="Q1772" s="4"/>
      <c r="R1772" s="4"/>
      <c r="S1772" s="4">
        <v>0</v>
      </c>
      <c r="T1772" s="4">
        <v>0</v>
      </c>
      <c r="U1772" s="4">
        <v>0</v>
      </c>
      <c r="V1772" s="4">
        <v>12</v>
      </c>
      <c r="W1772" s="4">
        <v>12</v>
      </c>
      <c r="X1772" s="4">
        <v>0</v>
      </c>
      <c r="Y1772" s="4"/>
      <c r="Z1772" s="4">
        <v>553.40000000000009</v>
      </c>
      <c r="AA1772" s="4">
        <v>550</v>
      </c>
      <c r="AB1772" s="18"/>
      <c r="AC1772" s="18">
        <v>33</v>
      </c>
      <c r="AD1772" s="28"/>
      <c r="AE1772" s="26"/>
      <c r="AF1772" s="28"/>
    </row>
    <row r="1773" spans="1:32" ht="13.5" customHeight="1" x14ac:dyDescent="0.25">
      <c r="A1773" s="14">
        <v>45884</v>
      </c>
      <c r="B1773" s="14" t="s">
        <v>47</v>
      </c>
      <c r="C1773" s="15">
        <v>5</v>
      </c>
      <c r="D1773" s="16">
        <v>5</v>
      </c>
      <c r="E1773" s="16"/>
      <c r="F1773" s="17"/>
      <c r="G1773" s="21"/>
      <c r="H1773" s="21"/>
      <c r="I1773" s="4">
        <v>5</v>
      </c>
      <c r="J1773" s="4">
        <v>8.3333333333333329E-2</v>
      </c>
      <c r="K1773" s="4"/>
      <c r="L1773" s="16"/>
      <c r="M1773" s="4"/>
      <c r="N1773" s="4"/>
      <c r="O1773" s="4"/>
      <c r="P1773" s="4"/>
      <c r="Q1773" s="4"/>
      <c r="R1773" s="4">
        <v>45</v>
      </c>
      <c r="S1773" s="4">
        <v>45</v>
      </c>
      <c r="T1773" s="4">
        <v>0.75</v>
      </c>
      <c r="U1773" s="4">
        <v>0.83333333333333337</v>
      </c>
      <c r="V1773" s="4">
        <v>11.166666666666666</v>
      </c>
      <c r="W1773" s="4">
        <v>12</v>
      </c>
      <c r="X1773" s="4">
        <v>0</v>
      </c>
      <c r="Y1773" s="4"/>
      <c r="Z1773" s="4">
        <v>549.70000000000005</v>
      </c>
      <c r="AA1773" s="4">
        <v>570</v>
      </c>
      <c r="AB1773" s="18"/>
      <c r="AC1773" s="18">
        <v>33</v>
      </c>
      <c r="AD1773" s="28"/>
      <c r="AE1773" s="26"/>
      <c r="AF1773" s="28"/>
    </row>
    <row r="1774" spans="1:32" ht="13.5" customHeight="1" x14ac:dyDescent="0.25">
      <c r="A1774" s="14">
        <v>45884</v>
      </c>
      <c r="B1774" s="14" t="s">
        <v>46</v>
      </c>
      <c r="C1774" s="15">
        <v>6</v>
      </c>
      <c r="D1774" s="16"/>
      <c r="E1774" s="16"/>
      <c r="F1774" s="17"/>
      <c r="G1774" s="21"/>
      <c r="H1774" s="21"/>
      <c r="I1774" s="4">
        <v>0</v>
      </c>
      <c r="J1774" s="4">
        <v>0</v>
      </c>
      <c r="K1774" s="4"/>
      <c r="L1774" s="16"/>
      <c r="M1774" s="4"/>
      <c r="N1774" s="4"/>
      <c r="O1774" s="4"/>
      <c r="P1774" s="4"/>
      <c r="Q1774" s="4"/>
      <c r="R1774" s="4"/>
      <c r="S1774" s="4">
        <v>0</v>
      </c>
      <c r="T1774" s="4">
        <v>0</v>
      </c>
      <c r="U1774" s="4">
        <v>0</v>
      </c>
      <c r="V1774" s="4">
        <v>12</v>
      </c>
      <c r="W1774" s="4">
        <v>12</v>
      </c>
      <c r="X1774" s="4">
        <v>0</v>
      </c>
      <c r="Y1774" s="4"/>
      <c r="Z1774" s="4">
        <v>0</v>
      </c>
      <c r="AA1774" s="4">
        <v>0</v>
      </c>
      <c r="AB1774" s="18"/>
      <c r="AC1774" s="18">
        <v>33</v>
      </c>
      <c r="AD1774" s="28"/>
      <c r="AE1774" s="26"/>
      <c r="AF1774" s="28"/>
    </row>
    <row r="1775" spans="1:32" ht="13.5" customHeight="1" x14ac:dyDescent="0.25">
      <c r="A1775" s="14">
        <v>45884</v>
      </c>
      <c r="B1775" s="14" t="s">
        <v>47</v>
      </c>
      <c r="C1775" s="15">
        <v>6</v>
      </c>
      <c r="D1775" s="16">
        <v>5</v>
      </c>
      <c r="E1775" s="16"/>
      <c r="F1775" s="17"/>
      <c r="G1775" s="21"/>
      <c r="H1775" s="21"/>
      <c r="I1775" s="4">
        <v>5</v>
      </c>
      <c r="J1775" s="4">
        <v>8.3333333333333329E-2</v>
      </c>
      <c r="K1775" s="4">
        <v>15</v>
      </c>
      <c r="L1775" s="16"/>
      <c r="M1775" s="4">
        <v>60</v>
      </c>
      <c r="N1775" s="4"/>
      <c r="O1775" s="4"/>
      <c r="P1775" s="4"/>
      <c r="Q1775" s="4"/>
      <c r="R1775" s="4"/>
      <c r="S1775" s="4">
        <v>75</v>
      </c>
      <c r="T1775" s="4">
        <v>1.25</v>
      </c>
      <c r="U1775" s="4">
        <v>1.3333333333333333</v>
      </c>
      <c r="V1775" s="4">
        <v>10.666666666666666</v>
      </c>
      <c r="W1775" s="4">
        <v>12</v>
      </c>
      <c r="X1775" s="4">
        <v>108</v>
      </c>
      <c r="Y1775" s="4"/>
      <c r="Z1775" s="4">
        <v>685.6</v>
      </c>
      <c r="AA1775" s="4">
        <v>700</v>
      </c>
      <c r="AB1775" s="18"/>
      <c r="AC1775" s="18">
        <v>33</v>
      </c>
      <c r="AD1775" s="28"/>
      <c r="AE1775" s="26"/>
      <c r="AF1775" s="28"/>
    </row>
    <row r="1776" spans="1:32" ht="13.5" customHeight="1" x14ac:dyDescent="0.25">
      <c r="A1776" s="14">
        <v>45885</v>
      </c>
      <c r="B1776" s="14" t="s">
        <v>46</v>
      </c>
      <c r="C1776" s="15">
        <v>1</v>
      </c>
      <c r="D1776" s="16"/>
      <c r="E1776" s="16"/>
      <c r="F1776" s="17"/>
      <c r="G1776" s="21"/>
      <c r="H1776" s="21"/>
      <c r="I1776" s="4">
        <v>0</v>
      </c>
      <c r="J1776" s="4">
        <v>0</v>
      </c>
      <c r="K1776" s="4"/>
      <c r="L1776" s="16"/>
      <c r="M1776" s="4"/>
      <c r="N1776" s="4"/>
      <c r="O1776" s="4"/>
      <c r="P1776" s="4"/>
      <c r="Q1776" s="4"/>
      <c r="R1776" s="4"/>
      <c r="S1776" s="4">
        <v>0</v>
      </c>
      <c r="T1776" s="4">
        <v>0</v>
      </c>
      <c r="U1776" s="4">
        <v>0</v>
      </c>
      <c r="V1776" s="4">
        <v>12</v>
      </c>
      <c r="W1776" s="4">
        <v>12</v>
      </c>
      <c r="X1776" s="4">
        <v>0</v>
      </c>
      <c r="Y1776" s="4">
        <v>1896.5</v>
      </c>
      <c r="Z1776" s="4">
        <v>227.3</v>
      </c>
      <c r="AA1776" s="4">
        <v>250</v>
      </c>
      <c r="AB1776" s="18">
        <v>372</v>
      </c>
      <c r="AC1776" s="18">
        <v>33</v>
      </c>
      <c r="AD1776" s="28"/>
      <c r="AE1776" s="26"/>
      <c r="AF1776" s="28"/>
    </row>
    <row r="1777" spans="1:32" ht="13.5" customHeight="1" x14ac:dyDescent="0.25">
      <c r="A1777" s="14">
        <v>45885</v>
      </c>
      <c r="B1777" s="14" t="s">
        <v>47</v>
      </c>
      <c r="C1777" s="15">
        <v>1</v>
      </c>
      <c r="D1777" s="16"/>
      <c r="E1777" s="16"/>
      <c r="F1777" s="17"/>
      <c r="G1777" s="21"/>
      <c r="H1777" s="21"/>
      <c r="I1777" s="4">
        <v>0</v>
      </c>
      <c r="J1777" s="4">
        <v>0</v>
      </c>
      <c r="K1777" s="4"/>
      <c r="L1777" s="16"/>
      <c r="M1777" s="4"/>
      <c r="N1777" s="4"/>
      <c r="O1777" s="4"/>
      <c r="P1777" s="4"/>
      <c r="Q1777" s="4"/>
      <c r="R1777" s="4"/>
      <c r="S1777" s="4">
        <v>0</v>
      </c>
      <c r="T1777" s="4">
        <v>0</v>
      </c>
      <c r="U1777" s="4">
        <v>0</v>
      </c>
      <c r="V1777" s="4">
        <v>12</v>
      </c>
      <c r="W1777" s="4">
        <v>12</v>
      </c>
      <c r="X1777" s="4">
        <v>0</v>
      </c>
      <c r="Y1777" s="4"/>
      <c r="Z1777" s="4">
        <v>104.10000000000001</v>
      </c>
      <c r="AA1777" s="4">
        <v>120</v>
      </c>
      <c r="AB1777" s="18"/>
      <c r="AC1777" s="18">
        <v>33</v>
      </c>
      <c r="AD1777" s="28"/>
      <c r="AE1777" s="26"/>
      <c r="AF1777" s="28"/>
    </row>
    <row r="1778" spans="1:32" ht="13.5" customHeight="1" x14ac:dyDescent="0.25">
      <c r="A1778" s="14">
        <v>45885</v>
      </c>
      <c r="B1778" s="14" t="s">
        <v>46</v>
      </c>
      <c r="C1778" s="15">
        <v>3</v>
      </c>
      <c r="D1778" s="16"/>
      <c r="E1778" s="16"/>
      <c r="F1778" s="17"/>
      <c r="G1778" s="21"/>
      <c r="H1778" s="21"/>
      <c r="I1778" s="4">
        <v>0</v>
      </c>
      <c r="J1778" s="4">
        <v>0</v>
      </c>
      <c r="K1778" s="4"/>
      <c r="L1778" s="16"/>
      <c r="M1778" s="4"/>
      <c r="N1778" s="4"/>
      <c r="O1778" s="4"/>
      <c r="P1778" s="4"/>
      <c r="Q1778" s="4"/>
      <c r="R1778" s="4"/>
      <c r="S1778" s="4">
        <v>0</v>
      </c>
      <c r="T1778" s="4">
        <v>0</v>
      </c>
      <c r="U1778" s="4">
        <v>0</v>
      </c>
      <c r="V1778" s="4">
        <v>12</v>
      </c>
      <c r="W1778" s="4">
        <v>12</v>
      </c>
      <c r="X1778" s="4">
        <v>0</v>
      </c>
      <c r="Y1778" s="4"/>
      <c r="Z1778" s="4">
        <v>378.3</v>
      </c>
      <c r="AA1778" s="4">
        <v>390</v>
      </c>
      <c r="AB1778" s="18"/>
      <c r="AC1778" s="18">
        <v>33</v>
      </c>
      <c r="AD1778" s="28"/>
      <c r="AE1778" s="26"/>
      <c r="AF1778" s="28"/>
    </row>
    <row r="1779" spans="1:32" ht="13.5" customHeight="1" x14ac:dyDescent="0.25">
      <c r="A1779" s="14">
        <v>45885</v>
      </c>
      <c r="B1779" s="14" t="s">
        <v>47</v>
      </c>
      <c r="C1779" s="15">
        <v>3</v>
      </c>
      <c r="D1779" s="16"/>
      <c r="E1779" s="16"/>
      <c r="F1779" s="17"/>
      <c r="G1779" s="21"/>
      <c r="H1779" s="21"/>
      <c r="I1779" s="4">
        <v>0</v>
      </c>
      <c r="J1779" s="4">
        <v>0</v>
      </c>
      <c r="K1779" s="4"/>
      <c r="L1779" s="16"/>
      <c r="M1779" s="4"/>
      <c r="N1779" s="4"/>
      <c r="O1779" s="4"/>
      <c r="P1779" s="4"/>
      <c r="Q1779" s="4"/>
      <c r="R1779" s="4"/>
      <c r="S1779" s="4">
        <v>0</v>
      </c>
      <c r="T1779" s="4">
        <v>0</v>
      </c>
      <c r="U1779" s="4">
        <v>0</v>
      </c>
      <c r="V1779" s="4">
        <v>12</v>
      </c>
      <c r="W1779" s="4">
        <v>12</v>
      </c>
      <c r="X1779" s="4">
        <v>0</v>
      </c>
      <c r="Y1779" s="4"/>
      <c r="Z1779" s="4">
        <v>455.9</v>
      </c>
      <c r="AA1779" s="4">
        <v>460</v>
      </c>
      <c r="AB1779" s="18"/>
      <c r="AC1779" s="18">
        <v>33</v>
      </c>
      <c r="AD1779" s="28"/>
      <c r="AE1779" s="26"/>
      <c r="AF1779" s="28"/>
    </row>
    <row r="1780" spans="1:32" ht="13.5" customHeight="1" x14ac:dyDescent="0.25">
      <c r="A1780" s="14">
        <v>45885</v>
      </c>
      <c r="B1780" s="14" t="s">
        <v>46</v>
      </c>
      <c r="C1780" s="15">
        <v>6</v>
      </c>
      <c r="D1780" s="16"/>
      <c r="E1780" s="16"/>
      <c r="F1780" s="17"/>
      <c r="G1780" s="21"/>
      <c r="H1780" s="21"/>
      <c r="I1780" s="4">
        <v>0</v>
      </c>
      <c r="J1780" s="4">
        <v>0</v>
      </c>
      <c r="K1780" s="4"/>
      <c r="L1780" s="16"/>
      <c r="M1780" s="4"/>
      <c r="N1780" s="4"/>
      <c r="O1780" s="4"/>
      <c r="P1780" s="4"/>
      <c r="Q1780" s="4"/>
      <c r="R1780" s="4"/>
      <c r="S1780" s="4">
        <v>0</v>
      </c>
      <c r="T1780" s="4">
        <v>0</v>
      </c>
      <c r="U1780" s="4">
        <v>0</v>
      </c>
      <c r="V1780" s="4">
        <v>12</v>
      </c>
      <c r="W1780" s="4">
        <v>12</v>
      </c>
      <c r="X1780" s="4">
        <v>0</v>
      </c>
      <c r="Y1780" s="4"/>
      <c r="Z1780" s="4">
        <v>390.20000000000005</v>
      </c>
      <c r="AA1780" s="4">
        <v>400</v>
      </c>
      <c r="AB1780" s="18"/>
      <c r="AC1780" s="18">
        <v>33</v>
      </c>
      <c r="AD1780" s="28"/>
      <c r="AE1780" s="26"/>
      <c r="AF1780" s="28"/>
    </row>
    <row r="1781" spans="1:32" ht="13.5" customHeight="1" x14ac:dyDescent="0.25">
      <c r="A1781" s="14">
        <v>45885</v>
      </c>
      <c r="B1781" s="14" t="s">
        <v>47</v>
      </c>
      <c r="C1781" s="15">
        <v>6</v>
      </c>
      <c r="D1781" s="16">
        <v>10</v>
      </c>
      <c r="E1781" s="16"/>
      <c r="F1781" s="17"/>
      <c r="G1781" s="21"/>
      <c r="H1781" s="21"/>
      <c r="I1781" s="4">
        <v>10</v>
      </c>
      <c r="J1781" s="4">
        <v>0.16666666666666666</v>
      </c>
      <c r="K1781" s="4"/>
      <c r="L1781" s="16"/>
      <c r="M1781" s="4">
        <v>300</v>
      </c>
      <c r="N1781" s="4"/>
      <c r="O1781" s="4"/>
      <c r="P1781" s="4"/>
      <c r="Q1781" s="4">
        <v>50</v>
      </c>
      <c r="R1781" s="4"/>
      <c r="S1781" s="4">
        <v>350</v>
      </c>
      <c r="T1781" s="4">
        <v>5.833333333333333</v>
      </c>
      <c r="U1781" s="4">
        <v>6</v>
      </c>
      <c r="V1781" s="4">
        <v>6</v>
      </c>
      <c r="W1781" s="4">
        <v>12</v>
      </c>
      <c r="X1781" s="4">
        <v>0</v>
      </c>
      <c r="Y1781" s="4"/>
      <c r="Z1781" s="4">
        <v>154.19999999999999</v>
      </c>
      <c r="AA1781" s="4">
        <v>160</v>
      </c>
      <c r="AB1781" s="18"/>
      <c r="AC1781" s="18">
        <v>33</v>
      </c>
      <c r="AD1781" s="28"/>
      <c r="AE1781" s="26"/>
      <c r="AF1781" s="28"/>
    </row>
    <row r="1782" spans="1:32" ht="13.5" customHeight="1" x14ac:dyDescent="0.25">
      <c r="A1782" s="14">
        <v>45885</v>
      </c>
      <c r="B1782" s="14" t="s">
        <v>46</v>
      </c>
      <c r="C1782" s="15">
        <v>7</v>
      </c>
      <c r="D1782" s="16"/>
      <c r="E1782" s="16"/>
      <c r="F1782" s="17"/>
      <c r="G1782" s="21"/>
      <c r="H1782" s="21"/>
      <c r="I1782" s="4">
        <v>0</v>
      </c>
      <c r="J1782" s="4">
        <v>0</v>
      </c>
      <c r="K1782" s="4"/>
      <c r="L1782" s="16"/>
      <c r="M1782" s="4"/>
      <c r="N1782" s="4"/>
      <c r="O1782" s="4"/>
      <c r="P1782" s="4"/>
      <c r="Q1782" s="4"/>
      <c r="R1782" s="4"/>
      <c r="S1782" s="4">
        <v>0</v>
      </c>
      <c r="T1782" s="4">
        <v>0</v>
      </c>
      <c r="U1782" s="4">
        <v>0</v>
      </c>
      <c r="V1782" s="4">
        <v>12</v>
      </c>
      <c r="W1782" s="4">
        <v>12</v>
      </c>
      <c r="X1782" s="4">
        <v>0</v>
      </c>
      <c r="Y1782" s="4"/>
      <c r="Z1782" s="4">
        <v>62.900000000000006</v>
      </c>
      <c r="AA1782" s="4">
        <v>70</v>
      </c>
      <c r="AB1782" s="18"/>
      <c r="AC1782" s="18">
        <v>33</v>
      </c>
      <c r="AD1782" s="28"/>
      <c r="AE1782" s="26"/>
      <c r="AF1782" s="28"/>
    </row>
    <row r="1783" spans="1:32" ht="13.5" customHeight="1" x14ac:dyDescent="0.25">
      <c r="A1783" s="14">
        <v>45885</v>
      </c>
      <c r="B1783" s="14" t="s">
        <v>47</v>
      </c>
      <c r="C1783" s="15">
        <v>7</v>
      </c>
      <c r="D1783" s="16"/>
      <c r="E1783" s="16"/>
      <c r="F1783" s="17"/>
      <c r="G1783" s="21"/>
      <c r="H1783" s="21"/>
      <c r="I1783" s="4">
        <v>0</v>
      </c>
      <c r="J1783" s="4">
        <v>0</v>
      </c>
      <c r="K1783" s="4"/>
      <c r="L1783" s="16"/>
      <c r="M1783" s="4"/>
      <c r="N1783" s="4"/>
      <c r="O1783" s="4"/>
      <c r="P1783" s="4"/>
      <c r="Q1783" s="4"/>
      <c r="R1783" s="4"/>
      <c r="S1783" s="4">
        <v>0</v>
      </c>
      <c r="T1783" s="4">
        <v>0</v>
      </c>
      <c r="U1783" s="4">
        <v>0</v>
      </c>
      <c r="V1783" s="4">
        <v>12</v>
      </c>
      <c r="W1783" s="4">
        <v>12</v>
      </c>
      <c r="X1783" s="4">
        <v>0</v>
      </c>
      <c r="Y1783" s="4"/>
      <c r="Z1783" s="4">
        <v>343.9</v>
      </c>
      <c r="AA1783" s="4">
        <v>350</v>
      </c>
      <c r="AB1783" s="18"/>
      <c r="AC1783" s="18">
        <v>33</v>
      </c>
      <c r="AD1783" s="28"/>
      <c r="AE1783" s="26"/>
      <c r="AF1783" s="28"/>
    </row>
    <row r="1784" spans="1:32" ht="13.5" customHeight="1" x14ac:dyDescent="0.25">
      <c r="A1784" s="14">
        <v>45886</v>
      </c>
      <c r="B1784" s="14" t="s">
        <v>46</v>
      </c>
      <c r="C1784" s="15">
        <v>1</v>
      </c>
      <c r="D1784" s="16"/>
      <c r="E1784" s="16"/>
      <c r="F1784" s="17"/>
      <c r="G1784" s="21"/>
      <c r="H1784" s="21"/>
      <c r="I1784" s="4">
        <v>0</v>
      </c>
      <c r="J1784" s="4">
        <v>0</v>
      </c>
      <c r="K1784" s="4"/>
      <c r="L1784" s="16"/>
      <c r="M1784" s="4"/>
      <c r="N1784" s="4"/>
      <c r="O1784" s="4"/>
      <c r="P1784" s="4"/>
      <c r="Q1784" s="4"/>
      <c r="R1784" s="4"/>
      <c r="S1784" s="4">
        <v>0</v>
      </c>
      <c r="T1784" s="4">
        <v>0</v>
      </c>
      <c r="U1784" s="4">
        <v>0</v>
      </c>
      <c r="V1784" s="4">
        <v>12</v>
      </c>
      <c r="W1784" s="4">
        <v>12</v>
      </c>
      <c r="X1784" s="4">
        <v>36</v>
      </c>
      <c r="Y1784" s="4">
        <v>1874</v>
      </c>
      <c r="Z1784" s="4">
        <v>119.4</v>
      </c>
      <c r="AA1784" s="4">
        <v>120</v>
      </c>
      <c r="AB1784" s="18">
        <v>372</v>
      </c>
      <c r="AC1784" s="18">
        <v>33</v>
      </c>
      <c r="AD1784" s="28"/>
      <c r="AE1784" s="26"/>
      <c r="AF1784" s="28"/>
    </row>
    <row r="1785" spans="1:32" ht="13.5" customHeight="1" x14ac:dyDescent="0.25">
      <c r="A1785" s="14">
        <v>45886</v>
      </c>
      <c r="B1785" s="14" t="s">
        <v>47</v>
      </c>
      <c r="C1785" s="15">
        <v>1</v>
      </c>
      <c r="D1785" s="16"/>
      <c r="E1785" s="16"/>
      <c r="F1785" s="17"/>
      <c r="G1785" s="21"/>
      <c r="H1785" s="21"/>
      <c r="I1785" s="4">
        <v>0</v>
      </c>
      <c r="J1785" s="4">
        <v>0</v>
      </c>
      <c r="K1785" s="4"/>
      <c r="L1785" s="16"/>
      <c r="M1785" s="4"/>
      <c r="N1785" s="4"/>
      <c r="O1785" s="4"/>
      <c r="P1785" s="4"/>
      <c r="Q1785" s="4"/>
      <c r="R1785" s="4"/>
      <c r="S1785" s="4">
        <v>0</v>
      </c>
      <c r="T1785" s="4">
        <v>0</v>
      </c>
      <c r="U1785" s="4">
        <v>0</v>
      </c>
      <c r="V1785" s="4">
        <v>12</v>
      </c>
      <c r="W1785" s="4">
        <v>12</v>
      </c>
      <c r="X1785" s="4">
        <v>15</v>
      </c>
      <c r="Y1785" s="4"/>
      <c r="Z1785" s="4">
        <v>151.70000000000002</v>
      </c>
      <c r="AA1785" s="4">
        <v>150</v>
      </c>
      <c r="AB1785" s="18"/>
      <c r="AC1785" s="18">
        <v>33</v>
      </c>
      <c r="AD1785" s="28"/>
      <c r="AE1785" s="26"/>
      <c r="AF1785" s="28"/>
    </row>
    <row r="1786" spans="1:32" ht="13.5" customHeight="1" x14ac:dyDescent="0.25">
      <c r="A1786" s="14">
        <v>45886</v>
      </c>
      <c r="B1786" s="14" t="s">
        <v>46</v>
      </c>
      <c r="C1786" s="15">
        <v>3</v>
      </c>
      <c r="D1786" s="16">
        <v>20</v>
      </c>
      <c r="E1786" s="16"/>
      <c r="F1786" s="17"/>
      <c r="G1786" s="21"/>
      <c r="H1786" s="21"/>
      <c r="I1786" s="4">
        <v>20</v>
      </c>
      <c r="J1786" s="4">
        <v>0.33333333333333331</v>
      </c>
      <c r="K1786" s="4"/>
      <c r="L1786" s="16"/>
      <c r="M1786" s="4"/>
      <c r="N1786" s="4"/>
      <c r="O1786" s="4"/>
      <c r="P1786" s="4"/>
      <c r="Q1786" s="4"/>
      <c r="R1786" s="4"/>
      <c r="S1786" s="4">
        <v>0</v>
      </c>
      <c r="T1786" s="4">
        <v>0</v>
      </c>
      <c r="U1786" s="4">
        <v>0.33333333333333331</v>
      </c>
      <c r="V1786" s="4">
        <v>11.666666666666666</v>
      </c>
      <c r="W1786" s="4">
        <v>12</v>
      </c>
      <c r="X1786" s="4">
        <v>0</v>
      </c>
      <c r="Y1786" s="4"/>
      <c r="Z1786" s="4">
        <v>284.60000000000002</v>
      </c>
      <c r="AA1786" s="4">
        <v>300</v>
      </c>
      <c r="AB1786" s="18"/>
      <c r="AC1786" s="18">
        <v>33</v>
      </c>
      <c r="AD1786" s="28"/>
      <c r="AE1786" s="26"/>
      <c r="AF1786" s="28"/>
    </row>
    <row r="1787" spans="1:32" ht="13.5" customHeight="1" x14ac:dyDescent="0.25">
      <c r="A1787" s="14">
        <v>45886</v>
      </c>
      <c r="B1787" s="14" t="s">
        <v>47</v>
      </c>
      <c r="C1787" s="15">
        <v>3</v>
      </c>
      <c r="D1787" s="16"/>
      <c r="E1787" s="16"/>
      <c r="F1787" s="17"/>
      <c r="G1787" s="21"/>
      <c r="H1787" s="21"/>
      <c r="I1787" s="4">
        <v>0</v>
      </c>
      <c r="J1787" s="4">
        <v>0</v>
      </c>
      <c r="K1787" s="4"/>
      <c r="L1787" s="16"/>
      <c r="M1787" s="4"/>
      <c r="N1787" s="4"/>
      <c r="O1787" s="4"/>
      <c r="P1787" s="4"/>
      <c r="Q1787" s="4"/>
      <c r="R1787" s="4"/>
      <c r="S1787" s="4">
        <v>0</v>
      </c>
      <c r="T1787" s="4">
        <v>0</v>
      </c>
      <c r="U1787" s="4">
        <v>0</v>
      </c>
      <c r="V1787" s="4">
        <v>12</v>
      </c>
      <c r="W1787" s="4">
        <v>12</v>
      </c>
      <c r="X1787" s="4">
        <v>0</v>
      </c>
      <c r="Y1787" s="4"/>
      <c r="Z1787" s="4">
        <v>355.1</v>
      </c>
      <c r="AA1787" s="4">
        <v>370</v>
      </c>
      <c r="AB1787" s="18"/>
      <c r="AC1787" s="18">
        <v>33</v>
      </c>
      <c r="AD1787" s="28"/>
      <c r="AE1787" s="26"/>
      <c r="AF1787" s="28"/>
    </row>
    <row r="1788" spans="1:32" ht="13.5" customHeight="1" x14ac:dyDescent="0.25">
      <c r="A1788" s="14">
        <v>45886</v>
      </c>
      <c r="B1788" s="14" t="s">
        <v>46</v>
      </c>
      <c r="C1788" s="15">
        <v>6</v>
      </c>
      <c r="D1788" s="16">
        <v>10</v>
      </c>
      <c r="E1788" s="16"/>
      <c r="F1788" s="17"/>
      <c r="G1788" s="21"/>
      <c r="H1788" s="21"/>
      <c r="I1788" s="4">
        <v>10</v>
      </c>
      <c r="J1788" s="4">
        <v>0.16666666666666666</v>
      </c>
      <c r="K1788" s="4"/>
      <c r="L1788" s="16"/>
      <c r="M1788" s="4"/>
      <c r="N1788" s="4"/>
      <c r="O1788" s="4"/>
      <c r="P1788" s="4"/>
      <c r="Q1788" s="4"/>
      <c r="R1788" s="4"/>
      <c r="S1788" s="4">
        <v>0</v>
      </c>
      <c r="T1788" s="4">
        <v>0</v>
      </c>
      <c r="U1788" s="4">
        <v>0.16666666666666666</v>
      </c>
      <c r="V1788" s="4">
        <v>11.833333333333334</v>
      </c>
      <c r="W1788" s="4">
        <v>12</v>
      </c>
      <c r="X1788" s="4">
        <v>0</v>
      </c>
      <c r="Y1788" s="4"/>
      <c r="Z1788" s="4">
        <v>582.6</v>
      </c>
      <c r="AA1788" s="4">
        <v>600</v>
      </c>
      <c r="AB1788" s="18"/>
      <c r="AC1788" s="18">
        <v>33</v>
      </c>
      <c r="AD1788" s="28"/>
      <c r="AE1788" s="26"/>
      <c r="AF1788" s="28"/>
    </row>
    <row r="1789" spans="1:32" ht="13.5" customHeight="1" x14ac:dyDescent="0.25">
      <c r="A1789" s="14">
        <v>45886</v>
      </c>
      <c r="B1789" s="14" t="s">
        <v>47</v>
      </c>
      <c r="C1789" s="15">
        <v>6</v>
      </c>
      <c r="D1789" s="16"/>
      <c r="E1789" s="16"/>
      <c r="F1789" s="17"/>
      <c r="G1789" s="21"/>
      <c r="H1789" s="21"/>
      <c r="I1789" s="4">
        <v>0</v>
      </c>
      <c r="J1789" s="4">
        <v>0</v>
      </c>
      <c r="K1789" s="4"/>
      <c r="L1789" s="16"/>
      <c r="M1789" s="4"/>
      <c r="N1789" s="4"/>
      <c r="O1789" s="4"/>
      <c r="P1789" s="4"/>
      <c r="Q1789" s="4"/>
      <c r="R1789" s="4"/>
      <c r="S1789" s="4">
        <v>0</v>
      </c>
      <c r="T1789" s="4">
        <v>0</v>
      </c>
      <c r="U1789" s="4">
        <v>0</v>
      </c>
      <c r="V1789" s="4">
        <v>12</v>
      </c>
      <c r="W1789" s="4">
        <v>12</v>
      </c>
      <c r="X1789" s="4">
        <v>0</v>
      </c>
      <c r="Y1789" s="4"/>
      <c r="Z1789" s="4">
        <v>753.8</v>
      </c>
      <c r="AA1789" s="4">
        <v>760</v>
      </c>
      <c r="AB1789" s="18"/>
      <c r="AC1789" s="18">
        <v>33</v>
      </c>
      <c r="AD1789" s="28"/>
      <c r="AE1789" s="26"/>
      <c r="AF1789" s="28"/>
    </row>
    <row r="1790" spans="1:32" ht="13.5" customHeight="1" x14ac:dyDescent="0.25">
      <c r="A1790" s="14">
        <v>45886</v>
      </c>
      <c r="B1790" s="14" t="s">
        <v>46</v>
      </c>
      <c r="C1790" s="15">
        <v>7</v>
      </c>
      <c r="D1790" s="16"/>
      <c r="E1790" s="16"/>
      <c r="F1790" s="17"/>
      <c r="G1790" s="21"/>
      <c r="H1790" s="21"/>
      <c r="I1790" s="4">
        <v>0</v>
      </c>
      <c r="J1790" s="4">
        <v>0</v>
      </c>
      <c r="K1790" s="4"/>
      <c r="L1790" s="16"/>
      <c r="M1790" s="4"/>
      <c r="N1790" s="4"/>
      <c r="O1790" s="4"/>
      <c r="P1790" s="4"/>
      <c r="Q1790" s="4"/>
      <c r="R1790" s="4"/>
      <c r="S1790" s="4">
        <v>0</v>
      </c>
      <c r="T1790" s="4">
        <v>0</v>
      </c>
      <c r="U1790" s="4">
        <v>0</v>
      </c>
      <c r="V1790" s="4">
        <v>12</v>
      </c>
      <c r="W1790" s="4">
        <v>12</v>
      </c>
      <c r="X1790" s="4">
        <v>0</v>
      </c>
      <c r="Y1790" s="4"/>
      <c r="Z1790" s="4">
        <v>323.19999999999993</v>
      </c>
      <c r="AA1790" s="4">
        <v>330</v>
      </c>
      <c r="AB1790" s="18"/>
      <c r="AC1790" s="18">
        <v>33</v>
      </c>
      <c r="AD1790" s="28"/>
      <c r="AE1790" s="26"/>
      <c r="AF1790" s="28"/>
    </row>
    <row r="1791" spans="1:32" ht="13.5" customHeight="1" x14ac:dyDescent="0.25">
      <c r="A1791" s="14">
        <v>45886</v>
      </c>
      <c r="B1791" s="14" t="s">
        <v>47</v>
      </c>
      <c r="C1791" s="15">
        <v>7</v>
      </c>
      <c r="D1791" s="16"/>
      <c r="E1791" s="16"/>
      <c r="F1791" s="17"/>
      <c r="G1791" s="21"/>
      <c r="H1791" s="21"/>
      <c r="I1791" s="4">
        <v>0</v>
      </c>
      <c r="J1791" s="4">
        <v>0</v>
      </c>
      <c r="K1791" s="4"/>
      <c r="L1791" s="16"/>
      <c r="M1791" s="4"/>
      <c r="N1791" s="4"/>
      <c r="O1791" s="4"/>
      <c r="P1791" s="4"/>
      <c r="Q1791" s="4"/>
      <c r="R1791" s="4"/>
      <c r="S1791" s="4">
        <v>0</v>
      </c>
      <c r="T1791" s="4">
        <v>0</v>
      </c>
      <c r="U1791" s="4">
        <v>0</v>
      </c>
      <c r="V1791" s="4">
        <v>12</v>
      </c>
      <c r="W1791" s="4">
        <v>12</v>
      </c>
      <c r="X1791" s="4">
        <v>0</v>
      </c>
      <c r="Y1791" s="4"/>
      <c r="Z1791" s="4">
        <v>357.5</v>
      </c>
      <c r="AA1791" s="4">
        <v>370</v>
      </c>
      <c r="AB1791" s="18"/>
      <c r="AC1791" s="18">
        <v>33</v>
      </c>
      <c r="AD1791" s="28"/>
      <c r="AE1791" s="26"/>
      <c r="AF1791" s="28"/>
    </row>
    <row r="1792" spans="1:32" ht="13.5" customHeight="1" x14ac:dyDescent="0.25">
      <c r="A1792" s="14">
        <v>45887</v>
      </c>
      <c r="B1792" s="14" t="s">
        <v>46</v>
      </c>
      <c r="C1792" s="15">
        <v>1</v>
      </c>
      <c r="D1792" s="16"/>
      <c r="E1792" s="16"/>
      <c r="F1792" s="17"/>
      <c r="G1792" s="21"/>
      <c r="H1792" s="21"/>
      <c r="I1792" s="4">
        <v>0</v>
      </c>
      <c r="J1792" s="4">
        <v>0</v>
      </c>
      <c r="K1792" s="4"/>
      <c r="L1792" s="16"/>
      <c r="M1792" s="4"/>
      <c r="N1792" s="4"/>
      <c r="O1792" s="4"/>
      <c r="P1792" s="4"/>
      <c r="Q1792" s="4"/>
      <c r="R1792" s="4"/>
      <c r="S1792" s="4">
        <v>0</v>
      </c>
      <c r="T1792" s="4">
        <v>0</v>
      </c>
      <c r="U1792" s="4">
        <v>0</v>
      </c>
      <c r="V1792" s="4">
        <v>12</v>
      </c>
      <c r="W1792" s="4">
        <v>12</v>
      </c>
      <c r="X1792" s="4">
        <v>25</v>
      </c>
      <c r="Y1792" s="4">
        <v>1874</v>
      </c>
      <c r="Z1792" s="4">
        <v>165.29999999999998</v>
      </c>
      <c r="AA1792" s="4">
        <v>170</v>
      </c>
      <c r="AB1792" s="18">
        <v>372</v>
      </c>
      <c r="AC1792" s="18">
        <v>34</v>
      </c>
      <c r="AD1792" s="28"/>
      <c r="AE1792" s="26"/>
      <c r="AF1792" s="28"/>
    </row>
    <row r="1793" spans="1:32" ht="13.5" customHeight="1" x14ac:dyDescent="0.25">
      <c r="A1793" s="14">
        <v>45887</v>
      </c>
      <c r="B1793" s="14" t="s">
        <v>47</v>
      </c>
      <c r="C1793" s="15">
        <v>1</v>
      </c>
      <c r="D1793" s="16"/>
      <c r="E1793" s="16"/>
      <c r="F1793" s="17"/>
      <c r="G1793" s="21"/>
      <c r="H1793" s="21"/>
      <c r="I1793" s="4">
        <v>0</v>
      </c>
      <c r="J1793" s="4">
        <v>0</v>
      </c>
      <c r="K1793" s="4"/>
      <c r="L1793" s="16"/>
      <c r="M1793" s="4"/>
      <c r="N1793" s="4"/>
      <c r="O1793" s="4"/>
      <c r="P1793" s="4"/>
      <c r="Q1793" s="4"/>
      <c r="R1793" s="4"/>
      <c r="S1793" s="4">
        <v>0</v>
      </c>
      <c r="T1793" s="4">
        <v>0</v>
      </c>
      <c r="U1793" s="4">
        <v>0</v>
      </c>
      <c r="V1793" s="4">
        <v>12</v>
      </c>
      <c r="W1793" s="4">
        <v>12</v>
      </c>
      <c r="X1793" s="4">
        <v>25</v>
      </c>
      <c r="Y1793" s="4"/>
      <c r="Z1793" s="4">
        <v>119.1</v>
      </c>
      <c r="AA1793" s="4">
        <v>125</v>
      </c>
      <c r="AB1793" s="18"/>
      <c r="AC1793" s="18">
        <v>34</v>
      </c>
      <c r="AD1793" s="28"/>
      <c r="AE1793" s="26"/>
      <c r="AF1793" s="28"/>
    </row>
    <row r="1794" spans="1:32" ht="13.5" customHeight="1" x14ac:dyDescent="0.25">
      <c r="A1794" s="14">
        <v>45887</v>
      </c>
      <c r="B1794" s="14" t="s">
        <v>46</v>
      </c>
      <c r="C1794" s="15">
        <v>3</v>
      </c>
      <c r="D1794" s="16">
        <v>3</v>
      </c>
      <c r="E1794" s="16"/>
      <c r="F1794" s="17">
        <v>180</v>
      </c>
      <c r="G1794" s="21"/>
      <c r="H1794" s="21"/>
      <c r="I1794" s="4">
        <v>183</v>
      </c>
      <c r="J1794" s="4">
        <v>3.05</v>
      </c>
      <c r="K1794" s="4"/>
      <c r="L1794" s="16"/>
      <c r="M1794" s="4"/>
      <c r="N1794" s="4"/>
      <c r="O1794" s="4"/>
      <c r="P1794" s="4"/>
      <c r="Q1794" s="4">
        <v>30</v>
      </c>
      <c r="R1794" s="4"/>
      <c r="S1794" s="4">
        <v>30</v>
      </c>
      <c r="T1794" s="4">
        <v>0.5</v>
      </c>
      <c r="U1794" s="4">
        <v>3.55</v>
      </c>
      <c r="V1794" s="4">
        <v>8.4499999999999993</v>
      </c>
      <c r="W1794" s="4">
        <v>12</v>
      </c>
      <c r="X1794" s="4">
        <v>25</v>
      </c>
      <c r="Y1794" s="4"/>
      <c r="Z1794" s="4">
        <v>378.6</v>
      </c>
      <c r="AA1794" s="4">
        <v>380</v>
      </c>
      <c r="AB1794" s="18"/>
      <c r="AC1794" s="18">
        <v>34</v>
      </c>
      <c r="AD1794" s="28"/>
      <c r="AE1794" s="26"/>
      <c r="AF1794" s="28"/>
    </row>
    <row r="1795" spans="1:32" ht="13.5" customHeight="1" x14ac:dyDescent="0.25">
      <c r="A1795" s="14">
        <v>45887</v>
      </c>
      <c r="B1795" s="14" t="s">
        <v>47</v>
      </c>
      <c r="C1795" s="15">
        <v>3</v>
      </c>
      <c r="D1795" s="16"/>
      <c r="E1795" s="16"/>
      <c r="F1795" s="17"/>
      <c r="G1795" s="21"/>
      <c r="H1795" s="21"/>
      <c r="I1795" s="4">
        <v>0</v>
      </c>
      <c r="J1795" s="4">
        <v>0</v>
      </c>
      <c r="K1795" s="4"/>
      <c r="L1795" s="16"/>
      <c r="M1795" s="4"/>
      <c r="N1795" s="4"/>
      <c r="O1795" s="4"/>
      <c r="P1795" s="4"/>
      <c r="Q1795" s="4"/>
      <c r="R1795" s="4"/>
      <c r="S1795" s="4">
        <v>0</v>
      </c>
      <c r="T1795" s="4">
        <v>0</v>
      </c>
      <c r="U1795" s="4">
        <v>0</v>
      </c>
      <c r="V1795" s="4">
        <v>12</v>
      </c>
      <c r="W1795" s="4">
        <v>12</v>
      </c>
      <c r="X1795" s="4">
        <v>25</v>
      </c>
      <c r="Y1795" s="4"/>
      <c r="Z1795" s="4">
        <v>290.3</v>
      </c>
      <c r="AA1795" s="4">
        <v>295</v>
      </c>
      <c r="AB1795" s="18"/>
      <c r="AC1795" s="18">
        <v>34</v>
      </c>
      <c r="AD1795" s="28"/>
      <c r="AE1795" s="26"/>
      <c r="AF1795" s="28"/>
    </row>
    <row r="1796" spans="1:32" ht="13.5" customHeight="1" x14ac:dyDescent="0.25">
      <c r="A1796" s="14">
        <v>45887</v>
      </c>
      <c r="B1796" s="14" t="s">
        <v>47</v>
      </c>
      <c r="C1796" s="15">
        <v>4</v>
      </c>
      <c r="D1796" s="16"/>
      <c r="E1796" s="16"/>
      <c r="F1796" s="17"/>
      <c r="G1796" s="21"/>
      <c r="H1796" s="21"/>
      <c r="I1796" s="4">
        <v>0</v>
      </c>
      <c r="J1796" s="4">
        <v>0</v>
      </c>
      <c r="K1796" s="4"/>
      <c r="L1796" s="16"/>
      <c r="M1796" s="4"/>
      <c r="N1796" s="4"/>
      <c r="O1796" s="4"/>
      <c r="P1796" s="4"/>
      <c r="Q1796" s="4"/>
      <c r="R1796" s="4"/>
      <c r="S1796" s="4">
        <v>0</v>
      </c>
      <c r="T1796" s="4">
        <v>0</v>
      </c>
      <c r="U1796" s="4">
        <v>0</v>
      </c>
      <c r="V1796" s="4">
        <v>12</v>
      </c>
      <c r="W1796" s="4">
        <v>12</v>
      </c>
      <c r="X1796" s="4">
        <v>25</v>
      </c>
      <c r="Y1796" s="4"/>
      <c r="Z1796" s="4">
        <v>215.4</v>
      </c>
      <c r="AA1796" s="4">
        <v>220</v>
      </c>
      <c r="AB1796" s="18"/>
      <c r="AC1796" s="18">
        <v>34</v>
      </c>
      <c r="AD1796" s="28"/>
      <c r="AE1796" s="26"/>
      <c r="AF1796" s="28"/>
    </row>
    <row r="1797" spans="1:32" ht="13.5" customHeight="1" x14ac:dyDescent="0.25">
      <c r="A1797" s="14">
        <v>45887</v>
      </c>
      <c r="B1797" s="14" t="s">
        <v>46</v>
      </c>
      <c r="C1797" s="15">
        <v>6</v>
      </c>
      <c r="D1797" s="16"/>
      <c r="E1797" s="16"/>
      <c r="F1797" s="17"/>
      <c r="G1797" s="21"/>
      <c r="H1797" s="21"/>
      <c r="I1797" s="4">
        <v>0</v>
      </c>
      <c r="J1797" s="4">
        <v>0</v>
      </c>
      <c r="K1797" s="4"/>
      <c r="L1797" s="16"/>
      <c r="M1797" s="4"/>
      <c r="N1797" s="4"/>
      <c r="O1797" s="4"/>
      <c r="P1797" s="4"/>
      <c r="Q1797" s="4"/>
      <c r="R1797" s="4"/>
      <c r="S1797" s="4">
        <v>0</v>
      </c>
      <c r="T1797" s="4">
        <v>0</v>
      </c>
      <c r="U1797" s="4">
        <v>0</v>
      </c>
      <c r="V1797" s="4">
        <v>12</v>
      </c>
      <c r="W1797" s="4">
        <v>12</v>
      </c>
      <c r="X1797" s="4">
        <v>25</v>
      </c>
      <c r="Y1797" s="4"/>
      <c r="Z1797" s="4">
        <v>172.6</v>
      </c>
      <c r="AA1797" s="4">
        <v>180</v>
      </c>
      <c r="AB1797" s="18"/>
      <c r="AC1797" s="18">
        <v>34</v>
      </c>
      <c r="AD1797" s="28"/>
      <c r="AE1797" s="26"/>
      <c r="AF1797" s="28"/>
    </row>
    <row r="1798" spans="1:32" ht="13.5" customHeight="1" x14ac:dyDescent="0.25">
      <c r="A1798" s="14">
        <v>45887</v>
      </c>
      <c r="B1798" s="14" t="s">
        <v>47</v>
      </c>
      <c r="C1798" s="15">
        <v>6</v>
      </c>
      <c r="D1798" s="16"/>
      <c r="E1798" s="16"/>
      <c r="F1798" s="17"/>
      <c r="G1798" s="21"/>
      <c r="H1798" s="21"/>
      <c r="I1798" s="4">
        <v>0</v>
      </c>
      <c r="J1798" s="4">
        <v>0</v>
      </c>
      <c r="K1798" s="4"/>
      <c r="L1798" s="16"/>
      <c r="M1798" s="4">
        <v>240</v>
      </c>
      <c r="N1798" s="4"/>
      <c r="O1798" s="4"/>
      <c r="P1798" s="4"/>
      <c r="Q1798" s="4"/>
      <c r="R1798" s="4"/>
      <c r="S1798" s="4">
        <v>240</v>
      </c>
      <c r="T1798" s="4">
        <v>4</v>
      </c>
      <c r="U1798" s="4">
        <v>4</v>
      </c>
      <c r="V1798" s="4">
        <v>8</v>
      </c>
      <c r="W1798" s="4">
        <v>12</v>
      </c>
      <c r="X1798" s="4">
        <v>25</v>
      </c>
      <c r="Y1798" s="4"/>
      <c r="Z1798" s="4">
        <v>874</v>
      </c>
      <c r="AA1798" s="4">
        <v>880</v>
      </c>
      <c r="AB1798" s="18"/>
      <c r="AC1798" s="18">
        <v>34</v>
      </c>
      <c r="AD1798" s="28"/>
      <c r="AE1798" s="26"/>
      <c r="AF1798" s="28"/>
    </row>
    <row r="1799" spans="1:32" ht="13.5" customHeight="1" x14ac:dyDescent="0.25">
      <c r="A1799" s="14">
        <v>45887</v>
      </c>
      <c r="B1799" s="14" t="s">
        <v>46</v>
      </c>
      <c r="C1799" s="15">
        <v>7</v>
      </c>
      <c r="D1799" s="16"/>
      <c r="E1799" s="16"/>
      <c r="F1799" s="17"/>
      <c r="G1799" s="21"/>
      <c r="H1799" s="21"/>
      <c r="I1799" s="4">
        <v>0</v>
      </c>
      <c r="J1799" s="4">
        <v>0</v>
      </c>
      <c r="K1799" s="4"/>
      <c r="L1799" s="16"/>
      <c r="M1799" s="4"/>
      <c r="N1799" s="4"/>
      <c r="O1799" s="4"/>
      <c r="P1799" s="4"/>
      <c r="Q1799" s="4"/>
      <c r="R1799" s="4"/>
      <c r="S1799" s="4">
        <v>0</v>
      </c>
      <c r="T1799" s="4">
        <v>0</v>
      </c>
      <c r="U1799" s="4">
        <v>0</v>
      </c>
      <c r="V1799" s="4">
        <v>12</v>
      </c>
      <c r="W1799" s="4">
        <v>12</v>
      </c>
      <c r="X1799" s="4">
        <v>25</v>
      </c>
      <c r="Y1799" s="4"/>
      <c r="Z1799" s="4">
        <v>269.2</v>
      </c>
      <c r="AA1799" s="4">
        <v>275</v>
      </c>
      <c r="AB1799" s="18"/>
      <c r="AC1799" s="18">
        <v>34</v>
      </c>
      <c r="AD1799" s="28"/>
      <c r="AE1799" s="26"/>
      <c r="AF1799" s="28"/>
    </row>
    <row r="1800" spans="1:32" ht="13.5" customHeight="1" x14ac:dyDescent="0.25">
      <c r="A1800" s="14">
        <v>45887</v>
      </c>
      <c r="B1800" s="14" t="s">
        <v>47</v>
      </c>
      <c r="C1800" s="15">
        <v>7</v>
      </c>
      <c r="D1800" s="16"/>
      <c r="E1800" s="16"/>
      <c r="F1800" s="17"/>
      <c r="G1800" s="21"/>
      <c r="H1800" s="21"/>
      <c r="I1800" s="4">
        <v>0</v>
      </c>
      <c r="J1800" s="4">
        <v>0</v>
      </c>
      <c r="K1800" s="4"/>
      <c r="L1800" s="16"/>
      <c r="M1800" s="4"/>
      <c r="N1800" s="4"/>
      <c r="O1800" s="4"/>
      <c r="P1800" s="4"/>
      <c r="Q1800" s="4"/>
      <c r="R1800" s="4"/>
      <c r="S1800" s="4">
        <v>0</v>
      </c>
      <c r="T1800" s="4">
        <v>0</v>
      </c>
      <c r="U1800" s="4">
        <v>0</v>
      </c>
      <c r="V1800" s="4">
        <v>12</v>
      </c>
      <c r="W1800" s="4">
        <v>12</v>
      </c>
      <c r="X1800" s="4">
        <v>25</v>
      </c>
      <c r="Y1800" s="4"/>
      <c r="Z1800" s="4">
        <v>271.59999999999997</v>
      </c>
      <c r="AA1800" s="4">
        <v>280</v>
      </c>
      <c r="AB1800" s="18"/>
      <c r="AC1800" s="18">
        <v>34</v>
      </c>
      <c r="AD1800" s="28"/>
      <c r="AE1800" s="26"/>
      <c r="AF1800" s="28"/>
    </row>
    <row r="1801" spans="1:32" ht="13.5" customHeight="1" x14ac:dyDescent="0.25">
      <c r="A1801" s="14">
        <v>45888</v>
      </c>
      <c r="B1801" s="14" t="s">
        <v>46</v>
      </c>
      <c r="C1801" s="15">
        <v>1</v>
      </c>
      <c r="D1801" s="16"/>
      <c r="E1801" s="16"/>
      <c r="F1801" s="17"/>
      <c r="G1801" s="21"/>
      <c r="H1801" s="21"/>
      <c r="I1801" s="4">
        <v>0</v>
      </c>
      <c r="J1801" s="4">
        <v>0</v>
      </c>
      <c r="K1801" s="4"/>
      <c r="L1801" s="16"/>
      <c r="M1801" s="4"/>
      <c r="N1801" s="4"/>
      <c r="O1801" s="4"/>
      <c r="P1801" s="4"/>
      <c r="Q1801" s="4"/>
      <c r="R1801" s="4"/>
      <c r="S1801" s="4">
        <v>0</v>
      </c>
      <c r="T1801" s="4">
        <v>0</v>
      </c>
      <c r="U1801" s="4">
        <v>0</v>
      </c>
      <c r="V1801" s="4">
        <v>12</v>
      </c>
      <c r="W1801" s="4">
        <v>12</v>
      </c>
      <c r="X1801" s="4">
        <v>18.18</v>
      </c>
      <c r="Y1801" s="4">
        <v>2297.5</v>
      </c>
      <c r="Z1801" s="4">
        <v>131.4</v>
      </c>
      <c r="AA1801" s="4">
        <v>131</v>
      </c>
      <c r="AB1801" s="18"/>
      <c r="AC1801" s="18">
        <v>34</v>
      </c>
      <c r="AD1801" s="28"/>
      <c r="AE1801" s="26"/>
      <c r="AF1801" s="28"/>
    </row>
    <row r="1802" spans="1:32" ht="13.5" customHeight="1" x14ac:dyDescent="0.25">
      <c r="A1802" s="14">
        <v>45888</v>
      </c>
      <c r="B1802" s="14" t="s">
        <v>47</v>
      </c>
      <c r="C1802" s="15">
        <v>1</v>
      </c>
      <c r="D1802" s="16"/>
      <c r="E1802" s="16"/>
      <c r="F1802" s="17"/>
      <c r="G1802" s="21"/>
      <c r="H1802" s="21"/>
      <c r="I1802" s="4">
        <v>0</v>
      </c>
      <c r="J1802" s="4">
        <v>0</v>
      </c>
      <c r="K1802" s="4"/>
      <c r="L1802" s="16"/>
      <c r="M1802" s="4"/>
      <c r="N1802" s="4"/>
      <c r="O1802" s="4"/>
      <c r="P1802" s="4"/>
      <c r="Q1802" s="4"/>
      <c r="R1802" s="4"/>
      <c r="S1802" s="4">
        <v>0</v>
      </c>
      <c r="T1802" s="4">
        <v>0</v>
      </c>
      <c r="U1802" s="4">
        <v>0</v>
      </c>
      <c r="V1802" s="4">
        <v>12</v>
      </c>
      <c r="W1802" s="4">
        <v>12</v>
      </c>
      <c r="X1802" s="4">
        <v>18.18</v>
      </c>
      <c r="Y1802" s="4"/>
      <c r="Z1802" s="4">
        <v>142.19999999999999</v>
      </c>
      <c r="AA1802" s="4">
        <v>142</v>
      </c>
      <c r="AB1802" s="18"/>
      <c r="AC1802" s="18">
        <v>34</v>
      </c>
      <c r="AD1802" s="28"/>
      <c r="AE1802" s="26"/>
      <c r="AF1802" s="28"/>
    </row>
    <row r="1803" spans="1:32" ht="13.5" customHeight="1" x14ac:dyDescent="0.25">
      <c r="A1803" s="14">
        <v>45888</v>
      </c>
      <c r="B1803" s="14" t="s">
        <v>46</v>
      </c>
      <c r="C1803" s="15">
        <v>2</v>
      </c>
      <c r="D1803" s="16"/>
      <c r="E1803" s="16"/>
      <c r="F1803" s="17"/>
      <c r="G1803" s="21"/>
      <c r="H1803" s="21"/>
      <c r="I1803" s="4">
        <v>0</v>
      </c>
      <c r="J1803" s="4">
        <v>0</v>
      </c>
      <c r="K1803" s="4"/>
      <c r="L1803" s="16"/>
      <c r="M1803" s="4"/>
      <c r="N1803" s="4"/>
      <c r="O1803" s="4"/>
      <c r="P1803" s="4"/>
      <c r="Q1803" s="4"/>
      <c r="R1803" s="4"/>
      <c r="S1803" s="4">
        <v>0</v>
      </c>
      <c r="T1803" s="4">
        <v>0</v>
      </c>
      <c r="U1803" s="4">
        <v>0</v>
      </c>
      <c r="V1803" s="4">
        <v>12</v>
      </c>
      <c r="W1803" s="4">
        <v>12</v>
      </c>
      <c r="X1803" s="4">
        <v>18.18</v>
      </c>
      <c r="Y1803" s="4"/>
      <c r="Z1803" s="4">
        <v>23.900000000000002</v>
      </c>
      <c r="AA1803" s="4">
        <v>25</v>
      </c>
      <c r="AB1803" s="18"/>
      <c r="AC1803" s="18">
        <v>34</v>
      </c>
      <c r="AD1803" s="28"/>
      <c r="AE1803" s="26"/>
      <c r="AF1803" s="28"/>
    </row>
    <row r="1804" spans="1:32" ht="13.5" customHeight="1" x14ac:dyDescent="0.25">
      <c r="A1804" s="14">
        <v>45888</v>
      </c>
      <c r="B1804" s="14" t="s">
        <v>47</v>
      </c>
      <c r="C1804" s="15">
        <v>2</v>
      </c>
      <c r="D1804" s="16"/>
      <c r="E1804" s="16"/>
      <c r="F1804" s="17"/>
      <c r="G1804" s="21"/>
      <c r="H1804" s="21"/>
      <c r="I1804" s="4">
        <v>0</v>
      </c>
      <c r="J1804" s="4">
        <v>0</v>
      </c>
      <c r="K1804" s="4"/>
      <c r="L1804" s="16"/>
      <c r="M1804" s="4"/>
      <c r="N1804" s="4"/>
      <c r="O1804" s="4"/>
      <c r="P1804" s="4"/>
      <c r="Q1804" s="4"/>
      <c r="R1804" s="4"/>
      <c r="S1804" s="4">
        <v>0</v>
      </c>
      <c r="T1804" s="4">
        <v>0</v>
      </c>
      <c r="U1804" s="4">
        <v>0</v>
      </c>
      <c r="V1804" s="4">
        <v>12</v>
      </c>
      <c r="W1804" s="4">
        <v>12</v>
      </c>
      <c r="X1804" s="4">
        <v>18.18</v>
      </c>
      <c r="Y1804" s="4"/>
      <c r="Z1804" s="4">
        <v>168</v>
      </c>
      <c r="AA1804" s="4">
        <v>170</v>
      </c>
      <c r="AB1804" s="18"/>
      <c r="AC1804" s="18">
        <v>34</v>
      </c>
      <c r="AD1804" s="28"/>
      <c r="AE1804" s="26"/>
      <c r="AF1804" s="28"/>
    </row>
    <row r="1805" spans="1:32" ht="13.5" customHeight="1" x14ac:dyDescent="0.25">
      <c r="A1805" s="14">
        <v>45888</v>
      </c>
      <c r="B1805" s="14" t="s">
        <v>46</v>
      </c>
      <c r="C1805" s="15">
        <v>3</v>
      </c>
      <c r="D1805" s="16"/>
      <c r="E1805" s="16"/>
      <c r="F1805" s="17"/>
      <c r="G1805" s="21"/>
      <c r="H1805" s="21"/>
      <c r="I1805" s="4">
        <v>0</v>
      </c>
      <c r="J1805" s="4">
        <v>0</v>
      </c>
      <c r="K1805" s="4"/>
      <c r="L1805" s="16"/>
      <c r="M1805" s="4"/>
      <c r="N1805" s="4"/>
      <c r="O1805" s="4"/>
      <c r="P1805" s="4"/>
      <c r="Q1805" s="4"/>
      <c r="R1805" s="4"/>
      <c r="S1805" s="4">
        <v>0</v>
      </c>
      <c r="T1805" s="4">
        <v>0</v>
      </c>
      <c r="U1805" s="4">
        <v>0</v>
      </c>
      <c r="V1805" s="4">
        <v>12</v>
      </c>
      <c r="W1805" s="4">
        <v>12</v>
      </c>
      <c r="X1805" s="4">
        <v>18.18</v>
      </c>
      <c r="Y1805" s="4"/>
      <c r="Z1805" s="4">
        <v>284.39999999999998</v>
      </c>
      <c r="AA1805" s="4">
        <v>285</v>
      </c>
      <c r="AB1805" s="18"/>
      <c r="AC1805" s="18">
        <v>34</v>
      </c>
      <c r="AD1805" s="28"/>
      <c r="AE1805" s="26"/>
      <c r="AF1805" s="28"/>
    </row>
    <row r="1806" spans="1:32" ht="13.5" customHeight="1" x14ac:dyDescent="0.25">
      <c r="A1806" s="14">
        <v>45888</v>
      </c>
      <c r="B1806" s="14" t="s">
        <v>47</v>
      </c>
      <c r="C1806" s="15">
        <v>3</v>
      </c>
      <c r="D1806" s="16"/>
      <c r="E1806" s="16"/>
      <c r="F1806" s="17"/>
      <c r="G1806" s="21"/>
      <c r="H1806" s="21"/>
      <c r="I1806" s="4">
        <v>0</v>
      </c>
      <c r="J1806" s="4">
        <v>0</v>
      </c>
      <c r="K1806" s="4"/>
      <c r="L1806" s="16"/>
      <c r="M1806" s="4"/>
      <c r="N1806" s="4"/>
      <c r="O1806" s="4"/>
      <c r="P1806" s="4"/>
      <c r="Q1806" s="4"/>
      <c r="R1806" s="4"/>
      <c r="S1806" s="4">
        <v>0</v>
      </c>
      <c r="T1806" s="4">
        <v>0</v>
      </c>
      <c r="U1806" s="4">
        <v>0</v>
      </c>
      <c r="V1806" s="4">
        <v>12</v>
      </c>
      <c r="W1806" s="4">
        <v>12</v>
      </c>
      <c r="X1806" s="4">
        <v>18.18</v>
      </c>
      <c r="Y1806" s="4"/>
      <c r="Z1806" s="4">
        <v>254.20000000000002</v>
      </c>
      <c r="AA1806" s="4">
        <v>260</v>
      </c>
      <c r="AB1806" s="18"/>
      <c r="AC1806" s="18">
        <v>34</v>
      </c>
      <c r="AD1806" s="28"/>
      <c r="AE1806" s="26"/>
      <c r="AF1806" s="28"/>
    </row>
    <row r="1807" spans="1:32" ht="13.5" customHeight="1" x14ac:dyDescent="0.25">
      <c r="A1807" s="14">
        <v>45888</v>
      </c>
      <c r="B1807" s="14" t="s">
        <v>46</v>
      </c>
      <c r="C1807" s="15">
        <v>4</v>
      </c>
      <c r="D1807" s="16"/>
      <c r="E1807" s="16"/>
      <c r="F1807" s="17"/>
      <c r="G1807" s="21"/>
      <c r="H1807" s="21"/>
      <c r="I1807" s="4">
        <v>0</v>
      </c>
      <c r="J1807" s="4">
        <v>0</v>
      </c>
      <c r="K1807" s="4"/>
      <c r="L1807" s="16"/>
      <c r="M1807" s="4"/>
      <c r="N1807" s="4"/>
      <c r="O1807" s="4"/>
      <c r="P1807" s="4"/>
      <c r="Q1807" s="4"/>
      <c r="R1807" s="4"/>
      <c r="S1807" s="4">
        <v>0</v>
      </c>
      <c r="T1807" s="4">
        <v>0</v>
      </c>
      <c r="U1807" s="4">
        <v>0</v>
      </c>
      <c r="V1807" s="4">
        <v>12</v>
      </c>
      <c r="W1807" s="4">
        <v>12</v>
      </c>
      <c r="X1807" s="4">
        <v>18.18</v>
      </c>
      <c r="Y1807" s="4"/>
      <c r="Z1807" s="4">
        <v>517.79999999999995</v>
      </c>
      <c r="AA1807" s="4">
        <v>520</v>
      </c>
      <c r="AB1807" s="18"/>
      <c r="AC1807" s="18">
        <v>34</v>
      </c>
      <c r="AD1807" s="28"/>
      <c r="AE1807" s="26"/>
      <c r="AF1807" s="28"/>
    </row>
    <row r="1808" spans="1:32" ht="13.5" customHeight="1" x14ac:dyDescent="0.25">
      <c r="A1808" s="14">
        <v>45888</v>
      </c>
      <c r="B1808" s="14" t="s">
        <v>46</v>
      </c>
      <c r="C1808" s="15">
        <v>6</v>
      </c>
      <c r="D1808" s="16"/>
      <c r="E1808" s="16"/>
      <c r="F1808" s="17"/>
      <c r="G1808" s="21"/>
      <c r="H1808" s="21"/>
      <c r="I1808" s="4">
        <v>0</v>
      </c>
      <c r="J1808" s="4">
        <v>0</v>
      </c>
      <c r="K1808" s="4">
        <v>15</v>
      </c>
      <c r="L1808" s="16"/>
      <c r="M1808" s="4"/>
      <c r="N1808" s="4"/>
      <c r="O1808" s="4"/>
      <c r="P1808" s="4"/>
      <c r="Q1808" s="4"/>
      <c r="R1808" s="4"/>
      <c r="S1808" s="4">
        <v>15</v>
      </c>
      <c r="T1808" s="4">
        <v>0.25</v>
      </c>
      <c r="U1808" s="4">
        <v>0.25</v>
      </c>
      <c r="V1808" s="4">
        <v>11.75</v>
      </c>
      <c r="W1808" s="4">
        <v>12</v>
      </c>
      <c r="X1808" s="4">
        <v>18.18</v>
      </c>
      <c r="Y1808" s="4"/>
      <c r="Z1808" s="4">
        <v>444.99999999999994</v>
      </c>
      <c r="AA1808" s="4">
        <v>445</v>
      </c>
      <c r="AB1808" s="18"/>
      <c r="AC1808" s="18">
        <v>34</v>
      </c>
      <c r="AD1808" s="28"/>
      <c r="AE1808" s="26"/>
      <c r="AF1808" s="28"/>
    </row>
    <row r="1809" spans="1:32" ht="13.5" customHeight="1" x14ac:dyDescent="0.25">
      <c r="A1809" s="14">
        <v>45888</v>
      </c>
      <c r="B1809" s="14" t="s">
        <v>47</v>
      </c>
      <c r="C1809" s="15">
        <v>6</v>
      </c>
      <c r="D1809" s="16"/>
      <c r="E1809" s="16"/>
      <c r="F1809" s="17"/>
      <c r="G1809" s="21"/>
      <c r="H1809" s="21"/>
      <c r="I1809" s="4">
        <v>0</v>
      </c>
      <c r="J1809" s="4">
        <v>0</v>
      </c>
      <c r="K1809" s="4"/>
      <c r="L1809" s="16"/>
      <c r="M1809" s="4"/>
      <c r="N1809" s="4"/>
      <c r="O1809" s="4"/>
      <c r="P1809" s="4"/>
      <c r="Q1809" s="4"/>
      <c r="R1809" s="4"/>
      <c r="S1809" s="4">
        <v>0</v>
      </c>
      <c r="T1809" s="4">
        <v>0</v>
      </c>
      <c r="U1809" s="4">
        <v>0</v>
      </c>
      <c r="V1809" s="4">
        <v>12</v>
      </c>
      <c r="W1809" s="4">
        <v>12</v>
      </c>
      <c r="X1809" s="4">
        <v>18.18</v>
      </c>
      <c r="Y1809" s="4"/>
      <c r="Z1809" s="4">
        <v>807.69999999999993</v>
      </c>
      <c r="AA1809" s="4">
        <v>810</v>
      </c>
      <c r="AB1809" s="18"/>
      <c r="AC1809" s="18">
        <v>34</v>
      </c>
      <c r="AD1809" s="28"/>
      <c r="AE1809" s="26"/>
      <c r="AF1809" s="28"/>
    </row>
    <row r="1810" spans="1:32" ht="13.5" customHeight="1" x14ac:dyDescent="0.25">
      <c r="A1810" s="14">
        <v>45888</v>
      </c>
      <c r="B1810" s="14" t="s">
        <v>46</v>
      </c>
      <c r="C1810" s="15">
        <v>7</v>
      </c>
      <c r="D1810" s="16"/>
      <c r="E1810" s="16"/>
      <c r="F1810" s="17"/>
      <c r="G1810" s="21"/>
      <c r="H1810" s="21"/>
      <c r="I1810" s="4">
        <v>0</v>
      </c>
      <c r="J1810" s="4">
        <v>0</v>
      </c>
      <c r="K1810" s="4"/>
      <c r="L1810" s="16"/>
      <c r="M1810" s="4"/>
      <c r="N1810" s="4"/>
      <c r="O1810" s="4"/>
      <c r="P1810" s="4"/>
      <c r="Q1810" s="4"/>
      <c r="R1810" s="4"/>
      <c r="S1810" s="4">
        <v>0</v>
      </c>
      <c r="T1810" s="4">
        <v>0</v>
      </c>
      <c r="U1810" s="4">
        <v>0</v>
      </c>
      <c r="V1810" s="4">
        <v>12</v>
      </c>
      <c r="W1810" s="4">
        <v>12</v>
      </c>
      <c r="X1810" s="4">
        <v>18.18</v>
      </c>
      <c r="Y1810" s="4"/>
      <c r="Z1810" s="4">
        <v>329.85</v>
      </c>
      <c r="AA1810" s="4">
        <v>330</v>
      </c>
      <c r="AB1810" s="18"/>
      <c r="AC1810" s="18">
        <v>34</v>
      </c>
      <c r="AD1810" s="28"/>
      <c r="AE1810" s="26"/>
      <c r="AF1810" s="28"/>
    </row>
    <row r="1811" spans="1:32" ht="13.5" customHeight="1" x14ac:dyDescent="0.25">
      <c r="A1811" s="14">
        <v>45888</v>
      </c>
      <c r="B1811" s="14" t="s">
        <v>47</v>
      </c>
      <c r="C1811" s="15">
        <v>7</v>
      </c>
      <c r="D1811" s="16"/>
      <c r="E1811" s="16"/>
      <c r="F1811" s="17"/>
      <c r="G1811" s="21"/>
      <c r="H1811" s="21"/>
      <c r="I1811" s="4">
        <v>0</v>
      </c>
      <c r="J1811" s="4">
        <v>0</v>
      </c>
      <c r="K1811" s="4"/>
      <c r="L1811" s="16"/>
      <c r="M1811" s="4"/>
      <c r="N1811" s="4"/>
      <c r="O1811" s="4"/>
      <c r="P1811" s="4"/>
      <c r="Q1811" s="4"/>
      <c r="R1811" s="4"/>
      <c r="S1811" s="4">
        <v>0</v>
      </c>
      <c r="T1811" s="4">
        <v>0</v>
      </c>
      <c r="U1811" s="4">
        <v>0</v>
      </c>
      <c r="V1811" s="4">
        <v>12</v>
      </c>
      <c r="W1811" s="4">
        <v>12</v>
      </c>
      <c r="X1811" s="4">
        <v>18.18</v>
      </c>
      <c r="Y1811" s="4"/>
      <c r="Z1811" s="4">
        <v>482.47</v>
      </c>
      <c r="AA1811" s="4">
        <v>482</v>
      </c>
      <c r="AB1811" s="18"/>
      <c r="AC1811" s="18">
        <v>34</v>
      </c>
      <c r="AD1811" s="28"/>
      <c r="AE1811" s="26"/>
      <c r="AF1811" s="28"/>
    </row>
    <row r="1812" spans="1:32" ht="13.5" customHeight="1" x14ac:dyDescent="0.25">
      <c r="A1812" s="14">
        <v>45889</v>
      </c>
      <c r="B1812" s="14" t="s">
        <v>46</v>
      </c>
      <c r="C1812" s="15">
        <v>1</v>
      </c>
      <c r="D1812" s="16"/>
      <c r="E1812" s="16"/>
      <c r="F1812" s="17"/>
      <c r="G1812" s="21"/>
      <c r="H1812" s="21"/>
      <c r="I1812" s="4">
        <v>0</v>
      </c>
      <c r="J1812" s="4">
        <v>0</v>
      </c>
      <c r="K1812" s="4"/>
      <c r="L1812" s="16"/>
      <c r="M1812" s="4"/>
      <c r="N1812" s="4"/>
      <c r="O1812" s="4"/>
      <c r="P1812" s="4"/>
      <c r="Q1812" s="4"/>
      <c r="R1812" s="4"/>
      <c r="S1812" s="4">
        <v>0</v>
      </c>
      <c r="T1812" s="4">
        <v>0</v>
      </c>
      <c r="U1812" s="4">
        <v>0</v>
      </c>
      <c r="V1812" s="4">
        <v>12</v>
      </c>
      <c r="W1812" s="4">
        <v>12</v>
      </c>
      <c r="X1812" s="4">
        <v>37</v>
      </c>
      <c r="Y1812" s="4">
        <v>2055.5</v>
      </c>
      <c r="Z1812" s="4">
        <v>137.79999999999998</v>
      </c>
      <c r="AA1812" s="4">
        <v>150</v>
      </c>
      <c r="AB1812" s="18"/>
      <c r="AC1812" s="18">
        <v>34</v>
      </c>
      <c r="AD1812" s="28"/>
      <c r="AE1812" s="26"/>
      <c r="AF1812" s="28"/>
    </row>
    <row r="1813" spans="1:32" ht="13.5" customHeight="1" x14ac:dyDescent="0.25">
      <c r="A1813" s="14">
        <v>45889</v>
      </c>
      <c r="B1813" s="14" t="s">
        <v>47</v>
      </c>
      <c r="C1813" s="15">
        <v>1</v>
      </c>
      <c r="D1813" s="16">
        <v>1</v>
      </c>
      <c r="E1813" s="16"/>
      <c r="F1813" s="17"/>
      <c r="G1813" s="21"/>
      <c r="H1813" s="21"/>
      <c r="I1813" s="4">
        <v>1</v>
      </c>
      <c r="J1813" s="4">
        <v>1.6666666666666666E-2</v>
      </c>
      <c r="K1813" s="4"/>
      <c r="L1813" s="16"/>
      <c r="M1813" s="4"/>
      <c r="N1813" s="4"/>
      <c r="O1813" s="4"/>
      <c r="P1813" s="4"/>
      <c r="Q1813" s="4"/>
      <c r="R1813" s="4"/>
      <c r="S1813" s="4">
        <v>0</v>
      </c>
      <c r="T1813" s="4">
        <v>0</v>
      </c>
      <c r="U1813" s="4">
        <v>1.6666666666666666E-2</v>
      </c>
      <c r="V1813" s="4">
        <v>11.983333333333333</v>
      </c>
      <c r="W1813" s="4">
        <v>12</v>
      </c>
      <c r="X1813" s="4">
        <v>2</v>
      </c>
      <c r="Y1813" s="4"/>
      <c r="Z1813" s="4">
        <v>90.4</v>
      </c>
      <c r="AA1813" s="4">
        <v>100</v>
      </c>
      <c r="AB1813" s="18"/>
      <c r="AC1813" s="18">
        <v>34</v>
      </c>
      <c r="AD1813" s="28"/>
      <c r="AE1813" s="26"/>
      <c r="AF1813" s="28"/>
    </row>
    <row r="1814" spans="1:32" ht="13.5" customHeight="1" x14ac:dyDescent="0.25">
      <c r="A1814" s="14">
        <v>45889</v>
      </c>
      <c r="B1814" s="14" t="s">
        <v>46</v>
      </c>
      <c r="C1814" s="15">
        <v>2</v>
      </c>
      <c r="D1814" s="16"/>
      <c r="E1814" s="16"/>
      <c r="F1814" s="17"/>
      <c r="G1814" s="21"/>
      <c r="H1814" s="21"/>
      <c r="I1814" s="4">
        <v>0</v>
      </c>
      <c r="J1814" s="4">
        <v>0</v>
      </c>
      <c r="K1814" s="4"/>
      <c r="L1814" s="16"/>
      <c r="M1814" s="4"/>
      <c r="N1814" s="4"/>
      <c r="O1814" s="4"/>
      <c r="P1814" s="4"/>
      <c r="Q1814" s="4"/>
      <c r="R1814" s="4"/>
      <c r="S1814" s="4">
        <v>0</v>
      </c>
      <c r="T1814" s="4">
        <v>0</v>
      </c>
      <c r="U1814" s="4">
        <v>0</v>
      </c>
      <c r="V1814" s="4">
        <v>12</v>
      </c>
      <c r="W1814" s="4">
        <v>12</v>
      </c>
      <c r="X1814" s="4">
        <v>0</v>
      </c>
      <c r="Y1814" s="4"/>
      <c r="Z1814" s="4">
        <v>55.300000000000004</v>
      </c>
      <c r="AA1814" s="4">
        <v>60</v>
      </c>
      <c r="AB1814" s="18"/>
      <c r="AC1814" s="18">
        <v>34</v>
      </c>
      <c r="AD1814" s="28"/>
      <c r="AE1814" s="26"/>
      <c r="AF1814" s="28"/>
    </row>
    <row r="1815" spans="1:32" ht="13.5" customHeight="1" x14ac:dyDescent="0.25">
      <c r="A1815" s="14">
        <v>45889</v>
      </c>
      <c r="B1815" s="14" t="s">
        <v>47</v>
      </c>
      <c r="C1815" s="15">
        <v>2</v>
      </c>
      <c r="D1815" s="16">
        <v>4</v>
      </c>
      <c r="E1815" s="16"/>
      <c r="F1815" s="17"/>
      <c r="G1815" s="21"/>
      <c r="H1815" s="21"/>
      <c r="I1815" s="4">
        <v>4</v>
      </c>
      <c r="J1815" s="4">
        <v>6.6666666666666666E-2</v>
      </c>
      <c r="K1815" s="4"/>
      <c r="L1815" s="16"/>
      <c r="M1815" s="4">
        <v>3</v>
      </c>
      <c r="N1815" s="4"/>
      <c r="O1815" s="4"/>
      <c r="P1815" s="4"/>
      <c r="Q1815" s="4"/>
      <c r="R1815" s="4"/>
      <c r="S1815" s="4">
        <v>3</v>
      </c>
      <c r="T1815" s="4">
        <v>0.05</v>
      </c>
      <c r="U1815" s="4">
        <v>0.11666666666666667</v>
      </c>
      <c r="V1815" s="4">
        <v>11.883333333333333</v>
      </c>
      <c r="W1815" s="4">
        <v>12</v>
      </c>
      <c r="X1815" s="4">
        <v>17</v>
      </c>
      <c r="Y1815" s="4"/>
      <c r="Z1815" s="4">
        <v>194.7</v>
      </c>
      <c r="AA1815" s="4">
        <v>210</v>
      </c>
      <c r="AB1815" s="18"/>
      <c r="AC1815" s="18">
        <v>34</v>
      </c>
      <c r="AD1815" s="28"/>
      <c r="AE1815" s="26"/>
      <c r="AF1815" s="28"/>
    </row>
    <row r="1816" spans="1:32" ht="13.5" customHeight="1" x14ac:dyDescent="0.25">
      <c r="A1816" s="14">
        <v>45889</v>
      </c>
      <c r="B1816" s="14" t="s">
        <v>46</v>
      </c>
      <c r="C1816" s="15">
        <v>3</v>
      </c>
      <c r="D1816" s="16"/>
      <c r="E1816" s="16"/>
      <c r="F1816" s="17"/>
      <c r="G1816" s="21"/>
      <c r="H1816" s="21"/>
      <c r="I1816" s="4">
        <v>0</v>
      </c>
      <c r="J1816" s="4">
        <v>0</v>
      </c>
      <c r="K1816" s="4"/>
      <c r="L1816" s="16"/>
      <c r="M1816" s="4"/>
      <c r="N1816" s="4"/>
      <c r="O1816" s="4"/>
      <c r="P1816" s="4"/>
      <c r="Q1816" s="4"/>
      <c r="R1816" s="4"/>
      <c r="S1816" s="4">
        <v>0</v>
      </c>
      <c r="T1816" s="4">
        <v>0</v>
      </c>
      <c r="U1816" s="4">
        <v>0</v>
      </c>
      <c r="V1816" s="4">
        <v>12</v>
      </c>
      <c r="W1816" s="4">
        <v>12</v>
      </c>
      <c r="X1816" s="4">
        <v>0</v>
      </c>
      <c r="Y1816" s="4"/>
      <c r="Z1816" s="4">
        <v>221.70000000000005</v>
      </c>
      <c r="AA1816" s="4">
        <v>240</v>
      </c>
      <c r="AB1816" s="18"/>
      <c r="AC1816" s="18">
        <v>34</v>
      </c>
      <c r="AD1816" s="28"/>
      <c r="AE1816" s="26"/>
      <c r="AF1816" s="28"/>
    </row>
    <row r="1817" spans="1:32" ht="13.5" customHeight="1" x14ac:dyDescent="0.25">
      <c r="A1817" s="14">
        <v>45889</v>
      </c>
      <c r="B1817" s="14" t="s">
        <v>47</v>
      </c>
      <c r="C1817" s="15">
        <v>3</v>
      </c>
      <c r="D1817" s="16">
        <v>5</v>
      </c>
      <c r="E1817" s="16"/>
      <c r="F1817" s="17"/>
      <c r="G1817" s="21"/>
      <c r="H1817" s="21"/>
      <c r="I1817" s="4">
        <v>5</v>
      </c>
      <c r="J1817" s="4">
        <v>8.3333333333333329E-2</v>
      </c>
      <c r="K1817" s="4"/>
      <c r="L1817" s="16"/>
      <c r="M1817" s="4"/>
      <c r="N1817" s="4"/>
      <c r="O1817" s="4"/>
      <c r="P1817" s="4"/>
      <c r="Q1817" s="4"/>
      <c r="R1817" s="4"/>
      <c r="S1817" s="4">
        <v>0</v>
      </c>
      <c r="T1817" s="4">
        <v>0</v>
      </c>
      <c r="U1817" s="4">
        <v>8.3333333333333329E-2</v>
      </c>
      <c r="V1817" s="4">
        <v>11.916666666666666</v>
      </c>
      <c r="W1817" s="4">
        <v>12</v>
      </c>
      <c r="X1817" s="4">
        <v>7</v>
      </c>
      <c r="Y1817" s="4"/>
      <c r="Z1817" s="4">
        <v>236.20000000000002</v>
      </c>
      <c r="AA1817" s="4">
        <v>250</v>
      </c>
      <c r="AB1817" s="18"/>
      <c r="AC1817" s="18">
        <v>34</v>
      </c>
      <c r="AD1817" s="28"/>
      <c r="AE1817" s="26"/>
      <c r="AF1817" s="28"/>
    </row>
    <row r="1818" spans="1:32" ht="13.5" customHeight="1" x14ac:dyDescent="0.25">
      <c r="A1818" s="14">
        <v>45889</v>
      </c>
      <c r="B1818" s="14" t="s">
        <v>46</v>
      </c>
      <c r="C1818" s="15">
        <v>6</v>
      </c>
      <c r="D1818" s="16"/>
      <c r="E1818" s="16"/>
      <c r="F1818" s="17"/>
      <c r="G1818" s="21"/>
      <c r="H1818" s="21"/>
      <c r="I1818" s="4">
        <v>0</v>
      </c>
      <c r="J1818" s="4">
        <v>0</v>
      </c>
      <c r="K1818" s="4">
        <v>15</v>
      </c>
      <c r="L1818" s="16"/>
      <c r="M1818" s="4"/>
      <c r="N1818" s="4"/>
      <c r="O1818" s="4"/>
      <c r="P1818" s="4"/>
      <c r="Q1818" s="4"/>
      <c r="R1818" s="4"/>
      <c r="S1818" s="4">
        <v>15</v>
      </c>
      <c r="T1818" s="4">
        <v>0.25</v>
      </c>
      <c r="U1818" s="4">
        <v>0.25</v>
      </c>
      <c r="V1818" s="4">
        <v>11.75</v>
      </c>
      <c r="W1818" s="4">
        <v>12</v>
      </c>
      <c r="X1818" s="4">
        <v>0</v>
      </c>
      <c r="Y1818" s="4"/>
      <c r="Z1818" s="4">
        <v>552</v>
      </c>
      <c r="AA1818" s="4">
        <v>570</v>
      </c>
      <c r="AB1818" s="18"/>
      <c r="AC1818" s="18">
        <v>34</v>
      </c>
      <c r="AD1818" s="28"/>
      <c r="AE1818" s="26"/>
      <c r="AF1818" s="28"/>
    </row>
    <row r="1819" spans="1:32" ht="13.5" customHeight="1" x14ac:dyDescent="0.25">
      <c r="A1819" s="14">
        <v>45889</v>
      </c>
      <c r="B1819" s="14" t="s">
        <v>47</v>
      </c>
      <c r="C1819" s="15">
        <v>6</v>
      </c>
      <c r="D1819" s="16">
        <v>20</v>
      </c>
      <c r="E1819" s="16"/>
      <c r="F1819" s="17"/>
      <c r="G1819" s="21"/>
      <c r="H1819" s="21"/>
      <c r="I1819" s="4">
        <v>20</v>
      </c>
      <c r="J1819" s="4">
        <v>0.33333333333333331</v>
      </c>
      <c r="K1819" s="4"/>
      <c r="L1819" s="16"/>
      <c r="M1819" s="4"/>
      <c r="N1819" s="4">
        <v>5</v>
      </c>
      <c r="O1819" s="4"/>
      <c r="P1819" s="4"/>
      <c r="Q1819" s="4"/>
      <c r="R1819" s="4"/>
      <c r="S1819" s="4">
        <v>5</v>
      </c>
      <c r="T1819" s="4">
        <v>8.3333333333333329E-2</v>
      </c>
      <c r="U1819" s="4">
        <v>0.41666666666666663</v>
      </c>
      <c r="V1819" s="4">
        <v>11.583333333333334</v>
      </c>
      <c r="W1819" s="4">
        <v>12</v>
      </c>
      <c r="X1819" s="4">
        <v>13</v>
      </c>
      <c r="Y1819" s="4"/>
      <c r="Z1819" s="4">
        <v>489.59999999999991</v>
      </c>
      <c r="AA1819" s="4">
        <v>500</v>
      </c>
      <c r="AB1819" s="18"/>
      <c r="AC1819" s="18">
        <v>34</v>
      </c>
      <c r="AD1819" s="28"/>
      <c r="AE1819" s="26"/>
      <c r="AF1819" s="28"/>
    </row>
    <row r="1820" spans="1:32" ht="13.5" customHeight="1" x14ac:dyDescent="0.25">
      <c r="A1820" s="14">
        <v>45889</v>
      </c>
      <c r="B1820" s="14" t="s">
        <v>46</v>
      </c>
      <c r="C1820" s="15">
        <v>7</v>
      </c>
      <c r="D1820" s="16"/>
      <c r="E1820" s="16"/>
      <c r="F1820" s="17"/>
      <c r="G1820" s="21"/>
      <c r="H1820" s="21"/>
      <c r="I1820" s="4">
        <v>0</v>
      </c>
      <c r="J1820" s="4">
        <v>0</v>
      </c>
      <c r="K1820" s="4"/>
      <c r="L1820" s="16"/>
      <c r="M1820" s="4"/>
      <c r="N1820" s="4"/>
      <c r="O1820" s="4"/>
      <c r="P1820" s="4"/>
      <c r="Q1820" s="4"/>
      <c r="R1820" s="4"/>
      <c r="S1820" s="4">
        <v>0</v>
      </c>
      <c r="T1820" s="4">
        <v>0</v>
      </c>
      <c r="U1820" s="4">
        <v>0</v>
      </c>
      <c r="V1820" s="4">
        <v>12</v>
      </c>
      <c r="W1820" s="4">
        <v>12</v>
      </c>
      <c r="X1820" s="4">
        <v>0</v>
      </c>
      <c r="Y1820" s="4"/>
      <c r="Z1820" s="4">
        <v>402</v>
      </c>
      <c r="AA1820" s="4">
        <v>410</v>
      </c>
      <c r="AB1820" s="18"/>
      <c r="AC1820" s="18">
        <v>34</v>
      </c>
      <c r="AD1820" s="28"/>
      <c r="AE1820" s="26"/>
      <c r="AF1820" s="28"/>
    </row>
    <row r="1821" spans="1:32" ht="13.5" customHeight="1" x14ac:dyDescent="0.25">
      <c r="A1821" s="14">
        <v>45889</v>
      </c>
      <c r="B1821" s="14" t="s">
        <v>47</v>
      </c>
      <c r="C1821" s="15">
        <v>7</v>
      </c>
      <c r="D1821" s="16">
        <v>2</v>
      </c>
      <c r="E1821" s="16"/>
      <c r="F1821" s="17"/>
      <c r="G1821" s="21"/>
      <c r="H1821" s="21"/>
      <c r="I1821" s="4">
        <v>2</v>
      </c>
      <c r="J1821" s="4">
        <v>3.3333333333333333E-2</v>
      </c>
      <c r="K1821" s="4"/>
      <c r="L1821" s="16"/>
      <c r="M1821" s="4"/>
      <c r="N1821" s="4"/>
      <c r="O1821" s="4"/>
      <c r="P1821" s="4"/>
      <c r="Q1821" s="4"/>
      <c r="R1821" s="4"/>
      <c r="S1821" s="4">
        <v>0</v>
      </c>
      <c r="T1821" s="4">
        <v>0</v>
      </c>
      <c r="U1821" s="4">
        <v>3.3333333333333333E-2</v>
      </c>
      <c r="V1821" s="4">
        <v>11.966666666666667</v>
      </c>
      <c r="W1821" s="4">
        <v>12</v>
      </c>
      <c r="X1821" s="4">
        <v>2</v>
      </c>
      <c r="Y1821" s="4"/>
      <c r="Z1821" s="4">
        <v>353.20000000000005</v>
      </c>
      <c r="AA1821" s="4">
        <v>410</v>
      </c>
      <c r="AB1821" s="18"/>
      <c r="AC1821" s="18">
        <v>34</v>
      </c>
      <c r="AD1821" s="28"/>
      <c r="AE1821" s="26"/>
      <c r="AF1821" s="28"/>
    </row>
    <row r="1822" spans="1:32" ht="13.5" customHeight="1" x14ac:dyDescent="0.25">
      <c r="A1822" s="14">
        <v>45890</v>
      </c>
      <c r="B1822" s="14" t="s">
        <v>46</v>
      </c>
      <c r="C1822" s="15">
        <v>1</v>
      </c>
      <c r="D1822" s="16"/>
      <c r="E1822" s="16"/>
      <c r="F1822" s="17"/>
      <c r="G1822" s="21"/>
      <c r="H1822" s="21"/>
      <c r="I1822" s="4">
        <v>0</v>
      </c>
      <c r="J1822" s="4">
        <v>0</v>
      </c>
      <c r="K1822" s="4"/>
      <c r="L1822" s="16"/>
      <c r="M1822" s="4"/>
      <c r="N1822" s="4"/>
      <c r="O1822" s="4"/>
      <c r="P1822" s="4"/>
      <c r="Q1822" s="4"/>
      <c r="R1822" s="4"/>
      <c r="S1822" s="4">
        <v>0</v>
      </c>
      <c r="T1822" s="4">
        <v>0</v>
      </c>
      <c r="U1822" s="4">
        <v>0</v>
      </c>
      <c r="V1822" s="4">
        <v>12</v>
      </c>
      <c r="W1822" s="4">
        <v>12</v>
      </c>
      <c r="X1822" s="4">
        <v>19.559999999999999</v>
      </c>
      <c r="Y1822" s="4">
        <v>1920</v>
      </c>
      <c r="Z1822" s="4">
        <v>165.76</v>
      </c>
      <c r="AA1822" s="4">
        <v>175</v>
      </c>
      <c r="AB1822" s="18"/>
      <c r="AC1822" s="18">
        <v>34</v>
      </c>
      <c r="AD1822" s="28"/>
      <c r="AE1822" s="26"/>
      <c r="AF1822" s="28"/>
    </row>
    <row r="1823" spans="1:32" ht="13.5" customHeight="1" x14ac:dyDescent="0.25">
      <c r="A1823" s="14">
        <v>45890</v>
      </c>
      <c r="B1823" s="14" t="s">
        <v>47</v>
      </c>
      <c r="C1823" s="15">
        <v>1</v>
      </c>
      <c r="D1823" s="16"/>
      <c r="E1823" s="16"/>
      <c r="F1823" s="17"/>
      <c r="G1823" s="21"/>
      <c r="H1823" s="21"/>
      <c r="I1823" s="4">
        <v>0</v>
      </c>
      <c r="J1823" s="4">
        <v>0</v>
      </c>
      <c r="K1823" s="4"/>
      <c r="L1823" s="16"/>
      <c r="M1823" s="4"/>
      <c r="N1823" s="4"/>
      <c r="O1823" s="4"/>
      <c r="P1823" s="4"/>
      <c r="Q1823" s="4"/>
      <c r="R1823" s="4"/>
      <c r="S1823" s="4">
        <v>0</v>
      </c>
      <c r="T1823" s="4">
        <v>0</v>
      </c>
      <c r="U1823" s="4">
        <v>0</v>
      </c>
      <c r="V1823" s="4">
        <v>12</v>
      </c>
      <c r="W1823" s="4">
        <v>12</v>
      </c>
      <c r="X1823" s="4">
        <v>19.559999999999999</v>
      </c>
      <c r="Y1823" s="4"/>
      <c r="Z1823" s="4">
        <v>147.70000000000002</v>
      </c>
      <c r="AA1823" s="4">
        <v>160</v>
      </c>
      <c r="AB1823" s="18"/>
      <c r="AC1823" s="18">
        <v>34</v>
      </c>
      <c r="AD1823" s="28"/>
      <c r="AE1823" s="26"/>
      <c r="AF1823" s="28"/>
    </row>
    <row r="1824" spans="1:32" ht="13.5" customHeight="1" x14ac:dyDescent="0.25">
      <c r="A1824" s="14">
        <v>45890</v>
      </c>
      <c r="B1824" s="14" t="s">
        <v>46</v>
      </c>
      <c r="C1824" s="15">
        <v>2</v>
      </c>
      <c r="D1824" s="16"/>
      <c r="E1824" s="16"/>
      <c r="F1824" s="17"/>
      <c r="G1824" s="21"/>
      <c r="H1824" s="21"/>
      <c r="I1824" s="4">
        <v>0</v>
      </c>
      <c r="J1824" s="4">
        <v>0</v>
      </c>
      <c r="K1824" s="4"/>
      <c r="L1824" s="16"/>
      <c r="M1824" s="4">
        <v>720</v>
      </c>
      <c r="N1824" s="4"/>
      <c r="O1824" s="4"/>
      <c r="P1824" s="4"/>
      <c r="Q1824" s="4"/>
      <c r="R1824" s="4"/>
      <c r="S1824" s="4">
        <v>720</v>
      </c>
      <c r="T1824" s="4">
        <v>12</v>
      </c>
      <c r="U1824" s="4">
        <v>12</v>
      </c>
      <c r="V1824" s="4">
        <v>0</v>
      </c>
      <c r="W1824" s="4">
        <v>12</v>
      </c>
      <c r="X1824" s="4">
        <v>19.559999999999999</v>
      </c>
      <c r="Y1824" s="4"/>
      <c r="Z1824" s="4">
        <v>100.4</v>
      </c>
      <c r="AA1824" s="4">
        <v>110</v>
      </c>
      <c r="AB1824" s="18"/>
      <c r="AC1824" s="18">
        <v>34</v>
      </c>
      <c r="AD1824" s="28"/>
      <c r="AE1824" s="26"/>
      <c r="AF1824" s="28"/>
    </row>
    <row r="1825" spans="1:32" ht="13.5" customHeight="1" x14ac:dyDescent="0.25">
      <c r="A1825" s="14">
        <v>45890</v>
      </c>
      <c r="B1825" s="14" t="s">
        <v>46</v>
      </c>
      <c r="C1825" s="15">
        <v>3</v>
      </c>
      <c r="D1825" s="16"/>
      <c r="E1825" s="16"/>
      <c r="F1825" s="17"/>
      <c r="G1825" s="21"/>
      <c r="H1825" s="21"/>
      <c r="I1825" s="4">
        <v>0</v>
      </c>
      <c r="J1825" s="4">
        <v>0</v>
      </c>
      <c r="K1825" s="4"/>
      <c r="L1825" s="16"/>
      <c r="M1825" s="4">
        <v>45</v>
      </c>
      <c r="N1825" s="4"/>
      <c r="O1825" s="4"/>
      <c r="P1825" s="4"/>
      <c r="Q1825" s="4">
        <v>20</v>
      </c>
      <c r="R1825" s="4"/>
      <c r="S1825" s="4">
        <v>65</v>
      </c>
      <c r="T1825" s="4">
        <v>1.0833333333333333</v>
      </c>
      <c r="U1825" s="4">
        <v>1.0833333333333333</v>
      </c>
      <c r="V1825" s="4">
        <v>10.916666666666666</v>
      </c>
      <c r="W1825" s="4">
        <v>12</v>
      </c>
      <c r="X1825" s="4">
        <v>19.559999999999999</v>
      </c>
      <c r="Y1825" s="4"/>
      <c r="Z1825" s="4">
        <v>219.4</v>
      </c>
      <c r="AA1825" s="4">
        <v>230</v>
      </c>
      <c r="AB1825" s="18"/>
      <c r="AC1825" s="18">
        <v>34</v>
      </c>
      <c r="AD1825" s="28"/>
      <c r="AE1825" s="26"/>
      <c r="AF1825" s="28"/>
    </row>
    <row r="1826" spans="1:32" ht="13.5" customHeight="1" x14ac:dyDescent="0.25">
      <c r="A1826" s="14">
        <v>45890</v>
      </c>
      <c r="B1826" s="14" t="s">
        <v>47</v>
      </c>
      <c r="C1826" s="15">
        <v>3</v>
      </c>
      <c r="D1826" s="16">
        <v>20</v>
      </c>
      <c r="E1826" s="16"/>
      <c r="F1826" s="17"/>
      <c r="G1826" s="21"/>
      <c r="H1826" s="21"/>
      <c r="I1826" s="4">
        <v>20</v>
      </c>
      <c r="J1826" s="4">
        <v>0.33333333333333331</v>
      </c>
      <c r="K1826" s="4"/>
      <c r="L1826" s="16"/>
      <c r="M1826" s="4"/>
      <c r="N1826" s="4"/>
      <c r="O1826" s="4"/>
      <c r="P1826" s="4"/>
      <c r="Q1826" s="4">
        <v>180</v>
      </c>
      <c r="R1826" s="4"/>
      <c r="S1826" s="4">
        <v>180</v>
      </c>
      <c r="T1826" s="4">
        <v>3</v>
      </c>
      <c r="U1826" s="4">
        <v>3.3333333333333335</v>
      </c>
      <c r="V1826" s="4">
        <v>8.6666666666666661</v>
      </c>
      <c r="W1826" s="4">
        <v>12</v>
      </c>
      <c r="X1826" s="4">
        <v>19.559999999999999</v>
      </c>
      <c r="Y1826" s="4"/>
      <c r="Z1826" s="4">
        <v>301.10000000000002</v>
      </c>
      <c r="AA1826" s="4">
        <v>315</v>
      </c>
      <c r="AB1826" s="18"/>
      <c r="AC1826" s="18">
        <v>34</v>
      </c>
      <c r="AD1826" s="28"/>
      <c r="AE1826" s="26"/>
      <c r="AF1826" s="28"/>
    </row>
    <row r="1827" spans="1:32" ht="13.5" customHeight="1" x14ac:dyDescent="0.25">
      <c r="A1827" s="14">
        <v>45890</v>
      </c>
      <c r="B1827" s="14" t="s">
        <v>46</v>
      </c>
      <c r="C1827" s="15">
        <v>6</v>
      </c>
      <c r="D1827" s="16">
        <v>10</v>
      </c>
      <c r="E1827" s="16"/>
      <c r="F1827" s="17"/>
      <c r="G1827" s="21"/>
      <c r="H1827" s="21"/>
      <c r="I1827" s="4">
        <v>10</v>
      </c>
      <c r="J1827" s="4">
        <v>0.16666666666666666</v>
      </c>
      <c r="K1827" s="4"/>
      <c r="L1827" s="16">
        <v>10</v>
      </c>
      <c r="M1827" s="4"/>
      <c r="N1827" s="4">
        <v>7</v>
      </c>
      <c r="O1827" s="4"/>
      <c r="P1827" s="4"/>
      <c r="Q1827" s="4"/>
      <c r="R1827" s="4"/>
      <c r="S1827" s="4">
        <v>17</v>
      </c>
      <c r="T1827" s="4">
        <v>0.28333333333333333</v>
      </c>
      <c r="U1827" s="4">
        <v>0.44999999999999996</v>
      </c>
      <c r="V1827" s="4">
        <v>11.55</v>
      </c>
      <c r="W1827" s="4">
        <v>12</v>
      </c>
      <c r="X1827" s="4">
        <v>19.559999999999999</v>
      </c>
      <c r="Y1827" s="4"/>
      <c r="Z1827" s="4">
        <v>629.4</v>
      </c>
      <c r="AA1827" s="4">
        <v>640</v>
      </c>
      <c r="AB1827" s="18"/>
      <c r="AC1827" s="18">
        <v>34</v>
      </c>
      <c r="AD1827" s="28"/>
      <c r="AE1827" s="26"/>
      <c r="AF1827" s="28"/>
    </row>
    <row r="1828" spans="1:32" ht="13.5" customHeight="1" x14ac:dyDescent="0.25">
      <c r="A1828" s="14">
        <v>45890</v>
      </c>
      <c r="B1828" s="14" t="s">
        <v>47</v>
      </c>
      <c r="C1828" s="15">
        <v>6</v>
      </c>
      <c r="D1828" s="16">
        <v>22</v>
      </c>
      <c r="E1828" s="16"/>
      <c r="F1828" s="17"/>
      <c r="G1828" s="21"/>
      <c r="H1828" s="21"/>
      <c r="I1828" s="4">
        <v>22</v>
      </c>
      <c r="J1828" s="4">
        <v>0.36666666666666664</v>
      </c>
      <c r="K1828" s="4"/>
      <c r="L1828" s="16"/>
      <c r="M1828" s="4"/>
      <c r="N1828" s="4"/>
      <c r="O1828" s="4"/>
      <c r="P1828" s="4"/>
      <c r="Q1828" s="4"/>
      <c r="R1828" s="4"/>
      <c r="S1828" s="4">
        <v>0</v>
      </c>
      <c r="T1828" s="4">
        <v>0</v>
      </c>
      <c r="U1828" s="4">
        <v>0.36666666666666664</v>
      </c>
      <c r="V1828" s="4">
        <v>11.633333333333333</v>
      </c>
      <c r="W1828" s="4">
        <v>12</v>
      </c>
      <c r="X1828" s="4">
        <v>19.559999999999999</v>
      </c>
      <c r="Y1828" s="4"/>
      <c r="Z1828" s="4">
        <v>722.2</v>
      </c>
      <c r="AA1828" s="4">
        <v>735</v>
      </c>
      <c r="AB1828" s="18"/>
      <c r="AC1828" s="18">
        <v>34</v>
      </c>
      <c r="AD1828" s="28"/>
      <c r="AE1828" s="26"/>
      <c r="AF1828" s="28"/>
    </row>
    <row r="1829" spans="1:32" ht="13.5" customHeight="1" x14ac:dyDescent="0.25">
      <c r="A1829" s="14">
        <v>45890</v>
      </c>
      <c r="B1829" s="14" t="s">
        <v>46</v>
      </c>
      <c r="C1829" s="15">
        <v>7</v>
      </c>
      <c r="D1829" s="16"/>
      <c r="E1829" s="16"/>
      <c r="F1829" s="17"/>
      <c r="G1829" s="21"/>
      <c r="H1829" s="21"/>
      <c r="I1829" s="4">
        <v>0</v>
      </c>
      <c r="J1829" s="4">
        <v>0</v>
      </c>
      <c r="K1829" s="4"/>
      <c r="L1829" s="16"/>
      <c r="M1829" s="4"/>
      <c r="N1829" s="4"/>
      <c r="O1829" s="4"/>
      <c r="P1829" s="4"/>
      <c r="Q1829" s="4"/>
      <c r="R1829" s="4"/>
      <c r="S1829" s="4">
        <v>0</v>
      </c>
      <c r="T1829" s="4">
        <v>0</v>
      </c>
      <c r="U1829" s="4">
        <v>0</v>
      </c>
      <c r="V1829" s="4">
        <v>12</v>
      </c>
      <c r="W1829" s="4">
        <v>12</v>
      </c>
      <c r="X1829" s="4">
        <v>19.559999999999999</v>
      </c>
      <c r="Y1829" s="4"/>
      <c r="Z1829" s="4">
        <v>305</v>
      </c>
      <c r="AA1829" s="4">
        <v>315</v>
      </c>
      <c r="AB1829" s="18"/>
      <c r="AC1829" s="18">
        <v>34</v>
      </c>
      <c r="AD1829" s="28"/>
      <c r="AE1829" s="26"/>
      <c r="AF1829" s="28"/>
    </row>
    <row r="1830" spans="1:32" ht="13.5" customHeight="1" x14ac:dyDescent="0.25">
      <c r="A1830" s="14">
        <v>45890</v>
      </c>
      <c r="B1830" s="14" t="s">
        <v>47</v>
      </c>
      <c r="C1830" s="15">
        <v>7</v>
      </c>
      <c r="D1830" s="16"/>
      <c r="E1830" s="16"/>
      <c r="F1830" s="17"/>
      <c r="G1830" s="21"/>
      <c r="H1830" s="21"/>
      <c r="I1830" s="4">
        <v>0</v>
      </c>
      <c r="J1830" s="4">
        <v>0</v>
      </c>
      <c r="K1830" s="4"/>
      <c r="L1830" s="16"/>
      <c r="M1830" s="4"/>
      <c r="N1830" s="4"/>
      <c r="O1830" s="4"/>
      <c r="P1830" s="4"/>
      <c r="Q1830" s="4"/>
      <c r="R1830" s="4"/>
      <c r="S1830" s="4">
        <v>0</v>
      </c>
      <c r="T1830" s="4">
        <v>0</v>
      </c>
      <c r="U1830" s="4">
        <v>0</v>
      </c>
      <c r="V1830" s="4">
        <v>12</v>
      </c>
      <c r="W1830" s="4">
        <v>12</v>
      </c>
      <c r="X1830" s="4">
        <v>19.559999999999999</v>
      </c>
      <c r="Y1830" s="4"/>
      <c r="Z1830" s="4">
        <v>310.29999999999995</v>
      </c>
      <c r="AA1830" s="4">
        <v>320</v>
      </c>
      <c r="AB1830" s="18"/>
      <c r="AC1830" s="18">
        <v>34</v>
      </c>
      <c r="AD1830" s="28"/>
      <c r="AE1830" s="26"/>
      <c r="AF1830" s="28"/>
    </row>
    <row r="1831" spans="1:32" ht="13.5" customHeight="1" x14ac:dyDescent="0.25">
      <c r="A1831" s="14">
        <v>45891</v>
      </c>
      <c r="B1831" s="14" t="s">
        <v>46</v>
      </c>
      <c r="C1831" s="15">
        <v>1</v>
      </c>
      <c r="D1831" s="16"/>
      <c r="E1831" s="16"/>
      <c r="F1831" s="17"/>
      <c r="G1831" s="21"/>
      <c r="H1831" s="21"/>
      <c r="I1831" s="4">
        <v>0</v>
      </c>
      <c r="J1831" s="4">
        <v>0</v>
      </c>
      <c r="K1831" s="4"/>
      <c r="L1831" s="16"/>
      <c r="M1831" s="4"/>
      <c r="N1831" s="4"/>
      <c r="O1831" s="4"/>
      <c r="P1831" s="4"/>
      <c r="Q1831" s="4"/>
      <c r="R1831" s="4"/>
      <c r="S1831" s="4">
        <v>0</v>
      </c>
      <c r="T1831" s="4">
        <v>0</v>
      </c>
      <c r="U1831" s="4">
        <v>0</v>
      </c>
      <c r="V1831" s="4">
        <v>12</v>
      </c>
      <c r="W1831" s="4">
        <v>12</v>
      </c>
      <c r="X1831" s="4">
        <v>11.3</v>
      </c>
      <c r="Y1831" s="4">
        <v>2058.5</v>
      </c>
      <c r="Z1831" s="4">
        <v>185.8</v>
      </c>
      <c r="AA1831" s="4">
        <v>190</v>
      </c>
      <c r="AB1831" s="18"/>
      <c r="AC1831" s="18">
        <v>34</v>
      </c>
      <c r="AD1831" s="28"/>
      <c r="AE1831" s="26"/>
      <c r="AF1831" s="28"/>
    </row>
    <row r="1832" spans="1:32" ht="13.5" customHeight="1" x14ac:dyDescent="0.25">
      <c r="A1832" s="14">
        <v>45891</v>
      </c>
      <c r="B1832" s="14" t="s">
        <v>47</v>
      </c>
      <c r="C1832" s="15">
        <v>1</v>
      </c>
      <c r="D1832" s="16">
        <v>2</v>
      </c>
      <c r="E1832" s="16"/>
      <c r="F1832" s="17"/>
      <c r="G1832" s="21"/>
      <c r="H1832" s="21"/>
      <c r="I1832" s="4">
        <v>2</v>
      </c>
      <c r="J1832" s="4">
        <v>3.3333333333333333E-2</v>
      </c>
      <c r="K1832" s="4"/>
      <c r="L1832" s="16"/>
      <c r="M1832" s="4"/>
      <c r="N1832" s="4"/>
      <c r="O1832" s="4"/>
      <c r="P1832" s="4"/>
      <c r="Q1832" s="4"/>
      <c r="R1832" s="4"/>
      <c r="S1832" s="4">
        <v>0</v>
      </c>
      <c r="T1832" s="4">
        <v>0</v>
      </c>
      <c r="U1832" s="4">
        <v>3.3333333333333333E-2</v>
      </c>
      <c r="V1832" s="4">
        <v>11.966666666666667</v>
      </c>
      <c r="W1832" s="4">
        <v>12</v>
      </c>
      <c r="X1832" s="4">
        <v>11.3</v>
      </c>
      <c r="Y1832" s="4"/>
      <c r="Z1832" s="4">
        <v>160</v>
      </c>
      <c r="AA1832" s="4">
        <v>160</v>
      </c>
      <c r="AB1832" s="18"/>
      <c r="AC1832" s="18">
        <v>34</v>
      </c>
      <c r="AD1832" s="28"/>
      <c r="AE1832" s="26"/>
      <c r="AF1832" s="28"/>
    </row>
    <row r="1833" spans="1:32" ht="13.5" customHeight="1" x14ac:dyDescent="0.25">
      <c r="A1833" s="14">
        <v>45891</v>
      </c>
      <c r="B1833" s="14" t="s">
        <v>47</v>
      </c>
      <c r="C1833" s="15">
        <v>2</v>
      </c>
      <c r="D1833" s="16"/>
      <c r="E1833" s="16"/>
      <c r="F1833" s="17">
        <v>240</v>
      </c>
      <c r="G1833" s="21"/>
      <c r="H1833" s="21"/>
      <c r="I1833" s="4">
        <v>240</v>
      </c>
      <c r="J1833" s="4">
        <v>4</v>
      </c>
      <c r="K1833" s="4"/>
      <c r="L1833" s="16"/>
      <c r="M1833" s="4"/>
      <c r="N1833" s="4"/>
      <c r="O1833" s="4"/>
      <c r="P1833" s="4"/>
      <c r="Q1833" s="4"/>
      <c r="R1833" s="4"/>
      <c r="S1833" s="4">
        <v>0</v>
      </c>
      <c r="T1833" s="4">
        <v>0</v>
      </c>
      <c r="U1833" s="4">
        <v>4</v>
      </c>
      <c r="V1833" s="4">
        <v>8</v>
      </c>
      <c r="W1833" s="4">
        <v>12</v>
      </c>
      <c r="X1833" s="4">
        <v>11.3</v>
      </c>
      <c r="Y1833" s="4"/>
      <c r="Z1833" s="4">
        <v>89</v>
      </c>
      <c r="AA1833" s="4">
        <v>95</v>
      </c>
      <c r="AB1833" s="18"/>
      <c r="AC1833" s="18">
        <v>34</v>
      </c>
      <c r="AD1833" s="28"/>
      <c r="AE1833" s="26"/>
      <c r="AF1833" s="28"/>
    </row>
    <row r="1834" spans="1:32" ht="13.5" customHeight="1" x14ac:dyDescent="0.25">
      <c r="A1834" s="14">
        <v>45891</v>
      </c>
      <c r="B1834" s="14" t="s">
        <v>46</v>
      </c>
      <c r="C1834" s="15">
        <v>3</v>
      </c>
      <c r="D1834" s="16">
        <v>5</v>
      </c>
      <c r="E1834" s="16"/>
      <c r="F1834" s="17"/>
      <c r="G1834" s="21"/>
      <c r="H1834" s="21"/>
      <c r="I1834" s="4">
        <v>5</v>
      </c>
      <c r="J1834" s="4">
        <v>8.3333333333333329E-2</v>
      </c>
      <c r="K1834" s="4"/>
      <c r="L1834" s="16"/>
      <c r="M1834" s="4"/>
      <c r="N1834" s="4"/>
      <c r="O1834" s="4"/>
      <c r="P1834" s="4"/>
      <c r="Q1834" s="4"/>
      <c r="R1834" s="4"/>
      <c r="S1834" s="4">
        <v>0</v>
      </c>
      <c r="T1834" s="4">
        <v>0</v>
      </c>
      <c r="U1834" s="4">
        <v>8.3333333333333329E-2</v>
      </c>
      <c r="V1834" s="4">
        <v>11.916666666666666</v>
      </c>
      <c r="W1834" s="4">
        <v>12</v>
      </c>
      <c r="X1834" s="4">
        <v>11.3</v>
      </c>
      <c r="Y1834" s="4"/>
      <c r="Z1834" s="4">
        <v>420.40000000000003</v>
      </c>
      <c r="AA1834" s="4">
        <v>425</v>
      </c>
      <c r="AB1834" s="18"/>
      <c r="AC1834" s="18">
        <v>34</v>
      </c>
      <c r="AD1834" s="28"/>
      <c r="AE1834" s="26"/>
      <c r="AF1834" s="28"/>
    </row>
    <row r="1835" spans="1:32" ht="13.5" customHeight="1" x14ac:dyDescent="0.25">
      <c r="A1835" s="14">
        <v>45891</v>
      </c>
      <c r="B1835" s="14" t="s">
        <v>47</v>
      </c>
      <c r="C1835" s="15">
        <v>3</v>
      </c>
      <c r="D1835" s="16"/>
      <c r="E1835" s="16"/>
      <c r="F1835" s="17"/>
      <c r="G1835" s="21"/>
      <c r="H1835" s="21"/>
      <c r="I1835" s="4">
        <v>0</v>
      </c>
      <c r="J1835" s="4">
        <v>0</v>
      </c>
      <c r="K1835" s="4"/>
      <c r="L1835" s="16"/>
      <c r="M1835" s="4"/>
      <c r="N1835" s="4"/>
      <c r="O1835" s="4"/>
      <c r="P1835" s="4"/>
      <c r="Q1835" s="4"/>
      <c r="R1835" s="4"/>
      <c r="S1835" s="4">
        <v>0</v>
      </c>
      <c r="T1835" s="4">
        <v>0</v>
      </c>
      <c r="U1835" s="4">
        <v>0</v>
      </c>
      <c r="V1835" s="4">
        <v>12</v>
      </c>
      <c r="W1835" s="4">
        <v>12</v>
      </c>
      <c r="X1835" s="4">
        <v>11.3</v>
      </c>
      <c r="Y1835" s="4"/>
      <c r="Z1835" s="4">
        <v>321.89999999999998</v>
      </c>
      <c r="AA1835" s="4">
        <v>325</v>
      </c>
      <c r="AB1835" s="18"/>
      <c r="AC1835" s="18">
        <v>34</v>
      </c>
      <c r="AD1835" s="28"/>
      <c r="AE1835" s="26"/>
      <c r="AF1835" s="28"/>
    </row>
    <row r="1836" spans="1:32" ht="13.5" customHeight="1" x14ac:dyDescent="0.25">
      <c r="A1836" s="14">
        <v>45891</v>
      </c>
      <c r="B1836" s="14" t="s">
        <v>46</v>
      </c>
      <c r="C1836" s="15">
        <v>6</v>
      </c>
      <c r="D1836" s="16">
        <v>5</v>
      </c>
      <c r="E1836" s="16"/>
      <c r="F1836" s="17"/>
      <c r="G1836" s="21"/>
      <c r="H1836" s="21"/>
      <c r="I1836" s="4">
        <v>5</v>
      </c>
      <c r="J1836" s="4">
        <v>8.3333333333333329E-2</v>
      </c>
      <c r="K1836" s="4"/>
      <c r="L1836" s="16"/>
      <c r="M1836" s="4"/>
      <c r="N1836" s="4"/>
      <c r="O1836" s="4"/>
      <c r="P1836" s="4"/>
      <c r="Q1836" s="4"/>
      <c r="R1836" s="4"/>
      <c r="S1836" s="4">
        <v>0</v>
      </c>
      <c r="T1836" s="4">
        <v>0</v>
      </c>
      <c r="U1836" s="4">
        <v>8.3333333333333329E-2</v>
      </c>
      <c r="V1836" s="4">
        <v>11.916666666666666</v>
      </c>
      <c r="W1836" s="4">
        <v>12</v>
      </c>
      <c r="X1836" s="4">
        <v>11.3</v>
      </c>
      <c r="Y1836" s="4"/>
      <c r="Z1836" s="4">
        <v>569.39999999999986</v>
      </c>
      <c r="AA1836" s="4">
        <v>575</v>
      </c>
      <c r="AB1836" s="18"/>
      <c r="AC1836" s="18">
        <v>34</v>
      </c>
      <c r="AD1836" s="28"/>
      <c r="AE1836" s="26"/>
      <c r="AF1836" s="28"/>
    </row>
    <row r="1837" spans="1:32" ht="13.5" customHeight="1" x14ac:dyDescent="0.25">
      <c r="A1837" s="14">
        <v>45891</v>
      </c>
      <c r="B1837" s="14" t="s">
        <v>47</v>
      </c>
      <c r="C1837" s="15">
        <v>6</v>
      </c>
      <c r="D1837" s="16"/>
      <c r="E1837" s="16"/>
      <c r="F1837" s="17"/>
      <c r="G1837" s="21"/>
      <c r="H1837" s="21"/>
      <c r="I1837" s="4">
        <v>0</v>
      </c>
      <c r="J1837" s="4">
        <v>0</v>
      </c>
      <c r="K1837" s="4"/>
      <c r="L1837" s="16"/>
      <c r="M1837" s="4"/>
      <c r="N1837" s="4"/>
      <c r="O1837" s="4"/>
      <c r="P1837" s="4"/>
      <c r="Q1837" s="4"/>
      <c r="R1837" s="4"/>
      <c r="S1837" s="4">
        <v>0</v>
      </c>
      <c r="T1837" s="4">
        <v>0</v>
      </c>
      <c r="U1837" s="4">
        <v>0</v>
      </c>
      <c r="V1837" s="4">
        <v>12</v>
      </c>
      <c r="W1837" s="4">
        <v>12</v>
      </c>
      <c r="X1837" s="4">
        <v>11.3</v>
      </c>
      <c r="Y1837" s="4"/>
      <c r="Z1837" s="4">
        <v>536.39999999999986</v>
      </c>
      <c r="AA1837" s="4">
        <v>540</v>
      </c>
      <c r="AB1837" s="18"/>
      <c r="AC1837" s="18">
        <v>34</v>
      </c>
      <c r="AD1837" s="28"/>
      <c r="AE1837" s="26"/>
      <c r="AF1837" s="28"/>
    </row>
    <row r="1838" spans="1:32" ht="13.5" customHeight="1" x14ac:dyDescent="0.25">
      <c r="A1838" s="14">
        <v>45891</v>
      </c>
      <c r="B1838" s="14" t="s">
        <v>46</v>
      </c>
      <c r="C1838" s="15">
        <v>7</v>
      </c>
      <c r="D1838" s="16"/>
      <c r="E1838" s="16"/>
      <c r="F1838" s="17"/>
      <c r="G1838" s="21"/>
      <c r="H1838" s="21"/>
      <c r="I1838" s="4">
        <v>0</v>
      </c>
      <c r="J1838" s="4">
        <v>0</v>
      </c>
      <c r="K1838" s="4"/>
      <c r="L1838" s="16"/>
      <c r="M1838" s="4"/>
      <c r="N1838" s="4"/>
      <c r="O1838" s="4"/>
      <c r="P1838" s="4"/>
      <c r="Q1838" s="4"/>
      <c r="R1838" s="4"/>
      <c r="S1838" s="4">
        <v>0</v>
      </c>
      <c r="T1838" s="4">
        <v>0</v>
      </c>
      <c r="U1838" s="4">
        <v>0</v>
      </c>
      <c r="V1838" s="4">
        <v>12</v>
      </c>
      <c r="W1838" s="4">
        <v>12</v>
      </c>
      <c r="X1838" s="4">
        <v>11.3</v>
      </c>
      <c r="Y1838" s="4"/>
      <c r="Z1838" s="4">
        <v>287.89999999999998</v>
      </c>
      <c r="AA1838" s="4">
        <v>290</v>
      </c>
      <c r="AB1838" s="18"/>
      <c r="AC1838" s="18">
        <v>34</v>
      </c>
      <c r="AD1838" s="28"/>
      <c r="AE1838" s="26"/>
      <c r="AF1838" s="28"/>
    </row>
    <row r="1839" spans="1:32" ht="13.5" customHeight="1" x14ac:dyDescent="0.25">
      <c r="A1839" s="14">
        <v>45891</v>
      </c>
      <c r="B1839" s="14" t="s">
        <v>46</v>
      </c>
      <c r="C1839" s="15">
        <v>7</v>
      </c>
      <c r="D1839" s="16"/>
      <c r="E1839" s="16"/>
      <c r="F1839" s="17"/>
      <c r="G1839" s="21"/>
      <c r="H1839" s="21"/>
      <c r="I1839" s="4">
        <v>0</v>
      </c>
      <c r="J1839" s="4">
        <v>0</v>
      </c>
      <c r="K1839" s="4"/>
      <c r="L1839" s="16"/>
      <c r="M1839" s="4"/>
      <c r="N1839" s="4"/>
      <c r="O1839" s="4"/>
      <c r="P1839" s="4"/>
      <c r="Q1839" s="4"/>
      <c r="R1839" s="4"/>
      <c r="S1839" s="4">
        <v>0</v>
      </c>
      <c r="T1839" s="4">
        <v>0</v>
      </c>
      <c r="U1839" s="4">
        <v>0</v>
      </c>
      <c r="V1839" s="4">
        <v>12</v>
      </c>
      <c r="W1839" s="4">
        <v>12</v>
      </c>
      <c r="X1839" s="4">
        <v>11.3</v>
      </c>
      <c r="Y1839" s="4"/>
      <c r="Z1839" s="4">
        <v>287.89999999999998</v>
      </c>
      <c r="AA1839" s="4">
        <v>290</v>
      </c>
      <c r="AB1839" s="18"/>
      <c r="AC1839" s="18">
        <v>34</v>
      </c>
      <c r="AD1839" s="28"/>
      <c r="AE1839" s="26"/>
      <c r="AF1839" s="28"/>
    </row>
    <row r="1840" spans="1:32" ht="13.5" customHeight="1" x14ac:dyDescent="0.25">
      <c r="A1840" s="14">
        <v>45891</v>
      </c>
      <c r="B1840" s="14" t="s">
        <v>47</v>
      </c>
      <c r="C1840" s="15">
        <v>7</v>
      </c>
      <c r="D1840" s="16"/>
      <c r="E1840" s="16"/>
      <c r="F1840" s="17"/>
      <c r="G1840" s="21"/>
      <c r="H1840" s="21"/>
      <c r="I1840" s="4">
        <v>0</v>
      </c>
      <c r="J1840" s="4">
        <v>0</v>
      </c>
      <c r="K1840" s="4"/>
      <c r="L1840" s="16"/>
      <c r="M1840" s="4"/>
      <c r="N1840" s="4"/>
      <c r="O1840" s="4">
        <v>20</v>
      </c>
      <c r="P1840" s="4"/>
      <c r="Q1840" s="4"/>
      <c r="R1840" s="4"/>
      <c r="S1840" s="4">
        <v>20</v>
      </c>
      <c r="T1840" s="4">
        <v>0.33333333333333331</v>
      </c>
      <c r="U1840" s="4">
        <v>0.33333333333333331</v>
      </c>
      <c r="V1840" s="4">
        <v>11.666666666666666</v>
      </c>
      <c r="W1840" s="4">
        <v>12</v>
      </c>
      <c r="X1840" s="4">
        <v>11.3</v>
      </c>
      <c r="Y1840" s="4"/>
      <c r="Z1840" s="4">
        <v>307.89999999999998</v>
      </c>
      <c r="AA1840" s="4">
        <v>310</v>
      </c>
      <c r="AB1840" s="18"/>
      <c r="AC1840" s="18">
        <v>34</v>
      </c>
      <c r="AD1840" s="28"/>
      <c r="AE1840" s="26"/>
      <c r="AF1840" s="28"/>
    </row>
    <row r="1841" spans="1:32" ht="13.5" customHeight="1" x14ac:dyDescent="0.25">
      <c r="A1841" s="14">
        <v>45892</v>
      </c>
      <c r="B1841" s="14" t="s">
        <v>46</v>
      </c>
      <c r="C1841" s="15">
        <v>1</v>
      </c>
      <c r="D1841" s="16"/>
      <c r="E1841" s="16"/>
      <c r="F1841" s="17"/>
      <c r="G1841" s="21"/>
      <c r="H1841" s="21"/>
      <c r="I1841" s="4">
        <v>0</v>
      </c>
      <c r="J1841" s="4">
        <v>0</v>
      </c>
      <c r="K1841" s="4"/>
      <c r="L1841" s="16"/>
      <c r="M1841" s="4"/>
      <c r="N1841" s="4"/>
      <c r="O1841" s="4"/>
      <c r="P1841" s="4"/>
      <c r="Q1841" s="4"/>
      <c r="R1841" s="4"/>
      <c r="S1841" s="4">
        <v>0</v>
      </c>
      <c r="T1841" s="4">
        <v>0</v>
      </c>
      <c r="U1841" s="4">
        <v>0</v>
      </c>
      <c r="V1841" s="4">
        <v>12</v>
      </c>
      <c r="W1841" s="4">
        <v>12</v>
      </c>
      <c r="X1841" s="4">
        <v>13.7</v>
      </c>
      <c r="Y1841" s="4">
        <v>2083</v>
      </c>
      <c r="Z1841" s="4">
        <v>133.5</v>
      </c>
      <c r="AA1841" s="4">
        <v>140</v>
      </c>
      <c r="AB1841" s="18"/>
      <c r="AC1841" s="18">
        <v>34</v>
      </c>
      <c r="AD1841" s="28"/>
      <c r="AE1841" s="26"/>
      <c r="AF1841" s="28"/>
    </row>
    <row r="1842" spans="1:32" ht="13.5" customHeight="1" x14ac:dyDescent="0.25">
      <c r="A1842" s="14">
        <v>45892</v>
      </c>
      <c r="B1842" s="14" t="s">
        <v>47</v>
      </c>
      <c r="C1842" s="15">
        <v>1</v>
      </c>
      <c r="D1842" s="16"/>
      <c r="E1842" s="16"/>
      <c r="F1842" s="17"/>
      <c r="G1842" s="21"/>
      <c r="H1842" s="21"/>
      <c r="I1842" s="4">
        <v>0</v>
      </c>
      <c r="J1842" s="4">
        <v>0</v>
      </c>
      <c r="K1842" s="4"/>
      <c r="L1842" s="16"/>
      <c r="M1842" s="4"/>
      <c r="N1842" s="4"/>
      <c r="O1842" s="4"/>
      <c r="P1842" s="4"/>
      <c r="Q1842" s="4"/>
      <c r="R1842" s="4"/>
      <c r="S1842" s="4">
        <v>0</v>
      </c>
      <c r="T1842" s="4">
        <v>0</v>
      </c>
      <c r="U1842" s="4">
        <v>0</v>
      </c>
      <c r="V1842" s="4">
        <v>12</v>
      </c>
      <c r="W1842" s="4">
        <v>12</v>
      </c>
      <c r="X1842" s="4">
        <v>13.7</v>
      </c>
      <c r="Y1842" s="4"/>
      <c r="Z1842" s="4">
        <v>87.6</v>
      </c>
      <c r="AA1842" s="4">
        <v>100</v>
      </c>
      <c r="AB1842" s="18"/>
      <c r="AC1842" s="18">
        <v>34</v>
      </c>
      <c r="AD1842" s="28"/>
      <c r="AE1842" s="26"/>
      <c r="AF1842" s="28"/>
    </row>
    <row r="1843" spans="1:32" ht="13.5" customHeight="1" x14ac:dyDescent="0.25">
      <c r="A1843" s="14">
        <v>45892</v>
      </c>
      <c r="B1843" s="14" t="s">
        <v>46</v>
      </c>
      <c r="C1843" s="15">
        <v>2</v>
      </c>
      <c r="D1843" s="16"/>
      <c r="E1843" s="16"/>
      <c r="F1843" s="17"/>
      <c r="G1843" s="21"/>
      <c r="H1843" s="21"/>
      <c r="I1843" s="4">
        <v>0</v>
      </c>
      <c r="J1843" s="4">
        <v>0</v>
      </c>
      <c r="K1843" s="4"/>
      <c r="L1843" s="16"/>
      <c r="M1843" s="4"/>
      <c r="N1843" s="4"/>
      <c r="O1843" s="4"/>
      <c r="P1843" s="4"/>
      <c r="Q1843" s="4"/>
      <c r="R1843" s="4"/>
      <c r="S1843" s="4">
        <v>0</v>
      </c>
      <c r="T1843" s="4">
        <v>0</v>
      </c>
      <c r="U1843" s="4">
        <v>0</v>
      </c>
      <c r="V1843" s="4">
        <v>12</v>
      </c>
      <c r="W1843" s="4">
        <v>12</v>
      </c>
      <c r="X1843" s="4">
        <v>13.7</v>
      </c>
      <c r="Y1843" s="4"/>
      <c r="Z1843" s="4">
        <v>169.8</v>
      </c>
      <c r="AA1843" s="4">
        <v>180</v>
      </c>
      <c r="AB1843" s="18"/>
      <c r="AC1843" s="18">
        <v>34</v>
      </c>
      <c r="AD1843" s="28"/>
      <c r="AE1843" s="26"/>
      <c r="AF1843" s="28"/>
    </row>
    <row r="1844" spans="1:32" ht="13.5" customHeight="1" x14ac:dyDescent="0.25">
      <c r="A1844" s="14">
        <v>45892</v>
      </c>
      <c r="B1844" s="14" t="s">
        <v>47</v>
      </c>
      <c r="C1844" s="15">
        <v>2</v>
      </c>
      <c r="D1844" s="16"/>
      <c r="E1844" s="16"/>
      <c r="F1844" s="17"/>
      <c r="G1844" s="21"/>
      <c r="H1844" s="21"/>
      <c r="I1844" s="4">
        <v>0</v>
      </c>
      <c r="J1844" s="4">
        <v>0</v>
      </c>
      <c r="K1844" s="4"/>
      <c r="L1844" s="16"/>
      <c r="M1844" s="4"/>
      <c r="N1844" s="4"/>
      <c r="O1844" s="4"/>
      <c r="P1844" s="4"/>
      <c r="Q1844" s="4"/>
      <c r="R1844" s="4"/>
      <c r="S1844" s="4">
        <v>0</v>
      </c>
      <c r="T1844" s="4">
        <v>0</v>
      </c>
      <c r="U1844" s="4">
        <v>0</v>
      </c>
      <c r="V1844" s="4">
        <v>12</v>
      </c>
      <c r="W1844" s="4">
        <v>12</v>
      </c>
      <c r="X1844" s="4">
        <v>13.7</v>
      </c>
      <c r="Y1844" s="4"/>
      <c r="Z1844" s="4">
        <v>177.5</v>
      </c>
      <c r="AA1844" s="4">
        <v>190</v>
      </c>
      <c r="AB1844" s="18"/>
      <c r="AC1844" s="18">
        <v>34</v>
      </c>
      <c r="AD1844" s="28"/>
      <c r="AE1844" s="26"/>
      <c r="AF1844" s="28"/>
    </row>
    <row r="1845" spans="1:32" ht="13.5" customHeight="1" x14ac:dyDescent="0.25">
      <c r="A1845" s="14">
        <v>45892</v>
      </c>
      <c r="B1845" s="14" t="s">
        <v>46</v>
      </c>
      <c r="C1845" s="15">
        <v>3</v>
      </c>
      <c r="D1845" s="16">
        <v>3</v>
      </c>
      <c r="E1845" s="16"/>
      <c r="F1845" s="17"/>
      <c r="G1845" s="21"/>
      <c r="H1845" s="21"/>
      <c r="I1845" s="4">
        <v>3</v>
      </c>
      <c r="J1845" s="4">
        <v>0.05</v>
      </c>
      <c r="K1845" s="4"/>
      <c r="L1845" s="16"/>
      <c r="M1845" s="4"/>
      <c r="N1845" s="4"/>
      <c r="O1845" s="4"/>
      <c r="P1845" s="4"/>
      <c r="Q1845" s="4"/>
      <c r="R1845" s="4"/>
      <c r="S1845" s="4">
        <v>0</v>
      </c>
      <c r="T1845" s="4">
        <v>0</v>
      </c>
      <c r="U1845" s="4">
        <v>0.05</v>
      </c>
      <c r="V1845" s="4">
        <v>11.95</v>
      </c>
      <c r="W1845" s="4">
        <v>12</v>
      </c>
      <c r="X1845" s="4">
        <v>13.7</v>
      </c>
      <c r="Y1845" s="4"/>
      <c r="Z1845" s="4">
        <v>383.09999999999997</v>
      </c>
      <c r="AA1845" s="4">
        <v>390</v>
      </c>
      <c r="AB1845" s="18"/>
      <c r="AC1845" s="18">
        <v>34</v>
      </c>
      <c r="AD1845" s="28"/>
      <c r="AE1845" s="26"/>
      <c r="AF1845" s="28"/>
    </row>
    <row r="1846" spans="1:32" ht="13.5" customHeight="1" x14ac:dyDescent="0.25">
      <c r="A1846" s="14">
        <v>45892</v>
      </c>
      <c r="B1846" s="14" t="s">
        <v>47</v>
      </c>
      <c r="C1846" s="15">
        <v>3</v>
      </c>
      <c r="D1846" s="16"/>
      <c r="E1846" s="16"/>
      <c r="F1846" s="17"/>
      <c r="G1846" s="21"/>
      <c r="H1846" s="21"/>
      <c r="I1846" s="4">
        <v>0</v>
      </c>
      <c r="J1846" s="4">
        <v>0</v>
      </c>
      <c r="K1846" s="4"/>
      <c r="L1846" s="16"/>
      <c r="M1846" s="4"/>
      <c r="N1846" s="4"/>
      <c r="O1846" s="4"/>
      <c r="P1846" s="4"/>
      <c r="Q1846" s="4"/>
      <c r="R1846" s="4"/>
      <c r="S1846" s="4">
        <v>0</v>
      </c>
      <c r="T1846" s="4">
        <v>0</v>
      </c>
      <c r="U1846" s="4">
        <v>0</v>
      </c>
      <c r="V1846" s="4">
        <v>12</v>
      </c>
      <c r="W1846" s="4">
        <v>12</v>
      </c>
      <c r="X1846" s="4">
        <v>13.7</v>
      </c>
      <c r="Y1846" s="4"/>
      <c r="Z1846" s="4">
        <v>357.70000000000005</v>
      </c>
      <c r="AA1846" s="4">
        <v>365</v>
      </c>
      <c r="AB1846" s="18"/>
      <c r="AC1846" s="18">
        <v>34</v>
      </c>
      <c r="AD1846" s="28"/>
      <c r="AE1846" s="26"/>
      <c r="AF1846" s="28"/>
    </row>
    <row r="1847" spans="1:32" ht="13.5" customHeight="1" x14ac:dyDescent="0.25">
      <c r="A1847" s="14">
        <v>45892</v>
      </c>
      <c r="B1847" s="14" t="s">
        <v>46</v>
      </c>
      <c r="C1847" s="15">
        <v>6</v>
      </c>
      <c r="D1847" s="16"/>
      <c r="E1847" s="16"/>
      <c r="F1847" s="17"/>
      <c r="G1847" s="21"/>
      <c r="H1847" s="21"/>
      <c r="I1847" s="4">
        <v>0</v>
      </c>
      <c r="J1847" s="4">
        <v>0</v>
      </c>
      <c r="K1847" s="4"/>
      <c r="L1847" s="16"/>
      <c r="M1847" s="4"/>
      <c r="N1847" s="4"/>
      <c r="O1847" s="4"/>
      <c r="P1847" s="4"/>
      <c r="Q1847" s="4"/>
      <c r="R1847" s="4"/>
      <c r="S1847" s="4">
        <v>0</v>
      </c>
      <c r="T1847" s="4">
        <v>0</v>
      </c>
      <c r="U1847" s="4">
        <v>0</v>
      </c>
      <c r="V1847" s="4">
        <v>12</v>
      </c>
      <c r="W1847" s="4">
        <v>12</v>
      </c>
      <c r="X1847" s="4">
        <v>13.7</v>
      </c>
      <c r="Y1847" s="4"/>
      <c r="Z1847" s="4">
        <v>518.5</v>
      </c>
      <c r="AA1847" s="4">
        <v>525</v>
      </c>
      <c r="AB1847" s="18"/>
      <c r="AC1847" s="18">
        <v>34</v>
      </c>
      <c r="AD1847" s="28"/>
      <c r="AE1847" s="26"/>
      <c r="AF1847" s="28"/>
    </row>
    <row r="1848" spans="1:32" ht="13.5" customHeight="1" x14ac:dyDescent="0.25">
      <c r="A1848" s="14">
        <v>45892</v>
      </c>
      <c r="B1848" s="14" t="s">
        <v>47</v>
      </c>
      <c r="C1848" s="15">
        <v>6</v>
      </c>
      <c r="D1848" s="16">
        <v>5</v>
      </c>
      <c r="E1848" s="16"/>
      <c r="F1848" s="17"/>
      <c r="G1848" s="21"/>
      <c r="H1848" s="21"/>
      <c r="I1848" s="4">
        <v>5</v>
      </c>
      <c r="J1848" s="4">
        <v>8.3333333333333329E-2</v>
      </c>
      <c r="K1848" s="4"/>
      <c r="L1848" s="16"/>
      <c r="M1848" s="4"/>
      <c r="N1848" s="4"/>
      <c r="O1848" s="4"/>
      <c r="P1848" s="4"/>
      <c r="Q1848" s="4"/>
      <c r="R1848" s="4"/>
      <c r="S1848" s="4">
        <v>0</v>
      </c>
      <c r="T1848" s="4">
        <v>0</v>
      </c>
      <c r="U1848" s="4">
        <v>8.3333333333333329E-2</v>
      </c>
      <c r="V1848" s="4">
        <v>11.916666666666666</v>
      </c>
      <c r="W1848" s="4">
        <v>12</v>
      </c>
      <c r="X1848" s="4">
        <v>13.7</v>
      </c>
      <c r="Y1848" s="4"/>
      <c r="Z1848" s="4">
        <v>658.59999999999991</v>
      </c>
      <c r="AA1848" s="4">
        <v>670</v>
      </c>
      <c r="AB1848" s="18"/>
      <c r="AC1848" s="18">
        <v>34</v>
      </c>
      <c r="AD1848" s="28"/>
      <c r="AE1848" s="26"/>
      <c r="AF1848" s="28"/>
    </row>
    <row r="1849" spans="1:32" ht="13.5" customHeight="1" x14ac:dyDescent="0.25">
      <c r="A1849" s="14">
        <v>45892</v>
      </c>
      <c r="B1849" s="14" t="s">
        <v>46</v>
      </c>
      <c r="C1849" s="15">
        <v>7</v>
      </c>
      <c r="D1849" s="16"/>
      <c r="E1849" s="16"/>
      <c r="F1849" s="17"/>
      <c r="G1849" s="21"/>
      <c r="H1849" s="21"/>
      <c r="I1849" s="4">
        <v>0</v>
      </c>
      <c r="J1849" s="4">
        <v>0</v>
      </c>
      <c r="K1849" s="4"/>
      <c r="L1849" s="16"/>
      <c r="M1849" s="4"/>
      <c r="N1849" s="4"/>
      <c r="O1849" s="4"/>
      <c r="P1849" s="4"/>
      <c r="Q1849" s="4"/>
      <c r="R1849" s="4"/>
      <c r="S1849" s="4">
        <v>0</v>
      </c>
      <c r="T1849" s="4">
        <v>0</v>
      </c>
      <c r="U1849" s="4">
        <v>0</v>
      </c>
      <c r="V1849" s="4">
        <v>12</v>
      </c>
      <c r="W1849" s="4">
        <v>12</v>
      </c>
      <c r="X1849" s="4">
        <v>13.7</v>
      </c>
      <c r="Y1849" s="4"/>
      <c r="Z1849" s="4">
        <v>287.39999999999998</v>
      </c>
      <c r="AA1849" s="4">
        <v>300</v>
      </c>
      <c r="AB1849" s="18"/>
      <c r="AC1849" s="18">
        <v>34</v>
      </c>
      <c r="AD1849" s="28"/>
      <c r="AE1849" s="26"/>
      <c r="AF1849" s="28"/>
    </row>
    <row r="1850" spans="1:32" ht="13.5" customHeight="1" x14ac:dyDescent="0.25">
      <c r="A1850" s="14">
        <v>45892</v>
      </c>
      <c r="B1850" s="14" t="s">
        <v>47</v>
      </c>
      <c r="C1850" s="15">
        <v>7</v>
      </c>
      <c r="D1850" s="16"/>
      <c r="E1850" s="16"/>
      <c r="F1850" s="17"/>
      <c r="G1850" s="21"/>
      <c r="H1850" s="21"/>
      <c r="I1850" s="4">
        <v>0</v>
      </c>
      <c r="J1850" s="4">
        <v>0</v>
      </c>
      <c r="K1850" s="4"/>
      <c r="L1850" s="16"/>
      <c r="M1850" s="4"/>
      <c r="N1850" s="4"/>
      <c r="O1850" s="4"/>
      <c r="P1850" s="4"/>
      <c r="Q1850" s="4"/>
      <c r="R1850" s="4"/>
      <c r="S1850" s="4">
        <v>0</v>
      </c>
      <c r="T1850" s="4">
        <v>0</v>
      </c>
      <c r="U1850" s="4">
        <v>0</v>
      </c>
      <c r="V1850" s="4">
        <v>12</v>
      </c>
      <c r="W1850" s="4">
        <v>12</v>
      </c>
      <c r="X1850" s="4">
        <v>13.7</v>
      </c>
      <c r="Y1850" s="4"/>
      <c r="Z1850" s="4">
        <v>323.60000000000002</v>
      </c>
      <c r="AA1850" s="4">
        <v>340</v>
      </c>
      <c r="AB1850" s="18"/>
      <c r="AC1850" s="18">
        <v>34</v>
      </c>
      <c r="AD1850" s="28"/>
      <c r="AE1850" s="26"/>
      <c r="AF1850" s="28"/>
    </row>
    <row r="1851" spans="1:32" ht="13.5" customHeight="1" x14ac:dyDescent="0.25">
      <c r="A1851" s="14">
        <v>45893</v>
      </c>
      <c r="B1851" s="14" t="s">
        <v>46</v>
      </c>
      <c r="C1851" s="15">
        <v>1</v>
      </c>
      <c r="D1851" s="16"/>
      <c r="E1851" s="16"/>
      <c r="F1851" s="17"/>
      <c r="G1851" s="21"/>
      <c r="H1851" s="21"/>
      <c r="I1851" s="4">
        <v>0</v>
      </c>
      <c r="J1851" s="4">
        <v>0</v>
      </c>
      <c r="K1851" s="4"/>
      <c r="L1851" s="16"/>
      <c r="M1851" s="4">
        <v>360</v>
      </c>
      <c r="N1851" s="4"/>
      <c r="O1851" s="4"/>
      <c r="P1851" s="4"/>
      <c r="Q1851" s="4"/>
      <c r="R1851" s="4"/>
      <c r="S1851" s="4">
        <v>360</v>
      </c>
      <c r="T1851" s="4">
        <v>6</v>
      </c>
      <c r="U1851" s="4">
        <v>6</v>
      </c>
      <c r="V1851" s="4">
        <v>6</v>
      </c>
      <c r="W1851" s="4">
        <v>12</v>
      </c>
      <c r="X1851" s="4">
        <v>6.4</v>
      </c>
      <c r="Y1851" s="4">
        <v>2065</v>
      </c>
      <c r="Z1851" s="4">
        <v>101.9</v>
      </c>
      <c r="AA1851" s="4">
        <v>135</v>
      </c>
      <c r="AB1851" s="18"/>
      <c r="AC1851" s="18">
        <v>34</v>
      </c>
      <c r="AD1851" s="28"/>
      <c r="AE1851" s="26"/>
      <c r="AF1851" s="28"/>
    </row>
    <row r="1852" spans="1:32" ht="13.5" customHeight="1" x14ac:dyDescent="0.25">
      <c r="A1852" s="14">
        <v>45893</v>
      </c>
      <c r="B1852" s="14" t="s">
        <v>47</v>
      </c>
      <c r="C1852" s="15">
        <v>1</v>
      </c>
      <c r="D1852" s="16"/>
      <c r="E1852" s="16"/>
      <c r="F1852" s="17"/>
      <c r="G1852" s="21"/>
      <c r="H1852" s="21"/>
      <c r="I1852" s="4">
        <v>0</v>
      </c>
      <c r="J1852" s="4">
        <v>0</v>
      </c>
      <c r="K1852" s="4"/>
      <c r="L1852" s="16"/>
      <c r="M1852" s="4"/>
      <c r="N1852" s="4"/>
      <c r="O1852" s="4"/>
      <c r="P1852" s="4"/>
      <c r="Q1852" s="4"/>
      <c r="R1852" s="4"/>
      <c r="S1852" s="4">
        <v>0</v>
      </c>
      <c r="T1852" s="4">
        <v>0</v>
      </c>
      <c r="U1852" s="4">
        <v>0</v>
      </c>
      <c r="V1852" s="4">
        <v>12</v>
      </c>
      <c r="W1852" s="4">
        <v>12</v>
      </c>
      <c r="X1852" s="4">
        <v>6.4</v>
      </c>
      <c r="Y1852" s="4"/>
      <c r="Z1852" s="4">
        <v>123.4</v>
      </c>
      <c r="AA1852" s="4">
        <v>140</v>
      </c>
      <c r="AB1852" s="18"/>
      <c r="AC1852" s="18">
        <v>34</v>
      </c>
      <c r="AD1852" s="28"/>
      <c r="AE1852" s="26"/>
      <c r="AF1852" s="28"/>
    </row>
    <row r="1853" spans="1:32" ht="13.5" customHeight="1" x14ac:dyDescent="0.25">
      <c r="A1853" s="14">
        <v>45893</v>
      </c>
      <c r="B1853" s="14" t="s">
        <v>46</v>
      </c>
      <c r="C1853" s="15">
        <v>2</v>
      </c>
      <c r="D1853" s="16">
        <v>1</v>
      </c>
      <c r="E1853" s="16"/>
      <c r="F1853" s="17"/>
      <c r="G1853" s="21"/>
      <c r="H1853" s="21"/>
      <c r="I1853" s="4">
        <v>1</v>
      </c>
      <c r="J1853" s="4">
        <v>1.6666666666666666E-2</v>
      </c>
      <c r="K1853" s="4"/>
      <c r="L1853" s="16"/>
      <c r="M1853" s="4"/>
      <c r="N1853" s="4"/>
      <c r="O1853" s="4"/>
      <c r="P1853" s="4"/>
      <c r="Q1853" s="4"/>
      <c r="R1853" s="4"/>
      <c r="S1853" s="4">
        <v>0</v>
      </c>
      <c r="T1853" s="4">
        <v>0</v>
      </c>
      <c r="U1853" s="4">
        <v>1.6666666666666666E-2</v>
      </c>
      <c r="V1853" s="4">
        <v>11.983333333333333</v>
      </c>
      <c r="W1853" s="4">
        <v>12</v>
      </c>
      <c r="X1853" s="4">
        <v>6.4</v>
      </c>
      <c r="Y1853" s="4"/>
      <c r="Z1853" s="4">
        <v>180.90000000000003</v>
      </c>
      <c r="AA1853" s="4">
        <v>200</v>
      </c>
      <c r="AB1853" s="18"/>
      <c r="AC1853" s="18">
        <v>34</v>
      </c>
      <c r="AD1853" s="28"/>
      <c r="AE1853" s="26"/>
      <c r="AF1853" s="28"/>
    </row>
    <row r="1854" spans="1:32" ht="13.5" customHeight="1" x14ac:dyDescent="0.25">
      <c r="A1854" s="14">
        <v>45893</v>
      </c>
      <c r="B1854" s="14" t="s">
        <v>47</v>
      </c>
      <c r="C1854" s="15">
        <v>2</v>
      </c>
      <c r="D1854" s="16"/>
      <c r="E1854" s="16"/>
      <c r="F1854" s="17"/>
      <c r="G1854" s="21"/>
      <c r="H1854" s="21"/>
      <c r="I1854" s="4">
        <v>0</v>
      </c>
      <c r="J1854" s="4">
        <v>0</v>
      </c>
      <c r="K1854" s="4"/>
      <c r="L1854" s="16"/>
      <c r="M1854" s="4"/>
      <c r="N1854" s="4"/>
      <c r="O1854" s="4"/>
      <c r="P1854" s="4"/>
      <c r="Q1854" s="4"/>
      <c r="R1854" s="4"/>
      <c r="S1854" s="4">
        <v>0</v>
      </c>
      <c r="T1854" s="4">
        <v>0</v>
      </c>
      <c r="U1854" s="4">
        <v>0</v>
      </c>
      <c r="V1854" s="4">
        <v>12</v>
      </c>
      <c r="W1854" s="4">
        <v>12</v>
      </c>
      <c r="X1854" s="4">
        <v>6.4</v>
      </c>
      <c r="Y1854" s="4"/>
      <c r="Z1854" s="4">
        <v>208.2</v>
      </c>
      <c r="AA1854" s="4">
        <v>230</v>
      </c>
      <c r="AB1854" s="18"/>
      <c r="AC1854" s="18">
        <v>34</v>
      </c>
      <c r="AD1854" s="28"/>
      <c r="AE1854" s="26"/>
      <c r="AF1854" s="28"/>
    </row>
    <row r="1855" spans="1:32" ht="13.5" customHeight="1" x14ac:dyDescent="0.25">
      <c r="A1855" s="14">
        <v>45893</v>
      </c>
      <c r="B1855" s="14" t="s">
        <v>46</v>
      </c>
      <c r="C1855" s="15">
        <v>3</v>
      </c>
      <c r="D1855" s="16">
        <v>20</v>
      </c>
      <c r="E1855" s="16"/>
      <c r="F1855" s="17"/>
      <c r="G1855" s="21"/>
      <c r="H1855" s="21"/>
      <c r="I1855" s="4">
        <v>20</v>
      </c>
      <c r="J1855" s="4">
        <v>0.33333333333333331</v>
      </c>
      <c r="K1855" s="4"/>
      <c r="L1855" s="16"/>
      <c r="M1855" s="4"/>
      <c r="N1855" s="4"/>
      <c r="O1855" s="4"/>
      <c r="P1855" s="4"/>
      <c r="Q1855" s="4"/>
      <c r="R1855" s="4"/>
      <c r="S1855" s="4">
        <v>0</v>
      </c>
      <c r="T1855" s="4">
        <v>0</v>
      </c>
      <c r="U1855" s="4">
        <v>0.33333333333333331</v>
      </c>
      <c r="V1855" s="4">
        <v>11.666666666666666</v>
      </c>
      <c r="W1855" s="4">
        <v>12</v>
      </c>
      <c r="X1855" s="4">
        <v>6.4</v>
      </c>
      <c r="Y1855" s="4"/>
      <c r="Z1855" s="4">
        <v>450.59999999999997</v>
      </c>
      <c r="AA1855" s="4">
        <v>470</v>
      </c>
      <c r="AB1855" s="18"/>
      <c r="AC1855" s="18">
        <v>34</v>
      </c>
      <c r="AD1855" s="28"/>
      <c r="AE1855" s="26"/>
      <c r="AF1855" s="28"/>
    </row>
    <row r="1856" spans="1:32" ht="13.5" customHeight="1" x14ac:dyDescent="0.25">
      <c r="A1856" s="14">
        <v>45893</v>
      </c>
      <c r="B1856" s="14" t="s">
        <v>47</v>
      </c>
      <c r="C1856" s="15">
        <v>3</v>
      </c>
      <c r="D1856" s="16"/>
      <c r="E1856" s="16"/>
      <c r="F1856" s="17"/>
      <c r="G1856" s="21"/>
      <c r="H1856" s="21"/>
      <c r="I1856" s="4">
        <v>0</v>
      </c>
      <c r="J1856" s="4">
        <v>0</v>
      </c>
      <c r="K1856" s="4"/>
      <c r="L1856" s="16"/>
      <c r="M1856" s="4"/>
      <c r="N1856" s="4"/>
      <c r="O1856" s="4"/>
      <c r="P1856" s="4"/>
      <c r="Q1856" s="4"/>
      <c r="R1856" s="4"/>
      <c r="S1856" s="4">
        <v>0</v>
      </c>
      <c r="T1856" s="4">
        <v>0</v>
      </c>
      <c r="U1856" s="4">
        <v>0</v>
      </c>
      <c r="V1856" s="4">
        <v>12</v>
      </c>
      <c r="W1856" s="4">
        <v>12</v>
      </c>
      <c r="X1856" s="4">
        <v>6.4</v>
      </c>
      <c r="Y1856" s="4"/>
      <c r="Z1856" s="4">
        <v>443.09999999999997</v>
      </c>
      <c r="AA1856" s="4">
        <v>460</v>
      </c>
      <c r="AB1856" s="18"/>
      <c r="AC1856" s="18">
        <v>34</v>
      </c>
      <c r="AD1856" s="28"/>
      <c r="AE1856" s="26"/>
      <c r="AF1856" s="28"/>
    </row>
    <row r="1857" spans="1:32" ht="13.5" customHeight="1" x14ac:dyDescent="0.25">
      <c r="A1857" s="14">
        <v>45893</v>
      </c>
      <c r="B1857" s="14" t="s">
        <v>46</v>
      </c>
      <c r="C1857" s="15">
        <v>6</v>
      </c>
      <c r="D1857" s="16"/>
      <c r="E1857" s="16"/>
      <c r="F1857" s="17"/>
      <c r="G1857" s="21"/>
      <c r="H1857" s="21"/>
      <c r="I1857" s="4">
        <v>0</v>
      </c>
      <c r="J1857" s="4">
        <v>0</v>
      </c>
      <c r="K1857" s="4"/>
      <c r="L1857" s="16"/>
      <c r="M1857" s="4"/>
      <c r="N1857" s="4"/>
      <c r="O1857" s="4"/>
      <c r="P1857" s="4"/>
      <c r="Q1857" s="4"/>
      <c r="R1857" s="4"/>
      <c r="S1857" s="4">
        <v>0</v>
      </c>
      <c r="T1857" s="4">
        <v>0</v>
      </c>
      <c r="U1857" s="4">
        <v>0</v>
      </c>
      <c r="V1857" s="4">
        <v>12</v>
      </c>
      <c r="W1857" s="4">
        <v>12</v>
      </c>
      <c r="X1857" s="4">
        <v>6.4</v>
      </c>
      <c r="Y1857" s="4"/>
      <c r="Z1857" s="4">
        <v>703.99999999999989</v>
      </c>
      <c r="AA1857" s="4">
        <v>740</v>
      </c>
      <c r="AB1857" s="18"/>
      <c r="AC1857" s="18">
        <v>34</v>
      </c>
      <c r="AD1857" s="28"/>
      <c r="AE1857" s="26"/>
      <c r="AF1857" s="28"/>
    </row>
    <row r="1858" spans="1:32" ht="13.5" customHeight="1" x14ac:dyDescent="0.25">
      <c r="A1858" s="14">
        <v>45893</v>
      </c>
      <c r="B1858" s="14" t="s">
        <v>47</v>
      </c>
      <c r="C1858" s="15">
        <v>6</v>
      </c>
      <c r="D1858" s="16"/>
      <c r="E1858" s="16"/>
      <c r="F1858" s="17"/>
      <c r="G1858" s="21"/>
      <c r="H1858" s="21"/>
      <c r="I1858" s="4">
        <v>0</v>
      </c>
      <c r="J1858" s="4">
        <v>0</v>
      </c>
      <c r="K1858" s="4"/>
      <c r="L1858" s="16"/>
      <c r="M1858" s="4"/>
      <c r="N1858" s="4"/>
      <c r="O1858" s="4"/>
      <c r="P1858" s="4"/>
      <c r="Q1858" s="4"/>
      <c r="R1858" s="4"/>
      <c r="S1858" s="4">
        <v>0</v>
      </c>
      <c r="T1858" s="4">
        <v>0</v>
      </c>
      <c r="U1858" s="4">
        <v>0</v>
      </c>
      <c r="V1858" s="4">
        <v>12</v>
      </c>
      <c r="W1858" s="4">
        <v>12</v>
      </c>
      <c r="X1858" s="4">
        <f>6.4+60</f>
        <v>66.400000000000006</v>
      </c>
      <c r="Y1858" s="4"/>
      <c r="Z1858" s="4">
        <v>728.6</v>
      </c>
      <c r="AA1858" s="4">
        <v>740</v>
      </c>
      <c r="AB1858" s="18"/>
      <c r="AC1858" s="18">
        <v>34</v>
      </c>
      <c r="AD1858" s="28"/>
      <c r="AE1858" s="26"/>
      <c r="AF1858" s="28"/>
    </row>
    <row r="1859" spans="1:32" ht="13.5" customHeight="1" x14ac:dyDescent="0.25">
      <c r="A1859" s="14">
        <v>45893</v>
      </c>
      <c r="B1859" s="14" t="s">
        <v>46</v>
      </c>
      <c r="C1859" s="15">
        <v>7</v>
      </c>
      <c r="D1859" s="16"/>
      <c r="E1859" s="16"/>
      <c r="F1859" s="17"/>
      <c r="G1859" s="21"/>
      <c r="H1859" s="21"/>
      <c r="I1859" s="4">
        <v>0</v>
      </c>
      <c r="J1859" s="4">
        <v>0</v>
      </c>
      <c r="K1859" s="4"/>
      <c r="L1859" s="16"/>
      <c r="M1859" s="4"/>
      <c r="N1859" s="4"/>
      <c r="O1859" s="4"/>
      <c r="P1859" s="4"/>
      <c r="Q1859" s="4"/>
      <c r="R1859" s="4"/>
      <c r="S1859" s="4">
        <v>0</v>
      </c>
      <c r="T1859" s="4">
        <v>0</v>
      </c>
      <c r="U1859" s="4">
        <v>0</v>
      </c>
      <c r="V1859" s="4">
        <v>12</v>
      </c>
      <c r="W1859" s="4">
        <v>12</v>
      </c>
      <c r="X1859" s="4">
        <v>6.4</v>
      </c>
      <c r="Y1859" s="4"/>
      <c r="Z1859" s="4">
        <v>225.1</v>
      </c>
      <c r="AA1859" s="4">
        <v>255</v>
      </c>
      <c r="AB1859" s="18"/>
      <c r="AC1859" s="18">
        <v>34</v>
      </c>
      <c r="AD1859" s="28"/>
      <c r="AE1859" s="26"/>
      <c r="AF1859" s="28"/>
    </row>
    <row r="1860" spans="1:32" ht="13.5" customHeight="1" x14ac:dyDescent="0.25">
      <c r="A1860" s="14">
        <v>45893</v>
      </c>
      <c r="B1860" s="14" t="s">
        <v>47</v>
      </c>
      <c r="C1860" s="15">
        <v>7</v>
      </c>
      <c r="D1860" s="16">
        <v>4</v>
      </c>
      <c r="E1860" s="16"/>
      <c r="F1860" s="17"/>
      <c r="G1860" s="21"/>
      <c r="H1860" s="21"/>
      <c r="I1860" s="4">
        <v>4</v>
      </c>
      <c r="J1860" s="4">
        <v>6.6666666666666666E-2</v>
      </c>
      <c r="K1860" s="4"/>
      <c r="L1860" s="16"/>
      <c r="M1860" s="4"/>
      <c r="N1860" s="4"/>
      <c r="O1860" s="4"/>
      <c r="P1860" s="4"/>
      <c r="Q1860" s="4"/>
      <c r="R1860" s="4"/>
      <c r="S1860" s="4">
        <v>0</v>
      </c>
      <c r="T1860" s="4">
        <v>0</v>
      </c>
      <c r="U1860" s="4">
        <v>6.6666666666666666E-2</v>
      </c>
      <c r="V1860" s="4">
        <v>11.933333333333334</v>
      </c>
      <c r="W1860" s="4">
        <v>12</v>
      </c>
      <c r="X1860" s="4">
        <f>6.4+10</f>
        <v>16.399999999999999</v>
      </c>
      <c r="Y1860" s="4"/>
      <c r="Z1860" s="4">
        <v>404.1</v>
      </c>
      <c r="AA1860" s="4">
        <v>430</v>
      </c>
      <c r="AB1860" s="18"/>
      <c r="AC1860" s="18">
        <v>34</v>
      </c>
      <c r="AD1860" s="28"/>
      <c r="AE1860" s="26"/>
      <c r="AF1860" s="28"/>
    </row>
    <row r="1861" spans="1:32" ht="13.5" customHeight="1" x14ac:dyDescent="0.25">
      <c r="A1861" s="14">
        <v>45894</v>
      </c>
      <c r="B1861" s="14" t="s">
        <v>46</v>
      </c>
      <c r="C1861" s="15">
        <v>1</v>
      </c>
      <c r="D1861" s="16">
        <v>5</v>
      </c>
      <c r="E1861" s="16"/>
      <c r="F1861" s="17"/>
      <c r="G1861" s="21"/>
      <c r="H1861" s="21"/>
      <c r="I1861" s="4">
        <v>5</v>
      </c>
      <c r="J1861" s="4">
        <v>8.3333333333333329E-2</v>
      </c>
      <c r="K1861" s="4"/>
      <c r="L1861" s="16"/>
      <c r="M1861" s="4"/>
      <c r="N1861" s="4">
        <v>5</v>
      </c>
      <c r="O1861" s="4"/>
      <c r="P1861" s="4"/>
      <c r="Q1861" s="4"/>
      <c r="R1861" s="4"/>
      <c r="S1861" s="4">
        <v>5</v>
      </c>
      <c r="T1861" s="4">
        <v>8.3333333333333329E-2</v>
      </c>
      <c r="U1861" s="4">
        <v>0.16666666666666666</v>
      </c>
      <c r="V1861" s="4">
        <v>11.833333333333334</v>
      </c>
      <c r="W1861" s="4">
        <v>12</v>
      </c>
      <c r="X1861" s="4">
        <v>3</v>
      </c>
      <c r="Y1861" s="4">
        <v>2156</v>
      </c>
      <c r="Z1861" s="4">
        <v>132.5</v>
      </c>
      <c r="AA1861" s="4">
        <v>133</v>
      </c>
      <c r="AB1861" s="18">
        <v>372</v>
      </c>
      <c r="AC1861" s="18">
        <v>35</v>
      </c>
      <c r="AD1861" s="28"/>
      <c r="AE1861" s="26"/>
      <c r="AF1861" s="28"/>
    </row>
    <row r="1862" spans="1:32" ht="13.5" customHeight="1" x14ac:dyDescent="0.25">
      <c r="A1862" s="14">
        <v>45894</v>
      </c>
      <c r="B1862" s="14" t="s">
        <v>47</v>
      </c>
      <c r="C1862" s="15">
        <v>1</v>
      </c>
      <c r="D1862" s="16"/>
      <c r="E1862" s="16"/>
      <c r="F1862" s="17"/>
      <c r="G1862" s="21"/>
      <c r="H1862" s="21"/>
      <c r="I1862" s="4">
        <v>0</v>
      </c>
      <c r="J1862" s="4">
        <v>0</v>
      </c>
      <c r="K1862" s="4"/>
      <c r="L1862" s="16"/>
      <c r="M1862" s="4"/>
      <c r="N1862" s="4"/>
      <c r="O1862" s="4"/>
      <c r="P1862" s="4"/>
      <c r="Q1862" s="4"/>
      <c r="R1862" s="4"/>
      <c r="S1862" s="4">
        <v>0</v>
      </c>
      <c r="T1862" s="4">
        <v>0</v>
      </c>
      <c r="U1862" s="4">
        <v>0</v>
      </c>
      <c r="V1862" s="4">
        <v>12</v>
      </c>
      <c r="W1862" s="4">
        <v>12</v>
      </c>
      <c r="X1862" s="4">
        <v>0</v>
      </c>
      <c r="Y1862" s="4"/>
      <c r="Z1862" s="4">
        <v>142.69999999999999</v>
      </c>
      <c r="AA1862" s="4">
        <v>142</v>
      </c>
      <c r="AB1862" s="18"/>
      <c r="AC1862" s="18">
        <v>35</v>
      </c>
      <c r="AD1862" s="28"/>
      <c r="AE1862" s="26"/>
      <c r="AF1862" s="28"/>
    </row>
    <row r="1863" spans="1:32" ht="13.5" customHeight="1" x14ac:dyDescent="0.25">
      <c r="A1863" s="14">
        <v>45894</v>
      </c>
      <c r="B1863" s="14" t="s">
        <v>46</v>
      </c>
      <c r="C1863" s="15">
        <v>2</v>
      </c>
      <c r="D1863" s="16">
        <v>2</v>
      </c>
      <c r="E1863" s="16"/>
      <c r="F1863" s="17"/>
      <c r="G1863" s="21"/>
      <c r="H1863" s="21"/>
      <c r="I1863" s="4">
        <v>2</v>
      </c>
      <c r="J1863" s="4">
        <v>3.3333333333333333E-2</v>
      </c>
      <c r="K1863" s="4"/>
      <c r="L1863" s="16"/>
      <c r="M1863" s="4"/>
      <c r="N1863" s="4"/>
      <c r="O1863" s="4"/>
      <c r="P1863" s="4"/>
      <c r="Q1863" s="4"/>
      <c r="R1863" s="4"/>
      <c r="S1863" s="4">
        <v>0</v>
      </c>
      <c r="T1863" s="4">
        <v>0</v>
      </c>
      <c r="U1863" s="4">
        <v>3.3333333333333333E-2</v>
      </c>
      <c r="V1863" s="4">
        <v>11.966666666666667</v>
      </c>
      <c r="W1863" s="4">
        <v>12</v>
      </c>
      <c r="X1863" s="4">
        <v>5</v>
      </c>
      <c r="Y1863" s="4"/>
      <c r="Z1863" s="4">
        <v>194.6</v>
      </c>
      <c r="AA1863" s="4">
        <v>195</v>
      </c>
      <c r="AB1863" s="18"/>
      <c r="AC1863" s="18">
        <v>35</v>
      </c>
      <c r="AD1863" s="28"/>
      <c r="AE1863" s="26"/>
      <c r="AF1863" s="28"/>
    </row>
    <row r="1864" spans="1:32" ht="13.5" customHeight="1" x14ac:dyDescent="0.25">
      <c r="A1864" s="14">
        <v>45894</v>
      </c>
      <c r="B1864" s="14" t="s">
        <v>47</v>
      </c>
      <c r="C1864" s="15">
        <v>2</v>
      </c>
      <c r="D1864" s="16"/>
      <c r="E1864" s="16"/>
      <c r="F1864" s="17"/>
      <c r="G1864" s="21"/>
      <c r="H1864" s="21"/>
      <c r="I1864" s="4">
        <v>0</v>
      </c>
      <c r="J1864" s="4">
        <v>0</v>
      </c>
      <c r="K1864" s="4"/>
      <c r="L1864" s="16"/>
      <c r="M1864" s="4"/>
      <c r="N1864" s="4"/>
      <c r="O1864" s="4"/>
      <c r="P1864" s="4"/>
      <c r="Q1864" s="4"/>
      <c r="R1864" s="4"/>
      <c r="S1864" s="4">
        <v>0</v>
      </c>
      <c r="T1864" s="4">
        <v>0</v>
      </c>
      <c r="U1864" s="4">
        <v>0</v>
      </c>
      <c r="V1864" s="4">
        <v>12</v>
      </c>
      <c r="W1864" s="4">
        <v>12</v>
      </c>
      <c r="X1864" s="4">
        <v>0</v>
      </c>
      <c r="Y1864" s="4"/>
      <c r="Z1864" s="4">
        <v>152.60000000000002</v>
      </c>
      <c r="AA1864" s="4">
        <v>152</v>
      </c>
      <c r="AB1864" s="18"/>
      <c r="AC1864" s="18">
        <v>35</v>
      </c>
      <c r="AD1864" s="28"/>
      <c r="AE1864" s="26"/>
      <c r="AF1864" s="28"/>
    </row>
    <row r="1865" spans="1:32" ht="13.5" customHeight="1" x14ac:dyDescent="0.25">
      <c r="A1865" s="14">
        <v>45894</v>
      </c>
      <c r="B1865" s="14" t="s">
        <v>46</v>
      </c>
      <c r="C1865" s="15">
        <v>3</v>
      </c>
      <c r="D1865" s="16"/>
      <c r="E1865" s="16"/>
      <c r="F1865" s="17"/>
      <c r="G1865" s="21"/>
      <c r="H1865" s="21"/>
      <c r="I1865" s="4">
        <v>0</v>
      </c>
      <c r="J1865" s="4">
        <v>0</v>
      </c>
      <c r="K1865" s="4"/>
      <c r="L1865" s="16"/>
      <c r="M1865" s="4"/>
      <c r="N1865" s="4"/>
      <c r="O1865" s="4"/>
      <c r="P1865" s="4"/>
      <c r="Q1865" s="4"/>
      <c r="R1865" s="4"/>
      <c r="S1865" s="4">
        <v>0</v>
      </c>
      <c r="T1865" s="4">
        <v>0</v>
      </c>
      <c r="U1865" s="4">
        <v>0</v>
      </c>
      <c r="V1865" s="4">
        <v>12</v>
      </c>
      <c r="W1865" s="4">
        <v>12</v>
      </c>
      <c r="X1865" s="4">
        <v>0</v>
      </c>
      <c r="Y1865" s="4"/>
      <c r="Z1865" s="4">
        <v>475.79999999999995</v>
      </c>
      <c r="AA1865" s="4">
        <v>475</v>
      </c>
      <c r="AB1865" s="18"/>
      <c r="AC1865" s="18">
        <v>35</v>
      </c>
      <c r="AD1865" s="28"/>
      <c r="AE1865" s="26"/>
      <c r="AF1865" s="28"/>
    </row>
    <row r="1866" spans="1:32" ht="13.5" customHeight="1" x14ac:dyDescent="0.25">
      <c r="A1866" s="14">
        <v>45894</v>
      </c>
      <c r="B1866" s="14" t="s">
        <v>47</v>
      </c>
      <c r="C1866" s="15">
        <v>3</v>
      </c>
      <c r="D1866" s="16">
        <v>65</v>
      </c>
      <c r="E1866" s="16"/>
      <c r="F1866" s="17"/>
      <c r="G1866" s="21"/>
      <c r="H1866" s="21"/>
      <c r="I1866" s="4">
        <v>65</v>
      </c>
      <c r="J1866" s="4">
        <v>1.0833333333333333</v>
      </c>
      <c r="K1866" s="4"/>
      <c r="L1866" s="16"/>
      <c r="M1866" s="4"/>
      <c r="N1866" s="4"/>
      <c r="O1866" s="4"/>
      <c r="P1866" s="4"/>
      <c r="Q1866" s="4"/>
      <c r="R1866" s="4">
        <v>65</v>
      </c>
      <c r="S1866" s="4">
        <v>65</v>
      </c>
      <c r="T1866" s="4">
        <v>1.0833333333333333</v>
      </c>
      <c r="U1866" s="4">
        <v>2.1666666666666665</v>
      </c>
      <c r="V1866" s="4">
        <v>9.8333333333333339</v>
      </c>
      <c r="W1866" s="4">
        <v>12</v>
      </c>
      <c r="X1866" s="4">
        <v>32</v>
      </c>
      <c r="Y1866" s="4"/>
      <c r="Z1866" s="4">
        <v>408.20000000000005</v>
      </c>
      <c r="AA1866" s="4">
        <v>410</v>
      </c>
      <c r="AB1866" s="18"/>
      <c r="AC1866" s="18">
        <v>35</v>
      </c>
      <c r="AD1866" s="28"/>
      <c r="AE1866" s="26"/>
      <c r="AF1866" s="28"/>
    </row>
    <row r="1867" spans="1:32" ht="13.5" customHeight="1" x14ac:dyDescent="0.25">
      <c r="A1867" s="14">
        <v>45894</v>
      </c>
      <c r="B1867" s="14" t="s">
        <v>46</v>
      </c>
      <c r="C1867" s="15">
        <v>6</v>
      </c>
      <c r="D1867" s="16">
        <v>5</v>
      </c>
      <c r="E1867" s="16"/>
      <c r="F1867" s="17"/>
      <c r="G1867" s="21"/>
      <c r="H1867" s="21"/>
      <c r="I1867" s="4">
        <v>5</v>
      </c>
      <c r="J1867" s="4">
        <v>8.3333333333333329E-2</v>
      </c>
      <c r="K1867" s="4"/>
      <c r="L1867" s="16"/>
      <c r="M1867" s="4"/>
      <c r="N1867" s="4"/>
      <c r="O1867" s="4"/>
      <c r="P1867" s="4"/>
      <c r="Q1867" s="4"/>
      <c r="R1867" s="4"/>
      <c r="S1867" s="4">
        <v>0</v>
      </c>
      <c r="T1867" s="4">
        <v>0</v>
      </c>
      <c r="U1867" s="4">
        <v>8.3333333333333329E-2</v>
      </c>
      <c r="V1867" s="4">
        <v>11.916666666666666</v>
      </c>
      <c r="W1867" s="4">
        <v>12</v>
      </c>
      <c r="X1867" s="4">
        <v>13</v>
      </c>
      <c r="Y1867" s="4"/>
      <c r="Z1867" s="4">
        <v>684.6</v>
      </c>
      <c r="AA1867" s="4">
        <v>685</v>
      </c>
      <c r="AB1867" s="18"/>
      <c r="AC1867" s="18">
        <v>35</v>
      </c>
      <c r="AD1867" s="28"/>
      <c r="AE1867" s="26"/>
      <c r="AF1867" s="28"/>
    </row>
    <row r="1868" spans="1:32" ht="13.5" customHeight="1" x14ac:dyDescent="0.25">
      <c r="A1868" s="14">
        <v>45894</v>
      </c>
      <c r="B1868" s="14" t="s">
        <v>47</v>
      </c>
      <c r="C1868" s="15">
        <v>6</v>
      </c>
      <c r="D1868" s="16"/>
      <c r="E1868" s="16"/>
      <c r="F1868" s="17"/>
      <c r="G1868" s="21"/>
      <c r="H1868" s="21"/>
      <c r="I1868" s="4">
        <v>0</v>
      </c>
      <c r="J1868" s="4">
        <v>0</v>
      </c>
      <c r="K1868" s="4"/>
      <c r="L1868" s="16"/>
      <c r="M1868" s="4"/>
      <c r="N1868" s="4"/>
      <c r="O1868" s="4"/>
      <c r="P1868" s="4"/>
      <c r="Q1868" s="4"/>
      <c r="R1868" s="4"/>
      <c r="S1868" s="4">
        <v>0</v>
      </c>
      <c r="T1868" s="4">
        <v>0</v>
      </c>
      <c r="U1868" s="4">
        <v>0</v>
      </c>
      <c r="V1868" s="4">
        <v>12</v>
      </c>
      <c r="W1868" s="4">
        <v>12</v>
      </c>
      <c r="X1868" s="4">
        <v>28</v>
      </c>
      <c r="Y1868" s="4"/>
      <c r="Z1868" s="4">
        <v>737.4</v>
      </c>
      <c r="AA1868" s="4">
        <v>738</v>
      </c>
      <c r="AB1868" s="18"/>
      <c r="AC1868" s="18">
        <v>35</v>
      </c>
      <c r="AD1868" s="28"/>
      <c r="AE1868" s="26"/>
      <c r="AF1868" s="28"/>
    </row>
    <row r="1869" spans="1:32" ht="13.5" customHeight="1" x14ac:dyDescent="0.25">
      <c r="A1869" s="14">
        <v>45894</v>
      </c>
      <c r="B1869" s="14" t="s">
        <v>46</v>
      </c>
      <c r="C1869" s="15">
        <v>7</v>
      </c>
      <c r="D1869" s="16"/>
      <c r="E1869" s="16"/>
      <c r="F1869" s="17"/>
      <c r="G1869" s="21"/>
      <c r="H1869" s="21"/>
      <c r="I1869" s="4">
        <v>0</v>
      </c>
      <c r="J1869" s="4">
        <v>0</v>
      </c>
      <c r="K1869" s="4"/>
      <c r="L1869" s="16"/>
      <c r="M1869" s="4"/>
      <c r="N1869" s="4"/>
      <c r="O1869" s="4"/>
      <c r="P1869" s="4"/>
      <c r="Q1869" s="4"/>
      <c r="R1869" s="4"/>
      <c r="S1869" s="4">
        <v>0</v>
      </c>
      <c r="T1869" s="4">
        <v>0</v>
      </c>
      <c r="U1869" s="4">
        <v>0</v>
      </c>
      <c r="V1869" s="4">
        <v>12</v>
      </c>
      <c r="W1869" s="4">
        <v>12</v>
      </c>
      <c r="X1869" s="4">
        <v>4</v>
      </c>
      <c r="Y1869" s="4"/>
      <c r="Z1869" s="4">
        <v>350.4</v>
      </c>
      <c r="AA1869" s="4">
        <v>350</v>
      </c>
      <c r="AB1869" s="18"/>
      <c r="AC1869" s="18">
        <v>35</v>
      </c>
      <c r="AD1869" s="28"/>
      <c r="AE1869" s="26"/>
      <c r="AF1869" s="28"/>
    </row>
    <row r="1870" spans="1:32" ht="13.5" customHeight="1" x14ac:dyDescent="0.25">
      <c r="A1870" s="14">
        <v>45894</v>
      </c>
      <c r="B1870" s="14" t="s">
        <v>47</v>
      </c>
      <c r="C1870" s="15">
        <v>7</v>
      </c>
      <c r="D1870" s="16"/>
      <c r="E1870" s="16"/>
      <c r="F1870" s="17"/>
      <c r="G1870" s="21"/>
      <c r="H1870" s="21"/>
      <c r="I1870" s="4">
        <v>0</v>
      </c>
      <c r="J1870" s="4">
        <v>0</v>
      </c>
      <c r="K1870" s="4"/>
      <c r="L1870" s="16"/>
      <c r="M1870" s="4"/>
      <c r="N1870" s="4"/>
      <c r="O1870" s="4"/>
      <c r="P1870" s="4"/>
      <c r="Q1870" s="4"/>
      <c r="R1870" s="4"/>
      <c r="S1870" s="4">
        <v>0</v>
      </c>
      <c r="T1870" s="4">
        <v>0</v>
      </c>
      <c r="U1870" s="4">
        <v>0</v>
      </c>
      <c r="V1870" s="4">
        <v>12</v>
      </c>
      <c r="W1870" s="4">
        <v>12</v>
      </c>
      <c r="X1870" s="4">
        <v>0</v>
      </c>
      <c r="Y1870" s="4"/>
      <c r="Z1870" s="4">
        <v>331</v>
      </c>
      <c r="AA1870" s="4">
        <v>340</v>
      </c>
      <c r="AB1870" s="18"/>
      <c r="AC1870" s="18">
        <v>35</v>
      </c>
      <c r="AD1870" s="28"/>
      <c r="AE1870" s="26"/>
      <c r="AF1870" s="28"/>
    </row>
    <row r="1871" spans="1:32" ht="13.5" customHeight="1" x14ac:dyDescent="0.25">
      <c r="A1871" s="14">
        <v>45895</v>
      </c>
      <c r="B1871" s="14" t="s">
        <v>46</v>
      </c>
      <c r="C1871" s="15">
        <v>1</v>
      </c>
      <c r="D1871" s="16"/>
      <c r="E1871" s="16"/>
      <c r="F1871" s="17"/>
      <c r="G1871" s="21"/>
      <c r="H1871" s="21"/>
      <c r="I1871" s="4">
        <v>0</v>
      </c>
      <c r="J1871" s="4">
        <v>0</v>
      </c>
      <c r="K1871" s="4"/>
      <c r="L1871" s="16"/>
      <c r="M1871" s="4"/>
      <c r="N1871" s="4"/>
      <c r="O1871" s="4"/>
      <c r="P1871" s="4"/>
      <c r="Q1871" s="4"/>
      <c r="R1871" s="4"/>
      <c r="S1871" s="4">
        <v>0</v>
      </c>
      <c r="T1871" s="4">
        <v>0</v>
      </c>
      <c r="U1871" s="4">
        <v>0</v>
      </c>
      <c r="V1871" s="4">
        <v>12</v>
      </c>
      <c r="W1871" s="4">
        <v>12</v>
      </c>
      <c r="X1871" s="4">
        <v>0</v>
      </c>
      <c r="Y1871" s="4">
        <v>2201</v>
      </c>
      <c r="Z1871" s="4">
        <v>153.99999999999997</v>
      </c>
      <c r="AA1871" s="4">
        <v>160</v>
      </c>
      <c r="AB1871" s="18">
        <v>372</v>
      </c>
      <c r="AC1871" s="18">
        <v>35</v>
      </c>
      <c r="AD1871" s="28"/>
      <c r="AE1871" s="26"/>
      <c r="AF1871" s="28"/>
    </row>
    <row r="1872" spans="1:32" ht="13.5" customHeight="1" x14ac:dyDescent="0.25">
      <c r="A1872" s="14">
        <v>45895</v>
      </c>
      <c r="B1872" s="14" t="s">
        <v>47</v>
      </c>
      <c r="C1872" s="15">
        <v>1</v>
      </c>
      <c r="D1872" s="16"/>
      <c r="E1872" s="16"/>
      <c r="F1872" s="17"/>
      <c r="G1872" s="21"/>
      <c r="H1872" s="21"/>
      <c r="I1872" s="4">
        <v>0</v>
      </c>
      <c r="J1872" s="4">
        <v>0</v>
      </c>
      <c r="K1872" s="4"/>
      <c r="L1872" s="16"/>
      <c r="M1872" s="4"/>
      <c r="N1872" s="4"/>
      <c r="O1872" s="4"/>
      <c r="P1872" s="4"/>
      <c r="Q1872" s="4"/>
      <c r="R1872" s="4"/>
      <c r="S1872" s="4">
        <v>0</v>
      </c>
      <c r="T1872" s="4">
        <v>0</v>
      </c>
      <c r="U1872" s="4">
        <v>0</v>
      </c>
      <c r="V1872" s="4">
        <v>12</v>
      </c>
      <c r="W1872" s="4">
        <v>12</v>
      </c>
      <c r="X1872" s="4">
        <v>11</v>
      </c>
      <c r="Y1872" s="4"/>
      <c r="Z1872" s="4">
        <v>114.60000000000001</v>
      </c>
      <c r="AA1872" s="4">
        <v>125</v>
      </c>
      <c r="AB1872" s="18"/>
      <c r="AC1872" s="18">
        <v>35</v>
      </c>
      <c r="AD1872" s="28"/>
      <c r="AE1872" s="26"/>
      <c r="AF1872" s="28"/>
    </row>
    <row r="1873" spans="1:32" ht="13.5" customHeight="1" x14ac:dyDescent="0.25">
      <c r="A1873" s="14">
        <v>45895</v>
      </c>
      <c r="B1873" s="14" t="s">
        <v>46</v>
      </c>
      <c r="C1873" s="15">
        <v>2</v>
      </c>
      <c r="D1873" s="16"/>
      <c r="E1873" s="16"/>
      <c r="F1873" s="17"/>
      <c r="G1873" s="21"/>
      <c r="H1873" s="21"/>
      <c r="I1873" s="4">
        <v>0</v>
      </c>
      <c r="J1873" s="4">
        <v>0</v>
      </c>
      <c r="K1873" s="4"/>
      <c r="L1873" s="16"/>
      <c r="M1873" s="4"/>
      <c r="N1873" s="4"/>
      <c r="O1873" s="4"/>
      <c r="P1873" s="4"/>
      <c r="Q1873" s="4"/>
      <c r="R1873" s="4"/>
      <c r="S1873" s="4">
        <v>0</v>
      </c>
      <c r="T1873" s="4">
        <v>0</v>
      </c>
      <c r="U1873" s="4">
        <v>0</v>
      </c>
      <c r="V1873" s="4">
        <v>12</v>
      </c>
      <c r="W1873" s="4">
        <v>12</v>
      </c>
      <c r="X1873" s="4">
        <v>0</v>
      </c>
      <c r="Y1873" s="4"/>
      <c r="Z1873" s="4">
        <v>187.29999999999998</v>
      </c>
      <c r="AA1873" s="4">
        <v>200</v>
      </c>
      <c r="AB1873" s="18"/>
      <c r="AC1873" s="18">
        <v>35</v>
      </c>
      <c r="AD1873" s="28"/>
      <c r="AE1873" s="26"/>
      <c r="AF1873" s="28"/>
    </row>
    <row r="1874" spans="1:32" ht="13.5" customHeight="1" x14ac:dyDescent="0.25">
      <c r="A1874" s="14">
        <v>45895</v>
      </c>
      <c r="B1874" s="14" t="s">
        <v>47</v>
      </c>
      <c r="C1874" s="15">
        <v>2</v>
      </c>
      <c r="D1874" s="16"/>
      <c r="E1874" s="16"/>
      <c r="F1874" s="17"/>
      <c r="G1874" s="21"/>
      <c r="H1874" s="21"/>
      <c r="I1874" s="4">
        <v>0</v>
      </c>
      <c r="J1874" s="4">
        <v>0</v>
      </c>
      <c r="K1874" s="4"/>
      <c r="L1874" s="16"/>
      <c r="M1874" s="4"/>
      <c r="N1874" s="4"/>
      <c r="O1874" s="4"/>
      <c r="P1874" s="4"/>
      <c r="Q1874" s="4"/>
      <c r="R1874" s="4"/>
      <c r="S1874" s="4">
        <v>0</v>
      </c>
      <c r="T1874" s="4">
        <v>0</v>
      </c>
      <c r="U1874" s="4">
        <v>0</v>
      </c>
      <c r="V1874" s="4">
        <v>12</v>
      </c>
      <c r="W1874" s="4">
        <v>12</v>
      </c>
      <c r="X1874" s="4">
        <v>2</v>
      </c>
      <c r="Y1874" s="4"/>
      <c r="Z1874" s="4">
        <v>158.1</v>
      </c>
      <c r="AA1874" s="4">
        <v>165</v>
      </c>
      <c r="AB1874" s="18"/>
      <c r="AC1874" s="18">
        <v>35</v>
      </c>
      <c r="AD1874" s="28"/>
      <c r="AE1874" s="26"/>
      <c r="AF1874" s="28"/>
    </row>
    <row r="1875" spans="1:32" ht="13.5" customHeight="1" x14ac:dyDescent="0.25">
      <c r="A1875" s="14">
        <v>45895</v>
      </c>
      <c r="B1875" s="14" t="s">
        <v>46</v>
      </c>
      <c r="C1875" s="15">
        <v>3</v>
      </c>
      <c r="D1875" s="16"/>
      <c r="E1875" s="16"/>
      <c r="F1875" s="17"/>
      <c r="G1875" s="21"/>
      <c r="H1875" s="21"/>
      <c r="I1875" s="4">
        <v>0</v>
      </c>
      <c r="J1875" s="4">
        <v>0</v>
      </c>
      <c r="K1875" s="4"/>
      <c r="L1875" s="16"/>
      <c r="M1875" s="4"/>
      <c r="N1875" s="4"/>
      <c r="O1875" s="4"/>
      <c r="P1875" s="4"/>
      <c r="Q1875" s="4"/>
      <c r="R1875" s="4"/>
      <c r="S1875" s="4">
        <v>0</v>
      </c>
      <c r="T1875" s="4">
        <v>0</v>
      </c>
      <c r="U1875" s="4">
        <v>0</v>
      </c>
      <c r="V1875" s="4">
        <v>12</v>
      </c>
      <c r="W1875" s="4">
        <v>12</v>
      </c>
      <c r="X1875" s="4">
        <v>0</v>
      </c>
      <c r="Y1875" s="4"/>
      <c r="Z1875" s="4">
        <v>177.3</v>
      </c>
      <c r="AA1875" s="4">
        <v>175</v>
      </c>
      <c r="AB1875" s="18"/>
      <c r="AC1875" s="18">
        <v>35</v>
      </c>
      <c r="AD1875" s="28"/>
      <c r="AE1875" s="26"/>
      <c r="AF1875" s="28"/>
    </row>
    <row r="1876" spans="1:32" ht="13.5" customHeight="1" x14ac:dyDescent="0.25">
      <c r="A1876" s="14">
        <v>45895</v>
      </c>
      <c r="B1876" s="14" t="s">
        <v>47</v>
      </c>
      <c r="C1876" s="15">
        <v>3</v>
      </c>
      <c r="D1876" s="16">
        <v>100</v>
      </c>
      <c r="E1876" s="16"/>
      <c r="F1876" s="17"/>
      <c r="G1876" s="21"/>
      <c r="H1876" s="21"/>
      <c r="I1876" s="4">
        <v>100</v>
      </c>
      <c r="J1876" s="4">
        <v>1.6666666666666667</v>
      </c>
      <c r="K1876" s="4"/>
      <c r="L1876" s="16"/>
      <c r="M1876" s="4"/>
      <c r="N1876" s="4"/>
      <c r="O1876" s="4"/>
      <c r="P1876" s="4"/>
      <c r="Q1876" s="4"/>
      <c r="R1876" s="4"/>
      <c r="S1876" s="4">
        <v>0</v>
      </c>
      <c r="T1876" s="4">
        <v>0</v>
      </c>
      <c r="U1876" s="4">
        <v>1.6666666666666667</v>
      </c>
      <c r="V1876" s="4">
        <v>10.333333333333334</v>
      </c>
      <c r="W1876" s="4">
        <v>12</v>
      </c>
      <c r="X1876" s="4">
        <v>37</v>
      </c>
      <c r="Y1876" s="4"/>
      <c r="Z1876" s="4">
        <v>356.5</v>
      </c>
      <c r="AA1876" s="4">
        <v>370</v>
      </c>
      <c r="AB1876" s="18"/>
      <c r="AC1876" s="18">
        <v>35</v>
      </c>
      <c r="AD1876" s="28"/>
      <c r="AE1876" s="26"/>
      <c r="AF1876" s="28"/>
    </row>
    <row r="1877" spans="1:32" ht="13.5" customHeight="1" x14ac:dyDescent="0.25">
      <c r="A1877" s="14">
        <v>45895</v>
      </c>
      <c r="B1877" s="14" t="s">
        <v>46</v>
      </c>
      <c r="C1877" s="15">
        <v>6</v>
      </c>
      <c r="D1877" s="16"/>
      <c r="E1877" s="16"/>
      <c r="F1877" s="17"/>
      <c r="G1877" s="21"/>
      <c r="H1877" s="21"/>
      <c r="I1877" s="4">
        <v>0</v>
      </c>
      <c r="J1877" s="4">
        <v>0</v>
      </c>
      <c r="K1877" s="4"/>
      <c r="L1877" s="16"/>
      <c r="M1877" s="4"/>
      <c r="N1877" s="4"/>
      <c r="O1877" s="4"/>
      <c r="P1877" s="4"/>
      <c r="Q1877" s="4"/>
      <c r="R1877" s="4"/>
      <c r="S1877" s="4">
        <v>0</v>
      </c>
      <c r="T1877" s="4">
        <v>0</v>
      </c>
      <c r="U1877" s="4">
        <v>0</v>
      </c>
      <c r="V1877" s="4">
        <v>12</v>
      </c>
      <c r="W1877" s="4">
        <v>12</v>
      </c>
      <c r="X1877" s="4">
        <v>27</v>
      </c>
      <c r="Y1877" s="4"/>
      <c r="Z1877" s="4">
        <v>1166.0999999999999</v>
      </c>
      <c r="AA1877" s="4">
        <v>1175</v>
      </c>
      <c r="AB1877" s="18"/>
      <c r="AC1877" s="18">
        <v>35</v>
      </c>
      <c r="AD1877" s="28"/>
      <c r="AE1877" s="26"/>
      <c r="AF1877" s="28"/>
    </row>
    <row r="1878" spans="1:32" ht="13.5" customHeight="1" x14ac:dyDescent="0.25">
      <c r="A1878" s="14">
        <v>45895</v>
      </c>
      <c r="B1878" s="14" t="s">
        <v>47</v>
      </c>
      <c r="C1878" s="15">
        <v>6</v>
      </c>
      <c r="D1878" s="16">
        <v>65</v>
      </c>
      <c r="E1878" s="16"/>
      <c r="F1878" s="17"/>
      <c r="G1878" s="21"/>
      <c r="H1878" s="21"/>
      <c r="I1878" s="4">
        <v>65</v>
      </c>
      <c r="J1878" s="4">
        <v>1.0833333333333333</v>
      </c>
      <c r="K1878" s="4"/>
      <c r="L1878" s="16"/>
      <c r="M1878" s="4"/>
      <c r="N1878" s="4"/>
      <c r="O1878" s="4"/>
      <c r="P1878" s="4"/>
      <c r="Q1878" s="4">
        <v>60</v>
      </c>
      <c r="R1878" s="4"/>
      <c r="S1878" s="4">
        <v>60</v>
      </c>
      <c r="T1878" s="4">
        <v>1</v>
      </c>
      <c r="U1878" s="4">
        <v>2.083333333333333</v>
      </c>
      <c r="V1878" s="4">
        <v>9.9166666666666679</v>
      </c>
      <c r="W1878" s="4">
        <v>12</v>
      </c>
      <c r="X1878" s="4">
        <v>57</v>
      </c>
      <c r="Y1878" s="4"/>
      <c r="Z1878" s="4">
        <v>841.2</v>
      </c>
      <c r="AA1878" s="4">
        <v>855</v>
      </c>
      <c r="AB1878" s="18"/>
      <c r="AC1878" s="18">
        <v>35</v>
      </c>
      <c r="AD1878" s="28"/>
      <c r="AE1878" s="26"/>
      <c r="AF1878" s="28"/>
    </row>
    <row r="1879" spans="1:32" ht="13.5" customHeight="1" x14ac:dyDescent="0.25">
      <c r="A1879" s="14">
        <v>45895</v>
      </c>
      <c r="B1879" s="14" t="s">
        <v>46</v>
      </c>
      <c r="C1879" s="15">
        <v>7</v>
      </c>
      <c r="D1879" s="16"/>
      <c r="E1879" s="16"/>
      <c r="F1879" s="17"/>
      <c r="G1879" s="21"/>
      <c r="H1879" s="21"/>
      <c r="I1879" s="4">
        <v>0</v>
      </c>
      <c r="J1879" s="4">
        <v>0</v>
      </c>
      <c r="K1879" s="4"/>
      <c r="L1879" s="16"/>
      <c r="M1879" s="4"/>
      <c r="N1879" s="4"/>
      <c r="O1879" s="4"/>
      <c r="P1879" s="4"/>
      <c r="Q1879" s="4"/>
      <c r="R1879" s="4"/>
      <c r="S1879" s="4">
        <v>0</v>
      </c>
      <c r="T1879" s="4">
        <v>0</v>
      </c>
      <c r="U1879" s="4">
        <v>0</v>
      </c>
      <c r="V1879" s="4">
        <v>12</v>
      </c>
      <c r="W1879" s="4">
        <v>12</v>
      </c>
      <c r="X1879" s="4">
        <v>0</v>
      </c>
      <c r="Y1879" s="4"/>
      <c r="Z1879" s="4">
        <v>400.73</v>
      </c>
      <c r="AA1879" s="4">
        <v>415</v>
      </c>
      <c r="AB1879" s="18"/>
      <c r="AC1879" s="18">
        <v>35</v>
      </c>
      <c r="AD1879" s="28"/>
      <c r="AE1879" s="26"/>
      <c r="AF1879" s="28"/>
    </row>
    <row r="1880" spans="1:32" ht="13.5" customHeight="1" x14ac:dyDescent="0.25">
      <c r="A1880" s="14">
        <v>45895</v>
      </c>
      <c r="B1880" s="14" t="s">
        <v>47</v>
      </c>
      <c r="C1880" s="15">
        <v>7</v>
      </c>
      <c r="D1880" s="16">
        <v>5</v>
      </c>
      <c r="E1880" s="16"/>
      <c r="F1880" s="17"/>
      <c r="G1880" s="21"/>
      <c r="H1880" s="21"/>
      <c r="I1880" s="4">
        <v>5</v>
      </c>
      <c r="J1880" s="4">
        <v>8.3333333333333329E-2</v>
      </c>
      <c r="K1880" s="4"/>
      <c r="L1880" s="16"/>
      <c r="M1880" s="4"/>
      <c r="N1880" s="4"/>
      <c r="O1880" s="4"/>
      <c r="P1880" s="4"/>
      <c r="Q1880" s="4"/>
      <c r="R1880" s="4"/>
      <c r="S1880" s="4">
        <v>0</v>
      </c>
      <c r="T1880" s="4">
        <v>0</v>
      </c>
      <c r="U1880" s="4">
        <v>8.3333333333333329E-2</v>
      </c>
      <c r="V1880" s="4">
        <v>11.916666666666666</v>
      </c>
      <c r="W1880" s="4">
        <v>12</v>
      </c>
      <c r="X1880" s="4">
        <v>4</v>
      </c>
      <c r="Y1880" s="4"/>
      <c r="Z1880" s="4">
        <v>351.1</v>
      </c>
      <c r="AA1880" s="4">
        <v>360</v>
      </c>
      <c r="AB1880" s="18"/>
      <c r="AC1880" s="18">
        <v>35</v>
      </c>
      <c r="AD1880" s="28"/>
      <c r="AE1880" s="26"/>
      <c r="AF1880" s="28"/>
    </row>
    <row r="1881" spans="1:32" ht="13.5" customHeight="1" x14ac:dyDescent="0.25">
      <c r="A1881" s="14">
        <v>45896</v>
      </c>
      <c r="B1881" s="14" t="s">
        <v>46</v>
      </c>
      <c r="C1881" s="15">
        <v>1</v>
      </c>
      <c r="D1881" s="16"/>
      <c r="E1881" s="16"/>
      <c r="F1881" s="17"/>
      <c r="G1881" s="21"/>
      <c r="H1881" s="21"/>
      <c r="I1881" s="4">
        <v>0</v>
      </c>
      <c r="J1881" s="4">
        <v>0</v>
      </c>
      <c r="K1881" s="4"/>
      <c r="L1881" s="16"/>
      <c r="M1881" s="4"/>
      <c r="N1881" s="4"/>
      <c r="O1881" s="4"/>
      <c r="P1881" s="4"/>
      <c r="Q1881" s="4"/>
      <c r="R1881" s="4"/>
      <c r="S1881" s="4">
        <v>0</v>
      </c>
      <c r="T1881" s="4">
        <v>0</v>
      </c>
      <c r="U1881" s="4">
        <v>0</v>
      </c>
      <c r="V1881" s="4">
        <v>12</v>
      </c>
      <c r="W1881" s="4">
        <v>12</v>
      </c>
      <c r="X1881" s="4">
        <v>60</v>
      </c>
      <c r="Y1881" s="4">
        <v>2150.5</v>
      </c>
      <c r="Z1881" s="4">
        <v>164.6</v>
      </c>
      <c r="AA1881" s="4">
        <v>165</v>
      </c>
      <c r="AB1881" s="18">
        <v>372</v>
      </c>
      <c r="AC1881" s="18">
        <v>35</v>
      </c>
      <c r="AD1881" s="28"/>
      <c r="AE1881" s="26"/>
      <c r="AF1881" s="28"/>
    </row>
    <row r="1882" spans="1:32" ht="13.5" customHeight="1" x14ac:dyDescent="0.25">
      <c r="A1882" s="14">
        <v>45896</v>
      </c>
      <c r="B1882" s="14" t="s">
        <v>47</v>
      </c>
      <c r="C1882" s="15">
        <v>1</v>
      </c>
      <c r="D1882" s="16"/>
      <c r="E1882" s="16"/>
      <c r="F1882" s="17"/>
      <c r="G1882" s="21"/>
      <c r="H1882" s="21"/>
      <c r="I1882" s="4">
        <v>0</v>
      </c>
      <c r="J1882" s="4">
        <v>0</v>
      </c>
      <c r="K1882" s="4"/>
      <c r="L1882" s="16"/>
      <c r="M1882" s="4"/>
      <c r="N1882" s="4"/>
      <c r="O1882" s="4"/>
      <c r="P1882" s="4"/>
      <c r="Q1882" s="4"/>
      <c r="R1882" s="4"/>
      <c r="S1882" s="4">
        <v>0</v>
      </c>
      <c r="T1882" s="4">
        <v>0</v>
      </c>
      <c r="U1882" s="4">
        <v>0</v>
      </c>
      <c r="V1882" s="4">
        <v>12</v>
      </c>
      <c r="W1882" s="4">
        <v>12</v>
      </c>
      <c r="X1882" s="4">
        <v>100</v>
      </c>
      <c r="Y1882" s="4"/>
      <c r="Z1882" s="4">
        <v>155</v>
      </c>
      <c r="AA1882" s="4">
        <v>160</v>
      </c>
      <c r="AB1882" s="18"/>
      <c r="AC1882" s="18">
        <v>35</v>
      </c>
      <c r="AD1882" s="28"/>
      <c r="AE1882" s="26"/>
      <c r="AF1882" s="28"/>
    </row>
    <row r="1883" spans="1:32" ht="13.5" customHeight="1" x14ac:dyDescent="0.25">
      <c r="A1883" s="14">
        <v>45896</v>
      </c>
      <c r="B1883" s="14" t="s">
        <v>46</v>
      </c>
      <c r="C1883" s="15">
        <v>2</v>
      </c>
      <c r="D1883" s="16"/>
      <c r="E1883" s="16"/>
      <c r="F1883" s="17"/>
      <c r="G1883" s="21"/>
      <c r="H1883" s="21"/>
      <c r="I1883" s="4">
        <v>0</v>
      </c>
      <c r="J1883" s="4">
        <v>0</v>
      </c>
      <c r="K1883" s="4"/>
      <c r="L1883" s="16"/>
      <c r="M1883" s="4"/>
      <c r="N1883" s="4"/>
      <c r="O1883" s="4"/>
      <c r="P1883" s="4"/>
      <c r="Q1883" s="4"/>
      <c r="R1883" s="4"/>
      <c r="S1883" s="4">
        <v>0</v>
      </c>
      <c r="T1883" s="4">
        <v>0</v>
      </c>
      <c r="U1883" s="4">
        <v>0</v>
      </c>
      <c r="V1883" s="4">
        <v>12</v>
      </c>
      <c r="W1883" s="4">
        <v>12</v>
      </c>
      <c r="X1883" s="4">
        <v>0</v>
      </c>
      <c r="Y1883" s="4"/>
      <c r="Z1883" s="4">
        <v>183.9</v>
      </c>
      <c r="AA1883" s="4">
        <v>185</v>
      </c>
      <c r="AB1883" s="18"/>
      <c r="AC1883" s="18">
        <v>35</v>
      </c>
      <c r="AD1883" s="28"/>
      <c r="AE1883" s="26"/>
      <c r="AF1883" s="28"/>
    </row>
    <row r="1884" spans="1:32" ht="13.5" customHeight="1" x14ac:dyDescent="0.25">
      <c r="A1884" s="14">
        <v>45896</v>
      </c>
      <c r="B1884" s="14" t="s">
        <v>47</v>
      </c>
      <c r="C1884" s="15">
        <v>2</v>
      </c>
      <c r="D1884" s="16"/>
      <c r="E1884" s="16"/>
      <c r="F1884" s="17"/>
      <c r="G1884" s="21"/>
      <c r="H1884" s="21"/>
      <c r="I1884" s="4">
        <v>0</v>
      </c>
      <c r="J1884" s="4">
        <v>0</v>
      </c>
      <c r="K1884" s="4"/>
      <c r="L1884" s="16"/>
      <c r="M1884" s="4"/>
      <c r="N1884" s="4"/>
      <c r="O1884" s="4"/>
      <c r="P1884" s="4"/>
      <c r="Q1884" s="4"/>
      <c r="R1884" s="4"/>
      <c r="S1884" s="4">
        <v>0</v>
      </c>
      <c r="T1884" s="4">
        <v>0</v>
      </c>
      <c r="U1884" s="4">
        <v>0</v>
      </c>
      <c r="V1884" s="4">
        <v>12</v>
      </c>
      <c r="W1884" s="4">
        <v>12</v>
      </c>
      <c r="X1884" s="4">
        <v>0</v>
      </c>
      <c r="Y1884" s="4"/>
      <c r="Z1884" s="4">
        <v>228.8</v>
      </c>
      <c r="AA1884" s="4">
        <v>230</v>
      </c>
      <c r="AB1884" s="18"/>
      <c r="AC1884" s="18">
        <v>35</v>
      </c>
      <c r="AD1884" s="28"/>
      <c r="AE1884" s="26"/>
      <c r="AF1884" s="28"/>
    </row>
    <row r="1885" spans="1:32" ht="13.5" customHeight="1" x14ac:dyDescent="0.25">
      <c r="A1885" s="14">
        <v>45896</v>
      </c>
      <c r="B1885" s="14" t="s">
        <v>46</v>
      </c>
      <c r="C1885" s="15">
        <v>3</v>
      </c>
      <c r="D1885" s="16"/>
      <c r="E1885" s="16"/>
      <c r="F1885" s="17"/>
      <c r="G1885" s="21"/>
      <c r="H1885" s="21"/>
      <c r="I1885" s="4">
        <v>0</v>
      </c>
      <c r="J1885" s="4">
        <v>0</v>
      </c>
      <c r="K1885" s="4"/>
      <c r="L1885" s="16"/>
      <c r="M1885" s="4"/>
      <c r="N1885" s="4"/>
      <c r="O1885" s="4"/>
      <c r="P1885" s="4"/>
      <c r="Q1885" s="4"/>
      <c r="R1885" s="4"/>
      <c r="S1885" s="4">
        <v>0</v>
      </c>
      <c r="T1885" s="4">
        <v>0</v>
      </c>
      <c r="U1885" s="4">
        <v>0</v>
      </c>
      <c r="V1885" s="4">
        <v>12</v>
      </c>
      <c r="W1885" s="4">
        <v>12</v>
      </c>
      <c r="X1885" s="4">
        <v>0</v>
      </c>
      <c r="Y1885" s="4"/>
      <c r="Z1885" s="4">
        <v>500.10000000000008</v>
      </c>
      <c r="AA1885" s="4">
        <v>505</v>
      </c>
      <c r="AB1885" s="18"/>
      <c r="AC1885" s="18">
        <v>35</v>
      </c>
      <c r="AD1885" s="28"/>
      <c r="AE1885" s="26"/>
      <c r="AF1885" s="28"/>
    </row>
    <row r="1886" spans="1:32" ht="13.5" customHeight="1" x14ac:dyDescent="0.25">
      <c r="A1886" s="14">
        <v>45896</v>
      </c>
      <c r="B1886" s="14" t="s">
        <v>47</v>
      </c>
      <c r="C1886" s="15">
        <v>3</v>
      </c>
      <c r="D1886" s="16">
        <v>25</v>
      </c>
      <c r="E1886" s="16"/>
      <c r="F1886" s="17"/>
      <c r="G1886" s="21"/>
      <c r="H1886" s="21"/>
      <c r="I1886" s="4">
        <v>25</v>
      </c>
      <c r="J1886" s="4">
        <v>0.41666666666666669</v>
      </c>
      <c r="K1886" s="4"/>
      <c r="L1886" s="16"/>
      <c r="M1886" s="4"/>
      <c r="N1886" s="4"/>
      <c r="O1886" s="4"/>
      <c r="P1886" s="4"/>
      <c r="Q1886" s="4"/>
      <c r="R1886" s="4"/>
      <c r="S1886" s="4">
        <v>0</v>
      </c>
      <c r="T1886" s="4">
        <v>0</v>
      </c>
      <c r="U1886" s="4">
        <v>0.41666666666666669</v>
      </c>
      <c r="V1886" s="4">
        <v>11.583333333333334</v>
      </c>
      <c r="W1886" s="4">
        <v>12</v>
      </c>
      <c r="X1886" s="4">
        <v>0</v>
      </c>
      <c r="Y1886" s="4"/>
      <c r="Z1886" s="4">
        <v>483.99999999999994</v>
      </c>
      <c r="AA1886" s="4">
        <v>485</v>
      </c>
      <c r="AB1886" s="18"/>
      <c r="AC1886" s="18">
        <v>35</v>
      </c>
      <c r="AD1886" s="28"/>
      <c r="AE1886" s="26"/>
      <c r="AF1886" s="28"/>
    </row>
    <row r="1887" spans="1:32" ht="13.5" customHeight="1" x14ac:dyDescent="0.25">
      <c r="A1887" s="14">
        <v>45896</v>
      </c>
      <c r="B1887" s="14" t="s">
        <v>46</v>
      </c>
      <c r="C1887" s="15">
        <v>6</v>
      </c>
      <c r="D1887" s="16"/>
      <c r="E1887" s="16"/>
      <c r="F1887" s="17"/>
      <c r="G1887" s="21"/>
      <c r="H1887" s="21"/>
      <c r="I1887" s="4">
        <v>0</v>
      </c>
      <c r="J1887" s="4">
        <v>0</v>
      </c>
      <c r="K1887" s="4"/>
      <c r="L1887" s="16"/>
      <c r="M1887" s="4">
        <v>65</v>
      </c>
      <c r="N1887" s="4"/>
      <c r="O1887" s="4"/>
      <c r="P1887" s="4"/>
      <c r="Q1887" s="4"/>
      <c r="R1887" s="4"/>
      <c r="S1887" s="4">
        <v>65</v>
      </c>
      <c r="T1887" s="4">
        <v>1.0833333333333333</v>
      </c>
      <c r="U1887" s="4">
        <v>1.0833333333333333</v>
      </c>
      <c r="V1887" s="4">
        <v>10.916666666666666</v>
      </c>
      <c r="W1887" s="4">
        <v>12</v>
      </c>
      <c r="X1887" s="4">
        <v>0</v>
      </c>
      <c r="Y1887" s="4"/>
      <c r="Z1887" s="4">
        <v>524</v>
      </c>
      <c r="AA1887" s="4">
        <v>525</v>
      </c>
      <c r="AB1887" s="18"/>
      <c r="AC1887" s="18">
        <v>35</v>
      </c>
      <c r="AD1887" s="28"/>
      <c r="AE1887" s="26"/>
      <c r="AF1887" s="28"/>
    </row>
    <row r="1888" spans="1:32" ht="13.5" customHeight="1" x14ac:dyDescent="0.25">
      <c r="A1888" s="14">
        <v>45896</v>
      </c>
      <c r="B1888" s="14" t="s">
        <v>47</v>
      </c>
      <c r="C1888" s="15">
        <v>6</v>
      </c>
      <c r="D1888" s="16"/>
      <c r="E1888" s="16"/>
      <c r="F1888" s="17"/>
      <c r="G1888" s="21"/>
      <c r="H1888" s="21"/>
      <c r="I1888" s="4">
        <v>0</v>
      </c>
      <c r="J1888" s="4">
        <v>0</v>
      </c>
      <c r="K1888" s="4"/>
      <c r="L1888" s="16"/>
      <c r="M1888" s="4"/>
      <c r="N1888" s="4"/>
      <c r="O1888" s="4"/>
      <c r="P1888" s="4"/>
      <c r="Q1888" s="4">
        <v>65</v>
      </c>
      <c r="R1888" s="4"/>
      <c r="S1888" s="4">
        <v>65</v>
      </c>
      <c r="T1888" s="4">
        <v>1.0833333333333333</v>
      </c>
      <c r="U1888" s="4">
        <v>1.0833333333333333</v>
      </c>
      <c r="V1888" s="4">
        <v>10.916666666666666</v>
      </c>
      <c r="W1888" s="4">
        <v>12</v>
      </c>
      <c r="X1888" s="4">
        <v>0</v>
      </c>
      <c r="Y1888" s="4"/>
      <c r="Z1888" s="4">
        <v>626.20000000000005</v>
      </c>
      <c r="AA1888" s="4">
        <v>630</v>
      </c>
      <c r="AB1888" s="18"/>
      <c r="AC1888" s="18">
        <v>35</v>
      </c>
      <c r="AD1888" s="28"/>
      <c r="AE1888" s="26"/>
      <c r="AF1888" s="28"/>
    </row>
    <row r="1889" spans="1:32" ht="13.5" customHeight="1" x14ac:dyDescent="0.25">
      <c r="A1889" s="14">
        <v>45896</v>
      </c>
      <c r="B1889" s="14" t="s">
        <v>46</v>
      </c>
      <c r="C1889" s="15">
        <v>7</v>
      </c>
      <c r="D1889" s="16"/>
      <c r="E1889" s="16"/>
      <c r="F1889" s="17"/>
      <c r="G1889" s="21"/>
      <c r="H1889" s="21"/>
      <c r="I1889" s="4">
        <v>0</v>
      </c>
      <c r="J1889" s="4">
        <v>0</v>
      </c>
      <c r="K1889" s="4"/>
      <c r="L1889" s="16"/>
      <c r="M1889" s="4"/>
      <c r="N1889" s="4"/>
      <c r="O1889" s="4"/>
      <c r="P1889" s="4"/>
      <c r="Q1889" s="4"/>
      <c r="R1889" s="4"/>
      <c r="S1889" s="4">
        <v>0</v>
      </c>
      <c r="T1889" s="4">
        <v>0</v>
      </c>
      <c r="U1889" s="4">
        <v>0</v>
      </c>
      <c r="V1889" s="4">
        <v>12</v>
      </c>
      <c r="W1889" s="4">
        <v>12</v>
      </c>
      <c r="X1889" s="4">
        <v>0</v>
      </c>
      <c r="Y1889" s="4"/>
      <c r="Z1889" s="4">
        <v>379.94999999999993</v>
      </c>
      <c r="AA1889" s="4">
        <v>380</v>
      </c>
      <c r="AB1889" s="18"/>
      <c r="AC1889" s="18">
        <v>35</v>
      </c>
      <c r="AD1889" s="28"/>
      <c r="AE1889" s="26"/>
      <c r="AF1889" s="28"/>
    </row>
    <row r="1890" spans="1:32" ht="13.5" customHeight="1" x14ac:dyDescent="0.25">
      <c r="A1890" s="14">
        <v>45896</v>
      </c>
      <c r="B1890" s="14" t="s">
        <v>47</v>
      </c>
      <c r="C1890" s="15">
        <v>7</v>
      </c>
      <c r="D1890" s="16"/>
      <c r="E1890" s="16"/>
      <c r="F1890" s="17"/>
      <c r="G1890" s="21"/>
      <c r="H1890" s="21"/>
      <c r="I1890" s="4">
        <v>0</v>
      </c>
      <c r="J1890" s="4">
        <v>0</v>
      </c>
      <c r="K1890" s="4"/>
      <c r="L1890" s="16"/>
      <c r="M1890" s="4"/>
      <c r="N1890" s="4"/>
      <c r="O1890" s="4"/>
      <c r="P1890" s="4"/>
      <c r="Q1890" s="4"/>
      <c r="R1890" s="4"/>
      <c r="S1890" s="4">
        <v>0</v>
      </c>
      <c r="T1890" s="4">
        <v>0</v>
      </c>
      <c r="U1890" s="4">
        <v>0</v>
      </c>
      <c r="V1890" s="4">
        <v>12</v>
      </c>
      <c r="W1890" s="4">
        <v>12</v>
      </c>
      <c r="X1890" s="4">
        <v>0</v>
      </c>
      <c r="Y1890" s="4"/>
      <c r="Z1890" s="4">
        <v>334.9</v>
      </c>
      <c r="AA1890" s="4">
        <v>335</v>
      </c>
      <c r="AB1890" s="18"/>
      <c r="AC1890" s="18">
        <v>35</v>
      </c>
      <c r="AD1890" s="28"/>
      <c r="AE1890" s="26"/>
      <c r="AF1890" s="28"/>
    </row>
    <row r="1891" spans="1:32" ht="13.5" customHeight="1" x14ac:dyDescent="0.25">
      <c r="A1891" s="14">
        <v>45897</v>
      </c>
      <c r="B1891" s="14" t="s">
        <v>46</v>
      </c>
      <c r="C1891" s="15">
        <v>1</v>
      </c>
      <c r="D1891" s="16"/>
      <c r="E1891" s="16"/>
      <c r="F1891" s="17"/>
      <c r="G1891" s="21"/>
      <c r="H1891" s="21"/>
      <c r="I1891" s="4">
        <v>0</v>
      </c>
      <c r="J1891" s="4">
        <v>0</v>
      </c>
      <c r="K1891" s="4"/>
      <c r="L1891" s="16"/>
      <c r="M1891" s="4"/>
      <c r="N1891" s="4"/>
      <c r="O1891" s="4"/>
      <c r="P1891" s="4"/>
      <c r="Q1891" s="4"/>
      <c r="R1891" s="4"/>
      <c r="S1891" s="4">
        <v>0</v>
      </c>
      <c r="T1891" s="4">
        <v>0</v>
      </c>
      <c r="U1891" s="4">
        <v>0</v>
      </c>
      <c r="V1891" s="4">
        <v>12</v>
      </c>
      <c r="W1891" s="4">
        <v>12</v>
      </c>
      <c r="X1891" s="4">
        <v>6</v>
      </c>
      <c r="Y1891" s="4">
        <v>2543</v>
      </c>
      <c r="Z1891" s="4">
        <v>133.62</v>
      </c>
      <c r="AA1891" s="4">
        <v>135</v>
      </c>
      <c r="AB1891" s="18">
        <v>372</v>
      </c>
      <c r="AC1891" s="18">
        <v>35</v>
      </c>
      <c r="AD1891" s="28"/>
      <c r="AE1891" s="26"/>
      <c r="AF1891" s="28"/>
    </row>
    <row r="1892" spans="1:32" ht="13.5" customHeight="1" x14ac:dyDescent="0.25">
      <c r="A1892" s="14">
        <v>45897</v>
      </c>
      <c r="B1892" s="14" t="s">
        <v>47</v>
      </c>
      <c r="C1892" s="15">
        <v>1</v>
      </c>
      <c r="D1892" s="16"/>
      <c r="E1892" s="16"/>
      <c r="F1892" s="17"/>
      <c r="G1892" s="21"/>
      <c r="H1892" s="21"/>
      <c r="I1892" s="4">
        <v>0</v>
      </c>
      <c r="J1892" s="4">
        <v>0</v>
      </c>
      <c r="K1892" s="4"/>
      <c r="L1892" s="16"/>
      <c r="M1892" s="4"/>
      <c r="N1892" s="4"/>
      <c r="O1892" s="4"/>
      <c r="P1892" s="4"/>
      <c r="Q1892" s="4"/>
      <c r="R1892" s="4"/>
      <c r="S1892" s="4">
        <v>0</v>
      </c>
      <c r="T1892" s="4">
        <v>0</v>
      </c>
      <c r="U1892" s="4">
        <v>0</v>
      </c>
      <c r="V1892" s="4">
        <v>12</v>
      </c>
      <c r="W1892" s="4">
        <v>12</v>
      </c>
      <c r="X1892" s="4">
        <v>0</v>
      </c>
      <c r="Y1892" s="4"/>
      <c r="Z1892" s="4">
        <v>123.8</v>
      </c>
      <c r="AA1892" s="4">
        <v>130</v>
      </c>
      <c r="AB1892" s="18"/>
      <c r="AC1892" s="18">
        <v>35</v>
      </c>
      <c r="AD1892" s="28"/>
      <c r="AE1892" s="26"/>
      <c r="AF1892" s="28"/>
    </row>
    <row r="1893" spans="1:32" ht="13.5" customHeight="1" x14ac:dyDescent="0.25">
      <c r="A1893" s="14">
        <v>45897</v>
      </c>
      <c r="B1893" s="14" t="s">
        <v>46</v>
      </c>
      <c r="C1893" s="15">
        <v>2</v>
      </c>
      <c r="D1893" s="16"/>
      <c r="E1893" s="16"/>
      <c r="F1893" s="17"/>
      <c r="G1893" s="21"/>
      <c r="H1893" s="21"/>
      <c r="I1893" s="4">
        <v>0</v>
      </c>
      <c r="J1893" s="4">
        <v>0</v>
      </c>
      <c r="K1893" s="4"/>
      <c r="L1893" s="16"/>
      <c r="M1893" s="4"/>
      <c r="N1893" s="4"/>
      <c r="O1893" s="4"/>
      <c r="P1893" s="4"/>
      <c r="Q1893" s="4"/>
      <c r="R1893" s="4"/>
      <c r="S1893" s="4">
        <v>0</v>
      </c>
      <c r="T1893" s="4">
        <v>0</v>
      </c>
      <c r="U1893" s="4">
        <v>0</v>
      </c>
      <c r="V1893" s="4">
        <v>12</v>
      </c>
      <c r="W1893" s="4">
        <v>12</v>
      </c>
      <c r="X1893" s="4">
        <v>0</v>
      </c>
      <c r="Y1893" s="4"/>
      <c r="Z1893" s="4">
        <v>227.4</v>
      </c>
      <c r="AA1893" s="4">
        <v>230</v>
      </c>
      <c r="AB1893" s="18"/>
      <c r="AC1893" s="18">
        <v>35</v>
      </c>
      <c r="AD1893" s="28"/>
      <c r="AE1893" s="26"/>
      <c r="AF1893" s="28"/>
    </row>
    <row r="1894" spans="1:32" ht="13.5" customHeight="1" x14ac:dyDescent="0.25">
      <c r="A1894" s="14">
        <v>45897</v>
      </c>
      <c r="B1894" s="14" t="s">
        <v>47</v>
      </c>
      <c r="C1894" s="15">
        <v>2</v>
      </c>
      <c r="D1894" s="16"/>
      <c r="E1894" s="16"/>
      <c r="F1894" s="17"/>
      <c r="G1894" s="21"/>
      <c r="H1894" s="21"/>
      <c r="I1894" s="4">
        <v>0</v>
      </c>
      <c r="J1894" s="4">
        <v>0</v>
      </c>
      <c r="K1894" s="4"/>
      <c r="L1894" s="16"/>
      <c r="M1894" s="4"/>
      <c r="N1894" s="4"/>
      <c r="O1894" s="4"/>
      <c r="P1894" s="4"/>
      <c r="Q1894" s="4"/>
      <c r="R1894" s="4"/>
      <c r="S1894" s="4">
        <v>0</v>
      </c>
      <c r="T1894" s="4">
        <v>0</v>
      </c>
      <c r="U1894" s="4">
        <v>0</v>
      </c>
      <c r="V1894" s="4">
        <v>12</v>
      </c>
      <c r="W1894" s="4">
        <v>12</v>
      </c>
      <c r="X1894" s="4">
        <v>15</v>
      </c>
      <c r="Y1894" s="4"/>
      <c r="Z1894" s="4">
        <v>260.10000000000002</v>
      </c>
      <c r="AA1894" s="4">
        <v>265</v>
      </c>
      <c r="AB1894" s="18"/>
      <c r="AC1894" s="18">
        <v>35</v>
      </c>
      <c r="AD1894" s="28"/>
      <c r="AE1894" s="26"/>
      <c r="AF1894" s="28"/>
    </row>
    <row r="1895" spans="1:32" ht="13.5" customHeight="1" x14ac:dyDescent="0.25">
      <c r="A1895" s="14">
        <v>45897</v>
      </c>
      <c r="B1895" s="14" t="s">
        <v>46</v>
      </c>
      <c r="C1895" s="15">
        <v>3</v>
      </c>
      <c r="D1895" s="16"/>
      <c r="E1895" s="16"/>
      <c r="F1895" s="17"/>
      <c r="G1895" s="21"/>
      <c r="H1895" s="21"/>
      <c r="I1895" s="4">
        <v>0</v>
      </c>
      <c r="J1895" s="4">
        <v>0</v>
      </c>
      <c r="K1895" s="4"/>
      <c r="L1895" s="16"/>
      <c r="M1895" s="4"/>
      <c r="N1895" s="4"/>
      <c r="O1895" s="4"/>
      <c r="P1895" s="4"/>
      <c r="Q1895" s="4"/>
      <c r="R1895" s="4"/>
      <c r="S1895" s="4">
        <v>0</v>
      </c>
      <c r="T1895" s="4">
        <v>0</v>
      </c>
      <c r="U1895" s="4">
        <v>0</v>
      </c>
      <c r="V1895" s="4">
        <v>12</v>
      </c>
      <c r="W1895" s="4">
        <v>12</v>
      </c>
      <c r="X1895" s="4">
        <v>0</v>
      </c>
      <c r="Y1895" s="4"/>
      <c r="Z1895" s="4">
        <v>393.1</v>
      </c>
      <c r="AA1895" s="4">
        <v>400</v>
      </c>
      <c r="AB1895" s="18"/>
      <c r="AC1895" s="18">
        <v>35</v>
      </c>
      <c r="AD1895" s="28"/>
      <c r="AE1895" s="26"/>
      <c r="AF1895" s="28"/>
    </row>
    <row r="1896" spans="1:32" ht="13.5" customHeight="1" x14ac:dyDescent="0.25">
      <c r="A1896" s="14">
        <v>45897</v>
      </c>
      <c r="B1896" s="14" t="s">
        <v>47</v>
      </c>
      <c r="C1896" s="15">
        <v>3</v>
      </c>
      <c r="D1896" s="16"/>
      <c r="E1896" s="16"/>
      <c r="F1896" s="17"/>
      <c r="G1896" s="21"/>
      <c r="H1896" s="21"/>
      <c r="I1896" s="4">
        <v>0</v>
      </c>
      <c r="J1896" s="4">
        <v>0</v>
      </c>
      <c r="K1896" s="4"/>
      <c r="L1896" s="16"/>
      <c r="M1896" s="4"/>
      <c r="N1896" s="4"/>
      <c r="O1896" s="4"/>
      <c r="P1896" s="4"/>
      <c r="Q1896" s="4"/>
      <c r="R1896" s="4"/>
      <c r="S1896" s="4">
        <v>0</v>
      </c>
      <c r="T1896" s="4">
        <v>0</v>
      </c>
      <c r="U1896" s="4">
        <v>0</v>
      </c>
      <c r="V1896" s="4">
        <v>12</v>
      </c>
      <c r="W1896" s="4">
        <v>12</v>
      </c>
      <c r="X1896" s="4">
        <v>10</v>
      </c>
      <c r="Y1896" s="4"/>
      <c r="Z1896" s="4">
        <v>475.40000000000003</v>
      </c>
      <c r="AA1896" s="4">
        <v>480</v>
      </c>
      <c r="AB1896" s="18"/>
      <c r="AC1896" s="18">
        <v>35</v>
      </c>
      <c r="AD1896" s="28"/>
      <c r="AE1896" s="26"/>
      <c r="AF1896" s="28"/>
    </row>
    <row r="1897" spans="1:32" ht="13.5" customHeight="1" x14ac:dyDescent="0.25">
      <c r="A1897" s="14">
        <v>45897</v>
      </c>
      <c r="B1897" s="14" t="s">
        <v>47</v>
      </c>
      <c r="C1897" s="15">
        <v>4</v>
      </c>
      <c r="D1897" s="16"/>
      <c r="E1897" s="16"/>
      <c r="F1897" s="17">
        <v>60</v>
      </c>
      <c r="G1897" s="21"/>
      <c r="H1897" s="21"/>
      <c r="I1897" s="4">
        <v>60</v>
      </c>
      <c r="J1897" s="4">
        <v>1</v>
      </c>
      <c r="K1897" s="4"/>
      <c r="L1897" s="16"/>
      <c r="M1897" s="4"/>
      <c r="N1897" s="4"/>
      <c r="O1897" s="4"/>
      <c r="P1897" s="4"/>
      <c r="Q1897" s="4"/>
      <c r="R1897" s="4"/>
      <c r="S1897" s="4">
        <v>0</v>
      </c>
      <c r="T1897" s="4">
        <v>0</v>
      </c>
      <c r="U1897" s="4">
        <v>1</v>
      </c>
      <c r="V1897" s="4">
        <v>11</v>
      </c>
      <c r="W1897" s="4">
        <v>12</v>
      </c>
      <c r="X1897" s="4">
        <v>15</v>
      </c>
      <c r="Y1897" s="4"/>
      <c r="Z1897" s="4">
        <v>419</v>
      </c>
      <c r="AA1897" s="4">
        <v>420</v>
      </c>
      <c r="AB1897" s="18"/>
      <c r="AC1897" s="18">
        <v>35</v>
      </c>
      <c r="AD1897" s="28"/>
      <c r="AE1897" s="26"/>
      <c r="AF1897" s="28"/>
    </row>
    <row r="1898" spans="1:32" ht="13.5" customHeight="1" x14ac:dyDescent="0.25">
      <c r="A1898" s="14">
        <v>45897</v>
      </c>
      <c r="B1898" s="14" t="s">
        <v>46</v>
      </c>
      <c r="C1898" s="15">
        <v>6</v>
      </c>
      <c r="D1898" s="16">
        <v>5</v>
      </c>
      <c r="E1898" s="16"/>
      <c r="F1898" s="17"/>
      <c r="G1898" s="21"/>
      <c r="H1898" s="21"/>
      <c r="I1898" s="4">
        <v>5</v>
      </c>
      <c r="J1898" s="4">
        <v>8.3333333333333329E-2</v>
      </c>
      <c r="K1898" s="4"/>
      <c r="L1898" s="16"/>
      <c r="M1898" s="4"/>
      <c r="N1898" s="4">
        <v>15</v>
      </c>
      <c r="O1898" s="4"/>
      <c r="P1898" s="4"/>
      <c r="Q1898" s="4"/>
      <c r="R1898" s="4"/>
      <c r="S1898" s="4">
        <v>15</v>
      </c>
      <c r="T1898" s="4">
        <v>0.25</v>
      </c>
      <c r="U1898" s="4">
        <v>0.33333333333333331</v>
      </c>
      <c r="V1898" s="4">
        <v>11.666666666666666</v>
      </c>
      <c r="W1898" s="4">
        <v>12</v>
      </c>
      <c r="X1898" s="4">
        <v>28</v>
      </c>
      <c r="Y1898" s="4"/>
      <c r="Z1898" s="4">
        <v>772.8</v>
      </c>
      <c r="AA1898" s="4">
        <v>780</v>
      </c>
      <c r="AB1898" s="18"/>
      <c r="AC1898" s="18">
        <v>35</v>
      </c>
      <c r="AD1898" s="28"/>
      <c r="AE1898" s="26"/>
      <c r="AF1898" s="28"/>
    </row>
    <row r="1899" spans="1:32" ht="13.5" customHeight="1" x14ac:dyDescent="0.25">
      <c r="A1899" s="14">
        <v>45897</v>
      </c>
      <c r="B1899" s="14" t="s">
        <v>47</v>
      </c>
      <c r="C1899" s="15">
        <v>6</v>
      </c>
      <c r="D1899" s="16"/>
      <c r="E1899" s="16"/>
      <c r="F1899" s="17"/>
      <c r="G1899" s="21"/>
      <c r="H1899" s="21"/>
      <c r="I1899" s="4">
        <v>0</v>
      </c>
      <c r="J1899" s="4">
        <v>0</v>
      </c>
      <c r="K1899" s="4"/>
      <c r="L1899" s="16"/>
      <c r="M1899" s="4"/>
      <c r="N1899" s="4"/>
      <c r="O1899" s="4"/>
      <c r="P1899" s="4"/>
      <c r="Q1899" s="4"/>
      <c r="R1899" s="4"/>
      <c r="S1899" s="4">
        <v>0</v>
      </c>
      <c r="T1899" s="4">
        <v>0</v>
      </c>
      <c r="U1899" s="4">
        <v>0</v>
      </c>
      <c r="V1899" s="4">
        <v>12</v>
      </c>
      <c r="W1899" s="4">
        <v>12</v>
      </c>
      <c r="X1899" s="4">
        <v>10</v>
      </c>
      <c r="Y1899" s="4"/>
      <c r="Z1899" s="4">
        <v>724.3</v>
      </c>
      <c r="AA1899" s="4">
        <v>740</v>
      </c>
      <c r="AB1899" s="18"/>
      <c r="AC1899" s="18">
        <v>35</v>
      </c>
      <c r="AD1899" s="28"/>
      <c r="AE1899" s="26"/>
      <c r="AF1899" s="28"/>
    </row>
    <row r="1900" spans="1:32" ht="13.5" customHeight="1" x14ac:dyDescent="0.25">
      <c r="A1900" s="14">
        <v>45897</v>
      </c>
      <c r="B1900" s="14" t="s">
        <v>46</v>
      </c>
      <c r="C1900" s="15">
        <v>7</v>
      </c>
      <c r="D1900" s="16"/>
      <c r="E1900" s="16"/>
      <c r="F1900" s="17"/>
      <c r="G1900" s="21"/>
      <c r="H1900" s="21"/>
      <c r="I1900" s="4">
        <v>0</v>
      </c>
      <c r="J1900" s="4">
        <v>0</v>
      </c>
      <c r="K1900" s="4"/>
      <c r="L1900" s="16"/>
      <c r="M1900" s="4"/>
      <c r="N1900" s="4"/>
      <c r="O1900" s="4"/>
      <c r="P1900" s="4"/>
      <c r="Q1900" s="4"/>
      <c r="R1900" s="4"/>
      <c r="S1900" s="4">
        <v>0</v>
      </c>
      <c r="T1900" s="4">
        <v>0</v>
      </c>
      <c r="U1900" s="4">
        <v>0</v>
      </c>
      <c r="V1900" s="4">
        <v>12</v>
      </c>
      <c r="W1900" s="4">
        <v>12</v>
      </c>
      <c r="X1900" s="4">
        <v>7</v>
      </c>
      <c r="Y1900" s="4"/>
      <c r="Z1900" s="4">
        <v>324.18</v>
      </c>
      <c r="AA1900" s="4">
        <v>330</v>
      </c>
      <c r="AB1900" s="18"/>
      <c r="AC1900" s="18">
        <v>35</v>
      </c>
      <c r="AD1900" s="28"/>
      <c r="AE1900" s="26"/>
      <c r="AF1900" s="28"/>
    </row>
    <row r="1901" spans="1:32" ht="13.5" customHeight="1" x14ac:dyDescent="0.25">
      <c r="A1901" s="14">
        <v>45897</v>
      </c>
      <c r="B1901" s="14" t="s">
        <v>47</v>
      </c>
      <c r="C1901" s="15">
        <v>7</v>
      </c>
      <c r="D1901" s="16"/>
      <c r="E1901" s="16"/>
      <c r="F1901" s="17"/>
      <c r="G1901" s="21"/>
      <c r="H1901" s="21"/>
      <c r="I1901" s="4">
        <v>0</v>
      </c>
      <c r="J1901" s="4">
        <v>0</v>
      </c>
      <c r="K1901" s="4"/>
      <c r="L1901" s="16"/>
      <c r="M1901" s="4"/>
      <c r="N1901" s="4"/>
      <c r="O1901" s="4"/>
      <c r="P1901" s="4"/>
      <c r="Q1901" s="4"/>
      <c r="R1901" s="4"/>
      <c r="S1901" s="4">
        <v>0</v>
      </c>
      <c r="T1901" s="4">
        <v>0</v>
      </c>
      <c r="U1901" s="4">
        <v>0</v>
      </c>
      <c r="V1901" s="4">
        <v>12</v>
      </c>
      <c r="W1901" s="4">
        <v>12</v>
      </c>
      <c r="X1901" s="4">
        <v>20</v>
      </c>
      <c r="Y1901" s="4"/>
      <c r="Z1901" s="4">
        <v>382.50000000000006</v>
      </c>
      <c r="AA1901" s="4">
        <v>390</v>
      </c>
      <c r="AB1901" s="18"/>
      <c r="AC1901" s="18">
        <v>35</v>
      </c>
      <c r="AD1901" s="28"/>
      <c r="AE1901" s="26"/>
      <c r="AF1901" s="28"/>
    </row>
    <row r="1902" spans="1:32" ht="13.5" customHeight="1" x14ac:dyDescent="0.25">
      <c r="A1902" s="14">
        <v>45898</v>
      </c>
      <c r="B1902" s="14" t="s">
        <v>46</v>
      </c>
      <c r="C1902" s="15">
        <v>1</v>
      </c>
      <c r="D1902" s="16">
        <v>5</v>
      </c>
      <c r="E1902" s="16"/>
      <c r="F1902" s="17"/>
      <c r="G1902" s="21"/>
      <c r="H1902" s="21"/>
      <c r="I1902" s="4">
        <v>5</v>
      </c>
      <c r="J1902" s="4">
        <v>8.3333333333333329E-2</v>
      </c>
      <c r="K1902" s="4"/>
      <c r="L1902" s="16"/>
      <c r="M1902" s="4"/>
      <c r="N1902" s="4"/>
      <c r="O1902" s="4"/>
      <c r="P1902" s="4"/>
      <c r="Q1902" s="4"/>
      <c r="R1902" s="4"/>
      <c r="S1902" s="4">
        <v>0</v>
      </c>
      <c r="T1902" s="4">
        <v>0</v>
      </c>
      <c r="U1902" s="4">
        <v>8.3333333333333329E-2</v>
      </c>
      <c r="V1902" s="4">
        <v>11.916666666666666</v>
      </c>
      <c r="W1902" s="4">
        <v>12</v>
      </c>
      <c r="X1902" s="4">
        <v>3</v>
      </c>
      <c r="Y1902" s="4">
        <v>2090</v>
      </c>
      <c r="Z1902" s="4">
        <v>139</v>
      </c>
      <c r="AA1902" s="4">
        <v>140</v>
      </c>
      <c r="AB1902" s="18">
        <v>372</v>
      </c>
      <c r="AC1902" s="18">
        <v>35</v>
      </c>
      <c r="AD1902" s="28"/>
      <c r="AE1902" s="26"/>
      <c r="AF1902" s="28"/>
    </row>
    <row r="1903" spans="1:32" ht="13.5" customHeight="1" x14ac:dyDescent="0.25">
      <c r="A1903" s="14">
        <v>45898</v>
      </c>
      <c r="B1903" s="14" t="s">
        <v>47</v>
      </c>
      <c r="C1903" s="15">
        <v>1</v>
      </c>
      <c r="D1903" s="16"/>
      <c r="E1903" s="16"/>
      <c r="F1903" s="17"/>
      <c r="G1903" s="21"/>
      <c r="H1903" s="21"/>
      <c r="I1903" s="4">
        <v>0</v>
      </c>
      <c r="J1903" s="4">
        <v>0</v>
      </c>
      <c r="K1903" s="4"/>
      <c r="L1903" s="16"/>
      <c r="M1903" s="4"/>
      <c r="N1903" s="4"/>
      <c r="O1903" s="4"/>
      <c r="P1903" s="4"/>
      <c r="Q1903" s="4"/>
      <c r="R1903" s="4"/>
      <c r="S1903" s="4">
        <v>0</v>
      </c>
      <c r="T1903" s="4">
        <v>0</v>
      </c>
      <c r="U1903" s="4">
        <v>0</v>
      </c>
      <c r="V1903" s="4">
        <v>12</v>
      </c>
      <c r="W1903" s="4">
        <v>12</v>
      </c>
      <c r="X1903" s="4">
        <v>5</v>
      </c>
      <c r="Y1903" s="4"/>
      <c r="Z1903" s="4">
        <v>160.4</v>
      </c>
      <c r="AA1903" s="4">
        <v>162</v>
      </c>
      <c r="AB1903" s="18"/>
      <c r="AC1903" s="18">
        <v>35</v>
      </c>
      <c r="AD1903" s="28"/>
      <c r="AE1903" s="26"/>
      <c r="AF1903" s="28"/>
    </row>
    <row r="1904" spans="1:32" ht="13.5" customHeight="1" x14ac:dyDescent="0.25">
      <c r="A1904" s="14">
        <v>45898</v>
      </c>
      <c r="B1904" s="14" t="s">
        <v>46</v>
      </c>
      <c r="C1904" s="15">
        <v>2</v>
      </c>
      <c r="D1904" s="16">
        <v>20</v>
      </c>
      <c r="E1904" s="16"/>
      <c r="F1904" s="17"/>
      <c r="G1904" s="21"/>
      <c r="H1904" s="21"/>
      <c r="I1904" s="4">
        <v>20</v>
      </c>
      <c r="J1904" s="4">
        <v>0.33333333333333331</v>
      </c>
      <c r="K1904" s="4"/>
      <c r="L1904" s="16"/>
      <c r="M1904" s="4">
        <v>45</v>
      </c>
      <c r="N1904" s="4"/>
      <c r="O1904" s="4"/>
      <c r="P1904" s="4"/>
      <c r="Q1904" s="4"/>
      <c r="R1904" s="4"/>
      <c r="S1904" s="4">
        <v>45</v>
      </c>
      <c r="T1904" s="4">
        <v>0.75</v>
      </c>
      <c r="U1904" s="4">
        <v>1.0833333333333333</v>
      </c>
      <c r="V1904" s="4">
        <v>10.916666666666666</v>
      </c>
      <c r="W1904" s="4">
        <v>12</v>
      </c>
      <c r="X1904" s="4">
        <v>10</v>
      </c>
      <c r="Y1904" s="4"/>
      <c r="Z1904" s="4">
        <v>226.3</v>
      </c>
      <c r="AA1904" s="4">
        <v>230</v>
      </c>
      <c r="AB1904" s="18"/>
      <c r="AC1904" s="18">
        <v>35</v>
      </c>
      <c r="AD1904" s="28"/>
      <c r="AE1904" s="26"/>
      <c r="AF1904" s="28"/>
    </row>
    <row r="1905" spans="1:32" ht="13.5" customHeight="1" x14ac:dyDescent="0.25">
      <c r="A1905" s="14">
        <v>45898</v>
      </c>
      <c r="B1905" s="14" t="s">
        <v>47</v>
      </c>
      <c r="C1905" s="15">
        <v>2</v>
      </c>
      <c r="D1905" s="16"/>
      <c r="E1905" s="16"/>
      <c r="F1905" s="17"/>
      <c r="G1905" s="21"/>
      <c r="H1905" s="21"/>
      <c r="I1905" s="4">
        <v>0</v>
      </c>
      <c r="J1905" s="4">
        <v>0</v>
      </c>
      <c r="K1905" s="4"/>
      <c r="L1905" s="16"/>
      <c r="M1905" s="4"/>
      <c r="N1905" s="4"/>
      <c r="O1905" s="4"/>
      <c r="P1905" s="4"/>
      <c r="Q1905" s="4"/>
      <c r="R1905" s="4"/>
      <c r="S1905" s="4">
        <v>0</v>
      </c>
      <c r="T1905" s="4">
        <v>0</v>
      </c>
      <c r="U1905" s="4">
        <v>0</v>
      </c>
      <c r="V1905" s="4">
        <v>12</v>
      </c>
      <c r="W1905" s="4">
        <v>12</v>
      </c>
      <c r="X1905" s="4">
        <v>7</v>
      </c>
      <c r="Y1905" s="4"/>
      <c r="Z1905" s="4">
        <v>232.5</v>
      </c>
      <c r="AA1905" s="4">
        <v>235</v>
      </c>
      <c r="AB1905" s="18"/>
      <c r="AC1905" s="18">
        <v>35</v>
      </c>
      <c r="AD1905" s="28"/>
      <c r="AE1905" s="26"/>
      <c r="AF1905" s="28"/>
    </row>
    <row r="1906" spans="1:32" ht="13.5" customHeight="1" x14ac:dyDescent="0.25">
      <c r="A1906" s="14">
        <v>45898</v>
      </c>
      <c r="B1906" s="14" t="s">
        <v>46</v>
      </c>
      <c r="C1906" s="15">
        <v>3</v>
      </c>
      <c r="D1906" s="16"/>
      <c r="E1906" s="16"/>
      <c r="F1906" s="17"/>
      <c r="G1906" s="21"/>
      <c r="H1906" s="21"/>
      <c r="I1906" s="4">
        <v>0</v>
      </c>
      <c r="J1906" s="4">
        <v>0</v>
      </c>
      <c r="K1906" s="4"/>
      <c r="L1906" s="16"/>
      <c r="M1906" s="4">
        <v>90</v>
      </c>
      <c r="N1906" s="4"/>
      <c r="O1906" s="4">
        <v>90</v>
      </c>
      <c r="P1906" s="4"/>
      <c r="Q1906" s="4"/>
      <c r="R1906" s="4"/>
      <c r="S1906" s="4">
        <v>180</v>
      </c>
      <c r="T1906" s="4">
        <v>3</v>
      </c>
      <c r="U1906" s="4">
        <v>3</v>
      </c>
      <c r="V1906" s="4">
        <v>9</v>
      </c>
      <c r="W1906" s="4">
        <v>12</v>
      </c>
      <c r="X1906" s="4">
        <v>100</v>
      </c>
      <c r="Y1906" s="4"/>
      <c r="Z1906" s="4">
        <v>456.96</v>
      </c>
      <c r="AA1906" s="4">
        <v>460</v>
      </c>
      <c r="AB1906" s="18"/>
      <c r="AC1906" s="18">
        <v>35</v>
      </c>
      <c r="AD1906" s="28"/>
      <c r="AE1906" s="26"/>
      <c r="AF1906" s="28"/>
    </row>
    <row r="1907" spans="1:32" ht="13.5" customHeight="1" x14ac:dyDescent="0.25">
      <c r="A1907" s="14">
        <v>45898</v>
      </c>
      <c r="B1907" s="14" t="s">
        <v>47</v>
      </c>
      <c r="C1907" s="15">
        <v>3</v>
      </c>
      <c r="D1907" s="16">
        <v>30</v>
      </c>
      <c r="E1907" s="16"/>
      <c r="F1907" s="17"/>
      <c r="G1907" s="21"/>
      <c r="H1907" s="21"/>
      <c r="I1907" s="4">
        <v>30</v>
      </c>
      <c r="J1907" s="4">
        <v>0.5</v>
      </c>
      <c r="K1907" s="4"/>
      <c r="L1907" s="16"/>
      <c r="M1907" s="4"/>
      <c r="N1907" s="4"/>
      <c r="O1907" s="4"/>
      <c r="P1907" s="4"/>
      <c r="Q1907" s="4"/>
      <c r="R1907" s="4"/>
      <c r="S1907" s="4">
        <v>0</v>
      </c>
      <c r="T1907" s="4">
        <v>0</v>
      </c>
      <c r="U1907" s="4">
        <v>0.5</v>
      </c>
      <c r="V1907" s="4">
        <v>11.5</v>
      </c>
      <c r="W1907" s="4">
        <v>12</v>
      </c>
      <c r="X1907" s="4">
        <v>45</v>
      </c>
      <c r="Y1907" s="4"/>
      <c r="Z1907" s="4">
        <v>243.7</v>
      </c>
      <c r="AA1907" s="4">
        <v>245</v>
      </c>
      <c r="AB1907" s="18"/>
      <c r="AC1907" s="18">
        <v>35</v>
      </c>
      <c r="AD1907" s="28"/>
      <c r="AE1907" s="26"/>
      <c r="AF1907" s="28"/>
    </row>
    <row r="1908" spans="1:32" ht="13.5" customHeight="1" x14ac:dyDescent="0.25">
      <c r="A1908" s="14">
        <v>45898</v>
      </c>
      <c r="B1908" s="14" t="s">
        <v>46</v>
      </c>
      <c r="C1908" s="15">
        <v>4</v>
      </c>
      <c r="D1908" s="16"/>
      <c r="E1908" s="16"/>
      <c r="F1908" s="17"/>
      <c r="G1908" s="21"/>
      <c r="H1908" s="21"/>
      <c r="I1908" s="4">
        <v>0</v>
      </c>
      <c r="J1908" s="4">
        <v>0</v>
      </c>
      <c r="K1908" s="4"/>
      <c r="L1908" s="16"/>
      <c r="M1908" s="4"/>
      <c r="N1908" s="4"/>
      <c r="O1908" s="4"/>
      <c r="P1908" s="4"/>
      <c r="Q1908" s="4"/>
      <c r="R1908" s="4"/>
      <c r="S1908" s="4">
        <v>0</v>
      </c>
      <c r="T1908" s="4">
        <v>0</v>
      </c>
      <c r="U1908" s="4">
        <v>0</v>
      </c>
      <c r="V1908" s="4">
        <v>12</v>
      </c>
      <c r="W1908" s="4">
        <v>12</v>
      </c>
      <c r="X1908" s="4">
        <v>0</v>
      </c>
      <c r="Y1908" s="4"/>
      <c r="Z1908" s="4">
        <v>430.69999999999993</v>
      </c>
      <c r="AA1908" s="4">
        <v>435</v>
      </c>
      <c r="AB1908" s="18"/>
      <c r="AC1908" s="18">
        <v>35</v>
      </c>
      <c r="AD1908" s="28"/>
      <c r="AE1908" s="26"/>
      <c r="AF1908" s="28"/>
    </row>
    <row r="1909" spans="1:32" ht="13.5" customHeight="1" x14ac:dyDescent="0.25">
      <c r="A1909" s="14">
        <v>45898</v>
      </c>
      <c r="B1909" s="14" t="s">
        <v>47</v>
      </c>
      <c r="C1909" s="15">
        <v>4</v>
      </c>
      <c r="D1909" s="16">
        <v>11</v>
      </c>
      <c r="E1909" s="16"/>
      <c r="F1909" s="17"/>
      <c r="G1909" s="21"/>
      <c r="H1909" s="21"/>
      <c r="I1909" s="4">
        <v>11</v>
      </c>
      <c r="J1909" s="4">
        <v>0.18333333333333332</v>
      </c>
      <c r="K1909" s="4"/>
      <c r="L1909" s="16">
        <v>20</v>
      </c>
      <c r="M1909" s="4"/>
      <c r="N1909" s="4"/>
      <c r="O1909" s="4"/>
      <c r="P1909" s="4"/>
      <c r="Q1909" s="4"/>
      <c r="R1909" s="4"/>
      <c r="S1909" s="4">
        <v>20</v>
      </c>
      <c r="T1909" s="4">
        <v>0.33333333333333331</v>
      </c>
      <c r="U1909" s="4">
        <v>0.51666666666666661</v>
      </c>
      <c r="V1909" s="4">
        <v>11.483333333333334</v>
      </c>
      <c r="W1909" s="4">
        <v>12</v>
      </c>
      <c r="X1909" s="4">
        <v>10</v>
      </c>
      <c r="Y1909" s="4"/>
      <c r="Z1909" s="4">
        <v>447.6</v>
      </c>
      <c r="AA1909" s="4">
        <v>450</v>
      </c>
      <c r="AB1909" s="18"/>
      <c r="AC1909" s="18">
        <v>35</v>
      </c>
      <c r="AD1909" s="28"/>
      <c r="AE1909" s="26"/>
      <c r="AF1909" s="28"/>
    </row>
    <row r="1910" spans="1:32" ht="13.5" customHeight="1" x14ac:dyDescent="0.25">
      <c r="A1910" s="14">
        <v>45898</v>
      </c>
      <c r="B1910" s="14" t="s">
        <v>46</v>
      </c>
      <c r="C1910" s="15">
        <v>6</v>
      </c>
      <c r="D1910" s="16"/>
      <c r="E1910" s="16"/>
      <c r="F1910" s="17"/>
      <c r="G1910" s="21"/>
      <c r="H1910" s="21"/>
      <c r="I1910" s="4">
        <v>0</v>
      </c>
      <c r="J1910" s="4">
        <v>0</v>
      </c>
      <c r="K1910" s="4"/>
      <c r="L1910" s="16">
        <v>15</v>
      </c>
      <c r="M1910" s="4">
        <v>240</v>
      </c>
      <c r="N1910" s="4"/>
      <c r="O1910" s="4"/>
      <c r="P1910" s="4"/>
      <c r="Q1910" s="4"/>
      <c r="R1910" s="4"/>
      <c r="S1910" s="4">
        <v>255</v>
      </c>
      <c r="T1910" s="4">
        <v>4.25</v>
      </c>
      <c r="U1910" s="4">
        <v>4.25</v>
      </c>
      <c r="V1910" s="4">
        <v>7.75</v>
      </c>
      <c r="W1910" s="4">
        <v>12</v>
      </c>
      <c r="X1910" s="4">
        <v>20</v>
      </c>
      <c r="Y1910" s="4"/>
      <c r="Z1910" s="4">
        <v>441.40000000000003</v>
      </c>
      <c r="AA1910" s="4">
        <v>442</v>
      </c>
      <c r="AB1910" s="18"/>
      <c r="AC1910" s="18">
        <v>35</v>
      </c>
      <c r="AD1910" s="28"/>
      <c r="AE1910" s="26"/>
      <c r="AF1910" s="28"/>
    </row>
    <row r="1911" spans="1:32" ht="13.5" customHeight="1" x14ac:dyDescent="0.25">
      <c r="A1911" s="14">
        <v>45898</v>
      </c>
      <c r="B1911" s="14" t="s">
        <v>47</v>
      </c>
      <c r="C1911" s="15">
        <v>7</v>
      </c>
      <c r="D1911" s="16">
        <v>5</v>
      </c>
      <c r="E1911" s="16"/>
      <c r="F1911" s="17"/>
      <c r="G1911" s="21"/>
      <c r="H1911" s="21"/>
      <c r="I1911" s="4">
        <v>5</v>
      </c>
      <c r="J1911" s="4">
        <v>8.3333333333333329E-2</v>
      </c>
      <c r="K1911" s="4"/>
      <c r="L1911" s="16"/>
      <c r="M1911" s="4"/>
      <c r="N1911" s="4"/>
      <c r="O1911" s="4"/>
      <c r="P1911" s="4"/>
      <c r="Q1911" s="4"/>
      <c r="R1911" s="4"/>
      <c r="S1911" s="4">
        <v>0</v>
      </c>
      <c r="T1911" s="4">
        <v>0</v>
      </c>
      <c r="U1911" s="4">
        <v>8.3333333333333329E-2</v>
      </c>
      <c r="V1911" s="4">
        <v>11.916666666666666</v>
      </c>
      <c r="W1911" s="4">
        <v>12</v>
      </c>
      <c r="X1911" s="4">
        <v>3</v>
      </c>
      <c r="Y1911" s="4"/>
      <c r="Z1911" s="4">
        <v>443.00000000000006</v>
      </c>
      <c r="AA1911" s="4">
        <v>450</v>
      </c>
      <c r="AB1911" s="18"/>
      <c r="AC1911" s="18">
        <v>35</v>
      </c>
      <c r="AD1911" s="28"/>
      <c r="AE1911" s="26"/>
      <c r="AF1911" s="28"/>
    </row>
    <row r="1912" spans="1:32" ht="13.5" customHeight="1" x14ac:dyDescent="0.25">
      <c r="A1912" s="14">
        <v>45898</v>
      </c>
      <c r="B1912" s="41" t="s">
        <v>46</v>
      </c>
      <c r="C1912" s="41">
        <v>7</v>
      </c>
      <c r="D1912" s="16">
        <v>5</v>
      </c>
      <c r="E1912" s="16"/>
      <c r="F1912" s="17"/>
      <c r="G1912" s="21"/>
      <c r="H1912" s="21"/>
      <c r="I1912" s="4">
        <v>5</v>
      </c>
      <c r="J1912" s="4">
        <v>8.3333333333333329E-2</v>
      </c>
      <c r="K1912" s="4"/>
      <c r="L1912" s="16"/>
      <c r="M1912" s="42">
        <v>15</v>
      </c>
      <c r="N1912" s="4"/>
      <c r="O1912" s="4"/>
      <c r="P1912" s="4"/>
      <c r="Q1912" s="4"/>
      <c r="R1912" s="4"/>
      <c r="S1912" s="4">
        <v>15</v>
      </c>
      <c r="T1912" s="4">
        <v>0.25</v>
      </c>
      <c r="U1912" s="4">
        <v>0.33333333333333331</v>
      </c>
      <c r="V1912" s="4">
        <v>11.666666666666666</v>
      </c>
      <c r="W1912" s="4">
        <v>12</v>
      </c>
      <c r="X1912" s="4">
        <v>13</v>
      </c>
      <c r="Y1912" s="4"/>
      <c r="Z1912" s="4">
        <v>355.09999999999997</v>
      </c>
      <c r="AA1912" s="4">
        <v>400</v>
      </c>
      <c r="AB1912" s="18"/>
      <c r="AC1912" s="18">
        <v>35</v>
      </c>
      <c r="AD1912" s="28"/>
      <c r="AE1912" s="26"/>
      <c r="AF1912" s="28"/>
    </row>
    <row r="1913" spans="1:32" ht="13.5" customHeight="1" x14ac:dyDescent="0.25">
      <c r="A1913" s="14">
        <v>45899</v>
      </c>
      <c r="B1913" s="14" t="s">
        <v>46</v>
      </c>
      <c r="C1913" s="15">
        <v>1</v>
      </c>
      <c r="D1913" s="16"/>
      <c r="E1913" s="16"/>
      <c r="F1913" s="17"/>
      <c r="G1913" s="21"/>
      <c r="H1913" s="21"/>
      <c r="I1913" s="4">
        <v>0</v>
      </c>
      <c r="J1913" s="4">
        <v>0</v>
      </c>
      <c r="K1913" s="4"/>
      <c r="L1913" s="16"/>
      <c r="M1913" s="4"/>
      <c r="N1913" s="4"/>
      <c r="O1913" s="4"/>
      <c r="P1913" s="4"/>
      <c r="Q1913" s="4"/>
      <c r="R1913" s="4"/>
      <c r="S1913" s="4">
        <v>0</v>
      </c>
      <c r="T1913" s="4">
        <v>0</v>
      </c>
      <c r="U1913" s="4">
        <v>0</v>
      </c>
      <c r="V1913" s="4">
        <v>12</v>
      </c>
      <c r="W1913" s="4">
        <v>12</v>
      </c>
      <c r="X1913" s="4">
        <v>7</v>
      </c>
      <c r="Y1913" s="4">
        <v>2177</v>
      </c>
      <c r="Z1913" s="4">
        <v>126.2</v>
      </c>
      <c r="AA1913" s="4">
        <v>130</v>
      </c>
      <c r="AB1913" s="18">
        <v>372</v>
      </c>
      <c r="AC1913" s="18">
        <v>35</v>
      </c>
      <c r="AD1913" s="28"/>
      <c r="AE1913" s="26"/>
      <c r="AF1913" s="28"/>
    </row>
    <row r="1914" spans="1:32" ht="13.5" customHeight="1" x14ac:dyDescent="0.25">
      <c r="A1914" s="14">
        <v>45899</v>
      </c>
      <c r="B1914" s="14" t="s">
        <v>47</v>
      </c>
      <c r="C1914" s="15">
        <v>1</v>
      </c>
      <c r="D1914" s="16"/>
      <c r="E1914" s="16"/>
      <c r="F1914" s="17"/>
      <c r="G1914" s="21"/>
      <c r="H1914" s="21"/>
      <c r="I1914" s="4">
        <v>0</v>
      </c>
      <c r="J1914" s="4">
        <v>0</v>
      </c>
      <c r="K1914" s="4"/>
      <c r="L1914" s="16"/>
      <c r="M1914" s="4"/>
      <c r="N1914" s="4"/>
      <c r="O1914" s="4"/>
      <c r="P1914" s="4"/>
      <c r="Q1914" s="4"/>
      <c r="R1914" s="4"/>
      <c r="S1914" s="4">
        <v>0</v>
      </c>
      <c r="T1914" s="4">
        <v>0</v>
      </c>
      <c r="U1914" s="4">
        <v>0</v>
      </c>
      <c r="V1914" s="4">
        <v>12</v>
      </c>
      <c r="W1914" s="4">
        <v>12</v>
      </c>
      <c r="X1914" s="4">
        <v>0</v>
      </c>
      <c r="Y1914" s="4"/>
      <c r="Z1914" s="4">
        <v>42.8</v>
      </c>
      <c r="AA1914" s="4">
        <v>45</v>
      </c>
      <c r="AB1914" s="18"/>
      <c r="AC1914" s="18">
        <v>35</v>
      </c>
      <c r="AD1914" s="28"/>
      <c r="AE1914" s="26"/>
      <c r="AF1914" s="28"/>
    </row>
    <row r="1915" spans="1:32" ht="13.5" customHeight="1" x14ac:dyDescent="0.25">
      <c r="A1915" s="14">
        <v>45899</v>
      </c>
      <c r="B1915" s="14" t="s">
        <v>46</v>
      </c>
      <c r="C1915" s="15">
        <v>2</v>
      </c>
      <c r="D1915" s="16"/>
      <c r="E1915" s="16"/>
      <c r="F1915" s="17"/>
      <c r="G1915" s="21"/>
      <c r="H1915" s="21"/>
      <c r="I1915" s="4">
        <v>0</v>
      </c>
      <c r="J1915" s="4">
        <v>0</v>
      </c>
      <c r="K1915" s="4"/>
      <c r="L1915" s="16"/>
      <c r="M1915" s="4"/>
      <c r="N1915" s="4"/>
      <c r="O1915" s="4"/>
      <c r="P1915" s="4"/>
      <c r="Q1915" s="4"/>
      <c r="R1915" s="4"/>
      <c r="S1915" s="4">
        <v>0</v>
      </c>
      <c r="T1915" s="4">
        <v>0</v>
      </c>
      <c r="U1915" s="4">
        <v>0</v>
      </c>
      <c r="V1915" s="4">
        <v>12</v>
      </c>
      <c r="W1915" s="4">
        <v>12</v>
      </c>
      <c r="X1915" s="4">
        <v>0</v>
      </c>
      <c r="Y1915" s="4"/>
      <c r="Z1915" s="4">
        <v>239</v>
      </c>
      <c r="AA1915" s="4">
        <v>240</v>
      </c>
      <c r="AB1915" s="18"/>
      <c r="AC1915" s="18">
        <v>35</v>
      </c>
      <c r="AD1915" s="28"/>
      <c r="AE1915" s="26"/>
      <c r="AF1915" s="28"/>
    </row>
    <row r="1916" spans="1:32" ht="13.5" customHeight="1" x14ac:dyDescent="0.25">
      <c r="A1916" s="14">
        <v>45899</v>
      </c>
      <c r="B1916" s="14" t="s">
        <v>47</v>
      </c>
      <c r="C1916" s="15">
        <v>2</v>
      </c>
      <c r="D1916" s="16"/>
      <c r="E1916" s="16"/>
      <c r="F1916" s="17"/>
      <c r="G1916" s="21"/>
      <c r="H1916" s="21"/>
      <c r="I1916" s="4">
        <v>0</v>
      </c>
      <c r="J1916" s="4">
        <v>0</v>
      </c>
      <c r="K1916" s="4"/>
      <c r="L1916" s="16"/>
      <c r="M1916" s="4"/>
      <c r="N1916" s="4"/>
      <c r="O1916" s="4"/>
      <c r="P1916" s="4"/>
      <c r="Q1916" s="4"/>
      <c r="R1916" s="4"/>
      <c r="S1916" s="4">
        <v>0</v>
      </c>
      <c r="T1916" s="4">
        <v>0</v>
      </c>
      <c r="U1916" s="4">
        <v>0</v>
      </c>
      <c r="V1916" s="4">
        <v>12</v>
      </c>
      <c r="W1916" s="4">
        <v>12</v>
      </c>
      <c r="X1916" s="4">
        <v>15</v>
      </c>
      <c r="Y1916" s="4"/>
      <c r="Z1916" s="4">
        <v>221.89999999999998</v>
      </c>
      <c r="AA1916" s="4">
        <v>225</v>
      </c>
      <c r="AB1916" s="18"/>
      <c r="AC1916" s="18">
        <v>35</v>
      </c>
      <c r="AD1916" s="28"/>
      <c r="AE1916" s="26"/>
      <c r="AF1916" s="28"/>
    </row>
    <row r="1917" spans="1:32" ht="13.5" customHeight="1" x14ac:dyDescent="0.25">
      <c r="A1917" s="14">
        <v>45899</v>
      </c>
      <c r="B1917" s="14" t="s">
        <v>46</v>
      </c>
      <c r="C1917" s="15">
        <v>3</v>
      </c>
      <c r="D1917" s="16"/>
      <c r="E1917" s="16"/>
      <c r="F1917" s="17"/>
      <c r="G1917" s="21"/>
      <c r="H1917" s="21"/>
      <c r="I1917" s="4">
        <v>0</v>
      </c>
      <c r="J1917" s="4">
        <v>0</v>
      </c>
      <c r="K1917" s="4"/>
      <c r="L1917" s="16"/>
      <c r="M1917" s="4"/>
      <c r="N1917" s="4"/>
      <c r="O1917" s="4"/>
      <c r="P1917" s="4"/>
      <c r="Q1917" s="4"/>
      <c r="R1917" s="4"/>
      <c r="S1917" s="4">
        <v>0</v>
      </c>
      <c r="T1917" s="4">
        <v>0</v>
      </c>
      <c r="U1917" s="4">
        <v>0</v>
      </c>
      <c r="V1917" s="4">
        <v>12</v>
      </c>
      <c r="W1917" s="4">
        <v>12</v>
      </c>
      <c r="X1917" s="4">
        <v>66</v>
      </c>
      <c r="Y1917" s="4"/>
      <c r="Z1917" s="4">
        <v>351.1</v>
      </c>
      <c r="AA1917" s="4">
        <v>355</v>
      </c>
      <c r="AB1917" s="18"/>
      <c r="AC1917" s="18">
        <v>35</v>
      </c>
      <c r="AD1917" s="28"/>
      <c r="AE1917" s="26"/>
      <c r="AF1917" s="28"/>
    </row>
    <row r="1918" spans="1:32" ht="13.5" customHeight="1" x14ac:dyDescent="0.25">
      <c r="A1918" s="14">
        <v>45899</v>
      </c>
      <c r="B1918" s="14" t="s">
        <v>47</v>
      </c>
      <c r="C1918" s="15">
        <v>3</v>
      </c>
      <c r="D1918" s="16"/>
      <c r="E1918" s="16"/>
      <c r="F1918" s="17"/>
      <c r="G1918" s="21"/>
      <c r="H1918" s="21"/>
      <c r="I1918" s="4">
        <v>0</v>
      </c>
      <c r="J1918" s="4">
        <v>0</v>
      </c>
      <c r="K1918" s="4"/>
      <c r="L1918" s="16"/>
      <c r="M1918" s="4"/>
      <c r="N1918" s="4"/>
      <c r="O1918" s="4"/>
      <c r="P1918" s="4"/>
      <c r="Q1918" s="4"/>
      <c r="R1918" s="4"/>
      <c r="S1918" s="4">
        <v>0</v>
      </c>
      <c r="T1918" s="4">
        <v>0</v>
      </c>
      <c r="U1918" s="4">
        <v>0</v>
      </c>
      <c r="V1918" s="4">
        <v>12</v>
      </c>
      <c r="W1918" s="4">
        <v>12</v>
      </c>
      <c r="X1918" s="4">
        <v>33</v>
      </c>
      <c r="Y1918" s="4"/>
      <c r="Z1918" s="4">
        <v>293.7</v>
      </c>
      <c r="AA1918" s="4">
        <v>295</v>
      </c>
      <c r="AB1918" s="18"/>
      <c r="AC1918" s="18">
        <v>35</v>
      </c>
      <c r="AD1918" s="28"/>
      <c r="AE1918" s="26"/>
      <c r="AF1918" s="28"/>
    </row>
    <row r="1919" spans="1:32" ht="13.5" customHeight="1" x14ac:dyDescent="0.25">
      <c r="A1919" s="14">
        <v>45899</v>
      </c>
      <c r="B1919" s="14" t="s">
        <v>46</v>
      </c>
      <c r="C1919" s="15">
        <v>4</v>
      </c>
      <c r="D1919" s="16">
        <v>10</v>
      </c>
      <c r="E1919" s="16"/>
      <c r="F1919" s="17"/>
      <c r="G1919" s="21"/>
      <c r="H1919" s="21"/>
      <c r="I1919" s="4">
        <v>10</v>
      </c>
      <c r="J1919" s="4">
        <v>0.16666666666666666</v>
      </c>
      <c r="K1919" s="4"/>
      <c r="L1919" s="16"/>
      <c r="M1919" s="4"/>
      <c r="N1919" s="4"/>
      <c r="O1919" s="4"/>
      <c r="P1919" s="4"/>
      <c r="Q1919" s="4">
        <v>50</v>
      </c>
      <c r="R1919" s="4"/>
      <c r="S1919" s="4">
        <v>50</v>
      </c>
      <c r="T1919" s="4">
        <v>0.83333333333333337</v>
      </c>
      <c r="U1919" s="4">
        <v>1</v>
      </c>
      <c r="V1919" s="4">
        <v>11</v>
      </c>
      <c r="W1919" s="4">
        <v>12</v>
      </c>
      <c r="X1919" s="4">
        <v>19</v>
      </c>
      <c r="Y1919" s="4"/>
      <c r="Z1919" s="4">
        <v>386.4</v>
      </c>
      <c r="AA1919" s="4">
        <v>400</v>
      </c>
      <c r="AB1919" s="18"/>
      <c r="AC1919" s="18">
        <v>35</v>
      </c>
      <c r="AD1919" s="28"/>
      <c r="AE1919" s="26"/>
      <c r="AF1919" s="28"/>
    </row>
    <row r="1920" spans="1:32" ht="13.5" customHeight="1" x14ac:dyDescent="0.25">
      <c r="A1920" s="14">
        <v>45899</v>
      </c>
      <c r="B1920" s="14" t="s">
        <v>47</v>
      </c>
      <c r="C1920" s="15">
        <v>4</v>
      </c>
      <c r="D1920" s="16"/>
      <c r="E1920" s="16"/>
      <c r="F1920" s="17"/>
      <c r="G1920" s="21"/>
      <c r="H1920" s="21"/>
      <c r="I1920" s="4">
        <v>0</v>
      </c>
      <c r="J1920" s="4">
        <v>0</v>
      </c>
      <c r="K1920" s="4"/>
      <c r="L1920" s="16"/>
      <c r="M1920" s="4"/>
      <c r="N1920" s="4"/>
      <c r="O1920" s="4"/>
      <c r="P1920" s="4"/>
      <c r="Q1920" s="4"/>
      <c r="R1920" s="4"/>
      <c r="S1920" s="4">
        <v>0</v>
      </c>
      <c r="T1920" s="4">
        <v>0</v>
      </c>
      <c r="U1920" s="4">
        <v>0</v>
      </c>
      <c r="V1920" s="4">
        <v>12</v>
      </c>
      <c r="W1920" s="4">
        <v>12</v>
      </c>
      <c r="X1920" s="4">
        <v>7</v>
      </c>
      <c r="Y1920" s="4"/>
      <c r="Z1920" s="4">
        <v>344.20000000000005</v>
      </c>
      <c r="AA1920" s="4">
        <v>345</v>
      </c>
      <c r="AB1920" s="18"/>
      <c r="AC1920" s="18">
        <v>35</v>
      </c>
      <c r="AD1920" s="28"/>
      <c r="AE1920" s="26"/>
      <c r="AF1920" s="28"/>
    </row>
    <row r="1921" spans="1:32" ht="13.5" customHeight="1" x14ac:dyDescent="0.25">
      <c r="A1921" s="14">
        <v>45899</v>
      </c>
      <c r="B1921" s="14" t="s">
        <v>46</v>
      </c>
      <c r="C1921" s="15">
        <v>6</v>
      </c>
      <c r="D1921" s="16"/>
      <c r="E1921" s="16"/>
      <c r="F1921" s="17"/>
      <c r="G1921" s="21"/>
      <c r="H1921" s="21"/>
      <c r="I1921" s="4">
        <v>0</v>
      </c>
      <c r="J1921" s="4">
        <v>0</v>
      </c>
      <c r="K1921" s="4"/>
      <c r="L1921" s="16"/>
      <c r="M1921" s="4"/>
      <c r="N1921" s="4"/>
      <c r="O1921" s="4"/>
      <c r="P1921" s="4"/>
      <c r="Q1921" s="4"/>
      <c r="R1921" s="4"/>
      <c r="S1921" s="4">
        <v>0</v>
      </c>
      <c r="T1921" s="4">
        <v>0</v>
      </c>
      <c r="U1921" s="4">
        <v>0</v>
      </c>
      <c r="V1921" s="4">
        <v>12</v>
      </c>
      <c r="W1921" s="4">
        <v>12</v>
      </c>
      <c r="X1921" s="4">
        <v>39</v>
      </c>
      <c r="Y1921" s="4"/>
      <c r="Z1921" s="4">
        <v>213.15</v>
      </c>
      <c r="AA1921" s="4">
        <v>215</v>
      </c>
      <c r="AB1921" s="18"/>
      <c r="AC1921" s="18">
        <v>35</v>
      </c>
      <c r="AD1921" s="28"/>
      <c r="AE1921" s="26"/>
      <c r="AF1921" s="28"/>
    </row>
    <row r="1922" spans="1:32" ht="13.5" customHeight="1" x14ac:dyDescent="0.25">
      <c r="A1922" s="14">
        <v>45899</v>
      </c>
      <c r="B1922" s="14" t="s">
        <v>47</v>
      </c>
      <c r="C1922" s="15">
        <v>6</v>
      </c>
      <c r="D1922" s="16"/>
      <c r="E1922" s="16"/>
      <c r="F1922" s="17"/>
      <c r="G1922" s="21"/>
      <c r="H1922" s="21"/>
      <c r="I1922" s="4">
        <v>0</v>
      </c>
      <c r="J1922" s="4">
        <v>0</v>
      </c>
      <c r="K1922" s="4"/>
      <c r="L1922" s="16"/>
      <c r="M1922" s="4">
        <v>60</v>
      </c>
      <c r="N1922" s="4"/>
      <c r="O1922" s="4"/>
      <c r="P1922" s="4"/>
      <c r="Q1922" s="4"/>
      <c r="R1922" s="4"/>
      <c r="S1922" s="4">
        <v>60</v>
      </c>
      <c r="T1922" s="4">
        <v>1</v>
      </c>
      <c r="U1922" s="4">
        <v>1</v>
      </c>
      <c r="V1922" s="4">
        <v>11</v>
      </c>
      <c r="W1922" s="4">
        <v>12</v>
      </c>
      <c r="X1922" s="4">
        <v>25</v>
      </c>
      <c r="Y1922" s="4"/>
      <c r="Z1922" s="4">
        <v>641</v>
      </c>
      <c r="AA1922" s="4">
        <v>645</v>
      </c>
      <c r="AB1922" s="18"/>
      <c r="AC1922" s="18">
        <v>35</v>
      </c>
      <c r="AD1922" s="28"/>
      <c r="AE1922" s="26"/>
      <c r="AF1922" s="28"/>
    </row>
    <row r="1923" spans="1:32" ht="13.5" customHeight="1" x14ac:dyDescent="0.25">
      <c r="A1923" s="14">
        <v>45899</v>
      </c>
      <c r="B1923" s="14" t="s">
        <v>46</v>
      </c>
      <c r="C1923" s="15">
        <v>7</v>
      </c>
      <c r="D1923" s="16"/>
      <c r="E1923" s="16"/>
      <c r="F1923" s="17"/>
      <c r="G1923" s="21"/>
      <c r="H1923" s="21"/>
      <c r="I1923" s="4">
        <v>0</v>
      </c>
      <c r="J1923" s="4">
        <v>0</v>
      </c>
      <c r="K1923" s="4"/>
      <c r="L1923" s="16"/>
      <c r="M1923" s="4"/>
      <c r="N1923" s="4"/>
      <c r="O1923" s="4"/>
      <c r="P1923" s="4"/>
      <c r="Q1923" s="4"/>
      <c r="R1923" s="4"/>
      <c r="S1923" s="4">
        <v>0</v>
      </c>
      <c r="T1923" s="4">
        <v>0</v>
      </c>
      <c r="U1923" s="4">
        <v>0</v>
      </c>
      <c r="V1923" s="4">
        <v>12</v>
      </c>
      <c r="W1923" s="4">
        <v>12</v>
      </c>
      <c r="X1923" s="4">
        <v>24</v>
      </c>
      <c r="Y1923" s="4"/>
      <c r="Z1923" s="4">
        <v>294.75</v>
      </c>
      <c r="AA1923" s="4">
        <v>298</v>
      </c>
      <c r="AB1923" s="18"/>
      <c r="AC1923" s="18">
        <v>35</v>
      </c>
      <c r="AD1923" s="28"/>
      <c r="AE1923" s="26"/>
      <c r="AF1923" s="28"/>
    </row>
    <row r="1924" spans="1:32" ht="13.5" customHeight="1" x14ac:dyDescent="0.25">
      <c r="A1924" s="14">
        <v>45899</v>
      </c>
      <c r="B1924" s="14" t="s">
        <v>47</v>
      </c>
      <c r="C1924" s="15">
        <v>7</v>
      </c>
      <c r="D1924" s="16"/>
      <c r="E1924" s="16"/>
      <c r="F1924" s="17"/>
      <c r="G1924" s="21"/>
      <c r="H1924" s="21"/>
      <c r="I1924" s="4">
        <v>0</v>
      </c>
      <c r="J1924" s="4">
        <v>0</v>
      </c>
      <c r="K1924" s="4"/>
      <c r="L1924" s="16"/>
      <c r="M1924" s="4"/>
      <c r="N1924" s="4"/>
      <c r="O1924" s="4"/>
      <c r="P1924" s="4"/>
      <c r="Q1924" s="4"/>
      <c r="R1924" s="4"/>
      <c r="S1924" s="4">
        <v>0</v>
      </c>
      <c r="T1924" s="4">
        <v>0</v>
      </c>
      <c r="U1924" s="4">
        <v>0</v>
      </c>
      <c r="V1924" s="4">
        <v>12</v>
      </c>
      <c r="W1924" s="4">
        <v>12</v>
      </c>
      <c r="X1924" s="4">
        <v>0</v>
      </c>
      <c r="Y1924" s="4"/>
      <c r="Z1924" s="4">
        <v>307.39999999999998</v>
      </c>
      <c r="AA1924" s="4">
        <v>307</v>
      </c>
      <c r="AB1924" s="18"/>
      <c r="AC1924" s="18">
        <v>35</v>
      </c>
      <c r="AD1924" s="28"/>
      <c r="AE1924" s="26"/>
      <c r="AF1924" s="28"/>
    </row>
    <row r="1925" spans="1:32" ht="13.5" customHeight="1" x14ac:dyDescent="0.6">
      <c r="AD1925" s="23"/>
      <c r="AE1925" s="27"/>
      <c r="AF1925" s="23"/>
    </row>
    <row r="1926" spans="1:32" ht="24" x14ac:dyDescent="0.6">
      <c r="W1926" s="29"/>
      <c r="AD1926" s="23"/>
      <c r="AE1926" s="27"/>
      <c r="AF1926" s="23"/>
    </row>
  </sheetData>
  <autoFilter ref="A2:AF1862" xr:uid="{4F046A18-6A93-4714-93D8-4CC33CC9ADAF}"/>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23229-E6C2-41F3-84B2-C6A9ECAB31C2}">
  <dimension ref="A1:AF711"/>
  <sheetViews>
    <sheetView showGridLines="0" workbookViewId="0">
      <pane ySplit="1" topLeftCell="A314" activePane="bottomLeft" state="frozen"/>
      <selection pane="bottomLeft" activeCell="A349" sqref="A349"/>
    </sheetView>
  </sheetViews>
  <sheetFormatPr defaultColWidth="9.28515625" defaultRowHeight="15" x14ac:dyDescent="0.25"/>
  <cols>
    <col min="1" max="3" width="9.28515625" style="19"/>
    <col min="4" max="4" width="11.7109375" style="19" customWidth="1"/>
    <col min="5" max="5" width="13.140625" style="19" customWidth="1"/>
    <col min="6" max="6" width="19.85546875" style="19" customWidth="1"/>
    <col min="7" max="7" width="9.28515625" style="19"/>
    <col min="8" max="8" width="11.140625" style="19" customWidth="1"/>
    <col min="9" max="16" width="9.28515625" style="19"/>
    <col min="17" max="17" width="13.42578125" style="19" bestFit="1" customWidth="1"/>
    <col min="18" max="26" width="9.28515625" style="19"/>
    <col min="27" max="27" width="19.5703125" style="19" bestFit="1" customWidth="1"/>
    <col min="28" max="16384" width="9.28515625" style="19"/>
  </cols>
  <sheetData>
    <row r="1" spans="1:32" x14ac:dyDescent="0.25">
      <c r="A1" s="77" t="s">
        <v>1</v>
      </c>
      <c r="B1" s="77" t="s">
        <v>40</v>
      </c>
      <c r="C1" s="77" t="s">
        <v>63</v>
      </c>
      <c r="D1" s="77" t="s">
        <v>121</v>
      </c>
      <c r="E1" s="77" t="s">
        <v>122</v>
      </c>
      <c r="F1" s="77" t="s">
        <v>123</v>
      </c>
      <c r="G1" s="77" t="s">
        <v>124</v>
      </c>
      <c r="H1" s="77" t="s">
        <v>125</v>
      </c>
      <c r="I1" s="77" t="s">
        <v>141</v>
      </c>
      <c r="J1" s="77" t="s">
        <v>18</v>
      </c>
      <c r="K1" s="77" t="s">
        <v>126</v>
      </c>
      <c r="L1" s="77" t="s">
        <v>127</v>
      </c>
      <c r="M1" s="77" t="s">
        <v>146</v>
      </c>
      <c r="N1" s="77" t="s">
        <v>147</v>
      </c>
      <c r="O1" s="77" t="s">
        <v>128</v>
      </c>
      <c r="P1" s="77" t="s">
        <v>129</v>
      </c>
      <c r="Q1" s="77" t="s">
        <v>130</v>
      </c>
      <c r="R1" s="77" t="s">
        <v>131</v>
      </c>
      <c r="S1" s="77" t="s">
        <v>132</v>
      </c>
      <c r="T1" s="77" t="s">
        <v>133</v>
      </c>
      <c r="U1" s="77" t="s">
        <v>134</v>
      </c>
      <c r="V1" s="77" t="s">
        <v>135</v>
      </c>
      <c r="W1" s="77" t="s">
        <v>142</v>
      </c>
      <c r="X1" s="77" t="s">
        <v>136</v>
      </c>
      <c r="Y1" s="77" t="s">
        <v>137</v>
      </c>
      <c r="Z1" s="77" t="s">
        <v>138</v>
      </c>
      <c r="AA1" s="77" t="s">
        <v>143</v>
      </c>
      <c r="AB1" s="77" t="s">
        <v>139</v>
      </c>
      <c r="AC1" s="77" t="s">
        <v>140</v>
      </c>
      <c r="AD1" s="77" t="s">
        <v>144</v>
      </c>
      <c r="AE1" s="77" t="s">
        <v>148</v>
      </c>
      <c r="AF1" s="77" t="s">
        <v>145</v>
      </c>
    </row>
    <row r="3" spans="1:32" x14ac:dyDescent="0.25">
      <c r="D3" s="78" t="s">
        <v>90</v>
      </c>
    </row>
    <row r="4" spans="1:32" x14ac:dyDescent="0.25">
      <c r="A4" s="78" t="s">
        <v>1</v>
      </c>
      <c r="B4" s="78" t="s">
        <v>40</v>
      </c>
      <c r="C4" s="78" t="s">
        <v>63</v>
      </c>
      <c r="D4" s="19" t="s">
        <v>89</v>
      </c>
      <c r="E4" s="19" t="s">
        <v>93</v>
      </c>
      <c r="F4" s="19" t="s">
        <v>66</v>
      </c>
      <c r="G4" s="19" t="s">
        <v>67</v>
      </c>
      <c r="H4" s="19" t="s">
        <v>68</v>
      </c>
      <c r="I4" s="19" t="s">
        <v>69</v>
      </c>
      <c r="J4" s="19" t="s">
        <v>86</v>
      </c>
      <c r="K4" s="19" t="s">
        <v>70</v>
      </c>
      <c r="L4" s="19" t="s">
        <v>71</v>
      </c>
      <c r="M4" s="19" t="s">
        <v>87</v>
      </c>
      <c r="N4" s="19" t="s">
        <v>88</v>
      </c>
      <c r="O4" s="19" t="s">
        <v>95</v>
      </c>
      <c r="P4" s="19" t="s">
        <v>72</v>
      </c>
      <c r="Q4" s="19" t="s">
        <v>73</v>
      </c>
      <c r="R4" s="19" t="s">
        <v>74</v>
      </c>
      <c r="S4" s="19" t="s">
        <v>75</v>
      </c>
      <c r="T4" s="19" t="s">
        <v>76</v>
      </c>
      <c r="U4" s="19" t="s">
        <v>77</v>
      </c>
      <c r="V4" s="19" t="s">
        <v>78</v>
      </c>
      <c r="W4" s="19" t="s">
        <v>79</v>
      </c>
      <c r="X4" s="19" t="s">
        <v>80</v>
      </c>
      <c r="Y4" s="19" t="s">
        <v>81</v>
      </c>
      <c r="Z4" s="19" t="s">
        <v>82</v>
      </c>
      <c r="AA4" s="19" t="s">
        <v>92</v>
      </c>
      <c r="AB4" s="19" t="s">
        <v>83</v>
      </c>
      <c r="AC4" s="19" t="s">
        <v>85</v>
      </c>
      <c r="AD4" s="19" t="s">
        <v>94</v>
      </c>
      <c r="AE4" s="19" t="s">
        <v>84</v>
      </c>
      <c r="AF4" s="19" t="s">
        <v>91</v>
      </c>
    </row>
    <row r="5" spans="1:32" x14ac:dyDescent="0.25">
      <c r="A5" s="79">
        <v>46113</v>
      </c>
      <c r="B5" s="19" t="s">
        <v>46</v>
      </c>
      <c r="C5" s="19" t="s">
        <v>156</v>
      </c>
      <c r="D5" s="19">
        <v>161.19999999999999</v>
      </c>
      <c r="E5" s="19">
        <v>4</v>
      </c>
      <c r="I5" s="19">
        <v>0</v>
      </c>
      <c r="K5" s="80">
        <v>0</v>
      </c>
      <c r="N5" s="19">
        <v>1</v>
      </c>
      <c r="W5" s="19">
        <v>0</v>
      </c>
      <c r="X5" s="80">
        <v>0</v>
      </c>
      <c r="Y5" s="80">
        <v>0</v>
      </c>
      <c r="Z5" s="80">
        <v>12</v>
      </c>
      <c r="AA5" s="19">
        <v>12</v>
      </c>
      <c r="AC5" s="19">
        <v>169.5</v>
      </c>
      <c r="AF5" s="19">
        <v>14</v>
      </c>
    </row>
    <row r="6" spans="1:32" x14ac:dyDescent="0.25">
      <c r="A6" s="79">
        <v>46113</v>
      </c>
      <c r="B6" s="19" t="s">
        <v>46</v>
      </c>
      <c r="C6" s="19" t="s">
        <v>150</v>
      </c>
      <c r="D6" s="19">
        <v>434</v>
      </c>
      <c r="E6" s="19">
        <v>100</v>
      </c>
      <c r="F6" s="19">
        <v>10</v>
      </c>
      <c r="I6" s="19">
        <v>10</v>
      </c>
      <c r="K6" s="80">
        <v>0.16666666666666666</v>
      </c>
      <c r="N6" s="19">
        <v>2</v>
      </c>
      <c r="W6" s="19">
        <v>0</v>
      </c>
      <c r="X6" s="80">
        <v>0</v>
      </c>
      <c r="Y6" s="80">
        <v>0.16666666666666666</v>
      </c>
      <c r="Z6" s="80">
        <v>23.833333333333336</v>
      </c>
      <c r="AA6" s="19">
        <v>12</v>
      </c>
      <c r="AC6" s="19">
        <v>450</v>
      </c>
      <c r="AF6" s="19">
        <v>14</v>
      </c>
    </row>
    <row r="7" spans="1:32" x14ac:dyDescent="0.25">
      <c r="A7" s="79">
        <v>46113</v>
      </c>
      <c r="B7" s="19" t="s">
        <v>46</v>
      </c>
      <c r="C7" s="19" t="s">
        <v>183</v>
      </c>
      <c r="D7" s="19">
        <v>278.5</v>
      </c>
      <c r="E7" s="19">
        <v>3</v>
      </c>
      <c r="I7" s="19">
        <v>0</v>
      </c>
      <c r="K7" s="80">
        <v>0</v>
      </c>
      <c r="N7" s="19">
        <v>1</v>
      </c>
      <c r="W7" s="19">
        <v>0</v>
      </c>
      <c r="X7" s="80">
        <v>0</v>
      </c>
      <c r="Y7" s="80">
        <v>0</v>
      </c>
      <c r="Z7" s="80">
        <v>12</v>
      </c>
      <c r="AA7" s="19">
        <v>12</v>
      </c>
      <c r="AC7" s="19">
        <v>294</v>
      </c>
      <c r="AF7" s="19">
        <v>14</v>
      </c>
    </row>
    <row r="8" spans="1:32" x14ac:dyDescent="0.25">
      <c r="A8" s="79">
        <v>46113</v>
      </c>
      <c r="B8" s="19" t="s">
        <v>46</v>
      </c>
      <c r="C8" s="19" t="s">
        <v>184</v>
      </c>
      <c r="D8" s="19">
        <v>572.70000000000005</v>
      </c>
      <c r="E8" s="19">
        <v>4</v>
      </c>
      <c r="I8" s="19">
        <v>0</v>
      </c>
      <c r="K8" s="80">
        <v>0</v>
      </c>
      <c r="N8" s="19">
        <v>2</v>
      </c>
      <c r="W8" s="19">
        <v>0</v>
      </c>
      <c r="X8" s="80">
        <v>0</v>
      </c>
      <c r="Y8" s="80">
        <v>0</v>
      </c>
      <c r="Z8" s="80">
        <v>24</v>
      </c>
      <c r="AA8" s="19">
        <v>12</v>
      </c>
      <c r="AC8" s="19">
        <v>599.5</v>
      </c>
      <c r="AF8" s="19">
        <v>14</v>
      </c>
    </row>
    <row r="9" spans="1:32" x14ac:dyDescent="0.25">
      <c r="A9" s="79">
        <v>46113</v>
      </c>
      <c r="B9" s="19" t="s">
        <v>46</v>
      </c>
      <c r="C9" s="19" t="s">
        <v>191</v>
      </c>
      <c r="D9" s="19">
        <v>336.29999999999995</v>
      </c>
      <c r="E9" s="19">
        <v>6</v>
      </c>
      <c r="I9" s="19">
        <v>0</v>
      </c>
      <c r="K9" s="80">
        <v>0</v>
      </c>
      <c r="N9" s="19">
        <v>2</v>
      </c>
      <c r="Q9" s="19">
        <v>300</v>
      </c>
      <c r="R9" s="19">
        <v>20</v>
      </c>
      <c r="W9" s="19">
        <v>320</v>
      </c>
      <c r="X9" s="80">
        <v>5.333333333333333</v>
      </c>
      <c r="Y9" s="80">
        <v>5.333333333333333</v>
      </c>
      <c r="Z9" s="80">
        <v>18.666666666666668</v>
      </c>
      <c r="AA9" s="19">
        <v>12</v>
      </c>
      <c r="AC9" s="19">
        <v>358.5</v>
      </c>
      <c r="AF9" s="19">
        <v>14</v>
      </c>
    </row>
    <row r="10" spans="1:32" x14ac:dyDescent="0.25">
      <c r="A10" s="79">
        <v>46113</v>
      </c>
      <c r="B10" s="19" t="s">
        <v>46</v>
      </c>
      <c r="C10" s="19" t="s">
        <v>64</v>
      </c>
      <c r="D10" s="19">
        <v>388.5</v>
      </c>
      <c r="E10" s="19">
        <v>13</v>
      </c>
      <c r="I10" s="19">
        <v>0</v>
      </c>
      <c r="K10" s="80">
        <v>0</v>
      </c>
      <c r="N10" s="19">
        <v>3</v>
      </c>
      <c r="W10" s="19">
        <v>0</v>
      </c>
      <c r="X10" s="80">
        <v>0</v>
      </c>
      <c r="Y10" s="80">
        <v>0</v>
      </c>
      <c r="Z10" s="80">
        <v>36</v>
      </c>
      <c r="AA10" s="19">
        <v>12</v>
      </c>
      <c r="AC10" s="19">
        <v>427.5</v>
      </c>
      <c r="AF10" s="19">
        <v>14</v>
      </c>
    </row>
    <row r="11" spans="1:32" x14ac:dyDescent="0.25">
      <c r="A11" s="79">
        <v>46113</v>
      </c>
      <c r="B11" s="19" t="s">
        <v>47</v>
      </c>
      <c r="C11" s="19" t="s">
        <v>156</v>
      </c>
      <c r="D11" s="19">
        <v>151.69999999999999</v>
      </c>
      <c r="E11" s="19">
        <v>2</v>
      </c>
      <c r="I11" s="19">
        <v>0</v>
      </c>
      <c r="K11" s="80">
        <v>0</v>
      </c>
      <c r="N11" s="19">
        <v>1</v>
      </c>
      <c r="W11" s="19">
        <v>0</v>
      </c>
      <c r="X11" s="80">
        <v>0</v>
      </c>
      <c r="Y11" s="80">
        <v>0</v>
      </c>
      <c r="Z11" s="80">
        <v>12</v>
      </c>
      <c r="AA11" s="19">
        <v>12</v>
      </c>
      <c r="AC11" s="19">
        <v>160</v>
      </c>
      <c r="AF11" s="19">
        <v>14</v>
      </c>
    </row>
    <row r="12" spans="1:32" x14ac:dyDescent="0.25">
      <c r="A12" s="79">
        <v>46113</v>
      </c>
      <c r="B12" s="19" t="s">
        <v>47</v>
      </c>
      <c r="C12" s="19" t="s">
        <v>65</v>
      </c>
      <c r="D12" s="19">
        <v>193.4</v>
      </c>
      <c r="G12" s="19">
        <v>120</v>
      </c>
      <c r="I12" s="19">
        <v>120</v>
      </c>
      <c r="K12" s="80">
        <v>2</v>
      </c>
      <c r="N12" s="19">
        <v>1</v>
      </c>
      <c r="W12" s="19">
        <v>0</v>
      </c>
      <c r="X12" s="80">
        <v>0</v>
      </c>
      <c r="Y12" s="80">
        <v>2</v>
      </c>
      <c r="Z12" s="80">
        <v>10</v>
      </c>
      <c r="AA12" s="19">
        <v>12</v>
      </c>
      <c r="AC12" s="19">
        <v>202.5</v>
      </c>
      <c r="AF12" s="19">
        <v>14</v>
      </c>
    </row>
    <row r="13" spans="1:32" x14ac:dyDescent="0.25">
      <c r="A13" s="79">
        <v>46113</v>
      </c>
      <c r="B13" s="19" t="s">
        <v>47</v>
      </c>
      <c r="C13" s="19" t="s">
        <v>150</v>
      </c>
      <c r="D13" s="19">
        <v>436</v>
      </c>
      <c r="I13" s="19">
        <v>0</v>
      </c>
      <c r="K13" s="80">
        <v>0</v>
      </c>
      <c r="N13" s="19">
        <v>1</v>
      </c>
      <c r="W13" s="19">
        <v>0</v>
      </c>
      <c r="X13" s="80">
        <v>0</v>
      </c>
      <c r="Y13" s="80">
        <v>0</v>
      </c>
      <c r="Z13" s="80">
        <v>12</v>
      </c>
      <c r="AA13" s="19">
        <v>12</v>
      </c>
      <c r="AC13" s="19">
        <v>448.5</v>
      </c>
      <c r="AF13" s="19">
        <v>14</v>
      </c>
    </row>
    <row r="14" spans="1:32" x14ac:dyDescent="0.25">
      <c r="A14" s="79">
        <v>46113</v>
      </c>
      <c r="B14" s="19" t="s">
        <v>47</v>
      </c>
      <c r="C14" s="19" t="s">
        <v>183</v>
      </c>
      <c r="D14" s="19">
        <v>297.39999999999998</v>
      </c>
      <c r="E14" s="19">
        <v>2</v>
      </c>
      <c r="I14" s="19">
        <v>0</v>
      </c>
      <c r="K14" s="80">
        <v>0</v>
      </c>
      <c r="N14" s="19">
        <v>1</v>
      </c>
      <c r="W14" s="19">
        <v>0</v>
      </c>
      <c r="X14" s="80">
        <v>0</v>
      </c>
      <c r="Y14" s="80">
        <v>0</v>
      </c>
      <c r="Z14" s="80">
        <v>12</v>
      </c>
      <c r="AA14" s="19">
        <v>12</v>
      </c>
      <c r="AC14" s="19">
        <v>309.39999999999998</v>
      </c>
      <c r="AF14" s="19">
        <v>14</v>
      </c>
    </row>
    <row r="15" spans="1:32" x14ac:dyDescent="0.25">
      <c r="A15" s="79">
        <v>46113</v>
      </c>
      <c r="B15" s="19" t="s">
        <v>47</v>
      </c>
      <c r="C15" s="19" t="s">
        <v>184</v>
      </c>
      <c r="D15" s="19">
        <v>545.29999999999995</v>
      </c>
      <c r="E15" s="19">
        <v>2</v>
      </c>
      <c r="I15" s="19">
        <v>0</v>
      </c>
      <c r="K15" s="80">
        <v>0</v>
      </c>
      <c r="N15" s="19">
        <v>1</v>
      </c>
      <c r="W15" s="19">
        <v>0</v>
      </c>
      <c r="X15" s="80">
        <v>0</v>
      </c>
      <c r="Y15" s="80">
        <v>0</v>
      </c>
      <c r="Z15" s="80">
        <v>12</v>
      </c>
      <c r="AA15" s="19">
        <v>12</v>
      </c>
      <c r="AC15" s="19">
        <v>562</v>
      </c>
      <c r="AF15" s="19">
        <v>14</v>
      </c>
    </row>
    <row r="16" spans="1:32" x14ac:dyDescent="0.25">
      <c r="A16" s="79">
        <v>46113</v>
      </c>
      <c r="B16" s="19" t="s">
        <v>47</v>
      </c>
      <c r="C16" s="19" t="s">
        <v>191</v>
      </c>
      <c r="D16" s="19">
        <v>281.29999999999995</v>
      </c>
      <c r="E16" s="19">
        <v>28</v>
      </c>
      <c r="G16" s="19">
        <v>240</v>
      </c>
      <c r="I16" s="19">
        <v>240</v>
      </c>
      <c r="K16" s="80">
        <v>4</v>
      </c>
      <c r="N16" s="19">
        <v>2</v>
      </c>
      <c r="W16" s="19">
        <v>0</v>
      </c>
      <c r="X16" s="80">
        <v>0</v>
      </c>
      <c r="Y16" s="80">
        <v>4</v>
      </c>
      <c r="Z16" s="80">
        <v>20</v>
      </c>
      <c r="AA16" s="19">
        <v>12</v>
      </c>
      <c r="AC16" s="19">
        <v>304.5</v>
      </c>
      <c r="AF16" s="19">
        <v>14</v>
      </c>
    </row>
    <row r="17" spans="1:32" x14ac:dyDescent="0.25">
      <c r="A17" s="79">
        <v>46113</v>
      </c>
      <c r="B17" s="19" t="s">
        <v>47</v>
      </c>
      <c r="C17" s="19" t="s">
        <v>64</v>
      </c>
      <c r="D17" s="19">
        <v>507</v>
      </c>
      <c r="E17" s="19">
        <v>25</v>
      </c>
      <c r="I17" s="19">
        <v>0</v>
      </c>
      <c r="K17" s="80">
        <v>0</v>
      </c>
      <c r="N17" s="19">
        <v>2</v>
      </c>
      <c r="W17" s="19">
        <v>0</v>
      </c>
      <c r="X17" s="80">
        <v>0</v>
      </c>
      <c r="Y17" s="80">
        <v>0</v>
      </c>
      <c r="Z17" s="80">
        <v>24</v>
      </c>
      <c r="AA17" s="19">
        <v>12</v>
      </c>
      <c r="AC17" s="19">
        <v>556</v>
      </c>
      <c r="AF17" s="19">
        <v>14</v>
      </c>
    </row>
    <row r="18" spans="1:32" x14ac:dyDescent="0.25">
      <c r="A18" s="79">
        <v>46114</v>
      </c>
      <c r="B18" s="19" t="s">
        <v>46</v>
      </c>
      <c r="C18" s="19" t="s">
        <v>156</v>
      </c>
      <c r="D18" s="19">
        <v>167.7</v>
      </c>
      <c r="E18" s="19">
        <v>2</v>
      </c>
      <c r="I18" s="19">
        <v>0</v>
      </c>
      <c r="K18" s="80">
        <v>0</v>
      </c>
      <c r="N18" s="19">
        <v>1</v>
      </c>
      <c r="W18" s="19">
        <v>0</v>
      </c>
      <c r="X18" s="80">
        <v>0</v>
      </c>
      <c r="Y18" s="80">
        <v>0</v>
      </c>
      <c r="Z18" s="80">
        <v>12</v>
      </c>
      <c r="AA18" s="19">
        <v>12</v>
      </c>
      <c r="AC18" s="19">
        <v>177.5</v>
      </c>
      <c r="AF18" s="19">
        <v>14</v>
      </c>
    </row>
    <row r="19" spans="1:32" x14ac:dyDescent="0.25">
      <c r="A19" s="79">
        <v>46114</v>
      </c>
      <c r="B19" s="19" t="s">
        <v>46</v>
      </c>
      <c r="C19" s="19" t="s">
        <v>65</v>
      </c>
      <c r="D19" s="19">
        <v>154.4</v>
      </c>
      <c r="E19" s="19">
        <v>2</v>
      </c>
      <c r="I19" s="19">
        <v>0</v>
      </c>
      <c r="K19" s="80">
        <v>0</v>
      </c>
      <c r="N19" s="19">
        <v>1</v>
      </c>
      <c r="W19" s="19">
        <v>0</v>
      </c>
      <c r="X19" s="80">
        <v>0</v>
      </c>
      <c r="Y19" s="80">
        <v>0</v>
      </c>
      <c r="Z19" s="80">
        <v>12</v>
      </c>
      <c r="AA19" s="19">
        <v>12</v>
      </c>
      <c r="AC19" s="19">
        <v>163</v>
      </c>
      <c r="AF19" s="19">
        <v>14</v>
      </c>
    </row>
    <row r="20" spans="1:32" x14ac:dyDescent="0.25">
      <c r="A20" s="79">
        <v>46114</v>
      </c>
      <c r="B20" s="19" t="s">
        <v>46</v>
      </c>
      <c r="C20" s="19" t="s">
        <v>150</v>
      </c>
      <c r="D20" s="19">
        <v>264.89999999999998</v>
      </c>
      <c r="E20" s="19">
        <v>25</v>
      </c>
      <c r="I20" s="19">
        <v>0</v>
      </c>
      <c r="K20" s="80">
        <v>0</v>
      </c>
      <c r="N20" s="19">
        <v>1</v>
      </c>
      <c r="T20" s="19">
        <v>240</v>
      </c>
      <c r="W20" s="19">
        <v>240</v>
      </c>
      <c r="X20" s="80">
        <v>4</v>
      </c>
      <c r="Y20" s="80">
        <v>4</v>
      </c>
      <c r="Z20" s="80">
        <v>8</v>
      </c>
      <c r="AA20" s="19">
        <v>12</v>
      </c>
      <c r="AC20" s="19">
        <v>275</v>
      </c>
      <c r="AF20" s="19">
        <v>14</v>
      </c>
    </row>
    <row r="21" spans="1:32" x14ac:dyDescent="0.25">
      <c r="A21" s="79">
        <v>46114</v>
      </c>
      <c r="B21" s="19" t="s">
        <v>46</v>
      </c>
      <c r="C21" s="19" t="s">
        <v>183</v>
      </c>
      <c r="D21" s="19">
        <v>272.7</v>
      </c>
      <c r="E21" s="19">
        <v>5</v>
      </c>
      <c r="I21" s="19">
        <v>0</v>
      </c>
      <c r="K21" s="80">
        <v>0</v>
      </c>
      <c r="N21" s="19">
        <v>1</v>
      </c>
      <c r="W21" s="19">
        <v>0</v>
      </c>
      <c r="X21" s="80">
        <v>0</v>
      </c>
      <c r="Y21" s="80">
        <v>0</v>
      </c>
      <c r="Z21" s="80">
        <v>12</v>
      </c>
      <c r="AA21" s="19">
        <v>12</v>
      </c>
      <c r="AC21" s="19">
        <v>285.5</v>
      </c>
      <c r="AF21" s="19">
        <v>14</v>
      </c>
    </row>
    <row r="22" spans="1:32" x14ac:dyDescent="0.25">
      <c r="A22" s="79">
        <v>46114</v>
      </c>
      <c r="B22" s="19" t="s">
        <v>46</v>
      </c>
      <c r="C22" s="19" t="s">
        <v>184</v>
      </c>
      <c r="D22" s="19">
        <v>608.6</v>
      </c>
      <c r="E22" s="19">
        <v>11</v>
      </c>
      <c r="I22" s="19">
        <v>0</v>
      </c>
      <c r="K22" s="80">
        <v>0</v>
      </c>
      <c r="N22" s="19">
        <v>1</v>
      </c>
      <c r="W22" s="19">
        <v>0</v>
      </c>
      <c r="X22" s="80">
        <v>0</v>
      </c>
      <c r="Y22" s="80">
        <v>0</v>
      </c>
      <c r="Z22" s="80">
        <v>12</v>
      </c>
      <c r="AA22" s="19">
        <v>12</v>
      </c>
      <c r="AC22" s="19">
        <v>631</v>
      </c>
      <c r="AF22" s="19">
        <v>14</v>
      </c>
    </row>
    <row r="23" spans="1:32" ht="14.25" customHeight="1" x14ac:dyDescent="0.25">
      <c r="A23" s="79">
        <v>46114</v>
      </c>
      <c r="B23" s="19" t="s">
        <v>46</v>
      </c>
      <c r="C23" s="19" t="s">
        <v>191</v>
      </c>
      <c r="D23" s="19">
        <v>338.4</v>
      </c>
      <c r="E23" s="19">
        <v>31</v>
      </c>
      <c r="I23" s="19">
        <v>0</v>
      </c>
      <c r="K23" s="80">
        <v>0</v>
      </c>
      <c r="N23" s="19">
        <v>2</v>
      </c>
      <c r="T23" s="19">
        <v>240</v>
      </c>
      <c r="W23" s="19">
        <v>240</v>
      </c>
      <c r="X23" s="80">
        <v>4</v>
      </c>
      <c r="Y23" s="80">
        <v>4</v>
      </c>
      <c r="Z23" s="80">
        <v>20</v>
      </c>
      <c r="AA23" s="19">
        <v>12</v>
      </c>
      <c r="AC23" s="19">
        <v>362</v>
      </c>
      <c r="AF23" s="19">
        <v>14</v>
      </c>
    </row>
    <row r="24" spans="1:32" x14ac:dyDescent="0.25">
      <c r="A24" s="79">
        <v>46114</v>
      </c>
      <c r="B24" s="19" t="s">
        <v>46</v>
      </c>
      <c r="C24" s="19" t="s">
        <v>64</v>
      </c>
      <c r="D24" s="19">
        <v>467.29999999999995</v>
      </c>
      <c r="E24" s="19">
        <v>9</v>
      </c>
      <c r="I24" s="19">
        <v>0</v>
      </c>
      <c r="K24" s="80">
        <v>0</v>
      </c>
      <c r="N24" s="19">
        <v>3</v>
      </c>
      <c r="W24" s="19">
        <v>0</v>
      </c>
      <c r="X24" s="80">
        <v>0</v>
      </c>
      <c r="Y24" s="80">
        <v>0</v>
      </c>
      <c r="Z24" s="80">
        <v>36</v>
      </c>
      <c r="AA24" s="19">
        <v>12</v>
      </c>
      <c r="AC24" s="19">
        <v>511</v>
      </c>
      <c r="AF24" s="19">
        <v>14</v>
      </c>
    </row>
    <row r="25" spans="1:32" x14ac:dyDescent="0.25">
      <c r="A25" s="79">
        <v>46114</v>
      </c>
      <c r="B25" s="19" t="s">
        <v>47</v>
      </c>
      <c r="C25" s="19" t="s">
        <v>156</v>
      </c>
      <c r="D25" s="19">
        <v>170.3</v>
      </c>
      <c r="E25" s="19">
        <v>2</v>
      </c>
      <c r="I25" s="19">
        <v>0</v>
      </c>
      <c r="K25" s="80">
        <v>0</v>
      </c>
      <c r="N25" s="19">
        <v>2</v>
      </c>
      <c r="W25" s="19">
        <v>0</v>
      </c>
      <c r="X25" s="80">
        <v>0</v>
      </c>
      <c r="Y25" s="80">
        <v>0</v>
      </c>
      <c r="Z25" s="80">
        <v>24</v>
      </c>
      <c r="AA25" s="19">
        <v>12</v>
      </c>
      <c r="AC25" s="19">
        <v>185</v>
      </c>
      <c r="AF25" s="19">
        <v>14</v>
      </c>
    </row>
    <row r="26" spans="1:32" x14ac:dyDescent="0.25">
      <c r="A26" s="79">
        <v>46114</v>
      </c>
      <c r="B26" s="19" t="s">
        <v>47</v>
      </c>
      <c r="C26" s="19" t="s">
        <v>65</v>
      </c>
      <c r="D26" s="19">
        <v>147.69999999999999</v>
      </c>
      <c r="E26" s="19">
        <v>2</v>
      </c>
      <c r="I26" s="19">
        <v>0</v>
      </c>
      <c r="K26" s="80">
        <v>0</v>
      </c>
      <c r="N26" s="19">
        <v>1</v>
      </c>
      <c r="W26" s="19">
        <v>0</v>
      </c>
      <c r="X26" s="80">
        <v>0</v>
      </c>
      <c r="Y26" s="80">
        <v>0</v>
      </c>
      <c r="Z26" s="80">
        <v>12</v>
      </c>
      <c r="AA26" s="19">
        <v>12</v>
      </c>
      <c r="AC26" s="19">
        <v>155.5</v>
      </c>
      <c r="AF26" s="19">
        <v>14</v>
      </c>
    </row>
    <row r="27" spans="1:32" x14ac:dyDescent="0.25">
      <c r="A27" s="79">
        <v>46114</v>
      </c>
      <c r="B27" s="19" t="s">
        <v>47</v>
      </c>
      <c r="C27" s="19" t="s">
        <v>150</v>
      </c>
      <c r="D27" s="19">
        <v>429.31999999999994</v>
      </c>
      <c r="E27" s="19">
        <v>9</v>
      </c>
      <c r="I27" s="19">
        <v>0</v>
      </c>
      <c r="K27" s="80">
        <v>0</v>
      </c>
      <c r="N27" s="19">
        <v>3</v>
      </c>
      <c r="W27" s="19">
        <v>0</v>
      </c>
      <c r="X27" s="80">
        <v>0</v>
      </c>
      <c r="Y27" s="80">
        <v>0</v>
      </c>
      <c r="Z27" s="80">
        <v>36</v>
      </c>
      <c r="AA27" s="19">
        <v>12</v>
      </c>
      <c r="AC27" s="19">
        <v>454</v>
      </c>
      <c r="AF27" s="19">
        <v>14</v>
      </c>
    </row>
    <row r="28" spans="1:32" x14ac:dyDescent="0.25">
      <c r="A28" s="79">
        <v>46114</v>
      </c>
      <c r="B28" s="19" t="s">
        <v>47</v>
      </c>
      <c r="C28" s="19" t="s">
        <v>183</v>
      </c>
      <c r="D28" s="19">
        <v>272.70999999999998</v>
      </c>
      <c r="E28" s="19">
        <v>5</v>
      </c>
      <c r="I28" s="19">
        <v>0</v>
      </c>
      <c r="K28" s="80">
        <v>0</v>
      </c>
      <c r="N28" s="19">
        <v>1</v>
      </c>
      <c r="W28" s="19">
        <v>0</v>
      </c>
      <c r="X28" s="80">
        <v>0</v>
      </c>
      <c r="Y28" s="80">
        <v>0</v>
      </c>
      <c r="Z28" s="80">
        <v>12</v>
      </c>
      <c r="AA28" s="19">
        <v>12</v>
      </c>
      <c r="AC28" s="19">
        <v>284.89999999999998</v>
      </c>
      <c r="AF28" s="19">
        <v>14</v>
      </c>
    </row>
    <row r="29" spans="1:32" x14ac:dyDescent="0.25">
      <c r="A29" s="79">
        <v>46114</v>
      </c>
      <c r="B29" s="19" t="s">
        <v>47</v>
      </c>
      <c r="C29" s="19" t="s">
        <v>184</v>
      </c>
      <c r="D29" s="19">
        <v>591.9</v>
      </c>
      <c r="E29" s="19">
        <v>9</v>
      </c>
      <c r="I29" s="19">
        <v>0</v>
      </c>
      <c r="K29" s="80">
        <v>0</v>
      </c>
      <c r="N29" s="19">
        <v>1</v>
      </c>
      <c r="W29" s="19">
        <v>0</v>
      </c>
      <c r="X29" s="80">
        <v>0</v>
      </c>
      <c r="Y29" s="80">
        <v>0</v>
      </c>
      <c r="Z29" s="80">
        <v>12</v>
      </c>
      <c r="AA29" s="19">
        <v>12</v>
      </c>
      <c r="AC29" s="19">
        <v>608.5</v>
      </c>
      <c r="AF29" s="19">
        <v>14</v>
      </c>
    </row>
    <row r="30" spans="1:32" x14ac:dyDescent="0.25">
      <c r="A30" s="79">
        <v>46114</v>
      </c>
      <c r="B30" s="19" t="s">
        <v>47</v>
      </c>
      <c r="C30" s="19" t="s">
        <v>191</v>
      </c>
      <c r="D30" s="19">
        <v>326.89999999999998</v>
      </c>
      <c r="E30" s="19">
        <v>68</v>
      </c>
      <c r="I30" s="19">
        <v>0</v>
      </c>
      <c r="K30" s="80">
        <v>0</v>
      </c>
      <c r="N30" s="19">
        <v>4</v>
      </c>
      <c r="W30" s="19">
        <v>0</v>
      </c>
      <c r="X30" s="80">
        <v>0</v>
      </c>
      <c r="Y30" s="80">
        <v>0</v>
      </c>
      <c r="Z30" s="80">
        <v>48</v>
      </c>
      <c r="AA30" s="19">
        <v>12</v>
      </c>
      <c r="AC30" s="19">
        <v>355.6</v>
      </c>
      <c r="AF30" s="19">
        <v>14</v>
      </c>
    </row>
    <row r="31" spans="1:32" x14ac:dyDescent="0.25">
      <c r="A31" s="79">
        <v>46114</v>
      </c>
      <c r="B31" s="19" t="s">
        <v>47</v>
      </c>
      <c r="C31" s="19" t="s">
        <v>64</v>
      </c>
      <c r="D31" s="19">
        <v>385.1</v>
      </c>
      <c r="E31" s="19">
        <v>7</v>
      </c>
      <c r="I31" s="19">
        <v>0</v>
      </c>
      <c r="K31" s="80">
        <v>0</v>
      </c>
      <c r="N31" s="19">
        <v>2</v>
      </c>
      <c r="W31" s="19">
        <v>0</v>
      </c>
      <c r="X31" s="80">
        <v>0</v>
      </c>
      <c r="Y31" s="80">
        <v>0</v>
      </c>
      <c r="Z31" s="80">
        <v>24</v>
      </c>
      <c r="AA31" s="19">
        <v>12</v>
      </c>
      <c r="AC31" s="19">
        <v>408.5</v>
      </c>
      <c r="AF31" s="19">
        <v>14</v>
      </c>
    </row>
    <row r="32" spans="1:32" x14ac:dyDescent="0.25">
      <c r="A32" s="79">
        <v>46115</v>
      </c>
      <c r="B32" s="19" t="s">
        <v>46</v>
      </c>
      <c r="C32" s="19" t="s">
        <v>156</v>
      </c>
      <c r="D32" s="19">
        <v>141.80000000000001</v>
      </c>
      <c r="E32" s="19">
        <v>1</v>
      </c>
      <c r="I32" s="19">
        <v>0</v>
      </c>
      <c r="K32" s="80">
        <v>0</v>
      </c>
      <c r="N32" s="19">
        <v>1</v>
      </c>
      <c r="W32" s="19">
        <v>0</v>
      </c>
      <c r="X32" s="80">
        <v>0</v>
      </c>
      <c r="Y32" s="80">
        <v>0</v>
      </c>
      <c r="Z32" s="80">
        <v>12</v>
      </c>
      <c r="AA32" s="19">
        <v>12</v>
      </c>
      <c r="AC32" s="19">
        <v>149.5</v>
      </c>
      <c r="AF32" s="19">
        <v>14</v>
      </c>
    </row>
    <row r="33" spans="1:32" x14ac:dyDescent="0.25">
      <c r="A33" s="79">
        <v>46115</v>
      </c>
      <c r="B33" s="19" t="s">
        <v>46</v>
      </c>
      <c r="C33" s="19" t="s">
        <v>65</v>
      </c>
      <c r="D33" s="19">
        <v>193.3</v>
      </c>
      <c r="E33" s="19">
        <v>3</v>
      </c>
      <c r="I33" s="19">
        <v>0</v>
      </c>
      <c r="K33" s="80">
        <v>0</v>
      </c>
      <c r="N33" s="19">
        <v>1</v>
      </c>
      <c r="W33" s="19">
        <v>0</v>
      </c>
      <c r="X33" s="80">
        <v>0</v>
      </c>
      <c r="Y33" s="80">
        <v>0</v>
      </c>
      <c r="Z33" s="80">
        <v>12</v>
      </c>
      <c r="AA33" s="19">
        <v>12</v>
      </c>
      <c r="AC33" s="19">
        <v>201.9</v>
      </c>
      <c r="AF33" s="19">
        <v>14</v>
      </c>
    </row>
    <row r="34" spans="1:32" x14ac:dyDescent="0.25">
      <c r="A34" s="79">
        <v>46115</v>
      </c>
      <c r="B34" s="19" t="s">
        <v>46</v>
      </c>
      <c r="C34" s="19" t="s">
        <v>150</v>
      </c>
      <c r="D34" s="19">
        <v>305</v>
      </c>
      <c r="E34" s="19">
        <v>56</v>
      </c>
      <c r="F34" s="19">
        <v>10</v>
      </c>
      <c r="I34" s="19">
        <v>10</v>
      </c>
      <c r="K34" s="80">
        <v>0.16666666666666669</v>
      </c>
      <c r="N34" s="19">
        <v>3</v>
      </c>
      <c r="R34" s="19">
        <v>10</v>
      </c>
      <c r="W34" s="19">
        <v>10</v>
      </c>
      <c r="X34" s="80">
        <v>0.16666666666666666</v>
      </c>
      <c r="Y34" s="80">
        <v>0.33333333333333331</v>
      </c>
      <c r="Z34" s="80">
        <v>35.666666666666671</v>
      </c>
      <c r="AA34" s="19">
        <v>12</v>
      </c>
      <c r="AC34" s="19">
        <v>329.5</v>
      </c>
      <c r="AF34" s="19">
        <v>14</v>
      </c>
    </row>
    <row r="35" spans="1:32" x14ac:dyDescent="0.25">
      <c r="A35" s="79">
        <v>46115</v>
      </c>
      <c r="B35" s="19" t="s">
        <v>46</v>
      </c>
      <c r="C35" s="19" t="s">
        <v>183</v>
      </c>
      <c r="D35" s="19">
        <v>292.8</v>
      </c>
      <c r="I35" s="19">
        <v>0</v>
      </c>
      <c r="K35" s="80">
        <v>0</v>
      </c>
      <c r="N35" s="19">
        <v>1</v>
      </c>
      <c r="W35" s="19">
        <v>0</v>
      </c>
      <c r="X35" s="80">
        <v>0</v>
      </c>
      <c r="Y35" s="80">
        <v>0</v>
      </c>
      <c r="Z35" s="80">
        <v>12</v>
      </c>
      <c r="AA35" s="19">
        <v>12</v>
      </c>
      <c r="AC35" s="19">
        <v>305</v>
      </c>
      <c r="AF35" s="19">
        <v>14</v>
      </c>
    </row>
    <row r="36" spans="1:32" x14ac:dyDescent="0.25">
      <c r="A36" s="79">
        <v>46115</v>
      </c>
      <c r="B36" s="19" t="s">
        <v>46</v>
      </c>
      <c r="C36" s="19" t="s">
        <v>184</v>
      </c>
      <c r="D36" s="19">
        <v>549.5</v>
      </c>
      <c r="E36" s="19">
        <v>11</v>
      </c>
      <c r="I36" s="19">
        <v>0</v>
      </c>
      <c r="K36" s="80">
        <v>0</v>
      </c>
      <c r="N36" s="19">
        <v>2</v>
      </c>
      <c r="W36" s="19">
        <v>0</v>
      </c>
      <c r="X36" s="80">
        <v>0</v>
      </c>
      <c r="Y36" s="80">
        <v>0</v>
      </c>
      <c r="Z36" s="80">
        <v>24</v>
      </c>
      <c r="AA36" s="19">
        <v>12</v>
      </c>
      <c r="AC36" s="19">
        <v>573</v>
      </c>
      <c r="AF36" s="19">
        <v>14</v>
      </c>
    </row>
    <row r="37" spans="1:32" x14ac:dyDescent="0.25">
      <c r="A37" s="79">
        <v>46115</v>
      </c>
      <c r="B37" s="19" t="s">
        <v>46</v>
      </c>
      <c r="C37" s="19" t="s">
        <v>191</v>
      </c>
      <c r="D37" s="19">
        <v>512.6</v>
      </c>
      <c r="E37" s="19">
        <v>35</v>
      </c>
      <c r="F37" s="19">
        <v>10</v>
      </c>
      <c r="I37" s="19">
        <v>10</v>
      </c>
      <c r="K37" s="80">
        <v>0.16666666666666666</v>
      </c>
      <c r="N37" s="19">
        <v>3</v>
      </c>
      <c r="U37" s="19">
        <v>90</v>
      </c>
      <c r="W37" s="19">
        <v>90</v>
      </c>
      <c r="X37" s="80">
        <v>1.5</v>
      </c>
      <c r="Y37" s="80">
        <v>1.6666666666666665</v>
      </c>
      <c r="Z37" s="80">
        <v>34.333333333333329</v>
      </c>
      <c r="AA37" s="19">
        <v>12</v>
      </c>
      <c r="AC37" s="19">
        <v>543</v>
      </c>
      <c r="AF37" s="19">
        <v>14</v>
      </c>
    </row>
    <row r="38" spans="1:32" x14ac:dyDescent="0.25">
      <c r="A38" s="79">
        <v>46115</v>
      </c>
      <c r="B38" s="19" t="s">
        <v>46</v>
      </c>
      <c r="C38" s="19" t="s">
        <v>64</v>
      </c>
      <c r="D38" s="19">
        <v>533.20000000000005</v>
      </c>
      <c r="E38" s="19">
        <v>9</v>
      </c>
      <c r="I38" s="19">
        <v>0</v>
      </c>
      <c r="K38" s="80">
        <v>0</v>
      </c>
      <c r="N38" s="19">
        <v>5</v>
      </c>
      <c r="W38" s="19">
        <v>0</v>
      </c>
      <c r="X38" s="80">
        <v>0</v>
      </c>
      <c r="Y38" s="80">
        <v>0</v>
      </c>
      <c r="Z38" s="80">
        <v>60</v>
      </c>
      <c r="AA38" s="19">
        <v>12</v>
      </c>
      <c r="AC38" s="19">
        <v>580.5</v>
      </c>
      <c r="AF38" s="19">
        <v>14</v>
      </c>
    </row>
    <row r="39" spans="1:32" x14ac:dyDescent="0.25">
      <c r="A39" s="79">
        <v>46115</v>
      </c>
      <c r="B39" s="19" t="s">
        <v>47</v>
      </c>
      <c r="C39" s="19" t="s">
        <v>156</v>
      </c>
      <c r="D39" s="19">
        <v>140.5</v>
      </c>
      <c r="E39" s="19">
        <v>2</v>
      </c>
      <c r="I39" s="19">
        <v>0</v>
      </c>
      <c r="K39" s="80">
        <v>0</v>
      </c>
      <c r="N39" s="19">
        <v>1</v>
      </c>
      <c r="W39" s="19">
        <v>0</v>
      </c>
      <c r="X39" s="80">
        <v>0</v>
      </c>
      <c r="Y39" s="80">
        <v>0</v>
      </c>
      <c r="Z39" s="80">
        <v>12</v>
      </c>
      <c r="AA39" s="19">
        <v>12</v>
      </c>
      <c r="AC39" s="19">
        <v>148.5</v>
      </c>
      <c r="AF39" s="19">
        <v>14</v>
      </c>
    </row>
    <row r="40" spans="1:32" x14ac:dyDescent="0.25">
      <c r="A40" s="79">
        <v>46115</v>
      </c>
      <c r="B40" s="19" t="s">
        <v>47</v>
      </c>
      <c r="C40" s="19" t="s">
        <v>65</v>
      </c>
      <c r="D40" s="19">
        <v>198</v>
      </c>
      <c r="E40" s="19">
        <v>3</v>
      </c>
      <c r="I40" s="19">
        <v>0</v>
      </c>
      <c r="K40" s="80">
        <v>0</v>
      </c>
      <c r="N40" s="19">
        <v>1</v>
      </c>
      <c r="W40" s="19">
        <v>0</v>
      </c>
      <c r="X40" s="80">
        <v>0</v>
      </c>
      <c r="Y40" s="80">
        <v>0</v>
      </c>
      <c r="Z40" s="80">
        <v>12</v>
      </c>
      <c r="AA40" s="19">
        <v>12</v>
      </c>
      <c r="AC40" s="19">
        <v>206.6</v>
      </c>
      <c r="AF40" s="19">
        <v>14</v>
      </c>
    </row>
    <row r="41" spans="1:32" x14ac:dyDescent="0.25">
      <c r="A41" s="79">
        <v>46115</v>
      </c>
      <c r="B41" s="19" t="s">
        <v>47</v>
      </c>
      <c r="C41" s="19" t="s">
        <v>150</v>
      </c>
      <c r="D41" s="19">
        <v>288.10000000000002</v>
      </c>
      <c r="E41" s="19">
        <v>28</v>
      </c>
      <c r="F41" s="19">
        <v>5</v>
      </c>
      <c r="I41" s="19">
        <v>5</v>
      </c>
      <c r="K41" s="80">
        <v>8.3333333333333343E-2</v>
      </c>
      <c r="N41" s="19">
        <v>3</v>
      </c>
      <c r="W41" s="19">
        <v>0</v>
      </c>
      <c r="X41" s="80">
        <v>0</v>
      </c>
      <c r="Y41" s="80">
        <v>8.3333333333333343E-2</v>
      </c>
      <c r="Z41" s="80">
        <v>35.916666666666671</v>
      </c>
      <c r="AA41" s="19">
        <v>12</v>
      </c>
      <c r="AC41" s="19">
        <v>311.5</v>
      </c>
      <c r="AF41" s="19">
        <v>14</v>
      </c>
    </row>
    <row r="42" spans="1:32" x14ac:dyDescent="0.25">
      <c r="A42" s="79">
        <v>46115</v>
      </c>
      <c r="B42" s="19" t="s">
        <v>47</v>
      </c>
      <c r="C42" s="19" t="s">
        <v>183</v>
      </c>
      <c r="D42" s="19">
        <v>300.2</v>
      </c>
      <c r="I42" s="19">
        <v>0</v>
      </c>
      <c r="K42" s="80">
        <v>0</v>
      </c>
      <c r="N42" s="19">
        <v>1</v>
      </c>
      <c r="W42" s="19">
        <v>0</v>
      </c>
      <c r="X42" s="80">
        <v>0</v>
      </c>
      <c r="Y42" s="80">
        <v>0</v>
      </c>
      <c r="Z42" s="80">
        <v>12</v>
      </c>
      <c r="AA42" s="19">
        <v>12</v>
      </c>
      <c r="AC42" s="19">
        <v>312.39999999999998</v>
      </c>
      <c r="AF42" s="19">
        <v>14</v>
      </c>
    </row>
    <row r="43" spans="1:32" x14ac:dyDescent="0.25">
      <c r="A43" s="79">
        <v>46115</v>
      </c>
      <c r="B43" s="19" t="s">
        <v>47</v>
      </c>
      <c r="C43" s="19" t="s">
        <v>184</v>
      </c>
      <c r="D43" s="19">
        <v>550.9</v>
      </c>
      <c r="E43" s="19">
        <v>7</v>
      </c>
      <c r="I43" s="19">
        <v>0</v>
      </c>
      <c r="K43" s="80">
        <v>0</v>
      </c>
      <c r="N43" s="19">
        <v>1</v>
      </c>
      <c r="W43" s="19">
        <v>0</v>
      </c>
      <c r="X43" s="80">
        <v>0</v>
      </c>
      <c r="Y43" s="80">
        <v>0</v>
      </c>
      <c r="Z43" s="80">
        <v>12</v>
      </c>
      <c r="AA43" s="19">
        <v>12</v>
      </c>
      <c r="AC43" s="19">
        <v>567.5</v>
      </c>
      <c r="AF43" s="19">
        <v>14</v>
      </c>
    </row>
    <row r="44" spans="1:32" x14ac:dyDescent="0.25">
      <c r="A44" s="79">
        <v>46115</v>
      </c>
      <c r="B44" s="19" t="s">
        <v>47</v>
      </c>
      <c r="C44" s="19" t="s">
        <v>191</v>
      </c>
      <c r="D44" s="19">
        <v>491.7</v>
      </c>
      <c r="E44" s="19">
        <v>35</v>
      </c>
      <c r="I44" s="19">
        <v>0</v>
      </c>
      <c r="K44" s="80">
        <v>0</v>
      </c>
      <c r="N44" s="19">
        <v>1</v>
      </c>
      <c r="W44" s="19">
        <v>0</v>
      </c>
      <c r="X44" s="80">
        <v>0</v>
      </c>
      <c r="Y44" s="80">
        <v>0</v>
      </c>
      <c r="Z44" s="80">
        <v>12</v>
      </c>
      <c r="AA44" s="19">
        <v>12</v>
      </c>
      <c r="AC44" s="19">
        <v>505.5</v>
      </c>
      <c r="AF44" s="19">
        <v>14</v>
      </c>
    </row>
    <row r="45" spans="1:32" x14ac:dyDescent="0.25">
      <c r="A45" s="79">
        <v>46115</v>
      </c>
      <c r="B45" s="19" t="s">
        <v>47</v>
      </c>
      <c r="C45" s="19" t="s">
        <v>64</v>
      </c>
      <c r="D45" s="19">
        <v>302.90000000000003</v>
      </c>
      <c r="E45" s="19">
        <v>5</v>
      </c>
      <c r="F45" s="19">
        <v>5</v>
      </c>
      <c r="I45" s="19">
        <v>5</v>
      </c>
      <c r="K45" s="80">
        <v>8.3333333333333343E-2</v>
      </c>
      <c r="N45" s="19">
        <v>3</v>
      </c>
      <c r="W45" s="19">
        <v>0</v>
      </c>
      <c r="X45" s="80">
        <v>0</v>
      </c>
      <c r="Y45" s="80">
        <v>8.3333333333333343E-2</v>
      </c>
      <c r="Z45" s="80">
        <v>35.916666666666671</v>
      </c>
      <c r="AA45" s="19">
        <v>12</v>
      </c>
      <c r="AC45" s="19">
        <v>327</v>
      </c>
      <c r="AF45" s="19">
        <v>14</v>
      </c>
    </row>
    <row r="46" spans="1:32" x14ac:dyDescent="0.25">
      <c r="A46" s="79">
        <v>46116</v>
      </c>
      <c r="B46" s="19" t="s">
        <v>46</v>
      </c>
      <c r="C46" s="19" t="s">
        <v>156</v>
      </c>
      <c r="D46" s="19">
        <v>102.2</v>
      </c>
      <c r="E46" s="19">
        <v>5.5676410605030595</v>
      </c>
      <c r="I46" s="19">
        <v>0</v>
      </c>
      <c r="K46" s="80">
        <v>0</v>
      </c>
      <c r="N46" s="19">
        <v>1</v>
      </c>
      <c r="W46" s="19">
        <v>0</v>
      </c>
      <c r="X46" s="80">
        <v>0</v>
      </c>
      <c r="Y46" s="80">
        <v>0</v>
      </c>
      <c r="Z46" s="80">
        <v>12</v>
      </c>
      <c r="AA46" s="19">
        <v>12</v>
      </c>
      <c r="AC46" s="19">
        <v>109</v>
      </c>
      <c r="AF46" s="19">
        <v>14</v>
      </c>
    </row>
    <row r="47" spans="1:32" x14ac:dyDescent="0.25">
      <c r="A47" s="79">
        <v>46116</v>
      </c>
      <c r="B47" s="19" t="s">
        <v>46</v>
      </c>
      <c r="C47" s="19" t="s">
        <v>65</v>
      </c>
      <c r="D47" s="19">
        <v>196.39999999999998</v>
      </c>
      <c r="E47" s="19">
        <v>10.707002039428961</v>
      </c>
      <c r="I47" s="19">
        <v>0</v>
      </c>
      <c r="K47" s="80">
        <v>0</v>
      </c>
      <c r="N47" s="19">
        <v>2</v>
      </c>
      <c r="W47" s="19">
        <v>0</v>
      </c>
      <c r="X47" s="80">
        <v>0</v>
      </c>
      <c r="Y47" s="80">
        <v>0</v>
      </c>
      <c r="Z47" s="80">
        <v>24</v>
      </c>
      <c r="AA47" s="19">
        <v>12</v>
      </c>
      <c r="AC47" s="19">
        <v>210</v>
      </c>
      <c r="AF47" s="19">
        <v>14</v>
      </c>
    </row>
    <row r="48" spans="1:32" x14ac:dyDescent="0.25">
      <c r="A48" s="79">
        <v>46116</v>
      </c>
      <c r="B48" s="19" t="s">
        <v>46</v>
      </c>
      <c r="C48" s="19" t="s">
        <v>150</v>
      </c>
      <c r="D48" s="19">
        <v>322.2</v>
      </c>
      <c r="E48" s="19">
        <v>17.613018354860639</v>
      </c>
      <c r="I48" s="19">
        <v>0</v>
      </c>
      <c r="K48" s="80">
        <v>0</v>
      </c>
      <c r="N48" s="19">
        <v>1</v>
      </c>
      <c r="S48" s="19">
        <v>240</v>
      </c>
      <c r="W48" s="19">
        <v>240</v>
      </c>
      <c r="X48" s="80">
        <v>4</v>
      </c>
      <c r="Y48" s="80">
        <v>4</v>
      </c>
      <c r="Z48" s="80">
        <v>8</v>
      </c>
      <c r="AA48" s="19">
        <v>12</v>
      </c>
      <c r="AC48" s="19">
        <v>334</v>
      </c>
      <c r="AF48" s="19">
        <v>14</v>
      </c>
    </row>
    <row r="49" spans="1:32" x14ac:dyDescent="0.25">
      <c r="A49" s="79">
        <v>46116</v>
      </c>
      <c r="B49" s="19" t="s">
        <v>46</v>
      </c>
      <c r="C49" s="19" t="s">
        <v>183</v>
      </c>
      <c r="D49" s="19">
        <v>220.3</v>
      </c>
      <c r="E49" s="19">
        <v>12.098912304554725</v>
      </c>
      <c r="I49" s="19">
        <v>0</v>
      </c>
      <c r="K49" s="80">
        <v>0</v>
      </c>
      <c r="N49" s="19">
        <v>2</v>
      </c>
      <c r="W49" s="19">
        <v>0</v>
      </c>
      <c r="X49" s="80">
        <v>0</v>
      </c>
      <c r="Y49" s="80">
        <v>0</v>
      </c>
      <c r="Z49" s="80">
        <v>24</v>
      </c>
      <c r="AA49" s="19">
        <v>12</v>
      </c>
      <c r="AC49" s="19">
        <v>236</v>
      </c>
      <c r="AF49" s="19">
        <v>14</v>
      </c>
    </row>
    <row r="50" spans="1:32" x14ac:dyDescent="0.25">
      <c r="A50" s="79">
        <v>46116</v>
      </c>
      <c r="B50" s="19" t="s">
        <v>46</v>
      </c>
      <c r="C50" s="19" t="s">
        <v>184</v>
      </c>
      <c r="D50" s="19">
        <v>521.9</v>
      </c>
      <c r="E50" s="19">
        <v>28.56092794017675</v>
      </c>
      <c r="I50" s="19">
        <v>0</v>
      </c>
      <c r="K50" s="80">
        <v>0</v>
      </c>
      <c r="N50" s="19">
        <v>1</v>
      </c>
      <c r="W50" s="19">
        <v>0</v>
      </c>
      <c r="X50" s="80">
        <v>0</v>
      </c>
      <c r="Y50" s="80">
        <v>0</v>
      </c>
      <c r="Z50" s="80">
        <v>12</v>
      </c>
      <c r="AA50" s="19">
        <v>12</v>
      </c>
      <c r="AC50" s="19">
        <v>538.5</v>
      </c>
      <c r="AF50" s="19">
        <v>14</v>
      </c>
    </row>
    <row r="51" spans="1:32" x14ac:dyDescent="0.25">
      <c r="A51" s="79">
        <v>46116</v>
      </c>
      <c r="B51" s="19" t="s">
        <v>46</v>
      </c>
      <c r="C51" s="19" t="s">
        <v>191</v>
      </c>
      <c r="D51" s="19">
        <v>549.1</v>
      </c>
      <c r="E51" s="19">
        <v>30.199099252209379</v>
      </c>
      <c r="I51" s="19">
        <v>0</v>
      </c>
      <c r="K51" s="80">
        <v>0</v>
      </c>
      <c r="N51" s="19">
        <v>2</v>
      </c>
      <c r="W51" s="19">
        <v>0</v>
      </c>
      <c r="X51" s="80">
        <v>0</v>
      </c>
      <c r="Y51" s="80">
        <v>0</v>
      </c>
      <c r="Z51" s="80">
        <v>24</v>
      </c>
      <c r="AA51" s="19">
        <v>12</v>
      </c>
      <c r="AC51" s="19">
        <v>574.1</v>
      </c>
      <c r="AF51" s="19">
        <v>14</v>
      </c>
    </row>
    <row r="52" spans="1:32" x14ac:dyDescent="0.25">
      <c r="A52" s="79">
        <v>46116</v>
      </c>
      <c r="B52" s="19" t="s">
        <v>46</v>
      </c>
      <c r="C52" s="19" t="s">
        <v>64</v>
      </c>
      <c r="D52" s="19">
        <v>378.59999999999997</v>
      </c>
      <c r="E52" s="19">
        <v>21.253399048266488</v>
      </c>
      <c r="I52" s="19">
        <v>0</v>
      </c>
      <c r="K52" s="80">
        <v>0</v>
      </c>
      <c r="N52" s="19">
        <v>3</v>
      </c>
      <c r="W52" s="19">
        <v>0</v>
      </c>
      <c r="X52" s="80">
        <v>0</v>
      </c>
      <c r="Y52" s="80">
        <v>0</v>
      </c>
      <c r="Z52" s="80">
        <v>36</v>
      </c>
      <c r="AA52" s="19">
        <v>12</v>
      </c>
      <c r="AC52" s="19">
        <v>412</v>
      </c>
      <c r="AF52" s="19">
        <v>14</v>
      </c>
    </row>
    <row r="53" spans="1:32" x14ac:dyDescent="0.25">
      <c r="A53" s="79">
        <v>46116</v>
      </c>
      <c r="B53" s="19" t="s">
        <v>47</v>
      </c>
      <c r="C53" s="19" t="s">
        <v>156</v>
      </c>
      <c r="D53" s="19">
        <v>104.9</v>
      </c>
      <c r="E53" s="19">
        <v>2.0440676577794163</v>
      </c>
      <c r="I53" s="19">
        <v>0</v>
      </c>
      <c r="K53" s="80">
        <v>0</v>
      </c>
      <c r="N53" s="19">
        <v>1</v>
      </c>
      <c r="W53" s="19">
        <v>0</v>
      </c>
      <c r="X53" s="80">
        <v>0</v>
      </c>
      <c r="Y53" s="80">
        <v>0</v>
      </c>
      <c r="Z53" s="80">
        <v>12</v>
      </c>
      <c r="AA53" s="19">
        <v>12</v>
      </c>
      <c r="AC53" s="19">
        <v>113.5</v>
      </c>
      <c r="AF53" s="19">
        <v>14</v>
      </c>
    </row>
    <row r="54" spans="1:32" x14ac:dyDescent="0.25">
      <c r="A54" s="79">
        <v>46116</v>
      </c>
      <c r="B54" s="19" t="s">
        <v>47</v>
      </c>
      <c r="C54" s="19" t="s">
        <v>65</v>
      </c>
      <c r="D54" s="19">
        <v>162.30000000000001</v>
      </c>
      <c r="E54" s="19">
        <v>3.1367489863619618</v>
      </c>
      <c r="I54" s="19">
        <v>0</v>
      </c>
      <c r="K54" s="80">
        <v>0</v>
      </c>
      <c r="N54" s="19">
        <v>2</v>
      </c>
      <c r="W54" s="19">
        <v>0</v>
      </c>
      <c r="X54" s="80">
        <v>0</v>
      </c>
      <c r="Y54" s="80">
        <v>0</v>
      </c>
      <c r="Z54" s="80">
        <v>24</v>
      </c>
      <c r="AA54" s="19">
        <v>12</v>
      </c>
      <c r="AC54" s="19">
        <v>176.5</v>
      </c>
      <c r="AF54" s="19">
        <v>14</v>
      </c>
    </row>
    <row r="55" spans="1:32" x14ac:dyDescent="0.25">
      <c r="A55" s="79">
        <v>46116</v>
      </c>
      <c r="B55" s="19" t="s">
        <v>47</v>
      </c>
      <c r="C55" s="19" t="s">
        <v>150</v>
      </c>
      <c r="D55" s="19">
        <v>237.5</v>
      </c>
      <c r="E55" s="19">
        <v>4.5779579800958352</v>
      </c>
      <c r="I55" s="19">
        <v>0</v>
      </c>
      <c r="K55" s="80">
        <v>0</v>
      </c>
      <c r="N55" s="19">
        <v>1</v>
      </c>
      <c r="W55" s="19">
        <v>0</v>
      </c>
      <c r="X55" s="80">
        <v>0</v>
      </c>
      <c r="Y55" s="80">
        <v>0</v>
      </c>
      <c r="Z55" s="80">
        <v>12</v>
      </c>
      <c r="AA55" s="19">
        <v>12</v>
      </c>
      <c r="AC55" s="19">
        <v>248</v>
      </c>
      <c r="AF55" s="19">
        <v>14</v>
      </c>
    </row>
    <row r="56" spans="1:32" x14ac:dyDescent="0.25">
      <c r="A56" s="79">
        <v>46116</v>
      </c>
      <c r="B56" s="19" t="s">
        <v>47</v>
      </c>
      <c r="C56" s="19" t="s">
        <v>183</v>
      </c>
      <c r="D56" s="19">
        <v>424.5</v>
      </c>
      <c r="E56" s="19">
        <v>8.1856902977433759</v>
      </c>
      <c r="I56" s="19">
        <v>0</v>
      </c>
      <c r="K56" s="80">
        <v>0</v>
      </c>
      <c r="N56" s="19">
        <v>1</v>
      </c>
      <c r="W56" s="19">
        <v>0</v>
      </c>
      <c r="X56" s="80">
        <v>0</v>
      </c>
      <c r="Y56" s="80">
        <v>0</v>
      </c>
      <c r="Z56" s="80">
        <v>12</v>
      </c>
      <c r="AA56" s="19">
        <v>12</v>
      </c>
      <c r="AC56" s="19">
        <v>439.5</v>
      </c>
      <c r="AF56" s="19">
        <v>14</v>
      </c>
    </row>
    <row r="57" spans="1:32" x14ac:dyDescent="0.25">
      <c r="A57" s="79">
        <v>46116</v>
      </c>
      <c r="B57" s="19" t="s">
        <v>47</v>
      </c>
      <c r="C57" s="19" t="s">
        <v>184</v>
      </c>
      <c r="D57" s="19">
        <v>459</v>
      </c>
      <c r="E57" s="19">
        <v>8.8111561616906258</v>
      </c>
      <c r="I57" s="19">
        <v>0</v>
      </c>
      <c r="K57" s="80">
        <v>0</v>
      </c>
      <c r="N57" s="19">
        <v>1</v>
      </c>
      <c r="W57" s="19">
        <v>0</v>
      </c>
      <c r="X57" s="80">
        <v>0</v>
      </c>
      <c r="Y57" s="80">
        <v>0</v>
      </c>
      <c r="Z57" s="80">
        <v>12</v>
      </c>
      <c r="AA57" s="19">
        <v>12</v>
      </c>
      <c r="AC57" s="19">
        <v>472.7</v>
      </c>
      <c r="AF57" s="19">
        <v>14</v>
      </c>
    </row>
    <row r="58" spans="1:32" x14ac:dyDescent="0.25">
      <c r="A58" s="79">
        <v>46116</v>
      </c>
      <c r="B58" s="19" t="s">
        <v>47</v>
      </c>
      <c r="C58" s="19" t="s">
        <v>191</v>
      </c>
      <c r="D58" s="19">
        <v>509.5</v>
      </c>
      <c r="E58" s="19">
        <v>9.9189089568743114</v>
      </c>
      <c r="I58" s="19">
        <v>0</v>
      </c>
      <c r="K58" s="80">
        <v>0</v>
      </c>
      <c r="N58" s="19">
        <v>2</v>
      </c>
      <c r="W58" s="19">
        <v>0</v>
      </c>
      <c r="X58" s="80">
        <v>0</v>
      </c>
      <c r="Y58" s="80">
        <v>0</v>
      </c>
      <c r="Z58" s="80">
        <v>24</v>
      </c>
      <c r="AA58" s="19">
        <v>12</v>
      </c>
      <c r="AC58" s="19">
        <v>536.5</v>
      </c>
      <c r="AF58" s="19">
        <v>14</v>
      </c>
    </row>
    <row r="59" spans="1:32" x14ac:dyDescent="0.25">
      <c r="A59" s="79">
        <v>46116</v>
      </c>
      <c r="B59" s="19" t="s">
        <v>47</v>
      </c>
      <c r="C59" s="19" t="s">
        <v>64</v>
      </c>
      <c r="D59" s="19">
        <v>475.5</v>
      </c>
      <c r="E59" s="19">
        <v>9.3254699594544803</v>
      </c>
      <c r="I59" s="19">
        <v>0</v>
      </c>
      <c r="K59" s="80">
        <v>0</v>
      </c>
      <c r="N59" s="19">
        <v>3</v>
      </c>
      <c r="W59" s="19">
        <v>0</v>
      </c>
      <c r="X59" s="80">
        <v>0</v>
      </c>
      <c r="Y59" s="80">
        <v>0</v>
      </c>
      <c r="Z59" s="80">
        <v>36</v>
      </c>
      <c r="AA59" s="19">
        <v>12</v>
      </c>
      <c r="AC59" s="19">
        <v>510</v>
      </c>
      <c r="AF59" s="19">
        <v>14</v>
      </c>
    </row>
    <row r="60" spans="1:32" x14ac:dyDescent="0.25">
      <c r="A60" s="79">
        <v>46117</v>
      </c>
      <c r="B60" s="19" t="s">
        <v>46</v>
      </c>
      <c r="C60" s="19" t="s">
        <v>156</v>
      </c>
      <c r="D60" s="19">
        <v>232.1</v>
      </c>
      <c r="E60" s="19">
        <v>3.9583333333333335</v>
      </c>
      <c r="I60" s="19">
        <v>0</v>
      </c>
      <c r="K60" s="80">
        <v>0</v>
      </c>
      <c r="N60" s="19">
        <v>1</v>
      </c>
      <c r="W60" s="19">
        <v>0</v>
      </c>
      <c r="X60" s="80">
        <v>0</v>
      </c>
      <c r="Y60" s="80">
        <v>0</v>
      </c>
      <c r="Z60" s="80">
        <v>12</v>
      </c>
      <c r="AA60" s="19">
        <v>12</v>
      </c>
      <c r="AC60" s="19">
        <v>242.5</v>
      </c>
      <c r="AF60" s="19">
        <v>14</v>
      </c>
    </row>
    <row r="61" spans="1:32" x14ac:dyDescent="0.25">
      <c r="A61" s="79">
        <v>46117</v>
      </c>
      <c r="B61" s="19" t="s">
        <v>46</v>
      </c>
      <c r="C61" s="19" t="s">
        <v>65</v>
      </c>
      <c r="D61" s="19">
        <v>184.39999999999998</v>
      </c>
      <c r="E61" s="19">
        <v>3.1433333333333331</v>
      </c>
      <c r="I61" s="19">
        <v>0</v>
      </c>
      <c r="K61" s="80">
        <v>0</v>
      </c>
      <c r="N61" s="19">
        <v>2</v>
      </c>
      <c r="W61" s="19">
        <v>0</v>
      </c>
      <c r="X61" s="80">
        <v>0</v>
      </c>
      <c r="Y61" s="80">
        <v>0</v>
      </c>
      <c r="Z61" s="80">
        <v>24</v>
      </c>
      <c r="AA61" s="19">
        <v>12</v>
      </c>
      <c r="AC61" s="19">
        <v>198.6</v>
      </c>
      <c r="AF61" s="19">
        <v>14</v>
      </c>
    </row>
    <row r="62" spans="1:32" x14ac:dyDescent="0.25">
      <c r="A62" s="79">
        <v>46117</v>
      </c>
      <c r="B62" s="19" t="s">
        <v>46</v>
      </c>
      <c r="C62" s="19" t="s">
        <v>150</v>
      </c>
      <c r="D62" s="19">
        <v>370.4</v>
      </c>
      <c r="E62" s="19">
        <v>6.375</v>
      </c>
      <c r="I62" s="19">
        <v>0</v>
      </c>
      <c r="K62" s="80">
        <v>0</v>
      </c>
      <c r="N62" s="19">
        <v>3</v>
      </c>
      <c r="W62" s="19">
        <v>0</v>
      </c>
      <c r="X62" s="80">
        <v>0</v>
      </c>
      <c r="Y62" s="80">
        <v>0</v>
      </c>
      <c r="Z62" s="80">
        <v>36</v>
      </c>
      <c r="AA62" s="19">
        <v>12</v>
      </c>
      <c r="AC62" s="19">
        <v>397.5</v>
      </c>
      <c r="AF62" s="19">
        <v>14</v>
      </c>
    </row>
    <row r="63" spans="1:32" x14ac:dyDescent="0.25">
      <c r="A63" s="79">
        <v>46117</v>
      </c>
      <c r="B63" s="19" t="s">
        <v>46</v>
      </c>
      <c r="C63" s="19" t="s">
        <v>183</v>
      </c>
      <c r="D63" s="19">
        <v>265.5</v>
      </c>
      <c r="E63" s="19">
        <v>4.583333333333333</v>
      </c>
      <c r="I63" s="19">
        <v>0</v>
      </c>
      <c r="K63" s="80">
        <v>0</v>
      </c>
      <c r="N63" s="19">
        <v>2</v>
      </c>
      <c r="W63" s="19">
        <v>0</v>
      </c>
      <c r="X63" s="80">
        <v>0</v>
      </c>
      <c r="Y63" s="80">
        <v>0</v>
      </c>
      <c r="Z63" s="80">
        <v>24</v>
      </c>
      <c r="AA63" s="19">
        <v>12</v>
      </c>
      <c r="AC63" s="19">
        <v>285</v>
      </c>
      <c r="AF63" s="19">
        <v>14</v>
      </c>
    </row>
    <row r="64" spans="1:32" x14ac:dyDescent="0.25">
      <c r="A64" s="79">
        <v>46117</v>
      </c>
      <c r="B64" s="19" t="s">
        <v>46</v>
      </c>
      <c r="C64" s="19" t="s">
        <v>184</v>
      </c>
      <c r="D64" s="19">
        <v>611.4</v>
      </c>
      <c r="E64" s="19">
        <v>10.383333333333333</v>
      </c>
      <c r="I64" s="19">
        <v>0</v>
      </c>
      <c r="K64" s="80">
        <v>0</v>
      </c>
      <c r="N64" s="19">
        <v>1</v>
      </c>
      <c r="W64" s="19">
        <v>0</v>
      </c>
      <c r="X64" s="80">
        <v>0</v>
      </c>
      <c r="Y64" s="80">
        <v>0</v>
      </c>
      <c r="Z64" s="80">
        <v>12</v>
      </c>
      <c r="AA64" s="19">
        <v>12</v>
      </c>
      <c r="AC64" s="19">
        <v>628</v>
      </c>
      <c r="AF64" s="19">
        <v>14</v>
      </c>
    </row>
    <row r="65" spans="1:32" x14ac:dyDescent="0.25">
      <c r="A65" s="79">
        <v>46117</v>
      </c>
      <c r="B65" s="19" t="s">
        <v>46</v>
      </c>
      <c r="C65" s="19" t="s">
        <v>191</v>
      </c>
      <c r="D65" s="19">
        <v>426.4</v>
      </c>
      <c r="E65" s="19">
        <v>7.2866666666666671</v>
      </c>
      <c r="I65" s="19">
        <v>0</v>
      </c>
      <c r="K65" s="80">
        <v>0</v>
      </c>
      <c r="N65" s="19">
        <v>2</v>
      </c>
      <c r="W65" s="19">
        <v>0</v>
      </c>
      <c r="X65" s="80">
        <v>0</v>
      </c>
      <c r="Y65" s="80">
        <v>0</v>
      </c>
      <c r="Z65" s="80">
        <v>24</v>
      </c>
      <c r="AA65" s="19">
        <v>12</v>
      </c>
      <c r="AC65" s="19">
        <v>447.2</v>
      </c>
      <c r="AF65" s="19">
        <v>14</v>
      </c>
    </row>
    <row r="66" spans="1:32" x14ac:dyDescent="0.25">
      <c r="A66" s="79">
        <v>46117</v>
      </c>
      <c r="B66" s="19" t="s">
        <v>46</v>
      </c>
      <c r="C66" s="19" t="s">
        <v>64</v>
      </c>
      <c r="D66" s="19">
        <v>536.6</v>
      </c>
      <c r="E66" s="19">
        <v>9.2750000000000004</v>
      </c>
      <c r="I66" s="19">
        <v>0</v>
      </c>
      <c r="K66" s="80">
        <v>0</v>
      </c>
      <c r="N66" s="19">
        <v>2</v>
      </c>
      <c r="W66" s="19">
        <v>0</v>
      </c>
      <c r="X66" s="80">
        <v>0</v>
      </c>
      <c r="Y66" s="80">
        <v>0</v>
      </c>
      <c r="Z66" s="80">
        <v>24</v>
      </c>
      <c r="AA66" s="19">
        <v>12</v>
      </c>
      <c r="AC66" s="19">
        <v>566.5</v>
      </c>
      <c r="AF66" s="19">
        <v>14</v>
      </c>
    </row>
    <row r="67" spans="1:32" x14ac:dyDescent="0.25">
      <c r="A67" s="79">
        <v>46117</v>
      </c>
      <c r="B67" s="19" t="s">
        <v>47</v>
      </c>
      <c r="C67" s="19" t="s">
        <v>156</v>
      </c>
      <c r="D67" s="19">
        <v>181.8</v>
      </c>
      <c r="E67" s="19">
        <v>4.5394161859814712</v>
      </c>
      <c r="I67" s="19">
        <v>0</v>
      </c>
      <c r="K67" s="80">
        <v>0</v>
      </c>
      <c r="N67" s="19">
        <v>2</v>
      </c>
      <c r="W67" s="19">
        <v>0</v>
      </c>
      <c r="X67" s="80">
        <v>0</v>
      </c>
      <c r="Y67" s="80">
        <v>0</v>
      </c>
      <c r="Z67" s="80">
        <v>24</v>
      </c>
      <c r="AA67" s="19">
        <v>12</v>
      </c>
      <c r="AC67" s="19">
        <v>195.5</v>
      </c>
      <c r="AF67" s="19">
        <v>14</v>
      </c>
    </row>
    <row r="68" spans="1:32" x14ac:dyDescent="0.25">
      <c r="A68" s="79">
        <v>46117</v>
      </c>
      <c r="B68" s="19" t="s">
        <v>47</v>
      </c>
      <c r="C68" s="19" t="s">
        <v>65</v>
      </c>
      <c r="D68" s="19">
        <v>160.10000000000002</v>
      </c>
      <c r="E68" s="19">
        <v>4.0132843908407621</v>
      </c>
      <c r="I68" s="19">
        <v>0</v>
      </c>
      <c r="K68" s="80">
        <v>0</v>
      </c>
      <c r="N68" s="19">
        <v>2</v>
      </c>
      <c r="W68" s="19">
        <v>0</v>
      </c>
      <c r="X68" s="80">
        <v>0</v>
      </c>
      <c r="Y68" s="80">
        <v>0</v>
      </c>
      <c r="Z68" s="80">
        <v>24</v>
      </c>
      <c r="AA68" s="19">
        <v>12</v>
      </c>
      <c r="AC68" s="19">
        <v>174</v>
      </c>
      <c r="AF68" s="19">
        <v>14</v>
      </c>
    </row>
    <row r="69" spans="1:32" x14ac:dyDescent="0.25">
      <c r="A69" s="79">
        <v>46117</v>
      </c>
      <c r="B69" s="19" t="s">
        <v>47</v>
      </c>
      <c r="C69" s="19" t="s">
        <v>150</v>
      </c>
      <c r="D69" s="19">
        <v>314.5</v>
      </c>
      <c r="E69" s="19">
        <v>7.8430344345394163</v>
      </c>
      <c r="I69" s="19">
        <v>0</v>
      </c>
      <c r="K69" s="80">
        <v>0</v>
      </c>
      <c r="N69" s="19">
        <v>1</v>
      </c>
      <c r="W69" s="19">
        <v>0</v>
      </c>
      <c r="X69" s="80">
        <v>0</v>
      </c>
      <c r="Y69" s="80">
        <v>0</v>
      </c>
      <c r="Z69" s="80">
        <v>12</v>
      </c>
      <c r="AA69" s="19">
        <v>12</v>
      </c>
      <c r="AC69" s="19">
        <v>325.5</v>
      </c>
      <c r="AF69" s="19">
        <v>14</v>
      </c>
    </row>
    <row r="70" spans="1:32" x14ac:dyDescent="0.25">
      <c r="A70" s="79">
        <v>46117</v>
      </c>
      <c r="B70" s="19" t="s">
        <v>47</v>
      </c>
      <c r="C70" s="19" t="s">
        <v>183</v>
      </c>
      <c r="D70" s="19">
        <v>290.7</v>
      </c>
      <c r="E70" s="19">
        <v>7.3291382625415133</v>
      </c>
      <c r="I70" s="19">
        <v>0</v>
      </c>
      <c r="K70" s="80">
        <v>0</v>
      </c>
      <c r="N70" s="19">
        <v>1</v>
      </c>
      <c r="W70" s="19">
        <v>0</v>
      </c>
      <c r="X70" s="80">
        <v>0</v>
      </c>
      <c r="Y70" s="80">
        <v>0</v>
      </c>
      <c r="Z70" s="80">
        <v>12</v>
      </c>
      <c r="AA70" s="19">
        <v>12</v>
      </c>
      <c r="AC70" s="19">
        <v>304.5</v>
      </c>
      <c r="AF70" s="19">
        <v>14</v>
      </c>
    </row>
    <row r="71" spans="1:32" x14ac:dyDescent="0.25">
      <c r="A71" s="79">
        <v>46117</v>
      </c>
      <c r="B71" s="19" t="s">
        <v>47</v>
      </c>
      <c r="C71" s="19" t="s">
        <v>184</v>
      </c>
      <c r="D71" s="19">
        <v>609</v>
      </c>
      <c r="E71" s="19">
        <v>15.25782205908058</v>
      </c>
      <c r="I71" s="19">
        <v>0</v>
      </c>
      <c r="K71" s="80">
        <v>0</v>
      </c>
      <c r="N71" s="19">
        <v>1</v>
      </c>
      <c r="W71" s="19">
        <v>0</v>
      </c>
      <c r="X71" s="80">
        <v>0</v>
      </c>
      <c r="Y71" s="80">
        <v>0</v>
      </c>
      <c r="Z71" s="80">
        <v>12</v>
      </c>
      <c r="AA71" s="19">
        <v>12</v>
      </c>
      <c r="AC71" s="19">
        <v>628.5</v>
      </c>
      <c r="AF71" s="19">
        <v>14</v>
      </c>
    </row>
    <row r="72" spans="1:32" x14ac:dyDescent="0.25">
      <c r="A72" s="79">
        <v>46117</v>
      </c>
      <c r="B72" s="19" t="s">
        <v>47</v>
      </c>
      <c r="C72" s="19" t="s">
        <v>191</v>
      </c>
      <c r="D72" s="19">
        <v>821.5</v>
      </c>
      <c r="E72" s="19">
        <v>20.494668764202061</v>
      </c>
      <c r="I72" s="19">
        <v>0</v>
      </c>
      <c r="K72" s="80">
        <v>0</v>
      </c>
      <c r="N72" s="19">
        <v>2</v>
      </c>
      <c r="W72" s="19">
        <v>0</v>
      </c>
      <c r="X72" s="80">
        <v>0</v>
      </c>
      <c r="Y72" s="80">
        <v>0</v>
      </c>
      <c r="Z72" s="80">
        <v>24</v>
      </c>
      <c r="AA72" s="19">
        <v>12</v>
      </c>
      <c r="AC72" s="19">
        <v>847.5</v>
      </c>
      <c r="AF72" s="19">
        <v>14</v>
      </c>
    </row>
    <row r="73" spans="1:32" x14ac:dyDescent="0.25">
      <c r="A73" s="79">
        <v>46117</v>
      </c>
      <c r="B73" s="19" t="s">
        <v>47</v>
      </c>
      <c r="C73" s="19" t="s">
        <v>64</v>
      </c>
      <c r="D73" s="19">
        <v>412.3</v>
      </c>
      <c r="E73" s="19">
        <v>10.522635902814192</v>
      </c>
      <c r="I73" s="19">
        <v>0</v>
      </c>
      <c r="K73" s="80">
        <v>0</v>
      </c>
      <c r="N73" s="19">
        <v>4</v>
      </c>
      <c r="W73" s="19">
        <v>0</v>
      </c>
      <c r="X73" s="80">
        <v>0</v>
      </c>
      <c r="Y73" s="80">
        <v>0</v>
      </c>
      <c r="Z73" s="80">
        <v>48</v>
      </c>
      <c r="AA73" s="19">
        <v>12</v>
      </c>
      <c r="AC73" s="19">
        <v>450</v>
      </c>
      <c r="AF73" s="19">
        <v>14</v>
      </c>
    </row>
    <row r="74" spans="1:32" x14ac:dyDescent="0.25">
      <c r="A74" s="79">
        <v>46118</v>
      </c>
      <c r="B74" s="19" t="s">
        <v>46</v>
      </c>
      <c r="C74" s="19" t="s">
        <v>156</v>
      </c>
      <c r="D74" s="19">
        <v>178.7</v>
      </c>
      <c r="E74" s="19">
        <v>2</v>
      </c>
      <c r="F74" s="19">
        <v>2</v>
      </c>
      <c r="I74" s="19">
        <v>2</v>
      </c>
      <c r="K74" s="80">
        <v>3.3333333333333333E-2</v>
      </c>
      <c r="N74" s="19">
        <v>1</v>
      </c>
      <c r="W74" s="19">
        <v>0</v>
      </c>
      <c r="X74" s="80">
        <v>0</v>
      </c>
      <c r="Y74" s="80">
        <v>3.3333333333333333E-2</v>
      </c>
      <c r="Z74" s="80">
        <v>11.966666666666667</v>
      </c>
      <c r="AA74" s="19">
        <v>12</v>
      </c>
      <c r="AC74" s="19">
        <v>188</v>
      </c>
      <c r="AF74" s="19">
        <v>15</v>
      </c>
    </row>
    <row r="75" spans="1:32" x14ac:dyDescent="0.25">
      <c r="A75" s="79">
        <v>46118</v>
      </c>
      <c r="B75" s="19" t="s">
        <v>46</v>
      </c>
      <c r="C75" s="19" t="s">
        <v>65</v>
      </c>
      <c r="D75" s="19">
        <v>225.6</v>
      </c>
      <c r="E75" s="19">
        <v>1</v>
      </c>
      <c r="I75" s="19">
        <v>0</v>
      </c>
      <c r="K75" s="80">
        <v>0</v>
      </c>
      <c r="N75" s="19">
        <v>1</v>
      </c>
      <c r="W75" s="19">
        <v>0</v>
      </c>
      <c r="X75" s="80">
        <v>0</v>
      </c>
      <c r="Y75" s="80">
        <v>0</v>
      </c>
      <c r="Z75" s="80">
        <v>12</v>
      </c>
      <c r="AA75" s="19">
        <v>12</v>
      </c>
      <c r="AC75" s="19">
        <v>235.5</v>
      </c>
      <c r="AF75" s="19">
        <v>15</v>
      </c>
    </row>
    <row r="76" spans="1:32" x14ac:dyDescent="0.25">
      <c r="A76" s="79">
        <v>46118</v>
      </c>
      <c r="B76" s="19" t="s">
        <v>46</v>
      </c>
      <c r="C76" s="19" t="s">
        <v>150</v>
      </c>
      <c r="D76" s="19">
        <v>291.5</v>
      </c>
      <c r="E76" s="19">
        <v>11</v>
      </c>
      <c r="I76" s="19">
        <v>0</v>
      </c>
      <c r="K76" s="80">
        <v>0</v>
      </c>
      <c r="N76" s="19">
        <v>1</v>
      </c>
      <c r="W76" s="19">
        <v>0</v>
      </c>
      <c r="X76" s="80">
        <v>0</v>
      </c>
      <c r="Y76" s="80">
        <v>0</v>
      </c>
      <c r="Z76" s="80">
        <v>12</v>
      </c>
      <c r="AA76" s="19">
        <v>12</v>
      </c>
      <c r="AC76" s="19">
        <v>304.5</v>
      </c>
      <c r="AF76" s="19">
        <v>15</v>
      </c>
    </row>
    <row r="77" spans="1:32" x14ac:dyDescent="0.25">
      <c r="A77" s="79">
        <v>46118</v>
      </c>
      <c r="B77" s="19" t="s">
        <v>46</v>
      </c>
      <c r="C77" s="19" t="s">
        <v>183</v>
      </c>
      <c r="D77" s="19">
        <v>249.7</v>
      </c>
      <c r="E77" s="19">
        <v>3</v>
      </c>
      <c r="F77" s="19">
        <v>2</v>
      </c>
      <c r="I77" s="19">
        <v>2</v>
      </c>
      <c r="K77" s="80">
        <v>3.3333333333333333E-2</v>
      </c>
      <c r="N77" s="19">
        <v>2</v>
      </c>
      <c r="W77" s="19">
        <v>0</v>
      </c>
      <c r="X77" s="80">
        <v>0</v>
      </c>
      <c r="Y77" s="80">
        <v>3.3333333333333333E-2</v>
      </c>
      <c r="Z77" s="80">
        <v>23.966666666666669</v>
      </c>
      <c r="AA77" s="19">
        <v>12</v>
      </c>
      <c r="AC77" s="19">
        <v>267</v>
      </c>
      <c r="AF77" s="19">
        <v>15</v>
      </c>
    </row>
    <row r="78" spans="1:32" x14ac:dyDescent="0.25">
      <c r="A78" s="79">
        <v>46118</v>
      </c>
      <c r="B78" s="19" t="s">
        <v>46</v>
      </c>
      <c r="C78" s="19" t="s">
        <v>184</v>
      </c>
      <c r="D78" s="19">
        <v>559.4</v>
      </c>
      <c r="E78" s="19">
        <v>9</v>
      </c>
      <c r="I78" s="19">
        <v>0</v>
      </c>
      <c r="K78" s="80">
        <v>0</v>
      </c>
      <c r="N78" s="19">
        <v>1</v>
      </c>
      <c r="W78" s="19">
        <v>0</v>
      </c>
      <c r="X78" s="80">
        <v>0</v>
      </c>
      <c r="Y78" s="80">
        <v>0</v>
      </c>
      <c r="Z78" s="80">
        <v>12</v>
      </c>
      <c r="AA78" s="19">
        <v>12</v>
      </c>
      <c r="AC78" s="19">
        <v>576</v>
      </c>
      <c r="AF78" s="19">
        <v>15</v>
      </c>
    </row>
    <row r="79" spans="1:32" x14ac:dyDescent="0.25">
      <c r="A79" s="79">
        <v>46118</v>
      </c>
      <c r="B79" s="19" t="s">
        <v>46</v>
      </c>
      <c r="C79" s="19" t="s">
        <v>191</v>
      </c>
      <c r="D79" s="19">
        <v>832</v>
      </c>
      <c r="E79" s="19">
        <v>13</v>
      </c>
      <c r="I79" s="19">
        <v>0</v>
      </c>
      <c r="K79" s="80">
        <v>0</v>
      </c>
      <c r="N79" s="19">
        <v>1</v>
      </c>
      <c r="Q79" s="19">
        <v>10</v>
      </c>
      <c r="W79" s="19">
        <v>10</v>
      </c>
      <c r="X79" s="80">
        <v>0.16666666666666666</v>
      </c>
      <c r="Y79" s="80">
        <v>0.16666666666666666</v>
      </c>
      <c r="Z79" s="80">
        <v>11.833333333333334</v>
      </c>
      <c r="AA79" s="19">
        <v>12</v>
      </c>
      <c r="AC79" s="19">
        <v>847.5</v>
      </c>
      <c r="AF79" s="19">
        <v>15</v>
      </c>
    </row>
    <row r="80" spans="1:32" x14ac:dyDescent="0.25">
      <c r="A80" s="79">
        <v>46118</v>
      </c>
      <c r="B80" s="19" t="s">
        <v>46</v>
      </c>
      <c r="C80" s="19" t="s">
        <v>64</v>
      </c>
      <c r="D80" s="19">
        <v>450.7</v>
      </c>
      <c r="E80" s="19">
        <v>5</v>
      </c>
      <c r="F80" s="19">
        <v>5</v>
      </c>
      <c r="I80" s="19">
        <v>5</v>
      </c>
      <c r="K80" s="80">
        <v>8.3333333333333343E-2</v>
      </c>
      <c r="N80" s="19">
        <v>2</v>
      </c>
      <c r="W80" s="19">
        <v>0</v>
      </c>
      <c r="X80" s="80">
        <v>0</v>
      </c>
      <c r="Y80" s="80">
        <v>8.3333333333333343E-2</v>
      </c>
      <c r="Z80" s="80">
        <v>23.916666666666664</v>
      </c>
      <c r="AA80" s="19">
        <v>12</v>
      </c>
      <c r="AC80" s="19">
        <v>476.5</v>
      </c>
      <c r="AF80" s="19">
        <v>15</v>
      </c>
    </row>
    <row r="81" spans="1:32" x14ac:dyDescent="0.25">
      <c r="A81" s="79">
        <v>46118</v>
      </c>
      <c r="B81" s="19" t="s">
        <v>47</v>
      </c>
      <c r="C81" s="19" t="s">
        <v>156</v>
      </c>
      <c r="D81" s="19">
        <v>168</v>
      </c>
      <c r="E81" s="19">
        <v>2</v>
      </c>
      <c r="I81" s="19">
        <v>0</v>
      </c>
      <c r="K81" s="80">
        <v>0</v>
      </c>
      <c r="N81" s="19">
        <v>1</v>
      </c>
      <c r="W81" s="19">
        <v>0</v>
      </c>
      <c r="X81" s="80">
        <v>0</v>
      </c>
      <c r="Y81" s="80">
        <v>0</v>
      </c>
      <c r="Z81" s="80">
        <v>12</v>
      </c>
      <c r="AA81" s="19">
        <v>12</v>
      </c>
      <c r="AC81" s="19">
        <v>177.5</v>
      </c>
      <c r="AF81" s="19">
        <v>15</v>
      </c>
    </row>
    <row r="82" spans="1:32" x14ac:dyDescent="0.25">
      <c r="A82" s="79">
        <v>46118</v>
      </c>
      <c r="B82" s="19" t="s">
        <v>47</v>
      </c>
      <c r="C82" s="19" t="s">
        <v>65</v>
      </c>
      <c r="D82" s="19">
        <v>219.7</v>
      </c>
      <c r="E82" s="19">
        <v>1</v>
      </c>
      <c r="I82" s="19">
        <v>0</v>
      </c>
      <c r="K82" s="80">
        <v>0</v>
      </c>
      <c r="N82" s="19">
        <v>1</v>
      </c>
      <c r="W82" s="19">
        <v>0</v>
      </c>
      <c r="X82" s="80">
        <v>0</v>
      </c>
      <c r="Y82" s="80">
        <v>0</v>
      </c>
      <c r="Z82" s="80">
        <v>12</v>
      </c>
      <c r="AA82" s="19">
        <v>12</v>
      </c>
      <c r="AC82" s="19">
        <v>229.5</v>
      </c>
      <c r="AF82" s="19">
        <v>15</v>
      </c>
    </row>
    <row r="83" spans="1:32" x14ac:dyDescent="0.25">
      <c r="A83" s="79">
        <v>46118</v>
      </c>
      <c r="B83" s="19" t="s">
        <v>47</v>
      </c>
      <c r="C83" s="19" t="s">
        <v>150</v>
      </c>
      <c r="D83" s="19">
        <v>245.8</v>
      </c>
      <c r="E83" s="19">
        <v>19</v>
      </c>
      <c r="F83" s="19">
        <v>5</v>
      </c>
      <c r="I83" s="19">
        <v>5</v>
      </c>
      <c r="K83" s="80">
        <v>8.3333333333333329E-2</v>
      </c>
      <c r="N83" s="19">
        <v>1</v>
      </c>
      <c r="R83" s="19">
        <v>5</v>
      </c>
      <c r="U83" s="19">
        <v>30</v>
      </c>
      <c r="W83" s="19">
        <v>35</v>
      </c>
      <c r="X83" s="80">
        <v>0.58333333333333337</v>
      </c>
      <c r="Y83" s="80">
        <v>0.66666666666666674</v>
      </c>
      <c r="Z83" s="80">
        <v>11.333333333333334</v>
      </c>
      <c r="AA83" s="19">
        <v>12</v>
      </c>
      <c r="AC83" s="19">
        <v>255</v>
      </c>
      <c r="AF83" s="19">
        <v>15</v>
      </c>
    </row>
    <row r="84" spans="1:32" x14ac:dyDescent="0.25">
      <c r="A84" s="79">
        <v>46118</v>
      </c>
      <c r="B84" s="19" t="s">
        <v>47</v>
      </c>
      <c r="C84" s="19" t="s">
        <v>183</v>
      </c>
      <c r="D84" s="19">
        <v>243.6</v>
      </c>
      <c r="I84" s="19">
        <v>0</v>
      </c>
      <c r="K84" s="80">
        <v>0</v>
      </c>
      <c r="N84" s="19">
        <v>2</v>
      </c>
      <c r="W84" s="19">
        <v>0</v>
      </c>
      <c r="X84" s="80">
        <v>0</v>
      </c>
      <c r="Y84" s="80">
        <v>0</v>
      </c>
      <c r="Z84" s="80">
        <v>24</v>
      </c>
      <c r="AA84" s="19">
        <v>12</v>
      </c>
      <c r="AC84" s="19">
        <v>263</v>
      </c>
      <c r="AF84" s="19">
        <v>15</v>
      </c>
    </row>
    <row r="85" spans="1:32" x14ac:dyDescent="0.25">
      <c r="A85" s="79">
        <v>46118</v>
      </c>
      <c r="B85" s="19" t="s">
        <v>47</v>
      </c>
      <c r="C85" s="19" t="s">
        <v>184</v>
      </c>
      <c r="D85" s="19">
        <v>484.4</v>
      </c>
      <c r="E85" s="19">
        <v>7</v>
      </c>
      <c r="I85" s="19">
        <v>0</v>
      </c>
      <c r="K85" s="80">
        <v>0</v>
      </c>
      <c r="N85" s="19">
        <v>1</v>
      </c>
      <c r="W85" s="19">
        <v>0</v>
      </c>
      <c r="X85" s="80">
        <v>0</v>
      </c>
      <c r="Y85" s="80">
        <v>0</v>
      </c>
      <c r="Z85" s="80">
        <v>12</v>
      </c>
      <c r="AA85" s="19">
        <v>12</v>
      </c>
      <c r="AC85" s="19">
        <v>501</v>
      </c>
      <c r="AF85" s="19">
        <v>15</v>
      </c>
    </row>
    <row r="86" spans="1:32" x14ac:dyDescent="0.25">
      <c r="A86" s="79">
        <v>46118</v>
      </c>
      <c r="B86" s="19" t="s">
        <v>47</v>
      </c>
      <c r="C86" s="19" t="s">
        <v>191</v>
      </c>
      <c r="D86" s="19">
        <v>886</v>
      </c>
      <c r="E86" s="19">
        <v>18</v>
      </c>
      <c r="I86" s="19">
        <v>0</v>
      </c>
      <c r="K86" s="80">
        <v>0</v>
      </c>
      <c r="N86" s="19">
        <v>1</v>
      </c>
      <c r="Q86" s="19">
        <v>60</v>
      </c>
      <c r="W86" s="19">
        <v>60</v>
      </c>
      <c r="X86" s="80">
        <v>1</v>
      </c>
      <c r="Y86" s="80">
        <v>1</v>
      </c>
      <c r="Z86" s="80">
        <v>11</v>
      </c>
      <c r="AA86" s="19">
        <v>12</v>
      </c>
      <c r="AC86" s="19">
        <v>915</v>
      </c>
      <c r="AF86" s="19">
        <v>15</v>
      </c>
    </row>
    <row r="87" spans="1:32" x14ac:dyDescent="0.25">
      <c r="A87" s="79">
        <v>46118</v>
      </c>
      <c r="B87" s="19" t="s">
        <v>47</v>
      </c>
      <c r="C87" s="19" t="s">
        <v>64</v>
      </c>
      <c r="D87" s="19">
        <v>382.29999999999995</v>
      </c>
      <c r="E87" s="19">
        <v>9</v>
      </c>
      <c r="F87" s="19">
        <v>7</v>
      </c>
      <c r="I87" s="19">
        <v>7</v>
      </c>
      <c r="K87" s="80">
        <v>0.11666666666666667</v>
      </c>
      <c r="N87" s="19">
        <v>4</v>
      </c>
      <c r="W87" s="19">
        <v>0</v>
      </c>
      <c r="X87" s="80">
        <v>0</v>
      </c>
      <c r="Y87" s="80">
        <v>0.11666666666666667</v>
      </c>
      <c r="Z87" s="80">
        <v>47.883333333333333</v>
      </c>
      <c r="AA87" s="19">
        <v>12</v>
      </c>
      <c r="AC87" s="19">
        <v>414.5</v>
      </c>
      <c r="AF87" s="19">
        <v>15</v>
      </c>
    </row>
    <row r="88" spans="1:32" x14ac:dyDescent="0.25">
      <c r="A88" s="79">
        <v>46119</v>
      </c>
      <c r="B88" s="19" t="s">
        <v>46</v>
      </c>
      <c r="C88" s="19" t="s">
        <v>65</v>
      </c>
      <c r="D88" s="19">
        <v>172.4</v>
      </c>
      <c r="E88" s="19">
        <v>2</v>
      </c>
      <c r="F88" s="19">
        <v>3</v>
      </c>
      <c r="I88" s="19">
        <v>3</v>
      </c>
      <c r="K88" s="80">
        <v>0.05</v>
      </c>
      <c r="N88" s="19">
        <v>2</v>
      </c>
      <c r="W88" s="19">
        <v>0</v>
      </c>
      <c r="X88" s="80">
        <v>0</v>
      </c>
      <c r="Y88" s="80">
        <v>0.05</v>
      </c>
      <c r="Z88" s="80">
        <v>23.95</v>
      </c>
      <c r="AA88" s="19">
        <v>12</v>
      </c>
      <c r="AC88" s="19">
        <v>187</v>
      </c>
      <c r="AF88" s="19">
        <v>15</v>
      </c>
    </row>
    <row r="89" spans="1:32" x14ac:dyDescent="0.25">
      <c r="A89" s="79">
        <v>46119</v>
      </c>
      <c r="B89" s="19" t="s">
        <v>46</v>
      </c>
      <c r="C89" s="19" t="s">
        <v>150</v>
      </c>
      <c r="D89" s="19">
        <v>435.79999999999995</v>
      </c>
      <c r="E89" s="19">
        <v>5</v>
      </c>
      <c r="I89" s="19">
        <v>0</v>
      </c>
      <c r="K89" s="80">
        <v>0</v>
      </c>
      <c r="N89" s="19">
        <v>2</v>
      </c>
      <c r="W89" s="19">
        <v>0</v>
      </c>
      <c r="X89" s="80">
        <v>0</v>
      </c>
      <c r="Y89" s="80">
        <v>0</v>
      </c>
      <c r="Z89" s="80">
        <v>24</v>
      </c>
      <c r="AA89" s="19">
        <v>12</v>
      </c>
      <c r="AC89" s="19">
        <v>456.5</v>
      </c>
      <c r="AF89" s="19">
        <v>15</v>
      </c>
    </row>
    <row r="90" spans="1:32" x14ac:dyDescent="0.25">
      <c r="A90" s="79">
        <v>46119</v>
      </c>
      <c r="B90" s="19" t="s">
        <v>46</v>
      </c>
      <c r="C90" s="19" t="s">
        <v>183</v>
      </c>
      <c r="D90" s="19">
        <v>309</v>
      </c>
      <c r="E90" s="19">
        <v>2</v>
      </c>
      <c r="I90" s="19">
        <v>0</v>
      </c>
      <c r="K90" s="80">
        <v>0</v>
      </c>
      <c r="N90" s="19">
        <v>2</v>
      </c>
      <c r="W90" s="19">
        <v>0</v>
      </c>
      <c r="X90" s="80">
        <v>0</v>
      </c>
      <c r="Y90" s="80">
        <v>0</v>
      </c>
      <c r="Z90" s="80">
        <v>24</v>
      </c>
      <c r="AA90" s="19">
        <v>12</v>
      </c>
      <c r="AC90" s="19">
        <v>328</v>
      </c>
      <c r="AF90" s="19">
        <v>15</v>
      </c>
    </row>
    <row r="91" spans="1:32" x14ac:dyDescent="0.25">
      <c r="A91" s="79">
        <v>46119</v>
      </c>
      <c r="B91" s="19" t="s">
        <v>46</v>
      </c>
      <c r="C91" s="19" t="s">
        <v>184</v>
      </c>
      <c r="D91" s="19">
        <v>599.9</v>
      </c>
      <c r="E91" s="19">
        <v>4</v>
      </c>
      <c r="I91" s="19">
        <v>0</v>
      </c>
      <c r="K91" s="80">
        <v>0</v>
      </c>
      <c r="N91" s="19">
        <v>1</v>
      </c>
      <c r="W91" s="19">
        <v>0</v>
      </c>
      <c r="X91" s="80">
        <v>0</v>
      </c>
      <c r="Y91" s="80">
        <v>0</v>
      </c>
      <c r="Z91" s="80">
        <v>12</v>
      </c>
      <c r="AA91" s="19">
        <v>12</v>
      </c>
      <c r="AC91" s="19">
        <v>616.5</v>
      </c>
      <c r="AF91" s="19">
        <v>15</v>
      </c>
    </row>
    <row r="92" spans="1:32" x14ac:dyDescent="0.25">
      <c r="A92" s="79">
        <v>46119</v>
      </c>
      <c r="B92" s="19" t="s">
        <v>46</v>
      </c>
      <c r="C92" s="19" t="s">
        <v>191</v>
      </c>
      <c r="D92" s="19">
        <v>805.5</v>
      </c>
      <c r="E92" s="19">
        <v>29</v>
      </c>
      <c r="F92" s="19">
        <v>10</v>
      </c>
      <c r="I92" s="19">
        <v>10</v>
      </c>
      <c r="K92" s="80">
        <v>0.16666666666666666</v>
      </c>
      <c r="N92" s="19">
        <v>1</v>
      </c>
      <c r="W92" s="19">
        <v>0</v>
      </c>
      <c r="X92" s="80">
        <v>0</v>
      </c>
      <c r="Y92" s="80">
        <v>0.16666666666666666</v>
      </c>
      <c r="Z92" s="80">
        <v>11.833333333333334</v>
      </c>
      <c r="AA92" s="19">
        <v>12</v>
      </c>
      <c r="AC92" s="19">
        <v>831.5</v>
      </c>
      <c r="AF92" s="19">
        <v>15</v>
      </c>
    </row>
    <row r="93" spans="1:32" x14ac:dyDescent="0.25">
      <c r="A93" s="79">
        <v>46119</v>
      </c>
      <c r="B93" s="19" t="s">
        <v>46</v>
      </c>
      <c r="C93" s="19" t="s">
        <v>64</v>
      </c>
      <c r="D93" s="19">
        <v>399.9</v>
      </c>
      <c r="E93" s="19">
        <v>6</v>
      </c>
      <c r="F93" s="19">
        <v>5</v>
      </c>
      <c r="I93" s="19">
        <v>5</v>
      </c>
      <c r="K93" s="80">
        <v>8.3333333333333329E-2</v>
      </c>
      <c r="N93" s="19">
        <v>2</v>
      </c>
      <c r="W93" s="19">
        <v>0</v>
      </c>
      <c r="X93" s="80">
        <v>0</v>
      </c>
      <c r="Y93" s="80">
        <v>8.3333333333333329E-2</v>
      </c>
      <c r="Z93" s="80">
        <v>23.916666666666664</v>
      </c>
      <c r="AA93" s="19">
        <v>12</v>
      </c>
      <c r="AC93" s="19">
        <v>424</v>
      </c>
      <c r="AF93" s="19">
        <v>15</v>
      </c>
    </row>
    <row r="94" spans="1:32" x14ac:dyDescent="0.25">
      <c r="A94" s="79">
        <v>46119</v>
      </c>
      <c r="B94" s="19" t="s">
        <v>47</v>
      </c>
      <c r="C94" s="19" t="s">
        <v>65</v>
      </c>
      <c r="D94" s="19">
        <v>153.1</v>
      </c>
      <c r="I94" s="19">
        <v>0</v>
      </c>
      <c r="K94" s="80">
        <v>0</v>
      </c>
      <c r="N94" s="19">
        <v>1</v>
      </c>
      <c r="W94" s="19">
        <v>0</v>
      </c>
      <c r="X94" s="80">
        <v>0</v>
      </c>
      <c r="Y94" s="80">
        <v>0</v>
      </c>
      <c r="Z94" s="80">
        <v>12</v>
      </c>
      <c r="AA94" s="19">
        <v>12</v>
      </c>
      <c r="AC94" s="19">
        <v>160.5</v>
      </c>
      <c r="AF94" s="19">
        <v>15</v>
      </c>
    </row>
    <row r="95" spans="1:32" x14ac:dyDescent="0.25">
      <c r="A95" s="79">
        <v>46119</v>
      </c>
      <c r="B95" s="19" t="s">
        <v>47</v>
      </c>
      <c r="C95" s="19" t="s">
        <v>190</v>
      </c>
      <c r="D95" s="19">
        <v>423.7</v>
      </c>
      <c r="E95" s="19">
        <v>5</v>
      </c>
      <c r="F95" s="19">
        <v>2</v>
      </c>
      <c r="I95" s="19">
        <v>2</v>
      </c>
      <c r="K95" s="80">
        <v>3.3333333333333333E-2</v>
      </c>
      <c r="N95" s="19">
        <v>2</v>
      </c>
      <c r="W95" s="19">
        <v>0</v>
      </c>
      <c r="X95" s="80">
        <v>0</v>
      </c>
      <c r="Y95" s="80">
        <v>3.3333333333333333E-2</v>
      </c>
      <c r="Z95" s="80">
        <v>23.966666666666669</v>
      </c>
      <c r="AA95" s="19">
        <v>12</v>
      </c>
      <c r="AC95" s="19">
        <v>442</v>
      </c>
      <c r="AF95" s="19">
        <v>15</v>
      </c>
    </row>
    <row r="96" spans="1:32" x14ac:dyDescent="0.25">
      <c r="A96" s="79">
        <v>46119</v>
      </c>
      <c r="B96" s="19" t="s">
        <v>47</v>
      </c>
      <c r="C96" s="19" t="s">
        <v>150</v>
      </c>
      <c r="D96" s="19">
        <v>420.3</v>
      </c>
      <c r="I96" s="19">
        <v>0</v>
      </c>
      <c r="K96" s="80">
        <v>0</v>
      </c>
      <c r="N96" s="19">
        <v>3</v>
      </c>
      <c r="W96" s="19">
        <v>0</v>
      </c>
      <c r="X96" s="80">
        <v>0</v>
      </c>
      <c r="Y96" s="80">
        <v>0</v>
      </c>
      <c r="Z96" s="80">
        <v>36</v>
      </c>
      <c r="AA96" s="19">
        <v>12</v>
      </c>
      <c r="AC96" s="19">
        <v>444.5</v>
      </c>
      <c r="AF96" s="19">
        <v>15</v>
      </c>
    </row>
    <row r="97" spans="1:32" x14ac:dyDescent="0.25">
      <c r="A97" s="79">
        <v>46119</v>
      </c>
      <c r="B97" s="19" t="s">
        <v>47</v>
      </c>
      <c r="C97" s="19" t="s">
        <v>183</v>
      </c>
      <c r="D97" s="19">
        <v>267.8</v>
      </c>
      <c r="I97" s="19">
        <v>0</v>
      </c>
      <c r="K97" s="80">
        <v>0</v>
      </c>
      <c r="N97" s="19">
        <v>2</v>
      </c>
      <c r="W97" s="19">
        <v>0</v>
      </c>
      <c r="X97" s="80">
        <v>0</v>
      </c>
      <c r="Y97" s="80">
        <v>0</v>
      </c>
      <c r="Z97" s="80">
        <v>24</v>
      </c>
      <c r="AA97" s="19">
        <v>12</v>
      </c>
      <c r="AC97" s="19">
        <v>287.5</v>
      </c>
      <c r="AF97" s="19">
        <v>15</v>
      </c>
    </row>
    <row r="98" spans="1:32" x14ac:dyDescent="0.25">
      <c r="A98" s="79">
        <v>46119</v>
      </c>
      <c r="B98" s="19" t="s">
        <v>47</v>
      </c>
      <c r="C98" s="19" t="s">
        <v>184</v>
      </c>
      <c r="D98" s="19">
        <v>512.9</v>
      </c>
      <c r="E98" s="19">
        <v>7</v>
      </c>
      <c r="I98" s="19">
        <v>0</v>
      </c>
      <c r="K98" s="80">
        <v>0</v>
      </c>
      <c r="N98" s="19">
        <v>1</v>
      </c>
      <c r="W98" s="19">
        <v>0</v>
      </c>
      <c r="X98" s="80">
        <v>0</v>
      </c>
      <c r="Y98" s="80">
        <v>0</v>
      </c>
      <c r="Z98" s="80">
        <v>12</v>
      </c>
      <c r="AA98" s="19">
        <v>12</v>
      </c>
      <c r="AC98" s="19">
        <v>529.5</v>
      </c>
      <c r="AF98" s="19">
        <v>15</v>
      </c>
    </row>
    <row r="99" spans="1:32" x14ac:dyDescent="0.25">
      <c r="A99" s="79">
        <v>46119</v>
      </c>
      <c r="B99" s="19" t="s">
        <v>47</v>
      </c>
      <c r="C99" s="19" t="s">
        <v>191</v>
      </c>
      <c r="D99" s="19">
        <v>576</v>
      </c>
      <c r="E99" s="19">
        <v>63</v>
      </c>
      <c r="F99" s="19">
        <v>44</v>
      </c>
      <c r="I99" s="19">
        <v>44</v>
      </c>
      <c r="K99" s="80">
        <v>0.73333333333333339</v>
      </c>
      <c r="N99" s="19">
        <v>5</v>
      </c>
      <c r="W99" s="19">
        <v>0</v>
      </c>
      <c r="X99" s="80">
        <v>0</v>
      </c>
      <c r="Y99" s="80">
        <v>0.73333333333333339</v>
      </c>
      <c r="Z99" s="80">
        <v>59.266666666666666</v>
      </c>
      <c r="AA99" s="19">
        <v>12</v>
      </c>
      <c r="AC99" s="19">
        <v>617</v>
      </c>
      <c r="AF99" s="19">
        <v>15</v>
      </c>
    </row>
    <row r="100" spans="1:32" x14ac:dyDescent="0.25">
      <c r="A100" s="79">
        <v>46119</v>
      </c>
      <c r="B100" s="19" t="s">
        <v>47</v>
      </c>
      <c r="C100" s="19" t="s">
        <v>64</v>
      </c>
      <c r="D100" s="19">
        <v>436.8</v>
      </c>
      <c r="E100" s="19">
        <v>5</v>
      </c>
      <c r="I100" s="19">
        <v>0</v>
      </c>
      <c r="K100" s="80">
        <v>0</v>
      </c>
      <c r="N100" s="19">
        <v>2</v>
      </c>
      <c r="W100" s="19">
        <v>0</v>
      </c>
      <c r="X100" s="80">
        <v>0</v>
      </c>
      <c r="Y100" s="80">
        <v>0</v>
      </c>
      <c r="Z100" s="80">
        <v>24</v>
      </c>
      <c r="AA100" s="19">
        <v>12</v>
      </c>
      <c r="AC100" s="19">
        <v>464</v>
      </c>
      <c r="AF100" s="19">
        <v>15</v>
      </c>
    </row>
    <row r="101" spans="1:32" x14ac:dyDescent="0.25">
      <c r="A101" s="79">
        <v>46120</v>
      </c>
      <c r="B101" s="19" t="s">
        <v>46</v>
      </c>
      <c r="C101" s="19" t="s">
        <v>65</v>
      </c>
      <c r="D101" s="19">
        <v>141.69999999999999</v>
      </c>
      <c r="I101" s="19">
        <v>0</v>
      </c>
      <c r="K101" s="80">
        <v>0</v>
      </c>
      <c r="N101" s="19">
        <v>1</v>
      </c>
      <c r="W101" s="19">
        <v>0</v>
      </c>
      <c r="X101" s="80">
        <v>0</v>
      </c>
      <c r="Y101" s="80">
        <v>0</v>
      </c>
      <c r="Z101" s="80">
        <v>12</v>
      </c>
      <c r="AA101" s="19">
        <v>12</v>
      </c>
      <c r="AC101" s="19">
        <v>149.5</v>
      </c>
      <c r="AF101" s="19">
        <v>15</v>
      </c>
    </row>
    <row r="102" spans="1:32" x14ac:dyDescent="0.25">
      <c r="A102" s="79">
        <v>46120</v>
      </c>
      <c r="B102" s="19" t="s">
        <v>46</v>
      </c>
      <c r="C102" s="19" t="s">
        <v>190</v>
      </c>
      <c r="D102" s="19">
        <v>425.1</v>
      </c>
      <c r="E102" s="19">
        <v>5</v>
      </c>
      <c r="F102" s="19">
        <v>4</v>
      </c>
      <c r="I102" s="19">
        <v>4</v>
      </c>
      <c r="K102" s="80">
        <v>6.6666666666666666E-2</v>
      </c>
      <c r="N102" s="19">
        <v>2</v>
      </c>
      <c r="W102" s="19">
        <v>0</v>
      </c>
      <c r="X102" s="80">
        <v>0</v>
      </c>
      <c r="Y102" s="80">
        <v>6.6666666666666666E-2</v>
      </c>
      <c r="Z102" s="80">
        <v>23.933333333333334</v>
      </c>
      <c r="AA102" s="19">
        <v>12</v>
      </c>
      <c r="AC102" s="19">
        <v>443</v>
      </c>
      <c r="AF102" s="19">
        <v>15</v>
      </c>
    </row>
    <row r="103" spans="1:32" x14ac:dyDescent="0.25">
      <c r="A103" s="79">
        <v>46120</v>
      </c>
      <c r="B103" s="19" t="s">
        <v>46</v>
      </c>
      <c r="C103" s="19" t="s">
        <v>150</v>
      </c>
      <c r="D103" s="19">
        <v>372.62</v>
      </c>
      <c r="E103" s="19">
        <v>3</v>
      </c>
      <c r="F103" s="19">
        <v>2</v>
      </c>
      <c r="I103" s="19">
        <v>2</v>
      </c>
      <c r="K103" s="80">
        <v>3.3333333333333333E-2</v>
      </c>
      <c r="N103" s="19">
        <v>2</v>
      </c>
      <c r="W103" s="19">
        <v>0</v>
      </c>
      <c r="X103" s="80">
        <v>0</v>
      </c>
      <c r="Y103" s="80">
        <v>3.3333333333333333E-2</v>
      </c>
      <c r="Z103" s="80">
        <v>23.966666666666669</v>
      </c>
      <c r="AA103" s="19">
        <v>12</v>
      </c>
      <c r="AC103" s="19">
        <v>392.02</v>
      </c>
      <c r="AF103" s="19">
        <v>15</v>
      </c>
    </row>
    <row r="104" spans="1:32" x14ac:dyDescent="0.25">
      <c r="A104" s="79">
        <v>46120</v>
      </c>
      <c r="B104" s="19" t="s">
        <v>46</v>
      </c>
      <c r="C104" s="19" t="s">
        <v>183</v>
      </c>
      <c r="D104" s="19">
        <v>328.2</v>
      </c>
      <c r="E104" s="19">
        <v>4</v>
      </c>
      <c r="F104" s="19">
        <v>2</v>
      </c>
      <c r="I104" s="19">
        <v>2</v>
      </c>
      <c r="K104" s="80">
        <v>3.3333333333333333E-2</v>
      </c>
      <c r="N104" s="19">
        <v>3</v>
      </c>
      <c r="W104" s="19">
        <v>0</v>
      </c>
      <c r="X104" s="80">
        <v>0</v>
      </c>
      <c r="Y104" s="80">
        <v>3.3333333333333333E-2</v>
      </c>
      <c r="Z104" s="80">
        <v>35.966666666666669</v>
      </c>
      <c r="AA104" s="19">
        <v>12</v>
      </c>
      <c r="AC104" s="19">
        <v>355</v>
      </c>
      <c r="AF104" s="19">
        <v>15</v>
      </c>
    </row>
    <row r="105" spans="1:32" x14ac:dyDescent="0.25">
      <c r="A105" s="79">
        <v>46120</v>
      </c>
      <c r="B105" s="19" t="s">
        <v>46</v>
      </c>
      <c r="C105" s="19" t="s">
        <v>184</v>
      </c>
      <c r="D105" s="19">
        <v>439.9</v>
      </c>
      <c r="E105" s="19">
        <v>4</v>
      </c>
      <c r="F105" s="19">
        <v>2</v>
      </c>
      <c r="I105" s="19">
        <v>2</v>
      </c>
      <c r="K105" s="80">
        <v>3.3333333333333333E-2</v>
      </c>
      <c r="N105" s="19">
        <v>2</v>
      </c>
      <c r="W105" s="19">
        <v>0</v>
      </c>
      <c r="X105" s="80">
        <v>0</v>
      </c>
      <c r="Y105" s="80">
        <v>3.3333333333333333E-2</v>
      </c>
      <c r="Z105" s="80">
        <v>23.966666666666669</v>
      </c>
      <c r="AA105" s="19">
        <v>12</v>
      </c>
      <c r="AC105" s="19">
        <v>463.5</v>
      </c>
      <c r="AF105" s="19">
        <v>15</v>
      </c>
    </row>
    <row r="106" spans="1:32" x14ac:dyDescent="0.25">
      <c r="A106" s="79">
        <v>46120</v>
      </c>
      <c r="B106" s="19" t="s">
        <v>46</v>
      </c>
      <c r="C106" s="19" t="s">
        <v>191</v>
      </c>
      <c r="D106" s="19">
        <v>679</v>
      </c>
      <c r="E106" s="19">
        <v>9</v>
      </c>
      <c r="I106" s="19">
        <v>0</v>
      </c>
      <c r="K106" s="80">
        <v>0</v>
      </c>
      <c r="N106" s="19">
        <v>1</v>
      </c>
      <c r="W106" s="19">
        <v>0</v>
      </c>
      <c r="X106" s="80">
        <v>0</v>
      </c>
      <c r="Y106" s="80">
        <v>0</v>
      </c>
      <c r="Z106" s="80">
        <v>12</v>
      </c>
      <c r="AA106" s="19">
        <v>12</v>
      </c>
      <c r="AC106" s="19">
        <v>702</v>
      </c>
      <c r="AF106" s="19">
        <v>15</v>
      </c>
    </row>
    <row r="107" spans="1:32" x14ac:dyDescent="0.25">
      <c r="A107" s="79">
        <v>46120</v>
      </c>
      <c r="B107" s="19" t="s">
        <v>46</v>
      </c>
      <c r="C107" s="19" t="s">
        <v>64</v>
      </c>
      <c r="D107" s="19">
        <v>370.1</v>
      </c>
      <c r="E107" s="19">
        <v>8</v>
      </c>
      <c r="F107" s="19">
        <v>3</v>
      </c>
      <c r="I107" s="19">
        <v>3</v>
      </c>
      <c r="K107" s="80">
        <v>0.05</v>
      </c>
      <c r="N107" s="19">
        <v>3</v>
      </c>
      <c r="P107" s="19">
        <v>5</v>
      </c>
      <c r="W107" s="19">
        <v>5</v>
      </c>
      <c r="X107" s="80">
        <v>8.3333333333333329E-2</v>
      </c>
      <c r="Y107" s="80">
        <v>0.13333333333333333</v>
      </c>
      <c r="Z107" s="80">
        <v>35.866666666666667</v>
      </c>
      <c r="AA107" s="19">
        <v>12</v>
      </c>
      <c r="AC107" s="19">
        <v>399</v>
      </c>
      <c r="AF107" s="19">
        <v>15</v>
      </c>
    </row>
    <row r="108" spans="1:32" x14ac:dyDescent="0.25">
      <c r="A108" s="79">
        <v>46120</v>
      </c>
      <c r="B108" s="19" t="s">
        <v>47</v>
      </c>
      <c r="C108" s="19" t="s">
        <v>65</v>
      </c>
      <c r="D108" s="19">
        <v>117.9</v>
      </c>
      <c r="E108" s="19">
        <v>2</v>
      </c>
      <c r="I108" s="19">
        <v>0</v>
      </c>
      <c r="K108" s="80">
        <v>0</v>
      </c>
      <c r="N108" s="19">
        <v>1</v>
      </c>
      <c r="W108" s="19">
        <v>0</v>
      </c>
      <c r="X108" s="80">
        <v>0</v>
      </c>
      <c r="Y108" s="80">
        <v>0</v>
      </c>
      <c r="Z108" s="80">
        <v>12</v>
      </c>
      <c r="AA108" s="19">
        <v>12</v>
      </c>
      <c r="AC108" s="19">
        <v>125</v>
      </c>
      <c r="AF108" s="19">
        <v>15</v>
      </c>
    </row>
    <row r="109" spans="1:32" x14ac:dyDescent="0.25">
      <c r="A109" s="79">
        <v>46120</v>
      </c>
      <c r="B109" s="19" t="s">
        <v>47</v>
      </c>
      <c r="C109" s="19" t="s">
        <v>190</v>
      </c>
      <c r="D109" s="19">
        <v>506</v>
      </c>
      <c r="E109" s="19">
        <v>7</v>
      </c>
      <c r="I109" s="19">
        <v>0</v>
      </c>
      <c r="K109" s="80">
        <v>0</v>
      </c>
      <c r="N109" s="19">
        <v>2</v>
      </c>
      <c r="W109" s="19">
        <v>0</v>
      </c>
      <c r="X109" s="80">
        <v>0</v>
      </c>
      <c r="Y109" s="80">
        <v>0</v>
      </c>
      <c r="Z109" s="80">
        <v>24</v>
      </c>
      <c r="AA109" s="19">
        <v>12</v>
      </c>
      <c r="AC109" s="19">
        <v>528</v>
      </c>
      <c r="AF109" s="19">
        <v>15</v>
      </c>
    </row>
    <row r="110" spans="1:32" x14ac:dyDescent="0.25">
      <c r="A110" s="79">
        <v>46120</v>
      </c>
      <c r="B110" s="19" t="s">
        <v>47</v>
      </c>
      <c r="C110" s="19" t="s">
        <v>150</v>
      </c>
      <c r="D110" s="19">
        <v>320.5</v>
      </c>
      <c r="E110" s="19">
        <v>15</v>
      </c>
      <c r="I110" s="19">
        <v>0</v>
      </c>
      <c r="K110" s="80">
        <v>0</v>
      </c>
      <c r="N110" s="19">
        <v>1</v>
      </c>
      <c r="W110" s="19">
        <v>0</v>
      </c>
      <c r="X110" s="80">
        <v>0</v>
      </c>
      <c r="Y110" s="80">
        <v>0</v>
      </c>
      <c r="Z110" s="80">
        <v>12</v>
      </c>
      <c r="AA110" s="19">
        <v>12</v>
      </c>
      <c r="AC110" s="19">
        <v>332.5</v>
      </c>
      <c r="AF110" s="19">
        <v>15</v>
      </c>
    </row>
    <row r="111" spans="1:32" x14ac:dyDescent="0.25">
      <c r="A111" s="79">
        <v>46120</v>
      </c>
      <c r="B111" s="19" t="s">
        <v>47</v>
      </c>
      <c r="C111" s="19" t="s">
        <v>183</v>
      </c>
      <c r="D111" s="19">
        <v>280.7</v>
      </c>
      <c r="E111" s="19">
        <v>10</v>
      </c>
      <c r="I111" s="19">
        <v>0</v>
      </c>
      <c r="K111" s="80">
        <v>0</v>
      </c>
      <c r="N111" s="19">
        <v>1</v>
      </c>
      <c r="W111" s="19">
        <v>0</v>
      </c>
      <c r="X111" s="80">
        <v>0</v>
      </c>
      <c r="Y111" s="80">
        <v>0</v>
      </c>
      <c r="Z111" s="80">
        <v>12</v>
      </c>
      <c r="AA111" s="19">
        <v>12</v>
      </c>
      <c r="AC111" s="19">
        <v>296</v>
      </c>
      <c r="AF111" s="19">
        <v>15</v>
      </c>
    </row>
    <row r="112" spans="1:32" x14ac:dyDescent="0.25">
      <c r="A112" s="79">
        <v>46120</v>
      </c>
      <c r="B112" s="19" t="s">
        <v>47</v>
      </c>
      <c r="C112" s="19" t="s">
        <v>184</v>
      </c>
      <c r="D112" s="19">
        <v>540.9</v>
      </c>
      <c r="E112" s="19">
        <v>12</v>
      </c>
      <c r="F112" s="19">
        <v>3</v>
      </c>
      <c r="I112" s="19">
        <v>3</v>
      </c>
      <c r="K112" s="80">
        <v>0.05</v>
      </c>
      <c r="N112" s="19">
        <v>3</v>
      </c>
      <c r="W112" s="19">
        <v>0</v>
      </c>
      <c r="X112" s="80">
        <v>0</v>
      </c>
      <c r="Y112" s="80">
        <v>0.05</v>
      </c>
      <c r="Z112" s="80">
        <v>35.950000000000003</v>
      </c>
      <c r="AA112" s="19">
        <v>12</v>
      </c>
      <c r="AC112" s="19">
        <v>566.5</v>
      </c>
      <c r="AF112" s="19">
        <v>15</v>
      </c>
    </row>
    <row r="113" spans="1:32" x14ac:dyDescent="0.25">
      <c r="A113" s="79">
        <v>46120</v>
      </c>
      <c r="B113" s="19" t="s">
        <v>47</v>
      </c>
      <c r="C113" s="19" t="s">
        <v>191</v>
      </c>
      <c r="D113" s="19">
        <v>709</v>
      </c>
      <c r="E113" s="19">
        <v>20</v>
      </c>
      <c r="F113" s="19">
        <v>3</v>
      </c>
      <c r="I113" s="19">
        <v>3</v>
      </c>
      <c r="K113" s="80">
        <v>0.05</v>
      </c>
      <c r="N113" s="19">
        <v>2</v>
      </c>
      <c r="W113" s="19">
        <v>0</v>
      </c>
      <c r="X113" s="80">
        <v>0</v>
      </c>
      <c r="Y113" s="80">
        <v>0.05</v>
      </c>
      <c r="Z113" s="80">
        <v>23.95</v>
      </c>
      <c r="AA113" s="19">
        <v>12</v>
      </c>
      <c r="AC113" s="19">
        <v>731.5</v>
      </c>
      <c r="AF113" s="19">
        <v>15</v>
      </c>
    </row>
    <row r="114" spans="1:32" x14ac:dyDescent="0.25">
      <c r="A114" s="79">
        <v>46120</v>
      </c>
      <c r="B114" s="19" t="s">
        <v>47</v>
      </c>
      <c r="C114" s="19" t="s">
        <v>64</v>
      </c>
      <c r="D114" s="19">
        <v>427.9</v>
      </c>
      <c r="E114" s="19">
        <v>10</v>
      </c>
      <c r="I114" s="19">
        <v>0</v>
      </c>
      <c r="K114" s="80">
        <v>0</v>
      </c>
      <c r="N114" s="19">
        <v>2</v>
      </c>
      <c r="W114" s="19">
        <v>0</v>
      </c>
      <c r="X114" s="80">
        <v>0</v>
      </c>
      <c r="Y114" s="80">
        <v>0</v>
      </c>
      <c r="Z114" s="80">
        <v>24</v>
      </c>
      <c r="AA114" s="19">
        <v>12</v>
      </c>
      <c r="AC114" s="19">
        <v>452</v>
      </c>
      <c r="AF114" s="19">
        <v>15</v>
      </c>
    </row>
    <row r="115" spans="1:32" x14ac:dyDescent="0.25">
      <c r="A115" s="79">
        <v>46121</v>
      </c>
      <c r="B115" s="19" t="s">
        <v>46</v>
      </c>
      <c r="C115" s="19">
        <v>1</v>
      </c>
      <c r="D115" s="19">
        <v>147.19999999999999</v>
      </c>
      <c r="E115" s="19">
        <v>2</v>
      </c>
      <c r="I115" s="19">
        <v>0</v>
      </c>
      <c r="K115" s="80">
        <v>0</v>
      </c>
      <c r="N115" s="19">
        <v>1</v>
      </c>
      <c r="W115" s="19">
        <v>0</v>
      </c>
      <c r="X115" s="80">
        <v>0</v>
      </c>
      <c r="Y115" s="80">
        <v>0</v>
      </c>
      <c r="Z115" s="80">
        <v>12</v>
      </c>
      <c r="AA115" s="19">
        <v>12</v>
      </c>
      <c r="AC115" s="19">
        <v>155</v>
      </c>
      <c r="AF115" s="19">
        <v>15</v>
      </c>
    </row>
    <row r="116" spans="1:32" x14ac:dyDescent="0.25">
      <c r="A116" s="79">
        <v>46121</v>
      </c>
      <c r="B116" s="19" t="s">
        <v>46</v>
      </c>
      <c r="C116" s="19">
        <v>3</v>
      </c>
      <c r="D116" s="19">
        <v>506</v>
      </c>
      <c r="E116" s="19">
        <v>7</v>
      </c>
      <c r="F116" s="19">
        <v>4</v>
      </c>
      <c r="I116" s="19">
        <v>4</v>
      </c>
      <c r="K116" s="80">
        <v>6.6666666666666666E-2</v>
      </c>
      <c r="N116" s="19">
        <v>2</v>
      </c>
      <c r="W116" s="19">
        <v>0</v>
      </c>
      <c r="X116" s="80">
        <v>0</v>
      </c>
      <c r="Y116" s="80">
        <v>6.6666666666666666E-2</v>
      </c>
      <c r="Z116" s="80">
        <v>23.933333333333334</v>
      </c>
      <c r="AA116" s="19">
        <v>12</v>
      </c>
      <c r="AC116" s="19">
        <v>528</v>
      </c>
      <c r="AF116" s="19">
        <v>15</v>
      </c>
    </row>
    <row r="117" spans="1:32" x14ac:dyDescent="0.25">
      <c r="A117" s="79">
        <v>46121</v>
      </c>
      <c r="B117" s="19" t="s">
        <v>46</v>
      </c>
      <c r="C117" s="19">
        <v>4</v>
      </c>
      <c r="D117" s="19">
        <v>261</v>
      </c>
      <c r="E117" s="19">
        <v>32</v>
      </c>
      <c r="I117" s="19">
        <v>0</v>
      </c>
      <c r="K117" s="80">
        <v>0</v>
      </c>
      <c r="N117" s="19">
        <v>2</v>
      </c>
      <c r="U117" s="19">
        <v>30</v>
      </c>
      <c r="W117" s="19">
        <v>30</v>
      </c>
      <c r="X117" s="80">
        <v>0.5</v>
      </c>
      <c r="Y117" s="80">
        <v>0.5</v>
      </c>
      <c r="Z117" s="80">
        <v>23.5</v>
      </c>
      <c r="AA117" s="19">
        <v>12</v>
      </c>
      <c r="AC117" s="19">
        <v>281</v>
      </c>
      <c r="AF117" s="19">
        <v>15</v>
      </c>
    </row>
    <row r="118" spans="1:32" x14ac:dyDescent="0.25">
      <c r="A118" s="79">
        <v>46121</v>
      </c>
      <c r="B118" s="19" t="s">
        <v>46</v>
      </c>
      <c r="C118" s="19">
        <v>5</v>
      </c>
      <c r="D118" s="19">
        <v>359.5</v>
      </c>
      <c r="E118" s="19">
        <v>4</v>
      </c>
      <c r="I118" s="19">
        <v>0</v>
      </c>
      <c r="K118" s="80">
        <v>0</v>
      </c>
      <c r="N118" s="19">
        <v>1</v>
      </c>
      <c r="W118" s="19">
        <v>0</v>
      </c>
      <c r="X118" s="80">
        <v>0</v>
      </c>
      <c r="Y118" s="80">
        <v>0</v>
      </c>
      <c r="Z118" s="80">
        <v>12</v>
      </c>
      <c r="AA118" s="19">
        <v>12</v>
      </c>
      <c r="AC118" s="19">
        <v>372</v>
      </c>
      <c r="AF118" s="19">
        <v>15</v>
      </c>
    </row>
    <row r="119" spans="1:32" x14ac:dyDescent="0.25">
      <c r="A119" s="79">
        <v>46121</v>
      </c>
      <c r="B119" s="19" t="s">
        <v>46</v>
      </c>
      <c r="C119" s="19">
        <v>6</v>
      </c>
      <c r="D119" s="19">
        <v>504.5</v>
      </c>
      <c r="E119" s="19">
        <v>6</v>
      </c>
      <c r="I119" s="19">
        <v>0</v>
      </c>
      <c r="K119" s="80">
        <v>0</v>
      </c>
      <c r="N119" s="19">
        <v>1</v>
      </c>
      <c r="W119" s="19">
        <v>0</v>
      </c>
      <c r="X119" s="80">
        <v>0</v>
      </c>
      <c r="Y119" s="80">
        <v>0</v>
      </c>
      <c r="Z119" s="80">
        <v>12</v>
      </c>
      <c r="AA119" s="19">
        <v>12</v>
      </c>
      <c r="AC119" s="19">
        <v>515.5</v>
      </c>
      <c r="AF119" s="19">
        <v>15</v>
      </c>
    </row>
    <row r="120" spans="1:32" x14ac:dyDescent="0.25">
      <c r="A120" s="79">
        <v>46121</v>
      </c>
      <c r="B120" s="19" t="s">
        <v>46</v>
      </c>
      <c r="C120" s="19">
        <v>7</v>
      </c>
      <c r="D120" s="19">
        <v>666</v>
      </c>
      <c r="E120" s="19">
        <v>8</v>
      </c>
      <c r="I120" s="19">
        <v>0</v>
      </c>
      <c r="K120" s="80">
        <v>0</v>
      </c>
      <c r="N120" s="19">
        <v>1</v>
      </c>
      <c r="W120" s="19">
        <v>0</v>
      </c>
      <c r="X120" s="80">
        <v>0</v>
      </c>
      <c r="Y120" s="80">
        <v>0</v>
      </c>
      <c r="Z120" s="80">
        <v>12</v>
      </c>
      <c r="AA120" s="19">
        <v>12</v>
      </c>
      <c r="AC120" s="19">
        <v>681</v>
      </c>
      <c r="AF120" s="19">
        <v>15</v>
      </c>
    </row>
    <row r="121" spans="1:32" x14ac:dyDescent="0.25">
      <c r="A121" s="79">
        <v>46121</v>
      </c>
      <c r="B121" s="19" t="s">
        <v>46</v>
      </c>
      <c r="C121" s="19">
        <v>8</v>
      </c>
      <c r="D121" s="19">
        <v>465.5</v>
      </c>
      <c r="E121" s="19">
        <v>5</v>
      </c>
      <c r="F121" s="19">
        <v>12</v>
      </c>
      <c r="I121" s="19">
        <v>12</v>
      </c>
      <c r="K121" s="80">
        <v>0.2</v>
      </c>
      <c r="N121" s="19">
        <v>4</v>
      </c>
      <c r="W121" s="19">
        <v>0</v>
      </c>
      <c r="X121" s="80">
        <v>0</v>
      </c>
      <c r="Y121" s="80">
        <v>0.2</v>
      </c>
      <c r="Z121" s="80">
        <v>47.8</v>
      </c>
      <c r="AA121" s="19">
        <v>12</v>
      </c>
      <c r="AC121" s="19">
        <v>509.5</v>
      </c>
      <c r="AF121" s="19">
        <v>15</v>
      </c>
    </row>
    <row r="122" spans="1:32" x14ac:dyDescent="0.25">
      <c r="A122" s="79">
        <v>46121</v>
      </c>
      <c r="B122" s="19" t="s">
        <v>47</v>
      </c>
      <c r="C122" s="19">
        <v>1</v>
      </c>
      <c r="D122" s="19">
        <v>117.4</v>
      </c>
      <c r="I122" s="19">
        <v>0</v>
      </c>
      <c r="K122" s="80">
        <v>0</v>
      </c>
      <c r="N122" s="19">
        <v>1</v>
      </c>
      <c r="W122" s="19">
        <v>0</v>
      </c>
      <c r="X122" s="80">
        <v>0</v>
      </c>
      <c r="Y122" s="80">
        <v>0</v>
      </c>
      <c r="Z122" s="80">
        <v>12</v>
      </c>
      <c r="AA122" s="19">
        <v>12</v>
      </c>
      <c r="AC122" s="19">
        <v>124.5</v>
      </c>
      <c r="AF122" s="19">
        <v>15</v>
      </c>
    </row>
    <row r="123" spans="1:32" x14ac:dyDescent="0.25">
      <c r="A123" s="79">
        <v>46121</v>
      </c>
      <c r="B123" s="19" t="s">
        <v>47</v>
      </c>
      <c r="C123" s="19">
        <v>3</v>
      </c>
      <c r="D123" s="19">
        <v>399.8</v>
      </c>
      <c r="E123" s="19">
        <v>9</v>
      </c>
      <c r="I123" s="19">
        <v>0</v>
      </c>
      <c r="K123" s="80">
        <v>0</v>
      </c>
      <c r="N123" s="19">
        <v>2</v>
      </c>
      <c r="W123" s="19">
        <v>0</v>
      </c>
      <c r="X123" s="80">
        <v>0</v>
      </c>
      <c r="Y123" s="80">
        <v>0</v>
      </c>
      <c r="Z123" s="80">
        <v>24</v>
      </c>
      <c r="AA123" s="19">
        <v>12</v>
      </c>
      <c r="AC123" s="19">
        <v>418.5</v>
      </c>
      <c r="AF123" s="19">
        <v>15</v>
      </c>
    </row>
    <row r="124" spans="1:32" x14ac:dyDescent="0.25">
      <c r="A124" s="79">
        <v>46121</v>
      </c>
      <c r="B124" s="19" t="s">
        <v>47</v>
      </c>
      <c r="C124" s="19">
        <v>5</v>
      </c>
      <c r="D124" s="19">
        <v>282.3</v>
      </c>
      <c r="E124" s="19">
        <v>5</v>
      </c>
      <c r="F124" s="19">
        <v>2</v>
      </c>
      <c r="I124" s="19">
        <v>2</v>
      </c>
      <c r="K124" s="80">
        <v>3.3333333333333333E-2</v>
      </c>
      <c r="N124" s="19">
        <v>2</v>
      </c>
      <c r="W124" s="19">
        <v>0</v>
      </c>
      <c r="X124" s="80">
        <v>0</v>
      </c>
      <c r="Y124" s="80">
        <v>3.3333333333333333E-2</v>
      </c>
      <c r="Z124" s="80">
        <v>23.966666666666669</v>
      </c>
      <c r="AA124" s="19">
        <v>12</v>
      </c>
      <c r="AC124" s="19">
        <v>301.5</v>
      </c>
      <c r="AF124" s="19">
        <v>15</v>
      </c>
    </row>
    <row r="125" spans="1:32" x14ac:dyDescent="0.25">
      <c r="A125" s="79">
        <v>46121</v>
      </c>
      <c r="B125" s="19" t="s">
        <v>47</v>
      </c>
      <c r="C125" s="19">
        <v>6</v>
      </c>
      <c r="D125" s="19">
        <v>559.5</v>
      </c>
      <c r="E125" s="19">
        <v>10</v>
      </c>
      <c r="I125" s="19">
        <v>0</v>
      </c>
      <c r="K125" s="80">
        <v>0</v>
      </c>
      <c r="N125" s="19">
        <v>1</v>
      </c>
      <c r="W125" s="19">
        <v>0</v>
      </c>
      <c r="X125" s="80">
        <v>0</v>
      </c>
      <c r="Y125" s="80">
        <v>0</v>
      </c>
      <c r="Z125" s="80">
        <v>12</v>
      </c>
      <c r="AA125" s="19">
        <v>12</v>
      </c>
      <c r="AC125" s="19">
        <v>572</v>
      </c>
      <c r="AF125" s="19">
        <v>15</v>
      </c>
    </row>
    <row r="126" spans="1:32" x14ac:dyDescent="0.25">
      <c r="A126" s="79">
        <v>46121</v>
      </c>
      <c r="B126" s="19" t="s">
        <v>47</v>
      </c>
      <c r="C126" s="19">
        <v>7</v>
      </c>
      <c r="D126" s="19">
        <v>597.5</v>
      </c>
      <c r="E126" s="19">
        <v>30</v>
      </c>
      <c r="F126" s="19">
        <v>5</v>
      </c>
      <c r="I126" s="19">
        <v>5</v>
      </c>
      <c r="K126" s="80">
        <v>8.3333333333333329E-2</v>
      </c>
      <c r="N126" s="19">
        <v>3</v>
      </c>
      <c r="W126" s="19">
        <v>0</v>
      </c>
      <c r="X126" s="80">
        <v>0</v>
      </c>
      <c r="Y126" s="80">
        <v>8.3333333333333329E-2</v>
      </c>
      <c r="Z126" s="80">
        <v>35.916666666666664</v>
      </c>
      <c r="AA126" s="19">
        <v>12</v>
      </c>
      <c r="AC126" s="19">
        <v>628</v>
      </c>
      <c r="AF126" s="19">
        <v>15</v>
      </c>
    </row>
    <row r="127" spans="1:32" x14ac:dyDescent="0.25">
      <c r="A127" s="79">
        <v>46121</v>
      </c>
      <c r="B127" s="19" t="s">
        <v>47</v>
      </c>
      <c r="C127" s="19">
        <v>8</v>
      </c>
      <c r="D127" s="19">
        <v>381.6</v>
      </c>
      <c r="E127" s="19">
        <v>8</v>
      </c>
      <c r="I127" s="19">
        <v>0</v>
      </c>
      <c r="K127" s="80">
        <v>0</v>
      </c>
      <c r="N127" s="19">
        <v>3</v>
      </c>
      <c r="W127" s="19">
        <v>0</v>
      </c>
      <c r="X127" s="80">
        <v>0</v>
      </c>
      <c r="Y127" s="80">
        <v>0</v>
      </c>
      <c r="Z127" s="80">
        <v>36</v>
      </c>
      <c r="AA127" s="19">
        <v>12</v>
      </c>
      <c r="AC127" s="19">
        <v>415.5</v>
      </c>
      <c r="AF127" s="19">
        <v>15</v>
      </c>
    </row>
    <row r="128" spans="1:32" x14ac:dyDescent="0.25">
      <c r="A128" s="79">
        <v>46122</v>
      </c>
      <c r="B128" s="19" t="s">
        <v>46</v>
      </c>
      <c r="C128" s="19" t="s">
        <v>65</v>
      </c>
      <c r="D128" s="19">
        <v>121.3</v>
      </c>
      <c r="E128" s="19">
        <v>2</v>
      </c>
      <c r="I128" s="19">
        <v>0</v>
      </c>
      <c r="K128" s="80">
        <v>0</v>
      </c>
      <c r="N128" s="19">
        <v>1</v>
      </c>
      <c r="W128" s="19">
        <v>0</v>
      </c>
      <c r="X128" s="80">
        <v>0</v>
      </c>
      <c r="Y128" s="80">
        <v>0</v>
      </c>
      <c r="Z128" s="80">
        <v>12</v>
      </c>
      <c r="AA128" s="19">
        <v>12</v>
      </c>
      <c r="AC128" s="19">
        <v>128.5</v>
      </c>
      <c r="AF128" s="19">
        <v>15</v>
      </c>
    </row>
    <row r="129" spans="1:32" x14ac:dyDescent="0.25">
      <c r="A129" s="79">
        <v>46122</v>
      </c>
      <c r="B129" s="19" t="s">
        <v>46</v>
      </c>
      <c r="C129" s="19" t="s">
        <v>190</v>
      </c>
      <c r="D129" s="19">
        <v>311.2</v>
      </c>
      <c r="E129" s="19">
        <v>3</v>
      </c>
      <c r="I129" s="19">
        <v>0</v>
      </c>
      <c r="K129" s="80">
        <v>0</v>
      </c>
      <c r="N129" s="19">
        <v>1</v>
      </c>
      <c r="W129" s="19">
        <v>0</v>
      </c>
      <c r="X129" s="80">
        <v>0</v>
      </c>
      <c r="Y129" s="80">
        <v>0</v>
      </c>
      <c r="Z129" s="80">
        <v>12</v>
      </c>
      <c r="AA129" s="19">
        <v>12</v>
      </c>
      <c r="AC129" s="19">
        <v>321</v>
      </c>
      <c r="AF129" s="19">
        <v>15</v>
      </c>
    </row>
    <row r="130" spans="1:32" x14ac:dyDescent="0.25">
      <c r="A130" s="79">
        <v>46122</v>
      </c>
      <c r="B130" s="19" t="s">
        <v>46</v>
      </c>
      <c r="C130" s="19" t="s">
        <v>183</v>
      </c>
      <c r="D130" s="19">
        <v>314.89999999999998</v>
      </c>
      <c r="I130" s="19">
        <v>0</v>
      </c>
      <c r="K130" s="80">
        <v>0</v>
      </c>
      <c r="N130" s="19">
        <v>1</v>
      </c>
      <c r="W130" s="19">
        <v>0</v>
      </c>
      <c r="X130" s="80">
        <v>0</v>
      </c>
      <c r="Y130" s="80">
        <v>0</v>
      </c>
      <c r="Z130" s="80">
        <v>12</v>
      </c>
      <c r="AA130" s="19">
        <v>12</v>
      </c>
      <c r="AC130" s="19">
        <v>328</v>
      </c>
      <c r="AF130" s="19">
        <v>15</v>
      </c>
    </row>
    <row r="131" spans="1:32" x14ac:dyDescent="0.25">
      <c r="A131" s="79">
        <v>46122</v>
      </c>
      <c r="B131" s="19" t="s">
        <v>46</v>
      </c>
      <c r="C131" s="19" t="s">
        <v>184</v>
      </c>
      <c r="D131" s="19">
        <v>521.5</v>
      </c>
      <c r="I131" s="19">
        <v>0</v>
      </c>
      <c r="K131" s="80">
        <v>0</v>
      </c>
      <c r="N131" s="19">
        <v>1</v>
      </c>
      <c r="W131" s="19">
        <v>0</v>
      </c>
      <c r="X131" s="80">
        <v>0</v>
      </c>
      <c r="Y131" s="80">
        <v>0</v>
      </c>
      <c r="Z131" s="80">
        <v>12</v>
      </c>
      <c r="AA131" s="19">
        <v>12</v>
      </c>
      <c r="AC131" s="19">
        <v>534.5</v>
      </c>
      <c r="AF131" s="19">
        <v>15</v>
      </c>
    </row>
    <row r="132" spans="1:32" x14ac:dyDescent="0.25">
      <c r="A132" s="79">
        <v>46122</v>
      </c>
      <c r="B132" s="19" t="s">
        <v>46</v>
      </c>
      <c r="C132" s="19" t="s">
        <v>191</v>
      </c>
      <c r="D132" s="19">
        <v>573.70000000000005</v>
      </c>
      <c r="E132" s="19">
        <v>65</v>
      </c>
      <c r="F132" s="19">
        <v>10</v>
      </c>
      <c r="I132" s="19">
        <v>10</v>
      </c>
      <c r="K132" s="80">
        <v>0.16666666666666666</v>
      </c>
      <c r="N132" s="19">
        <v>4</v>
      </c>
      <c r="W132" s="19">
        <v>0</v>
      </c>
      <c r="X132" s="80">
        <v>0</v>
      </c>
      <c r="Y132" s="80">
        <v>0.16666666666666666</v>
      </c>
      <c r="Z132" s="80">
        <v>47.833333333333336</v>
      </c>
      <c r="AA132" s="19">
        <v>12</v>
      </c>
      <c r="AC132" s="19">
        <v>606.5</v>
      </c>
      <c r="AF132" s="19">
        <v>15</v>
      </c>
    </row>
    <row r="133" spans="1:32" x14ac:dyDescent="0.25">
      <c r="A133" s="79">
        <v>46122</v>
      </c>
      <c r="B133" s="19" t="s">
        <v>46</v>
      </c>
      <c r="C133" s="19" t="s">
        <v>64</v>
      </c>
      <c r="D133" s="19">
        <v>353.59999999999997</v>
      </c>
      <c r="E133" s="19">
        <v>2</v>
      </c>
      <c r="I133" s="19">
        <v>0</v>
      </c>
      <c r="K133" s="80">
        <v>0</v>
      </c>
      <c r="N133" s="19">
        <v>2</v>
      </c>
      <c r="W133" s="19">
        <v>0</v>
      </c>
      <c r="X133" s="80">
        <v>0</v>
      </c>
      <c r="Y133" s="80">
        <v>0</v>
      </c>
      <c r="Z133" s="80">
        <v>24</v>
      </c>
      <c r="AA133" s="19">
        <v>12</v>
      </c>
      <c r="AC133" s="19">
        <v>375.5</v>
      </c>
      <c r="AF133" s="19">
        <v>15</v>
      </c>
    </row>
    <row r="134" spans="1:32" x14ac:dyDescent="0.25">
      <c r="A134" s="79">
        <v>46122</v>
      </c>
      <c r="B134" s="19" t="s">
        <v>47</v>
      </c>
      <c r="C134" s="19" t="s">
        <v>65</v>
      </c>
      <c r="D134" s="19">
        <v>113.60000000000001</v>
      </c>
      <c r="E134" s="19">
        <v>2</v>
      </c>
      <c r="I134" s="19">
        <v>0</v>
      </c>
      <c r="K134" s="80">
        <v>0</v>
      </c>
      <c r="N134" s="19">
        <v>1</v>
      </c>
      <c r="W134" s="19">
        <v>0</v>
      </c>
      <c r="X134" s="80">
        <v>0</v>
      </c>
      <c r="Y134" s="80">
        <v>0</v>
      </c>
      <c r="Z134" s="80">
        <v>12</v>
      </c>
      <c r="AA134" s="19">
        <v>12</v>
      </c>
      <c r="AC134" s="19">
        <v>120.7</v>
      </c>
      <c r="AF134" s="19">
        <v>15</v>
      </c>
    </row>
    <row r="135" spans="1:32" x14ac:dyDescent="0.25">
      <c r="A135" s="79">
        <v>46122</v>
      </c>
      <c r="B135" s="19" t="s">
        <v>47</v>
      </c>
      <c r="C135" s="19" t="s">
        <v>190</v>
      </c>
      <c r="D135" s="19">
        <v>388.20000000000005</v>
      </c>
      <c r="E135" s="19">
        <v>8</v>
      </c>
      <c r="F135" s="19">
        <v>5</v>
      </c>
      <c r="I135" s="19">
        <v>5</v>
      </c>
      <c r="K135" s="80">
        <v>8.3333333333333329E-2</v>
      </c>
      <c r="N135" s="19">
        <v>3</v>
      </c>
      <c r="W135" s="19">
        <v>0</v>
      </c>
      <c r="X135" s="80">
        <v>0</v>
      </c>
      <c r="Y135" s="80">
        <v>8.3333333333333329E-2</v>
      </c>
      <c r="Z135" s="80">
        <v>35.916666666666664</v>
      </c>
      <c r="AA135" s="19">
        <v>12</v>
      </c>
      <c r="AC135" s="19">
        <v>412.5</v>
      </c>
      <c r="AF135" s="19">
        <v>15</v>
      </c>
    </row>
    <row r="136" spans="1:32" x14ac:dyDescent="0.25">
      <c r="A136" s="79">
        <v>46122</v>
      </c>
      <c r="B136" s="19" t="s">
        <v>47</v>
      </c>
      <c r="C136" s="19" t="s">
        <v>183</v>
      </c>
      <c r="D136" s="19">
        <v>291.5</v>
      </c>
      <c r="E136" s="19">
        <v>7</v>
      </c>
      <c r="F136" s="19">
        <v>2</v>
      </c>
      <c r="I136" s="19">
        <v>2</v>
      </c>
      <c r="K136" s="80">
        <v>3.3333333333333333E-2</v>
      </c>
      <c r="N136" s="19">
        <v>2</v>
      </c>
      <c r="Q136" s="19">
        <v>30</v>
      </c>
      <c r="W136" s="19">
        <v>30</v>
      </c>
      <c r="X136" s="80">
        <v>0.5</v>
      </c>
      <c r="Y136" s="80">
        <v>0.53333333333333333</v>
      </c>
      <c r="Z136" s="80">
        <v>23.466666666666669</v>
      </c>
      <c r="AA136" s="19">
        <v>12</v>
      </c>
      <c r="AC136" s="19">
        <v>312.5</v>
      </c>
      <c r="AF136" s="19">
        <v>15</v>
      </c>
    </row>
    <row r="137" spans="1:32" x14ac:dyDescent="0.25">
      <c r="A137" s="79">
        <v>46122</v>
      </c>
      <c r="B137" s="19" t="s">
        <v>47</v>
      </c>
      <c r="C137" s="19" t="s">
        <v>184</v>
      </c>
      <c r="D137" s="19">
        <v>543.9</v>
      </c>
      <c r="E137" s="19">
        <v>9</v>
      </c>
      <c r="I137" s="19">
        <v>0</v>
      </c>
      <c r="K137" s="80">
        <v>0</v>
      </c>
      <c r="N137" s="19">
        <v>1</v>
      </c>
      <c r="W137" s="19">
        <v>0</v>
      </c>
      <c r="X137" s="80">
        <v>0</v>
      </c>
      <c r="Y137" s="80">
        <v>0</v>
      </c>
      <c r="Z137" s="80">
        <v>12</v>
      </c>
      <c r="AA137" s="19">
        <v>12</v>
      </c>
      <c r="AC137" s="19">
        <v>561.4</v>
      </c>
      <c r="AF137" s="19">
        <v>15</v>
      </c>
    </row>
    <row r="138" spans="1:32" x14ac:dyDescent="0.25">
      <c r="A138" s="79">
        <v>46122</v>
      </c>
      <c r="B138" s="19" t="s">
        <v>47</v>
      </c>
      <c r="C138" s="19" t="s">
        <v>191</v>
      </c>
      <c r="D138" s="19">
        <v>691.5</v>
      </c>
      <c r="E138" s="19">
        <v>18</v>
      </c>
      <c r="I138" s="19">
        <v>0</v>
      </c>
      <c r="K138" s="80">
        <v>0</v>
      </c>
      <c r="N138" s="19">
        <v>2</v>
      </c>
      <c r="W138" s="19">
        <v>0</v>
      </c>
      <c r="X138" s="80">
        <v>0</v>
      </c>
      <c r="Y138" s="80">
        <v>0</v>
      </c>
      <c r="Z138" s="80">
        <v>24</v>
      </c>
      <c r="AA138" s="19">
        <v>12</v>
      </c>
      <c r="AC138" s="19">
        <v>718.5</v>
      </c>
      <c r="AF138" s="19">
        <v>15</v>
      </c>
    </row>
    <row r="139" spans="1:32" x14ac:dyDescent="0.25">
      <c r="A139" s="79">
        <v>46122</v>
      </c>
      <c r="B139" s="19" t="s">
        <v>47</v>
      </c>
      <c r="C139" s="19" t="s">
        <v>64</v>
      </c>
      <c r="D139" s="19">
        <v>318.14</v>
      </c>
      <c r="E139" s="19">
        <v>5</v>
      </c>
      <c r="F139" s="19">
        <v>2</v>
      </c>
      <c r="I139" s="19">
        <v>2</v>
      </c>
      <c r="K139" s="80">
        <v>3.3333333333333333E-2</v>
      </c>
      <c r="N139" s="19">
        <v>2</v>
      </c>
      <c r="W139" s="19">
        <v>0</v>
      </c>
      <c r="X139" s="80">
        <v>0</v>
      </c>
      <c r="Y139" s="80">
        <v>3.3333333333333333E-2</v>
      </c>
      <c r="Z139" s="80">
        <v>23.966666666666669</v>
      </c>
      <c r="AA139" s="19">
        <v>12</v>
      </c>
      <c r="AC139" s="19">
        <v>340.53999999999996</v>
      </c>
      <c r="AF139" s="19">
        <v>15</v>
      </c>
    </row>
    <row r="140" spans="1:32" x14ac:dyDescent="0.25">
      <c r="A140" s="79">
        <v>46123</v>
      </c>
      <c r="B140" s="19" t="s">
        <v>46</v>
      </c>
      <c r="C140" s="19" t="s">
        <v>156</v>
      </c>
      <c r="D140" s="19">
        <v>49.3</v>
      </c>
      <c r="E140" s="19">
        <v>18</v>
      </c>
      <c r="I140" s="19">
        <v>0</v>
      </c>
      <c r="K140" s="80">
        <v>0</v>
      </c>
      <c r="N140" s="19">
        <v>1</v>
      </c>
      <c r="W140" s="19">
        <v>0</v>
      </c>
      <c r="X140" s="80">
        <v>0</v>
      </c>
      <c r="Y140" s="80">
        <v>0</v>
      </c>
      <c r="Z140" s="80">
        <v>12</v>
      </c>
      <c r="AA140" s="19">
        <v>12</v>
      </c>
      <c r="AC140" s="19">
        <v>55</v>
      </c>
      <c r="AF140" s="19">
        <v>15</v>
      </c>
    </row>
    <row r="141" spans="1:32" x14ac:dyDescent="0.25">
      <c r="A141" s="79">
        <v>46123</v>
      </c>
      <c r="B141" s="19" t="s">
        <v>46</v>
      </c>
      <c r="C141" s="19" t="s">
        <v>65</v>
      </c>
      <c r="D141" s="19">
        <v>120.30000000000001</v>
      </c>
      <c r="E141" s="19">
        <v>5</v>
      </c>
      <c r="I141" s="19">
        <v>0</v>
      </c>
      <c r="K141" s="80">
        <v>0</v>
      </c>
      <c r="N141" s="19">
        <v>2</v>
      </c>
      <c r="W141" s="19">
        <v>0</v>
      </c>
      <c r="X141" s="80">
        <v>0</v>
      </c>
      <c r="Y141" s="80">
        <v>0</v>
      </c>
      <c r="Z141" s="80">
        <v>24</v>
      </c>
      <c r="AA141" s="19">
        <v>12</v>
      </c>
      <c r="AC141" s="19">
        <v>133</v>
      </c>
      <c r="AF141" s="19">
        <v>15</v>
      </c>
    </row>
    <row r="142" spans="1:32" x14ac:dyDescent="0.25">
      <c r="A142" s="79">
        <v>46123</v>
      </c>
      <c r="B142" s="19" t="s">
        <v>46</v>
      </c>
      <c r="C142" s="19" t="s">
        <v>190</v>
      </c>
      <c r="D142" s="19">
        <v>299.40000000000003</v>
      </c>
      <c r="E142" s="19">
        <v>30</v>
      </c>
      <c r="I142" s="19">
        <v>0</v>
      </c>
      <c r="K142" s="80">
        <v>0</v>
      </c>
      <c r="N142" s="19">
        <v>2</v>
      </c>
      <c r="W142" s="19">
        <v>0</v>
      </c>
      <c r="X142" s="80">
        <v>0</v>
      </c>
      <c r="Y142" s="80">
        <v>0</v>
      </c>
      <c r="Z142" s="80">
        <v>24</v>
      </c>
      <c r="AA142" s="19">
        <v>12</v>
      </c>
      <c r="AC142" s="19">
        <v>318</v>
      </c>
      <c r="AF142" s="19">
        <v>15</v>
      </c>
    </row>
    <row r="143" spans="1:32" x14ac:dyDescent="0.25">
      <c r="A143" s="79">
        <v>46123</v>
      </c>
      <c r="B143" s="19" t="s">
        <v>46</v>
      </c>
      <c r="C143" s="19" t="s">
        <v>183</v>
      </c>
      <c r="D143" s="19">
        <v>236.5</v>
      </c>
      <c r="E143" s="19">
        <v>9</v>
      </c>
      <c r="I143" s="19">
        <v>0</v>
      </c>
      <c r="K143" s="80">
        <v>0</v>
      </c>
      <c r="N143" s="19">
        <v>1</v>
      </c>
      <c r="W143" s="19">
        <v>0</v>
      </c>
      <c r="X143" s="80">
        <v>0</v>
      </c>
      <c r="Y143" s="80">
        <v>0</v>
      </c>
      <c r="Z143" s="80">
        <v>12</v>
      </c>
      <c r="AA143" s="19">
        <v>12</v>
      </c>
      <c r="AC143" s="19">
        <v>249.5</v>
      </c>
      <c r="AF143" s="19">
        <v>15</v>
      </c>
    </row>
    <row r="144" spans="1:32" x14ac:dyDescent="0.25">
      <c r="A144" s="79">
        <v>46123</v>
      </c>
      <c r="B144" s="19" t="s">
        <v>46</v>
      </c>
      <c r="C144" s="19" t="s">
        <v>184</v>
      </c>
      <c r="D144" s="19">
        <v>535.4</v>
      </c>
      <c r="E144" s="19">
        <v>12</v>
      </c>
      <c r="I144" s="19">
        <v>0</v>
      </c>
      <c r="K144" s="80">
        <v>0</v>
      </c>
      <c r="N144" s="19">
        <v>1</v>
      </c>
      <c r="W144" s="19">
        <v>0</v>
      </c>
      <c r="X144" s="80">
        <v>0</v>
      </c>
      <c r="Y144" s="80">
        <v>0</v>
      </c>
      <c r="Z144" s="80">
        <v>12</v>
      </c>
      <c r="AA144" s="19">
        <v>12</v>
      </c>
      <c r="AC144" s="19">
        <v>552</v>
      </c>
      <c r="AF144" s="19">
        <v>15</v>
      </c>
    </row>
    <row r="145" spans="1:32" x14ac:dyDescent="0.25">
      <c r="A145" s="79">
        <v>46123</v>
      </c>
      <c r="B145" s="19" t="s">
        <v>46</v>
      </c>
      <c r="C145" s="19" t="s">
        <v>191</v>
      </c>
      <c r="D145" s="19">
        <v>454.5</v>
      </c>
      <c r="E145" s="19">
        <v>66</v>
      </c>
      <c r="I145" s="19">
        <v>0</v>
      </c>
      <c r="K145" s="80">
        <v>0</v>
      </c>
      <c r="N145" s="19">
        <v>3</v>
      </c>
      <c r="W145" s="19">
        <v>0</v>
      </c>
      <c r="X145" s="80">
        <v>0</v>
      </c>
      <c r="Y145" s="80">
        <v>0</v>
      </c>
      <c r="Z145" s="80">
        <v>36</v>
      </c>
      <c r="AA145" s="19">
        <v>12</v>
      </c>
      <c r="AC145" s="19">
        <v>481.5</v>
      </c>
      <c r="AF145" s="19">
        <v>15</v>
      </c>
    </row>
    <row r="146" spans="1:32" x14ac:dyDescent="0.25">
      <c r="A146" s="79">
        <v>46123</v>
      </c>
      <c r="B146" s="19" t="s">
        <v>46</v>
      </c>
      <c r="C146" s="19" t="s">
        <v>64</v>
      </c>
      <c r="D146" s="19">
        <v>460.9</v>
      </c>
      <c r="E146" s="19">
        <v>10</v>
      </c>
      <c r="I146" s="19">
        <v>0</v>
      </c>
      <c r="K146" s="80">
        <v>0</v>
      </c>
      <c r="N146" s="19">
        <v>3</v>
      </c>
      <c r="W146" s="19">
        <v>0</v>
      </c>
      <c r="X146" s="80">
        <v>0</v>
      </c>
      <c r="Y146" s="80">
        <v>0</v>
      </c>
      <c r="Z146" s="80">
        <v>36</v>
      </c>
      <c r="AA146" s="19">
        <v>12</v>
      </c>
      <c r="AC146" s="19">
        <v>496</v>
      </c>
      <c r="AF146" s="19">
        <v>15</v>
      </c>
    </row>
    <row r="147" spans="1:32" x14ac:dyDescent="0.25">
      <c r="A147" s="79">
        <v>46123</v>
      </c>
      <c r="B147" s="19" t="s">
        <v>47</v>
      </c>
      <c r="C147" s="19" t="s">
        <v>65</v>
      </c>
      <c r="D147" s="19">
        <v>132.39999999999998</v>
      </c>
      <c r="E147" s="19">
        <v>5</v>
      </c>
      <c r="I147" s="19">
        <v>0</v>
      </c>
      <c r="K147" s="80">
        <v>0</v>
      </c>
      <c r="N147" s="19">
        <v>1</v>
      </c>
      <c r="W147" s="19">
        <v>0</v>
      </c>
      <c r="X147" s="80">
        <v>0</v>
      </c>
      <c r="Y147" s="80">
        <v>0</v>
      </c>
      <c r="Z147" s="80">
        <v>12</v>
      </c>
      <c r="AA147" s="19">
        <v>12</v>
      </c>
      <c r="AC147" s="19">
        <v>140.19999999999999</v>
      </c>
      <c r="AF147" s="19">
        <v>15</v>
      </c>
    </row>
    <row r="148" spans="1:32" x14ac:dyDescent="0.25">
      <c r="A148" s="79">
        <v>46123</v>
      </c>
      <c r="B148" s="19" t="s">
        <v>47</v>
      </c>
      <c r="C148" s="19" t="s">
        <v>183</v>
      </c>
      <c r="D148" s="19">
        <v>316.10000000000002</v>
      </c>
      <c r="E148" s="19">
        <v>12</v>
      </c>
      <c r="I148" s="19">
        <v>0</v>
      </c>
      <c r="K148" s="80">
        <v>0</v>
      </c>
      <c r="N148" s="19">
        <v>4</v>
      </c>
      <c r="W148" s="19">
        <v>0</v>
      </c>
      <c r="X148" s="80">
        <v>0</v>
      </c>
      <c r="Y148" s="80">
        <v>0</v>
      </c>
      <c r="Z148" s="80">
        <v>48</v>
      </c>
      <c r="AA148" s="19">
        <v>12</v>
      </c>
      <c r="AC148" s="19">
        <v>341</v>
      </c>
      <c r="AF148" s="19">
        <v>15</v>
      </c>
    </row>
    <row r="149" spans="1:32" x14ac:dyDescent="0.25">
      <c r="A149" s="79">
        <v>46123</v>
      </c>
      <c r="B149" s="19" t="s">
        <v>47</v>
      </c>
      <c r="C149" s="19" t="s">
        <v>184</v>
      </c>
      <c r="D149" s="19">
        <v>445.6</v>
      </c>
      <c r="E149" s="19">
        <v>9</v>
      </c>
      <c r="I149" s="19">
        <v>0</v>
      </c>
      <c r="K149" s="80">
        <v>0</v>
      </c>
      <c r="N149" s="19">
        <v>1</v>
      </c>
      <c r="W149" s="19">
        <v>0</v>
      </c>
      <c r="X149" s="80">
        <v>0</v>
      </c>
      <c r="Y149" s="80">
        <v>0</v>
      </c>
      <c r="Z149" s="80">
        <v>12</v>
      </c>
      <c r="AA149" s="19">
        <v>12</v>
      </c>
      <c r="AC149" s="19">
        <v>459.3</v>
      </c>
      <c r="AF149" s="19">
        <v>15</v>
      </c>
    </row>
    <row r="150" spans="1:32" x14ac:dyDescent="0.25">
      <c r="A150" s="79">
        <v>46123</v>
      </c>
      <c r="B150" s="19" t="s">
        <v>47</v>
      </c>
      <c r="C150" s="19" t="s">
        <v>191</v>
      </c>
      <c r="D150" s="19">
        <v>756.69</v>
      </c>
      <c r="E150" s="19">
        <v>59</v>
      </c>
      <c r="I150" s="19">
        <v>0</v>
      </c>
      <c r="K150" s="80">
        <v>0</v>
      </c>
      <c r="N150" s="19">
        <v>3</v>
      </c>
      <c r="W150" s="19">
        <v>0</v>
      </c>
      <c r="X150" s="80">
        <v>0</v>
      </c>
      <c r="Y150" s="80">
        <v>0</v>
      </c>
      <c r="Z150" s="80">
        <v>36</v>
      </c>
      <c r="AA150" s="19">
        <v>12</v>
      </c>
      <c r="AC150" s="19">
        <v>801.69</v>
      </c>
      <c r="AF150" s="19">
        <v>15</v>
      </c>
    </row>
    <row r="151" spans="1:32" x14ac:dyDescent="0.25">
      <c r="A151" s="79">
        <v>46123</v>
      </c>
      <c r="B151" s="19" t="s">
        <v>47</v>
      </c>
      <c r="C151" s="19" t="s">
        <v>64</v>
      </c>
      <c r="D151" s="19">
        <v>423.2</v>
      </c>
      <c r="E151" s="19">
        <v>9</v>
      </c>
      <c r="I151" s="19">
        <v>0</v>
      </c>
      <c r="K151" s="80">
        <v>0</v>
      </c>
      <c r="N151" s="19">
        <v>3</v>
      </c>
      <c r="W151" s="19">
        <v>0</v>
      </c>
      <c r="X151" s="80">
        <v>0</v>
      </c>
      <c r="Y151" s="80">
        <v>0</v>
      </c>
      <c r="Z151" s="80">
        <v>36</v>
      </c>
      <c r="AA151" s="19">
        <v>12</v>
      </c>
      <c r="AC151" s="19">
        <v>455.5</v>
      </c>
      <c r="AF151" s="19">
        <v>15</v>
      </c>
    </row>
    <row r="152" spans="1:32" x14ac:dyDescent="0.25">
      <c r="A152" s="79">
        <v>46124</v>
      </c>
      <c r="B152" s="19" t="s">
        <v>46</v>
      </c>
      <c r="C152" s="19" t="s">
        <v>156</v>
      </c>
      <c r="D152" s="19">
        <v>143.80000000000001</v>
      </c>
      <c r="E152" s="19">
        <v>2</v>
      </c>
      <c r="I152" s="19">
        <v>0</v>
      </c>
      <c r="K152" s="80">
        <v>0</v>
      </c>
      <c r="N152" s="19">
        <v>1</v>
      </c>
      <c r="W152" s="19">
        <v>0</v>
      </c>
      <c r="X152" s="80">
        <v>0</v>
      </c>
      <c r="Y152" s="80">
        <v>0</v>
      </c>
      <c r="Z152" s="80">
        <v>12</v>
      </c>
      <c r="AA152" s="19">
        <v>12</v>
      </c>
      <c r="AC152" s="19">
        <v>151.5</v>
      </c>
      <c r="AF152" s="19">
        <v>15</v>
      </c>
    </row>
    <row r="153" spans="1:32" x14ac:dyDescent="0.25">
      <c r="A153" s="79">
        <v>46124</v>
      </c>
      <c r="B153" s="19" t="s">
        <v>46</v>
      </c>
      <c r="C153" s="19" t="s">
        <v>65</v>
      </c>
      <c r="D153" s="19">
        <v>150.69999999999999</v>
      </c>
      <c r="E153" s="19">
        <v>3</v>
      </c>
      <c r="I153" s="19">
        <v>0</v>
      </c>
      <c r="K153" s="80">
        <v>0</v>
      </c>
      <c r="N153" s="19">
        <v>1</v>
      </c>
      <c r="W153" s="19">
        <v>0</v>
      </c>
      <c r="X153" s="80">
        <v>0</v>
      </c>
      <c r="Y153" s="80">
        <v>0</v>
      </c>
      <c r="Z153" s="80">
        <v>12</v>
      </c>
      <c r="AA153" s="19">
        <v>12</v>
      </c>
      <c r="AC153" s="19">
        <v>158.5</v>
      </c>
      <c r="AF153" s="19">
        <v>15</v>
      </c>
    </row>
    <row r="154" spans="1:32" x14ac:dyDescent="0.25">
      <c r="A154" s="79">
        <v>46124</v>
      </c>
      <c r="B154" s="19" t="s">
        <v>46</v>
      </c>
      <c r="C154" s="19" t="s">
        <v>183</v>
      </c>
      <c r="D154" s="19">
        <v>448.9</v>
      </c>
      <c r="I154" s="19">
        <v>0</v>
      </c>
      <c r="K154" s="80">
        <v>0</v>
      </c>
      <c r="N154" s="19">
        <v>1</v>
      </c>
      <c r="W154" s="19">
        <v>0</v>
      </c>
      <c r="X154" s="80">
        <v>0</v>
      </c>
      <c r="Y154" s="80">
        <v>0</v>
      </c>
      <c r="Z154" s="80">
        <v>12</v>
      </c>
      <c r="AA154" s="19">
        <v>12</v>
      </c>
      <c r="AC154" s="19">
        <v>465.5</v>
      </c>
      <c r="AF154" s="19">
        <v>15</v>
      </c>
    </row>
    <row r="155" spans="1:32" x14ac:dyDescent="0.25">
      <c r="A155" s="79">
        <v>46124</v>
      </c>
      <c r="B155" s="19" t="s">
        <v>46</v>
      </c>
      <c r="C155" s="19" t="s">
        <v>184</v>
      </c>
      <c r="D155" s="19">
        <v>506.8</v>
      </c>
      <c r="E155" s="19">
        <v>8</v>
      </c>
      <c r="I155" s="19">
        <v>0</v>
      </c>
      <c r="K155" s="80">
        <v>0</v>
      </c>
      <c r="N155" s="19">
        <v>1</v>
      </c>
      <c r="W155" s="19">
        <v>0</v>
      </c>
      <c r="X155" s="80">
        <v>0</v>
      </c>
      <c r="Y155" s="80">
        <v>0</v>
      </c>
      <c r="Z155" s="80">
        <v>12</v>
      </c>
      <c r="AA155" s="19">
        <v>12</v>
      </c>
      <c r="AC155" s="19">
        <v>523</v>
      </c>
      <c r="AF155" s="19">
        <v>15</v>
      </c>
    </row>
    <row r="156" spans="1:32" x14ac:dyDescent="0.25">
      <c r="A156" s="79">
        <v>46124</v>
      </c>
      <c r="B156" s="19" t="s">
        <v>46</v>
      </c>
      <c r="C156" s="19" t="s">
        <v>191</v>
      </c>
      <c r="D156" s="19">
        <v>862.9</v>
      </c>
      <c r="E156" s="19">
        <v>60</v>
      </c>
      <c r="F156" s="19">
        <v>15</v>
      </c>
      <c r="I156" s="19">
        <v>15</v>
      </c>
      <c r="K156" s="80">
        <v>0.25</v>
      </c>
      <c r="N156" s="19">
        <v>3</v>
      </c>
      <c r="W156" s="19">
        <v>0</v>
      </c>
      <c r="X156" s="80">
        <v>0</v>
      </c>
      <c r="Y156" s="80">
        <v>0.25</v>
      </c>
      <c r="Z156" s="80">
        <v>35.75</v>
      </c>
      <c r="AA156" s="19">
        <v>12</v>
      </c>
      <c r="AC156" s="19">
        <v>907.5</v>
      </c>
      <c r="AF156" s="19">
        <v>15</v>
      </c>
    </row>
    <row r="157" spans="1:32" x14ac:dyDescent="0.25">
      <c r="A157" s="79">
        <v>46124</v>
      </c>
      <c r="B157" s="19" t="s">
        <v>46</v>
      </c>
      <c r="C157" s="19" t="s">
        <v>64</v>
      </c>
      <c r="D157" s="19">
        <v>433</v>
      </c>
      <c r="E157" s="19">
        <v>6</v>
      </c>
      <c r="F157" s="19">
        <v>2</v>
      </c>
      <c r="I157" s="19">
        <v>2</v>
      </c>
      <c r="K157" s="80">
        <v>3.3333333333333333E-2</v>
      </c>
      <c r="N157" s="19">
        <v>2</v>
      </c>
      <c r="W157" s="19">
        <v>0</v>
      </c>
      <c r="X157" s="80">
        <v>0</v>
      </c>
      <c r="Y157" s="80">
        <v>3.3333333333333333E-2</v>
      </c>
      <c r="Z157" s="80">
        <v>23.966666666666669</v>
      </c>
      <c r="AA157" s="19">
        <v>12</v>
      </c>
      <c r="AC157" s="19">
        <v>457</v>
      </c>
      <c r="AF157" s="19">
        <v>15</v>
      </c>
    </row>
    <row r="158" spans="1:32" x14ac:dyDescent="0.25">
      <c r="A158" s="79">
        <v>46124</v>
      </c>
      <c r="B158" s="19" t="s">
        <v>47</v>
      </c>
      <c r="C158" s="19" t="s">
        <v>156</v>
      </c>
      <c r="D158" s="19">
        <v>156.80000000000001</v>
      </c>
      <c r="E158" s="19">
        <v>2</v>
      </c>
      <c r="I158" s="19">
        <v>0</v>
      </c>
      <c r="K158" s="80">
        <v>0</v>
      </c>
      <c r="N158" s="19">
        <v>1</v>
      </c>
      <c r="W158" s="19">
        <v>0</v>
      </c>
      <c r="X158" s="80">
        <v>0</v>
      </c>
      <c r="Y158" s="80">
        <v>0</v>
      </c>
      <c r="Z158" s="80">
        <v>12</v>
      </c>
      <c r="AA158" s="19">
        <v>12</v>
      </c>
      <c r="AC158" s="19">
        <v>164.5</v>
      </c>
      <c r="AF158" s="19">
        <v>15</v>
      </c>
    </row>
    <row r="159" spans="1:32" x14ac:dyDescent="0.25">
      <c r="A159" s="79">
        <v>46124</v>
      </c>
      <c r="B159" s="19" t="s">
        <v>47</v>
      </c>
      <c r="C159" s="19" t="s">
        <v>65</v>
      </c>
      <c r="D159" s="19">
        <v>143.1</v>
      </c>
      <c r="E159" s="19">
        <v>3</v>
      </c>
      <c r="I159" s="19">
        <v>0</v>
      </c>
      <c r="K159" s="80">
        <v>0</v>
      </c>
      <c r="N159" s="19">
        <v>1</v>
      </c>
      <c r="W159" s="19">
        <v>0</v>
      </c>
      <c r="X159" s="80">
        <v>0</v>
      </c>
      <c r="Y159" s="80">
        <v>0</v>
      </c>
      <c r="Z159" s="80">
        <v>12</v>
      </c>
      <c r="AA159" s="19">
        <v>12</v>
      </c>
      <c r="AC159" s="19">
        <v>150.9</v>
      </c>
      <c r="AF159" s="19">
        <v>15</v>
      </c>
    </row>
    <row r="160" spans="1:32" x14ac:dyDescent="0.25">
      <c r="A160" s="79">
        <v>46124</v>
      </c>
      <c r="B160" s="19" t="s">
        <v>47</v>
      </c>
      <c r="C160" s="19" t="s">
        <v>183</v>
      </c>
      <c r="D160" s="19">
        <v>353.79999999999995</v>
      </c>
      <c r="I160" s="19">
        <v>0</v>
      </c>
      <c r="K160" s="80">
        <v>0</v>
      </c>
      <c r="N160" s="19">
        <v>1</v>
      </c>
      <c r="W160" s="19">
        <v>0</v>
      </c>
      <c r="X160" s="80">
        <v>0</v>
      </c>
      <c r="Y160" s="80">
        <v>0</v>
      </c>
      <c r="Z160" s="80">
        <v>12</v>
      </c>
      <c r="AA160" s="19">
        <v>12</v>
      </c>
      <c r="AC160" s="19">
        <v>370.4</v>
      </c>
      <c r="AF160" s="19">
        <v>15</v>
      </c>
    </row>
    <row r="161" spans="1:32" x14ac:dyDescent="0.25">
      <c r="A161" s="79">
        <v>46124</v>
      </c>
      <c r="B161" s="19" t="s">
        <v>47</v>
      </c>
      <c r="C161" s="19" t="s">
        <v>184</v>
      </c>
      <c r="D161" s="19">
        <v>558.79999999999995</v>
      </c>
      <c r="E161" s="19">
        <v>6</v>
      </c>
      <c r="I161" s="19">
        <v>0</v>
      </c>
      <c r="K161" s="80">
        <v>0</v>
      </c>
      <c r="N161" s="19">
        <v>1</v>
      </c>
      <c r="W161" s="19">
        <v>0</v>
      </c>
      <c r="X161" s="80">
        <v>0</v>
      </c>
      <c r="Y161" s="80">
        <v>0</v>
      </c>
      <c r="Z161" s="80">
        <v>12</v>
      </c>
      <c r="AA161" s="19">
        <v>12</v>
      </c>
      <c r="AC161" s="19">
        <v>575</v>
      </c>
      <c r="AF161" s="19">
        <v>15</v>
      </c>
    </row>
    <row r="162" spans="1:32" x14ac:dyDescent="0.25">
      <c r="A162" s="79">
        <v>46124</v>
      </c>
      <c r="B162" s="19" t="s">
        <v>47</v>
      </c>
      <c r="C162" s="19" t="s">
        <v>191</v>
      </c>
      <c r="D162" s="19">
        <v>727</v>
      </c>
      <c r="E162" s="19">
        <v>13</v>
      </c>
      <c r="F162" s="19">
        <v>12</v>
      </c>
      <c r="I162" s="19">
        <v>12</v>
      </c>
      <c r="K162" s="80">
        <v>0.2</v>
      </c>
      <c r="N162" s="19">
        <v>2</v>
      </c>
      <c r="W162" s="19">
        <v>0</v>
      </c>
      <c r="X162" s="80">
        <v>0</v>
      </c>
      <c r="Y162" s="80">
        <v>0.2</v>
      </c>
      <c r="Z162" s="80">
        <v>23.8</v>
      </c>
      <c r="AA162" s="19">
        <v>12</v>
      </c>
      <c r="AC162" s="19">
        <v>752</v>
      </c>
      <c r="AF162" s="19">
        <v>15</v>
      </c>
    </row>
    <row r="163" spans="1:32" x14ac:dyDescent="0.25">
      <c r="A163" s="79">
        <v>46124</v>
      </c>
      <c r="B163" s="19" t="s">
        <v>47</v>
      </c>
      <c r="C163" s="19" t="s">
        <v>64</v>
      </c>
      <c r="D163" s="19">
        <v>274.2</v>
      </c>
      <c r="E163" s="19">
        <v>2</v>
      </c>
      <c r="I163" s="19">
        <v>0</v>
      </c>
      <c r="K163" s="80">
        <v>0</v>
      </c>
      <c r="N163" s="19">
        <v>1</v>
      </c>
      <c r="W163" s="19">
        <v>0</v>
      </c>
      <c r="X163" s="80">
        <v>0</v>
      </c>
      <c r="Y163" s="80">
        <v>0</v>
      </c>
      <c r="Z163" s="80">
        <v>12</v>
      </c>
      <c r="AA163" s="19">
        <v>12</v>
      </c>
      <c r="AC163" s="19">
        <v>286</v>
      </c>
      <c r="AF163" s="19">
        <v>15</v>
      </c>
    </row>
    <row r="164" spans="1:32" x14ac:dyDescent="0.25">
      <c r="A164" s="79">
        <v>46125</v>
      </c>
      <c r="B164" s="19" t="s">
        <v>46</v>
      </c>
      <c r="C164" s="19" t="s">
        <v>65</v>
      </c>
      <c r="D164" s="19">
        <v>128.5</v>
      </c>
      <c r="E164" s="19">
        <v>8</v>
      </c>
      <c r="F164" s="19">
        <v>10</v>
      </c>
      <c r="I164" s="19">
        <v>10</v>
      </c>
      <c r="K164" s="80">
        <v>0.16666666666666666</v>
      </c>
      <c r="N164" s="19">
        <v>2</v>
      </c>
      <c r="W164" s="19">
        <v>0</v>
      </c>
      <c r="X164" s="80">
        <v>0</v>
      </c>
      <c r="Y164" s="80">
        <v>0.16666666666666666</v>
      </c>
      <c r="Z164" s="80">
        <v>23.833333333333336</v>
      </c>
      <c r="AA164" s="19">
        <v>12</v>
      </c>
      <c r="AC164" s="19">
        <v>141</v>
      </c>
      <c r="AF164" s="19">
        <v>16</v>
      </c>
    </row>
    <row r="165" spans="1:32" x14ac:dyDescent="0.25">
      <c r="A165" s="79">
        <v>46125</v>
      </c>
      <c r="B165" s="19" t="s">
        <v>46</v>
      </c>
      <c r="C165" s="19" t="s">
        <v>190</v>
      </c>
      <c r="D165" s="19">
        <v>220.6</v>
      </c>
      <c r="E165" s="19">
        <v>29</v>
      </c>
      <c r="I165" s="19">
        <v>0</v>
      </c>
      <c r="K165" s="80">
        <v>0</v>
      </c>
      <c r="N165" s="19">
        <v>1</v>
      </c>
      <c r="U165" s="19">
        <v>30</v>
      </c>
      <c r="W165" s="19">
        <v>30</v>
      </c>
      <c r="X165" s="80">
        <v>0.5</v>
      </c>
      <c r="Y165" s="80">
        <v>0.5</v>
      </c>
      <c r="Z165" s="80">
        <v>11.5</v>
      </c>
      <c r="AA165" s="19">
        <v>12</v>
      </c>
      <c r="AC165" s="19">
        <v>230.5</v>
      </c>
      <c r="AF165" s="19">
        <v>16</v>
      </c>
    </row>
    <row r="166" spans="1:32" x14ac:dyDescent="0.25">
      <c r="A166" s="79">
        <v>46125</v>
      </c>
      <c r="B166" s="19" t="s">
        <v>46</v>
      </c>
      <c r="C166" s="19" t="s">
        <v>183</v>
      </c>
      <c r="D166" s="19">
        <v>403.6</v>
      </c>
      <c r="E166" s="19">
        <v>12</v>
      </c>
      <c r="I166" s="19">
        <v>0</v>
      </c>
      <c r="K166" s="80">
        <v>0</v>
      </c>
      <c r="N166" s="19">
        <v>2</v>
      </c>
      <c r="Q166" s="19">
        <v>65</v>
      </c>
      <c r="W166" s="19">
        <v>65</v>
      </c>
      <c r="X166" s="80">
        <v>1.0833333333333333</v>
      </c>
      <c r="Y166" s="80">
        <v>1.0833333333333333</v>
      </c>
      <c r="Z166" s="80">
        <v>22.916666666666664</v>
      </c>
      <c r="AA166" s="19">
        <v>12</v>
      </c>
      <c r="AC166" s="19">
        <v>424.4</v>
      </c>
      <c r="AF166" s="19">
        <v>16</v>
      </c>
    </row>
    <row r="167" spans="1:32" x14ac:dyDescent="0.25">
      <c r="A167" s="79">
        <v>46125</v>
      </c>
      <c r="B167" s="19" t="s">
        <v>46</v>
      </c>
      <c r="C167" s="19" t="s">
        <v>184</v>
      </c>
      <c r="D167" s="19">
        <v>524.5</v>
      </c>
      <c r="E167" s="19">
        <v>3</v>
      </c>
      <c r="I167" s="19">
        <v>0</v>
      </c>
      <c r="K167" s="80">
        <v>0</v>
      </c>
      <c r="N167" s="19">
        <v>1</v>
      </c>
      <c r="W167" s="19">
        <v>0</v>
      </c>
      <c r="X167" s="80">
        <v>0</v>
      </c>
      <c r="Y167" s="80">
        <v>0</v>
      </c>
      <c r="Z167" s="80">
        <v>12</v>
      </c>
      <c r="AA167" s="19">
        <v>12</v>
      </c>
      <c r="AC167" s="19">
        <v>543.5</v>
      </c>
      <c r="AF167" s="19">
        <v>16</v>
      </c>
    </row>
    <row r="168" spans="1:32" x14ac:dyDescent="0.25">
      <c r="A168" s="79">
        <v>46125</v>
      </c>
      <c r="B168" s="19" t="s">
        <v>46</v>
      </c>
      <c r="C168" s="19" t="s">
        <v>191</v>
      </c>
      <c r="D168" s="19">
        <v>569.70000000000005</v>
      </c>
      <c r="E168" s="19">
        <v>8</v>
      </c>
      <c r="F168" s="19">
        <v>10</v>
      </c>
      <c r="I168" s="19">
        <v>10</v>
      </c>
      <c r="K168" s="80">
        <v>0.16666666666666666</v>
      </c>
      <c r="N168" s="19">
        <v>1</v>
      </c>
      <c r="W168" s="19">
        <v>0</v>
      </c>
      <c r="X168" s="80">
        <v>0</v>
      </c>
      <c r="Y168" s="80">
        <v>0.16666666666666666</v>
      </c>
      <c r="Z168" s="80">
        <v>11.833333333333334</v>
      </c>
      <c r="AA168" s="19">
        <v>12</v>
      </c>
      <c r="AC168" s="19">
        <v>589.5</v>
      </c>
      <c r="AF168" s="19">
        <v>16</v>
      </c>
    </row>
    <row r="169" spans="1:32" x14ac:dyDescent="0.25">
      <c r="A169" s="79">
        <v>46125</v>
      </c>
      <c r="B169" s="19" t="s">
        <v>46</v>
      </c>
      <c r="C169" s="19" t="s">
        <v>64</v>
      </c>
      <c r="D169" s="19">
        <v>303.5</v>
      </c>
      <c r="I169" s="19">
        <v>0</v>
      </c>
      <c r="K169" s="80">
        <v>0</v>
      </c>
      <c r="N169" s="19">
        <v>1</v>
      </c>
      <c r="W169" s="19">
        <v>0</v>
      </c>
      <c r="X169" s="80">
        <v>0</v>
      </c>
      <c r="Y169" s="80">
        <v>0</v>
      </c>
      <c r="Z169" s="80">
        <v>12</v>
      </c>
      <c r="AA169" s="19">
        <v>12</v>
      </c>
      <c r="AC169" s="19">
        <v>316.5</v>
      </c>
      <c r="AF169" s="19">
        <v>16</v>
      </c>
    </row>
    <row r="170" spans="1:32" x14ac:dyDescent="0.25">
      <c r="A170" s="79">
        <v>46125</v>
      </c>
      <c r="B170" s="19" t="s">
        <v>47</v>
      </c>
      <c r="C170" s="19" t="s">
        <v>65</v>
      </c>
      <c r="D170" s="19">
        <v>117.3</v>
      </c>
      <c r="E170" s="19">
        <v>6</v>
      </c>
      <c r="I170" s="19">
        <v>0</v>
      </c>
      <c r="K170" s="80">
        <v>0</v>
      </c>
      <c r="N170" s="19">
        <v>1</v>
      </c>
      <c r="W170" s="19">
        <v>0</v>
      </c>
      <c r="X170" s="80">
        <v>0</v>
      </c>
      <c r="Y170" s="80">
        <v>0</v>
      </c>
      <c r="Z170" s="80">
        <v>12</v>
      </c>
      <c r="AA170" s="19">
        <v>12</v>
      </c>
      <c r="AC170" s="19">
        <v>123.5</v>
      </c>
      <c r="AF170" s="19">
        <v>16</v>
      </c>
    </row>
    <row r="171" spans="1:32" x14ac:dyDescent="0.25">
      <c r="A171" s="79">
        <v>46125</v>
      </c>
      <c r="B171" s="19" t="s">
        <v>47</v>
      </c>
      <c r="C171" s="19" t="s">
        <v>190</v>
      </c>
      <c r="D171" s="19">
        <v>458.4</v>
      </c>
      <c r="I171" s="19">
        <v>0</v>
      </c>
      <c r="K171" s="80">
        <v>0</v>
      </c>
      <c r="N171" s="19">
        <v>2</v>
      </c>
      <c r="W171" s="19">
        <v>0</v>
      </c>
      <c r="X171" s="80">
        <v>0</v>
      </c>
      <c r="Y171" s="80">
        <v>0</v>
      </c>
      <c r="Z171" s="80">
        <v>24</v>
      </c>
      <c r="AA171" s="19">
        <v>12</v>
      </c>
      <c r="AC171" s="19">
        <v>477.5</v>
      </c>
      <c r="AF171" s="19">
        <v>16</v>
      </c>
    </row>
    <row r="172" spans="1:32" x14ac:dyDescent="0.25">
      <c r="A172" s="79">
        <v>46125</v>
      </c>
      <c r="B172" s="19" t="s">
        <v>47</v>
      </c>
      <c r="C172" s="19" t="s">
        <v>183</v>
      </c>
      <c r="D172" s="19">
        <v>381</v>
      </c>
      <c r="E172" s="19">
        <v>5</v>
      </c>
      <c r="I172" s="19">
        <v>0</v>
      </c>
      <c r="K172" s="80">
        <v>0</v>
      </c>
      <c r="N172" s="19">
        <v>1</v>
      </c>
      <c r="W172" s="19">
        <v>0</v>
      </c>
      <c r="X172" s="80">
        <v>0</v>
      </c>
      <c r="Y172" s="80">
        <v>0</v>
      </c>
      <c r="Z172" s="80">
        <v>12</v>
      </c>
      <c r="AA172" s="19">
        <v>12</v>
      </c>
      <c r="AC172" s="19">
        <v>395</v>
      </c>
      <c r="AF172" s="19">
        <v>16</v>
      </c>
    </row>
    <row r="173" spans="1:32" x14ac:dyDescent="0.25">
      <c r="A173" s="79">
        <v>46125</v>
      </c>
      <c r="B173" s="19" t="s">
        <v>47</v>
      </c>
      <c r="C173" s="19" t="s">
        <v>184</v>
      </c>
      <c r="D173" s="19">
        <v>518.79999999999995</v>
      </c>
      <c r="E173" s="19">
        <v>9</v>
      </c>
      <c r="I173" s="19">
        <v>0</v>
      </c>
      <c r="K173" s="80">
        <v>0</v>
      </c>
      <c r="N173" s="19">
        <v>1</v>
      </c>
      <c r="W173" s="19">
        <v>0</v>
      </c>
      <c r="X173" s="80">
        <v>0</v>
      </c>
      <c r="Y173" s="80">
        <v>0</v>
      </c>
      <c r="Z173" s="80">
        <v>12</v>
      </c>
      <c r="AA173" s="19">
        <v>12</v>
      </c>
      <c r="AC173" s="19">
        <v>535</v>
      </c>
      <c r="AF173" s="19">
        <v>16</v>
      </c>
    </row>
    <row r="174" spans="1:32" x14ac:dyDescent="0.25">
      <c r="A174" s="79">
        <v>46125</v>
      </c>
      <c r="B174" s="19" t="s">
        <v>47</v>
      </c>
      <c r="C174" s="19" t="s">
        <v>191</v>
      </c>
      <c r="D174" s="19">
        <v>571.5</v>
      </c>
      <c r="E174" s="19">
        <v>63</v>
      </c>
      <c r="I174" s="19">
        <v>0</v>
      </c>
      <c r="K174" s="80">
        <v>0</v>
      </c>
      <c r="N174" s="19">
        <v>3</v>
      </c>
      <c r="W174" s="19">
        <v>0</v>
      </c>
      <c r="X174" s="80">
        <v>0</v>
      </c>
      <c r="Y174" s="80">
        <v>0</v>
      </c>
      <c r="Z174" s="80">
        <v>36</v>
      </c>
      <c r="AA174" s="19">
        <v>12</v>
      </c>
      <c r="AC174" s="19">
        <v>614.5</v>
      </c>
      <c r="AF174" s="19">
        <v>16</v>
      </c>
    </row>
    <row r="175" spans="1:32" x14ac:dyDescent="0.25">
      <c r="A175" s="79">
        <v>46125</v>
      </c>
      <c r="B175" s="19" t="s">
        <v>47</v>
      </c>
      <c r="C175" s="19" t="s">
        <v>64</v>
      </c>
      <c r="D175" s="19">
        <v>282.2</v>
      </c>
      <c r="I175" s="19">
        <v>0</v>
      </c>
      <c r="K175" s="80">
        <v>0</v>
      </c>
      <c r="N175" s="19">
        <v>1</v>
      </c>
      <c r="W175" s="19">
        <v>0</v>
      </c>
      <c r="X175" s="80">
        <v>0</v>
      </c>
      <c r="Y175" s="80">
        <v>0</v>
      </c>
      <c r="Z175" s="80">
        <v>12</v>
      </c>
      <c r="AA175" s="19">
        <v>12</v>
      </c>
      <c r="AC175" s="19">
        <v>294</v>
      </c>
      <c r="AF175" s="19">
        <v>16</v>
      </c>
    </row>
    <row r="176" spans="1:32" x14ac:dyDescent="0.25">
      <c r="A176" s="79">
        <v>46126</v>
      </c>
      <c r="B176" s="19" t="s">
        <v>46</v>
      </c>
      <c r="C176" s="19" t="s">
        <v>65</v>
      </c>
      <c r="D176" s="19">
        <v>181.4</v>
      </c>
      <c r="E176" s="19">
        <v>2</v>
      </c>
      <c r="I176" s="19">
        <v>0</v>
      </c>
      <c r="K176" s="80">
        <v>0</v>
      </c>
      <c r="N176" s="19">
        <v>1</v>
      </c>
      <c r="W176" s="19">
        <v>0</v>
      </c>
      <c r="X176" s="80">
        <v>0</v>
      </c>
      <c r="Y176" s="80">
        <v>0</v>
      </c>
      <c r="Z176" s="80">
        <v>12</v>
      </c>
      <c r="AA176" s="19">
        <v>12</v>
      </c>
      <c r="AC176" s="19">
        <v>188</v>
      </c>
      <c r="AF176" s="19">
        <v>16</v>
      </c>
    </row>
    <row r="177" spans="1:32" x14ac:dyDescent="0.25">
      <c r="A177" s="79">
        <v>46126</v>
      </c>
      <c r="B177" s="19" t="s">
        <v>46</v>
      </c>
      <c r="C177" s="19" t="s">
        <v>190</v>
      </c>
      <c r="D177" s="19">
        <v>418.4</v>
      </c>
      <c r="E177" s="19">
        <v>7</v>
      </c>
      <c r="I177" s="19">
        <v>0</v>
      </c>
      <c r="K177" s="80">
        <v>0</v>
      </c>
      <c r="N177" s="19">
        <v>2</v>
      </c>
      <c r="W177" s="19">
        <v>0</v>
      </c>
      <c r="X177" s="80">
        <v>0</v>
      </c>
      <c r="Y177" s="80">
        <v>0</v>
      </c>
      <c r="Z177" s="80">
        <v>24</v>
      </c>
      <c r="AA177" s="19">
        <v>12</v>
      </c>
      <c r="AC177" s="19">
        <v>438.5</v>
      </c>
      <c r="AF177" s="19">
        <v>16</v>
      </c>
    </row>
    <row r="178" spans="1:32" x14ac:dyDescent="0.25">
      <c r="A178" s="79">
        <v>46126</v>
      </c>
      <c r="B178" s="19" t="s">
        <v>46</v>
      </c>
      <c r="C178" s="19" t="s">
        <v>183</v>
      </c>
      <c r="D178" s="19">
        <v>483.5</v>
      </c>
      <c r="E178" s="19">
        <v>7</v>
      </c>
      <c r="I178" s="19">
        <v>0</v>
      </c>
      <c r="K178" s="80">
        <v>0</v>
      </c>
      <c r="N178" s="19">
        <v>1</v>
      </c>
      <c r="W178" s="19">
        <v>0</v>
      </c>
      <c r="X178" s="80">
        <v>0</v>
      </c>
      <c r="Y178" s="80">
        <v>0</v>
      </c>
      <c r="Z178" s="80">
        <v>12</v>
      </c>
      <c r="AA178" s="19">
        <v>12</v>
      </c>
      <c r="AC178" s="19">
        <v>500.5</v>
      </c>
      <c r="AF178" s="19">
        <v>16</v>
      </c>
    </row>
    <row r="179" spans="1:32" x14ac:dyDescent="0.25">
      <c r="A179" s="79">
        <v>46126</v>
      </c>
      <c r="B179" s="19" t="s">
        <v>46</v>
      </c>
      <c r="C179" s="19" t="s">
        <v>184</v>
      </c>
      <c r="D179" s="19">
        <v>532.80000000000007</v>
      </c>
      <c r="E179" s="19">
        <v>8</v>
      </c>
      <c r="I179" s="19">
        <v>0</v>
      </c>
      <c r="K179" s="80">
        <v>0</v>
      </c>
      <c r="N179" s="19">
        <v>2</v>
      </c>
      <c r="W179" s="19">
        <v>0</v>
      </c>
      <c r="X179" s="80">
        <v>0</v>
      </c>
      <c r="Y179" s="80">
        <v>0</v>
      </c>
      <c r="Z179" s="80">
        <v>24</v>
      </c>
      <c r="AA179" s="19">
        <v>12</v>
      </c>
      <c r="AC179" s="19">
        <v>554</v>
      </c>
      <c r="AF179" s="19">
        <v>16</v>
      </c>
    </row>
    <row r="180" spans="1:32" x14ac:dyDescent="0.25">
      <c r="A180" s="79">
        <v>46126</v>
      </c>
      <c r="B180" s="19" t="s">
        <v>46</v>
      </c>
      <c r="C180" s="19" t="s">
        <v>191</v>
      </c>
      <c r="D180" s="19">
        <v>688.5</v>
      </c>
      <c r="E180" s="19">
        <v>67</v>
      </c>
      <c r="F180" s="19">
        <v>12</v>
      </c>
      <c r="I180" s="19">
        <v>12</v>
      </c>
      <c r="K180" s="80">
        <v>0.2</v>
      </c>
      <c r="N180" s="19">
        <v>3</v>
      </c>
      <c r="W180" s="19">
        <v>0</v>
      </c>
      <c r="X180" s="80">
        <v>0</v>
      </c>
      <c r="Y180" s="80">
        <v>0.2</v>
      </c>
      <c r="Z180" s="80">
        <v>35.799999999999997</v>
      </c>
      <c r="AA180" s="19">
        <v>12</v>
      </c>
      <c r="AC180" s="19">
        <v>727</v>
      </c>
      <c r="AF180" s="19">
        <v>16</v>
      </c>
    </row>
    <row r="181" spans="1:32" x14ac:dyDescent="0.25">
      <c r="A181" s="79">
        <v>46126</v>
      </c>
      <c r="B181" s="19" t="s">
        <v>46</v>
      </c>
      <c r="C181" s="19" t="s">
        <v>64</v>
      </c>
      <c r="D181" s="19">
        <v>320.39999999999998</v>
      </c>
      <c r="E181" s="19">
        <v>3</v>
      </c>
      <c r="I181" s="19">
        <v>0</v>
      </c>
      <c r="K181" s="80">
        <v>0</v>
      </c>
      <c r="N181" s="19">
        <v>2</v>
      </c>
      <c r="W181" s="19">
        <v>0</v>
      </c>
      <c r="X181" s="80">
        <v>0</v>
      </c>
      <c r="Y181" s="80">
        <v>0</v>
      </c>
      <c r="Z181" s="80">
        <v>24</v>
      </c>
      <c r="AA181" s="19">
        <v>12</v>
      </c>
      <c r="AC181" s="19">
        <v>340</v>
      </c>
      <c r="AF181" s="19">
        <v>16</v>
      </c>
    </row>
    <row r="182" spans="1:32" x14ac:dyDescent="0.25">
      <c r="A182" s="79">
        <v>46126</v>
      </c>
      <c r="B182" s="19" t="s">
        <v>47</v>
      </c>
      <c r="C182" s="19" t="s">
        <v>65</v>
      </c>
      <c r="D182" s="19">
        <v>152.4</v>
      </c>
      <c r="E182" s="19">
        <v>2</v>
      </c>
      <c r="I182" s="19">
        <v>0</v>
      </c>
      <c r="K182" s="80">
        <v>0</v>
      </c>
      <c r="N182" s="19">
        <v>1</v>
      </c>
      <c r="W182" s="19">
        <v>0</v>
      </c>
      <c r="X182" s="80">
        <v>0</v>
      </c>
      <c r="Y182" s="80">
        <v>0</v>
      </c>
      <c r="Z182" s="80">
        <v>12</v>
      </c>
      <c r="AA182" s="19">
        <v>12</v>
      </c>
      <c r="AC182" s="19">
        <v>159</v>
      </c>
      <c r="AF182" s="19">
        <v>16</v>
      </c>
    </row>
    <row r="183" spans="1:32" x14ac:dyDescent="0.25">
      <c r="A183" s="79">
        <v>46126</v>
      </c>
      <c r="B183" s="19" t="s">
        <v>47</v>
      </c>
      <c r="C183" s="19" t="s">
        <v>190</v>
      </c>
      <c r="D183" s="19">
        <v>403.4</v>
      </c>
      <c r="E183" s="19">
        <v>6</v>
      </c>
      <c r="I183" s="19">
        <v>0</v>
      </c>
      <c r="K183" s="80">
        <v>0</v>
      </c>
      <c r="N183" s="19">
        <v>2</v>
      </c>
      <c r="W183" s="19">
        <v>0</v>
      </c>
      <c r="X183" s="80">
        <v>0</v>
      </c>
      <c r="Y183" s="80">
        <v>0</v>
      </c>
      <c r="Z183" s="80">
        <v>24</v>
      </c>
      <c r="AA183" s="19">
        <v>12</v>
      </c>
      <c r="AC183" s="19">
        <v>419.9</v>
      </c>
      <c r="AF183" s="19">
        <v>16</v>
      </c>
    </row>
    <row r="184" spans="1:32" x14ac:dyDescent="0.25">
      <c r="A184" s="79">
        <v>46126</v>
      </c>
      <c r="B184" s="19" t="s">
        <v>47</v>
      </c>
      <c r="C184" s="19" t="s">
        <v>183</v>
      </c>
      <c r="D184" s="19">
        <v>444.4</v>
      </c>
      <c r="E184" s="19">
        <v>7</v>
      </c>
      <c r="I184" s="19">
        <v>0</v>
      </c>
      <c r="K184" s="80">
        <v>0</v>
      </c>
      <c r="N184" s="19">
        <v>1</v>
      </c>
      <c r="W184" s="19">
        <v>0</v>
      </c>
      <c r="X184" s="80">
        <v>0</v>
      </c>
      <c r="Y184" s="80">
        <v>0</v>
      </c>
      <c r="Z184" s="80">
        <v>12</v>
      </c>
      <c r="AA184" s="19">
        <v>12</v>
      </c>
      <c r="AC184" s="19">
        <v>461.4</v>
      </c>
      <c r="AF184" s="19">
        <v>16</v>
      </c>
    </row>
    <row r="185" spans="1:32" x14ac:dyDescent="0.25">
      <c r="A185" s="79">
        <v>46126</v>
      </c>
      <c r="B185" s="19" t="s">
        <v>47</v>
      </c>
      <c r="C185" s="19" t="s">
        <v>184</v>
      </c>
      <c r="D185" s="19">
        <v>500.3</v>
      </c>
      <c r="E185" s="19">
        <v>9</v>
      </c>
      <c r="I185" s="19">
        <v>0</v>
      </c>
      <c r="K185" s="80">
        <v>0</v>
      </c>
      <c r="N185" s="19">
        <v>1</v>
      </c>
      <c r="W185" s="19">
        <v>0</v>
      </c>
      <c r="X185" s="80">
        <v>0</v>
      </c>
      <c r="Y185" s="80">
        <v>0</v>
      </c>
      <c r="Z185" s="80">
        <v>12</v>
      </c>
      <c r="AA185" s="19">
        <v>12</v>
      </c>
      <c r="AC185" s="19">
        <v>516.5</v>
      </c>
      <c r="AF185" s="19">
        <v>16</v>
      </c>
    </row>
    <row r="186" spans="1:32" x14ac:dyDescent="0.25">
      <c r="A186" s="79">
        <v>46126</v>
      </c>
      <c r="B186" s="19" t="s">
        <v>47</v>
      </c>
      <c r="C186" s="19" t="s">
        <v>191</v>
      </c>
      <c r="D186" s="19">
        <v>880</v>
      </c>
      <c r="E186" s="19">
        <v>65</v>
      </c>
      <c r="I186" s="19">
        <v>0</v>
      </c>
      <c r="K186" s="80">
        <v>0</v>
      </c>
      <c r="N186" s="19">
        <v>3</v>
      </c>
      <c r="W186" s="19">
        <v>0</v>
      </c>
      <c r="X186" s="80">
        <v>0</v>
      </c>
      <c r="Y186" s="80">
        <v>0</v>
      </c>
      <c r="Z186" s="80">
        <v>36</v>
      </c>
      <c r="AA186" s="19">
        <v>12</v>
      </c>
      <c r="AC186" s="19">
        <v>944</v>
      </c>
      <c r="AF186" s="19">
        <v>16</v>
      </c>
    </row>
    <row r="187" spans="1:32" x14ac:dyDescent="0.25">
      <c r="A187" s="79">
        <v>46126</v>
      </c>
      <c r="B187" s="19" t="s">
        <v>47</v>
      </c>
      <c r="C187" s="19" t="s">
        <v>64</v>
      </c>
      <c r="D187" s="19">
        <v>307.7</v>
      </c>
      <c r="E187" s="19">
        <v>4</v>
      </c>
      <c r="I187" s="19">
        <v>0</v>
      </c>
      <c r="K187" s="80">
        <v>0</v>
      </c>
      <c r="N187" s="19">
        <v>2</v>
      </c>
      <c r="W187" s="19">
        <v>0</v>
      </c>
      <c r="X187" s="80">
        <v>0</v>
      </c>
      <c r="Y187" s="80">
        <v>0</v>
      </c>
      <c r="Z187" s="80">
        <v>24</v>
      </c>
      <c r="AA187" s="19">
        <v>12</v>
      </c>
      <c r="AC187" s="19">
        <v>326</v>
      </c>
      <c r="AF187" s="19">
        <v>16</v>
      </c>
    </row>
    <row r="188" spans="1:32" x14ac:dyDescent="0.25">
      <c r="A188" s="79">
        <v>46127</v>
      </c>
      <c r="B188" s="19" t="s">
        <v>46</v>
      </c>
      <c r="C188" s="19" t="s">
        <v>156</v>
      </c>
      <c r="D188" s="19">
        <v>94</v>
      </c>
      <c r="E188" s="19">
        <v>9</v>
      </c>
      <c r="H188" s="19">
        <v>240</v>
      </c>
      <c r="I188" s="19">
        <v>240</v>
      </c>
      <c r="K188" s="80">
        <v>4</v>
      </c>
      <c r="N188" s="19">
        <v>1</v>
      </c>
      <c r="W188" s="19">
        <v>0</v>
      </c>
      <c r="X188" s="80">
        <v>0</v>
      </c>
      <c r="Y188" s="80">
        <v>4</v>
      </c>
      <c r="Z188" s="80">
        <v>8</v>
      </c>
      <c r="AA188" s="19">
        <v>12</v>
      </c>
      <c r="AC188" s="19">
        <v>102.8</v>
      </c>
      <c r="AF188" s="19">
        <v>16</v>
      </c>
    </row>
    <row r="189" spans="1:32" x14ac:dyDescent="0.25">
      <c r="A189" s="79">
        <v>46127</v>
      </c>
      <c r="B189" s="19" t="s">
        <v>46</v>
      </c>
      <c r="C189" s="19" t="s">
        <v>65</v>
      </c>
      <c r="D189" s="19">
        <v>83</v>
      </c>
      <c r="E189" s="19">
        <v>4</v>
      </c>
      <c r="I189" s="19">
        <v>0</v>
      </c>
      <c r="K189" s="80">
        <v>0</v>
      </c>
      <c r="N189" s="19">
        <v>1</v>
      </c>
      <c r="Q189" s="19">
        <v>180</v>
      </c>
      <c r="W189" s="19">
        <v>180</v>
      </c>
      <c r="X189" s="80">
        <v>3</v>
      </c>
      <c r="Y189" s="80">
        <v>3</v>
      </c>
      <c r="Z189" s="80">
        <v>9</v>
      </c>
      <c r="AA189" s="19">
        <v>12</v>
      </c>
      <c r="AC189" s="19">
        <v>92</v>
      </c>
      <c r="AF189" s="19">
        <v>16</v>
      </c>
    </row>
    <row r="190" spans="1:32" x14ac:dyDescent="0.25">
      <c r="A190" s="79">
        <v>46127</v>
      </c>
      <c r="B190" s="19" t="s">
        <v>46</v>
      </c>
      <c r="C190" s="19" t="s">
        <v>183</v>
      </c>
      <c r="D190" s="19">
        <v>368.5</v>
      </c>
      <c r="E190" s="19">
        <v>6</v>
      </c>
      <c r="I190" s="19">
        <v>0</v>
      </c>
      <c r="K190" s="80">
        <v>0</v>
      </c>
      <c r="N190" s="19">
        <v>2</v>
      </c>
      <c r="W190" s="19">
        <v>0</v>
      </c>
      <c r="X190" s="80">
        <v>0</v>
      </c>
      <c r="Y190" s="80">
        <v>0</v>
      </c>
      <c r="Z190" s="80">
        <v>24</v>
      </c>
      <c r="AA190" s="19">
        <v>12</v>
      </c>
      <c r="AC190" s="19">
        <v>387</v>
      </c>
      <c r="AF190" s="19">
        <v>16</v>
      </c>
    </row>
    <row r="191" spans="1:32" x14ac:dyDescent="0.25">
      <c r="A191" s="79">
        <v>46127</v>
      </c>
      <c r="B191" s="19" t="s">
        <v>46</v>
      </c>
      <c r="C191" s="19" t="s">
        <v>184</v>
      </c>
      <c r="D191" s="19">
        <v>474.25</v>
      </c>
      <c r="E191" s="19">
        <v>7</v>
      </c>
      <c r="I191" s="19">
        <v>0</v>
      </c>
      <c r="K191" s="80">
        <v>0</v>
      </c>
      <c r="N191" s="19">
        <v>1</v>
      </c>
      <c r="W191" s="19">
        <v>0</v>
      </c>
      <c r="X191" s="80">
        <v>0</v>
      </c>
      <c r="Y191" s="80">
        <v>0</v>
      </c>
      <c r="Z191" s="80">
        <v>12</v>
      </c>
      <c r="AA191" s="19">
        <v>12</v>
      </c>
      <c r="AC191" s="19">
        <v>485.25</v>
      </c>
      <c r="AF191" s="19">
        <v>16</v>
      </c>
    </row>
    <row r="192" spans="1:32" x14ac:dyDescent="0.25">
      <c r="A192" s="79">
        <v>46127</v>
      </c>
      <c r="B192" s="19" t="s">
        <v>46</v>
      </c>
      <c r="C192" s="19" t="s">
        <v>191</v>
      </c>
      <c r="D192" s="19">
        <v>711.5</v>
      </c>
      <c r="E192" s="19">
        <v>48</v>
      </c>
      <c r="I192" s="19">
        <v>0</v>
      </c>
      <c r="K192" s="80">
        <v>0</v>
      </c>
      <c r="N192" s="19">
        <v>1</v>
      </c>
      <c r="W192" s="19">
        <v>0</v>
      </c>
      <c r="X192" s="80">
        <v>0</v>
      </c>
      <c r="Y192" s="80">
        <v>0</v>
      </c>
      <c r="Z192" s="80">
        <v>12</v>
      </c>
      <c r="AA192" s="19">
        <v>12</v>
      </c>
      <c r="AC192" s="19">
        <v>744.5</v>
      </c>
      <c r="AF192" s="19">
        <v>16</v>
      </c>
    </row>
    <row r="193" spans="1:32" x14ac:dyDescent="0.25">
      <c r="A193" s="79">
        <v>46127</v>
      </c>
      <c r="B193" s="19" t="s">
        <v>46</v>
      </c>
      <c r="C193" s="19" t="s">
        <v>64</v>
      </c>
      <c r="D193" s="19">
        <v>267</v>
      </c>
      <c r="E193" s="19">
        <v>2</v>
      </c>
      <c r="F193" s="19">
        <v>2</v>
      </c>
      <c r="I193" s="19">
        <v>2</v>
      </c>
      <c r="K193" s="80">
        <v>3.3333333333333333E-2</v>
      </c>
      <c r="N193" s="19">
        <v>2</v>
      </c>
      <c r="W193" s="19">
        <v>0</v>
      </c>
      <c r="X193" s="80">
        <v>0</v>
      </c>
      <c r="Y193" s="80">
        <v>3.3333333333333333E-2</v>
      </c>
      <c r="Z193" s="80">
        <v>23.966666666666669</v>
      </c>
      <c r="AA193" s="19">
        <v>12</v>
      </c>
      <c r="AC193" s="19">
        <v>285</v>
      </c>
      <c r="AF193" s="19">
        <v>16</v>
      </c>
    </row>
    <row r="194" spans="1:32" x14ac:dyDescent="0.25">
      <c r="A194" s="79">
        <v>46127</v>
      </c>
      <c r="B194" s="19" t="s">
        <v>47</v>
      </c>
      <c r="C194" s="19" t="s">
        <v>156</v>
      </c>
      <c r="D194" s="19">
        <v>160.5</v>
      </c>
      <c r="E194" s="19">
        <v>1</v>
      </c>
      <c r="I194" s="19">
        <v>0</v>
      </c>
      <c r="K194" s="80">
        <v>0</v>
      </c>
      <c r="N194" s="19">
        <v>2</v>
      </c>
      <c r="W194" s="19">
        <v>0</v>
      </c>
      <c r="X194" s="80">
        <v>0</v>
      </c>
      <c r="Y194" s="80">
        <v>0</v>
      </c>
      <c r="Z194" s="80">
        <v>24</v>
      </c>
      <c r="AA194" s="19">
        <v>12</v>
      </c>
      <c r="AC194" s="19">
        <v>173.5</v>
      </c>
      <c r="AF194" s="19">
        <v>16</v>
      </c>
    </row>
    <row r="195" spans="1:32" x14ac:dyDescent="0.25">
      <c r="A195" s="79">
        <v>46127</v>
      </c>
      <c r="B195" s="19" t="s">
        <v>47</v>
      </c>
      <c r="C195" s="19" t="s">
        <v>65</v>
      </c>
      <c r="D195" s="19">
        <v>142.80000000000001</v>
      </c>
      <c r="I195" s="19">
        <v>0</v>
      </c>
      <c r="K195" s="80">
        <v>0</v>
      </c>
      <c r="N195" s="19">
        <v>1</v>
      </c>
      <c r="W195" s="19">
        <v>0</v>
      </c>
      <c r="X195" s="80">
        <v>0</v>
      </c>
      <c r="Y195" s="80">
        <v>0</v>
      </c>
      <c r="Z195" s="80">
        <v>12</v>
      </c>
      <c r="AA195" s="19">
        <v>12</v>
      </c>
      <c r="AC195" s="19">
        <v>153.80000000000001</v>
      </c>
      <c r="AF195" s="19">
        <v>16</v>
      </c>
    </row>
    <row r="196" spans="1:32" x14ac:dyDescent="0.25">
      <c r="A196" s="79">
        <v>46127</v>
      </c>
      <c r="B196" s="19" t="s">
        <v>47</v>
      </c>
      <c r="C196" s="19" t="s">
        <v>183</v>
      </c>
      <c r="D196" s="19">
        <v>472.6</v>
      </c>
      <c r="E196" s="19">
        <v>4</v>
      </c>
      <c r="I196" s="19">
        <v>0</v>
      </c>
      <c r="K196" s="80">
        <v>0</v>
      </c>
      <c r="N196" s="19">
        <v>1</v>
      </c>
      <c r="W196" s="19">
        <v>0</v>
      </c>
      <c r="X196" s="80">
        <v>0</v>
      </c>
      <c r="Y196" s="80">
        <v>0</v>
      </c>
      <c r="Z196" s="80">
        <v>12</v>
      </c>
      <c r="AA196" s="19">
        <v>12</v>
      </c>
      <c r="AC196" s="19">
        <v>490.1</v>
      </c>
      <c r="AF196" s="19">
        <v>16</v>
      </c>
    </row>
    <row r="197" spans="1:32" x14ac:dyDescent="0.25">
      <c r="A197" s="79">
        <v>46127</v>
      </c>
      <c r="B197" s="19" t="s">
        <v>47</v>
      </c>
      <c r="C197" s="19" t="s">
        <v>184</v>
      </c>
      <c r="D197" s="19">
        <v>518.20000000000005</v>
      </c>
      <c r="E197" s="19">
        <v>5</v>
      </c>
      <c r="I197" s="19">
        <v>0</v>
      </c>
      <c r="K197" s="80">
        <v>0</v>
      </c>
      <c r="N197" s="19">
        <v>1</v>
      </c>
      <c r="W197" s="19">
        <v>0</v>
      </c>
      <c r="X197" s="80">
        <v>0</v>
      </c>
      <c r="Y197" s="80">
        <v>0</v>
      </c>
      <c r="Z197" s="80">
        <v>12</v>
      </c>
      <c r="AA197" s="19">
        <v>12</v>
      </c>
      <c r="AC197" s="19">
        <v>532</v>
      </c>
      <c r="AF197" s="19">
        <v>16</v>
      </c>
    </row>
    <row r="198" spans="1:32" x14ac:dyDescent="0.25">
      <c r="A198" s="79">
        <v>46127</v>
      </c>
      <c r="B198" s="19" t="s">
        <v>47</v>
      </c>
      <c r="C198" s="19" t="s">
        <v>191</v>
      </c>
      <c r="D198" s="19">
        <v>760</v>
      </c>
      <c r="E198" s="19">
        <v>41</v>
      </c>
      <c r="F198" s="19">
        <v>10</v>
      </c>
      <c r="I198" s="19">
        <v>10</v>
      </c>
      <c r="K198" s="80">
        <v>0.16666666666666666</v>
      </c>
      <c r="N198" s="19">
        <v>3</v>
      </c>
      <c r="W198" s="19">
        <v>0</v>
      </c>
      <c r="X198" s="80">
        <v>0</v>
      </c>
      <c r="Y198" s="80">
        <v>0.16666666666666666</v>
      </c>
      <c r="Z198" s="80">
        <v>35.833333333333329</v>
      </c>
      <c r="AA198" s="19">
        <v>12</v>
      </c>
      <c r="AC198" s="19">
        <v>804.5</v>
      </c>
      <c r="AF198" s="19">
        <v>16</v>
      </c>
    </row>
    <row r="199" spans="1:32" x14ac:dyDescent="0.25">
      <c r="A199" s="79">
        <v>46127</v>
      </c>
      <c r="B199" s="19" t="s">
        <v>47</v>
      </c>
      <c r="C199" s="19" t="s">
        <v>64</v>
      </c>
      <c r="D199" s="19">
        <v>290.3</v>
      </c>
      <c r="E199" s="19">
        <v>4</v>
      </c>
      <c r="I199" s="19">
        <v>0</v>
      </c>
      <c r="K199" s="80">
        <v>0</v>
      </c>
      <c r="N199" s="19">
        <v>2</v>
      </c>
      <c r="W199" s="19">
        <v>0</v>
      </c>
      <c r="X199" s="80">
        <v>0</v>
      </c>
      <c r="Y199" s="80">
        <v>0</v>
      </c>
      <c r="Z199" s="80">
        <v>24</v>
      </c>
      <c r="AA199" s="19">
        <v>12</v>
      </c>
      <c r="AC199" s="19">
        <v>309</v>
      </c>
      <c r="AF199" s="19">
        <v>16</v>
      </c>
    </row>
    <row r="200" spans="1:32" x14ac:dyDescent="0.25">
      <c r="A200" s="79">
        <v>46128</v>
      </c>
      <c r="B200" s="19" t="s">
        <v>46</v>
      </c>
      <c r="C200" s="19" t="s">
        <v>156</v>
      </c>
      <c r="D200" s="19">
        <v>146.5</v>
      </c>
      <c r="E200" s="19">
        <v>2</v>
      </c>
      <c r="I200" s="19">
        <v>0</v>
      </c>
      <c r="K200" s="80">
        <v>0</v>
      </c>
      <c r="N200" s="19">
        <v>1</v>
      </c>
      <c r="W200" s="19">
        <v>0</v>
      </c>
      <c r="X200" s="80">
        <v>0</v>
      </c>
      <c r="Y200" s="80">
        <v>0</v>
      </c>
      <c r="Z200" s="80">
        <v>12</v>
      </c>
      <c r="AA200" s="19">
        <v>12</v>
      </c>
      <c r="AC200" s="19">
        <v>154.5</v>
      </c>
      <c r="AF200" s="19">
        <v>16</v>
      </c>
    </row>
    <row r="201" spans="1:32" x14ac:dyDescent="0.25">
      <c r="A201" s="79">
        <v>46128</v>
      </c>
      <c r="B201" s="19" t="s">
        <v>46</v>
      </c>
      <c r="C201" s="19" t="s">
        <v>65</v>
      </c>
      <c r="D201" s="19">
        <v>179.39999999999998</v>
      </c>
      <c r="I201" s="19">
        <v>0</v>
      </c>
      <c r="K201" s="80">
        <v>0</v>
      </c>
      <c r="N201" s="19">
        <v>1</v>
      </c>
      <c r="W201" s="19">
        <v>0</v>
      </c>
      <c r="X201" s="80">
        <v>0</v>
      </c>
      <c r="Y201" s="80">
        <v>0</v>
      </c>
      <c r="Z201" s="80">
        <v>12</v>
      </c>
      <c r="AA201" s="19">
        <v>12</v>
      </c>
      <c r="AC201" s="19">
        <v>187.2</v>
      </c>
      <c r="AF201" s="19">
        <v>16</v>
      </c>
    </row>
    <row r="202" spans="1:32" x14ac:dyDescent="0.25">
      <c r="A202" s="79">
        <v>46128</v>
      </c>
      <c r="B202" s="19" t="s">
        <v>46</v>
      </c>
      <c r="C202" s="19" t="s">
        <v>150</v>
      </c>
      <c r="D202" s="19">
        <v>112.2</v>
      </c>
      <c r="E202" s="19">
        <v>31</v>
      </c>
      <c r="G202" s="19">
        <v>240</v>
      </c>
      <c r="I202" s="19">
        <v>240</v>
      </c>
      <c r="K202" s="80">
        <v>4</v>
      </c>
      <c r="N202" s="19">
        <v>2</v>
      </c>
      <c r="W202" s="19">
        <v>0</v>
      </c>
      <c r="X202" s="80">
        <v>0</v>
      </c>
      <c r="Y202" s="80">
        <v>4</v>
      </c>
      <c r="Z202" s="80">
        <v>20</v>
      </c>
      <c r="AA202" s="19">
        <v>12</v>
      </c>
      <c r="AC202" s="19">
        <v>125</v>
      </c>
      <c r="AF202" s="19">
        <v>16</v>
      </c>
    </row>
    <row r="203" spans="1:32" x14ac:dyDescent="0.25">
      <c r="A203" s="79">
        <v>46128</v>
      </c>
      <c r="B203" s="19" t="s">
        <v>46</v>
      </c>
      <c r="C203" s="19" t="s">
        <v>183</v>
      </c>
      <c r="D203" s="19">
        <v>370.7</v>
      </c>
      <c r="E203" s="19">
        <v>6</v>
      </c>
      <c r="F203" s="19">
        <v>5</v>
      </c>
      <c r="I203" s="19">
        <v>5</v>
      </c>
      <c r="K203" s="80">
        <v>8.3333333333333343E-2</v>
      </c>
      <c r="N203" s="19">
        <v>3</v>
      </c>
      <c r="W203" s="19">
        <v>0</v>
      </c>
      <c r="X203" s="80">
        <v>0</v>
      </c>
      <c r="Y203" s="80">
        <v>8.3333333333333343E-2</v>
      </c>
      <c r="Z203" s="80">
        <v>35.916666666666664</v>
      </c>
      <c r="AA203" s="19">
        <v>12</v>
      </c>
      <c r="AC203" s="19">
        <v>400</v>
      </c>
      <c r="AF203" s="19">
        <v>16</v>
      </c>
    </row>
    <row r="204" spans="1:32" x14ac:dyDescent="0.25">
      <c r="A204" s="79">
        <v>46128</v>
      </c>
      <c r="B204" s="19" t="s">
        <v>46</v>
      </c>
      <c r="C204" s="19" t="s">
        <v>184</v>
      </c>
      <c r="D204" s="19">
        <v>490.8</v>
      </c>
      <c r="E204" s="19">
        <v>7</v>
      </c>
      <c r="I204" s="19">
        <v>0</v>
      </c>
      <c r="K204" s="80">
        <v>0</v>
      </c>
      <c r="N204" s="19">
        <v>1</v>
      </c>
      <c r="W204" s="19">
        <v>0</v>
      </c>
      <c r="X204" s="80">
        <v>0</v>
      </c>
      <c r="Y204" s="80">
        <v>0</v>
      </c>
      <c r="Z204" s="80">
        <v>12</v>
      </c>
      <c r="AA204" s="19">
        <v>12</v>
      </c>
      <c r="AC204" s="19">
        <v>507</v>
      </c>
      <c r="AF204" s="19">
        <v>16</v>
      </c>
    </row>
    <row r="205" spans="1:32" x14ac:dyDescent="0.25">
      <c r="A205" s="79">
        <v>46128</v>
      </c>
      <c r="B205" s="19" t="s">
        <v>46</v>
      </c>
      <c r="C205" s="19" t="s">
        <v>191</v>
      </c>
      <c r="D205" s="19">
        <v>500.2</v>
      </c>
      <c r="E205" s="19">
        <v>68</v>
      </c>
      <c r="F205" s="19">
        <v>3</v>
      </c>
      <c r="I205" s="19">
        <v>3</v>
      </c>
      <c r="K205" s="80">
        <v>0.05</v>
      </c>
      <c r="N205" s="19">
        <v>4</v>
      </c>
      <c r="P205" s="19">
        <v>20</v>
      </c>
      <c r="S205" s="19">
        <v>10</v>
      </c>
      <c r="W205" s="19">
        <v>30</v>
      </c>
      <c r="X205" s="80">
        <v>0.5</v>
      </c>
      <c r="Y205" s="80">
        <v>0.55000000000000004</v>
      </c>
      <c r="Z205" s="80">
        <v>47.45</v>
      </c>
      <c r="AA205" s="19">
        <v>12</v>
      </c>
      <c r="AC205" s="19">
        <v>542.5</v>
      </c>
      <c r="AF205" s="19">
        <v>16</v>
      </c>
    </row>
    <row r="206" spans="1:32" x14ac:dyDescent="0.25">
      <c r="A206" s="79">
        <v>46128</v>
      </c>
      <c r="B206" s="19" t="s">
        <v>46</v>
      </c>
      <c r="C206" s="19" t="s">
        <v>64</v>
      </c>
      <c r="D206" s="19">
        <v>235</v>
      </c>
      <c r="F206" s="19">
        <v>2</v>
      </c>
      <c r="I206" s="19">
        <v>2</v>
      </c>
      <c r="K206" s="80">
        <v>3.3333333333333333E-2</v>
      </c>
      <c r="N206" s="19">
        <v>2</v>
      </c>
      <c r="W206" s="19">
        <v>0</v>
      </c>
      <c r="X206" s="80">
        <v>0</v>
      </c>
      <c r="Y206" s="80">
        <v>3.3333333333333333E-2</v>
      </c>
      <c r="Z206" s="80">
        <v>23.966666666666669</v>
      </c>
      <c r="AA206" s="19">
        <v>12</v>
      </c>
      <c r="AC206" s="19">
        <v>251.5</v>
      </c>
      <c r="AF206" s="19">
        <v>16</v>
      </c>
    </row>
    <row r="207" spans="1:32" x14ac:dyDescent="0.25">
      <c r="A207" s="79">
        <v>46128</v>
      </c>
      <c r="B207" s="19" t="s">
        <v>47</v>
      </c>
      <c r="C207" s="19" t="s">
        <v>156</v>
      </c>
      <c r="D207" s="19">
        <v>166.5</v>
      </c>
      <c r="E207" s="19">
        <v>1</v>
      </c>
      <c r="I207" s="19">
        <v>0</v>
      </c>
      <c r="K207" s="80">
        <v>0</v>
      </c>
      <c r="N207" s="19">
        <v>1</v>
      </c>
      <c r="W207" s="19">
        <v>0</v>
      </c>
      <c r="X207" s="80">
        <v>0</v>
      </c>
      <c r="Y207" s="80">
        <v>0</v>
      </c>
      <c r="Z207" s="80">
        <v>12</v>
      </c>
      <c r="AA207" s="19">
        <v>12</v>
      </c>
      <c r="AC207" s="19">
        <v>174.5</v>
      </c>
      <c r="AF207" s="19">
        <v>16</v>
      </c>
    </row>
    <row r="208" spans="1:32" x14ac:dyDescent="0.25">
      <c r="A208" s="79">
        <v>46128</v>
      </c>
      <c r="B208" s="19" t="s">
        <v>47</v>
      </c>
      <c r="C208" s="19" t="s">
        <v>65</v>
      </c>
      <c r="D208" s="19">
        <v>161.19999999999999</v>
      </c>
      <c r="I208" s="19">
        <v>0</v>
      </c>
      <c r="K208" s="80">
        <v>0</v>
      </c>
      <c r="N208" s="19">
        <v>1</v>
      </c>
      <c r="W208" s="19">
        <v>0</v>
      </c>
      <c r="X208" s="80">
        <v>0</v>
      </c>
      <c r="Y208" s="80">
        <v>0</v>
      </c>
      <c r="Z208" s="80">
        <v>12</v>
      </c>
      <c r="AA208" s="19">
        <v>12</v>
      </c>
      <c r="AC208" s="19">
        <v>169</v>
      </c>
      <c r="AF208" s="19">
        <v>16</v>
      </c>
    </row>
    <row r="209" spans="1:32" x14ac:dyDescent="0.25">
      <c r="A209" s="79">
        <v>46128</v>
      </c>
      <c r="B209" s="19" t="s">
        <v>47</v>
      </c>
      <c r="C209" s="19" t="s">
        <v>150</v>
      </c>
      <c r="D209" s="19">
        <v>208</v>
      </c>
      <c r="E209" s="19">
        <v>5</v>
      </c>
      <c r="I209" s="19">
        <v>0</v>
      </c>
      <c r="K209" s="80">
        <v>0</v>
      </c>
      <c r="N209" s="19">
        <v>1</v>
      </c>
      <c r="W209" s="19">
        <v>0</v>
      </c>
      <c r="X209" s="80">
        <v>0</v>
      </c>
      <c r="Y209" s="80">
        <v>0</v>
      </c>
      <c r="Z209" s="80">
        <v>12</v>
      </c>
      <c r="AA209" s="19">
        <v>12</v>
      </c>
      <c r="AC209" s="19">
        <v>219</v>
      </c>
      <c r="AF209" s="19">
        <v>16</v>
      </c>
    </row>
    <row r="210" spans="1:32" x14ac:dyDescent="0.25">
      <c r="A210" s="79">
        <v>46128</v>
      </c>
      <c r="B210" s="19" t="s">
        <v>47</v>
      </c>
      <c r="C210" s="19" t="s">
        <v>183</v>
      </c>
      <c r="D210" s="19">
        <v>317.5</v>
      </c>
      <c r="I210" s="19">
        <v>0</v>
      </c>
      <c r="K210" s="80">
        <v>0</v>
      </c>
      <c r="N210" s="19">
        <v>1</v>
      </c>
      <c r="W210" s="19">
        <v>0</v>
      </c>
      <c r="X210" s="80">
        <v>0</v>
      </c>
      <c r="Y210" s="80">
        <v>0</v>
      </c>
      <c r="Z210" s="80">
        <v>12</v>
      </c>
      <c r="AA210" s="19">
        <v>12</v>
      </c>
      <c r="AC210" s="19">
        <v>335</v>
      </c>
      <c r="AF210" s="19">
        <v>16</v>
      </c>
    </row>
    <row r="211" spans="1:32" x14ac:dyDescent="0.25">
      <c r="A211" s="79">
        <v>46128</v>
      </c>
      <c r="B211" s="19" t="s">
        <v>47</v>
      </c>
      <c r="C211" s="19" t="s">
        <v>184</v>
      </c>
      <c r="D211" s="19">
        <v>503.3</v>
      </c>
      <c r="E211" s="19">
        <v>9</v>
      </c>
      <c r="I211" s="19">
        <v>0</v>
      </c>
      <c r="K211" s="80">
        <v>0</v>
      </c>
      <c r="N211" s="19">
        <v>1</v>
      </c>
      <c r="W211" s="19">
        <v>0</v>
      </c>
      <c r="X211" s="80">
        <v>0</v>
      </c>
      <c r="Y211" s="80">
        <v>0</v>
      </c>
      <c r="Z211" s="80">
        <v>12</v>
      </c>
      <c r="AA211" s="19">
        <v>12</v>
      </c>
      <c r="AC211" s="19">
        <v>519.5</v>
      </c>
      <c r="AF211" s="19">
        <v>16</v>
      </c>
    </row>
    <row r="212" spans="1:32" x14ac:dyDescent="0.25">
      <c r="A212" s="79">
        <v>46128</v>
      </c>
      <c r="B212" s="19" t="s">
        <v>47</v>
      </c>
      <c r="C212" s="19" t="s">
        <v>191</v>
      </c>
      <c r="D212" s="19">
        <v>557.79999999999995</v>
      </c>
      <c r="E212" s="19">
        <v>9</v>
      </c>
      <c r="I212" s="19">
        <v>0</v>
      </c>
      <c r="K212" s="80">
        <v>0</v>
      </c>
      <c r="N212" s="19">
        <v>2</v>
      </c>
      <c r="W212" s="19">
        <v>0</v>
      </c>
      <c r="X212" s="80">
        <v>0</v>
      </c>
      <c r="Y212" s="80">
        <v>0</v>
      </c>
      <c r="Z212" s="80">
        <v>24</v>
      </c>
      <c r="AA212" s="19">
        <v>12</v>
      </c>
      <c r="AC212" s="19">
        <v>583.79999999999995</v>
      </c>
      <c r="AF212" s="19">
        <v>16</v>
      </c>
    </row>
    <row r="213" spans="1:32" x14ac:dyDescent="0.25">
      <c r="A213" s="79">
        <v>46128</v>
      </c>
      <c r="B213" s="19" t="s">
        <v>47</v>
      </c>
      <c r="C213" s="19" t="s">
        <v>64</v>
      </c>
      <c r="D213" s="19">
        <v>362.7</v>
      </c>
      <c r="F213" s="19">
        <v>5</v>
      </c>
      <c r="I213" s="19">
        <v>5</v>
      </c>
      <c r="K213" s="80">
        <v>8.3333333333333343E-2</v>
      </c>
      <c r="N213" s="19">
        <v>3</v>
      </c>
      <c r="W213" s="19">
        <v>0</v>
      </c>
      <c r="X213" s="80">
        <v>0</v>
      </c>
      <c r="Y213" s="80">
        <v>8.3333333333333343E-2</v>
      </c>
      <c r="Z213" s="80">
        <v>35.916666666666671</v>
      </c>
      <c r="AA213" s="19">
        <v>12</v>
      </c>
      <c r="AC213" s="19">
        <v>389.5</v>
      </c>
      <c r="AF213" s="19">
        <v>16</v>
      </c>
    </row>
    <row r="214" spans="1:32" x14ac:dyDescent="0.25">
      <c r="A214" s="79">
        <v>46129</v>
      </c>
      <c r="B214" s="19" t="s">
        <v>46</v>
      </c>
      <c r="C214" s="19" t="s">
        <v>156</v>
      </c>
      <c r="D214" s="19">
        <v>144.9</v>
      </c>
      <c r="E214" s="19">
        <v>4</v>
      </c>
      <c r="F214" s="19">
        <v>3</v>
      </c>
      <c r="I214" s="19">
        <v>3</v>
      </c>
      <c r="K214" s="80">
        <v>0.05</v>
      </c>
      <c r="N214" s="19">
        <v>2</v>
      </c>
      <c r="W214" s="19">
        <v>0</v>
      </c>
      <c r="X214" s="80">
        <v>0</v>
      </c>
      <c r="Y214" s="80">
        <v>0.05</v>
      </c>
      <c r="Z214" s="80">
        <v>23.95</v>
      </c>
      <c r="AA214" s="19">
        <v>12</v>
      </c>
      <c r="AC214" s="19">
        <v>158.5</v>
      </c>
      <c r="AF214" s="19">
        <v>16</v>
      </c>
    </row>
    <row r="215" spans="1:32" x14ac:dyDescent="0.25">
      <c r="A215" s="79">
        <v>46129</v>
      </c>
      <c r="B215" s="19" t="s">
        <v>46</v>
      </c>
      <c r="C215" s="19" t="s">
        <v>65</v>
      </c>
      <c r="D215" s="19">
        <v>78</v>
      </c>
      <c r="E215" s="19">
        <v>40</v>
      </c>
      <c r="I215" s="19">
        <v>0</v>
      </c>
      <c r="K215" s="80">
        <v>0</v>
      </c>
      <c r="N215" s="19">
        <v>2</v>
      </c>
      <c r="U215" s="19">
        <v>30</v>
      </c>
      <c r="W215" s="19">
        <v>30</v>
      </c>
      <c r="X215" s="80">
        <v>0.5</v>
      </c>
      <c r="Y215" s="80">
        <v>0.5</v>
      </c>
      <c r="Z215" s="80">
        <v>23.5</v>
      </c>
      <c r="AA215" s="19">
        <v>12</v>
      </c>
      <c r="AC215" s="19">
        <v>89.6</v>
      </c>
      <c r="AF215" s="19">
        <v>16</v>
      </c>
    </row>
    <row r="216" spans="1:32" x14ac:dyDescent="0.25">
      <c r="A216" s="79">
        <v>46129</v>
      </c>
      <c r="B216" s="19" t="s">
        <v>46</v>
      </c>
      <c r="C216" s="19" t="s">
        <v>150</v>
      </c>
      <c r="D216" s="19">
        <v>361</v>
      </c>
      <c r="E216" s="19">
        <v>6</v>
      </c>
      <c r="I216" s="19">
        <v>0</v>
      </c>
      <c r="K216" s="80">
        <v>0</v>
      </c>
      <c r="N216" s="19">
        <v>1</v>
      </c>
      <c r="W216" s="19">
        <v>0</v>
      </c>
      <c r="X216" s="80">
        <v>0</v>
      </c>
      <c r="Y216" s="80">
        <v>0</v>
      </c>
      <c r="Z216" s="80">
        <v>12</v>
      </c>
      <c r="AA216" s="19">
        <v>12</v>
      </c>
      <c r="AC216" s="19">
        <v>375</v>
      </c>
      <c r="AF216" s="19">
        <v>16</v>
      </c>
    </row>
    <row r="217" spans="1:32" x14ac:dyDescent="0.25">
      <c r="A217" s="79">
        <v>46129</v>
      </c>
      <c r="B217" s="19" t="s">
        <v>46</v>
      </c>
      <c r="C217" s="19" t="s">
        <v>183</v>
      </c>
      <c r="D217" s="19">
        <v>303.10000000000002</v>
      </c>
      <c r="E217" s="19">
        <v>5</v>
      </c>
      <c r="F217" s="19">
        <v>5</v>
      </c>
      <c r="I217" s="19">
        <v>5</v>
      </c>
      <c r="K217" s="80">
        <v>8.3333333333333343E-2</v>
      </c>
      <c r="N217" s="19">
        <v>3</v>
      </c>
      <c r="W217" s="19">
        <v>0</v>
      </c>
      <c r="X217" s="80">
        <v>0</v>
      </c>
      <c r="Y217" s="80">
        <v>8.3333333333333343E-2</v>
      </c>
      <c r="Z217" s="80">
        <v>35.916666666666664</v>
      </c>
      <c r="AA217" s="19">
        <v>12</v>
      </c>
      <c r="AC217" s="19">
        <v>330.5</v>
      </c>
      <c r="AF217" s="19">
        <v>16</v>
      </c>
    </row>
    <row r="218" spans="1:32" x14ac:dyDescent="0.25">
      <c r="A218" s="79">
        <v>46129</v>
      </c>
      <c r="B218" s="19" t="s">
        <v>46</v>
      </c>
      <c r="C218" s="19" t="s">
        <v>184</v>
      </c>
      <c r="D218" s="19">
        <v>521.20000000000005</v>
      </c>
      <c r="E218" s="19">
        <v>6</v>
      </c>
      <c r="I218" s="19">
        <v>0</v>
      </c>
      <c r="K218" s="80">
        <v>0</v>
      </c>
      <c r="N218" s="19">
        <v>1</v>
      </c>
      <c r="W218" s="19">
        <v>0</v>
      </c>
      <c r="X218" s="80">
        <v>0</v>
      </c>
      <c r="Y218" s="80">
        <v>0</v>
      </c>
      <c r="Z218" s="80">
        <v>12</v>
      </c>
      <c r="AA218" s="19">
        <v>12</v>
      </c>
      <c r="AC218" s="19">
        <v>535</v>
      </c>
      <c r="AF218" s="19">
        <v>16</v>
      </c>
    </row>
    <row r="219" spans="1:32" x14ac:dyDescent="0.25">
      <c r="A219" s="79">
        <v>46129</v>
      </c>
      <c r="B219" s="19" t="s">
        <v>46</v>
      </c>
      <c r="C219" s="19" t="s">
        <v>191</v>
      </c>
      <c r="D219" s="19">
        <v>563.29999999999995</v>
      </c>
      <c r="E219" s="19">
        <v>3</v>
      </c>
      <c r="F219" s="19">
        <v>2</v>
      </c>
      <c r="I219" s="19">
        <v>2</v>
      </c>
      <c r="K219" s="80">
        <v>3.3333333333333333E-2</v>
      </c>
      <c r="N219" s="19">
        <v>4</v>
      </c>
      <c r="W219" s="19">
        <v>0</v>
      </c>
      <c r="X219" s="80">
        <v>0</v>
      </c>
      <c r="Y219" s="80">
        <v>3.3333333333333333E-2</v>
      </c>
      <c r="Z219" s="80">
        <v>47.966666666666669</v>
      </c>
      <c r="AA219" s="19">
        <v>12</v>
      </c>
      <c r="AC219" s="19">
        <v>598.79999999999995</v>
      </c>
      <c r="AF219" s="19">
        <v>16</v>
      </c>
    </row>
    <row r="220" spans="1:32" x14ac:dyDescent="0.25">
      <c r="A220" s="79">
        <v>46129</v>
      </c>
      <c r="B220" s="19" t="s">
        <v>46</v>
      </c>
      <c r="C220" s="19" t="s">
        <v>64</v>
      </c>
      <c r="D220" s="19">
        <v>587.70000000000005</v>
      </c>
      <c r="E220" s="19">
        <v>30</v>
      </c>
      <c r="I220" s="19">
        <v>0</v>
      </c>
      <c r="K220" s="80">
        <v>0</v>
      </c>
      <c r="N220" s="19">
        <v>1</v>
      </c>
      <c r="W220" s="19">
        <v>0</v>
      </c>
      <c r="X220" s="80">
        <v>0</v>
      </c>
      <c r="Y220" s="80">
        <v>0</v>
      </c>
      <c r="Z220" s="80">
        <v>12</v>
      </c>
      <c r="AA220" s="19">
        <v>12</v>
      </c>
      <c r="AC220" s="19">
        <v>617.5</v>
      </c>
      <c r="AF220" s="19">
        <v>16</v>
      </c>
    </row>
    <row r="221" spans="1:32" x14ac:dyDescent="0.25">
      <c r="A221" s="79">
        <v>46129</v>
      </c>
      <c r="B221" s="19" t="s">
        <v>47</v>
      </c>
      <c r="C221" s="19" t="s">
        <v>156</v>
      </c>
      <c r="D221" s="19">
        <v>105.9</v>
      </c>
      <c r="I221" s="19">
        <v>0</v>
      </c>
      <c r="K221" s="80">
        <v>0</v>
      </c>
      <c r="N221" s="19">
        <v>1</v>
      </c>
      <c r="W221" s="19">
        <v>0</v>
      </c>
      <c r="X221" s="80">
        <v>0</v>
      </c>
      <c r="Y221" s="80">
        <v>0</v>
      </c>
      <c r="Z221" s="80">
        <v>12</v>
      </c>
      <c r="AA221" s="19">
        <v>12</v>
      </c>
      <c r="AC221" s="19">
        <v>113.5</v>
      </c>
      <c r="AF221" s="19">
        <v>16</v>
      </c>
    </row>
    <row r="222" spans="1:32" x14ac:dyDescent="0.25">
      <c r="A222" s="79">
        <v>46129</v>
      </c>
      <c r="B222" s="19" t="s">
        <v>47</v>
      </c>
      <c r="C222" s="19" t="s">
        <v>65</v>
      </c>
      <c r="D222" s="19">
        <v>98.5</v>
      </c>
      <c r="I222" s="19">
        <v>0</v>
      </c>
      <c r="K222" s="80">
        <v>0</v>
      </c>
      <c r="N222" s="19">
        <v>1</v>
      </c>
      <c r="W222" s="19">
        <v>0</v>
      </c>
      <c r="X222" s="80">
        <v>0</v>
      </c>
      <c r="Y222" s="80">
        <v>0</v>
      </c>
      <c r="Z222" s="80">
        <v>12</v>
      </c>
      <c r="AA222" s="19">
        <v>12</v>
      </c>
      <c r="AC222" s="19">
        <v>106.5</v>
      </c>
      <c r="AF222" s="19">
        <v>16</v>
      </c>
    </row>
    <row r="223" spans="1:32" x14ac:dyDescent="0.25">
      <c r="A223" s="79">
        <v>46129</v>
      </c>
      <c r="B223" s="19" t="s">
        <v>47</v>
      </c>
      <c r="C223" s="19" t="s">
        <v>150</v>
      </c>
      <c r="D223" s="19">
        <v>354.5</v>
      </c>
      <c r="E223" s="19">
        <v>5</v>
      </c>
      <c r="I223" s="19">
        <v>0</v>
      </c>
      <c r="K223" s="80">
        <v>0</v>
      </c>
      <c r="N223" s="19">
        <v>1</v>
      </c>
      <c r="W223" s="19">
        <v>0</v>
      </c>
      <c r="X223" s="80">
        <v>0</v>
      </c>
      <c r="Y223" s="80">
        <v>0</v>
      </c>
      <c r="Z223" s="80">
        <v>12</v>
      </c>
      <c r="AA223" s="19">
        <v>12</v>
      </c>
      <c r="AC223" s="19">
        <v>368.5</v>
      </c>
      <c r="AF223" s="19">
        <v>16</v>
      </c>
    </row>
    <row r="224" spans="1:32" x14ac:dyDescent="0.25">
      <c r="A224" s="79">
        <v>46129</v>
      </c>
      <c r="B224" s="19" t="s">
        <v>47</v>
      </c>
      <c r="C224" s="19" t="s">
        <v>183</v>
      </c>
      <c r="D224" s="19">
        <v>220.32</v>
      </c>
      <c r="E224" s="19">
        <v>4</v>
      </c>
      <c r="F224" s="19">
        <v>3</v>
      </c>
      <c r="I224" s="19">
        <v>3</v>
      </c>
      <c r="K224" s="80">
        <v>0.05</v>
      </c>
      <c r="N224" s="19">
        <v>3</v>
      </c>
      <c r="W224" s="19">
        <v>0</v>
      </c>
      <c r="X224" s="80">
        <v>0</v>
      </c>
      <c r="Y224" s="80">
        <v>0.05</v>
      </c>
      <c r="Z224" s="80">
        <v>35.950000000000003</v>
      </c>
      <c r="AA224" s="19">
        <v>12</v>
      </c>
      <c r="AC224" s="19">
        <v>242</v>
      </c>
      <c r="AF224" s="19">
        <v>16</v>
      </c>
    </row>
    <row r="225" spans="1:32" x14ac:dyDescent="0.25">
      <c r="A225" s="79">
        <v>46129</v>
      </c>
      <c r="B225" s="19" t="s">
        <v>47</v>
      </c>
      <c r="C225" s="19" t="s">
        <v>184</v>
      </c>
      <c r="D225" s="19">
        <v>518</v>
      </c>
      <c r="E225" s="19">
        <v>11</v>
      </c>
      <c r="I225" s="19">
        <v>0</v>
      </c>
      <c r="K225" s="80">
        <v>0</v>
      </c>
      <c r="N225" s="19">
        <v>1</v>
      </c>
      <c r="W225" s="19">
        <v>0</v>
      </c>
      <c r="X225" s="80">
        <v>0</v>
      </c>
      <c r="Y225" s="80">
        <v>0</v>
      </c>
      <c r="Z225" s="80">
        <v>12</v>
      </c>
      <c r="AA225" s="19">
        <v>12</v>
      </c>
      <c r="AC225" s="19">
        <v>537</v>
      </c>
      <c r="AF225" s="19">
        <v>16</v>
      </c>
    </row>
    <row r="226" spans="1:32" x14ac:dyDescent="0.25">
      <c r="A226" s="79">
        <v>46129</v>
      </c>
      <c r="B226" s="19" t="s">
        <v>47</v>
      </c>
      <c r="C226" s="19" t="s">
        <v>191</v>
      </c>
      <c r="D226" s="19">
        <v>537.5</v>
      </c>
      <c r="E226" s="19">
        <v>30</v>
      </c>
      <c r="F226" s="19">
        <v>2</v>
      </c>
      <c r="I226" s="19">
        <v>2</v>
      </c>
      <c r="K226" s="80">
        <v>3.3333333333333333E-2</v>
      </c>
      <c r="N226" s="19">
        <v>3</v>
      </c>
      <c r="W226" s="19">
        <v>0</v>
      </c>
      <c r="X226" s="80">
        <v>0</v>
      </c>
      <c r="Y226" s="80">
        <v>3.3333333333333333E-2</v>
      </c>
      <c r="Z226" s="80">
        <v>35.966666666666669</v>
      </c>
      <c r="AA226" s="19">
        <v>12</v>
      </c>
      <c r="AC226" s="19">
        <v>570</v>
      </c>
      <c r="AF226" s="19">
        <v>16</v>
      </c>
    </row>
    <row r="227" spans="1:32" x14ac:dyDescent="0.25">
      <c r="A227" s="79">
        <v>46129</v>
      </c>
      <c r="B227" s="19" t="s">
        <v>47</v>
      </c>
      <c r="C227" s="19" t="s">
        <v>64</v>
      </c>
      <c r="D227" s="19">
        <v>494.70000000000005</v>
      </c>
      <c r="E227" s="19">
        <v>20</v>
      </c>
      <c r="F227" s="19">
        <v>2</v>
      </c>
      <c r="I227" s="19">
        <v>2</v>
      </c>
      <c r="K227" s="80">
        <v>3.3333333333333333E-2</v>
      </c>
      <c r="N227" s="19">
        <v>2</v>
      </c>
      <c r="W227" s="19">
        <v>0</v>
      </c>
      <c r="X227" s="80">
        <v>0</v>
      </c>
      <c r="Y227" s="80">
        <v>3.3333333333333333E-2</v>
      </c>
      <c r="Z227" s="80">
        <v>23.966666666666669</v>
      </c>
      <c r="AA227" s="19">
        <v>12</v>
      </c>
      <c r="AC227" s="19">
        <v>526.5</v>
      </c>
      <c r="AF227" s="19">
        <v>16</v>
      </c>
    </row>
    <row r="228" spans="1:32" x14ac:dyDescent="0.25">
      <c r="A228" s="79">
        <v>46130</v>
      </c>
      <c r="B228" s="19" t="s">
        <v>46</v>
      </c>
      <c r="C228" s="19" t="s">
        <v>156</v>
      </c>
      <c r="D228" s="19">
        <v>184.7</v>
      </c>
      <c r="I228" s="19">
        <v>0</v>
      </c>
      <c r="K228" s="80">
        <v>0</v>
      </c>
      <c r="N228" s="19">
        <v>2</v>
      </c>
      <c r="W228" s="19">
        <v>0</v>
      </c>
      <c r="X228" s="80">
        <v>0</v>
      </c>
      <c r="Y228" s="80">
        <v>0</v>
      </c>
      <c r="Z228" s="80">
        <v>24</v>
      </c>
      <c r="AA228" s="19">
        <v>12</v>
      </c>
      <c r="AC228" s="19">
        <v>198.5</v>
      </c>
      <c r="AF228" s="19">
        <v>16</v>
      </c>
    </row>
    <row r="229" spans="1:32" x14ac:dyDescent="0.25">
      <c r="A229" s="79">
        <v>46130</v>
      </c>
      <c r="B229" s="19" t="s">
        <v>46</v>
      </c>
      <c r="C229" s="19" t="s">
        <v>65</v>
      </c>
      <c r="D229" s="19">
        <v>109</v>
      </c>
      <c r="E229" s="19">
        <v>32</v>
      </c>
      <c r="F229" s="19">
        <v>10</v>
      </c>
      <c r="I229" s="19">
        <v>10</v>
      </c>
      <c r="K229" s="80">
        <v>0.16666666666666666</v>
      </c>
      <c r="N229" s="19">
        <v>1</v>
      </c>
      <c r="W229" s="19">
        <v>0</v>
      </c>
      <c r="X229" s="80">
        <v>0</v>
      </c>
      <c r="Y229" s="80">
        <v>0.16666666666666666</v>
      </c>
      <c r="Z229" s="80">
        <v>11.833333333333334</v>
      </c>
      <c r="AA229" s="19">
        <v>12</v>
      </c>
      <c r="AC229" s="19">
        <v>116</v>
      </c>
      <c r="AF229" s="19">
        <v>16</v>
      </c>
    </row>
    <row r="230" spans="1:32" x14ac:dyDescent="0.25">
      <c r="A230" s="79">
        <v>46130</v>
      </c>
      <c r="B230" s="19" t="s">
        <v>46</v>
      </c>
      <c r="C230" s="19" t="s">
        <v>150</v>
      </c>
      <c r="D230" s="19">
        <v>380.7</v>
      </c>
      <c r="I230" s="19">
        <v>0</v>
      </c>
      <c r="K230" s="80">
        <v>0</v>
      </c>
      <c r="N230" s="19">
        <v>3</v>
      </c>
      <c r="R230" s="19">
        <v>5</v>
      </c>
      <c r="W230" s="19">
        <v>5</v>
      </c>
      <c r="X230" s="80">
        <v>8.3333333333333329E-2</v>
      </c>
      <c r="Y230" s="80">
        <v>8.3333333333333329E-2</v>
      </c>
      <c r="Z230" s="80">
        <v>35.916666666666664</v>
      </c>
      <c r="AA230" s="19">
        <v>12</v>
      </c>
      <c r="AC230" s="19">
        <v>404.5</v>
      </c>
      <c r="AF230" s="19">
        <v>16</v>
      </c>
    </row>
    <row r="231" spans="1:32" x14ac:dyDescent="0.25">
      <c r="A231" s="79">
        <v>46130</v>
      </c>
      <c r="B231" s="19" t="s">
        <v>46</v>
      </c>
      <c r="C231" s="19" t="s">
        <v>183</v>
      </c>
      <c r="D231" s="19">
        <v>257.7</v>
      </c>
      <c r="F231" s="19">
        <v>2</v>
      </c>
      <c r="I231" s="19">
        <v>2</v>
      </c>
      <c r="K231" s="80">
        <v>3.3333333333333333E-2</v>
      </c>
      <c r="N231" s="19">
        <v>2</v>
      </c>
      <c r="W231" s="19">
        <v>0</v>
      </c>
      <c r="X231" s="80">
        <v>0</v>
      </c>
      <c r="Y231" s="80">
        <v>3.3333333333333333E-2</v>
      </c>
      <c r="Z231" s="80">
        <v>23.966666666666669</v>
      </c>
      <c r="AA231" s="19">
        <v>12</v>
      </c>
      <c r="AC231" s="19">
        <v>274.5</v>
      </c>
      <c r="AF231" s="19">
        <v>16</v>
      </c>
    </row>
    <row r="232" spans="1:32" x14ac:dyDescent="0.25">
      <c r="A232" s="79">
        <v>46130</v>
      </c>
      <c r="B232" s="19" t="s">
        <v>46</v>
      </c>
      <c r="C232" s="19" t="s">
        <v>184</v>
      </c>
      <c r="D232" s="19">
        <v>521.30000000000007</v>
      </c>
      <c r="I232" s="19">
        <v>0</v>
      </c>
      <c r="K232" s="80">
        <v>0</v>
      </c>
      <c r="N232" s="19">
        <v>1</v>
      </c>
      <c r="W232" s="19">
        <v>0</v>
      </c>
      <c r="X232" s="80">
        <v>0</v>
      </c>
      <c r="Y232" s="80">
        <v>0</v>
      </c>
      <c r="Z232" s="80">
        <v>12</v>
      </c>
      <c r="AA232" s="19">
        <v>12</v>
      </c>
      <c r="AC232" s="19">
        <v>535.1</v>
      </c>
      <c r="AF232" s="19">
        <v>16</v>
      </c>
    </row>
    <row r="233" spans="1:32" x14ac:dyDescent="0.25">
      <c r="A233" s="79">
        <v>46130</v>
      </c>
      <c r="B233" s="19" t="s">
        <v>46</v>
      </c>
      <c r="C233" s="19" t="s">
        <v>191</v>
      </c>
      <c r="D233" s="19">
        <v>639.20000000000005</v>
      </c>
      <c r="I233" s="19">
        <v>0</v>
      </c>
      <c r="K233" s="80">
        <v>0</v>
      </c>
      <c r="N233" s="19">
        <v>4</v>
      </c>
      <c r="W233" s="19">
        <v>0</v>
      </c>
      <c r="X233" s="80">
        <v>0</v>
      </c>
      <c r="Y233" s="80">
        <v>0</v>
      </c>
      <c r="Z233" s="80">
        <v>48</v>
      </c>
      <c r="AA233" s="19">
        <v>12</v>
      </c>
      <c r="AC233" s="19">
        <v>677</v>
      </c>
      <c r="AF233" s="19">
        <v>16</v>
      </c>
    </row>
    <row r="234" spans="1:32" x14ac:dyDescent="0.25">
      <c r="A234" s="79">
        <v>46130</v>
      </c>
      <c r="B234" s="19" t="s">
        <v>46</v>
      </c>
      <c r="C234" s="19" t="s">
        <v>64</v>
      </c>
      <c r="D234" s="19">
        <v>434.7</v>
      </c>
      <c r="E234" s="19">
        <v>8</v>
      </c>
      <c r="F234" s="19">
        <v>15</v>
      </c>
      <c r="I234" s="19">
        <v>15</v>
      </c>
      <c r="K234" s="80">
        <v>0.25</v>
      </c>
      <c r="N234" s="19">
        <v>2</v>
      </c>
      <c r="W234" s="19">
        <v>0</v>
      </c>
      <c r="X234" s="80">
        <v>0</v>
      </c>
      <c r="Y234" s="80">
        <v>0.25</v>
      </c>
      <c r="Z234" s="80">
        <v>23.75</v>
      </c>
      <c r="AA234" s="19">
        <v>12</v>
      </c>
      <c r="AC234" s="19">
        <v>464.5</v>
      </c>
      <c r="AF234" s="19">
        <v>16</v>
      </c>
    </row>
    <row r="235" spans="1:32" x14ac:dyDescent="0.25">
      <c r="A235" s="79">
        <v>46130</v>
      </c>
      <c r="B235" s="19" t="s">
        <v>47</v>
      </c>
      <c r="C235" s="19" t="s">
        <v>156</v>
      </c>
      <c r="D235" s="19">
        <v>95.6</v>
      </c>
      <c r="I235" s="19">
        <v>0</v>
      </c>
      <c r="K235" s="80">
        <v>0</v>
      </c>
      <c r="N235" s="19">
        <v>1</v>
      </c>
      <c r="W235" s="19">
        <v>0</v>
      </c>
      <c r="X235" s="80">
        <v>0</v>
      </c>
      <c r="Y235" s="80">
        <v>0</v>
      </c>
      <c r="Z235" s="80">
        <v>12</v>
      </c>
      <c r="AA235" s="19">
        <v>12</v>
      </c>
      <c r="AC235" s="19">
        <v>103</v>
      </c>
      <c r="AF235" s="19">
        <v>16</v>
      </c>
    </row>
    <row r="236" spans="1:32" x14ac:dyDescent="0.25">
      <c r="A236" s="79">
        <v>46130</v>
      </c>
      <c r="B236" s="19" t="s">
        <v>47</v>
      </c>
      <c r="C236" s="19" t="s">
        <v>65</v>
      </c>
      <c r="D236" s="19">
        <v>119.7</v>
      </c>
      <c r="I236" s="19">
        <v>0</v>
      </c>
      <c r="K236" s="80">
        <v>0</v>
      </c>
      <c r="N236" s="19">
        <v>1</v>
      </c>
      <c r="W236" s="19">
        <v>0</v>
      </c>
      <c r="X236" s="80">
        <v>0</v>
      </c>
      <c r="Y236" s="80">
        <v>0</v>
      </c>
      <c r="Z236" s="80">
        <v>12</v>
      </c>
      <c r="AA236" s="19">
        <v>12</v>
      </c>
      <c r="AC236" s="19">
        <v>126.5</v>
      </c>
      <c r="AF236" s="19">
        <v>16</v>
      </c>
    </row>
    <row r="237" spans="1:32" x14ac:dyDescent="0.25">
      <c r="A237" s="79">
        <v>46130</v>
      </c>
      <c r="B237" s="19" t="s">
        <v>47</v>
      </c>
      <c r="C237" s="19" t="s">
        <v>150</v>
      </c>
      <c r="D237" s="19">
        <v>277</v>
      </c>
      <c r="E237" s="19">
        <v>80</v>
      </c>
      <c r="F237" s="19">
        <v>10</v>
      </c>
      <c r="I237" s="19">
        <v>10</v>
      </c>
      <c r="K237" s="80">
        <v>0.16666666666666666</v>
      </c>
      <c r="N237" s="19">
        <v>2</v>
      </c>
      <c r="W237" s="19">
        <v>0</v>
      </c>
      <c r="X237" s="80">
        <v>0</v>
      </c>
      <c r="Y237" s="80">
        <v>0.16666666666666666</v>
      </c>
      <c r="Z237" s="80">
        <v>23.833333333333332</v>
      </c>
      <c r="AA237" s="19">
        <v>12</v>
      </c>
      <c r="AC237" s="19">
        <v>292.5</v>
      </c>
      <c r="AF237" s="19">
        <v>16</v>
      </c>
    </row>
    <row r="238" spans="1:32" x14ac:dyDescent="0.25">
      <c r="A238" s="79">
        <v>46130</v>
      </c>
      <c r="B238" s="19" t="s">
        <v>47</v>
      </c>
      <c r="C238" s="19" t="s">
        <v>183</v>
      </c>
      <c r="D238" s="19">
        <v>227.9</v>
      </c>
      <c r="F238" s="19">
        <v>2</v>
      </c>
      <c r="I238" s="19">
        <v>2</v>
      </c>
      <c r="K238" s="80">
        <v>3.3333333333333333E-2</v>
      </c>
      <c r="N238" s="19">
        <v>2</v>
      </c>
      <c r="W238" s="19">
        <v>0</v>
      </c>
      <c r="X238" s="80">
        <v>0</v>
      </c>
      <c r="Y238" s="80">
        <v>3.3333333333333333E-2</v>
      </c>
      <c r="Z238" s="80">
        <v>23.966666666666669</v>
      </c>
      <c r="AA238" s="19">
        <v>12</v>
      </c>
      <c r="AC238" s="19">
        <v>248.5</v>
      </c>
      <c r="AF238" s="19">
        <v>16</v>
      </c>
    </row>
    <row r="239" spans="1:32" x14ac:dyDescent="0.25">
      <c r="A239" s="79">
        <v>46130</v>
      </c>
      <c r="B239" s="19" t="s">
        <v>47</v>
      </c>
      <c r="C239" s="19" t="s">
        <v>184</v>
      </c>
      <c r="D239" s="19">
        <v>508.7</v>
      </c>
      <c r="I239" s="19">
        <v>0</v>
      </c>
      <c r="K239" s="80">
        <v>0</v>
      </c>
      <c r="N239" s="19">
        <v>1</v>
      </c>
      <c r="W239" s="19">
        <v>0</v>
      </c>
      <c r="X239" s="80">
        <v>0</v>
      </c>
      <c r="Y239" s="80">
        <v>0</v>
      </c>
      <c r="Z239" s="80">
        <v>12</v>
      </c>
      <c r="AA239" s="19">
        <v>12</v>
      </c>
      <c r="AC239" s="19">
        <v>522.5</v>
      </c>
      <c r="AF239" s="19">
        <v>16</v>
      </c>
    </row>
    <row r="240" spans="1:32" x14ac:dyDescent="0.25">
      <c r="A240" s="79">
        <v>46130</v>
      </c>
      <c r="B240" s="19" t="s">
        <v>47</v>
      </c>
      <c r="C240" s="19" t="s">
        <v>191</v>
      </c>
      <c r="D240" s="19">
        <v>479</v>
      </c>
      <c r="I240" s="19">
        <v>0</v>
      </c>
      <c r="K240" s="80">
        <v>0</v>
      </c>
      <c r="N240" s="19">
        <v>1</v>
      </c>
      <c r="W240" s="19">
        <v>0</v>
      </c>
      <c r="X240" s="80">
        <v>0</v>
      </c>
      <c r="Y240" s="80">
        <v>0</v>
      </c>
      <c r="Z240" s="80">
        <v>12</v>
      </c>
      <c r="AA240" s="19">
        <v>12</v>
      </c>
      <c r="AC240" s="19">
        <v>494</v>
      </c>
      <c r="AF240" s="19">
        <v>16</v>
      </c>
    </row>
    <row r="241" spans="1:32" x14ac:dyDescent="0.25">
      <c r="A241" s="79">
        <v>46130</v>
      </c>
      <c r="B241" s="19" t="s">
        <v>47</v>
      </c>
      <c r="C241" s="19" t="s">
        <v>64</v>
      </c>
      <c r="D241" s="19">
        <v>446.6</v>
      </c>
      <c r="E241" s="19">
        <v>20</v>
      </c>
      <c r="F241" s="19">
        <v>5</v>
      </c>
      <c r="I241" s="19">
        <v>5</v>
      </c>
      <c r="K241" s="80">
        <v>8.3333333333333329E-2</v>
      </c>
      <c r="N241" s="19">
        <v>4</v>
      </c>
      <c r="W241" s="19">
        <v>0</v>
      </c>
      <c r="X241" s="80">
        <v>0</v>
      </c>
      <c r="Y241" s="80">
        <v>8.3333333333333329E-2</v>
      </c>
      <c r="Z241" s="80">
        <v>47.916666666666664</v>
      </c>
      <c r="AA241" s="19">
        <v>12</v>
      </c>
      <c r="AC241" s="19">
        <v>486</v>
      </c>
      <c r="AF241" s="19">
        <v>16</v>
      </c>
    </row>
    <row r="242" spans="1:32" x14ac:dyDescent="0.25">
      <c r="A242" s="79">
        <v>46131</v>
      </c>
      <c r="B242" s="19" t="s">
        <v>46</v>
      </c>
      <c r="C242" s="19" t="s">
        <v>65</v>
      </c>
      <c r="D242" s="19">
        <v>124.2</v>
      </c>
      <c r="I242" s="19">
        <v>0</v>
      </c>
      <c r="K242" s="80">
        <v>0</v>
      </c>
      <c r="N242" s="19">
        <v>1</v>
      </c>
      <c r="W242" s="19">
        <v>0</v>
      </c>
      <c r="X242" s="80">
        <v>0</v>
      </c>
      <c r="Y242" s="80">
        <v>0</v>
      </c>
      <c r="Z242" s="80">
        <v>12</v>
      </c>
      <c r="AA242" s="19">
        <v>12</v>
      </c>
      <c r="AC242" s="19">
        <v>131</v>
      </c>
      <c r="AF242" s="19">
        <v>16</v>
      </c>
    </row>
    <row r="243" spans="1:32" x14ac:dyDescent="0.25">
      <c r="A243" s="79">
        <v>46131</v>
      </c>
      <c r="B243" s="19" t="s">
        <v>46</v>
      </c>
      <c r="C243" s="19" t="s">
        <v>150</v>
      </c>
      <c r="D243" s="19">
        <v>374</v>
      </c>
      <c r="E243" s="19">
        <v>4</v>
      </c>
      <c r="I243" s="19">
        <v>0</v>
      </c>
      <c r="K243" s="80">
        <v>0</v>
      </c>
      <c r="N243" s="19">
        <v>2</v>
      </c>
      <c r="W243" s="19">
        <v>0</v>
      </c>
      <c r="X243" s="80">
        <v>0</v>
      </c>
      <c r="Y243" s="80">
        <v>0</v>
      </c>
      <c r="Z243" s="80">
        <v>24</v>
      </c>
      <c r="AA243" s="19">
        <v>12</v>
      </c>
      <c r="AC243" s="19">
        <v>392</v>
      </c>
      <c r="AF243" s="19">
        <v>16</v>
      </c>
    </row>
    <row r="244" spans="1:32" x14ac:dyDescent="0.25">
      <c r="A244" s="79">
        <v>46131</v>
      </c>
      <c r="B244" s="19" t="s">
        <v>46</v>
      </c>
      <c r="C244" s="19" t="s">
        <v>184</v>
      </c>
      <c r="D244" s="19">
        <v>484.79999999999995</v>
      </c>
      <c r="I244" s="19">
        <v>0</v>
      </c>
      <c r="K244" s="80">
        <v>0</v>
      </c>
      <c r="N244" s="19">
        <v>2</v>
      </c>
      <c r="W244" s="19">
        <v>0</v>
      </c>
      <c r="X244" s="80">
        <v>0</v>
      </c>
      <c r="Y244" s="80">
        <v>0</v>
      </c>
      <c r="Z244" s="80">
        <v>24</v>
      </c>
      <c r="AA244" s="19">
        <v>12</v>
      </c>
      <c r="AC244" s="19">
        <v>504</v>
      </c>
      <c r="AF244" s="19">
        <v>16</v>
      </c>
    </row>
    <row r="245" spans="1:32" x14ac:dyDescent="0.25">
      <c r="A245" s="79">
        <v>46131</v>
      </c>
      <c r="B245" s="19" t="s">
        <v>46</v>
      </c>
      <c r="C245" s="19" t="s">
        <v>64</v>
      </c>
      <c r="D245" s="19">
        <v>312.2</v>
      </c>
      <c r="I245" s="19">
        <v>0</v>
      </c>
      <c r="K245" s="80">
        <v>0</v>
      </c>
      <c r="N245" s="19">
        <v>1</v>
      </c>
      <c r="W245" s="19">
        <v>0</v>
      </c>
      <c r="X245" s="80">
        <v>0</v>
      </c>
      <c r="Y245" s="80">
        <v>0</v>
      </c>
      <c r="Z245" s="80">
        <v>12</v>
      </c>
      <c r="AA245" s="19">
        <v>12</v>
      </c>
      <c r="AC245" s="19">
        <v>329</v>
      </c>
      <c r="AF245" s="19">
        <v>16</v>
      </c>
    </row>
    <row r="246" spans="1:32" x14ac:dyDescent="0.25">
      <c r="A246" s="79">
        <v>46131</v>
      </c>
      <c r="B246" s="19" t="s">
        <v>47</v>
      </c>
      <c r="C246" s="19" t="s">
        <v>65</v>
      </c>
      <c r="D246" s="19">
        <v>118.2</v>
      </c>
      <c r="I246" s="19">
        <v>0</v>
      </c>
      <c r="K246" s="80">
        <v>0</v>
      </c>
      <c r="N246" s="19">
        <v>1</v>
      </c>
      <c r="W246" s="19">
        <v>0</v>
      </c>
      <c r="X246" s="80">
        <v>0</v>
      </c>
      <c r="Y246" s="80">
        <v>0</v>
      </c>
      <c r="Z246" s="80">
        <v>12</v>
      </c>
      <c r="AA246" s="19">
        <v>12</v>
      </c>
      <c r="AC246" s="19">
        <v>125</v>
      </c>
      <c r="AF246" s="19">
        <v>16</v>
      </c>
    </row>
    <row r="247" spans="1:32" x14ac:dyDescent="0.25">
      <c r="A247" s="79">
        <v>46131</v>
      </c>
      <c r="B247" s="19" t="s">
        <v>47</v>
      </c>
      <c r="C247" s="19" t="s">
        <v>150</v>
      </c>
      <c r="D247" s="19">
        <v>335.4</v>
      </c>
      <c r="E247" s="19">
        <v>5</v>
      </c>
      <c r="F247" s="19">
        <v>10</v>
      </c>
      <c r="I247" s="19">
        <v>10</v>
      </c>
      <c r="K247" s="80">
        <v>0.16666666666666669</v>
      </c>
      <c r="N247" s="19">
        <v>3</v>
      </c>
      <c r="W247" s="19">
        <v>0</v>
      </c>
      <c r="X247" s="80">
        <v>0</v>
      </c>
      <c r="Y247" s="80">
        <v>0.16666666666666669</v>
      </c>
      <c r="Z247" s="80">
        <v>35.833333333333329</v>
      </c>
      <c r="AA247" s="19">
        <v>12</v>
      </c>
      <c r="AC247" s="19">
        <v>356.5</v>
      </c>
      <c r="AF247" s="19">
        <v>16</v>
      </c>
    </row>
    <row r="248" spans="1:32" x14ac:dyDescent="0.25">
      <c r="A248" s="79">
        <v>46131</v>
      </c>
      <c r="B248" s="19" t="s">
        <v>47</v>
      </c>
      <c r="C248" s="19" t="s">
        <v>184</v>
      </c>
      <c r="D248" s="19">
        <v>522</v>
      </c>
      <c r="I248" s="19">
        <v>0</v>
      </c>
      <c r="K248" s="80">
        <v>0</v>
      </c>
      <c r="N248" s="19">
        <v>1</v>
      </c>
      <c r="W248" s="19">
        <v>0</v>
      </c>
      <c r="X248" s="80">
        <v>0</v>
      </c>
      <c r="Y248" s="80">
        <v>0</v>
      </c>
      <c r="Z248" s="80">
        <v>12</v>
      </c>
      <c r="AA248" s="19">
        <v>12</v>
      </c>
      <c r="AC248" s="19">
        <v>535</v>
      </c>
      <c r="AF248" s="19">
        <v>16</v>
      </c>
    </row>
    <row r="249" spans="1:32" x14ac:dyDescent="0.25">
      <c r="A249" s="79">
        <v>46131</v>
      </c>
      <c r="B249" s="19" t="s">
        <v>47</v>
      </c>
      <c r="C249" s="19" t="s">
        <v>64</v>
      </c>
      <c r="D249" s="19">
        <v>351.1</v>
      </c>
      <c r="I249" s="19">
        <v>0</v>
      </c>
      <c r="K249" s="80">
        <v>0</v>
      </c>
      <c r="N249" s="19">
        <v>2</v>
      </c>
      <c r="W249" s="19">
        <v>0</v>
      </c>
      <c r="X249" s="80">
        <v>0</v>
      </c>
      <c r="Y249" s="80">
        <v>0</v>
      </c>
      <c r="Z249" s="80">
        <v>24</v>
      </c>
      <c r="AA249" s="19">
        <v>12</v>
      </c>
      <c r="AC249" s="19">
        <v>379.5</v>
      </c>
      <c r="AF249" s="19">
        <v>16</v>
      </c>
    </row>
    <row r="250" spans="1:32" x14ac:dyDescent="0.25">
      <c r="A250" s="79">
        <v>46132</v>
      </c>
      <c r="B250" s="19" t="s">
        <v>46</v>
      </c>
      <c r="C250" s="19" t="s">
        <v>156</v>
      </c>
      <c r="D250" s="19">
        <v>165.6</v>
      </c>
      <c r="E250" s="19">
        <v>1</v>
      </c>
      <c r="F250" s="19">
        <v>3</v>
      </c>
      <c r="I250" s="19">
        <v>3</v>
      </c>
      <c r="K250" s="80">
        <v>0.05</v>
      </c>
      <c r="N250" s="19">
        <v>2</v>
      </c>
      <c r="W250" s="19">
        <v>0</v>
      </c>
      <c r="X250" s="80">
        <v>0</v>
      </c>
      <c r="Y250" s="80">
        <v>0.05</v>
      </c>
      <c r="Z250" s="80">
        <v>23.95</v>
      </c>
      <c r="AA250" s="19">
        <v>12</v>
      </c>
      <c r="AC250" s="19">
        <v>179.5</v>
      </c>
      <c r="AF250" s="19">
        <v>17</v>
      </c>
    </row>
    <row r="251" spans="1:32" x14ac:dyDescent="0.25">
      <c r="A251" s="79">
        <v>46132</v>
      </c>
      <c r="B251" s="19" t="s">
        <v>46</v>
      </c>
      <c r="C251" s="19" t="s">
        <v>150</v>
      </c>
      <c r="D251" s="19">
        <v>376.6</v>
      </c>
      <c r="E251" s="19">
        <v>13</v>
      </c>
      <c r="F251" s="19">
        <v>55</v>
      </c>
      <c r="I251" s="19">
        <v>55</v>
      </c>
      <c r="K251" s="80">
        <v>0.91666666666666663</v>
      </c>
      <c r="N251" s="19">
        <v>2</v>
      </c>
      <c r="W251" s="19">
        <v>0</v>
      </c>
      <c r="X251" s="80">
        <v>0</v>
      </c>
      <c r="Y251" s="80">
        <v>0.91666666666666663</v>
      </c>
      <c r="Z251" s="80">
        <v>23.083333333333336</v>
      </c>
      <c r="AA251" s="19">
        <v>12</v>
      </c>
      <c r="AC251" s="19">
        <v>395</v>
      </c>
      <c r="AF251" s="19">
        <v>17</v>
      </c>
    </row>
    <row r="252" spans="1:32" x14ac:dyDescent="0.25">
      <c r="A252" s="79">
        <v>46132</v>
      </c>
      <c r="B252" s="19" t="s">
        <v>46</v>
      </c>
      <c r="C252" s="19" t="s">
        <v>184</v>
      </c>
      <c r="D252" s="19">
        <v>554</v>
      </c>
      <c r="I252" s="19">
        <v>0</v>
      </c>
      <c r="K252" s="80">
        <v>0</v>
      </c>
      <c r="N252" s="19">
        <v>1</v>
      </c>
      <c r="W252" s="19">
        <v>0</v>
      </c>
      <c r="X252" s="80">
        <v>0</v>
      </c>
      <c r="Y252" s="80">
        <v>0</v>
      </c>
      <c r="Z252" s="80">
        <v>12</v>
      </c>
      <c r="AA252" s="19">
        <v>12</v>
      </c>
      <c r="AC252" s="19">
        <v>570</v>
      </c>
      <c r="AF252" s="19">
        <v>17</v>
      </c>
    </row>
    <row r="253" spans="1:32" x14ac:dyDescent="0.25">
      <c r="A253" s="79">
        <v>46132</v>
      </c>
      <c r="B253" s="19" t="s">
        <v>46</v>
      </c>
      <c r="C253" s="19" t="s">
        <v>64</v>
      </c>
      <c r="D253" s="19">
        <v>343.4</v>
      </c>
      <c r="I253" s="19">
        <v>0</v>
      </c>
      <c r="K253" s="80">
        <v>0</v>
      </c>
      <c r="N253" s="19">
        <v>1</v>
      </c>
      <c r="W253" s="19">
        <v>0</v>
      </c>
      <c r="X253" s="80">
        <v>0</v>
      </c>
      <c r="Y253" s="80">
        <v>0</v>
      </c>
      <c r="Z253" s="80">
        <v>12</v>
      </c>
      <c r="AA253" s="19">
        <v>12</v>
      </c>
      <c r="AC253" s="19">
        <v>359.5</v>
      </c>
      <c r="AF253" s="19">
        <v>17</v>
      </c>
    </row>
    <row r="254" spans="1:32" x14ac:dyDescent="0.25">
      <c r="A254" s="79">
        <v>46132</v>
      </c>
      <c r="B254" s="19" t="s">
        <v>47</v>
      </c>
      <c r="C254" s="19" t="s">
        <v>156</v>
      </c>
      <c r="D254" s="19">
        <v>157.30000000000001</v>
      </c>
      <c r="E254" s="19">
        <v>1.5</v>
      </c>
      <c r="F254" s="19">
        <v>3</v>
      </c>
      <c r="I254" s="19">
        <v>3</v>
      </c>
      <c r="K254" s="80">
        <v>0.05</v>
      </c>
      <c r="N254" s="19">
        <v>2</v>
      </c>
      <c r="W254" s="19">
        <v>0</v>
      </c>
      <c r="X254" s="80">
        <v>0</v>
      </c>
      <c r="Y254" s="80">
        <v>0.05</v>
      </c>
      <c r="Z254" s="80">
        <v>23.95</v>
      </c>
      <c r="AA254" s="19">
        <v>12</v>
      </c>
      <c r="AC254" s="19">
        <v>170.5</v>
      </c>
      <c r="AF254" s="19">
        <v>17</v>
      </c>
    </row>
    <row r="255" spans="1:32" x14ac:dyDescent="0.25">
      <c r="A255" s="79">
        <v>46132</v>
      </c>
      <c r="B255" s="19" t="s">
        <v>47</v>
      </c>
      <c r="C255" s="19" t="s">
        <v>150</v>
      </c>
      <c r="D255" s="19">
        <v>379.2</v>
      </c>
      <c r="E255" s="19">
        <v>25</v>
      </c>
      <c r="F255" s="19">
        <v>42</v>
      </c>
      <c r="I255" s="19">
        <v>42</v>
      </c>
      <c r="K255" s="80">
        <v>0.7</v>
      </c>
      <c r="N255" s="19">
        <v>3</v>
      </c>
      <c r="W255" s="19">
        <v>0</v>
      </c>
      <c r="X255" s="80">
        <v>0</v>
      </c>
      <c r="Y255" s="80">
        <v>0.7</v>
      </c>
      <c r="Z255" s="80">
        <v>35.299999999999997</v>
      </c>
      <c r="AA255" s="19">
        <v>12</v>
      </c>
      <c r="AC255" s="19">
        <v>405.4</v>
      </c>
      <c r="AF255" s="19">
        <v>17</v>
      </c>
    </row>
    <row r="256" spans="1:32" x14ac:dyDescent="0.25">
      <c r="A256" s="79">
        <v>46132</v>
      </c>
      <c r="B256" s="19" t="s">
        <v>47</v>
      </c>
      <c r="C256" s="19" t="s">
        <v>184</v>
      </c>
      <c r="D256" s="19">
        <v>537.9</v>
      </c>
      <c r="I256" s="19">
        <v>0</v>
      </c>
      <c r="K256" s="80">
        <v>0</v>
      </c>
      <c r="N256" s="19">
        <v>1</v>
      </c>
      <c r="W256" s="19">
        <v>0</v>
      </c>
      <c r="X256" s="80">
        <v>0</v>
      </c>
      <c r="Y256" s="80">
        <v>0</v>
      </c>
      <c r="Z256" s="80">
        <v>12</v>
      </c>
      <c r="AA256" s="19">
        <v>12</v>
      </c>
      <c r="AC256" s="19">
        <v>552.5</v>
      </c>
      <c r="AF256" s="19">
        <v>17</v>
      </c>
    </row>
    <row r="257" spans="1:32" x14ac:dyDescent="0.25">
      <c r="A257" s="79">
        <v>46132</v>
      </c>
      <c r="B257" s="19" t="s">
        <v>47</v>
      </c>
      <c r="C257" s="19" t="s">
        <v>64</v>
      </c>
      <c r="D257" s="19">
        <v>350.7</v>
      </c>
      <c r="E257" s="19">
        <v>2.5</v>
      </c>
      <c r="F257" s="19">
        <v>4</v>
      </c>
      <c r="I257" s="19">
        <v>4</v>
      </c>
      <c r="K257" s="80">
        <v>6.6666666666666666E-2</v>
      </c>
      <c r="N257" s="19">
        <v>2</v>
      </c>
      <c r="W257" s="19">
        <v>0</v>
      </c>
      <c r="X257" s="80">
        <v>0</v>
      </c>
      <c r="Y257" s="80">
        <v>6.6666666666666666E-2</v>
      </c>
      <c r="Z257" s="80">
        <v>23.933333333333334</v>
      </c>
      <c r="AA257" s="19">
        <v>12</v>
      </c>
      <c r="AC257" s="19">
        <v>372</v>
      </c>
      <c r="AF257" s="19">
        <v>17</v>
      </c>
    </row>
    <row r="258" spans="1:32" x14ac:dyDescent="0.25">
      <c r="A258" s="79">
        <v>46133</v>
      </c>
      <c r="B258" s="19" t="s">
        <v>46</v>
      </c>
      <c r="C258" s="19" t="s">
        <v>65</v>
      </c>
      <c r="D258" s="19">
        <v>127.6</v>
      </c>
      <c r="E258" s="19">
        <v>2</v>
      </c>
      <c r="F258" s="19">
        <v>5</v>
      </c>
      <c r="I258" s="19">
        <v>5</v>
      </c>
      <c r="K258" s="80">
        <v>8.3333333333333329E-2</v>
      </c>
      <c r="N258" s="19">
        <v>2</v>
      </c>
      <c r="W258" s="19">
        <v>0</v>
      </c>
      <c r="X258" s="80">
        <v>0</v>
      </c>
      <c r="Y258" s="80">
        <v>8.3333333333333329E-2</v>
      </c>
      <c r="Z258" s="80">
        <v>23.916666666666664</v>
      </c>
      <c r="AA258" s="19">
        <v>12</v>
      </c>
      <c r="AC258" s="19">
        <v>140</v>
      </c>
      <c r="AF258" s="19">
        <v>17</v>
      </c>
    </row>
    <row r="259" spans="1:32" x14ac:dyDescent="0.25">
      <c r="A259" s="79">
        <v>46133</v>
      </c>
      <c r="B259" s="19" t="s">
        <v>46</v>
      </c>
      <c r="C259" s="19" t="s">
        <v>150</v>
      </c>
      <c r="D259" s="19">
        <v>241.45000000000002</v>
      </c>
      <c r="E259" s="19">
        <v>36</v>
      </c>
      <c r="I259" s="19">
        <v>0</v>
      </c>
      <c r="K259" s="80">
        <v>0</v>
      </c>
      <c r="N259" s="19">
        <v>3</v>
      </c>
      <c r="S259" s="19">
        <v>40</v>
      </c>
      <c r="V259" s="19">
        <v>30</v>
      </c>
      <c r="W259" s="19">
        <v>70</v>
      </c>
      <c r="X259" s="80">
        <v>1.1666666666666667</v>
      </c>
      <c r="Y259" s="80">
        <v>1.1666666666666667</v>
      </c>
      <c r="Z259" s="80">
        <v>34.833333333333336</v>
      </c>
      <c r="AA259" s="19">
        <v>12</v>
      </c>
      <c r="AC259" s="19">
        <v>263.5</v>
      </c>
      <c r="AF259" s="19">
        <v>17</v>
      </c>
    </row>
    <row r="260" spans="1:32" x14ac:dyDescent="0.25">
      <c r="A260" s="79">
        <v>46133</v>
      </c>
      <c r="B260" s="19" t="s">
        <v>46</v>
      </c>
      <c r="C260" s="19" t="s">
        <v>184</v>
      </c>
      <c r="D260" s="19">
        <v>477.4</v>
      </c>
      <c r="E260" s="19">
        <v>36</v>
      </c>
      <c r="I260" s="19">
        <v>0</v>
      </c>
      <c r="K260" s="80">
        <v>0</v>
      </c>
      <c r="N260" s="19">
        <v>5</v>
      </c>
      <c r="Q260" s="19">
        <v>60</v>
      </c>
      <c r="U260" s="19">
        <v>30</v>
      </c>
      <c r="W260" s="19">
        <v>90</v>
      </c>
      <c r="X260" s="80">
        <v>1.5</v>
      </c>
      <c r="Y260" s="80">
        <v>1.5</v>
      </c>
      <c r="Z260" s="80">
        <v>58.5</v>
      </c>
      <c r="AA260" s="19">
        <v>12</v>
      </c>
      <c r="AC260" s="19">
        <v>514</v>
      </c>
      <c r="AF260" s="19">
        <v>17</v>
      </c>
    </row>
    <row r="261" spans="1:32" x14ac:dyDescent="0.25">
      <c r="A261" s="79">
        <v>46133</v>
      </c>
      <c r="B261" s="19" t="s">
        <v>46</v>
      </c>
      <c r="C261" s="19" t="s">
        <v>64</v>
      </c>
      <c r="D261" s="19">
        <v>362.3</v>
      </c>
      <c r="E261" s="19">
        <v>4</v>
      </c>
      <c r="F261" s="19">
        <v>5</v>
      </c>
      <c r="I261" s="19">
        <v>5</v>
      </c>
      <c r="K261" s="80">
        <v>8.3333333333333329E-2</v>
      </c>
      <c r="N261" s="19">
        <v>1</v>
      </c>
      <c r="W261" s="19">
        <v>0</v>
      </c>
      <c r="X261" s="80">
        <v>0</v>
      </c>
      <c r="Y261" s="80">
        <v>8.3333333333333329E-2</v>
      </c>
      <c r="Z261" s="80">
        <v>11.916666666666666</v>
      </c>
      <c r="AA261" s="19">
        <v>12</v>
      </c>
      <c r="AC261" s="19">
        <v>380</v>
      </c>
      <c r="AF261" s="19">
        <v>17</v>
      </c>
    </row>
    <row r="262" spans="1:32" x14ac:dyDescent="0.25">
      <c r="A262" s="79">
        <v>46133</v>
      </c>
      <c r="B262" s="19" t="s">
        <v>47</v>
      </c>
      <c r="C262" s="19" t="s">
        <v>65</v>
      </c>
      <c r="D262" s="19">
        <v>150.1</v>
      </c>
      <c r="I262" s="19">
        <v>0</v>
      </c>
      <c r="K262" s="80">
        <v>0</v>
      </c>
      <c r="N262" s="19">
        <v>1</v>
      </c>
      <c r="W262" s="19">
        <v>0</v>
      </c>
      <c r="X262" s="80">
        <v>0</v>
      </c>
      <c r="Y262" s="80">
        <v>0</v>
      </c>
      <c r="Z262" s="80">
        <v>12</v>
      </c>
      <c r="AA262" s="19">
        <v>12</v>
      </c>
      <c r="AC262" s="19">
        <v>157.5</v>
      </c>
      <c r="AF262" s="19">
        <v>17</v>
      </c>
    </row>
    <row r="263" spans="1:32" x14ac:dyDescent="0.25">
      <c r="A263" s="79">
        <v>46133</v>
      </c>
      <c r="B263" s="19" t="s">
        <v>47</v>
      </c>
      <c r="C263" s="19" t="s">
        <v>184</v>
      </c>
      <c r="D263" s="19">
        <v>530.09999999999991</v>
      </c>
      <c r="I263" s="19">
        <v>0</v>
      </c>
      <c r="K263" s="80">
        <v>0</v>
      </c>
      <c r="N263" s="19">
        <v>1</v>
      </c>
      <c r="W263" s="19">
        <v>0</v>
      </c>
      <c r="X263" s="80">
        <v>0</v>
      </c>
      <c r="Y263" s="80">
        <v>0</v>
      </c>
      <c r="Z263" s="80">
        <v>12</v>
      </c>
      <c r="AA263" s="19">
        <v>12</v>
      </c>
      <c r="AC263" s="19">
        <v>545.09999999999991</v>
      </c>
      <c r="AF263" s="19">
        <v>17</v>
      </c>
    </row>
    <row r="264" spans="1:32" x14ac:dyDescent="0.25">
      <c r="A264" s="79">
        <v>46133</v>
      </c>
      <c r="B264" s="19" t="s">
        <v>47</v>
      </c>
      <c r="C264" s="19" t="s">
        <v>64</v>
      </c>
      <c r="D264" s="19">
        <v>334.1</v>
      </c>
      <c r="E264" s="19">
        <v>41</v>
      </c>
      <c r="I264" s="19">
        <v>0</v>
      </c>
      <c r="K264" s="80">
        <v>0</v>
      </c>
      <c r="N264" s="19">
        <v>2</v>
      </c>
      <c r="W264" s="19">
        <v>0</v>
      </c>
      <c r="X264" s="80">
        <v>0</v>
      </c>
      <c r="Y264" s="80">
        <v>0</v>
      </c>
      <c r="Z264" s="80">
        <v>24</v>
      </c>
      <c r="AA264" s="19">
        <v>12</v>
      </c>
      <c r="AC264" s="19">
        <v>351.5</v>
      </c>
      <c r="AF264" s="19">
        <v>17</v>
      </c>
    </row>
    <row r="265" spans="1:32" x14ac:dyDescent="0.25">
      <c r="A265" s="79">
        <v>46134</v>
      </c>
      <c r="B265" s="19" t="s">
        <v>46</v>
      </c>
      <c r="C265" s="19" t="s">
        <v>65</v>
      </c>
      <c r="D265" s="19">
        <v>129.69999999999999</v>
      </c>
      <c r="I265" s="19">
        <v>0</v>
      </c>
      <c r="K265" s="80">
        <v>0</v>
      </c>
      <c r="N265" s="19">
        <v>1</v>
      </c>
      <c r="W265" s="19">
        <v>0</v>
      </c>
      <c r="X265" s="80">
        <v>0</v>
      </c>
      <c r="Y265" s="80">
        <v>0</v>
      </c>
      <c r="Z265" s="80">
        <v>12</v>
      </c>
      <c r="AA265" s="19">
        <v>12</v>
      </c>
      <c r="AC265" s="19">
        <v>136.5</v>
      </c>
      <c r="AF265" s="19">
        <v>17</v>
      </c>
    </row>
    <row r="266" spans="1:32" x14ac:dyDescent="0.25">
      <c r="A266" s="79">
        <v>46134</v>
      </c>
      <c r="B266" s="19" t="s">
        <v>46</v>
      </c>
      <c r="C266" s="19" t="s">
        <v>184</v>
      </c>
      <c r="D266" s="19">
        <v>462.9</v>
      </c>
      <c r="E266" s="19">
        <v>40</v>
      </c>
      <c r="F266" s="19">
        <v>10</v>
      </c>
      <c r="I266" s="19">
        <v>10</v>
      </c>
      <c r="K266" s="80">
        <v>0.16666666666666666</v>
      </c>
      <c r="N266" s="19">
        <v>2</v>
      </c>
      <c r="S266" s="19">
        <v>30</v>
      </c>
      <c r="W266" s="19">
        <v>30</v>
      </c>
      <c r="X266" s="80">
        <v>0.5</v>
      </c>
      <c r="Y266" s="80">
        <v>0.66666666666666674</v>
      </c>
      <c r="Z266" s="80">
        <v>23.333333333333332</v>
      </c>
      <c r="AA266" s="19">
        <v>12</v>
      </c>
      <c r="AC266" s="19">
        <v>486.5</v>
      </c>
      <c r="AF266" s="19">
        <v>17</v>
      </c>
    </row>
    <row r="267" spans="1:32" x14ac:dyDescent="0.25">
      <c r="A267" s="79">
        <v>46134</v>
      </c>
      <c r="B267" s="19" t="s">
        <v>46</v>
      </c>
      <c r="C267" s="19" t="s">
        <v>64</v>
      </c>
      <c r="D267" s="19">
        <v>263.5</v>
      </c>
      <c r="E267" s="19">
        <v>10</v>
      </c>
      <c r="I267" s="19">
        <v>0</v>
      </c>
      <c r="K267" s="80">
        <v>0</v>
      </c>
      <c r="N267" s="19">
        <v>2</v>
      </c>
      <c r="W267" s="19">
        <v>0</v>
      </c>
      <c r="X267" s="80">
        <v>0</v>
      </c>
      <c r="Y267" s="80">
        <v>0</v>
      </c>
      <c r="Z267" s="80">
        <v>24</v>
      </c>
      <c r="AA267" s="19">
        <v>12</v>
      </c>
      <c r="AC267" s="19">
        <v>282</v>
      </c>
      <c r="AF267" s="19">
        <v>17</v>
      </c>
    </row>
    <row r="268" spans="1:32" x14ac:dyDescent="0.25">
      <c r="A268" s="79">
        <v>46134</v>
      </c>
      <c r="B268" s="19" t="s">
        <v>47</v>
      </c>
      <c r="C268" s="19" t="s">
        <v>65</v>
      </c>
      <c r="D268" s="19">
        <v>152.6</v>
      </c>
      <c r="E268" s="19">
        <v>4</v>
      </c>
      <c r="I268" s="19">
        <v>0</v>
      </c>
      <c r="K268" s="80">
        <v>0</v>
      </c>
      <c r="N268" s="19">
        <v>2</v>
      </c>
      <c r="W268" s="19">
        <v>0</v>
      </c>
      <c r="X268" s="80">
        <v>0</v>
      </c>
      <c r="Y268" s="80">
        <v>0</v>
      </c>
      <c r="Z268" s="80">
        <v>24</v>
      </c>
      <c r="AA268" s="19">
        <v>12</v>
      </c>
      <c r="AC268" s="19">
        <v>166.4</v>
      </c>
      <c r="AF268" s="19">
        <v>17</v>
      </c>
    </row>
    <row r="269" spans="1:32" x14ac:dyDescent="0.25">
      <c r="A269" s="79">
        <v>46134</v>
      </c>
      <c r="B269" s="19" t="s">
        <v>47</v>
      </c>
      <c r="C269" s="19" t="s">
        <v>150</v>
      </c>
      <c r="D269" s="19">
        <v>163.5</v>
      </c>
      <c r="E269" s="19">
        <v>20</v>
      </c>
      <c r="G269" s="19">
        <v>240</v>
      </c>
      <c r="I269" s="19">
        <v>240</v>
      </c>
      <c r="K269" s="80">
        <v>4</v>
      </c>
      <c r="N269" s="19">
        <v>1</v>
      </c>
      <c r="W269" s="19">
        <v>0</v>
      </c>
      <c r="X269" s="80">
        <v>0</v>
      </c>
      <c r="Y269" s="80">
        <v>4</v>
      </c>
      <c r="Z269" s="80">
        <v>8</v>
      </c>
      <c r="AA269" s="19">
        <v>12</v>
      </c>
      <c r="AC269" s="19">
        <v>173</v>
      </c>
      <c r="AF269" s="19">
        <v>17</v>
      </c>
    </row>
    <row r="270" spans="1:32" x14ac:dyDescent="0.25">
      <c r="A270" s="79">
        <v>46134</v>
      </c>
      <c r="B270" s="19" t="s">
        <v>47</v>
      </c>
      <c r="C270" s="19" t="s">
        <v>184</v>
      </c>
      <c r="D270" s="19">
        <v>423.2</v>
      </c>
      <c r="E270" s="19">
        <v>10</v>
      </c>
      <c r="F270" s="19">
        <v>5</v>
      </c>
      <c r="I270" s="19">
        <v>5</v>
      </c>
      <c r="K270" s="80">
        <v>8.3333333333333329E-2</v>
      </c>
      <c r="N270" s="19">
        <v>3</v>
      </c>
      <c r="W270" s="19">
        <v>0</v>
      </c>
      <c r="X270" s="80">
        <v>0</v>
      </c>
      <c r="Y270" s="80">
        <v>8.3333333333333329E-2</v>
      </c>
      <c r="Z270" s="80">
        <v>35.916666666666664</v>
      </c>
      <c r="AA270" s="19">
        <v>12</v>
      </c>
      <c r="AC270" s="19">
        <v>457.6</v>
      </c>
      <c r="AF270" s="19">
        <v>17</v>
      </c>
    </row>
    <row r="271" spans="1:32" x14ac:dyDescent="0.25">
      <c r="A271" s="79">
        <v>46134</v>
      </c>
      <c r="B271" s="19" t="s">
        <v>47</v>
      </c>
      <c r="C271" s="19" t="s">
        <v>64</v>
      </c>
      <c r="D271" s="19">
        <v>632.30000000000007</v>
      </c>
      <c r="E271" s="19">
        <v>30</v>
      </c>
      <c r="I271" s="19">
        <v>0</v>
      </c>
      <c r="K271" s="80">
        <v>0</v>
      </c>
      <c r="N271" s="19">
        <v>2</v>
      </c>
      <c r="W271" s="19">
        <v>0</v>
      </c>
      <c r="X271" s="80">
        <v>0</v>
      </c>
      <c r="Y271" s="80">
        <v>0</v>
      </c>
      <c r="Z271" s="80">
        <v>24</v>
      </c>
      <c r="AA271" s="19">
        <v>12</v>
      </c>
      <c r="AC271" s="19">
        <v>667</v>
      </c>
      <c r="AF271" s="19">
        <v>17</v>
      </c>
    </row>
    <row r="272" spans="1:32" x14ac:dyDescent="0.25">
      <c r="A272" s="79">
        <v>46135</v>
      </c>
      <c r="B272" s="19" t="s">
        <v>46</v>
      </c>
      <c r="C272" s="19" t="s">
        <v>65</v>
      </c>
      <c r="D272" s="19">
        <v>201.8</v>
      </c>
      <c r="I272" s="19">
        <v>0</v>
      </c>
      <c r="K272" s="80">
        <v>0</v>
      </c>
      <c r="N272" s="19">
        <v>1</v>
      </c>
      <c r="W272" s="19">
        <v>0</v>
      </c>
      <c r="X272" s="80">
        <v>0</v>
      </c>
      <c r="Y272" s="80">
        <v>0</v>
      </c>
      <c r="Z272" s="80">
        <v>12</v>
      </c>
      <c r="AA272" s="19">
        <v>12</v>
      </c>
      <c r="AC272" s="19">
        <v>212</v>
      </c>
      <c r="AF272" s="19">
        <v>17</v>
      </c>
    </row>
    <row r="273" spans="1:32" x14ac:dyDescent="0.25">
      <c r="A273" s="79">
        <v>46135</v>
      </c>
      <c r="B273" s="19" t="s">
        <v>46</v>
      </c>
      <c r="C273" s="19" t="s">
        <v>150</v>
      </c>
      <c r="D273" s="19">
        <v>278.60000000000002</v>
      </c>
      <c r="E273" s="19">
        <v>10</v>
      </c>
      <c r="F273" s="19">
        <v>45</v>
      </c>
      <c r="I273" s="19">
        <v>45</v>
      </c>
      <c r="K273" s="80">
        <v>0.74999999999999989</v>
      </c>
      <c r="N273" s="19">
        <v>5</v>
      </c>
      <c r="W273" s="19">
        <v>0</v>
      </c>
      <c r="X273" s="80">
        <v>0</v>
      </c>
      <c r="Y273" s="80">
        <v>0.74999999999999989</v>
      </c>
      <c r="Z273" s="80">
        <v>59.250000000000007</v>
      </c>
      <c r="AA273" s="19">
        <v>12</v>
      </c>
      <c r="AC273" s="19">
        <v>314.5</v>
      </c>
      <c r="AF273" s="19">
        <v>17</v>
      </c>
    </row>
    <row r="274" spans="1:32" x14ac:dyDescent="0.25">
      <c r="A274" s="79">
        <v>46135</v>
      </c>
      <c r="B274" s="19" t="s">
        <v>46</v>
      </c>
      <c r="C274" s="19" t="s">
        <v>184</v>
      </c>
      <c r="D274" s="19">
        <v>294.20000000000005</v>
      </c>
      <c r="E274" s="19">
        <v>30</v>
      </c>
      <c r="I274" s="19">
        <v>0</v>
      </c>
      <c r="K274" s="80">
        <v>0</v>
      </c>
      <c r="N274" s="19">
        <v>3</v>
      </c>
      <c r="W274" s="19">
        <v>0</v>
      </c>
      <c r="X274" s="80">
        <v>0</v>
      </c>
      <c r="Y274" s="80">
        <v>0</v>
      </c>
      <c r="Z274" s="80">
        <v>36</v>
      </c>
      <c r="AA274" s="19">
        <v>12</v>
      </c>
      <c r="AC274" s="19">
        <v>323.5</v>
      </c>
      <c r="AF274" s="19">
        <v>17</v>
      </c>
    </row>
    <row r="275" spans="1:32" x14ac:dyDescent="0.25">
      <c r="A275" s="79">
        <v>46135</v>
      </c>
      <c r="B275" s="19" t="s">
        <v>46</v>
      </c>
      <c r="C275" s="19" t="s">
        <v>64</v>
      </c>
      <c r="D275" s="19">
        <v>273.39999999999998</v>
      </c>
      <c r="I275" s="19">
        <v>0</v>
      </c>
      <c r="K275" s="80">
        <v>0</v>
      </c>
      <c r="N275" s="19">
        <v>3</v>
      </c>
      <c r="W275" s="19">
        <v>0</v>
      </c>
      <c r="X275" s="80">
        <v>0</v>
      </c>
      <c r="Y275" s="80">
        <v>0</v>
      </c>
      <c r="Z275" s="80">
        <v>36</v>
      </c>
      <c r="AA275" s="19">
        <v>12</v>
      </c>
      <c r="AC275" s="19">
        <v>301</v>
      </c>
      <c r="AF275" s="19">
        <v>17</v>
      </c>
    </row>
    <row r="276" spans="1:32" x14ac:dyDescent="0.25">
      <c r="A276" s="79">
        <v>46135</v>
      </c>
      <c r="B276" s="19" t="s">
        <v>47</v>
      </c>
      <c r="C276" s="19" t="s">
        <v>65</v>
      </c>
      <c r="D276" s="19">
        <v>119.2</v>
      </c>
      <c r="E276" s="19">
        <v>3</v>
      </c>
      <c r="F276" s="19">
        <v>3</v>
      </c>
      <c r="I276" s="19">
        <v>3</v>
      </c>
      <c r="K276" s="80">
        <v>0.05</v>
      </c>
      <c r="N276" s="19">
        <v>1</v>
      </c>
      <c r="W276" s="19">
        <v>0</v>
      </c>
      <c r="X276" s="80">
        <v>0</v>
      </c>
      <c r="Y276" s="80">
        <v>0.05</v>
      </c>
      <c r="Z276" s="80">
        <v>11.95</v>
      </c>
      <c r="AA276" s="19">
        <v>12</v>
      </c>
      <c r="AC276" s="19">
        <v>127</v>
      </c>
      <c r="AF276" s="19">
        <v>17</v>
      </c>
    </row>
    <row r="277" spans="1:32" x14ac:dyDescent="0.25">
      <c r="A277" s="79">
        <v>46135</v>
      </c>
      <c r="B277" s="19" t="s">
        <v>47</v>
      </c>
      <c r="C277" s="19" t="s">
        <v>150</v>
      </c>
      <c r="D277" s="19">
        <v>392.8</v>
      </c>
      <c r="E277" s="19">
        <v>16</v>
      </c>
      <c r="F277" s="19">
        <v>35</v>
      </c>
      <c r="I277" s="19">
        <v>35</v>
      </c>
      <c r="K277" s="80">
        <v>0.58333333333333326</v>
      </c>
      <c r="N277" s="19">
        <v>4</v>
      </c>
      <c r="W277" s="19">
        <v>0</v>
      </c>
      <c r="X277" s="80">
        <v>0</v>
      </c>
      <c r="Y277" s="80">
        <v>0.58333333333333326</v>
      </c>
      <c r="Z277" s="80">
        <v>47.416666666666671</v>
      </c>
      <c r="AA277" s="19">
        <v>12</v>
      </c>
      <c r="AC277" s="19">
        <v>425.5</v>
      </c>
      <c r="AF277" s="19">
        <v>17</v>
      </c>
    </row>
    <row r="278" spans="1:32" x14ac:dyDescent="0.25">
      <c r="A278" s="79">
        <v>46135</v>
      </c>
      <c r="B278" s="19" t="s">
        <v>47</v>
      </c>
      <c r="C278" s="19" t="s">
        <v>184</v>
      </c>
      <c r="D278" s="19">
        <v>646</v>
      </c>
      <c r="E278" s="19">
        <v>25</v>
      </c>
      <c r="I278" s="19">
        <v>0</v>
      </c>
      <c r="K278" s="80">
        <v>0</v>
      </c>
      <c r="N278" s="19">
        <v>1</v>
      </c>
      <c r="R278" s="19">
        <v>15</v>
      </c>
      <c r="U278" s="19">
        <v>40</v>
      </c>
      <c r="W278" s="19">
        <v>55</v>
      </c>
      <c r="X278" s="80">
        <v>0.91666666666666663</v>
      </c>
      <c r="Y278" s="80">
        <v>0.91666666666666663</v>
      </c>
      <c r="Z278" s="80">
        <v>11.083333333333334</v>
      </c>
      <c r="AA278" s="19">
        <v>12</v>
      </c>
      <c r="AC278" s="19">
        <v>661</v>
      </c>
      <c r="AF278" s="19">
        <v>17</v>
      </c>
    </row>
    <row r="279" spans="1:32" x14ac:dyDescent="0.25">
      <c r="A279" s="79">
        <v>46135</v>
      </c>
      <c r="B279" s="19" t="s">
        <v>47</v>
      </c>
      <c r="C279" s="19" t="s">
        <v>64</v>
      </c>
      <c r="D279" s="19">
        <v>456.09999999999997</v>
      </c>
      <c r="I279" s="19">
        <v>0</v>
      </c>
      <c r="K279" s="80">
        <v>0</v>
      </c>
      <c r="N279" s="19">
        <v>1</v>
      </c>
      <c r="W279" s="19">
        <v>0</v>
      </c>
      <c r="X279" s="80">
        <v>0</v>
      </c>
      <c r="Y279" s="80">
        <v>0</v>
      </c>
      <c r="Z279" s="80">
        <v>12</v>
      </c>
      <c r="AA279" s="19">
        <v>12</v>
      </c>
      <c r="AC279" s="19">
        <v>479.29999999999995</v>
      </c>
      <c r="AF279" s="19">
        <v>17</v>
      </c>
    </row>
    <row r="280" spans="1:32" x14ac:dyDescent="0.25">
      <c r="A280" s="79">
        <v>46136</v>
      </c>
      <c r="B280" s="19" t="s">
        <v>46</v>
      </c>
      <c r="C280" s="19" t="s">
        <v>65</v>
      </c>
      <c r="D280" s="19">
        <v>124.4</v>
      </c>
      <c r="I280" s="19">
        <v>0</v>
      </c>
      <c r="K280" s="80">
        <v>0</v>
      </c>
      <c r="N280" s="19">
        <v>1</v>
      </c>
      <c r="W280" s="19">
        <v>0</v>
      </c>
      <c r="X280" s="80">
        <v>0</v>
      </c>
      <c r="Y280" s="80">
        <v>0</v>
      </c>
      <c r="Z280" s="80">
        <v>12</v>
      </c>
      <c r="AA280" s="19">
        <v>12</v>
      </c>
      <c r="AC280" s="19">
        <v>130</v>
      </c>
      <c r="AF280" s="19">
        <v>17</v>
      </c>
    </row>
    <row r="281" spans="1:32" x14ac:dyDescent="0.25">
      <c r="A281" s="79">
        <v>46136</v>
      </c>
      <c r="B281" s="19" t="s">
        <v>46</v>
      </c>
      <c r="C281" s="19" t="s">
        <v>150</v>
      </c>
      <c r="D281" s="19">
        <v>362.5</v>
      </c>
      <c r="E281" s="19">
        <v>15</v>
      </c>
      <c r="F281" s="19">
        <v>5</v>
      </c>
      <c r="I281" s="19">
        <v>5</v>
      </c>
      <c r="K281" s="80">
        <v>8.3333333333333343E-2</v>
      </c>
      <c r="N281" s="19">
        <v>3</v>
      </c>
      <c r="W281" s="19">
        <v>0</v>
      </c>
      <c r="X281" s="80">
        <v>0</v>
      </c>
      <c r="Y281" s="80">
        <v>8.3333333333333343E-2</v>
      </c>
      <c r="Z281" s="80">
        <v>35.916666666666671</v>
      </c>
      <c r="AA281" s="19">
        <v>12</v>
      </c>
      <c r="AC281" s="19">
        <v>388</v>
      </c>
      <c r="AF281" s="19">
        <v>17</v>
      </c>
    </row>
    <row r="282" spans="1:32" x14ac:dyDescent="0.25">
      <c r="A282" s="79">
        <v>46136</v>
      </c>
      <c r="B282" s="19" t="s">
        <v>46</v>
      </c>
      <c r="C282" s="19" t="s">
        <v>184</v>
      </c>
      <c r="D282" s="19">
        <v>591</v>
      </c>
      <c r="I282" s="19">
        <v>0</v>
      </c>
      <c r="K282" s="80">
        <v>0</v>
      </c>
      <c r="N282" s="19">
        <v>2</v>
      </c>
      <c r="W282" s="19">
        <v>0</v>
      </c>
      <c r="X282" s="80">
        <v>0</v>
      </c>
      <c r="Y282" s="80">
        <v>0</v>
      </c>
      <c r="Z282" s="80">
        <v>24</v>
      </c>
      <c r="AA282" s="19">
        <v>12</v>
      </c>
      <c r="AC282" s="19">
        <v>610.5</v>
      </c>
      <c r="AF282" s="19">
        <v>17</v>
      </c>
    </row>
    <row r="283" spans="1:32" x14ac:dyDescent="0.25">
      <c r="A283" s="79">
        <v>46136</v>
      </c>
      <c r="B283" s="19" t="s">
        <v>46</v>
      </c>
      <c r="C283" s="19" t="s">
        <v>64</v>
      </c>
      <c r="D283" s="19">
        <v>305.3</v>
      </c>
      <c r="I283" s="19">
        <v>0</v>
      </c>
      <c r="K283" s="80">
        <v>0</v>
      </c>
      <c r="N283" s="19">
        <v>2</v>
      </c>
      <c r="W283" s="19">
        <v>0</v>
      </c>
      <c r="X283" s="80">
        <v>0</v>
      </c>
      <c r="Y283" s="80">
        <v>0</v>
      </c>
      <c r="Z283" s="80">
        <v>24</v>
      </c>
      <c r="AA283" s="19">
        <v>12</v>
      </c>
      <c r="AC283" s="19">
        <v>327.5</v>
      </c>
      <c r="AF283" s="19">
        <v>17</v>
      </c>
    </row>
    <row r="284" spans="1:32" x14ac:dyDescent="0.25">
      <c r="A284" s="79">
        <v>46136</v>
      </c>
      <c r="B284" s="19" t="s">
        <v>47</v>
      </c>
      <c r="C284" s="19" t="s">
        <v>156</v>
      </c>
      <c r="D284" s="19">
        <v>72.5</v>
      </c>
      <c r="I284" s="19">
        <v>0</v>
      </c>
      <c r="K284" s="80">
        <v>0</v>
      </c>
      <c r="N284" s="19">
        <v>1</v>
      </c>
      <c r="W284" s="19">
        <v>0</v>
      </c>
      <c r="X284" s="80">
        <v>0</v>
      </c>
      <c r="Y284" s="80">
        <v>0</v>
      </c>
      <c r="Z284" s="80">
        <v>12</v>
      </c>
      <c r="AA284" s="19">
        <v>12</v>
      </c>
      <c r="AC284" s="19">
        <v>79.5</v>
      </c>
      <c r="AF284" s="19">
        <v>17</v>
      </c>
    </row>
    <row r="285" spans="1:32" x14ac:dyDescent="0.25">
      <c r="A285" s="79">
        <v>46136</v>
      </c>
      <c r="B285" s="19" t="s">
        <v>47</v>
      </c>
      <c r="C285" s="19" t="s">
        <v>65</v>
      </c>
      <c r="D285" s="19">
        <v>137.1</v>
      </c>
      <c r="I285" s="19">
        <v>0</v>
      </c>
      <c r="K285" s="80">
        <v>0</v>
      </c>
      <c r="N285" s="19">
        <v>1</v>
      </c>
      <c r="W285" s="19">
        <v>0</v>
      </c>
      <c r="X285" s="80">
        <v>0</v>
      </c>
      <c r="Y285" s="80">
        <v>0</v>
      </c>
      <c r="Z285" s="80">
        <v>12</v>
      </c>
      <c r="AA285" s="19">
        <v>12</v>
      </c>
      <c r="AC285" s="19">
        <v>144.5</v>
      </c>
      <c r="AF285" s="19">
        <v>17</v>
      </c>
    </row>
    <row r="286" spans="1:32" x14ac:dyDescent="0.25">
      <c r="A286" s="79">
        <v>46136</v>
      </c>
      <c r="B286" s="19" t="s">
        <v>47</v>
      </c>
      <c r="C286" s="19" t="s">
        <v>150</v>
      </c>
      <c r="D286" s="19">
        <v>311.2</v>
      </c>
      <c r="E286" s="19">
        <v>6</v>
      </c>
      <c r="I286" s="19">
        <v>0</v>
      </c>
      <c r="K286" s="80">
        <v>0</v>
      </c>
      <c r="N286" s="19">
        <v>1</v>
      </c>
      <c r="W286" s="19">
        <v>0</v>
      </c>
      <c r="X286" s="80">
        <v>0</v>
      </c>
      <c r="Y286" s="80">
        <v>0</v>
      </c>
      <c r="Z286" s="80">
        <v>12</v>
      </c>
      <c r="AA286" s="19">
        <v>12</v>
      </c>
      <c r="AC286" s="19">
        <v>322.5</v>
      </c>
      <c r="AF286" s="19">
        <v>17</v>
      </c>
    </row>
    <row r="287" spans="1:32" x14ac:dyDescent="0.25">
      <c r="A287" s="79">
        <v>46136</v>
      </c>
      <c r="B287" s="19" t="s">
        <v>47</v>
      </c>
      <c r="C287" s="19" t="s">
        <v>183</v>
      </c>
      <c r="D287" s="19">
        <v>125</v>
      </c>
      <c r="E287" s="19">
        <v>6</v>
      </c>
      <c r="G287" s="19">
        <v>240</v>
      </c>
      <c r="I287" s="19">
        <v>240</v>
      </c>
      <c r="K287" s="80">
        <v>4</v>
      </c>
      <c r="N287" s="19">
        <v>1</v>
      </c>
      <c r="W287" s="19">
        <v>0</v>
      </c>
      <c r="X287" s="80">
        <v>0</v>
      </c>
      <c r="Y287" s="80">
        <v>4</v>
      </c>
      <c r="Z287" s="80">
        <v>8</v>
      </c>
      <c r="AA287" s="19">
        <v>12</v>
      </c>
      <c r="AC287" s="19">
        <v>134</v>
      </c>
      <c r="AF287" s="19">
        <v>17</v>
      </c>
    </row>
    <row r="288" spans="1:32" x14ac:dyDescent="0.25">
      <c r="A288" s="79">
        <v>46136</v>
      </c>
      <c r="B288" s="19" t="s">
        <v>47</v>
      </c>
      <c r="C288" s="19" t="s">
        <v>184</v>
      </c>
      <c r="D288" s="19">
        <v>722.5</v>
      </c>
      <c r="E288" s="19">
        <v>35</v>
      </c>
      <c r="F288" s="19">
        <v>6</v>
      </c>
      <c r="I288" s="19">
        <v>6</v>
      </c>
      <c r="K288" s="80">
        <v>0.1</v>
      </c>
      <c r="N288" s="19">
        <v>3</v>
      </c>
      <c r="W288" s="19">
        <v>0</v>
      </c>
      <c r="X288" s="80">
        <v>0</v>
      </c>
      <c r="Y288" s="80">
        <v>0.1</v>
      </c>
      <c r="Z288" s="80">
        <v>35.9</v>
      </c>
      <c r="AA288" s="19">
        <v>12</v>
      </c>
      <c r="AC288" s="19">
        <v>750.5</v>
      </c>
      <c r="AF288" s="19">
        <v>17</v>
      </c>
    </row>
    <row r="289" spans="1:32" x14ac:dyDescent="0.25">
      <c r="A289" s="79">
        <v>46136</v>
      </c>
      <c r="B289" s="19" t="s">
        <v>47</v>
      </c>
      <c r="C289" s="19" t="s">
        <v>64</v>
      </c>
      <c r="D289" s="19">
        <v>88.5</v>
      </c>
      <c r="I289" s="19">
        <v>0</v>
      </c>
      <c r="K289" s="80">
        <v>0</v>
      </c>
      <c r="N289" s="19">
        <v>1</v>
      </c>
      <c r="Q289" s="19">
        <v>540</v>
      </c>
      <c r="W289" s="19">
        <v>540</v>
      </c>
      <c r="X289" s="80">
        <v>9</v>
      </c>
      <c r="Y289" s="80">
        <v>9</v>
      </c>
      <c r="Z289" s="80">
        <v>3</v>
      </c>
      <c r="AA289" s="19">
        <v>12</v>
      </c>
      <c r="AC289" s="19">
        <v>97.5</v>
      </c>
      <c r="AF289" s="19">
        <v>17</v>
      </c>
    </row>
    <row r="290" spans="1:32" x14ac:dyDescent="0.25">
      <c r="A290" s="79">
        <v>46137</v>
      </c>
      <c r="B290" s="19" t="s">
        <v>46</v>
      </c>
      <c r="C290" s="19" t="s">
        <v>156</v>
      </c>
      <c r="D290" s="19">
        <v>164.6</v>
      </c>
      <c r="I290" s="19">
        <v>0</v>
      </c>
      <c r="K290" s="80">
        <v>0</v>
      </c>
      <c r="N290" s="19">
        <v>1</v>
      </c>
      <c r="W290" s="19">
        <v>0</v>
      </c>
      <c r="X290" s="80">
        <v>0</v>
      </c>
      <c r="Y290" s="80">
        <v>0</v>
      </c>
      <c r="Z290" s="80">
        <v>12</v>
      </c>
      <c r="AA290" s="19">
        <v>12</v>
      </c>
      <c r="AC290" s="19">
        <v>172</v>
      </c>
      <c r="AF290" s="19">
        <v>17</v>
      </c>
    </row>
    <row r="291" spans="1:32" x14ac:dyDescent="0.25">
      <c r="A291" s="79">
        <v>46137</v>
      </c>
      <c r="B291" s="19" t="s">
        <v>46</v>
      </c>
      <c r="C291" s="19" t="s">
        <v>65</v>
      </c>
      <c r="D291" s="19">
        <v>119.6</v>
      </c>
      <c r="I291" s="19">
        <v>0</v>
      </c>
      <c r="K291" s="80">
        <v>0</v>
      </c>
      <c r="N291" s="19">
        <v>1</v>
      </c>
      <c r="W291" s="19">
        <v>0</v>
      </c>
      <c r="X291" s="80">
        <v>0</v>
      </c>
      <c r="Y291" s="80">
        <v>0</v>
      </c>
      <c r="Z291" s="80">
        <v>12</v>
      </c>
      <c r="AA291" s="19">
        <v>12</v>
      </c>
      <c r="AC291" s="19">
        <v>126</v>
      </c>
      <c r="AF291" s="19">
        <v>17</v>
      </c>
    </row>
    <row r="292" spans="1:32" x14ac:dyDescent="0.25">
      <c r="A292" s="79">
        <v>46137</v>
      </c>
      <c r="B292" s="19" t="s">
        <v>46</v>
      </c>
      <c r="C292" s="19" t="s">
        <v>150</v>
      </c>
      <c r="D292" s="19">
        <v>411.5</v>
      </c>
      <c r="I292" s="19">
        <v>0</v>
      </c>
      <c r="K292" s="80">
        <v>0</v>
      </c>
      <c r="N292" s="19">
        <v>1</v>
      </c>
      <c r="W292" s="19">
        <v>0</v>
      </c>
      <c r="X292" s="80">
        <v>0</v>
      </c>
      <c r="Y292" s="80">
        <v>0</v>
      </c>
      <c r="Z292" s="80">
        <v>12</v>
      </c>
      <c r="AA292" s="19">
        <v>12</v>
      </c>
      <c r="AC292" s="19">
        <v>425</v>
      </c>
      <c r="AF292" s="19">
        <v>17</v>
      </c>
    </row>
    <row r="293" spans="1:32" x14ac:dyDescent="0.25">
      <c r="A293" s="79">
        <v>46137</v>
      </c>
      <c r="B293" s="19" t="s">
        <v>46</v>
      </c>
      <c r="C293" s="19" t="s">
        <v>183</v>
      </c>
      <c r="D293" s="19">
        <v>124.2</v>
      </c>
      <c r="I293" s="19">
        <v>0</v>
      </c>
      <c r="K293" s="80">
        <v>0</v>
      </c>
      <c r="N293" s="19">
        <v>2</v>
      </c>
      <c r="W293" s="19">
        <v>0</v>
      </c>
      <c r="X293" s="80">
        <v>0</v>
      </c>
      <c r="Y293" s="80">
        <v>0</v>
      </c>
      <c r="Z293" s="80">
        <v>24</v>
      </c>
      <c r="AA293" s="19">
        <v>12</v>
      </c>
      <c r="AC293" s="19">
        <v>138</v>
      </c>
      <c r="AF293" s="19">
        <v>17</v>
      </c>
    </row>
    <row r="294" spans="1:32" x14ac:dyDescent="0.25">
      <c r="A294" s="79">
        <v>46137</v>
      </c>
      <c r="B294" s="19" t="s">
        <v>46</v>
      </c>
      <c r="C294" s="19" t="s">
        <v>184</v>
      </c>
      <c r="D294" s="19">
        <v>602.20000000000005</v>
      </c>
      <c r="I294" s="19">
        <v>0</v>
      </c>
      <c r="K294" s="80">
        <v>0</v>
      </c>
      <c r="N294" s="19">
        <v>2</v>
      </c>
      <c r="W294" s="19">
        <v>0</v>
      </c>
      <c r="X294" s="80">
        <v>0</v>
      </c>
      <c r="Y294" s="80">
        <v>0</v>
      </c>
      <c r="Z294" s="80">
        <v>24</v>
      </c>
      <c r="AA294" s="19">
        <v>12</v>
      </c>
      <c r="AC294" s="19">
        <v>622</v>
      </c>
      <c r="AF294" s="19">
        <v>17</v>
      </c>
    </row>
    <row r="295" spans="1:32" x14ac:dyDescent="0.25">
      <c r="A295" s="79">
        <v>46137</v>
      </c>
      <c r="B295" s="19" t="s">
        <v>47</v>
      </c>
      <c r="C295" s="19" t="s">
        <v>156</v>
      </c>
      <c r="D295" s="19">
        <v>120.6</v>
      </c>
      <c r="E295" s="19">
        <v>3</v>
      </c>
      <c r="I295" s="19">
        <v>0</v>
      </c>
      <c r="K295" s="80">
        <v>0</v>
      </c>
      <c r="N295" s="19">
        <v>1</v>
      </c>
      <c r="W295" s="19">
        <v>0</v>
      </c>
      <c r="X295" s="80">
        <v>0</v>
      </c>
      <c r="Y295" s="80">
        <v>0</v>
      </c>
      <c r="Z295" s="80">
        <v>12</v>
      </c>
      <c r="AA295" s="19">
        <v>12</v>
      </c>
      <c r="AC295" s="19">
        <v>128</v>
      </c>
      <c r="AF295" s="19">
        <v>17</v>
      </c>
    </row>
    <row r="296" spans="1:32" x14ac:dyDescent="0.25">
      <c r="A296" s="79">
        <v>46137</v>
      </c>
      <c r="B296" s="19" t="s">
        <v>47</v>
      </c>
      <c r="C296" s="19" t="s">
        <v>65</v>
      </c>
      <c r="D296" s="19">
        <v>86.3</v>
      </c>
      <c r="E296" s="19">
        <v>5</v>
      </c>
      <c r="I296" s="19">
        <v>0</v>
      </c>
      <c r="K296" s="80">
        <v>0</v>
      </c>
      <c r="N296" s="19">
        <v>1</v>
      </c>
      <c r="W296" s="19">
        <v>0</v>
      </c>
      <c r="X296" s="80">
        <v>0</v>
      </c>
      <c r="Y296" s="80">
        <v>0</v>
      </c>
      <c r="Z296" s="80">
        <v>12</v>
      </c>
      <c r="AA296" s="19">
        <v>12</v>
      </c>
      <c r="AC296" s="19">
        <v>93</v>
      </c>
      <c r="AF296" s="19">
        <v>17</v>
      </c>
    </row>
    <row r="297" spans="1:32" x14ac:dyDescent="0.25">
      <c r="A297" s="79">
        <v>46137</v>
      </c>
      <c r="B297" s="19" t="s">
        <v>47</v>
      </c>
      <c r="C297" s="19" t="s">
        <v>150</v>
      </c>
      <c r="D297" s="19">
        <v>265.8</v>
      </c>
      <c r="E297" s="19">
        <v>5</v>
      </c>
      <c r="I297" s="19">
        <v>0</v>
      </c>
      <c r="K297" s="80">
        <v>0</v>
      </c>
      <c r="N297" s="19">
        <v>1</v>
      </c>
      <c r="W297" s="19">
        <v>0</v>
      </c>
      <c r="X297" s="80">
        <v>0</v>
      </c>
      <c r="Y297" s="80">
        <v>0</v>
      </c>
      <c r="Z297" s="80">
        <v>12</v>
      </c>
      <c r="AA297" s="19">
        <v>12</v>
      </c>
      <c r="AC297" s="19">
        <v>275.5</v>
      </c>
      <c r="AF297" s="19">
        <v>17</v>
      </c>
    </row>
    <row r="298" spans="1:32" x14ac:dyDescent="0.25">
      <c r="A298" s="79">
        <v>46137</v>
      </c>
      <c r="B298" s="19" t="s">
        <v>47</v>
      </c>
      <c r="C298" s="19" t="s">
        <v>183</v>
      </c>
      <c r="D298" s="19">
        <v>203.5</v>
      </c>
      <c r="E298" s="19">
        <v>10</v>
      </c>
      <c r="I298" s="19">
        <v>0</v>
      </c>
      <c r="K298" s="80">
        <v>0</v>
      </c>
      <c r="N298" s="19">
        <v>2</v>
      </c>
      <c r="W298" s="19">
        <v>0</v>
      </c>
      <c r="X298" s="80">
        <v>0</v>
      </c>
      <c r="Y298" s="80">
        <v>0</v>
      </c>
      <c r="Z298" s="80">
        <v>24</v>
      </c>
      <c r="AA298" s="19">
        <v>12</v>
      </c>
      <c r="AC298" s="19">
        <v>220</v>
      </c>
      <c r="AF298" s="19">
        <v>17</v>
      </c>
    </row>
    <row r="299" spans="1:32" x14ac:dyDescent="0.25">
      <c r="A299" s="79">
        <v>46137</v>
      </c>
      <c r="B299" s="19" t="s">
        <v>47</v>
      </c>
      <c r="C299" s="19" t="s">
        <v>184</v>
      </c>
      <c r="D299" s="19">
        <v>610</v>
      </c>
      <c r="E299" s="19">
        <v>4</v>
      </c>
      <c r="I299" s="19">
        <v>0</v>
      </c>
      <c r="K299" s="80">
        <v>0</v>
      </c>
      <c r="N299" s="19">
        <v>1</v>
      </c>
      <c r="W299" s="19">
        <v>0</v>
      </c>
      <c r="X299" s="80">
        <v>0</v>
      </c>
      <c r="Y299" s="80">
        <v>0</v>
      </c>
      <c r="Z299" s="80">
        <v>12</v>
      </c>
      <c r="AA299" s="19">
        <v>12</v>
      </c>
      <c r="AC299" s="19">
        <v>622.5</v>
      </c>
      <c r="AF299" s="19">
        <v>17</v>
      </c>
    </row>
    <row r="300" spans="1:32" x14ac:dyDescent="0.25">
      <c r="A300" s="79">
        <v>46138</v>
      </c>
      <c r="B300" s="19" t="s">
        <v>46</v>
      </c>
      <c r="C300" s="19" t="s">
        <v>156</v>
      </c>
      <c r="D300" s="19">
        <v>148.80000000000001</v>
      </c>
      <c r="I300" s="19">
        <v>0</v>
      </c>
      <c r="K300" s="80">
        <v>0</v>
      </c>
      <c r="N300" s="19">
        <v>1</v>
      </c>
      <c r="W300" s="19">
        <v>0</v>
      </c>
      <c r="X300" s="80">
        <v>0</v>
      </c>
      <c r="Y300" s="80">
        <v>0</v>
      </c>
      <c r="Z300" s="80">
        <v>12</v>
      </c>
      <c r="AA300" s="19">
        <v>12</v>
      </c>
      <c r="AC300" s="19">
        <v>156.5</v>
      </c>
      <c r="AF300" s="19">
        <v>17</v>
      </c>
    </row>
    <row r="301" spans="1:32" x14ac:dyDescent="0.25">
      <c r="A301" s="79">
        <v>46138</v>
      </c>
      <c r="B301" s="19" t="s">
        <v>46</v>
      </c>
      <c r="C301" s="19" t="s">
        <v>65</v>
      </c>
      <c r="D301" s="19">
        <v>110</v>
      </c>
      <c r="E301" s="19">
        <v>6</v>
      </c>
      <c r="F301" s="19">
        <v>3</v>
      </c>
      <c r="I301" s="19">
        <v>3</v>
      </c>
      <c r="K301" s="80">
        <v>0.05</v>
      </c>
      <c r="N301" s="19">
        <v>2</v>
      </c>
      <c r="W301" s="19">
        <v>0</v>
      </c>
      <c r="X301" s="80">
        <v>0</v>
      </c>
      <c r="Y301" s="80">
        <v>0.05</v>
      </c>
      <c r="Z301" s="80">
        <v>23.95</v>
      </c>
      <c r="AA301" s="19">
        <v>12</v>
      </c>
      <c r="AC301" s="19">
        <v>122.5</v>
      </c>
      <c r="AF301" s="19">
        <v>17</v>
      </c>
    </row>
    <row r="302" spans="1:32" x14ac:dyDescent="0.25">
      <c r="A302" s="79">
        <v>46138</v>
      </c>
      <c r="B302" s="19" t="s">
        <v>46</v>
      </c>
      <c r="C302" s="19" t="s">
        <v>150</v>
      </c>
      <c r="D302" s="19">
        <v>285.5</v>
      </c>
      <c r="E302" s="19">
        <v>8</v>
      </c>
      <c r="F302" s="19">
        <v>10</v>
      </c>
      <c r="I302" s="19">
        <v>10</v>
      </c>
      <c r="K302" s="80">
        <v>0.16666666666666669</v>
      </c>
      <c r="N302" s="19">
        <v>3</v>
      </c>
      <c r="W302" s="19">
        <v>0</v>
      </c>
      <c r="X302" s="80">
        <v>0</v>
      </c>
      <c r="Y302" s="80">
        <v>0.16666666666666669</v>
      </c>
      <c r="Z302" s="80">
        <v>35.833333333333329</v>
      </c>
      <c r="AA302" s="19">
        <v>12</v>
      </c>
      <c r="AC302" s="19">
        <v>306.5</v>
      </c>
      <c r="AF302" s="19">
        <v>17</v>
      </c>
    </row>
    <row r="303" spans="1:32" x14ac:dyDescent="0.25">
      <c r="A303" s="79">
        <v>46138</v>
      </c>
      <c r="B303" s="19" t="s">
        <v>46</v>
      </c>
      <c r="C303" s="19" t="s">
        <v>183</v>
      </c>
      <c r="D303" s="19">
        <v>267.60000000000002</v>
      </c>
      <c r="E303" s="19">
        <v>9</v>
      </c>
      <c r="F303" s="19">
        <v>2</v>
      </c>
      <c r="I303" s="19">
        <v>2</v>
      </c>
      <c r="K303" s="80">
        <v>3.3333333333333333E-2</v>
      </c>
      <c r="N303" s="19">
        <v>2</v>
      </c>
      <c r="W303" s="19">
        <v>0</v>
      </c>
      <c r="X303" s="80">
        <v>0</v>
      </c>
      <c r="Y303" s="80">
        <v>3.3333333333333333E-2</v>
      </c>
      <c r="Z303" s="80">
        <v>23.966666666666669</v>
      </c>
      <c r="AA303" s="19">
        <v>12</v>
      </c>
      <c r="AC303" s="19">
        <v>288.5</v>
      </c>
      <c r="AF303" s="19">
        <v>17</v>
      </c>
    </row>
    <row r="304" spans="1:32" x14ac:dyDescent="0.25">
      <c r="A304" s="79">
        <v>46138</v>
      </c>
      <c r="B304" s="19" t="s">
        <v>46</v>
      </c>
      <c r="C304" s="19" t="s">
        <v>184</v>
      </c>
      <c r="D304" s="19">
        <v>488.7</v>
      </c>
      <c r="E304" s="19">
        <v>10</v>
      </c>
      <c r="F304" s="19">
        <v>5</v>
      </c>
      <c r="I304" s="19">
        <v>5</v>
      </c>
      <c r="K304" s="80">
        <v>8.3333333333333329E-2</v>
      </c>
      <c r="N304" s="19">
        <v>2</v>
      </c>
      <c r="W304" s="19">
        <v>0</v>
      </c>
      <c r="X304" s="80">
        <v>0</v>
      </c>
      <c r="Y304" s="80">
        <v>8.3333333333333329E-2</v>
      </c>
      <c r="Z304" s="80">
        <v>23.916666666666664</v>
      </c>
      <c r="AA304" s="19">
        <v>12</v>
      </c>
      <c r="AC304" s="19">
        <v>511</v>
      </c>
      <c r="AF304" s="19">
        <v>17</v>
      </c>
    </row>
    <row r="305" spans="1:32" x14ac:dyDescent="0.25">
      <c r="A305" s="79">
        <v>46138</v>
      </c>
      <c r="B305" s="19" t="s">
        <v>47</v>
      </c>
      <c r="C305" s="19" t="s">
        <v>156</v>
      </c>
      <c r="D305" s="19">
        <v>191.7</v>
      </c>
      <c r="E305" s="19">
        <v>4</v>
      </c>
      <c r="F305" s="19">
        <v>5</v>
      </c>
      <c r="I305" s="19">
        <v>5</v>
      </c>
      <c r="K305" s="80">
        <v>8.3333333333333329E-2</v>
      </c>
      <c r="N305" s="19">
        <v>3</v>
      </c>
      <c r="W305" s="19">
        <v>0</v>
      </c>
      <c r="X305" s="80">
        <v>0</v>
      </c>
      <c r="Y305" s="80">
        <v>8.3333333333333329E-2</v>
      </c>
      <c r="Z305" s="80">
        <v>35.916666666666664</v>
      </c>
      <c r="AA305" s="19">
        <v>12</v>
      </c>
      <c r="AC305" s="19">
        <v>210</v>
      </c>
      <c r="AF305" s="19">
        <v>17</v>
      </c>
    </row>
    <row r="306" spans="1:32" x14ac:dyDescent="0.25">
      <c r="A306" s="79">
        <v>46138</v>
      </c>
      <c r="B306" s="19" t="s">
        <v>47</v>
      </c>
      <c r="C306" s="19" t="s">
        <v>65</v>
      </c>
      <c r="D306" s="19">
        <v>119.9</v>
      </c>
      <c r="E306" s="19">
        <v>5</v>
      </c>
      <c r="I306" s="19">
        <v>0</v>
      </c>
      <c r="K306" s="80">
        <v>0</v>
      </c>
      <c r="N306" s="19">
        <v>2</v>
      </c>
      <c r="W306" s="19">
        <v>0</v>
      </c>
      <c r="X306" s="80">
        <v>0</v>
      </c>
      <c r="Y306" s="80">
        <v>0</v>
      </c>
      <c r="Z306" s="80">
        <v>24</v>
      </c>
      <c r="AA306" s="19">
        <v>12</v>
      </c>
      <c r="AC306" s="19">
        <v>133.5</v>
      </c>
      <c r="AF306" s="19">
        <v>17</v>
      </c>
    </row>
    <row r="307" spans="1:32" x14ac:dyDescent="0.25">
      <c r="A307" s="79">
        <v>46138</v>
      </c>
      <c r="B307" s="19" t="s">
        <v>47</v>
      </c>
      <c r="C307" s="19" t="s">
        <v>183</v>
      </c>
      <c r="D307" s="19">
        <v>264.89999999999998</v>
      </c>
      <c r="E307" s="19">
        <v>8</v>
      </c>
      <c r="F307" s="19">
        <v>3</v>
      </c>
      <c r="I307" s="19">
        <v>3</v>
      </c>
      <c r="K307" s="80">
        <v>0.05</v>
      </c>
      <c r="N307" s="19">
        <v>3</v>
      </c>
      <c r="W307" s="19">
        <v>0</v>
      </c>
      <c r="X307" s="80">
        <v>0</v>
      </c>
      <c r="Y307" s="80">
        <v>0.05</v>
      </c>
      <c r="Z307" s="80">
        <v>35.950000000000003</v>
      </c>
      <c r="AA307" s="19">
        <v>12</v>
      </c>
      <c r="AC307" s="19">
        <v>291.5</v>
      </c>
      <c r="AF307" s="19">
        <v>17</v>
      </c>
    </row>
    <row r="308" spans="1:32" x14ac:dyDescent="0.25">
      <c r="A308" s="79">
        <v>46138</v>
      </c>
      <c r="B308" s="19" t="s">
        <v>47</v>
      </c>
      <c r="C308" s="19" t="s">
        <v>184</v>
      </c>
      <c r="D308" s="19">
        <v>358.5</v>
      </c>
      <c r="E308" s="19">
        <v>8</v>
      </c>
      <c r="F308" s="19">
        <v>10</v>
      </c>
      <c r="I308" s="19">
        <v>10</v>
      </c>
      <c r="K308" s="80">
        <v>0.16666666666666669</v>
      </c>
      <c r="N308" s="19">
        <v>3</v>
      </c>
      <c r="W308" s="19">
        <v>0</v>
      </c>
      <c r="X308" s="80">
        <v>0</v>
      </c>
      <c r="Y308" s="80">
        <v>0.16666666666666669</v>
      </c>
      <c r="Z308" s="80">
        <v>35.833333333333329</v>
      </c>
      <c r="AA308" s="19">
        <v>12</v>
      </c>
      <c r="AC308" s="19">
        <v>386</v>
      </c>
      <c r="AF308" s="19">
        <v>17</v>
      </c>
    </row>
    <row r="309" spans="1:32" x14ac:dyDescent="0.25">
      <c r="A309" s="79">
        <v>46139</v>
      </c>
      <c r="B309" s="19" t="s">
        <v>46</v>
      </c>
      <c r="C309" s="19" t="s">
        <v>156</v>
      </c>
      <c r="D309" s="19">
        <v>147.4</v>
      </c>
      <c r="I309" s="19">
        <v>0</v>
      </c>
      <c r="K309" s="80">
        <v>0</v>
      </c>
      <c r="N309" s="19">
        <v>2</v>
      </c>
      <c r="W309" s="19">
        <v>0</v>
      </c>
      <c r="X309" s="80">
        <v>0</v>
      </c>
      <c r="Y309" s="80">
        <v>0</v>
      </c>
      <c r="Z309" s="80">
        <v>24</v>
      </c>
      <c r="AA309" s="19">
        <v>12</v>
      </c>
      <c r="AC309" s="19">
        <v>160.5</v>
      </c>
      <c r="AF309" s="19">
        <v>18</v>
      </c>
    </row>
    <row r="310" spans="1:32" x14ac:dyDescent="0.25">
      <c r="A310" s="79">
        <v>46139</v>
      </c>
      <c r="B310" s="19" t="s">
        <v>46</v>
      </c>
      <c r="C310" s="19" t="s">
        <v>65</v>
      </c>
      <c r="D310" s="19">
        <v>139</v>
      </c>
      <c r="E310" s="19">
        <v>4</v>
      </c>
      <c r="I310" s="19">
        <v>0</v>
      </c>
      <c r="K310" s="80">
        <v>0</v>
      </c>
      <c r="N310" s="19">
        <v>1</v>
      </c>
      <c r="W310" s="19">
        <v>0</v>
      </c>
      <c r="X310" s="80">
        <v>0</v>
      </c>
      <c r="Y310" s="80">
        <v>0</v>
      </c>
      <c r="Z310" s="80">
        <v>12</v>
      </c>
      <c r="AA310" s="19">
        <v>12</v>
      </c>
      <c r="AC310" s="19">
        <v>148</v>
      </c>
      <c r="AF310" s="19">
        <v>18</v>
      </c>
    </row>
    <row r="311" spans="1:32" x14ac:dyDescent="0.25">
      <c r="A311" s="79">
        <v>46139</v>
      </c>
      <c r="B311" s="19" t="s">
        <v>46</v>
      </c>
      <c r="C311" s="19" t="s">
        <v>190</v>
      </c>
      <c r="D311" s="19">
        <v>262.5</v>
      </c>
      <c r="E311" s="19">
        <v>52</v>
      </c>
      <c r="G311" s="19">
        <v>170</v>
      </c>
      <c r="I311" s="19">
        <v>170</v>
      </c>
      <c r="K311" s="80">
        <v>2.8333333333333335</v>
      </c>
      <c r="N311" s="19">
        <v>1</v>
      </c>
      <c r="R311" s="19">
        <v>21</v>
      </c>
      <c r="W311" s="19">
        <v>21</v>
      </c>
      <c r="X311" s="80">
        <v>0.35</v>
      </c>
      <c r="Y311" s="80">
        <v>3.1833333333333336</v>
      </c>
      <c r="Z311" s="80">
        <v>8.8166666666666664</v>
      </c>
      <c r="AA311" s="19">
        <v>12</v>
      </c>
      <c r="AC311" s="19">
        <v>278.3</v>
      </c>
      <c r="AF311" s="19">
        <v>18</v>
      </c>
    </row>
    <row r="312" spans="1:32" x14ac:dyDescent="0.25">
      <c r="A312" s="79">
        <v>46139</v>
      </c>
      <c r="B312" s="19" t="s">
        <v>46</v>
      </c>
      <c r="C312" s="19" t="s">
        <v>183</v>
      </c>
      <c r="D312" s="19">
        <v>288.7</v>
      </c>
      <c r="E312" s="19">
        <v>10</v>
      </c>
      <c r="I312" s="19">
        <v>0</v>
      </c>
      <c r="K312" s="80">
        <v>0</v>
      </c>
      <c r="N312" s="19">
        <v>3</v>
      </c>
      <c r="W312" s="19">
        <v>0</v>
      </c>
      <c r="X312" s="80">
        <v>0</v>
      </c>
      <c r="Y312" s="80">
        <v>0</v>
      </c>
      <c r="Z312" s="80">
        <v>36</v>
      </c>
      <c r="AA312" s="19">
        <v>12</v>
      </c>
      <c r="AC312" s="19">
        <v>315.5</v>
      </c>
      <c r="AF312" s="19">
        <v>18</v>
      </c>
    </row>
    <row r="313" spans="1:32" x14ac:dyDescent="0.25">
      <c r="A313" s="79">
        <v>46139</v>
      </c>
      <c r="B313" s="19" t="s">
        <v>46</v>
      </c>
      <c r="C313" s="19" t="s">
        <v>184</v>
      </c>
      <c r="D313" s="19">
        <v>430.5</v>
      </c>
      <c r="E313" s="19">
        <v>7</v>
      </c>
      <c r="I313" s="19">
        <v>0</v>
      </c>
      <c r="K313" s="80">
        <v>0</v>
      </c>
      <c r="N313" s="19">
        <v>2</v>
      </c>
      <c r="W313" s="19">
        <v>0</v>
      </c>
      <c r="X313" s="80">
        <v>0</v>
      </c>
      <c r="Y313" s="80">
        <v>0</v>
      </c>
      <c r="Z313" s="80">
        <v>24</v>
      </c>
      <c r="AA313" s="19">
        <v>12</v>
      </c>
      <c r="AC313" s="19">
        <v>453.5</v>
      </c>
      <c r="AF313" s="19">
        <v>18</v>
      </c>
    </row>
    <row r="314" spans="1:32" x14ac:dyDescent="0.25">
      <c r="A314" s="79">
        <v>46139</v>
      </c>
      <c r="B314" s="19" t="s">
        <v>47</v>
      </c>
      <c r="C314" s="19" t="s">
        <v>156</v>
      </c>
      <c r="D314" s="19">
        <v>128</v>
      </c>
      <c r="E314" s="19">
        <v>2</v>
      </c>
      <c r="F314" s="19">
        <v>2</v>
      </c>
      <c r="I314" s="19">
        <v>2</v>
      </c>
      <c r="K314" s="80">
        <v>3.3333333333333333E-2</v>
      </c>
      <c r="N314" s="19">
        <v>2</v>
      </c>
      <c r="W314" s="19">
        <v>0</v>
      </c>
      <c r="X314" s="80">
        <v>0</v>
      </c>
      <c r="Y314" s="80">
        <v>3.3333333333333333E-2</v>
      </c>
      <c r="Z314" s="80">
        <v>23.966666666666669</v>
      </c>
      <c r="AA314" s="19">
        <v>12</v>
      </c>
      <c r="AC314" s="19">
        <v>142</v>
      </c>
      <c r="AF314" s="19">
        <v>18</v>
      </c>
    </row>
    <row r="315" spans="1:32" x14ac:dyDescent="0.25">
      <c r="A315" s="79">
        <v>46139</v>
      </c>
      <c r="B315" s="19" t="s">
        <v>47</v>
      </c>
      <c r="C315" s="19" t="s">
        <v>65</v>
      </c>
      <c r="D315" s="19">
        <v>126.5</v>
      </c>
      <c r="E315" s="19">
        <v>5</v>
      </c>
      <c r="F315" s="19">
        <v>3</v>
      </c>
      <c r="I315" s="19">
        <v>3</v>
      </c>
      <c r="K315" s="80">
        <v>0.05</v>
      </c>
      <c r="N315" s="19">
        <v>2</v>
      </c>
      <c r="W315" s="19">
        <v>0</v>
      </c>
      <c r="X315" s="80">
        <v>0</v>
      </c>
      <c r="Y315" s="80">
        <v>0.05</v>
      </c>
      <c r="Z315" s="80">
        <v>23.95</v>
      </c>
      <c r="AA315" s="19">
        <v>12</v>
      </c>
      <c r="AC315" s="19">
        <v>140.5</v>
      </c>
      <c r="AF315" s="19">
        <v>18</v>
      </c>
    </row>
    <row r="316" spans="1:32" x14ac:dyDescent="0.25">
      <c r="A316" s="79">
        <v>46139</v>
      </c>
      <c r="B316" s="19" t="s">
        <v>47</v>
      </c>
      <c r="C316" s="19" t="s">
        <v>190</v>
      </c>
      <c r="D316" s="19">
        <v>261.72000000000003</v>
      </c>
      <c r="E316" s="19">
        <v>48</v>
      </c>
      <c r="I316" s="19">
        <v>0</v>
      </c>
      <c r="K316" s="80">
        <v>0</v>
      </c>
      <c r="N316" s="19">
        <v>1</v>
      </c>
      <c r="R316" s="19">
        <v>15</v>
      </c>
      <c r="W316" s="19">
        <v>15</v>
      </c>
      <c r="X316" s="80">
        <v>0.25</v>
      </c>
      <c r="Y316" s="80">
        <v>0.25</v>
      </c>
      <c r="Z316" s="80">
        <v>11.75</v>
      </c>
      <c r="AA316" s="19">
        <v>12</v>
      </c>
      <c r="AC316" s="19">
        <v>281.12</v>
      </c>
      <c r="AF316" s="19">
        <v>18</v>
      </c>
    </row>
    <row r="317" spans="1:32" x14ac:dyDescent="0.25">
      <c r="A317" s="79">
        <v>46139</v>
      </c>
      <c r="B317" s="19" t="s">
        <v>47</v>
      </c>
      <c r="C317" s="19" t="s">
        <v>183</v>
      </c>
      <c r="D317" s="19">
        <v>277.3</v>
      </c>
      <c r="E317" s="19">
        <v>12</v>
      </c>
      <c r="I317" s="19">
        <v>0</v>
      </c>
      <c r="K317" s="80">
        <v>0</v>
      </c>
      <c r="N317" s="19">
        <v>3</v>
      </c>
      <c r="W317" s="19">
        <v>0</v>
      </c>
      <c r="X317" s="80">
        <v>0</v>
      </c>
      <c r="Y317" s="80">
        <v>0</v>
      </c>
      <c r="Z317" s="80">
        <v>36</v>
      </c>
      <c r="AA317" s="19">
        <v>12</v>
      </c>
      <c r="AC317" s="19">
        <v>301.5</v>
      </c>
      <c r="AF317" s="19">
        <v>18</v>
      </c>
    </row>
    <row r="318" spans="1:32" x14ac:dyDescent="0.25">
      <c r="A318" s="79">
        <v>46139</v>
      </c>
      <c r="B318" s="19" t="s">
        <v>47</v>
      </c>
      <c r="C318" s="19" t="s">
        <v>184</v>
      </c>
      <c r="D318" s="19">
        <v>283.5</v>
      </c>
      <c r="E318" s="19">
        <v>49</v>
      </c>
      <c r="I318" s="19">
        <v>0</v>
      </c>
      <c r="K318" s="80">
        <v>0</v>
      </c>
      <c r="N318" s="19">
        <v>1</v>
      </c>
      <c r="W318" s="19">
        <v>0</v>
      </c>
      <c r="X318" s="80">
        <v>0</v>
      </c>
      <c r="Y318" s="80">
        <v>0</v>
      </c>
      <c r="Z318" s="80">
        <v>12</v>
      </c>
      <c r="AA318" s="19">
        <v>12</v>
      </c>
      <c r="AC318" s="19">
        <v>296.5</v>
      </c>
      <c r="AF318" s="19">
        <v>18</v>
      </c>
    </row>
    <row r="319" spans="1:32" x14ac:dyDescent="0.25">
      <c r="A319" s="79">
        <v>46140</v>
      </c>
      <c r="B319" s="19" t="s">
        <v>46</v>
      </c>
      <c r="C319" s="19" t="s">
        <v>156</v>
      </c>
      <c r="D319" s="19">
        <v>99.9</v>
      </c>
      <c r="I319" s="19">
        <v>0</v>
      </c>
      <c r="K319" s="80">
        <v>0</v>
      </c>
      <c r="N319" s="19">
        <v>1</v>
      </c>
      <c r="W319" s="19">
        <v>0</v>
      </c>
      <c r="X319" s="80">
        <v>0</v>
      </c>
      <c r="Y319" s="80">
        <v>0</v>
      </c>
      <c r="Z319" s="80">
        <v>12</v>
      </c>
      <c r="AA319" s="19">
        <v>12</v>
      </c>
      <c r="AC319" s="19">
        <v>108.5</v>
      </c>
      <c r="AF319" s="19">
        <v>18</v>
      </c>
    </row>
    <row r="320" spans="1:32" x14ac:dyDescent="0.25">
      <c r="A320" s="79">
        <v>46140</v>
      </c>
      <c r="B320" s="19" t="s">
        <v>46</v>
      </c>
      <c r="C320" s="19" t="s">
        <v>65</v>
      </c>
      <c r="D320" s="19">
        <v>121.5</v>
      </c>
      <c r="E320" s="19">
        <v>10</v>
      </c>
      <c r="F320" s="19">
        <v>5</v>
      </c>
      <c r="I320" s="19">
        <v>5</v>
      </c>
      <c r="K320" s="80">
        <v>8.3333333333333329E-2</v>
      </c>
      <c r="N320" s="19">
        <v>2</v>
      </c>
      <c r="W320" s="19">
        <v>0</v>
      </c>
      <c r="X320" s="80">
        <v>0</v>
      </c>
      <c r="Y320" s="80">
        <v>8.3333333333333329E-2</v>
      </c>
      <c r="Z320" s="80">
        <v>23.916666666666664</v>
      </c>
      <c r="AA320" s="19">
        <v>12</v>
      </c>
      <c r="AC320" s="19">
        <v>135</v>
      </c>
      <c r="AF320" s="19">
        <v>18</v>
      </c>
    </row>
    <row r="321" spans="1:32" x14ac:dyDescent="0.25">
      <c r="A321" s="79">
        <v>46140</v>
      </c>
      <c r="B321" s="19" t="s">
        <v>46</v>
      </c>
      <c r="C321" s="19" t="s">
        <v>150</v>
      </c>
      <c r="D321" s="19">
        <v>256.7</v>
      </c>
      <c r="E321" s="19">
        <v>25</v>
      </c>
      <c r="G321" s="19">
        <v>180</v>
      </c>
      <c r="I321" s="19">
        <v>180</v>
      </c>
      <c r="K321" s="80">
        <v>3</v>
      </c>
      <c r="N321" s="19">
        <v>2</v>
      </c>
      <c r="S321" s="19">
        <v>40</v>
      </c>
      <c r="W321" s="19">
        <v>40</v>
      </c>
      <c r="X321" s="80">
        <v>0.66666666666666663</v>
      </c>
      <c r="Y321" s="80">
        <v>3.6666666666666665</v>
      </c>
      <c r="Z321" s="80">
        <v>20.333333333333336</v>
      </c>
      <c r="AA321" s="19">
        <v>12</v>
      </c>
      <c r="AC321" s="19">
        <v>275</v>
      </c>
      <c r="AF321" s="19">
        <v>18</v>
      </c>
    </row>
    <row r="322" spans="1:32" x14ac:dyDescent="0.25">
      <c r="A322" s="79">
        <v>46140</v>
      </c>
      <c r="B322" s="19" t="s">
        <v>46</v>
      </c>
      <c r="C322" s="19" t="s">
        <v>183</v>
      </c>
      <c r="D322" s="19">
        <v>302.60000000000002</v>
      </c>
      <c r="E322" s="19">
        <v>8</v>
      </c>
      <c r="F322" s="19">
        <v>20</v>
      </c>
      <c r="I322" s="19">
        <v>20</v>
      </c>
      <c r="K322" s="80">
        <v>0.33333333333333331</v>
      </c>
      <c r="N322" s="19">
        <v>3</v>
      </c>
      <c r="W322" s="19">
        <v>0</v>
      </c>
      <c r="X322" s="80">
        <v>0</v>
      </c>
      <c r="Y322" s="80">
        <v>0.33333333333333331</v>
      </c>
      <c r="Z322" s="80">
        <v>35.666666666666671</v>
      </c>
      <c r="AA322" s="19">
        <v>12</v>
      </c>
      <c r="AC322" s="19">
        <v>330</v>
      </c>
      <c r="AF322" s="19">
        <v>18</v>
      </c>
    </row>
    <row r="323" spans="1:32" x14ac:dyDescent="0.25">
      <c r="A323" s="79">
        <v>46140</v>
      </c>
      <c r="B323" s="19" t="s">
        <v>46</v>
      </c>
      <c r="C323" s="19" t="s">
        <v>184</v>
      </c>
      <c r="D323" s="19">
        <v>392</v>
      </c>
      <c r="E323" s="19">
        <v>19</v>
      </c>
      <c r="F323" s="19">
        <v>5</v>
      </c>
      <c r="I323" s="19">
        <v>5</v>
      </c>
      <c r="K323" s="80">
        <v>8.3333333333333329E-2</v>
      </c>
      <c r="N323" s="19">
        <v>3</v>
      </c>
      <c r="W323" s="19">
        <v>0</v>
      </c>
      <c r="X323" s="80">
        <v>0</v>
      </c>
      <c r="Y323" s="80">
        <v>8.3333333333333329E-2</v>
      </c>
      <c r="Z323" s="80">
        <v>35.916666666666664</v>
      </c>
      <c r="AA323" s="19">
        <v>12</v>
      </c>
      <c r="AC323" s="19">
        <v>418.5</v>
      </c>
      <c r="AF323" s="19">
        <v>18</v>
      </c>
    </row>
    <row r="324" spans="1:32" x14ac:dyDescent="0.25">
      <c r="A324" s="79">
        <v>46140</v>
      </c>
      <c r="B324" s="19" t="s">
        <v>47</v>
      </c>
      <c r="C324" s="19" t="s">
        <v>156</v>
      </c>
      <c r="D324" s="19">
        <v>111.2</v>
      </c>
      <c r="E324" s="19">
        <v>12</v>
      </c>
      <c r="I324" s="19">
        <v>0</v>
      </c>
      <c r="K324" s="80">
        <v>0</v>
      </c>
      <c r="N324" s="19">
        <v>2</v>
      </c>
      <c r="W324" s="19">
        <v>0</v>
      </c>
      <c r="X324" s="80">
        <v>0</v>
      </c>
      <c r="Y324" s="80">
        <v>0</v>
      </c>
      <c r="Z324" s="80">
        <v>24</v>
      </c>
      <c r="AA324" s="19">
        <v>12</v>
      </c>
      <c r="AC324" s="19">
        <v>126</v>
      </c>
      <c r="AF324" s="19">
        <v>18</v>
      </c>
    </row>
    <row r="325" spans="1:32" x14ac:dyDescent="0.25">
      <c r="A325" s="79">
        <v>46140</v>
      </c>
      <c r="B325" s="19" t="s">
        <v>47</v>
      </c>
      <c r="C325" s="19" t="s">
        <v>65</v>
      </c>
      <c r="D325" s="19">
        <v>140.19999999999999</v>
      </c>
      <c r="I325" s="19">
        <v>0</v>
      </c>
      <c r="K325" s="80">
        <v>0</v>
      </c>
      <c r="N325" s="19">
        <v>1</v>
      </c>
      <c r="W325" s="19">
        <v>0</v>
      </c>
      <c r="X325" s="80">
        <v>0</v>
      </c>
      <c r="Y325" s="80">
        <v>0</v>
      </c>
      <c r="Z325" s="80">
        <v>12</v>
      </c>
      <c r="AA325" s="19">
        <v>12</v>
      </c>
      <c r="AC325" s="19">
        <v>150</v>
      </c>
      <c r="AF325" s="19">
        <v>18</v>
      </c>
    </row>
    <row r="326" spans="1:32" x14ac:dyDescent="0.25">
      <c r="A326" s="79">
        <v>46140</v>
      </c>
      <c r="B326" s="19" t="s">
        <v>47</v>
      </c>
      <c r="C326" s="19" t="s">
        <v>150</v>
      </c>
      <c r="D326" s="19">
        <v>433.4</v>
      </c>
      <c r="E326" s="19">
        <v>10</v>
      </c>
      <c r="F326" s="19">
        <v>40</v>
      </c>
      <c r="I326" s="19">
        <v>40</v>
      </c>
      <c r="K326" s="80">
        <v>0.66666666666666663</v>
      </c>
      <c r="N326" s="19">
        <v>4</v>
      </c>
      <c r="W326" s="19">
        <v>0</v>
      </c>
      <c r="X326" s="80">
        <v>0</v>
      </c>
      <c r="Y326" s="80">
        <v>0.66666666666666663</v>
      </c>
      <c r="Z326" s="80">
        <v>47.333333333333329</v>
      </c>
      <c r="AA326" s="19">
        <v>12</v>
      </c>
      <c r="AC326" s="19">
        <v>473</v>
      </c>
      <c r="AF326" s="19">
        <v>18</v>
      </c>
    </row>
    <row r="327" spans="1:32" x14ac:dyDescent="0.25">
      <c r="A327" s="79">
        <v>46140</v>
      </c>
      <c r="B327" s="19" t="s">
        <v>47</v>
      </c>
      <c r="C327" s="19" t="s">
        <v>183</v>
      </c>
      <c r="D327" s="19">
        <v>328</v>
      </c>
      <c r="E327" s="19">
        <v>23</v>
      </c>
      <c r="F327" s="19">
        <v>12</v>
      </c>
      <c r="I327" s="19">
        <v>12</v>
      </c>
      <c r="K327" s="80">
        <v>0.2</v>
      </c>
      <c r="N327" s="19">
        <v>3</v>
      </c>
      <c r="R327" s="19">
        <v>4</v>
      </c>
      <c r="W327" s="19">
        <v>4</v>
      </c>
      <c r="X327" s="80">
        <v>6.6666666666666666E-2</v>
      </c>
      <c r="Y327" s="80">
        <v>0.26666666666666666</v>
      </c>
      <c r="Z327" s="80">
        <v>35.733333333333334</v>
      </c>
      <c r="AA327" s="19">
        <v>12</v>
      </c>
      <c r="AC327" s="19">
        <v>360</v>
      </c>
      <c r="AF327" s="19">
        <v>18</v>
      </c>
    </row>
    <row r="328" spans="1:32" x14ac:dyDescent="0.25">
      <c r="A328" s="79">
        <v>46140</v>
      </c>
      <c r="B328" s="19" t="s">
        <v>47</v>
      </c>
      <c r="C328" s="19" t="s">
        <v>184</v>
      </c>
      <c r="D328" s="19">
        <v>431.5</v>
      </c>
      <c r="E328" s="19">
        <v>22</v>
      </c>
      <c r="F328" s="19">
        <v>10</v>
      </c>
      <c r="I328" s="19">
        <v>10</v>
      </c>
      <c r="K328" s="80">
        <v>0.16666666666666669</v>
      </c>
      <c r="N328" s="19">
        <v>5</v>
      </c>
      <c r="W328" s="19">
        <v>0</v>
      </c>
      <c r="X328" s="80">
        <v>0</v>
      </c>
      <c r="Y328" s="80">
        <v>0.16666666666666669</v>
      </c>
      <c r="Z328" s="80">
        <v>59.833333333333343</v>
      </c>
      <c r="AA328" s="19">
        <v>12</v>
      </c>
      <c r="AC328" s="19">
        <v>469</v>
      </c>
      <c r="AF328" s="19">
        <v>18</v>
      </c>
    </row>
    <row r="329" spans="1:32" x14ac:dyDescent="0.25">
      <c r="A329" s="79">
        <v>46141</v>
      </c>
      <c r="B329" s="19" t="s">
        <v>46</v>
      </c>
      <c r="C329" s="19" t="s">
        <v>156</v>
      </c>
      <c r="D329" s="19">
        <v>114.1</v>
      </c>
      <c r="E329" s="19">
        <v>15</v>
      </c>
      <c r="F329" s="19">
        <v>2</v>
      </c>
      <c r="I329" s="19">
        <v>2</v>
      </c>
      <c r="K329" s="80">
        <v>3.3333333333333333E-2</v>
      </c>
      <c r="N329" s="19">
        <v>2</v>
      </c>
      <c r="W329" s="19">
        <v>0</v>
      </c>
      <c r="X329" s="80">
        <v>0</v>
      </c>
      <c r="Y329" s="80">
        <v>3.3333333333333333E-2</v>
      </c>
      <c r="Z329" s="80">
        <v>23.966666666666669</v>
      </c>
      <c r="AA329" s="19">
        <v>12</v>
      </c>
      <c r="AC329" s="19">
        <v>129.5</v>
      </c>
      <c r="AF329" s="19">
        <v>18</v>
      </c>
    </row>
    <row r="330" spans="1:32" x14ac:dyDescent="0.25">
      <c r="A330" s="79">
        <v>46141</v>
      </c>
      <c r="B330" s="19" t="s">
        <v>46</v>
      </c>
      <c r="C330" s="19" t="s">
        <v>65</v>
      </c>
      <c r="D330" s="19">
        <v>114.7</v>
      </c>
      <c r="E330" s="19">
        <v>1.5</v>
      </c>
      <c r="F330" s="19">
        <v>5</v>
      </c>
      <c r="I330" s="19">
        <v>5</v>
      </c>
      <c r="K330" s="80">
        <v>8.3333333333333329E-2</v>
      </c>
      <c r="N330" s="19">
        <v>1</v>
      </c>
      <c r="W330" s="19">
        <v>0</v>
      </c>
      <c r="X330" s="80">
        <v>0</v>
      </c>
      <c r="Y330" s="80">
        <v>8.3333333333333329E-2</v>
      </c>
      <c r="Z330" s="80">
        <v>11.916666666666666</v>
      </c>
      <c r="AA330" s="19">
        <v>12</v>
      </c>
      <c r="AC330" s="19">
        <v>122.7</v>
      </c>
      <c r="AF330" s="19">
        <v>18</v>
      </c>
    </row>
    <row r="331" spans="1:32" x14ac:dyDescent="0.25">
      <c r="A331" s="79">
        <v>46141</v>
      </c>
      <c r="B331" s="19" t="s">
        <v>46</v>
      </c>
      <c r="C331" s="19" t="s">
        <v>150</v>
      </c>
      <c r="D331" s="19">
        <v>337.3</v>
      </c>
      <c r="F331" s="19">
        <v>7</v>
      </c>
      <c r="I331" s="19">
        <v>7</v>
      </c>
      <c r="K331" s="80">
        <v>0.11666666666666667</v>
      </c>
      <c r="N331" s="19">
        <v>4</v>
      </c>
      <c r="W331" s="19">
        <v>0</v>
      </c>
      <c r="X331" s="80">
        <v>0</v>
      </c>
      <c r="Y331" s="80">
        <v>0.11666666666666667</v>
      </c>
      <c r="Z331" s="80">
        <v>47.883333333333333</v>
      </c>
      <c r="AA331" s="19">
        <v>12</v>
      </c>
      <c r="AC331" s="19">
        <v>366.5</v>
      </c>
      <c r="AF331" s="19">
        <v>18</v>
      </c>
    </row>
    <row r="332" spans="1:32" x14ac:dyDescent="0.25">
      <c r="A332" s="79">
        <v>46141</v>
      </c>
      <c r="B332" s="19" t="s">
        <v>46</v>
      </c>
      <c r="C332" s="19" t="s">
        <v>183</v>
      </c>
      <c r="D332" s="19">
        <v>410.9</v>
      </c>
      <c r="E332" s="19">
        <v>8</v>
      </c>
      <c r="F332" s="19">
        <v>10</v>
      </c>
      <c r="I332" s="19">
        <v>10</v>
      </c>
      <c r="K332" s="80">
        <v>0.16666666666666666</v>
      </c>
      <c r="N332" s="19">
        <v>2</v>
      </c>
      <c r="W332" s="19">
        <v>0</v>
      </c>
      <c r="X332" s="80">
        <v>0</v>
      </c>
      <c r="Y332" s="80">
        <v>0.16666666666666666</v>
      </c>
      <c r="Z332" s="80">
        <v>23.833333333333336</v>
      </c>
      <c r="AA332" s="19">
        <v>12</v>
      </c>
      <c r="AC332" s="19">
        <v>434</v>
      </c>
      <c r="AF332" s="19">
        <v>18</v>
      </c>
    </row>
    <row r="333" spans="1:32" x14ac:dyDescent="0.25">
      <c r="A333" s="79">
        <v>46141</v>
      </c>
      <c r="B333" s="19" t="s">
        <v>46</v>
      </c>
      <c r="C333" s="19" t="s">
        <v>184</v>
      </c>
      <c r="D333" s="19">
        <v>534.4</v>
      </c>
      <c r="E333" s="19">
        <v>28</v>
      </c>
      <c r="F333" s="19">
        <v>5</v>
      </c>
      <c r="I333" s="19">
        <v>5</v>
      </c>
      <c r="K333" s="80">
        <v>8.3333333333333329E-2</v>
      </c>
      <c r="N333" s="19">
        <v>3</v>
      </c>
      <c r="W333" s="19">
        <v>0</v>
      </c>
      <c r="X333" s="80">
        <v>0</v>
      </c>
      <c r="Y333" s="80">
        <v>8.3333333333333329E-2</v>
      </c>
      <c r="Z333" s="80">
        <v>35.916666666666664</v>
      </c>
      <c r="AA333" s="19">
        <v>12</v>
      </c>
      <c r="AC333" s="19">
        <v>561.5</v>
      </c>
      <c r="AF333" s="19">
        <v>18</v>
      </c>
    </row>
    <row r="334" spans="1:32" x14ac:dyDescent="0.25">
      <c r="A334" s="79">
        <v>46141</v>
      </c>
      <c r="B334" s="19" t="s">
        <v>47</v>
      </c>
      <c r="C334" s="19" t="s">
        <v>156</v>
      </c>
      <c r="D334" s="19">
        <v>115.8</v>
      </c>
      <c r="E334" s="19">
        <v>5</v>
      </c>
      <c r="F334" s="19">
        <v>5</v>
      </c>
      <c r="I334" s="19">
        <v>5</v>
      </c>
      <c r="K334" s="80">
        <v>8.3333333333333329E-2</v>
      </c>
      <c r="N334" s="19">
        <v>2</v>
      </c>
      <c r="W334" s="19">
        <v>0</v>
      </c>
      <c r="X334" s="80">
        <v>0</v>
      </c>
      <c r="Y334" s="80">
        <v>8.3333333333333329E-2</v>
      </c>
      <c r="Z334" s="80">
        <v>23.916666666666664</v>
      </c>
      <c r="AA334" s="19">
        <v>12</v>
      </c>
      <c r="AC334" s="19">
        <v>129.5</v>
      </c>
      <c r="AF334" s="19">
        <v>18</v>
      </c>
    </row>
    <row r="335" spans="1:32" x14ac:dyDescent="0.25">
      <c r="A335" s="79">
        <v>46141</v>
      </c>
      <c r="B335" s="19" t="s">
        <v>47</v>
      </c>
      <c r="C335" s="19" t="s">
        <v>65</v>
      </c>
      <c r="D335" s="19">
        <v>141.1</v>
      </c>
      <c r="I335" s="19">
        <v>0</v>
      </c>
      <c r="K335" s="80">
        <v>0</v>
      </c>
      <c r="N335" s="19">
        <v>1</v>
      </c>
      <c r="W335" s="19">
        <v>0</v>
      </c>
      <c r="X335" s="80">
        <v>0</v>
      </c>
      <c r="Y335" s="80">
        <v>0</v>
      </c>
      <c r="Z335" s="80">
        <v>12</v>
      </c>
      <c r="AA335" s="19">
        <v>12</v>
      </c>
      <c r="AC335" s="19">
        <v>148.5</v>
      </c>
      <c r="AF335" s="19">
        <v>18</v>
      </c>
    </row>
    <row r="336" spans="1:32" x14ac:dyDescent="0.25">
      <c r="A336" s="79">
        <v>46141</v>
      </c>
      <c r="B336" s="19" t="s">
        <v>47</v>
      </c>
      <c r="C336" s="19" t="s">
        <v>150</v>
      </c>
      <c r="D336" s="19">
        <v>451</v>
      </c>
      <c r="E336" s="19">
        <v>3</v>
      </c>
      <c r="I336" s="19">
        <v>0</v>
      </c>
      <c r="K336" s="80">
        <v>0</v>
      </c>
      <c r="N336" s="19">
        <v>2</v>
      </c>
      <c r="W336" s="19">
        <v>0</v>
      </c>
      <c r="X336" s="80">
        <v>0</v>
      </c>
      <c r="Y336" s="80">
        <v>0</v>
      </c>
      <c r="Z336" s="80">
        <v>24</v>
      </c>
      <c r="AA336" s="19">
        <v>12</v>
      </c>
      <c r="AC336" s="19">
        <v>471.5</v>
      </c>
      <c r="AF336" s="19">
        <v>18</v>
      </c>
    </row>
    <row r="337" spans="1:32" x14ac:dyDescent="0.25">
      <c r="A337" s="79">
        <v>46141</v>
      </c>
      <c r="B337" s="19" t="s">
        <v>47</v>
      </c>
      <c r="C337" s="19" t="s">
        <v>183</v>
      </c>
      <c r="D337" s="19">
        <v>556.9</v>
      </c>
      <c r="E337" s="19">
        <v>9</v>
      </c>
      <c r="F337" s="19">
        <v>4</v>
      </c>
      <c r="I337" s="19">
        <v>4</v>
      </c>
      <c r="K337" s="80">
        <v>6.6666666666666666E-2</v>
      </c>
      <c r="N337" s="19">
        <v>2</v>
      </c>
      <c r="R337" s="19">
        <v>3</v>
      </c>
      <c r="W337" s="19">
        <v>3</v>
      </c>
      <c r="X337" s="80">
        <v>0.05</v>
      </c>
      <c r="Y337" s="80">
        <v>0.11666666666666667</v>
      </c>
      <c r="Z337" s="80">
        <v>23.883333333333333</v>
      </c>
      <c r="AA337" s="19">
        <v>12</v>
      </c>
      <c r="AC337" s="19">
        <v>586</v>
      </c>
      <c r="AF337" s="19">
        <v>18</v>
      </c>
    </row>
    <row r="338" spans="1:32" x14ac:dyDescent="0.25">
      <c r="A338" s="79">
        <v>46141</v>
      </c>
      <c r="B338" s="19" t="s">
        <v>47</v>
      </c>
      <c r="C338" s="19" t="s">
        <v>184</v>
      </c>
      <c r="D338" s="19">
        <v>435.5</v>
      </c>
      <c r="E338" s="19">
        <v>38</v>
      </c>
      <c r="F338" s="19">
        <v>15</v>
      </c>
      <c r="I338" s="19">
        <v>15</v>
      </c>
      <c r="K338" s="80">
        <v>0.25</v>
      </c>
      <c r="N338" s="19">
        <v>4</v>
      </c>
      <c r="W338" s="19">
        <v>0</v>
      </c>
      <c r="X338" s="80">
        <v>0</v>
      </c>
      <c r="Y338" s="80">
        <v>0.25</v>
      </c>
      <c r="Z338" s="80">
        <v>47.75</v>
      </c>
      <c r="AA338" s="19">
        <v>12</v>
      </c>
      <c r="AC338" s="19">
        <v>467.5</v>
      </c>
      <c r="AF338" s="19">
        <v>18</v>
      </c>
    </row>
    <row r="339" spans="1:32" x14ac:dyDescent="0.25">
      <c r="A339" s="79">
        <v>46142</v>
      </c>
      <c r="B339" s="19" t="s">
        <v>46</v>
      </c>
      <c r="C339" s="19" t="s">
        <v>156</v>
      </c>
      <c r="D339" s="19">
        <v>142.6</v>
      </c>
      <c r="E339" s="19">
        <v>5</v>
      </c>
      <c r="F339" s="19">
        <v>5</v>
      </c>
      <c r="I339" s="19">
        <v>5</v>
      </c>
      <c r="K339" s="80">
        <v>8.3333333333333329E-2</v>
      </c>
      <c r="N339" s="19">
        <v>3</v>
      </c>
      <c r="W339" s="19">
        <v>0</v>
      </c>
      <c r="X339" s="80">
        <v>0</v>
      </c>
      <c r="Y339" s="80">
        <v>8.3333333333333329E-2</v>
      </c>
      <c r="Z339" s="80">
        <v>35.916666666666664</v>
      </c>
      <c r="AA339" s="19">
        <v>12</v>
      </c>
      <c r="AC339" s="19">
        <v>164.5</v>
      </c>
      <c r="AF339" s="19">
        <v>18</v>
      </c>
    </row>
    <row r="340" spans="1:32" x14ac:dyDescent="0.25">
      <c r="A340" s="79">
        <v>46142</v>
      </c>
      <c r="B340" s="19" t="s">
        <v>46</v>
      </c>
      <c r="C340" s="19" t="s">
        <v>65</v>
      </c>
      <c r="D340" s="19">
        <v>152</v>
      </c>
      <c r="E340" s="19">
        <v>6</v>
      </c>
      <c r="F340" s="19">
        <v>15</v>
      </c>
      <c r="I340" s="19">
        <v>15</v>
      </c>
      <c r="K340" s="80">
        <v>0.25</v>
      </c>
      <c r="N340" s="19">
        <v>2</v>
      </c>
      <c r="W340" s="19">
        <v>0</v>
      </c>
      <c r="X340" s="80">
        <v>0</v>
      </c>
      <c r="Y340" s="80">
        <v>0.25</v>
      </c>
      <c r="Z340" s="80">
        <v>23.75</v>
      </c>
      <c r="AA340" s="19">
        <v>12</v>
      </c>
      <c r="AC340" s="19">
        <v>166</v>
      </c>
      <c r="AF340" s="19">
        <v>18</v>
      </c>
    </row>
    <row r="341" spans="1:32" x14ac:dyDescent="0.25">
      <c r="A341" s="79">
        <v>46142</v>
      </c>
      <c r="B341" s="19" t="s">
        <v>46</v>
      </c>
      <c r="C341" s="19" t="s">
        <v>190</v>
      </c>
      <c r="D341" s="19">
        <v>36.35</v>
      </c>
      <c r="I341" s="19">
        <v>0</v>
      </c>
      <c r="K341" s="80">
        <v>0</v>
      </c>
      <c r="N341" s="19">
        <v>1</v>
      </c>
      <c r="W341" s="19">
        <v>0</v>
      </c>
      <c r="X341" s="80">
        <v>0</v>
      </c>
      <c r="Y341" s="80">
        <v>0</v>
      </c>
      <c r="Z341" s="80">
        <v>12</v>
      </c>
      <c r="AA341" s="19">
        <v>12</v>
      </c>
      <c r="AC341" s="19">
        <v>43.75</v>
      </c>
      <c r="AF341" s="19">
        <v>18</v>
      </c>
    </row>
    <row r="342" spans="1:32" x14ac:dyDescent="0.25">
      <c r="A342" s="79">
        <v>46142</v>
      </c>
      <c r="B342" s="19" t="s">
        <v>46</v>
      </c>
      <c r="C342" s="19" t="s">
        <v>150</v>
      </c>
      <c r="D342" s="19">
        <v>373.30000000000007</v>
      </c>
      <c r="E342" s="19">
        <v>22</v>
      </c>
      <c r="F342" s="19">
        <v>10</v>
      </c>
      <c r="I342" s="19">
        <v>10</v>
      </c>
      <c r="K342" s="80">
        <v>0.16666666666666666</v>
      </c>
      <c r="N342" s="19">
        <v>3</v>
      </c>
      <c r="W342" s="19">
        <v>0</v>
      </c>
      <c r="X342" s="80">
        <v>0</v>
      </c>
      <c r="Y342" s="80">
        <v>0.16666666666666666</v>
      </c>
      <c r="Z342" s="80">
        <v>35.833333333333336</v>
      </c>
      <c r="AA342" s="19">
        <v>12</v>
      </c>
      <c r="AC342" s="19">
        <v>398.5</v>
      </c>
      <c r="AF342" s="19">
        <v>18</v>
      </c>
    </row>
    <row r="343" spans="1:32" x14ac:dyDescent="0.25">
      <c r="A343" s="79">
        <v>46142</v>
      </c>
      <c r="B343" s="19" t="s">
        <v>46</v>
      </c>
      <c r="C343" s="19" t="s">
        <v>183</v>
      </c>
      <c r="D343" s="19">
        <v>433.4</v>
      </c>
      <c r="E343" s="19">
        <v>22</v>
      </c>
      <c r="I343" s="19">
        <v>0</v>
      </c>
      <c r="K343" s="80">
        <v>0</v>
      </c>
      <c r="N343" s="19">
        <v>3</v>
      </c>
      <c r="W343" s="19">
        <v>0</v>
      </c>
      <c r="X343" s="80">
        <v>0</v>
      </c>
      <c r="Y343" s="80">
        <v>0</v>
      </c>
      <c r="Z343" s="80">
        <v>36</v>
      </c>
      <c r="AA343" s="19">
        <v>12</v>
      </c>
      <c r="AC343" s="19">
        <v>459.5</v>
      </c>
      <c r="AF343" s="19">
        <v>18</v>
      </c>
    </row>
    <row r="344" spans="1:32" x14ac:dyDescent="0.25">
      <c r="A344" s="79">
        <v>46142</v>
      </c>
      <c r="B344" s="19" t="s">
        <v>46</v>
      </c>
      <c r="C344" s="19" t="s">
        <v>184</v>
      </c>
      <c r="D344" s="19">
        <v>366.5</v>
      </c>
      <c r="E344" s="19">
        <v>65</v>
      </c>
      <c r="I344" s="19">
        <v>0</v>
      </c>
      <c r="K344" s="80">
        <v>0</v>
      </c>
      <c r="N344" s="19">
        <v>1</v>
      </c>
      <c r="W344" s="19">
        <v>0</v>
      </c>
      <c r="X344" s="80">
        <v>0</v>
      </c>
      <c r="Y344" s="80">
        <v>0</v>
      </c>
      <c r="Z344" s="80">
        <v>12</v>
      </c>
      <c r="AA344" s="19">
        <v>12</v>
      </c>
      <c r="AC344" s="19">
        <v>380</v>
      </c>
      <c r="AF344" s="19">
        <v>18</v>
      </c>
    </row>
    <row r="345" spans="1:32" x14ac:dyDescent="0.25">
      <c r="A345" s="79">
        <v>46142</v>
      </c>
      <c r="B345" s="19" t="s">
        <v>47</v>
      </c>
      <c r="C345" s="19" t="s">
        <v>156</v>
      </c>
      <c r="D345" s="19">
        <v>33.799999999999997</v>
      </c>
      <c r="I345" s="19">
        <v>0</v>
      </c>
      <c r="K345" s="80">
        <v>0</v>
      </c>
      <c r="N345" s="19">
        <v>1</v>
      </c>
      <c r="W345" s="19">
        <v>0</v>
      </c>
      <c r="X345" s="80">
        <v>0</v>
      </c>
      <c r="Y345" s="80">
        <v>0</v>
      </c>
      <c r="Z345" s="80">
        <v>12</v>
      </c>
      <c r="AA345" s="19">
        <v>12</v>
      </c>
      <c r="AC345" s="19">
        <v>39.5</v>
      </c>
      <c r="AF345" s="19">
        <v>18</v>
      </c>
    </row>
    <row r="346" spans="1:32" x14ac:dyDescent="0.25">
      <c r="A346" s="79">
        <v>46142</v>
      </c>
      <c r="B346" s="19" t="s">
        <v>47</v>
      </c>
      <c r="C346" s="19" t="s">
        <v>65</v>
      </c>
      <c r="D346" s="19">
        <v>91.3</v>
      </c>
      <c r="I346" s="19">
        <v>0</v>
      </c>
      <c r="K346" s="80">
        <v>0</v>
      </c>
      <c r="N346" s="19">
        <v>1</v>
      </c>
      <c r="W346" s="19">
        <v>0</v>
      </c>
      <c r="X346" s="80">
        <v>0</v>
      </c>
      <c r="Y346" s="80">
        <v>0</v>
      </c>
      <c r="Z346" s="80">
        <v>12</v>
      </c>
      <c r="AA346" s="19">
        <v>12</v>
      </c>
      <c r="AC346" s="19">
        <v>97.5</v>
      </c>
      <c r="AF346" s="19">
        <v>18</v>
      </c>
    </row>
    <row r="347" spans="1:32" x14ac:dyDescent="0.25">
      <c r="A347" s="79">
        <v>46142</v>
      </c>
      <c r="B347" s="19" t="s">
        <v>47</v>
      </c>
      <c r="C347" s="19" t="s">
        <v>150</v>
      </c>
      <c r="D347" s="19">
        <v>354.8</v>
      </c>
      <c r="I347" s="19">
        <v>0</v>
      </c>
      <c r="K347" s="80">
        <v>0</v>
      </c>
      <c r="N347" s="19">
        <v>1</v>
      </c>
      <c r="W347" s="19">
        <v>0</v>
      </c>
      <c r="X347" s="80">
        <v>0</v>
      </c>
      <c r="Y347" s="80">
        <v>0</v>
      </c>
      <c r="Z347" s="80">
        <v>12</v>
      </c>
      <c r="AA347" s="19">
        <v>12</v>
      </c>
      <c r="AC347" s="19">
        <v>365</v>
      </c>
      <c r="AF347" s="19">
        <v>18</v>
      </c>
    </row>
    <row r="348" spans="1:32" x14ac:dyDescent="0.25">
      <c r="A348" s="79">
        <v>46142</v>
      </c>
      <c r="B348" s="19" t="s">
        <v>47</v>
      </c>
      <c r="C348" s="19" t="s">
        <v>183</v>
      </c>
      <c r="D348" s="19">
        <v>315.83</v>
      </c>
      <c r="E348" s="19">
        <v>8</v>
      </c>
      <c r="F348" s="19">
        <v>5</v>
      </c>
      <c r="I348" s="19">
        <v>5</v>
      </c>
      <c r="K348" s="80">
        <v>8.3333333333333329E-2</v>
      </c>
      <c r="N348" s="19">
        <v>4</v>
      </c>
      <c r="W348" s="19">
        <v>0</v>
      </c>
      <c r="X348" s="80">
        <v>0</v>
      </c>
      <c r="Y348" s="80">
        <v>8.3333333333333329E-2</v>
      </c>
      <c r="Z348" s="80">
        <v>47.916666666666664</v>
      </c>
      <c r="AA348" s="19">
        <v>12</v>
      </c>
      <c r="AC348" s="19">
        <v>350.5</v>
      </c>
      <c r="AF348" s="19">
        <v>18</v>
      </c>
    </row>
    <row r="349" spans="1:32" x14ac:dyDescent="0.25">
      <c r="A349" s="79">
        <v>46142</v>
      </c>
      <c r="B349" s="19" t="s">
        <v>47</v>
      </c>
      <c r="C349" s="19" t="s">
        <v>184</v>
      </c>
      <c r="D349" s="19">
        <v>316.39999999999998</v>
      </c>
      <c r="I349" s="19">
        <v>0</v>
      </c>
      <c r="K349" s="80">
        <v>0</v>
      </c>
      <c r="N349" s="19">
        <v>1</v>
      </c>
      <c r="W349" s="19">
        <v>0</v>
      </c>
      <c r="X349" s="80">
        <v>0</v>
      </c>
      <c r="Y349" s="80">
        <v>0</v>
      </c>
      <c r="Z349" s="80">
        <v>12</v>
      </c>
      <c r="AA349" s="19">
        <v>12</v>
      </c>
      <c r="AC349" s="19">
        <v>329</v>
      </c>
      <c r="AF349" s="19">
        <v>18</v>
      </c>
    </row>
    <row r="350" spans="1:32" x14ac:dyDescent="0.25">
      <c r="A350"/>
      <c r="B350"/>
      <c r="C350"/>
      <c r="D350"/>
      <c r="E350"/>
      <c r="F350">
        <f t="shared" ref="F350:V350" si="0">SUM(F5:F349)</f>
        <v>794</v>
      </c>
      <c r="G350">
        <f t="shared" si="0"/>
        <v>1430</v>
      </c>
      <c r="H350">
        <f t="shared" si="0"/>
        <v>240</v>
      </c>
      <c r="I350"/>
      <c r="J350"/>
      <c r="K350"/>
      <c r="L350">
        <f t="shared" si="0"/>
        <v>0</v>
      </c>
      <c r="M350">
        <f t="shared" si="0"/>
        <v>0</v>
      </c>
      <c r="N350">
        <f t="shared" si="0"/>
        <v>623</v>
      </c>
      <c r="O350">
        <f t="shared" si="0"/>
        <v>0</v>
      </c>
      <c r="P350">
        <f t="shared" si="0"/>
        <v>25</v>
      </c>
      <c r="Q350">
        <f t="shared" si="0"/>
        <v>1245</v>
      </c>
      <c r="R350">
        <f t="shared" si="0"/>
        <v>98</v>
      </c>
      <c r="S350">
        <f t="shared" si="0"/>
        <v>360</v>
      </c>
      <c r="T350">
        <f t="shared" si="0"/>
        <v>480</v>
      </c>
      <c r="U350">
        <f t="shared" si="0"/>
        <v>280</v>
      </c>
      <c r="V350">
        <f t="shared" si="0"/>
        <v>30</v>
      </c>
      <c r="W350"/>
      <c r="X350"/>
      <c r="Y350"/>
      <c r="Z350"/>
      <c r="AA350"/>
      <c r="AB350"/>
      <c r="AC350"/>
      <c r="AD350"/>
      <c r="AE350"/>
      <c r="AF350"/>
    </row>
    <row r="351" spans="1:32" x14ac:dyDescent="0.25">
      <c r="A351"/>
      <c r="B351"/>
      <c r="C351"/>
      <c r="D351"/>
      <c r="E351"/>
      <c r="F351">
        <f t="shared" ref="F351:V351" si="1">+F350/60</f>
        <v>13.233333333333333</v>
      </c>
      <c r="G351">
        <f t="shared" si="1"/>
        <v>23.833333333333332</v>
      </c>
      <c r="H351">
        <f t="shared" si="1"/>
        <v>4</v>
      </c>
      <c r="I351"/>
      <c r="J351"/>
      <c r="K351"/>
      <c r="L351">
        <f t="shared" si="1"/>
        <v>0</v>
      </c>
      <c r="M351">
        <f t="shared" si="1"/>
        <v>0</v>
      </c>
      <c r="N351">
        <f t="shared" si="1"/>
        <v>10.383333333333333</v>
      </c>
      <c r="O351">
        <f t="shared" si="1"/>
        <v>0</v>
      </c>
      <c r="P351">
        <f t="shared" si="1"/>
        <v>0.41666666666666669</v>
      </c>
      <c r="Q351">
        <f t="shared" si="1"/>
        <v>20.75</v>
      </c>
      <c r="R351">
        <f t="shared" si="1"/>
        <v>1.6333333333333333</v>
      </c>
      <c r="S351">
        <f t="shared" si="1"/>
        <v>6</v>
      </c>
      <c r="T351">
        <f t="shared" si="1"/>
        <v>8</v>
      </c>
      <c r="U351">
        <f t="shared" si="1"/>
        <v>4.666666666666667</v>
      </c>
      <c r="V351">
        <f t="shared" si="1"/>
        <v>0.5</v>
      </c>
      <c r="W351"/>
      <c r="X351"/>
      <c r="Y351"/>
      <c r="Z351"/>
      <c r="AA351"/>
      <c r="AB351"/>
      <c r="AC351"/>
      <c r="AD351"/>
      <c r="AE351"/>
      <c r="AF351"/>
    </row>
    <row r="352" spans="1:32" x14ac:dyDescent="0.25">
      <c r="A352"/>
      <c r="B352"/>
      <c r="C352"/>
      <c r="D352" s="36"/>
      <c r="E352" s="36"/>
      <c r="F352" s="36">
        <f t="shared" ref="F352:V352" si="2">+F351/4140</f>
        <v>3.1964573268921095E-3</v>
      </c>
      <c r="G352" s="36">
        <f t="shared" si="2"/>
        <v>5.7568438003220606E-3</v>
      </c>
      <c r="H352" s="36">
        <f t="shared" si="2"/>
        <v>9.6618357487922703E-4</v>
      </c>
      <c r="I352" s="36"/>
      <c r="J352" s="36"/>
      <c r="K352" s="36"/>
      <c r="L352" s="36">
        <f t="shared" si="2"/>
        <v>0</v>
      </c>
      <c r="M352" s="36">
        <f t="shared" si="2"/>
        <v>0</v>
      </c>
      <c r="N352" s="36"/>
      <c r="O352" s="36">
        <f t="shared" si="2"/>
        <v>0</v>
      </c>
      <c r="P352" s="36">
        <f t="shared" si="2"/>
        <v>1.0064412238325282E-4</v>
      </c>
      <c r="Q352" s="36">
        <f t="shared" si="2"/>
        <v>5.0120772946859902E-3</v>
      </c>
      <c r="R352" s="36">
        <f t="shared" si="2"/>
        <v>3.9452495974235101E-4</v>
      </c>
      <c r="S352" s="36">
        <f t="shared" si="2"/>
        <v>1.4492753623188406E-3</v>
      </c>
      <c r="T352" s="36">
        <f t="shared" si="2"/>
        <v>1.9323671497584541E-3</v>
      </c>
      <c r="U352" s="36">
        <f t="shared" si="2"/>
        <v>1.1272141706924316E-3</v>
      </c>
      <c r="V352" s="36">
        <f t="shared" si="2"/>
        <v>1.2077294685990338E-4</v>
      </c>
      <c r="W352"/>
      <c r="X352"/>
      <c r="Y352"/>
      <c r="Z352"/>
      <c r="AA352"/>
      <c r="AB352"/>
      <c r="AC352"/>
      <c r="AD352"/>
      <c r="AE352"/>
      <c r="AF352"/>
    </row>
    <row r="353" spans="1:32" x14ac:dyDescent="0.25">
      <c r="A353"/>
      <c r="B353"/>
      <c r="C353"/>
      <c r="D353"/>
      <c r="E353"/>
      <c r="F353"/>
      <c r="G353"/>
      <c r="H353"/>
      <c r="I353"/>
      <c r="J353"/>
      <c r="K353"/>
      <c r="L353"/>
      <c r="M353"/>
      <c r="N353"/>
      <c r="O353"/>
      <c r="P353"/>
      <c r="Q353"/>
      <c r="R353"/>
      <c r="S353"/>
      <c r="T353"/>
      <c r="U353"/>
      <c r="V353"/>
      <c r="W353"/>
      <c r="X353"/>
      <c r="Y353"/>
      <c r="Z353"/>
      <c r="AA353"/>
      <c r="AB353"/>
      <c r="AC353"/>
      <c r="AD353"/>
      <c r="AE353"/>
      <c r="AF353"/>
    </row>
    <row r="354" spans="1:32" x14ac:dyDescent="0.25">
      <c r="A354"/>
      <c r="B354"/>
      <c r="C354"/>
      <c r="D354"/>
      <c r="E354"/>
      <c r="F354"/>
      <c r="G354"/>
      <c r="H354"/>
      <c r="I354"/>
      <c r="J354"/>
      <c r="K354"/>
      <c r="L354"/>
      <c r="M354"/>
      <c r="N354"/>
      <c r="O354"/>
      <c r="P354"/>
      <c r="Q354"/>
      <c r="R354"/>
      <c r="S354"/>
      <c r="T354"/>
      <c r="U354"/>
      <c r="V354"/>
      <c r="W354"/>
      <c r="X354"/>
      <c r="Y354"/>
      <c r="Z354"/>
      <c r="AA354"/>
      <c r="AB354"/>
      <c r="AC354"/>
      <c r="AD354"/>
      <c r="AE354"/>
      <c r="AF354"/>
    </row>
    <row r="355" spans="1:32" x14ac:dyDescent="0.25">
      <c r="A355"/>
      <c r="B355"/>
      <c r="C355"/>
      <c r="D355"/>
      <c r="E355"/>
      <c r="F355"/>
      <c r="G355"/>
      <c r="H355"/>
      <c r="I355"/>
      <c r="J355"/>
      <c r="K355"/>
      <c r="L355"/>
      <c r="M355"/>
      <c r="N355"/>
      <c r="O355"/>
      <c r="P355"/>
      <c r="Q355"/>
      <c r="R355"/>
      <c r="S355"/>
      <c r="T355"/>
      <c r="U355"/>
      <c r="V355"/>
      <c r="W355"/>
      <c r="X355"/>
      <c r="Y355"/>
      <c r="Z355"/>
      <c r="AA355"/>
      <c r="AB355"/>
      <c r="AC355"/>
      <c r="AD355"/>
      <c r="AE355"/>
      <c r="AF355"/>
    </row>
    <row r="356" spans="1:32" x14ac:dyDescent="0.25">
      <c r="A356"/>
      <c r="B356"/>
      <c r="C356"/>
      <c r="D356"/>
      <c r="E356"/>
      <c r="F356"/>
      <c r="G356"/>
      <c r="H356"/>
      <c r="I356"/>
      <c r="J356"/>
      <c r="K356"/>
      <c r="L356"/>
      <c r="M356"/>
      <c r="N356"/>
      <c r="O356"/>
      <c r="P356"/>
      <c r="Q356"/>
      <c r="R356"/>
      <c r="S356"/>
      <c r="T356"/>
      <c r="U356"/>
      <c r="V356"/>
      <c r="W356"/>
      <c r="X356"/>
      <c r="Y356"/>
      <c r="Z356"/>
      <c r="AA356"/>
      <c r="AB356"/>
      <c r="AC356"/>
      <c r="AD356"/>
      <c r="AE356"/>
      <c r="AF356"/>
    </row>
    <row r="357" spans="1:32" x14ac:dyDescent="0.25">
      <c r="A357"/>
      <c r="B357"/>
      <c r="C357"/>
      <c r="D357"/>
      <c r="E357"/>
      <c r="F357"/>
      <c r="G357"/>
      <c r="H357"/>
      <c r="I357"/>
      <c r="J357"/>
      <c r="K357"/>
      <c r="L357"/>
      <c r="M357"/>
      <c r="N357"/>
      <c r="O357"/>
      <c r="P357"/>
      <c r="Q357"/>
      <c r="R357"/>
      <c r="S357"/>
      <c r="T357"/>
      <c r="U357"/>
      <c r="V357"/>
      <c r="W357"/>
      <c r="X357"/>
      <c r="Y357"/>
      <c r="Z357"/>
      <c r="AA357"/>
      <c r="AB357"/>
      <c r="AC357"/>
      <c r="AD357"/>
      <c r="AE357"/>
      <c r="AF357"/>
    </row>
    <row r="358" spans="1:32" x14ac:dyDescent="0.25">
      <c r="A358"/>
      <c r="B358"/>
      <c r="C358"/>
      <c r="D358"/>
      <c r="E358"/>
      <c r="F358"/>
      <c r="G358"/>
      <c r="H358"/>
      <c r="I358"/>
      <c r="J358"/>
      <c r="K358"/>
      <c r="L358"/>
      <c r="M358"/>
      <c r="N358"/>
      <c r="O358"/>
      <c r="P358"/>
      <c r="Q358"/>
      <c r="R358"/>
      <c r="S358"/>
      <c r="T358"/>
      <c r="U358"/>
      <c r="V358"/>
      <c r="W358"/>
      <c r="X358"/>
      <c r="Y358"/>
      <c r="Z358"/>
      <c r="AA358"/>
      <c r="AB358"/>
      <c r="AC358"/>
      <c r="AD358"/>
      <c r="AE358"/>
      <c r="AF358"/>
    </row>
    <row r="359" spans="1:32" x14ac:dyDescent="0.25">
      <c r="A359"/>
      <c r="B359"/>
      <c r="C359"/>
      <c r="D359"/>
      <c r="E359"/>
      <c r="F359"/>
      <c r="G359"/>
      <c r="H359"/>
      <c r="I359"/>
      <c r="J359"/>
      <c r="K359"/>
      <c r="L359"/>
      <c r="M359"/>
      <c r="N359"/>
      <c r="O359"/>
      <c r="P359"/>
      <c r="Q359"/>
      <c r="R359"/>
      <c r="S359"/>
      <c r="T359"/>
      <c r="U359"/>
      <c r="V359"/>
      <c r="W359"/>
      <c r="X359"/>
      <c r="Y359"/>
      <c r="Z359"/>
      <c r="AA359"/>
      <c r="AB359"/>
      <c r="AC359"/>
      <c r="AD359"/>
      <c r="AE359"/>
      <c r="AF359"/>
    </row>
    <row r="360" spans="1:32" x14ac:dyDescent="0.25">
      <c r="A360"/>
      <c r="B360"/>
      <c r="C360"/>
      <c r="D360"/>
      <c r="E360"/>
      <c r="F360"/>
      <c r="G360"/>
      <c r="H360"/>
      <c r="I360"/>
      <c r="J360"/>
      <c r="K360"/>
      <c r="L360"/>
      <c r="M360"/>
      <c r="N360"/>
      <c r="O360"/>
      <c r="P360"/>
      <c r="Q360"/>
      <c r="R360"/>
      <c r="S360"/>
      <c r="T360"/>
      <c r="U360"/>
      <c r="V360"/>
      <c r="W360"/>
      <c r="X360"/>
      <c r="Y360"/>
      <c r="Z360"/>
      <c r="AA360"/>
      <c r="AB360"/>
      <c r="AC360"/>
      <c r="AD360"/>
      <c r="AE360"/>
      <c r="AF360"/>
    </row>
    <row r="361" spans="1:32" x14ac:dyDescent="0.25">
      <c r="A361"/>
      <c r="B361"/>
      <c r="C361"/>
      <c r="D361"/>
      <c r="E361"/>
      <c r="F361"/>
      <c r="G361"/>
      <c r="H361"/>
      <c r="I361"/>
      <c r="J361"/>
      <c r="K361"/>
      <c r="L361"/>
      <c r="M361"/>
      <c r="N361"/>
      <c r="O361"/>
      <c r="P361"/>
      <c r="Q361"/>
      <c r="R361"/>
      <c r="S361"/>
      <c r="T361"/>
      <c r="U361"/>
      <c r="V361"/>
      <c r="W361"/>
      <c r="X361"/>
      <c r="Y361"/>
      <c r="Z361"/>
      <c r="AA361"/>
      <c r="AB361"/>
      <c r="AC361"/>
      <c r="AD361"/>
      <c r="AE361"/>
      <c r="AF361"/>
    </row>
    <row r="362" spans="1:32" x14ac:dyDescent="0.25">
      <c r="A362"/>
      <c r="B362"/>
      <c r="C362"/>
      <c r="D362"/>
      <c r="E362"/>
      <c r="F362"/>
      <c r="G362"/>
      <c r="H362"/>
      <c r="I362"/>
      <c r="J362"/>
      <c r="K362"/>
      <c r="L362"/>
      <c r="M362"/>
      <c r="N362"/>
      <c r="O362"/>
      <c r="P362"/>
      <c r="Q362"/>
      <c r="R362"/>
      <c r="S362"/>
      <c r="T362"/>
      <c r="U362"/>
      <c r="V362"/>
      <c r="W362"/>
      <c r="X362"/>
      <c r="Y362"/>
      <c r="Z362"/>
      <c r="AA362"/>
      <c r="AB362"/>
      <c r="AC362"/>
      <c r="AD362"/>
      <c r="AE362"/>
      <c r="AF362"/>
    </row>
    <row r="363" spans="1:32" x14ac:dyDescent="0.25">
      <c r="A363"/>
      <c r="B363"/>
      <c r="C363"/>
      <c r="D363"/>
      <c r="E363"/>
      <c r="F363"/>
      <c r="G363"/>
      <c r="H363"/>
      <c r="I363"/>
      <c r="J363"/>
      <c r="K363"/>
      <c r="L363"/>
      <c r="M363"/>
      <c r="N363"/>
      <c r="O363"/>
      <c r="P363"/>
      <c r="Q363"/>
      <c r="R363"/>
      <c r="S363"/>
      <c r="T363"/>
      <c r="U363"/>
      <c r="V363"/>
      <c r="W363"/>
      <c r="X363"/>
      <c r="Y363"/>
      <c r="Z363"/>
      <c r="AA363"/>
      <c r="AB363"/>
      <c r="AC363"/>
      <c r="AD363"/>
      <c r="AE363"/>
      <c r="AF363"/>
    </row>
    <row r="364" spans="1:32" x14ac:dyDescent="0.25">
      <c r="A364"/>
      <c r="B364"/>
      <c r="C364"/>
      <c r="D364"/>
      <c r="E364"/>
      <c r="F364"/>
      <c r="G364"/>
      <c r="H364"/>
      <c r="I364"/>
      <c r="J364"/>
      <c r="K364"/>
      <c r="L364"/>
      <c r="M364"/>
      <c r="N364"/>
      <c r="O364"/>
      <c r="P364"/>
      <c r="Q364"/>
      <c r="R364"/>
      <c r="S364"/>
      <c r="T364"/>
      <c r="U364"/>
      <c r="V364"/>
      <c r="W364"/>
      <c r="X364"/>
      <c r="Y364"/>
      <c r="Z364"/>
      <c r="AA364"/>
      <c r="AB364"/>
      <c r="AC364"/>
      <c r="AD364"/>
      <c r="AE364"/>
      <c r="AF364"/>
    </row>
    <row r="365" spans="1:32" x14ac:dyDescent="0.25">
      <c r="A365"/>
      <c r="B365"/>
      <c r="C365"/>
      <c r="D365"/>
      <c r="E365"/>
      <c r="F365"/>
      <c r="G365"/>
      <c r="H365"/>
      <c r="I365"/>
      <c r="J365"/>
      <c r="K365"/>
      <c r="L365"/>
      <c r="M365"/>
      <c r="N365"/>
      <c r="O365"/>
      <c r="P365"/>
      <c r="Q365"/>
      <c r="R365"/>
      <c r="S365"/>
      <c r="T365"/>
      <c r="U365"/>
      <c r="V365"/>
      <c r="W365"/>
      <c r="X365"/>
      <c r="Y365"/>
      <c r="Z365"/>
      <c r="AA365"/>
      <c r="AB365"/>
      <c r="AC365"/>
      <c r="AD365"/>
      <c r="AE365"/>
      <c r="AF365"/>
    </row>
    <row r="366" spans="1:32" x14ac:dyDescent="0.25">
      <c r="A366"/>
      <c r="B366"/>
      <c r="C366"/>
      <c r="D366"/>
      <c r="E366"/>
      <c r="F366"/>
      <c r="G366"/>
      <c r="H366"/>
      <c r="I366"/>
      <c r="J366"/>
      <c r="K366"/>
      <c r="L366"/>
      <c r="M366"/>
      <c r="N366"/>
      <c r="O366"/>
      <c r="P366"/>
      <c r="Q366"/>
      <c r="R366"/>
      <c r="S366"/>
      <c r="T366"/>
      <c r="U366"/>
      <c r="V366"/>
      <c r="W366"/>
      <c r="X366"/>
      <c r="Y366"/>
      <c r="Z366"/>
      <c r="AA366"/>
      <c r="AB366"/>
      <c r="AC366"/>
      <c r="AD366"/>
      <c r="AE366"/>
      <c r="AF366"/>
    </row>
    <row r="367" spans="1:32" x14ac:dyDescent="0.25">
      <c r="A367"/>
      <c r="B367"/>
      <c r="C367"/>
      <c r="D367"/>
      <c r="E367"/>
      <c r="F367"/>
      <c r="G367"/>
      <c r="H367"/>
      <c r="I367"/>
      <c r="J367"/>
      <c r="K367"/>
      <c r="L367"/>
      <c r="M367"/>
      <c r="N367"/>
      <c r="O367"/>
      <c r="P367"/>
      <c r="Q367"/>
      <c r="R367"/>
      <c r="S367"/>
      <c r="T367"/>
      <c r="U367"/>
      <c r="V367"/>
      <c r="W367"/>
      <c r="X367"/>
      <c r="Y367"/>
      <c r="Z367"/>
      <c r="AA367"/>
      <c r="AB367"/>
      <c r="AC367"/>
      <c r="AD367"/>
      <c r="AE367"/>
      <c r="AF367"/>
    </row>
    <row r="368" spans="1:32" x14ac:dyDescent="0.25">
      <c r="A368"/>
      <c r="B368"/>
      <c r="C368"/>
      <c r="D368"/>
      <c r="E368"/>
      <c r="F368"/>
      <c r="G368"/>
      <c r="H368"/>
      <c r="I368"/>
      <c r="J368"/>
      <c r="K368"/>
      <c r="L368"/>
      <c r="M368"/>
      <c r="N368"/>
      <c r="O368"/>
      <c r="P368"/>
      <c r="Q368"/>
      <c r="R368"/>
      <c r="S368"/>
      <c r="T368"/>
      <c r="U368"/>
      <c r="V368"/>
      <c r="W368"/>
      <c r="X368"/>
      <c r="Y368"/>
      <c r="Z368"/>
      <c r="AA368"/>
      <c r="AB368"/>
      <c r="AC368"/>
      <c r="AD368"/>
      <c r="AE368"/>
      <c r="AF368"/>
    </row>
    <row r="369" spans="1:32" x14ac:dyDescent="0.25">
      <c r="A369"/>
      <c r="B369"/>
      <c r="C369"/>
      <c r="D369"/>
      <c r="E369"/>
      <c r="F369"/>
      <c r="G369"/>
      <c r="H369"/>
      <c r="I369"/>
      <c r="J369"/>
      <c r="K369"/>
      <c r="L369"/>
      <c r="M369"/>
      <c r="N369"/>
      <c r="O369"/>
      <c r="P369"/>
      <c r="Q369"/>
      <c r="R369"/>
      <c r="S369"/>
      <c r="T369"/>
      <c r="U369"/>
      <c r="V369"/>
      <c r="W369"/>
      <c r="X369"/>
      <c r="Y369"/>
      <c r="Z369"/>
      <c r="AA369"/>
      <c r="AB369"/>
      <c r="AC369"/>
      <c r="AD369"/>
      <c r="AE369"/>
      <c r="AF369"/>
    </row>
    <row r="370" spans="1:32" x14ac:dyDescent="0.25">
      <c r="A370"/>
      <c r="B370"/>
      <c r="C370"/>
      <c r="D370"/>
      <c r="E370"/>
      <c r="F370"/>
      <c r="G370"/>
      <c r="H370"/>
      <c r="I370"/>
      <c r="J370"/>
      <c r="K370"/>
      <c r="L370"/>
      <c r="M370"/>
      <c r="N370"/>
      <c r="O370"/>
      <c r="P370"/>
      <c r="Q370"/>
      <c r="R370"/>
      <c r="S370"/>
      <c r="T370"/>
      <c r="U370"/>
      <c r="V370"/>
      <c r="W370"/>
      <c r="X370"/>
      <c r="Y370"/>
      <c r="Z370"/>
      <c r="AA370"/>
      <c r="AB370"/>
      <c r="AC370"/>
      <c r="AD370"/>
      <c r="AE370"/>
      <c r="AF370"/>
    </row>
    <row r="371" spans="1:32" x14ac:dyDescent="0.25">
      <c r="A371"/>
      <c r="B371"/>
      <c r="C371"/>
      <c r="D371"/>
      <c r="E371"/>
      <c r="F371"/>
      <c r="G371"/>
      <c r="H371"/>
      <c r="I371"/>
      <c r="J371"/>
      <c r="K371"/>
      <c r="L371"/>
      <c r="M371"/>
      <c r="N371"/>
      <c r="O371"/>
      <c r="P371"/>
      <c r="Q371"/>
      <c r="R371"/>
      <c r="S371"/>
      <c r="T371"/>
      <c r="U371"/>
      <c r="V371"/>
      <c r="W371"/>
      <c r="X371"/>
      <c r="Y371"/>
      <c r="Z371"/>
      <c r="AA371"/>
      <c r="AB371"/>
      <c r="AC371"/>
      <c r="AD371"/>
      <c r="AE371"/>
      <c r="AF371"/>
    </row>
    <row r="372" spans="1:32" x14ac:dyDescent="0.25">
      <c r="A372"/>
      <c r="B372"/>
      <c r="C372"/>
      <c r="D372"/>
      <c r="E372"/>
      <c r="F372"/>
      <c r="G372"/>
      <c r="H372"/>
      <c r="I372"/>
      <c r="J372"/>
      <c r="K372"/>
      <c r="L372"/>
      <c r="M372"/>
      <c r="N372"/>
      <c r="O372"/>
      <c r="P372"/>
      <c r="Q372"/>
      <c r="R372"/>
      <c r="S372"/>
      <c r="T372"/>
      <c r="U372"/>
      <c r="V372"/>
      <c r="W372"/>
      <c r="X372"/>
      <c r="Y372"/>
      <c r="Z372"/>
      <c r="AA372"/>
      <c r="AB372"/>
      <c r="AC372"/>
      <c r="AD372"/>
      <c r="AE372"/>
      <c r="AF372"/>
    </row>
    <row r="373" spans="1:32" x14ac:dyDescent="0.25">
      <c r="A373"/>
      <c r="B373"/>
      <c r="C373"/>
      <c r="D373"/>
      <c r="E373"/>
      <c r="F373"/>
      <c r="G373"/>
      <c r="H373"/>
      <c r="I373"/>
      <c r="J373"/>
      <c r="K373"/>
      <c r="L373"/>
      <c r="M373"/>
      <c r="N373"/>
      <c r="O373"/>
      <c r="P373"/>
      <c r="Q373"/>
      <c r="R373"/>
      <c r="S373"/>
      <c r="T373"/>
      <c r="U373"/>
      <c r="V373"/>
      <c r="W373"/>
      <c r="X373"/>
      <c r="Y373"/>
      <c r="Z373"/>
      <c r="AA373"/>
      <c r="AB373"/>
      <c r="AC373"/>
      <c r="AD373"/>
      <c r="AE373"/>
      <c r="AF373"/>
    </row>
    <row r="374" spans="1:32" x14ac:dyDescent="0.25">
      <c r="A374"/>
      <c r="B374"/>
      <c r="C374"/>
      <c r="D374"/>
      <c r="E374"/>
      <c r="F374"/>
      <c r="G374"/>
      <c r="H374"/>
      <c r="I374"/>
      <c r="J374"/>
      <c r="K374"/>
      <c r="L374"/>
      <c r="M374"/>
      <c r="N374"/>
      <c r="O374"/>
      <c r="P374"/>
      <c r="Q374"/>
      <c r="R374"/>
      <c r="S374"/>
      <c r="T374"/>
      <c r="U374"/>
      <c r="V374"/>
      <c r="W374"/>
      <c r="X374"/>
      <c r="Y374"/>
      <c r="Z374"/>
      <c r="AA374"/>
      <c r="AB374"/>
      <c r="AC374"/>
      <c r="AD374"/>
      <c r="AE374"/>
      <c r="AF374"/>
    </row>
    <row r="375" spans="1:32" x14ac:dyDescent="0.25">
      <c r="A375"/>
      <c r="B375"/>
      <c r="C375"/>
      <c r="D375"/>
      <c r="E375"/>
      <c r="F375"/>
      <c r="G375"/>
      <c r="H375"/>
      <c r="I375"/>
      <c r="J375"/>
      <c r="K375"/>
      <c r="L375"/>
      <c r="M375"/>
      <c r="N375"/>
      <c r="O375"/>
      <c r="P375"/>
      <c r="Q375"/>
      <c r="R375"/>
      <c r="S375"/>
      <c r="T375"/>
      <c r="U375"/>
      <c r="V375"/>
      <c r="W375"/>
      <c r="X375"/>
      <c r="Y375"/>
      <c r="Z375"/>
      <c r="AA375"/>
      <c r="AB375"/>
      <c r="AC375"/>
      <c r="AD375"/>
      <c r="AE375"/>
      <c r="AF375"/>
    </row>
    <row r="376" spans="1:32" x14ac:dyDescent="0.25">
      <c r="A376"/>
      <c r="B376"/>
      <c r="C376"/>
      <c r="D376"/>
      <c r="E376"/>
      <c r="F376"/>
      <c r="G376"/>
      <c r="H376"/>
      <c r="I376"/>
      <c r="J376"/>
      <c r="K376"/>
      <c r="L376"/>
      <c r="M376"/>
      <c r="N376"/>
      <c r="O376"/>
      <c r="P376"/>
      <c r="Q376"/>
      <c r="R376"/>
      <c r="S376"/>
      <c r="T376"/>
      <c r="U376"/>
      <c r="V376"/>
      <c r="W376"/>
      <c r="X376"/>
      <c r="Y376"/>
      <c r="Z376"/>
      <c r="AA376"/>
      <c r="AB376"/>
      <c r="AC376"/>
      <c r="AD376"/>
      <c r="AE376"/>
      <c r="AF376"/>
    </row>
    <row r="377" spans="1:32" x14ac:dyDescent="0.25">
      <c r="A377"/>
      <c r="B377"/>
      <c r="C377"/>
      <c r="D377"/>
      <c r="E377"/>
      <c r="F377"/>
      <c r="G377"/>
      <c r="H377"/>
      <c r="I377"/>
      <c r="J377"/>
      <c r="K377"/>
      <c r="L377"/>
      <c r="M377"/>
      <c r="N377"/>
      <c r="O377"/>
      <c r="P377"/>
      <c r="Q377"/>
      <c r="R377"/>
      <c r="S377"/>
      <c r="T377"/>
      <c r="U377"/>
      <c r="V377"/>
      <c r="W377"/>
      <c r="X377"/>
      <c r="Y377"/>
      <c r="Z377"/>
      <c r="AA377"/>
      <c r="AB377"/>
      <c r="AC377"/>
      <c r="AD377"/>
      <c r="AE377"/>
      <c r="AF377"/>
    </row>
    <row r="378" spans="1:32" x14ac:dyDescent="0.25">
      <c r="A378"/>
      <c r="B378"/>
      <c r="C378"/>
      <c r="D378"/>
      <c r="E378"/>
      <c r="F378"/>
      <c r="G378"/>
      <c r="H378"/>
      <c r="I378"/>
      <c r="J378"/>
      <c r="K378"/>
      <c r="L378"/>
      <c r="M378"/>
      <c r="N378"/>
      <c r="O378"/>
      <c r="P378"/>
      <c r="Q378"/>
      <c r="R378"/>
      <c r="S378"/>
      <c r="T378"/>
      <c r="U378"/>
      <c r="V378"/>
      <c r="W378"/>
      <c r="X378"/>
      <c r="Y378"/>
      <c r="Z378"/>
      <c r="AA378"/>
      <c r="AB378"/>
      <c r="AC378"/>
      <c r="AD378"/>
      <c r="AE378"/>
      <c r="AF378"/>
    </row>
    <row r="379" spans="1:32" x14ac:dyDescent="0.25">
      <c r="A379"/>
      <c r="B379"/>
      <c r="C379"/>
      <c r="D379"/>
      <c r="E379"/>
      <c r="F379"/>
      <c r="G379"/>
      <c r="H379"/>
      <c r="I379"/>
      <c r="J379"/>
      <c r="K379"/>
      <c r="L379"/>
      <c r="M379"/>
      <c r="N379"/>
      <c r="O379"/>
      <c r="P379"/>
      <c r="Q379"/>
      <c r="R379"/>
      <c r="S379"/>
      <c r="T379"/>
      <c r="U379"/>
      <c r="V379"/>
      <c r="W379"/>
      <c r="X379"/>
      <c r="Y379"/>
      <c r="Z379"/>
      <c r="AA379"/>
      <c r="AB379"/>
      <c r="AC379"/>
      <c r="AD379"/>
      <c r="AE379"/>
      <c r="AF379"/>
    </row>
    <row r="380" spans="1:32" x14ac:dyDescent="0.25">
      <c r="A380"/>
      <c r="B380"/>
      <c r="C380"/>
      <c r="D380"/>
      <c r="E380"/>
      <c r="F380"/>
      <c r="G380"/>
      <c r="H380"/>
      <c r="I380"/>
      <c r="J380"/>
      <c r="K380"/>
      <c r="L380"/>
      <c r="M380"/>
      <c r="N380"/>
      <c r="O380"/>
      <c r="P380"/>
      <c r="Q380"/>
      <c r="R380"/>
      <c r="S380"/>
      <c r="T380"/>
      <c r="U380"/>
      <c r="V380"/>
      <c r="W380"/>
      <c r="X380"/>
      <c r="Y380"/>
      <c r="Z380"/>
      <c r="AA380"/>
      <c r="AB380"/>
      <c r="AC380"/>
      <c r="AD380"/>
      <c r="AE380"/>
      <c r="AF380"/>
    </row>
    <row r="381" spans="1:32" x14ac:dyDescent="0.25">
      <c r="A381"/>
      <c r="B381"/>
      <c r="C381"/>
      <c r="D381"/>
      <c r="E381"/>
      <c r="F381"/>
      <c r="G381"/>
      <c r="H381"/>
      <c r="I381"/>
      <c r="J381"/>
      <c r="K381"/>
      <c r="L381"/>
      <c r="M381"/>
      <c r="N381"/>
      <c r="O381"/>
      <c r="P381"/>
      <c r="Q381"/>
      <c r="R381"/>
      <c r="S381"/>
      <c r="T381"/>
      <c r="U381"/>
      <c r="V381"/>
      <c r="W381"/>
      <c r="X381"/>
      <c r="Y381"/>
      <c r="Z381"/>
      <c r="AA381"/>
      <c r="AB381"/>
      <c r="AC381"/>
      <c r="AD381"/>
      <c r="AE381"/>
      <c r="AF381"/>
    </row>
    <row r="382" spans="1:32" x14ac:dyDescent="0.25">
      <c r="A382"/>
      <c r="B382"/>
      <c r="C382"/>
      <c r="D382"/>
      <c r="E382"/>
      <c r="F382"/>
      <c r="G382"/>
      <c r="H382"/>
      <c r="I382"/>
      <c r="J382"/>
      <c r="K382"/>
      <c r="L382"/>
      <c r="M382"/>
      <c r="N382"/>
      <c r="O382"/>
      <c r="P382"/>
      <c r="Q382"/>
      <c r="R382"/>
      <c r="S382"/>
      <c r="T382"/>
      <c r="U382"/>
      <c r="V382"/>
      <c r="W382"/>
      <c r="X382"/>
      <c r="Y382"/>
      <c r="Z382"/>
      <c r="AA382"/>
      <c r="AB382"/>
      <c r="AC382"/>
      <c r="AD382"/>
      <c r="AE382"/>
      <c r="AF382"/>
    </row>
    <row r="383" spans="1:32" x14ac:dyDescent="0.25">
      <c r="A383"/>
      <c r="B383"/>
      <c r="C383"/>
      <c r="D383"/>
      <c r="E383"/>
      <c r="F383"/>
      <c r="G383"/>
      <c r="H383"/>
      <c r="I383"/>
      <c r="J383"/>
      <c r="K383"/>
      <c r="L383"/>
      <c r="M383"/>
      <c r="N383"/>
      <c r="O383"/>
      <c r="P383"/>
      <c r="Q383"/>
      <c r="R383"/>
      <c r="S383"/>
      <c r="T383"/>
      <c r="U383"/>
      <c r="V383"/>
      <c r="W383"/>
      <c r="X383"/>
      <c r="Y383"/>
      <c r="Z383"/>
      <c r="AA383"/>
      <c r="AB383"/>
      <c r="AC383"/>
      <c r="AD383"/>
      <c r="AE383"/>
      <c r="AF383"/>
    </row>
    <row r="384" spans="1:32" x14ac:dyDescent="0.25">
      <c r="A384"/>
      <c r="B384"/>
      <c r="C384"/>
      <c r="D384"/>
      <c r="E384"/>
      <c r="F384"/>
      <c r="G384"/>
      <c r="H384"/>
      <c r="I384"/>
      <c r="J384"/>
      <c r="K384"/>
      <c r="L384"/>
      <c r="M384"/>
      <c r="N384"/>
      <c r="O384"/>
      <c r="P384"/>
      <c r="Q384"/>
      <c r="R384"/>
      <c r="S384"/>
      <c r="T384"/>
      <c r="U384"/>
      <c r="V384"/>
      <c r="W384"/>
      <c r="X384"/>
      <c r="Y384"/>
      <c r="Z384"/>
      <c r="AA384"/>
      <c r="AB384"/>
      <c r="AC384"/>
      <c r="AD384"/>
      <c r="AE384"/>
      <c r="AF384"/>
    </row>
    <row r="385" spans="1:32" x14ac:dyDescent="0.25">
      <c r="A385"/>
      <c r="B385"/>
      <c r="C385"/>
      <c r="D385"/>
      <c r="E385"/>
      <c r="F385"/>
      <c r="G385"/>
      <c r="H385"/>
      <c r="I385"/>
      <c r="J385"/>
      <c r="K385"/>
      <c r="L385"/>
      <c r="M385"/>
      <c r="N385"/>
      <c r="O385"/>
      <c r="P385"/>
      <c r="Q385"/>
      <c r="R385"/>
      <c r="S385"/>
      <c r="T385"/>
      <c r="U385"/>
      <c r="V385"/>
      <c r="W385"/>
      <c r="X385"/>
      <c r="Y385"/>
      <c r="Z385"/>
      <c r="AA385"/>
      <c r="AB385"/>
      <c r="AC385"/>
      <c r="AD385"/>
      <c r="AE385"/>
      <c r="AF385"/>
    </row>
    <row r="386" spans="1:32" x14ac:dyDescent="0.25">
      <c r="A386"/>
      <c r="B386"/>
      <c r="C386"/>
      <c r="D386"/>
      <c r="E386"/>
      <c r="F386"/>
      <c r="G386"/>
      <c r="H386"/>
      <c r="I386"/>
      <c r="J386"/>
      <c r="K386"/>
      <c r="L386"/>
      <c r="M386"/>
      <c r="N386"/>
      <c r="O386"/>
      <c r="P386"/>
      <c r="Q386"/>
      <c r="R386"/>
      <c r="S386"/>
      <c r="T386"/>
      <c r="U386"/>
      <c r="V386"/>
      <c r="W386"/>
      <c r="X386"/>
      <c r="Y386"/>
      <c r="Z386"/>
      <c r="AA386"/>
      <c r="AB386"/>
      <c r="AC386"/>
      <c r="AD386"/>
      <c r="AE386"/>
      <c r="AF386"/>
    </row>
    <row r="387" spans="1:32" x14ac:dyDescent="0.25">
      <c r="A387"/>
      <c r="B387"/>
      <c r="C387"/>
      <c r="D387"/>
      <c r="E387"/>
      <c r="F387"/>
      <c r="G387"/>
      <c r="H387"/>
      <c r="I387"/>
      <c r="J387"/>
      <c r="K387"/>
      <c r="L387"/>
      <c r="M387"/>
      <c r="N387"/>
      <c r="O387"/>
      <c r="P387"/>
      <c r="Q387"/>
      <c r="R387"/>
      <c r="S387"/>
      <c r="T387"/>
      <c r="U387"/>
      <c r="V387"/>
      <c r="W387"/>
      <c r="X387"/>
      <c r="Y387"/>
      <c r="Z387"/>
      <c r="AA387"/>
      <c r="AB387"/>
      <c r="AC387"/>
      <c r="AD387"/>
      <c r="AE387"/>
      <c r="AF387"/>
    </row>
    <row r="388" spans="1:32" x14ac:dyDescent="0.25">
      <c r="A388"/>
      <c r="B388"/>
      <c r="C388"/>
      <c r="D388"/>
      <c r="E388"/>
      <c r="F388"/>
      <c r="G388"/>
      <c r="H388"/>
      <c r="I388"/>
      <c r="J388"/>
      <c r="K388"/>
      <c r="L388"/>
      <c r="M388"/>
      <c r="N388"/>
      <c r="O388"/>
      <c r="P388"/>
      <c r="Q388"/>
      <c r="R388"/>
      <c r="S388"/>
      <c r="T388"/>
      <c r="U388"/>
      <c r="V388"/>
      <c r="W388"/>
      <c r="X388"/>
      <c r="Y388"/>
      <c r="Z388"/>
      <c r="AA388"/>
      <c r="AB388"/>
      <c r="AC388"/>
      <c r="AD388"/>
      <c r="AE388"/>
      <c r="AF388"/>
    </row>
    <row r="389" spans="1:32" x14ac:dyDescent="0.25">
      <c r="A389"/>
      <c r="B389"/>
      <c r="C389"/>
      <c r="D389"/>
      <c r="E389"/>
      <c r="F389"/>
      <c r="G389"/>
      <c r="H389"/>
      <c r="I389"/>
      <c r="J389"/>
      <c r="K389"/>
      <c r="L389"/>
      <c r="M389"/>
      <c r="N389"/>
      <c r="O389"/>
      <c r="P389"/>
      <c r="Q389"/>
      <c r="R389"/>
      <c r="S389"/>
      <c r="T389"/>
      <c r="U389"/>
      <c r="V389"/>
      <c r="W389"/>
      <c r="X389"/>
      <c r="Y389"/>
      <c r="Z389"/>
      <c r="AA389"/>
      <c r="AB389"/>
      <c r="AC389"/>
      <c r="AD389"/>
      <c r="AE389"/>
      <c r="AF389"/>
    </row>
    <row r="390" spans="1:32" x14ac:dyDescent="0.25">
      <c r="A390"/>
      <c r="B390"/>
      <c r="C390"/>
      <c r="D390"/>
      <c r="E390"/>
      <c r="F390"/>
      <c r="G390"/>
      <c r="H390"/>
      <c r="I390"/>
      <c r="J390"/>
      <c r="K390"/>
      <c r="L390"/>
      <c r="M390"/>
      <c r="N390"/>
      <c r="O390"/>
      <c r="P390"/>
      <c r="Q390"/>
      <c r="R390"/>
      <c r="S390"/>
      <c r="T390"/>
      <c r="U390"/>
      <c r="V390"/>
      <c r="W390"/>
      <c r="X390"/>
      <c r="Y390"/>
      <c r="Z390"/>
      <c r="AA390"/>
      <c r="AB390"/>
      <c r="AC390"/>
      <c r="AD390"/>
      <c r="AE390"/>
      <c r="AF390"/>
    </row>
    <row r="391" spans="1:32" x14ac:dyDescent="0.25">
      <c r="A391"/>
      <c r="B391"/>
      <c r="C391"/>
      <c r="D391"/>
      <c r="E391"/>
      <c r="F391"/>
      <c r="G391"/>
      <c r="H391"/>
      <c r="I391"/>
      <c r="J391"/>
      <c r="K391"/>
      <c r="L391"/>
      <c r="M391"/>
      <c r="N391"/>
      <c r="O391"/>
      <c r="P391"/>
      <c r="Q391"/>
      <c r="R391"/>
      <c r="S391"/>
      <c r="T391"/>
      <c r="U391"/>
      <c r="V391"/>
      <c r="W391"/>
      <c r="X391"/>
      <c r="Y391"/>
      <c r="Z391"/>
      <c r="AA391"/>
      <c r="AB391"/>
      <c r="AC391"/>
      <c r="AD391"/>
      <c r="AE391"/>
      <c r="AF391"/>
    </row>
    <row r="392" spans="1:32" x14ac:dyDescent="0.25">
      <c r="A392"/>
      <c r="B392"/>
      <c r="C392"/>
      <c r="D392"/>
      <c r="E392"/>
      <c r="F392"/>
      <c r="G392"/>
      <c r="H392"/>
      <c r="I392"/>
      <c r="J392"/>
      <c r="K392"/>
      <c r="L392"/>
      <c r="M392"/>
      <c r="N392"/>
      <c r="O392"/>
      <c r="P392"/>
      <c r="Q392"/>
      <c r="R392"/>
      <c r="S392"/>
      <c r="T392"/>
      <c r="U392"/>
      <c r="V392"/>
      <c r="W392"/>
      <c r="X392"/>
      <c r="Y392"/>
      <c r="Z392"/>
      <c r="AA392"/>
      <c r="AB392"/>
      <c r="AC392"/>
      <c r="AD392"/>
      <c r="AE392"/>
      <c r="AF392"/>
    </row>
    <row r="393" spans="1:32" x14ac:dyDescent="0.25">
      <c r="A393"/>
      <c r="B393"/>
      <c r="C393"/>
      <c r="D393"/>
      <c r="E393"/>
      <c r="F393"/>
      <c r="G393"/>
      <c r="H393"/>
      <c r="I393"/>
      <c r="J393"/>
      <c r="K393"/>
      <c r="L393"/>
      <c r="M393"/>
      <c r="N393"/>
      <c r="O393"/>
      <c r="P393"/>
      <c r="Q393"/>
      <c r="R393"/>
      <c r="S393"/>
      <c r="T393"/>
      <c r="U393"/>
      <c r="V393"/>
      <c r="W393"/>
      <c r="X393"/>
      <c r="Y393"/>
      <c r="Z393"/>
      <c r="AA393"/>
      <c r="AB393"/>
      <c r="AC393"/>
      <c r="AD393"/>
      <c r="AE393"/>
      <c r="AF393"/>
    </row>
    <row r="394" spans="1:32" x14ac:dyDescent="0.25">
      <c r="A394"/>
      <c r="B394"/>
      <c r="C394"/>
      <c r="D394"/>
      <c r="E394"/>
      <c r="F394"/>
      <c r="G394"/>
      <c r="H394"/>
      <c r="I394"/>
      <c r="J394"/>
      <c r="K394"/>
      <c r="L394"/>
      <c r="M394"/>
      <c r="N394"/>
      <c r="O394"/>
      <c r="P394"/>
      <c r="Q394"/>
      <c r="R394"/>
      <c r="S394"/>
      <c r="T394"/>
      <c r="U394"/>
      <c r="V394"/>
      <c r="W394"/>
      <c r="X394"/>
      <c r="Y394"/>
      <c r="Z394"/>
      <c r="AA394"/>
      <c r="AB394"/>
      <c r="AC394"/>
      <c r="AD394"/>
      <c r="AE394"/>
      <c r="AF394"/>
    </row>
    <row r="395" spans="1:32" x14ac:dyDescent="0.25">
      <c r="A395"/>
      <c r="B395"/>
      <c r="C395"/>
      <c r="D395"/>
      <c r="E395"/>
      <c r="F395"/>
      <c r="G395"/>
      <c r="H395"/>
      <c r="I395"/>
      <c r="J395"/>
      <c r="K395"/>
      <c r="L395"/>
      <c r="M395"/>
      <c r="N395"/>
      <c r="O395"/>
      <c r="P395"/>
      <c r="Q395"/>
      <c r="R395"/>
      <c r="S395"/>
      <c r="T395"/>
      <c r="U395"/>
      <c r="V395"/>
      <c r="W395"/>
      <c r="X395"/>
      <c r="Y395"/>
      <c r="Z395"/>
      <c r="AA395"/>
      <c r="AB395"/>
      <c r="AC395"/>
      <c r="AD395"/>
      <c r="AE395"/>
      <c r="AF395"/>
    </row>
    <row r="396" spans="1:32" x14ac:dyDescent="0.25">
      <c r="A396"/>
      <c r="B396"/>
      <c r="C396"/>
      <c r="D396"/>
      <c r="E396"/>
      <c r="F396"/>
      <c r="G396"/>
      <c r="H396"/>
      <c r="I396"/>
      <c r="J396"/>
      <c r="K396"/>
      <c r="L396"/>
      <c r="M396"/>
      <c r="N396"/>
      <c r="O396"/>
      <c r="P396"/>
      <c r="Q396"/>
      <c r="R396"/>
      <c r="S396"/>
      <c r="T396"/>
      <c r="U396"/>
      <c r="V396"/>
      <c r="W396"/>
      <c r="X396"/>
      <c r="Y396"/>
      <c r="Z396"/>
      <c r="AA396"/>
      <c r="AB396"/>
      <c r="AC396"/>
      <c r="AD396"/>
      <c r="AE396"/>
      <c r="AF396"/>
    </row>
    <row r="397" spans="1:32" x14ac:dyDescent="0.25">
      <c r="A397"/>
      <c r="B397"/>
      <c r="C397"/>
      <c r="D397"/>
      <c r="E397"/>
      <c r="F397"/>
      <c r="G397"/>
      <c r="H397"/>
      <c r="I397"/>
      <c r="J397"/>
      <c r="K397"/>
      <c r="L397"/>
      <c r="M397"/>
      <c r="N397"/>
      <c r="O397"/>
      <c r="P397"/>
      <c r="Q397"/>
      <c r="R397"/>
      <c r="S397"/>
      <c r="T397"/>
      <c r="U397"/>
      <c r="V397"/>
      <c r="W397"/>
      <c r="X397"/>
      <c r="Y397"/>
      <c r="Z397"/>
      <c r="AA397"/>
      <c r="AB397"/>
      <c r="AC397"/>
      <c r="AD397"/>
      <c r="AE397"/>
      <c r="AF397"/>
    </row>
    <row r="398" spans="1:32" x14ac:dyDescent="0.25">
      <c r="A398"/>
      <c r="B398"/>
      <c r="C398"/>
      <c r="D398"/>
      <c r="E398"/>
      <c r="F398"/>
      <c r="G398"/>
      <c r="H398"/>
      <c r="I398"/>
      <c r="J398"/>
      <c r="K398"/>
      <c r="L398"/>
      <c r="M398"/>
      <c r="N398"/>
      <c r="O398"/>
      <c r="P398"/>
      <c r="Q398"/>
      <c r="R398"/>
      <c r="S398"/>
      <c r="T398"/>
      <c r="U398"/>
      <c r="V398"/>
      <c r="W398"/>
      <c r="X398"/>
      <c r="Y398"/>
      <c r="Z398"/>
      <c r="AA398"/>
      <c r="AB398"/>
      <c r="AC398"/>
      <c r="AD398"/>
      <c r="AE398"/>
      <c r="AF398"/>
    </row>
    <row r="399" spans="1:32" x14ac:dyDescent="0.25">
      <c r="A399"/>
      <c r="B399"/>
      <c r="C399"/>
      <c r="D399"/>
      <c r="E399"/>
      <c r="F399"/>
      <c r="G399"/>
      <c r="H399"/>
      <c r="I399"/>
      <c r="J399"/>
      <c r="K399"/>
      <c r="L399"/>
      <c r="M399"/>
      <c r="N399"/>
      <c r="O399"/>
      <c r="P399"/>
      <c r="Q399"/>
      <c r="R399"/>
      <c r="S399"/>
      <c r="T399"/>
      <c r="U399"/>
      <c r="V399"/>
      <c r="W399"/>
      <c r="X399"/>
      <c r="Y399"/>
      <c r="Z399"/>
      <c r="AA399"/>
      <c r="AB399"/>
      <c r="AC399"/>
      <c r="AD399"/>
      <c r="AE399"/>
      <c r="AF399"/>
    </row>
    <row r="400" spans="1:32" x14ac:dyDescent="0.25">
      <c r="A400"/>
      <c r="B400"/>
      <c r="C400"/>
      <c r="D400"/>
      <c r="E400"/>
      <c r="F400"/>
      <c r="G400"/>
      <c r="H400"/>
      <c r="I400"/>
      <c r="J400"/>
      <c r="K400"/>
      <c r="L400"/>
      <c r="M400"/>
      <c r="N400"/>
      <c r="O400"/>
      <c r="P400"/>
      <c r="Q400"/>
      <c r="R400"/>
      <c r="S400"/>
      <c r="T400"/>
      <c r="U400"/>
      <c r="V400"/>
      <c r="W400"/>
      <c r="X400"/>
      <c r="Y400"/>
      <c r="Z400"/>
      <c r="AA400"/>
      <c r="AB400"/>
      <c r="AC400"/>
      <c r="AD400"/>
      <c r="AE400"/>
      <c r="AF400"/>
    </row>
    <row r="401" spans="1:32" x14ac:dyDescent="0.25">
      <c r="A401"/>
      <c r="B401"/>
      <c r="C401"/>
      <c r="D401"/>
      <c r="E401"/>
      <c r="F401"/>
      <c r="G401"/>
      <c r="H401"/>
      <c r="I401"/>
      <c r="J401"/>
      <c r="K401"/>
      <c r="L401"/>
      <c r="M401"/>
      <c r="N401"/>
      <c r="O401"/>
      <c r="P401"/>
      <c r="Q401"/>
      <c r="R401"/>
      <c r="S401"/>
      <c r="T401"/>
      <c r="U401"/>
      <c r="V401"/>
      <c r="W401"/>
      <c r="X401"/>
      <c r="Y401"/>
      <c r="Z401"/>
      <c r="AA401"/>
      <c r="AB401"/>
      <c r="AC401"/>
      <c r="AD401"/>
      <c r="AE401"/>
      <c r="AF401"/>
    </row>
    <row r="402" spans="1:32" x14ac:dyDescent="0.25">
      <c r="A402"/>
      <c r="B402"/>
      <c r="C402"/>
      <c r="D402"/>
      <c r="E402"/>
      <c r="F402"/>
      <c r="G402"/>
      <c r="H402"/>
      <c r="I402"/>
      <c r="J402"/>
      <c r="K402"/>
      <c r="L402"/>
      <c r="M402"/>
      <c r="N402"/>
      <c r="O402"/>
      <c r="P402"/>
      <c r="Q402"/>
      <c r="R402"/>
      <c r="S402"/>
      <c r="T402"/>
      <c r="U402"/>
      <c r="V402"/>
      <c r="W402"/>
      <c r="X402"/>
      <c r="Y402"/>
      <c r="Z402"/>
      <c r="AA402"/>
      <c r="AB402"/>
      <c r="AC402"/>
      <c r="AD402"/>
      <c r="AE402"/>
      <c r="AF402"/>
    </row>
    <row r="403" spans="1:32" x14ac:dyDescent="0.25">
      <c r="A403"/>
      <c r="B403"/>
      <c r="C403"/>
      <c r="D403"/>
      <c r="E403"/>
      <c r="F403"/>
      <c r="G403"/>
      <c r="H403"/>
      <c r="I403"/>
      <c r="J403"/>
      <c r="K403"/>
      <c r="L403"/>
      <c r="M403"/>
      <c r="N403"/>
      <c r="O403"/>
      <c r="P403"/>
      <c r="Q403"/>
      <c r="R403"/>
      <c r="S403"/>
      <c r="T403"/>
      <c r="U403"/>
      <c r="V403"/>
      <c r="W403"/>
      <c r="X403"/>
      <c r="Y403"/>
      <c r="Z403"/>
      <c r="AA403"/>
      <c r="AB403"/>
      <c r="AC403"/>
      <c r="AD403"/>
      <c r="AE403"/>
      <c r="AF403"/>
    </row>
    <row r="404" spans="1:32" x14ac:dyDescent="0.25">
      <c r="A404"/>
      <c r="B404"/>
      <c r="C404"/>
      <c r="D404"/>
      <c r="E404"/>
      <c r="F404"/>
      <c r="G404"/>
      <c r="H404"/>
      <c r="I404"/>
      <c r="J404"/>
      <c r="K404"/>
      <c r="L404"/>
      <c r="M404"/>
      <c r="N404"/>
      <c r="O404"/>
      <c r="P404"/>
      <c r="Q404"/>
      <c r="R404"/>
      <c r="S404"/>
      <c r="T404"/>
      <c r="U404"/>
      <c r="V404"/>
      <c r="W404"/>
      <c r="X404"/>
      <c r="Y404"/>
      <c r="Z404"/>
      <c r="AA404"/>
      <c r="AB404"/>
      <c r="AC404"/>
      <c r="AD404"/>
      <c r="AE404"/>
      <c r="AF404"/>
    </row>
    <row r="405" spans="1:32" x14ac:dyDescent="0.25">
      <c r="A405"/>
      <c r="B405"/>
      <c r="C405"/>
      <c r="D405"/>
      <c r="E405"/>
      <c r="F405"/>
      <c r="G405"/>
      <c r="H405"/>
      <c r="I405"/>
      <c r="J405"/>
      <c r="K405"/>
      <c r="L405"/>
      <c r="M405"/>
      <c r="N405"/>
      <c r="O405"/>
      <c r="P405"/>
      <c r="Q405"/>
      <c r="R405"/>
      <c r="S405"/>
      <c r="T405"/>
      <c r="U405"/>
      <c r="V405"/>
      <c r="W405"/>
      <c r="X405"/>
      <c r="Y405"/>
      <c r="Z405"/>
      <c r="AA405"/>
      <c r="AB405"/>
      <c r="AC405"/>
      <c r="AD405"/>
      <c r="AE405"/>
      <c r="AF405"/>
    </row>
    <row r="406" spans="1:32" x14ac:dyDescent="0.25">
      <c r="A406"/>
      <c r="B406"/>
      <c r="C406"/>
      <c r="D406"/>
      <c r="E406"/>
      <c r="F406"/>
      <c r="G406"/>
      <c r="H406"/>
      <c r="I406"/>
      <c r="J406"/>
      <c r="K406"/>
      <c r="L406"/>
      <c r="M406"/>
      <c r="N406"/>
      <c r="O406"/>
      <c r="P406"/>
      <c r="Q406"/>
      <c r="R406"/>
      <c r="S406"/>
      <c r="T406"/>
      <c r="U406"/>
      <c r="V406"/>
      <c r="W406"/>
      <c r="X406"/>
      <c r="Y406"/>
      <c r="Z406"/>
      <c r="AA406"/>
      <c r="AB406"/>
      <c r="AC406"/>
      <c r="AD406"/>
      <c r="AE406"/>
      <c r="AF406"/>
    </row>
    <row r="407" spans="1:32" x14ac:dyDescent="0.25">
      <c r="A407"/>
      <c r="B407"/>
      <c r="C407"/>
      <c r="D407"/>
      <c r="E407"/>
      <c r="F407"/>
      <c r="G407"/>
      <c r="H407"/>
      <c r="I407"/>
      <c r="J407"/>
      <c r="K407"/>
      <c r="L407"/>
      <c r="M407"/>
      <c r="N407"/>
      <c r="O407"/>
      <c r="P407"/>
      <c r="Q407"/>
      <c r="R407"/>
      <c r="S407"/>
      <c r="T407"/>
      <c r="U407"/>
      <c r="V407"/>
      <c r="W407"/>
      <c r="X407"/>
      <c r="Y407"/>
      <c r="Z407"/>
      <c r="AA407"/>
      <c r="AB407"/>
      <c r="AC407"/>
      <c r="AD407"/>
      <c r="AE407"/>
      <c r="AF407"/>
    </row>
    <row r="408" spans="1:32" x14ac:dyDescent="0.25">
      <c r="A408"/>
      <c r="B408"/>
      <c r="C408"/>
      <c r="D408"/>
      <c r="E408"/>
      <c r="F408"/>
      <c r="G408"/>
      <c r="H408"/>
      <c r="I408"/>
      <c r="J408"/>
      <c r="K408"/>
      <c r="L408"/>
      <c r="M408"/>
      <c r="N408"/>
      <c r="O408"/>
      <c r="P408"/>
      <c r="Q408"/>
      <c r="R408"/>
      <c r="S408"/>
      <c r="T408"/>
      <c r="U408"/>
      <c r="V408"/>
      <c r="W408"/>
      <c r="X408"/>
      <c r="Y408"/>
      <c r="Z408"/>
      <c r="AA408"/>
      <c r="AB408"/>
      <c r="AC408"/>
      <c r="AD408"/>
      <c r="AE408"/>
      <c r="AF408"/>
    </row>
    <row r="409" spans="1:32" x14ac:dyDescent="0.25">
      <c r="A409"/>
      <c r="B409"/>
      <c r="C409"/>
      <c r="D409"/>
      <c r="E409"/>
      <c r="F409"/>
      <c r="G409"/>
      <c r="H409"/>
      <c r="I409"/>
      <c r="J409"/>
      <c r="K409"/>
      <c r="L409"/>
      <c r="M409"/>
      <c r="N409"/>
      <c r="O409"/>
      <c r="P409"/>
      <c r="Q409"/>
      <c r="R409"/>
      <c r="S409"/>
      <c r="T409"/>
      <c r="U409"/>
      <c r="V409"/>
      <c r="W409"/>
      <c r="X409"/>
      <c r="Y409"/>
      <c r="Z409"/>
      <c r="AA409"/>
      <c r="AB409"/>
      <c r="AC409"/>
      <c r="AD409"/>
      <c r="AE409"/>
      <c r="AF409"/>
    </row>
    <row r="410" spans="1:32" x14ac:dyDescent="0.25">
      <c r="A410"/>
      <c r="B410"/>
      <c r="C410"/>
      <c r="D410"/>
      <c r="E410"/>
      <c r="F410"/>
      <c r="G410"/>
      <c r="H410"/>
      <c r="I410"/>
      <c r="J410"/>
      <c r="K410"/>
      <c r="L410"/>
      <c r="M410"/>
      <c r="N410"/>
      <c r="O410"/>
      <c r="P410"/>
      <c r="Q410"/>
      <c r="R410"/>
      <c r="S410"/>
      <c r="T410"/>
      <c r="U410"/>
      <c r="V410"/>
      <c r="W410"/>
      <c r="X410"/>
      <c r="Y410"/>
      <c r="Z410"/>
      <c r="AA410"/>
      <c r="AB410"/>
      <c r="AC410"/>
      <c r="AD410"/>
      <c r="AE410"/>
      <c r="AF410"/>
    </row>
    <row r="411" spans="1:32" x14ac:dyDescent="0.25">
      <c r="A411"/>
      <c r="B411"/>
      <c r="C411"/>
      <c r="D411"/>
      <c r="E411"/>
      <c r="F411"/>
      <c r="G411"/>
      <c r="H411"/>
      <c r="I411"/>
      <c r="J411"/>
      <c r="K411"/>
      <c r="L411"/>
      <c r="M411"/>
      <c r="N411"/>
      <c r="O411"/>
      <c r="P411"/>
      <c r="Q411"/>
      <c r="R411"/>
      <c r="S411"/>
      <c r="T411"/>
      <c r="U411"/>
      <c r="V411"/>
      <c r="W411"/>
      <c r="X411"/>
      <c r="Y411"/>
      <c r="Z411"/>
      <c r="AA411"/>
      <c r="AB411"/>
      <c r="AC411"/>
      <c r="AD411"/>
      <c r="AE411"/>
      <c r="AF411"/>
    </row>
    <row r="412" spans="1:32" x14ac:dyDescent="0.25">
      <c r="A412"/>
      <c r="B412"/>
      <c r="C412"/>
      <c r="D412"/>
      <c r="E412"/>
      <c r="F412"/>
      <c r="G412"/>
      <c r="H412"/>
      <c r="I412"/>
      <c r="J412"/>
      <c r="K412"/>
      <c r="L412"/>
      <c r="M412"/>
      <c r="N412"/>
      <c r="O412"/>
      <c r="P412"/>
      <c r="Q412"/>
      <c r="R412"/>
      <c r="S412"/>
      <c r="T412"/>
      <c r="U412"/>
      <c r="V412"/>
      <c r="W412"/>
      <c r="X412"/>
      <c r="Y412"/>
      <c r="Z412"/>
      <c r="AA412"/>
      <c r="AB412"/>
      <c r="AC412"/>
      <c r="AD412"/>
      <c r="AE412"/>
      <c r="AF412"/>
    </row>
    <row r="413" spans="1:32" x14ac:dyDescent="0.25">
      <c r="A413"/>
      <c r="B413"/>
      <c r="C413"/>
      <c r="D413"/>
      <c r="E413"/>
      <c r="F413"/>
      <c r="G413"/>
      <c r="H413"/>
      <c r="I413"/>
      <c r="J413"/>
      <c r="K413"/>
      <c r="L413"/>
      <c r="M413"/>
      <c r="N413"/>
      <c r="O413"/>
      <c r="P413"/>
      <c r="Q413"/>
      <c r="R413"/>
      <c r="S413"/>
      <c r="T413"/>
      <c r="U413"/>
      <c r="V413"/>
      <c r="W413"/>
      <c r="X413"/>
      <c r="Y413"/>
      <c r="Z413"/>
      <c r="AA413"/>
      <c r="AB413"/>
      <c r="AC413"/>
      <c r="AD413"/>
      <c r="AE413"/>
      <c r="AF413"/>
    </row>
    <row r="414" spans="1:32" x14ac:dyDescent="0.25">
      <c r="A414"/>
      <c r="B414"/>
      <c r="C414"/>
      <c r="D414"/>
      <c r="E414"/>
      <c r="F414"/>
      <c r="G414"/>
      <c r="H414"/>
      <c r="I414"/>
      <c r="J414"/>
      <c r="K414"/>
      <c r="L414"/>
      <c r="M414"/>
      <c r="N414"/>
      <c r="O414"/>
      <c r="P414"/>
      <c r="Q414"/>
      <c r="R414"/>
      <c r="S414"/>
      <c r="T414"/>
      <c r="U414"/>
      <c r="V414"/>
      <c r="W414"/>
      <c r="X414"/>
      <c r="Y414"/>
      <c r="Z414"/>
      <c r="AA414"/>
      <c r="AB414"/>
      <c r="AC414"/>
      <c r="AD414"/>
      <c r="AE414"/>
      <c r="AF414"/>
    </row>
    <row r="415" spans="1:32" x14ac:dyDescent="0.25">
      <c r="A415"/>
      <c r="B415"/>
      <c r="C415"/>
      <c r="D415"/>
      <c r="E415"/>
      <c r="F415"/>
      <c r="G415"/>
      <c r="H415"/>
      <c r="I415"/>
      <c r="J415"/>
      <c r="K415"/>
      <c r="L415"/>
      <c r="M415"/>
      <c r="N415"/>
      <c r="O415"/>
      <c r="P415"/>
      <c r="Q415"/>
      <c r="R415"/>
      <c r="S415"/>
      <c r="T415"/>
      <c r="U415"/>
      <c r="V415"/>
      <c r="W415"/>
      <c r="X415"/>
      <c r="Y415"/>
      <c r="Z415"/>
      <c r="AA415"/>
      <c r="AB415"/>
      <c r="AC415"/>
      <c r="AD415"/>
      <c r="AE415"/>
      <c r="AF415"/>
    </row>
    <row r="416" spans="1:32" x14ac:dyDescent="0.25">
      <c r="A416"/>
      <c r="B416"/>
      <c r="C416"/>
      <c r="D416"/>
      <c r="E416"/>
      <c r="F416"/>
      <c r="G416"/>
      <c r="H416"/>
      <c r="I416"/>
      <c r="J416"/>
      <c r="K416"/>
      <c r="L416"/>
      <c r="M416"/>
      <c r="N416"/>
      <c r="O416"/>
      <c r="P416"/>
      <c r="Q416"/>
      <c r="R416"/>
      <c r="S416"/>
      <c r="T416"/>
      <c r="U416"/>
      <c r="V416"/>
      <c r="W416"/>
      <c r="X416"/>
      <c r="Y416"/>
      <c r="Z416"/>
      <c r="AA416"/>
      <c r="AB416"/>
      <c r="AC416"/>
      <c r="AD416"/>
      <c r="AE416"/>
      <c r="AF416"/>
    </row>
    <row r="417" spans="1:32" x14ac:dyDescent="0.25">
      <c r="A417"/>
      <c r="B417"/>
      <c r="C417"/>
      <c r="D417"/>
      <c r="E417"/>
      <c r="F417"/>
      <c r="G417"/>
      <c r="H417"/>
      <c r="I417"/>
      <c r="J417"/>
      <c r="K417"/>
      <c r="L417"/>
      <c r="M417"/>
      <c r="N417"/>
      <c r="O417"/>
      <c r="P417"/>
      <c r="Q417"/>
      <c r="R417"/>
      <c r="S417"/>
      <c r="T417"/>
      <c r="U417"/>
      <c r="V417"/>
      <c r="W417"/>
      <c r="X417"/>
      <c r="Y417"/>
      <c r="Z417"/>
      <c r="AA417"/>
      <c r="AB417"/>
      <c r="AC417"/>
      <c r="AD417"/>
      <c r="AE417"/>
      <c r="AF417"/>
    </row>
    <row r="418" spans="1:32" x14ac:dyDescent="0.25">
      <c r="A418"/>
      <c r="B418"/>
      <c r="C418"/>
      <c r="D418"/>
      <c r="E418"/>
      <c r="F418"/>
      <c r="G418"/>
      <c r="H418"/>
      <c r="I418"/>
      <c r="J418"/>
      <c r="K418"/>
      <c r="L418"/>
      <c r="M418"/>
      <c r="N418"/>
      <c r="O418"/>
      <c r="P418"/>
      <c r="Q418"/>
      <c r="R418"/>
      <c r="S418"/>
      <c r="T418"/>
      <c r="U418"/>
      <c r="V418"/>
      <c r="W418"/>
      <c r="X418"/>
      <c r="Y418"/>
      <c r="Z418"/>
      <c r="AA418"/>
      <c r="AB418"/>
      <c r="AC418"/>
      <c r="AD418"/>
      <c r="AE418"/>
      <c r="AF418"/>
    </row>
    <row r="419" spans="1:32" x14ac:dyDescent="0.25">
      <c r="A419"/>
      <c r="B419"/>
      <c r="C419"/>
      <c r="D419"/>
      <c r="E419"/>
      <c r="F419"/>
      <c r="G419"/>
      <c r="H419"/>
      <c r="I419"/>
      <c r="J419"/>
      <c r="K419"/>
      <c r="L419"/>
      <c r="M419"/>
      <c r="N419"/>
      <c r="O419"/>
      <c r="P419"/>
      <c r="Q419"/>
      <c r="R419"/>
      <c r="S419"/>
      <c r="T419"/>
      <c r="U419"/>
      <c r="V419"/>
      <c r="W419"/>
      <c r="X419"/>
      <c r="Y419"/>
      <c r="Z419"/>
      <c r="AA419"/>
      <c r="AB419"/>
      <c r="AC419"/>
      <c r="AD419"/>
      <c r="AE419"/>
      <c r="AF419"/>
    </row>
    <row r="420" spans="1:32" x14ac:dyDescent="0.25">
      <c r="A420"/>
      <c r="B420"/>
      <c r="C420"/>
      <c r="D420"/>
      <c r="E420"/>
      <c r="F420"/>
      <c r="G420"/>
      <c r="H420"/>
      <c r="I420"/>
      <c r="J420"/>
      <c r="K420"/>
      <c r="L420"/>
      <c r="M420"/>
      <c r="N420"/>
      <c r="O420"/>
      <c r="P420"/>
      <c r="Q420"/>
      <c r="R420"/>
      <c r="S420"/>
      <c r="T420"/>
      <c r="U420"/>
      <c r="V420"/>
      <c r="W420"/>
      <c r="X420"/>
      <c r="Y420"/>
      <c r="Z420"/>
      <c r="AA420"/>
      <c r="AB420"/>
      <c r="AC420"/>
      <c r="AD420"/>
      <c r="AE420"/>
      <c r="AF420"/>
    </row>
    <row r="421" spans="1:32" x14ac:dyDescent="0.25">
      <c r="A421"/>
      <c r="B421"/>
      <c r="C421"/>
      <c r="D421"/>
      <c r="E421"/>
      <c r="F421"/>
      <c r="G421"/>
      <c r="H421"/>
      <c r="I421"/>
      <c r="J421"/>
      <c r="K421"/>
      <c r="L421"/>
      <c r="M421"/>
      <c r="N421"/>
      <c r="O421"/>
      <c r="P421"/>
      <c r="Q421"/>
      <c r="R421"/>
      <c r="S421"/>
      <c r="T421"/>
      <c r="U421"/>
      <c r="V421"/>
      <c r="W421"/>
      <c r="X421"/>
      <c r="Y421"/>
      <c r="Z421"/>
      <c r="AA421"/>
      <c r="AB421"/>
      <c r="AC421"/>
      <c r="AD421"/>
      <c r="AE421"/>
      <c r="AF421"/>
    </row>
    <row r="422" spans="1:32" x14ac:dyDescent="0.25">
      <c r="A422"/>
      <c r="B422"/>
      <c r="C422"/>
      <c r="D422"/>
      <c r="E422"/>
      <c r="F422"/>
      <c r="G422"/>
      <c r="H422"/>
      <c r="I422"/>
      <c r="J422"/>
      <c r="K422"/>
      <c r="L422"/>
      <c r="M422"/>
      <c r="N422"/>
      <c r="O422"/>
      <c r="P422"/>
      <c r="Q422"/>
      <c r="R422"/>
      <c r="S422"/>
      <c r="T422"/>
      <c r="U422"/>
      <c r="V422"/>
      <c r="W422"/>
      <c r="X422"/>
      <c r="Y422"/>
      <c r="Z422"/>
      <c r="AA422"/>
      <c r="AB422"/>
      <c r="AC422"/>
      <c r="AD422"/>
      <c r="AE422"/>
      <c r="AF422"/>
    </row>
    <row r="423" spans="1:32" x14ac:dyDescent="0.25">
      <c r="A423"/>
      <c r="B423"/>
      <c r="C423"/>
      <c r="D423"/>
      <c r="E423"/>
      <c r="F423"/>
      <c r="G423"/>
      <c r="H423"/>
      <c r="I423"/>
      <c r="J423"/>
      <c r="K423"/>
      <c r="L423"/>
      <c r="M423"/>
      <c r="N423"/>
      <c r="O423"/>
      <c r="P423"/>
      <c r="Q423"/>
      <c r="R423"/>
      <c r="S423"/>
      <c r="T423"/>
      <c r="U423"/>
      <c r="V423"/>
      <c r="W423"/>
      <c r="X423"/>
      <c r="Y423"/>
      <c r="Z423"/>
      <c r="AA423"/>
      <c r="AB423"/>
      <c r="AC423"/>
      <c r="AD423"/>
      <c r="AE423"/>
      <c r="AF423"/>
    </row>
    <row r="424" spans="1:32" x14ac:dyDescent="0.25">
      <c r="A424"/>
      <c r="B424"/>
      <c r="C424"/>
      <c r="D424"/>
      <c r="E424"/>
      <c r="F424"/>
      <c r="G424"/>
      <c r="H424"/>
      <c r="I424"/>
      <c r="J424"/>
      <c r="K424"/>
      <c r="L424"/>
      <c r="M424"/>
      <c r="N424"/>
      <c r="O424"/>
      <c r="P424"/>
      <c r="Q424"/>
      <c r="R424"/>
      <c r="S424"/>
      <c r="T424"/>
      <c r="U424"/>
      <c r="V424"/>
      <c r="W424"/>
      <c r="X424"/>
      <c r="Y424"/>
      <c r="Z424"/>
      <c r="AA424"/>
      <c r="AB424"/>
      <c r="AC424"/>
      <c r="AD424"/>
      <c r="AE424"/>
      <c r="AF424"/>
    </row>
    <row r="425" spans="1:32" x14ac:dyDescent="0.25">
      <c r="A425"/>
      <c r="B425"/>
      <c r="C425"/>
      <c r="D425"/>
      <c r="E425"/>
      <c r="F425"/>
      <c r="G425"/>
      <c r="H425"/>
      <c r="I425"/>
      <c r="J425"/>
      <c r="K425"/>
      <c r="L425"/>
      <c r="M425"/>
      <c r="N425"/>
      <c r="O425"/>
      <c r="P425"/>
      <c r="Q425"/>
      <c r="R425"/>
      <c r="S425"/>
      <c r="T425"/>
      <c r="U425"/>
      <c r="V425"/>
      <c r="W425"/>
      <c r="X425"/>
      <c r="Y425"/>
      <c r="Z425"/>
      <c r="AA425"/>
      <c r="AB425"/>
      <c r="AC425"/>
      <c r="AD425"/>
      <c r="AE425"/>
      <c r="AF425"/>
    </row>
    <row r="426" spans="1:32" x14ac:dyDescent="0.25">
      <c r="A426"/>
      <c r="B426"/>
      <c r="C426"/>
      <c r="D426"/>
      <c r="E426"/>
      <c r="F426"/>
      <c r="G426"/>
      <c r="H426"/>
      <c r="I426"/>
      <c r="J426"/>
      <c r="K426"/>
      <c r="L426"/>
      <c r="M426"/>
      <c r="N426"/>
      <c r="O426"/>
      <c r="P426"/>
      <c r="Q426"/>
      <c r="R426"/>
      <c r="S426"/>
      <c r="T426"/>
      <c r="U426"/>
      <c r="V426"/>
      <c r="W426"/>
      <c r="X426"/>
      <c r="Y426"/>
      <c r="Z426"/>
      <c r="AA426"/>
      <c r="AB426"/>
      <c r="AC426"/>
      <c r="AD426"/>
      <c r="AE426"/>
      <c r="AF426"/>
    </row>
    <row r="427" spans="1:32" x14ac:dyDescent="0.25">
      <c r="A427"/>
      <c r="B427"/>
      <c r="C427"/>
      <c r="D427"/>
      <c r="E427"/>
      <c r="F427"/>
      <c r="G427"/>
      <c r="H427"/>
      <c r="I427"/>
      <c r="J427"/>
      <c r="K427"/>
      <c r="L427"/>
      <c r="M427"/>
      <c r="N427"/>
      <c r="O427"/>
      <c r="P427"/>
      <c r="Q427"/>
      <c r="R427"/>
      <c r="S427"/>
      <c r="T427"/>
      <c r="U427"/>
      <c r="V427"/>
      <c r="W427"/>
      <c r="X427"/>
      <c r="Y427"/>
      <c r="Z427"/>
      <c r="AA427"/>
      <c r="AB427"/>
      <c r="AC427"/>
      <c r="AD427"/>
      <c r="AE427"/>
      <c r="AF427"/>
    </row>
    <row r="428" spans="1:32"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row>
    <row r="429" spans="1:32" x14ac:dyDescent="0.25">
      <c r="A429"/>
      <c r="B429"/>
      <c r="C429"/>
      <c r="D429"/>
      <c r="E429"/>
      <c r="F429"/>
      <c r="G429"/>
      <c r="H429"/>
      <c r="I429"/>
      <c r="J429"/>
      <c r="K429"/>
      <c r="L429"/>
      <c r="M429"/>
      <c r="N429"/>
      <c r="O429"/>
      <c r="P429"/>
      <c r="Q429"/>
      <c r="R429"/>
      <c r="S429"/>
      <c r="T429"/>
      <c r="U429"/>
      <c r="V429"/>
      <c r="W429"/>
      <c r="X429"/>
      <c r="Y429"/>
      <c r="Z429"/>
      <c r="AA429"/>
      <c r="AB429"/>
      <c r="AC429"/>
      <c r="AD429"/>
      <c r="AE429"/>
      <c r="AF429"/>
    </row>
    <row r="430" spans="1:32" x14ac:dyDescent="0.25">
      <c r="A430"/>
      <c r="B430"/>
      <c r="C430"/>
      <c r="D430"/>
      <c r="E430"/>
      <c r="F430"/>
      <c r="G430"/>
      <c r="H430"/>
      <c r="I430"/>
      <c r="J430"/>
      <c r="K430"/>
      <c r="L430"/>
      <c r="M430"/>
      <c r="N430"/>
      <c r="O430"/>
      <c r="P430"/>
      <c r="Q430"/>
      <c r="R430"/>
      <c r="S430"/>
      <c r="T430"/>
      <c r="U430"/>
      <c r="V430"/>
      <c r="W430"/>
      <c r="X430"/>
      <c r="Y430"/>
      <c r="Z430"/>
      <c r="AA430"/>
      <c r="AB430"/>
      <c r="AC430"/>
      <c r="AD430"/>
      <c r="AE430"/>
      <c r="AF430"/>
    </row>
    <row r="431" spans="1:32" x14ac:dyDescent="0.25">
      <c r="A431"/>
      <c r="B431"/>
      <c r="C431"/>
      <c r="D431"/>
      <c r="E431"/>
      <c r="F431"/>
      <c r="G431"/>
      <c r="H431"/>
      <c r="I431"/>
      <c r="J431"/>
      <c r="K431"/>
      <c r="L431"/>
      <c r="M431"/>
      <c r="N431"/>
      <c r="O431"/>
      <c r="P431"/>
      <c r="Q431"/>
      <c r="R431"/>
      <c r="S431"/>
      <c r="T431"/>
      <c r="U431"/>
      <c r="V431"/>
      <c r="W431"/>
      <c r="X431"/>
      <c r="Y431"/>
      <c r="Z431"/>
      <c r="AA431"/>
      <c r="AB431"/>
      <c r="AC431"/>
      <c r="AD431"/>
      <c r="AE431"/>
      <c r="AF431"/>
    </row>
    <row r="432" spans="1:32" x14ac:dyDescent="0.25">
      <c r="A432"/>
      <c r="B432"/>
      <c r="C432"/>
      <c r="D432"/>
      <c r="E432"/>
      <c r="F432"/>
      <c r="G432"/>
      <c r="H432"/>
      <c r="I432"/>
      <c r="J432"/>
      <c r="K432"/>
      <c r="L432"/>
      <c r="M432"/>
      <c r="N432"/>
      <c r="O432"/>
      <c r="P432"/>
      <c r="Q432"/>
      <c r="R432"/>
      <c r="S432"/>
      <c r="T432"/>
      <c r="U432"/>
      <c r="V432"/>
      <c r="W432"/>
      <c r="X432"/>
      <c r="Y432"/>
      <c r="Z432"/>
      <c r="AA432"/>
      <c r="AB432"/>
      <c r="AC432"/>
      <c r="AD432"/>
      <c r="AE432"/>
      <c r="AF432"/>
    </row>
    <row r="433" spans="1:32" x14ac:dyDescent="0.25">
      <c r="A433"/>
      <c r="B433"/>
      <c r="C433"/>
      <c r="D433"/>
      <c r="E433"/>
      <c r="F433"/>
      <c r="G433"/>
      <c r="H433"/>
      <c r="I433"/>
      <c r="J433"/>
      <c r="K433"/>
      <c r="L433"/>
      <c r="M433"/>
      <c r="N433"/>
      <c r="O433"/>
      <c r="P433"/>
      <c r="Q433"/>
      <c r="R433"/>
      <c r="S433"/>
      <c r="T433"/>
      <c r="U433"/>
      <c r="V433"/>
      <c r="W433"/>
      <c r="X433"/>
      <c r="Y433"/>
      <c r="Z433"/>
      <c r="AA433"/>
      <c r="AB433"/>
      <c r="AC433"/>
      <c r="AD433"/>
      <c r="AE433"/>
      <c r="AF433"/>
    </row>
    <row r="434" spans="1:32" x14ac:dyDescent="0.25">
      <c r="A434"/>
      <c r="B434"/>
      <c r="C434"/>
      <c r="D434"/>
      <c r="E434"/>
      <c r="F434"/>
      <c r="G434"/>
      <c r="H434"/>
      <c r="I434"/>
      <c r="J434"/>
      <c r="K434"/>
      <c r="L434"/>
      <c r="M434"/>
      <c r="N434"/>
      <c r="O434"/>
      <c r="P434"/>
      <c r="Q434"/>
      <c r="R434"/>
      <c r="S434"/>
      <c r="T434"/>
      <c r="U434"/>
      <c r="V434"/>
      <c r="W434"/>
      <c r="X434"/>
      <c r="Y434"/>
      <c r="Z434"/>
      <c r="AA434"/>
      <c r="AB434"/>
      <c r="AC434"/>
      <c r="AD434"/>
      <c r="AE434"/>
      <c r="AF434"/>
    </row>
    <row r="435" spans="1:32" x14ac:dyDescent="0.25">
      <c r="A435"/>
      <c r="B435"/>
      <c r="C435"/>
      <c r="D435"/>
      <c r="E435"/>
      <c r="F435"/>
      <c r="G435"/>
      <c r="H435"/>
      <c r="I435"/>
      <c r="J435"/>
      <c r="K435"/>
      <c r="L435"/>
      <c r="M435"/>
      <c r="N435"/>
      <c r="O435"/>
      <c r="P435"/>
      <c r="Q435"/>
      <c r="R435"/>
      <c r="S435"/>
      <c r="T435"/>
      <c r="U435"/>
      <c r="V435"/>
      <c r="W435"/>
      <c r="X435"/>
      <c r="Y435"/>
      <c r="Z435"/>
      <c r="AA435"/>
      <c r="AB435"/>
      <c r="AC435"/>
      <c r="AD435"/>
      <c r="AE435"/>
      <c r="AF435"/>
    </row>
    <row r="436" spans="1:32" x14ac:dyDescent="0.25">
      <c r="A436"/>
      <c r="B436"/>
      <c r="C436"/>
      <c r="D436"/>
      <c r="E436"/>
      <c r="F436"/>
      <c r="G436"/>
      <c r="H436"/>
      <c r="I436"/>
      <c r="J436"/>
      <c r="K436"/>
      <c r="L436"/>
      <c r="M436"/>
      <c r="N436"/>
      <c r="O436"/>
      <c r="P436"/>
      <c r="Q436"/>
      <c r="R436"/>
      <c r="S436"/>
      <c r="T436"/>
      <c r="U436"/>
      <c r="V436"/>
      <c r="W436"/>
      <c r="X436"/>
      <c r="Y436"/>
      <c r="Z436"/>
      <c r="AA436"/>
      <c r="AB436"/>
      <c r="AC436"/>
      <c r="AD436"/>
      <c r="AE436"/>
      <c r="AF436"/>
    </row>
    <row r="437" spans="1:32" x14ac:dyDescent="0.25">
      <c r="A437"/>
      <c r="B437"/>
      <c r="C437"/>
      <c r="D437"/>
      <c r="E437"/>
      <c r="F437"/>
      <c r="G437"/>
      <c r="H437"/>
      <c r="I437"/>
      <c r="J437"/>
      <c r="K437"/>
      <c r="L437"/>
      <c r="M437"/>
      <c r="N437"/>
      <c r="O437"/>
      <c r="P437"/>
      <c r="Q437"/>
      <c r="R437"/>
      <c r="S437"/>
      <c r="T437"/>
      <c r="U437"/>
      <c r="V437"/>
      <c r="W437"/>
      <c r="X437"/>
      <c r="Y437"/>
      <c r="Z437"/>
      <c r="AA437"/>
      <c r="AB437"/>
      <c r="AC437"/>
      <c r="AD437"/>
      <c r="AE437"/>
      <c r="AF437"/>
    </row>
    <row r="438" spans="1:32" x14ac:dyDescent="0.25">
      <c r="A438"/>
      <c r="B438"/>
      <c r="C438"/>
      <c r="D438"/>
      <c r="E438"/>
      <c r="F438"/>
      <c r="G438"/>
      <c r="H438"/>
      <c r="I438"/>
      <c r="J438"/>
      <c r="K438"/>
      <c r="L438"/>
      <c r="M438"/>
      <c r="N438"/>
      <c r="O438"/>
      <c r="P438"/>
      <c r="Q438"/>
      <c r="R438"/>
      <c r="S438"/>
      <c r="T438"/>
      <c r="U438"/>
      <c r="V438"/>
      <c r="W438"/>
      <c r="X438"/>
      <c r="Y438"/>
      <c r="Z438"/>
      <c r="AA438"/>
      <c r="AB438"/>
      <c r="AC438"/>
      <c r="AD438"/>
      <c r="AE438"/>
      <c r="AF438"/>
    </row>
    <row r="439" spans="1:32" x14ac:dyDescent="0.25">
      <c r="A439"/>
      <c r="B439"/>
      <c r="C439"/>
      <c r="D439"/>
      <c r="E439"/>
      <c r="F439"/>
      <c r="G439"/>
      <c r="H439"/>
      <c r="I439"/>
      <c r="J439"/>
      <c r="K439"/>
      <c r="L439"/>
      <c r="M439"/>
      <c r="N439"/>
      <c r="O439"/>
      <c r="P439"/>
      <c r="Q439"/>
      <c r="R439"/>
      <c r="S439"/>
      <c r="T439"/>
      <c r="U439"/>
      <c r="V439"/>
      <c r="W439"/>
      <c r="X439"/>
      <c r="Y439"/>
      <c r="Z439"/>
      <c r="AA439"/>
      <c r="AB439"/>
      <c r="AC439"/>
      <c r="AD439"/>
      <c r="AE439"/>
      <c r="AF439"/>
    </row>
    <row r="440" spans="1:32" x14ac:dyDescent="0.25">
      <c r="A440"/>
      <c r="B440"/>
      <c r="C440"/>
      <c r="D440"/>
      <c r="E440"/>
      <c r="F440"/>
      <c r="G440"/>
      <c r="H440"/>
      <c r="I440"/>
      <c r="J440"/>
      <c r="K440"/>
      <c r="L440"/>
      <c r="M440"/>
      <c r="N440"/>
      <c r="O440"/>
      <c r="P440"/>
      <c r="Q440"/>
      <c r="R440"/>
      <c r="S440"/>
      <c r="T440"/>
      <c r="U440"/>
      <c r="V440"/>
      <c r="W440"/>
      <c r="X440"/>
      <c r="Y440"/>
      <c r="Z440"/>
      <c r="AA440"/>
      <c r="AB440"/>
      <c r="AC440"/>
      <c r="AD440"/>
      <c r="AE440"/>
      <c r="AF440"/>
    </row>
    <row r="441" spans="1:32" x14ac:dyDescent="0.25">
      <c r="A441"/>
      <c r="B441"/>
      <c r="C441"/>
      <c r="D441"/>
      <c r="E441"/>
      <c r="F441"/>
      <c r="G441"/>
      <c r="H441"/>
      <c r="I441"/>
      <c r="J441"/>
      <c r="K441"/>
      <c r="L441"/>
      <c r="M441"/>
      <c r="N441"/>
      <c r="O441"/>
      <c r="P441"/>
      <c r="Q441"/>
      <c r="R441"/>
      <c r="S441"/>
      <c r="T441"/>
      <c r="U441"/>
      <c r="V441"/>
      <c r="W441"/>
      <c r="X441"/>
      <c r="Y441"/>
      <c r="Z441"/>
      <c r="AA441"/>
      <c r="AB441"/>
      <c r="AC441"/>
      <c r="AD441"/>
      <c r="AE441"/>
      <c r="AF441"/>
    </row>
    <row r="442" spans="1:32" x14ac:dyDescent="0.25">
      <c r="A442"/>
      <c r="B442"/>
      <c r="C442"/>
      <c r="D442"/>
      <c r="E442"/>
      <c r="F442"/>
      <c r="G442"/>
      <c r="H442"/>
      <c r="I442"/>
      <c r="J442"/>
      <c r="K442"/>
      <c r="L442"/>
      <c r="M442"/>
      <c r="N442"/>
      <c r="O442"/>
      <c r="P442"/>
      <c r="Q442"/>
      <c r="R442"/>
      <c r="S442"/>
      <c r="T442"/>
      <c r="U442"/>
      <c r="V442"/>
      <c r="W442"/>
      <c r="X442"/>
      <c r="Y442"/>
      <c r="Z442"/>
      <c r="AA442"/>
      <c r="AB442"/>
      <c r="AC442"/>
      <c r="AD442"/>
      <c r="AE442"/>
      <c r="AF442"/>
    </row>
    <row r="443" spans="1:32" x14ac:dyDescent="0.25">
      <c r="A443"/>
      <c r="B443"/>
      <c r="C443"/>
      <c r="D443"/>
      <c r="E443"/>
      <c r="F443"/>
      <c r="G443"/>
      <c r="H443"/>
      <c r="I443"/>
      <c r="J443"/>
      <c r="K443"/>
      <c r="L443"/>
      <c r="M443"/>
      <c r="N443"/>
      <c r="O443"/>
      <c r="P443"/>
      <c r="Q443"/>
      <c r="R443"/>
      <c r="S443"/>
      <c r="T443"/>
      <c r="U443"/>
      <c r="V443"/>
      <c r="W443"/>
      <c r="X443"/>
      <c r="Y443"/>
      <c r="Z443"/>
      <c r="AA443"/>
      <c r="AB443"/>
      <c r="AC443"/>
      <c r="AD443"/>
      <c r="AE443"/>
      <c r="AF443"/>
    </row>
    <row r="444" spans="1:32" x14ac:dyDescent="0.25">
      <c r="A444"/>
      <c r="B444"/>
      <c r="C444"/>
      <c r="D444"/>
      <c r="E444"/>
      <c r="F444"/>
      <c r="G444"/>
      <c r="H444"/>
      <c r="I444"/>
      <c r="J444"/>
      <c r="K444"/>
      <c r="L444"/>
      <c r="M444"/>
      <c r="N444"/>
      <c r="O444"/>
      <c r="P444"/>
      <c r="Q444"/>
      <c r="R444"/>
      <c r="S444"/>
      <c r="T444"/>
      <c r="U444"/>
      <c r="V444"/>
      <c r="W444"/>
      <c r="X444"/>
      <c r="Y444"/>
      <c r="Z444"/>
      <c r="AA444"/>
      <c r="AB444"/>
      <c r="AC444"/>
      <c r="AD444"/>
      <c r="AE444"/>
      <c r="AF444"/>
    </row>
    <row r="445" spans="1:32" x14ac:dyDescent="0.25">
      <c r="A445"/>
      <c r="B445"/>
      <c r="C445"/>
      <c r="D445"/>
      <c r="E445"/>
      <c r="F445"/>
      <c r="G445"/>
      <c r="H445"/>
      <c r="I445"/>
      <c r="J445"/>
      <c r="K445"/>
      <c r="L445"/>
      <c r="M445"/>
      <c r="N445"/>
      <c r="O445"/>
      <c r="P445"/>
      <c r="Q445"/>
      <c r="R445"/>
      <c r="S445"/>
      <c r="T445"/>
      <c r="U445"/>
      <c r="V445"/>
      <c r="W445"/>
      <c r="X445"/>
      <c r="Y445"/>
      <c r="Z445"/>
      <c r="AA445"/>
      <c r="AB445"/>
      <c r="AC445"/>
      <c r="AD445"/>
      <c r="AE445"/>
      <c r="AF445"/>
    </row>
    <row r="446" spans="1:32" x14ac:dyDescent="0.25">
      <c r="A446"/>
      <c r="B446"/>
      <c r="C446"/>
      <c r="D446"/>
      <c r="E446"/>
      <c r="F446"/>
      <c r="G446"/>
      <c r="H446"/>
      <c r="I446"/>
      <c r="J446"/>
      <c r="K446"/>
      <c r="L446"/>
      <c r="M446"/>
      <c r="N446"/>
      <c r="O446"/>
      <c r="P446"/>
      <c r="Q446"/>
      <c r="R446"/>
      <c r="S446"/>
      <c r="T446"/>
      <c r="U446"/>
      <c r="V446"/>
      <c r="W446"/>
      <c r="X446"/>
      <c r="Y446"/>
      <c r="Z446"/>
      <c r="AA446"/>
      <c r="AB446"/>
      <c r="AC446"/>
      <c r="AD446"/>
      <c r="AE446"/>
      <c r="AF446"/>
    </row>
    <row r="447" spans="1:32" x14ac:dyDescent="0.25">
      <c r="A447"/>
      <c r="B447"/>
      <c r="C447"/>
      <c r="D447"/>
      <c r="E447"/>
      <c r="F447"/>
      <c r="G447"/>
      <c r="H447"/>
      <c r="I447"/>
      <c r="J447"/>
      <c r="K447"/>
      <c r="L447"/>
      <c r="M447"/>
      <c r="N447"/>
      <c r="O447"/>
      <c r="P447"/>
      <c r="Q447"/>
      <c r="R447"/>
      <c r="S447"/>
      <c r="T447"/>
      <c r="U447"/>
      <c r="V447"/>
      <c r="W447"/>
      <c r="X447"/>
      <c r="Y447"/>
      <c r="Z447"/>
      <c r="AA447"/>
      <c r="AB447"/>
      <c r="AC447"/>
      <c r="AD447"/>
      <c r="AE447"/>
      <c r="AF447"/>
    </row>
    <row r="448" spans="1:32" x14ac:dyDescent="0.25">
      <c r="A448"/>
      <c r="B448"/>
      <c r="C448"/>
      <c r="D448"/>
      <c r="E448"/>
      <c r="F448"/>
      <c r="G448"/>
      <c r="H448"/>
      <c r="I448"/>
      <c r="J448"/>
      <c r="K448"/>
      <c r="L448"/>
      <c r="M448"/>
      <c r="N448"/>
      <c r="O448"/>
      <c r="P448"/>
      <c r="Q448"/>
      <c r="R448"/>
      <c r="S448"/>
      <c r="T448"/>
      <c r="U448"/>
      <c r="V448"/>
      <c r="W448"/>
      <c r="X448"/>
      <c r="Y448"/>
      <c r="Z448"/>
      <c r="AA448"/>
      <c r="AB448"/>
      <c r="AC448"/>
      <c r="AD448"/>
      <c r="AE448"/>
      <c r="AF448"/>
    </row>
    <row r="449" spans="1:32" x14ac:dyDescent="0.25">
      <c r="A449"/>
      <c r="B449"/>
      <c r="C449"/>
      <c r="D449"/>
      <c r="E449"/>
      <c r="F449"/>
      <c r="G449"/>
      <c r="H449"/>
      <c r="I449"/>
      <c r="J449"/>
      <c r="K449"/>
      <c r="L449"/>
      <c r="M449"/>
      <c r="N449"/>
      <c r="O449"/>
      <c r="P449"/>
      <c r="Q449"/>
      <c r="R449"/>
      <c r="S449"/>
      <c r="T449"/>
      <c r="U449"/>
      <c r="V449"/>
      <c r="W449"/>
      <c r="X449"/>
      <c r="Y449"/>
      <c r="Z449"/>
      <c r="AA449"/>
      <c r="AB449"/>
      <c r="AC449"/>
      <c r="AD449"/>
      <c r="AE449"/>
      <c r="AF449"/>
    </row>
    <row r="450" spans="1:32" x14ac:dyDescent="0.25">
      <c r="A450"/>
      <c r="B450"/>
      <c r="C450"/>
      <c r="D450"/>
      <c r="E450"/>
      <c r="F450"/>
      <c r="G450"/>
      <c r="H450"/>
      <c r="I450"/>
      <c r="J450"/>
      <c r="K450"/>
      <c r="L450"/>
      <c r="M450"/>
      <c r="N450"/>
      <c r="O450"/>
      <c r="P450"/>
      <c r="Q450"/>
      <c r="R450"/>
      <c r="S450"/>
      <c r="T450"/>
      <c r="U450"/>
      <c r="V450"/>
      <c r="W450"/>
      <c r="X450"/>
      <c r="Y450"/>
      <c r="Z450"/>
      <c r="AA450"/>
      <c r="AB450"/>
      <c r="AC450"/>
      <c r="AD450"/>
      <c r="AE450"/>
      <c r="AF450"/>
    </row>
    <row r="451" spans="1:32" x14ac:dyDescent="0.25">
      <c r="A451"/>
      <c r="B451"/>
      <c r="C451"/>
      <c r="D451"/>
      <c r="E451"/>
      <c r="F451"/>
      <c r="G451"/>
      <c r="H451"/>
      <c r="I451"/>
      <c r="J451"/>
      <c r="K451"/>
      <c r="L451"/>
      <c r="M451"/>
      <c r="N451"/>
      <c r="O451"/>
      <c r="P451"/>
      <c r="Q451"/>
      <c r="R451"/>
      <c r="S451"/>
      <c r="T451"/>
      <c r="U451"/>
      <c r="V451"/>
      <c r="W451"/>
      <c r="X451"/>
      <c r="Y451"/>
      <c r="Z451"/>
      <c r="AA451"/>
      <c r="AB451"/>
      <c r="AC451"/>
      <c r="AD451"/>
      <c r="AE451"/>
      <c r="AF451"/>
    </row>
    <row r="452" spans="1:32" x14ac:dyDescent="0.25">
      <c r="A452"/>
      <c r="B452"/>
      <c r="C452"/>
      <c r="D452"/>
      <c r="E452"/>
      <c r="F452"/>
      <c r="G452"/>
      <c r="H452"/>
      <c r="I452"/>
      <c r="J452"/>
      <c r="K452"/>
      <c r="L452"/>
      <c r="M452"/>
      <c r="N452"/>
      <c r="O452"/>
      <c r="P452"/>
      <c r="Q452"/>
      <c r="R452"/>
      <c r="S452"/>
      <c r="T452"/>
      <c r="U452"/>
      <c r="V452"/>
      <c r="W452"/>
      <c r="X452"/>
      <c r="Y452"/>
      <c r="Z452"/>
      <c r="AA452"/>
      <c r="AB452"/>
      <c r="AC452"/>
      <c r="AD452"/>
      <c r="AE452"/>
      <c r="AF452"/>
    </row>
    <row r="453" spans="1:32" x14ac:dyDescent="0.25">
      <c r="A453"/>
      <c r="B453"/>
      <c r="C453"/>
      <c r="D453"/>
      <c r="E453"/>
      <c r="F453"/>
      <c r="G453"/>
      <c r="H453"/>
      <c r="I453"/>
      <c r="J453"/>
      <c r="K453"/>
      <c r="L453"/>
      <c r="M453"/>
      <c r="N453"/>
      <c r="O453"/>
      <c r="P453"/>
      <c r="Q453"/>
      <c r="R453"/>
      <c r="S453"/>
      <c r="T453"/>
      <c r="U453"/>
      <c r="V453"/>
      <c r="W453"/>
      <c r="X453"/>
      <c r="Y453"/>
      <c r="Z453"/>
      <c r="AA453"/>
      <c r="AB453"/>
      <c r="AC453"/>
      <c r="AD453"/>
      <c r="AE453"/>
      <c r="AF453"/>
    </row>
    <row r="454" spans="1:32" x14ac:dyDescent="0.25">
      <c r="A454"/>
      <c r="B454"/>
      <c r="C454"/>
      <c r="D454"/>
      <c r="E454"/>
      <c r="F454"/>
      <c r="G454"/>
      <c r="H454"/>
      <c r="I454"/>
      <c r="J454"/>
      <c r="K454"/>
      <c r="L454"/>
      <c r="M454"/>
      <c r="N454"/>
      <c r="O454"/>
      <c r="P454"/>
      <c r="Q454"/>
      <c r="R454"/>
      <c r="S454"/>
      <c r="T454"/>
      <c r="U454"/>
      <c r="V454"/>
      <c r="W454"/>
      <c r="X454"/>
      <c r="Y454"/>
      <c r="Z454"/>
      <c r="AA454"/>
      <c r="AB454"/>
      <c r="AC454"/>
      <c r="AD454"/>
      <c r="AE454"/>
      <c r="AF454"/>
    </row>
    <row r="455" spans="1:32" x14ac:dyDescent="0.25">
      <c r="A455"/>
      <c r="B455"/>
      <c r="C455"/>
      <c r="D455"/>
      <c r="E455"/>
      <c r="F455"/>
      <c r="G455"/>
      <c r="H455"/>
      <c r="I455"/>
      <c r="J455"/>
      <c r="K455"/>
      <c r="L455"/>
      <c r="M455"/>
      <c r="N455"/>
      <c r="O455"/>
      <c r="P455"/>
      <c r="Q455"/>
      <c r="R455"/>
      <c r="S455"/>
      <c r="T455"/>
      <c r="U455"/>
      <c r="V455"/>
      <c r="W455"/>
      <c r="X455"/>
      <c r="Y455"/>
      <c r="Z455"/>
      <c r="AA455"/>
      <c r="AB455"/>
      <c r="AC455"/>
      <c r="AD455"/>
      <c r="AE455"/>
      <c r="AF455"/>
    </row>
    <row r="456" spans="1:32" x14ac:dyDescent="0.25">
      <c r="A456"/>
      <c r="B456"/>
      <c r="C456"/>
      <c r="D456"/>
      <c r="E456"/>
      <c r="F456"/>
      <c r="G456"/>
      <c r="H456"/>
      <c r="I456"/>
      <c r="J456"/>
      <c r="K456"/>
      <c r="L456"/>
      <c r="M456"/>
      <c r="N456"/>
      <c r="O456"/>
      <c r="P456"/>
      <c r="Q456"/>
      <c r="R456"/>
      <c r="S456"/>
      <c r="T456"/>
      <c r="U456"/>
      <c r="V456"/>
      <c r="W456"/>
      <c r="X456"/>
      <c r="Y456"/>
      <c r="Z456"/>
      <c r="AA456"/>
      <c r="AB456"/>
      <c r="AC456"/>
      <c r="AD456"/>
      <c r="AE456"/>
      <c r="AF456"/>
    </row>
    <row r="457" spans="1:32" x14ac:dyDescent="0.25">
      <c r="A457"/>
      <c r="B457"/>
      <c r="C457"/>
      <c r="D457"/>
      <c r="E457"/>
      <c r="F457"/>
      <c r="G457"/>
      <c r="H457"/>
      <c r="I457"/>
      <c r="J457"/>
      <c r="K457"/>
      <c r="L457"/>
      <c r="M457"/>
      <c r="N457"/>
      <c r="O457"/>
      <c r="P457"/>
      <c r="Q457"/>
      <c r="R457"/>
      <c r="S457"/>
      <c r="T457"/>
      <c r="U457"/>
      <c r="V457"/>
      <c r="W457"/>
      <c r="X457"/>
      <c r="Y457"/>
      <c r="Z457"/>
      <c r="AA457"/>
      <c r="AB457"/>
      <c r="AC457"/>
      <c r="AD457"/>
      <c r="AE457"/>
      <c r="AF457"/>
    </row>
    <row r="458" spans="1:32" x14ac:dyDescent="0.25">
      <c r="A458"/>
      <c r="B458"/>
      <c r="C458"/>
      <c r="D458"/>
      <c r="E458"/>
      <c r="F458"/>
      <c r="G458"/>
      <c r="H458"/>
      <c r="I458"/>
      <c r="J458"/>
      <c r="K458"/>
      <c r="L458"/>
      <c r="M458"/>
      <c r="N458"/>
      <c r="O458"/>
      <c r="P458"/>
      <c r="Q458"/>
      <c r="R458"/>
      <c r="S458"/>
      <c r="T458"/>
      <c r="U458"/>
      <c r="V458"/>
      <c r="W458"/>
      <c r="X458"/>
      <c r="Y458"/>
      <c r="Z458"/>
      <c r="AA458"/>
      <c r="AB458"/>
      <c r="AC458"/>
      <c r="AD458"/>
      <c r="AE458"/>
      <c r="AF458"/>
    </row>
    <row r="459" spans="1:32" x14ac:dyDescent="0.25">
      <c r="A459"/>
      <c r="B459"/>
      <c r="C459"/>
      <c r="D459"/>
      <c r="E459"/>
      <c r="F459"/>
      <c r="G459"/>
      <c r="H459"/>
      <c r="I459"/>
      <c r="J459"/>
      <c r="K459"/>
      <c r="L459"/>
      <c r="M459"/>
      <c r="N459"/>
      <c r="O459"/>
      <c r="P459"/>
      <c r="Q459"/>
      <c r="R459"/>
      <c r="S459"/>
      <c r="T459"/>
      <c r="U459"/>
      <c r="V459"/>
      <c r="W459"/>
      <c r="X459"/>
      <c r="Y459"/>
      <c r="Z459"/>
      <c r="AA459"/>
      <c r="AB459"/>
      <c r="AC459"/>
      <c r="AD459"/>
      <c r="AE459"/>
      <c r="AF459"/>
    </row>
    <row r="460" spans="1:32" x14ac:dyDescent="0.25">
      <c r="A460"/>
      <c r="B460"/>
      <c r="C460"/>
      <c r="D460"/>
      <c r="E460"/>
      <c r="F460"/>
      <c r="G460"/>
      <c r="H460"/>
      <c r="I460"/>
      <c r="J460"/>
      <c r="K460"/>
      <c r="L460"/>
      <c r="M460"/>
      <c r="N460"/>
      <c r="O460"/>
      <c r="P460"/>
      <c r="Q460"/>
      <c r="R460"/>
      <c r="S460"/>
      <c r="T460"/>
      <c r="U460"/>
      <c r="V460"/>
      <c r="W460"/>
      <c r="X460"/>
      <c r="Y460"/>
      <c r="Z460"/>
      <c r="AA460"/>
      <c r="AB460"/>
      <c r="AC460"/>
      <c r="AD460"/>
      <c r="AE460"/>
      <c r="AF460"/>
    </row>
    <row r="461" spans="1:32" x14ac:dyDescent="0.25">
      <c r="A461"/>
      <c r="B461"/>
      <c r="C461"/>
      <c r="D461"/>
      <c r="E461"/>
      <c r="F461"/>
      <c r="G461"/>
      <c r="H461"/>
      <c r="I461"/>
      <c r="J461"/>
      <c r="K461"/>
      <c r="L461"/>
      <c r="M461"/>
      <c r="N461"/>
      <c r="O461"/>
      <c r="P461"/>
      <c r="Q461"/>
      <c r="R461"/>
      <c r="S461"/>
      <c r="T461"/>
      <c r="U461"/>
      <c r="V461"/>
      <c r="W461"/>
      <c r="X461"/>
      <c r="Y461"/>
      <c r="Z461"/>
      <c r="AA461"/>
      <c r="AB461"/>
      <c r="AC461"/>
      <c r="AD461"/>
      <c r="AE461"/>
      <c r="AF461"/>
    </row>
    <row r="462" spans="1:32" x14ac:dyDescent="0.25">
      <c r="A462"/>
      <c r="B462"/>
      <c r="C462"/>
      <c r="D462"/>
      <c r="E462"/>
      <c r="F462"/>
      <c r="G462"/>
      <c r="H462"/>
      <c r="I462"/>
      <c r="J462"/>
      <c r="K462"/>
      <c r="L462"/>
      <c r="M462"/>
      <c r="N462"/>
      <c r="O462"/>
      <c r="P462"/>
      <c r="Q462"/>
      <c r="R462"/>
      <c r="S462"/>
      <c r="T462"/>
      <c r="U462"/>
      <c r="V462"/>
      <c r="W462"/>
      <c r="X462"/>
      <c r="Y462"/>
      <c r="Z462"/>
      <c r="AA462"/>
      <c r="AB462"/>
      <c r="AC462"/>
      <c r="AD462"/>
      <c r="AE462"/>
      <c r="AF462"/>
    </row>
    <row r="463" spans="1:32" x14ac:dyDescent="0.25">
      <c r="A463"/>
      <c r="B463"/>
      <c r="C463"/>
      <c r="D463"/>
      <c r="E463"/>
      <c r="F463"/>
      <c r="G463"/>
      <c r="H463"/>
      <c r="I463"/>
      <c r="J463"/>
      <c r="K463"/>
      <c r="L463"/>
      <c r="M463"/>
      <c r="N463"/>
      <c r="O463"/>
      <c r="P463"/>
      <c r="Q463"/>
      <c r="R463"/>
      <c r="S463"/>
      <c r="T463"/>
      <c r="U463"/>
      <c r="V463"/>
      <c r="W463"/>
      <c r="X463"/>
      <c r="Y463"/>
      <c r="Z463"/>
      <c r="AA463"/>
      <c r="AB463"/>
      <c r="AC463"/>
      <c r="AD463"/>
      <c r="AE463"/>
      <c r="AF463"/>
    </row>
    <row r="464" spans="1:32" x14ac:dyDescent="0.25">
      <c r="A464"/>
      <c r="B464"/>
      <c r="C464"/>
      <c r="D464"/>
      <c r="E464"/>
      <c r="F464"/>
      <c r="G464"/>
      <c r="H464"/>
      <c r="I464"/>
      <c r="J464"/>
      <c r="K464"/>
      <c r="L464"/>
      <c r="M464"/>
      <c r="N464"/>
      <c r="O464"/>
      <c r="P464"/>
      <c r="Q464"/>
      <c r="R464"/>
      <c r="S464"/>
      <c r="T464"/>
      <c r="U464"/>
      <c r="V464"/>
      <c r="W464"/>
      <c r="X464"/>
      <c r="Y464"/>
      <c r="Z464"/>
      <c r="AA464"/>
      <c r="AB464"/>
      <c r="AC464"/>
      <c r="AD464"/>
      <c r="AE464"/>
      <c r="AF464"/>
    </row>
    <row r="465" spans="1:32" x14ac:dyDescent="0.25">
      <c r="A465"/>
      <c r="B465"/>
      <c r="C465"/>
      <c r="D465"/>
      <c r="E465"/>
      <c r="F465"/>
      <c r="G465"/>
      <c r="H465"/>
      <c r="I465"/>
      <c r="J465"/>
      <c r="K465"/>
      <c r="L465"/>
      <c r="M465"/>
      <c r="N465"/>
      <c r="O465"/>
      <c r="P465"/>
      <c r="Q465"/>
      <c r="R465"/>
      <c r="S465"/>
      <c r="T465"/>
      <c r="U465"/>
      <c r="V465"/>
      <c r="W465"/>
      <c r="X465"/>
      <c r="Y465"/>
      <c r="Z465"/>
      <c r="AA465"/>
      <c r="AB465"/>
      <c r="AC465"/>
      <c r="AD465"/>
      <c r="AE465"/>
      <c r="AF465"/>
    </row>
    <row r="466" spans="1:32" x14ac:dyDescent="0.25">
      <c r="A466"/>
      <c r="B466"/>
      <c r="C466"/>
      <c r="D466"/>
      <c r="E466"/>
      <c r="F466"/>
      <c r="G466"/>
      <c r="H466"/>
      <c r="I466"/>
      <c r="J466"/>
      <c r="K466"/>
      <c r="L466"/>
      <c r="M466"/>
      <c r="N466"/>
      <c r="O466"/>
      <c r="P466"/>
      <c r="Q466"/>
      <c r="R466"/>
      <c r="S466"/>
      <c r="T466"/>
      <c r="U466"/>
      <c r="V466"/>
      <c r="W466"/>
      <c r="X466"/>
      <c r="Y466"/>
      <c r="Z466"/>
      <c r="AA466"/>
      <c r="AB466"/>
      <c r="AC466"/>
      <c r="AD466"/>
      <c r="AE466"/>
      <c r="AF466"/>
    </row>
    <row r="467" spans="1:32" x14ac:dyDescent="0.25">
      <c r="A467"/>
      <c r="B467"/>
      <c r="C467"/>
      <c r="D467"/>
      <c r="E467"/>
      <c r="F467"/>
      <c r="G467"/>
      <c r="H467"/>
      <c r="I467"/>
      <c r="J467"/>
      <c r="K467"/>
      <c r="L467"/>
      <c r="M467"/>
      <c r="N467"/>
      <c r="O467"/>
      <c r="P467"/>
      <c r="Q467"/>
      <c r="R467"/>
      <c r="S467"/>
      <c r="T467"/>
      <c r="U467"/>
      <c r="V467"/>
      <c r="W467"/>
      <c r="X467"/>
      <c r="Y467"/>
      <c r="Z467"/>
      <c r="AA467"/>
      <c r="AB467"/>
      <c r="AC467"/>
      <c r="AD467"/>
      <c r="AE467"/>
      <c r="AF467"/>
    </row>
    <row r="468" spans="1:32" x14ac:dyDescent="0.25">
      <c r="A468"/>
      <c r="B468"/>
      <c r="C468"/>
      <c r="D468"/>
      <c r="E468"/>
      <c r="F468"/>
      <c r="G468"/>
      <c r="H468"/>
      <c r="I468"/>
      <c r="J468"/>
      <c r="K468"/>
      <c r="L468"/>
      <c r="M468"/>
      <c r="N468"/>
      <c r="O468"/>
      <c r="P468"/>
      <c r="Q468"/>
      <c r="R468"/>
      <c r="S468"/>
      <c r="T468"/>
      <c r="U468"/>
      <c r="V468"/>
      <c r="W468"/>
      <c r="X468"/>
      <c r="Y468"/>
      <c r="Z468"/>
      <c r="AA468"/>
      <c r="AB468"/>
      <c r="AC468"/>
      <c r="AD468"/>
      <c r="AE468"/>
      <c r="AF468"/>
    </row>
    <row r="469" spans="1:32" x14ac:dyDescent="0.25">
      <c r="A469"/>
      <c r="B469"/>
      <c r="C469"/>
      <c r="D469"/>
      <c r="E469"/>
      <c r="F469"/>
      <c r="G469"/>
      <c r="H469"/>
      <c r="I469"/>
      <c r="J469"/>
      <c r="K469"/>
      <c r="L469"/>
      <c r="M469"/>
      <c r="N469"/>
      <c r="O469"/>
      <c r="P469"/>
      <c r="Q469"/>
      <c r="R469"/>
      <c r="S469"/>
      <c r="T469"/>
      <c r="U469"/>
      <c r="V469"/>
      <c r="W469"/>
      <c r="X469"/>
      <c r="Y469"/>
      <c r="Z469"/>
      <c r="AA469"/>
      <c r="AB469"/>
      <c r="AC469"/>
      <c r="AD469"/>
      <c r="AE469"/>
      <c r="AF469"/>
    </row>
    <row r="470" spans="1:32" x14ac:dyDescent="0.25">
      <c r="A470"/>
      <c r="B470"/>
      <c r="C470"/>
      <c r="D470"/>
      <c r="E470"/>
      <c r="F470"/>
      <c r="G470"/>
      <c r="H470"/>
      <c r="I470"/>
      <c r="J470"/>
      <c r="K470"/>
      <c r="L470"/>
      <c r="M470"/>
      <c r="N470"/>
      <c r="O470"/>
      <c r="P470"/>
      <c r="Q470"/>
      <c r="R470"/>
      <c r="S470"/>
      <c r="T470"/>
      <c r="U470"/>
      <c r="V470"/>
      <c r="W470"/>
      <c r="X470"/>
      <c r="Y470"/>
      <c r="Z470"/>
      <c r="AA470"/>
      <c r="AB470"/>
      <c r="AC470"/>
      <c r="AD470"/>
      <c r="AE470"/>
      <c r="AF470"/>
    </row>
    <row r="471" spans="1:32" x14ac:dyDescent="0.25">
      <c r="A471"/>
      <c r="B471"/>
      <c r="C471"/>
      <c r="D471"/>
      <c r="E471"/>
      <c r="F471"/>
      <c r="G471"/>
      <c r="H471"/>
      <c r="I471"/>
      <c r="J471"/>
      <c r="K471"/>
      <c r="L471"/>
      <c r="M471"/>
      <c r="N471"/>
      <c r="O471"/>
      <c r="P471"/>
      <c r="Q471"/>
      <c r="R471"/>
      <c r="S471"/>
      <c r="T471"/>
      <c r="U471"/>
      <c r="V471"/>
      <c r="W471"/>
      <c r="X471"/>
      <c r="Y471"/>
      <c r="Z471"/>
      <c r="AA471"/>
      <c r="AB471"/>
      <c r="AC471"/>
      <c r="AD471"/>
      <c r="AE471"/>
      <c r="AF471"/>
    </row>
    <row r="472" spans="1:32" x14ac:dyDescent="0.25">
      <c r="A472"/>
      <c r="B472"/>
      <c r="C472"/>
      <c r="D472"/>
      <c r="E472"/>
      <c r="F472"/>
      <c r="G472"/>
      <c r="H472"/>
      <c r="I472"/>
      <c r="J472"/>
      <c r="K472"/>
      <c r="L472"/>
      <c r="M472"/>
      <c r="N472"/>
      <c r="O472"/>
      <c r="P472"/>
      <c r="Q472"/>
      <c r="R472"/>
      <c r="S472"/>
      <c r="T472"/>
      <c r="U472"/>
      <c r="V472"/>
      <c r="W472"/>
      <c r="X472"/>
      <c r="Y472"/>
      <c r="Z472"/>
      <c r="AA472"/>
      <c r="AB472"/>
      <c r="AC472"/>
      <c r="AD472"/>
      <c r="AE472"/>
      <c r="AF472"/>
    </row>
    <row r="473" spans="1:32" x14ac:dyDescent="0.25">
      <c r="A473"/>
      <c r="B473"/>
      <c r="C473"/>
      <c r="D473"/>
      <c r="E473"/>
      <c r="F473"/>
      <c r="G473"/>
      <c r="H473"/>
      <c r="I473"/>
      <c r="J473"/>
      <c r="K473"/>
      <c r="L473"/>
      <c r="M473"/>
      <c r="N473"/>
      <c r="O473"/>
      <c r="P473"/>
      <c r="Q473"/>
      <c r="R473"/>
      <c r="S473"/>
      <c r="T473"/>
      <c r="U473"/>
      <c r="V473"/>
      <c r="W473"/>
      <c r="X473"/>
      <c r="Y473"/>
      <c r="Z473"/>
      <c r="AA473"/>
      <c r="AB473"/>
      <c r="AC473"/>
      <c r="AD473"/>
      <c r="AE473"/>
      <c r="AF473"/>
    </row>
    <row r="474" spans="1:32" x14ac:dyDescent="0.25">
      <c r="A474"/>
      <c r="B474"/>
      <c r="C474"/>
      <c r="D474"/>
      <c r="E474"/>
      <c r="F474"/>
      <c r="G474"/>
      <c r="H474"/>
      <c r="I474"/>
      <c r="J474"/>
      <c r="K474"/>
      <c r="L474"/>
      <c r="M474"/>
      <c r="N474"/>
      <c r="O474"/>
      <c r="P474"/>
      <c r="Q474"/>
      <c r="R474"/>
      <c r="S474"/>
      <c r="T474"/>
      <c r="U474"/>
      <c r="V474"/>
      <c r="W474"/>
      <c r="X474"/>
      <c r="Y474"/>
      <c r="Z474"/>
      <c r="AA474"/>
      <c r="AB474"/>
      <c r="AC474"/>
      <c r="AD474"/>
      <c r="AE474"/>
      <c r="AF474"/>
    </row>
    <row r="475" spans="1:32" x14ac:dyDescent="0.25">
      <c r="A475"/>
      <c r="B475"/>
      <c r="C475"/>
      <c r="D475"/>
      <c r="E475"/>
      <c r="F475"/>
      <c r="G475"/>
      <c r="H475"/>
      <c r="I475"/>
      <c r="J475"/>
      <c r="K475"/>
      <c r="L475"/>
      <c r="M475"/>
      <c r="N475"/>
      <c r="O475"/>
      <c r="P475"/>
      <c r="Q475"/>
      <c r="R475"/>
      <c r="S475"/>
      <c r="T475"/>
      <c r="U475"/>
      <c r="V475"/>
      <c r="W475"/>
      <c r="X475"/>
      <c r="Y475"/>
      <c r="Z475"/>
      <c r="AA475"/>
      <c r="AB475"/>
      <c r="AC475"/>
      <c r="AD475"/>
      <c r="AE475"/>
      <c r="AF475"/>
    </row>
    <row r="476" spans="1:32" x14ac:dyDescent="0.25">
      <c r="A476"/>
      <c r="B476"/>
      <c r="C476"/>
      <c r="D476"/>
      <c r="E476"/>
      <c r="F476"/>
      <c r="G476"/>
      <c r="H476"/>
      <c r="I476"/>
      <c r="J476"/>
      <c r="K476"/>
      <c r="L476"/>
      <c r="M476"/>
      <c r="N476"/>
      <c r="O476"/>
      <c r="P476"/>
      <c r="Q476"/>
      <c r="R476"/>
      <c r="S476"/>
      <c r="T476"/>
      <c r="U476"/>
      <c r="V476"/>
      <c r="W476"/>
      <c r="X476"/>
      <c r="Y476"/>
      <c r="Z476"/>
      <c r="AA476"/>
      <c r="AB476"/>
      <c r="AC476"/>
      <c r="AD476"/>
      <c r="AE476"/>
      <c r="AF476"/>
    </row>
    <row r="477" spans="1:32" x14ac:dyDescent="0.25">
      <c r="A477"/>
      <c r="B477"/>
      <c r="C477"/>
      <c r="D477"/>
      <c r="E477"/>
      <c r="F477"/>
      <c r="G477"/>
      <c r="H477"/>
      <c r="I477"/>
      <c r="J477"/>
      <c r="K477"/>
      <c r="L477"/>
      <c r="M477"/>
      <c r="N477"/>
      <c r="O477"/>
      <c r="P477"/>
      <c r="Q477"/>
      <c r="R477"/>
      <c r="S477"/>
      <c r="T477"/>
      <c r="U477"/>
      <c r="V477"/>
      <c r="W477"/>
      <c r="X477"/>
      <c r="Y477"/>
      <c r="Z477"/>
      <c r="AA477"/>
      <c r="AB477"/>
      <c r="AC477"/>
      <c r="AD477"/>
      <c r="AE477"/>
      <c r="AF477"/>
    </row>
    <row r="478" spans="1:32" x14ac:dyDescent="0.25">
      <c r="A478"/>
      <c r="B478"/>
      <c r="C478"/>
      <c r="D478"/>
      <c r="E478"/>
      <c r="F478"/>
      <c r="G478"/>
      <c r="H478"/>
      <c r="I478"/>
      <c r="J478"/>
      <c r="K478"/>
      <c r="L478"/>
      <c r="M478"/>
      <c r="N478"/>
      <c r="O478"/>
      <c r="P478"/>
      <c r="Q478"/>
      <c r="R478"/>
      <c r="S478"/>
      <c r="T478"/>
      <c r="U478"/>
      <c r="V478"/>
      <c r="W478"/>
      <c r="X478"/>
      <c r="Y478"/>
      <c r="Z478"/>
      <c r="AA478"/>
      <c r="AB478"/>
      <c r="AC478"/>
      <c r="AD478"/>
      <c r="AE478"/>
      <c r="AF478"/>
    </row>
    <row r="479" spans="1:32" x14ac:dyDescent="0.25">
      <c r="A479"/>
      <c r="B479"/>
      <c r="C479"/>
      <c r="D479"/>
      <c r="E479"/>
      <c r="F479"/>
      <c r="G479"/>
      <c r="H479"/>
      <c r="I479"/>
      <c r="J479"/>
      <c r="K479"/>
      <c r="L479"/>
      <c r="M479"/>
      <c r="N479"/>
      <c r="O479"/>
      <c r="P479"/>
      <c r="Q479"/>
      <c r="R479"/>
      <c r="S479"/>
      <c r="T479"/>
      <c r="U479"/>
      <c r="V479"/>
      <c r="W479"/>
      <c r="X479"/>
      <c r="Y479"/>
      <c r="Z479"/>
      <c r="AA479"/>
      <c r="AB479"/>
      <c r="AC479"/>
      <c r="AD479"/>
      <c r="AE479"/>
      <c r="AF479"/>
    </row>
    <row r="480" spans="1:32" x14ac:dyDescent="0.25">
      <c r="A480"/>
      <c r="B480"/>
      <c r="C480"/>
      <c r="D480"/>
      <c r="E480"/>
      <c r="F480"/>
      <c r="G480"/>
      <c r="H480"/>
      <c r="I480"/>
      <c r="J480"/>
      <c r="K480"/>
      <c r="L480"/>
      <c r="M480"/>
      <c r="N480"/>
      <c r="O480"/>
      <c r="P480"/>
      <c r="Q480"/>
      <c r="R480"/>
      <c r="S480"/>
      <c r="T480"/>
      <c r="U480"/>
      <c r="V480"/>
      <c r="W480"/>
      <c r="X480"/>
      <c r="Y480"/>
      <c r="Z480"/>
      <c r="AA480"/>
      <c r="AB480"/>
      <c r="AC480"/>
      <c r="AD480"/>
      <c r="AE480"/>
      <c r="AF480"/>
    </row>
    <row r="481" spans="1:32" x14ac:dyDescent="0.25">
      <c r="A481"/>
      <c r="B481"/>
      <c r="C481"/>
      <c r="D481"/>
      <c r="E481"/>
      <c r="F481"/>
      <c r="G481"/>
      <c r="H481"/>
      <c r="I481"/>
      <c r="J481"/>
      <c r="K481"/>
      <c r="L481"/>
      <c r="M481"/>
      <c r="N481"/>
      <c r="O481"/>
      <c r="P481"/>
      <c r="Q481"/>
      <c r="R481"/>
      <c r="S481"/>
      <c r="T481"/>
      <c r="U481"/>
      <c r="V481"/>
      <c r="W481"/>
      <c r="X481"/>
      <c r="Y481"/>
      <c r="Z481"/>
      <c r="AA481"/>
      <c r="AB481"/>
      <c r="AC481"/>
      <c r="AD481"/>
      <c r="AE481"/>
      <c r="AF481"/>
    </row>
    <row r="482" spans="1:32" x14ac:dyDescent="0.25">
      <c r="A482"/>
      <c r="B482"/>
      <c r="C482"/>
      <c r="D482"/>
      <c r="E482"/>
      <c r="F482"/>
      <c r="G482"/>
      <c r="H482"/>
      <c r="I482"/>
      <c r="J482"/>
      <c r="K482"/>
      <c r="L482"/>
      <c r="M482"/>
      <c r="N482"/>
      <c r="O482"/>
      <c r="P482"/>
      <c r="Q482"/>
      <c r="R482"/>
      <c r="S482"/>
      <c r="T482"/>
      <c r="U482"/>
      <c r="V482"/>
      <c r="W482"/>
      <c r="X482"/>
      <c r="Y482"/>
      <c r="Z482"/>
      <c r="AA482"/>
      <c r="AB482"/>
      <c r="AC482"/>
      <c r="AD482"/>
      <c r="AE482"/>
      <c r="AF482"/>
    </row>
    <row r="483" spans="1:32" x14ac:dyDescent="0.25">
      <c r="A483"/>
      <c r="B483"/>
      <c r="C483"/>
      <c r="D483"/>
      <c r="E483"/>
      <c r="F483"/>
      <c r="G483"/>
      <c r="H483"/>
      <c r="I483"/>
      <c r="J483"/>
      <c r="K483"/>
      <c r="L483"/>
      <c r="M483"/>
      <c r="N483"/>
      <c r="O483"/>
      <c r="P483"/>
      <c r="Q483"/>
      <c r="R483"/>
      <c r="S483"/>
      <c r="T483"/>
      <c r="U483"/>
      <c r="V483"/>
      <c r="W483"/>
      <c r="X483"/>
      <c r="Y483"/>
      <c r="Z483"/>
      <c r="AA483"/>
      <c r="AB483"/>
      <c r="AC483"/>
      <c r="AD483"/>
      <c r="AE483"/>
      <c r="AF483"/>
    </row>
    <row r="484" spans="1:32" x14ac:dyDescent="0.25">
      <c r="A484"/>
      <c r="B484"/>
      <c r="C484"/>
      <c r="D484"/>
      <c r="E484"/>
      <c r="F484"/>
      <c r="G484"/>
      <c r="H484"/>
      <c r="I484"/>
      <c r="J484"/>
      <c r="K484"/>
      <c r="L484"/>
      <c r="M484"/>
      <c r="N484"/>
      <c r="O484"/>
      <c r="P484"/>
      <c r="Q484"/>
      <c r="R484"/>
      <c r="S484"/>
      <c r="T484"/>
      <c r="U484"/>
      <c r="V484"/>
      <c r="W484"/>
      <c r="X484"/>
      <c r="Y484"/>
      <c r="Z484"/>
      <c r="AA484"/>
      <c r="AB484"/>
      <c r="AC484"/>
      <c r="AD484"/>
      <c r="AE484"/>
      <c r="AF484"/>
    </row>
    <row r="485" spans="1:32" x14ac:dyDescent="0.25">
      <c r="A485"/>
      <c r="B485"/>
      <c r="C485"/>
      <c r="D485"/>
      <c r="E485"/>
      <c r="F485"/>
      <c r="G485"/>
      <c r="H485"/>
      <c r="I485"/>
      <c r="J485"/>
      <c r="K485"/>
      <c r="L485"/>
      <c r="M485"/>
      <c r="N485"/>
      <c r="O485"/>
      <c r="P485"/>
      <c r="Q485"/>
      <c r="R485"/>
      <c r="S485"/>
      <c r="T485"/>
      <c r="U485"/>
      <c r="V485"/>
      <c r="W485"/>
      <c r="X485"/>
      <c r="Y485"/>
      <c r="Z485"/>
      <c r="AA485"/>
      <c r="AB485"/>
      <c r="AC485"/>
      <c r="AD485"/>
      <c r="AE485"/>
      <c r="AF485"/>
    </row>
    <row r="486" spans="1:32" x14ac:dyDescent="0.25">
      <c r="A486"/>
      <c r="B486"/>
      <c r="C486"/>
      <c r="D486"/>
      <c r="E486"/>
      <c r="F486"/>
      <c r="G486"/>
      <c r="H486"/>
      <c r="I486"/>
      <c r="J486"/>
      <c r="K486"/>
      <c r="L486"/>
      <c r="M486"/>
      <c r="N486"/>
      <c r="O486"/>
      <c r="P486"/>
      <c r="Q486"/>
      <c r="R486"/>
      <c r="S486"/>
      <c r="T486"/>
      <c r="U486"/>
      <c r="V486"/>
      <c r="W486"/>
      <c r="X486"/>
      <c r="Y486"/>
      <c r="Z486"/>
      <c r="AA486"/>
      <c r="AB486"/>
      <c r="AC486"/>
      <c r="AD486"/>
      <c r="AE486"/>
      <c r="AF486"/>
    </row>
    <row r="487" spans="1:32" x14ac:dyDescent="0.25">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x14ac:dyDescent="0.25">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x14ac:dyDescent="0.25">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x14ac:dyDescent="0.25">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x14ac:dyDescent="0.25">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x14ac:dyDescent="0.25">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x14ac:dyDescent="0.25">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x14ac:dyDescent="0.25">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x14ac:dyDescent="0.25">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x14ac:dyDescent="0.25">
      <c r="A496"/>
      <c r="B496"/>
      <c r="C496"/>
      <c r="D496"/>
      <c r="E496"/>
      <c r="F496"/>
      <c r="G496"/>
      <c r="H496"/>
      <c r="I496"/>
      <c r="J496"/>
      <c r="K496"/>
      <c r="L496"/>
      <c r="M496"/>
      <c r="N496"/>
      <c r="O496"/>
      <c r="P496"/>
      <c r="Q496"/>
      <c r="R496"/>
      <c r="S496"/>
      <c r="T496"/>
      <c r="U496"/>
      <c r="V496"/>
      <c r="W496"/>
      <c r="X496"/>
      <c r="Y496"/>
      <c r="Z496"/>
      <c r="AA496"/>
      <c r="AB496"/>
      <c r="AC496"/>
      <c r="AD496"/>
      <c r="AE496"/>
      <c r="AF496"/>
    </row>
    <row r="497" spans="1:32" x14ac:dyDescent="0.25">
      <c r="A497"/>
      <c r="B497"/>
      <c r="C497"/>
      <c r="D497"/>
      <c r="E497"/>
      <c r="F497"/>
      <c r="G497"/>
      <c r="H497"/>
      <c r="I497"/>
      <c r="J497"/>
      <c r="K497"/>
      <c r="L497"/>
      <c r="M497"/>
      <c r="N497"/>
      <c r="O497"/>
      <c r="P497"/>
      <c r="Q497"/>
      <c r="R497"/>
      <c r="S497"/>
      <c r="T497"/>
      <c r="U497"/>
      <c r="V497"/>
      <c r="W497"/>
      <c r="X497"/>
      <c r="Y497"/>
      <c r="Z497"/>
      <c r="AA497"/>
      <c r="AB497"/>
      <c r="AC497"/>
      <c r="AD497"/>
      <c r="AE497"/>
      <c r="AF497"/>
    </row>
    <row r="498" spans="1:32" x14ac:dyDescent="0.25">
      <c r="A498"/>
      <c r="B498"/>
      <c r="C498"/>
      <c r="D498"/>
      <c r="E498"/>
      <c r="F498"/>
      <c r="G498"/>
      <c r="H498"/>
      <c r="I498"/>
      <c r="J498"/>
      <c r="K498"/>
      <c r="L498"/>
      <c r="M498"/>
      <c r="N498"/>
      <c r="O498"/>
      <c r="P498"/>
      <c r="Q498"/>
      <c r="R498"/>
      <c r="S498"/>
      <c r="T498"/>
      <c r="U498"/>
      <c r="V498"/>
      <c r="W498"/>
      <c r="X498"/>
      <c r="Y498"/>
      <c r="Z498"/>
      <c r="AA498"/>
      <c r="AB498"/>
      <c r="AC498"/>
      <c r="AD498"/>
      <c r="AE498"/>
      <c r="AF498"/>
    </row>
    <row r="499" spans="1:32" x14ac:dyDescent="0.25">
      <c r="A499"/>
      <c r="B499"/>
      <c r="C499"/>
      <c r="D499"/>
      <c r="E499"/>
      <c r="F499"/>
      <c r="G499"/>
      <c r="H499"/>
      <c r="I499"/>
      <c r="J499"/>
      <c r="K499"/>
      <c r="L499"/>
      <c r="M499"/>
      <c r="N499"/>
      <c r="O499"/>
      <c r="P499"/>
      <c r="Q499"/>
      <c r="R499"/>
      <c r="S499"/>
      <c r="T499"/>
      <c r="U499"/>
      <c r="V499"/>
      <c r="W499"/>
      <c r="X499"/>
      <c r="Y499"/>
      <c r="Z499"/>
      <c r="AA499"/>
      <c r="AB499"/>
      <c r="AC499"/>
      <c r="AD499"/>
      <c r="AE499"/>
      <c r="AF499"/>
    </row>
    <row r="500" spans="1:32" x14ac:dyDescent="0.25">
      <c r="A500"/>
      <c r="B500"/>
      <c r="C500"/>
      <c r="D500"/>
      <c r="E500"/>
      <c r="F500"/>
      <c r="G500"/>
      <c r="H500"/>
      <c r="I500"/>
      <c r="J500"/>
      <c r="K500"/>
      <c r="L500"/>
      <c r="M500"/>
      <c r="N500"/>
      <c r="O500"/>
      <c r="P500"/>
      <c r="Q500"/>
      <c r="R500"/>
      <c r="S500"/>
      <c r="T500"/>
      <c r="U500"/>
      <c r="V500"/>
      <c r="W500"/>
      <c r="X500"/>
      <c r="Y500"/>
      <c r="Z500"/>
      <c r="AA500"/>
      <c r="AB500"/>
      <c r="AC500"/>
      <c r="AD500"/>
      <c r="AE500"/>
      <c r="AF500"/>
    </row>
    <row r="501" spans="1:32" x14ac:dyDescent="0.25">
      <c r="A501"/>
      <c r="B501"/>
      <c r="C501"/>
      <c r="D501"/>
      <c r="E501"/>
      <c r="F501"/>
      <c r="G501"/>
      <c r="H501"/>
      <c r="I501"/>
      <c r="J501"/>
      <c r="K501"/>
      <c r="L501"/>
      <c r="M501"/>
      <c r="N501"/>
      <c r="O501"/>
      <c r="P501"/>
      <c r="Q501"/>
      <c r="R501"/>
      <c r="S501"/>
      <c r="T501"/>
      <c r="U501"/>
      <c r="V501"/>
      <c r="W501"/>
      <c r="X501"/>
      <c r="Y501"/>
      <c r="Z501"/>
      <c r="AA501"/>
      <c r="AB501"/>
      <c r="AC501"/>
      <c r="AD501"/>
      <c r="AE501"/>
      <c r="AF501"/>
    </row>
    <row r="502" spans="1:32" x14ac:dyDescent="0.25">
      <c r="A502"/>
      <c r="B502"/>
      <c r="C502"/>
      <c r="D502"/>
      <c r="E502"/>
      <c r="F502"/>
      <c r="G502"/>
      <c r="H502"/>
      <c r="I502"/>
      <c r="J502"/>
      <c r="K502"/>
      <c r="L502"/>
      <c r="M502"/>
      <c r="N502"/>
      <c r="O502"/>
      <c r="P502"/>
      <c r="Q502"/>
      <c r="R502"/>
      <c r="S502"/>
      <c r="T502"/>
      <c r="U502"/>
      <c r="V502"/>
      <c r="W502"/>
      <c r="X502"/>
      <c r="Y502"/>
      <c r="Z502"/>
      <c r="AA502"/>
      <c r="AB502"/>
      <c r="AC502"/>
      <c r="AD502"/>
      <c r="AE502"/>
      <c r="AF502"/>
    </row>
    <row r="503" spans="1:32" x14ac:dyDescent="0.25">
      <c r="A503"/>
      <c r="B503"/>
      <c r="C503"/>
      <c r="D503"/>
      <c r="E503"/>
      <c r="F503"/>
      <c r="G503"/>
      <c r="H503"/>
      <c r="I503"/>
      <c r="J503"/>
      <c r="K503"/>
      <c r="L503"/>
      <c r="M503"/>
      <c r="N503"/>
      <c r="O503"/>
      <c r="P503"/>
      <c r="Q503"/>
      <c r="R503"/>
      <c r="S503"/>
      <c r="T503"/>
      <c r="U503"/>
      <c r="V503"/>
      <c r="W503"/>
      <c r="X503"/>
      <c r="Y503"/>
      <c r="Z503"/>
      <c r="AA503"/>
      <c r="AB503"/>
      <c r="AC503"/>
      <c r="AD503"/>
      <c r="AE503"/>
      <c r="AF503"/>
    </row>
    <row r="504" spans="1:32" x14ac:dyDescent="0.25">
      <c r="A504"/>
      <c r="B504"/>
      <c r="C504"/>
      <c r="D504"/>
      <c r="E504"/>
      <c r="F504"/>
      <c r="G504"/>
      <c r="H504"/>
      <c r="I504"/>
      <c r="J504"/>
      <c r="K504"/>
      <c r="L504"/>
      <c r="M504"/>
      <c r="N504"/>
      <c r="O504"/>
      <c r="P504"/>
      <c r="Q504"/>
      <c r="R504"/>
      <c r="S504"/>
      <c r="T504"/>
      <c r="U504"/>
      <c r="V504"/>
      <c r="W504"/>
      <c r="X504"/>
      <c r="Y504"/>
      <c r="Z504"/>
      <c r="AA504"/>
      <c r="AB504"/>
      <c r="AC504"/>
      <c r="AD504"/>
      <c r="AE504"/>
      <c r="AF504"/>
    </row>
    <row r="505" spans="1:32" x14ac:dyDescent="0.25">
      <c r="A505"/>
      <c r="B505"/>
      <c r="C505"/>
      <c r="D505"/>
      <c r="E505"/>
      <c r="F505"/>
      <c r="G505"/>
      <c r="H505"/>
      <c r="I505"/>
      <c r="J505"/>
      <c r="K505"/>
      <c r="L505"/>
      <c r="M505"/>
      <c r="N505"/>
      <c r="O505"/>
      <c r="P505"/>
      <c r="Q505"/>
      <c r="R505"/>
      <c r="S505"/>
      <c r="T505"/>
      <c r="U505"/>
      <c r="V505"/>
      <c r="W505"/>
      <c r="X505"/>
      <c r="Y505"/>
      <c r="Z505"/>
      <c r="AA505"/>
      <c r="AB505"/>
      <c r="AC505"/>
      <c r="AD505"/>
      <c r="AE505"/>
      <c r="AF505"/>
    </row>
    <row r="506" spans="1:32" x14ac:dyDescent="0.25">
      <c r="A506"/>
      <c r="B506"/>
      <c r="C506"/>
      <c r="D506"/>
      <c r="E506"/>
      <c r="F506"/>
      <c r="G506"/>
      <c r="H506"/>
      <c r="I506"/>
      <c r="J506"/>
      <c r="K506"/>
      <c r="L506"/>
      <c r="M506"/>
      <c r="N506"/>
      <c r="O506"/>
      <c r="P506"/>
      <c r="Q506"/>
      <c r="R506"/>
      <c r="S506"/>
      <c r="T506"/>
      <c r="U506"/>
      <c r="V506"/>
      <c r="W506"/>
      <c r="X506"/>
      <c r="Y506"/>
      <c r="Z506"/>
      <c r="AA506"/>
      <c r="AB506"/>
      <c r="AC506"/>
      <c r="AD506"/>
      <c r="AE506"/>
      <c r="AF506"/>
    </row>
    <row r="507" spans="1:32" x14ac:dyDescent="0.25">
      <c r="A507"/>
      <c r="B507"/>
      <c r="C507"/>
      <c r="D507"/>
      <c r="E507"/>
      <c r="F507"/>
      <c r="G507"/>
      <c r="H507"/>
      <c r="I507"/>
      <c r="J507"/>
      <c r="K507"/>
      <c r="L507"/>
      <c r="M507"/>
      <c r="N507"/>
      <c r="O507"/>
      <c r="P507"/>
      <c r="Q507"/>
      <c r="R507"/>
      <c r="S507"/>
      <c r="T507"/>
      <c r="U507"/>
      <c r="V507"/>
      <c r="W507"/>
      <c r="X507"/>
      <c r="Y507"/>
      <c r="Z507"/>
      <c r="AA507"/>
      <c r="AB507"/>
      <c r="AC507"/>
      <c r="AD507"/>
      <c r="AE507"/>
      <c r="AF507"/>
    </row>
    <row r="508" spans="1:32" x14ac:dyDescent="0.25">
      <c r="A508"/>
      <c r="B508"/>
      <c r="C508"/>
      <c r="D508"/>
      <c r="E508"/>
      <c r="F508"/>
      <c r="G508"/>
      <c r="H508"/>
      <c r="I508"/>
      <c r="J508"/>
      <c r="K508"/>
      <c r="L508"/>
      <c r="M508"/>
      <c r="N508"/>
      <c r="O508"/>
      <c r="P508"/>
      <c r="Q508"/>
      <c r="R508"/>
      <c r="S508"/>
      <c r="T508"/>
      <c r="U508"/>
      <c r="V508"/>
      <c r="W508"/>
      <c r="X508"/>
      <c r="Y508"/>
      <c r="Z508"/>
      <c r="AA508"/>
      <c r="AB508"/>
      <c r="AC508"/>
      <c r="AD508"/>
      <c r="AE508"/>
      <c r="AF508"/>
    </row>
    <row r="509" spans="1:32" x14ac:dyDescent="0.25">
      <c r="A509"/>
      <c r="B509"/>
      <c r="C509"/>
      <c r="D509"/>
      <c r="E509"/>
      <c r="F509"/>
      <c r="G509"/>
      <c r="H509"/>
      <c r="I509"/>
      <c r="J509"/>
      <c r="K509"/>
      <c r="L509"/>
      <c r="M509"/>
      <c r="N509"/>
      <c r="O509"/>
      <c r="P509"/>
      <c r="Q509"/>
      <c r="R509"/>
      <c r="S509"/>
      <c r="T509"/>
      <c r="U509"/>
      <c r="V509"/>
      <c r="W509"/>
      <c r="X509"/>
      <c r="Y509"/>
      <c r="Z509"/>
      <c r="AA509"/>
      <c r="AB509"/>
      <c r="AC509"/>
      <c r="AD509"/>
      <c r="AE509"/>
      <c r="AF509"/>
    </row>
    <row r="510" spans="1:32" x14ac:dyDescent="0.25">
      <c r="A510"/>
      <c r="B510"/>
      <c r="C510"/>
      <c r="D510"/>
      <c r="E510"/>
      <c r="F510"/>
      <c r="G510"/>
      <c r="H510"/>
      <c r="I510"/>
      <c r="J510"/>
      <c r="K510"/>
      <c r="L510"/>
      <c r="M510"/>
      <c r="N510"/>
      <c r="O510"/>
      <c r="P510"/>
      <c r="Q510"/>
      <c r="R510"/>
      <c r="S510"/>
      <c r="T510"/>
      <c r="U510"/>
      <c r="V510"/>
      <c r="W510"/>
      <c r="X510"/>
      <c r="Y510"/>
      <c r="Z510"/>
      <c r="AA510"/>
      <c r="AB510"/>
      <c r="AC510"/>
      <c r="AD510"/>
      <c r="AE510"/>
      <c r="AF510"/>
    </row>
    <row r="511" spans="1:32" x14ac:dyDescent="0.25">
      <c r="A511"/>
      <c r="B511"/>
      <c r="C511"/>
      <c r="D511"/>
      <c r="E511"/>
      <c r="F511"/>
      <c r="G511"/>
      <c r="H511"/>
      <c r="I511"/>
      <c r="J511"/>
      <c r="K511"/>
      <c r="L511"/>
      <c r="M511"/>
      <c r="N511"/>
      <c r="O511"/>
      <c r="P511"/>
      <c r="Q511"/>
      <c r="R511"/>
      <c r="S511"/>
      <c r="T511"/>
      <c r="U511"/>
      <c r="V511"/>
      <c r="W511"/>
      <c r="X511"/>
      <c r="Y511"/>
      <c r="Z511"/>
      <c r="AA511"/>
      <c r="AB511"/>
      <c r="AC511"/>
      <c r="AD511"/>
      <c r="AE511"/>
      <c r="AF511"/>
    </row>
    <row r="512" spans="1:32" x14ac:dyDescent="0.25">
      <c r="A512"/>
      <c r="B512"/>
      <c r="C512"/>
      <c r="D512"/>
      <c r="E512"/>
      <c r="F512"/>
      <c r="G512"/>
      <c r="H512"/>
      <c r="I512"/>
      <c r="J512"/>
      <c r="K512"/>
      <c r="L512"/>
      <c r="M512"/>
      <c r="N512"/>
      <c r="O512"/>
      <c r="P512"/>
      <c r="Q512"/>
      <c r="R512"/>
      <c r="S512"/>
      <c r="T512"/>
      <c r="U512"/>
      <c r="V512"/>
      <c r="W512"/>
      <c r="X512"/>
      <c r="Y512"/>
      <c r="Z512"/>
      <c r="AA512"/>
      <c r="AB512"/>
      <c r="AC512"/>
      <c r="AD512"/>
      <c r="AE512"/>
      <c r="AF512"/>
    </row>
    <row r="513" spans="1:32" x14ac:dyDescent="0.25">
      <c r="A513"/>
      <c r="B513"/>
      <c r="C513"/>
      <c r="D513"/>
      <c r="E513"/>
      <c r="F513"/>
      <c r="G513"/>
      <c r="H513"/>
      <c r="I513"/>
      <c r="J513"/>
      <c r="K513"/>
      <c r="L513"/>
      <c r="M513"/>
      <c r="N513"/>
      <c r="O513"/>
      <c r="P513"/>
      <c r="Q513"/>
      <c r="R513"/>
      <c r="S513"/>
      <c r="T513"/>
      <c r="U513"/>
      <c r="V513"/>
      <c r="W513"/>
      <c r="X513"/>
      <c r="Y513"/>
      <c r="Z513"/>
      <c r="AA513"/>
      <c r="AB513"/>
      <c r="AC513"/>
      <c r="AD513"/>
      <c r="AE513"/>
      <c r="AF513"/>
    </row>
    <row r="514" spans="1:32" x14ac:dyDescent="0.25">
      <c r="A514"/>
      <c r="B514"/>
      <c r="C514"/>
      <c r="D514"/>
      <c r="E514"/>
      <c r="F514"/>
      <c r="G514"/>
      <c r="H514"/>
      <c r="I514"/>
      <c r="J514"/>
      <c r="K514"/>
      <c r="L514"/>
      <c r="M514"/>
      <c r="N514"/>
      <c r="O514"/>
      <c r="P514"/>
      <c r="Q514"/>
      <c r="R514"/>
      <c r="S514"/>
      <c r="T514"/>
      <c r="U514"/>
      <c r="V514"/>
      <c r="W514"/>
      <c r="X514"/>
      <c r="Y514"/>
      <c r="Z514"/>
      <c r="AA514"/>
      <c r="AB514"/>
      <c r="AC514"/>
      <c r="AD514"/>
      <c r="AE514"/>
      <c r="AF514"/>
    </row>
    <row r="515" spans="1:32" x14ac:dyDescent="0.25">
      <c r="A515"/>
      <c r="B515"/>
      <c r="C515"/>
      <c r="D515"/>
      <c r="E515"/>
      <c r="F515"/>
      <c r="G515"/>
      <c r="H515"/>
      <c r="I515"/>
      <c r="J515"/>
      <c r="K515"/>
      <c r="L515"/>
      <c r="M515"/>
      <c r="N515"/>
      <c r="O515"/>
      <c r="P515"/>
      <c r="Q515"/>
      <c r="R515"/>
      <c r="S515"/>
      <c r="T515"/>
      <c r="U515"/>
      <c r="V515"/>
      <c r="W515"/>
      <c r="X515"/>
      <c r="Y515"/>
      <c r="Z515"/>
      <c r="AA515"/>
      <c r="AB515"/>
      <c r="AC515"/>
      <c r="AD515"/>
      <c r="AE515"/>
      <c r="AF515"/>
    </row>
    <row r="516" spans="1:32" x14ac:dyDescent="0.25">
      <c r="A516"/>
      <c r="B516"/>
      <c r="C516"/>
      <c r="D516"/>
      <c r="E516"/>
      <c r="F516"/>
      <c r="G516"/>
      <c r="H516"/>
      <c r="I516"/>
      <c r="J516"/>
      <c r="K516"/>
      <c r="L516"/>
      <c r="M516"/>
      <c r="N516"/>
      <c r="O516"/>
      <c r="P516"/>
      <c r="Q516"/>
      <c r="R516"/>
      <c r="S516"/>
      <c r="T516"/>
      <c r="U516"/>
      <c r="V516"/>
      <c r="W516"/>
      <c r="X516"/>
      <c r="Y516"/>
      <c r="Z516"/>
      <c r="AA516"/>
      <c r="AB516"/>
      <c r="AC516"/>
      <c r="AD516"/>
      <c r="AE516"/>
      <c r="AF516"/>
    </row>
    <row r="517" spans="1:32" x14ac:dyDescent="0.25">
      <c r="A517"/>
      <c r="B517"/>
      <c r="C517"/>
      <c r="D517"/>
      <c r="E517"/>
      <c r="F517"/>
      <c r="G517"/>
      <c r="H517"/>
      <c r="I517"/>
      <c r="J517"/>
      <c r="K517"/>
      <c r="L517"/>
      <c r="M517"/>
      <c r="N517"/>
      <c r="O517"/>
      <c r="P517"/>
      <c r="Q517"/>
      <c r="R517"/>
      <c r="S517"/>
      <c r="T517"/>
      <c r="U517"/>
      <c r="V517"/>
      <c r="W517"/>
      <c r="X517"/>
      <c r="Y517"/>
      <c r="Z517"/>
      <c r="AA517"/>
      <c r="AB517"/>
      <c r="AC517"/>
      <c r="AD517"/>
      <c r="AE517"/>
      <c r="AF517"/>
    </row>
    <row r="518" spans="1:32" x14ac:dyDescent="0.25">
      <c r="A518"/>
      <c r="B518"/>
      <c r="C518"/>
      <c r="D518"/>
      <c r="E518"/>
      <c r="F518"/>
      <c r="G518"/>
      <c r="H518"/>
      <c r="I518"/>
      <c r="J518"/>
      <c r="K518"/>
      <c r="L518"/>
      <c r="M518"/>
      <c r="N518"/>
      <c r="O518"/>
      <c r="P518"/>
      <c r="Q518"/>
      <c r="R518"/>
      <c r="S518"/>
      <c r="T518"/>
      <c r="U518"/>
      <c r="V518"/>
      <c r="W518"/>
      <c r="X518"/>
      <c r="Y518"/>
      <c r="Z518"/>
      <c r="AA518"/>
      <c r="AB518"/>
      <c r="AC518"/>
      <c r="AD518"/>
      <c r="AE518"/>
      <c r="AF518"/>
    </row>
    <row r="519" spans="1:32" x14ac:dyDescent="0.25">
      <c r="A519"/>
      <c r="B519"/>
      <c r="C519"/>
      <c r="D519"/>
      <c r="E519"/>
      <c r="F519"/>
      <c r="G519"/>
      <c r="H519"/>
      <c r="I519"/>
      <c r="J519"/>
      <c r="K519"/>
      <c r="L519"/>
      <c r="M519"/>
      <c r="N519"/>
      <c r="O519"/>
      <c r="P519"/>
      <c r="Q519"/>
      <c r="R519"/>
      <c r="S519"/>
      <c r="T519"/>
      <c r="U519"/>
      <c r="V519"/>
      <c r="W519"/>
      <c r="X519"/>
      <c r="Y519"/>
      <c r="Z519"/>
      <c r="AA519"/>
      <c r="AB519"/>
      <c r="AC519"/>
      <c r="AD519"/>
      <c r="AE519"/>
      <c r="AF519"/>
    </row>
    <row r="520" spans="1:32" x14ac:dyDescent="0.25">
      <c r="A520"/>
      <c r="B520"/>
      <c r="C520"/>
      <c r="D520"/>
      <c r="E520"/>
      <c r="F520"/>
      <c r="G520"/>
      <c r="H520"/>
      <c r="I520"/>
      <c r="J520"/>
      <c r="K520"/>
      <c r="L520"/>
      <c r="M520"/>
      <c r="N520"/>
      <c r="O520"/>
      <c r="P520"/>
      <c r="Q520"/>
      <c r="R520"/>
      <c r="S520"/>
      <c r="T520"/>
      <c r="U520"/>
      <c r="V520"/>
      <c r="W520"/>
      <c r="X520"/>
      <c r="Y520"/>
      <c r="Z520"/>
      <c r="AA520"/>
      <c r="AB520"/>
      <c r="AC520"/>
      <c r="AD520"/>
      <c r="AE520"/>
      <c r="AF520"/>
    </row>
    <row r="521" spans="1:32" x14ac:dyDescent="0.25">
      <c r="A521"/>
      <c r="B521"/>
      <c r="C521"/>
      <c r="D521"/>
      <c r="E521"/>
      <c r="F521"/>
      <c r="G521"/>
      <c r="H521"/>
      <c r="I521"/>
      <c r="J521"/>
      <c r="K521"/>
      <c r="L521"/>
      <c r="M521"/>
      <c r="N521"/>
      <c r="O521"/>
      <c r="P521"/>
      <c r="Q521"/>
      <c r="R521"/>
      <c r="S521"/>
      <c r="T521"/>
      <c r="U521"/>
      <c r="V521"/>
      <c r="W521"/>
      <c r="X521"/>
      <c r="Y521"/>
      <c r="Z521"/>
      <c r="AA521"/>
      <c r="AB521"/>
      <c r="AC521"/>
      <c r="AD521"/>
      <c r="AE521"/>
      <c r="AF521"/>
    </row>
    <row r="522" spans="1:32" x14ac:dyDescent="0.25">
      <c r="A522"/>
      <c r="B522"/>
      <c r="C522"/>
      <c r="D522"/>
      <c r="E522"/>
      <c r="F522"/>
      <c r="G522"/>
      <c r="H522"/>
      <c r="I522"/>
      <c r="J522"/>
      <c r="K522"/>
      <c r="L522"/>
      <c r="M522"/>
      <c r="N522"/>
      <c r="O522"/>
      <c r="P522"/>
      <c r="Q522"/>
      <c r="R522"/>
      <c r="S522"/>
      <c r="T522"/>
      <c r="U522"/>
      <c r="V522"/>
      <c r="W522"/>
      <c r="X522"/>
      <c r="Y522"/>
      <c r="Z522"/>
      <c r="AA522"/>
      <c r="AB522"/>
      <c r="AC522"/>
      <c r="AD522"/>
      <c r="AE522"/>
      <c r="AF522"/>
    </row>
    <row r="523" spans="1:32" x14ac:dyDescent="0.25">
      <c r="A523"/>
      <c r="B523"/>
      <c r="C523"/>
      <c r="D523"/>
      <c r="E523"/>
      <c r="F523"/>
      <c r="G523"/>
      <c r="H523"/>
      <c r="I523"/>
      <c r="J523"/>
      <c r="K523"/>
      <c r="L523"/>
      <c r="M523"/>
      <c r="N523"/>
      <c r="O523"/>
      <c r="P523"/>
      <c r="Q523"/>
      <c r="R523"/>
      <c r="S523"/>
      <c r="T523"/>
      <c r="U523"/>
      <c r="V523"/>
      <c r="W523"/>
      <c r="X523"/>
      <c r="Y523"/>
      <c r="Z523"/>
      <c r="AA523"/>
      <c r="AB523"/>
      <c r="AC523"/>
      <c r="AD523"/>
      <c r="AE523"/>
      <c r="AF523"/>
    </row>
    <row r="524" spans="1:32" x14ac:dyDescent="0.25">
      <c r="A524"/>
      <c r="B524"/>
      <c r="C524"/>
      <c r="D524"/>
      <c r="E524"/>
      <c r="F524"/>
      <c r="G524"/>
      <c r="H524"/>
      <c r="I524"/>
      <c r="J524"/>
      <c r="K524"/>
      <c r="L524"/>
      <c r="M524"/>
      <c r="N524"/>
      <c r="O524"/>
      <c r="P524"/>
      <c r="Q524"/>
      <c r="R524"/>
      <c r="S524"/>
      <c r="T524"/>
      <c r="U524"/>
      <c r="V524"/>
      <c r="W524"/>
      <c r="X524"/>
      <c r="Y524"/>
      <c r="Z524"/>
      <c r="AA524"/>
      <c r="AB524"/>
      <c r="AC524"/>
      <c r="AD524"/>
      <c r="AE524"/>
      <c r="AF524"/>
    </row>
    <row r="525" spans="1:32" x14ac:dyDescent="0.25">
      <c r="A525"/>
      <c r="B525"/>
      <c r="C525"/>
      <c r="D525"/>
      <c r="E525"/>
      <c r="F525"/>
      <c r="G525"/>
      <c r="H525"/>
      <c r="I525"/>
      <c r="J525"/>
      <c r="K525"/>
      <c r="L525"/>
      <c r="M525"/>
      <c r="N525"/>
      <c r="O525"/>
      <c r="P525"/>
      <c r="Q525"/>
      <c r="R525"/>
      <c r="S525"/>
      <c r="T525"/>
      <c r="U525"/>
      <c r="V525"/>
      <c r="W525"/>
      <c r="X525"/>
      <c r="Y525"/>
      <c r="Z525"/>
      <c r="AA525"/>
      <c r="AB525"/>
      <c r="AC525"/>
      <c r="AD525"/>
      <c r="AE525"/>
      <c r="AF525"/>
    </row>
    <row r="526" spans="1:32" x14ac:dyDescent="0.25">
      <c r="A526"/>
      <c r="B526"/>
      <c r="C526"/>
      <c r="D526"/>
      <c r="E526"/>
      <c r="F526"/>
      <c r="G526"/>
      <c r="H526"/>
      <c r="I526"/>
      <c r="J526"/>
      <c r="K526"/>
      <c r="L526"/>
      <c r="M526"/>
      <c r="N526"/>
      <c r="O526"/>
      <c r="P526"/>
      <c r="Q526"/>
      <c r="R526"/>
      <c r="S526"/>
      <c r="T526"/>
      <c r="U526"/>
      <c r="V526"/>
      <c r="W526"/>
      <c r="X526"/>
      <c r="Y526"/>
      <c r="Z526"/>
      <c r="AA526"/>
      <c r="AB526"/>
      <c r="AC526"/>
      <c r="AD526"/>
      <c r="AE526"/>
      <c r="AF526"/>
    </row>
    <row r="527" spans="1:32" x14ac:dyDescent="0.25">
      <c r="A527"/>
      <c r="B527"/>
      <c r="C527"/>
      <c r="D527"/>
      <c r="E527"/>
      <c r="F527"/>
      <c r="G527"/>
      <c r="H527"/>
      <c r="I527"/>
      <c r="J527"/>
      <c r="K527"/>
      <c r="L527"/>
      <c r="M527"/>
      <c r="N527"/>
      <c r="O527"/>
      <c r="P527"/>
      <c r="Q527"/>
      <c r="R527"/>
      <c r="S527"/>
      <c r="T527"/>
      <c r="U527"/>
      <c r="V527"/>
      <c r="W527"/>
      <c r="X527"/>
      <c r="Y527"/>
      <c r="Z527"/>
      <c r="AA527"/>
      <c r="AB527"/>
      <c r="AC527"/>
      <c r="AD527"/>
      <c r="AE527"/>
      <c r="AF527"/>
    </row>
    <row r="528" spans="1:32" x14ac:dyDescent="0.25">
      <c r="A528"/>
      <c r="B528"/>
      <c r="C528"/>
      <c r="D528"/>
      <c r="E528"/>
      <c r="F528"/>
      <c r="G528"/>
      <c r="H528"/>
      <c r="I528"/>
      <c r="J528"/>
      <c r="K528"/>
      <c r="L528"/>
      <c r="M528"/>
      <c r="N528"/>
      <c r="O528"/>
      <c r="P528"/>
      <c r="Q528"/>
      <c r="R528"/>
      <c r="S528"/>
      <c r="T528"/>
      <c r="U528"/>
      <c r="V528"/>
      <c r="W528"/>
      <c r="X528"/>
      <c r="Y528"/>
      <c r="Z528"/>
      <c r="AA528"/>
      <c r="AB528"/>
      <c r="AC528"/>
      <c r="AD528"/>
      <c r="AE528"/>
      <c r="AF528"/>
    </row>
    <row r="529" spans="1:32" x14ac:dyDescent="0.25">
      <c r="A529"/>
      <c r="B529"/>
      <c r="C529"/>
      <c r="D529"/>
      <c r="E529"/>
      <c r="F529"/>
      <c r="G529"/>
      <c r="H529"/>
      <c r="I529"/>
      <c r="J529"/>
      <c r="K529"/>
      <c r="L529"/>
      <c r="M529"/>
      <c r="N529"/>
      <c r="O529"/>
      <c r="P529"/>
      <c r="Q529"/>
      <c r="R529"/>
      <c r="S529"/>
      <c r="T529"/>
      <c r="U529"/>
      <c r="V529"/>
      <c r="W529"/>
      <c r="X529"/>
      <c r="Y529"/>
      <c r="Z529"/>
      <c r="AA529"/>
      <c r="AB529"/>
      <c r="AC529"/>
      <c r="AD529"/>
      <c r="AE529"/>
      <c r="AF529"/>
    </row>
    <row r="530" spans="1:32" x14ac:dyDescent="0.25">
      <c r="A530"/>
      <c r="B530"/>
      <c r="C530"/>
      <c r="D530"/>
      <c r="E530"/>
      <c r="F530"/>
      <c r="G530"/>
      <c r="H530"/>
      <c r="I530"/>
      <c r="J530"/>
      <c r="K530"/>
      <c r="L530"/>
      <c r="M530"/>
      <c r="N530"/>
      <c r="O530"/>
      <c r="P530"/>
      <c r="Q530"/>
      <c r="R530"/>
      <c r="S530"/>
      <c r="T530"/>
      <c r="U530"/>
      <c r="V530"/>
      <c r="W530"/>
      <c r="X530"/>
      <c r="Y530"/>
      <c r="Z530"/>
      <c r="AA530"/>
      <c r="AB530"/>
      <c r="AC530"/>
      <c r="AD530"/>
      <c r="AE530"/>
      <c r="AF530"/>
    </row>
    <row r="531" spans="1:32" x14ac:dyDescent="0.25">
      <c r="A531"/>
      <c r="B531"/>
      <c r="C531"/>
      <c r="D531"/>
      <c r="E531"/>
      <c r="F531"/>
      <c r="G531"/>
      <c r="H531"/>
      <c r="I531"/>
      <c r="J531"/>
      <c r="K531"/>
      <c r="L531"/>
      <c r="M531"/>
      <c r="N531"/>
      <c r="O531"/>
      <c r="P531"/>
      <c r="Q531"/>
      <c r="R531"/>
      <c r="S531"/>
      <c r="T531"/>
      <c r="U531"/>
      <c r="V531"/>
      <c r="W531"/>
      <c r="X531"/>
      <c r="Y531"/>
      <c r="Z531"/>
      <c r="AA531"/>
      <c r="AB531"/>
      <c r="AC531"/>
      <c r="AD531"/>
      <c r="AE531"/>
      <c r="AF531"/>
    </row>
    <row r="532" spans="1:32" x14ac:dyDescent="0.25">
      <c r="A532"/>
      <c r="B532"/>
      <c r="C532"/>
      <c r="D532"/>
      <c r="E532"/>
      <c r="F532"/>
      <c r="G532"/>
      <c r="H532"/>
      <c r="I532"/>
      <c r="J532"/>
      <c r="K532"/>
      <c r="L532"/>
      <c r="M532"/>
      <c r="N532"/>
      <c r="O532"/>
      <c r="P532"/>
      <c r="Q532"/>
      <c r="R532"/>
      <c r="S532"/>
      <c r="T532"/>
      <c r="U532"/>
      <c r="V532"/>
      <c r="W532"/>
      <c r="X532"/>
      <c r="Y532"/>
      <c r="Z532"/>
      <c r="AA532"/>
      <c r="AB532"/>
      <c r="AC532"/>
      <c r="AD532"/>
      <c r="AE532"/>
      <c r="AF532"/>
    </row>
    <row r="533" spans="1:32" x14ac:dyDescent="0.25">
      <c r="A533"/>
      <c r="B533"/>
      <c r="C533"/>
      <c r="D533"/>
      <c r="E533"/>
      <c r="F533"/>
      <c r="G533"/>
      <c r="H533"/>
      <c r="I533"/>
      <c r="J533"/>
      <c r="K533"/>
      <c r="L533"/>
      <c r="M533"/>
      <c r="N533"/>
      <c r="O533"/>
      <c r="P533"/>
      <c r="Q533"/>
      <c r="R533"/>
      <c r="S533"/>
      <c r="T533"/>
      <c r="U533"/>
      <c r="V533"/>
      <c r="W533"/>
      <c r="X533"/>
      <c r="Y533"/>
      <c r="Z533"/>
      <c r="AA533"/>
      <c r="AB533"/>
      <c r="AC533"/>
      <c r="AD533"/>
      <c r="AE533"/>
      <c r="AF533"/>
    </row>
    <row r="534" spans="1:32" x14ac:dyDescent="0.25">
      <c r="A534"/>
      <c r="B534"/>
      <c r="C534"/>
      <c r="D534"/>
      <c r="E534"/>
      <c r="F534"/>
      <c r="G534"/>
      <c r="H534"/>
      <c r="I534"/>
      <c r="J534"/>
      <c r="K534"/>
      <c r="L534"/>
      <c r="M534"/>
      <c r="N534"/>
      <c r="O534"/>
      <c r="P534"/>
      <c r="Q534"/>
      <c r="R534"/>
      <c r="S534"/>
      <c r="T534"/>
      <c r="U534"/>
      <c r="V534"/>
      <c r="W534"/>
      <c r="X534"/>
      <c r="Y534"/>
      <c r="Z534"/>
      <c r="AA534"/>
      <c r="AB534"/>
      <c r="AC534"/>
      <c r="AD534"/>
      <c r="AE534"/>
      <c r="AF534"/>
    </row>
    <row r="535" spans="1:32" x14ac:dyDescent="0.25">
      <c r="A535"/>
      <c r="B535"/>
      <c r="C535"/>
      <c r="D535"/>
      <c r="E535"/>
      <c r="F535"/>
      <c r="G535"/>
      <c r="H535"/>
      <c r="I535"/>
      <c r="J535"/>
      <c r="K535"/>
      <c r="L535"/>
      <c r="M535"/>
      <c r="N535"/>
      <c r="O535"/>
      <c r="P535"/>
      <c r="Q535"/>
      <c r="R535"/>
      <c r="S535"/>
      <c r="T535"/>
      <c r="U535"/>
      <c r="V535"/>
      <c r="W535"/>
      <c r="X535"/>
      <c r="Y535"/>
      <c r="Z535"/>
      <c r="AA535"/>
      <c r="AB535"/>
      <c r="AC535"/>
      <c r="AD535"/>
      <c r="AE535"/>
      <c r="AF535"/>
    </row>
    <row r="536" spans="1:32" x14ac:dyDescent="0.25">
      <c r="A536"/>
      <c r="B536"/>
      <c r="C536"/>
      <c r="D536"/>
      <c r="E536"/>
      <c r="F536"/>
      <c r="G536"/>
      <c r="H536"/>
      <c r="I536"/>
      <c r="J536"/>
      <c r="K536"/>
      <c r="L536"/>
      <c r="M536"/>
      <c r="N536"/>
      <c r="O536"/>
      <c r="P536"/>
      <c r="Q536"/>
      <c r="R536"/>
      <c r="S536"/>
      <c r="T536"/>
      <c r="U536"/>
      <c r="V536"/>
      <c r="W536"/>
      <c r="X536"/>
      <c r="Y536"/>
      <c r="Z536"/>
      <c r="AA536"/>
      <c r="AB536"/>
      <c r="AC536"/>
      <c r="AD536"/>
      <c r="AE536"/>
      <c r="AF536"/>
    </row>
    <row r="537" spans="1:32" x14ac:dyDescent="0.25">
      <c r="A537"/>
      <c r="B537"/>
      <c r="C537"/>
      <c r="D537"/>
      <c r="E537"/>
      <c r="F537"/>
      <c r="G537"/>
      <c r="H537"/>
      <c r="I537"/>
      <c r="J537"/>
      <c r="K537"/>
      <c r="L537"/>
      <c r="M537"/>
      <c r="N537"/>
      <c r="O537"/>
      <c r="P537"/>
      <c r="Q537"/>
      <c r="R537"/>
      <c r="S537"/>
      <c r="T537"/>
      <c r="U537"/>
      <c r="V537"/>
      <c r="W537"/>
      <c r="X537"/>
      <c r="Y537"/>
      <c r="Z537"/>
      <c r="AA537"/>
      <c r="AB537"/>
      <c r="AC537"/>
      <c r="AD537"/>
      <c r="AE537"/>
      <c r="AF537"/>
    </row>
    <row r="538" spans="1:32" x14ac:dyDescent="0.25">
      <c r="A538"/>
      <c r="B538"/>
      <c r="C538"/>
      <c r="D538"/>
      <c r="E538"/>
      <c r="F538"/>
      <c r="G538"/>
      <c r="H538"/>
      <c r="I538"/>
      <c r="J538"/>
      <c r="K538"/>
      <c r="L538"/>
      <c r="M538"/>
      <c r="N538"/>
      <c r="O538"/>
      <c r="P538"/>
      <c r="Q538"/>
      <c r="R538"/>
      <c r="S538"/>
      <c r="T538"/>
      <c r="U538"/>
      <c r="V538"/>
      <c r="W538"/>
      <c r="X538"/>
      <c r="Y538"/>
      <c r="Z538"/>
      <c r="AA538"/>
      <c r="AB538"/>
      <c r="AC538"/>
      <c r="AD538"/>
      <c r="AE538"/>
      <c r="AF538"/>
    </row>
    <row r="539" spans="1:32" x14ac:dyDescent="0.25">
      <c r="A539"/>
      <c r="B539"/>
      <c r="C539"/>
      <c r="D539"/>
      <c r="E539"/>
      <c r="F539"/>
      <c r="G539"/>
      <c r="H539"/>
      <c r="I539"/>
      <c r="J539"/>
      <c r="K539"/>
      <c r="L539"/>
      <c r="M539"/>
      <c r="N539"/>
      <c r="O539"/>
      <c r="P539"/>
      <c r="Q539"/>
      <c r="R539"/>
      <c r="S539"/>
      <c r="T539"/>
      <c r="U539"/>
      <c r="V539"/>
      <c r="W539"/>
      <c r="X539"/>
      <c r="Y539"/>
      <c r="Z539"/>
      <c r="AA539"/>
      <c r="AB539"/>
      <c r="AC539"/>
      <c r="AD539"/>
      <c r="AE539"/>
      <c r="AF539"/>
    </row>
    <row r="540" spans="1:32" x14ac:dyDescent="0.25">
      <c r="A540"/>
      <c r="B540"/>
      <c r="C540"/>
      <c r="D540"/>
      <c r="E540"/>
      <c r="F540"/>
      <c r="G540"/>
      <c r="H540"/>
      <c r="I540"/>
      <c r="J540"/>
      <c r="K540"/>
      <c r="L540"/>
      <c r="M540"/>
      <c r="N540"/>
      <c r="O540"/>
      <c r="P540"/>
      <c r="Q540"/>
      <c r="R540"/>
      <c r="S540"/>
      <c r="T540"/>
      <c r="U540"/>
      <c r="V540"/>
      <c r="W540"/>
      <c r="X540"/>
      <c r="Y540"/>
      <c r="Z540"/>
      <c r="AA540"/>
      <c r="AB540"/>
      <c r="AC540"/>
      <c r="AD540"/>
      <c r="AE540"/>
      <c r="AF540"/>
    </row>
    <row r="541" spans="1:32" x14ac:dyDescent="0.25">
      <c r="A541"/>
      <c r="B541"/>
      <c r="C541"/>
      <c r="D541"/>
      <c r="E541"/>
      <c r="F541"/>
      <c r="G541"/>
      <c r="H541"/>
      <c r="I541"/>
      <c r="J541"/>
      <c r="K541"/>
      <c r="L541"/>
      <c r="M541"/>
      <c r="N541"/>
      <c r="O541"/>
      <c r="P541"/>
      <c r="Q541"/>
      <c r="R541"/>
      <c r="S541"/>
      <c r="T541"/>
      <c r="U541"/>
      <c r="V541"/>
      <c r="W541"/>
      <c r="X541"/>
      <c r="Y541"/>
      <c r="Z541"/>
      <c r="AA541"/>
      <c r="AB541"/>
      <c r="AC541"/>
      <c r="AD541"/>
      <c r="AE541"/>
      <c r="AF541"/>
    </row>
    <row r="542" spans="1:32" x14ac:dyDescent="0.25">
      <c r="A542"/>
      <c r="B542"/>
      <c r="C542"/>
      <c r="D542"/>
      <c r="E542"/>
      <c r="F542"/>
      <c r="G542"/>
      <c r="H542"/>
      <c r="I542"/>
      <c r="J542"/>
      <c r="K542"/>
      <c r="L542"/>
      <c r="M542"/>
      <c r="N542"/>
      <c r="O542"/>
      <c r="P542"/>
      <c r="Q542"/>
      <c r="R542"/>
      <c r="S542"/>
      <c r="T542"/>
      <c r="U542"/>
      <c r="V542"/>
      <c r="W542"/>
      <c r="X542"/>
      <c r="Y542"/>
      <c r="Z542"/>
      <c r="AA542"/>
      <c r="AB542"/>
      <c r="AC542"/>
      <c r="AD542"/>
      <c r="AE542"/>
      <c r="AF542"/>
    </row>
    <row r="543" spans="1:32" x14ac:dyDescent="0.25">
      <c r="A543"/>
      <c r="B543"/>
      <c r="C543"/>
      <c r="D543"/>
      <c r="E543"/>
      <c r="F543"/>
      <c r="G543"/>
      <c r="H543"/>
      <c r="I543"/>
      <c r="J543"/>
      <c r="K543"/>
      <c r="L543"/>
      <c r="M543"/>
      <c r="N543"/>
      <c r="O543"/>
      <c r="P543"/>
      <c r="Q543"/>
      <c r="R543"/>
      <c r="S543"/>
      <c r="T543"/>
      <c r="U543"/>
      <c r="V543"/>
      <c r="W543"/>
      <c r="X543"/>
      <c r="Y543"/>
      <c r="Z543"/>
      <c r="AA543"/>
      <c r="AB543"/>
      <c r="AC543"/>
      <c r="AD543"/>
      <c r="AE543"/>
      <c r="AF543"/>
    </row>
    <row r="544" spans="1:32" x14ac:dyDescent="0.25">
      <c r="A544"/>
      <c r="B544"/>
      <c r="C544"/>
      <c r="D544"/>
      <c r="E544"/>
      <c r="F544"/>
      <c r="G544"/>
      <c r="H544"/>
      <c r="I544"/>
      <c r="J544"/>
      <c r="K544"/>
      <c r="L544"/>
      <c r="M544"/>
      <c r="N544"/>
      <c r="O544"/>
      <c r="P544"/>
      <c r="Q544"/>
      <c r="R544"/>
      <c r="S544"/>
      <c r="T544"/>
      <c r="U544"/>
      <c r="V544"/>
      <c r="W544"/>
      <c r="X544"/>
      <c r="Y544"/>
      <c r="Z544"/>
      <c r="AA544"/>
      <c r="AB544"/>
      <c r="AC544"/>
      <c r="AD544"/>
      <c r="AE544"/>
      <c r="AF544"/>
    </row>
    <row r="545" spans="1:32" x14ac:dyDescent="0.25">
      <c r="A545"/>
      <c r="B545"/>
      <c r="C545"/>
      <c r="D545"/>
      <c r="E545"/>
      <c r="F545"/>
      <c r="G545"/>
      <c r="H545"/>
      <c r="I545"/>
      <c r="J545"/>
      <c r="K545"/>
      <c r="L545"/>
      <c r="M545"/>
      <c r="N545"/>
      <c r="O545"/>
      <c r="P545"/>
      <c r="Q545"/>
      <c r="R545"/>
      <c r="S545"/>
      <c r="T545"/>
      <c r="U545"/>
      <c r="V545"/>
      <c r="W545"/>
      <c r="X545"/>
      <c r="Y545"/>
      <c r="Z545"/>
      <c r="AA545"/>
      <c r="AB545"/>
      <c r="AC545"/>
      <c r="AD545"/>
      <c r="AE545"/>
      <c r="AF545"/>
    </row>
    <row r="546" spans="1:32" x14ac:dyDescent="0.25">
      <c r="A546"/>
      <c r="B546"/>
      <c r="C546"/>
      <c r="D546"/>
      <c r="E546"/>
      <c r="F546"/>
      <c r="G546"/>
      <c r="H546"/>
      <c r="I546"/>
      <c r="J546"/>
      <c r="K546"/>
      <c r="L546"/>
      <c r="M546"/>
      <c r="N546"/>
      <c r="O546"/>
      <c r="P546"/>
      <c r="Q546"/>
      <c r="R546"/>
      <c r="S546"/>
      <c r="T546"/>
      <c r="U546"/>
      <c r="V546"/>
      <c r="W546"/>
      <c r="X546"/>
      <c r="Y546"/>
      <c r="Z546"/>
      <c r="AA546"/>
      <c r="AB546"/>
      <c r="AC546"/>
      <c r="AD546"/>
      <c r="AE546"/>
      <c r="AF546"/>
    </row>
    <row r="547" spans="1:32" x14ac:dyDescent="0.25">
      <c r="A547"/>
      <c r="B547"/>
      <c r="C547"/>
      <c r="D547"/>
      <c r="E547"/>
      <c r="F547"/>
      <c r="G547"/>
      <c r="H547"/>
      <c r="I547"/>
      <c r="J547"/>
      <c r="K547"/>
      <c r="L547"/>
      <c r="M547"/>
      <c r="N547"/>
      <c r="O547"/>
      <c r="P547"/>
      <c r="Q547"/>
      <c r="R547"/>
      <c r="S547"/>
      <c r="T547"/>
      <c r="U547"/>
      <c r="V547"/>
      <c r="W547"/>
      <c r="X547"/>
      <c r="Y547"/>
      <c r="Z547"/>
      <c r="AA547"/>
      <c r="AB547"/>
      <c r="AC547"/>
      <c r="AD547"/>
      <c r="AE547"/>
      <c r="AF547"/>
    </row>
    <row r="548" spans="1:32" x14ac:dyDescent="0.25">
      <c r="A548"/>
      <c r="B548"/>
      <c r="C548"/>
      <c r="D548"/>
      <c r="E548"/>
      <c r="F548"/>
      <c r="G548"/>
      <c r="H548"/>
      <c r="I548"/>
      <c r="J548"/>
      <c r="K548"/>
      <c r="L548"/>
      <c r="M548"/>
      <c r="N548"/>
      <c r="O548"/>
      <c r="P548"/>
      <c r="Q548"/>
      <c r="R548"/>
      <c r="S548"/>
      <c r="T548"/>
      <c r="U548"/>
      <c r="V548"/>
      <c r="W548"/>
      <c r="X548"/>
      <c r="Y548"/>
      <c r="Z548"/>
      <c r="AA548"/>
      <c r="AB548"/>
      <c r="AC548"/>
      <c r="AD548"/>
      <c r="AE548"/>
      <c r="AF548"/>
    </row>
    <row r="549" spans="1:32" x14ac:dyDescent="0.25">
      <c r="A549"/>
      <c r="B549"/>
      <c r="C549"/>
      <c r="D549"/>
      <c r="E549"/>
      <c r="F549"/>
      <c r="G549"/>
      <c r="H549"/>
      <c r="I549"/>
      <c r="J549"/>
      <c r="K549"/>
      <c r="L549"/>
      <c r="M549"/>
      <c r="N549"/>
      <c r="O549"/>
      <c r="P549"/>
      <c r="Q549"/>
      <c r="R549"/>
      <c r="S549"/>
      <c r="T549"/>
      <c r="U549"/>
      <c r="V549"/>
      <c r="W549"/>
      <c r="X549"/>
      <c r="Y549"/>
      <c r="Z549"/>
      <c r="AA549"/>
      <c r="AB549"/>
      <c r="AC549"/>
      <c r="AD549"/>
      <c r="AE549"/>
      <c r="AF549"/>
    </row>
    <row r="550" spans="1:32" x14ac:dyDescent="0.25">
      <c r="A550"/>
      <c r="B550"/>
      <c r="C550"/>
      <c r="D550"/>
      <c r="E550"/>
      <c r="F550"/>
      <c r="G550"/>
      <c r="H550"/>
      <c r="I550"/>
      <c r="J550"/>
      <c r="K550"/>
      <c r="L550"/>
      <c r="M550"/>
      <c r="N550"/>
      <c r="O550"/>
      <c r="P550"/>
      <c r="Q550"/>
      <c r="R550"/>
      <c r="S550"/>
      <c r="T550"/>
      <c r="U550"/>
      <c r="V550"/>
      <c r="W550"/>
      <c r="X550"/>
      <c r="Y550"/>
      <c r="Z550"/>
      <c r="AA550"/>
      <c r="AB550"/>
      <c r="AC550"/>
      <c r="AD550"/>
      <c r="AE550"/>
      <c r="AF550"/>
    </row>
    <row r="551" spans="1:32" x14ac:dyDescent="0.25">
      <c r="A551"/>
      <c r="B551"/>
      <c r="C551"/>
      <c r="D551"/>
      <c r="E551"/>
      <c r="F551"/>
      <c r="G551"/>
      <c r="H551"/>
      <c r="I551"/>
      <c r="J551"/>
      <c r="K551"/>
      <c r="L551"/>
      <c r="M551"/>
      <c r="N551"/>
      <c r="O551"/>
      <c r="P551"/>
      <c r="Q551"/>
      <c r="R551"/>
      <c r="S551"/>
      <c r="T551"/>
      <c r="U551"/>
      <c r="V551"/>
      <c r="W551"/>
      <c r="X551"/>
      <c r="Y551"/>
      <c r="Z551"/>
      <c r="AA551"/>
      <c r="AB551"/>
      <c r="AC551"/>
      <c r="AD551"/>
      <c r="AE551"/>
      <c r="AF551"/>
    </row>
    <row r="552" spans="1:32" x14ac:dyDescent="0.25">
      <c r="A552"/>
      <c r="B552"/>
      <c r="C552"/>
      <c r="D552"/>
      <c r="E552"/>
      <c r="F552"/>
      <c r="G552"/>
      <c r="H552"/>
      <c r="I552"/>
      <c r="J552"/>
      <c r="K552"/>
      <c r="L552"/>
      <c r="M552"/>
      <c r="N552"/>
      <c r="O552"/>
      <c r="P552"/>
      <c r="Q552"/>
      <c r="R552"/>
      <c r="S552"/>
      <c r="T552"/>
      <c r="U552"/>
      <c r="V552"/>
      <c r="W552"/>
      <c r="X552"/>
      <c r="Y552"/>
      <c r="Z552"/>
      <c r="AA552"/>
      <c r="AB552"/>
      <c r="AC552"/>
      <c r="AD552"/>
      <c r="AE552"/>
      <c r="AF552"/>
    </row>
    <row r="553" spans="1:32" x14ac:dyDescent="0.25">
      <c r="A553"/>
      <c r="B553"/>
      <c r="C553"/>
      <c r="D553"/>
      <c r="E553"/>
      <c r="F553"/>
      <c r="G553"/>
      <c r="H553"/>
      <c r="I553"/>
      <c r="J553"/>
      <c r="K553"/>
      <c r="L553"/>
      <c r="M553"/>
      <c r="N553"/>
      <c r="O553"/>
      <c r="P553"/>
      <c r="Q553"/>
      <c r="R553"/>
      <c r="S553"/>
      <c r="T553"/>
      <c r="U553"/>
      <c r="V553"/>
      <c r="W553"/>
      <c r="X553"/>
      <c r="Y553"/>
      <c r="Z553"/>
      <c r="AA553"/>
      <c r="AB553"/>
      <c r="AC553"/>
      <c r="AD553"/>
      <c r="AE553"/>
      <c r="AF553"/>
    </row>
    <row r="554" spans="1:32" x14ac:dyDescent="0.25">
      <c r="A554"/>
      <c r="B554"/>
      <c r="C554"/>
      <c r="D554"/>
      <c r="E554"/>
      <c r="F554"/>
      <c r="G554"/>
      <c r="H554"/>
      <c r="I554"/>
      <c r="J554"/>
      <c r="K554"/>
      <c r="L554"/>
      <c r="M554"/>
      <c r="N554"/>
      <c r="O554"/>
      <c r="P554"/>
      <c r="Q554"/>
      <c r="R554"/>
      <c r="S554"/>
      <c r="T554"/>
      <c r="U554"/>
      <c r="V554"/>
      <c r="W554"/>
      <c r="X554"/>
      <c r="Y554"/>
      <c r="Z554"/>
      <c r="AA554"/>
      <c r="AB554"/>
      <c r="AC554"/>
      <c r="AD554"/>
      <c r="AE554"/>
      <c r="AF554"/>
    </row>
    <row r="555" spans="1:32" x14ac:dyDescent="0.25">
      <c r="A555"/>
      <c r="B555"/>
      <c r="C555"/>
      <c r="D555"/>
      <c r="E555"/>
      <c r="F555"/>
      <c r="G555"/>
      <c r="H555"/>
      <c r="I555"/>
      <c r="J555"/>
      <c r="K555"/>
      <c r="L555"/>
      <c r="M555"/>
      <c r="N555"/>
      <c r="O555"/>
      <c r="P555"/>
      <c r="Q555"/>
      <c r="R555"/>
      <c r="S555"/>
      <c r="T555"/>
      <c r="U555"/>
      <c r="V555"/>
      <c r="W555"/>
      <c r="X555"/>
      <c r="Y555"/>
      <c r="Z555"/>
      <c r="AA555"/>
      <c r="AB555"/>
      <c r="AC555"/>
      <c r="AD555"/>
      <c r="AE555"/>
      <c r="AF555"/>
    </row>
    <row r="556" spans="1:32" x14ac:dyDescent="0.25">
      <c r="A556"/>
      <c r="B556"/>
      <c r="C556"/>
      <c r="D556"/>
      <c r="E556"/>
      <c r="F556"/>
      <c r="G556"/>
      <c r="H556"/>
      <c r="I556"/>
      <c r="J556"/>
      <c r="K556"/>
      <c r="L556"/>
      <c r="M556"/>
      <c r="N556"/>
      <c r="O556"/>
      <c r="P556"/>
      <c r="Q556"/>
      <c r="R556"/>
      <c r="S556"/>
      <c r="T556"/>
      <c r="U556"/>
      <c r="V556"/>
      <c r="W556"/>
      <c r="X556"/>
      <c r="Y556"/>
      <c r="Z556"/>
      <c r="AA556"/>
      <c r="AB556"/>
      <c r="AC556"/>
      <c r="AD556"/>
      <c r="AE556"/>
      <c r="AF556"/>
    </row>
    <row r="557" spans="1:32" x14ac:dyDescent="0.25">
      <c r="A557"/>
      <c r="B557"/>
      <c r="C557"/>
      <c r="D557"/>
      <c r="E557"/>
      <c r="F557"/>
      <c r="G557"/>
      <c r="H557"/>
      <c r="I557"/>
      <c r="J557"/>
      <c r="K557"/>
      <c r="L557"/>
      <c r="M557"/>
      <c r="N557"/>
      <c r="O557"/>
      <c r="P557"/>
      <c r="Q557"/>
      <c r="R557"/>
      <c r="S557"/>
      <c r="T557"/>
      <c r="U557"/>
      <c r="V557"/>
      <c r="W557"/>
      <c r="X557"/>
      <c r="Y557"/>
      <c r="Z557"/>
      <c r="AA557"/>
      <c r="AB557"/>
      <c r="AC557"/>
      <c r="AD557"/>
      <c r="AE557"/>
      <c r="AF557"/>
    </row>
    <row r="558" spans="1:32" x14ac:dyDescent="0.25">
      <c r="A558"/>
      <c r="B558"/>
      <c r="C558"/>
      <c r="D558"/>
      <c r="E558"/>
      <c r="F558"/>
      <c r="G558"/>
      <c r="H558"/>
      <c r="I558"/>
      <c r="J558"/>
      <c r="K558"/>
      <c r="L558"/>
      <c r="M558"/>
      <c r="N558"/>
      <c r="O558"/>
      <c r="P558"/>
      <c r="Q558"/>
      <c r="R558"/>
      <c r="S558"/>
      <c r="T558"/>
      <c r="U558"/>
      <c r="V558"/>
      <c r="W558"/>
      <c r="X558"/>
      <c r="Y558"/>
      <c r="Z558"/>
      <c r="AA558"/>
      <c r="AB558"/>
      <c r="AC558"/>
      <c r="AD558"/>
      <c r="AE558"/>
      <c r="AF558"/>
    </row>
    <row r="559" spans="1:32" x14ac:dyDescent="0.25">
      <c r="A559"/>
      <c r="B559"/>
      <c r="C559"/>
      <c r="D559"/>
      <c r="E559"/>
      <c r="F559"/>
      <c r="G559"/>
      <c r="H559"/>
      <c r="I559"/>
      <c r="J559"/>
      <c r="K559"/>
      <c r="L559"/>
      <c r="M559"/>
      <c r="N559"/>
      <c r="O559"/>
      <c r="P559"/>
      <c r="Q559"/>
      <c r="R559"/>
      <c r="S559"/>
      <c r="T559"/>
      <c r="U559"/>
      <c r="V559"/>
      <c r="W559"/>
      <c r="X559"/>
      <c r="Y559"/>
      <c r="Z559"/>
      <c r="AA559"/>
      <c r="AB559"/>
      <c r="AC559"/>
      <c r="AD559"/>
      <c r="AE559"/>
      <c r="AF559"/>
    </row>
    <row r="560" spans="1:32" x14ac:dyDescent="0.25">
      <c r="A560"/>
      <c r="B560"/>
      <c r="C560"/>
      <c r="D560"/>
      <c r="E560"/>
      <c r="F560"/>
      <c r="G560"/>
      <c r="H560"/>
      <c r="I560"/>
      <c r="J560"/>
      <c r="K560"/>
      <c r="L560"/>
      <c r="M560"/>
      <c r="N560"/>
      <c r="O560"/>
      <c r="P560"/>
      <c r="Q560"/>
      <c r="R560"/>
      <c r="S560"/>
      <c r="T560"/>
      <c r="U560"/>
      <c r="V560"/>
      <c r="W560"/>
      <c r="X560"/>
      <c r="Y560"/>
      <c r="Z560"/>
      <c r="AA560"/>
      <c r="AB560"/>
      <c r="AC560"/>
      <c r="AD560"/>
      <c r="AE560"/>
      <c r="AF560"/>
    </row>
    <row r="561" spans="1:32" x14ac:dyDescent="0.25">
      <c r="A561"/>
      <c r="B561"/>
      <c r="C561"/>
      <c r="D561"/>
      <c r="E561"/>
      <c r="F561"/>
      <c r="G561"/>
      <c r="H561"/>
      <c r="I561"/>
      <c r="J561"/>
      <c r="K561"/>
      <c r="L561"/>
      <c r="M561"/>
      <c r="N561"/>
      <c r="O561"/>
      <c r="P561"/>
      <c r="Q561"/>
      <c r="R561"/>
      <c r="S561"/>
      <c r="T561"/>
      <c r="U561"/>
      <c r="V561"/>
      <c r="W561"/>
      <c r="X561"/>
      <c r="Y561"/>
      <c r="Z561"/>
      <c r="AA561"/>
      <c r="AB561"/>
      <c r="AC561"/>
      <c r="AD561"/>
      <c r="AE561"/>
      <c r="AF561"/>
    </row>
    <row r="562" spans="1:32" x14ac:dyDescent="0.25">
      <c r="A562"/>
      <c r="B562"/>
      <c r="C562"/>
      <c r="D562"/>
      <c r="E562"/>
      <c r="F562"/>
      <c r="G562"/>
      <c r="H562"/>
      <c r="I562"/>
      <c r="J562"/>
      <c r="K562"/>
      <c r="L562"/>
      <c r="M562"/>
      <c r="N562"/>
      <c r="O562"/>
      <c r="P562"/>
      <c r="Q562"/>
      <c r="R562"/>
      <c r="S562"/>
      <c r="T562"/>
      <c r="U562"/>
      <c r="V562"/>
      <c r="W562"/>
      <c r="X562"/>
      <c r="Y562"/>
      <c r="Z562"/>
      <c r="AA562"/>
      <c r="AB562"/>
      <c r="AC562"/>
      <c r="AD562"/>
      <c r="AE562"/>
      <c r="AF562"/>
    </row>
    <row r="563" spans="1:32" x14ac:dyDescent="0.25">
      <c r="A563"/>
      <c r="B563"/>
      <c r="C563"/>
      <c r="D563"/>
      <c r="E563"/>
      <c r="F563"/>
      <c r="G563"/>
      <c r="H563"/>
      <c r="I563"/>
      <c r="J563"/>
      <c r="K563"/>
      <c r="L563"/>
      <c r="M563"/>
      <c r="N563"/>
      <c r="O563"/>
      <c r="P563"/>
      <c r="Q563"/>
      <c r="R563"/>
      <c r="S563"/>
      <c r="T563"/>
      <c r="U563"/>
      <c r="V563"/>
      <c r="W563"/>
      <c r="X563"/>
      <c r="Y563"/>
      <c r="Z563"/>
      <c r="AA563"/>
      <c r="AB563"/>
      <c r="AC563"/>
      <c r="AD563"/>
      <c r="AE563"/>
      <c r="AF563"/>
    </row>
    <row r="564" spans="1:32" x14ac:dyDescent="0.25">
      <c r="A564"/>
      <c r="B564"/>
      <c r="C564"/>
      <c r="D564"/>
      <c r="E564"/>
      <c r="F564"/>
      <c r="G564"/>
      <c r="H564"/>
      <c r="I564"/>
      <c r="J564"/>
      <c r="K564"/>
      <c r="L564"/>
      <c r="M564"/>
      <c r="N564"/>
      <c r="O564"/>
      <c r="P564"/>
      <c r="Q564"/>
      <c r="R564"/>
      <c r="S564"/>
      <c r="T564"/>
      <c r="U564"/>
      <c r="V564"/>
      <c r="W564"/>
      <c r="X564"/>
      <c r="Y564"/>
      <c r="Z564"/>
      <c r="AA564"/>
      <c r="AB564"/>
      <c r="AC564"/>
      <c r="AD564"/>
      <c r="AE564"/>
      <c r="AF564"/>
    </row>
    <row r="565" spans="1:32" x14ac:dyDescent="0.25">
      <c r="A565"/>
      <c r="B565"/>
      <c r="C565"/>
      <c r="D565"/>
      <c r="E565"/>
      <c r="F565"/>
      <c r="G565"/>
      <c r="H565"/>
      <c r="I565"/>
      <c r="J565"/>
      <c r="K565"/>
      <c r="L565"/>
      <c r="M565"/>
      <c r="N565"/>
      <c r="O565"/>
      <c r="P565"/>
      <c r="Q565"/>
      <c r="R565"/>
      <c r="S565"/>
      <c r="T565"/>
      <c r="U565"/>
      <c r="V565"/>
      <c r="W565"/>
      <c r="X565"/>
      <c r="Y565"/>
      <c r="Z565"/>
      <c r="AA565"/>
      <c r="AB565"/>
      <c r="AC565"/>
      <c r="AD565"/>
      <c r="AE565"/>
      <c r="AF565"/>
    </row>
    <row r="566" spans="1:32" x14ac:dyDescent="0.25">
      <c r="A566"/>
      <c r="B566"/>
      <c r="C566"/>
      <c r="D566"/>
      <c r="E566"/>
      <c r="F566"/>
      <c r="G566"/>
      <c r="H566"/>
      <c r="I566"/>
      <c r="J566"/>
      <c r="K566"/>
      <c r="L566"/>
      <c r="M566"/>
      <c r="N566"/>
      <c r="O566"/>
      <c r="P566"/>
      <c r="Q566"/>
      <c r="R566"/>
      <c r="S566"/>
      <c r="T566"/>
      <c r="U566"/>
      <c r="V566"/>
      <c r="W566"/>
      <c r="X566"/>
      <c r="Y566"/>
      <c r="Z566"/>
      <c r="AA566"/>
      <c r="AB566"/>
      <c r="AC566"/>
      <c r="AD566"/>
      <c r="AE566"/>
      <c r="AF566"/>
    </row>
    <row r="567" spans="1:32" x14ac:dyDescent="0.25">
      <c r="A567"/>
      <c r="B567"/>
      <c r="C567"/>
      <c r="D567"/>
      <c r="E567"/>
      <c r="F567"/>
      <c r="G567"/>
      <c r="H567"/>
      <c r="I567"/>
      <c r="J567"/>
      <c r="K567"/>
      <c r="L567"/>
      <c r="M567"/>
      <c r="N567"/>
      <c r="O567"/>
      <c r="P567"/>
      <c r="Q567"/>
      <c r="R567"/>
      <c r="S567"/>
      <c r="T567"/>
      <c r="U567"/>
      <c r="V567"/>
      <c r="W567"/>
      <c r="X567"/>
      <c r="Y567"/>
      <c r="Z567"/>
      <c r="AA567"/>
      <c r="AB567"/>
      <c r="AC567"/>
      <c r="AD567"/>
      <c r="AE567"/>
      <c r="AF567"/>
    </row>
    <row r="568" spans="1:32" x14ac:dyDescent="0.25">
      <c r="A568"/>
      <c r="B568"/>
      <c r="C568"/>
      <c r="D568"/>
      <c r="E568"/>
      <c r="F568"/>
      <c r="G568"/>
      <c r="H568"/>
      <c r="I568"/>
      <c r="J568"/>
      <c r="K568"/>
      <c r="L568"/>
      <c r="M568"/>
      <c r="N568"/>
      <c r="O568"/>
      <c r="P568"/>
      <c r="Q568"/>
      <c r="R568"/>
      <c r="S568"/>
      <c r="T568"/>
      <c r="U568"/>
      <c r="V568"/>
      <c r="W568"/>
      <c r="X568"/>
      <c r="Y568"/>
      <c r="Z568"/>
      <c r="AA568"/>
      <c r="AB568"/>
      <c r="AC568"/>
      <c r="AD568"/>
      <c r="AE568"/>
      <c r="AF568"/>
    </row>
    <row r="569" spans="1:32" x14ac:dyDescent="0.25">
      <c r="A569"/>
      <c r="B569"/>
      <c r="C569"/>
      <c r="D569"/>
      <c r="E569"/>
      <c r="F569"/>
      <c r="G569"/>
      <c r="H569"/>
      <c r="I569"/>
      <c r="J569"/>
      <c r="K569"/>
      <c r="L569"/>
      <c r="M569"/>
      <c r="N569"/>
      <c r="O569"/>
      <c r="P569"/>
      <c r="Q569"/>
      <c r="R569"/>
      <c r="S569"/>
      <c r="T569"/>
      <c r="U569"/>
      <c r="V569"/>
      <c r="W569"/>
      <c r="X569"/>
      <c r="Y569"/>
      <c r="Z569"/>
      <c r="AA569"/>
      <c r="AB569"/>
      <c r="AC569"/>
      <c r="AD569"/>
      <c r="AE569"/>
      <c r="AF569"/>
    </row>
    <row r="570" spans="1:32" x14ac:dyDescent="0.25">
      <c r="A570"/>
      <c r="B570"/>
      <c r="C570"/>
      <c r="D570"/>
      <c r="E570"/>
      <c r="F570"/>
      <c r="G570"/>
      <c r="H570"/>
      <c r="I570"/>
      <c r="J570"/>
      <c r="K570"/>
      <c r="L570"/>
      <c r="M570"/>
      <c r="N570"/>
      <c r="O570"/>
      <c r="P570"/>
      <c r="Q570"/>
      <c r="R570"/>
      <c r="S570"/>
      <c r="T570"/>
      <c r="U570"/>
      <c r="V570"/>
      <c r="W570"/>
      <c r="X570"/>
      <c r="Y570"/>
      <c r="Z570"/>
      <c r="AA570"/>
      <c r="AB570"/>
      <c r="AC570"/>
      <c r="AD570"/>
      <c r="AE570"/>
      <c r="AF570"/>
    </row>
    <row r="571" spans="1:32" x14ac:dyDescent="0.25">
      <c r="A571"/>
      <c r="B571"/>
      <c r="C571"/>
      <c r="D571"/>
      <c r="E571"/>
      <c r="F571"/>
      <c r="G571"/>
      <c r="H571"/>
      <c r="I571"/>
      <c r="J571"/>
      <c r="K571"/>
      <c r="L571"/>
      <c r="M571"/>
      <c r="N571"/>
      <c r="O571"/>
      <c r="P571"/>
      <c r="Q571"/>
      <c r="R571"/>
      <c r="S571"/>
      <c r="T571"/>
      <c r="U571"/>
      <c r="V571"/>
      <c r="W571"/>
      <c r="X571"/>
      <c r="Y571"/>
      <c r="Z571"/>
      <c r="AA571"/>
      <c r="AB571"/>
      <c r="AC571"/>
      <c r="AD571"/>
      <c r="AE571"/>
      <c r="AF571"/>
    </row>
    <row r="572" spans="1:32" x14ac:dyDescent="0.25">
      <c r="A572"/>
      <c r="B572"/>
      <c r="C572"/>
      <c r="D572"/>
      <c r="E572"/>
      <c r="F572"/>
      <c r="G572"/>
      <c r="H572"/>
      <c r="I572"/>
      <c r="J572"/>
      <c r="K572"/>
      <c r="L572"/>
      <c r="M572"/>
      <c r="N572"/>
      <c r="O572"/>
      <c r="P572"/>
      <c r="Q572"/>
      <c r="R572"/>
      <c r="S572"/>
      <c r="T572"/>
      <c r="U572"/>
      <c r="V572"/>
      <c r="W572"/>
      <c r="X572"/>
      <c r="Y572"/>
      <c r="Z572"/>
      <c r="AA572"/>
      <c r="AB572"/>
      <c r="AC572"/>
      <c r="AD572"/>
      <c r="AE572"/>
      <c r="AF572"/>
    </row>
    <row r="573" spans="1:32" x14ac:dyDescent="0.25">
      <c r="A573"/>
      <c r="B573"/>
      <c r="C573"/>
      <c r="D573"/>
      <c r="E573"/>
      <c r="F573"/>
      <c r="G573"/>
      <c r="H573"/>
      <c r="I573"/>
      <c r="J573"/>
      <c r="K573"/>
      <c r="L573"/>
      <c r="M573"/>
      <c r="N573"/>
      <c r="O573"/>
      <c r="P573"/>
      <c r="Q573"/>
      <c r="R573"/>
      <c r="S573"/>
      <c r="T573"/>
      <c r="U573"/>
      <c r="V573"/>
      <c r="W573"/>
      <c r="X573"/>
      <c r="Y573"/>
      <c r="Z573"/>
      <c r="AA573"/>
      <c r="AB573"/>
      <c r="AC573"/>
      <c r="AD573"/>
      <c r="AE573"/>
      <c r="AF573"/>
    </row>
    <row r="574" spans="1:32" x14ac:dyDescent="0.25">
      <c r="A574"/>
      <c r="B574"/>
      <c r="C574"/>
      <c r="D574"/>
      <c r="E574"/>
      <c r="F574"/>
      <c r="G574"/>
      <c r="H574"/>
      <c r="I574"/>
      <c r="J574"/>
      <c r="K574"/>
      <c r="L574"/>
      <c r="M574"/>
      <c r="N574"/>
      <c r="O574"/>
      <c r="P574"/>
      <c r="Q574"/>
      <c r="R574"/>
      <c r="S574"/>
      <c r="T574"/>
      <c r="U574"/>
      <c r="V574"/>
      <c r="W574"/>
      <c r="X574"/>
      <c r="Y574"/>
      <c r="Z574"/>
      <c r="AA574"/>
      <c r="AB574"/>
      <c r="AC574"/>
      <c r="AD574"/>
      <c r="AE574"/>
      <c r="AF574"/>
    </row>
    <row r="575" spans="1:32" x14ac:dyDescent="0.25">
      <c r="A575"/>
      <c r="B575"/>
      <c r="C575"/>
      <c r="D575"/>
      <c r="E575"/>
      <c r="F575"/>
      <c r="G575"/>
      <c r="H575"/>
      <c r="I575"/>
      <c r="J575"/>
      <c r="K575"/>
      <c r="L575"/>
      <c r="M575"/>
      <c r="N575"/>
      <c r="O575"/>
      <c r="P575"/>
      <c r="Q575"/>
      <c r="R575"/>
      <c r="S575"/>
      <c r="T575"/>
      <c r="U575"/>
      <c r="V575"/>
      <c r="W575"/>
      <c r="X575"/>
      <c r="Y575"/>
      <c r="Z575"/>
      <c r="AA575"/>
      <c r="AB575"/>
      <c r="AC575"/>
      <c r="AD575"/>
      <c r="AE575"/>
      <c r="AF575"/>
    </row>
    <row r="576" spans="1:32" x14ac:dyDescent="0.25">
      <c r="A576"/>
      <c r="B576"/>
      <c r="C576"/>
      <c r="D576"/>
      <c r="E576"/>
      <c r="F576"/>
      <c r="G576"/>
      <c r="H576"/>
      <c r="I576"/>
      <c r="J576"/>
      <c r="K576"/>
      <c r="L576"/>
      <c r="M576"/>
      <c r="N576"/>
      <c r="O576"/>
      <c r="P576"/>
      <c r="Q576"/>
      <c r="R576"/>
      <c r="S576"/>
      <c r="T576"/>
      <c r="U576"/>
      <c r="V576"/>
      <c r="W576"/>
      <c r="X576"/>
      <c r="Y576"/>
      <c r="Z576"/>
      <c r="AA576"/>
      <c r="AB576"/>
      <c r="AC576"/>
      <c r="AD576"/>
      <c r="AE576"/>
      <c r="AF576"/>
    </row>
    <row r="577" spans="1:32" x14ac:dyDescent="0.25">
      <c r="A577"/>
      <c r="B577"/>
      <c r="C577"/>
      <c r="D577"/>
      <c r="E577"/>
      <c r="F577"/>
      <c r="G577"/>
      <c r="H577"/>
      <c r="I577"/>
      <c r="J577"/>
      <c r="K577"/>
      <c r="L577"/>
      <c r="M577"/>
      <c r="N577"/>
      <c r="O577"/>
      <c r="P577"/>
      <c r="Q577"/>
      <c r="R577"/>
      <c r="S577"/>
      <c r="T577"/>
      <c r="U577"/>
      <c r="V577"/>
      <c r="W577"/>
      <c r="X577"/>
      <c r="Y577"/>
      <c r="Z577"/>
      <c r="AA577"/>
      <c r="AB577"/>
      <c r="AC577"/>
      <c r="AD577"/>
      <c r="AE577"/>
      <c r="AF577"/>
    </row>
    <row r="578" spans="1:32" x14ac:dyDescent="0.25">
      <c r="A578"/>
      <c r="B578"/>
      <c r="C578"/>
      <c r="D578"/>
      <c r="E578"/>
      <c r="F578"/>
      <c r="G578"/>
      <c r="H578"/>
      <c r="I578"/>
      <c r="J578"/>
      <c r="K578"/>
      <c r="L578"/>
      <c r="M578"/>
      <c r="N578"/>
      <c r="O578"/>
      <c r="P578"/>
      <c r="Q578"/>
      <c r="R578"/>
      <c r="S578"/>
      <c r="T578"/>
      <c r="U578"/>
      <c r="V578"/>
      <c r="W578"/>
      <c r="X578"/>
      <c r="Y578"/>
      <c r="Z578"/>
      <c r="AA578"/>
      <c r="AB578"/>
      <c r="AC578"/>
      <c r="AD578"/>
      <c r="AE578"/>
      <c r="AF578"/>
    </row>
    <row r="579" spans="1:32" x14ac:dyDescent="0.25">
      <c r="A579"/>
      <c r="B579"/>
      <c r="C579"/>
      <c r="D579"/>
      <c r="E579"/>
      <c r="F579"/>
      <c r="G579"/>
      <c r="H579"/>
      <c r="I579"/>
      <c r="J579"/>
      <c r="K579"/>
      <c r="L579"/>
      <c r="M579"/>
      <c r="N579"/>
      <c r="O579"/>
      <c r="P579"/>
      <c r="Q579"/>
      <c r="R579"/>
      <c r="S579"/>
      <c r="T579"/>
      <c r="U579"/>
      <c r="V579"/>
      <c r="W579"/>
      <c r="X579"/>
      <c r="Y579"/>
      <c r="Z579"/>
      <c r="AA579"/>
      <c r="AB579"/>
      <c r="AC579"/>
      <c r="AD579"/>
      <c r="AE579"/>
      <c r="AF579"/>
    </row>
    <row r="580" spans="1:32" x14ac:dyDescent="0.25">
      <c r="A580"/>
      <c r="B580"/>
      <c r="C580"/>
      <c r="D580"/>
      <c r="E580"/>
      <c r="F580"/>
      <c r="G580"/>
      <c r="H580"/>
      <c r="I580"/>
      <c r="J580"/>
      <c r="K580"/>
      <c r="L580"/>
      <c r="M580"/>
      <c r="N580"/>
      <c r="O580"/>
      <c r="P580"/>
      <c r="Q580"/>
      <c r="R580"/>
      <c r="S580"/>
      <c r="T580"/>
      <c r="U580"/>
      <c r="V580"/>
      <c r="W580"/>
      <c r="X580"/>
      <c r="Y580"/>
      <c r="Z580"/>
      <c r="AA580"/>
      <c r="AB580"/>
      <c r="AC580"/>
      <c r="AD580"/>
      <c r="AE580"/>
      <c r="AF580"/>
    </row>
    <row r="581" spans="1:32" x14ac:dyDescent="0.25">
      <c r="A581"/>
      <c r="B581"/>
      <c r="C581"/>
      <c r="D581"/>
      <c r="E581"/>
      <c r="F581"/>
      <c r="G581"/>
      <c r="H581"/>
      <c r="I581"/>
      <c r="J581"/>
      <c r="K581"/>
      <c r="L581"/>
      <c r="M581"/>
      <c r="N581"/>
      <c r="O581"/>
      <c r="P581"/>
      <c r="Q581"/>
      <c r="R581"/>
      <c r="S581"/>
      <c r="T581"/>
      <c r="U581"/>
      <c r="V581"/>
      <c r="W581"/>
      <c r="X581"/>
      <c r="Y581"/>
      <c r="Z581"/>
      <c r="AA581"/>
      <c r="AB581"/>
      <c r="AC581"/>
      <c r="AD581"/>
      <c r="AE581"/>
      <c r="AF581"/>
    </row>
    <row r="582" spans="1:32" x14ac:dyDescent="0.25">
      <c r="A582"/>
      <c r="B582"/>
      <c r="C582"/>
      <c r="D582"/>
      <c r="E582"/>
      <c r="F582"/>
      <c r="G582"/>
      <c r="H582"/>
      <c r="I582"/>
      <c r="J582"/>
      <c r="K582"/>
      <c r="L582"/>
      <c r="M582"/>
      <c r="N582"/>
      <c r="O582"/>
      <c r="P582"/>
      <c r="Q582"/>
      <c r="R582"/>
      <c r="S582"/>
      <c r="T582"/>
      <c r="U582"/>
      <c r="V582"/>
      <c r="W582"/>
      <c r="X582"/>
      <c r="Y582"/>
      <c r="Z582"/>
      <c r="AA582"/>
      <c r="AB582"/>
      <c r="AC582"/>
      <c r="AD582"/>
      <c r="AE582"/>
      <c r="AF582"/>
    </row>
    <row r="583" spans="1:32" x14ac:dyDescent="0.25">
      <c r="A583"/>
      <c r="B583"/>
      <c r="C583"/>
      <c r="D583"/>
      <c r="E583"/>
      <c r="F583"/>
      <c r="G583"/>
      <c r="H583"/>
      <c r="I583"/>
      <c r="J583"/>
      <c r="K583"/>
      <c r="L583"/>
      <c r="M583"/>
      <c r="N583"/>
      <c r="O583"/>
      <c r="P583"/>
      <c r="Q583"/>
      <c r="R583"/>
      <c r="S583"/>
      <c r="T583"/>
      <c r="U583"/>
      <c r="V583"/>
      <c r="W583"/>
      <c r="X583"/>
      <c r="Y583"/>
      <c r="Z583"/>
      <c r="AA583"/>
      <c r="AB583"/>
      <c r="AC583"/>
      <c r="AD583"/>
      <c r="AE583"/>
      <c r="AF583"/>
    </row>
    <row r="584" spans="1:32" x14ac:dyDescent="0.25">
      <c r="A584"/>
      <c r="B584"/>
      <c r="C584"/>
      <c r="D584"/>
      <c r="E584"/>
      <c r="F584"/>
      <c r="G584"/>
      <c r="H584"/>
      <c r="I584"/>
      <c r="J584"/>
      <c r="K584"/>
      <c r="L584"/>
      <c r="M584"/>
      <c r="N584"/>
      <c r="O584"/>
      <c r="P584"/>
      <c r="Q584"/>
      <c r="R584"/>
      <c r="S584"/>
      <c r="T584"/>
      <c r="U584"/>
      <c r="V584"/>
      <c r="W584"/>
      <c r="X584"/>
      <c r="Y584"/>
      <c r="Z584"/>
      <c r="AA584"/>
      <c r="AB584"/>
      <c r="AC584"/>
      <c r="AD584"/>
      <c r="AE584"/>
      <c r="AF584"/>
    </row>
    <row r="585" spans="1:32" x14ac:dyDescent="0.25">
      <c r="A585"/>
      <c r="B585"/>
      <c r="C585"/>
      <c r="D585"/>
      <c r="E585"/>
      <c r="F585"/>
      <c r="G585"/>
      <c r="H585"/>
      <c r="I585"/>
      <c r="J585"/>
      <c r="K585"/>
      <c r="L585"/>
      <c r="M585"/>
      <c r="N585"/>
      <c r="O585"/>
      <c r="P585"/>
      <c r="Q585"/>
      <c r="R585"/>
      <c r="S585"/>
      <c r="T585"/>
      <c r="U585"/>
      <c r="V585"/>
      <c r="W585"/>
      <c r="X585"/>
      <c r="Y585"/>
      <c r="Z585"/>
      <c r="AA585"/>
      <c r="AB585"/>
      <c r="AC585"/>
      <c r="AD585"/>
      <c r="AE585"/>
      <c r="AF585"/>
    </row>
    <row r="586" spans="1:32" x14ac:dyDescent="0.25">
      <c r="A586"/>
      <c r="B586"/>
      <c r="C586"/>
      <c r="D586"/>
      <c r="E586"/>
      <c r="F586"/>
      <c r="G586"/>
      <c r="H586"/>
      <c r="I586"/>
      <c r="J586"/>
      <c r="K586"/>
      <c r="L586"/>
      <c r="M586"/>
      <c r="N586"/>
      <c r="O586"/>
      <c r="P586"/>
      <c r="Q586"/>
      <c r="R586"/>
      <c r="S586"/>
      <c r="T586"/>
      <c r="U586"/>
      <c r="V586"/>
      <c r="W586"/>
      <c r="X586"/>
      <c r="Y586"/>
      <c r="Z586"/>
      <c r="AA586"/>
      <c r="AB586"/>
      <c r="AC586"/>
      <c r="AD586"/>
      <c r="AE586"/>
      <c r="AF586"/>
    </row>
    <row r="587" spans="1:32" x14ac:dyDescent="0.25">
      <c r="A587"/>
      <c r="B587"/>
      <c r="C587"/>
      <c r="D587"/>
      <c r="E587"/>
      <c r="F587"/>
      <c r="G587"/>
      <c r="H587"/>
      <c r="I587"/>
      <c r="J587"/>
      <c r="K587"/>
      <c r="L587"/>
      <c r="M587"/>
      <c r="N587"/>
      <c r="O587"/>
      <c r="P587"/>
      <c r="Q587"/>
      <c r="R587"/>
      <c r="S587"/>
      <c r="T587"/>
      <c r="U587"/>
      <c r="V587"/>
      <c r="W587"/>
      <c r="X587"/>
      <c r="Y587"/>
      <c r="Z587"/>
      <c r="AA587"/>
      <c r="AB587"/>
      <c r="AC587"/>
      <c r="AD587"/>
      <c r="AE587"/>
      <c r="AF587"/>
    </row>
    <row r="588" spans="1:32" x14ac:dyDescent="0.25">
      <c r="A588"/>
      <c r="B588"/>
      <c r="C588"/>
      <c r="D588"/>
      <c r="E588"/>
      <c r="F588"/>
      <c r="G588"/>
      <c r="H588"/>
      <c r="I588"/>
      <c r="J588"/>
      <c r="K588"/>
      <c r="L588"/>
      <c r="M588"/>
      <c r="N588"/>
      <c r="O588"/>
      <c r="P588"/>
      <c r="Q588"/>
      <c r="R588"/>
      <c r="S588"/>
      <c r="T588"/>
      <c r="U588"/>
      <c r="V588"/>
      <c r="W588"/>
      <c r="X588"/>
      <c r="Y588"/>
      <c r="Z588"/>
      <c r="AA588"/>
      <c r="AB588"/>
      <c r="AC588"/>
      <c r="AD588"/>
      <c r="AE588"/>
      <c r="AF588"/>
    </row>
    <row r="589" spans="1:32" x14ac:dyDescent="0.25">
      <c r="A589"/>
      <c r="B589"/>
      <c r="C589"/>
      <c r="D589"/>
      <c r="E589"/>
      <c r="F589"/>
      <c r="G589"/>
      <c r="H589"/>
      <c r="I589"/>
      <c r="J589"/>
      <c r="K589"/>
      <c r="L589"/>
      <c r="M589"/>
      <c r="N589"/>
      <c r="O589"/>
      <c r="P589"/>
      <c r="Q589"/>
      <c r="R589"/>
      <c r="S589"/>
      <c r="T589"/>
      <c r="U589"/>
      <c r="V589"/>
      <c r="W589"/>
      <c r="X589"/>
      <c r="Y589"/>
      <c r="Z589"/>
      <c r="AA589"/>
      <c r="AB589"/>
      <c r="AC589"/>
      <c r="AD589"/>
      <c r="AE589"/>
      <c r="AF589"/>
    </row>
    <row r="590" spans="1:32" x14ac:dyDescent="0.25">
      <c r="A590"/>
      <c r="B590"/>
      <c r="C590"/>
      <c r="D590"/>
      <c r="E590"/>
      <c r="F590"/>
      <c r="G590"/>
      <c r="H590"/>
      <c r="I590"/>
      <c r="J590"/>
      <c r="K590"/>
      <c r="L590"/>
      <c r="M590"/>
      <c r="N590"/>
      <c r="O590"/>
      <c r="P590"/>
      <c r="Q590"/>
      <c r="R590"/>
      <c r="S590"/>
      <c r="T590"/>
      <c r="U590"/>
      <c r="V590"/>
      <c r="W590"/>
      <c r="X590"/>
      <c r="Y590"/>
      <c r="Z590"/>
      <c r="AA590"/>
      <c r="AB590"/>
      <c r="AC590"/>
      <c r="AD590"/>
      <c r="AE590"/>
      <c r="AF590"/>
    </row>
    <row r="591" spans="1:32" x14ac:dyDescent="0.25">
      <c r="A591"/>
      <c r="B591"/>
      <c r="C591"/>
      <c r="D591"/>
      <c r="E591"/>
      <c r="F591"/>
      <c r="G591"/>
      <c r="H591"/>
      <c r="I591"/>
      <c r="J591"/>
      <c r="K591"/>
      <c r="L591"/>
      <c r="M591"/>
      <c r="N591"/>
      <c r="O591"/>
      <c r="P591"/>
      <c r="Q591"/>
      <c r="R591"/>
      <c r="S591"/>
      <c r="T591"/>
      <c r="U591"/>
      <c r="V591"/>
      <c r="W591"/>
      <c r="X591"/>
      <c r="Y591"/>
      <c r="Z591"/>
      <c r="AA591"/>
      <c r="AB591"/>
      <c r="AC591"/>
      <c r="AD591"/>
      <c r="AE591"/>
      <c r="AF591"/>
    </row>
    <row r="592" spans="1:32" x14ac:dyDescent="0.25">
      <c r="A592"/>
      <c r="B592"/>
      <c r="C592"/>
      <c r="D592"/>
      <c r="E592"/>
      <c r="F592"/>
      <c r="G592"/>
      <c r="H592"/>
      <c r="I592"/>
      <c r="J592"/>
      <c r="K592"/>
      <c r="L592"/>
      <c r="M592"/>
      <c r="N592"/>
      <c r="O592"/>
      <c r="P592"/>
      <c r="Q592"/>
      <c r="R592"/>
      <c r="S592"/>
      <c r="T592"/>
      <c r="U592"/>
      <c r="V592"/>
      <c r="W592"/>
      <c r="X592"/>
      <c r="Y592"/>
      <c r="Z592"/>
      <c r="AA592"/>
      <c r="AB592"/>
      <c r="AC592"/>
      <c r="AD592"/>
      <c r="AE592"/>
      <c r="AF592"/>
    </row>
    <row r="593" spans="1:32" x14ac:dyDescent="0.25">
      <c r="A593"/>
      <c r="B593"/>
      <c r="C593"/>
      <c r="D593"/>
      <c r="E593"/>
      <c r="F593"/>
      <c r="G593"/>
      <c r="H593"/>
      <c r="I593"/>
      <c r="J593"/>
      <c r="K593"/>
      <c r="L593"/>
      <c r="M593"/>
      <c r="N593"/>
      <c r="O593"/>
      <c r="P593"/>
      <c r="Q593"/>
      <c r="R593"/>
      <c r="S593"/>
      <c r="T593"/>
      <c r="U593"/>
      <c r="V593"/>
      <c r="W593"/>
      <c r="X593"/>
      <c r="Y593"/>
      <c r="Z593"/>
      <c r="AA593"/>
      <c r="AB593"/>
      <c r="AC593"/>
      <c r="AD593"/>
      <c r="AE593"/>
      <c r="AF593"/>
    </row>
    <row r="594" spans="1:32" x14ac:dyDescent="0.25">
      <c r="A594"/>
      <c r="B594"/>
      <c r="C594"/>
      <c r="D594"/>
      <c r="E594"/>
      <c r="F594"/>
      <c r="G594"/>
      <c r="H594"/>
      <c r="I594"/>
      <c r="J594"/>
      <c r="K594"/>
      <c r="L594"/>
      <c r="M594"/>
      <c r="N594"/>
      <c r="O594"/>
      <c r="P594"/>
      <c r="Q594"/>
      <c r="R594"/>
      <c r="S594"/>
      <c r="T594"/>
      <c r="U594"/>
      <c r="V594"/>
      <c r="W594"/>
      <c r="X594"/>
      <c r="Y594"/>
      <c r="Z594"/>
      <c r="AA594"/>
      <c r="AB594"/>
      <c r="AC594"/>
      <c r="AD594"/>
      <c r="AE594"/>
      <c r="AF594"/>
    </row>
    <row r="595" spans="1:32" x14ac:dyDescent="0.25">
      <c r="A595"/>
      <c r="B595"/>
      <c r="C595"/>
      <c r="D595"/>
      <c r="E595"/>
      <c r="F595"/>
      <c r="G595"/>
      <c r="H595"/>
      <c r="I595"/>
      <c r="J595"/>
      <c r="K595"/>
      <c r="L595"/>
      <c r="M595"/>
      <c r="N595"/>
      <c r="O595"/>
      <c r="P595"/>
      <c r="Q595"/>
      <c r="R595"/>
      <c r="S595"/>
      <c r="T595"/>
      <c r="U595"/>
      <c r="V595"/>
      <c r="W595"/>
      <c r="X595"/>
      <c r="Y595"/>
      <c r="Z595"/>
      <c r="AA595"/>
      <c r="AB595"/>
      <c r="AC595"/>
      <c r="AD595"/>
      <c r="AE595"/>
      <c r="AF595"/>
    </row>
    <row r="596" spans="1:32" x14ac:dyDescent="0.25">
      <c r="A596"/>
      <c r="B596"/>
      <c r="C596"/>
      <c r="D596"/>
      <c r="E596"/>
      <c r="F596"/>
      <c r="G596"/>
      <c r="H596"/>
      <c r="I596"/>
      <c r="J596"/>
      <c r="K596"/>
      <c r="L596"/>
      <c r="M596"/>
      <c r="N596"/>
      <c r="O596"/>
      <c r="P596"/>
      <c r="Q596"/>
      <c r="R596"/>
      <c r="S596"/>
      <c r="T596"/>
      <c r="U596"/>
      <c r="V596"/>
      <c r="W596"/>
      <c r="X596"/>
      <c r="Y596"/>
      <c r="Z596"/>
      <c r="AA596"/>
      <c r="AB596"/>
      <c r="AC596"/>
      <c r="AD596"/>
      <c r="AE596"/>
      <c r="AF596"/>
    </row>
    <row r="597" spans="1:32" x14ac:dyDescent="0.25">
      <c r="A597"/>
      <c r="B597"/>
      <c r="C597"/>
      <c r="D597"/>
      <c r="E597"/>
      <c r="F597"/>
      <c r="G597"/>
      <c r="H597"/>
      <c r="I597"/>
      <c r="J597"/>
      <c r="K597"/>
      <c r="L597"/>
      <c r="M597"/>
      <c r="N597"/>
      <c r="O597"/>
      <c r="P597"/>
      <c r="Q597"/>
      <c r="R597"/>
      <c r="S597"/>
      <c r="T597"/>
      <c r="U597"/>
      <c r="V597"/>
      <c r="W597"/>
      <c r="X597"/>
      <c r="Y597"/>
      <c r="Z597"/>
      <c r="AA597"/>
      <c r="AB597"/>
      <c r="AC597"/>
      <c r="AD597"/>
      <c r="AE597"/>
      <c r="AF597"/>
    </row>
    <row r="598" spans="1:32" x14ac:dyDescent="0.25">
      <c r="A598"/>
      <c r="B598"/>
      <c r="C598"/>
      <c r="D598"/>
      <c r="E598"/>
      <c r="F598"/>
      <c r="G598"/>
      <c r="H598"/>
      <c r="I598"/>
      <c r="J598"/>
      <c r="K598"/>
      <c r="L598"/>
      <c r="M598"/>
      <c r="N598"/>
      <c r="O598"/>
      <c r="P598"/>
      <c r="Q598"/>
      <c r="R598"/>
      <c r="S598"/>
      <c r="T598"/>
      <c r="U598"/>
      <c r="V598"/>
      <c r="W598"/>
      <c r="X598"/>
      <c r="Y598"/>
      <c r="Z598"/>
      <c r="AA598"/>
      <c r="AB598"/>
      <c r="AC598"/>
      <c r="AD598"/>
      <c r="AE598"/>
      <c r="AF598"/>
    </row>
    <row r="599" spans="1:32" x14ac:dyDescent="0.25">
      <c r="A599"/>
      <c r="B599"/>
      <c r="C599"/>
      <c r="D599"/>
      <c r="E599"/>
      <c r="F599"/>
      <c r="G599"/>
      <c r="H599"/>
      <c r="I599"/>
      <c r="J599"/>
      <c r="K599"/>
      <c r="L599"/>
      <c r="M599"/>
      <c r="N599"/>
      <c r="O599"/>
      <c r="P599"/>
      <c r="Q599"/>
      <c r="R599"/>
      <c r="S599"/>
      <c r="T599"/>
      <c r="U599"/>
      <c r="V599"/>
      <c r="W599"/>
      <c r="X599"/>
      <c r="Y599"/>
      <c r="Z599"/>
      <c r="AA599"/>
      <c r="AB599"/>
      <c r="AC599"/>
      <c r="AD599"/>
      <c r="AE599"/>
      <c r="AF599"/>
    </row>
    <row r="600" spans="1:32" x14ac:dyDescent="0.25">
      <c r="A600"/>
      <c r="B600"/>
      <c r="C600"/>
      <c r="D600"/>
      <c r="E600"/>
      <c r="F600"/>
      <c r="G600"/>
      <c r="H600"/>
      <c r="I600"/>
      <c r="J600"/>
      <c r="K600"/>
      <c r="L600"/>
      <c r="M600"/>
      <c r="N600"/>
      <c r="O600"/>
      <c r="P600"/>
      <c r="Q600"/>
      <c r="R600"/>
      <c r="S600"/>
      <c r="T600"/>
      <c r="U600"/>
      <c r="V600"/>
      <c r="W600"/>
      <c r="X600"/>
      <c r="Y600"/>
      <c r="Z600"/>
      <c r="AA600"/>
      <c r="AB600"/>
      <c r="AC600"/>
      <c r="AD600"/>
      <c r="AE600"/>
      <c r="AF600"/>
    </row>
    <row r="601" spans="1:32" x14ac:dyDescent="0.25">
      <c r="A601"/>
      <c r="B601"/>
      <c r="C601"/>
      <c r="D601"/>
      <c r="E601"/>
      <c r="F601"/>
      <c r="G601"/>
      <c r="H601"/>
      <c r="I601"/>
      <c r="J601"/>
      <c r="K601"/>
      <c r="L601"/>
      <c r="M601"/>
      <c r="N601"/>
      <c r="O601"/>
      <c r="P601"/>
      <c r="Q601"/>
      <c r="R601"/>
      <c r="S601"/>
      <c r="T601"/>
      <c r="U601"/>
      <c r="V601"/>
      <c r="W601"/>
      <c r="X601"/>
      <c r="Y601"/>
      <c r="Z601"/>
      <c r="AA601"/>
      <c r="AB601"/>
      <c r="AC601"/>
      <c r="AD601"/>
      <c r="AE601"/>
      <c r="AF601"/>
    </row>
    <row r="602" spans="1:32" x14ac:dyDescent="0.25">
      <c r="A602"/>
      <c r="B602"/>
      <c r="C602"/>
      <c r="D602"/>
      <c r="E602"/>
      <c r="F602"/>
      <c r="G602"/>
      <c r="H602"/>
      <c r="I602"/>
      <c r="J602"/>
      <c r="K602"/>
      <c r="L602"/>
      <c r="M602"/>
      <c r="N602"/>
      <c r="O602"/>
      <c r="P602"/>
      <c r="Q602"/>
      <c r="R602"/>
      <c r="S602"/>
      <c r="T602"/>
      <c r="U602"/>
      <c r="V602"/>
      <c r="W602"/>
      <c r="X602"/>
      <c r="Y602"/>
      <c r="Z602"/>
      <c r="AA602"/>
      <c r="AB602"/>
      <c r="AC602"/>
      <c r="AD602"/>
      <c r="AE602"/>
      <c r="AF602"/>
    </row>
    <row r="603" spans="1:32" x14ac:dyDescent="0.25">
      <c r="A603"/>
      <c r="B603"/>
      <c r="C603"/>
      <c r="D603"/>
      <c r="E603"/>
      <c r="F603"/>
      <c r="G603"/>
      <c r="H603"/>
      <c r="I603"/>
      <c r="J603"/>
      <c r="K603"/>
      <c r="L603"/>
      <c r="M603"/>
      <c r="N603"/>
      <c r="O603"/>
      <c r="P603"/>
      <c r="Q603"/>
      <c r="R603"/>
      <c r="S603"/>
      <c r="T603"/>
      <c r="U603"/>
      <c r="V603"/>
      <c r="W603"/>
      <c r="X603"/>
      <c r="Y603"/>
      <c r="Z603"/>
      <c r="AA603"/>
      <c r="AB603"/>
      <c r="AC603"/>
      <c r="AD603"/>
      <c r="AE603"/>
      <c r="AF603"/>
    </row>
    <row r="604" spans="1:32" x14ac:dyDescent="0.25">
      <c r="A604"/>
      <c r="B604"/>
      <c r="C604"/>
      <c r="D604"/>
      <c r="E604"/>
      <c r="F604"/>
      <c r="G604"/>
      <c r="H604"/>
      <c r="I604"/>
      <c r="J604"/>
      <c r="K604"/>
      <c r="L604"/>
      <c r="M604"/>
      <c r="N604"/>
      <c r="O604"/>
      <c r="P604"/>
      <c r="Q604"/>
      <c r="R604"/>
      <c r="S604"/>
      <c r="T604"/>
      <c r="U604"/>
      <c r="V604"/>
      <c r="W604"/>
      <c r="X604"/>
      <c r="Y604"/>
      <c r="Z604"/>
      <c r="AA604"/>
      <c r="AB604"/>
      <c r="AC604"/>
      <c r="AD604"/>
      <c r="AE604"/>
      <c r="AF604"/>
    </row>
    <row r="605" spans="1:32" x14ac:dyDescent="0.25">
      <c r="A605"/>
      <c r="B605"/>
      <c r="C605"/>
      <c r="D605"/>
      <c r="E605"/>
      <c r="F605"/>
      <c r="G605"/>
      <c r="H605"/>
      <c r="I605"/>
      <c r="J605"/>
      <c r="K605"/>
      <c r="L605"/>
      <c r="M605"/>
      <c r="N605"/>
      <c r="O605"/>
      <c r="P605"/>
      <c r="Q605"/>
      <c r="R605"/>
      <c r="S605"/>
      <c r="T605"/>
      <c r="U605"/>
      <c r="V605"/>
      <c r="W605"/>
      <c r="X605"/>
      <c r="Y605"/>
      <c r="Z605"/>
      <c r="AA605"/>
      <c r="AB605"/>
      <c r="AC605"/>
      <c r="AD605"/>
      <c r="AE605"/>
      <c r="AF605"/>
    </row>
    <row r="606" spans="1:32" x14ac:dyDescent="0.25">
      <c r="A606"/>
      <c r="B606"/>
      <c r="C606"/>
      <c r="D606"/>
      <c r="E606"/>
      <c r="F606"/>
      <c r="G606"/>
      <c r="H606"/>
      <c r="I606"/>
      <c r="J606"/>
      <c r="K606"/>
      <c r="L606"/>
      <c r="M606"/>
      <c r="N606"/>
      <c r="O606"/>
      <c r="P606"/>
      <c r="Q606"/>
      <c r="R606"/>
      <c r="S606"/>
      <c r="T606"/>
      <c r="U606"/>
      <c r="V606"/>
      <c r="W606"/>
      <c r="X606"/>
      <c r="Y606"/>
      <c r="Z606"/>
      <c r="AA606"/>
      <c r="AB606"/>
      <c r="AC606"/>
      <c r="AD606"/>
      <c r="AE606"/>
      <c r="AF606"/>
    </row>
    <row r="607" spans="1:32" x14ac:dyDescent="0.25">
      <c r="A607"/>
      <c r="B607"/>
      <c r="C607"/>
      <c r="D607"/>
      <c r="E607"/>
      <c r="F607"/>
      <c r="G607"/>
      <c r="H607"/>
      <c r="I607"/>
      <c r="J607"/>
      <c r="K607"/>
      <c r="L607"/>
      <c r="M607"/>
      <c r="N607"/>
      <c r="O607"/>
      <c r="P607"/>
      <c r="Q607"/>
      <c r="R607"/>
      <c r="S607"/>
      <c r="T607"/>
      <c r="U607"/>
      <c r="V607"/>
      <c r="W607"/>
      <c r="X607"/>
      <c r="Y607"/>
      <c r="Z607"/>
      <c r="AA607"/>
      <c r="AB607"/>
      <c r="AC607"/>
      <c r="AD607"/>
      <c r="AE607"/>
      <c r="AF607"/>
    </row>
    <row r="608" spans="1:32" x14ac:dyDescent="0.25">
      <c r="A608"/>
      <c r="B608"/>
      <c r="C608"/>
      <c r="D608"/>
      <c r="E608"/>
      <c r="F608"/>
      <c r="G608"/>
      <c r="H608"/>
      <c r="I608"/>
      <c r="J608"/>
      <c r="K608"/>
      <c r="L608"/>
      <c r="M608"/>
      <c r="N608"/>
      <c r="O608"/>
      <c r="P608"/>
      <c r="Q608"/>
      <c r="R608"/>
      <c r="S608"/>
      <c r="T608"/>
      <c r="U608"/>
      <c r="V608"/>
      <c r="W608"/>
      <c r="X608"/>
      <c r="Y608"/>
      <c r="Z608"/>
      <c r="AA608"/>
      <c r="AB608"/>
      <c r="AC608"/>
      <c r="AD608"/>
      <c r="AE608"/>
      <c r="AF608"/>
    </row>
    <row r="609" spans="1:32" x14ac:dyDescent="0.25">
      <c r="A609"/>
      <c r="B609"/>
      <c r="C609"/>
      <c r="D609"/>
      <c r="E609"/>
      <c r="F609"/>
      <c r="G609"/>
      <c r="H609"/>
      <c r="I609"/>
      <c r="J609"/>
      <c r="K609"/>
      <c r="L609"/>
      <c r="M609"/>
      <c r="N609"/>
      <c r="O609"/>
      <c r="P609"/>
      <c r="Q609"/>
      <c r="R609"/>
      <c r="S609"/>
      <c r="T609"/>
      <c r="U609"/>
      <c r="V609"/>
      <c r="W609"/>
      <c r="X609"/>
      <c r="Y609"/>
      <c r="Z609"/>
      <c r="AA609"/>
      <c r="AB609"/>
      <c r="AC609"/>
      <c r="AD609"/>
      <c r="AE609"/>
      <c r="AF609"/>
    </row>
    <row r="610" spans="1:32" x14ac:dyDescent="0.25">
      <c r="A610"/>
      <c r="B610"/>
      <c r="C610"/>
      <c r="D610"/>
      <c r="E610"/>
      <c r="F610"/>
      <c r="G610"/>
      <c r="H610"/>
      <c r="I610"/>
      <c r="J610"/>
      <c r="K610"/>
      <c r="L610"/>
      <c r="M610"/>
      <c r="N610"/>
      <c r="O610"/>
      <c r="P610"/>
      <c r="Q610"/>
      <c r="R610"/>
      <c r="S610"/>
      <c r="T610"/>
      <c r="U610"/>
      <c r="V610"/>
      <c r="W610"/>
      <c r="X610"/>
      <c r="Y610"/>
      <c r="Z610"/>
      <c r="AA610"/>
      <c r="AB610"/>
      <c r="AC610"/>
      <c r="AD610"/>
      <c r="AE610"/>
      <c r="AF610"/>
    </row>
    <row r="611" spans="1:32" x14ac:dyDescent="0.25">
      <c r="A611"/>
      <c r="B611"/>
      <c r="C611"/>
      <c r="D611"/>
      <c r="E611"/>
      <c r="F611"/>
      <c r="G611"/>
      <c r="H611"/>
      <c r="I611"/>
      <c r="J611"/>
      <c r="K611"/>
      <c r="L611"/>
      <c r="M611"/>
      <c r="N611"/>
      <c r="O611"/>
      <c r="P611"/>
      <c r="Q611"/>
      <c r="R611"/>
      <c r="S611"/>
      <c r="T611"/>
      <c r="U611"/>
      <c r="V611"/>
      <c r="W611"/>
      <c r="X611"/>
      <c r="Y611"/>
      <c r="Z611"/>
      <c r="AA611"/>
      <c r="AB611"/>
      <c r="AC611"/>
      <c r="AD611"/>
      <c r="AE611"/>
      <c r="AF611"/>
    </row>
    <row r="612" spans="1:32" x14ac:dyDescent="0.25">
      <c r="A612"/>
      <c r="B612"/>
      <c r="C612"/>
      <c r="D612"/>
      <c r="E612"/>
      <c r="F612"/>
      <c r="G612"/>
      <c r="H612"/>
      <c r="I612"/>
      <c r="J612"/>
      <c r="K612"/>
      <c r="L612"/>
      <c r="M612"/>
      <c r="N612"/>
      <c r="O612"/>
      <c r="P612"/>
      <c r="Q612"/>
      <c r="R612"/>
      <c r="S612"/>
      <c r="T612"/>
      <c r="U612"/>
      <c r="V612"/>
      <c r="W612"/>
      <c r="X612"/>
      <c r="Y612"/>
      <c r="Z612"/>
      <c r="AA612"/>
      <c r="AB612"/>
      <c r="AC612"/>
      <c r="AD612"/>
      <c r="AE612"/>
      <c r="AF612"/>
    </row>
    <row r="613" spans="1:32" x14ac:dyDescent="0.25">
      <c r="A613"/>
      <c r="B613"/>
      <c r="C613"/>
      <c r="D613"/>
      <c r="E613"/>
      <c r="F613"/>
      <c r="G613"/>
      <c r="H613"/>
      <c r="I613"/>
      <c r="J613"/>
      <c r="K613"/>
      <c r="L613"/>
      <c r="M613"/>
      <c r="N613"/>
      <c r="O613"/>
      <c r="P613"/>
      <c r="Q613"/>
      <c r="R613"/>
      <c r="S613"/>
      <c r="T613"/>
      <c r="U613"/>
      <c r="V613"/>
      <c r="W613"/>
      <c r="X613"/>
      <c r="Y613"/>
      <c r="Z613"/>
      <c r="AA613"/>
      <c r="AB613"/>
      <c r="AC613"/>
      <c r="AD613"/>
      <c r="AE613"/>
      <c r="AF613"/>
    </row>
    <row r="614" spans="1:32" x14ac:dyDescent="0.25">
      <c r="A614"/>
      <c r="B614"/>
      <c r="C614"/>
      <c r="D614"/>
      <c r="E614"/>
      <c r="F614"/>
      <c r="G614"/>
      <c r="H614"/>
      <c r="I614"/>
      <c r="J614"/>
      <c r="K614"/>
      <c r="L614"/>
      <c r="M614"/>
      <c r="N614"/>
      <c r="O614"/>
      <c r="P614"/>
      <c r="Q614"/>
      <c r="R614"/>
      <c r="S614"/>
      <c r="T614"/>
      <c r="U614"/>
      <c r="V614"/>
      <c r="W614"/>
      <c r="X614"/>
      <c r="Y614"/>
      <c r="Z614"/>
      <c r="AA614"/>
      <c r="AB614"/>
      <c r="AC614"/>
      <c r="AD614"/>
      <c r="AE614"/>
      <c r="AF614"/>
    </row>
    <row r="615" spans="1:32" x14ac:dyDescent="0.25">
      <c r="A615"/>
      <c r="B615"/>
      <c r="C615"/>
      <c r="D615"/>
      <c r="E615"/>
      <c r="F615"/>
      <c r="G615"/>
      <c r="H615"/>
      <c r="I615"/>
      <c r="J615"/>
      <c r="K615"/>
      <c r="L615"/>
      <c r="M615"/>
      <c r="N615"/>
      <c r="O615"/>
      <c r="P615"/>
      <c r="Q615"/>
      <c r="R615"/>
      <c r="S615"/>
      <c r="T615"/>
      <c r="U615"/>
      <c r="V615"/>
      <c r="W615"/>
      <c r="X615"/>
      <c r="Y615"/>
      <c r="Z615"/>
      <c r="AA615"/>
      <c r="AB615"/>
      <c r="AC615"/>
      <c r="AD615"/>
      <c r="AE615"/>
      <c r="AF615"/>
    </row>
    <row r="616" spans="1:32" x14ac:dyDescent="0.25">
      <c r="A616"/>
      <c r="B616"/>
      <c r="C616"/>
      <c r="D616"/>
      <c r="E616"/>
      <c r="F616"/>
      <c r="G616"/>
      <c r="H616"/>
      <c r="I616"/>
      <c r="J616"/>
      <c r="K616"/>
      <c r="L616"/>
      <c r="M616"/>
      <c r="N616"/>
      <c r="O616"/>
      <c r="P616"/>
      <c r="Q616"/>
      <c r="R616"/>
      <c r="S616"/>
      <c r="T616"/>
      <c r="U616"/>
      <c r="V616"/>
      <c r="W616"/>
      <c r="X616"/>
      <c r="Y616"/>
      <c r="Z616"/>
      <c r="AA616"/>
      <c r="AB616"/>
      <c r="AC616"/>
      <c r="AD616"/>
      <c r="AE616"/>
      <c r="AF616"/>
    </row>
    <row r="617" spans="1:32" x14ac:dyDescent="0.25">
      <c r="A617"/>
      <c r="B617"/>
      <c r="C617"/>
      <c r="D617"/>
      <c r="E617"/>
      <c r="F617"/>
      <c r="G617"/>
      <c r="H617"/>
      <c r="I617"/>
      <c r="J617"/>
      <c r="K617"/>
      <c r="L617"/>
      <c r="M617"/>
      <c r="N617"/>
      <c r="O617"/>
      <c r="P617"/>
      <c r="Q617"/>
      <c r="R617"/>
      <c r="S617"/>
      <c r="T617"/>
      <c r="U617"/>
      <c r="V617"/>
      <c r="W617"/>
      <c r="X617"/>
      <c r="Y617"/>
      <c r="Z617"/>
      <c r="AA617"/>
      <c r="AB617"/>
      <c r="AC617"/>
      <c r="AD617"/>
      <c r="AE617"/>
      <c r="AF617"/>
    </row>
    <row r="618" spans="1:32" x14ac:dyDescent="0.25">
      <c r="A618"/>
      <c r="B618"/>
      <c r="C618"/>
      <c r="D618"/>
      <c r="E618"/>
      <c r="F618"/>
      <c r="G618"/>
      <c r="H618"/>
      <c r="I618"/>
      <c r="J618"/>
      <c r="K618"/>
      <c r="L618"/>
      <c r="M618"/>
      <c r="N618"/>
      <c r="O618"/>
      <c r="P618"/>
      <c r="Q618"/>
      <c r="R618"/>
      <c r="S618"/>
      <c r="T618"/>
      <c r="U618"/>
      <c r="V618"/>
      <c r="W618"/>
      <c r="X618"/>
      <c r="Y618"/>
      <c r="Z618"/>
      <c r="AA618"/>
      <c r="AB618"/>
      <c r="AC618"/>
      <c r="AD618"/>
      <c r="AE618"/>
      <c r="AF618"/>
    </row>
    <row r="619" spans="1:32" x14ac:dyDescent="0.25">
      <c r="A619"/>
      <c r="B619"/>
      <c r="C619"/>
      <c r="D619"/>
      <c r="E619"/>
      <c r="F619"/>
      <c r="G619"/>
      <c r="H619"/>
      <c r="I619"/>
      <c r="J619"/>
      <c r="K619"/>
      <c r="L619"/>
      <c r="M619"/>
      <c r="N619"/>
      <c r="O619"/>
      <c r="P619"/>
      <c r="Q619"/>
      <c r="R619"/>
      <c r="S619"/>
      <c r="T619"/>
      <c r="U619"/>
      <c r="V619"/>
      <c r="W619"/>
      <c r="X619"/>
      <c r="Y619"/>
      <c r="Z619"/>
      <c r="AA619"/>
      <c r="AB619"/>
      <c r="AC619"/>
      <c r="AD619"/>
      <c r="AE619"/>
      <c r="AF619"/>
    </row>
    <row r="620" spans="1:32" x14ac:dyDescent="0.25">
      <c r="A620"/>
      <c r="B620"/>
      <c r="C620"/>
      <c r="D620"/>
      <c r="E620"/>
      <c r="F620"/>
      <c r="G620"/>
      <c r="H620"/>
      <c r="I620"/>
      <c r="J620"/>
      <c r="K620"/>
      <c r="L620"/>
      <c r="M620"/>
      <c r="N620"/>
      <c r="O620"/>
      <c r="P620"/>
      <c r="Q620"/>
      <c r="R620"/>
      <c r="S620"/>
      <c r="T620"/>
      <c r="U620"/>
      <c r="V620"/>
      <c r="W620"/>
      <c r="X620"/>
      <c r="Y620"/>
      <c r="Z620"/>
      <c r="AA620"/>
      <c r="AB620"/>
      <c r="AC620"/>
      <c r="AD620"/>
      <c r="AE620"/>
      <c r="AF620"/>
    </row>
    <row r="621" spans="1:32" x14ac:dyDescent="0.25">
      <c r="A621"/>
      <c r="B621"/>
      <c r="C621"/>
      <c r="D621"/>
      <c r="E621"/>
      <c r="F621"/>
      <c r="G621"/>
      <c r="H621"/>
      <c r="I621"/>
      <c r="J621"/>
      <c r="K621"/>
      <c r="L621"/>
      <c r="M621"/>
      <c r="N621"/>
      <c r="O621"/>
      <c r="P621"/>
      <c r="Q621"/>
      <c r="R621"/>
      <c r="S621"/>
      <c r="T621"/>
      <c r="U621"/>
      <c r="V621"/>
      <c r="W621"/>
      <c r="X621"/>
      <c r="Y621"/>
      <c r="Z621"/>
      <c r="AA621"/>
      <c r="AB621"/>
      <c r="AC621"/>
      <c r="AD621"/>
      <c r="AE621"/>
      <c r="AF621"/>
    </row>
    <row r="622" spans="1:32" x14ac:dyDescent="0.25">
      <c r="A622"/>
      <c r="B622"/>
      <c r="C622"/>
      <c r="D622"/>
      <c r="E622"/>
      <c r="F622"/>
      <c r="G622"/>
      <c r="H622"/>
      <c r="I622"/>
      <c r="J622"/>
      <c r="K622"/>
      <c r="L622"/>
      <c r="M622"/>
      <c r="N622"/>
      <c r="O622"/>
      <c r="P622"/>
      <c r="Q622"/>
      <c r="R622"/>
      <c r="S622"/>
      <c r="T622"/>
      <c r="U622"/>
      <c r="V622"/>
      <c r="W622"/>
      <c r="X622"/>
      <c r="Y622"/>
      <c r="Z622"/>
      <c r="AA622"/>
      <c r="AB622"/>
      <c r="AC622"/>
      <c r="AD622"/>
      <c r="AE622"/>
      <c r="AF622"/>
    </row>
    <row r="623" spans="1:32" x14ac:dyDescent="0.25">
      <c r="A623"/>
      <c r="B623"/>
      <c r="C623"/>
      <c r="D623"/>
      <c r="E623"/>
      <c r="F623"/>
      <c r="G623"/>
      <c r="H623"/>
      <c r="I623"/>
      <c r="J623"/>
      <c r="K623"/>
      <c r="L623"/>
      <c r="M623"/>
      <c r="N623"/>
      <c r="O623"/>
      <c r="P623"/>
      <c r="Q623"/>
      <c r="R623"/>
      <c r="S623"/>
      <c r="T623"/>
      <c r="U623"/>
      <c r="V623"/>
      <c r="W623"/>
      <c r="X623"/>
      <c r="Y623"/>
      <c r="Z623"/>
      <c r="AA623"/>
      <c r="AB623"/>
      <c r="AC623"/>
      <c r="AD623"/>
      <c r="AE623"/>
      <c r="AF623"/>
    </row>
    <row r="624" spans="1:32" x14ac:dyDescent="0.25">
      <c r="A624"/>
      <c r="B624"/>
      <c r="C624"/>
      <c r="D624"/>
      <c r="E624"/>
      <c r="F624"/>
      <c r="G624"/>
      <c r="H624"/>
      <c r="I624"/>
      <c r="J624"/>
      <c r="K624"/>
      <c r="L624"/>
      <c r="M624"/>
      <c r="N624"/>
      <c r="O624"/>
      <c r="P624"/>
      <c r="Q624"/>
      <c r="R624"/>
      <c r="S624"/>
      <c r="T624"/>
      <c r="U624"/>
      <c r="V624"/>
      <c r="W624"/>
      <c r="X624"/>
      <c r="Y624"/>
      <c r="Z624"/>
      <c r="AA624"/>
      <c r="AB624"/>
      <c r="AC624"/>
      <c r="AD624"/>
      <c r="AE624"/>
      <c r="AF624"/>
    </row>
    <row r="625" spans="1:32" x14ac:dyDescent="0.25">
      <c r="A625"/>
      <c r="B625"/>
      <c r="C625"/>
      <c r="D625"/>
      <c r="E625"/>
      <c r="F625"/>
      <c r="G625"/>
      <c r="H625"/>
      <c r="I625"/>
      <c r="J625"/>
      <c r="K625"/>
      <c r="L625"/>
      <c r="M625"/>
      <c r="N625"/>
      <c r="O625"/>
      <c r="P625"/>
      <c r="Q625"/>
      <c r="R625"/>
      <c r="S625"/>
      <c r="T625"/>
      <c r="U625"/>
      <c r="V625"/>
      <c r="W625"/>
      <c r="X625"/>
      <c r="Y625"/>
      <c r="Z625"/>
      <c r="AA625"/>
      <c r="AB625"/>
      <c r="AC625"/>
      <c r="AD625"/>
      <c r="AE625"/>
      <c r="AF625"/>
    </row>
    <row r="626" spans="1:32" x14ac:dyDescent="0.25">
      <c r="A626"/>
      <c r="B626"/>
      <c r="C626"/>
      <c r="D626"/>
      <c r="E626"/>
      <c r="F626"/>
      <c r="G626"/>
      <c r="H626"/>
      <c r="I626"/>
      <c r="J626"/>
      <c r="K626"/>
      <c r="L626"/>
      <c r="M626"/>
      <c r="N626"/>
      <c r="O626"/>
      <c r="P626"/>
      <c r="Q626"/>
      <c r="R626"/>
      <c r="S626"/>
      <c r="T626"/>
      <c r="U626"/>
      <c r="V626"/>
      <c r="W626"/>
      <c r="X626"/>
      <c r="Y626"/>
      <c r="Z626"/>
      <c r="AA626"/>
      <c r="AB626"/>
      <c r="AC626"/>
      <c r="AD626"/>
      <c r="AE626"/>
      <c r="AF626"/>
    </row>
    <row r="627" spans="1:32" x14ac:dyDescent="0.25">
      <c r="A627"/>
      <c r="B627"/>
      <c r="C627"/>
      <c r="D627"/>
      <c r="E627"/>
      <c r="F627"/>
      <c r="G627"/>
      <c r="H627"/>
      <c r="I627"/>
      <c r="J627"/>
      <c r="K627"/>
      <c r="L627"/>
      <c r="M627"/>
      <c r="N627"/>
      <c r="O627"/>
      <c r="P627"/>
      <c r="Q627"/>
      <c r="R627"/>
      <c r="S627"/>
      <c r="T627"/>
      <c r="U627"/>
      <c r="V627"/>
      <c r="W627"/>
      <c r="X627"/>
      <c r="Y627"/>
      <c r="Z627"/>
      <c r="AA627"/>
      <c r="AB627"/>
      <c r="AC627"/>
      <c r="AD627"/>
      <c r="AE627"/>
      <c r="AF627"/>
    </row>
    <row r="628" spans="1:32" x14ac:dyDescent="0.25">
      <c r="A628"/>
      <c r="B628"/>
      <c r="C628"/>
      <c r="D628"/>
      <c r="E628"/>
      <c r="F628"/>
      <c r="G628"/>
      <c r="H628"/>
      <c r="I628"/>
      <c r="J628"/>
      <c r="K628"/>
      <c r="L628"/>
      <c r="M628"/>
      <c r="N628"/>
      <c r="O628"/>
      <c r="P628"/>
      <c r="Q628"/>
      <c r="R628"/>
      <c r="S628"/>
      <c r="T628"/>
      <c r="U628"/>
      <c r="V628"/>
      <c r="W628"/>
      <c r="X628"/>
      <c r="Y628"/>
      <c r="Z628"/>
      <c r="AA628"/>
      <c r="AB628"/>
      <c r="AC628"/>
      <c r="AD628"/>
      <c r="AE628"/>
      <c r="AF628"/>
    </row>
    <row r="629" spans="1:32" x14ac:dyDescent="0.25">
      <c r="A629"/>
      <c r="B629"/>
      <c r="C629"/>
      <c r="D629"/>
      <c r="E629"/>
      <c r="F629"/>
      <c r="G629"/>
      <c r="H629"/>
      <c r="I629"/>
      <c r="J629"/>
      <c r="K629"/>
      <c r="L629"/>
      <c r="M629"/>
      <c r="N629"/>
      <c r="O629"/>
      <c r="P629"/>
      <c r="Q629"/>
      <c r="R629"/>
      <c r="S629"/>
      <c r="T629"/>
      <c r="U629"/>
      <c r="V629"/>
      <c r="W629"/>
      <c r="X629"/>
      <c r="Y629"/>
      <c r="Z629"/>
      <c r="AA629"/>
      <c r="AB629"/>
      <c r="AC629"/>
      <c r="AD629"/>
      <c r="AE629"/>
      <c r="AF629"/>
    </row>
    <row r="630" spans="1:32" x14ac:dyDescent="0.25">
      <c r="A630"/>
      <c r="B630"/>
      <c r="C630"/>
      <c r="D630"/>
      <c r="E630"/>
      <c r="F630"/>
      <c r="G630"/>
      <c r="H630"/>
      <c r="I630"/>
      <c r="J630"/>
      <c r="K630"/>
      <c r="L630"/>
      <c r="M630"/>
      <c r="N630"/>
      <c r="O630"/>
      <c r="P630"/>
      <c r="Q630"/>
      <c r="R630"/>
      <c r="S630"/>
      <c r="T630"/>
      <c r="U630"/>
      <c r="V630"/>
      <c r="W630"/>
      <c r="X630"/>
      <c r="Y630"/>
      <c r="Z630"/>
      <c r="AA630"/>
      <c r="AB630"/>
      <c r="AC630"/>
      <c r="AD630"/>
      <c r="AE630"/>
      <c r="AF630"/>
    </row>
    <row r="631" spans="1:32" x14ac:dyDescent="0.25">
      <c r="A631"/>
      <c r="B631"/>
      <c r="C631"/>
      <c r="D631"/>
      <c r="E631"/>
      <c r="F631"/>
      <c r="G631"/>
      <c r="H631"/>
      <c r="I631"/>
      <c r="J631"/>
      <c r="K631"/>
      <c r="L631"/>
      <c r="M631"/>
      <c r="N631"/>
      <c r="O631"/>
      <c r="P631"/>
      <c r="Q631"/>
      <c r="R631"/>
      <c r="S631"/>
      <c r="T631"/>
      <c r="U631"/>
      <c r="V631"/>
      <c r="W631"/>
      <c r="X631"/>
      <c r="Y631"/>
      <c r="Z631"/>
      <c r="AA631"/>
      <c r="AB631"/>
      <c r="AC631"/>
      <c r="AD631"/>
      <c r="AE631"/>
      <c r="AF631"/>
    </row>
    <row r="632" spans="1:32" x14ac:dyDescent="0.25">
      <c r="A632"/>
      <c r="B632"/>
      <c r="C632"/>
      <c r="D632"/>
      <c r="E632"/>
      <c r="F632"/>
      <c r="G632"/>
      <c r="H632"/>
      <c r="I632"/>
      <c r="J632"/>
      <c r="K632"/>
      <c r="L632"/>
      <c r="M632"/>
      <c r="N632"/>
      <c r="O632"/>
      <c r="P632"/>
      <c r="Q632"/>
      <c r="R632"/>
      <c r="S632"/>
      <c r="T632"/>
      <c r="U632"/>
      <c r="V632"/>
      <c r="W632"/>
      <c r="X632"/>
      <c r="Y632"/>
      <c r="Z632"/>
      <c r="AA632"/>
      <c r="AB632"/>
      <c r="AC632"/>
      <c r="AD632"/>
      <c r="AE632"/>
      <c r="AF632"/>
    </row>
    <row r="633" spans="1:32" x14ac:dyDescent="0.25">
      <c r="A633"/>
      <c r="B633"/>
      <c r="C633"/>
      <c r="D633"/>
      <c r="E633"/>
      <c r="F633"/>
      <c r="G633"/>
      <c r="H633"/>
      <c r="I633"/>
      <c r="J633"/>
      <c r="K633"/>
      <c r="L633"/>
      <c r="M633"/>
      <c r="N633"/>
      <c r="O633"/>
      <c r="P633"/>
      <c r="Q633"/>
      <c r="R633"/>
      <c r="S633"/>
      <c r="T633"/>
      <c r="U633"/>
      <c r="V633"/>
      <c r="W633"/>
      <c r="X633"/>
      <c r="Y633"/>
      <c r="Z633"/>
      <c r="AA633"/>
      <c r="AB633"/>
      <c r="AC633"/>
      <c r="AD633"/>
      <c r="AE633"/>
      <c r="AF633"/>
    </row>
    <row r="634" spans="1:32" x14ac:dyDescent="0.25">
      <c r="A634"/>
      <c r="B634"/>
      <c r="C634"/>
      <c r="D634"/>
      <c r="E634"/>
      <c r="F634"/>
      <c r="G634"/>
      <c r="H634"/>
      <c r="I634"/>
      <c r="J634"/>
      <c r="K634"/>
      <c r="L634"/>
      <c r="M634"/>
      <c r="N634"/>
      <c r="O634"/>
      <c r="P634"/>
      <c r="Q634"/>
      <c r="R634"/>
      <c r="S634"/>
      <c r="T634"/>
      <c r="U634"/>
      <c r="V634"/>
      <c r="W634"/>
      <c r="X634"/>
      <c r="Y634"/>
      <c r="Z634"/>
      <c r="AA634"/>
      <c r="AB634"/>
      <c r="AC634"/>
      <c r="AD634"/>
      <c r="AE634"/>
      <c r="AF634"/>
    </row>
    <row r="635" spans="1:32" x14ac:dyDescent="0.25">
      <c r="A635"/>
      <c r="B635"/>
      <c r="C635"/>
      <c r="D635"/>
      <c r="E635"/>
      <c r="F635"/>
      <c r="G635"/>
      <c r="H635"/>
      <c r="I635"/>
      <c r="J635"/>
      <c r="K635"/>
      <c r="L635"/>
      <c r="M635"/>
      <c r="N635"/>
      <c r="O635"/>
      <c r="P635"/>
      <c r="Q635"/>
      <c r="R635"/>
      <c r="S635"/>
      <c r="T635"/>
      <c r="U635"/>
      <c r="V635"/>
      <c r="W635"/>
      <c r="X635"/>
      <c r="Y635"/>
      <c r="Z635"/>
      <c r="AA635"/>
      <c r="AB635"/>
      <c r="AC635"/>
      <c r="AD635"/>
      <c r="AE635"/>
      <c r="AF635"/>
    </row>
    <row r="636" spans="1:32" x14ac:dyDescent="0.25">
      <c r="A636"/>
      <c r="B636"/>
      <c r="C636"/>
      <c r="D636"/>
      <c r="E636"/>
      <c r="F636"/>
      <c r="G636"/>
      <c r="H636"/>
      <c r="I636"/>
      <c r="J636"/>
      <c r="K636"/>
      <c r="L636"/>
      <c r="M636"/>
      <c r="N636"/>
      <c r="O636"/>
      <c r="P636"/>
      <c r="Q636"/>
      <c r="R636"/>
      <c r="S636"/>
      <c r="T636"/>
      <c r="U636"/>
      <c r="V636"/>
      <c r="W636"/>
      <c r="X636"/>
      <c r="Y636"/>
      <c r="Z636"/>
      <c r="AA636"/>
      <c r="AB636"/>
      <c r="AC636"/>
      <c r="AD636"/>
      <c r="AE636"/>
      <c r="AF636"/>
    </row>
    <row r="637" spans="1:32" x14ac:dyDescent="0.25">
      <c r="A637"/>
      <c r="B637"/>
      <c r="C637"/>
      <c r="D637"/>
      <c r="E637"/>
      <c r="F637"/>
      <c r="G637"/>
      <c r="H637"/>
      <c r="I637"/>
      <c r="J637"/>
      <c r="K637"/>
      <c r="L637"/>
      <c r="M637"/>
      <c r="N637"/>
      <c r="O637"/>
      <c r="P637"/>
      <c r="Q637"/>
      <c r="R637"/>
      <c r="S637"/>
      <c r="T637"/>
      <c r="U637"/>
      <c r="V637"/>
      <c r="W637"/>
      <c r="X637"/>
      <c r="Y637"/>
      <c r="Z637"/>
      <c r="AA637"/>
      <c r="AB637"/>
      <c r="AC637"/>
      <c r="AD637"/>
      <c r="AE637"/>
      <c r="AF637"/>
    </row>
    <row r="638" spans="1:32" x14ac:dyDescent="0.25">
      <c r="A638"/>
      <c r="B638"/>
      <c r="C638"/>
      <c r="D638"/>
      <c r="E638"/>
      <c r="F638"/>
      <c r="G638"/>
      <c r="H638"/>
      <c r="I638"/>
      <c r="J638"/>
      <c r="K638"/>
      <c r="L638"/>
      <c r="M638"/>
      <c r="N638"/>
      <c r="O638"/>
      <c r="P638"/>
      <c r="Q638"/>
      <c r="R638"/>
      <c r="S638"/>
      <c r="T638"/>
      <c r="U638"/>
      <c r="V638"/>
      <c r="W638"/>
      <c r="X638"/>
      <c r="Y638"/>
      <c r="Z638"/>
      <c r="AA638"/>
      <c r="AB638"/>
      <c r="AC638"/>
      <c r="AD638"/>
      <c r="AE638"/>
      <c r="AF638"/>
    </row>
    <row r="639" spans="1:32" x14ac:dyDescent="0.25">
      <c r="A639"/>
      <c r="B639"/>
      <c r="C639"/>
      <c r="D639"/>
      <c r="E639"/>
      <c r="F639"/>
      <c r="G639"/>
      <c r="H639"/>
      <c r="I639"/>
      <c r="J639"/>
      <c r="K639"/>
      <c r="L639"/>
      <c r="M639"/>
      <c r="N639"/>
      <c r="O639"/>
      <c r="P639"/>
      <c r="Q639"/>
      <c r="R639"/>
      <c r="S639"/>
      <c r="T639"/>
      <c r="U639"/>
      <c r="V639"/>
      <c r="W639"/>
      <c r="X639"/>
      <c r="Y639"/>
      <c r="Z639"/>
      <c r="AA639"/>
      <c r="AB639"/>
      <c r="AC639"/>
      <c r="AD639"/>
      <c r="AE639"/>
      <c r="AF639"/>
    </row>
    <row r="640" spans="1:32" x14ac:dyDescent="0.25">
      <c r="A640"/>
      <c r="B640"/>
      <c r="C640"/>
      <c r="D640"/>
      <c r="E640"/>
      <c r="F640"/>
      <c r="G640"/>
      <c r="H640"/>
      <c r="I640"/>
      <c r="J640"/>
      <c r="K640"/>
      <c r="L640"/>
      <c r="M640"/>
      <c r="N640"/>
      <c r="O640"/>
      <c r="P640"/>
      <c r="Q640"/>
      <c r="R640"/>
      <c r="S640"/>
      <c r="T640"/>
      <c r="U640"/>
      <c r="V640"/>
      <c r="W640"/>
      <c r="X640"/>
      <c r="Y640"/>
      <c r="Z640"/>
      <c r="AA640"/>
      <c r="AB640"/>
      <c r="AC640"/>
      <c r="AD640"/>
      <c r="AE640"/>
      <c r="AF640"/>
    </row>
    <row r="641" spans="1:32" x14ac:dyDescent="0.25">
      <c r="A641"/>
      <c r="B641"/>
      <c r="C641"/>
      <c r="D641"/>
      <c r="E641"/>
      <c r="F641"/>
      <c r="G641"/>
      <c r="H641"/>
      <c r="I641"/>
      <c r="J641"/>
      <c r="K641"/>
      <c r="L641"/>
      <c r="M641"/>
      <c r="N641"/>
      <c r="O641"/>
      <c r="P641"/>
      <c r="Q641"/>
      <c r="R641"/>
      <c r="S641"/>
      <c r="T641"/>
      <c r="U641"/>
      <c r="V641"/>
      <c r="W641"/>
      <c r="X641"/>
      <c r="Y641"/>
      <c r="Z641"/>
      <c r="AA641"/>
      <c r="AB641"/>
      <c r="AC641"/>
      <c r="AD641"/>
      <c r="AE641"/>
      <c r="AF641"/>
    </row>
    <row r="642" spans="1:32" x14ac:dyDescent="0.25">
      <c r="A642"/>
      <c r="B642"/>
      <c r="C642"/>
      <c r="D642"/>
      <c r="E642"/>
      <c r="F642"/>
      <c r="G642"/>
      <c r="H642"/>
      <c r="I642"/>
      <c r="J642"/>
      <c r="K642"/>
      <c r="L642"/>
      <c r="M642"/>
      <c r="N642"/>
      <c r="O642"/>
      <c r="P642"/>
      <c r="Q642"/>
      <c r="R642"/>
      <c r="S642"/>
      <c r="T642"/>
      <c r="U642"/>
      <c r="V642"/>
      <c r="W642"/>
      <c r="X642"/>
      <c r="Y642"/>
      <c r="Z642"/>
      <c r="AA642"/>
      <c r="AB642"/>
      <c r="AC642"/>
      <c r="AD642"/>
      <c r="AE642"/>
      <c r="AF642"/>
    </row>
    <row r="643" spans="1:32" x14ac:dyDescent="0.25">
      <c r="A643"/>
      <c r="B643"/>
      <c r="C643"/>
      <c r="D643"/>
      <c r="E643"/>
      <c r="F643"/>
      <c r="G643"/>
      <c r="H643"/>
      <c r="I643"/>
      <c r="J643"/>
      <c r="K643"/>
      <c r="L643"/>
      <c r="M643"/>
      <c r="N643"/>
      <c r="O643"/>
      <c r="P643"/>
      <c r="Q643"/>
      <c r="R643"/>
      <c r="S643"/>
      <c r="T643"/>
      <c r="U643"/>
      <c r="V643"/>
      <c r="W643"/>
      <c r="X643"/>
      <c r="Y643"/>
      <c r="Z643"/>
      <c r="AA643"/>
      <c r="AB643"/>
      <c r="AC643"/>
      <c r="AD643"/>
      <c r="AE643"/>
      <c r="AF643"/>
    </row>
    <row r="644" spans="1:32" x14ac:dyDescent="0.25">
      <c r="A644"/>
      <c r="B644"/>
      <c r="C644"/>
      <c r="D644"/>
      <c r="E644"/>
      <c r="F644"/>
      <c r="G644"/>
      <c r="H644"/>
      <c r="I644"/>
      <c r="J644"/>
      <c r="K644"/>
      <c r="L644"/>
      <c r="M644"/>
      <c r="N644"/>
      <c r="O644"/>
      <c r="P644"/>
      <c r="Q644"/>
      <c r="R644"/>
      <c r="S644"/>
      <c r="T644"/>
      <c r="U644"/>
      <c r="V644"/>
      <c r="W644"/>
      <c r="X644"/>
      <c r="Y644"/>
      <c r="Z644"/>
      <c r="AA644"/>
      <c r="AB644"/>
      <c r="AC644"/>
      <c r="AD644"/>
      <c r="AE644"/>
      <c r="AF644"/>
    </row>
    <row r="645" spans="1:32" x14ac:dyDescent="0.25">
      <c r="A645"/>
      <c r="B645"/>
      <c r="C645"/>
      <c r="D645"/>
      <c r="E645"/>
      <c r="F645"/>
      <c r="G645"/>
      <c r="H645"/>
      <c r="I645"/>
      <c r="J645"/>
      <c r="K645"/>
      <c r="L645"/>
      <c r="M645"/>
      <c r="N645"/>
      <c r="O645"/>
      <c r="P645"/>
      <c r="Q645"/>
      <c r="R645"/>
      <c r="S645"/>
      <c r="T645"/>
      <c r="U645"/>
      <c r="V645"/>
      <c r="W645"/>
      <c r="X645"/>
      <c r="Y645"/>
      <c r="Z645"/>
      <c r="AA645"/>
      <c r="AB645"/>
      <c r="AC645"/>
      <c r="AD645"/>
      <c r="AE645"/>
      <c r="AF645"/>
    </row>
    <row r="646" spans="1:32" x14ac:dyDescent="0.25">
      <c r="A646"/>
      <c r="B646"/>
      <c r="C646"/>
      <c r="D646"/>
      <c r="E646"/>
      <c r="F646"/>
      <c r="G646"/>
      <c r="H646"/>
      <c r="I646"/>
      <c r="J646"/>
      <c r="K646"/>
      <c r="L646"/>
      <c r="M646"/>
      <c r="N646"/>
      <c r="O646"/>
      <c r="P646"/>
      <c r="Q646"/>
      <c r="R646"/>
      <c r="S646"/>
      <c r="T646"/>
      <c r="U646"/>
      <c r="V646"/>
      <c r="W646"/>
      <c r="X646"/>
      <c r="Y646"/>
      <c r="Z646"/>
      <c r="AA646"/>
      <c r="AB646"/>
      <c r="AC646"/>
      <c r="AD646"/>
      <c r="AE646"/>
      <c r="AF646"/>
    </row>
    <row r="647" spans="1:32" x14ac:dyDescent="0.25">
      <c r="A647"/>
      <c r="B647"/>
      <c r="C647"/>
      <c r="D647"/>
      <c r="E647"/>
      <c r="F647"/>
      <c r="G647"/>
      <c r="H647"/>
      <c r="I647"/>
      <c r="J647"/>
      <c r="K647"/>
      <c r="L647"/>
      <c r="M647"/>
      <c r="N647"/>
      <c r="O647"/>
      <c r="P647"/>
      <c r="Q647"/>
      <c r="R647"/>
      <c r="S647"/>
      <c r="T647"/>
      <c r="U647"/>
      <c r="V647"/>
      <c r="W647"/>
      <c r="X647"/>
      <c r="Y647"/>
      <c r="Z647"/>
      <c r="AA647"/>
      <c r="AB647"/>
      <c r="AC647"/>
      <c r="AD647"/>
      <c r="AE647"/>
      <c r="AF647"/>
    </row>
    <row r="648" spans="1:32" x14ac:dyDescent="0.25">
      <c r="A648"/>
      <c r="B648"/>
      <c r="C648"/>
      <c r="D648"/>
      <c r="E648"/>
      <c r="F648"/>
      <c r="G648"/>
      <c r="H648"/>
      <c r="I648"/>
      <c r="J648"/>
      <c r="K648"/>
      <c r="L648"/>
      <c r="M648"/>
      <c r="N648"/>
      <c r="O648"/>
      <c r="P648"/>
      <c r="Q648"/>
      <c r="R648"/>
      <c r="S648"/>
      <c r="T648"/>
      <c r="U648"/>
      <c r="V648"/>
      <c r="W648"/>
      <c r="X648"/>
      <c r="Y648"/>
      <c r="Z648"/>
      <c r="AA648"/>
      <c r="AB648"/>
      <c r="AC648"/>
      <c r="AD648"/>
      <c r="AE648"/>
      <c r="AF648"/>
    </row>
    <row r="649" spans="1:32" x14ac:dyDescent="0.25">
      <c r="A649"/>
      <c r="B649"/>
      <c r="C649"/>
      <c r="D649"/>
      <c r="E649"/>
      <c r="F649"/>
      <c r="G649"/>
      <c r="H649"/>
      <c r="I649"/>
      <c r="J649"/>
      <c r="K649"/>
      <c r="L649"/>
      <c r="M649"/>
      <c r="N649"/>
      <c r="O649"/>
      <c r="P649"/>
      <c r="Q649"/>
      <c r="R649"/>
      <c r="S649"/>
      <c r="T649"/>
      <c r="U649"/>
      <c r="V649"/>
      <c r="W649"/>
      <c r="X649"/>
      <c r="Y649"/>
      <c r="Z649"/>
      <c r="AA649"/>
      <c r="AB649"/>
      <c r="AC649"/>
      <c r="AD649"/>
      <c r="AE649"/>
      <c r="AF649"/>
    </row>
    <row r="650" spans="1:32" x14ac:dyDescent="0.25">
      <c r="A650"/>
      <c r="B650"/>
      <c r="C650"/>
      <c r="D650"/>
      <c r="E650"/>
      <c r="F650"/>
      <c r="G650"/>
      <c r="H650"/>
      <c r="I650"/>
      <c r="J650"/>
      <c r="K650"/>
      <c r="L650"/>
      <c r="M650"/>
      <c r="N650"/>
      <c r="O650"/>
      <c r="P650"/>
      <c r="Q650"/>
      <c r="R650"/>
      <c r="S650"/>
      <c r="T650"/>
      <c r="U650"/>
      <c r="V650"/>
      <c r="W650"/>
      <c r="X650"/>
      <c r="Y650"/>
      <c r="Z650"/>
      <c r="AA650"/>
      <c r="AB650"/>
      <c r="AC650"/>
      <c r="AD650"/>
      <c r="AE650"/>
      <c r="AF650"/>
    </row>
    <row r="651" spans="1:32" x14ac:dyDescent="0.25">
      <c r="A651"/>
      <c r="B651"/>
      <c r="C651"/>
      <c r="D651"/>
      <c r="E651"/>
      <c r="F651"/>
      <c r="G651"/>
      <c r="H651"/>
      <c r="I651"/>
      <c r="J651"/>
      <c r="K651"/>
      <c r="L651"/>
      <c r="M651"/>
      <c r="N651"/>
      <c r="O651"/>
      <c r="P651"/>
      <c r="Q651"/>
      <c r="R651"/>
      <c r="S651"/>
      <c r="T651"/>
      <c r="U651"/>
      <c r="V651"/>
      <c r="W651"/>
      <c r="X651"/>
      <c r="Y651"/>
      <c r="Z651"/>
      <c r="AA651"/>
      <c r="AB651"/>
      <c r="AC651"/>
      <c r="AD651"/>
      <c r="AE651"/>
      <c r="AF651"/>
    </row>
    <row r="652" spans="1:32" x14ac:dyDescent="0.25">
      <c r="A652"/>
      <c r="B652"/>
      <c r="C652"/>
      <c r="D652"/>
      <c r="E652"/>
      <c r="F652"/>
      <c r="G652"/>
      <c r="H652"/>
      <c r="I652"/>
      <c r="J652"/>
      <c r="K652"/>
      <c r="L652"/>
      <c r="M652"/>
      <c r="N652"/>
      <c r="O652"/>
      <c r="P652"/>
      <c r="Q652"/>
      <c r="R652"/>
      <c r="S652"/>
      <c r="T652"/>
      <c r="U652"/>
      <c r="V652"/>
      <c r="W652"/>
      <c r="X652"/>
      <c r="Y652"/>
      <c r="Z652"/>
      <c r="AA652"/>
      <c r="AB652"/>
      <c r="AC652"/>
      <c r="AD652"/>
      <c r="AE652"/>
      <c r="AF652"/>
    </row>
    <row r="653" spans="1:32" x14ac:dyDescent="0.25">
      <c r="A653"/>
      <c r="B653"/>
      <c r="C653"/>
      <c r="D653"/>
      <c r="E653"/>
      <c r="F653"/>
      <c r="G653"/>
      <c r="H653"/>
      <c r="I653"/>
      <c r="J653"/>
      <c r="K653"/>
      <c r="L653"/>
      <c r="M653"/>
      <c r="N653"/>
      <c r="O653"/>
      <c r="P653"/>
      <c r="Q653"/>
      <c r="R653"/>
      <c r="S653"/>
      <c r="T653"/>
      <c r="U653"/>
      <c r="V653"/>
      <c r="W653"/>
      <c r="X653"/>
      <c r="Y653"/>
      <c r="Z653"/>
      <c r="AA653"/>
      <c r="AB653"/>
      <c r="AC653"/>
      <c r="AD653"/>
      <c r="AE653"/>
      <c r="AF653"/>
    </row>
    <row r="654" spans="1:32" x14ac:dyDescent="0.25">
      <c r="A654"/>
      <c r="B654"/>
      <c r="C654"/>
      <c r="D654"/>
      <c r="E654"/>
      <c r="F654"/>
      <c r="G654"/>
      <c r="H654"/>
      <c r="I654"/>
      <c r="J654"/>
      <c r="K654"/>
      <c r="L654"/>
      <c r="M654"/>
      <c r="N654"/>
      <c r="O654"/>
      <c r="P654"/>
      <c r="Q654"/>
      <c r="R654"/>
      <c r="S654"/>
      <c r="T654"/>
      <c r="U654"/>
      <c r="V654"/>
      <c r="W654"/>
      <c r="X654"/>
      <c r="Y654"/>
      <c r="Z654"/>
      <c r="AA654"/>
      <c r="AB654"/>
      <c r="AC654"/>
      <c r="AD654"/>
      <c r="AE654"/>
      <c r="AF654"/>
    </row>
    <row r="655" spans="1:32" x14ac:dyDescent="0.25">
      <c r="A655"/>
      <c r="B655"/>
      <c r="C655"/>
      <c r="D655"/>
      <c r="E655"/>
      <c r="F655"/>
      <c r="G655"/>
      <c r="H655"/>
      <c r="I655"/>
      <c r="J655"/>
      <c r="K655"/>
      <c r="L655"/>
      <c r="M655"/>
      <c r="N655"/>
      <c r="O655"/>
      <c r="P655"/>
      <c r="Q655"/>
      <c r="R655"/>
      <c r="S655"/>
      <c r="T655"/>
      <c r="U655"/>
      <c r="V655"/>
      <c r="W655"/>
      <c r="X655"/>
      <c r="Y655"/>
      <c r="Z655"/>
      <c r="AA655"/>
      <c r="AB655"/>
      <c r="AC655"/>
      <c r="AD655"/>
      <c r="AE655"/>
      <c r="AF655"/>
    </row>
    <row r="656" spans="1:32" x14ac:dyDescent="0.25">
      <c r="A656"/>
      <c r="B656"/>
      <c r="C656"/>
      <c r="D656"/>
      <c r="E656"/>
      <c r="F656"/>
      <c r="G656"/>
      <c r="H656"/>
      <c r="I656"/>
      <c r="J656"/>
      <c r="K656"/>
      <c r="L656"/>
      <c r="M656"/>
      <c r="N656"/>
      <c r="O656"/>
      <c r="P656"/>
      <c r="Q656"/>
      <c r="R656"/>
      <c r="S656"/>
      <c r="T656"/>
      <c r="U656"/>
      <c r="V656"/>
      <c r="W656"/>
      <c r="X656"/>
      <c r="Y656"/>
      <c r="Z656"/>
      <c r="AA656"/>
      <c r="AB656"/>
      <c r="AC656"/>
      <c r="AD656"/>
      <c r="AE656"/>
      <c r="AF656"/>
    </row>
    <row r="657" spans="1:32" x14ac:dyDescent="0.25">
      <c r="A657"/>
      <c r="B657"/>
      <c r="C657"/>
      <c r="D657"/>
      <c r="E657"/>
      <c r="F657"/>
      <c r="G657"/>
      <c r="H657"/>
      <c r="I657"/>
      <c r="J657"/>
      <c r="K657"/>
      <c r="L657"/>
      <c r="M657"/>
      <c r="N657"/>
      <c r="O657"/>
      <c r="P657"/>
      <c r="Q657"/>
      <c r="R657"/>
      <c r="S657"/>
      <c r="T657"/>
      <c r="U657"/>
      <c r="V657"/>
      <c r="W657"/>
      <c r="X657"/>
      <c r="Y657"/>
      <c r="Z657"/>
      <c r="AA657"/>
      <c r="AB657"/>
      <c r="AC657"/>
      <c r="AD657"/>
      <c r="AE657"/>
      <c r="AF657"/>
    </row>
    <row r="658" spans="1:32" x14ac:dyDescent="0.25">
      <c r="A658"/>
      <c r="B658"/>
      <c r="C658"/>
      <c r="D658"/>
      <c r="E658"/>
      <c r="F658"/>
      <c r="G658"/>
      <c r="H658"/>
      <c r="I658"/>
      <c r="J658"/>
      <c r="K658"/>
      <c r="L658"/>
      <c r="M658"/>
      <c r="N658"/>
      <c r="O658"/>
      <c r="P658"/>
      <c r="Q658"/>
      <c r="R658"/>
      <c r="S658"/>
      <c r="T658"/>
      <c r="U658"/>
      <c r="V658"/>
      <c r="W658"/>
      <c r="X658"/>
      <c r="Y658"/>
      <c r="Z658"/>
      <c r="AA658"/>
      <c r="AB658"/>
      <c r="AC658"/>
      <c r="AD658"/>
      <c r="AE658"/>
      <c r="AF658"/>
    </row>
    <row r="659" spans="1:32" x14ac:dyDescent="0.25">
      <c r="A659"/>
      <c r="B659"/>
      <c r="C659"/>
      <c r="D659"/>
      <c r="E659"/>
      <c r="F659"/>
      <c r="G659"/>
      <c r="H659"/>
      <c r="I659"/>
      <c r="J659"/>
      <c r="K659"/>
      <c r="L659"/>
      <c r="M659"/>
      <c r="N659"/>
      <c r="O659"/>
      <c r="P659"/>
      <c r="Q659"/>
      <c r="R659"/>
      <c r="S659"/>
      <c r="T659"/>
      <c r="U659"/>
      <c r="V659"/>
      <c r="W659"/>
      <c r="X659"/>
      <c r="Y659"/>
      <c r="Z659"/>
      <c r="AA659"/>
      <c r="AB659"/>
      <c r="AC659"/>
      <c r="AD659"/>
      <c r="AE659"/>
      <c r="AF659"/>
    </row>
    <row r="660" spans="1:32" x14ac:dyDescent="0.25">
      <c r="A660"/>
      <c r="B660"/>
      <c r="C660"/>
      <c r="D660"/>
      <c r="E660"/>
      <c r="F660"/>
      <c r="G660"/>
      <c r="H660"/>
      <c r="I660"/>
      <c r="J660"/>
      <c r="K660"/>
      <c r="L660"/>
      <c r="M660"/>
      <c r="N660"/>
      <c r="O660"/>
      <c r="P660"/>
      <c r="Q660"/>
      <c r="R660"/>
      <c r="S660"/>
      <c r="T660"/>
      <c r="U660"/>
      <c r="V660"/>
      <c r="W660"/>
      <c r="X660"/>
      <c r="Y660"/>
      <c r="Z660"/>
      <c r="AA660"/>
      <c r="AB660"/>
      <c r="AC660"/>
      <c r="AD660"/>
      <c r="AE660"/>
      <c r="AF660"/>
    </row>
    <row r="661" spans="1:32" x14ac:dyDescent="0.25">
      <c r="A661"/>
      <c r="B661"/>
      <c r="C661"/>
      <c r="D661"/>
      <c r="E661"/>
      <c r="F661"/>
      <c r="G661"/>
      <c r="H661"/>
      <c r="I661"/>
      <c r="J661"/>
      <c r="K661"/>
      <c r="L661"/>
      <c r="M661"/>
      <c r="N661"/>
      <c r="O661"/>
      <c r="P661"/>
      <c r="Q661"/>
      <c r="R661"/>
      <c r="S661"/>
      <c r="T661"/>
      <c r="U661"/>
      <c r="V661"/>
      <c r="W661"/>
      <c r="X661"/>
      <c r="Y661"/>
      <c r="Z661"/>
      <c r="AA661"/>
      <c r="AB661"/>
      <c r="AC661"/>
      <c r="AD661"/>
      <c r="AE661"/>
      <c r="AF661"/>
    </row>
    <row r="662" spans="1:32" x14ac:dyDescent="0.25">
      <c r="A662"/>
      <c r="B662"/>
      <c r="C662"/>
      <c r="D662"/>
      <c r="E662"/>
      <c r="F662"/>
      <c r="G662"/>
      <c r="H662"/>
      <c r="I662"/>
      <c r="J662"/>
      <c r="K662"/>
      <c r="L662"/>
      <c r="M662"/>
      <c r="N662"/>
      <c r="O662"/>
      <c r="P662"/>
      <c r="Q662"/>
      <c r="R662"/>
      <c r="S662"/>
      <c r="T662"/>
      <c r="U662"/>
      <c r="V662"/>
      <c r="W662"/>
      <c r="X662"/>
      <c r="Y662"/>
      <c r="Z662"/>
      <c r="AA662"/>
      <c r="AB662"/>
      <c r="AC662"/>
      <c r="AD662"/>
      <c r="AE662"/>
      <c r="AF662"/>
    </row>
    <row r="663" spans="1:32" x14ac:dyDescent="0.25">
      <c r="A663"/>
      <c r="B663"/>
      <c r="C663"/>
      <c r="D663"/>
      <c r="E663"/>
      <c r="F663"/>
      <c r="G663"/>
      <c r="H663"/>
      <c r="I663"/>
      <c r="J663"/>
      <c r="K663"/>
      <c r="L663"/>
      <c r="M663"/>
      <c r="N663"/>
      <c r="O663"/>
      <c r="P663"/>
      <c r="Q663"/>
      <c r="R663"/>
      <c r="S663"/>
      <c r="T663"/>
      <c r="U663"/>
      <c r="V663"/>
      <c r="W663"/>
      <c r="X663"/>
      <c r="Y663"/>
      <c r="Z663"/>
      <c r="AA663"/>
      <c r="AB663"/>
      <c r="AC663"/>
      <c r="AD663"/>
      <c r="AE663"/>
      <c r="AF663"/>
    </row>
    <row r="664" spans="1:32" x14ac:dyDescent="0.25">
      <c r="A664"/>
      <c r="B664"/>
      <c r="C664"/>
      <c r="D664"/>
      <c r="E664"/>
      <c r="F664"/>
      <c r="G664"/>
      <c r="H664"/>
      <c r="I664"/>
      <c r="J664"/>
      <c r="K664"/>
      <c r="L664"/>
      <c r="M664"/>
      <c r="N664"/>
      <c r="O664"/>
      <c r="P664"/>
      <c r="Q664"/>
      <c r="R664"/>
      <c r="S664"/>
      <c r="T664"/>
      <c r="U664"/>
      <c r="V664"/>
      <c r="W664"/>
      <c r="X664"/>
      <c r="Y664"/>
      <c r="Z664"/>
      <c r="AA664"/>
      <c r="AB664"/>
      <c r="AC664"/>
      <c r="AD664"/>
      <c r="AE664"/>
      <c r="AF664"/>
    </row>
    <row r="665" spans="1:32" x14ac:dyDescent="0.25">
      <c r="A665"/>
      <c r="B665"/>
      <c r="C665"/>
      <c r="D665"/>
      <c r="E665"/>
      <c r="F665"/>
      <c r="G665"/>
      <c r="H665"/>
      <c r="I665"/>
      <c r="J665"/>
      <c r="K665"/>
      <c r="L665"/>
      <c r="M665"/>
      <c r="N665"/>
      <c r="O665"/>
      <c r="P665"/>
      <c r="Q665"/>
      <c r="R665"/>
      <c r="S665"/>
      <c r="T665"/>
      <c r="U665"/>
      <c r="V665"/>
      <c r="W665"/>
      <c r="X665"/>
      <c r="Y665"/>
      <c r="Z665"/>
      <c r="AA665"/>
      <c r="AB665"/>
      <c r="AC665"/>
      <c r="AD665"/>
      <c r="AE665"/>
      <c r="AF665"/>
    </row>
    <row r="666" spans="1:32" x14ac:dyDescent="0.25">
      <c r="A666"/>
      <c r="B666"/>
      <c r="C666"/>
      <c r="D666"/>
      <c r="E666"/>
      <c r="F666"/>
      <c r="G666"/>
      <c r="H666"/>
      <c r="I666"/>
      <c r="J666"/>
      <c r="K666"/>
      <c r="L666"/>
      <c r="M666"/>
      <c r="N666"/>
      <c r="O666"/>
      <c r="P666"/>
      <c r="Q666"/>
      <c r="R666"/>
      <c r="S666"/>
      <c r="T666"/>
      <c r="U666"/>
      <c r="V666"/>
      <c r="W666"/>
      <c r="X666"/>
      <c r="Y666"/>
      <c r="Z666"/>
      <c r="AA666"/>
      <c r="AB666"/>
      <c r="AC666"/>
      <c r="AD666"/>
      <c r="AE666"/>
      <c r="AF666"/>
    </row>
    <row r="667" spans="1:32" x14ac:dyDescent="0.25">
      <c r="A667"/>
      <c r="B667"/>
      <c r="C667"/>
      <c r="D667"/>
      <c r="E667"/>
      <c r="F667"/>
      <c r="G667"/>
      <c r="H667"/>
      <c r="I667"/>
      <c r="J667"/>
      <c r="K667"/>
      <c r="L667"/>
      <c r="M667"/>
      <c r="N667"/>
      <c r="O667"/>
      <c r="P667"/>
      <c r="Q667"/>
      <c r="R667"/>
      <c r="S667"/>
      <c r="T667"/>
      <c r="U667"/>
      <c r="V667"/>
      <c r="W667"/>
      <c r="X667"/>
      <c r="Y667"/>
      <c r="Z667"/>
      <c r="AA667"/>
      <c r="AB667"/>
      <c r="AC667"/>
      <c r="AD667"/>
      <c r="AE667"/>
      <c r="AF667"/>
    </row>
    <row r="668" spans="1:32" x14ac:dyDescent="0.25">
      <c r="A668"/>
      <c r="B668"/>
      <c r="C668"/>
      <c r="D668"/>
      <c r="E668"/>
      <c r="F668"/>
      <c r="G668"/>
      <c r="H668"/>
      <c r="I668"/>
      <c r="J668"/>
      <c r="K668"/>
      <c r="L668"/>
      <c r="M668"/>
      <c r="N668"/>
      <c r="O668"/>
      <c r="P668"/>
      <c r="Q668"/>
      <c r="R668"/>
      <c r="S668"/>
      <c r="T668"/>
      <c r="U668"/>
      <c r="V668"/>
      <c r="W668"/>
      <c r="X668"/>
      <c r="Y668"/>
      <c r="Z668"/>
      <c r="AA668"/>
      <c r="AB668"/>
      <c r="AC668"/>
      <c r="AD668"/>
      <c r="AE668"/>
      <c r="AF668"/>
    </row>
    <row r="669" spans="1:32" x14ac:dyDescent="0.25">
      <c r="A669"/>
      <c r="B669"/>
      <c r="C669"/>
      <c r="D669"/>
      <c r="E669"/>
      <c r="F669"/>
      <c r="G669"/>
      <c r="H669"/>
      <c r="I669"/>
      <c r="J669"/>
      <c r="K669"/>
      <c r="L669"/>
      <c r="M669"/>
      <c r="N669"/>
      <c r="O669"/>
      <c r="P669"/>
      <c r="Q669"/>
      <c r="R669"/>
      <c r="S669"/>
      <c r="T669"/>
      <c r="U669"/>
      <c r="V669"/>
      <c r="W669"/>
      <c r="X669"/>
      <c r="Y669"/>
      <c r="Z669"/>
      <c r="AA669"/>
      <c r="AB669"/>
      <c r="AC669"/>
      <c r="AD669"/>
      <c r="AE669"/>
      <c r="AF669"/>
    </row>
    <row r="670" spans="1:32" x14ac:dyDescent="0.25">
      <c r="A670"/>
      <c r="B670"/>
      <c r="C670"/>
      <c r="D670"/>
      <c r="E670"/>
      <c r="F670"/>
      <c r="G670"/>
      <c r="H670"/>
      <c r="I670"/>
      <c r="J670"/>
      <c r="K670"/>
      <c r="L670"/>
      <c r="M670"/>
      <c r="N670"/>
      <c r="O670"/>
      <c r="P670"/>
      <c r="Q670"/>
      <c r="R670"/>
      <c r="S670"/>
      <c r="T670"/>
      <c r="U670"/>
      <c r="V670"/>
      <c r="W670"/>
      <c r="X670"/>
      <c r="Y670"/>
      <c r="Z670"/>
      <c r="AA670"/>
      <c r="AB670"/>
      <c r="AC670"/>
      <c r="AD670"/>
      <c r="AE670"/>
      <c r="AF670"/>
    </row>
    <row r="671" spans="1:32" x14ac:dyDescent="0.25">
      <c r="A671"/>
      <c r="B671"/>
      <c r="C671"/>
      <c r="D671"/>
      <c r="E671"/>
      <c r="F671"/>
      <c r="G671"/>
      <c r="H671"/>
      <c r="I671"/>
      <c r="J671"/>
      <c r="K671"/>
      <c r="L671"/>
      <c r="M671"/>
      <c r="N671"/>
      <c r="O671"/>
      <c r="P671"/>
      <c r="Q671"/>
      <c r="R671"/>
      <c r="S671"/>
      <c r="T671"/>
      <c r="U671"/>
      <c r="V671"/>
      <c r="W671"/>
      <c r="X671"/>
      <c r="Y671"/>
      <c r="Z671"/>
      <c r="AA671"/>
      <c r="AB671"/>
      <c r="AC671"/>
      <c r="AD671"/>
      <c r="AE671"/>
      <c r="AF671"/>
    </row>
    <row r="672" spans="1:32" x14ac:dyDescent="0.25">
      <c r="A672"/>
      <c r="B672"/>
      <c r="C672"/>
      <c r="D672"/>
      <c r="E672"/>
      <c r="F672"/>
      <c r="G672"/>
      <c r="H672"/>
      <c r="I672"/>
      <c r="J672"/>
      <c r="K672"/>
      <c r="L672"/>
      <c r="M672"/>
      <c r="N672"/>
      <c r="O672"/>
      <c r="P672"/>
      <c r="Q672"/>
      <c r="R672"/>
      <c r="S672"/>
      <c r="T672"/>
      <c r="U672"/>
      <c r="V672"/>
      <c r="W672"/>
      <c r="X672"/>
      <c r="Y672"/>
      <c r="Z672"/>
      <c r="AA672"/>
      <c r="AB672"/>
      <c r="AC672"/>
      <c r="AD672"/>
      <c r="AE672"/>
      <c r="AF672"/>
    </row>
    <row r="673" spans="1:32" x14ac:dyDescent="0.25">
      <c r="A673"/>
      <c r="B673"/>
      <c r="C673"/>
      <c r="D673"/>
      <c r="E673"/>
      <c r="F673"/>
      <c r="G673"/>
      <c r="H673"/>
      <c r="I673"/>
      <c r="J673"/>
      <c r="K673"/>
      <c r="L673"/>
      <c r="M673"/>
      <c r="N673"/>
      <c r="O673"/>
      <c r="P673"/>
      <c r="Q673"/>
      <c r="R673"/>
      <c r="S673"/>
      <c r="T673"/>
      <c r="U673"/>
      <c r="V673"/>
      <c r="W673"/>
      <c r="X673"/>
      <c r="Y673"/>
      <c r="Z673"/>
      <c r="AA673"/>
      <c r="AB673"/>
      <c r="AC673"/>
      <c r="AD673"/>
      <c r="AE673"/>
      <c r="AF673"/>
    </row>
    <row r="674" spans="1:32" x14ac:dyDescent="0.25">
      <c r="A674"/>
      <c r="B674"/>
      <c r="C674"/>
      <c r="D674"/>
      <c r="E674"/>
      <c r="F674"/>
      <c r="G674"/>
      <c r="H674"/>
      <c r="I674"/>
      <c r="J674"/>
      <c r="K674"/>
      <c r="L674"/>
      <c r="M674"/>
      <c r="N674"/>
      <c r="O674"/>
      <c r="P674"/>
      <c r="Q674"/>
      <c r="R674"/>
      <c r="S674"/>
      <c r="T674"/>
      <c r="U674"/>
      <c r="V674"/>
      <c r="W674"/>
      <c r="X674"/>
      <c r="Y674"/>
      <c r="Z674"/>
      <c r="AA674"/>
      <c r="AB674"/>
      <c r="AC674"/>
      <c r="AD674"/>
      <c r="AE674"/>
      <c r="AF674"/>
    </row>
    <row r="675" spans="1:32" x14ac:dyDescent="0.25">
      <c r="A675"/>
      <c r="B675"/>
      <c r="C675"/>
      <c r="D675"/>
      <c r="E675"/>
      <c r="F675"/>
      <c r="G675"/>
      <c r="H675"/>
      <c r="I675"/>
      <c r="J675"/>
      <c r="K675"/>
      <c r="L675"/>
      <c r="M675"/>
      <c r="N675"/>
      <c r="O675"/>
      <c r="P675"/>
      <c r="Q675"/>
      <c r="R675"/>
      <c r="S675"/>
      <c r="T675"/>
      <c r="U675"/>
      <c r="V675"/>
      <c r="W675"/>
      <c r="X675"/>
      <c r="Y675"/>
      <c r="Z675"/>
      <c r="AA675"/>
      <c r="AB675"/>
      <c r="AC675"/>
      <c r="AD675"/>
      <c r="AE675"/>
      <c r="AF675"/>
    </row>
    <row r="676" spans="1:32" x14ac:dyDescent="0.25">
      <c r="A676"/>
      <c r="B676"/>
      <c r="C676"/>
      <c r="D676"/>
      <c r="E676"/>
      <c r="F676"/>
      <c r="G676"/>
      <c r="H676"/>
      <c r="I676"/>
      <c r="J676"/>
      <c r="K676"/>
      <c r="L676"/>
      <c r="M676"/>
      <c r="N676"/>
      <c r="O676"/>
      <c r="P676"/>
      <c r="Q676"/>
      <c r="R676"/>
      <c r="S676"/>
      <c r="T676"/>
      <c r="U676"/>
      <c r="V676"/>
      <c r="W676"/>
      <c r="X676"/>
      <c r="Y676"/>
      <c r="Z676"/>
      <c r="AA676"/>
      <c r="AB676"/>
      <c r="AC676"/>
      <c r="AD676"/>
      <c r="AE676"/>
      <c r="AF676"/>
    </row>
    <row r="677" spans="1:32" x14ac:dyDescent="0.25">
      <c r="A677"/>
      <c r="B677"/>
      <c r="C677"/>
      <c r="D677"/>
      <c r="E677"/>
      <c r="F677"/>
      <c r="G677"/>
      <c r="H677"/>
      <c r="I677"/>
      <c r="J677"/>
      <c r="K677"/>
      <c r="L677"/>
      <c r="M677"/>
      <c r="N677"/>
      <c r="O677"/>
      <c r="P677"/>
      <c r="Q677"/>
      <c r="R677"/>
      <c r="S677"/>
      <c r="T677"/>
      <c r="U677"/>
      <c r="V677"/>
      <c r="W677"/>
      <c r="X677"/>
      <c r="Y677"/>
      <c r="Z677"/>
      <c r="AA677"/>
      <c r="AB677"/>
      <c r="AC677"/>
      <c r="AD677"/>
      <c r="AE677"/>
      <c r="AF677"/>
    </row>
    <row r="678" spans="1:32" x14ac:dyDescent="0.25">
      <c r="A678"/>
      <c r="B678"/>
      <c r="C678"/>
      <c r="D678"/>
      <c r="E678"/>
      <c r="F678"/>
      <c r="G678"/>
      <c r="H678"/>
      <c r="I678"/>
      <c r="J678"/>
      <c r="K678"/>
      <c r="L678"/>
      <c r="M678"/>
      <c r="N678"/>
      <c r="O678"/>
      <c r="P678"/>
      <c r="Q678"/>
      <c r="R678"/>
      <c r="S678"/>
      <c r="T678"/>
      <c r="U678"/>
      <c r="V678"/>
      <c r="W678"/>
      <c r="X678"/>
      <c r="Y678"/>
      <c r="Z678"/>
      <c r="AA678"/>
      <c r="AB678"/>
      <c r="AC678"/>
      <c r="AD678"/>
      <c r="AE678"/>
      <c r="AF678"/>
    </row>
    <row r="679" spans="1:32" x14ac:dyDescent="0.25">
      <c r="A679"/>
      <c r="B679"/>
      <c r="C679"/>
      <c r="D679"/>
      <c r="E679"/>
      <c r="F679"/>
      <c r="G679"/>
      <c r="H679"/>
      <c r="I679"/>
      <c r="J679"/>
      <c r="K679"/>
      <c r="L679"/>
      <c r="M679"/>
      <c r="N679"/>
      <c r="O679"/>
      <c r="P679"/>
      <c r="Q679"/>
      <c r="R679"/>
      <c r="S679"/>
      <c r="T679"/>
      <c r="U679"/>
      <c r="V679"/>
      <c r="W679"/>
      <c r="X679"/>
      <c r="Y679"/>
      <c r="Z679"/>
      <c r="AA679"/>
      <c r="AB679"/>
      <c r="AC679"/>
      <c r="AD679"/>
      <c r="AE679"/>
      <c r="AF679"/>
    </row>
    <row r="680" spans="1:32" x14ac:dyDescent="0.25">
      <c r="A680"/>
      <c r="B680"/>
      <c r="C680"/>
      <c r="D680"/>
      <c r="E680"/>
      <c r="F680"/>
      <c r="G680"/>
      <c r="H680"/>
      <c r="I680"/>
      <c r="J680"/>
      <c r="K680"/>
      <c r="L680"/>
      <c r="M680"/>
      <c r="N680"/>
      <c r="O680"/>
      <c r="P680"/>
      <c r="Q680"/>
      <c r="R680"/>
      <c r="S680"/>
      <c r="T680"/>
      <c r="U680"/>
      <c r="V680"/>
      <c r="W680"/>
      <c r="X680"/>
      <c r="Y680"/>
      <c r="Z680"/>
      <c r="AA680"/>
      <c r="AB680"/>
      <c r="AC680"/>
      <c r="AD680"/>
      <c r="AE680"/>
      <c r="AF680"/>
    </row>
    <row r="681" spans="1:32" x14ac:dyDescent="0.25">
      <c r="A681"/>
      <c r="B681"/>
      <c r="C681"/>
      <c r="D681"/>
      <c r="E681"/>
      <c r="F681"/>
      <c r="G681"/>
      <c r="H681"/>
      <c r="I681"/>
      <c r="J681"/>
      <c r="K681"/>
      <c r="L681"/>
      <c r="M681"/>
      <c r="N681"/>
      <c r="O681"/>
      <c r="P681"/>
      <c r="Q681"/>
      <c r="R681"/>
      <c r="S681"/>
      <c r="T681"/>
      <c r="U681"/>
      <c r="V681"/>
      <c r="W681"/>
      <c r="X681"/>
      <c r="Y681"/>
      <c r="Z681"/>
      <c r="AA681"/>
      <c r="AB681"/>
      <c r="AC681"/>
      <c r="AD681"/>
      <c r="AE681"/>
      <c r="AF681"/>
    </row>
    <row r="682" spans="1:32" x14ac:dyDescent="0.25">
      <c r="A682"/>
      <c r="B682"/>
      <c r="C682"/>
      <c r="D682"/>
      <c r="E682"/>
      <c r="F682"/>
      <c r="G682"/>
      <c r="H682"/>
      <c r="I682"/>
      <c r="J682"/>
      <c r="K682"/>
      <c r="L682"/>
      <c r="M682"/>
      <c r="N682"/>
      <c r="O682"/>
      <c r="P682"/>
      <c r="Q682"/>
      <c r="R682"/>
      <c r="S682"/>
      <c r="T682"/>
      <c r="U682"/>
      <c r="V682"/>
      <c r="W682"/>
      <c r="X682"/>
      <c r="Y682"/>
      <c r="Z682"/>
      <c r="AA682"/>
      <c r="AB682"/>
      <c r="AC682"/>
      <c r="AD682"/>
      <c r="AE682"/>
      <c r="AF682"/>
    </row>
    <row r="683" spans="1:32" x14ac:dyDescent="0.25">
      <c r="A683"/>
      <c r="B683"/>
      <c r="C683"/>
      <c r="D683"/>
      <c r="E683"/>
      <c r="F683"/>
      <c r="G683"/>
      <c r="H683"/>
      <c r="I683"/>
      <c r="J683"/>
      <c r="K683"/>
      <c r="L683"/>
      <c r="M683"/>
      <c r="N683"/>
      <c r="O683"/>
      <c r="P683"/>
      <c r="Q683"/>
      <c r="R683"/>
      <c r="S683"/>
      <c r="T683"/>
      <c r="U683"/>
      <c r="V683"/>
      <c r="W683"/>
      <c r="X683"/>
      <c r="Y683"/>
      <c r="Z683"/>
      <c r="AA683"/>
      <c r="AB683"/>
      <c r="AC683"/>
      <c r="AD683"/>
      <c r="AE683"/>
      <c r="AF683"/>
    </row>
    <row r="684" spans="1:32" x14ac:dyDescent="0.25">
      <c r="A684"/>
      <c r="B684"/>
      <c r="C684"/>
      <c r="D684"/>
      <c r="E684"/>
      <c r="F684"/>
      <c r="G684"/>
      <c r="H684"/>
      <c r="I684"/>
      <c r="J684"/>
      <c r="K684"/>
      <c r="L684"/>
      <c r="M684"/>
      <c r="N684"/>
      <c r="O684"/>
      <c r="P684"/>
      <c r="Q684"/>
      <c r="R684"/>
      <c r="S684"/>
      <c r="T684"/>
      <c r="U684"/>
      <c r="V684"/>
      <c r="W684"/>
      <c r="X684"/>
      <c r="Y684"/>
      <c r="Z684"/>
      <c r="AA684"/>
      <c r="AB684"/>
      <c r="AC684"/>
      <c r="AD684"/>
      <c r="AE684"/>
      <c r="AF684"/>
    </row>
    <row r="685" spans="1:32" x14ac:dyDescent="0.25">
      <c r="A685"/>
      <c r="B685"/>
      <c r="C685"/>
      <c r="D685"/>
      <c r="E685"/>
      <c r="F685"/>
      <c r="G685"/>
      <c r="H685"/>
      <c r="I685"/>
      <c r="J685"/>
      <c r="K685"/>
      <c r="L685"/>
      <c r="M685"/>
      <c r="N685"/>
      <c r="O685"/>
      <c r="P685"/>
      <c r="Q685"/>
      <c r="R685"/>
      <c r="S685"/>
      <c r="T685"/>
      <c r="U685"/>
      <c r="V685"/>
      <c r="W685"/>
      <c r="X685"/>
      <c r="Y685"/>
      <c r="Z685"/>
      <c r="AA685"/>
      <c r="AB685"/>
      <c r="AC685"/>
      <c r="AD685"/>
      <c r="AE685"/>
      <c r="AF685"/>
    </row>
    <row r="686" spans="1:32" x14ac:dyDescent="0.25">
      <c r="A686"/>
      <c r="B686"/>
      <c r="C686"/>
      <c r="D686"/>
      <c r="E686"/>
      <c r="F686"/>
      <c r="G686"/>
      <c r="H686"/>
      <c r="I686"/>
      <c r="J686"/>
      <c r="K686"/>
      <c r="L686"/>
      <c r="M686"/>
      <c r="N686"/>
      <c r="O686"/>
      <c r="P686"/>
      <c r="Q686"/>
      <c r="R686"/>
      <c r="S686"/>
      <c r="T686"/>
      <c r="U686"/>
      <c r="V686"/>
      <c r="W686"/>
      <c r="X686"/>
      <c r="Y686"/>
      <c r="Z686"/>
      <c r="AA686"/>
      <c r="AB686"/>
      <c r="AC686"/>
      <c r="AD686"/>
      <c r="AE686"/>
      <c r="AF686"/>
    </row>
    <row r="687" spans="1:32" x14ac:dyDescent="0.25">
      <c r="A687"/>
      <c r="B687"/>
      <c r="C687"/>
      <c r="D687"/>
      <c r="E687"/>
      <c r="F687"/>
      <c r="G687"/>
      <c r="H687"/>
      <c r="I687"/>
      <c r="J687"/>
      <c r="K687"/>
      <c r="L687"/>
      <c r="M687"/>
      <c r="N687"/>
      <c r="O687"/>
      <c r="P687"/>
      <c r="Q687"/>
      <c r="R687"/>
      <c r="S687"/>
      <c r="T687"/>
      <c r="U687"/>
      <c r="V687"/>
      <c r="W687"/>
      <c r="X687"/>
      <c r="Y687"/>
      <c r="Z687"/>
      <c r="AA687"/>
      <c r="AB687"/>
      <c r="AC687"/>
      <c r="AD687"/>
      <c r="AE687"/>
      <c r="AF687"/>
    </row>
    <row r="688" spans="1:32" x14ac:dyDescent="0.25">
      <c r="A688"/>
      <c r="B688"/>
      <c r="C688"/>
      <c r="D688"/>
      <c r="E688"/>
      <c r="F688"/>
      <c r="G688"/>
      <c r="H688"/>
      <c r="I688"/>
      <c r="J688"/>
      <c r="K688"/>
      <c r="L688"/>
      <c r="M688"/>
      <c r="N688"/>
      <c r="O688"/>
      <c r="P688"/>
      <c r="Q688"/>
      <c r="R688"/>
      <c r="S688"/>
      <c r="T688"/>
      <c r="U688"/>
      <c r="V688"/>
      <c r="W688"/>
      <c r="X688"/>
      <c r="Y688"/>
      <c r="Z688"/>
      <c r="AA688"/>
      <c r="AB688"/>
      <c r="AC688"/>
      <c r="AD688"/>
      <c r="AE688"/>
      <c r="AF688"/>
    </row>
    <row r="689" spans="1:32" x14ac:dyDescent="0.25">
      <c r="A689"/>
      <c r="B689"/>
      <c r="C689"/>
      <c r="D689"/>
      <c r="E689"/>
      <c r="F689"/>
      <c r="G689"/>
      <c r="H689"/>
      <c r="I689"/>
      <c r="J689"/>
      <c r="K689"/>
      <c r="L689"/>
      <c r="M689"/>
      <c r="N689"/>
      <c r="O689"/>
      <c r="P689"/>
      <c r="Q689"/>
      <c r="R689"/>
      <c r="S689"/>
      <c r="T689"/>
      <c r="U689"/>
      <c r="V689"/>
      <c r="W689"/>
      <c r="X689"/>
      <c r="Y689"/>
      <c r="Z689"/>
      <c r="AA689"/>
      <c r="AB689"/>
      <c r="AC689"/>
      <c r="AD689"/>
      <c r="AE689"/>
      <c r="AF689"/>
    </row>
    <row r="690" spans="1:32" x14ac:dyDescent="0.25">
      <c r="A690"/>
      <c r="B690"/>
      <c r="C690"/>
      <c r="D690"/>
      <c r="E690"/>
      <c r="F690"/>
      <c r="G690"/>
      <c r="H690"/>
      <c r="I690"/>
      <c r="J690"/>
      <c r="K690"/>
      <c r="L690"/>
      <c r="M690"/>
      <c r="N690"/>
      <c r="O690"/>
      <c r="P690"/>
      <c r="Q690"/>
      <c r="R690"/>
      <c r="S690"/>
      <c r="T690"/>
      <c r="U690"/>
      <c r="V690"/>
      <c r="W690"/>
      <c r="X690"/>
      <c r="Y690"/>
      <c r="Z690"/>
      <c r="AA690"/>
      <c r="AB690"/>
      <c r="AC690"/>
      <c r="AD690"/>
      <c r="AE690"/>
      <c r="AF690"/>
    </row>
    <row r="691" spans="1:32" x14ac:dyDescent="0.25">
      <c r="A691"/>
      <c r="B691"/>
      <c r="C691"/>
      <c r="D691"/>
      <c r="E691"/>
      <c r="F691"/>
      <c r="G691"/>
      <c r="H691"/>
      <c r="I691"/>
      <c r="J691"/>
      <c r="K691"/>
      <c r="L691"/>
      <c r="M691"/>
      <c r="N691"/>
      <c r="O691"/>
      <c r="P691"/>
      <c r="Q691"/>
      <c r="R691"/>
      <c r="S691"/>
      <c r="T691"/>
      <c r="U691"/>
      <c r="V691"/>
      <c r="W691"/>
      <c r="X691"/>
      <c r="Y691"/>
      <c r="Z691"/>
      <c r="AA691"/>
      <c r="AB691"/>
      <c r="AC691"/>
      <c r="AD691"/>
      <c r="AE691"/>
      <c r="AF691"/>
    </row>
    <row r="692" spans="1:32" x14ac:dyDescent="0.25">
      <c r="A692"/>
      <c r="B692"/>
      <c r="C692"/>
      <c r="D692"/>
      <c r="E692"/>
      <c r="F692"/>
      <c r="G692"/>
      <c r="H692"/>
      <c r="I692"/>
      <c r="J692"/>
      <c r="K692"/>
      <c r="L692"/>
      <c r="M692"/>
      <c r="N692"/>
      <c r="O692"/>
      <c r="P692"/>
      <c r="Q692"/>
      <c r="R692"/>
      <c r="S692"/>
      <c r="T692"/>
      <c r="U692"/>
      <c r="V692"/>
      <c r="W692"/>
      <c r="X692"/>
      <c r="Y692"/>
      <c r="Z692"/>
      <c r="AA692"/>
      <c r="AB692"/>
      <c r="AC692"/>
      <c r="AD692"/>
      <c r="AE692"/>
      <c r="AF692"/>
    </row>
    <row r="693" spans="1:32" x14ac:dyDescent="0.25">
      <c r="A693"/>
      <c r="B693"/>
      <c r="C693"/>
      <c r="D693"/>
      <c r="E693"/>
      <c r="F693"/>
      <c r="G693"/>
      <c r="H693"/>
      <c r="I693"/>
      <c r="J693"/>
      <c r="K693"/>
      <c r="L693"/>
      <c r="M693"/>
      <c r="N693"/>
      <c r="O693"/>
      <c r="P693"/>
      <c r="Q693"/>
      <c r="R693"/>
      <c r="S693"/>
      <c r="T693"/>
      <c r="U693"/>
      <c r="V693"/>
      <c r="W693"/>
      <c r="X693"/>
      <c r="Y693"/>
      <c r="Z693"/>
      <c r="AA693"/>
      <c r="AB693"/>
      <c r="AC693"/>
      <c r="AD693"/>
      <c r="AE693"/>
      <c r="AF693"/>
    </row>
    <row r="694" spans="1:32" x14ac:dyDescent="0.25">
      <c r="A694"/>
      <c r="B694"/>
      <c r="C694"/>
      <c r="D694"/>
      <c r="E694"/>
      <c r="F694"/>
      <c r="G694"/>
      <c r="H694"/>
      <c r="I694"/>
      <c r="J694"/>
      <c r="K694"/>
      <c r="L694"/>
      <c r="M694"/>
      <c r="N694"/>
      <c r="O694"/>
      <c r="P694"/>
      <c r="Q694"/>
      <c r="R694"/>
      <c r="S694"/>
      <c r="T694"/>
      <c r="U694"/>
      <c r="V694"/>
      <c r="W694"/>
      <c r="X694"/>
      <c r="Y694"/>
      <c r="Z694"/>
      <c r="AA694"/>
      <c r="AB694"/>
      <c r="AC694"/>
      <c r="AD694"/>
      <c r="AE694"/>
      <c r="AF694"/>
    </row>
    <row r="695" spans="1:32" x14ac:dyDescent="0.25">
      <c r="A695"/>
      <c r="B695"/>
      <c r="C695"/>
      <c r="D695"/>
      <c r="E695"/>
      <c r="F695"/>
      <c r="G695"/>
      <c r="H695"/>
      <c r="I695"/>
      <c r="J695"/>
      <c r="K695"/>
      <c r="L695"/>
      <c r="M695"/>
      <c r="N695"/>
      <c r="O695"/>
      <c r="P695"/>
      <c r="Q695"/>
      <c r="R695"/>
      <c r="S695"/>
      <c r="T695"/>
      <c r="U695"/>
      <c r="V695"/>
      <c r="W695"/>
      <c r="X695"/>
      <c r="Y695"/>
      <c r="Z695"/>
      <c r="AA695"/>
      <c r="AB695"/>
      <c r="AC695"/>
      <c r="AD695"/>
      <c r="AE695"/>
      <c r="AF695"/>
    </row>
    <row r="696" spans="1:32" x14ac:dyDescent="0.25">
      <c r="A696"/>
      <c r="B696"/>
      <c r="C696"/>
      <c r="D696"/>
      <c r="E696"/>
      <c r="F696"/>
      <c r="G696"/>
      <c r="H696"/>
      <c r="I696"/>
      <c r="J696"/>
      <c r="K696"/>
      <c r="L696"/>
      <c r="M696"/>
      <c r="N696"/>
      <c r="O696"/>
      <c r="P696"/>
      <c r="Q696"/>
      <c r="R696"/>
      <c r="S696"/>
      <c r="T696"/>
      <c r="U696"/>
      <c r="V696"/>
      <c r="W696"/>
      <c r="X696"/>
      <c r="Y696"/>
      <c r="Z696"/>
      <c r="AA696"/>
      <c r="AB696"/>
      <c r="AC696"/>
      <c r="AD696"/>
      <c r="AE696"/>
      <c r="AF696"/>
    </row>
    <row r="697" spans="1:32" x14ac:dyDescent="0.25">
      <c r="A697"/>
      <c r="B697"/>
      <c r="C697"/>
      <c r="D697"/>
      <c r="E697"/>
      <c r="F697"/>
      <c r="G697"/>
      <c r="H697"/>
      <c r="I697"/>
      <c r="J697"/>
      <c r="K697"/>
      <c r="L697"/>
      <c r="M697"/>
      <c r="N697"/>
      <c r="O697"/>
      <c r="P697"/>
      <c r="Q697"/>
      <c r="R697"/>
      <c r="S697"/>
      <c r="T697"/>
      <c r="U697"/>
      <c r="V697"/>
      <c r="W697"/>
      <c r="X697"/>
      <c r="Y697"/>
      <c r="Z697"/>
      <c r="AA697"/>
      <c r="AB697"/>
      <c r="AC697"/>
      <c r="AD697"/>
      <c r="AE697"/>
      <c r="AF697"/>
    </row>
    <row r="698" spans="1:32" x14ac:dyDescent="0.25">
      <c r="A698"/>
      <c r="B698"/>
      <c r="C698"/>
      <c r="D698"/>
      <c r="E698"/>
      <c r="F698"/>
      <c r="G698"/>
      <c r="H698"/>
      <c r="I698"/>
      <c r="J698"/>
      <c r="K698"/>
      <c r="L698"/>
      <c r="M698"/>
      <c r="N698"/>
      <c r="O698"/>
      <c r="P698"/>
      <c r="Q698"/>
      <c r="R698"/>
      <c r="S698"/>
      <c r="T698"/>
      <c r="U698"/>
      <c r="V698"/>
      <c r="W698"/>
      <c r="X698"/>
      <c r="Y698"/>
      <c r="Z698"/>
      <c r="AA698"/>
      <c r="AB698"/>
      <c r="AC698"/>
      <c r="AD698"/>
      <c r="AE698"/>
      <c r="AF698"/>
    </row>
    <row r="699" spans="1:32" x14ac:dyDescent="0.25">
      <c r="A699"/>
      <c r="B699"/>
      <c r="C699"/>
      <c r="D699"/>
      <c r="E699"/>
      <c r="F699"/>
      <c r="G699"/>
      <c r="H699"/>
      <c r="I699"/>
      <c r="J699"/>
      <c r="K699"/>
      <c r="L699"/>
      <c r="M699"/>
      <c r="N699"/>
      <c r="O699"/>
      <c r="P699"/>
      <c r="Q699"/>
      <c r="R699"/>
      <c r="S699"/>
      <c r="T699"/>
      <c r="U699"/>
      <c r="V699"/>
      <c r="W699"/>
      <c r="X699"/>
      <c r="Y699"/>
      <c r="Z699"/>
      <c r="AA699"/>
      <c r="AB699"/>
      <c r="AC699"/>
      <c r="AD699"/>
      <c r="AE699"/>
      <c r="AF699"/>
    </row>
    <row r="700" spans="1:32" x14ac:dyDescent="0.25">
      <c r="A700"/>
      <c r="B700"/>
      <c r="C700"/>
      <c r="D700"/>
      <c r="E700"/>
      <c r="F700"/>
      <c r="G700"/>
      <c r="H700"/>
      <c r="I700"/>
      <c r="J700"/>
      <c r="K700"/>
      <c r="L700"/>
      <c r="M700"/>
      <c r="N700"/>
      <c r="O700"/>
      <c r="P700"/>
      <c r="Q700"/>
      <c r="R700"/>
      <c r="S700"/>
      <c r="T700"/>
      <c r="U700"/>
      <c r="V700"/>
      <c r="W700"/>
      <c r="X700"/>
      <c r="Y700"/>
      <c r="Z700"/>
      <c r="AA700"/>
      <c r="AB700"/>
      <c r="AC700"/>
      <c r="AD700"/>
      <c r="AE700"/>
      <c r="AF700"/>
    </row>
    <row r="701" spans="1:32" x14ac:dyDescent="0.25">
      <c r="A701"/>
      <c r="B701"/>
      <c r="C701"/>
      <c r="D701"/>
      <c r="E701"/>
      <c r="F701"/>
      <c r="G701"/>
      <c r="H701"/>
      <c r="I701"/>
      <c r="J701"/>
      <c r="K701"/>
      <c r="L701"/>
      <c r="M701"/>
      <c r="N701"/>
      <c r="O701"/>
      <c r="P701"/>
      <c r="Q701"/>
      <c r="R701"/>
      <c r="S701"/>
      <c r="T701"/>
      <c r="U701"/>
      <c r="V701"/>
      <c r="W701"/>
      <c r="X701"/>
      <c r="Y701"/>
      <c r="Z701"/>
      <c r="AA701"/>
      <c r="AB701"/>
      <c r="AC701"/>
      <c r="AD701"/>
      <c r="AE701"/>
      <c r="AF701"/>
    </row>
    <row r="702" spans="1:32" x14ac:dyDescent="0.25">
      <c r="A702"/>
      <c r="B702"/>
      <c r="C702"/>
      <c r="D702"/>
      <c r="E702"/>
      <c r="F702"/>
      <c r="G702"/>
      <c r="H702"/>
      <c r="I702"/>
      <c r="J702"/>
      <c r="K702"/>
      <c r="L702"/>
      <c r="M702"/>
      <c r="N702"/>
      <c r="O702"/>
      <c r="P702"/>
      <c r="Q702"/>
      <c r="R702"/>
      <c r="S702"/>
      <c r="T702"/>
      <c r="U702"/>
      <c r="V702"/>
      <c r="W702"/>
      <c r="X702"/>
      <c r="Y702"/>
      <c r="Z702"/>
      <c r="AA702"/>
      <c r="AB702"/>
      <c r="AC702"/>
      <c r="AD702"/>
      <c r="AE702"/>
      <c r="AF702"/>
    </row>
    <row r="703" spans="1:32" x14ac:dyDescent="0.25">
      <c r="A703"/>
      <c r="B703"/>
      <c r="C703"/>
      <c r="D703"/>
      <c r="E703"/>
      <c r="F703"/>
      <c r="G703"/>
      <c r="H703"/>
      <c r="I703"/>
      <c r="J703"/>
      <c r="K703"/>
      <c r="L703"/>
      <c r="M703"/>
      <c r="N703"/>
      <c r="O703"/>
      <c r="P703"/>
      <c r="Q703"/>
      <c r="R703"/>
      <c r="S703"/>
      <c r="T703"/>
      <c r="U703"/>
      <c r="V703"/>
      <c r="W703"/>
      <c r="X703"/>
      <c r="Y703"/>
      <c r="Z703"/>
      <c r="AA703"/>
      <c r="AB703"/>
      <c r="AC703"/>
      <c r="AD703"/>
      <c r="AE703"/>
      <c r="AF703"/>
    </row>
    <row r="704" spans="1:32" x14ac:dyDescent="0.25">
      <c r="A704"/>
      <c r="B704"/>
      <c r="C704"/>
      <c r="D704"/>
      <c r="E704"/>
      <c r="F704"/>
      <c r="G704"/>
      <c r="H704"/>
      <c r="I704"/>
      <c r="J704"/>
      <c r="K704"/>
      <c r="L704"/>
      <c r="M704"/>
      <c r="N704"/>
      <c r="O704"/>
      <c r="P704"/>
      <c r="Q704"/>
      <c r="R704"/>
      <c r="S704"/>
      <c r="T704"/>
      <c r="U704"/>
      <c r="V704"/>
      <c r="W704"/>
      <c r="X704"/>
      <c r="Y704"/>
      <c r="Z704"/>
      <c r="AA704"/>
      <c r="AB704"/>
      <c r="AC704"/>
      <c r="AD704"/>
      <c r="AE704"/>
      <c r="AF704"/>
    </row>
    <row r="705" spans="1:32" x14ac:dyDescent="0.25">
      <c r="A705"/>
      <c r="B705"/>
      <c r="C705"/>
      <c r="D705"/>
      <c r="E705"/>
      <c r="F705"/>
      <c r="G705"/>
      <c r="H705"/>
      <c r="I705"/>
      <c r="J705"/>
      <c r="K705"/>
      <c r="L705"/>
      <c r="M705"/>
      <c r="N705"/>
      <c r="O705"/>
      <c r="P705"/>
      <c r="Q705"/>
      <c r="R705"/>
      <c r="S705"/>
      <c r="T705"/>
      <c r="U705"/>
      <c r="V705"/>
      <c r="W705"/>
      <c r="X705"/>
      <c r="Y705"/>
      <c r="Z705"/>
      <c r="AA705"/>
      <c r="AB705"/>
      <c r="AC705"/>
      <c r="AD705"/>
      <c r="AE705"/>
      <c r="AF705"/>
    </row>
    <row r="706" spans="1:32" x14ac:dyDescent="0.25">
      <c r="A706"/>
      <c r="B706"/>
      <c r="C706"/>
      <c r="D706"/>
      <c r="E706"/>
      <c r="F706"/>
      <c r="G706"/>
      <c r="H706"/>
      <c r="I706"/>
      <c r="J706"/>
      <c r="K706"/>
      <c r="L706"/>
      <c r="M706"/>
      <c r="N706"/>
      <c r="O706"/>
      <c r="P706"/>
      <c r="Q706"/>
      <c r="R706"/>
      <c r="S706"/>
      <c r="T706"/>
      <c r="U706"/>
      <c r="V706"/>
      <c r="W706"/>
      <c r="X706"/>
      <c r="Y706"/>
      <c r="Z706"/>
      <c r="AA706"/>
      <c r="AB706"/>
      <c r="AC706"/>
      <c r="AD706"/>
      <c r="AE706"/>
      <c r="AF706"/>
    </row>
    <row r="707" spans="1:32" x14ac:dyDescent="0.25">
      <c r="A707"/>
      <c r="B707"/>
      <c r="C707"/>
      <c r="D707"/>
      <c r="E707"/>
      <c r="F707"/>
      <c r="G707"/>
      <c r="H707"/>
      <c r="I707"/>
      <c r="J707"/>
      <c r="K707"/>
      <c r="L707"/>
      <c r="M707"/>
      <c r="N707"/>
      <c r="O707"/>
      <c r="P707"/>
      <c r="Q707"/>
      <c r="R707"/>
      <c r="S707"/>
      <c r="T707"/>
      <c r="U707"/>
      <c r="V707"/>
      <c r="W707"/>
      <c r="X707"/>
      <c r="Y707"/>
      <c r="Z707"/>
      <c r="AA707"/>
      <c r="AB707"/>
      <c r="AC707"/>
      <c r="AD707"/>
      <c r="AE707"/>
      <c r="AF707"/>
    </row>
    <row r="708" spans="1:32" x14ac:dyDescent="0.25">
      <c r="A708"/>
      <c r="B708"/>
      <c r="C708"/>
      <c r="D708"/>
      <c r="E708"/>
      <c r="F708"/>
      <c r="G708"/>
      <c r="H708"/>
      <c r="I708"/>
      <c r="J708"/>
      <c r="K708"/>
      <c r="L708"/>
      <c r="M708"/>
      <c r="N708"/>
      <c r="O708"/>
      <c r="P708"/>
      <c r="Q708"/>
      <c r="R708"/>
      <c r="S708"/>
      <c r="T708"/>
      <c r="U708"/>
      <c r="V708"/>
      <c r="W708"/>
      <c r="X708"/>
      <c r="Y708"/>
      <c r="Z708"/>
      <c r="AA708"/>
      <c r="AB708"/>
      <c r="AC708"/>
      <c r="AD708"/>
      <c r="AE708"/>
      <c r="AF708"/>
    </row>
    <row r="709" spans="1:32" x14ac:dyDescent="0.25">
      <c r="A709"/>
      <c r="B709"/>
      <c r="C709"/>
      <c r="D709"/>
      <c r="E709"/>
      <c r="F709"/>
      <c r="G709"/>
      <c r="H709"/>
      <c r="I709"/>
      <c r="J709"/>
      <c r="K709"/>
      <c r="L709"/>
      <c r="M709"/>
      <c r="N709"/>
      <c r="O709"/>
      <c r="P709"/>
      <c r="Q709"/>
      <c r="R709"/>
      <c r="S709"/>
      <c r="T709"/>
      <c r="U709"/>
      <c r="V709"/>
      <c r="W709"/>
      <c r="X709"/>
      <c r="Y709"/>
      <c r="Z709"/>
      <c r="AA709"/>
      <c r="AB709"/>
      <c r="AC709"/>
      <c r="AD709"/>
      <c r="AE709"/>
      <c r="AF709"/>
    </row>
    <row r="710" spans="1:32" x14ac:dyDescent="0.25">
      <c r="A710"/>
      <c r="B710"/>
      <c r="C710"/>
      <c r="D710"/>
      <c r="E710"/>
      <c r="F710"/>
      <c r="G710"/>
      <c r="H710"/>
      <c r="I710"/>
      <c r="J710"/>
      <c r="K710"/>
      <c r="L710"/>
      <c r="M710"/>
      <c r="N710"/>
      <c r="O710"/>
      <c r="P710"/>
      <c r="Q710"/>
      <c r="R710"/>
      <c r="S710"/>
      <c r="T710"/>
      <c r="U710"/>
      <c r="V710"/>
      <c r="W710"/>
      <c r="X710"/>
      <c r="Y710"/>
      <c r="Z710"/>
      <c r="AA710"/>
      <c r="AB710"/>
      <c r="AC710"/>
      <c r="AD710"/>
      <c r="AE710"/>
      <c r="AF710"/>
    </row>
    <row r="711" spans="1:32" x14ac:dyDescent="0.25">
      <c r="A711"/>
      <c r="B711"/>
      <c r="C711"/>
      <c r="D711"/>
      <c r="E711"/>
      <c r="F711"/>
      <c r="G711"/>
      <c r="H711"/>
      <c r="I711"/>
      <c r="J711"/>
      <c r="K711"/>
      <c r="L711"/>
      <c r="M711"/>
      <c r="N711"/>
      <c r="O711"/>
      <c r="P711"/>
      <c r="Q711"/>
      <c r="R711"/>
      <c r="S711"/>
      <c r="T711"/>
      <c r="U711"/>
      <c r="V711"/>
      <c r="W711"/>
      <c r="X711"/>
      <c r="Y711"/>
      <c r="Z711"/>
      <c r="AA711"/>
      <c r="AB711"/>
      <c r="AC711"/>
      <c r="AD711"/>
      <c r="AE711"/>
      <c r="AF711"/>
    </row>
  </sheetData>
  <pageMargins left="0.7" right="0.7" top="0.75" bottom="0.75" header="0.3" footer="0.3"/>
  <pageSetup orientation="portrait" horizontalDpi="4294967295" verticalDpi="4294967295"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072E-DD21-4271-A520-528954498CE0}">
  <dimension ref="A1:T40"/>
  <sheetViews>
    <sheetView zoomScale="70" zoomScaleNormal="70" workbookViewId="0">
      <selection sqref="A1:M1"/>
    </sheetView>
  </sheetViews>
  <sheetFormatPr defaultRowHeight="22.5" customHeight="1" x14ac:dyDescent="0.25"/>
  <cols>
    <col min="1" max="1" width="22.28515625" customWidth="1"/>
    <col min="2" max="2" width="27.140625" customWidth="1"/>
    <col min="3" max="5" width="18" customWidth="1"/>
    <col min="6" max="6" width="19.28515625" bestFit="1" customWidth="1"/>
    <col min="7" max="9" width="18" customWidth="1"/>
    <col min="10" max="11" width="19.28515625" bestFit="1" customWidth="1"/>
    <col min="12" max="12" width="21.140625" customWidth="1"/>
    <col min="13" max="13" width="25" bestFit="1" customWidth="1"/>
    <col min="14" max="14" width="56.28515625" customWidth="1"/>
    <col min="15" max="15" width="22.42578125" bestFit="1" customWidth="1"/>
    <col min="16" max="17" width="15.42578125" bestFit="1" customWidth="1"/>
  </cols>
  <sheetData>
    <row r="1" spans="1:20" ht="36.75" customHeight="1" thickBot="1" x14ac:dyDescent="0.3">
      <c r="A1" s="204" t="s">
        <v>39</v>
      </c>
      <c r="B1" s="205"/>
      <c r="C1" s="205"/>
      <c r="D1" s="205"/>
      <c r="E1" s="205"/>
      <c r="F1" s="205"/>
      <c r="G1" s="205"/>
      <c r="H1" s="205"/>
      <c r="I1" s="205"/>
      <c r="J1" s="205"/>
      <c r="K1" s="205"/>
      <c r="L1" s="205"/>
      <c r="M1" s="206"/>
      <c r="N1" s="191">
        <v>46139</v>
      </c>
      <c r="O1" s="12">
        <v>17</v>
      </c>
    </row>
    <row r="2" spans="1:20" ht="29.25" customHeight="1" thickBot="1" x14ac:dyDescent="0.3">
      <c r="A2" s="193" t="s">
        <v>20</v>
      </c>
      <c r="B2" s="194"/>
      <c r="C2" s="202" t="s">
        <v>2</v>
      </c>
      <c r="D2" s="202"/>
      <c r="E2" s="202"/>
      <c r="F2" s="202"/>
      <c r="G2" s="202"/>
      <c r="H2" s="202"/>
      <c r="I2" s="202"/>
      <c r="J2" s="203"/>
      <c r="K2" s="197" t="s">
        <v>189</v>
      </c>
      <c r="L2" s="197" t="s">
        <v>21</v>
      </c>
      <c r="M2" s="197" t="s">
        <v>186</v>
      </c>
      <c r="N2" s="192"/>
    </row>
    <row r="3" spans="1:20" ht="22.5" customHeight="1" thickBot="1" x14ac:dyDescent="0.3">
      <c r="A3" s="195"/>
      <c r="B3" s="196"/>
      <c r="C3" s="142">
        <v>1</v>
      </c>
      <c r="D3" s="44">
        <f>+C3+1</f>
        <v>2</v>
      </c>
      <c r="E3" s="44">
        <f t="shared" ref="E3:J3" si="0">+D3+1</f>
        <v>3</v>
      </c>
      <c r="F3" s="44">
        <f t="shared" si="0"/>
        <v>4</v>
      </c>
      <c r="G3" s="44">
        <f t="shared" si="0"/>
        <v>5</v>
      </c>
      <c r="H3" s="44">
        <f t="shared" si="0"/>
        <v>6</v>
      </c>
      <c r="I3" s="44">
        <f t="shared" si="0"/>
        <v>7</v>
      </c>
      <c r="J3" s="44">
        <f t="shared" si="0"/>
        <v>8</v>
      </c>
      <c r="K3" s="198"/>
      <c r="L3" s="198"/>
      <c r="M3" s="198"/>
      <c r="N3" s="139" t="s">
        <v>16</v>
      </c>
    </row>
    <row r="4" spans="1:20" ht="36.75" customHeight="1" thickBot="1" x14ac:dyDescent="0.3">
      <c r="A4" s="187" t="s">
        <v>22</v>
      </c>
      <c r="B4" s="188"/>
      <c r="C4" s="143">
        <f>SUMIFS('LD PRO'!$K:$K,'LD PRO'!$C:$C,C$3,'LD PRO'!$AF:$AF,WOR!$O$1)</f>
        <v>0.18333333333333335</v>
      </c>
      <c r="D4" s="89">
        <f>SUMIFS('LD PRO'!$K:$K,'LD PRO'!$C:$C,D$3,'LD PRO'!$AF:$AF,WOR!$O$1)</f>
        <v>0.18333333333333335</v>
      </c>
      <c r="E4" s="89">
        <f>SUMIFS('LD PRO'!$K:$K,'LD PRO'!$C:$C,E$3,'LD PRO'!$AF:$AF,WOR!$O$1)</f>
        <v>0</v>
      </c>
      <c r="F4" s="89">
        <f>SUMIFS('LD PRO'!$K:$K,'LD PRO'!$C:$C,F$3,'LD PRO'!$AF:$AF,WOR!$O$1)</f>
        <v>7.2</v>
      </c>
      <c r="G4" s="89">
        <f>SUMIFS('LD PRO'!$K:$K,'LD PRO'!$C:$C,G$3,'LD PRO'!$AF:$AF,WOR!$O$1)</f>
        <v>4.083333333333333</v>
      </c>
      <c r="H4" s="89">
        <f>SUMIFS('LD PRO'!$K:$K,'LD PRO'!$C:$C,H$3,'LD PRO'!$AF:$AF,WOR!$O$1)</f>
        <v>0.6</v>
      </c>
      <c r="I4" s="89">
        <f>SUMIFS('LD PRO'!$K:$K,'LD PRO'!$C:$C,I$3,'LD PRO'!$AF:$AF,WOR!$O$1)</f>
        <v>0</v>
      </c>
      <c r="J4" s="89">
        <f>SUMIFS('LD PRO'!$K:$K,'LD PRO'!$C:$C,J$3,'LD PRO'!$AF:$AF,WOR!$O$1)</f>
        <v>0.15</v>
      </c>
      <c r="K4" s="89">
        <f>SUM(C4:J4)</f>
        <v>12.399999999999999</v>
      </c>
      <c r="L4" s="199">
        <f>+K4/SUMIFS('LD PRO'!AA:AA,'LD PRO'!AF:AF,WOR!O1)</f>
        <v>1.7514124293785308E-2</v>
      </c>
      <c r="M4" s="90">
        <v>10.17</v>
      </c>
      <c r="N4" s="201" t="s">
        <v>187</v>
      </c>
      <c r="O4" s="36"/>
    </row>
    <row r="5" spans="1:20" ht="36.75" customHeight="1" thickBot="1" x14ac:dyDescent="0.3">
      <c r="A5" s="187" t="s">
        <v>56</v>
      </c>
      <c r="B5" s="188"/>
      <c r="C5" s="144">
        <f>IFERROR(+C4/SUMIFS('LD PRO'!$AA:$AA,'LD PRO'!$AF:$AF,WOR!$O$1,'LD PRO'!$C:$C,WOR!C3),"-")</f>
        <v>2.1825396825396826E-3</v>
      </c>
      <c r="D5" s="130">
        <f>IFERROR(+D4/SUMIFS('LD PRO'!$AA:$AA,'LD PRO'!$AF:$AF,WOR!$O$1,'LD PRO'!$C:$C,WOR!D3),"-")</f>
        <v>1.2731481481481483E-3</v>
      </c>
      <c r="E5" s="130" t="str">
        <f>IFERROR(+E4/SUMIFS('LD PRO'!$AA:$AA,'LD PRO'!$AF:$AF,WOR!$O$1,'LD PRO'!$C:$C,WOR!E3),"-")</f>
        <v>-</v>
      </c>
      <c r="F5" s="130">
        <f>IFERROR(+F4/SUMIFS('LD PRO'!$AA:$AA,'LD PRO'!$AF:$AF,WOR!$O$1,'LD PRO'!$C:$C,WOR!F3),"-")</f>
        <v>5.454545454545455E-2</v>
      </c>
      <c r="G5" s="130">
        <f>IFERROR(+G4/SUMIFS('LD PRO'!$AA:$AA,'LD PRO'!$AF:$AF,WOR!$O$1,'LD PRO'!$C:$C,WOR!G3),"-")</f>
        <v>6.805555555555555E-2</v>
      </c>
      <c r="H5" s="130">
        <f>IFERROR(+H4/SUMIFS('LD PRO'!$AA:$AA,'LD PRO'!$AF:$AF,WOR!$O$1,'LD PRO'!$C:$C,WOR!H3),"-")</f>
        <v>3.5714285714285713E-3</v>
      </c>
      <c r="I5" s="130" t="str">
        <f>IFERROR(+I4/SUMIFS('LD PRO'!$AA:$AA,'LD PRO'!$AF:$AF,WOR!$O$1,'LD PRO'!$C:$C,WOR!I3),"-")</f>
        <v>-</v>
      </c>
      <c r="J5" s="130">
        <f>IFERROR(+J4/SUMIFS('LD PRO'!$AA:$AA,'LD PRO'!$AF:$AF,WOR!$O$1,'LD PRO'!$C:$C,WOR!J3),"-")</f>
        <v>1.25E-3</v>
      </c>
      <c r="K5" s="136"/>
      <c r="L5" s="200"/>
      <c r="M5" s="91">
        <v>9.9000000000000008E-3</v>
      </c>
      <c r="N5" s="201"/>
      <c r="O5" s="29"/>
    </row>
    <row r="6" spans="1:20" ht="36.75" customHeight="1" thickBot="1" x14ac:dyDescent="0.3">
      <c r="A6" s="187" t="s">
        <v>23</v>
      </c>
      <c r="B6" s="188"/>
      <c r="C6" s="145">
        <f>SUMIFS('LD PRO'!$X:$X,'LD PRO'!$C:$C,C$3,'LD PRO'!$AF:$AF,WOR!$O$1)</f>
        <v>0</v>
      </c>
      <c r="D6" s="136">
        <f>SUMIFS('LD PRO'!$X:$X,'LD PRO'!$C:$C,D$3,'LD PRO'!$AF:$AF,WOR!$O$1)</f>
        <v>0</v>
      </c>
      <c r="E6" s="136">
        <f>SUMIFS('LD PRO'!$X:$X,'LD PRO'!$C:$C,E$3,'LD PRO'!$AF:$AF,WOR!$O$1)</f>
        <v>0</v>
      </c>
      <c r="F6" s="136">
        <f>SUMIFS('LD PRO'!$X:$X,'LD PRO'!$C:$C,F$3,'LD PRO'!$AF:$AF,WOR!$O$1)</f>
        <v>1.1666666666666667</v>
      </c>
      <c r="G6" s="136">
        <f>SUMIFS('LD PRO'!$X:$X,'LD PRO'!$C:$C,G$3,'LD PRO'!$AF:$AF,WOR!$O$1)</f>
        <v>0</v>
      </c>
      <c r="H6" s="136">
        <f>SUMIFS('LD PRO'!$X:$X,'LD PRO'!$C:$C,H$3,'LD PRO'!$AF:$AF,WOR!$O$1)</f>
        <v>2.9166666666666665</v>
      </c>
      <c r="I6" s="136">
        <f>SUMIFS('LD PRO'!$X:$X,'LD PRO'!$C:$C,I$3,'LD PRO'!$AF:$AF,WOR!$O$1)</f>
        <v>0</v>
      </c>
      <c r="J6" s="136">
        <f>SUMIFS('LD PRO'!$X:$X,'LD PRO'!$C:$C,J$3,'LD PRO'!$AF:$AF,WOR!$O$1)</f>
        <v>9</v>
      </c>
      <c r="K6" s="136">
        <f>SUM(C6:J6)</f>
        <v>13.083333333333332</v>
      </c>
      <c r="L6" s="211">
        <f>+K6/SUMIFS('LD PRO'!AA:AA,'LD PRO'!AF:AF,WOR!O1)</f>
        <v>1.8479284369114876E-2</v>
      </c>
      <c r="M6" s="92">
        <v>5.67</v>
      </c>
      <c r="N6" s="215" t="s">
        <v>188</v>
      </c>
      <c r="P6" s="36"/>
    </row>
    <row r="7" spans="1:20" ht="36.75" customHeight="1" thickBot="1" x14ac:dyDescent="0.3">
      <c r="A7" s="187" t="s">
        <v>158</v>
      </c>
      <c r="B7" s="188"/>
      <c r="C7" s="146">
        <f>IFERROR(+C6/SUMIFS('LD PRO'!$AA:$AA,'LD PRO'!$AF:$AF,WOR!$O$1,'LD PRO'!$C:$C,WOR!C3),"-")</f>
        <v>0</v>
      </c>
      <c r="D7" s="135">
        <f>IFERROR(+D6/SUMIFS('LD PRO'!$AA:$AA,'LD PRO'!$AF:$AF,WOR!$O$1,'LD PRO'!$C:$C,WOR!D3),"-")</f>
        <v>0</v>
      </c>
      <c r="E7" s="135" t="str">
        <f>IFERROR(+E6/SUMIFS('LD PRO'!$AA:$AA,'LD PRO'!$AF:$AF,WOR!$O$1,'LD PRO'!$C:$C,WOR!E3),"-")</f>
        <v>-</v>
      </c>
      <c r="F7" s="135">
        <f>IFERROR(+F6/SUMIFS('LD PRO'!$AA:$AA,'LD PRO'!$AF:$AF,WOR!$O$1,'LD PRO'!$C:$C,WOR!F3),"-")</f>
        <v>8.8383838383838398E-3</v>
      </c>
      <c r="G7" s="135">
        <f>IFERROR(+G6/SUMIFS('LD PRO'!$AA:$AA,'LD PRO'!$AF:$AF,WOR!$O$1,'LD PRO'!$C:$C,WOR!G3),"-")</f>
        <v>0</v>
      </c>
      <c r="H7" s="135">
        <f>IFERROR(+H6/SUMIFS('LD PRO'!$AA:$AA,'LD PRO'!$AF:$AF,WOR!$O$1,'LD PRO'!$C:$C,WOR!H3),"-")</f>
        <v>1.7361111111111112E-2</v>
      </c>
      <c r="I7" s="135" t="str">
        <f>IFERROR(+I6/SUMIFS('LD PRO'!$AA:$AA,'LD PRO'!$AF:$AF,WOR!$O$1,'LD PRO'!$C:$C,WOR!I3),"-")</f>
        <v>-</v>
      </c>
      <c r="J7" s="135">
        <f>IFERROR(+J6/SUMIFS('LD PRO'!$AA:$AA,'LD PRO'!$AF:$AF,WOR!$O$1,'LD PRO'!$C:$C,WOR!J3),"-")</f>
        <v>7.4999999999999997E-2</v>
      </c>
      <c r="K7" s="136"/>
      <c r="L7" s="211"/>
      <c r="M7" s="91">
        <v>5.4999999999999997E-3</v>
      </c>
      <c r="N7" s="215"/>
      <c r="O7" s="29"/>
    </row>
    <row r="8" spans="1:20" ht="36.75" customHeight="1" thickBot="1" x14ac:dyDescent="0.35">
      <c r="A8" s="187" t="s">
        <v>24</v>
      </c>
      <c r="B8" s="188"/>
      <c r="C8" s="145">
        <f>SUMIFS('LD PRO'!$D:$D,'LD PRO'!$C:$C,C3,'LD PRO'!$AF:$AF,WOR!$O$1)</f>
        <v>1021.1000000000001</v>
      </c>
      <c r="D8" s="136">
        <f>SUMIFS('LD PRO'!$D:$D,'LD PRO'!$C:$C,D3,'LD PRO'!$AF:$AF,WOR!$O$1)</f>
        <v>1578.3</v>
      </c>
      <c r="E8" s="136">
        <f>SUMIFS('LD PRO'!$D:$D,'LD PRO'!$C:$C,E3,'LD PRO'!$AF:$AF,WOR!$O$1)</f>
        <v>0</v>
      </c>
      <c r="F8" s="136">
        <f>SUMIFS('LD PRO'!$D:$D,'LD PRO'!$C:$C,F3,'LD PRO'!$AF:$AF,WOR!$O$1)</f>
        <v>3468.6499999999996</v>
      </c>
      <c r="G8" s="136">
        <f>SUMIFS('LD PRO'!$D:$D,'LD PRO'!$C:$C,G3,'LD PRO'!$AF:$AF,WOR!$O$1)</f>
        <v>985.19999999999993</v>
      </c>
      <c r="H8" s="136">
        <f>SUMIFS('LD PRO'!$D:$D,'LD PRO'!$C:$C,H3,'LD PRO'!$AF:$AF,WOR!$O$1)</f>
        <v>7298.5999999999995</v>
      </c>
      <c r="I8" s="136">
        <f>SUMIFS('LD PRO'!$D:$D,'LD PRO'!$C:$C,I3,'LD PRO'!$AF:$AF,WOR!$O$1)</f>
        <v>0</v>
      </c>
      <c r="J8" s="136">
        <f>SUMIFS('LD PRO'!$D:$D,'LD PRO'!$C:$C,J3,'LD PRO'!$AF:$AF,WOR!$O$1)</f>
        <v>3409.6000000000004</v>
      </c>
      <c r="K8" s="136">
        <f>SUM(C8:J8)</f>
        <v>17761.449999999997</v>
      </c>
      <c r="L8" s="211">
        <f>+$K$8/$K$9</f>
        <v>0.94974413543443492</v>
      </c>
      <c r="M8" s="92">
        <v>30639.57</v>
      </c>
      <c r="N8" s="84"/>
      <c r="O8" s="29">
        <f>+K8-M8</f>
        <v>-12878.120000000003</v>
      </c>
      <c r="P8" t="s">
        <v>49</v>
      </c>
      <c r="Q8">
        <v>220</v>
      </c>
    </row>
    <row r="9" spans="1:20" ht="36.75" customHeight="1" thickBot="1" x14ac:dyDescent="0.4">
      <c r="A9" s="187" t="s">
        <v>48</v>
      </c>
      <c r="B9" s="188"/>
      <c r="C9" s="147">
        <f>SUMIFS('[1]LD PRD'!$AN:$AN,'[1]LD PRD'!$AP:$AP,$O$1,'[1]LD PRD'!$B:$B,C3)-40</f>
        <v>1056</v>
      </c>
      <c r="D9" s="99">
        <f>SUMIFS('[1]LD PRD'!$AN:$AN,'[1]LD PRD'!$AP:$AP,$O$1,'[1]LD PRD'!$B:$B,D3)-40</f>
        <v>1648.9</v>
      </c>
      <c r="E9" s="99">
        <f>SUMIFS('[1]LD PRD'!$AN:$AN,'[1]LD PRD'!$AP:$AP,$O$1,'[1]LD PRD'!$B:$B,E3)</f>
        <v>0</v>
      </c>
      <c r="F9" s="99">
        <f>SUMIFS('[1]LD PRD'!$AN:$AN,'[1]LD PRD'!$AP:$AP,$O$1,'[1]LD PRD'!$B:$B,F3)</f>
        <v>3694.4</v>
      </c>
      <c r="G9" s="99">
        <f>SUMIFS('[1]LD PRD'!$AN:$AN,'[1]LD PRD'!$AP:$AP,$O$1,'[1]LD PRD'!$B:$B,G3)</f>
        <v>1072</v>
      </c>
      <c r="H9" s="99">
        <f>SUMIFS('[1]LD PRD'!$AN:$AN,'[1]LD PRD'!$AP:$AP,$O$1,'[1]LD PRD'!$B:$B,H3)</f>
        <v>7612.7</v>
      </c>
      <c r="I9" s="99">
        <f>SUMIFS('[1]LD PRD'!$AN:$AN,'[1]LD PRD'!$AP:$AP,$O$1,'[1]LD PRD'!$B:$B,I3)</f>
        <v>0</v>
      </c>
      <c r="J9" s="99">
        <f>SUMIFS('[1]LD PRD'!$AN:$AN,'[1]LD PRD'!$AP:$AP,$O$1,'[1]LD PRD'!$B:$B,J3)</f>
        <v>3617.3</v>
      </c>
      <c r="K9" s="99">
        <f>SUM(C9:J9)</f>
        <v>18701.3</v>
      </c>
      <c r="L9" s="211"/>
      <c r="M9" s="92">
        <v>32141</v>
      </c>
      <c r="N9" s="85"/>
      <c r="O9" s="29"/>
      <c r="Q9">
        <f>+K11*Q8</f>
        <v>204600</v>
      </c>
      <c r="T9" s="29"/>
    </row>
    <row r="10" spans="1:20" ht="36.75" customHeight="1" thickBot="1" x14ac:dyDescent="0.3">
      <c r="A10" s="187" t="s">
        <v>26</v>
      </c>
      <c r="B10" s="188"/>
      <c r="C10" s="146">
        <f>IFERROR((C$8/C$9),"--")</f>
        <v>0.96695075757575766</v>
      </c>
      <c r="D10" s="135">
        <f t="shared" ref="D10:J10" si="1">IFERROR((D$8/D$9),"--")</f>
        <v>0.9571835769300745</v>
      </c>
      <c r="E10" s="135" t="str">
        <f t="shared" si="1"/>
        <v>--</v>
      </c>
      <c r="F10" s="135">
        <f t="shared" si="1"/>
        <v>0.93889400173235149</v>
      </c>
      <c r="G10" s="135">
        <f t="shared" si="1"/>
        <v>0.91902985074626864</v>
      </c>
      <c r="H10" s="135">
        <f t="shared" si="1"/>
        <v>0.95874000026271888</v>
      </c>
      <c r="I10" s="135" t="str">
        <f t="shared" si="1"/>
        <v>--</v>
      </c>
      <c r="J10" s="135">
        <f t="shared" si="1"/>
        <v>0.94258148342686543</v>
      </c>
      <c r="K10" s="136"/>
      <c r="L10" s="211"/>
      <c r="M10" s="131">
        <v>0.95330000000000004</v>
      </c>
      <c r="N10" s="186"/>
      <c r="Q10" s="13">
        <f>+K13-Q9</f>
        <v>141360</v>
      </c>
    </row>
    <row r="11" spans="1:20" ht="36.75" customHeight="1" thickBot="1" x14ac:dyDescent="0.3">
      <c r="A11" s="187" t="s">
        <v>27</v>
      </c>
      <c r="B11" s="188"/>
      <c r="C11" s="145">
        <f>SUMIFS('LD PRO'!$E:$E,'LD PRO'!$C:$C,C3,'LD PRO'!$AF:$AF,WOR!$O$1)+C19</f>
        <v>33.818132810102782</v>
      </c>
      <c r="D11" s="136">
        <f>SUMIFS('LD PRO'!$E:$E,'LD PRO'!$C:$C,D3,'LD PRO'!$AF:$AF,WOR!$O$1)+D19</f>
        <v>62.588198035633354</v>
      </c>
      <c r="E11" s="136">
        <f>SUMIFS('LD PRO'!$E:$E,'LD PRO'!$C:$C,E3,'LD PRO'!$AF:$AF,WOR!$O$1)+E19</f>
        <v>0</v>
      </c>
      <c r="F11" s="136">
        <f>SUMIFS('LD PRO'!$E:$E,'LD PRO'!$C:$C,F3,'LD PRO'!$AF:$AF,WOR!$O$1)+F19</f>
        <v>236.60806127878072</v>
      </c>
      <c r="G11" s="136">
        <f>SUMIFS('LD PRO'!$E:$E,'LD PRO'!$C:$C,G3,'LD PRO'!$AF:$AF,WOR!$O$1)+G19</f>
        <v>56.463151938608618</v>
      </c>
      <c r="H11" s="136">
        <f>SUMIFS('LD PRO'!$E:$E,'LD PRO'!$C:$C,H3,'LD PRO'!$AF:$AF,WOR!$O$1)+H19</f>
        <v>371.82070720577428</v>
      </c>
      <c r="I11" s="136">
        <f>SUMIFS('LD PRO'!$E:$E,'LD PRO'!$C:$C,I3,'LD PRO'!$AF:$AF,WOR!$O$1)+I19</f>
        <v>0</v>
      </c>
      <c r="J11" s="136">
        <f>SUMIFS('LD PRO'!$E:$E,'LD PRO'!$C:$C,J3,'LD PRO'!$AF:$AF,WOR!$O$1)+J19</f>
        <v>168.70174873110022</v>
      </c>
      <c r="K11" s="136">
        <f>SUM(C11:J11)</f>
        <v>930</v>
      </c>
      <c r="L11" s="200">
        <f>+$K$11/$K$8</f>
        <v>5.2360589929313209E-2</v>
      </c>
      <c r="M11" s="152">
        <v>2743.8</v>
      </c>
      <c r="N11" s="141"/>
      <c r="P11" t="s">
        <v>50</v>
      </c>
      <c r="Q11">
        <f>+Q10/K8</f>
        <v>7.9588096692556078</v>
      </c>
    </row>
    <row r="12" spans="1:20" ht="36.75" customHeight="1" thickBot="1" x14ac:dyDescent="0.35">
      <c r="A12" s="187" t="s">
        <v>149</v>
      </c>
      <c r="B12" s="188"/>
      <c r="C12" s="144">
        <f>IFERROR((C$11/C$8),"--")</f>
        <v>3.3119315258155695E-2</v>
      </c>
      <c r="D12" s="130">
        <f t="shared" ref="D12:J12" si="2">IFERROR((D$11/D$8),"--")</f>
        <v>3.9655450824072326E-2</v>
      </c>
      <c r="E12" s="130" t="str">
        <f t="shared" si="2"/>
        <v>--</v>
      </c>
      <c r="F12" s="130">
        <f t="shared" si="2"/>
        <v>6.8213299490804999E-2</v>
      </c>
      <c r="G12" s="130">
        <f t="shared" si="2"/>
        <v>5.7311360067609236E-2</v>
      </c>
      <c r="H12" s="130">
        <f t="shared" si="2"/>
        <v>5.09441135568156E-2</v>
      </c>
      <c r="I12" s="130" t="str">
        <f t="shared" si="2"/>
        <v>--</v>
      </c>
      <c r="J12" s="130">
        <f t="shared" si="2"/>
        <v>4.9478457511467684E-2</v>
      </c>
      <c r="K12" s="31"/>
      <c r="L12" s="200"/>
      <c r="M12" s="151">
        <v>8.9599999999999999E-2</v>
      </c>
      <c r="N12" s="87"/>
      <c r="O12" s="81" t="s">
        <v>57</v>
      </c>
    </row>
    <row r="13" spans="1:20" ht="36.75" customHeight="1" thickBot="1" x14ac:dyDescent="0.35">
      <c r="A13" s="187" t="s">
        <v>28</v>
      </c>
      <c r="B13" s="188"/>
      <c r="C13" s="148" cm="1">
        <f t="array" ref="C13">((SUMIFS([2]KWH!$F:$F,[2]KWH!$E:$E,WOR!$O$1)/(COUNT(_xlfn._xlws.FILTER(_xlfn._xlws.FILTER([2]KWH!$A:$F,[2]KWH!$E:$E=WOR!$O$1),{0,0,0,1,0,0}))))*C11)</f>
        <v>12580.345405358235</v>
      </c>
      <c r="D13" s="45" cm="1">
        <f t="array" ref="D13">((SUMIFS([2]KWH!$F:$F,[2]KWH!$E:$E,WOR!$O$1)/(COUNT(_xlfn._xlws.FILTER(_xlfn._xlws.FILTER([2]KWH!$A:$F,[2]KWH!$E:$E=WOR!$O$1),{0,0,0,1,0,0}))))*D11)</f>
        <v>23282.809669255606</v>
      </c>
      <c r="E13" s="45" cm="1">
        <f t="array" ref="E13">((SUMIFS([2]KWH!$F:$F,[2]KWH!$E:$E,WOR!$O$1)/(COUNT(_xlfn._xlws.FILTER(_xlfn._xlws.FILTER([2]KWH!$A:$F,[2]KWH!$E:$E=WOR!$O$1),{0,0,0,1,0,0}))))*E11)</f>
        <v>0</v>
      </c>
      <c r="F13" s="45" cm="1">
        <f t="array" ref="F13">((SUMIFS([2]KWH!$F:$F,[2]KWH!$E:$E,WOR!$O$1)/(COUNT(_xlfn._xlws.FILTER(_xlfn._xlws.FILTER([2]KWH!$A:$F,[2]KWH!$E:$E=WOR!$O$1),{0,0,0,1,0,0}))))*F11)</f>
        <v>88018.198795706427</v>
      </c>
      <c r="G13" s="45" cm="1">
        <f t="array" ref="G13">((SUMIFS([2]KWH!$F:$F,[2]KWH!$E:$E,WOR!$O$1)/(COUNT(_xlfn._xlws.FILTER(_xlfn._xlws.FILTER([2]KWH!$A:$F,[2]KWH!$E:$E=WOR!$O$1),{0,0,0,1,0,0}))))*G11)</f>
        <v>21004.292521162406</v>
      </c>
      <c r="H13" s="45" cm="1">
        <f t="array" ref="H13">((SUMIFS([2]KWH!$F:$F,[2]KWH!$E:$E,WOR!$O$1)/(COUNT(_xlfn._xlws.FILTER(_xlfn._xlws.FILTER([2]KWH!$A:$F,[2]KWH!$E:$E=WOR!$O$1),{0,0,0,1,0,0}))))*H11)</f>
        <v>138317.30308054804</v>
      </c>
      <c r="I13" s="45" cm="1">
        <f t="array" ref="I13">((SUMIFS([2]KWH!$F:$F,[2]KWH!$E:$E,WOR!$O$1)/(COUNT(_xlfn._xlws.FILTER(_xlfn._xlws.FILTER([2]KWH!$A:$F,[2]KWH!$E:$E=WOR!$O$1),{0,0,0,1,0,0}))))*I11)</f>
        <v>0</v>
      </c>
      <c r="J13" s="45" cm="1">
        <f t="array" ref="J13">((SUMIFS([2]KWH!$F:$F,[2]KWH!$E:$E,WOR!$O$1)/(COUNT(_xlfn._xlws.FILTER(_xlfn._xlws.FILTER([2]KWH!$A:$F,[2]KWH!$E:$E=WOR!$O$1),{0,0,0,1,0,0}))))*J11)</f>
        <v>62757.050527969281</v>
      </c>
      <c r="K13" s="45" cm="1">
        <f t="array" ref="K13">((SUMIFS([2]KWH!$F:$F,[2]KWH!$E:$E,WOR!$O$1)/(COUNT(_xlfn._xlws.FILTER(_xlfn._xlws.FILTER([2]KWH!$A:$F,[2]KWH!$E:$E=WOR!$O$1),{0,0,0,1,0,0}))))*K11)</f>
        <v>345960</v>
      </c>
      <c r="L13" s="133">
        <f>+$Q$11</f>
        <v>7.9588096692556078</v>
      </c>
      <c r="M13" s="132">
        <v>13.61</v>
      </c>
      <c r="N13" s="87"/>
      <c r="O13" s="82"/>
    </row>
    <row r="14" spans="1:20" ht="36.75" customHeight="1" thickBot="1" x14ac:dyDescent="0.4">
      <c r="A14" s="187" t="s">
        <v>51</v>
      </c>
      <c r="B14" s="188"/>
      <c r="C14" s="213">
        <f>SUMIFS([2]KWH!$C:$C,[2]KWH!$E:$E,WOR!$O$1)</f>
        <v>11343.5</v>
      </c>
      <c r="D14" s="214"/>
      <c r="E14" s="214"/>
      <c r="F14" s="214"/>
      <c r="G14" s="214"/>
      <c r="H14" s="214"/>
      <c r="I14" s="214"/>
      <c r="J14" s="214"/>
      <c r="K14" s="32"/>
      <c r="L14" s="30"/>
      <c r="M14" s="93"/>
      <c r="N14" s="84"/>
      <c r="O14" s="83">
        <f>+K8+[2]WOR!$J$8</f>
        <v>31617.769999999997</v>
      </c>
      <c r="P14" s="34"/>
      <c r="Q14" s="34"/>
    </row>
    <row r="15" spans="1:20" ht="36.75" customHeight="1" thickBot="1" x14ac:dyDescent="0.4">
      <c r="A15" s="187" t="s">
        <v>53</v>
      </c>
      <c r="B15" s="188"/>
      <c r="C15" s="213">
        <f>+C14*44</f>
        <v>499114</v>
      </c>
      <c r="D15" s="214"/>
      <c r="E15" s="214"/>
      <c r="F15" s="214"/>
      <c r="G15" s="214"/>
      <c r="H15" s="214"/>
      <c r="I15" s="214"/>
      <c r="J15" s="214"/>
      <c r="K15" s="32"/>
      <c r="L15" s="138">
        <f>+$C$15/$K$8</f>
        <v>28.100971485999178</v>
      </c>
      <c r="M15" s="140">
        <v>25.27</v>
      </c>
      <c r="N15" s="84"/>
      <c r="O15" s="39" t="s">
        <v>62</v>
      </c>
      <c r="P15" s="39" t="s">
        <v>59</v>
      </c>
      <c r="Q15" s="39" t="s">
        <v>60</v>
      </c>
    </row>
    <row r="16" spans="1:20" ht="36.75" customHeight="1" thickBot="1" x14ac:dyDescent="0.4">
      <c r="A16" s="189" t="s">
        <v>12</v>
      </c>
      <c r="B16" s="149" t="s">
        <v>30</v>
      </c>
      <c r="C16" s="219">
        <f>((236000)/26)*7</f>
        <v>63538.461538461532</v>
      </c>
      <c r="D16" s="220"/>
      <c r="E16" s="220"/>
      <c r="F16" s="133">
        <f>C16/$K$8</f>
        <v>3.5773240100589501</v>
      </c>
      <c r="G16" s="134" t="s">
        <v>112</v>
      </c>
      <c r="H16" s="220">
        <v>150000</v>
      </c>
      <c r="I16" s="220"/>
      <c r="J16" s="133">
        <f>((H16/26)*7)/K8</f>
        <v>2.2737228877493334</v>
      </c>
      <c r="K16" s="208">
        <f>+F16+J17+J16</f>
        <v>9.5458465904009504</v>
      </c>
      <c r="L16" s="208"/>
      <c r="M16" s="207">
        <v>5.53</v>
      </c>
      <c r="N16" s="141"/>
      <c r="O16" s="38">
        <v>180470.24999800001</v>
      </c>
      <c r="P16" s="38">
        <f>+K8</f>
        <v>17761.449999999997</v>
      </c>
      <c r="Q16" s="35">
        <f>+P16*O18</f>
        <v>101380.12016113018</v>
      </c>
    </row>
    <row r="17" spans="1:17" ht="36.75" customHeight="1" thickBot="1" x14ac:dyDescent="0.4">
      <c r="A17" s="190"/>
      <c r="B17" s="149" t="s">
        <v>31</v>
      </c>
      <c r="C17" s="209" t="s">
        <v>32</v>
      </c>
      <c r="D17" s="210"/>
      <c r="E17" s="208">
        <f>((115500/26)*7)/$K$8</f>
        <v>1.7507666235669865</v>
      </c>
      <c r="F17" s="208"/>
      <c r="G17" s="208"/>
      <c r="H17" s="208"/>
      <c r="I17" s="134" t="s">
        <v>33</v>
      </c>
      <c r="J17" s="133">
        <f>(((128250/26)*7)/K8)+E17</f>
        <v>3.6947996925926665</v>
      </c>
      <c r="K17" s="208"/>
      <c r="L17" s="208"/>
      <c r="M17" s="207"/>
      <c r="N17" s="86">
        <f>+M18+M16+M15+M13</f>
        <v>46.85</v>
      </c>
      <c r="O17" s="38"/>
      <c r="P17" s="39" t="s">
        <v>58</v>
      </c>
      <c r="Q17" s="40" t="s">
        <v>61</v>
      </c>
    </row>
    <row r="18" spans="1:17" ht="36.75" customHeight="1" thickBot="1" x14ac:dyDescent="0.4">
      <c r="A18" s="187" t="s">
        <v>38</v>
      </c>
      <c r="B18" s="188"/>
      <c r="C18" s="218">
        <f>+Q16</f>
        <v>101380.12016113018</v>
      </c>
      <c r="D18" s="216"/>
      <c r="E18" s="216"/>
      <c r="F18" s="217" t="s">
        <v>52</v>
      </c>
      <c r="G18" s="217"/>
      <c r="H18" s="216"/>
      <c r="I18" s="216"/>
      <c r="J18" s="137"/>
      <c r="K18" s="212">
        <f>+(C18+H18)/K8</f>
        <v>5.7078740846682114</v>
      </c>
      <c r="L18" s="212"/>
      <c r="M18" s="94">
        <v>2.44</v>
      </c>
      <c r="N18" s="88">
        <f>+K18+K16+L15+L13</f>
        <v>51.313501830323951</v>
      </c>
      <c r="O18" s="34">
        <f>+O16/O14</f>
        <v>5.7078740846682114</v>
      </c>
      <c r="P18" s="38">
        <f>+[2]WOR!$J$8</f>
        <v>13856.320000000002</v>
      </c>
      <c r="Q18" s="35">
        <f>+P18*O18</f>
        <v>79090.129836869834</v>
      </c>
    </row>
    <row r="19" spans="1:17" ht="22.5" customHeight="1" x14ac:dyDescent="0.25">
      <c r="C19">
        <f>($N$22/$K$8)*C8</f>
        <v>24.318132810102785</v>
      </c>
      <c r="D19">
        <f t="shared" ref="D19:J19" si="3">($N$22/$K$8)*D8</f>
        <v>37.588198035633354</v>
      </c>
      <c r="E19">
        <f t="shared" si="3"/>
        <v>0</v>
      </c>
      <c r="F19">
        <f t="shared" si="3"/>
        <v>82.608061278780738</v>
      </c>
      <c r="G19">
        <f t="shared" si="3"/>
        <v>23.463151938608618</v>
      </c>
      <c r="H19">
        <f t="shared" si="3"/>
        <v>173.82070720577431</v>
      </c>
      <c r="I19">
        <f t="shared" si="3"/>
        <v>0</v>
      </c>
      <c r="J19">
        <f t="shared" si="3"/>
        <v>81.201748731100238</v>
      </c>
    </row>
    <row r="20" spans="1:17" ht="22.5" customHeight="1" x14ac:dyDescent="0.25">
      <c r="C20" s="36"/>
      <c r="K20">
        <v>1626</v>
      </c>
    </row>
    <row r="21" spans="1:17" ht="22.5" customHeight="1" x14ac:dyDescent="0.35">
      <c r="D21" s="37"/>
      <c r="G21">
        <v>82795</v>
      </c>
      <c r="M21" s="95" t="s">
        <v>151</v>
      </c>
      <c r="N21" s="95">
        <v>930</v>
      </c>
      <c r="O21" s="96">
        <f>+N21-K11</f>
        <v>0</v>
      </c>
    </row>
    <row r="22" spans="1:17" ht="22.5" customHeight="1" x14ac:dyDescent="0.35">
      <c r="D22" s="36"/>
      <c r="G22">
        <f>+G21/2</f>
        <v>41397.5</v>
      </c>
      <c r="I22">
        <f>429960/2</f>
        <v>214980</v>
      </c>
      <c r="M22" s="95" t="s">
        <v>152</v>
      </c>
      <c r="N22" s="96">
        <v>423</v>
      </c>
      <c r="O22" s="95"/>
    </row>
    <row r="23" spans="1:17" ht="22.5" customHeight="1" x14ac:dyDescent="0.25">
      <c r="K23" s="29"/>
    </row>
    <row r="24" spans="1:17" ht="22.5" customHeight="1" x14ac:dyDescent="0.35">
      <c r="K24" s="33" t="s">
        <v>54</v>
      </c>
      <c r="L24" s="33">
        <v>97295</v>
      </c>
    </row>
    <row r="25" spans="1:17" ht="22.5" customHeight="1" x14ac:dyDescent="0.35">
      <c r="K25" s="33" t="s">
        <v>55</v>
      </c>
      <c r="L25" s="33">
        <v>5074</v>
      </c>
    </row>
    <row r="39" spans="4:4" ht="22.5" customHeight="1" x14ac:dyDescent="0.25">
      <c r="D39">
        <f>35000*20%</f>
        <v>7000</v>
      </c>
    </row>
    <row r="40" spans="4:4" ht="22.5" customHeight="1" x14ac:dyDescent="0.25">
      <c r="D40">
        <f>+D39+35000</f>
        <v>42000</v>
      </c>
    </row>
  </sheetData>
  <mergeCells count="39">
    <mergeCell ref="K18:L18"/>
    <mergeCell ref="K16:L17"/>
    <mergeCell ref="C15:J15"/>
    <mergeCell ref="C14:J14"/>
    <mergeCell ref="N6:N7"/>
    <mergeCell ref="H18:I18"/>
    <mergeCell ref="F18:G18"/>
    <mergeCell ref="C18:E18"/>
    <mergeCell ref="C16:E16"/>
    <mergeCell ref="H16:I16"/>
    <mergeCell ref="A6:B6"/>
    <mergeCell ref="M16:M17"/>
    <mergeCell ref="E17:H17"/>
    <mergeCell ref="C17:D17"/>
    <mergeCell ref="L6:L7"/>
    <mergeCell ref="A7:B7"/>
    <mergeCell ref="L8:L10"/>
    <mergeCell ref="A11:B11"/>
    <mergeCell ref="L11:L12"/>
    <mergeCell ref="A12:B12"/>
    <mergeCell ref="A9:B9"/>
    <mergeCell ref="A10:B10"/>
    <mergeCell ref="A8:B8"/>
    <mergeCell ref="N1:N2"/>
    <mergeCell ref="A2:B3"/>
    <mergeCell ref="K2:K3"/>
    <mergeCell ref="L2:L3"/>
    <mergeCell ref="A4:B4"/>
    <mergeCell ref="L4:L5"/>
    <mergeCell ref="A5:B5"/>
    <mergeCell ref="M2:M3"/>
    <mergeCell ref="N4:N5"/>
    <mergeCell ref="C2:J2"/>
    <mergeCell ref="A1:M1"/>
    <mergeCell ref="A18:B18"/>
    <mergeCell ref="A13:B13"/>
    <mergeCell ref="A14:B14"/>
    <mergeCell ref="A15:B15"/>
    <mergeCell ref="A16:A17"/>
  </mergeCells>
  <phoneticPr fontId="9" type="noConversion"/>
  <conditionalFormatting sqref="C5:J5">
    <cfRule type="cellIs" dxfId="43" priority="26" operator="lessThan">
      <formula>0.02</formula>
    </cfRule>
    <cfRule type="cellIs" dxfId="42" priority="27" operator="greaterThan">
      <formula>0.02</formula>
    </cfRule>
  </conditionalFormatting>
  <conditionalFormatting sqref="C7:J7">
    <cfRule type="cellIs" dxfId="41" priority="28" operator="lessThan">
      <formula>0.03</formula>
    </cfRule>
    <cfRule type="cellIs" dxfId="40" priority="29" operator="greaterThan">
      <formula>0.03</formula>
    </cfRule>
  </conditionalFormatting>
  <conditionalFormatting sqref="C10:J10">
    <cfRule type="cellIs" dxfId="39" priority="20" operator="lessThan">
      <formula>0.95</formula>
    </cfRule>
    <cfRule type="cellIs" dxfId="38" priority="21" operator="greaterThan">
      <formula>0.95</formula>
    </cfRule>
  </conditionalFormatting>
  <conditionalFormatting sqref="C12:J12">
    <cfRule type="cellIs" dxfId="37" priority="16" operator="lessThan">
      <formula>4.5%</formula>
    </cfRule>
    <cfRule type="cellIs" dxfId="36" priority="17" operator="greaterThan">
      <formula>4.5%</formula>
    </cfRule>
  </conditionalFormatting>
  <conditionalFormatting sqref="L4">
    <cfRule type="cellIs" dxfId="35" priority="24" operator="lessThan">
      <formula>0.02</formula>
    </cfRule>
    <cfRule type="cellIs" dxfId="34" priority="25" operator="greaterThan">
      <formula>0.02</formula>
    </cfRule>
  </conditionalFormatting>
  <conditionalFormatting sqref="L6">
    <cfRule type="cellIs" dxfId="33" priority="22" operator="lessThan">
      <formula>1.5%</formula>
    </cfRule>
    <cfRule type="cellIs" dxfId="32" priority="23" operator="greaterThan">
      <formula>1.5%</formula>
    </cfRule>
  </conditionalFormatting>
  <conditionalFormatting sqref="L8">
    <cfRule type="cellIs" dxfId="31" priority="14" operator="lessThan">
      <formula>0.95</formula>
    </cfRule>
    <cfRule type="cellIs" dxfId="30" priority="15" operator="greaterThan">
      <formula>0.95</formula>
    </cfRule>
  </conditionalFormatting>
  <conditionalFormatting sqref="L11">
    <cfRule type="cellIs" dxfId="29" priority="4" operator="lessThan">
      <formula>4.5%</formula>
    </cfRule>
    <cfRule type="cellIs" dxfId="28" priority="5" operator="greaterThan">
      <formula>4.5%</formula>
    </cfRule>
  </conditionalFormatting>
  <conditionalFormatting sqref="L15:M15">
    <cfRule type="cellIs" dxfId="27" priority="12" operator="greaterThan">
      <formula>26</formula>
    </cfRule>
  </conditionalFormatting>
  <conditionalFormatting sqref="M5">
    <cfRule type="cellIs" dxfId="26" priority="8" operator="lessThan">
      <formula>0.02</formula>
    </cfRule>
    <cfRule type="cellIs" dxfId="25" priority="9" operator="greaterThan">
      <formula>0.02</formula>
    </cfRule>
  </conditionalFormatting>
  <conditionalFormatting sqref="M10">
    <cfRule type="cellIs" dxfId="24" priority="3" operator="greaterThan">
      <formula>0.95</formula>
    </cfRule>
    <cfRule type="cellIs" dxfId="23" priority="6" operator="lessThan">
      <formula>95</formula>
    </cfRule>
    <cfRule type="cellIs" dxfId="22" priority="7" operator="greaterThan">
      <formula>95</formula>
    </cfRule>
  </conditionalFormatting>
  <conditionalFormatting sqref="M12">
    <cfRule type="cellIs" dxfId="21" priority="1" operator="lessThan">
      <formula>4.5%</formula>
    </cfRule>
    <cfRule type="cellIs" dxfId="20" priority="2" operator="greaterThan">
      <formula>4.5%</formula>
    </cfRule>
  </conditionalFormatting>
  <pageMargins left="0.7" right="0.7" top="0.75" bottom="0.75" header="0.3" footer="0.3"/>
  <pageSetup scale="6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CF4E-DDAF-4B74-9BD0-F2449A330593}">
  <sheetPr>
    <pageSetUpPr fitToPage="1"/>
  </sheetPr>
  <dimension ref="A1:AA31"/>
  <sheetViews>
    <sheetView tabSelected="1" topLeftCell="A2" zoomScale="40" zoomScaleNormal="40" workbookViewId="0">
      <selection sqref="A1:X25"/>
    </sheetView>
  </sheetViews>
  <sheetFormatPr defaultRowHeight="52.5" customHeight="1" x14ac:dyDescent="0.25"/>
  <cols>
    <col min="1" max="1" width="33.28515625" bestFit="1" customWidth="1"/>
    <col min="2" max="2" width="89.5703125" customWidth="1"/>
    <col min="3" max="5" width="39.85546875" bestFit="1" customWidth="1"/>
    <col min="6" max="6" width="39.85546875" customWidth="1"/>
    <col min="7" max="7" width="42" bestFit="1" customWidth="1"/>
    <col min="8" max="8" width="44.42578125" bestFit="1" customWidth="1"/>
    <col min="9" max="11" width="51.28515625" customWidth="1"/>
    <col min="12" max="12" width="51.28515625" hidden="1" customWidth="1"/>
    <col min="13" max="13" width="42" hidden="1" customWidth="1"/>
    <col min="14" max="16" width="51.28515625" hidden="1" customWidth="1"/>
    <col min="17" max="17" width="42" hidden="1" customWidth="1"/>
    <col min="18" max="20" width="39.85546875" hidden="1" customWidth="1"/>
    <col min="21" max="22" width="26.7109375" hidden="1" customWidth="1"/>
    <col min="23" max="23" width="28.42578125" hidden="1" customWidth="1"/>
    <col min="24" max="24" width="128.85546875" customWidth="1"/>
    <col min="25" max="25" width="12" bestFit="1" customWidth="1"/>
    <col min="26" max="26" width="17.7109375" bestFit="1" customWidth="1"/>
  </cols>
  <sheetData>
    <row r="1" spans="1:27" ht="52.5" customHeight="1" thickBot="1" x14ac:dyDescent="0.3">
      <c r="A1" s="250" t="s">
        <v>96</v>
      </c>
      <c r="B1" s="251"/>
      <c r="C1" s="251"/>
      <c r="D1" s="251"/>
      <c r="E1" s="251"/>
      <c r="F1" s="251"/>
      <c r="G1" s="251"/>
      <c r="H1" s="251"/>
      <c r="I1" s="252"/>
      <c r="J1" s="46"/>
      <c r="K1" s="46"/>
      <c r="L1" s="46"/>
      <c r="M1" s="46"/>
      <c r="N1" s="46"/>
      <c r="O1" s="46"/>
      <c r="P1" s="46"/>
      <c r="Q1" s="46"/>
      <c r="R1" s="46"/>
      <c r="S1" s="43"/>
      <c r="T1" s="43"/>
      <c r="U1" s="43"/>
      <c r="V1" s="43"/>
      <c r="W1" s="43"/>
      <c r="X1" s="268">
        <v>46113</v>
      </c>
    </row>
    <row r="2" spans="1:27" ht="52.5" customHeight="1" thickBot="1" x14ac:dyDescent="0.3">
      <c r="A2" s="253" t="s">
        <v>20</v>
      </c>
      <c r="B2" s="254"/>
      <c r="C2" s="257" t="s">
        <v>2</v>
      </c>
      <c r="D2" s="258"/>
      <c r="E2" s="258"/>
      <c r="F2" s="258"/>
      <c r="G2" s="258"/>
      <c r="H2" s="221" t="s">
        <v>101</v>
      </c>
      <c r="I2" s="259" t="s">
        <v>21</v>
      </c>
      <c r="J2" s="221" t="s">
        <v>102</v>
      </c>
      <c r="K2" s="221" t="s">
        <v>103</v>
      </c>
      <c r="L2" s="221" t="s">
        <v>159</v>
      </c>
      <c r="M2" s="284" t="s">
        <v>157</v>
      </c>
      <c r="N2" s="284" t="s">
        <v>155</v>
      </c>
      <c r="O2" s="284" t="s">
        <v>120</v>
      </c>
      <c r="P2" s="284" t="s">
        <v>153</v>
      </c>
      <c r="Q2" s="270" t="s">
        <v>97</v>
      </c>
      <c r="R2" s="270" t="s">
        <v>98</v>
      </c>
      <c r="S2" s="270" t="s">
        <v>99</v>
      </c>
      <c r="T2" s="270" t="s">
        <v>100</v>
      </c>
      <c r="U2" s="272" t="s">
        <v>101</v>
      </c>
      <c r="V2" s="272" t="s">
        <v>102</v>
      </c>
      <c r="W2" s="272" t="s">
        <v>103</v>
      </c>
      <c r="X2" s="269"/>
    </row>
    <row r="3" spans="1:27" ht="52.5" customHeight="1" thickBot="1" x14ac:dyDescent="0.3">
      <c r="A3" s="255"/>
      <c r="B3" s="256"/>
      <c r="C3" s="116">
        <v>14</v>
      </c>
      <c r="D3" s="107">
        <f>+C3+1</f>
        <v>15</v>
      </c>
      <c r="E3" s="107">
        <f>+D3+1</f>
        <v>16</v>
      </c>
      <c r="F3" s="107">
        <f>+E3+1</f>
        <v>17</v>
      </c>
      <c r="G3" s="107">
        <f>+F3+1</f>
        <v>18</v>
      </c>
      <c r="H3" s="222"/>
      <c r="I3" s="260"/>
      <c r="J3" s="222"/>
      <c r="K3" s="222"/>
      <c r="L3" s="222"/>
      <c r="M3" s="285"/>
      <c r="N3" s="285"/>
      <c r="O3" s="285"/>
      <c r="P3" s="285"/>
      <c r="Q3" s="275"/>
      <c r="R3" s="271"/>
      <c r="S3" s="271"/>
      <c r="T3" s="271"/>
      <c r="U3" s="274"/>
      <c r="V3" s="274"/>
      <c r="W3" s="273"/>
      <c r="X3" s="185" t="s">
        <v>16</v>
      </c>
    </row>
    <row r="4" spans="1:27" ht="52.5" customHeight="1" thickBot="1" x14ac:dyDescent="0.45">
      <c r="A4" s="231" t="s">
        <v>22</v>
      </c>
      <c r="B4" s="232"/>
      <c r="C4" s="117">
        <f>SUMIFS('LD PRO'!$K:$K,'LD PRO'!$AF:$AF,MOR!C3)</f>
        <v>6.6666666666666661</v>
      </c>
      <c r="D4" s="75">
        <f>SUMIFS('LD PRO'!$K:$K,'LD PRO'!$AF:$AF,MOR!D3)</f>
        <v>2.916666666666667</v>
      </c>
      <c r="E4" s="75">
        <f>SUMIFS('LD PRO'!$K:$K,'LD PRO'!$AF:$AF,MOR!E3)</f>
        <v>10.16666666666667</v>
      </c>
      <c r="F4" s="75">
        <f>SUMIFS('LD PRO'!$K:$K,'LD PRO'!$AF:$AF,MOR!F3)</f>
        <v>12.399999999999999</v>
      </c>
      <c r="G4" s="75">
        <f>SUMIFS('LD PRO'!$K:$K,'LD PRO'!$AF:$AF,MOR!G3)</f>
        <v>8.9166666666666661</v>
      </c>
      <c r="H4" s="54">
        <f>SUM(C4:G4)</f>
        <v>41.066666666666663</v>
      </c>
      <c r="I4" s="235">
        <f>SUM('LD PRO'!K:K)/SUM('LD PRO'!AA:AA)</f>
        <v>9.9194847020934018E-3</v>
      </c>
      <c r="J4" s="171">
        <v>57.7</v>
      </c>
      <c r="K4" s="171">
        <v>64.8</v>
      </c>
      <c r="L4" s="171">
        <v>56.38</v>
      </c>
      <c r="M4" s="171">
        <v>79.48</v>
      </c>
      <c r="N4" s="105">
        <v>132.15</v>
      </c>
      <c r="O4" s="48">
        <v>93.58</v>
      </c>
      <c r="P4" s="163">
        <v>71.099999999999994</v>
      </c>
      <c r="Q4" s="105">
        <v>34.233333333333334</v>
      </c>
      <c r="R4" s="49">
        <v>68.59</v>
      </c>
      <c r="S4" s="49">
        <v>30.13</v>
      </c>
      <c r="T4" s="49">
        <v>28.3</v>
      </c>
      <c r="U4" s="50">
        <v>27.73</v>
      </c>
      <c r="V4" s="50">
        <v>30.85</v>
      </c>
      <c r="W4" s="50">
        <v>16.03</v>
      </c>
      <c r="X4" s="263" t="s">
        <v>192</v>
      </c>
      <c r="Z4" s="127"/>
    </row>
    <row r="5" spans="1:27" ht="52.5" customHeight="1" thickBot="1" x14ac:dyDescent="0.4">
      <c r="A5" s="231" t="s">
        <v>104</v>
      </c>
      <c r="B5" s="232"/>
      <c r="C5" s="104">
        <f>IFERROR((C4/(SUMIFS('LD PRO'!$AA:$AA,'LD PRO'!$AF:$AF,MOR!C3))),"--")</f>
        <v>8.0515297906602248E-3</v>
      </c>
      <c r="D5" s="98">
        <f>IFERROR((D4/(SUMIFS('LD PRO'!$AA:$AA,'LD PRO'!$AF:$AF,MOR!D3))),"--")</f>
        <v>2.7006172839506176E-3</v>
      </c>
      <c r="E5" s="98">
        <f>IFERROR((E4/(SUMIFS('LD PRO'!$AA:$AA,'LD PRO'!$AF:$AF,MOR!E3))),"--")</f>
        <v>9.851421188630494E-3</v>
      </c>
      <c r="F5" s="98">
        <f>IFERROR((F4/(SUMIFS('LD PRO'!$AA:$AA,'LD PRO'!$AF:$AF,MOR!F3))),"--")</f>
        <v>1.7514124293785308E-2</v>
      </c>
      <c r="G5" s="98">
        <f>IFERROR((G4/(SUMIFS('LD PRO'!$AA:$AA,'LD PRO'!$AF:$AF,MOR!G3))),"--")</f>
        <v>1.8123306233062329E-2</v>
      </c>
      <c r="H5" s="54"/>
      <c r="I5" s="235"/>
      <c r="J5" s="182">
        <v>1.9400000000000001E-2</v>
      </c>
      <c r="K5" s="182">
        <v>1.8100000000000002E-2</v>
      </c>
      <c r="L5" s="182">
        <v>1.55E-2</v>
      </c>
      <c r="M5" s="172">
        <v>2.0799999999999999E-2</v>
      </c>
      <c r="N5" s="167">
        <v>3.4700000000000002E-2</v>
      </c>
      <c r="O5" s="108">
        <v>2.0500000000000001E-2</v>
      </c>
      <c r="P5" s="153">
        <v>2.1100000000000001E-2</v>
      </c>
      <c r="Q5" s="156">
        <v>9.9000000000000008E-3</v>
      </c>
      <c r="R5" s="52">
        <v>2.1700000000000001E-2</v>
      </c>
      <c r="S5" s="51">
        <v>1.23E-2</v>
      </c>
      <c r="T5" s="51">
        <v>8.3999999999999995E-3</v>
      </c>
      <c r="U5" s="53">
        <v>1.15E-2</v>
      </c>
      <c r="V5" s="53">
        <v>1.17E-2</v>
      </c>
      <c r="W5" s="53">
        <v>5.8999999999999999E-3</v>
      </c>
      <c r="X5" s="264"/>
      <c r="Y5" s="129"/>
      <c r="AA5" s="34"/>
    </row>
    <row r="6" spans="1:27" ht="52.5" customHeight="1" thickBot="1" x14ac:dyDescent="0.75">
      <c r="A6" s="231" t="s">
        <v>23</v>
      </c>
      <c r="B6" s="232"/>
      <c r="C6" s="117">
        <f>SUMIFS('LD PRO'!$X:$X,'LD PRO'!$AF:$AF,MOR!C3)</f>
        <v>19</v>
      </c>
      <c r="D6" s="75">
        <f>SUMIFS('LD PRO'!$X:$X,'LD PRO'!$AF:$AF,MOR!D3)</f>
        <v>2.833333333333333</v>
      </c>
      <c r="E6" s="75">
        <f>SUMIFS('LD PRO'!$X:$X,'LD PRO'!$AF:$AF,MOR!E3)</f>
        <v>5.6666666666666661</v>
      </c>
      <c r="F6" s="75">
        <f>SUMIFS('LD PRO'!$X:$X,'LD PRO'!$AF:$AF,MOR!F3)</f>
        <v>13.083333333333334</v>
      </c>
      <c r="G6" s="75">
        <f>SUMIFS('LD PRO'!$X:$X,'LD PRO'!$AF:$AF,MOR!G3)</f>
        <v>1.3833333333333333</v>
      </c>
      <c r="H6" s="54">
        <f>SUM(C6:G6)</f>
        <v>41.966666666666669</v>
      </c>
      <c r="I6" s="240">
        <f>SUM('LD PRO'!X:X)/SUM('LD PRO'!AA:AA)</f>
        <v>1.0136876006441222E-2</v>
      </c>
      <c r="J6" s="173">
        <v>20</v>
      </c>
      <c r="K6" s="173">
        <v>37.630000000000003</v>
      </c>
      <c r="L6" s="173">
        <v>8.4700000000000006</v>
      </c>
      <c r="M6" s="173">
        <v>28.3</v>
      </c>
      <c r="N6" s="157">
        <v>33.270000000000003</v>
      </c>
      <c r="O6" s="54">
        <v>70.53</v>
      </c>
      <c r="P6" s="164">
        <v>73.42</v>
      </c>
      <c r="Q6" s="157">
        <v>70.849999999999994</v>
      </c>
      <c r="R6" s="55">
        <v>75.900000000000006</v>
      </c>
      <c r="S6" s="55">
        <v>36.97</v>
      </c>
      <c r="T6" s="55">
        <v>73</v>
      </c>
      <c r="U6" s="56">
        <v>33.049999999999997</v>
      </c>
      <c r="V6" s="56">
        <v>40.299999999999997</v>
      </c>
      <c r="W6" s="56">
        <v>24.75</v>
      </c>
      <c r="X6" s="265" t="s">
        <v>193</v>
      </c>
      <c r="Y6" s="127"/>
      <c r="Z6" s="76"/>
    </row>
    <row r="7" spans="1:27" ht="52.5" customHeight="1" thickBot="1" x14ac:dyDescent="0.3">
      <c r="A7" s="231" t="s">
        <v>185</v>
      </c>
      <c r="B7" s="232"/>
      <c r="C7" s="103">
        <f>IFERROR((C6/(SUMIFS('LD PRO'!$AA:$AA,'LD PRO'!$AF:$AF,MOR!C3))),"--")</f>
        <v>2.2946859903381644E-2</v>
      </c>
      <c r="D7" s="108">
        <f>IFERROR((D6/(SUMIFS('LD PRO'!$AA:$AA,'LD PRO'!$AF:$AF,MOR!D3))),"--")</f>
        <v>2.6234567901234564E-3</v>
      </c>
      <c r="E7" s="108">
        <f>IFERROR((E6/(SUMIFS('LD PRO'!$AA:$AA,'LD PRO'!$AF:$AF,MOR!E3))),"--")</f>
        <v>5.4909560723514208E-3</v>
      </c>
      <c r="F7" s="108">
        <f>IFERROR((F6/(SUMIFS('LD PRO'!$AA:$AA,'LD PRO'!$AF:$AF,MOR!F3))),"--")</f>
        <v>1.847928436911488E-2</v>
      </c>
      <c r="G7" s="108">
        <f>IFERROR((G6/(SUMIFS('LD PRO'!$AA:$AA,'LD PRO'!$AF:$AF,MOR!G3))),"--")</f>
        <v>2.8116531165311653E-3</v>
      </c>
      <c r="H7" s="54"/>
      <c r="I7" s="240"/>
      <c r="J7" s="174">
        <v>6.7000000000000002E-3</v>
      </c>
      <c r="K7" s="174">
        <v>1.0500000000000001E-2</v>
      </c>
      <c r="L7" s="174">
        <v>2.3E-3</v>
      </c>
      <c r="M7" s="174">
        <v>7.4000000000000003E-3</v>
      </c>
      <c r="N7" s="168">
        <v>8.6999999999999994E-3</v>
      </c>
      <c r="O7" s="98">
        <v>1.54E-2</v>
      </c>
      <c r="P7" s="153">
        <v>2.18E-2</v>
      </c>
      <c r="Q7" s="158">
        <v>2.06E-2</v>
      </c>
      <c r="R7" s="57">
        <v>2.4E-2</v>
      </c>
      <c r="S7" s="57">
        <v>1.5100000000000001E-2</v>
      </c>
      <c r="T7" s="57">
        <v>2.1700000000000001E-2</v>
      </c>
      <c r="U7" s="53">
        <v>1.37E-2</v>
      </c>
      <c r="V7" s="53">
        <v>1.5299999999999999E-2</v>
      </c>
      <c r="W7" s="53">
        <v>9.1000000000000004E-3</v>
      </c>
      <c r="X7" s="266"/>
    </row>
    <row r="8" spans="1:27" ht="52.5" customHeight="1" thickBot="1" x14ac:dyDescent="0.45">
      <c r="A8" s="231" t="s">
        <v>24</v>
      </c>
      <c r="B8" s="232"/>
      <c r="C8" s="118">
        <f>SUMIFS('LD PRO'!$D:$D,'LD PRO'!$AF:$AF,MOR!C3)</f>
        <v>24062.33</v>
      </c>
      <c r="D8" s="47">
        <f>SUMIFS('LD PRO'!$D:$D,'LD PRO'!$AF:$AF,MOR!D3)</f>
        <v>35370.950000000004</v>
      </c>
      <c r="E8" s="47">
        <f>SUMIFS('LD PRO'!$D:$D,'LD PRO'!$AF:$AF,MOR!E3)</f>
        <v>30639.570000000007</v>
      </c>
      <c r="F8" s="47">
        <f>SUMIFS('LD PRO'!$D:$D,'LD PRO'!$AF:$AF,MOR!F3)</f>
        <v>17761.450000000004</v>
      </c>
      <c r="G8" s="47">
        <f>SUMIFS('LD PRO'!$D:$D,'LD PRO'!$AF:$AF,MOR!G3)</f>
        <v>10790.099999999995</v>
      </c>
      <c r="H8" s="47">
        <f>SUM(C8:G8)</f>
        <v>118624.40000000001</v>
      </c>
      <c r="I8" s="240">
        <f>+$H$8/$H$9</f>
        <v>0.95022387748254011</v>
      </c>
      <c r="J8" s="175">
        <v>87392</v>
      </c>
      <c r="K8" s="175">
        <v>108010</v>
      </c>
      <c r="L8" s="175">
        <v>108283</v>
      </c>
      <c r="M8" s="175">
        <v>140403</v>
      </c>
      <c r="N8" s="159">
        <v>136620</v>
      </c>
      <c r="O8" s="47">
        <v>130657</v>
      </c>
      <c r="P8" s="120">
        <v>96689</v>
      </c>
      <c r="Q8" s="159">
        <v>97861.760000000009</v>
      </c>
      <c r="R8" s="47">
        <v>92549</v>
      </c>
      <c r="S8" s="47">
        <v>71426</v>
      </c>
      <c r="T8" s="47">
        <v>99398</v>
      </c>
      <c r="U8" s="58">
        <v>79599</v>
      </c>
      <c r="V8" s="58">
        <v>90537.99</v>
      </c>
      <c r="W8" s="58">
        <v>92723.29</v>
      </c>
      <c r="X8" s="267"/>
      <c r="Y8" s="127"/>
      <c r="Z8" s="127"/>
    </row>
    <row r="9" spans="1:27" ht="52.5" customHeight="1" thickBot="1" x14ac:dyDescent="0.45">
      <c r="A9" s="231" t="s">
        <v>25</v>
      </c>
      <c r="B9" s="232"/>
      <c r="C9" s="118">
        <f>SUMIFS('LD PRO'!$AC:$AC,'LD PRO'!$AF:$AF,MOR!C3)</f>
        <v>25361.399999999998</v>
      </c>
      <c r="D9" s="47">
        <f>SUMIFS('LD PRO'!$AC:$AC,'LD PRO'!$AF:$AF,MOR!D3)-200</f>
        <v>36881.150000000009</v>
      </c>
      <c r="E9" s="47">
        <f>SUMIFS('LD PRO'!$AC:$AC,'LD PRO'!$AF:$AF,MOR!E3)</f>
        <v>32241.149999999994</v>
      </c>
      <c r="F9" s="47">
        <f>SUMIFS('LD PRO'!$AC:$AC,'LD PRO'!$AF:$AF,MOR!F3)</f>
        <v>18781.3</v>
      </c>
      <c r="G9" s="47">
        <f>SUMIFS('LD PRO'!$AC:$AC,'LD PRO'!$AF:$AF,MOR!G3)</f>
        <v>11573.369999999999</v>
      </c>
      <c r="H9" s="47">
        <f>SUM(C9:G9)</f>
        <v>124838.37</v>
      </c>
      <c r="I9" s="240"/>
      <c r="J9" s="175">
        <v>92327</v>
      </c>
      <c r="K9" s="175">
        <v>113970</v>
      </c>
      <c r="L9" s="175">
        <v>114237</v>
      </c>
      <c r="M9" s="175">
        <v>147058</v>
      </c>
      <c r="N9" s="159">
        <v>142377</v>
      </c>
      <c r="O9" s="47">
        <v>136825</v>
      </c>
      <c r="P9" s="120">
        <v>97853</v>
      </c>
      <c r="Q9" s="159">
        <v>99884</v>
      </c>
      <c r="R9" s="47">
        <v>95400</v>
      </c>
      <c r="S9" s="47">
        <v>74050</v>
      </c>
      <c r="T9" s="47">
        <v>101750</v>
      </c>
      <c r="U9" s="58">
        <v>81950</v>
      </c>
      <c r="V9" s="58">
        <v>91750</v>
      </c>
      <c r="W9" s="58">
        <v>94000</v>
      </c>
      <c r="X9" s="10"/>
      <c r="Y9" s="127"/>
    </row>
    <row r="10" spans="1:27" ht="52.5" customHeight="1" thickBot="1" x14ac:dyDescent="0.3">
      <c r="A10" s="231" t="s">
        <v>105</v>
      </c>
      <c r="B10" s="232"/>
      <c r="C10" s="103">
        <f>IFERROR((C$8/C$9),"--")</f>
        <v>0.94877767000244484</v>
      </c>
      <c r="D10" s="108">
        <f>IFERROR((D$8/D$9),"--")</f>
        <v>0.95905225298018082</v>
      </c>
      <c r="E10" s="108">
        <f>IFERROR((E$8/E$9),"--")</f>
        <v>0.95032497289954021</v>
      </c>
      <c r="F10" s="108">
        <f>IFERROR((F$8/F$9),"--")</f>
        <v>0.94569864705851059</v>
      </c>
      <c r="G10" s="108">
        <f>IFERROR((G$8/G$9),"--")</f>
        <v>0.93232135497266533</v>
      </c>
      <c r="H10" s="54"/>
      <c r="I10" s="240"/>
      <c r="J10" s="176">
        <v>0.9466</v>
      </c>
      <c r="K10" s="176">
        <v>0.94769999999999999</v>
      </c>
      <c r="L10" s="176">
        <v>0.94789999999999996</v>
      </c>
      <c r="M10" s="174">
        <v>0.95469999999999999</v>
      </c>
      <c r="N10" s="168">
        <v>0.95960000000000001</v>
      </c>
      <c r="O10" s="98">
        <v>0.95489999999999997</v>
      </c>
      <c r="P10" s="153">
        <v>0.98809999999999998</v>
      </c>
      <c r="Q10" s="156">
        <v>0.9798</v>
      </c>
      <c r="R10" s="51">
        <v>0.97009999999999996</v>
      </c>
      <c r="S10" s="51">
        <v>0.96460000000000001</v>
      </c>
      <c r="T10" s="51">
        <v>0.97689999999999999</v>
      </c>
      <c r="U10" s="53">
        <v>0.97130000000000005</v>
      </c>
      <c r="V10" s="53">
        <f>+V8/V9</f>
        <v>0.98679008174386929</v>
      </c>
      <c r="W10" s="53">
        <f>+W8/W9</f>
        <v>0.9864179787234042</v>
      </c>
      <c r="X10" s="10"/>
    </row>
    <row r="11" spans="1:27" ht="52.5" customHeight="1" thickBot="1" x14ac:dyDescent="0.3">
      <c r="A11" s="231" t="s">
        <v>27</v>
      </c>
      <c r="B11" s="232"/>
      <c r="C11" s="118">
        <f>SUMIFS('LD PRO'!$E:$E,'LD PRO'!$AF:$AF,MOR!C3)+C26</f>
        <v>1383.3727548632492</v>
      </c>
      <c r="D11" s="47">
        <f>SUMIFS('LD PRO'!$E:$E,'LD PRO'!$AF:$AF,MOR!D3)+D26</f>
        <v>1705.2758597725256</v>
      </c>
      <c r="E11" s="47">
        <f>SUMIFS('LD PRO'!$E:$E,'LD PRO'!$AF:$AF,MOR!E3)+E26</f>
        <v>1580.972709661756</v>
      </c>
      <c r="F11" s="47">
        <f>SUMIFS('LD PRO'!$E:$E,'LD PRO'!$AF:$AF,MOR!F3)+F26</f>
        <v>894.79673911943928</v>
      </c>
      <c r="G11" s="47">
        <f>SUMIFS('LD PRO'!$E:$E,'LD PRO'!$AF:$AF,MOR!G3)</f>
        <v>553.5</v>
      </c>
      <c r="H11" s="47">
        <f>SUM(C11:G11)</f>
        <v>6117.9180634169697</v>
      </c>
      <c r="I11" s="235">
        <f>+$H$11/$H$8</f>
        <v>5.1573858863918125E-2</v>
      </c>
      <c r="J11" s="175">
        <v>4874</v>
      </c>
      <c r="K11" s="175">
        <v>5556</v>
      </c>
      <c r="L11" s="175">
        <v>5536</v>
      </c>
      <c r="M11" s="175">
        <v>6802</v>
      </c>
      <c r="N11" s="159">
        <v>8710</v>
      </c>
      <c r="O11" s="47">
        <v>13444</v>
      </c>
      <c r="P11" s="120">
        <v>5918</v>
      </c>
      <c r="Q11" s="159">
        <v>6141.2199999999993</v>
      </c>
      <c r="R11" s="47">
        <v>4664</v>
      </c>
      <c r="S11" s="47">
        <v>4041</v>
      </c>
      <c r="T11" s="47">
        <v>4483</v>
      </c>
      <c r="U11" s="58">
        <v>3186</v>
      </c>
      <c r="V11" s="58">
        <v>6660.2</v>
      </c>
      <c r="W11" s="58">
        <v>3510.9</v>
      </c>
      <c r="X11" s="59"/>
    </row>
    <row r="12" spans="1:27" ht="52.5" customHeight="1" thickBot="1" x14ac:dyDescent="0.8">
      <c r="A12" s="231" t="s">
        <v>106</v>
      </c>
      <c r="B12" s="232"/>
      <c r="C12" s="103">
        <f>IFERROR((C$11/C$8),"--")</f>
        <v>5.7491221958274573E-2</v>
      </c>
      <c r="D12" s="108">
        <f>IFERROR((D$11/D$8),"--")</f>
        <v>4.8211197600644747E-2</v>
      </c>
      <c r="E12" s="98">
        <f>IFERROR((E$11/E$8),"--")</f>
        <v>5.159905017145331E-2</v>
      </c>
      <c r="F12" s="108">
        <f>IFERROR((F$11/F$8),"--")</f>
        <v>5.0378586158193114E-2</v>
      </c>
      <c r="G12" s="98">
        <f>IFERROR((G$11/G$8),"--")</f>
        <v>5.129702227041457E-2</v>
      </c>
      <c r="H12" s="60"/>
      <c r="I12" s="235"/>
      <c r="J12" s="176">
        <v>5.5800000000000002E-2</v>
      </c>
      <c r="K12" s="176">
        <v>5.1400000000000001E-2</v>
      </c>
      <c r="L12" s="176">
        <v>5.11E-2</v>
      </c>
      <c r="M12" s="176">
        <v>4.8399999999999999E-2</v>
      </c>
      <c r="N12" s="167">
        <v>6.3799999999999996E-2</v>
      </c>
      <c r="O12" s="108">
        <v>0.10290000000000001</v>
      </c>
      <c r="P12" s="154">
        <v>6.1199999999999997E-2</v>
      </c>
      <c r="Q12" s="160">
        <v>6.2799999999999995E-2</v>
      </c>
      <c r="R12" s="61">
        <v>5.04E-2</v>
      </c>
      <c r="S12" s="61">
        <v>5.6599999999999998E-2</v>
      </c>
      <c r="T12" s="61">
        <v>4.5100000000000001E-2</v>
      </c>
      <c r="U12" s="62">
        <v>0.04</v>
      </c>
      <c r="V12" s="62">
        <v>7.3599999999999999E-2</v>
      </c>
      <c r="W12" s="62">
        <v>3.7900000000000003E-2</v>
      </c>
      <c r="X12" s="63"/>
    </row>
    <row r="13" spans="1:27" ht="52.5" customHeight="1" thickBot="1" x14ac:dyDescent="0.3">
      <c r="A13" s="231" t="s">
        <v>28</v>
      </c>
      <c r="B13" s="232"/>
      <c r="C13" s="180" cm="1">
        <f t="array" ref="C13">IFERROR(((SUMIFS(KWH!$F:$F,KWH!$E:$E,C3)/(COUNT(_xlfn._xlws.FILTER(_xlfn._xlws.FILTER(KWH!$A:$F,KWH!$E:$E=C3),{0,0,0,0,0,1}))))*C11),"0")</f>
        <v>514614.66480912868</v>
      </c>
      <c r="D13" s="47" cm="1">
        <f t="array" ref="D13">IFERROR(((SUMIFS(KWH!$F:$F,KWH!$E:$E,D3)/(COUNT(_xlfn._xlws.FILTER(_xlfn._xlws.FILTER(KWH!$A:$F,KWH!$E:$E=D3),{0,0,0,0,0,1}))))*D11),"0")</f>
        <v>634362.61983537953</v>
      </c>
      <c r="E13" s="47" cm="1">
        <f t="array" ref="E13">IFERROR(((SUMIFS(KWH!$F:$F,KWH!$E:$E,E3)/(COUNT(_xlfn._xlws.FILTER(_xlfn._xlws.FILTER(KWH!$A:$F,KWH!$E:$E=E3),{0,0,0,0,0,1}))))*E11),"0")</f>
        <v>588121.84799417318</v>
      </c>
      <c r="F13" s="47" cm="1">
        <f t="array" ref="F13">IFERROR(((SUMIFS(KWH!$F:$F,KWH!$E:$E,F3)/(COUNT(_xlfn._xlws.FILTER(_xlfn._xlws.FILTER(KWH!$A:$F,KWH!$E:$E=F3),{0,0,0,0,0,1}))))*F11),"-")</f>
        <v>332864.38695243141</v>
      </c>
      <c r="G13" s="159" cm="1">
        <f t="array" ref="G13">IFERROR(((SUMIFS(KWH!$F:$F,KWH!$E:$E,G3)/(COUNT(_xlfn._xlws.FILTER(_xlfn._xlws.FILTER(KWH!$A:$F,KWH!$E:$E=G3),{0,0,0,0,0,1}))))*G11),"0")</f>
        <v>205902</v>
      </c>
      <c r="H13" s="47">
        <f>SUM(C13:G13)</f>
        <v>2275865.5195911126</v>
      </c>
      <c r="I13" s="119">
        <f>+H29</f>
        <v>7.8392265473155529</v>
      </c>
      <c r="J13" s="177">
        <v>8.48</v>
      </c>
      <c r="K13" s="177">
        <v>7.81</v>
      </c>
      <c r="L13" s="177">
        <v>7.77</v>
      </c>
      <c r="M13" s="177">
        <v>7.36</v>
      </c>
      <c r="N13" s="169">
        <v>9.69</v>
      </c>
      <c r="O13" s="155">
        <v>15.66</v>
      </c>
      <c r="P13" s="119">
        <v>8.6300000000000008</v>
      </c>
      <c r="Q13" s="161">
        <v>8.2799999999999994</v>
      </c>
      <c r="R13" s="64">
        <v>6.65</v>
      </c>
      <c r="S13" s="64">
        <v>8.1999999999999993</v>
      </c>
      <c r="T13" s="64">
        <v>5.95</v>
      </c>
      <c r="U13" s="65">
        <v>6.43</v>
      </c>
      <c r="V13" s="65">
        <v>10.37</v>
      </c>
      <c r="W13" s="65">
        <v>5.34</v>
      </c>
      <c r="X13" s="10"/>
    </row>
    <row r="14" spans="1:27" ht="52.5" customHeight="1" thickBot="1" x14ac:dyDescent="0.3">
      <c r="A14" s="231" t="s">
        <v>154</v>
      </c>
      <c r="B14" s="232"/>
      <c r="C14" s="233">
        <v>1035</v>
      </c>
      <c r="D14" s="234"/>
      <c r="E14" s="234"/>
      <c r="F14" s="234"/>
      <c r="G14" s="234"/>
      <c r="H14" s="109"/>
      <c r="I14" s="235">
        <f>+$C$14/$H$8</f>
        <v>8.7250177872343296E-3</v>
      </c>
      <c r="J14" s="223">
        <v>7.1999999999999995E-2</v>
      </c>
      <c r="K14" s="223">
        <v>1.4E-2</v>
      </c>
      <c r="L14" s="223">
        <v>1.4E-2</v>
      </c>
      <c r="M14" s="223">
        <v>1.4E-2</v>
      </c>
      <c r="N14" s="248">
        <v>1.4E-2</v>
      </c>
      <c r="O14" s="236">
        <v>3.45</v>
      </c>
      <c r="P14" s="119"/>
      <c r="Q14" s="161"/>
      <c r="R14" s="64"/>
      <c r="S14" s="64"/>
      <c r="T14" s="64"/>
      <c r="U14" s="65"/>
      <c r="V14" s="65"/>
      <c r="W14" s="65"/>
      <c r="X14" s="59"/>
    </row>
    <row r="15" spans="1:27" ht="52.5" customHeight="1" thickBot="1" x14ac:dyDescent="0.3">
      <c r="A15" s="231" t="s">
        <v>28</v>
      </c>
      <c r="B15" s="232"/>
      <c r="C15" s="233" cm="1">
        <f t="array" ref="C15">IFERROR(((SUMIFS([2]KWH!$F:$F,[2]KWH!$E:$E,C3)/(COUNT(_xlfn._xlws.FILTER(_xlfn._xlws.FILTER([2]KWH!$A:$F,[2]KWH!$E:$E=C3),{0,0,0,0,0,1}))))*C14),"0")</f>
        <v>385020</v>
      </c>
      <c r="D15" s="234"/>
      <c r="E15" s="234"/>
      <c r="F15" s="234"/>
      <c r="G15" s="234"/>
      <c r="H15" s="109">
        <f>+P29</f>
        <v>1.326202703659618</v>
      </c>
      <c r="I15" s="235"/>
      <c r="J15" s="223"/>
      <c r="K15" s="223"/>
      <c r="L15" s="223"/>
      <c r="M15" s="223"/>
      <c r="N15" s="248"/>
      <c r="O15" s="236"/>
      <c r="P15" s="119"/>
      <c r="Q15" s="161"/>
      <c r="R15" s="64"/>
      <c r="S15" s="64"/>
      <c r="T15" s="64"/>
      <c r="U15" s="65"/>
      <c r="V15" s="65"/>
      <c r="W15" s="65"/>
      <c r="X15" s="10"/>
    </row>
    <row r="16" spans="1:27" ht="52.5" customHeight="1" thickBot="1" x14ac:dyDescent="0.3">
      <c r="A16" s="231" t="s">
        <v>29</v>
      </c>
      <c r="B16" s="232"/>
      <c r="C16" s="181">
        <f>SUMIFS(KWH!$C:$C,KWH!$E:$E,MOR!C3)-1055.6</f>
        <v>17074.760000000002</v>
      </c>
      <c r="D16" s="75">
        <f>SUMIFS(KWH!$C:$C,KWH!$E:$E,MOR!D3)-1055.6</f>
        <v>17382.400000000001</v>
      </c>
      <c r="E16" s="75">
        <f>SUMIFS(KWH!$C:$C,KWH!$E:$E,MOR!E3)-1055.6</f>
        <v>16544.660000000003</v>
      </c>
      <c r="F16" s="75">
        <f>SUMIFS(KWH!$C:$C,KWH!$E:$E,MOR!F3)-1055.6</f>
        <v>10287.9</v>
      </c>
      <c r="G16" s="75">
        <f>SUMIFS(KWH!$C:$C,KWH!$E:$E,MOR!G3)-1055.6</f>
        <v>6072.16</v>
      </c>
      <c r="H16" s="47">
        <f>SUM(C16:G16)</f>
        <v>67361.88</v>
      </c>
      <c r="I16" s="120"/>
      <c r="J16" s="175">
        <v>52514</v>
      </c>
      <c r="K16" s="175">
        <v>64987.7</v>
      </c>
      <c r="L16" s="175">
        <v>65452</v>
      </c>
      <c r="M16" s="175">
        <v>72866</v>
      </c>
      <c r="N16" s="159">
        <v>72055</v>
      </c>
      <c r="O16" s="47">
        <v>75416</v>
      </c>
      <c r="P16" s="120">
        <v>58943</v>
      </c>
      <c r="Q16" s="159">
        <v>59604</v>
      </c>
      <c r="R16" s="47">
        <v>54386</v>
      </c>
      <c r="S16" s="47">
        <v>43049</v>
      </c>
      <c r="T16" s="47">
        <v>61584</v>
      </c>
      <c r="U16" s="58">
        <v>46211</v>
      </c>
      <c r="V16" s="58">
        <v>51018</v>
      </c>
      <c r="W16" s="58">
        <v>53168</v>
      </c>
      <c r="X16" s="67"/>
    </row>
    <row r="17" spans="1:24" ht="52.5" customHeight="1" thickBot="1" x14ac:dyDescent="0.3">
      <c r="A17" s="231" t="s">
        <v>107</v>
      </c>
      <c r="B17" s="232"/>
      <c r="C17" s="118">
        <f t="shared" ref="C17:G17" si="0">+C16*44</f>
        <v>751289.44000000006</v>
      </c>
      <c r="D17" s="47">
        <f t="shared" si="0"/>
        <v>764825.60000000009</v>
      </c>
      <c r="E17" s="47">
        <f t="shared" si="0"/>
        <v>727965.04000000015</v>
      </c>
      <c r="F17" s="47">
        <f t="shared" si="0"/>
        <v>452667.6</v>
      </c>
      <c r="G17" s="47">
        <f t="shared" si="0"/>
        <v>267175.03999999998</v>
      </c>
      <c r="H17" s="47">
        <f>+H16*44</f>
        <v>2963922.72</v>
      </c>
      <c r="I17" s="120"/>
      <c r="J17" s="175">
        <f t="shared" ref="J17:K17" si="1">+J16*44</f>
        <v>2310616</v>
      </c>
      <c r="K17" s="175">
        <f t="shared" si="1"/>
        <v>2859458.8</v>
      </c>
      <c r="L17" s="175">
        <f t="shared" ref="L17:M17" si="2">+L16*44</f>
        <v>2879888</v>
      </c>
      <c r="M17" s="175">
        <f t="shared" si="2"/>
        <v>3206104</v>
      </c>
      <c r="N17" s="159">
        <f t="shared" ref="N17:P17" si="3">+N16*44</f>
        <v>3170420</v>
      </c>
      <c r="O17" s="47">
        <f t="shared" ref="O17" si="4">+O16*44</f>
        <v>3318304</v>
      </c>
      <c r="P17" s="120">
        <f t="shared" si="3"/>
        <v>2593492</v>
      </c>
      <c r="Q17" s="162">
        <v>2622576</v>
      </c>
      <c r="R17" s="66">
        <v>2392962</v>
      </c>
      <c r="S17" s="66">
        <v>1894134</v>
      </c>
      <c r="T17" s="66">
        <v>2709696</v>
      </c>
      <c r="U17" s="68">
        <v>2033284</v>
      </c>
      <c r="V17" s="68">
        <v>2244792</v>
      </c>
      <c r="W17" s="68">
        <f>+W16*44</f>
        <v>2339392</v>
      </c>
      <c r="X17" s="10"/>
    </row>
    <row r="18" spans="1:24" ht="52.5" customHeight="1" thickBot="1" x14ac:dyDescent="0.3">
      <c r="A18" s="231" t="s">
        <v>108</v>
      </c>
      <c r="B18" s="232"/>
      <c r="C18" s="165">
        <f>IFERROR((C17/C8),"-")</f>
        <v>31.222638871630469</v>
      </c>
      <c r="D18" s="109">
        <f t="shared" ref="D18:G18" si="5">IFERROR((D17/D8),"-")</f>
        <v>21.622987225392588</v>
      </c>
      <c r="E18" s="109">
        <f t="shared" si="5"/>
        <v>23.758983562758875</v>
      </c>
      <c r="F18" s="155">
        <f t="shared" si="5"/>
        <v>25.485959761168139</v>
      </c>
      <c r="G18" s="155">
        <f t="shared" si="5"/>
        <v>24.761127329681848</v>
      </c>
      <c r="H18" s="54"/>
      <c r="I18" s="119">
        <f>+H17/H8</f>
        <v>24.985776282113967</v>
      </c>
      <c r="J18" s="177">
        <v>26.44</v>
      </c>
      <c r="K18" s="177">
        <v>26.47</v>
      </c>
      <c r="L18" s="177">
        <v>26.6</v>
      </c>
      <c r="M18" s="178">
        <v>22.83</v>
      </c>
      <c r="N18" s="170">
        <v>23.21</v>
      </c>
      <c r="O18" s="109">
        <v>25.4</v>
      </c>
      <c r="P18" s="119">
        <v>26.82</v>
      </c>
      <c r="Q18" s="161">
        <f>+Q17/Q8</f>
        <v>26.798782282272459</v>
      </c>
      <c r="R18" s="69">
        <v>25.86</v>
      </c>
      <c r="S18" s="70">
        <v>26.52</v>
      </c>
      <c r="T18" s="70">
        <v>27.26</v>
      </c>
      <c r="U18" s="71">
        <v>25.54</v>
      </c>
      <c r="V18" s="71">
        <v>24.79</v>
      </c>
      <c r="W18" s="71">
        <f>+W17/W8</f>
        <v>25.229820900444754</v>
      </c>
      <c r="X18" s="10"/>
    </row>
    <row r="19" spans="1:24" ht="52.5" customHeight="1" thickBot="1" x14ac:dyDescent="0.3">
      <c r="A19" s="237" t="s">
        <v>12</v>
      </c>
      <c r="B19" s="97" t="s">
        <v>30</v>
      </c>
      <c r="C19" s="121">
        <v>5.9167797462255098</v>
      </c>
      <c r="D19" s="110">
        <v>5.6032271625422077</v>
      </c>
      <c r="E19" s="110">
        <v>6.6596508669271142</v>
      </c>
      <c r="F19" s="110">
        <v>9.6115060327396318</v>
      </c>
      <c r="G19" s="110">
        <v>11.119670394176886</v>
      </c>
      <c r="H19" s="111">
        <v>7.17</v>
      </c>
      <c r="I19" s="239">
        <f>+D20+D21+F20+H19</f>
        <v>11.54</v>
      </c>
      <c r="J19" s="224">
        <v>16.239999999999998</v>
      </c>
      <c r="K19" s="224">
        <v>12.03</v>
      </c>
      <c r="L19" s="224">
        <v>8.86</v>
      </c>
      <c r="M19" s="224">
        <v>8.86</v>
      </c>
      <c r="N19" s="249">
        <v>9.23</v>
      </c>
      <c r="O19" s="281">
        <v>9.1999999999999993</v>
      </c>
      <c r="P19" s="278">
        <v>10.33</v>
      </c>
      <c r="Q19" s="277">
        <v>10.31</v>
      </c>
      <c r="R19" s="230">
        <v>9.89</v>
      </c>
      <c r="S19" s="230">
        <v>10.78</v>
      </c>
      <c r="T19" s="230">
        <v>10.130000000000001</v>
      </c>
      <c r="U19" s="261">
        <v>8.6</v>
      </c>
      <c r="V19" s="261">
        <v>8.26</v>
      </c>
      <c r="W19" s="261">
        <v>7.03</v>
      </c>
      <c r="X19" s="10"/>
    </row>
    <row r="20" spans="1:24" ht="52.5" customHeight="1" thickBot="1" x14ac:dyDescent="0.6">
      <c r="A20" s="238"/>
      <c r="B20" s="97" t="s">
        <v>31</v>
      </c>
      <c r="C20" s="122" t="s">
        <v>109</v>
      </c>
      <c r="D20" s="113">
        <v>1.67</v>
      </c>
      <c r="E20" s="112" t="s">
        <v>110</v>
      </c>
      <c r="F20" s="113">
        <v>0.31</v>
      </c>
      <c r="G20" s="72"/>
      <c r="H20" s="72"/>
      <c r="I20" s="239"/>
      <c r="J20" s="224"/>
      <c r="K20" s="224"/>
      <c r="L20" s="224"/>
      <c r="M20" s="224"/>
      <c r="N20" s="249"/>
      <c r="O20" s="281"/>
      <c r="P20" s="278"/>
      <c r="Q20" s="277"/>
      <c r="R20" s="230"/>
      <c r="S20" s="230"/>
      <c r="T20" s="230"/>
      <c r="U20" s="261"/>
      <c r="V20" s="261"/>
      <c r="W20" s="261"/>
      <c r="X20" s="10"/>
    </row>
    <row r="21" spans="1:24" ht="52.5" customHeight="1" x14ac:dyDescent="0.55000000000000004">
      <c r="A21" s="241" t="s">
        <v>111</v>
      </c>
      <c r="B21" s="242"/>
      <c r="C21" s="122" t="s">
        <v>112</v>
      </c>
      <c r="D21" s="113">
        <v>2.39</v>
      </c>
      <c r="E21" s="112" t="s">
        <v>113</v>
      </c>
      <c r="F21" s="114">
        <v>0.76</v>
      </c>
      <c r="G21" s="72"/>
      <c r="H21" s="72"/>
      <c r="I21" s="239"/>
      <c r="J21" s="224"/>
      <c r="K21" s="224"/>
      <c r="L21" s="224"/>
      <c r="M21" s="224"/>
      <c r="N21" s="249"/>
      <c r="O21" s="281"/>
      <c r="P21" s="278"/>
      <c r="Q21" s="277"/>
      <c r="R21" s="230"/>
      <c r="S21" s="230"/>
      <c r="T21" s="230"/>
      <c r="U21" s="261"/>
      <c r="V21" s="261"/>
      <c r="W21" s="261"/>
      <c r="X21" s="10"/>
    </row>
    <row r="22" spans="1:24" ht="52.5" customHeight="1" x14ac:dyDescent="0.55000000000000004">
      <c r="A22" s="243"/>
      <c r="B22" s="244"/>
      <c r="C22" s="122" t="s">
        <v>52</v>
      </c>
      <c r="D22" s="114">
        <v>0.86</v>
      </c>
      <c r="E22" s="112" t="s">
        <v>114</v>
      </c>
      <c r="F22" s="115">
        <v>1.17</v>
      </c>
      <c r="G22" s="72"/>
      <c r="H22" s="72"/>
      <c r="I22" s="247">
        <f>+D24+F21+D23+D22+F22+F23+F24</f>
        <v>3.36</v>
      </c>
      <c r="J22" s="225">
        <v>6</v>
      </c>
      <c r="K22" s="225">
        <v>3.32</v>
      </c>
      <c r="L22" s="225">
        <v>4.08</v>
      </c>
      <c r="M22" s="225">
        <v>4.08</v>
      </c>
      <c r="N22" s="227">
        <v>2.0499999999999998</v>
      </c>
      <c r="O22" s="282">
        <v>5.7</v>
      </c>
      <c r="P22" s="279">
        <v>6.97</v>
      </c>
      <c r="Q22" s="277">
        <v>4.84</v>
      </c>
      <c r="R22" s="230">
        <v>5.73</v>
      </c>
      <c r="S22" s="230">
        <v>7.14</v>
      </c>
      <c r="T22" s="230">
        <v>10.26</v>
      </c>
      <c r="U22" s="261">
        <v>4.8600000000000003</v>
      </c>
      <c r="V22" s="261">
        <v>4.6399999999999997</v>
      </c>
      <c r="W22" s="261">
        <f>0.01+0.11+0.01+0.59+0.05</f>
        <v>0.77</v>
      </c>
      <c r="X22" s="10"/>
    </row>
    <row r="23" spans="1:24" ht="52.5" customHeight="1" x14ac:dyDescent="0.55000000000000004">
      <c r="A23" s="243"/>
      <c r="B23" s="244"/>
      <c r="C23" s="122" t="s">
        <v>115</v>
      </c>
      <c r="D23" s="114"/>
      <c r="E23" s="112" t="s">
        <v>116</v>
      </c>
      <c r="F23" s="114">
        <v>0.56999999999999995</v>
      </c>
      <c r="G23" s="72"/>
      <c r="H23" s="72"/>
      <c r="I23" s="247"/>
      <c r="J23" s="225"/>
      <c r="K23" s="225"/>
      <c r="L23" s="225"/>
      <c r="M23" s="225"/>
      <c r="N23" s="227"/>
      <c r="O23" s="282"/>
      <c r="P23" s="279"/>
      <c r="Q23" s="277"/>
      <c r="R23" s="230"/>
      <c r="S23" s="230"/>
      <c r="T23" s="230"/>
      <c r="U23" s="261"/>
      <c r="V23" s="261"/>
      <c r="W23" s="261"/>
      <c r="X23" s="10"/>
    </row>
    <row r="24" spans="1:24" ht="52.5" customHeight="1" thickBot="1" x14ac:dyDescent="0.6">
      <c r="A24" s="245"/>
      <c r="B24" s="246"/>
      <c r="C24" s="122" t="s">
        <v>117</v>
      </c>
      <c r="D24" s="114"/>
      <c r="E24" s="112" t="s">
        <v>118</v>
      </c>
      <c r="F24" s="114"/>
      <c r="G24" s="72"/>
      <c r="H24" s="72"/>
      <c r="I24" s="247"/>
      <c r="J24" s="226"/>
      <c r="K24" s="226"/>
      <c r="L24" s="226"/>
      <c r="M24" s="226"/>
      <c r="N24" s="228"/>
      <c r="O24" s="283"/>
      <c r="P24" s="280"/>
      <c r="Q24" s="277"/>
      <c r="R24" s="276"/>
      <c r="S24" s="276"/>
      <c r="T24" s="276"/>
      <c r="U24" s="262"/>
      <c r="V24" s="262"/>
      <c r="W24" s="262"/>
      <c r="X24" s="10"/>
    </row>
    <row r="25" spans="1:24" ht="52.5" customHeight="1" thickBot="1" x14ac:dyDescent="0.6">
      <c r="A25" s="187" t="s">
        <v>119</v>
      </c>
      <c r="B25" s="229"/>
      <c r="C25" s="123"/>
      <c r="D25" s="124"/>
      <c r="E25" s="124"/>
      <c r="F25" s="124"/>
      <c r="G25" s="124"/>
      <c r="H25" s="125"/>
      <c r="I25" s="126">
        <f t="shared" ref="I25:P25" si="6">+I22+I19+I18+I13</f>
        <v>47.725002829429521</v>
      </c>
      <c r="J25" s="179">
        <f t="shared" ref="J25:K25" si="7">+J22+J19+J18+J13</f>
        <v>57.16</v>
      </c>
      <c r="K25" s="179">
        <f t="shared" si="7"/>
        <v>49.63</v>
      </c>
      <c r="L25" s="179">
        <f t="shared" si="6"/>
        <v>47.31</v>
      </c>
      <c r="M25" s="179">
        <f t="shared" si="6"/>
        <v>43.129999999999995</v>
      </c>
      <c r="N25" s="106">
        <f t="shared" si="6"/>
        <v>44.18</v>
      </c>
      <c r="O25" s="106">
        <f t="shared" si="6"/>
        <v>55.959999999999994</v>
      </c>
      <c r="P25" s="106">
        <f t="shared" si="6"/>
        <v>52.750000000000007</v>
      </c>
      <c r="Q25" s="73">
        <v>50.24</v>
      </c>
      <c r="R25" s="73">
        <v>48.13</v>
      </c>
      <c r="S25" s="73">
        <v>52.64</v>
      </c>
      <c r="T25" s="73">
        <v>53.6</v>
      </c>
      <c r="U25" s="74">
        <v>45.44</v>
      </c>
      <c r="V25" s="74">
        <f>+V22+V19+V18+V13</f>
        <v>48.059999999999995</v>
      </c>
      <c r="W25" s="74">
        <f>+W22+W19+W18+W13</f>
        <v>38.369820900444751</v>
      </c>
      <c r="X25" s="11"/>
    </row>
    <row r="26" spans="1:24" ht="52.5" customHeight="1" x14ac:dyDescent="0.5">
      <c r="B26" s="128">
        <f>+$D$29/$H$8*C8</f>
        <v>525.36775486324905</v>
      </c>
      <c r="C26" s="128">
        <f>+$D$29/$H$8*C8</f>
        <v>525.36775486324905</v>
      </c>
      <c r="D26" s="128">
        <f t="shared" ref="D26:F26" si="8">+$D$29/$H$8*D8</f>
        <v>772.27585977252568</v>
      </c>
      <c r="E26" s="128">
        <f t="shared" si="8"/>
        <v>668.97270966175597</v>
      </c>
      <c r="F26" s="128">
        <f t="shared" si="8"/>
        <v>387.79673911943922</v>
      </c>
      <c r="G26" s="100" t="s">
        <v>49</v>
      </c>
      <c r="H26" s="100">
        <v>220</v>
      </c>
      <c r="I26" s="100" t="s">
        <v>49</v>
      </c>
      <c r="J26" s="100"/>
      <c r="K26" s="100"/>
      <c r="L26" s="100"/>
      <c r="M26" s="100"/>
      <c r="N26" s="100"/>
      <c r="O26" s="100"/>
      <c r="P26" s="100">
        <v>220</v>
      </c>
    </row>
    <row r="27" spans="1:24" ht="52.5" customHeight="1" x14ac:dyDescent="0.7">
      <c r="C27" s="76"/>
      <c r="G27" s="100"/>
      <c r="H27" s="100">
        <f>+H11*H26</f>
        <v>1345941.9739517334</v>
      </c>
      <c r="I27" s="100"/>
      <c r="J27" s="100"/>
      <c r="K27" s="100"/>
      <c r="L27" s="100"/>
      <c r="M27" s="100"/>
      <c r="N27" s="100"/>
      <c r="O27" s="100"/>
      <c r="P27" s="100">
        <f>+C14*P26</f>
        <v>227700</v>
      </c>
    </row>
    <row r="28" spans="1:24" ht="52.5" customHeight="1" x14ac:dyDescent="0.7">
      <c r="D28" s="183"/>
      <c r="E28" s="183">
        <v>6354</v>
      </c>
      <c r="F28" s="127"/>
      <c r="G28" s="100"/>
      <c r="H28" s="101">
        <f>+H13-H27</f>
        <v>929923.54563937918</v>
      </c>
      <c r="I28" s="100"/>
      <c r="J28" s="100"/>
      <c r="K28" s="100"/>
      <c r="L28" s="100"/>
      <c r="M28" s="100"/>
      <c r="N28" s="100"/>
      <c r="O28" s="100"/>
      <c r="P28" s="101">
        <f>+C15-P27</f>
        <v>157320</v>
      </c>
    </row>
    <row r="29" spans="1:24" ht="52.5" customHeight="1" x14ac:dyDescent="0.7">
      <c r="D29" s="183">
        <v>2590</v>
      </c>
      <c r="E29" s="184">
        <f>+E28-H11</f>
        <v>236.08193658303026</v>
      </c>
      <c r="G29" s="100" t="s">
        <v>50</v>
      </c>
      <c r="H29" s="102">
        <f>+H28/H8</f>
        <v>7.8392265473155529</v>
      </c>
      <c r="I29" s="100" t="s">
        <v>50</v>
      </c>
      <c r="J29" s="100"/>
      <c r="K29" s="100"/>
      <c r="L29" s="100"/>
      <c r="M29" s="100"/>
      <c r="N29" s="100"/>
      <c r="O29" s="100"/>
      <c r="P29" s="102">
        <f>+P28/$H$8</f>
        <v>1.326202703659618</v>
      </c>
    </row>
    <row r="30" spans="1:24" ht="52.5" customHeight="1" x14ac:dyDescent="0.45">
      <c r="D30" s="127"/>
      <c r="E30" s="150"/>
    </row>
    <row r="31" spans="1:24" ht="52.5" customHeight="1" x14ac:dyDescent="0.4">
      <c r="D31" s="127"/>
    </row>
  </sheetData>
  <mergeCells count="83">
    <mergeCell ref="P2:P3"/>
    <mergeCell ref="O2:O3"/>
    <mergeCell ref="N2:N3"/>
    <mergeCell ref="L2:L3"/>
    <mergeCell ref="M2:M3"/>
    <mergeCell ref="P19:P21"/>
    <mergeCell ref="P22:P24"/>
    <mergeCell ref="Q19:Q21"/>
    <mergeCell ref="O19:O21"/>
    <mergeCell ref="O22:O24"/>
    <mergeCell ref="Q2:Q3"/>
    <mergeCell ref="U2:U3"/>
    <mergeCell ref="U22:U24"/>
    <mergeCell ref="U19:U21"/>
    <mergeCell ref="R22:R24"/>
    <mergeCell ref="S22:S24"/>
    <mergeCell ref="S19:S21"/>
    <mergeCell ref="Q22:Q24"/>
    <mergeCell ref="T22:T24"/>
    <mergeCell ref="X1:X2"/>
    <mergeCell ref="R2:R3"/>
    <mergeCell ref="S2:S3"/>
    <mergeCell ref="T2:T3"/>
    <mergeCell ref="W2:W3"/>
    <mergeCell ref="V2:V3"/>
    <mergeCell ref="V22:V24"/>
    <mergeCell ref="W22:W24"/>
    <mergeCell ref="V19:V21"/>
    <mergeCell ref="W19:W21"/>
    <mergeCell ref="X4:X5"/>
    <mergeCell ref="X6:X8"/>
    <mergeCell ref="A1:I1"/>
    <mergeCell ref="A11:B11"/>
    <mergeCell ref="I11:I12"/>
    <mergeCell ref="A12:B12"/>
    <mergeCell ref="I4:I5"/>
    <mergeCell ref="A2:B3"/>
    <mergeCell ref="C2:G2"/>
    <mergeCell ref="H2:H3"/>
    <mergeCell ref="I2:I3"/>
    <mergeCell ref="A4:B4"/>
    <mergeCell ref="A18:B18"/>
    <mergeCell ref="A21:B24"/>
    <mergeCell ref="I22:I24"/>
    <mergeCell ref="N14:N15"/>
    <mergeCell ref="N19:N21"/>
    <mergeCell ref="M19:M21"/>
    <mergeCell ref="A13:B13"/>
    <mergeCell ref="A5:B5"/>
    <mergeCell ref="A7:B7"/>
    <mergeCell ref="A8:B8"/>
    <mergeCell ref="I8:I10"/>
    <mergeCell ref="A9:B9"/>
    <mergeCell ref="A10:B10"/>
    <mergeCell ref="A6:B6"/>
    <mergeCell ref="I6:I7"/>
    <mergeCell ref="N22:N24"/>
    <mergeCell ref="A25:B25"/>
    <mergeCell ref="T19:T21"/>
    <mergeCell ref="A16:B16"/>
    <mergeCell ref="A14:B14"/>
    <mergeCell ref="C14:G14"/>
    <mergeCell ref="A15:B15"/>
    <mergeCell ref="I14:I15"/>
    <mergeCell ref="C15:G15"/>
    <mergeCell ref="O14:O15"/>
    <mergeCell ref="M14:M15"/>
    <mergeCell ref="M22:M24"/>
    <mergeCell ref="A19:A20"/>
    <mergeCell ref="I19:I21"/>
    <mergeCell ref="R19:R21"/>
    <mergeCell ref="A17:B17"/>
    <mergeCell ref="J2:J3"/>
    <mergeCell ref="J14:J15"/>
    <mergeCell ref="J19:J21"/>
    <mergeCell ref="J22:J24"/>
    <mergeCell ref="L14:L15"/>
    <mergeCell ref="L19:L21"/>
    <mergeCell ref="L22:L24"/>
    <mergeCell ref="K14:K15"/>
    <mergeCell ref="K19:K21"/>
    <mergeCell ref="K22:K24"/>
    <mergeCell ref="K2:K3"/>
  </mergeCells>
  <conditionalFormatting sqref="C5:G5">
    <cfRule type="cellIs" dxfId="19" priority="27" operator="lessThan">
      <formula>0.02</formula>
    </cfRule>
    <cfRule type="cellIs" dxfId="18" priority="28" operator="greaterThan">
      <formula>0.02</formula>
    </cfRule>
  </conditionalFormatting>
  <conditionalFormatting sqref="C7:G7">
    <cfRule type="cellIs" dxfId="17" priority="23" operator="lessThan">
      <formula>0.03</formula>
    </cfRule>
    <cfRule type="cellIs" dxfId="16" priority="24" operator="greaterThan">
      <formula>0.03</formula>
    </cfRule>
  </conditionalFormatting>
  <conditionalFormatting sqref="C10:G10">
    <cfRule type="cellIs" dxfId="15" priority="19" operator="lessThan">
      <formula>0.95</formula>
    </cfRule>
    <cfRule type="cellIs" dxfId="14" priority="20" operator="greaterThan">
      <formula>0.95</formula>
    </cfRule>
  </conditionalFormatting>
  <conditionalFormatting sqref="C12:G12">
    <cfRule type="cellIs" dxfId="13" priority="15" operator="lessThan">
      <formula>4.5%</formula>
    </cfRule>
    <cfRule type="cellIs" dxfId="12" priority="16" operator="greaterThan">
      <formula>4.5%</formula>
    </cfRule>
  </conditionalFormatting>
  <conditionalFormatting sqref="I4">
    <cfRule type="cellIs" dxfId="11" priority="25" operator="lessThan">
      <formula>0.02</formula>
    </cfRule>
    <cfRule type="cellIs" dxfId="10" priority="26" operator="greaterThan">
      <formula>0.02</formula>
    </cfRule>
  </conditionalFormatting>
  <conditionalFormatting sqref="I6">
    <cfRule type="cellIs" dxfId="9" priority="21" operator="lessThan">
      <formula>0.03</formula>
    </cfRule>
    <cfRule type="cellIs" dxfId="8" priority="22" operator="greaterThan">
      <formula>0.03</formula>
    </cfRule>
  </conditionalFormatting>
  <conditionalFormatting sqref="I8">
    <cfRule type="cellIs" dxfId="7" priority="17" operator="lessThan">
      <formula>0.95</formula>
    </cfRule>
    <cfRule type="cellIs" dxfId="6" priority="18" operator="greaterThan">
      <formula>0.95</formula>
    </cfRule>
  </conditionalFormatting>
  <conditionalFormatting sqref="I11">
    <cfRule type="cellIs" dxfId="5" priority="13" operator="lessThan">
      <formula>4.5%</formula>
    </cfRule>
    <cfRule type="cellIs" dxfId="4" priority="14" operator="greaterThan">
      <formula>4.5%</formula>
    </cfRule>
  </conditionalFormatting>
  <conditionalFormatting sqref="I14:N14">
    <cfRule type="cellIs" dxfId="3" priority="1" operator="lessThan">
      <formula>4.5%</formula>
    </cfRule>
    <cfRule type="cellIs" dxfId="2" priority="2" operator="greaterThan">
      <formula>4.5%</formula>
    </cfRule>
  </conditionalFormatting>
  <conditionalFormatting sqref="U18:X18">
    <cfRule type="cellIs" dxfId="1" priority="29" operator="lessThan">
      <formula>"Rs. 26/KG"</formula>
    </cfRule>
    <cfRule type="cellIs" dxfId="0" priority="30" operator="greaterThan">
      <formula>"Rs. 26/KG"</formula>
    </cfRule>
  </conditionalFormatting>
  <pageMargins left="0.7" right="0.7" top="1.97" bottom="0.75" header="0.3" footer="0.3"/>
  <pageSetup paperSize="5" scale="2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82AE8-2A99-4A5C-B685-D9B8CE476F8D}">
  <dimension ref="A1:H202"/>
  <sheetViews>
    <sheetView workbookViewId="0">
      <pane ySplit="1" topLeftCell="A168" activePane="bottomLeft" state="frozen"/>
      <selection pane="bottomLeft" activeCell="E198" sqref="E198:E202"/>
    </sheetView>
  </sheetViews>
  <sheetFormatPr defaultRowHeight="15" x14ac:dyDescent="0.25"/>
  <cols>
    <col min="1" max="1" width="9.42578125" style="166" bestFit="1" customWidth="1"/>
    <col min="13" max="13" width="9" customWidth="1"/>
  </cols>
  <sheetData>
    <row r="1" spans="1:7" x14ac:dyDescent="0.25">
      <c r="A1" s="166" t="s">
        <v>1</v>
      </c>
      <c r="B1" t="s">
        <v>160</v>
      </c>
      <c r="C1" t="s">
        <v>161</v>
      </c>
      <c r="D1" t="s">
        <v>15</v>
      </c>
      <c r="E1" t="s">
        <v>162</v>
      </c>
      <c r="F1" t="s">
        <v>163</v>
      </c>
    </row>
    <row r="2" spans="1:7" x14ac:dyDescent="0.25">
      <c r="A2" s="166" t="s">
        <v>164</v>
      </c>
      <c r="B2">
        <v>1945</v>
      </c>
      <c r="C2">
        <v>2272</v>
      </c>
      <c r="D2">
        <v>398</v>
      </c>
      <c r="E2">
        <v>40</v>
      </c>
      <c r="F2">
        <v>372</v>
      </c>
      <c r="G2">
        <v>49</v>
      </c>
    </row>
    <row r="3" spans="1:7" x14ac:dyDescent="0.25">
      <c r="A3" s="166" t="s">
        <v>165</v>
      </c>
      <c r="B3">
        <v>2087</v>
      </c>
      <c r="C3">
        <v>2567</v>
      </c>
      <c r="D3">
        <v>398</v>
      </c>
      <c r="E3">
        <v>40</v>
      </c>
      <c r="F3">
        <v>372</v>
      </c>
    </row>
    <row r="4" spans="1:7" x14ac:dyDescent="0.25">
      <c r="A4" s="166" t="s">
        <v>166</v>
      </c>
      <c r="B4">
        <v>2040</v>
      </c>
      <c r="C4">
        <v>2864</v>
      </c>
      <c r="D4">
        <v>398</v>
      </c>
      <c r="E4">
        <v>40</v>
      </c>
      <c r="F4">
        <v>372</v>
      </c>
    </row>
    <row r="5" spans="1:7" x14ac:dyDescent="0.25">
      <c r="A5" s="166" t="s">
        <v>167</v>
      </c>
      <c r="B5">
        <v>2041</v>
      </c>
      <c r="C5">
        <v>2931</v>
      </c>
      <c r="D5">
        <v>398</v>
      </c>
      <c r="E5">
        <v>40</v>
      </c>
      <c r="F5">
        <v>372</v>
      </c>
    </row>
    <row r="6" spans="1:7" x14ac:dyDescent="0.25">
      <c r="A6" s="166" t="s">
        <v>168</v>
      </c>
      <c r="B6">
        <v>2044.5</v>
      </c>
      <c r="C6">
        <v>2856.5</v>
      </c>
      <c r="D6">
        <v>398</v>
      </c>
      <c r="E6">
        <v>40</v>
      </c>
      <c r="F6">
        <v>372</v>
      </c>
    </row>
    <row r="7" spans="1:7" x14ac:dyDescent="0.25">
      <c r="A7" s="166" t="s">
        <v>169</v>
      </c>
      <c r="B7">
        <v>2021.5</v>
      </c>
      <c r="C7">
        <v>2836.5</v>
      </c>
      <c r="D7">
        <v>398</v>
      </c>
      <c r="E7">
        <v>41</v>
      </c>
      <c r="F7">
        <v>372</v>
      </c>
    </row>
    <row r="8" spans="1:7" x14ac:dyDescent="0.25">
      <c r="A8" s="166" t="s">
        <v>170</v>
      </c>
      <c r="B8">
        <v>2048</v>
      </c>
      <c r="C8">
        <v>3082</v>
      </c>
      <c r="D8">
        <v>398</v>
      </c>
      <c r="E8">
        <v>41</v>
      </c>
      <c r="F8">
        <v>372</v>
      </c>
    </row>
    <row r="9" spans="1:7" x14ac:dyDescent="0.25">
      <c r="A9" s="166" t="s">
        <v>171</v>
      </c>
      <c r="B9">
        <v>1996.5</v>
      </c>
      <c r="C9">
        <v>2762.5</v>
      </c>
      <c r="D9">
        <v>398</v>
      </c>
      <c r="E9">
        <v>41</v>
      </c>
      <c r="F9">
        <v>372</v>
      </c>
    </row>
    <row r="10" spans="1:7" x14ac:dyDescent="0.25">
      <c r="A10" s="166" t="s">
        <v>172</v>
      </c>
      <c r="B10">
        <v>2129</v>
      </c>
      <c r="C10">
        <v>2361</v>
      </c>
      <c r="D10">
        <v>398</v>
      </c>
      <c r="E10">
        <v>41</v>
      </c>
      <c r="F10">
        <v>372</v>
      </c>
    </row>
    <row r="11" spans="1:7" x14ac:dyDescent="0.25">
      <c r="A11" s="166" t="s">
        <v>173</v>
      </c>
      <c r="B11">
        <v>2141.5</v>
      </c>
      <c r="C11">
        <v>2543.5</v>
      </c>
      <c r="D11">
        <v>398</v>
      </c>
      <c r="E11">
        <v>41</v>
      </c>
      <c r="F11">
        <v>372</v>
      </c>
    </row>
    <row r="12" spans="1:7" x14ac:dyDescent="0.25">
      <c r="A12" s="166" t="s">
        <v>174</v>
      </c>
      <c r="B12">
        <v>2009</v>
      </c>
      <c r="C12">
        <v>2336</v>
      </c>
      <c r="D12">
        <v>398</v>
      </c>
      <c r="E12">
        <v>41</v>
      </c>
      <c r="F12">
        <v>372</v>
      </c>
    </row>
    <row r="13" spans="1:7" x14ac:dyDescent="0.25">
      <c r="A13" s="166" t="s">
        <v>175</v>
      </c>
      <c r="B13">
        <v>1625</v>
      </c>
      <c r="C13">
        <v>2339</v>
      </c>
      <c r="D13">
        <v>398</v>
      </c>
      <c r="E13">
        <v>41</v>
      </c>
      <c r="F13">
        <v>372</v>
      </c>
    </row>
    <row r="14" spans="1:7" x14ac:dyDescent="0.25">
      <c r="A14" s="166" t="s">
        <v>176</v>
      </c>
      <c r="B14">
        <v>200.5</v>
      </c>
      <c r="C14">
        <v>2155.5</v>
      </c>
      <c r="D14">
        <v>398</v>
      </c>
      <c r="E14">
        <v>42</v>
      </c>
      <c r="F14">
        <v>372</v>
      </c>
    </row>
    <row r="15" spans="1:7" x14ac:dyDescent="0.25">
      <c r="A15" s="166" t="s">
        <v>177</v>
      </c>
      <c r="B15">
        <v>1530.5</v>
      </c>
      <c r="C15">
        <v>2409.5</v>
      </c>
      <c r="D15">
        <v>398</v>
      </c>
      <c r="E15">
        <v>42</v>
      </c>
      <c r="F15">
        <v>372</v>
      </c>
    </row>
    <row r="16" spans="1:7" x14ac:dyDescent="0.25">
      <c r="A16" s="166" t="s">
        <v>178</v>
      </c>
      <c r="B16">
        <v>2040.5</v>
      </c>
      <c r="C16">
        <v>2382.5</v>
      </c>
      <c r="D16">
        <v>398</v>
      </c>
      <c r="E16">
        <v>42</v>
      </c>
      <c r="F16">
        <v>372</v>
      </c>
    </row>
    <row r="17" spans="1:6" x14ac:dyDescent="0.25">
      <c r="A17" s="166" t="s">
        <v>179</v>
      </c>
      <c r="B17">
        <v>1997.5</v>
      </c>
      <c r="C17">
        <v>2258.5</v>
      </c>
      <c r="D17">
        <v>398</v>
      </c>
      <c r="E17">
        <v>42</v>
      </c>
      <c r="F17">
        <v>372</v>
      </c>
    </row>
    <row r="18" spans="1:6" x14ac:dyDescent="0.25">
      <c r="A18" s="166" t="s">
        <v>180</v>
      </c>
      <c r="B18">
        <v>2188.5</v>
      </c>
      <c r="C18">
        <v>2343.5</v>
      </c>
      <c r="D18">
        <v>398</v>
      </c>
      <c r="E18">
        <v>42</v>
      </c>
      <c r="F18">
        <v>372</v>
      </c>
    </row>
    <row r="19" spans="1:6" x14ac:dyDescent="0.25">
      <c r="A19" s="166" t="s">
        <v>181</v>
      </c>
      <c r="B19">
        <v>2082</v>
      </c>
      <c r="C19">
        <v>2460</v>
      </c>
      <c r="D19">
        <v>398</v>
      </c>
      <c r="E19">
        <v>42</v>
      </c>
      <c r="F19">
        <v>372</v>
      </c>
    </row>
    <row r="20" spans="1:6" x14ac:dyDescent="0.25">
      <c r="A20" s="166" t="s">
        <v>182</v>
      </c>
      <c r="B20">
        <v>1295.5</v>
      </c>
      <c r="C20">
        <v>1945.5</v>
      </c>
      <c r="D20">
        <v>398</v>
      </c>
      <c r="E20">
        <v>42</v>
      </c>
      <c r="F20">
        <v>372</v>
      </c>
    </row>
    <row r="21" spans="1:6" x14ac:dyDescent="0.25">
      <c r="A21" s="166">
        <v>45950</v>
      </c>
      <c r="B21">
        <v>268.74</v>
      </c>
      <c r="C21">
        <v>2841.74</v>
      </c>
      <c r="D21">
        <v>398</v>
      </c>
      <c r="E21">
        <v>43</v>
      </c>
      <c r="F21">
        <v>372</v>
      </c>
    </row>
    <row r="22" spans="1:6" x14ac:dyDescent="0.25">
      <c r="A22" s="166">
        <v>45951</v>
      </c>
      <c r="B22">
        <v>1401.58</v>
      </c>
      <c r="C22">
        <v>3008.58</v>
      </c>
      <c r="D22">
        <v>398</v>
      </c>
      <c r="E22">
        <v>43</v>
      </c>
      <c r="F22">
        <v>372</v>
      </c>
    </row>
    <row r="23" spans="1:6" x14ac:dyDescent="0.25">
      <c r="A23" s="166">
        <v>45952</v>
      </c>
      <c r="B23">
        <v>2077.08</v>
      </c>
      <c r="C23">
        <v>2827.08</v>
      </c>
      <c r="D23">
        <v>398</v>
      </c>
      <c r="E23">
        <v>43</v>
      </c>
      <c r="F23">
        <v>372</v>
      </c>
    </row>
    <row r="24" spans="1:6" x14ac:dyDescent="0.25">
      <c r="A24" s="166">
        <v>45953</v>
      </c>
      <c r="B24">
        <v>2136.2800000000002</v>
      </c>
      <c r="C24">
        <v>3083.28</v>
      </c>
      <c r="D24">
        <v>398</v>
      </c>
      <c r="E24">
        <v>43</v>
      </c>
      <c r="F24">
        <v>372</v>
      </c>
    </row>
    <row r="25" spans="1:6" x14ac:dyDescent="0.25">
      <c r="A25" s="166">
        <v>45954</v>
      </c>
      <c r="B25">
        <v>2195.44</v>
      </c>
      <c r="C25">
        <v>3140.44</v>
      </c>
      <c r="D25">
        <v>398</v>
      </c>
      <c r="E25">
        <v>43</v>
      </c>
      <c r="F25">
        <v>372</v>
      </c>
    </row>
    <row r="26" spans="1:6" x14ac:dyDescent="0.25">
      <c r="A26" s="166">
        <v>45955</v>
      </c>
      <c r="B26">
        <v>1812.82</v>
      </c>
      <c r="C26">
        <v>2870.82</v>
      </c>
      <c r="D26">
        <v>398</v>
      </c>
      <c r="E26">
        <v>43</v>
      </c>
      <c r="F26">
        <v>372</v>
      </c>
    </row>
    <row r="27" spans="1:6" x14ac:dyDescent="0.25">
      <c r="A27" s="166">
        <v>45956</v>
      </c>
      <c r="B27">
        <v>378.12</v>
      </c>
      <c r="C27">
        <v>3051.12</v>
      </c>
      <c r="D27">
        <v>398</v>
      </c>
      <c r="E27">
        <v>43</v>
      </c>
      <c r="F27">
        <v>372</v>
      </c>
    </row>
    <row r="28" spans="1:6" x14ac:dyDescent="0.25">
      <c r="A28" s="166">
        <v>45957</v>
      </c>
      <c r="B28">
        <v>1323.38</v>
      </c>
      <c r="C28">
        <v>3086.38</v>
      </c>
      <c r="D28">
        <v>398</v>
      </c>
      <c r="E28">
        <v>44</v>
      </c>
      <c r="F28">
        <v>372</v>
      </c>
    </row>
    <row r="29" spans="1:6" x14ac:dyDescent="0.25">
      <c r="A29" s="166">
        <v>45958</v>
      </c>
      <c r="B29">
        <v>1463.7</v>
      </c>
      <c r="C29">
        <v>2527.6999999999998</v>
      </c>
      <c r="D29">
        <v>398</v>
      </c>
      <c r="E29">
        <v>44</v>
      </c>
      <c r="F29">
        <v>372</v>
      </c>
    </row>
    <row r="30" spans="1:6" x14ac:dyDescent="0.25">
      <c r="A30" s="166">
        <v>45959</v>
      </c>
      <c r="B30">
        <v>1974.3</v>
      </c>
      <c r="C30">
        <v>2304.3000000000002</v>
      </c>
      <c r="D30">
        <v>398</v>
      </c>
      <c r="E30">
        <v>44</v>
      </c>
      <c r="F30">
        <v>372</v>
      </c>
    </row>
    <row r="31" spans="1:6" x14ac:dyDescent="0.25">
      <c r="A31" s="166">
        <v>45960</v>
      </c>
      <c r="B31">
        <v>2147.7199999999998</v>
      </c>
      <c r="C31">
        <v>2998.72</v>
      </c>
      <c r="D31">
        <v>398</v>
      </c>
      <c r="E31">
        <v>44</v>
      </c>
      <c r="F31">
        <v>372</v>
      </c>
    </row>
    <row r="32" spans="1:6" x14ac:dyDescent="0.25">
      <c r="A32" s="166">
        <v>45961</v>
      </c>
      <c r="B32">
        <v>1924.84</v>
      </c>
      <c r="C32">
        <v>3020.84</v>
      </c>
      <c r="D32">
        <v>398</v>
      </c>
      <c r="E32">
        <v>44</v>
      </c>
      <c r="F32">
        <v>372</v>
      </c>
    </row>
    <row r="33" spans="1:6" x14ac:dyDescent="0.25">
      <c r="A33" s="166">
        <v>45962</v>
      </c>
      <c r="B33">
        <v>1200.3599999999999</v>
      </c>
      <c r="C33">
        <v>2704.36</v>
      </c>
      <c r="D33">
        <v>398</v>
      </c>
      <c r="E33">
        <v>44</v>
      </c>
      <c r="F33">
        <v>372</v>
      </c>
    </row>
    <row r="34" spans="1:6" x14ac:dyDescent="0.25">
      <c r="A34" s="166">
        <v>45963</v>
      </c>
      <c r="B34">
        <v>225.8</v>
      </c>
      <c r="C34">
        <v>2304.8000000000002</v>
      </c>
      <c r="D34">
        <v>398</v>
      </c>
      <c r="E34">
        <v>44</v>
      </c>
      <c r="F34">
        <v>372</v>
      </c>
    </row>
    <row r="35" spans="1:6" x14ac:dyDescent="0.25">
      <c r="A35" s="166">
        <v>45964</v>
      </c>
      <c r="B35">
        <v>233</v>
      </c>
      <c r="C35">
        <v>2046</v>
      </c>
      <c r="D35">
        <v>398</v>
      </c>
      <c r="E35">
        <v>45</v>
      </c>
      <c r="F35">
        <v>372</v>
      </c>
    </row>
    <row r="36" spans="1:6" x14ac:dyDescent="0.25">
      <c r="A36" s="166">
        <v>45965</v>
      </c>
      <c r="B36">
        <v>266.18</v>
      </c>
      <c r="C36">
        <v>1187.18</v>
      </c>
      <c r="D36">
        <v>398</v>
      </c>
      <c r="E36">
        <v>45</v>
      </c>
      <c r="F36">
        <v>372</v>
      </c>
    </row>
    <row r="37" spans="1:6" x14ac:dyDescent="0.25">
      <c r="A37" s="166">
        <v>45966</v>
      </c>
      <c r="B37">
        <v>1396.74</v>
      </c>
      <c r="C37">
        <v>2453.7399999999998</v>
      </c>
      <c r="D37">
        <v>398</v>
      </c>
      <c r="E37">
        <v>45</v>
      </c>
      <c r="F37">
        <v>372</v>
      </c>
    </row>
    <row r="38" spans="1:6" x14ac:dyDescent="0.25">
      <c r="A38" s="166">
        <v>45967</v>
      </c>
      <c r="B38">
        <v>1221.56</v>
      </c>
      <c r="C38">
        <v>2719.56</v>
      </c>
      <c r="D38">
        <v>398</v>
      </c>
      <c r="E38">
        <v>45</v>
      </c>
      <c r="F38">
        <v>372</v>
      </c>
    </row>
    <row r="39" spans="1:6" x14ac:dyDescent="0.25">
      <c r="A39" s="166">
        <v>45968</v>
      </c>
      <c r="B39">
        <v>2062.7800000000002</v>
      </c>
      <c r="C39">
        <v>2717.78</v>
      </c>
      <c r="D39">
        <v>398</v>
      </c>
      <c r="E39">
        <v>45</v>
      </c>
      <c r="F39">
        <v>372</v>
      </c>
    </row>
    <row r="40" spans="1:6" x14ac:dyDescent="0.25">
      <c r="A40" s="166">
        <v>45969</v>
      </c>
      <c r="B40">
        <v>2001.68</v>
      </c>
      <c r="C40">
        <v>2516.6799999999998</v>
      </c>
      <c r="D40">
        <v>398</v>
      </c>
      <c r="E40">
        <v>45</v>
      </c>
      <c r="F40">
        <v>372</v>
      </c>
    </row>
    <row r="41" spans="1:6" x14ac:dyDescent="0.25">
      <c r="A41" s="166">
        <v>45970</v>
      </c>
      <c r="B41">
        <v>2129.06</v>
      </c>
      <c r="C41">
        <v>2508.06</v>
      </c>
      <c r="D41">
        <v>398</v>
      </c>
      <c r="E41">
        <v>45</v>
      </c>
      <c r="F41">
        <v>372</v>
      </c>
    </row>
    <row r="42" spans="1:6" x14ac:dyDescent="0.25">
      <c r="A42" s="166">
        <v>45971</v>
      </c>
      <c r="B42">
        <v>1979.22</v>
      </c>
      <c r="C42">
        <v>2370.2199999999998</v>
      </c>
      <c r="D42">
        <v>398</v>
      </c>
      <c r="E42">
        <v>46</v>
      </c>
      <c r="F42">
        <v>372</v>
      </c>
    </row>
    <row r="43" spans="1:6" x14ac:dyDescent="0.25">
      <c r="A43" s="166">
        <v>45972</v>
      </c>
      <c r="B43">
        <v>256.08</v>
      </c>
      <c r="C43">
        <v>1918.08</v>
      </c>
      <c r="D43">
        <v>398</v>
      </c>
      <c r="E43">
        <v>46</v>
      </c>
      <c r="F43">
        <v>372</v>
      </c>
    </row>
    <row r="44" spans="1:6" x14ac:dyDescent="0.25">
      <c r="A44" s="166">
        <v>45973</v>
      </c>
      <c r="B44">
        <v>2092.7600000000002</v>
      </c>
      <c r="C44">
        <v>2773.76</v>
      </c>
      <c r="D44">
        <v>398</v>
      </c>
      <c r="E44">
        <v>46</v>
      </c>
      <c r="F44">
        <v>372</v>
      </c>
    </row>
    <row r="45" spans="1:6" x14ac:dyDescent="0.25">
      <c r="A45" s="166">
        <v>45974</v>
      </c>
      <c r="B45">
        <v>2263.1799999999998</v>
      </c>
      <c r="C45">
        <v>2899.18</v>
      </c>
      <c r="D45">
        <v>398</v>
      </c>
      <c r="E45">
        <v>46</v>
      </c>
      <c r="F45">
        <v>372</v>
      </c>
    </row>
    <row r="46" spans="1:6" x14ac:dyDescent="0.25">
      <c r="A46" s="166">
        <v>45975</v>
      </c>
      <c r="B46">
        <v>2144.2399999999998</v>
      </c>
      <c r="C46">
        <v>2774.24</v>
      </c>
      <c r="D46">
        <v>398</v>
      </c>
      <c r="E46">
        <v>46</v>
      </c>
      <c r="F46">
        <v>372</v>
      </c>
    </row>
    <row r="47" spans="1:6" x14ac:dyDescent="0.25">
      <c r="A47" s="166">
        <v>45976</v>
      </c>
      <c r="B47">
        <v>2153.9</v>
      </c>
      <c r="C47">
        <v>2631.9</v>
      </c>
      <c r="D47">
        <v>398</v>
      </c>
      <c r="E47">
        <v>46</v>
      </c>
      <c r="F47">
        <v>372</v>
      </c>
    </row>
    <row r="48" spans="1:6" x14ac:dyDescent="0.25">
      <c r="A48" s="166">
        <v>45977</v>
      </c>
      <c r="B48">
        <v>2211.6</v>
      </c>
      <c r="C48">
        <v>2320.6</v>
      </c>
      <c r="D48">
        <v>398</v>
      </c>
      <c r="E48">
        <v>46</v>
      </c>
      <c r="F48">
        <v>372</v>
      </c>
    </row>
    <row r="49" spans="1:6" x14ac:dyDescent="0.25">
      <c r="A49" s="166">
        <v>45978</v>
      </c>
      <c r="B49">
        <v>2215.1999999999998</v>
      </c>
      <c r="C49">
        <v>2420.1999999999998</v>
      </c>
      <c r="D49">
        <v>398</v>
      </c>
      <c r="E49">
        <v>47</v>
      </c>
      <c r="F49">
        <v>372</v>
      </c>
    </row>
    <row r="50" spans="1:6" x14ac:dyDescent="0.25">
      <c r="A50" s="166">
        <v>45979</v>
      </c>
      <c r="B50">
        <v>1807.84</v>
      </c>
      <c r="C50">
        <v>2564.84</v>
      </c>
      <c r="D50">
        <v>398</v>
      </c>
      <c r="E50">
        <v>47</v>
      </c>
      <c r="F50">
        <v>372</v>
      </c>
    </row>
    <row r="51" spans="1:6" x14ac:dyDescent="0.25">
      <c r="A51" s="166">
        <v>45980</v>
      </c>
      <c r="B51">
        <v>1816.28</v>
      </c>
      <c r="C51">
        <v>2637.28</v>
      </c>
      <c r="D51">
        <v>398</v>
      </c>
      <c r="E51">
        <v>47</v>
      </c>
      <c r="F51">
        <v>372</v>
      </c>
    </row>
    <row r="52" spans="1:6" x14ac:dyDescent="0.25">
      <c r="A52" s="166">
        <v>45981</v>
      </c>
      <c r="B52">
        <v>227.84</v>
      </c>
      <c r="C52">
        <v>1440.84</v>
      </c>
      <c r="D52">
        <v>398</v>
      </c>
      <c r="E52">
        <v>47</v>
      </c>
      <c r="F52">
        <v>372</v>
      </c>
    </row>
    <row r="53" spans="1:6" x14ac:dyDescent="0.25">
      <c r="A53" s="166">
        <v>45982</v>
      </c>
      <c r="B53">
        <v>1843.14</v>
      </c>
      <c r="C53">
        <v>2102.14</v>
      </c>
      <c r="D53">
        <v>398</v>
      </c>
      <c r="E53">
        <v>47</v>
      </c>
      <c r="F53">
        <v>372</v>
      </c>
    </row>
    <row r="54" spans="1:6" x14ac:dyDescent="0.25">
      <c r="A54" s="166">
        <v>45983</v>
      </c>
      <c r="B54">
        <v>1794.04</v>
      </c>
      <c r="C54">
        <v>2587.04</v>
      </c>
      <c r="D54">
        <v>398</v>
      </c>
      <c r="E54">
        <v>47</v>
      </c>
      <c r="F54">
        <v>372</v>
      </c>
    </row>
    <row r="55" spans="1:6" x14ac:dyDescent="0.25">
      <c r="A55" s="166">
        <v>45984</v>
      </c>
      <c r="B55">
        <v>1857.9</v>
      </c>
      <c r="C55">
        <v>2326.9</v>
      </c>
      <c r="D55">
        <v>398</v>
      </c>
      <c r="E55">
        <v>47</v>
      </c>
      <c r="F55">
        <v>372</v>
      </c>
    </row>
    <row r="56" spans="1:6" x14ac:dyDescent="0.25">
      <c r="A56" s="166">
        <v>45985</v>
      </c>
      <c r="B56">
        <v>1893.08</v>
      </c>
      <c r="C56">
        <v>2463.08</v>
      </c>
      <c r="D56">
        <v>398</v>
      </c>
      <c r="E56">
        <v>48</v>
      </c>
      <c r="F56">
        <v>372</v>
      </c>
    </row>
    <row r="57" spans="1:6" x14ac:dyDescent="0.25">
      <c r="A57" s="166">
        <v>45986</v>
      </c>
      <c r="B57">
        <v>1764.96</v>
      </c>
      <c r="C57">
        <v>2925.96</v>
      </c>
      <c r="D57">
        <v>398</v>
      </c>
      <c r="E57">
        <v>48</v>
      </c>
      <c r="F57">
        <v>372</v>
      </c>
    </row>
    <row r="58" spans="1:6" x14ac:dyDescent="0.25">
      <c r="A58" s="166">
        <v>45987</v>
      </c>
      <c r="B58">
        <v>1872.06</v>
      </c>
      <c r="C58">
        <v>2981.06</v>
      </c>
      <c r="D58">
        <v>398</v>
      </c>
      <c r="E58">
        <v>48</v>
      </c>
      <c r="F58">
        <v>372</v>
      </c>
    </row>
    <row r="59" spans="1:6" x14ac:dyDescent="0.25">
      <c r="A59" s="166">
        <v>45988</v>
      </c>
      <c r="B59">
        <v>2210.8000000000002</v>
      </c>
      <c r="C59">
        <v>2979.8</v>
      </c>
      <c r="D59">
        <v>398</v>
      </c>
      <c r="E59">
        <v>48</v>
      </c>
      <c r="F59">
        <v>372</v>
      </c>
    </row>
    <row r="60" spans="1:6" x14ac:dyDescent="0.25">
      <c r="A60" s="166">
        <v>45989</v>
      </c>
      <c r="B60">
        <v>2237.38</v>
      </c>
      <c r="C60">
        <v>3262.38</v>
      </c>
      <c r="D60">
        <v>398</v>
      </c>
      <c r="E60">
        <v>48</v>
      </c>
      <c r="F60">
        <v>372</v>
      </c>
    </row>
    <row r="61" spans="1:6" x14ac:dyDescent="0.25">
      <c r="A61" s="166">
        <v>45990</v>
      </c>
      <c r="B61">
        <v>2300.44</v>
      </c>
      <c r="C61">
        <v>3021.44</v>
      </c>
      <c r="D61">
        <v>398</v>
      </c>
      <c r="E61">
        <v>48</v>
      </c>
      <c r="F61">
        <v>372</v>
      </c>
    </row>
    <row r="62" spans="1:6" x14ac:dyDescent="0.25">
      <c r="A62" s="166">
        <v>45991</v>
      </c>
      <c r="B62">
        <v>2096.6799999999998</v>
      </c>
      <c r="C62">
        <v>2934.68</v>
      </c>
      <c r="D62">
        <v>398</v>
      </c>
      <c r="E62">
        <v>48</v>
      </c>
      <c r="F62">
        <v>372</v>
      </c>
    </row>
    <row r="63" spans="1:6" x14ac:dyDescent="0.25">
      <c r="A63" s="166">
        <v>45992</v>
      </c>
      <c r="B63">
        <v>2210.02</v>
      </c>
      <c r="C63">
        <v>2722.02</v>
      </c>
      <c r="D63">
        <v>398</v>
      </c>
      <c r="E63">
        <v>49</v>
      </c>
      <c r="F63">
        <v>372</v>
      </c>
    </row>
    <row r="64" spans="1:6" x14ac:dyDescent="0.25">
      <c r="A64" s="166">
        <v>45993</v>
      </c>
      <c r="B64">
        <v>2217.8200000000002</v>
      </c>
      <c r="C64">
        <v>3048.82</v>
      </c>
      <c r="D64">
        <v>398</v>
      </c>
      <c r="E64">
        <v>49</v>
      </c>
      <c r="F64">
        <v>372</v>
      </c>
    </row>
    <row r="65" spans="1:6" x14ac:dyDescent="0.25">
      <c r="A65" s="166">
        <v>45994</v>
      </c>
      <c r="B65">
        <v>2000.08</v>
      </c>
      <c r="C65">
        <v>3095.08</v>
      </c>
      <c r="D65">
        <v>398</v>
      </c>
      <c r="E65">
        <v>49</v>
      </c>
      <c r="F65">
        <v>372</v>
      </c>
    </row>
    <row r="66" spans="1:6" x14ac:dyDescent="0.25">
      <c r="A66" s="166">
        <v>45995</v>
      </c>
      <c r="B66">
        <v>2060.58</v>
      </c>
      <c r="C66">
        <v>3082.58</v>
      </c>
      <c r="D66">
        <v>398</v>
      </c>
      <c r="E66">
        <v>49</v>
      </c>
      <c r="F66">
        <v>372</v>
      </c>
    </row>
    <row r="67" spans="1:6" x14ac:dyDescent="0.25">
      <c r="A67" s="166">
        <v>45996</v>
      </c>
      <c r="B67">
        <v>2104.14</v>
      </c>
      <c r="C67">
        <v>3094.14</v>
      </c>
      <c r="D67">
        <v>398</v>
      </c>
      <c r="E67">
        <v>49</v>
      </c>
      <c r="F67">
        <v>372</v>
      </c>
    </row>
    <row r="68" spans="1:6" x14ac:dyDescent="0.25">
      <c r="A68" s="166">
        <v>45997</v>
      </c>
      <c r="B68">
        <v>2258.58</v>
      </c>
      <c r="C68">
        <v>3113.58</v>
      </c>
      <c r="D68">
        <v>398</v>
      </c>
      <c r="E68">
        <v>49</v>
      </c>
      <c r="F68">
        <v>372</v>
      </c>
    </row>
    <row r="69" spans="1:6" x14ac:dyDescent="0.25">
      <c r="A69" s="166">
        <v>45998</v>
      </c>
      <c r="B69">
        <v>2163.06</v>
      </c>
      <c r="C69">
        <v>2978.06</v>
      </c>
      <c r="D69">
        <v>398</v>
      </c>
      <c r="E69">
        <v>49</v>
      </c>
      <c r="F69">
        <v>372</v>
      </c>
    </row>
    <row r="70" spans="1:6" x14ac:dyDescent="0.25">
      <c r="A70" s="166">
        <v>45999</v>
      </c>
      <c r="B70">
        <v>2091.9</v>
      </c>
      <c r="C70">
        <v>2251.9</v>
      </c>
      <c r="D70">
        <v>398</v>
      </c>
      <c r="E70">
        <v>50</v>
      </c>
      <c r="F70">
        <v>372</v>
      </c>
    </row>
    <row r="71" spans="1:6" x14ac:dyDescent="0.25">
      <c r="A71" s="166">
        <v>46000</v>
      </c>
      <c r="B71">
        <v>2112.46</v>
      </c>
      <c r="C71">
        <v>1920.46</v>
      </c>
      <c r="D71">
        <v>398</v>
      </c>
      <c r="E71">
        <v>50</v>
      </c>
      <c r="F71">
        <v>372</v>
      </c>
    </row>
    <row r="72" spans="1:6" x14ac:dyDescent="0.25">
      <c r="A72" s="166">
        <v>46001</v>
      </c>
      <c r="B72">
        <v>2064.08</v>
      </c>
      <c r="C72">
        <v>2278.08</v>
      </c>
      <c r="D72">
        <v>398</v>
      </c>
      <c r="E72">
        <v>50</v>
      </c>
      <c r="F72">
        <v>372</v>
      </c>
    </row>
    <row r="73" spans="1:6" x14ac:dyDescent="0.25">
      <c r="A73" s="166">
        <v>46002</v>
      </c>
      <c r="B73">
        <v>1906.12</v>
      </c>
      <c r="C73">
        <v>2404.12</v>
      </c>
      <c r="D73">
        <v>398</v>
      </c>
      <c r="E73">
        <v>50</v>
      </c>
      <c r="F73">
        <v>372</v>
      </c>
    </row>
    <row r="74" spans="1:6" x14ac:dyDescent="0.25">
      <c r="A74" s="166">
        <v>46003</v>
      </c>
      <c r="B74">
        <v>1809.38</v>
      </c>
      <c r="C74">
        <v>2406.38</v>
      </c>
      <c r="D74">
        <v>398</v>
      </c>
      <c r="E74">
        <v>50</v>
      </c>
      <c r="F74">
        <v>372</v>
      </c>
    </row>
    <row r="75" spans="1:6" x14ac:dyDescent="0.25">
      <c r="A75" s="166">
        <v>46004</v>
      </c>
      <c r="B75">
        <v>1672.62</v>
      </c>
      <c r="C75">
        <v>2373.62</v>
      </c>
      <c r="D75">
        <v>398</v>
      </c>
      <c r="E75">
        <v>50</v>
      </c>
      <c r="F75">
        <v>372</v>
      </c>
    </row>
    <row r="76" spans="1:6" x14ac:dyDescent="0.25">
      <c r="A76" s="166">
        <v>46005</v>
      </c>
      <c r="B76">
        <v>220.36</v>
      </c>
      <c r="C76">
        <v>2486.36</v>
      </c>
      <c r="D76">
        <v>398</v>
      </c>
      <c r="E76">
        <v>50</v>
      </c>
      <c r="F76">
        <v>372</v>
      </c>
    </row>
    <row r="77" spans="1:6" x14ac:dyDescent="0.25">
      <c r="A77" s="166">
        <v>46006</v>
      </c>
      <c r="B77">
        <v>1715.14</v>
      </c>
      <c r="C77">
        <v>2347.14</v>
      </c>
      <c r="D77">
        <v>398</v>
      </c>
      <c r="E77">
        <v>51</v>
      </c>
      <c r="F77">
        <v>372</v>
      </c>
    </row>
    <row r="78" spans="1:6" x14ac:dyDescent="0.25">
      <c r="A78" s="166">
        <v>46007</v>
      </c>
      <c r="B78">
        <v>1888.12</v>
      </c>
      <c r="C78">
        <v>2365.12</v>
      </c>
      <c r="D78">
        <v>398</v>
      </c>
      <c r="E78">
        <v>51</v>
      </c>
      <c r="F78">
        <v>372</v>
      </c>
    </row>
    <row r="79" spans="1:6" x14ac:dyDescent="0.25">
      <c r="A79" s="166">
        <v>46008</v>
      </c>
      <c r="B79">
        <v>1879.56</v>
      </c>
      <c r="C79">
        <v>2819.56</v>
      </c>
      <c r="D79">
        <v>398</v>
      </c>
      <c r="E79">
        <v>51</v>
      </c>
      <c r="F79">
        <v>372</v>
      </c>
    </row>
    <row r="80" spans="1:6" x14ac:dyDescent="0.25">
      <c r="A80" s="166">
        <v>46009</v>
      </c>
      <c r="B80">
        <v>1802.72</v>
      </c>
      <c r="C80">
        <v>2805.72</v>
      </c>
      <c r="D80">
        <v>398</v>
      </c>
      <c r="E80">
        <v>51</v>
      </c>
      <c r="F80">
        <v>372</v>
      </c>
    </row>
    <row r="81" spans="1:7" x14ac:dyDescent="0.25">
      <c r="A81" s="166">
        <v>46010</v>
      </c>
      <c r="B81">
        <v>1914.42</v>
      </c>
      <c r="C81">
        <v>2635.42</v>
      </c>
      <c r="D81">
        <v>398</v>
      </c>
      <c r="E81">
        <v>51</v>
      </c>
      <c r="F81">
        <v>372</v>
      </c>
    </row>
    <row r="82" spans="1:7" x14ac:dyDescent="0.25">
      <c r="A82" s="166">
        <v>46011</v>
      </c>
      <c r="B82">
        <v>1542.96</v>
      </c>
      <c r="C82">
        <v>2260.96</v>
      </c>
      <c r="D82">
        <v>398</v>
      </c>
      <c r="E82">
        <v>51</v>
      </c>
      <c r="F82">
        <v>372</v>
      </c>
    </row>
    <row r="83" spans="1:7" x14ac:dyDescent="0.25">
      <c r="A83" s="166">
        <v>46012</v>
      </c>
      <c r="B83">
        <v>134.32</v>
      </c>
      <c r="C83">
        <v>1345.32</v>
      </c>
      <c r="D83">
        <v>398</v>
      </c>
      <c r="E83">
        <v>51</v>
      </c>
      <c r="F83">
        <v>372</v>
      </c>
    </row>
    <row r="84" spans="1:7" x14ac:dyDescent="0.25">
      <c r="A84" s="166">
        <v>46013</v>
      </c>
      <c r="B84">
        <v>291.7</v>
      </c>
      <c r="C84">
        <v>1742.7</v>
      </c>
      <c r="D84">
        <v>398</v>
      </c>
      <c r="E84">
        <v>52</v>
      </c>
      <c r="F84">
        <v>372</v>
      </c>
    </row>
    <row r="85" spans="1:7" x14ac:dyDescent="0.25">
      <c r="A85" s="166">
        <v>46014</v>
      </c>
      <c r="B85">
        <v>1794.96</v>
      </c>
      <c r="C85">
        <v>2583.96</v>
      </c>
      <c r="D85">
        <v>398</v>
      </c>
      <c r="E85">
        <v>52</v>
      </c>
      <c r="F85">
        <v>372</v>
      </c>
    </row>
    <row r="86" spans="1:7" x14ac:dyDescent="0.25">
      <c r="A86" s="166">
        <v>46015</v>
      </c>
      <c r="B86">
        <v>1889.06</v>
      </c>
      <c r="C86">
        <v>2348.06</v>
      </c>
      <c r="D86">
        <v>398</v>
      </c>
      <c r="E86">
        <v>52</v>
      </c>
      <c r="F86">
        <v>372</v>
      </c>
    </row>
    <row r="87" spans="1:7" x14ac:dyDescent="0.25">
      <c r="A87" s="166">
        <v>46016</v>
      </c>
      <c r="B87">
        <v>1807.24</v>
      </c>
      <c r="C87">
        <v>2427.2399999999998</v>
      </c>
      <c r="D87">
        <v>398</v>
      </c>
      <c r="E87">
        <v>52</v>
      </c>
      <c r="F87">
        <v>372</v>
      </c>
    </row>
    <row r="88" spans="1:7" x14ac:dyDescent="0.25">
      <c r="A88" s="166">
        <v>46017</v>
      </c>
      <c r="B88">
        <v>1852.76</v>
      </c>
      <c r="C88">
        <v>2303.7600000000002</v>
      </c>
      <c r="D88">
        <v>398</v>
      </c>
      <c r="E88">
        <v>52</v>
      </c>
      <c r="F88">
        <v>372</v>
      </c>
    </row>
    <row r="89" spans="1:7" x14ac:dyDescent="0.25">
      <c r="A89" s="166">
        <v>46018</v>
      </c>
      <c r="B89">
        <v>1625.66</v>
      </c>
      <c r="C89">
        <v>2325.66</v>
      </c>
      <c r="D89">
        <v>398</v>
      </c>
      <c r="E89">
        <v>52</v>
      </c>
      <c r="F89">
        <v>372</v>
      </c>
    </row>
    <row r="90" spans="1:7" x14ac:dyDescent="0.25">
      <c r="A90" s="166">
        <v>46019</v>
      </c>
      <c r="B90">
        <v>218.88</v>
      </c>
      <c r="C90">
        <v>2213.88</v>
      </c>
      <c r="D90">
        <v>398</v>
      </c>
      <c r="E90">
        <v>52</v>
      </c>
      <c r="F90">
        <v>372</v>
      </c>
    </row>
    <row r="91" spans="1:7" x14ac:dyDescent="0.25">
      <c r="A91" s="166">
        <v>46020</v>
      </c>
      <c r="B91">
        <v>1828.32</v>
      </c>
      <c r="C91">
        <v>2212.3200000000002</v>
      </c>
      <c r="D91">
        <v>398</v>
      </c>
      <c r="E91">
        <v>53</v>
      </c>
      <c r="F91">
        <v>372</v>
      </c>
    </row>
    <row r="92" spans="1:7" x14ac:dyDescent="0.25">
      <c r="A92" s="166">
        <v>46021</v>
      </c>
      <c r="B92">
        <v>1775.84</v>
      </c>
      <c r="C92">
        <v>2095.84</v>
      </c>
      <c r="D92">
        <v>398</v>
      </c>
      <c r="E92">
        <v>53</v>
      </c>
      <c r="F92">
        <v>372</v>
      </c>
    </row>
    <row r="93" spans="1:7" x14ac:dyDescent="0.25">
      <c r="A93" s="166">
        <v>46022</v>
      </c>
      <c r="B93">
        <v>2267.8200000000002</v>
      </c>
      <c r="C93">
        <v>2234.8200000000002</v>
      </c>
      <c r="D93">
        <v>398</v>
      </c>
      <c r="E93">
        <v>53</v>
      </c>
      <c r="F93">
        <v>372</v>
      </c>
    </row>
    <row r="94" spans="1:7" x14ac:dyDescent="0.25">
      <c r="A94" s="166">
        <v>46023</v>
      </c>
      <c r="B94">
        <v>2239.92</v>
      </c>
      <c r="C94">
        <v>2232.92</v>
      </c>
      <c r="D94">
        <v>398</v>
      </c>
      <c r="E94">
        <v>54</v>
      </c>
      <c r="F94">
        <v>372</v>
      </c>
      <c r="G94">
        <v>53</v>
      </c>
    </row>
    <row r="95" spans="1:7" x14ac:dyDescent="0.25">
      <c r="A95" s="166">
        <v>46024</v>
      </c>
      <c r="B95">
        <v>2093.3000000000002</v>
      </c>
      <c r="C95">
        <v>2310.3000000000002</v>
      </c>
      <c r="D95">
        <v>398</v>
      </c>
      <c r="E95">
        <v>54</v>
      </c>
      <c r="F95">
        <v>372</v>
      </c>
      <c r="G95">
        <v>53</v>
      </c>
    </row>
    <row r="96" spans="1:7" x14ac:dyDescent="0.25">
      <c r="A96" s="166">
        <v>46025</v>
      </c>
      <c r="B96">
        <v>1923.86</v>
      </c>
      <c r="C96">
        <v>1799.86</v>
      </c>
      <c r="D96">
        <v>398</v>
      </c>
      <c r="E96">
        <v>54</v>
      </c>
      <c r="F96">
        <v>372</v>
      </c>
      <c r="G96">
        <v>53</v>
      </c>
    </row>
    <row r="97" spans="1:7" x14ac:dyDescent="0.25">
      <c r="A97" s="166">
        <v>46026</v>
      </c>
      <c r="B97">
        <v>1907.04</v>
      </c>
      <c r="C97">
        <v>162.04000000000002</v>
      </c>
      <c r="D97">
        <v>398</v>
      </c>
      <c r="E97">
        <v>54</v>
      </c>
      <c r="F97">
        <v>372</v>
      </c>
      <c r="G97">
        <v>53</v>
      </c>
    </row>
    <row r="98" spans="1:7" x14ac:dyDescent="0.25">
      <c r="A98" s="166">
        <v>46027</v>
      </c>
      <c r="B98">
        <v>1806.04</v>
      </c>
      <c r="C98">
        <v>1676.04</v>
      </c>
      <c r="D98">
        <v>398</v>
      </c>
      <c r="E98">
        <v>54</v>
      </c>
      <c r="F98">
        <v>372</v>
      </c>
      <c r="G98">
        <v>54</v>
      </c>
    </row>
    <row r="99" spans="1:7" x14ac:dyDescent="0.25">
      <c r="A99" s="166">
        <v>46028</v>
      </c>
      <c r="B99">
        <v>1905.56</v>
      </c>
      <c r="C99">
        <v>2311.56</v>
      </c>
      <c r="D99">
        <v>398</v>
      </c>
      <c r="E99">
        <v>54</v>
      </c>
      <c r="F99">
        <v>372</v>
      </c>
      <c r="G99">
        <v>54</v>
      </c>
    </row>
    <row r="100" spans="1:7" x14ac:dyDescent="0.25">
      <c r="A100" s="166">
        <v>46029</v>
      </c>
      <c r="B100">
        <v>1738.06</v>
      </c>
      <c r="C100">
        <v>2359.06</v>
      </c>
      <c r="D100">
        <v>398</v>
      </c>
      <c r="E100">
        <v>54</v>
      </c>
      <c r="F100">
        <v>372</v>
      </c>
      <c r="G100">
        <v>54</v>
      </c>
    </row>
    <row r="101" spans="1:7" x14ac:dyDescent="0.25">
      <c r="A101" s="166">
        <v>46030</v>
      </c>
      <c r="B101">
        <v>1793.72</v>
      </c>
      <c r="C101">
        <v>2433.7199999999998</v>
      </c>
      <c r="D101">
        <v>398</v>
      </c>
      <c r="E101">
        <v>54</v>
      </c>
      <c r="F101">
        <v>372</v>
      </c>
      <c r="G101">
        <v>54</v>
      </c>
    </row>
    <row r="102" spans="1:7" x14ac:dyDescent="0.25">
      <c r="A102" s="166">
        <v>46031</v>
      </c>
      <c r="B102">
        <v>1906.28</v>
      </c>
      <c r="C102">
        <v>2899.28</v>
      </c>
      <c r="D102">
        <v>398</v>
      </c>
      <c r="E102">
        <v>54</v>
      </c>
      <c r="F102">
        <v>372</v>
      </c>
      <c r="G102">
        <v>54</v>
      </c>
    </row>
    <row r="103" spans="1:7" x14ac:dyDescent="0.25">
      <c r="A103" s="166">
        <v>46032</v>
      </c>
      <c r="B103">
        <v>1535.72</v>
      </c>
      <c r="C103">
        <v>2712.72</v>
      </c>
      <c r="D103">
        <v>398</v>
      </c>
      <c r="E103">
        <v>54</v>
      </c>
      <c r="F103">
        <v>372</v>
      </c>
      <c r="G103">
        <v>54</v>
      </c>
    </row>
    <row r="104" spans="1:7" x14ac:dyDescent="0.25">
      <c r="A104" s="166">
        <v>46033</v>
      </c>
      <c r="B104">
        <v>1681.52</v>
      </c>
      <c r="C104">
        <v>2715.52</v>
      </c>
      <c r="D104">
        <v>398</v>
      </c>
      <c r="E104">
        <v>54</v>
      </c>
      <c r="F104">
        <v>372</v>
      </c>
      <c r="G104">
        <v>54</v>
      </c>
    </row>
    <row r="105" spans="1:7" x14ac:dyDescent="0.25">
      <c r="A105" s="166">
        <v>46034</v>
      </c>
      <c r="B105">
        <v>1906.4</v>
      </c>
      <c r="C105">
        <v>2725.4</v>
      </c>
      <c r="D105">
        <v>398</v>
      </c>
      <c r="E105">
        <v>55</v>
      </c>
      <c r="F105">
        <v>372</v>
      </c>
      <c r="G105">
        <v>55</v>
      </c>
    </row>
    <row r="106" spans="1:7" x14ac:dyDescent="0.25">
      <c r="A106" s="166">
        <v>46035</v>
      </c>
      <c r="B106">
        <v>1528.84</v>
      </c>
      <c r="C106">
        <v>2636.84</v>
      </c>
      <c r="D106">
        <v>398</v>
      </c>
      <c r="E106">
        <v>55</v>
      </c>
      <c r="F106">
        <v>372</v>
      </c>
      <c r="G106">
        <v>55</v>
      </c>
    </row>
    <row r="107" spans="1:7" x14ac:dyDescent="0.25">
      <c r="A107" s="166">
        <v>46036</v>
      </c>
      <c r="B107">
        <v>2125.6799999999998</v>
      </c>
      <c r="C107">
        <v>2512.6799999999998</v>
      </c>
      <c r="D107">
        <v>398</v>
      </c>
      <c r="E107">
        <v>55</v>
      </c>
      <c r="F107">
        <v>372</v>
      </c>
      <c r="G107">
        <v>55</v>
      </c>
    </row>
    <row r="108" spans="1:7" x14ac:dyDescent="0.25">
      <c r="A108" s="166">
        <v>46037</v>
      </c>
      <c r="B108">
        <v>2154.88</v>
      </c>
      <c r="C108">
        <v>2674.88</v>
      </c>
      <c r="D108">
        <v>398</v>
      </c>
      <c r="E108">
        <v>55</v>
      </c>
      <c r="F108">
        <v>372</v>
      </c>
      <c r="G108">
        <v>55</v>
      </c>
    </row>
    <row r="109" spans="1:7" x14ac:dyDescent="0.25">
      <c r="A109" s="166">
        <v>46038</v>
      </c>
      <c r="B109">
        <v>2030.22</v>
      </c>
      <c r="C109">
        <v>2689.22</v>
      </c>
      <c r="D109">
        <v>398</v>
      </c>
      <c r="E109">
        <v>55</v>
      </c>
      <c r="F109">
        <v>372</v>
      </c>
      <c r="G109">
        <v>55</v>
      </c>
    </row>
    <row r="110" spans="1:7" x14ac:dyDescent="0.25">
      <c r="A110" s="166">
        <v>46039</v>
      </c>
      <c r="B110">
        <v>1955.14</v>
      </c>
      <c r="C110">
        <v>2103.14</v>
      </c>
      <c r="D110">
        <v>398</v>
      </c>
      <c r="E110">
        <v>55</v>
      </c>
      <c r="F110">
        <v>372</v>
      </c>
      <c r="G110">
        <v>55</v>
      </c>
    </row>
    <row r="111" spans="1:7" x14ac:dyDescent="0.25">
      <c r="A111" s="166">
        <v>46040</v>
      </c>
      <c r="B111">
        <v>238.56</v>
      </c>
      <c r="C111">
        <v>1163.56</v>
      </c>
      <c r="D111">
        <v>398</v>
      </c>
      <c r="E111">
        <v>55</v>
      </c>
      <c r="F111">
        <v>372</v>
      </c>
      <c r="G111">
        <v>55</v>
      </c>
    </row>
    <row r="112" spans="1:7" x14ac:dyDescent="0.25">
      <c r="A112" s="166">
        <v>46041</v>
      </c>
      <c r="B112">
        <v>1554.22</v>
      </c>
      <c r="C112">
        <v>1999.22</v>
      </c>
      <c r="D112">
        <v>398</v>
      </c>
      <c r="E112">
        <v>56</v>
      </c>
      <c r="F112">
        <v>372</v>
      </c>
      <c r="G112">
        <v>56</v>
      </c>
    </row>
    <row r="113" spans="1:8" x14ac:dyDescent="0.25">
      <c r="A113" s="166">
        <v>46042</v>
      </c>
      <c r="B113">
        <v>1843.34</v>
      </c>
      <c r="C113">
        <v>2146.34</v>
      </c>
      <c r="D113">
        <v>398</v>
      </c>
      <c r="E113">
        <v>56</v>
      </c>
      <c r="F113">
        <v>372</v>
      </c>
      <c r="G113">
        <v>56</v>
      </c>
    </row>
    <row r="114" spans="1:8" x14ac:dyDescent="0.25">
      <c r="A114" s="166">
        <v>46043</v>
      </c>
      <c r="B114">
        <v>1718.4</v>
      </c>
      <c r="C114">
        <v>2183.4</v>
      </c>
      <c r="D114">
        <v>398</v>
      </c>
      <c r="E114">
        <v>56</v>
      </c>
      <c r="F114">
        <v>372</v>
      </c>
      <c r="G114">
        <v>56</v>
      </c>
    </row>
    <row r="115" spans="1:8" x14ac:dyDescent="0.25">
      <c r="A115" s="166">
        <v>46044</v>
      </c>
      <c r="B115">
        <v>1667.1</v>
      </c>
      <c r="C115">
        <v>2147.1</v>
      </c>
      <c r="D115">
        <v>398</v>
      </c>
      <c r="E115">
        <v>56</v>
      </c>
      <c r="F115">
        <v>372</v>
      </c>
      <c r="G115">
        <v>56</v>
      </c>
    </row>
    <row r="116" spans="1:8" x14ac:dyDescent="0.25">
      <c r="A116" s="166">
        <v>46045</v>
      </c>
      <c r="B116">
        <v>1783.72</v>
      </c>
      <c r="C116">
        <v>2205.7199999999998</v>
      </c>
      <c r="D116">
        <v>398</v>
      </c>
      <c r="E116">
        <v>56</v>
      </c>
      <c r="F116">
        <v>372</v>
      </c>
      <c r="G116">
        <v>56</v>
      </c>
    </row>
    <row r="117" spans="1:8" x14ac:dyDescent="0.25">
      <c r="A117" s="166">
        <v>46046</v>
      </c>
      <c r="B117">
        <v>1512.14</v>
      </c>
      <c r="C117">
        <v>2163.14</v>
      </c>
      <c r="D117">
        <v>398</v>
      </c>
      <c r="E117">
        <v>56</v>
      </c>
      <c r="F117">
        <v>372</v>
      </c>
      <c r="G117">
        <v>56</v>
      </c>
    </row>
    <row r="118" spans="1:8" x14ac:dyDescent="0.25">
      <c r="A118" s="166">
        <v>46047</v>
      </c>
      <c r="B118">
        <v>157.28</v>
      </c>
      <c r="C118">
        <v>2071.2800000000002</v>
      </c>
      <c r="D118">
        <v>398</v>
      </c>
      <c r="E118">
        <v>56</v>
      </c>
      <c r="F118">
        <v>372</v>
      </c>
      <c r="G118">
        <v>56</v>
      </c>
    </row>
    <row r="119" spans="1:8" x14ac:dyDescent="0.25">
      <c r="A119" s="166">
        <v>46048</v>
      </c>
      <c r="B119">
        <v>237.78</v>
      </c>
      <c r="C119">
        <v>2047.78</v>
      </c>
      <c r="D119">
        <v>398</v>
      </c>
      <c r="E119">
        <v>57</v>
      </c>
      <c r="F119">
        <v>372</v>
      </c>
      <c r="G119">
        <v>57</v>
      </c>
    </row>
    <row r="120" spans="1:8" x14ac:dyDescent="0.25">
      <c r="A120" s="166">
        <v>46049</v>
      </c>
      <c r="B120">
        <v>1779.36</v>
      </c>
      <c r="C120">
        <v>2191.36</v>
      </c>
      <c r="D120">
        <v>398</v>
      </c>
      <c r="E120">
        <v>57</v>
      </c>
      <c r="F120">
        <v>372</v>
      </c>
      <c r="G120">
        <v>57</v>
      </c>
    </row>
    <row r="121" spans="1:8" x14ac:dyDescent="0.25">
      <c r="A121" s="166">
        <v>46050</v>
      </c>
      <c r="B121">
        <v>1720.08</v>
      </c>
      <c r="C121">
        <v>2221.08</v>
      </c>
      <c r="D121">
        <v>398</v>
      </c>
      <c r="E121">
        <v>57</v>
      </c>
      <c r="F121">
        <v>372</v>
      </c>
      <c r="G121">
        <v>57</v>
      </c>
    </row>
    <row r="122" spans="1:8" x14ac:dyDescent="0.25">
      <c r="A122" s="166">
        <v>46051</v>
      </c>
      <c r="B122">
        <v>1922</v>
      </c>
      <c r="C122">
        <v>2267</v>
      </c>
      <c r="D122">
        <v>398</v>
      </c>
      <c r="E122">
        <v>57</v>
      </c>
      <c r="F122">
        <v>372</v>
      </c>
      <c r="G122">
        <v>57</v>
      </c>
    </row>
    <row r="123" spans="1:8" x14ac:dyDescent="0.25">
      <c r="A123" s="166">
        <v>46052</v>
      </c>
      <c r="B123">
        <v>1813.82</v>
      </c>
      <c r="C123">
        <v>2234.8200000000002</v>
      </c>
      <c r="D123">
        <v>398</v>
      </c>
      <c r="E123">
        <v>57</v>
      </c>
      <c r="F123">
        <v>372</v>
      </c>
      <c r="G123">
        <v>57</v>
      </c>
    </row>
    <row r="124" spans="1:8" x14ac:dyDescent="0.25">
      <c r="A124" s="166">
        <v>46053</v>
      </c>
      <c r="B124">
        <v>1588.22</v>
      </c>
      <c r="C124">
        <v>2220.2199999999998</v>
      </c>
      <c r="D124">
        <v>398</v>
      </c>
      <c r="E124">
        <v>57</v>
      </c>
      <c r="F124">
        <v>372</v>
      </c>
      <c r="G124">
        <v>57</v>
      </c>
    </row>
    <row r="125" spans="1:8" x14ac:dyDescent="0.25">
      <c r="A125" s="166">
        <v>46054</v>
      </c>
      <c r="B125">
        <v>163.80000000000001</v>
      </c>
      <c r="C125">
        <v>2275.8000000000002</v>
      </c>
      <c r="D125">
        <v>398</v>
      </c>
      <c r="E125">
        <v>6</v>
      </c>
      <c r="F125">
        <v>372</v>
      </c>
      <c r="G125">
        <v>6</v>
      </c>
      <c r="H125">
        <v>57</v>
      </c>
    </row>
    <row r="126" spans="1:8" x14ac:dyDescent="0.25">
      <c r="A126" s="166">
        <v>46055</v>
      </c>
      <c r="B126">
        <v>1886.22</v>
      </c>
      <c r="C126">
        <v>2077.2199999999998</v>
      </c>
      <c r="D126">
        <v>398</v>
      </c>
      <c r="E126">
        <v>6</v>
      </c>
      <c r="F126">
        <v>372</v>
      </c>
      <c r="G126">
        <v>6</v>
      </c>
    </row>
    <row r="127" spans="1:8" x14ac:dyDescent="0.25">
      <c r="A127" s="166">
        <v>46056</v>
      </c>
      <c r="B127">
        <v>1923.62</v>
      </c>
      <c r="C127">
        <v>2132.62</v>
      </c>
      <c r="D127">
        <v>398</v>
      </c>
      <c r="E127">
        <v>6</v>
      </c>
      <c r="F127">
        <v>372</v>
      </c>
      <c r="G127">
        <v>6</v>
      </c>
    </row>
    <row r="128" spans="1:8" x14ac:dyDescent="0.25">
      <c r="A128" s="166">
        <v>46057</v>
      </c>
      <c r="B128">
        <v>1701.78</v>
      </c>
      <c r="C128">
        <v>2122.7800000000002</v>
      </c>
      <c r="D128">
        <v>398</v>
      </c>
      <c r="E128">
        <v>6</v>
      </c>
      <c r="F128">
        <v>372</v>
      </c>
      <c r="G128">
        <v>6</v>
      </c>
    </row>
    <row r="129" spans="1:7" x14ac:dyDescent="0.25">
      <c r="A129" s="166">
        <v>46058</v>
      </c>
      <c r="B129">
        <v>1638.92</v>
      </c>
      <c r="C129">
        <v>1828.92</v>
      </c>
      <c r="D129">
        <v>398</v>
      </c>
      <c r="E129">
        <v>6</v>
      </c>
      <c r="F129">
        <v>372</v>
      </c>
      <c r="G129">
        <v>6</v>
      </c>
    </row>
    <row r="130" spans="1:7" x14ac:dyDescent="0.25">
      <c r="A130" s="166">
        <v>46059</v>
      </c>
      <c r="B130">
        <v>132.84</v>
      </c>
      <c r="C130">
        <v>86.84</v>
      </c>
      <c r="D130">
        <v>398</v>
      </c>
      <c r="E130">
        <v>6</v>
      </c>
      <c r="F130">
        <v>372</v>
      </c>
      <c r="G130">
        <v>6</v>
      </c>
    </row>
    <row r="131" spans="1:7" x14ac:dyDescent="0.25">
      <c r="A131" s="166">
        <v>46060</v>
      </c>
      <c r="B131">
        <v>178.2</v>
      </c>
      <c r="C131">
        <v>77.2</v>
      </c>
      <c r="D131">
        <v>398</v>
      </c>
      <c r="E131">
        <v>6</v>
      </c>
      <c r="F131">
        <v>372</v>
      </c>
      <c r="G131">
        <v>6</v>
      </c>
    </row>
    <row r="132" spans="1:7" x14ac:dyDescent="0.25">
      <c r="A132" s="166">
        <v>46061</v>
      </c>
      <c r="B132">
        <v>125.4</v>
      </c>
      <c r="C132">
        <v>88.4</v>
      </c>
      <c r="D132">
        <v>398</v>
      </c>
      <c r="E132">
        <v>6</v>
      </c>
      <c r="F132">
        <v>372</v>
      </c>
      <c r="G132">
        <v>6</v>
      </c>
    </row>
    <row r="133" spans="1:7" x14ac:dyDescent="0.25">
      <c r="A133" s="166">
        <v>46062</v>
      </c>
      <c r="B133">
        <v>1739.66</v>
      </c>
      <c r="C133">
        <v>1924.66</v>
      </c>
      <c r="D133">
        <v>398</v>
      </c>
      <c r="E133">
        <v>7</v>
      </c>
      <c r="F133">
        <v>372</v>
      </c>
      <c r="G133">
        <v>7</v>
      </c>
    </row>
    <row r="134" spans="1:7" x14ac:dyDescent="0.25">
      <c r="A134" s="166">
        <v>46063</v>
      </c>
      <c r="B134">
        <v>1893.98</v>
      </c>
      <c r="C134">
        <v>2722.98</v>
      </c>
      <c r="D134">
        <v>398</v>
      </c>
      <c r="E134">
        <v>7</v>
      </c>
      <c r="F134">
        <v>372</v>
      </c>
      <c r="G134">
        <v>7</v>
      </c>
    </row>
    <row r="135" spans="1:7" x14ac:dyDescent="0.25">
      <c r="A135" s="166">
        <v>46064</v>
      </c>
      <c r="B135">
        <v>1582.24</v>
      </c>
      <c r="C135">
        <v>3184.24</v>
      </c>
      <c r="D135">
        <v>398</v>
      </c>
      <c r="E135">
        <v>7</v>
      </c>
      <c r="F135">
        <v>372</v>
      </c>
      <c r="G135">
        <v>7</v>
      </c>
    </row>
    <row r="136" spans="1:7" x14ac:dyDescent="0.25">
      <c r="A136" s="166">
        <v>46065</v>
      </c>
      <c r="B136">
        <v>1478.88</v>
      </c>
      <c r="C136">
        <v>3255.88</v>
      </c>
      <c r="D136">
        <v>398</v>
      </c>
      <c r="E136">
        <v>7</v>
      </c>
      <c r="F136">
        <v>372</v>
      </c>
      <c r="G136">
        <v>7</v>
      </c>
    </row>
    <row r="137" spans="1:7" x14ac:dyDescent="0.25">
      <c r="A137" s="166">
        <v>46066</v>
      </c>
      <c r="B137">
        <v>1954.78</v>
      </c>
      <c r="C137">
        <v>3290.78</v>
      </c>
      <c r="D137">
        <v>398</v>
      </c>
      <c r="E137">
        <v>7</v>
      </c>
      <c r="F137">
        <v>372</v>
      </c>
      <c r="G137">
        <v>7</v>
      </c>
    </row>
    <row r="138" spans="1:7" x14ac:dyDescent="0.25">
      <c r="A138" s="166">
        <v>46067</v>
      </c>
      <c r="B138">
        <v>1903.62</v>
      </c>
      <c r="C138">
        <v>3108.62</v>
      </c>
      <c r="D138">
        <v>398</v>
      </c>
      <c r="E138">
        <v>7</v>
      </c>
      <c r="F138">
        <v>372</v>
      </c>
      <c r="G138">
        <v>7</v>
      </c>
    </row>
    <row r="139" spans="1:7" x14ac:dyDescent="0.25">
      <c r="A139" s="166">
        <v>46068</v>
      </c>
      <c r="B139">
        <v>1746.54</v>
      </c>
      <c r="C139">
        <v>3156.54</v>
      </c>
      <c r="D139">
        <v>398</v>
      </c>
      <c r="E139">
        <v>7</v>
      </c>
      <c r="F139">
        <v>372</v>
      </c>
      <c r="G139">
        <v>7</v>
      </c>
    </row>
    <row r="140" spans="1:7" x14ac:dyDescent="0.25">
      <c r="A140" s="166">
        <v>46069</v>
      </c>
      <c r="B140">
        <v>1837.66</v>
      </c>
      <c r="C140">
        <v>2598.66</v>
      </c>
      <c r="D140">
        <v>398</v>
      </c>
      <c r="E140">
        <v>8</v>
      </c>
      <c r="F140">
        <v>372</v>
      </c>
      <c r="G140">
        <v>8</v>
      </c>
    </row>
    <row r="141" spans="1:7" x14ac:dyDescent="0.25">
      <c r="A141" s="166">
        <v>46070</v>
      </c>
      <c r="B141">
        <v>1969.52</v>
      </c>
      <c r="C141">
        <v>3313.52</v>
      </c>
      <c r="D141">
        <v>398</v>
      </c>
      <c r="E141">
        <v>8</v>
      </c>
      <c r="F141">
        <v>372</v>
      </c>
      <c r="G141">
        <v>8</v>
      </c>
    </row>
    <row r="142" spans="1:7" x14ac:dyDescent="0.25">
      <c r="A142" s="166">
        <v>46071</v>
      </c>
      <c r="B142">
        <v>1891.36</v>
      </c>
      <c r="C142">
        <v>3120.36</v>
      </c>
      <c r="D142">
        <v>398</v>
      </c>
      <c r="E142">
        <v>8</v>
      </c>
      <c r="F142">
        <v>372</v>
      </c>
      <c r="G142">
        <v>8</v>
      </c>
    </row>
    <row r="143" spans="1:7" x14ac:dyDescent="0.25">
      <c r="A143" s="166">
        <v>46072</v>
      </c>
      <c r="B143">
        <v>1885.68</v>
      </c>
      <c r="C143">
        <v>2967.68</v>
      </c>
      <c r="D143">
        <v>398</v>
      </c>
      <c r="E143">
        <v>8</v>
      </c>
      <c r="F143">
        <v>372</v>
      </c>
      <c r="G143">
        <v>8</v>
      </c>
    </row>
    <row r="144" spans="1:7" x14ac:dyDescent="0.25">
      <c r="A144" s="166">
        <v>46073</v>
      </c>
      <c r="B144">
        <v>1823.72</v>
      </c>
      <c r="C144">
        <v>2717.72</v>
      </c>
      <c r="D144">
        <v>398</v>
      </c>
      <c r="E144">
        <v>8</v>
      </c>
      <c r="F144">
        <v>372</v>
      </c>
      <c r="G144">
        <v>8</v>
      </c>
    </row>
    <row r="145" spans="1:7" x14ac:dyDescent="0.25">
      <c r="A145" s="166">
        <v>46074</v>
      </c>
      <c r="B145">
        <v>1923</v>
      </c>
      <c r="C145">
        <v>2657</v>
      </c>
      <c r="D145">
        <v>398</v>
      </c>
      <c r="E145">
        <v>8</v>
      </c>
      <c r="F145">
        <v>372</v>
      </c>
      <c r="G145">
        <v>8</v>
      </c>
    </row>
    <row r="146" spans="1:7" x14ac:dyDescent="0.25">
      <c r="A146" s="166">
        <v>46075</v>
      </c>
      <c r="B146">
        <v>1719.9</v>
      </c>
      <c r="C146">
        <v>2612.9</v>
      </c>
      <c r="D146">
        <v>398</v>
      </c>
      <c r="E146">
        <v>8</v>
      </c>
      <c r="F146">
        <v>372</v>
      </c>
      <c r="G146">
        <v>8</v>
      </c>
    </row>
    <row r="147" spans="1:7" x14ac:dyDescent="0.25">
      <c r="A147" s="166">
        <v>46076</v>
      </c>
      <c r="B147">
        <v>1848.3</v>
      </c>
      <c r="C147">
        <v>2523.3000000000002</v>
      </c>
      <c r="D147">
        <v>398</v>
      </c>
      <c r="E147">
        <v>9</v>
      </c>
      <c r="F147">
        <v>372</v>
      </c>
      <c r="G147">
        <v>9</v>
      </c>
    </row>
    <row r="148" spans="1:7" x14ac:dyDescent="0.25">
      <c r="A148" s="166">
        <v>46077</v>
      </c>
      <c r="B148">
        <v>1893.22</v>
      </c>
      <c r="C148">
        <v>2658.22</v>
      </c>
      <c r="D148">
        <v>398</v>
      </c>
      <c r="E148">
        <v>9</v>
      </c>
      <c r="F148">
        <v>372</v>
      </c>
      <c r="G148">
        <v>9</v>
      </c>
    </row>
    <row r="149" spans="1:7" x14ac:dyDescent="0.25">
      <c r="A149" s="166">
        <v>46078</v>
      </c>
      <c r="B149">
        <v>1771.88</v>
      </c>
      <c r="C149">
        <v>2366.88</v>
      </c>
      <c r="D149">
        <v>398</v>
      </c>
      <c r="E149">
        <v>9</v>
      </c>
      <c r="F149">
        <v>372</v>
      </c>
      <c r="G149">
        <v>9</v>
      </c>
    </row>
    <row r="150" spans="1:7" x14ac:dyDescent="0.25">
      <c r="A150" s="166">
        <v>46079</v>
      </c>
      <c r="B150">
        <v>1747.82</v>
      </c>
      <c r="C150">
        <v>2614.8200000000002</v>
      </c>
      <c r="D150">
        <v>398</v>
      </c>
      <c r="E150">
        <v>9</v>
      </c>
      <c r="F150">
        <v>372</v>
      </c>
      <c r="G150">
        <v>9</v>
      </c>
    </row>
    <row r="151" spans="1:7" x14ac:dyDescent="0.25">
      <c r="A151" s="166">
        <v>46080</v>
      </c>
      <c r="B151">
        <v>1845.92</v>
      </c>
      <c r="C151">
        <v>2711.92</v>
      </c>
      <c r="D151">
        <v>398</v>
      </c>
      <c r="E151">
        <v>9</v>
      </c>
      <c r="F151">
        <v>372</v>
      </c>
      <c r="G151">
        <v>9</v>
      </c>
    </row>
    <row r="152" spans="1:7" x14ac:dyDescent="0.25">
      <c r="A152" s="166">
        <v>46081</v>
      </c>
      <c r="B152">
        <v>1821.24</v>
      </c>
      <c r="C152">
        <v>2779.24</v>
      </c>
      <c r="D152">
        <v>398</v>
      </c>
      <c r="E152">
        <v>9</v>
      </c>
      <c r="F152">
        <v>372</v>
      </c>
      <c r="G152">
        <v>9</v>
      </c>
    </row>
    <row r="153" spans="1:7" x14ac:dyDescent="0.25">
      <c r="A153" s="166">
        <v>46082</v>
      </c>
      <c r="B153">
        <v>1753.6</v>
      </c>
      <c r="C153">
        <v>2834.6</v>
      </c>
      <c r="D153">
        <v>398</v>
      </c>
      <c r="E153">
        <v>10</v>
      </c>
      <c r="F153">
        <v>372</v>
      </c>
      <c r="G153">
        <v>10</v>
      </c>
    </row>
    <row r="154" spans="1:7" x14ac:dyDescent="0.25">
      <c r="A154" s="166">
        <v>46083</v>
      </c>
      <c r="B154">
        <v>1819</v>
      </c>
      <c r="C154">
        <v>2946</v>
      </c>
      <c r="D154">
        <v>398</v>
      </c>
      <c r="E154">
        <v>10</v>
      </c>
      <c r="F154">
        <v>372</v>
      </c>
      <c r="G154">
        <v>10</v>
      </c>
    </row>
    <row r="155" spans="1:7" x14ac:dyDescent="0.25">
      <c r="A155" s="166">
        <v>46084</v>
      </c>
      <c r="B155">
        <v>1652.42</v>
      </c>
      <c r="C155">
        <v>2812.42</v>
      </c>
      <c r="D155">
        <v>398</v>
      </c>
      <c r="E155">
        <v>10</v>
      </c>
      <c r="F155">
        <v>372</v>
      </c>
      <c r="G155">
        <v>10</v>
      </c>
    </row>
    <row r="156" spans="1:7" x14ac:dyDescent="0.25">
      <c r="A156" s="166">
        <v>46085</v>
      </c>
      <c r="B156">
        <v>1748.26</v>
      </c>
      <c r="C156">
        <v>3178.26</v>
      </c>
      <c r="D156">
        <v>398</v>
      </c>
      <c r="E156">
        <v>10</v>
      </c>
      <c r="F156">
        <v>372</v>
      </c>
      <c r="G156">
        <v>10</v>
      </c>
    </row>
    <row r="157" spans="1:7" x14ac:dyDescent="0.25">
      <c r="A157" s="166">
        <v>46086</v>
      </c>
      <c r="B157">
        <v>1756.5</v>
      </c>
      <c r="C157">
        <v>3398.5</v>
      </c>
      <c r="D157">
        <v>398</v>
      </c>
      <c r="E157">
        <v>10</v>
      </c>
      <c r="F157">
        <v>372</v>
      </c>
      <c r="G157">
        <v>10</v>
      </c>
    </row>
    <row r="158" spans="1:7" x14ac:dyDescent="0.25">
      <c r="A158" s="166">
        <v>46087</v>
      </c>
      <c r="B158">
        <v>1763.14</v>
      </c>
      <c r="C158">
        <v>3236.14</v>
      </c>
      <c r="D158">
        <v>398</v>
      </c>
      <c r="E158">
        <v>10</v>
      </c>
      <c r="F158">
        <v>372</v>
      </c>
      <c r="G158">
        <v>10</v>
      </c>
    </row>
    <row r="159" spans="1:7" x14ac:dyDescent="0.25">
      <c r="A159" s="166">
        <v>46088</v>
      </c>
      <c r="B159">
        <v>1457.44</v>
      </c>
      <c r="C159">
        <v>3219.44</v>
      </c>
      <c r="D159">
        <v>398</v>
      </c>
      <c r="E159">
        <v>10</v>
      </c>
      <c r="F159">
        <v>372</v>
      </c>
      <c r="G159">
        <v>10</v>
      </c>
    </row>
    <row r="160" spans="1:7" x14ac:dyDescent="0.25">
      <c r="A160" s="166">
        <v>46089</v>
      </c>
      <c r="B160">
        <v>195.44</v>
      </c>
      <c r="C160">
        <v>2946.44</v>
      </c>
      <c r="D160">
        <v>398</v>
      </c>
      <c r="E160">
        <v>10</v>
      </c>
      <c r="F160">
        <v>372</v>
      </c>
      <c r="G160">
        <v>10</v>
      </c>
    </row>
    <row r="161" spans="1:7" x14ac:dyDescent="0.25">
      <c r="A161" s="166">
        <v>46090</v>
      </c>
      <c r="B161">
        <v>1696.04</v>
      </c>
      <c r="C161">
        <v>2805.04</v>
      </c>
      <c r="D161">
        <v>398</v>
      </c>
      <c r="E161">
        <f>WEEKNUM(A161,2)</f>
        <v>11</v>
      </c>
      <c r="F161">
        <v>372</v>
      </c>
      <c r="G161">
        <v>11</v>
      </c>
    </row>
    <row r="162" spans="1:7" x14ac:dyDescent="0.25">
      <c r="A162" s="166">
        <v>46091</v>
      </c>
      <c r="B162">
        <v>1801.54</v>
      </c>
      <c r="C162">
        <v>3005.54</v>
      </c>
      <c r="D162">
        <v>398</v>
      </c>
      <c r="E162">
        <f t="shared" ref="E162:E167" si="0">WEEKNUM(A162,2)</f>
        <v>11</v>
      </c>
      <c r="F162">
        <v>372</v>
      </c>
      <c r="G162">
        <v>11</v>
      </c>
    </row>
    <row r="163" spans="1:7" x14ac:dyDescent="0.25">
      <c r="A163" s="166">
        <v>46092</v>
      </c>
      <c r="B163">
        <v>1803.26</v>
      </c>
      <c r="C163">
        <v>2534.2600000000002</v>
      </c>
      <c r="D163">
        <v>398</v>
      </c>
      <c r="E163">
        <f t="shared" si="0"/>
        <v>11</v>
      </c>
      <c r="F163">
        <v>372</v>
      </c>
      <c r="G163">
        <v>11</v>
      </c>
    </row>
    <row r="164" spans="1:7" x14ac:dyDescent="0.25">
      <c r="A164" s="166">
        <v>46093</v>
      </c>
      <c r="B164">
        <v>1886.5</v>
      </c>
      <c r="C164">
        <v>2797.5</v>
      </c>
      <c r="D164">
        <v>398</v>
      </c>
      <c r="E164">
        <f t="shared" si="0"/>
        <v>11</v>
      </c>
      <c r="F164">
        <v>372</v>
      </c>
      <c r="G164">
        <v>11</v>
      </c>
    </row>
    <row r="165" spans="1:7" x14ac:dyDescent="0.25">
      <c r="A165" s="166">
        <v>46094</v>
      </c>
      <c r="B165">
        <v>1812.58</v>
      </c>
      <c r="C165">
        <v>3021.58</v>
      </c>
      <c r="D165">
        <v>398</v>
      </c>
      <c r="E165">
        <f t="shared" si="0"/>
        <v>11</v>
      </c>
      <c r="F165">
        <v>372</v>
      </c>
      <c r="G165">
        <v>11</v>
      </c>
    </row>
    <row r="166" spans="1:7" x14ac:dyDescent="0.25">
      <c r="A166" s="166">
        <v>46095</v>
      </c>
      <c r="B166">
        <v>1968.22</v>
      </c>
      <c r="C166">
        <v>3091.22</v>
      </c>
      <c r="D166">
        <v>398</v>
      </c>
      <c r="E166">
        <f t="shared" si="0"/>
        <v>11</v>
      </c>
      <c r="F166">
        <v>372</v>
      </c>
      <c r="G166">
        <v>11</v>
      </c>
    </row>
    <row r="167" spans="1:7" x14ac:dyDescent="0.25">
      <c r="A167" s="166">
        <v>46096</v>
      </c>
      <c r="B167">
        <v>1812.2</v>
      </c>
      <c r="C167">
        <v>2899.2</v>
      </c>
      <c r="D167">
        <v>398</v>
      </c>
      <c r="E167">
        <f t="shared" si="0"/>
        <v>11</v>
      </c>
      <c r="F167">
        <v>372</v>
      </c>
      <c r="G167">
        <v>11</v>
      </c>
    </row>
    <row r="168" spans="1:7" x14ac:dyDescent="0.25">
      <c r="A168" s="166">
        <v>46097</v>
      </c>
      <c r="B168">
        <v>1745.06</v>
      </c>
      <c r="C168">
        <v>2572.06</v>
      </c>
      <c r="D168">
        <v>398</v>
      </c>
      <c r="E168">
        <f t="shared" ref="E168:E169" si="1">WEEKNUM(A168,2)</f>
        <v>12</v>
      </c>
      <c r="F168">
        <v>372</v>
      </c>
      <c r="G168">
        <v>12</v>
      </c>
    </row>
    <row r="169" spans="1:7" x14ac:dyDescent="0.25">
      <c r="A169" s="166">
        <v>46098</v>
      </c>
      <c r="C169">
        <v>1322</v>
      </c>
      <c r="E169">
        <f t="shared" si="1"/>
        <v>12</v>
      </c>
      <c r="F169">
        <v>372</v>
      </c>
      <c r="G169">
        <v>12</v>
      </c>
    </row>
    <row r="170" spans="1:7" x14ac:dyDescent="0.25">
      <c r="A170" s="166">
        <v>46099</v>
      </c>
      <c r="C170">
        <v>295.27999999999997</v>
      </c>
      <c r="E170">
        <v>12</v>
      </c>
      <c r="F170">
        <v>372</v>
      </c>
      <c r="G170">
        <v>12</v>
      </c>
    </row>
    <row r="171" spans="1:7" x14ac:dyDescent="0.25">
      <c r="A171" s="166">
        <v>46111</v>
      </c>
      <c r="C171">
        <v>1692.3600000000001</v>
      </c>
      <c r="E171">
        <v>14</v>
      </c>
      <c r="F171">
        <v>372</v>
      </c>
      <c r="G171">
        <v>14</v>
      </c>
    </row>
    <row r="172" spans="1:7" x14ac:dyDescent="0.25">
      <c r="A172" s="166">
        <v>46112</v>
      </c>
      <c r="C172">
        <v>2474.3999999999996</v>
      </c>
      <c r="E172">
        <v>14</v>
      </c>
      <c r="F172">
        <v>372</v>
      </c>
      <c r="G172">
        <v>14</v>
      </c>
    </row>
    <row r="173" spans="1:7" x14ac:dyDescent="0.25">
      <c r="A173" s="166">
        <v>46113</v>
      </c>
      <c r="B173">
        <v>1453.42</v>
      </c>
      <c r="C173">
        <v>2678.42</v>
      </c>
      <c r="D173">
        <v>398</v>
      </c>
      <c r="E173">
        <f>WEEKNUM(A173,2)</f>
        <v>14</v>
      </c>
      <c r="F173">
        <v>372</v>
      </c>
      <c r="G173">
        <v>14</v>
      </c>
    </row>
    <row r="174" spans="1:7" x14ac:dyDescent="0.25">
      <c r="A174" s="166">
        <v>46114</v>
      </c>
      <c r="B174">
        <v>1635.4</v>
      </c>
      <c r="C174">
        <v>2809.4</v>
      </c>
      <c r="D174">
        <v>398</v>
      </c>
      <c r="E174">
        <f t="shared" ref="E174:E177" si="2">WEEKNUM(A174,2)</f>
        <v>14</v>
      </c>
      <c r="F174">
        <v>372</v>
      </c>
      <c r="G174">
        <v>14</v>
      </c>
    </row>
    <row r="175" spans="1:7" x14ac:dyDescent="0.25">
      <c r="A175" s="166">
        <v>46115</v>
      </c>
      <c r="B175">
        <v>1688.58</v>
      </c>
      <c r="C175">
        <v>2748.58</v>
      </c>
      <c r="D175">
        <v>398</v>
      </c>
      <c r="E175">
        <f t="shared" si="2"/>
        <v>14</v>
      </c>
      <c r="F175">
        <v>372</v>
      </c>
      <c r="G175">
        <v>14</v>
      </c>
    </row>
    <row r="176" spans="1:7" x14ac:dyDescent="0.25">
      <c r="A176" s="166">
        <v>46116</v>
      </c>
      <c r="B176">
        <v>1705.1</v>
      </c>
      <c r="C176">
        <v>2814.1</v>
      </c>
      <c r="D176">
        <v>398</v>
      </c>
      <c r="E176">
        <f t="shared" si="2"/>
        <v>14</v>
      </c>
      <c r="F176">
        <v>372</v>
      </c>
      <c r="G176">
        <v>14</v>
      </c>
    </row>
    <row r="177" spans="1:7" x14ac:dyDescent="0.25">
      <c r="A177" s="166">
        <v>46117</v>
      </c>
      <c r="B177">
        <v>1562.1</v>
      </c>
      <c r="C177">
        <v>2913.1</v>
      </c>
      <c r="D177">
        <v>398</v>
      </c>
      <c r="E177">
        <f t="shared" si="2"/>
        <v>14</v>
      </c>
      <c r="F177">
        <v>372</v>
      </c>
      <c r="G177">
        <v>14</v>
      </c>
    </row>
    <row r="178" spans="1:7" x14ac:dyDescent="0.25">
      <c r="A178" s="166">
        <f>+A177+1</f>
        <v>46118</v>
      </c>
      <c r="B178">
        <v>1396</v>
      </c>
      <c r="C178">
        <v>2733</v>
      </c>
      <c r="D178">
        <v>398</v>
      </c>
      <c r="E178">
        <v>15</v>
      </c>
      <c r="F178">
        <v>372</v>
      </c>
      <c r="G178">
        <v>15</v>
      </c>
    </row>
    <row r="179" spans="1:7" x14ac:dyDescent="0.25">
      <c r="A179" s="166">
        <f t="shared" ref="A179:A184" si="3">+A178+1</f>
        <v>46119</v>
      </c>
      <c r="B179">
        <v>1371</v>
      </c>
      <c r="C179">
        <v>2984</v>
      </c>
      <c r="D179">
        <v>398</v>
      </c>
      <c r="E179">
        <v>15</v>
      </c>
      <c r="F179">
        <v>372</v>
      </c>
      <c r="G179">
        <v>15</v>
      </c>
    </row>
    <row r="180" spans="1:7" x14ac:dyDescent="0.25">
      <c r="A180" s="166">
        <f t="shared" si="3"/>
        <v>46120</v>
      </c>
      <c r="B180">
        <v>1404</v>
      </c>
      <c r="C180">
        <v>2928</v>
      </c>
      <c r="D180">
        <v>398</v>
      </c>
      <c r="E180">
        <v>15</v>
      </c>
      <c r="F180">
        <v>372</v>
      </c>
      <c r="G180">
        <v>15</v>
      </c>
    </row>
    <row r="181" spans="1:7" x14ac:dyDescent="0.25">
      <c r="A181" s="166">
        <f t="shared" si="3"/>
        <v>46121</v>
      </c>
      <c r="B181">
        <v>1451</v>
      </c>
      <c r="C181">
        <v>2686</v>
      </c>
      <c r="D181">
        <v>398</v>
      </c>
      <c r="E181">
        <v>15</v>
      </c>
      <c r="F181">
        <v>372</v>
      </c>
      <c r="G181">
        <v>15</v>
      </c>
    </row>
    <row r="182" spans="1:7" x14ac:dyDescent="0.25">
      <c r="A182" s="166">
        <f t="shared" si="3"/>
        <v>46122</v>
      </c>
      <c r="B182">
        <v>1445</v>
      </c>
      <c r="C182">
        <v>2385</v>
      </c>
      <c r="D182">
        <v>398</v>
      </c>
      <c r="E182">
        <v>15</v>
      </c>
      <c r="F182">
        <v>372</v>
      </c>
      <c r="G182">
        <v>15</v>
      </c>
    </row>
    <row r="183" spans="1:7" x14ac:dyDescent="0.25">
      <c r="A183" s="166">
        <f t="shared" si="3"/>
        <v>46123</v>
      </c>
      <c r="B183">
        <v>1545</v>
      </c>
      <c r="C183">
        <v>2379</v>
      </c>
      <c r="D183">
        <v>398</v>
      </c>
      <c r="E183">
        <v>15</v>
      </c>
      <c r="F183">
        <v>372</v>
      </c>
      <c r="G183">
        <v>15</v>
      </c>
    </row>
    <row r="184" spans="1:7" x14ac:dyDescent="0.25">
      <c r="A184" s="166">
        <f t="shared" si="3"/>
        <v>46124</v>
      </c>
      <c r="B184">
        <v>1043</v>
      </c>
      <c r="C184">
        <v>2343</v>
      </c>
      <c r="D184">
        <v>398</v>
      </c>
      <c r="E184">
        <v>15</v>
      </c>
      <c r="F184">
        <v>372</v>
      </c>
      <c r="G184">
        <v>15</v>
      </c>
    </row>
    <row r="185" spans="1:7" x14ac:dyDescent="0.25">
      <c r="A185" s="166">
        <v>46125</v>
      </c>
      <c r="B185">
        <v>1235.92</v>
      </c>
      <c r="C185">
        <v>2587.92</v>
      </c>
      <c r="D185">
        <v>398</v>
      </c>
      <c r="E185">
        <f t="shared" ref="E185:E202" si="4">WEEKNUM(A185,2)</f>
        <v>16</v>
      </c>
      <c r="F185">
        <v>372</v>
      </c>
    </row>
    <row r="186" spans="1:7" x14ac:dyDescent="0.25">
      <c r="A186" s="166">
        <v>46126</v>
      </c>
      <c r="B186">
        <v>1196.2</v>
      </c>
      <c r="C186">
        <v>2697.2</v>
      </c>
      <c r="D186">
        <v>398</v>
      </c>
      <c r="E186">
        <f t="shared" si="4"/>
        <v>16</v>
      </c>
      <c r="F186">
        <v>372</v>
      </c>
    </row>
    <row r="187" spans="1:7" x14ac:dyDescent="0.25">
      <c r="A187" s="166">
        <v>46127</v>
      </c>
      <c r="B187">
        <v>1220.26</v>
      </c>
      <c r="C187">
        <v>2634.26</v>
      </c>
      <c r="D187">
        <v>398</v>
      </c>
      <c r="E187">
        <f t="shared" si="4"/>
        <v>16</v>
      </c>
      <c r="F187">
        <v>372</v>
      </c>
    </row>
    <row r="188" spans="1:7" x14ac:dyDescent="0.25">
      <c r="A188" s="166">
        <v>46128</v>
      </c>
      <c r="B188">
        <v>1637.06</v>
      </c>
      <c r="C188">
        <v>2719.06</v>
      </c>
      <c r="D188">
        <v>398</v>
      </c>
      <c r="E188">
        <f t="shared" si="4"/>
        <v>16</v>
      </c>
      <c r="F188">
        <v>372</v>
      </c>
    </row>
    <row r="189" spans="1:7" x14ac:dyDescent="0.25">
      <c r="A189" s="166">
        <v>46129</v>
      </c>
      <c r="B189">
        <v>1685.1</v>
      </c>
      <c r="C189">
        <v>2803.1</v>
      </c>
      <c r="D189">
        <v>398</v>
      </c>
      <c r="E189">
        <f t="shared" si="4"/>
        <v>16</v>
      </c>
      <c r="F189">
        <v>372</v>
      </c>
    </row>
    <row r="190" spans="1:7" x14ac:dyDescent="0.25">
      <c r="A190" s="166">
        <v>46130</v>
      </c>
      <c r="B190">
        <v>1498.06</v>
      </c>
      <c r="C190">
        <v>2500.06</v>
      </c>
      <c r="D190">
        <v>398</v>
      </c>
      <c r="E190">
        <f t="shared" si="4"/>
        <v>16</v>
      </c>
      <c r="F190">
        <v>372</v>
      </c>
    </row>
    <row r="191" spans="1:7" x14ac:dyDescent="0.25">
      <c r="A191" s="166">
        <v>46131</v>
      </c>
      <c r="B191">
        <v>1236.6600000000001</v>
      </c>
      <c r="C191">
        <v>1658.66</v>
      </c>
      <c r="D191">
        <v>398</v>
      </c>
      <c r="E191">
        <f t="shared" si="4"/>
        <v>16</v>
      </c>
      <c r="F191">
        <v>372</v>
      </c>
    </row>
    <row r="192" spans="1:7" x14ac:dyDescent="0.25">
      <c r="A192" s="166">
        <v>46132</v>
      </c>
      <c r="B192">
        <v>1557.4</v>
      </c>
      <c r="C192">
        <v>1658.4</v>
      </c>
      <c r="D192">
        <v>398</v>
      </c>
      <c r="E192">
        <f t="shared" si="4"/>
        <v>17</v>
      </c>
      <c r="F192">
        <v>372</v>
      </c>
    </row>
    <row r="193" spans="1:6" x14ac:dyDescent="0.25">
      <c r="A193" s="166">
        <v>46133</v>
      </c>
      <c r="B193">
        <v>1155.74</v>
      </c>
      <c r="C193">
        <v>1477.74</v>
      </c>
      <c r="D193">
        <v>398</v>
      </c>
      <c r="E193">
        <f t="shared" si="4"/>
        <v>17</v>
      </c>
      <c r="F193">
        <v>372</v>
      </c>
    </row>
    <row r="194" spans="1:6" x14ac:dyDescent="0.25">
      <c r="A194" s="166">
        <v>46134</v>
      </c>
      <c r="B194">
        <v>1181.6400000000001</v>
      </c>
      <c r="C194">
        <v>1499.64</v>
      </c>
      <c r="D194">
        <v>398</v>
      </c>
      <c r="E194">
        <f t="shared" si="4"/>
        <v>17</v>
      </c>
      <c r="F194">
        <v>372</v>
      </c>
    </row>
    <row r="195" spans="1:6" x14ac:dyDescent="0.25">
      <c r="A195" s="166">
        <v>46135</v>
      </c>
      <c r="B195">
        <v>1124.8</v>
      </c>
      <c r="C195">
        <v>1736.8</v>
      </c>
      <c r="D195">
        <v>398</v>
      </c>
      <c r="E195">
        <f t="shared" si="4"/>
        <v>17</v>
      </c>
      <c r="F195">
        <v>372</v>
      </c>
    </row>
    <row r="196" spans="1:6" x14ac:dyDescent="0.25">
      <c r="A196" s="166">
        <v>46136</v>
      </c>
      <c r="B196">
        <v>797.36</v>
      </c>
      <c r="C196">
        <v>1854.36</v>
      </c>
      <c r="D196">
        <v>398</v>
      </c>
      <c r="E196">
        <f t="shared" si="4"/>
        <v>17</v>
      </c>
      <c r="F196">
        <v>372</v>
      </c>
    </row>
    <row r="197" spans="1:6" x14ac:dyDescent="0.25">
      <c r="A197" s="166">
        <v>46137</v>
      </c>
      <c r="B197">
        <v>1299.44</v>
      </c>
      <c r="C197">
        <v>1765.44</v>
      </c>
      <c r="D197">
        <v>398</v>
      </c>
      <c r="E197">
        <f t="shared" si="4"/>
        <v>17</v>
      </c>
      <c r="F197">
        <v>372</v>
      </c>
    </row>
    <row r="198" spans="1:6" x14ac:dyDescent="0.25">
      <c r="A198" s="166">
        <v>46138</v>
      </c>
      <c r="B198">
        <v>1033.1199999999999</v>
      </c>
      <c r="C198">
        <v>1351.12</v>
      </c>
      <c r="D198">
        <v>398</v>
      </c>
      <c r="E198">
        <f t="shared" si="4"/>
        <v>17</v>
      </c>
      <c r="F198">
        <v>372</v>
      </c>
    </row>
    <row r="199" spans="1:6" x14ac:dyDescent="0.25">
      <c r="A199" s="166">
        <v>46139</v>
      </c>
      <c r="B199">
        <v>1503.04</v>
      </c>
      <c r="C199">
        <v>1732.04</v>
      </c>
      <c r="D199">
        <v>398</v>
      </c>
      <c r="E199">
        <f t="shared" si="4"/>
        <v>18</v>
      </c>
      <c r="F199">
        <v>372</v>
      </c>
    </row>
    <row r="200" spans="1:6" x14ac:dyDescent="0.25">
      <c r="A200" s="166">
        <v>46140</v>
      </c>
      <c r="B200">
        <v>1383.18</v>
      </c>
      <c r="C200">
        <v>1847.18</v>
      </c>
      <c r="D200">
        <v>398</v>
      </c>
      <c r="E200">
        <f t="shared" si="4"/>
        <v>18</v>
      </c>
      <c r="F200">
        <v>372</v>
      </c>
    </row>
    <row r="201" spans="1:6" x14ac:dyDescent="0.25">
      <c r="A201" s="166">
        <v>46141</v>
      </c>
      <c r="B201">
        <v>1489.78</v>
      </c>
      <c r="C201">
        <v>1969.78</v>
      </c>
      <c r="D201">
        <v>398</v>
      </c>
      <c r="E201">
        <f t="shared" si="4"/>
        <v>18</v>
      </c>
      <c r="F201">
        <v>372</v>
      </c>
    </row>
    <row r="202" spans="1:6" x14ac:dyDescent="0.25">
      <c r="A202" s="166">
        <v>46142</v>
      </c>
      <c r="B202">
        <v>1690.76</v>
      </c>
      <c r="C202">
        <v>1578.76</v>
      </c>
      <c r="D202">
        <v>398</v>
      </c>
      <c r="E202">
        <f t="shared" si="4"/>
        <v>18</v>
      </c>
      <c r="F202">
        <v>372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9BBDA0-BECA-4B2A-BFCE-DED3E8C151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PT</vt:lpstr>
      <vt:lpstr>LD PRO</vt:lpstr>
      <vt:lpstr>WOR</vt:lpstr>
      <vt:lpstr>MOR</vt:lpstr>
      <vt:lpstr>KWH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cp:lastPrinted>2026-05-11T09:34:12Z</cp:lastPrinted>
  <dcterms:created xsi:type="dcterms:W3CDTF">2024-09-03T10:27:20Z</dcterms:created>
  <dcterms:modified xsi:type="dcterms:W3CDTF">2026-05-11T09:34:14Z</dcterms:modified>
</cp:coreProperties>
</file>